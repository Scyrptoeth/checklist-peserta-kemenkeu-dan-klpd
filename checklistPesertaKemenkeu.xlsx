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persiapantubel/Desktop/codex/persiapantubel/checklist-peserta-kemenkeu-dan-klpd/"/>
    </mc:Choice>
  </mc:AlternateContent>
  <xr:revisionPtr revIDLastSave="0" documentId="13_ncr:1_{67200C78-A27C-4446-80E8-9206FB490482}" xr6:coauthVersionLast="47" xr6:coauthVersionMax="47" xr10:uidLastSave="{00000000-0000-0000-0000-000000000000}"/>
  <bookViews>
    <workbookView xWindow="4320" yWindow="2360" windowWidth="24480" windowHeight="14740" tabRatio="500" activeTab="1" xr2:uid="{00000000-000D-0000-FFFF-FFFF00000000}"/>
  </bookViews>
  <sheets>
    <sheet name="READ ME" sheetId="1" state="hidden" r:id="rId1"/>
    <sheet name="checklistPesertaKemenkeu" sheetId="2" r:id="rId2"/>
    <sheet name="INPUT" sheetId="3" state="hidden" r:id="rId3"/>
    <sheet name="DATA" sheetId="4" state="hidden" r:id="rId4"/>
  </sheets>
  <definedNames>
    <definedName name="BidangList">DATA!$A$4:$A$203</definedName>
    <definedName name="K_1">DATA!$B$4:$B$53</definedName>
    <definedName name="K_10">DATA!$K$4:$K$53</definedName>
    <definedName name="K_100">DATA!$CW$4:$CW$53</definedName>
    <definedName name="K_101">DATA!$CX$4:$CX$53</definedName>
    <definedName name="K_102">DATA!$CY$4:$CY$53</definedName>
    <definedName name="K_103">DATA!$CZ$4:$CZ$53</definedName>
    <definedName name="K_104">DATA!$DA$4:$DA$53</definedName>
    <definedName name="K_105">DATA!$DB$4:$DB$53</definedName>
    <definedName name="K_106">DATA!$DC$4:$DC$53</definedName>
    <definedName name="K_107">DATA!$DD$4:$DD$53</definedName>
    <definedName name="K_108">DATA!$DE$4:$DE$53</definedName>
    <definedName name="K_109">DATA!$DF$4:$DF$53</definedName>
    <definedName name="K_11">DATA!$L$4:$L$53</definedName>
    <definedName name="K_110">DATA!$DG$4:$DG$53</definedName>
    <definedName name="K_111">DATA!$DH$4:$DH$53</definedName>
    <definedName name="K_112">DATA!$DI$4:$DI$53</definedName>
    <definedName name="K_113">DATA!$DJ$4:$DJ$53</definedName>
    <definedName name="K_114">DATA!$DK$4:$DK$53</definedName>
    <definedName name="K_115">DATA!$DL$4:$DL$53</definedName>
    <definedName name="K_116">DATA!$DM$4:$DM$53</definedName>
    <definedName name="K_117">DATA!$DN$4:$DN$53</definedName>
    <definedName name="K_118">DATA!$DO$4:$DO$53</definedName>
    <definedName name="K_119">DATA!$DP$4:$DP$53</definedName>
    <definedName name="K_12">DATA!$M$4:$M$53</definedName>
    <definedName name="K_120">DATA!$DQ$4:$DQ$53</definedName>
    <definedName name="K_121">DATA!$DR$4:$DR$53</definedName>
    <definedName name="K_122">DATA!$DS$4:$DS$53</definedName>
    <definedName name="K_123">DATA!$DT$4:$DT$53</definedName>
    <definedName name="K_124">DATA!$DU$4:$DU$53</definedName>
    <definedName name="K_125">DATA!$DV$4:$DV$53</definedName>
    <definedName name="K_126">DATA!$DW$4:$DW$53</definedName>
    <definedName name="K_127">DATA!$DX$4:$DX$53</definedName>
    <definedName name="K_128">DATA!$DY$4:$DY$53</definedName>
    <definedName name="K_129">DATA!$DZ$4:$DZ$53</definedName>
    <definedName name="K_13">DATA!$N$4:$N$53</definedName>
    <definedName name="K_130">DATA!$EA$4:$EA$53</definedName>
    <definedName name="K_131">DATA!$EB$4:$EB$53</definedName>
    <definedName name="K_132">DATA!$EC$4:$EC$53</definedName>
    <definedName name="K_133">DATA!$ED$4:$ED$53</definedName>
    <definedName name="K_134">DATA!$EE$4:$EE$53</definedName>
    <definedName name="K_135">DATA!$EF$4:$EF$53</definedName>
    <definedName name="K_136">DATA!$EG$4:$EG$53</definedName>
    <definedName name="K_137">DATA!$EH$4:$EH$53</definedName>
    <definedName name="K_138">DATA!$EI$4:$EI$53</definedName>
    <definedName name="K_139">DATA!$EJ$4:$EJ$53</definedName>
    <definedName name="K_14">DATA!$O$4:$O$53</definedName>
    <definedName name="K_140">DATA!$EK$4:$EK$53</definedName>
    <definedName name="K_141">DATA!$EL$4:$EL$53</definedName>
    <definedName name="K_142">DATA!$EM$4:$EM$53</definedName>
    <definedName name="K_143">DATA!$EN$4:$EN$53</definedName>
    <definedName name="K_144">DATA!$EO$4:$EO$53</definedName>
    <definedName name="K_145">DATA!$EP$4:$EP$53</definedName>
    <definedName name="K_146">DATA!$EQ$4:$EQ$53</definedName>
    <definedName name="K_147">DATA!$ER$4:$ER$53</definedName>
    <definedName name="K_148">DATA!$ES$4:$ES$53</definedName>
    <definedName name="K_149">DATA!$ET$4:$ET$53</definedName>
    <definedName name="K_15">DATA!$P$4:$P$53</definedName>
    <definedName name="K_150">DATA!$EU$4:$EU$53</definedName>
    <definedName name="K_151">DATA!$EV$4:$EV$53</definedName>
    <definedName name="K_152">DATA!$EW$4:$EW$53</definedName>
    <definedName name="K_153">DATA!$EX$4:$EX$53</definedName>
    <definedName name="K_154">DATA!$EY$4:$EY$53</definedName>
    <definedName name="K_155">DATA!$EZ$4:$EZ$53</definedName>
    <definedName name="K_156">DATA!$FA$4:$FA$53</definedName>
    <definedName name="K_157">DATA!$FB$4:$FB$53</definedName>
    <definedName name="K_158">DATA!$FC$4:$FC$53</definedName>
    <definedName name="K_159">DATA!$FD$4:$FD$53</definedName>
    <definedName name="K_16">DATA!$Q$4:$Q$53</definedName>
    <definedName name="K_160">DATA!$FE$4:$FE$53</definedName>
    <definedName name="K_161">DATA!$FF$4:$FF$53</definedName>
    <definedName name="K_162">DATA!$FG$4:$FG$53</definedName>
    <definedName name="K_163">DATA!$FH$4:$FH$53</definedName>
    <definedName name="K_164">DATA!$FI$4:$FI$53</definedName>
    <definedName name="K_165">DATA!$FJ$4:$FJ$53</definedName>
    <definedName name="K_166">DATA!$FK$4:$FK$53</definedName>
    <definedName name="K_167">DATA!$FL$4:$FL$53</definedName>
    <definedName name="K_168">DATA!$FM$4:$FM$53</definedName>
    <definedName name="K_169">DATA!$FN$4:$FN$53</definedName>
    <definedName name="K_17">DATA!$R$4:$R$53</definedName>
    <definedName name="K_170">DATA!$FO$4:$FO$53</definedName>
    <definedName name="K_171">DATA!$FP$4:$FP$53</definedName>
    <definedName name="K_172">DATA!$FQ$4:$FQ$53</definedName>
    <definedName name="K_173">DATA!$FR$4:$FR$53</definedName>
    <definedName name="K_174">DATA!$FS$4:$FS$53</definedName>
    <definedName name="K_175">DATA!$FT$4:$FT$53</definedName>
    <definedName name="K_176">DATA!$FU$4:$FU$53</definedName>
    <definedName name="K_177">DATA!$FV$4:$FV$53</definedName>
    <definedName name="K_178">DATA!$FW$4:$FW$53</definedName>
    <definedName name="K_179">DATA!$FX$4:$FX$53</definedName>
    <definedName name="K_18">DATA!$S$4:$S$53</definedName>
    <definedName name="K_180">DATA!$FY$4:$FY$53</definedName>
    <definedName name="K_181">DATA!$FZ$4:$FZ$53</definedName>
    <definedName name="K_182">DATA!$GA$4:$GA$53</definedName>
    <definedName name="K_183">DATA!$GB$4:$GB$53</definedName>
    <definedName name="K_184">DATA!$GC$4:$GC$53</definedName>
    <definedName name="K_185">DATA!$GD$4:$GD$53</definedName>
    <definedName name="K_186">DATA!$GE$4:$GE$53</definedName>
    <definedName name="K_187">DATA!$GF$4:$GF$53</definedName>
    <definedName name="K_188">DATA!$GG$4:$GG$53</definedName>
    <definedName name="K_189">DATA!$GH$4:$GH$53</definedName>
    <definedName name="K_19">DATA!$T$4:$T$53</definedName>
    <definedName name="K_190">DATA!$GI$4:$GI$53</definedName>
    <definedName name="K_191">DATA!$GJ$4:$GJ$53</definedName>
    <definedName name="K_192">DATA!$GK$4:$GK$53</definedName>
    <definedName name="K_193">DATA!$GL$4:$GL$53</definedName>
    <definedName name="K_194">DATA!$GM$4:$GM$53</definedName>
    <definedName name="K_195">DATA!$GN$4:$GN$53</definedName>
    <definedName name="K_196">DATA!$GO$4:$GO$53</definedName>
    <definedName name="K_197">DATA!$GP$4:$GP$53</definedName>
    <definedName name="K_198">DATA!$GQ$4:$GQ$53</definedName>
    <definedName name="K_199">DATA!$GR$4:$GR$53</definedName>
    <definedName name="K_2">DATA!$C$4:$C$53</definedName>
    <definedName name="K_20">DATA!$U$4:$U$53</definedName>
    <definedName name="K_200">DATA!$GS$4:$GS$53</definedName>
    <definedName name="K_21">DATA!$V$4:$V$53</definedName>
    <definedName name="K_22">DATA!$W$4:$W$53</definedName>
    <definedName name="K_23">DATA!$X$4:$X$53</definedName>
    <definedName name="K_24">DATA!$Y$4:$Y$53</definedName>
    <definedName name="K_25">DATA!$Z$4:$Z$53</definedName>
    <definedName name="K_26">DATA!$AA$4:$AA$53</definedName>
    <definedName name="K_27">DATA!$AB$4:$AB$53</definedName>
    <definedName name="K_28">DATA!$AC$4:$AC$53</definedName>
    <definedName name="K_29">DATA!$AD$4:$AD$53</definedName>
    <definedName name="K_3">DATA!$D$4:$D$53</definedName>
    <definedName name="K_30">DATA!$AE$4:$AE$53</definedName>
    <definedName name="K_31">DATA!$AF$4:$AF$53</definedName>
    <definedName name="K_32">DATA!$AG$4:$AG$53</definedName>
    <definedName name="K_33">DATA!$AH$4:$AH$53</definedName>
    <definedName name="K_34">DATA!$AI$4:$AI$53</definedName>
    <definedName name="K_35">DATA!$AJ$4:$AJ$53</definedName>
    <definedName name="K_36">DATA!$AK$4:$AK$53</definedName>
    <definedName name="K_37">DATA!$AL$4:$AL$53</definedName>
    <definedName name="K_38">DATA!$AM$4:$AM$53</definedName>
    <definedName name="K_39">DATA!$AN$4:$AN$53</definedName>
    <definedName name="K_4">DATA!$E$4:$E$53</definedName>
    <definedName name="K_40">DATA!$AO$4:$AO$53</definedName>
    <definedName name="K_41">DATA!$AP$4:$AP$53</definedName>
    <definedName name="K_42">DATA!$AQ$4:$AQ$53</definedName>
    <definedName name="K_43">DATA!$AR$4:$AR$53</definedName>
    <definedName name="K_44">DATA!$AS$4:$AS$53</definedName>
    <definedName name="K_45">DATA!$AT$4:$AT$53</definedName>
    <definedName name="K_46">DATA!$AU$4:$AU$53</definedName>
    <definedName name="K_47">DATA!$AV$4:$AV$53</definedName>
    <definedName name="K_48">DATA!$AW$4:$AW$53</definedName>
    <definedName name="K_49">DATA!$AX$4:$AX$53</definedName>
    <definedName name="K_5">DATA!$F$4:$F$53</definedName>
    <definedName name="K_50">DATA!$AY$4:$AY$53</definedName>
    <definedName name="K_51">DATA!$AZ$4:$AZ$53</definedName>
    <definedName name="K_52">DATA!$BA$4:$BA$53</definedName>
    <definedName name="K_53">DATA!$BB$4:$BB$53</definedName>
    <definedName name="K_54">DATA!$BC$4:$BC$53</definedName>
    <definedName name="K_55">DATA!$BD$4:$BD$53</definedName>
    <definedName name="K_56">DATA!$BE$4:$BE$53</definedName>
    <definedName name="K_57">DATA!$BF$4:$BF$53</definedName>
    <definedName name="K_58">DATA!$BG$4:$BG$53</definedName>
    <definedName name="K_59">DATA!$BH$4:$BH$53</definedName>
    <definedName name="K_6">DATA!$G$4:$G$53</definedName>
    <definedName name="K_60">DATA!$BI$4:$BI$53</definedName>
    <definedName name="K_61">DATA!$BJ$4:$BJ$53</definedName>
    <definedName name="K_62">DATA!$BK$4:$BK$53</definedName>
    <definedName name="K_63">DATA!$BL$4:$BL$53</definedName>
    <definedName name="K_64">DATA!$BM$4:$BM$53</definedName>
    <definedName name="K_65">DATA!$BN$4:$BN$53</definedName>
    <definedName name="K_66">DATA!$BO$4:$BO$53</definedName>
    <definedName name="K_67">DATA!$BP$4:$BP$53</definedName>
    <definedName name="K_68">DATA!$BQ$4:$BQ$53</definedName>
    <definedName name="K_69">DATA!$BR$4:$BR$53</definedName>
    <definedName name="K_7">DATA!$H$4:$H$53</definedName>
    <definedName name="K_70">DATA!$BS$4:$BS$53</definedName>
    <definedName name="K_71">DATA!$BT$4:$BT$53</definedName>
    <definedName name="K_72">DATA!$BU$4:$BU$53</definedName>
    <definedName name="K_73">DATA!$BV$4:$BV$53</definedName>
    <definedName name="K_74">DATA!$BW$4:$BW$53</definedName>
    <definedName name="K_75">DATA!$BX$4:$BX$53</definedName>
    <definedName name="K_76">DATA!$BY$4:$BY$53</definedName>
    <definedName name="K_77">DATA!$BZ$4:$BZ$53</definedName>
    <definedName name="K_78">DATA!$CA$4:$CA$53</definedName>
    <definedName name="K_79">DATA!$CB$4:$CB$53</definedName>
    <definedName name="K_8">DATA!$I$4:$I$53</definedName>
    <definedName name="K_80">DATA!$CC$4:$CC$53</definedName>
    <definedName name="K_81">DATA!$CD$4:$CD$53</definedName>
    <definedName name="K_82">DATA!$CE$4:$CE$53</definedName>
    <definedName name="K_83">DATA!$CF$4:$CF$53</definedName>
    <definedName name="K_84">DATA!$CG$4:$CG$53</definedName>
    <definedName name="K_85">DATA!$CH$4:$CH$53</definedName>
    <definedName name="K_86">DATA!$CI$4:$CI$53</definedName>
    <definedName name="K_87">DATA!$CJ$4:$CJ$53</definedName>
    <definedName name="K_88">DATA!$CK$4:$CK$53</definedName>
    <definedName name="K_89">DATA!$CL$4:$CL$53</definedName>
    <definedName name="K_9">DATA!$J$4:$J$53</definedName>
    <definedName name="K_90">DATA!$CM$4:$CM$53</definedName>
    <definedName name="K_91">DATA!$CN$4:$CN$53</definedName>
    <definedName name="K_92">DATA!$CO$4:$CO$53</definedName>
    <definedName name="K_93">DATA!$CP$4:$CP$53</definedName>
    <definedName name="K_94">DATA!$CQ$4:$CQ$53</definedName>
    <definedName name="K_95">DATA!$CR$4:$CR$53</definedName>
    <definedName name="K_96">DATA!$CS$4:$CS$53</definedName>
    <definedName name="K_97">DATA!$CT$4:$CT$53</definedName>
    <definedName name="K_98">DATA!$CU$4:$CU$53</definedName>
    <definedName name="K_99">DATA!$CV$4:$CV$53</definedName>
    <definedName name="KotaKode">DATA!$GV$5:$GW$54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7" i="2" l="1"/>
  <c r="A8" i="2"/>
  <c r="L1001" i="3" a="1"/>
  <c r="L1001" i="3" s="1"/>
  <c r="K1001" i="3" a="1"/>
  <c r="K1001" i="3" s="1"/>
  <c r="J1001" i="3" a="1"/>
  <c r="J1001" i="3" s="1"/>
  <c r="I1001" i="3" a="1"/>
  <c r="I1001" i="3" s="1"/>
  <c r="H1001" i="3" a="1"/>
  <c r="H1001" i="3" s="1"/>
  <c r="G1001" i="3" a="1"/>
  <c r="G1001" i="3" s="1"/>
  <c r="F1001" i="3" a="1"/>
  <c r="F1001" i="3" s="1"/>
  <c r="E1001" i="3" a="1"/>
  <c r="E1001" i="3" s="1"/>
  <c r="D1001" i="3" a="1"/>
  <c r="D1001" i="3" s="1"/>
  <c r="C1001" i="3" a="1"/>
  <c r="C1001" i="3" s="1"/>
  <c r="A1001" i="3" s="1"/>
  <c r="L1000" i="3" a="1"/>
  <c r="L1000" i="3" s="1"/>
  <c r="K1000" i="3" a="1"/>
  <c r="K1000" i="3" s="1"/>
  <c r="J1000" i="3" a="1"/>
  <c r="J1000" i="3" s="1"/>
  <c r="I1000" i="3" a="1"/>
  <c r="I1000" i="3" s="1"/>
  <c r="H1000" i="3" a="1"/>
  <c r="H1000" i="3" s="1"/>
  <c r="G1000" i="3" a="1"/>
  <c r="G1000" i="3" s="1"/>
  <c r="F1000" i="3" a="1"/>
  <c r="F1000" i="3" s="1"/>
  <c r="E1000" i="3" a="1"/>
  <c r="E1000" i="3" s="1"/>
  <c r="D1000" i="3" a="1"/>
  <c r="D1000" i="3" s="1"/>
  <c r="C1000" i="3" a="1"/>
  <c r="C1000" i="3" s="1"/>
  <c r="A1000" i="3" s="1"/>
  <c r="L999" i="3" a="1"/>
  <c r="L999" i="3" s="1"/>
  <c r="K999" i="3" a="1"/>
  <c r="K999" i="3" s="1"/>
  <c r="J999" i="3" a="1"/>
  <c r="J999" i="3" s="1"/>
  <c r="I999" i="3" a="1"/>
  <c r="I999" i="3" s="1"/>
  <c r="H999" i="3" a="1"/>
  <c r="H999" i="3" s="1"/>
  <c r="G999" i="3" a="1"/>
  <c r="G999" i="3" s="1"/>
  <c r="F999" i="3" a="1"/>
  <c r="F999" i="3" s="1"/>
  <c r="E999" i="3" a="1"/>
  <c r="E999" i="3" s="1"/>
  <c r="D999" i="3" a="1"/>
  <c r="D999" i="3" s="1"/>
  <c r="C999" i="3" a="1"/>
  <c r="C999" i="3" s="1"/>
  <c r="A999" i="3" s="1"/>
  <c r="L998" i="3" a="1"/>
  <c r="L998" i="3" s="1"/>
  <c r="K998" i="3" a="1"/>
  <c r="K998" i="3" s="1"/>
  <c r="J998" i="3" a="1"/>
  <c r="J998" i="3" s="1"/>
  <c r="I998" i="3" a="1"/>
  <c r="I998" i="3" s="1"/>
  <c r="H998" i="3" a="1"/>
  <c r="H998" i="3" s="1"/>
  <c r="G998" i="3" a="1"/>
  <c r="G998" i="3" s="1"/>
  <c r="F998" i="3" a="1"/>
  <c r="F998" i="3" s="1"/>
  <c r="E998" i="3" a="1"/>
  <c r="E998" i="3" s="1"/>
  <c r="D998" i="3" a="1"/>
  <c r="D998" i="3" s="1"/>
  <c r="C998" i="3" a="1"/>
  <c r="C998" i="3" s="1"/>
  <c r="A998" i="3" s="1"/>
  <c r="L997" i="3" a="1"/>
  <c r="L997" i="3" s="1"/>
  <c r="K997" i="3" a="1"/>
  <c r="K997" i="3" s="1"/>
  <c r="J997" i="3" a="1"/>
  <c r="J997" i="3" s="1"/>
  <c r="I997" i="3" a="1"/>
  <c r="I997" i="3" s="1"/>
  <c r="H997" i="3" a="1"/>
  <c r="H997" i="3" s="1"/>
  <c r="G997" i="3" a="1"/>
  <c r="G997" i="3" s="1"/>
  <c r="F997" i="3" a="1"/>
  <c r="F997" i="3" s="1"/>
  <c r="E997" i="3" a="1"/>
  <c r="E997" i="3" s="1"/>
  <c r="D997" i="3" a="1"/>
  <c r="D997" i="3" s="1"/>
  <c r="C997" i="3" a="1"/>
  <c r="C997" i="3" s="1"/>
  <c r="A997" i="3" s="1"/>
  <c r="L996" i="3" a="1"/>
  <c r="L996" i="3" s="1"/>
  <c r="K996" i="3" a="1"/>
  <c r="K996" i="3" s="1"/>
  <c r="J996" i="3" a="1"/>
  <c r="J996" i="3" s="1"/>
  <c r="I996" i="3" a="1"/>
  <c r="I996" i="3" s="1"/>
  <c r="H996" i="3" a="1"/>
  <c r="H996" i="3" s="1"/>
  <c r="G996" i="3" a="1"/>
  <c r="G996" i="3" s="1"/>
  <c r="F996" i="3" a="1"/>
  <c r="F996" i="3" s="1"/>
  <c r="E996" i="3" a="1"/>
  <c r="E996" i="3" s="1"/>
  <c r="D996" i="3" a="1"/>
  <c r="D996" i="3" s="1"/>
  <c r="C996" i="3" a="1"/>
  <c r="C996" i="3" s="1"/>
  <c r="A996" i="3" s="1"/>
  <c r="L995" i="3" a="1"/>
  <c r="L995" i="3" s="1"/>
  <c r="K995" i="3" a="1"/>
  <c r="K995" i="3" s="1"/>
  <c r="J995" i="3" a="1"/>
  <c r="J995" i="3" s="1"/>
  <c r="I995" i="3" a="1"/>
  <c r="I995" i="3" s="1"/>
  <c r="H995" i="3" a="1"/>
  <c r="H995" i="3" s="1"/>
  <c r="G995" i="3" a="1"/>
  <c r="G995" i="3" s="1"/>
  <c r="F995" i="3" a="1"/>
  <c r="F995" i="3" s="1"/>
  <c r="E995" i="3" a="1"/>
  <c r="E995" i="3" s="1"/>
  <c r="D995" i="3" a="1"/>
  <c r="D995" i="3" s="1"/>
  <c r="C995" i="3" a="1"/>
  <c r="C995" i="3" s="1"/>
  <c r="A995" i="3" s="1"/>
  <c r="L994" i="3" a="1"/>
  <c r="L994" i="3" s="1"/>
  <c r="K994" i="3" a="1"/>
  <c r="K994" i="3" s="1"/>
  <c r="J994" i="3" a="1"/>
  <c r="J994" i="3" s="1"/>
  <c r="I994" i="3" a="1"/>
  <c r="I994" i="3" s="1"/>
  <c r="H994" i="3" a="1"/>
  <c r="H994" i="3" s="1"/>
  <c r="G994" i="3" a="1"/>
  <c r="G994" i="3" s="1"/>
  <c r="F994" i="3" a="1"/>
  <c r="F994" i="3" s="1"/>
  <c r="E994" i="3" a="1"/>
  <c r="E994" i="3" s="1"/>
  <c r="D994" i="3" a="1"/>
  <c r="D994" i="3" s="1"/>
  <c r="C994" i="3" a="1"/>
  <c r="C994" i="3" s="1"/>
  <c r="A994" i="3" s="1"/>
  <c r="L993" i="3" a="1"/>
  <c r="L993" i="3" s="1"/>
  <c r="K993" i="3" a="1"/>
  <c r="K993" i="3" s="1"/>
  <c r="J993" i="3" a="1"/>
  <c r="J993" i="3" s="1"/>
  <c r="I993" i="3" a="1"/>
  <c r="I993" i="3" s="1"/>
  <c r="H993" i="3" a="1"/>
  <c r="H993" i="3" s="1"/>
  <c r="G993" i="3" a="1"/>
  <c r="G993" i="3" s="1"/>
  <c r="F993" i="3" a="1"/>
  <c r="F993" i="3" s="1"/>
  <c r="E993" i="3" a="1"/>
  <c r="E993" i="3" s="1"/>
  <c r="D993" i="3" a="1"/>
  <c r="D993" i="3" s="1"/>
  <c r="C993" i="3" a="1"/>
  <c r="C993" i="3" s="1"/>
  <c r="A993" i="3" s="1"/>
  <c r="L992" i="3" a="1"/>
  <c r="L992" i="3" s="1"/>
  <c r="K992" i="3" a="1"/>
  <c r="K992" i="3" s="1"/>
  <c r="J992" i="3" a="1"/>
  <c r="J992" i="3" s="1"/>
  <c r="I992" i="3" a="1"/>
  <c r="I992" i="3" s="1"/>
  <c r="H992" i="3" a="1"/>
  <c r="H992" i="3" s="1"/>
  <c r="G992" i="3" a="1"/>
  <c r="G992" i="3" s="1"/>
  <c r="F992" i="3" a="1"/>
  <c r="F992" i="3" s="1"/>
  <c r="E992" i="3" a="1"/>
  <c r="E992" i="3" s="1"/>
  <c r="D992" i="3" a="1"/>
  <c r="D992" i="3" s="1"/>
  <c r="C992" i="3" a="1"/>
  <c r="C992" i="3" s="1"/>
  <c r="A992" i="3" s="1"/>
  <c r="L991" i="3" a="1"/>
  <c r="L991" i="3" s="1"/>
  <c r="K991" i="3" a="1"/>
  <c r="K991" i="3" s="1"/>
  <c r="J991" i="3" a="1"/>
  <c r="J991" i="3" s="1"/>
  <c r="I991" i="3" a="1"/>
  <c r="I991" i="3" s="1"/>
  <c r="H991" i="3" a="1"/>
  <c r="H991" i="3" s="1"/>
  <c r="G991" i="3" a="1"/>
  <c r="G991" i="3" s="1"/>
  <c r="F991" i="3" a="1"/>
  <c r="F991" i="3" s="1"/>
  <c r="E991" i="3" a="1"/>
  <c r="E991" i="3" s="1"/>
  <c r="D991" i="3" a="1"/>
  <c r="D991" i="3" s="1"/>
  <c r="C991" i="3" a="1"/>
  <c r="C991" i="3" s="1"/>
  <c r="A991" i="3" s="1"/>
  <c r="L990" i="3" a="1"/>
  <c r="L990" i="3" s="1"/>
  <c r="K990" i="3" a="1"/>
  <c r="K990" i="3" s="1"/>
  <c r="J990" i="3" a="1"/>
  <c r="J990" i="3" s="1"/>
  <c r="I990" i="3" a="1"/>
  <c r="I990" i="3" s="1"/>
  <c r="H990" i="3" a="1"/>
  <c r="H990" i="3" s="1"/>
  <c r="G990" i="3" a="1"/>
  <c r="G990" i="3" s="1"/>
  <c r="F990" i="3" a="1"/>
  <c r="F990" i="3" s="1"/>
  <c r="E990" i="3" a="1"/>
  <c r="E990" i="3" s="1"/>
  <c r="D990" i="3" a="1"/>
  <c r="D990" i="3" s="1"/>
  <c r="C990" i="3" a="1"/>
  <c r="C990" i="3" s="1"/>
  <c r="A990" i="3" s="1"/>
  <c r="L989" i="3" a="1"/>
  <c r="L989" i="3" s="1"/>
  <c r="K989" i="3" a="1"/>
  <c r="K989" i="3" s="1"/>
  <c r="J989" i="3" a="1"/>
  <c r="J989" i="3" s="1"/>
  <c r="I989" i="3" a="1"/>
  <c r="I989" i="3" s="1"/>
  <c r="H989" i="3" a="1"/>
  <c r="H989" i="3" s="1"/>
  <c r="G989" i="3" a="1"/>
  <c r="G989" i="3" s="1"/>
  <c r="F989" i="3" a="1"/>
  <c r="F989" i="3" s="1"/>
  <c r="E989" i="3" a="1"/>
  <c r="E989" i="3" s="1"/>
  <c r="D989" i="3" a="1"/>
  <c r="D989" i="3" s="1"/>
  <c r="C989" i="3" a="1"/>
  <c r="C989" i="3" s="1"/>
  <c r="A989" i="3" s="1"/>
  <c r="L988" i="3" a="1"/>
  <c r="L988" i="3" s="1"/>
  <c r="K988" i="3" a="1"/>
  <c r="K988" i="3" s="1"/>
  <c r="J988" i="3" a="1"/>
  <c r="J988" i="3" s="1"/>
  <c r="I988" i="3" a="1"/>
  <c r="I988" i="3" s="1"/>
  <c r="H988" i="3" a="1"/>
  <c r="H988" i="3" s="1"/>
  <c r="G988" i="3" a="1"/>
  <c r="G988" i="3" s="1"/>
  <c r="F988" i="3" a="1"/>
  <c r="F988" i="3" s="1"/>
  <c r="E988" i="3" a="1"/>
  <c r="E988" i="3" s="1"/>
  <c r="D988" i="3" a="1"/>
  <c r="D988" i="3" s="1"/>
  <c r="C988" i="3" a="1"/>
  <c r="C988" i="3" s="1"/>
  <c r="A988" i="3" s="1"/>
  <c r="L987" i="3" a="1"/>
  <c r="L987" i="3" s="1"/>
  <c r="K987" i="3" a="1"/>
  <c r="K987" i="3" s="1"/>
  <c r="J987" i="3" a="1"/>
  <c r="J987" i="3" s="1"/>
  <c r="I987" i="3" a="1"/>
  <c r="I987" i="3" s="1"/>
  <c r="H987" i="3" a="1"/>
  <c r="H987" i="3" s="1"/>
  <c r="G987" i="3" a="1"/>
  <c r="G987" i="3" s="1"/>
  <c r="F987" i="3" a="1"/>
  <c r="F987" i="3" s="1"/>
  <c r="E987" i="3" a="1"/>
  <c r="E987" i="3" s="1"/>
  <c r="D987" i="3" a="1"/>
  <c r="D987" i="3" s="1"/>
  <c r="C987" i="3" a="1"/>
  <c r="C987" i="3" s="1"/>
  <c r="A987" i="3" s="1"/>
  <c r="L986" i="3" a="1"/>
  <c r="L986" i="3" s="1"/>
  <c r="K986" i="3" a="1"/>
  <c r="K986" i="3" s="1"/>
  <c r="J986" i="3" a="1"/>
  <c r="J986" i="3" s="1"/>
  <c r="I986" i="3" a="1"/>
  <c r="I986" i="3" s="1"/>
  <c r="H986" i="3" a="1"/>
  <c r="H986" i="3" s="1"/>
  <c r="G986" i="3" a="1"/>
  <c r="G986" i="3" s="1"/>
  <c r="F986" i="3" a="1"/>
  <c r="F986" i="3" s="1"/>
  <c r="E986" i="3" a="1"/>
  <c r="E986" i="3" s="1"/>
  <c r="D986" i="3" a="1"/>
  <c r="D986" i="3" s="1"/>
  <c r="C986" i="3" a="1"/>
  <c r="C986" i="3" s="1"/>
  <c r="A986" i="3" s="1"/>
  <c r="L985" i="3" a="1"/>
  <c r="L985" i="3" s="1"/>
  <c r="K985" i="3" a="1"/>
  <c r="K985" i="3" s="1"/>
  <c r="J985" i="3" a="1"/>
  <c r="J985" i="3" s="1"/>
  <c r="I985" i="3" a="1"/>
  <c r="I985" i="3" s="1"/>
  <c r="H985" i="3" a="1"/>
  <c r="H985" i="3" s="1"/>
  <c r="G985" i="3" a="1"/>
  <c r="G985" i="3" s="1"/>
  <c r="F985" i="3" a="1"/>
  <c r="F985" i="3" s="1"/>
  <c r="E985" i="3" a="1"/>
  <c r="E985" i="3" s="1"/>
  <c r="D985" i="3" a="1"/>
  <c r="D985" i="3" s="1"/>
  <c r="C985" i="3" a="1"/>
  <c r="C985" i="3" s="1"/>
  <c r="A985" i="3" s="1"/>
  <c r="L984" i="3" a="1"/>
  <c r="L984" i="3" s="1"/>
  <c r="K984" i="3" a="1"/>
  <c r="K984" i="3" s="1"/>
  <c r="J984" i="3" a="1"/>
  <c r="J984" i="3" s="1"/>
  <c r="I984" i="3" a="1"/>
  <c r="I984" i="3" s="1"/>
  <c r="H984" i="3" a="1"/>
  <c r="H984" i="3" s="1"/>
  <c r="G984" i="3" a="1"/>
  <c r="G984" i="3" s="1"/>
  <c r="F984" i="3" a="1"/>
  <c r="F984" i="3" s="1"/>
  <c r="E984" i="3" a="1"/>
  <c r="E984" i="3" s="1"/>
  <c r="D984" i="3" a="1"/>
  <c r="D984" i="3" s="1"/>
  <c r="C984" i="3" a="1"/>
  <c r="C984" i="3" s="1"/>
  <c r="A984" i="3" s="1"/>
  <c r="L983" i="3" a="1"/>
  <c r="L983" i="3" s="1"/>
  <c r="K983" i="3" a="1"/>
  <c r="K983" i="3" s="1"/>
  <c r="J983" i="3" a="1"/>
  <c r="J983" i="3" s="1"/>
  <c r="I983" i="3" a="1"/>
  <c r="I983" i="3" s="1"/>
  <c r="H983" i="3" a="1"/>
  <c r="H983" i="3" s="1"/>
  <c r="G983" i="3" a="1"/>
  <c r="G983" i="3" s="1"/>
  <c r="F983" i="3" a="1"/>
  <c r="F983" i="3" s="1"/>
  <c r="E983" i="3" a="1"/>
  <c r="E983" i="3" s="1"/>
  <c r="D983" i="3" a="1"/>
  <c r="D983" i="3" s="1"/>
  <c r="C983" i="3" a="1"/>
  <c r="C983" i="3" s="1"/>
  <c r="A983" i="3" s="1"/>
  <c r="L982" i="3" a="1"/>
  <c r="L982" i="3" s="1"/>
  <c r="K982" i="3" a="1"/>
  <c r="K982" i="3" s="1"/>
  <c r="J982" i="3" a="1"/>
  <c r="J982" i="3" s="1"/>
  <c r="I982" i="3" a="1"/>
  <c r="I982" i="3" s="1"/>
  <c r="H982" i="3" a="1"/>
  <c r="H982" i="3" s="1"/>
  <c r="G982" i="3" a="1"/>
  <c r="G982" i="3" s="1"/>
  <c r="F982" i="3" a="1"/>
  <c r="F982" i="3" s="1"/>
  <c r="E982" i="3" a="1"/>
  <c r="E982" i="3" s="1"/>
  <c r="D982" i="3" a="1"/>
  <c r="D982" i="3" s="1"/>
  <c r="C982" i="3" a="1"/>
  <c r="C982" i="3" s="1"/>
  <c r="A982" i="3" s="1"/>
  <c r="L981" i="3" a="1"/>
  <c r="L981" i="3" s="1"/>
  <c r="K981" i="3" a="1"/>
  <c r="K981" i="3" s="1"/>
  <c r="J981" i="3" a="1"/>
  <c r="J981" i="3" s="1"/>
  <c r="I981" i="3" a="1"/>
  <c r="I981" i="3" s="1"/>
  <c r="H981" i="3" a="1"/>
  <c r="H981" i="3" s="1"/>
  <c r="G981" i="3" a="1"/>
  <c r="G981" i="3" s="1"/>
  <c r="F981" i="3" a="1"/>
  <c r="F981" i="3" s="1"/>
  <c r="E981" i="3" a="1"/>
  <c r="E981" i="3" s="1"/>
  <c r="D981" i="3" a="1"/>
  <c r="D981" i="3" s="1"/>
  <c r="C981" i="3" a="1"/>
  <c r="C981" i="3" s="1"/>
  <c r="A981" i="3" s="1"/>
  <c r="L980" i="3" a="1"/>
  <c r="L980" i="3" s="1"/>
  <c r="K980" i="3" a="1"/>
  <c r="K980" i="3" s="1"/>
  <c r="J980" i="3" a="1"/>
  <c r="J980" i="3" s="1"/>
  <c r="I980" i="3" a="1"/>
  <c r="I980" i="3" s="1"/>
  <c r="H980" i="3" a="1"/>
  <c r="H980" i="3" s="1"/>
  <c r="G980" i="3" a="1"/>
  <c r="G980" i="3" s="1"/>
  <c r="F980" i="3" a="1"/>
  <c r="F980" i="3" s="1"/>
  <c r="E980" i="3" a="1"/>
  <c r="E980" i="3" s="1"/>
  <c r="D980" i="3" a="1"/>
  <c r="D980" i="3" s="1"/>
  <c r="C980" i="3" a="1"/>
  <c r="C980" i="3" s="1"/>
  <c r="A980" i="3" s="1"/>
  <c r="L979" i="3" a="1"/>
  <c r="L979" i="3" s="1"/>
  <c r="K979" i="3" a="1"/>
  <c r="K979" i="3" s="1"/>
  <c r="J979" i="3" a="1"/>
  <c r="J979" i="3" s="1"/>
  <c r="I979" i="3" a="1"/>
  <c r="I979" i="3" s="1"/>
  <c r="H979" i="3" a="1"/>
  <c r="H979" i="3" s="1"/>
  <c r="G979" i="3" a="1"/>
  <c r="G979" i="3" s="1"/>
  <c r="F979" i="3" a="1"/>
  <c r="F979" i="3" s="1"/>
  <c r="E979" i="3" a="1"/>
  <c r="E979" i="3" s="1"/>
  <c r="D979" i="3" a="1"/>
  <c r="D979" i="3" s="1"/>
  <c r="C979" i="3" a="1"/>
  <c r="C979" i="3" s="1"/>
  <c r="A979" i="3" s="1"/>
  <c r="L978" i="3" a="1"/>
  <c r="L978" i="3" s="1"/>
  <c r="K978" i="3" a="1"/>
  <c r="K978" i="3" s="1"/>
  <c r="J978" i="3" a="1"/>
  <c r="J978" i="3" s="1"/>
  <c r="I978" i="3" a="1"/>
  <c r="I978" i="3" s="1"/>
  <c r="H978" i="3" a="1"/>
  <c r="H978" i="3" s="1"/>
  <c r="G978" i="3" a="1"/>
  <c r="G978" i="3" s="1"/>
  <c r="F978" i="3" a="1"/>
  <c r="F978" i="3" s="1"/>
  <c r="E978" i="3" a="1"/>
  <c r="E978" i="3" s="1"/>
  <c r="D978" i="3" a="1"/>
  <c r="D978" i="3" s="1"/>
  <c r="C978" i="3" a="1"/>
  <c r="C978" i="3" s="1"/>
  <c r="A978" i="3" s="1"/>
  <c r="L977" i="3" a="1"/>
  <c r="L977" i="3" s="1"/>
  <c r="K977" i="3" a="1"/>
  <c r="K977" i="3" s="1"/>
  <c r="J977" i="3" a="1"/>
  <c r="J977" i="3" s="1"/>
  <c r="I977" i="3" a="1"/>
  <c r="I977" i="3" s="1"/>
  <c r="H977" i="3" a="1"/>
  <c r="H977" i="3" s="1"/>
  <c r="G977" i="3" a="1"/>
  <c r="G977" i="3" s="1"/>
  <c r="F977" i="3" a="1"/>
  <c r="F977" i="3" s="1"/>
  <c r="E977" i="3" a="1"/>
  <c r="E977" i="3" s="1"/>
  <c r="D977" i="3" a="1"/>
  <c r="D977" i="3" s="1"/>
  <c r="C977" i="3" a="1"/>
  <c r="C977" i="3" s="1"/>
  <c r="A977" i="3" s="1"/>
  <c r="L976" i="3" a="1"/>
  <c r="L976" i="3" s="1"/>
  <c r="K976" i="3" a="1"/>
  <c r="K976" i="3" s="1"/>
  <c r="J976" i="3" a="1"/>
  <c r="J976" i="3" s="1"/>
  <c r="I976" i="3" a="1"/>
  <c r="I976" i="3" s="1"/>
  <c r="H976" i="3" a="1"/>
  <c r="H976" i="3" s="1"/>
  <c r="G976" i="3" a="1"/>
  <c r="G976" i="3" s="1"/>
  <c r="F976" i="3" a="1"/>
  <c r="F976" i="3" s="1"/>
  <c r="E976" i="3" a="1"/>
  <c r="E976" i="3" s="1"/>
  <c r="D976" i="3" a="1"/>
  <c r="D976" i="3" s="1"/>
  <c r="C976" i="3" a="1"/>
  <c r="C976" i="3" s="1"/>
  <c r="A976" i="3" s="1"/>
  <c r="L975" i="3" a="1"/>
  <c r="L975" i="3" s="1"/>
  <c r="K975" i="3" a="1"/>
  <c r="K975" i="3" s="1"/>
  <c r="J975" i="3" a="1"/>
  <c r="J975" i="3" s="1"/>
  <c r="I975" i="3" a="1"/>
  <c r="I975" i="3" s="1"/>
  <c r="H975" i="3" a="1"/>
  <c r="H975" i="3" s="1"/>
  <c r="G975" i="3" a="1"/>
  <c r="G975" i="3" s="1"/>
  <c r="F975" i="3" a="1"/>
  <c r="F975" i="3" s="1"/>
  <c r="E975" i="3" a="1"/>
  <c r="E975" i="3" s="1"/>
  <c r="D975" i="3" a="1"/>
  <c r="D975" i="3" s="1"/>
  <c r="C975" i="3" a="1"/>
  <c r="C975" i="3" s="1"/>
  <c r="A975" i="3" s="1"/>
  <c r="L974" i="3" a="1"/>
  <c r="L974" i="3" s="1"/>
  <c r="K974" i="3" a="1"/>
  <c r="K974" i="3" s="1"/>
  <c r="J974" i="3" a="1"/>
  <c r="J974" i="3" s="1"/>
  <c r="I974" i="3" a="1"/>
  <c r="I974" i="3" s="1"/>
  <c r="H974" i="3" a="1"/>
  <c r="H974" i="3" s="1"/>
  <c r="G974" i="3" a="1"/>
  <c r="G974" i="3" s="1"/>
  <c r="F974" i="3" a="1"/>
  <c r="F974" i="3" s="1"/>
  <c r="E974" i="3" a="1"/>
  <c r="E974" i="3" s="1"/>
  <c r="D974" i="3" a="1"/>
  <c r="D974" i="3" s="1"/>
  <c r="C974" i="3" a="1"/>
  <c r="C974" i="3" s="1"/>
  <c r="A974" i="3" s="1"/>
  <c r="L973" i="3" a="1"/>
  <c r="L973" i="3" s="1"/>
  <c r="K973" i="3" a="1"/>
  <c r="K973" i="3" s="1"/>
  <c r="J973" i="3" a="1"/>
  <c r="J973" i="3" s="1"/>
  <c r="I973" i="3" a="1"/>
  <c r="I973" i="3" s="1"/>
  <c r="H973" i="3" a="1"/>
  <c r="H973" i="3" s="1"/>
  <c r="G973" i="3" a="1"/>
  <c r="G973" i="3" s="1"/>
  <c r="F973" i="3" a="1"/>
  <c r="F973" i="3" s="1"/>
  <c r="E973" i="3" a="1"/>
  <c r="E973" i="3" s="1"/>
  <c r="D973" i="3" a="1"/>
  <c r="D973" i="3" s="1"/>
  <c r="C973" i="3" a="1"/>
  <c r="C973" i="3" s="1"/>
  <c r="A973" i="3" s="1"/>
  <c r="L972" i="3" a="1"/>
  <c r="L972" i="3" s="1"/>
  <c r="K972" i="3" a="1"/>
  <c r="K972" i="3" s="1"/>
  <c r="J972" i="3" a="1"/>
  <c r="J972" i="3" s="1"/>
  <c r="I972" i="3" a="1"/>
  <c r="I972" i="3" s="1"/>
  <c r="H972" i="3" a="1"/>
  <c r="H972" i="3" s="1"/>
  <c r="G972" i="3" a="1"/>
  <c r="G972" i="3" s="1"/>
  <c r="F972" i="3" a="1"/>
  <c r="F972" i="3" s="1"/>
  <c r="E972" i="3" a="1"/>
  <c r="E972" i="3" s="1"/>
  <c r="D972" i="3" a="1"/>
  <c r="D972" i="3" s="1"/>
  <c r="C972" i="3" a="1"/>
  <c r="C972" i="3" s="1"/>
  <c r="A972" i="3" s="1"/>
  <c r="L971" i="3" a="1"/>
  <c r="L971" i="3" s="1"/>
  <c r="K971" i="3" a="1"/>
  <c r="K971" i="3" s="1"/>
  <c r="J971" i="3" a="1"/>
  <c r="J971" i="3" s="1"/>
  <c r="I971" i="3" a="1"/>
  <c r="I971" i="3" s="1"/>
  <c r="H971" i="3" a="1"/>
  <c r="H971" i="3" s="1"/>
  <c r="G971" i="3" a="1"/>
  <c r="G971" i="3" s="1"/>
  <c r="F971" i="3" a="1"/>
  <c r="F971" i="3" s="1"/>
  <c r="E971" i="3" a="1"/>
  <c r="E971" i="3" s="1"/>
  <c r="D971" i="3" a="1"/>
  <c r="D971" i="3" s="1"/>
  <c r="C971" i="3" a="1"/>
  <c r="C971" i="3" s="1"/>
  <c r="A971" i="3" s="1"/>
  <c r="L970" i="3" a="1"/>
  <c r="L970" i="3" s="1"/>
  <c r="K970" i="3" a="1"/>
  <c r="K970" i="3" s="1"/>
  <c r="J970" i="3" a="1"/>
  <c r="J970" i="3" s="1"/>
  <c r="I970" i="3" a="1"/>
  <c r="I970" i="3" s="1"/>
  <c r="H970" i="3" a="1"/>
  <c r="H970" i="3" s="1"/>
  <c r="G970" i="3" a="1"/>
  <c r="G970" i="3" s="1"/>
  <c r="F970" i="3" a="1"/>
  <c r="F970" i="3" s="1"/>
  <c r="E970" i="3" a="1"/>
  <c r="E970" i="3" s="1"/>
  <c r="D970" i="3" a="1"/>
  <c r="D970" i="3" s="1"/>
  <c r="C970" i="3" a="1"/>
  <c r="C970" i="3" s="1"/>
  <c r="A970" i="3" s="1"/>
  <c r="L969" i="3" a="1"/>
  <c r="L969" i="3" s="1"/>
  <c r="K969" i="3" a="1"/>
  <c r="K969" i="3" s="1"/>
  <c r="J969" i="3" a="1"/>
  <c r="J969" i="3" s="1"/>
  <c r="I969" i="3" a="1"/>
  <c r="I969" i="3" s="1"/>
  <c r="H969" i="3" a="1"/>
  <c r="H969" i="3" s="1"/>
  <c r="G969" i="3" a="1"/>
  <c r="G969" i="3" s="1"/>
  <c r="F969" i="3" a="1"/>
  <c r="F969" i="3" s="1"/>
  <c r="E969" i="3" a="1"/>
  <c r="E969" i="3" s="1"/>
  <c r="D969" i="3" a="1"/>
  <c r="D969" i="3" s="1"/>
  <c r="C969" i="3" a="1"/>
  <c r="C969" i="3" s="1"/>
  <c r="A969" i="3" s="1"/>
  <c r="L968" i="3" a="1"/>
  <c r="L968" i="3" s="1"/>
  <c r="K968" i="3" a="1"/>
  <c r="K968" i="3" s="1"/>
  <c r="J968" i="3" a="1"/>
  <c r="J968" i="3" s="1"/>
  <c r="I968" i="3" a="1"/>
  <c r="I968" i="3" s="1"/>
  <c r="H968" i="3" a="1"/>
  <c r="H968" i="3" s="1"/>
  <c r="G968" i="3" a="1"/>
  <c r="G968" i="3" s="1"/>
  <c r="F968" i="3" a="1"/>
  <c r="F968" i="3" s="1"/>
  <c r="E968" i="3" a="1"/>
  <c r="E968" i="3" s="1"/>
  <c r="D968" i="3" a="1"/>
  <c r="D968" i="3" s="1"/>
  <c r="C968" i="3" a="1"/>
  <c r="C968" i="3" s="1"/>
  <c r="A968" i="3" s="1"/>
  <c r="L967" i="3" a="1"/>
  <c r="L967" i="3" s="1"/>
  <c r="K967" i="3" a="1"/>
  <c r="K967" i="3" s="1"/>
  <c r="J967" i="3" a="1"/>
  <c r="J967" i="3" s="1"/>
  <c r="I967" i="3" a="1"/>
  <c r="I967" i="3" s="1"/>
  <c r="H967" i="3" a="1"/>
  <c r="H967" i="3" s="1"/>
  <c r="G967" i="3" a="1"/>
  <c r="G967" i="3" s="1"/>
  <c r="F967" i="3" a="1"/>
  <c r="F967" i="3" s="1"/>
  <c r="E967" i="3" a="1"/>
  <c r="E967" i="3" s="1"/>
  <c r="D967" i="3" a="1"/>
  <c r="D967" i="3" s="1"/>
  <c r="C967" i="3" a="1"/>
  <c r="C967" i="3" s="1"/>
  <c r="A967" i="3" s="1"/>
  <c r="L966" i="3" a="1"/>
  <c r="L966" i="3" s="1"/>
  <c r="K966" i="3" a="1"/>
  <c r="K966" i="3" s="1"/>
  <c r="J966" i="3" a="1"/>
  <c r="J966" i="3" s="1"/>
  <c r="I966" i="3" a="1"/>
  <c r="I966" i="3" s="1"/>
  <c r="H966" i="3" a="1"/>
  <c r="H966" i="3" s="1"/>
  <c r="G966" i="3" a="1"/>
  <c r="G966" i="3" s="1"/>
  <c r="F966" i="3" a="1"/>
  <c r="F966" i="3" s="1"/>
  <c r="E966" i="3" a="1"/>
  <c r="E966" i="3" s="1"/>
  <c r="D966" i="3" a="1"/>
  <c r="D966" i="3" s="1"/>
  <c r="C966" i="3" a="1"/>
  <c r="C966" i="3" s="1"/>
  <c r="A966" i="3" s="1"/>
  <c r="L965" i="3" a="1"/>
  <c r="L965" i="3" s="1"/>
  <c r="K965" i="3" a="1"/>
  <c r="K965" i="3" s="1"/>
  <c r="J965" i="3" a="1"/>
  <c r="J965" i="3" s="1"/>
  <c r="I965" i="3" a="1"/>
  <c r="I965" i="3" s="1"/>
  <c r="H965" i="3" a="1"/>
  <c r="H965" i="3" s="1"/>
  <c r="G965" i="3" a="1"/>
  <c r="G965" i="3" s="1"/>
  <c r="F965" i="3" a="1"/>
  <c r="F965" i="3" s="1"/>
  <c r="E965" i="3" a="1"/>
  <c r="E965" i="3" s="1"/>
  <c r="D965" i="3" a="1"/>
  <c r="D965" i="3" s="1"/>
  <c r="C965" i="3" a="1"/>
  <c r="C965" i="3" s="1"/>
  <c r="A965" i="3" s="1"/>
  <c r="L964" i="3" a="1"/>
  <c r="L964" i="3" s="1"/>
  <c r="K964" i="3" a="1"/>
  <c r="K964" i="3" s="1"/>
  <c r="J964" i="3" a="1"/>
  <c r="J964" i="3" s="1"/>
  <c r="I964" i="3" a="1"/>
  <c r="I964" i="3" s="1"/>
  <c r="H964" i="3" a="1"/>
  <c r="H964" i="3" s="1"/>
  <c r="G964" i="3" a="1"/>
  <c r="G964" i="3" s="1"/>
  <c r="F964" i="3" a="1"/>
  <c r="F964" i="3" s="1"/>
  <c r="E964" i="3" a="1"/>
  <c r="E964" i="3" s="1"/>
  <c r="D964" i="3" a="1"/>
  <c r="D964" i="3" s="1"/>
  <c r="C964" i="3" a="1"/>
  <c r="C964" i="3" s="1"/>
  <c r="A964" i="3" s="1"/>
  <c r="L963" i="3" a="1"/>
  <c r="L963" i="3" s="1"/>
  <c r="K963" i="3" a="1"/>
  <c r="K963" i="3" s="1"/>
  <c r="J963" i="3" a="1"/>
  <c r="J963" i="3" s="1"/>
  <c r="I963" i="3" a="1"/>
  <c r="I963" i="3" s="1"/>
  <c r="H963" i="3" a="1"/>
  <c r="H963" i="3" s="1"/>
  <c r="G963" i="3" a="1"/>
  <c r="G963" i="3" s="1"/>
  <c r="F963" i="3" a="1"/>
  <c r="F963" i="3" s="1"/>
  <c r="E963" i="3" a="1"/>
  <c r="E963" i="3" s="1"/>
  <c r="D963" i="3" a="1"/>
  <c r="D963" i="3" s="1"/>
  <c r="C963" i="3" a="1"/>
  <c r="C963" i="3" s="1"/>
  <c r="A963" i="3" s="1"/>
  <c r="L962" i="3" a="1"/>
  <c r="L962" i="3" s="1"/>
  <c r="K962" i="3" a="1"/>
  <c r="K962" i="3" s="1"/>
  <c r="J962" i="3" a="1"/>
  <c r="J962" i="3" s="1"/>
  <c r="I962" i="3" a="1"/>
  <c r="I962" i="3" s="1"/>
  <c r="H962" i="3" a="1"/>
  <c r="H962" i="3" s="1"/>
  <c r="G962" i="3" a="1"/>
  <c r="G962" i="3" s="1"/>
  <c r="F962" i="3" a="1"/>
  <c r="F962" i="3" s="1"/>
  <c r="E962" i="3" a="1"/>
  <c r="E962" i="3" s="1"/>
  <c r="D962" i="3" a="1"/>
  <c r="D962" i="3" s="1"/>
  <c r="C962" i="3" a="1"/>
  <c r="C962" i="3" s="1"/>
  <c r="A962" i="3" s="1"/>
  <c r="L961" i="3" a="1"/>
  <c r="L961" i="3" s="1"/>
  <c r="K961" i="3" a="1"/>
  <c r="K961" i="3" s="1"/>
  <c r="J961" i="3" a="1"/>
  <c r="J961" i="3" s="1"/>
  <c r="I961" i="3" a="1"/>
  <c r="I961" i="3" s="1"/>
  <c r="H961" i="3" a="1"/>
  <c r="H961" i="3" s="1"/>
  <c r="G961" i="3" a="1"/>
  <c r="G961" i="3" s="1"/>
  <c r="F961" i="3" a="1"/>
  <c r="F961" i="3" s="1"/>
  <c r="E961" i="3" a="1"/>
  <c r="E961" i="3" s="1"/>
  <c r="D961" i="3" a="1"/>
  <c r="D961" i="3" s="1"/>
  <c r="C961" i="3" a="1"/>
  <c r="C961" i="3" s="1"/>
  <c r="A961" i="3" s="1"/>
  <c r="L960" i="3" a="1"/>
  <c r="L960" i="3" s="1"/>
  <c r="K960" i="3" a="1"/>
  <c r="K960" i="3" s="1"/>
  <c r="J960" i="3" a="1"/>
  <c r="J960" i="3" s="1"/>
  <c r="I960" i="3" a="1"/>
  <c r="I960" i="3" s="1"/>
  <c r="H960" i="3" a="1"/>
  <c r="H960" i="3" s="1"/>
  <c r="G960" i="3" a="1"/>
  <c r="G960" i="3" s="1"/>
  <c r="F960" i="3" a="1"/>
  <c r="F960" i="3" s="1"/>
  <c r="E960" i="3" a="1"/>
  <c r="E960" i="3" s="1"/>
  <c r="D960" i="3" a="1"/>
  <c r="D960" i="3" s="1"/>
  <c r="C960" i="3" a="1"/>
  <c r="C960" i="3" s="1"/>
  <c r="A960" i="3" s="1"/>
  <c r="L959" i="3" a="1"/>
  <c r="L959" i="3" s="1"/>
  <c r="K959" i="3" a="1"/>
  <c r="K959" i="3" s="1"/>
  <c r="J959" i="3" a="1"/>
  <c r="J959" i="3" s="1"/>
  <c r="I959" i="3" a="1"/>
  <c r="I959" i="3" s="1"/>
  <c r="H959" i="3" a="1"/>
  <c r="H959" i="3" s="1"/>
  <c r="G959" i="3" a="1"/>
  <c r="G959" i="3" s="1"/>
  <c r="F959" i="3" a="1"/>
  <c r="F959" i="3" s="1"/>
  <c r="E959" i="3" a="1"/>
  <c r="E959" i="3" s="1"/>
  <c r="D959" i="3" a="1"/>
  <c r="D959" i="3" s="1"/>
  <c r="C959" i="3" a="1"/>
  <c r="C959" i="3" s="1"/>
  <c r="A959" i="3" s="1"/>
  <c r="L958" i="3" a="1"/>
  <c r="L958" i="3" s="1"/>
  <c r="K958" i="3" a="1"/>
  <c r="K958" i="3" s="1"/>
  <c r="J958" i="3" a="1"/>
  <c r="J958" i="3" s="1"/>
  <c r="I958" i="3" a="1"/>
  <c r="I958" i="3" s="1"/>
  <c r="H958" i="3" a="1"/>
  <c r="H958" i="3" s="1"/>
  <c r="G958" i="3" a="1"/>
  <c r="G958" i="3" s="1"/>
  <c r="F958" i="3" a="1"/>
  <c r="F958" i="3" s="1"/>
  <c r="E958" i="3" a="1"/>
  <c r="E958" i="3" s="1"/>
  <c r="D958" i="3" a="1"/>
  <c r="D958" i="3" s="1"/>
  <c r="C958" i="3" a="1"/>
  <c r="C958" i="3" s="1"/>
  <c r="A958" i="3" s="1"/>
  <c r="L957" i="3" a="1"/>
  <c r="L957" i="3" s="1"/>
  <c r="K957" i="3" a="1"/>
  <c r="K957" i="3" s="1"/>
  <c r="J957" i="3" a="1"/>
  <c r="J957" i="3" s="1"/>
  <c r="I957" i="3" a="1"/>
  <c r="I957" i="3" s="1"/>
  <c r="H957" i="3" a="1"/>
  <c r="H957" i="3" s="1"/>
  <c r="G957" i="3" a="1"/>
  <c r="G957" i="3" s="1"/>
  <c r="F957" i="3" a="1"/>
  <c r="F957" i="3" s="1"/>
  <c r="E957" i="3" a="1"/>
  <c r="E957" i="3" s="1"/>
  <c r="D957" i="3" a="1"/>
  <c r="D957" i="3" s="1"/>
  <c r="C957" i="3" a="1"/>
  <c r="C957" i="3" s="1"/>
  <c r="A957" i="3" s="1"/>
  <c r="L956" i="3" a="1"/>
  <c r="L956" i="3" s="1"/>
  <c r="K956" i="3" a="1"/>
  <c r="K956" i="3" s="1"/>
  <c r="J956" i="3" a="1"/>
  <c r="J956" i="3" s="1"/>
  <c r="I956" i="3" a="1"/>
  <c r="I956" i="3" s="1"/>
  <c r="H956" i="3" a="1"/>
  <c r="H956" i="3" s="1"/>
  <c r="G956" i="3" a="1"/>
  <c r="G956" i="3" s="1"/>
  <c r="F956" i="3" a="1"/>
  <c r="F956" i="3" s="1"/>
  <c r="E956" i="3" a="1"/>
  <c r="E956" i="3" s="1"/>
  <c r="D956" i="3" a="1"/>
  <c r="D956" i="3" s="1"/>
  <c r="C956" i="3" a="1"/>
  <c r="C956" i="3" s="1"/>
  <c r="A956" i="3" s="1"/>
  <c r="L955" i="3" a="1"/>
  <c r="L955" i="3" s="1"/>
  <c r="K955" i="3" a="1"/>
  <c r="K955" i="3" s="1"/>
  <c r="J955" i="3" a="1"/>
  <c r="J955" i="3" s="1"/>
  <c r="I955" i="3" a="1"/>
  <c r="I955" i="3" s="1"/>
  <c r="H955" i="3" a="1"/>
  <c r="H955" i="3" s="1"/>
  <c r="G955" i="3" a="1"/>
  <c r="G955" i="3" s="1"/>
  <c r="F955" i="3" a="1"/>
  <c r="F955" i="3" s="1"/>
  <c r="E955" i="3" a="1"/>
  <c r="E955" i="3" s="1"/>
  <c r="D955" i="3" a="1"/>
  <c r="D955" i="3" s="1"/>
  <c r="C955" i="3" a="1"/>
  <c r="C955" i="3" s="1"/>
  <c r="A955" i="3" s="1"/>
  <c r="L954" i="3" a="1"/>
  <c r="L954" i="3" s="1"/>
  <c r="K954" i="3" a="1"/>
  <c r="K954" i="3" s="1"/>
  <c r="J954" i="3" a="1"/>
  <c r="J954" i="3" s="1"/>
  <c r="I954" i="3" a="1"/>
  <c r="I954" i="3" s="1"/>
  <c r="H954" i="3" a="1"/>
  <c r="H954" i="3" s="1"/>
  <c r="G954" i="3" a="1"/>
  <c r="G954" i="3" s="1"/>
  <c r="F954" i="3" a="1"/>
  <c r="F954" i="3" s="1"/>
  <c r="E954" i="3" a="1"/>
  <c r="E954" i="3" s="1"/>
  <c r="D954" i="3" a="1"/>
  <c r="D954" i="3" s="1"/>
  <c r="C954" i="3" a="1"/>
  <c r="C954" i="3" s="1"/>
  <c r="A954" i="3" s="1"/>
  <c r="L953" i="3" a="1"/>
  <c r="L953" i="3" s="1"/>
  <c r="K953" i="3" a="1"/>
  <c r="K953" i="3" s="1"/>
  <c r="J953" i="3" a="1"/>
  <c r="J953" i="3" s="1"/>
  <c r="I953" i="3" a="1"/>
  <c r="I953" i="3" s="1"/>
  <c r="H953" i="3" a="1"/>
  <c r="H953" i="3" s="1"/>
  <c r="G953" i="3" a="1"/>
  <c r="G953" i="3" s="1"/>
  <c r="F953" i="3" a="1"/>
  <c r="F953" i="3" s="1"/>
  <c r="E953" i="3" a="1"/>
  <c r="E953" i="3" s="1"/>
  <c r="D953" i="3" a="1"/>
  <c r="D953" i="3" s="1"/>
  <c r="C953" i="3" a="1"/>
  <c r="C953" i="3" s="1"/>
  <c r="A953" i="3" s="1"/>
  <c r="L952" i="3" a="1"/>
  <c r="L952" i="3" s="1"/>
  <c r="K952" i="3" a="1"/>
  <c r="K952" i="3" s="1"/>
  <c r="J952" i="3" a="1"/>
  <c r="J952" i="3" s="1"/>
  <c r="I952" i="3" a="1"/>
  <c r="I952" i="3" s="1"/>
  <c r="H952" i="3" a="1"/>
  <c r="H952" i="3" s="1"/>
  <c r="G952" i="3" a="1"/>
  <c r="G952" i="3" s="1"/>
  <c r="F952" i="3" a="1"/>
  <c r="F952" i="3" s="1"/>
  <c r="E952" i="3" a="1"/>
  <c r="E952" i="3" s="1"/>
  <c r="D952" i="3" a="1"/>
  <c r="D952" i="3" s="1"/>
  <c r="C952" i="3" a="1"/>
  <c r="C952" i="3" s="1"/>
  <c r="A952" i="3" s="1"/>
  <c r="L951" i="3" a="1"/>
  <c r="L951" i="3" s="1"/>
  <c r="K951" i="3" a="1"/>
  <c r="K951" i="3" s="1"/>
  <c r="J951" i="3" a="1"/>
  <c r="J951" i="3" s="1"/>
  <c r="I951" i="3" a="1"/>
  <c r="I951" i="3" s="1"/>
  <c r="H951" i="3" a="1"/>
  <c r="H951" i="3" s="1"/>
  <c r="G951" i="3" a="1"/>
  <c r="G951" i="3" s="1"/>
  <c r="F951" i="3" a="1"/>
  <c r="F951" i="3" s="1"/>
  <c r="E951" i="3" a="1"/>
  <c r="E951" i="3" s="1"/>
  <c r="D951" i="3" a="1"/>
  <c r="D951" i="3" s="1"/>
  <c r="C951" i="3" a="1"/>
  <c r="C951" i="3" s="1"/>
  <c r="A951" i="3" s="1"/>
  <c r="L950" i="3" a="1"/>
  <c r="L950" i="3" s="1"/>
  <c r="K950" i="3" a="1"/>
  <c r="K950" i="3" s="1"/>
  <c r="J950" i="3" a="1"/>
  <c r="J950" i="3" s="1"/>
  <c r="I950" i="3" a="1"/>
  <c r="I950" i="3" s="1"/>
  <c r="H950" i="3" a="1"/>
  <c r="H950" i="3" s="1"/>
  <c r="G950" i="3" a="1"/>
  <c r="G950" i="3" s="1"/>
  <c r="F950" i="3" a="1"/>
  <c r="F950" i="3" s="1"/>
  <c r="E950" i="3" a="1"/>
  <c r="E950" i="3" s="1"/>
  <c r="D950" i="3" a="1"/>
  <c r="D950" i="3" s="1"/>
  <c r="C950" i="3" a="1"/>
  <c r="C950" i="3" s="1"/>
  <c r="A950" i="3" s="1"/>
  <c r="L949" i="3" a="1"/>
  <c r="L949" i="3" s="1"/>
  <c r="K949" i="3" a="1"/>
  <c r="K949" i="3" s="1"/>
  <c r="J949" i="3" a="1"/>
  <c r="J949" i="3" s="1"/>
  <c r="I949" i="3" a="1"/>
  <c r="I949" i="3" s="1"/>
  <c r="H949" i="3" a="1"/>
  <c r="H949" i="3" s="1"/>
  <c r="G949" i="3" a="1"/>
  <c r="G949" i="3" s="1"/>
  <c r="F949" i="3" a="1"/>
  <c r="F949" i="3" s="1"/>
  <c r="E949" i="3" a="1"/>
  <c r="E949" i="3" s="1"/>
  <c r="D949" i="3" a="1"/>
  <c r="D949" i="3" s="1"/>
  <c r="C949" i="3" a="1"/>
  <c r="C949" i="3" s="1"/>
  <c r="A949" i="3" s="1"/>
  <c r="L948" i="3" a="1"/>
  <c r="L948" i="3" s="1"/>
  <c r="K948" i="3" a="1"/>
  <c r="K948" i="3" s="1"/>
  <c r="J948" i="3" a="1"/>
  <c r="J948" i="3" s="1"/>
  <c r="I948" i="3" a="1"/>
  <c r="I948" i="3" s="1"/>
  <c r="H948" i="3" a="1"/>
  <c r="H948" i="3" s="1"/>
  <c r="G948" i="3" a="1"/>
  <c r="G948" i="3" s="1"/>
  <c r="F948" i="3" a="1"/>
  <c r="F948" i="3" s="1"/>
  <c r="E948" i="3" a="1"/>
  <c r="E948" i="3" s="1"/>
  <c r="D948" i="3" a="1"/>
  <c r="D948" i="3" s="1"/>
  <c r="C948" i="3" a="1"/>
  <c r="C948" i="3" s="1"/>
  <c r="A948" i="3" s="1"/>
  <c r="L947" i="3" a="1"/>
  <c r="L947" i="3" s="1"/>
  <c r="K947" i="3" a="1"/>
  <c r="K947" i="3" s="1"/>
  <c r="J947" i="3" a="1"/>
  <c r="J947" i="3" s="1"/>
  <c r="I947" i="3" a="1"/>
  <c r="I947" i="3" s="1"/>
  <c r="H947" i="3" a="1"/>
  <c r="H947" i="3" s="1"/>
  <c r="G947" i="3" a="1"/>
  <c r="G947" i="3" s="1"/>
  <c r="F947" i="3" a="1"/>
  <c r="F947" i="3" s="1"/>
  <c r="E947" i="3" a="1"/>
  <c r="E947" i="3" s="1"/>
  <c r="D947" i="3" a="1"/>
  <c r="D947" i="3" s="1"/>
  <c r="C947" i="3" a="1"/>
  <c r="C947" i="3" s="1"/>
  <c r="A947" i="3" s="1"/>
  <c r="L946" i="3" a="1"/>
  <c r="L946" i="3" s="1"/>
  <c r="K946" i="3" a="1"/>
  <c r="K946" i="3" s="1"/>
  <c r="J946" i="3" a="1"/>
  <c r="J946" i="3" s="1"/>
  <c r="I946" i="3" a="1"/>
  <c r="I946" i="3" s="1"/>
  <c r="H946" i="3" a="1"/>
  <c r="H946" i="3" s="1"/>
  <c r="G946" i="3" a="1"/>
  <c r="G946" i="3" s="1"/>
  <c r="F946" i="3" a="1"/>
  <c r="F946" i="3" s="1"/>
  <c r="E946" i="3" a="1"/>
  <c r="E946" i="3" s="1"/>
  <c r="D946" i="3" a="1"/>
  <c r="D946" i="3" s="1"/>
  <c r="C946" i="3" a="1"/>
  <c r="C946" i="3" s="1"/>
  <c r="A946" i="3" s="1"/>
  <c r="L945" i="3" a="1"/>
  <c r="L945" i="3" s="1"/>
  <c r="K945" i="3" a="1"/>
  <c r="K945" i="3" s="1"/>
  <c r="J945" i="3" a="1"/>
  <c r="J945" i="3" s="1"/>
  <c r="I945" i="3" a="1"/>
  <c r="I945" i="3" s="1"/>
  <c r="H945" i="3" a="1"/>
  <c r="H945" i="3" s="1"/>
  <c r="G945" i="3" a="1"/>
  <c r="G945" i="3" s="1"/>
  <c r="F945" i="3" a="1"/>
  <c r="F945" i="3" s="1"/>
  <c r="E945" i="3" a="1"/>
  <c r="E945" i="3" s="1"/>
  <c r="D945" i="3" a="1"/>
  <c r="D945" i="3" s="1"/>
  <c r="C945" i="3" a="1"/>
  <c r="C945" i="3" s="1"/>
  <c r="A945" i="3" s="1"/>
  <c r="L944" i="3" a="1"/>
  <c r="L944" i="3" s="1"/>
  <c r="K944" i="3" a="1"/>
  <c r="K944" i="3" s="1"/>
  <c r="J944" i="3" a="1"/>
  <c r="J944" i="3" s="1"/>
  <c r="I944" i="3" a="1"/>
  <c r="I944" i="3" s="1"/>
  <c r="H944" i="3" a="1"/>
  <c r="H944" i="3" s="1"/>
  <c r="G944" i="3" a="1"/>
  <c r="G944" i="3" s="1"/>
  <c r="F944" i="3" a="1"/>
  <c r="F944" i="3" s="1"/>
  <c r="E944" i="3" a="1"/>
  <c r="E944" i="3" s="1"/>
  <c r="D944" i="3" a="1"/>
  <c r="D944" i="3" s="1"/>
  <c r="C944" i="3" a="1"/>
  <c r="C944" i="3" s="1"/>
  <c r="A944" i="3" s="1"/>
  <c r="L943" i="3" a="1"/>
  <c r="L943" i="3" s="1"/>
  <c r="K943" i="3" a="1"/>
  <c r="K943" i="3" s="1"/>
  <c r="J943" i="3" a="1"/>
  <c r="J943" i="3" s="1"/>
  <c r="I943" i="3" a="1"/>
  <c r="I943" i="3" s="1"/>
  <c r="H943" i="3" a="1"/>
  <c r="H943" i="3" s="1"/>
  <c r="G943" i="3" a="1"/>
  <c r="G943" i="3" s="1"/>
  <c r="F943" i="3" a="1"/>
  <c r="F943" i="3" s="1"/>
  <c r="E943" i="3" a="1"/>
  <c r="E943" i="3" s="1"/>
  <c r="D943" i="3" a="1"/>
  <c r="D943" i="3" s="1"/>
  <c r="C943" i="3" a="1"/>
  <c r="C943" i="3" s="1"/>
  <c r="A943" i="3" s="1"/>
  <c r="L942" i="3" a="1"/>
  <c r="L942" i="3" s="1"/>
  <c r="K942" i="3" a="1"/>
  <c r="K942" i="3" s="1"/>
  <c r="J942" i="3" a="1"/>
  <c r="J942" i="3" s="1"/>
  <c r="I942" i="3" a="1"/>
  <c r="I942" i="3" s="1"/>
  <c r="H942" i="3" a="1"/>
  <c r="H942" i="3" s="1"/>
  <c r="G942" i="3" a="1"/>
  <c r="G942" i="3" s="1"/>
  <c r="F942" i="3" a="1"/>
  <c r="F942" i="3" s="1"/>
  <c r="E942" i="3" a="1"/>
  <c r="E942" i="3" s="1"/>
  <c r="D942" i="3" a="1"/>
  <c r="D942" i="3" s="1"/>
  <c r="C942" i="3" a="1"/>
  <c r="C942" i="3" s="1"/>
  <c r="A942" i="3" s="1"/>
  <c r="L941" i="3" a="1"/>
  <c r="L941" i="3" s="1"/>
  <c r="K941" i="3" a="1"/>
  <c r="K941" i="3" s="1"/>
  <c r="J941" i="3" a="1"/>
  <c r="J941" i="3" s="1"/>
  <c r="I941" i="3" a="1"/>
  <c r="I941" i="3" s="1"/>
  <c r="H941" i="3" a="1"/>
  <c r="H941" i="3" s="1"/>
  <c r="G941" i="3" a="1"/>
  <c r="G941" i="3" s="1"/>
  <c r="F941" i="3" a="1"/>
  <c r="F941" i="3" s="1"/>
  <c r="E941" i="3" a="1"/>
  <c r="E941" i="3" s="1"/>
  <c r="D941" i="3" a="1"/>
  <c r="D941" i="3" s="1"/>
  <c r="C941" i="3" a="1"/>
  <c r="C941" i="3" s="1"/>
  <c r="A941" i="3" s="1"/>
  <c r="L940" i="3" a="1"/>
  <c r="L940" i="3" s="1"/>
  <c r="K940" i="3" a="1"/>
  <c r="K940" i="3" s="1"/>
  <c r="J940" i="3" a="1"/>
  <c r="J940" i="3" s="1"/>
  <c r="I940" i="3" a="1"/>
  <c r="I940" i="3" s="1"/>
  <c r="H940" i="3" a="1"/>
  <c r="H940" i="3" s="1"/>
  <c r="G940" i="3" a="1"/>
  <c r="G940" i="3" s="1"/>
  <c r="F940" i="3" a="1"/>
  <c r="F940" i="3" s="1"/>
  <c r="E940" i="3" a="1"/>
  <c r="E940" i="3" s="1"/>
  <c r="D940" i="3" a="1"/>
  <c r="D940" i="3" s="1"/>
  <c r="C940" i="3" a="1"/>
  <c r="C940" i="3" s="1"/>
  <c r="A940" i="3" s="1"/>
  <c r="L939" i="3" a="1"/>
  <c r="L939" i="3" s="1"/>
  <c r="K939" i="3" a="1"/>
  <c r="K939" i="3" s="1"/>
  <c r="J939" i="3" a="1"/>
  <c r="J939" i="3" s="1"/>
  <c r="I939" i="3" a="1"/>
  <c r="I939" i="3" s="1"/>
  <c r="H939" i="3" a="1"/>
  <c r="H939" i="3" s="1"/>
  <c r="G939" i="3" a="1"/>
  <c r="G939" i="3" s="1"/>
  <c r="F939" i="3" a="1"/>
  <c r="F939" i="3" s="1"/>
  <c r="E939" i="3" a="1"/>
  <c r="E939" i="3" s="1"/>
  <c r="D939" i="3" a="1"/>
  <c r="D939" i="3" s="1"/>
  <c r="C939" i="3" a="1"/>
  <c r="C939" i="3" s="1"/>
  <c r="A939" i="3" s="1"/>
  <c r="L938" i="3" a="1"/>
  <c r="L938" i="3" s="1"/>
  <c r="K938" i="3" a="1"/>
  <c r="K938" i="3" s="1"/>
  <c r="J938" i="3" a="1"/>
  <c r="J938" i="3" s="1"/>
  <c r="I938" i="3" a="1"/>
  <c r="I938" i="3" s="1"/>
  <c r="H938" i="3" a="1"/>
  <c r="H938" i="3" s="1"/>
  <c r="G938" i="3" a="1"/>
  <c r="G938" i="3" s="1"/>
  <c r="F938" i="3" a="1"/>
  <c r="F938" i="3" s="1"/>
  <c r="E938" i="3" a="1"/>
  <c r="E938" i="3" s="1"/>
  <c r="D938" i="3" a="1"/>
  <c r="D938" i="3" s="1"/>
  <c r="C938" i="3" a="1"/>
  <c r="C938" i="3" s="1"/>
  <c r="A938" i="3" s="1"/>
  <c r="L937" i="3" a="1"/>
  <c r="L937" i="3" s="1"/>
  <c r="K937" i="3" a="1"/>
  <c r="K937" i="3" s="1"/>
  <c r="J937" i="3" a="1"/>
  <c r="J937" i="3" s="1"/>
  <c r="I937" i="3" a="1"/>
  <c r="I937" i="3" s="1"/>
  <c r="H937" i="3" a="1"/>
  <c r="H937" i="3" s="1"/>
  <c r="G937" i="3" a="1"/>
  <c r="G937" i="3" s="1"/>
  <c r="F937" i="3" a="1"/>
  <c r="F937" i="3" s="1"/>
  <c r="E937" i="3" a="1"/>
  <c r="E937" i="3" s="1"/>
  <c r="D937" i="3" a="1"/>
  <c r="D937" i="3" s="1"/>
  <c r="C937" i="3" a="1"/>
  <c r="C937" i="3" s="1"/>
  <c r="A937" i="3" s="1"/>
  <c r="L936" i="3" a="1"/>
  <c r="L936" i="3" s="1"/>
  <c r="K936" i="3" a="1"/>
  <c r="K936" i="3" s="1"/>
  <c r="J936" i="3" a="1"/>
  <c r="J936" i="3" s="1"/>
  <c r="I936" i="3" a="1"/>
  <c r="I936" i="3" s="1"/>
  <c r="H936" i="3" a="1"/>
  <c r="H936" i="3" s="1"/>
  <c r="G936" i="3" a="1"/>
  <c r="G936" i="3" s="1"/>
  <c r="F936" i="3" a="1"/>
  <c r="F936" i="3" s="1"/>
  <c r="E936" i="3" a="1"/>
  <c r="E936" i="3" s="1"/>
  <c r="D936" i="3" a="1"/>
  <c r="D936" i="3" s="1"/>
  <c r="C936" i="3" a="1"/>
  <c r="C936" i="3" s="1"/>
  <c r="A936" i="3" s="1"/>
  <c r="L935" i="3" a="1"/>
  <c r="L935" i="3" s="1"/>
  <c r="K935" i="3" a="1"/>
  <c r="K935" i="3" s="1"/>
  <c r="J935" i="3" a="1"/>
  <c r="J935" i="3" s="1"/>
  <c r="I935" i="3" a="1"/>
  <c r="I935" i="3" s="1"/>
  <c r="H935" i="3" a="1"/>
  <c r="H935" i="3" s="1"/>
  <c r="G935" i="3" a="1"/>
  <c r="G935" i="3" s="1"/>
  <c r="F935" i="3" a="1"/>
  <c r="F935" i="3" s="1"/>
  <c r="E935" i="3" a="1"/>
  <c r="E935" i="3" s="1"/>
  <c r="D935" i="3" a="1"/>
  <c r="D935" i="3" s="1"/>
  <c r="C935" i="3" a="1"/>
  <c r="C935" i="3" s="1"/>
  <c r="A935" i="3" s="1"/>
  <c r="L934" i="3" a="1"/>
  <c r="L934" i="3" s="1"/>
  <c r="K934" i="3" a="1"/>
  <c r="K934" i="3" s="1"/>
  <c r="J934" i="3" a="1"/>
  <c r="J934" i="3" s="1"/>
  <c r="I934" i="3" a="1"/>
  <c r="I934" i="3" s="1"/>
  <c r="H934" i="3" a="1"/>
  <c r="H934" i="3" s="1"/>
  <c r="G934" i="3" a="1"/>
  <c r="G934" i="3" s="1"/>
  <c r="F934" i="3" a="1"/>
  <c r="F934" i="3" s="1"/>
  <c r="E934" i="3" a="1"/>
  <c r="E934" i="3" s="1"/>
  <c r="D934" i="3" a="1"/>
  <c r="D934" i="3" s="1"/>
  <c r="C934" i="3" a="1"/>
  <c r="C934" i="3" s="1"/>
  <c r="A934" i="3" s="1"/>
  <c r="L933" i="3" a="1"/>
  <c r="L933" i="3" s="1"/>
  <c r="K933" i="3" a="1"/>
  <c r="K933" i="3" s="1"/>
  <c r="J933" i="3" a="1"/>
  <c r="J933" i="3" s="1"/>
  <c r="I933" i="3" a="1"/>
  <c r="I933" i="3" s="1"/>
  <c r="H933" i="3" a="1"/>
  <c r="H933" i="3" s="1"/>
  <c r="G933" i="3" a="1"/>
  <c r="G933" i="3" s="1"/>
  <c r="F933" i="3" a="1"/>
  <c r="F933" i="3" s="1"/>
  <c r="E933" i="3" a="1"/>
  <c r="E933" i="3" s="1"/>
  <c r="D933" i="3" a="1"/>
  <c r="D933" i="3" s="1"/>
  <c r="C933" i="3" a="1"/>
  <c r="C933" i="3" s="1"/>
  <c r="A933" i="3" s="1"/>
  <c r="L932" i="3" a="1"/>
  <c r="L932" i="3" s="1"/>
  <c r="K932" i="3" a="1"/>
  <c r="K932" i="3" s="1"/>
  <c r="J932" i="3" a="1"/>
  <c r="J932" i="3" s="1"/>
  <c r="I932" i="3" a="1"/>
  <c r="I932" i="3" s="1"/>
  <c r="H932" i="3" a="1"/>
  <c r="H932" i="3" s="1"/>
  <c r="G932" i="3" a="1"/>
  <c r="G932" i="3" s="1"/>
  <c r="F932" i="3" a="1"/>
  <c r="F932" i="3" s="1"/>
  <c r="E932" i="3" a="1"/>
  <c r="E932" i="3" s="1"/>
  <c r="D932" i="3" a="1"/>
  <c r="D932" i="3" s="1"/>
  <c r="C932" i="3" a="1"/>
  <c r="C932" i="3" s="1"/>
  <c r="A932" i="3" s="1"/>
  <c r="L931" i="3" a="1"/>
  <c r="L931" i="3" s="1"/>
  <c r="K931" i="3" a="1"/>
  <c r="K931" i="3" s="1"/>
  <c r="J931" i="3" a="1"/>
  <c r="J931" i="3" s="1"/>
  <c r="I931" i="3" a="1"/>
  <c r="I931" i="3" s="1"/>
  <c r="H931" i="3" a="1"/>
  <c r="H931" i="3" s="1"/>
  <c r="G931" i="3" a="1"/>
  <c r="G931" i="3" s="1"/>
  <c r="F931" i="3" a="1"/>
  <c r="F931" i="3" s="1"/>
  <c r="E931" i="3" a="1"/>
  <c r="E931" i="3" s="1"/>
  <c r="D931" i="3" a="1"/>
  <c r="D931" i="3" s="1"/>
  <c r="C931" i="3" a="1"/>
  <c r="C931" i="3" s="1"/>
  <c r="A931" i="3" s="1"/>
  <c r="L930" i="3" a="1"/>
  <c r="L930" i="3" s="1"/>
  <c r="K930" i="3" a="1"/>
  <c r="K930" i="3" s="1"/>
  <c r="J930" i="3" a="1"/>
  <c r="J930" i="3" s="1"/>
  <c r="I930" i="3" a="1"/>
  <c r="I930" i="3" s="1"/>
  <c r="H930" i="3" a="1"/>
  <c r="H930" i="3" s="1"/>
  <c r="G930" i="3" a="1"/>
  <c r="G930" i="3" s="1"/>
  <c r="F930" i="3" a="1"/>
  <c r="F930" i="3" s="1"/>
  <c r="E930" i="3" a="1"/>
  <c r="E930" i="3" s="1"/>
  <c r="D930" i="3" a="1"/>
  <c r="D930" i="3" s="1"/>
  <c r="C930" i="3" a="1"/>
  <c r="C930" i="3" s="1"/>
  <c r="A930" i="3" s="1"/>
  <c r="L929" i="3" a="1"/>
  <c r="L929" i="3" s="1"/>
  <c r="K929" i="3" a="1"/>
  <c r="K929" i="3" s="1"/>
  <c r="J929" i="3" a="1"/>
  <c r="J929" i="3" s="1"/>
  <c r="I929" i="3" a="1"/>
  <c r="I929" i="3" s="1"/>
  <c r="H929" i="3" a="1"/>
  <c r="H929" i="3" s="1"/>
  <c r="G929" i="3" a="1"/>
  <c r="G929" i="3" s="1"/>
  <c r="F929" i="3" a="1"/>
  <c r="F929" i="3" s="1"/>
  <c r="E929" i="3" a="1"/>
  <c r="E929" i="3" s="1"/>
  <c r="D929" i="3" a="1"/>
  <c r="D929" i="3" s="1"/>
  <c r="C929" i="3" a="1"/>
  <c r="C929" i="3" s="1"/>
  <c r="A929" i="3" s="1"/>
  <c r="L928" i="3" a="1"/>
  <c r="L928" i="3" s="1"/>
  <c r="K928" i="3" a="1"/>
  <c r="K928" i="3" s="1"/>
  <c r="J928" i="3" a="1"/>
  <c r="J928" i="3" s="1"/>
  <c r="I928" i="3" a="1"/>
  <c r="I928" i="3" s="1"/>
  <c r="H928" i="3" a="1"/>
  <c r="H928" i="3" s="1"/>
  <c r="G928" i="3" a="1"/>
  <c r="G928" i="3" s="1"/>
  <c r="F928" i="3" a="1"/>
  <c r="F928" i="3" s="1"/>
  <c r="E928" i="3" a="1"/>
  <c r="E928" i="3" s="1"/>
  <c r="D928" i="3" a="1"/>
  <c r="D928" i="3" s="1"/>
  <c r="C928" i="3" a="1"/>
  <c r="C928" i="3" s="1"/>
  <c r="A928" i="3" s="1"/>
  <c r="L927" i="3" a="1"/>
  <c r="L927" i="3" s="1"/>
  <c r="K927" i="3" a="1"/>
  <c r="K927" i="3" s="1"/>
  <c r="J927" i="3" a="1"/>
  <c r="J927" i="3" s="1"/>
  <c r="I927" i="3" a="1"/>
  <c r="I927" i="3" s="1"/>
  <c r="H927" i="3" a="1"/>
  <c r="H927" i="3" s="1"/>
  <c r="G927" i="3" a="1"/>
  <c r="G927" i="3" s="1"/>
  <c r="F927" i="3" a="1"/>
  <c r="F927" i="3" s="1"/>
  <c r="E927" i="3" a="1"/>
  <c r="E927" i="3" s="1"/>
  <c r="D927" i="3" a="1"/>
  <c r="D927" i="3" s="1"/>
  <c r="C927" i="3" a="1"/>
  <c r="C927" i="3" s="1"/>
  <c r="A927" i="3" s="1"/>
  <c r="L926" i="3" a="1"/>
  <c r="L926" i="3" s="1"/>
  <c r="K926" i="3" a="1"/>
  <c r="K926" i="3" s="1"/>
  <c r="J926" i="3" a="1"/>
  <c r="J926" i="3" s="1"/>
  <c r="I926" i="3" a="1"/>
  <c r="I926" i="3" s="1"/>
  <c r="H926" i="3" a="1"/>
  <c r="H926" i="3" s="1"/>
  <c r="G926" i="3" a="1"/>
  <c r="G926" i="3" s="1"/>
  <c r="F926" i="3" a="1"/>
  <c r="F926" i="3" s="1"/>
  <c r="E926" i="3" a="1"/>
  <c r="E926" i="3" s="1"/>
  <c r="D926" i="3" a="1"/>
  <c r="D926" i="3" s="1"/>
  <c r="C926" i="3" a="1"/>
  <c r="C926" i="3" s="1"/>
  <c r="A926" i="3" s="1"/>
  <c r="L925" i="3" a="1"/>
  <c r="L925" i="3" s="1"/>
  <c r="K925" i="3" a="1"/>
  <c r="K925" i="3" s="1"/>
  <c r="J925" i="3" a="1"/>
  <c r="J925" i="3" s="1"/>
  <c r="I925" i="3" a="1"/>
  <c r="I925" i="3" s="1"/>
  <c r="H925" i="3" a="1"/>
  <c r="H925" i="3" s="1"/>
  <c r="G925" i="3" a="1"/>
  <c r="G925" i="3" s="1"/>
  <c r="F925" i="3" a="1"/>
  <c r="F925" i="3" s="1"/>
  <c r="E925" i="3" a="1"/>
  <c r="E925" i="3" s="1"/>
  <c r="D925" i="3" a="1"/>
  <c r="D925" i="3" s="1"/>
  <c r="C925" i="3" a="1"/>
  <c r="C925" i="3" s="1"/>
  <c r="A925" i="3" s="1"/>
  <c r="L924" i="3" a="1"/>
  <c r="L924" i="3" s="1"/>
  <c r="K924" i="3" a="1"/>
  <c r="K924" i="3" s="1"/>
  <c r="J924" i="3" a="1"/>
  <c r="J924" i="3" s="1"/>
  <c r="I924" i="3" a="1"/>
  <c r="I924" i="3" s="1"/>
  <c r="H924" i="3" a="1"/>
  <c r="H924" i="3" s="1"/>
  <c r="G924" i="3" a="1"/>
  <c r="G924" i="3" s="1"/>
  <c r="F924" i="3" a="1"/>
  <c r="F924" i="3" s="1"/>
  <c r="E924" i="3" a="1"/>
  <c r="E924" i="3" s="1"/>
  <c r="D924" i="3" a="1"/>
  <c r="D924" i="3" s="1"/>
  <c r="C924" i="3" a="1"/>
  <c r="C924" i="3" s="1"/>
  <c r="A924" i="3" s="1"/>
  <c r="L923" i="3" a="1"/>
  <c r="L923" i="3" s="1"/>
  <c r="K923" i="3" a="1"/>
  <c r="K923" i="3" s="1"/>
  <c r="J923" i="3" a="1"/>
  <c r="J923" i="3" s="1"/>
  <c r="I923" i="3" a="1"/>
  <c r="I923" i="3" s="1"/>
  <c r="H923" i="3" a="1"/>
  <c r="H923" i="3" s="1"/>
  <c r="G923" i="3" a="1"/>
  <c r="G923" i="3" s="1"/>
  <c r="F923" i="3" a="1"/>
  <c r="F923" i="3" s="1"/>
  <c r="E923" i="3" a="1"/>
  <c r="E923" i="3" s="1"/>
  <c r="D923" i="3" a="1"/>
  <c r="D923" i="3" s="1"/>
  <c r="C923" i="3" a="1"/>
  <c r="C923" i="3" s="1"/>
  <c r="A923" i="3" s="1"/>
  <c r="L922" i="3" a="1"/>
  <c r="L922" i="3" s="1"/>
  <c r="K922" i="3" a="1"/>
  <c r="K922" i="3" s="1"/>
  <c r="J922" i="3" a="1"/>
  <c r="J922" i="3" s="1"/>
  <c r="I922" i="3" a="1"/>
  <c r="I922" i="3" s="1"/>
  <c r="H922" i="3" a="1"/>
  <c r="H922" i="3" s="1"/>
  <c r="G922" i="3" a="1"/>
  <c r="G922" i="3" s="1"/>
  <c r="F922" i="3" a="1"/>
  <c r="F922" i="3" s="1"/>
  <c r="E922" i="3" a="1"/>
  <c r="E922" i="3" s="1"/>
  <c r="D922" i="3" a="1"/>
  <c r="D922" i="3" s="1"/>
  <c r="C922" i="3" a="1"/>
  <c r="C922" i="3" s="1"/>
  <c r="A922" i="3" s="1"/>
  <c r="L921" i="3" a="1"/>
  <c r="L921" i="3" s="1"/>
  <c r="K921" i="3" a="1"/>
  <c r="K921" i="3" s="1"/>
  <c r="J921" i="3" a="1"/>
  <c r="J921" i="3" s="1"/>
  <c r="I921" i="3" a="1"/>
  <c r="I921" i="3" s="1"/>
  <c r="H921" i="3" a="1"/>
  <c r="H921" i="3" s="1"/>
  <c r="G921" i="3" a="1"/>
  <c r="G921" i="3" s="1"/>
  <c r="F921" i="3" a="1"/>
  <c r="F921" i="3" s="1"/>
  <c r="E921" i="3" a="1"/>
  <c r="E921" i="3" s="1"/>
  <c r="D921" i="3" a="1"/>
  <c r="D921" i="3" s="1"/>
  <c r="C921" i="3" a="1"/>
  <c r="C921" i="3" s="1"/>
  <c r="A921" i="3" s="1"/>
  <c r="L920" i="3" a="1"/>
  <c r="L920" i="3" s="1"/>
  <c r="K920" i="3" a="1"/>
  <c r="K920" i="3" s="1"/>
  <c r="J920" i="3" a="1"/>
  <c r="J920" i="3" s="1"/>
  <c r="I920" i="3" a="1"/>
  <c r="I920" i="3" s="1"/>
  <c r="H920" i="3" a="1"/>
  <c r="H920" i="3" s="1"/>
  <c r="G920" i="3" a="1"/>
  <c r="G920" i="3" s="1"/>
  <c r="F920" i="3" a="1"/>
  <c r="F920" i="3" s="1"/>
  <c r="E920" i="3" a="1"/>
  <c r="E920" i="3" s="1"/>
  <c r="D920" i="3" a="1"/>
  <c r="D920" i="3" s="1"/>
  <c r="C920" i="3" a="1"/>
  <c r="C920" i="3" s="1"/>
  <c r="A920" i="3" s="1"/>
  <c r="L919" i="3" a="1"/>
  <c r="L919" i="3" s="1"/>
  <c r="K919" i="3" a="1"/>
  <c r="K919" i="3" s="1"/>
  <c r="J919" i="3" a="1"/>
  <c r="J919" i="3" s="1"/>
  <c r="I919" i="3" a="1"/>
  <c r="I919" i="3" s="1"/>
  <c r="H919" i="3" a="1"/>
  <c r="H919" i="3" s="1"/>
  <c r="G919" i="3" a="1"/>
  <c r="G919" i="3" s="1"/>
  <c r="F919" i="3" a="1"/>
  <c r="F919" i="3" s="1"/>
  <c r="E919" i="3" a="1"/>
  <c r="E919" i="3" s="1"/>
  <c r="D919" i="3" a="1"/>
  <c r="D919" i="3" s="1"/>
  <c r="C919" i="3" a="1"/>
  <c r="C919" i="3" s="1"/>
  <c r="A919" i="3" s="1"/>
  <c r="L918" i="3" a="1"/>
  <c r="L918" i="3" s="1"/>
  <c r="K918" i="3" a="1"/>
  <c r="K918" i="3" s="1"/>
  <c r="J918" i="3" a="1"/>
  <c r="J918" i="3" s="1"/>
  <c r="I918" i="3" a="1"/>
  <c r="I918" i="3" s="1"/>
  <c r="H918" i="3" a="1"/>
  <c r="H918" i="3" s="1"/>
  <c r="G918" i="3" a="1"/>
  <c r="G918" i="3" s="1"/>
  <c r="F918" i="3" a="1"/>
  <c r="F918" i="3" s="1"/>
  <c r="E918" i="3" a="1"/>
  <c r="E918" i="3" s="1"/>
  <c r="D918" i="3" a="1"/>
  <c r="D918" i="3" s="1"/>
  <c r="C918" i="3" a="1"/>
  <c r="C918" i="3" s="1"/>
  <c r="A918" i="3" s="1"/>
  <c r="L917" i="3" a="1"/>
  <c r="L917" i="3" s="1"/>
  <c r="K917" i="3" a="1"/>
  <c r="K917" i="3" s="1"/>
  <c r="J917" i="3" a="1"/>
  <c r="J917" i="3" s="1"/>
  <c r="I917" i="3" a="1"/>
  <c r="I917" i="3" s="1"/>
  <c r="H917" i="3" a="1"/>
  <c r="H917" i="3" s="1"/>
  <c r="G917" i="3" a="1"/>
  <c r="G917" i="3" s="1"/>
  <c r="F917" i="3" a="1"/>
  <c r="F917" i="3" s="1"/>
  <c r="E917" i="3" a="1"/>
  <c r="E917" i="3" s="1"/>
  <c r="D917" i="3" a="1"/>
  <c r="D917" i="3" s="1"/>
  <c r="C917" i="3" a="1"/>
  <c r="C917" i="3" s="1"/>
  <c r="A917" i="3" s="1"/>
  <c r="L916" i="3" a="1"/>
  <c r="L916" i="3" s="1"/>
  <c r="K916" i="3" a="1"/>
  <c r="K916" i="3" s="1"/>
  <c r="J916" i="3" a="1"/>
  <c r="J916" i="3" s="1"/>
  <c r="I916" i="3" a="1"/>
  <c r="I916" i="3" s="1"/>
  <c r="H916" i="3" a="1"/>
  <c r="H916" i="3" s="1"/>
  <c r="G916" i="3" a="1"/>
  <c r="G916" i="3" s="1"/>
  <c r="F916" i="3" a="1"/>
  <c r="F916" i="3" s="1"/>
  <c r="E916" i="3" a="1"/>
  <c r="E916" i="3" s="1"/>
  <c r="D916" i="3" a="1"/>
  <c r="D916" i="3" s="1"/>
  <c r="C916" i="3" a="1"/>
  <c r="C916" i="3" s="1"/>
  <c r="A916" i="3" s="1"/>
  <c r="L915" i="3" a="1"/>
  <c r="L915" i="3" s="1"/>
  <c r="K915" i="3" a="1"/>
  <c r="K915" i="3" s="1"/>
  <c r="J915" i="3" a="1"/>
  <c r="J915" i="3" s="1"/>
  <c r="I915" i="3" a="1"/>
  <c r="I915" i="3" s="1"/>
  <c r="H915" i="3" a="1"/>
  <c r="H915" i="3" s="1"/>
  <c r="G915" i="3" a="1"/>
  <c r="G915" i="3" s="1"/>
  <c r="F915" i="3" a="1"/>
  <c r="F915" i="3" s="1"/>
  <c r="E915" i="3" a="1"/>
  <c r="E915" i="3" s="1"/>
  <c r="D915" i="3" a="1"/>
  <c r="D915" i="3" s="1"/>
  <c r="C915" i="3" a="1"/>
  <c r="C915" i="3" s="1"/>
  <c r="A915" i="3" s="1"/>
  <c r="L914" i="3" a="1"/>
  <c r="L914" i="3" s="1"/>
  <c r="K914" i="3" a="1"/>
  <c r="K914" i="3" s="1"/>
  <c r="J914" i="3" a="1"/>
  <c r="J914" i="3" s="1"/>
  <c r="I914" i="3" a="1"/>
  <c r="I914" i="3" s="1"/>
  <c r="H914" i="3" a="1"/>
  <c r="H914" i="3" s="1"/>
  <c r="G914" i="3" a="1"/>
  <c r="G914" i="3" s="1"/>
  <c r="F914" i="3" a="1"/>
  <c r="F914" i="3" s="1"/>
  <c r="E914" i="3" a="1"/>
  <c r="E914" i="3" s="1"/>
  <c r="D914" i="3" a="1"/>
  <c r="D914" i="3" s="1"/>
  <c r="C914" i="3" a="1"/>
  <c r="C914" i="3" s="1"/>
  <c r="A914" i="3" s="1"/>
  <c r="L913" i="3" a="1"/>
  <c r="L913" i="3" s="1"/>
  <c r="K913" i="3" a="1"/>
  <c r="K913" i="3" s="1"/>
  <c r="J913" i="3" a="1"/>
  <c r="J913" i="3" s="1"/>
  <c r="I913" i="3" a="1"/>
  <c r="I913" i="3" s="1"/>
  <c r="H913" i="3" a="1"/>
  <c r="H913" i="3" s="1"/>
  <c r="G913" i="3" a="1"/>
  <c r="G913" i="3" s="1"/>
  <c r="F913" i="3" a="1"/>
  <c r="F913" i="3" s="1"/>
  <c r="E913" i="3" a="1"/>
  <c r="E913" i="3" s="1"/>
  <c r="D913" i="3" a="1"/>
  <c r="D913" i="3" s="1"/>
  <c r="C913" i="3" a="1"/>
  <c r="C913" i="3" s="1"/>
  <c r="A913" i="3" s="1"/>
  <c r="L912" i="3" a="1"/>
  <c r="L912" i="3" s="1"/>
  <c r="K912" i="3" a="1"/>
  <c r="K912" i="3" s="1"/>
  <c r="J912" i="3" a="1"/>
  <c r="J912" i="3" s="1"/>
  <c r="I912" i="3" a="1"/>
  <c r="I912" i="3" s="1"/>
  <c r="H912" i="3" a="1"/>
  <c r="H912" i="3" s="1"/>
  <c r="G912" i="3" a="1"/>
  <c r="G912" i="3" s="1"/>
  <c r="F912" i="3" a="1"/>
  <c r="F912" i="3" s="1"/>
  <c r="E912" i="3" a="1"/>
  <c r="E912" i="3" s="1"/>
  <c r="D912" i="3" a="1"/>
  <c r="D912" i="3" s="1"/>
  <c r="C912" i="3" a="1"/>
  <c r="C912" i="3" s="1"/>
  <c r="A912" i="3" s="1"/>
  <c r="L911" i="3" a="1"/>
  <c r="L911" i="3" s="1"/>
  <c r="K911" i="3" a="1"/>
  <c r="K911" i="3" s="1"/>
  <c r="J911" i="3" a="1"/>
  <c r="J911" i="3" s="1"/>
  <c r="I911" i="3" a="1"/>
  <c r="I911" i="3" s="1"/>
  <c r="H911" i="3" a="1"/>
  <c r="H911" i="3" s="1"/>
  <c r="G911" i="3" a="1"/>
  <c r="G911" i="3" s="1"/>
  <c r="F911" i="3" a="1"/>
  <c r="F911" i="3" s="1"/>
  <c r="E911" i="3" a="1"/>
  <c r="E911" i="3" s="1"/>
  <c r="D911" i="3" a="1"/>
  <c r="D911" i="3" s="1"/>
  <c r="C911" i="3" a="1"/>
  <c r="C911" i="3" s="1"/>
  <c r="A911" i="3" s="1"/>
  <c r="L910" i="3" a="1"/>
  <c r="L910" i="3" s="1"/>
  <c r="K910" i="3" a="1"/>
  <c r="K910" i="3" s="1"/>
  <c r="J910" i="3" a="1"/>
  <c r="J910" i="3" s="1"/>
  <c r="I910" i="3" a="1"/>
  <c r="I910" i="3" s="1"/>
  <c r="H910" i="3" a="1"/>
  <c r="H910" i="3" s="1"/>
  <c r="G910" i="3" a="1"/>
  <c r="G910" i="3" s="1"/>
  <c r="F910" i="3" a="1"/>
  <c r="F910" i="3" s="1"/>
  <c r="E910" i="3" a="1"/>
  <c r="E910" i="3" s="1"/>
  <c r="D910" i="3" a="1"/>
  <c r="D910" i="3" s="1"/>
  <c r="C910" i="3" a="1"/>
  <c r="C910" i="3" s="1"/>
  <c r="A910" i="3" s="1"/>
  <c r="L909" i="3" a="1"/>
  <c r="L909" i="3" s="1"/>
  <c r="K909" i="3" a="1"/>
  <c r="K909" i="3" s="1"/>
  <c r="J909" i="3" a="1"/>
  <c r="J909" i="3" s="1"/>
  <c r="I909" i="3" a="1"/>
  <c r="I909" i="3" s="1"/>
  <c r="H909" i="3" a="1"/>
  <c r="H909" i="3" s="1"/>
  <c r="G909" i="3" a="1"/>
  <c r="G909" i="3" s="1"/>
  <c r="F909" i="3" a="1"/>
  <c r="F909" i="3" s="1"/>
  <c r="E909" i="3" a="1"/>
  <c r="E909" i="3" s="1"/>
  <c r="D909" i="3" a="1"/>
  <c r="D909" i="3" s="1"/>
  <c r="C909" i="3" a="1"/>
  <c r="C909" i="3" s="1"/>
  <c r="A909" i="3" s="1"/>
  <c r="L908" i="3" a="1"/>
  <c r="L908" i="3" s="1"/>
  <c r="K908" i="3" a="1"/>
  <c r="K908" i="3" s="1"/>
  <c r="J908" i="3" a="1"/>
  <c r="J908" i="3" s="1"/>
  <c r="I908" i="3" a="1"/>
  <c r="I908" i="3" s="1"/>
  <c r="H908" i="3" a="1"/>
  <c r="H908" i="3" s="1"/>
  <c r="G908" i="3" a="1"/>
  <c r="G908" i="3" s="1"/>
  <c r="F908" i="3" a="1"/>
  <c r="F908" i="3" s="1"/>
  <c r="E908" i="3" a="1"/>
  <c r="E908" i="3" s="1"/>
  <c r="D908" i="3" a="1"/>
  <c r="D908" i="3" s="1"/>
  <c r="C908" i="3" a="1"/>
  <c r="C908" i="3" s="1"/>
  <c r="A908" i="3" s="1"/>
  <c r="L907" i="3" a="1"/>
  <c r="L907" i="3" s="1"/>
  <c r="K907" i="3" a="1"/>
  <c r="K907" i="3" s="1"/>
  <c r="J907" i="3" a="1"/>
  <c r="J907" i="3" s="1"/>
  <c r="I907" i="3" a="1"/>
  <c r="I907" i="3" s="1"/>
  <c r="H907" i="3" a="1"/>
  <c r="H907" i="3" s="1"/>
  <c r="G907" i="3" a="1"/>
  <c r="G907" i="3" s="1"/>
  <c r="F907" i="3" a="1"/>
  <c r="F907" i="3" s="1"/>
  <c r="E907" i="3" a="1"/>
  <c r="E907" i="3" s="1"/>
  <c r="D907" i="3" a="1"/>
  <c r="D907" i="3" s="1"/>
  <c r="C907" i="3" a="1"/>
  <c r="C907" i="3" s="1"/>
  <c r="A907" i="3" s="1"/>
  <c r="L906" i="3" a="1"/>
  <c r="L906" i="3" s="1"/>
  <c r="K906" i="3" a="1"/>
  <c r="K906" i="3" s="1"/>
  <c r="J906" i="3" a="1"/>
  <c r="J906" i="3" s="1"/>
  <c r="I906" i="3" a="1"/>
  <c r="I906" i="3" s="1"/>
  <c r="H906" i="3" a="1"/>
  <c r="H906" i="3" s="1"/>
  <c r="G906" i="3" a="1"/>
  <c r="G906" i="3" s="1"/>
  <c r="F906" i="3" a="1"/>
  <c r="F906" i="3" s="1"/>
  <c r="E906" i="3" a="1"/>
  <c r="E906" i="3" s="1"/>
  <c r="D906" i="3" a="1"/>
  <c r="D906" i="3" s="1"/>
  <c r="C906" i="3" a="1"/>
  <c r="C906" i="3" s="1"/>
  <c r="A906" i="3" s="1"/>
  <c r="L905" i="3" a="1"/>
  <c r="L905" i="3" s="1"/>
  <c r="K905" i="3" a="1"/>
  <c r="K905" i="3" s="1"/>
  <c r="J905" i="3" a="1"/>
  <c r="J905" i="3" s="1"/>
  <c r="I905" i="3" a="1"/>
  <c r="I905" i="3" s="1"/>
  <c r="H905" i="3" a="1"/>
  <c r="H905" i="3" s="1"/>
  <c r="G905" i="3" a="1"/>
  <c r="G905" i="3" s="1"/>
  <c r="F905" i="3" a="1"/>
  <c r="F905" i="3" s="1"/>
  <c r="E905" i="3" a="1"/>
  <c r="E905" i="3" s="1"/>
  <c r="D905" i="3" a="1"/>
  <c r="D905" i="3" s="1"/>
  <c r="C905" i="3" a="1"/>
  <c r="C905" i="3" s="1"/>
  <c r="A905" i="3" s="1"/>
  <c r="L904" i="3" a="1"/>
  <c r="L904" i="3" s="1"/>
  <c r="K904" i="3" a="1"/>
  <c r="K904" i="3" s="1"/>
  <c r="J904" i="3" a="1"/>
  <c r="J904" i="3" s="1"/>
  <c r="I904" i="3" a="1"/>
  <c r="I904" i="3" s="1"/>
  <c r="H904" i="3" a="1"/>
  <c r="H904" i="3" s="1"/>
  <c r="G904" i="3" a="1"/>
  <c r="G904" i="3" s="1"/>
  <c r="F904" i="3" a="1"/>
  <c r="F904" i="3" s="1"/>
  <c r="E904" i="3" a="1"/>
  <c r="E904" i="3" s="1"/>
  <c r="D904" i="3" a="1"/>
  <c r="D904" i="3" s="1"/>
  <c r="C904" i="3" a="1"/>
  <c r="C904" i="3" s="1"/>
  <c r="A904" i="3" s="1"/>
  <c r="L903" i="3" a="1"/>
  <c r="L903" i="3" s="1"/>
  <c r="K903" i="3" a="1"/>
  <c r="K903" i="3" s="1"/>
  <c r="J903" i="3" a="1"/>
  <c r="J903" i="3" s="1"/>
  <c r="I903" i="3" a="1"/>
  <c r="I903" i="3" s="1"/>
  <c r="H903" i="3" a="1"/>
  <c r="H903" i="3" s="1"/>
  <c r="G903" i="3" a="1"/>
  <c r="G903" i="3" s="1"/>
  <c r="F903" i="3" a="1"/>
  <c r="F903" i="3" s="1"/>
  <c r="E903" i="3" a="1"/>
  <c r="E903" i="3" s="1"/>
  <c r="D903" i="3" a="1"/>
  <c r="D903" i="3" s="1"/>
  <c r="C903" i="3" a="1"/>
  <c r="C903" i="3" s="1"/>
  <c r="A903" i="3" s="1"/>
  <c r="L902" i="3" a="1"/>
  <c r="L902" i="3" s="1"/>
  <c r="K902" i="3" a="1"/>
  <c r="K902" i="3" s="1"/>
  <c r="J902" i="3" a="1"/>
  <c r="J902" i="3" s="1"/>
  <c r="I902" i="3" a="1"/>
  <c r="I902" i="3" s="1"/>
  <c r="H902" i="3" a="1"/>
  <c r="H902" i="3" s="1"/>
  <c r="G902" i="3" a="1"/>
  <c r="G902" i="3" s="1"/>
  <c r="F902" i="3" a="1"/>
  <c r="F902" i="3" s="1"/>
  <c r="E902" i="3" a="1"/>
  <c r="E902" i="3" s="1"/>
  <c r="D902" i="3" a="1"/>
  <c r="D902" i="3" s="1"/>
  <c r="C902" i="3" a="1"/>
  <c r="C902" i="3" s="1"/>
  <c r="A902" i="3" s="1"/>
  <c r="L901" i="3" a="1"/>
  <c r="L901" i="3" s="1"/>
  <c r="K901" i="3" a="1"/>
  <c r="K901" i="3" s="1"/>
  <c r="J901" i="3" a="1"/>
  <c r="J901" i="3" s="1"/>
  <c r="I901" i="3" a="1"/>
  <c r="I901" i="3" s="1"/>
  <c r="H901" i="3" a="1"/>
  <c r="H901" i="3" s="1"/>
  <c r="G901" i="3" a="1"/>
  <c r="G901" i="3" s="1"/>
  <c r="F901" i="3" a="1"/>
  <c r="F901" i="3" s="1"/>
  <c r="E901" i="3" a="1"/>
  <c r="E901" i="3" s="1"/>
  <c r="D901" i="3" a="1"/>
  <c r="D901" i="3" s="1"/>
  <c r="C901" i="3" a="1"/>
  <c r="C901" i="3" s="1"/>
  <c r="A901" i="3" s="1"/>
  <c r="L900" i="3" a="1"/>
  <c r="L900" i="3" s="1"/>
  <c r="K900" i="3" a="1"/>
  <c r="K900" i="3" s="1"/>
  <c r="J900" i="3" a="1"/>
  <c r="J900" i="3" s="1"/>
  <c r="I900" i="3" a="1"/>
  <c r="I900" i="3" s="1"/>
  <c r="H900" i="3" a="1"/>
  <c r="H900" i="3" s="1"/>
  <c r="G900" i="3" a="1"/>
  <c r="G900" i="3" s="1"/>
  <c r="F900" i="3" a="1"/>
  <c r="F900" i="3" s="1"/>
  <c r="E900" i="3" a="1"/>
  <c r="E900" i="3" s="1"/>
  <c r="D900" i="3" a="1"/>
  <c r="D900" i="3" s="1"/>
  <c r="C900" i="3" a="1"/>
  <c r="C900" i="3" s="1"/>
  <c r="A900" i="3" s="1"/>
  <c r="L899" i="3" a="1"/>
  <c r="L899" i="3" s="1"/>
  <c r="K899" i="3" a="1"/>
  <c r="K899" i="3" s="1"/>
  <c r="J899" i="3" a="1"/>
  <c r="J899" i="3" s="1"/>
  <c r="I899" i="3" a="1"/>
  <c r="I899" i="3" s="1"/>
  <c r="H899" i="3" a="1"/>
  <c r="H899" i="3" s="1"/>
  <c r="G899" i="3" a="1"/>
  <c r="G899" i="3" s="1"/>
  <c r="F899" i="3" a="1"/>
  <c r="F899" i="3" s="1"/>
  <c r="E899" i="3" a="1"/>
  <c r="E899" i="3" s="1"/>
  <c r="D899" i="3" a="1"/>
  <c r="D899" i="3" s="1"/>
  <c r="C899" i="3" a="1"/>
  <c r="C899" i="3" s="1"/>
  <c r="A899" i="3" s="1"/>
  <c r="L898" i="3" a="1"/>
  <c r="L898" i="3" s="1"/>
  <c r="K898" i="3" a="1"/>
  <c r="K898" i="3" s="1"/>
  <c r="J898" i="3" a="1"/>
  <c r="J898" i="3" s="1"/>
  <c r="I898" i="3" a="1"/>
  <c r="I898" i="3" s="1"/>
  <c r="H898" i="3" a="1"/>
  <c r="H898" i="3" s="1"/>
  <c r="G898" i="3" a="1"/>
  <c r="G898" i="3" s="1"/>
  <c r="F898" i="3" a="1"/>
  <c r="F898" i="3" s="1"/>
  <c r="E898" i="3" a="1"/>
  <c r="E898" i="3" s="1"/>
  <c r="D898" i="3" a="1"/>
  <c r="D898" i="3" s="1"/>
  <c r="C898" i="3" a="1"/>
  <c r="C898" i="3" s="1"/>
  <c r="A898" i="3" s="1"/>
  <c r="L897" i="3" a="1"/>
  <c r="L897" i="3" s="1"/>
  <c r="K897" i="3" a="1"/>
  <c r="K897" i="3" s="1"/>
  <c r="J897" i="3" a="1"/>
  <c r="J897" i="3" s="1"/>
  <c r="I897" i="3" a="1"/>
  <c r="I897" i="3" s="1"/>
  <c r="H897" i="3" a="1"/>
  <c r="H897" i="3" s="1"/>
  <c r="G897" i="3" a="1"/>
  <c r="G897" i="3" s="1"/>
  <c r="F897" i="3" a="1"/>
  <c r="F897" i="3" s="1"/>
  <c r="E897" i="3" a="1"/>
  <c r="E897" i="3" s="1"/>
  <c r="D897" i="3" a="1"/>
  <c r="D897" i="3" s="1"/>
  <c r="C897" i="3" a="1"/>
  <c r="C897" i="3" s="1"/>
  <c r="A897" i="3" s="1"/>
  <c r="L896" i="3" a="1"/>
  <c r="L896" i="3" s="1"/>
  <c r="K896" i="3" a="1"/>
  <c r="K896" i="3" s="1"/>
  <c r="J896" i="3" a="1"/>
  <c r="J896" i="3" s="1"/>
  <c r="I896" i="3" a="1"/>
  <c r="I896" i="3" s="1"/>
  <c r="H896" i="3" a="1"/>
  <c r="H896" i="3" s="1"/>
  <c r="G896" i="3" a="1"/>
  <c r="G896" i="3" s="1"/>
  <c r="F896" i="3" a="1"/>
  <c r="F896" i="3" s="1"/>
  <c r="E896" i="3" a="1"/>
  <c r="E896" i="3" s="1"/>
  <c r="D896" i="3" a="1"/>
  <c r="D896" i="3" s="1"/>
  <c r="C896" i="3" a="1"/>
  <c r="C896" i="3" s="1"/>
  <c r="A896" i="3" s="1"/>
  <c r="L895" i="3" a="1"/>
  <c r="L895" i="3" s="1"/>
  <c r="K895" i="3" a="1"/>
  <c r="K895" i="3" s="1"/>
  <c r="J895" i="3" a="1"/>
  <c r="J895" i="3" s="1"/>
  <c r="I895" i="3" a="1"/>
  <c r="I895" i="3" s="1"/>
  <c r="H895" i="3" a="1"/>
  <c r="H895" i="3" s="1"/>
  <c r="G895" i="3" a="1"/>
  <c r="G895" i="3" s="1"/>
  <c r="F895" i="3" a="1"/>
  <c r="F895" i="3" s="1"/>
  <c r="E895" i="3" a="1"/>
  <c r="E895" i="3" s="1"/>
  <c r="D895" i="3" a="1"/>
  <c r="D895" i="3" s="1"/>
  <c r="C895" i="3" a="1"/>
  <c r="C895" i="3" s="1"/>
  <c r="A895" i="3" s="1"/>
  <c r="L894" i="3" a="1"/>
  <c r="L894" i="3" s="1"/>
  <c r="K894" i="3" a="1"/>
  <c r="K894" i="3" s="1"/>
  <c r="J894" i="3" a="1"/>
  <c r="J894" i="3" s="1"/>
  <c r="I894" i="3" a="1"/>
  <c r="I894" i="3" s="1"/>
  <c r="H894" i="3" a="1"/>
  <c r="H894" i="3" s="1"/>
  <c r="G894" i="3" a="1"/>
  <c r="G894" i="3" s="1"/>
  <c r="F894" i="3" a="1"/>
  <c r="F894" i="3" s="1"/>
  <c r="E894" i="3" a="1"/>
  <c r="E894" i="3" s="1"/>
  <c r="D894" i="3" a="1"/>
  <c r="D894" i="3" s="1"/>
  <c r="C894" i="3" a="1"/>
  <c r="C894" i="3" s="1"/>
  <c r="A894" i="3" s="1"/>
  <c r="L893" i="3" a="1"/>
  <c r="L893" i="3" s="1"/>
  <c r="K893" i="3" a="1"/>
  <c r="K893" i="3" s="1"/>
  <c r="J893" i="3" a="1"/>
  <c r="J893" i="3" s="1"/>
  <c r="I893" i="3" a="1"/>
  <c r="I893" i="3" s="1"/>
  <c r="H893" i="3" a="1"/>
  <c r="H893" i="3" s="1"/>
  <c r="G893" i="3" a="1"/>
  <c r="G893" i="3" s="1"/>
  <c r="F893" i="3" a="1"/>
  <c r="F893" i="3" s="1"/>
  <c r="E893" i="3" a="1"/>
  <c r="E893" i="3" s="1"/>
  <c r="D893" i="3" a="1"/>
  <c r="D893" i="3" s="1"/>
  <c r="C893" i="3" a="1"/>
  <c r="C893" i="3" s="1"/>
  <c r="A893" i="3" s="1"/>
  <c r="L892" i="3" a="1"/>
  <c r="L892" i="3" s="1"/>
  <c r="K892" i="3" a="1"/>
  <c r="K892" i="3" s="1"/>
  <c r="J892" i="3" a="1"/>
  <c r="J892" i="3" s="1"/>
  <c r="I892" i="3" a="1"/>
  <c r="I892" i="3" s="1"/>
  <c r="H892" i="3" a="1"/>
  <c r="H892" i="3" s="1"/>
  <c r="G892" i="3" a="1"/>
  <c r="G892" i="3" s="1"/>
  <c r="F892" i="3" a="1"/>
  <c r="F892" i="3" s="1"/>
  <c r="E892" i="3" a="1"/>
  <c r="E892" i="3" s="1"/>
  <c r="D892" i="3" a="1"/>
  <c r="D892" i="3" s="1"/>
  <c r="C892" i="3" a="1"/>
  <c r="C892" i="3" s="1"/>
  <c r="A892" i="3" s="1"/>
  <c r="L891" i="3" a="1"/>
  <c r="L891" i="3" s="1"/>
  <c r="K891" i="3" a="1"/>
  <c r="K891" i="3" s="1"/>
  <c r="J891" i="3" a="1"/>
  <c r="J891" i="3" s="1"/>
  <c r="I891" i="3" a="1"/>
  <c r="I891" i="3" s="1"/>
  <c r="H891" i="3" a="1"/>
  <c r="H891" i="3" s="1"/>
  <c r="G891" i="3" a="1"/>
  <c r="G891" i="3" s="1"/>
  <c r="F891" i="3" a="1"/>
  <c r="F891" i="3" s="1"/>
  <c r="E891" i="3" a="1"/>
  <c r="E891" i="3" s="1"/>
  <c r="D891" i="3" a="1"/>
  <c r="D891" i="3" s="1"/>
  <c r="C891" i="3" a="1"/>
  <c r="C891" i="3" s="1"/>
  <c r="A891" i="3" s="1"/>
  <c r="L890" i="3" a="1"/>
  <c r="L890" i="3" s="1"/>
  <c r="K890" i="3" a="1"/>
  <c r="K890" i="3" s="1"/>
  <c r="J890" i="3" a="1"/>
  <c r="J890" i="3" s="1"/>
  <c r="I890" i="3" a="1"/>
  <c r="I890" i="3" s="1"/>
  <c r="H890" i="3" a="1"/>
  <c r="H890" i="3" s="1"/>
  <c r="G890" i="3" a="1"/>
  <c r="G890" i="3" s="1"/>
  <c r="F890" i="3" a="1"/>
  <c r="F890" i="3" s="1"/>
  <c r="E890" i="3" a="1"/>
  <c r="E890" i="3" s="1"/>
  <c r="D890" i="3" a="1"/>
  <c r="D890" i="3" s="1"/>
  <c r="C890" i="3" a="1"/>
  <c r="C890" i="3" s="1"/>
  <c r="A890" i="3" s="1"/>
  <c r="L889" i="3" a="1"/>
  <c r="L889" i="3" s="1"/>
  <c r="K889" i="3" a="1"/>
  <c r="K889" i="3" s="1"/>
  <c r="J889" i="3" a="1"/>
  <c r="J889" i="3" s="1"/>
  <c r="I889" i="3" a="1"/>
  <c r="I889" i="3" s="1"/>
  <c r="H889" i="3" a="1"/>
  <c r="H889" i="3" s="1"/>
  <c r="G889" i="3" a="1"/>
  <c r="G889" i="3" s="1"/>
  <c r="F889" i="3" a="1"/>
  <c r="F889" i="3" s="1"/>
  <c r="E889" i="3" a="1"/>
  <c r="E889" i="3" s="1"/>
  <c r="D889" i="3" a="1"/>
  <c r="D889" i="3" s="1"/>
  <c r="C889" i="3" a="1"/>
  <c r="C889" i="3" s="1"/>
  <c r="A889" i="3" s="1"/>
  <c r="L888" i="3" a="1"/>
  <c r="L888" i="3" s="1"/>
  <c r="K888" i="3" a="1"/>
  <c r="K888" i="3" s="1"/>
  <c r="J888" i="3" a="1"/>
  <c r="J888" i="3" s="1"/>
  <c r="I888" i="3" a="1"/>
  <c r="I888" i="3" s="1"/>
  <c r="H888" i="3" a="1"/>
  <c r="H888" i="3" s="1"/>
  <c r="G888" i="3" a="1"/>
  <c r="G888" i="3" s="1"/>
  <c r="F888" i="3" a="1"/>
  <c r="F888" i="3" s="1"/>
  <c r="E888" i="3" a="1"/>
  <c r="E888" i="3" s="1"/>
  <c r="D888" i="3" a="1"/>
  <c r="D888" i="3" s="1"/>
  <c r="C888" i="3" a="1"/>
  <c r="C888" i="3" s="1"/>
  <c r="A888" i="3" s="1"/>
  <c r="L887" i="3" a="1"/>
  <c r="L887" i="3" s="1"/>
  <c r="K887" i="3" a="1"/>
  <c r="K887" i="3" s="1"/>
  <c r="J887" i="3" a="1"/>
  <c r="J887" i="3" s="1"/>
  <c r="I887" i="3" a="1"/>
  <c r="I887" i="3" s="1"/>
  <c r="H887" i="3" a="1"/>
  <c r="H887" i="3" s="1"/>
  <c r="G887" i="3" a="1"/>
  <c r="G887" i="3" s="1"/>
  <c r="F887" i="3" a="1"/>
  <c r="F887" i="3" s="1"/>
  <c r="E887" i="3" a="1"/>
  <c r="E887" i="3" s="1"/>
  <c r="D887" i="3" a="1"/>
  <c r="D887" i="3" s="1"/>
  <c r="C887" i="3" a="1"/>
  <c r="C887" i="3" s="1"/>
  <c r="A887" i="3" s="1"/>
  <c r="L886" i="3" a="1"/>
  <c r="L886" i="3" s="1"/>
  <c r="K886" i="3" a="1"/>
  <c r="K886" i="3" s="1"/>
  <c r="J886" i="3" a="1"/>
  <c r="J886" i="3" s="1"/>
  <c r="I886" i="3" a="1"/>
  <c r="I886" i="3" s="1"/>
  <c r="H886" i="3" a="1"/>
  <c r="H886" i="3" s="1"/>
  <c r="G886" i="3" a="1"/>
  <c r="G886" i="3" s="1"/>
  <c r="F886" i="3" a="1"/>
  <c r="F886" i="3" s="1"/>
  <c r="E886" i="3" a="1"/>
  <c r="E886" i="3" s="1"/>
  <c r="D886" i="3" a="1"/>
  <c r="D886" i="3" s="1"/>
  <c r="C886" i="3" a="1"/>
  <c r="C886" i="3" s="1"/>
  <c r="A886" i="3" s="1"/>
  <c r="L885" i="3" a="1"/>
  <c r="L885" i="3" s="1"/>
  <c r="K885" i="3" a="1"/>
  <c r="K885" i="3" s="1"/>
  <c r="J885" i="3" a="1"/>
  <c r="J885" i="3" s="1"/>
  <c r="I885" i="3" a="1"/>
  <c r="I885" i="3" s="1"/>
  <c r="H885" i="3" a="1"/>
  <c r="H885" i="3" s="1"/>
  <c r="G885" i="3" a="1"/>
  <c r="G885" i="3" s="1"/>
  <c r="F885" i="3" a="1"/>
  <c r="F885" i="3" s="1"/>
  <c r="E885" i="3" a="1"/>
  <c r="E885" i="3" s="1"/>
  <c r="D885" i="3" a="1"/>
  <c r="D885" i="3" s="1"/>
  <c r="C885" i="3" a="1"/>
  <c r="C885" i="3" s="1"/>
  <c r="A885" i="3" s="1"/>
  <c r="L884" i="3" a="1"/>
  <c r="L884" i="3" s="1"/>
  <c r="K884" i="3" a="1"/>
  <c r="K884" i="3" s="1"/>
  <c r="J884" i="3" a="1"/>
  <c r="J884" i="3" s="1"/>
  <c r="I884" i="3" a="1"/>
  <c r="I884" i="3" s="1"/>
  <c r="H884" i="3" a="1"/>
  <c r="H884" i="3" s="1"/>
  <c r="G884" i="3" a="1"/>
  <c r="G884" i="3" s="1"/>
  <c r="F884" i="3" a="1"/>
  <c r="F884" i="3" s="1"/>
  <c r="E884" i="3" a="1"/>
  <c r="E884" i="3" s="1"/>
  <c r="D884" i="3" a="1"/>
  <c r="D884" i="3" s="1"/>
  <c r="C884" i="3" a="1"/>
  <c r="C884" i="3" s="1"/>
  <c r="A884" i="3" s="1"/>
  <c r="L883" i="3" a="1"/>
  <c r="L883" i="3" s="1"/>
  <c r="K883" i="3" a="1"/>
  <c r="K883" i="3" s="1"/>
  <c r="J883" i="3" a="1"/>
  <c r="J883" i="3" s="1"/>
  <c r="I883" i="3" a="1"/>
  <c r="I883" i="3" s="1"/>
  <c r="H883" i="3" a="1"/>
  <c r="H883" i="3" s="1"/>
  <c r="G883" i="3" a="1"/>
  <c r="G883" i="3" s="1"/>
  <c r="F883" i="3" a="1"/>
  <c r="F883" i="3" s="1"/>
  <c r="E883" i="3" a="1"/>
  <c r="E883" i="3" s="1"/>
  <c r="D883" i="3" a="1"/>
  <c r="D883" i="3" s="1"/>
  <c r="C883" i="3" a="1"/>
  <c r="C883" i="3" s="1"/>
  <c r="A883" i="3" s="1"/>
  <c r="L882" i="3" a="1"/>
  <c r="L882" i="3" s="1"/>
  <c r="K882" i="3" a="1"/>
  <c r="K882" i="3" s="1"/>
  <c r="J882" i="3" a="1"/>
  <c r="J882" i="3" s="1"/>
  <c r="I882" i="3" a="1"/>
  <c r="I882" i="3" s="1"/>
  <c r="H882" i="3" a="1"/>
  <c r="H882" i="3" s="1"/>
  <c r="G882" i="3" a="1"/>
  <c r="G882" i="3" s="1"/>
  <c r="F882" i="3" a="1"/>
  <c r="F882" i="3" s="1"/>
  <c r="E882" i="3" a="1"/>
  <c r="E882" i="3" s="1"/>
  <c r="D882" i="3" a="1"/>
  <c r="D882" i="3" s="1"/>
  <c r="C882" i="3" a="1"/>
  <c r="C882" i="3" s="1"/>
  <c r="A882" i="3" s="1"/>
  <c r="L881" i="3" a="1"/>
  <c r="L881" i="3" s="1"/>
  <c r="K881" i="3" a="1"/>
  <c r="K881" i="3" s="1"/>
  <c r="J881" i="3" a="1"/>
  <c r="J881" i="3" s="1"/>
  <c r="I881" i="3" a="1"/>
  <c r="I881" i="3" s="1"/>
  <c r="H881" i="3" a="1"/>
  <c r="H881" i="3" s="1"/>
  <c r="G881" i="3" a="1"/>
  <c r="G881" i="3" s="1"/>
  <c r="F881" i="3" a="1"/>
  <c r="F881" i="3" s="1"/>
  <c r="E881" i="3" a="1"/>
  <c r="E881" i="3" s="1"/>
  <c r="D881" i="3" a="1"/>
  <c r="D881" i="3" s="1"/>
  <c r="C881" i="3" a="1"/>
  <c r="C881" i="3" s="1"/>
  <c r="A881" i="3" s="1"/>
  <c r="L880" i="3" a="1"/>
  <c r="L880" i="3" s="1"/>
  <c r="K880" i="3" a="1"/>
  <c r="K880" i="3" s="1"/>
  <c r="J880" i="3" a="1"/>
  <c r="J880" i="3" s="1"/>
  <c r="I880" i="3" a="1"/>
  <c r="I880" i="3" s="1"/>
  <c r="H880" i="3" a="1"/>
  <c r="H880" i="3" s="1"/>
  <c r="G880" i="3" a="1"/>
  <c r="G880" i="3" s="1"/>
  <c r="F880" i="3" a="1"/>
  <c r="F880" i="3" s="1"/>
  <c r="E880" i="3" a="1"/>
  <c r="E880" i="3" s="1"/>
  <c r="D880" i="3" a="1"/>
  <c r="D880" i="3" s="1"/>
  <c r="C880" i="3" a="1"/>
  <c r="C880" i="3" s="1"/>
  <c r="A880" i="3" s="1"/>
  <c r="L879" i="3" a="1"/>
  <c r="L879" i="3" s="1"/>
  <c r="K879" i="3" a="1"/>
  <c r="K879" i="3" s="1"/>
  <c r="J879" i="3" a="1"/>
  <c r="J879" i="3" s="1"/>
  <c r="I879" i="3" a="1"/>
  <c r="I879" i="3" s="1"/>
  <c r="H879" i="3" a="1"/>
  <c r="H879" i="3" s="1"/>
  <c r="G879" i="3" a="1"/>
  <c r="G879" i="3" s="1"/>
  <c r="F879" i="3" a="1"/>
  <c r="F879" i="3" s="1"/>
  <c r="E879" i="3" a="1"/>
  <c r="E879" i="3" s="1"/>
  <c r="D879" i="3" a="1"/>
  <c r="D879" i="3" s="1"/>
  <c r="C879" i="3" a="1"/>
  <c r="C879" i="3" s="1"/>
  <c r="A879" i="3" s="1"/>
  <c r="L878" i="3" a="1"/>
  <c r="L878" i="3" s="1"/>
  <c r="K878" i="3" a="1"/>
  <c r="K878" i="3" s="1"/>
  <c r="J878" i="3" a="1"/>
  <c r="J878" i="3" s="1"/>
  <c r="I878" i="3" a="1"/>
  <c r="I878" i="3" s="1"/>
  <c r="H878" i="3" a="1"/>
  <c r="H878" i="3" s="1"/>
  <c r="G878" i="3" a="1"/>
  <c r="G878" i="3" s="1"/>
  <c r="F878" i="3" a="1"/>
  <c r="F878" i="3" s="1"/>
  <c r="E878" i="3" a="1"/>
  <c r="E878" i="3" s="1"/>
  <c r="D878" i="3" a="1"/>
  <c r="D878" i="3" s="1"/>
  <c r="C878" i="3" a="1"/>
  <c r="C878" i="3" s="1"/>
  <c r="A878" i="3" s="1"/>
  <c r="L877" i="3" a="1"/>
  <c r="L877" i="3" s="1"/>
  <c r="K877" i="3" a="1"/>
  <c r="K877" i="3" s="1"/>
  <c r="J877" i="3" a="1"/>
  <c r="J877" i="3" s="1"/>
  <c r="I877" i="3" a="1"/>
  <c r="I877" i="3" s="1"/>
  <c r="H877" i="3" a="1"/>
  <c r="H877" i="3" s="1"/>
  <c r="G877" i="3" a="1"/>
  <c r="G877" i="3" s="1"/>
  <c r="F877" i="3" a="1"/>
  <c r="F877" i="3" s="1"/>
  <c r="E877" i="3" a="1"/>
  <c r="E877" i="3" s="1"/>
  <c r="D877" i="3" a="1"/>
  <c r="D877" i="3" s="1"/>
  <c r="C877" i="3" a="1"/>
  <c r="C877" i="3" s="1"/>
  <c r="A877" i="3" s="1"/>
  <c r="L876" i="3" a="1"/>
  <c r="L876" i="3" s="1"/>
  <c r="K876" i="3" a="1"/>
  <c r="K876" i="3" s="1"/>
  <c r="J876" i="3" a="1"/>
  <c r="J876" i="3" s="1"/>
  <c r="I876" i="3" a="1"/>
  <c r="I876" i="3" s="1"/>
  <c r="H876" i="3" a="1"/>
  <c r="H876" i="3" s="1"/>
  <c r="G876" i="3" a="1"/>
  <c r="G876" i="3" s="1"/>
  <c r="F876" i="3" a="1"/>
  <c r="F876" i="3" s="1"/>
  <c r="E876" i="3" a="1"/>
  <c r="E876" i="3" s="1"/>
  <c r="D876" i="3" a="1"/>
  <c r="D876" i="3" s="1"/>
  <c r="C876" i="3" a="1"/>
  <c r="C876" i="3" s="1"/>
  <c r="A876" i="3" s="1"/>
  <c r="L875" i="3" a="1"/>
  <c r="L875" i="3" s="1"/>
  <c r="K875" i="3" a="1"/>
  <c r="K875" i="3" s="1"/>
  <c r="J875" i="3" a="1"/>
  <c r="J875" i="3" s="1"/>
  <c r="I875" i="3" a="1"/>
  <c r="I875" i="3" s="1"/>
  <c r="H875" i="3" a="1"/>
  <c r="H875" i="3" s="1"/>
  <c r="G875" i="3" a="1"/>
  <c r="G875" i="3" s="1"/>
  <c r="F875" i="3" a="1"/>
  <c r="F875" i="3" s="1"/>
  <c r="E875" i="3" a="1"/>
  <c r="E875" i="3" s="1"/>
  <c r="D875" i="3" a="1"/>
  <c r="D875" i="3" s="1"/>
  <c r="C875" i="3" a="1"/>
  <c r="C875" i="3" s="1"/>
  <c r="A875" i="3" s="1"/>
  <c r="L874" i="3" a="1"/>
  <c r="L874" i="3" s="1"/>
  <c r="K874" i="3" a="1"/>
  <c r="K874" i="3" s="1"/>
  <c r="J874" i="3" a="1"/>
  <c r="J874" i="3" s="1"/>
  <c r="I874" i="3" a="1"/>
  <c r="I874" i="3" s="1"/>
  <c r="H874" i="3" a="1"/>
  <c r="H874" i="3" s="1"/>
  <c r="G874" i="3" a="1"/>
  <c r="G874" i="3" s="1"/>
  <c r="F874" i="3" a="1"/>
  <c r="F874" i="3" s="1"/>
  <c r="E874" i="3" a="1"/>
  <c r="E874" i="3" s="1"/>
  <c r="D874" i="3" a="1"/>
  <c r="D874" i="3" s="1"/>
  <c r="C874" i="3" a="1"/>
  <c r="C874" i="3" s="1"/>
  <c r="A874" i="3" s="1"/>
  <c r="L873" i="3" a="1"/>
  <c r="L873" i="3" s="1"/>
  <c r="K873" i="3" a="1"/>
  <c r="K873" i="3" s="1"/>
  <c r="J873" i="3" a="1"/>
  <c r="J873" i="3" s="1"/>
  <c r="I873" i="3" a="1"/>
  <c r="I873" i="3" s="1"/>
  <c r="H873" i="3" a="1"/>
  <c r="H873" i="3" s="1"/>
  <c r="G873" i="3" a="1"/>
  <c r="G873" i="3" s="1"/>
  <c r="F873" i="3" a="1"/>
  <c r="F873" i="3" s="1"/>
  <c r="E873" i="3" a="1"/>
  <c r="E873" i="3" s="1"/>
  <c r="D873" i="3" a="1"/>
  <c r="D873" i="3" s="1"/>
  <c r="C873" i="3" a="1"/>
  <c r="C873" i="3" s="1"/>
  <c r="A873" i="3" s="1"/>
  <c r="L872" i="3" a="1"/>
  <c r="L872" i="3" s="1"/>
  <c r="K872" i="3" a="1"/>
  <c r="K872" i="3" s="1"/>
  <c r="J872" i="3" a="1"/>
  <c r="J872" i="3" s="1"/>
  <c r="I872" i="3" a="1"/>
  <c r="I872" i="3" s="1"/>
  <c r="H872" i="3" a="1"/>
  <c r="H872" i="3" s="1"/>
  <c r="G872" i="3" a="1"/>
  <c r="G872" i="3" s="1"/>
  <c r="F872" i="3" a="1"/>
  <c r="F872" i="3" s="1"/>
  <c r="E872" i="3" a="1"/>
  <c r="E872" i="3" s="1"/>
  <c r="D872" i="3" a="1"/>
  <c r="D872" i="3" s="1"/>
  <c r="C872" i="3" a="1"/>
  <c r="C872" i="3" s="1"/>
  <c r="A872" i="3" s="1"/>
  <c r="L871" i="3" a="1"/>
  <c r="L871" i="3" s="1"/>
  <c r="K871" i="3" a="1"/>
  <c r="K871" i="3" s="1"/>
  <c r="J871" i="3" a="1"/>
  <c r="J871" i="3" s="1"/>
  <c r="I871" i="3" a="1"/>
  <c r="I871" i="3" s="1"/>
  <c r="H871" i="3" a="1"/>
  <c r="H871" i="3" s="1"/>
  <c r="G871" i="3" a="1"/>
  <c r="G871" i="3" s="1"/>
  <c r="F871" i="3" a="1"/>
  <c r="F871" i="3" s="1"/>
  <c r="E871" i="3" a="1"/>
  <c r="E871" i="3" s="1"/>
  <c r="D871" i="3" a="1"/>
  <c r="D871" i="3" s="1"/>
  <c r="C871" i="3" a="1"/>
  <c r="C871" i="3" s="1"/>
  <c r="A871" i="3" s="1"/>
  <c r="L870" i="3" a="1"/>
  <c r="L870" i="3" s="1"/>
  <c r="K870" i="3" a="1"/>
  <c r="K870" i="3" s="1"/>
  <c r="J870" i="3" a="1"/>
  <c r="J870" i="3" s="1"/>
  <c r="I870" i="3" a="1"/>
  <c r="I870" i="3" s="1"/>
  <c r="H870" i="3" a="1"/>
  <c r="H870" i="3" s="1"/>
  <c r="G870" i="3" a="1"/>
  <c r="G870" i="3" s="1"/>
  <c r="F870" i="3" a="1"/>
  <c r="F870" i="3" s="1"/>
  <c r="E870" i="3" a="1"/>
  <c r="E870" i="3" s="1"/>
  <c r="D870" i="3" a="1"/>
  <c r="D870" i="3" s="1"/>
  <c r="C870" i="3" a="1"/>
  <c r="C870" i="3" s="1"/>
  <c r="A870" i="3" s="1"/>
  <c r="L869" i="3" a="1"/>
  <c r="L869" i="3" s="1"/>
  <c r="K869" i="3" a="1"/>
  <c r="K869" i="3" s="1"/>
  <c r="J869" i="3" a="1"/>
  <c r="J869" i="3" s="1"/>
  <c r="I869" i="3" a="1"/>
  <c r="I869" i="3" s="1"/>
  <c r="H869" i="3" a="1"/>
  <c r="H869" i="3" s="1"/>
  <c r="G869" i="3" a="1"/>
  <c r="G869" i="3" s="1"/>
  <c r="F869" i="3" a="1"/>
  <c r="F869" i="3" s="1"/>
  <c r="E869" i="3" a="1"/>
  <c r="E869" i="3" s="1"/>
  <c r="D869" i="3" a="1"/>
  <c r="D869" i="3" s="1"/>
  <c r="C869" i="3" a="1"/>
  <c r="C869" i="3" s="1"/>
  <c r="A869" i="3" s="1"/>
  <c r="L868" i="3" a="1"/>
  <c r="L868" i="3" s="1"/>
  <c r="K868" i="3" a="1"/>
  <c r="K868" i="3" s="1"/>
  <c r="J868" i="3" a="1"/>
  <c r="J868" i="3" s="1"/>
  <c r="I868" i="3" a="1"/>
  <c r="I868" i="3" s="1"/>
  <c r="H868" i="3" a="1"/>
  <c r="H868" i="3" s="1"/>
  <c r="G868" i="3" a="1"/>
  <c r="G868" i="3" s="1"/>
  <c r="F868" i="3" a="1"/>
  <c r="F868" i="3" s="1"/>
  <c r="E868" i="3" a="1"/>
  <c r="E868" i="3" s="1"/>
  <c r="D868" i="3" a="1"/>
  <c r="D868" i="3" s="1"/>
  <c r="C868" i="3" a="1"/>
  <c r="C868" i="3" s="1"/>
  <c r="A868" i="3" s="1"/>
  <c r="L867" i="3" a="1"/>
  <c r="L867" i="3" s="1"/>
  <c r="K867" i="3" a="1"/>
  <c r="K867" i="3" s="1"/>
  <c r="J867" i="3" a="1"/>
  <c r="J867" i="3" s="1"/>
  <c r="I867" i="3" a="1"/>
  <c r="I867" i="3" s="1"/>
  <c r="H867" i="3" a="1"/>
  <c r="H867" i="3" s="1"/>
  <c r="G867" i="3" a="1"/>
  <c r="G867" i="3" s="1"/>
  <c r="F867" i="3" a="1"/>
  <c r="F867" i="3" s="1"/>
  <c r="E867" i="3" a="1"/>
  <c r="E867" i="3" s="1"/>
  <c r="D867" i="3" a="1"/>
  <c r="D867" i="3" s="1"/>
  <c r="C867" i="3" a="1"/>
  <c r="C867" i="3" s="1"/>
  <c r="A867" i="3" s="1"/>
  <c r="L866" i="3" a="1"/>
  <c r="L866" i="3" s="1"/>
  <c r="K866" i="3" a="1"/>
  <c r="K866" i="3" s="1"/>
  <c r="J866" i="3" a="1"/>
  <c r="J866" i="3" s="1"/>
  <c r="I866" i="3" a="1"/>
  <c r="I866" i="3" s="1"/>
  <c r="H866" i="3" a="1"/>
  <c r="H866" i="3" s="1"/>
  <c r="G866" i="3" a="1"/>
  <c r="G866" i="3" s="1"/>
  <c r="F866" i="3" a="1"/>
  <c r="F866" i="3" s="1"/>
  <c r="E866" i="3" a="1"/>
  <c r="E866" i="3" s="1"/>
  <c r="D866" i="3" a="1"/>
  <c r="D866" i="3" s="1"/>
  <c r="C866" i="3" a="1"/>
  <c r="C866" i="3" s="1"/>
  <c r="A866" i="3" s="1"/>
  <c r="L865" i="3" a="1"/>
  <c r="L865" i="3" s="1"/>
  <c r="K865" i="3" a="1"/>
  <c r="K865" i="3" s="1"/>
  <c r="J865" i="3" a="1"/>
  <c r="J865" i="3" s="1"/>
  <c r="I865" i="3" a="1"/>
  <c r="I865" i="3" s="1"/>
  <c r="H865" i="3" a="1"/>
  <c r="H865" i="3" s="1"/>
  <c r="G865" i="3" a="1"/>
  <c r="G865" i="3" s="1"/>
  <c r="F865" i="3" a="1"/>
  <c r="F865" i="3" s="1"/>
  <c r="E865" i="3" a="1"/>
  <c r="E865" i="3" s="1"/>
  <c r="D865" i="3" a="1"/>
  <c r="D865" i="3" s="1"/>
  <c r="C865" i="3" a="1"/>
  <c r="C865" i="3" s="1"/>
  <c r="A865" i="3" s="1"/>
  <c r="L864" i="3" a="1"/>
  <c r="L864" i="3" s="1"/>
  <c r="K864" i="3" a="1"/>
  <c r="K864" i="3" s="1"/>
  <c r="J864" i="3" a="1"/>
  <c r="J864" i="3" s="1"/>
  <c r="I864" i="3" a="1"/>
  <c r="I864" i="3" s="1"/>
  <c r="H864" i="3" a="1"/>
  <c r="H864" i="3" s="1"/>
  <c r="G864" i="3" a="1"/>
  <c r="G864" i="3" s="1"/>
  <c r="F864" i="3" a="1"/>
  <c r="F864" i="3" s="1"/>
  <c r="E864" i="3" a="1"/>
  <c r="E864" i="3" s="1"/>
  <c r="D864" i="3" a="1"/>
  <c r="D864" i="3" s="1"/>
  <c r="C864" i="3" a="1"/>
  <c r="C864" i="3" s="1"/>
  <c r="A864" i="3" s="1"/>
  <c r="L863" i="3" a="1"/>
  <c r="L863" i="3" s="1"/>
  <c r="K863" i="3" a="1"/>
  <c r="K863" i="3" s="1"/>
  <c r="J863" i="3" a="1"/>
  <c r="J863" i="3" s="1"/>
  <c r="I863" i="3" a="1"/>
  <c r="I863" i="3" s="1"/>
  <c r="H863" i="3" a="1"/>
  <c r="H863" i="3" s="1"/>
  <c r="G863" i="3" a="1"/>
  <c r="G863" i="3" s="1"/>
  <c r="F863" i="3" a="1"/>
  <c r="F863" i="3" s="1"/>
  <c r="E863" i="3" a="1"/>
  <c r="E863" i="3" s="1"/>
  <c r="D863" i="3" a="1"/>
  <c r="D863" i="3" s="1"/>
  <c r="C863" i="3" a="1"/>
  <c r="C863" i="3" s="1"/>
  <c r="A863" i="3" s="1"/>
  <c r="L862" i="3" a="1"/>
  <c r="L862" i="3" s="1"/>
  <c r="K862" i="3" a="1"/>
  <c r="K862" i="3" s="1"/>
  <c r="J862" i="3" a="1"/>
  <c r="J862" i="3" s="1"/>
  <c r="I862" i="3" a="1"/>
  <c r="I862" i="3" s="1"/>
  <c r="H862" i="3" a="1"/>
  <c r="H862" i="3" s="1"/>
  <c r="G862" i="3" a="1"/>
  <c r="G862" i="3" s="1"/>
  <c r="F862" i="3" a="1"/>
  <c r="F862" i="3" s="1"/>
  <c r="E862" i="3" a="1"/>
  <c r="E862" i="3" s="1"/>
  <c r="D862" i="3" a="1"/>
  <c r="D862" i="3" s="1"/>
  <c r="C862" i="3" a="1"/>
  <c r="C862" i="3" s="1"/>
  <c r="A862" i="3" s="1"/>
  <c r="L861" i="3" a="1"/>
  <c r="L861" i="3" s="1"/>
  <c r="K861" i="3" a="1"/>
  <c r="K861" i="3" s="1"/>
  <c r="J861" i="3" a="1"/>
  <c r="J861" i="3" s="1"/>
  <c r="I861" i="3" a="1"/>
  <c r="I861" i="3" s="1"/>
  <c r="H861" i="3" a="1"/>
  <c r="H861" i="3" s="1"/>
  <c r="G861" i="3" a="1"/>
  <c r="G861" i="3" s="1"/>
  <c r="F861" i="3" a="1"/>
  <c r="F861" i="3" s="1"/>
  <c r="E861" i="3" a="1"/>
  <c r="E861" i="3" s="1"/>
  <c r="D861" i="3" a="1"/>
  <c r="D861" i="3" s="1"/>
  <c r="C861" i="3" a="1"/>
  <c r="C861" i="3" s="1"/>
  <c r="A861" i="3" s="1"/>
  <c r="L860" i="3" a="1"/>
  <c r="L860" i="3" s="1"/>
  <c r="K860" i="3" a="1"/>
  <c r="K860" i="3" s="1"/>
  <c r="J860" i="3" a="1"/>
  <c r="J860" i="3" s="1"/>
  <c r="I860" i="3" a="1"/>
  <c r="I860" i="3" s="1"/>
  <c r="H860" i="3" a="1"/>
  <c r="H860" i="3" s="1"/>
  <c r="G860" i="3" a="1"/>
  <c r="G860" i="3" s="1"/>
  <c r="F860" i="3" a="1"/>
  <c r="F860" i="3" s="1"/>
  <c r="E860" i="3" a="1"/>
  <c r="E860" i="3" s="1"/>
  <c r="D860" i="3" a="1"/>
  <c r="D860" i="3" s="1"/>
  <c r="C860" i="3" a="1"/>
  <c r="C860" i="3" s="1"/>
  <c r="A860" i="3" s="1"/>
  <c r="L859" i="3" a="1"/>
  <c r="L859" i="3" s="1"/>
  <c r="K859" i="3" a="1"/>
  <c r="K859" i="3" s="1"/>
  <c r="J859" i="3" a="1"/>
  <c r="J859" i="3" s="1"/>
  <c r="I859" i="3" a="1"/>
  <c r="I859" i="3" s="1"/>
  <c r="H859" i="3" a="1"/>
  <c r="H859" i="3" s="1"/>
  <c r="G859" i="3" a="1"/>
  <c r="G859" i="3" s="1"/>
  <c r="F859" i="3" a="1"/>
  <c r="F859" i="3" s="1"/>
  <c r="E859" i="3" a="1"/>
  <c r="E859" i="3" s="1"/>
  <c r="D859" i="3" a="1"/>
  <c r="D859" i="3" s="1"/>
  <c r="C859" i="3" a="1"/>
  <c r="C859" i="3" s="1"/>
  <c r="A859" i="3" s="1"/>
  <c r="L858" i="3" a="1"/>
  <c r="L858" i="3" s="1"/>
  <c r="K858" i="3" a="1"/>
  <c r="K858" i="3" s="1"/>
  <c r="J858" i="3" a="1"/>
  <c r="J858" i="3" s="1"/>
  <c r="I858" i="3" a="1"/>
  <c r="I858" i="3" s="1"/>
  <c r="H858" i="3" a="1"/>
  <c r="H858" i="3" s="1"/>
  <c r="G858" i="3" a="1"/>
  <c r="G858" i="3" s="1"/>
  <c r="F858" i="3" a="1"/>
  <c r="F858" i="3" s="1"/>
  <c r="E858" i="3" a="1"/>
  <c r="E858" i="3" s="1"/>
  <c r="D858" i="3" a="1"/>
  <c r="D858" i="3" s="1"/>
  <c r="C858" i="3" a="1"/>
  <c r="C858" i="3" s="1"/>
  <c r="A858" i="3" s="1"/>
  <c r="L857" i="3" a="1"/>
  <c r="L857" i="3" s="1"/>
  <c r="K857" i="3" a="1"/>
  <c r="K857" i="3" s="1"/>
  <c r="J857" i="3" a="1"/>
  <c r="J857" i="3" s="1"/>
  <c r="I857" i="3" a="1"/>
  <c r="I857" i="3" s="1"/>
  <c r="H857" i="3" a="1"/>
  <c r="H857" i="3" s="1"/>
  <c r="G857" i="3" a="1"/>
  <c r="G857" i="3" s="1"/>
  <c r="F857" i="3" a="1"/>
  <c r="F857" i="3" s="1"/>
  <c r="E857" i="3" a="1"/>
  <c r="E857" i="3" s="1"/>
  <c r="D857" i="3" a="1"/>
  <c r="D857" i="3" s="1"/>
  <c r="C857" i="3" a="1"/>
  <c r="C857" i="3" s="1"/>
  <c r="A857" i="3" s="1"/>
  <c r="L856" i="3" a="1"/>
  <c r="L856" i="3" s="1"/>
  <c r="K856" i="3" a="1"/>
  <c r="K856" i="3" s="1"/>
  <c r="J856" i="3" a="1"/>
  <c r="J856" i="3" s="1"/>
  <c r="I856" i="3" a="1"/>
  <c r="I856" i="3" s="1"/>
  <c r="H856" i="3" a="1"/>
  <c r="H856" i="3" s="1"/>
  <c r="G856" i="3" a="1"/>
  <c r="G856" i="3" s="1"/>
  <c r="F856" i="3" a="1"/>
  <c r="F856" i="3" s="1"/>
  <c r="E856" i="3" a="1"/>
  <c r="E856" i="3" s="1"/>
  <c r="D856" i="3" a="1"/>
  <c r="D856" i="3" s="1"/>
  <c r="C856" i="3" a="1"/>
  <c r="C856" i="3" s="1"/>
  <c r="A856" i="3" s="1"/>
  <c r="L855" i="3" a="1"/>
  <c r="L855" i="3" s="1"/>
  <c r="K855" i="3" a="1"/>
  <c r="K855" i="3" s="1"/>
  <c r="J855" i="3" a="1"/>
  <c r="J855" i="3" s="1"/>
  <c r="I855" i="3" a="1"/>
  <c r="I855" i="3" s="1"/>
  <c r="H855" i="3" a="1"/>
  <c r="H855" i="3" s="1"/>
  <c r="G855" i="3" a="1"/>
  <c r="G855" i="3" s="1"/>
  <c r="F855" i="3" a="1"/>
  <c r="F855" i="3" s="1"/>
  <c r="E855" i="3" a="1"/>
  <c r="E855" i="3" s="1"/>
  <c r="D855" i="3" a="1"/>
  <c r="D855" i="3" s="1"/>
  <c r="C855" i="3" a="1"/>
  <c r="C855" i="3" s="1"/>
  <c r="A855" i="3" s="1"/>
  <c r="L854" i="3" a="1"/>
  <c r="L854" i="3" s="1"/>
  <c r="K854" i="3" a="1"/>
  <c r="K854" i="3" s="1"/>
  <c r="J854" i="3" a="1"/>
  <c r="J854" i="3" s="1"/>
  <c r="I854" i="3" a="1"/>
  <c r="I854" i="3" s="1"/>
  <c r="H854" i="3" a="1"/>
  <c r="H854" i="3" s="1"/>
  <c r="G854" i="3" a="1"/>
  <c r="G854" i="3" s="1"/>
  <c r="F854" i="3" a="1"/>
  <c r="F854" i="3" s="1"/>
  <c r="E854" i="3" a="1"/>
  <c r="E854" i="3" s="1"/>
  <c r="D854" i="3" a="1"/>
  <c r="D854" i="3" s="1"/>
  <c r="C854" i="3" a="1"/>
  <c r="C854" i="3" s="1"/>
  <c r="A854" i="3" s="1"/>
  <c r="L853" i="3" a="1"/>
  <c r="L853" i="3" s="1"/>
  <c r="K853" i="3" a="1"/>
  <c r="K853" i="3" s="1"/>
  <c r="J853" i="3" a="1"/>
  <c r="J853" i="3" s="1"/>
  <c r="I853" i="3" a="1"/>
  <c r="I853" i="3" s="1"/>
  <c r="H853" i="3" a="1"/>
  <c r="H853" i="3" s="1"/>
  <c r="G853" i="3" a="1"/>
  <c r="G853" i="3" s="1"/>
  <c r="F853" i="3" a="1"/>
  <c r="F853" i="3" s="1"/>
  <c r="E853" i="3" a="1"/>
  <c r="E853" i="3" s="1"/>
  <c r="D853" i="3" a="1"/>
  <c r="D853" i="3" s="1"/>
  <c r="C853" i="3" a="1"/>
  <c r="C853" i="3" s="1"/>
  <c r="A853" i="3" s="1"/>
  <c r="L852" i="3" a="1"/>
  <c r="L852" i="3" s="1"/>
  <c r="K852" i="3" a="1"/>
  <c r="K852" i="3" s="1"/>
  <c r="J852" i="3" a="1"/>
  <c r="J852" i="3" s="1"/>
  <c r="I852" i="3" a="1"/>
  <c r="I852" i="3" s="1"/>
  <c r="H852" i="3" a="1"/>
  <c r="H852" i="3" s="1"/>
  <c r="G852" i="3" a="1"/>
  <c r="G852" i="3" s="1"/>
  <c r="F852" i="3" a="1"/>
  <c r="F852" i="3" s="1"/>
  <c r="E852" i="3" a="1"/>
  <c r="E852" i="3" s="1"/>
  <c r="D852" i="3" a="1"/>
  <c r="D852" i="3" s="1"/>
  <c r="C852" i="3" a="1"/>
  <c r="C852" i="3" s="1"/>
  <c r="A852" i="3" s="1"/>
  <c r="L851" i="3" a="1"/>
  <c r="L851" i="3" s="1"/>
  <c r="K851" i="3" a="1"/>
  <c r="K851" i="3" s="1"/>
  <c r="J851" i="3" a="1"/>
  <c r="J851" i="3" s="1"/>
  <c r="I851" i="3" a="1"/>
  <c r="I851" i="3" s="1"/>
  <c r="H851" i="3" a="1"/>
  <c r="H851" i="3" s="1"/>
  <c r="G851" i="3" a="1"/>
  <c r="G851" i="3" s="1"/>
  <c r="F851" i="3" a="1"/>
  <c r="F851" i="3" s="1"/>
  <c r="E851" i="3" a="1"/>
  <c r="E851" i="3" s="1"/>
  <c r="D851" i="3" a="1"/>
  <c r="D851" i="3" s="1"/>
  <c r="C851" i="3" a="1"/>
  <c r="C851" i="3" s="1"/>
  <c r="A851" i="3" s="1"/>
  <c r="L850" i="3" a="1"/>
  <c r="L850" i="3" s="1"/>
  <c r="K850" i="3" a="1"/>
  <c r="K850" i="3" s="1"/>
  <c r="J850" i="3" a="1"/>
  <c r="J850" i="3" s="1"/>
  <c r="I850" i="3" a="1"/>
  <c r="I850" i="3" s="1"/>
  <c r="H850" i="3" a="1"/>
  <c r="H850" i="3" s="1"/>
  <c r="G850" i="3" a="1"/>
  <c r="G850" i="3" s="1"/>
  <c r="F850" i="3" a="1"/>
  <c r="F850" i="3" s="1"/>
  <c r="E850" i="3" a="1"/>
  <c r="E850" i="3" s="1"/>
  <c r="D850" i="3" a="1"/>
  <c r="D850" i="3" s="1"/>
  <c r="C850" i="3" a="1"/>
  <c r="C850" i="3" s="1"/>
  <c r="A850" i="3" s="1"/>
  <c r="L849" i="3" a="1"/>
  <c r="L849" i="3" s="1"/>
  <c r="K849" i="3" a="1"/>
  <c r="K849" i="3" s="1"/>
  <c r="J849" i="3" a="1"/>
  <c r="J849" i="3" s="1"/>
  <c r="I849" i="3" a="1"/>
  <c r="I849" i="3" s="1"/>
  <c r="H849" i="3" a="1"/>
  <c r="H849" i="3" s="1"/>
  <c r="G849" i="3" a="1"/>
  <c r="G849" i="3" s="1"/>
  <c r="F849" i="3" a="1"/>
  <c r="F849" i="3" s="1"/>
  <c r="E849" i="3" a="1"/>
  <c r="E849" i="3" s="1"/>
  <c r="D849" i="3" a="1"/>
  <c r="D849" i="3" s="1"/>
  <c r="C849" i="3" a="1"/>
  <c r="C849" i="3" s="1"/>
  <c r="A849" i="3" s="1"/>
  <c r="L848" i="3" a="1"/>
  <c r="L848" i="3" s="1"/>
  <c r="K848" i="3" a="1"/>
  <c r="K848" i="3" s="1"/>
  <c r="J848" i="3" a="1"/>
  <c r="J848" i="3" s="1"/>
  <c r="I848" i="3" a="1"/>
  <c r="I848" i="3" s="1"/>
  <c r="H848" i="3" a="1"/>
  <c r="H848" i="3" s="1"/>
  <c r="G848" i="3" a="1"/>
  <c r="G848" i="3" s="1"/>
  <c r="F848" i="3" a="1"/>
  <c r="F848" i="3" s="1"/>
  <c r="E848" i="3" a="1"/>
  <c r="E848" i="3" s="1"/>
  <c r="D848" i="3" a="1"/>
  <c r="D848" i="3" s="1"/>
  <c r="C848" i="3" a="1"/>
  <c r="C848" i="3" s="1"/>
  <c r="A848" i="3" s="1"/>
  <c r="L847" i="3" a="1"/>
  <c r="L847" i="3" s="1"/>
  <c r="K847" i="3" a="1"/>
  <c r="K847" i="3" s="1"/>
  <c r="J847" i="3" a="1"/>
  <c r="J847" i="3" s="1"/>
  <c r="I847" i="3" a="1"/>
  <c r="I847" i="3" s="1"/>
  <c r="H847" i="3" a="1"/>
  <c r="H847" i="3" s="1"/>
  <c r="G847" i="3" a="1"/>
  <c r="G847" i="3" s="1"/>
  <c r="F847" i="3" a="1"/>
  <c r="F847" i="3" s="1"/>
  <c r="E847" i="3" a="1"/>
  <c r="E847" i="3" s="1"/>
  <c r="D847" i="3" a="1"/>
  <c r="D847" i="3" s="1"/>
  <c r="C847" i="3" a="1"/>
  <c r="C847" i="3" s="1"/>
  <c r="A847" i="3" s="1"/>
  <c r="L846" i="3" a="1"/>
  <c r="L846" i="3" s="1"/>
  <c r="K846" i="3" a="1"/>
  <c r="K846" i="3" s="1"/>
  <c r="J846" i="3" a="1"/>
  <c r="J846" i="3" s="1"/>
  <c r="I846" i="3" a="1"/>
  <c r="I846" i="3" s="1"/>
  <c r="H846" i="3" a="1"/>
  <c r="H846" i="3" s="1"/>
  <c r="G846" i="3" a="1"/>
  <c r="G846" i="3" s="1"/>
  <c r="F846" i="3" a="1"/>
  <c r="F846" i="3" s="1"/>
  <c r="E846" i="3" a="1"/>
  <c r="E846" i="3" s="1"/>
  <c r="D846" i="3" a="1"/>
  <c r="D846" i="3" s="1"/>
  <c r="C846" i="3" a="1"/>
  <c r="C846" i="3" s="1"/>
  <c r="A846" i="3" s="1"/>
  <c r="L845" i="3" a="1"/>
  <c r="L845" i="3" s="1"/>
  <c r="K845" i="3" a="1"/>
  <c r="K845" i="3" s="1"/>
  <c r="J845" i="3" a="1"/>
  <c r="J845" i="3" s="1"/>
  <c r="I845" i="3" a="1"/>
  <c r="I845" i="3" s="1"/>
  <c r="H845" i="3" a="1"/>
  <c r="H845" i="3" s="1"/>
  <c r="G845" i="3" a="1"/>
  <c r="G845" i="3" s="1"/>
  <c r="F845" i="3" a="1"/>
  <c r="F845" i="3" s="1"/>
  <c r="E845" i="3" a="1"/>
  <c r="E845" i="3" s="1"/>
  <c r="D845" i="3" a="1"/>
  <c r="D845" i="3" s="1"/>
  <c r="C845" i="3" a="1"/>
  <c r="C845" i="3" s="1"/>
  <c r="A845" i="3" s="1"/>
  <c r="L844" i="3" a="1"/>
  <c r="L844" i="3" s="1"/>
  <c r="K844" i="3" a="1"/>
  <c r="K844" i="3" s="1"/>
  <c r="J844" i="3" a="1"/>
  <c r="J844" i="3" s="1"/>
  <c r="I844" i="3" a="1"/>
  <c r="I844" i="3" s="1"/>
  <c r="H844" i="3" a="1"/>
  <c r="H844" i="3" s="1"/>
  <c r="G844" i="3" a="1"/>
  <c r="G844" i="3" s="1"/>
  <c r="F844" i="3" a="1"/>
  <c r="F844" i="3" s="1"/>
  <c r="E844" i="3" a="1"/>
  <c r="E844" i="3" s="1"/>
  <c r="D844" i="3" a="1"/>
  <c r="D844" i="3" s="1"/>
  <c r="C844" i="3" a="1"/>
  <c r="C844" i="3" s="1"/>
  <c r="A844" i="3" s="1"/>
  <c r="L843" i="3" a="1"/>
  <c r="L843" i="3" s="1"/>
  <c r="K843" i="3" a="1"/>
  <c r="K843" i="3" s="1"/>
  <c r="J843" i="3" a="1"/>
  <c r="J843" i="3" s="1"/>
  <c r="I843" i="3" a="1"/>
  <c r="I843" i="3" s="1"/>
  <c r="H843" i="3" a="1"/>
  <c r="H843" i="3" s="1"/>
  <c r="G843" i="3" a="1"/>
  <c r="G843" i="3" s="1"/>
  <c r="F843" i="3" a="1"/>
  <c r="F843" i="3" s="1"/>
  <c r="E843" i="3" a="1"/>
  <c r="E843" i="3" s="1"/>
  <c r="D843" i="3" a="1"/>
  <c r="D843" i="3" s="1"/>
  <c r="C843" i="3" a="1"/>
  <c r="C843" i="3" s="1"/>
  <c r="A843" i="3" s="1"/>
  <c r="L842" i="3" a="1"/>
  <c r="L842" i="3" s="1"/>
  <c r="K842" i="3" a="1"/>
  <c r="K842" i="3" s="1"/>
  <c r="J842" i="3" a="1"/>
  <c r="J842" i="3" s="1"/>
  <c r="I842" i="3" a="1"/>
  <c r="I842" i="3" s="1"/>
  <c r="H842" i="3" a="1"/>
  <c r="H842" i="3" s="1"/>
  <c r="G842" i="3" a="1"/>
  <c r="G842" i="3" s="1"/>
  <c r="F842" i="3" a="1"/>
  <c r="F842" i="3" s="1"/>
  <c r="E842" i="3" a="1"/>
  <c r="E842" i="3" s="1"/>
  <c r="D842" i="3" a="1"/>
  <c r="D842" i="3" s="1"/>
  <c r="C842" i="3" a="1"/>
  <c r="C842" i="3" s="1"/>
  <c r="A842" i="3" s="1"/>
  <c r="L841" i="3" a="1"/>
  <c r="L841" i="3" s="1"/>
  <c r="K841" i="3" a="1"/>
  <c r="K841" i="3" s="1"/>
  <c r="J841" i="3" a="1"/>
  <c r="J841" i="3" s="1"/>
  <c r="I841" i="3" a="1"/>
  <c r="I841" i="3" s="1"/>
  <c r="H841" i="3" a="1"/>
  <c r="H841" i="3" s="1"/>
  <c r="G841" i="3" a="1"/>
  <c r="G841" i="3" s="1"/>
  <c r="F841" i="3" a="1"/>
  <c r="F841" i="3" s="1"/>
  <c r="E841" i="3" a="1"/>
  <c r="E841" i="3" s="1"/>
  <c r="D841" i="3" a="1"/>
  <c r="D841" i="3" s="1"/>
  <c r="C841" i="3" a="1"/>
  <c r="C841" i="3" s="1"/>
  <c r="A841" i="3" s="1"/>
  <c r="L840" i="3" a="1"/>
  <c r="L840" i="3" s="1"/>
  <c r="K840" i="3" a="1"/>
  <c r="K840" i="3" s="1"/>
  <c r="J840" i="3" a="1"/>
  <c r="J840" i="3" s="1"/>
  <c r="I840" i="3" a="1"/>
  <c r="I840" i="3" s="1"/>
  <c r="H840" i="3" a="1"/>
  <c r="H840" i="3" s="1"/>
  <c r="G840" i="3" a="1"/>
  <c r="G840" i="3" s="1"/>
  <c r="F840" i="3" a="1"/>
  <c r="F840" i="3" s="1"/>
  <c r="E840" i="3" a="1"/>
  <c r="E840" i="3" s="1"/>
  <c r="D840" i="3" a="1"/>
  <c r="D840" i="3" s="1"/>
  <c r="C840" i="3" a="1"/>
  <c r="C840" i="3" s="1"/>
  <c r="A840" i="3" s="1"/>
  <c r="L839" i="3" a="1"/>
  <c r="L839" i="3" s="1"/>
  <c r="K839" i="3" a="1"/>
  <c r="K839" i="3" s="1"/>
  <c r="J839" i="3" a="1"/>
  <c r="J839" i="3" s="1"/>
  <c r="I839" i="3" a="1"/>
  <c r="I839" i="3" s="1"/>
  <c r="H839" i="3" a="1"/>
  <c r="H839" i="3" s="1"/>
  <c r="G839" i="3" a="1"/>
  <c r="G839" i="3" s="1"/>
  <c r="F839" i="3" a="1"/>
  <c r="F839" i="3" s="1"/>
  <c r="E839" i="3" a="1"/>
  <c r="E839" i="3" s="1"/>
  <c r="D839" i="3" a="1"/>
  <c r="D839" i="3" s="1"/>
  <c r="C839" i="3" a="1"/>
  <c r="C839" i="3" s="1"/>
  <c r="A839" i="3" s="1"/>
  <c r="L838" i="3" a="1"/>
  <c r="L838" i="3" s="1"/>
  <c r="K838" i="3" a="1"/>
  <c r="K838" i="3" s="1"/>
  <c r="J838" i="3" a="1"/>
  <c r="J838" i="3" s="1"/>
  <c r="I838" i="3" a="1"/>
  <c r="I838" i="3" s="1"/>
  <c r="H838" i="3" a="1"/>
  <c r="H838" i="3" s="1"/>
  <c r="G838" i="3" a="1"/>
  <c r="G838" i="3" s="1"/>
  <c r="F838" i="3" a="1"/>
  <c r="F838" i="3" s="1"/>
  <c r="E838" i="3" a="1"/>
  <c r="E838" i="3" s="1"/>
  <c r="D838" i="3" a="1"/>
  <c r="D838" i="3" s="1"/>
  <c r="C838" i="3" a="1"/>
  <c r="C838" i="3" s="1"/>
  <c r="A838" i="3" s="1"/>
  <c r="L837" i="3" a="1"/>
  <c r="L837" i="3" s="1"/>
  <c r="K837" i="3" a="1"/>
  <c r="K837" i="3" s="1"/>
  <c r="J837" i="3" a="1"/>
  <c r="J837" i="3" s="1"/>
  <c r="I837" i="3" a="1"/>
  <c r="I837" i="3" s="1"/>
  <c r="H837" i="3" a="1"/>
  <c r="H837" i="3" s="1"/>
  <c r="G837" i="3" a="1"/>
  <c r="G837" i="3" s="1"/>
  <c r="F837" i="3" a="1"/>
  <c r="F837" i="3" s="1"/>
  <c r="E837" i="3" a="1"/>
  <c r="E837" i="3" s="1"/>
  <c r="D837" i="3" a="1"/>
  <c r="D837" i="3" s="1"/>
  <c r="C837" i="3" a="1"/>
  <c r="C837" i="3" s="1"/>
  <c r="A837" i="3" s="1"/>
  <c r="L836" i="3" a="1"/>
  <c r="L836" i="3" s="1"/>
  <c r="K836" i="3" a="1"/>
  <c r="K836" i="3" s="1"/>
  <c r="J836" i="3" a="1"/>
  <c r="J836" i="3" s="1"/>
  <c r="I836" i="3" a="1"/>
  <c r="I836" i="3" s="1"/>
  <c r="H836" i="3" a="1"/>
  <c r="H836" i="3" s="1"/>
  <c r="G836" i="3" a="1"/>
  <c r="G836" i="3" s="1"/>
  <c r="F836" i="3" a="1"/>
  <c r="F836" i="3" s="1"/>
  <c r="E836" i="3" a="1"/>
  <c r="E836" i="3" s="1"/>
  <c r="D836" i="3" a="1"/>
  <c r="D836" i="3" s="1"/>
  <c r="C836" i="3" a="1"/>
  <c r="C836" i="3" s="1"/>
  <c r="A836" i="3" s="1"/>
  <c r="L835" i="3" a="1"/>
  <c r="L835" i="3" s="1"/>
  <c r="K835" i="3" a="1"/>
  <c r="K835" i="3" s="1"/>
  <c r="J835" i="3" a="1"/>
  <c r="J835" i="3" s="1"/>
  <c r="I835" i="3" a="1"/>
  <c r="I835" i="3" s="1"/>
  <c r="H835" i="3" a="1"/>
  <c r="H835" i="3" s="1"/>
  <c r="G835" i="3" a="1"/>
  <c r="G835" i="3" s="1"/>
  <c r="F835" i="3" a="1"/>
  <c r="F835" i="3" s="1"/>
  <c r="E835" i="3" a="1"/>
  <c r="E835" i="3" s="1"/>
  <c r="D835" i="3" a="1"/>
  <c r="D835" i="3" s="1"/>
  <c r="C835" i="3" a="1"/>
  <c r="C835" i="3" s="1"/>
  <c r="A835" i="3" s="1"/>
  <c r="L834" i="3" a="1"/>
  <c r="L834" i="3" s="1"/>
  <c r="K834" i="3" a="1"/>
  <c r="K834" i="3" s="1"/>
  <c r="J834" i="3" a="1"/>
  <c r="J834" i="3" s="1"/>
  <c r="I834" i="3" a="1"/>
  <c r="I834" i="3" s="1"/>
  <c r="H834" i="3" a="1"/>
  <c r="H834" i="3" s="1"/>
  <c r="G834" i="3" a="1"/>
  <c r="G834" i="3" s="1"/>
  <c r="F834" i="3" a="1"/>
  <c r="F834" i="3" s="1"/>
  <c r="E834" i="3" a="1"/>
  <c r="E834" i="3" s="1"/>
  <c r="D834" i="3" a="1"/>
  <c r="D834" i="3" s="1"/>
  <c r="C834" i="3" a="1"/>
  <c r="C834" i="3" s="1"/>
  <c r="A834" i="3" s="1"/>
  <c r="L833" i="3" a="1"/>
  <c r="L833" i="3" s="1"/>
  <c r="K833" i="3" a="1"/>
  <c r="K833" i="3" s="1"/>
  <c r="J833" i="3" a="1"/>
  <c r="J833" i="3" s="1"/>
  <c r="I833" i="3" a="1"/>
  <c r="I833" i="3" s="1"/>
  <c r="H833" i="3" a="1"/>
  <c r="H833" i="3" s="1"/>
  <c r="G833" i="3" a="1"/>
  <c r="G833" i="3" s="1"/>
  <c r="F833" i="3" a="1"/>
  <c r="F833" i="3" s="1"/>
  <c r="E833" i="3" a="1"/>
  <c r="E833" i="3" s="1"/>
  <c r="D833" i="3" a="1"/>
  <c r="D833" i="3" s="1"/>
  <c r="C833" i="3" a="1"/>
  <c r="C833" i="3" s="1"/>
  <c r="A833" i="3" s="1"/>
  <c r="L832" i="3" a="1"/>
  <c r="L832" i="3" s="1"/>
  <c r="K832" i="3" a="1"/>
  <c r="K832" i="3" s="1"/>
  <c r="J832" i="3" a="1"/>
  <c r="J832" i="3" s="1"/>
  <c r="I832" i="3" a="1"/>
  <c r="I832" i="3" s="1"/>
  <c r="H832" i="3" a="1"/>
  <c r="H832" i="3" s="1"/>
  <c r="G832" i="3" a="1"/>
  <c r="G832" i="3" s="1"/>
  <c r="F832" i="3" a="1"/>
  <c r="F832" i="3" s="1"/>
  <c r="E832" i="3" a="1"/>
  <c r="E832" i="3" s="1"/>
  <c r="D832" i="3" a="1"/>
  <c r="D832" i="3" s="1"/>
  <c r="C832" i="3" a="1"/>
  <c r="C832" i="3" s="1"/>
  <c r="A832" i="3" s="1"/>
  <c r="L831" i="3" a="1"/>
  <c r="L831" i="3" s="1"/>
  <c r="K831" i="3" a="1"/>
  <c r="K831" i="3" s="1"/>
  <c r="J831" i="3" a="1"/>
  <c r="J831" i="3" s="1"/>
  <c r="I831" i="3" a="1"/>
  <c r="I831" i="3" s="1"/>
  <c r="H831" i="3" a="1"/>
  <c r="H831" i="3" s="1"/>
  <c r="G831" i="3" a="1"/>
  <c r="G831" i="3" s="1"/>
  <c r="F831" i="3" a="1"/>
  <c r="F831" i="3" s="1"/>
  <c r="E831" i="3" a="1"/>
  <c r="E831" i="3" s="1"/>
  <c r="D831" i="3" a="1"/>
  <c r="D831" i="3" s="1"/>
  <c r="C831" i="3" a="1"/>
  <c r="C831" i="3" s="1"/>
  <c r="A831" i="3" s="1"/>
  <c r="L830" i="3" a="1"/>
  <c r="L830" i="3" s="1"/>
  <c r="K830" i="3" a="1"/>
  <c r="K830" i="3" s="1"/>
  <c r="J830" i="3" a="1"/>
  <c r="J830" i="3" s="1"/>
  <c r="I830" i="3" a="1"/>
  <c r="I830" i="3" s="1"/>
  <c r="H830" i="3" a="1"/>
  <c r="H830" i="3" s="1"/>
  <c r="G830" i="3" a="1"/>
  <c r="G830" i="3" s="1"/>
  <c r="F830" i="3" a="1"/>
  <c r="F830" i="3" s="1"/>
  <c r="E830" i="3" a="1"/>
  <c r="E830" i="3" s="1"/>
  <c r="D830" i="3" a="1"/>
  <c r="D830" i="3" s="1"/>
  <c r="C830" i="3" a="1"/>
  <c r="C830" i="3" s="1"/>
  <c r="A830" i="3" s="1"/>
  <c r="L829" i="3" a="1"/>
  <c r="L829" i="3" s="1"/>
  <c r="K829" i="3" a="1"/>
  <c r="K829" i="3" s="1"/>
  <c r="J829" i="3" a="1"/>
  <c r="J829" i="3" s="1"/>
  <c r="I829" i="3" a="1"/>
  <c r="I829" i="3" s="1"/>
  <c r="H829" i="3" a="1"/>
  <c r="H829" i="3" s="1"/>
  <c r="G829" i="3" a="1"/>
  <c r="G829" i="3" s="1"/>
  <c r="F829" i="3" a="1"/>
  <c r="F829" i="3" s="1"/>
  <c r="E829" i="3" a="1"/>
  <c r="E829" i="3" s="1"/>
  <c r="D829" i="3" a="1"/>
  <c r="D829" i="3" s="1"/>
  <c r="C829" i="3" a="1"/>
  <c r="C829" i="3" s="1"/>
  <c r="A829" i="3" s="1"/>
  <c r="L828" i="3" a="1"/>
  <c r="L828" i="3" s="1"/>
  <c r="K828" i="3" a="1"/>
  <c r="K828" i="3" s="1"/>
  <c r="J828" i="3" a="1"/>
  <c r="J828" i="3" s="1"/>
  <c r="I828" i="3" a="1"/>
  <c r="I828" i="3" s="1"/>
  <c r="H828" i="3" a="1"/>
  <c r="H828" i="3" s="1"/>
  <c r="G828" i="3" a="1"/>
  <c r="G828" i="3" s="1"/>
  <c r="F828" i="3" a="1"/>
  <c r="F828" i="3" s="1"/>
  <c r="E828" i="3" a="1"/>
  <c r="E828" i="3" s="1"/>
  <c r="D828" i="3" a="1"/>
  <c r="D828" i="3" s="1"/>
  <c r="C828" i="3" a="1"/>
  <c r="C828" i="3" s="1"/>
  <c r="A828" i="3" s="1"/>
  <c r="L827" i="3" a="1"/>
  <c r="L827" i="3" s="1"/>
  <c r="K827" i="3" a="1"/>
  <c r="K827" i="3" s="1"/>
  <c r="J827" i="3" a="1"/>
  <c r="J827" i="3" s="1"/>
  <c r="I827" i="3" a="1"/>
  <c r="I827" i="3" s="1"/>
  <c r="H827" i="3" a="1"/>
  <c r="H827" i="3" s="1"/>
  <c r="G827" i="3" a="1"/>
  <c r="G827" i="3" s="1"/>
  <c r="F827" i="3" a="1"/>
  <c r="F827" i="3" s="1"/>
  <c r="E827" i="3" a="1"/>
  <c r="E827" i="3" s="1"/>
  <c r="D827" i="3" a="1"/>
  <c r="D827" i="3" s="1"/>
  <c r="C827" i="3" a="1"/>
  <c r="C827" i="3" s="1"/>
  <c r="A827" i="3" s="1"/>
  <c r="L826" i="3" a="1"/>
  <c r="L826" i="3" s="1"/>
  <c r="K826" i="3" a="1"/>
  <c r="K826" i="3" s="1"/>
  <c r="J826" i="3" a="1"/>
  <c r="J826" i="3" s="1"/>
  <c r="I826" i="3" a="1"/>
  <c r="I826" i="3" s="1"/>
  <c r="H826" i="3" a="1"/>
  <c r="H826" i="3" s="1"/>
  <c r="G826" i="3" a="1"/>
  <c r="G826" i="3" s="1"/>
  <c r="F826" i="3" a="1"/>
  <c r="F826" i="3" s="1"/>
  <c r="E826" i="3" a="1"/>
  <c r="E826" i="3" s="1"/>
  <c r="D826" i="3" a="1"/>
  <c r="D826" i="3" s="1"/>
  <c r="C826" i="3" a="1"/>
  <c r="C826" i="3" s="1"/>
  <c r="A826" i="3" s="1"/>
  <c r="L825" i="3" a="1"/>
  <c r="L825" i="3" s="1"/>
  <c r="K825" i="3" a="1"/>
  <c r="K825" i="3" s="1"/>
  <c r="J825" i="3" a="1"/>
  <c r="J825" i="3" s="1"/>
  <c r="I825" i="3" a="1"/>
  <c r="I825" i="3" s="1"/>
  <c r="H825" i="3" a="1"/>
  <c r="H825" i="3" s="1"/>
  <c r="G825" i="3" a="1"/>
  <c r="G825" i="3" s="1"/>
  <c r="F825" i="3" a="1"/>
  <c r="F825" i="3" s="1"/>
  <c r="E825" i="3" a="1"/>
  <c r="E825" i="3" s="1"/>
  <c r="D825" i="3" a="1"/>
  <c r="D825" i="3" s="1"/>
  <c r="C825" i="3" a="1"/>
  <c r="C825" i="3" s="1"/>
  <c r="A825" i="3" s="1"/>
  <c r="L824" i="3" a="1"/>
  <c r="L824" i="3" s="1"/>
  <c r="K824" i="3" a="1"/>
  <c r="K824" i="3" s="1"/>
  <c r="J824" i="3" a="1"/>
  <c r="J824" i="3" s="1"/>
  <c r="I824" i="3" a="1"/>
  <c r="I824" i="3" s="1"/>
  <c r="H824" i="3" a="1"/>
  <c r="H824" i="3" s="1"/>
  <c r="G824" i="3" a="1"/>
  <c r="G824" i="3" s="1"/>
  <c r="F824" i="3" a="1"/>
  <c r="F824" i="3" s="1"/>
  <c r="E824" i="3" a="1"/>
  <c r="E824" i="3" s="1"/>
  <c r="D824" i="3" a="1"/>
  <c r="D824" i="3" s="1"/>
  <c r="C824" i="3" a="1"/>
  <c r="C824" i="3" s="1"/>
  <c r="A824" i="3" s="1"/>
  <c r="L823" i="3" a="1"/>
  <c r="L823" i="3" s="1"/>
  <c r="K823" i="3" a="1"/>
  <c r="K823" i="3" s="1"/>
  <c r="J823" i="3" a="1"/>
  <c r="J823" i="3" s="1"/>
  <c r="I823" i="3" a="1"/>
  <c r="I823" i="3" s="1"/>
  <c r="H823" i="3" a="1"/>
  <c r="H823" i="3" s="1"/>
  <c r="G823" i="3" a="1"/>
  <c r="G823" i="3" s="1"/>
  <c r="F823" i="3" a="1"/>
  <c r="F823" i="3" s="1"/>
  <c r="E823" i="3" a="1"/>
  <c r="E823" i="3" s="1"/>
  <c r="D823" i="3" a="1"/>
  <c r="D823" i="3" s="1"/>
  <c r="C823" i="3" a="1"/>
  <c r="C823" i="3" s="1"/>
  <c r="A823" i="3" s="1"/>
  <c r="L822" i="3" a="1"/>
  <c r="L822" i="3" s="1"/>
  <c r="K822" i="3" a="1"/>
  <c r="K822" i="3" s="1"/>
  <c r="J822" i="3" a="1"/>
  <c r="J822" i="3" s="1"/>
  <c r="I822" i="3" a="1"/>
  <c r="I822" i="3" s="1"/>
  <c r="H822" i="3" a="1"/>
  <c r="H822" i="3" s="1"/>
  <c r="G822" i="3" a="1"/>
  <c r="G822" i="3" s="1"/>
  <c r="F822" i="3" a="1"/>
  <c r="F822" i="3" s="1"/>
  <c r="E822" i="3" a="1"/>
  <c r="E822" i="3" s="1"/>
  <c r="D822" i="3" a="1"/>
  <c r="D822" i="3" s="1"/>
  <c r="C822" i="3" a="1"/>
  <c r="C822" i="3" s="1"/>
  <c r="A822" i="3" s="1"/>
  <c r="L821" i="3" a="1"/>
  <c r="L821" i="3" s="1"/>
  <c r="K821" i="3" a="1"/>
  <c r="K821" i="3" s="1"/>
  <c r="J821" i="3" a="1"/>
  <c r="J821" i="3" s="1"/>
  <c r="I821" i="3" a="1"/>
  <c r="I821" i="3" s="1"/>
  <c r="H821" i="3" a="1"/>
  <c r="H821" i="3" s="1"/>
  <c r="G821" i="3" a="1"/>
  <c r="G821" i="3" s="1"/>
  <c r="F821" i="3" a="1"/>
  <c r="F821" i="3" s="1"/>
  <c r="E821" i="3" a="1"/>
  <c r="E821" i="3" s="1"/>
  <c r="D821" i="3" a="1"/>
  <c r="D821" i="3" s="1"/>
  <c r="C821" i="3" a="1"/>
  <c r="C821" i="3" s="1"/>
  <c r="A821" i="3" s="1"/>
  <c r="L820" i="3" a="1"/>
  <c r="L820" i="3" s="1"/>
  <c r="K820" i="3" a="1"/>
  <c r="K820" i="3" s="1"/>
  <c r="J820" i="3" a="1"/>
  <c r="J820" i="3" s="1"/>
  <c r="I820" i="3" a="1"/>
  <c r="I820" i="3" s="1"/>
  <c r="H820" i="3" a="1"/>
  <c r="H820" i="3" s="1"/>
  <c r="G820" i="3" a="1"/>
  <c r="G820" i="3" s="1"/>
  <c r="F820" i="3" a="1"/>
  <c r="F820" i="3" s="1"/>
  <c r="E820" i="3" a="1"/>
  <c r="E820" i="3" s="1"/>
  <c r="D820" i="3" a="1"/>
  <c r="D820" i="3" s="1"/>
  <c r="C820" i="3" a="1"/>
  <c r="C820" i="3" s="1"/>
  <c r="A820" i="3" s="1"/>
  <c r="L819" i="3" a="1"/>
  <c r="L819" i="3" s="1"/>
  <c r="K819" i="3" a="1"/>
  <c r="K819" i="3" s="1"/>
  <c r="J819" i="3" a="1"/>
  <c r="J819" i="3" s="1"/>
  <c r="I819" i="3" a="1"/>
  <c r="I819" i="3" s="1"/>
  <c r="H819" i="3" a="1"/>
  <c r="H819" i="3" s="1"/>
  <c r="G819" i="3" a="1"/>
  <c r="G819" i="3" s="1"/>
  <c r="F819" i="3" a="1"/>
  <c r="F819" i="3" s="1"/>
  <c r="E819" i="3" a="1"/>
  <c r="E819" i="3" s="1"/>
  <c r="D819" i="3" a="1"/>
  <c r="D819" i="3" s="1"/>
  <c r="C819" i="3" a="1"/>
  <c r="C819" i="3" s="1"/>
  <c r="A819" i="3" s="1"/>
  <c r="L818" i="3" a="1"/>
  <c r="L818" i="3" s="1"/>
  <c r="K818" i="3" a="1"/>
  <c r="K818" i="3" s="1"/>
  <c r="J818" i="3" a="1"/>
  <c r="J818" i="3" s="1"/>
  <c r="I818" i="3" a="1"/>
  <c r="I818" i="3" s="1"/>
  <c r="H818" i="3" a="1"/>
  <c r="H818" i="3" s="1"/>
  <c r="G818" i="3" a="1"/>
  <c r="G818" i="3" s="1"/>
  <c r="F818" i="3" a="1"/>
  <c r="F818" i="3" s="1"/>
  <c r="E818" i="3" a="1"/>
  <c r="E818" i="3" s="1"/>
  <c r="D818" i="3" a="1"/>
  <c r="D818" i="3" s="1"/>
  <c r="C818" i="3" a="1"/>
  <c r="C818" i="3" s="1"/>
  <c r="A818" i="3" s="1"/>
  <c r="L817" i="3" a="1"/>
  <c r="L817" i="3" s="1"/>
  <c r="K817" i="3" a="1"/>
  <c r="K817" i="3" s="1"/>
  <c r="J817" i="3" a="1"/>
  <c r="J817" i="3" s="1"/>
  <c r="I817" i="3" a="1"/>
  <c r="I817" i="3" s="1"/>
  <c r="H817" i="3" a="1"/>
  <c r="H817" i="3" s="1"/>
  <c r="G817" i="3" a="1"/>
  <c r="G817" i="3" s="1"/>
  <c r="F817" i="3" a="1"/>
  <c r="F817" i="3" s="1"/>
  <c r="E817" i="3" a="1"/>
  <c r="E817" i="3" s="1"/>
  <c r="D817" i="3" a="1"/>
  <c r="D817" i="3" s="1"/>
  <c r="C817" i="3" a="1"/>
  <c r="C817" i="3" s="1"/>
  <c r="A817" i="3" s="1"/>
  <c r="L816" i="3" a="1"/>
  <c r="L816" i="3" s="1"/>
  <c r="K816" i="3" a="1"/>
  <c r="K816" i="3" s="1"/>
  <c r="J816" i="3" a="1"/>
  <c r="J816" i="3" s="1"/>
  <c r="I816" i="3" a="1"/>
  <c r="I816" i="3" s="1"/>
  <c r="H816" i="3" a="1"/>
  <c r="H816" i="3" s="1"/>
  <c r="G816" i="3" a="1"/>
  <c r="G816" i="3" s="1"/>
  <c r="F816" i="3" a="1"/>
  <c r="F816" i="3" s="1"/>
  <c r="E816" i="3" a="1"/>
  <c r="E816" i="3" s="1"/>
  <c r="D816" i="3" a="1"/>
  <c r="D816" i="3" s="1"/>
  <c r="C816" i="3" a="1"/>
  <c r="C816" i="3" s="1"/>
  <c r="A816" i="3" s="1"/>
  <c r="L815" i="3" a="1"/>
  <c r="L815" i="3" s="1"/>
  <c r="K815" i="3" a="1"/>
  <c r="K815" i="3" s="1"/>
  <c r="J815" i="3" a="1"/>
  <c r="J815" i="3" s="1"/>
  <c r="I815" i="3" a="1"/>
  <c r="I815" i="3" s="1"/>
  <c r="H815" i="3" a="1"/>
  <c r="H815" i="3" s="1"/>
  <c r="G815" i="3" a="1"/>
  <c r="G815" i="3" s="1"/>
  <c r="F815" i="3" a="1"/>
  <c r="F815" i="3" s="1"/>
  <c r="E815" i="3" a="1"/>
  <c r="E815" i="3" s="1"/>
  <c r="D815" i="3" a="1"/>
  <c r="D815" i="3" s="1"/>
  <c r="C815" i="3" a="1"/>
  <c r="C815" i="3" s="1"/>
  <c r="A815" i="3" s="1"/>
  <c r="L814" i="3" a="1"/>
  <c r="L814" i="3" s="1"/>
  <c r="K814" i="3" a="1"/>
  <c r="K814" i="3" s="1"/>
  <c r="J814" i="3" a="1"/>
  <c r="J814" i="3" s="1"/>
  <c r="I814" i="3" a="1"/>
  <c r="I814" i="3" s="1"/>
  <c r="H814" i="3" a="1"/>
  <c r="H814" i="3" s="1"/>
  <c r="G814" i="3" a="1"/>
  <c r="G814" i="3" s="1"/>
  <c r="F814" i="3" a="1"/>
  <c r="F814" i="3" s="1"/>
  <c r="E814" i="3" a="1"/>
  <c r="E814" i="3" s="1"/>
  <c r="D814" i="3" a="1"/>
  <c r="D814" i="3" s="1"/>
  <c r="C814" i="3" a="1"/>
  <c r="C814" i="3" s="1"/>
  <c r="A814" i="3" s="1"/>
  <c r="L813" i="3" a="1"/>
  <c r="L813" i="3" s="1"/>
  <c r="K813" i="3" a="1"/>
  <c r="K813" i="3" s="1"/>
  <c r="J813" i="3" a="1"/>
  <c r="J813" i="3" s="1"/>
  <c r="I813" i="3" a="1"/>
  <c r="I813" i="3" s="1"/>
  <c r="H813" i="3" a="1"/>
  <c r="H813" i="3" s="1"/>
  <c r="G813" i="3" a="1"/>
  <c r="G813" i="3" s="1"/>
  <c r="F813" i="3" a="1"/>
  <c r="F813" i="3" s="1"/>
  <c r="E813" i="3" a="1"/>
  <c r="E813" i="3" s="1"/>
  <c r="D813" i="3" a="1"/>
  <c r="D813" i="3" s="1"/>
  <c r="C813" i="3" a="1"/>
  <c r="C813" i="3" s="1"/>
  <c r="A813" i="3" s="1"/>
  <c r="L812" i="3" a="1"/>
  <c r="L812" i="3" s="1"/>
  <c r="K812" i="3" a="1"/>
  <c r="K812" i="3" s="1"/>
  <c r="J812" i="3" a="1"/>
  <c r="J812" i="3" s="1"/>
  <c r="I812" i="3" a="1"/>
  <c r="I812" i="3" s="1"/>
  <c r="H812" i="3" a="1"/>
  <c r="H812" i="3" s="1"/>
  <c r="G812" i="3" a="1"/>
  <c r="G812" i="3" s="1"/>
  <c r="F812" i="3" a="1"/>
  <c r="F812" i="3" s="1"/>
  <c r="E812" i="3" a="1"/>
  <c r="E812" i="3" s="1"/>
  <c r="D812" i="3" a="1"/>
  <c r="D812" i="3" s="1"/>
  <c r="C812" i="3" a="1"/>
  <c r="C812" i="3" s="1"/>
  <c r="A812" i="3" s="1"/>
  <c r="L811" i="3" a="1"/>
  <c r="L811" i="3" s="1"/>
  <c r="K811" i="3" a="1"/>
  <c r="K811" i="3" s="1"/>
  <c r="J811" i="3" a="1"/>
  <c r="J811" i="3" s="1"/>
  <c r="I811" i="3" a="1"/>
  <c r="I811" i="3" s="1"/>
  <c r="H811" i="3" a="1"/>
  <c r="H811" i="3" s="1"/>
  <c r="G811" i="3" a="1"/>
  <c r="G811" i="3" s="1"/>
  <c r="F811" i="3" a="1"/>
  <c r="F811" i="3" s="1"/>
  <c r="E811" i="3" a="1"/>
  <c r="E811" i="3" s="1"/>
  <c r="D811" i="3" a="1"/>
  <c r="D811" i="3" s="1"/>
  <c r="C811" i="3" a="1"/>
  <c r="C811" i="3" s="1"/>
  <c r="A811" i="3" s="1"/>
  <c r="L810" i="3" a="1"/>
  <c r="L810" i="3" s="1"/>
  <c r="K810" i="3" a="1"/>
  <c r="K810" i="3" s="1"/>
  <c r="J810" i="3" a="1"/>
  <c r="J810" i="3" s="1"/>
  <c r="I810" i="3" a="1"/>
  <c r="I810" i="3" s="1"/>
  <c r="H810" i="3" a="1"/>
  <c r="H810" i="3" s="1"/>
  <c r="G810" i="3" a="1"/>
  <c r="G810" i="3" s="1"/>
  <c r="F810" i="3" a="1"/>
  <c r="F810" i="3" s="1"/>
  <c r="E810" i="3" a="1"/>
  <c r="E810" i="3" s="1"/>
  <c r="D810" i="3" a="1"/>
  <c r="D810" i="3" s="1"/>
  <c r="C810" i="3" a="1"/>
  <c r="C810" i="3" s="1"/>
  <c r="A810" i="3" s="1"/>
  <c r="L809" i="3" a="1"/>
  <c r="L809" i="3" s="1"/>
  <c r="K809" i="3" a="1"/>
  <c r="K809" i="3" s="1"/>
  <c r="J809" i="3" a="1"/>
  <c r="J809" i="3" s="1"/>
  <c r="I809" i="3" a="1"/>
  <c r="I809" i="3" s="1"/>
  <c r="H809" i="3" a="1"/>
  <c r="H809" i="3" s="1"/>
  <c r="G809" i="3" a="1"/>
  <c r="G809" i="3" s="1"/>
  <c r="F809" i="3" a="1"/>
  <c r="F809" i="3" s="1"/>
  <c r="E809" i="3" a="1"/>
  <c r="E809" i="3" s="1"/>
  <c r="D809" i="3" a="1"/>
  <c r="D809" i="3" s="1"/>
  <c r="C809" i="3" a="1"/>
  <c r="C809" i="3" s="1"/>
  <c r="A809" i="3" s="1"/>
  <c r="L808" i="3" a="1"/>
  <c r="L808" i="3" s="1"/>
  <c r="K808" i="3" a="1"/>
  <c r="K808" i="3" s="1"/>
  <c r="J808" i="3" a="1"/>
  <c r="J808" i="3" s="1"/>
  <c r="I808" i="3" a="1"/>
  <c r="I808" i="3" s="1"/>
  <c r="H808" i="3" a="1"/>
  <c r="H808" i="3" s="1"/>
  <c r="G808" i="3" a="1"/>
  <c r="G808" i="3" s="1"/>
  <c r="F808" i="3" a="1"/>
  <c r="F808" i="3" s="1"/>
  <c r="E808" i="3" a="1"/>
  <c r="E808" i="3" s="1"/>
  <c r="D808" i="3" a="1"/>
  <c r="D808" i="3" s="1"/>
  <c r="C808" i="3" a="1"/>
  <c r="C808" i="3" s="1"/>
  <c r="A808" i="3" s="1"/>
  <c r="L807" i="3" a="1"/>
  <c r="L807" i="3" s="1"/>
  <c r="K807" i="3" a="1"/>
  <c r="K807" i="3" s="1"/>
  <c r="J807" i="3" a="1"/>
  <c r="J807" i="3" s="1"/>
  <c r="I807" i="3" a="1"/>
  <c r="I807" i="3" s="1"/>
  <c r="H807" i="3" a="1"/>
  <c r="H807" i="3" s="1"/>
  <c r="G807" i="3" a="1"/>
  <c r="G807" i="3" s="1"/>
  <c r="F807" i="3" a="1"/>
  <c r="F807" i="3" s="1"/>
  <c r="E807" i="3" a="1"/>
  <c r="E807" i="3" s="1"/>
  <c r="D807" i="3" a="1"/>
  <c r="D807" i="3" s="1"/>
  <c r="C807" i="3" a="1"/>
  <c r="C807" i="3" s="1"/>
  <c r="A807" i="3" s="1"/>
  <c r="L806" i="3" a="1"/>
  <c r="L806" i="3" s="1"/>
  <c r="K806" i="3" a="1"/>
  <c r="K806" i="3" s="1"/>
  <c r="J806" i="3" a="1"/>
  <c r="J806" i="3" s="1"/>
  <c r="I806" i="3" a="1"/>
  <c r="I806" i="3" s="1"/>
  <c r="H806" i="3" a="1"/>
  <c r="H806" i="3" s="1"/>
  <c r="G806" i="3" a="1"/>
  <c r="G806" i="3" s="1"/>
  <c r="F806" i="3" a="1"/>
  <c r="F806" i="3" s="1"/>
  <c r="E806" i="3" a="1"/>
  <c r="E806" i="3" s="1"/>
  <c r="D806" i="3" a="1"/>
  <c r="D806" i="3" s="1"/>
  <c r="C806" i="3" a="1"/>
  <c r="C806" i="3" s="1"/>
  <c r="A806" i="3" s="1"/>
  <c r="L805" i="3" a="1"/>
  <c r="L805" i="3" s="1"/>
  <c r="K805" i="3" a="1"/>
  <c r="K805" i="3" s="1"/>
  <c r="J805" i="3" a="1"/>
  <c r="J805" i="3" s="1"/>
  <c r="I805" i="3" a="1"/>
  <c r="I805" i="3" s="1"/>
  <c r="H805" i="3" a="1"/>
  <c r="H805" i="3" s="1"/>
  <c r="G805" i="3" a="1"/>
  <c r="G805" i="3" s="1"/>
  <c r="F805" i="3" a="1"/>
  <c r="F805" i="3" s="1"/>
  <c r="E805" i="3" a="1"/>
  <c r="E805" i="3" s="1"/>
  <c r="D805" i="3" a="1"/>
  <c r="D805" i="3" s="1"/>
  <c r="C805" i="3" a="1"/>
  <c r="C805" i="3" s="1"/>
  <c r="A805" i="3" s="1"/>
  <c r="L804" i="3" a="1"/>
  <c r="L804" i="3" s="1"/>
  <c r="K804" i="3" a="1"/>
  <c r="K804" i="3" s="1"/>
  <c r="J804" i="3" a="1"/>
  <c r="J804" i="3" s="1"/>
  <c r="I804" i="3" a="1"/>
  <c r="I804" i="3" s="1"/>
  <c r="H804" i="3" a="1"/>
  <c r="H804" i="3" s="1"/>
  <c r="G804" i="3" a="1"/>
  <c r="G804" i="3" s="1"/>
  <c r="F804" i="3" a="1"/>
  <c r="F804" i="3" s="1"/>
  <c r="E804" i="3" a="1"/>
  <c r="E804" i="3" s="1"/>
  <c r="D804" i="3" a="1"/>
  <c r="D804" i="3" s="1"/>
  <c r="C804" i="3" a="1"/>
  <c r="C804" i="3" s="1"/>
  <c r="A804" i="3" s="1"/>
  <c r="L803" i="3" a="1"/>
  <c r="L803" i="3" s="1"/>
  <c r="K803" i="3" a="1"/>
  <c r="K803" i="3" s="1"/>
  <c r="J803" i="3" a="1"/>
  <c r="J803" i="3" s="1"/>
  <c r="I803" i="3" a="1"/>
  <c r="I803" i="3" s="1"/>
  <c r="H803" i="3" a="1"/>
  <c r="H803" i="3" s="1"/>
  <c r="G803" i="3" a="1"/>
  <c r="G803" i="3" s="1"/>
  <c r="F803" i="3" a="1"/>
  <c r="F803" i="3" s="1"/>
  <c r="E803" i="3" a="1"/>
  <c r="E803" i="3" s="1"/>
  <c r="D803" i="3" a="1"/>
  <c r="D803" i="3" s="1"/>
  <c r="C803" i="3" a="1"/>
  <c r="C803" i="3" s="1"/>
  <c r="A803" i="3" s="1"/>
  <c r="L802" i="3" a="1"/>
  <c r="L802" i="3" s="1"/>
  <c r="K802" i="3" a="1"/>
  <c r="K802" i="3" s="1"/>
  <c r="J802" i="3" a="1"/>
  <c r="J802" i="3" s="1"/>
  <c r="I802" i="3" a="1"/>
  <c r="I802" i="3" s="1"/>
  <c r="H802" i="3" a="1"/>
  <c r="H802" i="3" s="1"/>
  <c r="G802" i="3" a="1"/>
  <c r="G802" i="3" s="1"/>
  <c r="F802" i="3" a="1"/>
  <c r="F802" i="3" s="1"/>
  <c r="E802" i="3" a="1"/>
  <c r="E802" i="3" s="1"/>
  <c r="D802" i="3" a="1"/>
  <c r="D802" i="3" s="1"/>
  <c r="C802" i="3" a="1"/>
  <c r="C802" i="3" s="1"/>
  <c r="A802" i="3" s="1"/>
  <c r="L801" i="3" a="1"/>
  <c r="L801" i="3" s="1"/>
  <c r="K801" i="3" a="1"/>
  <c r="K801" i="3" s="1"/>
  <c r="J801" i="3" a="1"/>
  <c r="J801" i="3" s="1"/>
  <c r="I801" i="3" a="1"/>
  <c r="I801" i="3" s="1"/>
  <c r="H801" i="3" a="1"/>
  <c r="H801" i="3" s="1"/>
  <c r="G801" i="3" a="1"/>
  <c r="G801" i="3" s="1"/>
  <c r="F801" i="3" a="1"/>
  <c r="F801" i="3" s="1"/>
  <c r="E801" i="3" a="1"/>
  <c r="E801" i="3" s="1"/>
  <c r="D801" i="3" a="1"/>
  <c r="D801" i="3" s="1"/>
  <c r="C801" i="3" a="1"/>
  <c r="C801" i="3" s="1"/>
  <c r="A801" i="3" s="1"/>
  <c r="L800" i="3" a="1"/>
  <c r="L800" i="3" s="1"/>
  <c r="K800" i="3" a="1"/>
  <c r="K800" i="3" s="1"/>
  <c r="J800" i="3" a="1"/>
  <c r="J800" i="3" s="1"/>
  <c r="I800" i="3" a="1"/>
  <c r="I800" i="3" s="1"/>
  <c r="H800" i="3" a="1"/>
  <c r="H800" i="3" s="1"/>
  <c r="G800" i="3" a="1"/>
  <c r="G800" i="3" s="1"/>
  <c r="F800" i="3" a="1"/>
  <c r="F800" i="3" s="1"/>
  <c r="E800" i="3" a="1"/>
  <c r="E800" i="3" s="1"/>
  <c r="D800" i="3" a="1"/>
  <c r="D800" i="3" s="1"/>
  <c r="C800" i="3" a="1"/>
  <c r="C800" i="3" s="1"/>
  <c r="A800" i="3" s="1"/>
  <c r="L799" i="3" a="1"/>
  <c r="L799" i="3" s="1"/>
  <c r="K799" i="3" a="1"/>
  <c r="K799" i="3" s="1"/>
  <c r="J799" i="3" a="1"/>
  <c r="J799" i="3" s="1"/>
  <c r="I799" i="3" a="1"/>
  <c r="I799" i="3" s="1"/>
  <c r="H799" i="3" a="1"/>
  <c r="H799" i="3" s="1"/>
  <c r="G799" i="3" a="1"/>
  <c r="G799" i="3" s="1"/>
  <c r="F799" i="3" a="1"/>
  <c r="F799" i="3" s="1"/>
  <c r="E799" i="3" a="1"/>
  <c r="E799" i="3" s="1"/>
  <c r="D799" i="3" a="1"/>
  <c r="D799" i="3" s="1"/>
  <c r="C799" i="3" a="1"/>
  <c r="C799" i="3" s="1"/>
  <c r="A799" i="3" s="1"/>
  <c r="L798" i="3" a="1"/>
  <c r="L798" i="3" s="1"/>
  <c r="K798" i="3" a="1"/>
  <c r="K798" i="3" s="1"/>
  <c r="J798" i="3" a="1"/>
  <c r="J798" i="3" s="1"/>
  <c r="I798" i="3" a="1"/>
  <c r="I798" i="3" s="1"/>
  <c r="H798" i="3" a="1"/>
  <c r="H798" i="3" s="1"/>
  <c r="G798" i="3" a="1"/>
  <c r="G798" i="3" s="1"/>
  <c r="F798" i="3" a="1"/>
  <c r="F798" i="3" s="1"/>
  <c r="E798" i="3" a="1"/>
  <c r="E798" i="3" s="1"/>
  <c r="D798" i="3" a="1"/>
  <c r="D798" i="3" s="1"/>
  <c r="C798" i="3" a="1"/>
  <c r="C798" i="3" s="1"/>
  <c r="A798" i="3" s="1"/>
  <c r="L797" i="3" a="1"/>
  <c r="L797" i="3" s="1"/>
  <c r="K797" i="3" a="1"/>
  <c r="K797" i="3" s="1"/>
  <c r="J797" i="3" a="1"/>
  <c r="J797" i="3" s="1"/>
  <c r="I797" i="3" a="1"/>
  <c r="I797" i="3" s="1"/>
  <c r="H797" i="3" a="1"/>
  <c r="H797" i="3" s="1"/>
  <c r="G797" i="3" a="1"/>
  <c r="G797" i="3" s="1"/>
  <c r="F797" i="3" a="1"/>
  <c r="F797" i="3" s="1"/>
  <c r="E797" i="3" a="1"/>
  <c r="E797" i="3" s="1"/>
  <c r="D797" i="3" a="1"/>
  <c r="D797" i="3" s="1"/>
  <c r="C797" i="3" a="1"/>
  <c r="C797" i="3" s="1"/>
  <c r="A797" i="3" s="1"/>
  <c r="L796" i="3" a="1"/>
  <c r="L796" i="3" s="1"/>
  <c r="K796" i="3" a="1"/>
  <c r="K796" i="3" s="1"/>
  <c r="J796" i="3" a="1"/>
  <c r="J796" i="3" s="1"/>
  <c r="I796" i="3" a="1"/>
  <c r="I796" i="3" s="1"/>
  <c r="H796" i="3" a="1"/>
  <c r="H796" i="3" s="1"/>
  <c r="G796" i="3" a="1"/>
  <c r="G796" i="3" s="1"/>
  <c r="F796" i="3" a="1"/>
  <c r="F796" i="3" s="1"/>
  <c r="E796" i="3" a="1"/>
  <c r="E796" i="3" s="1"/>
  <c r="D796" i="3" a="1"/>
  <c r="D796" i="3" s="1"/>
  <c r="C796" i="3" a="1"/>
  <c r="C796" i="3" s="1"/>
  <c r="A796" i="3" s="1"/>
  <c r="L795" i="3" a="1"/>
  <c r="L795" i="3" s="1"/>
  <c r="K795" i="3" a="1"/>
  <c r="K795" i="3" s="1"/>
  <c r="J795" i="3" a="1"/>
  <c r="J795" i="3" s="1"/>
  <c r="I795" i="3" a="1"/>
  <c r="I795" i="3" s="1"/>
  <c r="H795" i="3" a="1"/>
  <c r="H795" i="3" s="1"/>
  <c r="G795" i="3" a="1"/>
  <c r="G795" i="3" s="1"/>
  <c r="F795" i="3" a="1"/>
  <c r="F795" i="3" s="1"/>
  <c r="E795" i="3" a="1"/>
  <c r="E795" i="3" s="1"/>
  <c r="D795" i="3" a="1"/>
  <c r="D795" i="3" s="1"/>
  <c r="C795" i="3" a="1"/>
  <c r="C795" i="3" s="1"/>
  <c r="A795" i="3" s="1"/>
  <c r="L794" i="3" a="1"/>
  <c r="L794" i="3" s="1"/>
  <c r="K794" i="3" a="1"/>
  <c r="K794" i="3" s="1"/>
  <c r="J794" i="3" a="1"/>
  <c r="J794" i="3" s="1"/>
  <c r="I794" i="3" a="1"/>
  <c r="I794" i="3" s="1"/>
  <c r="H794" i="3" a="1"/>
  <c r="H794" i="3" s="1"/>
  <c r="G794" i="3" a="1"/>
  <c r="G794" i="3" s="1"/>
  <c r="F794" i="3" a="1"/>
  <c r="F794" i="3" s="1"/>
  <c r="E794" i="3" a="1"/>
  <c r="E794" i="3" s="1"/>
  <c r="D794" i="3" a="1"/>
  <c r="D794" i="3" s="1"/>
  <c r="C794" i="3" a="1"/>
  <c r="C794" i="3" s="1"/>
  <c r="A794" i="3" s="1"/>
  <c r="L793" i="3" a="1"/>
  <c r="L793" i="3" s="1"/>
  <c r="K793" i="3" a="1"/>
  <c r="K793" i="3" s="1"/>
  <c r="J793" i="3" a="1"/>
  <c r="J793" i="3" s="1"/>
  <c r="I793" i="3" a="1"/>
  <c r="I793" i="3" s="1"/>
  <c r="H793" i="3" a="1"/>
  <c r="H793" i="3" s="1"/>
  <c r="G793" i="3" a="1"/>
  <c r="G793" i="3" s="1"/>
  <c r="F793" i="3" a="1"/>
  <c r="F793" i="3" s="1"/>
  <c r="E793" i="3" a="1"/>
  <c r="E793" i="3" s="1"/>
  <c r="D793" i="3" a="1"/>
  <c r="D793" i="3" s="1"/>
  <c r="C793" i="3" a="1"/>
  <c r="C793" i="3" s="1"/>
  <c r="A793" i="3" s="1"/>
  <c r="L792" i="3" a="1"/>
  <c r="L792" i="3" s="1"/>
  <c r="K792" i="3" a="1"/>
  <c r="K792" i="3" s="1"/>
  <c r="J792" i="3" a="1"/>
  <c r="J792" i="3" s="1"/>
  <c r="I792" i="3" a="1"/>
  <c r="I792" i="3" s="1"/>
  <c r="H792" i="3" a="1"/>
  <c r="H792" i="3" s="1"/>
  <c r="G792" i="3" a="1"/>
  <c r="G792" i="3" s="1"/>
  <c r="F792" i="3" a="1"/>
  <c r="F792" i="3" s="1"/>
  <c r="E792" i="3" a="1"/>
  <c r="E792" i="3" s="1"/>
  <c r="D792" i="3" a="1"/>
  <c r="D792" i="3" s="1"/>
  <c r="C792" i="3" a="1"/>
  <c r="C792" i="3" s="1"/>
  <c r="A792" i="3" s="1"/>
  <c r="L791" i="3" a="1"/>
  <c r="L791" i="3" s="1"/>
  <c r="K791" i="3" a="1"/>
  <c r="K791" i="3" s="1"/>
  <c r="J791" i="3" a="1"/>
  <c r="J791" i="3" s="1"/>
  <c r="I791" i="3" a="1"/>
  <c r="I791" i="3" s="1"/>
  <c r="H791" i="3" a="1"/>
  <c r="H791" i="3" s="1"/>
  <c r="G791" i="3" a="1"/>
  <c r="G791" i="3" s="1"/>
  <c r="F791" i="3" a="1"/>
  <c r="F791" i="3" s="1"/>
  <c r="E791" i="3" a="1"/>
  <c r="E791" i="3" s="1"/>
  <c r="D791" i="3" a="1"/>
  <c r="D791" i="3" s="1"/>
  <c r="C791" i="3" a="1"/>
  <c r="C791" i="3" s="1"/>
  <c r="A791" i="3" s="1"/>
  <c r="L790" i="3" a="1"/>
  <c r="L790" i="3" s="1"/>
  <c r="K790" i="3" a="1"/>
  <c r="K790" i="3" s="1"/>
  <c r="J790" i="3" a="1"/>
  <c r="J790" i="3" s="1"/>
  <c r="I790" i="3" a="1"/>
  <c r="I790" i="3" s="1"/>
  <c r="H790" i="3" a="1"/>
  <c r="H790" i="3" s="1"/>
  <c r="G790" i="3" a="1"/>
  <c r="G790" i="3" s="1"/>
  <c r="F790" i="3" a="1"/>
  <c r="F790" i="3" s="1"/>
  <c r="E790" i="3" a="1"/>
  <c r="E790" i="3" s="1"/>
  <c r="D790" i="3" a="1"/>
  <c r="D790" i="3" s="1"/>
  <c r="C790" i="3" a="1"/>
  <c r="C790" i="3" s="1"/>
  <c r="A790" i="3" s="1"/>
  <c r="L789" i="3" a="1"/>
  <c r="L789" i="3" s="1"/>
  <c r="K789" i="3" a="1"/>
  <c r="K789" i="3" s="1"/>
  <c r="J789" i="3" a="1"/>
  <c r="J789" i="3" s="1"/>
  <c r="I789" i="3" a="1"/>
  <c r="I789" i="3" s="1"/>
  <c r="H789" i="3" a="1"/>
  <c r="H789" i="3" s="1"/>
  <c r="G789" i="3" a="1"/>
  <c r="G789" i="3" s="1"/>
  <c r="F789" i="3" a="1"/>
  <c r="F789" i="3" s="1"/>
  <c r="E789" i="3" a="1"/>
  <c r="E789" i="3" s="1"/>
  <c r="D789" i="3" a="1"/>
  <c r="D789" i="3" s="1"/>
  <c r="C789" i="3" a="1"/>
  <c r="C789" i="3" s="1"/>
  <c r="A789" i="3" s="1"/>
  <c r="L788" i="3" a="1"/>
  <c r="L788" i="3" s="1"/>
  <c r="K788" i="3" a="1"/>
  <c r="K788" i="3" s="1"/>
  <c r="J788" i="3" a="1"/>
  <c r="J788" i="3" s="1"/>
  <c r="I788" i="3" a="1"/>
  <c r="I788" i="3" s="1"/>
  <c r="H788" i="3" a="1"/>
  <c r="H788" i="3" s="1"/>
  <c r="G788" i="3" a="1"/>
  <c r="G788" i="3" s="1"/>
  <c r="F788" i="3" a="1"/>
  <c r="F788" i="3" s="1"/>
  <c r="E788" i="3" a="1"/>
  <c r="E788" i="3" s="1"/>
  <c r="D788" i="3" a="1"/>
  <c r="D788" i="3" s="1"/>
  <c r="C788" i="3" a="1"/>
  <c r="C788" i="3" s="1"/>
  <c r="A788" i="3" s="1"/>
  <c r="L787" i="3" a="1"/>
  <c r="L787" i="3" s="1"/>
  <c r="K787" i="3" a="1"/>
  <c r="K787" i="3" s="1"/>
  <c r="J787" i="3" a="1"/>
  <c r="J787" i="3" s="1"/>
  <c r="I787" i="3" a="1"/>
  <c r="I787" i="3" s="1"/>
  <c r="H787" i="3" a="1"/>
  <c r="H787" i="3" s="1"/>
  <c r="G787" i="3" a="1"/>
  <c r="G787" i="3" s="1"/>
  <c r="F787" i="3" a="1"/>
  <c r="F787" i="3" s="1"/>
  <c r="E787" i="3" a="1"/>
  <c r="E787" i="3" s="1"/>
  <c r="D787" i="3" a="1"/>
  <c r="D787" i="3" s="1"/>
  <c r="C787" i="3" a="1"/>
  <c r="C787" i="3" s="1"/>
  <c r="A787" i="3" s="1"/>
  <c r="L786" i="3" a="1"/>
  <c r="L786" i="3" s="1"/>
  <c r="K786" i="3" a="1"/>
  <c r="K786" i="3" s="1"/>
  <c r="J786" i="3" a="1"/>
  <c r="J786" i="3" s="1"/>
  <c r="I786" i="3" a="1"/>
  <c r="I786" i="3" s="1"/>
  <c r="H786" i="3" a="1"/>
  <c r="H786" i="3" s="1"/>
  <c r="G786" i="3" a="1"/>
  <c r="G786" i="3" s="1"/>
  <c r="F786" i="3" a="1"/>
  <c r="F786" i="3" s="1"/>
  <c r="E786" i="3" a="1"/>
  <c r="E786" i="3" s="1"/>
  <c r="D786" i="3" a="1"/>
  <c r="D786" i="3" s="1"/>
  <c r="C786" i="3" a="1"/>
  <c r="C786" i="3" s="1"/>
  <c r="A786" i="3" s="1"/>
  <c r="L785" i="3" a="1"/>
  <c r="L785" i="3" s="1"/>
  <c r="K785" i="3" a="1"/>
  <c r="K785" i="3" s="1"/>
  <c r="J785" i="3" a="1"/>
  <c r="J785" i="3" s="1"/>
  <c r="I785" i="3" a="1"/>
  <c r="I785" i="3" s="1"/>
  <c r="H785" i="3" a="1"/>
  <c r="H785" i="3" s="1"/>
  <c r="G785" i="3" a="1"/>
  <c r="G785" i="3" s="1"/>
  <c r="F785" i="3" a="1"/>
  <c r="F785" i="3" s="1"/>
  <c r="E785" i="3" a="1"/>
  <c r="E785" i="3" s="1"/>
  <c r="D785" i="3" a="1"/>
  <c r="D785" i="3" s="1"/>
  <c r="C785" i="3" a="1"/>
  <c r="C785" i="3" s="1"/>
  <c r="A785" i="3" s="1"/>
  <c r="L784" i="3" a="1"/>
  <c r="L784" i="3" s="1"/>
  <c r="K784" i="3" a="1"/>
  <c r="K784" i="3" s="1"/>
  <c r="J784" i="3" a="1"/>
  <c r="J784" i="3" s="1"/>
  <c r="I784" i="3" a="1"/>
  <c r="I784" i="3" s="1"/>
  <c r="H784" i="3" a="1"/>
  <c r="H784" i="3" s="1"/>
  <c r="G784" i="3" a="1"/>
  <c r="G784" i="3" s="1"/>
  <c r="F784" i="3" a="1"/>
  <c r="F784" i="3" s="1"/>
  <c r="E784" i="3" a="1"/>
  <c r="E784" i="3" s="1"/>
  <c r="D784" i="3" a="1"/>
  <c r="D784" i="3" s="1"/>
  <c r="C784" i="3" a="1"/>
  <c r="C784" i="3" s="1"/>
  <c r="A784" i="3" s="1"/>
  <c r="L783" i="3" a="1"/>
  <c r="L783" i="3" s="1"/>
  <c r="K783" i="3" a="1"/>
  <c r="K783" i="3" s="1"/>
  <c r="J783" i="3" a="1"/>
  <c r="J783" i="3" s="1"/>
  <c r="I783" i="3" a="1"/>
  <c r="I783" i="3" s="1"/>
  <c r="H783" i="3" a="1"/>
  <c r="H783" i="3" s="1"/>
  <c r="G783" i="3" a="1"/>
  <c r="G783" i="3" s="1"/>
  <c r="F783" i="3" a="1"/>
  <c r="F783" i="3" s="1"/>
  <c r="E783" i="3" a="1"/>
  <c r="E783" i="3" s="1"/>
  <c r="D783" i="3" a="1"/>
  <c r="D783" i="3" s="1"/>
  <c r="C783" i="3" a="1"/>
  <c r="C783" i="3" s="1"/>
  <c r="A783" i="3" s="1"/>
  <c r="L782" i="3" a="1"/>
  <c r="L782" i="3" s="1"/>
  <c r="K782" i="3" a="1"/>
  <c r="K782" i="3" s="1"/>
  <c r="J782" i="3" a="1"/>
  <c r="J782" i="3" s="1"/>
  <c r="I782" i="3" a="1"/>
  <c r="I782" i="3" s="1"/>
  <c r="H782" i="3" a="1"/>
  <c r="H782" i="3" s="1"/>
  <c r="G782" i="3" a="1"/>
  <c r="G782" i="3" s="1"/>
  <c r="F782" i="3" a="1"/>
  <c r="F782" i="3" s="1"/>
  <c r="E782" i="3" a="1"/>
  <c r="E782" i="3" s="1"/>
  <c r="D782" i="3" a="1"/>
  <c r="D782" i="3" s="1"/>
  <c r="C782" i="3" a="1"/>
  <c r="C782" i="3" s="1"/>
  <c r="A782" i="3" s="1"/>
  <c r="L781" i="3" a="1"/>
  <c r="L781" i="3" s="1"/>
  <c r="K781" i="3" a="1"/>
  <c r="K781" i="3" s="1"/>
  <c r="J781" i="3" a="1"/>
  <c r="J781" i="3" s="1"/>
  <c r="I781" i="3" a="1"/>
  <c r="I781" i="3" s="1"/>
  <c r="H781" i="3" a="1"/>
  <c r="H781" i="3" s="1"/>
  <c r="G781" i="3" a="1"/>
  <c r="G781" i="3" s="1"/>
  <c r="F781" i="3" a="1"/>
  <c r="F781" i="3" s="1"/>
  <c r="E781" i="3" a="1"/>
  <c r="E781" i="3" s="1"/>
  <c r="D781" i="3" a="1"/>
  <c r="D781" i="3" s="1"/>
  <c r="C781" i="3" a="1"/>
  <c r="C781" i="3" s="1"/>
  <c r="A781" i="3" s="1"/>
  <c r="L780" i="3" a="1"/>
  <c r="L780" i="3" s="1"/>
  <c r="K780" i="3" a="1"/>
  <c r="K780" i="3" s="1"/>
  <c r="J780" i="3" a="1"/>
  <c r="J780" i="3" s="1"/>
  <c r="I780" i="3" a="1"/>
  <c r="I780" i="3" s="1"/>
  <c r="H780" i="3" a="1"/>
  <c r="H780" i="3" s="1"/>
  <c r="G780" i="3" a="1"/>
  <c r="G780" i="3" s="1"/>
  <c r="F780" i="3" a="1"/>
  <c r="F780" i="3" s="1"/>
  <c r="E780" i="3" a="1"/>
  <c r="E780" i="3" s="1"/>
  <c r="D780" i="3" a="1"/>
  <c r="D780" i="3" s="1"/>
  <c r="C780" i="3" a="1"/>
  <c r="C780" i="3" s="1"/>
  <c r="A780" i="3" s="1"/>
  <c r="L779" i="3" a="1"/>
  <c r="L779" i="3" s="1"/>
  <c r="K779" i="3" a="1"/>
  <c r="K779" i="3" s="1"/>
  <c r="J779" i="3" a="1"/>
  <c r="J779" i="3" s="1"/>
  <c r="I779" i="3" a="1"/>
  <c r="I779" i="3" s="1"/>
  <c r="H779" i="3" a="1"/>
  <c r="H779" i="3" s="1"/>
  <c r="G779" i="3" a="1"/>
  <c r="G779" i="3" s="1"/>
  <c r="F779" i="3" a="1"/>
  <c r="F779" i="3" s="1"/>
  <c r="E779" i="3" a="1"/>
  <c r="E779" i="3" s="1"/>
  <c r="D779" i="3" a="1"/>
  <c r="D779" i="3" s="1"/>
  <c r="C779" i="3" a="1"/>
  <c r="C779" i="3" s="1"/>
  <c r="A779" i="3" s="1"/>
  <c r="L778" i="3" a="1"/>
  <c r="L778" i="3" s="1"/>
  <c r="K778" i="3" a="1"/>
  <c r="K778" i="3" s="1"/>
  <c r="J778" i="3" a="1"/>
  <c r="J778" i="3" s="1"/>
  <c r="I778" i="3" a="1"/>
  <c r="I778" i="3" s="1"/>
  <c r="H778" i="3" a="1"/>
  <c r="H778" i="3" s="1"/>
  <c r="G778" i="3" a="1"/>
  <c r="G778" i="3" s="1"/>
  <c r="F778" i="3" a="1"/>
  <c r="F778" i="3" s="1"/>
  <c r="E778" i="3" a="1"/>
  <c r="E778" i="3" s="1"/>
  <c r="D778" i="3" a="1"/>
  <c r="D778" i="3" s="1"/>
  <c r="C778" i="3" a="1"/>
  <c r="C778" i="3" s="1"/>
  <c r="A778" i="3" s="1"/>
  <c r="L777" i="3" a="1"/>
  <c r="L777" i="3" s="1"/>
  <c r="K777" i="3" a="1"/>
  <c r="K777" i="3" s="1"/>
  <c r="J777" i="3" a="1"/>
  <c r="J777" i="3" s="1"/>
  <c r="I777" i="3" a="1"/>
  <c r="I777" i="3" s="1"/>
  <c r="H777" i="3" a="1"/>
  <c r="H777" i="3" s="1"/>
  <c r="G777" i="3" a="1"/>
  <c r="G777" i="3" s="1"/>
  <c r="F777" i="3" a="1"/>
  <c r="F777" i="3" s="1"/>
  <c r="E777" i="3" a="1"/>
  <c r="E777" i="3" s="1"/>
  <c r="D777" i="3" a="1"/>
  <c r="D777" i="3" s="1"/>
  <c r="C777" i="3" a="1"/>
  <c r="C777" i="3" s="1"/>
  <c r="A777" i="3" s="1"/>
  <c r="L776" i="3" a="1"/>
  <c r="L776" i="3" s="1"/>
  <c r="K776" i="3" a="1"/>
  <c r="K776" i="3" s="1"/>
  <c r="J776" i="3" a="1"/>
  <c r="J776" i="3" s="1"/>
  <c r="I776" i="3" a="1"/>
  <c r="I776" i="3" s="1"/>
  <c r="H776" i="3" a="1"/>
  <c r="H776" i="3" s="1"/>
  <c r="G776" i="3" a="1"/>
  <c r="G776" i="3" s="1"/>
  <c r="F776" i="3" a="1"/>
  <c r="F776" i="3" s="1"/>
  <c r="E776" i="3" a="1"/>
  <c r="E776" i="3" s="1"/>
  <c r="D776" i="3" a="1"/>
  <c r="D776" i="3" s="1"/>
  <c r="C776" i="3" a="1"/>
  <c r="C776" i="3" s="1"/>
  <c r="A776" i="3" s="1"/>
  <c r="L775" i="3" a="1"/>
  <c r="L775" i="3" s="1"/>
  <c r="K775" i="3" a="1"/>
  <c r="K775" i="3" s="1"/>
  <c r="J775" i="3" a="1"/>
  <c r="J775" i="3" s="1"/>
  <c r="I775" i="3" a="1"/>
  <c r="I775" i="3" s="1"/>
  <c r="H775" i="3" a="1"/>
  <c r="H775" i="3" s="1"/>
  <c r="G775" i="3" a="1"/>
  <c r="G775" i="3" s="1"/>
  <c r="F775" i="3" a="1"/>
  <c r="F775" i="3" s="1"/>
  <c r="E775" i="3" a="1"/>
  <c r="E775" i="3" s="1"/>
  <c r="D775" i="3" a="1"/>
  <c r="D775" i="3" s="1"/>
  <c r="C775" i="3" a="1"/>
  <c r="C775" i="3" s="1"/>
  <c r="A775" i="3" s="1"/>
  <c r="L774" i="3" a="1"/>
  <c r="L774" i="3" s="1"/>
  <c r="K774" i="3" a="1"/>
  <c r="K774" i="3" s="1"/>
  <c r="J774" i="3" a="1"/>
  <c r="J774" i="3" s="1"/>
  <c r="I774" i="3" a="1"/>
  <c r="I774" i="3" s="1"/>
  <c r="H774" i="3" a="1"/>
  <c r="H774" i="3" s="1"/>
  <c r="G774" i="3" a="1"/>
  <c r="G774" i="3" s="1"/>
  <c r="F774" i="3" a="1"/>
  <c r="F774" i="3" s="1"/>
  <c r="E774" i="3" a="1"/>
  <c r="E774" i="3" s="1"/>
  <c r="D774" i="3" a="1"/>
  <c r="D774" i="3" s="1"/>
  <c r="C774" i="3" a="1"/>
  <c r="C774" i="3" s="1"/>
  <c r="A774" i="3" s="1"/>
  <c r="L773" i="3" a="1"/>
  <c r="L773" i="3" s="1"/>
  <c r="K773" i="3" a="1"/>
  <c r="K773" i="3" s="1"/>
  <c r="J773" i="3" a="1"/>
  <c r="J773" i="3" s="1"/>
  <c r="I773" i="3" a="1"/>
  <c r="I773" i="3" s="1"/>
  <c r="H773" i="3" a="1"/>
  <c r="H773" i="3" s="1"/>
  <c r="G773" i="3" a="1"/>
  <c r="G773" i="3" s="1"/>
  <c r="F773" i="3" a="1"/>
  <c r="F773" i="3" s="1"/>
  <c r="E773" i="3" a="1"/>
  <c r="E773" i="3" s="1"/>
  <c r="D773" i="3" a="1"/>
  <c r="D773" i="3" s="1"/>
  <c r="C773" i="3" a="1"/>
  <c r="C773" i="3" s="1"/>
  <c r="A773" i="3" s="1"/>
  <c r="L772" i="3" a="1"/>
  <c r="L772" i="3" s="1"/>
  <c r="K772" i="3" a="1"/>
  <c r="K772" i="3" s="1"/>
  <c r="J772" i="3" a="1"/>
  <c r="J772" i="3" s="1"/>
  <c r="I772" i="3" a="1"/>
  <c r="I772" i="3" s="1"/>
  <c r="H772" i="3" a="1"/>
  <c r="H772" i="3" s="1"/>
  <c r="G772" i="3" a="1"/>
  <c r="G772" i="3" s="1"/>
  <c r="F772" i="3" a="1"/>
  <c r="F772" i="3" s="1"/>
  <c r="E772" i="3" a="1"/>
  <c r="E772" i="3" s="1"/>
  <c r="D772" i="3" a="1"/>
  <c r="D772" i="3" s="1"/>
  <c r="C772" i="3" a="1"/>
  <c r="C772" i="3" s="1"/>
  <c r="A772" i="3" s="1"/>
  <c r="L771" i="3" a="1"/>
  <c r="L771" i="3" s="1"/>
  <c r="K771" i="3" a="1"/>
  <c r="K771" i="3" s="1"/>
  <c r="J771" i="3" a="1"/>
  <c r="J771" i="3" s="1"/>
  <c r="I771" i="3" a="1"/>
  <c r="I771" i="3" s="1"/>
  <c r="H771" i="3" a="1"/>
  <c r="H771" i="3" s="1"/>
  <c r="G771" i="3" a="1"/>
  <c r="G771" i="3" s="1"/>
  <c r="F771" i="3" a="1"/>
  <c r="F771" i="3" s="1"/>
  <c r="E771" i="3" a="1"/>
  <c r="E771" i="3" s="1"/>
  <c r="D771" i="3" a="1"/>
  <c r="D771" i="3" s="1"/>
  <c r="C771" i="3" a="1"/>
  <c r="C771" i="3" s="1"/>
  <c r="A771" i="3" s="1"/>
  <c r="L770" i="3" a="1"/>
  <c r="L770" i="3" s="1"/>
  <c r="K770" i="3" a="1"/>
  <c r="K770" i="3" s="1"/>
  <c r="J770" i="3" a="1"/>
  <c r="J770" i="3" s="1"/>
  <c r="I770" i="3" a="1"/>
  <c r="I770" i="3" s="1"/>
  <c r="H770" i="3" a="1"/>
  <c r="H770" i="3" s="1"/>
  <c r="G770" i="3" a="1"/>
  <c r="G770" i="3" s="1"/>
  <c r="F770" i="3" a="1"/>
  <c r="F770" i="3" s="1"/>
  <c r="E770" i="3" a="1"/>
  <c r="E770" i="3" s="1"/>
  <c r="D770" i="3" a="1"/>
  <c r="D770" i="3" s="1"/>
  <c r="C770" i="3" a="1"/>
  <c r="C770" i="3" s="1"/>
  <c r="A770" i="3" s="1"/>
  <c r="L769" i="3" a="1"/>
  <c r="L769" i="3" s="1"/>
  <c r="K769" i="3" a="1"/>
  <c r="K769" i="3" s="1"/>
  <c r="J769" i="3" a="1"/>
  <c r="J769" i="3" s="1"/>
  <c r="I769" i="3" a="1"/>
  <c r="I769" i="3" s="1"/>
  <c r="H769" i="3" a="1"/>
  <c r="H769" i="3" s="1"/>
  <c r="G769" i="3" a="1"/>
  <c r="G769" i="3" s="1"/>
  <c r="F769" i="3" a="1"/>
  <c r="F769" i="3" s="1"/>
  <c r="E769" i="3" a="1"/>
  <c r="E769" i="3" s="1"/>
  <c r="D769" i="3" a="1"/>
  <c r="D769" i="3" s="1"/>
  <c r="C769" i="3" a="1"/>
  <c r="C769" i="3" s="1"/>
  <c r="A769" i="3" s="1"/>
  <c r="L768" i="3" a="1"/>
  <c r="L768" i="3" s="1"/>
  <c r="K768" i="3" a="1"/>
  <c r="K768" i="3" s="1"/>
  <c r="J768" i="3" a="1"/>
  <c r="J768" i="3" s="1"/>
  <c r="I768" i="3" a="1"/>
  <c r="I768" i="3" s="1"/>
  <c r="H768" i="3" a="1"/>
  <c r="H768" i="3" s="1"/>
  <c r="G768" i="3" a="1"/>
  <c r="G768" i="3" s="1"/>
  <c r="F768" i="3" a="1"/>
  <c r="F768" i="3" s="1"/>
  <c r="E768" i="3" a="1"/>
  <c r="E768" i="3" s="1"/>
  <c r="D768" i="3" a="1"/>
  <c r="D768" i="3" s="1"/>
  <c r="C768" i="3" a="1"/>
  <c r="C768" i="3" s="1"/>
  <c r="A768" i="3" s="1"/>
  <c r="L767" i="3" a="1"/>
  <c r="L767" i="3" s="1"/>
  <c r="K767" i="3" a="1"/>
  <c r="K767" i="3" s="1"/>
  <c r="J767" i="3" a="1"/>
  <c r="J767" i="3" s="1"/>
  <c r="I767" i="3" a="1"/>
  <c r="I767" i="3" s="1"/>
  <c r="H767" i="3" a="1"/>
  <c r="H767" i="3" s="1"/>
  <c r="G767" i="3" a="1"/>
  <c r="G767" i="3" s="1"/>
  <c r="F767" i="3" a="1"/>
  <c r="F767" i="3" s="1"/>
  <c r="E767" i="3" a="1"/>
  <c r="E767" i="3" s="1"/>
  <c r="D767" i="3" a="1"/>
  <c r="D767" i="3" s="1"/>
  <c r="C767" i="3" a="1"/>
  <c r="C767" i="3" s="1"/>
  <c r="A767" i="3" s="1"/>
  <c r="L766" i="3" a="1"/>
  <c r="L766" i="3" s="1"/>
  <c r="K766" i="3" a="1"/>
  <c r="K766" i="3" s="1"/>
  <c r="J766" i="3" a="1"/>
  <c r="J766" i="3" s="1"/>
  <c r="I766" i="3" a="1"/>
  <c r="I766" i="3" s="1"/>
  <c r="H766" i="3" a="1"/>
  <c r="H766" i="3" s="1"/>
  <c r="G766" i="3" a="1"/>
  <c r="G766" i="3" s="1"/>
  <c r="F766" i="3" a="1"/>
  <c r="F766" i="3" s="1"/>
  <c r="E766" i="3" a="1"/>
  <c r="E766" i="3" s="1"/>
  <c r="D766" i="3" a="1"/>
  <c r="D766" i="3" s="1"/>
  <c r="C766" i="3" a="1"/>
  <c r="C766" i="3" s="1"/>
  <c r="A766" i="3" s="1"/>
  <c r="L765" i="3" a="1"/>
  <c r="L765" i="3" s="1"/>
  <c r="K765" i="3" a="1"/>
  <c r="K765" i="3" s="1"/>
  <c r="J765" i="3" a="1"/>
  <c r="J765" i="3" s="1"/>
  <c r="I765" i="3" a="1"/>
  <c r="I765" i="3" s="1"/>
  <c r="H765" i="3" a="1"/>
  <c r="H765" i="3" s="1"/>
  <c r="G765" i="3" a="1"/>
  <c r="G765" i="3" s="1"/>
  <c r="F765" i="3" a="1"/>
  <c r="F765" i="3" s="1"/>
  <c r="E765" i="3" a="1"/>
  <c r="E765" i="3" s="1"/>
  <c r="D765" i="3" a="1"/>
  <c r="D765" i="3" s="1"/>
  <c r="C765" i="3" a="1"/>
  <c r="C765" i="3" s="1"/>
  <c r="A765" i="3" s="1"/>
  <c r="L764" i="3" a="1"/>
  <c r="L764" i="3" s="1"/>
  <c r="K764" i="3" a="1"/>
  <c r="K764" i="3" s="1"/>
  <c r="J764" i="3" a="1"/>
  <c r="J764" i="3" s="1"/>
  <c r="I764" i="3" a="1"/>
  <c r="I764" i="3" s="1"/>
  <c r="H764" i="3" a="1"/>
  <c r="H764" i="3" s="1"/>
  <c r="G764" i="3" a="1"/>
  <c r="G764" i="3" s="1"/>
  <c r="F764" i="3" a="1"/>
  <c r="F764" i="3" s="1"/>
  <c r="E764" i="3" a="1"/>
  <c r="E764" i="3" s="1"/>
  <c r="D764" i="3" a="1"/>
  <c r="D764" i="3" s="1"/>
  <c r="C764" i="3" a="1"/>
  <c r="C764" i="3" s="1"/>
  <c r="A764" i="3" s="1"/>
  <c r="L763" i="3" a="1"/>
  <c r="L763" i="3" s="1"/>
  <c r="K763" i="3" a="1"/>
  <c r="K763" i="3" s="1"/>
  <c r="J763" i="3" a="1"/>
  <c r="J763" i="3" s="1"/>
  <c r="I763" i="3" a="1"/>
  <c r="I763" i="3" s="1"/>
  <c r="H763" i="3" a="1"/>
  <c r="H763" i="3" s="1"/>
  <c r="G763" i="3" a="1"/>
  <c r="G763" i="3" s="1"/>
  <c r="F763" i="3" a="1"/>
  <c r="F763" i="3" s="1"/>
  <c r="E763" i="3" a="1"/>
  <c r="E763" i="3" s="1"/>
  <c r="D763" i="3" a="1"/>
  <c r="D763" i="3" s="1"/>
  <c r="C763" i="3" a="1"/>
  <c r="C763" i="3" s="1"/>
  <c r="A763" i="3" s="1"/>
  <c r="L762" i="3" a="1"/>
  <c r="L762" i="3" s="1"/>
  <c r="K762" i="3" a="1"/>
  <c r="K762" i="3" s="1"/>
  <c r="J762" i="3" a="1"/>
  <c r="J762" i="3" s="1"/>
  <c r="I762" i="3" a="1"/>
  <c r="I762" i="3" s="1"/>
  <c r="H762" i="3" a="1"/>
  <c r="H762" i="3" s="1"/>
  <c r="G762" i="3" a="1"/>
  <c r="G762" i="3" s="1"/>
  <c r="F762" i="3" a="1"/>
  <c r="F762" i="3" s="1"/>
  <c r="E762" i="3" a="1"/>
  <c r="E762" i="3" s="1"/>
  <c r="D762" i="3" a="1"/>
  <c r="D762" i="3" s="1"/>
  <c r="C762" i="3" a="1"/>
  <c r="C762" i="3" s="1"/>
  <c r="A762" i="3" s="1"/>
  <c r="L761" i="3" a="1"/>
  <c r="L761" i="3" s="1"/>
  <c r="K761" i="3" a="1"/>
  <c r="K761" i="3" s="1"/>
  <c r="J761" i="3" a="1"/>
  <c r="J761" i="3" s="1"/>
  <c r="I761" i="3" a="1"/>
  <c r="I761" i="3" s="1"/>
  <c r="H761" i="3" a="1"/>
  <c r="H761" i="3" s="1"/>
  <c r="G761" i="3" a="1"/>
  <c r="G761" i="3" s="1"/>
  <c r="F761" i="3" a="1"/>
  <c r="F761" i="3" s="1"/>
  <c r="E761" i="3" a="1"/>
  <c r="E761" i="3" s="1"/>
  <c r="D761" i="3" a="1"/>
  <c r="D761" i="3" s="1"/>
  <c r="C761" i="3" a="1"/>
  <c r="C761" i="3" s="1"/>
  <c r="A761" i="3" s="1"/>
  <c r="L760" i="3" a="1"/>
  <c r="L760" i="3" s="1"/>
  <c r="K760" i="3" a="1"/>
  <c r="K760" i="3" s="1"/>
  <c r="J760" i="3" a="1"/>
  <c r="J760" i="3" s="1"/>
  <c r="I760" i="3" a="1"/>
  <c r="I760" i="3" s="1"/>
  <c r="H760" i="3" a="1"/>
  <c r="H760" i="3" s="1"/>
  <c r="G760" i="3" a="1"/>
  <c r="G760" i="3" s="1"/>
  <c r="F760" i="3" a="1"/>
  <c r="F760" i="3" s="1"/>
  <c r="E760" i="3" a="1"/>
  <c r="E760" i="3" s="1"/>
  <c r="D760" i="3" a="1"/>
  <c r="D760" i="3" s="1"/>
  <c r="C760" i="3" a="1"/>
  <c r="C760" i="3" s="1"/>
  <c r="A760" i="3" s="1"/>
  <c r="L759" i="3" a="1"/>
  <c r="L759" i="3" s="1"/>
  <c r="K759" i="3" a="1"/>
  <c r="K759" i="3" s="1"/>
  <c r="J759" i="3" a="1"/>
  <c r="J759" i="3" s="1"/>
  <c r="I759" i="3" a="1"/>
  <c r="I759" i="3" s="1"/>
  <c r="H759" i="3" a="1"/>
  <c r="H759" i="3" s="1"/>
  <c r="G759" i="3" a="1"/>
  <c r="G759" i="3" s="1"/>
  <c r="F759" i="3" a="1"/>
  <c r="F759" i="3" s="1"/>
  <c r="E759" i="3" a="1"/>
  <c r="E759" i="3" s="1"/>
  <c r="D759" i="3" a="1"/>
  <c r="D759" i="3" s="1"/>
  <c r="C759" i="3" a="1"/>
  <c r="C759" i="3" s="1"/>
  <c r="A759" i="3" s="1"/>
  <c r="L758" i="3" a="1"/>
  <c r="L758" i="3" s="1"/>
  <c r="K758" i="3" a="1"/>
  <c r="K758" i="3" s="1"/>
  <c r="J758" i="3" a="1"/>
  <c r="J758" i="3" s="1"/>
  <c r="I758" i="3" a="1"/>
  <c r="I758" i="3" s="1"/>
  <c r="H758" i="3" a="1"/>
  <c r="H758" i="3" s="1"/>
  <c r="G758" i="3" a="1"/>
  <c r="G758" i="3" s="1"/>
  <c r="F758" i="3" a="1"/>
  <c r="F758" i="3" s="1"/>
  <c r="E758" i="3" a="1"/>
  <c r="E758" i="3" s="1"/>
  <c r="D758" i="3" a="1"/>
  <c r="D758" i="3" s="1"/>
  <c r="C758" i="3" a="1"/>
  <c r="C758" i="3" s="1"/>
  <c r="A758" i="3" s="1"/>
  <c r="L757" i="3" a="1"/>
  <c r="L757" i="3" s="1"/>
  <c r="K757" i="3" a="1"/>
  <c r="K757" i="3" s="1"/>
  <c r="J757" i="3" a="1"/>
  <c r="J757" i="3" s="1"/>
  <c r="I757" i="3" a="1"/>
  <c r="I757" i="3" s="1"/>
  <c r="H757" i="3" a="1"/>
  <c r="H757" i="3" s="1"/>
  <c r="G757" i="3" a="1"/>
  <c r="G757" i="3" s="1"/>
  <c r="F757" i="3" a="1"/>
  <c r="F757" i="3" s="1"/>
  <c r="E757" i="3" a="1"/>
  <c r="E757" i="3" s="1"/>
  <c r="D757" i="3" a="1"/>
  <c r="D757" i="3" s="1"/>
  <c r="C757" i="3" a="1"/>
  <c r="C757" i="3" s="1"/>
  <c r="A757" i="3" s="1"/>
  <c r="L756" i="3" a="1"/>
  <c r="L756" i="3" s="1"/>
  <c r="K756" i="3" a="1"/>
  <c r="K756" i="3" s="1"/>
  <c r="J756" i="3" a="1"/>
  <c r="J756" i="3" s="1"/>
  <c r="I756" i="3" a="1"/>
  <c r="I756" i="3" s="1"/>
  <c r="H756" i="3" a="1"/>
  <c r="H756" i="3" s="1"/>
  <c r="G756" i="3" a="1"/>
  <c r="G756" i="3" s="1"/>
  <c r="F756" i="3" a="1"/>
  <c r="F756" i="3" s="1"/>
  <c r="E756" i="3" a="1"/>
  <c r="E756" i="3" s="1"/>
  <c r="D756" i="3" a="1"/>
  <c r="D756" i="3" s="1"/>
  <c r="C756" i="3" a="1"/>
  <c r="C756" i="3" s="1"/>
  <c r="A756" i="3" s="1"/>
  <c r="L755" i="3" a="1"/>
  <c r="L755" i="3" s="1"/>
  <c r="K755" i="3" a="1"/>
  <c r="K755" i="3" s="1"/>
  <c r="J755" i="3" a="1"/>
  <c r="J755" i="3" s="1"/>
  <c r="I755" i="3" a="1"/>
  <c r="I755" i="3" s="1"/>
  <c r="H755" i="3" a="1"/>
  <c r="H755" i="3" s="1"/>
  <c r="G755" i="3" a="1"/>
  <c r="G755" i="3" s="1"/>
  <c r="F755" i="3" a="1"/>
  <c r="F755" i="3" s="1"/>
  <c r="E755" i="3" a="1"/>
  <c r="E755" i="3" s="1"/>
  <c r="D755" i="3" a="1"/>
  <c r="D755" i="3" s="1"/>
  <c r="C755" i="3" a="1"/>
  <c r="C755" i="3" s="1"/>
  <c r="A755" i="3" s="1"/>
  <c r="L754" i="3" a="1"/>
  <c r="L754" i="3" s="1"/>
  <c r="K754" i="3" a="1"/>
  <c r="K754" i="3" s="1"/>
  <c r="J754" i="3" a="1"/>
  <c r="J754" i="3" s="1"/>
  <c r="I754" i="3" a="1"/>
  <c r="I754" i="3" s="1"/>
  <c r="H754" i="3" a="1"/>
  <c r="H754" i="3" s="1"/>
  <c r="G754" i="3" a="1"/>
  <c r="G754" i="3" s="1"/>
  <c r="F754" i="3" a="1"/>
  <c r="F754" i="3" s="1"/>
  <c r="E754" i="3" a="1"/>
  <c r="E754" i="3" s="1"/>
  <c r="D754" i="3" a="1"/>
  <c r="D754" i="3" s="1"/>
  <c r="C754" i="3" a="1"/>
  <c r="C754" i="3" s="1"/>
  <c r="A754" i="3" s="1"/>
  <c r="L753" i="3" a="1"/>
  <c r="L753" i="3" s="1"/>
  <c r="K753" i="3" a="1"/>
  <c r="K753" i="3" s="1"/>
  <c r="J753" i="3" a="1"/>
  <c r="J753" i="3" s="1"/>
  <c r="I753" i="3" a="1"/>
  <c r="I753" i="3" s="1"/>
  <c r="H753" i="3" a="1"/>
  <c r="H753" i="3" s="1"/>
  <c r="G753" i="3" a="1"/>
  <c r="G753" i="3" s="1"/>
  <c r="F753" i="3" a="1"/>
  <c r="F753" i="3" s="1"/>
  <c r="E753" i="3" a="1"/>
  <c r="E753" i="3" s="1"/>
  <c r="D753" i="3" a="1"/>
  <c r="D753" i="3" s="1"/>
  <c r="C753" i="3" a="1"/>
  <c r="C753" i="3" s="1"/>
  <c r="A753" i="3" s="1"/>
  <c r="L752" i="3" a="1"/>
  <c r="L752" i="3" s="1"/>
  <c r="K752" i="3" a="1"/>
  <c r="K752" i="3" s="1"/>
  <c r="J752" i="3" a="1"/>
  <c r="J752" i="3" s="1"/>
  <c r="I752" i="3" a="1"/>
  <c r="I752" i="3" s="1"/>
  <c r="H752" i="3" a="1"/>
  <c r="H752" i="3" s="1"/>
  <c r="G752" i="3" a="1"/>
  <c r="G752" i="3" s="1"/>
  <c r="F752" i="3" a="1"/>
  <c r="F752" i="3" s="1"/>
  <c r="E752" i="3" a="1"/>
  <c r="E752" i="3" s="1"/>
  <c r="D752" i="3" a="1"/>
  <c r="D752" i="3" s="1"/>
  <c r="C752" i="3" a="1"/>
  <c r="C752" i="3" s="1"/>
  <c r="A752" i="3" s="1"/>
  <c r="L751" i="3" a="1"/>
  <c r="L751" i="3" s="1"/>
  <c r="K751" i="3" a="1"/>
  <c r="K751" i="3" s="1"/>
  <c r="J751" i="3" a="1"/>
  <c r="J751" i="3" s="1"/>
  <c r="I751" i="3" a="1"/>
  <c r="I751" i="3" s="1"/>
  <c r="H751" i="3" a="1"/>
  <c r="H751" i="3" s="1"/>
  <c r="G751" i="3" a="1"/>
  <c r="G751" i="3" s="1"/>
  <c r="F751" i="3" a="1"/>
  <c r="F751" i="3" s="1"/>
  <c r="E751" i="3" a="1"/>
  <c r="E751" i="3" s="1"/>
  <c r="D751" i="3" a="1"/>
  <c r="D751" i="3" s="1"/>
  <c r="C751" i="3" a="1"/>
  <c r="C751" i="3" s="1"/>
  <c r="A751" i="3" s="1"/>
  <c r="L750" i="3" a="1"/>
  <c r="L750" i="3" s="1"/>
  <c r="K750" i="3" a="1"/>
  <c r="K750" i="3" s="1"/>
  <c r="J750" i="3" a="1"/>
  <c r="J750" i="3" s="1"/>
  <c r="I750" i="3" a="1"/>
  <c r="I750" i="3" s="1"/>
  <c r="H750" i="3" a="1"/>
  <c r="H750" i="3" s="1"/>
  <c r="G750" i="3" a="1"/>
  <c r="G750" i="3" s="1"/>
  <c r="F750" i="3" a="1"/>
  <c r="F750" i="3" s="1"/>
  <c r="E750" i="3" a="1"/>
  <c r="E750" i="3" s="1"/>
  <c r="D750" i="3" a="1"/>
  <c r="D750" i="3" s="1"/>
  <c r="C750" i="3" a="1"/>
  <c r="C750" i="3" s="1"/>
  <c r="A750" i="3" s="1"/>
  <c r="L749" i="3" a="1"/>
  <c r="L749" i="3" s="1"/>
  <c r="K749" i="3" a="1"/>
  <c r="K749" i="3" s="1"/>
  <c r="J749" i="3" a="1"/>
  <c r="J749" i="3" s="1"/>
  <c r="I749" i="3" a="1"/>
  <c r="I749" i="3" s="1"/>
  <c r="H749" i="3" a="1"/>
  <c r="H749" i="3" s="1"/>
  <c r="G749" i="3" a="1"/>
  <c r="G749" i="3" s="1"/>
  <c r="F749" i="3" a="1"/>
  <c r="F749" i="3" s="1"/>
  <c r="E749" i="3" a="1"/>
  <c r="E749" i="3" s="1"/>
  <c r="D749" i="3" a="1"/>
  <c r="D749" i="3" s="1"/>
  <c r="C749" i="3" a="1"/>
  <c r="C749" i="3" s="1"/>
  <c r="A749" i="3" s="1"/>
  <c r="L748" i="3" a="1"/>
  <c r="L748" i="3" s="1"/>
  <c r="K748" i="3" a="1"/>
  <c r="K748" i="3" s="1"/>
  <c r="J748" i="3" a="1"/>
  <c r="J748" i="3" s="1"/>
  <c r="I748" i="3" a="1"/>
  <c r="I748" i="3" s="1"/>
  <c r="H748" i="3" a="1"/>
  <c r="H748" i="3" s="1"/>
  <c r="G748" i="3" a="1"/>
  <c r="G748" i="3" s="1"/>
  <c r="F748" i="3" a="1"/>
  <c r="F748" i="3" s="1"/>
  <c r="E748" i="3" a="1"/>
  <c r="E748" i="3" s="1"/>
  <c r="D748" i="3" a="1"/>
  <c r="D748" i="3" s="1"/>
  <c r="C748" i="3" a="1"/>
  <c r="C748" i="3" s="1"/>
  <c r="A748" i="3" s="1"/>
  <c r="L747" i="3" a="1"/>
  <c r="L747" i="3" s="1"/>
  <c r="K747" i="3" a="1"/>
  <c r="K747" i="3" s="1"/>
  <c r="J747" i="3" a="1"/>
  <c r="J747" i="3" s="1"/>
  <c r="I747" i="3" a="1"/>
  <c r="I747" i="3" s="1"/>
  <c r="H747" i="3" a="1"/>
  <c r="H747" i="3" s="1"/>
  <c r="G747" i="3" a="1"/>
  <c r="G747" i="3" s="1"/>
  <c r="F747" i="3" a="1"/>
  <c r="F747" i="3" s="1"/>
  <c r="E747" i="3" a="1"/>
  <c r="E747" i="3" s="1"/>
  <c r="D747" i="3" a="1"/>
  <c r="D747" i="3" s="1"/>
  <c r="C747" i="3" a="1"/>
  <c r="C747" i="3" s="1"/>
  <c r="A747" i="3" s="1"/>
  <c r="L746" i="3" a="1"/>
  <c r="L746" i="3" s="1"/>
  <c r="K746" i="3" a="1"/>
  <c r="K746" i="3" s="1"/>
  <c r="J746" i="3" a="1"/>
  <c r="J746" i="3" s="1"/>
  <c r="I746" i="3" a="1"/>
  <c r="I746" i="3" s="1"/>
  <c r="H746" i="3" a="1"/>
  <c r="H746" i="3" s="1"/>
  <c r="G746" i="3" a="1"/>
  <c r="G746" i="3" s="1"/>
  <c r="F746" i="3" a="1"/>
  <c r="F746" i="3" s="1"/>
  <c r="E746" i="3" a="1"/>
  <c r="E746" i="3" s="1"/>
  <c r="D746" i="3" a="1"/>
  <c r="D746" i="3" s="1"/>
  <c r="C746" i="3" a="1"/>
  <c r="C746" i="3" s="1"/>
  <c r="A746" i="3" s="1"/>
  <c r="L745" i="3" a="1"/>
  <c r="L745" i="3" s="1"/>
  <c r="K745" i="3" a="1"/>
  <c r="K745" i="3" s="1"/>
  <c r="J745" i="3" a="1"/>
  <c r="J745" i="3" s="1"/>
  <c r="I745" i="3" a="1"/>
  <c r="I745" i="3" s="1"/>
  <c r="H745" i="3" a="1"/>
  <c r="H745" i="3" s="1"/>
  <c r="G745" i="3" a="1"/>
  <c r="G745" i="3" s="1"/>
  <c r="F745" i="3" a="1"/>
  <c r="F745" i="3" s="1"/>
  <c r="E745" i="3" a="1"/>
  <c r="E745" i="3" s="1"/>
  <c r="D745" i="3" a="1"/>
  <c r="D745" i="3" s="1"/>
  <c r="C745" i="3" a="1"/>
  <c r="C745" i="3" s="1"/>
  <c r="A745" i="3" s="1"/>
  <c r="L744" i="3" a="1"/>
  <c r="L744" i="3" s="1"/>
  <c r="K744" i="3" a="1"/>
  <c r="K744" i="3" s="1"/>
  <c r="J744" i="3" a="1"/>
  <c r="J744" i="3" s="1"/>
  <c r="I744" i="3" a="1"/>
  <c r="I744" i="3" s="1"/>
  <c r="H744" i="3" a="1"/>
  <c r="H744" i="3" s="1"/>
  <c r="G744" i="3" a="1"/>
  <c r="G744" i="3" s="1"/>
  <c r="F744" i="3" a="1"/>
  <c r="F744" i="3" s="1"/>
  <c r="E744" i="3" a="1"/>
  <c r="E744" i="3" s="1"/>
  <c r="D744" i="3" a="1"/>
  <c r="D744" i="3" s="1"/>
  <c r="C744" i="3" a="1"/>
  <c r="C744" i="3" s="1"/>
  <c r="A744" i="3" s="1"/>
  <c r="L743" i="3" a="1"/>
  <c r="L743" i="3" s="1"/>
  <c r="K743" i="3" a="1"/>
  <c r="K743" i="3" s="1"/>
  <c r="J743" i="3" a="1"/>
  <c r="J743" i="3" s="1"/>
  <c r="I743" i="3" a="1"/>
  <c r="I743" i="3" s="1"/>
  <c r="H743" i="3" a="1"/>
  <c r="H743" i="3" s="1"/>
  <c r="G743" i="3" a="1"/>
  <c r="G743" i="3" s="1"/>
  <c r="F743" i="3" a="1"/>
  <c r="F743" i="3" s="1"/>
  <c r="E743" i="3" a="1"/>
  <c r="E743" i="3" s="1"/>
  <c r="D743" i="3" a="1"/>
  <c r="D743" i="3" s="1"/>
  <c r="C743" i="3" a="1"/>
  <c r="C743" i="3" s="1"/>
  <c r="A743" i="3" s="1"/>
  <c r="L742" i="3" a="1"/>
  <c r="L742" i="3" s="1"/>
  <c r="K742" i="3" a="1"/>
  <c r="K742" i="3" s="1"/>
  <c r="J742" i="3" a="1"/>
  <c r="J742" i="3" s="1"/>
  <c r="I742" i="3" a="1"/>
  <c r="I742" i="3" s="1"/>
  <c r="H742" i="3" a="1"/>
  <c r="H742" i="3" s="1"/>
  <c r="G742" i="3" a="1"/>
  <c r="G742" i="3" s="1"/>
  <c r="F742" i="3" a="1"/>
  <c r="F742" i="3" s="1"/>
  <c r="E742" i="3" a="1"/>
  <c r="E742" i="3" s="1"/>
  <c r="D742" i="3" a="1"/>
  <c r="D742" i="3" s="1"/>
  <c r="C742" i="3" a="1"/>
  <c r="C742" i="3" s="1"/>
  <c r="A742" i="3" s="1"/>
  <c r="L741" i="3" a="1"/>
  <c r="L741" i="3" s="1"/>
  <c r="K741" i="3" a="1"/>
  <c r="K741" i="3" s="1"/>
  <c r="J741" i="3" a="1"/>
  <c r="J741" i="3" s="1"/>
  <c r="I741" i="3" a="1"/>
  <c r="I741" i="3" s="1"/>
  <c r="H741" i="3" a="1"/>
  <c r="H741" i="3" s="1"/>
  <c r="G741" i="3" a="1"/>
  <c r="G741" i="3" s="1"/>
  <c r="F741" i="3" a="1"/>
  <c r="F741" i="3" s="1"/>
  <c r="E741" i="3" a="1"/>
  <c r="E741" i="3" s="1"/>
  <c r="D741" i="3" a="1"/>
  <c r="D741" i="3" s="1"/>
  <c r="C741" i="3" a="1"/>
  <c r="C741" i="3" s="1"/>
  <c r="A741" i="3" s="1"/>
  <c r="L740" i="3" a="1"/>
  <c r="L740" i="3" s="1"/>
  <c r="K740" i="3" a="1"/>
  <c r="K740" i="3" s="1"/>
  <c r="J740" i="3" a="1"/>
  <c r="J740" i="3" s="1"/>
  <c r="I740" i="3" a="1"/>
  <c r="I740" i="3" s="1"/>
  <c r="H740" i="3" a="1"/>
  <c r="H740" i="3" s="1"/>
  <c r="G740" i="3" a="1"/>
  <c r="G740" i="3" s="1"/>
  <c r="F740" i="3" a="1"/>
  <c r="F740" i="3" s="1"/>
  <c r="E740" i="3" a="1"/>
  <c r="E740" i="3" s="1"/>
  <c r="D740" i="3" a="1"/>
  <c r="D740" i="3" s="1"/>
  <c r="C740" i="3" a="1"/>
  <c r="C740" i="3" s="1"/>
  <c r="A740" i="3" s="1"/>
  <c r="L739" i="3" a="1"/>
  <c r="L739" i="3" s="1"/>
  <c r="K739" i="3" a="1"/>
  <c r="K739" i="3" s="1"/>
  <c r="J739" i="3" a="1"/>
  <c r="J739" i="3" s="1"/>
  <c r="I739" i="3" a="1"/>
  <c r="I739" i="3" s="1"/>
  <c r="H739" i="3" a="1"/>
  <c r="H739" i="3" s="1"/>
  <c r="G739" i="3" a="1"/>
  <c r="G739" i="3" s="1"/>
  <c r="F739" i="3" a="1"/>
  <c r="F739" i="3" s="1"/>
  <c r="E739" i="3" a="1"/>
  <c r="E739" i="3" s="1"/>
  <c r="D739" i="3" a="1"/>
  <c r="D739" i="3" s="1"/>
  <c r="C739" i="3" a="1"/>
  <c r="C739" i="3" s="1"/>
  <c r="A739" i="3" s="1"/>
  <c r="L738" i="3" a="1"/>
  <c r="L738" i="3" s="1"/>
  <c r="K738" i="3" a="1"/>
  <c r="K738" i="3" s="1"/>
  <c r="J738" i="3" a="1"/>
  <c r="J738" i="3" s="1"/>
  <c r="I738" i="3" a="1"/>
  <c r="I738" i="3" s="1"/>
  <c r="H738" i="3" a="1"/>
  <c r="H738" i="3" s="1"/>
  <c r="G738" i="3" a="1"/>
  <c r="G738" i="3" s="1"/>
  <c r="F738" i="3" a="1"/>
  <c r="F738" i="3" s="1"/>
  <c r="E738" i="3" a="1"/>
  <c r="E738" i="3" s="1"/>
  <c r="D738" i="3" a="1"/>
  <c r="D738" i="3" s="1"/>
  <c r="C738" i="3" a="1"/>
  <c r="C738" i="3" s="1"/>
  <c r="A738" i="3" s="1"/>
  <c r="L737" i="3" a="1"/>
  <c r="L737" i="3" s="1"/>
  <c r="K737" i="3" a="1"/>
  <c r="K737" i="3" s="1"/>
  <c r="J737" i="3" a="1"/>
  <c r="J737" i="3" s="1"/>
  <c r="I737" i="3" a="1"/>
  <c r="I737" i="3" s="1"/>
  <c r="H737" i="3" a="1"/>
  <c r="H737" i="3" s="1"/>
  <c r="G737" i="3" a="1"/>
  <c r="G737" i="3" s="1"/>
  <c r="F737" i="3" a="1"/>
  <c r="F737" i="3" s="1"/>
  <c r="E737" i="3" a="1"/>
  <c r="E737" i="3" s="1"/>
  <c r="D737" i="3" a="1"/>
  <c r="D737" i="3" s="1"/>
  <c r="C737" i="3" a="1"/>
  <c r="C737" i="3" s="1"/>
  <c r="A737" i="3" s="1"/>
  <c r="L736" i="3" a="1"/>
  <c r="L736" i="3" s="1"/>
  <c r="K736" i="3" a="1"/>
  <c r="K736" i="3" s="1"/>
  <c r="J736" i="3" a="1"/>
  <c r="J736" i="3" s="1"/>
  <c r="I736" i="3" a="1"/>
  <c r="I736" i="3" s="1"/>
  <c r="H736" i="3" a="1"/>
  <c r="H736" i="3" s="1"/>
  <c r="G736" i="3" a="1"/>
  <c r="G736" i="3" s="1"/>
  <c r="F736" i="3" a="1"/>
  <c r="F736" i="3" s="1"/>
  <c r="E736" i="3" a="1"/>
  <c r="E736" i="3" s="1"/>
  <c r="D736" i="3" a="1"/>
  <c r="D736" i="3" s="1"/>
  <c r="C736" i="3" a="1"/>
  <c r="C736" i="3" s="1"/>
  <c r="A736" i="3" s="1"/>
  <c r="L735" i="3" a="1"/>
  <c r="L735" i="3" s="1"/>
  <c r="K735" i="3" a="1"/>
  <c r="K735" i="3" s="1"/>
  <c r="J735" i="3" a="1"/>
  <c r="J735" i="3" s="1"/>
  <c r="I735" i="3" a="1"/>
  <c r="I735" i="3" s="1"/>
  <c r="H735" i="3" a="1"/>
  <c r="H735" i="3" s="1"/>
  <c r="G735" i="3" a="1"/>
  <c r="G735" i="3" s="1"/>
  <c r="F735" i="3" a="1"/>
  <c r="F735" i="3" s="1"/>
  <c r="E735" i="3" a="1"/>
  <c r="E735" i="3" s="1"/>
  <c r="D735" i="3" a="1"/>
  <c r="D735" i="3" s="1"/>
  <c r="C735" i="3" a="1"/>
  <c r="C735" i="3" s="1"/>
  <c r="A735" i="3" s="1"/>
  <c r="L734" i="3" a="1"/>
  <c r="L734" i="3" s="1"/>
  <c r="K734" i="3" a="1"/>
  <c r="K734" i="3" s="1"/>
  <c r="J734" i="3" a="1"/>
  <c r="J734" i="3" s="1"/>
  <c r="I734" i="3" a="1"/>
  <c r="I734" i="3" s="1"/>
  <c r="H734" i="3" a="1"/>
  <c r="H734" i="3" s="1"/>
  <c r="G734" i="3" a="1"/>
  <c r="G734" i="3" s="1"/>
  <c r="F734" i="3" a="1"/>
  <c r="F734" i="3" s="1"/>
  <c r="E734" i="3" a="1"/>
  <c r="E734" i="3" s="1"/>
  <c r="D734" i="3" a="1"/>
  <c r="D734" i="3" s="1"/>
  <c r="C734" i="3" a="1"/>
  <c r="C734" i="3" s="1"/>
  <c r="A734" i="3" s="1"/>
  <c r="L733" i="3" a="1"/>
  <c r="L733" i="3" s="1"/>
  <c r="K733" i="3" a="1"/>
  <c r="K733" i="3" s="1"/>
  <c r="J733" i="3" a="1"/>
  <c r="J733" i="3" s="1"/>
  <c r="I733" i="3" a="1"/>
  <c r="I733" i="3" s="1"/>
  <c r="H733" i="3" a="1"/>
  <c r="H733" i="3" s="1"/>
  <c r="G733" i="3" a="1"/>
  <c r="G733" i="3" s="1"/>
  <c r="F733" i="3" a="1"/>
  <c r="F733" i="3" s="1"/>
  <c r="E733" i="3" a="1"/>
  <c r="E733" i="3" s="1"/>
  <c r="D733" i="3" a="1"/>
  <c r="D733" i="3" s="1"/>
  <c r="C733" i="3" a="1"/>
  <c r="C733" i="3" s="1"/>
  <c r="A733" i="3" s="1"/>
  <c r="L732" i="3" a="1"/>
  <c r="L732" i="3" s="1"/>
  <c r="K732" i="3" a="1"/>
  <c r="K732" i="3" s="1"/>
  <c r="J732" i="3" a="1"/>
  <c r="J732" i="3" s="1"/>
  <c r="I732" i="3" a="1"/>
  <c r="I732" i="3" s="1"/>
  <c r="H732" i="3" a="1"/>
  <c r="H732" i="3" s="1"/>
  <c r="G732" i="3" a="1"/>
  <c r="G732" i="3" s="1"/>
  <c r="F732" i="3" a="1"/>
  <c r="F732" i="3" s="1"/>
  <c r="E732" i="3" a="1"/>
  <c r="E732" i="3" s="1"/>
  <c r="D732" i="3" a="1"/>
  <c r="D732" i="3" s="1"/>
  <c r="C732" i="3" a="1"/>
  <c r="C732" i="3" s="1"/>
  <c r="A732" i="3" s="1"/>
  <c r="L731" i="3" a="1"/>
  <c r="L731" i="3" s="1"/>
  <c r="K731" i="3" a="1"/>
  <c r="K731" i="3" s="1"/>
  <c r="J731" i="3" a="1"/>
  <c r="J731" i="3" s="1"/>
  <c r="I731" i="3" a="1"/>
  <c r="I731" i="3" s="1"/>
  <c r="H731" i="3" a="1"/>
  <c r="H731" i="3" s="1"/>
  <c r="G731" i="3" a="1"/>
  <c r="G731" i="3" s="1"/>
  <c r="F731" i="3" a="1"/>
  <c r="F731" i="3" s="1"/>
  <c r="E731" i="3" a="1"/>
  <c r="E731" i="3" s="1"/>
  <c r="D731" i="3" a="1"/>
  <c r="D731" i="3" s="1"/>
  <c r="C731" i="3" a="1"/>
  <c r="C731" i="3" s="1"/>
  <c r="A731" i="3" s="1"/>
  <c r="L730" i="3" a="1"/>
  <c r="L730" i="3" s="1"/>
  <c r="K730" i="3" a="1"/>
  <c r="K730" i="3" s="1"/>
  <c r="J730" i="3" a="1"/>
  <c r="J730" i="3" s="1"/>
  <c r="I730" i="3" a="1"/>
  <c r="I730" i="3" s="1"/>
  <c r="H730" i="3" a="1"/>
  <c r="H730" i="3" s="1"/>
  <c r="G730" i="3" a="1"/>
  <c r="G730" i="3" s="1"/>
  <c r="F730" i="3" a="1"/>
  <c r="F730" i="3" s="1"/>
  <c r="E730" i="3" a="1"/>
  <c r="E730" i="3" s="1"/>
  <c r="D730" i="3" a="1"/>
  <c r="D730" i="3" s="1"/>
  <c r="C730" i="3" a="1"/>
  <c r="C730" i="3" s="1"/>
  <c r="A730" i="3" s="1"/>
  <c r="L729" i="3" a="1"/>
  <c r="L729" i="3" s="1"/>
  <c r="K729" i="3" a="1"/>
  <c r="K729" i="3" s="1"/>
  <c r="J729" i="3" a="1"/>
  <c r="J729" i="3" s="1"/>
  <c r="I729" i="3" a="1"/>
  <c r="I729" i="3" s="1"/>
  <c r="H729" i="3" a="1"/>
  <c r="H729" i="3" s="1"/>
  <c r="G729" i="3" a="1"/>
  <c r="G729" i="3" s="1"/>
  <c r="F729" i="3" a="1"/>
  <c r="F729" i="3" s="1"/>
  <c r="E729" i="3" a="1"/>
  <c r="E729" i="3" s="1"/>
  <c r="D729" i="3" a="1"/>
  <c r="D729" i="3" s="1"/>
  <c r="C729" i="3" a="1"/>
  <c r="C729" i="3" s="1"/>
  <c r="A729" i="3" s="1"/>
  <c r="L728" i="3" a="1"/>
  <c r="L728" i="3" s="1"/>
  <c r="K728" i="3" a="1"/>
  <c r="K728" i="3" s="1"/>
  <c r="J728" i="3" a="1"/>
  <c r="J728" i="3" s="1"/>
  <c r="I728" i="3" a="1"/>
  <c r="I728" i="3" s="1"/>
  <c r="H728" i="3" a="1"/>
  <c r="H728" i="3" s="1"/>
  <c r="G728" i="3" a="1"/>
  <c r="G728" i="3" s="1"/>
  <c r="F728" i="3" a="1"/>
  <c r="F728" i="3" s="1"/>
  <c r="E728" i="3" a="1"/>
  <c r="E728" i="3" s="1"/>
  <c r="D728" i="3" a="1"/>
  <c r="D728" i="3" s="1"/>
  <c r="C728" i="3" a="1"/>
  <c r="C728" i="3" s="1"/>
  <c r="A728" i="3" s="1"/>
  <c r="L727" i="3" a="1"/>
  <c r="L727" i="3" s="1"/>
  <c r="K727" i="3" a="1"/>
  <c r="K727" i="3" s="1"/>
  <c r="J727" i="3" a="1"/>
  <c r="J727" i="3" s="1"/>
  <c r="I727" i="3" a="1"/>
  <c r="I727" i="3" s="1"/>
  <c r="H727" i="3" a="1"/>
  <c r="H727" i="3" s="1"/>
  <c r="G727" i="3" a="1"/>
  <c r="G727" i="3" s="1"/>
  <c r="F727" i="3" a="1"/>
  <c r="F727" i="3" s="1"/>
  <c r="E727" i="3" a="1"/>
  <c r="E727" i="3" s="1"/>
  <c r="D727" i="3" a="1"/>
  <c r="D727" i="3" s="1"/>
  <c r="C727" i="3" a="1"/>
  <c r="C727" i="3" s="1"/>
  <c r="A727" i="3" s="1"/>
  <c r="L726" i="3" a="1"/>
  <c r="L726" i="3" s="1"/>
  <c r="K726" i="3" a="1"/>
  <c r="K726" i="3" s="1"/>
  <c r="J726" i="3" a="1"/>
  <c r="J726" i="3" s="1"/>
  <c r="I726" i="3" a="1"/>
  <c r="I726" i="3" s="1"/>
  <c r="H726" i="3" a="1"/>
  <c r="H726" i="3" s="1"/>
  <c r="G726" i="3" a="1"/>
  <c r="G726" i="3" s="1"/>
  <c r="F726" i="3" a="1"/>
  <c r="F726" i="3" s="1"/>
  <c r="E726" i="3" a="1"/>
  <c r="E726" i="3" s="1"/>
  <c r="D726" i="3" a="1"/>
  <c r="D726" i="3" s="1"/>
  <c r="C726" i="3" a="1"/>
  <c r="C726" i="3" s="1"/>
  <c r="A726" i="3" s="1"/>
  <c r="L725" i="3" a="1"/>
  <c r="L725" i="3" s="1"/>
  <c r="K725" i="3" a="1"/>
  <c r="K725" i="3" s="1"/>
  <c r="J725" i="3" a="1"/>
  <c r="J725" i="3" s="1"/>
  <c r="I725" i="3" a="1"/>
  <c r="I725" i="3" s="1"/>
  <c r="H725" i="3" a="1"/>
  <c r="H725" i="3" s="1"/>
  <c r="G725" i="3" a="1"/>
  <c r="G725" i="3" s="1"/>
  <c r="F725" i="3" a="1"/>
  <c r="F725" i="3" s="1"/>
  <c r="E725" i="3" a="1"/>
  <c r="E725" i="3" s="1"/>
  <c r="D725" i="3" a="1"/>
  <c r="D725" i="3" s="1"/>
  <c r="C725" i="3" a="1"/>
  <c r="C725" i="3" s="1"/>
  <c r="A725" i="3" s="1"/>
  <c r="L724" i="3" a="1"/>
  <c r="L724" i="3" s="1"/>
  <c r="K724" i="3" a="1"/>
  <c r="K724" i="3" s="1"/>
  <c r="J724" i="3" a="1"/>
  <c r="J724" i="3" s="1"/>
  <c r="I724" i="3" a="1"/>
  <c r="I724" i="3" s="1"/>
  <c r="H724" i="3" a="1"/>
  <c r="H724" i="3" s="1"/>
  <c r="G724" i="3" a="1"/>
  <c r="G724" i="3" s="1"/>
  <c r="F724" i="3" a="1"/>
  <c r="F724" i="3" s="1"/>
  <c r="E724" i="3" a="1"/>
  <c r="E724" i="3" s="1"/>
  <c r="D724" i="3" a="1"/>
  <c r="D724" i="3" s="1"/>
  <c r="C724" i="3" a="1"/>
  <c r="C724" i="3" s="1"/>
  <c r="A724" i="3" s="1"/>
  <c r="L723" i="3" a="1"/>
  <c r="L723" i="3" s="1"/>
  <c r="K723" i="3" a="1"/>
  <c r="K723" i="3" s="1"/>
  <c r="J723" i="3" a="1"/>
  <c r="J723" i="3" s="1"/>
  <c r="I723" i="3" a="1"/>
  <c r="I723" i="3" s="1"/>
  <c r="H723" i="3" a="1"/>
  <c r="H723" i="3" s="1"/>
  <c r="G723" i="3" a="1"/>
  <c r="G723" i="3" s="1"/>
  <c r="F723" i="3" a="1"/>
  <c r="F723" i="3" s="1"/>
  <c r="E723" i="3" a="1"/>
  <c r="E723" i="3" s="1"/>
  <c r="D723" i="3" a="1"/>
  <c r="D723" i="3" s="1"/>
  <c r="C723" i="3" a="1"/>
  <c r="C723" i="3" s="1"/>
  <c r="A723" i="3" s="1"/>
  <c r="L722" i="3" a="1"/>
  <c r="L722" i="3" s="1"/>
  <c r="K722" i="3" a="1"/>
  <c r="K722" i="3" s="1"/>
  <c r="J722" i="3" a="1"/>
  <c r="J722" i="3" s="1"/>
  <c r="I722" i="3" a="1"/>
  <c r="I722" i="3" s="1"/>
  <c r="H722" i="3" a="1"/>
  <c r="H722" i="3" s="1"/>
  <c r="G722" i="3" a="1"/>
  <c r="G722" i="3" s="1"/>
  <c r="F722" i="3" a="1"/>
  <c r="F722" i="3" s="1"/>
  <c r="E722" i="3" a="1"/>
  <c r="E722" i="3" s="1"/>
  <c r="D722" i="3" a="1"/>
  <c r="D722" i="3" s="1"/>
  <c r="C722" i="3" a="1"/>
  <c r="C722" i="3" s="1"/>
  <c r="A722" i="3" s="1"/>
  <c r="L721" i="3" a="1"/>
  <c r="L721" i="3" s="1"/>
  <c r="K721" i="3" a="1"/>
  <c r="K721" i="3" s="1"/>
  <c r="J721" i="3" a="1"/>
  <c r="J721" i="3" s="1"/>
  <c r="I721" i="3" a="1"/>
  <c r="I721" i="3" s="1"/>
  <c r="H721" i="3" a="1"/>
  <c r="H721" i="3" s="1"/>
  <c r="G721" i="3" a="1"/>
  <c r="G721" i="3" s="1"/>
  <c r="F721" i="3" a="1"/>
  <c r="F721" i="3" s="1"/>
  <c r="E721" i="3" a="1"/>
  <c r="E721" i="3" s="1"/>
  <c r="D721" i="3" a="1"/>
  <c r="D721" i="3" s="1"/>
  <c r="C721" i="3" a="1"/>
  <c r="C721" i="3" s="1"/>
  <c r="A721" i="3" s="1"/>
  <c r="L720" i="3" a="1"/>
  <c r="L720" i="3" s="1"/>
  <c r="K720" i="3" a="1"/>
  <c r="K720" i="3" s="1"/>
  <c r="J720" i="3" a="1"/>
  <c r="J720" i="3" s="1"/>
  <c r="I720" i="3" a="1"/>
  <c r="I720" i="3" s="1"/>
  <c r="H720" i="3" a="1"/>
  <c r="H720" i="3" s="1"/>
  <c r="G720" i="3" a="1"/>
  <c r="G720" i="3" s="1"/>
  <c r="F720" i="3" a="1"/>
  <c r="F720" i="3" s="1"/>
  <c r="E720" i="3" a="1"/>
  <c r="E720" i="3" s="1"/>
  <c r="D720" i="3" a="1"/>
  <c r="D720" i="3" s="1"/>
  <c r="C720" i="3" a="1"/>
  <c r="C720" i="3" s="1"/>
  <c r="A720" i="3" s="1"/>
  <c r="L719" i="3" a="1"/>
  <c r="L719" i="3" s="1"/>
  <c r="K719" i="3" a="1"/>
  <c r="K719" i="3" s="1"/>
  <c r="J719" i="3" a="1"/>
  <c r="J719" i="3" s="1"/>
  <c r="I719" i="3" a="1"/>
  <c r="I719" i="3" s="1"/>
  <c r="H719" i="3" a="1"/>
  <c r="H719" i="3" s="1"/>
  <c r="G719" i="3" a="1"/>
  <c r="G719" i="3" s="1"/>
  <c r="F719" i="3" a="1"/>
  <c r="F719" i="3" s="1"/>
  <c r="E719" i="3" a="1"/>
  <c r="E719" i="3" s="1"/>
  <c r="D719" i="3" a="1"/>
  <c r="D719" i="3" s="1"/>
  <c r="C719" i="3" a="1"/>
  <c r="C719" i="3" s="1"/>
  <c r="A719" i="3" s="1"/>
  <c r="L718" i="3" a="1"/>
  <c r="L718" i="3" s="1"/>
  <c r="K718" i="3" a="1"/>
  <c r="K718" i="3" s="1"/>
  <c r="J718" i="3" a="1"/>
  <c r="J718" i="3" s="1"/>
  <c r="I718" i="3" a="1"/>
  <c r="I718" i="3" s="1"/>
  <c r="H718" i="3" a="1"/>
  <c r="H718" i="3" s="1"/>
  <c r="G718" i="3" a="1"/>
  <c r="G718" i="3" s="1"/>
  <c r="F718" i="3" a="1"/>
  <c r="F718" i="3" s="1"/>
  <c r="E718" i="3" a="1"/>
  <c r="E718" i="3" s="1"/>
  <c r="D718" i="3" a="1"/>
  <c r="D718" i="3" s="1"/>
  <c r="C718" i="3" a="1"/>
  <c r="C718" i="3" s="1"/>
  <c r="A718" i="3" s="1"/>
  <c r="L717" i="3" a="1"/>
  <c r="L717" i="3" s="1"/>
  <c r="K717" i="3" a="1"/>
  <c r="K717" i="3" s="1"/>
  <c r="J717" i="3" a="1"/>
  <c r="J717" i="3" s="1"/>
  <c r="I717" i="3" a="1"/>
  <c r="I717" i="3" s="1"/>
  <c r="H717" i="3" a="1"/>
  <c r="H717" i="3" s="1"/>
  <c r="G717" i="3" a="1"/>
  <c r="G717" i="3" s="1"/>
  <c r="F717" i="3" a="1"/>
  <c r="F717" i="3" s="1"/>
  <c r="E717" i="3" a="1"/>
  <c r="E717" i="3" s="1"/>
  <c r="D717" i="3" a="1"/>
  <c r="D717" i="3" s="1"/>
  <c r="C717" i="3" a="1"/>
  <c r="C717" i="3" s="1"/>
  <c r="A717" i="3" s="1"/>
  <c r="L716" i="3" a="1"/>
  <c r="L716" i="3" s="1"/>
  <c r="K716" i="3" a="1"/>
  <c r="K716" i="3" s="1"/>
  <c r="J716" i="3" a="1"/>
  <c r="J716" i="3" s="1"/>
  <c r="I716" i="3" a="1"/>
  <c r="I716" i="3" s="1"/>
  <c r="H716" i="3" a="1"/>
  <c r="H716" i="3" s="1"/>
  <c r="G716" i="3" a="1"/>
  <c r="G716" i="3" s="1"/>
  <c r="F716" i="3" a="1"/>
  <c r="F716" i="3" s="1"/>
  <c r="E716" i="3" a="1"/>
  <c r="E716" i="3" s="1"/>
  <c r="D716" i="3" a="1"/>
  <c r="D716" i="3" s="1"/>
  <c r="C716" i="3" a="1"/>
  <c r="C716" i="3" s="1"/>
  <c r="A716" i="3" s="1"/>
  <c r="L715" i="3" a="1"/>
  <c r="L715" i="3" s="1"/>
  <c r="K715" i="3" a="1"/>
  <c r="K715" i="3" s="1"/>
  <c r="J715" i="3" a="1"/>
  <c r="J715" i="3" s="1"/>
  <c r="I715" i="3" a="1"/>
  <c r="I715" i="3" s="1"/>
  <c r="H715" i="3" a="1"/>
  <c r="H715" i="3" s="1"/>
  <c r="G715" i="3" a="1"/>
  <c r="G715" i="3" s="1"/>
  <c r="F715" i="3" a="1"/>
  <c r="F715" i="3" s="1"/>
  <c r="E715" i="3" a="1"/>
  <c r="E715" i="3" s="1"/>
  <c r="D715" i="3" a="1"/>
  <c r="D715" i="3" s="1"/>
  <c r="C715" i="3" a="1"/>
  <c r="C715" i="3" s="1"/>
  <c r="A715" i="3" s="1"/>
  <c r="L714" i="3" a="1"/>
  <c r="L714" i="3" s="1"/>
  <c r="K714" i="3" a="1"/>
  <c r="K714" i="3" s="1"/>
  <c r="J714" i="3" a="1"/>
  <c r="J714" i="3" s="1"/>
  <c r="I714" i="3" a="1"/>
  <c r="I714" i="3" s="1"/>
  <c r="H714" i="3" a="1"/>
  <c r="H714" i="3" s="1"/>
  <c r="G714" i="3" a="1"/>
  <c r="G714" i="3" s="1"/>
  <c r="F714" i="3" a="1"/>
  <c r="F714" i="3" s="1"/>
  <c r="E714" i="3" a="1"/>
  <c r="E714" i="3" s="1"/>
  <c r="D714" i="3" a="1"/>
  <c r="D714" i="3" s="1"/>
  <c r="C714" i="3" a="1"/>
  <c r="C714" i="3" s="1"/>
  <c r="A714" i="3" s="1"/>
  <c r="L713" i="3" a="1"/>
  <c r="L713" i="3" s="1"/>
  <c r="K713" i="3" a="1"/>
  <c r="K713" i="3" s="1"/>
  <c r="J713" i="3" a="1"/>
  <c r="J713" i="3" s="1"/>
  <c r="I713" i="3" a="1"/>
  <c r="I713" i="3" s="1"/>
  <c r="H713" i="3" a="1"/>
  <c r="H713" i="3" s="1"/>
  <c r="G713" i="3" a="1"/>
  <c r="G713" i="3" s="1"/>
  <c r="F713" i="3" a="1"/>
  <c r="F713" i="3" s="1"/>
  <c r="E713" i="3" a="1"/>
  <c r="E713" i="3" s="1"/>
  <c r="D713" i="3" a="1"/>
  <c r="D713" i="3" s="1"/>
  <c r="C713" i="3" a="1"/>
  <c r="C713" i="3" s="1"/>
  <c r="A713" i="3" s="1"/>
  <c r="L712" i="3" a="1"/>
  <c r="L712" i="3" s="1"/>
  <c r="K712" i="3" a="1"/>
  <c r="K712" i="3" s="1"/>
  <c r="J712" i="3" a="1"/>
  <c r="J712" i="3" s="1"/>
  <c r="I712" i="3" a="1"/>
  <c r="I712" i="3" s="1"/>
  <c r="H712" i="3" a="1"/>
  <c r="H712" i="3" s="1"/>
  <c r="G712" i="3" a="1"/>
  <c r="G712" i="3" s="1"/>
  <c r="F712" i="3" a="1"/>
  <c r="F712" i="3" s="1"/>
  <c r="E712" i="3" a="1"/>
  <c r="E712" i="3" s="1"/>
  <c r="D712" i="3" a="1"/>
  <c r="D712" i="3" s="1"/>
  <c r="C712" i="3" a="1"/>
  <c r="C712" i="3" s="1"/>
  <c r="A712" i="3" s="1"/>
  <c r="L711" i="3" a="1"/>
  <c r="L711" i="3" s="1"/>
  <c r="K711" i="3" a="1"/>
  <c r="K711" i="3" s="1"/>
  <c r="J711" i="3" a="1"/>
  <c r="J711" i="3" s="1"/>
  <c r="I711" i="3" a="1"/>
  <c r="I711" i="3" s="1"/>
  <c r="H711" i="3" a="1"/>
  <c r="H711" i="3" s="1"/>
  <c r="G711" i="3" a="1"/>
  <c r="G711" i="3" s="1"/>
  <c r="F711" i="3" a="1"/>
  <c r="F711" i="3" s="1"/>
  <c r="E711" i="3" a="1"/>
  <c r="E711" i="3" s="1"/>
  <c r="D711" i="3" a="1"/>
  <c r="D711" i="3" s="1"/>
  <c r="C711" i="3" a="1"/>
  <c r="C711" i="3" s="1"/>
  <c r="A711" i="3" s="1"/>
  <c r="L710" i="3" a="1"/>
  <c r="L710" i="3" s="1"/>
  <c r="K710" i="3" a="1"/>
  <c r="K710" i="3" s="1"/>
  <c r="J710" i="3" a="1"/>
  <c r="J710" i="3" s="1"/>
  <c r="I710" i="3" a="1"/>
  <c r="I710" i="3" s="1"/>
  <c r="H710" i="3" a="1"/>
  <c r="H710" i="3" s="1"/>
  <c r="G710" i="3" a="1"/>
  <c r="G710" i="3" s="1"/>
  <c r="F710" i="3" a="1"/>
  <c r="F710" i="3" s="1"/>
  <c r="E710" i="3" a="1"/>
  <c r="E710" i="3" s="1"/>
  <c r="D710" i="3" a="1"/>
  <c r="D710" i="3" s="1"/>
  <c r="C710" i="3" a="1"/>
  <c r="C710" i="3" s="1"/>
  <c r="A710" i="3" s="1"/>
  <c r="L709" i="3" a="1"/>
  <c r="L709" i="3" s="1"/>
  <c r="K709" i="3" a="1"/>
  <c r="K709" i="3" s="1"/>
  <c r="J709" i="3" a="1"/>
  <c r="J709" i="3" s="1"/>
  <c r="I709" i="3" a="1"/>
  <c r="I709" i="3" s="1"/>
  <c r="H709" i="3" a="1"/>
  <c r="H709" i="3" s="1"/>
  <c r="G709" i="3" a="1"/>
  <c r="G709" i="3" s="1"/>
  <c r="F709" i="3" a="1"/>
  <c r="F709" i="3" s="1"/>
  <c r="E709" i="3" a="1"/>
  <c r="E709" i="3" s="1"/>
  <c r="D709" i="3" a="1"/>
  <c r="D709" i="3" s="1"/>
  <c r="C709" i="3" a="1"/>
  <c r="C709" i="3" s="1"/>
  <c r="A709" i="3" s="1"/>
  <c r="L708" i="3" a="1"/>
  <c r="L708" i="3" s="1"/>
  <c r="K708" i="3" a="1"/>
  <c r="K708" i="3" s="1"/>
  <c r="J708" i="3" a="1"/>
  <c r="J708" i="3" s="1"/>
  <c r="I708" i="3" a="1"/>
  <c r="I708" i="3" s="1"/>
  <c r="H708" i="3" a="1"/>
  <c r="H708" i="3" s="1"/>
  <c r="G708" i="3" a="1"/>
  <c r="G708" i="3" s="1"/>
  <c r="F708" i="3" a="1"/>
  <c r="F708" i="3" s="1"/>
  <c r="E708" i="3" a="1"/>
  <c r="E708" i="3" s="1"/>
  <c r="D708" i="3" a="1"/>
  <c r="D708" i="3" s="1"/>
  <c r="C708" i="3" a="1"/>
  <c r="C708" i="3" s="1"/>
  <c r="A708" i="3" s="1"/>
  <c r="L707" i="3" a="1"/>
  <c r="L707" i="3" s="1"/>
  <c r="K707" i="3" a="1"/>
  <c r="K707" i="3" s="1"/>
  <c r="J707" i="3" a="1"/>
  <c r="J707" i="3" s="1"/>
  <c r="I707" i="3" a="1"/>
  <c r="I707" i="3" s="1"/>
  <c r="H707" i="3" a="1"/>
  <c r="H707" i="3" s="1"/>
  <c r="G707" i="3" a="1"/>
  <c r="G707" i="3" s="1"/>
  <c r="F707" i="3" a="1"/>
  <c r="F707" i="3" s="1"/>
  <c r="E707" i="3" a="1"/>
  <c r="E707" i="3" s="1"/>
  <c r="D707" i="3" a="1"/>
  <c r="D707" i="3" s="1"/>
  <c r="C707" i="3" a="1"/>
  <c r="C707" i="3" s="1"/>
  <c r="A707" i="3" s="1"/>
  <c r="L706" i="3" a="1"/>
  <c r="L706" i="3" s="1"/>
  <c r="K706" i="3" a="1"/>
  <c r="K706" i="3" s="1"/>
  <c r="J706" i="3" a="1"/>
  <c r="J706" i="3" s="1"/>
  <c r="I706" i="3" a="1"/>
  <c r="I706" i="3" s="1"/>
  <c r="H706" i="3" a="1"/>
  <c r="H706" i="3" s="1"/>
  <c r="G706" i="3" a="1"/>
  <c r="G706" i="3" s="1"/>
  <c r="F706" i="3" a="1"/>
  <c r="F706" i="3" s="1"/>
  <c r="E706" i="3" a="1"/>
  <c r="E706" i="3" s="1"/>
  <c r="D706" i="3" a="1"/>
  <c r="D706" i="3" s="1"/>
  <c r="C706" i="3" a="1"/>
  <c r="C706" i="3" s="1"/>
  <c r="A706" i="3" s="1"/>
  <c r="L705" i="3" a="1"/>
  <c r="L705" i="3" s="1"/>
  <c r="K705" i="3" a="1"/>
  <c r="K705" i="3" s="1"/>
  <c r="J705" i="3" a="1"/>
  <c r="J705" i="3" s="1"/>
  <c r="I705" i="3" a="1"/>
  <c r="I705" i="3" s="1"/>
  <c r="H705" i="3" a="1"/>
  <c r="H705" i="3" s="1"/>
  <c r="G705" i="3" a="1"/>
  <c r="G705" i="3" s="1"/>
  <c r="F705" i="3" a="1"/>
  <c r="F705" i="3" s="1"/>
  <c r="E705" i="3" a="1"/>
  <c r="E705" i="3" s="1"/>
  <c r="D705" i="3" a="1"/>
  <c r="D705" i="3" s="1"/>
  <c r="C705" i="3" a="1"/>
  <c r="C705" i="3" s="1"/>
  <c r="A705" i="3" s="1"/>
  <c r="L704" i="3" a="1"/>
  <c r="L704" i="3" s="1"/>
  <c r="K704" i="3" a="1"/>
  <c r="K704" i="3" s="1"/>
  <c r="J704" i="3" a="1"/>
  <c r="J704" i="3" s="1"/>
  <c r="I704" i="3" a="1"/>
  <c r="I704" i="3" s="1"/>
  <c r="H704" i="3" a="1"/>
  <c r="H704" i="3" s="1"/>
  <c r="G704" i="3" a="1"/>
  <c r="G704" i="3" s="1"/>
  <c r="F704" i="3" a="1"/>
  <c r="F704" i="3" s="1"/>
  <c r="E704" i="3" a="1"/>
  <c r="E704" i="3" s="1"/>
  <c r="D704" i="3" a="1"/>
  <c r="D704" i="3" s="1"/>
  <c r="C704" i="3" a="1"/>
  <c r="C704" i="3" s="1"/>
  <c r="A704" i="3" s="1"/>
  <c r="L703" i="3" a="1"/>
  <c r="L703" i="3" s="1"/>
  <c r="K703" i="3" a="1"/>
  <c r="K703" i="3" s="1"/>
  <c r="J703" i="3" a="1"/>
  <c r="J703" i="3" s="1"/>
  <c r="I703" i="3" a="1"/>
  <c r="I703" i="3" s="1"/>
  <c r="H703" i="3" a="1"/>
  <c r="H703" i="3" s="1"/>
  <c r="G703" i="3" a="1"/>
  <c r="G703" i="3" s="1"/>
  <c r="F703" i="3" a="1"/>
  <c r="F703" i="3" s="1"/>
  <c r="E703" i="3" a="1"/>
  <c r="E703" i="3" s="1"/>
  <c r="D703" i="3" a="1"/>
  <c r="D703" i="3" s="1"/>
  <c r="C703" i="3" a="1"/>
  <c r="C703" i="3" s="1"/>
  <c r="A703" i="3" s="1"/>
  <c r="L702" i="3" a="1"/>
  <c r="L702" i="3" s="1"/>
  <c r="K702" i="3" a="1"/>
  <c r="K702" i="3" s="1"/>
  <c r="J702" i="3" a="1"/>
  <c r="J702" i="3" s="1"/>
  <c r="I702" i="3" a="1"/>
  <c r="I702" i="3" s="1"/>
  <c r="H702" i="3" a="1"/>
  <c r="H702" i="3" s="1"/>
  <c r="G702" i="3" a="1"/>
  <c r="G702" i="3" s="1"/>
  <c r="F702" i="3" a="1"/>
  <c r="F702" i="3" s="1"/>
  <c r="E702" i="3" a="1"/>
  <c r="E702" i="3" s="1"/>
  <c r="D702" i="3" a="1"/>
  <c r="D702" i="3" s="1"/>
  <c r="C702" i="3" a="1"/>
  <c r="C702" i="3" s="1"/>
  <c r="A702" i="3" s="1"/>
  <c r="L701" i="3" a="1"/>
  <c r="L701" i="3" s="1"/>
  <c r="K701" i="3" a="1"/>
  <c r="K701" i="3" s="1"/>
  <c r="J701" i="3" a="1"/>
  <c r="J701" i="3" s="1"/>
  <c r="I701" i="3" a="1"/>
  <c r="I701" i="3" s="1"/>
  <c r="H701" i="3" a="1"/>
  <c r="H701" i="3" s="1"/>
  <c r="G701" i="3" a="1"/>
  <c r="G701" i="3" s="1"/>
  <c r="F701" i="3" a="1"/>
  <c r="F701" i="3" s="1"/>
  <c r="E701" i="3" a="1"/>
  <c r="E701" i="3" s="1"/>
  <c r="D701" i="3" a="1"/>
  <c r="D701" i="3" s="1"/>
  <c r="C701" i="3" a="1"/>
  <c r="C701" i="3" s="1"/>
  <c r="A701" i="3" s="1"/>
  <c r="L700" i="3" a="1"/>
  <c r="L700" i="3" s="1"/>
  <c r="K700" i="3" a="1"/>
  <c r="K700" i="3" s="1"/>
  <c r="J700" i="3" a="1"/>
  <c r="J700" i="3" s="1"/>
  <c r="I700" i="3" a="1"/>
  <c r="I700" i="3" s="1"/>
  <c r="H700" i="3" a="1"/>
  <c r="H700" i="3" s="1"/>
  <c r="G700" i="3" a="1"/>
  <c r="G700" i="3" s="1"/>
  <c r="F700" i="3" a="1"/>
  <c r="F700" i="3" s="1"/>
  <c r="E700" i="3" a="1"/>
  <c r="E700" i="3" s="1"/>
  <c r="D700" i="3" a="1"/>
  <c r="D700" i="3" s="1"/>
  <c r="C700" i="3" a="1"/>
  <c r="C700" i="3" s="1"/>
  <c r="A700" i="3" s="1"/>
  <c r="L699" i="3" a="1"/>
  <c r="L699" i="3" s="1"/>
  <c r="K699" i="3" a="1"/>
  <c r="K699" i="3" s="1"/>
  <c r="J699" i="3" a="1"/>
  <c r="J699" i="3" s="1"/>
  <c r="I699" i="3" a="1"/>
  <c r="I699" i="3" s="1"/>
  <c r="H699" i="3" a="1"/>
  <c r="H699" i="3" s="1"/>
  <c r="G699" i="3" a="1"/>
  <c r="G699" i="3" s="1"/>
  <c r="F699" i="3" a="1"/>
  <c r="F699" i="3" s="1"/>
  <c r="E699" i="3" a="1"/>
  <c r="E699" i="3" s="1"/>
  <c r="D699" i="3" a="1"/>
  <c r="D699" i="3" s="1"/>
  <c r="C699" i="3" a="1"/>
  <c r="C699" i="3" s="1"/>
  <c r="A699" i="3" s="1"/>
  <c r="L698" i="3" a="1"/>
  <c r="L698" i="3" s="1"/>
  <c r="K698" i="3" a="1"/>
  <c r="K698" i="3" s="1"/>
  <c r="J698" i="3" a="1"/>
  <c r="J698" i="3" s="1"/>
  <c r="I698" i="3" a="1"/>
  <c r="I698" i="3" s="1"/>
  <c r="H698" i="3" a="1"/>
  <c r="H698" i="3" s="1"/>
  <c r="G698" i="3" a="1"/>
  <c r="G698" i="3" s="1"/>
  <c r="F698" i="3" a="1"/>
  <c r="F698" i="3" s="1"/>
  <c r="E698" i="3" a="1"/>
  <c r="E698" i="3" s="1"/>
  <c r="D698" i="3" a="1"/>
  <c r="D698" i="3" s="1"/>
  <c r="C698" i="3" a="1"/>
  <c r="C698" i="3" s="1"/>
  <c r="A698" i="3" s="1"/>
  <c r="L697" i="3" a="1"/>
  <c r="L697" i="3" s="1"/>
  <c r="K697" i="3" a="1"/>
  <c r="K697" i="3" s="1"/>
  <c r="J697" i="3" a="1"/>
  <c r="J697" i="3" s="1"/>
  <c r="I697" i="3" a="1"/>
  <c r="I697" i="3" s="1"/>
  <c r="H697" i="3" a="1"/>
  <c r="H697" i="3" s="1"/>
  <c r="G697" i="3" a="1"/>
  <c r="G697" i="3" s="1"/>
  <c r="F697" i="3" a="1"/>
  <c r="F697" i="3" s="1"/>
  <c r="E697" i="3" a="1"/>
  <c r="E697" i="3" s="1"/>
  <c r="D697" i="3" a="1"/>
  <c r="D697" i="3" s="1"/>
  <c r="C697" i="3" a="1"/>
  <c r="C697" i="3" s="1"/>
  <c r="A697" i="3" s="1"/>
  <c r="L696" i="3" a="1"/>
  <c r="L696" i="3" s="1"/>
  <c r="K696" i="3" a="1"/>
  <c r="K696" i="3" s="1"/>
  <c r="J696" i="3" a="1"/>
  <c r="J696" i="3" s="1"/>
  <c r="I696" i="3" a="1"/>
  <c r="I696" i="3" s="1"/>
  <c r="H696" i="3" a="1"/>
  <c r="H696" i="3" s="1"/>
  <c r="G696" i="3" a="1"/>
  <c r="G696" i="3" s="1"/>
  <c r="F696" i="3" a="1"/>
  <c r="F696" i="3" s="1"/>
  <c r="E696" i="3" a="1"/>
  <c r="E696" i="3" s="1"/>
  <c r="D696" i="3" a="1"/>
  <c r="D696" i="3" s="1"/>
  <c r="C696" i="3" a="1"/>
  <c r="C696" i="3" s="1"/>
  <c r="A696" i="3" s="1"/>
  <c r="L695" i="3" a="1"/>
  <c r="L695" i="3" s="1"/>
  <c r="K695" i="3" a="1"/>
  <c r="K695" i="3" s="1"/>
  <c r="J695" i="3" a="1"/>
  <c r="J695" i="3" s="1"/>
  <c r="I695" i="3" a="1"/>
  <c r="I695" i="3" s="1"/>
  <c r="H695" i="3" a="1"/>
  <c r="H695" i="3" s="1"/>
  <c r="G695" i="3" a="1"/>
  <c r="G695" i="3" s="1"/>
  <c r="F695" i="3" a="1"/>
  <c r="F695" i="3" s="1"/>
  <c r="E695" i="3" a="1"/>
  <c r="E695" i="3" s="1"/>
  <c r="D695" i="3" a="1"/>
  <c r="D695" i="3" s="1"/>
  <c r="C695" i="3" a="1"/>
  <c r="C695" i="3" s="1"/>
  <c r="A695" i="3" s="1"/>
  <c r="L694" i="3" a="1"/>
  <c r="L694" i="3" s="1"/>
  <c r="K694" i="3" a="1"/>
  <c r="K694" i="3" s="1"/>
  <c r="J694" i="3" a="1"/>
  <c r="J694" i="3" s="1"/>
  <c r="I694" i="3" a="1"/>
  <c r="I694" i="3" s="1"/>
  <c r="H694" i="3" a="1"/>
  <c r="H694" i="3" s="1"/>
  <c r="G694" i="3" a="1"/>
  <c r="G694" i="3" s="1"/>
  <c r="F694" i="3" a="1"/>
  <c r="F694" i="3" s="1"/>
  <c r="E694" i="3" a="1"/>
  <c r="E694" i="3" s="1"/>
  <c r="D694" i="3" a="1"/>
  <c r="D694" i="3" s="1"/>
  <c r="C694" i="3" a="1"/>
  <c r="C694" i="3" s="1"/>
  <c r="A694" i="3" s="1"/>
  <c r="L693" i="3" a="1"/>
  <c r="L693" i="3" s="1"/>
  <c r="K693" i="3" a="1"/>
  <c r="K693" i="3" s="1"/>
  <c r="J693" i="3" a="1"/>
  <c r="J693" i="3" s="1"/>
  <c r="I693" i="3" a="1"/>
  <c r="I693" i="3" s="1"/>
  <c r="H693" i="3" a="1"/>
  <c r="H693" i="3" s="1"/>
  <c r="G693" i="3" a="1"/>
  <c r="G693" i="3" s="1"/>
  <c r="F693" i="3" a="1"/>
  <c r="F693" i="3" s="1"/>
  <c r="E693" i="3" a="1"/>
  <c r="E693" i="3" s="1"/>
  <c r="D693" i="3" a="1"/>
  <c r="D693" i="3" s="1"/>
  <c r="C693" i="3" a="1"/>
  <c r="C693" i="3" s="1"/>
  <c r="A693" i="3" s="1"/>
  <c r="L692" i="3" a="1"/>
  <c r="L692" i="3" s="1"/>
  <c r="K692" i="3" a="1"/>
  <c r="K692" i="3" s="1"/>
  <c r="J692" i="3" a="1"/>
  <c r="J692" i="3" s="1"/>
  <c r="I692" i="3" a="1"/>
  <c r="I692" i="3" s="1"/>
  <c r="H692" i="3" a="1"/>
  <c r="H692" i="3" s="1"/>
  <c r="G692" i="3" a="1"/>
  <c r="G692" i="3" s="1"/>
  <c r="F692" i="3" a="1"/>
  <c r="F692" i="3" s="1"/>
  <c r="E692" i="3" a="1"/>
  <c r="E692" i="3" s="1"/>
  <c r="D692" i="3" a="1"/>
  <c r="D692" i="3" s="1"/>
  <c r="C692" i="3" a="1"/>
  <c r="C692" i="3" s="1"/>
  <c r="A692" i="3" s="1"/>
  <c r="L691" i="3" a="1"/>
  <c r="L691" i="3" s="1"/>
  <c r="K691" i="3" a="1"/>
  <c r="K691" i="3" s="1"/>
  <c r="J691" i="3" a="1"/>
  <c r="J691" i="3" s="1"/>
  <c r="I691" i="3" a="1"/>
  <c r="I691" i="3" s="1"/>
  <c r="H691" i="3" a="1"/>
  <c r="H691" i="3" s="1"/>
  <c r="G691" i="3" a="1"/>
  <c r="G691" i="3" s="1"/>
  <c r="F691" i="3" a="1"/>
  <c r="F691" i="3" s="1"/>
  <c r="E691" i="3" a="1"/>
  <c r="E691" i="3" s="1"/>
  <c r="D691" i="3" a="1"/>
  <c r="D691" i="3" s="1"/>
  <c r="C691" i="3" a="1"/>
  <c r="C691" i="3" s="1"/>
  <c r="A691" i="3" s="1"/>
  <c r="L690" i="3" a="1"/>
  <c r="L690" i="3" s="1"/>
  <c r="K690" i="3" a="1"/>
  <c r="K690" i="3" s="1"/>
  <c r="J690" i="3" a="1"/>
  <c r="J690" i="3" s="1"/>
  <c r="I690" i="3" a="1"/>
  <c r="I690" i="3" s="1"/>
  <c r="H690" i="3" a="1"/>
  <c r="H690" i="3" s="1"/>
  <c r="G690" i="3" a="1"/>
  <c r="G690" i="3" s="1"/>
  <c r="F690" i="3" a="1"/>
  <c r="F690" i="3" s="1"/>
  <c r="E690" i="3" a="1"/>
  <c r="E690" i="3" s="1"/>
  <c r="D690" i="3" a="1"/>
  <c r="D690" i="3" s="1"/>
  <c r="C690" i="3" a="1"/>
  <c r="C690" i="3" s="1"/>
  <c r="A690" i="3" s="1"/>
  <c r="L689" i="3" a="1"/>
  <c r="L689" i="3" s="1"/>
  <c r="K689" i="3" a="1"/>
  <c r="K689" i="3" s="1"/>
  <c r="J689" i="3" a="1"/>
  <c r="J689" i="3" s="1"/>
  <c r="I689" i="3" a="1"/>
  <c r="I689" i="3" s="1"/>
  <c r="H689" i="3" a="1"/>
  <c r="H689" i="3" s="1"/>
  <c r="G689" i="3" a="1"/>
  <c r="G689" i="3" s="1"/>
  <c r="F689" i="3" a="1"/>
  <c r="F689" i="3" s="1"/>
  <c r="E689" i="3" a="1"/>
  <c r="E689" i="3" s="1"/>
  <c r="D689" i="3" a="1"/>
  <c r="D689" i="3" s="1"/>
  <c r="C689" i="3" a="1"/>
  <c r="C689" i="3" s="1"/>
  <c r="A689" i="3" s="1"/>
  <c r="L688" i="3" a="1"/>
  <c r="L688" i="3" s="1"/>
  <c r="K688" i="3" a="1"/>
  <c r="K688" i="3" s="1"/>
  <c r="J688" i="3" a="1"/>
  <c r="J688" i="3" s="1"/>
  <c r="I688" i="3" a="1"/>
  <c r="I688" i="3" s="1"/>
  <c r="H688" i="3" a="1"/>
  <c r="H688" i="3" s="1"/>
  <c r="G688" i="3" a="1"/>
  <c r="G688" i="3" s="1"/>
  <c r="F688" i="3" a="1"/>
  <c r="F688" i="3" s="1"/>
  <c r="E688" i="3" a="1"/>
  <c r="E688" i="3" s="1"/>
  <c r="D688" i="3" a="1"/>
  <c r="D688" i="3" s="1"/>
  <c r="C688" i="3" a="1"/>
  <c r="C688" i="3" s="1"/>
  <c r="A688" i="3" s="1"/>
  <c r="L687" i="3" a="1"/>
  <c r="L687" i="3" s="1"/>
  <c r="K687" i="3" a="1"/>
  <c r="K687" i="3" s="1"/>
  <c r="J687" i="3" a="1"/>
  <c r="J687" i="3" s="1"/>
  <c r="I687" i="3" a="1"/>
  <c r="I687" i="3" s="1"/>
  <c r="H687" i="3" a="1"/>
  <c r="H687" i="3" s="1"/>
  <c r="G687" i="3" a="1"/>
  <c r="G687" i="3" s="1"/>
  <c r="F687" i="3" a="1"/>
  <c r="F687" i="3" s="1"/>
  <c r="E687" i="3" a="1"/>
  <c r="E687" i="3" s="1"/>
  <c r="D687" i="3" a="1"/>
  <c r="D687" i="3" s="1"/>
  <c r="C687" i="3" a="1"/>
  <c r="C687" i="3" s="1"/>
  <c r="A687" i="3" s="1"/>
  <c r="L686" i="3" a="1"/>
  <c r="L686" i="3" s="1"/>
  <c r="K686" i="3" a="1"/>
  <c r="K686" i="3" s="1"/>
  <c r="J686" i="3" a="1"/>
  <c r="J686" i="3" s="1"/>
  <c r="I686" i="3" a="1"/>
  <c r="I686" i="3" s="1"/>
  <c r="H686" i="3" a="1"/>
  <c r="H686" i="3" s="1"/>
  <c r="G686" i="3" a="1"/>
  <c r="G686" i="3" s="1"/>
  <c r="F686" i="3" a="1"/>
  <c r="F686" i="3" s="1"/>
  <c r="E686" i="3" a="1"/>
  <c r="E686" i="3" s="1"/>
  <c r="D686" i="3" a="1"/>
  <c r="D686" i="3" s="1"/>
  <c r="C686" i="3" a="1"/>
  <c r="C686" i="3" s="1"/>
  <c r="A686" i="3" s="1"/>
  <c r="L685" i="3" a="1"/>
  <c r="L685" i="3" s="1"/>
  <c r="K685" i="3" a="1"/>
  <c r="K685" i="3" s="1"/>
  <c r="J685" i="3" a="1"/>
  <c r="J685" i="3" s="1"/>
  <c r="I685" i="3" a="1"/>
  <c r="I685" i="3" s="1"/>
  <c r="H685" i="3" a="1"/>
  <c r="H685" i="3" s="1"/>
  <c r="G685" i="3" a="1"/>
  <c r="G685" i="3" s="1"/>
  <c r="F685" i="3" a="1"/>
  <c r="F685" i="3" s="1"/>
  <c r="E685" i="3" a="1"/>
  <c r="E685" i="3" s="1"/>
  <c r="D685" i="3" a="1"/>
  <c r="D685" i="3" s="1"/>
  <c r="C685" i="3" a="1"/>
  <c r="C685" i="3" s="1"/>
  <c r="A685" i="3" s="1"/>
  <c r="L684" i="3" a="1"/>
  <c r="L684" i="3" s="1"/>
  <c r="K684" i="3" a="1"/>
  <c r="K684" i="3" s="1"/>
  <c r="J684" i="3" a="1"/>
  <c r="J684" i="3" s="1"/>
  <c r="I684" i="3" a="1"/>
  <c r="I684" i="3" s="1"/>
  <c r="H684" i="3" a="1"/>
  <c r="H684" i="3" s="1"/>
  <c r="G684" i="3" a="1"/>
  <c r="G684" i="3" s="1"/>
  <c r="F684" i="3" a="1"/>
  <c r="F684" i="3" s="1"/>
  <c r="E684" i="3" a="1"/>
  <c r="E684" i="3" s="1"/>
  <c r="D684" i="3" a="1"/>
  <c r="D684" i="3" s="1"/>
  <c r="C684" i="3" a="1"/>
  <c r="C684" i="3" s="1"/>
  <c r="A684" i="3" s="1"/>
  <c r="L683" i="3" a="1"/>
  <c r="L683" i="3" s="1"/>
  <c r="K683" i="3" a="1"/>
  <c r="K683" i="3" s="1"/>
  <c r="J683" i="3" a="1"/>
  <c r="J683" i="3" s="1"/>
  <c r="I683" i="3" a="1"/>
  <c r="I683" i="3" s="1"/>
  <c r="H683" i="3" a="1"/>
  <c r="H683" i="3" s="1"/>
  <c r="G683" i="3" a="1"/>
  <c r="G683" i="3" s="1"/>
  <c r="F683" i="3" a="1"/>
  <c r="F683" i="3" s="1"/>
  <c r="E683" i="3" a="1"/>
  <c r="E683" i="3" s="1"/>
  <c r="D683" i="3" a="1"/>
  <c r="D683" i="3" s="1"/>
  <c r="C683" i="3" a="1"/>
  <c r="C683" i="3" s="1"/>
  <c r="A683" i="3" s="1"/>
  <c r="L682" i="3" a="1"/>
  <c r="L682" i="3" s="1"/>
  <c r="K682" i="3" a="1"/>
  <c r="K682" i="3" s="1"/>
  <c r="J682" i="3" a="1"/>
  <c r="J682" i="3" s="1"/>
  <c r="I682" i="3" a="1"/>
  <c r="I682" i="3" s="1"/>
  <c r="H682" i="3" a="1"/>
  <c r="H682" i="3" s="1"/>
  <c r="G682" i="3" a="1"/>
  <c r="G682" i="3" s="1"/>
  <c r="F682" i="3" a="1"/>
  <c r="F682" i="3" s="1"/>
  <c r="E682" i="3" a="1"/>
  <c r="E682" i="3" s="1"/>
  <c r="D682" i="3" a="1"/>
  <c r="D682" i="3" s="1"/>
  <c r="C682" i="3" a="1"/>
  <c r="C682" i="3" s="1"/>
  <c r="A682" i="3" s="1"/>
  <c r="L681" i="3" a="1"/>
  <c r="L681" i="3" s="1"/>
  <c r="K681" i="3" a="1"/>
  <c r="K681" i="3" s="1"/>
  <c r="J681" i="3" a="1"/>
  <c r="J681" i="3" s="1"/>
  <c r="I681" i="3" a="1"/>
  <c r="I681" i="3" s="1"/>
  <c r="H681" i="3" a="1"/>
  <c r="H681" i="3" s="1"/>
  <c r="G681" i="3" a="1"/>
  <c r="G681" i="3" s="1"/>
  <c r="F681" i="3" a="1"/>
  <c r="F681" i="3" s="1"/>
  <c r="E681" i="3" a="1"/>
  <c r="E681" i="3" s="1"/>
  <c r="D681" i="3" a="1"/>
  <c r="D681" i="3" s="1"/>
  <c r="C681" i="3" a="1"/>
  <c r="C681" i="3" s="1"/>
  <c r="A681" i="3" s="1"/>
  <c r="L680" i="3" a="1"/>
  <c r="L680" i="3" s="1"/>
  <c r="K680" i="3" a="1"/>
  <c r="K680" i="3" s="1"/>
  <c r="J680" i="3" a="1"/>
  <c r="J680" i="3" s="1"/>
  <c r="I680" i="3" a="1"/>
  <c r="I680" i="3" s="1"/>
  <c r="H680" i="3" a="1"/>
  <c r="H680" i="3" s="1"/>
  <c r="G680" i="3" a="1"/>
  <c r="G680" i="3" s="1"/>
  <c r="F680" i="3" a="1"/>
  <c r="F680" i="3" s="1"/>
  <c r="E680" i="3" a="1"/>
  <c r="E680" i="3" s="1"/>
  <c r="D680" i="3" a="1"/>
  <c r="D680" i="3" s="1"/>
  <c r="C680" i="3" a="1"/>
  <c r="C680" i="3" s="1"/>
  <c r="A680" i="3" s="1"/>
  <c r="L679" i="3" a="1"/>
  <c r="L679" i="3" s="1"/>
  <c r="K679" i="3" a="1"/>
  <c r="K679" i="3" s="1"/>
  <c r="J679" i="3" a="1"/>
  <c r="J679" i="3" s="1"/>
  <c r="I679" i="3" a="1"/>
  <c r="I679" i="3" s="1"/>
  <c r="H679" i="3" a="1"/>
  <c r="H679" i="3" s="1"/>
  <c r="G679" i="3" a="1"/>
  <c r="G679" i="3" s="1"/>
  <c r="F679" i="3" a="1"/>
  <c r="F679" i="3" s="1"/>
  <c r="E679" i="3" a="1"/>
  <c r="E679" i="3" s="1"/>
  <c r="D679" i="3" a="1"/>
  <c r="D679" i="3" s="1"/>
  <c r="C679" i="3" a="1"/>
  <c r="C679" i="3" s="1"/>
  <c r="A679" i="3" s="1"/>
  <c r="L678" i="3" a="1"/>
  <c r="L678" i="3" s="1"/>
  <c r="K678" i="3" a="1"/>
  <c r="K678" i="3" s="1"/>
  <c r="J678" i="3" a="1"/>
  <c r="J678" i="3" s="1"/>
  <c r="I678" i="3" a="1"/>
  <c r="I678" i="3" s="1"/>
  <c r="H678" i="3" a="1"/>
  <c r="H678" i="3" s="1"/>
  <c r="G678" i="3" a="1"/>
  <c r="G678" i="3" s="1"/>
  <c r="F678" i="3" a="1"/>
  <c r="F678" i="3" s="1"/>
  <c r="E678" i="3" a="1"/>
  <c r="E678" i="3" s="1"/>
  <c r="D678" i="3" a="1"/>
  <c r="D678" i="3" s="1"/>
  <c r="C678" i="3" a="1"/>
  <c r="C678" i="3" s="1"/>
  <c r="A678" i="3" s="1"/>
  <c r="L677" i="3" a="1"/>
  <c r="L677" i="3" s="1"/>
  <c r="K677" i="3" a="1"/>
  <c r="K677" i="3" s="1"/>
  <c r="J677" i="3" a="1"/>
  <c r="J677" i="3" s="1"/>
  <c r="I677" i="3" a="1"/>
  <c r="I677" i="3" s="1"/>
  <c r="H677" i="3" a="1"/>
  <c r="H677" i="3" s="1"/>
  <c r="G677" i="3" a="1"/>
  <c r="G677" i="3" s="1"/>
  <c r="F677" i="3" a="1"/>
  <c r="F677" i="3" s="1"/>
  <c r="E677" i="3" a="1"/>
  <c r="E677" i="3" s="1"/>
  <c r="D677" i="3" a="1"/>
  <c r="D677" i="3" s="1"/>
  <c r="C677" i="3" a="1"/>
  <c r="C677" i="3" s="1"/>
  <c r="A677" i="3" s="1"/>
  <c r="L676" i="3" a="1"/>
  <c r="L676" i="3" s="1"/>
  <c r="K676" i="3" a="1"/>
  <c r="K676" i="3" s="1"/>
  <c r="J676" i="3" a="1"/>
  <c r="J676" i="3" s="1"/>
  <c r="I676" i="3" a="1"/>
  <c r="I676" i="3" s="1"/>
  <c r="H676" i="3" a="1"/>
  <c r="H676" i="3" s="1"/>
  <c r="G676" i="3" a="1"/>
  <c r="G676" i="3" s="1"/>
  <c r="F676" i="3" a="1"/>
  <c r="F676" i="3" s="1"/>
  <c r="E676" i="3" a="1"/>
  <c r="E676" i="3" s="1"/>
  <c r="D676" i="3" a="1"/>
  <c r="D676" i="3" s="1"/>
  <c r="C676" i="3" a="1"/>
  <c r="C676" i="3" s="1"/>
  <c r="A676" i="3" s="1"/>
  <c r="L675" i="3" a="1"/>
  <c r="L675" i="3" s="1"/>
  <c r="K675" i="3" a="1"/>
  <c r="K675" i="3" s="1"/>
  <c r="J675" i="3" a="1"/>
  <c r="J675" i="3" s="1"/>
  <c r="I675" i="3" a="1"/>
  <c r="I675" i="3" s="1"/>
  <c r="H675" i="3" a="1"/>
  <c r="H675" i="3" s="1"/>
  <c r="G675" i="3" a="1"/>
  <c r="G675" i="3" s="1"/>
  <c r="F675" i="3" a="1"/>
  <c r="F675" i="3" s="1"/>
  <c r="E675" i="3" a="1"/>
  <c r="E675" i="3" s="1"/>
  <c r="D675" i="3" a="1"/>
  <c r="D675" i="3" s="1"/>
  <c r="C675" i="3" a="1"/>
  <c r="C675" i="3" s="1"/>
  <c r="A675" i="3" s="1"/>
  <c r="L674" i="3" a="1"/>
  <c r="L674" i="3" s="1"/>
  <c r="K674" i="3" a="1"/>
  <c r="K674" i="3" s="1"/>
  <c r="J674" i="3" a="1"/>
  <c r="J674" i="3" s="1"/>
  <c r="I674" i="3" a="1"/>
  <c r="I674" i="3" s="1"/>
  <c r="H674" i="3" a="1"/>
  <c r="H674" i="3" s="1"/>
  <c r="G674" i="3" a="1"/>
  <c r="G674" i="3" s="1"/>
  <c r="F674" i="3" a="1"/>
  <c r="F674" i="3" s="1"/>
  <c r="E674" i="3" a="1"/>
  <c r="E674" i="3" s="1"/>
  <c r="D674" i="3" a="1"/>
  <c r="D674" i="3" s="1"/>
  <c r="C674" i="3" a="1"/>
  <c r="C674" i="3" s="1"/>
  <c r="A674" i="3" s="1"/>
  <c r="L673" i="3" a="1"/>
  <c r="L673" i="3" s="1"/>
  <c r="K673" i="3" a="1"/>
  <c r="K673" i="3" s="1"/>
  <c r="J673" i="3" a="1"/>
  <c r="J673" i="3" s="1"/>
  <c r="I673" i="3" a="1"/>
  <c r="I673" i="3" s="1"/>
  <c r="H673" i="3" a="1"/>
  <c r="H673" i="3" s="1"/>
  <c r="G673" i="3" a="1"/>
  <c r="G673" i="3" s="1"/>
  <c r="F673" i="3" a="1"/>
  <c r="F673" i="3" s="1"/>
  <c r="E673" i="3" a="1"/>
  <c r="E673" i="3" s="1"/>
  <c r="D673" i="3" a="1"/>
  <c r="D673" i="3" s="1"/>
  <c r="C673" i="3" a="1"/>
  <c r="C673" i="3" s="1"/>
  <c r="A673" i="3" s="1"/>
  <c r="L672" i="3" a="1"/>
  <c r="L672" i="3" s="1"/>
  <c r="K672" i="3" a="1"/>
  <c r="K672" i="3" s="1"/>
  <c r="J672" i="3" a="1"/>
  <c r="J672" i="3" s="1"/>
  <c r="I672" i="3" a="1"/>
  <c r="I672" i="3" s="1"/>
  <c r="H672" i="3" a="1"/>
  <c r="H672" i="3" s="1"/>
  <c r="G672" i="3" a="1"/>
  <c r="G672" i="3" s="1"/>
  <c r="F672" i="3" a="1"/>
  <c r="F672" i="3" s="1"/>
  <c r="E672" i="3" a="1"/>
  <c r="E672" i="3" s="1"/>
  <c r="D672" i="3" a="1"/>
  <c r="D672" i="3" s="1"/>
  <c r="C672" i="3" a="1"/>
  <c r="C672" i="3" s="1"/>
  <c r="A672" i="3" s="1"/>
  <c r="L671" i="3" a="1"/>
  <c r="L671" i="3" s="1"/>
  <c r="K671" i="3" a="1"/>
  <c r="K671" i="3" s="1"/>
  <c r="J671" i="3" a="1"/>
  <c r="J671" i="3" s="1"/>
  <c r="I671" i="3" a="1"/>
  <c r="I671" i="3" s="1"/>
  <c r="H671" i="3" a="1"/>
  <c r="H671" i="3" s="1"/>
  <c r="G671" i="3" a="1"/>
  <c r="G671" i="3" s="1"/>
  <c r="F671" i="3" a="1"/>
  <c r="F671" i="3" s="1"/>
  <c r="E671" i="3" a="1"/>
  <c r="E671" i="3" s="1"/>
  <c r="D671" i="3" a="1"/>
  <c r="D671" i="3" s="1"/>
  <c r="C671" i="3" a="1"/>
  <c r="C671" i="3" s="1"/>
  <c r="A671" i="3" s="1"/>
  <c r="L670" i="3" a="1"/>
  <c r="L670" i="3" s="1"/>
  <c r="K670" i="3" a="1"/>
  <c r="K670" i="3" s="1"/>
  <c r="J670" i="3" a="1"/>
  <c r="J670" i="3" s="1"/>
  <c r="I670" i="3" a="1"/>
  <c r="I670" i="3" s="1"/>
  <c r="H670" i="3" a="1"/>
  <c r="H670" i="3" s="1"/>
  <c r="G670" i="3" a="1"/>
  <c r="G670" i="3" s="1"/>
  <c r="F670" i="3" a="1"/>
  <c r="F670" i="3" s="1"/>
  <c r="E670" i="3" a="1"/>
  <c r="E670" i="3" s="1"/>
  <c r="D670" i="3" a="1"/>
  <c r="D670" i="3" s="1"/>
  <c r="C670" i="3" a="1"/>
  <c r="C670" i="3" s="1"/>
  <c r="A670" i="3" s="1"/>
  <c r="L669" i="3" a="1"/>
  <c r="L669" i="3" s="1"/>
  <c r="K669" i="3" a="1"/>
  <c r="K669" i="3" s="1"/>
  <c r="J669" i="3" a="1"/>
  <c r="J669" i="3" s="1"/>
  <c r="I669" i="3" a="1"/>
  <c r="I669" i="3" s="1"/>
  <c r="H669" i="3" a="1"/>
  <c r="H669" i="3" s="1"/>
  <c r="G669" i="3" a="1"/>
  <c r="G669" i="3" s="1"/>
  <c r="F669" i="3" a="1"/>
  <c r="F669" i="3" s="1"/>
  <c r="E669" i="3" a="1"/>
  <c r="E669" i="3" s="1"/>
  <c r="D669" i="3" a="1"/>
  <c r="D669" i="3" s="1"/>
  <c r="C669" i="3" a="1"/>
  <c r="C669" i="3" s="1"/>
  <c r="A669" i="3" s="1"/>
  <c r="L668" i="3" a="1"/>
  <c r="L668" i="3" s="1"/>
  <c r="K668" i="3" a="1"/>
  <c r="K668" i="3" s="1"/>
  <c r="J668" i="3" a="1"/>
  <c r="J668" i="3" s="1"/>
  <c r="I668" i="3" a="1"/>
  <c r="I668" i="3" s="1"/>
  <c r="H668" i="3" a="1"/>
  <c r="H668" i="3" s="1"/>
  <c r="G668" i="3" a="1"/>
  <c r="G668" i="3" s="1"/>
  <c r="F668" i="3" a="1"/>
  <c r="F668" i="3" s="1"/>
  <c r="E668" i="3" a="1"/>
  <c r="E668" i="3" s="1"/>
  <c r="D668" i="3" a="1"/>
  <c r="D668" i="3" s="1"/>
  <c r="C668" i="3" a="1"/>
  <c r="C668" i="3" s="1"/>
  <c r="A668" i="3" s="1"/>
  <c r="L667" i="3" a="1"/>
  <c r="L667" i="3" s="1"/>
  <c r="K667" i="3" a="1"/>
  <c r="K667" i="3" s="1"/>
  <c r="J667" i="3" a="1"/>
  <c r="J667" i="3" s="1"/>
  <c r="I667" i="3" a="1"/>
  <c r="I667" i="3" s="1"/>
  <c r="H667" i="3" a="1"/>
  <c r="H667" i="3" s="1"/>
  <c r="G667" i="3" a="1"/>
  <c r="G667" i="3" s="1"/>
  <c r="F667" i="3" a="1"/>
  <c r="F667" i="3" s="1"/>
  <c r="E667" i="3" a="1"/>
  <c r="E667" i="3" s="1"/>
  <c r="D667" i="3" a="1"/>
  <c r="D667" i="3" s="1"/>
  <c r="C667" i="3" a="1"/>
  <c r="C667" i="3" s="1"/>
  <c r="A667" i="3" s="1"/>
  <c r="L666" i="3" a="1"/>
  <c r="L666" i="3" s="1"/>
  <c r="K666" i="3" a="1"/>
  <c r="K666" i="3" s="1"/>
  <c r="J666" i="3" a="1"/>
  <c r="J666" i="3" s="1"/>
  <c r="I666" i="3" a="1"/>
  <c r="I666" i="3" s="1"/>
  <c r="H666" i="3" a="1"/>
  <c r="H666" i="3" s="1"/>
  <c r="G666" i="3" a="1"/>
  <c r="G666" i="3" s="1"/>
  <c r="F666" i="3" a="1"/>
  <c r="F666" i="3" s="1"/>
  <c r="E666" i="3" a="1"/>
  <c r="E666" i="3" s="1"/>
  <c r="D666" i="3" a="1"/>
  <c r="D666" i="3" s="1"/>
  <c r="C666" i="3" a="1"/>
  <c r="C666" i="3" s="1"/>
  <c r="A666" i="3" s="1"/>
  <c r="L665" i="3" a="1"/>
  <c r="L665" i="3" s="1"/>
  <c r="K665" i="3" a="1"/>
  <c r="K665" i="3" s="1"/>
  <c r="J665" i="3" a="1"/>
  <c r="J665" i="3" s="1"/>
  <c r="I665" i="3" a="1"/>
  <c r="I665" i="3" s="1"/>
  <c r="H665" i="3" a="1"/>
  <c r="H665" i="3" s="1"/>
  <c r="G665" i="3" a="1"/>
  <c r="G665" i="3" s="1"/>
  <c r="F665" i="3" a="1"/>
  <c r="F665" i="3" s="1"/>
  <c r="E665" i="3" a="1"/>
  <c r="E665" i="3" s="1"/>
  <c r="D665" i="3" a="1"/>
  <c r="D665" i="3" s="1"/>
  <c r="C665" i="3" a="1"/>
  <c r="C665" i="3" s="1"/>
  <c r="A665" i="3" s="1"/>
  <c r="L664" i="3" a="1"/>
  <c r="L664" i="3" s="1"/>
  <c r="K664" i="3" a="1"/>
  <c r="K664" i="3" s="1"/>
  <c r="J664" i="3" a="1"/>
  <c r="J664" i="3" s="1"/>
  <c r="I664" i="3" a="1"/>
  <c r="I664" i="3" s="1"/>
  <c r="H664" i="3" a="1"/>
  <c r="H664" i="3" s="1"/>
  <c r="G664" i="3" a="1"/>
  <c r="G664" i="3" s="1"/>
  <c r="F664" i="3" a="1"/>
  <c r="F664" i="3" s="1"/>
  <c r="E664" i="3" a="1"/>
  <c r="E664" i="3" s="1"/>
  <c r="D664" i="3" a="1"/>
  <c r="D664" i="3" s="1"/>
  <c r="C664" i="3" a="1"/>
  <c r="C664" i="3" s="1"/>
  <c r="A664" i="3" s="1"/>
  <c r="L663" i="3" a="1"/>
  <c r="L663" i="3" s="1"/>
  <c r="K663" i="3" a="1"/>
  <c r="K663" i="3" s="1"/>
  <c r="J663" i="3" a="1"/>
  <c r="J663" i="3" s="1"/>
  <c r="I663" i="3" a="1"/>
  <c r="I663" i="3" s="1"/>
  <c r="H663" i="3" a="1"/>
  <c r="H663" i="3" s="1"/>
  <c r="G663" i="3" a="1"/>
  <c r="G663" i="3" s="1"/>
  <c r="F663" i="3" a="1"/>
  <c r="F663" i="3" s="1"/>
  <c r="E663" i="3" a="1"/>
  <c r="E663" i="3" s="1"/>
  <c r="D663" i="3" a="1"/>
  <c r="D663" i="3" s="1"/>
  <c r="C663" i="3" a="1"/>
  <c r="C663" i="3" s="1"/>
  <c r="A663" i="3" s="1"/>
  <c r="L662" i="3" a="1"/>
  <c r="L662" i="3" s="1"/>
  <c r="K662" i="3" a="1"/>
  <c r="K662" i="3" s="1"/>
  <c r="J662" i="3" a="1"/>
  <c r="J662" i="3" s="1"/>
  <c r="I662" i="3" a="1"/>
  <c r="I662" i="3" s="1"/>
  <c r="H662" i="3" a="1"/>
  <c r="H662" i="3" s="1"/>
  <c r="G662" i="3" a="1"/>
  <c r="G662" i="3" s="1"/>
  <c r="F662" i="3" a="1"/>
  <c r="F662" i="3" s="1"/>
  <c r="E662" i="3" a="1"/>
  <c r="E662" i="3" s="1"/>
  <c r="D662" i="3" a="1"/>
  <c r="D662" i="3" s="1"/>
  <c r="C662" i="3" a="1"/>
  <c r="C662" i="3" s="1"/>
  <c r="A662" i="3" s="1"/>
  <c r="L661" i="3" a="1"/>
  <c r="L661" i="3" s="1"/>
  <c r="K661" i="3" a="1"/>
  <c r="K661" i="3" s="1"/>
  <c r="J661" i="3" a="1"/>
  <c r="J661" i="3" s="1"/>
  <c r="I661" i="3" a="1"/>
  <c r="I661" i="3" s="1"/>
  <c r="H661" i="3" a="1"/>
  <c r="H661" i="3" s="1"/>
  <c r="G661" i="3" a="1"/>
  <c r="G661" i="3" s="1"/>
  <c r="F661" i="3" a="1"/>
  <c r="F661" i="3" s="1"/>
  <c r="E661" i="3" a="1"/>
  <c r="E661" i="3" s="1"/>
  <c r="D661" i="3" a="1"/>
  <c r="D661" i="3" s="1"/>
  <c r="C661" i="3" a="1"/>
  <c r="C661" i="3" s="1"/>
  <c r="A661" i="3" s="1"/>
  <c r="L660" i="3" a="1"/>
  <c r="L660" i="3" s="1"/>
  <c r="K660" i="3" a="1"/>
  <c r="K660" i="3" s="1"/>
  <c r="J660" i="3" a="1"/>
  <c r="J660" i="3" s="1"/>
  <c r="I660" i="3" a="1"/>
  <c r="I660" i="3" s="1"/>
  <c r="H660" i="3" a="1"/>
  <c r="H660" i="3" s="1"/>
  <c r="G660" i="3" a="1"/>
  <c r="G660" i="3" s="1"/>
  <c r="F660" i="3" a="1"/>
  <c r="F660" i="3" s="1"/>
  <c r="E660" i="3" a="1"/>
  <c r="E660" i="3" s="1"/>
  <c r="D660" i="3" a="1"/>
  <c r="D660" i="3" s="1"/>
  <c r="C660" i="3" a="1"/>
  <c r="C660" i="3" s="1"/>
  <c r="A660" i="3" s="1"/>
  <c r="L659" i="3" a="1"/>
  <c r="L659" i="3" s="1"/>
  <c r="K659" i="3" a="1"/>
  <c r="K659" i="3" s="1"/>
  <c r="J659" i="3" a="1"/>
  <c r="J659" i="3" s="1"/>
  <c r="I659" i="3" a="1"/>
  <c r="I659" i="3" s="1"/>
  <c r="H659" i="3" a="1"/>
  <c r="H659" i="3" s="1"/>
  <c r="G659" i="3" a="1"/>
  <c r="G659" i="3" s="1"/>
  <c r="F659" i="3" a="1"/>
  <c r="F659" i="3" s="1"/>
  <c r="E659" i="3" a="1"/>
  <c r="E659" i="3" s="1"/>
  <c r="D659" i="3" a="1"/>
  <c r="D659" i="3" s="1"/>
  <c r="C659" i="3" a="1"/>
  <c r="C659" i="3" s="1"/>
  <c r="A659" i="3" s="1"/>
  <c r="L658" i="3" a="1"/>
  <c r="L658" i="3" s="1"/>
  <c r="K658" i="3" a="1"/>
  <c r="K658" i="3" s="1"/>
  <c r="J658" i="3" a="1"/>
  <c r="J658" i="3" s="1"/>
  <c r="I658" i="3" a="1"/>
  <c r="I658" i="3" s="1"/>
  <c r="H658" i="3" a="1"/>
  <c r="H658" i="3" s="1"/>
  <c r="G658" i="3" a="1"/>
  <c r="G658" i="3" s="1"/>
  <c r="F658" i="3" a="1"/>
  <c r="F658" i="3" s="1"/>
  <c r="E658" i="3" a="1"/>
  <c r="E658" i="3" s="1"/>
  <c r="D658" i="3" a="1"/>
  <c r="D658" i="3" s="1"/>
  <c r="C658" i="3" a="1"/>
  <c r="C658" i="3" s="1"/>
  <c r="A658" i="3" s="1"/>
  <c r="L657" i="3" a="1"/>
  <c r="L657" i="3" s="1"/>
  <c r="K657" i="3" a="1"/>
  <c r="K657" i="3" s="1"/>
  <c r="J657" i="3" a="1"/>
  <c r="J657" i="3" s="1"/>
  <c r="I657" i="3" a="1"/>
  <c r="I657" i="3" s="1"/>
  <c r="H657" i="3" a="1"/>
  <c r="H657" i="3" s="1"/>
  <c r="G657" i="3" a="1"/>
  <c r="G657" i="3" s="1"/>
  <c r="F657" i="3" a="1"/>
  <c r="F657" i="3" s="1"/>
  <c r="E657" i="3" a="1"/>
  <c r="E657" i="3" s="1"/>
  <c r="D657" i="3" a="1"/>
  <c r="D657" i="3" s="1"/>
  <c r="C657" i="3" a="1"/>
  <c r="C657" i="3" s="1"/>
  <c r="A657" i="3" s="1"/>
  <c r="L656" i="3" a="1"/>
  <c r="L656" i="3" s="1"/>
  <c r="K656" i="3" a="1"/>
  <c r="K656" i="3" s="1"/>
  <c r="J656" i="3" a="1"/>
  <c r="J656" i="3" s="1"/>
  <c r="I656" i="3" a="1"/>
  <c r="I656" i="3" s="1"/>
  <c r="H656" i="3" a="1"/>
  <c r="H656" i="3" s="1"/>
  <c r="G656" i="3" a="1"/>
  <c r="G656" i="3" s="1"/>
  <c r="F656" i="3" a="1"/>
  <c r="F656" i="3" s="1"/>
  <c r="E656" i="3" a="1"/>
  <c r="E656" i="3" s="1"/>
  <c r="D656" i="3" a="1"/>
  <c r="D656" i="3" s="1"/>
  <c r="C656" i="3" a="1"/>
  <c r="C656" i="3" s="1"/>
  <c r="A656" i="3" s="1"/>
  <c r="L655" i="3" a="1"/>
  <c r="L655" i="3" s="1"/>
  <c r="K655" i="3" a="1"/>
  <c r="K655" i="3" s="1"/>
  <c r="J655" i="3" a="1"/>
  <c r="J655" i="3" s="1"/>
  <c r="I655" i="3" a="1"/>
  <c r="I655" i="3" s="1"/>
  <c r="H655" i="3" a="1"/>
  <c r="H655" i="3" s="1"/>
  <c r="G655" i="3" a="1"/>
  <c r="G655" i="3" s="1"/>
  <c r="F655" i="3" a="1"/>
  <c r="F655" i="3" s="1"/>
  <c r="E655" i="3" a="1"/>
  <c r="E655" i="3" s="1"/>
  <c r="D655" i="3" a="1"/>
  <c r="D655" i="3" s="1"/>
  <c r="C655" i="3" a="1"/>
  <c r="C655" i="3" s="1"/>
  <c r="A655" i="3" s="1"/>
  <c r="L654" i="3" a="1"/>
  <c r="L654" i="3" s="1"/>
  <c r="K654" i="3" a="1"/>
  <c r="K654" i="3" s="1"/>
  <c r="J654" i="3" a="1"/>
  <c r="J654" i="3" s="1"/>
  <c r="I654" i="3" a="1"/>
  <c r="I654" i="3" s="1"/>
  <c r="H654" i="3" a="1"/>
  <c r="H654" i="3" s="1"/>
  <c r="G654" i="3" a="1"/>
  <c r="G654" i="3" s="1"/>
  <c r="F654" i="3" a="1"/>
  <c r="F654" i="3" s="1"/>
  <c r="E654" i="3" a="1"/>
  <c r="E654" i="3" s="1"/>
  <c r="D654" i="3" a="1"/>
  <c r="D654" i="3" s="1"/>
  <c r="C654" i="3" a="1"/>
  <c r="C654" i="3" s="1"/>
  <c r="A654" i="3" s="1"/>
  <c r="L653" i="3" a="1"/>
  <c r="L653" i="3" s="1"/>
  <c r="K653" i="3" a="1"/>
  <c r="K653" i="3" s="1"/>
  <c r="J653" i="3" a="1"/>
  <c r="J653" i="3" s="1"/>
  <c r="I653" i="3" a="1"/>
  <c r="I653" i="3" s="1"/>
  <c r="H653" i="3" a="1"/>
  <c r="H653" i="3" s="1"/>
  <c r="G653" i="3" a="1"/>
  <c r="G653" i="3" s="1"/>
  <c r="F653" i="3" a="1"/>
  <c r="F653" i="3" s="1"/>
  <c r="E653" i="3" a="1"/>
  <c r="E653" i="3" s="1"/>
  <c r="D653" i="3" a="1"/>
  <c r="D653" i="3" s="1"/>
  <c r="C653" i="3" a="1"/>
  <c r="C653" i="3" s="1"/>
  <c r="A653" i="3" s="1"/>
  <c r="L652" i="3" a="1"/>
  <c r="L652" i="3" s="1"/>
  <c r="K652" i="3" a="1"/>
  <c r="K652" i="3" s="1"/>
  <c r="J652" i="3" a="1"/>
  <c r="J652" i="3" s="1"/>
  <c r="I652" i="3" a="1"/>
  <c r="I652" i="3" s="1"/>
  <c r="H652" i="3" a="1"/>
  <c r="H652" i="3" s="1"/>
  <c r="G652" i="3" a="1"/>
  <c r="G652" i="3" s="1"/>
  <c r="F652" i="3" a="1"/>
  <c r="F652" i="3" s="1"/>
  <c r="E652" i="3" a="1"/>
  <c r="E652" i="3" s="1"/>
  <c r="D652" i="3" a="1"/>
  <c r="D652" i="3" s="1"/>
  <c r="C652" i="3" a="1"/>
  <c r="C652" i="3" s="1"/>
  <c r="A652" i="3" s="1"/>
  <c r="L651" i="3" a="1"/>
  <c r="L651" i="3" s="1"/>
  <c r="K651" i="3" a="1"/>
  <c r="K651" i="3" s="1"/>
  <c r="J651" i="3" a="1"/>
  <c r="J651" i="3" s="1"/>
  <c r="I651" i="3" a="1"/>
  <c r="I651" i="3" s="1"/>
  <c r="H651" i="3" a="1"/>
  <c r="H651" i="3" s="1"/>
  <c r="G651" i="3" a="1"/>
  <c r="G651" i="3" s="1"/>
  <c r="F651" i="3" a="1"/>
  <c r="F651" i="3" s="1"/>
  <c r="E651" i="3" a="1"/>
  <c r="E651" i="3" s="1"/>
  <c r="D651" i="3" a="1"/>
  <c r="D651" i="3" s="1"/>
  <c r="C651" i="3" a="1"/>
  <c r="C651" i="3" s="1"/>
  <c r="A651" i="3" s="1"/>
  <c r="L650" i="3" a="1"/>
  <c r="L650" i="3" s="1"/>
  <c r="K650" i="3" a="1"/>
  <c r="K650" i="3" s="1"/>
  <c r="J650" i="3" a="1"/>
  <c r="J650" i="3" s="1"/>
  <c r="I650" i="3" a="1"/>
  <c r="I650" i="3" s="1"/>
  <c r="H650" i="3" a="1"/>
  <c r="H650" i="3" s="1"/>
  <c r="G650" i="3" a="1"/>
  <c r="G650" i="3" s="1"/>
  <c r="F650" i="3" a="1"/>
  <c r="F650" i="3" s="1"/>
  <c r="E650" i="3" a="1"/>
  <c r="E650" i="3" s="1"/>
  <c r="D650" i="3" a="1"/>
  <c r="D650" i="3" s="1"/>
  <c r="C650" i="3" a="1"/>
  <c r="C650" i="3" s="1"/>
  <c r="A650" i="3" s="1"/>
  <c r="L649" i="3" a="1"/>
  <c r="L649" i="3" s="1"/>
  <c r="K649" i="3" a="1"/>
  <c r="K649" i="3" s="1"/>
  <c r="J649" i="3" a="1"/>
  <c r="J649" i="3" s="1"/>
  <c r="I649" i="3" a="1"/>
  <c r="I649" i="3" s="1"/>
  <c r="H649" i="3" a="1"/>
  <c r="H649" i="3" s="1"/>
  <c r="G649" i="3" a="1"/>
  <c r="G649" i="3" s="1"/>
  <c r="F649" i="3" a="1"/>
  <c r="F649" i="3" s="1"/>
  <c r="E649" i="3" a="1"/>
  <c r="E649" i="3" s="1"/>
  <c r="D649" i="3" a="1"/>
  <c r="D649" i="3" s="1"/>
  <c r="C649" i="3" a="1"/>
  <c r="C649" i="3" s="1"/>
  <c r="A649" i="3" s="1"/>
  <c r="L648" i="3" a="1"/>
  <c r="L648" i="3" s="1"/>
  <c r="K648" i="3" a="1"/>
  <c r="K648" i="3" s="1"/>
  <c r="J648" i="3" a="1"/>
  <c r="J648" i="3" s="1"/>
  <c r="I648" i="3" a="1"/>
  <c r="I648" i="3" s="1"/>
  <c r="H648" i="3" a="1"/>
  <c r="H648" i="3" s="1"/>
  <c r="G648" i="3" a="1"/>
  <c r="G648" i="3" s="1"/>
  <c r="F648" i="3" a="1"/>
  <c r="F648" i="3" s="1"/>
  <c r="E648" i="3" a="1"/>
  <c r="E648" i="3" s="1"/>
  <c r="D648" i="3" a="1"/>
  <c r="D648" i="3" s="1"/>
  <c r="C648" i="3" a="1"/>
  <c r="C648" i="3" s="1"/>
  <c r="A648" i="3" s="1"/>
  <c r="L647" i="3" a="1"/>
  <c r="L647" i="3" s="1"/>
  <c r="K647" i="3" a="1"/>
  <c r="K647" i="3" s="1"/>
  <c r="J647" i="3" a="1"/>
  <c r="J647" i="3" s="1"/>
  <c r="I647" i="3" a="1"/>
  <c r="I647" i="3" s="1"/>
  <c r="H647" i="3" a="1"/>
  <c r="H647" i="3" s="1"/>
  <c r="G647" i="3" a="1"/>
  <c r="G647" i="3" s="1"/>
  <c r="F647" i="3" a="1"/>
  <c r="F647" i="3" s="1"/>
  <c r="E647" i="3" a="1"/>
  <c r="E647" i="3" s="1"/>
  <c r="D647" i="3" a="1"/>
  <c r="D647" i="3" s="1"/>
  <c r="C647" i="3" a="1"/>
  <c r="C647" i="3" s="1"/>
  <c r="A647" i="3" s="1"/>
  <c r="L646" i="3" a="1"/>
  <c r="L646" i="3" s="1"/>
  <c r="K646" i="3" a="1"/>
  <c r="K646" i="3" s="1"/>
  <c r="J646" i="3" a="1"/>
  <c r="J646" i="3" s="1"/>
  <c r="I646" i="3" a="1"/>
  <c r="I646" i="3" s="1"/>
  <c r="H646" i="3" a="1"/>
  <c r="H646" i="3" s="1"/>
  <c r="G646" i="3" a="1"/>
  <c r="G646" i="3" s="1"/>
  <c r="F646" i="3" a="1"/>
  <c r="F646" i="3" s="1"/>
  <c r="E646" i="3" a="1"/>
  <c r="E646" i="3" s="1"/>
  <c r="D646" i="3" a="1"/>
  <c r="D646" i="3" s="1"/>
  <c r="C646" i="3" a="1"/>
  <c r="C646" i="3" s="1"/>
  <c r="A646" i="3" s="1"/>
  <c r="L645" i="3" a="1"/>
  <c r="L645" i="3" s="1"/>
  <c r="K645" i="3" a="1"/>
  <c r="K645" i="3" s="1"/>
  <c r="J645" i="3" a="1"/>
  <c r="J645" i="3" s="1"/>
  <c r="I645" i="3" a="1"/>
  <c r="I645" i="3" s="1"/>
  <c r="H645" i="3" a="1"/>
  <c r="H645" i="3" s="1"/>
  <c r="G645" i="3" a="1"/>
  <c r="G645" i="3" s="1"/>
  <c r="F645" i="3" a="1"/>
  <c r="F645" i="3" s="1"/>
  <c r="E645" i="3" a="1"/>
  <c r="E645" i="3" s="1"/>
  <c r="D645" i="3" a="1"/>
  <c r="D645" i="3" s="1"/>
  <c r="C645" i="3" a="1"/>
  <c r="C645" i="3" s="1"/>
  <c r="A645" i="3" s="1"/>
  <c r="L644" i="3" a="1"/>
  <c r="L644" i="3" s="1"/>
  <c r="K644" i="3" a="1"/>
  <c r="K644" i="3" s="1"/>
  <c r="J644" i="3" a="1"/>
  <c r="J644" i="3" s="1"/>
  <c r="I644" i="3" a="1"/>
  <c r="I644" i="3" s="1"/>
  <c r="H644" i="3" a="1"/>
  <c r="H644" i="3" s="1"/>
  <c r="G644" i="3" a="1"/>
  <c r="G644" i="3" s="1"/>
  <c r="F644" i="3" a="1"/>
  <c r="F644" i="3" s="1"/>
  <c r="E644" i="3" a="1"/>
  <c r="E644" i="3" s="1"/>
  <c r="D644" i="3" a="1"/>
  <c r="D644" i="3" s="1"/>
  <c r="C644" i="3" a="1"/>
  <c r="C644" i="3" s="1"/>
  <c r="A644" i="3" s="1"/>
  <c r="L643" i="3" a="1"/>
  <c r="L643" i="3" s="1"/>
  <c r="K643" i="3" a="1"/>
  <c r="K643" i="3" s="1"/>
  <c r="J643" i="3" a="1"/>
  <c r="J643" i="3" s="1"/>
  <c r="I643" i="3" a="1"/>
  <c r="I643" i="3" s="1"/>
  <c r="H643" i="3" a="1"/>
  <c r="H643" i="3" s="1"/>
  <c r="G643" i="3" a="1"/>
  <c r="G643" i="3" s="1"/>
  <c r="F643" i="3" a="1"/>
  <c r="F643" i="3" s="1"/>
  <c r="E643" i="3" a="1"/>
  <c r="E643" i="3" s="1"/>
  <c r="D643" i="3" a="1"/>
  <c r="D643" i="3" s="1"/>
  <c r="C643" i="3" a="1"/>
  <c r="C643" i="3" s="1"/>
  <c r="A643" i="3" s="1"/>
  <c r="L642" i="3" a="1"/>
  <c r="L642" i="3" s="1"/>
  <c r="K642" i="3" a="1"/>
  <c r="K642" i="3" s="1"/>
  <c r="J642" i="3" a="1"/>
  <c r="J642" i="3" s="1"/>
  <c r="I642" i="3" a="1"/>
  <c r="I642" i="3" s="1"/>
  <c r="H642" i="3" a="1"/>
  <c r="H642" i="3" s="1"/>
  <c r="G642" i="3" a="1"/>
  <c r="G642" i="3" s="1"/>
  <c r="F642" i="3" a="1"/>
  <c r="F642" i="3" s="1"/>
  <c r="E642" i="3" a="1"/>
  <c r="E642" i="3" s="1"/>
  <c r="D642" i="3" a="1"/>
  <c r="D642" i="3" s="1"/>
  <c r="C642" i="3" a="1"/>
  <c r="C642" i="3" s="1"/>
  <c r="A642" i="3" s="1"/>
  <c r="L641" i="3" a="1"/>
  <c r="L641" i="3" s="1"/>
  <c r="K641" i="3" a="1"/>
  <c r="K641" i="3" s="1"/>
  <c r="J641" i="3" a="1"/>
  <c r="J641" i="3" s="1"/>
  <c r="I641" i="3" a="1"/>
  <c r="I641" i="3" s="1"/>
  <c r="H641" i="3" a="1"/>
  <c r="H641" i="3" s="1"/>
  <c r="G641" i="3" a="1"/>
  <c r="G641" i="3" s="1"/>
  <c r="F641" i="3" a="1"/>
  <c r="F641" i="3" s="1"/>
  <c r="E641" i="3" a="1"/>
  <c r="E641" i="3" s="1"/>
  <c r="D641" i="3" a="1"/>
  <c r="D641" i="3" s="1"/>
  <c r="C641" i="3" a="1"/>
  <c r="C641" i="3" s="1"/>
  <c r="A641" i="3" s="1"/>
  <c r="L640" i="3" a="1"/>
  <c r="L640" i="3" s="1"/>
  <c r="K640" i="3" a="1"/>
  <c r="K640" i="3" s="1"/>
  <c r="J640" i="3" a="1"/>
  <c r="J640" i="3" s="1"/>
  <c r="I640" i="3" a="1"/>
  <c r="I640" i="3" s="1"/>
  <c r="H640" i="3" a="1"/>
  <c r="H640" i="3" s="1"/>
  <c r="G640" i="3" a="1"/>
  <c r="G640" i="3" s="1"/>
  <c r="F640" i="3" a="1"/>
  <c r="F640" i="3" s="1"/>
  <c r="E640" i="3" a="1"/>
  <c r="E640" i="3" s="1"/>
  <c r="D640" i="3" a="1"/>
  <c r="D640" i="3" s="1"/>
  <c r="C640" i="3" a="1"/>
  <c r="C640" i="3" s="1"/>
  <c r="A640" i="3" s="1"/>
  <c r="L639" i="3" a="1"/>
  <c r="L639" i="3" s="1"/>
  <c r="K639" i="3" a="1"/>
  <c r="K639" i="3" s="1"/>
  <c r="J639" i="3" a="1"/>
  <c r="J639" i="3" s="1"/>
  <c r="I639" i="3" a="1"/>
  <c r="I639" i="3" s="1"/>
  <c r="H639" i="3" a="1"/>
  <c r="H639" i="3" s="1"/>
  <c r="G639" i="3" a="1"/>
  <c r="G639" i="3" s="1"/>
  <c r="F639" i="3" a="1"/>
  <c r="F639" i="3" s="1"/>
  <c r="E639" i="3" a="1"/>
  <c r="E639" i="3" s="1"/>
  <c r="D639" i="3" a="1"/>
  <c r="D639" i="3" s="1"/>
  <c r="C639" i="3" a="1"/>
  <c r="C639" i="3" s="1"/>
  <c r="A639" i="3" s="1"/>
  <c r="L638" i="3" a="1"/>
  <c r="L638" i="3" s="1"/>
  <c r="K638" i="3" a="1"/>
  <c r="K638" i="3" s="1"/>
  <c r="J638" i="3" a="1"/>
  <c r="J638" i="3" s="1"/>
  <c r="I638" i="3" a="1"/>
  <c r="I638" i="3" s="1"/>
  <c r="H638" i="3" a="1"/>
  <c r="H638" i="3" s="1"/>
  <c r="G638" i="3" a="1"/>
  <c r="G638" i="3" s="1"/>
  <c r="F638" i="3" a="1"/>
  <c r="F638" i="3" s="1"/>
  <c r="E638" i="3" a="1"/>
  <c r="E638" i="3" s="1"/>
  <c r="D638" i="3" a="1"/>
  <c r="D638" i="3" s="1"/>
  <c r="C638" i="3" a="1"/>
  <c r="C638" i="3" s="1"/>
  <c r="A638" i="3" s="1"/>
  <c r="L637" i="3" a="1"/>
  <c r="L637" i="3" s="1"/>
  <c r="K637" i="3" a="1"/>
  <c r="K637" i="3" s="1"/>
  <c r="J637" i="3" a="1"/>
  <c r="J637" i="3" s="1"/>
  <c r="I637" i="3" a="1"/>
  <c r="I637" i="3" s="1"/>
  <c r="H637" i="3" a="1"/>
  <c r="H637" i="3" s="1"/>
  <c r="G637" i="3" a="1"/>
  <c r="G637" i="3" s="1"/>
  <c r="F637" i="3" a="1"/>
  <c r="F637" i="3" s="1"/>
  <c r="E637" i="3" a="1"/>
  <c r="E637" i="3" s="1"/>
  <c r="D637" i="3" a="1"/>
  <c r="D637" i="3" s="1"/>
  <c r="C637" i="3" a="1"/>
  <c r="C637" i="3" s="1"/>
  <c r="A637" i="3" s="1"/>
  <c r="L636" i="3" a="1"/>
  <c r="L636" i="3" s="1"/>
  <c r="K636" i="3" a="1"/>
  <c r="K636" i="3" s="1"/>
  <c r="J636" i="3" a="1"/>
  <c r="J636" i="3" s="1"/>
  <c r="I636" i="3" a="1"/>
  <c r="I636" i="3" s="1"/>
  <c r="H636" i="3" a="1"/>
  <c r="H636" i="3" s="1"/>
  <c r="G636" i="3" a="1"/>
  <c r="G636" i="3" s="1"/>
  <c r="F636" i="3" a="1"/>
  <c r="F636" i="3" s="1"/>
  <c r="E636" i="3" a="1"/>
  <c r="E636" i="3" s="1"/>
  <c r="D636" i="3" a="1"/>
  <c r="D636" i="3" s="1"/>
  <c r="C636" i="3" a="1"/>
  <c r="C636" i="3" s="1"/>
  <c r="A636" i="3" s="1"/>
  <c r="L635" i="3" a="1"/>
  <c r="L635" i="3" s="1"/>
  <c r="K635" i="3" a="1"/>
  <c r="K635" i="3" s="1"/>
  <c r="J635" i="3" a="1"/>
  <c r="J635" i="3" s="1"/>
  <c r="I635" i="3" a="1"/>
  <c r="I635" i="3" s="1"/>
  <c r="H635" i="3" a="1"/>
  <c r="H635" i="3" s="1"/>
  <c r="G635" i="3" a="1"/>
  <c r="G635" i="3" s="1"/>
  <c r="F635" i="3" a="1"/>
  <c r="F635" i="3" s="1"/>
  <c r="E635" i="3" a="1"/>
  <c r="E635" i="3" s="1"/>
  <c r="D635" i="3" a="1"/>
  <c r="D635" i="3" s="1"/>
  <c r="C635" i="3" a="1"/>
  <c r="C635" i="3" s="1"/>
  <c r="A635" i="3" s="1"/>
  <c r="L634" i="3" a="1"/>
  <c r="L634" i="3" s="1"/>
  <c r="K634" i="3" a="1"/>
  <c r="K634" i="3" s="1"/>
  <c r="J634" i="3" a="1"/>
  <c r="J634" i="3" s="1"/>
  <c r="I634" i="3" a="1"/>
  <c r="I634" i="3" s="1"/>
  <c r="H634" i="3" a="1"/>
  <c r="H634" i="3" s="1"/>
  <c r="G634" i="3" a="1"/>
  <c r="G634" i="3" s="1"/>
  <c r="F634" i="3" a="1"/>
  <c r="F634" i="3" s="1"/>
  <c r="E634" i="3" a="1"/>
  <c r="E634" i="3" s="1"/>
  <c r="D634" i="3" a="1"/>
  <c r="D634" i="3" s="1"/>
  <c r="C634" i="3" a="1"/>
  <c r="C634" i="3" s="1"/>
  <c r="A634" i="3" s="1"/>
  <c r="L633" i="3" a="1"/>
  <c r="L633" i="3" s="1"/>
  <c r="K633" i="3" a="1"/>
  <c r="K633" i="3" s="1"/>
  <c r="J633" i="3" a="1"/>
  <c r="J633" i="3" s="1"/>
  <c r="I633" i="3" a="1"/>
  <c r="I633" i="3" s="1"/>
  <c r="H633" i="3" a="1"/>
  <c r="H633" i="3" s="1"/>
  <c r="G633" i="3" a="1"/>
  <c r="G633" i="3" s="1"/>
  <c r="F633" i="3" a="1"/>
  <c r="F633" i="3" s="1"/>
  <c r="E633" i="3" a="1"/>
  <c r="E633" i="3" s="1"/>
  <c r="D633" i="3" a="1"/>
  <c r="D633" i="3" s="1"/>
  <c r="C633" i="3" a="1"/>
  <c r="C633" i="3" s="1"/>
  <c r="A633" i="3" s="1"/>
  <c r="L632" i="3" a="1"/>
  <c r="L632" i="3" s="1"/>
  <c r="K632" i="3" a="1"/>
  <c r="K632" i="3" s="1"/>
  <c r="J632" i="3" a="1"/>
  <c r="J632" i="3" s="1"/>
  <c r="I632" i="3" a="1"/>
  <c r="I632" i="3" s="1"/>
  <c r="H632" i="3" a="1"/>
  <c r="H632" i="3" s="1"/>
  <c r="G632" i="3" a="1"/>
  <c r="G632" i="3" s="1"/>
  <c r="F632" i="3" a="1"/>
  <c r="F632" i="3" s="1"/>
  <c r="E632" i="3" a="1"/>
  <c r="E632" i="3" s="1"/>
  <c r="D632" i="3" a="1"/>
  <c r="D632" i="3" s="1"/>
  <c r="C632" i="3" a="1"/>
  <c r="C632" i="3" s="1"/>
  <c r="A632" i="3" s="1"/>
  <c r="L631" i="3" a="1"/>
  <c r="L631" i="3" s="1"/>
  <c r="K631" i="3" a="1"/>
  <c r="K631" i="3" s="1"/>
  <c r="J631" i="3" a="1"/>
  <c r="J631" i="3" s="1"/>
  <c r="I631" i="3" a="1"/>
  <c r="I631" i="3" s="1"/>
  <c r="H631" i="3" a="1"/>
  <c r="H631" i="3" s="1"/>
  <c r="G631" i="3" a="1"/>
  <c r="G631" i="3" s="1"/>
  <c r="F631" i="3" a="1"/>
  <c r="F631" i="3" s="1"/>
  <c r="E631" i="3" a="1"/>
  <c r="E631" i="3" s="1"/>
  <c r="D631" i="3" a="1"/>
  <c r="D631" i="3" s="1"/>
  <c r="C631" i="3" a="1"/>
  <c r="C631" i="3" s="1"/>
  <c r="A631" i="3" s="1"/>
  <c r="L630" i="3" a="1"/>
  <c r="L630" i="3" s="1"/>
  <c r="K630" i="3" a="1"/>
  <c r="K630" i="3" s="1"/>
  <c r="J630" i="3" a="1"/>
  <c r="J630" i="3" s="1"/>
  <c r="I630" i="3" a="1"/>
  <c r="I630" i="3" s="1"/>
  <c r="H630" i="3" a="1"/>
  <c r="H630" i="3" s="1"/>
  <c r="G630" i="3" a="1"/>
  <c r="G630" i="3" s="1"/>
  <c r="F630" i="3" a="1"/>
  <c r="F630" i="3" s="1"/>
  <c r="E630" i="3" a="1"/>
  <c r="E630" i="3" s="1"/>
  <c r="D630" i="3" a="1"/>
  <c r="D630" i="3" s="1"/>
  <c r="C630" i="3" a="1"/>
  <c r="C630" i="3" s="1"/>
  <c r="A630" i="3" s="1"/>
  <c r="L629" i="3" a="1"/>
  <c r="L629" i="3" s="1"/>
  <c r="K629" i="3" a="1"/>
  <c r="K629" i="3" s="1"/>
  <c r="J629" i="3" a="1"/>
  <c r="J629" i="3" s="1"/>
  <c r="I629" i="3" a="1"/>
  <c r="I629" i="3" s="1"/>
  <c r="H629" i="3" a="1"/>
  <c r="H629" i="3" s="1"/>
  <c r="G629" i="3" a="1"/>
  <c r="G629" i="3" s="1"/>
  <c r="F629" i="3" a="1"/>
  <c r="F629" i="3" s="1"/>
  <c r="E629" i="3" a="1"/>
  <c r="E629" i="3" s="1"/>
  <c r="D629" i="3" a="1"/>
  <c r="D629" i="3" s="1"/>
  <c r="C629" i="3" a="1"/>
  <c r="C629" i="3" s="1"/>
  <c r="A629" i="3" s="1"/>
  <c r="L628" i="3" a="1"/>
  <c r="L628" i="3" s="1"/>
  <c r="K628" i="3" a="1"/>
  <c r="K628" i="3" s="1"/>
  <c r="J628" i="3" a="1"/>
  <c r="J628" i="3" s="1"/>
  <c r="I628" i="3" a="1"/>
  <c r="I628" i="3" s="1"/>
  <c r="H628" i="3" a="1"/>
  <c r="H628" i="3" s="1"/>
  <c r="G628" i="3" a="1"/>
  <c r="G628" i="3" s="1"/>
  <c r="F628" i="3" a="1"/>
  <c r="F628" i="3" s="1"/>
  <c r="E628" i="3" a="1"/>
  <c r="E628" i="3" s="1"/>
  <c r="D628" i="3" a="1"/>
  <c r="D628" i="3" s="1"/>
  <c r="C628" i="3" a="1"/>
  <c r="C628" i="3" s="1"/>
  <c r="A628" i="3" s="1"/>
  <c r="L627" i="3" a="1"/>
  <c r="L627" i="3" s="1"/>
  <c r="K627" i="3" a="1"/>
  <c r="K627" i="3" s="1"/>
  <c r="J627" i="3" a="1"/>
  <c r="J627" i="3" s="1"/>
  <c r="I627" i="3" a="1"/>
  <c r="I627" i="3" s="1"/>
  <c r="H627" i="3" a="1"/>
  <c r="H627" i="3" s="1"/>
  <c r="G627" i="3" a="1"/>
  <c r="G627" i="3" s="1"/>
  <c r="F627" i="3" a="1"/>
  <c r="F627" i="3" s="1"/>
  <c r="E627" i="3" a="1"/>
  <c r="E627" i="3" s="1"/>
  <c r="D627" i="3" a="1"/>
  <c r="D627" i="3" s="1"/>
  <c r="C627" i="3" a="1"/>
  <c r="C627" i="3" s="1"/>
  <c r="A627" i="3" s="1"/>
  <c r="L626" i="3" a="1"/>
  <c r="L626" i="3" s="1"/>
  <c r="K626" i="3" a="1"/>
  <c r="K626" i="3" s="1"/>
  <c r="J626" i="3" a="1"/>
  <c r="J626" i="3" s="1"/>
  <c r="I626" i="3" a="1"/>
  <c r="I626" i="3" s="1"/>
  <c r="H626" i="3" a="1"/>
  <c r="H626" i="3" s="1"/>
  <c r="G626" i="3" a="1"/>
  <c r="G626" i="3" s="1"/>
  <c r="F626" i="3" a="1"/>
  <c r="F626" i="3" s="1"/>
  <c r="E626" i="3" a="1"/>
  <c r="E626" i="3" s="1"/>
  <c r="D626" i="3" a="1"/>
  <c r="D626" i="3" s="1"/>
  <c r="C626" i="3" a="1"/>
  <c r="C626" i="3" s="1"/>
  <c r="A626" i="3" s="1"/>
  <c r="L625" i="3" a="1"/>
  <c r="L625" i="3" s="1"/>
  <c r="K625" i="3" a="1"/>
  <c r="K625" i="3" s="1"/>
  <c r="J625" i="3" a="1"/>
  <c r="J625" i="3" s="1"/>
  <c r="I625" i="3" a="1"/>
  <c r="I625" i="3" s="1"/>
  <c r="H625" i="3" a="1"/>
  <c r="H625" i="3" s="1"/>
  <c r="G625" i="3" a="1"/>
  <c r="G625" i="3" s="1"/>
  <c r="F625" i="3" a="1"/>
  <c r="F625" i="3" s="1"/>
  <c r="E625" i="3" a="1"/>
  <c r="E625" i="3" s="1"/>
  <c r="D625" i="3" a="1"/>
  <c r="D625" i="3" s="1"/>
  <c r="C625" i="3" a="1"/>
  <c r="C625" i="3" s="1"/>
  <c r="A625" i="3" s="1"/>
  <c r="L624" i="3" a="1"/>
  <c r="L624" i="3" s="1"/>
  <c r="K624" i="3" a="1"/>
  <c r="K624" i="3" s="1"/>
  <c r="J624" i="3" a="1"/>
  <c r="J624" i="3" s="1"/>
  <c r="I624" i="3" a="1"/>
  <c r="I624" i="3" s="1"/>
  <c r="H624" i="3" a="1"/>
  <c r="H624" i="3" s="1"/>
  <c r="G624" i="3" a="1"/>
  <c r="G624" i="3" s="1"/>
  <c r="F624" i="3" a="1"/>
  <c r="F624" i="3" s="1"/>
  <c r="E624" i="3" a="1"/>
  <c r="E624" i="3" s="1"/>
  <c r="D624" i="3" a="1"/>
  <c r="D624" i="3" s="1"/>
  <c r="C624" i="3" a="1"/>
  <c r="C624" i="3" s="1"/>
  <c r="A624" i="3" s="1"/>
  <c r="L623" i="3" a="1"/>
  <c r="L623" i="3" s="1"/>
  <c r="K623" i="3" a="1"/>
  <c r="K623" i="3" s="1"/>
  <c r="J623" i="3" a="1"/>
  <c r="J623" i="3" s="1"/>
  <c r="I623" i="3" a="1"/>
  <c r="I623" i="3" s="1"/>
  <c r="H623" i="3" a="1"/>
  <c r="H623" i="3" s="1"/>
  <c r="G623" i="3" a="1"/>
  <c r="G623" i="3" s="1"/>
  <c r="F623" i="3" a="1"/>
  <c r="F623" i="3" s="1"/>
  <c r="E623" i="3" a="1"/>
  <c r="E623" i="3" s="1"/>
  <c r="D623" i="3" a="1"/>
  <c r="D623" i="3" s="1"/>
  <c r="C623" i="3" a="1"/>
  <c r="C623" i="3" s="1"/>
  <c r="A623" i="3" s="1"/>
  <c r="L622" i="3" a="1"/>
  <c r="L622" i="3" s="1"/>
  <c r="K622" i="3" a="1"/>
  <c r="K622" i="3" s="1"/>
  <c r="J622" i="3" a="1"/>
  <c r="J622" i="3" s="1"/>
  <c r="I622" i="3" a="1"/>
  <c r="I622" i="3" s="1"/>
  <c r="H622" i="3" a="1"/>
  <c r="H622" i="3" s="1"/>
  <c r="G622" i="3" a="1"/>
  <c r="G622" i="3" s="1"/>
  <c r="F622" i="3" a="1"/>
  <c r="F622" i="3" s="1"/>
  <c r="E622" i="3" a="1"/>
  <c r="E622" i="3" s="1"/>
  <c r="D622" i="3" a="1"/>
  <c r="D622" i="3" s="1"/>
  <c r="C622" i="3" a="1"/>
  <c r="C622" i="3" s="1"/>
  <c r="A622" i="3" s="1"/>
  <c r="L621" i="3" a="1"/>
  <c r="L621" i="3" s="1"/>
  <c r="K621" i="3" a="1"/>
  <c r="K621" i="3" s="1"/>
  <c r="J621" i="3" a="1"/>
  <c r="J621" i="3" s="1"/>
  <c r="I621" i="3" a="1"/>
  <c r="I621" i="3" s="1"/>
  <c r="H621" i="3" a="1"/>
  <c r="H621" i="3" s="1"/>
  <c r="G621" i="3" a="1"/>
  <c r="G621" i="3" s="1"/>
  <c r="F621" i="3" a="1"/>
  <c r="F621" i="3" s="1"/>
  <c r="E621" i="3" a="1"/>
  <c r="E621" i="3" s="1"/>
  <c r="D621" i="3" a="1"/>
  <c r="D621" i="3" s="1"/>
  <c r="C621" i="3" a="1"/>
  <c r="C621" i="3" s="1"/>
  <c r="A621" i="3" s="1"/>
  <c r="L620" i="3" a="1"/>
  <c r="L620" i="3" s="1"/>
  <c r="K620" i="3" a="1"/>
  <c r="K620" i="3" s="1"/>
  <c r="J620" i="3" a="1"/>
  <c r="J620" i="3" s="1"/>
  <c r="I620" i="3" a="1"/>
  <c r="I620" i="3" s="1"/>
  <c r="H620" i="3" a="1"/>
  <c r="H620" i="3" s="1"/>
  <c r="G620" i="3" a="1"/>
  <c r="G620" i="3" s="1"/>
  <c r="F620" i="3" a="1"/>
  <c r="F620" i="3" s="1"/>
  <c r="E620" i="3" a="1"/>
  <c r="E620" i="3" s="1"/>
  <c r="D620" i="3" a="1"/>
  <c r="D620" i="3" s="1"/>
  <c r="C620" i="3" a="1"/>
  <c r="C620" i="3" s="1"/>
  <c r="A620" i="3" s="1"/>
  <c r="L619" i="3" a="1"/>
  <c r="L619" i="3" s="1"/>
  <c r="K619" i="3" a="1"/>
  <c r="K619" i="3" s="1"/>
  <c r="J619" i="3" a="1"/>
  <c r="J619" i="3" s="1"/>
  <c r="I619" i="3" a="1"/>
  <c r="I619" i="3" s="1"/>
  <c r="H619" i="3" a="1"/>
  <c r="H619" i="3" s="1"/>
  <c r="G619" i="3" a="1"/>
  <c r="G619" i="3" s="1"/>
  <c r="F619" i="3" a="1"/>
  <c r="F619" i="3" s="1"/>
  <c r="E619" i="3" a="1"/>
  <c r="E619" i="3" s="1"/>
  <c r="D619" i="3" a="1"/>
  <c r="D619" i="3" s="1"/>
  <c r="C619" i="3" a="1"/>
  <c r="C619" i="3" s="1"/>
  <c r="A619" i="3" s="1"/>
  <c r="L618" i="3" a="1"/>
  <c r="L618" i="3" s="1"/>
  <c r="K618" i="3" a="1"/>
  <c r="K618" i="3" s="1"/>
  <c r="J618" i="3" a="1"/>
  <c r="J618" i="3" s="1"/>
  <c r="I618" i="3" a="1"/>
  <c r="I618" i="3" s="1"/>
  <c r="H618" i="3" a="1"/>
  <c r="H618" i="3" s="1"/>
  <c r="G618" i="3" a="1"/>
  <c r="G618" i="3" s="1"/>
  <c r="F618" i="3" a="1"/>
  <c r="F618" i="3" s="1"/>
  <c r="E618" i="3" a="1"/>
  <c r="E618" i="3" s="1"/>
  <c r="D618" i="3" a="1"/>
  <c r="D618" i="3" s="1"/>
  <c r="C618" i="3" a="1"/>
  <c r="C618" i="3" s="1"/>
  <c r="A618" i="3" s="1"/>
  <c r="L617" i="3" a="1"/>
  <c r="L617" i="3" s="1"/>
  <c r="K617" i="3" a="1"/>
  <c r="K617" i="3" s="1"/>
  <c r="J617" i="3" a="1"/>
  <c r="J617" i="3" s="1"/>
  <c r="I617" i="3" a="1"/>
  <c r="I617" i="3" s="1"/>
  <c r="H617" i="3" a="1"/>
  <c r="H617" i="3" s="1"/>
  <c r="G617" i="3" a="1"/>
  <c r="G617" i="3" s="1"/>
  <c r="F617" i="3" a="1"/>
  <c r="F617" i="3" s="1"/>
  <c r="E617" i="3" a="1"/>
  <c r="E617" i="3" s="1"/>
  <c r="D617" i="3" a="1"/>
  <c r="D617" i="3" s="1"/>
  <c r="C617" i="3" a="1"/>
  <c r="C617" i="3" s="1"/>
  <c r="A617" i="3" s="1"/>
  <c r="L616" i="3" a="1"/>
  <c r="L616" i="3" s="1"/>
  <c r="K616" i="3" a="1"/>
  <c r="K616" i="3" s="1"/>
  <c r="J616" i="3" a="1"/>
  <c r="J616" i="3" s="1"/>
  <c r="I616" i="3" a="1"/>
  <c r="I616" i="3" s="1"/>
  <c r="H616" i="3" a="1"/>
  <c r="H616" i="3" s="1"/>
  <c r="G616" i="3" a="1"/>
  <c r="G616" i="3" s="1"/>
  <c r="F616" i="3" a="1"/>
  <c r="F616" i="3" s="1"/>
  <c r="E616" i="3" a="1"/>
  <c r="E616" i="3" s="1"/>
  <c r="D616" i="3" a="1"/>
  <c r="D616" i="3" s="1"/>
  <c r="C616" i="3" a="1"/>
  <c r="C616" i="3" s="1"/>
  <c r="A616" i="3" s="1"/>
  <c r="L615" i="3" a="1"/>
  <c r="L615" i="3" s="1"/>
  <c r="K615" i="3" a="1"/>
  <c r="K615" i="3" s="1"/>
  <c r="J615" i="3" a="1"/>
  <c r="J615" i="3" s="1"/>
  <c r="I615" i="3" a="1"/>
  <c r="I615" i="3" s="1"/>
  <c r="H615" i="3" a="1"/>
  <c r="H615" i="3" s="1"/>
  <c r="G615" i="3" a="1"/>
  <c r="G615" i="3" s="1"/>
  <c r="F615" i="3" a="1"/>
  <c r="F615" i="3" s="1"/>
  <c r="E615" i="3" a="1"/>
  <c r="E615" i="3" s="1"/>
  <c r="D615" i="3" a="1"/>
  <c r="D615" i="3" s="1"/>
  <c r="C615" i="3" a="1"/>
  <c r="C615" i="3" s="1"/>
  <c r="A615" i="3" s="1"/>
  <c r="L614" i="3" a="1"/>
  <c r="L614" i="3" s="1"/>
  <c r="K614" i="3" a="1"/>
  <c r="K614" i="3" s="1"/>
  <c r="J614" i="3" a="1"/>
  <c r="J614" i="3" s="1"/>
  <c r="I614" i="3" a="1"/>
  <c r="I614" i="3" s="1"/>
  <c r="H614" i="3" a="1"/>
  <c r="H614" i="3" s="1"/>
  <c r="G614" i="3" a="1"/>
  <c r="G614" i="3" s="1"/>
  <c r="F614" i="3" a="1"/>
  <c r="F614" i="3" s="1"/>
  <c r="E614" i="3" a="1"/>
  <c r="E614" i="3" s="1"/>
  <c r="D614" i="3" a="1"/>
  <c r="D614" i="3" s="1"/>
  <c r="C614" i="3" a="1"/>
  <c r="C614" i="3" s="1"/>
  <c r="A614" i="3" s="1"/>
  <c r="L613" i="3" a="1"/>
  <c r="L613" i="3" s="1"/>
  <c r="K613" i="3" a="1"/>
  <c r="K613" i="3" s="1"/>
  <c r="J613" i="3" a="1"/>
  <c r="J613" i="3" s="1"/>
  <c r="I613" i="3" a="1"/>
  <c r="I613" i="3" s="1"/>
  <c r="H613" i="3" a="1"/>
  <c r="H613" i="3" s="1"/>
  <c r="G613" i="3" a="1"/>
  <c r="G613" i="3" s="1"/>
  <c r="F613" i="3" a="1"/>
  <c r="F613" i="3" s="1"/>
  <c r="E613" i="3" a="1"/>
  <c r="E613" i="3" s="1"/>
  <c r="D613" i="3" a="1"/>
  <c r="D613" i="3" s="1"/>
  <c r="C613" i="3" a="1"/>
  <c r="C613" i="3" s="1"/>
  <c r="A613" i="3" s="1"/>
  <c r="L612" i="3" a="1"/>
  <c r="L612" i="3" s="1"/>
  <c r="K612" i="3" a="1"/>
  <c r="K612" i="3" s="1"/>
  <c r="J612" i="3" a="1"/>
  <c r="J612" i="3" s="1"/>
  <c r="I612" i="3" a="1"/>
  <c r="I612" i="3" s="1"/>
  <c r="H612" i="3" a="1"/>
  <c r="H612" i="3" s="1"/>
  <c r="G612" i="3" a="1"/>
  <c r="G612" i="3" s="1"/>
  <c r="F612" i="3" a="1"/>
  <c r="F612" i="3" s="1"/>
  <c r="E612" i="3" a="1"/>
  <c r="E612" i="3" s="1"/>
  <c r="D612" i="3" a="1"/>
  <c r="D612" i="3" s="1"/>
  <c r="C612" i="3" a="1"/>
  <c r="C612" i="3" s="1"/>
  <c r="A612" i="3" s="1"/>
  <c r="L611" i="3" a="1"/>
  <c r="L611" i="3" s="1"/>
  <c r="K611" i="3" a="1"/>
  <c r="K611" i="3" s="1"/>
  <c r="J611" i="3" a="1"/>
  <c r="J611" i="3" s="1"/>
  <c r="I611" i="3" a="1"/>
  <c r="I611" i="3" s="1"/>
  <c r="H611" i="3" a="1"/>
  <c r="H611" i="3" s="1"/>
  <c r="G611" i="3" a="1"/>
  <c r="G611" i="3" s="1"/>
  <c r="F611" i="3" a="1"/>
  <c r="F611" i="3" s="1"/>
  <c r="E611" i="3" a="1"/>
  <c r="E611" i="3" s="1"/>
  <c r="D611" i="3" a="1"/>
  <c r="D611" i="3" s="1"/>
  <c r="C611" i="3" a="1"/>
  <c r="C611" i="3" s="1"/>
  <c r="A611" i="3" s="1"/>
  <c r="L610" i="3" a="1"/>
  <c r="L610" i="3" s="1"/>
  <c r="K610" i="3" a="1"/>
  <c r="K610" i="3" s="1"/>
  <c r="J610" i="3" a="1"/>
  <c r="J610" i="3" s="1"/>
  <c r="I610" i="3" a="1"/>
  <c r="I610" i="3" s="1"/>
  <c r="H610" i="3" a="1"/>
  <c r="H610" i="3" s="1"/>
  <c r="G610" i="3" a="1"/>
  <c r="G610" i="3" s="1"/>
  <c r="F610" i="3" a="1"/>
  <c r="F610" i="3" s="1"/>
  <c r="E610" i="3" a="1"/>
  <c r="E610" i="3" s="1"/>
  <c r="D610" i="3" a="1"/>
  <c r="D610" i="3" s="1"/>
  <c r="C610" i="3" a="1"/>
  <c r="C610" i="3" s="1"/>
  <c r="A610" i="3" s="1"/>
  <c r="L609" i="3" a="1"/>
  <c r="L609" i="3" s="1"/>
  <c r="K609" i="3" a="1"/>
  <c r="K609" i="3" s="1"/>
  <c r="J609" i="3" a="1"/>
  <c r="J609" i="3" s="1"/>
  <c r="I609" i="3" a="1"/>
  <c r="I609" i="3" s="1"/>
  <c r="H609" i="3" a="1"/>
  <c r="H609" i="3" s="1"/>
  <c r="G609" i="3" a="1"/>
  <c r="G609" i="3" s="1"/>
  <c r="F609" i="3" a="1"/>
  <c r="F609" i="3" s="1"/>
  <c r="E609" i="3" a="1"/>
  <c r="E609" i="3" s="1"/>
  <c r="D609" i="3" a="1"/>
  <c r="D609" i="3" s="1"/>
  <c r="C609" i="3" a="1"/>
  <c r="C609" i="3" s="1"/>
  <c r="A609" i="3" s="1"/>
  <c r="L608" i="3" a="1"/>
  <c r="L608" i="3" s="1"/>
  <c r="K608" i="3" a="1"/>
  <c r="K608" i="3" s="1"/>
  <c r="J608" i="3" a="1"/>
  <c r="J608" i="3" s="1"/>
  <c r="I608" i="3" a="1"/>
  <c r="I608" i="3" s="1"/>
  <c r="H608" i="3" a="1"/>
  <c r="H608" i="3" s="1"/>
  <c r="G608" i="3" a="1"/>
  <c r="G608" i="3" s="1"/>
  <c r="F608" i="3" a="1"/>
  <c r="F608" i="3" s="1"/>
  <c r="E608" i="3" a="1"/>
  <c r="E608" i="3" s="1"/>
  <c r="D608" i="3" a="1"/>
  <c r="D608" i="3" s="1"/>
  <c r="C608" i="3" a="1"/>
  <c r="C608" i="3" s="1"/>
  <c r="A608" i="3" s="1"/>
  <c r="L607" i="3" a="1"/>
  <c r="L607" i="3" s="1"/>
  <c r="K607" i="3" a="1"/>
  <c r="K607" i="3" s="1"/>
  <c r="J607" i="3" a="1"/>
  <c r="J607" i="3" s="1"/>
  <c r="I607" i="3" a="1"/>
  <c r="I607" i="3" s="1"/>
  <c r="H607" i="3" a="1"/>
  <c r="H607" i="3" s="1"/>
  <c r="G607" i="3" a="1"/>
  <c r="G607" i="3" s="1"/>
  <c r="F607" i="3" a="1"/>
  <c r="F607" i="3" s="1"/>
  <c r="E607" i="3" a="1"/>
  <c r="E607" i="3" s="1"/>
  <c r="D607" i="3" a="1"/>
  <c r="D607" i="3" s="1"/>
  <c r="C607" i="3" a="1"/>
  <c r="C607" i="3" s="1"/>
  <c r="A607" i="3" s="1"/>
  <c r="L606" i="3" a="1"/>
  <c r="L606" i="3" s="1"/>
  <c r="K606" i="3" a="1"/>
  <c r="K606" i="3" s="1"/>
  <c r="J606" i="3" a="1"/>
  <c r="J606" i="3" s="1"/>
  <c r="I606" i="3" a="1"/>
  <c r="I606" i="3" s="1"/>
  <c r="H606" i="3" a="1"/>
  <c r="H606" i="3" s="1"/>
  <c r="G606" i="3" a="1"/>
  <c r="G606" i="3" s="1"/>
  <c r="F606" i="3" a="1"/>
  <c r="F606" i="3" s="1"/>
  <c r="E606" i="3" a="1"/>
  <c r="E606" i="3" s="1"/>
  <c r="D606" i="3" a="1"/>
  <c r="D606" i="3" s="1"/>
  <c r="C606" i="3" a="1"/>
  <c r="C606" i="3" s="1"/>
  <c r="A606" i="3" s="1"/>
  <c r="L605" i="3" a="1"/>
  <c r="L605" i="3" s="1"/>
  <c r="K605" i="3" a="1"/>
  <c r="K605" i="3" s="1"/>
  <c r="J605" i="3" a="1"/>
  <c r="J605" i="3" s="1"/>
  <c r="I605" i="3" a="1"/>
  <c r="I605" i="3" s="1"/>
  <c r="H605" i="3" a="1"/>
  <c r="H605" i="3" s="1"/>
  <c r="G605" i="3" a="1"/>
  <c r="G605" i="3" s="1"/>
  <c r="F605" i="3" a="1"/>
  <c r="F605" i="3" s="1"/>
  <c r="E605" i="3" a="1"/>
  <c r="E605" i="3" s="1"/>
  <c r="D605" i="3" a="1"/>
  <c r="D605" i="3" s="1"/>
  <c r="C605" i="3" a="1"/>
  <c r="C605" i="3" s="1"/>
  <c r="A605" i="3" s="1"/>
  <c r="L604" i="3" a="1"/>
  <c r="L604" i="3" s="1"/>
  <c r="K604" i="3" a="1"/>
  <c r="K604" i="3" s="1"/>
  <c r="J604" i="3" a="1"/>
  <c r="J604" i="3" s="1"/>
  <c r="I604" i="3" a="1"/>
  <c r="I604" i="3" s="1"/>
  <c r="H604" i="3" a="1"/>
  <c r="H604" i="3" s="1"/>
  <c r="G604" i="3" a="1"/>
  <c r="G604" i="3" s="1"/>
  <c r="F604" i="3" a="1"/>
  <c r="F604" i="3" s="1"/>
  <c r="E604" i="3" a="1"/>
  <c r="E604" i="3" s="1"/>
  <c r="D604" i="3" a="1"/>
  <c r="D604" i="3" s="1"/>
  <c r="C604" i="3" a="1"/>
  <c r="C604" i="3" s="1"/>
  <c r="A604" i="3" s="1"/>
  <c r="L603" i="3" a="1"/>
  <c r="L603" i="3" s="1"/>
  <c r="K603" i="3" a="1"/>
  <c r="K603" i="3" s="1"/>
  <c r="J603" i="3" a="1"/>
  <c r="J603" i="3" s="1"/>
  <c r="I603" i="3" a="1"/>
  <c r="I603" i="3" s="1"/>
  <c r="H603" i="3" a="1"/>
  <c r="H603" i="3" s="1"/>
  <c r="G603" i="3" a="1"/>
  <c r="G603" i="3" s="1"/>
  <c r="F603" i="3" a="1"/>
  <c r="F603" i="3" s="1"/>
  <c r="E603" i="3" a="1"/>
  <c r="E603" i="3" s="1"/>
  <c r="D603" i="3" a="1"/>
  <c r="D603" i="3" s="1"/>
  <c r="C603" i="3" a="1"/>
  <c r="C603" i="3" s="1"/>
  <c r="A603" i="3" s="1"/>
  <c r="L602" i="3" a="1"/>
  <c r="L602" i="3" s="1"/>
  <c r="K602" i="3" a="1"/>
  <c r="K602" i="3" s="1"/>
  <c r="J602" i="3" a="1"/>
  <c r="J602" i="3" s="1"/>
  <c r="I602" i="3" a="1"/>
  <c r="I602" i="3" s="1"/>
  <c r="H602" i="3" a="1"/>
  <c r="H602" i="3" s="1"/>
  <c r="G602" i="3" a="1"/>
  <c r="G602" i="3" s="1"/>
  <c r="F602" i="3" a="1"/>
  <c r="F602" i="3" s="1"/>
  <c r="E602" i="3" a="1"/>
  <c r="E602" i="3" s="1"/>
  <c r="D602" i="3" a="1"/>
  <c r="D602" i="3" s="1"/>
  <c r="C602" i="3" a="1"/>
  <c r="C602" i="3" s="1"/>
  <c r="A602" i="3" s="1"/>
  <c r="L601" i="3" a="1"/>
  <c r="L601" i="3" s="1"/>
  <c r="K601" i="3" a="1"/>
  <c r="K601" i="3" s="1"/>
  <c r="J601" i="3" a="1"/>
  <c r="J601" i="3" s="1"/>
  <c r="I601" i="3" a="1"/>
  <c r="I601" i="3" s="1"/>
  <c r="H601" i="3" a="1"/>
  <c r="H601" i="3" s="1"/>
  <c r="G601" i="3" a="1"/>
  <c r="G601" i="3" s="1"/>
  <c r="F601" i="3" a="1"/>
  <c r="F601" i="3" s="1"/>
  <c r="E601" i="3" a="1"/>
  <c r="E601" i="3" s="1"/>
  <c r="D601" i="3" a="1"/>
  <c r="D601" i="3" s="1"/>
  <c r="C601" i="3" a="1"/>
  <c r="C601" i="3" s="1"/>
  <c r="A601" i="3" s="1"/>
  <c r="L600" i="3" a="1"/>
  <c r="L600" i="3" s="1"/>
  <c r="K600" i="3" a="1"/>
  <c r="K600" i="3" s="1"/>
  <c r="J600" i="3" a="1"/>
  <c r="J600" i="3" s="1"/>
  <c r="I600" i="3" a="1"/>
  <c r="I600" i="3" s="1"/>
  <c r="H600" i="3" a="1"/>
  <c r="H600" i="3" s="1"/>
  <c r="G600" i="3" a="1"/>
  <c r="G600" i="3" s="1"/>
  <c r="F600" i="3" a="1"/>
  <c r="F600" i="3" s="1"/>
  <c r="E600" i="3" a="1"/>
  <c r="E600" i="3" s="1"/>
  <c r="D600" i="3" a="1"/>
  <c r="D600" i="3" s="1"/>
  <c r="C600" i="3" a="1"/>
  <c r="C600" i="3" s="1"/>
  <c r="A600" i="3" s="1"/>
  <c r="L599" i="3" a="1"/>
  <c r="L599" i="3" s="1"/>
  <c r="K599" i="3" a="1"/>
  <c r="K599" i="3" s="1"/>
  <c r="J599" i="3" a="1"/>
  <c r="J599" i="3" s="1"/>
  <c r="I599" i="3" a="1"/>
  <c r="I599" i="3" s="1"/>
  <c r="H599" i="3" a="1"/>
  <c r="H599" i="3" s="1"/>
  <c r="G599" i="3" a="1"/>
  <c r="G599" i="3" s="1"/>
  <c r="F599" i="3" a="1"/>
  <c r="F599" i="3" s="1"/>
  <c r="E599" i="3" a="1"/>
  <c r="E599" i="3" s="1"/>
  <c r="D599" i="3" a="1"/>
  <c r="D599" i="3" s="1"/>
  <c r="C599" i="3" a="1"/>
  <c r="C599" i="3" s="1"/>
  <c r="A599" i="3" s="1"/>
  <c r="L598" i="3" a="1"/>
  <c r="L598" i="3" s="1"/>
  <c r="K598" i="3" a="1"/>
  <c r="K598" i="3" s="1"/>
  <c r="J598" i="3" a="1"/>
  <c r="J598" i="3" s="1"/>
  <c r="I598" i="3" a="1"/>
  <c r="I598" i="3" s="1"/>
  <c r="H598" i="3" a="1"/>
  <c r="H598" i="3" s="1"/>
  <c r="G598" i="3" a="1"/>
  <c r="G598" i="3" s="1"/>
  <c r="F598" i="3" a="1"/>
  <c r="F598" i="3" s="1"/>
  <c r="E598" i="3" a="1"/>
  <c r="E598" i="3" s="1"/>
  <c r="D598" i="3" a="1"/>
  <c r="D598" i="3" s="1"/>
  <c r="C598" i="3" a="1"/>
  <c r="C598" i="3" s="1"/>
  <c r="A598" i="3" s="1"/>
  <c r="L597" i="3" a="1"/>
  <c r="L597" i="3" s="1"/>
  <c r="K597" i="3" a="1"/>
  <c r="K597" i="3" s="1"/>
  <c r="J597" i="3" a="1"/>
  <c r="J597" i="3" s="1"/>
  <c r="I597" i="3" a="1"/>
  <c r="I597" i="3" s="1"/>
  <c r="H597" i="3" a="1"/>
  <c r="H597" i="3" s="1"/>
  <c r="G597" i="3" a="1"/>
  <c r="G597" i="3" s="1"/>
  <c r="F597" i="3" a="1"/>
  <c r="F597" i="3" s="1"/>
  <c r="E597" i="3" a="1"/>
  <c r="E597" i="3" s="1"/>
  <c r="D597" i="3" a="1"/>
  <c r="D597" i="3" s="1"/>
  <c r="C597" i="3" a="1"/>
  <c r="C597" i="3" s="1"/>
  <c r="A597" i="3" s="1"/>
  <c r="L596" i="3" a="1"/>
  <c r="L596" i="3" s="1"/>
  <c r="K596" i="3" a="1"/>
  <c r="K596" i="3" s="1"/>
  <c r="J596" i="3" a="1"/>
  <c r="J596" i="3" s="1"/>
  <c r="I596" i="3" a="1"/>
  <c r="I596" i="3" s="1"/>
  <c r="H596" i="3" a="1"/>
  <c r="H596" i="3" s="1"/>
  <c r="G596" i="3" a="1"/>
  <c r="G596" i="3" s="1"/>
  <c r="F596" i="3" a="1"/>
  <c r="F596" i="3" s="1"/>
  <c r="E596" i="3" a="1"/>
  <c r="E596" i="3" s="1"/>
  <c r="D596" i="3" a="1"/>
  <c r="D596" i="3" s="1"/>
  <c r="C596" i="3" a="1"/>
  <c r="C596" i="3" s="1"/>
  <c r="A596" i="3" s="1"/>
  <c r="L595" i="3" a="1"/>
  <c r="L595" i="3" s="1"/>
  <c r="K595" i="3" a="1"/>
  <c r="K595" i="3" s="1"/>
  <c r="J595" i="3" a="1"/>
  <c r="J595" i="3" s="1"/>
  <c r="I595" i="3" a="1"/>
  <c r="I595" i="3" s="1"/>
  <c r="H595" i="3" a="1"/>
  <c r="H595" i="3" s="1"/>
  <c r="G595" i="3" a="1"/>
  <c r="G595" i="3" s="1"/>
  <c r="F595" i="3" a="1"/>
  <c r="F595" i="3" s="1"/>
  <c r="E595" i="3" a="1"/>
  <c r="E595" i="3" s="1"/>
  <c r="D595" i="3" a="1"/>
  <c r="D595" i="3" s="1"/>
  <c r="C595" i="3" a="1"/>
  <c r="C595" i="3" s="1"/>
  <c r="A595" i="3" s="1"/>
  <c r="L594" i="3" a="1"/>
  <c r="L594" i="3" s="1"/>
  <c r="K594" i="3" a="1"/>
  <c r="K594" i="3" s="1"/>
  <c r="J594" i="3" a="1"/>
  <c r="J594" i="3" s="1"/>
  <c r="I594" i="3" a="1"/>
  <c r="I594" i="3" s="1"/>
  <c r="H594" i="3" a="1"/>
  <c r="H594" i="3" s="1"/>
  <c r="G594" i="3" a="1"/>
  <c r="G594" i="3" s="1"/>
  <c r="F594" i="3" a="1"/>
  <c r="F594" i="3" s="1"/>
  <c r="E594" i="3" a="1"/>
  <c r="E594" i="3" s="1"/>
  <c r="D594" i="3" a="1"/>
  <c r="D594" i="3" s="1"/>
  <c r="C594" i="3" a="1"/>
  <c r="C594" i="3" s="1"/>
  <c r="A594" i="3" s="1"/>
  <c r="L593" i="3" a="1"/>
  <c r="L593" i="3" s="1"/>
  <c r="K593" i="3" a="1"/>
  <c r="K593" i="3" s="1"/>
  <c r="J593" i="3" a="1"/>
  <c r="J593" i="3" s="1"/>
  <c r="I593" i="3" a="1"/>
  <c r="I593" i="3" s="1"/>
  <c r="H593" i="3" a="1"/>
  <c r="H593" i="3" s="1"/>
  <c r="G593" i="3" a="1"/>
  <c r="G593" i="3" s="1"/>
  <c r="F593" i="3" a="1"/>
  <c r="F593" i="3" s="1"/>
  <c r="E593" i="3" a="1"/>
  <c r="E593" i="3" s="1"/>
  <c r="D593" i="3" a="1"/>
  <c r="D593" i="3" s="1"/>
  <c r="C593" i="3" a="1"/>
  <c r="C593" i="3" s="1"/>
  <c r="A593" i="3" s="1"/>
  <c r="L592" i="3" a="1"/>
  <c r="L592" i="3" s="1"/>
  <c r="K592" i="3" a="1"/>
  <c r="K592" i="3" s="1"/>
  <c r="J592" i="3" a="1"/>
  <c r="J592" i="3" s="1"/>
  <c r="I592" i="3" a="1"/>
  <c r="I592" i="3" s="1"/>
  <c r="H592" i="3" a="1"/>
  <c r="H592" i="3" s="1"/>
  <c r="G592" i="3" a="1"/>
  <c r="G592" i="3" s="1"/>
  <c r="F592" i="3" a="1"/>
  <c r="F592" i="3" s="1"/>
  <c r="E592" i="3" a="1"/>
  <c r="E592" i="3" s="1"/>
  <c r="D592" i="3" a="1"/>
  <c r="D592" i="3" s="1"/>
  <c r="C592" i="3" a="1"/>
  <c r="C592" i="3" s="1"/>
  <c r="A592" i="3" s="1"/>
  <c r="L591" i="3" a="1"/>
  <c r="L591" i="3" s="1"/>
  <c r="K591" i="3" a="1"/>
  <c r="K591" i="3" s="1"/>
  <c r="J591" i="3" a="1"/>
  <c r="J591" i="3" s="1"/>
  <c r="I591" i="3" a="1"/>
  <c r="I591" i="3" s="1"/>
  <c r="H591" i="3" a="1"/>
  <c r="H591" i="3" s="1"/>
  <c r="G591" i="3" a="1"/>
  <c r="G591" i="3" s="1"/>
  <c r="F591" i="3" a="1"/>
  <c r="F591" i="3" s="1"/>
  <c r="E591" i="3" a="1"/>
  <c r="E591" i="3" s="1"/>
  <c r="D591" i="3" a="1"/>
  <c r="D591" i="3" s="1"/>
  <c r="C591" i="3" a="1"/>
  <c r="C591" i="3" s="1"/>
  <c r="A591" i="3" s="1"/>
  <c r="L590" i="3" a="1"/>
  <c r="L590" i="3" s="1"/>
  <c r="K590" i="3" a="1"/>
  <c r="K590" i="3" s="1"/>
  <c r="J590" i="3" a="1"/>
  <c r="J590" i="3" s="1"/>
  <c r="I590" i="3" a="1"/>
  <c r="I590" i="3" s="1"/>
  <c r="H590" i="3" a="1"/>
  <c r="H590" i="3" s="1"/>
  <c r="G590" i="3" a="1"/>
  <c r="G590" i="3" s="1"/>
  <c r="F590" i="3" a="1"/>
  <c r="F590" i="3" s="1"/>
  <c r="E590" i="3" a="1"/>
  <c r="E590" i="3" s="1"/>
  <c r="D590" i="3" a="1"/>
  <c r="D590" i="3" s="1"/>
  <c r="C590" i="3" a="1"/>
  <c r="C590" i="3" s="1"/>
  <c r="A590" i="3" s="1"/>
  <c r="L589" i="3" a="1"/>
  <c r="L589" i="3" s="1"/>
  <c r="K589" i="3" a="1"/>
  <c r="K589" i="3" s="1"/>
  <c r="J589" i="3" a="1"/>
  <c r="J589" i="3" s="1"/>
  <c r="I589" i="3" a="1"/>
  <c r="I589" i="3" s="1"/>
  <c r="H589" i="3" a="1"/>
  <c r="H589" i="3" s="1"/>
  <c r="G589" i="3" a="1"/>
  <c r="G589" i="3" s="1"/>
  <c r="F589" i="3" a="1"/>
  <c r="F589" i="3" s="1"/>
  <c r="E589" i="3" a="1"/>
  <c r="E589" i="3" s="1"/>
  <c r="D589" i="3" a="1"/>
  <c r="D589" i="3" s="1"/>
  <c r="C589" i="3" a="1"/>
  <c r="C589" i="3" s="1"/>
  <c r="A589" i="3" s="1"/>
  <c r="L588" i="3" a="1"/>
  <c r="L588" i="3" s="1"/>
  <c r="K588" i="3" a="1"/>
  <c r="K588" i="3" s="1"/>
  <c r="J588" i="3" a="1"/>
  <c r="J588" i="3" s="1"/>
  <c r="I588" i="3" a="1"/>
  <c r="I588" i="3" s="1"/>
  <c r="H588" i="3" a="1"/>
  <c r="H588" i="3" s="1"/>
  <c r="G588" i="3" a="1"/>
  <c r="G588" i="3" s="1"/>
  <c r="F588" i="3" a="1"/>
  <c r="F588" i="3" s="1"/>
  <c r="E588" i="3" a="1"/>
  <c r="E588" i="3" s="1"/>
  <c r="D588" i="3" a="1"/>
  <c r="D588" i="3" s="1"/>
  <c r="C588" i="3" a="1"/>
  <c r="C588" i="3" s="1"/>
  <c r="A588" i="3" s="1"/>
  <c r="L587" i="3" a="1"/>
  <c r="L587" i="3" s="1"/>
  <c r="K587" i="3" a="1"/>
  <c r="K587" i="3" s="1"/>
  <c r="J587" i="3" a="1"/>
  <c r="J587" i="3" s="1"/>
  <c r="I587" i="3" a="1"/>
  <c r="I587" i="3" s="1"/>
  <c r="H587" i="3" a="1"/>
  <c r="H587" i="3" s="1"/>
  <c r="G587" i="3" a="1"/>
  <c r="G587" i="3" s="1"/>
  <c r="F587" i="3" a="1"/>
  <c r="F587" i="3" s="1"/>
  <c r="E587" i="3" a="1"/>
  <c r="E587" i="3" s="1"/>
  <c r="D587" i="3" a="1"/>
  <c r="D587" i="3" s="1"/>
  <c r="C587" i="3" a="1"/>
  <c r="C587" i="3" s="1"/>
  <c r="A587" i="3" s="1"/>
  <c r="L586" i="3" a="1"/>
  <c r="L586" i="3" s="1"/>
  <c r="K586" i="3" a="1"/>
  <c r="K586" i="3" s="1"/>
  <c r="J586" i="3" a="1"/>
  <c r="J586" i="3" s="1"/>
  <c r="I586" i="3" a="1"/>
  <c r="I586" i="3" s="1"/>
  <c r="H586" i="3" a="1"/>
  <c r="H586" i="3" s="1"/>
  <c r="G586" i="3" a="1"/>
  <c r="G586" i="3" s="1"/>
  <c r="F586" i="3" a="1"/>
  <c r="F586" i="3" s="1"/>
  <c r="E586" i="3" a="1"/>
  <c r="E586" i="3" s="1"/>
  <c r="D586" i="3" a="1"/>
  <c r="D586" i="3" s="1"/>
  <c r="C586" i="3" a="1"/>
  <c r="C586" i="3" s="1"/>
  <c r="A586" i="3" s="1"/>
  <c r="L585" i="3" a="1"/>
  <c r="L585" i="3" s="1"/>
  <c r="K585" i="3" a="1"/>
  <c r="K585" i="3" s="1"/>
  <c r="J585" i="3" a="1"/>
  <c r="J585" i="3" s="1"/>
  <c r="I585" i="3" a="1"/>
  <c r="I585" i="3" s="1"/>
  <c r="H585" i="3" a="1"/>
  <c r="H585" i="3" s="1"/>
  <c r="G585" i="3" a="1"/>
  <c r="G585" i="3" s="1"/>
  <c r="F585" i="3" a="1"/>
  <c r="F585" i="3" s="1"/>
  <c r="E585" i="3" a="1"/>
  <c r="E585" i="3" s="1"/>
  <c r="D585" i="3" a="1"/>
  <c r="D585" i="3" s="1"/>
  <c r="C585" i="3" a="1"/>
  <c r="C585" i="3" s="1"/>
  <c r="A585" i="3" s="1"/>
  <c r="L584" i="3" a="1"/>
  <c r="L584" i="3" s="1"/>
  <c r="K584" i="3" a="1"/>
  <c r="K584" i="3" s="1"/>
  <c r="J584" i="3" a="1"/>
  <c r="J584" i="3" s="1"/>
  <c r="I584" i="3" a="1"/>
  <c r="I584" i="3" s="1"/>
  <c r="H584" i="3" a="1"/>
  <c r="H584" i="3" s="1"/>
  <c r="G584" i="3" a="1"/>
  <c r="G584" i="3" s="1"/>
  <c r="F584" i="3" a="1"/>
  <c r="F584" i="3" s="1"/>
  <c r="E584" i="3" a="1"/>
  <c r="E584" i="3" s="1"/>
  <c r="D584" i="3" a="1"/>
  <c r="D584" i="3" s="1"/>
  <c r="C584" i="3" a="1"/>
  <c r="C584" i="3" s="1"/>
  <c r="A584" i="3" s="1"/>
  <c r="L583" i="3" a="1"/>
  <c r="L583" i="3" s="1"/>
  <c r="K583" i="3" a="1"/>
  <c r="K583" i="3" s="1"/>
  <c r="J583" i="3" a="1"/>
  <c r="J583" i="3" s="1"/>
  <c r="I583" i="3" a="1"/>
  <c r="I583" i="3" s="1"/>
  <c r="H583" i="3" a="1"/>
  <c r="H583" i="3" s="1"/>
  <c r="G583" i="3" a="1"/>
  <c r="G583" i="3" s="1"/>
  <c r="F583" i="3" a="1"/>
  <c r="F583" i="3" s="1"/>
  <c r="E583" i="3" a="1"/>
  <c r="E583" i="3" s="1"/>
  <c r="D583" i="3" a="1"/>
  <c r="D583" i="3" s="1"/>
  <c r="C583" i="3" a="1"/>
  <c r="C583" i="3" s="1"/>
  <c r="A583" i="3" s="1"/>
  <c r="L582" i="3" a="1"/>
  <c r="L582" i="3" s="1"/>
  <c r="K582" i="3" a="1"/>
  <c r="K582" i="3" s="1"/>
  <c r="J582" i="3" a="1"/>
  <c r="J582" i="3" s="1"/>
  <c r="I582" i="3" a="1"/>
  <c r="I582" i="3" s="1"/>
  <c r="H582" i="3" a="1"/>
  <c r="H582" i="3" s="1"/>
  <c r="G582" i="3" a="1"/>
  <c r="G582" i="3" s="1"/>
  <c r="F582" i="3" a="1"/>
  <c r="F582" i="3" s="1"/>
  <c r="E582" i="3" a="1"/>
  <c r="E582" i="3" s="1"/>
  <c r="D582" i="3" a="1"/>
  <c r="D582" i="3" s="1"/>
  <c r="C582" i="3" a="1"/>
  <c r="C582" i="3" s="1"/>
  <c r="A582" i="3" s="1"/>
  <c r="L581" i="3" a="1"/>
  <c r="L581" i="3" s="1"/>
  <c r="K581" i="3" a="1"/>
  <c r="K581" i="3" s="1"/>
  <c r="J581" i="3" a="1"/>
  <c r="J581" i="3" s="1"/>
  <c r="I581" i="3" a="1"/>
  <c r="I581" i="3" s="1"/>
  <c r="H581" i="3" a="1"/>
  <c r="H581" i="3" s="1"/>
  <c r="G581" i="3" a="1"/>
  <c r="G581" i="3" s="1"/>
  <c r="F581" i="3" a="1"/>
  <c r="F581" i="3" s="1"/>
  <c r="E581" i="3" a="1"/>
  <c r="E581" i="3" s="1"/>
  <c r="D581" i="3" a="1"/>
  <c r="D581" i="3" s="1"/>
  <c r="C581" i="3" a="1"/>
  <c r="C581" i="3" s="1"/>
  <c r="A581" i="3" s="1"/>
  <c r="L580" i="3" a="1"/>
  <c r="L580" i="3" s="1"/>
  <c r="K580" i="3" a="1"/>
  <c r="K580" i="3" s="1"/>
  <c r="J580" i="3" a="1"/>
  <c r="J580" i="3" s="1"/>
  <c r="I580" i="3" a="1"/>
  <c r="I580" i="3" s="1"/>
  <c r="H580" i="3" a="1"/>
  <c r="H580" i="3" s="1"/>
  <c r="G580" i="3" a="1"/>
  <c r="G580" i="3" s="1"/>
  <c r="F580" i="3" a="1"/>
  <c r="F580" i="3" s="1"/>
  <c r="E580" i="3" a="1"/>
  <c r="E580" i="3" s="1"/>
  <c r="D580" i="3" a="1"/>
  <c r="D580" i="3" s="1"/>
  <c r="C580" i="3" a="1"/>
  <c r="C580" i="3" s="1"/>
  <c r="A580" i="3" s="1"/>
  <c r="L579" i="3" a="1"/>
  <c r="L579" i="3" s="1"/>
  <c r="K579" i="3" a="1"/>
  <c r="K579" i="3" s="1"/>
  <c r="J579" i="3" a="1"/>
  <c r="J579" i="3" s="1"/>
  <c r="I579" i="3" a="1"/>
  <c r="I579" i="3" s="1"/>
  <c r="H579" i="3" a="1"/>
  <c r="H579" i="3" s="1"/>
  <c r="G579" i="3" a="1"/>
  <c r="G579" i="3" s="1"/>
  <c r="F579" i="3" a="1"/>
  <c r="F579" i="3" s="1"/>
  <c r="E579" i="3" a="1"/>
  <c r="E579" i="3" s="1"/>
  <c r="D579" i="3" a="1"/>
  <c r="D579" i="3" s="1"/>
  <c r="C579" i="3" a="1"/>
  <c r="C579" i="3" s="1"/>
  <c r="A579" i="3" s="1"/>
  <c r="L578" i="3" a="1"/>
  <c r="L578" i="3" s="1"/>
  <c r="K578" i="3" a="1"/>
  <c r="K578" i="3" s="1"/>
  <c r="J578" i="3" a="1"/>
  <c r="J578" i="3" s="1"/>
  <c r="I578" i="3" a="1"/>
  <c r="I578" i="3" s="1"/>
  <c r="H578" i="3" a="1"/>
  <c r="H578" i="3" s="1"/>
  <c r="G578" i="3" a="1"/>
  <c r="G578" i="3" s="1"/>
  <c r="F578" i="3" a="1"/>
  <c r="F578" i="3" s="1"/>
  <c r="E578" i="3" a="1"/>
  <c r="E578" i="3" s="1"/>
  <c r="D578" i="3" a="1"/>
  <c r="D578" i="3" s="1"/>
  <c r="C578" i="3" a="1"/>
  <c r="C578" i="3" s="1"/>
  <c r="A578" i="3" s="1"/>
  <c r="L577" i="3" a="1"/>
  <c r="L577" i="3" s="1"/>
  <c r="K577" i="3" a="1"/>
  <c r="K577" i="3" s="1"/>
  <c r="J577" i="3" a="1"/>
  <c r="J577" i="3" s="1"/>
  <c r="I577" i="3" a="1"/>
  <c r="I577" i="3" s="1"/>
  <c r="H577" i="3" a="1"/>
  <c r="H577" i="3" s="1"/>
  <c r="G577" i="3" a="1"/>
  <c r="G577" i="3" s="1"/>
  <c r="F577" i="3" a="1"/>
  <c r="F577" i="3" s="1"/>
  <c r="E577" i="3" a="1"/>
  <c r="E577" i="3" s="1"/>
  <c r="D577" i="3" a="1"/>
  <c r="D577" i="3" s="1"/>
  <c r="C577" i="3" a="1"/>
  <c r="C577" i="3" s="1"/>
  <c r="A577" i="3" s="1"/>
  <c r="L576" i="3" a="1"/>
  <c r="L576" i="3" s="1"/>
  <c r="K576" i="3" a="1"/>
  <c r="K576" i="3" s="1"/>
  <c r="J576" i="3" a="1"/>
  <c r="J576" i="3" s="1"/>
  <c r="I576" i="3" a="1"/>
  <c r="I576" i="3" s="1"/>
  <c r="H576" i="3" a="1"/>
  <c r="H576" i="3" s="1"/>
  <c r="G576" i="3" a="1"/>
  <c r="G576" i="3" s="1"/>
  <c r="F576" i="3" a="1"/>
  <c r="F576" i="3" s="1"/>
  <c r="E576" i="3" a="1"/>
  <c r="E576" i="3" s="1"/>
  <c r="D576" i="3" a="1"/>
  <c r="D576" i="3" s="1"/>
  <c r="C576" i="3" a="1"/>
  <c r="C576" i="3" s="1"/>
  <c r="A576" i="3" s="1"/>
  <c r="L575" i="3" a="1"/>
  <c r="L575" i="3" s="1"/>
  <c r="K575" i="3" a="1"/>
  <c r="K575" i="3" s="1"/>
  <c r="J575" i="3" a="1"/>
  <c r="J575" i="3" s="1"/>
  <c r="I575" i="3" a="1"/>
  <c r="I575" i="3" s="1"/>
  <c r="H575" i="3" a="1"/>
  <c r="H575" i="3" s="1"/>
  <c r="G575" i="3" a="1"/>
  <c r="G575" i="3" s="1"/>
  <c r="F575" i="3" a="1"/>
  <c r="F575" i="3" s="1"/>
  <c r="E575" i="3" a="1"/>
  <c r="E575" i="3" s="1"/>
  <c r="D575" i="3" a="1"/>
  <c r="D575" i="3" s="1"/>
  <c r="C575" i="3" a="1"/>
  <c r="C575" i="3" s="1"/>
  <c r="A575" i="3" s="1"/>
  <c r="L574" i="3" a="1"/>
  <c r="L574" i="3" s="1"/>
  <c r="K574" i="3" a="1"/>
  <c r="K574" i="3" s="1"/>
  <c r="J574" i="3" a="1"/>
  <c r="J574" i="3" s="1"/>
  <c r="I574" i="3" a="1"/>
  <c r="I574" i="3" s="1"/>
  <c r="H574" i="3" a="1"/>
  <c r="H574" i="3" s="1"/>
  <c r="G574" i="3" a="1"/>
  <c r="G574" i="3" s="1"/>
  <c r="F574" i="3" a="1"/>
  <c r="F574" i="3" s="1"/>
  <c r="E574" i="3" a="1"/>
  <c r="E574" i="3" s="1"/>
  <c r="D574" i="3" a="1"/>
  <c r="D574" i="3" s="1"/>
  <c r="C574" i="3" a="1"/>
  <c r="C574" i="3" s="1"/>
  <c r="A574" i="3" s="1"/>
  <c r="L573" i="3" a="1"/>
  <c r="L573" i="3" s="1"/>
  <c r="K573" i="3" a="1"/>
  <c r="K573" i="3" s="1"/>
  <c r="J573" i="3" a="1"/>
  <c r="J573" i="3" s="1"/>
  <c r="I573" i="3" a="1"/>
  <c r="I573" i="3" s="1"/>
  <c r="H573" i="3" a="1"/>
  <c r="H573" i="3" s="1"/>
  <c r="G573" i="3" a="1"/>
  <c r="G573" i="3" s="1"/>
  <c r="F573" i="3" a="1"/>
  <c r="F573" i="3" s="1"/>
  <c r="E573" i="3" a="1"/>
  <c r="E573" i="3" s="1"/>
  <c r="D573" i="3" a="1"/>
  <c r="D573" i="3" s="1"/>
  <c r="C573" i="3" a="1"/>
  <c r="C573" i="3" s="1"/>
  <c r="A573" i="3" s="1"/>
  <c r="L572" i="3" a="1"/>
  <c r="L572" i="3" s="1"/>
  <c r="K572" i="3" a="1"/>
  <c r="K572" i="3" s="1"/>
  <c r="J572" i="3" a="1"/>
  <c r="J572" i="3" s="1"/>
  <c r="I572" i="3" a="1"/>
  <c r="I572" i="3" s="1"/>
  <c r="H572" i="3" a="1"/>
  <c r="H572" i="3" s="1"/>
  <c r="G572" i="3" a="1"/>
  <c r="G572" i="3" s="1"/>
  <c r="F572" i="3" a="1"/>
  <c r="F572" i="3" s="1"/>
  <c r="E572" i="3" a="1"/>
  <c r="E572" i="3" s="1"/>
  <c r="D572" i="3" a="1"/>
  <c r="D572" i="3" s="1"/>
  <c r="C572" i="3" a="1"/>
  <c r="C572" i="3" s="1"/>
  <c r="A572" i="3" s="1"/>
  <c r="L571" i="3" a="1"/>
  <c r="L571" i="3" s="1"/>
  <c r="K571" i="3" a="1"/>
  <c r="K571" i="3" s="1"/>
  <c r="J571" i="3" a="1"/>
  <c r="J571" i="3" s="1"/>
  <c r="I571" i="3" a="1"/>
  <c r="I571" i="3" s="1"/>
  <c r="H571" i="3" a="1"/>
  <c r="H571" i="3" s="1"/>
  <c r="G571" i="3" a="1"/>
  <c r="G571" i="3" s="1"/>
  <c r="F571" i="3" a="1"/>
  <c r="F571" i="3" s="1"/>
  <c r="E571" i="3" a="1"/>
  <c r="E571" i="3" s="1"/>
  <c r="D571" i="3" a="1"/>
  <c r="D571" i="3" s="1"/>
  <c r="C571" i="3" a="1"/>
  <c r="C571" i="3" s="1"/>
  <c r="A571" i="3" s="1"/>
  <c r="L570" i="3" a="1"/>
  <c r="L570" i="3" s="1"/>
  <c r="K570" i="3" a="1"/>
  <c r="K570" i="3" s="1"/>
  <c r="J570" i="3" a="1"/>
  <c r="J570" i="3" s="1"/>
  <c r="I570" i="3" a="1"/>
  <c r="I570" i="3" s="1"/>
  <c r="H570" i="3" a="1"/>
  <c r="H570" i="3" s="1"/>
  <c r="G570" i="3" a="1"/>
  <c r="G570" i="3" s="1"/>
  <c r="F570" i="3" a="1"/>
  <c r="F570" i="3" s="1"/>
  <c r="E570" i="3" a="1"/>
  <c r="E570" i="3" s="1"/>
  <c r="D570" i="3" a="1"/>
  <c r="D570" i="3" s="1"/>
  <c r="C570" i="3" a="1"/>
  <c r="C570" i="3" s="1"/>
  <c r="A570" i="3" s="1"/>
  <c r="L569" i="3" a="1"/>
  <c r="L569" i="3" s="1"/>
  <c r="K569" i="3" a="1"/>
  <c r="K569" i="3" s="1"/>
  <c r="J569" i="3" a="1"/>
  <c r="J569" i="3" s="1"/>
  <c r="I569" i="3" a="1"/>
  <c r="I569" i="3" s="1"/>
  <c r="H569" i="3" a="1"/>
  <c r="H569" i="3" s="1"/>
  <c r="G569" i="3" a="1"/>
  <c r="G569" i="3" s="1"/>
  <c r="F569" i="3" a="1"/>
  <c r="F569" i="3" s="1"/>
  <c r="E569" i="3" a="1"/>
  <c r="E569" i="3" s="1"/>
  <c r="D569" i="3" a="1"/>
  <c r="D569" i="3" s="1"/>
  <c r="C569" i="3" a="1"/>
  <c r="C569" i="3" s="1"/>
  <c r="A569" i="3" s="1"/>
  <c r="L568" i="3" a="1"/>
  <c r="L568" i="3" s="1"/>
  <c r="K568" i="3" a="1"/>
  <c r="K568" i="3" s="1"/>
  <c r="J568" i="3" a="1"/>
  <c r="J568" i="3" s="1"/>
  <c r="I568" i="3" a="1"/>
  <c r="I568" i="3" s="1"/>
  <c r="H568" i="3" a="1"/>
  <c r="H568" i="3" s="1"/>
  <c r="G568" i="3" a="1"/>
  <c r="G568" i="3" s="1"/>
  <c r="F568" i="3" a="1"/>
  <c r="F568" i="3" s="1"/>
  <c r="E568" i="3" a="1"/>
  <c r="E568" i="3" s="1"/>
  <c r="D568" i="3" a="1"/>
  <c r="D568" i="3" s="1"/>
  <c r="C568" i="3" a="1"/>
  <c r="C568" i="3" s="1"/>
  <c r="A568" i="3" s="1"/>
  <c r="L567" i="3" a="1"/>
  <c r="L567" i="3" s="1"/>
  <c r="K567" i="3" a="1"/>
  <c r="K567" i="3" s="1"/>
  <c r="J567" i="3" a="1"/>
  <c r="J567" i="3" s="1"/>
  <c r="I567" i="3" a="1"/>
  <c r="I567" i="3" s="1"/>
  <c r="H567" i="3" a="1"/>
  <c r="H567" i="3" s="1"/>
  <c r="G567" i="3" a="1"/>
  <c r="G567" i="3" s="1"/>
  <c r="F567" i="3" a="1"/>
  <c r="F567" i="3" s="1"/>
  <c r="E567" i="3" a="1"/>
  <c r="E567" i="3" s="1"/>
  <c r="D567" i="3" a="1"/>
  <c r="D567" i="3" s="1"/>
  <c r="C567" i="3" a="1"/>
  <c r="C567" i="3" s="1"/>
  <c r="A567" i="3" s="1"/>
  <c r="L566" i="3" a="1"/>
  <c r="L566" i="3" s="1"/>
  <c r="K566" i="3" a="1"/>
  <c r="K566" i="3" s="1"/>
  <c r="J566" i="3" a="1"/>
  <c r="J566" i="3" s="1"/>
  <c r="I566" i="3" a="1"/>
  <c r="I566" i="3" s="1"/>
  <c r="H566" i="3" a="1"/>
  <c r="H566" i="3" s="1"/>
  <c r="G566" i="3" a="1"/>
  <c r="G566" i="3" s="1"/>
  <c r="F566" i="3" a="1"/>
  <c r="F566" i="3" s="1"/>
  <c r="E566" i="3" a="1"/>
  <c r="E566" i="3" s="1"/>
  <c r="D566" i="3" a="1"/>
  <c r="D566" i="3" s="1"/>
  <c r="C566" i="3" a="1"/>
  <c r="C566" i="3" s="1"/>
  <c r="A566" i="3" s="1"/>
  <c r="L565" i="3" a="1"/>
  <c r="L565" i="3" s="1"/>
  <c r="K565" i="3" a="1"/>
  <c r="K565" i="3" s="1"/>
  <c r="J565" i="3" a="1"/>
  <c r="J565" i="3" s="1"/>
  <c r="I565" i="3" a="1"/>
  <c r="I565" i="3" s="1"/>
  <c r="H565" i="3" a="1"/>
  <c r="H565" i="3" s="1"/>
  <c r="G565" i="3" a="1"/>
  <c r="G565" i="3" s="1"/>
  <c r="F565" i="3" a="1"/>
  <c r="F565" i="3" s="1"/>
  <c r="E565" i="3" a="1"/>
  <c r="E565" i="3" s="1"/>
  <c r="D565" i="3" a="1"/>
  <c r="D565" i="3" s="1"/>
  <c r="C565" i="3" a="1"/>
  <c r="C565" i="3" s="1"/>
  <c r="A565" i="3" s="1"/>
  <c r="L564" i="3" a="1"/>
  <c r="L564" i="3" s="1"/>
  <c r="K564" i="3" a="1"/>
  <c r="K564" i="3" s="1"/>
  <c r="J564" i="3" a="1"/>
  <c r="J564" i="3" s="1"/>
  <c r="I564" i="3" a="1"/>
  <c r="I564" i="3" s="1"/>
  <c r="H564" i="3" a="1"/>
  <c r="H564" i="3" s="1"/>
  <c r="G564" i="3" a="1"/>
  <c r="G564" i="3" s="1"/>
  <c r="F564" i="3" a="1"/>
  <c r="F564" i="3" s="1"/>
  <c r="E564" i="3" a="1"/>
  <c r="E564" i="3" s="1"/>
  <c r="D564" i="3" a="1"/>
  <c r="D564" i="3" s="1"/>
  <c r="C564" i="3" a="1"/>
  <c r="C564" i="3" s="1"/>
  <c r="A564" i="3" s="1"/>
  <c r="L563" i="3" a="1"/>
  <c r="L563" i="3" s="1"/>
  <c r="K563" i="3" a="1"/>
  <c r="K563" i="3" s="1"/>
  <c r="J563" i="3" a="1"/>
  <c r="J563" i="3" s="1"/>
  <c r="I563" i="3" a="1"/>
  <c r="I563" i="3" s="1"/>
  <c r="H563" i="3" a="1"/>
  <c r="H563" i="3" s="1"/>
  <c r="G563" i="3" a="1"/>
  <c r="G563" i="3" s="1"/>
  <c r="F563" i="3" a="1"/>
  <c r="F563" i="3" s="1"/>
  <c r="E563" i="3" a="1"/>
  <c r="E563" i="3" s="1"/>
  <c r="D563" i="3" a="1"/>
  <c r="D563" i="3" s="1"/>
  <c r="C563" i="3" a="1"/>
  <c r="C563" i="3" s="1"/>
  <c r="A563" i="3" s="1"/>
  <c r="L562" i="3" a="1"/>
  <c r="L562" i="3" s="1"/>
  <c r="K562" i="3" a="1"/>
  <c r="K562" i="3" s="1"/>
  <c r="J562" i="3" a="1"/>
  <c r="J562" i="3" s="1"/>
  <c r="I562" i="3" a="1"/>
  <c r="I562" i="3" s="1"/>
  <c r="H562" i="3" a="1"/>
  <c r="H562" i="3" s="1"/>
  <c r="G562" i="3" a="1"/>
  <c r="G562" i="3" s="1"/>
  <c r="F562" i="3" a="1"/>
  <c r="F562" i="3" s="1"/>
  <c r="E562" i="3" a="1"/>
  <c r="E562" i="3" s="1"/>
  <c r="D562" i="3" a="1"/>
  <c r="D562" i="3" s="1"/>
  <c r="C562" i="3" a="1"/>
  <c r="C562" i="3" s="1"/>
  <c r="A562" i="3" s="1"/>
  <c r="L561" i="3" a="1"/>
  <c r="L561" i="3" s="1"/>
  <c r="K561" i="3" a="1"/>
  <c r="K561" i="3" s="1"/>
  <c r="J561" i="3" a="1"/>
  <c r="J561" i="3" s="1"/>
  <c r="I561" i="3" a="1"/>
  <c r="I561" i="3" s="1"/>
  <c r="H561" i="3" a="1"/>
  <c r="H561" i="3" s="1"/>
  <c r="G561" i="3" a="1"/>
  <c r="G561" i="3" s="1"/>
  <c r="F561" i="3" a="1"/>
  <c r="F561" i="3" s="1"/>
  <c r="E561" i="3" a="1"/>
  <c r="E561" i="3" s="1"/>
  <c r="D561" i="3" a="1"/>
  <c r="D561" i="3" s="1"/>
  <c r="C561" i="3" a="1"/>
  <c r="C561" i="3" s="1"/>
  <c r="A561" i="3" s="1"/>
  <c r="L560" i="3" a="1"/>
  <c r="L560" i="3" s="1"/>
  <c r="K560" i="3" a="1"/>
  <c r="K560" i="3" s="1"/>
  <c r="J560" i="3" a="1"/>
  <c r="J560" i="3" s="1"/>
  <c r="I560" i="3" a="1"/>
  <c r="I560" i="3" s="1"/>
  <c r="H560" i="3" a="1"/>
  <c r="H560" i="3" s="1"/>
  <c r="G560" i="3" a="1"/>
  <c r="G560" i="3" s="1"/>
  <c r="F560" i="3" a="1"/>
  <c r="F560" i="3" s="1"/>
  <c r="E560" i="3" a="1"/>
  <c r="E560" i="3" s="1"/>
  <c r="D560" i="3" a="1"/>
  <c r="D560" i="3" s="1"/>
  <c r="C560" i="3" a="1"/>
  <c r="C560" i="3" s="1"/>
  <c r="A560" i="3" s="1"/>
  <c r="L559" i="3" a="1"/>
  <c r="L559" i="3" s="1"/>
  <c r="K559" i="3" a="1"/>
  <c r="K559" i="3" s="1"/>
  <c r="J559" i="3" a="1"/>
  <c r="J559" i="3" s="1"/>
  <c r="I559" i="3" a="1"/>
  <c r="I559" i="3" s="1"/>
  <c r="H559" i="3" a="1"/>
  <c r="H559" i="3" s="1"/>
  <c r="G559" i="3" a="1"/>
  <c r="G559" i="3" s="1"/>
  <c r="F559" i="3" a="1"/>
  <c r="F559" i="3" s="1"/>
  <c r="E559" i="3" a="1"/>
  <c r="E559" i="3" s="1"/>
  <c r="D559" i="3" a="1"/>
  <c r="D559" i="3" s="1"/>
  <c r="C559" i="3" a="1"/>
  <c r="C559" i="3" s="1"/>
  <c r="A559" i="3" s="1"/>
  <c r="L558" i="3" a="1"/>
  <c r="L558" i="3" s="1"/>
  <c r="K558" i="3" a="1"/>
  <c r="K558" i="3" s="1"/>
  <c r="J558" i="3" a="1"/>
  <c r="J558" i="3" s="1"/>
  <c r="I558" i="3" a="1"/>
  <c r="I558" i="3" s="1"/>
  <c r="H558" i="3" a="1"/>
  <c r="H558" i="3" s="1"/>
  <c r="G558" i="3" a="1"/>
  <c r="G558" i="3" s="1"/>
  <c r="F558" i="3" a="1"/>
  <c r="F558" i="3" s="1"/>
  <c r="E558" i="3" a="1"/>
  <c r="E558" i="3" s="1"/>
  <c r="D558" i="3" a="1"/>
  <c r="D558" i="3" s="1"/>
  <c r="C558" i="3" a="1"/>
  <c r="C558" i="3" s="1"/>
  <c r="A558" i="3" s="1"/>
  <c r="L557" i="3" a="1"/>
  <c r="L557" i="3" s="1"/>
  <c r="K557" i="3" a="1"/>
  <c r="K557" i="3" s="1"/>
  <c r="J557" i="3" a="1"/>
  <c r="J557" i="3" s="1"/>
  <c r="I557" i="3" a="1"/>
  <c r="I557" i="3" s="1"/>
  <c r="H557" i="3" a="1"/>
  <c r="H557" i="3" s="1"/>
  <c r="G557" i="3" a="1"/>
  <c r="G557" i="3" s="1"/>
  <c r="F557" i="3" a="1"/>
  <c r="F557" i="3" s="1"/>
  <c r="E557" i="3" a="1"/>
  <c r="E557" i="3" s="1"/>
  <c r="D557" i="3" a="1"/>
  <c r="D557" i="3" s="1"/>
  <c r="C557" i="3" a="1"/>
  <c r="C557" i="3" s="1"/>
  <c r="A557" i="3" s="1"/>
  <c r="L556" i="3" a="1"/>
  <c r="L556" i="3" s="1"/>
  <c r="K556" i="3" a="1"/>
  <c r="K556" i="3" s="1"/>
  <c r="J556" i="3" a="1"/>
  <c r="J556" i="3" s="1"/>
  <c r="I556" i="3" a="1"/>
  <c r="I556" i="3" s="1"/>
  <c r="H556" i="3" a="1"/>
  <c r="H556" i="3" s="1"/>
  <c r="G556" i="3" a="1"/>
  <c r="G556" i="3" s="1"/>
  <c r="F556" i="3" a="1"/>
  <c r="F556" i="3" s="1"/>
  <c r="E556" i="3" a="1"/>
  <c r="E556" i="3" s="1"/>
  <c r="D556" i="3" a="1"/>
  <c r="D556" i="3" s="1"/>
  <c r="C556" i="3" a="1"/>
  <c r="C556" i="3" s="1"/>
  <c r="A556" i="3" s="1"/>
  <c r="L555" i="3" a="1"/>
  <c r="L555" i="3" s="1"/>
  <c r="K555" i="3" a="1"/>
  <c r="K555" i="3" s="1"/>
  <c r="J555" i="3" a="1"/>
  <c r="J555" i="3" s="1"/>
  <c r="I555" i="3" a="1"/>
  <c r="I555" i="3" s="1"/>
  <c r="H555" i="3" a="1"/>
  <c r="H555" i="3" s="1"/>
  <c r="G555" i="3" a="1"/>
  <c r="G555" i="3" s="1"/>
  <c r="F555" i="3" a="1"/>
  <c r="F555" i="3" s="1"/>
  <c r="E555" i="3" a="1"/>
  <c r="E555" i="3" s="1"/>
  <c r="D555" i="3" a="1"/>
  <c r="D555" i="3" s="1"/>
  <c r="C555" i="3" a="1"/>
  <c r="C555" i="3" s="1"/>
  <c r="A555" i="3" s="1"/>
  <c r="L554" i="3" a="1"/>
  <c r="L554" i="3" s="1"/>
  <c r="K554" i="3" a="1"/>
  <c r="K554" i="3" s="1"/>
  <c r="J554" i="3" a="1"/>
  <c r="J554" i="3" s="1"/>
  <c r="I554" i="3" a="1"/>
  <c r="I554" i="3" s="1"/>
  <c r="H554" i="3" a="1"/>
  <c r="H554" i="3" s="1"/>
  <c r="G554" i="3" a="1"/>
  <c r="G554" i="3" s="1"/>
  <c r="F554" i="3" a="1"/>
  <c r="F554" i="3" s="1"/>
  <c r="E554" i="3" a="1"/>
  <c r="E554" i="3" s="1"/>
  <c r="D554" i="3" a="1"/>
  <c r="D554" i="3" s="1"/>
  <c r="C554" i="3" a="1"/>
  <c r="C554" i="3" s="1"/>
  <c r="A554" i="3" s="1"/>
  <c r="L553" i="3" a="1"/>
  <c r="L553" i="3" s="1"/>
  <c r="K553" i="3" a="1"/>
  <c r="K553" i="3" s="1"/>
  <c r="J553" i="3" a="1"/>
  <c r="J553" i="3" s="1"/>
  <c r="I553" i="3" a="1"/>
  <c r="I553" i="3" s="1"/>
  <c r="H553" i="3" a="1"/>
  <c r="H553" i="3" s="1"/>
  <c r="G553" i="3" a="1"/>
  <c r="G553" i="3" s="1"/>
  <c r="F553" i="3" a="1"/>
  <c r="F553" i="3" s="1"/>
  <c r="E553" i="3" a="1"/>
  <c r="E553" i="3" s="1"/>
  <c r="D553" i="3" a="1"/>
  <c r="D553" i="3" s="1"/>
  <c r="C553" i="3" a="1"/>
  <c r="C553" i="3" s="1"/>
  <c r="A553" i="3" s="1"/>
  <c r="L552" i="3" a="1"/>
  <c r="L552" i="3" s="1"/>
  <c r="K552" i="3" a="1"/>
  <c r="K552" i="3" s="1"/>
  <c r="J552" i="3" a="1"/>
  <c r="J552" i="3" s="1"/>
  <c r="I552" i="3" a="1"/>
  <c r="I552" i="3" s="1"/>
  <c r="H552" i="3" a="1"/>
  <c r="H552" i="3" s="1"/>
  <c r="G552" i="3" a="1"/>
  <c r="G552" i="3" s="1"/>
  <c r="F552" i="3" a="1"/>
  <c r="F552" i="3" s="1"/>
  <c r="E552" i="3" a="1"/>
  <c r="E552" i="3" s="1"/>
  <c r="D552" i="3" a="1"/>
  <c r="D552" i="3" s="1"/>
  <c r="C552" i="3" a="1"/>
  <c r="C552" i="3" s="1"/>
  <c r="A552" i="3" s="1"/>
  <c r="L551" i="3" a="1"/>
  <c r="L551" i="3" s="1"/>
  <c r="K551" i="3" a="1"/>
  <c r="K551" i="3" s="1"/>
  <c r="J551" i="3" a="1"/>
  <c r="J551" i="3" s="1"/>
  <c r="I551" i="3" a="1"/>
  <c r="I551" i="3" s="1"/>
  <c r="H551" i="3" a="1"/>
  <c r="H551" i="3" s="1"/>
  <c r="G551" i="3" a="1"/>
  <c r="G551" i="3" s="1"/>
  <c r="F551" i="3" a="1"/>
  <c r="F551" i="3" s="1"/>
  <c r="E551" i="3" a="1"/>
  <c r="E551" i="3" s="1"/>
  <c r="D551" i="3" a="1"/>
  <c r="D551" i="3" s="1"/>
  <c r="C551" i="3" a="1"/>
  <c r="C551" i="3" s="1"/>
  <c r="A551" i="3" s="1"/>
  <c r="L550" i="3" a="1"/>
  <c r="L550" i="3" s="1"/>
  <c r="K550" i="3" a="1"/>
  <c r="K550" i="3" s="1"/>
  <c r="J550" i="3" a="1"/>
  <c r="J550" i="3" s="1"/>
  <c r="I550" i="3" a="1"/>
  <c r="I550" i="3" s="1"/>
  <c r="H550" i="3" a="1"/>
  <c r="H550" i="3" s="1"/>
  <c r="G550" i="3" a="1"/>
  <c r="G550" i="3" s="1"/>
  <c r="F550" i="3" a="1"/>
  <c r="F550" i="3" s="1"/>
  <c r="E550" i="3" a="1"/>
  <c r="E550" i="3" s="1"/>
  <c r="D550" i="3" a="1"/>
  <c r="D550" i="3" s="1"/>
  <c r="C550" i="3" a="1"/>
  <c r="C550" i="3" s="1"/>
  <c r="A550" i="3" s="1"/>
  <c r="L549" i="3" a="1"/>
  <c r="L549" i="3" s="1"/>
  <c r="K549" i="3" a="1"/>
  <c r="K549" i="3" s="1"/>
  <c r="J549" i="3" a="1"/>
  <c r="J549" i="3" s="1"/>
  <c r="I549" i="3" a="1"/>
  <c r="I549" i="3" s="1"/>
  <c r="H549" i="3" a="1"/>
  <c r="H549" i="3" s="1"/>
  <c r="G549" i="3" a="1"/>
  <c r="G549" i="3" s="1"/>
  <c r="F549" i="3" a="1"/>
  <c r="F549" i="3" s="1"/>
  <c r="E549" i="3" a="1"/>
  <c r="E549" i="3" s="1"/>
  <c r="D549" i="3" a="1"/>
  <c r="D549" i="3" s="1"/>
  <c r="C549" i="3" a="1"/>
  <c r="C549" i="3" s="1"/>
  <c r="A549" i="3" s="1"/>
  <c r="L548" i="3" a="1"/>
  <c r="L548" i="3" s="1"/>
  <c r="K548" i="3" a="1"/>
  <c r="K548" i="3" s="1"/>
  <c r="J548" i="3" a="1"/>
  <c r="J548" i="3" s="1"/>
  <c r="I548" i="3" a="1"/>
  <c r="I548" i="3" s="1"/>
  <c r="H548" i="3" a="1"/>
  <c r="H548" i="3" s="1"/>
  <c r="G548" i="3" a="1"/>
  <c r="G548" i="3" s="1"/>
  <c r="F548" i="3" a="1"/>
  <c r="F548" i="3" s="1"/>
  <c r="E548" i="3" a="1"/>
  <c r="E548" i="3" s="1"/>
  <c r="D548" i="3" a="1"/>
  <c r="D548" i="3" s="1"/>
  <c r="C548" i="3" a="1"/>
  <c r="C548" i="3" s="1"/>
  <c r="A548" i="3" s="1"/>
  <c r="L547" i="3" a="1"/>
  <c r="L547" i="3" s="1"/>
  <c r="K547" i="3" a="1"/>
  <c r="K547" i="3" s="1"/>
  <c r="J547" i="3" a="1"/>
  <c r="J547" i="3" s="1"/>
  <c r="I547" i="3" a="1"/>
  <c r="I547" i="3" s="1"/>
  <c r="H547" i="3" a="1"/>
  <c r="H547" i="3" s="1"/>
  <c r="G547" i="3" a="1"/>
  <c r="G547" i="3" s="1"/>
  <c r="F547" i="3" a="1"/>
  <c r="F547" i="3" s="1"/>
  <c r="E547" i="3" a="1"/>
  <c r="E547" i="3" s="1"/>
  <c r="D547" i="3" a="1"/>
  <c r="D547" i="3" s="1"/>
  <c r="C547" i="3" a="1"/>
  <c r="C547" i="3" s="1"/>
  <c r="A547" i="3" s="1"/>
  <c r="L546" i="3" a="1"/>
  <c r="L546" i="3" s="1"/>
  <c r="K546" i="3" a="1"/>
  <c r="K546" i="3" s="1"/>
  <c r="J546" i="3" a="1"/>
  <c r="J546" i="3" s="1"/>
  <c r="I546" i="3" a="1"/>
  <c r="I546" i="3" s="1"/>
  <c r="H546" i="3" a="1"/>
  <c r="H546" i="3" s="1"/>
  <c r="G546" i="3" a="1"/>
  <c r="G546" i="3" s="1"/>
  <c r="F546" i="3" a="1"/>
  <c r="F546" i="3" s="1"/>
  <c r="E546" i="3" a="1"/>
  <c r="E546" i="3" s="1"/>
  <c r="D546" i="3" a="1"/>
  <c r="D546" i="3" s="1"/>
  <c r="C546" i="3" a="1"/>
  <c r="C546" i="3" s="1"/>
  <c r="A546" i="3" s="1"/>
  <c r="L545" i="3" a="1"/>
  <c r="L545" i="3" s="1"/>
  <c r="K545" i="3" a="1"/>
  <c r="K545" i="3" s="1"/>
  <c r="J545" i="3" a="1"/>
  <c r="J545" i="3" s="1"/>
  <c r="I545" i="3" a="1"/>
  <c r="I545" i="3" s="1"/>
  <c r="H545" i="3" a="1"/>
  <c r="H545" i="3" s="1"/>
  <c r="G545" i="3" a="1"/>
  <c r="G545" i="3" s="1"/>
  <c r="F545" i="3" a="1"/>
  <c r="F545" i="3" s="1"/>
  <c r="E545" i="3" a="1"/>
  <c r="E545" i="3" s="1"/>
  <c r="D545" i="3" a="1"/>
  <c r="D545" i="3" s="1"/>
  <c r="C545" i="3" a="1"/>
  <c r="C545" i="3" s="1"/>
  <c r="A545" i="3" s="1"/>
  <c r="L544" i="3" a="1"/>
  <c r="L544" i="3" s="1"/>
  <c r="K544" i="3" a="1"/>
  <c r="K544" i="3" s="1"/>
  <c r="J544" i="3" a="1"/>
  <c r="J544" i="3" s="1"/>
  <c r="I544" i="3" a="1"/>
  <c r="I544" i="3" s="1"/>
  <c r="H544" i="3" a="1"/>
  <c r="H544" i="3" s="1"/>
  <c r="G544" i="3" a="1"/>
  <c r="G544" i="3" s="1"/>
  <c r="F544" i="3" a="1"/>
  <c r="F544" i="3" s="1"/>
  <c r="E544" i="3" a="1"/>
  <c r="E544" i="3" s="1"/>
  <c r="D544" i="3" a="1"/>
  <c r="D544" i="3" s="1"/>
  <c r="C544" i="3" a="1"/>
  <c r="C544" i="3" s="1"/>
  <c r="A544" i="3" s="1"/>
  <c r="L543" i="3" a="1"/>
  <c r="L543" i="3" s="1"/>
  <c r="K543" i="3" a="1"/>
  <c r="K543" i="3" s="1"/>
  <c r="J543" i="3" a="1"/>
  <c r="J543" i="3" s="1"/>
  <c r="I543" i="3" a="1"/>
  <c r="I543" i="3" s="1"/>
  <c r="H543" i="3" a="1"/>
  <c r="H543" i="3" s="1"/>
  <c r="G543" i="3" a="1"/>
  <c r="G543" i="3" s="1"/>
  <c r="F543" i="3" a="1"/>
  <c r="F543" i="3" s="1"/>
  <c r="E543" i="3" a="1"/>
  <c r="E543" i="3" s="1"/>
  <c r="D543" i="3" a="1"/>
  <c r="D543" i="3" s="1"/>
  <c r="C543" i="3" a="1"/>
  <c r="C543" i="3" s="1"/>
  <c r="A543" i="3" s="1"/>
  <c r="L542" i="3" a="1"/>
  <c r="L542" i="3" s="1"/>
  <c r="K542" i="3" a="1"/>
  <c r="K542" i="3" s="1"/>
  <c r="J542" i="3" a="1"/>
  <c r="J542" i="3" s="1"/>
  <c r="I542" i="3" a="1"/>
  <c r="I542" i="3" s="1"/>
  <c r="H542" i="3" a="1"/>
  <c r="H542" i="3" s="1"/>
  <c r="G542" i="3" a="1"/>
  <c r="G542" i="3" s="1"/>
  <c r="F542" i="3" a="1"/>
  <c r="F542" i="3" s="1"/>
  <c r="E542" i="3" a="1"/>
  <c r="E542" i="3" s="1"/>
  <c r="D542" i="3" a="1"/>
  <c r="D542" i="3" s="1"/>
  <c r="C542" i="3" a="1"/>
  <c r="C542" i="3" s="1"/>
  <c r="A542" i="3" s="1"/>
  <c r="L541" i="3" a="1"/>
  <c r="L541" i="3" s="1"/>
  <c r="K541" i="3" a="1"/>
  <c r="K541" i="3" s="1"/>
  <c r="J541" i="3" a="1"/>
  <c r="J541" i="3" s="1"/>
  <c r="I541" i="3" a="1"/>
  <c r="I541" i="3" s="1"/>
  <c r="H541" i="3" a="1"/>
  <c r="H541" i="3" s="1"/>
  <c r="G541" i="3" a="1"/>
  <c r="G541" i="3" s="1"/>
  <c r="F541" i="3" a="1"/>
  <c r="F541" i="3" s="1"/>
  <c r="E541" i="3" a="1"/>
  <c r="E541" i="3" s="1"/>
  <c r="D541" i="3" a="1"/>
  <c r="D541" i="3" s="1"/>
  <c r="C541" i="3" a="1"/>
  <c r="C541" i="3" s="1"/>
  <c r="A541" i="3" s="1"/>
  <c r="L540" i="3" a="1"/>
  <c r="L540" i="3" s="1"/>
  <c r="K540" i="3" a="1"/>
  <c r="K540" i="3" s="1"/>
  <c r="J540" i="3" a="1"/>
  <c r="J540" i="3" s="1"/>
  <c r="I540" i="3" a="1"/>
  <c r="I540" i="3" s="1"/>
  <c r="H540" i="3" a="1"/>
  <c r="H540" i="3" s="1"/>
  <c r="G540" i="3" a="1"/>
  <c r="G540" i="3" s="1"/>
  <c r="F540" i="3" a="1"/>
  <c r="F540" i="3" s="1"/>
  <c r="E540" i="3" a="1"/>
  <c r="E540" i="3" s="1"/>
  <c r="D540" i="3" a="1"/>
  <c r="D540" i="3" s="1"/>
  <c r="C540" i="3" a="1"/>
  <c r="C540" i="3" s="1"/>
  <c r="A540" i="3" s="1"/>
  <c r="L539" i="3" a="1"/>
  <c r="L539" i="3" s="1"/>
  <c r="K539" i="3" a="1"/>
  <c r="K539" i="3" s="1"/>
  <c r="J539" i="3" a="1"/>
  <c r="J539" i="3" s="1"/>
  <c r="I539" i="3" a="1"/>
  <c r="I539" i="3" s="1"/>
  <c r="H539" i="3" a="1"/>
  <c r="H539" i="3" s="1"/>
  <c r="G539" i="3" a="1"/>
  <c r="G539" i="3" s="1"/>
  <c r="F539" i="3" a="1"/>
  <c r="F539" i="3" s="1"/>
  <c r="E539" i="3" a="1"/>
  <c r="E539" i="3" s="1"/>
  <c r="D539" i="3" a="1"/>
  <c r="D539" i="3" s="1"/>
  <c r="C539" i="3" a="1"/>
  <c r="C539" i="3" s="1"/>
  <c r="A539" i="3" s="1"/>
  <c r="L538" i="3" a="1"/>
  <c r="L538" i="3" s="1"/>
  <c r="K538" i="3" a="1"/>
  <c r="K538" i="3" s="1"/>
  <c r="J538" i="3" a="1"/>
  <c r="J538" i="3" s="1"/>
  <c r="I538" i="3" a="1"/>
  <c r="I538" i="3" s="1"/>
  <c r="H538" i="3" a="1"/>
  <c r="H538" i="3" s="1"/>
  <c r="G538" i="3" a="1"/>
  <c r="G538" i="3" s="1"/>
  <c r="F538" i="3" a="1"/>
  <c r="F538" i="3" s="1"/>
  <c r="E538" i="3" a="1"/>
  <c r="E538" i="3" s="1"/>
  <c r="D538" i="3" a="1"/>
  <c r="D538" i="3" s="1"/>
  <c r="C538" i="3" a="1"/>
  <c r="C538" i="3" s="1"/>
  <c r="A538" i="3" s="1"/>
  <c r="L537" i="3" a="1"/>
  <c r="L537" i="3" s="1"/>
  <c r="K537" i="3" a="1"/>
  <c r="K537" i="3" s="1"/>
  <c r="J537" i="3" a="1"/>
  <c r="J537" i="3" s="1"/>
  <c r="I537" i="3" a="1"/>
  <c r="I537" i="3" s="1"/>
  <c r="H537" i="3" a="1"/>
  <c r="H537" i="3" s="1"/>
  <c r="G537" i="3" a="1"/>
  <c r="G537" i="3" s="1"/>
  <c r="F537" i="3" a="1"/>
  <c r="F537" i="3" s="1"/>
  <c r="E537" i="3" a="1"/>
  <c r="E537" i="3" s="1"/>
  <c r="D537" i="3" a="1"/>
  <c r="D537" i="3" s="1"/>
  <c r="C537" i="3" a="1"/>
  <c r="C537" i="3" s="1"/>
  <c r="A537" i="3" s="1"/>
  <c r="L536" i="3" a="1"/>
  <c r="L536" i="3" s="1"/>
  <c r="K536" i="3" a="1"/>
  <c r="K536" i="3" s="1"/>
  <c r="J536" i="3" a="1"/>
  <c r="J536" i="3" s="1"/>
  <c r="I536" i="3" a="1"/>
  <c r="I536" i="3" s="1"/>
  <c r="H536" i="3" a="1"/>
  <c r="H536" i="3" s="1"/>
  <c r="G536" i="3" a="1"/>
  <c r="G536" i="3" s="1"/>
  <c r="F536" i="3" a="1"/>
  <c r="F536" i="3" s="1"/>
  <c r="E536" i="3" a="1"/>
  <c r="E536" i="3" s="1"/>
  <c r="D536" i="3" a="1"/>
  <c r="D536" i="3" s="1"/>
  <c r="C536" i="3" a="1"/>
  <c r="C536" i="3" s="1"/>
  <c r="A536" i="3" s="1"/>
  <c r="L535" i="3" a="1"/>
  <c r="L535" i="3" s="1"/>
  <c r="K535" i="3" a="1"/>
  <c r="K535" i="3" s="1"/>
  <c r="J535" i="3" a="1"/>
  <c r="J535" i="3" s="1"/>
  <c r="I535" i="3" a="1"/>
  <c r="I535" i="3" s="1"/>
  <c r="H535" i="3" a="1"/>
  <c r="H535" i="3" s="1"/>
  <c r="G535" i="3" a="1"/>
  <c r="G535" i="3" s="1"/>
  <c r="F535" i="3" a="1"/>
  <c r="F535" i="3" s="1"/>
  <c r="E535" i="3" a="1"/>
  <c r="E535" i="3" s="1"/>
  <c r="D535" i="3" a="1"/>
  <c r="D535" i="3" s="1"/>
  <c r="C535" i="3" a="1"/>
  <c r="C535" i="3" s="1"/>
  <c r="A535" i="3" s="1"/>
  <c r="L534" i="3" a="1"/>
  <c r="L534" i="3" s="1"/>
  <c r="K534" i="3" a="1"/>
  <c r="K534" i="3" s="1"/>
  <c r="J534" i="3" a="1"/>
  <c r="J534" i="3" s="1"/>
  <c r="I534" i="3" a="1"/>
  <c r="I534" i="3" s="1"/>
  <c r="H534" i="3" a="1"/>
  <c r="H534" i="3" s="1"/>
  <c r="G534" i="3" a="1"/>
  <c r="G534" i="3" s="1"/>
  <c r="F534" i="3" a="1"/>
  <c r="F534" i="3" s="1"/>
  <c r="E534" i="3" a="1"/>
  <c r="E534" i="3" s="1"/>
  <c r="D534" i="3" a="1"/>
  <c r="D534" i="3" s="1"/>
  <c r="C534" i="3" a="1"/>
  <c r="C534" i="3" s="1"/>
  <c r="A534" i="3" s="1"/>
  <c r="L533" i="3" a="1"/>
  <c r="L533" i="3" s="1"/>
  <c r="K533" i="3" a="1"/>
  <c r="K533" i="3" s="1"/>
  <c r="J533" i="3" a="1"/>
  <c r="J533" i="3" s="1"/>
  <c r="I533" i="3" a="1"/>
  <c r="I533" i="3" s="1"/>
  <c r="H533" i="3" a="1"/>
  <c r="H533" i="3" s="1"/>
  <c r="G533" i="3" a="1"/>
  <c r="G533" i="3" s="1"/>
  <c r="F533" i="3" a="1"/>
  <c r="F533" i="3" s="1"/>
  <c r="E533" i="3" a="1"/>
  <c r="E533" i="3" s="1"/>
  <c r="D533" i="3" a="1"/>
  <c r="D533" i="3" s="1"/>
  <c r="C533" i="3" a="1"/>
  <c r="C533" i="3" s="1"/>
  <c r="A533" i="3" s="1"/>
  <c r="L532" i="3" a="1"/>
  <c r="L532" i="3" s="1"/>
  <c r="K532" i="3" a="1"/>
  <c r="K532" i="3" s="1"/>
  <c r="J532" i="3" a="1"/>
  <c r="J532" i="3" s="1"/>
  <c r="I532" i="3" a="1"/>
  <c r="I532" i="3" s="1"/>
  <c r="H532" i="3" a="1"/>
  <c r="H532" i="3" s="1"/>
  <c r="G532" i="3" a="1"/>
  <c r="G532" i="3" s="1"/>
  <c r="F532" i="3" a="1"/>
  <c r="F532" i="3" s="1"/>
  <c r="E532" i="3" a="1"/>
  <c r="E532" i="3" s="1"/>
  <c r="D532" i="3" a="1"/>
  <c r="D532" i="3" s="1"/>
  <c r="C532" i="3" a="1"/>
  <c r="C532" i="3" s="1"/>
  <c r="A532" i="3" s="1"/>
  <c r="L531" i="3" a="1"/>
  <c r="L531" i="3" s="1"/>
  <c r="K531" i="3" a="1"/>
  <c r="K531" i="3" s="1"/>
  <c r="J531" i="3" a="1"/>
  <c r="J531" i="3" s="1"/>
  <c r="I531" i="3" a="1"/>
  <c r="I531" i="3" s="1"/>
  <c r="H531" i="3" a="1"/>
  <c r="H531" i="3" s="1"/>
  <c r="G531" i="3" a="1"/>
  <c r="G531" i="3" s="1"/>
  <c r="F531" i="3" a="1"/>
  <c r="F531" i="3" s="1"/>
  <c r="E531" i="3" a="1"/>
  <c r="E531" i="3" s="1"/>
  <c r="D531" i="3" a="1"/>
  <c r="D531" i="3" s="1"/>
  <c r="C531" i="3" a="1"/>
  <c r="C531" i="3" s="1"/>
  <c r="A531" i="3" s="1"/>
  <c r="L530" i="3" a="1"/>
  <c r="L530" i="3" s="1"/>
  <c r="K530" i="3" a="1"/>
  <c r="K530" i="3" s="1"/>
  <c r="J530" i="3" a="1"/>
  <c r="J530" i="3" s="1"/>
  <c r="I530" i="3" a="1"/>
  <c r="I530" i="3" s="1"/>
  <c r="H530" i="3" a="1"/>
  <c r="H530" i="3" s="1"/>
  <c r="G530" i="3" a="1"/>
  <c r="G530" i="3" s="1"/>
  <c r="F530" i="3" a="1"/>
  <c r="F530" i="3" s="1"/>
  <c r="E530" i="3" a="1"/>
  <c r="E530" i="3" s="1"/>
  <c r="D530" i="3" a="1"/>
  <c r="D530" i="3" s="1"/>
  <c r="C530" i="3" a="1"/>
  <c r="C530" i="3" s="1"/>
  <c r="A530" i="3" s="1"/>
  <c r="L529" i="3" a="1"/>
  <c r="L529" i="3" s="1"/>
  <c r="K529" i="3" a="1"/>
  <c r="K529" i="3" s="1"/>
  <c r="J529" i="3" a="1"/>
  <c r="J529" i="3" s="1"/>
  <c r="I529" i="3" a="1"/>
  <c r="I529" i="3" s="1"/>
  <c r="H529" i="3" a="1"/>
  <c r="H529" i="3" s="1"/>
  <c r="G529" i="3" a="1"/>
  <c r="G529" i="3" s="1"/>
  <c r="F529" i="3" a="1"/>
  <c r="F529" i="3" s="1"/>
  <c r="E529" i="3" a="1"/>
  <c r="E529" i="3" s="1"/>
  <c r="D529" i="3" a="1"/>
  <c r="D529" i="3" s="1"/>
  <c r="C529" i="3" a="1"/>
  <c r="C529" i="3" s="1"/>
  <c r="A529" i="3" s="1"/>
  <c r="L528" i="3" a="1"/>
  <c r="L528" i="3" s="1"/>
  <c r="K528" i="3" a="1"/>
  <c r="K528" i="3" s="1"/>
  <c r="J528" i="3" a="1"/>
  <c r="J528" i="3" s="1"/>
  <c r="I528" i="3" a="1"/>
  <c r="I528" i="3" s="1"/>
  <c r="H528" i="3" a="1"/>
  <c r="H528" i="3" s="1"/>
  <c r="G528" i="3" a="1"/>
  <c r="G528" i="3" s="1"/>
  <c r="F528" i="3" a="1"/>
  <c r="F528" i="3" s="1"/>
  <c r="E528" i="3" a="1"/>
  <c r="E528" i="3" s="1"/>
  <c r="D528" i="3" a="1"/>
  <c r="D528" i="3" s="1"/>
  <c r="C528" i="3" a="1"/>
  <c r="C528" i="3" s="1"/>
  <c r="A528" i="3" s="1"/>
  <c r="L527" i="3" a="1"/>
  <c r="L527" i="3" s="1"/>
  <c r="K527" i="3" a="1"/>
  <c r="K527" i="3" s="1"/>
  <c r="J527" i="3" a="1"/>
  <c r="J527" i="3" s="1"/>
  <c r="I527" i="3" a="1"/>
  <c r="I527" i="3" s="1"/>
  <c r="H527" i="3" a="1"/>
  <c r="H527" i="3" s="1"/>
  <c r="G527" i="3" a="1"/>
  <c r="G527" i="3" s="1"/>
  <c r="F527" i="3" a="1"/>
  <c r="F527" i="3" s="1"/>
  <c r="E527" i="3" a="1"/>
  <c r="E527" i="3" s="1"/>
  <c r="D527" i="3" a="1"/>
  <c r="D527" i="3" s="1"/>
  <c r="C527" i="3" a="1"/>
  <c r="C527" i="3" s="1"/>
  <c r="A527" i="3" s="1"/>
  <c r="L526" i="3" a="1"/>
  <c r="L526" i="3" s="1"/>
  <c r="K526" i="3" a="1"/>
  <c r="K526" i="3" s="1"/>
  <c r="J526" i="3" a="1"/>
  <c r="J526" i="3" s="1"/>
  <c r="I526" i="3" a="1"/>
  <c r="I526" i="3" s="1"/>
  <c r="H526" i="3" a="1"/>
  <c r="H526" i="3" s="1"/>
  <c r="G526" i="3" a="1"/>
  <c r="G526" i="3" s="1"/>
  <c r="F526" i="3" a="1"/>
  <c r="F526" i="3" s="1"/>
  <c r="E526" i="3" a="1"/>
  <c r="E526" i="3" s="1"/>
  <c r="D526" i="3" a="1"/>
  <c r="D526" i="3" s="1"/>
  <c r="C526" i="3" a="1"/>
  <c r="C526" i="3" s="1"/>
  <c r="A526" i="3" s="1"/>
  <c r="L525" i="3" a="1"/>
  <c r="L525" i="3" s="1"/>
  <c r="K525" i="3" a="1"/>
  <c r="K525" i="3" s="1"/>
  <c r="J525" i="3" a="1"/>
  <c r="J525" i="3" s="1"/>
  <c r="I525" i="3" a="1"/>
  <c r="I525" i="3" s="1"/>
  <c r="H525" i="3" a="1"/>
  <c r="H525" i="3" s="1"/>
  <c r="G525" i="3" a="1"/>
  <c r="G525" i="3" s="1"/>
  <c r="F525" i="3" a="1"/>
  <c r="F525" i="3" s="1"/>
  <c r="E525" i="3" a="1"/>
  <c r="E525" i="3" s="1"/>
  <c r="D525" i="3" a="1"/>
  <c r="D525" i="3" s="1"/>
  <c r="C525" i="3" a="1"/>
  <c r="C525" i="3" s="1"/>
  <c r="A525" i="3" s="1"/>
  <c r="L524" i="3" a="1"/>
  <c r="L524" i="3" s="1"/>
  <c r="K524" i="3" a="1"/>
  <c r="K524" i="3" s="1"/>
  <c r="J524" i="3" a="1"/>
  <c r="J524" i="3" s="1"/>
  <c r="I524" i="3" a="1"/>
  <c r="I524" i="3" s="1"/>
  <c r="H524" i="3" a="1"/>
  <c r="H524" i="3" s="1"/>
  <c r="G524" i="3" a="1"/>
  <c r="G524" i="3" s="1"/>
  <c r="F524" i="3" a="1"/>
  <c r="F524" i="3" s="1"/>
  <c r="E524" i="3" a="1"/>
  <c r="E524" i="3" s="1"/>
  <c r="D524" i="3" a="1"/>
  <c r="D524" i="3" s="1"/>
  <c r="C524" i="3" a="1"/>
  <c r="C524" i="3" s="1"/>
  <c r="A524" i="3" s="1"/>
  <c r="L523" i="3" a="1"/>
  <c r="L523" i="3" s="1"/>
  <c r="K523" i="3" a="1"/>
  <c r="K523" i="3" s="1"/>
  <c r="J523" i="3" a="1"/>
  <c r="J523" i="3" s="1"/>
  <c r="I523" i="3" a="1"/>
  <c r="I523" i="3" s="1"/>
  <c r="H523" i="3" a="1"/>
  <c r="H523" i="3" s="1"/>
  <c r="G523" i="3" a="1"/>
  <c r="G523" i="3" s="1"/>
  <c r="F523" i="3" a="1"/>
  <c r="F523" i="3" s="1"/>
  <c r="E523" i="3" a="1"/>
  <c r="E523" i="3" s="1"/>
  <c r="D523" i="3" a="1"/>
  <c r="D523" i="3" s="1"/>
  <c r="C523" i="3" a="1"/>
  <c r="C523" i="3" s="1"/>
  <c r="A523" i="3" s="1"/>
  <c r="L522" i="3" a="1"/>
  <c r="L522" i="3" s="1"/>
  <c r="K522" i="3" a="1"/>
  <c r="K522" i="3" s="1"/>
  <c r="J522" i="3" a="1"/>
  <c r="J522" i="3" s="1"/>
  <c r="I522" i="3" a="1"/>
  <c r="I522" i="3" s="1"/>
  <c r="H522" i="3" a="1"/>
  <c r="H522" i="3" s="1"/>
  <c r="G522" i="3" a="1"/>
  <c r="G522" i="3" s="1"/>
  <c r="F522" i="3" a="1"/>
  <c r="F522" i="3" s="1"/>
  <c r="E522" i="3" a="1"/>
  <c r="E522" i="3" s="1"/>
  <c r="D522" i="3" a="1"/>
  <c r="D522" i="3" s="1"/>
  <c r="C522" i="3" a="1"/>
  <c r="C522" i="3" s="1"/>
  <c r="A522" i="3" s="1"/>
  <c r="L521" i="3" a="1"/>
  <c r="L521" i="3" s="1"/>
  <c r="K521" i="3" a="1"/>
  <c r="K521" i="3" s="1"/>
  <c r="J521" i="3" a="1"/>
  <c r="J521" i="3" s="1"/>
  <c r="I521" i="3" a="1"/>
  <c r="I521" i="3" s="1"/>
  <c r="H521" i="3" a="1"/>
  <c r="H521" i="3" s="1"/>
  <c r="G521" i="3" a="1"/>
  <c r="G521" i="3" s="1"/>
  <c r="F521" i="3" a="1"/>
  <c r="F521" i="3" s="1"/>
  <c r="E521" i="3" a="1"/>
  <c r="E521" i="3" s="1"/>
  <c r="D521" i="3" a="1"/>
  <c r="D521" i="3" s="1"/>
  <c r="C521" i="3" a="1"/>
  <c r="C521" i="3" s="1"/>
  <c r="A521" i="3" s="1"/>
  <c r="L520" i="3" a="1"/>
  <c r="L520" i="3" s="1"/>
  <c r="K520" i="3" a="1"/>
  <c r="K520" i="3" s="1"/>
  <c r="J520" i="3" a="1"/>
  <c r="J520" i="3" s="1"/>
  <c r="I520" i="3" a="1"/>
  <c r="I520" i="3" s="1"/>
  <c r="H520" i="3" a="1"/>
  <c r="H520" i="3" s="1"/>
  <c r="G520" i="3" a="1"/>
  <c r="G520" i="3" s="1"/>
  <c r="F520" i="3" a="1"/>
  <c r="F520" i="3" s="1"/>
  <c r="E520" i="3" a="1"/>
  <c r="E520" i="3" s="1"/>
  <c r="D520" i="3" a="1"/>
  <c r="D520" i="3" s="1"/>
  <c r="C520" i="3" a="1"/>
  <c r="C520" i="3" s="1"/>
  <c r="A520" i="3" s="1"/>
  <c r="L519" i="3" a="1"/>
  <c r="L519" i="3" s="1"/>
  <c r="K519" i="3" a="1"/>
  <c r="K519" i="3" s="1"/>
  <c r="J519" i="3" a="1"/>
  <c r="J519" i="3" s="1"/>
  <c r="I519" i="3" a="1"/>
  <c r="I519" i="3" s="1"/>
  <c r="H519" i="3" a="1"/>
  <c r="H519" i="3" s="1"/>
  <c r="G519" i="3" a="1"/>
  <c r="G519" i="3" s="1"/>
  <c r="F519" i="3" a="1"/>
  <c r="F519" i="3" s="1"/>
  <c r="E519" i="3" a="1"/>
  <c r="E519" i="3" s="1"/>
  <c r="D519" i="3" a="1"/>
  <c r="D519" i="3" s="1"/>
  <c r="C519" i="3" a="1"/>
  <c r="C519" i="3" s="1"/>
  <c r="A519" i="3" s="1"/>
  <c r="L518" i="3" a="1"/>
  <c r="L518" i="3" s="1"/>
  <c r="K518" i="3" a="1"/>
  <c r="K518" i="3" s="1"/>
  <c r="J518" i="3" a="1"/>
  <c r="J518" i="3" s="1"/>
  <c r="I518" i="3" a="1"/>
  <c r="I518" i="3" s="1"/>
  <c r="H518" i="3" a="1"/>
  <c r="H518" i="3" s="1"/>
  <c r="G518" i="3" a="1"/>
  <c r="G518" i="3" s="1"/>
  <c r="F518" i="3" a="1"/>
  <c r="F518" i="3" s="1"/>
  <c r="E518" i="3" a="1"/>
  <c r="E518" i="3" s="1"/>
  <c r="D518" i="3" a="1"/>
  <c r="D518" i="3" s="1"/>
  <c r="C518" i="3" a="1"/>
  <c r="C518" i="3" s="1"/>
  <c r="A518" i="3" s="1"/>
  <c r="L517" i="3" a="1"/>
  <c r="L517" i="3" s="1"/>
  <c r="K517" i="3" a="1"/>
  <c r="K517" i="3" s="1"/>
  <c r="J517" i="3" a="1"/>
  <c r="J517" i="3" s="1"/>
  <c r="I517" i="3" a="1"/>
  <c r="I517" i="3" s="1"/>
  <c r="H517" i="3" a="1"/>
  <c r="H517" i="3" s="1"/>
  <c r="G517" i="3" a="1"/>
  <c r="G517" i="3" s="1"/>
  <c r="F517" i="3" a="1"/>
  <c r="F517" i="3" s="1"/>
  <c r="E517" i="3" a="1"/>
  <c r="E517" i="3" s="1"/>
  <c r="D517" i="3" a="1"/>
  <c r="D517" i="3" s="1"/>
  <c r="C517" i="3" a="1"/>
  <c r="C517" i="3" s="1"/>
  <c r="A517" i="3" s="1"/>
  <c r="L516" i="3" a="1"/>
  <c r="L516" i="3" s="1"/>
  <c r="K516" i="3" a="1"/>
  <c r="K516" i="3" s="1"/>
  <c r="J516" i="3" a="1"/>
  <c r="J516" i="3" s="1"/>
  <c r="I516" i="3" a="1"/>
  <c r="I516" i="3" s="1"/>
  <c r="H516" i="3" a="1"/>
  <c r="H516" i="3" s="1"/>
  <c r="G516" i="3" a="1"/>
  <c r="G516" i="3" s="1"/>
  <c r="F516" i="3" a="1"/>
  <c r="F516" i="3" s="1"/>
  <c r="E516" i="3" a="1"/>
  <c r="E516" i="3" s="1"/>
  <c r="D516" i="3" a="1"/>
  <c r="D516" i="3" s="1"/>
  <c r="C516" i="3" a="1"/>
  <c r="C516" i="3" s="1"/>
  <c r="A516" i="3" s="1"/>
  <c r="L515" i="3" a="1"/>
  <c r="L515" i="3" s="1"/>
  <c r="K515" i="3" a="1"/>
  <c r="K515" i="3" s="1"/>
  <c r="J515" i="3" a="1"/>
  <c r="J515" i="3" s="1"/>
  <c r="I515" i="3" a="1"/>
  <c r="I515" i="3" s="1"/>
  <c r="H515" i="3" a="1"/>
  <c r="H515" i="3" s="1"/>
  <c r="G515" i="3" a="1"/>
  <c r="G515" i="3" s="1"/>
  <c r="F515" i="3" a="1"/>
  <c r="F515" i="3" s="1"/>
  <c r="E515" i="3" a="1"/>
  <c r="E515" i="3" s="1"/>
  <c r="D515" i="3" a="1"/>
  <c r="D515" i="3" s="1"/>
  <c r="C515" i="3" a="1"/>
  <c r="C515" i="3" s="1"/>
  <c r="A515" i="3" s="1"/>
  <c r="L514" i="3" a="1"/>
  <c r="L514" i="3" s="1"/>
  <c r="K514" i="3" a="1"/>
  <c r="K514" i="3" s="1"/>
  <c r="J514" i="3" a="1"/>
  <c r="J514" i="3" s="1"/>
  <c r="I514" i="3" a="1"/>
  <c r="I514" i="3" s="1"/>
  <c r="H514" i="3" a="1"/>
  <c r="H514" i="3" s="1"/>
  <c r="G514" i="3" a="1"/>
  <c r="G514" i="3" s="1"/>
  <c r="F514" i="3" a="1"/>
  <c r="F514" i="3" s="1"/>
  <c r="E514" i="3" a="1"/>
  <c r="E514" i="3" s="1"/>
  <c r="D514" i="3" a="1"/>
  <c r="D514" i="3" s="1"/>
  <c r="C514" i="3" a="1"/>
  <c r="C514" i="3" s="1"/>
  <c r="A514" i="3" s="1"/>
  <c r="L513" i="3" a="1"/>
  <c r="L513" i="3" s="1"/>
  <c r="K513" i="3" a="1"/>
  <c r="K513" i="3" s="1"/>
  <c r="J513" i="3" a="1"/>
  <c r="J513" i="3" s="1"/>
  <c r="I513" i="3" a="1"/>
  <c r="I513" i="3" s="1"/>
  <c r="H513" i="3" a="1"/>
  <c r="H513" i="3" s="1"/>
  <c r="G513" i="3" a="1"/>
  <c r="G513" i="3" s="1"/>
  <c r="F513" i="3" a="1"/>
  <c r="F513" i="3" s="1"/>
  <c r="E513" i="3" a="1"/>
  <c r="E513" i="3" s="1"/>
  <c r="D513" i="3" a="1"/>
  <c r="D513" i="3" s="1"/>
  <c r="C513" i="3" a="1"/>
  <c r="C513" i="3" s="1"/>
  <c r="A513" i="3" s="1"/>
  <c r="L512" i="3" a="1"/>
  <c r="L512" i="3" s="1"/>
  <c r="K512" i="3" a="1"/>
  <c r="K512" i="3" s="1"/>
  <c r="J512" i="3" a="1"/>
  <c r="J512" i="3" s="1"/>
  <c r="I512" i="3" a="1"/>
  <c r="I512" i="3" s="1"/>
  <c r="H512" i="3" a="1"/>
  <c r="H512" i="3" s="1"/>
  <c r="G512" i="3" a="1"/>
  <c r="G512" i="3" s="1"/>
  <c r="F512" i="3" a="1"/>
  <c r="F512" i="3" s="1"/>
  <c r="E512" i="3" a="1"/>
  <c r="E512" i="3" s="1"/>
  <c r="D512" i="3" a="1"/>
  <c r="D512" i="3" s="1"/>
  <c r="C512" i="3" a="1"/>
  <c r="C512" i="3" s="1"/>
  <c r="A512" i="3" s="1"/>
  <c r="L511" i="3" a="1"/>
  <c r="L511" i="3" s="1"/>
  <c r="K511" i="3" a="1"/>
  <c r="K511" i="3" s="1"/>
  <c r="J511" i="3" a="1"/>
  <c r="J511" i="3" s="1"/>
  <c r="I511" i="3" a="1"/>
  <c r="I511" i="3" s="1"/>
  <c r="H511" i="3" a="1"/>
  <c r="H511" i="3" s="1"/>
  <c r="G511" i="3" a="1"/>
  <c r="G511" i="3" s="1"/>
  <c r="F511" i="3" a="1"/>
  <c r="F511" i="3" s="1"/>
  <c r="E511" i="3" a="1"/>
  <c r="E511" i="3" s="1"/>
  <c r="D511" i="3" a="1"/>
  <c r="D511" i="3" s="1"/>
  <c r="C511" i="3" a="1"/>
  <c r="C511" i="3" s="1"/>
  <c r="A511" i="3" s="1"/>
  <c r="L510" i="3" a="1"/>
  <c r="L510" i="3" s="1"/>
  <c r="K510" i="3" a="1"/>
  <c r="K510" i="3" s="1"/>
  <c r="J510" i="3" a="1"/>
  <c r="J510" i="3" s="1"/>
  <c r="I510" i="3" a="1"/>
  <c r="I510" i="3" s="1"/>
  <c r="H510" i="3" a="1"/>
  <c r="H510" i="3" s="1"/>
  <c r="G510" i="3" a="1"/>
  <c r="G510" i="3" s="1"/>
  <c r="F510" i="3" a="1"/>
  <c r="F510" i="3" s="1"/>
  <c r="E510" i="3" a="1"/>
  <c r="E510" i="3" s="1"/>
  <c r="D510" i="3" a="1"/>
  <c r="D510" i="3" s="1"/>
  <c r="C510" i="3" a="1"/>
  <c r="C510" i="3" s="1"/>
  <c r="A510" i="3" s="1"/>
  <c r="L509" i="3" a="1"/>
  <c r="L509" i="3" s="1"/>
  <c r="K509" i="3" a="1"/>
  <c r="K509" i="3" s="1"/>
  <c r="J509" i="3" a="1"/>
  <c r="J509" i="3" s="1"/>
  <c r="I509" i="3" a="1"/>
  <c r="I509" i="3" s="1"/>
  <c r="H509" i="3" a="1"/>
  <c r="H509" i="3" s="1"/>
  <c r="G509" i="3" a="1"/>
  <c r="G509" i="3" s="1"/>
  <c r="F509" i="3" a="1"/>
  <c r="F509" i="3" s="1"/>
  <c r="E509" i="3" a="1"/>
  <c r="E509" i="3" s="1"/>
  <c r="D509" i="3" a="1"/>
  <c r="D509" i="3" s="1"/>
  <c r="C509" i="3" a="1"/>
  <c r="C509" i="3" s="1"/>
  <c r="A509" i="3" s="1"/>
  <c r="L508" i="3" a="1"/>
  <c r="L508" i="3" s="1"/>
  <c r="K508" i="3" a="1"/>
  <c r="K508" i="3" s="1"/>
  <c r="J508" i="3" a="1"/>
  <c r="J508" i="3" s="1"/>
  <c r="I508" i="3" a="1"/>
  <c r="I508" i="3" s="1"/>
  <c r="H508" i="3" a="1"/>
  <c r="H508" i="3" s="1"/>
  <c r="G508" i="3" a="1"/>
  <c r="G508" i="3" s="1"/>
  <c r="F508" i="3" a="1"/>
  <c r="F508" i="3" s="1"/>
  <c r="E508" i="3" a="1"/>
  <c r="E508" i="3" s="1"/>
  <c r="D508" i="3" a="1"/>
  <c r="D508" i="3" s="1"/>
  <c r="C508" i="3" a="1"/>
  <c r="C508" i="3" s="1"/>
  <c r="A508" i="3" s="1"/>
  <c r="L507" i="3" a="1"/>
  <c r="L507" i="3" s="1"/>
  <c r="K507" i="3" a="1"/>
  <c r="K507" i="3" s="1"/>
  <c r="J507" i="3" a="1"/>
  <c r="J507" i="3" s="1"/>
  <c r="I507" i="3" a="1"/>
  <c r="I507" i="3" s="1"/>
  <c r="H507" i="3" a="1"/>
  <c r="H507" i="3" s="1"/>
  <c r="G507" i="3" a="1"/>
  <c r="G507" i="3" s="1"/>
  <c r="F507" i="3" a="1"/>
  <c r="F507" i="3" s="1"/>
  <c r="E507" i="3" a="1"/>
  <c r="E507" i="3" s="1"/>
  <c r="D507" i="3" a="1"/>
  <c r="D507" i="3" s="1"/>
  <c r="C507" i="3" a="1"/>
  <c r="C507" i="3" s="1"/>
  <c r="A507" i="3" s="1"/>
  <c r="L506" i="3" a="1"/>
  <c r="L506" i="3" s="1"/>
  <c r="K506" i="3" a="1"/>
  <c r="K506" i="3" s="1"/>
  <c r="J506" i="3" a="1"/>
  <c r="J506" i="3" s="1"/>
  <c r="I506" i="3" a="1"/>
  <c r="I506" i="3" s="1"/>
  <c r="H506" i="3" a="1"/>
  <c r="H506" i="3" s="1"/>
  <c r="G506" i="3" a="1"/>
  <c r="G506" i="3" s="1"/>
  <c r="F506" i="3" a="1"/>
  <c r="F506" i="3" s="1"/>
  <c r="E506" i="3" a="1"/>
  <c r="E506" i="3" s="1"/>
  <c r="D506" i="3" a="1"/>
  <c r="D506" i="3" s="1"/>
  <c r="C506" i="3" a="1"/>
  <c r="C506" i="3" s="1"/>
  <c r="A506" i="3" s="1"/>
  <c r="L505" i="3" a="1"/>
  <c r="L505" i="3" s="1"/>
  <c r="K505" i="3" a="1"/>
  <c r="K505" i="3" s="1"/>
  <c r="J505" i="3" a="1"/>
  <c r="J505" i="3" s="1"/>
  <c r="I505" i="3" a="1"/>
  <c r="I505" i="3" s="1"/>
  <c r="H505" i="3" a="1"/>
  <c r="H505" i="3" s="1"/>
  <c r="G505" i="3" a="1"/>
  <c r="G505" i="3" s="1"/>
  <c r="F505" i="3" a="1"/>
  <c r="F505" i="3" s="1"/>
  <c r="E505" i="3" a="1"/>
  <c r="E505" i="3" s="1"/>
  <c r="D505" i="3" a="1"/>
  <c r="D505" i="3" s="1"/>
  <c r="C505" i="3" a="1"/>
  <c r="C505" i="3" s="1"/>
  <c r="A505" i="3" s="1"/>
  <c r="L504" i="3" a="1"/>
  <c r="L504" i="3" s="1"/>
  <c r="K504" i="3" a="1"/>
  <c r="K504" i="3" s="1"/>
  <c r="J504" i="3" a="1"/>
  <c r="J504" i="3" s="1"/>
  <c r="I504" i="3" a="1"/>
  <c r="I504" i="3" s="1"/>
  <c r="H504" i="3" a="1"/>
  <c r="H504" i="3" s="1"/>
  <c r="G504" i="3" a="1"/>
  <c r="G504" i="3" s="1"/>
  <c r="F504" i="3" a="1"/>
  <c r="F504" i="3" s="1"/>
  <c r="E504" i="3" a="1"/>
  <c r="E504" i="3" s="1"/>
  <c r="D504" i="3" a="1"/>
  <c r="D504" i="3" s="1"/>
  <c r="C504" i="3" a="1"/>
  <c r="C504" i="3" s="1"/>
  <c r="A504" i="3" s="1"/>
  <c r="L503" i="3" a="1"/>
  <c r="L503" i="3" s="1"/>
  <c r="K503" i="3" a="1"/>
  <c r="K503" i="3" s="1"/>
  <c r="J503" i="3" a="1"/>
  <c r="J503" i="3" s="1"/>
  <c r="I503" i="3" a="1"/>
  <c r="I503" i="3" s="1"/>
  <c r="H503" i="3" a="1"/>
  <c r="H503" i="3" s="1"/>
  <c r="G503" i="3" a="1"/>
  <c r="G503" i="3" s="1"/>
  <c r="F503" i="3" a="1"/>
  <c r="F503" i="3" s="1"/>
  <c r="E503" i="3" a="1"/>
  <c r="E503" i="3" s="1"/>
  <c r="D503" i="3" a="1"/>
  <c r="D503" i="3" s="1"/>
  <c r="C503" i="3" a="1"/>
  <c r="C503" i="3" s="1"/>
  <c r="A503" i="3" s="1"/>
  <c r="L502" i="3" a="1"/>
  <c r="L502" i="3" s="1"/>
  <c r="K502" i="3" a="1"/>
  <c r="K502" i="3" s="1"/>
  <c r="J502" i="3" a="1"/>
  <c r="J502" i="3" s="1"/>
  <c r="I502" i="3" a="1"/>
  <c r="I502" i="3" s="1"/>
  <c r="H502" i="3" a="1"/>
  <c r="H502" i="3" s="1"/>
  <c r="G502" i="3" a="1"/>
  <c r="G502" i="3" s="1"/>
  <c r="F502" i="3" a="1"/>
  <c r="F502" i="3" s="1"/>
  <c r="E502" i="3" a="1"/>
  <c r="E502" i="3" s="1"/>
  <c r="D502" i="3" a="1"/>
  <c r="D502" i="3" s="1"/>
  <c r="C502" i="3" a="1"/>
  <c r="C502" i="3" s="1"/>
  <c r="A502" i="3" s="1"/>
  <c r="L501" i="3" a="1"/>
  <c r="L501" i="3" s="1"/>
  <c r="K501" i="3" a="1"/>
  <c r="K501" i="3" s="1"/>
  <c r="J501" i="3" a="1"/>
  <c r="J501" i="3" s="1"/>
  <c r="I501" i="3" a="1"/>
  <c r="I501" i="3" s="1"/>
  <c r="H501" i="3" a="1"/>
  <c r="H501" i="3" s="1"/>
  <c r="G501" i="3" a="1"/>
  <c r="G501" i="3" s="1"/>
  <c r="F501" i="3" a="1"/>
  <c r="F501" i="3" s="1"/>
  <c r="E501" i="3" a="1"/>
  <c r="E501" i="3" s="1"/>
  <c r="D501" i="3" a="1"/>
  <c r="D501" i="3" s="1"/>
  <c r="C501" i="3" a="1"/>
  <c r="C501" i="3" s="1"/>
  <c r="A501" i="3" s="1"/>
  <c r="L500" i="3" a="1"/>
  <c r="L500" i="3" s="1"/>
  <c r="K500" i="3" a="1"/>
  <c r="K500" i="3" s="1"/>
  <c r="J500" i="3" a="1"/>
  <c r="J500" i="3" s="1"/>
  <c r="I500" i="3" a="1"/>
  <c r="I500" i="3" s="1"/>
  <c r="H500" i="3" a="1"/>
  <c r="H500" i="3" s="1"/>
  <c r="G500" i="3" a="1"/>
  <c r="G500" i="3" s="1"/>
  <c r="F500" i="3" a="1"/>
  <c r="F500" i="3" s="1"/>
  <c r="E500" i="3" a="1"/>
  <c r="E500" i="3" s="1"/>
  <c r="D500" i="3" a="1"/>
  <c r="D500" i="3" s="1"/>
  <c r="C500" i="3" a="1"/>
  <c r="C500" i="3" s="1"/>
  <c r="A500" i="3" s="1"/>
  <c r="L499" i="3" a="1"/>
  <c r="L499" i="3" s="1"/>
  <c r="K499" i="3" a="1"/>
  <c r="K499" i="3" s="1"/>
  <c r="J499" i="3" a="1"/>
  <c r="J499" i="3" s="1"/>
  <c r="I499" i="3" a="1"/>
  <c r="I499" i="3" s="1"/>
  <c r="H499" i="3" a="1"/>
  <c r="H499" i="3" s="1"/>
  <c r="G499" i="3" a="1"/>
  <c r="G499" i="3" s="1"/>
  <c r="F499" i="3" a="1"/>
  <c r="F499" i="3" s="1"/>
  <c r="E499" i="3" a="1"/>
  <c r="E499" i="3" s="1"/>
  <c r="D499" i="3" a="1"/>
  <c r="D499" i="3" s="1"/>
  <c r="C499" i="3" a="1"/>
  <c r="C499" i="3" s="1"/>
  <c r="A499" i="3" s="1"/>
  <c r="L498" i="3" a="1"/>
  <c r="L498" i="3" s="1"/>
  <c r="K498" i="3" a="1"/>
  <c r="K498" i="3" s="1"/>
  <c r="J498" i="3" a="1"/>
  <c r="J498" i="3" s="1"/>
  <c r="I498" i="3" a="1"/>
  <c r="I498" i="3" s="1"/>
  <c r="H498" i="3" a="1"/>
  <c r="H498" i="3" s="1"/>
  <c r="G498" i="3" a="1"/>
  <c r="G498" i="3" s="1"/>
  <c r="F498" i="3" a="1"/>
  <c r="F498" i="3" s="1"/>
  <c r="E498" i="3" a="1"/>
  <c r="E498" i="3" s="1"/>
  <c r="D498" i="3" a="1"/>
  <c r="D498" i="3" s="1"/>
  <c r="C498" i="3" a="1"/>
  <c r="C498" i="3" s="1"/>
  <c r="A498" i="3" s="1"/>
  <c r="L497" i="3" a="1"/>
  <c r="L497" i="3" s="1"/>
  <c r="K497" i="3" a="1"/>
  <c r="K497" i="3" s="1"/>
  <c r="J497" i="3" a="1"/>
  <c r="J497" i="3" s="1"/>
  <c r="I497" i="3" a="1"/>
  <c r="I497" i="3" s="1"/>
  <c r="H497" i="3" a="1"/>
  <c r="H497" i="3" s="1"/>
  <c r="G497" i="3" a="1"/>
  <c r="G497" i="3" s="1"/>
  <c r="F497" i="3" a="1"/>
  <c r="F497" i="3" s="1"/>
  <c r="E497" i="3" a="1"/>
  <c r="E497" i="3" s="1"/>
  <c r="D497" i="3" a="1"/>
  <c r="D497" i="3" s="1"/>
  <c r="C497" i="3" a="1"/>
  <c r="C497" i="3" s="1"/>
  <c r="A497" i="3" s="1"/>
  <c r="L496" i="3" a="1"/>
  <c r="L496" i="3" s="1"/>
  <c r="K496" i="3" a="1"/>
  <c r="K496" i="3" s="1"/>
  <c r="J496" i="3" a="1"/>
  <c r="J496" i="3" s="1"/>
  <c r="I496" i="3" a="1"/>
  <c r="I496" i="3" s="1"/>
  <c r="H496" i="3" a="1"/>
  <c r="H496" i="3" s="1"/>
  <c r="G496" i="3" a="1"/>
  <c r="G496" i="3" s="1"/>
  <c r="F496" i="3" a="1"/>
  <c r="F496" i="3" s="1"/>
  <c r="E496" i="3" a="1"/>
  <c r="E496" i="3" s="1"/>
  <c r="D496" i="3" a="1"/>
  <c r="D496" i="3" s="1"/>
  <c r="C496" i="3" a="1"/>
  <c r="C496" i="3" s="1"/>
  <c r="A496" i="3" s="1"/>
  <c r="L495" i="3" a="1"/>
  <c r="L495" i="3" s="1"/>
  <c r="K495" i="3" a="1"/>
  <c r="K495" i="3" s="1"/>
  <c r="J495" i="3" a="1"/>
  <c r="J495" i="3" s="1"/>
  <c r="I495" i="3" a="1"/>
  <c r="I495" i="3" s="1"/>
  <c r="H495" i="3" a="1"/>
  <c r="H495" i="3" s="1"/>
  <c r="G495" i="3" a="1"/>
  <c r="G495" i="3" s="1"/>
  <c r="F495" i="3" a="1"/>
  <c r="F495" i="3" s="1"/>
  <c r="E495" i="3" a="1"/>
  <c r="E495" i="3" s="1"/>
  <c r="D495" i="3" a="1"/>
  <c r="D495" i="3" s="1"/>
  <c r="C495" i="3" a="1"/>
  <c r="C495" i="3" s="1"/>
  <c r="A495" i="3" s="1"/>
  <c r="L494" i="3" a="1"/>
  <c r="L494" i="3" s="1"/>
  <c r="K494" i="3" a="1"/>
  <c r="K494" i="3" s="1"/>
  <c r="J494" i="3" a="1"/>
  <c r="J494" i="3" s="1"/>
  <c r="I494" i="3" a="1"/>
  <c r="I494" i="3" s="1"/>
  <c r="H494" i="3" a="1"/>
  <c r="H494" i="3" s="1"/>
  <c r="G494" i="3" a="1"/>
  <c r="G494" i="3" s="1"/>
  <c r="F494" i="3" a="1"/>
  <c r="F494" i="3" s="1"/>
  <c r="E494" i="3" a="1"/>
  <c r="E494" i="3" s="1"/>
  <c r="D494" i="3" a="1"/>
  <c r="D494" i="3" s="1"/>
  <c r="C494" i="3" a="1"/>
  <c r="C494" i="3" s="1"/>
  <c r="A494" i="3" s="1"/>
  <c r="L493" i="3" a="1"/>
  <c r="L493" i="3" s="1"/>
  <c r="K493" i="3" a="1"/>
  <c r="K493" i="3" s="1"/>
  <c r="J493" i="3" a="1"/>
  <c r="J493" i="3" s="1"/>
  <c r="I493" i="3" a="1"/>
  <c r="I493" i="3" s="1"/>
  <c r="H493" i="3" a="1"/>
  <c r="H493" i="3" s="1"/>
  <c r="G493" i="3" a="1"/>
  <c r="G493" i="3" s="1"/>
  <c r="F493" i="3" a="1"/>
  <c r="F493" i="3" s="1"/>
  <c r="E493" i="3" a="1"/>
  <c r="E493" i="3" s="1"/>
  <c r="D493" i="3" a="1"/>
  <c r="D493" i="3" s="1"/>
  <c r="C493" i="3" a="1"/>
  <c r="C493" i="3" s="1"/>
  <c r="A493" i="3" s="1"/>
  <c r="L492" i="3" a="1"/>
  <c r="L492" i="3" s="1"/>
  <c r="K492" i="3" a="1"/>
  <c r="K492" i="3" s="1"/>
  <c r="J492" i="3" a="1"/>
  <c r="J492" i="3" s="1"/>
  <c r="I492" i="3" a="1"/>
  <c r="I492" i="3" s="1"/>
  <c r="H492" i="3" a="1"/>
  <c r="H492" i="3" s="1"/>
  <c r="G492" i="3" a="1"/>
  <c r="G492" i="3" s="1"/>
  <c r="F492" i="3" a="1"/>
  <c r="F492" i="3" s="1"/>
  <c r="E492" i="3" a="1"/>
  <c r="E492" i="3" s="1"/>
  <c r="D492" i="3" a="1"/>
  <c r="D492" i="3" s="1"/>
  <c r="C492" i="3" a="1"/>
  <c r="C492" i="3" s="1"/>
  <c r="A492" i="3" s="1"/>
  <c r="L491" i="3" a="1"/>
  <c r="L491" i="3" s="1"/>
  <c r="K491" i="3" a="1"/>
  <c r="K491" i="3" s="1"/>
  <c r="J491" i="3" a="1"/>
  <c r="J491" i="3" s="1"/>
  <c r="I491" i="3" a="1"/>
  <c r="I491" i="3" s="1"/>
  <c r="H491" i="3" a="1"/>
  <c r="H491" i="3" s="1"/>
  <c r="G491" i="3" a="1"/>
  <c r="G491" i="3" s="1"/>
  <c r="F491" i="3" a="1"/>
  <c r="F491" i="3" s="1"/>
  <c r="E491" i="3" a="1"/>
  <c r="E491" i="3" s="1"/>
  <c r="D491" i="3" a="1"/>
  <c r="D491" i="3" s="1"/>
  <c r="C491" i="3" a="1"/>
  <c r="C491" i="3" s="1"/>
  <c r="A491" i="3" s="1"/>
  <c r="L490" i="3" a="1"/>
  <c r="L490" i="3" s="1"/>
  <c r="K490" i="3" a="1"/>
  <c r="K490" i="3" s="1"/>
  <c r="J490" i="3" a="1"/>
  <c r="J490" i="3" s="1"/>
  <c r="I490" i="3" a="1"/>
  <c r="I490" i="3" s="1"/>
  <c r="H490" i="3" a="1"/>
  <c r="H490" i="3" s="1"/>
  <c r="G490" i="3" a="1"/>
  <c r="G490" i="3" s="1"/>
  <c r="F490" i="3" a="1"/>
  <c r="F490" i="3" s="1"/>
  <c r="E490" i="3" a="1"/>
  <c r="E490" i="3" s="1"/>
  <c r="D490" i="3" a="1"/>
  <c r="D490" i="3" s="1"/>
  <c r="C490" i="3" a="1"/>
  <c r="C490" i="3" s="1"/>
  <c r="A490" i="3" s="1"/>
  <c r="L489" i="3" a="1"/>
  <c r="L489" i="3" s="1"/>
  <c r="K489" i="3" a="1"/>
  <c r="K489" i="3" s="1"/>
  <c r="J489" i="3" a="1"/>
  <c r="J489" i="3" s="1"/>
  <c r="I489" i="3" a="1"/>
  <c r="I489" i="3" s="1"/>
  <c r="H489" i="3" a="1"/>
  <c r="H489" i="3" s="1"/>
  <c r="G489" i="3" a="1"/>
  <c r="G489" i="3" s="1"/>
  <c r="F489" i="3" a="1"/>
  <c r="F489" i="3" s="1"/>
  <c r="E489" i="3" a="1"/>
  <c r="E489" i="3" s="1"/>
  <c r="D489" i="3" a="1"/>
  <c r="D489" i="3" s="1"/>
  <c r="C489" i="3" a="1"/>
  <c r="C489" i="3" s="1"/>
  <c r="A489" i="3" s="1"/>
  <c r="L488" i="3" a="1"/>
  <c r="L488" i="3" s="1"/>
  <c r="K488" i="3" a="1"/>
  <c r="K488" i="3" s="1"/>
  <c r="J488" i="3" a="1"/>
  <c r="J488" i="3" s="1"/>
  <c r="I488" i="3" a="1"/>
  <c r="I488" i="3" s="1"/>
  <c r="H488" i="3" a="1"/>
  <c r="H488" i="3" s="1"/>
  <c r="G488" i="3" a="1"/>
  <c r="G488" i="3" s="1"/>
  <c r="F488" i="3" a="1"/>
  <c r="F488" i="3" s="1"/>
  <c r="E488" i="3" a="1"/>
  <c r="E488" i="3" s="1"/>
  <c r="D488" i="3" a="1"/>
  <c r="D488" i="3" s="1"/>
  <c r="C488" i="3" a="1"/>
  <c r="C488" i="3" s="1"/>
  <c r="A488" i="3" s="1"/>
  <c r="L487" i="3" a="1"/>
  <c r="L487" i="3" s="1"/>
  <c r="K487" i="3" a="1"/>
  <c r="K487" i="3" s="1"/>
  <c r="J487" i="3" a="1"/>
  <c r="J487" i="3" s="1"/>
  <c r="I487" i="3" a="1"/>
  <c r="I487" i="3" s="1"/>
  <c r="H487" i="3" a="1"/>
  <c r="H487" i="3" s="1"/>
  <c r="G487" i="3" a="1"/>
  <c r="G487" i="3" s="1"/>
  <c r="F487" i="3" a="1"/>
  <c r="F487" i="3" s="1"/>
  <c r="E487" i="3" a="1"/>
  <c r="E487" i="3" s="1"/>
  <c r="D487" i="3" a="1"/>
  <c r="D487" i="3" s="1"/>
  <c r="C487" i="3" a="1"/>
  <c r="C487" i="3" s="1"/>
  <c r="A487" i="3" s="1"/>
  <c r="L486" i="3" a="1"/>
  <c r="L486" i="3" s="1"/>
  <c r="K486" i="3" a="1"/>
  <c r="K486" i="3" s="1"/>
  <c r="J486" i="3" a="1"/>
  <c r="J486" i="3" s="1"/>
  <c r="I486" i="3" a="1"/>
  <c r="I486" i="3" s="1"/>
  <c r="H486" i="3" a="1"/>
  <c r="H486" i="3" s="1"/>
  <c r="G486" i="3" a="1"/>
  <c r="G486" i="3" s="1"/>
  <c r="F486" i="3" a="1"/>
  <c r="F486" i="3" s="1"/>
  <c r="E486" i="3" a="1"/>
  <c r="E486" i="3" s="1"/>
  <c r="D486" i="3" a="1"/>
  <c r="D486" i="3" s="1"/>
  <c r="C486" i="3" a="1"/>
  <c r="C486" i="3" s="1"/>
  <c r="A486" i="3" s="1"/>
  <c r="L485" i="3" a="1"/>
  <c r="L485" i="3" s="1"/>
  <c r="K485" i="3" a="1"/>
  <c r="K485" i="3" s="1"/>
  <c r="J485" i="3" a="1"/>
  <c r="J485" i="3" s="1"/>
  <c r="I485" i="3" a="1"/>
  <c r="I485" i="3" s="1"/>
  <c r="H485" i="3" a="1"/>
  <c r="H485" i="3" s="1"/>
  <c r="G485" i="3" a="1"/>
  <c r="G485" i="3" s="1"/>
  <c r="F485" i="3" a="1"/>
  <c r="F485" i="3" s="1"/>
  <c r="E485" i="3" a="1"/>
  <c r="E485" i="3" s="1"/>
  <c r="D485" i="3" a="1"/>
  <c r="D485" i="3" s="1"/>
  <c r="C485" i="3" a="1"/>
  <c r="C485" i="3" s="1"/>
  <c r="A485" i="3" s="1"/>
  <c r="L484" i="3" a="1"/>
  <c r="L484" i="3" s="1"/>
  <c r="K484" i="3" a="1"/>
  <c r="K484" i="3" s="1"/>
  <c r="J484" i="3" a="1"/>
  <c r="J484" i="3" s="1"/>
  <c r="I484" i="3" a="1"/>
  <c r="I484" i="3" s="1"/>
  <c r="H484" i="3" a="1"/>
  <c r="H484" i="3" s="1"/>
  <c r="G484" i="3" a="1"/>
  <c r="G484" i="3" s="1"/>
  <c r="F484" i="3" a="1"/>
  <c r="F484" i="3" s="1"/>
  <c r="E484" i="3" a="1"/>
  <c r="E484" i="3" s="1"/>
  <c r="D484" i="3" a="1"/>
  <c r="D484" i="3" s="1"/>
  <c r="C484" i="3" a="1"/>
  <c r="C484" i="3" s="1"/>
  <c r="A484" i="3" s="1"/>
  <c r="L483" i="3" a="1"/>
  <c r="L483" i="3" s="1"/>
  <c r="K483" i="3" a="1"/>
  <c r="K483" i="3" s="1"/>
  <c r="J483" i="3" a="1"/>
  <c r="J483" i="3" s="1"/>
  <c r="I483" i="3" a="1"/>
  <c r="I483" i="3" s="1"/>
  <c r="H483" i="3" a="1"/>
  <c r="H483" i="3" s="1"/>
  <c r="G483" i="3" a="1"/>
  <c r="G483" i="3" s="1"/>
  <c r="F483" i="3" a="1"/>
  <c r="F483" i="3" s="1"/>
  <c r="E483" i="3" a="1"/>
  <c r="E483" i="3" s="1"/>
  <c r="D483" i="3" a="1"/>
  <c r="D483" i="3" s="1"/>
  <c r="C483" i="3" a="1"/>
  <c r="C483" i="3" s="1"/>
  <c r="A483" i="3" s="1"/>
  <c r="L482" i="3" a="1"/>
  <c r="L482" i="3" s="1"/>
  <c r="K482" i="3" a="1"/>
  <c r="K482" i="3" s="1"/>
  <c r="J482" i="3" a="1"/>
  <c r="J482" i="3" s="1"/>
  <c r="I482" i="3" a="1"/>
  <c r="I482" i="3" s="1"/>
  <c r="H482" i="3" a="1"/>
  <c r="H482" i="3" s="1"/>
  <c r="G482" i="3" a="1"/>
  <c r="G482" i="3" s="1"/>
  <c r="F482" i="3" a="1"/>
  <c r="F482" i="3" s="1"/>
  <c r="E482" i="3" a="1"/>
  <c r="E482" i="3" s="1"/>
  <c r="D482" i="3" a="1"/>
  <c r="D482" i="3" s="1"/>
  <c r="C482" i="3" a="1"/>
  <c r="C482" i="3" s="1"/>
  <c r="A482" i="3" s="1"/>
  <c r="L481" i="3" a="1"/>
  <c r="L481" i="3" s="1"/>
  <c r="K481" i="3" a="1"/>
  <c r="K481" i="3" s="1"/>
  <c r="J481" i="3" a="1"/>
  <c r="J481" i="3" s="1"/>
  <c r="I481" i="3" a="1"/>
  <c r="I481" i="3" s="1"/>
  <c r="H481" i="3" a="1"/>
  <c r="H481" i="3" s="1"/>
  <c r="G481" i="3" a="1"/>
  <c r="G481" i="3" s="1"/>
  <c r="F481" i="3" a="1"/>
  <c r="F481" i="3" s="1"/>
  <c r="E481" i="3" a="1"/>
  <c r="E481" i="3" s="1"/>
  <c r="D481" i="3" a="1"/>
  <c r="D481" i="3" s="1"/>
  <c r="C481" i="3" a="1"/>
  <c r="C481" i="3" s="1"/>
  <c r="A481" i="3" s="1"/>
  <c r="L480" i="3" a="1"/>
  <c r="L480" i="3" s="1"/>
  <c r="K480" i="3" a="1"/>
  <c r="K480" i="3" s="1"/>
  <c r="J480" i="3" a="1"/>
  <c r="J480" i="3" s="1"/>
  <c r="I480" i="3" a="1"/>
  <c r="I480" i="3" s="1"/>
  <c r="H480" i="3" a="1"/>
  <c r="H480" i="3" s="1"/>
  <c r="G480" i="3" a="1"/>
  <c r="G480" i="3" s="1"/>
  <c r="F480" i="3" a="1"/>
  <c r="F480" i="3" s="1"/>
  <c r="E480" i="3" a="1"/>
  <c r="E480" i="3" s="1"/>
  <c r="D480" i="3" a="1"/>
  <c r="D480" i="3" s="1"/>
  <c r="C480" i="3" a="1"/>
  <c r="C480" i="3" s="1"/>
  <c r="A480" i="3" s="1"/>
  <c r="L479" i="3" a="1"/>
  <c r="L479" i="3" s="1"/>
  <c r="K479" i="3" a="1"/>
  <c r="K479" i="3" s="1"/>
  <c r="J479" i="3" a="1"/>
  <c r="J479" i="3" s="1"/>
  <c r="I479" i="3" a="1"/>
  <c r="I479" i="3" s="1"/>
  <c r="H479" i="3" a="1"/>
  <c r="H479" i="3" s="1"/>
  <c r="G479" i="3" a="1"/>
  <c r="G479" i="3" s="1"/>
  <c r="F479" i="3" a="1"/>
  <c r="F479" i="3" s="1"/>
  <c r="E479" i="3" a="1"/>
  <c r="E479" i="3" s="1"/>
  <c r="D479" i="3" a="1"/>
  <c r="D479" i="3" s="1"/>
  <c r="C479" i="3" a="1"/>
  <c r="C479" i="3" s="1"/>
  <c r="A479" i="3" s="1"/>
  <c r="L478" i="3" a="1"/>
  <c r="L478" i="3" s="1"/>
  <c r="K478" i="3" a="1"/>
  <c r="K478" i="3" s="1"/>
  <c r="J478" i="3" a="1"/>
  <c r="J478" i="3" s="1"/>
  <c r="I478" i="3" a="1"/>
  <c r="I478" i="3" s="1"/>
  <c r="H478" i="3" a="1"/>
  <c r="H478" i="3" s="1"/>
  <c r="G478" i="3" a="1"/>
  <c r="G478" i="3" s="1"/>
  <c r="F478" i="3" a="1"/>
  <c r="F478" i="3" s="1"/>
  <c r="E478" i="3" a="1"/>
  <c r="E478" i="3" s="1"/>
  <c r="D478" i="3" a="1"/>
  <c r="D478" i="3" s="1"/>
  <c r="C478" i="3" a="1"/>
  <c r="C478" i="3" s="1"/>
  <c r="A478" i="3" s="1"/>
  <c r="L477" i="3" a="1"/>
  <c r="L477" i="3" s="1"/>
  <c r="K477" i="3" a="1"/>
  <c r="K477" i="3" s="1"/>
  <c r="J477" i="3" a="1"/>
  <c r="J477" i="3" s="1"/>
  <c r="I477" i="3" a="1"/>
  <c r="I477" i="3" s="1"/>
  <c r="H477" i="3" a="1"/>
  <c r="H477" i="3" s="1"/>
  <c r="G477" i="3" a="1"/>
  <c r="G477" i="3" s="1"/>
  <c r="F477" i="3" a="1"/>
  <c r="F477" i="3" s="1"/>
  <c r="E477" i="3" a="1"/>
  <c r="E477" i="3" s="1"/>
  <c r="D477" i="3" a="1"/>
  <c r="D477" i="3" s="1"/>
  <c r="C477" i="3" a="1"/>
  <c r="C477" i="3" s="1"/>
  <c r="A477" i="3" s="1"/>
  <c r="L476" i="3" a="1"/>
  <c r="L476" i="3" s="1"/>
  <c r="K476" i="3" a="1"/>
  <c r="K476" i="3" s="1"/>
  <c r="J476" i="3" a="1"/>
  <c r="J476" i="3" s="1"/>
  <c r="I476" i="3" a="1"/>
  <c r="I476" i="3" s="1"/>
  <c r="H476" i="3" a="1"/>
  <c r="H476" i="3" s="1"/>
  <c r="G476" i="3" a="1"/>
  <c r="G476" i="3" s="1"/>
  <c r="F476" i="3" a="1"/>
  <c r="F476" i="3" s="1"/>
  <c r="E476" i="3" a="1"/>
  <c r="E476" i="3" s="1"/>
  <c r="D476" i="3" a="1"/>
  <c r="D476" i="3" s="1"/>
  <c r="C476" i="3" a="1"/>
  <c r="C476" i="3" s="1"/>
  <c r="A476" i="3" s="1"/>
  <c r="L475" i="3" a="1"/>
  <c r="L475" i="3" s="1"/>
  <c r="K475" i="3" a="1"/>
  <c r="K475" i="3" s="1"/>
  <c r="J475" i="3" a="1"/>
  <c r="J475" i="3" s="1"/>
  <c r="I475" i="3" a="1"/>
  <c r="I475" i="3" s="1"/>
  <c r="H475" i="3" a="1"/>
  <c r="H475" i="3" s="1"/>
  <c r="G475" i="3" a="1"/>
  <c r="G475" i="3" s="1"/>
  <c r="F475" i="3" a="1"/>
  <c r="F475" i="3" s="1"/>
  <c r="E475" i="3" a="1"/>
  <c r="E475" i="3" s="1"/>
  <c r="D475" i="3" a="1"/>
  <c r="D475" i="3" s="1"/>
  <c r="C475" i="3" a="1"/>
  <c r="C475" i="3" s="1"/>
  <c r="A475" i="3" s="1"/>
  <c r="L474" i="3" a="1"/>
  <c r="L474" i="3" s="1"/>
  <c r="K474" i="3" a="1"/>
  <c r="K474" i="3" s="1"/>
  <c r="J474" i="3" a="1"/>
  <c r="J474" i="3" s="1"/>
  <c r="I474" i="3" a="1"/>
  <c r="I474" i="3" s="1"/>
  <c r="H474" i="3" a="1"/>
  <c r="H474" i="3" s="1"/>
  <c r="G474" i="3" a="1"/>
  <c r="G474" i="3" s="1"/>
  <c r="F474" i="3" a="1"/>
  <c r="F474" i="3" s="1"/>
  <c r="E474" i="3" a="1"/>
  <c r="E474" i="3" s="1"/>
  <c r="D474" i="3" a="1"/>
  <c r="D474" i="3" s="1"/>
  <c r="C474" i="3" a="1"/>
  <c r="C474" i="3" s="1"/>
  <c r="A474" i="3" s="1"/>
  <c r="L473" i="3" a="1"/>
  <c r="L473" i="3" s="1"/>
  <c r="K473" i="3" a="1"/>
  <c r="K473" i="3" s="1"/>
  <c r="J473" i="3" a="1"/>
  <c r="J473" i="3" s="1"/>
  <c r="I473" i="3" a="1"/>
  <c r="I473" i="3" s="1"/>
  <c r="H473" i="3" a="1"/>
  <c r="H473" i="3" s="1"/>
  <c r="G473" i="3" a="1"/>
  <c r="G473" i="3" s="1"/>
  <c r="F473" i="3" a="1"/>
  <c r="F473" i="3" s="1"/>
  <c r="E473" i="3" a="1"/>
  <c r="E473" i="3" s="1"/>
  <c r="D473" i="3" a="1"/>
  <c r="D473" i="3" s="1"/>
  <c r="C473" i="3" a="1"/>
  <c r="C473" i="3" s="1"/>
  <c r="A473" i="3" s="1"/>
  <c r="L472" i="3" a="1"/>
  <c r="L472" i="3" s="1"/>
  <c r="K472" i="3" a="1"/>
  <c r="K472" i="3" s="1"/>
  <c r="J472" i="3" a="1"/>
  <c r="J472" i="3" s="1"/>
  <c r="I472" i="3" a="1"/>
  <c r="I472" i="3" s="1"/>
  <c r="H472" i="3" a="1"/>
  <c r="H472" i="3" s="1"/>
  <c r="G472" i="3" a="1"/>
  <c r="G472" i="3" s="1"/>
  <c r="F472" i="3" a="1"/>
  <c r="F472" i="3" s="1"/>
  <c r="E472" i="3" a="1"/>
  <c r="E472" i="3" s="1"/>
  <c r="D472" i="3" a="1"/>
  <c r="D472" i="3" s="1"/>
  <c r="C472" i="3" a="1"/>
  <c r="C472" i="3" s="1"/>
  <c r="A472" i="3" s="1"/>
  <c r="L471" i="3" a="1"/>
  <c r="L471" i="3" s="1"/>
  <c r="K471" i="3" a="1"/>
  <c r="K471" i="3" s="1"/>
  <c r="J471" i="3" a="1"/>
  <c r="J471" i="3" s="1"/>
  <c r="I471" i="3" a="1"/>
  <c r="I471" i="3" s="1"/>
  <c r="H471" i="3" a="1"/>
  <c r="H471" i="3" s="1"/>
  <c r="G471" i="3" a="1"/>
  <c r="G471" i="3" s="1"/>
  <c r="F471" i="3" a="1"/>
  <c r="F471" i="3" s="1"/>
  <c r="E471" i="3" a="1"/>
  <c r="E471" i="3" s="1"/>
  <c r="D471" i="3" a="1"/>
  <c r="D471" i="3" s="1"/>
  <c r="C471" i="3" a="1"/>
  <c r="C471" i="3" s="1"/>
  <c r="A471" i="3" s="1"/>
  <c r="L470" i="3" a="1"/>
  <c r="L470" i="3" s="1"/>
  <c r="K470" i="3" a="1"/>
  <c r="K470" i="3" s="1"/>
  <c r="J470" i="3" a="1"/>
  <c r="J470" i="3" s="1"/>
  <c r="I470" i="3" a="1"/>
  <c r="I470" i="3" s="1"/>
  <c r="H470" i="3" a="1"/>
  <c r="H470" i="3" s="1"/>
  <c r="G470" i="3" a="1"/>
  <c r="G470" i="3" s="1"/>
  <c r="F470" i="3" a="1"/>
  <c r="F470" i="3" s="1"/>
  <c r="E470" i="3" a="1"/>
  <c r="E470" i="3" s="1"/>
  <c r="D470" i="3" a="1"/>
  <c r="D470" i="3" s="1"/>
  <c r="C470" i="3" a="1"/>
  <c r="C470" i="3" s="1"/>
  <c r="A470" i="3" s="1"/>
  <c r="L469" i="3" a="1"/>
  <c r="L469" i="3" s="1"/>
  <c r="K469" i="3" a="1"/>
  <c r="K469" i="3" s="1"/>
  <c r="J469" i="3" a="1"/>
  <c r="J469" i="3" s="1"/>
  <c r="I469" i="3" a="1"/>
  <c r="I469" i="3" s="1"/>
  <c r="H469" i="3" a="1"/>
  <c r="H469" i="3" s="1"/>
  <c r="G469" i="3" a="1"/>
  <c r="G469" i="3" s="1"/>
  <c r="F469" i="3" a="1"/>
  <c r="F469" i="3" s="1"/>
  <c r="E469" i="3" a="1"/>
  <c r="E469" i="3" s="1"/>
  <c r="D469" i="3" a="1"/>
  <c r="D469" i="3" s="1"/>
  <c r="C469" i="3" a="1"/>
  <c r="C469" i="3" s="1"/>
  <c r="A469" i="3" s="1"/>
  <c r="L468" i="3" a="1"/>
  <c r="L468" i="3" s="1"/>
  <c r="K468" i="3" a="1"/>
  <c r="K468" i="3" s="1"/>
  <c r="J468" i="3" a="1"/>
  <c r="J468" i="3" s="1"/>
  <c r="I468" i="3" a="1"/>
  <c r="I468" i="3" s="1"/>
  <c r="H468" i="3" a="1"/>
  <c r="H468" i="3" s="1"/>
  <c r="G468" i="3" a="1"/>
  <c r="G468" i="3" s="1"/>
  <c r="F468" i="3" a="1"/>
  <c r="F468" i="3" s="1"/>
  <c r="E468" i="3" a="1"/>
  <c r="E468" i="3" s="1"/>
  <c r="D468" i="3" a="1"/>
  <c r="D468" i="3" s="1"/>
  <c r="C468" i="3" a="1"/>
  <c r="C468" i="3" s="1"/>
  <c r="A468" i="3" s="1"/>
  <c r="L467" i="3" a="1"/>
  <c r="L467" i="3" s="1"/>
  <c r="K467" i="3" a="1"/>
  <c r="K467" i="3" s="1"/>
  <c r="J467" i="3" a="1"/>
  <c r="J467" i="3" s="1"/>
  <c r="I467" i="3" a="1"/>
  <c r="I467" i="3" s="1"/>
  <c r="H467" i="3" a="1"/>
  <c r="H467" i="3" s="1"/>
  <c r="G467" i="3" a="1"/>
  <c r="G467" i="3" s="1"/>
  <c r="F467" i="3" a="1"/>
  <c r="F467" i="3" s="1"/>
  <c r="E467" i="3" a="1"/>
  <c r="E467" i="3" s="1"/>
  <c r="D467" i="3" a="1"/>
  <c r="D467" i="3" s="1"/>
  <c r="C467" i="3" a="1"/>
  <c r="C467" i="3" s="1"/>
  <c r="A467" i="3" s="1"/>
  <c r="L466" i="3" a="1"/>
  <c r="L466" i="3" s="1"/>
  <c r="K466" i="3" a="1"/>
  <c r="K466" i="3" s="1"/>
  <c r="J466" i="3" a="1"/>
  <c r="J466" i="3" s="1"/>
  <c r="I466" i="3" a="1"/>
  <c r="I466" i="3" s="1"/>
  <c r="H466" i="3" a="1"/>
  <c r="H466" i="3" s="1"/>
  <c r="G466" i="3" a="1"/>
  <c r="G466" i="3" s="1"/>
  <c r="F466" i="3" a="1"/>
  <c r="F466" i="3" s="1"/>
  <c r="E466" i="3" a="1"/>
  <c r="E466" i="3" s="1"/>
  <c r="D466" i="3" a="1"/>
  <c r="D466" i="3" s="1"/>
  <c r="C466" i="3" a="1"/>
  <c r="C466" i="3" s="1"/>
  <c r="A466" i="3" s="1"/>
  <c r="L465" i="3" a="1"/>
  <c r="L465" i="3" s="1"/>
  <c r="K465" i="3" a="1"/>
  <c r="K465" i="3" s="1"/>
  <c r="J465" i="3" a="1"/>
  <c r="J465" i="3" s="1"/>
  <c r="I465" i="3" a="1"/>
  <c r="I465" i="3" s="1"/>
  <c r="H465" i="3" a="1"/>
  <c r="H465" i="3" s="1"/>
  <c r="G465" i="3" a="1"/>
  <c r="G465" i="3" s="1"/>
  <c r="F465" i="3" a="1"/>
  <c r="F465" i="3" s="1"/>
  <c r="E465" i="3" a="1"/>
  <c r="E465" i="3" s="1"/>
  <c r="D465" i="3" a="1"/>
  <c r="D465" i="3" s="1"/>
  <c r="C465" i="3" a="1"/>
  <c r="C465" i="3" s="1"/>
  <c r="A465" i="3" s="1"/>
  <c r="L464" i="3" a="1"/>
  <c r="L464" i="3" s="1"/>
  <c r="K464" i="3" a="1"/>
  <c r="K464" i="3" s="1"/>
  <c r="J464" i="3" a="1"/>
  <c r="J464" i="3" s="1"/>
  <c r="I464" i="3" a="1"/>
  <c r="I464" i="3" s="1"/>
  <c r="H464" i="3" a="1"/>
  <c r="H464" i="3" s="1"/>
  <c r="G464" i="3" a="1"/>
  <c r="G464" i="3" s="1"/>
  <c r="F464" i="3" a="1"/>
  <c r="F464" i="3" s="1"/>
  <c r="E464" i="3" a="1"/>
  <c r="E464" i="3" s="1"/>
  <c r="D464" i="3" a="1"/>
  <c r="D464" i="3" s="1"/>
  <c r="C464" i="3" a="1"/>
  <c r="C464" i="3" s="1"/>
  <c r="A464" i="3" s="1"/>
  <c r="L463" i="3" a="1"/>
  <c r="L463" i="3" s="1"/>
  <c r="K463" i="3" a="1"/>
  <c r="K463" i="3" s="1"/>
  <c r="J463" i="3" a="1"/>
  <c r="J463" i="3" s="1"/>
  <c r="I463" i="3" a="1"/>
  <c r="I463" i="3" s="1"/>
  <c r="H463" i="3" a="1"/>
  <c r="H463" i="3" s="1"/>
  <c r="G463" i="3" a="1"/>
  <c r="G463" i="3" s="1"/>
  <c r="F463" i="3" a="1"/>
  <c r="F463" i="3" s="1"/>
  <c r="E463" i="3" a="1"/>
  <c r="E463" i="3" s="1"/>
  <c r="D463" i="3" a="1"/>
  <c r="D463" i="3" s="1"/>
  <c r="C463" i="3" a="1"/>
  <c r="C463" i="3" s="1"/>
  <c r="A463" i="3" s="1"/>
  <c r="L462" i="3" a="1"/>
  <c r="L462" i="3" s="1"/>
  <c r="K462" i="3" a="1"/>
  <c r="K462" i="3" s="1"/>
  <c r="J462" i="3" a="1"/>
  <c r="J462" i="3" s="1"/>
  <c r="I462" i="3" a="1"/>
  <c r="I462" i="3" s="1"/>
  <c r="H462" i="3" a="1"/>
  <c r="H462" i="3" s="1"/>
  <c r="G462" i="3" a="1"/>
  <c r="G462" i="3" s="1"/>
  <c r="F462" i="3" a="1"/>
  <c r="F462" i="3" s="1"/>
  <c r="E462" i="3" a="1"/>
  <c r="E462" i="3" s="1"/>
  <c r="D462" i="3" a="1"/>
  <c r="D462" i="3" s="1"/>
  <c r="C462" i="3" a="1"/>
  <c r="C462" i="3" s="1"/>
  <c r="A462" i="3" s="1"/>
  <c r="L461" i="3" a="1"/>
  <c r="L461" i="3" s="1"/>
  <c r="K461" i="3" a="1"/>
  <c r="K461" i="3" s="1"/>
  <c r="J461" i="3" a="1"/>
  <c r="J461" i="3" s="1"/>
  <c r="I461" i="3" a="1"/>
  <c r="I461" i="3" s="1"/>
  <c r="H461" i="3" a="1"/>
  <c r="H461" i="3" s="1"/>
  <c r="G461" i="3" a="1"/>
  <c r="G461" i="3" s="1"/>
  <c r="F461" i="3" a="1"/>
  <c r="F461" i="3" s="1"/>
  <c r="E461" i="3" a="1"/>
  <c r="E461" i="3" s="1"/>
  <c r="D461" i="3" a="1"/>
  <c r="D461" i="3" s="1"/>
  <c r="C461" i="3" a="1"/>
  <c r="C461" i="3" s="1"/>
  <c r="A461" i="3" s="1"/>
  <c r="L460" i="3" a="1"/>
  <c r="L460" i="3" s="1"/>
  <c r="K460" i="3" a="1"/>
  <c r="K460" i="3" s="1"/>
  <c r="J460" i="3" a="1"/>
  <c r="J460" i="3" s="1"/>
  <c r="I460" i="3" a="1"/>
  <c r="I460" i="3" s="1"/>
  <c r="H460" i="3" a="1"/>
  <c r="H460" i="3" s="1"/>
  <c r="G460" i="3" a="1"/>
  <c r="G460" i="3" s="1"/>
  <c r="F460" i="3" a="1"/>
  <c r="F460" i="3" s="1"/>
  <c r="E460" i="3" a="1"/>
  <c r="E460" i="3" s="1"/>
  <c r="D460" i="3" a="1"/>
  <c r="D460" i="3" s="1"/>
  <c r="C460" i="3" a="1"/>
  <c r="C460" i="3" s="1"/>
  <c r="A460" i="3" s="1"/>
  <c r="L459" i="3" a="1"/>
  <c r="L459" i="3" s="1"/>
  <c r="K459" i="3" a="1"/>
  <c r="K459" i="3" s="1"/>
  <c r="J459" i="3" a="1"/>
  <c r="J459" i="3" s="1"/>
  <c r="I459" i="3" a="1"/>
  <c r="I459" i="3" s="1"/>
  <c r="H459" i="3" a="1"/>
  <c r="H459" i="3" s="1"/>
  <c r="G459" i="3" a="1"/>
  <c r="G459" i="3" s="1"/>
  <c r="F459" i="3" a="1"/>
  <c r="F459" i="3" s="1"/>
  <c r="E459" i="3" a="1"/>
  <c r="E459" i="3" s="1"/>
  <c r="D459" i="3" a="1"/>
  <c r="D459" i="3" s="1"/>
  <c r="C459" i="3" a="1"/>
  <c r="C459" i="3" s="1"/>
  <c r="A459" i="3" s="1"/>
  <c r="L458" i="3" a="1"/>
  <c r="L458" i="3" s="1"/>
  <c r="K458" i="3" a="1"/>
  <c r="K458" i="3" s="1"/>
  <c r="J458" i="3" a="1"/>
  <c r="J458" i="3" s="1"/>
  <c r="I458" i="3" a="1"/>
  <c r="I458" i="3" s="1"/>
  <c r="H458" i="3" a="1"/>
  <c r="H458" i="3" s="1"/>
  <c r="G458" i="3" a="1"/>
  <c r="G458" i="3" s="1"/>
  <c r="F458" i="3" a="1"/>
  <c r="F458" i="3" s="1"/>
  <c r="E458" i="3" a="1"/>
  <c r="E458" i="3" s="1"/>
  <c r="D458" i="3" a="1"/>
  <c r="D458" i="3" s="1"/>
  <c r="C458" i="3" a="1"/>
  <c r="C458" i="3" s="1"/>
  <c r="A458" i="3" s="1"/>
  <c r="L457" i="3" a="1"/>
  <c r="L457" i="3" s="1"/>
  <c r="K457" i="3" a="1"/>
  <c r="K457" i="3" s="1"/>
  <c r="J457" i="3" a="1"/>
  <c r="J457" i="3" s="1"/>
  <c r="I457" i="3" a="1"/>
  <c r="I457" i="3" s="1"/>
  <c r="H457" i="3" a="1"/>
  <c r="H457" i="3" s="1"/>
  <c r="G457" i="3" a="1"/>
  <c r="G457" i="3" s="1"/>
  <c r="F457" i="3" a="1"/>
  <c r="F457" i="3" s="1"/>
  <c r="E457" i="3" a="1"/>
  <c r="E457" i="3" s="1"/>
  <c r="D457" i="3" a="1"/>
  <c r="D457" i="3" s="1"/>
  <c r="C457" i="3" a="1"/>
  <c r="C457" i="3" s="1"/>
  <c r="A457" i="3" s="1"/>
  <c r="L456" i="3" a="1"/>
  <c r="L456" i="3" s="1"/>
  <c r="K456" i="3" a="1"/>
  <c r="K456" i="3" s="1"/>
  <c r="J456" i="3" a="1"/>
  <c r="J456" i="3" s="1"/>
  <c r="I456" i="3" a="1"/>
  <c r="I456" i="3" s="1"/>
  <c r="H456" i="3" a="1"/>
  <c r="H456" i="3" s="1"/>
  <c r="G456" i="3" a="1"/>
  <c r="G456" i="3" s="1"/>
  <c r="F456" i="3" a="1"/>
  <c r="F456" i="3" s="1"/>
  <c r="E456" i="3" a="1"/>
  <c r="E456" i="3" s="1"/>
  <c r="D456" i="3" a="1"/>
  <c r="D456" i="3" s="1"/>
  <c r="C456" i="3" a="1"/>
  <c r="C456" i="3" s="1"/>
  <c r="A456" i="3" s="1"/>
  <c r="L455" i="3" a="1"/>
  <c r="L455" i="3" s="1"/>
  <c r="K455" i="3" a="1"/>
  <c r="K455" i="3" s="1"/>
  <c r="J455" i="3" a="1"/>
  <c r="J455" i="3" s="1"/>
  <c r="I455" i="3" a="1"/>
  <c r="I455" i="3" s="1"/>
  <c r="H455" i="3" a="1"/>
  <c r="H455" i="3" s="1"/>
  <c r="G455" i="3" a="1"/>
  <c r="G455" i="3" s="1"/>
  <c r="F455" i="3" a="1"/>
  <c r="F455" i="3" s="1"/>
  <c r="E455" i="3" a="1"/>
  <c r="E455" i="3" s="1"/>
  <c r="D455" i="3" a="1"/>
  <c r="D455" i="3" s="1"/>
  <c r="C455" i="3" a="1"/>
  <c r="C455" i="3" s="1"/>
  <c r="A455" i="3" s="1"/>
  <c r="L454" i="3" a="1"/>
  <c r="L454" i="3" s="1"/>
  <c r="K454" i="3" a="1"/>
  <c r="K454" i="3" s="1"/>
  <c r="J454" i="3" a="1"/>
  <c r="J454" i="3" s="1"/>
  <c r="I454" i="3" a="1"/>
  <c r="I454" i="3" s="1"/>
  <c r="H454" i="3" a="1"/>
  <c r="H454" i="3" s="1"/>
  <c r="G454" i="3" a="1"/>
  <c r="G454" i="3" s="1"/>
  <c r="F454" i="3" a="1"/>
  <c r="F454" i="3" s="1"/>
  <c r="E454" i="3" a="1"/>
  <c r="E454" i="3" s="1"/>
  <c r="D454" i="3" a="1"/>
  <c r="D454" i="3" s="1"/>
  <c r="C454" i="3" a="1"/>
  <c r="C454" i="3" s="1"/>
  <c r="A454" i="3" s="1"/>
  <c r="L453" i="3" a="1"/>
  <c r="L453" i="3" s="1"/>
  <c r="K453" i="3" a="1"/>
  <c r="K453" i="3" s="1"/>
  <c r="J453" i="3" a="1"/>
  <c r="J453" i="3" s="1"/>
  <c r="I453" i="3" a="1"/>
  <c r="I453" i="3" s="1"/>
  <c r="H453" i="3" a="1"/>
  <c r="H453" i="3" s="1"/>
  <c r="G453" i="3" a="1"/>
  <c r="G453" i="3" s="1"/>
  <c r="F453" i="3" a="1"/>
  <c r="F453" i="3" s="1"/>
  <c r="E453" i="3" a="1"/>
  <c r="E453" i="3" s="1"/>
  <c r="D453" i="3" a="1"/>
  <c r="D453" i="3" s="1"/>
  <c r="C453" i="3" a="1"/>
  <c r="C453" i="3" s="1"/>
  <c r="A453" i="3" s="1"/>
  <c r="L452" i="3" a="1"/>
  <c r="L452" i="3" s="1"/>
  <c r="K452" i="3" a="1"/>
  <c r="K452" i="3" s="1"/>
  <c r="J452" i="3" a="1"/>
  <c r="J452" i="3" s="1"/>
  <c r="I452" i="3" a="1"/>
  <c r="I452" i="3" s="1"/>
  <c r="H452" i="3" a="1"/>
  <c r="H452" i="3" s="1"/>
  <c r="G452" i="3" a="1"/>
  <c r="G452" i="3" s="1"/>
  <c r="F452" i="3" a="1"/>
  <c r="F452" i="3" s="1"/>
  <c r="E452" i="3" a="1"/>
  <c r="E452" i="3" s="1"/>
  <c r="D452" i="3" a="1"/>
  <c r="D452" i="3" s="1"/>
  <c r="C452" i="3" a="1"/>
  <c r="C452" i="3" s="1"/>
  <c r="A452" i="3" s="1"/>
  <c r="L451" i="3" a="1"/>
  <c r="L451" i="3" s="1"/>
  <c r="K451" i="3" a="1"/>
  <c r="K451" i="3" s="1"/>
  <c r="J451" i="3" a="1"/>
  <c r="J451" i="3" s="1"/>
  <c r="I451" i="3" a="1"/>
  <c r="I451" i="3" s="1"/>
  <c r="H451" i="3" a="1"/>
  <c r="H451" i="3" s="1"/>
  <c r="G451" i="3" a="1"/>
  <c r="G451" i="3" s="1"/>
  <c r="F451" i="3" a="1"/>
  <c r="F451" i="3" s="1"/>
  <c r="E451" i="3" a="1"/>
  <c r="E451" i="3" s="1"/>
  <c r="D451" i="3" a="1"/>
  <c r="D451" i="3" s="1"/>
  <c r="C451" i="3" a="1"/>
  <c r="C451" i="3" s="1"/>
  <c r="A451" i="3" s="1"/>
  <c r="L450" i="3" a="1"/>
  <c r="L450" i="3" s="1"/>
  <c r="K450" i="3" a="1"/>
  <c r="K450" i="3" s="1"/>
  <c r="J450" i="3" a="1"/>
  <c r="J450" i="3" s="1"/>
  <c r="I450" i="3" a="1"/>
  <c r="I450" i="3" s="1"/>
  <c r="H450" i="3" a="1"/>
  <c r="H450" i="3" s="1"/>
  <c r="G450" i="3" a="1"/>
  <c r="G450" i="3" s="1"/>
  <c r="F450" i="3" a="1"/>
  <c r="F450" i="3" s="1"/>
  <c r="E450" i="3" a="1"/>
  <c r="E450" i="3" s="1"/>
  <c r="D450" i="3" a="1"/>
  <c r="D450" i="3" s="1"/>
  <c r="C450" i="3" a="1"/>
  <c r="C450" i="3" s="1"/>
  <c r="A450" i="3" s="1"/>
  <c r="L449" i="3" a="1"/>
  <c r="L449" i="3" s="1"/>
  <c r="K449" i="3" a="1"/>
  <c r="K449" i="3" s="1"/>
  <c r="J449" i="3" a="1"/>
  <c r="J449" i="3" s="1"/>
  <c r="I449" i="3" a="1"/>
  <c r="I449" i="3" s="1"/>
  <c r="H449" i="3" a="1"/>
  <c r="H449" i="3" s="1"/>
  <c r="G449" i="3" a="1"/>
  <c r="G449" i="3" s="1"/>
  <c r="F449" i="3" a="1"/>
  <c r="F449" i="3" s="1"/>
  <c r="E449" i="3" a="1"/>
  <c r="E449" i="3" s="1"/>
  <c r="D449" i="3" a="1"/>
  <c r="D449" i="3" s="1"/>
  <c r="C449" i="3" a="1"/>
  <c r="C449" i="3" s="1"/>
  <c r="A449" i="3" s="1"/>
  <c r="L448" i="3" a="1"/>
  <c r="L448" i="3" s="1"/>
  <c r="K448" i="3" a="1"/>
  <c r="K448" i="3" s="1"/>
  <c r="J448" i="3" a="1"/>
  <c r="J448" i="3" s="1"/>
  <c r="I448" i="3" a="1"/>
  <c r="I448" i="3" s="1"/>
  <c r="H448" i="3" a="1"/>
  <c r="H448" i="3" s="1"/>
  <c r="G448" i="3" a="1"/>
  <c r="G448" i="3" s="1"/>
  <c r="F448" i="3" a="1"/>
  <c r="F448" i="3" s="1"/>
  <c r="E448" i="3" a="1"/>
  <c r="E448" i="3" s="1"/>
  <c r="D448" i="3" a="1"/>
  <c r="D448" i="3" s="1"/>
  <c r="C448" i="3" a="1"/>
  <c r="C448" i="3" s="1"/>
  <c r="A448" i="3" s="1"/>
  <c r="L447" i="3" a="1"/>
  <c r="L447" i="3" s="1"/>
  <c r="K447" i="3" a="1"/>
  <c r="K447" i="3" s="1"/>
  <c r="J447" i="3" a="1"/>
  <c r="J447" i="3" s="1"/>
  <c r="I447" i="3" a="1"/>
  <c r="I447" i="3" s="1"/>
  <c r="H447" i="3" a="1"/>
  <c r="H447" i="3" s="1"/>
  <c r="G447" i="3" a="1"/>
  <c r="G447" i="3" s="1"/>
  <c r="F447" i="3" a="1"/>
  <c r="F447" i="3" s="1"/>
  <c r="E447" i="3" a="1"/>
  <c r="E447" i="3" s="1"/>
  <c r="D447" i="3" a="1"/>
  <c r="D447" i="3" s="1"/>
  <c r="C447" i="3" a="1"/>
  <c r="C447" i="3" s="1"/>
  <c r="A447" i="3" s="1"/>
  <c r="L446" i="3" a="1"/>
  <c r="L446" i="3" s="1"/>
  <c r="K446" i="3" a="1"/>
  <c r="K446" i="3" s="1"/>
  <c r="J446" i="3" a="1"/>
  <c r="J446" i="3" s="1"/>
  <c r="I446" i="3" a="1"/>
  <c r="I446" i="3" s="1"/>
  <c r="H446" i="3" a="1"/>
  <c r="H446" i="3" s="1"/>
  <c r="G446" i="3" a="1"/>
  <c r="G446" i="3" s="1"/>
  <c r="F446" i="3" a="1"/>
  <c r="F446" i="3" s="1"/>
  <c r="E446" i="3" a="1"/>
  <c r="E446" i="3" s="1"/>
  <c r="D446" i="3" a="1"/>
  <c r="D446" i="3" s="1"/>
  <c r="C446" i="3" a="1"/>
  <c r="C446" i="3" s="1"/>
  <c r="A446" i="3" s="1"/>
  <c r="L445" i="3" a="1"/>
  <c r="L445" i="3" s="1"/>
  <c r="K445" i="3" a="1"/>
  <c r="K445" i="3" s="1"/>
  <c r="J445" i="3" a="1"/>
  <c r="J445" i="3" s="1"/>
  <c r="I445" i="3" a="1"/>
  <c r="I445" i="3" s="1"/>
  <c r="H445" i="3" a="1"/>
  <c r="H445" i="3" s="1"/>
  <c r="G445" i="3" a="1"/>
  <c r="G445" i="3" s="1"/>
  <c r="F445" i="3" a="1"/>
  <c r="F445" i="3" s="1"/>
  <c r="E445" i="3" a="1"/>
  <c r="E445" i="3" s="1"/>
  <c r="D445" i="3" a="1"/>
  <c r="D445" i="3" s="1"/>
  <c r="C445" i="3" a="1"/>
  <c r="C445" i="3" s="1"/>
  <c r="A445" i="3" s="1"/>
  <c r="L444" i="3" a="1"/>
  <c r="L444" i="3" s="1"/>
  <c r="K444" i="3" a="1"/>
  <c r="K444" i="3" s="1"/>
  <c r="J444" i="3" a="1"/>
  <c r="J444" i="3" s="1"/>
  <c r="I444" i="3" a="1"/>
  <c r="I444" i="3" s="1"/>
  <c r="H444" i="3" a="1"/>
  <c r="H444" i="3" s="1"/>
  <c r="G444" i="3" a="1"/>
  <c r="G444" i="3" s="1"/>
  <c r="F444" i="3" a="1"/>
  <c r="F444" i="3" s="1"/>
  <c r="E444" i="3" a="1"/>
  <c r="E444" i="3" s="1"/>
  <c r="D444" i="3" a="1"/>
  <c r="D444" i="3" s="1"/>
  <c r="C444" i="3" a="1"/>
  <c r="C444" i="3" s="1"/>
  <c r="A444" i="3" s="1"/>
  <c r="L443" i="3" a="1"/>
  <c r="L443" i="3" s="1"/>
  <c r="K443" i="3" a="1"/>
  <c r="K443" i="3" s="1"/>
  <c r="J443" i="3" a="1"/>
  <c r="J443" i="3" s="1"/>
  <c r="I443" i="3" a="1"/>
  <c r="I443" i="3" s="1"/>
  <c r="H443" i="3" a="1"/>
  <c r="H443" i="3" s="1"/>
  <c r="G443" i="3" a="1"/>
  <c r="G443" i="3" s="1"/>
  <c r="F443" i="3" a="1"/>
  <c r="F443" i="3" s="1"/>
  <c r="E443" i="3" a="1"/>
  <c r="E443" i="3" s="1"/>
  <c r="D443" i="3" a="1"/>
  <c r="D443" i="3" s="1"/>
  <c r="C443" i="3" a="1"/>
  <c r="C443" i="3" s="1"/>
  <c r="A443" i="3" s="1"/>
  <c r="L442" i="3" a="1"/>
  <c r="L442" i="3" s="1"/>
  <c r="K442" i="3" a="1"/>
  <c r="K442" i="3" s="1"/>
  <c r="J442" i="3" a="1"/>
  <c r="J442" i="3" s="1"/>
  <c r="I442" i="3" a="1"/>
  <c r="I442" i="3" s="1"/>
  <c r="H442" i="3" a="1"/>
  <c r="H442" i="3" s="1"/>
  <c r="G442" i="3" a="1"/>
  <c r="G442" i="3" s="1"/>
  <c r="F442" i="3" a="1"/>
  <c r="F442" i="3" s="1"/>
  <c r="E442" i="3" a="1"/>
  <c r="E442" i="3" s="1"/>
  <c r="D442" i="3" a="1"/>
  <c r="D442" i="3" s="1"/>
  <c r="C442" i="3" a="1"/>
  <c r="C442" i="3" s="1"/>
  <c r="A442" i="3" s="1"/>
  <c r="L441" i="3" a="1"/>
  <c r="L441" i="3" s="1"/>
  <c r="K441" i="3" a="1"/>
  <c r="K441" i="3" s="1"/>
  <c r="J441" i="3" a="1"/>
  <c r="J441" i="3" s="1"/>
  <c r="I441" i="3" a="1"/>
  <c r="I441" i="3" s="1"/>
  <c r="H441" i="3" a="1"/>
  <c r="H441" i="3" s="1"/>
  <c r="G441" i="3" a="1"/>
  <c r="G441" i="3" s="1"/>
  <c r="F441" i="3" a="1"/>
  <c r="F441" i="3" s="1"/>
  <c r="E441" i="3" a="1"/>
  <c r="E441" i="3" s="1"/>
  <c r="D441" i="3" a="1"/>
  <c r="D441" i="3" s="1"/>
  <c r="C441" i="3" a="1"/>
  <c r="C441" i="3" s="1"/>
  <c r="A441" i="3" s="1"/>
  <c r="L440" i="3" a="1"/>
  <c r="L440" i="3" s="1"/>
  <c r="K440" i="3" a="1"/>
  <c r="K440" i="3" s="1"/>
  <c r="J440" i="3" a="1"/>
  <c r="J440" i="3" s="1"/>
  <c r="I440" i="3" a="1"/>
  <c r="I440" i="3" s="1"/>
  <c r="H440" i="3" a="1"/>
  <c r="H440" i="3" s="1"/>
  <c r="G440" i="3" a="1"/>
  <c r="G440" i="3" s="1"/>
  <c r="F440" i="3" a="1"/>
  <c r="F440" i="3" s="1"/>
  <c r="E440" i="3" a="1"/>
  <c r="E440" i="3" s="1"/>
  <c r="D440" i="3" a="1"/>
  <c r="D440" i="3" s="1"/>
  <c r="C440" i="3" a="1"/>
  <c r="C440" i="3" s="1"/>
  <c r="A440" i="3" s="1"/>
  <c r="L439" i="3" a="1"/>
  <c r="L439" i="3" s="1"/>
  <c r="K439" i="3" a="1"/>
  <c r="K439" i="3" s="1"/>
  <c r="J439" i="3" a="1"/>
  <c r="J439" i="3" s="1"/>
  <c r="I439" i="3" a="1"/>
  <c r="I439" i="3" s="1"/>
  <c r="H439" i="3" a="1"/>
  <c r="H439" i="3" s="1"/>
  <c r="G439" i="3" a="1"/>
  <c r="G439" i="3" s="1"/>
  <c r="F439" i="3" a="1"/>
  <c r="F439" i="3" s="1"/>
  <c r="E439" i="3" a="1"/>
  <c r="E439" i="3" s="1"/>
  <c r="D439" i="3" a="1"/>
  <c r="D439" i="3" s="1"/>
  <c r="C439" i="3" a="1"/>
  <c r="C439" i="3" s="1"/>
  <c r="A439" i="3" s="1"/>
  <c r="L438" i="3" a="1"/>
  <c r="L438" i="3" s="1"/>
  <c r="K438" i="3" a="1"/>
  <c r="K438" i="3" s="1"/>
  <c r="J438" i="3" a="1"/>
  <c r="J438" i="3" s="1"/>
  <c r="I438" i="3" a="1"/>
  <c r="I438" i="3" s="1"/>
  <c r="H438" i="3" a="1"/>
  <c r="H438" i="3" s="1"/>
  <c r="G438" i="3" a="1"/>
  <c r="G438" i="3" s="1"/>
  <c r="F438" i="3" a="1"/>
  <c r="F438" i="3" s="1"/>
  <c r="E438" i="3" a="1"/>
  <c r="E438" i="3" s="1"/>
  <c r="D438" i="3" a="1"/>
  <c r="D438" i="3" s="1"/>
  <c r="C438" i="3" a="1"/>
  <c r="C438" i="3" s="1"/>
  <c r="A438" i="3" s="1"/>
  <c r="L437" i="3" a="1"/>
  <c r="L437" i="3" s="1"/>
  <c r="K437" i="3" a="1"/>
  <c r="K437" i="3" s="1"/>
  <c r="J437" i="3" a="1"/>
  <c r="J437" i="3" s="1"/>
  <c r="I437" i="3" a="1"/>
  <c r="I437" i="3" s="1"/>
  <c r="H437" i="3" a="1"/>
  <c r="H437" i="3" s="1"/>
  <c r="G437" i="3" a="1"/>
  <c r="G437" i="3" s="1"/>
  <c r="F437" i="3" a="1"/>
  <c r="F437" i="3" s="1"/>
  <c r="E437" i="3" a="1"/>
  <c r="E437" i="3" s="1"/>
  <c r="D437" i="3" a="1"/>
  <c r="D437" i="3" s="1"/>
  <c r="C437" i="3" a="1"/>
  <c r="C437" i="3" s="1"/>
  <c r="A437" i="3" s="1"/>
  <c r="L436" i="3" a="1"/>
  <c r="L436" i="3" s="1"/>
  <c r="K436" i="3" a="1"/>
  <c r="K436" i="3" s="1"/>
  <c r="J436" i="3" a="1"/>
  <c r="J436" i="3" s="1"/>
  <c r="I436" i="3" a="1"/>
  <c r="I436" i="3" s="1"/>
  <c r="H436" i="3" a="1"/>
  <c r="H436" i="3" s="1"/>
  <c r="G436" i="3" a="1"/>
  <c r="G436" i="3" s="1"/>
  <c r="F436" i="3" a="1"/>
  <c r="F436" i="3" s="1"/>
  <c r="E436" i="3" a="1"/>
  <c r="E436" i="3" s="1"/>
  <c r="D436" i="3" a="1"/>
  <c r="D436" i="3" s="1"/>
  <c r="C436" i="3" a="1"/>
  <c r="C436" i="3" s="1"/>
  <c r="A436" i="3" s="1"/>
  <c r="L435" i="3" a="1"/>
  <c r="L435" i="3" s="1"/>
  <c r="K435" i="3" a="1"/>
  <c r="K435" i="3" s="1"/>
  <c r="J435" i="3" a="1"/>
  <c r="J435" i="3" s="1"/>
  <c r="I435" i="3" a="1"/>
  <c r="I435" i="3" s="1"/>
  <c r="H435" i="3" a="1"/>
  <c r="H435" i="3" s="1"/>
  <c r="G435" i="3" a="1"/>
  <c r="G435" i="3" s="1"/>
  <c r="F435" i="3" a="1"/>
  <c r="F435" i="3" s="1"/>
  <c r="E435" i="3" a="1"/>
  <c r="E435" i="3" s="1"/>
  <c r="D435" i="3" a="1"/>
  <c r="D435" i="3" s="1"/>
  <c r="C435" i="3" a="1"/>
  <c r="C435" i="3" s="1"/>
  <c r="A435" i="3" s="1"/>
  <c r="L434" i="3" a="1"/>
  <c r="L434" i="3" s="1"/>
  <c r="K434" i="3" a="1"/>
  <c r="K434" i="3" s="1"/>
  <c r="J434" i="3" a="1"/>
  <c r="J434" i="3" s="1"/>
  <c r="I434" i="3" a="1"/>
  <c r="I434" i="3" s="1"/>
  <c r="H434" i="3" a="1"/>
  <c r="H434" i="3" s="1"/>
  <c r="G434" i="3" a="1"/>
  <c r="G434" i="3" s="1"/>
  <c r="F434" i="3" a="1"/>
  <c r="F434" i="3" s="1"/>
  <c r="E434" i="3" a="1"/>
  <c r="E434" i="3" s="1"/>
  <c r="D434" i="3" a="1"/>
  <c r="D434" i="3" s="1"/>
  <c r="C434" i="3" a="1"/>
  <c r="C434" i="3" s="1"/>
  <c r="A434" i="3" s="1"/>
  <c r="L433" i="3" a="1"/>
  <c r="L433" i="3" s="1"/>
  <c r="K433" i="3" a="1"/>
  <c r="K433" i="3" s="1"/>
  <c r="J433" i="3" a="1"/>
  <c r="J433" i="3" s="1"/>
  <c r="I433" i="3" a="1"/>
  <c r="I433" i="3" s="1"/>
  <c r="H433" i="3" a="1"/>
  <c r="H433" i="3" s="1"/>
  <c r="G433" i="3" a="1"/>
  <c r="G433" i="3" s="1"/>
  <c r="F433" i="3" a="1"/>
  <c r="F433" i="3" s="1"/>
  <c r="E433" i="3" a="1"/>
  <c r="E433" i="3" s="1"/>
  <c r="D433" i="3" a="1"/>
  <c r="D433" i="3" s="1"/>
  <c r="C433" i="3" a="1"/>
  <c r="C433" i="3" s="1"/>
  <c r="A433" i="3" s="1"/>
  <c r="L432" i="3" a="1"/>
  <c r="L432" i="3" s="1"/>
  <c r="K432" i="3" a="1"/>
  <c r="K432" i="3" s="1"/>
  <c r="J432" i="3" a="1"/>
  <c r="J432" i="3" s="1"/>
  <c r="I432" i="3" a="1"/>
  <c r="I432" i="3" s="1"/>
  <c r="H432" i="3" a="1"/>
  <c r="H432" i="3" s="1"/>
  <c r="G432" i="3" a="1"/>
  <c r="G432" i="3" s="1"/>
  <c r="F432" i="3" a="1"/>
  <c r="F432" i="3" s="1"/>
  <c r="E432" i="3" a="1"/>
  <c r="E432" i="3" s="1"/>
  <c r="D432" i="3" a="1"/>
  <c r="D432" i="3" s="1"/>
  <c r="C432" i="3" a="1"/>
  <c r="C432" i="3" s="1"/>
  <c r="A432" i="3" s="1"/>
  <c r="L431" i="3" a="1"/>
  <c r="L431" i="3" s="1"/>
  <c r="K431" i="3" a="1"/>
  <c r="K431" i="3" s="1"/>
  <c r="J431" i="3" a="1"/>
  <c r="J431" i="3" s="1"/>
  <c r="I431" i="3" a="1"/>
  <c r="I431" i="3" s="1"/>
  <c r="H431" i="3" a="1"/>
  <c r="H431" i="3" s="1"/>
  <c r="G431" i="3" a="1"/>
  <c r="G431" i="3" s="1"/>
  <c r="F431" i="3" a="1"/>
  <c r="F431" i="3" s="1"/>
  <c r="E431" i="3" a="1"/>
  <c r="E431" i="3" s="1"/>
  <c r="D431" i="3" a="1"/>
  <c r="D431" i="3" s="1"/>
  <c r="C431" i="3" a="1"/>
  <c r="C431" i="3" s="1"/>
  <c r="A431" i="3" s="1"/>
  <c r="L430" i="3" a="1"/>
  <c r="L430" i="3" s="1"/>
  <c r="K430" i="3" a="1"/>
  <c r="K430" i="3" s="1"/>
  <c r="J430" i="3" a="1"/>
  <c r="J430" i="3" s="1"/>
  <c r="I430" i="3" a="1"/>
  <c r="I430" i="3" s="1"/>
  <c r="H430" i="3" a="1"/>
  <c r="H430" i="3" s="1"/>
  <c r="G430" i="3" a="1"/>
  <c r="G430" i="3" s="1"/>
  <c r="F430" i="3" a="1"/>
  <c r="F430" i="3" s="1"/>
  <c r="E430" i="3" a="1"/>
  <c r="E430" i="3" s="1"/>
  <c r="D430" i="3" a="1"/>
  <c r="D430" i="3" s="1"/>
  <c r="C430" i="3" a="1"/>
  <c r="C430" i="3" s="1"/>
  <c r="A430" i="3" s="1"/>
  <c r="L429" i="3" a="1"/>
  <c r="L429" i="3" s="1"/>
  <c r="K429" i="3" a="1"/>
  <c r="K429" i="3" s="1"/>
  <c r="J429" i="3" a="1"/>
  <c r="J429" i="3" s="1"/>
  <c r="I429" i="3" a="1"/>
  <c r="I429" i="3" s="1"/>
  <c r="H429" i="3" a="1"/>
  <c r="H429" i="3" s="1"/>
  <c r="G429" i="3" a="1"/>
  <c r="G429" i="3" s="1"/>
  <c r="F429" i="3" a="1"/>
  <c r="F429" i="3" s="1"/>
  <c r="E429" i="3" a="1"/>
  <c r="E429" i="3" s="1"/>
  <c r="D429" i="3" a="1"/>
  <c r="D429" i="3" s="1"/>
  <c r="C429" i="3" a="1"/>
  <c r="C429" i="3" s="1"/>
  <c r="A429" i="3" s="1"/>
  <c r="L428" i="3" a="1"/>
  <c r="L428" i="3" s="1"/>
  <c r="K428" i="3" a="1"/>
  <c r="K428" i="3" s="1"/>
  <c r="J428" i="3" a="1"/>
  <c r="J428" i="3" s="1"/>
  <c r="I428" i="3" a="1"/>
  <c r="I428" i="3" s="1"/>
  <c r="H428" i="3" a="1"/>
  <c r="H428" i="3" s="1"/>
  <c r="G428" i="3" a="1"/>
  <c r="G428" i="3" s="1"/>
  <c r="F428" i="3" a="1"/>
  <c r="F428" i="3" s="1"/>
  <c r="E428" i="3" a="1"/>
  <c r="E428" i="3" s="1"/>
  <c r="D428" i="3" a="1"/>
  <c r="D428" i="3" s="1"/>
  <c r="C428" i="3" a="1"/>
  <c r="C428" i="3" s="1"/>
  <c r="A428" i="3" s="1"/>
  <c r="L427" i="3" a="1"/>
  <c r="L427" i="3" s="1"/>
  <c r="K427" i="3" a="1"/>
  <c r="K427" i="3" s="1"/>
  <c r="J427" i="3" a="1"/>
  <c r="J427" i="3" s="1"/>
  <c r="I427" i="3" a="1"/>
  <c r="I427" i="3" s="1"/>
  <c r="H427" i="3" a="1"/>
  <c r="H427" i="3" s="1"/>
  <c r="G427" i="3" a="1"/>
  <c r="G427" i="3" s="1"/>
  <c r="F427" i="3" a="1"/>
  <c r="F427" i="3" s="1"/>
  <c r="E427" i="3" a="1"/>
  <c r="E427" i="3" s="1"/>
  <c r="D427" i="3" a="1"/>
  <c r="D427" i="3" s="1"/>
  <c r="C427" i="3" a="1"/>
  <c r="C427" i="3" s="1"/>
  <c r="A427" i="3" s="1"/>
  <c r="L426" i="3" a="1"/>
  <c r="L426" i="3" s="1"/>
  <c r="K426" i="3" a="1"/>
  <c r="K426" i="3" s="1"/>
  <c r="J426" i="3" a="1"/>
  <c r="J426" i="3" s="1"/>
  <c r="I426" i="3" a="1"/>
  <c r="I426" i="3" s="1"/>
  <c r="H426" i="3" a="1"/>
  <c r="H426" i="3" s="1"/>
  <c r="G426" i="3" a="1"/>
  <c r="G426" i="3" s="1"/>
  <c r="F426" i="3" a="1"/>
  <c r="F426" i="3" s="1"/>
  <c r="E426" i="3" a="1"/>
  <c r="E426" i="3" s="1"/>
  <c r="D426" i="3" a="1"/>
  <c r="D426" i="3" s="1"/>
  <c r="C426" i="3" a="1"/>
  <c r="C426" i="3" s="1"/>
  <c r="A426" i="3" s="1"/>
  <c r="L425" i="3" a="1"/>
  <c r="L425" i="3" s="1"/>
  <c r="K425" i="3" a="1"/>
  <c r="K425" i="3" s="1"/>
  <c r="J425" i="3" a="1"/>
  <c r="J425" i="3" s="1"/>
  <c r="I425" i="3" a="1"/>
  <c r="I425" i="3" s="1"/>
  <c r="H425" i="3" a="1"/>
  <c r="H425" i="3" s="1"/>
  <c r="G425" i="3" a="1"/>
  <c r="G425" i="3" s="1"/>
  <c r="F425" i="3" a="1"/>
  <c r="F425" i="3" s="1"/>
  <c r="E425" i="3" a="1"/>
  <c r="E425" i="3" s="1"/>
  <c r="D425" i="3" a="1"/>
  <c r="D425" i="3" s="1"/>
  <c r="C425" i="3" a="1"/>
  <c r="C425" i="3" s="1"/>
  <c r="A425" i="3" s="1"/>
  <c r="L424" i="3" a="1"/>
  <c r="L424" i="3" s="1"/>
  <c r="K424" i="3" a="1"/>
  <c r="K424" i="3" s="1"/>
  <c r="J424" i="3" a="1"/>
  <c r="J424" i="3" s="1"/>
  <c r="I424" i="3" a="1"/>
  <c r="I424" i="3" s="1"/>
  <c r="H424" i="3" a="1"/>
  <c r="H424" i="3" s="1"/>
  <c r="G424" i="3" a="1"/>
  <c r="G424" i="3" s="1"/>
  <c r="F424" i="3" a="1"/>
  <c r="F424" i="3" s="1"/>
  <c r="E424" i="3" a="1"/>
  <c r="E424" i="3" s="1"/>
  <c r="D424" i="3" a="1"/>
  <c r="D424" i="3" s="1"/>
  <c r="C424" i="3" a="1"/>
  <c r="C424" i="3" s="1"/>
  <c r="A424" i="3" s="1"/>
  <c r="L423" i="3" a="1"/>
  <c r="L423" i="3" s="1"/>
  <c r="K423" i="3" a="1"/>
  <c r="K423" i="3" s="1"/>
  <c r="J423" i="3" a="1"/>
  <c r="J423" i="3" s="1"/>
  <c r="I423" i="3" a="1"/>
  <c r="I423" i="3" s="1"/>
  <c r="H423" i="3" a="1"/>
  <c r="H423" i="3" s="1"/>
  <c r="G423" i="3" a="1"/>
  <c r="G423" i="3" s="1"/>
  <c r="F423" i="3" a="1"/>
  <c r="F423" i="3" s="1"/>
  <c r="E423" i="3" a="1"/>
  <c r="E423" i="3" s="1"/>
  <c r="D423" i="3" a="1"/>
  <c r="D423" i="3" s="1"/>
  <c r="C423" i="3" a="1"/>
  <c r="C423" i="3" s="1"/>
  <c r="A423" i="3" s="1"/>
  <c r="L422" i="3" a="1"/>
  <c r="L422" i="3" s="1"/>
  <c r="K422" i="3" a="1"/>
  <c r="K422" i="3" s="1"/>
  <c r="J422" i="3" a="1"/>
  <c r="J422" i="3" s="1"/>
  <c r="I422" i="3" a="1"/>
  <c r="I422" i="3" s="1"/>
  <c r="H422" i="3" a="1"/>
  <c r="H422" i="3" s="1"/>
  <c r="G422" i="3" a="1"/>
  <c r="G422" i="3" s="1"/>
  <c r="F422" i="3" a="1"/>
  <c r="F422" i="3" s="1"/>
  <c r="E422" i="3" a="1"/>
  <c r="E422" i="3" s="1"/>
  <c r="D422" i="3" a="1"/>
  <c r="D422" i="3" s="1"/>
  <c r="C422" i="3" a="1"/>
  <c r="C422" i="3" s="1"/>
  <c r="A422" i="3" s="1"/>
  <c r="L421" i="3" a="1"/>
  <c r="L421" i="3" s="1"/>
  <c r="K421" i="3" a="1"/>
  <c r="K421" i="3" s="1"/>
  <c r="J421" i="3" a="1"/>
  <c r="J421" i="3" s="1"/>
  <c r="I421" i="3" a="1"/>
  <c r="I421" i="3" s="1"/>
  <c r="H421" i="3" a="1"/>
  <c r="H421" i="3" s="1"/>
  <c r="G421" i="3" a="1"/>
  <c r="G421" i="3" s="1"/>
  <c r="F421" i="3" a="1"/>
  <c r="F421" i="3" s="1"/>
  <c r="E421" i="3" a="1"/>
  <c r="E421" i="3" s="1"/>
  <c r="D421" i="3" a="1"/>
  <c r="D421" i="3" s="1"/>
  <c r="C421" i="3" a="1"/>
  <c r="C421" i="3" s="1"/>
  <c r="A421" i="3" s="1"/>
  <c r="L420" i="3" a="1"/>
  <c r="L420" i="3" s="1"/>
  <c r="K420" i="3" a="1"/>
  <c r="K420" i="3" s="1"/>
  <c r="J420" i="3" a="1"/>
  <c r="J420" i="3" s="1"/>
  <c r="I420" i="3" a="1"/>
  <c r="I420" i="3" s="1"/>
  <c r="H420" i="3" a="1"/>
  <c r="H420" i="3" s="1"/>
  <c r="G420" i="3" a="1"/>
  <c r="G420" i="3" s="1"/>
  <c r="F420" i="3" a="1"/>
  <c r="F420" i="3" s="1"/>
  <c r="E420" i="3" a="1"/>
  <c r="E420" i="3" s="1"/>
  <c r="D420" i="3" a="1"/>
  <c r="D420" i="3" s="1"/>
  <c r="C420" i="3" a="1"/>
  <c r="C420" i="3" s="1"/>
  <c r="A420" i="3" s="1"/>
  <c r="L419" i="3" a="1"/>
  <c r="L419" i="3" s="1"/>
  <c r="K419" i="3" a="1"/>
  <c r="K419" i="3" s="1"/>
  <c r="J419" i="3" a="1"/>
  <c r="J419" i="3" s="1"/>
  <c r="I419" i="3" a="1"/>
  <c r="I419" i="3" s="1"/>
  <c r="H419" i="3" a="1"/>
  <c r="H419" i="3" s="1"/>
  <c r="G419" i="3" a="1"/>
  <c r="G419" i="3" s="1"/>
  <c r="F419" i="3" a="1"/>
  <c r="F419" i="3" s="1"/>
  <c r="E419" i="3" a="1"/>
  <c r="E419" i="3" s="1"/>
  <c r="D419" i="3" a="1"/>
  <c r="D419" i="3" s="1"/>
  <c r="C419" i="3" a="1"/>
  <c r="C419" i="3" s="1"/>
  <c r="A419" i="3" s="1"/>
  <c r="L418" i="3" a="1"/>
  <c r="L418" i="3" s="1"/>
  <c r="K418" i="3" a="1"/>
  <c r="K418" i="3" s="1"/>
  <c r="J418" i="3" a="1"/>
  <c r="J418" i="3" s="1"/>
  <c r="I418" i="3" a="1"/>
  <c r="I418" i="3" s="1"/>
  <c r="H418" i="3" a="1"/>
  <c r="H418" i="3" s="1"/>
  <c r="G418" i="3" a="1"/>
  <c r="G418" i="3" s="1"/>
  <c r="F418" i="3" a="1"/>
  <c r="F418" i="3" s="1"/>
  <c r="E418" i="3" a="1"/>
  <c r="E418" i="3" s="1"/>
  <c r="D418" i="3" a="1"/>
  <c r="D418" i="3" s="1"/>
  <c r="C418" i="3" a="1"/>
  <c r="C418" i="3" s="1"/>
  <c r="A418" i="3" s="1"/>
  <c r="L417" i="3" a="1"/>
  <c r="L417" i="3" s="1"/>
  <c r="K417" i="3" a="1"/>
  <c r="K417" i="3" s="1"/>
  <c r="J417" i="3" a="1"/>
  <c r="J417" i="3" s="1"/>
  <c r="I417" i="3" a="1"/>
  <c r="I417" i="3" s="1"/>
  <c r="H417" i="3" a="1"/>
  <c r="H417" i="3" s="1"/>
  <c r="G417" i="3" a="1"/>
  <c r="G417" i="3" s="1"/>
  <c r="F417" i="3" a="1"/>
  <c r="F417" i="3" s="1"/>
  <c r="E417" i="3" a="1"/>
  <c r="E417" i="3" s="1"/>
  <c r="D417" i="3" a="1"/>
  <c r="D417" i="3" s="1"/>
  <c r="C417" i="3" a="1"/>
  <c r="C417" i="3" s="1"/>
  <c r="A417" i="3" s="1"/>
  <c r="L416" i="3" a="1"/>
  <c r="L416" i="3" s="1"/>
  <c r="K416" i="3" a="1"/>
  <c r="K416" i="3" s="1"/>
  <c r="J416" i="3" a="1"/>
  <c r="J416" i="3" s="1"/>
  <c r="I416" i="3" a="1"/>
  <c r="I416" i="3" s="1"/>
  <c r="H416" i="3" a="1"/>
  <c r="H416" i="3" s="1"/>
  <c r="G416" i="3" a="1"/>
  <c r="G416" i="3" s="1"/>
  <c r="F416" i="3" a="1"/>
  <c r="F416" i="3" s="1"/>
  <c r="E416" i="3" a="1"/>
  <c r="E416" i="3" s="1"/>
  <c r="D416" i="3" a="1"/>
  <c r="D416" i="3" s="1"/>
  <c r="C416" i="3" a="1"/>
  <c r="C416" i="3" s="1"/>
  <c r="A416" i="3" s="1"/>
  <c r="L415" i="3" a="1"/>
  <c r="L415" i="3" s="1"/>
  <c r="K415" i="3" a="1"/>
  <c r="K415" i="3" s="1"/>
  <c r="J415" i="3" a="1"/>
  <c r="J415" i="3" s="1"/>
  <c r="I415" i="3" a="1"/>
  <c r="I415" i="3" s="1"/>
  <c r="H415" i="3" a="1"/>
  <c r="H415" i="3" s="1"/>
  <c r="G415" i="3" a="1"/>
  <c r="G415" i="3" s="1"/>
  <c r="F415" i="3" a="1"/>
  <c r="F415" i="3" s="1"/>
  <c r="E415" i="3" a="1"/>
  <c r="E415" i="3" s="1"/>
  <c r="D415" i="3" a="1"/>
  <c r="D415" i="3" s="1"/>
  <c r="C415" i="3" a="1"/>
  <c r="C415" i="3" s="1"/>
  <c r="A415" i="3" s="1"/>
  <c r="L414" i="3" a="1"/>
  <c r="L414" i="3" s="1"/>
  <c r="K414" i="3" a="1"/>
  <c r="K414" i="3" s="1"/>
  <c r="J414" i="3" a="1"/>
  <c r="J414" i="3" s="1"/>
  <c r="I414" i="3" a="1"/>
  <c r="I414" i="3" s="1"/>
  <c r="H414" i="3" a="1"/>
  <c r="H414" i="3" s="1"/>
  <c r="G414" i="3" a="1"/>
  <c r="G414" i="3" s="1"/>
  <c r="F414" i="3" a="1"/>
  <c r="F414" i="3" s="1"/>
  <c r="E414" i="3" a="1"/>
  <c r="E414" i="3" s="1"/>
  <c r="D414" i="3" a="1"/>
  <c r="D414" i="3" s="1"/>
  <c r="C414" i="3" a="1"/>
  <c r="C414" i="3" s="1"/>
  <c r="A414" i="3" s="1"/>
  <c r="L413" i="3" a="1"/>
  <c r="L413" i="3" s="1"/>
  <c r="K413" i="3" a="1"/>
  <c r="K413" i="3" s="1"/>
  <c r="J413" i="3" a="1"/>
  <c r="J413" i="3" s="1"/>
  <c r="I413" i="3" a="1"/>
  <c r="I413" i="3" s="1"/>
  <c r="H413" i="3" a="1"/>
  <c r="H413" i="3" s="1"/>
  <c r="G413" i="3" a="1"/>
  <c r="G413" i="3" s="1"/>
  <c r="F413" i="3" a="1"/>
  <c r="F413" i="3" s="1"/>
  <c r="E413" i="3" a="1"/>
  <c r="E413" i="3" s="1"/>
  <c r="D413" i="3" a="1"/>
  <c r="D413" i="3" s="1"/>
  <c r="C413" i="3" a="1"/>
  <c r="C413" i="3" s="1"/>
  <c r="A413" i="3" s="1"/>
  <c r="L412" i="3" a="1"/>
  <c r="L412" i="3" s="1"/>
  <c r="K412" i="3" a="1"/>
  <c r="K412" i="3" s="1"/>
  <c r="J412" i="3" a="1"/>
  <c r="J412" i="3" s="1"/>
  <c r="I412" i="3" a="1"/>
  <c r="I412" i="3" s="1"/>
  <c r="H412" i="3" a="1"/>
  <c r="H412" i="3" s="1"/>
  <c r="G412" i="3" a="1"/>
  <c r="G412" i="3" s="1"/>
  <c r="F412" i="3" a="1"/>
  <c r="F412" i="3" s="1"/>
  <c r="E412" i="3" a="1"/>
  <c r="E412" i="3" s="1"/>
  <c r="D412" i="3" a="1"/>
  <c r="D412" i="3" s="1"/>
  <c r="C412" i="3" a="1"/>
  <c r="C412" i="3" s="1"/>
  <c r="A412" i="3" s="1"/>
  <c r="L411" i="3" a="1"/>
  <c r="L411" i="3" s="1"/>
  <c r="K411" i="3" a="1"/>
  <c r="K411" i="3" s="1"/>
  <c r="J411" i="3" a="1"/>
  <c r="J411" i="3" s="1"/>
  <c r="I411" i="3" a="1"/>
  <c r="I411" i="3" s="1"/>
  <c r="H411" i="3" a="1"/>
  <c r="H411" i="3" s="1"/>
  <c r="G411" i="3" a="1"/>
  <c r="G411" i="3" s="1"/>
  <c r="F411" i="3" a="1"/>
  <c r="F411" i="3" s="1"/>
  <c r="E411" i="3" a="1"/>
  <c r="E411" i="3" s="1"/>
  <c r="D411" i="3" a="1"/>
  <c r="D411" i="3" s="1"/>
  <c r="C411" i="3" a="1"/>
  <c r="C411" i="3" s="1"/>
  <c r="A411" i="3" s="1"/>
  <c r="L410" i="3" a="1"/>
  <c r="L410" i="3" s="1"/>
  <c r="K410" i="3" a="1"/>
  <c r="K410" i="3" s="1"/>
  <c r="J410" i="3" a="1"/>
  <c r="J410" i="3" s="1"/>
  <c r="I410" i="3" a="1"/>
  <c r="I410" i="3" s="1"/>
  <c r="H410" i="3" a="1"/>
  <c r="H410" i="3" s="1"/>
  <c r="G410" i="3" a="1"/>
  <c r="G410" i="3" s="1"/>
  <c r="F410" i="3" a="1"/>
  <c r="F410" i="3" s="1"/>
  <c r="E410" i="3" a="1"/>
  <c r="E410" i="3" s="1"/>
  <c r="D410" i="3" a="1"/>
  <c r="D410" i="3" s="1"/>
  <c r="C410" i="3" a="1"/>
  <c r="C410" i="3" s="1"/>
  <c r="A410" i="3" s="1"/>
  <c r="L409" i="3" a="1"/>
  <c r="L409" i="3" s="1"/>
  <c r="K409" i="3" a="1"/>
  <c r="K409" i="3" s="1"/>
  <c r="J409" i="3" a="1"/>
  <c r="J409" i="3" s="1"/>
  <c r="I409" i="3" a="1"/>
  <c r="I409" i="3" s="1"/>
  <c r="H409" i="3" a="1"/>
  <c r="H409" i="3" s="1"/>
  <c r="G409" i="3" a="1"/>
  <c r="G409" i="3" s="1"/>
  <c r="F409" i="3" a="1"/>
  <c r="F409" i="3" s="1"/>
  <c r="E409" i="3" a="1"/>
  <c r="E409" i="3" s="1"/>
  <c r="D409" i="3" a="1"/>
  <c r="D409" i="3" s="1"/>
  <c r="C409" i="3" a="1"/>
  <c r="C409" i="3" s="1"/>
  <c r="A409" i="3" s="1"/>
  <c r="L408" i="3" a="1"/>
  <c r="L408" i="3" s="1"/>
  <c r="K408" i="3" a="1"/>
  <c r="K408" i="3" s="1"/>
  <c r="J408" i="3" a="1"/>
  <c r="J408" i="3" s="1"/>
  <c r="I408" i="3" a="1"/>
  <c r="I408" i="3" s="1"/>
  <c r="H408" i="3" a="1"/>
  <c r="H408" i="3" s="1"/>
  <c r="G408" i="3" a="1"/>
  <c r="G408" i="3" s="1"/>
  <c r="F408" i="3" a="1"/>
  <c r="F408" i="3" s="1"/>
  <c r="E408" i="3" a="1"/>
  <c r="E408" i="3" s="1"/>
  <c r="D408" i="3" a="1"/>
  <c r="D408" i="3" s="1"/>
  <c r="C408" i="3" a="1"/>
  <c r="C408" i="3" s="1"/>
  <c r="A408" i="3" s="1"/>
  <c r="L407" i="3" a="1"/>
  <c r="L407" i="3" s="1"/>
  <c r="K407" i="3" a="1"/>
  <c r="K407" i="3" s="1"/>
  <c r="J407" i="3" a="1"/>
  <c r="J407" i="3" s="1"/>
  <c r="I407" i="3" a="1"/>
  <c r="I407" i="3" s="1"/>
  <c r="H407" i="3" a="1"/>
  <c r="H407" i="3" s="1"/>
  <c r="G407" i="3" a="1"/>
  <c r="G407" i="3" s="1"/>
  <c r="F407" i="3" a="1"/>
  <c r="F407" i="3" s="1"/>
  <c r="E407" i="3" a="1"/>
  <c r="E407" i="3" s="1"/>
  <c r="D407" i="3" a="1"/>
  <c r="D407" i="3" s="1"/>
  <c r="C407" i="3" a="1"/>
  <c r="C407" i="3" s="1"/>
  <c r="A407" i="3" s="1"/>
  <c r="L406" i="3" a="1"/>
  <c r="L406" i="3" s="1"/>
  <c r="K406" i="3" a="1"/>
  <c r="K406" i="3" s="1"/>
  <c r="J406" i="3" a="1"/>
  <c r="J406" i="3" s="1"/>
  <c r="I406" i="3" a="1"/>
  <c r="I406" i="3" s="1"/>
  <c r="H406" i="3" a="1"/>
  <c r="H406" i="3" s="1"/>
  <c r="G406" i="3" a="1"/>
  <c r="G406" i="3" s="1"/>
  <c r="F406" i="3" a="1"/>
  <c r="F406" i="3" s="1"/>
  <c r="E406" i="3" a="1"/>
  <c r="E406" i="3" s="1"/>
  <c r="D406" i="3" a="1"/>
  <c r="D406" i="3" s="1"/>
  <c r="C406" i="3" a="1"/>
  <c r="C406" i="3" s="1"/>
  <c r="A406" i="3" s="1"/>
  <c r="L405" i="3" a="1"/>
  <c r="L405" i="3" s="1"/>
  <c r="K405" i="3" a="1"/>
  <c r="K405" i="3" s="1"/>
  <c r="J405" i="3" a="1"/>
  <c r="J405" i="3" s="1"/>
  <c r="I405" i="3" a="1"/>
  <c r="I405" i="3" s="1"/>
  <c r="H405" i="3" a="1"/>
  <c r="H405" i="3" s="1"/>
  <c r="G405" i="3" a="1"/>
  <c r="G405" i="3" s="1"/>
  <c r="F405" i="3" a="1"/>
  <c r="F405" i="3" s="1"/>
  <c r="E405" i="3" a="1"/>
  <c r="E405" i="3" s="1"/>
  <c r="D405" i="3" a="1"/>
  <c r="D405" i="3" s="1"/>
  <c r="C405" i="3" a="1"/>
  <c r="C405" i="3" s="1"/>
  <c r="A405" i="3" s="1"/>
  <c r="L404" i="3" a="1"/>
  <c r="L404" i="3" s="1"/>
  <c r="K404" i="3" a="1"/>
  <c r="K404" i="3" s="1"/>
  <c r="J404" i="3" a="1"/>
  <c r="J404" i="3" s="1"/>
  <c r="I404" i="3" a="1"/>
  <c r="I404" i="3" s="1"/>
  <c r="H404" i="3" a="1"/>
  <c r="H404" i="3" s="1"/>
  <c r="G404" i="3" a="1"/>
  <c r="G404" i="3" s="1"/>
  <c r="F404" i="3" a="1"/>
  <c r="F404" i="3" s="1"/>
  <c r="E404" i="3" a="1"/>
  <c r="E404" i="3" s="1"/>
  <c r="D404" i="3" a="1"/>
  <c r="D404" i="3" s="1"/>
  <c r="C404" i="3" a="1"/>
  <c r="C404" i="3" s="1"/>
  <c r="A404" i="3" s="1"/>
  <c r="L403" i="3" a="1"/>
  <c r="L403" i="3" s="1"/>
  <c r="K403" i="3" a="1"/>
  <c r="K403" i="3" s="1"/>
  <c r="J403" i="3" a="1"/>
  <c r="J403" i="3" s="1"/>
  <c r="I403" i="3" a="1"/>
  <c r="I403" i="3" s="1"/>
  <c r="H403" i="3" a="1"/>
  <c r="H403" i="3" s="1"/>
  <c r="G403" i="3" a="1"/>
  <c r="G403" i="3" s="1"/>
  <c r="F403" i="3" a="1"/>
  <c r="F403" i="3" s="1"/>
  <c r="E403" i="3" a="1"/>
  <c r="E403" i="3" s="1"/>
  <c r="D403" i="3" a="1"/>
  <c r="D403" i="3" s="1"/>
  <c r="C403" i="3" a="1"/>
  <c r="C403" i="3" s="1"/>
  <c r="A403" i="3" s="1"/>
  <c r="L402" i="3" a="1"/>
  <c r="L402" i="3" s="1"/>
  <c r="K402" i="3" a="1"/>
  <c r="K402" i="3" s="1"/>
  <c r="J402" i="3" a="1"/>
  <c r="J402" i="3" s="1"/>
  <c r="I402" i="3" a="1"/>
  <c r="I402" i="3" s="1"/>
  <c r="H402" i="3" a="1"/>
  <c r="H402" i="3" s="1"/>
  <c r="G402" i="3" a="1"/>
  <c r="G402" i="3" s="1"/>
  <c r="F402" i="3" a="1"/>
  <c r="F402" i="3" s="1"/>
  <c r="E402" i="3" a="1"/>
  <c r="E402" i="3" s="1"/>
  <c r="D402" i="3" a="1"/>
  <c r="D402" i="3" s="1"/>
  <c r="C402" i="3" a="1"/>
  <c r="C402" i="3" s="1"/>
  <c r="A402" i="3" s="1"/>
  <c r="L401" i="3" a="1"/>
  <c r="L401" i="3" s="1"/>
  <c r="K401" i="3" a="1"/>
  <c r="K401" i="3" s="1"/>
  <c r="J401" i="3" a="1"/>
  <c r="J401" i="3" s="1"/>
  <c r="I401" i="3" a="1"/>
  <c r="I401" i="3" s="1"/>
  <c r="H401" i="3" a="1"/>
  <c r="H401" i="3" s="1"/>
  <c r="G401" i="3" a="1"/>
  <c r="G401" i="3" s="1"/>
  <c r="F401" i="3" a="1"/>
  <c r="F401" i="3" s="1"/>
  <c r="E401" i="3" a="1"/>
  <c r="E401" i="3" s="1"/>
  <c r="D401" i="3" a="1"/>
  <c r="D401" i="3" s="1"/>
  <c r="C401" i="3" a="1"/>
  <c r="C401" i="3" s="1"/>
  <c r="A401" i="3" s="1"/>
  <c r="L400" i="3" a="1"/>
  <c r="L400" i="3" s="1"/>
  <c r="K400" i="3" a="1"/>
  <c r="K400" i="3" s="1"/>
  <c r="J400" i="3" a="1"/>
  <c r="J400" i="3" s="1"/>
  <c r="I400" i="3" a="1"/>
  <c r="I400" i="3" s="1"/>
  <c r="H400" i="3" a="1"/>
  <c r="H400" i="3" s="1"/>
  <c r="G400" i="3" a="1"/>
  <c r="G400" i="3" s="1"/>
  <c r="F400" i="3" a="1"/>
  <c r="F400" i="3" s="1"/>
  <c r="E400" i="3" a="1"/>
  <c r="E400" i="3" s="1"/>
  <c r="D400" i="3" a="1"/>
  <c r="D400" i="3" s="1"/>
  <c r="C400" i="3" a="1"/>
  <c r="C400" i="3" s="1"/>
  <c r="A400" i="3" s="1"/>
  <c r="L399" i="3" a="1"/>
  <c r="L399" i="3" s="1"/>
  <c r="K399" i="3" a="1"/>
  <c r="K399" i="3" s="1"/>
  <c r="J399" i="3" a="1"/>
  <c r="J399" i="3" s="1"/>
  <c r="I399" i="3" a="1"/>
  <c r="I399" i="3" s="1"/>
  <c r="H399" i="3" a="1"/>
  <c r="H399" i="3" s="1"/>
  <c r="G399" i="3" a="1"/>
  <c r="G399" i="3" s="1"/>
  <c r="F399" i="3" a="1"/>
  <c r="F399" i="3" s="1"/>
  <c r="E399" i="3" a="1"/>
  <c r="E399" i="3" s="1"/>
  <c r="D399" i="3" a="1"/>
  <c r="D399" i="3" s="1"/>
  <c r="C399" i="3" a="1"/>
  <c r="C399" i="3" s="1"/>
  <c r="A399" i="3" s="1"/>
  <c r="L398" i="3" a="1"/>
  <c r="L398" i="3" s="1"/>
  <c r="K398" i="3" a="1"/>
  <c r="K398" i="3" s="1"/>
  <c r="J398" i="3" a="1"/>
  <c r="J398" i="3" s="1"/>
  <c r="I398" i="3" a="1"/>
  <c r="I398" i="3" s="1"/>
  <c r="H398" i="3" a="1"/>
  <c r="H398" i="3" s="1"/>
  <c r="G398" i="3" a="1"/>
  <c r="G398" i="3" s="1"/>
  <c r="F398" i="3" a="1"/>
  <c r="F398" i="3" s="1"/>
  <c r="E398" i="3" a="1"/>
  <c r="E398" i="3" s="1"/>
  <c r="D398" i="3" a="1"/>
  <c r="D398" i="3" s="1"/>
  <c r="C398" i="3" a="1"/>
  <c r="C398" i="3" s="1"/>
  <c r="A398" i="3" s="1"/>
  <c r="L397" i="3" a="1"/>
  <c r="L397" i="3" s="1"/>
  <c r="K397" i="3" a="1"/>
  <c r="K397" i="3" s="1"/>
  <c r="J397" i="3" a="1"/>
  <c r="J397" i="3" s="1"/>
  <c r="I397" i="3" a="1"/>
  <c r="I397" i="3" s="1"/>
  <c r="H397" i="3" a="1"/>
  <c r="H397" i="3" s="1"/>
  <c r="G397" i="3" a="1"/>
  <c r="G397" i="3" s="1"/>
  <c r="F397" i="3" a="1"/>
  <c r="F397" i="3" s="1"/>
  <c r="E397" i="3" a="1"/>
  <c r="E397" i="3" s="1"/>
  <c r="D397" i="3" a="1"/>
  <c r="D397" i="3" s="1"/>
  <c r="C397" i="3" a="1"/>
  <c r="C397" i="3" s="1"/>
  <c r="A397" i="3" s="1"/>
  <c r="L396" i="3" a="1"/>
  <c r="L396" i="3" s="1"/>
  <c r="K396" i="3" a="1"/>
  <c r="K396" i="3" s="1"/>
  <c r="J396" i="3" a="1"/>
  <c r="J396" i="3" s="1"/>
  <c r="I396" i="3" a="1"/>
  <c r="I396" i="3" s="1"/>
  <c r="H396" i="3" a="1"/>
  <c r="H396" i="3" s="1"/>
  <c r="G396" i="3" a="1"/>
  <c r="G396" i="3" s="1"/>
  <c r="F396" i="3" a="1"/>
  <c r="F396" i="3" s="1"/>
  <c r="E396" i="3" a="1"/>
  <c r="E396" i="3" s="1"/>
  <c r="D396" i="3" a="1"/>
  <c r="D396" i="3" s="1"/>
  <c r="C396" i="3" a="1"/>
  <c r="C396" i="3" s="1"/>
  <c r="A396" i="3" s="1"/>
  <c r="L395" i="3" a="1"/>
  <c r="L395" i="3" s="1"/>
  <c r="K395" i="3" a="1"/>
  <c r="K395" i="3" s="1"/>
  <c r="J395" i="3" a="1"/>
  <c r="J395" i="3" s="1"/>
  <c r="I395" i="3" a="1"/>
  <c r="I395" i="3" s="1"/>
  <c r="H395" i="3" a="1"/>
  <c r="H395" i="3" s="1"/>
  <c r="G395" i="3" a="1"/>
  <c r="G395" i="3" s="1"/>
  <c r="F395" i="3" a="1"/>
  <c r="F395" i="3" s="1"/>
  <c r="E395" i="3" a="1"/>
  <c r="E395" i="3" s="1"/>
  <c r="D395" i="3" a="1"/>
  <c r="D395" i="3" s="1"/>
  <c r="C395" i="3" a="1"/>
  <c r="C395" i="3" s="1"/>
  <c r="A395" i="3" s="1"/>
  <c r="L394" i="3" a="1"/>
  <c r="L394" i="3" s="1"/>
  <c r="K394" i="3" a="1"/>
  <c r="K394" i="3" s="1"/>
  <c r="J394" i="3" a="1"/>
  <c r="J394" i="3" s="1"/>
  <c r="I394" i="3" a="1"/>
  <c r="I394" i="3" s="1"/>
  <c r="H394" i="3" a="1"/>
  <c r="H394" i="3" s="1"/>
  <c r="G394" i="3" a="1"/>
  <c r="G394" i="3" s="1"/>
  <c r="F394" i="3" a="1"/>
  <c r="F394" i="3" s="1"/>
  <c r="E394" i="3" a="1"/>
  <c r="E394" i="3" s="1"/>
  <c r="D394" i="3" a="1"/>
  <c r="D394" i="3" s="1"/>
  <c r="C394" i="3" a="1"/>
  <c r="C394" i="3" s="1"/>
  <c r="A394" i="3" s="1"/>
  <c r="L393" i="3" a="1"/>
  <c r="L393" i="3" s="1"/>
  <c r="K393" i="3" a="1"/>
  <c r="K393" i="3" s="1"/>
  <c r="J393" i="3" a="1"/>
  <c r="J393" i="3" s="1"/>
  <c r="I393" i="3" a="1"/>
  <c r="I393" i="3" s="1"/>
  <c r="H393" i="3" a="1"/>
  <c r="H393" i="3" s="1"/>
  <c r="G393" i="3" a="1"/>
  <c r="G393" i="3" s="1"/>
  <c r="F393" i="3" a="1"/>
  <c r="F393" i="3" s="1"/>
  <c r="E393" i="3" a="1"/>
  <c r="E393" i="3" s="1"/>
  <c r="D393" i="3" a="1"/>
  <c r="D393" i="3" s="1"/>
  <c r="C393" i="3" a="1"/>
  <c r="C393" i="3" s="1"/>
  <c r="A393" i="3" s="1"/>
  <c r="L392" i="3" a="1"/>
  <c r="L392" i="3" s="1"/>
  <c r="K392" i="3" a="1"/>
  <c r="K392" i="3" s="1"/>
  <c r="J392" i="3" a="1"/>
  <c r="J392" i="3" s="1"/>
  <c r="I392" i="3" a="1"/>
  <c r="I392" i="3" s="1"/>
  <c r="H392" i="3" a="1"/>
  <c r="H392" i="3" s="1"/>
  <c r="G392" i="3" a="1"/>
  <c r="G392" i="3" s="1"/>
  <c r="F392" i="3" a="1"/>
  <c r="F392" i="3" s="1"/>
  <c r="E392" i="3" a="1"/>
  <c r="E392" i="3" s="1"/>
  <c r="D392" i="3" a="1"/>
  <c r="D392" i="3" s="1"/>
  <c r="C392" i="3" a="1"/>
  <c r="C392" i="3" s="1"/>
  <c r="A392" i="3" s="1"/>
  <c r="L391" i="3" a="1"/>
  <c r="L391" i="3" s="1"/>
  <c r="K391" i="3" a="1"/>
  <c r="K391" i="3" s="1"/>
  <c r="J391" i="3" a="1"/>
  <c r="J391" i="3" s="1"/>
  <c r="I391" i="3" a="1"/>
  <c r="I391" i="3" s="1"/>
  <c r="H391" i="3" a="1"/>
  <c r="H391" i="3" s="1"/>
  <c r="G391" i="3" a="1"/>
  <c r="G391" i="3" s="1"/>
  <c r="F391" i="3" a="1"/>
  <c r="F391" i="3" s="1"/>
  <c r="E391" i="3" a="1"/>
  <c r="E391" i="3" s="1"/>
  <c r="D391" i="3" a="1"/>
  <c r="D391" i="3" s="1"/>
  <c r="C391" i="3" a="1"/>
  <c r="C391" i="3" s="1"/>
  <c r="A391" i="3" s="1"/>
  <c r="L390" i="3" a="1"/>
  <c r="L390" i="3" s="1"/>
  <c r="K390" i="3" a="1"/>
  <c r="K390" i="3" s="1"/>
  <c r="J390" i="3" a="1"/>
  <c r="J390" i="3" s="1"/>
  <c r="I390" i="3" a="1"/>
  <c r="I390" i="3" s="1"/>
  <c r="H390" i="3" a="1"/>
  <c r="H390" i="3" s="1"/>
  <c r="G390" i="3" a="1"/>
  <c r="G390" i="3" s="1"/>
  <c r="F390" i="3" a="1"/>
  <c r="F390" i="3" s="1"/>
  <c r="E390" i="3" a="1"/>
  <c r="E390" i="3" s="1"/>
  <c r="D390" i="3" a="1"/>
  <c r="D390" i="3" s="1"/>
  <c r="C390" i="3" a="1"/>
  <c r="C390" i="3" s="1"/>
  <c r="A390" i="3" s="1"/>
  <c r="L389" i="3" a="1"/>
  <c r="L389" i="3" s="1"/>
  <c r="K389" i="3" a="1"/>
  <c r="K389" i="3" s="1"/>
  <c r="J389" i="3" a="1"/>
  <c r="J389" i="3" s="1"/>
  <c r="I389" i="3" a="1"/>
  <c r="I389" i="3" s="1"/>
  <c r="H389" i="3" a="1"/>
  <c r="H389" i="3" s="1"/>
  <c r="G389" i="3" a="1"/>
  <c r="G389" i="3" s="1"/>
  <c r="F389" i="3" a="1"/>
  <c r="F389" i="3" s="1"/>
  <c r="E389" i="3" a="1"/>
  <c r="E389" i="3" s="1"/>
  <c r="D389" i="3" a="1"/>
  <c r="D389" i="3" s="1"/>
  <c r="C389" i="3" a="1"/>
  <c r="C389" i="3" s="1"/>
  <c r="A389" i="3" s="1"/>
  <c r="L388" i="3" a="1"/>
  <c r="L388" i="3" s="1"/>
  <c r="K388" i="3" a="1"/>
  <c r="K388" i="3" s="1"/>
  <c r="J388" i="3" a="1"/>
  <c r="J388" i="3" s="1"/>
  <c r="I388" i="3" a="1"/>
  <c r="I388" i="3" s="1"/>
  <c r="H388" i="3" a="1"/>
  <c r="H388" i="3" s="1"/>
  <c r="G388" i="3" a="1"/>
  <c r="G388" i="3" s="1"/>
  <c r="F388" i="3" a="1"/>
  <c r="F388" i="3" s="1"/>
  <c r="E388" i="3" a="1"/>
  <c r="E388" i="3" s="1"/>
  <c r="D388" i="3" a="1"/>
  <c r="D388" i="3" s="1"/>
  <c r="C388" i="3" a="1"/>
  <c r="C388" i="3" s="1"/>
  <c r="A388" i="3" s="1"/>
  <c r="L387" i="3" a="1"/>
  <c r="L387" i="3" s="1"/>
  <c r="K387" i="3" a="1"/>
  <c r="K387" i="3" s="1"/>
  <c r="J387" i="3" a="1"/>
  <c r="J387" i="3" s="1"/>
  <c r="I387" i="3" a="1"/>
  <c r="I387" i="3" s="1"/>
  <c r="H387" i="3" a="1"/>
  <c r="H387" i="3" s="1"/>
  <c r="G387" i="3" a="1"/>
  <c r="G387" i="3" s="1"/>
  <c r="F387" i="3" a="1"/>
  <c r="F387" i="3" s="1"/>
  <c r="E387" i="3" a="1"/>
  <c r="E387" i="3" s="1"/>
  <c r="D387" i="3" a="1"/>
  <c r="D387" i="3" s="1"/>
  <c r="C387" i="3" a="1"/>
  <c r="C387" i="3" s="1"/>
  <c r="A387" i="3" s="1"/>
  <c r="L386" i="3" a="1"/>
  <c r="L386" i="3" s="1"/>
  <c r="K386" i="3" a="1"/>
  <c r="K386" i="3" s="1"/>
  <c r="J386" i="3" a="1"/>
  <c r="J386" i="3" s="1"/>
  <c r="I386" i="3" a="1"/>
  <c r="I386" i="3" s="1"/>
  <c r="H386" i="3" a="1"/>
  <c r="H386" i="3" s="1"/>
  <c r="G386" i="3" a="1"/>
  <c r="G386" i="3" s="1"/>
  <c r="F386" i="3" a="1"/>
  <c r="F386" i="3" s="1"/>
  <c r="E386" i="3" a="1"/>
  <c r="E386" i="3" s="1"/>
  <c r="D386" i="3" a="1"/>
  <c r="D386" i="3" s="1"/>
  <c r="C386" i="3" a="1"/>
  <c r="C386" i="3" s="1"/>
  <c r="A386" i="3" s="1"/>
  <c r="L385" i="3" a="1"/>
  <c r="L385" i="3" s="1"/>
  <c r="K385" i="3" a="1"/>
  <c r="K385" i="3" s="1"/>
  <c r="J385" i="3" a="1"/>
  <c r="J385" i="3" s="1"/>
  <c r="I385" i="3" a="1"/>
  <c r="I385" i="3" s="1"/>
  <c r="H385" i="3" a="1"/>
  <c r="H385" i="3" s="1"/>
  <c r="G385" i="3" a="1"/>
  <c r="G385" i="3" s="1"/>
  <c r="F385" i="3" a="1"/>
  <c r="F385" i="3" s="1"/>
  <c r="E385" i="3" a="1"/>
  <c r="E385" i="3" s="1"/>
  <c r="D385" i="3" a="1"/>
  <c r="D385" i="3" s="1"/>
  <c r="C385" i="3" a="1"/>
  <c r="C385" i="3" s="1"/>
  <c r="A385" i="3" s="1"/>
  <c r="L384" i="3" a="1"/>
  <c r="L384" i="3" s="1"/>
  <c r="K384" i="3" a="1"/>
  <c r="K384" i="3" s="1"/>
  <c r="J384" i="3" a="1"/>
  <c r="J384" i="3" s="1"/>
  <c r="I384" i="3" a="1"/>
  <c r="I384" i="3" s="1"/>
  <c r="H384" i="3" a="1"/>
  <c r="H384" i="3" s="1"/>
  <c r="G384" i="3" a="1"/>
  <c r="G384" i="3" s="1"/>
  <c r="F384" i="3" a="1"/>
  <c r="F384" i="3" s="1"/>
  <c r="E384" i="3" a="1"/>
  <c r="E384" i="3" s="1"/>
  <c r="D384" i="3" a="1"/>
  <c r="D384" i="3" s="1"/>
  <c r="C384" i="3" a="1"/>
  <c r="C384" i="3" s="1"/>
  <c r="A384" i="3" s="1"/>
  <c r="L383" i="3" a="1"/>
  <c r="L383" i="3" s="1"/>
  <c r="K383" i="3" a="1"/>
  <c r="K383" i="3" s="1"/>
  <c r="J383" i="3" a="1"/>
  <c r="J383" i="3" s="1"/>
  <c r="I383" i="3" a="1"/>
  <c r="I383" i="3" s="1"/>
  <c r="H383" i="3" a="1"/>
  <c r="H383" i="3" s="1"/>
  <c r="G383" i="3" a="1"/>
  <c r="G383" i="3" s="1"/>
  <c r="F383" i="3" a="1"/>
  <c r="F383" i="3" s="1"/>
  <c r="E383" i="3" a="1"/>
  <c r="E383" i="3" s="1"/>
  <c r="D383" i="3" a="1"/>
  <c r="D383" i="3" s="1"/>
  <c r="C383" i="3" a="1"/>
  <c r="C383" i="3" s="1"/>
  <c r="A383" i="3" s="1"/>
  <c r="L382" i="3" a="1"/>
  <c r="L382" i="3" s="1"/>
  <c r="K382" i="3" a="1"/>
  <c r="K382" i="3" s="1"/>
  <c r="J382" i="3" a="1"/>
  <c r="J382" i="3" s="1"/>
  <c r="I382" i="3" a="1"/>
  <c r="I382" i="3" s="1"/>
  <c r="H382" i="3" a="1"/>
  <c r="H382" i="3" s="1"/>
  <c r="G382" i="3" a="1"/>
  <c r="G382" i="3" s="1"/>
  <c r="F382" i="3" a="1"/>
  <c r="F382" i="3" s="1"/>
  <c r="E382" i="3" a="1"/>
  <c r="E382" i="3" s="1"/>
  <c r="D382" i="3" a="1"/>
  <c r="D382" i="3" s="1"/>
  <c r="C382" i="3" a="1"/>
  <c r="C382" i="3" s="1"/>
  <c r="A382" i="3" s="1"/>
  <c r="L381" i="3" a="1"/>
  <c r="L381" i="3" s="1"/>
  <c r="K381" i="3" a="1"/>
  <c r="K381" i="3" s="1"/>
  <c r="J381" i="3" a="1"/>
  <c r="J381" i="3" s="1"/>
  <c r="I381" i="3" a="1"/>
  <c r="I381" i="3" s="1"/>
  <c r="H381" i="3" a="1"/>
  <c r="H381" i="3" s="1"/>
  <c r="G381" i="3" a="1"/>
  <c r="G381" i="3" s="1"/>
  <c r="F381" i="3" a="1"/>
  <c r="F381" i="3" s="1"/>
  <c r="E381" i="3" a="1"/>
  <c r="E381" i="3" s="1"/>
  <c r="D381" i="3" a="1"/>
  <c r="D381" i="3" s="1"/>
  <c r="C381" i="3" a="1"/>
  <c r="C381" i="3" s="1"/>
  <c r="A381" i="3" s="1"/>
  <c r="L380" i="3" a="1"/>
  <c r="L380" i="3" s="1"/>
  <c r="K380" i="3" a="1"/>
  <c r="K380" i="3" s="1"/>
  <c r="J380" i="3" a="1"/>
  <c r="J380" i="3" s="1"/>
  <c r="I380" i="3" a="1"/>
  <c r="I380" i="3" s="1"/>
  <c r="H380" i="3" a="1"/>
  <c r="H380" i="3" s="1"/>
  <c r="G380" i="3" a="1"/>
  <c r="G380" i="3" s="1"/>
  <c r="F380" i="3" a="1"/>
  <c r="F380" i="3" s="1"/>
  <c r="E380" i="3" a="1"/>
  <c r="E380" i="3" s="1"/>
  <c r="D380" i="3" a="1"/>
  <c r="D380" i="3" s="1"/>
  <c r="C380" i="3" a="1"/>
  <c r="C380" i="3" s="1"/>
  <c r="A380" i="3" s="1"/>
  <c r="L379" i="3" a="1"/>
  <c r="L379" i="3" s="1"/>
  <c r="K379" i="3" a="1"/>
  <c r="K379" i="3" s="1"/>
  <c r="J379" i="3" a="1"/>
  <c r="J379" i="3" s="1"/>
  <c r="I379" i="3" a="1"/>
  <c r="I379" i="3" s="1"/>
  <c r="H379" i="3" a="1"/>
  <c r="H379" i="3" s="1"/>
  <c r="G379" i="3" a="1"/>
  <c r="G379" i="3" s="1"/>
  <c r="F379" i="3" a="1"/>
  <c r="F379" i="3" s="1"/>
  <c r="E379" i="3" a="1"/>
  <c r="E379" i="3" s="1"/>
  <c r="D379" i="3" a="1"/>
  <c r="D379" i="3" s="1"/>
  <c r="C379" i="3" a="1"/>
  <c r="C379" i="3" s="1"/>
  <c r="A379" i="3" s="1"/>
  <c r="L378" i="3" a="1"/>
  <c r="L378" i="3" s="1"/>
  <c r="K378" i="3" a="1"/>
  <c r="K378" i="3" s="1"/>
  <c r="J378" i="3" a="1"/>
  <c r="J378" i="3" s="1"/>
  <c r="I378" i="3" a="1"/>
  <c r="I378" i="3" s="1"/>
  <c r="H378" i="3" a="1"/>
  <c r="H378" i="3" s="1"/>
  <c r="G378" i="3" a="1"/>
  <c r="G378" i="3" s="1"/>
  <c r="F378" i="3" a="1"/>
  <c r="F378" i="3" s="1"/>
  <c r="E378" i="3" a="1"/>
  <c r="E378" i="3" s="1"/>
  <c r="D378" i="3" a="1"/>
  <c r="D378" i="3" s="1"/>
  <c r="C378" i="3" a="1"/>
  <c r="C378" i="3" s="1"/>
  <c r="A378" i="3" s="1"/>
  <c r="L377" i="3" a="1"/>
  <c r="L377" i="3" s="1"/>
  <c r="K377" i="3" a="1"/>
  <c r="K377" i="3" s="1"/>
  <c r="J377" i="3" a="1"/>
  <c r="J377" i="3" s="1"/>
  <c r="I377" i="3" a="1"/>
  <c r="I377" i="3" s="1"/>
  <c r="H377" i="3" a="1"/>
  <c r="H377" i="3" s="1"/>
  <c r="G377" i="3" a="1"/>
  <c r="G377" i="3" s="1"/>
  <c r="F377" i="3" a="1"/>
  <c r="F377" i="3" s="1"/>
  <c r="E377" i="3" a="1"/>
  <c r="E377" i="3" s="1"/>
  <c r="D377" i="3" a="1"/>
  <c r="D377" i="3" s="1"/>
  <c r="C377" i="3" a="1"/>
  <c r="C377" i="3" s="1"/>
  <c r="A377" i="3" s="1"/>
  <c r="L376" i="3" a="1"/>
  <c r="L376" i="3" s="1"/>
  <c r="K376" i="3" a="1"/>
  <c r="K376" i="3" s="1"/>
  <c r="J376" i="3" a="1"/>
  <c r="J376" i="3" s="1"/>
  <c r="I376" i="3" a="1"/>
  <c r="I376" i="3" s="1"/>
  <c r="H376" i="3" a="1"/>
  <c r="H376" i="3" s="1"/>
  <c r="G376" i="3" a="1"/>
  <c r="G376" i="3" s="1"/>
  <c r="F376" i="3" a="1"/>
  <c r="F376" i="3" s="1"/>
  <c r="E376" i="3" a="1"/>
  <c r="E376" i="3" s="1"/>
  <c r="D376" i="3" a="1"/>
  <c r="D376" i="3" s="1"/>
  <c r="C376" i="3" a="1"/>
  <c r="C376" i="3" s="1"/>
  <c r="A376" i="3" s="1"/>
  <c r="L375" i="3" a="1"/>
  <c r="L375" i="3" s="1"/>
  <c r="K375" i="3" a="1"/>
  <c r="K375" i="3" s="1"/>
  <c r="J375" i="3" a="1"/>
  <c r="J375" i="3" s="1"/>
  <c r="I375" i="3" a="1"/>
  <c r="I375" i="3" s="1"/>
  <c r="H375" i="3" a="1"/>
  <c r="H375" i="3" s="1"/>
  <c r="G375" i="3" a="1"/>
  <c r="G375" i="3" s="1"/>
  <c r="F375" i="3" a="1"/>
  <c r="F375" i="3" s="1"/>
  <c r="E375" i="3" a="1"/>
  <c r="E375" i="3" s="1"/>
  <c r="D375" i="3" a="1"/>
  <c r="D375" i="3" s="1"/>
  <c r="C375" i="3" a="1"/>
  <c r="C375" i="3" s="1"/>
  <c r="A375" i="3" s="1"/>
  <c r="L374" i="3" a="1"/>
  <c r="L374" i="3" s="1"/>
  <c r="K374" i="3" a="1"/>
  <c r="K374" i="3" s="1"/>
  <c r="J374" i="3" a="1"/>
  <c r="J374" i="3" s="1"/>
  <c r="I374" i="3" a="1"/>
  <c r="I374" i="3" s="1"/>
  <c r="H374" i="3" a="1"/>
  <c r="H374" i="3" s="1"/>
  <c r="G374" i="3" a="1"/>
  <c r="G374" i="3" s="1"/>
  <c r="F374" i="3" a="1"/>
  <c r="F374" i="3" s="1"/>
  <c r="E374" i="3" a="1"/>
  <c r="E374" i="3" s="1"/>
  <c r="D374" i="3" a="1"/>
  <c r="D374" i="3" s="1"/>
  <c r="C374" i="3" a="1"/>
  <c r="C374" i="3" s="1"/>
  <c r="A374" i="3" s="1"/>
  <c r="L373" i="3" a="1"/>
  <c r="L373" i="3" s="1"/>
  <c r="K373" i="3" a="1"/>
  <c r="K373" i="3" s="1"/>
  <c r="J373" i="3" a="1"/>
  <c r="J373" i="3" s="1"/>
  <c r="I373" i="3" a="1"/>
  <c r="I373" i="3" s="1"/>
  <c r="H373" i="3" a="1"/>
  <c r="H373" i="3" s="1"/>
  <c r="G373" i="3" a="1"/>
  <c r="G373" i="3" s="1"/>
  <c r="F373" i="3" a="1"/>
  <c r="F373" i="3" s="1"/>
  <c r="E373" i="3" a="1"/>
  <c r="E373" i="3" s="1"/>
  <c r="D373" i="3" a="1"/>
  <c r="D373" i="3" s="1"/>
  <c r="C373" i="3" a="1"/>
  <c r="C373" i="3" s="1"/>
  <c r="A373" i="3" s="1"/>
  <c r="L372" i="3" a="1"/>
  <c r="L372" i="3" s="1"/>
  <c r="K372" i="3" a="1"/>
  <c r="K372" i="3" s="1"/>
  <c r="J372" i="3" a="1"/>
  <c r="J372" i="3" s="1"/>
  <c r="I372" i="3" a="1"/>
  <c r="I372" i="3" s="1"/>
  <c r="H372" i="3" a="1"/>
  <c r="H372" i="3" s="1"/>
  <c r="G372" i="3" a="1"/>
  <c r="G372" i="3" s="1"/>
  <c r="F372" i="3" a="1"/>
  <c r="F372" i="3" s="1"/>
  <c r="E372" i="3" a="1"/>
  <c r="E372" i="3" s="1"/>
  <c r="D372" i="3" a="1"/>
  <c r="D372" i="3" s="1"/>
  <c r="C372" i="3" a="1"/>
  <c r="C372" i="3" s="1"/>
  <c r="A372" i="3" s="1"/>
  <c r="L371" i="3" a="1"/>
  <c r="L371" i="3" s="1"/>
  <c r="K371" i="3" a="1"/>
  <c r="K371" i="3" s="1"/>
  <c r="J371" i="3" a="1"/>
  <c r="J371" i="3" s="1"/>
  <c r="I371" i="3" a="1"/>
  <c r="I371" i="3" s="1"/>
  <c r="H371" i="3" a="1"/>
  <c r="H371" i="3" s="1"/>
  <c r="G371" i="3" a="1"/>
  <c r="G371" i="3" s="1"/>
  <c r="F371" i="3" a="1"/>
  <c r="F371" i="3" s="1"/>
  <c r="E371" i="3" a="1"/>
  <c r="E371" i="3" s="1"/>
  <c r="D371" i="3" a="1"/>
  <c r="D371" i="3" s="1"/>
  <c r="C371" i="3" a="1"/>
  <c r="C371" i="3" s="1"/>
  <c r="A371" i="3" s="1"/>
  <c r="L370" i="3" a="1"/>
  <c r="L370" i="3" s="1"/>
  <c r="K370" i="3" a="1"/>
  <c r="K370" i="3" s="1"/>
  <c r="J370" i="3" a="1"/>
  <c r="J370" i="3" s="1"/>
  <c r="I370" i="3" a="1"/>
  <c r="I370" i="3" s="1"/>
  <c r="H370" i="3" a="1"/>
  <c r="H370" i="3" s="1"/>
  <c r="G370" i="3" a="1"/>
  <c r="G370" i="3" s="1"/>
  <c r="F370" i="3" a="1"/>
  <c r="F370" i="3" s="1"/>
  <c r="E370" i="3" a="1"/>
  <c r="E370" i="3" s="1"/>
  <c r="D370" i="3" a="1"/>
  <c r="D370" i="3" s="1"/>
  <c r="C370" i="3" a="1"/>
  <c r="C370" i="3" s="1"/>
  <c r="A370" i="3" s="1"/>
  <c r="L369" i="3" a="1"/>
  <c r="L369" i="3" s="1"/>
  <c r="K369" i="3" a="1"/>
  <c r="K369" i="3" s="1"/>
  <c r="J369" i="3" a="1"/>
  <c r="J369" i="3" s="1"/>
  <c r="I369" i="3" a="1"/>
  <c r="I369" i="3" s="1"/>
  <c r="H369" i="3" a="1"/>
  <c r="H369" i="3" s="1"/>
  <c r="G369" i="3" a="1"/>
  <c r="G369" i="3" s="1"/>
  <c r="F369" i="3" a="1"/>
  <c r="F369" i="3" s="1"/>
  <c r="E369" i="3" a="1"/>
  <c r="E369" i="3" s="1"/>
  <c r="D369" i="3" a="1"/>
  <c r="D369" i="3" s="1"/>
  <c r="C369" i="3" a="1"/>
  <c r="C369" i="3" s="1"/>
  <c r="A369" i="3" s="1"/>
  <c r="L368" i="3" a="1"/>
  <c r="L368" i="3" s="1"/>
  <c r="K368" i="3" a="1"/>
  <c r="K368" i="3" s="1"/>
  <c r="J368" i="3" a="1"/>
  <c r="J368" i="3" s="1"/>
  <c r="I368" i="3" a="1"/>
  <c r="I368" i="3" s="1"/>
  <c r="H368" i="3" a="1"/>
  <c r="H368" i="3" s="1"/>
  <c r="G368" i="3" a="1"/>
  <c r="G368" i="3" s="1"/>
  <c r="F368" i="3" a="1"/>
  <c r="F368" i="3" s="1"/>
  <c r="E368" i="3" a="1"/>
  <c r="E368" i="3" s="1"/>
  <c r="D368" i="3" a="1"/>
  <c r="D368" i="3" s="1"/>
  <c r="C368" i="3" a="1"/>
  <c r="C368" i="3" s="1"/>
  <c r="A368" i="3" s="1"/>
  <c r="L367" i="3" a="1"/>
  <c r="L367" i="3" s="1"/>
  <c r="K367" i="3" a="1"/>
  <c r="K367" i="3" s="1"/>
  <c r="J367" i="3" a="1"/>
  <c r="J367" i="3" s="1"/>
  <c r="I367" i="3" a="1"/>
  <c r="I367" i="3" s="1"/>
  <c r="H367" i="3" a="1"/>
  <c r="H367" i="3" s="1"/>
  <c r="G367" i="3" a="1"/>
  <c r="G367" i="3" s="1"/>
  <c r="F367" i="3" a="1"/>
  <c r="F367" i="3" s="1"/>
  <c r="E367" i="3" a="1"/>
  <c r="E367" i="3" s="1"/>
  <c r="D367" i="3" a="1"/>
  <c r="D367" i="3" s="1"/>
  <c r="C367" i="3" a="1"/>
  <c r="C367" i="3" s="1"/>
  <c r="A367" i="3" s="1"/>
  <c r="L366" i="3" a="1"/>
  <c r="L366" i="3" s="1"/>
  <c r="K366" i="3" a="1"/>
  <c r="K366" i="3" s="1"/>
  <c r="J366" i="3" a="1"/>
  <c r="J366" i="3" s="1"/>
  <c r="I366" i="3" a="1"/>
  <c r="I366" i="3" s="1"/>
  <c r="H366" i="3" a="1"/>
  <c r="H366" i="3" s="1"/>
  <c r="G366" i="3" a="1"/>
  <c r="G366" i="3" s="1"/>
  <c r="F366" i="3" a="1"/>
  <c r="F366" i="3" s="1"/>
  <c r="E366" i="3" a="1"/>
  <c r="E366" i="3" s="1"/>
  <c r="D366" i="3" a="1"/>
  <c r="D366" i="3" s="1"/>
  <c r="C366" i="3" a="1"/>
  <c r="C366" i="3" s="1"/>
  <c r="A366" i="3" s="1"/>
  <c r="L365" i="3" a="1"/>
  <c r="L365" i="3" s="1"/>
  <c r="K365" i="3" a="1"/>
  <c r="K365" i="3" s="1"/>
  <c r="J365" i="3" a="1"/>
  <c r="J365" i="3" s="1"/>
  <c r="I365" i="3" a="1"/>
  <c r="I365" i="3" s="1"/>
  <c r="H365" i="3" a="1"/>
  <c r="H365" i="3" s="1"/>
  <c r="G365" i="3" a="1"/>
  <c r="G365" i="3" s="1"/>
  <c r="F365" i="3" a="1"/>
  <c r="F365" i="3" s="1"/>
  <c r="E365" i="3" a="1"/>
  <c r="E365" i="3" s="1"/>
  <c r="D365" i="3" a="1"/>
  <c r="D365" i="3" s="1"/>
  <c r="C365" i="3" a="1"/>
  <c r="C365" i="3" s="1"/>
  <c r="A365" i="3" s="1"/>
  <c r="L364" i="3" a="1"/>
  <c r="L364" i="3" s="1"/>
  <c r="K364" i="3" a="1"/>
  <c r="K364" i="3" s="1"/>
  <c r="J364" i="3" a="1"/>
  <c r="J364" i="3" s="1"/>
  <c r="I364" i="3" a="1"/>
  <c r="I364" i="3" s="1"/>
  <c r="H364" i="3" a="1"/>
  <c r="H364" i="3" s="1"/>
  <c r="G364" i="3" a="1"/>
  <c r="G364" i="3" s="1"/>
  <c r="F364" i="3" a="1"/>
  <c r="F364" i="3" s="1"/>
  <c r="E364" i="3" a="1"/>
  <c r="E364" i="3" s="1"/>
  <c r="D364" i="3" a="1"/>
  <c r="D364" i="3" s="1"/>
  <c r="C364" i="3" a="1"/>
  <c r="C364" i="3" s="1"/>
  <c r="A364" i="3" s="1"/>
  <c r="L363" i="3" a="1"/>
  <c r="L363" i="3" s="1"/>
  <c r="K363" i="3" a="1"/>
  <c r="K363" i="3" s="1"/>
  <c r="J363" i="3" a="1"/>
  <c r="J363" i="3" s="1"/>
  <c r="I363" i="3" a="1"/>
  <c r="I363" i="3" s="1"/>
  <c r="H363" i="3" a="1"/>
  <c r="H363" i="3" s="1"/>
  <c r="G363" i="3" a="1"/>
  <c r="G363" i="3" s="1"/>
  <c r="F363" i="3" a="1"/>
  <c r="F363" i="3" s="1"/>
  <c r="E363" i="3" a="1"/>
  <c r="E363" i="3" s="1"/>
  <c r="D363" i="3" a="1"/>
  <c r="D363" i="3" s="1"/>
  <c r="C363" i="3" a="1"/>
  <c r="C363" i="3" s="1"/>
  <c r="A363" i="3" s="1"/>
  <c r="L362" i="3" a="1"/>
  <c r="L362" i="3" s="1"/>
  <c r="K362" i="3" a="1"/>
  <c r="K362" i="3" s="1"/>
  <c r="J362" i="3" a="1"/>
  <c r="J362" i="3" s="1"/>
  <c r="I362" i="3" a="1"/>
  <c r="I362" i="3" s="1"/>
  <c r="H362" i="3" a="1"/>
  <c r="H362" i="3" s="1"/>
  <c r="G362" i="3" a="1"/>
  <c r="G362" i="3" s="1"/>
  <c r="F362" i="3" a="1"/>
  <c r="F362" i="3" s="1"/>
  <c r="E362" i="3" a="1"/>
  <c r="E362" i="3" s="1"/>
  <c r="D362" i="3" a="1"/>
  <c r="D362" i="3" s="1"/>
  <c r="C362" i="3" a="1"/>
  <c r="C362" i="3" s="1"/>
  <c r="A362" i="3" s="1"/>
  <c r="L361" i="3" a="1"/>
  <c r="L361" i="3" s="1"/>
  <c r="K361" i="3" a="1"/>
  <c r="K361" i="3" s="1"/>
  <c r="J361" i="3" a="1"/>
  <c r="J361" i="3" s="1"/>
  <c r="I361" i="3" a="1"/>
  <c r="I361" i="3" s="1"/>
  <c r="H361" i="3" a="1"/>
  <c r="H361" i="3" s="1"/>
  <c r="G361" i="3" a="1"/>
  <c r="G361" i="3" s="1"/>
  <c r="F361" i="3" a="1"/>
  <c r="F361" i="3" s="1"/>
  <c r="E361" i="3" a="1"/>
  <c r="E361" i="3" s="1"/>
  <c r="D361" i="3" a="1"/>
  <c r="D361" i="3" s="1"/>
  <c r="C361" i="3" a="1"/>
  <c r="C361" i="3" s="1"/>
  <c r="A361" i="3" s="1"/>
  <c r="L360" i="3" a="1"/>
  <c r="L360" i="3" s="1"/>
  <c r="K360" i="3" a="1"/>
  <c r="K360" i="3" s="1"/>
  <c r="J360" i="3" a="1"/>
  <c r="J360" i="3" s="1"/>
  <c r="I360" i="3" a="1"/>
  <c r="I360" i="3" s="1"/>
  <c r="H360" i="3" a="1"/>
  <c r="H360" i="3" s="1"/>
  <c r="G360" i="3" a="1"/>
  <c r="G360" i="3" s="1"/>
  <c r="F360" i="3" a="1"/>
  <c r="F360" i="3" s="1"/>
  <c r="E360" i="3" a="1"/>
  <c r="E360" i="3" s="1"/>
  <c r="D360" i="3" a="1"/>
  <c r="D360" i="3" s="1"/>
  <c r="C360" i="3" a="1"/>
  <c r="C360" i="3" s="1"/>
  <c r="A360" i="3" s="1"/>
  <c r="L359" i="3" a="1"/>
  <c r="L359" i="3" s="1"/>
  <c r="K359" i="3" a="1"/>
  <c r="K359" i="3" s="1"/>
  <c r="J359" i="3" a="1"/>
  <c r="J359" i="3" s="1"/>
  <c r="I359" i="3" a="1"/>
  <c r="I359" i="3" s="1"/>
  <c r="H359" i="3" a="1"/>
  <c r="H359" i="3" s="1"/>
  <c r="G359" i="3" a="1"/>
  <c r="G359" i="3" s="1"/>
  <c r="F359" i="3" a="1"/>
  <c r="F359" i="3" s="1"/>
  <c r="E359" i="3" a="1"/>
  <c r="E359" i="3" s="1"/>
  <c r="D359" i="3" a="1"/>
  <c r="D359" i="3" s="1"/>
  <c r="C359" i="3" a="1"/>
  <c r="C359" i="3" s="1"/>
  <c r="A359" i="3" s="1"/>
  <c r="L358" i="3" a="1"/>
  <c r="L358" i="3" s="1"/>
  <c r="K358" i="3" a="1"/>
  <c r="K358" i="3" s="1"/>
  <c r="J358" i="3" a="1"/>
  <c r="J358" i="3" s="1"/>
  <c r="I358" i="3" a="1"/>
  <c r="I358" i="3" s="1"/>
  <c r="H358" i="3" a="1"/>
  <c r="H358" i="3" s="1"/>
  <c r="G358" i="3" a="1"/>
  <c r="G358" i="3" s="1"/>
  <c r="F358" i="3" a="1"/>
  <c r="F358" i="3" s="1"/>
  <c r="E358" i="3" a="1"/>
  <c r="E358" i="3" s="1"/>
  <c r="D358" i="3" a="1"/>
  <c r="D358" i="3" s="1"/>
  <c r="C358" i="3" a="1"/>
  <c r="C358" i="3" s="1"/>
  <c r="A358" i="3" s="1"/>
  <c r="L357" i="3" a="1"/>
  <c r="L357" i="3" s="1"/>
  <c r="K357" i="3" a="1"/>
  <c r="K357" i="3" s="1"/>
  <c r="J357" i="3" a="1"/>
  <c r="J357" i="3" s="1"/>
  <c r="I357" i="3" a="1"/>
  <c r="I357" i="3" s="1"/>
  <c r="H357" i="3" a="1"/>
  <c r="H357" i="3" s="1"/>
  <c r="G357" i="3" a="1"/>
  <c r="G357" i="3" s="1"/>
  <c r="F357" i="3" a="1"/>
  <c r="F357" i="3" s="1"/>
  <c r="E357" i="3" a="1"/>
  <c r="E357" i="3" s="1"/>
  <c r="D357" i="3" a="1"/>
  <c r="D357" i="3" s="1"/>
  <c r="C357" i="3" a="1"/>
  <c r="C357" i="3" s="1"/>
  <c r="A357" i="3" s="1"/>
  <c r="L356" i="3" a="1"/>
  <c r="L356" i="3" s="1"/>
  <c r="K356" i="3" a="1"/>
  <c r="K356" i="3" s="1"/>
  <c r="J356" i="3" a="1"/>
  <c r="J356" i="3" s="1"/>
  <c r="I356" i="3" a="1"/>
  <c r="I356" i="3" s="1"/>
  <c r="H356" i="3" a="1"/>
  <c r="H356" i="3" s="1"/>
  <c r="G356" i="3" a="1"/>
  <c r="G356" i="3" s="1"/>
  <c r="F356" i="3" a="1"/>
  <c r="F356" i="3" s="1"/>
  <c r="E356" i="3" a="1"/>
  <c r="E356" i="3" s="1"/>
  <c r="D356" i="3" a="1"/>
  <c r="D356" i="3" s="1"/>
  <c r="C356" i="3" a="1"/>
  <c r="C356" i="3" s="1"/>
  <c r="A356" i="3" s="1"/>
  <c r="L355" i="3" a="1"/>
  <c r="L355" i="3" s="1"/>
  <c r="K355" i="3" a="1"/>
  <c r="K355" i="3" s="1"/>
  <c r="J355" i="3" a="1"/>
  <c r="J355" i="3" s="1"/>
  <c r="I355" i="3" a="1"/>
  <c r="I355" i="3" s="1"/>
  <c r="H355" i="3" a="1"/>
  <c r="H355" i="3" s="1"/>
  <c r="G355" i="3" a="1"/>
  <c r="G355" i="3" s="1"/>
  <c r="F355" i="3" a="1"/>
  <c r="F355" i="3" s="1"/>
  <c r="E355" i="3" a="1"/>
  <c r="E355" i="3" s="1"/>
  <c r="D355" i="3" a="1"/>
  <c r="D355" i="3" s="1"/>
  <c r="C355" i="3" a="1"/>
  <c r="C355" i="3" s="1"/>
  <c r="A355" i="3" s="1"/>
  <c r="L354" i="3" a="1"/>
  <c r="L354" i="3" s="1"/>
  <c r="K354" i="3" a="1"/>
  <c r="K354" i="3" s="1"/>
  <c r="J354" i="3" a="1"/>
  <c r="J354" i="3" s="1"/>
  <c r="I354" i="3" a="1"/>
  <c r="I354" i="3" s="1"/>
  <c r="H354" i="3" a="1"/>
  <c r="H354" i="3" s="1"/>
  <c r="G354" i="3" a="1"/>
  <c r="G354" i="3" s="1"/>
  <c r="F354" i="3" a="1"/>
  <c r="F354" i="3" s="1"/>
  <c r="E354" i="3" a="1"/>
  <c r="E354" i="3" s="1"/>
  <c r="D354" i="3" a="1"/>
  <c r="D354" i="3" s="1"/>
  <c r="C354" i="3" a="1"/>
  <c r="C354" i="3" s="1"/>
  <c r="A354" i="3" s="1"/>
  <c r="L353" i="3" a="1"/>
  <c r="L353" i="3" s="1"/>
  <c r="K353" i="3" a="1"/>
  <c r="K353" i="3" s="1"/>
  <c r="J353" i="3" a="1"/>
  <c r="J353" i="3" s="1"/>
  <c r="I353" i="3" a="1"/>
  <c r="I353" i="3" s="1"/>
  <c r="H353" i="3" a="1"/>
  <c r="H353" i="3" s="1"/>
  <c r="G353" i="3" a="1"/>
  <c r="G353" i="3" s="1"/>
  <c r="F353" i="3" a="1"/>
  <c r="F353" i="3" s="1"/>
  <c r="E353" i="3" a="1"/>
  <c r="E353" i="3" s="1"/>
  <c r="D353" i="3" a="1"/>
  <c r="D353" i="3" s="1"/>
  <c r="C353" i="3" a="1"/>
  <c r="C353" i="3" s="1"/>
  <c r="A353" i="3" s="1"/>
  <c r="L352" i="3" a="1"/>
  <c r="L352" i="3" s="1"/>
  <c r="K352" i="3" a="1"/>
  <c r="K352" i="3" s="1"/>
  <c r="J352" i="3" a="1"/>
  <c r="J352" i="3" s="1"/>
  <c r="I352" i="3" a="1"/>
  <c r="I352" i="3" s="1"/>
  <c r="H352" i="3" a="1"/>
  <c r="H352" i="3" s="1"/>
  <c r="G352" i="3" a="1"/>
  <c r="G352" i="3" s="1"/>
  <c r="F352" i="3" a="1"/>
  <c r="F352" i="3" s="1"/>
  <c r="E352" i="3" a="1"/>
  <c r="E352" i="3" s="1"/>
  <c r="D352" i="3" a="1"/>
  <c r="D352" i="3" s="1"/>
  <c r="C352" i="3" a="1"/>
  <c r="C352" i="3" s="1"/>
  <c r="A352" i="3" s="1"/>
  <c r="L351" i="3" a="1"/>
  <c r="L351" i="3" s="1"/>
  <c r="K351" i="3" a="1"/>
  <c r="K351" i="3" s="1"/>
  <c r="J351" i="3" a="1"/>
  <c r="J351" i="3" s="1"/>
  <c r="I351" i="3" a="1"/>
  <c r="I351" i="3" s="1"/>
  <c r="H351" i="3" a="1"/>
  <c r="H351" i="3" s="1"/>
  <c r="G351" i="3" a="1"/>
  <c r="G351" i="3" s="1"/>
  <c r="F351" i="3" a="1"/>
  <c r="F351" i="3" s="1"/>
  <c r="E351" i="3" a="1"/>
  <c r="E351" i="3" s="1"/>
  <c r="D351" i="3" a="1"/>
  <c r="D351" i="3" s="1"/>
  <c r="C351" i="3" a="1"/>
  <c r="C351" i="3" s="1"/>
  <c r="A351" i="3" s="1"/>
  <c r="L350" i="3" a="1"/>
  <c r="L350" i="3" s="1"/>
  <c r="K350" i="3" a="1"/>
  <c r="K350" i="3" s="1"/>
  <c r="J350" i="3" a="1"/>
  <c r="J350" i="3" s="1"/>
  <c r="I350" i="3" a="1"/>
  <c r="I350" i="3" s="1"/>
  <c r="H350" i="3" a="1"/>
  <c r="H350" i="3" s="1"/>
  <c r="G350" i="3" a="1"/>
  <c r="G350" i="3" s="1"/>
  <c r="F350" i="3" a="1"/>
  <c r="F350" i="3" s="1"/>
  <c r="E350" i="3" a="1"/>
  <c r="E350" i="3" s="1"/>
  <c r="D350" i="3" a="1"/>
  <c r="D350" i="3" s="1"/>
  <c r="C350" i="3" a="1"/>
  <c r="C350" i="3" s="1"/>
  <c r="A350" i="3" s="1"/>
  <c r="L349" i="3" a="1"/>
  <c r="L349" i="3" s="1"/>
  <c r="K349" i="3" a="1"/>
  <c r="K349" i="3" s="1"/>
  <c r="J349" i="3" a="1"/>
  <c r="J349" i="3" s="1"/>
  <c r="I349" i="3" a="1"/>
  <c r="I349" i="3" s="1"/>
  <c r="H349" i="3" a="1"/>
  <c r="H349" i="3" s="1"/>
  <c r="G349" i="3" a="1"/>
  <c r="G349" i="3" s="1"/>
  <c r="F349" i="3" a="1"/>
  <c r="F349" i="3" s="1"/>
  <c r="E349" i="3" a="1"/>
  <c r="E349" i="3" s="1"/>
  <c r="D349" i="3" a="1"/>
  <c r="D349" i="3" s="1"/>
  <c r="C349" i="3" a="1"/>
  <c r="C349" i="3" s="1"/>
  <c r="A349" i="3" s="1"/>
  <c r="L348" i="3" a="1"/>
  <c r="L348" i="3" s="1"/>
  <c r="K348" i="3" a="1"/>
  <c r="K348" i="3" s="1"/>
  <c r="J348" i="3" a="1"/>
  <c r="J348" i="3" s="1"/>
  <c r="I348" i="3" a="1"/>
  <c r="I348" i="3" s="1"/>
  <c r="H348" i="3" a="1"/>
  <c r="H348" i="3" s="1"/>
  <c r="G348" i="3" a="1"/>
  <c r="G348" i="3" s="1"/>
  <c r="F348" i="3" a="1"/>
  <c r="F348" i="3" s="1"/>
  <c r="E348" i="3" a="1"/>
  <c r="E348" i="3" s="1"/>
  <c r="D348" i="3" a="1"/>
  <c r="D348" i="3" s="1"/>
  <c r="C348" i="3" a="1"/>
  <c r="C348" i="3" s="1"/>
  <c r="A348" i="3" s="1"/>
  <c r="L347" i="3" a="1"/>
  <c r="L347" i="3" s="1"/>
  <c r="K347" i="3" a="1"/>
  <c r="K347" i="3" s="1"/>
  <c r="J347" i="3" a="1"/>
  <c r="J347" i="3" s="1"/>
  <c r="I347" i="3" a="1"/>
  <c r="I347" i="3" s="1"/>
  <c r="H347" i="3" a="1"/>
  <c r="H347" i="3" s="1"/>
  <c r="G347" i="3" a="1"/>
  <c r="G347" i="3" s="1"/>
  <c r="F347" i="3" a="1"/>
  <c r="F347" i="3" s="1"/>
  <c r="E347" i="3" a="1"/>
  <c r="E347" i="3" s="1"/>
  <c r="D347" i="3" a="1"/>
  <c r="D347" i="3" s="1"/>
  <c r="C347" i="3" a="1"/>
  <c r="C347" i="3" s="1"/>
  <c r="A347" i="3" s="1"/>
  <c r="L346" i="3" a="1"/>
  <c r="L346" i="3" s="1"/>
  <c r="K346" i="3" a="1"/>
  <c r="K346" i="3" s="1"/>
  <c r="J346" i="3" a="1"/>
  <c r="J346" i="3" s="1"/>
  <c r="I346" i="3" a="1"/>
  <c r="I346" i="3" s="1"/>
  <c r="H346" i="3" a="1"/>
  <c r="H346" i="3" s="1"/>
  <c r="G346" i="3" a="1"/>
  <c r="G346" i="3" s="1"/>
  <c r="F346" i="3" a="1"/>
  <c r="F346" i="3" s="1"/>
  <c r="E346" i="3" a="1"/>
  <c r="E346" i="3" s="1"/>
  <c r="D346" i="3" a="1"/>
  <c r="D346" i="3" s="1"/>
  <c r="C346" i="3" a="1"/>
  <c r="C346" i="3" s="1"/>
  <c r="A346" i="3" s="1"/>
  <c r="L345" i="3" a="1"/>
  <c r="L345" i="3" s="1"/>
  <c r="K345" i="3" a="1"/>
  <c r="K345" i="3" s="1"/>
  <c r="J345" i="3" a="1"/>
  <c r="J345" i="3" s="1"/>
  <c r="I345" i="3" a="1"/>
  <c r="I345" i="3" s="1"/>
  <c r="H345" i="3" a="1"/>
  <c r="H345" i="3" s="1"/>
  <c r="G345" i="3" a="1"/>
  <c r="G345" i="3" s="1"/>
  <c r="F345" i="3" a="1"/>
  <c r="F345" i="3" s="1"/>
  <c r="E345" i="3" a="1"/>
  <c r="E345" i="3" s="1"/>
  <c r="D345" i="3" a="1"/>
  <c r="D345" i="3" s="1"/>
  <c r="C345" i="3" a="1"/>
  <c r="C345" i="3" s="1"/>
  <c r="A345" i="3" s="1"/>
  <c r="L344" i="3" a="1"/>
  <c r="L344" i="3" s="1"/>
  <c r="K344" i="3" a="1"/>
  <c r="K344" i="3" s="1"/>
  <c r="J344" i="3" a="1"/>
  <c r="J344" i="3" s="1"/>
  <c r="I344" i="3" a="1"/>
  <c r="I344" i="3" s="1"/>
  <c r="H344" i="3" a="1"/>
  <c r="H344" i="3" s="1"/>
  <c r="G344" i="3" a="1"/>
  <c r="G344" i="3" s="1"/>
  <c r="F344" i="3" a="1"/>
  <c r="F344" i="3" s="1"/>
  <c r="E344" i="3" a="1"/>
  <c r="E344" i="3" s="1"/>
  <c r="D344" i="3" a="1"/>
  <c r="D344" i="3" s="1"/>
  <c r="C344" i="3" a="1"/>
  <c r="C344" i="3" s="1"/>
  <c r="A344" i="3" s="1"/>
  <c r="L343" i="3" a="1"/>
  <c r="L343" i="3" s="1"/>
  <c r="K343" i="3" a="1"/>
  <c r="K343" i="3" s="1"/>
  <c r="J343" i="3" a="1"/>
  <c r="J343" i="3" s="1"/>
  <c r="I343" i="3" a="1"/>
  <c r="I343" i="3" s="1"/>
  <c r="H343" i="3" a="1"/>
  <c r="H343" i="3" s="1"/>
  <c r="G343" i="3" a="1"/>
  <c r="G343" i="3" s="1"/>
  <c r="F343" i="3" a="1"/>
  <c r="F343" i="3" s="1"/>
  <c r="E343" i="3" a="1"/>
  <c r="E343" i="3" s="1"/>
  <c r="D343" i="3" a="1"/>
  <c r="D343" i="3" s="1"/>
  <c r="C343" i="3" a="1"/>
  <c r="C343" i="3" s="1"/>
  <c r="A343" i="3" s="1"/>
  <c r="L342" i="3" a="1"/>
  <c r="L342" i="3" s="1"/>
  <c r="K342" i="3" a="1"/>
  <c r="K342" i="3" s="1"/>
  <c r="J342" i="3" a="1"/>
  <c r="J342" i="3" s="1"/>
  <c r="I342" i="3" a="1"/>
  <c r="I342" i="3" s="1"/>
  <c r="H342" i="3" a="1"/>
  <c r="H342" i="3" s="1"/>
  <c r="G342" i="3" a="1"/>
  <c r="G342" i="3" s="1"/>
  <c r="F342" i="3" a="1"/>
  <c r="F342" i="3" s="1"/>
  <c r="E342" i="3" a="1"/>
  <c r="E342" i="3" s="1"/>
  <c r="D342" i="3" a="1"/>
  <c r="D342" i="3" s="1"/>
  <c r="C342" i="3" a="1"/>
  <c r="C342" i="3" s="1"/>
  <c r="A342" i="3" s="1"/>
  <c r="L341" i="3" a="1"/>
  <c r="L341" i="3" s="1"/>
  <c r="K341" i="3" a="1"/>
  <c r="K341" i="3" s="1"/>
  <c r="J341" i="3" a="1"/>
  <c r="J341" i="3" s="1"/>
  <c r="I341" i="3" a="1"/>
  <c r="I341" i="3" s="1"/>
  <c r="H341" i="3" a="1"/>
  <c r="H341" i="3" s="1"/>
  <c r="G341" i="3" a="1"/>
  <c r="G341" i="3" s="1"/>
  <c r="F341" i="3" a="1"/>
  <c r="F341" i="3" s="1"/>
  <c r="E341" i="3" a="1"/>
  <c r="E341" i="3" s="1"/>
  <c r="D341" i="3" a="1"/>
  <c r="D341" i="3" s="1"/>
  <c r="C341" i="3" a="1"/>
  <c r="C341" i="3" s="1"/>
  <c r="A341" i="3" s="1"/>
  <c r="L340" i="3" a="1"/>
  <c r="L340" i="3" s="1"/>
  <c r="K340" i="3" a="1"/>
  <c r="K340" i="3" s="1"/>
  <c r="J340" i="3" a="1"/>
  <c r="J340" i="3" s="1"/>
  <c r="I340" i="3" a="1"/>
  <c r="I340" i="3" s="1"/>
  <c r="H340" i="3" a="1"/>
  <c r="H340" i="3" s="1"/>
  <c r="G340" i="3" a="1"/>
  <c r="G340" i="3" s="1"/>
  <c r="F340" i="3" a="1"/>
  <c r="F340" i="3" s="1"/>
  <c r="E340" i="3" a="1"/>
  <c r="E340" i="3" s="1"/>
  <c r="D340" i="3" a="1"/>
  <c r="D340" i="3" s="1"/>
  <c r="C340" i="3" a="1"/>
  <c r="C340" i="3" s="1"/>
  <c r="A340" i="3" s="1"/>
  <c r="L339" i="3" a="1"/>
  <c r="L339" i="3" s="1"/>
  <c r="K339" i="3" a="1"/>
  <c r="K339" i="3" s="1"/>
  <c r="J339" i="3" a="1"/>
  <c r="J339" i="3" s="1"/>
  <c r="I339" i="3" a="1"/>
  <c r="I339" i="3" s="1"/>
  <c r="H339" i="3" a="1"/>
  <c r="H339" i="3" s="1"/>
  <c r="G339" i="3" a="1"/>
  <c r="G339" i="3" s="1"/>
  <c r="F339" i="3" a="1"/>
  <c r="F339" i="3" s="1"/>
  <c r="E339" i="3" a="1"/>
  <c r="E339" i="3" s="1"/>
  <c r="D339" i="3" a="1"/>
  <c r="D339" i="3" s="1"/>
  <c r="C339" i="3" a="1"/>
  <c r="C339" i="3" s="1"/>
  <c r="A339" i="3" s="1"/>
  <c r="L338" i="3" a="1"/>
  <c r="L338" i="3" s="1"/>
  <c r="K338" i="3" a="1"/>
  <c r="K338" i="3" s="1"/>
  <c r="J338" i="3" a="1"/>
  <c r="J338" i="3" s="1"/>
  <c r="I338" i="3" a="1"/>
  <c r="I338" i="3" s="1"/>
  <c r="H338" i="3" a="1"/>
  <c r="H338" i="3" s="1"/>
  <c r="G338" i="3" a="1"/>
  <c r="G338" i="3" s="1"/>
  <c r="F338" i="3" a="1"/>
  <c r="F338" i="3" s="1"/>
  <c r="E338" i="3" a="1"/>
  <c r="E338" i="3" s="1"/>
  <c r="D338" i="3" a="1"/>
  <c r="D338" i="3" s="1"/>
  <c r="C338" i="3" a="1"/>
  <c r="C338" i="3" s="1"/>
  <c r="A338" i="3" s="1"/>
  <c r="L337" i="3" a="1"/>
  <c r="L337" i="3" s="1"/>
  <c r="K337" i="3" a="1"/>
  <c r="K337" i="3" s="1"/>
  <c r="J337" i="3" a="1"/>
  <c r="J337" i="3" s="1"/>
  <c r="I337" i="3" a="1"/>
  <c r="I337" i="3" s="1"/>
  <c r="H337" i="3" a="1"/>
  <c r="H337" i="3" s="1"/>
  <c r="G337" i="3" a="1"/>
  <c r="G337" i="3" s="1"/>
  <c r="F337" i="3" a="1"/>
  <c r="F337" i="3" s="1"/>
  <c r="E337" i="3" a="1"/>
  <c r="E337" i="3" s="1"/>
  <c r="D337" i="3" a="1"/>
  <c r="D337" i="3" s="1"/>
  <c r="C337" i="3" a="1"/>
  <c r="C337" i="3" s="1"/>
  <c r="A337" i="3" s="1"/>
  <c r="L336" i="3" a="1"/>
  <c r="L336" i="3" s="1"/>
  <c r="K336" i="3" a="1"/>
  <c r="K336" i="3" s="1"/>
  <c r="J336" i="3" a="1"/>
  <c r="J336" i="3" s="1"/>
  <c r="I336" i="3" a="1"/>
  <c r="I336" i="3" s="1"/>
  <c r="H336" i="3" a="1"/>
  <c r="H336" i="3" s="1"/>
  <c r="G336" i="3" a="1"/>
  <c r="G336" i="3" s="1"/>
  <c r="F336" i="3" a="1"/>
  <c r="F336" i="3" s="1"/>
  <c r="E336" i="3" a="1"/>
  <c r="E336" i="3" s="1"/>
  <c r="D336" i="3" a="1"/>
  <c r="D336" i="3" s="1"/>
  <c r="C336" i="3" a="1"/>
  <c r="C336" i="3" s="1"/>
  <c r="A336" i="3" s="1"/>
  <c r="L335" i="3" a="1"/>
  <c r="L335" i="3" s="1"/>
  <c r="K335" i="3" a="1"/>
  <c r="K335" i="3" s="1"/>
  <c r="J335" i="3" a="1"/>
  <c r="J335" i="3" s="1"/>
  <c r="I335" i="3" a="1"/>
  <c r="I335" i="3" s="1"/>
  <c r="H335" i="3" a="1"/>
  <c r="H335" i="3" s="1"/>
  <c r="G335" i="3" a="1"/>
  <c r="G335" i="3" s="1"/>
  <c r="F335" i="3" a="1"/>
  <c r="F335" i="3" s="1"/>
  <c r="E335" i="3" a="1"/>
  <c r="E335" i="3" s="1"/>
  <c r="D335" i="3" a="1"/>
  <c r="D335" i="3" s="1"/>
  <c r="C335" i="3" a="1"/>
  <c r="C335" i="3" s="1"/>
  <c r="A335" i="3" s="1"/>
  <c r="L334" i="3" a="1"/>
  <c r="L334" i="3" s="1"/>
  <c r="K334" i="3" a="1"/>
  <c r="K334" i="3" s="1"/>
  <c r="J334" i="3" a="1"/>
  <c r="J334" i="3" s="1"/>
  <c r="I334" i="3" a="1"/>
  <c r="I334" i="3" s="1"/>
  <c r="H334" i="3" a="1"/>
  <c r="H334" i="3" s="1"/>
  <c r="G334" i="3" a="1"/>
  <c r="G334" i="3" s="1"/>
  <c r="F334" i="3" a="1"/>
  <c r="F334" i="3" s="1"/>
  <c r="E334" i="3" a="1"/>
  <c r="E334" i="3" s="1"/>
  <c r="D334" i="3" a="1"/>
  <c r="D334" i="3" s="1"/>
  <c r="C334" i="3" a="1"/>
  <c r="C334" i="3" s="1"/>
  <c r="A334" i="3" s="1"/>
  <c r="L333" i="3" a="1"/>
  <c r="L333" i="3" s="1"/>
  <c r="K333" i="3" a="1"/>
  <c r="K333" i="3" s="1"/>
  <c r="J333" i="3" a="1"/>
  <c r="J333" i="3" s="1"/>
  <c r="I333" i="3" a="1"/>
  <c r="I333" i="3" s="1"/>
  <c r="H333" i="3" a="1"/>
  <c r="H333" i="3" s="1"/>
  <c r="G333" i="3" a="1"/>
  <c r="G333" i="3" s="1"/>
  <c r="F333" i="3" a="1"/>
  <c r="F333" i="3" s="1"/>
  <c r="E333" i="3" a="1"/>
  <c r="E333" i="3" s="1"/>
  <c r="D333" i="3" a="1"/>
  <c r="D333" i="3" s="1"/>
  <c r="C333" i="3" a="1"/>
  <c r="C333" i="3" s="1"/>
  <c r="A333" i="3" s="1"/>
  <c r="L332" i="3" a="1"/>
  <c r="L332" i="3" s="1"/>
  <c r="K332" i="3" a="1"/>
  <c r="K332" i="3" s="1"/>
  <c r="J332" i="3" a="1"/>
  <c r="J332" i="3" s="1"/>
  <c r="I332" i="3" a="1"/>
  <c r="I332" i="3" s="1"/>
  <c r="H332" i="3" a="1"/>
  <c r="H332" i="3" s="1"/>
  <c r="G332" i="3" a="1"/>
  <c r="G332" i="3" s="1"/>
  <c r="F332" i="3" a="1"/>
  <c r="F332" i="3" s="1"/>
  <c r="E332" i="3" a="1"/>
  <c r="E332" i="3" s="1"/>
  <c r="D332" i="3" a="1"/>
  <c r="D332" i="3" s="1"/>
  <c r="C332" i="3" a="1"/>
  <c r="C332" i="3" s="1"/>
  <c r="A332" i="3" s="1"/>
  <c r="L331" i="3" a="1"/>
  <c r="L331" i="3" s="1"/>
  <c r="K331" i="3" a="1"/>
  <c r="K331" i="3" s="1"/>
  <c r="J331" i="3" a="1"/>
  <c r="J331" i="3" s="1"/>
  <c r="I331" i="3" a="1"/>
  <c r="I331" i="3" s="1"/>
  <c r="H331" i="3" a="1"/>
  <c r="H331" i="3" s="1"/>
  <c r="G331" i="3" a="1"/>
  <c r="G331" i="3" s="1"/>
  <c r="F331" i="3" a="1"/>
  <c r="F331" i="3" s="1"/>
  <c r="E331" i="3" a="1"/>
  <c r="E331" i="3" s="1"/>
  <c r="D331" i="3" a="1"/>
  <c r="D331" i="3" s="1"/>
  <c r="C331" i="3" a="1"/>
  <c r="C331" i="3" s="1"/>
  <c r="A331" i="3" s="1"/>
  <c r="L330" i="3" a="1"/>
  <c r="L330" i="3" s="1"/>
  <c r="K330" i="3" a="1"/>
  <c r="K330" i="3" s="1"/>
  <c r="J330" i="3" a="1"/>
  <c r="J330" i="3" s="1"/>
  <c r="I330" i="3" a="1"/>
  <c r="I330" i="3" s="1"/>
  <c r="H330" i="3" a="1"/>
  <c r="H330" i="3" s="1"/>
  <c r="G330" i="3" a="1"/>
  <c r="G330" i="3" s="1"/>
  <c r="F330" i="3" a="1"/>
  <c r="F330" i="3" s="1"/>
  <c r="E330" i="3" a="1"/>
  <c r="E330" i="3" s="1"/>
  <c r="D330" i="3" a="1"/>
  <c r="D330" i="3" s="1"/>
  <c r="C330" i="3" a="1"/>
  <c r="C330" i="3" s="1"/>
  <c r="A330" i="3" s="1"/>
  <c r="L329" i="3" a="1"/>
  <c r="L329" i="3" s="1"/>
  <c r="K329" i="3" a="1"/>
  <c r="K329" i="3" s="1"/>
  <c r="J329" i="3" a="1"/>
  <c r="J329" i="3" s="1"/>
  <c r="I329" i="3" a="1"/>
  <c r="I329" i="3" s="1"/>
  <c r="H329" i="3" a="1"/>
  <c r="H329" i="3" s="1"/>
  <c r="G329" i="3" a="1"/>
  <c r="G329" i="3" s="1"/>
  <c r="F329" i="3" a="1"/>
  <c r="F329" i="3" s="1"/>
  <c r="E329" i="3" a="1"/>
  <c r="E329" i="3" s="1"/>
  <c r="D329" i="3" a="1"/>
  <c r="D329" i="3" s="1"/>
  <c r="C329" i="3" a="1"/>
  <c r="C329" i="3" s="1"/>
  <c r="A329" i="3" s="1"/>
  <c r="L328" i="3" a="1"/>
  <c r="L328" i="3" s="1"/>
  <c r="K328" i="3" a="1"/>
  <c r="K328" i="3" s="1"/>
  <c r="J328" i="3" a="1"/>
  <c r="J328" i="3" s="1"/>
  <c r="I328" i="3" a="1"/>
  <c r="I328" i="3" s="1"/>
  <c r="H328" i="3" a="1"/>
  <c r="H328" i="3" s="1"/>
  <c r="G328" i="3" a="1"/>
  <c r="G328" i="3" s="1"/>
  <c r="F328" i="3" a="1"/>
  <c r="F328" i="3" s="1"/>
  <c r="E328" i="3" a="1"/>
  <c r="E328" i="3" s="1"/>
  <c r="D328" i="3" a="1"/>
  <c r="D328" i="3" s="1"/>
  <c r="C328" i="3" a="1"/>
  <c r="C328" i="3" s="1"/>
  <c r="A328" i="3" s="1"/>
  <c r="L327" i="3" a="1"/>
  <c r="L327" i="3" s="1"/>
  <c r="K327" i="3" a="1"/>
  <c r="K327" i="3" s="1"/>
  <c r="J327" i="3" a="1"/>
  <c r="J327" i="3" s="1"/>
  <c r="I327" i="3" a="1"/>
  <c r="I327" i="3" s="1"/>
  <c r="H327" i="3" a="1"/>
  <c r="H327" i="3" s="1"/>
  <c r="G327" i="3" a="1"/>
  <c r="G327" i="3" s="1"/>
  <c r="F327" i="3" a="1"/>
  <c r="F327" i="3" s="1"/>
  <c r="E327" i="3" a="1"/>
  <c r="E327" i="3" s="1"/>
  <c r="D327" i="3" a="1"/>
  <c r="D327" i="3" s="1"/>
  <c r="C327" i="3" a="1"/>
  <c r="C327" i="3" s="1"/>
  <c r="A327" i="3" s="1"/>
  <c r="L326" i="3" a="1"/>
  <c r="L326" i="3" s="1"/>
  <c r="K326" i="3" a="1"/>
  <c r="K326" i="3" s="1"/>
  <c r="J326" i="3" a="1"/>
  <c r="J326" i="3" s="1"/>
  <c r="I326" i="3" a="1"/>
  <c r="I326" i="3" s="1"/>
  <c r="H326" i="3" a="1"/>
  <c r="H326" i="3" s="1"/>
  <c r="G326" i="3" a="1"/>
  <c r="G326" i="3" s="1"/>
  <c r="F326" i="3" a="1"/>
  <c r="F326" i="3" s="1"/>
  <c r="E326" i="3" a="1"/>
  <c r="E326" i="3" s="1"/>
  <c r="D326" i="3" a="1"/>
  <c r="D326" i="3" s="1"/>
  <c r="C326" i="3" a="1"/>
  <c r="C326" i="3" s="1"/>
  <c r="A326" i="3" s="1"/>
  <c r="L325" i="3" a="1"/>
  <c r="L325" i="3" s="1"/>
  <c r="K325" i="3" a="1"/>
  <c r="K325" i="3" s="1"/>
  <c r="J325" i="3" a="1"/>
  <c r="J325" i="3" s="1"/>
  <c r="I325" i="3" a="1"/>
  <c r="I325" i="3" s="1"/>
  <c r="H325" i="3" a="1"/>
  <c r="H325" i="3" s="1"/>
  <c r="G325" i="3" a="1"/>
  <c r="G325" i="3" s="1"/>
  <c r="F325" i="3" a="1"/>
  <c r="F325" i="3" s="1"/>
  <c r="E325" i="3" a="1"/>
  <c r="E325" i="3" s="1"/>
  <c r="D325" i="3" a="1"/>
  <c r="D325" i="3" s="1"/>
  <c r="C325" i="3" a="1"/>
  <c r="C325" i="3" s="1"/>
  <c r="A325" i="3" s="1"/>
  <c r="L324" i="3" a="1"/>
  <c r="L324" i="3" s="1"/>
  <c r="K324" i="3" a="1"/>
  <c r="K324" i="3" s="1"/>
  <c r="J324" i="3" a="1"/>
  <c r="J324" i="3" s="1"/>
  <c r="I324" i="3" a="1"/>
  <c r="I324" i="3" s="1"/>
  <c r="H324" i="3" a="1"/>
  <c r="H324" i="3" s="1"/>
  <c r="G324" i="3" a="1"/>
  <c r="G324" i="3" s="1"/>
  <c r="F324" i="3" a="1"/>
  <c r="F324" i="3" s="1"/>
  <c r="E324" i="3" a="1"/>
  <c r="E324" i="3" s="1"/>
  <c r="D324" i="3" a="1"/>
  <c r="D324" i="3" s="1"/>
  <c r="C324" i="3" a="1"/>
  <c r="C324" i="3" s="1"/>
  <c r="A324" i="3" s="1"/>
  <c r="L323" i="3" a="1"/>
  <c r="L323" i="3" s="1"/>
  <c r="K323" i="3" a="1"/>
  <c r="K323" i="3" s="1"/>
  <c r="J323" i="3" a="1"/>
  <c r="J323" i="3" s="1"/>
  <c r="I323" i="3" a="1"/>
  <c r="I323" i="3" s="1"/>
  <c r="H323" i="3" a="1"/>
  <c r="H323" i="3" s="1"/>
  <c r="G323" i="3" a="1"/>
  <c r="G323" i="3" s="1"/>
  <c r="F323" i="3" a="1"/>
  <c r="F323" i="3" s="1"/>
  <c r="E323" i="3" a="1"/>
  <c r="E323" i="3" s="1"/>
  <c r="D323" i="3" a="1"/>
  <c r="D323" i="3" s="1"/>
  <c r="C323" i="3" a="1"/>
  <c r="C323" i="3" s="1"/>
  <c r="A323" i="3" s="1"/>
  <c r="L322" i="3" a="1"/>
  <c r="L322" i="3" s="1"/>
  <c r="K322" i="3" a="1"/>
  <c r="K322" i="3" s="1"/>
  <c r="J322" i="3" a="1"/>
  <c r="J322" i="3" s="1"/>
  <c r="I322" i="3" a="1"/>
  <c r="I322" i="3" s="1"/>
  <c r="H322" i="3" a="1"/>
  <c r="H322" i="3" s="1"/>
  <c r="G322" i="3" a="1"/>
  <c r="G322" i="3" s="1"/>
  <c r="F322" i="3" a="1"/>
  <c r="F322" i="3" s="1"/>
  <c r="E322" i="3" a="1"/>
  <c r="E322" i="3" s="1"/>
  <c r="D322" i="3" a="1"/>
  <c r="D322" i="3" s="1"/>
  <c r="C322" i="3" a="1"/>
  <c r="C322" i="3" s="1"/>
  <c r="A322" i="3" s="1"/>
  <c r="L321" i="3" a="1"/>
  <c r="L321" i="3" s="1"/>
  <c r="K321" i="3" a="1"/>
  <c r="K321" i="3" s="1"/>
  <c r="J321" i="3" a="1"/>
  <c r="J321" i="3" s="1"/>
  <c r="I321" i="3" a="1"/>
  <c r="I321" i="3" s="1"/>
  <c r="H321" i="3" a="1"/>
  <c r="H321" i="3" s="1"/>
  <c r="G321" i="3" a="1"/>
  <c r="G321" i="3" s="1"/>
  <c r="F321" i="3" a="1"/>
  <c r="F321" i="3" s="1"/>
  <c r="E321" i="3" a="1"/>
  <c r="E321" i="3" s="1"/>
  <c r="D321" i="3" a="1"/>
  <c r="D321" i="3" s="1"/>
  <c r="C321" i="3" a="1"/>
  <c r="C321" i="3" s="1"/>
  <c r="A321" i="3" s="1"/>
  <c r="L320" i="3" a="1"/>
  <c r="L320" i="3" s="1"/>
  <c r="K320" i="3" a="1"/>
  <c r="K320" i="3" s="1"/>
  <c r="J320" i="3" a="1"/>
  <c r="J320" i="3" s="1"/>
  <c r="I320" i="3" a="1"/>
  <c r="I320" i="3" s="1"/>
  <c r="H320" i="3" a="1"/>
  <c r="H320" i="3" s="1"/>
  <c r="G320" i="3" a="1"/>
  <c r="G320" i="3" s="1"/>
  <c r="F320" i="3" a="1"/>
  <c r="F320" i="3" s="1"/>
  <c r="E320" i="3" a="1"/>
  <c r="E320" i="3" s="1"/>
  <c r="D320" i="3" a="1"/>
  <c r="D320" i="3" s="1"/>
  <c r="C320" i="3" a="1"/>
  <c r="C320" i="3" s="1"/>
  <c r="A320" i="3" s="1"/>
  <c r="L319" i="3" a="1"/>
  <c r="L319" i="3" s="1"/>
  <c r="K319" i="3" a="1"/>
  <c r="K319" i="3" s="1"/>
  <c r="J319" i="3" a="1"/>
  <c r="J319" i="3" s="1"/>
  <c r="I319" i="3" a="1"/>
  <c r="I319" i="3" s="1"/>
  <c r="H319" i="3" a="1"/>
  <c r="H319" i="3" s="1"/>
  <c r="G319" i="3" a="1"/>
  <c r="G319" i="3" s="1"/>
  <c r="F319" i="3" a="1"/>
  <c r="F319" i="3" s="1"/>
  <c r="E319" i="3" a="1"/>
  <c r="E319" i="3" s="1"/>
  <c r="D319" i="3" a="1"/>
  <c r="D319" i="3" s="1"/>
  <c r="C319" i="3" a="1"/>
  <c r="C319" i="3" s="1"/>
  <c r="A319" i="3" s="1"/>
  <c r="L318" i="3" a="1"/>
  <c r="L318" i="3" s="1"/>
  <c r="K318" i="3" a="1"/>
  <c r="K318" i="3" s="1"/>
  <c r="J318" i="3" a="1"/>
  <c r="J318" i="3" s="1"/>
  <c r="I318" i="3" a="1"/>
  <c r="I318" i="3" s="1"/>
  <c r="H318" i="3" a="1"/>
  <c r="H318" i="3" s="1"/>
  <c r="G318" i="3" a="1"/>
  <c r="G318" i="3" s="1"/>
  <c r="F318" i="3" a="1"/>
  <c r="F318" i="3" s="1"/>
  <c r="E318" i="3" a="1"/>
  <c r="E318" i="3" s="1"/>
  <c r="D318" i="3" a="1"/>
  <c r="D318" i="3" s="1"/>
  <c r="C318" i="3" a="1"/>
  <c r="C318" i="3" s="1"/>
  <c r="A318" i="3" s="1"/>
  <c r="L317" i="3" a="1"/>
  <c r="L317" i="3" s="1"/>
  <c r="K317" i="3" a="1"/>
  <c r="K317" i="3" s="1"/>
  <c r="J317" i="3" a="1"/>
  <c r="J317" i="3" s="1"/>
  <c r="I317" i="3" a="1"/>
  <c r="I317" i="3" s="1"/>
  <c r="H317" i="3" a="1"/>
  <c r="H317" i="3" s="1"/>
  <c r="G317" i="3" a="1"/>
  <c r="G317" i="3" s="1"/>
  <c r="F317" i="3" a="1"/>
  <c r="F317" i="3" s="1"/>
  <c r="E317" i="3" a="1"/>
  <c r="E317" i="3" s="1"/>
  <c r="D317" i="3" a="1"/>
  <c r="D317" i="3" s="1"/>
  <c r="C317" i="3" a="1"/>
  <c r="C317" i="3" s="1"/>
  <c r="A317" i="3" s="1"/>
  <c r="L316" i="3" a="1"/>
  <c r="L316" i="3" s="1"/>
  <c r="K316" i="3" a="1"/>
  <c r="K316" i="3" s="1"/>
  <c r="J316" i="3" a="1"/>
  <c r="J316" i="3" s="1"/>
  <c r="I316" i="3" a="1"/>
  <c r="I316" i="3" s="1"/>
  <c r="H316" i="3" a="1"/>
  <c r="H316" i="3" s="1"/>
  <c r="G316" i="3" a="1"/>
  <c r="G316" i="3" s="1"/>
  <c r="F316" i="3" a="1"/>
  <c r="F316" i="3" s="1"/>
  <c r="E316" i="3" a="1"/>
  <c r="E316" i="3" s="1"/>
  <c r="D316" i="3" a="1"/>
  <c r="D316" i="3" s="1"/>
  <c r="C316" i="3" a="1"/>
  <c r="C316" i="3" s="1"/>
  <c r="A316" i="3" s="1"/>
  <c r="L315" i="3" a="1"/>
  <c r="L315" i="3" s="1"/>
  <c r="K315" i="3" a="1"/>
  <c r="K315" i="3" s="1"/>
  <c r="J315" i="3" a="1"/>
  <c r="J315" i="3" s="1"/>
  <c r="I315" i="3" a="1"/>
  <c r="I315" i="3" s="1"/>
  <c r="H315" i="3" a="1"/>
  <c r="H315" i="3" s="1"/>
  <c r="G315" i="3" a="1"/>
  <c r="G315" i="3" s="1"/>
  <c r="F315" i="3" a="1"/>
  <c r="F315" i="3" s="1"/>
  <c r="E315" i="3" a="1"/>
  <c r="E315" i="3" s="1"/>
  <c r="D315" i="3" a="1"/>
  <c r="D315" i="3" s="1"/>
  <c r="C315" i="3" a="1"/>
  <c r="C315" i="3" s="1"/>
  <c r="A315" i="3" s="1"/>
  <c r="L314" i="3" a="1"/>
  <c r="L314" i="3" s="1"/>
  <c r="K314" i="3" a="1"/>
  <c r="K314" i="3" s="1"/>
  <c r="J314" i="3" a="1"/>
  <c r="J314" i="3" s="1"/>
  <c r="I314" i="3" a="1"/>
  <c r="I314" i="3" s="1"/>
  <c r="H314" i="3" a="1"/>
  <c r="H314" i="3" s="1"/>
  <c r="G314" i="3" a="1"/>
  <c r="G314" i="3" s="1"/>
  <c r="F314" i="3" a="1"/>
  <c r="F314" i="3" s="1"/>
  <c r="E314" i="3" a="1"/>
  <c r="E314" i="3" s="1"/>
  <c r="D314" i="3" a="1"/>
  <c r="D314" i="3" s="1"/>
  <c r="C314" i="3" a="1"/>
  <c r="C314" i="3" s="1"/>
  <c r="A314" i="3" s="1"/>
  <c r="L313" i="3" a="1"/>
  <c r="L313" i="3" s="1"/>
  <c r="K313" i="3" a="1"/>
  <c r="K313" i="3" s="1"/>
  <c r="J313" i="3" a="1"/>
  <c r="J313" i="3" s="1"/>
  <c r="I313" i="3" a="1"/>
  <c r="I313" i="3" s="1"/>
  <c r="H313" i="3" a="1"/>
  <c r="H313" i="3" s="1"/>
  <c r="G313" i="3" a="1"/>
  <c r="G313" i="3" s="1"/>
  <c r="F313" i="3" a="1"/>
  <c r="F313" i="3" s="1"/>
  <c r="E313" i="3" a="1"/>
  <c r="E313" i="3" s="1"/>
  <c r="D313" i="3" a="1"/>
  <c r="D313" i="3" s="1"/>
  <c r="C313" i="3" a="1"/>
  <c r="C313" i="3" s="1"/>
  <c r="A313" i="3" s="1"/>
  <c r="L312" i="3" a="1"/>
  <c r="L312" i="3" s="1"/>
  <c r="K312" i="3" a="1"/>
  <c r="K312" i="3" s="1"/>
  <c r="J312" i="3" a="1"/>
  <c r="J312" i="3" s="1"/>
  <c r="I312" i="3" a="1"/>
  <c r="I312" i="3" s="1"/>
  <c r="H312" i="3" a="1"/>
  <c r="H312" i="3" s="1"/>
  <c r="G312" i="3" a="1"/>
  <c r="G312" i="3" s="1"/>
  <c r="F312" i="3" a="1"/>
  <c r="F312" i="3" s="1"/>
  <c r="E312" i="3" a="1"/>
  <c r="E312" i="3" s="1"/>
  <c r="D312" i="3" a="1"/>
  <c r="D312" i="3" s="1"/>
  <c r="C312" i="3" a="1"/>
  <c r="C312" i="3" s="1"/>
  <c r="A312" i="3" s="1"/>
  <c r="L311" i="3" a="1"/>
  <c r="L311" i="3" s="1"/>
  <c r="K311" i="3" a="1"/>
  <c r="K311" i="3" s="1"/>
  <c r="J311" i="3" a="1"/>
  <c r="J311" i="3" s="1"/>
  <c r="I311" i="3" a="1"/>
  <c r="I311" i="3" s="1"/>
  <c r="H311" i="3" a="1"/>
  <c r="H311" i="3" s="1"/>
  <c r="G311" i="3" a="1"/>
  <c r="G311" i="3" s="1"/>
  <c r="F311" i="3" a="1"/>
  <c r="F311" i="3" s="1"/>
  <c r="E311" i="3" a="1"/>
  <c r="E311" i="3" s="1"/>
  <c r="D311" i="3" a="1"/>
  <c r="D311" i="3" s="1"/>
  <c r="C311" i="3" a="1"/>
  <c r="C311" i="3" s="1"/>
  <c r="A311" i="3" s="1"/>
  <c r="L310" i="3" a="1"/>
  <c r="L310" i="3" s="1"/>
  <c r="K310" i="3" a="1"/>
  <c r="K310" i="3" s="1"/>
  <c r="J310" i="3" a="1"/>
  <c r="J310" i="3" s="1"/>
  <c r="I310" i="3" a="1"/>
  <c r="I310" i="3" s="1"/>
  <c r="H310" i="3" a="1"/>
  <c r="H310" i="3" s="1"/>
  <c r="G310" i="3" a="1"/>
  <c r="G310" i="3" s="1"/>
  <c r="F310" i="3" a="1"/>
  <c r="F310" i="3" s="1"/>
  <c r="E310" i="3" a="1"/>
  <c r="E310" i="3" s="1"/>
  <c r="D310" i="3" a="1"/>
  <c r="D310" i="3" s="1"/>
  <c r="C310" i="3" a="1"/>
  <c r="C310" i="3" s="1"/>
  <c r="A310" i="3" s="1"/>
  <c r="L309" i="3" a="1"/>
  <c r="L309" i="3" s="1"/>
  <c r="K309" i="3" a="1"/>
  <c r="K309" i="3" s="1"/>
  <c r="J309" i="3" a="1"/>
  <c r="J309" i="3" s="1"/>
  <c r="I309" i="3" a="1"/>
  <c r="I309" i="3" s="1"/>
  <c r="H309" i="3" a="1"/>
  <c r="H309" i="3" s="1"/>
  <c r="G309" i="3" a="1"/>
  <c r="G309" i="3" s="1"/>
  <c r="F309" i="3" a="1"/>
  <c r="F309" i="3" s="1"/>
  <c r="E309" i="3" a="1"/>
  <c r="E309" i="3" s="1"/>
  <c r="D309" i="3" a="1"/>
  <c r="D309" i="3" s="1"/>
  <c r="C309" i="3" a="1"/>
  <c r="C309" i="3" s="1"/>
  <c r="A309" i="3" s="1"/>
  <c r="L308" i="3" a="1"/>
  <c r="L308" i="3" s="1"/>
  <c r="K308" i="3" a="1"/>
  <c r="K308" i="3" s="1"/>
  <c r="J308" i="3" a="1"/>
  <c r="J308" i="3" s="1"/>
  <c r="I308" i="3" a="1"/>
  <c r="I308" i="3" s="1"/>
  <c r="H308" i="3" a="1"/>
  <c r="H308" i="3" s="1"/>
  <c r="G308" i="3" a="1"/>
  <c r="G308" i="3" s="1"/>
  <c r="F308" i="3" a="1"/>
  <c r="F308" i="3" s="1"/>
  <c r="E308" i="3" a="1"/>
  <c r="E308" i="3" s="1"/>
  <c r="D308" i="3" a="1"/>
  <c r="D308" i="3" s="1"/>
  <c r="C308" i="3" a="1"/>
  <c r="C308" i="3" s="1"/>
  <c r="A308" i="3" s="1"/>
  <c r="L307" i="3" a="1"/>
  <c r="L307" i="3" s="1"/>
  <c r="K307" i="3" a="1"/>
  <c r="K307" i="3" s="1"/>
  <c r="J307" i="3" a="1"/>
  <c r="J307" i="3" s="1"/>
  <c r="I307" i="3" a="1"/>
  <c r="I307" i="3" s="1"/>
  <c r="H307" i="3" a="1"/>
  <c r="H307" i="3" s="1"/>
  <c r="G307" i="3" a="1"/>
  <c r="G307" i="3" s="1"/>
  <c r="F307" i="3" a="1"/>
  <c r="F307" i="3" s="1"/>
  <c r="E307" i="3" a="1"/>
  <c r="E307" i="3" s="1"/>
  <c r="D307" i="3" a="1"/>
  <c r="D307" i="3" s="1"/>
  <c r="C307" i="3" a="1"/>
  <c r="C307" i="3" s="1"/>
  <c r="A307" i="3" s="1"/>
  <c r="L306" i="3" a="1"/>
  <c r="L306" i="3" s="1"/>
  <c r="K306" i="3" a="1"/>
  <c r="K306" i="3" s="1"/>
  <c r="J306" i="3" a="1"/>
  <c r="J306" i="3" s="1"/>
  <c r="I306" i="3" a="1"/>
  <c r="I306" i="3" s="1"/>
  <c r="H306" i="3" a="1"/>
  <c r="H306" i="3" s="1"/>
  <c r="G306" i="3" a="1"/>
  <c r="G306" i="3" s="1"/>
  <c r="F306" i="3" a="1"/>
  <c r="F306" i="3" s="1"/>
  <c r="E306" i="3" a="1"/>
  <c r="E306" i="3" s="1"/>
  <c r="D306" i="3" a="1"/>
  <c r="D306" i="3" s="1"/>
  <c r="C306" i="3" a="1"/>
  <c r="C306" i="3" s="1"/>
  <c r="A306" i="3" s="1"/>
  <c r="L305" i="3" a="1"/>
  <c r="L305" i="3" s="1"/>
  <c r="K305" i="3" a="1"/>
  <c r="K305" i="3" s="1"/>
  <c r="J305" i="3" a="1"/>
  <c r="J305" i="3" s="1"/>
  <c r="I305" i="3" a="1"/>
  <c r="I305" i="3" s="1"/>
  <c r="H305" i="3" a="1"/>
  <c r="H305" i="3" s="1"/>
  <c r="G305" i="3" a="1"/>
  <c r="G305" i="3" s="1"/>
  <c r="F305" i="3" a="1"/>
  <c r="F305" i="3" s="1"/>
  <c r="E305" i="3" a="1"/>
  <c r="E305" i="3" s="1"/>
  <c r="D305" i="3" a="1"/>
  <c r="D305" i="3" s="1"/>
  <c r="C305" i="3" a="1"/>
  <c r="C305" i="3" s="1"/>
  <c r="A305" i="3" s="1"/>
  <c r="L304" i="3" a="1"/>
  <c r="L304" i="3" s="1"/>
  <c r="K304" i="3" a="1"/>
  <c r="K304" i="3" s="1"/>
  <c r="J304" i="3" a="1"/>
  <c r="J304" i="3" s="1"/>
  <c r="I304" i="3" a="1"/>
  <c r="I304" i="3" s="1"/>
  <c r="H304" i="3" a="1"/>
  <c r="H304" i="3" s="1"/>
  <c r="G304" i="3" a="1"/>
  <c r="G304" i="3" s="1"/>
  <c r="F304" i="3" a="1"/>
  <c r="F304" i="3" s="1"/>
  <c r="E304" i="3" a="1"/>
  <c r="E304" i="3" s="1"/>
  <c r="D304" i="3" a="1"/>
  <c r="D304" i="3" s="1"/>
  <c r="C304" i="3" a="1"/>
  <c r="C304" i="3" s="1"/>
  <c r="A304" i="3" s="1"/>
  <c r="L303" i="3" a="1"/>
  <c r="L303" i="3" s="1"/>
  <c r="K303" i="3" a="1"/>
  <c r="K303" i="3" s="1"/>
  <c r="J303" i="3" a="1"/>
  <c r="J303" i="3" s="1"/>
  <c r="I303" i="3" a="1"/>
  <c r="I303" i="3" s="1"/>
  <c r="H303" i="3" a="1"/>
  <c r="H303" i="3" s="1"/>
  <c r="G303" i="3" a="1"/>
  <c r="G303" i="3" s="1"/>
  <c r="F303" i="3" a="1"/>
  <c r="F303" i="3" s="1"/>
  <c r="E303" i="3" a="1"/>
  <c r="E303" i="3" s="1"/>
  <c r="D303" i="3" a="1"/>
  <c r="D303" i="3" s="1"/>
  <c r="C303" i="3" a="1"/>
  <c r="C303" i="3" s="1"/>
  <c r="A303" i="3" s="1"/>
  <c r="L302" i="3" a="1"/>
  <c r="L302" i="3" s="1"/>
  <c r="K302" i="3" a="1"/>
  <c r="K302" i="3" s="1"/>
  <c r="J302" i="3" a="1"/>
  <c r="J302" i="3" s="1"/>
  <c r="I302" i="3" a="1"/>
  <c r="I302" i="3" s="1"/>
  <c r="H302" i="3" a="1"/>
  <c r="H302" i="3" s="1"/>
  <c r="G302" i="3" a="1"/>
  <c r="G302" i="3" s="1"/>
  <c r="F302" i="3" a="1"/>
  <c r="F302" i="3" s="1"/>
  <c r="E302" i="3" a="1"/>
  <c r="E302" i="3" s="1"/>
  <c r="D302" i="3" a="1"/>
  <c r="D302" i="3" s="1"/>
  <c r="C302" i="3" a="1"/>
  <c r="C302" i="3" s="1"/>
  <c r="A302" i="3" s="1"/>
  <c r="L301" i="3" a="1"/>
  <c r="L301" i="3" s="1"/>
  <c r="K301" i="3" a="1"/>
  <c r="K301" i="3" s="1"/>
  <c r="J301" i="3" a="1"/>
  <c r="J301" i="3" s="1"/>
  <c r="I301" i="3" a="1"/>
  <c r="I301" i="3" s="1"/>
  <c r="H301" i="3" a="1"/>
  <c r="H301" i="3" s="1"/>
  <c r="G301" i="3" a="1"/>
  <c r="G301" i="3" s="1"/>
  <c r="F301" i="3" a="1"/>
  <c r="F301" i="3" s="1"/>
  <c r="E301" i="3" a="1"/>
  <c r="E301" i="3" s="1"/>
  <c r="D301" i="3" a="1"/>
  <c r="D301" i="3" s="1"/>
  <c r="C301" i="3" a="1"/>
  <c r="C301" i="3" s="1"/>
  <c r="A301" i="3" s="1"/>
  <c r="L300" i="3" a="1"/>
  <c r="L300" i="3" s="1"/>
  <c r="K300" i="3" a="1"/>
  <c r="K300" i="3" s="1"/>
  <c r="J300" i="3" a="1"/>
  <c r="J300" i="3" s="1"/>
  <c r="I300" i="3" a="1"/>
  <c r="I300" i="3" s="1"/>
  <c r="H300" i="3" a="1"/>
  <c r="H300" i="3" s="1"/>
  <c r="G300" i="3" a="1"/>
  <c r="G300" i="3" s="1"/>
  <c r="F300" i="3" a="1"/>
  <c r="F300" i="3" s="1"/>
  <c r="E300" i="3" a="1"/>
  <c r="E300" i="3" s="1"/>
  <c r="D300" i="3" a="1"/>
  <c r="D300" i="3" s="1"/>
  <c r="C300" i="3" a="1"/>
  <c r="C300" i="3" s="1"/>
  <c r="A300" i="3" s="1"/>
  <c r="L299" i="3" a="1"/>
  <c r="L299" i="3" s="1"/>
  <c r="K299" i="3" a="1"/>
  <c r="K299" i="3" s="1"/>
  <c r="J299" i="3" a="1"/>
  <c r="J299" i="3" s="1"/>
  <c r="I299" i="3" a="1"/>
  <c r="I299" i="3" s="1"/>
  <c r="H299" i="3" a="1"/>
  <c r="H299" i="3" s="1"/>
  <c r="G299" i="3" a="1"/>
  <c r="G299" i="3" s="1"/>
  <c r="F299" i="3" a="1"/>
  <c r="F299" i="3" s="1"/>
  <c r="E299" i="3" a="1"/>
  <c r="E299" i="3" s="1"/>
  <c r="D299" i="3" a="1"/>
  <c r="D299" i="3" s="1"/>
  <c r="C299" i="3" a="1"/>
  <c r="C299" i="3" s="1"/>
  <c r="A299" i="3" s="1"/>
  <c r="L298" i="3" a="1"/>
  <c r="L298" i="3" s="1"/>
  <c r="K298" i="3" a="1"/>
  <c r="K298" i="3" s="1"/>
  <c r="J298" i="3" a="1"/>
  <c r="J298" i="3" s="1"/>
  <c r="I298" i="3" a="1"/>
  <c r="I298" i="3" s="1"/>
  <c r="H298" i="3" a="1"/>
  <c r="H298" i="3" s="1"/>
  <c r="G298" i="3" a="1"/>
  <c r="G298" i="3" s="1"/>
  <c r="F298" i="3" a="1"/>
  <c r="F298" i="3" s="1"/>
  <c r="E298" i="3" a="1"/>
  <c r="E298" i="3" s="1"/>
  <c r="D298" i="3" a="1"/>
  <c r="D298" i="3" s="1"/>
  <c r="C298" i="3" a="1"/>
  <c r="C298" i="3" s="1"/>
  <c r="A298" i="3" s="1"/>
  <c r="L297" i="3" a="1"/>
  <c r="L297" i="3" s="1"/>
  <c r="K297" i="3" a="1"/>
  <c r="K297" i="3" s="1"/>
  <c r="J297" i="3" a="1"/>
  <c r="J297" i="3" s="1"/>
  <c r="I297" i="3" a="1"/>
  <c r="I297" i="3" s="1"/>
  <c r="H297" i="3" a="1"/>
  <c r="H297" i="3" s="1"/>
  <c r="G297" i="3" a="1"/>
  <c r="G297" i="3" s="1"/>
  <c r="F297" i="3" a="1"/>
  <c r="F297" i="3" s="1"/>
  <c r="E297" i="3" a="1"/>
  <c r="E297" i="3" s="1"/>
  <c r="D297" i="3" a="1"/>
  <c r="D297" i="3" s="1"/>
  <c r="C297" i="3" a="1"/>
  <c r="C297" i="3" s="1"/>
  <c r="A297" i="3" s="1"/>
  <c r="L296" i="3" a="1"/>
  <c r="L296" i="3" s="1"/>
  <c r="K296" i="3" a="1"/>
  <c r="K296" i="3" s="1"/>
  <c r="J296" i="3" a="1"/>
  <c r="J296" i="3" s="1"/>
  <c r="I296" i="3" a="1"/>
  <c r="I296" i="3" s="1"/>
  <c r="H296" i="3" a="1"/>
  <c r="H296" i="3" s="1"/>
  <c r="G296" i="3" a="1"/>
  <c r="G296" i="3" s="1"/>
  <c r="F296" i="3" a="1"/>
  <c r="F296" i="3" s="1"/>
  <c r="E296" i="3" a="1"/>
  <c r="E296" i="3" s="1"/>
  <c r="D296" i="3" a="1"/>
  <c r="D296" i="3" s="1"/>
  <c r="C296" i="3" a="1"/>
  <c r="C296" i="3" s="1"/>
  <c r="A296" i="3" s="1"/>
  <c r="L295" i="3" a="1"/>
  <c r="L295" i="3" s="1"/>
  <c r="K295" i="3" a="1"/>
  <c r="K295" i="3" s="1"/>
  <c r="J295" i="3" a="1"/>
  <c r="J295" i="3" s="1"/>
  <c r="I295" i="3" a="1"/>
  <c r="I295" i="3" s="1"/>
  <c r="H295" i="3" a="1"/>
  <c r="H295" i="3" s="1"/>
  <c r="G295" i="3" a="1"/>
  <c r="G295" i="3" s="1"/>
  <c r="F295" i="3" a="1"/>
  <c r="F295" i="3" s="1"/>
  <c r="E295" i="3" a="1"/>
  <c r="E295" i="3" s="1"/>
  <c r="D295" i="3" a="1"/>
  <c r="D295" i="3" s="1"/>
  <c r="C295" i="3" a="1"/>
  <c r="C295" i="3" s="1"/>
  <c r="A295" i="3" s="1"/>
  <c r="L294" i="3" a="1"/>
  <c r="L294" i="3" s="1"/>
  <c r="K294" i="3" a="1"/>
  <c r="K294" i="3" s="1"/>
  <c r="J294" i="3" a="1"/>
  <c r="J294" i="3" s="1"/>
  <c r="I294" i="3" a="1"/>
  <c r="I294" i="3" s="1"/>
  <c r="H294" i="3" a="1"/>
  <c r="H294" i="3" s="1"/>
  <c r="G294" i="3" a="1"/>
  <c r="G294" i="3" s="1"/>
  <c r="F294" i="3" a="1"/>
  <c r="F294" i="3" s="1"/>
  <c r="E294" i="3" a="1"/>
  <c r="E294" i="3" s="1"/>
  <c r="D294" i="3" a="1"/>
  <c r="D294" i="3" s="1"/>
  <c r="C294" i="3" a="1"/>
  <c r="C294" i="3" s="1"/>
  <c r="A294" i="3" s="1"/>
  <c r="L293" i="3" a="1"/>
  <c r="L293" i="3" s="1"/>
  <c r="K293" i="3" a="1"/>
  <c r="K293" i="3" s="1"/>
  <c r="J293" i="3" a="1"/>
  <c r="J293" i="3" s="1"/>
  <c r="I293" i="3" a="1"/>
  <c r="I293" i="3" s="1"/>
  <c r="H293" i="3" a="1"/>
  <c r="H293" i="3" s="1"/>
  <c r="G293" i="3" a="1"/>
  <c r="G293" i="3" s="1"/>
  <c r="F293" i="3" a="1"/>
  <c r="F293" i="3" s="1"/>
  <c r="E293" i="3" a="1"/>
  <c r="E293" i="3" s="1"/>
  <c r="D293" i="3" a="1"/>
  <c r="D293" i="3" s="1"/>
  <c r="C293" i="3" a="1"/>
  <c r="C293" i="3" s="1"/>
  <c r="A293" i="3" s="1"/>
  <c r="L292" i="3" a="1"/>
  <c r="L292" i="3" s="1"/>
  <c r="K292" i="3" a="1"/>
  <c r="K292" i="3" s="1"/>
  <c r="J292" i="3" a="1"/>
  <c r="J292" i="3" s="1"/>
  <c r="I292" i="3" a="1"/>
  <c r="I292" i="3" s="1"/>
  <c r="H292" i="3" a="1"/>
  <c r="H292" i="3" s="1"/>
  <c r="G292" i="3" a="1"/>
  <c r="G292" i="3" s="1"/>
  <c r="F292" i="3" a="1"/>
  <c r="F292" i="3" s="1"/>
  <c r="E292" i="3" a="1"/>
  <c r="E292" i="3" s="1"/>
  <c r="D292" i="3" a="1"/>
  <c r="D292" i="3" s="1"/>
  <c r="C292" i="3" a="1"/>
  <c r="C292" i="3" s="1"/>
  <c r="A292" i="3" s="1"/>
  <c r="L291" i="3" a="1"/>
  <c r="L291" i="3" s="1"/>
  <c r="K291" i="3" a="1"/>
  <c r="K291" i="3" s="1"/>
  <c r="J291" i="3" a="1"/>
  <c r="J291" i="3" s="1"/>
  <c r="I291" i="3" a="1"/>
  <c r="I291" i="3" s="1"/>
  <c r="H291" i="3" a="1"/>
  <c r="H291" i="3" s="1"/>
  <c r="G291" i="3" a="1"/>
  <c r="G291" i="3" s="1"/>
  <c r="F291" i="3" a="1"/>
  <c r="F291" i="3" s="1"/>
  <c r="E291" i="3" a="1"/>
  <c r="E291" i="3" s="1"/>
  <c r="D291" i="3" a="1"/>
  <c r="D291" i="3" s="1"/>
  <c r="C291" i="3" a="1"/>
  <c r="C291" i="3" s="1"/>
  <c r="A291" i="3" s="1"/>
  <c r="L290" i="3" a="1"/>
  <c r="L290" i="3" s="1"/>
  <c r="K290" i="3" a="1"/>
  <c r="K290" i="3" s="1"/>
  <c r="J290" i="3" a="1"/>
  <c r="J290" i="3" s="1"/>
  <c r="I290" i="3" a="1"/>
  <c r="I290" i="3" s="1"/>
  <c r="H290" i="3" a="1"/>
  <c r="H290" i="3" s="1"/>
  <c r="G290" i="3" a="1"/>
  <c r="G290" i="3" s="1"/>
  <c r="F290" i="3" a="1"/>
  <c r="F290" i="3" s="1"/>
  <c r="E290" i="3" a="1"/>
  <c r="E290" i="3" s="1"/>
  <c r="D290" i="3" a="1"/>
  <c r="D290" i="3" s="1"/>
  <c r="C290" i="3" a="1"/>
  <c r="C290" i="3" s="1"/>
  <c r="A290" i="3" s="1"/>
  <c r="L289" i="3" a="1"/>
  <c r="L289" i="3" s="1"/>
  <c r="K289" i="3" a="1"/>
  <c r="K289" i="3" s="1"/>
  <c r="J289" i="3" a="1"/>
  <c r="J289" i="3" s="1"/>
  <c r="I289" i="3" a="1"/>
  <c r="I289" i="3" s="1"/>
  <c r="H289" i="3" a="1"/>
  <c r="H289" i="3" s="1"/>
  <c r="G289" i="3" a="1"/>
  <c r="G289" i="3" s="1"/>
  <c r="F289" i="3" a="1"/>
  <c r="F289" i="3" s="1"/>
  <c r="E289" i="3" a="1"/>
  <c r="E289" i="3" s="1"/>
  <c r="D289" i="3" a="1"/>
  <c r="D289" i="3" s="1"/>
  <c r="C289" i="3" a="1"/>
  <c r="C289" i="3" s="1"/>
  <c r="A289" i="3" s="1"/>
  <c r="L288" i="3" a="1"/>
  <c r="L288" i="3" s="1"/>
  <c r="K288" i="3" a="1"/>
  <c r="K288" i="3" s="1"/>
  <c r="J288" i="3" a="1"/>
  <c r="J288" i="3" s="1"/>
  <c r="I288" i="3" a="1"/>
  <c r="I288" i="3" s="1"/>
  <c r="H288" i="3" a="1"/>
  <c r="H288" i="3" s="1"/>
  <c r="G288" i="3" a="1"/>
  <c r="G288" i="3" s="1"/>
  <c r="F288" i="3" a="1"/>
  <c r="F288" i="3" s="1"/>
  <c r="E288" i="3" a="1"/>
  <c r="E288" i="3" s="1"/>
  <c r="D288" i="3" a="1"/>
  <c r="D288" i="3" s="1"/>
  <c r="C288" i="3" a="1"/>
  <c r="C288" i="3" s="1"/>
  <c r="A288" i="3" s="1"/>
  <c r="L287" i="3" a="1"/>
  <c r="L287" i="3" s="1"/>
  <c r="K287" i="3" a="1"/>
  <c r="K287" i="3" s="1"/>
  <c r="J287" i="3" a="1"/>
  <c r="J287" i="3" s="1"/>
  <c r="I287" i="3" a="1"/>
  <c r="I287" i="3" s="1"/>
  <c r="H287" i="3" a="1"/>
  <c r="H287" i="3" s="1"/>
  <c r="G287" i="3" a="1"/>
  <c r="G287" i="3" s="1"/>
  <c r="F287" i="3" a="1"/>
  <c r="F287" i="3" s="1"/>
  <c r="E287" i="3" a="1"/>
  <c r="E287" i="3" s="1"/>
  <c r="D287" i="3" a="1"/>
  <c r="D287" i="3" s="1"/>
  <c r="C287" i="3" a="1"/>
  <c r="C287" i="3" s="1"/>
  <c r="A287" i="3" s="1"/>
  <c r="L286" i="3" a="1"/>
  <c r="L286" i="3" s="1"/>
  <c r="K286" i="3" a="1"/>
  <c r="K286" i="3" s="1"/>
  <c r="J286" i="3" a="1"/>
  <c r="J286" i="3" s="1"/>
  <c r="I286" i="3" a="1"/>
  <c r="I286" i="3" s="1"/>
  <c r="H286" i="3" a="1"/>
  <c r="H286" i="3" s="1"/>
  <c r="G286" i="3" a="1"/>
  <c r="G286" i="3" s="1"/>
  <c r="F286" i="3" a="1"/>
  <c r="F286" i="3" s="1"/>
  <c r="E286" i="3" a="1"/>
  <c r="E286" i="3" s="1"/>
  <c r="D286" i="3" a="1"/>
  <c r="D286" i="3" s="1"/>
  <c r="C286" i="3" a="1"/>
  <c r="C286" i="3" s="1"/>
  <c r="A286" i="3" s="1"/>
  <c r="L285" i="3" a="1"/>
  <c r="L285" i="3" s="1"/>
  <c r="K285" i="3" a="1"/>
  <c r="K285" i="3" s="1"/>
  <c r="J285" i="3" a="1"/>
  <c r="J285" i="3" s="1"/>
  <c r="I285" i="3" a="1"/>
  <c r="I285" i="3" s="1"/>
  <c r="H285" i="3" a="1"/>
  <c r="H285" i="3" s="1"/>
  <c r="G285" i="3" a="1"/>
  <c r="G285" i="3" s="1"/>
  <c r="F285" i="3" a="1"/>
  <c r="F285" i="3" s="1"/>
  <c r="E285" i="3" a="1"/>
  <c r="E285" i="3" s="1"/>
  <c r="D285" i="3" a="1"/>
  <c r="D285" i="3" s="1"/>
  <c r="C285" i="3" a="1"/>
  <c r="C285" i="3" s="1"/>
  <c r="A285" i="3" s="1"/>
  <c r="L284" i="3" a="1"/>
  <c r="L284" i="3" s="1"/>
  <c r="K284" i="3" a="1"/>
  <c r="K284" i="3" s="1"/>
  <c r="J284" i="3" a="1"/>
  <c r="J284" i="3" s="1"/>
  <c r="I284" i="3" a="1"/>
  <c r="I284" i="3" s="1"/>
  <c r="H284" i="3" a="1"/>
  <c r="H284" i="3" s="1"/>
  <c r="G284" i="3" a="1"/>
  <c r="G284" i="3" s="1"/>
  <c r="F284" i="3" a="1"/>
  <c r="F284" i="3" s="1"/>
  <c r="E284" i="3" a="1"/>
  <c r="E284" i="3" s="1"/>
  <c r="D284" i="3" a="1"/>
  <c r="D284" i="3" s="1"/>
  <c r="C284" i="3" a="1"/>
  <c r="C284" i="3" s="1"/>
  <c r="A284" i="3" s="1"/>
  <c r="L283" i="3" a="1"/>
  <c r="L283" i="3" s="1"/>
  <c r="K283" i="3" a="1"/>
  <c r="K283" i="3" s="1"/>
  <c r="J283" i="3" a="1"/>
  <c r="J283" i="3" s="1"/>
  <c r="I283" i="3" a="1"/>
  <c r="I283" i="3" s="1"/>
  <c r="H283" i="3" a="1"/>
  <c r="H283" i="3" s="1"/>
  <c r="G283" i="3" a="1"/>
  <c r="G283" i="3" s="1"/>
  <c r="F283" i="3" a="1"/>
  <c r="F283" i="3" s="1"/>
  <c r="E283" i="3" a="1"/>
  <c r="E283" i="3" s="1"/>
  <c r="D283" i="3" a="1"/>
  <c r="D283" i="3" s="1"/>
  <c r="C283" i="3" a="1"/>
  <c r="C283" i="3" s="1"/>
  <c r="A283" i="3" s="1"/>
  <c r="L282" i="3" a="1"/>
  <c r="L282" i="3" s="1"/>
  <c r="K282" i="3" a="1"/>
  <c r="K282" i="3" s="1"/>
  <c r="J282" i="3" a="1"/>
  <c r="J282" i="3" s="1"/>
  <c r="I282" i="3" a="1"/>
  <c r="I282" i="3" s="1"/>
  <c r="H282" i="3" a="1"/>
  <c r="H282" i="3" s="1"/>
  <c r="G282" i="3" a="1"/>
  <c r="G282" i="3" s="1"/>
  <c r="F282" i="3" a="1"/>
  <c r="F282" i="3" s="1"/>
  <c r="E282" i="3" a="1"/>
  <c r="E282" i="3" s="1"/>
  <c r="D282" i="3" a="1"/>
  <c r="D282" i="3" s="1"/>
  <c r="C282" i="3" a="1"/>
  <c r="C282" i="3" s="1"/>
  <c r="A282" i="3" s="1"/>
  <c r="L281" i="3" a="1"/>
  <c r="L281" i="3" s="1"/>
  <c r="K281" i="3" a="1"/>
  <c r="K281" i="3" s="1"/>
  <c r="J281" i="3" a="1"/>
  <c r="J281" i="3" s="1"/>
  <c r="I281" i="3" a="1"/>
  <c r="I281" i="3" s="1"/>
  <c r="H281" i="3" a="1"/>
  <c r="H281" i="3" s="1"/>
  <c r="G281" i="3" a="1"/>
  <c r="G281" i="3" s="1"/>
  <c r="F281" i="3" a="1"/>
  <c r="F281" i="3" s="1"/>
  <c r="E281" i="3" a="1"/>
  <c r="E281" i="3" s="1"/>
  <c r="D281" i="3" a="1"/>
  <c r="D281" i="3" s="1"/>
  <c r="C281" i="3" a="1"/>
  <c r="C281" i="3" s="1"/>
  <c r="A281" i="3" s="1"/>
  <c r="L280" i="3" a="1"/>
  <c r="L280" i="3" s="1"/>
  <c r="K280" i="3" a="1"/>
  <c r="K280" i="3" s="1"/>
  <c r="J280" i="3" a="1"/>
  <c r="J280" i="3" s="1"/>
  <c r="I280" i="3" a="1"/>
  <c r="I280" i="3" s="1"/>
  <c r="H280" i="3" a="1"/>
  <c r="H280" i="3" s="1"/>
  <c r="G280" i="3" a="1"/>
  <c r="G280" i="3" s="1"/>
  <c r="F280" i="3" a="1"/>
  <c r="F280" i="3" s="1"/>
  <c r="E280" i="3" a="1"/>
  <c r="E280" i="3" s="1"/>
  <c r="D280" i="3" a="1"/>
  <c r="D280" i="3" s="1"/>
  <c r="C280" i="3" a="1"/>
  <c r="C280" i="3" s="1"/>
  <c r="A280" i="3" s="1"/>
  <c r="L279" i="3" a="1"/>
  <c r="L279" i="3" s="1"/>
  <c r="K279" i="3" a="1"/>
  <c r="K279" i="3" s="1"/>
  <c r="J279" i="3" a="1"/>
  <c r="J279" i="3" s="1"/>
  <c r="I279" i="3" a="1"/>
  <c r="I279" i="3" s="1"/>
  <c r="H279" i="3" a="1"/>
  <c r="H279" i="3" s="1"/>
  <c r="G279" i="3" a="1"/>
  <c r="G279" i="3" s="1"/>
  <c r="F279" i="3" a="1"/>
  <c r="F279" i="3" s="1"/>
  <c r="E279" i="3" a="1"/>
  <c r="E279" i="3" s="1"/>
  <c r="D279" i="3" a="1"/>
  <c r="D279" i="3" s="1"/>
  <c r="C279" i="3" a="1"/>
  <c r="C279" i="3" s="1"/>
  <c r="A279" i="3" s="1"/>
  <c r="L278" i="3" a="1"/>
  <c r="L278" i="3" s="1"/>
  <c r="K278" i="3" a="1"/>
  <c r="K278" i="3" s="1"/>
  <c r="J278" i="3" a="1"/>
  <c r="J278" i="3" s="1"/>
  <c r="I278" i="3" a="1"/>
  <c r="I278" i="3" s="1"/>
  <c r="H278" i="3" a="1"/>
  <c r="H278" i="3" s="1"/>
  <c r="G278" i="3" a="1"/>
  <c r="G278" i="3" s="1"/>
  <c r="F278" i="3" a="1"/>
  <c r="F278" i="3" s="1"/>
  <c r="E278" i="3" a="1"/>
  <c r="E278" i="3" s="1"/>
  <c r="D278" i="3" a="1"/>
  <c r="D278" i="3" s="1"/>
  <c r="C278" i="3" a="1"/>
  <c r="C278" i="3" s="1"/>
  <c r="A278" i="3" s="1"/>
  <c r="L277" i="3" a="1"/>
  <c r="L277" i="3" s="1"/>
  <c r="K277" i="3" a="1"/>
  <c r="K277" i="3" s="1"/>
  <c r="J277" i="3" a="1"/>
  <c r="J277" i="3" s="1"/>
  <c r="I277" i="3" a="1"/>
  <c r="I277" i="3" s="1"/>
  <c r="H277" i="3" a="1"/>
  <c r="H277" i="3" s="1"/>
  <c r="G277" i="3" a="1"/>
  <c r="G277" i="3" s="1"/>
  <c r="F277" i="3" a="1"/>
  <c r="F277" i="3" s="1"/>
  <c r="E277" i="3" a="1"/>
  <c r="E277" i="3" s="1"/>
  <c r="D277" i="3" a="1"/>
  <c r="D277" i="3" s="1"/>
  <c r="C277" i="3" a="1"/>
  <c r="C277" i="3" s="1"/>
  <c r="A277" i="3" s="1"/>
  <c r="L276" i="3" a="1"/>
  <c r="L276" i="3" s="1"/>
  <c r="K276" i="3" a="1"/>
  <c r="K276" i="3" s="1"/>
  <c r="J276" i="3" a="1"/>
  <c r="J276" i="3" s="1"/>
  <c r="I276" i="3" a="1"/>
  <c r="I276" i="3" s="1"/>
  <c r="H276" i="3" a="1"/>
  <c r="H276" i="3" s="1"/>
  <c r="G276" i="3" a="1"/>
  <c r="G276" i="3" s="1"/>
  <c r="F276" i="3" a="1"/>
  <c r="F276" i="3" s="1"/>
  <c r="E276" i="3" a="1"/>
  <c r="E276" i="3" s="1"/>
  <c r="D276" i="3" a="1"/>
  <c r="D276" i="3" s="1"/>
  <c r="C276" i="3" a="1"/>
  <c r="C276" i="3" s="1"/>
  <c r="A276" i="3" s="1"/>
  <c r="L275" i="3" a="1"/>
  <c r="L275" i="3" s="1"/>
  <c r="K275" i="3" a="1"/>
  <c r="K275" i="3" s="1"/>
  <c r="J275" i="3" a="1"/>
  <c r="J275" i="3" s="1"/>
  <c r="I275" i="3" a="1"/>
  <c r="I275" i="3" s="1"/>
  <c r="H275" i="3" a="1"/>
  <c r="H275" i="3" s="1"/>
  <c r="G275" i="3" a="1"/>
  <c r="G275" i="3" s="1"/>
  <c r="F275" i="3" a="1"/>
  <c r="F275" i="3" s="1"/>
  <c r="E275" i="3" a="1"/>
  <c r="E275" i="3" s="1"/>
  <c r="D275" i="3" a="1"/>
  <c r="D275" i="3" s="1"/>
  <c r="C275" i="3" a="1"/>
  <c r="C275" i="3" s="1"/>
  <c r="A275" i="3" s="1"/>
  <c r="L274" i="3" a="1"/>
  <c r="L274" i="3" s="1"/>
  <c r="K274" i="3" a="1"/>
  <c r="K274" i="3" s="1"/>
  <c r="J274" i="3" a="1"/>
  <c r="J274" i="3" s="1"/>
  <c r="I274" i="3" a="1"/>
  <c r="I274" i="3" s="1"/>
  <c r="H274" i="3" a="1"/>
  <c r="H274" i="3" s="1"/>
  <c r="G274" i="3" a="1"/>
  <c r="G274" i="3" s="1"/>
  <c r="F274" i="3" a="1"/>
  <c r="F274" i="3" s="1"/>
  <c r="E274" i="3" a="1"/>
  <c r="E274" i="3" s="1"/>
  <c r="D274" i="3" a="1"/>
  <c r="D274" i="3" s="1"/>
  <c r="C274" i="3" a="1"/>
  <c r="C274" i="3" s="1"/>
  <c r="A274" i="3" s="1"/>
  <c r="L273" i="3" a="1"/>
  <c r="L273" i="3" s="1"/>
  <c r="K273" i="3" a="1"/>
  <c r="K273" i="3" s="1"/>
  <c r="J273" i="3" a="1"/>
  <c r="J273" i="3" s="1"/>
  <c r="I273" i="3" a="1"/>
  <c r="I273" i="3" s="1"/>
  <c r="H273" i="3" a="1"/>
  <c r="H273" i="3" s="1"/>
  <c r="G273" i="3" a="1"/>
  <c r="G273" i="3" s="1"/>
  <c r="F273" i="3" a="1"/>
  <c r="F273" i="3" s="1"/>
  <c r="E273" i="3" a="1"/>
  <c r="E273" i="3" s="1"/>
  <c r="D273" i="3" a="1"/>
  <c r="D273" i="3" s="1"/>
  <c r="C273" i="3" a="1"/>
  <c r="C273" i="3" s="1"/>
  <c r="A273" i="3" s="1"/>
  <c r="L272" i="3" a="1"/>
  <c r="L272" i="3" s="1"/>
  <c r="K272" i="3" a="1"/>
  <c r="K272" i="3" s="1"/>
  <c r="J272" i="3" a="1"/>
  <c r="J272" i="3" s="1"/>
  <c r="I272" i="3" a="1"/>
  <c r="I272" i="3" s="1"/>
  <c r="H272" i="3" a="1"/>
  <c r="H272" i="3" s="1"/>
  <c r="G272" i="3" a="1"/>
  <c r="G272" i="3" s="1"/>
  <c r="F272" i="3" a="1"/>
  <c r="F272" i="3" s="1"/>
  <c r="E272" i="3" a="1"/>
  <c r="E272" i="3" s="1"/>
  <c r="D272" i="3" a="1"/>
  <c r="D272" i="3" s="1"/>
  <c r="C272" i="3" a="1"/>
  <c r="C272" i="3" s="1"/>
  <c r="A272" i="3" s="1"/>
  <c r="L271" i="3" a="1"/>
  <c r="L271" i="3" s="1"/>
  <c r="K271" i="3" a="1"/>
  <c r="K271" i="3" s="1"/>
  <c r="J271" i="3" a="1"/>
  <c r="J271" i="3" s="1"/>
  <c r="I271" i="3" a="1"/>
  <c r="I271" i="3" s="1"/>
  <c r="H271" i="3" a="1"/>
  <c r="H271" i="3" s="1"/>
  <c r="G271" i="3" a="1"/>
  <c r="G271" i="3" s="1"/>
  <c r="F271" i="3" a="1"/>
  <c r="F271" i="3" s="1"/>
  <c r="E271" i="3" a="1"/>
  <c r="E271" i="3" s="1"/>
  <c r="D271" i="3" a="1"/>
  <c r="D271" i="3" s="1"/>
  <c r="C271" i="3" a="1"/>
  <c r="C271" i="3" s="1"/>
  <c r="A271" i="3" s="1"/>
  <c r="L270" i="3" a="1"/>
  <c r="L270" i="3" s="1"/>
  <c r="K270" i="3" a="1"/>
  <c r="K270" i="3" s="1"/>
  <c r="J270" i="3" a="1"/>
  <c r="J270" i="3" s="1"/>
  <c r="I270" i="3" a="1"/>
  <c r="I270" i="3" s="1"/>
  <c r="H270" i="3" a="1"/>
  <c r="H270" i="3" s="1"/>
  <c r="G270" i="3" a="1"/>
  <c r="G270" i="3" s="1"/>
  <c r="F270" i="3" a="1"/>
  <c r="F270" i="3" s="1"/>
  <c r="E270" i="3" a="1"/>
  <c r="E270" i="3" s="1"/>
  <c r="D270" i="3" a="1"/>
  <c r="D270" i="3" s="1"/>
  <c r="C270" i="3" a="1"/>
  <c r="C270" i="3" s="1"/>
  <c r="A270" i="3" s="1"/>
  <c r="L269" i="3" a="1"/>
  <c r="L269" i="3" s="1"/>
  <c r="K269" i="3" a="1"/>
  <c r="K269" i="3" s="1"/>
  <c r="J269" i="3" a="1"/>
  <c r="J269" i="3" s="1"/>
  <c r="I269" i="3" a="1"/>
  <c r="I269" i="3" s="1"/>
  <c r="H269" i="3" a="1"/>
  <c r="H269" i="3" s="1"/>
  <c r="G269" i="3" a="1"/>
  <c r="G269" i="3" s="1"/>
  <c r="F269" i="3" a="1"/>
  <c r="F269" i="3" s="1"/>
  <c r="E269" i="3" a="1"/>
  <c r="E269" i="3" s="1"/>
  <c r="D269" i="3" a="1"/>
  <c r="D269" i="3" s="1"/>
  <c r="C269" i="3" a="1"/>
  <c r="C269" i="3" s="1"/>
  <c r="A269" i="3" s="1"/>
  <c r="L268" i="3" a="1"/>
  <c r="L268" i="3" s="1"/>
  <c r="K268" i="3" a="1"/>
  <c r="K268" i="3" s="1"/>
  <c r="J268" i="3" a="1"/>
  <c r="J268" i="3" s="1"/>
  <c r="I268" i="3" a="1"/>
  <c r="I268" i="3" s="1"/>
  <c r="H268" i="3" a="1"/>
  <c r="H268" i="3" s="1"/>
  <c r="G268" i="3" a="1"/>
  <c r="G268" i="3" s="1"/>
  <c r="F268" i="3" a="1"/>
  <c r="F268" i="3" s="1"/>
  <c r="E268" i="3" a="1"/>
  <c r="E268" i="3" s="1"/>
  <c r="D268" i="3" a="1"/>
  <c r="D268" i="3" s="1"/>
  <c r="C268" i="3" a="1"/>
  <c r="C268" i="3" s="1"/>
  <c r="A268" i="3" s="1"/>
  <c r="L267" i="3" a="1"/>
  <c r="L267" i="3" s="1"/>
  <c r="K267" i="3" a="1"/>
  <c r="K267" i="3" s="1"/>
  <c r="J267" i="3" a="1"/>
  <c r="J267" i="3" s="1"/>
  <c r="I267" i="3" a="1"/>
  <c r="I267" i="3" s="1"/>
  <c r="H267" i="3" a="1"/>
  <c r="H267" i="3" s="1"/>
  <c r="G267" i="3" a="1"/>
  <c r="G267" i="3" s="1"/>
  <c r="F267" i="3" a="1"/>
  <c r="F267" i="3" s="1"/>
  <c r="E267" i="3" a="1"/>
  <c r="E267" i="3" s="1"/>
  <c r="D267" i="3" a="1"/>
  <c r="D267" i="3" s="1"/>
  <c r="C267" i="3" a="1"/>
  <c r="C267" i="3" s="1"/>
  <c r="A267" i="3" s="1"/>
  <c r="L266" i="3" a="1"/>
  <c r="L266" i="3" s="1"/>
  <c r="K266" i="3" a="1"/>
  <c r="K266" i="3" s="1"/>
  <c r="J266" i="3" a="1"/>
  <c r="J266" i="3" s="1"/>
  <c r="I266" i="3" a="1"/>
  <c r="I266" i="3" s="1"/>
  <c r="H266" i="3" a="1"/>
  <c r="H266" i="3" s="1"/>
  <c r="G266" i="3" a="1"/>
  <c r="G266" i="3" s="1"/>
  <c r="F266" i="3" a="1"/>
  <c r="F266" i="3" s="1"/>
  <c r="E266" i="3" a="1"/>
  <c r="E266" i="3" s="1"/>
  <c r="D266" i="3" a="1"/>
  <c r="D266" i="3" s="1"/>
  <c r="C266" i="3" a="1"/>
  <c r="C266" i="3" s="1"/>
  <c r="A266" i="3" s="1"/>
  <c r="L265" i="3" a="1"/>
  <c r="L265" i="3" s="1"/>
  <c r="K265" i="3" a="1"/>
  <c r="K265" i="3" s="1"/>
  <c r="J265" i="3" a="1"/>
  <c r="J265" i="3" s="1"/>
  <c r="I265" i="3" a="1"/>
  <c r="I265" i="3" s="1"/>
  <c r="H265" i="3" a="1"/>
  <c r="H265" i="3" s="1"/>
  <c r="G265" i="3" a="1"/>
  <c r="G265" i="3" s="1"/>
  <c r="F265" i="3" a="1"/>
  <c r="F265" i="3" s="1"/>
  <c r="E265" i="3" a="1"/>
  <c r="E265" i="3" s="1"/>
  <c r="D265" i="3" a="1"/>
  <c r="D265" i="3" s="1"/>
  <c r="C265" i="3" a="1"/>
  <c r="C265" i="3" s="1"/>
  <c r="A265" i="3" s="1"/>
  <c r="L264" i="3" a="1"/>
  <c r="L264" i="3" s="1"/>
  <c r="K264" i="3" a="1"/>
  <c r="K264" i="3" s="1"/>
  <c r="J264" i="3" a="1"/>
  <c r="J264" i="3" s="1"/>
  <c r="I264" i="3" a="1"/>
  <c r="I264" i="3" s="1"/>
  <c r="H264" i="3" a="1"/>
  <c r="H264" i="3" s="1"/>
  <c r="G264" i="3" a="1"/>
  <c r="G264" i="3" s="1"/>
  <c r="F264" i="3" a="1"/>
  <c r="F264" i="3" s="1"/>
  <c r="E264" i="3" a="1"/>
  <c r="E264" i="3" s="1"/>
  <c r="D264" i="3" a="1"/>
  <c r="D264" i="3" s="1"/>
  <c r="C264" i="3" a="1"/>
  <c r="C264" i="3" s="1"/>
  <c r="A264" i="3" s="1"/>
  <c r="L263" i="3" a="1"/>
  <c r="L263" i="3" s="1"/>
  <c r="K263" i="3" a="1"/>
  <c r="K263" i="3" s="1"/>
  <c r="J263" i="3" a="1"/>
  <c r="J263" i="3" s="1"/>
  <c r="I263" i="3" a="1"/>
  <c r="I263" i="3" s="1"/>
  <c r="H263" i="3" a="1"/>
  <c r="H263" i="3" s="1"/>
  <c r="G263" i="3" a="1"/>
  <c r="G263" i="3" s="1"/>
  <c r="F263" i="3" a="1"/>
  <c r="F263" i="3" s="1"/>
  <c r="E263" i="3" a="1"/>
  <c r="E263" i="3" s="1"/>
  <c r="D263" i="3" a="1"/>
  <c r="D263" i="3" s="1"/>
  <c r="C263" i="3" a="1"/>
  <c r="C263" i="3" s="1"/>
  <c r="A263" i="3" s="1"/>
  <c r="L262" i="3" a="1"/>
  <c r="L262" i="3" s="1"/>
  <c r="K262" i="3" a="1"/>
  <c r="K262" i="3" s="1"/>
  <c r="J262" i="3" a="1"/>
  <c r="J262" i="3" s="1"/>
  <c r="I262" i="3" a="1"/>
  <c r="I262" i="3" s="1"/>
  <c r="H262" i="3" a="1"/>
  <c r="H262" i="3" s="1"/>
  <c r="G262" i="3" a="1"/>
  <c r="G262" i="3" s="1"/>
  <c r="F262" i="3" a="1"/>
  <c r="F262" i="3" s="1"/>
  <c r="E262" i="3" a="1"/>
  <c r="E262" i="3" s="1"/>
  <c r="D262" i="3" a="1"/>
  <c r="D262" i="3" s="1"/>
  <c r="C262" i="3" a="1"/>
  <c r="C262" i="3" s="1"/>
  <c r="A262" i="3" s="1"/>
  <c r="L261" i="3" a="1"/>
  <c r="L261" i="3" s="1"/>
  <c r="K261" i="3" a="1"/>
  <c r="K261" i="3" s="1"/>
  <c r="J261" i="3" a="1"/>
  <c r="J261" i="3" s="1"/>
  <c r="I261" i="3" a="1"/>
  <c r="I261" i="3" s="1"/>
  <c r="H261" i="3" a="1"/>
  <c r="H261" i="3" s="1"/>
  <c r="G261" i="3" a="1"/>
  <c r="G261" i="3" s="1"/>
  <c r="F261" i="3" a="1"/>
  <c r="F261" i="3" s="1"/>
  <c r="E261" i="3" a="1"/>
  <c r="E261" i="3" s="1"/>
  <c r="D261" i="3" a="1"/>
  <c r="D261" i="3" s="1"/>
  <c r="C261" i="3" a="1"/>
  <c r="C261" i="3" s="1"/>
  <c r="A261" i="3" s="1"/>
  <c r="L260" i="3" a="1"/>
  <c r="L260" i="3" s="1"/>
  <c r="K260" i="3" a="1"/>
  <c r="K260" i="3" s="1"/>
  <c r="J260" i="3" a="1"/>
  <c r="J260" i="3" s="1"/>
  <c r="I260" i="3" a="1"/>
  <c r="I260" i="3" s="1"/>
  <c r="H260" i="3" a="1"/>
  <c r="H260" i="3" s="1"/>
  <c r="G260" i="3" a="1"/>
  <c r="G260" i="3" s="1"/>
  <c r="F260" i="3" a="1"/>
  <c r="F260" i="3" s="1"/>
  <c r="E260" i="3" a="1"/>
  <c r="E260" i="3" s="1"/>
  <c r="D260" i="3" a="1"/>
  <c r="D260" i="3" s="1"/>
  <c r="C260" i="3" a="1"/>
  <c r="C260" i="3" s="1"/>
  <c r="A260" i="3" s="1"/>
  <c r="L259" i="3" a="1"/>
  <c r="L259" i="3" s="1"/>
  <c r="K259" i="3" a="1"/>
  <c r="K259" i="3" s="1"/>
  <c r="J259" i="3" a="1"/>
  <c r="J259" i="3" s="1"/>
  <c r="I259" i="3" a="1"/>
  <c r="I259" i="3" s="1"/>
  <c r="H259" i="3" a="1"/>
  <c r="H259" i="3" s="1"/>
  <c r="G259" i="3" a="1"/>
  <c r="G259" i="3" s="1"/>
  <c r="F259" i="3" a="1"/>
  <c r="F259" i="3" s="1"/>
  <c r="E259" i="3" a="1"/>
  <c r="E259" i="3" s="1"/>
  <c r="D259" i="3" a="1"/>
  <c r="D259" i="3" s="1"/>
  <c r="C259" i="3" a="1"/>
  <c r="C259" i="3" s="1"/>
  <c r="A259" i="3" s="1"/>
  <c r="L258" i="3" a="1"/>
  <c r="L258" i="3" s="1"/>
  <c r="K258" i="3" a="1"/>
  <c r="K258" i="3" s="1"/>
  <c r="J258" i="3" a="1"/>
  <c r="J258" i="3" s="1"/>
  <c r="I258" i="3" a="1"/>
  <c r="I258" i="3" s="1"/>
  <c r="H258" i="3" a="1"/>
  <c r="H258" i="3" s="1"/>
  <c r="G258" i="3" a="1"/>
  <c r="G258" i="3" s="1"/>
  <c r="F258" i="3" a="1"/>
  <c r="F258" i="3" s="1"/>
  <c r="E258" i="3" a="1"/>
  <c r="E258" i="3" s="1"/>
  <c r="D258" i="3" a="1"/>
  <c r="D258" i="3" s="1"/>
  <c r="C258" i="3" a="1"/>
  <c r="C258" i="3" s="1"/>
  <c r="A258" i="3" s="1"/>
  <c r="L257" i="3" a="1"/>
  <c r="L257" i="3" s="1"/>
  <c r="K257" i="3" a="1"/>
  <c r="K257" i="3" s="1"/>
  <c r="J257" i="3" a="1"/>
  <c r="J257" i="3" s="1"/>
  <c r="I257" i="3" a="1"/>
  <c r="I257" i="3" s="1"/>
  <c r="H257" i="3" a="1"/>
  <c r="H257" i="3" s="1"/>
  <c r="G257" i="3" a="1"/>
  <c r="G257" i="3" s="1"/>
  <c r="F257" i="3" a="1"/>
  <c r="F257" i="3" s="1"/>
  <c r="E257" i="3" a="1"/>
  <c r="E257" i="3" s="1"/>
  <c r="D257" i="3" a="1"/>
  <c r="D257" i="3" s="1"/>
  <c r="C257" i="3" a="1"/>
  <c r="C257" i="3" s="1"/>
  <c r="A257" i="3" s="1"/>
  <c r="L256" i="3" a="1"/>
  <c r="L256" i="3" s="1"/>
  <c r="K256" i="3" a="1"/>
  <c r="K256" i="3" s="1"/>
  <c r="J256" i="3" a="1"/>
  <c r="J256" i="3" s="1"/>
  <c r="I256" i="3" a="1"/>
  <c r="I256" i="3" s="1"/>
  <c r="H256" i="3" a="1"/>
  <c r="H256" i="3" s="1"/>
  <c r="G256" i="3" a="1"/>
  <c r="G256" i="3" s="1"/>
  <c r="F256" i="3" a="1"/>
  <c r="F256" i="3" s="1"/>
  <c r="E256" i="3" a="1"/>
  <c r="E256" i="3" s="1"/>
  <c r="D256" i="3" a="1"/>
  <c r="D256" i="3" s="1"/>
  <c r="C256" i="3" a="1"/>
  <c r="C256" i="3" s="1"/>
  <c r="A256" i="3" s="1"/>
  <c r="L255" i="3" a="1"/>
  <c r="L255" i="3" s="1"/>
  <c r="K255" i="3" a="1"/>
  <c r="K255" i="3" s="1"/>
  <c r="J255" i="3" a="1"/>
  <c r="J255" i="3" s="1"/>
  <c r="I255" i="3" a="1"/>
  <c r="I255" i="3" s="1"/>
  <c r="H255" i="3" a="1"/>
  <c r="H255" i="3" s="1"/>
  <c r="G255" i="3" a="1"/>
  <c r="G255" i="3" s="1"/>
  <c r="F255" i="3" a="1"/>
  <c r="F255" i="3" s="1"/>
  <c r="E255" i="3" a="1"/>
  <c r="E255" i="3" s="1"/>
  <c r="D255" i="3" a="1"/>
  <c r="D255" i="3" s="1"/>
  <c r="C255" i="3" a="1"/>
  <c r="C255" i="3" s="1"/>
  <c r="A255" i="3" s="1"/>
  <c r="L254" i="3" a="1"/>
  <c r="L254" i="3" s="1"/>
  <c r="K254" i="3" a="1"/>
  <c r="K254" i="3" s="1"/>
  <c r="J254" i="3" a="1"/>
  <c r="J254" i="3" s="1"/>
  <c r="I254" i="3" a="1"/>
  <c r="I254" i="3" s="1"/>
  <c r="H254" i="3" a="1"/>
  <c r="H254" i="3" s="1"/>
  <c r="G254" i="3" a="1"/>
  <c r="G254" i="3" s="1"/>
  <c r="F254" i="3" a="1"/>
  <c r="F254" i="3" s="1"/>
  <c r="E254" i="3" a="1"/>
  <c r="E254" i="3" s="1"/>
  <c r="D254" i="3" a="1"/>
  <c r="D254" i="3" s="1"/>
  <c r="C254" i="3" a="1"/>
  <c r="C254" i="3" s="1"/>
  <c r="A254" i="3" s="1"/>
  <c r="L253" i="3" a="1"/>
  <c r="L253" i="3" s="1"/>
  <c r="K253" i="3" a="1"/>
  <c r="K253" i="3" s="1"/>
  <c r="J253" i="3" a="1"/>
  <c r="J253" i="3" s="1"/>
  <c r="I253" i="3" a="1"/>
  <c r="I253" i="3" s="1"/>
  <c r="H253" i="3" a="1"/>
  <c r="H253" i="3" s="1"/>
  <c r="G253" i="3" a="1"/>
  <c r="G253" i="3" s="1"/>
  <c r="F253" i="3" a="1"/>
  <c r="F253" i="3" s="1"/>
  <c r="E253" i="3" a="1"/>
  <c r="E253" i="3" s="1"/>
  <c r="D253" i="3" a="1"/>
  <c r="D253" i="3" s="1"/>
  <c r="C253" i="3" a="1"/>
  <c r="C253" i="3" s="1"/>
  <c r="A253" i="3" s="1"/>
  <c r="L252" i="3" a="1"/>
  <c r="L252" i="3" s="1"/>
  <c r="K252" i="3" a="1"/>
  <c r="K252" i="3" s="1"/>
  <c r="J252" i="3" a="1"/>
  <c r="J252" i="3" s="1"/>
  <c r="I252" i="3" a="1"/>
  <c r="I252" i="3" s="1"/>
  <c r="H252" i="3" a="1"/>
  <c r="H252" i="3" s="1"/>
  <c r="G252" i="3" a="1"/>
  <c r="G252" i="3" s="1"/>
  <c r="F252" i="3" a="1"/>
  <c r="F252" i="3" s="1"/>
  <c r="E252" i="3" a="1"/>
  <c r="E252" i="3" s="1"/>
  <c r="D252" i="3" a="1"/>
  <c r="D252" i="3" s="1"/>
  <c r="C252" i="3" a="1"/>
  <c r="C252" i="3" s="1"/>
  <c r="A252" i="3" s="1"/>
  <c r="L251" i="3" a="1"/>
  <c r="L251" i="3" s="1"/>
  <c r="K251" i="3" a="1"/>
  <c r="K251" i="3" s="1"/>
  <c r="J251" i="3" a="1"/>
  <c r="J251" i="3" s="1"/>
  <c r="I251" i="3" a="1"/>
  <c r="I251" i="3" s="1"/>
  <c r="H251" i="3" a="1"/>
  <c r="H251" i="3" s="1"/>
  <c r="G251" i="3" a="1"/>
  <c r="G251" i="3" s="1"/>
  <c r="F251" i="3" a="1"/>
  <c r="F251" i="3" s="1"/>
  <c r="E251" i="3" a="1"/>
  <c r="E251" i="3" s="1"/>
  <c r="D251" i="3" a="1"/>
  <c r="D251" i="3" s="1"/>
  <c r="C251" i="3" a="1"/>
  <c r="C251" i="3" s="1"/>
  <c r="A251" i="3" s="1"/>
  <c r="L250" i="3" a="1"/>
  <c r="L250" i="3" s="1"/>
  <c r="K250" i="3" a="1"/>
  <c r="K250" i="3" s="1"/>
  <c r="J250" i="3" a="1"/>
  <c r="J250" i="3" s="1"/>
  <c r="I250" i="3" a="1"/>
  <c r="I250" i="3" s="1"/>
  <c r="H250" i="3" a="1"/>
  <c r="H250" i="3" s="1"/>
  <c r="G250" i="3" a="1"/>
  <c r="G250" i="3" s="1"/>
  <c r="F250" i="3" a="1"/>
  <c r="F250" i="3" s="1"/>
  <c r="E250" i="3" a="1"/>
  <c r="E250" i="3" s="1"/>
  <c r="D250" i="3" a="1"/>
  <c r="D250" i="3" s="1"/>
  <c r="C250" i="3" a="1"/>
  <c r="C250" i="3" s="1"/>
  <c r="A250" i="3" s="1"/>
  <c r="L249" i="3" a="1"/>
  <c r="L249" i="3" s="1"/>
  <c r="K249" i="3" a="1"/>
  <c r="K249" i="3" s="1"/>
  <c r="J249" i="3" a="1"/>
  <c r="J249" i="3" s="1"/>
  <c r="I249" i="3" a="1"/>
  <c r="I249" i="3" s="1"/>
  <c r="H249" i="3" a="1"/>
  <c r="H249" i="3" s="1"/>
  <c r="G249" i="3" a="1"/>
  <c r="G249" i="3" s="1"/>
  <c r="F249" i="3" a="1"/>
  <c r="F249" i="3" s="1"/>
  <c r="E249" i="3" a="1"/>
  <c r="E249" i="3" s="1"/>
  <c r="D249" i="3" a="1"/>
  <c r="D249" i="3" s="1"/>
  <c r="C249" i="3" a="1"/>
  <c r="C249" i="3" s="1"/>
  <c r="A249" i="3" s="1"/>
  <c r="L248" i="3" a="1"/>
  <c r="L248" i="3" s="1"/>
  <c r="K248" i="3" a="1"/>
  <c r="K248" i="3" s="1"/>
  <c r="J248" i="3" a="1"/>
  <c r="J248" i="3" s="1"/>
  <c r="I248" i="3" a="1"/>
  <c r="I248" i="3" s="1"/>
  <c r="H248" i="3" a="1"/>
  <c r="H248" i="3" s="1"/>
  <c r="G248" i="3" a="1"/>
  <c r="G248" i="3" s="1"/>
  <c r="F248" i="3" a="1"/>
  <c r="F248" i="3" s="1"/>
  <c r="E248" i="3" a="1"/>
  <c r="E248" i="3" s="1"/>
  <c r="D248" i="3" a="1"/>
  <c r="D248" i="3" s="1"/>
  <c r="C248" i="3" a="1"/>
  <c r="C248" i="3" s="1"/>
  <c r="A248" i="3" s="1"/>
  <c r="L247" i="3" a="1"/>
  <c r="L247" i="3" s="1"/>
  <c r="K247" i="3" a="1"/>
  <c r="K247" i="3" s="1"/>
  <c r="J247" i="3" a="1"/>
  <c r="J247" i="3" s="1"/>
  <c r="I247" i="3" a="1"/>
  <c r="I247" i="3" s="1"/>
  <c r="H247" i="3" a="1"/>
  <c r="H247" i="3" s="1"/>
  <c r="G247" i="3" a="1"/>
  <c r="G247" i="3" s="1"/>
  <c r="F247" i="3" a="1"/>
  <c r="F247" i="3" s="1"/>
  <c r="E247" i="3" a="1"/>
  <c r="E247" i="3" s="1"/>
  <c r="D247" i="3" a="1"/>
  <c r="D247" i="3" s="1"/>
  <c r="C247" i="3" a="1"/>
  <c r="C247" i="3" s="1"/>
  <c r="A247" i="3" s="1"/>
  <c r="L246" i="3" a="1"/>
  <c r="L246" i="3" s="1"/>
  <c r="K246" i="3" a="1"/>
  <c r="K246" i="3" s="1"/>
  <c r="J246" i="3" a="1"/>
  <c r="J246" i="3" s="1"/>
  <c r="I246" i="3" a="1"/>
  <c r="I246" i="3" s="1"/>
  <c r="H246" i="3" a="1"/>
  <c r="H246" i="3" s="1"/>
  <c r="G246" i="3" a="1"/>
  <c r="G246" i="3" s="1"/>
  <c r="F246" i="3" a="1"/>
  <c r="F246" i="3" s="1"/>
  <c r="E246" i="3" a="1"/>
  <c r="E246" i="3" s="1"/>
  <c r="D246" i="3" a="1"/>
  <c r="D246" i="3" s="1"/>
  <c r="C246" i="3" a="1"/>
  <c r="C246" i="3" s="1"/>
  <c r="A246" i="3" s="1"/>
  <c r="L245" i="3" a="1"/>
  <c r="L245" i="3" s="1"/>
  <c r="K245" i="3" a="1"/>
  <c r="K245" i="3" s="1"/>
  <c r="J245" i="3" a="1"/>
  <c r="J245" i="3" s="1"/>
  <c r="I245" i="3" a="1"/>
  <c r="I245" i="3" s="1"/>
  <c r="H245" i="3" a="1"/>
  <c r="H245" i="3" s="1"/>
  <c r="G245" i="3" a="1"/>
  <c r="G245" i="3" s="1"/>
  <c r="F245" i="3" a="1"/>
  <c r="F245" i="3" s="1"/>
  <c r="E245" i="3" a="1"/>
  <c r="E245" i="3" s="1"/>
  <c r="D245" i="3" a="1"/>
  <c r="D245" i="3" s="1"/>
  <c r="C245" i="3" a="1"/>
  <c r="C245" i="3" s="1"/>
  <c r="A245" i="3" s="1"/>
  <c r="L244" i="3" a="1"/>
  <c r="L244" i="3" s="1"/>
  <c r="K244" i="3" a="1"/>
  <c r="K244" i="3" s="1"/>
  <c r="J244" i="3" a="1"/>
  <c r="J244" i="3" s="1"/>
  <c r="I244" i="3" a="1"/>
  <c r="I244" i="3" s="1"/>
  <c r="H244" i="3" a="1"/>
  <c r="H244" i="3" s="1"/>
  <c r="G244" i="3" a="1"/>
  <c r="G244" i="3" s="1"/>
  <c r="F244" i="3" a="1"/>
  <c r="F244" i="3" s="1"/>
  <c r="E244" i="3" a="1"/>
  <c r="E244" i="3" s="1"/>
  <c r="D244" i="3" a="1"/>
  <c r="D244" i="3" s="1"/>
  <c r="C244" i="3" a="1"/>
  <c r="C244" i="3" s="1"/>
  <c r="A244" i="3" s="1"/>
  <c r="L243" i="3" a="1"/>
  <c r="L243" i="3" s="1"/>
  <c r="K243" i="3" a="1"/>
  <c r="K243" i="3" s="1"/>
  <c r="J243" i="3" a="1"/>
  <c r="J243" i="3" s="1"/>
  <c r="I243" i="3" a="1"/>
  <c r="I243" i="3" s="1"/>
  <c r="H243" i="3" a="1"/>
  <c r="H243" i="3" s="1"/>
  <c r="G243" i="3" a="1"/>
  <c r="G243" i="3" s="1"/>
  <c r="F243" i="3" a="1"/>
  <c r="F243" i="3" s="1"/>
  <c r="E243" i="3" a="1"/>
  <c r="E243" i="3" s="1"/>
  <c r="D243" i="3" a="1"/>
  <c r="D243" i="3" s="1"/>
  <c r="C243" i="3" a="1"/>
  <c r="C243" i="3" s="1"/>
  <c r="A243" i="3" s="1"/>
  <c r="L242" i="3" a="1"/>
  <c r="L242" i="3" s="1"/>
  <c r="K242" i="3" a="1"/>
  <c r="K242" i="3" s="1"/>
  <c r="J242" i="3" a="1"/>
  <c r="J242" i="3" s="1"/>
  <c r="I242" i="3" a="1"/>
  <c r="I242" i="3" s="1"/>
  <c r="H242" i="3" a="1"/>
  <c r="H242" i="3" s="1"/>
  <c r="G242" i="3" a="1"/>
  <c r="G242" i="3" s="1"/>
  <c r="F242" i="3" a="1"/>
  <c r="F242" i="3" s="1"/>
  <c r="E242" i="3" a="1"/>
  <c r="E242" i="3" s="1"/>
  <c r="D242" i="3" a="1"/>
  <c r="D242" i="3" s="1"/>
  <c r="C242" i="3" a="1"/>
  <c r="C242" i="3" s="1"/>
  <c r="A242" i="3" s="1"/>
  <c r="L241" i="3" a="1"/>
  <c r="L241" i="3" s="1"/>
  <c r="K241" i="3" a="1"/>
  <c r="K241" i="3" s="1"/>
  <c r="J241" i="3" a="1"/>
  <c r="J241" i="3" s="1"/>
  <c r="I241" i="3" a="1"/>
  <c r="I241" i="3" s="1"/>
  <c r="H241" i="3" a="1"/>
  <c r="H241" i="3" s="1"/>
  <c r="G241" i="3" a="1"/>
  <c r="G241" i="3" s="1"/>
  <c r="F241" i="3" a="1"/>
  <c r="F241" i="3" s="1"/>
  <c r="E241" i="3" a="1"/>
  <c r="E241" i="3" s="1"/>
  <c r="D241" i="3" a="1"/>
  <c r="D241" i="3" s="1"/>
  <c r="C241" i="3" a="1"/>
  <c r="C241" i="3" s="1"/>
  <c r="A241" i="3" s="1"/>
  <c r="L240" i="3" a="1"/>
  <c r="L240" i="3" s="1"/>
  <c r="K240" i="3" a="1"/>
  <c r="K240" i="3" s="1"/>
  <c r="J240" i="3" a="1"/>
  <c r="J240" i="3" s="1"/>
  <c r="I240" i="3" a="1"/>
  <c r="I240" i="3" s="1"/>
  <c r="H240" i="3" a="1"/>
  <c r="H240" i="3" s="1"/>
  <c r="G240" i="3" a="1"/>
  <c r="G240" i="3" s="1"/>
  <c r="F240" i="3" a="1"/>
  <c r="F240" i="3" s="1"/>
  <c r="E240" i="3" a="1"/>
  <c r="E240" i="3" s="1"/>
  <c r="D240" i="3" a="1"/>
  <c r="D240" i="3" s="1"/>
  <c r="C240" i="3" a="1"/>
  <c r="C240" i="3" s="1"/>
  <c r="A240" i="3" s="1"/>
  <c r="L239" i="3" a="1"/>
  <c r="L239" i="3" s="1"/>
  <c r="K239" i="3" a="1"/>
  <c r="K239" i="3" s="1"/>
  <c r="J239" i="3" a="1"/>
  <c r="J239" i="3" s="1"/>
  <c r="I239" i="3" a="1"/>
  <c r="I239" i="3" s="1"/>
  <c r="H239" i="3" a="1"/>
  <c r="H239" i="3" s="1"/>
  <c r="G239" i="3" a="1"/>
  <c r="G239" i="3" s="1"/>
  <c r="F239" i="3" a="1"/>
  <c r="F239" i="3" s="1"/>
  <c r="E239" i="3" a="1"/>
  <c r="E239" i="3" s="1"/>
  <c r="D239" i="3" a="1"/>
  <c r="D239" i="3" s="1"/>
  <c r="C239" i="3" a="1"/>
  <c r="C239" i="3" s="1"/>
  <c r="A239" i="3" s="1"/>
  <c r="L238" i="3" a="1"/>
  <c r="L238" i="3" s="1"/>
  <c r="K238" i="3" a="1"/>
  <c r="K238" i="3" s="1"/>
  <c r="J238" i="3" a="1"/>
  <c r="J238" i="3" s="1"/>
  <c r="I238" i="3" a="1"/>
  <c r="I238" i="3" s="1"/>
  <c r="H238" i="3" a="1"/>
  <c r="H238" i="3" s="1"/>
  <c r="G238" i="3" a="1"/>
  <c r="G238" i="3" s="1"/>
  <c r="F238" i="3" a="1"/>
  <c r="F238" i="3" s="1"/>
  <c r="E238" i="3" a="1"/>
  <c r="E238" i="3" s="1"/>
  <c r="D238" i="3" a="1"/>
  <c r="D238" i="3" s="1"/>
  <c r="C238" i="3" a="1"/>
  <c r="C238" i="3" s="1"/>
  <c r="A238" i="3" s="1"/>
  <c r="L237" i="3" a="1"/>
  <c r="L237" i="3" s="1"/>
  <c r="K237" i="3" a="1"/>
  <c r="K237" i="3" s="1"/>
  <c r="J237" i="3" a="1"/>
  <c r="J237" i="3" s="1"/>
  <c r="I237" i="3" a="1"/>
  <c r="I237" i="3" s="1"/>
  <c r="H237" i="3" a="1"/>
  <c r="H237" i="3" s="1"/>
  <c r="G237" i="3" a="1"/>
  <c r="G237" i="3" s="1"/>
  <c r="F237" i="3" a="1"/>
  <c r="F237" i="3" s="1"/>
  <c r="E237" i="3" a="1"/>
  <c r="E237" i="3" s="1"/>
  <c r="D237" i="3" a="1"/>
  <c r="D237" i="3" s="1"/>
  <c r="C237" i="3" a="1"/>
  <c r="C237" i="3" s="1"/>
  <c r="A237" i="3" s="1"/>
  <c r="L236" i="3" a="1"/>
  <c r="L236" i="3" s="1"/>
  <c r="K236" i="3" a="1"/>
  <c r="K236" i="3" s="1"/>
  <c r="J236" i="3" a="1"/>
  <c r="J236" i="3" s="1"/>
  <c r="I236" i="3" a="1"/>
  <c r="I236" i="3" s="1"/>
  <c r="H236" i="3" a="1"/>
  <c r="H236" i="3" s="1"/>
  <c r="G236" i="3" a="1"/>
  <c r="G236" i="3" s="1"/>
  <c r="F236" i="3" a="1"/>
  <c r="F236" i="3" s="1"/>
  <c r="E236" i="3" a="1"/>
  <c r="E236" i="3" s="1"/>
  <c r="D236" i="3" a="1"/>
  <c r="D236" i="3" s="1"/>
  <c r="C236" i="3" a="1"/>
  <c r="C236" i="3" s="1"/>
  <c r="A236" i="3" s="1"/>
  <c r="L235" i="3" a="1"/>
  <c r="L235" i="3" s="1"/>
  <c r="K235" i="3" a="1"/>
  <c r="K235" i="3" s="1"/>
  <c r="J235" i="3" a="1"/>
  <c r="J235" i="3" s="1"/>
  <c r="I235" i="3" a="1"/>
  <c r="I235" i="3" s="1"/>
  <c r="H235" i="3" a="1"/>
  <c r="H235" i="3" s="1"/>
  <c r="G235" i="3" a="1"/>
  <c r="G235" i="3" s="1"/>
  <c r="F235" i="3" a="1"/>
  <c r="F235" i="3" s="1"/>
  <c r="E235" i="3" a="1"/>
  <c r="E235" i="3" s="1"/>
  <c r="D235" i="3" a="1"/>
  <c r="D235" i="3" s="1"/>
  <c r="C235" i="3" a="1"/>
  <c r="C235" i="3" s="1"/>
  <c r="A235" i="3" s="1"/>
  <c r="L234" i="3" a="1"/>
  <c r="L234" i="3" s="1"/>
  <c r="K234" i="3" a="1"/>
  <c r="K234" i="3" s="1"/>
  <c r="J234" i="3" a="1"/>
  <c r="J234" i="3" s="1"/>
  <c r="I234" i="3" a="1"/>
  <c r="I234" i="3" s="1"/>
  <c r="H234" i="3" a="1"/>
  <c r="H234" i="3" s="1"/>
  <c r="G234" i="3" a="1"/>
  <c r="G234" i="3" s="1"/>
  <c r="F234" i="3" a="1"/>
  <c r="F234" i="3" s="1"/>
  <c r="E234" i="3" a="1"/>
  <c r="E234" i="3" s="1"/>
  <c r="D234" i="3" a="1"/>
  <c r="D234" i="3" s="1"/>
  <c r="C234" i="3" a="1"/>
  <c r="C234" i="3" s="1"/>
  <c r="A234" i="3" s="1"/>
  <c r="L233" i="3" a="1"/>
  <c r="L233" i="3" s="1"/>
  <c r="K233" i="3" a="1"/>
  <c r="K233" i="3" s="1"/>
  <c r="J233" i="3" a="1"/>
  <c r="J233" i="3" s="1"/>
  <c r="I233" i="3" a="1"/>
  <c r="I233" i="3" s="1"/>
  <c r="H233" i="3" a="1"/>
  <c r="H233" i="3" s="1"/>
  <c r="G233" i="3" a="1"/>
  <c r="G233" i="3" s="1"/>
  <c r="F233" i="3" a="1"/>
  <c r="F233" i="3" s="1"/>
  <c r="E233" i="3" a="1"/>
  <c r="E233" i="3" s="1"/>
  <c r="D233" i="3" a="1"/>
  <c r="D233" i="3" s="1"/>
  <c r="C233" i="3" a="1"/>
  <c r="C233" i="3" s="1"/>
  <c r="A233" i="3" s="1"/>
  <c r="L232" i="3" a="1"/>
  <c r="L232" i="3" s="1"/>
  <c r="K232" i="3" a="1"/>
  <c r="K232" i="3" s="1"/>
  <c r="J232" i="3" a="1"/>
  <c r="J232" i="3" s="1"/>
  <c r="I232" i="3" a="1"/>
  <c r="I232" i="3" s="1"/>
  <c r="H232" i="3" a="1"/>
  <c r="H232" i="3" s="1"/>
  <c r="G232" i="3" a="1"/>
  <c r="G232" i="3" s="1"/>
  <c r="F232" i="3" a="1"/>
  <c r="F232" i="3" s="1"/>
  <c r="E232" i="3" a="1"/>
  <c r="E232" i="3" s="1"/>
  <c r="D232" i="3" a="1"/>
  <c r="D232" i="3" s="1"/>
  <c r="C232" i="3" a="1"/>
  <c r="C232" i="3" s="1"/>
  <c r="A232" i="3" s="1"/>
  <c r="L231" i="3" a="1"/>
  <c r="L231" i="3" s="1"/>
  <c r="K231" i="3" a="1"/>
  <c r="K231" i="3" s="1"/>
  <c r="J231" i="3" a="1"/>
  <c r="J231" i="3" s="1"/>
  <c r="I231" i="3" a="1"/>
  <c r="I231" i="3" s="1"/>
  <c r="H231" i="3" a="1"/>
  <c r="H231" i="3" s="1"/>
  <c r="G231" i="3" a="1"/>
  <c r="G231" i="3" s="1"/>
  <c r="F231" i="3" a="1"/>
  <c r="F231" i="3" s="1"/>
  <c r="E231" i="3" a="1"/>
  <c r="E231" i="3" s="1"/>
  <c r="D231" i="3" a="1"/>
  <c r="D231" i="3" s="1"/>
  <c r="C231" i="3" a="1"/>
  <c r="C231" i="3" s="1"/>
  <c r="A231" i="3" s="1"/>
  <c r="L230" i="3" a="1"/>
  <c r="L230" i="3" s="1"/>
  <c r="K230" i="3" a="1"/>
  <c r="K230" i="3" s="1"/>
  <c r="J230" i="3" a="1"/>
  <c r="J230" i="3" s="1"/>
  <c r="I230" i="3" a="1"/>
  <c r="I230" i="3" s="1"/>
  <c r="H230" i="3" a="1"/>
  <c r="H230" i="3" s="1"/>
  <c r="G230" i="3" a="1"/>
  <c r="G230" i="3" s="1"/>
  <c r="F230" i="3" a="1"/>
  <c r="F230" i="3" s="1"/>
  <c r="E230" i="3" a="1"/>
  <c r="E230" i="3" s="1"/>
  <c r="D230" i="3" a="1"/>
  <c r="D230" i="3" s="1"/>
  <c r="C230" i="3" a="1"/>
  <c r="C230" i="3" s="1"/>
  <c r="A230" i="3" s="1"/>
  <c r="L229" i="3" a="1"/>
  <c r="L229" i="3" s="1"/>
  <c r="K229" i="3" a="1"/>
  <c r="K229" i="3" s="1"/>
  <c r="J229" i="3" a="1"/>
  <c r="J229" i="3" s="1"/>
  <c r="I229" i="3" a="1"/>
  <c r="I229" i="3" s="1"/>
  <c r="H229" i="3" a="1"/>
  <c r="H229" i="3" s="1"/>
  <c r="G229" i="3" a="1"/>
  <c r="G229" i="3" s="1"/>
  <c r="F229" i="3" a="1"/>
  <c r="F229" i="3" s="1"/>
  <c r="E229" i="3" a="1"/>
  <c r="E229" i="3" s="1"/>
  <c r="D229" i="3" a="1"/>
  <c r="D229" i="3" s="1"/>
  <c r="C229" i="3" a="1"/>
  <c r="C229" i="3" s="1"/>
  <c r="A229" i="3" s="1"/>
  <c r="L228" i="3" a="1"/>
  <c r="L228" i="3" s="1"/>
  <c r="K228" i="3" a="1"/>
  <c r="K228" i="3" s="1"/>
  <c r="J228" i="3" a="1"/>
  <c r="J228" i="3" s="1"/>
  <c r="I228" i="3" a="1"/>
  <c r="I228" i="3" s="1"/>
  <c r="H228" i="3" a="1"/>
  <c r="H228" i="3" s="1"/>
  <c r="G228" i="3" a="1"/>
  <c r="G228" i="3" s="1"/>
  <c r="F228" i="3" a="1"/>
  <c r="F228" i="3" s="1"/>
  <c r="E228" i="3" a="1"/>
  <c r="E228" i="3" s="1"/>
  <c r="D228" i="3" a="1"/>
  <c r="D228" i="3" s="1"/>
  <c r="C228" i="3" a="1"/>
  <c r="C228" i="3" s="1"/>
  <c r="A228" i="3" s="1"/>
  <c r="L227" i="3" a="1"/>
  <c r="L227" i="3" s="1"/>
  <c r="K227" i="3" a="1"/>
  <c r="K227" i="3" s="1"/>
  <c r="J227" i="3" a="1"/>
  <c r="J227" i="3" s="1"/>
  <c r="I227" i="3" a="1"/>
  <c r="I227" i="3" s="1"/>
  <c r="H227" i="3" a="1"/>
  <c r="H227" i="3" s="1"/>
  <c r="G227" i="3" a="1"/>
  <c r="G227" i="3" s="1"/>
  <c r="F227" i="3" a="1"/>
  <c r="F227" i="3" s="1"/>
  <c r="E227" i="3" a="1"/>
  <c r="E227" i="3" s="1"/>
  <c r="D227" i="3" a="1"/>
  <c r="D227" i="3" s="1"/>
  <c r="C227" i="3" a="1"/>
  <c r="C227" i="3" s="1"/>
  <c r="A227" i="3" s="1"/>
  <c r="L226" i="3" a="1"/>
  <c r="L226" i="3" s="1"/>
  <c r="K226" i="3" a="1"/>
  <c r="K226" i="3" s="1"/>
  <c r="J226" i="3" a="1"/>
  <c r="J226" i="3" s="1"/>
  <c r="I226" i="3" a="1"/>
  <c r="I226" i="3" s="1"/>
  <c r="H226" i="3" a="1"/>
  <c r="H226" i="3" s="1"/>
  <c r="G226" i="3" a="1"/>
  <c r="G226" i="3" s="1"/>
  <c r="F226" i="3" a="1"/>
  <c r="F226" i="3" s="1"/>
  <c r="E226" i="3" a="1"/>
  <c r="E226" i="3" s="1"/>
  <c r="D226" i="3" a="1"/>
  <c r="D226" i="3" s="1"/>
  <c r="C226" i="3" a="1"/>
  <c r="C226" i="3" s="1"/>
  <c r="A226" i="3" s="1"/>
  <c r="L225" i="3" a="1"/>
  <c r="L225" i="3" s="1"/>
  <c r="K225" i="3" a="1"/>
  <c r="K225" i="3" s="1"/>
  <c r="J225" i="3" a="1"/>
  <c r="J225" i="3" s="1"/>
  <c r="I225" i="3" a="1"/>
  <c r="I225" i="3" s="1"/>
  <c r="H225" i="3" a="1"/>
  <c r="H225" i="3" s="1"/>
  <c r="G225" i="3" a="1"/>
  <c r="G225" i="3" s="1"/>
  <c r="F225" i="3" a="1"/>
  <c r="F225" i="3" s="1"/>
  <c r="E225" i="3" a="1"/>
  <c r="E225" i="3" s="1"/>
  <c r="D225" i="3" a="1"/>
  <c r="D225" i="3" s="1"/>
  <c r="C225" i="3" a="1"/>
  <c r="C225" i="3" s="1"/>
  <c r="A225" i="3" s="1"/>
  <c r="L224" i="3" a="1"/>
  <c r="L224" i="3" s="1"/>
  <c r="K224" i="3" a="1"/>
  <c r="K224" i="3" s="1"/>
  <c r="J224" i="3" a="1"/>
  <c r="J224" i="3" s="1"/>
  <c r="I224" i="3" a="1"/>
  <c r="I224" i="3" s="1"/>
  <c r="H224" i="3" a="1"/>
  <c r="H224" i="3" s="1"/>
  <c r="G224" i="3" a="1"/>
  <c r="G224" i="3" s="1"/>
  <c r="F224" i="3" a="1"/>
  <c r="F224" i="3" s="1"/>
  <c r="E224" i="3" a="1"/>
  <c r="E224" i="3" s="1"/>
  <c r="D224" i="3" a="1"/>
  <c r="D224" i="3" s="1"/>
  <c r="C224" i="3" a="1"/>
  <c r="C224" i="3" s="1"/>
  <c r="A224" i="3" s="1"/>
  <c r="L223" i="3" a="1"/>
  <c r="L223" i="3" s="1"/>
  <c r="K223" i="3" a="1"/>
  <c r="K223" i="3" s="1"/>
  <c r="J223" i="3" a="1"/>
  <c r="J223" i="3" s="1"/>
  <c r="I223" i="3" a="1"/>
  <c r="I223" i="3" s="1"/>
  <c r="H223" i="3" a="1"/>
  <c r="H223" i="3" s="1"/>
  <c r="G223" i="3" a="1"/>
  <c r="G223" i="3" s="1"/>
  <c r="F223" i="3" a="1"/>
  <c r="F223" i="3" s="1"/>
  <c r="E223" i="3" a="1"/>
  <c r="E223" i="3" s="1"/>
  <c r="D223" i="3" a="1"/>
  <c r="D223" i="3" s="1"/>
  <c r="C223" i="3" a="1"/>
  <c r="C223" i="3" s="1"/>
  <c r="A223" i="3" s="1"/>
  <c r="L222" i="3" a="1"/>
  <c r="L222" i="3" s="1"/>
  <c r="K222" i="3" a="1"/>
  <c r="K222" i="3" s="1"/>
  <c r="J222" i="3" a="1"/>
  <c r="J222" i="3" s="1"/>
  <c r="I222" i="3" a="1"/>
  <c r="I222" i="3" s="1"/>
  <c r="H222" i="3" a="1"/>
  <c r="H222" i="3" s="1"/>
  <c r="G222" i="3" a="1"/>
  <c r="G222" i="3" s="1"/>
  <c r="F222" i="3" a="1"/>
  <c r="F222" i="3" s="1"/>
  <c r="E222" i="3" a="1"/>
  <c r="E222" i="3" s="1"/>
  <c r="D222" i="3" a="1"/>
  <c r="D222" i="3" s="1"/>
  <c r="C222" i="3" a="1"/>
  <c r="C222" i="3" s="1"/>
  <c r="A222" i="3" s="1"/>
  <c r="L221" i="3" a="1"/>
  <c r="L221" i="3" s="1"/>
  <c r="K221" i="3" a="1"/>
  <c r="K221" i="3" s="1"/>
  <c r="J221" i="3" a="1"/>
  <c r="J221" i="3" s="1"/>
  <c r="I221" i="3" a="1"/>
  <c r="I221" i="3" s="1"/>
  <c r="H221" i="3" a="1"/>
  <c r="H221" i="3" s="1"/>
  <c r="G221" i="3" a="1"/>
  <c r="G221" i="3" s="1"/>
  <c r="F221" i="3" a="1"/>
  <c r="F221" i="3" s="1"/>
  <c r="E221" i="3" a="1"/>
  <c r="E221" i="3" s="1"/>
  <c r="D221" i="3" a="1"/>
  <c r="D221" i="3" s="1"/>
  <c r="C221" i="3" a="1"/>
  <c r="C221" i="3" s="1"/>
  <c r="A221" i="3" s="1"/>
  <c r="L220" i="3" a="1"/>
  <c r="L220" i="3" s="1"/>
  <c r="K220" i="3" a="1"/>
  <c r="K220" i="3" s="1"/>
  <c r="J220" i="3" a="1"/>
  <c r="J220" i="3" s="1"/>
  <c r="I220" i="3" a="1"/>
  <c r="I220" i="3" s="1"/>
  <c r="H220" i="3" a="1"/>
  <c r="H220" i="3" s="1"/>
  <c r="G220" i="3" a="1"/>
  <c r="G220" i="3" s="1"/>
  <c r="F220" i="3" a="1"/>
  <c r="F220" i="3" s="1"/>
  <c r="E220" i="3" a="1"/>
  <c r="E220" i="3" s="1"/>
  <c r="D220" i="3" a="1"/>
  <c r="D220" i="3" s="1"/>
  <c r="C220" i="3" a="1"/>
  <c r="C220" i="3" s="1"/>
  <c r="A220" i="3" s="1"/>
  <c r="L219" i="3" a="1"/>
  <c r="L219" i="3" s="1"/>
  <c r="K219" i="3" a="1"/>
  <c r="K219" i="3" s="1"/>
  <c r="J219" i="3" a="1"/>
  <c r="J219" i="3" s="1"/>
  <c r="I219" i="3" a="1"/>
  <c r="I219" i="3" s="1"/>
  <c r="H219" i="3" a="1"/>
  <c r="H219" i="3" s="1"/>
  <c r="G219" i="3" a="1"/>
  <c r="G219" i="3" s="1"/>
  <c r="F219" i="3" a="1"/>
  <c r="F219" i="3" s="1"/>
  <c r="E219" i="3" a="1"/>
  <c r="E219" i="3" s="1"/>
  <c r="D219" i="3" a="1"/>
  <c r="D219" i="3" s="1"/>
  <c r="C219" i="3" a="1"/>
  <c r="C219" i="3" s="1"/>
  <c r="A219" i="3" s="1"/>
  <c r="L218" i="3" a="1"/>
  <c r="L218" i="3" s="1"/>
  <c r="K218" i="3" a="1"/>
  <c r="K218" i="3" s="1"/>
  <c r="J218" i="3" a="1"/>
  <c r="J218" i="3" s="1"/>
  <c r="I218" i="3" a="1"/>
  <c r="I218" i="3" s="1"/>
  <c r="H218" i="3" a="1"/>
  <c r="H218" i="3" s="1"/>
  <c r="G218" i="3" a="1"/>
  <c r="G218" i="3" s="1"/>
  <c r="F218" i="3" a="1"/>
  <c r="F218" i="3" s="1"/>
  <c r="E218" i="3" a="1"/>
  <c r="E218" i="3" s="1"/>
  <c r="D218" i="3" a="1"/>
  <c r="D218" i="3" s="1"/>
  <c r="C218" i="3" a="1"/>
  <c r="C218" i="3" s="1"/>
  <c r="A218" i="3" s="1"/>
  <c r="L217" i="3" a="1"/>
  <c r="L217" i="3" s="1"/>
  <c r="K217" i="3" a="1"/>
  <c r="K217" i="3" s="1"/>
  <c r="J217" i="3" a="1"/>
  <c r="J217" i="3" s="1"/>
  <c r="I217" i="3" a="1"/>
  <c r="I217" i="3" s="1"/>
  <c r="H217" i="3" a="1"/>
  <c r="H217" i="3" s="1"/>
  <c r="G217" i="3" a="1"/>
  <c r="G217" i="3" s="1"/>
  <c r="F217" i="3" a="1"/>
  <c r="F217" i="3" s="1"/>
  <c r="E217" i="3" a="1"/>
  <c r="E217" i="3" s="1"/>
  <c r="D217" i="3" a="1"/>
  <c r="D217" i="3" s="1"/>
  <c r="C217" i="3" a="1"/>
  <c r="C217" i="3" s="1"/>
  <c r="A217" i="3" s="1"/>
  <c r="L216" i="3" a="1"/>
  <c r="L216" i="3" s="1"/>
  <c r="K216" i="3" a="1"/>
  <c r="K216" i="3" s="1"/>
  <c r="J216" i="3" a="1"/>
  <c r="J216" i="3" s="1"/>
  <c r="I216" i="3" a="1"/>
  <c r="I216" i="3" s="1"/>
  <c r="H216" i="3" a="1"/>
  <c r="H216" i="3" s="1"/>
  <c r="G216" i="3" a="1"/>
  <c r="G216" i="3" s="1"/>
  <c r="F216" i="3" a="1"/>
  <c r="F216" i="3" s="1"/>
  <c r="E216" i="3" a="1"/>
  <c r="E216" i="3" s="1"/>
  <c r="D216" i="3" a="1"/>
  <c r="D216" i="3" s="1"/>
  <c r="C216" i="3" a="1"/>
  <c r="C216" i="3" s="1"/>
  <c r="A216" i="3" s="1"/>
  <c r="L215" i="3" a="1"/>
  <c r="L215" i="3" s="1"/>
  <c r="K215" i="3" a="1"/>
  <c r="K215" i="3" s="1"/>
  <c r="J215" i="3" a="1"/>
  <c r="J215" i="3" s="1"/>
  <c r="I215" i="3" a="1"/>
  <c r="I215" i="3" s="1"/>
  <c r="H215" i="3" a="1"/>
  <c r="H215" i="3" s="1"/>
  <c r="G215" i="3" a="1"/>
  <c r="G215" i="3" s="1"/>
  <c r="F215" i="3" a="1"/>
  <c r="F215" i="3" s="1"/>
  <c r="E215" i="3" a="1"/>
  <c r="E215" i="3" s="1"/>
  <c r="D215" i="3" a="1"/>
  <c r="D215" i="3" s="1"/>
  <c r="C215" i="3" a="1"/>
  <c r="C215" i="3" s="1"/>
  <c r="A215" i="3" s="1"/>
  <c r="L214" i="3" a="1"/>
  <c r="L214" i="3" s="1"/>
  <c r="K214" i="3" a="1"/>
  <c r="K214" i="3" s="1"/>
  <c r="J214" i="3" a="1"/>
  <c r="J214" i="3" s="1"/>
  <c r="I214" i="3" a="1"/>
  <c r="I214" i="3" s="1"/>
  <c r="H214" i="3" a="1"/>
  <c r="H214" i="3" s="1"/>
  <c r="G214" i="3" a="1"/>
  <c r="G214" i="3" s="1"/>
  <c r="F214" i="3" a="1"/>
  <c r="F214" i="3" s="1"/>
  <c r="E214" i="3" a="1"/>
  <c r="E214" i="3" s="1"/>
  <c r="D214" i="3" a="1"/>
  <c r="D214" i="3" s="1"/>
  <c r="C214" i="3" a="1"/>
  <c r="C214" i="3" s="1"/>
  <c r="A214" i="3" s="1"/>
  <c r="L213" i="3" a="1"/>
  <c r="L213" i="3" s="1"/>
  <c r="K213" i="3" a="1"/>
  <c r="K213" i="3" s="1"/>
  <c r="J213" i="3" a="1"/>
  <c r="J213" i="3" s="1"/>
  <c r="I213" i="3" a="1"/>
  <c r="I213" i="3" s="1"/>
  <c r="H213" i="3" a="1"/>
  <c r="H213" i="3" s="1"/>
  <c r="G213" i="3" a="1"/>
  <c r="G213" i="3" s="1"/>
  <c r="F213" i="3" a="1"/>
  <c r="F213" i="3" s="1"/>
  <c r="E213" i="3" a="1"/>
  <c r="E213" i="3" s="1"/>
  <c r="D213" i="3" a="1"/>
  <c r="D213" i="3" s="1"/>
  <c r="C213" i="3" a="1"/>
  <c r="C213" i="3" s="1"/>
  <c r="A213" i="3" s="1"/>
  <c r="L212" i="3" a="1"/>
  <c r="L212" i="3" s="1"/>
  <c r="K212" i="3" a="1"/>
  <c r="K212" i="3" s="1"/>
  <c r="J212" i="3" a="1"/>
  <c r="J212" i="3" s="1"/>
  <c r="I212" i="3" a="1"/>
  <c r="I212" i="3" s="1"/>
  <c r="H212" i="3" a="1"/>
  <c r="H212" i="3" s="1"/>
  <c r="G212" i="3" a="1"/>
  <c r="G212" i="3" s="1"/>
  <c r="F212" i="3" a="1"/>
  <c r="F212" i="3" s="1"/>
  <c r="E212" i="3" a="1"/>
  <c r="E212" i="3" s="1"/>
  <c r="D212" i="3" a="1"/>
  <c r="D212" i="3" s="1"/>
  <c r="C212" i="3" a="1"/>
  <c r="C212" i="3" s="1"/>
  <c r="A212" i="3" s="1"/>
  <c r="L211" i="3" a="1"/>
  <c r="L211" i="3" s="1"/>
  <c r="K211" i="3" a="1"/>
  <c r="K211" i="3" s="1"/>
  <c r="J211" i="3" a="1"/>
  <c r="J211" i="3" s="1"/>
  <c r="I211" i="3" a="1"/>
  <c r="I211" i="3" s="1"/>
  <c r="H211" i="3" a="1"/>
  <c r="H211" i="3" s="1"/>
  <c r="G211" i="3" a="1"/>
  <c r="G211" i="3" s="1"/>
  <c r="F211" i="3" a="1"/>
  <c r="F211" i="3" s="1"/>
  <c r="E211" i="3" a="1"/>
  <c r="E211" i="3" s="1"/>
  <c r="D211" i="3" a="1"/>
  <c r="D211" i="3" s="1"/>
  <c r="C211" i="3" a="1"/>
  <c r="C211" i="3" s="1"/>
  <c r="A211" i="3" s="1"/>
  <c r="L210" i="3" a="1"/>
  <c r="L210" i="3" s="1"/>
  <c r="K210" i="3" a="1"/>
  <c r="K210" i="3" s="1"/>
  <c r="J210" i="3" a="1"/>
  <c r="J210" i="3" s="1"/>
  <c r="I210" i="3" a="1"/>
  <c r="I210" i="3" s="1"/>
  <c r="H210" i="3" a="1"/>
  <c r="H210" i="3" s="1"/>
  <c r="G210" i="3" a="1"/>
  <c r="G210" i="3" s="1"/>
  <c r="F210" i="3" a="1"/>
  <c r="F210" i="3" s="1"/>
  <c r="E210" i="3" a="1"/>
  <c r="E210" i="3" s="1"/>
  <c r="D210" i="3" a="1"/>
  <c r="D210" i="3" s="1"/>
  <c r="C210" i="3" a="1"/>
  <c r="C210" i="3" s="1"/>
  <c r="A210" i="3" s="1"/>
  <c r="L209" i="3" a="1"/>
  <c r="L209" i="3" s="1"/>
  <c r="K209" i="3" a="1"/>
  <c r="K209" i="3" s="1"/>
  <c r="J209" i="3" a="1"/>
  <c r="J209" i="3" s="1"/>
  <c r="I209" i="3" a="1"/>
  <c r="I209" i="3" s="1"/>
  <c r="H209" i="3" a="1"/>
  <c r="H209" i="3" s="1"/>
  <c r="G209" i="3" a="1"/>
  <c r="G209" i="3" s="1"/>
  <c r="F209" i="3" a="1"/>
  <c r="F209" i="3" s="1"/>
  <c r="E209" i="3" a="1"/>
  <c r="E209" i="3" s="1"/>
  <c r="D209" i="3" a="1"/>
  <c r="D209" i="3" s="1"/>
  <c r="C209" i="3" a="1"/>
  <c r="C209" i="3" s="1"/>
  <c r="A209" i="3" s="1"/>
  <c r="L208" i="3" a="1"/>
  <c r="L208" i="3" s="1"/>
  <c r="K208" i="3" a="1"/>
  <c r="K208" i="3" s="1"/>
  <c r="J208" i="3" a="1"/>
  <c r="J208" i="3" s="1"/>
  <c r="I208" i="3" a="1"/>
  <c r="I208" i="3" s="1"/>
  <c r="H208" i="3" a="1"/>
  <c r="H208" i="3" s="1"/>
  <c r="G208" i="3" a="1"/>
  <c r="G208" i="3" s="1"/>
  <c r="F208" i="3" a="1"/>
  <c r="F208" i="3" s="1"/>
  <c r="E208" i="3" a="1"/>
  <c r="E208" i="3" s="1"/>
  <c r="D208" i="3" a="1"/>
  <c r="D208" i="3" s="1"/>
  <c r="C208" i="3" a="1"/>
  <c r="C208" i="3" s="1"/>
  <c r="A208" i="3" s="1"/>
  <c r="L207" i="3" a="1"/>
  <c r="L207" i="3" s="1"/>
  <c r="K207" i="3" a="1"/>
  <c r="K207" i="3" s="1"/>
  <c r="J207" i="3" a="1"/>
  <c r="J207" i="3" s="1"/>
  <c r="I207" i="3" a="1"/>
  <c r="I207" i="3" s="1"/>
  <c r="H207" i="3" a="1"/>
  <c r="H207" i="3" s="1"/>
  <c r="G207" i="3" a="1"/>
  <c r="G207" i="3" s="1"/>
  <c r="F207" i="3" a="1"/>
  <c r="F207" i="3" s="1"/>
  <c r="E207" i="3" a="1"/>
  <c r="E207" i="3" s="1"/>
  <c r="D207" i="3" a="1"/>
  <c r="D207" i="3" s="1"/>
  <c r="C207" i="3" a="1"/>
  <c r="C207" i="3" s="1"/>
  <c r="A207" i="3" s="1"/>
  <c r="L206" i="3" a="1"/>
  <c r="L206" i="3" s="1"/>
  <c r="K206" i="3" a="1"/>
  <c r="K206" i="3" s="1"/>
  <c r="J206" i="3" a="1"/>
  <c r="J206" i="3" s="1"/>
  <c r="I206" i="3" a="1"/>
  <c r="I206" i="3" s="1"/>
  <c r="H206" i="3" a="1"/>
  <c r="H206" i="3" s="1"/>
  <c r="G206" i="3" a="1"/>
  <c r="G206" i="3" s="1"/>
  <c r="F206" i="3" a="1"/>
  <c r="F206" i="3" s="1"/>
  <c r="E206" i="3" a="1"/>
  <c r="E206" i="3" s="1"/>
  <c r="D206" i="3" a="1"/>
  <c r="D206" i="3" s="1"/>
  <c r="C206" i="3" a="1"/>
  <c r="C206" i="3" s="1"/>
  <c r="A206" i="3" s="1"/>
  <c r="L205" i="3" a="1"/>
  <c r="L205" i="3" s="1"/>
  <c r="K205" i="3" a="1"/>
  <c r="K205" i="3" s="1"/>
  <c r="J205" i="3" a="1"/>
  <c r="J205" i="3" s="1"/>
  <c r="I205" i="3" a="1"/>
  <c r="I205" i="3" s="1"/>
  <c r="H205" i="3" a="1"/>
  <c r="H205" i="3" s="1"/>
  <c r="G205" i="3" a="1"/>
  <c r="G205" i="3" s="1"/>
  <c r="F205" i="3" a="1"/>
  <c r="F205" i="3" s="1"/>
  <c r="E205" i="3" a="1"/>
  <c r="E205" i="3" s="1"/>
  <c r="D205" i="3" a="1"/>
  <c r="D205" i="3" s="1"/>
  <c r="C205" i="3" a="1"/>
  <c r="C205" i="3" s="1"/>
  <c r="A205" i="3" s="1"/>
  <c r="L204" i="3" a="1"/>
  <c r="L204" i="3" s="1"/>
  <c r="K204" i="3" a="1"/>
  <c r="K204" i="3" s="1"/>
  <c r="J204" i="3" a="1"/>
  <c r="J204" i="3" s="1"/>
  <c r="I204" i="3" a="1"/>
  <c r="I204" i="3" s="1"/>
  <c r="H204" i="3" a="1"/>
  <c r="H204" i="3" s="1"/>
  <c r="G204" i="3" a="1"/>
  <c r="G204" i="3" s="1"/>
  <c r="F204" i="3" a="1"/>
  <c r="F204" i="3" s="1"/>
  <c r="E204" i="3" a="1"/>
  <c r="E204" i="3" s="1"/>
  <c r="D204" i="3" a="1"/>
  <c r="D204" i="3" s="1"/>
  <c r="C204" i="3" a="1"/>
  <c r="C204" i="3" s="1"/>
  <c r="A204" i="3" s="1"/>
  <c r="L203" i="3" a="1"/>
  <c r="L203" i="3" s="1"/>
  <c r="K203" i="3" a="1"/>
  <c r="K203" i="3" s="1"/>
  <c r="J203" i="3" a="1"/>
  <c r="J203" i="3" s="1"/>
  <c r="I203" i="3" a="1"/>
  <c r="I203" i="3" s="1"/>
  <c r="H203" i="3" a="1"/>
  <c r="H203" i="3" s="1"/>
  <c r="G203" i="3" a="1"/>
  <c r="G203" i="3" s="1"/>
  <c r="F203" i="3" a="1"/>
  <c r="F203" i="3" s="1"/>
  <c r="E203" i="3" a="1"/>
  <c r="E203" i="3" s="1"/>
  <c r="D203" i="3" a="1"/>
  <c r="D203" i="3" s="1"/>
  <c r="C203" i="3" a="1"/>
  <c r="C203" i="3" s="1"/>
  <c r="A203" i="3" s="1"/>
  <c r="L202" i="3" a="1"/>
  <c r="L202" i="3" s="1"/>
  <c r="K202" i="3" a="1"/>
  <c r="K202" i="3" s="1"/>
  <c r="J202" i="3" a="1"/>
  <c r="J202" i="3" s="1"/>
  <c r="I202" i="3" a="1"/>
  <c r="I202" i="3" s="1"/>
  <c r="H202" i="3" a="1"/>
  <c r="H202" i="3" s="1"/>
  <c r="G202" i="3" a="1"/>
  <c r="G202" i="3" s="1"/>
  <c r="F202" i="3" a="1"/>
  <c r="F202" i="3" s="1"/>
  <c r="E202" i="3" a="1"/>
  <c r="E202" i="3" s="1"/>
  <c r="D202" i="3" a="1"/>
  <c r="D202" i="3" s="1"/>
  <c r="C202" i="3" a="1"/>
  <c r="C202" i="3" s="1"/>
  <c r="A202" i="3" s="1"/>
  <c r="L201" i="3" a="1"/>
  <c r="L201" i="3" s="1"/>
  <c r="K201" i="3" a="1"/>
  <c r="K201" i="3" s="1"/>
  <c r="J201" i="3" a="1"/>
  <c r="J201" i="3" s="1"/>
  <c r="I201" i="3" a="1"/>
  <c r="I201" i="3" s="1"/>
  <c r="H201" i="3" a="1"/>
  <c r="H201" i="3" s="1"/>
  <c r="G201" i="3" a="1"/>
  <c r="G201" i="3" s="1"/>
  <c r="F201" i="3" a="1"/>
  <c r="F201" i="3" s="1"/>
  <c r="E201" i="3" a="1"/>
  <c r="E201" i="3" s="1"/>
  <c r="D201" i="3" a="1"/>
  <c r="D201" i="3" s="1"/>
  <c r="C201" i="3" a="1"/>
  <c r="C201" i="3" s="1"/>
  <c r="A201" i="3" s="1"/>
  <c r="L200" i="3" a="1"/>
  <c r="L200" i="3" s="1"/>
  <c r="K200" i="3" a="1"/>
  <c r="K200" i="3" s="1"/>
  <c r="J200" i="3" a="1"/>
  <c r="J200" i="3" s="1"/>
  <c r="I200" i="3" a="1"/>
  <c r="I200" i="3" s="1"/>
  <c r="H200" i="3" a="1"/>
  <c r="H200" i="3" s="1"/>
  <c r="G200" i="3" a="1"/>
  <c r="G200" i="3" s="1"/>
  <c r="F200" i="3" a="1"/>
  <c r="F200" i="3" s="1"/>
  <c r="E200" i="3" a="1"/>
  <c r="E200" i="3" s="1"/>
  <c r="D200" i="3" a="1"/>
  <c r="D200" i="3" s="1"/>
  <c r="C200" i="3" a="1"/>
  <c r="C200" i="3" s="1"/>
  <c r="A200" i="3" s="1"/>
  <c r="L199" i="3" a="1"/>
  <c r="L199" i="3" s="1"/>
  <c r="K199" i="3" a="1"/>
  <c r="K199" i="3" s="1"/>
  <c r="J199" i="3" a="1"/>
  <c r="J199" i="3" s="1"/>
  <c r="I199" i="3" a="1"/>
  <c r="I199" i="3" s="1"/>
  <c r="H199" i="3" a="1"/>
  <c r="H199" i="3" s="1"/>
  <c r="G199" i="3" a="1"/>
  <c r="G199" i="3" s="1"/>
  <c r="F199" i="3" a="1"/>
  <c r="F199" i="3" s="1"/>
  <c r="E199" i="3" a="1"/>
  <c r="E199" i="3" s="1"/>
  <c r="D199" i="3" a="1"/>
  <c r="D199" i="3" s="1"/>
  <c r="C199" i="3" a="1"/>
  <c r="C199" i="3" s="1"/>
  <c r="A199" i="3" s="1"/>
  <c r="L198" i="3" a="1"/>
  <c r="L198" i="3" s="1"/>
  <c r="K198" i="3" a="1"/>
  <c r="K198" i="3" s="1"/>
  <c r="J198" i="3" a="1"/>
  <c r="J198" i="3" s="1"/>
  <c r="I198" i="3" a="1"/>
  <c r="I198" i="3" s="1"/>
  <c r="H198" i="3" a="1"/>
  <c r="H198" i="3" s="1"/>
  <c r="G198" i="3" a="1"/>
  <c r="G198" i="3" s="1"/>
  <c r="F198" i="3" a="1"/>
  <c r="F198" i="3" s="1"/>
  <c r="E198" i="3" a="1"/>
  <c r="E198" i="3" s="1"/>
  <c r="D198" i="3" a="1"/>
  <c r="D198" i="3" s="1"/>
  <c r="C198" i="3" a="1"/>
  <c r="C198" i="3" s="1"/>
  <c r="A198" i="3" s="1"/>
  <c r="L197" i="3" a="1"/>
  <c r="L197" i="3" s="1"/>
  <c r="K197" i="3" a="1"/>
  <c r="K197" i="3" s="1"/>
  <c r="J197" i="3" a="1"/>
  <c r="J197" i="3" s="1"/>
  <c r="I197" i="3" a="1"/>
  <c r="I197" i="3" s="1"/>
  <c r="H197" i="3" a="1"/>
  <c r="H197" i="3" s="1"/>
  <c r="G197" i="3" a="1"/>
  <c r="G197" i="3" s="1"/>
  <c r="F197" i="3" a="1"/>
  <c r="F197" i="3" s="1"/>
  <c r="E197" i="3" a="1"/>
  <c r="E197" i="3" s="1"/>
  <c r="D197" i="3" a="1"/>
  <c r="D197" i="3" s="1"/>
  <c r="C197" i="3" a="1"/>
  <c r="C197" i="3" s="1"/>
  <c r="A197" i="3" s="1"/>
  <c r="L196" i="3" a="1"/>
  <c r="L196" i="3" s="1"/>
  <c r="K196" i="3" a="1"/>
  <c r="K196" i="3" s="1"/>
  <c r="J196" i="3" a="1"/>
  <c r="J196" i="3" s="1"/>
  <c r="I196" i="3" a="1"/>
  <c r="I196" i="3" s="1"/>
  <c r="H196" i="3" a="1"/>
  <c r="H196" i="3" s="1"/>
  <c r="G196" i="3" a="1"/>
  <c r="G196" i="3" s="1"/>
  <c r="F196" i="3" a="1"/>
  <c r="F196" i="3" s="1"/>
  <c r="E196" i="3" a="1"/>
  <c r="E196" i="3" s="1"/>
  <c r="D196" i="3" a="1"/>
  <c r="D196" i="3" s="1"/>
  <c r="C196" i="3" a="1"/>
  <c r="C196" i="3" s="1"/>
  <c r="A196" i="3" s="1"/>
  <c r="L195" i="3" a="1"/>
  <c r="L195" i="3" s="1"/>
  <c r="K195" i="3" a="1"/>
  <c r="K195" i="3" s="1"/>
  <c r="J195" i="3" a="1"/>
  <c r="J195" i="3" s="1"/>
  <c r="I195" i="3" a="1"/>
  <c r="I195" i="3" s="1"/>
  <c r="H195" i="3" a="1"/>
  <c r="H195" i="3" s="1"/>
  <c r="G195" i="3" a="1"/>
  <c r="G195" i="3" s="1"/>
  <c r="F195" i="3" a="1"/>
  <c r="F195" i="3" s="1"/>
  <c r="E195" i="3" a="1"/>
  <c r="E195" i="3" s="1"/>
  <c r="D195" i="3" a="1"/>
  <c r="D195" i="3" s="1"/>
  <c r="C195" i="3" a="1"/>
  <c r="C195" i="3" s="1"/>
  <c r="A195" i="3" s="1"/>
  <c r="L194" i="3" a="1"/>
  <c r="L194" i="3" s="1"/>
  <c r="K194" i="3" a="1"/>
  <c r="K194" i="3" s="1"/>
  <c r="J194" i="3" a="1"/>
  <c r="J194" i="3" s="1"/>
  <c r="I194" i="3" a="1"/>
  <c r="I194" i="3" s="1"/>
  <c r="H194" i="3" a="1"/>
  <c r="H194" i="3" s="1"/>
  <c r="G194" i="3" a="1"/>
  <c r="G194" i="3" s="1"/>
  <c r="F194" i="3" a="1"/>
  <c r="F194" i="3" s="1"/>
  <c r="E194" i="3" a="1"/>
  <c r="E194" i="3" s="1"/>
  <c r="D194" i="3" a="1"/>
  <c r="D194" i="3" s="1"/>
  <c r="C194" i="3" a="1"/>
  <c r="C194" i="3" s="1"/>
  <c r="A194" i="3" s="1"/>
  <c r="L193" i="3" a="1"/>
  <c r="L193" i="3" s="1"/>
  <c r="K193" i="3" a="1"/>
  <c r="K193" i="3" s="1"/>
  <c r="J193" i="3" a="1"/>
  <c r="J193" i="3" s="1"/>
  <c r="I193" i="3" a="1"/>
  <c r="I193" i="3" s="1"/>
  <c r="H193" i="3" a="1"/>
  <c r="H193" i="3" s="1"/>
  <c r="G193" i="3" a="1"/>
  <c r="G193" i="3" s="1"/>
  <c r="F193" i="3" a="1"/>
  <c r="F193" i="3" s="1"/>
  <c r="E193" i="3" a="1"/>
  <c r="E193" i="3" s="1"/>
  <c r="D193" i="3" a="1"/>
  <c r="D193" i="3" s="1"/>
  <c r="C193" i="3" a="1"/>
  <c r="C193" i="3" s="1"/>
  <c r="A193" i="3" s="1"/>
  <c r="L192" i="3" a="1"/>
  <c r="L192" i="3" s="1"/>
  <c r="K192" i="3" a="1"/>
  <c r="K192" i="3" s="1"/>
  <c r="J192" i="3" a="1"/>
  <c r="J192" i="3" s="1"/>
  <c r="I192" i="3" a="1"/>
  <c r="I192" i="3" s="1"/>
  <c r="H192" i="3" a="1"/>
  <c r="H192" i="3" s="1"/>
  <c r="G192" i="3" a="1"/>
  <c r="G192" i="3" s="1"/>
  <c r="F192" i="3" a="1"/>
  <c r="F192" i="3" s="1"/>
  <c r="E192" i="3" a="1"/>
  <c r="E192" i="3" s="1"/>
  <c r="D192" i="3" a="1"/>
  <c r="D192" i="3" s="1"/>
  <c r="C192" i="3" a="1"/>
  <c r="C192" i="3" s="1"/>
  <c r="A192" i="3" s="1"/>
  <c r="L191" i="3" a="1"/>
  <c r="L191" i="3" s="1"/>
  <c r="K191" i="3" a="1"/>
  <c r="K191" i="3" s="1"/>
  <c r="J191" i="3" a="1"/>
  <c r="J191" i="3" s="1"/>
  <c r="I191" i="3" a="1"/>
  <c r="I191" i="3" s="1"/>
  <c r="H191" i="3" a="1"/>
  <c r="H191" i="3" s="1"/>
  <c r="G191" i="3" a="1"/>
  <c r="G191" i="3" s="1"/>
  <c r="F191" i="3" a="1"/>
  <c r="F191" i="3" s="1"/>
  <c r="E191" i="3" a="1"/>
  <c r="E191" i="3" s="1"/>
  <c r="D191" i="3" a="1"/>
  <c r="D191" i="3" s="1"/>
  <c r="C191" i="3" a="1"/>
  <c r="C191" i="3" s="1"/>
  <c r="A191" i="3" s="1"/>
  <c r="L190" i="3" a="1"/>
  <c r="L190" i="3" s="1"/>
  <c r="K190" i="3" a="1"/>
  <c r="K190" i="3" s="1"/>
  <c r="J190" i="3" a="1"/>
  <c r="J190" i="3" s="1"/>
  <c r="I190" i="3" a="1"/>
  <c r="I190" i="3" s="1"/>
  <c r="H190" i="3" a="1"/>
  <c r="H190" i="3" s="1"/>
  <c r="G190" i="3" a="1"/>
  <c r="G190" i="3" s="1"/>
  <c r="F190" i="3" a="1"/>
  <c r="F190" i="3" s="1"/>
  <c r="E190" i="3" a="1"/>
  <c r="E190" i="3" s="1"/>
  <c r="D190" i="3" a="1"/>
  <c r="D190" i="3" s="1"/>
  <c r="C190" i="3" a="1"/>
  <c r="C190" i="3" s="1"/>
  <c r="A190" i="3" s="1"/>
  <c r="L189" i="3" a="1"/>
  <c r="L189" i="3" s="1"/>
  <c r="K189" i="3" a="1"/>
  <c r="K189" i="3" s="1"/>
  <c r="J189" i="3" a="1"/>
  <c r="J189" i="3" s="1"/>
  <c r="I189" i="3" a="1"/>
  <c r="I189" i="3" s="1"/>
  <c r="H189" i="3" a="1"/>
  <c r="H189" i="3" s="1"/>
  <c r="G189" i="3" a="1"/>
  <c r="G189" i="3" s="1"/>
  <c r="F189" i="3" a="1"/>
  <c r="F189" i="3" s="1"/>
  <c r="E189" i="3" a="1"/>
  <c r="E189" i="3" s="1"/>
  <c r="D189" i="3" a="1"/>
  <c r="D189" i="3" s="1"/>
  <c r="C189" i="3" a="1"/>
  <c r="C189" i="3" s="1"/>
  <c r="A189" i="3" s="1"/>
  <c r="L188" i="3" a="1"/>
  <c r="L188" i="3" s="1"/>
  <c r="K188" i="3" a="1"/>
  <c r="K188" i="3" s="1"/>
  <c r="J188" i="3" a="1"/>
  <c r="J188" i="3" s="1"/>
  <c r="I188" i="3" a="1"/>
  <c r="I188" i="3" s="1"/>
  <c r="H188" i="3" a="1"/>
  <c r="H188" i="3" s="1"/>
  <c r="G188" i="3" a="1"/>
  <c r="G188" i="3" s="1"/>
  <c r="F188" i="3" a="1"/>
  <c r="F188" i="3" s="1"/>
  <c r="E188" i="3" a="1"/>
  <c r="E188" i="3" s="1"/>
  <c r="D188" i="3" a="1"/>
  <c r="D188" i="3" s="1"/>
  <c r="C188" i="3" a="1"/>
  <c r="C188" i="3" s="1"/>
  <c r="A188" i="3" s="1"/>
  <c r="L187" i="3" a="1"/>
  <c r="L187" i="3" s="1"/>
  <c r="K187" i="3" a="1"/>
  <c r="K187" i="3" s="1"/>
  <c r="J187" i="3" a="1"/>
  <c r="J187" i="3" s="1"/>
  <c r="I187" i="3" a="1"/>
  <c r="I187" i="3" s="1"/>
  <c r="H187" i="3" a="1"/>
  <c r="H187" i="3" s="1"/>
  <c r="G187" i="3" a="1"/>
  <c r="G187" i="3" s="1"/>
  <c r="F187" i="3" a="1"/>
  <c r="F187" i="3" s="1"/>
  <c r="E187" i="3" a="1"/>
  <c r="E187" i="3" s="1"/>
  <c r="D187" i="3" a="1"/>
  <c r="D187" i="3" s="1"/>
  <c r="C187" i="3" a="1"/>
  <c r="C187" i="3" s="1"/>
  <c r="A187" i="3" s="1"/>
  <c r="L186" i="3" a="1"/>
  <c r="L186" i="3" s="1"/>
  <c r="K186" i="3" a="1"/>
  <c r="K186" i="3" s="1"/>
  <c r="J186" i="3" a="1"/>
  <c r="J186" i="3" s="1"/>
  <c r="I186" i="3" a="1"/>
  <c r="I186" i="3" s="1"/>
  <c r="H186" i="3" a="1"/>
  <c r="H186" i="3" s="1"/>
  <c r="G186" i="3" a="1"/>
  <c r="G186" i="3" s="1"/>
  <c r="F186" i="3" a="1"/>
  <c r="F186" i="3" s="1"/>
  <c r="E186" i="3" a="1"/>
  <c r="E186" i="3" s="1"/>
  <c r="D186" i="3" a="1"/>
  <c r="D186" i="3" s="1"/>
  <c r="C186" i="3" a="1"/>
  <c r="C186" i="3" s="1"/>
  <c r="A186" i="3" s="1"/>
  <c r="L185" i="3" a="1"/>
  <c r="L185" i="3" s="1"/>
  <c r="K185" i="3" a="1"/>
  <c r="K185" i="3" s="1"/>
  <c r="J185" i="3" a="1"/>
  <c r="J185" i="3" s="1"/>
  <c r="I185" i="3" a="1"/>
  <c r="I185" i="3" s="1"/>
  <c r="H185" i="3" a="1"/>
  <c r="H185" i="3" s="1"/>
  <c r="G185" i="3" a="1"/>
  <c r="G185" i="3" s="1"/>
  <c r="F185" i="3" a="1"/>
  <c r="F185" i="3" s="1"/>
  <c r="E185" i="3" a="1"/>
  <c r="E185" i="3" s="1"/>
  <c r="D185" i="3" a="1"/>
  <c r="D185" i="3" s="1"/>
  <c r="C185" i="3" a="1"/>
  <c r="C185" i="3" s="1"/>
  <c r="A185" i="3" s="1"/>
  <c r="L184" i="3" a="1"/>
  <c r="L184" i="3" s="1"/>
  <c r="K184" i="3" a="1"/>
  <c r="K184" i="3" s="1"/>
  <c r="J184" i="3" a="1"/>
  <c r="J184" i="3" s="1"/>
  <c r="I184" i="3" a="1"/>
  <c r="I184" i="3" s="1"/>
  <c r="H184" i="3" a="1"/>
  <c r="H184" i="3" s="1"/>
  <c r="G184" i="3" a="1"/>
  <c r="G184" i="3" s="1"/>
  <c r="F184" i="3" a="1"/>
  <c r="F184" i="3" s="1"/>
  <c r="E184" i="3" a="1"/>
  <c r="E184" i="3" s="1"/>
  <c r="D184" i="3" a="1"/>
  <c r="D184" i="3" s="1"/>
  <c r="C184" i="3" a="1"/>
  <c r="C184" i="3" s="1"/>
  <c r="A184" i="3" s="1"/>
  <c r="L183" i="3" a="1"/>
  <c r="L183" i="3" s="1"/>
  <c r="K183" i="3" a="1"/>
  <c r="K183" i="3" s="1"/>
  <c r="J183" i="3" a="1"/>
  <c r="J183" i="3" s="1"/>
  <c r="I183" i="3" a="1"/>
  <c r="I183" i="3" s="1"/>
  <c r="H183" i="3" a="1"/>
  <c r="H183" i="3" s="1"/>
  <c r="G183" i="3" a="1"/>
  <c r="G183" i="3" s="1"/>
  <c r="F183" i="3" a="1"/>
  <c r="F183" i="3" s="1"/>
  <c r="E183" i="3" a="1"/>
  <c r="E183" i="3" s="1"/>
  <c r="D183" i="3" a="1"/>
  <c r="D183" i="3" s="1"/>
  <c r="C183" i="3" a="1"/>
  <c r="C183" i="3" s="1"/>
  <c r="A183" i="3" s="1"/>
  <c r="L182" i="3" a="1"/>
  <c r="L182" i="3" s="1"/>
  <c r="K182" i="3" a="1"/>
  <c r="K182" i="3" s="1"/>
  <c r="J182" i="3" a="1"/>
  <c r="J182" i="3" s="1"/>
  <c r="I182" i="3" a="1"/>
  <c r="I182" i="3" s="1"/>
  <c r="H182" i="3" a="1"/>
  <c r="H182" i="3" s="1"/>
  <c r="G182" i="3" a="1"/>
  <c r="G182" i="3" s="1"/>
  <c r="F182" i="3" a="1"/>
  <c r="F182" i="3" s="1"/>
  <c r="E182" i="3" a="1"/>
  <c r="E182" i="3" s="1"/>
  <c r="D182" i="3" a="1"/>
  <c r="D182" i="3" s="1"/>
  <c r="C182" i="3" a="1"/>
  <c r="C182" i="3" s="1"/>
  <c r="A182" i="3" s="1"/>
  <c r="L181" i="3" a="1"/>
  <c r="L181" i="3" s="1"/>
  <c r="K181" i="3" a="1"/>
  <c r="K181" i="3" s="1"/>
  <c r="J181" i="3" a="1"/>
  <c r="J181" i="3" s="1"/>
  <c r="I181" i="3" a="1"/>
  <c r="I181" i="3" s="1"/>
  <c r="H181" i="3" a="1"/>
  <c r="H181" i="3" s="1"/>
  <c r="G181" i="3" a="1"/>
  <c r="G181" i="3" s="1"/>
  <c r="F181" i="3" a="1"/>
  <c r="F181" i="3" s="1"/>
  <c r="E181" i="3" a="1"/>
  <c r="E181" i="3" s="1"/>
  <c r="D181" i="3" a="1"/>
  <c r="D181" i="3" s="1"/>
  <c r="C181" i="3" a="1"/>
  <c r="C181" i="3" s="1"/>
  <c r="A181" i="3" s="1"/>
  <c r="L180" i="3" a="1"/>
  <c r="L180" i="3" s="1"/>
  <c r="K180" i="3" a="1"/>
  <c r="K180" i="3" s="1"/>
  <c r="J180" i="3" a="1"/>
  <c r="J180" i="3" s="1"/>
  <c r="I180" i="3" a="1"/>
  <c r="I180" i="3" s="1"/>
  <c r="H180" i="3" a="1"/>
  <c r="H180" i="3" s="1"/>
  <c r="G180" i="3" a="1"/>
  <c r="G180" i="3" s="1"/>
  <c r="F180" i="3" a="1"/>
  <c r="F180" i="3" s="1"/>
  <c r="E180" i="3" a="1"/>
  <c r="E180" i="3" s="1"/>
  <c r="D180" i="3" a="1"/>
  <c r="D180" i="3" s="1"/>
  <c r="C180" i="3" a="1"/>
  <c r="C180" i="3" s="1"/>
  <c r="A180" i="3" s="1"/>
  <c r="L179" i="3" a="1"/>
  <c r="L179" i="3" s="1"/>
  <c r="K179" i="3" a="1"/>
  <c r="K179" i="3" s="1"/>
  <c r="J179" i="3" a="1"/>
  <c r="J179" i="3" s="1"/>
  <c r="I179" i="3" a="1"/>
  <c r="I179" i="3" s="1"/>
  <c r="H179" i="3" a="1"/>
  <c r="H179" i="3" s="1"/>
  <c r="G179" i="3" a="1"/>
  <c r="G179" i="3" s="1"/>
  <c r="F179" i="3" a="1"/>
  <c r="F179" i="3" s="1"/>
  <c r="E179" i="3" a="1"/>
  <c r="E179" i="3" s="1"/>
  <c r="D179" i="3" a="1"/>
  <c r="D179" i="3" s="1"/>
  <c r="C179" i="3" a="1"/>
  <c r="C179" i="3" s="1"/>
  <c r="A179" i="3" s="1"/>
  <c r="L178" i="3" a="1"/>
  <c r="L178" i="3" s="1"/>
  <c r="K178" i="3" a="1"/>
  <c r="K178" i="3" s="1"/>
  <c r="J178" i="3" a="1"/>
  <c r="J178" i="3" s="1"/>
  <c r="I178" i="3" a="1"/>
  <c r="I178" i="3" s="1"/>
  <c r="H178" i="3" a="1"/>
  <c r="H178" i="3" s="1"/>
  <c r="G178" i="3" a="1"/>
  <c r="G178" i="3" s="1"/>
  <c r="F178" i="3" a="1"/>
  <c r="F178" i="3" s="1"/>
  <c r="E178" i="3" a="1"/>
  <c r="E178" i="3" s="1"/>
  <c r="D178" i="3" a="1"/>
  <c r="D178" i="3" s="1"/>
  <c r="C178" i="3" a="1"/>
  <c r="C178" i="3" s="1"/>
  <c r="A178" i="3" s="1"/>
  <c r="L177" i="3" a="1"/>
  <c r="L177" i="3" s="1"/>
  <c r="K177" i="3" a="1"/>
  <c r="K177" i="3" s="1"/>
  <c r="J177" i="3" a="1"/>
  <c r="J177" i="3" s="1"/>
  <c r="I177" i="3" a="1"/>
  <c r="I177" i="3" s="1"/>
  <c r="H177" i="3" a="1"/>
  <c r="H177" i="3" s="1"/>
  <c r="G177" i="3" a="1"/>
  <c r="G177" i="3" s="1"/>
  <c r="F177" i="3" a="1"/>
  <c r="F177" i="3" s="1"/>
  <c r="E177" i="3" a="1"/>
  <c r="E177" i="3" s="1"/>
  <c r="D177" i="3" a="1"/>
  <c r="D177" i="3" s="1"/>
  <c r="C177" i="3" a="1"/>
  <c r="C177" i="3" s="1"/>
  <c r="A177" i="3" s="1"/>
  <c r="L176" i="3" a="1"/>
  <c r="L176" i="3" s="1"/>
  <c r="K176" i="3" a="1"/>
  <c r="K176" i="3" s="1"/>
  <c r="J176" i="3" a="1"/>
  <c r="J176" i="3" s="1"/>
  <c r="I176" i="3" a="1"/>
  <c r="I176" i="3" s="1"/>
  <c r="H176" i="3" a="1"/>
  <c r="H176" i="3" s="1"/>
  <c r="G176" i="3" a="1"/>
  <c r="G176" i="3" s="1"/>
  <c r="F176" i="3" a="1"/>
  <c r="F176" i="3" s="1"/>
  <c r="E176" i="3" a="1"/>
  <c r="E176" i="3" s="1"/>
  <c r="D176" i="3" a="1"/>
  <c r="D176" i="3" s="1"/>
  <c r="C176" i="3" a="1"/>
  <c r="C176" i="3" s="1"/>
  <c r="A176" i="3" s="1"/>
  <c r="L175" i="3" a="1"/>
  <c r="L175" i="3" s="1"/>
  <c r="K175" i="3" a="1"/>
  <c r="K175" i="3" s="1"/>
  <c r="J175" i="3" a="1"/>
  <c r="J175" i="3" s="1"/>
  <c r="I175" i="3" a="1"/>
  <c r="I175" i="3" s="1"/>
  <c r="H175" i="3" a="1"/>
  <c r="H175" i="3" s="1"/>
  <c r="G175" i="3" a="1"/>
  <c r="G175" i="3" s="1"/>
  <c r="F175" i="3" a="1"/>
  <c r="F175" i="3" s="1"/>
  <c r="E175" i="3" a="1"/>
  <c r="E175" i="3" s="1"/>
  <c r="D175" i="3" a="1"/>
  <c r="D175" i="3" s="1"/>
  <c r="C175" i="3" a="1"/>
  <c r="C175" i="3" s="1"/>
  <c r="A175" i="3" s="1"/>
  <c r="L174" i="3" a="1"/>
  <c r="L174" i="3" s="1"/>
  <c r="K174" i="3" a="1"/>
  <c r="K174" i="3" s="1"/>
  <c r="J174" i="3" a="1"/>
  <c r="J174" i="3" s="1"/>
  <c r="I174" i="3" a="1"/>
  <c r="I174" i="3" s="1"/>
  <c r="H174" i="3" a="1"/>
  <c r="H174" i="3" s="1"/>
  <c r="G174" i="3" a="1"/>
  <c r="G174" i="3" s="1"/>
  <c r="F174" i="3" a="1"/>
  <c r="F174" i="3" s="1"/>
  <c r="E174" i="3" a="1"/>
  <c r="E174" i="3" s="1"/>
  <c r="D174" i="3" a="1"/>
  <c r="D174" i="3" s="1"/>
  <c r="C174" i="3" a="1"/>
  <c r="C174" i="3" s="1"/>
  <c r="A174" i="3" s="1"/>
  <c r="L173" i="3" a="1"/>
  <c r="L173" i="3" s="1"/>
  <c r="K173" i="3" a="1"/>
  <c r="K173" i="3" s="1"/>
  <c r="J173" i="3" a="1"/>
  <c r="J173" i="3" s="1"/>
  <c r="I173" i="3" a="1"/>
  <c r="I173" i="3" s="1"/>
  <c r="H173" i="3" a="1"/>
  <c r="H173" i="3" s="1"/>
  <c r="G173" i="3" a="1"/>
  <c r="G173" i="3" s="1"/>
  <c r="F173" i="3" a="1"/>
  <c r="F173" i="3" s="1"/>
  <c r="E173" i="3" a="1"/>
  <c r="E173" i="3" s="1"/>
  <c r="D173" i="3" a="1"/>
  <c r="D173" i="3" s="1"/>
  <c r="C173" i="3" a="1"/>
  <c r="C173" i="3" s="1"/>
  <c r="A173" i="3" s="1"/>
  <c r="L172" i="3" a="1"/>
  <c r="L172" i="3" s="1"/>
  <c r="K172" i="3" a="1"/>
  <c r="K172" i="3" s="1"/>
  <c r="J172" i="3" a="1"/>
  <c r="J172" i="3" s="1"/>
  <c r="I172" i="3" a="1"/>
  <c r="I172" i="3" s="1"/>
  <c r="H172" i="3" a="1"/>
  <c r="H172" i="3" s="1"/>
  <c r="G172" i="3" a="1"/>
  <c r="G172" i="3" s="1"/>
  <c r="F172" i="3" a="1"/>
  <c r="F172" i="3" s="1"/>
  <c r="E172" i="3" a="1"/>
  <c r="E172" i="3" s="1"/>
  <c r="D172" i="3" a="1"/>
  <c r="D172" i="3" s="1"/>
  <c r="C172" i="3" a="1"/>
  <c r="C172" i="3" s="1"/>
  <c r="A172" i="3" s="1"/>
  <c r="L171" i="3" a="1"/>
  <c r="L171" i="3" s="1"/>
  <c r="K171" i="3" a="1"/>
  <c r="K171" i="3" s="1"/>
  <c r="J171" i="3" a="1"/>
  <c r="J171" i="3" s="1"/>
  <c r="I171" i="3" a="1"/>
  <c r="I171" i="3" s="1"/>
  <c r="H171" i="3" a="1"/>
  <c r="H171" i="3" s="1"/>
  <c r="G171" i="3" a="1"/>
  <c r="G171" i="3" s="1"/>
  <c r="F171" i="3" a="1"/>
  <c r="F171" i="3" s="1"/>
  <c r="E171" i="3" a="1"/>
  <c r="E171" i="3" s="1"/>
  <c r="D171" i="3" a="1"/>
  <c r="D171" i="3" s="1"/>
  <c r="C171" i="3" a="1"/>
  <c r="C171" i="3" s="1"/>
  <c r="A171" i="3" s="1"/>
  <c r="L170" i="3" a="1"/>
  <c r="L170" i="3" s="1"/>
  <c r="K170" i="3" a="1"/>
  <c r="K170" i="3" s="1"/>
  <c r="J170" i="3" a="1"/>
  <c r="J170" i="3" s="1"/>
  <c r="I170" i="3" a="1"/>
  <c r="I170" i="3" s="1"/>
  <c r="H170" i="3" a="1"/>
  <c r="H170" i="3" s="1"/>
  <c r="G170" i="3" a="1"/>
  <c r="G170" i="3" s="1"/>
  <c r="F170" i="3" a="1"/>
  <c r="F170" i="3" s="1"/>
  <c r="E170" i="3" a="1"/>
  <c r="E170" i="3" s="1"/>
  <c r="D170" i="3" a="1"/>
  <c r="D170" i="3" s="1"/>
  <c r="C170" i="3" a="1"/>
  <c r="C170" i="3" s="1"/>
  <c r="A170" i="3" s="1"/>
  <c r="L169" i="3" a="1"/>
  <c r="L169" i="3" s="1"/>
  <c r="K169" i="3" a="1"/>
  <c r="K169" i="3" s="1"/>
  <c r="J169" i="3" a="1"/>
  <c r="J169" i="3" s="1"/>
  <c r="I169" i="3" a="1"/>
  <c r="I169" i="3" s="1"/>
  <c r="H169" i="3" a="1"/>
  <c r="H169" i="3" s="1"/>
  <c r="G169" i="3" a="1"/>
  <c r="G169" i="3" s="1"/>
  <c r="F169" i="3" a="1"/>
  <c r="F169" i="3" s="1"/>
  <c r="E169" i="3" a="1"/>
  <c r="E169" i="3" s="1"/>
  <c r="D169" i="3" a="1"/>
  <c r="D169" i="3" s="1"/>
  <c r="C169" i="3" a="1"/>
  <c r="C169" i="3" s="1"/>
  <c r="A169" i="3" s="1"/>
  <c r="L168" i="3" a="1"/>
  <c r="L168" i="3" s="1"/>
  <c r="K168" i="3" a="1"/>
  <c r="K168" i="3" s="1"/>
  <c r="J168" i="3" a="1"/>
  <c r="J168" i="3" s="1"/>
  <c r="I168" i="3" a="1"/>
  <c r="I168" i="3" s="1"/>
  <c r="H168" i="3" a="1"/>
  <c r="H168" i="3" s="1"/>
  <c r="G168" i="3" a="1"/>
  <c r="G168" i="3" s="1"/>
  <c r="F168" i="3" a="1"/>
  <c r="F168" i="3" s="1"/>
  <c r="E168" i="3" a="1"/>
  <c r="E168" i="3" s="1"/>
  <c r="D168" i="3" a="1"/>
  <c r="D168" i="3" s="1"/>
  <c r="C168" i="3" a="1"/>
  <c r="C168" i="3" s="1"/>
  <c r="A168" i="3" s="1"/>
  <c r="L167" i="3" a="1"/>
  <c r="L167" i="3" s="1"/>
  <c r="K167" i="3" a="1"/>
  <c r="K167" i="3" s="1"/>
  <c r="J167" i="3" a="1"/>
  <c r="J167" i="3" s="1"/>
  <c r="I167" i="3" a="1"/>
  <c r="I167" i="3" s="1"/>
  <c r="H167" i="3" a="1"/>
  <c r="H167" i="3" s="1"/>
  <c r="G167" i="3" a="1"/>
  <c r="G167" i="3" s="1"/>
  <c r="F167" i="3" a="1"/>
  <c r="F167" i="3" s="1"/>
  <c r="E167" i="3" a="1"/>
  <c r="E167" i="3" s="1"/>
  <c r="D167" i="3" a="1"/>
  <c r="D167" i="3" s="1"/>
  <c r="C167" i="3" a="1"/>
  <c r="C167" i="3" s="1"/>
  <c r="A167" i="3" s="1"/>
  <c r="L166" i="3" a="1"/>
  <c r="L166" i="3" s="1"/>
  <c r="K166" i="3" a="1"/>
  <c r="K166" i="3" s="1"/>
  <c r="J166" i="3" a="1"/>
  <c r="J166" i="3" s="1"/>
  <c r="I166" i="3" a="1"/>
  <c r="I166" i="3" s="1"/>
  <c r="H166" i="3" a="1"/>
  <c r="H166" i="3" s="1"/>
  <c r="G166" i="3" a="1"/>
  <c r="G166" i="3" s="1"/>
  <c r="F166" i="3" a="1"/>
  <c r="F166" i="3" s="1"/>
  <c r="E166" i="3" a="1"/>
  <c r="E166" i="3" s="1"/>
  <c r="D166" i="3" a="1"/>
  <c r="D166" i="3" s="1"/>
  <c r="C166" i="3" a="1"/>
  <c r="C166" i="3" s="1"/>
  <c r="A166" i="3" s="1"/>
  <c r="L165" i="3" a="1"/>
  <c r="L165" i="3" s="1"/>
  <c r="K165" i="3" a="1"/>
  <c r="K165" i="3" s="1"/>
  <c r="J165" i="3" a="1"/>
  <c r="J165" i="3" s="1"/>
  <c r="I165" i="3" a="1"/>
  <c r="I165" i="3" s="1"/>
  <c r="H165" i="3" a="1"/>
  <c r="H165" i="3" s="1"/>
  <c r="G165" i="3" a="1"/>
  <c r="G165" i="3" s="1"/>
  <c r="F165" i="3" a="1"/>
  <c r="F165" i="3" s="1"/>
  <c r="E165" i="3" a="1"/>
  <c r="E165" i="3" s="1"/>
  <c r="D165" i="3" a="1"/>
  <c r="D165" i="3" s="1"/>
  <c r="C165" i="3" a="1"/>
  <c r="C165" i="3" s="1"/>
  <c r="A165" i="3" s="1"/>
  <c r="L164" i="3" a="1"/>
  <c r="L164" i="3" s="1"/>
  <c r="K164" i="3" a="1"/>
  <c r="K164" i="3" s="1"/>
  <c r="J164" i="3" a="1"/>
  <c r="J164" i="3" s="1"/>
  <c r="I164" i="3" a="1"/>
  <c r="I164" i="3" s="1"/>
  <c r="H164" i="3" a="1"/>
  <c r="H164" i="3" s="1"/>
  <c r="G164" i="3" a="1"/>
  <c r="G164" i="3" s="1"/>
  <c r="F164" i="3" a="1"/>
  <c r="F164" i="3" s="1"/>
  <c r="E164" i="3" a="1"/>
  <c r="E164" i="3" s="1"/>
  <c r="D164" i="3" a="1"/>
  <c r="D164" i="3" s="1"/>
  <c r="C164" i="3" a="1"/>
  <c r="C164" i="3" s="1"/>
  <c r="A164" i="3" s="1"/>
  <c r="L163" i="3" a="1"/>
  <c r="L163" i="3" s="1"/>
  <c r="K163" i="3" a="1"/>
  <c r="K163" i="3" s="1"/>
  <c r="J163" i="3" a="1"/>
  <c r="J163" i="3" s="1"/>
  <c r="I163" i="3" a="1"/>
  <c r="I163" i="3" s="1"/>
  <c r="H163" i="3" a="1"/>
  <c r="H163" i="3" s="1"/>
  <c r="G163" i="3" a="1"/>
  <c r="G163" i="3" s="1"/>
  <c r="F163" i="3" a="1"/>
  <c r="F163" i="3" s="1"/>
  <c r="E163" i="3" a="1"/>
  <c r="E163" i="3" s="1"/>
  <c r="D163" i="3" a="1"/>
  <c r="D163" i="3" s="1"/>
  <c r="C163" i="3" a="1"/>
  <c r="C163" i="3" s="1"/>
  <c r="A163" i="3" s="1"/>
  <c r="L162" i="3" a="1"/>
  <c r="L162" i="3" s="1"/>
  <c r="K162" i="3" a="1"/>
  <c r="K162" i="3" s="1"/>
  <c r="J162" i="3" a="1"/>
  <c r="J162" i="3" s="1"/>
  <c r="I162" i="3" a="1"/>
  <c r="I162" i="3" s="1"/>
  <c r="H162" i="3" a="1"/>
  <c r="H162" i="3" s="1"/>
  <c r="G162" i="3" a="1"/>
  <c r="G162" i="3" s="1"/>
  <c r="F162" i="3" a="1"/>
  <c r="F162" i="3" s="1"/>
  <c r="E162" i="3" a="1"/>
  <c r="E162" i="3" s="1"/>
  <c r="D162" i="3" a="1"/>
  <c r="D162" i="3" s="1"/>
  <c r="C162" i="3" a="1"/>
  <c r="C162" i="3" s="1"/>
  <c r="A162" i="3" s="1"/>
  <c r="L161" i="3" a="1"/>
  <c r="L161" i="3" s="1"/>
  <c r="K161" i="3" a="1"/>
  <c r="K161" i="3" s="1"/>
  <c r="J161" i="3" a="1"/>
  <c r="J161" i="3" s="1"/>
  <c r="I161" i="3" a="1"/>
  <c r="I161" i="3" s="1"/>
  <c r="H161" i="3" a="1"/>
  <c r="H161" i="3" s="1"/>
  <c r="G161" i="3" a="1"/>
  <c r="G161" i="3" s="1"/>
  <c r="F161" i="3" a="1"/>
  <c r="F161" i="3" s="1"/>
  <c r="E161" i="3" a="1"/>
  <c r="E161" i="3" s="1"/>
  <c r="D161" i="3" a="1"/>
  <c r="D161" i="3" s="1"/>
  <c r="C161" i="3" a="1"/>
  <c r="C161" i="3" s="1"/>
  <c r="A161" i="3" s="1"/>
  <c r="L160" i="3" a="1"/>
  <c r="L160" i="3" s="1"/>
  <c r="K160" i="3" a="1"/>
  <c r="K160" i="3" s="1"/>
  <c r="J160" i="3" a="1"/>
  <c r="J160" i="3" s="1"/>
  <c r="I160" i="3" a="1"/>
  <c r="I160" i="3" s="1"/>
  <c r="H160" i="3" a="1"/>
  <c r="H160" i="3" s="1"/>
  <c r="G160" i="3" a="1"/>
  <c r="G160" i="3" s="1"/>
  <c r="F160" i="3" a="1"/>
  <c r="F160" i="3" s="1"/>
  <c r="E160" i="3" a="1"/>
  <c r="E160" i="3" s="1"/>
  <c r="D160" i="3" a="1"/>
  <c r="D160" i="3" s="1"/>
  <c r="C160" i="3" a="1"/>
  <c r="C160" i="3" s="1"/>
  <c r="A160" i="3" s="1"/>
  <c r="L159" i="3" a="1"/>
  <c r="L159" i="3" s="1"/>
  <c r="K159" i="3" a="1"/>
  <c r="K159" i="3" s="1"/>
  <c r="J159" i="3" a="1"/>
  <c r="J159" i="3" s="1"/>
  <c r="I159" i="3" a="1"/>
  <c r="I159" i="3" s="1"/>
  <c r="H159" i="3" a="1"/>
  <c r="H159" i="3" s="1"/>
  <c r="G159" i="3" a="1"/>
  <c r="G159" i="3" s="1"/>
  <c r="F159" i="3" a="1"/>
  <c r="F159" i="3" s="1"/>
  <c r="E159" i="3" a="1"/>
  <c r="E159" i="3" s="1"/>
  <c r="D159" i="3" a="1"/>
  <c r="D159" i="3" s="1"/>
  <c r="C159" i="3" a="1"/>
  <c r="C159" i="3" s="1"/>
  <c r="A159" i="3" s="1"/>
  <c r="L158" i="3" a="1"/>
  <c r="L158" i="3" s="1"/>
  <c r="K158" i="3" a="1"/>
  <c r="K158" i="3" s="1"/>
  <c r="J158" i="3" a="1"/>
  <c r="J158" i="3" s="1"/>
  <c r="I158" i="3" a="1"/>
  <c r="I158" i="3" s="1"/>
  <c r="H158" i="3" a="1"/>
  <c r="H158" i="3" s="1"/>
  <c r="G158" i="3" a="1"/>
  <c r="G158" i="3" s="1"/>
  <c r="F158" i="3" a="1"/>
  <c r="F158" i="3" s="1"/>
  <c r="E158" i="3" a="1"/>
  <c r="E158" i="3" s="1"/>
  <c r="D158" i="3" a="1"/>
  <c r="D158" i="3" s="1"/>
  <c r="C158" i="3" a="1"/>
  <c r="C158" i="3" s="1"/>
  <c r="A158" i="3" s="1"/>
  <c r="L157" i="3" a="1"/>
  <c r="L157" i="3" s="1"/>
  <c r="K157" i="3" a="1"/>
  <c r="K157" i="3" s="1"/>
  <c r="J157" i="3" a="1"/>
  <c r="J157" i="3" s="1"/>
  <c r="I157" i="3" a="1"/>
  <c r="I157" i="3" s="1"/>
  <c r="H157" i="3" a="1"/>
  <c r="H157" i="3" s="1"/>
  <c r="G157" i="3" a="1"/>
  <c r="G157" i="3" s="1"/>
  <c r="F157" i="3" a="1"/>
  <c r="F157" i="3" s="1"/>
  <c r="E157" i="3" a="1"/>
  <c r="E157" i="3" s="1"/>
  <c r="D157" i="3" a="1"/>
  <c r="D157" i="3" s="1"/>
  <c r="C157" i="3" a="1"/>
  <c r="C157" i="3" s="1"/>
  <c r="A157" i="3" s="1"/>
  <c r="L156" i="3" a="1"/>
  <c r="L156" i="3" s="1"/>
  <c r="K156" i="3" a="1"/>
  <c r="K156" i="3" s="1"/>
  <c r="J156" i="3" a="1"/>
  <c r="J156" i="3" s="1"/>
  <c r="I156" i="3" a="1"/>
  <c r="I156" i="3" s="1"/>
  <c r="H156" i="3" a="1"/>
  <c r="H156" i="3" s="1"/>
  <c r="G156" i="3" a="1"/>
  <c r="G156" i="3" s="1"/>
  <c r="F156" i="3" a="1"/>
  <c r="F156" i="3" s="1"/>
  <c r="E156" i="3" a="1"/>
  <c r="E156" i="3" s="1"/>
  <c r="D156" i="3" a="1"/>
  <c r="D156" i="3" s="1"/>
  <c r="C156" i="3" a="1"/>
  <c r="C156" i="3" s="1"/>
  <c r="A156" i="3" s="1"/>
  <c r="L155" i="3" a="1"/>
  <c r="L155" i="3" s="1"/>
  <c r="K155" i="3" a="1"/>
  <c r="K155" i="3" s="1"/>
  <c r="J155" i="3" a="1"/>
  <c r="J155" i="3" s="1"/>
  <c r="I155" i="3" a="1"/>
  <c r="I155" i="3" s="1"/>
  <c r="H155" i="3" a="1"/>
  <c r="H155" i="3" s="1"/>
  <c r="G155" i="3" a="1"/>
  <c r="G155" i="3" s="1"/>
  <c r="F155" i="3" a="1"/>
  <c r="F155" i="3" s="1"/>
  <c r="E155" i="3" a="1"/>
  <c r="E155" i="3" s="1"/>
  <c r="D155" i="3" a="1"/>
  <c r="D155" i="3" s="1"/>
  <c r="C155" i="3" a="1"/>
  <c r="C155" i="3" s="1"/>
  <c r="A155" i="3" s="1"/>
  <c r="L154" i="3" a="1"/>
  <c r="L154" i="3" s="1"/>
  <c r="K154" i="3" a="1"/>
  <c r="K154" i="3" s="1"/>
  <c r="J154" i="3" a="1"/>
  <c r="J154" i="3" s="1"/>
  <c r="I154" i="3" a="1"/>
  <c r="I154" i="3" s="1"/>
  <c r="H154" i="3" a="1"/>
  <c r="H154" i="3" s="1"/>
  <c r="G154" i="3" a="1"/>
  <c r="G154" i="3" s="1"/>
  <c r="F154" i="3" a="1"/>
  <c r="F154" i="3" s="1"/>
  <c r="E154" i="3" a="1"/>
  <c r="E154" i="3" s="1"/>
  <c r="D154" i="3" a="1"/>
  <c r="D154" i="3" s="1"/>
  <c r="C154" i="3" a="1"/>
  <c r="C154" i="3" s="1"/>
  <c r="A154" i="3" s="1"/>
  <c r="L153" i="3" a="1"/>
  <c r="L153" i="3" s="1"/>
  <c r="K153" i="3" a="1"/>
  <c r="K153" i="3" s="1"/>
  <c r="J153" i="3" a="1"/>
  <c r="J153" i="3" s="1"/>
  <c r="I153" i="3" a="1"/>
  <c r="I153" i="3" s="1"/>
  <c r="H153" i="3" a="1"/>
  <c r="H153" i="3" s="1"/>
  <c r="G153" i="3" a="1"/>
  <c r="G153" i="3" s="1"/>
  <c r="F153" i="3" a="1"/>
  <c r="F153" i="3" s="1"/>
  <c r="E153" i="3" a="1"/>
  <c r="E153" i="3" s="1"/>
  <c r="D153" i="3" a="1"/>
  <c r="D153" i="3" s="1"/>
  <c r="C153" i="3" a="1"/>
  <c r="C153" i="3" s="1"/>
  <c r="A153" i="3" s="1"/>
  <c r="L152" i="3" a="1"/>
  <c r="L152" i="3" s="1"/>
  <c r="K152" i="3" a="1"/>
  <c r="K152" i="3" s="1"/>
  <c r="J152" i="3" a="1"/>
  <c r="J152" i="3" s="1"/>
  <c r="I152" i="3" a="1"/>
  <c r="I152" i="3" s="1"/>
  <c r="H152" i="3" a="1"/>
  <c r="H152" i="3" s="1"/>
  <c r="G152" i="3" a="1"/>
  <c r="G152" i="3" s="1"/>
  <c r="F152" i="3" a="1"/>
  <c r="F152" i="3" s="1"/>
  <c r="E152" i="3" a="1"/>
  <c r="E152" i="3" s="1"/>
  <c r="D152" i="3" a="1"/>
  <c r="D152" i="3" s="1"/>
  <c r="C152" i="3" a="1"/>
  <c r="C152" i="3" s="1"/>
  <c r="A152" i="3" s="1"/>
  <c r="L151" i="3" a="1"/>
  <c r="L151" i="3" s="1"/>
  <c r="K151" i="3" a="1"/>
  <c r="K151" i="3" s="1"/>
  <c r="J151" i="3" a="1"/>
  <c r="J151" i="3" s="1"/>
  <c r="I151" i="3" a="1"/>
  <c r="I151" i="3" s="1"/>
  <c r="H151" i="3" a="1"/>
  <c r="H151" i="3" s="1"/>
  <c r="G151" i="3" a="1"/>
  <c r="G151" i="3" s="1"/>
  <c r="F151" i="3" a="1"/>
  <c r="F151" i="3" s="1"/>
  <c r="E151" i="3" a="1"/>
  <c r="E151" i="3" s="1"/>
  <c r="D151" i="3" a="1"/>
  <c r="D151" i="3" s="1"/>
  <c r="C151" i="3" a="1"/>
  <c r="C151" i="3" s="1"/>
  <c r="A151" i="3" s="1"/>
  <c r="L150" i="3" a="1"/>
  <c r="L150" i="3" s="1"/>
  <c r="K150" i="3" a="1"/>
  <c r="K150" i="3" s="1"/>
  <c r="J150" i="3" a="1"/>
  <c r="J150" i="3" s="1"/>
  <c r="I150" i="3" a="1"/>
  <c r="I150" i="3" s="1"/>
  <c r="H150" i="3" a="1"/>
  <c r="H150" i="3" s="1"/>
  <c r="G150" i="3" a="1"/>
  <c r="G150" i="3" s="1"/>
  <c r="F150" i="3" a="1"/>
  <c r="F150" i="3" s="1"/>
  <c r="E150" i="3" a="1"/>
  <c r="E150" i="3" s="1"/>
  <c r="D150" i="3" a="1"/>
  <c r="D150" i="3" s="1"/>
  <c r="C150" i="3" a="1"/>
  <c r="C150" i="3" s="1"/>
  <c r="A150" i="3" s="1"/>
  <c r="L149" i="3" a="1"/>
  <c r="L149" i="3" s="1"/>
  <c r="K149" i="3" a="1"/>
  <c r="K149" i="3" s="1"/>
  <c r="J149" i="3" a="1"/>
  <c r="J149" i="3" s="1"/>
  <c r="I149" i="3" a="1"/>
  <c r="I149" i="3" s="1"/>
  <c r="H149" i="3" a="1"/>
  <c r="H149" i="3" s="1"/>
  <c r="G149" i="3" a="1"/>
  <c r="G149" i="3" s="1"/>
  <c r="F149" i="3" a="1"/>
  <c r="F149" i="3" s="1"/>
  <c r="E149" i="3" a="1"/>
  <c r="E149" i="3" s="1"/>
  <c r="D149" i="3" a="1"/>
  <c r="D149" i="3" s="1"/>
  <c r="C149" i="3" a="1"/>
  <c r="C149" i="3" s="1"/>
  <c r="A149" i="3" s="1"/>
  <c r="L148" i="3" a="1"/>
  <c r="L148" i="3" s="1"/>
  <c r="K148" i="3" a="1"/>
  <c r="K148" i="3" s="1"/>
  <c r="J148" i="3" a="1"/>
  <c r="J148" i="3" s="1"/>
  <c r="I148" i="3" a="1"/>
  <c r="I148" i="3" s="1"/>
  <c r="H148" i="3" a="1"/>
  <c r="H148" i="3" s="1"/>
  <c r="G148" i="3" a="1"/>
  <c r="G148" i="3" s="1"/>
  <c r="F148" i="3" a="1"/>
  <c r="F148" i="3" s="1"/>
  <c r="E148" i="3" a="1"/>
  <c r="E148" i="3" s="1"/>
  <c r="D148" i="3" a="1"/>
  <c r="D148" i="3" s="1"/>
  <c r="C148" i="3" a="1"/>
  <c r="C148" i="3" s="1"/>
  <c r="A148" i="3" s="1"/>
  <c r="L147" i="3" a="1"/>
  <c r="L147" i="3" s="1"/>
  <c r="K147" i="3" a="1"/>
  <c r="K147" i="3" s="1"/>
  <c r="J147" i="3" a="1"/>
  <c r="J147" i="3" s="1"/>
  <c r="I147" i="3" a="1"/>
  <c r="I147" i="3" s="1"/>
  <c r="H147" i="3" a="1"/>
  <c r="H147" i="3" s="1"/>
  <c r="G147" i="3" a="1"/>
  <c r="G147" i="3" s="1"/>
  <c r="F147" i="3" a="1"/>
  <c r="F147" i="3" s="1"/>
  <c r="E147" i="3" a="1"/>
  <c r="E147" i="3" s="1"/>
  <c r="D147" i="3" a="1"/>
  <c r="D147" i="3" s="1"/>
  <c r="C147" i="3" a="1"/>
  <c r="C147" i="3" s="1"/>
  <c r="A147" i="3" s="1"/>
  <c r="L146" i="3" a="1"/>
  <c r="L146" i="3" s="1"/>
  <c r="K146" i="3" a="1"/>
  <c r="K146" i="3" s="1"/>
  <c r="J146" i="3" a="1"/>
  <c r="J146" i="3" s="1"/>
  <c r="I146" i="3" a="1"/>
  <c r="I146" i="3" s="1"/>
  <c r="H146" i="3" a="1"/>
  <c r="H146" i="3" s="1"/>
  <c r="G146" i="3" a="1"/>
  <c r="G146" i="3" s="1"/>
  <c r="F146" i="3" a="1"/>
  <c r="F146" i="3" s="1"/>
  <c r="E146" i="3" a="1"/>
  <c r="E146" i="3" s="1"/>
  <c r="D146" i="3" a="1"/>
  <c r="D146" i="3" s="1"/>
  <c r="C146" i="3" a="1"/>
  <c r="C146" i="3" s="1"/>
  <c r="A146" i="3" s="1"/>
  <c r="L145" i="3" a="1"/>
  <c r="L145" i="3" s="1"/>
  <c r="K145" i="3" a="1"/>
  <c r="K145" i="3" s="1"/>
  <c r="J145" i="3" a="1"/>
  <c r="J145" i="3" s="1"/>
  <c r="I145" i="3" a="1"/>
  <c r="I145" i="3" s="1"/>
  <c r="H145" i="3" a="1"/>
  <c r="H145" i="3" s="1"/>
  <c r="G145" i="3" a="1"/>
  <c r="G145" i="3" s="1"/>
  <c r="F145" i="3" a="1"/>
  <c r="F145" i="3" s="1"/>
  <c r="E145" i="3" a="1"/>
  <c r="E145" i="3" s="1"/>
  <c r="D145" i="3" a="1"/>
  <c r="D145" i="3" s="1"/>
  <c r="C145" i="3" a="1"/>
  <c r="C145" i="3" s="1"/>
  <c r="A145" i="3" s="1"/>
  <c r="L144" i="3" a="1"/>
  <c r="L144" i="3" s="1"/>
  <c r="K144" i="3" a="1"/>
  <c r="K144" i="3" s="1"/>
  <c r="J144" i="3" a="1"/>
  <c r="J144" i="3" s="1"/>
  <c r="I144" i="3" a="1"/>
  <c r="I144" i="3" s="1"/>
  <c r="H144" i="3" a="1"/>
  <c r="H144" i="3" s="1"/>
  <c r="G144" i="3" a="1"/>
  <c r="G144" i="3" s="1"/>
  <c r="F144" i="3" a="1"/>
  <c r="F144" i="3" s="1"/>
  <c r="E144" i="3" a="1"/>
  <c r="E144" i="3" s="1"/>
  <c r="D144" i="3" a="1"/>
  <c r="D144" i="3" s="1"/>
  <c r="C144" i="3" a="1"/>
  <c r="C144" i="3" s="1"/>
  <c r="A144" i="3" s="1"/>
  <c r="L143" i="3" a="1"/>
  <c r="L143" i="3" s="1"/>
  <c r="K143" i="3" a="1"/>
  <c r="K143" i="3" s="1"/>
  <c r="J143" i="3" a="1"/>
  <c r="J143" i="3" s="1"/>
  <c r="I143" i="3" a="1"/>
  <c r="I143" i="3" s="1"/>
  <c r="H143" i="3" a="1"/>
  <c r="H143" i="3" s="1"/>
  <c r="G143" i="3" a="1"/>
  <c r="G143" i="3" s="1"/>
  <c r="F143" i="3" a="1"/>
  <c r="F143" i="3" s="1"/>
  <c r="E143" i="3" a="1"/>
  <c r="E143" i="3" s="1"/>
  <c r="D143" i="3" a="1"/>
  <c r="D143" i="3" s="1"/>
  <c r="C143" i="3" a="1"/>
  <c r="C143" i="3" s="1"/>
  <c r="A143" i="3" s="1"/>
  <c r="L142" i="3" a="1"/>
  <c r="L142" i="3" s="1"/>
  <c r="K142" i="3" a="1"/>
  <c r="K142" i="3" s="1"/>
  <c r="J142" i="3" a="1"/>
  <c r="J142" i="3" s="1"/>
  <c r="I142" i="3" a="1"/>
  <c r="I142" i="3" s="1"/>
  <c r="H142" i="3" a="1"/>
  <c r="H142" i="3" s="1"/>
  <c r="G142" i="3" a="1"/>
  <c r="G142" i="3" s="1"/>
  <c r="F142" i="3" a="1"/>
  <c r="F142" i="3" s="1"/>
  <c r="E142" i="3" a="1"/>
  <c r="E142" i="3" s="1"/>
  <c r="D142" i="3" a="1"/>
  <c r="D142" i="3" s="1"/>
  <c r="C142" i="3" a="1"/>
  <c r="C142" i="3" s="1"/>
  <c r="A142" i="3" s="1"/>
  <c r="L141" i="3" a="1"/>
  <c r="L141" i="3" s="1"/>
  <c r="K141" i="3" a="1"/>
  <c r="K141" i="3" s="1"/>
  <c r="J141" i="3" a="1"/>
  <c r="J141" i="3" s="1"/>
  <c r="I141" i="3" a="1"/>
  <c r="I141" i="3" s="1"/>
  <c r="H141" i="3" a="1"/>
  <c r="H141" i="3" s="1"/>
  <c r="G141" i="3" a="1"/>
  <c r="G141" i="3" s="1"/>
  <c r="F141" i="3" a="1"/>
  <c r="F141" i="3" s="1"/>
  <c r="E141" i="3" a="1"/>
  <c r="E141" i="3" s="1"/>
  <c r="D141" i="3" a="1"/>
  <c r="D141" i="3" s="1"/>
  <c r="C141" i="3" a="1"/>
  <c r="C141" i="3" s="1"/>
  <c r="A141" i="3" s="1"/>
  <c r="L140" i="3" a="1"/>
  <c r="L140" i="3" s="1"/>
  <c r="K140" i="3" a="1"/>
  <c r="K140" i="3" s="1"/>
  <c r="J140" i="3" a="1"/>
  <c r="J140" i="3" s="1"/>
  <c r="I140" i="3" a="1"/>
  <c r="I140" i="3" s="1"/>
  <c r="H140" i="3" a="1"/>
  <c r="H140" i="3" s="1"/>
  <c r="G140" i="3" a="1"/>
  <c r="G140" i="3" s="1"/>
  <c r="F140" i="3" a="1"/>
  <c r="F140" i="3" s="1"/>
  <c r="E140" i="3" a="1"/>
  <c r="E140" i="3" s="1"/>
  <c r="D140" i="3" a="1"/>
  <c r="D140" i="3" s="1"/>
  <c r="C140" i="3" a="1"/>
  <c r="C140" i="3" s="1"/>
  <c r="A140" i="3" s="1"/>
  <c r="L139" i="3" a="1"/>
  <c r="L139" i="3" s="1"/>
  <c r="K139" i="3" a="1"/>
  <c r="K139" i="3" s="1"/>
  <c r="J139" i="3" a="1"/>
  <c r="J139" i="3" s="1"/>
  <c r="I139" i="3" a="1"/>
  <c r="I139" i="3" s="1"/>
  <c r="H139" i="3" a="1"/>
  <c r="H139" i="3" s="1"/>
  <c r="G139" i="3" a="1"/>
  <c r="G139" i="3" s="1"/>
  <c r="F139" i="3" a="1"/>
  <c r="F139" i="3" s="1"/>
  <c r="E139" i="3" a="1"/>
  <c r="E139" i="3" s="1"/>
  <c r="D139" i="3" a="1"/>
  <c r="D139" i="3" s="1"/>
  <c r="C139" i="3" a="1"/>
  <c r="C139" i="3" s="1"/>
  <c r="A139" i="3" s="1"/>
  <c r="L138" i="3" a="1"/>
  <c r="L138" i="3" s="1"/>
  <c r="K138" i="3" a="1"/>
  <c r="K138" i="3" s="1"/>
  <c r="J138" i="3" a="1"/>
  <c r="J138" i="3" s="1"/>
  <c r="I138" i="3" a="1"/>
  <c r="I138" i="3" s="1"/>
  <c r="H138" i="3" a="1"/>
  <c r="H138" i="3" s="1"/>
  <c r="G138" i="3" a="1"/>
  <c r="G138" i="3" s="1"/>
  <c r="F138" i="3" a="1"/>
  <c r="F138" i="3" s="1"/>
  <c r="E138" i="3" a="1"/>
  <c r="E138" i="3" s="1"/>
  <c r="D138" i="3" a="1"/>
  <c r="D138" i="3" s="1"/>
  <c r="C138" i="3" a="1"/>
  <c r="C138" i="3" s="1"/>
  <c r="A138" i="3" s="1"/>
  <c r="L137" i="3" a="1"/>
  <c r="L137" i="3" s="1"/>
  <c r="K137" i="3" a="1"/>
  <c r="K137" i="3" s="1"/>
  <c r="J137" i="3" a="1"/>
  <c r="J137" i="3" s="1"/>
  <c r="I137" i="3" a="1"/>
  <c r="I137" i="3" s="1"/>
  <c r="H137" i="3" a="1"/>
  <c r="H137" i="3" s="1"/>
  <c r="G137" i="3" a="1"/>
  <c r="G137" i="3" s="1"/>
  <c r="F137" i="3" a="1"/>
  <c r="F137" i="3" s="1"/>
  <c r="E137" i="3" a="1"/>
  <c r="E137" i="3" s="1"/>
  <c r="D137" i="3" a="1"/>
  <c r="D137" i="3" s="1"/>
  <c r="C137" i="3" a="1"/>
  <c r="C137" i="3" s="1"/>
  <c r="A137" i="3" s="1"/>
  <c r="L136" i="3" a="1"/>
  <c r="L136" i="3" s="1"/>
  <c r="K136" i="3" a="1"/>
  <c r="K136" i="3" s="1"/>
  <c r="J136" i="3" a="1"/>
  <c r="J136" i="3" s="1"/>
  <c r="I136" i="3" a="1"/>
  <c r="I136" i="3" s="1"/>
  <c r="H136" i="3" a="1"/>
  <c r="H136" i="3" s="1"/>
  <c r="G136" i="3" a="1"/>
  <c r="G136" i="3" s="1"/>
  <c r="F136" i="3" a="1"/>
  <c r="F136" i="3" s="1"/>
  <c r="E136" i="3" a="1"/>
  <c r="E136" i="3" s="1"/>
  <c r="D136" i="3" a="1"/>
  <c r="D136" i="3" s="1"/>
  <c r="C136" i="3" a="1"/>
  <c r="C136" i="3" s="1"/>
  <c r="A136" i="3" s="1"/>
  <c r="L135" i="3" a="1"/>
  <c r="L135" i="3" s="1"/>
  <c r="K135" i="3" a="1"/>
  <c r="K135" i="3" s="1"/>
  <c r="J135" i="3" a="1"/>
  <c r="J135" i="3" s="1"/>
  <c r="I135" i="3" a="1"/>
  <c r="I135" i="3" s="1"/>
  <c r="H135" i="3" a="1"/>
  <c r="H135" i="3" s="1"/>
  <c r="G135" i="3" a="1"/>
  <c r="G135" i="3" s="1"/>
  <c r="F135" i="3" a="1"/>
  <c r="F135" i="3" s="1"/>
  <c r="E135" i="3" a="1"/>
  <c r="E135" i="3" s="1"/>
  <c r="D135" i="3" a="1"/>
  <c r="D135" i="3" s="1"/>
  <c r="C135" i="3" a="1"/>
  <c r="C135" i="3" s="1"/>
  <c r="A135" i="3" s="1"/>
  <c r="L134" i="3" a="1"/>
  <c r="L134" i="3" s="1"/>
  <c r="K134" i="3" a="1"/>
  <c r="K134" i="3" s="1"/>
  <c r="J134" i="3" a="1"/>
  <c r="J134" i="3" s="1"/>
  <c r="I134" i="3" a="1"/>
  <c r="I134" i="3" s="1"/>
  <c r="H134" i="3" a="1"/>
  <c r="H134" i="3" s="1"/>
  <c r="G134" i="3" a="1"/>
  <c r="G134" i="3" s="1"/>
  <c r="F134" i="3" a="1"/>
  <c r="F134" i="3" s="1"/>
  <c r="E134" i="3" a="1"/>
  <c r="E134" i="3" s="1"/>
  <c r="D134" i="3" a="1"/>
  <c r="D134" i="3" s="1"/>
  <c r="C134" i="3" a="1"/>
  <c r="C134" i="3" s="1"/>
  <c r="A134" i="3" s="1"/>
  <c r="L133" i="3" a="1"/>
  <c r="L133" i="3" s="1"/>
  <c r="K133" i="3" a="1"/>
  <c r="K133" i="3" s="1"/>
  <c r="J133" i="3" a="1"/>
  <c r="J133" i="3" s="1"/>
  <c r="I133" i="3" a="1"/>
  <c r="I133" i="3" s="1"/>
  <c r="H133" i="3" a="1"/>
  <c r="H133" i="3" s="1"/>
  <c r="G133" i="3" a="1"/>
  <c r="G133" i="3" s="1"/>
  <c r="F133" i="3" a="1"/>
  <c r="F133" i="3" s="1"/>
  <c r="E133" i="3" a="1"/>
  <c r="E133" i="3" s="1"/>
  <c r="D133" i="3" a="1"/>
  <c r="D133" i="3" s="1"/>
  <c r="C133" i="3" a="1"/>
  <c r="C133" i="3" s="1"/>
  <c r="A133" i="3" s="1"/>
  <c r="L132" i="3" a="1"/>
  <c r="L132" i="3" s="1"/>
  <c r="K132" i="3" a="1"/>
  <c r="K132" i="3" s="1"/>
  <c r="J132" i="3" a="1"/>
  <c r="J132" i="3" s="1"/>
  <c r="I132" i="3" a="1"/>
  <c r="I132" i="3" s="1"/>
  <c r="H132" i="3" a="1"/>
  <c r="H132" i="3" s="1"/>
  <c r="G132" i="3" a="1"/>
  <c r="G132" i="3" s="1"/>
  <c r="F132" i="3" a="1"/>
  <c r="F132" i="3" s="1"/>
  <c r="E132" i="3" a="1"/>
  <c r="E132" i="3" s="1"/>
  <c r="D132" i="3" a="1"/>
  <c r="D132" i="3" s="1"/>
  <c r="C132" i="3" a="1"/>
  <c r="C132" i="3" s="1"/>
  <c r="A132" i="3" s="1"/>
  <c r="L131" i="3" a="1"/>
  <c r="L131" i="3" s="1"/>
  <c r="K131" i="3" a="1"/>
  <c r="K131" i="3" s="1"/>
  <c r="J131" i="3" a="1"/>
  <c r="J131" i="3" s="1"/>
  <c r="I131" i="3" a="1"/>
  <c r="I131" i="3" s="1"/>
  <c r="H131" i="3" a="1"/>
  <c r="H131" i="3" s="1"/>
  <c r="G131" i="3" a="1"/>
  <c r="G131" i="3" s="1"/>
  <c r="F131" i="3" a="1"/>
  <c r="F131" i="3" s="1"/>
  <c r="E131" i="3" a="1"/>
  <c r="E131" i="3" s="1"/>
  <c r="D131" i="3" a="1"/>
  <c r="D131" i="3" s="1"/>
  <c r="C131" i="3" a="1"/>
  <c r="C131" i="3" s="1"/>
  <c r="A131" i="3" s="1"/>
  <c r="L130" i="3" a="1"/>
  <c r="L130" i="3" s="1"/>
  <c r="K130" i="3" a="1"/>
  <c r="K130" i="3" s="1"/>
  <c r="J130" i="3" a="1"/>
  <c r="J130" i="3" s="1"/>
  <c r="I130" i="3" a="1"/>
  <c r="I130" i="3" s="1"/>
  <c r="H130" i="3" a="1"/>
  <c r="H130" i="3" s="1"/>
  <c r="G130" i="3" a="1"/>
  <c r="G130" i="3" s="1"/>
  <c r="F130" i="3" a="1"/>
  <c r="F130" i="3" s="1"/>
  <c r="E130" i="3" a="1"/>
  <c r="E130" i="3" s="1"/>
  <c r="D130" i="3" a="1"/>
  <c r="D130" i="3" s="1"/>
  <c r="C130" i="3" a="1"/>
  <c r="C130" i="3" s="1"/>
  <c r="A130" i="3" s="1"/>
  <c r="L129" i="3" a="1"/>
  <c r="L129" i="3" s="1"/>
  <c r="K129" i="3" a="1"/>
  <c r="K129" i="3" s="1"/>
  <c r="J129" i="3" a="1"/>
  <c r="J129" i="3" s="1"/>
  <c r="I129" i="3" a="1"/>
  <c r="I129" i="3" s="1"/>
  <c r="H129" i="3" a="1"/>
  <c r="H129" i="3" s="1"/>
  <c r="G129" i="3" a="1"/>
  <c r="G129" i="3" s="1"/>
  <c r="F129" i="3" a="1"/>
  <c r="F129" i="3" s="1"/>
  <c r="E129" i="3" a="1"/>
  <c r="E129" i="3" s="1"/>
  <c r="D129" i="3" a="1"/>
  <c r="D129" i="3" s="1"/>
  <c r="C129" i="3" a="1"/>
  <c r="C129" i="3" s="1"/>
  <c r="A129" i="3" s="1"/>
  <c r="L128" i="3" a="1"/>
  <c r="L128" i="3" s="1"/>
  <c r="K128" i="3" a="1"/>
  <c r="K128" i="3" s="1"/>
  <c r="J128" i="3" a="1"/>
  <c r="J128" i="3" s="1"/>
  <c r="I128" i="3" a="1"/>
  <c r="I128" i="3" s="1"/>
  <c r="H128" i="3" a="1"/>
  <c r="H128" i="3" s="1"/>
  <c r="G128" i="3" a="1"/>
  <c r="G128" i="3" s="1"/>
  <c r="F128" i="3" a="1"/>
  <c r="F128" i="3" s="1"/>
  <c r="E128" i="3" a="1"/>
  <c r="E128" i="3" s="1"/>
  <c r="D128" i="3" a="1"/>
  <c r="D128" i="3" s="1"/>
  <c r="C128" i="3" a="1"/>
  <c r="C128" i="3" s="1"/>
  <c r="A128" i="3" s="1"/>
  <c r="L127" i="3" a="1"/>
  <c r="L127" i="3" s="1"/>
  <c r="K127" i="3" a="1"/>
  <c r="K127" i="3" s="1"/>
  <c r="J127" i="3" a="1"/>
  <c r="J127" i="3" s="1"/>
  <c r="I127" i="3" a="1"/>
  <c r="I127" i="3" s="1"/>
  <c r="H127" i="3" a="1"/>
  <c r="H127" i="3" s="1"/>
  <c r="G127" i="3" a="1"/>
  <c r="G127" i="3" s="1"/>
  <c r="F127" i="3" a="1"/>
  <c r="F127" i="3" s="1"/>
  <c r="E127" i="3" a="1"/>
  <c r="E127" i="3" s="1"/>
  <c r="D127" i="3" a="1"/>
  <c r="D127" i="3" s="1"/>
  <c r="C127" i="3" a="1"/>
  <c r="C127" i="3" s="1"/>
  <c r="A127" i="3" s="1"/>
  <c r="L126" i="3" a="1"/>
  <c r="L126" i="3" s="1"/>
  <c r="K126" i="3" a="1"/>
  <c r="K126" i="3" s="1"/>
  <c r="J126" i="3" a="1"/>
  <c r="J126" i="3" s="1"/>
  <c r="I126" i="3" a="1"/>
  <c r="I126" i="3" s="1"/>
  <c r="H126" i="3" a="1"/>
  <c r="H126" i="3" s="1"/>
  <c r="G126" i="3" a="1"/>
  <c r="G126" i="3" s="1"/>
  <c r="F126" i="3" a="1"/>
  <c r="F126" i="3" s="1"/>
  <c r="E126" i="3" a="1"/>
  <c r="E126" i="3" s="1"/>
  <c r="D126" i="3" a="1"/>
  <c r="D126" i="3" s="1"/>
  <c r="C126" i="3" a="1"/>
  <c r="C126" i="3" s="1"/>
  <c r="A126" i="3" s="1"/>
  <c r="L125" i="3" a="1"/>
  <c r="L125" i="3" s="1"/>
  <c r="K125" i="3" a="1"/>
  <c r="K125" i="3" s="1"/>
  <c r="J125" i="3" a="1"/>
  <c r="J125" i="3" s="1"/>
  <c r="I125" i="3" a="1"/>
  <c r="I125" i="3" s="1"/>
  <c r="H125" i="3" a="1"/>
  <c r="H125" i="3" s="1"/>
  <c r="G125" i="3" a="1"/>
  <c r="G125" i="3" s="1"/>
  <c r="F125" i="3" a="1"/>
  <c r="F125" i="3" s="1"/>
  <c r="E125" i="3" a="1"/>
  <c r="E125" i="3" s="1"/>
  <c r="D125" i="3" a="1"/>
  <c r="D125" i="3" s="1"/>
  <c r="C125" i="3" a="1"/>
  <c r="C125" i="3" s="1"/>
  <c r="A125" i="3" s="1"/>
  <c r="L124" i="3" a="1"/>
  <c r="L124" i="3" s="1"/>
  <c r="K124" i="3" a="1"/>
  <c r="K124" i="3" s="1"/>
  <c r="J124" i="3" a="1"/>
  <c r="J124" i="3" s="1"/>
  <c r="I124" i="3" a="1"/>
  <c r="I124" i="3" s="1"/>
  <c r="H124" i="3" a="1"/>
  <c r="H124" i="3" s="1"/>
  <c r="G124" i="3" a="1"/>
  <c r="G124" i="3" s="1"/>
  <c r="F124" i="3" a="1"/>
  <c r="F124" i="3" s="1"/>
  <c r="E124" i="3" a="1"/>
  <c r="E124" i="3" s="1"/>
  <c r="D124" i="3" a="1"/>
  <c r="D124" i="3" s="1"/>
  <c r="C124" i="3" a="1"/>
  <c r="C124" i="3" s="1"/>
  <c r="A124" i="3" s="1"/>
  <c r="L123" i="3" a="1"/>
  <c r="L123" i="3" s="1"/>
  <c r="K123" i="3" a="1"/>
  <c r="K123" i="3" s="1"/>
  <c r="J123" i="3" a="1"/>
  <c r="J123" i="3" s="1"/>
  <c r="I123" i="3" a="1"/>
  <c r="I123" i="3" s="1"/>
  <c r="H123" i="3" a="1"/>
  <c r="H123" i="3" s="1"/>
  <c r="G123" i="3" a="1"/>
  <c r="G123" i="3" s="1"/>
  <c r="F123" i="3" a="1"/>
  <c r="F123" i="3" s="1"/>
  <c r="E123" i="3" a="1"/>
  <c r="E123" i="3" s="1"/>
  <c r="D123" i="3" a="1"/>
  <c r="D123" i="3" s="1"/>
  <c r="C123" i="3" a="1"/>
  <c r="C123" i="3" s="1"/>
  <c r="A123" i="3" s="1"/>
  <c r="L122" i="3" a="1"/>
  <c r="L122" i="3" s="1"/>
  <c r="K122" i="3" a="1"/>
  <c r="K122" i="3" s="1"/>
  <c r="J122" i="3" a="1"/>
  <c r="J122" i="3" s="1"/>
  <c r="I122" i="3" a="1"/>
  <c r="I122" i="3" s="1"/>
  <c r="H122" i="3" a="1"/>
  <c r="H122" i="3" s="1"/>
  <c r="G122" i="3" a="1"/>
  <c r="G122" i="3" s="1"/>
  <c r="F122" i="3" a="1"/>
  <c r="F122" i="3" s="1"/>
  <c r="E122" i="3" a="1"/>
  <c r="E122" i="3" s="1"/>
  <c r="D122" i="3" a="1"/>
  <c r="D122" i="3" s="1"/>
  <c r="C122" i="3" a="1"/>
  <c r="C122" i="3" s="1"/>
  <c r="A122" i="3" s="1"/>
  <c r="L121" i="3" a="1"/>
  <c r="L121" i="3" s="1"/>
  <c r="K121" i="3" a="1"/>
  <c r="K121" i="3" s="1"/>
  <c r="J121" i="3" a="1"/>
  <c r="J121" i="3" s="1"/>
  <c r="I121" i="3" a="1"/>
  <c r="I121" i="3" s="1"/>
  <c r="H121" i="3" a="1"/>
  <c r="H121" i="3" s="1"/>
  <c r="G121" i="3" a="1"/>
  <c r="G121" i="3" s="1"/>
  <c r="F121" i="3" a="1"/>
  <c r="F121" i="3" s="1"/>
  <c r="E121" i="3" a="1"/>
  <c r="E121" i="3" s="1"/>
  <c r="D121" i="3" a="1"/>
  <c r="D121" i="3" s="1"/>
  <c r="C121" i="3" a="1"/>
  <c r="C121" i="3" s="1"/>
  <c r="A121" i="3" s="1"/>
  <c r="L120" i="3" a="1"/>
  <c r="L120" i="3" s="1"/>
  <c r="K120" i="3" a="1"/>
  <c r="K120" i="3" s="1"/>
  <c r="J120" i="3" a="1"/>
  <c r="J120" i="3" s="1"/>
  <c r="I120" i="3" a="1"/>
  <c r="I120" i="3" s="1"/>
  <c r="H120" i="3" a="1"/>
  <c r="H120" i="3" s="1"/>
  <c r="G120" i="3" a="1"/>
  <c r="G120" i="3" s="1"/>
  <c r="F120" i="3" a="1"/>
  <c r="F120" i="3" s="1"/>
  <c r="E120" i="3" a="1"/>
  <c r="E120" i="3" s="1"/>
  <c r="D120" i="3" a="1"/>
  <c r="D120" i="3" s="1"/>
  <c r="C120" i="3" a="1"/>
  <c r="C120" i="3" s="1"/>
  <c r="A120" i="3" s="1"/>
  <c r="L119" i="3" a="1"/>
  <c r="L119" i="3" s="1"/>
  <c r="K119" i="3" a="1"/>
  <c r="K119" i="3" s="1"/>
  <c r="J119" i="3" a="1"/>
  <c r="J119" i="3" s="1"/>
  <c r="I119" i="3" a="1"/>
  <c r="I119" i="3" s="1"/>
  <c r="H119" i="3" a="1"/>
  <c r="H119" i="3" s="1"/>
  <c r="G119" i="3" a="1"/>
  <c r="G119" i="3" s="1"/>
  <c r="F119" i="3" a="1"/>
  <c r="F119" i="3" s="1"/>
  <c r="E119" i="3" a="1"/>
  <c r="E119" i="3" s="1"/>
  <c r="D119" i="3" a="1"/>
  <c r="D119" i="3" s="1"/>
  <c r="C119" i="3" a="1"/>
  <c r="C119" i="3" s="1"/>
  <c r="A119" i="3" s="1"/>
  <c r="L118" i="3" a="1"/>
  <c r="L118" i="3" s="1"/>
  <c r="K118" i="3" a="1"/>
  <c r="K118" i="3" s="1"/>
  <c r="J118" i="3" a="1"/>
  <c r="J118" i="3" s="1"/>
  <c r="I118" i="3" a="1"/>
  <c r="I118" i="3" s="1"/>
  <c r="H118" i="3" a="1"/>
  <c r="H118" i="3" s="1"/>
  <c r="G118" i="3" a="1"/>
  <c r="G118" i="3" s="1"/>
  <c r="F118" i="3" a="1"/>
  <c r="F118" i="3" s="1"/>
  <c r="E118" i="3" a="1"/>
  <c r="E118" i="3" s="1"/>
  <c r="D118" i="3" a="1"/>
  <c r="D118" i="3" s="1"/>
  <c r="C118" i="3" a="1"/>
  <c r="C118" i="3" s="1"/>
  <c r="A118" i="3" s="1"/>
  <c r="L117" i="3" a="1"/>
  <c r="L117" i="3" s="1"/>
  <c r="K117" i="3" a="1"/>
  <c r="K117" i="3" s="1"/>
  <c r="J117" i="3" a="1"/>
  <c r="J117" i="3" s="1"/>
  <c r="I117" i="3" a="1"/>
  <c r="I117" i="3" s="1"/>
  <c r="H117" i="3" a="1"/>
  <c r="H117" i="3" s="1"/>
  <c r="G117" i="3" a="1"/>
  <c r="G117" i="3" s="1"/>
  <c r="F117" i="3" a="1"/>
  <c r="F117" i="3" s="1"/>
  <c r="E117" i="3" a="1"/>
  <c r="E117" i="3" s="1"/>
  <c r="D117" i="3" a="1"/>
  <c r="D117" i="3" s="1"/>
  <c r="C117" i="3" a="1"/>
  <c r="C117" i="3" s="1"/>
  <c r="A117" i="3" s="1"/>
  <c r="L116" i="3" a="1"/>
  <c r="L116" i="3" s="1"/>
  <c r="K116" i="3" a="1"/>
  <c r="K116" i="3" s="1"/>
  <c r="J116" i="3" a="1"/>
  <c r="J116" i="3" s="1"/>
  <c r="I116" i="3" a="1"/>
  <c r="I116" i="3" s="1"/>
  <c r="H116" i="3" a="1"/>
  <c r="H116" i="3" s="1"/>
  <c r="G116" i="3" a="1"/>
  <c r="G116" i="3" s="1"/>
  <c r="F116" i="3" a="1"/>
  <c r="F116" i="3" s="1"/>
  <c r="E116" i="3" a="1"/>
  <c r="E116" i="3" s="1"/>
  <c r="D116" i="3" a="1"/>
  <c r="D116" i="3" s="1"/>
  <c r="C116" i="3" a="1"/>
  <c r="C116" i="3" s="1"/>
  <c r="A116" i="3" s="1"/>
  <c r="L115" i="3" a="1"/>
  <c r="L115" i="3" s="1"/>
  <c r="K115" i="3" a="1"/>
  <c r="K115" i="3" s="1"/>
  <c r="J115" i="3" a="1"/>
  <c r="J115" i="3" s="1"/>
  <c r="I115" i="3" a="1"/>
  <c r="I115" i="3" s="1"/>
  <c r="H115" i="3" a="1"/>
  <c r="H115" i="3" s="1"/>
  <c r="G115" i="3" a="1"/>
  <c r="G115" i="3" s="1"/>
  <c r="F115" i="3" a="1"/>
  <c r="F115" i="3" s="1"/>
  <c r="E115" i="3" a="1"/>
  <c r="E115" i="3" s="1"/>
  <c r="D115" i="3" a="1"/>
  <c r="D115" i="3" s="1"/>
  <c r="C115" i="3" a="1"/>
  <c r="C115" i="3" s="1"/>
  <c r="A115" i="3" s="1"/>
  <c r="L114" i="3" a="1"/>
  <c r="L114" i="3" s="1"/>
  <c r="K114" i="3" a="1"/>
  <c r="K114" i="3" s="1"/>
  <c r="J114" i="3" a="1"/>
  <c r="J114" i="3" s="1"/>
  <c r="I114" i="3" a="1"/>
  <c r="I114" i="3" s="1"/>
  <c r="H114" i="3" a="1"/>
  <c r="H114" i="3" s="1"/>
  <c r="G114" i="3" a="1"/>
  <c r="G114" i="3" s="1"/>
  <c r="F114" i="3" a="1"/>
  <c r="F114" i="3" s="1"/>
  <c r="E114" i="3" a="1"/>
  <c r="E114" i="3" s="1"/>
  <c r="D114" i="3" a="1"/>
  <c r="D114" i="3" s="1"/>
  <c r="C114" i="3" a="1"/>
  <c r="C114" i="3" s="1"/>
  <c r="A114" i="3" s="1"/>
  <c r="L113" i="3" a="1"/>
  <c r="L113" i="3" s="1"/>
  <c r="K113" i="3" a="1"/>
  <c r="K113" i="3" s="1"/>
  <c r="J113" i="3" a="1"/>
  <c r="J113" i="3" s="1"/>
  <c r="I113" i="3" a="1"/>
  <c r="I113" i="3" s="1"/>
  <c r="H113" i="3" a="1"/>
  <c r="H113" i="3" s="1"/>
  <c r="G113" i="3" a="1"/>
  <c r="G113" i="3" s="1"/>
  <c r="F113" i="3" a="1"/>
  <c r="F113" i="3" s="1"/>
  <c r="E113" i="3" a="1"/>
  <c r="E113" i="3" s="1"/>
  <c r="D113" i="3" a="1"/>
  <c r="D113" i="3" s="1"/>
  <c r="C113" i="3" a="1"/>
  <c r="C113" i="3" s="1"/>
  <c r="A113" i="3" s="1"/>
  <c r="L112" i="3" a="1"/>
  <c r="L112" i="3" s="1"/>
  <c r="K112" i="3" a="1"/>
  <c r="K112" i="3" s="1"/>
  <c r="J112" i="3" a="1"/>
  <c r="J112" i="3" s="1"/>
  <c r="I112" i="3" a="1"/>
  <c r="I112" i="3" s="1"/>
  <c r="H112" i="3" a="1"/>
  <c r="H112" i="3" s="1"/>
  <c r="G112" i="3" a="1"/>
  <c r="G112" i="3" s="1"/>
  <c r="F112" i="3" a="1"/>
  <c r="F112" i="3" s="1"/>
  <c r="E112" i="3" a="1"/>
  <c r="E112" i="3" s="1"/>
  <c r="D112" i="3" a="1"/>
  <c r="D112" i="3" s="1"/>
  <c r="C112" i="3" a="1"/>
  <c r="C112" i="3" s="1"/>
  <c r="A112" i="3" s="1"/>
  <c r="L111" i="3" a="1"/>
  <c r="L111" i="3" s="1"/>
  <c r="K111" i="3" a="1"/>
  <c r="K111" i="3" s="1"/>
  <c r="J111" i="3" a="1"/>
  <c r="J111" i="3" s="1"/>
  <c r="I111" i="3" a="1"/>
  <c r="I111" i="3" s="1"/>
  <c r="H111" i="3" a="1"/>
  <c r="H111" i="3" s="1"/>
  <c r="G111" i="3" a="1"/>
  <c r="G111" i="3" s="1"/>
  <c r="F111" i="3" a="1"/>
  <c r="F111" i="3" s="1"/>
  <c r="E111" i="3" a="1"/>
  <c r="E111" i="3" s="1"/>
  <c r="D111" i="3" a="1"/>
  <c r="D111" i="3" s="1"/>
  <c r="C111" i="3" a="1"/>
  <c r="C111" i="3" s="1"/>
  <c r="A111" i="3" s="1"/>
  <c r="L110" i="3" a="1"/>
  <c r="L110" i="3" s="1"/>
  <c r="K110" i="3" a="1"/>
  <c r="K110" i="3" s="1"/>
  <c r="J110" i="3" a="1"/>
  <c r="J110" i="3" s="1"/>
  <c r="I110" i="3" a="1"/>
  <c r="I110" i="3" s="1"/>
  <c r="H110" i="3" a="1"/>
  <c r="H110" i="3" s="1"/>
  <c r="G110" i="3" a="1"/>
  <c r="G110" i="3" s="1"/>
  <c r="F110" i="3" a="1"/>
  <c r="F110" i="3" s="1"/>
  <c r="E110" i="3" a="1"/>
  <c r="E110" i="3" s="1"/>
  <c r="D110" i="3" a="1"/>
  <c r="D110" i="3" s="1"/>
  <c r="C110" i="3" a="1"/>
  <c r="C110" i="3" s="1"/>
  <c r="A110" i="3" s="1"/>
  <c r="L109" i="3" a="1"/>
  <c r="L109" i="3" s="1"/>
  <c r="K109" i="3" a="1"/>
  <c r="K109" i="3" s="1"/>
  <c r="J109" i="3" a="1"/>
  <c r="J109" i="3" s="1"/>
  <c r="I109" i="3" a="1"/>
  <c r="I109" i="3" s="1"/>
  <c r="H109" i="3" a="1"/>
  <c r="H109" i="3" s="1"/>
  <c r="G109" i="3" a="1"/>
  <c r="G109" i="3" s="1"/>
  <c r="F109" i="3" a="1"/>
  <c r="F109" i="3" s="1"/>
  <c r="E109" i="3" a="1"/>
  <c r="E109" i="3" s="1"/>
  <c r="D109" i="3" a="1"/>
  <c r="D109" i="3" s="1"/>
  <c r="C109" i="3" a="1"/>
  <c r="C109" i="3" s="1"/>
  <c r="A109" i="3" s="1"/>
  <c r="L108" i="3" a="1"/>
  <c r="L108" i="3" s="1"/>
  <c r="K108" i="3" a="1"/>
  <c r="K108" i="3" s="1"/>
  <c r="J108" i="3" a="1"/>
  <c r="J108" i="3" s="1"/>
  <c r="I108" i="3" a="1"/>
  <c r="I108" i="3" s="1"/>
  <c r="H108" i="3" a="1"/>
  <c r="H108" i="3" s="1"/>
  <c r="G108" i="3" a="1"/>
  <c r="G108" i="3" s="1"/>
  <c r="F108" i="3" a="1"/>
  <c r="F108" i="3" s="1"/>
  <c r="E108" i="3" a="1"/>
  <c r="E108" i="3" s="1"/>
  <c r="D108" i="3" a="1"/>
  <c r="D108" i="3" s="1"/>
  <c r="C108" i="3" a="1"/>
  <c r="C108" i="3" s="1"/>
  <c r="A108" i="3" s="1"/>
  <c r="L107" i="3" a="1"/>
  <c r="L107" i="3" s="1"/>
  <c r="K107" i="3" a="1"/>
  <c r="K107" i="3" s="1"/>
  <c r="J107" i="3" a="1"/>
  <c r="J107" i="3" s="1"/>
  <c r="I107" i="3" a="1"/>
  <c r="I107" i="3" s="1"/>
  <c r="H107" i="3" a="1"/>
  <c r="H107" i="3" s="1"/>
  <c r="G107" i="3" a="1"/>
  <c r="G107" i="3" s="1"/>
  <c r="F107" i="3" a="1"/>
  <c r="F107" i="3" s="1"/>
  <c r="E107" i="3" a="1"/>
  <c r="E107" i="3" s="1"/>
  <c r="D107" i="3" a="1"/>
  <c r="D107" i="3" s="1"/>
  <c r="C107" i="3" a="1"/>
  <c r="C107" i="3" s="1"/>
  <c r="A107" i="3" s="1"/>
  <c r="L106" i="3" a="1"/>
  <c r="L106" i="3" s="1"/>
  <c r="K106" i="3" a="1"/>
  <c r="K106" i="3" s="1"/>
  <c r="J106" i="3" a="1"/>
  <c r="J106" i="3" s="1"/>
  <c r="I106" i="3" a="1"/>
  <c r="I106" i="3" s="1"/>
  <c r="H106" i="3" a="1"/>
  <c r="H106" i="3" s="1"/>
  <c r="G106" i="3" a="1"/>
  <c r="G106" i="3" s="1"/>
  <c r="F106" i="3" a="1"/>
  <c r="F106" i="3" s="1"/>
  <c r="E106" i="3" a="1"/>
  <c r="E106" i="3" s="1"/>
  <c r="D106" i="3" a="1"/>
  <c r="D106" i="3" s="1"/>
  <c r="C106" i="3" a="1"/>
  <c r="C106" i="3" s="1"/>
  <c r="A106" i="3" s="1"/>
  <c r="L105" i="3" a="1"/>
  <c r="L105" i="3" s="1"/>
  <c r="K105" i="3" a="1"/>
  <c r="K105" i="3" s="1"/>
  <c r="J105" i="3" a="1"/>
  <c r="J105" i="3" s="1"/>
  <c r="I105" i="3" a="1"/>
  <c r="I105" i="3" s="1"/>
  <c r="H105" i="3" a="1"/>
  <c r="H105" i="3" s="1"/>
  <c r="G105" i="3" a="1"/>
  <c r="G105" i="3" s="1"/>
  <c r="F105" i="3" a="1"/>
  <c r="F105" i="3" s="1"/>
  <c r="E105" i="3" a="1"/>
  <c r="E105" i="3" s="1"/>
  <c r="D105" i="3" a="1"/>
  <c r="D105" i="3" s="1"/>
  <c r="C105" i="3" a="1"/>
  <c r="C105" i="3" s="1"/>
  <c r="A105" i="3" s="1"/>
  <c r="L104" i="3" a="1"/>
  <c r="L104" i="3" s="1"/>
  <c r="K104" i="3" a="1"/>
  <c r="K104" i="3" s="1"/>
  <c r="J104" i="3" a="1"/>
  <c r="J104" i="3" s="1"/>
  <c r="I104" i="3" a="1"/>
  <c r="I104" i="3" s="1"/>
  <c r="H104" i="3" a="1"/>
  <c r="H104" i="3" s="1"/>
  <c r="G104" i="3" a="1"/>
  <c r="G104" i="3" s="1"/>
  <c r="F104" i="3" a="1"/>
  <c r="F104" i="3" s="1"/>
  <c r="E104" i="3" a="1"/>
  <c r="E104" i="3" s="1"/>
  <c r="D104" i="3" a="1"/>
  <c r="D104" i="3" s="1"/>
  <c r="C104" i="3" a="1"/>
  <c r="C104" i="3" s="1"/>
  <c r="A104" i="3" s="1"/>
  <c r="L103" i="3" a="1"/>
  <c r="L103" i="3" s="1"/>
  <c r="K103" i="3" a="1"/>
  <c r="K103" i="3" s="1"/>
  <c r="J103" i="3" a="1"/>
  <c r="J103" i="3" s="1"/>
  <c r="I103" i="3" a="1"/>
  <c r="I103" i="3" s="1"/>
  <c r="H103" i="3" a="1"/>
  <c r="H103" i="3" s="1"/>
  <c r="G103" i="3" a="1"/>
  <c r="G103" i="3" s="1"/>
  <c r="F103" i="3" a="1"/>
  <c r="F103" i="3" s="1"/>
  <c r="E103" i="3" a="1"/>
  <c r="E103" i="3" s="1"/>
  <c r="D103" i="3" a="1"/>
  <c r="D103" i="3" s="1"/>
  <c r="C103" i="3" a="1"/>
  <c r="C103" i="3" s="1"/>
  <c r="A103" i="3" s="1"/>
  <c r="L102" i="3" a="1"/>
  <c r="L102" i="3" s="1"/>
  <c r="K102" i="3" a="1"/>
  <c r="K102" i="3" s="1"/>
  <c r="J102" i="3" a="1"/>
  <c r="J102" i="3" s="1"/>
  <c r="I102" i="3" a="1"/>
  <c r="I102" i="3" s="1"/>
  <c r="H102" i="3" a="1"/>
  <c r="H102" i="3" s="1"/>
  <c r="G102" i="3" a="1"/>
  <c r="G102" i="3" s="1"/>
  <c r="F102" i="3" a="1"/>
  <c r="F102" i="3" s="1"/>
  <c r="E102" i="3" a="1"/>
  <c r="E102" i="3" s="1"/>
  <c r="D102" i="3" a="1"/>
  <c r="D102" i="3" s="1"/>
  <c r="C102" i="3" a="1"/>
  <c r="C102" i="3" s="1"/>
  <c r="A102" i="3" s="1"/>
  <c r="L101" i="3" a="1"/>
  <c r="L101" i="3" s="1"/>
  <c r="K101" i="3" a="1"/>
  <c r="K101" i="3" s="1"/>
  <c r="J101" i="3" a="1"/>
  <c r="J101" i="3" s="1"/>
  <c r="I101" i="3" a="1"/>
  <c r="I101" i="3" s="1"/>
  <c r="H101" i="3" a="1"/>
  <c r="H101" i="3" s="1"/>
  <c r="G101" i="3" a="1"/>
  <c r="G101" i="3" s="1"/>
  <c r="F101" i="3" a="1"/>
  <c r="F101" i="3" s="1"/>
  <c r="E101" i="3" a="1"/>
  <c r="E101" i="3" s="1"/>
  <c r="D101" i="3" a="1"/>
  <c r="D101" i="3" s="1"/>
  <c r="C101" i="3" a="1"/>
  <c r="C101" i="3" s="1"/>
  <c r="A101" i="3" s="1"/>
  <c r="L100" i="3" a="1"/>
  <c r="L100" i="3" s="1"/>
  <c r="K100" i="3" a="1"/>
  <c r="K100" i="3" s="1"/>
  <c r="J100" i="3" a="1"/>
  <c r="J100" i="3" s="1"/>
  <c r="I100" i="3" a="1"/>
  <c r="I100" i="3" s="1"/>
  <c r="H100" i="3" a="1"/>
  <c r="H100" i="3" s="1"/>
  <c r="G100" i="3" a="1"/>
  <c r="G100" i="3" s="1"/>
  <c r="F100" i="3" a="1"/>
  <c r="F100" i="3" s="1"/>
  <c r="E100" i="3" a="1"/>
  <c r="E100" i="3" s="1"/>
  <c r="D100" i="3" a="1"/>
  <c r="D100" i="3" s="1"/>
  <c r="C100" i="3" a="1"/>
  <c r="C100" i="3" s="1"/>
  <c r="A100" i="3" s="1"/>
  <c r="L99" i="3" a="1"/>
  <c r="L99" i="3" s="1"/>
  <c r="K99" i="3" a="1"/>
  <c r="K99" i="3" s="1"/>
  <c r="J99" i="3" a="1"/>
  <c r="J99" i="3" s="1"/>
  <c r="I99" i="3" a="1"/>
  <c r="I99" i="3" s="1"/>
  <c r="H99" i="3" a="1"/>
  <c r="H99" i="3" s="1"/>
  <c r="G99" i="3" a="1"/>
  <c r="G99" i="3" s="1"/>
  <c r="F99" i="3" a="1"/>
  <c r="F99" i="3" s="1"/>
  <c r="E99" i="3" a="1"/>
  <c r="E99" i="3" s="1"/>
  <c r="D99" i="3" a="1"/>
  <c r="D99" i="3" s="1"/>
  <c r="C99" i="3" a="1"/>
  <c r="C99" i="3" s="1"/>
  <c r="A99" i="3" s="1"/>
  <c r="L98" i="3" a="1"/>
  <c r="L98" i="3" s="1"/>
  <c r="K98" i="3" a="1"/>
  <c r="K98" i="3" s="1"/>
  <c r="J98" i="3" a="1"/>
  <c r="J98" i="3" s="1"/>
  <c r="I98" i="3" a="1"/>
  <c r="I98" i="3" s="1"/>
  <c r="H98" i="3" a="1"/>
  <c r="H98" i="3" s="1"/>
  <c r="G98" i="3" a="1"/>
  <c r="G98" i="3" s="1"/>
  <c r="F98" i="3" a="1"/>
  <c r="F98" i="3" s="1"/>
  <c r="E98" i="3" a="1"/>
  <c r="E98" i="3" s="1"/>
  <c r="D98" i="3" a="1"/>
  <c r="D98" i="3" s="1"/>
  <c r="C98" i="3" a="1"/>
  <c r="C98" i="3" s="1"/>
  <c r="A98" i="3" s="1"/>
  <c r="L97" i="3" a="1"/>
  <c r="L97" i="3" s="1"/>
  <c r="K97" i="3" a="1"/>
  <c r="K97" i="3" s="1"/>
  <c r="J97" i="3" a="1"/>
  <c r="J97" i="3" s="1"/>
  <c r="I97" i="3" a="1"/>
  <c r="I97" i="3" s="1"/>
  <c r="H97" i="3" a="1"/>
  <c r="H97" i="3" s="1"/>
  <c r="G97" i="3" a="1"/>
  <c r="G97" i="3" s="1"/>
  <c r="F97" i="3" a="1"/>
  <c r="F97" i="3" s="1"/>
  <c r="E97" i="3" a="1"/>
  <c r="E97" i="3" s="1"/>
  <c r="D97" i="3" a="1"/>
  <c r="D97" i="3" s="1"/>
  <c r="C97" i="3" a="1"/>
  <c r="C97" i="3" s="1"/>
  <c r="A97" i="3" s="1"/>
  <c r="L96" i="3" a="1"/>
  <c r="L96" i="3" s="1"/>
  <c r="K96" i="3" a="1"/>
  <c r="K96" i="3" s="1"/>
  <c r="J96" i="3" a="1"/>
  <c r="J96" i="3" s="1"/>
  <c r="I96" i="3" a="1"/>
  <c r="I96" i="3" s="1"/>
  <c r="H96" i="3" a="1"/>
  <c r="H96" i="3" s="1"/>
  <c r="G96" i="3" a="1"/>
  <c r="G96" i="3" s="1"/>
  <c r="F96" i="3" a="1"/>
  <c r="F96" i="3" s="1"/>
  <c r="E96" i="3" a="1"/>
  <c r="E96" i="3" s="1"/>
  <c r="D96" i="3" a="1"/>
  <c r="D96" i="3" s="1"/>
  <c r="C96" i="3" a="1"/>
  <c r="C96" i="3" s="1"/>
  <c r="A96" i="3" s="1"/>
  <c r="L95" i="3" a="1"/>
  <c r="L95" i="3" s="1"/>
  <c r="K95" i="3" a="1"/>
  <c r="K95" i="3" s="1"/>
  <c r="J95" i="3" a="1"/>
  <c r="J95" i="3" s="1"/>
  <c r="I95" i="3" a="1"/>
  <c r="I95" i="3" s="1"/>
  <c r="H95" i="3" a="1"/>
  <c r="H95" i="3" s="1"/>
  <c r="G95" i="3" a="1"/>
  <c r="G95" i="3" s="1"/>
  <c r="F95" i="3" a="1"/>
  <c r="F95" i="3" s="1"/>
  <c r="E95" i="3" a="1"/>
  <c r="E95" i="3" s="1"/>
  <c r="D95" i="3" a="1"/>
  <c r="D95" i="3" s="1"/>
  <c r="C95" i="3" a="1"/>
  <c r="C95" i="3" s="1"/>
  <c r="A95" i="3" s="1"/>
  <c r="L94" i="3" a="1"/>
  <c r="L94" i="3" s="1"/>
  <c r="K94" i="3" a="1"/>
  <c r="K94" i="3" s="1"/>
  <c r="J94" i="3" a="1"/>
  <c r="J94" i="3" s="1"/>
  <c r="I94" i="3" a="1"/>
  <c r="I94" i="3" s="1"/>
  <c r="H94" i="3" a="1"/>
  <c r="H94" i="3" s="1"/>
  <c r="G94" i="3" a="1"/>
  <c r="G94" i="3" s="1"/>
  <c r="F94" i="3" a="1"/>
  <c r="F94" i="3" s="1"/>
  <c r="E94" i="3" a="1"/>
  <c r="E94" i="3" s="1"/>
  <c r="D94" i="3" a="1"/>
  <c r="D94" i="3" s="1"/>
  <c r="C94" i="3" a="1"/>
  <c r="C94" i="3" s="1"/>
  <c r="A94" i="3" s="1"/>
  <c r="L93" i="3" a="1"/>
  <c r="L93" i="3" s="1"/>
  <c r="K93" i="3" a="1"/>
  <c r="K93" i="3" s="1"/>
  <c r="J93" i="3" a="1"/>
  <c r="J93" i="3" s="1"/>
  <c r="I93" i="3" a="1"/>
  <c r="I93" i="3" s="1"/>
  <c r="H93" i="3" a="1"/>
  <c r="H93" i="3" s="1"/>
  <c r="G93" i="3" a="1"/>
  <c r="G93" i="3" s="1"/>
  <c r="F93" i="3" a="1"/>
  <c r="F93" i="3" s="1"/>
  <c r="E93" i="3" a="1"/>
  <c r="E93" i="3" s="1"/>
  <c r="D93" i="3" a="1"/>
  <c r="D93" i="3" s="1"/>
  <c r="C93" i="3" a="1"/>
  <c r="C93" i="3" s="1"/>
  <c r="A93" i="3" s="1"/>
  <c r="L92" i="3" a="1"/>
  <c r="L92" i="3" s="1"/>
  <c r="K92" i="3" a="1"/>
  <c r="K92" i="3" s="1"/>
  <c r="J92" i="3" a="1"/>
  <c r="J92" i="3" s="1"/>
  <c r="I92" i="3" a="1"/>
  <c r="I92" i="3" s="1"/>
  <c r="H92" i="3" a="1"/>
  <c r="H92" i="3" s="1"/>
  <c r="G92" i="3" a="1"/>
  <c r="G92" i="3" s="1"/>
  <c r="F92" i="3" a="1"/>
  <c r="F92" i="3" s="1"/>
  <c r="E92" i="3" a="1"/>
  <c r="E92" i="3" s="1"/>
  <c r="D92" i="3" a="1"/>
  <c r="D92" i="3" s="1"/>
  <c r="C92" i="3" a="1"/>
  <c r="C92" i="3" s="1"/>
  <c r="A92" i="3" s="1"/>
  <c r="L91" i="3" a="1"/>
  <c r="L91" i="3" s="1"/>
  <c r="K91" i="3" a="1"/>
  <c r="K91" i="3" s="1"/>
  <c r="J91" i="3" a="1"/>
  <c r="J91" i="3" s="1"/>
  <c r="I91" i="3" a="1"/>
  <c r="I91" i="3" s="1"/>
  <c r="H91" i="3" a="1"/>
  <c r="H91" i="3" s="1"/>
  <c r="G91" i="3" a="1"/>
  <c r="G91" i="3" s="1"/>
  <c r="F91" i="3" a="1"/>
  <c r="F91" i="3" s="1"/>
  <c r="E91" i="3" a="1"/>
  <c r="E91" i="3" s="1"/>
  <c r="D91" i="3" a="1"/>
  <c r="D91" i="3" s="1"/>
  <c r="C91" i="3" a="1"/>
  <c r="C91" i="3" s="1"/>
  <c r="A91" i="3" s="1"/>
  <c r="L90" i="3" a="1"/>
  <c r="L90" i="3" s="1"/>
  <c r="K90" i="3" a="1"/>
  <c r="K90" i="3" s="1"/>
  <c r="J90" i="3" a="1"/>
  <c r="J90" i="3" s="1"/>
  <c r="I90" i="3" a="1"/>
  <c r="I90" i="3" s="1"/>
  <c r="H90" i="3" a="1"/>
  <c r="H90" i="3" s="1"/>
  <c r="G90" i="3" a="1"/>
  <c r="G90" i="3" s="1"/>
  <c r="F90" i="3" a="1"/>
  <c r="F90" i="3" s="1"/>
  <c r="E90" i="3" a="1"/>
  <c r="E90" i="3" s="1"/>
  <c r="D90" i="3" a="1"/>
  <c r="D90" i="3" s="1"/>
  <c r="C90" i="3" a="1"/>
  <c r="C90" i="3" s="1"/>
  <c r="A90" i="3" s="1"/>
  <c r="L89" i="3" a="1"/>
  <c r="L89" i="3" s="1"/>
  <c r="K89" i="3" a="1"/>
  <c r="K89" i="3" s="1"/>
  <c r="J89" i="3" a="1"/>
  <c r="J89" i="3" s="1"/>
  <c r="I89" i="3" a="1"/>
  <c r="I89" i="3" s="1"/>
  <c r="H89" i="3" a="1"/>
  <c r="H89" i="3" s="1"/>
  <c r="G89" i="3" a="1"/>
  <c r="G89" i="3" s="1"/>
  <c r="F89" i="3" a="1"/>
  <c r="F89" i="3" s="1"/>
  <c r="E89" i="3" a="1"/>
  <c r="E89" i="3" s="1"/>
  <c r="D89" i="3" a="1"/>
  <c r="D89" i="3" s="1"/>
  <c r="C89" i="3" a="1"/>
  <c r="C89" i="3" s="1"/>
  <c r="A89" i="3" s="1"/>
  <c r="L88" i="3" a="1"/>
  <c r="L88" i="3" s="1"/>
  <c r="K88" i="3" a="1"/>
  <c r="K88" i="3" s="1"/>
  <c r="J88" i="3" a="1"/>
  <c r="J88" i="3" s="1"/>
  <c r="I88" i="3" a="1"/>
  <c r="I88" i="3" s="1"/>
  <c r="H88" i="3" a="1"/>
  <c r="H88" i="3" s="1"/>
  <c r="G88" i="3" a="1"/>
  <c r="G88" i="3" s="1"/>
  <c r="F88" i="3" a="1"/>
  <c r="F88" i="3" s="1"/>
  <c r="E88" i="3" a="1"/>
  <c r="E88" i="3" s="1"/>
  <c r="D88" i="3" a="1"/>
  <c r="D88" i="3" s="1"/>
  <c r="C88" i="3" a="1"/>
  <c r="C88" i="3" s="1"/>
  <c r="A88" i="3" s="1"/>
  <c r="L87" i="3" a="1"/>
  <c r="L87" i="3" s="1"/>
  <c r="K87" i="3" a="1"/>
  <c r="K87" i="3" s="1"/>
  <c r="J87" i="3" a="1"/>
  <c r="J87" i="3" s="1"/>
  <c r="I87" i="3" a="1"/>
  <c r="I87" i="3" s="1"/>
  <c r="H87" i="3" a="1"/>
  <c r="H87" i="3" s="1"/>
  <c r="G87" i="3" a="1"/>
  <c r="G87" i="3" s="1"/>
  <c r="F87" i="3" a="1"/>
  <c r="F87" i="3" s="1"/>
  <c r="E87" i="3" a="1"/>
  <c r="E87" i="3" s="1"/>
  <c r="D87" i="3" a="1"/>
  <c r="D87" i="3" s="1"/>
  <c r="C87" i="3" a="1"/>
  <c r="C87" i="3" s="1"/>
  <c r="A87" i="3" s="1"/>
  <c r="L86" i="3" a="1"/>
  <c r="L86" i="3" s="1"/>
  <c r="K86" i="3" a="1"/>
  <c r="K86" i="3" s="1"/>
  <c r="J86" i="3" a="1"/>
  <c r="J86" i="3" s="1"/>
  <c r="I86" i="3" a="1"/>
  <c r="I86" i="3" s="1"/>
  <c r="H86" i="3" a="1"/>
  <c r="H86" i="3" s="1"/>
  <c r="G86" i="3" a="1"/>
  <c r="G86" i="3" s="1"/>
  <c r="F86" i="3" a="1"/>
  <c r="F86" i="3" s="1"/>
  <c r="E86" i="3" a="1"/>
  <c r="E86" i="3" s="1"/>
  <c r="D86" i="3" a="1"/>
  <c r="D86" i="3" s="1"/>
  <c r="C86" i="3" a="1"/>
  <c r="C86" i="3" s="1"/>
  <c r="A86" i="3" s="1"/>
  <c r="L85" i="3" a="1"/>
  <c r="L85" i="3" s="1"/>
  <c r="K85" i="3" a="1"/>
  <c r="K85" i="3" s="1"/>
  <c r="J85" i="3" a="1"/>
  <c r="J85" i="3" s="1"/>
  <c r="I85" i="3" a="1"/>
  <c r="I85" i="3" s="1"/>
  <c r="H85" i="3" a="1"/>
  <c r="H85" i="3" s="1"/>
  <c r="G85" i="3" a="1"/>
  <c r="G85" i="3" s="1"/>
  <c r="F85" i="3" a="1"/>
  <c r="F85" i="3" s="1"/>
  <c r="E85" i="3" a="1"/>
  <c r="E85" i="3" s="1"/>
  <c r="D85" i="3" a="1"/>
  <c r="D85" i="3" s="1"/>
  <c r="C85" i="3" a="1"/>
  <c r="C85" i="3" s="1"/>
  <c r="A85" i="3" s="1"/>
  <c r="L84" i="3" a="1"/>
  <c r="L84" i="3" s="1"/>
  <c r="K84" i="3" a="1"/>
  <c r="K84" i="3" s="1"/>
  <c r="J84" i="3" a="1"/>
  <c r="J84" i="3" s="1"/>
  <c r="I84" i="3" a="1"/>
  <c r="I84" i="3" s="1"/>
  <c r="H84" i="3" a="1"/>
  <c r="H84" i="3" s="1"/>
  <c r="G84" i="3" a="1"/>
  <c r="G84" i="3" s="1"/>
  <c r="F84" i="3" a="1"/>
  <c r="F84" i="3" s="1"/>
  <c r="E84" i="3" a="1"/>
  <c r="E84" i="3" s="1"/>
  <c r="D84" i="3" a="1"/>
  <c r="D84" i="3" s="1"/>
  <c r="C84" i="3" a="1"/>
  <c r="C84" i="3" s="1"/>
  <c r="A84" i="3" s="1"/>
  <c r="L83" i="3" a="1"/>
  <c r="L83" i="3" s="1"/>
  <c r="K83" i="3" a="1"/>
  <c r="K83" i="3" s="1"/>
  <c r="J83" i="3" a="1"/>
  <c r="J83" i="3" s="1"/>
  <c r="I83" i="3" a="1"/>
  <c r="I83" i="3" s="1"/>
  <c r="H83" i="3" a="1"/>
  <c r="H83" i="3" s="1"/>
  <c r="G83" i="3" a="1"/>
  <c r="G83" i="3" s="1"/>
  <c r="F83" i="3" a="1"/>
  <c r="F83" i="3" s="1"/>
  <c r="E83" i="3" a="1"/>
  <c r="E83" i="3" s="1"/>
  <c r="D83" i="3" a="1"/>
  <c r="D83" i="3" s="1"/>
  <c r="C83" i="3" a="1"/>
  <c r="C83" i="3" s="1"/>
  <c r="A83" i="3" s="1"/>
  <c r="L82" i="3" a="1"/>
  <c r="L82" i="3" s="1"/>
  <c r="K82" i="3" a="1"/>
  <c r="K82" i="3" s="1"/>
  <c r="J82" i="3" a="1"/>
  <c r="J82" i="3" s="1"/>
  <c r="I82" i="3" a="1"/>
  <c r="I82" i="3" s="1"/>
  <c r="H82" i="3" a="1"/>
  <c r="H82" i="3" s="1"/>
  <c r="G82" i="3" a="1"/>
  <c r="G82" i="3" s="1"/>
  <c r="F82" i="3" a="1"/>
  <c r="F82" i="3" s="1"/>
  <c r="E82" i="3" a="1"/>
  <c r="E82" i="3" s="1"/>
  <c r="D82" i="3" a="1"/>
  <c r="D82" i="3" s="1"/>
  <c r="C82" i="3" a="1"/>
  <c r="C82" i="3" s="1"/>
  <c r="A82" i="3" s="1"/>
  <c r="L81" i="3" a="1"/>
  <c r="L81" i="3" s="1"/>
  <c r="K81" i="3" a="1"/>
  <c r="K81" i="3" s="1"/>
  <c r="J81" i="3" a="1"/>
  <c r="J81" i="3" s="1"/>
  <c r="I81" i="3" a="1"/>
  <c r="I81" i="3" s="1"/>
  <c r="H81" i="3" a="1"/>
  <c r="H81" i="3" s="1"/>
  <c r="G81" i="3" a="1"/>
  <c r="G81" i="3" s="1"/>
  <c r="F81" i="3" a="1"/>
  <c r="F81" i="3" s="1"/>
  <c r="E81" i="3" a="1"/>
  <c r="E81" i="3" s="1"/>
  <c r="D81" i="3" a="1"/>
  <c r="D81" i="3" s="1"/>
  <c r="C81" i="3" a="1"/>
  <c r="C81" i="3" s="1"/>
  <c r="A81" i="3" s="1"/>
  <c r="L80" i="3" a="1"/>
  <c r="L80" i="3" s="1"/>
  <c r="K80" i="3" a="1"/>
  <c r="K80" i="3" s="1"/>
  <c r="J80" i="3" a="1"/>
  <c r="J80" i="3" s="1"/>
  <c r="I80" i="3" a="1"/>
  <c r="I80" i="3" s="1"/>
  <c r="H80" i="3" a="1"/>
  <c r="H80" i="3" s="1"/>
  <c r="G80" i="3" a="1"/>
  <c r="G80" i="3" s="1"/>
  <c r="F80" i="3" a="1"/>
  <c r="F80" i="3" s="1"/>
  <c r="E80" i="3" a="1"/>
  <c r="E80" i="3" s="1"/>
  <c r="D80" i="3" a="1"/>
  <c r="D80" i="3" s="1"/>
  <c r="C80" i="3" a="1"/>
  <c r="C80" i="3" s="1"/>
  <c r="A80" i="3" s="1"/>
  <c r="L79" i="3" a="1"/>
  <c r="L79" i="3" s="1"/>
  <c r="K79" i="3" a="1"/>
  <c r="K79" i="3" s="1"/>
  <c r="J79" i="3" a="1"/>
  <c r="J79" i="3" s="1"/>
  <c r="I79" i="3" a="1"/>
  <c r="I79" i="3" s="1"/>
  <c r="H79" i="3" a="1"/>
  <c r="H79" i="3" s="1"/>
  <c r="G79" i="3" a="1"/>
  <c r="G79" i="3" s="1"/>
  <c r="F79" i="3" a="1"/>
  <c r="F79" i="3" s="1"/>
  <c r="E79" i="3" a="1"/>
  <c r="E79" i="3" s="1"/>
  <c r="D79" i="3" a="1"/>
  <c r="D79" i="3" s="1"/>
  <c r="C79" i="3" a="1"/>
  <c r="C79" i="3" s="1"/>
  <c r="A79" i="3" s="1"/>
  <c r="L78" i="3" a="1"/>
  <c r="L78" i="3" s="1"/>
  <c r="K78" i="3" a="1"/>
  <c r="K78" i="3" s="1"/>
  <c r="J78" i="3" a="1"/>
  <c r="J78" i="3" s="1"/>
  <c r="I78" i="3" a="1"/>
  <c r="I78" i="3" s="1"/>
  <c r="H78" i="3" a="1"/>
  <c r="H78" i="3" s="1"/>
  <c r="G78" i="3" a="1"/>
  <c r="G78" i="3" s="1"/>
  <c r="F78" i="3" a="1"/>
  <c r="F78" i="3" s="1"/>
  <c r="E78" i="3" a="1"/>
  <c r="E78" i="3" s="1"/>
  <c r="D78" i="3" a="1"/>
  <c r="D78" i="3" s="1"/>
  <c r="C78" i="3" a="1"/>
  <c r="C78" i="3" s="1"/>
  <c r="A78" i="3" s="1"/>
  <c r="L77" i="3" a="1"/>
  <c r="L77" i="3" s="1"/>
  <c r="K77" i="3" a="1"/>
  <c r="K77" i="3" s="1"/>
  <c r="J77" i="3" a="1"/>
  <c r="J77" i="3" s="1"/>
  <c r="I77" i="3" a="1"/>
  <c r="I77" i="3" s="1"/>
  <c r="H77" i="3" a="1"/>
  <c r="H77" i="3" s="1"/>
  <c r="G77" i="3" a="1"/>
  <c r="G77" i="3" s="1"/>
  <c r="F77" i="3" a="1"/>
  <c r="F77" i="3" s="1"/>
  <c r="E77" i="3" a="1"/>
  <c r="E77" i="3" s="1"/>
  <c r="D77" i="3" a="1"/>
  <c r="D77" i="3" s="1"/>
  <c r="C77" i="3" a="1"/>
  <c r="C77" i="3" s="1"/>
  <c r="A77" i="3" s="1"/>
  <c r="L76" i="3" a="1"/>
  <c r="L76" i="3" s="1"/>
  <c r="K76" i="3" a="1"/>
  <c r="K76" i="3" s="1"/>
  <c r="J76" i="3" a="1"/>
  <c r="J76" i="3" s="1"/>
  <c r="I76" i="3" a="1"/>
  <c r="I76" i="3" s="1"/>
  <c r="H76" i="3" a="1"/>
  <c r="H76" i="3" s="1"/>
  <c r="G76" i="3" a="1"/>
  <c r="G76" i="3" s="1"/>
  <c r="F76" i="3" a="1"/>
  <c r="F76" i="3" s="1"/>
  <c r="E76" i="3" a="1"/>
  <c r="E76" i="3" s="1"/>
  <c r="D76" i="3" a="1"/>
  <c r="D76" i="3" s="1"/>
  <c r="C76" i="3" a="1"/>
  <c r="C76" i="3" s="1"/>
  <c r="A76" i="3" s="1"/>
  <c r="L75" i="3" a="1"/>
  <c r="L75" i="3" s="1"/>
  <c r="K75" i="3" a="1"/>
  <c r="K75" i="3" s="1"/>
  <c r="J75" i="3" a="1"/>
  <c r="J75" i="3" s="1"/>
  <c r="I75" i="3" a="1"/>
  <c r="I75" i="3" s="1"/>
  <c r="H75" i="3" a="1"/>
  <c r="H75" i="3" s="1"/>
  <c r="G75" i="3" a="1"/>
  <c r="G75" i="3" s="1"/>
  <c r="F75" i="3" a="1"/>
  <c r="F75" i="3" s="1"/>
  <c r="E75" i="3" a="1"/>
  <c r="E75" i="3" s="1"/>
  <c r="D75" i="3" a="1"/>
  <c r="D75" i="3" s="1"/>
  <c r="C75" i="3" a="1"/>
  <c r="C75" i="3" s="1"/>
  <c r="A75" i="3" s="1"/>
  <c r="L74" i="3" a="1"/>
  <c r="L74" i="3" s="1"/>
  <c r="K74" i="3" a="1"/>
  <c r="K74" i="3" s="1"/>
  <c r="J74" i="3" a="1"/>
  <c r="J74" i="3" s="1"/>
  <c r="I74" i="3" a="1"/>
  <c r="I74" i="3" s="1"/>
  <c r="H74" i="3" a="1"/>
  <c r="H74" i="3" s="1"/>
  <c r="G74" i="3" a="1"/>
  <c r="G74" i="3" s="1"/>
  <c r="F74" i="3" a="1"/>
  <c r="F74" i="3" s="1"/>
  <c r="E74" i="3" a="1"/>
  <c r="E74" i="3" s="1"/>
  <c r="D74" i="3" a="1"/>
  <c r="D74" i="3" s="1"/>
  <c r="C74" i="3" a="1"/>
  <c r="C74" i="3" s="1"/>
  <c r="A74" i="3" s="1"/>
  <c r="L73" i="3" a="1"/>
  <c r="L73" i="3" s="1"/>
  <c r="K73" i="3" a="1"/>
  <c r="K73" i="3" s="1"/>
  <c r="J73" i="3" a="1"/>
  <c r="J73" i="3" s="1"/>
  <c r="I73" i="3" a="1"/>
  <c r="I73" i="3" s="1"/>
  <c r="H73" i="3" a="1"/>
  <c r="H73" i="3" s="1"/>
  <c r="G73" i="3" a="1"/>
  <c r="G73" i="3" s="1"/>
  <c r="F73" i="3" a="1"/>
  <c r="F73" i="3" s="1"/>
  <c r="E73" i="3" a="1"/>
  <c r="E73" i="3" s="1"/>
  <c r="D73" i="3" a="1"/>
  <c r="D73" i="3" s="1"/>
  <c r="C73" i="3" a="1"/>
  <c r="C73" i="3" s="1"/>
  <c r="A73" i="3" s="1"/>
  <c r="L72" i="3" a="1"/>
  <c r="L72" i="3" s="1"/>
  <c r="K72" i="3" a="1"/>
  <c r="K72" i="3" s="1"/>
  <c r="J72" i="3" a="1"/>
  <c r="J72" i="3" s="1"/>
  <c r="I72" i="3" a="1"/>
  <c r="I72" i="3" s="1"/>
  <c r="H72" i="3" a="1"/>
  <c r="H72" i="3" s="1"/>
  <c r="G72" i="3" a="1"/>
  <c r="G72" i="3" s="1"/>
  <c r="F72" i="3" a="1"/>
  <c r="F72" i="3" s="1"/>
  <c r="E72" i="3" a="1"/>
  <c r="E72" i="3" s="1"/>
  <c r="D72" i="3" a="1"/>
  <c r="D72" i="3" s="1"/>
  <c r="C72" i="3" a="1"/>
  <c r="C72" i="3" s="1"/>
  <c r="A72" i="3" s="1"/>
  <c r="L71" i="3" a="1"/>
  <c r="L71" i="3" s="1"/>
  <c r="K71" i="3" a="1"/>
  <c r="K71" i="3" s="1"/>
  <c r="J71" i="3" a="1"/>
  <c r="J71" i="3" s="1"/>
  <c r="I71" i="3" a="1"/>
  <c r="I71" i="3" s="1"/>
  <c r="H71" i="3" a="1"/>
  <c r="H71" i="3" s="1"/>
  <c r="G71" i="3" a="1"/>
  <c r="G71" i="3" s="1"/>
  <c r="F71" i="3" a="1"/>
  <c r="F71" i="3" s="1"/>
  <c r="E71" i="3" a="1"/>
  <c r="E71" i="3" s="1"/>
  <c r="D71" i="3" a="1"/>
  <c r="D71" i="3" s="1"/>
  <c r="C71" i="3" a="1"/>
  <c r="C71" i="3" s="1"/>
  <c r="A71" i="3" s="1"/>
  <c r="L70" i="3" a="1"/>
  <c r="L70" i="3" s="1"/>
  <c r="K70" i="3" a="1"/>
  <c r="K70" i="3" s="1"/>
  <c r="J70" i="3" a="1"/>
  <c r="J70" i="3" s="1"/>
  <c r="I70" i="3" a="1"/>
  <c r="I70" i="3" s="1"/>
  <c r="H70" i="3" a="1"/>
  <c r="H70" i="3" s="1"/>
  <c r="G70" i="3" a="1"/>
  <c r="G70" i="3" s="1"/>
  <c r="F70" i="3" a="1"/>
  <c r="F70" i="3" s="1"/>
  <c r="E70" i="3" a="1"/>
  <c r="E70" i="3" s="1"/>
  <c r="D70" i="3" a="1"/>
  <c r="D70" i="3" s="1"/>
  <c r="C70" i="3" a="1"/>
  <c r="C70" i="3" s="1"/>
  <c r="A70" i="3" s="1"/>
  <c r="L69" i="3" a="1"/>
  <c r="L69" i="3" s="1"/>
  <c r="K69" i="3" a="1"/>
  <c r="K69" i="3" s="1"/>
  <c r="J69" i="3" a="1"/>
  <c r="J69" i="3" s="1"/>
  <c r="I69" i="3" a="1"/>
  <c r="I69" i="3" s="1"/>
  <c r="H69" i="3" a="1"/>
  <c r="H69" i="3" s="1"/>
  <c r="G69" i="3" a="1"/>
  <c r="G69" i="3" s="1"/>
  <c r="F69" i="3" a="1"/>
  <c r="F69" i="3" s="1"/>
  <c r="E69" i="3" a="1"/>
  <c r="E69" i="3" s="1"/>
  <c r="D69" i="3" a="1"/>
  <c r="D69" i="3" s="1"/>
  <c r="C69" i="3" a="1"/>
  <c r="C69" i="3" s="1"/>
  <c r="A69" i="3" s="1"/>
  <c r="L68" i="3" a="1"/>
  <c r="L68" i="3" s="1"/>
  <c r="K68" i="3" a="1"/>
  <c r="K68" i="3" s="1"/>
  <c r="J68" i="3" a="1"/>
  <c r="J68" i="3" s="1"/>
  <c r="I68" i="3" a="1"/>
  <c r="I68" i="3" s="1"/>
  <c r="H68" i="3" a="1"/>
  <c r="H68" i="3" s="1"/>
  <c r="G68" i="3" a="1"/>
  <c r="G68" i="3" s="1"/>
  <c r="F68" i="3" a="1"/>
  <c r="F68" i="3" s="1"/>
  <c r="E68" i="3" a="1"/>
  <c r="E68" i="3" s="1"/>
  <c r="D68" i="3" a="1"/>
  <c r="D68" i="3" s="1"/>
  <c r="C68" i="3" a="1"/>
  <c r="C68" i="3" s="1"/>
  <c r="A68" i="3" s="1"/>
  <c r="L67" i="3" a="1"/>
  <c r="L67" i="3" s="1"/>
  <c r="K67" i="3" a="1"/>
  <c r="K67" i="3" s="1"/>
  <c r="J67" i="3" a="1"/>
  <c r="J67" i="3" s="1"/>
  <c r="I67" i="3" a="1"/>
  <c r="I67" i="3" s="1"/>
  <c r="H67" i="3" a="1"/>
  <c r="H67" i="3" s="1"/>
  <c r="G67" i="3" a="1"/>
  <c r="G67" i="3" s="1"/>
  <c r="F67" i="3" a="1"/>
  <c r="F67" i="3" s="1"/>
  <c r="E67" i="3" a="1"/>
  <c r="E67" i="3" s="1"/>
  <c r="D67" i="3" a="1"/>
  <c r="D67" i="3" s="1"/>
  <c r="C67" i="3" a="1"/>
  <c r="C67" i="3" s="1"/>
  <c r="A67" i="3" s="1"/>
  <c r="L66" i="3" a="1"/>
  <c r="L66" i="3" s="1"/>
  <c r="K66" i="3" a="1"/>
  <c r="K66" i="3" s="1"/>
  <c r="J66" i="3" a="1"/>
  <c r="J66" i="3" s="1"/>
  <c r="I66" i="3" a="1"/>
  <c r="I66" i="3" s="1"/>
  <c r="H66" i="3" a="1"/>
  <c r="H66" i="3" s="1"/>
  <c r="G66" i="3" a="1"/>
  <c r="G66" i="3" s="1"/>
  <c r="F66" i="3" a="1"/>
  <c r="F66" i="3" s="1"/>
  <c r="E66" i="3" a="1"/>
  <c r="E66" i="3" s="1"/>
  <c r="D66" i="3" a="1"/>
  <c r="D66" i="3" s="1"/>
  <c r="C66" i="3" a="1"/>
  <c r="C66" i="3" s="1"/>
  <c r="A66" i="3" s="1"/>
  <c r="L65" i="3" a="1"/>
  <c r="L65" i="3" s="1"/>
  <c r="K65" i="3" a="1"/>
  <c r="K65" i="3" s="1"/>
  <c r="J65" i="3" a="1"/>
  <c r="J65" i="3" s="1"/>
  <c r="I65" i="3" a="1"/>
  <c r="I65" i="3" s="1"/>
  <c r="H65" i="3" a="1"/>
  <c r="H65" i="3" s="1"/>
  <c r="G65" i="3" a="1"/>
  <c r="G65" i="3" s="1"/>
  <c r="F65" i="3" a="1"/>
  <c r="F65" i="3" s="1"/>
  <c r="E65" i="3" a="1"/>
  <c r="E65" i="3" s="1"/>
  <c r="D65" i="3" a="1"/>
  <c r="D65" i="3" s="1"/>
  <c r="C65" i="3" a="1"/>
  <c r="C65" i="3" s="1"/>
  <c r="A65" i="3" s="1"/>
  <c r="L64" i="3" a="1"/>
  <c r="L64" i="3" s="1"/>
  <c r="K64" i="3" a="1"/>
  <c r="K64" i="3" s="1"/>
  <c r="J64" i="3" a="1"/>
  <c r="J64" i="3" s="1"/>
  <c r="I64" i="3" a="1"/>
  <c r="I64" i="3" s="1"/>
  <c r="H64" i="3" a="1"/>
  <c r="H64" i="3" s="1"/>
  <c r="G64" i="3" a="1"/>
  <c r="G64" i="3" s="1"/>
  <c r="F64" i="3" a="1"/>
  <c r="F64" i="3" s="1"/>
  <c r="E64" i="3" a="1"/>
  <c r="E64" i="3" s="1"/>
  <c r="D64" i="3" a="1"/>
  <c r="D64" i="3" s="1"/>
  <c r="C64" i="3" a="1"/>
  <c r="C64" i="3" s="1"/>
  <c r="A64" i="3" s="1"/>
  <c r="L63" i="3" a="1"/>
  <c r="L63" i="3" s="1"/>
  <c r="K63" i="3" a="1"/>
  <c r="K63" i="3" s="1"/>
  <c r="J63" i="3" a="1"/>
  <c r="J63" i="3" s="1"/>
  <c r="I63" i="3" a="1"/>
  <c r="I63" i="3" s="1"/>
  <c r="H63" i="3" a="1"/>
  <c r="H63" i="3" s="1"/>
  <c r="G63" i="3" a="1"/>
  <c r="G63" i="3" s="1"/>
  <c r="F63" i="3" a="1"/>
  <c r="F63" i="3" s="1"/>
  <c r="E63" i="3" a="1"/>
  <c r="E63" i="3" s="1"/>
  <c r="D63" i="3" a="1"/>
  <c r="D63" i="3" s="1"/>
  <c r="C63" i="3" a="1"/>
  <c r="C63" i="3" s="1"/>
  <c r="A63" i="3" s="1"/>
  <c r="L62" i="3" a="1"/>
  <c r="L62" i="3" s="1"/>
  <c r="K62" i="3" a="1"/>
  <c r="K62" i="3" s="1"/>
  <c r="J62" i="3" a="1"/>
  <c r="J62" i="3" s="1"/>
  <c r="I62" i="3" a="1"/>
  <c r="I62" i="3" s="1"/>
  <c r="H62" i="3" a="1"/>
  <c r="H62" i="3" s="1"/>
  <c r="G62" i="3" a="1"/>
  <c r="G62" i="3" s="1"/>
  <c r="F62" i="3" a="1"/>
  <c r="F62" i="3" s="1"/>
  <c r="E62" i="3" a="1"/>
  <c r="E62" i="3" s="1"/>
  <c r="D62" i="3" a="1"/>
  <c r="D62" i="3" s="1"/>
  <c r="C62" i="3" a="1"/>
  <c r="C62" i="3" s="1"/>
  <c r="A62" i="3" s="1"/>
  <c r="L61" i="3" a="1"/>
  <c r="L61" i="3" s="1"/>
  <c r="K61" i="3" a="1"/>
  <c r="K61" i="3" s="1"/>
  <c r="J61" i="3" a="1"/>
  <c r="J61" i="3" s="1"/>
  <c r="I61" i="3" a="1"/>
  <c r="I61" i="3" s="1"/>
  <c r="H61" i="3" a="1"/>
  <c r="H61" i="3" s="1"/>
  <c r="G61" i="3" a="1"/>
  <c r="G61" i="3" s="1"/>
  <c r="F61" i="3" a="1"/>
  <c r="F61" i="3" s="1"/>
  <c r="E61" i="3" a="1"/>
  <c r="E61" i="3" s="1"/>
  <c r="D61" i="3" a="1"/>
  <c r="D61" i="3" s="1"/>
  <c r="C61" i="3" a="1"/>
  <c r="C61" i="3" s="1"/>
  <c r="A61" i="3" s="1"/>
  <c r="L60" i="3" a="1"/>
  <c r="L60" i="3" s="1"/>
  <c r="K60" i="3" a="1"/>
  <c r="K60" i="3" s="1"/>
  <c r="J60" i="3" a="1"/>
  <c r="J60" i="3" s="1"/>
  <c r="I60" i="3" a="1"/>
  <c r="I60" i="3" s="1"/>
  <c r="H60" i="3" a="1"/>
  <c r="H60" i="3" s="1"/>
  <c r="G60" i="3" a="1"/>
  <c r="G60" i="3" s="1"/>
  <c r="F60" i="3" a="1"/>
  <c r="F60" i="3" s="1"/>
  <c r="E60" i="3" a="1"/>
  <c r="E60" i="3" s="1"/>
  <c r="D60" i="3" a="1"/>
  <c r="D60" i="3" s="1"/>
  <c r="C60" i="3" a="1"/>
  <c r="C60" i="3" s="1"/>
  <c r="A60" i="3" s="1"/>
  <c r="L59" i="3" a="1"/>
  <c r="L59" i="3" s="1"/>
  <c r="K59" i="3" a="1"/>
  <c r="K59" i="3" s="1"/>
  <c r="J59" i="3" a="1"/>
  <c r="J59" i="3" s="1"/>
  <c r="I59" i="3" a="1"/>
  <c r="I59" i="3" s="1"/>
  <c r="H59" i="3" a="1"/>
  <c r="H59" i="3" s="1"/>
  <c r="G59" i="3" a="1"/>
  <c r="G59" i="3" s="1"/>
  <c r="F59" i="3" a="1"/>
  <c r="F59" i="3" s="1"/>
  <c r="E59" i="3" a="1"/>
  <c r="E59" i="3" s="1"/>
  <c r="D59" i="3" a="1"/>
  <c r="D59" i="3" s="1"/>
  <c r="C59" i="3" a="1"/>
  <c r="C59" i="3" s="1"/>
  <c r="A59" i="3" s="1"/>
  <c r="L58" i="3" a="1"/>
  <c r="L58" i="3" s="1"/>
  <c r="K58" i="3" a="1"/>
  <c r="K58" i="3" s="1"/>
  <c r="J58" i="3" a="1"/>
  <c r="J58" i="3" s="1"/>
  <c r="I58" i="3" a="1"/>
  <c r="I58" i="3" s="1"/>
  <c r="H58" i="3" a="1"/>
  <c r="H58" i="3" s="1"/>
  <c r="G58" i="3" a="1"/>
  <c r="G58" i="3" s="1"/>
  <c r="F58" i="3" a="1"/>
  <c r="F58" i="3" s="1"/>
  <c r="E58" i="3" a="1"/>
  <c r="E58" i="3" s="1"/>
  <c r="D58" i="3" a="1"/>
  <c r="D58" i="3" s="1"/>
  <c r="C58" i="3" a="1"/>
  <c r="C58" i="3" s="1"/>
  <c r="A58" i="3" s="1"/>
  <c r="L57" i="3" a="1"/>
  <c r="L57" i="3" s="1"/>
  <c r="K57" i="3" a="1"/>
  <c r="K57" i="3" s="1"/>
  <c r="J57" i="3" a="1"/>
  <c r="J57" i="3" s="1"/>
  <c r="I57" i="3" a="1"/>
  <c r="I57" i="3" s="1"/>
  <c r="H57" i="3" a="1"/>
  <c r="H57" i="3" s="1"/>
  <c r="G57" i="3" a="1"/>
  <c r="G57" i="3" s="1"/>
  <c r="F57" i="3" a="1"/>
  <c r="F57" i="3" s="1"/>
  <c r="E57" i="3" a="1"/>
  <c r="E57" i="3" s="1"/>
  <c r="D57" i="3" a="1"/>
  <c r="D57" i="3" s="1"/>
  <c r="C57" i="3" a="1"/>
  <c r="C57" i="3" s="1"/>
  <c r="A57" i="3" s="1"/>
  <c r="L56" i="3" a="1"/>
  <c r="L56" i="3" s="1"/>
  <c r="K56" i="3" a="1"/>
  <c r="K56" i="3" s="1"/>
  <c r="J56" i="3" a="1"/>
  <c r="J56" i="3" s="1"/>
  <c r="I56" i="3" a="1"/>
  <c r="I56" i="3" s="1"/>
  <c r="H56" i="3" a="1"/>
  <c r="H56" i="3" s="1"/>
  <c r="G56" i="3" a="1"/>
  <c r="G56" i="3" s="1"/>
  <c r="F56" i="3" a="1"/>
  <c r="F56" i="3" s="1"/>
  <c r="E56" i="3" a="1"/>
  <c r="E56" i="3" s="1"/>
  <c r="D56" i="3" a="1"/>
  <c r="D56" i="3" s="1"/>
  <c r="C56" i="3" a="1"/>
  <c r="C56" i="3" s="1"/>
  <c r="A56" i="3" s="1"/>
  <c r="L55" i="3" a="1"/>
  <c r="L55" i="3" s="1"/>
  <c r="K55" i="3" a="1"/>
  <c r="K55" i="3" s="1"/>
  <c r="J55" i="3" a="1"/>
  <c r="J55" i="3" s="1"/>
  <c r="I55" i="3" a="1"/>
  <c r="I55" i="3" s="1"/>
  <c r="H55" i="3" a="1"/>
  <c r="H55" i="3" s="1"/>
  <c r="G55" i="3" a="1"/>
  <c r="G55" i="3" s="1"/>
  <c r="F55" i="3" a="1"/>
  <c r="F55" i="3" s="1"/>
  <c r="E55" i="3" a="1"/>
  <c r="E55" i="3" s="1"/>
  <c r="D55" i="3" a="1"/>
  <c r="D55" i="3" s="1"/>
  <c r="C55" i="3" a="1"/>
  <c r="C55" i="3" s="1"/>
  <c r="A55" i="3" s="1"/>
  <c r="L54" i="3" a="1"/>
  <c r="L54" i="3" s="1"/>
  <c r="K54" i="3" a="1"/>
  <c r="K54" i="3" s="1"/>
  <c r="J54" i="3" a="1"/>
  <c r="J54" i="3" s="1"/>
  <c r="I54" i="3" a="1"/>
  <c r="I54" i="3" s="1"/>
  <c r="H54" i="3" a="1"/>
  <c r="H54" i="3" s="1"/>
  <c r="G54" i="3" a="1"/>
  <c r="G54" i="3" s="1"/>
  <c r="F54" i="3" a="1"/>
  <c r="F54" i="3" s="1"/>
  <c r="E54" i="3" a="1"/>
  <c r="E54" i="3" s="1"/>
  <c r="D54" i="3" a="1"/>
  <c r="D54" i="3" s="1"/>
  <c r="C54" i="3" a="1"/>
  <c r="C54" i="3" s="1"/>
  <c r="A54" i="3" s="1"/>
  <c r="L53" i="3" a="1"/>
  <c r="L53" i="3" s="1"/>
  <c r="K53" i="3" a="1"/>
  <c r="K53" i="3" s="1"/>
  <c r="J53" i="3" a="1"/>
  <c r="J53" i="3" s="1"/>
  <c r="I53" i="3" a="1"/>
  <c r="I53" i="3" s="1"/>
  <c r="H53" i="3" a="1"/>
  <c r="H53" i="3" s="1"/>
  <c r="G53" i="3" a="1"/>
  <c r="G53" i="3" s="1"/>
  <c r="F53" i="3" a="1"/>
  <c r="F53" i="3" s="1"/>
  <c r="E53" i="3" a="1"/>
  <c r="E53" i="3" s="1"/>
  <c r="D53" i="3" a="1"/>
  <c r="D53" i="3" s="1"/>
  <c r="C53" i="3" a="1"/>
  <c r="C53" i="3" s="1"/>
  <c r="A53" i="3" s="1"/>
  <c r="L52" i="3" a="1"/>
  <c r="L52" i="3" s="1"/>
  <c r="K52" i="3" a="1"/>
  <c r="K52" i="3" s="1"/>
  <c r="J52" i="3" a="1"/>
  <c r="J52" i="3" s="1"/>
  <c r="I52" i="3" a="1"/>
  <c r="I52" i="3" s="1"/>
  <c r="H52" i="3" a="1"/>
  <c r="H52" i="3" s="1"/>
  <c r="G52" i="3" a="1"/>
  <c r="G52" i="3" s="1"/>
  <c r="F52" i="3" a="1"/>
  <c r="F52" i="3" s="1"/>
  <c r="E52" i="3" a="1"/>
  <c r="E52" i="3" s="1"/>
  <c r="D52" i="3" a="1"/>
  <c r="D52" i="3" s="1"/>
  <c r="C52" i="3" a="1"/>
  <c r="C52" i="3" s="1"/>
  <c r="A52" i="3" s="1"/>
  <c r="L51" i="3" a="1"/>
  <c r="L51" i="3" s="1"/>
  <c r="K51" i="3" a="1"/>
  <c r="K51" i="3" s="1"/>
  <c r="J51" i="3" a="1"/>
  <c r="J51" i="3" s="1"/>
  <c r="I51" i="3" a="1"/>
  <c r="I51" i="3" s="1"/>
  <c r="H51" i="3" a="1"/>
  <c r="H51" i="3" s="1"/>
  <c r="G51" i="3" a="1"/>
  <c r="G51" i="3" s="1"/>
  <c r="F51" i="3" a="1"/>
  <c r="F51" i="3" s="1"/>
  <c r="E51" i="3" a="1"/>
  <c r="E51" i="3" s="1"/>
  <c r="D51" i="3" a="1"/>
  <c r="D51" i="3" s="1"/>
  <c r="C51" i="3" a="1"/>
  <c r="C51" i="3" s="1"/>
  <c r="A51" i="3" s="1"/>
  <c r="L50" i="3" a="1"/>
  <c r="L50" i="3" s="1"/>
  <c r="K50" i="3" a="1"/>
  <c r="K50" i="3" s="1"/>
  <c r="J50" i="3" a="1"/>
  <c r="J50" i="3" s="1"/>
  <c r="I50" i="3" a="1"/>
  <c r="I50" i="3" s="1"/>
  <c r="H50" i="3" a="1"/>
  <c r="H50" i="3" s="1"/>
  <c r="G50" i="3" a="1"/>
  <c r="G50" i="3" s="1"/>
  <c r="F50" i="3" a="1"/>
  <c r="F50" i="3" s="1"/>
  <c r="E50" i="3" a="1"/>
  <c r="E50" i="3" s="1"/>
  <c r="D50" i="3" a="1"/>
  <c r="D50" i="3" s="1"/>
  <c r="C50" i="3" a="1"/>
  <c r="C50" i="3" s="1"/>
  <c r="A50" i="3" s="1"/>
  <c r="L49" i="3" a="1"/>
  <c r="L49" i="3" s="1"/>
  <c r="K49" i="3" a="1"/>
  <c r="K49" i="3" s="1"/>
  <c r="J49" i="3" a="1"/>
  <c r="J49" i="3" s="1"/>
  <c r="I49" i="3" a="1"/>
  <c r="I49" i="3" s="1"/>
  <c r="H49" i="3" a="1"/>
  <c r="H49" i="3" s="1"/>
  <c r="G49" i="3" a="1"/>
  <c r="G49" i="3" s="1"/>
  <c r="F49" i="3" a="1"/>
  <c r="F49" i="3" s="1"/>
  <c r="E49" i="3" a="1"/>
  <c r="E49" i="3" s="1"/>
  <c r="D49" i="3" a="1"/>
  <c r="D49" i="3" s="1"/>
  <c r="C49" i="3" a="1"/>
  <c r="C49" i="3" s="1"/>
  <c r="A49" i="3" s="1"/>
  <c r="L48" i="3" a="1"/>
  <c r="L48" i="3" s="1"/>
  <c r="K48" i="3" a="1"/>
  <c r="K48" i="3" s="1"/>
  <c r="J48" i="3" a="1"/>
  <c r="J48" i="3" s="1"/>
  <c r="I48" i="3" a="1"/>
  <c r="I48" i="3" s="1"/>
  <c r="H48" i="3" a="1"/>
  <c r="H48" i="3" s="1"/>
  <c r="G48" i="3" a="1"/>
  <c r="G48" i="3" s="1"/>
  <c r="F48" i="3" a="1"/>
  <c r="F48" i="3" s="1"/>
  <c r="E48" i="3" a="1"/>
  <c r="E48" i="3" s="1"/>
  <c r="D48" i="3" a="1"/>
  <c r="D48" i="3" s="1"/>
  <c r="C48" i="3" a="1"/>
  <c r="C48" i="3" s="1"/>
  <c r="A48" i="3" s="1"/>
  <c r="L47" i="3" a="1"/>
  <c r="L47" i="3" s="1"/>
  <c r="K47" i="3" a="1"/>
  <c r="K47" i="3" s="1"/>
  <c r="J47" i="3" a="1"/>
  <c r="J47" i="3" s="1"/>
  <c r="I47" i="3" a="1"/>
  <c r="I47" i="3" s="1"/>
  <c r="H47" i="3" a="1"/>
  <c r="H47" i="3" s="1"/>
  <c r="G47" i="3" a="1"/>
  <c r="G47" i="3" s="1"/>
  <c r="F47" i="3" a="1"/>
  <c r="F47" i="3" s="1"/>
  <c r="E47" i="3" a="1"/>
  <c r="E47" i="3" s="1"/>
  <c r="D47" i="3" a="1"/>
  <c r="D47" i="3" s="1"/>
  <c r="C47" i="3" a="1"/>
  <c r="C47" i="3" s="1"/>
  <c r="A47" i="3" s="1"/>
  <c r="L46" i="3" a="1"/>
  <c r="L46" i="3" s="1"/>
  <c r="K46" i="3" a="1"/>
  <c r="K46" i="3" s="1"/>
  <c r="J46" i="3" a="1"/>
  <c r="J46" i="3" s="1"/>
  <c r="I46" i="3" a="1"/>
  <c r="I46" i="3" s="1"/>
  <c r="H46" i="3" a="1"/>
  <c r="H46" i="3" s="1"/>
  <c r="G46" i="3" a="1"/>
  <c r="G46" i="3" s="1"/>
  <c r="F46" i="3" a="1"/>
  <c r="F46" i="3" s="1"/>
  <c r="E46" i="3" a="1"/>
  <c r="E46" i="3" s="1"/>
  <c r="D46" i="3" a="1"/>
  <c r="D46" i="3" s="1"/>
  <c r="C46" i="3" a="1"/>
  <c r="C46" i="3" s="1"/>
  <c r="A46" i="3" s="1"/>
  <c r="L45" i="3" a="1"/>
  <c r="L45" i="3" s="1"/>
  <c r="K45" i="3" a="1"/>
  <c r="K45" i="3" s="1"/>
  <c r="J45" i="3" a="1"/>
  <c r="J45" i="3" s="1"/>
  <c r="I45" i="3" a="1"/>
  <c r="I45" i="3" s="1"/>
  <c r="H45" i="3" a="1"/>
  <c r="H45" i="3" s="1"/>
  <c r="G45" i="3" a="1"/>
  <c r="G45" i="3" s="1"/>
  <c r="F45" i="3" a="1"/>
  <c r="F45" i="3" s="1"/>
  <c r="E45" i="3" a="1"/>
  <c r="E45" i="3" s="1"/>
  <c r="D45" i="3" a="1"/>
  <c r="D45" i="3" s="1"/>
  <c r="C45" i="3" a="1"/>
  <c r="C45" i="3" s="1"/>
  <c r="A45" i="3" s="1"/>
  <c r="L44" i="3" a="1"/>
  <c r="L44" i="3" s="1"/>
  <c r="K44" i="3" a="1"/>
  <c r="K44" i="3" s="1"/>
  <c r="J44" i="3" a="1"/>
  <c r="J44" i="3" s="1"/>
  <c r="I44" i="3" a="1"/>
  <c r="I44" i="3" s="1"/>
  <c r="H44" i="3" a="1"/>
  <c r="H44" i="3" s="1"/>
  <c r="G44" i="3" a="1"/>
  <c r="G44" i="3" s="1"/>
  <c r="F44" i="3" a="1"/>
  <c r="F44" i="3" s="1"/>
  <c r="E44" i="3" a="1"/>
  <c r="E44" i="3" s="1"/>
  <c r="D44" i="3" a="1"/>
  <c r="D44" i="3" s="1"/>
  <c r="C44" i="3" a="1"/>
  <c r="C44" i="3" s="1"/>
  <c r="A44" i="3" s="1"/>
  <c r="L43" i="3" a="1"/>
  <c r="L43" i="3" s="1"/>
  <c r="K43" i="3" a="1"/>
  <c r="K43" i="3" s="1"/>
  <c r="J43" i="3" a="1"/>
  <c r="J43" i="3" s="1"/>
  <c r="I43" i="3" a="1"/>
  <c r="I43" i="3" s="1"/>
  <c r="H43" i="3" a="1"/>
  <c r="H43" i="3" s="1"/>
  <c r="G43" i="3" a="1"/>
  <c r="G43" i="3" s="1"/>
  <c r="F43" i="3" a="1"/>
  <c r="F43" i="3" s="1"/>
  <c r="E43" i="3" a="1"/>
  <c r="E43" i="3" s="1"/>
  <c r="D43" i="3" a="1"/>
  <c r="D43" i="3" s="1"/>
  <c r="C43" i="3" a="1"/>
  <c r="C43" i="3" s="1"/>
  <c r="A43" i="3" s="1"/>
  <c r="L42" i="3" a="1"/>
  <c r="L42" i="3" s="1"/>
  <c r="K42" i="3" a="1"/>
  <c r="K42" i="3" s="1"/>
  <c r="J42" i="3" a="1"/>
  <c r="J42" i="3" s="1"/>
  <c r="I42" i="3" a="1"/>
  <c r="I42" i="3" s="1"/>
  <c r="H42" i="3" a="1"/>
  <c r="H42" i="3" s="1"/>
  <c r="G42" i="3" a="1"/>
  <c r="G42" i="3" s="1"/>
  <c r="F42" i="3" a="1"/>
  <c r="F42" i="3" s="1"/>
  <c r="E42" i="3" a="1"/>
  <c r="E42" i="3" s="1"/>
  <c r="D42" i="3" a="1"/>
  <c r="D42" i="3" s="1"/>
  <c r="C42" i="3" a="1"/>
  <c r="C42" i="3" s="1"/>
  <c r="A42" i="3" s="1"/>
  <c r="L41" i="3" a="1"/>
  <c r="L41" i="3" s="1"/>
  <c r="K41" i="3" a="1"/>
  <c r="K41" i="3" s="1"/>
  <c r="J41" i="3" a="1"/>
  <c r="J41" i="3" s="1"/>
  <c r="I41" i="3" a="1"/>
  <c r="I41" i="3" s="1"/>
  <c r="H41" i="3" a="1"/>
  <c r="H41" i="3" s="1"/>
  <c r="G41" i="3" a="1"/>
  <c r="G41" i="3" s="1"/>
  <c r="F41" i="3" a="1"/>
  <c r="F41" i="3" s="1"/>
  <c r="E41" i="3" a="1"/>
  <c r="E41" i="3" s="1"/>
  <c r="D41" i="3" a="1"/>
  <c r="D41" i="3" s="1"/>
  <c r="C41" i="3" a="1"/>
  <c r="C41" i="3" s="1"/>
  <c r="A41" i="3" s="1"/>
  <c r="L40" i="3" a="1"/>
  <c r="L40" i="3" s="1"/>
  <c r="K40" i="3" a="1"/>
  <c r="K40" i="3" s="1"/>
  <c r="J40" i="3" a="1"/>
  <c r="J40" i="3" s="1"/>
  <c r="I40" i="3" a="1"/>
  <c r="I40" i="3" s="1"/>
  <c r="H40" i="3" a="1"/>
  <c r="H40" i="3" s="1"/>
  <c r="G40" i="3" a="1"/>
  <c r="G40" i="3" s="1"/>
  <c r="F40" i="3" a="1"/>
  <c r="F40" i="3" s="1"/>
  <c r="E40" i="3" a="1"/>
  <c r="E40" i="3" s="1"/>
  <c r="D40" i="3" a="1"/>
  <c r="D40" i="3" s="1"/>
  <c r="C40" i="3" a="1"/>
  <c r="C40" i="3" s="1"/>
  <c r="A40" i="3" s="1"/>
  <c r="L39" i="3" a="1"/>
  <c r="L39" i="3" s="1"/>
  <c r="K39" i="3" a="1"/>
  <c r="K39" i="3" s="1"/>
  <c r="J39" i="3" a="1"/>
  <c r="J39" i="3" s="1"/>
  <c r="I39" i="3" a="1"/>
  <c r="I39" i="3" s="1"/>
  <c r="H39" i="3" a="1"/>
  <c r="H39" i="3" s="1"/>
  <c r="G39" i="3" a="1"/>
  <c r="G39" i="3" s="1"/>
  <c r="F39" i="3" a="1"/>
  <c r="F39" i="3" s="1"/>
  <c r="E39" i="3" a="1"/>
  <c r="E39" i="3" s="1"/>
  <c r="D39" i="3" a="1"/>
  <c r="D39" i="3" s="1"/>
  <c r="C39" i="3" a="1"/>
  <c r="C39" i="3" s="1"/>
  <c r="A39" i="3" s="1"/>
  <c r="L38" i="3" a="1"/>
  <c r="L38" i="3" s="1"/>
  <c r="K38" i="3" a="1"/>
  <c r="K38" i="3" s="1"/>
  <c r="J38" i="3" a="1"/>
  <c r="J38" i="3" s="1"/>
  <c r="I38" i="3" a="1"/>
  <c r="I38" i="3" s="1"/>
  <c r="H38" i="3" a="1"/>
  <c r="H38" i="3" s="1"/>
  <c r="G38" i="3" a="1"/>
  <c r="G38" i="3" s="1"/>
  <c r="F38" i="3" a="1"/>
  <c r="F38" i="3" s="1"/>
  <c r="E38" i="3" a="1"/>
  <c r="E38" i="3" s="1"/>
  <c r="D38" i="3" a="1"/>
  <c r="D38" i="3" s="1"/>
  <c r="C38" i="3" a="1"/>
  <c r="C38" i="3" s="1"/>
  <c r="A38" i="3" s="1"/>
  <c r="L37" i="3" a="1"/>
  <c r="L37" i="3" s="1"/>
  <c r="K37" i="3" a="1"/>
  <c r="K37" i="3" s="1"/>
  <c r="J37" i="3" a="1"/>
  <c r="J37" i="3" s="1"/>
  <c r="I37" i="3" a="1"/>
  <c r="I37" i="3" s="1"/>
  <c r="H37" i="3" a="1"/>
  <c r="H37" i="3" s="1"/>
  <c r="G37" i="3" a="1"/>
  <c r="G37" i="3" s="1"/>
  <c r="F37" i="3" a="1"/>
  <c r="F37" i="3" s="1"/>
  <c r="E37" i="3" a="1"/>
  <c r="E37" i="3" s="1"/>
  <c r="D37" i="3" a="1"/>
  <c r="D37" i="3" s="1"/>
  <c r="C37" i="3" a="1"/>
  <c r="C37" i="3" s="1"/>
  <c r="A37" i="3" s="1"/>
  <c r="L36" i="3" a="1"/>
  <c r="L36" i="3" s="1"/>
  <c r="K36" i="3" a="1"/>
  <c r="K36" i="3" s="1"/>
  <c r="J36" i="3" a="1"/>
  <c r="J36" i="3" s="1"/>
  <c r="I36" i="3" a="1"/>
  <c r="I36" i="3" s="1"/>
  <c r="H36" i="3" a="1"/>
  <c r="H36" i="3" s="1"/>
  <c r="G36" i="3" a="1"/>
  <c r="G36" i="3" s="1"/>
  <c r="F36" i="3" a="1"/>
  <c r="F36" i="3" s="1"/>
  <c r="E36" i="3" a="1"/>
  <c r="E36" i="3" s="1"/>
  <c r="D36" i="3" a="1"/>
  <c r="D36" i="3" s="1"/>
  <c r="C36" i="3" a="1"/>
  <c r="C36" i="3" s="1"/>
  <c r="A36" i="3" s="1"/>
  <c r="L35" i="3" a="1"/>
  <c r="L35" i="3" s="1"/>
  <c r="K35" i="3" a="1"/>
  <c r="K35" i="3" s="1"/>
  <c r="J35" i="3" a="1"/>
  <c r="J35" i="3" s="1"/>
  <c r="I35" i="3" a="1"/>
  <c r="I35" i="3" s="1"/>
  <c r="H35" i="3" a="1"/>
  <c r="H35" i="3" s="1"/>
  <c r="G35" i="3" a="1"/>
  <c r="G35" i="3" s="1"/>
  <c r="F35" i="3" a="1"/>
  <c r="F35" i="3" s="1"/>
  <c r="E35" i="3" a="1"/>
  <c r="E35" i="3" s="1"/>
  <c r="D35" i="3" a="1"/>
  <c r="D35" i="3" s="1"/>
  <c r="C35" i="3" a="1"/>
  <c r="C35" i="3" s="1"/>
  <c r="A35" i="3" s="1"/>
  <c r="L34" i="3" a="1"/>
  <c r="L34" i="3" s="1"/>
  <c r="K34" i="3" a="1"/>
  <c r="K34" i="3" s="1"/>
  <c r="J34" i="3" a="1"/>
  <c r="J34" i="3" s="1"/>
  <c r="I34" i="3" a="1"/>
  <c r="I34" i="3" s="1"/>
  <c r="H34" i="3" a="1"/>
  <c r="H34" i="3" s="1"/>
  <c r="G34" i="3" a="1"/>
  <c r="G34" i="3" s="1"/>
  <c r="F34" i="3" a="1"/>
  <c r="F34" i="3" s="1"/>
  <c r="E34" i="3" a="1"/>
  <c r="E34" i="3" s="1"/>
  <c r="D34" i="3" a="1"/>
  <c r="D34" i="3" s="1"/>
  <c r="C34" i="3" a="1"/>
  <c r="C34" i="3" s="1"/>
  <c r="A34" i="3" s="1"/>
  <c r="L33" i="3" a="1"/>
  <c r="L33" i="3" s="1"/>
  <c r="K33" i="3" a="1"/>
  <c r="K33" i="3" s="1"/>
  <c r="J33" i="3" a="1"/>
  <c r="J33" i="3" s="1"/>
  <c r="I33" i="3" a="1"/>
  <c r="I33" i="3" s="1"/>
  <c r="H33" i="3" a="1"/>
  <c r="H33" i="3" s="1"/>
  <c r="G33" i="3" a="1"/>
  <c r="G33" i="3" s="1"/>
  <c r="F33" i="3" a="1"/>
  <c r="F33" i="3" s="1"/>
  <c r="E33" i="3" a="1"/>
  <c r="E33" i="3" s="1"/>
  <c r="D33" i="3" a="1"/>
  <c r="D33" i="3" s="1"/>
  <c r="C33" i="3" a="1"/>
  <c r="C33" i="3" s="1"/>
  <c r="A33" i="3" s="1"/>
  <c r="L32" i="3" a="1"/>
  <c r="L32" i="3" s="1"/>
  <c r="K32" i="3" a="1"/>
  <c r="K32" i="3" s="1"/>
  <c r="J32" i="3" a="1"/>
  <c r="J32" i="3" s="1"/>
  <c r="I32" i="3" a="1"/>
  <c r="I32" i="3" s="1"/>
  <c r="H32" i="3" a="1"/>
  <c r="H32" i="3" s="1"/>
  <c r="G32" i="3" a="1"/>
  <c r="G32" i="3" s="1"/>
  <c r="F32" i="3" a="1"/>
  <c r="F32" i="3" s="1"/>
  <c r="E32" i="3" a="1"/>
  <c r="E32" i="3" s="1"/>
  <c r="D32" i="3" a="1"/>
  <c r="D32" i="3" s="1"/>
  <c r="C32" i="3" a="1"/>
  <c r="C32" i="3" s="1"/>
  <c r="A32" i="3" s="1"/>
  <c r="L31" i="3" a="1"/>
  <c r="L31" i="3" s="1"/>
  <c r="K31" i="3" a="1"/>
  <c r="K31" i="3" s="1"/>
  <c r="J31" i="3" a="1"/>
  <c r="J31" i="3" s="1"/>
  <c r="I31" i="3" a="1"/>
  <c r="I31" i="3" s="1"/>
  <c r="H31" i="3" a="1"/>
  <c r="H31" i="3" s="1"/>
  <c r="G31" i="3" a="1"/>
  <c r="G31" i="3" s="1"/>
  <c r="F31" i="3" a="1"/>
  <c r="F31" i="3" s="1"/>
  <c r="E31" i="3" a="1"/>
  <c r="E31" i="3" s="1"/>
  <c r="D31" i="3" a="1"/>
  <c r="D31" i="3" s="1"/>
  <c r="C31" i="3" a="1"/>
  <c r="C31" i="3" s="1"/>
  <c r="A31" i="3" s="1"/>
  <c r="L30" i="3" a="1"/>
  <c r="L30" i="3" s="1"/>
  <c r="K30" i="3" a="1"/>
  <c r="K30" i="3" s="1"/>
  <c r="J30" i="3" a="1"/>
  <c r="J30" i="3" s="1"/>
  <c r="I30" i="3" a="1"/>
  <c r="I30" i="3" s="1"/>
  <c r="H30" i="3" a="1"/>
  <c r="H30" i="3" s="1"/>
  <c r="G30" i="3" a="1"/>
  <c r="G30" i="3" s="1"/>
  <c r="F30" i="3" a="1"/>
  <c r="F30" i="3" s="1"/>
  <c r="E30" i="3" a="1"/>
  <c r="E30" i="3" s="1"/>
  <c r="D30" i="3" a="1"/>
  <c r="D30" i="3" s="1"/>
  <c r="C30" i="3" a="1"/>
  <c r="C30" i="3" s="1"/>
  <c r="A30" i="3" s="1"/>
  <c r="L29" i="3" a="1"/>
  <c r="L29" i="3" s="1"/>
  <c r="K29" i="3" a="1"/>
  <c r="K29" i="3" s="1"/>
  <c r="J29" i="3" a="1"/>
  <c r="J29" i="3" s="1"/>
  <c r="I29" i="3" a="1"/>
  <c r="I29" i="3" s="1"/>
  <c r="H29" i="3" a="1"/>
  <c r="H29" i="3" s="1"/>
  <c r="G29" i="3" a="1"/>
  <c r="G29" i="3" s="1"/>
  <c r="F29" i="3" a="1"/>
  <c r="F29" i="3" s="1"/>
  <c r="E29" i="3" a="1"/>
  <c r="E29" i="3" s="1"/>
  <c r="D29" i="3" a="1"/>
  <c r="D29" i="3" s="1"/>
  <c r="C29" i="3" a="1"/>
  <c r="C29" i="3" s="1"/>
  <c r="A29" i="3" s="1"/>
  <c r="L28" i="3" a="1"/>
  <c r="L28" i="3" s="1"/>
  <c r="K28" i="3" a="1"/>
  <c r="K28" i="3" s="1"/>
  <c r="J28" i="3" a="1"/>
  <c r="J28" i="3" s="1"/>
  <c r="I28" i="3" a="1"/>
  <c r="I28" i="3" s="1"/>
  <c r="H28" i="3" a="1"/>
  <c r="H28" i="3" s="1"/>
  <c r="G28" i="3" a="1"/>
  <c r="G28" i="3" s="1"/>
  <c r="F28" i="3" a="1"/>
  <c r="F28" i="3" s="1"/>
  <c r="E28" i="3" a="1"/>
  <c r="E28" i="3" s="1"/>
  <c r="D28" i="3" a="1"/>
  <c r="D28" i="3" s="1"/>
  <c r="C28" i="3" a="1"/>
  <c r="C28" i="3" s="1"/>
  <c r="A28" i="3" s="1"/>
  <c r="L27" i="3" a="1"/>
  <c r="L27" i="3" s="1"/>
  <c r="K27" i="3" a="1"/>
  <c r="K27" i="3" s="1"/>
  <c r="J27" i="3" a="1"/>
  <c r="J27" i="3" s="1"/>
  <c r="I27" i="3" a="1"/>
  <c r="I27" i="3" s="1"/>
  <c r="H27" i="3" a="1"/>
  <c r="H27" i="3" s="1"/>
  <c r="G27" i="3" a="1"/>
  <c r="G27" i="3" s="1"/>
  <c r="F27" i="3" a="1"/>
  <c r="F27" i="3" s="1"/>
  <c r="E27" i="3" a="1"/>
  <c r="E27" i="3" s="1"/>
  <c r="D27" i="3" a="1"/>
  <c r="D27" i="3" s="1"/>
  <c r="C27" i="3" a="1"/>
  <c r="C27" i="3" s="1"/>
  <c r="A27" i="3" s="1"/>
  <c r="L26" i="3" a="1"/>
  <c r="L26" i="3" s="1"/>
  <c r="K26" i="3" a="1"/>
  <c r="K26" i="3" s="1"/>
  <c r="J26" i="3" a="1"/>
  <c r="J26" i="3" s="1"/>
  <c r="I26" i="3" a="1"/>
  <c r="I26" i="3" s="1"/>
  <c r="H26" i="3" a="1"/>
  <c r="H26" i="3" s="1"/>
  <c r="G26" i="3" a="1"/>
  <c r="G26" i="3" s="1"/>
  <c r="F26" i="3" a="1"/>
  <c r="F26" i="3" s="1"/>
  <c r="E26" i="3" a="1"/>
  <c r="E26" i="3" s="1"/>
  <c r="D26" i="3" a="1"/>
  <c r="D26" i="3" s="1"/>
  <c r="C26" i="3" a="1"/>
  <c r="C26" i="3" s="1"/>
  <c r="A26" i="3" s="1"/>
  <c r="L25" i="3" a="1"/>
  <c r="L25" i="3" s="1"/>
  <c r="K25" i="3" a="1"/>
  <c r="K25" i="3" s="1"/>
  <c r="J25" i="3" a="1"/>
  <c r="J25" i="3" s="1"/>
  <c r="I25" i="3" a="1"/>
  <c r="I25" i="3" s="1"/>
  <c r="H25" i="3" a="1"/>
  <c r="H25" i="3" s="1"/>
  <c r="G25" i="3" a="1"/>
  <c r="G25" i="3" s="1"/>
  <c r="F25" i="3" a="1"/>
  <c r="F25" i="3" s="1"/>
  <c r="E25" i="3" a="1"/>
  <c r="E25" i="3" s="1"/>
  <c r="D25" i="3" a="1"/>
  <c r="D25" i="3" s="1"/>
  <c r="C25" i="3" a="1"/>
  <c r="C25" i="3" s="1"/>
  <c r="A25" i="3" s="1"/>
  <c r="L24" i="3" a="1"/>
  <c r="L24" i="3" s="1"/>
  <c r="K24" i="3" a="1"/>
  <c r="K24" i="3" s="1"/>
  <c r="J24" i="3" a="1"/>
  <c r="J24" i="3" s="1"/>
  <c r="I24" i="3" a="1"/>
  <c r="I24" i="3" s="1"/>
  <c r="H24" i="3" a="1"/>
  <c r="H24" i="3" s="1"/>
  <c r="G24" i="3" a="1"/>
  <c r="G24" i="3" s="1"/>
  <c r="F24" i="3" a="1"/>
  <c r="F24" i="3" s="1"/>
  <c r="E24" i="3" a="1"/>
  <c r="E24" i="3" s="1"/>
  <c r="D24" i="3" a="1"/>
  <c r="D24" i="3" s="1"/>
  <c r="C24" i="3" a="1"/>
  <c r="C24" i="3" s="1"/>
  <c r="A24" i="3" s="1"/>
  <c r="L23" i="3" a="1"/>
  <c r="L23" i="3" s="1"/>
  <c r="K23" i="3" a="1"/>
  <c r="K23" i="3" s="1"/>
  <c r="J23" i="3" a="1"/>
  <c r="J23" i="3" s="1"/>
  <c r="I23" i="3" a="1"/>
  <c r="I23" i="3" s="1"/>
  <c r="H23" i="3" a="1"/>
  <c r="H23" i="3" s="1"/>
  <c r="G23" i="3" a="1"/>
  <c r="G23" i="3" s="1"/>
  <c r="F23" i="3" a="1"/>
  <c r="F23" i="3" s="1"/>
  <c r="E23" i="3" a="1"/>
  <c r="E23" i="3" s="1"/>
  <c r="D23" i="3" a="1"/>
  <c r="D23" i="3" s="1"/>
  <c r="C23" i="3" a="1"/>
  <c r="C23" i="3" s="1"/>
  <c r="A23" i="3" s="1"/>
  <c r="L22" i="3" a="1"/>
  <c r="L22" i="3" s="1"/>
  <c r="K22" i="3" a="1"/>
  <c r="K22" i="3" s="1"/>
  <c r="J22" i="3" a="1"/>
  <c r="J22" i="3" s="1"/>
  <c r="I22" i="3" a="1"/>
  <c r="I22" i="3" s="1"/>
  <c r="H22" i="3" a="1"/>
  <c r="H22" i="3" s="1"/>
  <c r="G22" i="3" a="1"/>
  <c r="G22" i="3" s="1"/>
  <c r="F22" i="3" a="1"/>
  <c r="F22" i="3" s="1"/>
  <c r="E22" i="3" a="1"/>
  <c r="E22" i="3" s="1"/>
  <c r="D22" i="3" a="1"/>
  <c r="D22" i="3" s="1"/>
  <c r="C22" i="3" a="1"/>
  <c r="C22" i="3" s="1"/>
  <c r="A22" i="3" s="1"/>
  <c r="L21" i="3" a="1"/>
  <c r="L21" i="3" s="1"/>
  <c r="K21" i="3" a="1"/>
  <c r="K21" i="3" s="1"/>
  <c r="J21" i="3" a="1"/>
  <c r="J21" i="3" s="1"/>
  <c r="I21" i="3" a="1"/>
  <c r="I21" i="3" s="1"/>
  <c r="H21" i="3" a="1"/>
  <c r="H21" i="3" s="1"/>
  <c r="G21" i="3" a="1"/>
  <c r="G21" i="3" s="1"/>
  <c r="F21" i="3" a="1"/>
  <c r="F21" i="3" s="1"/>
  <c r="E21" i="3" a="1"/>
  <c r="E21" i="3" s="1"/>
  <c r="D21" i="3" a="1"/>
  <c r="D21" i="3" s="1"/>
  <c r="C21" i="3" a="1"/>
  <c r="C21" i="3" s="1"/>
  <c r="A21" i="3" s="1"/>
  <c r="L20" i="3" a="1"/>
  <c r="L20" i="3" s="1"/>
  <c r="K20" i="3" a="1"/>
  <c r="K20" i="3" s="1"/>
  <c r="J20" i="3" a="1"/>
  <c r="J20" i="3" s="1"/>
  <c r="I20" i="3" a="1"/>
  <c r="I20" i="3" s="1"/>
  <c r="H20" i="3" a="1"/>
  <c r="H20" i="3" s="1"/>
  <c r="G20" i="3" a="1"/>
  <c r="G20" i="3" s="1"/>
  <c r="F20" i="3" a="1"/>
  <c r="F20" i="3" s="1"/>
  <c r="E20" i="3" a="1"/>
  <c r="E20" i="3" s="1"/>
  <c r="D20" i="3" a="1"/>
  <c r="D20" i="3" s="1"/>
  <c r="C20" i="3" a="1"/>
  <c r="C20" i="3" s="1"/>
  <c r="A20" i="3" s="1"/>
  <c r="L19" i="3" a="1"/>
  <c r="L19" i="3" s="1"/>
  <c r="K19" i="3" a="1"/>
  <c r="K19" i="3" s="1"/>
  <c r="J19" i="3" a="1"/>
  <c r="J19" i="3" s="1"/>
  <c r="I19" i="3" a="1"/>
  <c r="I19" i="3" s="1"/>
  <c r="H19" i="3" a="1"/>
  <c r="H19" i="3" s="1"/>
  <c r="G19" i="3" a="1"/>
  <c r="G19" i="3" s="1"/>
  <c r="F19" i="3" a="1"/>
  <c r="F19" i="3" s="1"/>
  <c r="E19" i="3" a="1"/>
  <c r="E19" i="3" s="1"/>
  <c r="D19" i="3" a="1"/>
  <c r="D19" i="3" s="1"/>
  <c r="C19" i="3" a="1"/>
  <c r="C19" i="3" s="1"/>
  <c r="A19" i="3" s="1"/>
  <c r="L18" i="3" a="1"/>
  <c r="L18" i="3" s="1"/>
  <c r="K18" i="3" a="1"/>
  <c r="K18" i="3" s="1"/>
  <c r="J18" i="3" a="1"/>
  <c r="J18" i="3" s="1"/>
  <c r="I18" i="3" a="1"/>
  <c r="I18" i="3" s="1"/>
  <c r="H18" i="3" a="1"/>
  <c r="H18" i="3" s="1"/>
  <c r="G18" i="3" a="1"/>
  <c r="G18" i="3" s="1"/>
  <c r="F18" i="3" a="1"/>
  <c r="F18" i="3" s="1"/>
  <c r="E18" i="3" a="1"/>
  <c r="E18" i="3" s="1"/>
  <c r="D18" i="3" a="1"/>
  <c r="D18" i="3" s="1"/>
  <c r="C18" i="3" a="1"/>
  <c r="C18" i="3" s="1"/>
  <c r="A18" i="3" s="1"/>
  <c r="L17" i="3" a="1"/>
  <c r="L17" i="3" s="1"/>
  <c r="K17" i="3" a="1"/>
  <c r="K17" i="3" s="1"/>
  <c r="J17" i="3" a="1"/>
  <c r="J17" i="3" s="1"/>
  <c r="I17" i="3" a="1"/>
  <c r="I17" i="3" s="1"/>
  <c r="H17" i="3" a="1"/>
  <c r="H17" i="3" s="1"/>
  <c r="G17" i="3" a="1"/>
  <c r="G17" i="3" s="1"/>
  <c r="F17" i="3" a="1"/>
  <c r="F17" i="3" s="1"/>
  <c r="E17" i="3" a="1"/>
  <c r="E17" i="3" s="1"/>
  <c r="D17" i="3" a="1"/>
  <c r="D17" i="3" s="1"/>
  <c r="C17" i="3" a="1"/>
  <c r="C17" i="3" s="1"/>
  <c r="A17" i="3" s="1"/>
  <c r="L16" i="3" a="1"/>
  <c r="L16" i="3" s="1"/>
  <c r="K16" i="3" a="1"/>
  <c r="K16" i="3" s="1"/>
  <c r="J16" i="3" a="1"/>
  <c r="J16" i="3" s="1"/>
  <c r="I16" i="3" a="1"/>
  <c r="I16" i="3" s="1"/>
  <c r="H16" i="3" a="1"/>
  <c r="H16" i="3" s="1"/>
  <c r="G16" i="3" a="1"/>
  <c r="G16" i="3" s="1"/>
  <c r="F16" i="3" a="1"/>
  <c r="F16" i="3" s="1"/>
  <c r="E16" i="3" a="1"/>
  <c r="E16" i="3" s="1"/>
  <c r="D16" i="3" a="1"/>
  <c r="D16" i="3" s="1"/>
  <c r="C16" i="3" a="1"/>
  <c r="C16" i="3" s="1"/>
  <c r="A16" i="3" s="1"/>
  <c r="L15" i="3" a="1"/>
  <c r="L15" i="3" s="1"/>
  <c r="K15" i="3" a="1"/>
  <c r="K15" i="3" s="1"/>
  <c r="J15" i="3" a="1"/>
  <c r="J15" i="3" s="1"/>
  <c r="I15" i="3" a="1"/>
  <c r="I15" i="3" s="1"/>
  <c r="H15" i="3" a="1"/>
  <c r="H15" i="3" s="1"/>
  <c r="G15" i="3" a="1"/>
  <c r="G15" i="3" s="1"/>
  <c r="F15" i="3" a="1"/>
  <c r="F15" i="3" s="1"/>
  <c r="E15" i="3" a="1"/>
  <c r="E15" i="3" s="1"/>
  <c r="D15" i="3" a="1"/>
  <c r="D15" i="3" s="1"/>
  <c r="C15" i="3" a="1"/>
  <c r="C15" i="3" s="1"/>
  <c r="A15" i="3" s="1"/>
  <c r="L14" i="3" a="1"/>
  <c r="L14" i="3" s="1"/>
  <c r="K14" i="3" a="1"/>
  <c r="K14" i="3" s="1"/>
  <c r="J14" i="3" a="1"/>
  <c r="J14" i="3" s="1"/>
  <c r="I14" i="3" a="1"/>
  <c r="I14" i="3" s="1"/>
  <c r="H14" i="3" a="1"/>
  <c r="H14" i="3" s="1"/>
  <c r="G14" i="3" a="1"/>
  <c r="G14" i="3" s="1"/>
  <c r="F14" i="3" a="1"/>
  <c r="F14" i="3" s="1"/>
  <c r="E14" i="3" a="1"/>
  <c r="E14" i="3" s="1"/>
  <c r="D14" i="3" a="1"/>
  <c r="D14" i="3" s="1"/>
  <c r="C14" i="3" a="1"/>
  <c r="C14" i="3" s="1"/>
  <c r="A14" i="3" s="1"/>
  <c r="L13" i="3" a="1"/>
  <c r="L13" i="3" s="1"/>
  <c r="K13" i="3" a="1"/>
  <c r="K13" i="3" s="1"/>
  <c r="J13" i="3" a="1"/>
  <c r="J13" i="3" s="1"/>
  <c r="I13" i="3" a="1"/>
  <c r="I13" i="3" s="1"/>
  <c r="H13" i="3" a="1"/>
  <c r="H13" i="3" s="1"/>
  <c r="G13" i="3" a="1"/>
  <c r="G13" i="3" s="1"/>
  <c r="F13" i="3" a="1"/>
  <c r="F13" i="3" s="1"/>
  <c r="E13" i="3" a="1"/>
  <c r="E13" i="3" s="1"/>
  <c r="D13" i="3" a="1"/>
  <c r="D13" i="3" s="1"/>
  <c r="C13" i="3" a="1"/>
  <c r="C13" i="3" s="1"/>
  <c r="A13" i="3" s="1"/>
  <c r="L12" i="3" a="1"/>
  <c r="L12" i="3" s="1"/>
  <c r="K12" i="3" a="1"/>
  <c r="K12" i="3" s="1"/>
  <c r="J12" i="3" a="1"/>
  <c r="J12" i="3" s="1"/>
  <c r="I12" i="3" a="1"/>
  <c r="I12" i="3" s="1"/>
  <c r="H12" i="3" a="1"/>
  <c r="H12" i="3" s="1"/>
  <c r="G12" i="3" a="1"/>
  <c r="G12" i="3" s="1"/>
  <c r="F12" i="3" a="1"/>
  <c r="F12" i="3" s="1"/>
  <c r="E12" i="3" a="1"/>
  <c r="E12" i="3" s="1"/>
  <c r="D12" i="3" a="1"/>
  <c r="D12" i="3" s="1"/>
  <c r="C12" i="3" a="1"/>
  <c r="C12" i="3" s="1"/>
  <c r="A12" i="3" s="1"/>
  <c r="L11" i="3" a="1"/>
  <c r="L11" i="3" s="1"/>
  <c r="K11" i="3" a="1"/>
  <c r="K11" i="3" s="1"/>
  <c r="J11" i="3" a="1"/>
  <c r="J11" i="3" s="1"/>
  <c r="I11" i="3" a="1"/>
  <c r="I11" i="3" s="1"/>
  <c r="H11" i="3" a="1"/>
  <c r="H11" i="3" s="1"/>
  <c r="G11" i="3" a="1"/>
  <c r="G11" i="3" s="1"/>
  <c r="F11" i="3" a="1"/>
  <c r="F11" i="3" s="1"/>
  <c r="E11" i="3" a="1"/>
  <c r="E11" i="3" s="1"/>
  <c r="D11" i="3" a="1"/>
  <c r="D11" i="3" s="1"/>
  <c r="C11" i="3" a="1"/>
  <c r="C11" i="3" s="1"/>
  <c r="A11" i="3" s="1"/>
  <c r="L10" i="3" a="1"/>
  <c r="L10" i="3" s="1"/>
  <c r="K10" i="3" a="1"/>
  <c r="K10" i="3" s="1"/>
  <c r="J10" i="3" a="1"/>
  <c r="J10" i="3" s="1"/>
  <c r="I10" i="3" a="1"/>
  <c r="I10" i="3" s="1"/>
  <c r="H10" i="3" a="1"/>
  <c r="H10" i="3" s="1"/>
  <c r="G10" i="3" a="1"/>
  <c r="G10" i="3" s="1"/>
  <c r="F10" i="3" a="1"/>
  <c r="F10" i="3" s="1"/>
  <c r="E10" i="3" a="1"/>
  <c r="E10" i="3" s="1"/>
  <c r="D10" i="3" a="1"/>
  <c r="D10" i="3" s="1"/>
  <c r="C10" i="3" a="1"/>
  <c r="C10" i="3" s="1"/>
  <c r="A10" i="3" s="1"/>
  <c r="L9" i="3" a="1"/>
  <c r="L9" i="3" s="1"/>
  <c r="K9" i="3" a="1"/>
  <c r="K9" i="3" s="1"/>
  <c r="J9" i="3" a="1"/>
  <c r="J9" i="3" s="1"/>
  <c r="I9" i="3" a="1"/>
  <c r="I9" i="3" s="1"/>
  <c r="H9" i="3" a="1"/>
  <c r="H9" i="3" s="1"/>
  <c r="G9" i="3" a="1"/>
  <c r="G9" i="3" s="1"/>
  <c r="F9" i="3" a="1"/>
  <c r="F9" i="3" s="1"/>
  <c r="E9" i="3" a="1"/>
  <c r="E9" i="3" s="1"/>
  <c r="D9" i="3" a="1"/>
  <c r="D9" i="3" s="1"/>
  <c r="C9" i="3" a="1"/>
  <c r="C9" i="3" s="1"/>
  <c r="A9" i="3" s="1"/>
  <c r="L8" i="3" a="1"/>
  <c r="L8" i="3" s="1"/>
  <c r="K8" i="3" a="1"/>
  <c r="K8" i="3" s="1"/>
  <c r="J8" i="3" a="1"/>
  <c r="J8" i="3" s="1"/>
  <c r="I8" i="3" a="1"/>
  <c r="I8" i="3" s="1"/>
  <c r="H8" i="3" a="1"/>
  <c r="H8" i="3" s="1"/>
  <c r="G8" i="3" a="1"/>
  <c r="G8" i="3" s="1"/>
  <c r="F8" i="3" a="1"/>
  <c r="F8" i="3" s="1"/>
  <c r="E8" i="3" a="1"/>
  <c r="E8" i="3" s="1"/>
  <c r="D8" i="3" a="1"/>
  <c r="D8" i="3" s="1"/>
  <c r="C8" i="3" a="1"/>
  <c r="C8" i="3" s="1"/>
  <c r="A8" i="3" s="1"/>
  <c r="L7" i="3" a="1"/>
  <c r="L7" i="3" s="1"/>
  <c r="K7" i="3" a="1"/>
  <c r="K7" i="3" s="1"/>
  <c r="J7" i="3" a="1"/>
  <c r="J7" i="3" s="1"/>
  <c r="I7" i="3" a="1"/>
  <c r="I7" i="3" s="1"/>
  <c r="H7" i="3" a="1"/>
  <c r="H7" i="3" s="1"/>
  <c r="G7" i="3" a="1"/>
  <c r="G7" i="3" s="1"/>
  <c r="F7" i="3" a="1"/>
  <c r="F7" i="3" s="1"/>
  <c r="E7" i="3" a="1"/>
  <c r="E7" i="3" s="1"/>
  <c r="D7" i="3" a="1"/>
  <c r="D7" i="3" s="1"/>
  <c r="C7" i="3" a="1"/>
  <c r="C7" i="3" s="1"/>
  <c r="A7" i="3" s="1"/>
  <c r="L6" i="3" a="1"/>
  <c r="L6" i="3" s="1"/>
  <c r="K6" i="3" a="1"/>
  <c r="K6" i="3" s="1"/>
  <c r="J6" i="3" a="1"/>
  <c r="J6" i="3" s="1"/>
  <c r="I6" i="3" a="1"/>
  <c r="I6" i="3" s="1"/>
  <c r="H6" i="3" a="1"/>
  <c r="H6" i="3" s="1"/>
  <c r="G6" i="3" a="1"/>
  <c r="G6" i="3" s="1"/>
  <c r="F6" i="3" a="1"/>
  <c r="F6" i="3" s="1"/>
  <c r="E6" i="3" a="1"/>
  <c r="E6" i="3" s="1"/>
  <c r="D6" i="3" a="1"/>
  <c r="D6" i="3" s="1"/>
  <c r="C6" i="3" a="1"/>
  <c r="C6" i="3" s="1"/>
  <c r="A6" i="3" s="1"/>
  <c r="L5" i="3" a="1"/>
  <c r="L5" i="3" s="1"/>
  <c r="K5" i="3" a="1"/>
  <c r="K5" i="3" s="1"/>
  <c r="J5" i="3" a="1"/>
  <c r="J5" i="3" s="1"/>
  <c r="I5" i="3" a="1"/>
  <c r="I5" i="3" s="1"/>
  <c r="H5" i="3" a="1"/>
  <c r="H5" i="3" s="1"/>
  <c r="G5" i="3" a="1"/>
  <c r="G5" i="3" s="1"/>
  <c r="F5" i="3" a="1"/>
  <c r="F5" i="3" s="1"/>
  <c r="E5" i="3" a="1"/>
  <c r="E5" i="3" s="1"/>
  <c r="D5" i="3" a="1"/>
  <c r="D5" i="3" s="1"/>
  <c r="C5" i="3" a="1"/>
  <c r="C5" i="3" s="1"/>
  <c r="A5" i="3" s="1"/>
  <c r="L4" i="3" a="1"/>
  <c r="L4" i="3" s="1"/>
  <c r="K4" i="3" a="1"/>
  <c r="K4" i="3" s="1"/>
  <c r="J4" i="3" a="1"/>
  <c r="J4" i="3" s="1"/>
  <c r="G4" i="3" a="1"/>
  <c r="G4" i="3" s="1"/>
  <c r="F4" i="3" a="1"/>
  <c r="F4" i="3" s="1"/>
  <c r="E4" i="3" a="1"/>
  <c r="E4" i="3" s="1"/>
  <c r="D4" i="3" a="1"/>
  <c r="D4" i="3" s="1"/>
  <c r="C4" i="3" a="1"/>
  <c r="C4" i="3" s="1"/>
  <c r="A4" i="3" s="1"/>
  <c r="L3" i="3" a="1"/>
  <c r="L3" i="3" s="1"/>
  <c r="K3" i="3" a="1"/>
  <c r="K3" i="3" s="1"/>
  <c r="G3" i="3" a="1"/>
  <c r="G3" i="3" s="1"/>
  <c r="E3" i="3" a="1"/>
  <c r="E3" i="3" s="1"/>
  <c r="D3" i="3" a="1"/>
  <c r="D3" i="3" s="1"/>
  <c r="C3" i="3" a="1"/>
  <c r="C3" i="3" s="1"/>
  <c r="A3" i="3" s="1"/>
  <c r="L2" i="3" a="1"/>
  <c r="L2" i="3" s="1"/>
  <c r="K2" i="3" a="1"/>
  <c r="K2" i="3" s="1"/>
  <c r="J2" i="3" a="1"/>
  <c r="J2" i="3" s="1"/>
  <c r="G2" i="3" a="1"/>
  <c r="G2" i="3" s="1"/>
  <c r="E2" i="3" a="1"/>
  <c r="E2" i="3" s="1"/>
  <c r="D2" i="3" a="1"/>
  <c r="D2" i="3" s="1"/>
  <c r="C2" i="3" a="1"/>
  <c r="C2" i="3" s="1"/>
  <c r="A2" i="3" s="1"/>
  <c r="K1005" i="2"/>
  <c r="I1005" i="2"/>
  <c r="A1005" i="2"/>
  <c r="K1004" i="2"/>
  <c r="I1004" i="2"/>
  <c r="A1004" i="2"/>
  <c r="K1003" i="2"/>
  <c r="I1003" i="2"/>
  <c r="A1003" i="2"/>
  <c r="K1002" i="2"/>
  <c r="I1002" i="2"/>
  <c r="A1002" i="2"/>
  <c r="K1001" i="2"/>
  <c r="I1001" i="2"/>
  <c r="A1001" i="2"/>
  <c r="K1000" i="2"/>
  <c r="I1000" i="2"/>
  <c r="A1000" i="2"/>
  <c r="K999" i="2"/>
  <c r="I999" i="2"/>
  <c r="A999" i="2"/>
  <c r="K998" i="2"/>
  <c r="I998" i="2"/>
  <c r="A998" i="2"/>
  <c r="K997" i="2"/>
  <c r="I997" i="2"/>
  <c r="A997" i="2"/>
  <c r="K996" i="2"/>
  <c r="I996" i="2"/>
  <c r="A996" i="2"/>
  <c r="K995" i="2"/>
  <c r="I995" i="2"/>
  <c r="A995" i="2"/>
  <c r="K994" i="2"/>
  <c r="I994" i="2"/>
  <c r="A994" i="2"/>
  <c r="K993" i="2"/>
  <c r="I993" i="2"/>
  <c r="A993" i="2"/>
  <c r="K992" i="2"/>
  <c r="I992" i="2"/>
  <c r="A992" i="2"/>
  <c r="K991" i="2"/>
  <c r="I991" i="2"/>
  <c r="A991" i="2"/>
  <c r="K990" i="2"/>
  <c r="I990" i="2"/>
  <c r="A990" i="2"/>
  <c r="K989" i="2"/>
  <c r="I989" i="2"/>
  <c r="A989" i="2"/>
  <c r="K988" i="2"/>
  <c r="I988" i="2"/>
  <c r="A988" i="2"/>
  <c r="K987" i="2"/>
  <c r="I987" i="2"/>
  <c r="A987" i="2"/>
  <c r="K986" i="2"/>
  <c r="I986" i="2"/>
  <c r="A986" i="2"/>
  <c r="K985" i="2"/>
  <c r="I985" i="2"/>
  <c r="A985" i="2"/>
  <c r="K984" i="2"/>
  <c r="I984" i="2"/>
  <c r="A984" i="2"/>
  <c r="K983" i="2"/>
  <c r="I983" i="2"/>
  <c r="A983" i="2"/>
  <c r="K982" i="2"/>
  <c r="I982" i="2"/>
  <c r="A982" i="2"/>
  <c r="K981" i="2"/>
  <c r="I981" i="2"/>
  <c r="A981" i="2"/>
  <c r="K980" i="2"/>
  <c r="I980" i="2"/>
  <c r="A980" i="2"/>
  <c r="K979" i="2"/>
  <c r="I979" i="2"/>
  <c r="A979" i="2"/>
  <c r="K978" i="2"/>
  <c r="I978" i="2"/>
  <c r="A978" i="2"/>
  <c r="K977" i="2"/>
  <c r="I977" i="2"/>
  <c r="A977" i="2"/>
  <c r="K976" i="2"/>
  <c r="I976" i="2"/>
  <c r="A976" i="2"/>
  <c r="K975" i="2"/>
  <c r="I975" i="2"/>
  <c r="A975" i="2"/>
  <c r="K974" i="2"/>
  <c r="I974" i="2"/>
  <c r="A974" i="2"/>
  <c r="K973" i="2"/>
  <c r="I973" i="2"/>
  <c r="A973" i="2"/>
  <c r="K972" i="2"/>
  <c r="I972" i="2"/>
  <c r="A972" i="2"/>
  <c r="K971" i="2"/>
  <c r="I971" i="2"/>
  <c r="A971" i="2"/>
  <c r="K970" i="2"/>
  <c r="I970" i="2"/>
  <c r="A970" i="2"/>
  <c r="K969" i="2"/>
  <c r="I969" i="2"/>
  <c r="A969" i="2"/>
  <c r="K968" i="2"/>
  <c r="I968" i="2"/>
  <c r="A968" i="2"/>
  <c r="K967" i="2"/>
  <c r="I967" i="2"/>
  <c r="A967" i="2"/>
  <c r="K966" i="2"/>
  <c r="I966" i="2"/>
  <c r="A966" i="2"/>
  <c r="K965" i="2"/>
  <c r="I965" i="2"/>
  <c r="A965" i="2"/>
  <c r="K964" i="2"/>
  <c r="I964" i="2"/>
  <c r="A964" i="2"/>
  <c r="K963" i="2"/>
  <c r="I963" i="2"/>
  <c r="A963" i="2"/>
  <c r="K962" i="2"/>
  <c r="I962" i="2"/>
  <c r="A962" i="2"/>
  <c r="K961" i="2"/>
  <c r="I961" i="2"/>
  <c r="A961" i="2"/>
  <c r="K960" i="2"/>
  <c r="I960" i="2"/>
  <c r="A960" i="2"/>
  <c r="K959" i="2"/>
  <c r="I959" i="2"/>
  <c r="A959" i="2"/>
  <c r="K958" i="2"/>
  <c r="I958" i="2"/>
  <c r="A958" i="2"/>
  <c r="K957" i="2"/>
  <c r="I957" i="2"/>
  <c r="A957" i="2"/>
  <c r="K956" i="2"/>
  <c r="I956" i="2"/>
  <c r="A956" i="2"/>
  <c r="K955" i="2"/>
  <c r="I955" i="2"/>
  <c r="A955" i="2"/>
  <c r="K954" i="2"/>
  <c r="I954" i="2"/>
  <c r="A954" i="2"/>
  <c r="K953" i="2"/>
  <c r="I953" i="2"/>
  <c r="A953" i="2"/>
  <c r="K952" i="2"/>
  <c r="I952" i="2"/>
  <c r="A952" i="2"/>
  <c r="K951" i="2"/>
  <c r="I951" i="2"/>
  <c r="A951" i="2"/>
  <c r="K950" i="2"/>
  <c r="I950" i="2"/>
  <c r="A950" i="2"/>
  <c r="K949" i="2"/>
  <c r="I949" i="2"/>
  <c r="A949" i="2"/>
  <c r="K948" i="2"/>
  <c r="I948" i="2"/>
  <c r="A948" i="2"/>
  <c r="K947" i="2"/>
  <c r="I947" i="2"/>
  <c r="A947" i="2"/>
  <c r="K946" i="2"/>
  <c r="I946" i="2"/>
  <c r="A946" i="2"/>
  <c r="K945" i="2"/>
  <c r="I945" i="2"/>
  <c r="A945" i="2"/>
  <c r="K944" i="2"/>
  <c r="I944" i="2"/>
  <c r="A944" i="2"/>
  <c r="K943" i="2"/>
  <c r="I943" i="2"/>
  <c r="A943" i="2"/>
  <c r="K942" i="2"/>
  <c r="I942" i="2"/>
  <c r="A942" i="2"/>
  <c r="K941" i="2"/>
  <c r="I941" i="2"/>
  <c r="A941" i="2"/>
  <c r="K940" i="2"/>
  <c r="I940" i="2"/>
  <c r="A940" i="2"/>
  <c r="K939" i="2"/>
  <c r="I939" i="2"/>
  <c r="A939" i="2"/>
  <c r="K938" i="2"/>
  <c r="I938" i="2"/>
  <c r="A938" i="2"/>
  <c r="K937" i="2"/>
  <c r="I937" i="2"/>
  <c r="A937" i="2"/>
  <c r="K936" i="2"/>
  <c r="I936" i="2"/>
  <c r="A936" i="2"/>
  <c r="K935" i="2"/>
  <c r="I935" i="2"/>
  <c r="A935" i="2"/>
  <c r="K934" i="2"/>
  <c r="I934" i="2"/>
  <c r="A934" i="2"/>
  <c r="K933" i="2"/>
  <c r="I933" i="2"/>
  <c r="A933" i="2"/>
  <c r="K932" i="2"/>
  <c r="I932" i="2"/>
  <c r="A932" i="2"/>
  <c r="K931" i="2"/>
  <c r="I931" i="2"/>
  <c r="A931" i="2"/>
  <c r="K930" i="2"/>
  <c r="I930" i="2"/>
  <c r="A930" i="2"/>
  <c r="K929" i="2"/>
  <c r="I929" i="2"/>
  <c r="A929" i="2"/>
  <c r="K928" i="2"/>
  <c r="I928" i="2"/>
  <c r="A928" i="2"/>
  <c r="K927" i="2"/>
  <c r="I927" i="2"/>
  <c r="A927" i="2"/>
  <c r="K926" i="2"/>
  <c r="I926" i="2"/>
  <c r="A926" i="2"/>
  <c r="K925" i="2"/>
  <c r="I925" i="2"/>
  <c r="A925" i="2"/>
  <c r="K924" i="2"/>
  <c r="I924" i="2"/>
  <c r="A924" i="2"/>
  <c r="K923" i="2"/>
  <c r="I923" i="2"/>
  <c r="A923" i="2"/>
  <c r="K922" i="2"/>
  <c r="I922" i="2"/>
  <c r="A922" i="2"/>
  <c r="K921" i="2"/>
  <c r="I921" i="2"/>
  <c r="A921" i="2"/>
  <c r="K920" i="2"/>
  <c r="I920" i="2"/>
  <c r="A920" i="2"/>
  <c r="K919" i="2"/>
  <c r="I919" i="2"/>
  <c r="A919" i="2"/>
  <c r="K918" i="2"/>
  <c r="I918" i="2"/>
  <c r="A918" i="2"/>
  <c r="K917" i="2"/>
  <c r="I917" i="2"/>
  <c r="A917" i="2"/>
  <c r="K916" i="2"/>
  <c r="I916" i="2"/>
  <c r="A916" i="2"/>
  <c r="K915" i="2"/>
  <c r="I915" i="2"/>
  <c r="A915" i="2"/>
  <c r="K914" i="2"/>
  <c r="I914" i="2"/>
  <c r="A914" i="2"/>
  <c r="K913" i="2"/>
  <c r="I913" i="2"/>
  <c r="A913" i="2"/>
  <c r="K912" i="2"/>
  <c r="I912" i="2"/>
  <c r="A912" i="2"/>
  <c r="K911" i="2"/>
  <c r="I911" i="2"/>
  <c r="A911" i="2"/>
  <c r="K910" i="2"/>
  <c r="I910" i="2"/>
  <c r="A910" i="2"/>
  <c r="K909" i="2"/>
  <c r="I909" i="2"/>
  <c r="A909" i="2"/>
  <c r="K908" i="2"/>
  <c r="I908" i="2"/>
  <c r="A908" i="2"/>
  <c r="K907" i="2"/>
  <c r="I907" i="2"/>
  <c r="A907" i="2"/>
  <c r="K906" i="2"/>
  <c r="I906" i="2"/>
  <c r="A906" i="2"/>
  <c r="K905" i="2"/>
  <c r="I905" i="2"/>
  <c r="A905" i="2"/>
  <c r="K904" i="2"/>
  <c r="I904" i="2"/>
  <c r="A904" i="2"/>
  <c r="K903" i="2"/>
  <c r="I903" i="2"/>
  <c r="A903" i="2"/>
  <c r="K902" i="2"/>
  <c r="I902" i="2"/>
  <c r="A902" i="2"/>
  <c r="K901" i="2"/>
  <c r="I901" i="2"/>
  <c r="A901" i="2"/>
  <c r="K900" i="2"/>
  <c r="I900" i="2"/>
  <c r="A900" i="2"/>
  <c r="K899" i="2"/>
  <c r="I899" i="2"/>
  <c r="A899" i="2"/>
  <c r="K898" i="2"/>
  <c r="I898" i="2"/>
  <c r="A898" i="2"/>
  <c r="K897" i="2"/>
  <c r="I897" i="2"/>
  <c r="A897" i="2"/>
  <c r="K896" i="2"/>
  <c r="I896" i="2"/>
  <c r="A896" i="2"/>
  <c r="K895" i="2"/>
  <c r="I895" i="2"/>
  <c r="A895" i="2"/>
  <c r="K894" i="2"/>
  <c r="I894" i="2"/>
  <c r="A894" i="2"/>
  <c r="K893" i="2"/>
  <c r="I893" i="2"/>
  <c r="A893" i="2"/>
  <c r="K892" i="2"/>
  <c r="I892" i="2"/>
  <c r="A892" i="2"/>
  <c r="K891" i="2"/>
  <c r="I891" i="2"/>
  <c r="A891" i="2"/>
  <c r="K890" i="2"/>
  <c r="I890" i="2"/>
  <c r="A890" i="2"/>
  <c r="K889" i="2"/>
  <c r="I889" i="2"/>
  <c r="A889" i="2"/>
  <c r="K888" i="2"/>
  <c r="I888" i="2"/>
  <c r="A888" i="2"/>
  <c r="K887" i="2"/>
  <c r="I887" i="2"/>
  <c r="A887" i="2"/>
  <c r="K886" i="2"/>
  <c r="I886" i="2"/>
  <c r="A886" i="2"/>
  <c r="K885" i="2"/>
  <c r="I885" i="2"/>
  <c r="A885" i="2"/>
  <c r="K884" i="2"/>
  <c r="I884" i="2"/>
  <c r="A884" i="2"/>
  <c r="K883" i="2"/>
  <c r="I883" i="2"/>
  <c r="A883" i="2"/>
  <c r="K882" i="2"/>
  <c r="I882" i="2"/>
  <c r="A882" i="2"/>
  <c r="K881" i="2"/>
  <c r="I881" i="2"/>
  <c r="A881" i="2"/>
  <c r="K880" i="2"/>
  <c r="I880" i="2"/>
  <c r="A880" i="2"/>
  <c r="K879" i="2"/>
  <c r="I879" i="2"/>
  <c r="A879" i="2"/>
  <c r="K878" i="2"/>
  <c r="I878" i="2"/>
  <c r="A878" i="2"/>
  <c r="K877" i="2"/>
  <c r="I877" i="2"/>
  <c r="A877" i="2"/>
  <c r="K876" i="2"/>
  <c r="I876" i="2"/>
  <c r="A876" i="2"/>
  <c r="K875" i="2"/>
  <c r="I875" i="2"/>
  <c r="A875" i="2"/>
  <c r="K874" i="2"/>
  <c r="I874" i="2"/>
  <c r="A874" i="2"/>
  <c r="K873" i="2"/>
  <c r="I873" i="2"/>
  <c r="A873" i="2"/>
  <c r="K872" i="2"/>
  <c r="I872" i="2"/>
  <c r="A872" i="2"/>
  <c r="K871" i="2"/>
  <c r="I871" i="2"/>
  <c r="A871" i="2"/>
  <c r="K870" i="2"/>
  <c r="I870" i="2"/>
  <c r="A870" i="2"/>
  <c r="K869" i="2"/>
  <c r="I869" i="2"/>
  <c r="A869" i="2"/>
  <c r="K868" i="2"/>
  <c r="I868" i="2"/>
  <c r="A868" i="2"/>
  <c r="K867" i="2"/>
  <c r="I867" i="2"/>
  <c r="A867" i="2"/>
  <c r="K866" i="2"/>
  <c r="I866" i="2"/>
  <c r="A866" i="2"/>
  <c r="K865" i="2"/>
  <c r="I865" i="2"/>
  <c r="A865" i="2"/>
  <c r="K864" i="2"/>
  <c r="I864" i="2"/>
  <c r="A864" i="2"/>
  <c r="K863" i="2"/>
  <c r="I863" i="2"/>
  <c r="A863" i="2"/>
  <c r="K862" i="2"/>
  <c r="I862" i="2"/>
  <c r="A862" i="2"/>
  <c r="K861" i="2"/>
  <c r="I861" i="2"/>
  <c r="A861" i="2"/>
  <c r="K860" i="2"/>
  <c r="I860" i="2"/>
  <c r="A860" i="2"/>
  <c r="K859" i="2"/>
  <c r="I859" i="2"/>
  <c r="A859" i="2"/>
  <c r="K858" i="2"/>
  <c r="I858" i="2"/>
  <c r="A858" i="2"/>
  <c r="K857" i="2"/>
  <c r="I857" i="2"/>
  <c r="A857" i="2"/>
  <c r="K856" i="2"/>
  <c r="I856" i="2"/>
  <c r="A856" i="2"/>
  <c r="K855" i="2"/>
  <c r="I855" i="2"/>
  <c r="A855" i="2"/>
  <c r="K854" i="2"/>
  <c r="I854" i="2"/>
  <c r="A854" i="2"/>
  <c r="K853" i="2"/>
  <c r="I853" i="2"/>
  <c r="A853" i="2"/>
  <c r="K852" i="2"/>
  <c r="I852" i="2"/>
  <c r="A852" i="2"/>
  <c r="K851" i="2"/>
  <c r="I851" i="2"/>
  <c r="A851" i="2"/>
  <c r="K850" i="2"/>
  <c r="I850" i="2"/>
  <c r="A850" i="2"/>
  <c r="K849" i="2"/>
  <c r="I849" i="2"/>
  <c r="A849" i="2"/>
  <c r="K848" i="2"/>
  <c r="I848" i="2"/>
  <c r="A848" i="2"/>
  <c r="K847" i="2"/>
  <c r="I847" i="2"/>
  <c r="A847" i="2"/>
  <c r="K846" i="2"/>
  <c r="I846" i="2"/>
  <c r="A846" i="2"/>
  <c r="K845" i="2"/>
  <c r="I845" i="2"/>
  <c r="A845" i="2"/>
  <c r="K844" i="2"/>
  <c r="I844" i="2"/>
  <c r="A844" i="2"/>
  <c r="K843" i="2"/>
  <c r="I843" i="2"/>
  <c r="A843" i="2"/>
  <c r="K842" i="2"/>
  <c r="I842" i="2"/>
  <c r="A842" i="2"/>
  <c r="K841" i="2"/>
  <c r="I841" i="2"/>
  <c r="A841" i="2"/>
  <c r="K840" i="2"/>
  <c r="I840" i="2"/>
  <c r="A840" i="2"/>
  <c r="K839" i="2"/>
  <c r="I839" i="2"/>
  <c r="A839" i="2"/>
  <c r="K838" i="2"/>
  <c r="I838" i="2"/>
  <c r="A838" i="2"/>
  <c r="K837" i="2"/>
  <c r="I837" i="2"/>
  <c r="A837" i="2"/>
  <c r="K836" i="2"/>
  <c r="I836" i="2"/>
  <c r="A836" i="2"/>
  <c r="K835" i="2"/>
  <c r="I835" i="2"/>
  <c r="A835" i="2"/>
  <c r="K834" i="2"/>
  <c r="I834" i="2"/>
  <c r="A834" i="2"/>
  <c r="K833" i="2"/>
  <c r="I833" i="2"/>
  <c r="A833" i="2"/>
  <c r="K832" i="2"/>
  <c r="I832" i="2"/>
  <c r="A832" i="2"/>
  <c r="K831" i="2"/>
  <c r="I831" i="2"/>
  <c r="A831" i="2"/>
  <c r="K830" i="2"/>
  <c r="I830" i="2"/>
  <c r="A830" i="2"/>
  <c r="K829" i="2"/>
  <c r="I829" i="2"/>
  <c r="A829" i="2"/>
  <c r="K828" i="2"/>
  <c r="I828" i="2"/>
  <c r="A828" i="2"/>
  <c r="K827" i="2"/>
  <c r="I827" i="2"/>
  <c r="A827" i="2"/>
  <c r="K826" i="2"/>
  <c r="I826" i="2"/>
  <c r="A826" i="2"/>
  <c r="K825" i="2"/>
  <c r="I825" i="2"/>
  <c r="A825" i="2"/>
  <c r="K824" i="2"/>
  <c r="I824" i="2"/>
  <c r="A824" i="2"/>
  <c r="K823" i="2"/>
  <c r="I823" i="2"/>
  <c r="A823" i="2"/>
  <c r="K822" i="2"/>
  <c r="I822" i="2"/>
  <c r="A822" i="2"/>
  <c r="K821" i="2"/>
  <c r="I821" i="2"/>
  <c r="A821" i="2"/>
  <c r="K820" i="2"/>
  <c r="I820" i="2"/>
  <c r="A820" i="2"/>
  <c r="K819" i="2"/>
  <c r="I819" i="2"/>
  <c r="A819" i="2"/>
  <c r="K818" i="2"/>
  <c r="I818" i="2"/>
  <c r="A818" i="2"/>
  <c r="K817" i="2"/>
  <c r="I817" i="2"/>
  <c r="A817" i="2"/>
  <c r="K816" i="2"/>
  <c r="I816" i="2"/>
  <c r="A816" i="2"/>
  <c r="K815" i="2"/>
  <c r="I815" i="2"/>
  <c r="A815" i="2"/>
  <c r="K814" i="2"/>
  <c r="I814" i="2"/>
  <c r="A814" i="2"/>
  <c r="K813" i="2"/>
  <c r="I813" i="2"/>
  <c r="A813" i="2"/>
  <c r="K812" i="2"/>
  <c r="I812" i="2"/>
  <c r="A812" i="2"/>
  <c r="K811" i="2"/>
  <c r="I811" i="2"/>
  <c r="A811" i="2"/>
  <c r="K810" i="2"/>
  <c r="I810" i="2"/>
  <c r="A810" i="2"/>
  <c r="K809" i="2"/>
  <c r="I809" i="2"/>
  <c r="A809" i="2"/>
  <c r="K808" i="2"/>
  <c r="I808" i="2"/>
  <c r="A808" i="2"/>
  <c r="K807" i="2"/>
  <c r="I807" i="2"/>
  <c r="A807" i="2"/>
  <c r="K806" i="2"/>
  <c r="I806" i="2"/>
  <c r="A806" i="2"/>
  <c r="K805" i="2"/>
  <c r="I805" i="2"/>
  <c r="A805" i="2"/>
  <c r="K804" i="2"/>
  <c r="I804" i="2"/>
  <c r="A804" i="2"/>
  <c r="K803" i="2"/>
  <c r="I803" i="2"/>
  <c r="A803" i="2"/>
  <c r="K802" i="2"/>
  <c r="I802" i="2"/>
  <c r="A802" i="2"/>
  <c r="K801" i="2"/>
  <c r="I801" i="2"/>
  <c r="A801" i="2"/>
  <c r="K800" i="2"/>
  <c r="I800" i="2"/>
  <c r="A800" i="2"/>
  <c r="K799" i="2"/>
  <c r="I799" i="2"/>
  <c r="A799" i="2"/>
  <c r="K798" i="2"/>
  <c r="I798" i="2"/>
  <c r="A798" i="2"/>
  <c r="K797" i="2"/>
  <c r="I797" i="2"/>
  <c r="A797" i="2"/>
  <c r="K796" i="2"/>
  <c r="I796" i="2"/>
  <c r="A796" i="2"/>
  <c r="K795" i="2"/>
  <c r="I795" i="2"/>
  <c r="A795" i="2"/>
  <c r="K794" i="2"/>
  <c r="I794" i="2"/>
  <c r="A794" i="2"/>
  <c r="K793" i="2"/>
  <c r="I793" i="2"/>
  <c r="A793" i="2"/>
  <c r="K792" i="2"/>
  <c r="I792" i="2"/>
  <c r="A792" i="2"/>
  <c r="K791" i="2"/>
  <c r="I791" i="2"/>
  <c r="A791" i="2"/>
  <c r="K790" i="2"/>
  <c r="I790" i="2"/>
  <c r="A790" i="2"/>
  <c r="K789" i="2"/>
  <c r="I789" i="2"/>
  <c r="A789" i="2"/>
  <c r="K788" i="2"/>
  <c r="I788" i="2"/>
  <c r="A788" i="2"/>
  <c r="K787" i="2"/>
  <c r="I787" i="2"/>
  <c r="A787" i="2"/>
  <c r="K786" i="2"/>
  <c r="I786" i="2"/>
  <c r="A786" i="2"/>
  <c r="K785" i="2"/>
  <c r="I785" i="2"/>
  <c r="A785" i="2"/>
  <c r="K784" i="2"/>
  <c r="I784" i="2"/>
  <c r="A784" i="2"/>
  <c r="K783" i="2"/>
  <c r="I783" i="2"/>
  <c r="A783" i="2"/>
  <c r="K782" i="2"/>
  <c r="I782" i="2"/>
  <c r="A782" i="2"/>
  <c r="K781" i="2"/>
  <c r="I781" i="2"/>
  <c r="A781" i="2"/>
  <c r="K780" i="2"/>
  <c r="I780" i="2"/>
  <c r="A780" i="2"/>
  <c r="K779" i="2"/>
  <c r="I779" i="2"/>
  <c r="A779" i="2"/>
  <c r="K778" i="2"/>
  <c r="I778" i="2"/>
  <c r="A778" i="2"/>
  <c r="K777" i="2"/>
  <c r="I777" i="2"/>
  <c r="A777" i="2"/>
  <c r="K776" i="2"/>
  <c r="I776" i="2"/>
  <c r="A776" i="2"/>
  <c r="K775" i="2"/>
  <c r="I775" i="2"/>
  <c r="A775" i="2"/>
  <c r="K774" i="2"/>
  <c r="I774" i="2"/>
  <c r="A774" i="2"/>
  <c r="K773" i="2"/>
  <c r="I773" i="2"/>
  <c r="A773" i="2"/>
  <c r="K772" i="2"/>
  <c r="I772" i="2"/>
  <c r="A772" i="2"/>
  <c r="K771" i="2"/>
  <c r="I771" i="2"/>
  <c r="A771" i="2"/>
  <c r="K770" i="2"/>
  <c r="I770" i="2"/>
  <c r="A770" i="2"/>
  <c r="K769" i="2"/>
  <c r="I769" i="2"/>
  <c r="A769" i="2"/>
  <c r="K768" i="2"/>
  <c r="I768" i="2"/>
  <c r="A768" i="2"/>
  <c r="K767" i="2"/>
  <c r="I767" i="2"/>
  <c r="A767" i="2"/>
  <c r="K766" i="2"/>
  <c r="I766" i="2"/>
  <c r="A766" i="2"/>
  <c r="K765" i="2"/>
  <c r="I765" i="2"/>
  <c r="A765" i="2"/>
  <c r="K764" i="2"/>
  <c r="I764" i="2"/>
  <c r="A764" i="2"/>
  <c r="K763" i="2"/>
  <c r="I763" i="2"/>
  <c r="A763" i="2"/>
  <c r="K762" i="2"/>
  <c r="I762" i="2"/>
  <c r="A762" i="2"/>
  <c r="K761" i="2"/>
  <c r="I761" i="2"/>
  <c r="A761" i="2"/>
  <c r="K760" i="2"/>
  <c r="I760" i="2"/>
  <c r="A760" i="2"/>
  <c r="K759" i="2"/>
  <c r="I759" i="2"/>
  <c r="A759" i="2"/>
  <c r="K758" i="2"/>
  <c r="I758" i="2"/>
  <c r="A758" i="2"/>
  <c r="K757" i="2"/>
  <c r="I757" i="2"/>
  <c r="A757" i="2"/>
  <c r="K756" i="2"/>
  <c r="I756" i="2"/>
  <c r="A756" i="2"/>
  <c r="K755" i="2"/>
  <c r="I755" i="2"/>
  <c r="A755" i="2"/>
  <c r="K754" i="2"/>
  <c r="I754" i="2"/>
  <c r="A754" i="2"/>
  <c r="K753" i="2"/>
  <c r="I753" i="2"/>
  <c r="A753" i="2"/>
  <c r="K752" i="2"/>
  <c r="I752" i="2"/>
  <c r="A752" i="2"/>
  <c r="K751" i="2"/>
  <c r="I751" i="2"/>
  <c r="A751" i="2"/>
  <c r="K750" i="2"/>
  <c r="I750" i="2"/>
  <c r="A750" i="2"/>
  <c r="K749" i="2"/>
  <c r="I749" i="2"/>
  <c r="A749" i="2"/>
  <c r="K748" i="2"/>
  <c r="I748" i="2"/>
  <c r="A748" i="2"/>
  <c r="K747" i="2"/>
  <c r="I747" i="2"/>
  <c r="A747" i="2"/>
  <c r="K746" i="2"/>
  <c r="I746" i="2"/>
  <c r="A746" i="2"/>
  <c r="K745" i="2"/>
  <c r="I745" i="2"/>
  <c r="A745" i="2"/>
  <c r="K744" i="2"/>
  <c r="I744" i="2"/>
  <c r="A744" i="2"/>
  <c r="K743" i="2"/>
  <c r="I743" i="2"/>
  <c r="A743" i="2"/>
  <c r="K742" i="2"/>
  <c r="I742" i="2"/>
  <c r="A742" i="2"/>
  <c r="K741" i="2"/>
  <c r="I741" i="2"/>
  <c r="A741" i="2"/>
  <c r="K740" i="2"/>
  <c r="I740" i="2"/>
  <c r="A740" i="2"/>
  <c r="K739" i="2"/>
  <c r="I739" i="2"/>
  <c r="A739" i="2"/>
  <c r="K738" i="2"/>
  <c r="I738" i="2"/>
  <c r="A738" i="2"/>
  <c r="K737" i="2"/>
  <c r="I737" i="2"/>
  <c r="A737" i="2"/>
  <c r="K736" i="2"/>
  <c r="I736" i="2"/>
  <c r="A736" i="2"/>
  <c r="K735" i="2"/>
  <c r="I735" i="2"/>
  <c r="A735" i="2"/>
  <c r="K734" i="2"/>
  <c r="I734" i="2"/>
  <c r="A734" i="2"/>
  <c r="K733" i="2"/>
  <c r="I733" i="2"/>
  <c r="A733" i="2"/>
  <c r="K732" i="2"/>
  <c r="I732" i="2"/>
  <c r="A732" i="2"/>
  <c r="K731" i="2"/>
  <c r="I731" i="2"/>
  <c r="A731" i="2"/>
  <c r="K730" i="2"/>
  <c r="I730" i="2"/>
  <c r="A730" i="2"/>
  <c r="K729" i="2"/>
  <c r="I729" i="2"/>
  <c r="A729" i="2"/>
  <c r="K728" i="2"/>
  <c r="I728" i="2"/>
  <c r="A728" i="2"/>
  <c r="K727" i="2"/>
  <c r="I727" i="2"/>
  <c r="A727" i="2"/>
  <c r="K726" i="2"/>
  <c r="I726" i="2"/>
  <c r="A726" i="2"/>
  <c r="K725" i="2"/>
  <c r="I725" i="2"/>
  <c r="A725" i="2"/>
  <c r="K724" i="2"/>
  <c r="I724" i="2"/>
  <c r="A724" i="2"/>
  <c r="K723" i="2"/>
  <c r="I723" i="2"/>
  <c r="A723" i="2"/>
  <c r="K722" i="2"/>
  <c r="I722" i="2"/>
  <c r="A722" i="2"/>
  <c r="K721" i="2"/>
  <c r="I721" i="2"/>
  <c r="A721" i="2"/>
  <c r="K720" i="2"/>
  <c r="I720" i="2"/>
  <c r="A720" i="2"/>
  <c r="K719" i="2"/>
  <c r="I719" i="2"/>
  <c r="A719" i="2"/>
  <c r="K718" i="2"/>
  <c r="I718" i="2"/>
  <c r="A718" i="2"/>
  <c r="K717" i="2"/>
  <c r="I717" i="2"/>
  <c r="A717" i="2"/>
  <c r="K716" i="2"/>
  <c r="I716" i="2"/>
  <c r="A716" i="2"/>
  <c r="K715" i="2"/>
  <c r="I715" i="2"/>
  <c r="A715" i="2"/>
  <c r="K714" i="2"/>
  <c r="I714" i="2"/>
  <c r="A714" i="2"/>
  <c r="K713" i="2"/>
  <c r="I713" i="2"/>
  <c r="A713" i="2"/>
  <c r="K712" i="2"/>
  <c r="I712" i="2"/>
  <c r="A712" i="2"/>
  <c r="K711" i="2"/>
  <c r="I711" i="2"/>
  <c r="A711" i="2"/>
  <c r="K710" i="2"/>
  <c r="I710" i="2"/>
  <c r="A710" i="2"/>
  <c r="K709" i="2"/>
  <c r="I709" i="2"/>
  <c r="A709" i="2"/>
  <c r="K708" i="2"/>
  <c r="I708" i="2"/>
  <c r="A708" i="2"/>
  <c r="K707" i="2"/>
  <c r="I707" i="2"/>
  <c r="A707" i="2"/>
  <c r="K706" i="2"/>
  <c r="I706" i="2"/>
  <c r="A706" i="2"/>
  <c r="K705" i="2"/>
  <c r="I705" i="2"/>
  <c r="A705" i="2"/>
  <c r="K704" i="2"/>
  <c r="I704" i="2"/>
  <c r="A704" i="2"/>
  <c r="K703" i="2"/>
  <c r="I703" i="2"/>
  <c r="A703" i="2"/>
  <c r="K702" i="2"/>
  <c r="I702" i="2"/>
  <c r="A702" i="2"/>
  <c r="K701" i="2"/>
  <c r="I701" i="2"/>
  <c r="A701" i="2"/>
  <c r="K700" i="2"/>
  <c r="I700" i="2"/>
  <c r="A700" i="2"/>
  <c r="K699" i="2"/>
  <c r="I699" i="2"/>
  <c r="A699" i="2"/>
  <c r="K698" i="2"/>
  <c r="I698" i="2"/>
  <c r="A698" i="2"/>
  <c r="K697" i="2"/>
  <c r="I697" i="2"/>
  <c r="A697" i="2"/>
  <c r="K696" i="2"/>
  <c r="I696" i="2"/>
  <c r="A696" i="2"/>
  <c r="K695" i="2"/>
  <c r="I695" i="2"/>
  <c r="A695" i="2"/>
  <c r="K694" i="2"/>
  <c r="I694" i="2"/>
  <c r="A694" i="2"/>
  <c r="K693" i="2"/>
  <c r="I693" i="2"/>
  <c r="A693" i="2"/>
  <c r="K692" i="2"/>
  <c r="I692" i="2"/>
  <c r="A692" i="2"/>
  <c r="K691" i="2"/>
  <c r="I691" i="2"/>
  <c r="A691" i="2"/>
  <c r="K690" i="2"/>
  <c r="I690" i="2"/>
  <c r="A690" i="2"/>
  <c r="K689" i="2"/>
  <c r="I689" i="2"/>
  <c r="A689" i="2"/>
  <c r="K688" i="2"/>
  <c r="I688" i="2"/>
  <c r="A688" i="2"/>
  <c r="K687" i="2"/>
  <c r="I687" i="2"/>
  <c r="A687" i="2"/>
  <c r="K686" i="2"/>
  <c r="I686" i="2"/>
  <c r="A686" i="2"/>
  <c r="K685" i="2"/>
  <c r="I685" i="2"/>
  <c r="A685" i="2"/>
  <c r="K684" i="2"/>
  <c r="I684" i="2"/>
  <c r="A684" i="2"/>
  <c r="K683" i="2"/>
  <c r="I683" i="2"/>
  <c r="A683" i="2"/>
  <c r="K682" i="2"/>
  <c r="I682" i="2"/>
  <c r="A682" i="2"/>
  <c r="K681" i="2"/>
  <c r="I681" i="2"/>
  <c r="A681" i="2"/>
  <c r="K680" i="2"/>
  <c r="I680" i="2"/>
  <c r="A680" i="2"/>
  <c r="K679" i="2"/>
  <c r="I679" i="2"/>
  <c r="A679" i="2"/>
  <c r="K678" i="2"/>
  <c r="I678" i="2"/>
  <c r="A678" i="2"/>
  <c r="K677" i="2"/>
  <c r="I677" i="2"/>
  <c r="A677" i="2"/>
  <c r="K676" i="2"/>
  <c r="I676" i="2"/>
  <c r="A676" i="2"/>
  <c r="K675" i="2"/>
  <c r="I675" i="2"/>
  <c r="A675" i="2"/>
  <c r="K674" i="2"/>
  <c r="I674" i="2"/>
  <c r="A674" i="2"/>
  <c r="K673" i="2"/>
  <c r="I673" i="2"/>
  <c r="A673" i="2"/>
  <c r="K672" i="2"/>
  <c r="I672" i="2"/>
  <c r="A672" i="2"/>
  <c r="K671" i="2"/>
  <c r="I671" i="2"/>
  <c r="A671" i="2"/>
  <c r="K670" i="2"/>
  <c r="I670" i="2"/>
  <c r="A670" i="2"/>
  <c r="K669" i="2"/>
  <c r="I669" i="2"/>
  <c r="A669" i="2"/>
  <c r="K668" i="2"/>
  <c r="I668" i="2"/>
  <c r="A668" i="2"/>
  <c r="K667" i="2"/>
  <c r="I667" i="2"/>
  <c r="A667" i="2"/>
  <c r="K666" i="2"/>
  <c r="I666" i="2"/>
  <c r="A666" i="2"/>
  <c r="K665" i="2"/>
  <c r="I665" i="2"/>
  <c r="A665" i="2"/>
  <c r="K664" i="2"/>
  <c r="I664" i="2"/>
  <c r="A664" i="2"/>
  <c r="K663" i="2"/>
  <c r="I663" i="2"/>
  <c r="A663" i="2"/>
  <c r="K662" i="2"/>
  <c r="I662" i="2"/>
  <c r="A662" i="2"/>
  <c r="K661" i="2"/>
  <c r="I661" i="2"/>
  <c r="A661" i="2"/>
  <c r="K660" i="2"/>
  <c r="I660" i="2"/>
  <c r="A660" i="2"/>
  <c r="K659" i="2"/>
  <c r="I659" i="2"/>
  <c r="A659" i="2"/>
  <c r="K658" i="2"/>
  <c r="I658" i="2"/>
  <c r="A658" i="2"/>
  <c r="K657" i="2"/>
  <c r="I657" i="2"/>
  <c r="A657" i="2"/>
  <c r="K656" i="2"/>
  <c r="I656" i="2"/>
  <c r="A656" i="2"/>
  <c r="K655" i="2"/>
  <c r="I655" i="2"/>
  <c r="A655" i="2"/>
  <c r="K654" i="2"/>
  <c r="I654" i="2"/>
  <c r="A654" i="2"/>
  <c r="K653" i="2"/>
  <c r="I653" i="2"/>
  <c r="A653" i="2"/>
  <c r="K652" i="2"/>
  <c r="I652" i="2"/>
  <c r="A652" i="2"/>
  <c r="K651" i="2"/>
  <c r="I651" i="2"/>
  <c r="A651" i="2"/>
  <c r="K650" i="2"/>
  <c r="I650" i="2"/>
  <c r="A650" i="2"/>
  <c r="K649" i="2"/>
  <c r="I649" i="2"/>
  <c r="A649" i="2"/>
  <c r="K648" i="2"/>
  <c r="I648" i="2"/>
  <c r="A648" i="2"/>
  <c r="K647" i="2"/>
  <c r="I647" i="2"/>
  <c r="A647" i="2"/>
  <c r="K646" i="2"/>
  <c r="I646" i="2"/>
  <c r="A646" i="2"/>
  <c r="K645" i="2"/>
  <c r="I645" i="2"/>
  <c r="A645" i="2"/>
  <c r="K644" i="2"/>
  <c r="I644" i="2"/>
  <c r="A644" i="2"/>
  <c r="K643" i="2"/>
  <c r="I643" i="2"/>
  <c r="A643" i="2"/>
  <c r="K642" i="2"/>
  <c r="I642" i="2"/>
  <c r="A642" i="2"/>
  <c r="K641" i="2"/>
  <c r="I641" i="2"/>
  <c r="A641" i="2"/>
  <c r="K640" i="2"/>
  <c r="I640" i="2"/>
  <c r="A640" i="2"/>
  <c r="K639" i="2"/>
  <c r="I639" i="2"/>
  <c r="A639" i="2"/>
  <c r="K638" i="2"/>
  <c r="I638" i="2"/>
  <c r="A638" i="2"/>
  <c r="K637" i="2"/>
  <c r="I637" i="2"/>
  <c r="A637" i="2"/>
  <c r="K636" i="2"/>
  <c r="I636" i="2"/>
  <c r="A636" i="2"/>
  <c r="K635" i="2"/>
  <c r="I635" i="2"/>
  <c r="A635" i="2"/>
  <c r="K634" i="2"/>
  <c r="I634" i="2"/>
  <c r="A634" i="2"/>
  <c r="K633" i="2"/>
  <c r="I633" i="2"/>
  <c r="A633" i="2"/>
  <c r="K632" i="2"/>
  <c r="I632" i="2"/>
  <c r="A632" i="2"/>
  <c r="K631" i="2"/>
  <c r="I631" i="2"/>
  <c r="A631" i="2"/>
  <c r="K630" i="2"/>
  <c r="I630" i="2"/>
  <c r="A630" i="2"/>
  <c r="K629" i="2"/>
  <c r="I629" i="2"/>
  <c r="A629" i="2"/>
  <c r="K628" i="2"/>
  <c r="I628" i="2"/>
  <c r="A628" i="2"/>
  <c r="K627" i="2"/>
  <c r="I627" i="2"/>
  <c r="A627" i="2"/>
  <c r="K626" i="2"/>
  <c r="I626" i="2"/>
  <c r="A626" i="2"/>
  <c r="K625" i="2"/>
  <c r="I625" i="2"/>
  <c r="A625" i="2"/>
  <c r="K624" i="2"/>
  <c r="I624" i="2"/>
  <c r="A624" i="2"/>
  <c r="K623" i="2"/>
  <c r="I623" i="2"/>
  <c r="A623" i="2"/>
  <c r="K622" i="2"/>
  <c r="I622" i="2"/>
  <c r="A622" i="2"/>
  <c r="K621" i="2"/>
  <c r="I621" i="2"/>
  <c r="A621" i="2"/>
  <c r="K620" i="2"/>
  <c r="I620" i="2"/>
  <c r="A620" i="2"/>
  <c r="K619" i="2"/>
  <c r="I619" i="2"/>
  <c r="A619" i="2"/>
  <c r="K618" i="2"/>
  <c r="I618" i="2"/>
  <c r="A618" i="2"/>
  <c r="K617" i="2"/>
  <c r="I617" i="2"/>
  <c r="A617" i="2"/>
  <c r="K616" i="2"/>
  <c r="I616" i="2"/>
  <c r="A616" i="2"/>
  <c r="K615" i="2"/>
  <c r="I615" i="2"/>
  <c r="A615" i="2"/>
  <c r="K614" i="2"/>
  <c r="I614" i="2"/>
  <c r="A614" i="2"/>
  <c r="K613" i="2"/>
  <c r="I613" i="2"/>
  <c r="A613" i="2"/>
  <c r="K612" i="2"/>
  <c r="I612" i="2"/>
  <c r="A612" i="2"/>
  <c r="K611" i="2"/>
  <c r="I611" i="2"/>
  <c r="A611" i="2"/>
  <c r="K610" i="2"/>
  <c r="I610" i="2"/>
  <c r="A610" i="2"/>
  <c r="K609" i="2"/>
  <c r="I609" i="2"/>
  <c r="A609" i="2"/>
  <c r="K608" i="2"/>
  <c r="I608" i="2"/>
  <c r="A608" i="2"/>
  <c r="K607" i="2"/>
  <c r="I607" i="2"/>
  <c r="A607" i="2"/>
  <c r="K606" i="2"/>
  <c r="I606" i="2"/>
  <c r="A606" i="2"/>
  <c r="K605" i="2"/>
  <c r="I605" i="2"/>
  <c r="A605" i="2"/>
  <c r="K604" i="2"/>
  <c r="I604" i="2"/>
  <c r="A604" i="2"/>
  <c r="K603" i="2"/>
  <c r="I603" i="2"/>
  <c r="A603" i="2"/>
  <c r="K602" i="2"/>
  <c r="I602" i="2"/>
  <c r="A602" i="2"/>
  <c r="K601" i="2"/>
  <c r="I601" i="2"/>
  <c r="A601" i="2"/>
  <c r="K600" i="2"/>
  <c r="I600" i="2"/>
  <c r="A600" i="2"/>
  <c r="K599" i="2"/>
  <c r="I599" i="2"/>
  <c r="A599" i="2"/>
  <c r="K598" i="2"/>
  <c r="I598" i="2"/>
  <c r="A598" i="2"/>
  <c r="K597" i="2"/>
  <c r="I597" i="2"/>
  <c r="A597" i="2"/>
  <c r="K596" i="2"/>
  <c r="I596" i="2"/>
  <c r="A596" i="2"/>
  <c r="K595" i="2"/>
  <c r="I595" i="2"/>
  <c r="A595" i="2"/>
  <c r="K594" i="2"/>
  <c r="I594" i="2"/>
  <c r="A594" i="2"/>
  <c r="K593" i="2"/>
  <c r="I593" i="2"/>
  <c r="A593" i="2"/>
  <c r="K592" i="2"/>
  <c r="I592" i="2"/>
  <c r="A592" i="2"/>
  <c r="K591" i="2"/>
  <c r="I591" i="2"/>
  <c r="A591" i="2"/>
  <c r="K590" i="2"/>
  <c r="I590" i="2"/>
  <c r="A590" i="2"/>
  <c r="K589" i="2"/>
  <c r="I589" i="2"/>
  <c r="A589" i="2"/>
  <c r="K588" i="2"/>
  <c r="I588" i="2"/>
  <c r="A588" i="2"/>
  <c r="K587" i="2"/>
  <c r="I587" i="2"/>
  <c r="A587" i="2"/>
  <c r="K586" i="2"/>
  <c r="I586" i="2"/>
  <c r="A586" i="2"/>
  <c r="K585" i="2"/>
  <c r="I585" i="2"/>
  <c r="A585" i="2"/>
  <c r="K584" i="2"/>
  <c r="I584" i="2"/>
  <c r="A584" i="2"/>
  <c r="K583" i="2"/>
  <c r="I583" i="2"/>
  <c r="A583" i="2"/>
  <c r="K582" i="2"/>
  <c r="I582" i="2"/>
  <c r="A582" i="2"/>
  <c r="K581" i="2"/>
  <c r="I581" i="2"/>
  <c r="A581" i="2"/>
  <c r="K580" i="2"/>
  <c r="I580" i="2"/>
  <c r="A580" i="2"/>
  <c r="K579" i="2"/>
  <c r="I579" i="2"/>
  <c r="A579" i="2"/>
  <c r="K578" i="2"/>
  <c r="I578" i="2"/>
  <c r="A578" i="2"/>
  <c r="K577" i="2"/>
  <c r="I577" i="2"/>
  <c r="A577" i="2"/>
  <c r="K576" i="2"/>
  <c r="I576" i="2"/>
  <c r="A576" i="2"/>
  <c r="K575" i="2"/>
  <c r="I575" i="2"/>
  <c r="A575" i="2"/>
  <c r="K574" i="2"/>
  <c r="I574" i="2"/>
  <c r="A574" i="2"/>
  <c r="K573" i="2"/>
  <c r="I573" i="2"/>
  <c r="A573" i="2"/>
  <c r="K572" i="2"/>
  <c r="I572" i="2"/>
  <c r="A572" i="2"/>
  <c r="K571" i="2"/>
  <c r="I571" i="2"/>
  <c r="A571" i="2"/>
  <c r="K570" i="2"/>
  <c r="I570" i="2"/>
  <c r="A570" i="2"/>
  <c r="K569" i="2"/>
  <c r="I569" i="2"/>
  <c r="A569" i="2"/>
  <c r="K568" i="2"/>
  <c r="I568" i="2"/>
  <c r="A568" i="2"/>
  <c r="K567" i="2"/>
  <c r="I567" i="2"/>
  <c r="A567" i="2"/>
  <c r="K566" i="2"/>
  <c r="I566" i="2"/>
  <c r="A566" i="2"/>
  <c r="K565" i="2"/>
  <c r="I565" i="2"/>
  <c r="A565" i="2"/>
  <c r="K564" i="2"/>
  <c r="I564" i="2"/>
  <c r="A564" i="2"/>
  <c r="K563" i="2"/>
  <c r="I563" i="2"/>
  <c r="A563" i="2"/>
  <c r="K562" i="2"/>
  <c r="I562" i="2"/>
  <c r="A562" i="2"/>
  <c r="K561" i="2"/>
  <c r="I561" i="2"/>
  <c r="A561" i="2"/>
  <c r="K560" i="2"/>
  <c r="I560" i="2"/>
  <c r="A560" i="2"/>
  <c r="K559" i="2"/>
  <c r="I559" i="2"/>
  <c r="A559" i="2"/>
  <c r="K558" i="2"/>
  <c r="I558" i="2"/>
  <c r="A558" i="2"/>
  <c r="K557" i="2"/>
  <c r="I557" i="2"/>
  <c r="A557" i="2"/>
  <c r="K556" i="2"/>
  <c r="I556" i="2"/>
  <c r="A556" i="2"/>
  <c r="K555" i="2"/>
  <c r="I555" i="2"/>
  <c r="A555" i="2"/>
  <c r="K554" i="2"/>
  <c r="I554" i="2"/>
  <c r="A554" i="2"/>
  <c r="K553" i="2"/>
  <c r="I553" i="2"/>
  <c r="A553" i="2"/>
  <c r="K552" i="2"/>
  <c r="I552" i="2"/>
  <c r="A552" i="2"/>
  <c r="K551" i="2"/>
  <c r="I551" i="2"/>
  <c r="A551" i="2"/>
  <c r="K550" i="2"/>
  <c r="I550" i="2"/>
  <c r="A550" i="2"/>
  <c r="K549" i="2"/>
  <c r="I549" i="2"/>
  <c r="A549" i="2"/>
  <c r="K548" i="2"/>
  <c r="I548" i="2"/>
  <c r="A548" i="2"/>
  <c r="K547" i="2"/>
  <c r="I547" i="2"/>
  <c r="A547" i="2"/>
  <c r="K546" i="2"/>
  <c r="I546" i="2"/>
  <c r="A546" i="2"/>
  <c r="K545" i="2"/>
  <c r="I545" i="2"/>
  <c r="A545" i="2"/>
  <c r="K544" i="2"/>
  <c r="I544" i="2"/>
  <c r="A544" i="2"/>
  <c r="K543" i="2"/>
  <c r="I543" i="2"/>
  <c r="A543" i="2"/>
  <c r="K542" i="2"/>
  <c r="I542" i="2"/>
  <c r="A542" i="2"/>
  <c r="K541" i="2"/>
  <c r="I541" i="2"/>
  <c r="A541" i="2"/>
  <c r="K540" i="2"/>
  <c r="I540" i="2"/>
  <c r="A540" i="2"/>
  <c r="K539" i="2"/>
  <c r="I539" i="2"/>
  <c r="A539" i="2"/>
  <c r="K538" i="2"/>
  <c r="I538" i="2"/>
  <c r="A538" i="2"/>
  <c r="K537" i="2"/>
  <c r="I537" i="2"/>
  <c r="A537" i="2"/>
  <c r="K536" i="2"/>
  <c r="I536" i="2"/>
  <c r="A536" i="2"/>
  <c r="K535" i="2"/>
  <c r="I535" i="2"/>
  <c r="A535" i="2"/>
  <c r="K534" i="2"/>
  <c r="I534" i="2"/>
  <c r="A534" i="2"/>
  <c r="K533" i="2"/>
  <c r="I533" i="2"/>
  <c r="A533" i="2"/>
  <c r="K532" i="2"/>
  <c r="I532" i="2"/>
  <c r="A532" i="2"/>
  <c r="K531" i="2"/>
  <c r="I531" i="2"/>
  <c r="A531" i="2"/>
  <c r="K530" i="2"/>
  <c r="I530" i="2"/>
  <c r="A530" i="2"/>
  <c r="K529" i="2"/>
  <c r="I529" i="2"/>
  <c r="A529" i="2"/>
  <c r="K528" i="2"/>
  <c r="I528" i="2"/>
  <c r="A528" i="2"/>
  <c r="K527" i="2"/>
  <c r="I527" i="2"/>
  <c r="A527" i="2"/>
  <c r="K526" i="2"/>
  <c r="I526" i="2"/>
  <c r="A526" i="2"/>
  <c r="K525" i="2"/>
  <c r="I525" i="2"/>
  <c r="A525" i="2"/>
  <c r="K524" i="2"/>
  <c r="I524" i="2"/>
  <c r="A524" i="2"/>
  <c r="K523" i="2"/>
  <c r="I523" i="2"/>
  <c r="A523" i="2"/>
  <c r="K522" i="2"/>
  <c r="I522" i="2"/>
  <c r="A522" i="2"/>
  <c r="K521" i="2"/>
  <c r="I521" i="2"/>
  <c r="A521" i="2"/>
  <c r="K520" i="2"/>
  <c r="I520" i="2"/>
  <c r="A520" i="2"/>
  <c r="K519" i="2"/>
  <c r="I519" i="2"/>
  <c r="A519" i="2"/>
  <c r="K518" i="2"/>
  <c r="I518" i="2"/>
  <c r="A518" i="2"/>
  <c r="K517" i="2"/>
  <c r="I517" i="2"/>
  <c r="A517" i="2"/>
  <c r="K516" i="2"/>
  <c r="I516" i="2"/>
  <c r="A516" i="2"/>
  <c r="K515" i="2"/>
  <c r="I515" i="2"/>
  <c r="A515" i="2"/>
  <c r="K514" i="2"/>
  <c r="I514" i="2"/>
  <c r="A514" i="2"/>
  <c r="K513" i="2"/>
  <c r="I513" i="2"/>
  <c r="A513" i="2"/>
  <c r="K512" i="2"/>
  <c r="I512" i="2"/>
  <c r="A512" i="2"/>
  <c r="K511" i="2"/>
  <c r="I511" i="2"/>
  <c r="A511" i="2"/>
  <c r="K510" i="2"/>
  <c r="I510" i="2"/>
  <c r="A510" i="2"/>
  <c r="K509" i="2"/>
  <c r="I509" i="2"/>
  <c r="A509" i="2"/>
  <c r="K508" i="2"/>
  <c r="I508" i="2"/>
  <c r="A508" i="2"/>
  <c r="K507" i="2"/>
  <c r="I507" i="2"/>
  <c r="A507" i="2"/>
  <c r="K506" i="2"/>
  <c r="I506" i="2"/>
  <c r="A506" i="2"/>
  <c r="K505" i="2"/>
  <c r="I505" i="2"/>
  <c r="A505" i="2"/>
  <c r="K504" i="2"/>
  <c r="I504" i="2"/>
  <c r="A504" i="2"/>
  <c r="K503" i="2"/>
  <c r="I503" i="2"/>
  <c r="A503" i="2"/>
  <c r="K502" i="2"/>
  <c r="I502" i="2"/>
  <c r="A502" i="2"/>
  <c r="K501" i="2"/>
  <c r="I501" i="2"/>
  <c r="A501" i="2"/>
  <c r="K500" i="2"/>
  <c r="I500" i="2"/>
  <c r="A500" i="2"/>
  <c r="K499" i="2"/>
  <c r="I499" i="2"/>
  <c r="A499" i="2"/>
  <c r="K498" i="2"/>
  <c r="I498" i="2"/>
  <c r="A498" i="2"/>
  <c r="K497" i="2"/>
  <c r="I497" i="2"/>
  <c r="A497" i="2"/>
  <c r="K496" i="2"/>
  <c r="I496" i="2"/>
  <c r="A496" i="2"/>
  <c r="K495" i="2"/>
  <c r="I495" i="2"/>
  <c r="A495" i="2"/>
  <c r="K494" i="2"/>
  <c r="I494" i="2"/>
  <c r="A494" i="2"/>
  <c r="K493" i="2"/>
  <c r="I493" i="2"/>
  <c r="A493" i="2"/>
  <c r="K492" i="2"/>
  <c r="I492" i="2"/>
  <c r="A492" i="2"/>
  <c r="K491" i="2"/>
  <c r="I491" i="2"/>
  <c r="A491" i="2"/>
  <c r="K490" i="2"/>
  <c r="I490" i="2"/>
  <c r="A490" i="2"/>
  <c r="K489" i="2"/>
  <c r="I489" i="2"/>
  <c r="A489" i="2"/>
  <c r="K488" i="2"/>
  <c r="I488" i="2"/>
  <c r="A488" i="2"/>
  <c r="K487" i="2"/>
  <c r="I487" i="2"/>
  <c r="A487" i="2"/>
  <c r="K486" i="2"/>
  <c r="I486" i="2"/>
  <c r="A486" i="2"/>
  <c r="K485" i="2"/>
  <c r="I485" i="2"/>
  <c r="A485" i="2"/>
  <c r="K484" i="2"/>
  <c r="I484" i="2"/>
  <c r="A484" i="2"/>
  <c r="K483" i="2"/>
  <c r="I483" i="2"/>
  <c r="A483" i="2"/>
  <c r="K482" i="2"/>
  <c r="I482" i="2"/>
  <c r="A482" i="2"/>
  <c r="K481" i="2"/>
  <c r="I481" i="2"/>
  <c r="A481" i="2"/>
  <c r="K480" i="2"/>
  <c r="I480" i="2"/>
  <c r="A480" i="2"/>
  <c r="K479" i="2"/>
  <c r="I479" i="2"/>
  <c r="A479" i="2"/>
  <c r="K478" i="2"/>
  <c r="I478" i="2"/>
  <c r="A478" i="2"/>
  <c r="K477" i="2"/>
  <c r="I477" i="2"/>
  <c r="A477" i="2"/>
  <c r="K476" i="2"/>
  <c r="I476" i="2"/>
  <c r="A476" i="2"/>
  <c r="K475" i="2"/>
  <c r="I475" i="2"/>
  <c r="A475" i="2"/>
  <c r="K474" i="2"/>
  <c r="I474" i="2"/>
  <c r="A474" i="2"/>
  <c r="K473" i="2"/>
  <c r="I473" i="2"/>
  <c r="A473" i="2"/>
  <c r="K472" i="2"/>
  <c r="I472" i="2"/>
  <c r="A472" i="2"/>
  <c r="K471" i="2"/>
  <c r="I471" i="2"/>
  <c r="A471" i="2"/>
  <c r="K470" i="2"/>
  <c r="I470" i="2"/>
  <c r="A470" i="2"/>
  <c r="K469" i="2"/>
  <c r="I469" i="2"/>
  <c r="A469" i="2"/>
  <c r="K468" i="2"/>
  <c r="I468" i="2"/>
  <c r="A468" i="2"/>
  <c r="K467" i="2"/>
  <c r="I467" i="2"/>
  <c r="A467" i="2"/>
  <c r="K466" i="2"/>
  <c r="I466" i="2"/>
  <c r="A466" i="2"/>
  <c r="K465" i="2"/>
  <c r="I465" i="2"/>
  <c r="A465" i="2"/>
  <c r="K464" i="2"/>
  <c r="I464" i="2"/>
  <c r="A464" i="2"/>
  <c r="K463" i="2"/>
  <c r="I463" i="2"/>
  <c r="A463" i="2"/>
  <c r="K462" i="2"/>
  <c r="I462" i="2"/>
  <c r="A462" i="2"/>
  <c r="K461" i="2"/>
  <c r="I461" i="2"/>
  <c r="A461" i="2"/>
  <c r="K460" i="2"/>
  <c r="I460" i="2"/>
  <c r="A460" i="2"/>
  <c r="K459" i="2"/>
  <c r="I459" i="2"/>
  <c r="A459" i="2"/>
  <c r="K458" i="2"/>
  <c r="I458" i="2"/>
  <c r="A458" i="2"/>
  <c r="K457" i="2"/>
  <c r="I457" i="2"/>
  <c r="A457" i="2"/>
  <c r="K456" i="2"/>
  <c r="I456" i="2"/>
  <c r="A456" i="2"/>
  <c r="K455" i="2"/>
  <c r="I455" i="2"/>
  <c r="A455" i="2"/>
  <c r="K454" i="2"/>
  <c r="I454" i="2"/>
  <c r="A454" i="2"/>
  <c r="K453" i="2"/>
  <c r="I453" i="2"/>
  <c r="A453" i="2"/>
  <c r="K452" i="2"/>
  <c r="I452" i="2"/>
  <c r="A452" i="2"/>
  <c r="K451" i="2"/>
  <c r="I451" i="2"/>
  <c r="A451" i="2"/>
  <c r="K450" i="2"/>
  <c r="I450" i="2"/>
  <c r="A450" i="2"/>
  <c r="K449" i="2"/>
  <c r="I449" i="2"/>
  <c r="A449" i="2"/>
  <c r="K448" i="2"/>
  <c r="I448" i="2"/>
  <c r="A448" i="2"/>
  <c r="K447" i="2"/>
  <c r="I447" i="2"/>
  <c r="A447" i="2"/>
  <c r="K446" i="2"/>
  <c r="I446" i="2"/>
  <c r="A446" i="2"/>
  <c r="K445" i="2"/>
  <c r="I445" i="2"/>
  <c r="A445" i="2"/>
  <c r="K444" i="2"/>
  <c r="I444" i="2"/>
  <c r="A444" i="2"/>
  <c r="K443" i="2"/>
  <c r="I443" i="2"/>
  <c r="A443" i="2"/>
  <c r="K442" i="2"/>
  <c r="I442" i="2"/>
  <c r="A442" i="2"/>
  <c r="K441" i="2"/>
  <c r="I441" i="2"/>
  <c r="A441" i="2"/>
  <c r="K440" i="2"/>
  <c r="I440" i="2"/>
  <c r="A440" i="2"/>
  <c r="K439" i="2"/>
  <c r="I439" i="2"/>
  <c r="A439" i="2"/>
  <c r="K438" i="2"/>
  <c r="I438" i="2"/>
  <c r="A438" i="2"/>
  <c r="K437" i="2"/>
  <c r="I437" i="2"/>
  <c r="A437" i="2"/>
  <c r="K436" i="2"/>
  <c r="I436" i="2"/>
  <c r="A436" i="2"/>
  <c r="K435" i="2"/>
  <c r="I435" i="2"/>
  <c r="A435" i="2"/>
  <c r="K434" i="2"/>
  <c r="I434" i="2"/>
  <c r="A434" i="2"/>
  <c r="K433" i="2"/>
  <c r="I433" i="2"/>
  <c r="A433" i="2"/>
  <c r="K432" i="2"/>
  <c r="I432" i="2"/>
  <c r="A432" i="2"/>
  <c r="K431" i="2"/>
  <c r="I431" i="2"/>
  <c r="A431" i="2"/>
  <c r="K430" i="2"/>
  <c r="I430" i="2"/>
  <c r="A430" i="2"/>
  <c r="K429" i="2"/>
  <c r="I429" i="2"/>
  <c r="A429" i="2"/>
  <c r="K428" i="2"/>
  <c r="I428" i="2"/>
  <c r="A428" i="2"/>
  <c r="K427" i="2"/>
  <c r="I427" i="2"/>
  <c r="A427" i="2"/>
  <c r="K426" i="2"/>
  <c r="I426" i="2"/>
  <c r="A426" i="2"/>
  <c r="K425" i="2"/>
  <c r="I425" i="2"/>
  <c r="A425" i="2"/>
  <c r="K424" i="2"/>
  <c r="I424" i="2"/>
  <c r="A424" i="2"/>
  <c r="K423" i="2"/>
  <c r="I423" i="2"/>
  <c r="A423" i="2"/>
  <c r="K422" i="2"/>
  <c r="I422" i="2"/>
  <c r="A422" i="2"/>
  <c r="K421" i="2"/>
  <c r="I421" i="2"/>
  <c r="A421" i="2"/>
  <c r="K420" i="2"/>
  <c r="I420" i="2"/>
  <c r="A420" i="2"/>
  <c r="K419" i="2"/>
  <c r="I419" i="2"/>
  <c r="A419" i="2"/>
  <c r="K418" i="2"/>
  <c r="I418" i="2"/>
  <c r="A418" i="2"/>
  <c r="K417" i="2"/>
  <c r="I417" i="2"/>
  <c r="A417" i="2"/>
  <c r="K416" i="2"/>
  <c r="I416" i="2"/>
  <c r="A416" i="2"/>
  <c r="K415" i="2"/>
  <c r="I415" i="2"/>
  <c r="A415" i="2"/>
  <c r="K414" i="2"/>
  <c r="I414" i="2"/>
  <c r="A414" i="2"/>
  <c r="K413" i="2"/>
  <c r="I413" i="2"/>
  <c r="A413" i="2"/>
  <c r="K412" i="2"/>
  <c r="I412" i="2"/>
  <c r="A412" i="2"/>
  <c r="K411" i="2"/>
  <c r="I411" i="2"/>
  <c r="A411" i="2"/>
  <c r="K410" i="2"/>
  <c r="I410" i="2"/>
  <c r="A410" i="2"/>
  <c r="K409" i="2"/>
  <c r="I409" i="2"/>
  <c r="A409" i="2"/>
  <c r="K408" i="2"/>
  <c r="I408" i="2"/>
  <c r="A408" i="2"/>
  <c r="K407" i="2"/>
  <c r="I407" i="2"/>
  <c r="A407" i="2"/>
  <c r="K406" i="2"/>
  <c r="I406" i="2"/>
  <c r="A406" i="2"/>
  <c r="K405" i="2"/>
  <c r="I405" i="2"/>
  <c r="A405" i="2"/>
  <c r="K404" i="2"/>
  <c r="I404" i="2"/>
  <c r="A404" i="2"/>
  <c r="K403" i="2"/>
  <c r="I403" i="2"/>
  <c r="A403" i="2"/>
  <c r="K402" i="2"/>
  <c r="I402" i="2"/>
  <c r="A402" i="2"/>
  <c r="K401" i="2"/>
  <c r="I401" i="2"/>
  <c r="A401" i="2"/>
  <c r="K400" i="2"/>
  <c r="I400" i="2"/>
  <c r="A400" i="2"/>
  <c r="K399" i="2"/>
  <c r="I399" i="2"/>
  <c r="A399" i="2"/>
  <c r="K398" i="2"/>
  <c r="I398" i="2"/>
  <c r="A398" i="2"/>
  <c r="K397" i="2"/>
  <c r="I397" i="2"/>
  <c r="A397" i="2"/>
  <c r="K396" i="2"/>
  <c r="I396" i="2"/>
  <c r="A396" i="2"/>
  <c r="K395" i="2"/>
  <c r="I395" i="2"/>
  <c r="A395" i="2"/>
  <c r="K394" i="2"/>
  <c r="I394" i="2"/>
  <c r="A394" i="2"/>
  <c r="K393" i="2"/>
  <c r="I393" i="2"/>
  <c r="A393" i="2"/>
  <c r="K392" i="2"/>
  <c r="I392" i="2"/>
  <c r="A392" i="2"/>
  <c r="K391" i="2"/>
  <c r="I391" i="2"/>
  <c r="A391" i="2"/>
  <c r="K390" i="2"/>
  <c r="I390" i="2"/>
  <c r="A390" i="2"/>
  <c r="K389" i="2"/>
  <c r="I389" i="2"/>
  <c r="A389" i="2"/>
  <c r="K388" i="2"/>
  <c r="I388" i="2"/>
  <c r="A388" i="2"/>
  <c r="K387" i="2"/>
  <c r="I387" i="2"/>
  <c r="A387" i="2"/>
  <c r="K386" i="2"/>
  <c r="I386" i="2"/>
  <c r="A386" i="2"/>
  <c r="K385" i="2"/>
  <c r="I385" i="2"/>
  <c r="A385" i="2"/>
  <c r="K384" i="2"/>
  <c r="I384" i="2"/>
  <c r="A384" i="2"/>
  <c r="K383" i="2"/>
  <c r="I383" i="2"/>
  <c r="A383" i="2"/>
  <c r="K382" i="2"/>
  <c r="I382" i="2"/>
  <c r="A382" i="2"/>
  <c r="K381" i="2"/>
  <c r="I381" i="2"/>
  <c r="A381" i="2"/>
  <c r="K380" i="2"/>
  <c r="I380" i="2"/>
  <c r="A380" i="2"/>
  <c r="K379" i="2"/>
  <c r="I379" i="2"/>
  <c r="A379" i="2"/>
  <c r="K378" i="2"/>
  <c r="I378" i="2"/>
  <c r="A378" i="2"/>
  <c r="K377" i="2"/>
  <c r="I377" i="2"/>
  <c r="A377" i="2"/>
  <c r="K376" i="2"/>
  <c r="I376" i="2"/>
  <c r="A376" i="2"/>
  <c r="K375" i="2"/>
  <c r="I375" i="2"/>
  <c r="A375" i="2"/>
  <c r="K374" i="2"/>
  <c r="I374" i="2"/>
  <c r="A374" i="2"/>
  <c r="K373" i="2"/>
  <c r="I373" i="2"/>
  <c r="A373" i="2"/>
  <c r="K372" i="2"/>
  <c r="I372" i="2"/>
  <c r="A372" i="2"/>
  <c r="K371" i="2"/>
  <c r="I371" i="2"/>
  <c r="A371" i="2"/>
  <c r="K370" i="2"/>
  <c r="I370" i="2"/>
  <c r="A370" i="2"/>
  <c r="K369" i="2"/>
  <c r="I369" i="2"/>
  <c r="A369" i="2"/>
  <c r="K368" i="2"/>
  <c r="I368" i="2"/>
  <c r="A368" i="2"/>
  <c r="K367" i="2"/>
  <c r="I367" i="2"/>
  <c r="A367" i="2"/>
  <c r="K366" i="2"/>
  <c r="I366" i="2"/>
  <c r="A366" i="2"/>
  <c r="K365" i="2"/>
  <c r="I365" i="2"/>
  <c r="A365" i="2"/>
  <c r="K364" i="2"/>
  <c r="I364" i="2"/>
  <c r="A364" i="2"/>
  <c r="K363" i="2"/>
  <c r="I363" i="2"/>
  <c r="A363" i="2"/>
  <c r="K362" i="2"/>
  <c r="I362" i="2"/>
  <c r="A362" i="2"/>
  <c r="K361" i="2"/>
  <c r="I361" i="2"/>
  <c r="A361" i="2"/>
  <c r="K360" i="2"/>
  <c r="I360" i="2"/>
  <c r="A360" i="2"/>
  <c r="K359" i="2"/>
  <c r="I359" i="2"/>
  <c r="A359" i="2"/>
  <c r="K358" i="2"/>
  <c r="I358" i="2"/>
  <c r="A358" i="2"/>
  <c r="K357" i="2"/>
  <c r="I357" i="2"/>
  <c r="A357" i="2"/>
  <c r="K356" i="2"/>
  <c r="I356" i="2"/>
  <c r="A356" i="2"/>
  <c r="K355" i="2"/>
  <c r="I355" i="2"/>
  <c r="A355" i="2"/>
  <c r="K354" i="2"/>
  <c r="I354" i="2"/>
  <c r="A354" i="2"/>
  <c r="K353" i="2"/>
  <c r="I353" i="2"/>
  <c r="A353" i="2"/>
  <c r="K352" i="2"/>
  <c r="I352" i="2"/>
  <c r="A352" i="2"/>
  <c r="K351" i="2"/>
  <c r="I351" i="2"/>
  <c r="A351" i="2"/>
  <c r="K350" i="2"/>
  <c r="I350" i="2"/>
  <c r="A350" i="2"/>
  <c r="K349" i="2"/>
  <c r="I349" i="2"/>
  <c r="A349" i="2"/>
  <c r="K348" i="2"/>
  <c r="I348" i="2"/>
  <c r="A348" i="2"/>
  <c r="K347" i="2"/>
  <c r="I347" i="2"/>
  <c r="A347" i="2"/>
  <c r="K346" i="2"/>
  <c r="I346" i="2"/>
  <c r="A346" i="2"/>
  <c r="K345" i="2"/>
  <c r="I345" i="2"/>
  <c r="A345" i="2"/>
  <c r="K344" i="2"/>
  <c r="I344" i="2"/>
  <c r="A344" i="2"/>
  <c r="K343" i="2"/>
  <c r="I343" i="2"/>
  <c r="A343" i="2"/>
  <c r="K342" i="2"/>
  <c r="I342" i="2"/>
  <c r="A342" i="2"/>
  <c r="K341" i="2"/>
  <c r="I341" i="2"/>
  <c r="A341" i="2"/>
  <c r="K340" i="2"/>
  <c r="I340" i="2"/>
  <c r="A340" i="2"/>
  <c r="K339" i="2"/>
  <c r="I339" i="2"/>
  <c r="A339" i="2"/>
  <c r="K338" i="2"/>
  <c r="I338" i="2"/>
  <c r="A338" i="2"/>
  <c r="K337" i="2"/>
  <c r="I337" i="2"/>
  <c r="A337" i="2"/>
  <c r="K336" i="2"/>
  <c r="I336" i="2"/>
  <c r="A336" i="2"/>
  <c r="K335" i="2"/>
  <c r="I335" i="2"/>
  <c r="A335" i="2"/>
  <c r="K334" i="2"/>
  <c r="I334" i="2"/>
  <c r="A334" i="2"/>
  <c r="K333" i="2"/>
  <c r="I333" i="2"/>
  <c r="A333" i="2"/>
  <c r="K332" i="2"/>
  <c r="I332" i="2"/>
  <c r="A332" i="2"/>
  <c r="K331" i="2"/>
  <c r="I331" i="2"/>
  <c r="A331" i="2"/>
  <c r="K330" i="2"/>
  <c r="I330" i="2"/>
  <c r="A330" i="2"/>
  <c r="K329" i="2"/>
  <c r="I329" i="2"/>
  <c r="A329" i="2"/>
  <c r="K328" i="2"/>
  <c r="I328" i="2"/>
  <c r="A328" i="2"/>
  <c r="K327" i="2"/>
  <c r="I327" i="2"/>
  <c r="A327" i="2"/>
  <c r="K326" i="2"/>
  <c r="I326" i="2"/>
  <c r="A326" i="2"/>
  <c r="K325" i="2"/>
  <c r="I325" i="2"/>
  <c r="A325" i="2"/>
  <c r="K324" i="2"/>
  <c r="I324" i="2"/>
  <c r="A324" i="2"/>
  <c r="K323" i="2"/>
  <c r="I323" i="2"/>
  <c r="A323" i="2"/>
  <c r="K322" i="2"/>
  <c r="I322" i="2"/>
  <c r="A322" i="2"/>
  <c r="K321" i="2"/>
  <c r="I321" i="2"/>
  <c r="A321" i="2"/>
  <c r="K320" i="2"/>
  <c r="I320" i="2"/>
  <c r="A320" i="2"/>
  <c r="K319" i="2"/>
  <c r="I319" i="2"/>
  <c r="A319" i="2"/>
  <c r="K318" i="2"/>
  <c r="I318" i="2"/>
  <c r="A318" i="2"/>
  <c r="K317" i="2"/>
  <c r="I317" i="2"/>
  <c r="A317" i="2"/>
  <c r="K316" i="2"/>
  <c r="I316" i="2"/>
  <c r="A316" i="2"/>
  <c r="K315" i="2"/>
  <c r="I315" i="2"/>
  <c r="A315" i="2"/>
  <c r="K314" i="2"/>
  <c r="I314" i="2"/>
  <c r="A314" i="2"/>
  <c r="K313" i="2"/>
  <c r="I313" i="2"/>
  <c r="A313" i="2"/>
  <c r="K312" i="2"/>
  <c r="I312" i="2"/>
  <c r="A312" i="2"/>
  <c r="K311" i="2"/>
  <c r="I311" i="2"/>
  <c r="A311" i="2"/>
  <c r="K310" i="2"/>
  <c r="I310" i="2"/>
  <c r="A310" i="2"/>
  <c r="K309" i="2"/>
  <c r="I309" i="2"/>
  <c r="A309" i="2"/>
  <c r="K308" i="2"/>
  <c r="I308" i="2"/>
  <c r="A308" i="2"/>
  <c r="K307" i="2"/>
  <c r="I307" i="2"/>
  <c r="A307" i="2"/>
  <c r="K306" i="2"/>
  <c r="I306" i="2"/>
  <c r="A306" i="2"/>
  <c r="K305" i="2"/>
  <c r="I305" i="2"/>
  <c r="A305" i="2"/>
  <c r="K304" i="2"/>
  <c r="I304" i="2"/>
  <c r="A304" i="2"/>
  <c r="K303" i="2"/>
  <c r="I303" i="2"/>
  <c r="A303" i="2"/>
  <c r="K302" i="2"/>
  <c r="I302" i="2"/>
  <c r="A302" i="2"/>
  <c r="K301" i="2"/>
  <c r="I301" i="2"/>
  <c r="A301" i="2"/>
  <c r="K300" i="2"/>
  <c r="I300" i="2"/>
  <c r="A300" i="2"/>
  <c r="K299" i="2"/>
  <c r="I299" i="2"/>
  <c r="A299" i="2"/>
  <c r="K298" i="2"/>
  <c r="I298" i="2"/>
  <c r="A298" i="2"/>
  <c r="K297" i="2"/>
  <c r="I297" i="2"/>
  <c r="A297" i="2"/>
  <c r="K296" i="2"/>
  <c r="I296" i="2"/>
  <c r="A296" i="2"/>
  <c r="K295" i="2"/>
  <c r="I295" i="2"/>
  <c r="A295" i="2"/>
  <c r="K294" i="2"/>
  <c r="I294" i="2"/>
  <c r="A294" i="2"/>
  <c r="K293" i="2"/>
  <c r="I293" i="2"/>
  <c r="A293" i="2"/>
  <c r="K292" i="2"/>
  <c r="I292" i="2"/>
  <c r="A292" i="2"/>
  <c r="K291" i="2"/>
  <c r="I291" i="2"/>
  <c r="A291" i="2"/>
  <c r="K290" i="2"/>
  <c r="I290" i="2"/>
  <c r="A290" i="2"/>
  <c r="K289" i="2"/>
  <c r="I289" i="2"/>
  <c r="A289" i="2"/>
  <c r="K288" i="2"/>
  <c r="I288" i="2"/>
  <c r="A288" i="2"/>
  <c r="K287" i="2"/>
  <c r="I287" i="2"/>
  <c r="A287" i="2"/>
  <c r="K286" i="2"/>
  <c r="I286" i="2"/>
  <c r="A286" i="2"/>
  <c r="K285" i="2"/>
  <c r="I285" i="2"/>
  <c r="A285" i="2"/>
  <c r="K284" i="2"/>
  <c r="I284" i="2"/>
  <c r="A284" i="2"/>
  <c r="K283" i="2"/>
  <c r="I283" i="2"/>
  <c r="A283" i="2"/>
  <c r="K282" i="2"/>
  <c r="I282" i="2"/>
  <c r="A282" i="2"/>
  <c r="K281" i="2"/>
  <c r="I281" i="2"/>
  <c r="A281" i="2"/>
  <c r="K280" i="2"/>
  <c r="I280" i="2"/>
  <c r="A280" i="2"/>
  <c r="K279" i="2"/>
  <c r="I279" i="2"/>
  <c r="A279" i="2"/>
  <c r="K278" i="2"/>
  <c r="I278" i="2"/>
  <c r="A278" i="2"/>
  <c r="K277" i="2"/>
  <c r="I277" i="2"/>
  <c r="A277" i="2"/>
  <c r="K276" i="2"/>
  <c r="I276" i="2"/>
  <c r="A276" i="2"/>
  <c r="K275" i="2"/>
  <c r="I275" i="2"/>
  <c r="A275" i="2"/>
  <c r="K274" i="2"/>
  <c r="I274" i="2"/>
  <c r="A274" i="2"/>
  <c r="K273" i="2"/>
  <c r="I273" i="2"/>
  <c r="A273" i="2"/>
  <c r="K272" i="2"/>
  <c r="I272" i="2"/>
  <c r="A272" i="2"/>
  <c r="K271" i="2"/>
  <c r="I271" i="2"/>
  <c r="A271" i="2"/>
  <c r="K270" i="2"/>
  <c r="I270" i="2"/>
  <c r="A270" i="2"/>
  <c r="K269" i="2"/>
  <c r="I269" i="2"/>
  <c r="A269" i="2"/>
  <c r="K268" i="2"/>
  <c r="I268" i="2"/>
  <c r="A268" i="2"/>
  <c r="K267" i="2"/>
  <c r="I267" i="2"/>
  <c r="A267" i="2"/>
  <c r="K266" i="2"/>
  <c r="I266" i="2"/>
  <c r="A266" i="2"/>
  <c r="K265" i="2"/>
  <c r="I265" i="2"/>
  <c r="A265" i="2"/>
  <c r="K264" i="2"/>
  <c r="I264" i="2"/>
  <c r="A264" i="2"/>
  <c r="K263" i="2"/>
  <c r="I263" i="2"/>
  <c r="A263" i="2"/>
  <c r="K262" i="2"/>
  <c r="I262" i="2"/>
  <c r="A262" i="2"/>
  <c r="K261" i="2"/>
  <c r="I261" i="2"/>
  <c r="A261" i="2"/>
  <c r="K260" i="2"/>
  <c r="I260" i="2"/>
  <c r="A260" i="2"/>
  <c r="K259" i="2"/>
  <c r="I259" i="2"/>
  <c r="A259" i="2"/>
  <c r="K258" i="2"/>
  <c r="I258" i="2"/>
  <c r="A258" i="2"/>
  <c r="K257" i="2"/>
  <c r="I257" i="2"/>
  <c r="A257" i="2"/>
  <c r="K256" i="2"/>
  <c r="I256" i="2"/>
  <c r="A256" i="2"/>
  <c r="K255" i="2"/>
  <c r="I255" i="2"/>
  <c r="A255" i="2"/>
  <c r="K254" i="2"/>
  <c r="I254" i="2"/>
  <c r="A254" i="2"/>
  <c r="K253" i="2"/>
  <c r="I253" i="2"/>
  <c r="A253" i="2"/>
  <c r="K252" i="2"/>
  <c r="I252" i="2"/>
  <c r="A252" i="2"/>
  <c r="K251" i="2"/>
  <c r="I251" i="2"/>
  <c r="A251" i="2"/>
  <c r="K250" i="2"/>
  <c r="I250" i="2"/>
  <c r="A250" i="2"/>
  <c r="K249" i="2"/>
  <c r="I249" i="2"/>
  <c r="A249" i="2"/>
  <c r="K248" i="2"/>
  <c r="I248" i="2"/>
  <c r="A248" i="2"/>
  <c r="K247" i="2"/>
  <c r="I247" i="2"/>
  <c r="A247" i="2"/>
  <c r="K246" i="2"/>
  <c r="I246" i="2"/>
  <c r="A246" i="2"/>
  <c r="K245" i="2"/>
  <c r="I245" i="2"/>
  <c r="A245" i="2"/>
  <c r="K244" i="2"/>
  <c r="I244" i="2"/>
  <c r="A244" i="2"/>
  <c r="K243" i="2"/>
  <c r="I243" i="2"/>
  <c r="A243" i="2"/>
  <c r="K242" i="2"/>
  <c r="I242" i="2"/>
  <c r="A242" i="2"/>
  <c r="K241" i="2"/>
  <c r="I241" i="2"/>
  <c r="A241" i="2"/>
  <c r="K240" i="2"/>
  <c r="I240" i="2"/>
  <c r="A240" i="2"/>
  <c r="K239" i="2"/>
  <c r="I239" i="2"/>
  <c r="A239" i="2"/>
  <c r="K238" i="2"/>
  <c r="I238" i="2"/>
  <c r="A238" i="2"/>
  <c r="K237" i="2"/>
  <c r="I237" i="2"/>
  <c r="A237" i="2"/>
  <c r="K236" i="2"/>
  <c r="I236" i="2"/>
  <c r="A236" i="2"/>
  <c r="K235" i="2"/>
  <c r="I235" i="2"/>
  <c r="A235" i="2"/>
  <c r="K234" i="2"/>
  <c r="I234" i="2"/>
  <c r="A234" i="2"/>
  <c r="K233" i="2"/>
  <c r="I233" i="2"/>
  <c r="A233" i="2"/>
  <c r="K232" i="2"/>
  <c r="I232" i="2"/>
  <c r="A232" i="2"/>
  <c r="K231" i="2"/>
  <c r="I231" i="2"/>
  <c r="A231" i="2"/>
  <c r="K230" i="2"/>
  <c r="I230" i="2"/>
  <c r="A230" i="2"/>
  <c r="K229" i="2"/>
  <c r="I229" i="2"/>
  <c r="A229" i="2"/>
  <c r="K228" i="2"/>
  <c r="I228" i="2"/>
  <c r="A228" i="2"/>
  <c r="K227" i="2"/>
  <c r="I227" i="2"/>
  <c r="A227" i="2"/>
  <c r="K226" i="2"/>
  <c r="I226" i="2"/>
  <c r="A226" i="2"/>
  <c r="K225" i="2"/>
  <c r="I225" i="2"/>
  <c r="A225" i="2"/>
  <c r="K224" i="2"/>
  <c r="I224" i="2"/>
  <c r="A224" i="2"/>
  <c r="K223" i="2"/>
  <c r="I223" i="2"/>
  <c r="A223" i="2"/>
  <c r="K222" i="2"/>
  <c r="I222" i="2"/>
  <c r="A222" i="2"/>
  <c r="K221" i="2"/>
  <c r="I221" i="2"/>
  <c r="A221" i="2"/>
  <c r="K220" i="2"/>
  <c r="I220" i="2"/>
  <c r="A220" i="2"/>
  <c r="K219" i="2"/>
  <c r="I219" i="2"/>
  <c r="A219" i="2"/>
  <c r="K218" i="2"/>
  <c r="I218" i="2"/>
  <c r="A218" i="2"/>
  <c r="K217" i="2"/>
  <c r="I217" i="2"/>
  <c r="A217" i="2"/>
  <c r="K216" i="2"/>
  <c r="I216" i="2"/>
  <c r="A216" i="2"/>
  <c r="K215" i="2"/>
  <c r="I215" i="2"/>
  <c r="A215" i="2"/>
  <c r="K214" i="2"/>
  <c r="I214" i="2"/>
  <c r="A214" i="2"/>
  <c r="K213" i="2"/>
  <c r="I213" i="2"/>
  <c r="A213" i="2"/>
  <c r="K212" i="2"/>
  <c r="I212" i="2"/>
  <c r="A212" i="2"/>
  <c r="K211" i="2"/>
  <c r="I211" i="2"/>
  <c r="A211" i="2"/>
  <c r="K210" i="2"/>
  <c r="I210" i="2"/>
  <c r="A210" i="2"/>
  <c r="K209" i="2"/>
  <c r="I209" i="2"/>
  <c r="A209" i="2"/>
  <c r="K208" i="2"/>
  <c r="I208" i="2"/>
  <c r="A208" i="2"/>
  <c r="K207" i="2"/>
  <c r="I207" i="2"/>
  <c r="A207" i="2"/>
  <c r="K206" i="2"/>
  <c r="I206" i="2"/>
  <c r="A206" i="2"/>
  <c r="K205" i="2"/>
  <c r="I205" i="2"/>
  <c r="A205" i="2"/>
  <c r="K204" i="2"/>
  <c r="I204" i="2"/>
  <c r="A204" i="2"/>
  <c r="K203" i="2"/>
  <c r="I203" i="2"/>
  <c r="A203" i="2"/>
  <c r="K202" i="2"/>
  <c r="I202" i="2"/>
  <c r="A202" i="2"/>
  <c r="K201" i="2"/>
  <c r="I201" i="2"/>
  <c r="A201" i="2"/>
  <c r="K200" i="2"/>
  <c r="I200" i="2"/>
  <c r="A200" i="2"/>
  <c r="K199" i="2"/>
  <c r="I199" i="2"/>
  <c r="A199" i="2"/>
  <c r="K198" i="2"/>
  <c r="I198" i="2"/>
  <c r="A198" i="2"/>
  <c r="K197" i="2"/>
  <c r="I197" i="2"/>
  <c r="A197" i="2"/>
  <c r="K196" i="2"/>
  <c r="I196" i="2"/>
  <c r="A196" i="2"/>
  <c r="K195" i="2"/>
  <c r="I195" i="2"/>
  <c r="A195" i="2"/>
  <c r="K194" i="2"/>
  <c r="I194" i="2"/>
  <c r="A194" i="2"/>
  <c r="K193" i="2"/>
  <c r="I193" i="2"/>
  <c r="A193" i="2"/>
  <c r="K192" i="2"/>
  <c r="I192" i="2"/>
  <c r="A192" i="2"/>
  <c r="K191" i="2"/>
  <c r="I191" i="2"/>
  <c r="A191" i="2"/>
  <c r="K190" i="2"/>
  <c r="I190" i="2"/>
  <c r="A190" i="2"/>
  <c r="K189" i="2"/>
  <c r="I189" i="2"/>
  <c r="A189" i="2"/>
  <c r="K188" i="2"/>
  <c r="I188" i="2"/>
  <c r="A188" i="2"/>
  <c r="K187" i="2"/>
  <c r="I187" i="2"/>
  <c r="A187" i="2"/>
  <c r="K186" i="2"/>
  <c r="I186" i="2"/>
  <c r="A186" i="2"/>
  <c r="K185" i="2"/>
  <c r="I185" i="2"/>
  <c r="A185" i="2"/>
  <c r="K184" i="2"/>
  <c r="I184" i="2"/>
  <c r="A184" i="2"/>
  <c r="K183" i="2"/>
  <c r="I183" i="2"/>
  <c r="A183" i="2"/>
  <c r="K182" i="2"/>
  <c r="I182" i="2"/>
  <c r="A182" i="2"/>
  <c r="K181" i="2"/>
  <c r="I181" i="2"/>
  <c r="A181" i="2"/>
  <c r="K180" i="2"/>
  <c r="I180" i="2"/>
  <c r="A180" i="2"/>
  <c r="K179" i="2"/>
  <c r="I179" i="2"/>
  <c r="A179" i="2"/>
  <c r="K178" i="2"/>
  <c r="I178" i="2"/>
  <c r="A178" i="2"/>
  <c r="K177" i="2"/>
  <c r="I177" i="2"/>
  <c r="A177" i="2"/>
  <c r="K176" i="2"/>
  <c r="I176" i="2"/>
  <c r="A176" i="2"/>
  <c r="K175" i="2"/>
  <c r="I175" i="2"/>
  <c r="A175" i="2"/>
  <c r="K174" i="2"/>
  <c r="I174" i="2"/>
  <c r="A174" i="2"/>
  <c r="K173" i="2"/>
  <c r="I173" i="2"/>
  <c r="A173" i="2"/>
  <c r="K172" i="2"/>
  <c r="I172" i="2"/>
  <c r="A172" i="2"/>
  <c r="K171" i="2"/>
  <c r="I171" i="2"/>
  <c r="A171" i="2"/>
  <c r="K170" i="2"/>
  <c r="I170" i="2"/>
  <c r="A170" i="2"/>
  <c r="K169" i="2"/>
  <c r="I169" i="2"/>
  <c r="A169" i="2"/>
  <c r="K168" i="2"/>
  <c r="I168" i="2"/>
  <c r="A168" i="2"/>
  <c r="K167" i="2"/>
  <c r="I167" i="2"/>
  <c r="A167" i="2"/>
  <c r="K166" i="2"/>
  <c r="I166" i="2"/>
  <c r="A166" i="2"/>
  <c r="K165" i="2"/>
  <c r="I165" i="2"/>
  <c r="A165" i="2"/>
  <c r="K164" i="2"/>
  <c r="I164" i="2"/>
  <c r="A164" i="2"/>
  <c r="K163" i="2"/>
  <c r="I163" i="2"/>
  <c r="A163" i="2"/>
  <c r="K162" i="2"/>
  <c r="I162" i="2"/>
  <c r="A162" i="2"/>
  <c r="K161" i="2"/>
  <c r="I161" i="2"/>
  <c r="A161" i="2"/>
  <c r="K160" i="2"/>
  <c r="I160" i="2"/>
  <c r="A160" i="2"/>
  <c r="K159" i="2"/>
  <c r="I159" i="2"/>
  <c r="A159" i="2"/>
  <c r="K158" i="2"/>
  <c r="I158" i="2"/>
  <c r="A158" i="2"/>
  <c r="K157" i="2"/>
  <c r="I157" i="2"/>
  <c r="A157" i="2"/>
  <c r="K156" i="2"/>
  <c r="I156" i="2"/>
  <c r="A156" i="2"/>
  <c r="K155" i="2"/>
  <c r="I155" i="2"/>
  <c r="A155" i="2"/>
  <c r="K154" i="2"/>
  <c r="I154" i="2"/>
  <c r="A154" i="2"/>
  <c r="K153" i="2"/>
  <c r="I153" i="2"/>
  <c r="A153" i="2"/>
  <c r="K152" i="2"/>
  <c r="I152" i="2"/>
  <c r="A152" i="2"/>
  <c r="K151" i="2"/>
  <c r="I151" i="2"/>
  <c r="A151" i="2"/>
  <c r="K150" i="2"/>
  <c r="I150" i="2"/>
  <c r="A150" i="2"/>
  <c r="K149" i="2"/>
  <c r="I149" i="2"/>
  <c r="A149" i="2"/>
  <c r="K148" i="2"/>
  <c r="I148" i="2"/>
  <c r="A148" i="2"/>
  <c r="K147" i="2"/>
  <c r="I147" i="2"/>
  <c r="A147" i="2"/>
  <c r="K146" i="2"/>
  <c r="I146" i="2"/>
  <c r="A146" i="2"/>
  <c r="K145" i="2"/>
  <c r="I145" i="2"/>
  <c r="A145" i="2"/>
  <c r="K144" i="2"/>
  <c r="I144" i="2"/>
  <c r="A144" i="2"/>
  <c r="K143" i="2"/>
  <c r="I143" i="2"/>
  <c r="A143" i="2"/>
  <c r="K142" i="2"/>
  <c r="I142" i="2"/>
  <c r="A142" i="2"/>
  <c r="K141" i="2"/>
  <c r="I141" i="2"/>
  <c r="A141" i="2"/>
  <c r="K140" i="2"/>
  <c r="I140" i="2"/>
  <c r="A140" i="2"/>
  <c r="K139" i="2"/>
  <c r="I139" i="2"/>
  <c r="A139" i="2"/>
  <c r="K138" i="2"/>
  <c r="I138" i="2"/>
  <c r="A138" i="2"/>
  <c r="K137" i="2"/>
  <c r="I137" i="2"/>
  <c r="A137" i="2"/>
  <c r="K136" i="2"/>
  <c r="I136" i="2"/>
  <c r="A136" i="2"/>
  <c r="K135" i="2"/>
  <c r="I135" i="2"/>
  <c r="A135" i="2"/>
  <c r="K134" i="2"/>
  <c r="I134" i="2"/>
  <c r="A134" i="2"/>
  <c r="K133" i="2"/>
  <c r="I133" i="2"/>
  <c r="A133" i="2"/>
  <c r="K132" i="2"/>
  <c r="I132" i="2"/>
  <c r="A132" i="2"/>
  <c r="K131" i="2"/>
  <c r="I131" i="2"/>
  <c r="A131" i="2"/>
  <c r="K130" i="2"/>
  <c r="I130" i="2"/>
  <c r="A130" i="2"/>
  <c r="K129" i="2"/>
  <c r="I129" i="2"/>
  <c r="A129" i="2"/>
  <c r="K128" i="2"/>
  <c r="I128" i="2"/>
  <c r="A128" i="2"/>
  <c r="K127" i="2"/>
  <c r="I127" i="2"/>
  <c r="A127" i="2"/>
  <c r="K126" i="2"/>
  <c r="I126" i="2"/>
  <c r="A126" i="2"/>
  <c r="K125" i="2"/>
  <c r="I125" i="2"/>
  <c r="A125" i="2"/>
  <c r="K124" i="2"/>
  <c r="I124" i="2"/>
  <c r="A124" i="2"/>
  <c r="K123" i="2"/>
  <c r="I123" i="2"/>
  <c r="A123" i="2"/>
  <c r="K122" i="2"/>
  <c r="I122" i="2"/>
  <c r="A122" i="2"/>
  <c r="K121" i="2"/>
  <c r="I121" i="2"/>
  <c r="A121" i="2"/>
  <c r="K120" i="2"/>
  <c r="I120" i="2"/>
  <c r="A120" i="2"/>
  <c r="K119" i="2"/>
  <c r="I119" i="2"/>
  <c r="A119" i="2"/>
  <c r="K118" i="2"/>
  <c r="I118" i="2"/>
  <c r="A118" i="2"/>
  <c r="K117" i="2"/>
  <c r="I117" i="2"/>
  <c r="A117" i="2"/>
  <c r="K116" i="2"/>
  <c r="I116" i="2"/>
  <c r="A116" i="2"/>
  <c r="K115" i="2"/>
  <c r="I115" i="2"/>
  <c r="A115" i="2"/>
  <c r="K114" i="2"/>
  <c r="I114" i="2"/>
  <c r="A114" i="2"/>
  <c r="K113" i="2"/>
  <c r="I113" i="2"/>
  <c r="A113" i="2"/>
  <c r="K112" i="2"/>
  <c r="I112" i="2"/>
  <c r="A112" i="2"/>
  <c r="K111" i="2"/>
  <c r="I111" i="2"/>
  <c r="A111" i="2"/>
  <c r="K110" i="2"/>
  <c r="I110" i="2"/>
  <c r="A110" i="2"/>
  <c r="K109" i="2"/>
  <c r="I109" i="2"/>
  <c r="A109" i="2"/>
  <c r="K108" i="2"/>
  <c r="I108" i="2"/>
  <c r="A108" i="2"/>
  <c r="K107" i="2"/>
  <c r="I107" i="2"/>
  <c r="A107" i="2"/>
  <c r="K106" i="2"/>
  <c r="I106" i="2"/>
  <c r="A106" i="2"/>
  <c r="I105" i="2"/>
  <c r="A105" i="2"/>
  <c r="I104" i="2"/>
  <c r="A104" i="2"/>
  <c r="I103" i="2"/>
  <c r="A103" i="2"/>
  <c r="I102" i="2"/>
  <c r="A102" i="2"/>
  <c r="I101" i="2"/>
  <c r="A101" i="2"/>
  <c r="I100" i="2"/>
  <c r="A100" i="2"/>
  <c r="I99" i="2"/>
  <c r="A99" i="2"/>
  <c r="I98" i="2"/>
  <c r="A98" i="2"/>
  <c r="I97" i="2"/>
  <c r="A97" i="2"/>
  <c r="I96" i="2"/>
  <c r="A96" i="2"/>
  <c r="I95" i="2"/>
  <c r="A95" i="2"/>
  <c r="I94" i="2"/>
  <c r="A94" i="2"/>
  <c r="I93" i="2"/>
  <c r="A93" i="2"/>
  <c r="I92" i="2"/>
  <c r="A92" i="2"/>
  <c r="I91" i="2"/>
  <c r="A91" i="2"/>
  <c r="I90" i="2"/>
  <c r="A90" i="2"/>
  <c r="I89" i="2"/>
  <c r="A89" i="2"/>
  <c r="I88" i="2"/>
  <c r="A88" i="2"/>
  <c r="I87" i="2"/>
  <c r="A87" i="2"/>
  <c r="I86" i="2"/>
  <c r="A86" i="2"/>
  <c r="I85" i="2"/>
  <c r="A85" i="2"/>
  <c r="I84" i="2"/>
  <c r="A84" i="2"/>
  <c r="I83" i="2"/>
  <c r="A83" i="2"/>
  <c r="I82" i="2"/>
  <c r="A82" i="2"/>
  <c r="I81" i="2"/>
  <c r="A81" i="2"/>
  <c r="I80" i="2"/>
  <c r="A80" i="2"/>
  <c r="I79" i="2"/>
  <c r="A79" i="2"/>
  <c r="I78" i="2"/>
  <c r="A78" i="2"/>
  <c r="I77" i="2"/>
  <c r="A77" i="2"/>
  <c r="I76" i="2"/>
  <c r="A76" i="2"/>
  <c r="I75" i="2"/>
  <c r="A75" i="2"/>
  <c r="I74" i="2"/>
  <c r="A74" i="2"/>
  <c r="I73" i="2"/>
  <c r="A73" i="2"/>
  <c r="I72" i="2"/>
  <c r="A72" i="2"/>
  <c r="I71" i="2"/>
  <c r="A71" i="2"/>
  <c r="I70" i="2"/>
  <c r="A70" i="2"/>
  <c r="I69" i="2"/>
  <c r="A69" i="2"/>
  <c r="I68" i="2"/>
  <c r="A68" i="2"/>
  <c r="I67" i="2"/>
  <c r="A67" i="2"/>
  <c r="I66" i="2"/>
  <c r="A66" i="2"/>
  <c r="I65" i="2"/>
  <c r="A65" i="2"/>
  <c r="I64" i="2"/>
  <c r="A64" i="2"/>
  <c r="I63" i="2"/>
  <c r="A63" i="2"/>
  <c r="I62" i="2"/>
  <c r="A62" i="2"/>
  <c r="I61" i="2"/>
  <c r="A61" i="2"/>
  <c r="I60" i="2"/>
  <c r="A60" i="2"/>
  <c r="I59" i="2"/>
  <c r="A59" i="2"/>
  <c r="I58" i="2"/>
  <c r="A58" i="2"/>
  <c r="I57" i="2"/>
  <c r="A57" i="2"/>
  <c r="I56" i="2"/>
  <c r="A56" i="2"/>
  <c r="I55" i="2"/>
  <c r="A55" i="2"/>
  <c r="I54" i="2"/>
  <c r="A54" i="2"/>
  <c r="I53" i="2"/>
  <c r="A53" i="2"/>
  <c r="I52" i="2"/>
  <c r="A52" i="2"/>
  <c r="I51" i="2"/>
  <c r="A51" i="2"/>
  <c r="I50" i="2"/>
  <c r="A50" i="2"/>
  <c r="I49" i="2"/>
  <c r="A49" i="2"/>
  <c r="I48" i="2"/>
  <c r="A48" i="2"/>
  <c r="I47" i="2"/>
  <c r="A47" i="2"/>
  <c r="I46" i="2"/>
  <c r="A46" i="2"/>
  <c r="I45" i="2"/>
  <c r="A45" i="2"/>
  <c r="I44" i="2"/>
  <c r="A44" i="2"/>
  <c r="I43" i="2"/>
  <c r="A43" i="2"/>
  <c r="I42" i="2"/>
  <c r="A42" i="2"/>
  <c r="I41" i="2"/>
  <c r="A41" i="2"/>
  <c r="I40" i="2"/>
  <c r="A40" i="2"/>
  <c r="I39" i="2"/>
  <c r="A39" i="2"/>
  <c r="I38" i="2"/>
  <c r="A38" i="2"/>
  <c r="I37" i="2"/>
  <c r="A37" i="2"/>
  <c r="I36" i="2"/>
  <c r="A36" i="2"/>
  <c r="I35" i="2"/>
  <c r="A35" i="2"/>
  <c r="I34" i="2"/>
  <c r="A34" i="2"/>
  <c r="I33" i="2"/>
  <c r="A33" i="2"/>
  <c r="I32" i="2"/>
  <c r="A32" i="2"/>
  <c r="I31" i="2"/>
  <c r="A31" i="2"/>
  <c r="I30" i="2"/>
  <c r="A30" i="2"/>
  <c r="I29" i="2"/>
  <c r="A29" i="2"/>
  <c r="I28" i="2"/>
  <c r="A28" i="2"/>
  <c r="I27" i="2"/>
  <c r="A27" i="2"/>
  <c r="I26" i="2"/>
  <c r="A26" i="2"/>
  <c r="I25" i="2"/>
  <c r="A25" i="2"/>
  <c r="I24" i="2"/>
  <c r="A24" i="2"/>
  <c r="I23" i="2"/>
  <c r="A23" i="2"/>
  <c r="I22" i="2"/>
  <c r="A22" i="2"/>
  <c r="I21" i="2"/>
  <c r="A21" i="2"/>
  <c r="I20" i="2"/>
  <c r="A20" i="2"/>
  <c r="I19" i="2"/>
  <c r="A19" i="2"/>
  <c r="I18" i="2"/>
  <c r="A18" i="2"/>
  <c r="I17" i="2"/>
  <c r="A17" i="2"/>
  <c r="I16" i="2"/>
  <c r="A16" i="2"/>
  <c r="I15" i="2"/>
  <c r="A15" i="2"/>
  <c r="I14" i="2"/>
  <c r="A14" i="2"/>
  <c r="I13" i="2"/>
  <c r="A13" i="2"/>
  <c r="I12" i="2"/>
  <c r="A12" i="2"/>
  <c r="I11" i="2"/>
  <c r="A11" i="2"/>
  <c r="I10" i="2"/>
  <c r="A10" i="2"/>
  <c r="I9" i="2"/>
  <c r="A9" i="2"/>
  <c r="I8" i="2"/>
  <c r="I7" i="2"/>
  <c r="F3" i="3" s="1" a="1"/>
  <c r="F3" i="3" s="1"/>
  <c r="I6" i="2"/>
  <c r="F2" i="3" s="1" a="1"/>
  <c r="F2" i="3" s="1"/>
  <c r="B2" i="3" a="1"/>
  <c r="A6" i="2"/>
  <c r="H4" i="3" a="1"/>
  <c r="J3" i="3" a="1"/>
  <c r="I3" i="3" a="1"/>
  <c r="I4" i="3" a="1"/>
  <c r="H3" i="3" a="1"/>
  <c r="I2" i="3" a="1"/>
  <c r="H2" i="3" a="1"/>
  <c r="Q46" i="2"/>
  <c r="Q89" i="2"/>
  <c r="Q103" i="2"/>
  <c r="Q53" i="2"/>
  <c r="Q95" i="2"/>
  <c r="Q66" i="2"/>
  <c r="Q57" i="2"/>
  <c r="Q75" i="2"/>
  <c r="Q21" i="2"/>
  <c r="Q93" i="2"/>
  <c r="Q13" i="2"/>
  <c r="Q102" i="2"/>
  <c r="Q96" i="2"/>
  <c r="Q73" i="2"/>
  <c r="Q64" i="2"/>
  <c r="Q68" i="2"/>
  <c r="Q37" i="2"/>
  <c r="Q34" i="2"/>
  <c r="Q105" i="2"/>
  <c r="Q78" i="2"/>
  <c r="Q56" i="2"/>
  <c r="Q98" i="2"/>
  <c r="Q99" i="2"/>
  <c r="Q104" i="2"/>
  <c r="Q33" i="2"/>
  <c r="Q9" i="2"/>
  <c r="Q45" i="2"/>
  <c r="Q83" i="2"/>
  <c r="Q12" i="2"/>
  <c r="Q91" i="2"/>
  <c r="Q79" i="2"/>
  <c r="Q67" i="2"/>
  <c r="Q59" i="2"/>
  <c r="Q80" i="2"/>
  <c r="Q62" i="2"/>
  <c r="Q7" i="2"/>
  <c r="Q36" i="2"/>
  <c r="Q63" i="2"/>
  <c r="Q51" i="2"/>
  <c r="Q32" i="2"/>
  <c r="Q84" i="2"/>
  <c r="Q58" i="2"/>
  <c r="Q92" i="2"/>
  <c r="Q85" i="2"/>
  <c r="Q14" i="2"/>
  <c r="Q47" i="2"/>
  <c r="Q94" i="2"/>
  <c r="Q87" i="2"/>
  <c r="Q24" i="2"/>
  <c r="Q39" i="2"/>
  <c r="Q55" i="2"/>
  <c r="Q65" i="2"/>
  <c r="Q60" i="2"/>
  <c r="Q29" i="2"/>
  <c r="Q8" i="2"/>
  <c r="Q101" i="2"/>
  <c r="Q50" i="2"/>
  <c r="Q15" i="2"/>
  <c r="Q11" i="2"/>
  <c r="Q90" i="2"/>
  <c r="Q20" i="2"/>
  <c r="Q17" i="2"/>
  <c r="Q86" i="2"/>
  <c r="Q30" i="2"/>
  <c r="Q23" i="2"/>
  <c r="Q43" i="2"/>
  <c r="Q40" i="2"/>
  <c r="Q42" i="2"/>
  <c r="Q100" i="2"/>
  <c r="Q18" i="2"/>
  <c r="Q72" i="2"/>
  <c r="Q35" i="2"/>
  <c r="Q82" i="2"/>
  <c r="Q26" i="2"/>
  <c r="Q25" i="2"/>
  <c r="Q41" i="2"/>
  <c r="Q81" i="2"/>
  <c r="Q27" i="2"/>
  <c r="Q70" i="2"/>
  <c r="Q6" i="2"/>
  <c r="Q54" i="2"/>
  <c r="Q38" i="2"/>
  <c r="Q19" i="2"/>
  <c r="Q71" i="2"/>
  <c r="Q22" i="2"/>
  <c r="Q16" i="2"/>
  <c r="Q10" i="2"/>
  <c r="Q61" i="2"/>
  <c r="Q31" i="2"/>
  <c r="Q97" i="2"/>
  <c r="Q44" i="2"/>
  <c r="Q74" i="2"/>
  <c r="Q69" i="2"/>
  <c r="Q52" i="2"/>
  <c r="Q28" i="2"/>
  <c r="Q88" i="2"/>
  <c r="Q77" i="2"/>
  <c r="Q76" i="2"/>
  <c r="Q48" i="2"/>
  <c r="Q49" i="2"/>
  <c r="I4" i="3" l="1"/>
  <c r="H4" i="3"/>
  <c r="J3" i="3"/>
  <c r="I3" i="3"/>
  <c r="H3" i="3"/>
  <c r="K12" i="2"/>
  <c r="K24" i="2"/>
  <c r="K40" i="2"/>
  <c r="K52" i="2"/>
  <c r="K68" i="2"/>
  <c r="K80" i="2"/>
  <c r="K92" i="2"/>
  <c r="K13" i="2"/>
  <c r="K25" i="2"/>
  <c r="K33" i="2"/>
  <c r="K41" i="2"/>
  <c r="K49" i="2"/>
  <c r="K57" i="2"/>
  <c r="K65" i="2"/>
  <c r="K85" i="2"/>
  <c r="K97" i="2"/>
  <c r="K6" i="2"/>
  <c r="K10" i="2"/>
  <c r="K14" i="2"/>
  <c r="K18" i="2"/>
  <c r="K22" i="2"/>
  <c r="K26" i="2"/>
  <c r="K30" i="2"/>
  <c r="K34" i="2"/>
  <c r="K38" i="2"/>
  <c r="K42" i="2"/>
  <c r="K46" i="2"/>
  <c r="K50" i="2"/>
  <c r="K54" i="2"/>
  <c r="K58" i="2"/>
  <c r="K62" i="2"/>
  <c r="K66" i="2"/>
  <c r="K70" i="2"/>
  <c r="K74" i="2"/>
  <c r="K78" i="2"/>
  <c r="K82" i="2"/>
  <c r="K86" i="2"/>
  <c r="K90" i="2"/>
  <c r="K94" i="2"/>
  <c r="K98" i="2"/>
  <c r="K102" i="2"/>
  <c r="K20" i="2"/>
  <c r="K36" i="2"/>
  <c r="K48" i="2"/>
  <c r="K60" i="2"/>
  <c r="K72" i="2"/>
  <c r="K88" i="2"/>
  <c r="K104" i="2"/>
  <c r="K9" i="2"/>
  <c r="K21" i="2"/>
  <c r="K37" i="2"/>
  <c r="K53" i="2"/>
  <c r="K73" i="2"/>
  <c r="K81" i="2"/>
  <c r="K89" i="2"/>
  <c r="K101" i="2"/>
  <c r="K7" i="2"/>
  <c r="K11" i="2"/>
  <c r="K15" i="2"/>
  <c r="K19" i="2"/>
  <c r="K23" i="2"/>
  <c r="K27" i="2"/>
  <c r="K31" i="2"/>
  <c r="K35" i="2"/>
  <c r="K39" i="2"/>
  <c r="K43" i="2"/>
  <c r="K47" i="2"/>
  <c r="K51" i="2"/>
  <c r="K55" i="2"/>
  <c r="K59" i="2"/>
  <c r="K63" i="2"/>
  <c r="K67" i="2"/>
  <c r="K71" i="2"/>
  <c r="K75" i="2"/>
  <c r="K79" i="2"/>
  <c r="K83" i="2"/>
  <c r="K87" i="2"/>
  <c r="K91" i="2"/>
  <c r="K95" i="2"/>
  <c r="K99" i="2"/>
  <c r="K103" i="2"/>
  <c r="H2" i="3"/>
  <c r="K16" i="2"/>
  <c r="K28" i="2"/>
  <c r="K44" i="2"/>
  <c r="K64" i="2"/>
  <c r="K76" i="2"/>
  <c r="K100" i="2"/>
  <c r="K8" i="2"/>
  <c r="K32" i="2"/>
  <c r="K56" i="2"/>
  <c r="K84" i="2"/>
  <c r="K96" i="2"/>
  <c r="K17" i="2"/>
  <c r="K29" i="2"/>
  <c r="K45" i="2"/>
  <c r="K61" i="2"/>
  <c r="K69" i="2"/>
  <c r="K77" i="2"/>
  <c r="K93" i="2"/>
  <c r="K105" i="2"/>
  <c r="I2" i="3"/>
  <c r="B1000" i="3"/>
  <c r="B999" i="3"/>
  <c r="B995" i="3"/>
  <c r="B991" i="3"/>
  <c r="B987" i="3"/>
  <c r="B983" i="3"/>
  <c r="B979" i="3"/>
  <c r="B975" i="3"/>
  <c r="B971" i="3"/>
  <c r="B967" i="3"/>
  <c r="B963" i="3"/>
  <c r="B959" i="3"/>
  <c r="B955" i="3"/>
  <c r="B951" i="3"/>
  <c r="B947" i="3"/>
  <c r="B943" i="3"/>
  <c r="B939" i="3"/>
  <c r="B935" i="3"/>
  <c r="B931" i="3"/>
  <c r="B927" i="3"/>
  <c r="B923" i="3"/>
  <c r="B919" i="3"/>
  <c r="B915" i="3"/>
  <c r="B911" i="3"/>
  <c r="B907" i="3"/>
  <c r="B903" i="3"/>
  <c r="B899" i="3"/>
  <c r="B895" i="3"/>
  <c r="B891" i="3"/>
  <c r="B887" i="3"/>
  <c r="B883" i="3"/>
  <c r="B879" i="3"/>
  <c r="B875" i="3"/>
  <c r="B871" i="3"/>
  <c r="B867" i="3"/>
  <c r="B863" i="3"/>
  <c r="B859" i="3"/>
  <c r="B855" i="3"/>
  <c r="B851" i="3"/>
  <c r="B847" i="3"/>
  <c r="B843" i="3"/>
  <c r="B839" i="3"/>
  <c r="B835" i="3"/>
  <c r="B831" i="3"/>
  <c r="B827" i="3"/>
  <c r="B823" i="3"/>
  <c r="B819" i="3"/>
  <c r="B815" i="3"/>
  <c r="B811" i="3"/>
  <c r="B807" i="3"/>
  <c r="B803" i="3"/>
  <c r="B799" i="3"/>
  <c r="B795" i="3"/>
  <c r="B791" i="3"/>
  <c r="B787" i="3"/>
  <c r="B783" i="3"/>
  <c r="B779" i="3"/>
  <c r="B775" i="3"/>
  <c r="B771" i="3"/>
  <c r="B767" i="3"/>
  <c r="B763" i="3"/>
  <c r="B759" i="3"/>
  <c r="B755" i="3"/>
  <c r="B751" i="3"/>
  <c r="B747" i="3"/>
  <c r="B743" i="3"/>
  <c r="B739" i="3"/>
  <c r="B735" i="3"/>
  <c r="B731" i="3"/>
  <c r="B727" i="3"/>
  <c r="B723" i="3"/>
  <c r="B719" i="3"/>
  <c r="B715" i="3"/>
  <c r="B711" i="3"/>
  <c r="B707" i="3"/>
  <c r="B703" i="3"/>
  <c r="B699" i="3"/>
  <c r="B695" i="3"/>
  <c r="B691" i="3"/>
  <c r="B687" i="3"/>
  <c r="B683" i="3"/>
  <c r="B679" i="3"/>
  <c r="B675" i="3"/>
  <c r="B671" i="3"/>
  <c r="B667" i="3"/>
  <c r="B663" i="3"/>
  <c r="B659" i="3"/>
  <c r="B655" i="3"/>
  <c r="B651" i="3"/>
  <c r="B647" i="3"/>
  <c r="B643" i="3"/>
  <c r="B639" i="3"/>
  <c r="B635" i="3"/>
  <c r="B631" i="3"/>
  <c r="B627" i="3"/>
  <c r="B623" i="3"/>
  <c r="B619" i="3"/>
  <c r="B615" i="3"/>
  <c r="B611" i="3"/>
  <c r="B607" i="3"/>
  <c r="B603" i="3"/>
  <c r="B599" i="3"/>
  <c r="B595" i="3"/>
  <c r="B591" i="3"/>
  <c r="B587" i="3"/>
  <c r="B583" i="3"/>
  <c r="B579" i="3"/>
  <c r="B575" i="3"/>
  <c r="B571" i="3"/>
  <c r="B567" i="3"/>
  <c r="B563" i="3"/>
  <c r="B559" i="3"/>
  <c r="B555" i="3"/>
  <c r="B551" i="3"/>
  <c r="B547" i="3"/>
  <c r="B543" i="3"/>
  <c r="B539" i="3"/>
  <c r="B535" i="3"/>
  <c r="B531" i="3"/>
  <c r="B527" i="3"/>
  <c r="B523" i="3"/>
  <c r="B519" i="3"/>
  <c r="B515" i="3"/>
  <c r="B511" i="3"/>
  <c r="B507" i="3"/>
  <c r="B503" i="3"/>
  <c r="B499" i="3"/>
  <c r="B495" i="3"/>
  <c r="B491" i="3"/>
  <c r="B487" i="3"/>
  <c r="B483" i="3"/>
  <c r="B479" i="3"/>
  <c r="B475" i="3"/>
  <c r="B471" i="3"/>
  <c r="B467" i="3"/>
  <c r="B463" i="3"/>
  <c r="B459" i="3"/>
  <c r="B455" i="3"/>
  <c r="B451" i="3"/>
  <c r="B447" i="3"/>
  <c r="B443" i="3"/>
  <c r="B439" i="3"/>
  <c r="B435" i="3"/>
  <c r="B431" i="3"/>
  <c r="B427" i="3"/>
  <c r="B423" i="3"/>
  <c r="B419" i="3"/>
  <c r="B415" i="3"/>
  <c r="B411" i="3"/>
  <c r="B407" i="3"/>
  <c r="B403" i="3"/>
  <c r="B399" i="3"/>
  <c r="B395" i="3"/>
  <c r="B391" i="3"/>
  <c r="B387" i="3"/>
  <c r="B383" i="3"/>
  <c r="B379" i="3"/>
  <c r="B375" i="3"/>
  <c r="B371" i="3"/>
  <c r="B367" i="3"/>
  <c r="B363" i="3"/>
  <c r="B359" i="3"/>
  <c r="B355" i="3"/>
  <c r="B351" i="3"/>
  <c r="B347" i="3"/>
  <c r="B343" i="3"/>
  <c r="B339" i="3"/>
  <c r="B335" i="3"/>
  <c r="B331" i="3"/>
  <c r="B327" i="3"/>
  <c r="B323" i="3"/>
  <c r="B319" i="3"/>
  <c r="B315" i="3"/>
  <c r="B311" i="3"/>
  <c r="B307" i="3"/>
  <c r="B303" i="3"/>
  <c r="B299" i="3"/>
  <c r="B295" i="3"/>
  <c r="B291" i="3"/>
  <c r="B287" i="3"/>
  <c r="B283" i="3"/>
  <c r="B279" i="3"/>
  <c r="B275" i="3"/>
  <c r="B271" i="3"/>
  <c r="B267" i="3"/>
  <c r="B263" i="3"/>
  <c r="B259" i="3"/>
  <c r="B255" i="3"/>
  <c r="B251" i="3"/>
  <c r="B247" i="3"/>
  <c r="B243" i="3"/>
  <c r="B239" i="3"/>
  <c r="B235" i="3"/>
  <c r="B231" i="3"/>
  <c r="B227" i="3"/>
  <c r="B223" i="3"/>
  <c r="B219" i="3"/>
  <c r="B215" i="3"/>
  <c r="B211" i="3"/>
  <c r="B207" i="3"/>
  <c r="B203" i="3"/>
  <c r="B199" i="3"/>
  <c r="B195" i="3"/>
  <c r="B191" i="3"/>
  <c r="B187" i="3"/>
  <c r="B183" i="3"/>
  <c r="B179" i="3"/>
  <c r="B175" i="3"/>
  <c r="B171" i="3"/>
  <c r="B167" i="3"/>
  <c r="B163" i="3"/>
  <c r="B159" i="3"/>
  <c r="B155" i="3"/>
  <c r="B151" i="3"/>
  <c r="B147" i="3"/>
  <c r="B143" i="3"/>
  <c r="B139" i="3"/>
  <c r="B135" i="3"/>
  <c r="B131" i="3"/>
  <c r="B127" i="3"/>
  <c r="B123" i="3"/>
  <c r="B119" i="3"/>
  <c r="B115" i="3"/>
  <c r="B111" i="3"/>
  <c r="B107" i="3"/>
  <c r="B103" i="3"/>
  <c r="B99" i="3"/>
  <c r="B95" i="3"/>
  <c r="B91" i="3"/>
  <c r="B87" i="3"/>
  <c r="B83" i="3"/>
  <c r="B79" i="3"/>
  <c r="B75" i="3"/>
  <c r="B71" i="3"/>
  <c r="B67" i="3"/>
  <c r="B63" i="3"/>
  <c r="B59" i="3"/>
  <c r="B55" i="3"/>
  <c r="B51" i="3"/>
  <c r="B47" i="3"/>
  <c r="B43" i="3"/>
  <c r="B39" i="3"/>
  <c r="B35" i="3"/>
  <c r="B31" i="3"/>
  <c r="B27" i="3"/>
  <c r="B23" i="3"/>
  <c r="B19" i="3"/>
  <c r="B15" i="3"/>
  <c r="B11" i="3"/>
  <c r="B7" i="3"/>
  <c r="B3" i="3"/>
  <c r="B998" i="3"/>
  <c r="B994" i="3"/>
  <c r="B990" i="3"/>
  <c r="B986" i="3"/>
  <c r="B982" i="3"/>
  <c r="B978" i="3"/>
  <c r="B974" i="3"/>
  <c r="B970" i="3"/>
  <c r="B966" i="3"/>
  <c r="B962" i="3"/>
  <c r="B958" i="3"/>
  <c r="B954" i="3"/>
  <c r="B950" i="3"/>
  <c r="B946" i="3"/>
  <c r="B942" i="3"/>
  <c r="B938" i="3"/>
  <c r="B934" i="3"/>
  <c r="B930" i="3"/>
  <c r="B926" i="3"/>
  <c r="B922" i="3"/>
  <c r="B918" i="3"/>
  <c r="B914" i="3"/>
  <c r="B910" i="3"/>
  <c r="B906" i="3"/>
  <c r="B902" i="3"/>
  <c r="B898" i="3"/>
  <c r="B894" i="3"/>
  <c r="B890" i="3"/>
  <c r="B886" i="3"/>
  <c r="B882" i="3"/>
  <c r="B878" i="3"/>
  <c r="B874" i="3"/>
  <c r="B870" i="3"/>
  <c r="B866" i="3"/>
  <c r="B862" i="3"/>
  <c r="B858" i="3"/>
  <c r="B854" i="3"/>
  <c r="B850" i="3"/>
  <c r="B846" i="3"/>
  <c r="B842" i="3"/>
  <c r="B838" i="3"/>
  <c r="B834" i="3"/>
  <c r="B830" i="3"/>
  <c r="B826" i="3"/>
  <c r="B822" i="3"/>
  <c r="B818" i="3"/>
  <c r="B814" i="3"/>
  <c r="B810" i="3"/>
  <c r="B806" i="3"/>
  <c r="B802" i="3"/>
  <c r="B798" i="3"/>
  <c r="B794" i="3"/>
  <c r="B790" i="3"/>
  <c r="B786" i="3"/>
  <c r="B782" i="3"/>
  <c r="B778" i="3"/>
  <c r="B774" i="3"/>
  <c r="B770" i="3"/>
  <c r="B766" i="3"/>
  <c r="B762" i="3"/>
  <c r="B758" i="3"/>
  <c r="B754" i="3"/>
  <c r="B750" i="3"/>
  <c r="B746" i="3"/>
  <c r="B742" i="3"/>
  <c r="B738" i="3"/>
  <c r="B734" i="3"/>
  <c r="B730" i="3"/>
  <c r="B726" i="3"/>
  <c r="B722" i="3"/>
  <c r="B718" i="3"/>
  <c r="B714" i="3"/>
  <c r="B710" i="3"/>
  <c r="B706" i="3"/>
  <c r="B702" i="3"/>
  <c r="B698" i="3"/>
  <c r="B694" i="3"/>
  <c r="B690" i="3"/>
  <c r="B686" i="3"/>
  <c r="B682" i="3"/>
  <c r="B678" i="3"/>
  <c r="B674" i="3"/>
  <c r="B670" i="3"/>
  <c r="B666" i="3"/>
  <c r="B662" i="3"/>
  <c r="B658" i="3"/>
  <c r="B654" i="3"/>
  <c r="B650" i="3"/>
  <c r="B646" i="3"/>
  <c r="B642" i="3"/>
  <c r="B638" i="3"/>
  <c r="B634" i="3"/>
  <c r="B630" i="3"/>
  <c r="B626" i="3"/>
  <c r="B622" i="3"/>
  <c r="B618" i="3"/>
  <c r="B614" i="3"/>
  <c r="B610" i="3"/>
  <c r="B606" i="3"/>
  <c r="B602" i="3"/>
  <c r="B598" i="3"/>
  <c r="B594" i="3"/>
  <c r="B590" i="3"/>
  <c r="B586" i="3"/>
  <c r="B582" i="3"/>
  <c r="B578" i="3"/>
  <c r="B574" i="3"/>
  <c r="B570" i="3"/>
  <c r="B566" i="3"/>
  <c r="B562" i="3"/>
  <c r="B558" i="3"/>
  <c r="B554" i="3"/>
  <c r="B550" i="3"/>
  <c r="B546" i="3"/>
  <c r="B542" i="3"/>
  <c r="B538" i="3"/>
  <c r="B534" i="3"/>
  <c r="B530" i="3"/>
  <c r="B526" i="3"/>
  <c r="B522" i="3"/>
  <c r="B518" i="3"/>
  <c r="B514" i="3"/>
  <c r="B510" i="3"/>
  <c r="B506" i="3"/>
  <c r="B502" i="3"/>
  <c r="B498" i="3"/>
  <c r="B494" i="3"/>
  <c r="B490" i="3"/>
  <c r="B486" i="3"/>
  <c r="B482" i="3"/>
  <c r="B478" i="3"/>
  <c r="B474" i="3"/>
  <c r="B470" i="3"/>
  <c r="B466" i="3"/>
  <c r="B462" i="3"/>
  <c r="B458" i="3"/>
  <c r="B454" i="3"/>
  <c r="B450" i="3"/>
  <c r="B446" i="3"/>
  <c r="B442" i="3"/>
  <c r="B438" i="3"/>
  <c r="B434" i="3"/>
  <c r="B430" i="3"/>
  <c r="B426" i="3"/>
  <c r="B422" i="3"/>
  <c r="B418" i="3"/>
  <c r="B414" i="3"/>
  <c r="B410" i="3"/>
  <c r="B406" i="3"/>
  <c r="B402" i="3"/>
  <c r="B398" i="3"/>
  <c r="B394" i="3"/>
  <c r="B390" i="3"/>
  <c r="B386" i="3"/>
  <c r="B382" i="3"/>
  <c r="B378" i="3"/>
  <c r="B374" i="3"/>
  <c r="B370" i="3"/>
  <c r="B366" i="3"/>
  <c r="B362" i="3"/>
  <c r="B358" i="3"/>
  <c r="B354" i="3"/>
  <c r="B350" i="3"/>
  <c r="B346" i="3"/>
  <c r="B342" i="3"/>
  <c r="B338" i="3"/>
  <c r="B334" i="3"/>
  <c r="B330" i="3"/>
  <c r="B326" i="3"/>
  <c r="B322" i="3"/>
  <c r="B318" i="3"/>
  <c r="B314" i="3"/>
  <c r="B310" i="3"/>
  <c r="B306" i="3"/>
  <c r="B302" i="3"/>
  <c r="B298" i="3"/>
  <c r="B294" i="3"/>
  <c r="B290" i="3"/>
  <c r="B286" i="3"/>
  <c r="B282" i="3"/>
  <c r="B278" i="3"/>
  <c r="B274" i="3"/>
  <c r="B270" i="3"/>
  <c r="B266" i="3"/>
  <c r="B262" i="3"/>
  <c r="B258" i="3"/>
  <c r="B254" i="3"/>
  <c r="B250" i="3"/>
  <c r="B246" i="3"/>
  <c r="B242" i="3"/>
  <c r="B238" i="3"/>
  <c r="B234" i="3"/>
  <c r="B230" i="3"/>
  <c r="B226" i="3"/>
  <c r="B222" i="3"/>
  <c r="B218" i="3"/>
  <c r="B214" i="3"/>
  <c r="B210" i="3"/>
  <c r="B206" i="3"/>
  <c r="B202" i="3"/>
  <c r="B198" i="3"/>
  <c r="B194" i="3"/>
  <c r="B190" i="3"/>
  <c r="B186" i="3"/>
  <c r="B182" i="3"/>
  <c r="B178" i="3"/>
  <c r="B174" i="3"/>
  <c r="B170" i="3"/>
  <c r="B166" i="3"/>
  <c r="B162" i="3"/>
  <c r="B158" i="3"/>
  <c r="B154" i="3"/>
  <c r="B150" i="3"/>
  <c r="B146" i="3"/>
  <c r="B142" i="3"/>
  <c r="B138" i="3"/>
  <c r="B134" i="3"/>
  <c r="B130" i="3"/>
  <c r="B126" i="3"/>
  <c r="B122" i="3"/>
  <c r="B118" i="3"/>
  <c r="B114" i="3"/>
  <c r="B110" i="3"/>
  <c r="B106" i="3"/>
  <c r="B102" i="3"/>
  <c r="B98" i="3"/>
  <c r="B94" i="3"/>
  <c r="B90" i="3"/>
  <c r="B86" i="3"/>
  <c r="B82" i="3"/>
  <c r="B78" i="3"/>
  <c r="B74" i="3"/>
  <c r="B70" i="3"/>
  <c r="B66" i="3"/>
  <c r="B62" i="3"/>
  <c r="B58" i="3"/>
  <c r="B54" i="3"/>
  <c r="B50" i="3"/>
  <c r="B46" i="3"/>
  <c r="B42" i="3"/>
  <c r="B38" i="3"/>
  <c r="B34" i="3"/>
  <c r="B30" i="3"/>
  <c r="B26" i="3"/>
  <c r="B22" i="3"/>
  <c r="B18" i="3"/>
  <c r="B14" i="3"/>
  <c r="B10" i="3"/>
  <c r="B6" i="3"/>
  <c r="B997" i="3"/>
  <c r="B993" i="3"/>
  <c r="B989" i="3"/>
  <c r="B985" i="3"/>
  <c r="B981" i="3"/>
  <c r="B977" i="3"/>
  <c r="B973" i="3"/>
  <c r="B969" i="3"/>
  <c r="B965" i="3"/>
  <c r="B961" i="3"/>
  <c r="B957" i="3"/>
  <c r="B953" i="3"/>
  <c r="B949" i="3"/>
  <c r="B945" i="3"/>
  <c r="B941" i="3"/>
  <c r="B937" i="3"/>
  <c r="B933" i="3"/>
  <c r="B929" i="3"/>
  <c r="B925" i="3"/>
  <c r="B921" i="3"/>
  <c r="B917" i="3"/>
  <c r="B913" i="3"/>
  <c r="B909" i="3"/>
  <c r="B905" i="3"/>
  <c r="B901" i="3"/>
  <c r="B897" i="3"/>
  <c r="B893" i="3"/>
  <c r="B889" i="3"/>
  <c r="B885" i="3"/>
  <c r="B881" i="3"/>
  <c r="B877" i="3"/>
  <c r="B873" i="3"/>
  <c r="B869" i="3"/>
  <c r="B865" i="3"/>
  <c r="B861" i="3"/>
  <c r="B857" i="3"/>
  <c r="B853" i="3"/>
  <c r="B849" i="3"/>
  <c r="B845" i="3"/>
  <c r="B841" i="3"/>
  <c r="B837" i="3"/>
  <c r="B833" i="3"/>
  <c r="B829" i="3"/>
  <c r="B825" i="3"/>
  <c r="B821" i="3"/>
  <c r="B817" i="3"/>
  <c r="B813" i="3"/>
  <c r="B809" i="3"/>
  <c r="B805" i="3"/>
  <c r="B801" i="3"/>
  <c r="B797" i="3"/>
  <c r="B793" i="3"/>
  <c r="B789" i="3"/>
  <c r="B785" i="3"/>
  <c r="B781" i="3"/>
  <c r="B777" i="3"/>
  <c r="B773" i="3"/>
  <c r="B769" i="3"/>
  <c r="B765" i="3"/>
  <c r="B761" i="3"/>
  <c r="B757" i="3"/>
  <c r="B753" i="3"/>
  <c r="B749" i="3"/>
  <c r="B745" i="3"/>
  <c r="B741" i="3"/>
  <c r="B737" i="3"/>
  <c r="B733" i="3"/>
  <c r="B729" i="3"/>
  <c r="B725" i="3"/>
  <c r="B721" i="3"/>
  <c r="B717" i="3"/>
  <c r="B713" i="3"/>
  <c r="B709" i="3"/>
  <c r="B705" i="3"/>
  <c r="B701" i="3"/>
  <c r="B697" i="3"/>
  <c r="B693" i="3"/>
  <c r="B689" i="3"/>
  <c r="B685" i="3"/>
  <c r="B681" i="3"/>
  <c r="B677" i="3"/>
  <c r="B673" i="3"/>
  <c r="B669" i="3"/>
  <c r="B665" i="3"/>
  <c r="B661" i="3"/>
  <c r="B657" i="3"/>
  <c r="B653" i="3"/>
  <c r="B649" i="3"/>
  <c r="B645" i="3"/>
  <c r="B641" i="3"/>
  <c r="B637" i="3"/>
  <c r="B633" i="3"/>
  <c r="B629" i="3"/>
  <c r="B625" i="3"/>
  <c r="B621" i="3"/>
  <c r="B617" i="3"/>
  <c r="B613" i="3"/>
  <c r="B609" i="3"/>
  <c r="B605" i="3"/>
  <c r="B601" i="3"/>
  <c r="B597" i="3"/>
  <c r="B593" i="3"/>
  <c r="B589" i="3"/>
  <c r="B585" i="3"/>
  <c r="B581" i="3"/>
  <c r="B577" i="3"/>
  <c r="B573" i="3"/>
  <c r="B569" i="3"/>
  <c r="B565" i="3"/>
  <c r="B561" i="3"/>
  <c r="B557" i="3"/>
  <c r="B553" i="3"/>
  <c r="B549" i="3"/>
  <c r="B545" i="3"/>
  <c r="B541" i="3"/>
  <c r="B537" i="3"/>
  <c r="B533" i="3"/>
  <c r="B529" i="3"/>
  <c r="B525" i="3"/>
  <c r="B521" i="3"/>
  <c r="B517" i="3"/>
  <c r="B513" i="3"/>
  <c r="B509" i="3"/>
  <c r="B505" i="3"/>
  <c r="B501" i="3"/>
  <c r="B497" i="3"/>
  <c r="B493" i="3"/>
  <c r="B489" i="3"/>
  <c r="B485" i="3"/>
  <c r="B481" i="3"/>
  <c r="B477" i="3"/>
  <c r="B473" i="3"/>
  <c r="B469" i="3"/>
  <c r="B465" i="3"/>
  <c r="B461" i="3"/>
  <c r="B457" i="3"/>
  <c r="B453" i="3"/>
  <c r="B449" i="3"/>
  <c r="B445" i="3"/>
  <c r="B441" i="3"/>
  <c r="B437" i="3"/>
  <c r="B433" i="3"/>
  <c r="B429" i="3"/>
  <c r="B425" i="3"/>
  <c r="B421" i="3"/>
  <c r="B417" i="3"/>
  <c r="B413" i="3"/>
  <c r="B409" i="3"/>
  <c r="B405" i="3"/>
  <c r="B401" i="3"/>
  <c r="B397" i="3"/>
  <c r="B393" i="3"/>
  <c r="B389" i="3"/>
  <c r="B385" i="3"/>
  <c r="B381" i="3"/>
  <c r="B377" i="3"/>
  <c r="B373" i="3"/>
  <c r="B369" i="3"/>
  <c r="B365" i="3"/>
  <c r="B361" i="3"/>
  <c r="B357" i="3"/>
  <c r="B353" i="3"/>
  <c r="B349" i="3"/>
  <c r="B345" i="3"/>
  <c r="B341" i="3"/>
  <c r="B337" i="3"/>
  <c r="B333" i="3"/>
  <c r="B329" i="3"/>
  <c r="B325" i="3"/>
  <c r="B321" i="3"/>
  <c r="B317" i="3"/>
  <c r="B313" i="3"/>
  <c r="B309" i="3"/>
  <c r="B305" i="3"/>
  <c r="B301" i="3"/>
  <c r="B297" i="3"/>
  <c r="B293" i="3"/>
  <c r="B289" i="3"/>
  <c r="B285" i="3"/>
  <c r="B281" i="3"/>
  <c r="B277" i="3"/>
  <c r="B273" i="3"/>
  <c r="B269" i="3"/>
  <c r="B265" i="3"/>
  <c r="B261" i="3"/>
  <c r="B257" i="3"/>
  <c r="B253" i="3"/>
  <c r="B249" i="3"/>
  <c r="B245" i="3"/>
  <c r="B241" i="3"/>
  <c r="B237" i="3"/>
  <c r="B233" i="3"/>
  <c r="B229" i="3"/>
  <c r="B225" i="3"/>
  <c r="B221" i="3"/>
  <c r="B217" i="3"/>
  <c r="B213" i="3"/>
  <c r="B209" i="3"/>
  <c r="B205" i="3"/>
  <c r="B201" i="3"/>
  <c r="B197" i="3"/>
  <c r="B193" i="3"/>
  <c r="B189" i="3"/>
  <c r="B185" i="3"/>
  <c r="B181" i="3"/>
  <c r="B177" i="3"/>
  <c r="B173" i="3"/>
  <c r="B169" i="3"/>
  <c r="B165" i="3"/>
  <c r="B161" i="3"/>
  <c r="B157" i="3"/>
  <c r="B153" i="3"/>
  <c r="B149" i="3"/>
  <c r="B145" i="3"/>
  <c r="B141" i="3"/>
  <c r="B137" i="3"/>
  <c r="B133" i="3"/>
  <c r="B129" i="3"/>
  <c r="B125" i="3"/>
  <c r="B121" i="3"/>
  <c r="B117" i="3"/>
  <c r="B113" i="3"/>
  <c r="B109" i="3"/>
  <c r="B105" i="3"/>
  <c r="B101" i="3"/>
  <c r="B97" i="3"/>
  <c r="B93" i="3"/>
  <c r="B89" i="3"/>
  <c r="B85" i="3"/>
  <c r="B81" i="3"/>
  <c r="B77" i="3"/>
  <c r="B73" i="3"/>
  <c r="B69" i="3"/>
  <c r="B65" i="3"/>
  <c r="B61" i="3"/>
  <c r="B57" i="3"/>
  <c r="B53" i="3"/>
  <c r="B49" i="3"/>
  <c r="B45" i="3"/>
  <c r="B41" i="3"/>
  <c r="B37" i="3"/>
  <c r="B33" i="3"/>
  <c r="B29" i="3"/>
  <c r="B25" i="3"/>
  <c r="B21" i="3"/>
  <c r="B17" i="3"/>
  <c r="B13" i="3"/>
  <c r="B9" i="3"/>
  <c r="B5" i="3"/>
  <c r="B2" i="3"/>
  <c r="B1001" i="3"/>
  <c r="B996" i="3"/>
  <c r="B992" i="3"/>
  <c r="B988" i="3"/>
  <c r="B984" i="3"/>
  <c r="B980" i="3"/>
  <c r="B976" i="3"/>
  <c r="B972" i="3"/>
  <c r="B968" i="3"/>
  <c r="B964" i="3"/>
  <c r="B960" i="3"/>
  <c r="B956" i="3"/>
  <c r="B952" i="3"/>
  <c r="B948" i="3"/>
  <c r="B944" i="3"/>
  <c r="B940" i="3"/>
  <c r="B936" i="3"/>
  <c r="B932" i="3"/>
  <c r="B928" i="3"/>
  <c r="B924" i="3"/>
  <c r="B920" i="3"/>
  <c r="B916" i="3"/>
  <c r="B912" i="3"/>
  <c r="B908" i="3"/>
  <c r="B904" i="3"/>
  <c r="B900" i="3"/>
  <c r="B896" i="3"/>
  <c r="B892" i="3"/>
  <c r="B888" i="3"/>
  <c r="B884" i="3"/>
  <c r="B880" i="3"/>
  <c r="B876" i="3"/>
  <c r="B872" i="3"/>
  <c r="B868" i="3"/>
  <c r="B864" i="3"/>
  <c r="B860" i="3"/>
  <c r="B856" i="3"/>
  <c r="B852" i="3"/>
  <c r="B848" i="3"/>
  <c r="B844" i="3"/>
  <c r="B840" i="3"/>
  <c r="B836" i="3"/>
  <c r="B832" i="3"/>
  <c r="B828" i="3"/>
  <c r="B824" i="3"/>
  <c r="B820" i="3"/>
  <c r="B816" i="3"/>
  <c r="B812" i="3"/>
  <c r="B808" i="3"/>
  <c r="B804" i="3"/>
  <c r="B800" i="3"/>
  <c r="B796" i="3"/>
  <c r="B792" i="3"/>
  <c r="B788" i="3"/>
  <c r="B784" i="3"/>
  <c r="B780" i="3"/>
  <c r="B776" i="3"/>
  <c r="B772" i="3"/>
  <c r="B768" i="3"/>
  <c r="B764" i="3"/>
  <c r="B760" i="3"/>
  <c r="B756" i="3"/>
  <c r="B752" i="3"/>
  <c r="B748" i="3"/>
  <c r="B744" i="3"/>
  <c r="B740" i="3"/>
  <c r="B736" i="3"/>
  <c r="B732" i="3"/>
  <c r="B728" i="3"/>
  <c r="B724" i="3"/>
  <c r="B720" i="3"/>
  <c r="B716" i="3"/>
  <c r="B712" i="3"/>
  <c r="B708" i="3"/>
  <c r="B704" i="3"/>
  <c r="B700" i="3"/>
  <c r="B696" i="3"/>
  <c r="B692" i="3"/>
  <c r="B688" i="3"/>
  <c r="B684" i="3"/>
  <c r="B680" i="3"/>
  <c r="B676" i="3"/>
  <c r="B672" i="3"/>
  <c r="B668" i="3"/>
  <c r="B664" i="3"/>
  <c r="B660" i="3"/>
  <c r="B656" i="3"/>
  <c r="B652" i="3"/>
  <c r="B648" i="3"/>
  <c r="B644" i="3"/>
  <c r="B640" i="3"/>
  <c r="B636" i="3"/>
  <c r="B632" i="3"/>
  <c r="B628" i="3"/>
  <c r="B624" i="3"/>
  <c r="B620" i="3"/>
  <c r="B616" i="3"/>
  <c r="B612" i="3"/>
  <c r="B608" i="3"/>
  <c r="B604" i="3"/>
  <c r="B600" i="3"/>
  <c r="B596" i="3"/>
  <c r="B592" i="3"/>
  <c r="B588" i="3"/>
  <c r="B584" i="3"/>
  <c r="B580" i="3"/>
  <c r="B576" i="3"/>
  <c r="B572" i="3"/>
  <c r="B568" i="3"/>
  <c r="B564" i="3"/>
  <c r="B560" i="3"/>
  <c r="B556" i="3"/>
  <c r="B552" i="3"/>
  <c r="B548" i="3"/>
  <c r="B544" i="3"/>
  <c r="B540" i="3"/>
  <c r="B536" i="3"/>
  <c r="B532" i="3"/>
  <c r="B528" i="3"/>
  <c r="B524" i="3"/>
  <c r="B520" i="3"/>
  <c r="B516" i="3"/>
  <c r="B512" i="3"/>
  <c r="B508" i="3"/>
  <c r="B504" i="3"/>
  <c r="B500" i="3"/>
  <c r="B496" i="3"/>
  <c r="B492" i="3"/>
  <c r="B488" i="3"/>
  <c r="B484" i="3"/>
  <c r="B480" i="3"/>
  <c r="B476" i="3"/>
  <c r="B472" i="3"/>
  <c r="B468" i="3"/>
  <c r="B464" i="3"/>
  <c r="B460" i="3"/>
  <c r="B456" i="3"/>
  <c r="B452" i="3"/>
  <c r="B448" i="3"/>
  <c r="B444" i="3"/>
  <c r="B440" i="3"/>
  <c r="B436" i="3"/>
  <c r="B432" i="3"/>
  <c r="B428" i="3"/>
  <c r="B424" i="3"/>
  <c r="B420" i="3"/>
  <c r="B416" i="3"/>
  <c r="B412" i="3"/>
  <c r="B408" i="3"/>
  <c r="B404" i="3"/>
  <c r="B400" i="3"/>
  <c r="B396" i="3"/>
  <c r="B392" i="3"/>
  <c r="B388" i="3"/>
  <c r="B384" i="3"/>
  <c r="B380" i="3"/>
  <c r="B376" i="3"/>
  <c r="B372" i="3"/>
  <c r="B368" i="3"/>
  <c r="B364" i="3"/>
  <c r="B360" i="3"/>
  <c r="B356" i="3"/>
  <c r="B352" i="3"/>
  <c r="B348" i="3"/>
  <c r="B344" i="3"/>
  <c r="B340" i="3"/>
  <c r="B336" i="3"/>
  <c r="B332" i="3"/>
  <c r="B328" i="3"/>
  <c r="B324" i="3"/>
  <c r="B320" i="3"/>
  <c r="B316" i="3"/>
  <c r="B312" i="3"/>
  <c r="B308" i="3"/>
  <c r="B304" i="3"/>
  <c r="B300" i="3"/>
  <c r="B296" i="3"/>
  <c r="B292" i="3"/>
  <c r="B288" i="3"/>
  <c r="B284" i="3"/>
  <c r="B280" i="3"/>
  <c r="B276" i="3"/>
  <c r="B272" i="3"/>
  <c r="B268" i="3"/>
  <c r="B264" i="3"/>
  <c r="B260" i="3"/>
  <c r="B256" i="3"/>
  <c r="B252" i="3"/>
  <c r="B248" i="3"/>
  <c r="B244" i="3"/>
  <c r="B240" i="3"/>
  <c r="B236" i="3"/>
  <c r="B232" i="3"/>
  <c r="B228" i="3"/>
  <c r="B224" i="3"/>
  <c r="B220" i="3"/>
  <c r="B216" i="3"/>
  <c r="B212" i="3"/>
  <c r="B208" i="3"/>
  <c r="B204" i="3"/>
  <c r="B200" i="3"/>
  <c r="B196" i="3"/>
  <c r="B192" i="3"/>
  <c r="B188" i="3"/>
  <c r="B184" i="3"/>
  <c r="B180" i="3"/>
  <c r="B176" i="3"/>
  <c r="B172" i="3"/>
  <c r="B168" i="3"/>
  <c r="B164" i="3"/>
  <c r="B160" i="3"/>
  <c r="B156" i="3"/>
  <c r="B152" i="3"/>
  <c r="B148" i="3"/>
  <c r="B144" i="3"/>
  <c r="B140" i="3"/>
  <c r="B136" i="3"/>
  <c r="B132" i="3"/>
  <c r="B128" i="3"/>
  <c r="B124" i="3"/>
  <c r="B120" i="3"/>
  <c r="B116" i="3"/>
  <c r="B112" i="3"/>
  <c r="B108" i="3"/>
  <c r="B104" i="3"/>
  <c r="B100" i="3"/>
  <c r="B96" i="3"/>
  <c r="B92" i="3"/>
  <c r="B88" i="3"/>
  <c r="B84" i="3"/>
  <c r="B80" i="3"/>
  <c r="B76" i="3"/>
  <c r="B72" i="3"/>
  <c r="B68" i="3"/>
  <c r="B64" i="3"/>
  <c r="B60" i="3"/>
  <c r="B56" i="3"/>
  <c r="B52" i="3"/>
  <c r="B48" i="3"/>
  <c r="B44" i="3"/>
  <c r="B40" i="3"/>
  <c r="B36" i="3"/>
  <c r="B32" i="3"/>
  <c r="B28" i="3"/>
  <c r="B24" i="3"/>
  <c r="B20" i="3"/>
  <c r="B16" i="3"/>
  <c r="B12" i="3"/>
  <c r="B8" i="3"/>
  <c r="B4" i="3"/>
</calcChain>
</file>

<file path=xl/sharedStrings.xml><?xml version="1.0" encoding="utf-8"?>
<sst xmlns="http://schemas.openxmlformats.org/spreadsheetml/2006/main" count="430" uniqueCount="318">
  <si>
    <t>KETERANGAN WARNA — KERTAS KERJA SPMB-PT PKN STAN 2026</t>
  </si>
  <si>
    <t>BAGIAN 1 — Kolom "Status Pilihan Prodi" (Kolom J)</t>
  </si>
  <si>
    <t>Warna berubah otomatis sesuai kondisi kelengkapan dan kebenaran pilihan prodi tujuan:</t>
  </si>
  <si>
    <t>Tampilan</t>
  </si>
  <si>
    <t>Status / Kondisi</t>
  </si>
  <si>
    <t>Keterangan</t>
  </si>
  <si>
    <t>Terdapat Pilihan Tidak Sesuai Prodi Asal</t>
  </si>
  <si>
    <t>Satu atau lebih pilihan tidak sesuai prodi asal. Perbaiki pilihan yang berwarna UNGU di kolom prodi tujuan.</t>
  </si>
  <si>
    <t>Pilihan Melebihi Jumlah yang Tersedia</t>
  </si>
  <si>
    <t>Jumlah pilihan melebihi total yang tersedia. Periksa dan kurangi pilihan.</t>
  </si>
  <si>
    <t>Terdapat Pilihan yang Sama / Duplikat</t>
  </si>
  <si>
    <t>Ada dua atau lebih pilihan prodi tujuan yang sama. Ubah pilihan yang berwarna MERAH di kolom prodi tujuan.</t>
  </si>
  <si>
    <t>Seluruh Pilihan Telah Terisi dengan Benar</t>
  </si>
  <si>
    <t>Semua slot pilihan terisi dan tidak ada masalah.</t>
  </si>
  <si>
    <t>Masih Terdapat Pilihan yang Bisa Dipilih</t>
  </si>
  <si>
    <t>Pilihan belum diisi seluruhnya. Disarankan melengkapi semua pilihan yang tersedia.</t>
  </si>
  <si>
    <t>BAGIAN 2 — Kolom "Prodi Tujuan dan Jalur SPMB-PT" (Pilihan 1 s.d. maks)</t>
  </si>
  <si>
    <t>Warna muncul otomatis jika terjadi kondisi berikut. Pilihan berwarna TIDAK dimunculkan kodenya di sheet INPUT.</t>
  </si>
  <si>
    <t>Pilihan Duplikat</t>
  </si>
  <si>
    <t>Nilai pilihan sama dengan pilihan lain di baris yang sama. Ganti dengan pilihan berbeda.</t>
  </si>
  <si>
    <t>Pilihan Tidak Sesuai Prodi Asal</t>
  </si>
  <si>
    <t>Pilihan tidak dalam daftar yang diperbolehkan untuk prodi asal. Ganti prodi asal atau ubah pilihan.</t>
  </si>
  <si>
    <t>BAGIAN 3 — Kolom "NIP" (Kolom E) — Validasi Data</t>
  </si>
  <si>
    <t>Warna muncul pada SELURUH BARIS apabila NIP tidak valid. Dua kondisi yang dideteksi:</t>
  </si>
  <si>
    <t>NIP Tidak Berjumlah 18 Karakter</t>
  </si>
  <si>
    <t>NIP kurang atau lebih dari 18 karakter. Seluruh baris ditandai merah muda. Periksa dan perbaiki.</t>
  </si>
  <si>
    <t>NIP Duplikat</t>
  </si>
  <si>
    <t>NIP yang sama sudah ada di baris lain. Kedua baris ditandai merah muda. Periksa dan perbaiki.</t>
  </si>
  <si>
    <t>BAGIAN 4 — Sheet INPUT (Kode KLP)</t>
  </si>
  <si>
    <t>CATATAN PENTING</t>
  </si>
  <si>
    <t>• Kolom STATUS PILIHAN PRODI (J) dan _avail berisi formula otomatis — JANGAN diubah.</t>
  </si>
  <si>
    <t>• Isi hanya: Unit/Satuan Kerja (B-D), NIP (E), Nama (F), Email (G), Prodi Asal (I), Pilihan Prodi Tujuan (K dst.), verifikasi PMK, Kesimpulan Akhir.</t>
  </si>
  <si>
    <t>• Pilihan Prodi Tujuan gunakan dropdown — pilih sesuai prodi asal.</t>
  </si>
  <si>
    <t>• Jika Prodi Asal diubah, pilihan tidak sesuai berwarna UNGU — periksa dan perbaiki.</t>
  </si>
  <si>
    <t>• NIP tidak valid (bukan 18 karakter atau duplikat) mewarnai SELURUH BARIS merah muda.</t>
  </si>
  <si>
    <t>Kesesuaian Dengan Pasal 6 PMK 34 Tahun 2024</t>
  </si>
  <si>
    <t>No</t>
  </si>
  <si>
    <t>Unit/Satuan Kerja</t>
  </si>
  <si>
    <t>Nama PIC Unit/Satuan Kerja</t>
  </si>
  <si>
    <t>JALUR</t>
  </si>
  <si>
    <t>NIP</t>
  </si>
  <si>
    <t>NAMA</t>
  </si>
  <si>
    <t>EMAIL</t>
  </si>
  <si>
    <t>ID INSTANSI</t>
  </si>
  <si>
    <t>PRODI ASAL</t>
  </si>
  <si>
    <t>STATUS PILIHAN PRODI</t>
  </si>
  <si>
    <t>PRIORITAS PILIHAN PRODI 1</t>
  </si>
  <si>
    <t>PRIORITAS PILIHAN PRODI 2</t>
  </si>
  <si>
    <t>PRIORITAS PILIHAN PRODI 3</t>
  </si>
  <si>
    <t>PRIORITAS PILIHAN PRODI 4</t>
  </si>
  <si>
    <t>PRIORITAS PILIHAN PRODI 5</t>
  </si>
  <si>
    <t>_avail</t>
  </si>
  <si>
    <t>Kesesuaian antara Pendidikan Awal dengan Prodi Tujuan</t>
  </si>
  <si>
    <t>Memenuhi Masa Kerja Minimal PNS</t>
  </si>
  <si>
    <t>Memenuhi Ketentuan Sisa Masa Kerja</t>
  </si>
  <si>
    <t>Memenuhi Ketentuan Pangkat/Golongan Minimal</t>
  </si>
  <si>
    <t>Tidak sedang menjalani/dicalonkan pada program Tugas Belajar Dibiayai lain dan/atau program Tugas Belajar Mandiri Diberhentikan</t>
  </si>
  <si>
    <t>Belum pernah menyelesaikan program Tugas Belajar pada jenjang pendidikan yang sama;</t>
  </si>
  <si>
    <t>Memenuhi Ketentuan Predikat Kinerja</t>
  </si>
  <si>
    <t>Tidak pernah dibatalkan/dihentikan tugas belajarnya dalam waktu 2 tahun terakhir</t>
  </si>
  <si>
    <t>Tidak sedang dalam pemeriksaan atau dalam masa tunggu hasil pemeriksaan atas pelanggaran etika, disiplin, dan/atau hukum pidana penjara/kurungan</t>
  </si>
  <si>
    <t>Tidak sedang menjalani pidana penjara/kurungan dan/atau hukuman disiplin;</t>
  </si>
  <si>
    <t>Tidak pernah menjalani hukuman pidana penjara/kurungan dan/atau hukuman disiplin sedang atau berat dalam 1 tahun terakhir;</t>
  </si>
  <si>
    <t>Tidak sedang menjalani cuti di luar tanggungan negara dan/atau menjalani pemberhentian sementara sebagai PNS</t>
  </si>
  <si>
    <t>Memenuhi Masa Kerja Minimal Setelah Menyelesaikan Tugas Belajar</t>
  </si>
  <si>
    <t>Mendapat persetujuan atasan langsung</t>
  </si>
  <si>
    <t>Sehat Jasmani dan Rohani</t>
  </si>
  <si>
    <t>Diploma III Kepabeanan dan Cukai</t>
  </si>
  <si>
    <t>Sarjana Terapan Akuntansi Sektor Publik</t>
  </si>
  <si>
    <t>Sarjana Terapan Manajemen Keuangan Negara</t>
  </si>
  <si>
    <t>ASAL PRODI</t>
  </si>
  <si>
    <t>Prioritas Prodi 1</t>
  </si>
  <si>
    <t>Prioritas Prodi 2</t>
  </si>
  <si>
    <t>Prioritas Prodi 3</t>
  </si>
  <si>
    <t>Prioritas Prodi 4</t>
  </si>
  <si>
    <t>Prioritas Prodi 5</t>
  </si>
  <si>
    <t>⚙  DATA REFERENSI — Edit langsung di sheet ini untuk menambah/mengubah data</t>
  </si>
  <si>
    <t>Tambah BIDANG BARU: isi nama di kolom A baris kuning, isi kota di kolom berikutnya   ·   Tambah KOTA: isi nama kota di baris kosong kolom bidang yang sesuai   ·   Tambah KODE KOTA: isi di tabel Kode Kota (kanan)</t>
  </si>
  <si>
    <t>ASAL</t>
  </si>
  <si>
    <t>Diploma III Akuntansi</t>
  </si>
  <si>
    <t>Diploma III Akuntansi Pemerintah</t>
  </si>
  <si>
    <t>Diploma III Kebendaharaan Negara</t>
  </si>
  <si>
    <t>Diploma III Anggaran</t>
  </si>
  <si>
    <t>Diploma III Pajak</t>
  </si>
  <si>
    <t>Diploma III Perpajakan</t>
  </si>
  <si>
    <t>Diploma III Bea dan Cukai</t>
  </si>
  <si>
    <t>Diploma III PBB/Penilai</t>
  </si>
  <si>
    <t>Diploma III Pengurusan Piutang dan Lelang Negara</t>
  </si>
  <si>
    <t>Diploma III Manajemen Aset</t>
  </si>
  <si>
    <t>Diploma I Pajak</t>
  </si>
  <si>
    <t>Diploma I Perpajakan</t>
  </si>
  <si>
    <t>Diploma I Administrasi Perpajakan</t>
  </si>
  <si>
    <t>Diploma I Kepabeanan dan Cukai</t>
  </si>
  <si>
    <t>Diploma I Bea dan Cukai</t>
  </si>
  <si>
    <t>Diploma I Lainnya</t>
  </si>
  <si>
    <t>KLP utk ASAL 18</t>
  </si>
  <si>
    <t>KLP utk ASAL 19</t>
  </si>
  <si>
    <t>KLP utk ASAL 20</t>
  </si>
  <si>
    <t>KLP utk ASAL 21</t>
  </si>
  <si>
    <t>KLP utk ASAL 22</t>
  </si>
  <si>
    <t>KLP utk ASAL 23</t>
  </si>
  <si>
    <t>KLP utk ASAL 24</t>
  </si>
  <si>
    <t>KLP utk ASAL 25</t>
  </si>
  <si>
    <t>KLP utk ASAL 26</t>
  </si>
  <si>
    <t>KLP utk ASAL 27</t>
  </si>
  <si>
    <t>KLP utk ASAL 28</t>
  </si>
  <si>
    <t>KLP utk ASAL 29</t>
  </si>
  <si>
    <t>KLP utk ASAL 30</t>
  </si>
  <si>
    <t>KLP utk ASAL 31</t>
  </si>
  <si>
    <t>KLP utk ASAL 32</t>
  </si>
  <si>
    <t>KLP utk ASAL 33</t>
  </si>
  <si>
    <t>KLP utk ASAL 34</t>
  </si>
  <si>
    <t>KLP utk ASAL 35</t>
  </si>
  <si>
    <t>KLP utk ASAL 36</t>
  </si>
  <si>
    <t>KLP utk ASAL 37</t>
  </si>
  <si>
    <t>KLP utk ASAL 38</t>
  </si>
  <si>
    <t>KLP utk ASAL 39</t>
  </si>
  <si>
    <t>KLP utk ASAL 40</t>
  </si>
  <si>
    <t>Kota untuk
Bidang 41</t>
  </si>
  <si>
    <t>Kota untuk
Bidang 42</t>
  </si>
  <si>
    <t>Kota untuk
Bidang 43</t>
  </si>
  <si>
    <t>Kota untuk
Bidang 44</t>
  </si>
  <si>
    <t>Kota untuk
Bidang 45</t>
  </si>
  <si>
    <t>Kota untuk
Bidang 46</t>
  </si>
  <si>
    <t>Kota untuk
Bidang 47</t>
  </si>
  <si>
    <t>Kota untuk
Bidang 48</t>
  </si>
  <si>
    <t>Kota untuk
Bidang 49</t>
  </si>
  <si>
    <t>Kota untuk
Bidang 50</t>
  </si>
  <si>
    <t>Kota untuk
Bidang 51</t>
  </si>
  <si>
    <t>Kota untuk
Bidang 52</t>
  </si>
  <si>
    <t>Kota untuk
Bidang 53</t>
  </si>
  <si>
    <t>Kota untuk
Bidang 54</t>
  </si>
  <si>
    <t>Kota untuk
Bidang 55</t>
  </si>
  <si>
    <t>Kota untuk
Bidang 56</t>
  </si>
  <si>
    <t>Kota untuk
Bidang 57</t>
  </si>
  <si>
    <t>Kota untuk
Bidang 58</t>
  </si>
  <si>
    <t>Kota untuk
Bidang 59</t>
  </si>
  <si>
    <t>Kota untuk
Bidang 60</t>
  </si>
  <si>
    <t>Kota untuk
Bidang 61</t>
  </si>
  <si>
    <t>Kota untuk
Bidang 62</t>
  </si>
  <si>
    <t>Kota untuk
Bidang 63</t>
  </si>
  <si>
    <t>Kota untuk
Bidang 64</t>
  </si>
  <si>
    <t>Kota untuk
Bidang 65</t>
  </si>
  <si>
    <t>Kota untuk
Bidang 66</t>
  </si>
  <si>
    <t>Kota untuk
Bidang 67</t>
  </si>
  <si>
    <t>Kota untuk
Bidang 68</t>
  </si>
  <si>
    <t>Kota untuk
Bidang 69</t>
  </si>
  <si>
    <t>Kota untuk
Bidang 70</t>
  </si>
  <si>
    <t>Kota untuk
Bidang 71</t>
  </si>
  <si>
    <t>Kota untuk
Bidang 72</t>
  </si>
  <si>
    <t>Kota untuk
Bidang 73</t>
  </si>
  <si>
    <t>Kota untuk
Bidang 74</t>
  </si>
  <si>
    <t>Kota untuk
Bidang 75</t>
  </si>
  <si>
    <t>Kota untuk
Bidang 76</t>
  </si>
  <si>
    <t>Kota untuk
Bidang 77</t>
  </si>
  <si>
    <t>Kota untuk
Bidang 78</t>
  </si>
  <si>
    <t>Kota untuk
Bidang 79</t>
  </si>
  <si>
    <t>Kota untuk
Bidang 80</t>
  </si>
  <si>
    <t>Kota untuk
Bidang 81</t>
  </si>
  <si>
    <t>Kota untuk
Bidang 82</t>
  </si>
  <si>
    <t>Kota untuk
Bidang 83</t>
  </si>
  <si>
    <t>Kota untuk
Bidang 84</t>
  </si>
  <si>
    <t>Kota untuk
Bidang 85</t>
  </si>
  <si>
    <t>Kota untuk
Bidang 86</t>
  </si>
  <si>
    <t>Kota untuk
Bidang 87</t>
  </si>
  <si>
    <t>Kota untuk
Bidang 88</t>
  </si>
  <si>
    <t>Kota untuk
Bidang 89</t>
  </si>
  <si>
    <t>Kota untuk
Bidang 90</t>
  </si>
  <si>
    <t>Kota untuk
Bidang 91</t>
  </si>
  <si>
    <t>Kota untuk
Bidang 92</t>
  </si>
  <si>
    <t>Kota untuk
Bidang 93</t>
  </si>
  <si>
    <t>Kota untuk
Bidang 94</t>
  </si>
  <si>
    <t>Kota untuk
Bidang 95</t>
  </si>
  <si>
    <t>Kota untuk
Bidang 96</t>
  </si>
  <si>
    <t>Kota untuk
Bidang 97</t>
  </si>
  <si>
    <t>Kota untuk
Bidang 98</t>
  </si>
  <si>
    <t>Kota untuk
Bidang 99</t>
  </si>
  <si>
    <t>Kota untuk
Bidang 100</t>
  </si>
  <si>
    <t>Kota untuk
Bidang 101</t>
  </si>
  <si>
    <t>Kota untuk
Bidang 102</t>
  </si>
  <si>
    <t>Kota untuk
Bidang 103</t>
  </si>
  <si>
    <t>Kota untuk
Bidang 104</t>
  </si>
  <si>
    <t>Kota untuk
Bidang 105</t>
  </si>
  <si>
    <t>Kota untuk
Bidang 106</t>
  </si>
  <si>
    <t>Kota untuk
Bidang 107</t>
  </si>
  <si>
    <t>Kota untuk
Bidang 108</t>
  </si>
  <si>
    <t>Kota untuk
Bidang 109</t>
  </si>
  <si>
    <t>Kota untuk
Bidang 110</t>
  </si>
  <si>
    <t>Kota untuk
Bidang 111</t>
  </si>
  <si>
    <t>Kota untuk
Bidang 112</t>
  </si>
  <si>
    <t>Kota untuk
Bidang 113</t>
  </si>
  <si>
    <t>Kota untuk
Bidang 114</t>
  </si>
  <si>
    <t>Kota untuk
Bidang 115</t>
  </si>
  <si>
    <t>Kota untuk
Bidang 116</t>
  </si>
  <si>
    <t>Kota untuk
Bidang 117</t>
  </si>
  <si>
    <t>Kota untuk
Bidang 118</t>
  </si>
  <si>
    <t>Kota untuk
Bidang 119</t>
  </si>
  <si>
    <t>Kota untuk
Bidang 120</t>
  </si>
  <si>
    <t>Kota untuk
Bidang 121</t>
  </si>
  <si>
    <t>Kota untuk
Bidang 122</t>
  </si>
  <si>
    <t>Kota untuk
Bidang 123</t>
  </si>
  <si>
    <t>Kota untuk
Bidang 124</t>
  </si>
  <si>
    <t>Kota untuk
Bidang 125</t>
  </si>
  <si>
    <t>Kota untuk
Bidang 126</t>
  </si>
  <si>
    <t>Kota untuk
Bidang 127</t>
  </si>
  <si>
    <t>Kota untuk
Bidang 128</t>
  </si>
  <si>
    <t>Kota untuk
Bidang 129</t>
  </si>
  <si>
    <t>Kota untuk
Bidang 130</t>
  </si>
  <si>
    <t>Kota untuk
Bidang 131</t>
  </si>
  <si>
    <t>Kota untuk
Bidang 132</t>
  </si>
  <si>
    <t>Kota untuk
Bidang 133</t>
  </si>
  <si>
    <t>Kota untuk
Bidang 134</t>
  </si>
  <si>
    <t>Kota untuk
Bidang 135</t>
  </si>
  <si>
    <t>Kota untuk
Bidang 136</t>
  </si>
  <si>
    <t>Kota untuk
Bidang 137</t>
  </si>
  <si>
    <t>Kota untuk
Bidang 138</t>
  </si>
  <si>
    <t>Kota untuk
Bidang 139</t>
  </si>
  <si>
    <t>Kota untuk
Bidang 140</t>
  </si>
  <si>
    <t>Kota untuk
Bidang 141</t>
  </si>
  <si>
    <t>Kota untuk
Bidang 142</t>
  </si>
  <si>
    <t>Kota untuk
Bidang 143</t>
  </si>
  <si>
    <t>Kota untuk
Bidang 144</t>
  </si>
  <si>
    <t>Kota untuk
Bidang 145</t>
  </si>
  <si>
    <t>Kota untuk
Bidang 146</t>
  </si>
  <si>
    <t>Kota untuk
Bidang 147</t>
  </si>
  <si>
    <t>Kota untuk
Bidang 148</t>
  </si>
  <si>
    <t>Kota untuk
Bidang 149</t>
  </si>
  <si>
    <t>Kota untuk
Bidang 150</t>
  </si>
  <si>
    <t>Kota untuk
Bidang 151</t>
  </si>
  <si>
    <t>Kota untuk
Bidang 152</t>
  </si>
  <si>
    <t>Kota untuk
Bidang 153</t>
  </si>
  <si>
    <t>Kota untuk
Bidang 154</t>
  </si>
  <si>
    <t>Kota untuk
Bidang 155</t>
  </si>
  <si>
    <t>Kota untuk
Bidang 156</t>
  </si>
  <si>
    <t>Kota untuk
Bidang 157</t>
  </si>
  <si>
    <t>Kota untuk
Bidang 158</t>
  </si>
  <si>
    <t>Kota untuk
Bidang 159</t>
  </si>
  <si>
    <t>Kota untuk
Bidang 160</t>
  </si>
  <si>
    <t>Kota untuk
Bidang 161</t>
  </si>
  <si>
    <t>Kota untuk
Bidang 162</t>
  </si>
  <si>
    <t>Kota untuk
Bidang 163</t>
  </si>
  <si>
    <t>Kota untuk
Bidang 164</t>
  </si>
  <si>
    <t>Kota untuk
Bidang 165</t>
  </si>
  <si>
    <t>Kota untuk
Bidang 166</t>
  </si>
  <si>
    <t>Kota untuk
Bidang 167</t>
  </si>
  <si>
    <t>Kota untuk
Bidang 168</t>
  </si>
  <si>
    <t>Kota untuk
Bidang 169</t>
  </si>
  <si>
    <t>Kota untuk
Bidang 170</t>
  </si>
  <si>
    <t>Kota untuk
Bidang 171</t>
  </si>
  <si>
    <t>Kota untuk
Bidang 172</t>
  </si>
  <si>
    <t>Kota untuk
Bidang 173</t>
  </si>
  <si>
    <t>Kota untuk
Bidang 174</t>
  </si>
  <si>
    <t>Kota untuk
Bidang 175</t>
  </si>
  <si>
    <t>Kota untuk
Bidang 176</t>
  </si>
  <si>
    <t>Kota untuk
Bidang 177</t>
  </si>
  <si>
    <t>Kota untuk
Bidang 178</t>
  </si>
  <si>
    <t>Kota untuk
Bidang 179</t>
  </si>
  <si>
    <t>Kota untuk
Bidang 180</t>
  </si>
  <si>
    <t>Kota untuk
Bidang 181</t>
  </si>
  <si>
    <t>Kota untuk
Bidang 182</t>
  </si>
  <si>
    <t>Kota untuk
Bidang 183</t>
  </si>
  <si>
    <t>Kota untuk
Bidang 184</t>
  </si>
  <si>
    <t>Kota untuk
Bidang 185</t>
  </si>
  <si>
    <t>Kota untuk
Bidang 186</t>
  </si>
  <si>
    <t>Kota untuk
Bidang 187</t>
  </si>
  <si>
    <t>Kota untuk
Bidang 188</t>
  </si>
  <si>
    <t>Kota untuk
Bidang 189</t>
  </si>
  <si>
    <t>Kota untuk
Bidang 190</t>
  </si>
  <si>
    <t>Kota untuk
Bidang 191</t>
  </si>
  <si>
    <t>Kota untuk
Bidang 192</t>
  </si>
  <si>
    <t>Kota untuk
Bidang 193</t>
  </si>
  <si>
    <t>Kota untuk
Bidang 194</t>
  </si>
  <si>
    <t>Kota untuk
Bidang 195</t>
  </si>
  <si>
    <t>Kota untuk
Bidang 196</t>
  </si>
  <si>
    <t>Kota untuk
Bidang 197</t>
  </si>
  <si>
    <t>Kota untuk
Bidang 198</t>
  </si>
  <si>
    <t>Kota untuk
Bidang 199</t>
  </si>
  <si>
    <t>Kota untuk
Bidang 200</t>
  </si>
  <si>
    <t>TABEL KODE KELOMPOK</t>
  </si>
  <si>
    <t>Sarjana Terapan Manajemen Aset Publik</t>
  </si>
  <si>
    <t>Kelompok</t>
  </si>
  <si>
    <t>Kode</t>
  </si>
  <si>
    <t>← Tambah kota baru di baris kuning di atas</t>
  </si>
  <si>
    <t>FORMULIR KERTAS KERJA SPMB-PT PKN STAN TAHUN 2026 - KEMENTERIAN KEUANGAN</t>
  </si>
  <si>
    <t>• Kolom KESIMPULAN AKHIR hanya via dropdown: "Direkomendasikan" atau "Tidak Direkomendasikan".</t>
  </si>
  <si>
    <t>Kolom KODE KLP terisi OTOMATIS hanya untuk peserta dengan Kesimpulan Akhir = "Direkomendasikan". Kode hanya muncul jika: (1) Sesuai prodi asal — tidak UNGU; (2) Tidak duplikat — tidak MERAH. Pilihan yang berwarna otomatis dikosongkan kodenya.</t>
  </si>
  <si>
    <t>Kesimpulan Akhir (Direkomendasikan / Tidak Direkomendasikan)</t>
  </si>
  <si>
    <t>Surat Keterangan Kepala Unit Kerja terkait Pendidikan dan Hukuman Disiplin (TTE atau Tanda Tangan Basah dan Stempel) Berformat PDF (Subjek: Unit Kerja)</t>
  </si>
  <si>
    <t>Nota Dinas Usulan Pendaftar SPMB TB (TTE atau Tanda Tangan Basah dan Stempel) Berformat PDF (Subjek: Unit Kerja)</t>
  </si>
  <si>
    <t>Scan DEK + HEK Tahun 2024 dan 2025 Berformat PDF (Subjek: Peserta)</t>
  </si>
  <si>
    <t>Scan SPMT (Tertanggal Maksimal 23 November 2026) Berformat PDF (Subjek: Peserta)</t>
  </si>
  <si>
    <t>Scan Ijazah dan Transkrip Terakhir (Asli/Dilegalisasi) Berformat PDF (Subjek: Peserta)</t>
  </si>
  <si>
    <t>Scan SK Kenaikan Pangkat Terakhir (Asli/Dilegalisasi) Berformat PDF (Subjek: Peserta)</t>
  </si>
  <si>
    <t>Scan SK Pengangkatan sebagai PNS  (Asli/Dilegalisasi) Berformat PDF (Subjek: Peserta)</t>
  </si>
  <si>
    <t>Surat Rekomendasi Kepala Unit Kerja (TTE atau Tanda Tangan Basah dan Stemple) Berformat PDF (PIC: Unit Kerja)</t>
  </si>
  <si>
    <t>Surat Pernyataan Memenuhi Persyaratan TB dan Belum Pernah Diberhentikan/ Mengundurkan Diri dari TB Sebelumnya ((TTE dan e-Materai) atau (Tanda Tangan Basah dan Materai Tempel) Berformat PDF (Subjek: Peserta)</t>
  </si>
  <si>
    <t>Surat Pernyataan Pemilihan Program Studi (TTE atau Tanda Tangan Basah) Berformat PDF (Subjek: Peserta)</t>
  </si>
  <si>
    <t>Pasfoto Berwarna Berformat .jpg (3 Bulan Terakhir) (PIC: Peserta)</t>
  </si>
  <si>
    <t>Scan Surat Keterangan Sehat dari Rumah Sakit Pemerintah Berformat PDF (PIC: Peserta)</t>
  </si>
  <si>
    <t>Scan Surat Keterangan Kesehatan Jiwa dari Rumah Sakit Pemerintah Berformat PDF (PIC: Peserta)</t>
  </si>
  <si>
    <t>Scan Surat Keterangan Bebas TBC, Hepatitis, dan HIV/AIDS dari Rumah Sakit Pemerintah Berformat PDF (PIC: Peserta)</t>
  </si>
  <si>
    <t>Scan Surat Keterangan Bebas NAPZA dari Rumah Sakit Pemerintah Berformat PDF (PIC: Peserta)</t>
  </si>
  <si>
    <t>Surat Pernyataan Pribadi ((TTE dan e-Materai) atau (Tanda Tangan Basah dan Materai Tempel) Berformat PDF (Subjek: Peserta)</t>
  </si>
  <si>
    <t>Kelengkapan Dokumen (Subjek: Peserta)</t>
  </si>
  <si>
    <t>Kelengkapan Dokumen (Subjek: Peserta dan Unit Kerja)</t>
  </si>
  <si>
    <t>Kelengkapan Dokumen (Subjek: Unit Kerja)</t>
  </si>
  <si>
    <t>Surat Pernyataan tentang Pemilihan dan Persetujuan Alokasi Program Studi (TTE atau Tanda Tangan Basah) Berformat PDF (Subjek: Peserta dan Unit Kerja)</t>
  </si>
  <si>
    <t>Unit Kerja</t>
  </si>
  <si>
    <t>Wajib untuk Semua Unit Kerja</t>
  </si>
  <si>
    <t>Wajib untuk DJBC</t>
  </si>
  <si>
    <t>Link Penting</t>
  </si>
  <si>
    <t>Lainnya</t>
  </si>
  <si>
    <t>Wajib untuk DJBC dan DJP</t>
  </si>
  <si>
    <t>Surat Pernyataan Bersedia Mengikuti Seleksi Beasiswa Berformat PDF (Subjek: Peserta)</t>
  </si>
  <si>
    <t>Wajib untuk DJP</t>
  </si>
  <si>
    <t>Checklist Dokumen</t>
  </si>
  <si>
    <t>Checklist Non-Dokumen</t>
  </si>
  <si>
    <t>Data 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</si>
</sst>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9"/>
      <color rgb="FF1F4E79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color rgb="FF9C0006"/>
      <name val="Calibri"/>
      <family val="2"/>
      <charset val="1"/>
    </font>
    <font>
      <sz val="22"/>
      <color theme="1"/>
      <name val="Calibri"/>
      <family val="2"/>
      <charset val="1"/>
    </font>
    <font>
      <i/>
      <sz val="9"/>
      <color rgb="FF7F3F00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10"/>
      <color rgb="FF1F4E79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CCCCCC"/>
      <name val="Calibri"/>
      <family val="2"/>
      <charset val="1"/>
    </font>
    <font>
      <b/>
      <sz val="10"/>
      <color rgb="FF375623"/>
      <name val="Calibri"/>
      <family val="2"/>
      <charset val="1"/>
    </font>
    <font>
      <sz val="10"/>
      <color rgb="FFAAAAAA"/>
      <name val="Calibri"/>
      <family val="2"/>
      <charset val="1"/>
    </font>
    <font>
      <i/>
      <sz val="8"/>
      <color rgb="FFAAAAAA"/>
      <name val="Calibri"/>
      <family val="2"/>
      <charset val="1"/>
    </font>
    <font>
      <b/>
      <sz val="11"/>
      <color rgb="FF1F4E79"/>
      <name val="Calibri"/>
      <family val="2"/>
      <charset val="1"/>
    </font>
    <font>
      <i/>
      <sz val="11"/>
      <color rgb="FF595959"/>
      <name val="Calibri"/>
      <family val="2"/>
      <charset val="1"/>
    </font>
    <font>
      <i/>
      <sz val="11"/>
      <color rgb="FF7F3F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1F4E79"/>
        <bgColor rgb="FF1F497D"/>
      </patternFill>
    </fill>
    <fill>
      <patternFill patternType="solid">
        <fgColor rgb="FFFFFFFF"/>
        <bgColor rgb="FFF9F9F9"/>
      </patternFill>
    </fill>
    <fill>
      <patternFill patternType="solid">
        <fgColor rgb="FF4F81BD"/>
        <bgColor rgb="FF4472C4"/>
      </patternFill>
    </fill>
    <fill>
      <patternFill patternType="solid">
        <fgColor rgb="FFFF0000"/>
        <bgColor rgb="FF9C0006"/>
      </patternFill>
    </fill>
    <fill>
      <patternFill patternType="solid">
        <fgColor rgb="FFF2F2F2"/>
        <bgColor rgb="FFF9F9F9"/>
      </patternFill>
    </fill>
    <fill>
      <patternFill patternType="solid">
        <fgColor rgb="FF00B050"/>
        <bgColor rgb="FF008080"/>
      </patternFill>
    </fill>
    <fill>
      <patternFill patternType="solid">
        <fgColor rgb="FFEEECE1"/>
        <bgColor rgb="FFE2EFDA"/>
      </patternFill>
    </fill>
    <fill>
      <patternFill patternType="solid">
        <fgColor rgb="FF7030A0"/>
        <bgColor rgb="FF993366"/>
      </patternFill>
    </fill>
    <fill>
      <patternFill patternType="solid">
        <fgColor rgb="FFFFC7CE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EEECE1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595959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EEECE1"/>
      </patternFill>
    </fill>
    <fill>
      <patternFill patternType="solid">
        <fgColor rgb="FF4472C4"/>
        <bgColor rgb="FF2E75B6"/>
      </patternFill>
    </fill>
    <fill>
      <patternFill patternType="solid">
        <fgColor rgb="FFBDD7EE"/>
        <bgColor rgb="FFCCCCCC"/>
      </patternFill>
    </fill>
    <fill>
      <patternFill patternType="solid">
        <fgColor rgb="FFF9F9F9"/>
        <bgColor rgb="FFFFFFFF"/>
      </patternFill>
    </fill>
    <fill>
      <patternFill patternType="solid">
        <fgColor rgb="FF70AD47"/>
        <bgColor rgb="FF808000"/>
      </patternFill>
    </fill>
  </fills>
  <borders count="8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375623"/>
      </left>
      <right style="thin">
        <color rgb="FF375623"/>
      </right>
      <top style="thin">
        <color rgb="FF375623"/>
      </top>
      <bottom style="thin">
        <color rgb="FF375623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2E75B6"/>
      </right>
      <top/>
      <bottom/>
      <diagonal/>
    </border>
  </borders>
  <cellStyleXfs count="2">
    <xf numFmtId="0" fontId="0" fillId="0" borderId="0"/>
    <xf numFmtId="0" fontId="12" fillId="0" borderId="0"/>
  </cellStyleXfs>
  <cellXfs count="70">
    <xf numFmtId="0" fontId="0" fillId="0" borderId="0" xfId="0"/>
    <xf numFmtId="0" fontId="1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8" fillId="0" borderId="0" xfId="0" applyFont="1"/>
    <xf numFmtId="0" fontId="2" fillId="14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1" fontId="0" fillId="0" borderId="0" xfId="0" applyNumberFormat="1"/>
    <xf numFmtId="0" fontId="2" fillId="17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4" fillId="15" borderId="4" xfId="0" applyFont="1" applyFill="1" applyBorder="1" applyAlignment="1">
      <alignment horizontal="left" vertical="center"/>
    </xf>
    <xf numFmtId="0" fontId="15" fillId="3" borderId="4" xfId="0" applyFont="1" applyFill="1" applyBorder="1" applyAlignment="1">
      <alignment horizontal="center" vertical="center" wrapText="1"/>
    </xf>
    <xf numFmtId="0" fontId="15" fillId="19" borderId="6" xfId="0" applyFont="1" applyFill="1" applyBorder="1" applyAlignment="1">
      <alignment horizontal="center" vertical="center" wrapText="1"/>
    </xf>
    <xf numFmtId="0" fontId="16" fillId="19" borderId="6" xfId="0" applyFont="1" applyFill="1" applyBorder="1" applyAlignment="1">
      <alignment horizontal="center" vertical="center" wrapText="1"/>
    </xf>
    <xf numFmtId="0" fontId="5" fillId="20" borderId="3" xfId="0" applyFont="1" applyFill="1" applyBorder="1" applyAlignment="1">
      <alignment horizontal="center" vertical="center" wrapText="1"/>
    </xf>
    <xf numFmtId="0" fontId="11" fillId="16" borderId="4" xfId="0" applyFont="1" applyFill="1" applyBorder="1" applyAlignment="1">
      <alignment horizontal="left" vertical="center"/>
    </xf>
    <xf numFmtId="0" fontId="17" fillId="16" borderId="4" xfId="0" applyFont="1" applyFill="1" applyBorder="1" applyAlignment="1">
      <alignment horizontal="center" vertical="center" wrapText="1"/>
    </xf>
    <xf numFmtId="0" fontId="18" fillId="11" borderId="6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 wrapText="1"/>
    </xf>
    <xf numFmtId="0" fontId="0" fillId="11" borderId="6" xfId="0" applyFill="1" applyBorder="1"/>
    <xf numFmtId="0" fontId="16" fillId="6" borderId="6" xfId="0" applyFont="1" applyFill="1" applyBorder="1" applyAlignment="1">
      <alignment horizontal="center" vertical="center" wrapText="1"/>
    </xf>
    <xf numFmtId="0" fontId="19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left" vertical="center"/>
    </xf>
    <xf numFmtId="0" fontId="22" fillId="1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23" fillId="0" borderId="0" xfId="0" applyFont="1"/>
    <xf numFmtId="0" fontId="10" fillId="0" borderId="0" xfId="0" applyFont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12" fillId="0" borderId="0" xfId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24" fillId="0" borderId="4" xfId="0" applyNumberFormat="1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12" fillId="0" borderId="0" xfId="1" applyAlignment="1">
      <alignment vertical="center"/>
    </xf>
    <xf numFmtId="0" fontId="24" fillId="15" borderId="4" xfId="0" applyFont="1" applyFill="1" applyBorder="1" applyAlignment="1">
      <alignment horizontal="center" vertical="center" wrapText="1"/>
    </xf>
    <xf numFmtId="0" fontId="24" fillId="16" borderId="4" xfId="0" applyFont="1" applyFill="1" applyBorder="1" applyAlignment="1">
      <alignment horizontal="left" vertical="center" wrapText="1"/>
    </xf>
    <xf numFmtId="0" fontId="23" fillId="0" borderId="4" xfId="0" applyFont="1" applyBorder="1"/>
    <xf numFmtId="0" fontId="24" fillId="0" borderId="4" xfId="0" applyFont="1" applyBorder="1" applyAlignment="1">
      <alignment horizontal="left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1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5" fillId="14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6"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sz val="10"/>
        <color rgb="FFFFFFFF"/>
        <name val="Calibri (Body)"/>
        <charset val="1"/>
      </font>
      <fill>
        <patternFill>
          <bgColor theme="4"/>
        </patternFill>
      </fill>
    </dxf>
    <dxf>
      <font>
        <sz val="10"/>
        <color rgb="FFFFFFFF"/>
        <name val="Calibri (Body)"/>
        <charset val="1"/>
      </font>
      <fill>
        <patternFill>
          <bgColor theme="3"/>
        </patternFill>
      </fill>
    </dxf>
    <dxf>
      <font>
        <sz val="10"/>
        <color rgb="FFFFFFFF"/>
        <name val="Calibri (Body)"/>
        <charset val="1"/>
      </font>
      <fill>
        <patternFill>
          <bgColor rgb="FF00B050"/>
        </patternFill>
      </fill>
    </dxf>
    <dxf>
      <font>
        <sz val="10"/>
        <color rgb="FFFFFFFF"/>
        <name val="Calibri (Body)"/>
        <charset val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7030A0"/>
      <rgbColor rgb="FFFFF2CC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DC3E6"/>
      <rgbColor rgb="FFEEECE1"/>
      <rgbColor rgb="FFCCCCCC"/>
      <rgbColor rgb="FFFFC7CE"/>
      <rgbColor rgb="FF4472C4"/>
      <rgbColor rgb="FF33CCCC"/>
      <rgbColor rgb="FF70AD47"/>
      <rgbColor rgb="FFFFCC00"/>
      <rgbColor rgb="FFFF9900"/>
      <rgbColor rgb="FFFF6600"/>
      <rgbColor rgb="FF595959"/>
      <rgbColor rgb="FFAAAAAA"/>
      <rgbColor rgb="FF1F4E79"/>
      <rgbColor rgb="FF00B050"/>
      <rgbColor rgb="FF003300"/>
      <rgbColor rgb="FF333300"/>
      <rgbColor rgb="FF7F3F00"/>
      <rgbColor rgb="FF993366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B1:D35"/>
  <sheetViews>
    <sheetView showGridLines="0" topLeftCell="A17" zoomScale="85" zoomScaleNormal="85" workbookViewId="0">
      <selection activeCell="B27" sqref="B27"/>
    </sheetView>
  </sheetViews>
  <sheetFormatPr baseColWidth="10" defaultColWidth="8.6640625" defaultRowHeight="15" x14ac:dyDescent="0.2"/>
  <cols>
    <col min="1" max="1" width="2.5" customWidth="1"/>
    <col min="2" max="2" width="43.33203125" customWidth="1"/>
    <col min="3" max="3" width="40" customWidth="1"/>
    <col min="4" max="4" width="56" customWidth="1"/>
    <col min="5" max="5" width="2.5" customWidth="1"/>
  </cols>
  <sheetData>
    <row r="1" spans="2:4" ht="6" customHeight="1" x14ac:dyDescent="0.2"/>
    <row r="2" spans="2:4" ht="36" customHeight="1" x14ac:dyDescent="0.2">
      <c r="B2" s="66" t="s">
        <v>0</v>
      </c>
      <c r="C2" s="66"/>
      <c r="D2" s="66"/>
    </row>
    <row r="3" spans="2:4" ht="6" customHeight="1" x14ac:dyDescent="0.2"/>
    <row r="4" spans="2:4" ht="21.75" customHeight="1" x14ac:dyDescent="0.2">
      <c r="B4" s="2" t="s">
        <v>1</v>
      </c>
      <c r="C4" s="2"/>
      <c r="D4" s="2"/>
    </row>
    <row r="5" spans="2:4" ht="39" customHeight="1" x14ac:dyDescent="0.2">
      <c r="B5" s="3" t="s">
        <v>2</v>
      </c>
      <c r="C5" s="3"/>
      <c r="D5" s="3"/>
    </row>
    <row r="6" spans="2:4" ht="18" customHeight="1" x14ac:dyDescent="0.2">
      <c r="B6" s="4" t="s">
        <v>3</v>
      </c>
      <c r="C6" s="4" t="s">
        <v>4</v>
      </c>
      <c r="D6" s="4" t="s">
        <v>5</v>
      </c>
    </row>
    <row r="7" spans="2:4" ht="36" customHeight="1" x14ac:dyDescent="0.2">
      <c r="B7" s="5"/>
      <c r="C7" s="6" t="s">
        <v>6</v>
      </c>
      <c r="D7" s="3" t="s">
        <v>7</v>
      </c>
    </row>
    <row r="8" spans="2:4" ht="36" customHeight="1" x14ac:dyDescent="0.2">
      <c r="B8" s="5"/>
      <c r="C8" s="6" t="s">
        <v>8</v>
      </c>
      <c r="D8" s="3" t="s">
        <v>9</v>
      </c>
    </row>
    <row r="9" spans="2:4" ht="36" customHeight="1" x14ac:dyDescent="0.2">
      <c r="B9" s="7"/>
      <c r="C9" s="6" t="s">
        <v>10</v>
      </c>
      <c r="D9" s="3" t="s">
        <v>11</v>
      </c>
    </row>
    <row r="10" spans="2:4" ht="36" customHeight="1" x14ac:dyDescent="0.2">
      <c r="B10" s="8"/>
      <c r="C10" s="6" t="s">
        <v>12</v>
      </c>
      <c r="D10" s="3" t="s">
        <v>13</v>
      </c>
    </row>
    <row r="11" spans="2:4" ht="36" customHeight="1" x14ac:dyDescent="0.2">
      <c r="B11" s="9"/>
      <c r="C11" s="6" t="s">
        <v>14</v>
      </c>
      <c r="D11" s="3" t="s">
        <v>15</v>
      </c>
    </row>
    <row r="12" spans="2:4" ht="6" customHeight="1" x14ac:dyDescent="0.2"/>
    <row r="13" spans="2:4" ht="21.75" customHeight="1" x14ac:dyDescent="0.2">
      <c r="B13" s="10" t="s">
        <v>16</v>
      </c>
      <c r="C13" s="10"/>
      <c r="D13" s="10"/>
    </row>
    <row r="14" spans="2:4" ht="39" customHeight="1" x14ac:dyDescent="0.2">
      <c r="B14" s="3" t="s">
        <v>17</v>
      </c>
      <c r="C14" s="3"/>
      <c r="D14" s="3"/>
    </row>
    <row r="15" spans="2:4" ht="18" customHeight="1" x14ac:dyDescent="0.2">
      <c r="B15" s="4" t="s">
        <v>3</v>
      </c>
      <c r="C15" s="4" t="s">
        <v>4</v>
      </c>
      <c r="D15" s="4" t="s">
        <v>5</v>
      </c>
    </row>
    <row r="16" spans="2:4" ht="36" customHeight="1" x14ac:dyDescent="0.2">
      <c r="B16" s="5"/>
      <c r="C16" s="6" t="s">
        <v>18</v>
      </c>
      <c r="D16" s="3" t="s">
        <v>19</v>
      </c>
    </row>
    <row r="17" spans="2:4" ht="36" customHeight="1" x14ac:dyDescent="0.2">
      <c r="B17" s="11"/>
      <c r="C17" s="6" t="s">
        <v>20</v>
      </c>
      <c r="D17" s="3" t="s">
        <v>21</v>
      </c>
    </row>
    <row r="18" spans="2:4" ht="6" customHeight="1" x14ac:dyDescent="0.2"/>
    <row r="19" spans="2:4" ht="21.75" customHeight="1" x14ac:dyDescent="0.2">
      <c r="B19" s="2" t="s">
        <v>22</v>
      </c>
      <c r="C19" s="2"/>
      <c r="D19" s="2"/>
    </row>
    <row r="20" spans="2:4" ht="39" customHeight="1" x14ac:dyDescent="0.2">
      <c r="B20" s="3" t="s">
        <v>23</v>
      </c>
      <c r="C20" s="3"/>
      <c r="D20" s="3"/>
    </row>
    <row r="21" spans="2:4" ht="18" customHeight="1" x14ac:dyDescent="0.2">
      <c r="B21" s="4" t="s">
        <v>3</v>
      </c>
      <c r="C21" s="4" t="s">
        <v>4</v>
      </c>
      <c r="D21" s="4" t="s">
        <v>5</v>
      </c>
    </row>
    <row r="22" spans="2:4" ht="36" customHeight="1" x14ac:dyDescent="0.2">
      <c r="B22" s="12"/>
      <c r="C22" s="6" t="s">
        <v>24</v>
      </c>
      <c r="D22" s="3" t="s">
        <v>25</v>
      </c>
    </row>
    <row r="23" spans="2:4" ht="36" customHeight="1" x14ac:dyDescent="0.2">
      <c r="B23" s="12"/>
      <c r="C23" s="6" t="s">
        <v>26</v>
      </c>
      <c r="D23" s="3" t="s">
        <v>27</v>
      </c>
    </row>
    <row r="24" spans="2:4" ht="6" customHeight="1" x14ac:dyDescent="0.2"/>
    <row r="25" spans="2:4" ht="21.75" customHeight="1" x14ac:dyDescent="0.2">
      <c r="B25" s="2" t="s">
        <v>28</v>
      </c>
      <c r="C25" s="2"/>
      <c r="D25" s="2"/>
    </row>
    <row r="26" spans="2:4" ht="72" customHeight="1" x14ac:dyDescent="0.2">
      <c r="B26" s="13" t="s">
        <v>285</v>
      </c>
      <c r="C26" s="13"/>
      <c r="D26" s="13"/>
    </row>
    <row r="27" spans="2:4" ht="6" customHeight="1" x14ac:dyDescent="0.2"/>
    <row r="28" spans="2:4" ht="6" customHeight="1" x14ac:dyDescent="0.2"/>
    <row r="29" spans="2:4" ht="21.75" customHeight="1" x14ac:dyDescent="0.2">
      <c r="B29" s="2" t="s">
        <v>29</v>
      </c>
      <c r="C29" s="2"/>
      <c r="D29" s="2"/>
    </row>
    <row r="30" spans="2:4" ht="36" customHeight="1" x14ac:dyDescent="0.2">
      <c r="B30" s="14" t="s">
        <v>30</v>
      </c>
      <c r="C30" s="14"/>
      <c r="D30" s="14"/>
    </row>
    <row r="31" spans="2:4" ht="40.25" customHeight="1" x14ac:dyDescent="0.2">
      <c r="B31" s="14" t="s">
        <v>284</v>
      </c>
      <c r="C31" s="14"/>
      <c r="D31" s="14"/>
    </row>
    <row r="32" spans="2:4" ht="42" customHeight="1" x14ac:dyDescent="0.2">
      <c r="B32" s="14" t="s">
        <v>31</v>
      </c>
      <c r="C32" s="14"/>
      <c r="D32" s="14"/>
    </row>
    <row r="33" spans="2:4" ht="27.75" customHeight="1" x14ac:dyDescent="0.2">
      <c r="B33" s="14" t="s">
        <v>32</v>
      </c>
      <c r="C33" s="14"/>
      <c r="D33" s="14"/>
    </row>
    <row r="34" spans="2:4" ht="27.75" customHeight="1" x14ac:dyDescent="0.2">
      <c r="B34" s="14" t="s">
        <v>33</v>
      </c>
      <c r="C34" s="14"/>
      <c r="D34" s="14"/>
    </row>
    <row r="35" spans="2:4" ht="27.75" customHeight="1" x14ac:dyDescent="0.2">
      <c r="B35" s="14" t="s">
        <v>34</v>
      </c>
      <c r="C35" s="14"/>
      <c r="D35" s="14"/>
    </row>
  </sheetData>
  <mergeCells count="1"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AZ1045"/>
  <sheetViews>
    <sheetView tabSelected="1" zoomScale="59" zoomScaleNormal="59" workbookViewId="0">
      <pane xSplit="1" ySplit="5" topLeftCell="B6" activePane="bottomRight" state="frozen"/>
      <selection pane="topRight" activeCell="D1" sqref="D1"/>
      <selection pane="bottomLeft" activeCell="A6" sqref="A6"/>
      <selection pane="bottomRight" activeCell="A3" sqref="A3"/>
    </sheetView>
  </sheetViews>
  <sheetFormatPr baseColWidth="10" defaultColWidth="8.83203125" defaultRowHeight="15" zeroHeight="1" x14ac:dyDescent="0.2"/>
  <cols>
    <col min="1" max="1" width="5" customWidth="1"/>
    <col min="2" max="2" width="12" customWidth="1"/>
    <col min="3" max="4" width="30.6640625" hidden="1" customWidth="1"/>
    <col min="5" max="5" width="15.6640625" customWidth="1"/>
    <col min="6" max="6" width="23.6640625" customWidth="1"/>
    <col min="7" max="7" width="36.33203125" customWidth="1"/>
    <col min="8" max="8" width="31.33203125" customWidth="1"/>
    <col min="9" max="9" width="17.1640625" customWidth="1"/>
    <col min="10" max="10" width="34.1640625" customWidth="1"/>
    <col min="11" max="11" width="57.33203125" customWidth="1"/>
    <col min="12" max="12" width="31.6640625" customWidth="1"/>
    <col min="13" max="13" width="30.6640625" customWidth="1"/>
    <col min="14" max="14" width="27.83203125" customWidth="1"/>
    <col min="15" max="15" width="26.5" customWidth="1"/>
    <col min="16" max="16" width="28.5" customWidth="1"/>
    <col min="17" max="18" width="88.5" hidden="1" customWidth="1"/>
    <col min="19" max="21" width="26.5" bestFit="1" customWidth="1"/>
    <col min="22" max="25" width="26.5" style="15" bestFit="1" customWidth="1"/>
    <col min="26" max="26" width="33.33203125" style="15" customWidth="1"/>
    <col min="27" max="27" width="26.5" style="15" bestFit="1" customWidth="1"/>
    <col min="28" max="28" width="26.5" bestFit="1" customWidth="1"/>
    <col min="29" max="29" width="28.33203125" bestFit="1" customWidth="1"/>
    <col min="30" max="37" width="26.5" bestFit="1" customWidth="1"/>
    <col min="38" max="38" width="40.83203125" customWidth="1"/>
    <col min="39" max="39" width="22.83203125" customWidth="1"/>
    <col min="40" max="46" width="34.83203125" customWidth="1"/>
    <col min="47" max="47" width="55.6640625" customWidth="1"/>
    <col min="48" max="50" width="34.83203125" customWidth="1"/>
    <col min="51" max="51" width="34.83203125" hidden="1" customWidth="1"/>
    <col min="52" max="53" width="34.83203125" customWidth="1"/>
    <col min="54" max="56" width="35.83203125" customWidth="1"/>
  </cols>
  <sheetData>
    <row r="1" spans="1:52" s="16" customFormat="1" ht="55.5" customHeight="1" x14ac:dyDescent="0.35">
      <c r="A1" s="59" t="s">
        <v>283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/>
      <c r="R1"/>
      <c r="S1"/>
      <c r="T1"/>
      <c r="U1"/>
      <c r="V1" s="15"/>
      <c r="W1" s="15"/>
      <c r="X1" s="15"/>
      <c r="Y1" s="15"/>
      <c r="Z1" s="15"/>
      <c r="AA1" s="15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</row>
    <row r="2" spans="1:52" s="16" customFormat="1" ht="55.5" customHeight="1" x14ac:dyDescent="0.35">
      <c r="A2" s="60" t="s">
        <v>317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/>
      <c r="R2"/>
      <c r="S2" s="65" t="s">
        <v>316</v>
      </c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 t="s">
        <v>315</v>
      </c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/>
      <c r="AZ2" s="38" t="s">
        <v>5</v>
      </c>
    </row>
    <row r="3" spans="1:52" ht="15.75" customHeight="1" x14ac:dyDescent="0.2">
      <c r="A3" s="41"/>
      <c r="B3" s="41"/>
      <c r="C3" s="61"/>
      <c r="D3" s="61"/>
      <c r="E3" s="61"/>
      <c r="R3" s="62" t="s">
        <v>35</v>
      </c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3" t="s">
        <v>303</v>
      </c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1" t="s">
        <v>304</v>
      </c>
      <c r="AV3" s="63" t="s">
        <v>305</v>
      </c>
      <c r="AW3" s="63"/>
      <c r="AX3" s="64"/>
      <c r="AY3" s="58" t="s">
        <v>286</v>
      </c>
      <c r="AZ3" s="38" t="s">
        <v>311</v>
      </c>
    </row>
    <row r="4" spans="1:52" ht="15.75" customHeight="1" x14ac:dyDescent="0.2">
      <c r="A4" s="41"/>
      <c r="B4" s="41"/>
      <c r="C4" s="61"/>
      <c r="D4" s="61"/>
      <c r="E4" s="61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1">
        <v>1</v>
      </c>
      <c r="AH4" s="1">
        <v>2</v>
      </c>
      <c r="AI4" s="1">
        <v>3</v>
      </c>
      <c r="AJ4" s="1">
        <v>4</v>
      </c>
      <c r="AK4" s="1">
        <v>5</v>
      </c>
      <c r="AL4" s="1">
        <v>6</v>
      </c>
      <c r="AM4" s="1">
        <v>7</v>
      </c>
      <c r="AN4" s="1">
        <v>8</v>
      </c>
      <c r="AO4" s="1">
        <v>9</v>
      </c>
      <c r="AP4" s="1">
        <v>10</v>
      </c>
      <c r="AQ4" s="1">
        <v>11</v>
      </c>
      <c r="AR4" s="1">
        <v>12</v>
      </c>
      <c r="AS4" s="1">
        <v>13</v>
      </c>
      <c r="AT4" s="1">
        <v>14</v>
      </c>
      <c r="AU4" s="1">
        <v>15</v>
      </c>
      <c r="AV4" s="1">
        <v>16</v>
      </c>
      <c r="AW4" s="1">
        <v>17</v>
      </c>
      <c r="AX4" s="1">
        <v>18</v>
      </c>
      <c r="AY4" s="58"/>
      <c r="AZ4" s="1">
        <v>19</v>
      </c>
    </row>
    <row r="5" spans="1:52" ht="89.25" customHeight="1" x14ac:dyDescent="0.2">
      <c r="A5" s="17" t="s">
        <v>36</v>
      </c>
      <c r="B5" s="17" t="s">
        <v>307</v>
      </c>
      <c r="C5" s="17" t="s">
        <v>37</v>
      </c>
      <c r="D5" s="17" t="s">
        <v>38</v>
      </c>
      <c r="E5" s="18" t="s">
        <v>39</v>
      </c>
      <c r="F5" s="18" t="s">
        <v>40</v>
      </c>
      <c r="G5" s="18" t="s">
        <v>41</v>
      </c>
      <c r="H5" s="18" t="s">
        <v>42</v>
      </c>
      <c r="I5" s="17" t="s">
        <v>43</v>
      </c>
      <c r="J5" s="18" t="s">
        <v>44</v>
      </c>
      <c r="K5" s="17" t="s">
        <v>45</v>
      </c>
      <c r="L5" s="19" t="s">
        <v>46</v>
      </c>
      <c r="M5" s="19" t="s">
        <v>47</v>
      </c>
      <c r="N5" s="19" t="s">
        <v>48</v>
      </c>
      <c r="O5" s="19" t="s">
        <v>49</v>
      </c>
      <c r="P5" s="19" t="s">
        <v>50</v>
      </c>
      <c r="Q5" s="43" t="s">
        <v>51</v>
      </c>
      <c r="R5" s="42" t="s">
        <v>52</v>
      </c>
      <c r="S5" s="42" t="s">
        <v>53</v>
      </c>
      <c r="T5" s="42" t="s">
        <v>54</v>
      </c>
      <c r="U5" s="42" t="s">
        <v>55</v>
      </c>
      <c r="V5" s="42" t="s">
        <v>56</v>
      </c>
      <c r="W5" s="42" t="s">
        <v>57</v>
      </c>
      <c r="X5" s="42" t="s">
        <v>58</v>
      </c>
      <c r="Y5" s="42" t="s">
        <v>59</v>
      </c>
      <c r="Z5" s="42" t="s">
        <v>60</v>
      </c>
      <c r="AA5" s="42" t="s">
        <v>61</v>
      </c>
      <c r="AB5" s="42" t="s">
        <v>62</v>
      </c>
      <c r="AC5" s="42" t="s">
        <v>63</v>
      </c>
      <c r="AD5" s="42" t="s">
        <v>64</v>
      </c>
      <c r="AE5" s="42" t="s">
        <v>65</v>
      </c>
      <c r="AF5" s="42" t="s">
        <v>66</v>
      </c>
      <c r="AG5" s="44" t="s">
        <v>297</v>
      </c>
      <c r="AH5" s="44" t="s">
        <v>298</v>
      </c>
      <c r="AI5" s="44" t="s">
        <v>299</v>
      </c>
      <c r="AJ5" s="44" t="s">
        <v>300</v>
      </c>
      <c r="AK5" s="44" t="s">
        <v>301</v>
      </c>
      <c r="AL5" s="44" t="s">
        <v>295</v>
      </c>
      <c r="AM5" s="44" t="s">
        <v>296</v>
      </c>
      <c r="AN5" s="44" t="s">
        <v>302</v>
      </c>
      <c r="AO5" s="44" t="s">
        <v>293</v>
      </c>
      <c r="AP5" s="44" t="s">
        <v>292</v>
      </c>
      <c r="AQ5" s="44" t="s">
        <v>291</v>
      </c>
      <c r="AR5" s="44" t="s">
        <v>290</v>
      </c>
      <c r="AS5" s="44" t="s">
        <v>289</v>
      </c>
      <c r="AT5" s="44" t="s">
        <v>313</v>
      </c>
      <c r="AU5" s="44" t="s">
        <v>306</v>
      </c>
      <c r="AV5" s="44" t="s">
        <v>287</v>
      </c>
      <c r="AW5" s="44" t="s">
        <v>294</v>
      </c>
      <c r="AX5" s="44" t="s">
        <v>288</v>
      </c>
      <c r="AY5" s="58"/>
      <c r="AZ5" s="44" t="s">
        <v>310</v>
      </c>
    </row>
    <row r="6" spans="1:52" s="38" customFormat="1" ht="39.75" customHeight="1" x14ac:dyDescent="0.2">
      <c r="A6" s="45" t="str">
        <f t="shared" ref="A6:A69" si="0">IF(F6="","",ROW()-5)</f>
        <v/>
      </c>
      <c r="B6" s="45"/>
      <c r="C6" s="45"/>
      <c r="D6" s="45"/>
      <c r="F6" s="46"/>
      <c r="G6" s="47"/>
      <c r="H6" s="48"/>
      <c r="I6" s="47" t="str">
        <f t="shared" ref="I6:I69" si="1">IF(AND(LEN(F6)=18, ISBLANK(G6)=FALSE(), ISBLANK(H6)=FALSE()),37,"")</f>
        <v/>
      </c>
      <c r="J6" s="45"/>
      <c r="K6" s="45" t="str">
        <f t="shared" ref="K6:K69" ca="1" si="2">IF(OR(J6="",Q6=0),"",IF(COUNTA(L6:P6)&gt;Q6,"Seluruh pilihan telah dipilih, anda memilih lebih dari kemungkinan pilihan yang tersedia, periksa pilihan anda "&amp;"("&amp;COUNTA(L6:P6)&amp;"/"&amp;Q6&amp;")",IF(COUNTA(L6:P6)=Q6,IF(SUMPRODUCT(COUNTIF(L6:P6,L6:P6)*(L6:P6&lt;&gt;""))&gt;COUNTA(L6:P6),"Terdapat pilihan yang sama, segera ubah "&amp;"("&amp;COUNTA(L6:P6)&amp;"/"&amp;Q6&amp;")","Seluruh pilihan telah dipilih "&amp;"("&amp;COUNTA(L6:P6)&amp;"/"&amp;Q6&amp;")"),IF(COUNTA(L6:P6)&gt;0,"Masih terdapat pilihan yang bisa dipilih, silahkan melengkapi pilihan "&amp;"("&amp;COUNTA(L6:P6)&amp;"/"&amp;Q6&amp;")",""))))</f>
        <v/>
      </c>
      <c r="L6" s="45"/>
      <c r="M6" s="45"/>
      <c r="N6" s="45"/>
      <c r="O6" s="45"/>
      <c r="P6" s="45"/>
      <c r="Q6" s="49">
        <f t="shared" ref="Q6:Q37" ca="1" si="3">IFERROR(COUNTA(INDIRECT("K_"&amp;MATCH(J6,BidangList,0))),0)</f>
        <v>1</v>
      </c>
      <c r="S6" s="38" t="s">
        <v>308</v>
      </c>
      <c r="T6" s="38" t="s">
        <v>308</v>
      </c>
      <c r="U6" s="38" t="s">
        <v>308</v>
      </c>
      <c r="V6" s="38" t="s">
        <v>308</v>
      </c>
      <c r="W6" s="38" t="s">
        <v>308</v>
      </c>
      <c r="X6" s="38" t="s">
        <v>308</v>
      </c>
      <c r="Y6" s="38" t="s">
        <v>308</v>
      </c>
      <c r="Z6" s="38" t="s">
        <v>308</v>
      </c>
      <c r="AA6" s="38" t="s">
        <v>308</v>
      </c>
      <c r="AB6" s="38" t="s">
        <v>308</v>
      </c>
      <c r="AC6" s="38" t="s">
        <v>308</v>
      </c>
      <c r="AD6" s="38" t="s">
        <v>308</v>
      </c>
      <c r="AE6" s="38" t="s">
        <v>308</v>
      </c>
      <c r="AF6" s="38" t="s">
        <v>308</v>
      </c>
      <c r="AG6" s="38" t="s">
        <v>308</v>
      </c>
      <c r="AH6" s="38" t="s">
        <v>308</v>
      </c>
      <c r="AI6" s="38" t="s">
        <v>308</v>
      </c>
      <c r="AJ6" s="38" t="s">
        <v>308</v>
      </c>
      <c r="AK6" s="38" t="s">
        <v>308</v>
      </c>
      <c r="AL6" s="38" t="s">
        <v>308</v>
      </c>
      <c r="AM6" s="38" t="s">
        <v>309</v>
      </c>
      <c r="AN6" s="38" t="s">
        <v>309</v>
      </c>
      <c r="AO6" s="38" t="s">
        <v>312</v>
      </c>
      <c r="AP6" s="38" t="s">
        <v>312</v>
      </c>
      <c r="AQ6" s="38" t="s">
        <v>308</v>
      </c>
      <c r="AR6" s="38" t="s">
        <v>309</v>
      </c>
      <c r="AS6" s="38" t="s">
        <v>312</v>
      </c>
      <c r="AT6" s="38" t="s">
        <v>314</v>
      </c>
      <c r="AU6" s="38" t="s">
        <v>308</v>
      </c>
      <c r="AV6" s="38" t="s">
        <v>312</v>
      </c>
      <c r="AW6" s="38" t="s">
        <v>308</v>
      </c>
      <c r="AX6" s="38" t="s">
        <v>308</v>
      </c>
      <c r="AZ6" s="38" t="s">
        <v>308</v>
      </c>
    </row>
    <row r="7" spans="1:52" ht="39.75" hidden="1" customHeight="1" x14ac:dyDescent="0.2">
      <c r="A7" s="45" t="str">
        <f t="shared" si="0"/>
        <v/>
      </c>
      <c r="B7" s="45"/>
      <c r="C7" s="45"/>
      <c r="D7" s="45"/>
      <c r="E7" s="50"/>
      <c r="F7" s="51"/>
      <c r="G7" s="52"/>
      <c r="H7" s="53"/>
      <c r="I7" s="52" t="str">
        <f t="shared" si="1"/>
        <v/>
      </c>
      <c r="J7" s="54"/>
      <c r="K7" s="55" t="str">
        <f t="shared" ca="1" si="2"/>
        <v/>
      </c>
      <c r="L7" s="54"/>
      <c r="M7" s="54"/>
      <c r="N7" s="54"/>
      <c r="O7" s="54"/>
      <c r="P7" s="54"/>
      <c r="Q7" s="56">
        <f t="shared" ca="1" si="3"/>
        <v>1</v>
      </c>
      <c r="S7" s="38"/>
      <c r="T7" s="38"/>
      <c r="U7" s="38"/>
      <c r="V7" s="37"/>
      <c r="W7" s="37"/>
      <c r="X7" s="37"/>
      <c r="Y7" s="37"/>
      <c r="Z7" s="37"/>
      <c r="AA7" s="37"/>
      <c r="AB7" s="38"/>
      <c r="AC7" s="38"/>
      <c r="AD7" s="38"/>
      <c r="AE7" s="38"/>
      <c r="AF7" s="38"/>
      <c r="AG7" s="1"/>
      <c r="AH7" s="1"/>
      <c r="AI7" s="1"/>
      <c r="AJ7" s="1"/>
      <c r="AK7" s="1"/>
      <c r="AL7" s="1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38"/>
      <c r="AX7" s="38"/>
      <c r="AY7" s="38"/>
      <c r="AZ7" s="38"/>
    </row>
    <row r="8" spans="1:52" ht="39.75" hidden="1" customHeight="1" x14ac:dyDescent="0.2">
      <c r="A8" s="45" t="str">
        <f t="shared" si="0"/>
        <v/>
      </c>
      <c r="B8" s="45"/>
      <c r="C8" s="45"/>
      <c r="D8" s="45"/>
      <c r="E8" s="50"/>
      <c r="F8" s="51"/>
      <c r="G8" s="52"/>
      <c r="H8" s="53"/>
      <c r="I8" s="52" t="str">
        <f t="shared" si="1"/>
        <v/>
      </c>
      <c r="J8" s="45"/>
      <c r="K8" s="57" t="str">
        <f t="shared" ca="1" si="2"/>
        <v/>
      </c>
      <c r="L8" s="45"/>
      <c r="M8" s="45"/>
      <c r="N8" s="45"/>
      <c r="O8" s="45"/>
      <c r="P8" s="45"/>
      <c r="Q8" s="56">
        <f t="shared" ca="1" si="3"/>
        <v>1</v>
      </c>
      <c r="S8" s="38"/>
      <c r="T8" s="38"/>
      <c r="U8" s="38"/>
      <c r="V8" s="37"/>
      <c r="W8" s="37"/>
      <c r="X8" s="37"/>
      <c r="Y8" s="37"/>
      <c r="Z8" s="37"/>
      <c r="AA8" s="37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</row>
    <row r="9" spans="1:52" ht="39.75" hidden="1" customHeight="1" x14ac:dyDescent="0.2">
      <c r="A9" s="45" t="str">
        <f t="shared" si="0"/>
        <v/>
      </c>
      <c r="B9" s="45"/>
      <c r="C9" s="45"/>
      <c r="D9" s="45"/>
      <c r="E9" s="50"/>
      <c r="F9" s="51"/>
      <c r="G9" s="52"/>
      <c r="H9" s="52"/>
      <c r="I9" s="52" t="str">
        <f t="shared" si="1"/>
        <v/>
      </c>
      <c r="J9" s="54"/>
      <c r="K9" s="55" t="str">
        <f t="shared" ca="1" si="2"/>
        <v/>
      </c>
      <c r="L9" s="54"/>
      <c r="M9" s="54"/>
      <c r="N9" s="54"/>
      <c r="O9" s="54"/>
      <c r="P9" s="54"/>
      <c r="Q9" s="56">
        <f t="shared" ca="1" si="3"/>
        <v>1</v>
      </c>
      <c r="S9" s="38"/>
      <c r="T9" s="38"/>
      <c r="U9" s="38"/>
      <c r="V9" s="37"/>
      <c r="W9" s="37"/>
      <c r="X9" s="37"/>
      <c r="Y9" s="37"/>
      <c r="Z9" s="37"/>
      <c r="AA9" s="37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</row>
    <row r="10" spans="1:52" ht="39.75" hidden="1" customHeight="1" x14ac:dyDescent="0.2">
      <c r="A10" s="45" t="str">
        <f t="shared" si="0"/>
        <v/>
      </c>
      <c r="B10" s="45"/>
      <c r="C10" s="45"/>
      <c r="D10" s="45"/>
      <c r="E10" s="50"/>
      <c r="F10" s="51"/>
      <c r="G10" s="52"/>
      <c r="H10" s="52"/>
      <c r="I10" s="52" t="str">
        <f t="shared" si="1"/>
        <v/>
      </c>
      <c r="J10" s="45"/>
      <c r="K10" s="57" t="str">
        <f t="shared" ca="1" si="2"/>
        <v/>
      </c>
      <c r="L10" s="45"/>
      <c r="M10" s="45"/>
      <c r="N10" s="45"/>
      <c r="O10" s="45"/>
      <c r="P10" s="45"/>
      <c r="Q10" s="56">
        <f t="shared" ca="1" si="3"/>
        <v>1</v>
      </c>
      <c r="S10" s="38"/>
      <c r="T10" s="38"/>
      <c r="U10" s="38"/>
      <c r="V10" s="37"/>
      <c r="W10" s="37"/>
      <c r="X10" s="37"/>
      <c r="Y10" s="37"/>
      <c r="Z10" s="37"/>
      <c r="AA10" s="37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ht="39.75" hidden="1" customHeight="1" x14ac:dyDescent="0.2">
      <c r="A11" s="45" t="str">
        <f t="shared" si="0"/>
        <v/>
      </c>
      <c r="B11" s="45"/>
      <c r="C11" s="45"/>
      <c r="D11" s="45"/>
      <c r="E11" s="50"/>
      <c r="F11" s="51"/>
      <c r="G11" s="52"/>
      <c r="H11" s="52"/>
      <c r="I11" s="52" t="str">
        <f t="shared" si="1"/>
        <v/>
      </c>
      <c r="J11" s="54"/>
      <c r="K11" s="55" t="str">
        <f t="shared" ca="1" si="2"/>
        <v/>
      </c>
      <c r="L11" s="54"/>
      <c r="M11" s="54"/>
      <c r="N11" s="54"/>
      <c r="O11" s="54"/>
      <c r="P11" s="54"/>
      <c r="Q11" s="56">
        <f t="shared" ca="1" si="3"/>
        <v>1</v>
      </c>
      <c r="S11" s="38"/>
      <c r="T11" s="38"/>
      <c r="U11" s="38"/>
      <c r="V11" s="37"/>
      <c r="W11" s="37"/>
      <c r="X11" s="37"/>
      <c r="Y11" s="37"/>
      <c r="Z11" s="37"/>
      <c r="AA11" s="37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ht="39.75" hidden="1" customHeight="1" x14ac:dyDescent="0.2">
      <c r="A12" s="45" t="str">
        <f t="shared" si="0"/>
        <v/>
      </c>
      <c r="B12" s="45"/>
      <c r="C12" s="45"/>
      <c r="D12" s="45"/>
      <c r="E12" s="50"/>
      <c r="F12" s="51"/>
      <c r="G12" s="52"/>
      <c r="H12" s="52"/>
      <c r="I12" s="52" t="str">
        <f t="shared" si="1"/>
        <v/>
      </c>
      <c r="J12" s="45"/>
      <c r="K12" s="57" t="str">
        <f t="shared" ca="1" si="2"/>
        <v/>
      </c>
      <c r="L12" s="45"/>
      <c r="M12" s="45"/>
      <c r="N12" s="45"/>
      <c r="O12" s="45"/>
      <c r="P12" s="45"/>
      <c r="Q12" s="56">
        <f t="shared" ca="1" si="3"/>
        <v>1</v>
      </c>
      <c r="S12" s="38"/>
      <c r="T12" s="38"/>
      <c r="U12" s="38"/>
      <c r="V12" s="37"/>
      <c r="W12" s="37"/>
      <c r="X12" s="37"/>
      <c r="Y12" s="37"/>
      <c r="Z12" s="37"/>
      <c r="AA12" s="37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ht="39.75" hidden="1" customHeight="1" x14ac:dyDescent="0.2">
      <c r="A13" s="45" t="str">
        <f t="shared" si="0"/>
        <v/>
      </c>
      <c r="B13" s="45"/>
      <c r="C13" s="45"/>
      <c r="D13" s="45"/>
      <c r="E13" s="50"/>
      <c r="F13" s="51"/>
      <c r="G13" s="52"/>
      <c r="H13" s="52"/>
      <c r="I13" s="52" t="str">
        <f t="shared" si="1"/>
        <v/>
      </c>
      <c r="J13" s="54"/>
      <c r="K13" s="55" t="str">
        <f t="shared" ca="1" si="2"/>
        <v/>
      </c>
      <c r="L13" s="54"/>
      <c r="M13" s="54"/>
      <c r="N13" s="54"/>
      <c r="O13" s="54"/>
      <c r="P13" s="54"/>
      <c r="Q13" s="56">
        <f t="shared" ca="1" si="3"/>
        <v>1</v>
      </c>
      <c r="S13" s="38"/>
      <c r="T13" s="38"/>
      <c r="U13" s="38"/>
      <c r="V13" s="37"/>
      <c r="W13" s="37"/>
      <c r="X13" s="37"/>
      <c r="Y13" s="37"/>
      <c r="Z13" s="37"/>
      <c r="AA13" s="37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</row>
    <row r="14" spans="1:52" ht="39.75" hidden="1" customHeight="1" x14ac:dyDescent="0.2">
      <c r="A14" s="45" t="str">
        <f t="shared" si="0"/>
        <v/>
      </c>
      <c r="B14" s="45"/>
      <c r="C14" s="45"/>
      <c r="D14" s="45"/>
      <c r="E14" s="50"/>
      <c r="F14" s="51"/>
      <c r="G14" s="52"/>
      <c r="H14" s="52"/>
      <c r="I14" s="52" t="str">
        <f t="shared" si="1"/>
        <v/>
      </c>
      <c r="J14" s="45"/>
      <c r="K14" s="57" t="str">
        <f t="shared" ca="1" si="2"/>
        <v/>
      </c>
      <c r="L14" s="45"/>
      <c r="M14" s="45"/>
      <c r="N14" s="45"/>
      <c r="O14" s="45"/>
      <c r="P14" s="45"/>
      <c r="Q14" s="56">
        <f t="shared" ca="1" si="3"/>
        <v>1</v>
      </c>
      <c r="S14" s="38"/>
      <c r="T14" s="38"/>
      <c r="U14" s="38"/>
      <c r="V14" s="37"/>
      <c r="W14" s="37"/>
      <c r="X14" s="37"/>
      <c r="Y14" s="37"/>
      <c r="Z14" s="37"/>
      <c r="AA14" s="37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</row>
    <row r="15" spans="1:52" ht="39.75" hidden="1" customHeight="1" x14ac:dyDescent="0.2">
      <c r="A15" s="45" t="str">
        <f t="shared" si="0"/>
        <v/>
      </c>
      <c r="B15" s="45"/>
      <c r="C15" s="45"/>
      <c r="D15" s="45"/>
      <c r="E15" s="50"/>
      <c r="F15" s="51"/>
      <c r="G15" s="52"/>
      <c r="H15" s="52"/>
      <c r="I15" s="52" t="str">
        <f t="shared" si="1"/>
        <v/>
      </c>
      <c r="J15" s="54"/>
      <c r="K15" s="55" t="str">
        <f t="shared" ca="1" si="2"/>
        <v/>
      </c>
      <c r="L15" s="54"/>
      <c r="M15" s="54"/>
      <c r="N15" s="54"/>
      <c r="O15" s="54"/>
      <c r="P15" s="54"/>
      <c r="Q15" s="56">
        <f t="shared" ca="1" si="3"/>
        <v>1</v>
      </c>
      <c r="S15" s="38"/>
      <c r="T15" s="38"/>
      <c r="U15" s="38"/>
      <c r="V15" s="37"/>
      <c r="W15" s="37"/>
      <c r="X15" s="37"/>
      <c r="Y15" s="37"/>
      <c r="Z15" s="37"/>
      <c r="AA15" s="37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</row>
    <row r="16" spans="1:52" ht="39.75" hidden="1" customHeight="1" x14ac:dyDescent="0.2">
      <c r="A16" s="45" t="str">
        <f t="shared" si="0"/>
        <v/>
      </c>
      <c r="B16" s="45"/>
      <c r="C16" s="45"/>
      <c r="D16" s="45"/>
      <c r="E16" s="50"/>
      <c r="F16" s="51"/>
      <c r="G16" s="52"/>
      <c r="H16" s="52"/>
      <c r="I16" s="52" t="str">
        <f t="shared" si="1"/>
        <v/>
      </c>
      <c r="J16" s="45"/>
      <c r="K16" s="57" t="str">
        <f t="shared" ca="1" si="2"/>
        <v/>
      </c>
      <c r="L16" s="45"/>
      <c r="M16" s="45"/>
      <c r="N16" s="45"/>
      <c r="O16" s="45"/>
      <c r="P16" s="45"/>
      <c r="Q16" s="56">
        <f t="shared" ca="1" si="3"/>
        <v>1</v>
      </c>
      <c r="S16" s="38"/>
      <c r="T16" s="38"/>
      <c r="U16" s="38"/>
      <c r="V16" s="37"/>
      <c r="W16" s="37"/>
      <c r="X16" s="37"/>
      <c r="Y16" s="37"/>
      <c r="Z16" s="37"/>
      <c r="AA16" s="37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</row>
    <row r="17" spans="1:52" ht="39.75" hidden="1" customHeight="1" x14ac:dyDescent="0.2">
      <c r="A17" s="45" t="str">
        <f t="shared" si="0"/>
        <v/>
      </c>
      <c r="B17" s="45"/>
      <c r="C17" s="45"/>
      <c r="D17" s="45"/>
      <c r="E17" s="50"/>
      <c r="F17" s="51"/>
      <c r="G17" s="52"/>
      <c r="H17" s="52"/>
      <c r="I17" s="52" t="str">
        <f t="shared" si="1"/>
        <v/>
      </c>
      <c r="J17" s="54"/>
      <c r="K17" s="55" t="str">
        <f t="shared" ca="1" si="2"/>
        <v/>
      </c>
      <c r="L17" s="54"/>
      <c r="M17" s="54"/>
      <c r="N17" s="54"/>
      <c r="O17" s="54"/>
      <c r="P17" s="54"/>
      <c r="Q17" s="56">
        <f t="shared" ca="1" si="3"/>
        <v>1</v>
      </c>
      <c r="S17" s="38"/>
      <c r="T17" s="38"/>
      <c r="U17" s="38"/>
      <c r="V17" s="37"/>
      <c r="W17" s="37"/>
      <c r="X17" s="37"/>
      <c r="Y17" s="37"/>
      <c r="Z17" s="37"/>
      <c r="AA17" s="37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</row>
    <row r="18" spans="1:52" ht="39.75" hidden="1" customHeight="1" x14ac:dyDescent="0.2">
      <c r="A18" s="45" t="str">
        <f t="shared" si="0"/>
        <v/>
      </c>
      <c r="B18" s="45"/>
      <c r="C18" s="45"/>
      <c r="D18" s="45"/>
      <c r="E18" s="50"/>
      <c r="F18" s="51"/>
      <c r="G18" s="52"/>
      <c r="H18" s="52"/>
      <c r="I18" s="52" t="str">
        <f t="shared" si="1"/>
        <v/>
      </c>
      <c r="J18" s="45"/>
      <c r="K18" s="57" t="str">
        <f t="shared" ca="1" si="2"/>
        <v/>
      </c>
      <c r="L18" s="45"/>
      <c r="M18" s="45"/>
      <c r="N18" s="45"/>
      <c r="O18" s="45"/>
      <c r="P18" s="45"/>
      <c r="Q18" s="56">
        <f t="shared" ca="1" si="3"/>
        <v>1</v>
      </c>
      <c r="S18" s="38"/>
      <c r="T18" s="38"/>
      <c r="U18" s="38"/>
      <c r="V18" s="37"/>
      <c r="W18" s="37"/>
      <c r="X18" s="37"/>
      <c r="Y18" s="37"/>
      <c r="Z18" s="37"/>
      <c r="AA18" s="37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</row>
    <row r="19" spans="1:52" ht="39.75" hidden="1" customHeight="1" x14ac:dyDescent="0.2">
      <c r="A19" s="45" t="str">
        <f t="shared" si="0"/>
        <v/>
      </c>
      <c r="B19" s="45"/>
      <c r="C19" s="45"/>
      <c r="D19" s="45"/>
      <c r="E19" s="50"/>
      <c r="F19" s="51"/>
      <c r="G19" s="52"/>
      <c r="H19" s="52"/>
      <c r="I19" s="52" t="str">
        <f t="shared" si="1"/>
        <v/>
      </c>
      <c r="J19" s="54"/>
      <c r="K19" s="55" t="str">
        <f t="shared" ca="1" si="2"/>
        <v/>
      </c>
      <c r="L19" s="54"/>
      <c r="M19" s="54"/>
      <c r="N19" s="54"/>
      <c r="O19" s="54"/>
      <c r="P19" s="54"/>
      <c r="Q19" s="56">
        <f t="shared" ca="1" si="3"/>
        <v>1</v>
      </c>
      <c r="S19" s="38"/>
      <c r="T19" s="38"/>
      <c r="U19" s="38"/>
      <c r="V19" s="37"/>
      <c r="W19" s="37"/>
      <c r="X19" s="37"/>
      <c r="Y19" s="37"/>
      <c r="Z19" s="37"/>
      <c r="AA19" s="37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</row>
    <row r="20" spans="1:52" ht="39.75" hidden="1" customHeight="1" x14ac:dyDescent="0.2">
      <c r="A20" s="45" t="str">
        <f t="shared" si="0"/>
        <v/>
      </c>
      <c r="B20" s="45"/>
      <c r="C20" s="45"/>
      <c r="D20" s="45"/>
      <c r="E20" s="50"/>
      <c r="F20" s="51"/>
      <c r="G20" s="52"/>
      <c r="H20" s="52"/>
      <c r="I20" s="52" t="str">
        <f t="shared" si="1"/>
        <v/>
      </c>
      <c r="J20" s="45"/>
      <c r="K20" s="57" t="str">
        <f t="shared" ca="1" si="2"/>
        <v/>
      </c>
      <c r="L20" s="45"/>
      <c r="M20" s="45"/>
      <c r="N20" s="45"/>
      <c r="O20" s="45"/>
      <c r="P20" s="45"/>
      <c r="Q20" s="56">
        <f t="shared" ca="1" si="3"/>
        <v>1</v>
      </c>
      <c r="S20" s="38"/>
      <c r="T20" s="38"/>
      <c r="U20" s="38"/>
      <c r="V20" s="37"/>
      <c r="W20" s="37"/>
      <c r="X20" s="37"/>
      <c r="Y20" s="37"/>
      <c r="Z20" s="37"/>
      <c r="AA20" s="37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</row>
    <row r="21" spans="1:52" ht="39.75" hidden="1" customHeight="1" x14ac:dyDescent="0.2">
      <c r="A21" s="45" t="str">
        <f t="shared" si="0"/>
        <v/>
      </c>
      <c r="B21" s="45"/>
      <c r="C21" s="45"/>
      <c r="D21" s="45"/>
      <c r="E21" s="50"/>
      <c r="F21" s="51"/>
      <c r="G21" s="52"/>
      <c r="H21" s="52"/>
      <c r="I21" s="52" t="str">
        <f t="shared" si="1"/>
        <v/>
      </c>
      <c r="J21" s="54"/>
      <c r="K21" s="55" t="str">
        <f t="shared" ca="1" si="2"/>
        <v/>
      </c>
      <c r="L21" s="54"/>
      <c r="M21" s="54"/>
      <c r="N21" s="54"/>
      <c r="O21" s="54"/>
      <c r="P21" s="54"/>
      <c r="Q21" s="56">
        <f t="shared" ca="1" si="3"/>
        <v>1</v>
      </c>
      <c r="S21" s="38"/>
      <c r="T21" s="38"/>
      <c r="U21" s="38"/>
      <c r="V21" s="37"/>
      <c r="W21" s="37"/>
      <c r="X21" s="37"/>
      <c r="Y21" s="37"/>
      <c r="Z21" s="37"/>
      <c r="AA21" s="37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</row>
    <row r="22" spans="1:52" ht="39.75" hidden="1" customHeight="1" x14ac:dyDescent="0.2">
      <c r="A22" s="45" t="str">
        <f t="shared" si="0"/>
        <v/>
      </c>
      <c r="B22" s="45"/>
      <c r="C22" s="45"/>
      <c r="D22" s="45"/>
      <c r="E22" s="50"/>
      <c r="F22" s="51"/>
      <c r="G22" s="52"/>
      <c r="H22" s="52"/>
      <c r="I22" s="52" t="str">
        <f t="shared" si="1"/>
        <v/>
      </c>
      <c r="J22" s="45"/>
      <c r="K22" s="57" t="str">
        <f t="shared" ca="1" si="2"/>
        <v/>
      </c>
      <c r="L22" s="45"/>
      <c r="M22" s="45"/>
      <c r="N22" s="45"/>
      <c r="O22" s="45"/>
      <c r="P22" s="45"/>
      <c r="Q22" s="56">
        <f t="shared" ca="1" si="3"/>
        <v>1</v>
      </c>
      <c r="S22" s="38"/>
      <c r="T22" s="38"/>
      <c r="U22" s="38"/>
      <c r="V22" s="37"/>
      <c r="W22" s="37"/>
      <c r="X22" s="37"/>
      <c r="Y22" s="37"/>
      <c r="Z22" s="37"/>
      <c r="AA22" s="37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</row>
    <row r="23" spans="1:52" ht="39.75" hidden="1" customHeight="1" x14ac:dyDescent="0.2">
      <c r="A23" s="45" t="str">
        <f t="shared" si="0"/>
        <v/>
      </c>
      <c r="B23" s="45"/>
      <c r="C23" s="45"/>
      <c r="D23" s="45"/>
      <c r="E23" s="50"/>
      <c r="F23" s="51"/>
      <c r="G23" s="52"/>
      <c r="H23" s="52"/>
      <c r="I23" s="52" t="str">
        <f t="shared" si="1"/>
        <v/>
      </c>
      <c r="J23" s="54"/>
      <c r="K23" s="55" t="str">
        <f t="shared" ca="1" si="2"/>
        <v/>
      </c>
      <c r="L23" s="54"/>
      <c r="M23" s="54"/>
      <c r="N23" s="54"/>
      <c r="O23" s="54"/>
      <c r="P23" s="54"/>
      <c r="Q23" s="56">
        <f t="shared" ca="1" si="3"/>
        <v>1</v>
      </c>
      <c r="S23" s="38"/>
      <c r="T23" s="38"/>
      <c r="U23" s="38"/>
      <c r="V23" s="37"/>
      <c r="W23" s="37"/>
      <c r="X23" s="37"/>
      <c r="Y23" s="37"/>
      <c r="Z23" s="37"/>
      <c r="AA23" s="37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</row>
    <row r="24" spans="1:52" ht="39.75" hidden="1" customHeight="1" x14ac:dyDescent="0.2">
      <c r="A24" s="45" t="str">
        <f t="shared" si="0"/>
        <v/>
      </c>
      <c r="B24" s="45"/>
      <c r="C24" s="45"/>
      <c r="D24" s="45"/>
      <c r="E24" s="50"/>
      <c r="F24" s="51"/>
      <c r="G24" s="52"/>
      <c r="H24" s="52"/>
      <c r="I24" s="52" t="str">
        <f t="shared" si="1"/>
        <v/>
      </c>
      <c r="J24" s="45"/>
      <c r="K24" s="57" t="str">
        <f t="shared" ca="1" si="2"/>
        <v/>
      </c>
      <c r="L24" s="45"/>
      <c r="M24" s="45"/>
      <c r="N24" s="45"/>
      <c r="O24" s="45"/>
      <c r="P24" s="45"/>
      <c r="Q24" s="56">
        <f t="shared" ca="1" si="3"/>
        <v>1</v>
      </c>
      <c r="S24" s="38"/>
      <c r="T24" s="38"/>
      <c r="U24" s="38"/>
      <c r="V24" s="37"/>
      <c r="W24" s="37"/>
      <c r="X24" s="37"/>
      <c r="Y24" s="37"/>
      <c r="Z24" s="37"/>
      <c r="AA24" s="37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</row>
    <row r="25" spans="1:52" ht="39.75" hidden="1" customHeight="1" x14ac:dyDescent="0.2">
      <c r="A25" s="45" t="str">
        <f t="shared" si="0"/>
        <v/>
      </c>
      <c r="B25" s="45"/>
      <c r="C25" s="45"/>
      <c r="D25" s="45"/>
      <c r="E25" s="50"/>
      <c r="F25" s="51"/>
      <c r="G25" s="52"/>
      <c r="H25" s="52"/>
      <c r="I25" s="52" t="str">
        <f t="shared" si="1"/>
        <v/>
      </c>
      <c r="J25" s="54"/>
      <c r="K25" s="55" t="str">
        <f t="shared" ca="1" si="2"/>
        <v/>
      </c>
      <c r="L25" s="54"/>
      <c r="M25" s="54"/>
      <c r="N25" s="54"/>
      <c r="O25" s="54"/>
      <c r="P25" s="54"/>
      <c r="Q25" s="56">
        <f t="shared" ca="1" si="3"/>
        <v>1</v>
      </c>
      <c r="S25" s="38"/>
      <c r="T25" s="38"/>
      <c r="U25" s="38"/>
      <c r="V25" s="37"/>
      <c r="W25" s="37"/>
      <c r="X25" s="37"/>
      <c r="Y25" s="37"/>
      <c r="Z25" s="37"/>
      <c r="AA25" s="37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</row>
    <row r="26" spans="1:52" ht="39.75" hidden="1" customHeight="1" x14ac:dyDescent="0.2">
      <c r="A26" s="45" t="str">
        <f t="shared" si="0"/>
        <v/>
      </c>
      <c r="B26" s="45"/>
      <c r="C26" s="45"/>
      <c r="D26" s="45"/>
      <c r="E26" s="50"/>
      <c r="F26" s="51"/>
      <c r="G26" s="52"/>
      <c r="H26" s="52"/>
      <c r="I26" s="52" t="str">
        <f t="shared" si="1"/>
        <v/>
      </c>
      <c r="J26" s="45"/>
      <c r="K26" s="57" t="str">
        <f t="shared" ca="1" si="2"/>
        <v/>
      </c>
      <c r="L26" s="45"/>
      <c r="M26" s="45"/>
      <c r="N26" s="45"/>
      <c r="O26" s="45"/>
      <c r="P26" s="45"/>
      <c r="Q26" s="56">
        <f t="shared" ca="1" si="3"/>
        <v>1</v>
      </c>
      <c r="S26" s="38"/>
      <c r="T26" s="38"/>
      <c r="U26" s="38"/>
      <c r="V26" s="37"/>
      <c r="W26" s="37"/>
      <c r="X26" s="37"/>
      <c r="Y26" s="37"/>
      <c r="Z26" s="37"/>
      <c r="AA26" s="37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</row>
    <row r="27" spans="1:52" ht="39.75" hidden="1" customHeight="1" x14ac:dyDescent="0.2">
      <c r="A27" s="45" t="str">
        <f t="shared" si="0"/>
        <v/>
      </c>
      <c r="B27" s="45"/>
      <c r="C27" s="45"/>
      <c r="D27" s="45"/>
      <c r="E27" s="50"/>
      <c r="F27" s="51"/>
      <c r="G27" s="52"/>
      <c r="H27" s="52"/>
      <c r="I27" s="52" t="str">
        <f t="shared" si="1"/>
        <v/>
      </c>
      <c r="J27" s="54"/>
      <c r="K27" s="55" t="str">
        <f t="shared" ca="1" si="2"/>
        <v/>
      </c>
      <c r="L27" s="54"/>
      <c r="M27" s="54"/>
      <c r="N27" s="54"/>
      <c r="O27" s="54"/>
      <c r="P27" s="54"/>
      <c r="Q27" s="56">
        <f t="shared" ca="1" si="3"/>
        <v>1</v>
      </c>
      <c r="S27" s="38"/>
      <c r="T27" s="38"/>
      <c r="U27" s="38"/>
      <c r="V27" s="37"/>
      <c r="W27" s="37"/>
      <c r="X27" s="37"/>
      <c r="Y27" s="37"/>
      <c r="Z27" s="37"/>
      <c r="AA27" s="37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</row>
    <row r="28" spans="1:52" ht="39.75" hidden="1" customHeight="1" x14ac:dyDescent="0.2">
      <c r="A28" s="45" t="str">
        <f t="shared" si="0"/>
        <v/>
      </c>
      <c r="B28" s="45"/>
      <c r="C28" s="45"/>
      <c r="D28" s="45"/>
      <c r="E28" s="50"/>
      <c r="F28" s="51"/>
      <c r="G28" s="52"/>
      <c r="H28" s="52"/>
      <c r="I28" s="52" t="str">
        <f t="shared" si="1"/>
        <v/>
      </c>
      <c r="J28" s="45"/>
      <c r="K28" s="57" t="str">
        <f t="shared" ca="1" si="2"/>
        <v/>
      </c>
      <c r="L28" s="45"/>
      <c r="M28" s="45"/>
      <c r="N28" s="45"/>
      <c r="O28" s="45"/>
      <c r="P28" s="45"/>
      <c r="Q28" s="56">
        <f t="shared" ca="1" si="3"/>
        <v>1</v>
      </c>
      <c r="S28" s="38"/>
      <c r="T28" s="38"/>
      <c r="U28" s="38"/>
      <c r="V28" s="37"/>
      <c r="W28" s="37"/>
      <c r="X28" s="37"/>
      <c r="Y28" s="37"/>
      <c r="Z28" s="37"/>
      <c r="AA28" s="37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</row>
    <row r="29" spans="1:52" ht="39.75" hidden="1" customHeight="1" x14ac:dyDescent="0.2">
      <c r="A29" s="45" t="str">
        <f t="shared" si="0"/>
        <v/>
      </c>
      <c r="B29" s="45"/>
      <c r="C29" s="45"/>
      <c r="D29" s="45"/>
      <c r="E29" s="50"/>
      <c r="F29" s="51"/>
      <c r="G29" s="52"/>
      <c r="H29" s="52"/>
      <c r="I29" s="52" t="str">
        <f t="shared" si="1"/>
        <v/>
      </c>
      <c r="J29" s="54"/>
      <c r="K29" s="55" t="str">
        <f t="shared" ca="1" si="2"/>
        <v/>
      </c>
      <c r="L29" s="54"/>
      <c r="M29" s="54"/>
      <c r="N29" s="54"/>
      <c r="O29" s="54"/>
      <c r="P29" s="54"/>
      <c r="Q29" s="56">
        <f t="shared" ca="1" si="3"/>
        <v>1</v>
      </c>
      <c r="S29" s="38"/>
      <c r="T29" s="38"/>
      <c r="U29" s="38"/>
      <c r="V29" s="37"/>
      <c r="W29" s="37"/>
      <c r="X29" s="37"/>
      <c r="Y29" s="37"/>
      <c r="Z29" s="37"/>
      <c r="AA29" s="37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</row>
    <row r="30" spans="1:52" ht="39.75" hidden="1" customHeight="1" x14ac:dyDescent="0.2">
      <c r="A30" s="45" t="str">
        <f t="shared" si="0"/>
        <v/>
      </c>
      <c r="B30" s="45"/>
      <c r="C30" s="45"/>
      <c r="D30" s="45"/>
      <c r="E30" s="50"/>
      <c r="F30" s="51"/>
      <c r="G30" s="52"/>
      <c r="H30" s="52"/>
      <c r="I30" s="52" t="str">
        <f t="shared" si="1"/>
        <v/>
      </c>
      <c r="J30" s="45"/>
      <c r="K30" s="57" t="str">
        <f t="shared" ca="1" si="2"/>
        <v/>
      </c>
      <c r="L30" s="45"/>
      <c r="M30" s="45"/>
      <c r="N30" s="45"/>
      <c r="O30" s="45"/>
      <c r="P30" s="45"/>
      <c r="Q30" s="56">
        <f t="shared" ca="1" si="3"/>
        <v>1</v>
      </c>
      <c r="S30" s="38"/>
      <c r="T30" s="38"/>
      <c r="U30" s="38"/>
      <c r="V30" s="37"/>
      <c r="W30" s="37"/>
      <c r="X30" s="37"/>
      <c r="Y30" s="37"/>
      <c r="Z30" s="37"/>
      <c r="AA30" s="37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</row>
    <row r="31" spans="1:52" ht="39.75" hidden="1" customHeight="1" x14ac:dyDescent="0.2">
      <c r="A31" s="45" t="str">
        <f t="shared" si="0"/>
        <v/>
      </c>
      <c r="B31" s="45"/>
      <c r="C31" s="45"/>
      <c r="D31" s="45"/>
      <c r="E31" s="50"/>
      <c r="F31" s="51"/>
      <c r="G31" s="52"/>
      <c r="H31" s="52"/>
      <c r="I31" s="52" t="str">
        <f t="shared" si="1"/>
        <v/>
      </c>
      <c r="J31" s="54"/>
      <c r="K31" s="55" t="str">
        <f t="shared" ca="1" si="2"/>
        <v/>
      </c>
      <c r="L31" s="54"/>
      <c r="M31" s="54"/>
      <c r="N31" s="54"/>
      <c r="O31" s="54"/>
      <c r="P31" s="54"/>
      <c r="Q31" s="56">
        <f t="shared" ca="1" si="3"/>
        <v>1</v>
      </c>
      <c r="S31" s="38"/>
      <c r="T31" s="38"/>
      <c r="U31" s="38"/>
      <c r="V31" s="37"/>
      <c r="W31" s="37"/>
      <c r="X31" s="37"/>
      <c r="Y31" s="37"/>
      <c r="Z31" s="37"/>
      <c r="AA31" s="37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</row>
    <row r="32" spans="1:52" ht="39.75" hidden="1" customHeight="1" x14ac:dyDescent="0.2">
      <c r="A32" s="45" t="str">
        <f t="shared" si="0"/>
        <v/>
      </c>
      <c r="B32" s="45"/>
      <c r="C32" s="45"/>
      <c r="D32" s="45"/>
      <c r="E32" s="50"/>
      <c r="F32" s="51"/>
      <c r="G32" s="52"/>
      <c r="H32" s="52"/>
      <c r="I32" s="52" t="str">
        <f t="shared" si="1"/>
        <v/>
      </c>
      <c r="J32" s="45"/>
      <c r="K32" s="57" t="str">
        <f t="shared" ca="1" si="2"/>
        <v/>
      </c>
      <c r="L32" s="45"/>
      <c r="M32" s="45"/>
      <c r="N32" s="45"/>
      <c r="O32" s="45"/>
      <c r="P32" s="45"/>
      <c r="Q32" s="56">
        <f t="shared" ca="1" si="3"/>
        <v>1</v>
      </c>
      <c r="S32" s="38"/>
      <c r="T32" s="38"/>
      <c r="U32" s="38"/>
      <c r="V32" s="37"/>
      <c r="W32" s="37"/>
      <c r="X32" s="37"/>
      <c r="Y32" s="37"/>
      <c r="Z32" s="37"/>
      <c r="AA32" s="37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</row>
    <row r="33" spans="1:52" ht="39.75" hidden="1" customHeight="1" x14ac:dyDescent="0.2">
      <c r="A33" s="45" t="str">
        <f t="shared" si="0"/>
        <v/>
      </c>
      <c r="B33" s="45"/>
      <c r="C33" s="45"/>
      <c r="D33" s="45"/>
      <c r="E33" s="50"/>
      <c r="F33" s="51"/>
      <c r="G33" s="52"/>
      <c r="H33" s="52"/>
      <c r="I33" s="52" t="str">
        <f t="shared" si="1"/>
        <v/>
      </c>
      <c r="J33" s="54"/>
      <c r="K33" s="55" t="str">
        <f t="shared" ca="1" si="2"/>
        <v/>
      </c>
      <c r="L33" s="54"/>
      <c r="M33" s="54"/>
      <c r="N33" s="54"/>
      <c r="O33" s="54"/>
      <c r="P33" s="54"/>
      <c r="Q33" s="56">
        <f t="shared" ca="1" si="3"/>
        <v>1</v>
      </c>
      <c r="S33" s="38"/>
      <c r="T33" s="38"/>
      <c r="U33" s="38"/>
      <c r="V33" s="37"/>
      <c r="W33" s="37"/>
      <c r="X33" s="37"/>
      <c r="Y33" s="37"/>
      <c r="Z33" s="37"/>
      <c r="AA33" s="37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</row>
    <row r="34" spans="1:52" ht="39.75" hidden="1" customHeight="1" x14ac:dyDescent="0.2">
      <c r="A34" s="45" t="str">
        <f t="shared" si="0"/>
        <v/>
      </c>
      <c r="B34" s="45"/>
      <c r="C34" s="45"/>
      <c r="D34" s="45"/>
      <c r="E34" s="50"/>
      <c r="F34" s="51"/>
      <c r="G34" s="52"/>
      <c r="H34" s="52"/>
      <c r="I34" s="52" t="str">
        <f t="shared" si="1"/>
        <v/>
      </c>
      <c r="J34" s="45"/>
      <c r="K34" s="57" t="str">
        <f t="shared" ca="1" si="2"/>
        <v/>
      </c>
      <c r="L34" s="45"/>
      <c r="M34" s="45"/>
      <c r="N34" s="45"/>
      <c r="O34" s="45"/>
      <c r="P34" s="45"/>
      <c r="Q34" s="56">
        <f t="shared" ca="1" si="3"/>
        <v>1</v>
      </c>
      <c r="S34" s="38"/>
      <c r="T34" s="38"/>
      <c r="U34" s="38"/>
      <c r="V34" s="37"/>
      <c r="W34" s="37"/>
      <c r="X34" s="37"/>
      <c r="Y34" s="37"/>
      <c r="Z34" s="37"/>
      <c r="AA34" s="37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</row>
    <row r="35" spans="1:52" ht="39.75" hidden="1" customHeight="1" x14ac:dyDescent="0.2">
      <c r="A35" s="45" t="str">
        <f t="shared" si="0"/>
        <v/>
      </c>
      <c r="B35" s="45"/>
      <c r="C35" s="45"/>
      <c r="D35" s="45"/>
      <c r="E35" s="50"/>
      <c r="F35" s="51"/>
      <c r="G35" s="52"/>
      <c r="H35" s="52"/>
      <c r="I35" s="52" t="str">
        <f t="shared" si="1"/>
        <v/>
      </c>
      <c r="J35" s="54"/>
      <c r="K35" s="55" t="str">
        <f t="shared" ca="1" si="2"/>
        <v/>
      </c>
      <c r="L35" s="54"/>
      <c r="M35" s="54"/>
      <c r="N35" s="54"/>
      <c r="O35" s="54"/>
      <c r="P35" s="54"/>
      <c r="Q35" s="56">
        <f t="shared" ca="1" si="3"/>
        <v>1</v>
      </c>
      <c r="S35" s="38"/>
      <c r="T35" s="38"/>
      <c r="U35" s="38"/>
      <c r="V35" s="37"/>
      <c r="W35" s="37"/>
      <c r="X35" s="37"/>
      <c r="Y35" s="37"/>
      <c r="Z35" s="37"/>
      <c r="AA35" s="37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</row>
    <row r="36" spans="1:52" ht="39.75" hidden="1" customHeight="1" x14ac:dyDescent="0.2">
      <c r="A36" s="45" t="str">
        <f t="shared" si="0"/>
        <v/>
      </c>
      <c r="B36" s="45"/>
      <c r="C36" s="45"/>
      <c r="D36" s="45"/>
      <c r="E36" s="50"/>
      <c r="F36" s="51"/>
      <c r="G36" s="52"/>
      <c r="H36" s="52"/>
      <c r="I36" s="52" t="str">
        <f t="shared" si="1"/>
        <v/>
      </c>
      <c r="J36" s="45"/>
      <c r="K36" s="57" t="str">
        <f t="shared" ca="1" si="2"/>
        <v/>
      </c>
      <c r="L36" s="45"/>
      <c r="M36" s="45"/>
      <c r="N36" s="45"/>
      <c r="O36" s="45"/>
      <c r="P36" s="45"/>
      <c r="Q36" s="56">
        <f t="shared" ca="1" si="3"/>
        <v>1</v>
      </c>
      <c r="S36" s="38"/>
      <c r="T36" s="38"/>
      <c r="U36" s="38"/>
      <c r="V36" s="37"/>
      <c r="W36" s="37"/>
      <c r="X36" s="37"/>
      <c r="Y36" s="37"/>
      <c r="Z36" s="37"/>
      <c r="AA36" s="37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ht="39.75" hidden="1" customHeight="1" x14ac:dyDescent="0.2">
      <c r="A37" s="45" t="str">
        <f t="shared" si="0"/>
        <v/>
      </c>
      <c r="B37" s="45"/>
      <c r="C37" s="45"/>
      <c r="D37" s="45"/>
      <c r="E37" s="50"/>
      <c r="F37" s="51"/>
      <c r="G37" s="52"/>
      <c r="H37" s="52"/>
      <c r="I37" s="52" t="str">
        <f t="shared" si="1"/>
        <v/>
      </c>
      <c r="J37" s="54"/>
      <c r="K37" s="55" t="str">
        <f t="shared" ca="1" si="2"/>
        <v/>
      </c>
      <c r="L37" s="54"/>
      <c r="M37" s="54"/>
      <c r="N37" s="54"/>
      <c r="O37" s="54"/>
      <c r="P37" s="54"/>
      <c r="Q37" s="56">
        <f t="shared" ca="1" si="3"/>
        <v>1</v>
      </c>
      <c r="S37" s="38"/>
      <c r="T37" s="38"/>
      <c r="U37" s="38"/>
      <c r="V37" s="37"/>
      <c r="W37" s="37"/>
      <c r="X37" s="37"/>
      <c r="Y37" s="37"/>
      <c r="Z37" s="37"/>
      <c r="AA37" s="37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ht="39.75" hidden="1" customHeight="1" x14ac:dyDescent="0.2">
      <c r="A38" s="45" t="str">
        <f t="shared" si="0"/>
        <v/>
      </c>
      <c r="B38" s="45"/>
      <c r="C38" s="45"/>
      <c r="D38" s="45"/>
      <c r="E38" s="50"/>
      <c r="F38" s="51"/>
      <c r="G38" s="52"/>
      <c r="H38" s="52"/>
      <c r="I38" s="52" t="str">
        <f t="shared" si="1"/>
        <v/>
      </c>
      <c r="J38" s="45"/>
      <c r="K38" s="57" t="str">
        <f t="shared" ca="1" si="2"/>
        <v/>
      </c>
      <c r="L38" s="45"/>
      <c r="M38" s="45"/>
      <c r="N38" s="45"/>
      <c r="O38" s="45"/>
      <c r="P38" s="45"/>
      <c r="Q38" s="56">
        <f t="shared" ref="Q38:Q69" ca="1" si="4">IFERROR(COUNTA(INDIRECT("K_"&amp;MATCH(J38,BidangList,0))),0)</f>
        <v>1</v>
      </c>
      <c r="S38" s="38"/>
      <c r="T38" s="38"/>
      <c r="U38" s="38"/>
      <c r="V38" s="37"/>
      <c r="W38" s="37"/>
      <c r="X38" s="37"/>
      <c r="Y38" s="37"/>
      <c r="Z38" s="37"/>
      <c r="AA38" s="37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ht="39.75" hidden="1" customHeight="1" x14ac:dyDescent="0.2">
      <c r="A39" s="45" t="str">
        <f t="shared" si="0"/>
        <v/>
      </c>
      <c r="B39" s="45"/>
      <c r="C39" s="45"/>
      <c r="D39" s="45"/>
      <c r="E39" s="50"/>
      <c r="F39" s="51"/>
      <c r="G39" s="52"/>
      <c r="H39" s="52"/>
      <c r="I39" s="52" t="str">
        <f t="shared" si="1"/>
        <v/>
      </c>
      <c r="J39" s="54"/>
      <c r="K39" s="55" t="str">
        <f t="shared" ca="1" si="2"/>
        <v/>
      </c>
      <c r="L39" s="54"/>
      <c r="M39" s="54"/>
      <c r="N39" s="54"/>
      <c r="O39" s="54"/>
      <c r="P39" s="54"/>
      <c r="Q39" s="56">
        <f t="shared" ca="1" si="4"/>
        <v>1</v>
      </c>
      <c r="S39" s="38"/>
      <c r="T39" s="38"/>
      <c r="U39" s="38"/>
      <c r="V39" s="37"/>
      <c r="W39" s="37"/>
      <c r="X39" s="37"/>
      <c r="Y39" s="37"/>
      <c r="Z39" s="37"/>
      <c r="AA39" s="37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ht="39.75" hidden="1" customHeight="1" x14ac:dyDescent="0.2">
      <c r="A40" s="45" t="str">
        <f t="shared" si="0"/>
        <v/>
      </c>
      <c r="B40" s="45"/>
      <c r="C40" s="45"/>
      <c r="D40" s="45"/>
      <c r="E40" s="50"/>
      <c r="F40" s="51"/>
      <c r="G40" s="52"/>
      <c r="H40" s="52"/>
      <c r="I40" s="52" t="str">
        <f t="shared" si="1"/>
        <v/>
      </c>
      <c r="J40" s="45"/>
      <c r="K40" s="57" t="str">
        <f t="shared" ca="1" si="2"/>
        <v/>
      </c>
      <c r="L40" s="45"/>
      <c r="M40" s="45"/>
      <c r="N40" s="45"/>
      <c r="O40" s="45"/>
      <c r="P40" s="45"/>
      <c r="Q40" s="56">
        <f t="shared" ca="1" si="4"/>
        <v>1</v>
      </c>
      <c r="S40" s="38"/>
      <c r="T40" s="38"/>
      <c r="U40" s="38"/>
      <c r="V40" s="37"/>
      <c r="W40" s="37"/>
      <c r="X40" s="37"/>
      <c r="Y40" s="37"/>
      <c r="Z40" s="37"/>
      <c r="AA40" s="37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ht="39.75" hidden="1" customHeight="1" x14ac:dyDescent="0.2">
      <c r="A41" s="45" t="str">
        <f t="shared" si="0"/>
        <v/>
      </c>
      <c r="B41" s="45"/>
      <c r="C41" s="45"/>
      <c r="D41" s="45"/>
      <c r="E41" s="50"/>
      <c r="F41" s="51"/>
      <c r="G41" s="52"/>
      <c r="H41" s="52"/>
      <c r="I41" s="52" t="str">
        <f t="shared" si="1"/>
        <v/>
      </c>
      <c r="J41" s="54"/>
      <c r="K41" s="55" t="str">
        <f t="shared" ca="1" si="2"/>
        <v/>
      </c>
      <c r="L41" s="54"/>
      <c r="M41" s="54"/>
      <c r="N41" s="54"/>
      <c r="O41" s="54"/>
      <c r="P41" s="54"/>
      <c r="Q41" s="56">
        <f t="shared" ca="1" si="4"/>
        <v>1</v>
      </c>
      <c r="S41" s="38"/>
      <c r="T41" s="38"/>
      <c r="U41" s="38"/>
      <c r="V41" s="37"/>
      <c r="W41" s="37"/>
      <c r="X41" s="37"/>
      <c r="Y41" s="37"/>
      <c r="Z41" s="37"/>
      <c r="AA41" s="37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ht="39.75" hidden="1" customHeight="1" x14ac:dyDescent="0.2">
      <c r="A42" s="45" t="str">
        <f t="shared" si="0"/>
        <v/>
      </c>
      <c r="B42" s="45"/>
      <c r="C42" s="45"/>
      <c r="D42" s="45"/>
      <c r="E42" s="50"/>
      <c r="F42" s="51"/>
      <c r="G42" s="52"/>
      <c r="H42" s="52"/>
      <c r="I42" s="52" t="str">
        <f t="shared" si="1"/>
        <v/>
      </c>
      <c r="J42" s="45"/>
      <c r="K42" s="57" t="str">
        <f t="shared" ca="1" si="2"/>
        <v/>
      </c>
      <c r="L42" s="45"/>
      <c r="M42" s="45"/>
      <c r="N42" s="45"/>
      <c r="O42" s="45"/>
      <c r="P42" s="45"/>
      <c r="Q42" s="56">
        <f t="shared" ca="1" si="4"/>
        <v>1</v>
      </c>
      <c r="S42" s="38"/>
      <c r="T42" s="38"/>
      <c r="U42" s="38"/>
      <c r="V42" s="37"/>
      <c r="W42" s="37"/>
      <c r="X42" s="37"/>
      <c r="Y42" s="37"/>
      <c r="Z42" s="37"/>
      <c r="AA42" s="37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ht="39.75" hidden="1" customHeight="1" x14ac:dyDescent="0.2">
      <c r="A43" s="45" t="str">
        <f t="shared" si="0"/>
        <v/>
      </c>
      <c r="B43" s="45"/>
      <c r="C43" s="45"/>
      <c r="D43" s="45"/>
      <c r="E43" s="50"/>
      <c r="F43" s="51"/>
      <c r="G43" s="52"/>
      <c r="H43" s="52"/>
      <c r="I43" s="52" t="str">
        <f t="shared" si="1"/>
        <v/>
      </c>
      <c r="J43" s="54"/>
      <c r="K43" s="55" t="str">
        <f t="shared" ca="1" si="2"/>
        <v/>
      </c>
      <c r="L43" s="54"/>
      <c r="M43" s="54"/>
      <c r="N43" s="54"/>
      <c r="O43" s="54"/>
      <c r="P43" s="54"/>
      <c r="Q43" s="56">
        <f t="shared" ca="1" si="4"/>
        <v>1</v>
      </c>
      <c r="S43" s="38"/>
      <c r="T43" s="38"/>
      <c r="U43" s="38"/>
      <c r="V43" s="37"/>
      <c r="W43" s="37"/>
      <c r="X43" s="37"/>
      <c r="Y43" s="37"/>
      <c r="Z43" s="37"/>
      <c r="AA43" s="37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ht="39.75" hidden="1" customHeight="1" x14ac:dyDescent="0.2">
      <c r="A44" s="45" t="str">
        <f t="shared" si="0"/>
        <v/>
      </c>
      <c r="B44" s="45"/>
      <c r="C44" s="45"/>
      <c r="D44" s="45"/>
      <c r="E44" s="50"/>
      <c r="F44" s="51"/>
      <c r="G44" s="52"/>
      <c r="H44" s="52"/>
      <c r="I44" s="52" t="str">
        <f t="shared" si="1"/>
        <v/>
      </c>
      <c r="J44" s="45"/>
      <c r="K44" s="57" t="str">
        <f t="shared" ca="1" si="2"/>
        <v/>
      </c>
      <c r="L44" s="45"/>
      <c r="M44" s="45"/>
      <c r="N44" s="45"/>
      <c r="O44" s="45"/>
      <c r="P44" s="45"/>
      <c r="Q44" s="56">
        <f t="shared" ca="1" si="4"/>
        <v>1</v>
      </c>
      <c r="S44" s="38"/>
      <c r="T44" s="38"/>
      <c r="U44" s="38"/>
      <c r="V44" s="37"/>
      <c r="W44" s="37"/>
      <c r="X44" s="37"/>
      <c r="Y44" s="37"/>
      <c r="Z44" s="37"/>
      <c r="AA44" s="37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ht="39.75" hidden="1" customHeight="1" x14ac:dyDescent="0.2">
      <c r="A45" s="45" t="str">
        <f t="shared" si="0"/>
        <v/>
      </c>
      <c r="B45" s="45"/>
      <c r="C45" s="45"/>
      <c r="D45" s="45"/>
      <c r="E45" s="50"/>
      <c r="F45" s="51"/>
      <c r="G45" s="52"/>
      <c r="H45" s="52"/>
      <c r="I45" s="52" t="str">
        <f t="shared" si="1"/>
        <v/>
      </c>
      <c r="J45" s="54"/>
      <c r="K45" s="55" t="str">
        <f t="shared" ca="1" si="2"/>
        <v/>
      </c>
      <c r="L45" s="54"/>
      <c r="M45" s="54"/>
      <c r="N45" s="54"/>
      <c r="O45" s="54"/>
      <c r="P45" s="54"/>
      <c r="Q45" s="56">
        <f t="shared" ca="1" si="4"/>
        <v>1</v>
      </c>
      <c r="S45" s="38"/>
      <c r="T45" s="38"/>
      <c r="U45" s="38"/>
      <c r="V45" s="37"/>
      <c r="W45" s="37"/>
      <c r="X45" s="37"/>
      <c r="Y45" s="37"/>
      <c r="Z45" s="37"/>
      <c r="AA45" s="37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ht="39.75" hidden="1" customHeight="1" x14ac:dyDescent="0.2">
      <c r="A46" s="45" t="str">
        <f t="shared" si="0"/>
        <v/>
      </c>
      <c r="B46" s="45"/>
      <c r="C46" s="45"/>
      <c r="D46" s="45"/>
      <c r="E46" s="50"/>
      <c r="F46" s="51"/>
      <c r="G46" s="52"/>
      <c r="H46" s="52"/>
      <c r="I46" s="52" t="str">
        <f t="shared" si="1"/>
        <v/>
      </c>
      <c r="J46" s="45"/>
      <c r="K46" s="57" t="str">
        <f t="shared" ca="1" si="2"/>
        <v/>
      </c>
      <c r="L46" s="45"/>
      <c r="M46" s="45"/>
      <c r="N46" s="45"/>
      <c r="O46" s="45"/>
      <c r="P46" s="45"/>
      <c r="Q46" s="56">
        <f t="shared" ca="1" si="4"/>
        <v>1</v>
      </c>
      <c r="S46" s="38"/>
      <c r="T46" s="38"/>
      <c r="U46" s="38"/>
      <c r="V46" s="37"/>
      <c r="W46" s="37"/>
      <c r="X46" s="37"/>
      <c r="Y46" s="37"/>
      <c r="Z46" s="37"/>
      <c r="AA46" s="37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ht="39.75" hidden="1" customHeight="1" x14ac:dyDescent="0.2">
      <c r="A47" s="45" t="str">
        <f t="shared" si="0"/>
        <v/>
      </c>
      <c r="B47" s="45"/>
      <c r="C47" s="45"/>
      <c r="D47" s="45"/>
      <c r="E47" s="50"/>
      <c r="F47" s="51"/>
      <c r="G47" s="52"/>
      <c r="H47" s="52"/>
      <c r="I47" s="52" t="str">
        <f t="shared" si="1"/>
        <v/>
      </c>
      <c r="J47" s="54"/>
      <c r="K47" s="55" t="str">
        <f t="shared" ca="1" si="2"/>
        <v/>
      </c>
      <c r="L47" s="54"/>
      <c r="M47" s="54"/>
      <c r="N47" s="54"/>
      <c r="O47" s="54"/>
      <c r="P47" s="54"/>
      <c r="Q47" s="56">
        <f t="shared" ca="1" si="4"/>
        <v>1</v>
      </c>
      <c r="S47" s="38"/>
      <c r="T47" s="38"/>
      <c r="U47" s="38"/>
      <c r="V47" s="37"/>
      <c r="W47" s="37"/>
      <c r="X47" s="37"/>
      <c r="Y47" s="37"/>
      <c r="Z47" s="37"/>
      <c r="AA47" s="37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ht="39.75" hidden="1" customHeight="1" x14ac:dyDescent="0.2">
      <c r="A48" s="45" t="str">
        <f t="shared" si="0"/>
        <v/>
      </c>
      <c r="B48" s="45"/>
      <c r="C48" s="45"/>
      <c r="D48" s="45"/>
      <c r="E48" s="50"/>
      <c r="F48" s="51"/>
      <c r="G48" s="52"/>
      <c r="H48" s="52"/>
      <c r="I48" s="52" t="str">
        <f t="shared" si="1"/>
        <v/>
      </c>
      <c r="J48" s="45"/>
      <c r="K48" s="57" t="str">
        <f t="shared" ca="1" si="2"/>
        <v/>
      </c>
      <c r="L48" s="45"/>
      <c r="M48" s="45"/>
      <c r="N48" s="45"/>
      <c r="O48" s="45"/>
      <c r="P48" s="45"/>
      <c r="Q48" s="56">
        <f t="shared" ca="1" si="4"/>
        <v>1</v>
      </c>
      <c r="S48" s="38"/>
      <c r="T48" s="38"/>
      <c r="U48" s="38"/>
      <c r="V48" s="37"/>
      <c r="W48" s="37"/>
      <c r="X48" s="37"/>
      <c r="Y48" s="37"/>
      <c r="Z48" s="37"/>
      <c r="AA48" s="37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ht="39.75" hidden="1" customHeight="1" x14ac:dyDescent="0.2">
      <c r="A49" s="45" t="str">
        <f t="shared" si="0"/>
        <v/>
      </c>
      <c r="B49" s="45"/>
      <c r="C49" s="45"/>
      <c r="D49" s="45"/>
      <c r="E49" s="50"/>
      <c r="F49" s="51"/>
      <c r="G49" s="52"/>
      <c r="H49" s="52"/>
      <c r="I49" s="52" t="str">
        <f t="shared" si="1"/>
        <v/>
      </c>
      <c r="J49" s="54"/>
      <c r="K49" s="55" t="str">
        <f t="shared" ca="1" si="2"/>
        <v/>
      </c>
      <c r="L49" s="54"/>
      <c r="M49" s="54"/>
      <c r="N49" s="54"/>
      <c r="O49" s="54"/>
      <c r="P49" s="54"/>
      <c r="Q49" s="56">
        <f t="shared" ca="1" si="4"/>
        <v>1</v>
      </c>
      <c r="S49" s="38"/>
      <c r="T49" s="38"/>
      <c r="U49" s="38"/>
      <c r="V49" s="37"/>
      <c r="W49" s="37"/>
      <c r="X49" s="37"/>
      <c r="Y49" s="37"/>
      <c r="Z49" s="37"/>
      <c r="AA49" s="37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ht="39.75" hidden="1" customHeight="1" x14ac:dyDescent="0.2">
      <c r="A50" s="45" t="str">
        <f t="shared" si="0"/>
        <v/>
      </c>
      <c r="B50" s="45"/>
      <c r="C50" s="45"/>
      <c r="D50" s="45"/>
      <c r="E50" s="50"/>
      <c r="F50" s="51"/>
      <c r="G50" s="52"/>
      <c r="H50" s="52"/>
      <c r="I50" s="52" t="str">
        <f t="shared" si="1"/>
        <v/>
      </c>
      <c r="J50" s="45"/>
      <c r="K50" s="57" t="str">
        <f t="shared" ca="1" si="2"/>
        <v/>
      </c>
      <c r="L50" s="45"/>
      <c r="M50" s="45"/>
      <c r="N50" s="45"/>
      <c r="O50" s="45"/>
      <c r="P50" s="45"/>
      <c r="Q50" s="56">
        <f t="shared" ca="1" si="4"/>
        <v>1</v>
      </c>
      <c r="S50" s="38"/>
      <c r="T50" s="38"/>
      <c r="U50" s="38"/>
      <c r="V50" s="37"/>
      <c r="W50" s="37"/>
      <c r="X50" s="37"/>
      <c r="Y50" s="37"/>
      <c r="Z50" s="37"/>
      <c r="AA50" s="37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ht="39.75" hidden="1" customHeight="1" x14ac:dyDescent="0.2">
      <c r="A51" s="45" t="str">
        <f t="shared" si="0"/>
        <v/>
      </c>
      <c r="B51" s="45"/>
      <c r="C51" s="45"/>
      <c r="D51" s="45"/>
      <c r="E51" s="50"/>
      <c r="F51" s="51"/>
      <c r="G51" s="52"/>
      <c r="H51" s="52"/>
      <c r="I51" s="52" t="str">
        <f t="shared" si="1"/>
        <v/>
      </c>
      <c r="J51" s="54"/>
      <c r="K51" s="55" t="str">
        <f t="shared" ca="1" si="2"/>
        <v/>
      </c>
      <c r="L51" s="54"/>
      <c r="M51" s="54"/>
      <c r="N51" s="54"/>
      <c r="O51" s="54"/>
      <c r="P51" s="54"/>
      <c r="Q51" s="56">
        <f t="shared" ca="1" si="4"/>
        <v>1</v>
      </c>
      <c r="S51" s="38"/>
      <c r="T51" s="38"/>
      <c r="U51" s="38"/>
      <c r="V51" s="37"/>
      <c r="W51" s="37"/>
      <c r="X51" s="37"/>
      <c r="Y51" s="37"/>
      <c r="Z51" s="37"/>
      <c r="AA51" s="37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ht="39.75" hidden="1" customHeight="1" x14ac:dyDescent="0.2">
      <c r="A52" s="45" t="str">
        <f t="shared" si="0"/>
        <v/>
      </c>
      <c r="B52" s="45"/>
      <c r="C52" s="45"/>
      <c r="D52" s="45"/>
      <c r="E52" s="50"/>
      <c r="F52" s="51"/>
      <c r="G52" s="52"/>
      <c r="H52" s="52"/>
      <c r="I52" s="52" t="str">
        <f t="shared" si="1"/>
        <v/>
      </c>
      <c r="J52" s="45"/>
      <c r="K52" s="57" t="str">
        <f t="shared" ca="1" si="2"/>
        <v/>
      </c>
      <c r="L52" s="45"/>
      <c r="M52" s="45"/>
      <c r="N52" s="45"/>
      <c r="O52" s="45"/>
      <c r="P52" s="45"/>
      <c r="Q52" s="56">
        <f t="shared" ca="1" si="4"/>
        <v>1</v>
      </c>
      <c r="S52" s="38"/>
      <c r="T52" s="38"/>
      <c r="U52" s="38"/>
      <c r="V52" s="37"/>
      <c r="W52" s="37"/>
      <c r="X52" s="37"/>
      <c r="Y52" s="37"/>
      <c r="Z52" s="37"/>
      <c r="AA52" s="37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ht="39.75" hidden="1" customHeight="1" x14ac:dyDescent="0.2">
      <c r="A53" s="45" t="str">
        <f t="shared" si="0"/>
        <v/>
      </c>
      <c r="B53" s="45"/>
      <c r="C53" s="45"/>
      <c r="D53" s="45"/>
      <c r="E53" s="50"/>
      <c r="F53" s="51"/>
      <c r="G53" s="52"/>
      <c r="H53" s="52"/>
      <c r="I53" s="52" t="str">
        <f t="shared" si="1"/>
        <v/>
      </c>
      <c r="J53" s="54"/>
      <c r="K53" s="55" t="str">
        <f t="shared" ca="1" si="2"/>
        <v/>
      </c>
      <c r="L53" s="54"/>
      <c r="M53" s="54"/>
      <c r="N53" s="54"/>
      <c r="O53" s="54"/>
      <c r="P53" s="54"/>
      <c r="Q53" s="56">
        <f t="shared" ca="1" si="4"/>
        <v>1</v>
      </c>
      <c r="S53" s="38"/>
      <c r="T53" s="38"/>
      <c r="U53" s="38"/>
      <c r="V53" s="37"/>
      <c r="W53" s="37"/>
      <c r="X53" s="37"/>
      <c r="Y53" s="37"/>
      <c r="Z53" s="37"/>
      <c r="AA53" s="37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39.75" hidden="1" customHeight="1" x14ac:dyDescent="0.2">
      <c r="A54" s="45" t="str">
        <f t="shared" si="0"/>
        <v/>
      </c>
      <c r="B54" s="45"/>
      <c r="C54" s="45"/>
      <c r="D54" s="45"/>
      <c r="E54" s="50"/>
      <c r="F54" s="51"/>
      <c r="G54" s="52"/>
      <c r="H54" s="52"/>
      <c r="I54" s="52" t="str">
        <f t="shared" si="1"/>
        <v/>
      </c>
      <c r="J54" s="45"/>
      <c r="K54" s="57" t="str">
        <f t="shared" ca="1" si="2"/>
        <v/>
      </c>
      <c r="L54" s="45"/>
      <c r="M54" s="45"/>
      <c r="N54" s="45"/>
      <c r="O54" s="45"/>
      <c r="P54" s="45"/>
      <c r="Q54" s="56">
        <f t="shared" ca="1" si="4"/>
        <v>1</v>
      </c>
      <c r="S54" s="38"/>
      <c r="T54" s="38"/>
      <c r="U54" s="38"/>
      <c r="V54" s="37"/>
      <c r="W54" s="37"/>
      <c r="X54" s="37"/>
      <c r="Y54" s="37"/>
      <c r="Z54" s="37"/>
      <c r="AA54" s="37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</row>
    <row r="55" spans="1:52" ht="39.75" hidden="1" customHeight="1" x14ac:dyDescent="0.2">
      <c r="A55" s="45" t="str">
        <f t="shared" si="0"/>
        <v/>
      </c>
      <c r="B55" s="45"/>
      <c r="C55" s="45"/>
      <c r="D55" s="45"/>
      <c r="E55" s="50"/>
      <c r="F55" s="51"/>
      <c r="G55" s="52"/>
      <c r="H55" s="52"/>
      <c r="I55" s="52" t="str">
        <f t="shared" si="1"/>
        <v/>
      </c>
      <c r="J55" s="54"/>
      <c r="K55" s="55" t="str">
        <f t="shared" ca="1" si="2"/>
        <v/>
      </c>
      <c r="L55" s="54"/>
      <c r="M55" s="54"/>
      <c r="N55" s="54"/>
      <c r="O55" s="54"/>
      <c r="P55" s="54"/>
      <c r="Q55" s="56">
        <f t="shared" ca="1" si="4"/>
        <v>1</v>
      </c>
      <c r="S55" s="38"/>
      <c r="T55" s="38"/>
      <c r="U55" s="38"/>
      <c r="V55" s="37"/>
      <c r="W55" s="37"/>
      <c r="X55" s="37"/>
      <c r="Y55" s="37"/>
      <c r="Z55" s="37"/>
      <c r="AA55" s="37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</row>
    <row r="56" spans="1:52" ht="39.75" hidden="1" customHeight="1" x14ac:dyDescent="0.2">
      <c r="A56" s="45" t="str">
        <f t="shared" si="0"/>
        <v/>
      </c>
      <c r="B56" s="45"/>
      <c r="C56" s="45"/>
      <c r="D56" s="45"/>
      <c r="E56" s="50"/>
      <c r="F56" s="51"/>
      <c r="G56" s="52"/>
      <c r="H56" s="52"/>
      <c r="I56" s="52" t="str">
        <f t="shared" si="1"/>
        <v/>
      </c>
      <c r="J56" s="45"/>
      <c r="K56" s="57" t="str">
        <f t="shared" ca="1" si="2"/>
        <v/>
      </c>
      <c r="L56" s="45"/>
      <c r="M56" s="45"/>
      <c r="N56" s="45"/>
      <c r="O56" s="45"/>
      <c r="P56" s="45"/>
      <c r="Q56" s="56">
        <f t="shared" ca="1" si="4"/>
        <v>1</v>
      </c>
      <c r="S56" s="38"/>
      <c r="T56" s="38"/>
      <c r="U56" s="38"/>
      <c r="V56" s="37"/>
      <c r="W56" s="37"/>
      <c r="X56" s="37"/>
      <c r="Y56" s="37"/>
      <c r="Z56" s="37"/>
      <c r="AA56" s="37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</row>
    <row r="57" spans="1:52" ht="39.75" hidden="1" customHeight="1" x14ac:dyDescent="0.2">
      <c r="A57" s="45" t="str">
        <f t="shared" si="0"/>
        <v/>
      </c>
      <c r="B57" s="45"/>
      <c r="C57" s="45"/>
      <c r="D57" s="45"/>
      <c r="E57" s="50"/>
      <c r="F57" s="51"/>
      <c r="G57" s="52"/>
      <c r="H57" s="52"/>
      <c r="I57" s="52" t="str">
        <f t="shared" si="1"/>
        <v/>
      </c>
      <c r="J57" s="54"/>
      <c r="K57" s="55" t="str">
        <f t="shared" ca="1" si="2"/>
        <v/>
      </c>
      <c r="L57" s="54"/>
      <c r="M57" s="54"/>
      <c r="N57" s="54"/>
      <c r="O57" s="54"/>
      <c r="P57" s="54"/>
      <c r="Q57" s="56">
        <f t="shared" ca="1" si="4"/>
        <v>1</v>
      </c>
      <c r="S57" s="38"/>
      <c r="T57" s="38"/>
      <c r="U57" s="38"/>
      <c r="V57" s="37"/>
      <c r="W57" s="37"/>
      <c r="X57" s="37"/>
      <c r="Y57" s="37"/>
      <c r="Z57" s="37"/>
      <c r="AA57" s="37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</row>
    <row r="58" spans="1:52" ht="39.75" hidden="1" customHeight="1" x14ac:dyDescent="0.2">
      <c r="A58" s="45" t="str">
        <f t="shared" si="0"/>
        <v/>
      </c>
      <c r="B58" s="45"/>
      <c r="C58" s="45"/>
      <c r="D58" s="45"/>
      <c r="E58" s="50"/>
      <c r="F58" s="51"/>
      <c r="G58" s="52"/>
      <c r="H58" s="52"/>
      <c r="I58" s="52" t="str">
        <f t="shared" si="1"/>
        <v/>
      </c>
      <c r="J58" s="45"/>
      <c r="K58" s="57" t="str">
        <f t="shared" ca="1" si="2"/>
        <v/>
      </c>
      <c r="L58" s="45"/>
      <c r="M58" s="45"/>
      <c r="N58" s="45"/>
      <c r="O58" s="45"/>
      <c r="P58" s="45"/>
      <c r="Q58" s="56">
        <f t="shared" ca="1" si="4"/>
        <v>1</v>
      </c>
      <c r="S58" s="38"/>
      <c r="T58" s="38"/>
      <c r="U58" s="38"/>
      <c r="V58" s="37"/>
      <c r="W58" s="37"/>
      <c r="X58" s="37"/>
      <c r="Y58" s="37"/>
      <c r="Z58" s="37"/>
      <c r="AA58" s="37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</row>
    <row r="59" spans="1:52" ht="39.75" hidden="1" customHeight="1" x14ac:dyDescent="0.2">
      <c r="A59" s="45" t="str">
        <f t="shared" si="0"/>
        <v/>
      </c>
      <c r="B59" s="45"/>
      <c r="C59" s="45"/>
      <c r="D59" s="45"/>
      <c r="E59" s="50"/>
      <c r="F59" s="51"/>
      <c r="G59" s="52"/>
      <c r="H59" s="52"/>
      <c r="I59" s="52" t="str">
        <f t="shared" si="1"/>
        <v/>
      </c>
      <c r="J59" s="54"/>
      <c r="K59" s="55" t="str">
        <f t="shared" ca="1" si="2"/>
        <v/>
      </c>
      <c r="L59" s="54"/>
      <c r="M59" s="54"/>
      <c r="N59" s="54"/>
      <c r="O59" s="54"/>
      <c r="P59" s="54"/>
      <c r="Q59" s="56">
        <f t="shared" ca="1" si="4"/>
        <v>1</v>
      </c>
      <c r="S59" s="38"/>
      <c r="T59" s="38"/>
      <c r="U59" s="38"/>
      <c r="V59" s="37"/>
      <c r="W59" s="37"/>
      <c r="X59" s="37"/>
      <c r="Y59" s="37"/>
      <c r="Z59" s="37"/>
      <c r="AA59" s="37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</row>
    <row r="60" spans="1:52" ht="39.75" hidden="1" customHeight="1" x14ac:dyDescent="0.2">
      <c r="A60" s="45" t="str">
        <f t="shared" si="0"/>
        <v/>
      </c>
      <c r="B60" s="45"/>
      <c r="C60" s="45"/>
      <c r="D60" s="45"/>
      <c r="E60" s="50"/>
      <c r="F60" s="51"/>
      <c r="G60" s="52"/>
      <c r="H60" s="52"/>
      <c r="I60" s="52" t="str">
        <f t="shared" si="1"/>
        <v/>
      </c>
      <c r="J60" s="45"/>
      <c r="K60" s="57" t="str">
        <f t="shared" ca="1" si="2"/>
        <v/>
      </c>
      <c r="L60" s="45"/>
      <c r="M60" s="45"/>
      <c r="N60" s="45"/>
      <c r="O60" s="45"/>
      <c r="P60" s="45"/>
      <c r="Q60" s="56">
        <f t="shared" ca="1" si="4"/>
        <v>1</v>
      </c>
      <c r="S60" s="38"/>
      <c r="T60" s="38"/>
      <c r="U60" s="38"/>
      <c r="V60" s="37"/>
      <c r="W60" s="37"/>
      <c r="X60" s="37"/>
      <c r="Y60" s="37"/>
      <c r="Z60" s="37"/>
      <c r="AA60" s="37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</row>
    <row r="61" spans="1:52" ht="39.75" hidden="1" customHeight="1" x14ac:dyDescent="0.2">
      <c r="A61" s="45" t="str">
        <f t="shared" si="0"/>
        <v/>
      </c>
      <c r="B61" s="45"/>
      <c r="C61" s="45"/>
      <c r="D61" s="45"/>
      <c r="E61" s="50"/>
      <c r="F61" s="51"/>
      <c r="G61" s="52"/>
      <c r="H61" s="52"/>
      <c r="I61" s="52" t="str">
        <f t="shared" si="1"/>
        <v/>
      </c>
      <c r="J61" s="54"/>
      <c r="K61" s="55" t="str">
        <f t="shared" ca="1" si="2"/>
        <v/>
      </c>
      <c r="L61" s="54"/>
      <c r="M61" s="54"/>
      <c r="N61" s="54"/>
      <c r="O61" s="54"/>
      <c r="P61" s="54"/>
      <c r="Q61" s="56">
        <f t="shared" ca="1" si="4"/>
        <v>1</v>
      </c>
      <c r="S61" s="38"/>
      <c r="T61" s="38"/>
      <c r="U61" s="38"/>
      <c r="V61" s="37"/>
      <c r="W61" s="37"/>
      <c r="X61" s="37"/>
      <c r="Y61" s="37"/>
      <c r="Z61" s="37"/>
      <c r="AA61" s="37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</row>
    <row r="62" spans="1:52" ht="39.75" hidden="1" customHeight="1" x14ac:dyDescent="0.2">
      <c r="A62" s="45" t="str">
        <f t="shared" si="0"/>
        <v/>
      </c>
      <c r="B62" s="45"/>
      <c r="C62" s="45"/>
      <c r="D62" s="45"/>
      <c r="E62" s="50"/>
      <c r="F62" s="51"/>
      <c r="G62" s="52"/>
      <c r="H62" s="52"/>
      <c r="I62" s="52" t="str">
        <f t="shared" si="1"/>
        <v/>
      </c>
      <c r="J62" s="45"/>
      <c r="K62" s="57" t="str">
        <f t="shared" ca="1" si="2"/>
        <v/>
      </c>
      <c r="L62" s="45"/>
      <c r="M62" s="45"/>
      <c r="N62" s="45"/>
      <c r="O62" s="45"/>
      <c r="P62" s="45"/>
      <c r="Q62" s="56">
        <f t="shared" ca="1" si="4"/>
        <v>1</v>
      </c>
      <c r="S62" s="38"/>
      <c r="T62" s="38"/>
      <c r="U62" s="38"/>
      <c r="V62" s="37"/>
      <c r="W62" s="37"/>
      <c r="X62" s="37"/>
      <c r="Y62" s="37"/>
      <c r="Z62" s="37"/>
      <c r="AA62" s="37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</row>
    <row r="63" spans="1:52" ht="39.75" hidden="1" customHeight="1" x14ac:dyDescent="0.2">
      <c r="A63" s="45" t="str">
        <f t="shared" si="0"/>
        <v/>
      </c>
      <c r="B63" s="45"/>
      <c r="C63" s="45"/>
      <c r="D63" s="45"/>
      <c r="E63" s="50"/>
      <c r="F63" s="51"/>
      <c r="G63" s="52"/>
      <c r="H63" s="52"/>
      <c r="I63" s="52" t="str">
        <f t="shared" si="1"/>
        <v/>
      </c>
      <c r="J63" s="54"/>
      <c r="K63" s="55" t="str">
        <f t="shared" ca="1" si="2"/>
        <v/>
      </c>
      <c r="L63" s="54"/>
      <c r="M63" s="54"/>
      <c r="N63" s="54"/>
      <c r="O63" s="54"/>
      <c r="P63" s="54"/>
      <c r="Q63" s="56">
        <f t="shared" ca="1" si="4"/>
        <v>1</v>
      </c>
      <c r="S63" s="38"/>
      <c r="T63" s="38"/>
      <c r="U63" s="38"/>
      <c r="V63" s="37"/>
      <c r="W63" s="37"/>
      <c r="X63" s="37"/>
      <c r="Y63" s="37"/>
      <c r="Z63" s="37"/>
      <c r="AA63" s="37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</row>
    <row r="64" spans="1:52" ht="39.75" hidden="1" customHeight="1" x14ac:dyDescent="0.2">
      <c r="A64" s="45" t="str">
        <f t="shared" si="0"/>
        <v/>
      </c>
      <c r="B64" s="45"/>
      <c r="C64" s="45"/>
      <c r="D64" s="45"/>
      <c r="E64" s="50"/>
      <c r="F64" s="51"/>
      <c r="G64" s="52"/>
      <c r="H64" s="52"/>
      <c r="I64" s="52" t="str">
        <f t="shared" si="1"/>
        <v/>
      </c>
      <c r="J64" s="45"/>
      <c r="K64" s="57" t="str">
        <f t="shared" ca="1" si="2"/>
        <v/>
      </c>
      <c r="L64" s="45"/>
      <c r="M64" s="45"/>
      <c r="N64" s="45"/>
      <c r="O64" s="45"/>
      <c r="P64" s="45"/>
      <c r="Q64" s="56">
        <f t="shared" ca="1" si="4"/>
        <v>1</v>
      </c>
      <c r="S64" s="38"/>
      <c r="T64" s="38"/>
      <c r="U64" s="38"/>
      <c r="V64" s="37"/>
      <c r="W64" s="37"/>
      <c r="X64" s="37"/>
      <c r="Y64" s="37"/>
      <c r="Z64" s="37"/>
      <c r="AA64" s="37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</row>
    <row r="65" spans="1:52" ht="39.75" hidden="1" customHeight="1" x14ac:dyDescent="0.2">
      <c r="A65" s="45" t="str">
        <f t="shared" si="0"/>
        <v/>
      </c>
      <c r="B65" s="45"/>
      <c r="C65" s="45"/>
      <c r="D65" s="45"/>
      <c r="E65" s="50"/>
      <c r="F65" s="51"/>
      <c r="G65" s="52"/>
      <c r="H65" s="52"/>
      <c r="I65" s="52" t="str">
        <f t="shared" si="1"/>
        <v/>
      </c>
      <c r="J65" s="54"/>
      <c r="K65" s="55" t="str">
        <f t="shared" ca="1" si="2"/>
        <v/>
      </c>
      <c r="L65" s="54"/>
      <c r="M65" s="54"/>
      <c r="N65" s="54"/>
      <c r="O65" s="54"/>
      <c r="P65" s="54"/>
      <c r="Q65" s="56">
        <f t="shared" ca="1" si="4"/>
        <v>1</v>
      </c>
      <c r="S65" s="38"/>
      <c r="T65" s="38"/>
      <c r="U65" s="38"/>
      <c r="V65" s="37"/>
      <c r="W65" s="37"/>
      <c r="X65" s="37"/>
      <c r="Y65" s="37"/>
      <c r="Z65" s="37"/>
      <c r="AA65" s="37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</row>
    <row r="66" spans="1:52" ht="39.75" hidden="1" customHeight="1" x14ac:dyDescent="0.2">
      <c r="A66" s="45" t="str">
        <f t="shared" si="0"/>
        <v/>
      </c>
      <c r="B66" s="45"/>
      <c r="C66" s="45"/>
      <c r="D66" s="45"/>
      <c r="E66" s="50"/>
      <c r="F66" s="51"/>
      <c r="G66" s="52"/>
      <c r="H66" s="52"/>
      <c r="I66" s="52" t="str">
        <f t="shared" si="1"/>
        <v/>
      </c>
      <c r="J66" s="45"/>
      <c r="K66" s="57" t="str">
        <f t="shared" ca="1" si="2"/>
        <v/>
      </c>
      <c r="L66" s="45"/>
      <c r="M66" s="45"/>
      <c r="N66" s="45"/>
      <c r="O66" s="45"/>
      <c r="P66" s="45"/>
      <c r="Q66" s="56">
        <f t="shared" ca="1" si="4"/>
        <v>1</v>
      </c>
      <c r="S66" s="38"/>
      <c r="T66" s="38"/>
      <c r="U66" s="38"/>
      <c r="V66" s="37"/>
      <c r="W66" s="37"/>
      <c r="X66" s="37"/>
      <c r="Y66" s="37"/>
      <c r="Z66" s="37"/>
      <c r="AA66" s="37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</row>
    <row r="67" spans="1:52" ht="39.75" hidden="1" customHeight="1" x14ac:dyDescent="0.2">
      <c r="A67" s="45" t="str">
        <f t="shared" si="0"/>
        <v/>
      </c>
      <c r="B67" s="45"/>
      <c r="C67" s="45"/>
      <c r="D67" s="45"/>
      <c r="E67" s="50"/>
      <c r="F67" s="51"/>
      <c r="G67" s="52"/>
      <c r="H67" s="52"/>
      <c r="I67" s="52" t="str">
        <f t="shared" si="1"/>
        <v/>
      </c>
      <c r="J67" s="54"/>
      <c r="K67" s="55" t="str">
        <f t="shared" ca="1" si="2"/>
        <v/>
      </c>
      <c r="L67" s="54"/>
      <c r="M67" s="54"/>
      <c r="N67" s="54"/>
      <c r="O67" s="54"/>
      <c r="P67" s="54"/>
      <c r="Q67" s="56">
        <f t="shared" ca="1" si="4"/>
        <v>1</v>
      </c>
      <c r="S67" s="38"/>
      <c r="T67" s="38"/>
      <c r="U67" s="38"/>
      <c r="V67" s="37"/>
      <c r="W67" s="37"/>
      <c r="X67" s="37"/>
      <c r="Y67" s="37"/>
      <c r="Z67" s="37"/>
      <c r="AA67" s="37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</row>
    <row r="68" spans="1:52" ht="39.75" hidden="1" customHeight="1" x14ac:dyDescent="0.2">
      <c r="A68" s="45" t="str">
        <f t="shared" si="0"/>
        <v/>
      </c>
      <c r="B68" s="45"/>
      <c r="C68" s="45"/>
      <c r="D68" s="45"/>
      <c r="E68" s="50"/>
      <c r="F68" s="51"/>
      <c r="G68" s="52"/>
      <c r="H68" s="52"/>
      <c r="I68" s="52" t="str">
        <f t="shared" si="1"/>
        <v/>
      </c>
      <c r="J68" s="45"/>
      <c r="K68" s="57" t="str">
        <f t="shared" ca="1" si="2"/>
        <v/>
      </c>
      <c r="L68" s="45"/>
      <c r="M68" s="45"/>
      <c r="N68" s="45"/>
      <c r="O68" s="45"/>
      <c r="P68" s="45"/>
      <c r="Q68" s="56">
        <f t="shared" ca="1" si="4"/>
        <v>1</v>
      </c>
      <c r="S68" s="38"/>
      <c r="T68" s="38"/>
      <c r="U68" s="38"/>
      <c r="V68" s="37"/>
      <c r="W68" s="37"/>
      <c r="X68" s="37"/>
      <c r="Y68" s="37"/>
      <c r="Z68" s="37"/>
      <c r="AA68" s="37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</row>
    <row r="69" spans="1:52" ht="39.75" hidden="1" customHeight="1" x14ac:dyDescent="0.2">
      <c r="A69" s="45" t="str">
        <f t="shared" si="0"/>
        <v/>
      </c>
      <c r="B69" s="45"/>
      <c r="C69" s="45"/>
      <c r="D69" s="45"/>
      <c r="E69" s="50"/>
      <c r="F69" s="51"/>
      <c r="G69" s="52"/>
      <c r="H69" s="52"/>
      <c r="I69" s="52" t="str">
        <f t="shared" si="1"/>
        <v/>
      </c>
      <c r="J69" s="54"/>
      <c r="K69" s="55" t="str">
        <f t="shared" ca="1" si="2"/>
        <v/>
      </c>
      <c r="L69" s="54"/>
      <c r="M69" s="54"/>
      <c r="N69" s="54"/>
      <c r="O69" s="54"/>
      <c r="P69" s="54"/>
      <c r="Q69" s="56">
        <f t="shared" ca="1" si="4"/>
        <v>1</v>
      </c>
      <c r="S69" s="38"/>
      <c r="T69" s="38"/>
      <c r="U69" s="38"/>
      <c r="V69" s="37"/>
      <c r="W69" s="37"/>
      <c r="X69" s="37"/>
      <c r="Y69" s="37"/>
      <c r="Z69" s="37"/>
      <c r="AA69" s="37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</row>
    <row r="70" spans="1:52" ht="39.75" hidden="1" customHeight="1" x14ac:dyDescent="0.2">
      <c r="A70" s="45" t="str">
        <f t="shared" ref="A70:A133" si="5">IF(F70="","",ROW()-5)</f>
        <v/>
      </c>
      <c r="B70" s="45"/>
      <c r="C70" s="45"/>
      <c r="D70" s="45"/>
      <c r="E70" s="50"/>
      <c r="F70" s="51"/>
      <c r="G70" s="52"/>
      <c r="H70" s="52"/>
      <c r="I70" s="52" t="str">
        <f t="shared" ref="I70:I133" si="6">IF(AND(LEN(F70)=18, ISBLANK(G70)=FALSE(), ISBLANK(H70)=FALSE()),37,"")</f>
        <v/>
      </c>
      <c r="J70" s="45"/>
      <c r="K70" s="57" t="str">
        <f t="shared" ref="K70:K133" ca="1" si="7">IF(OR(J70="",Q70=0),"",IF(COUNTA(L70:P70)&gt;Q70,"Seluruh pilihan telah dipilih, anda memilih lebih dari kemungkinan pilihan yang tersedia, periksa pilihan anda "&amp;"("&amp;COUNTA(L70:P70)&amp;"/"&amp;Q70&amp;")",IF(COUNTA(L70:P70)=Q70,IF(SUMPRODUCT(COUNTIF(L70:P70,L70:P70)*(L70:P70&lt;&gt;""))&gt;COUNTA(L70:P70),"Terdapat pilihan yang sama, segera ubah "&amp;"("&amp;COUNTA(L70:P70)&amp;"/"&amp;Q70&amp;")","Seluruh pilihan telah dipilih "&amp;"("&amp;COUNTA(L70:P70)&amp;"/"&amp;Q70&amp;")"),IF(COUNTA(L70:P70)&gt;0,"Masih terdapat pilihan yang bisa dipilih, silahkan melengkapi pilihan "&amp;"("&amp;COUNTA(L70:P70)&amp;"/"&amp;Q70&amp;")",""))))</f>
        <v/>
      </c>
      <c r="L70" s="45"/>
      <c r="M70" s="45"/>
      <c r="N70" s="45"/>
      <c r="O70" s="45"/>
      <c r="P70" s="45"/>
      <c r="Q70" s="56">
        <f t="shared" ref="Q70:Q105" ca="1" si="8">IFERROR(COUNTA(INDIRECT("K_"&amp;MATCH(J70,BidangList,0))),0)</f>
        <v>1</v>
      </c>
      <c r="S70" s="38"/>
      <c r="T70" s="38"/>
      <c r="U70" s="38"/>
      <c r="V70" s="37"/>
      <c r="W70" s="37"/>
      <c r="X70" s="37"/>
      <c r="Y70" s="37"/>
      <c r="Z70" s="37"/>
      <c r="AA70" s="37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</row>
    <row r="71" spans="1:52" ht="39.75" hidden="1" customHeight="1" x14ac:dyDescent="0.2">
      <c r="A71" s="45" t="str">
        <f t="shared" si="5"/>
        <v/>
      </c>
      <c r="B71" s="45"/>
      <c r="C71" s="45"/>
      <c r="D71" s="45"/>
      <c r="E71" s="50"/>
      <c r="F71" s="51"/>
      <c r="G71" s="52"/>
      <c r="H71" s="52"/>
      <c r="I71" s="52" t="str">
        <f t="shared" si="6"/>
        <v/>
      </c>
      <c r="J71" s="54"/>
      <c r="K71" s="55" t="str">
        <f t="shared" ca="1" si="7"/>
        <v/>
      </c>
      <c r="L71" s="54"/>
      <c r="M71" s="54"/>
      <c r="N71" s="54"/>
      <c r="O71" s="54"/>
      <c r="P71" s="54"/>
      <c r="Q71" s="56">
        <f t="shared" ca="1" si="8"/>
        <v>1</v>
      </c>
      <c r="S71" s="38"/>
      <c r="T71" s="38"/>
      <c r="U71" s="38"/>
      <c r="V71" s="37"/>
      <c r="W71" s="37"/>
      <c r="X71" s="37"/>
      <c r="Y71" s="37"/>
      <c r="Z71" s="37"/>
      <c r="AA71" s="37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</row>
    <row r="72" spans="1:52" ht="39.75" hidden="1" customHeight="1" x14ac:dyDescent="0.2">
      <c r="A72" s="45" t="str">
        <f t="shared" si="5"/>
        <v/>
      </c>
      <c r="B72" s="45"/>
      <c r="C72" s="45"/>
      <c r="D72" s="45"/>
      <c r="E72" s="50"/>
      <c r="F72" s="51"/>
      <c r="G72" s="52"/>
      <c r="H72" s="52"/>
      <c r="I72" s="52" t="str">
        <f t="shared" si="6"/>
        <v/>
      </c>
      <c r="J72" s="45"/>
      <c r="K72" s="57" t="str">
        <f t="shared" ca="1" si="7"/>
        <v/>
      </c>
      <c r="L72" s="45"/>
      <c r="M72" s="45"/>
      <c r="N72" s="45"/>
      <c r="O72" s="45"/>
      <c r="P72" s="45"/>
      <c r="Q72" s="56">
        <f t="shared" ca="1" si="8"/>
        <v>1</v>
      </c>
      <c r="S72" s="38"/>
      <c r="T72" s="38"/>
      <c r="U72" s="38"/>
      <c r="V72" s="37"/>
      <c r="W72" s="37"/>
      <c r="X72" s="37"/>
      <c r="Y72" s="37"/>
      <c r="Z72" s="37"/>
      <c r="AA72" s="37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</row>
    <row r="73" spans="1:52" ht="39.75" hidden="1" customHeight="1" x14ac:dyDescent="0.2">
      <c r="A73" s="45" t="str">
        <f t="shared" si="5"/>
        <v/>
      </c>
      <c r="B73" s="45"/>
      <c r="C73" s="45"/>
      <c r="D73" s="45"/>
      <c r="E73" s="50"/>
      <c r="F73" s="51"/>
      <c r="G73" s="52"/>
      <c r="H73" s="52"/>
      <c r="I73" s="52" t="str">
        <f t="shared" si="6"/>
        <v/>
      </c>
      <c r="J73" s="54"/>
      <c r="K73" s="55" t="str">
        <f t="shared" ca="1" si="7"/>
        <v/>
      </c>
      <c r="L73" s="54"/>
      <c r="M73" s="54"/>
      <c r="N73" s="54"/>
      <c r="O73" s="54"/>
      <c r="P73" s="54"/>
      <c r="Q73" s="56">
        <f t="shared" ca="1" si="8"/>
        <v>1</v>
      </c>
      <c r="S73" s="38"/>
      <c r="T73" s="38"/>
      <c r="U73" s="38"/>
      <c r="V73" s="37"/>
      <c r="W73" s="37"/>
      <c r="X73" s="37"/>
      <c r="Y73" s="37"/>
      <c r="Z73" s="37"/>
      <c r="AA73" s="37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</row>
    <row r="74" spans="1:52" ht="39.75" hidden="1" customHeight="1" x14ac:dyDescent="0.2">
      <c r="A74" s="45" t="str">
        <f t="shared" si="5"/>
        <v/>
      </c>
      <c r="B74" s="45"/>
      <c r="C74" s="45"/>
      <c r="D74" s="45"/>
      <c r="E74" s="50"/>
      <c r="F74" s="51"/>
      <c r="G74" s="52"/>
      <c r="H74" s="52"/>
      <c r="I74" s="52" t="str">
        <f t="shared" si="6"/>
        <v/>
      </c>
      <c r="J74" s="45"/>
      <c r="K74" s="57" t="str">
        <f t="shared" ca="1" si="7"/>
        <v/>
      </c>
      <c r="L74" s="45"/>
      <c r="M74" s="45"/>
      <c r="N74" s="45"/>
      <c r="O74" s="45"/>
      <c r="P74" s="45"/>
      <c r="Q74" s="56">
        <f t="shared" ca="1" si="8"/>
        <v>1</v>
      </c>
      <c r="S74" s="38"/>
      <c r="T74" s="38"/>
      <c r="U74" s="38"/>
      <c r="V74" s="37"/>
      <c r="W74" s="37"/>
      <c r="X74" s="37"/>
      <c r="Y74" s="37"/>
      <c r="Z74" s="37"/>
      <c r="AA74" s="37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</row>
    <row r="75" spans="1:52" ht="39.75" hidden="1" customHeight="1" x14ac:dyDescent="0.2">
      <c r="A75" s="45" t="str">
        <f t="shared" si="5"/>
        <v/>
      </c>
      <c r="B75" s="45"/>
      <c r="C75" s="45"/>
      <c r="D75" s="45"/>
      <c r="E75" s="50"/>
      <c r="F75" s="51"/>
      <c r="G75" s="52"/>
      <c r="H75" s="52"/>
      <c r="I75" s="52" t="str">
        <f t="shared" si="6"/>
        <v/>
      </c>
      <c r="J75" s="54"/>
      <c r="K75" s="55" t="str">
        <f t="shared" ca="1" si="7"/>
        <v/>
      </c>
      <c r="L75" s="54"/>
      <c r="M75" s="54"/>
      <c r="N75" s="54"/>
      <c r="O75" s="54"/>
      <c r="P75" s="54"/>
      <c r="Q75" s="56">
        <f t="shared" ca="1" si="8"/>
        <v>1</v>
      </c>
      <c r="S75" s="38"/>
      <c r="T75" s="38"/>
      <c r="U75" s="38"/>
      <c r="V75" s="37"/>
      <c r="W75" s="37"/>
      <c r="X75" s="37"/>
      <c r="Y75" s="37"/>
      <c r="Z75" s="37"/>
      <c r="AA75" s="37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</row>
    <row r="76" spans="1:52" ht="39.75" hidden="1" customHeight="1" x14ac:dyDescent="0.2">
      <c r="A76" s="45" t="str">
        <f t="shared" si="5"/>
        <v/>
      </c>
      <c r="B76" s="45"/>
      <c r="C76" s="45"/>
      <c r="D76" s="45"/>
      <c r="E76" s="50"/>
      <c r="F76" s="51"/>
      <c r="G76" s="52"/>
      <c r="H76" s="52"/>
      <c r="I76" s="52" t="str">
        <f t="shared" si="6"/>
        <v/>
      </c>
      <c r="J76" s="45"/>
      <c r="K76" s="57" t="str">
        <f t="shared" ca="1" si="7"/>
        <v/>
      </c>
      <c r="L76" s="45"/>
      <c r="M76" s="45"/>
      <c r="N76" s="45"/>
      <c r="O76" s="45"/>
      <c r="P76" s="45"/>
      <c r="Q76" s="56">
        <f t="shared" ca="1" si="8"/>
        <v>1</v>
      </c>
      <c r="S76" s="38"/>
      <c r="T76" s="38"/>
      <c r="U76" s="38"/>
      <c r="V76" s="37"/>
      <c r="W76" s="37"/>
      <c r="X76" s="37"/>
      <c r="Y76" s="37"/>
      <c r="Z76" s="37"/>
      <c r="AA76" s="37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</row>
    <row r="77" spans="1:52" ht="39.75" hidden="1" customHeight="1" x14ac:dyDescent="0.2">
      <c r="A77" s="45" t="str">
        <f t="shared" si="5"/>
        <v/>
      </c>
      <c r="B77" s="45"/>
      <c r="C77" s="45"/>
      <c r="D77" s="45"/>
      <c r="E77" s="50"/>
      <c r="F77" s="51"/>
      <c r="G77" s="52"/>
      <c r="H77" s="52"/>
      <c r="I77" s="52" t="str">
        <f t="shared" si="6"/>
        <v/>
      </c>
      <c r="J77" s="54"/>
      <c r="K77" s="55" t="str">
        <f t="shared" ca="1" si="7"/>
        <v/>
      </c>
      <c r="L77" s="54"/>
      <c r="M77" s="54"/>
      <c r="N77" s="54"/>
      <c r="O77" s="54"/>
      <c r="P77" s="54"/>
      <c r="Q77" s="56">
        <f t="shared" ca="1" si="8"/>
        <v>1</v>
      </c>
      <c r="S77" s="38"/>
      <c r="T77" s="38"/>
      <c r="U77" s="38"/>
      <c r="V77" s="37"/>
      <c r="W77" s="37"/>
      <c r="X77" s="37"/>
      <c r="Y77" s="37"/>
      <c r="Z77" s="37"/>
      <c r="AA77" s="37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</row>
    <row r="78" spans="1:52" ht="39.75" hidden="1" customHeight="1" x14ac:dyDescent="0.2">
      <c r="A78" s="45" t="str">
        <f t="shared" si="5"/>
        <v/>
      </c>
      <c r="B78" s="45"/>
      <c r="C78" s="45"/>
      <c r="D78" s="45"/>
      <c r="E78" s="50"/>
      <c r="F78" s="51"/>
      <c r="G78" s="52"/>
      <c r="H78" s="52"/>
      <c r="I78" s="52" t="str">
        <f t="shared" si="6"/>
        <v/>
      </c>
      <c r="J78" s="45"/>
      <c r="K78" s="57" t="str">
        <f t="shared" ca="1" si="7"/>
        <v/>
      </c>
      <c r="L78" s="45"/>
      <c r="M78" s="45"/>
      <c r="N78" s="45"/>
      <c r="O78" s="45"/>
      <c r="P78" s="45"/>
      <c r="Q78" s="56">
        <f t="shared" ca="1" si="8"/>
        <v>1</v>
      </c>
      <c r="S78" s="38"/>
      <c r="T78" s="38"/>
      <c r="U78" s="38"/>
      <c r="V78" s="37"/>
      <c r="W78" s="37"/>
      <c r="X78" s="37"/>
      <c r="Y78" s="37"/>
      <c r="Z78" s="37"/>
      <c r="AA78" s="37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</row>
    <row r="79" spans="1:52" ht="39.75" hidden="1" customHeight="1" x14ac:dyDescent="0.2">
      <c r="A79" s="45" t="str">
        <f t="shared" si="5"/>
        <v/>
      </c>
      <c r="B79" s="45"/>
      <c r="C79" s="45"/>
      <c r="D79" s="45"/>
      <c r="E79" s="50"/>
      <c r="F79" s="51"/>
      <c r="G79" s="52"/>
      <c r="H79" s="52"/>
      <c r="I79" s="52" t="str">
        <f t="shared" si="6"/>
        <v/>
      </c>
      <c r="J79" s="54"/>
      <c r="K79" s="55" t="str">
        <f t="shared" ca="1" si="7"/>
        <v/>
      </c>
      <c r="L79" s="54"/>
      <c r="M79" s="54"/>
      <c r="N79" s="54"/>
      <c r="O79" s="54"/>
      <c r="P79" s="54"/>
      <c r="Q79" s="56">
        <f t="shared" ca="1" si="8"/>
        <v>1</v>
      </c>
      <c r="S79" s="38"/>
      <c r="T79" s="38"/>
      <c r="U79" s="38"/>
      <c r="V79" s="37"/>
      <c r="W79" s="37"/>
      <c r="X79" s="37"/>
      <c r="Y79" s="37"/>
      <c r="Z79" s="37"/>
      <c r="AA79" s="37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</row>
    <row r="80" spans="1:52" ht="39.75" hidden="1" customHeight="1" x14ac:dyDescent="0.2">
      <c r="A80" s="45" t="str">
        <f t="shared" si="5"/>
        <v/>
      </c>
      <c r="B80" s="45"/>
      <c r="C80" s="45"/>
      <c r="D80" s="45"/>
      <c r="E80" s="50"/>
      <c r="F80" s="51"/>
      <c r="G80" s="52"/>
      <c r="H80" s="52"/>
      <c r="I80" s="52" t="str">
        <f t="shared" si="6"/>
        <v/>
      </c>
      <c r="J80" s="45"/>
      <c r="K80" s="57" t="str">
        <f t="shared" ca="1" si="7"/>
        <v/>
      </c>
      <c r="L80" s="45"/>
      <c r="M80" s="45"/>
      <c r="N80" s="45"/>
      <c r="O80" s="45"/>
      <c r="P80" s="45"/>
      <c r="Q80" s="56">
        <f t="shared" ca="1" si="8"/>
        <v>1</v>
      </c>
      <c r="S80" s="38"/>
      <c r="T80" s="38"/>
      <c r="U80" s="38"/>
      <c r="V80" s="37"/>
      <c r="W80" s="37"/>
      <c r="X80" s="37"/>
      <c r="Y80" s="37"/>
      <c r="Z80" s="37"/>
      <c r="AA80" s="37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</row>
    <row r="81" spans="1:52" ht="39.75" hidden="1" customHeight="1" x14ac:dyDescent="0.2">
      <c r="A81" s="45" t="str">
        <f t="shared" si="5"/>
        <v/>
      </c>
      <c r="B81" s="45"/>
      <c r="C81" s="45"/>
      <c r="D81" s="45"/>
      <c r="E81" s="50"/>
      <c r="F81" s="51"/>
      <c r="G81" s="52"/>
      <c r="H81" s="52"/>
      <c r="I81" s="52" t="str">
        <f t="shared" si="6"/>
        <v/>
      </c>
      <c r="J81" s="54"/>
      <c r="K81" s="55" t="str">
        <f t="shared" ca="1" si="7"/>
        <v/>
      </c>
      <c r="L81" s="54"/>
      <c r="M81" s="54"/>
      <c r="N81" s="54"/>
      <c r="O81" s="54"/>
      <c r="P81" s="54"/>
      <c r="Q81" s="56">
        <f t="shared" ca="1" si="8"/>
        <v>1</v>
      </c>
      <c r="S81" s="38"/>
      <c r="T81" s="38"/>
      <c r="U81" s="38"/>
      <c r="V81" s="37"/>
      <c r="W81" s="37"/>
      <c r="X81" s="37"/>
      <c r="Y81" s="37"/>
      <c r="Z81" s="37"/>
      <c r="AA81" s="37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</row>
    <row r="82" spans="1:52" ht="39.75" hidden="1" customHeight="1" x14ac:dyDescent="0.2">
      <c r="A82" s="45" t="str">
        <f t="shared" si="5"/>
        <v/>
      </c>
      <c r="B82" s="45"/>
      <c r="C82" s="45"/>
      <c r="D82" s="45"/>
      <c r="E82" s="50"/>
      <c r="F82" s="51"/>
      <c r="G82" s="52"/>
      <c r="H82" s="52"/>
      <c r="I82" s="52" t="str">
        <f t="shared" si="6"/>
        <v/>
      </c>
      <c r="J82" s="45"/>
      <c r="K82" s="57" t="str">
        <f t="shared" ca="1" si="7"/>
        <v/>
      </c>
      <c r="L82" s="45"/>
      <c r="M82" s="45"/>
      <c r="N82" s="45"/>
      <c r="O82" s="45"/>
      <c r="P82" s="45"/>
      <c r="Q82" s="56">
        <f t="shared" ca="1" si="8"/>
        <v>1</v>
      </c>
      <c r="S82" s="38"/>
      <c r="T82" s="38"/>
      <c r="U82" s="38"/>
      <c r="V82" s="37"/>
      <c r="W82" s="37"/>
      <c r="X82" s="37"/>
      <c r="Y82" s="37"/>
      <c r="Z82" s="37"/>
      <c r="AA82" s="37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</row>
    <row r="83" spans="1:52" ht="39.75" hidden="1" customHeight="1" x14ac:dyDescent="0.2">
      <c r="A83" s="45" t="str">
        <f t="shared" si="5"/>
        <v/>
      </c>
      <c r="B83" s="45"/>
      <c r="C83" s="45"/>
      <c r="D83" s="45"/>
      <c r="E83" s="50"/>
      <c r="F83" s="51"/>
      <c r="G83" s="52"/>
      <c r="H83" s="52"/>
      <c r="I83" s="52" t="str">
        <f t="shared" si="6"/>
        <v/>
      </c>
      <c r="J83" s="54"/>
      <c r="K83" s="55" t="str">
        <f t="shared" ca="1" si="7"/>
        <v/>
      </c>
      <c r="L83" s="54"/>
      <c r="M83" s="54"/>
      <c r="N83" s="54"/>
      <c r="O83" s="54"/>
      <c r="P83" s="54"/>
      <c r="Q83" s="56">
        <f t="shared" ca="1" si="8"/>
        <v>1</v>
      </c>
      <c r="S83" s="38"/>
      <c r="T83" s="38"/>
      <c r="U83" s="38"/>
      <c r="V83" s="37"/>
      <c r="W83" s="37"/>
      <c r="X83" s="37"/>
      <c r="Y83" s="37"/>
      <c r="Z83" s="37"/>
      <c r="AA83" s="37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</row>
    <row r="84" spans="1:52" ht="39.75" hidden="1" customHeight="1" x14ac:dyDescent="0.2">
      <c r="A84" s="45" t="str">
        <f t="shared" si="5"/>
        <v/>
      </c>
      <c r="B84" s="45"/>
      <c r="C84" s="45"/>
      <c r="D84" s="45"/>
      <c r="E84" s="50"/>
      <c r="F84" s="51"/>
      <c r="G84" s="52"/>
      <c r="H84" s="52"/>
      <c r="I84" s="52" t="str">
        <f t="shared" si="6"/>
        <v/>
      </c>
      <c r="J84" s="45"/>
      <c r="K84" s="57" t="str">
        <f t="shared" ca="1" si="7"/>
        <v/>
      </c>
      <c r="L84" s="45"/>
      <c r="M84" s="45"/>
      <c r="N84" s="45"/>
      <c r="O84" s="45"/>
      <c r="P84" s="45"/>
      <c r="Q84" s="56">
        <f t="shared" ca="1" si="8"/>
        <v>1</v>
      </c>
      <c r="S84" s="38"/>
      <c r="T84" s="38"/>
      <c r="U84" s="38"/>
      <c r="V84" s="37"/>
      <c r="W84" s="37"/>
      <c r="X84" s="37"/>
      <c r="Y84" s="37"/>
      <c r="Z84" s="37"/>
      <c r="AA84" s="37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</row>
    <row r="85" spans="1:52" ht="39.75" hidden="1" customHeight="1" x14ac:dyDescent="0.2">
      <c r="A85" s="45" t="str">
        <f t="shared" si="5"/>
        <v/>
      </c>
      <c r="B85" s="45"/>
      <c r="C85" s="45"/>
      <c r="D85" s="45"/>
      <c r="E85" s="50"/>
      <c r="F85" s="51"/>
      <c r="G85" s="52"/>
      <c r="H85" s="52"/>
      <c r="I85" s="52" t="str">
        <f t="shared" si="6"/>
        <v/>
      </c>
      <c r="J85" s="54"/>
      <c r="K85" s="55" t="str">
        <f t="shared" ca="1" si="7"/>
        <v/>
      </c>
      <c r="L85" s="54"/>
      <c r="M85" s="54"/>
      <c r="N85" s="54"/>
      <c r="O85" s="54"/>
      <c r="P85" s="54"/>
      <c r="Q85" s="56">
        <f t="shared" ca="1" si="8"/>
        <v>1</v>
      </c>
      <c r="S85" s="38"/>
      <c r="T85" s="38"/>
      <c r="U85" s="38"/>
      <c r="V85" s="37"/>
      <c r="W85" s="37"/>
      <c r="X85" s="37"/>
      <c r="Y85" s="37"/>
      <c r="Z85" s="37"/>
      <c r="AA85" s="37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</row>
    <row r="86" spans="1:52" ht="39.75" hidden="1" customHeight="1" x14ac:dyDescent="0.2">
      <c r="A86" s="45" t="str">
        <f t="shared" si="5"/>
        <v/>
      </c>
      <c r="B86" s="45"/>
      <c r="C86" s="45"/>
      <c r="D86" s="45"/>
      <c r="E86" s="50"/>
      <c r="F86" s="51"/>
      <c r="G86" s="52"/>
      <c r="H86" s="52"/>
      <c r="I86" s="52" t="str">
        <f t="shared" si="6"/>
        <v/>
      </c>
      <c r="J86" s="45"/>
      <c r="K86" s="57" t="str">
        <f t="shared" ca="1" si="7"/>
        <v/>
      </c>
      <c r="L86" s="45"/>
      <c r="M86" s="45"/>
      <c r="N86" s="45"/>
      <c r="O86" s="45"/>
      <c r="P86" s="45"/>
      <c r="Q86" s="56">
        <f t="shared" ca="1" si="8"/>
        <v>1</v>
      </c>
      <c r="S86" s="38"/>
      <c r="T86" s="38"/>
      <c r="U86" s="38"/>
      <c r="V86" s="37"/>
      <c r="W86" s="37"/>
      <c r="X86" s="37"/>
      <c r="Y86" s="37"/>
      <c r="Z86" s="37"/>
      <c r="AA86" s="37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</row>
    <row r="87" spans="1:52" ht="39.75" hidden="1" customHeight="1" x14ac:dyDescent="0.2">
      <c r="A87" s="45" t="str">
        <f t="shared" si="5"/>
        <v/>
      </c>
      <c r="B87" s="45"/>
      <c r="C87" s="45"/>
      <c r="D87" s="45"/>
      <c r="E87" s="50"/>
      <c r="F87" s="51"/>
      <c r="G87" s="52"/>
      <c r="H87" s="52"/>
      <c r="I87" s="52" t="str">
        <f t="shared" si="6"/>
        <v/>
      </c>
      <c r="J87" s="54"/>
      <c r="K87" s="55" t="str">
        <f t="shared" ca="1" si="7"/>
        <v/>
      </c>
      <c r="L87" s="54"/>
      <c r="M87" s="54"/>
      <c r="N87" s="54"/>
      <c r="O87" s="54"/>
      <c r="P87" s="54"/>
      <c r="Q87" s="56">
        <f t="shared" ca="1" si="8"/>
        <v>1</v>
      </c>
      <c r="S87" s="38"/>
      <c r="T87" s="38"/>
      <c r="U87" s="38"/>
      <c r="V87" s="37"/>
      <c r="W87" s="37"/>
      <c r="X87" s="37"/>
      <c r="Y87" s="37"/>
      <c r="Z87" s="37"/>
      <c r="AA87" s="37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</row>
    <row r="88" spans="1:52" ht="39.75" hidden="1" customHeight="1" x14ac:dyDescent="0.2">
      <c r="A88" s="45" t="str">
        <f t="shared" si="5"/>
        <v/>
      </c>
      <c r="B88" s="45"/>
      <c r="C88" s="45"/>
      <c r="D88" s="45"/>
      <c r="E88" s="50"/>
      <c r="F88" s="51"/>
      <c r="G88" s="52"/>
      <c r="H88" s="52"/>
      <c r="I88" s="52" t="str">
        <f t="shared" si="6"/>
        <v/>
      </c>
      <c r="J88" s="45"/>
      <c r="K88" s="57" t="str">
        <f t="shared" ca="1" si="7"/>
        <v/>
      </c>
      <c r="L88" s="45"/>
      <c r="M88" s="45"/>
      <c r="N88" s="45"/>
      <c r="O88" s="45"/>
      <c r="P88" s="45"/>
      <c r="Q88" s="56">
        <f t="shared" ca="1" si="8"/>
        <v>1</v>
      </c>
      <c r="S88" s="38"/>
      <c r="T88" s="38"/>
      <c r="U88" s="38"/>
      <c r="V88" s="37"/>
      <c r="W88" s="37"/>
      <c r="X88" s="37"/>
      <c r="Y88" s="37"/>
      <c r="Z88" s="37"/>
      <c r="AA88" s="37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</row>
    <row r="89" spans="1:52" ht="39.75" hidden="1" customHeight="1" x14ac:dyDescent="0.2">
      <c r="A89" s="45" t="str">
        <f t="shared" si="5"/>
        <v/>
      </c>
      <c r="B89" s="45"/>
      <c r="C89" s="45"/>
      <c r="D89" s="45"/>
      <c r="E89" s="50"/>
      <c r="F89" s="51"/>
      <c r="G89" s="52"/>
      <c r="H89" s="52"/>
      <c r="I89" s="52" t="str">
        <f t="shared" si="6"/>
        <v/>
      </c>
      <c r="J89" s="54"/>
      <c r="K89" s="55" t="str">
        <f t="shared" ca="1" si="7"/>
        <v/>
      </c>
      <c r="L89" s="54"/>
      <c r="M89" s="54"/>
      <c r="N89" s="54"/>
      <c r="O89" s="54"/>
      <c r="P89" s="54"/>
      <c r="Q89" s="56">
        <f t="shared" ca="1" si="8"/>
        <v>1</v>
      </c>
      <c r="S89" s="38"/>
      <c r="T89" s="38"/>
      <c r="U89" s="38"/>
      <c r="V89" s="37"/>
      <c r="W89" s="37"/>
      <c r="X89" s="37"/>
      <c r="Y89" s="37"/>
      <c r="Z89" s="37"/>
      <c r="AA89" s="37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</row>
    <row r="90" spans="1:52" ht="39.75" hidden="1" customHeight="1" x14ac:dyDescent="0.2">
      <c r="A90" s="45" t="str">
        <f t="shared" si="5"/>
        <v/>
      </c>
      <c r="B90" s="45"/>
      <c r="C90" s="45"/>
      <c r="D90" s="45"/>
      <c r="E90" s="50"/>
      <c r="F90" s="51"/>
      <c r="G90" s="52"/>
      <c r="H90" s="52"/>
      <c r="I90" s="52" t="str">
        <f t="shared" si="6"/>
        <v/>
      </c>
      <c r="J90" s="45"/>
      <c r="K90" s="57" t="str">
        <f t="shared" ca="1" si="7"/>
        <v/>
      </c>
      <c r="L90" s="45"/>
      <c r="M90" s="45"/>
      <c r="N90" s="45"/>
      <c r="O90" s="45"/>
      <c r="P90" s="45"/>
      <c r="Q90" s="56">
        <f t="shared" ca="1" si="8"/>
        <v>1</v>
      </c>
      <c r="S90" s="38"/>
      <c r="T90" s="38"/>
      <c r="U90" s="38"/>
      <c r="V90" s="37"/>
      <c r="W90" s="37"/>
      <c r="X90" s="37"/>
      <c r="Y90" s="37"/>
      <c r="Z90" s="37"/>
      <c r="AA90" s="37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</row>
    <row r="91" spans="1:52" ht="39.75" hidden="1" customHeight="1" x14ac:dyDescent="0.2">
      <c r="A91" s="45" t="str">
        <f t="shared" si="5"/>
        <v/>
      </c>
      <c r="B91" s="45"/>
      <c r="C91" s="45"/>
      <c r="D91" s="45"/>
      <c r="E91" s="50"/>
      <c r="F91" s="51"/>
      <c r="G91" s="52"/>
      <c r="H91" s="52"/>
      <c r="I91" s="52" t="str">
        <f t="shared" si="6"/>
        <v/>
      </c>
      <c r="J91" s="54"/>
      <c r="K91" s="55" t="str">
        <f t="shared" ca="1" si="7"/>
        <v/>
      </c>
      <c r="L91" s="54"/>
      <c r="M91" s="54"/>
      <c r="N91" s="54"/>
      <c r="O91" s="54"/>
      <c r="P91" s="54"/>
      <c r="Q91" s="56">
        <f t="shared" ca="1" si="8"/>
        <v>1</v>
      </c>
      <c r="S91" s="38"/>
      <c r="T91" s="38"/>
      <c r="U91" s="38"/>
      <c r="V91" s="37"/>
      <c r="W91" s="37"/>
      <c r="X91" s="37"/>
      <c r="Y91" s="37"/>
      <c r="Z91" s="37"/>
      <c r="AA91" s="37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</row>
    <row r="92" spans="1:52" ht="39.75" hidden="1" customHeight="1" x14ac:dyDescent="0.2">
      <c r="A92" s="45" t="str">
        <f t="shared" si="5"/>
        <v/>
      </c>
      <c r="B92" s="45"/>
      <c r="C92" s="45"/>
      <c r="D92" s="45"/>
      <c r="E92" s="50"/>
      <c r="F92" s="51"/>
      <c r="G92" s="52"/>
      <c r="H92" s="52"/>
      <c r="I92" s="52" t="str">
        <f t="shared" si="6"/>
        <v/>
      </c>
      <c r="J92" s="45"/>
      <c r="K92" s="57" t="str">
        <f t="shared" ca="1" si="7"/>
        <v/>
      </c>
      <c r="L92" s="45"/>
      <c r="M92" s="45"/>
      <c r="N92" s="45"/>
      <c r="O92" s="45"/>
      <c r="P92" s="45"/>
      <c r="Q92" s="56">
        <f t="shared" ca="1" si="8"/>
        <v>1</v>
      </c>
      <c r="S92" s="38"/>
      <c r="T92" s="38"/>
      <c r="U92" s="38"/>
      <c r="V92" s="37"/>
      <c r="W92" s="37"/>
      <c r="X92" s="37"/>
      <c r="Y92" s="37"/>
      <c r="Z92" s="37"/>
      <c r="AA92" s="37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</row>
    <row r="93" spans="1:52" ht="39.75" hidden="1" customHeight="1" x14ac:dyDescent="0.2">
      <c r="A93" s="45" t="str">
        <f t="shared" si="5"/>
        <v/>
      </c>
      <c r="B93" s="45"/>
      <c r="C93" s="45"/>
      <c r="D93" s="45"/>
      <c r="E93" s="50"/>
      <c r="F93" s="51"/>
      <c r="G93" s="52"/>
      <c r="H93" s="52"/>
      <c r="I93" s="52" t="str">
        <f t="shared" si="6"/>
        <v/>
      </c>
      <c r="J93" s="54"/>
      <c r="K93" s="55" t="str">
        <f t="shared" ca="1" si="7"/>
        <v/>
      </c>
      <c r="L93" s="54"/>
      <c r="M93" s="54"/>
      <c r="N93" s="54"/>
      <c r="O93" s="54"/>
      <c r="P93" s="54"/>
      <c r="Q93" s="56">
        <f t="shared" ca="1" si="8"/>
        <v>1</v>
      </c>
      <c r="S93" s="38"/>
      <c r="T93" s="38"/>
      <c r="U93" s="38"/>
      <c r="V93" s="37"/>
      <c r="W93" s="37"/>
      <c r="X93" s="37"/>
      <c r="Y93" s="37"/>
      <c r="Z93" s="37"/>
      <c r="AA93" s="37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</row>
    <row r="94" spans="1:52" ht="39.75" hidden="1" customHeight="1" x14ac:dyDescent="0.2">
      <c r="A94" s="45" t="str">
        <f t="shared" si="5"/>
        <v/>
      </c>
      <c r="B94" s="45"/>
      <c r="C94" s="45"/>
      <c r="D94" s="45"/>
      <c r="E94" s="50"/>
      <c r="F94" s="51"/>
      <c r="G94" s="52"/>
      <c r="H94" s="52"/>
      <c r="I94" s="52" t="str">
        <f t="shared" si="6"/>
        <v/>
      </c>
      <c r="J94" s="45"/>
      <c r="K94" s="57" t="str">
        <f t="shared" ca="1" si="7"/>
        <v/>
      </c>
      <c r="L94" s="45"/>
      <c r="M94" s="45"/>
      <c r="N94" s="45"/>
      <c r="O94" s="45"/>
      <c r="P94" s="45"/>
      <c r="Q94" s="56">
        <f t="shared" ca="1" si="8"/>
        <v>1</v>
      </c>
      <c r="S94" s="38"/>
      <c r="T94" s="38"/>
      <c r="U94" s="38"/>
      <c r="V94" s="37"/>
      <c r="W94" s="37"/>
      <c r="X94" s="37"/>
      <c r="Y94" s="37"/>
      <c r="Z94" s="37"/>
      <c r="AA94" s="37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</row>
    <row r="95" spans="1:52" ht="39.75" hidden="1" customHeight="1" x14ac:dyDescent="0.2">
      <c r="A95" s="45" t="str">
        <f t="shared" si="5"/>
        <v/>
      </c>
      <c r="B95" s="45"/>
      <c r="C95" s="45"/>
      <c r="D95" s="45"/>
      <c r="E95" s="50"/>
      <c r="F95" s="51"/>
      <c r="G95" s="52"/>
      <c r="H95" s="52"/>
      <c r="I95" s="52" t="str">
        <f t="shared" si="6"/>
        <v/>
      </c>
      <c r="J95" s="54"/>
      <c r="K95" s="55" t="str">
        <f t="shared" ca="1" si="7"/>
        <v/>
      </c>
      <c r="L95" s="54"/>
      <c r="M95" s="54"/>
      <c r="N95" s="54"/>
      <c r="O95" s="54"/>
      <c r="P95" s="54"/>
      <c r="Q95" s="56">
        <f t="shared" ca="1" si="8"/>
        <v>1</v>
      </c>
      <c r="S95" s="38"/>
      <c r="T95" s="38"/>
      <c r="U95" s="38"/>
      <c r="V95" s="37"/>
      <c r="W95" s="37"/>
      <c r="X95" s="37"/>
      <c r="Y95" s="37"/>
      <c r="Z95" s="37"/>
      <c r="AA95" s="37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</row>
    <row r="96" spans="1:52" ht="39.75" hidden="1" customHeight="1" x14ac:dyDescent="0.2">
      <c r="A96" s="45" t="str">
        <f t="shared" si="5"/>
        <v/>
      </c>
      <c r="B96" s="45"/>
      <c r="C96" s="45"/>
      <c r="D96" s="45"/>
      <c r="E96" s="50"/>
      <c r="F96" s="51"/>
      <c r="G96" s="52"/>
      <c r="H96" s="52"/>
      <c r="I96" s="52" t="str">
        <f t="shared" si="6"/>
        <v/>
      </c>
      <c r="J96" s="45"/>
      <c r="K96" s="57" t="str">
        <f t="shared" ca="1" si="7"/>
        <v/>
      </c>
      <c r="L96" s="45"/>
      <c r="M96" s="45"/>
      <c r="N96" s="45"/>
      <c r="O96" s="45"/>
      <c r="P96" s="45"/>
      <c r="Q96" s="56">
        <f t="shared" ca="1" si="8"/>
        <v>1</v>
      </c>
      <c r="S96" s="38"/>
      <c r="T96" s="38"/>
      <c r="U96" s="38"/>
      <c r="V96" s="37"/>
      <c r="W96" s="37"/>
      <c r="X96" s="37"/>
      <c r="Y96" s="37"/>
      <c r="Z96" s="37"/>
      <c r="AA96" s="37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</row>
    <row r="97" spans="1:52" ht="39.75" hidden="1" customHeight="1" x14ac:dyDescent="0.2">
      <c r="A97" s="45" t="str">
        <f t="shared" si="5"/>
        <v/>
      </c>
      <c r="B97" s="45"/>
      <c r="C97" s="45"/>
      <c r="D97" s="45"/>
      <c r="E97" s="50"/>
      <c r="F97" s="51"/>
      <c r="G97" s="52"/>
      <c r="H97" s="52"/>
      <c r="I97" s="52" t="str">
        <f t="shared" si="6"/>
        <v/>
      </c>
      <c r="J97" s="54"/>
      <c r="K97" s="55" t="str">
        <f t="shared" ca="1" si="7"/>
        <v/>
      </c>
      <c r="L97" s="54"/>
      <c r="M97" s="54"/>
      <c r="N97" s="54"/>
      <c r="O97" s="54"/>
      <c r="P97" s="54"/>
      <c r="Q97" s="56">
        <f t="shared" ca="1" si="8"/>
        <v>1</v>
      </c>
      <c r="S97" s="38"/>
      <c r="T97" s="38"/>
      <c r="U97" s="38"/>
      <c r="V97" s="37"/>
      <c r="W97" s="37"/>
      <c r="X97" s="37"/>
      <c r="Y97" s="37"/>
      <c r="Z97" s="37"/>
      <c r="AA97" s="37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</row>
    <row r="98" spans="1:52" ht="39.75" hidden="1" customHeight="1" x14ac:dyDescent="0.2">
      <c r="A98" s="45" t="str">
        <f t="shared" si="5"/>
        <v/>
      </c>
      <c r="B98" s="45"/>
      <c r="C98" s="45"/>
      <c r="D98" s="45"/>
      <c r="E98" s="50"/>
      <c r="F98" s="51"/>
      <c r="G98" s="52"/>
      <c r="H98" s="52"/>
      <c r="I98" s="52" t="str">
        <f t="shared" si="6"/>
        <v/>
      </c>
      <c r="J98" s="45"/>
      <c r="K98" s="57" t="str">
        <f t="shared" ca="1" si="7"/>
        <v/>
      </c>
      <c r="L98" s="45"/>
      <c r="M98" s="45"/>
      <c r="N98" s="45"/>
      <c r="O98" s="45"/>
      <c r="P98" s="45"/>
      <c r="Q98" s="56">
        <f t="shared" ca="1" si="8"/>
        <v>1</v>
      </c>
      <c r="S98" s="38"/>
      <c r="T98" s="38"/>
      <c r="U98" s="38"/>
      <c r="V98" s="37"/>
      <c r="W98" s="37"/>
      <c r="X98" s="37"/>
      <c r="Y98" s="37"/>
      <c r="Z98" s="37"/>
      <c r="AA98" s="37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</row>
    <row r="99" spans="1:52" ht="39.75" hidden="1" customHeight="1" x14ac:dyDescent="0.2">
      <c r="A99" s="45" t="str">
        <f t="shared" si="5"/>
        <v/>
      </c>
      <c r="B99" s="45"/>
      <c r="C99" s="45"/>
      <c r="D99" s="45"/>
      <c r="E99" s="50"/>
      <c r="F99" s="51"/>
      <c r="G99" s="52"/>
      <c r="H99" s="52"/>
      <c r="I99" s="52" t="str">
        <f t="shared" si="6"/>
        <v/>
      </c>
      <c r="J99" s="54"/>
      <c r="K99" s="55" t="str">
        <f t="shared" ca="1" si="7"/>
        <v/>
      </c>
      <c r="L99" s="54"/>
      <c r="M99" s="54"/>
      <c r="N99" s="54"/>
      <c r="O99" s="54"/>
      <c r="P99" s="54"/>
      <c r="Q99" s="56">
        <f t="shared" ca="1" si="8"/>
        <v>1</v>
      </c>
      <c r="S99" s="38"/>
      <c r="T99" s="38"/>
      <c r="U99" s="38"/>
      <c r="V99" s="37"/>
      <c r="W99" s="37"/>
      <c r="X99" s="37"/>
      <c r="Y99" s="37"/>
      <c r="Z99" s="37"/>
      <c r="AA99" s="37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</row>
    <row r="100" spans="1:52" ht="39.75" hidden="1" customHeight="1" x14ac:dyDescent="0.2">
      <c r="A100" s="45" t="str">
        <f t="shared" si="5"/>
        <v/>
      </c>
      <c r="B100" s="45"/>
      <c r="C100" s="45"/>
      <c r="D100" s="45"/>
      <c r="E100" s="50"/>
      <c r="F100" s="51"/>
      <c r="G100" s="52"/>
      <c r="H100" s="52"/>
      <c r="I100" s="52" t="str">
        <f t="shared" si="6"/>
        <v/>
      </c>
      <c r="J100" s="45"/>
      <c r="K100" s="57" t="str">
        <f t="shared" ca="1" si="7"/>
        <v/>
      </c>
      <c r="L100" s="45"/>
      <c r="M100" s="45"/>
      <c r="N100" s="45"/>
      <c r="O100" s="45"/>
      <c r="P100" s="45"/>
      <c r="Q100" s="56">
        <f t="shared" ca="1" si="8"/>
        <v>1</v>
      </c>
      <c r="S100" s="38"/>
      <c r="T100" s="38"/>
      <c r="U100" s="38"/>
      <c r="V100" s="37"/>
      <c r="W100" s="37"/>
      <c r="X100" s="37"/>
      <c r="Y100" s="37"/>
      <c r="Z100" s="37"/>
      <c r="AA100" s="37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</row>
    <row r="101" spans="1:52" ht="39.75" hidden="1" customHeight="1" x14ac:dyDescent="0.2">
      <c r="A101" s="45" t="str">
        <f t="shared" si="5"/>
        <v/>
      </c>
      <c r="B101" s="45"/>
      <c r="C101" s="45"/>
      <c r="D101" s="45"/>
      <c r="E101" s="50"/>
      <c r="F101" s="51"/>
      <c r="G101" s="52"/>
      <c r="H101" s="52"/>
      <c r="I101" s="52" t="str">
        <f t="shared" si="6"/>
        <v/>
      </c>
      <c r="J101" s="54"/>
      <c r="K101" s="55" t="str">
        <f t="shared" ca="1" si="7"/>
        <v/>
      </c>
      <c r="L101" s="54"/>
      <c r="M101" s="54"/>
      <c r="N101" s="54"/>
      <c r="O101" s="54"/>
      <c r="P101" s="54"/>
      <c r="Q101" s="56">
        <f t="shared" ca="1" si="8"/>
        <v>1</v>
      </c>
      <c r="S101" s="38"/>
      <c r="T101" s="38"/>
      <c r="U101" s="38"/>
      <c r="V101" s="37"/>
      <c r="W101" s="37"/>
      <c r="X101" s="37"/>
      <c r="Y101" s="37"/>
      <c r="Z101" s="37"/>
      <c r="AA101" s="37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</row>
    <row r="102" spans="1:52" ht="39.75" hidden="1" customHeight="1" x14ac:dyDescent="0.2">
      <c r="A102" s="45" t="str">
        <f t="shared" si="5"/>
        <v/>
      </c>
      <c r="B102" s="45"/>
      <c r="C102" s="45"/>
      <c r="D102" s="45"/>
      <c r="E102" s="50"/>
      <c r="F102" s="51"/>
      <c r="G102" s="52"/>
      <c r="H102" s="52"/>
      <c r="I102" s="52" t="str">
        <f t="shared" si="6"/>
        <v/>
      </c>
      <c r="J102" s="45"/>
      <c r="K102" s="57" t="str">
        <f t="shared" ca="1" si="7"/>
        <v/>
      </c>
      <c r="L102" s="45"/>
      <c r="M102" s="45"/>
      <c r="N102" s="45"/>
      <c r="O102" s="45"/>
      <c r="P102" s="45"/>
      <c r="Q102" s="56">
        <f t="shared" ca="1" si="8"/>
        <v>1</v>
      </c>
      <c r="S102" s="38"/>
      <c r="T102" s="38"/>
      <c r="U102" s="38"/>
      <c r="V102" s="37"/>
      <c r="W102" s="37"/>
      <c r="X102" s="37"/>
      <c r="Y102" s="37"/>
      <c r="Z102" s="37"/>
      <c r="AA102" s="37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</row>
    <row r="103" spans="1:52" ht="39.75" hidden="1" customHeight="1" x14ac:dyDescent="0.2">
      <c r="A103" s="45" t="str">
        <f t="shared" si="5"/>
        <v/>
      </c>
      <c r="B103" s="45"/>
      <c r="C103" s="45"/>
      <c r="D103" s="45"/>
      <c r="E103" s="50"/>
      <c r="F103" s="51"/>
      <c r="G103" s="52"/>
      <c r="H103" s="52"/>
      <c r="I103" s="52" t="str">
        <f t="shared" si="6"/>
        <v/>
      </c>
      <c r="J103" s="54"/>
      <c r="K103" s="55" t="str">
        <f t="shared" ca="1" si="7"/>
        <v/>
      </c>
      <c r="L103" s="54"/>
      <c r="M103" s="54"/>
      <c r="N103" s="54"/>
      <c r="O103" s="54"/>
      <c r="P103" s="54"/>
      <c r="Q103" s="56">
        <f t="shared" ca="1" si="8"/>
        <v>1</v>
      </c>
      <c r="S103" s="38"/>
      <c r="T103" s="38"/>
      <c r="U103" s="38"/>
      <c r="V103" s="37"/>
      <c r="W103" s="37"/>
      <c r="X103" s="37"/>
      <c r="Y103" s="37"/>
      <c r="Z103" s="37"/>
      <c r="AA103" s="37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</row>
    <row r="104" spans="1:52" ht="39.75" hidden="1" customHeight="1" x14ac:dyDescent="0.2">
      <c r="A104" s="45" t="str">
        <f t="shared" si="5"/>
        <v/>
      </c>
      <c r="B104" s="45"/>
      <c r="C104" s="45"/>
      <c r="D104" s="45"/>
      <c r="E104" s="50"/>
      <c r="F104" s="51"/>
      <c r="G104" s="52"/>
      <c r="H104" s="52"/>
      <c r="I104" s="52" t="str">
        <f t="shared" si="6"/>
        <v/>
      </c>
      <c r="J104" s="45"/>
      <c r="K104" s="57" t="str">
        <f t="shared" ca="1" si="7"/>
        <v/>
      </c>
      <c r="L104" s="45"/>
      <c r="M104" s="45"/>
      <c r="N104" s="45"/>
      <c r="O104" s="45"/>
      <c r="P104" s="45"/>
      <c r="Q104" s="56">
        <f t="shared" ca="1" si="8"/>
        <v>1</v>
      </c>
      <c r="S104" s="38"/>
      <c r="T104" s="38"/>
      <c r="U104" s="38"/>
      <c r="V104" s="37"/>
      <c r="W104" s="37"/>
      <c r="X104" s="37"/>
      <c r="Y104" s="37"/>
      <c r="Z104" s="37"/>
      <c r="AA104" s="37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</row>
    <row r="105" spans="1:52" ht="39.75" hidden="1" customHeight="1" x14ac:dyDescent="0.2">
      <c r="A105" s="45" t="str">
        <f t="shared" si="5"/>
        <v/>
      </c>
      <c r="B105" s="45"/>
      <c r="C105" s="45"/>
      <c r="D105" s="45"/>
      <c r="E105" s="50"/>
      <c r="F105" s="51"/>
      <c r="G105" s="52"/>
      <c r="H105" s="52"/>
      <c r="I105" s="52" t="str">
        <f t="shared" si="6"/>
        <v/>
      </c>
      <c r="J105" s="54"/>
      <c r="K105" s="55" t="str">
        <f t="shared" ca="1" si="7"/>
        <v/>
      </c>
      <c r="L105" s="54"/>
      <c r="M105" s="54"/>
      <c r="N105" s="54"/>
      <c r="O105" s="54"/>
      <c r="P105" s="54"/>
      <c r="Q105" s="56">
        <f t="shared" ca="1" si="8"/>
        <v>1</v>
      </c>
      <c r="S105" s="38"/>
      <c r="T105" s="38"/>
      <c r="U105" s="38"/>
      <c r="V105" s="37"/>
      <c r="W105" s="37"/>
      <c r="X105" s="37"/>
      <c r="Y105" s="37"/>
      <c r="Z105" s="37"/>
      <c r="AA105" s="37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</row>
    <row r="106" spans="1:52" ht="39.75" hidden="1" customHeight="1" x14ac:dyDescent="0.2">
      <c r="A106" s="45" t="str">
        <f t="shared" si="5"/>
        <v/>
      </c>
      <c r="B106" s="45"/>
      <c r="C106" s="45"/>
      <c r="D106" s="45"/>
      <c r="E106" s="50"/>
      <c r="F106" s="51"/>
      <c r="G106" s="52"/>
      <c r="H106" s="52"/>
      <c r="I106" s="52" t="str">
        <f t="shared" si="6"/>
        <v/>
      </c>
      <c r="J106" s="54"/>
      <c r="K106" s="55" t="str">
        <f t="shared" si="7"/>
        <v/>
      </c>
      <c r="L106" s="54"/>
      <c r="M106" s="54"/>
      <c r="N106" s="54"/>
      <c r="O106" s="54"/>
      <c r="P106" s="54"/>
      <c r="S106" s="38"/>
      <c r="T106" s="38"/>
      <c r="U106" s="38"/>
      <c r="V106" s="37"/>
      <c r="W106" s="37"/>
      <c r="X106" s="37"/>
      <c r="Y106" s="37"/>
      <c r="Z106" s="37"/>
      <c r="AA106" s="37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</row>
    <row r="107" spans="1:52" ht="39.75" hidden="1" customHeight="1" x14ac:dyDescent="0.2">
      <c r="A107" s="45" t="str">
        <f t="shared" si="5"/>
        <v/>
      </c>
      <c r="B107" s="45"/>
      <c r="C107" s="45"/>
      <c r="D107" s="45"/>
      <c r="E107" s="50"/>
      <c r="F107" s="51"/>
      <c r="G107" s="52"/>
      <c r="H107" s="52"/>
      <c r="I107" s="52" t="str">
        <f t="shared" si="6"/>
        <v/>
      </c>
      <c r="J107" s="54"/>
      <c r="K107" s="55" t="str">
        <f t="shared" si="7"/>
        <v/>
      </c>
      <c r="L107" s="54"/>
      <c r="M107" s="54"/>
      <c r="N107" s="54"/>
      <c r="O107" s="54"/>
      <c r="P107" s="54"/>
      <c r="S107" s="38"/>
      <c r="T107" s="38"/>
      <c r="U107" s="38"/>
      <c r="V107" s="37"/>
      <c r="W107" s="37"/>
      <c r="X107" s="37"/>
      <c r="Y107" s="37"/>
      <c r="Z107" s="37"/>
      <c r="AA107" s="37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</row>
    <row r="108" spans="1:52" ht="39.75" hidden="1" customHeight="1" x14ac:dyDescent="0.2">
      <c r="A108" s="45" t="str">
        <f t="shared" si="5"/>
        <v/>
      </c>
      <c r="B108" s="45"/>
      <c r="C108" s="45"/>
      <c r="D108" s="45"/>
      <c r="E108" s="50"/>
      <c r="F108" s="51"/>
      <c r="G108" s="52"/>
      <c r="H108" s="52"/>
      <c r="I108" s="52" t="str">
        <f t="shared" si="6"/>
        <v/>
      </c>
      <c r="J108" s="54"/>
      <c r="K108" s="55" t="str">
        <f t="shared" si="7"/>
        <v/>
      </c>
      <c r="L108" s="54"/>
      <c r="M108" s="54"/>
      <c r="N108" s="54"/>
      <c r="O108" s="54"/>
      <c r="P108" s="54"/>
      <c r="S108" s="38"/>
      <c r="T108" s="38"/>
      <c r="U108" s="38"/>
      <c r="V108" s="37"/>
      <c r="W108" s="37"/>
      <c r="X108" s="37"/>
      <c r="Y108" s="37"/>
      <c r="Z108" s="37"/>
      <c r="AA108" s="37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</row>
    <row r="109" spans="1:52" ht="39.75" hidden="1" customHeight="1" x14ac:dyDescent="0.2">
      <c r="A109" s="45" t="str">
        <f t="shared" si="5"/>
        <v/>
      </c>
      <c r="B109" s="45"/>
      <c r="C109" s="45"/>
      <c r="D109" s="45"/>
      <c r="E109" s="50"/>
      <c r="F109" s="51"/>
      <c r="G109" s="52"/>
      <c r="H109" s="52"/>
      <c r="I109" s="52" t="str">
        <f t="shared" si="6"/>
        <v/>
      </c>
      <c r="J109" s="54"/>
      <c r="K109" s="55" t="str">
        <f t="shared" si="7"/>
        <v/>
      </c>
      <c r="L109" s="54"/>
      <c r="M109" s="54"/>
      <c r="N109" s="54"/>
      <c r="O109" s="54"/>
      <c r="P109" s="54"/>
      <c r="S109" s="38"/>
      <c r="T109" s="38"/>
      <c r="U109" s="38"/>
      <c r="V109" s="37"/>
      <c r="W109" s="37"/>
      <c r="X109" s="37"/>
      <c r="Y109" s="37"/>
      <c r="Z109" s="37"/>
      <c r="AA109" s="37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</row>
    <row r="110" spans="1:52" ht="39.75" hidden="1" customHeight="1" x14ac:dyDescent="0.2">
      <c r="A110" s="45" t="str">
        <f t="shared" si="5"/>
        <v/>
      </c>
      <c r="B110" s="45"/>
      <c r="C110" s="45"/>
      <c r="D110" s="45"/>
      <c r="E110" s="50"/>
      <c r="F110" s="51"/>
      <c r="G110" s="52"/>
      <c r="H110" s="52"/>
      <c r="I110" s="52" t="str">
        <f t="shared" si="6"/>
        <v/>
      </c>
      <c r="J110" s="54"/>
      <c r="K110" s="55" t="str">
        <f t="shared" si="7"/>
        <v/>
      </c>
      <c r="L110" s="54"/>
      <c r="M110" s="54"/>
      <c r="N110" s="54"/>
      <c r="O110" s="54"/>
      <c r="P110" s="54"/>
      <c r="S110" s="38"/>
      <c r="T110" s="38"/>
      <c r="U110" s="38"/>
      <c r="V110" s="37"/>
      <c r="W110" s="37"/>
      <c r="X110" s="37"/>
      <c r="Y110" s="37"/>
      <c r="Z110" s="37"/>
      <c r="AA110" s="37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</row>
    <row r="111" spans="1:52" ht="39.75" hidden="1" customHeight="1" x14ac:dyDescent="0.2">
      <c r="A111" s="45" t="str">
        <f t="shared" si="5"/>
        <v/>
      </c>
      <c r="B111" s="45"/>
      <c r="C111" s="45"/>
      <c r="D111" s="45"/>
      <c r="E111" s="50"/>
      <c r="F111" s="51"/>
      <c r="G111" s="52"/>
      <c r="H111" s="52"/>
      <c r="I111" s="52" t="str">
        <f t="shared" si="6"/>
        <v/>
      </c>
      <c r="J111" s="54"/>
      <c r="K111" s="55" t="str">
        <f t="shared" si="7"/>
        <v/>
      </c>
      <c r="L111" s="54"/>
      <c r="M111" s="54"/>
      <c r="N111" s="54"/>
      <c r="O111" s="54"/>
      <c r="P111" s="54"/>
      <c r="S111" s="38"/>
      <c r="T111" s="38"/>
      <c r="U111" s="38"/>
      <c r="V111" s="37"/>
      <c r="W111" s="37"/>
      <c r="X111" s="37"/>
      <c r="Y111" s="37"/>
      <c r="Z111" s="37"/>
      <c r="AA111" s="37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</row>
    <row r="112" spans="1:52" ht="39.75" hidden="1" customHeight="1" x14ac:dyDescent="0.2">
      <c r="A112" s="45" t="str">
        <f t="shared" si="5"/>
        <v/>
      </c>
      <c r="B112" s="45"/>
      <c r="C112" s="45"/>
      <c r="D112" s="45"/>
      <c r="E112" s="50"/>
      <c r="F112" s="51"/>
      <c r="G112" s="52"/>
      <c r="H112" s="52"/>
      <c r="I112" s="52" t="str">
        <f t="shared" si="6"/>
        <v/>
      </c>
      <c r="J112" s="54"/>
      <c r="K112" s="55" t="str">
        <f t="shared" si="7"/>
        <v/>
      </c>
      <c r="L112" s="54"/>
      <c r="M112" s="54"/>
      <c r="N112" s="54"/>
      <c r="O112" s="54"/>
      <c r="P112" s="54"/>
      <c r="S112" s="38"/>
      <c r="T112" s="38"/>
      <c r="U112" s="38"/>
      <c r="V112" s="37"/>
      <c r="W112" s="37"/>
      <c r="X112" s="37"/>
      <c r="Y112" s="37"/>
      <c r="Z112" s="37"/>
      <c r="AA112" s="37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</row>
    <row r="113" spans="1:52" ht="39.75" hidden="1" customHeight="1" x14ac:dyDescent="0.2">
      <c r="A113" s="45" t="str">
        <f t="shared" si="5"/>
        <v/>
      </c>
      <c r="B113" s="45"/>
      <c r="C113" s="45"/>
      <c r="D113" s="45"/>
      <c r="E113" s="50"/>
      <c r="F113" s="51"/>
      <c r="G113" s="52"/>
      <c r="H113" s="52"/>
      <c r="I113" s="52" t="str">
        <f t="shared" si="6"/>
        <v/>
      </c>
      <c r="J113" s="54"/>
      <c r="K113" s="55" t="str">
        <f t="shared" si="7"/>
        <v/>
      </c>
      <c r="L113" s="54"/>
      <c r="M113" s="54"/>
      <c r="N113" s="54"/>
      <c r="O113" s="54"/>
      <c r="P113" s="54"/>
      <c r="S113" s="38"/>
      <c r="T113" s="38"/>
      <c r="U113" s="38"/>
      <c r="V113" s="37"/>
      <c r="W113" s="37"/>
      <c r="X113" s="37"/>
      <c r="Y113" s="37"/>
      <c r="Z113" s="37"/>
      <c r="AA113" s="37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</row>
    <row r="114" spans="1:52" ht="39.75" hidden="1" customHeight="1" x14ac:dyDescent="0.2">
      <c r="A114" s="45" t="str">
        <f t="shared" si="5"/>
        <v/>
      </c>
      <c r="B114" s="45"/>
      <c r="C114" s="45"/>
      <c r="D114" s="45"/>
      <c r="E114" s="50"/>
      <c r="F114" s="51"/>
      <c r="G114" s="52"/>
      <c r="H114" s="52"/>
      <c r="I114" s="52" t="str">
        <f t="shared" si="6"/>
        <v/>
      </c>
      <c r="J114" s="54"/>
      <c r="K114" s="55" t="str">
        <f t="shared" si="7"/>
        <v/>
      </c>
      <c r="L114" s="54"/>
      <c r="M114" s="54"/>
      <c r="N114" s="54"/>
      <c r="O114" s="54"/>
      <c r="P114" s="54"/>
      <c r="S114" s="38"/>
      <c r="T114" s="38"/>
      <c r="U114" s="38"/>
      <c r="V114" s="37"/>
      <c r="W114" s="37"/>
      <c r="X114" s="37"/>
      <c r="Y114" s="37"/>
      <c r="Z114" s="37"/>
      <c r="AA114" s="37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</row>
    <row r="115" spans="1:52" ht="39.75" hidden="1" customHeight="1" x14ac:dyDescent="0.2">
      <c r="A115" s="45" t="str">
        <f t="shared" si="5"/>
        <v/>
      </c>
      <c r="B115" s="45"/>
      <c r="C115" s="45"/>
      <c r="D115" s="45"/>
      <c r="E115" s="50"/>
      <c r="F115" s="51"/>
      <c r="G115" s="52"/>
      <c r="H115" s="52"/>
      <c r="I115" s="52" t="str">
        <f t="shared" si="6"/>
        <v/>
      </c>
      <c r="J115" s="54"/>
      <c r="K115" s="55" t="str">
        <f t="shared" si="7"/>
        <v/>
      </c>
      <c r="L115" s="54"/>
      <c r="M115" s="54"/>
      <c r="N115" s="54"/>
      <c r="O115" s="54"/>
      <c r="P115" s="54"/>
      <c r="S115" s="38"/>
      <c r="T115" s="38"/>
      <c r="U115" s="38"/>
      <c r="V115" s="37"/>
      <c r="W115" s="37"/>
      <c r="X115" s="37"/>
      <c r="Y115" s="37"/>
      <c r="Z115" s="37"/>
      <c r="AA115" s="37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</row>
    <row r="116" spans="1:52" ht="39.75" hidden="1" customHeight="1" x14ac:dyDescent="0.2">
      <c r="A116" s="45" t="str">
        <f t="shared" si="5"/>
        <v/>
      </c>
      <c r="B116" s="45"/>
      <c r="C116" s="45"/>
      <c r="D116" s="45"/>
      <c r="E116" s="50"/>
      <c r="F116" s="51"/>
      <c r="G116" s="52"/>
      <c r="H116" s="52"/>
      <c r="I116" s="52" t="str">
        <f t="shared" si="6"/>
        <v/>
      </c>
      <c r="J116" s="54"/>
      <c r="K116" s="55" t="str">
        <f t="shared" si="7"/>
        <v/>
      </c>
      <c r="L116" s="54"/>
      <c r="M116" s="54"/>
      <c r="N116" s="54"/>
      <c r="O116" s="54"/>
      <c r="P116" s="54"/>
      <c r="S116" s="38"/>
      <c r="T116" s="38"/>
      <c r="U116" s="38"/>
      <c r="V116" s="37"/>
      <c r="W116" s="37"/>
      <c r="X116" s="37"/>
      <c r="Y116" s="37"/>
      <c r="Z116" s="37"/>
      <c r="AA116" s="37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</row>
    <row r="117" spans="1:52" ht="39.75" hidden="1" customHeight="1" x14ac:dyDescent="0.2">
      <c r="A117" s="45" t="str">
        <f t="shared" si="5"/>
        <v/>
      </c>
      <c r="B117" s="45"/>
      <c r="C117" s="45"/>
      <c r="D117" s="45"/>
      <c r="E117" s="50"/>
      <c r="F117" s="51"/>
      <c r="G117" s="52"/>
      <c r="H117" s="52"/>
      <c r="I117" s="52" t="str">
        <f t="shared" si="6"/>
        <v/>
      </c>
      <c r="J117" s="54"/>
      <c r="K117" s="55" t="str">
        <f t="shared" si="7"/>
        <v/>
      </c>
      <c r="L117" s="54"/>
      <c r="M117" s="54"/>
      <c r="N117" s="54"/>
      <c r="O117" s="54"/>
      <c r="P117" s="54"/>
      <c r="S117" s="38"/>
      <c r="T117" s="38"/>
      <c r="U117" s="38"/>
      <c r="V117" s="37"/>
      <c r="W117" s="37"/>
      <c r="X117" s="37"/>
      <c r="Y117" s="37"/>
      <c r="Z117" s="37"/>
      <c r="AA117" s="37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</row>
    <row r="118" spans="1:52" ht="39.75" hidden="1" customHeight="1" x14ac:dyDescent="0.2">
      <c r="A118" s="45" t="str">
        <f t="shared" si="5"/>
        <v/>
      </c>
      <c r="B118" s="45"/>
      <c r="C118" s="45"/>
      <c r="D118" s="45"/>
      <c r="E118" s="50"/>
      <c r="F118" s="51"/>
      <c r="G118" s="52"/>
      <c r="H118" s="52"/>
      <c r="I118" s="52" t="str">
        <f t="shared" si="6"/>
        <v/>
      </c>
      <c r="J118" s="54"/>
      <c r="K118" s="55" t="str">
        <f t="shared" si="7"/>
        <v/>
      </c>
      <c r="L118" s="54"/>
      <c r="M118" s="54"/>
      <c r="N118" s="54"/>
      <c r="O118" s="54"/>
      <c r="P118" s="54"/>
      <c r="S118" s="38"/>
      <c r="T118" s="38"/>
      <c r="U118" s="38"/>
      <c r="V118" s="37"/>
      <c r="W118" s="37"/>
      <c r="X118" s="37"/>
      <c r="Y118" s="37"/>
      <c r="Z118" s="37"/>
      <c r="AA118" s="37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</row>
    <row r="119" spans="1:52" ht="39.75" hidden="1" customHeight="1" x14ac:dyDescent="0.2">
      <c r="A119" s="45" t="str">
        <f t="shared" si="5"/>
        <v/>
      </c>
      <c r="B119" s="45"/>
      <c r="C119" s="45"/>
      <c r="D119" s="45"/>
      <c r="E119" s="50"/>
      <c r="F119" s="51"/>
      <c r="G119" s="52"/>
      <c r="H119" s="52"/>
      <c r="I119" s="52" t="str">
        <f t="shared" si="6"/>
        <v/>
      </c>
      <c r="J119" s="54"/>
      <c r="K119" s="55" t="str">
        <f t="shared" si="7"/>
        <v/>
      </c>
      <c r="L119" s="54"/>
      <c r="M119" s="54"/>
      <c r="N119" s="54"/>
      <c r="O119" s="54"/>
      <c r="P119" s="54"/>
      <c r="S119" s="38"/>
      <c r="T119" s="38"/>
      <c r="U119" s="38"/>
      <c r="V119" s="37"/>
      <c r="W119" s="37"/>
      <c r="X119" s="37"/>
      <c r="Y119" s="37"/>
      <c r="Z119" s="37"/>
      <c r="AA119" s="37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</row>
    <row r="120" spans="1:52" ht="39.75" hidden="1" customHeight="1" x14ac:dyDescent="0.2">
      <c r="A120" s="45" t="str">
        <f t="shared" si="5"/>
        <v/>
      </c>
      <c r="B120" s="45"/>
      <c r="C120" s="45"/>
      <c r="D120" s="45"/>
      <c r="E120" s="50"/>
      <c r="F120" s="51"/>
      <c r="G120" s="52"/>
      <c r="H120" s="52"/>
      <c r="I120" s="52" t="str">
        <f t="shared" si="6"/>
        <v/>
      </c>
      <c r="J120" s="54"/>
      <c r="K120" s="55" t="str">
        <f t="shared" si="7"/>
        <v/>
      </c>
      <c r="L120" s="54"/>
      <c r="M120" s="54"/>
      <c r="N120" s="54"/>
      <c r="O120" s="54"/>
      <c r="P120" s="54"/>
      <c r="S120" s="38"/>
      <c r="T120" s="38"/>
      <c r="U120" s="38"/>
      <c r="V120" s="37"/>
      <c r="W120" s="37"/>
      <c r="X120" s="37"/>
      <c r="Y120" s="37"/>
      <c r="Z120" s="37"/>
      <c r="AA120" s="37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</row>
    <row r="121" spans="1:52" ht="39.75" hidden="1" customHeight="1" x14ac:dyDescent="0.2">
      <c r="A121" s="45" t="str">
        <f t="shared" si="5"/>
        <v/>
      </c>
      <c r="B121" s="45"/>
      <c r="C121" s="45"/>
      <c r="D121" s="45"/>
      <c r="E121" s="50"/>
      <c r="F121" s="51"/>
      <c r="G121" s="52"/>
      <c r="H121" s="52"/>
      <c r="I121" s="52" t="str">
        <f t="shared" si="6"/>
        <v/>
      </c>
      <c r="J121" s="54"/>
      <c r="K121" s="55" t="str">
        <f t="shared" si="7"/>
        <v/>
      </c>
      <c r="L121" s="54"/>
      <c r="M121" s="54"/>
      <c r="N121" s="54"/>
      <c r="O121" s="54"/>
      <c r="P121" s="54"/>
      <c r="S121" s="38"/>
      <c r="T121" s="38"/>
      <c r="U121" s="38"/>
      <c r="V121" s="37"/>
      <c r="W121" s="37"/>
      <c r="X121" s="37"/>
      <c r="Y121" s="37"/>
      <c r="Z121" s="37"/>
      <c r="AA121" s="37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</row>
    <row r="122" spans="1:52" ht="39.75" hidden="1" customHeight="1" x14ac:dyDescent="0.2">
      <c r="A122" s="45" t="str">
        <f t="shared" si="5"/>
        <v/>
      </c>
      <c r="B122" s="45"/>
      <c r="C122" s="45"/>
      <c r="D122" s="45"/>
      <c r="E122" s="50"/>
      <c r="F122" s="51"/>
      <c r="G122" s="52"/>
      <c r="H122" s="52"/>
      <c r="I122" s="52" t="str">
        <f t="shared" si="6"/>
        <v/>
      </c>
      <c r="J122" s="54"/>
      <c r="K122" s="55" t="str">
        <f t="shared" si="7"/>
        <v/>
      </c>
      <c r="L122" s="54"/>
      <c r="M122" s="54"/>
      <c r="N122" s="54"/>
      <c r="O122" s="54"/>
      <c r="P122" s="54"/>
      <c r="S122" s="38"/>
      <c r="T122" s="38"/>
      <c r="U122" s="38"/>
      <c r="V122" s="37"/>
      <c r="W122" s="37"/>
      <c r="X122" s="37"/>
      <c r="Y122" s="37"/>
      <c r="Z122" s="37"/>
      <c r="AA122" s="37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</row>
    <row r="123" spans="1:52" ht="39.75" hidden="1" customHeight="1" x14ac:dyDescent="0.2">
      <c r="A123" s="45" t="str">
        <f t="shared" si="5"/>
        <v/>
      </c>
      <c r="B123" s="45"/>
      <c r="C123" s="45"/>
      <c r="D123" s="45"/>
      <c r="E123" s="50"/>
      <c r="F123" s="51"/>
      <c r="G123" s="52"/>
      <c r="H123" s="52"/>
      <c r="I123" s="52" t="str">
        <f t="shared" si="6"/>
        <v/>
      </c>
      <c r="J123" s="54"/>
      <c r="K123" s="55" t="str">
        <f t="shared" si="7"/>
        <v/>
      </c>
      <c r="L123" s="54"/>
      <c r="M123" s="54"/>
      <c r="N123" s="54"/>
      <c r="O123" s="54"/>
      <c r="P123" s="54"/>
      <c r="S123" s="38"/>
      <c r="T123" s="38"/>
      <c r="U123" s="38"/>
      <c r="V123" s="37"/>
      <c r="W123" s="37"/>
      <c r="X123" s="37"/>
      <c r="Y123" s="37"/>
      <c r="Z123" s="37"/>
      <c r="AA123" s="37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</row>
    <row r="124" spans="1:52" ht="39.75" hidden="1" customHeight="1" x14ac:dyDescent="0.2">
      <c r="A124" s="45" t="str">
        <f t="shared" si="5"/>
        <v/>
      </c>
      <c r="B124" s="45"/>
      <c r="C124" s="45"/>
      <c r="D124" s="45"/>
      <c r="E124" s="50"/>
      <c r="F124" s="51"/>
      <c r="G124" s="52"/>
      <c r="H124" s="52"/>
      <c r="I124" s="52" t="str">
        <f t="shared" si="6"/>
        <v/>
      </c>
      <c r="J124" s="54"/>
      <c r="K124" s="55" t="str">
        <f t="shared" si="7"/>
        <v/>
      </c>
      <c r="L124" s="54"/>
      <c r="M124" s="54"/>
      <c r="N124" s="54"/>
      <c r="O124" s="54"/>
      <c r="P124" s="54"/>
      <c r="S124" s="38"/>
      <c r="T124" s="38"/>
      <c r="U124" s="38"/>
      <c r="V124" s="37"/>
      <c r="W124" s="37"/>
      <c r="X124" s="37"/>
      <c r="Y124" s="37"/>
      <c r="Z124" s="37"/>
      <c r="AA124" s="37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</row>
    <row r="125" spans="1:52" ht="39.75" hidden="1" customHeight="1" x14ac:dyDescent="0.2">
      <c r="A125" s="45" t="str">
        <f t="shared" si="5"/>
        <v/>
      </c>
      <c r="B125" s="45"/>
      <c r="C125" s="45"/>
      <c r="D125" s="45"/>
      <c r="E125" s="50"/>
      <c r="F125" s="51"/>
      <c r="G125" s="52"/>
      <c r="H125" s="52"/>
      <c r="I125" s="52" t="str">
        <f t="shared" si="6"/>
        <v/>
      </c>
      <c r="J125" s="54"/>
      <c r="K125" s="55" t="str">
        <f t="shared" si="7"/>
        <v/>
      </c>
      <c r="L125" s="54"/>
      <c r="M125" s="54"/>
      <c r="N125" s="54"/>
      <c r="O125" s="54"/>
      <c r="P125" s="54"/>
      <c r="S125" s="38"/>
      <c r="T125" s="38"/>
      <c r="U125" s="38"/>
      <c r="V125" s="37"/>
      <c r="W125" s="37"/>
      <c r="X125" s="37"/>
      <c r="Y125" s="37"/>
      <c r="Z125" s="37"/>
      <c r="AA125" s="37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</row>
    <row r="126" spans="1:52" ht="39.75" hidden="1" customHeight="1" x14ac:dyDescent="0.2">
      <c r="A126" s="45" t="str">
        <f t="shared" si="5"/>
        <v/>
      </c>
      <c r="B126" s="45"/>
      <c r="C126" s="45"/>
      <c r="D126" s="45"/>
      <c r="E126" s="50"/>
      <c r="F126" s="51"/>
      <c r="G126" s="52"/>
      <c r="H126" s="52"/>
      <c r="I126" s="52" t="str">
        <f t="shared" si="6"/>
        <v/>
      </c>
      <c r="J126" s="54"/>
      <c r="K126" s="55" t="str">
        <f t="shared" si="7"/>
        <v/>
      </c>
      <c r="L126" s="54"/>
      <c r="M126" s="54"/>
      <c r="N126" s="54"/>
      <c r="O126" s="54"/>
      <c r="P126" s="54"/>
      <c r="S126" s="38"/>
      <c r="T126" s="38"/>
      <c r="U126" s="38"/>
      <c r="V126" s="37"/>
      <c r="W126" s="37"/>
      <c r="X126" s="37"/>
      <c r="Y126" s="37"/>
      <c r="Z126" s="37"/>
      <c r="AA126" s="37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</row>
    <row r="127" spans="1:52" ht="39.75" hidden="1" customHeight="1" x14ac:dyDescent="0.2">
      <c r="A127" s="45" t="str">
        <f t="shared" si="5"/>
        <v/>
      </c>
      <c r="B127" s="45"/>
      <c r="C127" s="45"/>
      <c r="D127" s="45"/>
      <c r="E127" s="50"/>
      <c r="F127" s="51"/>
      <c r="G127" s="52"/>
      <c r="H127" s="52"/>
      <c r="I127" s="52" t="str">
        <f t="shared" si="6"/>
        <v/>
      </c>
      <c r="J127" s="54"/>
      <c r="K127" s="55" t="str">
        <f t="shared" si="7"/>
        <v/>
      </c>
      <c r="L127" s="54"/>
      <c r="M127" s="54"/>
      <c r="N127" s="54"/>
      <c r="O127" s="54"/>
      <c r="P127" s="54"/>
      <c r="S127" s="38"/>
      <c r="T127" s="38"/>
      <c r="U127" s="38"/>
      <c r="V127" s="37"/>
      <c r="W127" s="37"/>
      <c r="X127" s="37"/>
      <c r="Y127" s="37"/>
      <c r="Z127" s="37"/>
      <c r="AA127" s="37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</row>
    <row r="128" spans="1:52" ht="39.75" hidden="1" customHeight="1" x14ac:dyDescent="0.2">
      <c r="A128" s="45" t="str">
        <f t="shared" si="5"/>
        <v/>
      </c>
      <c r="B128" s="45"/>
      <c r="C128" s="45"/>
      <c r="D128" s="45"/>
      <c r="E128" s="50"/>
      <c r="F128" s="51"/>
      <c r="G128" s="52"/>
      <c r="H128" s="52"/>
      <c r="I128" s="52" t="str">
        <f t="shared" si="6"/>
        <v/>
      </c>
      <c r="J128" s="54"/>
      <c r="K128" s="55" t="str">
        <f t="shared" si="7"/>
        <v/>
      </c>
      <c r="L128" s="54"/>
      <c r="M128" s="54"/>
      <c r="N128" s="54"/>
      <c r="O128" s="54"/>
      <c r="P128" s="54"/>
      <c r="S128" s="38"/>
      <c r="T128" s="38"/>
      <c r="U128" s="38"/>
      <c r="V128" s="37"/>
      <c r="W128" s="37"/>
      <c r="X128" s="37"/>
      <c r="Y128" s="37"/>
      <c r="Z128" s="37"/>
      <c r="AA128" s="37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</row>
    <row r="129" spans="1:52" ht="39.75" hidden="1" customHeight="1" x14ac:dyDescent="0.2">
      <c r="A129" s="45" t="str">
        <f t="shared" si="5"/>
        <v/>
      </c>
      <c r="B129" s="45"/>
      <c r="C129" s="45"/>
      <c r="D129" s="45"/>
      <c r="E129" s="50"/>
      <c r="F129" s="51"/>
      <c r="G129" s="52"/>
      <c r="H129" s="52"/>
      <c r="I129" s="52" t="str">
        <f t="shared" si="6"/>
        <v/>
      </c>
      <c r="J129" s="54"/>
      <c r="K129" s="55" t="str">
        <f t="shared" si="7"/>
        <v/>
      </c>
      <c r="L129" s="54"/>
      <c r="M129" s="54"/>
      <c r="N129" s="54"/>
      <c r="O129" s="54"/>
      <c r="P129" s="54"/>
      <c r="S129" s="38"/>
      <c r="T129" s="38"/>
      <c r="U129" s="38"/>
      <c r="V129" s="37"/>
      <c r="W129" s="37"/>
      <c r="X129" s="37"/>
      <c r="Y129" s="37"/>
      <c r="Z129" s="37"/>
      <c r="AA129" s="37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</row>
    <row r="130" spans="1:52" ht="39.75" hidden="1" customHeight="1" x14ac:dyDescent="0.2">
      <c r="A130" s="45" t="str">
        <f t="shared" si="5"/>
        <v/>
      </c>
      <c r="B130" s="45"/>
      <c r="C130" s="45"/>
      <c r="D130" s="45"/>
      <c r="E130" s="50"/>
      <c r="F130" s="51"/>
      <c r="G130" s="52"/>
      <c r="H130" s="52"/>
      <c r="I130" s="52" t="str">
        <f t="shared" si="6"/>
        <v/>
      </c>
      <c r="J130" s="54"/>
      <c r="K130" s="55" t="str">
        <f t="shared" si="7"/>
        <v/>
      </c>
      <c r="L130" s="54"/>
      <c r="M130" s="54"/>
      <c r="N130" s="54"/>
      <c r="O130" s="54"/>
      <c r="P130" s="54"/>
      <c r="S130" s="38"/>
      <c r="T130" s="38"/>
      <c r="U130" s="38"/>
      <c r="V130" s="37"/>
      <c r="W130" s="37"/>
      <c r="X130" s="37"/>
      <c r="Y130" s="37"/>
      <c r="Z130" s="37"/>
      <c r="AA130" s="37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</row>
    <row r="131" spans="1:52" ht="39.75" hidden="1" customHeight="1" x14ac:dyDescent="0.2">
      <c r="A131" s="45" t="str">
        <f t="shared" si="5"/>
        <v/>
      </c>
      <c r="B131" s="45"/>
      <c r="C131" s="45"/>
      <c r="D131" s="45"/>
      <c r="E131" s="50"/>
      <c r="F131" s="51"/>
      <c r="G131" s="52"/>
      <c r="H131" s="52"/>
      <c r="I131" s="52" t="str">
        <f t="shared" si="6"/>
        <v/>
      </c>
      <c r="J131" s="54"/>
      <c r="K131" s="55" t="str">
        <f t="shared" si="7"/>
        <v/>
      </c>
      <c r="L131" s="54"/>
      <c r="M131" s="54"/>
      <c r="N131" s="54"/>
      <c r="O131" s="54"/>
      <c r="P131" s="54"/>
      <c r="S131" s="38"/>
      <c r="T131" s="38"/>
      <c r="U131" s="38"/>
      <c r="V131" s="37"/>
      <c r="W131" s="37"/>
      <c r="X131" s="37"/>
      <c r="Y131" s="37"/>
      <c r="Z131" s="37"/>
      <c r="AA131" s="37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</row>
    <row r="132" spans="1:52" ht="39.75" hidden="1" customHeight="1" x14ac:dyDescent="0.2">
      <c r="A132" s="45" t="str">
        <f t="shared" si="5"/>
        <v/>
      </c>
      <c r="B132" s="45"/>
      <c r="C132" s="45"/>
      <c r="D132" s="45"/>
      <c r="E132" s="50"/>
      <c r="F132" s="51"/>
      <c r="G132" s="52"/>
      <c r="H132" s="52"/>
      <c r="I132" s="52" t="str">
        <f t="shared" si="6"/>
        <v/>
      </c>
      <c r="J132" s="54"/>
      <c r="K132" s="55" t="str">
        <f t="shared" si="7"/>
        <v/>
      </c>
      <c r="L132" s="54"/>
      <c r="M132" s="54"/>
      <c r="N132" s="54"/>
      <c r="O132" s="54"/>
      <c r="P132" s="54"/>
      <c r="S132" s="38"/>
      <c r="T132" s="38"/>
      <c r="U132" s="38"/>
      <c r="V132" s="37"/>
      <c r="W132" s="37"/>
      <c r="X132" s="37"/>
      <c r="Y132" s="37"/>
      <c r="Z132" s="37"/>
      <c r="AA132" s="37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</row>
    <row r="133" spans="1:52" ht="39.75" hidden="1" customHeight="1" x14ac:dyDescent="0.2">
      <c r="A133" s="45" t="str">
        <f t="shared" si="5"/>
        <v/>
      </c>
      <c r="B133" s="45"/>
      <c r="C133" s="45"/>
      <c r="D133" s="45"/>
      <c r="E133" s="50"/>
      <c r="F133" s="51"/>
      <c r="G133" s="52"/>
      <c r="H133" s="52"/>
      <c r="I133" s="52" t="str">
        <f t="shared" si="6"/>
        <v/>
      </c>
      <c r="J133" s="54"/>
      <c r="K133" s="55" t="str">
        <f t="shared" si="7"/>
        <v/>
      </c>
      <c r="L133" s="54"/>
      <c r="M133" s="54"/>
      <c r="N133" s="54"/>
      <c r="O133" s="54"/>
      <c r="P133" s="54"/>
      <c r="S133" s="38"/>
      <c r="T133" s="38"/>
      <c r="U133" s="38"/>
      <c r="V133" s="37"/>
      <c r="W133" s="37"/>
      <c r="X133" s="37"/>
      <c r="Y133" s="37"/>
      <c r="Z133" s="37"/>
      <c r="AA133" s="37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</row>
    <row r="134" spans="1:52" ht="39.75" hidden="1" customHeight="1" x14ac:dyDescent="0.2">
      <c r="A134" s="45" t="str">
        <f t="shared" ref="A134:A197" si="9">IF(F134="","",ROW()-5)</f>
        <v/>
      </c>
      <c r="B134" s="45"/>
      <c r="C134" s="45"/>
      <c r="D134" s="45"/>
      <c r="E134" s="50"/>
      <c r="F134" s="51"/>
      <c r="G134" s="52"/>
      <c r="H134" s="52"/>
      <c r="I134" s="52" t="str">
        <f t="shared" ref="I134:I197" si="10">IF(AND(LEN(F134)=18, ISBLANK(G134)=FALSE(), ISBLANK(H134)=FALSE()),37,"")</f>
        <v/>
      </c>
      <c r="J134" s="54"/>
      <c r="K134" s="55" t="str">
        <f t="shared" ref="K134:K197" si="11">IF(OR(J134="",Q134=0),"",IF(COUNTA(L134:P134)&gt;Q134,"Seluruh pilihan telah dipilih, anda memilih lebih dari kemungkinan pilihan yang tersedia, periksa pilihan anda "&amp;"("&amp;COUNTA(L134:P134)&amp;"/"&amp;Q134&amp;")",IF(COUNTA(L134:P134)=Q134,IF(SUMPRODUCT(COUNTIF(L134:P134,L134:P134)*(L134:P134&lt;&gt;""))&gt;COUNTA(L134:P134),"Terdapat pilihan yang sama, segera ubah "&amp;"("&amp;COUNTA(L134:P134)&amp;"/"&amp;Q134&amp;")","Seluruh pilihan telah dipilih "&amp;"("&amp;COUNTA(L134:P134)&amp;"/"&amp;Q134&amp;")"),IF(COUNTA(L134:P134)&gt;0,"Masih terdapat pilihan yang bisa dipilih, silahkan melengkapi pilihan "&amp;"("&amp;COUNTA(L134:P134)&amp;"/"&amp;Q134&amp;")",""))))</f>
        <v/>
      </c>
      <c r="L134" s="54"/>
      <c r="M134" s="54"/>
      <c r="N134" s="54"/>
      <c r="O134" s="54"/>
      <c r="P134" s="54"/>
      <c r="S134" s="38"/>
      <c r="T134" s="38"/>
      <c r="U134" s="38"/>
      <c r="V134" s="37"/>
      <c r="W134" s="37"/>
      <c r="X134" s="37"/>
      <c r="Y134" s="37"/>
      <c r="Z134" s="37"/>
      <c r="AA134" s="37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</row>
    <row r="135" spans="1:52" ht="39.75" hidden="1" customHeight="1" x14ac:dyDescent="0.2">
      <c r="A135" s="45" t="str">
        <f t="shared" si="9"/>
        <v/>
      </c>
      <c r="B135" s="45"/>
      <c r="C135" s="45"/>
      <c r="D135" s="45"/>
      <c r="E135" s="50"/>
      <c r="F135" s="51"/>
      <c r="G135" s="52"/>
      <c r="H135" s="52"/>
      <c r="I135" s="52" t="str">
        <f t="shared" si="10"/>
        <v/>
      </c>
      <c r="J135" s="54"/>
      <c r="K135" s="55" t="str">
        <f t="shared" si="11"/>
        <v/>
      </c>
      <c r="L135" s="54"/>
      <c r="M135" s="54"/>
      <c r="N135" s="54"/>
      <c r="O135" s="54"/>
      <c r="P135" s="54"/>
      <c r="S135" s="38"/>
      <c r="T135" s="38"/>
      <c r="U135" s="38"/>
      <c r="V135" s="37"/>
      <c r="W135" s="37"/>
      <c r="X135" s="37"/>
      <c r="Y135" s="37"/>
      <c r="Z135" s="37"/>
      <c r="AA135" s="37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</row>
    <row r="136" spans="1:52" ht="39.75" hidden="1" customHeight="1" x14ac:dyDescent="0.2">
      <c r="A136" s="45" t="str">
        <f t="shared" si="9"/>
        <v/>
      </c>
      <c r="B136" s="45"/>
      <c r="C136" s="45"/>
      <c r="D136" s="45"/>
      <c r="E136" s="50"/>
      <c r="F136" s="51"/>
      <c r="G136" s="52"/>
      <c r="H136" s="52"/>
      <c r="I136" s="52" t="str">
        <f t="shared" si="10"/>
        <v/>
      </c>
      <c r="J136" s="54"/>
      <c r="K136" s="55" t="str">
        <f t="shared" si="11"/>
        <v/>
      </c>
      <c r="L136" s="54"/>
      <c r="M136" s="54"/>
      <c r="N136" s="54"/>
      <c r="O136" s="54"/>
      <c r="P136" s="54"/>
      <c r="S136" s="38"/>
      <c r="T136" s="38"/>
      <c r="U136" s="38"/>
      <c r="V136" s="37"/>
      <c r="W136" s="37"/>
      <c r="X136" s="37"/>
      <c r="Y136" s="37"/>
      <c r="Z136" s="37"/>
      <c r="AA136" s="37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</row>
    <row r="137" spans="1:52" ht="39.75" hidden="1" customHeight="1" x14ac:dyDescent="0.2">
      <c r="A137" s="45" t="str">
        <f t="shared" si="9"/>
        <v/>
      </c>
      <c r="B137" s="45"/>
      <c r="C137" s="45"/>
      <c r="D137" s="45"/>
      <c r="E137" s="50"/>
      <c r="F137" s="51"/>
      <c r="G137" s="52"/>
      <c r="H137" s="52"/>
      <c r="I137" s="52" t="str">
        <f t="shared" si="10"/>
        <v/>
      </c>
      <c r="J137" s="54"/>
      <c r="K137" s="55" t="str">
        <f t="shared" si="11"/>
        <v/>
      </c>
      <c r="L137" s="54"/>
      <c r="M137" s="54"/>
      <c r="N137" s="54"/>
      <c r="O137" s="54"/>
      <c r="P137" s="54"/>
      <c r="S137" s="38"/>
      <c r="T137" s="38"/>
      <c r="U137" s="38"/>
      <c r="V137" s="37"/>
      <c r="W137" s="37"/>
      <c r="X137" s="37"/>
      <c r="Y137" s="37"/>
      <c r="Z137" s="37"/>
      <c r="AA137" s="37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</row>
    <row r="138" spans="1:52" ht="39.75" hidden="1" customHeight="1" x14ac:dyDescent="0.2">
      <c r="A138" s="45" t="str">
        <f t="shared" si="9"/>
        <v/>
      </c>
      <c r="B138" s="45"/>
      <c r="C138" s="45"/>
      <c r="D138" s="45"/>
      <c r="E138" s="50"/>
      <c r="F138" s="51"/>
      <c r="G138" s="52"/>
      <c r="H138" s="52"/>
      <c r="I138" s="52" t="str">
        <f t="shared" si="10"/>
        <v/>
      </c>
      <c r="J138" s="54"/>
      <c r="K138" s="55" t="str">
        <f t="shared" si="11"/>
        <v/>
      </c>
      <c r="L138" s="54"/>
      <c r="M138" s="54"/>
      <c r="N138" s="54"/>
      <c r="O138" s="54"/>
      <c r="P138" s="54"/>
      <c r="S138" s="38"/>
      <c r="T138" s="38"/>
      <c r="U138" s="38"/>
      <c r="V138" s="37"/>
      <c r="W138" s="37"/>
      <c r="X138" s="37"/>
      <c r="Y138" s="37"/>
      <c r="Z138" s="37"/>
      <c r="AA138" s="37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</row>
    <row r="139" spans="1:52" ht="39.75" hidden="1" customHeight="1" x14ac:dyDescent="0.2">
      <c r="A139" s="45" t="str">
        <f t="shared" si="9"/>
        <v/>
      </c>
      <c r="B139" s="45"/>
      <c r="C139" s="45"/>
      <c r="D139" s="45"/>
      <c r="E139" s="50"/>
      <c r="F139" s="51"/>
      <c r="G139" s="52"/>
      <c r="H139" s="52"/>
      <c r="I139" s="52" t="str">
        <f t="shared" si="10"/>
        <v/>
      </c>
      <c r="J139" s="54"/>
      <c r="K139" s="55" t="str">
        <f t="shared" si="11"/>
        <v/>
      </c>
      <c r="L139" s="54"/>
      <c r="M139" s="54"/>
      <c r="N139" s="54"/>
      <c r="O139" s="54"/>
      <c r="P139" s="54"/>
      <c r="S139" s="38"/>
      <c r="T139" s="38"/>
      <c r="U139" s="38"/>
      <c r="V139" s="37"/>
      <c r="W139" s="37"/>
      <c r="X139" s="37"/>
      <c r="Y139" s="37"/>
      <c r="Z139" s="37"/>
      <c r="AA139" s="37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</row>
    <row r="140" spans="1:52" ht="39.75" hidden="1" customHeight="1" x14ac:dyDescent="0.2">
      <c r="A140" s="45" t="str">
        <f t="shared" si="9"/>
        <v/>
      </c>
      <c r="B140" s="45"/>
      <c r="C140" s="45"/>
      <c r="D140" s="45"/>
      <c r="E140" s="50"/>
      <c r="F140" s="51"/>
      <c r="G140" s="52"/>
      <c r="H140" s="52"/>
      <c r="I140" s="52" t="str">
        <f t="shared" si="10"/>
        <v/>
      </c>
      <c r="J140" s="54"/>
      <c r="K140" s="55" t="str">
        <f t="shared" si="11"/>
        <v/>
      </c>
      <c r="L140" s="54"/>
      <c r="M140" s="54"/>
      <c r="N140" s="54"/>
      <c r="O140" s="54"/>
      <c r="P140" s="54"/>
      <c r="S140" s="38"/>
      <c r="T140" s="38"/>
      <c r="U140" s="38"/>
      <c r="V140" s="37"/>
      <c r="W140" s="37"/>
      <c r="X140" s="37"/>
      <c r="Y140" s="37"/>
      <c r="Z140" s="37"/>
      <c r="AA140" s="37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</row>
    <row r="141" spans="1:52" ht="39.75" hidden="1" customHeight="1" x14ac:dyDescent="0.2">
      <c r="A141" s="45" t="str">
        <f t="shared" si="9"/>
        <v/>
      </c>
      <c r="B141" s="45"/>
      <c r="C141" s="45"/>
      <c r="D141" s="45"/>
      <c r="E141" s="50"/>
      <c r="F141" s="51"/>
      <c r="G141" s="52"/>
      <c r="H141" s="52"/>
      <c r="I141" s="52" t="str">
        <f t="shared" si="10"/>
        <v/>
      </c>
      <c r="J141" s="54"/>
      <c r="K141" s="55" t="str">
        <f t="shared" si="11"/>
        <v/>
      </c>
      <c r="L141" s="54"/>
      <c r="M141" s="54"/>
      <c r="N141" s="54"/>
      <c r="O141" s="54"/>
      <c r="P141" s="54"/>
      <c r="S141" s="38"/>
      <c r="T141" s="38"/>
      <c r="U141" s="38"/>
      <c r="V141" s="37"/>
      <c r="W141" s="37"/>
      <c r="X141" s="37"/>
      <c r="Y141" s="37"/>
      <c r="Z141" s="37"/>
      <c r="AA141" s="37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</row>
    <row r="142" spans="1:52" ht="39.75" hidden="1" customHeight="1" x14ac:dyDescent="0.2">
      <c r="A142" s="45" t="str">
        <f t="shared" si="9"/>
        <v/>
      </c>
      <c r="B142" s="45"/>
      <c r="C142" s="45"/>
      <c r="D142" s="45"/>
      <c r="E142" s="50"/>
      <c r="F142" s="51"/>
      <c r="G142" s="52"/>
      <c r="H142" s="52"/>
      <c r="I142" s="52" t="str">
        <f t="shared" si="10"/>
        <v/>
      </c>
      <c r="J142" s="54"/>
      <c r="K142" s="55" t="str">
        <f t="shared" si="11"/>
        <v/>
      </c>
      <c r="L142" s="54"/>
      <c r="M142" s="54"/>
      <c r="N142" s="54"/>
      <c r="O142" s="54"/>
      <c r="P142" s="54"/>
      <c r="S142" s="38"/>
      <c r="T142" s="38"/>
      <c r="U142" s="38"/>
      <c r="V142" s="37"/>
      <c r="W142" s="37"/>
      <c r="X142" s="37"/>
      <c r="Y142" s="37"/>
      <c r="Z142" s="37"/>
      <c r="AA142" s="37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</row>
    <row r="143" spans="1:52" ht="39.75" hidden="1" customHeight="1" x14ac:dyDescent="0.2">
      <c r="A143" s="45" t="str">
        <f t="shared" si="9"/>
        <v/>
      </c>
      <c r="B143" s="45"/>
      <c r="C143" s="45"/>
      <c r="D143" s="45"/>
      <c r="E143" s="50"/>
      <c r="F143" s="51"/>
      <c r="G143" s="52"/>
      <c r="H143" s="52"/>
      <c r="I143" s="52" t="str">
        <f t="shared" si="10"/>
        <v/>
      </c>
      <c r="J143" s="54"/>
      <c r="K143" s="55" t="str">
        <f t="shared" si="11"/>
        <v/>
      </c>
      <c r="L143" s="54"/>
      <c r="M143" s="54"/>
      <c r="N143" s="54"/>
      <c r="O143" s="54"/>
      <c r="P143" s="54"/>
      <c r="S143" s="38"/>
      <c r="T143" s="38"/>
      <c r="U143" s="38"/>
      <c r="V143" s="37"/>
      <c r="W143" s="37"/>
      <c r="X143" s="37"/>
      <c r="Y143" s="37"/>
      <c r="Z143" s="37"/>
      <c r="AA143" s="37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</row>
    <row r="144" spans="1:52" ht="39.75" hidden="1" customHeight="1" x14ac:dyDescent="0.2">
      <c r="A144" s="45" t="str">
        <f t="shared" si="9"/>
        <v/>
      </c>
      <c r="B144" s="45"/>
      <c r="C144" s="45"/>
      <c r="D144" s="45"/>
      <c r="E144" s="50"/>
      <c r="F144" s="51"/>
      <c r="G144" s="52"/>
      <c r="H144" s="52"/>
      <c r="I144" s="52" t="str">
        <f t="shared" si="10"/>
        <v/>
      </c>
      <c r="J144" s="54"/>
      <c r="K144" s="55" t="str">
        <f t="shared" si="11"/>
        <v/>
      </c>
      <c r="L144" s="54"/>
      <c r="M144" s="54"/>
      <c r="N144" s="54"/>
      <c r="O144" s="54"/>
      <c r="P144" s="54"/>
      <c r="S144" s="38"/>
      <c r="T144" s="38"/>
      <c r="U144" s="38"/>
      <c r="V144" s="37"/>
      <c r="W144" s="37"/>
      <c r="X144" s="37"/>
      <c r="Y144" s="37"/>
      <c r="Z144" s="37"/>
      <c r="AA144" s="37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</row>
    <row r="145" spans="1:52" ht="39.75" hidden="1" customHeight="1" x14ac:dyDescent="0.2">
      <c r="A145" s="45" t="str">
        <f t="shared" si="9"/>
        <v/>
      </c>
      <c r="B145" s="45"/>
      <c r="C145" s="45"/>
      <c r="D145" s="45"/>
      <c r="E145" s="50"/>
      <c r="F145" s="51"/>
      <c r="G145" s="52"/>
      <c r="H145" s="52"/>
      <c r="I145" s="52" t="str">
        <f t="shared" si="10"/>
        <v/>
      </c>
      <c r="J145" s="54"/>
      <c r="K145" s="55" t="str">
        <f t="shared" si="11"/>
        <v/>
      </c>
      <c r="L145" s="54"/>
      <c r="M145" s="54"/>
      <c r="N145" s="54"/>
      <c r="O145" s="54"/>
      <c r="P145" s="54"/>
      <c r="S145" s="38"/>
      <c r="T145" s="38"/>
      <c r="U145" s="38"/>
      <c r="V145" s="37"/>
      <c r="W145" s="37"/>
      <c r="X145" s="37"/>
      <c r="Y145" s="37"/>
      <c r="Z145" s="37"/>
      <c r="AA145" s="37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</row>
    <row r="146" spans="1:52" ht="39.75" hidden="1" customHeight="1" x14ac:dyDescent="0.2">
      <c r="A146" s="45" t="str">
        <f t="shared" si="9"/>
        <v/>
      </c>
      <c r="B146" s="45"/>
      <c r="C146" s="45"/>
      <c r="D146" s="45"/>
      <c r="E146" s="50"/>
      <c r="F146" s="51"/>
      <c r="G146" s="52"/>
      <c r="H146" s="52"/>
      <c r="I146" s="52" t="str">
        <f t="shared" si="10"/>
        <v/>
      </c>
      <c r="J146" s="54"/>
      <c r="K146" s="55" t="str">
        <f t="shared" si="11"/>
        <v/>
      </c>
      <c r="L146" s="54"/>
      <c r="M146" s="54"/>
      <c r="N146" s="54"/>
      <c r="O146" s="54"/>
      <c r="P146" s="54"/>
      <c r="S146" s="38"/>
      <c r="T146" s="38"/>
      <c r="U146" s="38"/>
      <c r="V146" s="37"/>
      <c r="W146" s="37"/>
      <c r="X146" s="37"/>
      <c r="Y146" s="37"/>
      <c r="Z146" s="37"/>
      <c r="AA146" s="37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</row>
    <row r="147" spans="1:52" ht="39.75" hidden="1" customHeight="1" x14ac:dyDescent="0.2">
      <c r="A147" s="45" t="str">
        <f t="shared" si="9"/>
        <v/>
      </c>
      <c r="B147" s="45"/>
      <c r="C147" s="45"/>
      <c r="D147" s="45"/>
      <c r="E147" s="50"/>
      <c r="F147" s="51"/>
      <c r="G147" s="52"/>
      <c r="H147" s="52"/>
      <c r="I147" s="52" t="str">
        <f t="shared" si="10"/>
        <v/>
      </c>
      <c r="J147" s="54"/>
      <c r="K147" s="55" t="str">
        <f t="shared" si="11"/>
        <v/>
      </c>
      <c r="L147" s="54"/>
      <c r="M147" s="54"/>
      <c r="N147" s="54"/>
      <c r="O147" s="54"/>
      <c r="P147" s="54"/>
      <c r="S147" s="38"/>
      <c r="T147" s="38"/>
      <c r="U147" s="38"/>
      <c r="V147" s="37"/>
      <c r="W147" s="37"/>
      <c r="X147" s="37"/>
      <c r="Y147" s="37"/>
      <c r="Z147" s="37"/>
      <c r="AA147" s="37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</row>
    <row r="148" spans="1:52" ht="39.75" hidden="1" customHeight="1" x14ac:dyDescent="0.2">
      <c r="A148" s="45" t="str">
        <f t="shared" si="9"/>
        <v/>
      </c>
      <c r="B148" s="45"/>
      <c r="C148" s="45"/>
      <c r="D148" s="45"/>
      <c r="E148" s="50"/>
      <c r="F148" s="51"/>
      <c r="G148" s="52"/>
      <c r="H148" s="52"/>
      <c r="I148" s="52" t="str">
        <f t="shared" si="10"/>
        <v/>
      </c>
      <c r="J148" s="54"/>
      <c r="K148" s="55" t="str">
        <f t="shared" si="11"/>
        <v/>
      </c>
      <c r="L148" s="54"/>
      <c r="M148" s="54"/>
      <c r="N148" s="54"/>
      <c r="O148" s="54"/>
      <c r="P148" s="54"/>
      <c r="S148" s="38"/>
      <c r="T148" s="38"/>
      <c r="U148" s="38"/>
      <c r="V148" s="37"/>
      <c r="W148" s="37"/>
      <c r="X148" s="37"/>
      <c r="Y148" s="37"/>
      <c r="Z148" s="37"/>
      <c r="AA148" s="37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</row>
    <row r="149" spans="1:52" ht="39.75" hidden="1" customHeight="1" x14ac:dyDescent="0.2">
      <c r="A149" s="45" t="str">
        <f t="shared" si="9"/>
        <v/>
      </c>
      <c r="B149" s="45"/>
      <c r="C149" s="45"/>
      <c r="D149" s="45"/>
      <c r="E149" s="50"/>
      <c r="F149" s="51"/>
      <c r="G149" s="52"/>
      <c r="H149" s="52"/>
      <c r="I149" s="52" t="str">
        <f t="shared" si="10"/>
        <v/>
      </c>
      <c r="J149" s="54"/>
      <c r="K149" s="55" t="str">
        <f t="shared" si="11"/>
        <v/>
      </c>
      <c r="L149" s="54"/>
      <c r="M149" s="54"/>
      <c r="N149" s="54"/>
      <c r="O149" s="54"/>
      <c r="P149" s="54"/>
      <c r="S149" s="38"/>
      <c r="T149" s="38"/>
      <c r="U149" s="38"/>
      <c r="V149" s="37"/>
      <c r="W149" s="37"/>
      <c r="X149" s="37"/>
      <c r="Y149" s="37"/>
      <c r="Z149" s="37"/>
      <c r="AA149" s="37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</row>
    <row r="150" spans="1:52" ht="39.75" hidden="1" customHeight="1" x14ac:dyDescent="0.2">
      <c r="A150" s="45" t="str">
        <f t="shared" si="9"/>
        <v/>
      </c>
      <c r="B150" s="45"/>
      <c r="C150" s="45"/>
      <c r="D150" s="45"/>
      <c r="E150" s="50"/>
      <c r="F150" s="51"/>
      <c r="G150" s="52"/>
      <c r="H150" s="52"/>
      <c r="I150" s="52" t="str">
        <f t="shared" si="10"/>
        <v/>
      </c>
      <c r="J150" s="54"/>
      <c r="K150" s="55" t="str">
        <f t="shared" si="11"/>
        <v/>
      </c>
      <c r="L150" s="54"/>
      <c r="M150" s="54"/>
      <c r="N150" s="54"/>
      <c r="O150" s="54"/>
      <c r="P150" s="54"/>
      <c r="S150" s="38"/>
      <c r="T150" s="38"/>
      <c r="U150" s="38"/>
      <c r="V150" s="37"/>
      <c r="W150" s="37"/>
      <c r="X150" s="37"/>
      <c r="Y150" s="37"/>
      <c r="Z150" s="37"/>
      <c r="AA150" s="37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</row>
    <row r="151" spans="1:52" ht="39.75" hidden="1" customHeight="1" x14ac:dyDescent="0.2">
      <c r="A151" s="45" t="str">
        <f t="shared" si="9"/>
        <v/>
      </c>
      <c r="B151" s="45"/>
      <c r="C151" s="45"/>
      <c r="D151" s="45"/>
      <c r="E151" s="50"/>
      <c r="F151" s="51"/>
      <c r="G151" s="52"/>
      <c r="H151" s="52"/>
      <c r="I151" s="52" t="str">
        <f t="shared" si="10"/>
        <v/>
      </c>
      <c r="J151" s="54"/>
      <c r="K151" s="55" t="str">
        <f t="shared" si="11"/>
        <v/>
      </c>
      <c r="L151" s="54"/>
      <c r="M151" s="54"/>
      <c r="N151" s="54"/>
      <c r="O151" s="54"/>
      <c r="P151" s="54"/>
      <c r="S151" s="38"/>
      <c r="T151" s="38"/>
      <c r="U151" s="38"/>
      <c r="V151" s="37"/>
      <c r="W151" s="37"/>
      <c r="X151" s="37"/>
      <c r="Y151" s="37"/>
      <c r="Z151" s="37"/>
      <c r="AA151" s="37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</row>
    <row r="152" spans="1:52" ht="39.75" hidden="1" customHeight="1" x14ac:dyDescent="0.2">
      <c r="A152" s="45" t="str">
        <f t="shared" si="9"/>
        <v/>
      </c>
      <c r="B152" s="45"/>
      <c r="C152" s="45"/>
      <c r="D152" s="45"/>
      <c r="E152" s="50"/>
      <c r="F152" s="51"/>
      <c r="G152" s="52"/>
      <c r="H152" s="52"/>
      <c r="I152" s="52" t="str">
        <f t="shared" si="10"/>
        <v/>
      </c>
      <c r="J152" s="54"/>
      <c r="K152" s="55" t="str">
        <f t="shared" si="11"/>
        <v/>
      </c>
      <c r="L152" s="54"/>
      <c r="M152" s="54"/>
      <c r="N152" s="54"/>
      <c r="O152" s="54"/>
      <c r="P152" s="54"/>
      <c r="S152" s="38"/>
      <c r="T152" s="38"/>
      <c r="U152" s="38"/>
      <c r="V152" s="37"/>
      <c r="W152" s="37"/>
      <c r="X152" s="37"/>
      <c r="Y152" s="37"/>
      <c r="Z152" s="37"/>
      <c r="AA152" s="37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</row>
    <row r="153" spans="1:52" ht="39.75" hidden="1" customHeight="1" x14ac:dyDescent="0.2">
      <c r="A153" s="45" t="str">
        <f t="shared" si="9"/>
        <v/>
      </c>
      <c r="B153" s="45"/>
      <c r="C153" s="45"/>
      <c r="D153" s="45"/>
      <c r="E153" s="50"/>
      <c r="F153" s="51"/>
      <c r="G153" s="52"/>
      <c r="H153" s="52"/>
      <c r="I153" s="52" t="str">
        <f t="shared" si="10"/>
        <v/>
      </c>
      <c r="J153" s="54"/>
      <c r="K153" s="55" t="str">
        <f t="shared" si="11"/>
        <v/>
      </c>
      <c r="L153" s="54"/>
      <c r="M153" s="54"/>
      <c r="N153" s="54"/>
      <c r="O153" s="54"/>
      <c r="P153" s="54"/>
      <c r="S153" s="38"/>
      <c r="T153" s="38"/>
      <c r="U153" s="38"/>
      <c r="V153" s="37"/>
      <c r="W153" s="37"/>
      <c r="X153" s="37"/>
      <c r="Y153" s="37"/>
      <c r="Z153" s="37"/>
      <c r="AA153" s="37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</row>
    <row r="154" spans="1:52" ht="39.75" hidden="1" customHeight="1" x14ac:dyDescent="0.2">
      <c r="A154" s="45" t="str">
        <f t="shared" si="9"/>
        <v/>
      </c>
      <c r="B154" s="45"/>
      <c r="C154" s="45"/>
      <c r="D154" s="45"/>
      <c r="E154" s="50"/>
      <c r="F154" s="51"/>
      <c r="G154" s="52"/>
      <c r="H154" s="52"/>
      <c r="I154" s="52" t="str">
        <f t="shared" si="10"/>
        <v/>
      </c>
      <c r="J154" s="54"/>
      <c r="K154" s="55" t="str">
        <f t="shared" si="11"/>
        <v/>
      </c>
      <c r="L154" s="54"/>
      <c r="M154" s="54"/>
      <c r="N154" s="54"/>
      <c r="O154" s="54"/>
      <c r="P154" s="54"/>
      <c r="S154" s="38"/>
      <c r="T154" s="38"/>
      <c r="U154" s="38"/>
      <c r="V154" s="37"/>
      <c r="W154" s="37"/>
      <c r="X154" s="37"/>
      <c r="Y154" s="37"/>
      <c r="Z154" s="37"/>
      <c r="AA154" s="37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</row>
    <row r="155" spans="1:52" ht="39.75" hidden="1" customHeight="1" x14ac:dyDescent="0.2">
      <c r="A155" s="45" t="str">
        <f t="shared" si="9"/>
        <v/>
      </c>
      <c r="B155" s="45"/>
      <c r="C155" s="45"/>
      <c r="D155" s="45"/>
      <c r="E155" s="50"/>
      <c r="F155" s="51"/>
      <c r="G155" s="52"/>
      <c r="H155" s="52"/>
      <c r="I155" s="52" t="str">
        <f t="shared" si="10"/>
        <v/>
      </c>
      <c r="J155" s="54"/>
      <c r="K155" s="55" t="str">
        <f t="shared" si="11"/>
        <v/>
      </c>
      <c r="L155" s="54"/>
      <c r="M155" s="54"/>
      <c r="N155" s="54"/>
      <c r="O155" s="54"/>
      <c r="P155" s="54"/>
      <c r="S155" s="38"/>
      <c r="T155" s="38"/>
      <c r="U155" s="38"/>
      <c r="V155" s="37"/>
      <c r="W155" s="37"/>
      <c r="X155" s="37"/>
      <c r="Y155" s="37"/>
      <c r="Z155" s="37"/>
      <c r="AA155" s="37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</row>
    <row r="156" spans="1:52" ht="39.75" hidden="1" customHeight="1" x14ac:dyDescent="0.2">
      <c r="A156" s="45" t="str">
        <f t="shared" si="9"/>
        <v/>
      </c>
      <c r="B156" s="45"/>
      <c r="C156" s="45"/>
      <c r="D156" s="45"/>
      <c r="E156" s="50"/>
      <c r="F156" s="51"/>
      <c r="G156" s="52"/>
      <c r="H156" s="52"/>
      <c r="I156" s="52" t="str">
        <f t="shared" si="10"/>
        <v/>
      </c>
      <c r="J156" s="54"/>
      <c r="K156" s="55" t="str">
        <f t="shared" si="11"/>
        <v/>
      </c>
      <c r="L156" s="54"/>
      <c r="M156" s="54"/>
      <c r="N156" s="54"/>
      <c r="O156" s="54"/>
      <c r="P156" s="54"/>
      <c r="S156" s="38"/>
      <c r="T156" s="38"/>
      <c r="U156" s="38"/>
      <c r="V156" s="37"/>
      <c r="W156" s="37"/>
      <c r="X156" s="37"/>
      <c r="Y156" s="37"/>
      <c r="Z156" s="37"/>
      <c r="AA156" s="37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</row>
    <row r="157" spans="1:52" ht="39.75" hidden="1" customHeight="1" x14ac:dyDescent="0.2">
      <c r="A157" s="45" t="str">
        <f t="shared" si="9"/>
        <v/>
      </c>
      <c r="B157" s="45"/>
      <c r="C157" s="45"/>
      <c r="D157" s="45"/>
      <c r="E157" s="50"/>
      <c r="F157" s="51"/>
      <c r="G157" s="52"/>
      <c r="H157" s="52"/>
      <c r="I157" s="52" t="str">
        <f t="shared" si="10"/>
        <v/>
      </c>
      <c r="J157" s="54"/>
      <c r="K157" s="55" t="str">
        <f t="shared" si="11"/>
        <v/>
      </c>
      <c r="L157" s="54"/>
      <c r="M157" s="54"/>
      <c r="N157" s="54"/>
      <c r="O157" s="54"/>
      <c r="P157" s="54"/>
      <c r="S157" s="38"/>
      <c r="T157" s="38"/>
      <c r="U157" s="38"/>
      <c r="V157" s="37"/>
      <c r="W157" s="37"/>
      <c r="X157" s="37"/>
      <c r="Y157" s="37"/>
      <c r="Z157" s="37"/>
      <c r="AA157" s="37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</row>
    <row r="158" spans="1:52" ht="39.75" hidden="1" customHeight="1" x14ac:dyDescent="0.2">
      <c r="A158" s="45" t="str">
        <f t="shared" si="9"/>
        <v/>
      </c>
      <c r="B158" s="45"/>
      <c r="C158" s="45"/>
      <c r="D158" s="45"/>
      <c r="E158" s="50"/>
      <c r="F158" s="51"/>
      <c r="G158" s="52"/>
      <c r="H158" s="52"/>
      <c r="I158" s="52" t="str">
        <f t="shared" si="10"/>
        <v/>
      </c>
      <c r="J158" s="54"/>
      <c r="K158" s="55" t="str">
        <f t="shared" si="11"/>
        <v/>
      </c>
      <c r="L158" s="54"/>
      <c r="M158" s="54"/>
      <c r="N158" s="54"/>
      <c r="O158" s="54"/>
      <c r="P158" s="54"/>
      <c r="S158" s="38"/>
      <c r="T158" s="38"/>
      <c r="U158" s="38"/>
      <c r="V158" s="37"/>
      <c r="W158" s="37"/>
      <c r="X158" s="37"/>
      <c r="Y158" s="37"/>
      <c r="Z158" s="37"/>
      <c r="AA158" s="37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</row>
    <row r="159" spans="1:52" ht="39.75" hidden="1" customHeight="1" x14ac:dyDescent="0.2">
      <c r="A159" s="45" t="str">
        <f t="shared" si="9"/>
        <v/>
      </c>
      <c r="B159" s="45"/>
      <c r="C159" s="45"/>
      <c r="D159" s="45"/>
      <c r="E159" s="50"/>
      <c r="F159" s="51"/>
      <c r="G159" s="52"/>
      <c r="H159" s="52"/>
      <c r="I159" s="52" t="str">
        <f t="shared" si="10"/>
        <v/>
      </c>
      <c r="J159" s="54"/>
      <c r="K159" s="55" t="str">
        <f t="shared" si="11"/>
        <v/>
      </c>
      <c r="L159" s="54"/>
      <c r="M159" s="54"/>
      <c r="N159" s="54"/>
      <c r="O159" s="54"/>
      <c r="P159" s="54"/>
      <c r="S159" s="38"/>
      <c r="T159" s="38"/>
      <c r="U159" s="38"/>
      <c r="V159" s="37"/>
      <c r="W159" s="37"/>
      <c r="X159" s="37"/>
      <c r="Y159" s="37"/>
      <c r="Z159" s="37"/>
      <c r="AA159" s="37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</row>
    <row r="160" spans="1:52" ht="39.75" hidden="1" customHeight="1" x14ac:dyDescent="0.2">
      <c r="A160" s="45" t="str">
        <f t="shared" si="9"/>
        <v/>
      </c>
      <c r="B160" s="45"/>
      <c r="C160" s="45"/>
      <c r="D160" s="45"/>
      <c r="E160" s="50"/>
      <c r="F160" s="51"/>
      <c r="G160" s="52"/>
      <c r="H160" s="52"/>
      <c r="I160" s="52" t="str">
        <f t="shared" si="10"/>
        <v/>
      </c>
      <c r="J160" s="54"/>
      <c r="K160" s="55" t="str">
        <f t="shared" si="11"/>
        <v/>
      </c>
      <c r="L160" s="54"/>
      <c r="M160" s="54"/>
      <c r="N160" s="54"/>
      <c r="O160" s="54"/>
      <c r="P160" s="54"/>
      <c r="S160" s="38"/>
      <c r="T160" s="38"/>
      <c r="U160" s="38"/>
      <c r="V160" s="37"/>
      <c r="W160" s="37"/>
      <c r="X160" s="37"/>
      <c r="Y160" s="37"/>
      <c r="Z160" s="37"/>
      <c r="AA160" s="37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</row>
    <row r="161" spans="1:52" ht="39.75" hidden="1" customHeight="1" x14ac:dyDescent="0.2">
      <c r="A161" s="45" t="str">
        <f t="shared" si="9"/>
        <v/>
      </c>
      <c r="B161" s="45"/>
      <c r="C161" s="45"/>
      <c r="D161" s="45"/>
      <c r="E161" s="50"/>
      <c r="F161" s="51"/>
      <c r="G161" s="52"/>
      <c r="H161" s="52"/>
      <c r="I161" s="52" t="str">
        <f t="shared" si="10"/>
        <v/>
      </c>
      <c r="J161" s="54"/>
      <c r="K161" s="55" t="str">
        <f t="shared" si="11"/>
        <v/>
      </c>
      <c r="L161" s="54"/>
      <c r="M161" s="54"/>
      <c r="N161" s="54"/>
      <c r="O161" s="54"/>
      <c r="P161" s="54"/>
      <c r="S161" s="38"/>
      <c r="T161" s="38"/>
      <c r="U161" s="38"/>
      <c r="V161" s="37"/>
      <c r="W161" s="37"/>
      <c r="X161" s="37"/>
      <c r="Y161" s="37"/>
      <c r="Z161" s="37"/>
      <c r="AA161" s="37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</row>
    <row r="162" spans="1:52" ht="39.75" hidden="1" customHeight="1" x14ac:dyDescent="0.2">
      <c r="A162" s="45" t="str">
        <f t="shared" si="9"/>
        <v/>
      </c>
      <c r="B162" s="45"/>
      <c r="C162" s="45"/>
      <c r="D162" s="45"/>
      <c r="E162" s="50"/>
      <c r="F162" s="51"/>
      <c r="G162" s="52"/>
      <c r="H162" s="52"/>
      <c r="I162" s="52" t="str">
        <f t="shared" si="10"/>
        <v/>
      </c>
      <c r="J162" s="54"/>
      <c r="K162" s="55" t="str">
        <f t="shared" si="11"/>
        <v/>
      </c>
      <c r="L162" s="54"/>
      <c r="M162" s="54"/>
      <c r="N162" s="54"/>
      <c r="O162" s="54"/>
      <c r="P162" s="54"/>
      <c r="S162" s="38"/>
      <c r="T162" s="38"/>
      <c r="U162" s="38"/>
      <c r="V162" s="37"/>
      <c r="W162" s="37"/>
      <c r="X162" s="37"/>
      <c r="Y162" s="37"/>
      <c r="Z162" s="37"/>
      <c r="AA162" s="37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</row>
    <row r="163" spans="1:52" ht="39.75" hidden="1" customHeight="1" x14ac:dyDescent="0.2">
      <c r="A163" s="45" t="str">
        <f t="shared" si="9"/>
        <v/>
      </c>
      <c r="B163" s="45"/>
      <c r="C163" s="45"/>
      <c r="D163" s="45"/>
      <c r="E163" s="50"/>
      <c r="F163" s="51"/>
      <c r="G163" s="52"/>
      <c r="H163" s="52"/>
      <c r="I163" s="52" t="str">
        <f t="shared" si="10"/>
        <v/>
      </c>
      <c r="J163" s="54"/>
      <c r="K163" s="55" t="str">
        <f t="shared" si="11"/>
        <v/>
      </c>
      <c r="L163" s="54"/>
      <c r="M163" s="54"/>
      <c r="N163" s="54"/>
      <c r="O163" s="54"/>
      <c r="P163" s="54"/>
      <c r="S163" s="38"/>
      <c r="T163" s="38"/>
      <c r="U163" s="38"/>
      <c r="V163" s="37"/>
      <c r="W163" s="37"/>
      <c r="X163" s="37"/>
      <c r="Y163" s="37"/>
      <c r="Z163" s="37"/>
      <c r="AA163" s="37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</row>
    <row r="164" spans="1:52" ht="39.75" hidden="1" customHeight="1" x14ac:dyDescent="0.2">
      <c r="A164" s="45" t="str">
        <f t="shared" si="9"/>
        <v/>
      </c>
      <c r="B164" s="45"/>
      <c r="C164" s="45"/>
      <c r="D164" s="45"/>
      <c r="E164" s="50"/>
      <c r="F164" s="51"/>
      <c r="G164" s="52"/>
      <c r="H164" s="52"/>
      <c r="I164" s="52" t="str">
        <f t="shared" si="10"/>
        <v/>
      </c>
      <c r="J164" s="54"/>
      <c r="K164" s="55" t="str">
        <f t="shared" si="11"/>
        <v/>
      </c>
      <c r="L164" s="54"/>
      <c r="M164" s="54"/>
      <c r="N164" s="54"/>
      <c r="O164" s="54"/>
      <c r="P164" s="54"/>
      <c r="S164" s="38"/>
      <c r="T164" s="38"/>
      <c r="U164" s="38"/>
      <c r="V164" s="37"/>
      <c r="W164" s="37"/>
      <c r="X164" s="37"/>
      <c r="Y164" s="37"/>
      <c r="Z164" s="37"/>
      <c r="AA164" s="37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</row>
    <row r="165" spans="1:52" ht="39.75" hidden="1" customHeight="1" x14ac:dyDescent="0.2">
      <c r="A165" s="45" t="str">
        <f t="shared" si="9"/>
        <v/>
      </c>
      <c r="B165" s="45"/>
      <c r="C165" s="45"/>
      <c r="D165" s="45"/>
      <c r="E165" s="50"/>
      <c r="F165" s="51"/>
      <c r="G165" s="52"/>
      <c r="H165" s="52"/>
      <c r="I165" s="52" t="str">
        <f t="shared" si="10"/>
        <v/>
      </c>
      <c r="J165" s="54"/>
      <c r="K165" s="55" t="str">
        <f t="shared" si="11"/>
        <v/>
      </c>
      <c r="L165" s="54"/>
      <c r="M165" s="54"/>
      <c r="N165" s="54"/>
      <c r="O165" s="54"/>
      <c r="P165" s="54"/>
      <c r="S165" s="38"/>
      <c r="T165" s="38"/>
      <c r="U165" s="38"/>
      <c r="V165" s="37"/>
      <c r="W165" s="37"/>
      <c r="X165" s="37"/>
      <c r="Y165" s="37"/>
      <c r="Z165" s="37"/>
      <c r="AA165" s="37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</row>
    <row r="166" spans="1:52" ht="39.75" hidden="1" customHeight="1" x14ac:dyDescent="0.2">
      <c r="A166" s="45" t="str">
        <f t="shared" si="9"/>
        <v/>
      </c>
      <c r="B166" s="45"/>
      <c r="C166" s="45"/>
      <c r="D166" s="45"/>
      <c r="E166" s="50"/>
      <c r="F166" s="51"/>
      <c r="G166" s="52"/>
      <c r="H166" s="52"/>
      <c r="I166" s="52" t="str">
        <f t="shared" si="10"/>
        <v/>
      </c>
      <c r="J166" s="54"/>
      <c r="K166" s="55" t="str">
        <f t="shared" si="11"/>
        <v/>
      </c>
      <c r="L166" s="54"/>
      <c r="M166" s="54"/>
      <c r="N166" s="54"/>
      <c r="O166" s="54"/>
      <c r="P166" s="54"/>
      <c r="S166" s="38"/>
      <c r="T166" s="38"/>
      <c r="U166" s="38"/>
      <c r="V166" s="37"/>
      <c r="W166" s="37"/>
      <c r="X166" s="37"/>
      <c r="Y166" s="37"/>
      <c r="Z166" s="37"/>
      <c r="AA166" s="37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</row>
    <row r="167" spans="1:52" ht="39.75" hidden="1" customHeight="1" x14ac:dyDescent="0.2">
      <c r="A167" s="45" t="str">
        <f t="shared" si="9"/>
        <v/>
      </c>
      <c r="B167" s="45"/>
      <c r="C167" s="45"/>
      <c r="D167" s="45"/>
      <c r="E167" s="50"/>
      <c r="F167" s="51"/>
      <c r="G167" s="52"/>
      <c r="H167" s="52"/>
      <c r="I167" s="52" t="str">
        <f t="shared" si="10"/>
        <v/>
      </c>
      <c r="J167" s="54"/>
      <c r="K167" s="55" t="str">
        <f t="shared" si="11"/>
        <v/>
      </c>
      <c r="L167" s="54"/>
      <c r="M167" s="54"/>
      <c r="N167" s="54"/>
      <c r="O167" s="54"/>
      <c r="P167" s="54"/>
      <c r="S167" s="38"/>
      <c r="T167" s="38"/>
      <c r="U167" s="38"/>
      <c r="V167" s="37"/>
      <c r="W167" s="37"/>
      <c r="X167" s="37"/>
      <c r="Y167" s="37"/>
      <c r="Z167" s="37"/>
      <c r="AA167" s="37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</row>
    <row r="168" spans="1:52" ht="39.75" hidden="1" customHeight="1" x14ac:dyDescent="0.2">
      <c r="A168" s="45" t="str">
        <f t="shared" si="9"/>
        <v/>
      </c>
      <c r="B168" s="45"/>
      <c r="C168" s="45"/>
      <c r="D168" s="45"/>
      <c r="E168" s="50"/>
      <c r="F168" s="51"/>
      <c r="G168" s="52"/>
      <c r="H168" s="52"/>
      <c r="I168" s="52" t="str">
        <f t="shared" si="10"/>
        <v/>
      </c>
      <c r="J168" s="54"/>
      <c r="K168" s="55" t="str">
        <f t="shared" si="11"/>
        <v/>
      </c>
      <c r="L168" s="54"/>
      <c r="M168" s="54"/>
      <c r="N168" s="54"/>
      <c r="O168" s="54"/>
      <c r="P168" s="54"/>
      <c r="S168" s="38"/>
      <c r="T168" s="38"/>
      <c r="U168" s="38"/>
      <c r="V168" s="37"/>
      <c r="W168" s="37"/>
      <c r="X168" s="37"/>
      <c r="Y168" s="37"/>
      <c r="Z168" s="37"/>
      <c r="AA168" s="37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</row>
    <row r="169" spans="1:52" ht="39.75" hidden="1" customHeight="1" x14ac:dyDescent="0.2">
      <c r="A169" s="45" t="str">
        <f t="shared" si="9"/>
        <v/>
      </c>
      <c r="B169" s="45"/>
      <c r="C169" s="45"/>
      <c r="D169" s="45"/>
      <c r="E169" s="50"/>
      <c r="F169" s="51"/>
      <c r="G169" s="52"/>
      <c r="H169" s="52"/>
      <c r="I169" s="52" t="str">
        <f t="shared" si="10"/>
        <v/>
      </c>
      <c r="J169" s="54"/>
      <c r="K169" s="55" t="str">
        <f t="shared" si="11"/>
        <v/>
      </c>
      <c r="L169" s="54"/>
      <c r="M169" s="54"/>
      <c r="N169" s="54"/>
      <c r="O169" s="54"/>
      <c r="P169" s="54"/>
      <c r="S169" s="38"/>
      <c r="T169" s="38"/>
      <c r="U169" s="38"/>
      <c r="V169" s="37"/>
      <c r="W169" s="37"/>
      <c r="X169" s="37"/>
      <c r="Y169" s="37"/>
      <c r="Z169" s="37"/>
      <c r="AA169" s="37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</row>
    <row r="170" spans="1:52" ht="39.75" hidden="1" customHeight="1" x14ac:dyDescent="0.2">
      <c r="A170" s="45" t="str">
        <f t="shared" si="9"/>
        <v/>
      </c>
      <c r="B170" s="45"/>
      <c r="C170" s="45"/>
      <c r="D170" s="45"/>
      <c r="E170" s="50"/>
      <c r="F170" s="51"/>
      <c r="G170" s="52"/>
      <c r="H170" s="52"/>
      <c r="I170" s="52" t="str">
        <f t="shared" si="10"/>
        <v/>
      </c>
      <c r="J170" s="54"/>
      <c r="K170" s="55" t="str">
        <f t="shared" si="11"/>
        <v/>
      </c>
      <c r="L170" s="54"/>
      <c r="M170" s="54"/>
      <c r="N170" s="54"/>
      <c r="O170" s="54"/>
      <c r="P170" s="54"/>
      <c r="S170" s="38"/>
      <c r="T170" s="38"/>
      <c r="U170" s="38"/>
      <c r="V170" s="37"/>
      <c r="W170" s="37"/>
      <c r="X170" s="37"/>
      <c r="Y170" s="37"/>
      <c r="Z170" s="37"/>
      <c r="AA170" s="37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</row>
    <row r="171" spans="1:52" ht="39.75" hidden="1" customHeight="1" x14ac:dyDescent="0.2">
      <c r="A171" s="45" t="str">
        <f t="shared" si="9"/>
        <v/>
      </c>
      <c r="B171" s="45"/>
      <c r="C171" s="45"/>
      <c r="D171" s="45"/>
      <c r="E171" s="50"/>
      <c r="F171" s="51"/>
      <c r="G171" s="52"/>
      <c r="H171" s="52"/>
      <c r="I171" s="52" t="str">
        <f t="shared" si="10"/>
        <v/>
      </c>
      <c r="J171" s="54"/>
      <c r="K171" s="55" t="str">
        <f t="shared" si="11"/>
        <v/>
      </c>
      <c r="L171" s="54"/>
      <c r="M171" s="54"/>
      <c r="N171" s="54"/>
      <c r="O171" s="54"/>
      <c r="P171" s="54"/>
      <c r="S171" s="38"/>
      <c r="T171" s="38"/>
      <c r="U171" s="38"/>
      <c r="V171" s="37"/>
      <c r="W171" s="37"/>
      <c r="X171" s="37"/>
      <c r="Y171" s="37"/>
      <c r="Z171" s="37"/>
      <c r="AA171" s="37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</row>
    <row r="172" spans="1:52" ht="39.75" hidden="1" customHeight="1" x14ac:dyDescent="0.2">
      <c r="A172" s="45" t="str">
        <f t="shared" si="9"/>
        <v/>
      </c>
      <c r="B172" s="45"/>
      <c r="C172" s="45"/>
      <c r="D172" s="45"/>
      <c r="E172" s="50"/>
      <c r="F172" s="51"/>
      <c r="G172" s="52"/>
      <c r="H172" s="52"/>
      <c r="I172" s="52" t="str">
        <f t="shared" si="10"/>
        <v/>
      </c>
      <c r="J172" s="54"/>
      <c r="K172" s="55" t="str">
        <f t="shared" si="11"/>
        <v/>
      </c>
      <c r="L172" s="54"/>
      <c r="M172" s="54"/>
      <c r="N172" s="54"/>
      <c r="O172" s="54"/>
      <c r="P172" s="54"/>
      <c r="S172" s="38"/>
      <c r="T172" s="38"/>
      <c r="U172" s="38"/>
      <c r="V172" s="37"/>
      <c r="W172" s="37"/>
      <c r="X172" s="37"/>
      <c r="Y172" s="37"/>
      <c r="Z172" s="37"/>
      <c r="AA172" s="37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</row>
    <row r="173" spans="1:52" ht="39.75" hidden="1" customHeight="1" x14ac:dyDescent="0.2">
      <c r="A173" s="45" t="str">
        <f t="shared" si="9"/>
        <v/>
      </c>
      <c r="B173" s="45"/>
      <c r="C173" s="45"/>
      <c r="D173" s="45"/>
      <c r="E173" s="50"/>
      <c r="F173" s="51"/>
      <c r="G173" s="52"/>
      <c r="H173" s="52"/>
      <c r="I173" s="52" t="str">
        <f t="shared" si="10"/>
        <v/>
      </c>
      <c r="J173" s="54"/>
      <c r="K173" s="55" t="str">
        <f t="shared" si="11"/>
        <v/>
      </c>
      <c r="L173" s="54"/>
      <c r="M173" s="54"/>
      <c r="N173" s="54"/>
      <c r="O173" s="54"/>
      <c r="P173" s="54"/>
      <c r="S173" s="38"/>
      <c r="T173" s="38"/>
      <c r="U173" s="38"/>
      <c r="V173" s="37"/>
      <c r="W173" s="37"/>
      <c r="X173" s="37"/>
      <c r="Y173" s="37"/>
      <c r="Z173" s="37"/>
      <c r="AA173" s="37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</row>
    <row r="174" spans="1:52" ht="39.75" hidden="1" customHeight="1" x14ac:dyDescent="0.2">
      <c r="A174" s="45" t="str">
        <f t="shared" si="9"/>
        <v/>
      </c>
      <c r="B174" s="45"/>
      <c r="C174" s="45"/>
      <c r="D174" s="45"/>
      <c r="E174" s="50"/>
      <c r="F174" s="51"/>
      <c r="G174" s="52"/>
      <c r="H174" s="52"/>
      <c r="I174" s="52" t="str">
        <f t="shared" si="10"/>
        <v/>
      </c>
      <c r="J174" s="54"/>
      <c r="K174" s="55" t="str">
        <f t="shared" si="11"/>
        <v/>
      </c>
      <c r="L174" s="54"/>
      <c r="M174" s="54"/>
      <c r="N174" s="54"/>
      <c r="O174" s="54"/>
      <c r="P174" s="54"/>
      <c r="S174" s="38"/>
      <c r="T174" s="38"/>
      <c r="U174" s="38"/>
      <c r="V174" s="37"/>
      <c r="W174" s="37"/>
      <c r="X174" s="37"/>
      <c r="Y174" s="37"/>
      <c r="Z174" s="37"/>
      <c r="AA174" s="37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</row>
    <row r="175" spans="1:52" ht="39.75" hidden="1" customHeight="1" x14ac:dyDescent="0.2">
      <c r="A175" s="45" t="str">
        <f t="shared" si="9"/>
        <v/>
      </c>
      <c r="B175" s="45"/>
      <c r="C175" s="45"/>
      <c r="D175" s="45"/>
      <c r="E175" s="50"/>
      <c r="F175" s="51"/>
      <c r="G175" s="52"/>
      <c r="H175" s="52"/>
      <c r="I175" s="52" t="str">
        <f t="shared" si="10"/>
        <v/>
      </c>
      <c r="J175" s="54"/>
      <c r="K175" s="55" t="str">
        <f t="shared" si="11"/>
        <v/>
      </c>
      <c r="L175" s="54"/>
      <c r="M175" s="54"/>
      <c r="N175" s="54"/>
      <c r="O175" s="54"/>
      <c r="P175" s="54"/>
      <c r="S175" s="38"/>
      <c r="T175" s="38"/>
      <c r="U175" s="38"/>
      <c r="V175" s="37"/>
      <c r="W175" s="37"/>
      <c r="X175" s="37"/>
      <c r="Y175" s="37"/>
      <c r="Z175" s="37"/>
      <c r="AA175" s="37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</row>
    <row r="176" spans="1:52" ht="39.75" hidden="1" customHeight="1" x14ac:dyDescent="0.2">
      <c r="A176" s="45" t="str">
        <f t="shared" si="9"/>
        <v/>
      </c>
      <c r="B176" s="45"/>
      <c r="C176" s="45"/>
      <c r="D176" s="45"/>
      <c r="E176" s="50"/>
      <c r="F176" s="51"/>
      <c r="G176" s="52"/>
      <c r="H176" s="52"/>
      <c r="I176" s="52" t="str">
        <f t="shared" si="10"/>
        <v/>
      </c>
      <c r="J176" s="54"/>
      <c r="K176" s="55" t="str">
        <f t="shared" si="11"/>
        <v/>
      </c>
      <c r="L176" s="54"/>
      <c r="M176" s="54"/>
      <c r="N176" s="54"/>
      <c r="O176" s="54"/>
      <c r="P176" s="54"/>
      <c r="S176" s="38"/>
      <c r="T176" s="38"/>
      <c r="U176" s="38"/>
      <c r="V176" s="37"/>
      <c r="W176" s="37"/>
      <c r="X176" s="37"/>
      <c r="Y176" s="37"/>
      <c r="Z176" s="37"/>
      <c r="AA176" s="37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</row>
    <row r="177" spans="1:52" ht="39.75" hidden="1" customHeight="1" x14ac:dyDescent="0.2">
      <c r="A177" s="45" t="str">
        <f t="shared" si="9"/>
        <v/>
      </c>
      <c r="B177" s="45"/>
      <c r="C177" s="45"/>
      <c r="D177" s="45"/>
      <c r="E177" s="50"/>
      <c r="F177" s="51"/>
      <c r="G177" s="52"/>
      <c r="H177" s="52"/>
      <c r="I177" s="52" t="str">
        <f t="shared" si="10"/>
        <v/>
      </c>
      <c r="J177" s="54"/>
      <c r="K177" s="55" t="str">
        <f t="shared" si="11"/>
        <v/>
      </c>
      <c r="L177" s="54"/>
      <c r="M177" s="54"/>
      <c r="N177" s="54"/>
      <c r="O177" s="54"/>
      <c r="P177" s="54"/>
      <c r="S177" s="38"/>
      <c r="T177" s="38"/>
      <c r="U177" s="38"/>
      <c r="V177" s="37"/>
      <c r="W177" s="37"/>
      <c r="X177" s="37"/>
      <c r="Y177" s="37"/>
      <c r="Z177" s="37"/>
      <c r="AA177" s="37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</row>
    <row r="178" spans="1:52" ht="39.75" hidden="1" customHeight="1" x14ac:dyDescent="0.2">
      <c r="A178" s="45" t="str">
        <f t="shared" si="9"/>
        <v/>
      </c>
      <c r="B178" s="45"/>
      <c r="C178" s="45"/>
      <c r="D178" s="45"/>
      <c r="E178" s="50"/>
      <c r="F178" s="51"/>
      <c r="G178" s="52"/>
      <c r="H178" s="52"/>
      <c r="I178" s="52" t="str">
        <f t="shared" si="10"/>
        <v/>
      </c>
      <c r="J178" s="54"/>
      <c r="K178" s="55" t="str">
        <f t="shared" si="11"/>
        <v/>
      </c>
      <c r="L178" s="54"/>
      <c r="M178" s="54"/>
      <c r="N178" s="54"/>
      <c r="O178" s="54"/>
      <c r="P178" s="54"/>
      <c r="S178" s="38"/>
      <c r="T178" s="38"/>
      <c r="U178" s="38"/>
      <c r="V178" s="37"/>
      <c r="W178" s="37"/>
      <c r="X178" s="37"/>
      <c r="Y178" s="37"/>
      <c r="Z178" s="37"/>
      <c r="AA178" s="37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</row>
    <row r="179" spans="1:52" ht="39.75" hidden="1" customHeight="1" x14ac:dyDescent="0.2">
      <c r="A179" s="45" t="str">
        <f t="shared" si="9"/>
        <v/>
      </c>
      <c r="B179" s="45"/>
      <c r="C179" s="45"/>
      <c r="D179" s="45"/>
      <c r="E179" s="50"/>
      <c r="F179" s="51"/>
      <c r="G179" s="52"/>
      <c r="H179" s="52"/>
      <c r="I179" s="52" t="str">
        <f t="shared" si="10"/>
        <v/>
      </c>
      <c r="J179" s="54"/>
      <c r="K179" s="55" t="str">
        <f t="shared" si="11"/>
        <v/>
      </c>
      <c r="L179" s="54"/>
      <c r="M179" s="54"/>
      <c r="N179" s="54"/>
      <c r="O179" s="54"/>
      <c r="P179" s="54"/>
      <c r="S179" s="38"/>
      <c r="T179" s="38"/>
      <c r="U179" s="38"/>
      <c r="V179" s="37"/>
      <c r="W179" s="37"/>
      <c r="X179" s="37"/>
      <c r="Y179" s="37"/>
      <c r="Z179" s="37"/>
      <c r="AA179" s="37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</row>
    <row r="180" spans="1:52" ht="39.75" hidden="1" customHeight="1" x14ac:dyDescent="0.2">
      <c r="A180" s="45" t="str">
        <f t="shared" si="9"/>
        <v/>
      </c>
      <c r="B180" s="45"/>
      <c r="C180" s="45"/>
      <c r="D180" s="45"/>
      <c r="E180" s="50"/>
      <c r="F180" s="51"/>
      <c r="G180" s="52"/>
      <c r="H180" s="52"/>
      <c r="I180" s="52" t="str">
        <f t="shared" si="10"/>
        <v/>
      </c>
      <c r="J180" s="54"/>
      <c r="K180" s="55" t="str">
        <f t="shared" si="11"/>
        <v/>
      </c>
      <c r="L180" s="54"/>
      <c r="M180" s="54"/>
      <c r="N180" s="54"/>
      <c r="O180" s="54"/>
      <c r="P180" s="54"/>
      <c r="S180" s="38"/>
      <c r="T180" s="38"/>
      <c r="U180" s="38"/>
      <c r="V180" s="37"/>
      <c r="W180" s="37"/>
      <c r="X180" s="37"/>
      <c r="Y180" s="37"/>
      <c r="Z180" s="37"/>
      <c r="AA180" s="37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</row>
    <row r="181" spans="1:52" ht="39.75" hidden="1" customHeight="1" x14ac:dyDescent="0.2">
      <c r="A181" s="45" t="str">
        <f t="shared" si="9"/>
        <v/>
      </c>
      <c r="B181" s="45"/>
      <c r="C181" s="45"/>
      <c r="D181" s="45"/>
      <c r="E181" s="50"/>
      <c r="F181" s="51"/>
      <c r="G181" s="52"/>
      <c r="H181" s="52"/>
      <c r="I181" s="52" t="str">
        <f t="shared" si="10"/>
        <v/>
      </c>
      <c r="J181" s="54"/>
      <c r="K181" s="55" t="str">
        <f t="shared" si="11"/>
        <v/>
      </c>
      <c r="L181" s="54"/>
      <c r="M181" s="54"/>
      <c r="N181" s="54"/>
      <c r="O181" s="54"/>
      <c r="P181" s="54"/>
      <c r="S181" s="38"/>
      <c r="T181" s="38"/>
      <c r="U181" s="38"/>
      <c r="V181" s="37"/>
      <c r="W181" s="37"/>
      <c r="X181" s="37"/>
      <c r="Y181" s="37"/>
      <c r="Z181" s="37"/>
      <c r="AA181" s="37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</row>
    <row r="182" spans="1:52" ht="39.75" hidden="1" customHeight="1" x14ac:dyDescent="0.2">
      <c r="A182" s="45" t="str">
        <f t="shared" si="9"/>
        <v/>
      </c>
      <c r="B182" s="45"/>
      <c r="C182" s="45"/>
      <c r="D182" s="45"/>
      <c r="E182" s="50"/>
      <c r="F182" s="51"/>
      <c r="G182" s="52"/>
      <c r="H182" s="52"/>
      <c r="I182" s="52" t="str">
        <f t="shared" si="10"/>
        <v/>
      </c>
      <c r="J182" s="54"/>
      <c r="K182" s="55" t="str">
        <f t="shared" si="11"/>
        <v/>
      </c>
      <c r="L182" s="54"/>
      <c r="M182" s="54"/>
      <c r="N182" s="54"/>
      <c r="O182" s="54"/>
      <c r="P182" s="54"/>
      <c r="S182" s="38"/>
      <c r="T182" s="38"/>
      <c r="U182" s="38"/>
      <c r="V182" s="37"/>
      <c r="W182" s="37"/>
      <c r="X182" s="37"/>
      <c r="Y182" s="37"/>
      <c r="Z182" s="37"/>
      <c r="AA182" s="37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</row>
    <row r="183" spans="1:52" ht="39.75" hidden="1" customHeight="1" x14ac:dyDescent="0.2">
      <c r="A183" s="45" t="str">
        <f t="shared" si="9"/>
        <v/>
      </c>
      <c r="B183" s="45"/>
      <c r="C183" s="45"/>
      <c r="D183" s="45"/>
      <c r="E183" s="50"/>
      <c r="F183" s="51"/>
      <c r="G183" s="52"/>
      <c r="H183" s="52"/>
      <c r="I183" s="52" t="str">
        <f t="shared" si="10"/>
        <v/>
      </c>
      <c r="J183" s="54"/>
      <c r="K183" s="55" t="str">
        <f t="shared" si="11"/>
        <v/>
      </c>
      <c r="L183" s="54"/>
      <c r="M183" s="54"/>
      <c r="N183" s="54"/>
      <c r="O183" s="54"/>
      <c r="P183" s="54"/>
      <c r="S183" s="38"/>
      <c r="T183" s="38"/>
      <c r="U183" s="38"/>
      <c r="V183" s="37"/>
      <c r="W183" s="37"/>
      <c r="X183" s="37"/>
      <c r="Y183" s="37"/>
      <c r="Z183" s="37"/>
      <c r="AA183" s="37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</row>
    <row r="184" spans="1:52" ht="39.75" hidden="1" customHeight="1" x14ac:dyDescent="0.2">
      <c r="A184" s="45" t="str">
        <f t="shared" si="9"/>
        <v/>
      </c>
      <c r="B184" s="45"/>
      <c r="C184" s="45"/>
      <c r="D184" s="45"/>
      <c r="E184" s="50"/>
      <c r="F184" s="51"/>
      <c r="G184" s="52"/>
      <c r="H184" s="52"/>
      <c r="I184" s="52" t="str">
        <f t="shared" si="10"/>
        <v/>
      </c>
      <c r="J184" s="54"/>
      <c r="K184" s="55" t="str">
        <f t="shared" si="11"/>
        <v/>
      </c>
      <c r="L184" s="54"/>
      <c r="M184" s="54"/>
      <c r="N184" s="54"/>
      <c r="O184" s="54"/>
      <c r="P184" s="54"/>
      <c r="S184" s="38"/>
      <c r="T184" s="38"/>
      <c r="U184" s="38"/>
      <c r="V184" s="37"/>
      <c r="W184" s="37"/>
      <c r="X184" s="37"/>
      <c r="Y184" s="37"/>
      <c r="Z184" s="37"/>
      <c r="AA184" s="37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</row>
    <row r="185" spans="1:52" ht="39.75" hidden="1" customHeight="1" x14ac:dyDescent="0.2">
      <c r="A185" s="45" t="str">
        <f t="shared" si="9"/>
        <v/>
      </c>
      <c r="B185" s="45"/>
      <c r="C185" s="45"/>
      <c r="D185" s="45"/>
      <c r="E185" s="50"/>
      <c r="F185" s="51"/>
      <c r="G185" s="52"/>
      <c r="H185" s="52"/>
      <c r="I185" s="52" t="str">
        <f t="shared" si="10"/>
        <v/>
      </c>
      <c r="J185" s="54"/>
      <c r="K185" s="55" t="str">
        <f t="shared" si="11"/>
        <v/>
      </c>
      <c r="L185" s="54"/>
      <c r="M185" s="54"/>
      <c r="N185" s="54"/>
      <c r="O185" s="54"/>
      <c r="P185" s="54"/>
      <c r="S185" s="38"/>
      <c r="T185" s="38"/>
      <c r="U185" s="38"/>
      <c r="V185" s="37"/>
      <c r="W185" s="37"/>
      <c r="X185" s="37"/>
      <c r="Y185" s="37"/>
      <c r="Z185" s="37"/>
      <c r="AA185" s="37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</row>
    <row r="186" spans="1:52" ht="39.75" hidden="1" customHeight="1" x14ac:dyDescent="0.2">
      <c r="A186" s="45" t="str">
        <f t="shared" si="9"/>
        <v/>
      </c>
      <c r="B186" s="45"/>
      <c r="C186" s="45"/>
      <c r="D186" s="45"/>
      <c r="E186" s="50"/>
      <c r="F186" s="51"/>
      <c r="G186" s="52"/>
      <c r="H186" s="52"/>
      <c r="I186" s="52" t="str">
        <f t="shared" si="10"/>
        <v/>
      </c>
      <c r="J186" s="54"/>
      <c r="K186" s="55" t="str">
        <f t="shared" si="11"/>
        <v/>
      </c>
      <c r="L186" s="54"/>
      <c r="M186" s="54"/>
      <c r="N186" s="54"/>
      <c r="O186" s="54"/>
      <c r="P186" s="54"/>
      <c r="S186" s="38"/>
      <c r="T186" s="38"/>
      <c r="U186" s="38"/>
      <c r="V186" s="37"/>
      <c r="W186" s="37"/>
      <c r="X186" s="37"/>
      <c r="Y186" s="37"/>
      <c r="Z186" s="37"/>
      <c r="AA186" s="37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</row>
    <row r="187" spans="1:52" ht="39.75" hidden="1" customHeight="1" x14ac:dyDescent="0.2">
      <c r="A187" s="45" t="str">
        <f t="shared" si="9"/>
        <v/>
      </c>
      <c r="B187" s="45"/>
      <c r="C187" s="45"/>
      <c r="D187" s="45"/>
      <c r="E187" s="50"/>
      <c r="F187" s="51"/>
      <c r="G187" s="52"/>
      <c r="H187" s="52"/>
      <c r="I187" s="52" t="str">
        <f t="shared" si="10"/>
        <v/>
      </c>
      <c r="J187" s="54"/>
      <c r="K187" s="55" t="str">
        <f t="shared" si="11"/>
        <v/>
      </c>
      <c r="L187" s="54"/>
      <c r="M187" s="54"/>
      <c r="N187" s="54"/>
      <c r="O187" s="54"/>
      <c r="P187" s="54"/>
      <c r="S187" s="38"/>
      <c r="T187" s="38"/>
      <c r="U187" s="38"/>
      <c r="V187" s="37"/>
      <c r="W187" s="37"/>
      <c r="X187" s="37"/>
      <c r="Y187" s="37"/>
      <c r="Z187" s="37"/>
      <c r="AA187" s="37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</row>
    <row r="188" spans="1:52" ht="39.75" hidden="1" customHeight="1" x14ac:dyDescent="0.2">
      <c r="A188" s="45" t="str">
        <f t="shared" si="9"/>
        <v/>
      </c>
      <c r="B188" s="45"/>
      <c r="C188" s="45"/>
      <c r="D188" s="45"/>
      <c r="E188" s="50"/>
      <c r="F188" s="51"/>
      <c r="G188" s="52"/>
      <c r="H188" s="52"/>
      <c r="I188" s="52" t="str">
        <f t="shared" si="10"/>
        <v/>
      </c>
      <c r="J188" s="54"/>
      <c r="K188" s="55" t="str">
        <f t="shared" si="11"/>
        <v/>
      </c>
      <c r="L188" s="54"/>
      <c r="M188" s="54"/>
      <c r="N188" s="54"/>
      <c r="O188" s="54"/>
      <c r="P188" s="54"/>
      <c r="S188" s="38"/>
      <c r="T188" s="38"/>
      <c r="U188" s="38"/>
      <c r="V188" s="37"/>
      <c r="W188" s="37"/>
      <c r="X188" s="37"/>
      <c r="Y188" s="37"/>
      <c r="Z188" s="37"/>
      <c r="AA188" s="37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</row>
    <row r="189" spans="1:52" ht="39.75" hidden="1" customHeight="1" x14ac:dyDescent="0.2">
      <c r="A189" s="45" t="str">
        <f t="shared" si="9"/>
        <v/>
      </c>
      <c r="B189" s="45"/>
      <c r="C189" s="45"/>
      <c r="D189" s="45"/>
      <c r="E189" s="50"/>
      <c r="F189" s="51"/>
      <c r="G189" s="52"/>
      <c r="H189" s="52"/>
      <c r="I189" s="52" t="str">
        <f t="shared" si="10"/>
        <v/>
      </c>
      <c r="J189" s="54"/>
      <c r="K189" s="55" t="str">
        <f t="shared" si="11"/>
        <v/>
      </c>
      <c r="L189" s="54"/>
      <c r="M189" s="54"/>
      <c r="N189" s="54"/>
      <c r="O189" s="54"/>
      <c r="P189" s="54"/>
      <c r="S189" s="38"/>
      <c r="T189" s="38"/>
      <c r="U189" s="38"/>
      <c r="V189" s="37"/>
      <c r="W189" s="37"/>
      <c r="X189" s="37"/>
      <c r="Y189" s="37"/>
      <c r="Z189" s="37"/>
      <c r="AA189" s="37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</row>
    <row r="190" spans="1:52" ht="39.75" hidden="1" customHeight="1" x14ac:dyDescent="0.2">
      <c r="A190" s="45" t="str">
        <f t="shared" si="9"/>
        <v/>
      </c>
      <c r="B190" s="45"/>
      <c r="C190" s="45"/>
      <c r="D190" s="45"/>
      <c r="E190" s="50"/>
      <c r="F190" s="51"/>
      <c r="G190" s="52"/>
      <c r="H190" s="52"/>
      <c r="I190" s="52" t="str">
        <f t="shared" si="10"/>
        <v/>
      </c>
      <c r="J190" s="54"/>
      <c r="K190" s="55" t="str">
        <f t="shared" si="11"/>
        <v/>
      </c>
      <c r="L190" s="54"/>
      <c r="M190" s="54"/>
      <c r="N190" s="54"/>
      <c r="O190" s="54"/>
      <c r="P190" s="54"/>
      <c r="S190" s="38"/>
      <c r="T190" s="38"/>
      <c r="U190" s="38"/>
      <c r="V190" s="37"/>
      <c r="W190" s="37"/>
      <c r="X190" s="37"/>
      <c r="Y190" s="37"/>
      <c r="Z190" s="37"/>
      <c r="AA190" s="37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</row>
    <row r="191" spans="1:52" ht="39.75" hidden="1" customHeight="1" x14ac:dyDescent="0.2">
      <c r="A191" s="45" t="str">
        <f t="shared" si="9"/>
        <v/>
      </c>
      <c r="B191" s="45"/>
      <c r="C191" s="45"/>
      <c r="D191" s="45"/>
      <c r="E191" s="50"/>
      <c r="F191" s="51"/>
      <c r="G191" s="52"/>
      <c r="H191" s="52"/>
      <c r="I191" s="52" t="str">
        <f t="shared" si="10"/>
        <v/>
      </c>
      <c r="J191" s="54"/>
      <c r="K191" s="55" t="str">
        <f t="shared" si="11"/>
        <v/>
      </c>
      <c r="L191" s="54"/>
      <c r="M191" s="54"/>
      <c r="N191" s="54"/>
      <c r="O191" s="54"/>
      <c r="P191" s="54"/>
      <c r="S191" s="38"/>
      <c r="T191" s="38"/>
      <c r="U191" s="38"/>
      <c r="V191" s="37"/>
      <c r="W191" s="37"/>
      <c r="X191" s="37"/>
      <c r="Y191" s="37"/>
      <c r="Z191" s="37"/>
      <c r="AA191" s="37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</row>
    <row r="192" spans="1:52" ht="39.75" hidden="1" customHeight="1" x14ac:dyDescent="0.2">
      <c r="A192" s="45" t="str">
        <f t="shared" si="9"/>
        <v/>
      </c>
      <c r="B192" s="45"/>
      <c r="C192" s="45"/>
      <c r="D192" s="45"/>
      <c r="E192" s="50"/>
      <c r="F192" s="51"/>
      <c r="G192" s="52"/>
      <c r="H192" s="52"/>
      <c r="I192" s="52" t="str">
        <f t="shared" si="10"/>
        <v/>
      </c>
      <c r="J192" s="54"/>
      <c r="K192" s="55" t="str">
        <f t="shared" si="11"/>
        <v/>
      </c>
      <c r="L192" s="54"/>
      <c r="M192" s="54"/>
      <c r="N192" s="54"/>
      <c r="O192" s="54"/>
      <c r="P192" s="54"/>
      <c r="S192" s="38"/>
      <c r="T192" s="38"/>
      <c r="U192" s="38"/>
      <c r="V192" s="37"/>
      <c r="W192" s="37"/>
      <c r="X192" s="37"/>
      <c r="Y192" s="37"/>
      <c r="Z192" s="37"/>
      <c r="AA192" s="37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</row>
    <row r="193" spans="1:52" ht="39.75" hidden="1" customHeight="1" x14ac:dyDescent="0.2">
      <c r="A193" s="45" t="str">
        <f t="shared" si="9"/>
        <v/>
      </c>
      <c r="B193" s="45"/>
      <c r="C193" s="45"/>
      <c r="D193" s="45"/>
      <c r="E193" s="50"/>
      <c r="F193" s="51"/>
      <c r="G193" s="52"/>
      <c r="H193" s="52"/>
      <c r="I193" s="52" t="str">
        <f t="shared" si="10"/>
        <v/>
      </c>
      <c r="J193" s="54"/>
      <c r="K193" s="55" t="str">
        <f t="shared" si="11"/>
        <v/>
      </c>
      <c r="L193" s="54"/>
      <c r="M193" s="54"/>
      <c r="N193" s="54"/>
      <c r="O193" s="54"/>
      <c r="P193" s="54"/>
      <c r="S193" s="38"/>
      <c r="T193" s="38"/>
      <c r="U193" s="38"/>
      <c r="V193" s="37"/>
      <c r="W193" s="37"/>
      <c r="X193" s="37"/>
      <c r="Y193" s="37"/>
      <c r="Z193" s="37"/>
      <c r="AA193" s="37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</row>
    <row r="194" spans="1:52" ht="39.75" hidden="1" customHeight="1" x14ac:dyDescent="0.2">
      <c r="A194" s="45" t="str">
        <f t="shared" si="9"/>
        <v/>
      </c>
      <c r="B194" s="45"/>
      <c r="C194" s="45"/>
      <c r="D194" s="45"/>
      <c r="E194" s="50"/>
      <c r="F194" s="51"/>
      <c r="G194" s="52"/>
      <c r="H194" s="52"/>
      <c r="I194" s="52" t="str">
        <f t="shared" si="10"/>
        <v/>
      </c>
      <c r="J194" s="54"/>
      <c r="K194" s="55" t="str">
        <f t="shared" si="11"/>
        <v/>
      </c>
      <c r="L194" s="54"/>
      <c r="M194" s="54"/>
      <c r="N194" s="54"/>
      <c r="O194" s="54"/>
      <c r="P194" s="54"/>
      <c r="S194" s="38"/>
      <c r="T194" s="38"/>
      <c r="U194" s="38"/>
      <c r="V194" s="37"/>
      <c r="W194" s="37"/>
      <c r="X194" s="37"/>
      <c r="Y194" s="37"/>
      <c r="Z194" s="37"/>
      <c r="AA194" s="37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</row>
    <row r="195" spans="1:52" ht="39.75" hidden="1" customHeight="1" x14ac:dyDescent="0.2">
      <c r="A195" s="45" t="str">
        <f t="shared" si="9"/>
        <v/>
      </c>
      <c r="B195" s="45"/>
      <c r="C195" s="45"/>
      <c r="D195" s="45"/>
      <c r="E195" s="50"/>
      <c r="F195" s="51"/>
      <c r="G195" s="52"/>
      <c r="H195" s="52"/>
      <c r="I195" s="52" t="str">
        <f t="shared" si="10"/>
        <v/>
      </c>
      <c r="J195" s="54"/>
      <c r="K195" s="55" t="str">
        <f t="shared" si="11"/>
        <v/>
      </c>
      <c r="L195" s="54"/>
      <c r="M195" s="54"/>
      <c r="N195" s="54"/>
      <c r="O195" s="54"/>
      <c r="P195" s="54"/>
      <c r="S195" s="38"/>
      <c r="T195" s="38"/>
      <c r="U195" s="38"/>
      <c r="V195" s="37"/>
      <c r="W195" s="37"/>
      <c r="X195" s="37"/>
      <c r="Y195" s="37"/>
      <c r="Z195" s="37"/>
      <c r="AA195" s="37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</row>
    <row r="196" spans="1:52" ht="39.75" hidden="1" customHeight="1" x14ac:dyDescent="0.2">
      <c r="A196" s="45" t="str">
        <f t="shared" si="9"/>
        <v/>
      </c>
      <c r="B196" s="45"/>
      <c r="C196" s="45"/>
      <c r="D196" s="45"/>
      <c r="E196" s="50"/>
      <c r="F196" s="51"/>
      <c r="G196" s="52"/>
      <c r="H196" s="52"/>
      <c r="I196" s="52" t="str">
        <f t="shared" si="10"/>
        <v/>
      </c>
      <c r="J196" s="54"/>
      <c r="K196" s="55" t="str">
        <f t="shared" si="11"/>
        <v/>
      </c>
      <c r="L196" s="54"/>
      <c r="M196" s="54"/>
      <c r="N196" s="54"/>
      <c r="O196" s="54"/>
      <c r="P196" s="54"/>
      <c r="S196" s="38"/>
      <c r="T196" s="38"/>
      <c r="U196" s="38"/>
      <c r="V196" s="37"/>
      <c r="W196" s="37"/>
      <c r="X196" s="37"/>
      <c r="Y196" s="37"/>
      <c r="Z196" s="37"/>
      <c r="AA196" s="37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</row>
    <row r="197" spans="1:52" ht="39.75" hidden="1" customHeight="1" x14ac:dyDescent="0.2">
      <c r="A197" s="45" t="str">
        <f t="shared" si="9"/>
        <v/>
      </c>
      <c r="B197" s="45"/>
      <c r="C197" s="45"/>
      <c r="D197" s="45"/>
      <c r="E197" s="50"/>
      <c r="F197" s="51"/>
      <c r="G197" s="52"/>
      <c r="H197" s="52"/>
      <c r="I197" s="52" t="str">
        <f t="shared" si="10"/>
        <v/>
      </c>
      <c r="J197" s="54"/>
      <c r="K197" s="55" t="str">
        <f t="shared" si="11"/>
        <v/>
      </c>
      <c r="L197" s="54"/>
      <c r="M197" s="54"/>
      <c r="N197" s="54"/>
      <c r="O197" s="54"/>
      <c r="P197" s="54"/>
      <c r="S197" s="38"/>
      <c r="T197" s="38"/>
      <c r="U197" s="38"/>
      <c r="V197" s="37"/>
      <c r="W197" s="37"/>
      <c r="X197" s="37"/>
      <c r="Y197" s="37"/>
      <c r="Z197" s="37"/>
      <c r="AA197" s="37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</row>
    <row r="198" spans="1:52" ht="39.75" hidden="1" customHeight="1" x14ac:dyDescent="0.2">
      <c r="A198" s="45" t="str">
        <f t="shared" ref="A198:A261" si="12">IF(F198="","",ROW()-5)</f>
        <v/>
      </c>
      <c r="B198" s="45"/>
      <c r="C198" s="45"/>
      <c r="D198" s="45"/>
      <c r="E198" s="50"/>
      <c r="F198" s="51"/>
      <c r="G198" s="52"/>
      <c r="H198" s="52"/>
      <c r="I198" s="52" t="str">
        <f t="shared" ref="I198:I261" si="13">IF(AND(LEN(F198)=18, ISBLANK(G198)=FALSE(), ISBLANK(H198)=FALSE()),37,"")</f>
        <v/>
      </c>
      <c r="J198" s="54"/>
      <c r="K198" s="55" t="str">
        <f t="shared" ref="K198:K261" si="14">IF(OR(J198="",Q198=0),"",IF(COUNTA(L198:P198)&gt;Q198,"Seluruh pilihan telah dipilih, anda memilih lebih dari kemungkinan pilihan yang tersedia, periksa pilihan anda "&amp;"("&amp;COUNTA(L198:P198)&amp;"/"&amp;Q198&amp;")",IF(COUNTA(L198:P198)=Q198,IF(SUMPRODUCT(COUNTIF(L198:P198,L198:P198)*(L198:P198&lt;&gt;""))&gt;COUNTA(L198:P198),"Terdapat pilihan yang sama, segera ubah "&amp;"("&amp;COUNTA(L198:P198)&amp;"/"&amp;Q198&amp;")","Seluruh pilihan telah dipilih "&amp;"("&amp;COUNTA(L198:P198)&amp;"/"&amp;Q198&amp;")"),IF(COUNTA(L198:P198)&gt;0,"Masih terdapat pilihan yang bisa dipilih, silahkan melengkapi pilihan "&amp;"("&amp;COUNTA(L198:P198)&amp;"/"&amp;Q198&amp;")",""))))</f>
        <v/>
      </c>
      <c r="L198" s="54"/>
      <c r="M198" s="54"/>
      <c r="N198" s="54"/>
      <c r="O198" s="54"/>
      <c r="P198" s="54"/>
      <c r="S198" s="38"/>
      <c r="T198" s="38"/>
      <c r="U198" s="38"/>
      <c r="V198" s="37"/>
      <c r="W198" s="37"/>
      <c r="X198" s="37"/>
      <c r="Y198" s="37"/>
      <c r="Z198" s="37"/>
      <c r="AA198" s="37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</row>
    <row r="199" spans="1:52" ht="39.75" hidden="1" customHeight="1" x14ac:dyDescent="0.2">
      <c r="A199" s="45" t="str">
        <f t="shared" si="12"/>
        <v/>
      </c>
      <c r="B199" s="45"/>
      <c r="C199" s="45"/>
      <c r="D199" s="45"/>
      <c r="E199" s="50"/>
      <c r="F199" s="51"/>
      <c r="G199" s="52"/>
      <c r="H199" s="52"/>
      <c r="I199" s="52" t="str">
        <f t="shared" si="13"/>
        <v/>
      </c>
      <c r="J199" s="54"/>
      <c r="K199" s="55" t="str">
        <f t="shared" si="14"/>
        <v/>
      </c>
      <c r="L199" s="54"/>
      <c r="M199" s="54"/>
      <c r="N199" s="54"/>
      <c r="O199" s="54"/>
      <c r="P199" s="54"/>
      <c r="S199" s="38"/>
      <c r="T199" s="38"/>
      <c r="U199" s="38"/>
      <c r="V199" s="37"/>
      <c r="W199" s="37"/>
      <c r="X199" s="37"/>
      <c r="Y199" s="37"/>
      <c r="Z199" s="37"/>
      <c r="AA199" s="37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</row>
    <row r="200" spans="1:52" ht="39.75" hidden="1" customHeight="1" x14ac:dyDescent="0.2">
      <c r="A200" s="45" t="str">
        <f t="shared" si="12"/>
        <v/>
      </c>
      <c r="B200" s="45"/>
      <c r="C200" s="45"/>
      <c r="D200" s="45"/>
      <c r="E200" s="50"/>
      <c r="F200" s="51"/>
      <c r="G200" s="52"/>
      <c r="H200" s="52"/>
      <c r="I200" s="52" t="str">
        <f t="shared" si="13"/>
        <v/>
      </c>
      <c r="J200" s="54"/>
      <c r="K200" s="55" t="str">
        <f t="shared" si="14"/>
        <v/>
      </c>
      <c r="L200" s="54"/>
      <c r="M200" s="54"/>
      <c r="N200" s="54"/>
      <c r="O200" s="54"/>
      <c r="P200" s="54"/>
      <c r="S200" s="38"/>
      <c r="T200" s="38"/>
      <c r="U200" s="38"/>
      <c r="V200" s="37"/>
      <c r="W200" s="37"/>
      <c r="X200" s="37"/>
      <c r="Y200" s="37"/>
      <c r="Z200" s="37"/>
      <c r="AA200" s="37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</row>
    <row r="201" spans="1:52" ht="39.75" hidden="1" customHeight="1" x14ac:dyDescent="0.2">
      <c r="A201" s="45" t="str">
        <f t="shared" si="12"/>
        <v/>
      </c>
      <c r="B201" s="45"/>
      <c r="C201" s="45"/>
      <c r="D201" s="45"/>
      <c r="E201" s="50"/>
      <c r="F201" s="51"/>
      <c r="G201" s="52"/>
      <c r="H201" s="52"/>
      <c r="I201" s="52" t="str">
        <f t="shared" si="13"/>
        <v/>
      </c>
      <c r="J201" s="54"/>
      <c r="K201" s="55" t="str">
        <f t="shared" si="14"/>
        <v/>
      </c>
      <c r="L201" s="54"/>
      <c r="M201" s="54"/>
      <c r="N201" s="54"/>
      <c r="O201" s="54"/>
      <c r="P201" s="54"/>
      <c r="S201" s="38"/>
      <c r="T201" s="38"/>
      <c r="U201" s="38"/>
      <c r="V201" s="37"/>
      <c r="W201" s="37"/>
      <c r="X201" s="37"/>
      <c r="Y201" s="37"/>
      <c r="Z201" s="37"/>
      <c r="AA201" s="37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</row>
    <row r="202" spans="1:52" ht="39.75" hidden="1" customHeight="1" x14ac:dyDescent="0.2">
      <c r="A202" s="45" t="str">
        <f t="shared" si="12"/>
        <v/>
      </c>
      <c r="B202" s="45"/>
      <c r="C202" s="45"/>
      <c r="D202" s="45"/>
      <c r="E202" s="50"/>
      <c r="F202" s="51"/>
      <c r="G202" s="52"/>
      <c r="H202" s="52"/>
      <c r="I202" s="52" t="str">
        <f t="shared" si="13"/>
        <v/>
      </c>
      <c r="J202" s="54"/>
      <c r="K202" s="55" t="str">
        <f t="shared" si="14"/>
        <v/>
      </c>
      <c r="L202" s="54"/>
      <c r="M202" s="54"/>
      <c r="N202" s="54"/>
      <c r="O202" s="54"/>
      <c r="P202" s="54"/>
      <c r="S202" s="38"/>
      <c r="T202" s="38"/>
      <c r="U202" s="38"/>
      <c r="V202" s="37"/>
      <c r="W202" s="37"/>
      <c r="X202" s="37"/>
      <c r="Y202" s="37"/>
      <c r="Z202" s="37"/>
      <c r="AA202" s="37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</row>
    <row r="203" spans="1:52" ht="39.75" hidden="1" customHeight="1" x14ac:dyDescent="0.2">
      <c r="A203" s="45" t="str">
        <f t="shared" si="12"/>
        <v/>
      </c>
      <c r="B203" s="45"/>
      <c r="C203" s="45"/>
      <c r="D203" s="45"/>
      <c r="E203" s="50"/>
      <c r="F203" s="51"/>
      <c r="G203" s="52"/>
      <c r="H203" s="52"/>
      <c r="I203" s="52" t="str">
        <f t="shared" si="13"/>
        <v/>
      </c>
      <c r="J203" s="54"/>
      <c r="K203" s="55" t="str">
        <f t="shared" si="14"/>
        <v/>
      </c>
      <c r="L203" s="54"/>
      <c r="M203" s="54"/>
      <c r="N203" s="54"/>
      <c r="O203" s="54"/>
      <c r="P203" s="54"/>
      <c r="S203" s="38"/>
      <c r="T203" s="38"/>
      <c r="U203" s="38"/>
      <c r="V203" s="37"/>
      <c r="W203" s="37"/>
      <c r="X203" s="37"/>
      <c r="Y203" s="37"/>
      <c r="Z203" s="37"/>
      <c r="AA203" s="37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</row>
    <row r="204" spans="1:52" ht="39.75" hidden="1" customHeight="1" x14ac:dyDescent="0.2">
      <c r="A204" s="45" t="str">
        <f t="shared" si="12"/>
        <v/>
      </c>
      <c r="B204" s="45"/>
      <c r="C204" s="45"/>
      <c r="D204" s="45"/>
      <c r="E204" s="50"/>
      <c r="F204" s="51"/>
      <c r="G204" s="52"/>
      <c r="H204" s="52"/>
      <c r="I204" s="52" t="str">
        <f t="shared" si="13"/>
        <v/>
      </c>
      <c r="J204" s="54"/>
      <c r="K204" s="55" t="str">
        <f t="shared" si="14"/>
        <v/>
      </c>
      <c r="L204" s="54"/>
      <c r="M204" s="54"/>
      <c r="N204" s="54"/>
      <c r="O204" s="54"/>
      <c r="P204" s="54"/>
      <c r="S204" s="38"/>
      <c r="T204" s="38"/>
      <c r="U204" s="38"/>
      <c r="V204" s="37"/>
      <c r="W204" s="37"/>
      <c r="X204" s="37"/>
      <c r="Y204" s="37"/>
      <c r="Z204" s="37"/>
      <c r="AA204" s="37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</row>
    <row r="205" spans="1:52" ht="39.75" hidden="1" customHeight="1" x14ac:dyDescent="0.2">
      <c r="A205" s="45" t="str">
        <f t="shared" si="12"/>
        <v/>
      </c>
      <c r="B205" s="45"/>
      <c r="C205" s="45"/>
      <c r="D205" s="45"/>
      <c r="E205" s="50"/>
      <c r="F205" s="51"/>
      <c r="G205" s="52"/>
      <c r="H205" s="52"/>
      <c r="I205" s="52" t="str">
        <f t="shared" si="13"/>
        <v/>
      </c>
      <c r="J205" s="54"/>
      <c r="K205" s="55" t="str">
        <f t="shared" si="14"/>
        <v/>
      </c>
      <c r="L205" s="54"/>
      <c r="M205" s="54"/>
      <c r="N205" s="54"/>
      <c r="O205" s="54"/>
      <c r="P205" s="54"/>
      <c r="S205" s="38"/>
      <c r="T205" s="38"/>
      <c r="U205" s="38"/>
      <c r="V205" s="37"/>
      <c r="W205" s="37"/>
      <c r="X205" s="37"/>
      <c r="Y205" s="37"/>
      <c r="Z205" s="37"/>
      <c r="AA205" s="37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</row>
    <row r="206" spans="1:52" ht="39.75" hidden="1" customHeight="1" x14ac:dyDescent="0.2">
      <c r="A206" s="45" t="str">
        <f t="shared" si="12"/>
        <v/>
      </c>
      <c r="B206" s="45"/>
      <c r="C206" s="45"/>
      <c r="D206" s="45"/>
      <c r="E206" s="50"/>
      <c r="F206" s="51"/>
      <c r="G206" s="52"/>
      <c r="H206" s="52"/>
      <c r="I206" s="52" t="str">
        <f t="shared" si="13"/>
        <v/>
      </c>
      <c r="J206" s="54"/>
      <c r="K206" s="55" t="str">
        <f t="shared" si="14"/>
        <v/>
      </c>
      <c r="L206" s="54"/>
      <c r="M206" s="54"/>
      <c r="N206" s="54"/>
      <c r="O206" s="54"/>
      <c r="P206" s="54"/>
      <c r="S206" s="38"/>
      <c r="T206" s="38"/>
      <c r="U206" s="38"/>
      <c r="V206" s="37"/>
      <c r="W206" s="37"/>
      <c r="X206" s="37"/>
      <c r="Y206" s="37"/>
      <c r="Z206" s="37"/>
      <c r="AA206" s="37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</row>
    <row r="207" spans="1:52" ht="39.75" hidden="1" customHeight="1" x14ac:dyDescent="0.2">
      <c r="A207" s="45" t="str">
        <f t="shared" si="12"/>
        <v/>
      </c>
      <c r="B207" s="45"/>
      <c r="C207" s="45"/>
      <c r="D207" s="45"/>
      <c r="E207" s="50"/>
      <c r="F207" s="51"/>
      <c r="G207" s="52"/>
      <c r="H207" s="52"/>
      <c r="I207" s="52" t="str">
        <f t="shared" si="13"/>
        <v/>
      </c>
      <c r="J207" s="54"/>
      <c r="K207" s="55" t="str">
        <f t="shared" si="14"/>
        <v/>
      </c>
      <c r="L207" s="54"/>
      <c r="M207" s="54"/>
      <c r="N207" s="54"/>
      <c r="O207" s="54"/>
      <c r="P207" s="54"/>
      <c r="S207" s="38"/>
      <c r="T207" s="38"/>
      <c r="U207" s="38"/>
      <c r="V207" s="37"/>
      <c r="W207" s="37"/>
      <c r="X207" s="37"/>
      <c r="Y207" s="37"/>
      <c r="Z207" s="37"/>
      <c r="AA207" s="37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</row>
    <row r="208" spans="1:52" ht="39.75" hidden="1" customHeight="1" x14ac:dyDescent="0.2">
      <c r="A208" s="45" t="str">
        <f t="shared" si="12"/>
        <v/>
      </c>
      <c r="B208" s="45"/>
      <c r="C208" s="45"/>
      <c r="D208" s="45"/>
      <c r="E208" s="50"/>
      <c r="F208" s="51"/>
      <c r="G208" s="52"/>
      <c r="H208" s="52"/>
      <c r="I208" s="52" t="str">
        <f t="shared" si="13"/>
        <v/>
      </c>
      <c r="J208" s="54"/>
      <c r="K208" s="55" t="str">
        <f t="shared" si="14"/>
        <v/>
      </c>
      <c r="L208" s="54"/>
      <c r="M208" s="54"/>
      <c r="N208" s="54"/>
      <c r="O208" s="54"/>
      <c r="P208" s="54"/>
      <c r="S208" s="38"/>
      <c r="T208" s="38"/>
      <c r="U208" s="38"/>
      <c r="V208" s="37"/>
      <c r="W208" s="37"/>
      <c r="X208" s="37"/>
      <c r="Y208" s="37"/>
      <c r="Z208" s="37"/>
      <c r="AA208" s="37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</row>
    <row r="209" spans="1:52" ht="39.75" hidden="1" customHeight="1" x14ac:dyDescent="0.2">
      <c r="A209" s="45" t="str">
        <f t="shared" si="12"/>
        <v/>
      </c>
      <c r="B209" s="45"/>
      <c r="C209" s="45"/>
      <c r="D209" s="45"/>
      <c r="E209" s="50"/>
      <c r="F209" s="51"/>
      <c r="G209" s="52"/>
      <c r="H209" s="52"/>
      <c r="I209" s="52" t="str">
        <f t="shared" si="13"/>
        <v/>
      </c>
      <c r="J209" s="54"/>
      <c r="K209" s="55" t="str">
        <f t="shared" si="14"/>
        <v/>
      </c>
      <c r="L209" s="54"/>
      <c r="M209" s="54"/>
      <c r="N209" s="54"/>
      <c r="O209" s="54"/>
      <c r="P209" s="54"/>
      <c r="S209" s="38"/>
      <c r="T209" s="38"/>
      <c r="U209" s="38"/>
      <c r="V209" s="37"/>
      <c r="W209" s="37"/>
      <c r="X209" s="37"/>
      <c r="Y209" s="37"/>
      <c r="Z209" s="37"/>
      <c r="AA209" s="37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</row>
    <row r="210" spans="1:52" ht="39.75" hidden="1" customHeight="1" x14ac:dyDescent="0.2">
      <c r="A210" s="45" t="str">
        <f t="shared" si="12"/>
        <v/>
      </c>
      <c r="B210" s="45"/>
      <c r="C210" s="45"/>
      <c r="D210" s="45"/>
      <c r="E210" s="50"/>
      <c r="F210" s="51"/>
      <c r="G210" s="52"/>
      <c r="H210" s="52"/>
      <c r="I210" s="52" t="str">
        <f t="shared" si="13"/>
        <v/>
      </c>
      <c r="J210" s="54"/>
      <c r="K210" s="55" t="str">
        <f t="shared" si="14"/>
        <v/>
      </c>
      <c r="L210" s="54"/>
      <c r="M210" s="54"/>
      <c r="N210" s="54"/>
      <c r="O210" s="54"/>
      <c r="P210" s="54"/>
      <c r="S210" s="38"/>
      <c r="T210" s="38"/>
      <c r="U210" s="38"/>
      <c r="V210" s="37"/>
      <c r="W210" s="37"/>
      <c r="X210" s="37"/>
      <c r="Y210" s="37"/>
      <c r="Z210" s="37"/>
      <c r="AA210" s="37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</row>
    <row r="211" spans="1:52" ht="39.75" hidden="1" customHeight="1" x14ac:dyDescent="0.2">
      <c r="A211" s="45" t="str">
        <f t="shared" si="12"/>
        <v/>
      </c>
      <c r="B211" s="45"/>
      <c r="C211" s="45"/>
      <c r="D211" s="45"/>
      <c r="E211" s="50"/>
      <c r="F211" s="51"/>
      <c r="G211" s="52"/>
      <c r="H211" s="52"/>
      <c r="I211" s="52" t="str">
        <f t="shared" si="13"/>
        <v/>
      </c>
      <c r="J211" s="54"/>
      <c r="K211" s="55" t="str">
        <f t="shared" si="14"/>
        <v/>
      </c>
      <c r="L211" s="54"/>
      <c r="M211" s="54"/>
      <c r="N211" s="54"/>
      <c r="O211" s="54"/>
      <c r="P211" s="54"/>
      <c r="S211" s="38"/>
      <c r="T211" s="38"/>
      <c r="U211" s="38"/>
      <c r="V211" s="37"/>
      <c r="W211" s="37"/>
      <c r="X211" s="37"/>
      <c r="Y211" s="37"/>
      <c r="Z211" s="37"/>
      <c r="AA211" s="37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</row>
    <row r="212" spans="1:52" ht="39.75" hidden="1" customHeight="1" x14ac:dyDescent="0.2">
      <c r="A212" s="45" t="str">
        <f t="shared" si="12"/>
        <v/>
      </c>
      <c r="B212" s="45"/>
      <c r="C212" s="45"/>
      <c r="D212" s="45"/>
      <c r="E212" s="50"/>
      <c r="F212" s="51"/>
      <c r="G212" s="52"/>
      <c r="H212" s="52"/>
      <c r="I212" s="52" t="str">
        <f t="shared" si="13"/>
        <v/>
      </c>
      <c r="J212" s="54"/>
      <c r="K212" s="55" t="str">
        <f t="shared" si="14"/>
        <v/>
      </c>
      <c r="L212" s="54"/>
      <c r="M212" s="54"/>
      <c r="N212" s="54"/>
      <c r="O212" s="54"/>
      <c r="P212" s="54"/>
      <c r="S212" s="38"/>
      <c r="T212" s="38"/>
      <c r="U212" s="38"/>
      <c r="V212" s="37"/>
      <c r="W212" s="37"/>
      <c r="X212" s="37"/>
      <c r="Y212" s="37"/>
      <c r="Z212" s="37"/>
      <c r="AA212" s="37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</row>
    <row r="213" spans="1:52" ht="39.75" hidden="1" customHeight="1" x14ac:dyDescent="0.2">
      <c r="A213" s="45" t="str">
        <f t="shared" si="12"/>
        <v/>
      </c>
      <c r="B213" s="45"/>
      <c r="C213" s="45"/>
      <c r="D213" s="45"/>
      <c r="E213" s="50"/>
      <c r="F213" s="51"/>
      <c r="G213" s="52"/>
      <c r="H213" s="52"/>
      <c r="I213" s="52" t="str">
        <f t="shared" si="13"/>
        <v/>
      </c>
      <c r="J213" s="54"/>
      <c r="K213" s="55" t="str">
        <f t="shared" si="14"/>
        <v/>
      </c>
      <c r="L213" s="54"/>
      <c r="M213" s="54"/>
      <c r="N213" s="54"/>
      <c r="O213" s="54"/>
      <c r="P213" s="54"/>
      <c r="S213" s="38"/>
      <c r="T213" s="38"/>
      <c r="U213" s="38"/>
      <c r="V213" s="37"/>
      <c r="W213" s="37"/>
      <c r="X213" s="37"/>
      <c r="Y213" s="37"/>
      <c r="Z213" s="37"/>
      <c r="AA213" s="37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</row>
    <row r="214" spans="1:52" ht="39.75" hidden="1" customHeight="1" x14ac:dyDescent="0.2">
      <c r="A214" s="45" t="str">
        <f t="shared" si="12"/>
        <v/>
      </c>
      <c r="B214" s="45"/>
      <c r="C214" s="45"/>
      <c r="D214" s="45"/>
      <c r="E214" s="50"/>
      <c r="F214" s="51"/>
      <c r="G214" s="52"/>
      <c r="H214" s="52"/>
      <c r="I214" s="52" t="str">
        <f t="shared" si="13"/>
        <v/>
      </c>
      <c r="J214" s="54"/>
      <c r="K214" s="55" t="str">
        <f t="shared" si="14"/>
        <v/>
      </c>
      <c r="L214" s="54"/>
      <c r="M214" s="54"/>
      <c r="N214" s="54"/>
      <c r="O214" s="54"/>
      <c r="P214" s="54"/>
      <c r="S214" s="38"/>
      <c r="T214" s="38"/>
      <c r="U214" s="38"/>
      <c r="V214" s="37"/>
      <c r="W214" s="37"/>
      <c r="X214" s="37"/>
      <c r="Y214" s="37"/>
      <c r="Z214" s="37"/>
      <c r="AA214" s="37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</row>
    <row r="215" spans="1:52" ht="39.75" hidden="1" customHeight="1" x14ac:dyDescent="0.2">
      <c r="A215" s="45" t="str">
        <f t="shared" si="12"/>
        <v/>
      </c>
      <c r="B215" s="45"/>
      <c r="C215" s="45"/>
      <c r="D215" s="45"/>
      <c r="E215" s="50"/>
      <c r="F215" s="51"/>
      <c r="G215" s="52"/>
      <c r="H215" s="52"/>
      <c r="I215" s="52" t="str">
        <f t="shared" si="13"/>
        <v/>
      </c>
      <c r="J215" s="54"/>
      <c r="K215" s="55" t="str">
        <f t="shared" si="14"/>
        <v/>
      </c>
      <c r="L215" s="54"/>
      <c r="M215" s="54"/>
      <c r="N215" s="54"/>
      <c r="O215" s="54"/>
      <c r="P215" s="54"/>
      <c r="S215" s="38"/>
      <c r="T215" s="38"/>
      <c r="U215" s="38"/>
      <c r="V215" s="37"/>
      <c r="W215" s="37"/>
      <c r="X215" s="37"/>
      <c r="Y215" s="37"/>
      <c r="Z215" s="37"/>
      <c r="AA215" s="37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</row>
    <row r="216" spans="1:52" ht="39.75" hidden="1" customHeight="1" x14ac:dyDescent="0.2">
      <c r="A216" s="45" t="str">
        <f t="shared" si="12"/>
        <v/>
      </c>
      <c r="B216" s="45"/>
      <c r="C216" s="45"/>
      <c r="D216" s="45"/>
      <c r="E216" s="50"/>
      <c r="F216" s="51"/>
      <c r="G216" s="52"/>
      <c r="H216" s="52"/>
      <c r="I216" s="52" t="str">
        <f t="shared" si="13"/>
        <v/>
      </c>
      <c r="J216" s="54"/>
      <c r="K216" s="55" t="str">
        <f t="shared" si="14"/>
        <v/>
      </c>
      <c r="L216" s="54"/>
      <c r="M216" s="54"/>
      <c r="N216" s="54"/>
      <c r="O216" s="54"/>
      <c r="P216" s="54"/>
      <c r="S216" s="38"/>
      <c r="T216" s="38"/>
      <c r="U216" s="38"/>
      <c r="V216" s="37"/>
      <c r="W216" s="37"/>
      <c r="X216" s="37"/>
      <c r="Y216" s="37"/>
      <c r="Z216" s="37"/>
      <c r="AA216" s="37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</row>
    <row r="217" spans="1:52" ht="39.75" hidden="1" customHeight="1" x14ac:dyDescent="0.2">
      <c r="A217" s="45" t="str">
        <f t="shared" si="12"/>
        <v/>
      </c>
      <c r="B217" s="45"/>
      <c r="C217" s="45"/>
      <c r="D217" s="45"/>
      <c r="E217" s="50"/>
      <c r="F217" s="51"/>
      <c r="G217" s="52"/>
      <c r="H217" s="52"/>
      <c r="I217" s="52" t="str">
        <f t="shared" si="13"/>
        <v/>
      </c>
      <c r="J217" s="54"/>
      <c r="K217" s="55" t="str">
        <f t="shared" si="14"/>
        <v/>
      </c>
      <c r="L217" s="54"/>
      <c r="M217" s="54"/>
      <c r="N217" s="54"/>
      <c r="O217" s="54"/>
      <c r="P217" s="54"/>
      <c r="S217" s="38"/>
      <c r="T217" s="38"/>
      <c r="U217" s="38"/>
      <c r="V217" s="37"/>
      <c r="W217" s="37"/>
      <c r="X217" s="37"/>
      <c r="Y217" s="37"/>
      <c r="Z217" s="37"/>
      <c r="AA217" s="37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</row>
    <row r="218" spans="1:52" ht="39.75" hidden="1" customHeight="1" x14ac:dyDescent="0.2">
      <c r="A218" s="45" t="str">
        <f t="shared" si="12"/>
        <v/>
      </c>
      <c r="B218" s="45"/>
      <c r="C218" s="45"/>
      <c r="D218" s="45"/>
      <c r="E218" s="50"/>
      <c r="F218" s="51"/>
      <c r="G218" s="52"/>
      <c r="H218" s="52"/>
      <c r="I218" s="52" t="str">
        <f t="shared" si="13"/>
        <v/>
      </c>
      <c r="J218" s="54"/>
      <c r="K218" s="55" t="str">
        <f t="shared" si="14"/>
        <v/>
      </c>
      <c r="L218" s="54"/>
      <c r="M218" s="54"/>
      <c r="N218" s="54"/>
      <c r="O218" s="54"/>
      <c r="P218" s="54"/>
      <c r="S218" s="38"/>
      <c r="T218" s="38"/>
      <c r="U218" s="38"/>
      <c r="V218" s="37"/>
      <c r="W218" s="37"/>
      <c r="X218" s="37"/>
      <c r="Y218" s="37"/>
      <c r="Z218" s="37"/>
      <c r="AA218" s="37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</row>
    <row r="219" spans="1:52" ht="39.75" hidden="1" customHeight="1" x14ac:dyDescent="0.2">
      <c r="A219" s="45" t="str">
        <f t="shared" si="12"/>
        <v/>
      </c>
      <c r="B219" s="45"/>
      <c r="C219" s="45"/>
      <c r="D219" s="45"/>
      <c r="E219" s="50"/>
      <c r="F219" s="51"/>
      <c r="G219" s="52"/>
      <c r="H219" s="52"/>
      <c r="I219" s="52" t="str">
        <f t="shared" si="13"/>
        <v/>
      </c>
      <c r="J219" s="54"/>
      <c r="K219" s="55" t="str">
        <f t="shared" si="14"/>
        <v/>
      </c>
      <c r="L219" s="54"/>
      <c r="M219" s="54"/>
      <c r="N219" s="54"/>
      <c r="O219" s="54"/>
      <c r="P219" s="54"/>
      <c r="S219" s="38"/>
      <c r="T219" s="38"/>
      <c r="U219" s="38"/>
      <c r="V219" s="37"/>
      <c r="W219" s="37"/>
      <c r="X219" s="37"/>
      <c r="Y219" s="37"/>
      <c r="Z219" s="37"/>
      <c r="AA219" s="37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</row>
    <row r="220" spans="1:52" ht="39.75" hidden="1" customHeight="1" x14ac:dyDescent="0.2">
      <c r="A220" s="45" t="str">
        <f t="shared" si="12"/>
        <v/>
      </c>
      <c r="B220" s="45"/>
      <c r="C220" s="45"/>
      <c r="D220" s="45"/>
      <c r="E220" s="50"/>
      <c r="F220" s="51"/>
      <c r="G220" s="52"/>
      <c r="H220" s="52"/>
      <c r="I220" s="52" t="str">
        <f t="shared" si="13"/>
        <v/>
      </c>
      <c r="J220" s="54"/>
      <c r="K220" s="55" t="str">
        <f t="shared" si="14"/>
        <v/>
      </c>
      <c r="L220" s="54"/>
      <c r="M220" s="54"/>
      <c r="N220" s="54"/>
      <c r="O220" s="54"/>
      <c r="P220" s="54"/>
      <c r="S220" s="38"/>
      <c r="T220" s="38"/>
      <c r="U220" s="38"/>
      <c r="V220" s="37"/>
      <c r="W220" s="37"/>
      <c r="X220" s="37"/>
      <c r="Y220" s="37"/>
      <c r="Z220" s="37"/>
      <c r="AA220" s="37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</row>
    <row r="221" spans="1:52" ht="39.75" hidden="1" customHeight="1" x14ac:dyDescent="0.2">
      <c r="A221" s="45" t="str">
        <f t="shared" si="12"/>
        <v/>
      </c>
      <c r="B221" s="45"/>
      <c r="C221" s="45"/>
      <c r="D221" s="45"/>
      <c r="E221" s="50"/>
      <c r="F221" s="51"/>
      <c r="G221" s="52"/>
      <c r="H221" s="52"/>
      <c r="I221" s="52" t="str">
        <f t="shared" si="13"/>
        <v/>
      </c>
      <c r="J221" s="54"/>
      <c r="K221" s="55" t="str">
        <f t="shared" si="14"/>
        <v/>
      </c>
      <c r="L221" s="54"/>
      <c r="M221" s="54"/>
      <c r="N221" s="54"/>
      <c r="O221" s="54"/>
      <c r="P221" s="54"/>
      <c r="S221" s="38"/>
      <c r="T221" s="38"/>
      <c r="U221" s="38"/>
      <c r="V221" s="37"/>
      <c r="W221" s="37"/>
      <c r="X221" s="37"/>
      <c r="Y221" s="37"/>
      <c r="Z221" s="37"/>
      <c r="AA221" s="37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</row>
    <row r="222" spans="1:52" ht="39.75" hidden="1" customHeight="1" x14ac:dyDescent="0.2">
      <c r="A222" s="45" t="str">
        <f t="shared" si="12"/>
        <v/>
      </c>
      <c r="B222" s="45"/>
      <c r="C222" s="45"/>
      <c r="D222" s="45"/>
      <c r="E222" s="50"/>
      <c r="F222" s="51"/>
      <c r="G222" s="52"/>
      <c r="H222" s="52"/>
      <c r="I222" s="52" t="str">
        <f t="shared" si="13"/>
        <v/>
      </c>
      <c r="J222" s="54"/>
      <c r="K222" s="55" t="str">
        <f t="shared" si="14"/>
        <v/>
      </c>
      <c r="L222" s="54"/>
      <c r="M222" s="54"/>
      <c r="N222" s="54"/>
      <c r="O222" s="54"/>
      <c r="P222" s="54"/>
      <c r="S222" s="38"/>
      <c r="T222" s="38"/>
      <c r="U222" s="38"/>
      <c r="V222" s="37"/>
      <c r="W222" s="37"/>
      <c r="X222" s="37"/>
      <c r="Y222" s="37"/>
      <c r="Z222" s="37"/>
      <c r="AA222" s="37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</row>
    <row r="223" spans="1:52" ht="39.75" hidden="1" customHeight="1" x14ac:dyDescent="0.2">
      <c r="A223" s="45" t="str">
        <f t="shared" si="12"/>
        <v/>
      </c>
      <c r="B223" s="45"/>
      <c r="C223" s="45"/>
      <c r="D223" s="45"/>
      <c r="E223" s="50"/>
      <c r="F223" s="51"/>
      <c r="G223" s="52"/>
      <c r="H223" s="52"/>
      <c r="I223" s="52" t="str">
        <f t="shared" si="13"/>
        <v/>
      </c>
      <c r="J223" s="54"/>
      <c r="K223" s="55" t="str">
        <f t="shared" si="14"/>
        <v/>
      </c>
      <c r="L223" s="54"/>
      <c r="M223" s="54"/>
      <c r="N223" s="54"/>
      <c r="O223" s="54"/>
      <c r="P223" s="54"/>
      <c r="S223" s="38"/>
      <c r="T223" s="38"/>
      <c r="U223" s="38"/>
      <c r="V223" s="37"/>
      <c r="W223" s="37"/>
      <c r="X223" s="37"/>
      <c r="Y223" s="37"/>
      <c r="Z223" s="37"/>
      <c r="AA223" s="37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</row>
    <row r="224" spans="1:52" ht="39.75" hidden="1" customHeight="1" x14ac:dyDescent="0.2">
      <c r="A224" s="45" t="str">
        <f t="shared" si="12"/>
        <v/>
      </c>
      <c r="B224" s="45"/>
      <c r="C224" s="45"/>
      <c r="D224" s="45"/>
      <c r="E224" s="50"/>
      <c r="F224" s="51"/>
      <c r="G224" s="52"/>
      <c r="H224" s="52"/>
      <c r="I224" s="52" t="str">
        <f t="shared" si="13"/>
        <v/>
      </c>
      <c r="J224" s="54"/>
      <c r="K224" s="55" t="str">
        <f t="shared" si="14"/>
        <v/>
      </c>
      <c r="L224" s="54"/>
      <c r="M224" s="54"/>
      <c r="N224" s="54"/>
      <c r="O224" s="54"/>
      <c r="P224" s="54"/>
      <c r="S224" s="38"/>
      <c r="T224" s="38"/>
      <c r="U224" s="38"/>
      <c r="V224" s="37"/>
      <c r="W224" s="37"/>
      <c r="X224" s="37"/>
      <c r="Y224" s="37"/>
      <c r="Z224" s="37"/>
      <c r="AA224" s="37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</row>
    <row r="225" spans="1:52" ht="39.75" hidden="1" customHeight="1" x14ac:dyDescent="0.2">
      <c r="A225" s="45" t="str">
        <f t="shared" si="12"/>
        <v/>
      </c>
      <c r="B225" s="45"/>
      <c r="C225" s="45"/>
      <c r="D225" s="45"/>
      <c r="E225" s="50"/>
      <c r="F225" s="51"/>
      <c r="G225" s="52"/>
      <c r="H225" s="52"/>
      <c r="I225" s="52" t="str">
        <f t="shared" si="13"/>
        <v/>
      </c>
      <c r="J225" s="54"/>
      <c r="K225" s="55" t="str">
        <f t="shared" si="14"/>
        <v/>
      </c>
      <c r="L225" s="54"/>
      <c r="M225" s="54"/>
      <c r="N225" s="54"/>
      <c r="O225" s="54"/>
      <c r="P225" s="54"/>
      <c r="S225" s="38"/>
      <c r="T225" s="38"/>
      <c r="U225" s="38"/>
      <c r="V225" s="37"/>
      <c r="W225" s="37"/>
      <c r="X225" s="37"/>
      <c r="Y225" s="37"/>
      <c r="Z225" s="37"/>
      <c r="AA225" s="37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</row>
    <row r="226" spans="1:52" ht="39.75" hidden="1" customHeight="1" x14ac:dyDescent="0.2">
      <c r="A226" s="45" t="str">
        <f t="shared" si="12"/>
        <v/>
      </c>
      <c r="B226" s="45"/>
      <c r="C226" s="45"/>
      <c r="D226" s="45"/>
      <c r="E226" s="50"/>
      <c r="F226" s="51"/>
      <c r="G226" s="52"/>
      <c r="H226" s="52"/>
      <c r="I226" s="52" t="str">
        <f t="shared" si="13"/>
        <v/>
      </c>
      <c r="J226" s="54"/>
      <c r="K226" s="55" t="str">
        <f t="shared" si="14"/>
        <v/>
      </c>
      <c r="L226" s="54"/>
      <c r="M226" s="54"/>
      <c r="N226" s="54"/>
      <c r="O226" s="54"/>
      <c r="P226" s="54"/>
      <c r="S226" s="38"/>
      <c r="T226" s="38"/>
      <c r="U226" s="38"/>
      <c r="V226" s="37"/>
      <c r="W226" s="37"/>
      <c r="X226" s="37"/>
      <c r="Y226" s="37"/>
      <c r="Z226" s="37"/>
      <c r="AA226" s="37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</row>
    <row r="227" spans="1:52" ht="39.75" hidden="1" customHeight="1" x14ac:dyDescent="0.2">
      <c r="A227" s="45" t="str">
        <f t="shared" si="12"/>
        <v/>
      </c>
      <c r="B227" s="45"/>
      <c r="C227" s="45"/>
      <c r="D227" s="45"/>
      <c r="E227" s="50"/>
      <c r="F227" s="51"/>
      <c r="G227" s="52"/>
      <c r="H227" s="52"/>
      <c r="I227" s="52" t="str">
        <f t="shared" si="13"/>
        <v/>
      </c>
      <c r="J227" s="54"/>
      <c r="K227" s="55" t="str">
        <f t="shared" si="14"/>
        <v/>
      </c>
      <c r="L227" s="54"/>
      <c r="M227" s="54"/>
      <c r="N227" s="54"/>
      <c r="O227" s="54"/>
      <c r="P227" s="54"/>
      <c r="S227" s="38"/>
      <c r="T227" s="38"/>
      <c r="U227" s="38"/>
      <c r="V227" s="37"/>
      <c r="W227" s="37"/>
      <c r="X227" s="37"/>
      <c r="Y227" s="37"/>
      <c r="Z227" s="37"/>
      <c r="AA227" s="37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</row>
    <row r="228" spans="1:52" ht="39.75" hidden="1" customHeight="1" x14ac:dyDescent="0.2">
      <c r="A228" s="45" t="str">
        <f t="shared" si="12"/>
        <v/>
      </c>
      <c r="B228" s="45"/>
      <c r="C228" s="45"/>
      <c r="D228" s="45"/>
      <c r="E228" s="50"/>
      <c r="F228" s="51"/>
      <c r="G228" s="52"/>
      <c r="H228" s="52"/>
      <c r="I228" s="52" t="str">
        <f t="shared" si="13"/>
        <v/>
      </c>
      <c r="J228" s="54"/>
      <c r="K228" s="55" t="str">
        <f t="shared" si="14"/>
        <v/>
      </c>
      <c r="L228" s="54"/>
      <c r="M228" s="54"/>
      <c r="N228" s="54"/>
      <c r="O228" s="54"/>
      <c r="P228" s="54"/>
      <c r="S228" s="38"/>
      <c r="T228" s="38"/>
      <c r="U228" s="38"/>
      <c r="V228" s="37"/>
      <c r="W228" s="37"/>
      <c r="X228" s="37"/>
      <c r="Y228" s="37"/>
      <c r="Z228" s="37"/>
      <c r="AA228" s="37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</row>
    <row r="229" spans="1:52" ht="39.75" hidden="1" customHeight="1" x14ac:dyDescent="0.2">
      <c r="A229" s="45" t="str">
        <f t="shared" si="12"/>
        <v/>
      </c>
      <c r="B229" s="45"/>
      <c r="C229" s="45"/>
      <c r="D229" s="45"/>
      <c r="E229" s="50"/>
      <c r="F229" s="51"/>
      <c r="G229" s="52"/>
      <c r="H229" s="52"/>
      <c r="I229" s="52" t="str">
        <f t="shared" si="13"/>
        <v/>
      </c>
      <c r="J229" s="54"/>
      <c r="K229" s="55" t="str">
        <f t="shared" si="14"/>
        <v/>
      </c>
      <c r="L229" s="54"/>
      <c r="M229" s="54"/>
      <c r="N229" s="54"/>
      <c r="O229" s="54"/>
      <c r="P229" s="54"/>
      <c r="S229" s="38"/>
      <c r="T229" s="38"/>
      <c r="U229" s="38"/>
      <c r="V229" s="37"/>
      <c r="W229" s="37"/>
      <c r="X229" s="37"/>
      <c r="Y229" s="37"/>
      <c r="Z229" s="37"/>
      <c r="AA229" s="37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</row>
    <row r="230" spans="1:52" ht="39.75" hidden="1" customHeight="1" x14ac:dyDescent="0.2">
      <c r="A230" s="45" t="str">
        <f t="shared" si="12"/>
        <v/>
      </c>
      <c r="B230" s="45"/>
      <c r="C230" s="45"/>
      <c r="D230" s="45"/>
      <c r="E230" s="50"/>
      <c r="F230" s="51"/>
      <c r="G230" s="52"/>
      <c r="H230" s="52"/>
      <c r="I230" s="52" t="str">
        <f t="shared" si="13"/>
        <v/>
      </c>
      <c r="J230" s="54"/>
      <c r="K230" s="55" t="str">
        <f t="shared" si="14"/>
        <v/>
      </c>
      <c r="L230" s="54"/>
      <c r="M230" s="54"/>
      <c r="N230" s="54"/>
      <c r="O230" s="54"/>
      <c r="P230" s="54"/>
      <c r="S230" s="38"/>
      <c r="T230" s="38"/>
      <c r="U230" s="38"/>
      <c r="V230" s="37"/>
      <c r="W230" s="37"/>
      <c r="X230" s="37"/>
      <c r="Y230" s="37"/>
      <c r="Z230" s="37"/>
      <c r="AA230" s="37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</row>
    <row r="231" spans="1:52" ht="39.75" hidden="1" customHeight="1" x14ac:dyDescent="0.2">
      <c r="A231" s="45" t="str">
        <f t="shared" si="12"/>
        <v/>
      </c>
      <c r="B231" s="45"/>
      <c r="C231" s="45"/>
      <c r="D231" s="45"/>
      <c r="E231" s="50"/>
      <c r="F231" s="51"/>
      <c r="G231" s="52"/>
      <c r="H231" s="52"/>
      <c r="I231" s="52" t="str">
        <f t="shared" si="13"/>
        <v/>
      </c>
      <c r="J231" s="54"/>
      <c r="K231" s="55" t="str">
        <f t="shared" si="14"/>
        <v/>
      </c>
      <c r="L231" s="54"/>
      <c r="M231" s="54"/>
      <c r="N231" s="54"/>
      <c r="O231" s="54"/>
      <c r="P231" s="54"/>
      <c r="S231" s="38"/>
      <c r="T231" s="38"/>
      <c r="U231" s="38"/>
      <c r="V231" s="37"/>
      <c r="W231" s="37"/>
      <c r="X231" s="37"/>
      <c r="Y231" s="37"/>
      <c r="Z231" s="37"/>
      <c r="AA231" s="37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</row>
    <row r="232" spans="1:52" ht="39.75" hidden="1" customHeight="1" x14ac:dyDescent="0.2">
      <c r="A232" s="45" t="str">
        <f t="shared" si="12"/>
        <v/>
      </c>
      <c r="B232" s="45"/>
      <c r="C232" s="45"/>
      <c r="D232" s="45"/>
      <c r="E232" s="50"/>
      <c r="F232" s="51"/>
      <c r="G232" s="52"/>
      <c r="H232" s="52"/>
      <c r="I232" s="52" t="str">
        <f t="shared" si="13"/>
        <v/>
      </c>
      <c r="J232" s="54"/>
      <c r="K232" s="55" t="str">
        <f t="shared" si="14"/>
        <v/>
      </c>
      <c r="L232" s="54"/>
      <c r="M232" s="54"/>
      <c r="N232" s="54"/>
      <c r="O232" s="54"/>
      <c r="P232" s="54"/>
      <c r="S232" s="38"/>
      <c r="T232" s="38"/>
      <c r="U232" s="38"/>
      <c r="V232" s="37"/>
      <c r="W232" s="37"/>
      <c r="X232" s="37"/>
      <c r="Y232" s="37"/>
      <c r="Z232" s="37"/>
      <c r="AA232" s="37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</row>
    <row r="233" spans="1:52" ht="39.75" hidden="1" customHeight="1" x14ac:dyDescent="0.2">
      <c r="A233" s="45" t="str">
        <f t="shared" si="12"/>
        <v/>
      </c>
      <c r="B233" s="45"/>
      <c r="C233" s="45"/>
      <c r="D233" s="45"/>
      <c r="E233" s="50"/>
      <c r="F233" s="51"/>
      <c r="G233" s="52"/>
      <c r="H233" s="52"/>
      <c r="I233" s="52" t="str">
        <f t="shared" si="13"/>
        <v/>
      </c>
      <c r="J233" s="54"/>
      <c r="K233" s="55" t="str">
        <f t="shared" si="14"/>
        <v/>
      </c>
      <c r="L233" s="54"/>
      <c r="M233" s="54"/>
      <c r="N233" s="54"/>
      <c r="O233" s="54"/>
      <c r="P233" s="54"/>
      <c r="S233" s="38"/>
      <c r="T233" s="38"/>
      <c r="U233" s="38"/>
      <c r="V233" s="37"/>
      <c r="W233" s="37"/>
      <c r="X233" s="37"/>
      <c r="Y233" s="37"/>
      <c r="Z233" s="37"/>
      <c r="AA233" s="37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</row>
    <row r="234" spans="1:52" ht="39.75" hidden="1" customHeight="1" x14ac:dyDescent="0.2">
      <c r="A234" s="45" t="str">
        <f t="shared" si="12"/>
        <v/>
      </c>
      <c r="B234" s="45"/>
      <c r="C234" s="45"/>
      <c r="D234" s="45"/>
      <c r="E234" s="50"/>
      <c r="F234" s="51"/>
      <c r="G234" s="52"/>
      <c r="H234" s="52"/>
      <c r="I234" s="52" t="str">
        <f t="shared" si="13"/>
        <v/>
      </c>
      <c r="J234" s="54"/>
      <c r="K234" s="55" t="str">
        <f t="shared" si="14"/>
        <v/>
      </c>
      <c r="L234" s="54"/>
      <c r="M234" s="54"/>
      <c r="N234" s="54"/>
      <c r="O234" s="54"/>
      <c r="P234" s="54"/>
      <c r="S234" s="38"/>
      <c r="T234" s="38"/>
      <c r="U234" s="38"/>
      <c r="V234" s="37"/>
      <c r="W234" s="37"/>
      <c r="X234" s="37"/>
      <c r="Y234" s="37"/>
      <c r="Z234" s="37"/>
      <c r="AA234" s="37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</row>
    <row r="235" spans="1:52" ht="39.75" hidden="1" customHeight="1" x14ac:dyDescent="0.2">
      <c r="A235" s="45" t="str">
        <f t="shared" si="12"/>
        <v/>
      </c>
      <c r="B235" s="45"/>
      <c r="C235" s="45"/>
      <c r="D235" s="45"/>
      <c r="E235" s="50"/>
      <c r="F235" s="51"/>
      <c r="G235" s="52"/>
      <c r="H235" s="52"/>
      <c r="I235" s="52" t="str">
        <f t="shared" si="13"/>
        <v/>
      </c>
      <c r="J235" s="54"/>
      <c r="K235" s="55" t="str">
        <f t="shared" si="14"/>
        <v/>
      </c>
      <c r="L235" s="54"/>
      <c r="M235" s="54"/>
      <c r="N235" s="54"/>
      <c r="O235" s="54"/>
      <c r="P235" s="54"/>
      <c r="S235" s="38"/>
      <c r="T235" s="38"/>
      <c r="U235" s="38"/>
      <c r="V235" s="37"/>
      <c r="W235" s="37"/>
      <c r="X235" s="37"/>
      <c r="Y235" s="37"/>
      <c r="Z235" s="37"/>
      <c r="AA235" s="37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</row>
    <row r="236" spans="1:52" ht="39.75" hidden="1" customHeight="1" x14ac:dyDescent="0.2">
      <c r="A236" s="45" t="str">
        <f t="shared" si="12"/>
        <v/>
      </c>
      <c r="B236" s="45"/>
      <c r="C236" s="45"/>
      <c r="D236" s="45"/>
      <c r="E236" s="50"/>
      <c r="F236" s="51"/>
      <c r="G236" s="52"/>
      <c r="H236" s="52"/>
      <c r="I236" s="52" t="str">
        <f t="shared" si="13"/>
        <v/>
      </c>
      <c r="J236" s="54"/>
      <c r="K236" s="55" t="str">
        <f t="shared" si="14"/>
        <v/>
      </c>
      <c r="L236" s="54"/>
      <c r="M236" s="54"/>
      <c r="N236" s="54"/>
      <c r="O236" s="54"/>
      <c r="P236" s="54"/>
      <c r="S236" s="38"/>
      <c r="T236" s="38"/>
      <c r="U236" s="38"/>
      <c r="V236" s="37"/>
      <c r="W236" s="37"/>
      <c r="X236" s="37"/>
      <c r="Y236" s="37"/>
      <c r="Z236" s="37"/>
      <c r="AA236" s="37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</row>
    <row r="237" spans="1:52" ht="39.75" hidden="1" customHeight="1" x14ac:dyDescent="0.2">
      <c r="A237" s="45" t="str">
        <f t="shared" si="12"/>
        <v/>
      </c>
      <c r="B237" s="45"/>
      <c r="C237" s="45"/>
      <c r="D237" s="45"/>
      <c r="E237" s="50"/>
      <c r="F237" s="51"/>
      <c r="G237" s="52"/>
      <c r="H237" s="52"/>
      <c r="I237" s="52" t="str">
        <f t="shared" si="13"/>
        <v/>
      </c>
      <c r="J237" s="54"/>
      <c r="K237" s="55" t="str">
        <f t="shared" si="14"/>
        <v/>
      </c>
      <c r="L237" s="54"/>
      <c r="M237" s="54"/>
      <c r="N237" s="54"/>
      <c r="O237" s="54"/>
      <c r="P237" s="54"/>
      <c r="S237" s="38"/>
      <c r="T237" s="38"/>
      <c r="U237" s="38"/>
      <c r="V237" s="37"/>
      <c r="W237" s="37"/>
      <c r="X237" s="37"/>
      <c r="Y237" s="37"/>
      <c r="Z237" s="37"/>
      <c r="AA237" s="37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</row>
    <row r="238" spans="1:52" ht="39.75" hidden="1" customHeight="1" x14ac:dyDescent="0.2">
      <c r="A238" s="45" t="str">
        <f t="shared" si="12"/>
        <v/>
      </c>
      <c r="B238" s="45"/>
      <c r="C238" s="45"/>
      <c r="D238" s="45"/>
      <c r="E238" s="50"/>
      <c r="F238" s="51"/>
      <c r="G238" s="52"/>
      <c r="H238" s="52"/>
      <c r="I238" s="52" t="str">
        <f t="shared" si="13"/>
        <v/>
      </c>
      <c r="J238" s="54"/>
      <c r="K238" s="55" t="str">
        <f t="shared" si="14"/>
        <v/>
      </c>
      <c r="L238" s="54"/>
      <c r="M238" s="54"/>
      <c r="N238" s="54"/>
      <c r="O238" s="54"/>
      <c r="P238" s="54"/>
      <c r="S238" s="38"/>
      <c r="T238" s="38"/>
      <c r="U238" s="38"/>
      <c r="V238" s="37"/>
      <c r="W238" s="37"/>
      <c r="X238" s="37"/>
      <c r="Y238" s="37"/>
      <c r="Z238" s="37"/>
      <c r="AA238" s="37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</row>
    <row r="239" spans="1:52" ht="39.75" hidden="1" customHeight="1" x14ac:dyDescent="0.2">
      <c r="A239" s="45" t="str">
        <f t="shared" si="12"/>
        <v/>
      </c>
      <c r="B239" s="45"/>
      <c r="C239" s="45"/>
      <c r="D239" s="45"/>
      <c r="E239" s="50"/>
      <c r="F239" s="51"/>
      <c r="G239" s="52"/>
      <c r="H239" s="52"/>
      <c r="I239" s="52" t="str">
        <f t="shared" si="13"/>
        <v/>
      </c>
      <c r="J239" s="54"/>
      <c r="K239" s="55" t="str">
        <f t="shared" si="14"/>
        <v/>
      </c>
      <c r="L239" s="54"/>
      <c r="M239" s="54"/>
      <c r="N239" s="54"/>
      <c r="O239" s="54"/>
      <c r="P239" s="54"/>
      <c r="S239" s="38"/>
      <c r="T239" s="38"/>
      <c r="U239" s="38"/>
      <c r="V239" s="37"/>
      <c r="W239" s="37"/>
      <c r="X239" s="37"/>
      <c r="Y239" s="37"/>
      <c r="Z239" s="37"/>
      <c r="AA239" s="37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</row>
    <row r="240" spans="1:52" ht="39.75" hidden="1" customHeight="1" x14ac:dyDescent="0.2">
      <c r="A240" s="45" t="str">
        <f t="shared" si="12"/>
        <v/>
      </c>
      <c r="B240" s="45"/>
      <c r="C240" s="45"/>
      <c r="D240" s="45"/>
      <c r="E240" s="50"/>
      <c r="F240" s="51"/>
      <c r="G240" s="52"/>
      <c r="H240" s="52"/>
      <c r="I240" s="52" t="str">
        <f t="shared" si="13"/>
        <v/>
      </c>
      <c r="J240" s="54"/>
      <c r="K240" s="55" t="str">
        <f t="shared" si="14"/>
        <v/>
      </c>
      <c r="L240" s="54"/>
      <c r="M240" s="54"/>
      <c r="N240" s="54"/>
      <c r="O240" s="54"/>
      <c r="P240" s="54"/>
      <c r="S240" s="38"/>
      <c r="T240" s="38"/>
      <c r="U240" s="38"/>
      <c r="V240" s="37"/>
      <c r="W240" s="37"/>
      <c r="X240" s="37"/>
      <c r="Y240" s="37"/>
      <c r="Z240" s="37"/>
      <c r="AA240" s="37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</row>
    <row r="241" spans="1:52" ht="39.75" hidden="1" customHeight="1" x14ac:dyDescent="0.2">
      <c r="A241" s="45" t="str">
        <f t="shared" si="12"/>
        <v/>
      </c>
      <c r="B241" s="45"/>
      <c r="C241" s="45"/>
      <c r="D241" s="45"/>
      <c r="E241" s="50"/>
      <c r="F241" s="51"/>
      <c r="G241" s="52"/>
      <c r="H241" s="52"/>
      <c r="I241" s="52" t="str">
        <f t="shared" si="13"/>
        <v/>
      </c>
      <c r="J241" s="54"/>
      <c r="K241" s="55" t="str">
        <f t="shared" si="14"/>
        <v/>
      </c>
      <c r="L241" s="54"/>
      <c r="M241" s="54"/>
      <c r="N241" s="54"/>
      <c r="O241" s="54"/>
      <c r="P241" s="54"/>
      <c r="S241" s="38"/>
      <c r="T241" s="38"/>
      <c r="U241" s="38"/>
      <c r="V241" s="37"/>
      <c r="W241" s="37"/>
      <c r="X241" s="37"/>
      <c r="Y241" s="37"/>
      <c r="Z241" s="37"/>
      <c r="AA241" s="37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</row>
    <row r="242" spans="1:52" ht="39.75" hidden="1" customHeight="1" x14ac:dyDescent="0.2">
      <c r="A242" s="45" t="str">
        <f t="shared" si="12"/>
        <v/>
      </c>
      <c r="B242" s="45"/>
      <c r="C242" s="45"/>
      <c r="D242" s="45"/>
      <c r="E242" s="50"/>
      <c r="F242" s="51"/>
      <c r="G242" s="52"/>
      <c r="H242" s="52"/>
      <c r="I242" s="52" t="str">
        <f t="shared" si="13"/>
        <v/>
      </c>
      <c r="J242" s="54"/>
      <c r="K242" s="55" t="str">
        <f t="shared" si="14"/>
        <v/>
      </c>
      <c r="L242" s="54"/>
      <c r="M242" s="54"/>
      <c r="N242" s="54"/>
      <c r="O242" s="54"/>
      <c r="P242" s="54"/>
      <c r="S242" s="38"/>
      <c r="T242" s="38"/>
      <c r="U242" s="38"/>
      <c r="V242" s="37"/>
      <c r="W242" s="37"/>
      <c r="X242" s="37"/>
      <c r="Y242" s="37"/>
      <c r="Z242" s="37"/>
      <c r="AA242" s="37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</row>
    <row r="243" spans="1:52" ht="39.75" hidden="1" customHeight="1" x14ac:dyDescent="0.2">
      <c r="A243" s="45" t="str">
        <f t="shared" si="12"/>
        <v/>
      </c>
      <c r="B243" s="45"/>
      <c r="C243" s="45"/>
      <c r="D243" s="45"/>
      <c r="E243" s="50"/>
      <c r="F243" s="51"/>
      <c r="G243" s="52"/>
      <c r="H243" s="52"/>
      <c r="I243" s="52" t="str">
        <f t="shared" si="13"/>
        <v/>
      </c>
      <c r="J243" s="54"/>
      <c r="K243" s="55" t="str">
        <f t="shared" si="14"/>
        <v/>
      </c>
      <c r="L243" s="54"/>
      <c r="M243" s="54"/>
      <c r="N243" s="54"/>
      <c r="O243" s="54"/>
      <c r="P243" s="54"/>
      <c r="S243" s="38"/>
      <c r="T243" s="38"/>
      <c r="U243" s="38"/>
      <c r="V243" s="37"/>
      <c r="W243" s="37"/>
      <c r="X243" s="37"/>
      <c r="Y243" s="37"/>
      <c r="Z243" s="37"/>
      <c r="AA243" s="37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</row>
    <row r="244" spans="1:52" ht="39.75" hidden="1" customHeight="1" x14ac:dyDescent="0.2">
      <c r="A244" s="45" t="str">
        <f t="shared" si="12"/>
        <v/>
      </c>
      <c r="B244" s="45"/>
      <c r="C244" s="45"/>
      <c r="D244" s="45"/>
      <c r="E244" s="50"/>
      <c r="F244" s="51"/>
      <c r="G244" s="52"/>
      <c r="H244" s="52"/>
      <c r="I244" s="52" t="str">
        <f t="shared" si="13"/>
        <v/>
      </c>
      <c r="J244" s="54"/>
      <c r="K244" s="55" t="str">
        <f t="shared" si="14"/>
        <v/>
      </c>
      <c r="L244" s="54"/>
      <c r="M244" s="54"/>
      <c r="N244" s="54"/>
      <c r="O244" s="54"/>
      <c r="P244" s="54"/>
      <c r="S244" s="38"/>
      <c r="T244" s="38"/>
      <c r="U244" s="38"/>
      <c r="V244" s="37"/>
      <c r="W244" s="37"/>
      <c r="X244" s="37"/>
      <c r="Y244" s="37"/>
      <c r="Z244" s="37"/>
      <c r="AA244" s="37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</row>
    <row r="245" spans="1:52" ht="39.75" hidden="1" customHeight="1" x14ac:dyDescent="0.2">
      <c r="A245" s="45" t="str">
        <f t="shared" si="12"/>
        <v/>
      </c>
      <c r="B245" s="45"/>
      <c r="C245" s="45"/>
      <c r="D245" s="45"/>
      <c r="E245" s="50"/>
      <c r="F245" s="51"/>
      <c r="G245" s="52"/>
      <c r="H245" s="52"/>
      <c r="I245" s="52" t="str">
        <f t="shared" si="13"/>
        <v/>
      </c>
      <c r="J245" s="54"/>
      <c r="K245" s="55" t="str">
        <f t="shared" si="14"/>
        <v/>
      </c>
      <c r="L245" s="54"/>
      <c r="M245" s="54"/>
      <c r="N245" s="54"/>
      <c r="O245" s="54"/>
      <c r="P245" s="54"/>
      <c r="S245" s="38"/>
      <c r="T245" s="38"/>
      <c r="U245" s="38"/>
      <c r="V245" s="37"/>
      <c r="W245" s="37"/>
      <c r="X245" s="37"/>
      <c r="Y245" s="37"/>
      <c r="Z245" s="37"/>
      <c r="AA245" s="37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</row>
    <row r="246" spans="1:52" ht="39.75" hidden="1" customHeight="1" x14ac:dyDescent="0.2">
      <c r="A246" s="45" t="str">
        <f t="shared" si="12"/>
        <v/>
      </c>
      <c r="B246" s="45"/>
      <c r="C246" s="45"/>
      <c r="D246" s="45"/>
      <c r="E246" s="50"/>
      <c r="F246" s="51"/>
      <c r="G246" s="52"/>
      <c r="H246" s="52"/>
      <c r="I246" s="52" t="str">
        <f t="shared" si="13"/>
        <v/>
      </c>
      <c r="J246" s="54"/>
      <c r="K246" s="55" t="str">
        <f t="shared" si="14"/>
        <v/>
      </c>
      <c r="L246" s="54"/>
      <c r="M246" s="54"/>
      <c r="N246" s="54"/>
      <c r="O246" s="54"/>
      <c r="P246" s="54"/>
      <c r="S246" s="38"/>
      <c r="T246" s="38"/>
      <c r="U246" s="38"/>
      <c r="V246" s="37"/>
      <c r="W246" s="37"/>
      <c r="X246" s="37"/>
      <c r="Y246" s="37"/>
      <c r="Z246" s="37"/>
      <c r="AA246" s="37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</row>
    <row r="247" spans="1:52" ht="39.75" hidden="1" customHeight="1" x14ac:dyDescent="0.2">
      <c r="A247" s="45" t="str">
        <f t="shared" si="12"/>
        <v/>
      </c>
      <c r="B247" s="45"/>
      <c r="C247" s="45"/>
      <c r="D247" s="45"/>
      <c r="E247" s="50"/>
      <c r="F247" s="51"/>
      <c r="G247" s="52"/>
      <c r="H247" s="52"/>
      <c r="I247" s="52" t="str">
        <f t="shared" si="13"/>
        <v/>
      </c>
      <c r="J247" s="54"/>
      <c r="K247" s="55" t="str">
        <f t="shared" si="14"/>
        <v/>
      </c>
      <c r="L247" s="54"/>
      <c r="M247" s="54"/>
      <c r="N247" s="54"/>
      <c r="O247" s="54"/>
      <c r="P247" s="54"/>
      <c r="S247" s="38"/>
      <c r="T247" s="38"/>
      <c r="U247" s="38"/>
      <c r="V247" s="37"/>
      <c r="W247" s="37"/>
      <c r="X247" s="37"/>
      <c r="Y247" s="37"/>
      <c r="Z247" s="37"/>
      <c r="AA247" s="37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</row>
    <row r="248" spans="1:52" ht="39.75" hidden="1" customHeight="1" x14ac:dyDescent="0.2">
      <c r="A248" s="45" t="str">
        <f t="shared" si="12"/>
        <v/>
      </c>
      <c r="B248" s="45"/>
      <c r="C248" s="45"/>
      <c r="D248" s="45"/>
      <c r="E248" s="50"/>
      <c r="F248" s="51"/>
      <c r="G248" s="52"/>
      <c r="H248" s="52"/>
      <c r="I248" s="52" t="str">
        <f t="shared" si="13"/>
        <v/>
      </c>
      <c r="J248" s="54"/>
      <c r="K248" s="55" t="str">
        <f t="shared" si="14"/>
        <v/>
      </c>
      <c r="L248" s="54"/>
      <c r="M248" s="54"/>
      <c r="N248" s="54"/>
      <c r="O248" s="54"/>
      <c r="P248" s="54"/>
      <c r="S248" s="38"/>
      <c r="T248" s="38"/>
      <c r="U248" s="38"/>
      <c r="V248" s="37"/>
      <c r="W248" s="37"/>
      <c r="X248" s="37"/>
      <c r="Y248" s="37"/>
      <c r="Z248" s="37"/>
      <c r="AA248" s="37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</row>
    <row r="249" spans="1:52" ht="39.75" hidden="1" customHeight="1" x14ac:dyDescent="0.2">
      <c r="A249" s="45" t="str">
        <f t="shared" si="12"/>
        <v/>
      </c>
      <c r="B249" s="45"/>
      <c r="C249" s="45"/>
      <c r="D249" s="45"/>
      <c r="E249" s="50"/>
      <c r="F249" s="51"/>
      <c r="G249" s="52"/>
      <c r="H249" s="52"/>
      <c r="I249" s="52" t="str">
        <f t="shared" si="13"/>
        <v/>
      </c>
      <c r="J249" s="54"/>
      <c r="K249" s="55" t="str">
        <f t="shared" si="14"/>
        <v/>
      </c>
      <c r="L249" s="54"/>
      <c r="M249" s="54"/>
      <c r="N249" s="54"/>
      <c r="O249" s="54"/>
      <c r="P249" s="54"/>
      <c r="S249" s="38"/>
      <c r="T249" s="38"/>
      <c r="U249" s="38"/>
      <c r="V249" s="37"/>
      <c r="W249" s="37"/>
      <c r="X249" s="37"/>
      <c r="Y249" s="37"/>
      <c r="Z249" s="37"/>
      <c r="AA249" s="37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</row>
    <row r="250" spans="1:52" ht="39.75" hidden="1" customHeight="1" x14ac:dyDescent="0.2">
      <c r="A250" s="45" t="str">
        <f t="shared" si="12"/>
        <v/>
      </c>
      <c r="B250" s="45"/>
      <c r="C250" s="45"/>
      <c r="D250" s="45"/>
      <c r="E250" s="50"/>
      <c r="F250" s="51"/>
      <c r="G250" s="52"/>
      <c r="H250" s="52"/>
      <c r="I250" s="52" t="str">
        <f t="shared" si="13"/>
        <v/>
      </c>
      <c r="J250" s="54"/>
      <c r="K250" s="55" t="str">
        <f t="shared" si="14"/>
        <v/>
      </c>
      <c r="L250" s="54"/>
      <c r="M250" s="54"/>
      <c r="N250" s="54"/>
      <c r="O250" s="54"/>
      <c r="P250" s="54"/>
      <c r="S250" s="38"/>
      <c r="T250" s="38"/>
      <c r="U250" s="38"/>
      <c r="V250" s="37"/>
      <c r="W250" s="37"/>
      <c r="X250" s="37"/>
      <c r="Y250" s="37"/>
      <c r="Z250" s="37"/>
      <c r="AA250" s="37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</row>
    <row r="251" spans="1:52" ht="39.75" hidden="1" customHeight="1" x14ac:dyDescent="0.2">
      <c r="A251" s="45" t="str">
        <f t="shared" si="12"/>
        <v/>
      </c>
      <c r="B251" s="45"/>
      <c r="C251" s="45"/>
      <c r="D251" s="45"/>
      <c r="E251" s="50"/>
      <c r="F251" s="51"/>
      <c r="G251" s="52"/>
      <c r="H251" s="52"/>
      <c r="I251" s="52" t="str">
        <f t="shared" si="13"/>
        <v/>
      </c>
      <c r="J251" s="54"/>
      <c r="K251" s="55" t="str">
        <f t="shared" si="14"/>
        <v/>
      </c>
      <c r="L251" s="54"/>
      <c r="M251" s="54"/>
      <c r="N251" s="54"/>
      <c r="O251" s="54"/>
      <c r="P251" s="54"/>
      <c r="S251" s="38"/>
      <c r="T251" s="38"/>
      <c r="U251" s="38"/>
      <c r="V251" s="37"/>
      <c r="W251" s="37"/>
      <c r="X251" s="37"/>
      <c r="Y251" s="37"/>
      <c r="Z251" s="37"/>
      <c r="AA251" s="37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</row>
    <row r="252" spans="1:52" ht="39.75" hidden="1" customHeight="1" x14ac:dyDescent="0.2">
      <c r="A252" s="45" t="str">
        <f t="shared" si="12"/>
        <v/>
      </c>
      <c r="B252" s="45"/>
      <c r="C252" s="45"/>
      <c r="D252" s="45"/>
      <c r="E252" s="50"/>
      <c r="F252" s="51"/>
      <c r="G252" s="52"/>
      <c r="H252" s="52"/>
      <c r="I252" s="52" t="str">
        <f t="shared" si="13"/>
        <v/>
      </c>
      <c r="J252" s="54"/>
      <c r="K252" s="55" t="str">
        <f t="shared" si="14"/>
        <v/>
      </c>
      <c r="L252" s="54"/>
      <c r="M252" s="54"/>
      <c r="N252" s="54"/>
      <c r="O252" s="54"/>
      <c r="P252" s="54"/>
      <c r="S252" s="38"/>
      <c r="T252" s="38"/>
      <c r="U252" s="38"/>
      <c r="V252" s="37"/>
      <c r="W252" s="37"/>
      <c r="X252" s="37"/>
      <c r="Y252" s="37"/>
      <c r="Z252" s="37"/>
      <c r="AA252" s="37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</row>
    <row r="253" spans="1:52" ht="39.75" hidden="1" customHeight="1" x14ac:dyDescent="0.2">
      <c r="A253" s="45" t="str">
        <f t="shared" si="12"/>
        <v/>
      </c>
      <c r="B253" s="45"/>
      <c r="C253" s="45"/>
      <c r="D253" s="45"/>
      <c r="E253" s="50"/>
      <c r="F253" s="51"/>
      <c r="G253" s="52"/>
      <c r="H253" s="52"/>
      <c r="I253" s="52" t="str">
        <f t="shared" si="13"/>
        <v/>
      </c>
      <c r="J253" s="54"/>
      <c r="K253" s="55" t="str">
        <f t="shared" si="14"/>
        <v/>
      </c>
      <c r="L253" s="54"/>
      <c r="M253" s="54"/>
      <c r="N253" s="54"/>
      <c r="O253" s="54"/>
      <c r="P253" s="54"/>
      <c r="S253" s="38"/>
      <c r="T253" s="38"/>
      <c r="U253" s="38"/>
      <c r="V253" s="37"/>
      <c r="W253" s="37"/>
      <c r="X253" s="37"/>
      <c r="Y253" s="37"/>
      <c r="Z253" s="37"/>
      <c r="AA253" s="37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</row>
    <row r="254" spans="1:52" ht="39.75" hidden="1" customHeight="1" x14ac:dyDescent="0.2">
      <c r="A254" s="45" t="str">
        <f t="shared" si="12"/>
        <v/>
      </c>
      <c r="B254" s="45"/>
      <c r="C254" s="45"/>
      <c r="D254" s="45"/>
      <c r="E254" s="50"/>
      <c r="F254" s="51"/>
      <c r="G254" s="52"/>
      <c r="H254" s="52"/>
      <c r="I254" s="52" t="str">
        <f t="shared" si="13"/>
        <v/>
      </c>
      <c r="J254" s="54"/>
      <c r="K254" s="55" t="str">
        <f t="shared" si="14"/>
        <v/>
      </c>
      <c r="L254" s="54"/>
      <c r="M254" s="54"/>
      <c r="N254" s="54"/>
      <c r="O254" s="54"/>
      <c r="P254" s="54"/>
      <c r="S254" s="38"/>
      <c r="T254" s="38"/>
      <c r="U254" s="38"/>
      <c r="V254" s="37"/>
      <c r="W254" s="37"/>
      <c r="X254" s="37"/>
      <c r="Y254" s="37"/>
      <c r="Z254" s="37"/>
      <c r="AA254" s="37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</row>
    <row r="255" spans="1:52" ht="39.75" hidden="1" customHeight="1" x14ac:dyDescent="0.2">
      <c r="A255" s="45" t="str">
        <f t="shared" si="12"/>
        <v/>
      </c>
      <c r="B255" s="45"/>
      <c r="C255" s="45"/>
      <c r="D255" s="45"/>
      <c r="E255" s="50"/>
      <c r="F255" s="51"/>
      <c r="G255" s="52"/>
      <c r="H255" s="52"/>
      <c r="I255" s="52" t="str">
        <f t="shared" si="13"/>
        <v/>
      </c>
      <c r="J255" s="54"/>
      <c r="K255" s="55" t="str">
        <f t="shared" si="14"/>
        <v/>
      </c>
      <c r="L255" s="54"/>
      <c r="M255" s="54"/>
      <c r="N255" s="54"/>
      <c r="O255" s="54"/>
      <c r="P255" s="54"/>
      <c r="S255" s="38"/>
      <c r="T255" s="38"/>
      <c r="U255" s="38"/>
      <c r="V255" s="37"/>
      <c r="W255" s="37"/>
      <c r="X255" s="37"/>
      <c r="Y255" s="37"/>
      <c r="Z255" s="37"/>
      <c r="AA255" s="37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</row>
    <row r="256" spans="1:52" ht="39.75" hidden="1" customHeight="1" x14ac:dyDescent="0.2">
      <c r="A256" s="45" t="str">
        <f t="shared" si="12"/>
        <v/>
      </c>
      <c r="B256" s="45"/>
      <c r="C256" s="45"/>
      <c r="D256" s="45"/>
      <c r="E256" s="50"/>
      <c r="F256" s="51"/>
      <c r="G256" s="52"/>
      <c r="H256" s="52"/>
      <c r="I256" s="52" t="str">
        <f t="shared" si="13"/>
        <v/>
      </c>
      <c r="J256" s="54"/>
      <c r="K256" s="55" t="str">
        <f t="shared" si="14"/>
        <v/>
      </c>
      <c r="L256" s="54"/>
      <c r="M256" s="54"/>
      <c r="N256" s="54"/>
      <c r="O256" s="54"/>
      <c r="P256" s="54"/>
      <c r="S256" s="38"/>
      <c r="T256" s="38"/>
      <c r="U256" s="38"/>
      <c r="V256" s="37"/>
      <c r="W256" s="37"/>
      <c r="X256" s="37"/>
      <c r="Y256" s="37"/>
      <c r="Z256" s="37"/>
      <c r="AA256" s="37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</row>
    <row r="257" spans="1:52" ht="39.75" hidden="1" customHeight="1" x14ac:dyDescent="0.2">
      <c r="A257" s="45" t="str">
        <f t="shared" si="12"/>
        <v/>
      </c>
      <c r="B257" s="45"/>
      <c r="C257" s="45"/>
      <c r="D257" s="45"/>
      <c r="E257" s="50"/>
      <c r="F257" s="51"/>
      <c r="G257" s="52"/>
      <c r="H257" s="52"/>
      <c r="I257" s="52" t="str">
        <f t="shared" si="13"/>
        <v/>
      </c>
      <c r="J257" s="54"/>
      <c r="K257" s="55" t="str">
        <f t="shared" si="14"/>
        <v/>
      </c>
      <c r="L257" s="54"/>
      <c r="M257" s="54"/>
      <c r="N257" s="54"/>
      <c r="O257" s="54"/>
      <c r="P257" s="54"/>
      <c r="S257" s="38"/>
      <c r="T257" s="38"/>
      <c r="U257" s="38"/>
      <c r="V257" s="37"/>
      <c r="W257" s="37"/>
      <c r="X257" s="37"/>
      <c r="Y257" s="37"/>
      <c r="Z257" s="37"/>
      <c r="AA257" s="37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</row>
    <row r="258" spans="1:52" ht="39.75" hidden="1" customHeight="1" x14ac:dyDescent="0.2">
      <c r="A258" s="45" t="str">
        <f t="shared" si="12"/>
        <v/>
      </c>
      <c r="B258" s="45"/>
      <c r="C258" s="45"/>
      <c r="D258" s="45"/>
      <c r="E258" s="50"/>
      <c r="F258" s="51"/>
      <c r="G258" s="52"/>
      <c r="H258" s="52"/>
      <c r="I258" s="52" t="str">
        <f t="shared" si="13"/>
        <v/>
      </c>
      <c r="J258" s="54"/>
      <c r="K258" s="55" t="str">
        <f t="shared" si="14"/>
        <v/>
      </c>
      <c r="L258" s="54"/>
      <c r="M258" s="54"/>
      <c r="N258" s="54"/>
      <c r="O258" s="54"/>
      <c r="P258" s="54"/>
      <c r="S258" s="38"/>
      <c r="T258" s="38"/>
      <c r="U258" s="38"/>
      <c r="V258" s="37"/>
      <c r="W258" s="37"/>
      <c r="X258" s="37"/>
      <c r="Y258" s="37"/>
      <c r="Z258" s="37"/>
      <c r="AA258" s="37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</row>
    <row r="259" spans="1:52" ht="39.75" hidden="1" customHeight="1" x14ac:dyDescent="0.2">
      <c r="A259" s="45" t="str">
        <f t="shared" si="12"/>
        <v/>
      </c>
      <c r="B259" s="45"/>
      <c r="C259" s="45"/>
      <c r="D259" s="45"/>
      <c r="E259" s="50"/>
      <c r="F259" s="51"/>
      <c r="G259" s="52"/>
      <c r="H259" s="52"/>
      <c r="I259" s="52" t="str">
        <f t="shared" si="13"/>
        <v/>
      </c>
      <c r="J259" s="54"/>
      <c r="K259" s="55" t="str">
        <f t="shared" si="14"/>
        <v/>
      </c>
      <c r="L259" s="54"/>
      <c r="M259" s="54"/>
      <c r="N259" s="54"/>
      <c r="O259" s="54"/>
      <c r="P259" s="54"/>
      <c r="S259" s="38"/>
      <c r="T259" s="38"/>
      <c r="U259" s="38"/>
      <c r="V259" s="37"/>
      <c r="W259" s="37"/>
      <c r="X259" s="37"/>
      <c r="Y259" s="37"/>
      <c r="Z259" s="37"/>
      <c r="AA259" s="37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</row>
    <row r="260" spans="1:52" ht="39.75" hidden="1" customHeight="1" x14ac:dyDescent="0.2">
      <c r="A260" s="45" t="str">
        <f t="shared" si="12"/>
        <v/>
      </c>
      <c r="B260" s="45"/>
      <c r="C260" s="45"/>
      <c r="D260" s="45"/>
      <c r="E260" s="50"/>
      <c r="F260" s="51"/>
      <c r="G260" s="52"/>
      <c r="H260" s="52"/>
      <c r="I260" s="52" t="str">
        <f t="shared" si="13"/>
        <v/>
      </c>
      <c r="J260" s="54"/>
      <c r="K260" s="55" t="str">
        <f t="shared" si="14"/>
        <v/>
      </c>
      <c r="L260" s="54"/>
      <c r="M260" s="54"/>
      <c r="N260" s="54"/>
      <c r="O260" s="54"/>
      <c r="P260" s="54"/>
      <c r="S260" s="38"/>
      <c r="T260" s="38"/>
      <c r="U260" s="38"/>
      <c r="V260" s="37"/>
      <c r="W260" s="37"/>
      <c r="X260" s="37"/>
      <c r="Y260" s="37"/>
      <c r="Z260" s="37"/>
      <c r="AA260" s="37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</row>
    <row r="261" spans="1:52" ht="39.75" hidden="1" customHeight="1" x14ac:dyDescent="0.2">
      <c r="A261" s="45" t="str">
        <f t="shared" si="12"/>
        <v/>
      </c>
      <c r="B261" s="45"/>
      <c r="C261" s="45"/>
      <c r="D261" s="45"/>
      <c r="E261" s="50"/>
      <c r="F261" s="51"/>
      <c r="G261" s="52"/>
      <c r="H261" s="52"/>
      <c r="I261" s="52" t="str">
        <f t="shared" si="13"/>
        <v/>
      </c>
      <c r="J261" s="54"/>
      <c r="K261" s="55" t="str">
        <f t="shared" si="14"/>
        <v/>
      </c>
      <c r="L261" s="54"/>
      <c r="M261" s="54"/>
      <c r="N261" s="54"/>
      <c r="O261" s="54"/>
      <c r="P261" s="54"/>
      <c r="S261" s="38"/>
      <c r="T261" s="38"/>
      <c r="U261" s="38"/>
      <c r="V261" s="37"/>
      <c r="W261" s="37"/>
      <c r="X261" s="37"/>
      <c r="Y261" s="37"/>
      <c r="Z261" s="37"/>
      <c r="AA261" s="37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</row>
    <row r="262" spans="1:52" ht="39.75" hidden="1" customHeight="1" x14ac:dyDescent="0.2">
      <c r="A262" s="45" t="str">
        <f t="shared" ref="A262:A325" si="15">IF(F262="","",ROW()-5)</f>
        <v/>
      </c>
      <c r="B262" s="45"/>
      <c r="C262" s="45"/>
      <c r="D262" s="45"/>
      <c r="E262" s="50"/>
      <c r="F262" s="51"/>
      <c r="G262" s="52"/>
      <c r="H262" s="52"/>
      <c r="I262" s="52" t="str">
        <f t="shared" ref="I262:I325" si="16">IF(AND(LEN(F262)=18, ISBLANK(G262)=FALSE(), ISBLANK(H262)=FALSE()),37,"")</f>
        <v/>
      </c>
      <c r="J262" s="54"/>
      <c r="K262" s="55" t="str">
        <f t="shared" ref="K262:K325" si="17">IF(OR(J262="",Q262=0),"",IF(COUNTA(L262:P262)&gt;Q262,"Seluruh pilihan telah dipilih, anda memilih lebih dari kemungkinan pilihan yang tersedia, periksa pilihan anda "&amp;"("&amp;COUNTA(L262:P262)&amp;"/"&amp;Q262&amp;")",IF(COUNTA(L262:P262)=Q262,IF(SUMPRODUCT(COUNTIF(L262:P262,L262:P262)*(L262:P262&lt;&gt;""))&gt;COUNTA(L262:P262),"Terdapat pilihan yang sama, segera ubah "&amp;"("&amp;COUNTA(L262:P262)&amp;"/"&amp;Q262&amp;")","Seluruh pilihan telah dipilih "&amp;"("&amp;COUNTA(L262:P262)&amp;"/"&amp;Q262&amp;")"),IF(COUNTA(L262:P262)&gt;0,"Masih terdapat pilihan yang bisa dipilih, silahkan melengkapi pilihan "&amp;"("&amp;COUNTA(L262:P262)&amp;"/"&amp;Q262&amp;")",""))))</f>
        <v/>
      </c>
      <c r="L262" s="54"/>
      <c r="M262" s="54"/>
      <c r="N262" s="54"/>
      <c r="O262" s="54"/>
      <c r="P262" s="54"/>
      <c r="S262" s="38"/>
      <c r="T262" s="38"/>
      <c r="U262" s="38"/>
      <c r="V262" s="37"/>
      <c r="W262" s="37"/>
      <c r="X262" s="37"/>
      <c r="Y262" s="37"/>
      <c r="Z262" s="37"/>
      <c r="AA262" s="37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</row>
    <row r="263" spans="1:52" ht="39.75" hidden="1" customHeight="1" x14ac:dyDescent="0.2">
      <c r="A263" s="45" t="str">
        <f t="shared" si="15"/>
        <v/>
      </c>
      <c r="B263" s="45"/>
      <c r="C263" s="45"/>
      <c r="D263" s="45"/>
      <c r="E263" s="50"/>
      <c r="F263" s="51"/>
      <c r="G263" s="52"/>
      <c r="H263" s="52"/>
      <c r="I263" s="52" t="str">
        <f t="shared" si="16"/>
        <v/>
      </c>
      <c r="J263" s="54"/>
      <c r="K263" s="55" t="str">
        <f t="shared" si="17"/>
        <v/>
      </c>
      <c r="L263" s="54"/>
      <c r="M263" s="54"/>
      <c r="N263" s="54"/>
      <c r="O263" s="54"/>
      <c r="P263" s="54"/>
      <c r="S263" s="38"/>
      <c r="T263" s="38"/>
      <c r="U263" s="38"/>
      <c r="V263" s="37"/>
      <c r="W263" s="37"/>
      <c r="X263" s="37"/>
      <c r="Y263" s="37"/>
      <c r="Z263" s="37"/>
      <c r="AA263" s="37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</row>
    <row r="264" spans="1:52" ht="39.75" hidden="1" customHeight="1" x14ac:dyDescent="0.2">
      <c r="A264" s="45" t="str">
        <f t="shared" si="15"/>
        <v/>
      </c>
      <c r="B264" s="45"/>
      <c r="C264" s="45"/>
      <c r="D264" s="45"/>
      <c r="E264" s="50"/>
      <c r="F264" s="51"/>
      <c r="G264" s="52"/>
      <c r="H264" s="52"/>
      <c r="I264" s="52" t="str">
        <f t="shared" si="16"/>
        <v/>
      </c>
      <c r="J264" s="54"/>
      <c r="K264" s="55" t="str">
        <f t="shared" si="17"/>
        <v/>
      </c>
      <c r="L264" s="54"/>
      <c r="M264" s="54"/>
      <c r="N264" s="54"/>
      <c r="O264" s="54"/>
      <c r="P264" s="54"/>
      <c r="S264" s="38"/>
      <c r="T264" s="38"/>
      <c r="U264" s="38"/>
      <c r="V264" s="37"/>
      <c r="W264" s="37"/>
      <c r="X264" s="37"/>
      <c r="Y264" s="37"/>
      <c r="Z264" s="37"/>
      <c r="AA264" s="37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</row>
    <row r="265" spans="1:52" ht="39.75" hidden="1" customHeight="1" x14ac:dyDescent="0.2">
      <c r="A265" s="45" t="str">
        <f t="shared" si="15"/>
        <v/>
      </c>
      <c r="B265" s="45"/>
      <c r="C265" s="45"/>
      <c r="D265" s="45"/>
      <c r="E265" s="50"/>
      <c r="F265" s="51"/>
      <c r="G265" s="52"/>
      <c r="H265" s="52"/>
      <c r="I265" s="52" t="str">
        <f t="shared" si="16"/>
        <v/>
      </c>
      <c r="J265" s="54"/>
      <c r="K265" s="55" t="str">
        <f t="shared" si="17"/>
        <v/>
      </c>
      <c r="L265" s="54"/>
      <c r="M265" s="54"/>
      <c r="N265" s="54"/>
      <c r="O265" s="54"/>
      <c r="P265" s="54"/>
      <c r="S265" s="38"/>
      <c r="T265" s="38"/>
      <c r="U265" s="38"/>
      <c r="V265" s="37"/>
      <c r="W265" s="37"/>
      <c r="X265" s="37"/>
      <c r="Y265" s="37"/>
      <c r="Z265" s="37"/>
      <c r="AA265" s="37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</row>
    <row r="266" spans="1:52" ht="39.75" hidden="1" customHeight="1" x14ac:dyDescent="0.2">
      <c r="A266" s="45" t="str">
        <f t="shared" si="15"/>
        <v/>
      </c>
      <c r="B266" s="45"/>
      <c r="C266" s="45"/>
      <c r="D266" s="45"/>
      <c r="E266" s="50"/>
      <c r="F266" s="51"/>
      <c r="G266" s="52"/>
      <c r="H266" s="52"/>
      <c r="I266" s="52" t="str">
        <f t="shared" si="16"/>
        <v/>
      </c>
      <c r="J266" s="54"/>
      <c r="K266" s="55" t="str">
        <f t="shared" si="17"/>
        <v/>
      </c>
      <c r="L266" s="54"/>
      <c r="M266" s="54"/>
      <c r="N266" s="54"/>
      <c r="O266" s="54"/>
      <c r="P266" s="54"/>
      <c r="S266" s="38"/>
      <c r="T266" s="38"/>
      <c r="U266" s="38"/>
      <c r="V266" s="37"/>
      <c r="W266" s="37"/>
      <c r="X266" s="37"/>
      <c r="Y266" s="37"/>
      <c r="Z266" s="37"/>
      <c r="AA266" s="37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</row>
    <row r="267" spans="1:52" ht="39.75" hidden="1" customHeight="1" x14ac:dyDescent="0.2">
      <c r="A267" s="45" t="str">
        <f t="shared" si="15"/>
        <v/>
      </c>
      <c r="B267" s="45"/>
      <c r="C267" s="45"/>
      <c r="D267" s="45"/>
      <c r="E267" s="50"/>
      <c r="F267" s="51"/>
      <c r="G267" s="52"/>
      <c r="H267" s="52"/>
      <c r="I267" s="52" t="str">
        <f t="shared" si="16"/>
        <v/>
      </c>
      <c r="J267" s="54"/>
      <c r="K267" s="55" t="str">
        <f t="shared" si="17"/>
        <v/>
      </c>
      <c r="L267" s="54"/>
      <c r="M267" s="54"/>
      <c r="N267" s="54"/>
      <c r="O267" s="54"/>
      <c r="P267" s="54"/>
      <c r="S267" s="38"/>
      <c r="T267" s="38"/>
      <c r="U267" s="38"/>
      <c r="V267" s="37"/>
      <c r="W267" s="37"/>
      <c r="X267" s="37"/>
      <c r="Y267" s="37"/>
      <c r="Z267" s="37"/>
      <c r="AA267" s="37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</row>
    <row r="268" spans="1:52" ht="39.75" hidden="1" customHeight="1" x14ac:dyDescent="0.2">
      <c r="A268" s="45" t="str">
        <f t="shared" si="15"/>
        <v/>
      </c>
      <c r="B268" s="45"/>
      <c r="C268" s="45"/>
      <c r="D268" s="45"/>
      <c r="E268" s="50"/>
      <c r="F268" s="51"/>
      <c r="G268" s="52"/>
      <c r="H268" s="52"/>
      <c r="I268" s="52" t="str">
        <f t="shared" si="16"/>
        <v/>
      </c>
      <c r="J268" s="54"/>
      <c r="K268" s="55" t="str">
        <f t="shared" si="17"/>
        <v/>
      </c>
      <c r="L268" s="54"/>
      <c r="M268" s="54"/>
      <c r="N268" s="54"/>
      <c r="O268" s="54"/>
      <c r="P268" s="54"/>
      <c r="S268" s="38"/>
      <c r="T268" s="38"/>
      <c r="U268" s="38"/>
      <c r="V268" s="37"/>
      <c r="W268" s="37"/>
      <c r="X268" s="37"/>
      <c r="Y268" s="37"/>
      <c r="Z268" s="37"/>
      <c r="AA268" s="37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</row>
    <row r="269" spans="1:52" ht="39.75" hidden="1" customHeight="1" x14ac:dyDescent="0.2">
      <c r="A269" s="45" t="str">
        <f t="shared" si="15"/>
        <v/>
      </c>
      <c r="B269" s="45"/>
      <c r="C269" s="45"/>
      <c r="D269" s="45"/>
      <c r="E269" s="50"/>
      <c r="F269" s="51"/>
      <c r="G269" s="52"/>
      <c r="H269" s="52"/>
      <c r="I269" s="52" t="str">
        <f t="shared" si="16"/>
        <v/>
      </c>
      <c r="J269" s="54"/>
      <c r="K269" s="55" t="str">
        <f t="shared" si="17"/>
        <v/>
      </c>
      <c r="L269" s="54"/>
      <c r="M269" s="54"/>
      <c r="N269" s="54"/>
      <c r="O269" s="54"/>
      <c r="P269" s="54"/>
      <c r="S269" s="38"/>
      <c r="T269" s="38"/>
      <c r="U269" s="38"/>
      <c r="V269" s="37"/>
      <c r="W269" s="37"/>
      <c r="X269" s="37"/>
      <c r="Y269" s="37"/>
      <c r="Z269" s="37"/>
      <c r="AA269" s="37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</row>
    <row r="270" spans="1:52" ht="39.75" hidden="1" customHeight="1" x14ac:dyDescent="0.2">
      <c r="A270" s="45" t="str">
        <f t="shared" si="15"/>
        <v/>
      </c>
      <c r="B270" s="45"/>
      <c r="C270" s="45"/>
      <c r="D270" s="45"/>
      <c r="E270" s="50"/>
      <c r="F270" s="51"/>
      <c r="G270" s="52"/>
      <c r="H270" s="52"/>
      <c r="I270" s="52" t="str">
        <f t="shared" si="16"/>
        <v/>
      </c>
      <c r="J270" s="54"/>
      <c r="K270" s="55" t="str">
        <f t="shared" si="17"/>
        <v/>
      </c>
      <c r="L270" s="54"/>
      <c r="M270" s="54"/>
      <c r="N270" s="54"/>
      <c r="O270" s="54"/>
      <c r="P270" s="54"/>
      <c r="S270" s="38"/>
      <c r="T270" s="38"/>
      <c r="U270" s="38"/>
      <c r="V270" s="37"/>
      <c r="W270" s="37"/>
      <c r="X270" s="37"/>
      <c r="Y270" s="37"/>
      <c r="Z270" s="37"/>
      <c r="AA270" s="37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</row>
    <row r="271" spans="1:52" ht="39.75" hidden="1" customHeight="1" x14ac:dyDescent="0.2">
      <c r="A271" s="45" t="str">
        <f t="shared" si="15"/>
        <v/>
      </c>
      <c r="B271" s="45"/>
      <c r="C271" s="45"/>
      <c r="D271" s="45"/>
      <c r="E271" s="50"/>
      <c r="F271" s="51"/>
      <c r="G271" s="52"/>
      <c r="H271" s="52"/>
      <c r="I271" s="52" t="str">
        <f t="shared" si="16"/>
        <v/>
      </c>
      <c r="J271" s="54"/>
      <c r="K271" s="55" t="str">
        <f t="shared" si="17"/>
        <v/>
      </c>
      <c r="L271" s="54"/>
      <c r="M271" s="54"/>
      <c r="N271" s="54"/>
      <c r="O271" s="54"/>
      <c r="P271" s="54"/>
      <c r="S271" s="38"/>
      <c r="T271" s="38"/>
      <c r="U271" s="38"/>
      <c r="V271" s="37"/>
      <c r="W271" s="37"/>
      <c r="X271" s="37"/>
      <c r="Y271" s="37"/>
      <c r="Z271" s="37"/>
      <c r="AA271" s="37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</row>
    <row r="272" spans="1:52" ht="39.75" hidden="1" customHeight="1" x14ac:dyDescent="0.2">
      <c r="A272" s="45" t="str">
        <f t="shared" si="15"/>
        <v/>
      </c>
      <c r="B272" s="45"/>
      <c r="C272" s="45"/>
      <c r="D272" s="45"/>
      <c r="E272" s="50"/>
      <c r="F272" s="51"/>
      <c r="G272" s="52"/>
      <c r="H272" s="52"/>
      <c r="I272" s="52" t="str">
        <f t="shared" si="16"/>
        <v/>
      </c>
      <c r="J272" s="54"/>
      <c r="K272" s="55" t="str">
        <f t="shared" si="17"/>
        <v/>
      </c>
      <c r="L272" s="54"/>
      <c r="M272" s="54"/>
      <c r="N272" s="54"/>
      <c r="O272" s="54"/>
      <c r="P272" s="54"/>
      <c r="S272" s="38"/>
      <c r="T272" s="38"/>
      <c r="U272" s="38"/>
      <c r="V272" s="37"/>
      <c r="W272" s="37"/>
      <c r="X272" s="37"/>
      <c r="Y272" s="37"/>
      <c r="Z272" s="37"/>
      <c r="AA272" s="37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</row>
    <row r="273" spans="1:52" ht="39.75" hidden="1" customHeight="1" x14ac:dyDescent="0.2">
      <c r="A273" s="45" t="str">
        <f t="shared" si="15"/>
        <v/>
      </c>
      <c r="B273" s="45"/>
      <c r="C273" s="45"/>
      <c r="D273" s="45"/>
      <c r="E273" s="50"/>
      <c r="F273" s="51"/>
      <c r="G273" s="52"/>
      <c r="H273" s="52"/>
      <c r="I273" s="52" t="str">
        <f t="shared" si="16"/>
        <v/>
      </c>
      <c r="J273" s="54"/>
      <c r="K273" s="55" t="str">
        <f t="shared" si="17"/>
        <v/>
      </c>
      <c r="L273" s="54"/>
      <c r="M273" s="54"/>
      <c r="N273" s="54"/>
      <c r="O273" s="54"/>
      <c r="P273" s="54"/>
      <c r="S273" s="38"/>
      <c r="T273" s="38"/>
      <c r="U273" s="38"/>
      <c r="V273" s="37"/>
      <c r="W273" s="37"/>
      <c r="X273" s="37"/>
      <c r="Y273" s="37"/>
      <c r="Z273" s="37"/>
      <c r="AA273" s="37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</row>
    <row r="274" spans="1:52" ht="39.75" hidden="1" customHeight="1" x14ac:dyDescent="0.2">
      <c r="A274" s="45" t="str">
        <f t="shared" si="15"/>
        <v/>
      </c>
      <c r="B274" s="45"/>
      <c r="C274" s="45"/>
      <c r="D274" s="45"/>
      <c r="E274" s="50"/>
      <c r="F274" s="51"/>
      <c r="G274" s="52"/>
      <c r="H274" s="52"/>
      <c r="I274" s="52" t="str">
        <f t="shared" si="16"/>
        <v/>
      </c>
      <c r="J274" s="54"/>
      <c r="K274" s="55" t="str">
        <f t="shared" si="17"/>
        <v/>
      </c>
      <c r="L274" s="54"/>
      <c r="M274" s="54"/>
      <c r="N274" s="54"/>
      <c r="O274" s="54"/>
      <c r="P274" s="54"/>
      <c r="S274" s="38"/>
      <c r="T274" s="38"/>
      <c r="U274" s="38"/>
      <c r="V274" s="37"/>
      <c r="W274" s="37"/>
      <c r="X274" s="37"/>
      <c r="Y274" s="37"/>
      <c r="Z274" s="37"/>
      <c r="AA274" s="37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</row>
    <row r="275" spans="1:52" ht="39.75" hidden="1" customHeight="1" x14ac:dyDescent="0.2">
      <c r="A275" s="45" t="str">
        <f t="shared" si="15"/>
        <v/>
      </c>
      <c r="B275" s="45"/>
      <c r="C275" s="45"/>
      <c r="D275" s="45"/>
      <c r="E275" s="50"/>
      <c r="F275" s="51"/>
      <c r="G275" s="52"/>
      <c r="H275" s="52"/>
      <c r="I275" s="52" t="str">
        <f t="shared" si="16"/>
        <v/>
      </c>
      <c r="J275" s="54"/>
      <c r="K275" s="55" t="str">
        <f t="shared" si="17"/>
        <v/>
      </c>
      <c r="L275" s="54"/>
      <c r="M275" s="54"/>
      <c r="N275" s="54"/>
      <c r="O275" s="54"/>
      <c r="P275" s="54"/>
      <c r="S275" s="38"/>
      <c r="T275" s="38"/>
      <c r="U275" s="38"/>
      <c r="V275" s="37"/>
      <c r="W275" s="37"/>
      <c r="X275" s="37"/>
      <c r="Y275" s="37"/>
      <c r="Z275" s="37"/>
      <c r="AA275" s="37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</row>
    <row r="276" spans="1:52" ht="39.75" hidden="1" customHeight="1" x14ac:dyDescent="0.2">
      <c r="A276" s="45" t="str">
        <f t="shared" si="15"/>
        <v/>
      </c>
      <c r="B276" s="45"/>
      <c r="C276" s="45"/>
      <c r="D276" s="45"/>
      <c r="E276" s="50"/>
      <c r="F276" s="51"/>
      <c r="G276" s="52"/>
      <c r="H276" s="52"/>
      <c r="I276" s="52" t="str">
        <f t="shared" si="16"/>
        <v/>
      </c>
      <c r="J276" s="54"/>
      <c r="K276" s="55" t="str">
        <f t="shared" si="17"/>
        <v/>
      </c>
      <c r="L276" s="54"/>
      <c r="M276" s="54"/>
      <c r="N276" s="54"/>
      <c r="O276" s="54"/>
      <c r="P276" s="54"/>
      <c r="S276" s="38"/>
      <c r="T276" s="38"/>
      <c r="U276" s="38"/>
      <c r="V276" s="37"/>
      <c r="W276" s="37"/>
      <c r="X276" s="37"/>
      <c r="Y276" s="37"/>
      <c r="Z276" s="37"/>
      <c r="AA276" s="37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</row>
    <row r="277" spans="1:52" ht="39.75" hidden="1" customHeight="1" x14ac:dyDescent="0.2">
      <c r="A277" s="45" t="str">
        <f t="shared" si="15"/>
        <v/>
      </c>
      <c r="B277" s="45"/>
      <c r="C277" s="45"/>
      <c r="D277" s="45"/>
      <c r="E277" s="50"/>
      <c r="F277" s="51"/>
      <c r="G277" s="52"/>
      <c r="H277" s="52"/>
      <c r="I277" s="52" t="str">
        <f t="shared" si="16"/>
        <v/>
      </c>
      <c r="J277" s="54"/>
      <c r="K277" s="55" t="str">
        <f t="shared" si="17"/>
        <v/>
      </c>
      <c r="L277" s="54"/>
      <c r="M277" s="54"/>
      <c r="N277" s="54"/>
      <c r="O277" s="54"/>
      <c r="P277" s="54"/>
      <c r="S277" s="38"/>
      <c r="T277" s="38"/>
      <c r="U277" s="38"/>
      <c r="V277" s="37"/>
      <c r="W277" s="37"/>
      <c r="X277" s="37"/>
      <c r="Y277" s="37"/>
      <c r="Z277" s="37"/>
      <c r="AA277" s="37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</row>
    <row r="278" spans="1:52" ht="39.75" hidden="1" customHeight="1" x14ac:dyDescent="0.2">
      <c r="A278" s="45" t="str">
        <f t="shared" si="15"/>
        <v/>
      </c>
      <c r="B278" s="45"/>
      <c r="C278" s="45"/>
      <c r="D278" s="45"/>
      <c r="E278" s="50"/>
      <c r="F278" s="51"/>
      <c r="G278" s="52"/>
      <c r="H278" s="52"/>
      <c r="I278" s="52" t="str">
        <f t="shared" si="16"/>
        <v/>
      </c>
      <c r="J278" s="54"/>
      <c r="K278" s="55" t="str">
        <f t="shared" si="17"/>
        <v/>
      </c>
      <c r="L278" s="54"/>
      <c r="M278" s="54"/>
      <c r="N278" s="54"/>
      <c r="O278" s="54"/>
      <c r="P278" s="54"/>
      <c r="S278" s="38"/>
      <c r="T278" s="38"/>
      <c r="U278" s="38"/>
      <c r="V278" s="37"/>
      <c r="W278" s="37"/>
      <c r="X278" s="37"/>
      <c r="Y278" s="37"/>
      <c r="Z278" s="37"/>
      <c r="AA278" s="37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</row>
    <row r="279" spans="1:52" ht="39.75" hidden="1" customHeight="1" x14ac:dyDescent="0.2">
      <c r="A279" s="45" t="str">
        <f t="shared" si="15"/>
        <v/>
      </c>
      <c r="B279" s="45"/>
      <c r="C279" s="45"/>
      <c r="D279" s="45"/>
      <c r="E279" s="50"/>
      <c r="F279" s="51"/>
      <c r="G279" s="52"/>
      <c r="H279" s="52"/>
      <c r="I279" s="52" t="str">
        <f t="shared" si="16"/>
        <v/>
      </c>
      <c r="J279" s="54"/>
      <c r="K279" s="55" t="str">
        <f t="shared" si="17"/>
        <v/>
      </c>
      <c r="L279" s="54"/>
      <c r="M279" s="54"/>
      <c r="N279" s="54"/>
      <c r="O279" s="54"/>
      <c r="P279" s="54"/>
      <c r="S279" s="38"/>
      <c r="T279" s="38"/>
      <c r="U279" s="38"/>
      <c r="V279" s="37"/>
      <c r="W279" s="37"/>
      <c r="X279" s="37"/>
      <c r="Y279" s="37"/>
      <c r="Z279" s="37"/>
      <c r="AA279" s="37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</row>
    <row r="280" spans="1:52" ht="39.75" hidden="1" customHeight="1" x14ac:dyDescent="0.2">
      <c r="A280" s="45" t="str">
        <f t="shared" si="15"/>
        <v/>
      </c>
      <c r="B280" s="45"/>
      <c r="C280" s="45"/>
      <c r="D280" s="45"/>
      <c r="E280" s="50"/>
      <c r="F280" s="51"/>
      <c r="G280" s="52"/>
      <c r="H280" s="52"/>
      <c r="I280" s="52" t="str">
        <f t="shared" si="16"/>
        <v/>
      </c>
      <c r="J280" s="54"/>
      <c r="K280" s="55" t="str">
        <f t="shared" si="17"/>
        <v/>
      </c>
      <c r="L280" s="54"/>
      <c r="M280" s="54"/>
      <c r="N280" s="54"/>
      <c r="O280" s="54"/>
      <c r="P280" s="54"/>
      <c r="S280" s="38"/>
      <c r="T280" s="38"/>
      <c r="U280" s="38"/>
      <c r="V280" s="37"/>
      <c r="W280" s="37"/>
      <c r="X280" s="37"/>
      <c r="Y280" s="37"/>
      <c r="Z280" s="37"/>
      <c r="AA280" s="37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</row>
    <row r="281" spans="1:52" ht="39.75" hidden="1" customHeight="1" x14ac:dyDescent="0.2">
      <c r="A281" s="45" t="str">
        <f t="shared" si="15"/>
        <v/>
      </c>
      <c r="B281" s="45"/>
      <c r="C281" s="45"/>
      <c r="D281" s="45"/>
      <c r="E281" s="50"/>
      <c r="F281" s="51"/>
      <c r="G281" s="52"/>
      <c r="H281" s="52"/>
      <c r="I281" s="52" t="str">
        <f t="shared" si="16"/>
        <v/>
      </c>
      <c r="J281" s="54"/>
      <c r="K281" s="55" t="str">
        <f t="shared" si="17"/>
        <v/>
      </c>
      <c r="L281" s="54"/>
      <c r="M281" s="54"/>
      <c r="N281" s="54"/>
      <c r="O281" s="54"/>
      <c r="P281" s="54"/>
      <c r="S281" s="38"/>
      <c r="T281" s="38"/>
      <c r="U281" s="38"/>
      <c r="V281" s="37"/>
      <c r="W281" s="37"/>
      <c r="X281" s="37"/>
      <c r="Y281" s="37"/>
      <c r="Z281" s="37"/>
      <c r="AA281" s="37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</row>
    <row r="282" spans="1:52" ht="39.75" hidden="1" customHeight="1" x14ac:dyDescent="0.2">
      <c r="A282" s="45" t="str">
        <f t="shared" si="15"/>
        <v/>
      </c>
      <c r="B282" s="45"/>
      <c r="C282" s="45"/>
      <c r="D282" s="45"/>
      <c r="E282" s="50"/>
      <c r="F282" s="51"/>
      <c r="G282" s="52"/>
      <c r="H282" s="52"/>
      <c r="I282" s="52" t="str">
        <f t="shared" si="16"/>
        <v/>
      </c>
      <c r="J282" s="54"/>
      <c r="K282" s="55" t="str">
        <f t="shared" si="17"/>
        <v/>
      </c>
      <c r="L282" s="54"/>
      <c r="M282" s="54"/>
      <c r="N282" s="54"/>
      <c r="O282" s="54"/>
      <c r="P282" s="54"/>
      <c r="S282" s="38"/>
      <c r="T282" s="38"/>
      <c r="U282" s="38"/>
      <c r="V282" s="37"/>
      <c r="W282" s="37"/>
      <c r="X282" s="37"/>
      <c r="Y282" s="37"/>
      <c r="Z282" s="37"/>
      <c r="AA282" s="37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</row>
    <row r="283" spans="1:52" ht="39.75" hidden="1" customHeight="1" x14ac:dyDescent="0.2">
      <c r="A283" s="45" t="str">
        <f t="shared" si="15"/>
        <v/>
      </c>
      <c r="B283" s="45"/>
      <c r="C283" s="45"/>
      <c r="D283" s="45"/>
      <c r="E283" s="50"/>
      <c r="F283" s="51"/>
      <c r="G283" s="52"/>
      <c r="H283" s="52"/>
      <c r="I283" s="52" t="str">
        <f t="shared" si="16"/>
        <v/>
      </c>
      <c r="J283" s="54"/>
      <c r="K283" s="55" t="str">
        <f t="shared" si="17"/>
        <v/>
      </c>
      <c r="L283" s="54"/>
      <c r="M283" s="54"/>
      <c r="N283" s="54"/>
      <c r="O283" s="54"/>
      <c r="P283" s="54"/>
      <c r="S283" s="38"/>
      <c r="T283" s="38"/>
      <c r="U283" s="38"/>
      <c r="V283" s="37"/>
      <c r="W283" s="37"/>
      <c r="X283" s="37"/>
      <c r="Y283" s="37"/>
      <c r="Z283" s="37"/>
      <c r="AA283" s="37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</row>
    <row r="284" spans="1:52" ht="39.75" hidden="1" customHeight="1" x14ac:dyDescent="0.2">
      <c r="A284" s="45" t="str">
        <f t="shared" si="15"/>
        <v/>
      </c>
      <c r="B284" s="45"/>
      <c r="C284" s="45"/>
      <c r="D284" s="45"/>
      <c r="E284" s="50"/>
      <c r="F284" s="51"/>
      <c r="G284" s="52"/>
      <c r="H284" s="52"/>
      <c r="I284" s="52" t="str">
        <f t="shared" si="16"/>
        <v/>
      </c>
      <c r="J284" s="54"/>
      <c r="K284" s="55" t="str">
        <f t="shared" si="17"/>
        <v/>
      </c>
      <c r="L284" s="54"/>
      <c r="M284" s="54"/>
      <c r="N284" s="54"/>
      <c r="O284" s="54"/>
      <c r="P284" s="54"/>
      <c r="S284" s="38"/>
      <c r="T284" s="38"/>
      <c r="U284" s="38"/>
      <c r="V284" s="37"/>
      <c r="W284" s="37"/>
      <c r="X284" s="37"/>
      <c r="Y284" s="37"/>
      <c r="Z284" s="37"/>
      <c r="AA284" s="37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</row>
    <row r="285" spans="1:52" ht="39.75" hidden="1" customHeight="1" x14ac:dyDescent="0.2">
      <c r="A285" s="45" t="str">
        <f t="shared" si="15"/>
        <v/>
      </c>
      <c r="B285" s="45"/>
      <c r="C285" s="45"/>
      <c r="D285" s="45"/>
      <c r="E285" s="50"/>
      <c r="F285" s="51"/>
      <c r="G285" s="52"/>
      <c r="H285" s="52"/>
      <c r="I285" s="52" t="str">
        <f t="shared" si="16"/>
        <v/>
      </c>
      <c r="J285" s="54"/>
      <c r="K285" s="55" t="str">
        <f t="shared" si="17"/>
        <v/>
      </c>
      <c r="L285" s="54"/>
      <c r="M285" s="54"/>
      <c r="N285" s="54"/>
      <c r="O285" s="54"/>
      <c r="P285" s="54"/>
      <c r="S285" s="38"/>
      <c r="T285" s="38"/>
      <c r="U285" s="38"/>
      <c r="V285" s="37"/>
      <c r="W285" s="37"/>
      <c r="X285" s="37"/>
      <c r="Y285" s="37"/>
      <c r="Z285" s="37"/>
      <c r="AA285" s="37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</row>
    <row r="286" spans="1:52" ht="39.75" hidden="1" customHeight="1" x14ac:dyDescent="0.2">
      <c r="A286" s="45" t="str">
        <f t="shared" si="15"/>
        <v/>
      </c>
      <c r="B286" s="45"/>
      <c r="C286" s="45"/>
      <c r="D286" s="45"/>
      <c r="E286" s="50"/>
      <c r="F286" s="51"/>
      <c r="G286" s="52"/>
      <c r="H286" s="52"/>
      <c r="I286" s="52" t="str">
        <f t="shared" si="16"/>
        <v/>
      </c>
      <c r="J286" s="54"/>
      <c r="K286" s="55" t="str">
        <f t="shared" si="17"/>
        <v/>
      </c>
      <c r="L286" s="54"/>
      <c r="M286" s="54"/>
      <c r="N286" s="54"/>
      <c r="O286" s="54"/>
      <c r="P286" s="54"/>
      <c r="S286" s="38"/>
      <c r="T286" s="38"/>
      <c r="U286" s="38"/>
      <c r="V286" s="37"/>
      <c r="W286" s="37"/>
      <c r="X286" s="37"/>
      <c r="Y286" s="37"/>
      <c r="Z286" s="37"/>
      <c r="AA286" s="37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</row>
    <row r="287" spans="1:52" ht="39.75" hidden="1" customHeight="1" x14ac:dyDescent="0.2">
      <c r="A287" s="45" t="str">
        <f t="shared" si="15"/>
        <v/>
      </c>
      <c r="B287" s="45"/>
      <c r="C287" s="45"/>
      <c r="D287" s="45"/>
      <c r="E287" s="50"/>
      <c r="F287" s="51"/>
      <c r="G287" s="52"/>
      <c r="H287" s="52"/>
      <c r="I287" s="52" t="str">
        <f t="shared" si="16"/>
        <v/>
      </c>
      <c r="J287" s="54"/>
      <c r="K287" s="55" t="str">
        <f t="shared" si="17"/>
        <v/>
      </c>
      <c r="L287" s="54"/>
      <c r="M287" s="54"/>
      <c r="N287" s="54"/>
      <c r="O287" s="54"/>
      <c r="P287" s="54"/>
      <c r="S287" s="38"/>
      <c r="T287" s="38"/>
      <c r="U287" s="38"/>
      <c r="V287" s="37"/>
      <c r="W287" s="37"/>
      <c r="X287" s="37"/>
      <c r="Y287" s="37"/>
      <c r="Z287" s="37"/>
      <c r="AA287" s="37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</row>
    <row r="288" spans="1:52" ht="39.75" hidden="1" customHeight="1" x14ac:dyDescent="0.2">
      <c r="A288" s="45" t="str">
        <f t="shared" si="15"/>
        <v/>
      </c>
      <c r="B288" s="45"/>
      <c r="C288" s="45"/>
      <c r="D288" s="45"/>
      <c r="E288" s="50"/>
      <c r="F288" s="51"/>
      <c r="G288" s="52"/>
      <c r="H288" s="52"/>
      <c r="I288" s="52" t="str">
        <f t="shared" si="16"/>
        <v/>
      </c>
      <c r="J288" s="54"/>
      <c r="K288" s="55" t="str">
        <f t="shared" si="17"/>
        <v/>
      </c>
      <c r="L288" s="54"/>
      <c r="M288" s="54"/>
      <c r="N288" s="54"/>
      <c r="O288" s="54"/>
      <c r="P288" s="54"/>
      <c r="S288" s="38"/>
      <c r="T288" s="38"/>
      <c r="U288" s="38"/>
      <c r="V288" s="37"/>
      <c r="W288" s="37"/>
      <c r="X288" s="37"/>
      <c r="Y288" s="37"/>
      <c r="Z288" s="37"/>
      <c r="AA288" s="37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</row>
    <row r="289" spans="1:52" ht="39.75" hidden="1" customHeight="1" x14ac:dyDescent="0.2">
      <c r="A289" s="45" t="str">
        <f t="shared" si="15"/>
        <v/>
      </c>
      <c r="B289" s="45"/>
      <c r="C289" s="45"/>
      <c r="D289" s="45"/>
      <c r="E289" s="50"/>
      <c r="F289" s="51"/>
      <c r="G289" s="52"/>
      <c r="H289" s="52"/>
      <c r="I289" s="52" t="str">
        <f t="shared" si="16"/>
        <v/>
      </c>
      <c r="J289" s="54"/>
      <c r="K289" s="55" t="str">
        <f t="shared" si="17"/>
        <v/>
      </c>
      <c r="L289" s="54"/>
      <c r="M289" s="54"/>
      <c r="N289" s="54"/>
      <c r="O289" s="54"/>
      <c r="P289" s="54"/>
      <c r="S289" s="38"/>
      <c r="T289" s="38"/>
      <c r="U289" s="38"/>
      <c r="V289" s="37"/>
      <c r="W289" s="37"/>
      <c r="X289" s="37"/>
      <c r="Y289" s="37"/>
      <c r="Z289" s="37"/>
      <c r="AA289" s="37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</row>
    <row r="290" spans="1:52" ht="39.75" hidden="1" customHeight="1" x14ac:dyDescent="0.2">
      <c r="A290" s="45" t="str">
        <f t="shared" si="15"/>
        <v/>
      </c>
      <c r="B290" s="45"/>
      <c r="C290" s="45"/>
      <c r="D290" s="45"/>
      <c r="E290" s="50"/>
      <c r="F290" s="51"/>
      <c r="G290" s="52"/>
      <c r="H290" s="52"/>
      <c r="I290" s="52" t="str">
        <f t="shared" si="16"/>
        <v/>
      </c>
      <c r="J290" s="54"/>
      <c r="K290" s="55" t="str">
        <f t="shared" si="17"/>
        <v/>
      </c>
      <c r="L290" s="54"/>
      <c r="M290" s="54"/>
      <c r="N290" s="54"/>
      <c r="O290" s="54"/>
      <c r="P290" s="54"/>
      <c r="S290" s="38"/>
      <c r="T290" s="38"/>
      <c r="U290" s="38"/>
      <c r="V290" s="37"/>
      <c r="W290" s="37"/>
      <c r="X290" s="37"/>
      <c r="Y290" s="37"/>
      <c r="Z290" s="37"/>
      <c r="AA290" s="37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</row>
    <row r="291" spans="1:52" ht="39.75" hidden="1" customHeight="1" x14ac:dyDescent="0.2">
      <c r="A291" s="45" t="str">
        <f t="shared" si="15"/>
        <v/>
      </c>
      <c r="B291" s="45"/>
      <c r="C291" s="45"/>
      <c r="D291" s="45"/>
      <c r="E291" s="50"/>
      <c r="F291" s="51"/>
      <c r="G291" s="52"/>
      <c r="H291" s="52"/>
      <c r="I291" s="52" t="str">
        <f t="shared" si="16"/>
        <v/>
      </c>
      <c r="J291" s="54"/>
      <c r="K291" s="55" t="str">
        <f t="shared" si="17"/>
        <v/>
      </c>
      <c r="L291" s="54"/>
      <c r="M291" s="54"/>
      <c r="N291" s="54"/>
      <c r="O291" s="54"/>
      <c r="P291" s="54"/>
      <c r="S291" s="38"/>
      <c r="T291" s="38"/>
      <c r="U291" s="38"/>
      <c r="V291" s="37"/>
      <c r="W291" s="37"/>
      <c r="X291" s="37"/>
      <c r="Y291" s="37"/>
      <c r="Z291" s="37"/>
      <c r="AA291" s="37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</row>
    <row r="292" spans="1:52" ht="39.75" hidden="1" customHeight="1" x14ac:dyDescent="0.2">
      <c r="A292" s="45" t="str">
        <f t="shared" si="15"/>
        <v/>
      </c>
      <c r="B292" s="45"/>
      <c r="C292" s="45"/>
      <c r="D292" s="45"/>
      <c r="E292" s="50"/>
      <c r="F292" s="51"/>
      <c r="G292" s="52"/>
      <c r="H292" s="52"/>
      <c r="I292" s="52" t="str">
        <f t="shared" si="16"/>
        <v/>
      </c>
      <c r="J292" s="54"/>
      <c r="K292" s="55" t="str">
        <f t="shared" si="17"/>
        <v/>
      </c>
      <c r="L292" s="54"/>
      <c r="M292" s="54"/>
      <c r="N292" s="54"/>
      <c r="O292" s="54"/>
      <c r="P292" s="54"/>
      <c r="S292" s="38"/>
      <c r="T292" s="38"/>
      <c r="U292" s="38"/>
      <c r="V292" s="37"/>
      <c r="W292" s="37"/>
      <c r="X292" s="37"/>
      <c r="Y292" s="37"/>
      <c r="Z292" s="37"/>
      <c r="AA292" s="37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</row>
    <row r="293" spans="1:52" ht="39.75" hidden="1" customHeight="1" x14ac:dyDescent="0.2">
      <c r="A293" s="45" t="str">
        <f t="shared" si="15"/>
        <v/>
      </c>
      <c r="B293" s="45"/>
      <c r="C293" s="45"/>
      <c r="D293" s="45"/>
      <c r="E293" s="50"/>
      <c r="F293" s="51"/>
      <c r="G293" s="52"/>
      <c r="H293" s="52"/>
      <c r="I293" s="52" t="str">
        <f t="shared" si="16"/>
        <v/>
      </c>
      <c r="J293" s="54"/>
      <c r="K293" s="55" t="str">
        <f t="shared" si="17"/>
        <v/>
      </c>
      <c r="L293" s="54"/>
      <c r="M293" s="54"/>
      <c r="N293" s="54"/>
      <c r="O293" s="54"/>
      <c r="P293" s="54"/>
      <c r="S293" s="38"/>
      <c r="T293" s="38"/>
      <c r="U293" s="38"/>
      <c r="V293" s="37"/>
      <c r="W293" s="37"/>
      <c r="X293" s="37"/>
      <c r="Y293" s="37"/>
      <c r="Z293" s="37"/>
      <c r="AA293" s="37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</row>
    <row r="294" spans="1:52" ht="39.75" hidden="1" customHeight="1" x14ac:dyDescent="0.2">
      <c r="A294" s="45" t="str">
        <f t="shared" si="15"/>
        <v/>
      </c>
      <c r="B294" s="45"/>
      <c r="C294" s="45"/>
      <c r="D294" s="45"/>
      <c r="E294" s="50"/>
      <c r="F294" s="51"/>
      <c r="G294" s="52"/>
      <c r="H294" s="52"/>
      <c r="I294" s="52" t="str">
        <f t="shared" si="16"/>
        <v/>
      </c>
      <c r="J294" s="54"/>
      <c r="K294" s="55" t="str">
        <f t="shared" si="17"/>
        <v/>
      </c>
      <c r="L294" s="54"/>
      <c r="M294" s="54"/>
      <c r="N294" s="54"/>
      <c r="O294" s="54"/>
      <c r="P294" s="54"/>
      <c r="S294" s="38"/>
      <c r="T294" s="38"/>
      <c r="U294" s="38"/>
      <c r="V294" s="37"/>
      <c r="W294" s="37"/>
      <c r="X294" s="37"/>
      <c r="Y294" s="37"/>
      <c r="Z294" s="37"/>
      <c r="AA294" s="37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</row>
    <row r="295" spans="1:52" ht="39.75" hidden="1" customHeight="1" x14ac:dyDescent="0.2">
      <c r="A295" s="45" t="str">
        <f t="shared" si="15"/>
        <v/>
      </c>
      <c r="B295" s="45"/>
      <c r="C295" s="45"/>
      <c r="D295" s="45"/>
      <c r="E295" s="50"/>
      <c r="F295" s="51"/>
      <c r="G295" s="52"/>
      <c r="H295" s="52"/>
      <c r="I295" s="52" t="str">
        <f t="shared" si="16"/>
        <v/>
      </c>
      <c r="J295" s="54"/>
      <c r="K295" s="55" t="str">
        <f t="shared" si="17"/>
        <v/>
      </c>
      <c r="L295" s="54"/>
      <c r="M295" s="54"/>
      <c r="N295" s="54"/>
      <c r="O295" s="54"/>
      <c r="P295" s="54"/>
      <c r="S295" s="38"/>
      <c r="T295" s="38"/>
      <c r="U295" s="38"/>
      <c r="V295" s="37"/>
      <c r="W295" s="37"/>
      <c r="X295" s="37"/>
      <c r="Y295" s="37"/>
      <c r="Z295" s="37"/>
      <c r="AA295" s="37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</row>
    <row r="296" spans="1:52" ht="39.75" hidden="1" customHeight="1" x14ac:dyDescent="0.2">
      <c r="A296" s="45" t="str">
        <f t="shared" si="15"/>
        <v/>
      </c>
      <c r="B296" s="45"/>
      <c r="C296" s="45"/>
      <c r="D296" s="45"/>
      <c r="E296" s="50"/>
      <c r="F296" s="51"/>
      <c r="G296" s="52"/>
      <c r="H296" s="52"/>
      <c r="I296" s="52" t="str">
        <f t="shared" si="16"/>
        <v/>
      </c>
      <c r="J296" s="54"/>
      <c r="K296" s="55" t="str">
        <f t="shared" si="17"/>
        <v/>
      </c>
      <c r="L296" s="54"/>
      <c r="M296" s="54"/>
      <c r="N296" s="54"/>
      <c r="O296" s="54"/>
      <c r="P296" s="54"/>
      <c r="S296" s="38"/>
      <c r="T296" s="38"/>
      <c r="U296" s="38"/>
      <c r="V296" s="37"/>
      <c r="W296" s="37"/>
      <c r="X296" s="37"/>
      <c r="Y296" s="37"/>
      <c r="Z296" s="37"/>
      <c r="AA296" s="37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</row>
    <row r="297" spans="1:52" ht="39.75" hidden="1" customHeight="1" x14ac:dyDescent="0.2">
      <c r="A297" s="45" t="str">
        <f t="shared" si="15"/>
        <v/>
      </c>
      <c r="B297" s="45"/>
      <c r="C297" s="45"/>
      <c r="D297" s="45"/>
      <c r="E297" s="50"/>
      <c r="F297" s="51"/>
      <c r="G297" s="52"/>
      <c r="H297" s="52"/>
      <c r="I297" s="52" t="str">
        <f t="shared" si="16"/>
        <v/>
      </c>
      <c r="J297" s="54"/>
      <c r="K297" s="55" t="str">
        <f t="shared" si="17"/>
        <v/>
      </c>
      <c r="L297" s="54"/>
      <c r="M297" s="54"/>
      <c r="N297" s="54"/>
      <c r="O297" s="54"/>
      <c r="P297" s="54"/>
      <c r="S297" s="38"/>
      <c r="T297" s="38"/>
      <c r="U297" s="38"/>
      <c r="V297" s="37"/>
      <c r="W297" s="37"/>
      <c r="X297" s="37"/>
      <c r="Y297" s="37"/>
      <c r="Z297" s="37"/>
      <c r="AA297" s="37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</row>
    <row r="298" spans="1:52" ht="39.75" hidden="1" customHeight="1" x14ac:dyDescent="0.2">
      <c r="A298" s="45" t="str">
        <f t="shared" si="15"/>
        <v/>
      </c>
      <c r="B298" s="45"/>
      <c r="C298" s="45"/>
      <c r="D298" s="45"/>
      <c r="E298" s="50"/>
      <c r="F298" s="51"/>
      <c r="G298" s="52"/>
      <c r="H298" s="52"/>
      <c r="I298" s="52" t="str">
        <f t="shared" si="16"/>
        <v/>
      </c>
      <c r="J298" s="54"/>
      <c r="K298" s="55" t="str">
        <f t="shared" si="17"/>
        <v/>
      </c>
      <c r="L298" s="54"/>
      <c r="M298" s="54"/>
      <c r="N298" s="54"/>
      <c r="O298" s="54"/>
      <c r="P298" s="54"/>
      <c r="S298" s="38"/>
      <c r="T298" s="38"/>
      <c r="U298" s="38"/>
      <c r="V298" s="37"/>
      <c r="W298" s="37"/>
      <c r="X298" s="37"/>
      <c r="Y298" s="37"/>
      <c r="Z298" s="37"/>
      <c r="AA298" s="37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</row>
    <row r="299" spans="1:52" ht="39.75" hidden="1" customHeight="1" x14ac:dyDescent="0.2">
      <c r="A299" s="45" t="str">
        <f t="shared" si="15"/>
        <v/>
      </c>
      <c r="B299" s="45"/>
      <c r="C299" s="45"/>
      <c r="D299" s="45"/>
      <c r="E299" s="50"/>
      <c r="F299" s="51"/>
      <c r="G299" s="52"/>
      <c r="H299" s="52"/>
      <c r="I299" s="52" t="str">
        <f t="shared" si="16"/>
        <v/>
      </c>
      <c r="J299" s="54"/>
      <c r="K299" s="55" t="str">
        <f t="shared" si="17"/>
        <v/>
      </c>
      <c r="L299" s="54"/>
      <c r="M299" s="54"/>
      <c r="N299" s="54"/>
      <c r="O299" s="54"/>
      <c r="P299" s="54"/>
      <c r="S299" s="38"/>
      <c r="T299" s="38"/>
      <c r="U299" s="38"/>
      <c r="V299" s="37"/>
      <c r="W299" s="37"/>
      <c r="X299" s="37"/>
      <c r="Y299" s="37"/>
      <c r="Z299" s="37"/>
      <c r="AA299" s="37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</row>
    <row r="300" spans="1:52" ht="39.75" hidden="1" customHeight="1" x14ac:dyDescent="0.2">
      <c r="A300" s="45" t="str">
        <f t="shared" si="15"/>
        <v/>
      </c>
      <c r="B300" s="45"/>
      <c r="C300" s="45"/>
      <c r="D300" s="45"/>
      <c r="E300" s="50"/>
      <c r="F300" s="51"/>
      <c r="G300" s="52"/>
      <c r="H300" s="52"/>
      <c r="I300" s="52" t="str">
        <f t="shared" si="16"/>
        <v/>
      </c>
      <c r="J300" s="54"/>
      <c r="K300" s="55" t="str">
        <f t="shared" si="17"/>
        <v/>
      </c>
      <c r="L300" s="54"/>
      <c r="M300" s="54"/>
      <c r="N300" s="54"/>
      <c r="O300" s="54"/>
      <c r="P300" s="54"/>
      <c r="S300" s="38"/>
      <c r="T300" s="38"/>
      <c r="U300" s="38"/>
      <c r="V300" s="37"/>
      <c r="W300" s="37"/>
      <c r="X300" s="37"/>
      <c r="Y300" s="37"/>
      <c r="Z300" s="37"/>
      <c r="AA300" s="37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</row>
    <row r="301" spans="1:52" ht="39.75" hidden="1" customHeight="1" x14ac:dyDescent="0.2">
      <c r="A301" s="45" t="str">
        <f t="shared" si="15"/>
        <v/>
      </c>
      <c r="B301" s="45"/>
      <c r="C301" s="45"/>
      <c r="D301" s="45"/>
      <c r="E301" s="50"/>
      <c r="F301" s="51"/>
      <c r="G301" s="52"/>
      <c r="H301" s="52"/>
      <c r="I301" s="52" t="str">
        <f t="shared" si="16"/>
        <v/>
      </c>
      <c r="J301" s="54"/>
      <c r="K301" s="55" t="str">
        <f t="shared" si="17"/>
        <v/>
      </c>
      <c r="L301" s="54"/>
      <c r="M301" s="54"/>
      <c r="N301" s="54"/>
      <c r="O301" s="54"/>
      <c r="P301" s="54"/>
      <c r="S301" s="38"/>
      <c r="T301" s="38"/>
      <c r="U301" s="38"/>
      <c r="V301" s="37"/>
      <c r="W301" s="37"/>
      <c r="X301" s="37"/>
      <c r="Y301" s="37"/>
      <c r="Z301" s="37"/>
      <c r="AA301" s="37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</row>
    <row r="302" spans="1:52" ht="39.75" hidden="1" customHeight="1" x14ac:dyDescent="0.2">
      <c r="A302" s="45" t="str">
        <f t="shared" si="15"/>
        <v/>
      </c>
      <c r="B302" s="45"/>
      <c r="C302" s="45"/>
      <c r="D302" s="45"/>
      <c r="E302" s="50"/>
      <c r="F302" s="51"/>
      <c r="G302" s="52"/>
      <c r="H302" s="52"/>
      <c r="I302" s="52" t="str">
        <f t="shared" si="16"/>
        <v/>
      </c>
      <c r="J302" s="54"/>
      <c r="K302" s="55" t="str">
        <f t="shared" si="17"/>
        <v/>
      </c>
      <c r="L302" s="54"/>
      <c r="M302" s="54"/>
      <c r="N302" s="54"/>
      <c r="O302" s="54"/>
      <c r="P302" s="54"/>
      <c r="S302" s="38"/>
      <c r="T302" s="38"/>
      <c r="U302" s="38"/>
      <c r="V302" s="37"/>
      <c r="W302" s="37"/>
      <c r="X302" s="37"/>
      <c r="Y302" s="37"/>
      <c r="Z302" s="37"/>
      <c r="AA302" s="37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</row>
    <row r="303" spans="1:52" ht="39.75" hidden="1" customHeight="1" x14ac:dyDescent="0.2">
      <c r="A303" s="45" t="str">
        <f t="shared" si="15"/>
        <v/>
      </c>
      <c r="B303" s="45"/>
      <c r="C303" s="45"/>
      <c r="D303" s="45"/>
      <c r="E303" s="50"/>
      <c r="F303" s="51"/>
      <c r="G303" s="52"/>
      <c r="H303" s="52"/>
      <c r="I303" s="52" t="str">
        <f t="shared" si="16"/>
        <v/>
      </c>
      <c r="J303" s="54"/>
      <c r="K303" s="55" t="str">
        <f t="shared" si="17"/>
        <v/>
      </c>
      <c r="L303" s="54"/>
      <c r="M303" s="54"/>
      <c r="N303" s="54"/>
      <c r="O303" s="54"/>
      <c r="P303" s="54"/>
      <c r="S303" s="38"/>
      <c r="T303" s="38"/>
      <c r="U303" s="38"/>
      <c r="V303" s="37"/>
      <c r="W303" s="37"/>
      <c r="X303" s="37"/>
      <c r="Y303" s="37"/>
      <c r="Z303" s="37"/>
      <c r="AA303" s="37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</row>
    <row r="304" spans="1:52" ht="39.75" hidden="1" customHeight="1" x14ac:dyDescent="0.2">
      <c r="A304" s="45" t="str">
        <f t="shared" si="15"/>
        <v/>
      </c>
      <c r="B304" s="45"/>
      <c r="C304" s="45"/>
      <c r="D304" s="45"/>
      <c r="E304" s="50"/>
      <c r="F304" s="51"/>
      <c r="G304" s="52"/>
      <c r="H304" s="52"/>
      <c r="I304" s="52" t="str">
        <f t="shared" si="16"/>
        <v/>
      </c>
      <c r="J304" s="54"/>
      <c r="K304" s="55" t="str">
        <f t="shared" si="17"/>
        <v/>
      </c>
      <c r="L304" s="54"/>
      <c r="M304" s="54"/>
      <c r="N304" s="54"/>
      <c r="O304" s="54"/>
      <c r="P304" s="54"/>
      <c r="S304" s="38"/>
      <c r="T304" s="38"/>
      <c r="U304" s="38"/>
      <c r="V304" s="37"/>
      <c r="W304" s="37"/>
      <c r="X304" s="37"/>
      <c r="Y304" s="37"/>
      <c r="Z304" s="37"/>
      <c r="AA304" s="37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</row>
    <row r="305" spans="1:52" ht="39.75" hidden="1" customHeight="1" x14ac:dyDescent="0.2">
      <c r="A305" s="45" t="str">
        <f t="shared" si="15"/>
        <v/>
      </c>
      <c r="B305" s="45"/>
      <c r="C305" s="45"/>
      <c r="D305" s="45"/>
      <c r="E305" s="50"/>
      <c r="F305" s="51"/>
      <c r="G305" s="52"/>
      <c r="H305" s="52"/>
      <c r="I305" s="52" t="str">
        <f t="shared" si="16"/>
        <v/>
      </c>
      <c r="J305" s="54"/>
      <c r="K305" s="55" t="str">
        <f t="shared" si="17"/>
        <v/>
      </c>
      <c r="L305" s="54"/>
      <c r="M305" s="54"/>
      <c r="N305" s="54"/>
      <c r="O305" s="54"/>
      <c r="P305" s="54"/>
      <c r="S305" s="38"/>
      <c r="T305" s="38"/>
      <c r="U305" s="38"/>
      <c r="V305" s="37"/>
      <c r="W305" s="37"/>
      <c r="X305" s="37"/>
      <c r="Y305" s="37"/>
      <c r="Z305" s="37"/>
      <c r="AA305" s="37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</row>
    <row r="306" spans="1:52" ht="39.75" hidden="1" customHeight="1" x14ac:dyDescent="0.2">
      <c r="A306" s="45" t="str">
        <f t="shared" si="15"/>
        <v/>
      </c>
      <c r="B306" s="45"/>
      <c r="C306" s="45"/>
      <c r="D306" s="45"/>
      <c r="E306" s="50"/>
      <c r="F306" s="51"/>
      <c r="G306" s="52"/>
      <c r="H306" s="52"/>
      <c r="I306" s="52" t="str">
        <f t="shared" si="16"/>
        <v/>
      </c>
      <c r="J306" s="54"/>
      <c r="K306" s="55" t="str">
        <f t="shared" si="17"/>
        <v/>
      </c>
      <c r="L306" s="54"/>
      <c r="M306" s="54"/>
      <c r="N306" s="54"/>
      <c r="O306" s="54"/>
      <c r="P306" s="54"/>
      <c r="S306" s="38"/>
      <c r="T306" s="38"/>
      <c r="U306" s="38"/>
      <c r="V306" s="37"/>
      <c r="W306" s="37"/>
      <c r="X306" s="37"/>
      <c r="Y306" s="37"/>
      <c r="Z306" s="37"/>
      <c r="AA306" s="37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</row>
    <row r="307" spans="1:52" ht="39.75" hidden="1" customHeight="1" x14ac:dyDescent="0.2">
      <c r="A307" s="45" t="str">
        <f t="shared" si="15"/>
        <v/>
      </c>
      <c r="B307" s="45"/>
      <c r="C307" s="45"/>
      <c r="D307" s="45"/>
      <c r="E307" s="50"/>
      <c r="F307" s="51"/>
      <c r="G307" s="52"/>
      <c r="H307" s="52"/>
      <c r="I307" s="52" t="str">
        <f t="shared" si="16"/>
        <v/>
      </c>
      <c r="J307" s="54"/>
      <c r="K307" s="55" t="str">
        <f t="shared" si="17"/>
        <v/>
      </c>
      <c r="L307" s="54"/>
      <c r="M307" s="54"/>
      <c r="N307" s="54"/>
      <c r="O307" s="54"/>
      <c r="P307" s="54"/>
      <c r="S307" s="38"/>
      <c r="T307" s="38"/>
      <c r="U307" s="38"/>
      <c r="V307" s="37"/>
      <c r="W307" s="37"/>
      <c r="X307" s="37"/>
      <c r="Y307" s="37"/>
      <c r="Z307" s="37"/>
      <c r="AA307" s="37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</row>
    <row r="308" spans="1:52" ht="39.75" hidden="1" customHeight="1" x14ac:dyDescent="0.2">
      <c r="A308" s="45" t="str">
        <f t="shared" si="15"/>
        <v/>
      </c>
      <c r="B308" s="45"/>
      <c r="C308" s="45"/>
      <c r="D308" s="45"/>
      <c r="E308" s="50"/>
      <c r="F308" s="51"/>
      <c r="G308" s="52"/>
      <c r="H308" s="52"/>
      <c r="I308" s="52" t="str">
        <f t="shared" si="16"/>
        <v/>
      </c>
      <c r="J308" s="54"/>
      <c r="K308" s="55" t="str">
        <f t="shared" si="17"/>
        <v/>
      </c>
      <c r="L308" s="54"/>
      <c r="M308" s="54"/>
      <c r="N308" s="54"/>
      <c r="O308" s="54"/>
      <c r="P308" s="54"/>
      <c r="S308" s="38"/>
      <c r="T308" s="38"/>
      <c r="U308" s="38"/>
      <c r="V308" s="37"/>
      <c r="W308" s="37"/>
      <c r="X308" s="37"/>
      <c r="Y308" s="37"/>
      <c r="Z308" s="37"/>
      <c r="AA308" s="37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</row>
    <row r="309" spans="1:52" ht="39.75" hidden="1" customHeight="1" x14ac:dyDescent="0.2">
      <c r="A309" s="45" t="str">
        <f t="shared" si="15"/>
        <v/>
      </c>
      <c r="B309" s="45"/>
      <c r="C309" s="45"/>
      <c r="D309" s="45"/>
      <c r="E309" s="50"/>
      <c r="F309" s="51"/>
      <c r="G309" s="52"/>
      <c r="H309" s="52"/>
      <c r="I309" s="52" t="str">
        <f t="shared" si="16"/>
        <v/>
      </c>
      <c r="J309" s="54"/>
      <c r="K309" s="55" t="str">
        <f t="shared" si="17"/>
        <v/>
      </c>
      <c r="L309" s="54"/>
      <c r="M309" s="54"/>
      <c r="N309" s="54"/>
      <c r="O309" s="54"/>
      <c r="P309" s="54"/>
      <c r="S309" s="38"/>
      <c r="T309" s="38"/>
      <c r="U309" s="38"/>
      <c r="V309" s="37"/>
      <c r="W309" s="37"/>
      <c r="X309" s="37"/>
      <c r="Y309" s="37"/>
      <c r="Z309" s="37"/>
      <c r="AA309" s="37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</row>
    <row r="310" spans="1:52" ht="39.75" hidden="1" customHeight="1" x14ac:dyDescent="0.2">
      <c r="A310" s="45" t="str">
        <f t="shared" si="15"/>
        <v/>
      </c>
      <c r="B310" s="45"/>
      <c r="C310" s="45"/>
      <c r="D310" s="45"/>
      <c r="E310" s="50"/>
      <c r="F310" s="51"/>
      <c r="G310" s="52"/>
      <c r="H310" s="52"/>
      <c r="I310" s="52" t="str">
        <f t="shared" si="16"/>
        <v/>
      </c>
      <c r="J310" s="54"/>
      <c r="K310" s="55" t="str">
        <f t="shared" si="17"/>
        <v/>
      </c>
      <c r="L310" s="54"/>
      <c r="M310" s="54"/>
      <c r="N310" s="54"/>
      <c r="O310" s="54"/>
      <c r="P310" s="54"/>
      <c r="S310" s="38"/>
      <c r="T310" s="38"/>
      <c r="U310" s="38"/>
      <c r="V310" s="37"/>
      <c r="W310" s="37"/>
      <c r="X310" s="37"/>
      <c r="Y310" s="37"/>
      <c r="Z310" s="37"/>
      <c r="AA310" s="37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</row>
    <row r="311" spans="1:52" ht="39.75" hidden="1" customHeight="1" x14ac:dyDescent="0.2">
      <c r="A311" s="45" t="str">
        <f t="shared" si="15"/>
        <v/>
      </c>
      <c r="B311" s="45"/>
      <c r="C311" s="45"/>
      <c r="D311" s="45"/>
      <c r="E311" s="50"/>
      <c r="F311" s="51"/>
      <c r="G311" s="52"/>
      <c r="H311" s="52"/>
      <c r="I311" s="52" t="str">
        <f t="shared" si="16"/>
        <v/>
      </c>
      <c r="J311" s="54"/>
      <c r="K311" s="55" t="str">
        <f t="shared" si="17"/>
        <v/>
      </c>
      <c r="L311" s="54"/>
      <c r="M311" s="54"/>
      <c r="N311" s="54"/>
      <c r="O311" s="54"/>
      <c r="P311" s="54"/>
      <c r="S311" s="38"/>
      <c r="T311" s="38"/>
      <c r="U311" s="38"/>
      <c r="V311" s="37"/>
      <c r="W311" s="37"/>
      <c r="X311" s="37"/>
      <c r="Y311" s="37"/>
      <c r="Z311" s="37"/>
      <c r="AA311" s="37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</row>
    <row r="312" spans="1:52" ht="39.75" hidden="1" customHeight="1" x14ac:dyDescent="0.2">
      <c r="A312" s="45" t="str">
        <f t="shared" si="15"/>
        <v/>
      </c>
      <c r="B312" s="45"/>
      <c r="C312" s="45"/>
      <c r="D312" s="45"/>
      <c r="E312" s="50"/>
      <c r="F312" s="51"/>
      <c r="G312" s="52"/>
      <c r="H312" s="52"/>
      <c r="I312" s="52" t="str">
        <f t="shared" si="16"/>
        <v/>
      </c>
      <c r="J312" s="54"/>
      <c r="K312" s="55" t="str">
        <f t="shared" si="17"/>
        <v/>
      </c>
      <c r="L312" s="54"/>
      <c r="M312" s="54"/>
      <c r="N312" s="54"/>
      <c r="O312" s="54"/>
      <c r="P312" s="54"/>
      <c r="S312" s="38"/>
      <c r="T312" s="38"/>
      <c r="U312" s="38"/>
      <c r="V312" s="37"/>
      <c r="W312" s="37"/>
      <c r="X312" s="37"/>
      <c r="Y312" s="37"/>
      <c r="Z312" s="37"/>
      <c r="AA312" s="37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</row>
    <row r="313" spans="1:52" ht="39.75" hidden="1" customHeight="1" x14ac:dyDescent="0.2">
      <c r="A313" s="45" t="str">
        <f t="shared" si="15"/>
        <v/>
      </c>
      <c r="B313" s="45"/>
      <c r="C313" s="45"/>
      <c r="D313" s="45"/>
      <c r="E313" s="50"/>
      <c r="F313" s="51"/>
      <c r="G313" s="52"/>
      <c r="H313" s="52"/>
      <c r="I313" s="52" t="str">
        <f t="shared" si="16"/>
        <v/>
      </c>
      <c r="J313" s="54"/>
      <c r="K313" s="55" t="str">
        <f t="shared" si="17"/>
        <v/>
      </c>
      <c r="L313" s="54"/>
      <c r="M313" s="54"/>
      <c r="N313" s="54"/>
      <c r="O313" s="54"/>
      <c r="P313" s="54"/>
      <c r="S313" s="38"/>
      <c r="T313" s="38"/>
      <c r="U313" s="38"/>
      <c r="V313" s="37"/>
      <c r="W313" s="37"/>
      <c r="X313" s="37"/>
      <c r="Y313" s="37"/>
      <c r="Z313" s="37"/>
      <c r="AA313" s="37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</row>
    <row r="314" spans="1:52" ht="39.75" hidden="1" customHeight="1" x14ac:dyDescent="0.2">
      <c r="A314" s="45" t="str">
        <f t="shared" si="15"/>
        <v/>
      </c>
      <c r="B314" s="45"/>
      <c r="C314" s="45"/>
      <c r="D314" s="45"/>
      <c r="E314" s="50"/>
      <c r="F314" s="51"/>
      <c r="G314" s="52"/>
      <c r="H314" s="52"/>
      <c r="I314" s="52" t="str">
        <f t="shared" si="16"/>
        <v/>
      </c>
      <c r="J314" s="54"/>
      <c r="K314" s="55" t="str">
        <f t="shared" si="17"/>
        <v/>
      </c>
      <c r="L314" s="54"/>
      <c r="M314" s="54"/>
      <c r="N314" s="54"/>
      <c r="O314" s="54"/>
      <c r="P314" s="54"/>
      <c r="S314" s="38"/>
      <c r="T314" s="38"/>
      <c r="U314" s="38"/>
      <c r="V314" s="37"/>
      <c r="W314" s="37"/>
      <c r="X314" s="37"/>
      <c r="Y314" s="37"/>
      <c r="Z314" s="37"/>
      <c r="AA314" s="37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</row>
    <row r="315" spans="1:52" ht="39.75" hidden="1" customHeight="1" x14ac:dyDescent="0.2">
      <c r="A315" s="45" t="str">
        <f t="shared" si="15"/>
        <v/>
      </c>
      <c r="B315" s="45"/>
      <c r="C315" s="45"/>
      <c r="D315" s="45"/>
      <c r="E315" s="50"/>
      <c r="F315" s="51"/>
      <c r="G315" s="52"/>
      <c r="H315" s="52"/>
      <c r="I315" s="52" t="str">
        <f t="shared" si="16"/>
        <v/>
      </c>
      <c r="J315" s="54"/>
      <c r="K315" s="55" t="str">
        <f t="shared" si="17"/>
        <v/>
      </c>
      <c r="L315" s="54"/>
      <c r="M315" s="54"/>
      <c r="N315" s="54"/>
      <c r="O315" s="54"/>
      <c r="P315" s="54"/>
      <c r="S315" s="38"/>
      <c r="T315" s="38"/>
      <c r="U315" s="38"/>
      <c r="V315" s="37"/>
      <c r="W315" s="37"/>
      <c r="X315" s="37"/>
      <c r="Y315" s="37"/>
      <c r="Z315" s="37"/>
      <c r="AA315" s="37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</row>
    <row r="316" spans="1:52" ht="39.75" hidden="1" customHeight="1" x14ac:dyDescent="0.2">
      <c r="A316" s="45" t="str">
        <f t="shared" si="15"/>
        <v/>
      </c>
      <c r="B316" s="45"/>
      <c r="C316" s="45"/>
      <c r="D316" s="45"/>
      <c r="E316" s="50"/>
      <c r="F316" s="51"/>
      <c r="G316" s="52"/>
      <c r="H316" s="52"/>
      <c r="I316" s="52" t="str">
        <f t="shared" si="16"/>
        <v/>
      </c>
      <c r="J316" s="54"/>
      <c r="K316" s="55" t="str">
        <f t="shared" si="17"/>
        <v/>
      </c>
      <c r="L316" s="54"/>
      <c r="M316" s="54"/>
      <c r="N316" s="54"/>
      <c r="O316" s="54"/>
      <c r="P316" s="54"/>
      <c r="S316" s="38"/>
      <c r="T316" s="38"/>
      <c r="U316" s="38"/>
      <c r="V316" s="37"/>
      <c r="W316" s="37"/>
      <c r="X316" s="37"/>
      <c r="Y316" s="37"/>
      <c r="Z316" s="37"/>
      <c r="AA316" s="37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</row>
    <row r="317" spans="1:52" ht="39.75" hidden="1" customHeight="1" x14ac:dyDescent="0.2">
      <c r="A317" s="45" t="str">
        <f t="shared" si="15"/>
        <v/>
      </c>
      <c r="B317" s="45"/>
      <c r="C317" s="45"/>
      <c r="D317" s="45"/>
      <c r="E317" s="50"/>
      <c r="F317" s="51"/>
      <c r="G317" s="52"/>
      <c r="H317" s="52"/>
      <c r="I317" s="52" t="str">
        <f t="shared" si="16"/>
        <v/>
      </c>
      <c r="J317" s="54"/>
      <c r="K317" s="55" t="str">
        <f t="shared" si="17"/>
        <v/>
      </c>
      <c r="L317" s="54"/>
      <c r="M317" s="54"/>
      <c r="N317" s="54"/>
      <c r="O317" s="54"/>
      <c r="P317" s="54"/>
      <c r="S317" s="38"/>
      <c r="T317" s="38"/>
      <c r="U317" s="38"/>
      <c r="V317" s="37"/>
      <c r="W317" s="37"/>
      <c r="X317" s="37"/>
      <c r="Y317" s="37"/>
      <c r="Z317" s="37"/>
      <c r="AA317" s="37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</row>
    <row r="318" spans="1:52" ht="39.75" hidden="1" customHeight="1" x14ac:dyDescent="0.2">
      <c r="A318" s="45" t="str">
        <f t="shared" si="15"/>
        <v/>
      </c>
      <c r="B318" s="45"/>
      <c r="C318" s="45"/>
      <c r="D318" s="45"/>
      <c r="E318" s="50"/>
      <c r="F318" s="51"/>
      <c r="G318" s="52"/>
      <c r="H318" s="52"/>
      <c r="I318" s="52" t="str">
        <f t="shared" si="16"/>
        <v/>
      </c>
      <c r="J318" s="54"/>
      <c r="K318" s="55" t="str">
        <f t="shared" si="17"/>
        <v/>
      </c>
      <c r="L318" s="54"/>
      <c r="M318" s="54"/>
      <c r="N318" s="54"/>
      <c r="O318" s="54"/>
      <c r="P318" s="54"/>
      <c r="S318" s="38"/>
      <c r="T318" s="38"/>
      <c r="U318" s="38"/>
      <c r="V318" s="37"/>
      <c r="W318" s="37"/>
      <c r="X318" s="37"/>
      <c r="Y318" s="37"/>
      <c r="Z318" s="37"/>
      <c r="AA318" s="37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</row>
    <row r="319" spans="1:52" ht="39.75" hidden="1" customHeight="1" x14ac:dyDescent="0.2">
      <c r="A319" s="45" t="str">
        <f t="shared" si="15"/>
        <v/>
      </c>
      <c r="B319" s="45"/>
      <c r="C319" s="45"/>
      <c r="D319" s="45"/>
      <c r="E319" s="50"/>
      <c r="F319" s="51"/>
      <c r="G319" s="52"/>
      <c r="H319" s="52"/>
      <c r="I319" s="52" t="str">
        <f t="shared" si="16"/>
        <v/>
      </c>
      <c r="J319" s="54"/>
      <c r="K319" s="55" t="str">
        <f t="shared" si="17"/>
        <v/>
      </c>
      <c r="L319" s="54"/>
      <c r="M319" s="54"/>
      <c r="N319" s="54"/>
      <c r="O319" s="54"/>
      <c r="P319" s="54"/>
      <c r="S319" s="38"/>
      <c r="T319" s="38"/>
      <c r="U319" s="38"/>
      <c r="V319" s="37"/>
      <c r="W319" s="37"/>
      <c r="X319" s="37"/>
      <c r="Y319" s="37"/>
      <c r="Z319" s="37"/>
      <c r="AA319" s="37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</row>
    <row r="320" spans="1:52" ht="39.75" hidden="1" customHeight="1" x14ac:dyDescent="0.2">
      <c r="A320" s="45" t="str">
        <f t="shared" si="15"/>
        <v/>
      </c>
      <c r="B320" s="45"/>
      <c r="C320" s="45"/>
      <c r="D320" s="45"/>
      <c r="E320" s="50"/>
      <c r="F320" s="51"/>
      <c r="G320" s="52"/>
      <c r="H320" s="52"/>
      <c r="I320" s="52" t="str">
        <f t="shared" si="16"/>
        <v/>
      </c>
      <c r="J320" s="54"/>
      <c r="K320" s="55" t="str">
        <f t="shared" si="17"/>
        <v/>
      </c>
      <c r="L320" s="54"/>
      <c r="M320" s="54"/>
      <c r="N320" s="54"/>
      <c r="O320" s="54"/>
      <c r="P320" s="54"/>
      <c r="S320" s="38"/>
      <c r="T320" s="38"/>
      <c r="U320" s="38"/>
      <c r="V320" s="37"/>
      <c r="W320" s="37"/>
      <c r="X320" s="37"/>
      <c r="Y320" s="37"/>
      <c r="Z320" s="37"/>
      <c r="AA320" s="37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</row>
    <row r="321" spans="1:52" ht="39.75" hidden="1" customHeight="1" x14ac:dyDescent="0.2">
      <c r="A321" s="45" t="str">
        <f t="shared" si="15"/>
        <v/>
      </c>
      <c r="B321" s="45"/>
      <c r="C321" s="45"/>
      <c r="D321" s="45"/>
      <c r="E321" s="50"/>
      <c r="F321" s="51"/>
      <c r="G321" s="52"/>
      <c r="H321" s="52"/>
      <c r="I321" s="52" t="str">
        <f t="shared" si="16"/>
        <v/>
      </c>
      <c r="J321" s="54"/>
      <c r="K321" s="55" t="str">
        <f t="shared" si="17"/>
        <v/>
      </c>
      <c r="L321" s="54"/>
      <c r="M321" s="54"/>
      <c r="N321" s="54"/>
      <c r="O321" s="54"/>
      <c r="P321" s="54"/>
      <c r="S321" s="38"/>
      <c r="T321" s="38"/>
      <c r="U321" s="38"/>
      <c r="V321" s="37"/>
      <c r="W321" s="37"/>
      <c r="X321" s="37"/>
      <c r="Y321" s="37"/>
      <c r="Z321" s="37"/>
      <c r="AA321" s="37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</row>
    <row r="322" spans="1:52" ht="39.75" hidden="1" customHeight="1" x14ac:dyDescent="0.2">
      <c r="A322" s="45" t="str">
        <f t="shared" si="15"/>
        <v/>
      </c>
      <c r="B322" s="45"/>
      <c r="C322" s="45"/>
      <c r="D322" s="45"/>
      <c r="E322" s="50"/>
      <c r="F322" s="51"/>
      <c r="G322" s="52"/>
      <c r="H322" s="52"/>
      <c r="I322" s="52" t="str">
        <f t="shared" si="16"/>
        <v/>
      </c>
      <c r="J322" s="54"/>
      <c r="K322" s="55" t="str">
        <f t="shared" si="17"/>
        <v/>
      </c>
      <c r="L322" s="54"/>
      <c r="M322" s="54"/>
      <c r="N322" s="54"/>
      <c r="O322" s="54"/>
      <c r="P322" s="54"/>
      <c r="S322" s="38"/>
      <c r="T322" s="38"/>
      <c r="U322" s="38"/>
      <c r="V322" s="37"/>
      <c r="W322" s="37"/>
      <c r="X322" s="37"/>
      <c r="Y322" s="37"/>
      <c r="Z322" s="37"/>
      <c r="AA322" s="37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</row>
    <row r="323" spans="1:52" ht="39.75" hidden="1" customHeight="1" x14ac:dyDescent="0.2">
      <c r="A323" s="45" t="str">
        <f t="shared" si="15"/>
        <v/>
      </c>
      <c r="B323" s="45"/>
      <c r="C323" s="45"/>
      <c r="D323" s="45"/>
      <c r="E323" s="50"/>
      <c r="F323" s="51"/>
      <c r="G323" s="52"/>
      <c r="H323" s="52"/>
      <c r="I323" s="52" t="str">
        <f t="shared" si="16"/>
        <v/>
      </c>
      <c r="J323" s="54"/>
      <c r="K323" s="55" t="str">
        <f t="shared" si="17"/>
        <v/>
      </c>
      <c r="L323" s="54"/>
      <c r="M323" s="54"/>
      <c r="N323" s="54"/>
      <c r="O323" s="54"/>
      <c r="P323" s="54"/>
      <c r="S323" s="38"/>
      <c r="T323" s="38"/>
      <c r="U323" s="38"/>
      <c r="V323" s="37"/>
      <c r="W323" s="37"/>
      <c r="X323" s="37"/>
      <c r="Y323" s="37"/>
      <c r="Z323" s="37"/>
      <c r="AA323" s="37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</row>
    <row r="324" spans="1:52" ht="39.75" hidden="1" customHeight="1" x14ac:dyDescent="0.2">
      <c r="A324" s="45" t="str">
        <f t="shared" si="15"/>
        <v/>
      </c>
      <c r="B324" s="45"/>
      <c r="C324" s="45"/>
      <c r="D324" s="45"/>
      <c r="E324" s="50"/>
      <c r="F324" s="51"/>
      <c r="G324" s="52"/>
      <c r="H324" s="52"/>
      <c r="I324" s="52" t="str">
        <f t="shared" si="16"/>
        <v/>
      </c>
      <c r="J324" s="54"/>
      <c r="K324" s="55" t="str">
        <f t="shared" si="17"/>
        <v/>
      </c>
      <c r="L324" s="54"/>
      <c r="M324" s="54"/>
      <c r="N324" s="54"/>
      <c r="O324" s="54"/>
      <c r="P324" s="54"/>
      <c r="S324" s="38"/>
      <c r="T324" s="38"/>
      <c r="U324" s="38"/>
      <c r="V324" s="37"/>
      <c r="W324" s="37"/>
      <c r="X324" s="37"/>
      <c r="Y324" s="37"/>
      <c r="Z324" s="37"/>
      <c r="AA324" s="37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</row>
    <row r="325" spans="1:52" ht="39.75" hidden="1" customHeight="1" x14ac:dyDescent="0.2">
      <c r="A325" s="45" t="str">
        <f t="shared" si="15"/>
        <v/>
      </c>
      <c r="B325" s="45"/>
      <c r="C325" s="45"/>
      <c r="D325" s="45"/>
      <c r="E325" s="50"/>
      <c r="F325" s="51"/>
      <c r="G325" s="52"/>
      <c r="H325" s="52"/>
      <c r="I325" s="52" t="str">
        <f t="shared" si="16"/>
        <v/>
      </c>
      <c r="J325" s="54"/>
      <c r="K325" s="55" t="str">
        <f t="shared" si="17"/>
        <v/>
      </c>
      <c r="L325" s="54"/>
      <c r="M325" s="54"/>
      <c r="N325" s="54"/>
      <c r="O325" s="54"/>
      <c r="P325" s="54"/>
      <c r="S325" s="38"/>
      <c r="T325" s="38"/>
      <c r="U325" s="38"/>
      <c r="V325" s="37"/>
      <c r="W325" s="37"/>
      <c r="X325" s="37"/>
      <c r="Y325" s="37"/>
      <c r="Z325" s="37"/>
      <c r="AA325" s="37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</row>
    <row r="326" spans="1:52" ht="39.75" hidden="1" customHeight="1" x14ac:dyDescent="0.2">
      <c r="A326" s="45" t="str">
        <f t="shared" ref="A326:A389" si="18">IF(F326="","",ROW()-5)</f>
        <v/>
      </c>
      <c r="B326" s="45"/>
      <c r="C326" s="45"/>
      <c r="D326" s="45"/>
      <c r="E326" s="50"/>
      <c r="F326" s="51"/>
      <c r="G326" s="52"/>
      <c r="H326" s="52"/>
      <c r="I326" s="52" t="str">
        <f t="shared" ref="I326:I389" si="19">IF(AND(LEN(F326)=18, ISBLANK(G326)=FALSE(), ISBLANK(H326)=FALSE()),37,"")</f>
        <v/>
      </c>
      <c r="J326" s="54"/>
      <c r="K326" s="55" t="str">
        <f t="shared" ref="K326:K389" si="20">IF(OR(J326="",Q326=0),"",IF(COUNTA(L326:P326)&gt;Q326,"Seluruh pilihan telah dipilih, anda memilih lebih dari kemungkinan pilihan yang tersedia, periksa pilihan anda "&amp;"("&amp;COUNTA(L326:P326)&amp;"/"&amp;Q326&amp;")",IF(COUNTA(L326:P326)=Q326,IF(SUMPRODUCT(COUNTIF(L326:P326,L326:P326)*(L326:P326&lt;&gt;""))&gt;COUNTA(L326:P326),"Terdapat pilihan yang sama, segera ubah "&amp;"("&amp;COUNTA(L326:P326)&amp;"/"&amp;Q326&amp;")","Seluruh pilihan telah dipilih "&amp;"("&amp;COUNTA(L326:P326)&amp;"/"&amp;Q326&amp;")"),IF(COUNTA(L326:P326)&gt;0,"Masih terdapat pilihan yang bisa dipilih, silahkan melengkapi pilihan "&amp;"("&amp;COUNTA(L326:P326)&amp;"/"&amp;Q326&amp;")",""))))</f>
        <v/>
      </c>
      <c r="L326" s="54"/>
      <c r="M326" s="54"/>
      <c r="N326" s="54"/>
      <c r="O326" s="54"/>
      <c r="P326" s="54"/>
      <c r="S326" s="38"/>
      <c r="T326" s="38"/>
      <c r="U326" s="38"/>
      <c r="V326" s="37"/>
      <c r="W326" s="37"/>
      <c r="X326" s="37"/>
      <c r="Y326" s="37"/>
      <c r="Z326" s="37"/>
      <c r="AA326" s="37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</row>
    <row r="327" spans="1:52" ht="39.75" hidden="1" customHeight="1" x14ac:dyDescent="0.2">
      <c r="A327" s="45" t="str">
        <f t="shared" si="18"/>
        <v/>
      </c>
      <c r="B327" s="45"/>
      <c r="C327" s="45"/>
      <c r="D327" s="45"/>
      <c r="E327" s="50"/>
      <c r="F327" s="51"/>
      <c r="G327" s="52"/>
      <c r="H327" s="52"/>
      <c r="I327" s="52" t="str">
        <f t="shared" si="19"/>
        <v/>
      </c>
      <c r="J327" s="54"/>
      <c r="K327" s="55" t="str">
        <f t="shared" si="20"/>
        <v/>
      </c>
      <c r="L327" s="54"/>
      <c r="M327" s="54"/>
      <c r="N327" s="54"/>
      <c r="O327" s="54"/>
      <c r="P327" s="54"/>
      <c r="S327" s="38"/>
      <c r="T327" s="38"/>
      <c r="U327" s="38"/>
      <c r="V327" s="37"/>
      <c r="W327" s="37"/>
      <c r="X327" s="37"/>
      <c r="Y327" s="37"/>
      <c r="Z327" s="37"/>
      <c r="AA327" s="37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</row>
    <row r="328" spans="1:52" ht="39.75" hidden="1" customHeight="1" x14ac:dyDescent="0.2">
      <c r="A328" s="45" t="str">
        <f t="shared" si="18"/>
        <v/>
      </c>
      <c r="B328" s="45"/>
      <c r="C328" s="45"/>
      <c r="D328" s="45"/>
      <c r="E328" s="50"/>
      <c r="F328" s="51"/>
      <c r="G328" s="52"/>
      <c r="H328" s="52"/>
      <c r="I328" s="52" t="str">
        <f t="shared" si="19"/>
        <v/>
      </c>
      <c r="J328" s="54"/>
      <c r="K328" s="55" t="str">
        <f t="shared" si="20"/>
        <v/>
      </c>
      <c r="L328" s="54"/>
      <c r="M328" s="54"/>
      <c r="N328" s="54"/>
      <c r="O328" s="54"/>
      <c r="P328" s="54"/>
      <c r="S328" s="38"/>
      <c r="T328" s="38"/>
      <c r="U328" s="38"/>
      <c r="V328" s="37"/>
      <c r="W328" s="37"/>
      <c r="X328" s="37"/>
      <c r="Y328" s="37"/>
      <c r="Z328" s="37"/>
      <c r="AA328" s="37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</row>
    <row r="329" spans="1:52" ht="39.75" hidden="1" customHeight="1" x14ac:dyDescent="0.2">
      <c r="A329" s="45" t="str">
        <f t="shared" si="18"/>
        <v/>
      </c>
      <c r="B329" s="45"/>
      <c r="C329" s="45"/>
      <c r="D329" s="45"/>
      <c r="E329" s="50"/>
      <c r="F329" s="51"/>
      <c r="G329" s="52"/>
      <c r="H329" s="52"/>
      <c r="I329" s="52" t="str">
        <f t="shared" si="19"/>
        <v/>
      </c>
      <c r="J329" s="54"/>
      <c r="K329" s="55" t="str">
        <f t="shared" si="20"/>
        <v/>
      </c>
      <c r="L329" s="54"/>
      <c r="M329" s="54"/>
      <c r="N329" s="54"/>
      <c r="O329" s="54"/>
      <c r="P329" s="54"/>
      <c r="S329" s="38"/>
      <c r="T329" s="38"/>
      <c r="U329" s="38"/>
      <c r="V329" s="37"/>
      <c r="W329" s="37"/>
      <c r="X329" s="37"/>
      <c r="Y329" s="37"/>
      <c r="Z329" s="37"/>
      <c r="AA329" s="37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</row>
    <row r="330" spans="1:52" ht="39.75" hidden="1" customHeight="1" x14ac:dyDescent="0.2">
      <c r="A330" s="45" t="str">
        <f t="shared" si="18"/>
        <v/>
      </c>
      <c r="B330" s="45"/>
      <c r="C330" s="45"/>
      <c r="D330" s="45"/>
      <c r="E330" s="50"/>
      <c r="F330" s="51"/>
      <c r="G330" s="52"/>
      <c r="H330" s="52"/>
      <c r="I330" s="52" t="str">
        <f t="shared" si="19"/>
        <v/>
      </c>
      <c r="J330" s="54"/>
      <c r="K330" s="55" t="str">
        <f t="shared" si="20"/>
        <v/>
      </c>
      <c r="L330" s="54"/>
      <c r="M330" s="54"/>
      <c r="N330" s="54"/>
      <c r="O330" s="54"/>
      <c r="P330" s="54"/>
      <c r="S330" s="38"/>
      <c r="T330" s="38"/>
      <c r="U330" s="38"/>
      <c r="V330" s="37"/>
      <c r="W330" s="37"/>
      <c r="X330" s="37"/>
      <c r="Y330" s="37"/>
      <c r="Z330" s="37"/>
      <c r="AA330" s="37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</row>
    <row r="331" spans="1:52" ht="39.75" hidden="1" customHeight="1" x14ac:dyDescent="0.2">
      <c r="A331" s="45" t="str">
        <f t="shared" si="18"/>
        <v/>
      </c>
      <c r="B331" s="45"/>
      <c r="C331" s="45"/>
      <c r="D331" s="45"/>
      <c r="E331" s="50"/>
      <c r="F331" s="51"/>
      <c r="G331" s="52"/>
      <c r="H331" s="52"/>
      <c r="I331" s="52" t="str">
        <f t="shared" si="19"/>
        <v/>
      </c>
      <c r="J331" s="54"/>
      <c r="K331" s="55" t="str">
        <f t="shared" si="20"/>
        <v/>
      </c>
      <c r="L331" s="54"/>
      <c r="M331" s="54"/>
      <c r="N331" s="54"/>
      <c r="O331" s="54"/>
      <c r="P331" s="54"/>
      <c r="S331" s="38"/>
      <c r="T331" s="38"/>
      <c r="U331" s="38"/>
      <c r="V331" s="37"/>
      <c r="W331" s="37"/>
      <c r="X331" s="37"/>
      <c r="Y331" s="37"/>
      <c r="Z331" s="37"/>
      <c r="AA331" s="37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</row>
    <row r="332" spans="1:52" ht="39.75" hidden="1" customHeight="1" x14ac:dyDescent="0.2">
      <c r="A332" s="45" t="str">
        <f t="shared" si="18"/>
        <v/>
      </c>
      <c r="B332" s="45"/>
      <c r="C332" s="45"/>
      <c r="D332" s="45"/>
      <c r="E332" s="50"/>
      <c r="F332" s="51"/>
      <c r="G332" s="52"/>
      <c r="H332" s="52"/>
      <c r="I332" s="52" t="str">
        <f t="shared" si="19"/>
        <v/>
      </c>
      <c r="J332" s="54"/>
      <c r="K332" s="55" t="str">
        <f t="shared" si="20"/>
        <v/>
      </c>
      <c r="L332" s="54"/>
      <c r="M332" s="54"/>
      <c r="N332" s="54"/>
      <c r="O332" s="54"/>
      <c r="P332" s="54"/>
      <c r="S332" s="38"/>
      <c r="T332" s="38"/>
      <c r="U332" s="38"/>
      <c r="V332" s="37"/>
      <c r="W332" s="37"/>
      <c r="X332" s="37"/>
      <c r="Y332" s="37"/>
      <c r="Z332" s="37"/>
      <c r="AA332" s="37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</row>
    <row r="333" spans="1:52" ht="39.75" hidden="1" customHeight="1" x14ac:dyDescent="0.2">
      <c r="A333" s="45" t="str">
        <f t="shared" si="18"/>
        <v/>
      </c>
      <c r="B333" s="45"/>
      <c r="C333" s="45"/>
      <c r="D333" s="45"/>
      <c r="E333" s="50"/>
      <c r="F333" s="51"/>
      <c r="G333" s="52"/>
      <c r="H333" s="52"/>
      <c r="I333" s="52" t="str">
        <f t="shared" si="19"/>
        <v/>
      </c>
      <c r="J333" s="54"/>
      <c r="K333" s="55" t="str">
        <f t="shared" si="20"/>
        <v/>
      </c>
      <c r="L333" s="54"/>
      <c r="M333" s="54"/>
      <c r="N333" s="54"/>
      <c r="O333" s="54"/>
      <c r="P333" s="54"/>
      <c r="S333" s="38"/>
      <c r="T333" s="38"/>
      <c r="U333" s="38"/>
      <c r="V333" s="37"/>
      <c r="W333" s="37"/>
      <c r="X333" s="37"/>
      <c r="Y333" s="37"/>
      <c r="Z333" s="37"/>
      <c r="AA333" s="37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</row>
    <row r="334" spans="1:52" ht="39.75" hidden="1" customHeight="1" x14ac:dyDescent="0.2">
      <c r="A334" s="45" t="str">
        <f t="shared" si="18"/>
        <v/>
      </c>
      <c r="B334" s="45"/>
      <c r="C334" s="45"/>
      <c r="D334" s="45"/>
      <c r="E334" s="50"/>
      <c r="F334" s="51"/>
      <c r="G334" s="52"/>
      <c r="H334" s="52"/>
      <c r="I334" s="52" t="str">
        <f t="shared" si="19"/>
        <v/>
      </c>
      <c r="J334" s="54"/>
      <c r="K334" s="55" t="str">
        <f t="shared" si="20"/>
        <v/>
      </c>
      <c r="L334" s="54"/>
      <c r="M334" s="54"/>
      <c r="N334" s="54"/>
      <c r="O334" s="54"/>
      <c r="P334" s="54"/>
      <c r="S334" s="38"/>
      <c r="T334" s="38"/>
      <c r="U334" s="38"/>
      <c r="V334" s="37"/>
      <c r="W334" s="37"/>
      <c r="X334" s="37"/>
      <c r="Y334" s="37"/>
      <c r="Z334" s="37"/>
      <c r="AA334" s="37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</row>
    <row r="335" spans="1:52" ht="39.75" hidden="1" customHeight="1" x14ac:dyDescent="0.2">
      <c r="A335" s="45" t="str">
        <f t="shared" si="18"/>
        <v/>
      </c>
      <c r="B335" s="45"/>
      <c r="C335" s="45"/>
      <c r="D335" s="45"/>
      <c r="E335" s="50"/>
      <c r="F335" s="51"/>
      <c r="G335" s="52"/>
      <c r="H335" s="52"/>
      <c r="I335" s="52" t="str">
        <f t="shared" si="19"/>
        <v/>
      </c>
      <c r="J335" s="54"/>
      <c r="K335" s="55" t="str">
        <f t="shared" si="20"/>
        <v/>
      </c>
      <c r="L335" s="54"/>
      <c r="M335" s="54"/>
      <c r="N335" s="54"/>
      <c r="O335" s="54"/>
      <c r="P335" s="54"/>
      <c r="S335" s="38"/>
      <c r="T335" s="38"/>
      <c r="U335" s="38"/>
      <c r="V335" s="37"/>
      <c r="W335" s="37"/>
      <c r="X335" s="37"/>
      <c r="Y335" s="37"/>
      <c r="Z335" s="37"/>
      <c r="AA335" s="37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</row>
    <row r="336" spans="1:52" ht="39.75" hidden="1" customHeight="1" x14ac:dyDescent="0.2">
      <c r="A336" s="45" t="str">
        <f t="shared" si="18"/>
        <v/>
      </c>
      <c r="B336" s="45"/>
      <c r="C336" s="45"/>
      <c r="D336" s="45"/>
      <c r="E336" s="50"/>
      <c r="F336" s="51"/>
      <c r="G336" s="52"/>
      <c r="H336" s="52"/>
      <c r="I336" s="52" t="str">
        <f t="shared" si="19"/>
        <v/>
      </c>
      <c r="J336" s="54"/>
      <c r="K336" s="55" t="str">
        <f t="shared" si="20"/>
        <v/>
      </c>
      <c r="L336" s="54"/>
      <c r="M336" s="54"/>
      <c r="N336" s="54"/>
      <c r="O336" s="54"/>
      <c r="P336" s="54"/>
      <c r="S336" s="38"/>
      <c r="T336" s="38"/>
      <c r="U336" s="38"/>
      <c r="V336" s="37"/>
      <c r="W336" s="37"/>
      <c r="X336" s="37"/>
      <c r="Y336" s="37"/>
      <c r="Z336" s="37"/>
      <c r="AA336" s="37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</row>
    <row r="337" spans="1:52" ht="39.75" hidden="1" customHeight="1" x14ac:dyDescent="0.2">
      <c r="A337" s="45" t="str">
        <f t="shared" si="18"/>
        <v/>
      </c>
      <c r="B337" s="45"/>
      <c r="C337" s="45"/>
      <c r="D337" s="45"/>
      <c r="E337" s="50"/>
      <c r="F337" s="51"/>
      <c r="G337" s="52"/>
      <c r="H337" s="52"/>
      <c r="I337" s="52" t="str">
        <f t="shared" si="19"/>
        <v/>
      </c>
      <c r="J337" s="54"/>
      <c r="K337" s="55" t="str">
        <f t="shared" si="20"/>
        <v/>
      </c>
      <c r="L337" s="54"/>
      <c r="M337" s="54"/>
      <c r="N337" s="54"/>
      <c r="O337" s="54"/>
      <c r="P337" s="54"/>
      <c r="S337" s="38"/>
      <c r="T337" s="38"/>
      <c r="U337" s="38"/>
      <c r="V337" s="37"/>
      <c r="W337" s="37"/>
      <c r="X337" s="37"/>
      <c r="Y337" s="37"/>
      <c r="Z337" s="37"/>
      <c r="AA337" s="37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</row>
    <row r="338" spans="1:52" ht="39.75" hidden="1" customHeight="1" x14ac:dyDescent="0.2">
      <c r="A338" s="45" t="str">
        <f t="shared" si="18"/>
        <v/>
      </c>
      <c r="B338" s="45"/>
      <c r="C338" s="45"/>
      <c r="D338" s="45"/>
      <c r="E338" s="50"/>
      <c r="F338" s="51"/>
      <c r="G338" s="52"/>
      <c r="H338" s="52"/>
      <c r="I338" s="52" t="str">
        <f t="shared" si="19"/>
        <v/>
      </c>
      <c r="J338" s="54"/>
      <c r="K338" s="55" t="str">
        <f t="shared" si="20"/>
        <v/>
      </c>
      <c r="L338" s="54"/>
      <c r="M338" s="54"/>
      <c r="N338" s="54"/>
      <c r="O338" s="54"/>
      <c r="P338" s="54"/>
      <c r="S338" s="38"/>
      <c r="T338" s="38"/>
      <c r="U338" s="38"/>
      <c r="V338" s="37"/>
      <c r="W338" s="37"/>
      <c r="X338" s="37"/>
      <c r="Y338" s="37"/>
      <c r="Z338" s="37"/>
      <c r="AA338" s="37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</row>
    <row r="339" spans="1:52" ht="39.75" hidden="1" customHeight="1" x14ac:dyDescent="0.2">
      <c r="A339" s="45" t="str">
        <f t="shared" si="18"/>
        <v/>
      </c>
      <c r="B339" s="45"/>
      <c r="C339" s="45"/>
      <c r="D339" s="45"/>
      <c r="E339" s="50"/>
      <c r="F339" s="51"/>
      <c r="G339" s="52"/>
      <c r="H339" s="52"/>
      <c r="I339" s="52" t="str">
        <f t="shared" si="19"/>
        <v/>
      </c>
      <c r="J339" s="54"/>
      <c r="K339" s="55" t="str">
        <f t="shared" si="20"/>
        <v/>
      </c>
      <c r="L339" s="54"/>
      <c r="M339" s="54"/>
      <c r="N339" s="54"/>
      <c r="O339" s="54"/>
      <c r="P339" s="54"/>
      <c r="S339" s="38"/>
      <c r="T339" s="38"/>
      <c r="U339" s="38"/>
      <c r="V339" s="37"/>
      <c r="W339" s="37"/>
      <c r="X339" s="37"/>
      <c r="Y339" s="37"/>
      <c r="Z339" s="37"/>
      <c r="AA339" s="37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</row>
    <row r="340" spans="1:52" ht="39.75" hidden="1" customHeight="1" x14ac:dyDescent="0.2">
      <c r="A340" s="45" t="str">
        <f t="shared" si="18"/>
        <v/>
      </c>
      <c r="B340" s="45"/>
      <c r="C340" s="45"/>
      <c r="D340" s="45"/>
      <c r="E340" s="50"/>
      <c r="F340" s="51"/>
      <c r="G340" s="52"/>
      <c r="H340" s="52"/>
      <c r="I340" s="52" t="str">
        <f t="shared" si="19"/>
        <v/>
      </c>
      <c r="J340" s="54"/>
      <c r="K340" s="55" t="str">
        <f t="shared" si="20"/>
        <v/>
      </c>
      <c r="L340" s="54"/>
      <c r="M340" s="54"/>
      <c r="N340" s="54"/>
      <c r="O340" s="54"/>
      <c r="P340" s="54"/>
      <c r="S340" s="38"/>
      <c r="T340" s="38"/>
      <c r="U340" s="38"/>
      <c r="V340" s="37"/>
      <c r="W340" s="37"/>
      <c r="X340" s="37"/>
      <c r="Y340" s="37"/>
      <c r="Z340" s="37"/>
      <c r="AA340" s="37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</row>
    <row r="341" spans="1:52" ht="39.75" hidden="1" customHeight="1" x14ac:dyDescent="0.2">
      <c r="A341" s="45" t="str">
        <f t="shared" si="18"/>
        <v/>
      </c>
      <c r="B341" s="45"/>
      <c r="C341" s="45"/>
      <c r="D341" s="45"/>
      <c r="E341" s="50"/>
      <c r="F341" s="51"/>
      <c r="G341" s="52"/>
      <c r="H341" s="52"/>
      <c r="I341" s="52" t="str">
        <f t="shared" si="19"/>
        <v/>
      </c>
      <c r="J341" s="54"/>
      <c r="K341" s="55" t="str">
        <f t="shared" si="20"/>
        <v/>
      </c>
      <c r="L341" s="54"/>
      <c r="M341" s="54"/>
      <c r="N341" s="54"/>
      <c r="O341" s="54"/>
      <c r="P341" s="54"/>
      <c r="S341" s="38"/>
      <c r="T341" s="38"/>
      <c r="U341" s="38"/>
      <c r="V341" s="37"/>
      <c r="W341" s="37"/>
      <c r="X341" s="37"/>
      <c r="Y341" s="37"/>
      <c r="Z341" s="37"/>
      <c r="AA341" s="37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</row>
    <row r="342" spans="1:52" ht="39.75" hidden="1" customHeight="1" x14ac:dyDescent="0.2">
      <c r="A342" s="45" t="str">
        <f t="shared" si="18"/>
        <v/>
      </c>
      <c r="B342" s="45"/>
      <c r="C342" s="45"/>
      <c r="D342" s="45"/>
      <c r="E342" s="50"/>
      <c r="F342" s="51"/>
      <c r="G342" s="52"/>
      <c r="H342" s="52"/>
      <c r="I342" s="52" t="str">
        <f t="shared" si="19"/>
        <v/>
      </c>
      <c r="J342" s="54"/>
      <c r="K342" s="55" t="str">
        <f t="shared" si="20"/>
        <v/>
      </c>
      <c r="L342" s="54"/>
      <c r="M342" s="54"/>
      <c r="N342" s="54"/>
      <c r="O342" s="54"/>
      <c r="P342" s="54"/>
      <c r="S342" s="38"/>
      <c r="T342" s="38"/>
      <c r="U342" s="38"/>
      <c r="V342" s="37"/>
      <c r="W342" s="37"/>
      <c r="X342" s="37"/>
      <c r="Y342" s="37"/>
      <c r="Z342" s="37"/>
      <c r="AA342" s="37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</row>
    <row r="343" spans="1:52" ht="39.75" hidden="1" customHeight="1" x14ac:dyDescent="0.2">
      <c r="A343" s="45" t="str">
        <f t="shared" si="18"/>
        <v/>
      </c>
      <c r="B343" s="45"/>
      <c r="C343" s="45"/>
      <c r="D343" s="45"/>
      <c r="E343" s="50"/>
      <c r="F343" s="51"/>
      <c r="G343" s="52"/>
      <c r="H343" s="52"/>
      <c r="I343" s="52" t="str">
        <f t="shared" si="19"/>
        <v/>
      </c>
      <c r="J343" s="54"/>
      <c r="K343" s="55" t="str">
        <f t="shared" si="20"/>
        <v/>
      </c>
      <c r="L343" s="54"/>
      <c r="M343" s="54"/>
      <c r="N343" s="54"/>
      <c r="O343" s="54"/>
      <c r="P343" s="54"/>
      <c r="S343" s="38"/>
      <c r="T343" s="38"/>
      <c r="U343" s="38"/>
      <c r="V343" s="37"/>
      <c r="W343" s="37"/>
      <c r="X343" s="37"/>
      <c r="Y343" s="37"/>
      <c r="Z343" s="37"/>
      <c r="AA343" s="37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</row>
    <row r="344" spans="1:52" ht="39.75" hidden="1" customHeight="1" x14ac:dyDescent="0.2">
      <c r="A344" s="45" t="str">
        <f t="shared" si="18"/>
        <v/>
      </c>
      <c r="B344" s="45"/>
      <c r="C344" s="45"/>
      <c r="D344" s="45"/>
      <c r="E344" s="50"/>
      <c r="F344" s="51"/>
      <c r="G344" s="52"/>
      <c r="H344" s="52"/>
      <c r="I344" s="52" t="str">
        <f t="shared" si="19"/>
        <v/>
      </c>
      <c r="J344" s="54"/>
      <c r="K344" s="55" t="str">
        <f t="shared" si="20"/>
        <v/>
      </c>
      <c r="L344" s="54"/>
      <c r="M344" s="54"/>
      <c r="N344" s="54"/>
      <c r="O344" s="54"/>
      <c r="P344" s="54"/>
      <c r="S344" s="38"/>
      <c r="T344" s="38"/>
      <c r="U344" s="38"/>
      <c r="V344" s="37"/>
      <c r="W344" s="37"/>
      <c r="X344" s="37"/>
      <c r="Y344" s="37"/>
      <c r="Z344" s="37"/>
      <c r="AA344" s="37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</row>
    <row r="345" spans="1:52" ht="39.75" hidden="1" customHeight="1" x14ac:dyDescent="0.2">
      <c r="A345" s="45" t="str">
        <f t="shared" si="18"/>
        <v/>
      </c>
      <c r="B345" s="45"/>
      <c r="C345" s="45"/>
      <c r="D345" s="45"/>
      <c r="E345" s="50"/>
      <c r="F345" s="51"/>
      <c r="G345" s="52"/>
      <c r="H345" s="52"/>
      <c r="I345" s="52" t="str">
        <f t="shared" si="19"/>
        <v/>
      </c>
      <c r="J345" s="54"/>
      <c r="K345" s="55" t="str">
        <f t="shared" si="20"/>
        <v/>
      </c>
      <c r="L345" s="54"/>
      <c r="M345" s="54"/>
      <c r="N345" s="54"/>
      <c r="O345" s="54"/>
      <c r="P345" s="54"/>
      <c r="S345" s="38"/>
      <c r="T345" s="38"/>
      <c r="U345" s="38"/>
      <c r="V345" s="37"/>
      <c r="W345" s="37"/>
      <c r="X345" s="37"/>
      <c r="Y345" s="37"/>
      <c r="Z345" s="37"/>
      <c r="AA345" s="37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</row>
    <row r="346" spans="1:52" ht="39.75" hidden="1" customHeight="1" x14ac:dyDescent="0.2">
      <c r="A346" s="45" t="str">
        <f t="shared" si="18"/>
        <v/>
      </c>
      <c r="B346" s="45"/>
      <c r="C346" s="45"/>
      <c r="D346" s="45"/>
      <c r="E346" s="50"/>
      <c r="F346" s="51"/>
      <c r="G346" s="52"/>
      <c r="H346" s="52"/>
      <c r="I346" s="52" t="str">
        <f t="shared" si="19"/>
        <v/>
      </c>
      <c r="J346" s="54"/>
      <c r="K346" s="55" t="str">
        <f t="shared" si="20"/>
        <v/>
      </c>
      <c r="L346" s="54"/>
      <c r="M346" s="54"/>
      <c r="N346" s="54"/>
      <c r="O346" s="54"/>
      <c r="P346" s="54"/>
      <c r="S346" s="38"/>
      <c r="T346" s="38"/>
      <c r="U346" s="38"/>
      <c r="V346" s="37"/>
      <c r="W346" s="37"/>
      <c r="X346" s="37"/>
      <c r="Y346" s="37"/>
      <c r="Z346" s="37"/>
      <c r="AA346" s="37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</row>
    <row r="347" spans="1:52" ht="39.75" hidden="1" customHeight="1" x14ac:dyDescent="0.2">
      <c r="A347" s="45" t="str">
        <f t="shared" si="18"/>
        <v/>
      </c>
      <c r="B347" s="45"/>
      <c r="C347" s="45"/>
      <c r="D347" s="45"/>
      <c r="E347" s="50"/>
      <c r="F347" s="51"/>
      <c r="G347" s="52"/>
      <c r="H347" s="52"/>
      <c r="I347" s="52" t="str">
        <f t="shared" si="19"/>
        <v/>
      </c>
      <c r="J347" s="54"/>
      <c r="K347" s="55" t="str">
        <f t="shared" si="20"/>
        <v/>
      </c>
      <c r="L347" s="54"/>
      <c r="M347" s="54"/>
      <c r="N347" s="54"/>
      <c r="O347" s="54"/>
      <c r="P347" s="54"/>
      <c r="S347" s="38"/>
      <c r="T347" s="38"/>
      <c r="U347" s="38"/>
      <c r="V347" s="37"/>
      <c r="W347" s="37"/>
      <c r="X347" s="37"/>
      <c r="Y347" s="37"/>
      <c r="Z347" s="37"/>
      <c r="AA347" s="37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</row>
    <row r="348" spans="1:52" ht="39.75" hidden="1" customHeight="1" x14ac:dyDescent="0.2">
      <c r="A348" s="45" t="str">
        <f t="shared" si="18"/>
        <v/>
      </c>
      <c r="B348" s="45"/>
      <c r="C348" s="45"/>
      <c r="D348" s="45"/>
      <c r="E348" s="50"/>
      <c r="F348" s="51"/>
      <c r="G348" s="52"/>
      <c r="H348" s="52"/>
      <c r="I348" s="52" t="str">
        <f t="shared" si="19"/>
        <v/>
      </c>
      <c r="J348" s="54"/>
      <c r="K348" s="55" t="str">
        <f t="shared" si="20"/>
        <v/>
      </c>
      <c r="L348" s="54"/>
      <c r="M348" s="54"/>
      <c r="N348" s="54"/>
      <c r="O348" s="54"/>
      <c r="P348" s="54"/>
      <c r="S348" s="38"/>
      <c r="T348" s="38"/>
      <c r="U348" s="38"/>
      <c r="V348" s="37"/>
      <c r="W348" s="37"/>
      <c r="X348" s="37"/>
      <c r="Y348" s="37"/>
      <c r="Z348" s="37"/>
      <c r="AA348" s="37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</row>
    <row r="349" spans="1:52" ht="39.75" hidden="1" customHeight="1" x14ac:dyDescent="0.2">
      <c r="A349" s="45" t="str">
        <f t="shared" si="18"/>
        <v/>
      </c>
      <c r="B349" s="45"/>
      <c r="C349" s="45"/>
      <c r="D349" s="45"/>
      <c r="E349" s="50"/>
      <c r="F349" s="51"/>
      <c r="G349" s="52"/>
      <c r="H349" s="52"/>
      <c r="I349" s="52" t="str">
        <f t="shared" si="19"/>
        <v/>
      </c>
      <c r="J349" s="54"/>
      <c r="K349" s="55" t="str">
        <f t="shared" si="20"/>
        <v/>
      </c>
      <c r="L349" s="54"/>
      <c r="M349" s="54"/>
      <c r="N349" s="54"/>
      <c r="O349" s="54"/>
      <c r="P349" s="54"/>
      <c r="S349" s="38"/>
      <c r="T349" s="38"/>
      <c r="U349" s="38"/>
      <c r="V349" s="37"/>
      <c r="W349" s="37"/>
      <c r="X349" s="37"/>
      <c r="Y349" s="37"/>
      <c r="Z349" s="37"/>
      <c r="AA349" s="37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</row>
    <row r="350" spans="1:52" ht="39.75" hidden="1" customHeight="1" x14ac:dyDescent="0.2">
      <c r="A350" s="45" t="str">
        <f t="shared" si="18"/>
        <v/>
      </c>
      <c r="B350" s="45"/>
      <c r="C350" s="45"/>
      <c r="D350" s="45"/>
      <c r="E350" s="50"/>
      <c r="F350" s="51"/>
      <c r="G350" s="52"/>
      <c r="H350" s="52"/>
      <c r="I350" s="52" t="str">
        <f t="shared" si="19"/>
        <v/>
      </c>
      <c r="J350" s="54"/>
      <c r="K350" s="55" t="str">
        <f t="shared" si="20"/>
        <v/>
      </c>
      <c r="L350" s="54"/>
      <c r="M350" s="54"/>
      <c r="N350" s="54"/>
      <c r="O350" s="54"/>
      <c r="P350" s="54"/>
      <c r="S350" s="38"/>
      <c r="T350" s="38"/>
      <c r="U350" s="38"/>
      <c r="V350" s="37"/>
      <c r="W350" s="37"/>
      <c r="X350" s="37"/>
      <c r="Y350" s="37"/>
      <c r="Z350" s="37"/>
      <c r="AA350" s="37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</row>
    <row r="351" spans="1:52" ht="39.75" hidden="1" customHeight="1" x14ac:dyDescent="0.2">
      <c r="A351" s="45" t="str">
        <f t="shared" si="18"/>
        <v/>
      </c>
      <c r="B351" s="45"/>
      <c r="C351" s="45"/>
      <c r="D351" s="45"/>
      <c r="E351" s="50"/>
      <c r="F351" s="51"/>
      <c r="G351" s="52"/>
      <c r="H351" s="52"/>
      <c r="I351" s="52" t="str">
        <f t="shared" si="19"/>
        <v/>
      </c>
      <c r="J351" s="54"/>
      <c r="K351" s="55" t="str">
        <f t="shared" si="20"/>
        <v/>
      </c>
      <c r="L351" s="54"/>
      <c r="M351" s="54"/>
      <c r="N351" s="54"/>
      <c r="O351" s="54"/>
      <c r="P351" s="54"/>
      <c r="S351" s="38"/>
      <c r="T351" s="38"/>
      <c r="U351" s="38"/>
      <c r="V351" s="37"/>
      <c r="W351" s="37"/>
      <c r="X351" s="37"/>
      <c r="Y351" s="37"/>
      <c r="Z351" s="37"/>
      <c r="AA351" s="37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</row>
    <row r="352" spans="1:52" ht="39.75" hidden="1" customHeight="1" x14ac:dyDescent="0.2">
      <c r="A352" s="45" t="str">
        <f t="shared" si="18"/>
        <v/>
      </c>
      <c r="B352" s="45"/>
      <c r="C352" s="45"/>
      <c r="D352" s="45"/>
      <c r="E352" s="50"/>
      <c r="F352" s="51"/>
      <c r="G352" s="52"/>
      <c r="H352" s="52"/>
      <c r="I352" s="52" t="str">
        <f t="shared" si="19"/>
        <v/>
      </c>
      <c r="J352" s="54"/>
      <c r="K352" s="55" t="str">
        <f t="shared" si="20"/>
        <v/>
      </c>
      <c r="L352" s="54"/>
      <c r="M352" s="54"/>
      <c r="N352" s="54"/>
      <c r="O352" s="54"/>
      <c r="P352" s="54"/>
      <c r="S352" s="38"/>
      <c r="T352" s="38"/>
      <c r="U352" s="38"/>
      <c r="V352" s="37"/>
      <c r="W352" s="37"/>
      <c r="X352" s="37"/>
      <c r="Y352" s="37"/>
      <c r="Z352" s="37"/>
      <c r="AA352" s="37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</row>
    <row r="353" spans="1:52" ht="39.75" hidden="1" customHeight="1" x14ac:dyDescent="0.2">
      <c r="A353" s="45" t="str">
        <f t="shared" si="18"/>
        <v/>
      </c>
      <c r="B353" s="45"/>
      <c r="C353" s="45"/>
      <c r="D353" s="45"/>
      <c r="E353" s="50"/>
      <c r="F353" s="51"/>
      <c r="G353" s="52"/>
      <c r="H353" s="52"/>
      <c r="I353" s="52" t="str">
        <f t="shared" si="19"/>
        <v/>
      </c>
      <c r="J353" s="54"/>
      <c r="K353" s="55" t="str">
        <f t="shared" si="20"/>
        <v/>
      </c>
      <c r="L353" s="54"/>
      <c r="M353" s="54"/>
      <c r="N353" s="54"/>
      <c r="O353" s="54"/>
      <c r="P353" s="54"/>
      <c r="S353" s="38"/>
      <c r="T353" s="38"/>
      <c r="U353" s="38"/>
      <c r="V353" s="37"/>
      <c r="W353" s="37"/>
      <c r="X353" s="37"/>
      <c r="Y353" s="37"/>
      <c r="Z353" s="37"/>
      <c r="AA353" s="37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</row>
    <row r="354" spans="1:52" ht="39.75" hidden="1" customHeight="1" x14ac:dyDescent="0.2">
      <c r="A354" s="45" t="str">
        <f t="shared" si="18"/>
        <v/>
      </c>
      <c r="B354" s="45"/>
      <c r="C354" s="45"/>
      <c r="D354" s="45"/>
      <c r="E354" s="50"/>
      <c r="F354" s="51"/>
      <c r="G354" s="52"/>
      <c r="H354" s="52"/>
      <c r="I354" s="52" t="str">
        <f t="shared" si="19"/>
        <v/>
      </c>
      <c r="J354" s="54"/>
      <c r="K354" s="55" t="str">
        <f t="shared" si="20"/>
        <v/>
      </c>
      <c r="L354" s="54"/>
      <c r="M354" s="54"/>
      <c r="N354" s="54"/>
      <c r="O354" s="54"/>
      <c r="P354" s="54"/>
      <c r="S354" s="38"/>
      <c r="T354" s="38"/>
      <c r="U354" s="38"/>
      <c r="V354" s="37"/>
      <c r="W354" s="37"/>
      <c r="X354" s="37"/>
      <c r="Y354" s="37"/>
      <c r="Z354" s="37"/>
      <c r="AA354" s="37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</row>
    <row r="355" spans="1:52" ht="39.75" hidden="1" customHeight="1" x14ac:dyDescent="0.2">
      <c r="A355" s="45" t="str">
        <f t="shared" si="18"/>
        <v/>
      </c>
      <c r="B355" s="45"/>
      <c r="C355" s="45"/>
      <c r="D355" s="45"/>
      <c r="E355" s="50"/>
      <c r="F355" s="51"/>
      <c r="G355" s="52"/>
      <c r="H355" s="52"/>
      <c r="I355" s="52" t="str">
        <f t="shared" si="19"/>
        <v/>
      </c>
      <c r="J355" s="54"/>
      <c r="K355" s="55" t="str">
        <f t="shared" si="20"/>
        <v/>
      </c>
      <c r="L355" s="54"/>
      <c r="M355" s="54"/>
      <c r="N355" s="54"/>
      <c r="O355" s="54"/>
      <c r="P355" s="54"/>
      <c r="S355" s="38"/>
      <c r="T355" s="38"/>
      <c r="U355" s="38"/>
      <c r="V355" s="37"/>
      <c r="W355" s="37"/>
      <c r="X355" s="37"/>
      <c r="Y355" s="37"/>
      <c r="Z355" s="37"/>
      <c r="AA355" s="37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</row>
    <row r="356" spans="1:52" ht="39.75" hidden="1" customHeight="1" x14ac:dyDescent="0.2">
      <c r="A356" s="45" t="str">
        <f t="shared" si="18"/>
        <v/>
      </c>
      <c r="B356" s="45"/>
      <c r="C356" s="45"/>
      <c r="D356" s="45"/>
      <c r="E356" s="50"/>
      <c r="F356" s="51"/>
      <c r="G356" s="52"/>
      <c r="H356" s="52"/>
      <c r="I356" s="52" t="str">
        <f t="shared" si="19"/>
        <v/>
      </c>
      <c r="J356" s="54"/>
      <c r="K356" s="55" t="str">
        <f t="shared" si="20"/>
        <v/>
      </c>
      <c r="L356" s="54"/>
      <c r="M356" s="54"/>
      <c r="N356" s="54"/>
      <c r="O356" s="54"/>
      <c r="P356" s="54"/>
      <c r="S356" s="38"/>
      <c r="T356" s="38"/>
      <c r="U356" s="38"/>
      <c r="V356" s="37"/>
      <c r="W356" s="37"/>
      <c r="X356" s="37"/>
      <c r="Y356" s="37"/>
      <c r="Z356" s="37"/>
      <c r="AA356" s="37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</row>
    <row r="357" spans="1:52" ht="39.75" hidden="1" customHeight="1" x14ac:dyDescent="0.2">
      <c r="A357" s="45" t="str">
        <f t="shared" si="18"/>
        <v/>
      </c>
      <c r="B357" s="45"/>
      <c r="C357" s="45"/>
      <c r="D357" s="45"/>
      <c r="E357" s="50"/>
      <c r="F357" s="51"/>
      <c r="G357" s="52"/>
      <c r="H357" s="52"/>
      <c r="I357" s="52" t="str">
        <f t="shared" si="19"/>
        <v/>
      </c>
      <c r="J357" s="54"/>
      <c r="K357" s="55" t="str">
        <f t="shared" si="20"/>
        <v/>
      </c>
      <c r="L357" s="54"/>
      <c r="M357" s="54"/>
      <c r="N357" s="54"/>
      <c r="O357" s="54"/>
      <c r="P357" s="54"/>
      <c r="S357" s="38"/>
      <c r="T357" s="38"/>
      <c r="U357" s="38"/>
      <c r="V357" s="37"/>
      <c r="W357" s="37"/>
      <c r="X357" s="37"/>
      <c r="Y357" s="37"/>
      <c r="Z357" s="37"/>
      <c r="AA357" s="37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</row>
    <row r="358" spans="1:52" ht="39.75" hidden="1" customHeight="1" x14ac:dyDescent="0.2">
      <c r="A358" s="45" t="str">
        <f t="shared" si="18"/>
        <v/>
      </c>
      <c r="B358" s="45"/>
      <c r="C358" s="45"/>
      <c r="D358" s="45"/>
      <c r="E358" s="50"/>
      <c r="F358" s="51"/>
      <c r="G358" s="52"/>
      <c r="H358" s="52"/>
      <c r="I358" s="52" t="str">
        <f t="shared" si="19"/>
        <v/>
      </c>
      <c r="J358" s="54"/>
      <c r="K358" s="55" t="str">
        <f t="shared" si="20"/>
        <v/>
      </c>
      <c r="L358" s="54"/>
      <c r="M358" s="54"/>
      <c r="N358" s="54"/>
      <c r="O358" s="54"/>
      <c r="P358" s="54"/>
      <c r="S358" s="38"/>
      <c r="T358" s="38"/>
      <c r="U358" s="38"/>
      <c r="V358" s="37"/>
      <c r="W358" s="37"/>
      <c r="X358" s="37"/>
      <c r="Y358" s="37"/>
      <c r="Z358" s="37"/>
      <c r="AA358" s="37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</row>
    <row r="359" spans="1:52" ht="39.75" hidden="1" customHeight="1" x14ac:dyDescent="0.2">
      <c r="A359" s="45" t="str">
        <f t="shared" si="18"/>
        <v/>
      </c>
      <c r="B359" s="45"/>
      <c r="C359" s="45"/>
      <c r="D359" s="45"/>
      <c r="E359" s="50"/>
      <c r="F359" s="51"/>
      <c r="G359" s="52"/>
      <c r="H359" s="52"/>
      <c r="I359" s="52" t="str">
        <f t="shared" si="19"/>
        <v/>
      </c>
      <c r="J359" s="54"/>
      <c r="K359" s="55" t="str">
        <f t="shared" si="20"/>
        <v/>
      </c>
      <c r="L359" s="54"/>
      <c r="M359" s="54"/>
      <c r="N359" s="54"/>
      <c r="O359" s="54"/>
      <c r="P359" s="54"/>
      <c r="S359" s="38"/>
      <c r="T359" s="38"/>
      <c r="U359" s="38"/>
      <c r="V359" s="37"/>
      <c r="W359" s="37"/>
      <c r="X359" s="37"/>
      <c r="Y359" s="37"/>
      <c r="Z359" s="37"/>
      <c r="AA359" s="37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</row>
    <row r="360" spans="1:52" ht="39.75" hidden="1" customHeight="1" x14ac:dyDescent="0.2">
      <c r="A360" s="45" t="str">
        <f t="shared" si="18"/>
        <v/>
      </c>
      <c r="B360" s="45"/>
      <c r="C360" s="45"/>
      <c r="D360" s="45"/>
      <c r="E360" s="50"/>
      <c r="F360" s="51"/>
      <c r="G360" s="52"/>
      <c r="H360" s="52"/>
      <c r="I360" s="52" t="str">
        <f t="shared" si="19"/>
        <v/>
      </c>
      <c r="J360" s="54"/>
      <c r="K360" s="55" t="str">
        <f t="shared" si="20"/>
        <v/>
      </c>
      <c r="L360" s="54"/>
      <c r="M360" s="54"/>
      <c r="N360" s="54"/>
      <c r="O360" s="54"/>
      <c r="P360" s="54"/>
      <c r="S360" s="38"/>
      <c r="T360" s="38"/>
      <c r="U360" s="38"/>
      <c r="V360" s="37"/>
      <c r="W360" s="37"/>
      <c r="X360" s="37"/>
      <c r="Y360" s="37"/>
      <c r="Z360" s="37"/>
      <c r="AA360" s="37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</row>
    <row r="361" spans="1:52" ht="39.75" hidden="1" customHeight="1" x14ac:dyDescent="0.2">
      <c r="A361" s="45" t="str">
        <f t="shared" si="18"/>
        <v/>
      </c>
      <c r="B361" s="45"/>
      <c r="C361" s="45"/>
      <c r="D361" s="45"/>
      <c r="E361" s="50"/>
      <c r="F361" s="51"/>
      <c r="G361" s="52"/>
      <c r="H361" s="52"/>
      <c r="I361" s="52" t="str">
        <f t="shared" si="19"/>
        <v/>
      </c>
      <c r="J361" s="54"/>
      <c r="K361" s="55" t="str">
        <f t="shared" si="20"/>
        <v/>
      </c>
      <c r="L361" s="54"/>
      <c r="M361" s="54"/>
      <c r="N361" s="54"/>
      <c r="O361" s="54"/>
      <c r="P361" s="54"/>
      <c r="S361" s="38"/>
      <c r="T361" s="38"/>
      <c r="U361" s="38"/>
      <c r="V361" s="37"/>
      <c r="W361" s="37"/>
      <c r="X361" s="37"/>
      <c r="Y361" s="37"/>
      <c r="Z361" s="37"/>
      <c r="AA361" s="37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</row>
    <row r="362" spans="1:52" ht="39.75" hidden="1" customHeight="1" x14ac:dyDescent="0.2">
      <c r="A362" s="45" t="str">
        <f t="shared" si="18"/>
        <v/>
      </c>
      <c r="B362" s="45"/>
      <c r="C362" s="45"/>
      <c r="D362" s="45"/>
      <c r="E362" s="50"/>
      <c r="F362" s="51"/>
      <c r="G362" s="52"/>
      <c r="H362" s="52"/>
      <c r="I362" s="52" t="str">
        <f t="shared" si="19"/>
        <v/>
      </c>
      <c r="J362" s="54"/>
      <c r="K362" s="55" t="str">
        <f t="shared" si="20"/>
        <v/>
      </c>
      <c r="L362" s="54"/>
      <c r="M362" s="54"/>
      <c r="N362" s="54"/>
      <c r="O362" s="54"/>
      <c r="P362" s="54"/>
      <c r="S362" s="38"/>
      <c r="T362" s="38"/>
      <c r="U362" s="38"/>
      <c r="V362" s="37"/>
      <c r="W362" s="37"/>
      <c r="X362" s="37"/>
      <c r="Y362" s="37"/>
      <c r="Z362" s="37"/>
      <c r="AA362" s="37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</row>
    <row r="363" spans="1:52" ht="39.75" hidden="1" customHeight="1" x14ac:dyDescent="0.2">
      <c r="A363" s="45" t="str">
        <f t="shared" si="18"/>
        <v/>
      </c>
      <c r="B363" s="45"/>
      <c r="C363" s="45"/>
      <c r="D363" s="45"/>
      <c r="E363" s="50"/>
      <c r="F363" s="51"/>
      <c r="G363" s="52"/>
      <c r="H363" s="52"/>
      <c r="I363" s="52" t="str">
        <f t="shared" si="19"/>
        <v/>
      </c>
      <c r="J363" s="54"/>
      <c r="K363" s="55" t="str">
        <f t="shared" si="20"/>
        <v/>
      </c>
      <c r="L363" s="54"/>
      <c r="M363" s="54"/>
      <c r="N363" s="54"/>
      <c r="O363" s="54"/>
      <c r="P363" s="54"/>
      <c r="S363" s="38"/>
      <c r="T363" s="38"/>
      <c r="U363" s="38"/>
      <c r="V363" s="37"/>
      <c r="W363" s="37"/>
      <c r="X363" s="37"/>
      <c r="Y363" s="37"/>
      <c r="Z363" s="37"/>
      <c r="AA363" s="37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</row>
    <row r="364" spans="1:52" ht="39.75" hidden="1" customHeight="1" x14ac:dyDescent="0.2">
      <c r="A364" s="45" t="str">
        <f t="shared" si="18"/>
        <v/>
      </c>
      <c r="B364" s="45"/>
      <c r="C364" s="45"/>
      <c r="D364" s="45"/>
      <c r="E364" s="50"/>
      <c r="F364" s="51"/>
      <c r="G364" s="52"/>
      <c r="H364" s="52"/>
      <c r="I364" s="52" t="str">
        <f t="shared" si="19"/>
        <v/>
      </c>
      <c r="J364" s="54"/>
      <c r="K364" s="55" t="str">
        <f t="shared" si="20"/>
        <v/>
      </c>
      <c r="L364" s="54"/>
      <c r="M364" s="54"/>
      <c r="N364" s="54"/>
      <c r="O364" s="54"/>
      <c r="P364" s="54"/>
      <c r="S364" s="38"/>
      <c r="T364" s="38"/>
      <c r="U364" s="38"/>
      <c r="V364" s="37"/>
      <c r="W364" s="37"/>
      <c r="X364" s="37"/>
      <c r="Y364" s="37"/>
      <c r="Z364" s="37"/>
      <c r="AA364" s="37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</row>
    <row r="365" spans="1:52" ht="39.75" hidden="1" customHeight="1" x14ac:dyDescent="0.2">
      <c r="A365" s="45" t="str">
        <f t="shared" si="18"/>
        <v/>
      </c>
      <c r="B365" s="45"/>
      <c r="C365" s="45"/>
      <c r="D365" s="45"/>
      <c r="E365" s="50"/>
      <c r="F365" s="51"/>
      <c r="G365" s="52"/>
      <c r="H365" s="52"/>
      <c r="I365" s="52" t="str">
        <f t="shared" si="19"/>
        <v/>
      </c>
      <c r="J365" s="54"/>
      <c r="K365" s="55" t="str">
        <f t="shared" si="20"/>
        <v/>
      </c>
      <c r="L365" s="54"/>
      <c r="M365" s="54"/>
      <c r="N365" s="54"/>
      <c r="O365" s="54"/>
      <c r="P365" s="54"/>
      <c r="S365" s="38"/>
      <c r="T365" s="38"/>
      <c r="U365" s="38"/>
      <c r="V365" s="37"/>
      <c r="W365" s="37"/>
      <c r="X365" s="37"/>
      <c r="Y365" s="37"/>
      <c r="Z365" s="37"/>
      <c r="AA365" s="37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</row>
    <row r="366" spans="1:52" ht="39.75" hidden="1" customHeight="1" x14ac:dyDescent="0.2">
      <c r="A366" s="45" t="str">
        <f t="shared" si="18"/>
        <v/>
      </c>
      <c r="B366" s="45"/>
      <c r="C366" s="45"/>
      <c r="D366" s="45"/>
      <c r="E366" s="50"/>
      <c r="F366" s="51"/>
      <c r="G366" s="52"/>
      <c r="H366" s="52"/>
      <c r="I366" s="52" t="str">
        <f t="shared" si="19"/>
        <v/>
      </c>
      <c r="J366" s="54"/>
      <c r="K366" s="55" t="str">
        <f t="shared" si="20"/>
        <v/>
      </c>
      <c r="L366" s="54"/>
      <c r="M366" s="54"/>
      <c r="N366" s="54"/>
      <c r="O366" s="54"/>
      <c r="P366" s="54"/>
      <c r="S366" s="38"/>
      <c r="T366" s="38"/>
      <c r="U366" s="38"/>
      <c r="V366" s="37"/>
      <c r="W366" s="37"/>
      <c r="X366" s="37"/>
      <c r="Y366" s="37"/>
      <c r="Z366" s="37"/>
      <c r="AA366" s="37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</row>
    <row r="367" spans="1:52" ht="39.75" hidden="1" customHeight="1" x14ac:dyDescent="0.2">
      <c r="A367" s="45" t="str">
        <f t="shared" si="18"/>
        <v/>
      </c>
      <c r="B367" s="45"/>
      <c r="C367" s="45"/>
      <c r="D367" s="45"/>
      <c r="E367" s="50"/>
      <c r="F367" s="51"/>
      <c r="G367" s="52"/>
      <c r="H367" s="52"/>
      <c r="I367" s="52" t="str">
        <f t="shared" si="19"/>
        <v/>
      </c>
      <c r="J367" s="54"/>
      <c r="K367" s="55" t="str">
        <f t="shared" si="20"/>
        <v/>
      </c>
      <c r="L367" s="54"/>
      <c r="M367" s="54"/>
      <c r="N367" s="54"/>
      <c r="O367" s="54"/>
      <c r="P367" s="54"/>
      <c r="S367" s="38"/>
      <c r="T367" s="38"/>
      <c r="U367" s="38"/>
      <c r="V367" s="37"/>
      <c r="W367" s="37"/>
      <c r="X367" s="37"/>
      <c r="Y367" s="37"/>
      <c r="Z367" s="37"/>
      <c r="AA367" s="37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</row>
    <row r="368" spans="1:52" ht="39.75" hidden="1" customHeight="1" x14ac:dyDescent="0.2">
      <c r="A368" s="45" t="str">
        <f t="shared" si="18"/>
        <v/>
      </c>
      <c r="B368" s="45"/>
      <c r="C368" s="45"/>
      <c r="D368" s="45"/>
      <c r="E368" s="50"/>
      <c r="F368" s="51"/>
      <c r="G368" s="52"/>
      <c r="H368" s="52"/>
      <c r="I368" s="52" t="str">
        <f t="shared" si="19"/>
        <v/>
      </c>
      <c r="J368" s="54"/>
      <c r="K368" s="55" t="str">
        <f t="shared" si="20"/>
        <v/>
      </c>
      <c r="L368" s="54"/>
      <c r="M368" s="54"/>
      <c r="N368" s="54"/>
      <c r="O368" s="54"/>
      <c r="P368" s="54"/>
      <c r="S368" s="38"/>
      <c r="T368" s="38"/>
      <c r="U368" s="38"/>
      <c r="V368" s="37"/>
      <c r="W368" s="37"/>
      <c r="X368" s="37"/>
      <c r="Y368" s="37"/>
      <c r="Z368" s="37"/>
      <c r="AA368" s="37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</row>
    <row r="369" spans="1:52" ht="39.75" hidden="1" customHeight="1" x14ac:dyDescent="0.2">
      <c r="A369" s="45" t="str">
        <f t="shared" si="18"/>
        <v/>
      </c>
      <c r="B369" s="45"/>
      <c r="C369" s="45"/>
      <c r="D369" s="45"/>
      <c r="E369" s="50"/>
      <c r="F369" s="51"/>
      <c r="G369" s="52"/>
      <c r="H369" s="52"/>
      <c r="I369" s="52" t="str">
        <f t="shared" si="19"/>
        <v/>
      </c>
      <c r="J369" s="54"/>
      <c r="K369" s="55" t="str">
        <f t="shared" si="20"/>
        <v/>
      </c>
      <c r="L369" s="54"/>
      <c r="M369" s="54"/>
      <c r="N369" s="54"/>
      <c r="O369" s="54"/>
      <c r="P369" s="54"/>
      <c r="S369" s="38"/>
      <c r="T369" s="38"/>
      <c r="U369" s="38"/>
      <c r="V369" s="37"/>
      <c r="W369" s="37"/>
      <c r="X369" s="37"/>
      <c r="Y369" s="37"/>
      <c r="Z369" s="37"/>
      <c r="AA369" s="37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</row>
    <row r="370" spans="1:52" ht="39.75" hidden="1" customHeight="1" x14ac:dyDescent="0.2">
      <c r="A370" s="45" t="str">
        <f t="shared" si="18"/>
        <v/>
      </c>
      <c r="B370" s="45"/>
      <c r="C370" s="45"/>
      <c r="D370" s="45"/>
      <c r="E370" s="50"/>
      <c r="F370" s="51"/>
      <c r="G370" s="52"/>
      <c r="H370" s="52"/>
      <c r="I370" s="52" t="str">
        <f t="shared" si="19"/>
        <v/>
      </c>
      <c r="J370" s="54"/>
      <c r="K370" s="55" t="str">
        <f t="shared" si="20"/>
        <v/>
      </c>
      <c r="L370" s="54"/>
      <c r="M370" s="54"/>
      <c r="N370" s="54"/>
      <c r="O370" s="54"/>
      <c r="P370" s="54"/>
      <c r="S370" s="38"/>
      <c r="T370" s="38"/>
      <c r="U370" s="38"/>
      <c r="V370" s="37"/>
      <c r="W370" s="37"/>
      <c r="X370" s="37"/>
      <c r="Y370" s="37"/>
      <c r="Z370" s="37"/>
      <c r="AA370" s="37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</row>
    <row r="371" spans="1:52" ht="39.75" hidden="1" customHeight="1" x14ac:dyDescent="0.2">
      <c r="A371" s="45" t="str">
        <f t="shared" si="18"/>
        <v/>
      </c>
      <c r="B371" s="45"/>
      <c r="C371" s="45"/>
      <c r="D371" s="45"/>
      <c r="E371" s="50"/>
      <c r="F371" s="51"/>
      <c r="G371" s="52"/>
      <c r="H371" s="52"/>
      <c r="I371" s="52" t="str">
        <f t="shared" si="19"/>
        <v/>
      </c>
      <c r="J371" s="54"/>
      <c r="K371" s="55" t="str">
        <f t="shared" si="20"/>
        <v/>
      </c>
      <c r="L371" s="54"/>
      <c r="M371" s="54"/>
      <c r="N371" s="54"/>
      <c r="O371" s="54"/>
      <c r="P371" s="54"/>
      <c r="S371" s="38"/>
      <c r="T371" s="38"/>
      <c r="U371" s="38"/>
      <c r="V371" s="37"/>
      <c r="W371" s="37"/>
      <c r="X371" s="37"/>
      <c r="Y371" s="37"/>
      <c r="Z371" s="37"/>
      <c r="AA371" s="37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</row>
    <row r="372" spans="1:52" ht="39.75" hidden="1" customHeight="1" x14ac:dyDescent="0.2">
      <c r="A372" s="45" t="str">
        <f t="shared" si="18"/>
        <v/>
      </c>
      <c r="B372" s="45"/>
      <c r="C372" s="45"/>
      <c r="D372" s="45"/>
      <c r="E372" s="50"/>
      <c r="F372" s="51"/>
      <c r="G372" s="52"/>
      <c r="H372" s="52"/>
      <c r="I372" s="52" t="str">
        <f t="shared" si="19"/>
        <v/>
      </c>
      <c r="J372" s="54"/>
      <c r="K372" s="55" t="str">
        <f t="shared" si="20"/>
        <v/>
      </c>
      <c r="L372" s="54"/>
      <c r="M372" s="54"/>
      <c r="N372" s="54"/>
      <c r="O372" s="54"/>
      <c r="P372" s="54"/>
      <c r="S372" s="38"/>
      <c r="T372" s="38"/>
      <c r="U372" s="38"/>
      <c r="V372" s="37"/>
      <c r="W372" s="37"/>
      <c r="X372" s="37"/>
      <c r="Y372" s="37"/>
      <c r="Z372" s="37"/>
      <c r="AA372" s="37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</row>
    <row r="373" spans="1:52" ht="39.75" hidden="1" customHeight="1" x14ac:dyDescent="0.2">
      <c r="A373" s="45" t="str">
        <f t="shared" si="18"/>
        <v/>
      </c>
      <c r="B373" s="45"/>
      <c r="C373" s="45"/>
      <c r="D373" s="45"/>
      <c r="E373" s="50"/>
      <c r="F373" s="51"/>
      <c r="G373" s="52"/>
      <c r="H373" s="52"/>
      <c r="I373" s="52" t="str">
        <f t="shared" si="19"/>
        <v/>
      </c>
      <c r="J373" s="54"/>
      <c r="K373" s="55" t="str">
        <f t="shared" si="20"/>
        <v/>
      </c>
      <c r="L373" s="54"/>
      <c r="M373" s="54"/>
      <c r="N373" s="54"/>
      <c r="O373" s="54"/>
      <c r="P373" s="54"/>
      <c r="S373" s="38"/>
      <c r="T373" s="38"/>
      <c r="U373" s="38"/>
      <c r="V373" s="37"/>
      <c r="W373" s="37"/>
      <c r="X373" s="37"/>
      <c r="Y373" s="37"/>
      <c r="Z373" s="37"/>
      <c r="AA373" s="37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</row>
    <row r="374" spans="1:52" ht="39.75" hidden="1" customHeight="1" x14ac:dyDescent="0.2">
      <c r="A374" s="45" t="str">
        <f t="shared" si="18"/>
        <v/>
      </c>
      <c r="B374" s="45"/>
      <c r="C374" s="45"/>
      <c r="D374" s="45"/>
      <c r="E374" s="50"/>
      <c r="F374" s="51"/>
      <c r="G374" s="52"/>
      <c r="H374" s="52"/>
      <c r="I374" s="52" t="str">
        <f t="shared" si="19"/>
        <v/>
      </c>
      <c r="J374" s="54"/>
      <c r="K374" s="55" t="str">
        <f t="shared" si="20"/>
        <v/>
      </c>
      <c r="L374" s="54"/>
      <c r="M374" s="54"/>
      <c r="N374" s="54"/>
      <c r="O374" s="54"/>
      <c r="P374" s="54"/>
      <c r="S374" s="38"/>
      <c r="T374" s="38"/>
      <c r="U374" s="38"/>
      <c r="V374" s="37"/>
      <c r="W374" s="37"/>
      <c r="X374" s="37"/>
      <c r="Y374" s="37"/>
      <c r="Z374" s="37"/>
      <c r="AA374" s="37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</row>
    <row r="375" spans="1:52" ht="39.75" hidden="1" customHeight="1" x14ac:dyDescent="0.2">
      <c r="A375" s="45" t="str">
        <f t="shared" si="18"/>
        <v/>
      </c>
      <c r="B375" s="45"/>
      <c r="C375" s="45"/>
      <c r="D375" s="45"/>
      <c r="E375" s="50"/>
      <c r="F375" s="51"/>
      <c r="G375" s="52"/>
      <c r="H375" s="52"/>
      <c r="I375" s="52" t="str">
        <f t="shared" si="19"/>
        <v/>
      </c>
      <c r="J375" s="54"/>
      <c r="K375" s="55" t="str">
        <f t="shared" si="20"/>
        <v/>
      </c>
      <c r="L375" s="54"/>
      <c r="M375" s="54"/>
      <c r="N375" s="54"/>
      <c r="O375" s="54"/>
      <c r="P375" s="54"/>
      <c r="S375" s="38"/>
      <c r="T375" s="38"/>
      <c r="U375" s="38"/>
      <c r="V375" s="37"/>
      <c r="W375" s="37"/>
      <c r="X375" s="37"/>
      <c r="Y375" s="37"/>
      <c r="Z375" s="37"/>
      <c r="AA375" s="37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</row>
    <row r="376" spans="1:52" ht="39.75" hidden="1" customHeight="1" x14ac:dyDescent="0.2">
      <c r="A376" s="45" t="str">
        <f t="shared" si="18"/>
        <v/>
      </c>
      <c r="B376" s="45"/>
      <c r="C376" s="45"/>
      <c r="D376" s="45"/>
      <c r="E376" s="50"/>
      <c r="F376" s="51"/>
      <c r="G376" s="52"/>
      <c r="H376" s="52"/>
      <c r="I376" s="52" t="str">
        <f t="shared" si="19"/>
        <v/>
      </c>
      <c r="J376" s="54"/>
      <c r="K376" s="55" t="str">
        <f t="shared" si="20"/>
        <v/>
      </c>
      <c r="L376" s="54"/>
      <c r="M376" s="54"/>
      <c r="N376" s="54"/>
      <c r="O376" s="54"/>
      <c r="P376" s="54"/>
      <c r="S376" s="38"/>
      <c r="T376" s="38"/>
      <c r="U376" s="38"/>
      <c r="V376" s="37"/>
      <c r="W376" s="37"/>
      <c r="X376" s="37"/>
      <c r="Y376" s="37"/>
      <c r="Z376" s="37"/>
      <c r="AA376" s="37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</row>
    <row r="377" spans="1:52" ht="39.75" hidden="1" customHeight="1" x14ac:dyDescent="0.2">
      <c r="A377" s="45" t="str">
        <f t="shared" si="18"/>
        <v/>
      </c>
      <c r="B377" s="45"/>
      <c r="C377" s="45"/>
      <c r="D377" s="45"/>
      <c r="E377" s="50"/>
      <c r="F377" s="51"/>
      <c r="G377" s="52"/>
      <c r="H377" s="52"/>
      <c r="I377" s="52" t="str">
        <f t="shared" si="19"/>
        <v/>
      </c>
      <c r="J377" s="54"/>
      <c r="K377" s="55" t="str">
        <f t="shared" si="20"/>
        <v/>
      </c>
      <c r="L377" s="54"/>
      <c r="M377" s="54"/>
      <c r="N377" s="54"/>
      <c r="O377" s="54"/>
      <c r="P377" s="54"/>
      <c r="S377" s="38"/>
      <c r="T377" s="38"/>
      <c r="U377" s="38"/>
      <c r="V377" s="37"/>
      <c r="W377" s="37"/>
      <c r="X377" s="37"/>
      <c r="Y377" s="37"/>
      <c r="Z377" s="37"/>
      <c r="AA377" s="37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</row>
    <row r="378" spans="1:52" ht="39.75" hidden="1" customHeight="1" x14ac:dyDescent="0.2">
      <c r="A378" s="45" t="str">
        <f t="shared" si="18"/>
        <v/>
      </c>
      <c r="B378" s="45"/>
      <c r="C378" s="45"/>
      <c r="D378" s="45"/>
      <c r="E378" s="50"/>
      <c r="F378" s="51"/>
      <c r="G378" s="52"/>
      <c r="H378" s="52"/>
      <c r="I378" s="52" t="str">
        <f t="shared" si="19"/>
        <v/>
      </c>
      <c r="J378" s="54"/>
      <c r="K378" s="55" t="str">
        <f t="shared" si="20"/>
        <v/>
      </c>
      <c r="L378" s="54"/>
      <c r="M378" s="54"/>
      <c r="N378" s="54"/>
      <c r="O378" s="54"/>
      <c r="P378" s="54"/>
      <c r="S378" s="38"/>
      <c r="T378" s="38"/>
      <c r="U378" s="38"/>
      <c r="V378" s="37"/>
      <c r="W378" s="37"/>
      <c r="X378" s="37"/>
      <c r="Y378" s="37"/>
      <c r="Z378" s="37"/>
      <c r="AA378" s="37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</row>
    <row r="379" spans="1:52" ht="39.75" hidden="1" customHeight="1" x14ac:dyDescent="0.2">
      <c r="A379" s="45" t="str">
        <f t="shared" si="18"/>
        <v/>
      </c>
      <c r="B379" s="45"/>
      <c r="C379" s="45"/>
      <c r="D379" s="45"/>
      <c r="E379" s="50"/>
      <c r="F379" s="51"/>
      <c r="G379" s="52"/>
      <c r="H379" s="52"/>
      <c r="I379" s="52" t="str">
        <f t="shared" si="19"/>
        <v/>
      </c>
      <c r="J379" s="54"/>
      <c r="K379" s="55" t="str">
        <f t="shared" si="20"/>
        <v/>
      </c>
      <c r="L379" s="54"/>
      <c r="M379" s="54"/>
      <c r="N379" s="54"/>
      <c r="O379" s="54"/>
      <c r="P379" s="54"/>
      <c r="S379" s="38"/>
      <c r="T379" s="38"/>
      <c r="U379" s="38"/>
      <c r="V379" s="37"/>
      <c r="W379" s="37"/>
      <c r="X379" s="37"/>
      <c r="Y379" s="37"/>
      <c r="Z379" s="37"/>
      <c r="AA379" s="37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</row>
    <row r="380" spans="1:52" ht="39.75" hidden="1" customHeight="1" x14ac:dyDescent="0.2">
      <c r="A380" s="45" t="str">
        <f t="shared" si="18"/>
        <v/>
      </c>
      <c r="B380" s="45"/>
      <c r="C380" s="45"/>
      <c r="D380" s="45"/>
      <c r="E380" s="50"/>
      <c r="F380" s="51"/>
      <c r="G380" s="52"/>
      <c r="H380" s="52"/>
      <c r="I380" s="52" t="str">
        <f t="shared" si="19"/>
        <v/>
      </c>
      <c r="J380" s="54"/>
      <c r="K380" s="55" t="str">
        <f t="shared" si="20"/>
        <v/>
      </c>
      <c r="L380" s="54"/>
      <c r="M380" s="54"/>
      <c r="N380" s="54"/>
      <c r="O380" s="54"/>
      <c r="P380" s="54"/>
      <c r="S380" s="38"/>
      <c r="T380" s="38"/>
      <c r="U380" s="38"/>
      <c r="V380" s="37"/>
      <c r="W380" s="37"/>
      <c r="X380" s="37"/>
      <c r="Y380" s="37"/>
      <c r="Z380" s="37"/>
      <c r="AA380" s="37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</row>
    <row r="381" spans="1:52" ht="39.75" hidden="1" customHeight="1" x14ac:dyDescent="0.2">
      <c r="A381" s="45" t="str">
        <f t="shared" si="18"/>
        <v/>
      </c>
      <c r="B381" s="45"/>
      <c r="C381" s="45"/>
      <c r="D381" s="45"/>
      <c r="E381" s="50"/>
      <c r="F381" s="51"/>
      <c r="G381" s="52"/>
      <c r="H381" s="52"/>
      <c r="I381" s="52" t="str">
        <f t="shared" si="19"/>
        <v/>
      </c>
      <c r="J381" s="54"/>
      <c r="K381" s="55" t="str">
        <f t="shared" si="20"/>
        <v/>
      </c>
      <c r="L381" s="54"/>
      <c r="M381" s="54"/>
      <c r="N381" s="54"/>
      <c r="O381" s="54"/>
      <c r="P381" s="54"/>
      <c r="S381" s="38"/>
      <c r="T381" s="38"/>
      <c r="U381" s="38"/>
      <c r="V381" s="37"/>
      <c r="W381" s="37"/>
      <c r="X381" s="37"/>
      <c r="Y381" s="37"/>
      <c r="Z381" s="37"/>
      <c r="AA381" s="37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</row>
    <row r="382" spans="1:52" ht="39.75" hidden="1" customHeight="1" x14ac:dyDescent="0.2">
      <c r="A382" s="45" t="str">
        <f t="shared" si="18"/>
        <v/>
      </c>
      <c r="B382" s="45"/>
      <c r="C382" s="45"/>
      <c r="D382" s="45"/>
      <c r="E382" s="50"/>
      <c r="F382" s="51"/>
      <c r="G382" s="52"/>
      <c r="H382" s="52"/>
      <c r="I382" s="52" t="str">
        <f t="shared" si="19"/>
        <v/>
      </c>
      <c r="J382" s="54"/>
      <c r="K382" s="55" t="str">
        <f t="shared" si="20"/>
        <v/>
      </c>
      <c r="L382" s="54"/>
      <c r="M382" s="54"/>
      <c r="N382" s="54"/>
      <c r="O382" s="54"/>
      <c r="P382" s="54"/>
      <c r="S382" s="38"/>
      <c r="T382" s="38"/>
      <c r="U382" s="38"/>
      <c r="V382" s="37"/>
      <c r="W382" s="37"/>
      <c r="X382" s="37"/>
      <c r="Y382" s="37"/>
      <c r="Z382" s="37"/>
      <c r="AA382" s="37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</row>
    <row r="383" spans="1:52" ht="39.75" hidden="1" customHeight="1" x14ac:dyDescent="0.2">
      <c r="A383" s="45" t="str">
        <f t="shared" si="18"/>
        <v/>
      </c>
      <c r="B383" s="45"/>
      <c r="C383" s="45"/>
      <c r="D383" s="45"/>
      <c r="E383" s="50"/>
      <c r="F383" s="51"/>
      <c r="G383" s="52"/>
      <c r="H383" s="52"/>
      <c r="I383" s="52" t="str">
        <f t="shared" si="19"/>
        <v/>
      </c>
      <c r="J383" s="54"/>
      <c r="K383" s="55" t="str">
        <f t="shared" si="20"/>
        <v/>
      </c>
      <c r="L383" s="54"/>
      <c r="M383" s="54"/>
      <c r="N383" s="54"/>
      <c r="O383" s="54"/>
      <c r="P383" s="54"/>
      <c r="S383" s="38"/>
      <c r="T383" s="38"/>
      <c r="U383" s="38"/>
      <c r="V383" s="37"/>
      <c r="W383" s="37"/>
      <c r="X383" s="37"/>
      <c r="Y383" s="37"/>
      <c r="Z383" s="37"/>
      <c r="AA383" s="37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</row>
    <row r="384" spans="1:52" ht="39.75" hidden="1" customHeight="1" x14ac:dyDescent="0.2">
      <c r="A384" s="45" t="str">
        <f t="shared" si="18"/>
        <v/>
      </c>
      <c r="B384" s="45"/>
      <c r="C384" s="45"/>
      <c r="D384" s="45"/>
      <c r="E384" s="50"/>
      <c r="F384" s="51"/>
      <c r="G384" s="52"/>
      <c r="H384" s="52"/>
      <c r="I384" s="52" t="str">
        <f t="shared" si="19"/>
        <v/>
      </c>
      <c r="J384" s="54"/>
      <c r="K384" s="55" t="str">
        <f t="shared" si="20"/>
        <v/>
      </c>
      <c r="L384" s="54"/>
      <c r="M384" s="54"/>
      <c r="N384" s="54"/>
      <c r="O384" s="54"/>
      <c r="P384" s="54"/>
      <c r="S384" s="38"/>
      <c r="T384" s="38"/>
      <c r="U384" s="38"/>
      <c r="V384" s="37"/>
      <c r="W384" s="37"/>
      <c r="X384" s="37"/>
      <c r="Y384" s="37"/>
      <c r="Z384" s="37"/>
      <c r="AA384" s="37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</row>
    <row r="385" spans="1:52" ht="39.75" hidden="1" customHeight="1" x14ac:dyDescent="0.2">
      <c r="A385" s="45" t="str">
        <f t="shared" si="18"/>
        <v/>
      </c>
      <c r="B385" s="45"/>
      <c r="C385" s="45"/>
      <c r="D385" s="45"/>
      <c r="E385" s="50"/>
      <c r="F385" s="51"/>
      <c r="G385" s="52"/>
      <c r="H385" s="52"/>
      <c r="I385" s="52" t="str">
        <f t="shared" si="19"/>
        <v/>
      </c>
      <c r="J385" s="54"/>
      <c r="K385" s="55" t="str">
        <f t="shared" si="20"/>
        <v/>
      </c>
      <c r="L385" s="54"/>
      <c r="M385" s="54"/>
      <c r="N385" s="54"/>
      <c r="O385" s="54"/>
      <c r="P385" s="54"/>
      <c r="S385" s="38"/>
      <c r="T385" s="38"/>
      <c r="U385" s="38"/>
      <c r="V385" s="37"/>
      <c r="W385" s="37"/>
      <c r="X385" s="37"/>
      <c r="Y385" s="37"/>
      <c r="Z385" s="37"/>
      <c r="AA385" s="37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</row>
    <row r="386" spans="1:52" ht="39.75" hidden="1" customHeight="1" x14ac:dyDescent="0.2">
      <c r="A386" s="45" t="str">
        <f t="shared" si="18"/>
        <v/>
      </c>
      <c r="B386" s="45"/>
      <c r="C386" s="45"/>
      <c r="D386" s="45"/>
      <c r="E386" s="50"/>
      <c r="F386" s="51"/>
      <c r="G386" s="52"/>
      <c r="H386" s="52"/>
      <c r="I386" s="52" t="str">
        <f t="shared" si="19"/>
        <v/>
      </c>
      <c r="J386" s="54"/>
      <c r="K386" s="55" t="str">
        <f t="shared" si="20"/>
        <v/>
      </c>
      <c r="L386" s="54"/>
      <c r="M386" s="54"/>
      <c r="N386" s="54"/>
      <c r="O386" s="54"/>
      <c r="P386" s="54"/>
      <c r="S386" s="38"/>
      <c r="T386" s="38"/>
      <c r="U386" s="38"/>
      <c r="V386" s="37"/>
      <c r="W386" s="37"/>
      <c r="X386" s="37"/>
      <c r="Y386" s="37"/>
      <c r="Z386" s="37"/>
      <c r="AA386" s="37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</row>
    <row r="387" spans="1:52" ht="39.75" hidden="1" customHeight="1" x14ac:dyDescent="0.2">
      <c r="A387" s="45" t="str">
        <f t="shared" si="18"/>
        <v/>
      </c>
      <c r="B387" s="45"/>
      <c r="C387" s="45"/>
      <c r="D387" s="45"/>
      <c r="E387" s="50"/>
      <c r="F387" s="51"/>
      <c r="G387" s="52"/>
      <c r="H387" s="52"/>
      <c r="I387" s="52" t="str">
        <f t="shared" si="19"/>
        <v/>
      </c>
      <c r="J387" s="54"/>
      <c r="K387" s="55" t="str">
        <f t="shared" si="20"/>
        <v/>
      </c>
      <c r="L387" s="54"/>
      <c r="M387" s="54"/>
      <c r="N387" s="54"/>
      <c r="O387" s="54"/>
      <c r="P387" s="54"/>
      <c r="S387" s="38"/>
      <c r="T387" s="38"/>
      <c r="U387" s="38"/>
      <c r="V387" s="37"/>
      <c r="W387" s="37"/>
      <c r="X387" s="37"/>
      <c r="Y387" s="37"/>
      <c r="Z387" s="37"/>
      <c r="AA387" s="37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</row>
    <row r="388" spans="1:52" ht="39.75" hidden="1" customHeight="1" x14ac:dyDescent="0.2">
      <c r="A388" s="45" t="str">
        <f t="shared" si="18"/>
        <v/>
      </c>
      <c r="B388" s="45"/>
      <c r="C388" s="45"/>
      <c r="D388" s="45"/>
      <c r="E388" s="50"/>
      <c r="F388" s="51"/>
      <c r="G388" s="52"/>
      <c r="H388" s="52"/>
      <c r="I388" s="52" t="str">
        <f t="shared" si="19"/>
        <v/>
      </c>
      <c r="J388" s="54"/>
      <c r="K388" s="55" t="str">
        <f t="shared" si="20"/>
        <v/>
      </c>
      <c r="L388" s="54"/>
      <c r="M388" s="54"/>
      <c r="N388" s="54"/>
      <c r="O388" s="54"/>
      <c r="P388" s="54"/>
      <c r="S388" s="38"/>
      <c r="T388" s="38"/>
      <c r="U388" s="38"/>
      <c r="V388" s="37"/>
      <c r="W388" s="37"/>
      <c r="X388" s="37"/>
      <c r="Y388" s="37"/>
      <c r="Z388" s="37"/>
      <c r="AA388" s="37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</row>
    <row r="389" spans="1:52" ht="39.75" hidden="1" customHeight="1" x14ac:dyDescent="0.2">
      <c r="A389" s="45" t="str">
        <f t="shared" si="18"/>
        <v/>
      </c>
      <c r="B389" s="45"/>
      <c r="C389" s="45"/>
      <c r="D389" s="45"/>
      <c r="E389" s="50"/>
      <c r="F389" s="51"/>
      <c r="G389" s="52"/>
      <c r="H389" s="52"/>
      <c r="I389" s="52" t="str">
        <f t="shared" si="19"/>
        <v/>
      </c>
      <c r="J389" s="54"/>
      <c r="K389" s="55" t="str">
        <f t="shared" si="20"/>
        <v/>
      </c>
      <c r="L389" s="54"/>
      <c r="M389" s="54"/>
      <c r="N389" s="54"/>
      <c r="O389" s="54"/>
      <c r="P389" s="54"/>
      <c r="S389" s="38"/>
      <c r="T389" s="38"/>
      <c r="U389" s="38"/>
      <c r="V389" s="37"/>
      <c r="W389" s="37"/>
      <c r="X389" s="37"/>
      <c r="Y389" s="37"/>
      <c r="Z389" s="37"/>
      <c r="AA389" s="37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</row>
    <row r="390" spans="1:52" ht="39.75" hidden="1" customHeight="1" x14ac:dyDescent="0.2">
      <c r="A390" s="45" t="str">
        <f t="shared" ref="A390:A453" si="21">IF(F390="","",ROW()-5)</f>
        <v/>
      </c>
      <c r="B390" s="45"/>
      <c r="C390" s="45"/>
      <c r="D390" s="45"/>
      <c r="E390" s="50"/>
      <c r="F390" s="51"/>
      <c r="G390" s="52"/>
      <c r="H390" s="52"/>
      <c r="I390" s="52" t="str">
        <f t="shared" ref="I390:I453" si="22">IF(AND(LEN(F390)=18, ISBLANK(G390)=FALSE(), ISBLANK(H390)=FALSE()),37,"")</f>
        <v/>
      </c>
      <c r="J390" s="54"/>
      <c r="K390" s="55" t="str">
        <f t="shared" ref="K390:K453" si="23">IF(OR(J390="",Q390=0),"",IF(COUNTA(L390:P390)&gt;Q390,"Seluruh pilihan telah dipilih, anda memilih lebih dari kemungkinan pilihan yang tersedia, periksa pilihan anda "&amp;"("&amp;COUNTA(L390:P390)&amp;"/"&amp;Q390&amp;")",IF(COUNTA(L390:P390)=Q390,IF(SUMPRODUCT(COUNTIF(L390:P390,L390:P390)*(L390:P390&lt;&gt;""))&gt;COUNTA(L390:P390),"Terdapat pilihan yang sama, segera ubah "&amp;"("&amp;COUNTA(L390:P390)&amp;"/"&amp;Q390&amp;")","Seluruh pilihan telah dipilih "&amp;"("&amp;COUNTA(L390:P390)&amp;"/"&amp;Q390&amp;")"),IF(COUNTA(L390:P390)&gt;0,"Masih terdapat pilihan yang bisa dipilih, silahkan melengkapi pilihan "&amp;"("&amp;COUNTA(L390:P390)&amp;"/"&amp;Q390&amp;")",""))))</f>
        <v/>
      </c>
      <c r="L390" s="54"/>
      <c r="M390" s="54"/>
      <c r="N390" s="54"/>
      <c r="O390" s="54"/>
      <c r="P390" s="54"/>
      <c r="S390" s="38"/>
      <c r="T390" s="38"/>
      <c r="U390" s="38"/>
      <c r="V390" s="37"/>
      <c r="W390" s="37"/>
      <c r="X390" s="37"/>
      <c r="Y390" s="37"/>
      <c r="Z390" s="37"/>
      <c r="AA390" s="37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</row>
    <row r="391" spans="1:52" ht="39.75" hidden="1" customHeight="1" x14ac:dyDescent="0.2">
      <c r="A391" s="45" t="str">
        <f t="shared" si="21"/>
        <v/>
      </c>
      <c r="B391" s="45"/>
      <c r="C391" s="45"/>
      <c r="D391" s="45"/>
      <c r="E391" s="50"/>
      <c r="F391" s="51"/>
      <c r="G391" s="52"/>
      <c r="H391" s="52"/>
      <c r="I391" s="52" t="str">
        <f t="shared" si="22"/>
        <v/>
      </c>
      <c r="J391" s="54"/>
      <c r="K391" s="55" t="str">
        <f t="shared" si="23"/>
        <v/>
      </c>
      <c r="L391" s="54"/>
      <c r="M391" s="54"/>
      <c r="N391" s="54"/>
      <c r="O391" s="54"/>
      <c r="P391" s="54"/>
      <c r="S391" s="38"/>
      <c r="T391" s="38"/>
      <c r="U391" s="38"/>
      <c r="V391" s="37"/>
      <c r="W391" s="37"/>
      <c r="X391" s="37"/>
      <c r="Y391" s="37"/>
      <c r="Z391" s="37"/>
      <c r="AA391" s="37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</row>
    <row r="392" spans="1:52" ht="39.75" hidden="1" customHeight="1" x14ac:dyDescent="0.2">
      <c r="A392" s="45" t="str">
        <f t="shared" si="21"/>
        <v/>
      </c>
      <c r="B392" s="45"/>
      <c r="C392" s="45"/>
      <c r="D392" s="45"/>
      <c r="E392" s="50"/>
      <c r="F392" s="51"/>
      <c r="G392" s="52"/>
      <c r="H392" s="52"/>
      <c r="I392" s="52" t="str">
        <f t="shared" si="22"/>
        <v/>
      </c>
      <c r="J392" s="54"/>
      <c r="K392" s="55" t="str">
        <f t="shared" si="23"/>
        <v/>
      </c>
      <c r="L392" s="54"/>
      <c r="M392" s="54"/>
      <c r="N392" s="54"/>
      <c r="O392" s="54"/>
      <c r="P392" s="54"/>
      <c r="S392" s="38"/>
      <c r="T392" s="38"/>
      <c r="U392" s="38"/>
      <c r="V392" s="37"/>
      <c r="W392" s="37"/>
      <c r="X392" s="37"/>
      <c r="Y392" s="37"/>
      <c r="Z392" s="37"/>
      <c r="AA392" s="37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</row>
    <row r="393" spans="1:52" ht="39.75" hidden="1" customHeight="1" x14ac:dyDescent="0.2">
      <c r="A393" s="45" t="str">
        <f t="shared" si="21"/>
        <v/>
      </c>
      <c r="B393" s="45"/>
      <c r="C393" s="45"/>
      <c r="D393" s="45"/>
      <c r="E393" s="50"/>
      <c r="F393" s="51"/>
      <c r="G393" s="52"/>
      <c r="H393" s="52"/>
      <c r="I393" s="52" t="str">
        <f t="shared" si="22"/>
        <v/>
      </c>
      <c r="J393" s="54"/>
      <c r="K393" s="55" t="str">
        <f t="shared" si="23"/>
        <v/>
      </c>
      <c r="L393" s="54"/>
      <c r="M393" s="54"/>
      <c r="N393" s="54"/>
      <c r="O393" s="54"/>
      <c r="P393" s="54"/>
      <c r="S393" s="38"/>
      <c r="T393" s="38"/>
      <c r="U393" s="38"/>
      <c r="V393" s="37"/>
      <c r="W393" s="37"/>
      <c r="X393" s="37"/>
      <c r="Y393" s="37"/>
      <c r="Z393" s="37"/>
      <c r="AA393" s="37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</row>
    <row r="394" spans="1:52" ht="39.75" hidden="1" customHeight="1" x14ac:dyDescent="0.2">
      <c r="A394" s="45" t="str">
        <f t="shared" si="21"/>
        <v/>
      </c>
      <c r="B394" s="45"/>
      <c r="C394" s="45"/>
      <c r="D394" s="45"/>
      <c r="E394" s="50"/>
      <c r="F394" s="51"/>
      <c r="G394" s="52"/>
      <c r="H394" s="52"/>
      <c r="I394" s="52" t="str">
        <f t="shared" si="22"/>
        <v/>
      </c>
      <c r="J394" s="54"/>
      <c r="K394" s="55" t="str">
        <f t="shared" si="23"/>
        <v/>
      </c>
      <c r="L394" s="54"/>
      <c r="M394" s="54"/>
      <c r="N394" s="54"/>
      <c r="O394" s="54"/>
      <c r="P394" s="54"/>
      <c r="S394" s="38"/>
      <c r="T394" s="38"/>
      <c r="U394" s="38"/>
      <c r="V394" s="37"/>
      <c r="W394" s="37"/>
      <c r="X394" s="37"/>
      <c r="Y394" s="37"/>
      <c r="Z394" s="37"/>
      <c r="AA394" s="37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</row>
    <row r="395" spans="1:52" ht="39.75" hidden="1" customHeight="1" x14ac:dyDescent="0.2">
      <c r="A395" s="45" t="str">
        <f t="shared" si="21"/>
        <v/>
      </c>
      <c r="B395" s="45"/>
      <c r="C395" s="45"/>
      <c r="D395" s="45"/>
      <c r="E395" s="50"/>
      <c r="F395" s="51"/>
      <c r="G395" s="52"/>
      <c r="H395" s="52"/>
      <c r="I395" s="52" t="str">
        <f t="shared" si="22"/>
        <v/>
      </c>
      <c r="J395" s="54"/>
      <c r="K395" s="55" t="str">
        <f t="shared" si="23"/>
        <v/>
      </c>
      <c r="L395" s="54"/>
      <c r="M395" s="54"/>
      <c r="N395" s="54"/>
      <c r="O395" s="54"/>
      <c r="P395" s="54"/>
      <c r="S395" s="38"/>
      <c r="T395" s="38"/>
      <c r="U395" s="38"/>
      <c r="V395" s="37"/>
      <c r="W395" s="37"/>
      <c r="X395" s="37"/>
      <c r="Y395" s="37"/>
      <c r="Z395" s="37"/>
      <c r="AA395" s="37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</row>
    <row r="396" spans="1:52" ht="39.75" hidden="1" customHeight="1" x14ac:dyDescent="0.2">
      <c r="A396" s="45" t="str">
        <f t="shared" si="21"/>
        <v/>
      </c>
      <c r="B396" s="45"/>
      <c r="C396" s="45"/>
      <c r="D396" s="45"/>
      <c r="E396" s="50"/>
      <c r="F396" s="51"/>
      <c r="G396" s="52"/>
      <c r="H396" s="52"/>
      <c r="I396" s="52" t="str">
        <f t="shared" si="22"/>
        <v/>
      </c>
      <c r="J396" s="54"/>
      <c r="K396" s="55" t="str">
        <f t="shared" si="23"/>
        <v/>
      </c>
      <c r="L396" s="54"/>
      <c r="M396" s="54"/>
      <c r="N396" s="54"/>
      <c r="O396" s="54"/>
      <c r="P396" s="54"/>
      <c r="S396" s="38"/>
      <c r="T396" s="38"/>
      <c r="U396" s="38"/>
      <c r="V396" s="37"/>
      <c r="W396" s="37"/>
      <c r="X396" s="37"/>
      <c r="Y396" s="37"/>
      <c r="Z396" s="37"/>
      <c r="AA396" s="37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</row>
    <row r="397" spans="1:52" ht="39.75" hidden="1" customHeight="1" x14ac:dyDescent="0.2">
      <c r="A397" s="45" t="str">
        <f t="shared" si="21"/>
        <v/>
      </c>
      <c r="B397" s="45"/>
      <c r="C397" s="45"/>
      <c r="D397" s="45"/>
      <c r="E397" s="50"/>
      <c r="F397" s="51"/>
      <c r="G397" s="52"/>
      <c r="H397" s="52"/>
      <c r="I397" s="52" t="str">
        <f t="shared" si="22"/>
        <v/>
      </c>
      <c r="J397" s="54"/>
      <c r="K397" s="55" t="str">
        <f t="shared" si="23"/>
        <v/>
      </c>
      <c r="L397" s="54"/>
      <c r="M397" s="54"/>
      <c r="N397" s="54"/>
      <c r="O397" s="54"/>
      <c r="P397" s="54"/>
      <c r="S397" s="38"/>
      <c r="T397" s="38"/>
      <c r="U397" s="38"/>
      <c r="V397" s="37"/>
      <c r="W397" s="37"/>
      <c r="X397" s="37"/>
      <c r="Y397" s="37"/>
      <c r="Z397" s="37"/>
      <c r="AA397" s="37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</row>
    <row r="398" spans="1:52" ht="39.75" hidden="1" customHeight="1" x14ac:dyDescent="0.2">
      <c r="A398" s="45" t="str">
        <f t="shared" si="21"/>
        <v/>
      </c>
      <c r="B398" s="45"/>
      <c r="C398" s="45"/>
      <c r="D398" s="45"/>
      <c r="E398" s="50"/>
      <c r="F398" s="51"/>
      <c r="G398" s="52"/>
      <c r="H398" s="52"/>
      <c r="I398" s="52" t="str">
        <f t="shared" si="22"/>
        <v/>
      </c>
      <c r="J398" s="54"/>
      <c r="K398" s="55" t="str">
        <f t="shared" si="23"/>
        <v/>
      </c>
      <c r="L398" s="54"/>
      <c r="M398" s="54"/>
      <c r="N398" s="54"/>
      <c r="O398" s="54"/>
      <c r="P398" s="54"/>
      <c r="S398" s="38"/>
      <c r="T398" s="38"/>
      <c r="U398" s="38"/>
      <c r="V398" s="37"/>
      <c r="W398" s="37"/>
      <c r="X398" s="37"/>
      <c r="Y398" s="37"/>
      <c r="Z398" s="37"/>
      <c r="AA398" s="37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</row>
    <row r="399" spans="1:52" ht="39.75" hidden="1" customHeight="1" x14ac:dyDescent="0.2">
      <c r="A399" s="45" t="str">
        <f t="shared" si="21"/>
        <v/>
      </c>
      <c r="B399" s="45"/>
      <c r="C399" s="45"/>
      <c r="D399" s="45"/>
      <c r="E399" s="50"/>
      <c r="F399" s="51"/>
      <c r="G399" s="52"/>
      <c r="H399" s="52"/>
      <c r="I399" s="52" t="str">
        <f t="shared" si="22"/>
        <v/>
      </c>
      <c r="J399" s="54"/>
      <c r="K399" s="55" t="str">
        <f t="shared" si="23"/>
        <v/>
      </c>
      <c r="L399" s="54"/>
      <c r="M399" s="54"/>
      <c r="N399" s="54"/>
      <c r="O399" s="54"/>
      <c r="P399" s="54"/>
      <c r="S399" s="38"/>
      <c r="T399" s="38"/>
      <c r="U399" s="38"/>
      <c r="V399" s="37"/>
      <c r="W399" s="37"/>
      <c r="X399" s="37"/>
      <c r="Y399" s="37"/>
      <c r="Z399" s="37"/>
      <c r="AA399" s="37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</row>
    <row r="400" spans="1:52" ht="39.75" hidden="1" customHeight="1" x14ac:dyDescent="0.2">
      <c r="A400" s="45" t="str">
        <f t="shared" si="21"/>
        <v/>
      </c>
      <c r="B400" s="45"/>
      <c r="C400" s="45"/>
      <c r="D400" s="45"/>
      <c r="E400" s="50"/>
      <c r="F400" s="51"/>
      <c r="G400" s="52"/>
      <c r="H400" s="52"/>
      <c r="I400" s="52" t="str">
        <f t="shared" si="22"/>
        <v/>
      </c>
      <c r="J400" s="54"/>
      <c r="K400" s="55" t="str">
        <f t="shared" si="23"/>
        <v/>
      </c>
      <c r="L400" s="54"/>
      <c r="M400" s="54"/>
      <c r="N400" s="54"/>
      <c r="O400" s="54"/>
      <c r="P400" s="54"/>
      <c r="S400" s="38"/>
      <c r="T400" s="38"/>
      <c r="U400" s="38"/>
      <c r="V400" s="37"/>
      <c r="W400" s="37"/>
      <c r="X400" s="37"/>
      <c r="Y400" s="37"/>
      <c r="Z400" s="37"/>
      <c r="AA400" s="37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</row>
    <row r="401" spans="1:52" ht="39.75" hidden="1" customHeight="1" x14ac:dyDescent="0.2">
      <c r="A401" s="45" t="str">
        <f t="shared" si="21"/>
        <v/>
      </c>
      <c r="B401" s="45"/>
      <c r="C401" s="45"/>
      <c r="D401" s="45"/>
      <c r="E401" s="50"/>
      <c r="F401" s="51"/>
      <c r="G401" s="52"/>
      <c r="H401" s="52"/>
      <c r="I401" s="52" t="str">
        <f t="shared" si="22"/>
        <v/>
      </c>
      <c r="J401" s="54"/>
      <c r="K401" s="55" t="str">
        <f t="shared" si="23"/>
        <v/>
      </c>
      <c r="L401" s="54"/>
      <c r="M401" s="54"/>
      <c r="N401" s="54"/>
      <c r="O401" s="54"/>
      <c r="P401" s="54"/>
      <c r="S401" s="38"/>
      <c r="T401" s="38"/>
      <c r="U401" s="38"/>
      <c r="V401" s="37"/>
      <c r="W401" s="37"/>
      <c r="X401" s="37"/>
      <c r="Y401" s="37"/>
      <c r="Z401" s="37"/>
      <c r="AA401" s="37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</row>
    <row r="402" spans="1:52" ht="39.75" hidden="1" customHeight="1" x14ac:dyDescent="0.2">
      <c r="A402" s="45" t="str">
        <f t="shared" si="21"/>
        <v/>
      </c>
      <c r="B402" s="45"/>
      <c r="C402" s="45"/>
      <c r="D402" s="45"/>
      <c r="E402" s="50"/>
      <c r="F402" s="51"/>
      <c r="G402" s="52"/>
      <c r="H402" s="52"/>
      <c r="I402" s="52" t="str">
        <f t="shared" si="22"/>
        <v/>
      </c>
      <c r="J402" s="54"/>
      <c r="K402" s="55" t="str">
        <f t="shared" si="23"/>
        <v/>
      </c>
      <c r="L402" s="54"/>
      <c r="M402" s="54"/>
      <c r="N402" s="54"/>
      <c r="O402" s="54"/>
      <c r="P402" s="54"/>
      <c r="S402" s="38"/>
      <c r="T402" s="38"/>
      <c r="U402" s="38"/>
      <c r="V402" s="37"/>
      <c r="W402" s="37"/>
      <c r="X402" s="37"/>
      <c r="Y402" s="37"/>
      <c r="Z402" s="37"/>
      <c r="AA402" s="37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</row>
    <row r="403" spans="1:52" ht="39.75" hidden="1" customHeight="1" x14ac:dyDescent="0.2">
      <c r="A403" s="45" t="str">
        <f t="shared" si="21"/>
        <v/>
      </c>
      <c r="B403" s="45"/>
      <c r="C403" s="45"/>
      <c r="D403" s="45"/>
      <c r="E403" s="50"/>
      <c r="F403" s="51"/>
      <c r="G403" s="52"/>
      <c r="H403" s="52"/>
      <c r="I403" s="52" t="str">
        <f t="shared" si="22"/>
        <v/>
      </c>
      <c r="J403" s="54"/>
      <c r="K403" s="55" t="str">
        <f t="shared" si="23"/>
        <v/>
      </c>
      <c r="L403" s="54"/>
      <c r="M403" s="54"/>
      <c r="N403" s="54"/>
      <c r="O403" s="54"/>
      <c r="P403" s="54"/>
      <c r="S403" s="38"/>
      <c r="T403" s="38"/>
      <c r="U403" s="38"/>
      <c r="V403" s="37"/>
      <c r="W403" s="37"/>
      <c r="X403" s="37"/>
      <c r="Y403" s="37"/>
      <c r="Z403" s="37"/>
      <c r="AA403" s="37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</row>
    <row r="404" spans="1:52" ht="39.75" hidden="1" customHeight="1" x14ac:dyDescent="0.2">
      <c r="A404" s="45" t="str">
        <f t="shared" si="21"/>
        <v/>
      </c>
      <c r="B404" s="45"/>
      <c r="C404" s="45"/>
      <c r="D404" s="45"/>
      <c r="E404" s="50"/>
      <c r="F404" s="51"/>
      <c r="G404" s="52"/>
      <c r="H404" s="52"/>
      <c r="I404" s="52" t="str">
        <f t="shared" si="22"/>
        <v/>
      </c>
      <c r="J404" s="54"/>
      <c r="K404" s="55" t="str">
        <f t="shared" si="23"/>
        <v/>
      </c>
      <c r="L404" s="54"/>
      <c r="M404" s="54"/>
      <c r="N404" s="54"/>
      <c r="O404" s="54"/>
      <c r="P404" s="54"/>
      <c r="S404" s="38"/>
      <c r="T404" s="38"/>
      <c r="U404" s="38"/>
      <c r="V404" s="37"/>
      <c r="W404" s="37"/>
      <c r="X404" s="37"/>
      <c r="Y404" s="37"/>
      <c r="Z404" s="37"/>
      <c r="AA404" s="37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</row>
    <row r="405" spans="1:52" ht="39.75" hidden="1" customHeight="1" x14ac:dyDescent="0.2">
      <c r="A405" s="45" t="str">
        <f t="shared" si="21"/>
        <v/>
      </c>
      <c r="B405" s="45"/>
      <c r="C405" s="45"/>
      <c r="D405" s="45"/>
      <c r="E405" s="50"/>
      <c r="F405" s="51"/>
      <c r="G405" s="52"/>
      <c r="H405" s="52"/>
      <c r="I405" s="52" t="str">
        <f t="shared" si="22"/>
        <v/>
      </c>
      <c r="J405" s="54"/>
      <c r="K405" s="55" t="str">
        <f t="shared" si="23"/>
        <v/>
      </c>
      <c r="L405" s="54"/>
      <c r="M405" s="54"/>
      <c r="N405" s="54"/>
      <c r="O405" s="54"/>
      <c r="P405" s="54"/>
      <c r="S405" s="38"/>
      <c r="T405" s="38"/>
      <c r="U405" s="38"/>
      <c r="V405" s="37"/>
      <c r="W405" s="37"/>
      <c r="X405" s="37"/>
      <c r="Y405" s="37"/>
      <c r="Z405" s="37"/>
      <c r="AA405" s="37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</row>
    <row r="406" spans="1:52" ht="39.75" hidden="1" customHeight="1" x14ac:dyDescent="0.2">
      <c r="A406" s="45" t="str">
        <f t="shared" si="21"/>
        <v/>
      </c>
      <c r="B406" s="45"/>
      <c r="C406" s="45"/>
      <c r="D406" s="45"/>
      <c r="E406" s="50"/>
      <c r="F406" s="51"/>
      <c r="G406" s="52"/>
      <c r="H406" s="52"/>
      <c r="I406" s="52" t="str">
        <f t="shared" si="22"/>
        <v/>
      </c>
      <c r="J406" s="54"/>
      <c r="K406" s="55" t="str">
        <f t="shared" si="23"/>
        <v/>
      </c>
      <c r="L406" s="54"/>
      <c r="M406" s="54"/>
      <c r="N406" s="54"/>
      <c r="O406" s="54"/>
      <c r="P406" s="54"/>
      <c r="S406" s="38"/>
      <c r="T406" s="38"/>
      <c r="U406" s="38"/>
      <c r="V406" s="37"/>
      <c r="W406" s="37"/>
      <c r="X406" s="37"/>
      <c r="Y406" s="37"/>
      <c r="Z406" s="37"/>
      <c r="AA406" s="37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</row>
    <row r="407" spans="1:52" ht="39.75" hidden="1" customHeight="1" x14ac:dyDescent="0.2">
      <c r="A407" s="45" t="str">
        <f t="shared" si="21"/>
        <v/>
      </c>
      <c r="B407" s="45"/>
      <c r="C407" s="45"/>
      <c r="D407" s="45"/>
      <c r="E407" s="50"/>
      <c r="F407" s="51"/>
      <c r="G407" s="52"/>
      <c r="H407" s="52"/>
      <c r="I407" s="52" t="str">
        <f t="shared" si="22"/>
        <v/>
      </c>
      <c r="J407" s="54"/>
      <c r="K407" s="55" t="str">
        <f t="shared" si="23"/>
        <v/>
      </c>
      <c r="L407" s="54"/>
      <c r="M407" s="54"/>
      <c r="N407" s="54"/>
      <c r="O407" s="54"/>
      <c r="P407" s="54"/>
      <c r="S407" s="38"/>
      <c r="T407" s="38"/>
      <c r="U407" s="38"/>
      <c r="V407" s="37"/>
      <c r="W407" s="37"/>
      <c r="X407" s="37"/>
      <c r="Y407" s="37"/>
      <c r="Z407" s="37"/>
      <c r="AA407" s="37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</row>
    <row r="408" spans="1:52" ht="39.75" hidden="1" customHeight="1" x14ac:dyDescent="0.2">
      <c r="A408" s="45" t="str">
        <f t="shared" si="21"/>
        <v/>
      </c>
      <c r="B408" s="45"/>
      <c r="C408" s="45"/>
      <c r="D408" s="45"/>
      <c r="E408" s="50"/>
      <c r="F408" s="51"/>
      <c r="G408" s="52"/>
      <c r="H408" s="52"/>
      <c r="I408" s="52" t="str">
        <f t="shared" si="22"/>
        <v/>
      </c>
      <c r="J408" s="54"/>
      <c r="K408" s="55" t="str">
        <f t="shared" si="23"/>
        <v/>
      </c>
      <c r="L408" s="54"/>
      <c r="M408" s="54"/>
      <c r="N408" s="54"/>
      <c r="O408" s="54"/>
      <c r="P408" s="54"/>
      <c r="S408" s="38"/>
      <c r="T408" s="38"/>
      <c r="U408" s="38"/>
      <c r="V408" s="37"/>
      <c r="W408" s="37"/>
      <c r="X408" s="37"/>
      <c r="Y408" s="37"/>
      <c r="Z408" s="37"/>
      <c r="AA408" s="37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</row>
    <row r="409" spans="1:52" ht="39.75" hidden="1" customHeight="1" x14ac:dyDescent="0.2">
      <c r="A409" s="45" t="str">
        <f t="shared" si="21"/>
        <v/>
      </c>
      <c r="B409" s="45"/>
      <c r="C409" s="45"/>
      <c r="D409" s="45"/>
      <c r="E409" s="50"/>
      <c r="F409" s="51"/>
      <c r="G409" s="52"/>
      <c r="H409" s="52"/>
      <c r="I409" s="52" t="str">
        <f t="shared" si="22"/>
        <v/>
      </c>
      <c r="J409" s="54"/>
      <c r="K409" s="55" t="str">
        <f t="shared" si="23"/>
        <v/>
      </c>
      <c r="L409" s="54"/>
      <c r="M409" s="54"/>
      <c r="N409" s="54"/>
      <c r="O409" s="54"/>
      <c r="P409" s="54"/>
      <c r="S409" s="38"/>
      <c r="T409" s="38"/>
      <c r="U409" s="38"/>
      <c r="V409" s="37"/>
      <c r="W409" s="37"/>
      <c r="X409" s="37"/>
      <c r="Y409" s="37"/>
      <c r="Z409" s="37"/>
      <c r="AA409" s="37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</row>
    <row r="410" spans="1:52" ht="39.75" hidden="1" customHeight="1" x14ac:dyDescent="0.2">
      <c r="A410" s="45" t="str">
        <f t="shared" si="21"/>
        <v/>
      </c>
      <c r="B410" s="45"/>
      <c r="C410" s="45"/>
      <c r="D410" s="45"/>
      <c r="E410" s="50"/>
      <c r="F410" s="51"/>
      <c r="G410" s="52"/>
      <c r="H410" s="52"/>
      <c r="I410" s="52" t="str">
        <f t="shared" si="22"/>
        <v/>
      </c>
      <c r="J410" s="54"/>
      <c r="K410" s="55" t="str">
        <f t="shared" si="23"/>
        <v/>
      </c>
      <c r="L410" s="54"/>
      <c r="M410" s="54"/>
      <c r="N410" s="54"/>
      <c r="O410" s="54"/>
      <c r="P410" s="54"/>
      <c r="S410" s="38"/>
      <c r="T410" s="38"/>
      <c r="U410" s="38"/>
      <c r="V410" s="37"/>
      <c r="W410" s="37"/>
      <c r="X410" s="37"/>
      <c r="Y410" s="37"/>
      <c r="Z410" s="37"/>
      <c r="AA410" s="37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</row>
    <row r="411" spans="1:52" ht="39.75" hidden="1" customHeight="1" x14ac:dyDescent="0.2">
      <c r="A411" s="45" t="str">
        <f t="shared" si="21"/>
        <v/>
      </c>
      <c r="B411" s="45"/>
      <c r="C411" s="45"/>
      <c r="D411" s="45"/>
      <c r="E411" s="50"/>
      <c r="F411" s="51"/>
      <c r="G411" s="52"/>
      <c r="H411" s="52"/>
      <c r="I411" s="52" t="str">
        <f t="shared" si="22"/>
        <v/>
      </c>
      <c r="J411" s="54"/>
      <c r="K411" s="55" t="str">
        <f t="shared" si="23"/>
        <v/>
      </c>
      <c r="L411" s="54"/>
      <c r="M411" s="54"/>
      <c r="N411" s="54"/>
      <c r="O411" s="54"/>
      <c r="P411" s="54"/>
      <c r="S411" s="38"/>
      <c r="T411" s="38"/>
      <c r="U411" s="38"/>
      <c r="V411" s="37"/>
      <c r="W411" s="37"/>
      <c r="X411" s="37"/>
      <c r="Y411" s="37"/>
      <c r="Z411" s="37"/>
      <c r="AA411" s="37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</row>
    <row r="412" spans="1:52" ht="39.75" hidden="1" customHeight="1" x14ac:dyDescent="0.2">
      <c r="A412" s="45" t="str">
        <f t="shared" si="21"/>
        <v/>
      </c>
      <c r="B412" s="45"/>
      <c r="C412" s="45"/>
      <c r="D412" s="45"/>
      <c r="E412" s="50"/>
      <c r="F412" s="51"/>
      <c r="G412" s="52"/>
      <c r="H412" s="52"/>
      <c r="I412" s="52" t="str">
        <f t="shared" si="22"/>
        <v/>
      </c>
      <c r="J412" s="54"/>
      <c r="K412" s="55" t="str">
        <f t="shared" si="23"/>
        <v/>
      </c>
      <c r="L412" s="54"/>
      <c r="M412" s="54"/>
      <c r="N412" s="54"/>
      <c r="O412" s="54"/>
      <c r="P412" s="54"/>
      <c r="S412" s="38"/>
      <c r="T412" s="38"/>
      <c r="U412" s="38"/>
      <c r="V412" s="37"/>
      <c r="W412" s="37"/>
      <c r="X412" s="37"/>
      <c r="Y412" s="37"/>
      <c r="Z412" s="37"/>
      <c r="AA412" s="37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</row>
    <row r="413" spans="1:52" ht="39.75" hidden="1" customHeight="1" x14ac:dyDescent="0.2">
      <c r="A413" s="45" t="str">
        <f t="shared" si="21"/>
        <v/>
      </c>
      <c r="B413" s="45"/>
      <c r="C413" s="45"/>
      <c r="D413" s="45"/>
      <c r="E413" s="50"/>
      <c r="F413" s="51"/>
      <c r="G413" s="52"/>
      <c r="H413" s="52"/>
      <c r="I413" s="52" t="str">
        <f t="shared" si="22"/>
        <v/>
      </c>
      <c r="J413" s="54"/>
      <c r="K413" s="55" t="str">
        <f t="shared" si="23"/>
        <v/>
      </c>
      <c r="L413" s="54"/>
      <c r="M413" s="54"/>
      <c r="N413" s="54"/>
      <c r="O413" s="54"/>
      <c r="P413" s="54"/>
      <c r="S413" s="38"/>
      <c r="T413" s="38"/>
      <c r="U413" s="38"/>
      <c r="V413" s="37"/>
      <c r="W413" s="37"/>
      <c r="X413" s="37"/>
      <c r="Y413" s="37"/>
      <c r="Z413" s="37"/>
      <c r="AA413" s="37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</row>
    <row r="414" spans="1:52" ht="39.75" hidden="1" customHeight="1" x14ac:dyDescent="0.2">
      <c r="A414" s="45" t="str">
        <f t="shared" si="21"/>
        <v/>
      </c>
      <c r="B414" s="45"/>
      <c r="C414" s="45"/>
      <c r="D414" s="45"/>
      <c r="E414" s="50"/>
      <c r="F414" s="51"/>
      <c r="G414" s="52"/>
      <c r="H414" s="52"/>
      <c r="I414" s="52" t="str">
        <f t="shared" si="22"/>
        <v/>
      </c>
      <c r="J414" s="54"/>
      <c r="K414" s="55" t="str">
        <f t="shared" si="23"/>
        <v/>
      </c>
      <c r="L414" s="54"/>
      <c r="M414" s="54"/>
      <c r="N414" s="54"/>
      <c r="O414" s="54"/>
      <c r="P414" s="54"/>
      <c r="S414" s="38"/>
      <c r="T414" s="38"/>
      <c r="U414" s="38"/>
      <c r="V414" s="37"/>
      <c r="W414" s="37"/>
      <c r="X414" s="37"/>
      <c r="Y414" s="37"/>
      <c r="Z414" s="37"/>
      <c r="AA414" s="37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</row>
    <row r="415" spans="1:52" ht="39.75" hidden="1" customHeight="1" x14ac:dyDescent="0.2">
      <c r="A415" s="45" t="str">
        <f t="shared" si="21"/>
        <v/>
      </c>
      <c r="B415" s="45"/>
      <c r="C415" s="45"/>
      <c r="D415" s="45"/>
      <c r="E415" s="50"/>
      <c r="F415" s="51"/>
      <c r="G415" s="52"/>
      <c r="H415" s="52"/>
      <c r="I415" s="52" t="str">
        <f t="shared" si="22"/>
        <v/>
      </c>
      <c r="J415" s="54"/>
      <c r="K415" s="55" t="str">
        <f t="shared" si="23"/>
        <v/>
      </c>
      <c r="L415" s="54"/>
      <c r="M415" s="54"/>
      <c r="N415" s="54"/>
      <c r="O415" s="54"/>
      <c r="P415" s="54"/>
      <c r="S415" s="38"/>
      <c r="T415" s="38"/>
      <c r="U415" s="38"/>
      <c r="V415" s="37"/>
      <c r="W415" s="37"/>
      <c r="X415" s="37"/>
      <c r="Y415" s="37"/>
      <c r="Z415" s="37"/>
      <c r="AA415" s="37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</row>
    <row r="416" spans="1:52" ht="39.75" hidden="1" customHeight="1" x14ac:dyDescent="0.2">
      <c r="A416" s="45" t="str">
        <f t="shared" si="21"/>
        <v/>
      </c>
      <c r="B416" s="45"/>
      <c r="C416" s="45"/>
      <c r="D416" s="45"/>
      <c r="E416" s="50"/>
      <c r="F416" s="51"/>
      <c r="G416" s="52"/>
      <c r="H416" s="52"/>
      <c r="I416" s="52" t="str">
        <f t="shared" si="22"/>
        <v/>
      </c>
      <c r="J416" s="54"/>
      <c r="K416" s="55" t="str">
        <f t="shared" si="23"/>
        <v/>
      </c>
      <c r="L416" s="54"/>
      <c r="M416" s="54"/>
      <c r="N416" s="54"/>
      <c r="O416" s="54"/>
      <c r="P416" s="54"/>
      <c r="S416" s="38"/>
      <c r="T416" s="38"/>
      <c r="U416" s="38"/>
      <c r="V416" s="37"/>
      <c r="W416" s="37"/>
      <c r="X416" s="37"/>
      <c r="Y416" s="37"/>
      <c r="Z416" s="37"/>
      <c r="AA416" s="37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</row>
    <row r="417" spans="1:52" ht="39.75" hidden="1" customHeight="1" x14ac:dyDescent="0.2">
      <c r="A417" s="45" t="str">
        <f t="shared" si="21"/>
        <v/>
      </c>
      <c r="B417" s="45"/>
      <c r="C417" s="45"/>
      <c r="D417" s="45"/>
      <c r="E417" s="50"/>
      <c r="F417" s="51"/>
      <c r="G417" s="52"/>
      <c r="H417" s="52"/>
      <c r="I417" s="52" t="str">
        <f t="shared" si="22"/>
        <v/>
      </c>
      <c r="J417" s="54"/>
      <c r="K417" s="55" t="str">
        <f t="shared" si="23"/>
        <v/>
      </c>
      <c r="L417" s="54"/>
      <c r="M417" s="54"/>
      <c r="N417" s="54"/>
      <c r="O417" s="54"/>
      <c r="P417" s="54"/>
      <c r="S417" s="38"/>
      <c r="T417" s="38"/>
      <c r="U417" s="38"/>
      <c r="V417" s="37"/>
      <c r="W417" s="37"/>
      <c r="X417" s="37"/>
      <c r="Y417" s="37"/>
      <c r="Z417" s="37"/>
      <c r="AA417" s="37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</row>
    <row r="418" spans="1:52" ht="39.75" hidden="1" customHeight="1" x14ac:dyDescent="0.2">
      <c r="A418" s="45" t="str">
        <f t="shared" si="21"/>
        <v/>
      </c>
      <c r="B418" s="45"/>
      <c r="C418" s="45"/>
      <c r="D418" s="45"/>
      <c r="E418" s="50"/>
      <c r="F418" s="51"/>
      <c r="G418" s="52"/>
      <c r="H418" s="52"/>
      <c r="I418" s="52" t="str">
        <f t="shared" si="22"/>
        <v/>
      </c>
      <c r="J418" s="54"/>
      <c r="K418" s="55" t="str">
        <f t="shared" si="23"/>
        <v/>
      </c>
      <c r="L418" s="54"/>
      <c r="M418" s="54"/>
      <c r="N418" s="54"/>
      <c r="O418" s="54"/>
      <c r="P418" s="54"/>
      <c r="S418" s="38"/>
      <c r="T418" s="38"/>
      <c r="U418" s="38"/>
      <c r="V418" s="37"/>
      <c r="W418" s="37"/>
      <c r="X418" s="37"/>
      <c r="Y418" s="37"/>
      <c r="Z418" s="37"/>
      <c r="AA418" s="37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</row>
    <row r="419" spans="1:52" ht="39.75" hidden="1" customHeight="1" x14ac:dyDescent="0.2">
      <c r="A419" s="45" t="str">
        <f t="shared" si="21"/>
        <v/>
      </c>
      <c r="B419" s="45"/>
      <c r="C419" s="45"/>
      <c r="D419" s="45"/>
      <c r="E419" s="50"/>
      <c r="F419" s="51"/>
      <c r="G419" s="52"/>
      <c r="H419" s="52"/>
      <c r="I419" s="52" t="str">
        <f t="shared" si="22"/>
        <v/>
      </c>
      <c r="J419" s="54"/>
      <c r="K419" s="55" t="str">
        <f t="shared" si="23"/>
        <v/>
      </c>
      <c r="L419" s="54"/>
      <c r="M419" s="54"/>
      <c r="N419" s="54"/>
      <c r="O419" s="54"/>
      <c r="P419" s="54"/>
      <c r="S419" s="38"/>
      <c r="T419" s="38"/>
      <c r="U419" s="38"/>
      <c r="V419" s="37"/>
      <c r="W419" s="37"/>
      <c r="X419" s="37"/>
      <c r="Y419" s="37"/>
      <c r="Z419" s="37"/>
      <c r="AA419" s="37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</row>
    <row r="420" spans="1:52" ht="39.75" hidden="1" customHeight="1" x14ac:dyDescent="0.2">
      <c r="A420" s="45" t="str">
        <f t="shared" si="21"/>
        <v/>
      </c>
      <c r="B420" s="45"/>
      <c r="C420" s="45"/>
      <c r="D420" s="45"/>
      <c r="E420" s="50"/>
      <c r="F420" s="51"/>
      <c r="G420" s="52"/>
      <c r="H420" s="52"/>
      <c r="I420" s="52" t="str">
        <f t="shared" si="22"/>
        <v/>
      </c>
      <c r="J420" s="54"/>
      <c r="K420" s="55" t="str">
        <f t="shared" si="23"/>
        <v/>
      </c>
      <c r="L420" s="54"/>
      <c r="M420" s="54"/>
      <c r="N420" s="54"/>
      <c r="O420" s="54"/>
      <c r="P420" s="54"/>
      <c r="S420" s="38"/>
      <c r="T420" s="38"/>
      <c r="U420" s="38"/>
      <c r="V420" s="37"/>
      <c r="W420" s="37"/>
      <c r="X420" s="37"/>
      <c r="Y420" s="37"/>
      <c r="Z420" s="37"/>
      <c r="AA420" s="37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</row>
    <row r="421" spans="1:52" ht="39.75" hidden="1" customHeight="1" x14ac:dyDescent="0.2">
      <c r="A421" s="45" t="str">
        <f t="shared" si="21"/>
        <v/>
      </c>
      <c r="B421" s="45"/>
      <c r="C421" s="45"/>
      <c r="D421" s="45"/>
      <c r="E421" s="50"/>
      <c r="F421" s="51"/>
      <c r="G421" s="52"/>
      <c r="H421" s="52"/>
      <c r="I421" s="52" t="str">
        <f t="shared" si="22"/>
        <v/>
      </c>
      <c r="J421" s="54"/>
      <c r="K421" s="55" t="str">
        <f t="shared" si="23"/>
        <v/>
      </c>
      <c r="L421" s="54"/>
      <c r="M421" s="54"/>
      <c r="N421" s="54"/>
      <c r="O421" s="54"/>
      <c r="P421" s="54"/>
      <c r="S421" s="38"/>
      <c r="T421" s="38"/>
      <c r="U421" s="38"/>
      <c r="V421" s="37"/>
      <c r="W421" s="37"/>
      <c r="X421" s="37"/>
      <c r="Y421" s="37"/>
      <c r="Z421" s="37"/>
      <c r="AA421" s="37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</row>
    <row r="422" spans="1:52" ht="39.75" hidden="1" customHeight="1" x14ac:dyDescent="0.2">
      <c r="A422" s="45" t="str">
        <f t="shared" si="21"/>
        <v/>
      </c>
      <c r="B422" s="45"/>
      <c r="C422" s="45"/>
      <c r="D422" s="45"/>
      <c r="E422" s="50"/>
      <c r="F422" s="51"/>
      <c r="G422" s="52"/>
      <c r="H422" s="52"/>
      <c r="I422" s="52" t="str">
        <f t="shared" si="22"/>
        <v/>
      </c>
      <c r="J422" s="54"/>
      <c r="K422" s="55" t="str">
        <f t="shared" si="23"/>
        <v/>
      </c>
      <c r="L422" s="54"/>
      <c r="M422" s="54"/>
      <c r="N422" s="54"/>
      <c r="O422" s="54"/>
      <c r="P422" s="54"/>
      <c r="S422" s="38"/>
      <c r="T422" s="38"/>
      <c r="U422" s="38"/>
      <c r="V422" s="37"/>
      <c r="W422" s="37"/>
      <c r="X422" s="37"/>
      <c r="Y422" s="37"/>
      <c r="Z422" s="37"/>
      <c r="AA422" s="37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</row>
    <row r="423" spans="1:52" ht="39.75" hidden="1" customHeight="1" x14ac:dyDescent="0.2">
      <c r="A423" s="45" t="str">
        <f t="shared" si="21"/>
        <v/>
      </c>
      <c r="B423" s="45"/>
      <c r="C423" s="45"/>
      <c r="D423" s="45"/>
      <c r="E423" s="50"/>
      <c r="F423" s="51"/>
      <c r="G423" s="52"/>
      <c r="H423" s="52"/>
      <c r="I423" s="52" t="str">
        <f t="shared" si="22"/>
        <v/>
      </c>
      <c r="J423" s="54"/>
      <c r="K423" s="55" t="str">
        <f t="shared" si="23"/>
        <v/>
      </c>
      <c r="L423" s="54"/>
      <c r="M423" s="54"/>
      <c r="N423" s="54"/>
      <c r="O423" s="54"/>
      <c r="P423" s="54"/>
      <c r="S423" s="38"/>
      <c r="T423" s="38"/>
      <c r="U423" s="38"/>
      <c r="V423" s="37"/>
      <c r="W423" s="37"/>
      <c r="X423" s="37"/>
      <c r="Y423" s="37"/>
      <c r="Z423" s="37"/>
      <c r="AA423" s="37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</row>
    <row r="424" spans="1:52" ht="39.75" hidden="1" customHeight="1" x14ac:dyDescent="0.2">
      <c r="A424" s="45" t="str">
        <f t="shared" si="21"/>
        <v/>
      </c>
      <c r="B424" s="45"/>
      <c r="C424" s="45"/>
      <c r="D424" s="45"/>
      <c r="E424" s="50"/>
      <c r="F424" s="51"/>
      <c r="G424" s="52"/>
      <c r="H424" s="52"/>
      <c r="I424" s="52" t="str">
        <f t="shared" si="22"/>
        <v/>
      </c>
      <c r="J424" s="54"/>
      <c r="K424" s="55" t="str">
        <f t="shared" si="23"/>
        <v/>
      </c>
      <c r="L424" s="54"/>
      <c r="M424" s="54"/>
      <c r="N424" s="54"/>
      <c r="O424" s="54"/>
      <c r="P424" s="54"/>
      <c r="S424" s="38"/>
      <c r="T424" s="38"/>
      <c r="U424" s="38"/>
      <c r="V424" s="37"/>
      <c r="W424" s="37"/>
      <c r="X424" s="37"/>
      <c r="Y424" s="37"/>
      <c r="Z424" s="37"/>
      <c r="AA424" s="37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</row>
    <row r="425" spans="1:52" ht="39.75" hidden="1" customHeight="1" x14ac:dyDescent="0.2">
      <c r="A425" s="45" t="str">
        <f t="shared" si="21"/>
        <v/>
      </c>
      <c r="B425" s="45"/>
      <c r="C425" s="45"/>
      <c r="D425" s="45"/>
      <c r="E425" s="50"/>
      <c r="F425" s="51"/>
      <c r="G425" s="52"/>
      <c r="H425" s="52"/>
      <c r="I425" s="52" t="str">
        <f t="shared" si="22"/>
        <v/>
      </c>
      <c r="J425" s="54"/>
      <c r="K425" s="55" t="str">
        <f t="shared" si="23"/>
        <v/>
      </c>
      <c r="L425" s="54"/>
      <c r="M425" s="54"/>
      <c r="N425" s="54"/>
      <c r="O425" s="54"/>
      <c r="P425" s="54"/>
      <c r="S425" s="38"/>
      <c r="T425" s="38"/>
      <c r="U425" s="38"/>
      <c r="V425" s="37"/>
      <c r="W425" s="37"/>
      <c r="X425" s="37"/>
      <c r="Y425" s="37"/>
      <c r="Z425" s="37"/>
      <c r="AA425" s="37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</row>
    <row r="426" spans="1:52" ht="39.75" hidden="1" customHeight="1" x14ac:dyDescent="0.2">
      <c r="A426" s="45" t="str">
        <f t="shared" si="21"/>
        <v/>
      </c>
      <c r="B426" s="45"/>
      <c r="C426" s="45"/>
      <c r="D426" s="45"/>
      <c r="E426" s="50"/>
      <c r="F426" s="51"/>
      <c r="G426" s="52"/>
      <c r="H426" s="52"/>
      <c r="I426" s="52" t="str">
        <f t="shared" si="22"/>
        <v/>
      </c>
      <c r="J426" s="54"/>
      <c r="K426" s="55" t="str">
        <f t="shared" si="23"/>
        <v/>
      </c>
      <c r="L426" s="54"/>
      <c r="M426" s="54"/>
      <c r="N426" s="54"/>
      <c r="O426" s="54"/>
      <c r="P426" s="54"/>
      <c r="S426" s="38"/>
      <c r="T426" s="38"/>
      <c r="U426" s="38"/>
      <c r="V426" s="37"/>
      <c r="W426" s="37"/>
      <c r="X426" s="37"/>
      <c r="Y426" s="37"/>
      <c r="Z426" s="37"/>
      <c r="AA426" s="37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</row>
    <row r="427" spans="1:52" ht="39.75" hidden="1" customHeight="1" x14ac:dyDescent="0.2">
      <c r="A427" s="45" t="str">
        <f t="shared" si="21"/>
        <v/>
      </c>
      <c r="B427" s="45"/>
      <c r="C427" s="45"/>
      <c r="D427" s="45"/>
      <c r="E427" s="50"/>
      <c r="F427" s="51"/>
      <c r="G427" s="52"/>
      <c r="H427" s="52"/>
      <c r="I427" s="52" t="str">
        <f t="shared" si="22"/>
        <v/>
      </c>
      <c r="J427" s="54"/>
      <c r="K427" s="55" t="str">
        <f t="shared" si="23"/>
        <v/>
      </c>
      <c r="L427" s="54"/>
      <c r="M427" s="54"/>
      <c r="N427" s="54"/>
      <c r="O427" s="54"/>
      <c r="P427" s="54"/>
      <c r="S427" s="38"/>
      <c r="T427" s="38"/>
      <c r="U427" s="38"/>
      <c r="V427" s="37"/>
      <c r="W427" s="37"/>
      <c r="X427" s="37"/>
      <c r="Y427" s="37"/>
      <c r="Z427" s="37"/>
      <c r="AA427" s="37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</row>
    <row r="428" spans="1:52" ht="39.75" hidden="1" customHeight="1" x14ac:dyDescent="0.2">
      <c r="A428" s="45" t="str">
        <f t="shared" si="21"/>
        <v/>
      </c>
      <c r="B428" s="45"/>
      <c r="C428" s="45"/>
      <c r="D428" s="45"/>
      <c r="E428" s="50"/>
      <c r="F428" s="51"/>
      <c r="G428" s="52"/>
      <c r="H428" s="52"/>
      <c r="I428" s="52" t="str">
        <f t="shared" si="22"/>
        <v/>
      </c>
      <c r="J428" s="54"/>
      <c r="K428" s="55" t="str">
        <f t="shared" si="23"/>
        <v/>
      </c>
      <c r="L428" s="54"/>
      <c r="M428" s="54"/>
      <c r="N428" s="54"/>
      <c r="O428" s="54"/>
      <c r="P428" s="54"/>
      <c r="S428" s="38"/>
      <c r="T428" s="38"/>
      <c r="U428" s="38"/>
      <c r="V428" s="37"/>
      <c r="W428" s="37"/>
      <c r="X428" s="37"/>
      <c r="Y428" s="37"/>
      <c r="Z428" s="37"/>
      <c r="AA428" s="37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</row>
    <row r="429" spans="1:52" ht="39.75" hidden="1" customHeight="1" x14ac:dyDescent="0.2">
      <c r="A429" s="45" t="str">
        <f t="shared" si="21"/>
        <v/>
      </c>
      <c r="B429" s="45"/>
      <c r="C429" s="45"/>
      <c r="D429" s="45"/>
      <c r="E429" s="50"/>
      <c r="F429" s="51"/>
      <c r="G429" s="52"/>
      <c r="H429" s="52"/>
      <c r="I429" s="52" t="str">
        <f t="shared" si="22"/>
        <v/>
      </c>
      <c r="J429" s="54"/>
      <c r="K429" s="55" t="str">
        <f t="shared" si="23"/>
        <v/>
      </c>
      <c r="L429" s="54"/>
      <c r="M429" s="54"/>
      <c r="N429" s="54"/>
      <c r="O429" s="54"/>
      <c r="P429" s="54"/>
      <c r="S429" s="38"/>
      <c r="T429" s="38"/>
      <c r="U429" s="38"/>
      <c r="V429" s="37"/>
      <c r="W429" s="37"/>
      <c r="X429" s="37"/>
      <c r="Y429" s="37"/>
      <c r="Z429" s="37"/>
      <c r="AA429" s="37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</row>
    <row r="430" spans="1:52" ht="39.75" hidden="1" customHeight="1" x14ac:dyDescent="0.2">
      <c r="A430" s="45" t="str">
        <f t="shared" si="21"/>
        <v/>
      </c>
      <c r="B430" s="45"/>
      <c r="C430" s="45"/>
      <c r="D430" s="45"/>
      <c r="E430" s="50"/>
      <c r="F430" s="51"/>
      <c r="G430" s="52"/>
      <c r="H430" s="52"/>
      <c r="I430" s="52" t="str">
        <f t="shared" si="22"/>
        <v/>
      </c>
      <c r="J430" s="54"/>
      <c r="K430" s="55" t="str">
        <f t="shared" si="23"/>
        <v/>
      </c>
      <c r="L430" s="54"/>
      <c r="M430" s="54"/>
      <c r="N430" s="54"/>
      <c r="O430" s="54"/>
      <c r="P430" s="54"/>
      <c r="S430" s="38"/>
      <c r="T430" s="38"/>
      <c r="U430" s="38"/>
      <c r="V430" s="37"/>
      <c r="W430" s="37"/>
      <c r="X430" s="37"/>
      <c r="Y430" s="37"/>
      <c r="Z430" s="37"/>
      <c r="AA430" s="37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</row>
    <row r="431" spans="1:52" ht="39.75" hidden="1" customHeight="1" x14ac:dyDescent="0.2">
      <c r="A431" s="45" t="str">
        <f t="shared" si="21"/>
        <v/>
      </c>
      <c r="B431" s="45"/>
      <c r="C431" s="45"/>
      <c r="D431" s="45"/>
      <c r="E431" s="50"/>
      <c r="F431" s="51"/>
      <c r="G431" s="52"/>
      <c r="H431" s="52"/>
      <c r="I431" s="52" t="str">
        <f t="shared" si="22"/>
        <v/>
      </c>
      <c r="J431" s="54"/>
      <c r="K431" s="55" t="str">
        <f t="shared" si="23"/>
        <v/>
      </c>
      <c r="L431" s="54"/>
      <c r="M431" s="54"/>
      <c r="N431" s="54"/>
      <c r="O431" s="54"/>
      <c r="P431" s="54"/>
      <c r="S431" s="38"/>
      <c r="T431" s="38"/>
      <c r="U431" s="38"/>
      <c r="V431" s="37"/>
      <c r="W431" s="37"/>
      <c r="X431" s="37"/>
      <c r="Y431" s="37"/>
      <c r="Z431" s="37"/>
      <c r="AA431" s="37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</row>
    <row r="432" spans="1:52" ht="39.75" hidden="1" customHeight="1" x14ac:dyDescent="0.2">
      <c r="A432" s="45" t="str">
        <f t="shared" si="21"/>
        <v/>
      </c>
      <c r="B432" s="45"/>
      <c r="C432" s="45"/>
      <c r="D432" s="45"/>
      <c r="E432" s="50"/>
      <c r="F432" s="51"/>
      <c r="G432" s="52"/>
      <c r="H432" s="52"/>
      <c r="I432" s="52" t="str">
        <f t="shared" si="22"/>
        <v/>
      </c>
      <c r="J432" s="54"/>
      <c r="K432" s="55" t="str">
        <f t="shared" si="23"/>
        <v/>
      </c>
      <c r="L432" s="54"/>
      <c r="M432" s="54"/>
      <c r="N432" s="54"/>
      <c r="O432" s="54"/>
      <c r="P432" s="54"/>
      <c r="S432" s="38"/>
      <c r="T432" s="38"/>
      <c r="U432" s="38"/>
      <c r="V432" s="37"/>
      <c r="W432" s="37"/>
      <c r="X432" s="37"/>
      <c r="Y432" s="37"/>
      <c r="Z432" s="37"/>
      <c r="AA432" s="37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</row>
    <row r="433" spans="1:52" ht="39.75" hidden="1" customHeight="1" x14ac:dyDescent="0.2">
      <c r="A433" s="45" t="str">
        <f t="shared" si="21"/>
        <v/>
      </c>
      <c r="B433" s="45"/>
      <c r="C433" s="45"/>
      <c r="D433" s="45"/>
      <c r="E433" s="50"/>
      <c r="F433" s="51"/>
      <c r="G433" s="52"/>
      <c r="H433" s="52"/>
      <c r="I433" s="52" t="str">
        <f t="shared" si="22"/>
        <v/>
      </c>
      <c r="J433" s="54"/>
      <c r="K433" s="55" t="str">
        <f t="shared" si="23"/>
        <v/>
      </c>
      <c r="L433" s="54"/>
      <c r="M433" s="54"/>
      <c r="N433" s="54"/>
      <c r="O433" s="54"/>
      <c r="P433" s="54"/>
      <c r="S433" s="38"/>
      <c r="T433" s="38"/>
      <c r="U433" s="38"/>
      <c r="V433" s="37"/>
      <c r="W433" s="37"/>
      <c r="X433" s="37"/>
      <c r="Y433" s="37"/>
      <c r="Z433" s="37"/>
      <c r="AA433" s="37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</row>
    <row r="434" spans="1:52" ht="39.75" hidden="1" customHeight="1" x14ac:dyDescent="0.2">
      <c r="A434" s="45" t="str">
        <f t="shared" si="21"/>
        <v/>
      </c>
      <c r="B434" s="45"/>
      <c r="C434" s="45"/>
      <c r="D434" s="45"/>
      <c r="E434" s="50"/>
      <c r="F434" s="51"/>
      <c r="G434" s="52"/>
      <c r="H434" s="52"/>
      <c r="I434" s="52" t="str">
        <f t="shared" si="22"/>
        <v/>
      </c>
      <c r="J434" s="54"/>
      <c r="K434" s="55" t="str">
        <f t="shared" si="23"/>
        <v/>
      </c>
      <c r="L434" s="54"/>
      <c r="M434" s="54"/>
      <c r="N434" s="54"/>
      <c r="O434" s="54"/>
      <c r="P434" s="54"/>
      <c r="S434" s="38"/>
      <c r="T434" s="38"/>
      <c r="U434" s="38"/>
      <c r="V434" s="37"/>
      <c r="W434" s="37"/>
      <c r="X434" s="37"/>
      <c r="Y434" s="37"/>
      <c r="Z434" s="37"/>
      <c r="AA434" s="37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</row>
    <row r="435" spans="1:52" ht="39.75" hidden="1" customHeight="1" x14ac:dyDescent="0.2">
      <c r="A435" s="45" t="str">
        <f t="shared" si="21"/>
        <v/>
      </c>
      <c r="B435" s="45"/>
      <c r="C435" s="45"/>
      <c r="D435" s="45"/>
      <c r="E435" s="50"/>
      <c r="F435" s="51"/>
      <c r="G435" s="52"/>
      <c r="H435" s="52"/>
      <c r="I435" s="52" t="str">
        <f t="shared" si="22"/>
        <v/>
      </c>
      <c r="J435" s="54"/>
      <c r="K435" s="55" t="str">
        <f t="shared" si="23"/>
        <v/>
      </c>
      <c r="L435" s="54"/>
      <c r="M435" s="54"/>
      <c r="N435" s="54"/>
      <c r="O435" s="54"/>
      <c r="P435" s="54"/>
      <c r="S435" s="38"/>
      <c r="T435" s="38"/>
      <c r="U435" s="38"/>
      <c r="V435" s="37"/>
      <c r="W435" s="37"/>
      <c r="X435" s="37"/>
      <c r="Y435" s="37"/>
      <c r="Z435" s="37"/>
      <c r="AA435" s="37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</row>
    <row r="436" spans="1:52" ht="39.75" hidden="1" customHeight="1" x14ac:dyDescent="0.2">
      <c r="A436" s="45" t="str">
        <f t="shared" si="21"/>
        <v/>
      </c>
      <c r="B436" s="45"/>
      <c r="C436" s="45"/>
      <c r="D436" s="45"/>
      <c r="E436" s="50"/>
      <c r="F436" s="51"/>
      <c r="G436" s="52"/>
      <c r="H436" s="52"/>
      <c r="I436" s="52" t="str">
        <f t="shared" si="22"/>
        <v/>
      </c>
      <c r="J436" s="54"/>
      <c r="K436" s="55" t="str">
        <f t="shared" si="23"/>
        <v/>
      </c>
      <c r="L436" s="54"/>
      <c r="M436" s="54"/>
      <c r="N436" s="54"/>
      <c r="O436" s="54"/>
      <c r="P436" s="54"/>
      <c r="S436" s="38"/>
      <c r="T436" s="38"/>
      <c r="U436" s="38"/>
      <c r="V436" s="37"/>
      <c r="W436" s="37"/>
      <c r="X436" s="37"/>
      <c r="Y436" s="37"/>
      <c r="Z436" s="37"/>
      <c r="AA436" s="37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</row>
    <row r="437" spans="1:52" ht="39.75" hidden="1" customHeight="1" x14ac:dyDescent="0.2">
      <c r="A437" s="45" t="str">
        <f t="shared" si="21"/>
        <v/>
      </c>
      <c r="B437" s="45"/>
      <c r="C437" s="45"/>
      <c r="D437" s="45"/>
      <c r="E437" s="50"/>
      <c r="F437" s="51"/>
      <c r="G437" s="52"/>
      <c r="H437" s="52"/>
      <c r="I437" s="52" t="str">
        <f t="shared" si="22"/>
        <v/>
      </c>
      <c r="J437" s="54"/>
      <c r="K437" s="55" t="str">
        <f t="shared" si="23"/>
        <v/>
      </c>
      <c r="L437" s="54"/>
      <c r="M437" s="54"/>
      <c r="N437" s="54"/>
      <c r="O437" s="54"/>
      <c r="P437" s="54"/>
      <c r="S437" s="38"/>
      <c r="T437" s="38"/>
      <c r="U437" s="38"/>
      <c r="V437" s="37"/>
      <c r="W437" s="37"/>
      <c r="X437" s="37"/>
      <c r="Y437" s="37"/>
      <c r="Z437" s="37"/>
      <c r="AA437" s="37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</row>
    <row r="438" spans="1:52" ht="39.75" hidden="1" customHeight="1" x14ac:dyDescent="0.2">
      <c r="A438" s="45" t="str">
        <f t="shared" si="21"/>
        <v/>
      </c>
      <c r="B438" s="45"/>
      <c r="C438" s="45"/>
      <c r="D438" s="45"/>
      <c r="E438" s="50"/>
      <c r="F438" s="51"/>
      <c r="G438" s="52"/>
      <c r="H438" s="52"/>
      <c r="I438" s="52" t="str">
        <f t="shared" si="22"/>
        <v/>
      </c>
      <c r="J438" s="54"/>
      <c r="K438" s="55" t="str">
        <f t="shared" si="23"/>
        <v/>
      </c>
      <c r="L438" s="54"/>
      <c r="M438" s="54"/>
      <c r="N438" s="54"/>
      <c r="O438" s="54"/>
      <c r="P438" s="54"/>
      <c r="S438" s="38"/>
      <c r="T438" s="38"/>
      <c r="U438" s="38"/>
      <c r="V438" s="37"/>
      <c r="W438" s="37"/>
      <c r="X438" s="37"/>
      <c r="Y438" s="37"/>
      <c r="Z438" s="37"/>
      <c r="AA438" s="37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</row>
    <row r="439" spans="1:52" ht="39.75" hidden="1" customHeight="1" x14ac:dyDescent="0.2">
      <c r="A439" s="45" t="str">
        <f t="shared" si="21"/>
        <v/>
      </c>
      <c r="B439" s="45"/>
      <c r="C439" s="45"/>
      <c r="D439" s="45"/>
      <c r="E439" s="50"/>
      <c r="F439" s="51"/>
      <c r="G439" s="52"/>
      <c r="H439" s="52"/>
      <c r="I439" s="52" t="str">
        <f t="shared" si="22"/>
        <v/>
      </c>
      <c r="J439" s="54"/>
      <c r="K439" s="55" t="str">
        <f t="shared" si="23"/>
        <v/>
      </c>
      <c r="L439" s="54"/>
      <c r="M439" s="54"/>
      <c r="N439" s="54"/>
      <c r="O439" s="54"/>
      <c r="P439" s="54"/>
      <c r="S439" s="38"/>
      <c r="T439" s="38"/>
      <c r="U439" s="38"/>
      <c r="V439" s="37"/>
      <c r="W439" s="37"/>
      <c r="X439" s="37"/>
      <c r="Y439" s="37"/>
      <c r="Z439" s="37"/>
      <c r="AA439" s="37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</row>
    <row r="440" spans="1:52" ht="39.75" hidden="1" customHeight="1" x14ac:dyDescent="0.2">
      <c r="A440" s="45" t="str">
        <f t="shared" si="21"/>
        <v/>
      </c>
      <c r="B440" s="45"/>
      <c r="C440" s="45"/>
      <c r="D440" s="45"/>
      <c r="E440" s="50"/>
      <c r="F440" s="51"/>
      <c r="G440" s="52"/>
      <c r="H440" s="52"/>
      <c r="I440" s="52" t="str">
        <f t="shared" si="22"/>
        <v/>
      </c>
      <c r="J440" s="54"/>
      <c r="K440" s="55" t="str">
        <f t="shared" si="23"/>
        <v/>
      </c>
      <c r="L440" s="54"/>
      <c r="M440" s="54"/>
      <c r="N440" s="54"/>
      <c r="O440" s="54"/>
      <c r="P440" s="54"/>
      <c r="S440" s="38"/>
      <c r="T440" s="38"/>
      <c r="U440" s="38"/>
      <c r="V440" s="37"/>
      <c r="W440" s="37"/>
      <c r="X440" s="37"/>
      <c r="Y440" s="37"/>
      <c r="Z440" s="37"/>
      <c r="AA440" s="37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</row>
    <row r="441" spans="1:52" ht="39.75" hidden="1" customHeight="1" x14ac:dyDescent="0.2">
      <c r="A441" s="45" t="str">
        <f t="shared" si="21"/>
        <v/>
      </c>
      <c r="B441" s="45"/>
      <c r="C441" s="45"/>
      <c r="D441" s="45"/>
      <c r="E441" s="50"/>
      <c r="F441" s="51"/>
      <c r="G441" s="52"/>
      <c r="H441" s="52"/>
      <c r="I441" s="52" t="str">
        <f t="shared" si="22"/>
        <v/>
      </c>
      <c r="J441" s="54"/>
      <c r="K441" s="55" t="str">
        <f t="shared" si="23"/>
        <v/>
      </c>
      <c r="L441" s="54"/>
      <c r="M441" s="54"/>
      <c r="N441" s="54"/>
      <c r="O441" s="54"/>
      <c r="P441" s="54"/>
      <c r="S441" s="38"/>
      <c r="T441" s="38"/>
      <c r="U441" s="38"/>
      <c r="V441" s="37"/>
      <c r="W441" s="37"/>
      <c r="X441" s="37"/>
      <c r="Y441" s="37"/>
      <c r="Z441" s="37"/>
      <c r="AA441" s="37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</row>
    <row r="442" spans="1:52" ht="39.75" hidden="1" customHeight="1" x14ac:dyDescent="0.2">
      <c r="A442" s="45" t="str">
        <f t="shared" si="21"/>
        <v/>
      </c>
      <c r="B442" s="45"/>
      <c r="C442" s="45"/>
      <c r="D442" s="45"/>
      <c r="E442" s="50"/>
      <c r="F442" s="51"/>
      <c r="G442" s="52"/>
      <c r="H442" s="52"/>
      <c r="I442" s="52" t="str">
        <f t="shared" si="22"/>
        <v/>
      </c>
      <c r="J442" s="54"/>
      <c r="K442" s="55" t="str">
        <f t="shared" si="23"/>
        <v/>
      </c>
      <c r="L442" s="54"/>
      <c r="M442" s="54"/>
      <c r="N442" s="54"/>
      <c r="O442" s="54"/>
      <c r="P442" s="54"/>
      <c r="S442" s="38"/>
      <c r="T442" s="38"/>
      <c r="U442" s="38"/>
      <c r="V442" s="37"/>
      <c r="W442" s="37"/>
      <c r="X442" s="37"/>
      <c r="Y442" s="37"/>
      <c r="Z442" s="37"/>
      <c r="AA442" s="37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</row>
    <row r="443" spans="1:52" ht="39.75" hidden="1" customHeight="1" x14ac:dyDescent="0.2">
      <c r="A443" s="45" t="str">
        <f t="shared" si="21"/>
        <v/>
      </c>
      <c r="B443" s="45"/>
      <c r="C443" s="45"/>
      <c r="D443" s="45"/>
      <c r="E443" s="50"/>
      <c r="F443" s="51"/>
      <c r="G443" s="52"/>
      <c r="H443" s="52"/>
      <c r="I443" s="52" t="str">
        <f t="shared" si="22"/>
        <v/>
      </c>
      <c r="J443" s="54"/>
      <c r="K443" s="55" t="str">
        <f t="shared" si="23"/>
        <v/>
      </c>
      <c r="L443" s="54"/>
      <c r="M443" s="54"/>
      <c r="N443" s="54"/>
      <c r="O443" s="54"/>
      <c r="P443" s="54"/>
      <c r="S443" s="38"/>
      <c r="T443" s="38"/>
      <c r="U443" s="38"/>
      <c r="V443" s="37"/>
      <c r="W443" s="37"/>
      <c r="X443" s="37"/>
      <c r="Y443" s="37"/>
      <c r="Z443" s="37"/>
      <c r="AA443" s="37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</row>
    <row r="444" spans="1:52" ht="39.75" hidden="1" customHeight="1" x14ac:dyDescent="0.2">
      <c r="A444" s="45" t="str">
        <f t="shared" si="21"/>
        <v/>
      </c>
      <c r="B444" s="45"/>
      <c r="C444" s="45"/>
      <c r="D444" s="45"/>
      <c r="E444" s="50"/>
      <c r="F444" s="51"/>
      <c r="G444" s="52"/>
      <c r="H444" s="52"/>
      <c r="I444" s="52" t="str">
        <f t="shared" si="22"/>
        <v/>
      </c>
      <c r="J444" s="54"/>
      <c r="K444" s="55" t="str">
        <f t="shared" si="23"/>
        <v/>
      </c>
      <c r="L444" s="54"/>
      <c r="M444" s="54"/>
      <c r="N444" s="54"/>
      <c r="O444" s="54"/>
      <c r="P444" s="54"/>
      <c r="S444" s="38"/>
      <c r="T444" s="38"/>
      <c r="U444" s="38"/>
      <c r="V444" s="37"/>
      <c r="W444" s="37"/>
      <c r="X444" s="37"/>
      <c r="Y444" s="37"/>
      <c r="Z444" s="37"/>
      <c r="AA444" s="37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</row>
    <row r="445" spans="1:52" ht="39.75" hidden="1" customHeight="1" x14ac:dyDescent="0.2">
      <c r="A445" s="45" t="str">
        <f t="shared" si="21"/>
        <v/>
      </c>
      <c r="B445" s="45"/>
      <c r="C445" s="45"/>
      <c r="D445" s="45"/>
      <c r="E445" s="50"/>
      <c r="F445" s="51"/>
      <c r="G445" s="52"/>
      <c r="H445" s="52"/>
      <c r="I445" s="52" t="str">
        <f t="shared" si="22"/>
        <v/>
      </c>
      <c r="J445" s="54"/>
      <c r="K445" s="55" t="str">
        <f t="shared" si="23"/>
        <v/>
      </c>
      <c r="L445" s="54"/>
      <c r="M445" s="54"/>
      <c r="N445" s="54"/>
      <c r="O445" s="54"/>
      <c r="P445" s="54"/>
      <c r="S445" s="38"/>
      <c r="T445" s="38"/>
      <c r="U445" s="38"/>
      <c r="V445" s="37"/>
      <c r="W445" s="37"/>
      <c r="X445" s="37"/>
      <c r="Y445" s="37"/>
      <c r="Z445" s="37"/>
      <c r="AA445" s="37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</row>
    <row r="446" spans="1:52" ht="39.75" hidden="1" customHeight="1" x14ac:dyDescent="0.2">
      <c r="A446" s="45" t="str">
        <f t="shared" si="21"/>
        <v/>
      </c>
      <c r="B446" s="45"/>
      <c r="C446" s="45"/>
      <c r="D446" s="45"/>
      <c r="E446" s="50"/>
      <c r="F446" s="51"/>
      <c r="G446" s="52"/>
      <c r="H446" s="52"/>
      <c r="I446" s="52" t="str">
        <f t="shared" si="22"/>
        <v/>
      </c>
      <c r="J446" s="54"/>
      <c r="K446" s="55" t="str">
        <f t="shared" si="23"/>
        <v/>
      </c>
      <c r="L446" s="54"/>
      <c r="M446" s="54"/>
      <c r="N446" s="54"/>
      <c r="O446" s="54"/>
      <c r="P446" s="54"/>
      <c r="S446" s="38"/>
      <c r="T446" s="38"/>
      <c r="U446" s="38"/>
      <c r="V446" s="37"/>
      <c r="W446" s="37"/>
      <c r="X446" s="37"/>
      <c r="Y446" s="37"/>
      <c r="Z446" s="37"/>
      <c r="AA446" s="37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</row>
    <row r="447" spans="1:52" ht="39.75" hidden="1" customHeight="1" x14ac:dyDescent="0.2">
      <c r="A447" s="45" t="str">
        <f t="shared" si="21"/>
        <v/>
      </c>
      <c r="B447" s="45"/>
      <c r="C447" s="45"/>
      <c r="D447" s="45"/>
      <c r="E447" s="50"/>
      <c r="F447" s="51"/>
      <c r="G447" s="52"/>
      <c r="H447" s="52"/>
      <c r="I447" s="52" t="str">
        <f t="shared" si="22"/>
        <v/>
      </c>
      <c r="J447" s="54"/>
      <c r="K447" s="55" t="str">
        <f t="shared" si="23"/>
        <v/>
      </c>
      <c r="L447" s="54"/>
      <c r="M447" s="54"/>
      <c r="N447" s="54"/>
      <c r="O447" s="54"/>
      <c r="P447" s="54"/>
      <c r="S447" s="38"/>
      <c r="T447" s="38"/>
      <c r="U447" s="38"/>
      <c r="V447" s="37"/>
      <c r="W447" s="37"/>
      <c r="X447" s="37"/>
      <c r="Y447" s="37"/>
      <c r="Z447" s="37"/>
      <c r="AA447" s="37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</row>
    <row r="448" spans="1:52" ht="39.75" hidden="1" customHeight="1" x14ac:dyDescent="0.2">
      <c r="A448" s="45" t="str">
        <f t="shared" si="21"/>
        <v/>
      </c>
      <c r="B448" s="45"/>
      <c r="C448" s="45"/>
      <c r="D448" s="45"/>
      <c r="E448" s="50"/>
      <c r="F448" s="51"/>
      <c r="G448" s="52"/>
      <c r="H448" s="52"/>
      <c r="I448" s="52" t="str">
        <f t="shared" si="22"/>
        <v/>
      </c>
      <c r="J448" s="54"/>
      <c r="K448" s="55" t="str">
        <f t="shared" si="23"/>
        <v/>
      </c>
      <c r="L448" s="54"/>
      <c r="M448" s="54"/>
      <c r="N448" s="54"/>
      <c r="O448" s="54"/>
      <c r="P448" s="54"/>
      <c r="S448" s="38"/>
      <c r="T448" s="38"/>
      <c r="U448" s="38"/>
      <c r="V448" s="37"/>
      <c r="W448" s="37"/>
      <c r="X448" s="37"/>
      <c r="Y448" s="37"/>
      <c r="Z448" s="37"/>
      <c r="AA448" s="37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</row>
    <row r="449" spans="1:52" ht="39.75" hidden="1" customHeight="1" x14ac:dyDescent="0.2">
      <c r="A449" s="45" t="str">
        <f t="shared" si="21"/>
        <v/>
      </c>
      <c r="B449" s="45"/>
      <c r="C449" s="45"/>
      <c r="D449" s="45"/>
      <c r="E449" s="50"/>
      <c r="F449" s="51"/>
      <c r="G449" s="52"/>
      <c r="H449" s="52"/>
      <c r="I449" s="52" t="str">
        <f t="shared" si="22"/>
        <v/>
      </c>
      <c r="J449" s="54"/>
      <c r="K449" s="55" t="str">
        <f t="shared" si="23"/>
        <v/>
      </c>
      <c r="L449" s="54"/>
      <c r="M449" s="54"/>
      <c r="N449" s="54"/>
      <c r="O449" s="54"/>
      <c r="P449" s="54"/>
      <c r="S449" s="38"/>
      <c r="T449" s="38"/>
      <c r="U449" s="38"/>
      <c r="V449" s="37"/>
      <c r="W449" s="37"/>
      <c r="X449" s="37"/>
      <c r="Y449" s="37"/>
      <c r="Z449" s="37"/>
      <c r="AA449" s="37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</row>
    <row r="450" spans="1:52" ht="39.75" hidden="1" customHeight="1" x14ac:dyDescent="0.2">
      <c r="A450" s="45" t="str">
        <f t="shared" si="21"/>
        <v/>
      </c>
      <c r="B450" s="45"/>
      <c r="C450" s="45"/>
      <c r="D450" s="45"/>
      <c r="E450" s="50"/>
      <c r="F450" s="51"/>
      <c r="G450" s="52"/>
      <c r="H450" s="52"/>
      <c r="I450" s="52" t="str">
        <f t="shared" si="22"/>
        <v/>
      </c>
      <c r="J450" s="54"/>
      <c r="K450" s="55" t="str">
        <f t="shared" si="23"/>
        <v/>
      </c>
      <c r="L450" s="54"/>
      <c r="M450" s="54"/>
      <c r="N450" s="54"/>
      <c r="O450" s="54"/>
      <c r="P450" s="54"/>
      <c r="S450" s="38"/>
      <c r="T450" s="38"/>
      <c r="U450" s="38"/>
      <c r="V450" s="37"/>
      <c r="W450" s="37"/>
      <c r="X450" s="37"/>
      <c r="Y450" s="37"/>
      <c r="Z450" s="37"/>
      <c r="AA450" s="37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</row>
    <row r="451" spans="1:52" ht="39.75" hidden="1" customHeight="1" x14ac:dyDescent="0.2">
      <c r="A451" s="45" t="str">
        <f t="shared" si="21"/>
        <v/>
      </c>
      <c r="B451" s="45"/>
      <c r="C451" s="45"/>
      <c r="D451" s="45"/>
      <c r="E451" s="50"/>
      <c r="F451" s="51"/>
      <c r="G451" s="52"/>
      <c r="H451" s="52"/>
      <c r="I451" s="52" t="str">
        <f t="shared" si="22"/>
        <v/>
      </c>
      <c r="J451" s="54"/>
      <c r="K451" s="55" t="str">
        <f t="shared" si="23"/>
        <v/>
      </c>
      <c r="L451" s="54"/>
      <c r="M451" s="54"/>
      <c r="N451" s="54"/>
      <c r="O451" s="54"/>
      <c r="P451" s="54"/>
      <c r="S451" s="38"/>
      <c r="T451" s="38"/>
      <c r="U451" s="38"/>
      <c r="V451" s="37"/>
      <c r="W451" s="37"/>
      <c r="X451" s="37"/>
      <c r="Y451" s="37"/>
      <c r="Z451" s="37"/>
      <c r="AA451" s="37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</row>
    <row r="452" spans="1:52" ht="39.75" hidden="1" customHeight="1" x14ac:dyDescent="0.2">
      <c r="A452" s="45" t="str">
        <f t="shared" si="21"/>
        <v/>
      </c>
      <c r="B452" s="45"/>
      <c r="C452" s="45"/>
      <c r="D452" s="45"/>
      <c r="E452" s="50"/>
      <c r="F452" s="51"/>
      <c r="G452" s="52"/>
      <c r="H452" s="52"/>
      <c r="I452" s="52" t="str">
        <f t="shared" si="22"/>
        <v/>
      </c>
      <c r="J452" s="54"/>
      <c r="K452" s="55" t="str">
        <f t="shared" si="23"/>
        <v/>
      </c>
      <c r="L452" s="54"/>
      <c r="M452" s="54"/>
      <c r="N452" s="54"/>
      <c r="O452" s="54"/>
      <c r="P452" s="54"/>
      <c r="S452" s="38"/>
      <c r="T452" s="38"/>
      <c r="U452" s="38"/>
      <c r="V452" s="37"/>
      <c r="W452" s="37"/>
      <c r="X452" s="37"/>
      <c r="Y452" s="37"/>
      <c r="Z452" s="37"/>
      <c r="AA452" s="37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</row>
    <row r="453" spans="1:52" ht="39.75" hidden="1" customHeight="1" x14ac:dyDescent="0.2">
      <c r="A453" s="45" t="str">
        <f t="shared" si="21"/>
        <v/>
      </c>
      <c r="B453" s="45"/>
      <c r="C453" s="45"/>
      <c r="D453" s="45"/>
      <c r="E453" s="50"/>
      <c r="F453" s="51"/>
      <c r="G453" s="52"/>
      <c r="H453" s="52"/>
      <c r="I453" s="52" t="str">
        <f t="shared" si="22"/>
        <v/>
      </c>
      <c r="J453" s="54"/>
      <c r="K453" s="55" t="str">
        <f t="shared" si="23"/>
        <v/>
      </c>
      <c r="L453" s="54"/>
      <c r="M453" s="54"/>
      <c r="N453" s="54"/>
      <c r="O453" s="54"/>
      <c r="P453" s="54"/>
      <c r="S453" s="38"/>
      <c r="T453" s="38"/>
      <c r="U453" s="38"/>
      <c r="V453" s="37"/>
      <c r="W453" s="37"/>
      <c r="X453" s="37"/>
      <c r="Y453" s="37"/>
      <c r="Z453" s="37"/>
      <c r="AA453" s="37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</row>
    <row r="454" spans="1:52" ht="39.75" hidden="1" customHeight="1" x14ac:dyDescent="0.2">
      <c r="A454" s="45" t="str">
        <f t="shared" ref="A454:A517" si="24">IF(F454="","",ROW()-5)</f>
        <v/>
      </c>
      <c r="B454" s="45"/>
      <c r="C454" s="45"/>
      <c r="D454" s="45"/>
      <c r="E454" s="50"/>
      <c r="F454" s="51"/>
      <c r="G454" s="52"/>
      <c r="H454" s="52"/>
      <c r="I454" s="52" t="str">
        <f t="shared" ref="I454:I517" si="25">IF(AND(LEN(F454)=18, ISBLANK(G454)=FALSE(), ISBLANK(H454)=FALSE()),37,"")</f>
        <v/>
      </c>
      <c r="J454" s="54"/>
      <c r="K454" s="55" t="str">
        <f t="shared" ref="K454:K517" si="26">IF(OR(J454="",Q454=0),"",IF(COUNTA(L454:P454)&gt;Q454,"Seluruh pilihan telah dipilih, anda memilih lebih dari kemungkinan pilihan yang tersedia, periksa pilihan anda "&amp;"("&amp;COUNTA(L454:P454)&amp;"/"&amp;Q454&amp;")",IF(COUNTA(L454:P454)=Q454,IF(SUMPRODUCT(COUNTIF(L454:P454,L454:P454)*(L454:P454&lt;&gt;""))&gt;COUNTA(L454:P454),"Terdapat pilihan yang sama, segera ubah "&amp;"("&amp;COUNTA(L454:P454)&amp;"/"&amp;Q454&amp;")","Seluruh pilihan telah dipilih "&amp;"("&amp;COUNTA(L454:P454)&amp;"/"&amp;Q454&amp;")"),IF(COUNTA(L454:P454)&gt;0,"Masih terdapat pilihan yang bisa dipilih, silahkan melengkapi pilihan "&amp;"("&amp;COUNTA(L454:P454)&amp;"/"&amp;Q454&amp;")",""))))</f>
        <v/>
      </c>
      <c r="L454" s="54"/>
      <c r="M454" s="54"/>
      <c r="N454" s="54"/>
      <c r="O454" s="54"/>
      <c r="P454" s="54"/>
      <c r="S454" s="38"/>
      <c r="T454" s="38"/>
      <c r="U454" s="38"/>
      <c r="V454" s="37"/>
      <c r="W454" s="37"/>
      <c r="X454" s="37"/>
      <c r="Y454" s="37"/>
      <c r="Z454" s="37"/>
      <c r="AA454" s="37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</row>
    <row r="455" spans="1:52" ht="39.75" hidden="1" customHeight="1" x14ac:dyDescent="0.2">
      <c r="A455" s="45" t="str">
        <f t="shared" si="24"/>
        <v/>
      </c>
      <c r="B455" s="45"/>
      <c r="C455" s="45"/>
      <c r="D455" s="45"/>
      <c r="E455" s="50"/>
      <c r="F455" s="51"/>
      <c r="G455" s="52"/>
      <c r="H455" s="52"/>
      <c r="I455" s="52" t="str">
        <f t="shared" si="25"/>
        <v/>
      </c>
      <c r="J455" s="54"/>
      <c r="K455" s="55" t="str">
        <f t="shared" si="26"/>
        <v/>
      </c>
      <c r="L455" s="54"/>
      <c r="M455" s="54"/>
      <c r="N455" s="54"/>
      <c r="O455" s="54"/>
      <c r="P455" s="54"/>
      <c r="S455" s="38"/>
      <c r="T455" s="38"/>
      <c r="U455" s="38"/>
      <c r="V455" s="37"/>
      <c r="W455" s="37"/>
      <c r="X455" s="37"/>
      <c r="Y455" s="37"/>
      <c r="Z455" s="37"/>
      <c r="AA455" s="37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</row>
    <row r="456" spans="1:52" ht="39.75" hidden="1" customHeight="1" x14ac:dyDescent="0.2">
      <c r="A456" s="45" t="str">
        <f t="shared" si="24"/>
        <v/>
      </c>
      <c r="B456" s="45"/>
      <c r="C456" s="45"/>
      <c r="D456" s="45"/>
      <c r="E456" s="50"/>
      <c r="F456" s="51"/>
      <c r="G456" s="52"/>
      <c r="H456" s="52"/>
      <c r="I456" s="52" t="str">
        <f t="shared" si="25"/>
        <v/>
      </c>
      <c r="J456" s="54"/>
      <c r="K456" s="55" t="str">
        <f t="shared" si="26"/>
        <v/>
      </c>
      <c r="L456" s="54"/>
      <c r="M456" s="54"/>
      <c r="N456" s="54"/>
      <c r="O456" s="54"/>
      <c r="P456" s="54"/>
      <c r="S456" s="38"/>
      <c r="T456" s="38"/>
      <c r="U456" s="38"/>
      <c r="V456" s="37"/>
      <c r="W456" s="37"/>
      <c r="X456" s="37"/>
      <c r="Y456" s="37"/>
      <c r="Z456" s="37"/>
      <c r="AA456" s="37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</row>
    <row r="457" spans="1:52" ht="39.75" hidden="1" customHeight="1" x14ac:dyDescent="0.2">
      <c r="A457" s="45" t="str">
        <f t="shared" si="24"/>
        <v/>
      </c>
      <c r="B457" s="45"/>
      <c r="C457" s="45"/>
      <c r="D457" s="45"/>
      <c r="E457" s="50"/>
      <c r="F457" s="51"/>
      <c r="G457" s="52"/>
      <c r="H457" s="52"/>
      <c r="I457" s="52" t="str">
        <f t="shared" si="25"/>
        <v/>
      </c>
      <c r="J457" s="54"/>
      <c r="K457" s="55" t="str">
        <f t="shared" si="26"/>
        <v/>
      </c>
      <c r="L457" s="54"/>
      <c r="M457" s="54"/>
      <c r="N457" s="54"/>
      <c r="O457" s="54"/>
      <c r="P457" s="54"/>
      <c r="S457" s="38"/>
      <c r="T457" s="38"/>
      <c r="U457" s="38"/>
      <c r="V457" s="37"/>
      <c r="W457" s="37"/>
      <c r="X457" s="37"/>
      <c r="Y457" s="37"/>
      <c r="Z457" s="37"/>
      <c r="AA457" s="37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</row>
    <row r="458" spans="1:52" ht="39.75" hidden="1" customHeight="1" x14ac:dyDescent="0.2">
      <c r="A458" s="45" t="str">
        <f t="shared" si="24"/>
        <v/>
      </c>
      <c r="B458" s="45"/>
      <c r="C458" s="45"/>
      <c r="D458" s="45"/>
      <c r="E458" s="50"/>
      <c r="F458" s="51"/>
      <c r="G458" s="52"/>
      <c r="H458" s="52"/>
      <c r="I458" s="52" t="str">
        <f t="shared" si="25"/>
        <v/>
      </c>
      <c r="J458" s="54"/>
      <c r="K458" s="55" t="str">
        <f t="shared" si="26"/>
        <v/>
      </c>
      <c r="L458" s="54"/>
      <c r="M458" s="54"/>
      <c r="N458" s="54"/>
      <c r="O458" s="54"/>
      <c r="P458" s="54"/>
      <c r="S458" s="38"/>
      <c r="T458" s="38"/>
      <c r="U458" s="38"/>
      <c r="V458" s="37"/>
      <c r="W458" s="37"/>
      <c r="X458" s="37"/>
      <c r="Y458" s="37"/>
      <c r="Z458" s="37"/>
      <c r="AA458" s="37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</row>
    <row r="459" spans="1:52" ht="39.75" hidden="1" customHeight="1" x14ac:dyDescent="0.2">
      <c r="A459" s="45" t="str">
        <f t="shared" si="24"/>
        <v/>
      </c>
      <c r="B459" s="45"/>
      <c r="C459" s="45"/>
      <c r="D459" s="45"/>
      <c r="E459" s="50"/>
      <c r="F459" s="51"/>
      <c r="G459" s="52"/>
      <c r="H459" s="52"/>
      <c r="I459" s="52" t="str">
        <f t="shared" si="25"/>
        <v/>
      </c>
      <c r="J459" s="54"/>
      <c r="K459" s="55" t="str">
        <f t="shared" si="26"/>
        <v/>
      </c>
      <c r="L459" s="54"/>
      <c r="M459" s="54"/>
      <c r="N459" s="54"/>
      <c r="O459" s="54"/>
      <c r="P459" s="54"/>
      <c r="S459" s="38"/>
      <c r="T459" s="38"/>
      <c r="U459" s="38"/>
      <c r="V459" s="37"/>
      <c r="W459" s="37"/>
      <c r="X459" s="37"/>
      <c r="Y459" s="37"/>
      <c r="Z459" s="37"/>
      <c r="AA459" s="37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</row>
    <row r="460" spans="1:52" ht="39.75" hidden="1" customHeight="1" x14ac:dyDescent="0.2">
      <c r="A460" s="45" t="str">
        <f t="shared" si="24"/>
        <v/>
      </c>
      <c r="B460" s="45"/>
      <c r="C460" s="45"/>
      <c r="D460" s="45"/>
      <c r="E460" s="50"/>
      <c r="F460" s="51"/>
      <c r="G460" s="52"/>
      <c r="H460" s="52"/>
      <c r="I460" s="52" t="str">
        <f t="shared" si="25"/>
        <v/>
      </c>
      <c r="J460" s="54"/>
      <c r="K460" s="55" t="str">
        <f t="shared" si="26"/>
        <v/>
      </c>
      <c r="L460" s="54"/>
      <c r="M460" s="54"/>
      <c r="N460" s="54"/>
      <c r="O460" s="54"/>
      <c r="P460" s="54"/>
      <c r="S460" s="38"/>
      <c r="T460" s="38"/>
      <c r="U460" s="38"/>
      <c r="V460" s="37"/>
      <c r="W460" s="37"/>
      <c r="X460" s="37"/>
      <c r="Y460" s="37"/>
      <c r="Z460" s="37"/>
      <c r="AA460" s="37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</row>
    <row r="461" spans="1:52" ht="39.75" hidden="1" customHeight="1" x14ac:dyDescent="0.2">
      <c r="A461" s="45" t="str">
        <f t="shared" si="24"/>
        <v/>
      </c>
      <c r="B461" s="45"/>
      <c r="C461" s="45"/>
      <c r="D461" s="45"/>
      <c r="E461" s="50"/>
      <c r="F461" s="51"/>
      <c r="G461" s="52"/>
      <c r="H461" s="52"/>
      <c r="I461" s="52" t="str">
        <f t="shared" si="25"/>
        <v/>
      </c>
      <c r="J461" s="54"/>
      <c r="K461" s="55" t="str">
        <f t="shared" si="26"/>
        <v/>
      </c>
      <c r="L461" s="54"/>
      <c r="M461" s="54"/>
      <c r="N461" s="54"/>
      <c r="O461" s="54"/>
      <c r="P461" s="54"/>
      <c r="S461" s="38"/>
      <c r="T461" s="38"/>
      <c r="U461" s="38"/>
      <c r="V461" s="37"/>
      <c r="W461" s="37"/>
      <c r="X461" s="37"/>
      <c r="Y461" s="37"/>
      <c r="Z461" s="37"/>
      <c r="AA461" s="37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</row>
    <row r="462" spans="1:52" ht="39.75" hidden="1" customHeight="1" x14ac:dyDescent="0.2">
      <c r="A462" s="45" t="str">
        <f t="shared" si="24"/>
        <v/>
      </c>
      <c r="B462" s="45"/>
      <c r="C462" s="45"/>
      <c r="D462" s="45"/>
      <c r="E462" s="50"/>
      <c r="F462" s="51"/>
      <c r="G462" s="52"/>
      <c r="H462" s="52"/>
      <c r="I462" s="52" t="str">
        <f t="shared" si="25"/>
        <v/>
      </c>
      <c r="J462" s="54"/>
      <c r="K462" s="55" t="str">
        <f t="shared" si="26"/>
        <v/>
      </c>
      <c r="L462" s="54"/>
      <c r="M462" s="54"/>
      <c r="N462" s="54"/>
      <c r="O462" s="54"/>
      <c r="P462" s="54"/>
      <c r="S462" s="38"/>
      <c r="T462" s="38"/>
      <c r="U462" s="38"/>
      <c r="V462" s="37"/>
      <c r="W462" s="37"/>
      <c r="X462" s="37"/>
      <c r="Y462" s="37"/>
      <c r="Z462" s="37"/>
      <c r="AA462" s="37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</row>
    <row r="463" spans="1:52" ht="39.75" hidden="1" customHeight="1" x14ac:dyDescent="0.2">
      <c r="A463" s="45" t="str">
        <f t="shared" si="24"/>
        <v/>
      </c>
      <c r="B463" s="45"/>
      <c r="C463" s="45"/>
      <c r="D463" s="45"/>
      <c r="E463" s="50"/>
      <c r="F463" s="51"/>
      <c r="G463" s="52"/>
      <c r="H463" s="52"/>
      <c r="I463" s="52" t="str">
        <f t="shared" si="25"/>
        <v/>
      </c>
      <c r="J463" s="54"/>
      <c r="K463" s="55" t="str">
        <f t="shared" si="26"/>
        <v/>
      </c>
      <c r="L463" s="54"/>
      <c r="M463" s="54"/>
      <c r="N463" s="54"/>
      <c r="O463" s="54"/>
      <c r="P463" s="54"/>
      <c r="S463" s="38"/>
      <c r="T463" s="38"/>
      <c r="U463" s="38"/>
      <c r="V463" s="37"/>
      <c r="W463" s="37"/>
      <c r="X463" s="37"/>
      <c r="Y463" s="37"/>
      <c r="Z463" s="37"/>
      <c r="AA463" s="37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</row>
    <row r="464" spans="1:52" ht="39.75" hidden="1" customHeight="1" x14ac:dyDescent="0.2">
      <c r="A464" s="45" t="str">
        <f t="shared" si="24"/>
        <v/>
      </c>
      <c r="B464" s="45"/>
      <c r="C464" s="45"/>
      <c r="D464" s="45"/>
      <c r="E464" s="50"/>
      <c r="F464" s="51"/>
      <c r="G464" s="52"/>
      <c r="H464" s="52"/>
      <c r="I464" s="52" t="str">
        <f t="shared" si="25"/>
        <v/>
      </c>
      <c r="J464" s="54"/>
      <c r="K464" s="55" t="str">
        <f t="shared" si="26"/>
        <v/>
      </c>
      <c r="L464" s="54"/>
      <c r="M464" s="54"/>
      <c r="N464" s="54"/>
      <c r="O464" s="54"/>
      <c r="P464" s="54"/>
      <c r="S464" s="38"/>
      <c r="T464" s="38"/>
      <c r="U464" s="38"/>
      <c r="V464" s="37"/>
      <c r="W464" s="37"/>
      <c r="X464" s="37"/>
      <c r="Y464" s="37"/>
      <c r="Z464" s="37"/>
      <c r="AA464" s="37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</row>
    <row r="465" spans="1:52" ht="39.75" hidden="1" customHeight="1" x14ac:dyDescent="0.2">
      <c r="A465" s="45" t="str">
        <f t="shared" si="24"/>
        <v/>
      </c>
      <c r="B465" s="45"/>
      <c r="C465" s="45"/>
      <c r="D465" s="45"/>
      <c r="E465" s="50"/>
      <c r="F465" s="51"/>
      <c r="G465" s="52"/>
      <c r="H465" s="52"/>
      <c r="I465" s="52" t="str">
        <f t="shared" si="25"/>
        <v/>
      </c>
      <c r="J465" s="54"/>
      <c r="K465" s="55" t="str">
        <f t="shared" si="26"/>
        <v/>
      </c>
      <c r="L465" s="54"/>
      <c r="M465" s="54"/>
      <c r="N465" s="54"/>
      <c r="O465" s="54"/>
      <c r="P465" s="54"/>
      <c r="S465" s="38"/>
      <c r="T465" s="38"/>
      <c r="U465" s="38"/>
      <c r="V465" s="37"/>
      <c r="W465" s="37"/>
      <c r="X465" s="37"/>
      <c r="Y465" s="37"/>
      <c r="Z465" s="37"/>
      <c r="AA465" s="37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</row>
    <row r="466" spans="1:52" ht="39.75" hidden="1" customHeight="1" x14ac:dyDescent="0.2">
      <c r="A466" s="45" t="str">
        <f t="shared" si="24"/>
        <v/>
      </c>
      <c r="B466" s="45"/>
      <c r="C466" s="45"/>
      <c r="D466" s="45"/>
      <c r="E466" s="50"/>
      <c r="F466" s="51"/>
      <c r="G466" s="52"/>
      <c r="H466" s="52"/>
      <c r="I466" s="52" t="str">
        <f t="shared" si="25"/>
        <v/>
      </c>
      <c r="J466" s="54"/>
      <c r="K466" s="55" t="str">
        <f t="shared" si="26"/>
        <v/>
      </c>
      <c r="L466" s="54"/>
      <c r="M466" s="54"/>
      <c r="N466" s="54"/>
      <c r="O466" s="54"/>
      <c r="P466" s="54"/>
      <c r="S466" s="38"/>
      <c r="T466" s="38"/>
      <c r="U466" s="38"/>
      <c r="V466" s="37"/>
      <c r="W466" s="37"/>
      <c r="X466" s="37"/>
      <c r="Y466" s="37"/>
      <c r="Z466" s="37"/>
      <c r="AA466" s="37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</row>
    <row r="467" spans="1:52" ht="39.75" hidden="1" customHeight="1" x14ac:dyDescent="0.2">
      <c r="A467" s="45" t="str">
        <f t="shared" si="24"/>
        <v/>
      </c>
      <c r="B467" s="45"/>
      <c r="C467" s="45"/>
      <c r="D467" s="45"/>
      <c r="E467" s="50"/>
      <c r="F467" s="51"/>
      <c r="G467" s="52"/>
      <c r="H467" s="52"/>
      <c r="I467" s="52" t="str">
        <f t="shared" si="25"/>
        <v/>
      </c>
      <c r="J467" s="54"/>
      <c r="K467" s="55" t="str">
        <f t="shared" si="26"/>
        <v/>
      </c>
      <c r="L467" s="54"/>
      <c r="M467" s="54"/>
      <c r="N467" s="54"/>
      <c r="O467" s="54"/>
      <c r="P467" s="54"/>
      <c r="S467" s="38"/>
      <c r="T467" s="38"/>
      <c r="U467" s="38"/>
      <c r="V467" s="37"/>
      <c r="W467" s="37"/>
      <c r="X467" s="37"/>
      <c r="Y467" s="37"/>
      <c r="Z467" s="37"/>
      <c r="AA467" s="37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</row>
    <row r="468" spans="1:52" ht="39.75" hidden="1" customHeight="1" x14ac:dyDescent="0.2">
      <c r="A468" s="45" t="str">
        <f t="shared" si="24"/>
        <v/>
      </c>
      <c r="B468" s="45"/>
      <c r="C468" s="45"/>
      <c r="D468" s="45"/>
      <c r="E468" s="50"/>
      <c r="F468" s="51"/>
      <c r="G468" s="52"/>
      <c r="H468" s="52"/>
      <c r="I468" s="52" t="str">
        <f t="shared" si="25"/>
        <v/>
      </c>
      <c r="J468" s="54"/>
      <c r="K468" s="55" t="str">
        <f t="shared" si="26"/>
        <v/>
      </c>
      <c r="L468" s="54"/>
      <c r="M468" s="54"/>
      <c r="N468" s="54"/>
      <c r="O468" s="54"/>
      <c r="P468" s="54"/>
      <c r="S468" s="38"/>
      <c r="T468" s="38"/>
      <c r="U468" s="38"/>
      <c r="V468" s="37"/>
      <c r="W468" s="37"/>
      <c r="X468" s="37"/>
      <c r="Y468" s="37"/>
      <c r="Z468" s="37"/>
      <c r="AA468" s="37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</row>
    <row r="469" spans="1:52" ht="39.75" hidden="1" customHeight="1" x14ac:dyDescent="0.2">
      <c r="A469" s="45" t="str">
        <f t="shared" si="24"/>
        <v/>
      </c>
      <c r="B469" s="45"/>
      <c r="C469" s="45"/>
      <c r="D469" s="45"/>
      <c r="E469" s="50"/>
      <c r="F469" s="51"/>
      <c r="G469" s="52"/>
      <c r="H469" s="52"/>
      <c r="I469" s="52" t="str">
        <f t="shared" si="25"/>
        <v/>
      </c>
      <c r="J469" s="54"/>
      <c r="K469" s="55" t="str">
        <f t="shared" si="26"/>
        <v/>
      </c>
      <c r="L469" s="54"/>
      <c r="M469" s="54"/>
      <c r="N469" s="54"/>
      <c r="O469" s="54"/>
      <c r="P469" s="54"/>
      <c r="S469" s="38"/>
      <c r="T469" s="38"/>
      <c r="U469" s="38"/>
      <c r="V469" s="37"/>
      <c r="W469" s="37"/>
      <c r="X469" s="37"/>
      <c r="Y469" s="37"/>
      <c r="Z469" s="37"/>
      <c r="AA469" s="37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</row>
    <row r="470" spans="1:52" ht="39.75" hidden="1" customHeight="1" x14ac:dyDescent="0.2">
      <c r="A470" s="45" t="str">
        <f t="shared" si="24"/>
        <v/>
      </c>
      <c r="B470" s="45"/>
      <c r="C470" s="45"/>
      <c r="D470" s="45"/>
      <c r="E470" s="50"/>
      <c r="F470" s="51"/>
      <c r="G470" s="52"/>
      <c r="H470" s="52"/>
      <c r="I470" s="52" t="str">
        <f t="shared" si="25"/>
        <v/>
      </c>
      <c r="J470" s="54"/>
      <c r="K470" s="55" t="str">
        <f t="shared" si="26"/>
        <v/>
      </c>
      <c r="L470" s="54"/>
      <c r="M470" s="54"/>
      <c r="N470" s="54"/>
      <c r="O470" s="54"/>
      <c r="P470" s="54"/>
      <c r="S470" s="38"/>
      <c r="T470" s="38"/>
      <c r="U470" s="38"/>
      <c r="V470" s="37"/>
      <c r="W470" s="37"/>
      <c r="X470" s="37"/>
      <c r="Y470" s="37"/>
      <c r="Z470" s="37"/>
      <c r="AA470" s="37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</row>
    <row r="471" spans="1:52" ht="39.75" hidden="1" customHeight="1" x14ac:dyDescent="0.2">
      <c r="A471" s="45" t="str">
        <f t="shared" si="24"/>
        <v/>
      </c>
      <c r="B471" s="45"/>
      <c r="C471" s="45"/>
      <c r="D471" s="45"/>
      <c r="E471" s="50"/>
      <c r="F471" s="51"/>
      <c r="G471" s="52"/>
      <c r="H471" s="52"/>
      <c r="I471" s="52" t="str">
        <f t="shared" si="25"/>
        <v/>
      </c>
      <c r="J471" s="54"/>
      <c r="K471" s="55" t="str">
        <f t="shared" si="26"/>
        <v/>
      </c>
      <c r="L471" s="54"/>
      <c r="M471" s="54"/>
      <c r="N471" s="54"/>
      <c r="O471" s="54"/>
      <c r="P471" s="54"/>
      <c r="S471" s="38"/>
      <c r="T471" s="38"/>
      <c r="U471" s="38"/>
      <c r="V471" s="37"/>
      <c r="W471" s="37"/>
      <c r="X471" s="37"/>
      <c r="Y471" s="37"/>
      <c r="Z471" s="37"/>
      <c r="AA471" s="37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</row>
    <row r="472" spans="1:52" ht="39.75" hidden="1" customHeight="1" x14ac:dyDescent="0.2">
      <c r="A472" s="45" t="str">
        <f t="shared" si="24"/>
        <v/>
      </c>
      <c r="B472" s="45"/>
      <c r="C472" s="45"/>
      <c r="D472" s="45"/>
      <c r="E472" s="50"/>
      <c r="F472" s="51"/>
      <c r="G472" s="52"/>
      <c r="H472" s="52"/>
      <c r="I472" s="52" t="str">
        <f t="shared" si="25"/>
        <v/>
      </c>
      <c r="J472" s="54"/>
      <c r="K472" s="55" t="str">
        <f t="shared" si="26"/>
        <v/>
      </c>
      <c r="L472" s="54"/>
      <c r="M472" s="54"/>
      <c r="N472" s="54"/>
      <c r="O472" s="54"/>
      <c r="P472" s="54"/>
      <c r="S472" s="38"/>
      <c r="T472" s="38"/>
      <c r="U472" s="38"/>
      <c r="V472" s="37"/>
      <c r="W472" s="37"/>
      <c r="X472" s="37"/>
      <c r="Y472" s="37"/>
      <c r="Z472" s="37"/>
      <c r="AA472" s="37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</row>
    <row r="473" spans="1:52" ht="39.75" hidden="1" customHeight="1" x14ac:dyDescent="0.2">
      <c r="A473" s="45" t="str">
        <f t="shared" si="24"/>
        <v/>
      </c>
      <c r="B473" s="45"/>
      <c r="C473" s="45"/>
      <c r="D473" s="45"/>
      <c r="E473" s="50"/>
      <c r="F473" s="51"/>
      <c r="G473" s="52"/>
      <c r="H473" s="52"/>
      <c r="I473" s="52" t="str">
        <f t="shared" si="25"/>
        <v/>
      </c>
      <c r="J473" s="54"/>
      <c r="K473" s="55" t="str">
        <f t="shared" si="26"/>
        <v/>
      </c>
      <c r="L473" s="54"/>
      <c r="M473" s="54"/>
      <c r="N473" s="54"/>
      <c r="O473" s="54"/>
      <c r="P473" s="54"/>
      <c r="S473" s="38"/>
      <c r="T473" s="38"/>
      <c r="U473" s="38"/>
      <c r="V473" s="37"/>
      <c r="W473" s="37"/>
      <c r="X473" s="37"/>
      <c r="Y473" s="37"/>
      <c r="Z473" s="37"/>
      <c r="AA473" s="37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</row>
    <row r="474" spans="1:52" ht="39.75" hidden="1" customHeight="1" x14ac:dyDescent="0.2">
      <c r="A474" s="45" t="str">
        <f t="shared" si="24"/>
        <v/>
      </c>
      <c r="B474" s="45"/>
      <c r="C474" s="45"/>
      <c r="D474" s="45"/>
      <c r="E474" s="50"/>
      <c r="F474" s="51"/>
      <c r="G474" s="52"/>
      <c r="H474" s="52"/>
      <c r="I474" s="52" t="str">
        <f t="shared" si="25"/>
        <v/>
      </c>
      <c r="J474" s="54"/>
      <c r="K474" s="55" t="str">
        <f t="shared" si="26"/>
        <v/>
      </c>
      <c r="L474" s="54"/>
      <c r="M474" s="54"/>
      <c r="N474" s="54"/>
      <c r="O474" s="54"/>
      <c r="P474" s="54"/>
      <c r="S474" s="38"/>
      <c r="T474" s="38"/>
      <c r="U474" s="38"/>
      <c r="V474" s="37"/>
      <c r="W474" s="37"/>
      <c r="X474" s="37"/>
      <c r="Y474" s="37"/>
      <c r="Z474" s="37"/>
      <c r="AA474" s="37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</row>
    <row r="475" spans="1:52" ht="39.75" hidden="1" customHeight="1" x14ac:dyDescent="0.2">
      <c r="A475" s="45" t="str">
        <f t="shared" si="24"/>
        <v/>
      </c>
      <c r="B475" s="45"/>
      <c r="C475" s="45"/>
      <c r="D475" s="45"/>
      <c r="E475" s="50"/>
      <c r="F475" s="51"/>
      <c r="G475" s="52"/>
      <c r="H475" s="52"/>
      <c r="I475" s="52" t="str">
        <f t="shared" si="25"/>
        <v/>
      </c>
      <c r="J475" s="54"/>
      <c r="K475" s="55" t="str">
        <f t="shared" si="26"/>
        <v/>
      </c>
      <c r="L475" s="54"/>
      <c r="M475" s="54"/>
      <c r="N475" s="54"/>
      <c r="O475" s="54"/>
      <c r="P475" s="54"/>
      <c r="S475" s="38"/>
      <c r="T475" s="38"/>
      <c r="U475" s="38"/>
      <c r="V475" s="37"/>
      <c r="W475" s="37"/>
      <c r="X475" s="37"/>
      <c r="Y475" s="37"/>
      <c r="Z475" s="37"/>
      <c r="AA475" s="37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</row>
    <row r="476" spans="1:52" ht="39.75" hidden="1" customHeight="1" x14ac:dyDescent="0.2">
      <c r="A476" s="45" t="str">
        <f t="shared" si="24"/>
        <v/>
      </c>
      <c r="B476" s="45"/>
      <c r="C476" s="45"/>
      <c r="D476" s="45"/>
      <c r="E476" s="50"/>
      <c r="F476" s="51"/>
      <c r="G476" s="52"/>
      <c r="H476" s="52"/>
      <c r="I476" s="52" t="str">
        <f t="shared" si="25"/>
        <v/>
      </c>
      <c r="J476" s="54"/>
      <c r="K476" s="55" t="str">
        <f t="shared" si="26"/>
        <v/>
      </c>
      <c r="L476" s="54"/>
      <c r="M476" s="54"/>
      <c r="N476" s="54"/>
      <c r="O476" s="54"/>
      <c r="P476" s="54"/>
      <c r="S476" s="38"/>
      <c r="T476" s="38"/>
      <c r="U476" s="38"/>
      <c r="V476" s="37"/>
      <c r="W476" s="37"/>
      <c r="X476" s="37"/>
      <c r="Y476" s="37"/>
      <c r="Z476" s="37"/>
      <c r="AA476" s="37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</row>
    <row r="477" spans="1:52" ht="39.75" hidden="1" customHeight="1" x14ac:dyDescent="0.2">
      <c r="A477" s="45" t="str">
        <f t="shared" si="24"/>
        <v/>
      </c>
      <c r="B477" s="45"/>
      <c r="C477" s="45"/>
      <c r="D477" s="45"/>
      <c r="E477" s="50"/>
      <c r="F477" s="51"/>
      <c r="G477" s="52"/>
      <c r="H477" s="52"/>
      <c r="I477" s="52" t="str">
        <f t="shared" si="25"/>
        <v/>
      </c>
      <c r="J477" s="54"/>
      <c r="K477" s="55" t="str">
        <f t="shared" si="26"/>
        <v/>
      </c>
      <c r="L477" s="54"/>
      <c r="M477" s="54"/>
      <c r="N477" s="54"/>
      <c r="O477" s="54"/>
      <c r="P477" s="54"/>
      <c r="S477" s="38"/>
      <c r="T477" s="38"/>
      <c r="U477" s="38"/>
      <c r="V477" s="37"/>
      <c r="W477" s="37"/>
      <c r="X477" s="37"/>
      <c r="Y477" s="37"/>
      <c r="Z477" s="37"/>
      <c r="AA477" s="37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</row>
    <row r="478" spans="1:52" ht="39.75" hidden="1" customHeight="1" x14ac:dyDescent="0.2">
      <c r="A478" s="45" t="str">
        <f t="shared" si="24"/>
        <v/>
      </c>
      <c r="B478" s="45"/>
      <c r="C478" s="45"/>
      <c r="D478" s="45"/>
      <c r="E478" s="50"/>
      <c r="F478" s="51"/>
      <c r="G478" s="52"/>
      <c r="H478" s="52"/>
      <c r="I478" s="52" t="str">
        <f t="shared" si="25"/>
        <v/>
      </c>
      <c r="J478" s="54"/>
      <c r="K478" s="55" t="str">
        <f t="shared" si="26"/>
        <v/>
      </c>
      <c r="L478" s="54"/>
      <c r="M478" s="54"/>
      <c r="N478" s="54"/>
      <c r="O478" s="54"/>
      <c r="P478" s="54"/>
      <c r="S478" s="38"/>
      <c r="T478" s="38"/>
      <c r="U478" s="38"/>
      <c r="V478" s="37"/>
      <c r="W478" s="37"/>
      <c r="X478" s="37"/>
      <c r="Y478" s="37"/>
      <c r="Z478" s="37"/>
      <c r="AA478" s="37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</row>
    <row r="479" spans="1:52" ht="39.75" hidden="1" customHeight="1" x14ac:dyDescent="0.2">
      <c r="A479" s="45" t="str">
        <f t="shared" si="24"/>
        <v/>
      </c>
      <c r="B479" s="45"/>
      <c r="C479" s="45"/>
      <c r="D479" s="45"/>
      <c r="E479" s="50"/>
      <c r="F479" s="51"/>
      <c r="G479" s="52"/>
      <c r="H479" s="52"/>
      <c r="I479" s="52" t="str">
        <f t="shared" si="25"/>
        <v/>
      </c>
      <c r="J479" s="54"/>
      <c r="K479" s="55" t="str">
        <f t="shared" si="26"/>
        <v/>
      </c>
      <c r="L479" s="54"/>
      <c r="M479" s="54"/>
      <c r="N479" s="54"/>
      <c r="O479" s="54"/>
      <c r="P479" s="54"/>
      <c r="S479" s="38"/>
      <c r="T479" s="38"/>
      <c r="U479" s="38"/>
      <c r="V479" s="37"/>
      <c r="W479" s="37"/>
      <c r="X479" s="37"/>
      <c r="Y479" s="37"/>
      <c r="Z479" s="37"/>
      <c r="AA479" s="37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</row>
    <row r="480" spans="1:52" ht="39.75" hidden="1" customHeight="1" x14ac:dyDescent="0.2">
      <c r="A480" s="45" t="str">
        <f t="shared" si="24"/>
        <v/>
      </c>
      <c r="B480" s="45"/>
      <c r="C480" s="45"/>
      <c r="D480" s="45"/>
      <c r="E480" s="50"/>
      <c r="F480" s="51"/>
      <c r="G480" s="52"/>
      <c r="H480" s="52"/>
      <c r="I480" s="52" t="str">
        <f t="shared" si="25"/>
        <v/>
      </c>
      <c r="J480" s="54"/>
      <c r="K480" s="55" t="str">
        <f t="shared" si="26"/>
        <v/>
      </c>
      <c r="L480" s="54"/>
      <c r="M480" s="54"/>
      <c r="N480" s="54"/>
      <c r="O480" s="54"/>
      <c r="P480" s="54"/>
      <c r="S480" s="38"/>
      <c r="T480" s="38"/>
      <c r="U480" s="38"/>
      <c r="V480" s="37"/>
      <c r="W480" s="37"/>
      <c r="X480" s="37"/>
      <c r="Y480" s="37"/>
      <c r="Z480" s="37"/>
      <c r="AA480" s="37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</row>
    <row r="481" spans="1:52" ht="39.75" hidden="1" customHeight="1" x14ac:dyDescent="0.2">
      <c r="A481" s="45" t="str">
        <f t="shared" si="24"/>
        <v/>
      </c>
      <c r="B481" s="45"/>
      <c r="C481" s="45"/>
      <c r="D481" s="45"/>
      <c r="E481" s="50"/>
      <c r="F481" s="51"/>
      <c r="G481" s="52"/>
      <c r="H481" s="52"/>
      <c r="I481" s="52" t="str">
        <f t="shared" si="25"/>
        <v/>
      </c>
      <c r="J481" s="54"/>
      <c r="K481" s="55" t="str">
        <f t="shared" si="26"/>
        <v/>
      </c>
      <c r="L481" s="54"/>
      <c r="M481" s="54"/>
      <c r="N481" s="54"/>
      <c r="O481" s="54"/>
      <c r="P481" s="54"/>
      <c r="S481" s="38"/>
      <c r="T481" s="38"/>
      <c r="U481" s="38"/>
      <c r="V481" s="37"/>
      <c r="W481" s="37"/>
      <c r="X481" s="37"/>
      <c r="Y481" s="37"/>
      <c r="Z481" s="37"/>
      <c r="AA481" s="37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</row>
    <row r="482" spans="1:52" ht="39.75" hidden="1" customHeight="1" x14ac:dyDescent="0.2">
      <c r="A482" s="45" t="str">
        <f t="shared" si="24"/>
        <v/>
      </c>
      <c r="B482" s="45"/>
      <c r="C482" s="45"/>
      <c r="D482" s="45"/>
      <c r="E482" s="50"/>
      <c r="F482" s="51"/>
      <c r="G482" s="52"/>
      <c r="H482" s="52"/>
      <c r="I482" s="52" t="str">
        <f t="shared" si="25"/>
        <v/>
      </c>
      <c r="J482" s="54"/>
      <c r="K482" s="55" t="str">
        <f t="shared" si="26"/>
        <v/>
      </c>
      <c r="L482" s="54"/>
      <c r="M482" s="54"/>
      <c r="N482" s="54"/>
      <c r="O482" s="54"/>
      <c r="P482" s="54"/>
      <c r="S482" s="38"/>
      <c r="T482" s="38"/>
      <c r="U482" s="38"/>
      <c r="V482" s="37"/>
      <c r="W482" s="37"/>
      <c r="X482" s="37"/>
      <c r="Y482" s="37"/>
      <c r="Z482" s="37"/>
      <c r="AA482" s="37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</row>
    <row r="483" spans="1:52" ht="39.75" hidden="1" customHeight="1" x14ac:dyDescent="0.2">
      <c r="A483" s="45" t="str">
        <f t="shared" si="24"/>
        <v/>
      </c>
      <c r="B483" s="45"/>
      <c r="C483" s="45"/>
      <c r="D483" s="45"/>
      <c r="E483" s="50"/>
      <c r="F483" s="51"/>
      <c r="G483" s="52"/>
      <c r="H483" s="52"/>
      <c r="I483" s="52" t="str">
        <f t="shared" si="25"/>
        <v/>
      </c>
      <c r="J483" s="54"/>
      <c r="K483" s="55" t="str">
        <f t="shared" si="26"/>
        <v/>
      </c>
      <c r="L483" s="54"/>
      <c r="M483" s="54"/>
      <c r="N483" s="54"/>
      <c r="O483" s="54"/>
      <c r="P483" s="54"/>
      <c r="S483" s="38"/>
      <c r="T483" s="38"/>
      <c r="U483" s="38"/>
      <c r="V483" s="37"/>
      <c r="W483" s="37"/>
      <c r="X483" s="37"/>
      <c r="Y483" s="37"/>
      <c r="Z483" s="37"/>
      <c r="AA483" s="37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</row>
    <row r="484" spans="1:52" ht="39.75" hidden="1" customHeight="1" x14ac:dyDescent="0.2">
      <c r="A484" s="45" t="str">
        <f t="shared" si="24"/>
        <v/>
      </c>
      <c r="B484" s="45"/>
      <c r="C484" s="45"/>
      <c r="D484" s="45"/>
      <c r="E484" s="50"/>
      <c r="F484" s="51"/>
      <c r="G484" s="52"/>
      <c r="H484" s="52"/>
      <c r="I484" s="52" t="str">
        <f t="shared" si="25"/>
        <v/>
      </c>
      <c r="J484" s="54"/>
      <c r="K484" s="55" t="str">
        <f t="shared" si="26"/>
        <v/>
      </c>
      <c r="L484" s="54"/>
      <c r="M484" s="54"/>
      <c r="N484" s="54"/>
      <c r="O484" s="54"/>
      <c r="P484" s="54"/>
      <c r="S484" s="38"/>
      <c r="T484" s="38"/>
      <c r="U484" s="38"/>
      <c r="V484" s="37"/>
      <c r="W484" s="37"/>
      <c r="X484" s="37"/>
      <c r="Y484" s="37"/>
      <c r="Z484" s="37"/>
      <c r="AA484" s="37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</row>
    <row r="485" spans="1:52" ht="39.75" hidden="1" customHeight="1" x14ac:dyDescent="0.2">
      <c r="A485" s="45" t="str">
        <f t="shared" si="24"/>
        <v/>
      </c>
      <c r="B485" s="45"/>
      <c r="C485" s="45"/>
      <c r="D485" s="45"/>
      <c r="E485" s="50"/>
      <c r="F485" s="51"/>
      <c r="G485" s="52"/>
      <c r="H485" s="52"/>
      <c r="I485" s="52" t="str">
        <f t="shared" si="25"/>
        <v/>
      </c>
      <c r="J485" s="54"/>
      <c r="K485" s="55" t="str">
        <f t="shared" si="26"/>
        <v/>
      </c>
      <c r="L485" s="54"/>
      <c r="M485" s="54"/>
      <c r="N485" s="54"/>
      <c r="O485" s="54"/>
      <c r="P485" s="54"/>
      <c r="S485" s="38"/>
      <c r="T485" s="38"/>
      <c r="U485" s="38"/>
      <c r="V485" s="37"/>
      <c r="W485" s="37"/>
      <c r="X485" s="37"/>
      <c r="Y485" s="37"/>
      <c r="Z485" s="37"/>
      <c r="AA485" s="37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</row>
    <row r="486" spans="1:52" ht="39.75" hidden="1" customHeight="1" x14ac:dyDescent="0.2">
      <c r="A486" s="45" t="str">
        <f t="shared" si="24"/>
        <v/>
      </c>
      <c r="B486" s="45"/>
      <c r="C486" s="45"/>
      <c r="D486" s="45"/>
      <c r="E486" s="50"/>
      <c r="F486" s="51"/>
      <c r="G486" s="52"/>
      <c r="H486" s="52"/>
      <c r="I486" s="52" t="str">
        <f t="shared" si="25"/>
        <v/>
      </c>
      <c r="J486" s="54"/>
      <c r="K486" s="55" t="str">
        <f t="shared" si="26"/>
        <v/>
      </c>
      <c r="L486" s="54"/>
      <c r="M486" s="54"/>
      <c r="N486" s="54"/>
      <c r="O486" s="54"/>
      <c r="P486" s="54"/>
      <c r="S486" s="38"/>
      <c r="T486" s="38"/>
      <c r="U486" s="38"/>
      <c r="V486" s="37"/>
      <c r="W486" s="37"/>
      <c r="X486" s="37"/>
      <c r="Y486" s="37"/>
      <c r="Z486" s="37"/>
      <c r="AA486" s="37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</row>
    <row r="487" spans="1:52" ht="39.75" hidden="1" customHeight="1" x14ac:dyDescent="0.2">
      <c r="A487" s="45" t="str">
        <f t="shared" si="24"/>
        <v/>
      </c>
      <c r="B487" s="45"/>
      <c r="C487" s="45"/>
      <c r="D487" s="45"/>
      <c r="E487" s="50"/>
      <c r="F487" s="51"/>
      <c r="G487" s="52"/>
      <c r="H487" s="52"/>
      <c r="I487" s="52" t="str">
        <f t="shared" si="25"/>
        <v/>
      </c>
      <c r="J487" s="54"/>
      <c r="K487" s="55" t="str">
        <f t="shared" si="26"/>
        <v/>
      </c>
      <c r="L487" s="54"/>
      <c r="M487" s="54"/>
      <c r="N487" s="54"/>
      <c r="O487" s="54"/>
      <c r="P487" s="54"/>
      <c r="S487" s="38"/>
      <c r="T487" s="38"/>
      <c r="U487" s="38"/>
      <c r="V487" s="37"/>
      <c r="W487" s="37"/>
      <c r="X487" s="37"/>
      <c r="Y487" s="37"/>
      <c r="Z487" s="37"/>
      <c r="AA487" s="37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</row>
    <row r="488" spans="1:52" ht="39.75" hidden="1" customHeight="1" x14ac:dyDescent="0.2">
      <c r="A488" s="45" t="str">
        <f t="shared" si="24"/>
        <v/>
      </c>
      <c r="B488" s="45"/>
      <c r="C488" s="45"/>
      <c r="D488" s="45"/>
      <c r="E488" s="50"/>
      <c r="F488" s="51"/>
      <c r="G488" s="52"/>
      <c r="H488" s="52"/>
      <c r="I488" s="52" t="str">
        <f t="shared" si="25"/>
        <v/>
      </c>
      <c r="J488" s="54"/>
      <c r="K488" s="55" t="str">
        <f t="shared" si="26"/>
        <v/>
      </c>
      <c r="L488" s="54"/>
      <c r="M488" s="54"/>
      <c r="N488" s="54"/>
      <c r="O488" s="54"/>
      <c r="P488" s="54"/>
      <c r="S488" s="38"/>
      <c r="T488" s="38"/>
      <c r="U488" s="38"/>
      <c r="V488" s="37"/>
      <c r="W488" s="37"/>
      <c r="X488" s="37"/>
      <c r="Y488" s="37"/>
      <c r="Z488" s="37"/>
      <c r="AA488" s="37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</row>
    <row r="489" spans="1:52" ht="39.75" hidden="1" customHeight="1" x14ac:dyDescent="0.2">
      <c r="A489" s="45" t="str">
        <f t="shared" si="24"/>
        <v/>
      </c>
      <c r="B489" s="45"/>
      <c r="C489" s="45"/>
      <c r="D489" s="45"/>
      <c r="E489" s="50"/>
      <c r="F489" s="51"/>
      <c r="G489" s="52"/>
      <c r="H489" s="52"/>
      <c r="I489" s="52" t="str">
        <f t="shared" si="25"/>
        <v/>
      </c>
      <c r="J489" s="54"/>
      <c r="K489" s="55" t="str">
        <f t="shared" si="26"/>
        <v/>
      </c>
      <c r="L489" s="54"/>
      <c r="M489" s="54"/>
      <c r="N489" s="54"/>
      <c r="O489" s="54"/>
      <c r="P489" s="54"/>
      <c r="S489" s="38"/>
      <c r="T489" s="38"/>
      <c r="U489" s="38"/>
      <c r="V489" s="37"/>
      <c r="W489" s="37"/>
      <c r="X489" s="37"/>
      <c r="Y489" s="37"/>
      <c r="Z489" s="37"/>
      <c r="AA489" s="37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</row>
    <row r="490" spans="1:52" ht="39.75" hidden="1" customHeight="1" x14ac:dyDescent="0.2">
      <c r="A490" s="45" t="str">
        <f t="shared" si="24"/>
        <v/>
      </c>
      <c r="B490" s="45"/>
      <c r="C490" s="45"/>
      <c r="D490" s="45"/>
      <c r="E490" s="50"/>
      <c r="F490" s="51"/>
      <c r="G490" s="52"/>
      <c r="H490" s="52"/>
      <c r="I490" s="52" t="str">
        <f t="shared" si="25"/>
        <v/>
      </c>
      <c r="J490" s="54"/>
      <c r="K490" s="55" t="str">
        <f t="shared" si="26"/>
        <v/>
      </c>
      <c r="L490" s="54"/>
      <c r="M490" s="54"/>
      <c r="N490" s="54"/>
      <c r="O490" s="54"/>
      <c r="P490" s="54"/>
      <c r="S490" s="38"/>
      <c r="T490" s="38"/>
      <c r="U490" s="38"/>
      <c r="V490" s="37"/>
      <c r="W490" s="37"/>
      <c r="X490" s="37"/>
      <c r="Y490" s="37"/>
      <c r="Z490" s="37"/>
      <c r="AA490" s="37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</row>
    <row r="491" spans="1:52" ht="39.75" hidden="1" customHeight="1" x14ac:dyDescent="0.2">
      <c r="A491" s="45" t="str">
        <f t="shared" si="24"/>
        <v/>
      </c>
      <c r="B491" s="45"/>
      <c r="C491" s="45"/>
      <c r="D491" s="45"/>
      <c r="E491" s="50"/>
      <c r="F491" s="51"/>
      <c r="G491" s="52"/>
      <c r="H491" s="52"/>
      <c r="I491" s="52" t="str">
        <f t="shared" si="25"/>
        <v/>
      </c>
      <c r="J491" s="54"/>
      <c r="K491" s="55" t="str">
        <f t="shared" si="26"/>
        <v/>
      </c>
      <c r="L491" s="54"/>
      <c r="M491" s="54"/>
      <c r="N491" s="54"/>
      <c r="O491" s="54"/>
      <c r="P491" s="54"/>
      <c r="S491" s="38"/>
      <c r="T491" s="38"/>
      <c r="U491" s="38"/>
      <c r="V491" s="37"/>
      <c r="W491" s="37"/>
      <c r="X491" s="37"/>
      <c r="Y491" s="37"/>
      <c r="Z491" s="37"/>
      <c r="AA491" s="37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</row>
    <row r="492" spans="1:52" ht="39.75" hidden="1" customHeight="1" x14ac:dyDescent="0.2">
      <c r="A492" s="45" t="str">
        <f t="shared" si="24"/>
        <v/>
      </c>
      <c r="B492" s="45"/>
      <c r="C492" s="45"/>
      <c r="D492" s="45"/>
      <c r="E492" s="50"/>
      <c r="F492" s="51"/>
      <c r="G492" s="52"/>
      <c r="H492" s="52"/>
      <c r="I492" s="52" t="str">
        <f t="shared" si="25"/>
        <v/>
      </c>
      <c r="J492" s="54"/>
      <c r="K492" s="55" t="str">
        <f t="shared" si="26"/>
        <v/>
      </c>
      <c r="L492" s="54"/>
      <c r="M492" s="54"/>
      <c r="N492" s="54"/>
      <c r="O492" s="54"/>
      <c r="P492" s="54"/>
      <c r="S492" s="38"/>
      <c r="T492" s="38"/>
      <c r="U492" s="38"/>
      <c r="V492" s="37"/>
      <c r="W492" s="37"/>
      <c r="X492" s="37"/>
      <c r="Y492" s="37"/>
      <c r="Z492" s="37"/>
      <c r="AA492" s="37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</row>
    <row r="493" spans="1:52" ht="39.75" hidden="1" customHeight="1" x14ac:dyDescent="0.2">
      <c r="A493" s="45" t="str">
        <f t="shared" si="24"/>
        <v/>
      </c>
      <c r="B493" s="45"/>
      <c r="C493" s="45"/>
      <c r="D493" s="45"/>
      <c r="E493" s="50"/>
      <c r="F493" s="51"/>
      <c r="G493" s="52"/>
      <c r="H493" s="52"/>
      <c r="I493" s="52" t="str">
        <f t="shared" si="25"/>
        <v/>
      </c>
      <c r="J493" s="54"/>
      <c r="K493" s="55" t="str">
        <f t="shared" si="26"/>
        <v/>
      </c>
      <c r="L493" s="54"/>
      <c r="M493" s="54"/>
      <c r="N493" s="54"/>
      <c r="O493" s="54"/>
      <c r="P493" s="54"/>
      <c r="S493" s="38"/>
      <c r="T493" s="38"/>
      <c r="U493" s="38"/>
      <c r="V493" s="37"/>
      <c r="W493" s="37"/>
      <c r="X493" s="37"/>
      <c r="Y493" s="37"/>
      <c r="Z493" s="37"/>
      <c r="AA493" s="37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</row>
    <row r="494" spans="1:52" ht="39.75" hidden="1" customHeight="1" x14ac:dyDescent="0.2">
      <c r="A494" s="45" t="str">
        <f t="shared" si="24"/>
        <v/>
      </c>
      <c r="B494" s="45"/>
      <c r="C494" s="45"/>
      <c r="D494" s="45"/>
      <c r="E494" s="50"/>
      <c r="F494" s="51"/>
      <c r="G494" s="52"/>
      <c r="H494" s="52"/>
      <c r="I494" s="52" t="str">
        <f t="shared" si="25"/>
        <v/>
      </c>
      <c r="J494" s="54"/>
      <c r="K494" s="55" t="str">
        <f t="shared" si="26"/>
        <v/>
      </c>
      <c r="L494" s="54"/>
      <c r="M494" s="54"/>
      <c r="N494" s="54"/>
      <c r="O494" s="54"/>
      <c r="P494" s="54"/>
      <c r="S494" s="38"/>
      <c r="T494" s="38"/>
      <c r="U494" s="38"/>
      <c r="V494" s="37"/>
      <c r="W494" s="37"/>
      <c r="X494" s="37"/>
      <c r="Y494" s="37"/>
      <c r="Z494" s="37"/>
      <c r="AA494" s="37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</row>
    <row r="495" spans="1:52" ht="39.75" hidden="1" customHeight="1" x14ac:dyDescent="0.2">
      <c r="A495" s="45" t="str">
        <f t="shared" si="24"/>
        <v/>
      </c>
      <c r="B495" s="45"/>
      <c r="C495" s="45"/>
      <c r="D495" s="45"/>
      <c r="E495" s="50"/>
      <c r="F495" s="51"/>
      <c r="G495" s="52"/>
      <c r="H495" s="52"/>
      <c r="I495" s="52" t="str">
        <f t="shared" si="25"/>
        <v/>
      </c>
      <c r="J495" s="54"/>
      <c r="K495" s="55" t="str">
        <f t="shared" si="26"/>
        <v/>
      </c>
      <c r="L495" s="54"/>
      <c r="M495" s="54"/>
      <c r="N495" s="54"/>
      <c r="O495" s="54"/>
      <c r="P495" s="54"/>
      <c r="S495" s="38"/>
      <c r="T495" s="38"/>
      <c r="U495" s="38"/>
      <c r="V495" s="37"/>
      <c r="W495" s="37"/>
      <c r="X495" s="37"/>
      <c r="Y495" s="37"/>
      <c r="Z495" s="37"/>
      <c r="AA495" s="37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</row>
    <row r="496" spans="1:52" ht="39.75" hidden="1" customHeight="1" x14ac:dyDescent="0.2">
      <c r="A496" s="45" t="str">
        <f t="shared" si="24"/>
        <v/>
      </c>
      <c r="B496" s="45"/>
      <c r="C496" s="45"/>
      <c r="D496" s="45"/>
      <c r="E496" s="50"/>
      <c r="F496" s="51"/>
      <c r="G496" s="52"/>
      <c r="H496" s="52"/>
      <c r="I496" s="52" t="str">
        <f t="shared" si="25"/>
        <v/>
      </c>
      <c r="J496" s="54"/>
      <c r="K496" s="55" t="str">
        <f t="shared" si="26"/>
        <v/>
      </c>
      <c r="L496" s="54"/>
      <c r="M496" s="54"/>
      <c r="N496" s="54"/>
      <c r="O496" s="54"/>
      <c r="P496" s="54"/>
      <c r="S496" s="38"/>
      <c r="T496" s="38"/>
      <c r="U496" s="38"/>
      <c r="V496" s="37"/>
      <c r="W496" s="37"/>
      <c r="X496" s="37"/>
      <c r="Y496" s="37"/>
      <c r="Z496" s="37"/>
      <c r="AA496" s="37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</row>
    <row r="497" spans="1:52" ht="39.75" hidden="1" customHeight="1" x14ac:dyDescent="0.2">
      <c r="A497" s="45" t="str">
        <f t="shared" si="24"/>
        <v/>
      </c>
      <c r="B497" s="45"/>
      <c r="C497" s="45"/>
      <c r="D497" s="45"/>
      <c r="E497" s="50"/>
      <c r="F497" s="51"/>
      <c r="G497" s="52"/>
      <c r="H497" s="52"/>
      <c r="I497" s="52" t="str">
        <f t="shared" si="25"/>
        <v/>
      </c>
      <c r="J497" s="54"/>
      <c r="K497" s="55" t="str">
        <f t="shared" si="26"/>
        <v/>
      </c>
      <c r="L497" s="54"/>
      <c r="M497" s="54"/>
      <c r="N497" s="54"/>
      <c r="O497" s="54"/>
      <c r="P497" s="54"/>
      <c r="S497" s="38"/>
      <c r="T497" s="38"/>
      <c r="U497" s="38"/>
      <c r="V497" s="37"/>
      <c r="W497" s="37"/>
      <c r="X497" s="37"/>
      <c r="Y497" s="37"/>
      <c r="Z497" s="37"/>
      <c r="AA497" s="37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</row>
    <row r="498" spans="1:52" ht="39.75" hidden="1" customHeight="1" x14ac:dyDescent="0.2">
      <c r="A498" s="45" t="str">
        <f t="shared" si="24"/>
        <v/>
      </c>
      <c r="B498" s="45"/>
      <c r="C498" s="45"/>
      <c r="D498" s="45"/>
      <c r="E498" s="50"/>
      <c r="F498" s="51"/>
      <c r="G498" s="52"/>
      <c r="H498" s="52"/>
      <c r="I498" s="52" t="str">
        <f t="shared" si="25"/>
        <v/>
      </c>
      <c r="J498" s="54"/>
      <c r="K498" s="55" t="str">
        <f t="shared" si="26"/>
        <v/>
      </c>
      <c r="L498" s="54"/>
      <c r="M498" s="54"/>
      <c r="N498" s="54"/>
      <c r="O498" s="54"/>
      <c r="P498" s="54"/>
      <c r="S498" s="38"/>
      <c r="T498" s="38"/>
      <c r="U498" s="38"/>
      <c r="V498" s="37"/>
      <c r="W498" s="37"/>
      <c r="X498" s="37"/>
      <c r="Y498" s="37"/>
      <c r="Z498" s="37"/>
      <c r="AA498" s="37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</row>
    <row r="499" spans="1:52" ht="39.75" hidden="1" customHeight="1" x14ac:dyDescent="0.2">
      <c r="A499" s="45" t="str">
        <f t="shared" si="24"/>
        <v/>
      </c>
      <c r="B499" s="45"/>
      <c r="C499" s="45"/>
      <c r="D499" s="45"/>
      <c r="E499" s="50"/>
      <c r="F499" s="51"/>
      <c r="G499" s="52"/>
      <c r="H499" s="52"/>
      <c r="I499" s="52" t="str">
        <f t="shared" si="25"/>
        <v/>
      </c>
      <c r="J499" s="54"/>
      <c r="K499" s="55" t="str">
        <f t="shared" si="26"/>
        <v/>
      </c>
      <c r="L499" s="54"/>
      <c r="M499" s="54"/>
      <c r="N499" s="54"/>
      <c r="O499" s="54"/>
      <c r="P499" s="54"/>
      <c r="S499" s="38"/>
      <c r="T499" s="38"/>
      <c r="U499" s="38"/>
      <c r="V499" s="37"/>
      <c r="W499" s="37"/>
      <c r="X499" s="37"/>
      <c r="Y499" s="37"/>
      <c r="Z499" s="37"/>
      <c r="AA499" s="37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</row>
    <row r="500" spans="1:52" ht="39.75" hidden="1" customHeight="1" x14ac:dyDescent="0.2">
      <c r="A500" s="45" t="str">
        <f t="shared" si="24"/>
        <v/>
      </c>
      <c r="B500" s="45"/>
      <c r="C500" s="45"/>
      <c r="D500" s="45"/>
      <c r="E500" s="50"/>
      <c r="F500" s="51"/>
      <c r="G500" s="52"/>
      <c r="H500" s="52"/>
      <c r="I500" s="52" t="str">
        <f t="shared" si="25"/>
        <v/>
      </c>
      <c r="J500" s="54"/>
      <c r="K500" s="55" t="str">
        <f t="shared" si="26"/>
        <v/>
      </c>
      <c r="L500" s="54"/>
      <c r="M500" s="54"/>
      <c r="N500" s="54"/>
      <c r="O500" s="54"/>
      <c r="P500" s="54"/>
      <c r="S500" s="38"/>
      <c r="T500" s="38"/>
      <c r="U500" s="38"/>
      <c r="V500" s="37"/>
      <c r="W500" s="37"/>
      <c r="X500" s="37"/>
      <c r="Y500" s="37"/>
      <c r="Z500" s="37"/>
      <c r="AA500" s="37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</row>
    <row r="501" spans="1:52" ht="39.75" hidden="1" customHeight="1" x14ac:dyDescent="0.2">
      <c r="A501" s="45" t="str">
        <f t="shared" si="24"/>
        <v/>
      </c>
      <c r="B501" s="45"/>
      <c r="C501" s="45"/>
      <c r="D501" s="45"/>
      <c r="E501" s="50"/>
      <c r="F501" s="51"/>
      <c r="G501" s="52"/>
      <c r="H501" s="52"/>
      <c r="I501" s="52" t="str">
        <f t="shared" si="25"/>
        <v/>
      </c>
      <c r="J501" s="54"/>
      <c r="K501" s="55" t="str">
        <f t="shared" si="26"/>
        <v/>
      </c>
      <c r="L501" s="54"/>
      <c r="M501" s="54"/>
      <c r="N501" s="54"/>
      <c r="O501" s="54"/>
      <c r="P501" s="54"/>
      <c r="S501" s="38"/>
      <c r="T501" s="38"/>
      <c r="U501" s="38"/>
      <c r="V501" s="37"/>
      <c r="W501" s="37"/>
      <c r="X501" s="37"/>
      <c r="Y501" s="37"/>
      <c r="Z501" s="37"/>
      <c r="AA501" s="37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</row>
    <row r="502" spans="1:52" ht="39.75" hidden="1" customHeight="1" x14ac:dyDescent="0.2">
      <c r="A502" s="45" t="str">
        <f t="shared" si="24"/>
        <v/>
      </c>
      <c r="B502" s="45"/>
      <c r="C502" s="45"/>
      <c r="D502" s="45"/>
      <c r="E502" s="50"/>
      <c r="F502" s="51"/>
      <c r="G502" s="52"/>
      <c r="H502" s="52"/>
      <c r="I502" s="52" t="str">
        <f t="shared" si="25"/>
        <v/>
      </c>
      <c r="J502" s="54"/>
      <c r="K502" s="55" t="str">
        <f t="shared" si="26"/>
        <v/>
      </c>
      <c r="L502" s="54"/>
      <c r="M502" s="54"/>
      <c r="N502" s="54"/>
      <c r="O502" s="54"/>
      <c r="P502" s="54"/>
      <c r="S502" s="38"/>
      <c r="T502" s="38"/>
      <c r="U502" s="38"/>
      <c r="V502" s="37"/>
      <c r="W502" s="37"/>
      <c r="X502" s="37"/>
      <c r="Y502" s="37"/>
      <c r="Z502" s="37"/>
      <c r="AA502" s="37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</row>
    <row r="503" spans="1:52" ht="39.75" hidden="1" customHeight="1" x14ac:dyDescent="0.2">
      <c r="A503" s="45" t="str">
        <f t="shared" si="24"/>
        <v/>
      </c>
      <c r="B503" s="45"/>
      <c r="C503" s="45"/>
      <c r="D503" s="45"/>
      <c r="E503" s="50"/>
      <c r="F503" s="51"/>
      <c r="G503" s="52"/>
      <c r="H503" s="52"/>
      <c r="I503" s="52" t="str">
        <f t="shared" si="25"/>
        <v/>
      </c>
      <c r="J503" s="54"/>
      <c r="K503" s="55" t="str">
        <f t="shared" si="26"/>
        <v/>
      </c>
      <c r="L503" s="54"/>
      <c r="M503" s="54"/>
      <c r="N503" s="54"/>
      <c r="O503" s="54"/>
      <c r="P503" s="54"/>
      <c r="S503" s="38"/>
      <c r="T503" s="38"/>
      <c r="U503" s="38"/>
      <c r="V503" s="37"/>
      <c r="W503" s="37"/>
      <c r="X503" s="37"/>
      <c r="Y503" s="37"/>
      <c r="Z503" s="37"/>
      <c r="AA503" s="37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</row>
    <row r="504" spans="1:52" ht="39.75" hidden="1" customHeight="1" x14ac:dyDescent="0.2">
      <c r="A504" s="45" t="str">
        <f t="shared" si="24"/>
        <v/>
      </c>
      <c r="B504" s="45"/>
      <c r="C504" s="45"/>
      <c r="D504" s="45"/>
      <c r="E504" s="50"/>
      <c r="F504" s="51"/>
      <c r="G504" s="52"/>
      <c r="H504" s="52"/>
      <c r="I504" s="52" t="str">
        <f t="shared" si="25"/>
        <v/>
      </c>
      <c r="J504" s="54"/>
      <c r="K504" s="55" t="str">
        <f t="shared" si="26"/>
        <v/>
      </c>
      <c r="L504" s="54"/>
      <c r="M504" s="54"/>
      <c r="N504" s="54"/>
      <c r="O504" s="54"/>
      <c r="P504" s="54"/>
      <c r="S504" s="38"/>
      <c r="T504" s="38"/>
      <c r="U504" s="38"/>
      <c r="V504" s="37"/>
      <c r="W504" s="37"/>
      <c r="X504" s="37"/>
      <c r="Y504" s="37"/>
      <c r="Z504" s="37"/>
      <c r="AA504" s="37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</row>
    <row r="505" spans="1:52" ht="39.75" hidden="1" customHeight="1" x14ac:dyDescent="0.2">
      <c r="A505" s="45" t="str">
        <f t="shared" si="24"/>
        <v/>
      </c>
      <c r="B505" s="45"/>
      <c r="C505" s="45"/>
      <c r="D505" s="45"/>
      <c r="E505" s="50"/>
      <c r="F505" s="51"/>
      <c r="G505" s="52"/>
      <c r="H505" s="52"/>
      <c r="I505" s="52" t="str">
        <f t="shared" si="25"/>
        <v/>
      </c>
      <c r="J505" s="54"/>
      <c r="K505" s="55" t="str">
        <f t="shared" si="26"/>
        <v/>
      </c>
      <c r="L505" s="54"/>
      <c r="M505" s="54"/>
      <c r="N505" s="54"/>
      <c r="O505" s="54"/>
      <c r="P505" s="54"/>
      <c r="S505" s="38"/>
      <c r="T505" s="38"/>
      <c r="U505" s="38"/>
      <c r="V505" s="37"/>
      <c r="W505" s="37"/>
      <c r="X505" s="37"/>
      <c r="Y505" s="37"/>
      <c r="Z505" s="37"/>
      <c r="AA505" s="37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</row>
    <row r="506" spans="1:52" ht="39.75" hidden="1" customHeight="1" x14ac:dyDescent="0.2">
      <c r="A506" s="45" t="str">
        <f t="shared" si="24"/>
        <v/>
      </c>
      <c r="B506" s="45"/>
      <c r="C506" s="45"/>
      <c r="D506" s="45"/>
      <c r="E506" s="50"/>
      <c r="F506" s="51"/>
      <c r="G506" s="52"/>
      <c r="H506" s="52"/>
      <c r="I506" s="52" t="str">
        <f t="shared" si="25"/>
        <v/>
      </c>
      <c r="J506" s="54"/>
      <c r="K506" s="55" t="str">
        <f t="shared" si="26"/>
        <v/>
      </c>
      <c r="L506" s="54"/>
      <c r="M506" s="54"/>
      <c r="N506" s="54"/>
      <c r="O506" s="54"/>
      <c r="P506" s="54"/>
      <c r="S506" s="38"/>
      <c r="T506" s="38"/>
      <c r="U506" s="38"/>
      <c r="V506" s="37"/>
      <c r="W506" s="37"/>
      <c r="X506" s="37"/>
      <c r="Y506" s="37"/>
      <c r="Z506" s="37"/>
      <c r="AA506" s="37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</row>
    <row r="507" spans="1:52" ht="39.75" hidden="1" customHeight="1" x14ac:dyDescent="0.2">
      <c r="A507" s="45" t="str">
        <f t="shared" si="24"/>
        <v/>
      </c>
      <c r="B507" s="45"/>
      <c r="C507" s="45"/>
      <c r="D507" s="45"/>
      <c r="E507" s="50"/>
      <c r="F507" s="51"/>
      <c r="G507" s="52"/>
      <c r="H507" s="52"/>
      <c r="I507" s="52" t="str">
        <f t="shared" si="25"/>
        <v/>
      </c>
      <c r="J507" s="54"/>
      <c r="K507" s="55" t="str">
        <f t="shared" si="26"/>
        <v/>
      </c>
      <c r="L507" s="54"/>
      <c r="M507" s="54"/>
      <c r="N507" s="54"/>
      <c r="O507" s="54"/>
      <c r="P507" s="54"/>
      <c r="S507" s="38"/>
      <c r="T507" s="38"/>
      <c r="U507" s="38"/>
      <c r="V507" s="37"/>
      <c r="W507" s="37"/>
      <c r="X507" s="37"/>
      <c r="Y507" s="37"/>
      <c r="Z507" s="37"/>
      <c r="AA507" s="37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</row>
    <row r="508" spans="1:52" ht="39.75" hidden="1" customHeight="1" x14ac:dyDescent="0.2">
      <c r="A508" s="45" t="str">
        <f t="shared" si="24"/>
        <v/>
      </c>
      <c r="B508" s="45"/>
      <c r="C508" s="45"/>
      <c r="D508" s="45"/>
      <c r="E508" s="50"/>
      <c r="F508" s="51"/>
      <c r="G508" s="52"/>
      <c r="H508" s="52"/>
      <c r="I508" s="52" t="str">
        <f t="shared" si="25"/>
        <v/>
      </c>
      <c r="J508" s="54"/>
      <c r="K508" s="55" t="str">
        <f t="shared" si="26"/>
        <v/>
      </c>
      <c r="L508" s="54"/>
      <c r="M508" s="54"/>
      <c r="N508" s="54"/>
      <c r="O508" s="54"/>
      <c r="P508" s="54"/>
      <c r="S508" s="38"/>
      <c r="T508" s="38"/>
      <c r="U508" s="38"/>
      <c r="V508" s="37"/>
      <c r="W508" s="37"/>
      <c r="X508" s="37"/>
      <c r="Y508" s="37"/>
      <c r="Z508" s="37"/>
      <c r="AA508" s="37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</row>
    <row r="509" spans="1:52" ht="39.75" hidden="1" customHeight="1" x14ac:dyDescent="0.2">
      <c r="A509" s="45" t="str">
        <f t="shared" si="24"/>
        <v/>
      </c>
      <c r="B509" s="45"/>
      <c r="C509" s="45"/>
      <c r="D509" s="45"/>
      <c r="E509" s="50"/>
      <c r="F509" s="51"/>
      <c r="G509" s="52"/>
      <c r="H509" s="52"/>
      <c r="I509" s="52" t="str">
        <f t="shared" si="25"/>
        <v/>
      </c>
      <c r="J509" s="54"/>
      <c r="K509" s="55" t="str">
        <f t="shared" si="26"/>
        <v/>
      </c>
      <c r="L509" s="54"/>
      <c r="M509" s="54"/>
      <c r="N509" s="54"/>
      <c r="O509" s="54"/>
      <c r="P509" s="54"/>
      <c r="S509" s="38"/>
      <c r="T509" s="38"/>
      <c r="U509" s="38"/>
      <c r="V509" s="37"/>
      <c r="W509" s="37"/>
      <c r="X509" s="37"/>
      <c r="Y509" s="37"/>
      <c r="Z509" s="37"/>
      <c r="AA509" s="37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</row>
    <row r="510" spans="1:52" ht="39.75" hidden="1" customHeight="1" x14ac:dyDescent="0.2">
      <c r="A510" s="45" t="str">
        <f t="shared" si="24"/>
        <v/>
      </c>
      <c r="B510" s="45"/>
      <c r="C510" s="45"/>
      <c r="D510" s="45"/>
      <c r="E510" s="50"/>
      <c r="F510" s="51"/>
      <c r="G510" s="52"/>
      <c r="H510" s="52"/>
      <c r="I510" s="52" t="str">
        <f t="shared" si="25"/>
        <v/>
      </c>
      <c r="J510" s="54"/>
      <c r="K510" s="55" t="str">
        <f t="shared" si="26"/>
        <v/>
      </c>
      <c r="L510" s="54"/>
      <c r="M510" s="54"/>
      <c r="N510" s="54"/>
      <c r="O510" s="54"/>
      <c r="P510" s="54"/>
      <c r="S510" s="38"/>
      <c r="T510" s="38"/>
      <c r="U510" s="38"/>
      <c r="V510" s="37"/>
      <c r="W510" s="37"/>
      <c r="X510" s="37"/>
      <c r="Y510" s="37"/>
      <c r="Z510" s="37"/>
      <c r="AA510" s="37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</row>
    <row r="511" spans="1:52" ht="39.75" hidden="1" customHeight="1" x14ac:dyDescent="0.2">
      <c r="A511" s="45" t="str">
        <f t="shared" si="24"/>
        <v/>
      </c>
      <c r="B511" s="45"/>
      <c r="C511" s="45"/>
      <c r="D511" s="45"/>
      <c r="E511" s="50"/>
      <c r="F511" s="51"/>
      <c r="G511" s="52"/>
      <c r="H511" s="52"/>
      <c r="I511" s="52" t="str">
        <f t="shared" si="25"/>
        <v/>
      </c>
      <c r="J511" s="54"/>
      <c r="K511" s="55" t="str">
        <f t="shared" si="26"/>
        <v/>
      </c>
      <c r="L511" s="54"/>
      <c r="M511" s="54"/>
      <c r="N511" s="54"/>
      <c r="O511" s="54"/>
      <c r="P511" s="54"/>
      <c r="S511" s="38"/>
      <c r="T511" s="38"/>
      <c r="U511" s="38"/>
      <c r="V511" s="37"/>
      <c r="W511" s="37"/>
      <c r="X511" s="37"/>
      <c r="Y511" s="37"/>
      <c r="Z511" s="37"/>
      <c r="AA511" s="37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</row>
    <row r="512" spans="1:52" ht="39.75" hidden="1" customHeight="1" x14ac:dyDescent="0.2">
      <c r="A512" s="45" t="str">
        <f t="shared" si="24"/>
        <v/>
      </c>
      <c r="B512" s="45"/>
      <c r="C512" s="45"/>
      <c r="D512" s="45"/>
      <c r="E512" s="50"/>
      <c r="F512" s="51"/>
      <c r="G512" s="52"/>
      <c r="H512" s="52"/>
      <c r="I512" s="52" t="str">
        <f t="shared" si="25"/>
        <v/>
      </c>
      <c r="J512" s="54"/>
      <c r="K512" s="55" t="str">
        <f t="shared" si="26"/>
        <v/>
      </c>
      <c r="L512" s="54"/>
      <c r="M512" s="54"/>
      <c r="N512" s="54"/>
      <c r="O512" s="54"/>
      <c r="P512" s="54"/>
      <c r="S512" s="38"/>
      <c r="T512" s="38"/>
      <c r="U512" s="38"/>
      <c r="V512" s="37"/>
      <c r="W512" s="37"/>
      <c r="X512" s="37"/>
      <c r="Y512" s="37"/>
      <c r="Z512" s="37"/>
      <c r="AA512" s="37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</row>
    <row r="513" spans="1:52" ht="39.75" hidden="1" customHeight="1" x14ac:dyDescent="0.2">
      <c r="A513" s="45" t="str">
        <f t="shared" si="24"/>
        <v/>
      </c>
      <c r="B513" s="45"/>
      <c r="C513" s="45"/>
      <c r="D513" s="45"/>
      <c r="E513" s="50"/>
      <c r="F513" s="51"/>
      <c r="G513" s="52"/>
      <c r="H513" s="52"/>
      <c r="I513" s="52" t="str">
        <f t="shared" si="25"/>
        <v/>
      </c>
      <c r="J513" s="54"/>
      <c r="K513" s="55" t="str">
        <f t="shared" si="26"/>
        <v/>
      </c>
      <c r="L513" s="54"/>
      <c r="M513" s="54"/>
      <c r="N513" s="54"/>
      <c r="O513" s="54"/>
      <c r="P513" s="54"/>
      <c r="S513" s="38"/>
      <c r="T513" s="38"/>
      <c r="U513" s="38"/>
      <c r="V513" s="37"/>
      <c r="W513" s="37"/>
      <c r="X513" s="37"/>
      <c r="Y513" s="37"/>
      <c r="Z513" s="37"/>
      <c r="AA513" s="37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</row>
    <row r="514" spans="1:52" ht="39.75" hidden="1" customHeight="1" x14ac:dyDescent="0.2">
      <c r="A514" s="45" t="str">
        <f t="shared" si="24"/>
        <v/>
      </c>
      <c r="B514" s="45"/>
      <c r="C514" s="45"/>
      <c r="D514" s="45"/>
      <c r="E514" s="50"/>
      <c r="F514" s="51"/>
      <c r="G514" s="52"/>
      <c r="H514" s="52"/>
      <c r="I514" s="52" t="str">
        <f t="shared" si="25"/>
        <v/>
      </c>
      <c r="J514" s="54"/>
      <c r="K514" s="55" t="str">
        <f t="shared" si="26"/>
        <v/>
      </c>
      <c r="L514" s="54"/>
      <c r="M514" s="54"/>
      <c r="N514" s="54"/>
      <c r="O514" s="54"/>
      <c r="P514" s="54"/>
      <c r="S514" s="38"/>
      <c r="T514" s="38"/>
      <c r="U514" s="38"/>
      <c r="V514" s="37"/>
      <c r="W514" s="37"/>
      <c r="X514" s="37"/>
      <c r="Y514" s="37"/>
      <c r="Z514" s="37"/>
      <c r="AA514" s="37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</row>
    <row r="515" spans="1:52" ht="39.75" hidden="1" customHeight="1" x14ac:dyDescent="0.2">
      <c r="A515" s="45" t="str">
        <f t="shared" si="24"/>
        <v/>
      </c>
      <c r="B515" s="45"/>
      <c r="C515" s="45"/>
      <c r="D515" s="45"/>
      <c r="E515" s="50"/>
      <c r="F515" s="51"/>
      <c r="G515" s="52"/>
      <c r="H515" s="52"/>
      <c r="I515" s="52" t="str">
        <f t="shared" si="25"/>
        <v/>
      </c>
      <c r="J515" s="54"/>
      <c r="K515" s="55" t="str">
        <f t="shared" si="26"/>
        <v/>
      </c>
      <c r="L515" s="54"/>
      <c r="M515" s="54"/>
      <c r="N515" s="54"/>
      <c r="O515" s="54"/>
      <c r="P515" s="54"/>
      <c r="S515" s="38"/>
      <c r="T515" s="38"/>
      <c r="U515" s="38"/>
      <c r="V515" s="37"/>
      <c r="W515" s="37"/>
      <c r="X515" s="37"/>
      <c r="Y515" s="37"/>
      <c r="Z515" s="37"/>
      <c r="AA515" s="37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</row>
    <row r="516" spans="1:52" ht="39.75" hidden="1" customHeight="1" x14ac:dyDescent="0.2">
      <c r="A516" s="45" t="str">
        <f t="shared" si="24"/>
        <v/>
      </c>
      <c r="B516" s="45"/>
      <c r="C516" s="45"/>
      <c r="D516" s="45"/>
      <c r="E516" s="50"/>
      <c r="F516" s="51"/>
      <c r="G516" s="52"/>
      <c r="H516" s="52"/>
      <c r="I516" s="52" t="str">
        <f t="shared" si="25"/>
        <v/>
      </c>
      <c r="J516" s="54"/>
      <c r="K516" s="55" t="str">
        <f t="shared" si="26"/>
        <v/>
      </c>
      <c r="L516" s="54"/>
      <c r="M516" s="54"/>
      <c r="N516" s="54"/>
      <c r="O516" s="54"/>
      <c r="P516" s="54"/>
      <c r="S516" s="38"/>
      <c r="T516" s="38"/>
      <c r="U516" s="38"/>
      <c r="V516" s="37"/>
      <c r="W516" s="37"/>
      <c r="X516" s="37"/>
      <c r="Y516" s="37"/>
      <c r="Z516" s="37"/>
      <c r="AA516" s="37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</row>
    <row r="517" spans="1:52" ht="39.75" hidden="1" customHeight="1" x14ac:dyDescent="0.2">
      <c r="A517" s="45" t="str">
        <f t="shared" si="24"/>
        <v/>
      </c>
      <c r="B517" s="45"/>
      <c r="C517" s="45"/>
      <c r="D517" s="45"/>
      <c r="E517" s="50"/>
      <c r="F517" s="51"/>
      <c r="G517" s="52"/>
      <c r="H517" s="52"/>
      <c r="I517" s="52" t="str">
        <f t="shared" si="25"/>
        <v/>
      </c>
      <c r="J517" s="54"/>
      <c r="K517" s="55" t="str">
        <f t="shared" si="26"/>
        <v/>
      </c>
      <c r="L517" s="54"/>
      <c r="M517" s="54"/>
      <c r="N517" s="54"/>
      <c r="O517" s="54"/>
      <c r="P517" s="54"/>
      <c r="S517" s="38"/>
      <c r="T517" s="38"/>
      <c r="U517" s="38"/>
      <c r="V517" s="37"/>
      <c r="W517" s="37"/>
      <c r="X517" s="37"/>
      <c r="Y517" s="37"/>
      <c r="Z517" s="37"/>
      <c r="AA517" s="37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</row>
    <row r="518" spans="1:52" ht="39.75" hidden="1" customHeight="1" x14ac:dyDescent="0.2">
      <c r="A518" s="45" t="str">
        <f t="shared" ref="A518:A581" si="27">IF(F518="","",ROW()-5)</f>
        <v/>
      </c>
      <c r="B518" s="45"/>
      <c r="C518" s="45"/>
      <c r="D518" s="45"/>
      <c r="E518" s="50"/>
      <c r="F518" s="51"/>
      <c r="G518" s="52"/>
      <c r="H518" s="52"/>
      <c r="I518" s="52" t="str">
        <f t="shared" ref="I518:I581" si="28">IF(AND(LEN(F518)=18, ISBLANK(G518)=FALSE(), ISBLANK(H518)=FALSE()),37,"")</f>
        <v/>
      </c>
      <c r="J518" s="54"/>
      <c r="K518" s="55" t="str">
        <f t="shared" ref="K518:K581" si="29">IF(OR(J518="",Q518=0),"",IF(COUNTA(L518:P518)&gt;Q518,"Seluruh pilihan telah dipilih, anda memilih lebih dari kemungkinan pilihan yang tersedia, periksa pilihan anda "&amp;"("&amp;COUNTA(L518:P518)&amp;"/"&amp;Q518&amp;")",IF(COUNTA(L518:P518)=Q518,IF(SUMPRODUCT(COUNTIF(L518:P518,L518:P518)*(L518:P518&lt;&gt;""))&gt;COUNTA(L518:P518),"Terdapat pilihan yang sama, segera ubah "&amp;"("&amp;COUNTA(L518:P518)&amp;"/"&amp;Q518&amp;")","Seluruh pilihan telah dipilih "&amp;"("&amp;COUNTA(L518:P518)&amp;"/"&amp;Q518&amp;")"),IF(COUNTA(L518:P518)&gt;0,"Masih terdapat pilihan yang bisa dipilih, silahkan melengkapi pilihan "&amp;"("&amp;COUNTA(L518:P518)&amp;"/"&amp;Q518&amp;")",""))))</f>
        <v/>
      </c>
      <c r="L518" s="54"/>
      <c r="M518" s="54"/>
      <c r="N518" s="54"/>
      <c r="O518" s="54"/>
      <c r="P518" s="54"/>
      <c r="S518" s="38"/>
      <c r="T518" s="38"/>
      <c r="U518" s="38"/>
      <c r="V518" s="37"/>
      <c r="W518" s="37"/>
      <c r="X518" s="37"/>
      <c r="Y518" s="37"/>
      <c r="Z518" s="37"/>
      <c r="AA518" s="37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</row>
    <row r="519" spans="1:52" ht="39.75" hidden="1" customHeight="1" x14ac:dyDescent="0.2">
      <c r="A519" s="45" t="str">
        <f t="shared" si="27"/>
        <v/>
      </c>
      <c r="B519" s="45"/>
      <c r="C519" s="45"/>
      <c r="D519" s="45"/>
      <c r="E519" s="50"/>
      <c r="F519" s="51"/>
      <c r="G519" s="52"/>
      <c r="H519" s="52"/>
      <c r="I519" s="52" t="str">
        <f t="shared" si="28"/>
        <v/>
      </c>
      <c r="J519" s="54"/>
      <c r="K519" s="55" t="str">
        <f t="shared" si="29"/>
        <v/>
      </c>
      <c r="L519" s="54"/>
      <c r="M519" s="54"/>
      <c r="N519" s="54"/>
      <c r="O519" s="54"/>
      <c r="P519" s="54"/>
      <c r="S519" s="38"/>
      <c r="T519" s="38"/>
      <c r="U519" s="38"/>
      <c r="V519" s="37"/>
      <c r="W519" s="37"/>
      <c r="X519" s="37"/>
      <c r="Y519" s="37"/>
      <c r="Z519" s="37"/>
      <c r="AA519" s="37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</row>
    <row r="520" spans="1:52" ht="39.75" hidden="1" customHeight="1" x14ac:dyDescent="0.2">
      <c r="A520" s="45" t="str">
        <f t="shared" si="27"/>
        <v/>
      </c>
      <c r="B520" s="45"/>
      <c r="C520" s="45"/>
      <c r="D520" s="45"/>
      <c r="E520" s="50"/>
      <c r="F520" s="51"/>
      <c r="G520" s="52"/>
      <c r="H520" s="52"/>
      <c r="I520" s="52" t="str">
        <f t="shared" si="28"/>
        <v/>
      </c>
      <c r="J520" s="54"/>
      <c r="K520" s="55" t="str">
        <f t="shared" si="29"/>
        <v/>
      </c>
      <c r="L520" s="54"/>
      <c r="M520" s="54"/>
      <c r="N520" s="54"/>
      <c r="O520" s="54"/>
      <c r="P520" s="54"/>
      <c r="S520" s="38"/>
      <c r="T520" s="38"/>
      <c r="U520" s="38"/>
      <c r="V520" s="37"/>
      <c r="W520" s="37"/>
      <c r="X520" s="37"/>
      <c r="Y520" s="37"/>
      <c r="Z520" s="37"/>
      <c r="AA520" s="37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</row>
    <row r="521" spans="1:52" ht="39.75" hidden="1" customHeight="1" x14ac:dyDescent="0.2">
      <c r="A521" s="45" t="str">
        <f t="shared" si="27"/>
        <v/>
      </c>
      <c r="B521" s="45"/>
      <c r="C521" s="45"/>
      <c r="D521" s="45"/>
      <c r="E521" s="50"/>
      <c r="F521" s="51"/>
      <c r="G521" s="52"/>
      <c r="H521" s="52"/>
      <c r="I521" s="52" t="str">
        <f t="shared" si="28"/>
        <v/>
      </c>
      <c r="J521" s="54"/>
      <c r="K521" s="55" t="str">
        <f t="shared" si="29"/>
        <v/>
      </c>
      <c r="L521" s="54"/>
      <c r="M521" s="54"/>
      <c r="N521" s="54"/>
      <c r="O521" s="54"/>
      <c r="P521" s="54"/>
      <c r="S521" s="38"/>
      <c r="T521" s="38"/>
      <c r="U521" s="38"/>
      <c r="V521" s="37"/>
      <c r="W521" s="37"/>
      <c r="X521" s="37"/>
      <c r="Y521" s="37"/>
      <c r="Z521" s="37"/>
      <c r="AA521" s="37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</row>
    <row r="522" spans="1:52" ht="39.75" hidden="1" customHeight="1" x14ac:dyDescent="0.2">
      <c r="A522" s="45" t="str">
        <f t="shared" si="27"/>
        <v/>
      </c>
      <c r="B522" s="45"/>
      <c r="C522" s="45"/>
      <c r="D522" s="45"/>
      <c r="E522" s="50"/>
      <c r="F522" s="51"/>
      <c r="G522" s="52"/>
      <c r="H522" s="52"/>
      <c r="I522" s="52" t="str">
        <f t="shared" si="28"/>
        <v/>
      </c>
      <c r="J522" s="54"/>
      <c r="K522" s="55" t="str">
        <f t="shared" si="29"/>
        <v/>
      </c>
      <c r="L522" s="54"/>
      <c r="M522" s="54"/>
      <c r="N522" s="54"/>
      <c r="O522" s="54"/>
      <c r="P522" s="54"/>
      <c r="S522" s="38"/>
      <c r="T522" s="38"/>
      <c r="U522" s="38"/>
      <c r="V522" s="37"/>
      <c r="W522" s="37"/>
      <c r="X522" s="37"/>
      <c r="Y522" s="37"/>
      <c r="Z522" s="37"/>
      <c r="AA522" s="37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</row>
    <row r="523" spans="1:52" ht="39.75" hidden="1" customHeight="1" x14ac:dyDescent="0.2">
      <c r="A523" s="45" t="str">
        <f t="shared" si="27"/>
        <v/>
      </c>
      <c r="B523" s="45"/>
      <c r="C523" s="45"/>
      <c r="D523" s="45"/>
      <c r="E523" s="50"/>
      <c r="F523" s="51"/>
      <c r="G523" s="52"/>
      <c r="H523" s="52"/>
      <c r="I523" s="52" t="str">
        <f t="shared" si="28"/>
        <v/>
      </c>
      <c r="J523" s="54"/>
      <c r="K523" s="55" t="str">
        <f t="shared" si="29"/>
        <v/>
      </c>
      <c r="L523" s="54"/>
      <c r="M523" s="54"/>
      <c r="N523" s="54"/>
      <c r="O523" s="54"/>
      <c r="P523" s="54"/>
      <c r="S523" s="38"/>
      <c r="T523" s="38"/>
      <c r="U523" s="38"/>
      <c r="V523" s="37"/>
      <c r="W523" s="37"/>
      <c r="X523" s="37"/>
      <c r="Y523" s="37"/>
      <c r="Z523" s="37"/>
      <c r="AA523" s="37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</row>
    <row r="524" spans="1:52" ht="39.75" hidden="1" customHeight="1" x14ac:dyDescent="0.2">
      <c r="A524" s="45" t="str">
        <f t="shared" si="27"/>
        <v/>
      </c>
      <c r="B524" s="45"/>
      <c r="C524" s="45"/>
      <c r="D524" s="45"/>
      <c r="E524" s="50"/>
      <c r="F524" s="51"/>
      <c r="G524" s="52"/>
      <c r="H524" s="52"/>
      <c r="I524" s="52" t="str">
        <f t="shared" si="28"/>
        <v/>
      </c>
      <c r="J524" s="54"/>
      <c r="K524" s="55" t="str">
        <f t="shared" si="29"/>
        <v/>
      </c>
      <c r="L524" s="54"/>
      <c r="M524" s="54"/>
      <c r="N524" s="54"/>
      <c r="O524" s="54"/>
      <c r="P524" s="54"/>
      <c r="S524" s="38"/>
      <c r="T524" s="38"/>
      <c r="U524" s="38"/>
      <c r="V524" s="37"/>
      <c r="W524" s="37"/>
      <c r="X524" s="37"/>
      <c r="Y524" s="37"/>
      <c r="Z524" s="37"/>
      <c r="AA524" s="37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</row>
    <row r="525" spans="1:52" ht="39.75" hidden="1" customHeight="1" x14ac:dyDescent="0.2">
      <c r="A525" s="45" t="str">
        <f t="shared" si="27"/>
        <v/>
      </c>
      <c r="B525" s="45"/>
      <c r="C525" s="45"/>
      <c r="D525" s="45"/>
      <c r="E525" s="50"/>
      <c r="F525" s="51"/>
      <c r="G525" s="52"/>
      <c r="H525" s="52"/>
      <c r="I525" s="52" t="str">
        <f t="shared" si="28"/>
        <v/>
      </c>
      <c r="J525" s="54"/>
      <c r="K525" s="55" t="str">
        <f t="shared" si="29"/>
        <v/>
      </c>
      <c r="L525" s="54"/>
      <c r="M525" s="54"/>
      <c r="N525" s="54"/>
      <c r="O525" s="54"/>
      <c r="P525" s="54"/>
      <c r="S525" s="38"/>
      <c r="T525" s="38"/>
      <c r="U525" s="38"/>
      <c r="V525" s="37"/>
      <c r="W525" s="37"/>
      <c r="X525" s="37"/>
      <c r="Y525" s="37"/>
      <c r="Z525" s="37"/>
      <c r="AA525" s="37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</row>
    <row r="526" spans="1:52" ht="39.75" hidden="1" customHeight="1" x14ac:dyDescent="0.2">
      <c r="A526" s="45" t="str">
        <f t="shared" si="27"/>
        <v/>
      </c>
      <c r="B526" s="45"/>
      <c r="C526" s="45"/>
      <c r="D526" s="45"/>
      <c r="E526" s="50"/>
      <c r="F526" s="51"/>
      <c r="G526" s="52"/>
      <c r="H526" s="52"/>
      <c r="I526" s="52" t="str">
        <f t="shared" si="28"/>
        <v/>
      </c>
      <c r="J526" s="54"/>
      <c r="K526" s="55" t="str">
        <f t="shared" si="29"/>
        <v/>
      </c>
      <c r="L526" s="54"/>
      <c r="M526" s="54"/>
      <c r="N526" s="54"/>
      <c r="O526" s="54"/>
      <c r="P526" s="54"/>
      <c r="S526" s="38"/>
      <c r="T526" s="38"/>
      <c r="U526" s="38"/>
      <c r="V526" s="37"/>
      <c r="W526" s="37"/>
      <c r="X526" s="37"/>
      <c r="Y526" s="37"/>
      <c r="Z526" s="37"/>
      <c r="AA526" s="37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</row>
    <row r="527" spans="1:52" ht="39.75" hidden="1" customHeight="1" x14ac:dyDescent="0.2">
      <c r="A527" s="45" t="str">
        <f t="shared" si="27"/>
        <v/>
      </c>
      <c r="B527" s="45"/>
      <c r="C527" s="45"/>
      <c r="D527" s="45"/>
      <c r="E527" s="50"/>
      <c r="F527" s="51"/>
      <c r="G527" s="52"/>
      <c r="H527" s="52"/>
      <c r="I527" s="52" t="str">
        <f t="shared" si="28"/>
        <v/>
      </c>
      <c r="J527" s="54"/>
      <c r="K527" s="55" t="str">
        <f t="shared" si="29"/>
        <v/>
      </c>
      <c r="L527" s="54"/>
      <c r="M527" s="54"/>
      <c r="N527" s="54"/>
      <c r="O527" s="54"/>
      <c r="P527" s="54"/>
      <c r="S527" s="38"/>
      <c r="T527" s="38"/>
      <c r="U527" s="38"/>
      <c r="V527" s="37"/>
      <c r="W527" s="37"/>
      <c r="X527" s="37"/>
      <c r="Y527" s="37"/>
      <c r="Z527" s="37"/>
      <c r="AA527" s="37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</row>
    <row r="528" spans="1:52" ht="39.75" hidden="1" customHeight="1" x14ac:dyDescent="0.2">
      <c r="A528" s="45" t="str">
        <f t="shared" si="27"/>
        <v/>
      </c>
      <c r="B528" s="45"/>
      <c r="C528" s="45"/>
      <c r="D528" s="45"/>
      <c r="E528" s="50"/>
      <c r="F528" s="51"/>
      <c r="G528" s="52"/>
      <c r="H528" s="52"/>
      <c r="I528" s="52" t="str">
        <f t="shared" si="28"/>
        <v/>
      </c>
      <c r="J528" s="54"/>
      <c r="K528" s="55" t="str">
        <f t="shared" si="29"/>
        <v/>
      </c>
      <c r="L528" s="54"/>
      <c r="M528" s="54"/>
      <c r="N528" s="54"/>
      <c r="O528" s="54"/>
      <c r="P528" s="54"/>
      <c r="S528" s="38"/>
      <c r="T528" s="38"/>
      <c r="U528" s="38"/>
      <c r="V528" s="37"/>
      <c r="W528" s="37"/>
      <c r="X528" s="37"/>
      <c r="Y528" s="37"/>
      <c r="Z528" s="37"/>
      <c r="AA528" s="37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</row>
    <row r="529" spans="1:52" ht="39.75" hidden="1" customHeight="1" x14ac:dyDescent="0.2">
      <c r="A529" s="45" t="str">
        <f t="shared" si="27"/>
        <v/>
      </c>
      <c r="B529" s="45"/>
      <c r="C529" s="45"/>
      <c r="D529" s="45"/>
      <c r="E529" s="50"/>
      <c r="F529" s="51"/>
      <c r="G529" s="52"/>
      <c r="H529" s="52"/>
      <c r="I529" s="52" t="str">
        <f t="shared" si="28"/>
        <v/>
      </c>
      <c r="J529" s="54"/>
      <c r="K529" s="55" t="str">
        <f t="shared" si="29"/>
        <v/>
      </c>
      <c r="L529" s="54"/>
      <c r="M529" s="54"/>
      <c r="N529" s="54"/>
      <c r="O529" s="54"/>
      <c r="P529" s="54"/>
      <c r="S529" s="38"/>
      <c r="T529" s="38"/>
      <c r="U529" s="38"/>
      <c r="V529" s="37"/>
      <c r="W529" s="37"/>
      <c r="X529" s="37"/>
      <c r="Y529" s="37"/>
      <c r="Z529" s="37"/>
      <c r="AA529" s="37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</row>
    <row r="530" spans="1:52" ht="39.75" hidden="1" customHeight="1" x14ac:dyDescent="0.2">
      <c r="A530" s="45" t="str">
        <f t="shared" si="27"/>
        <v/>
      </c>
      <c r="B530" s="45"/>
      <c r="C530" s="45"/>
      <c r="D530" s="45"/>
      <c r="E530" s="50"/>
      <c r="F530" s="51"/>
      <c r="G530" s="52"/>
      <c r="H530" s="52"/>
      <c r="I530" s="52" t="str">
        <f t="shared" si="28"/>
        <v/>
      </c>
      <c r="J530" s="54"/>
      <c r="K530" s="55" t="str">
        <f t="shared" si="29"/>
        <v/>
      </c>
      <c r="L530" s="54"/>
      <c r="M530" s="54"/>
      <c r="N530" s="54"/>
      <c r="O530" s="54"/>
      <c r="P530" s="54"/>
      <c r="S530" s="38"/>
      <c r="T530" s="38"/>
      <c r="U530" s="38"/>
      <c r="V530" s="37"/>
      <c r="W530" s="37"/>
      <c r="X530" s="37"/>
      <c r="Y530" s="37"/>
      <c r="Z530" s="37"/>
      <c r="AA530" s="37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</row>
    <row r="531" spans="1:52" ht="39.75" hidden="1" customHeight="1" x14ac:dyDescent="0.2">
      <c r="A531" s="45" t="str">
        <f t="shared" si="27"/>
        <v/>
      </c>
      <c r="B531" s="45"/>
      <c r="C531" s="45"/>
      <c r="D531" s="45"/>
      <c r="E531" s="50"/>
      <c r="F531" s="51"/>
      <c r="G531" s="52"/>
      <c r="H531" s="52"/>
      <c r="I531" s="52" t="str">
        <f t="shared" si="28"/>
        <v/>
      </c>
      <c r="J531" s="54"/>
      <c r="K531" s="55" t="str">
        <f t="shared" si="29"/>
        <v/>
      </c>
      <c r="L531" s="54"/>
      <c r="M531" s="54"/>
      <c r="N531" s="54"/>
      <c r="O531" s="54"/>
      <c r="P531" s="54"/>
      <c r="S531" s="38"/>
      <c r="T531" s="38"/>
      <c r="U531" s="38"/>
      <c r="V531" s="37"/>
      <c r="W531" s="37"/>
      <c r="X531" s="37"/>
      <c r="Y531" s="37"/>
      <c r="Z531" s="37"/>
      <c r="AA531" s="37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</row>
    <row r="532" spans="1:52" ht="39.75" hidden="1" customHeight="1" x14ac:dyDescent="0.2">
      <c r="A532" s="45" t="str">
        <f t="shared" si="27"/>
        <v/>
      </c>
      <c r="B532" s="45"/>
      <c r="C532" s="45"/>
      <c r="D532" s="45"/>
      <c r="E532" s="50"/>
      <c r="F532" s="51"/>
      <c r="G532" s="52"/>
      <c r="H532" s="52"/>
      <c r="I532" s="52" t="str">
        <f t="shared" si="28"/>
        <v/>
      </c>
      <c r="J532" s="54"/>
      <c r="K532" s="55" t="str">
        <f t="shared" si="29"/>
        <v/>
      </c>
      <c r="L532" s="54"/>
      <c r="M532" s="54"/>
      <c r="N532" s="54"/>
      <c r="O532" s="54"/>
      <c r="P532" s="54"/>
      <c r="S532" s="38"/>
      <c r="T532" s="38"/>
      <c r="U532" s="38"/>
      <c r="V532" s="37"/>
      <c r="W532" s="37"/>
      <c r="X532" s="37"/>
      <c r="Y532" s="37"/>
      <c r="Z532" s="37"/>
      <c r="AA532" s="37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</row>
    <row r="533" spans="1:52" ht="39.75" hidden="1" customHeight="1" x14ac:dyDescent="0.2">
      <c r="A533" s="45" t="str">
        <f t="shared" si="27"/>
        <v/>
      </c>
      <c r="B533" s="45"/>
      <c r="C533" s="45"/>
      <c r="D533" s="45"/>
      <c r="E533" s="50"/>
      <c r="F533" s="51"/>
      <c r="G533" s="52"/>
      <c r="H533" s="52"/>
      <c r="I533" s="52" t="str">
        <f t="shared" si="28"/>
        <v/>
      </c>
      <c r="J533" s="54"/>
      <c r="K533" s="55" t="str">
        <f t="shared" si="29"/>
        <v/>
      </c>
      <c r="L533" s="54"/>
      <c r="M533" s="54"/>
      <c r="N533" s="54"/>
      <c r="O533" s="54"/>
      <c r="P533" s="54"/>
      <c r="S533" s="38"/>
      <c r="T533" s="38"/>
      <c r="U533" s="38"/>
      <c r="V533" s="37"/>
      <c r="W533" s="37"/>
      <c r="X533" s="37"/>
      <c r="Y533" s="37"/>
      <c r="Z533" s="37"/>
      <c r="AA533" s="37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</row>
    <row r="534" spans="1:52" ht="39.75" hidden="1" customHeight="1" x14ac:dyDescent="0.2">
      <c r="A534" s="45" t="str">
        <f t="shared" si="27"/>
        <v/>
      </c>
      <c r="B534" s="45"/>
      <c r="C534" s="45"/>
      <c r="D534" s="45"/>
      <c r="E534" s="50"/>
      <c r="F534" s="51"/>
      <c r="G534" s="52"/>
      <c r="H534" s="52"/>
      <c r="I534" s="52" t="str">
        <f t="shared" si="28"/>
        <v/>
      </c>
      <c r="J534" s="54"/>
      <c r="K534" s="55" t="str">
        <f t="shared" si="29"/>
        <v/>
      </c>
      <c r="L534" s="54"/>
      <c r="M534" s="54"/>
      <c r="N534" s="54"/>
      <c r="O534" s="54"/>
      <c r="P534" s="54"/>
      <c r="S534" s="38"/>
      <c r="T534" s="38"/>
      <c r="U534" s="38"/>
      <c r="V534" s="37"/>
      <c r="W534" s="37"/>
      <c r="X534" s="37"/>
      <c r="Y534" s="37"/>
      <c r="Z534" s="37"/>
      <c r="AA534" s="37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</row>
    <row r="535" spans="1:52" ht="39.75" hidden="1" customHeight="1" x14ac:dyDescent="0.2">
      <c r="A535" s="45" t="str">
        <f t="shared" si="27"/>
        <v/>
      </c>
      <c r="B535" s="45"/>
      <c r="C535" s="45"/>
      <c r="D535" s="45"/>
      <c r="E535" s="50"/>
      <c r="F535" s="51"/>
      <c r="G535" s="52"/>
      <c r="H535" s="52"/>
      <c r="I535" s="52" t="str">
        <f t="shared" si="28"/>
        <v/>
      </c>
      <c r="J535" s="54"/>
      <c r="K535" s="55" t="str">
        <f t="shared" si="29"/>
        <v/>
      </c>
      <c r="L535" s="54"/>
      <c r="M535" s="54"/>
      <c r="N535" s="54"/>
      <c r="O535" s="54"/>
      <c r="P535" s="54"/>
      <c r="S535" s="38"/>
      <c r="T535" s="38"/>
      <c r="U535" s="38"/>
      <c r="V535" s="37"/>
      <c r="W535" s="37"/>
      <c r="X535" s="37"/>
      <c r="Y535" s="37"/>
      <c r="Z535" s="37"/>
      <c r="AA535" s="37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</row>
    <row r="536" spans="1:52" ht="39.75" hidden="1" customHeight="1" x14ac:dyDescent="0.2">
      <c r="A536" s="45" t="str">
        <f t="shared" si="27"/>
        <v/>
      </c>
      <c r="B536" s="45"/>
      <c r="C536" s="45"/>
      <c r="D536" s="45"/>
      <c r="E536" s="50"/>
      <c r="F536" s="51"/>
      <c r="G536" s="52"/>
      <c r="H536" s="52"/>
      <c r="I536" s="52" t="str">
        <f t="shared" si="28"/>
        <v/>
      </c>
      <c r="J536" s="54"/>
      <c r="K536" s="55" t="str">
        <f t="shared" si="29"/>
        <v/>
      </c>
      <c r="L536" s="54"/>
      <c r="M536" s="54"/>
      <c r="N536" s="54"/>
      <c r="O536" s="54"/>
      <c r="P536" s="54"/>
      <c r="S536" s="38"/>
      <c r="T536" s="38"/>
      <c r="U536" s="38"/>
      <c r="V536" s="37"/>
      <c r="W536" s="37"/>
      <c r="X536" s="37"/>
      <c r="Y536" s="37"/>
      <c r="Z536" s="37"/>
      <c r="AA536" s="37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</row>
    <row r="537" spans="1:52" ht="39.75" hidden="1" customHeight="1" x14ac:dyDescent="0.2">
      <c r="A537" s="45" t="str">
        <f t="shared" si="27"/>
        <v/>
      </c>
      <c r="B537" s="45"/>
      <c r="C537" s="45"/>
      <c r="D537" s="45"/>
      <c r="E537" s="50"/>
      <c r="F537" s="51"/>
      <c r="G537" s="52"/>
      <c r="H537" s="52"/>
      <c r="I537" s="52" t="str">
        <f t="shared" si="28"/>
        <v/>
      </c>
      <c r="J537" s="54"/>
      <c r="K537" s="55" t="str">
        <f t="shared" si="29"/>
        <v/>
      </c>
      <c r="L537" s="54"/>
      <c r="M537" s="54"/>
      <c r="N537" s="54"/>
      <c r="O537" s="54"/>
      <c r="P537" s="54"/>
      <c r="S537" s="38"/>
      <c r="T537" s="38"/>
      <c r="U537" s="38"/>
      <c r="V537" s="37"/>
      <c r="W537" s="37"/>
      <c r="X537" s="37"/>
      <c r="Y537" s="37"/>
      <c r="Z537" s="37"/>
      <c r="AA537" s="37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</row>
    <row r="538" spans="1:52" ht="39.75" hidden="1" customHeight="1" x14ac:dyDescent="0.2">
      <c r="A538" s="45" t="str">
        <f t="shared" si="27"/>
        <v/>
      </c>
      <c r="B538" s="45"/>
      <c r="C538" s="45"/>
      <c r="D538" s="45"/>
      <c r="E538" s="50"/>
      <c r="F538" s="51"/>
      <c r="G538" s="52"/>
      <c r="H538" s="52"/>
      <c r="I538" s="52" t="str">
        <f t="shared" si="28"/>
        <v/>
      </c>
      <c r="J538" s="54"/>
      <c r="K538" s="55" t="str">
        <f t="shared" si="29"/>
        <v/>
      </c>
      <c r="L538" s="54"/>
      <c r="M538" s="54"/>
      <c r="N538" s="54"/>
      <c r="O538" s="54"/>
      <c r="P538" s="54"/>
      <c r="S538" s="38"/>
      <c r="T538" s="38"/>
      <c r="U538" s="38"/>
      <c r="V538" s="37"/>
      <c r="W538" s="37"/>
      <c r="X538" s="37"/>
      <c r="Y538" s="37"/>
      <c r="Z538" s="37"/>
      <c r="AA538" s="37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</row>
    <row r="539" spans="1:52" ht="39.75" hidden="1" customHeight="1" x14ac:dyDescent="0.2">
      <c r="A539" s="45" t="str">
        <f t="shared" si="27"/>
        <v/>
      </c>
      <c r="B539" s="45"/>
      <c r="C539" s="45"/>
      <c r="D539" s="45"/>
      <c r="E539" s="50"/>
      <c r="F539" s="51"/>
      <c r="G539" s="52"/>
      <c r="H539" s="52"/>
      <c r="I539" s="52" t="str">
        <f t="shared" si="28"/>
        <v/>
      </c>
      <c r="J539" s="54"/>
      <c r="K539" s="55" t="str">
        <f t="shared" si="29"/>
        <v/>
      </c>
      <c r="L539" s="54"/>
      <c r="M539" s="54"/>
      <c r="N539" s="54"/>
      <c r="O539" s="54"/>
      <c r="P539" s="54"/>
      <c r="S539" s="38"/>
      <c r="T539" s="38"/>
      <c r="U539" s="38"/>
      <c r="V539" s="37"/>
      <c r="W539" s="37"/>
      <c r="X539" s="37"/>
      <c r="Y539" s="37"/>
      <c r="Z539" s="37"/>
      <c r="AA539" s="37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</row>
    <row r="540" spans="1:52" ht="39.75" hidden="1" customHeight="1" x14ac:dyDescent="0.2">
      <c r="A540" s="45" t="str">
        <f t="shared" si="27"/>
        <v/>
      </c>
      <c r="B540" s="45"/>
      <c r="C540" s="45"/>
      <c r="D540" s="45"/>
      <c r="E540" s="50"/>
      <c r="F540" s="51"/>
      <c r="G540" s="52"/>
      <c r="H540" s="52"/>
      <c r="I540" s="52" t="str">
        <f t="shared" si="28"/>
        <v/>
      </c>
      <c r="J540" s="54"/>
      <c r="K540" s="55" t="str">
        <f t="shared" si="29"/>
        <v/>
      </c>
      <c r="L540" s="54"/>
      <c r="M540" s="54"/>
      <c r="N540" s="54"/>
      <c r="O540" s="54"/>
      <c r="P540" s="54"/>
      <c r="S540" s="38"/>
      <c r="T540" s="38"/>
      <c r="U540" s="38"/>
      <c r="V540" s="37"/>
      <c r="W540" s="37"/>
      <c r="X540" s="37"/>
      <c r="Y540" s="37"/>
      <c r="Z540" s="37"/>
      <c r="AA540" s="37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</row>
    <row r="541" spans="1:52" ht="39.75" hidden="1" customHeight="1" x14ac:dyDescent="0.2">
      <c r="A541" s="45" t="str">
        <f t="shared" si="27"/>
        <v/>
      </c>
      <c r="B541" s="45"/>
      <c r="C541" s="45"/>
      <c r="D541" s="45"/>
      <c r="E541" s="50"/>
      <c r="F541" s="51"/>
      <c r="G541" s="52"/>
      <c r="H541" s="52"/>
      <c r="I541" s="52" t="str">
        <f t="shared" si="28"/>
        <v/>
      </c>
      <c r="J541" s="54"/>
      <c r="K541" s="55" t="str">
        <f t="shared" si="29"/>
        <v/>
      </c>
      <c r="L541" s="54"/>
      <c r="M541" s="54"/>
      <c r="N541" s="54"/>
      <c r="O541" s="54"/>
      <c r="P541" s="54"/>
      <c r="S541" s="38"/>
      <c r="T541" s="38"/>
      <c r="U541" s="38"/>
      <c r="V541" s="37"/>
      <c r="W541" s="37"/>
      <c r="X541" s="37"/>
      <c r="Y541" s="37"/>
      <c r="Z541" s="37"/>
      <c r="AA541" s="37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</row>
    <row r="542" spans="1:52" ht="39.75" hidden="1" customHeight="1" x14ac:dyDescent="0.2">
      <c r="A542" s="45" t="str">
        <f t="shared" si="27"/>
        <v/>
      </c>
      <c r="B542" s="45"/>
      <c r="C542" s="45"/>
      <c r="D542" s="45"/>
      <c r="E542" s="50"/>
      <c r="F542" s="51"/>
      <c r="G542" s="52"/>
      <c r="H542" s="52"/>
      <c r="I542" s="52" t="str">
        <f t="shared" si="28"/>
        <v/>
      </c>
      <c r="J542" s="54"/>
      <c r="K542" s="55" t="str">
        <f t="shared" si="29"/>
        <v/>
      </c>
      <c r="L542" s="54"/>
      <c r="M542" s="54"/>
      <c r="N542" s="54"/>
      <c r="O542" s="54"/>
      <c r="P542" s="54"/>
      <c r="S542" s="38"/>
      <c r="T542" s="38"/>
      <c r="U542" s="38"/>
      <c r="V542" s="37"/>
      <c r="W542" s="37"/>
      <c r="X542" s="37"/>
      <c r="Y542" s="37"/>
      <c r="Z542" s="37"/>
      <c r="AA542" s="37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</row>
    <row r="543" spans="1:52" ht="39.75" hidden="1" customHeight="1" x14ac:dyDescent="0.2">
      <c r="A543" s="45" t="str">
        <f t="shared" si="27"/>
        <v/>
      </c>
      <c r="B543" s="45"/>
      <c r="C543" s="45"/>
      <c r="D543" s="45"/>
      <c r="E543" s="50"/>
      <c r="F543" s="51"/>
      <c r="G543" s="52"/>
      <c r="H543" s="52"/>
      <c r="I543" s="52" t="str">
        <f t="shared" si="28"/>
        <v/>
      </c>
      <c r="J543" s="54"/>
      <c r="K543" s="55" t="str">
        <f t="shared" si="29"/>
        <v/>
      </c>
      <c r="L543" s="54"/>
      <c r="M543" s="54"/>
      <c r="N543" s="54"/>
      <c r="O543" s="54"/>
      <c r="P543" s="54"/>
      <c r="S543" s="38"/>
      <c r="T543" s="38"/>
      <c r="U543" s="38"/>
      <c r="V543" s="37"/>
      <c r="W543" s="37"/>
      <c r="X543" s="37"/>
      <c r="Y543" s="37"/>
      <c r="Z543" s="37"/>
      <c r="AA543" s="37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</row>
    <row r="544" spans="1:52" ht="39.75" hidden="1" customHeight="1" x14ac:dyDescent="0.2">
      <c r="A544" s="45" t="str">
        <f t="shared" si="27"/>
        <v/>
      </c>
      <c r="B544" s="45"/>
      <c r="C544" s="45"/>
      <c r="D544" s="45"/>
      <c r="E544" s="50"/>
      <c r="F544" s="51"/>
      <c r="G544" s="52"/>
      <c r="H544" s="52"/>
      <c r="I544" s="52" t="str">
        <f t="shared" si="28"/>
        <v/>
      </c>
      <c r="J544" s="54"/>
      <c r="K544" s="55" t="str">
        <f t="shared" si="29"/>
        <v/>
      </c>
      <c r="L544" s="54"/>
      <c r="M544" s="54"/>
      <c r="N544" s="54"/>
      <c r="O544" s="54"/>
      <c r="P544" s="54"/>
      <c r="S544" s="38"/>
      <c r="T544" s="38"/>
      <c r="U544" s="38"/>
      <c r="V544" s="37"/>
      <c r="W544" s="37"/>
      <c r="X544" s="37"/>
      <c r="Y544" s="37"/>
      <c r="Z544" s="37"/>
      <c r="AA544" s="37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</row>
    <row r="545" spans="1:52" ht="39.75" hidden="1" customHeight="1" x14ac:dyDescent="0.2">
      <c r="A545" s="45" t="str">
        <f t="shared" si="27"/>
        <v/>
      </c>
      <c r="B545" s="45"/>
      <c r="C545" s="45"/>
      <c r="D545" s="45"/>
      <c r="E545" s="50"/>
      <c r="F545" s="51"/>
      <c r="G545" s="52"/>
      <c r="H545" s="52"/>
      <c r="I545" s="52" t="str">
        <f t="shared" si="28"/>
        <v/>
      </c>
      <c r="J545" s="54"/>
      <c r="K545" s="55" t="str">
        <f t="shared" si="29"/>
        <v/>
      </c>
      <c r="L545" s="54"/>
      <c r="M545" s="54"/>
      <c r="N545" s="54"/>
      <c r="O545" s="54"/>
      <c r="P545" s="54"/>
      <c r="S545" s="38"/>
      <c r="T545" s="38"/>
      <c r="U545" s="38"/>
      <c r="V545" s="37"/>
      <c r="W545" s="37"/>
      <c r="X545" s="37"/>
      <c r="Y545" s="37"/>
      <c r="Z545" s="37"/>
      <c r="AA545" s="37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</row>
    <row r="546" spans="1:52" ht="39.75" hidden="1" customHeight="1" x14ac:dyDescent="0.2">
      <c r="A546" s="45" t="str">
        <f t="shared" si="27"/>
        <v/>
      </c>
      <c r="B546" s="45"/>
      <c r="C546" s="45"/>
      <c r="D546" s="45"/>
      <c r="E546" s="50"/>
      <c r="F546" s="51"/>
      <c r="G546" s="52"/>
      <c r="H546" s="52"/>
      <c r="I546" s="52" t="str">
        <f t="shared" si="28"/>
        <v/>
      </c>
      <c r="J546" s="54"/>
      <c r="K546" s="55" t="str">
        <f t="shared" si="29"/>
        <v/>
      </c>
      <c r="L546" s="54"/>
      <c r="M546" s="54"/>
      <c r="N546" s="54"/>
      <c r="O546" s="54"/>
      <c r="P546" s="54"/>
      <c r="S546" s="38"/>
      <c r="T546" s="38"/>
      <c r="U546" s="38"/>
      <c r="V546" s="37"/>
      <c r="W546" s="37"/>
      <c r="X546" s="37"/>
      <c r="Y546" s="37"/>
      <c r="Z546" s="37"/>
      <c r="AA546" s="37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</row>
    <row r="547" spans="1:52" ht="39.75" hidden="1" customHeight="1" x14ac:dyDescent="0.2">
      <c r="A547" s="45" t="str">
        <f t="shared" si="27"/>
        <v/>
      </c>
      <c r="B547" s="45"/>
      <c r="C547" s="45"/>
      <c r="D547" s="45"/>
      <c r="E547" s="50"/>
      <c r="F547" s="51"/>
      <c r="G547" s="52"/>
      <c r="H547" s="52"/>
      <c r="I547" s="52" t="str">
        <f t="shared" si="28"/>
        <v/>
      </c>
      <c r="J547" s="54"/>
      <c r="K547" s="55" t="str">
        <f t="shared" si="29"/>
        <v/>
      </c>
      <c r="L547" s="54"/>
      <c r="M547" s="54"/>
      <c r="N547" s="54"/>
      <c r="O547" s="54"/>
      <c r="P547" s="54"/>
      <c r="S547" s="38"/>
      <c r="T547" s="38"/>
      <c r="U547" s="38"/>
      <c r="V547" s="37"/>
      <c r="W547" s="37"/>
      <c r="X547" s="37"/>
      <c r="Y547" s="37"/>
      <c r="Z547" s="37"/>
      <c r="AA547" s="37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</row>
    <row r="548" spans="1:52" ht="39.75" hidden="1" customHeight="1" x14ac:dyDescent="0.2">
      <c r="A548" s="45" t="str">
        <f t="shared" si="27"/>
        <v/>
      </c>
      <c r="B548" s="45"/>
      <c r="C548" s="45"/>
      <c r="D548" s="45"/>
      <c r="E548" s="50"/>
      <c r="F548" s="51"/>
      <c r="G548" s="52"/>
      <c r="H548" s="52"/>
      <c r="I548" s="52" t="str">
        <f t="shared" si="28"/>
        <v/>
      </c>
      <c r="J548" s="54"/>
      <c r="K548" s="55" t="str">
        <f t="shared" si="29"/>
        <v/>
      </c>
      <c r="L548" s="54"/>
      <c r="M548" s="54"/>
      <c r="N548" s="54"/>
      <c r="O548" s="54"/>
      <c r="P548" s="54"/>
      <c r="S548" s="38"/>
      <c r="T548" s="38"/>
      <c r="U548" s="38"/>
      <c r="V548" s="37"/>
      <c r="W548" s="37"/>
      <c r="X548" s="37"/>
      <c r="Y548" s="37"/>
      <c r="Z548" s="37"/>
      <c r="AA548" s="37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</row>
    <row r="549" spans="1:52" ht="39.75" hidden="1" customHeight="1" x14ac:dyDescent="0.2">
      <c r="A549" s="45" t="str">
        <f t="shared" si="27"/>
        <v/>
      </c>
      <c r="B549" s="45"/>
      <c r="C549" s="45"/>
      <c r="D549" s="45"/>
      <c r="E549" s="50"/>
      <c r="F549" s="51"/>
      <c r="G549" s="52"/>
      <c r="H549" s="52"/>
      <c r="I549" s="52" t="str">
        <f t="shared" si="28"/>
        <v/>
      </c>
      <c r="J549" s="54"/>
      <c r="K549" s="55" t="str">
        <f t="shared" si="29"/>
        <v/>
      </c>
      <c r="L549" s="54"/>
      <c r="M549" s="54"/>
      <c r="N549" s="54"/>
      <c r="O549" s="54"/>
      <c r="P549" s="54"/>
      <c r="S549" s="38"/>
      <c r="T549" s="38"/>
      <c r="U549" s="38"/>
      <c r="V549" s="37"/>
      <c r="W549" s="37"/>
      <c r="X549" s="37"/>
      <c r="Y549" s="37"/>
      <c r="Z549" s="37"/>
      <c r="AA549" s="37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</row>
    <row r="550" spans="1:52" ht="39.75" hidden="1" customHeight="1" x14ac:dyDescent="0.2">
      <c r="A550" s="45" t="str">
        <f t="shared" si="27"/>
        <v/>
      </c>
      <c r="B550" s="45"/>
      <c r="C550" s="45"/>
      <c r="D550" s="45"/>
      <c r="E550" s="50"/>
      <c r="F550" s="51"/>
      <c r="G550" s="52"/>
      <c r="H550" s="52"/>
      <c r="I550" s="52" t="str">
        <f t="shared" si="28"/>
        <v/>
      </c>
      <c r="J550" s="54"/>
      <c r="K550" s="55" t="str">
        <f t="shared" si="29"/>
        <v/>
      </c>
      <c r="L550" s="54"/>
      <c r="M550" s="54"/>
      <c r="N550" s="54"/>
      <c r="O550" s="54"/>
      <c r="P550" s="54"/>
      <c r="S550" s="38"/>
      <c r="T550" s="38"/>
      <c r="U550" s="38"/>
      <c r="V550" s="37"/>
      <c r="W550" s="37"/>
      <c r="X550" s="37"/>
      <c r="Y550" s="37"/>
      <c r="Z550" s="37"/>
      <c r="AA550" s="37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</row>
    <row r="551" spans="1:52" ht="39.75" hidden="1" customHeight="1" x14ac:dyDescent="0.2">
      <c r="A551" s="45" t="str">
        <f t="shared" si="27"/>
        <v/>
      </c>
      <c r="B551" s="45"/>
      <c r="C551" s="45"/>
      <c r="D551" s="45"/>
      <c r="E551" s="50"/>
      <c r="F551" s="51"/>
      <c r="G551" s="52"/>
      <c r="H551" s="52"/>
      <c r="I551" s="52" t="str">
        <f t="shared" si="28"/>
        <v/>
      </c>
      <c r="J551" s="54"/>
      <c r="K551" s="55" t="str">
        <f t="shared" si="29"/>
        <v/>
      </c>
      <c r="L551" s="54"/>
      <c r="M551" s="54"/>
      <c r="N551" s="54"/>
      <c r="O551" s="54"/>
      <c r="P551" s="54"/>
      <c r="S551" s="38"/>
      <c r="T551" s="38"/>
      <c r="U551" s="38"/>
      <c r="V551" s="37"/>
      <c r="W551" s="37"/>
      <c r="X551" s="37"/>
      <c r="Y551" s="37"/>
      <c r="Z551" s="37"/>
      <c r="AA551" s="37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</row>
    <row r="552" spans="1:52" ht="39.75" hidden="1" customHeight="1" x14ac:dyDescent="0.2">
      <c r="A552" s="45" t="str">
        <f t="shared" si="27"/>
        <v/>
      </c>
      <c r="B552" s="45"/>
      <c r="C552" s="45"/>
      <c r="D552" s="45"/>
      <c r="E552" s="50"/>
      <c r="F552" s="51"/>
      <c r="G552" s="52"/>
      <c r="H552" s="52"/>
      <c r="I552" s="52" t="str">
        <f t="shared" si="28"/>
        <v/>
      </c>
      <c r="J552" s="54"/>
      <c r="K552" s="55" t="str">
        <f t="shared" si="29"/>
        <v/>
      </c>
      <c r="L552" s="54"/>
      <c r="M552" s="54"/>
      <c r="N552" s="54"/>
      <c r="O552" s="54"/>
      <c r="P552" s="54"/>
      <c r="S552" s="38"/>
      <c r="T552" s="38"/>
      <c r="U552" s="38"/>
      <c r="V552" s="37"/>
      <c r="W552" s="37"/>
      <c r="X552" s="37"/>
      <c r="Y552" s="37"/>
      <c r="Z552" s="37"/>
      <c r="AA552" s="37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</row>
    <row r="553" spans="1:52" ht="39.75" hidden="1" customHeight="1" x14ac:dyDescent="0.2">
      <c r="A553" s="45" t="str">
        <f t="shared" si="27"/>
        <v/>
      </c>
      <c r="B553" s="45"/>
      <c r="C553" s="45"/>
      <c r="D553" s="45"/>
      <c r="E553" s="50"/>
      <c r="F553" s="51"/>
      <c r="G553" s="52"/>
      <c r="H553" s="52"/>
      <c r="I553" s="52" t="str">
        <f t="shared" si="28"/>
        <v/>
      </c>
      <c r="J553" s="54"/>
      <c r="K553" s="55" t="str">
        <f t="shared" si="29"/>
        <v/>
      </c>
      <c r="L553" s="54"/>
      <c r="M553" s="54"/>
      <c r="N553" s="54"/>
      <c r="O553" s="54"/>
      <c r="P553" s="54"/>
      <c r="S553" s="38"/>
      <c r="T553" s="38"/>
      <c r="U553" s="38"/>
      <c r="V553" s="37"/>
      <c r="W553" s="37"/>
      <c r="X553" s="37"/>
      <c r="Y553" s="37"/>
      <c r="Z553" s="37"/>
      <c r="AA553" s="37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</row>
    <row r="554" spans="1:52" ht="39.75" hidden="1" customHeight="1" x14ac:dyDescent="0.2">
      <c r="A554" s="45" t="str">
        <f t="shared" si="27"/>
        <v/>
      </c>
      <c r="B554" s="45"/>
      <c r="C554" s="45"/>
      <c r="D554" s="45"/>
      <c r="E554" s="50"/>
      <c r="F554" s="51"/>
      <c r="G554" s="52"/>
      <c r="H554" s="52"/>
      <c r="I554" s="52" t="str">
        <f t="shared" si="28"/>
        <v/>
      </c>
      <c r="J554" s="54"/>
      <c r="K554" s="55" t="str">
        <f t="shared" si="29"/>
        <v/>
      </c>
      <c r="L554" s="54"/>
      <c r="M554" s="54"/>
      <c r="N554" s="54"/>
      <c r="O554" s="54"/>
      <c r="P554" s="54"/>
      <c r="S554" s="38"/>
      <c r="T554" s="38"/>
      <c r="U554" s="38"/>
      <c r="V554" s="37"/>
      <c r="W554" s="37"/>
      <c r="X554" s="37"/>
      <c r="Y554" s="37"/>
      <c r="Z554" s="37"/>
      <c r="AA554" s="37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</row>
    <row r="555" spans="1:52" ht="39.75" hidden="1" customHeight="1" x14ac:dyDescent="0.2">
      <c r="A555" s="45" t="str">
        <f t="shared" si="27"/>
        <v/>
      </c>
      <c r="B555" s="45"/>
      <c r="C555" s="45"/>
      <c r="D555" s="45"/>
      <c r="E555" s="50"/>
      <c r="F555" s="51"/>
      <c r="G555" s="52"/>
      <c r="H555" s="52"/>
      <c r="I555" s="52" t="str">
        <f t="shared" si="28"/>
        <v/>
      </c>
      <c r="J555" s="54"/>
      <c r="K555" s="55" t="str">
        <f t="shared" si="29"/>
        <v/>
      </c>
      <c r="L555" s="54"/>
      <c r="M555" s="54"/>
      <c r="N555" s="54"/>
      <c r="O555" s="54"/>
      <c r="P555" s="54"/>
      <c r="S555" s="38"/>
      <c r="T555" s="38"/>
      <c r="U555" s="38"/>
      <c r="V555" s="37"/>
      <c r="W555" s="37"/>
      <c r="X555" s="37"/>
      <c r="Y555" s="37"/>
      <c r="Z555" s="37"/>
      <c r="AA555" s="37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</row>
    <row r="556" spans="1:52" ht="39.75" hidden="1" customHeight="1" x14ac:dyDescent="0.2">
      <c r="A556" s="45" t="str">
        <f t="shared" si="27"/>
        <v/>
      </c>
      <c r="B556" s="45"/>
      <c r="C556" s="45"/>
      <c r="D556" s="45"/>
      <c r="E556" s="50"/>
      <c r="F556" s="51"/>
      <c r="G556" s="52"/>
      <c r="H556" s="52"/>
      <c r="I556" s="52" t="str">
        <f t="shared" si="28"/>
        <v/>
      </c>
      <c r="J556" s="54"/>
      <c r="K556" s="55" t="str">
        <f t="shared" si="29"/>
        <v/>
      </c>
      <c r="L556" s="54"/>
      <c r="M556" s="54"/>
      <c r="N556" s="54"/>
      <c r="O556" s="54"/>
      <c r="P556" s="54"/>
      <c r="S556" s="38"/>
      <c r="T556" s="38"/>
      <c r="U556" s="38"/>
      <c r="V556" s="37"/>
      <c r="W556" s="37"/>
      <c r="X556" s="37"/>
      <c r="Y556" s="37"/>
      <c r="Z556" s="37"/>
      <c r="AA556" s="37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</row>
    <row r="557" spans="1:52" ht="39.75" hidden="1" customHeight="1" x14ac:dyDescent="0.2">
      <c r="A557" s="45" t="str">
        <f t="shared" si="27"/>
        <v/>
      </c>
      <c r="B557" s="45"/>
      <c r="C557" s="45"/>
      <c r="D557" s="45"/>
      <c r="E557" s="50"/>
      <c r="F557" s="51"/>
      <c r="G557" s="52"/>
      <c r="H557" s="52"/>
      <c r="I557" s="52" t="str">
        <f t="shared" si="28"/>
        <v/>
      </c>
      <c r="J557" s="54"/>
      <c r="K557" s="55" t="str">
        <f t="shared" si="29"/>
        <v/>
      </c>
      <c r="L557" s="54"/>
      <c r="M557" s="54"/>
      <c r="N557" s="54"/>
      <c r="O557" s="54"/>
      <c r="P557" s="54"/>
      <c r="S557" s="38"/>
      <c r="T557" s="38"/>
      <c r="U557" s="38"/>
      <c r="V557" s="37"/>
      <c r="W557" s="37"/>
      <c r="X557" s="37"/>
      <c r="Y557" s="37"/>
      <c r="Z557" s="37"/>
      <c r="AA557" s="37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</row>
    <row r="558" spans="1:52" ht="39.75" hidden="1" customHeight="1" x14ac:dyDescent="0.2">
      <c r="A558" s="45" t="str">
        <f t="shared" si="27"/>
        <v/>
      </c>
      <c r="B558" s="45"/>
      <c r="C558" s="45"/>
      <c r="D558" s="45"/>
      <c r="E558" s="50"/>
      <c r="F558" s="51"/>
      <c r="G558" s="52"/>
      <c r="H558" s="52"/>
      <c r="I558" s="52" t="str">
        <f t="shared" si="28"/>
        <v/>
      </c>
      <c r="J558" s="54"/>
      <c r="K558" s="55" t="str">
        <f t="shared" si="29"/>
        <v/>
      </c>
      <c r="L558" s="54"/>
      <c r="M558" s="54"/>
      <c r="N558" s="54"/>
      <c r="O558" s="54"/>
      <c r="P558" s="54"/>
      <c r="S558" s="38"/>
      <c r="T558" s="38"/>
      <c r="U558" s="38"/>
      <c r="V558" s="37"/>
      <c r="W558" s="37"/>
      <c r="X558" s="37"/>
      <c r="Y558" s="37"/>
      <c r="Z558" s="37"/>
      <c r="AA558" s="37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</row>
    <row r="559" spans="1:52" ht="39.75" hidden="1" customHeight="1" x14ac:dyDescent="0.2">
      <c r="A559" s="45" t="str">
        <f t="shared" si="27"/>
        <v/>
      </c>
      <c r="B559" s="45"/>
      <c r="C559" s="45"/>
      <c r="D559" s="45"/>
      <c r="E559" s="50"/>
      <c r="F559" s="51"/>
      <c r="G559" s="52"/>
      <c r="H559" s="52"/>
      <c r="I559" s="52" t="str">
        <f t="shared" si="28"/>
        <v/>
      </c>
      <c r="J559" s="54"/>
      <c r="K559" s="55" t="str">
        <f t="shared" si="29"/>
        <v/>
      </c>
      <c r="L559" s="54"/>
      <c r="M559" s="54"/>
      <c r="N559" s="54"/>
      <c r="O559" s="54"/>
      <c r="P559" s="54"/>
      <c r="S559" s="38"/>
      <c r="T559" s="38"/>
      <c r="U559" s="38"/>
      <c r="V559" s="37"/>
      <c r="W559" s="37"/>
      <c r="X559" s="37"/>
      <c r="Y559" s="37"/>
      <c r="Z559" s="37"/>
      <c r="AA559" s="37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</row>
    <row r="560" spans="1:52" ht="39.75" hidden="1" customHeight="1" x14ac:dyDescent="0.2">
      <c r="A560" s="45" t="str">
        <f t="shared" si="27"/>
        <v/>
      </c>
      <c r="B560" s="45"/>
      <c r="C560" s="45"/>
      <c r="D560" s="45"/>
      <c r="E560" s="50"/>
      <c r="F560" s="51"/>
      <c r="G560" s="52"/>
      <c r="H560" s="52"/>
      <c r="I560" s="52" t="str">
        <f t="shared" si="28"/>
        <v/>
      </c>
      <c r="J560" s="54"/>
      <c r="K560" s="55" t="str">
        <f t="shared" si="29"/>
        <v/>
      </c>
      <c r="L560" s="54"/>
      <c r="M560" s="54"/>
      <c r="N560" s="54"/>
      <c r="O560" s="54"/>
      <c r="P560" s="54"/>
      <c r="S560" s="38"/>
      <c r="T560" s="38"/>
      <c r="U560" s="38"/>
      <c r="V560" s="37"/>
      <c r="W560" s="37"/>
      <c r="X560" s="37"/>
      <c r="Y560" s="37"/>
      <c r="Z560" s="37"/>
      <c r="AA560" s="37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</row>
    <row r="561" spans="1:52" ht="39.75" hidden="1" customHeight="1" x14ac:dyDescent="0.2">
      <c r="A561" s="45" t="str">
        <f t="shared" si="27"/>
        <v/>
      </c>
      <c r="B561" s="45"/>
      <c r="C561" s="45"/>
      <c r="D561" s="45"/>
      <c r="E561" s="50"/>
      <c r="F561" s="51"/>
      <c r="G561" s="52"/>
      <c r="H561" s="52"/>
      <c r="I561" s="52" t="str">
        <f t="shared" si="28"/>
        <v/>
      </c>
      <c r="J561" s="54"/>
      <c r="K561" s="55" t="str">
        <f t="shared" si="29"/>
        <v/>
      </c>
      <c r="L561" s="54"/>
      <c r="M561" s="54"/>
      <c r="N561" s="54"/>
      <c r="O561" s="54"/>
      <c r="P561" s="54"/>
      <c r="S561" s="38"/>
      <c r="T561" s="38"/>
      <c r="U561" s="38"/>
      <c r="V561" s="37"/>
      <c r="W561" s="37"/>
      <c r="X561" s="37"/>
      <c r="Y561" s="37"/>
      <c r="Z561" s="37"/>
      <c r="AA561" s="37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</row>
    <row r="562" spans="1:52" ht="39.75" hidden="1" customHeight="1" x14ac:dyDescent="0.2">
      <c r="A562" s="45" t="str">
        <f t="shared" si="27"/>
        <v/>
      </c>
      <c r="B562" s="45"/>
      <c r="C562" s="45"/>
      <c r="D562" s="45"/>
      <c r="E562" s="50"/>
      <c r="F562" s="51"/>
      <c r="G562" s="52"/>
      <c r="H562" s="52"/>
      <c r="I562" s="52" t="str">
        <f t="shared" si="28"/>
        <v/>
      </c>
      <c r="J562" s="54"/>
      <c r="K562" s="55" t="str">
        <f t="shared" si="29"/>
        <v/>
      </c>
      <c r="L562" s="54"/>
      <c r="M562" s="54"/>
      <c r="N562" s="54"/>
      <c r="O562" s="54"/>
      <c r="P562" s="54"/>
      <c r="S562" s="38"/>
      <c r="T562" s="38"/>
      <c r="U562" s="38"/>
      <c r="V562" s="37"/>
      <c r="W562" s="37"/>
      <c r="X562" s="37"/>
      <c r="Y562" s="37"/>
      <c r="Z562" s="37"/>
      <c r="AA562" s="37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</row>
    <row r="563" spans="1:52" ht="39.75" hidden="1" customHeight="1" x14ac:dyDescent="0.2">
      <c r="A563" s="45" t="str">
        <f t="shared" si="27"/>
        <v/>
      </c>
      <c r="B563" s="45"/>
      <c r="C563" s="45"/>
      <c r="D563" s="45"/>
      <c r="E563" s="50"/>
      <c r="F563" s="51"/>
      <c r="G563" s="52"/>
      <c r="H563" s="52"/>
      <c r="I563" s="52" t="str">
        <f t="shared" si="28"/>
        <v/>
      </c>
      <c r="J563" s="54"/>
      <c r="K563" s="55" t="str">
        <f t="shared" si="29"/>
        <v/>
      </c>
      <c r="L563" s="54"/>
      <c r="M563" s="54"/>
      <c r="N563" s="54"/>
      <c r="O563" s="54"/>
      <c r="P563" s="54"/>
      <c r="S563" s="38"/>
      <c r="T563" s="38"/>
      <c r="U563" s="38"/>
      <c r="V563" s="37"/>
      <c r="W563" s="37"/>
      <c r="X563" s="37"/>
      <c r="Y563" s="37"/>
      <c r="Z563" s="37"/>
      <c r="AA563" s="37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</row>
    <row r="564" spans="1:52" ht="39.75" hidden="1" customHeight="1" x14ac:dyDescent="0.2">
      <c r="A564" s="45" t="str">
        <f t="shared" si="27"/>
        <v/>
      </c>
      <c r="B564" s="45"/>
      <c r="C564" s="45"/>
      <c r="D564" s="45"/>
      <c r="E564" s="50"/>
      <c r="F564" s="51"/>
      <c r="G564" s="52"/>
      <c r="H564" s="52"/>
      <c r="I564" s="52" t="str">
        <f t="shared" si="28"/>
        <v/>
      </c>
      <c r="J564" s="54"/>
      <c r="K564" s="55" t="str">
        <f t="shared" si="29"/>
        <v/>
      </c>
      <c r="L564" s="54"/>
      <c r="M564" s="54"/>
      <c r="N564" s="54"/>
      <c r="O564" s="54"/>
      <c r="P564" s="54"/>
      <c r="S564" s="38"/>
      <c r="T564" s="38"/>
      <c r="U564" s="38"/>
      <c r="V564" s="37"/>
      <c r="W564" s="37"/>
      <c r="X564" s="37"/>
      <c r="Y564" s="37"/>
      <c r="Z564" s="37"/>
      <c r="AA564" s="37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</row>
    <row r="565" spans="1:52" ht="39.75" hidden="1" customHeight="1" x14ac:dyDescent="0.2">
      <c r="A565" s="45" t="str">
        <f t="shared" si="27"/>
        <v/>
      </c>
      <c r="B565" s="45"/>
      <c r="C565" s="45"/>
      <c r="D565" s="45"/>
      <c r="E565" s="50"/>
      <c r="F565" s="51"/>
      <c r="G565" s="52"/>
      <c r="H565" s="52"/>
      <c r="I565" s="52" t="str">
        <f t="shared" si="28"/>
        <v/>
      </c>
      <c r="J565" s="54"/>
      <c r="K565" s="55" t="str">
        <f t="shared" si="29"/>
        <v/>
      </c>
      <c r="L565" s="54"/>
      <c r="M565" s="54"/>
      <c r="N565" s="54"/>
      <c r="O565" s="54"/>
      <c r="P565" s="54"/>
      <c r="S565" s="38"/>
      <c r="T565" s="38"/>
      <c r="U565" s="38"/>
      <c r="V565" s="37"/>
      <c r="W565" s="37"/>
      <c r="X565" s="37"/>
      <c r="Y565" s="37"/>
      <c r="Z565" s="37"/>
      <c r="AA565" s="37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</row>
    <row r="566" spans="1:52" ht="39.75" hidden="1" customHeight="1" x14ac:dyDescent="0.2">
      <c r="A566" s="45" t="str">
        <f t="shared" si="27"/>
        <v/>
      </c>
      <c r="B566" s="45"/>
      <c r="C566" s="45"/>
      <c r="D566" s="45"/>
      <c r="E566" s="50"/>
      <c r="F566" s="51"/>
      <c r="G566" s="52"/>
      <c r="H566" s="52"/>
      <c r="I566" s="52" t="str">
        <f t="shared" si="28"/>
        <v/>
      </c>
      <c r="J566" s="54"/>
      <c r="K566" s="55" t="str">
        <f t="shared" si="29"/>
        <v/>
      </c>
      <c r="L566" s="54"/>
      <c r="M566" s="54"/>
      <c r="N566" s="54"/>
      <c r="O566" s="54"/>
      <c r="P566" s="54"/>
      <c r="S566" s="38"/>
      <c r="T566" s="38"/>
      <c r="U566" s="38"/>
      <c r="V566" s="37"/>
      <c r="W566" s="37"/>
      <c r="X566" s="37"/>
      <c r="Y566" s="37"/>
      <c r="Z566" s="37"/>
      <c r="AA566" s="37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</row>
    <row r="567" spans="1:52" ht="39.75" hidden="1" customHeight="1" x14ac:dyDescent="0.2">
      <c r="A567" s="45" t="str">
        <f t="shared" si="27"/>
        <v/>
      </c>
      <c r="B567" s="45"/>
      <c r="C567" s="45"/>
      <c r="D567" s="45"/>
      <c r="E567" s="50"/>
      <c r="F567" s="51"/>
      <c r="G567" s="52"/>
      <c r="H567" s="52"/>
      <c r="I567" s="52" t="str">
        <f t="shared" si="28"/>
        <v/>
      </c>
      <c r="J567" s="54"/>
      <c r="K567" s="55" t="str">
        <f t="shared" si="29"/>
        <v/>
      </c>
      <c r="L567" s="54"/>
      <c r="M567" s="54"/>
      <c r="N567" s="54"/>
      <c r="O567" s="54"/>
      <c r="P567" s="54"/>
      <c r="S567" s="38"/>
      <c r="T567" s="38"/>
      <c r="U567" s="38"/>
      <c r="V567" s="37"/>
      <c r="W567" s="37"/>
      <c r="X567" s="37"/>
      <c r="Y567" s="37"/>
      <c r="Z567" s="37"/>
      <c r="AA567" s="37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</row>
    <row r="568" spans="1:52" ht="39.75" hidden="1" customHeight="1" x14ac:dyDescent="0.2">
      <c r="A568" s="45" t="str">
        <f t="shared" si="27"/>
        <v/>
      </c>
      <c r="B568" s="45"/>
      <c r="C568" s="45"/>
      <c r="D568" s="45"/>
      <c r="E568" s="50"/>
      <c r="F568" s="51"/>
      <c r="G568" s="52"/>
      <c r="H568" s="52"/>
      <c r="I568" s="52" t="str">
        <f t="shared" si="28"/>
        <v/>
      </c>
      <c r="J568" s="54"/>
      <c r="K568" s="55" t="str">
        <f t="shared" si="29"/>
        <v/>
      </c>
      <c r="L568" s="54"/>
      <c r="M568" s="54"/>
      <c r="N568" s="54"/>
      <c r="O568" s="54"/>
      <c r="P568" s="54"/>
      <c r="S568" s="38"/>
      <c r="T568" s="38"/>
      <c r="U568" s="38"/>
      <c r="V568" s="37"/>
      <c r="W568" s="37"/>
      <c r="X568" s="37"/>
      <c r="Y568" s="37"/>
      <c r="Z568" s="37"/>
      <c r="AA568" s="37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</row>
    <row r="569" spans="1:52" ht="39.75" hidden="1" customHeight="1" x14ac:dyDescent="0.2">
      <c r="A569" s="45" t="str">
        <f t="shared" si="27"/>
        <v/>
      </c>
      <c r="B569" s="45"/>
      <c r="C569" s="45"/>
      <c r="D569" s="45"/>
      <c r="E569" s="50"/>
      <c r="F569" s="51"/>
      <c r="G569" s="52"/>
      <c r="H569" s="52"/>
      <c r="I569" s="52" t="str">
        <f t="shared" si="28"/>
        <v/>
      </c>
      <c r="J569" s="54"/>
      <c r="K569" s="55" t="str">
        <f t="shared" si="29"/>
        <v/>
      </c>
      <c r="L569" s="54"/>
      <c r="M569" s="54"/>
      <c r="N569" s="54"/>
      <c r="O569" s="54"/>
      <c r="P569" s="54"/>
      <c r="S569" s="38"/>
      <c r="T569" s="38"/>
      <c r="U569" s="38"/>
      <c r="V569" s="37"/>
      <c r="W569" s="37"/>
      <c r="X569" s="37"/>
      <c r="Y569" s="37"/>
      <c r="Z569" s="37"/>
      <c r="AA569" s="37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</row>
    <row r="570" spans="1:52" ht="39.75" hidden="1" customHeight="1" x14ac:dyDescent="0.2">
      <c r="A570" s="45" t="str">
        <f t="shared" si="27"/>
        <v/>
      </c>
      <c r="B570" s="45"/>
      <c r="C570" s="45"/>
      <c r="D570" s="45"/>
      <c r="E570" s="50"/>
      <c r="F570" s="51"/>
      <c r="G570" s="52"/>
      <c r="H570" s="52"/>
      <c r="I570" s="52" t="str">
        <f t="shared" si="28"/>
        <v/>
      </c>
      <c r="J570" s="54"/>
      <c r="K570" s="55" t="str">
        <f t="shared" si="29"/>
        <v/>
      </c>
      <c r="L570" s="54"/>
      <c r="M570" s="54"/>
      <c r="N570" s="54"/>
      <c r="O570" s="54"/>
      <c r="P570" s="54"/>
      <c r="S570" s="38"/>
      <c r="T570" s="38"/>
      <c r="U570" s="38"/>
      <c r="V570" s="37"/>
      <c r="W570" s="37"/>
      <c r="X570" s="37"/>
      <c r="Y570" s="37"/>
      <c r="Z570" s="37"/>
      <c r="AA570" s="37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</row>
    <row r="571" spans="1:52" ht="39.75" hidden="1" customHeight="1" x14ac:dyDescent="0.2">
      <c r="A571" s="45" t="str">
        <f t="shared" si="27"/>
        <v/>
      </c>
      <c r="B571" s="45"/>
      <c r="C571" s="45"/>
      <c r="D571" s="45"/>
      <c r="E571" s="50"/>
      <c r="F571" s="51"/>
      <c r="G571" s="52"/>
      <c r="H571" s="52"/>
      <c r="I571" s="52" t="str">
        <f t="shared" si="28"/>
        <v/>
      </c>
      <c r="J571" s="54"/>
      <c r="K571" s="55" t="str">
        <f t="shared" si="29"/>
        <v/>
      </c>
      <c r="L571" s="54"/>
      <c r="M571" s="54"/>
      <c r="N571" s="54"/>
      <c r="O571" s="54"/>
      <c r="P571" s="54"/>
      <c r="S571" s="38"/>
      <c r="T571" s="38"/>
      <c r="U571" s="38"/>
      <c r="V571" s="37"/>
      <c r="W571" s="37"/>
      <c r="X571" s="37"/>
      <c r="Y571" s="37"/>
      <c r="Z571" s="37"/>
      <c r="AA571" s="37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</row>
    <row r="572" spans="1:52" ht="39.75" hidden="1" customHeight="1" x14ac:dyDescent="0.2">
      <c r="A572" s="45" t="str">
        <f t="shared" si="27"/>
        <v/>
      </c>
      <c r="B572" s="45"/>
      <c r="C572" s="45"/>
      <c r="D572" s="45"/>
      <c r="E572" s="50"/>
      <c r="F572" s="51"/>
      <c r="G572" s="52"/>
      <c r="H572" s="52"/>
      <c r="I572" s="52" t="str">
        <f t="shared" si="28"/>
        <v/>
      </c>
      <c r="J572" s="54"/>
      <c r="K572" s="55" t="str">
        <f t="shared" si="29"/>
        <v/>
      </c>
      <c r="L572" s="54"/>
      <c r="M572" s="54"/>
      <c r="N572" s="54"/>
      <c r="O572" s="54"/>
      <c r="P572" s="54"/>
      <c r="S572" s="38"/>
      <c r="T572" s="38"/>
      <c r="U572" s="38"/>
      <c r="V572" s="37"/>
      <c r="W572" s="37"/>
      <c r="X572" s="37"/>
      <c r="Y572" s="37"/>
      <c r="Z572" s="37"/>
      <c r="AA572" s="37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</row>
    <row r="573" spans="1:52" ht="39.75" hidden="1" customHeight="1" x14ac:dyDescent="0.2">
      <c r="A573" s="45" t="str">
        <f t="shared" si="27"/>
        <v/>
      </c>
      <c r="B573" s="45"/>
      <c r="C573" s="45"/>
      <c r="D573" s="45"/>
      <c r="E573" s="50"/>
      <c r="F573" s="51"/>
      <c r="G573" s="52"/>
      <c r="H573" s="52"/>
      <c r="I573" s="52" t="str">
        <f t="shared" si="28"/>
        <v/>
      </c>
      <c r="J573" s="54"/>
      <c r="K573" s="55" t="str">
        <f t="shared" si="29"/>
        <v/>
      </c>
      <c r="L573" s="54"/>
      <c r="M573" s="54"/>
      <c r="N573" s="54"/>
      <c r="O573" s="54"/>
      <c r="P573" s="54"/>
      <c r="S573" s="38"/>
      <c r="T573" s="38"/>
      <c r="U573" s="38"/>
      <c r="V573" s="37"/>
      <c r="W573" s="37"/>
      <c r="X573" s="37"/>
      <c r="Y573" s="37"/>
      <c r="Z573" s="37"/>
      <c r="AA573" s="37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</row>
    <row r="574" spans="1:52" ht="39.75" hidden="1" customHeight="1" x14ac:dyDescent="0.2">
      <c r="A574" s="45" t="str">
        <f t="shared" si="27"/>
        <v/>
      </c>
      <c r="B574" s="45"/>
      <c r="C574" s="45"/>
      <c r="D574" s="45"/>
      <c r="E574" s="50"/>
      <c r="F574" s="51"/>
      <c r="G574" s="52"/>
      <c r="H574" s="52"/>
      <c r="I574" s="52" t="str">
        <f t="shared" si="28"/>
        <v/>
      </c>
      <c r="J574" s="54"/>
      <c r="K574" s="55" t="str">
        <f t="shared" si="29"/>
        <v/>
      </c>
      <c r="L574" s="54"/>
      <c r="M574" s="54"/>
      <c r="N574" s="54"/>
      <c r="O574" s="54"/>
      <c r="P574" s="54"/>
      <c r="S574" s="38"/>
      <c r="T574" s="38"/>
      <c r="U574" s="38"/>
      <c r="V574" s="37"/>
      <c r="W574" s="37"/>
      <c r="X574" s="37"/>
      <c r="Y574" s="37"/>
      <c r="Z574" s="37"/>
      <c r="AA574" s="37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</row>
    <row r="575" spans="1:52" ht="39.75" hidden="1" customHeight="1" x14ac:dyDescent="0.2">
      <c r="A575" s="45" t="str">
        <f t="shared" si="27"/>
        <v/>
      </c>
      <c r="B575" s="45"/>
      <c r="C575" s="45"/>
      <c r="D575" s="45"/>
      <c r="E575" s="50"/>
      <c r="F575" s="51"/>
      <c r="G575" s="52"/>
      <c r="H575" s="52"/>
      <c r="I575" s="52" t="str">
        <f t="shared" si="28"/>
        <v/>
      </c>
      <c r="J575" s="54"/>
      <c r="K575" s="55" t="str">
        <f t="shared" si="29"/>
        <v/>
      </c>
      <c r="L575" s="54"/>
      <c r="M575" s="54"/>
      <c r="N575" s="54"/>
      <c r="O575" s="54"/>
      <c r="P575" s="54"/>
      <c r="S575" s="38"/>
      <c r="T575" s="38"/>
      <c r="U575" s="38"/>
      <c r="V575" s="37"/>
      <c r="W575" s="37"/>
      <c r="X575" s="37"/>
      <c r="Y575" s="37"/>
      <c r="Z575" s="37"/>
      <c r="AA575" s="37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</row>
    <row r="576" spans="1:52" ht="39.75" hidden="1" customHeight="1" x14ac:dyDescent="0.2">
      <c r="A576" s="45" t="str">
        <f t="shared" si="27"/>
        <v/>
      </c>
      <c r="B576" s="45"/>
      <c r="C576" s="45"/>
      <c r="D576" s="45"/>
      <c r="E576" s="50"/>
      <c r="F576" s="51"/>
      <c r="G576" s="52"/>
      <c r="H576" s="52"/>
      <c r="I576" s="52" t="str">
        <f t="shared" si="28"/>
        <v/>
      </c>
      <c r="J576" s="54"/>
      <c r="K576" s="55" t="str">
        <f t="shared" si="29"/>
        <v/>
      </c>
      <c r="L576" s="54"/>
      <c r="M576" s="54"/>
      <c r="N576" s="54"/>
      <c r="O576" s="54"/>
      <c r="P576" s="54"/>
      <c r="S576" s="38"/>
      <c r="T576" s="38"/>
      <c r="U576" s="38"/>
      <c r="V576" s="37"/>
      <c r="W576" s="37"/>
      <c r="X576" s="37"/>
      <c r="Y576" s="37"/>
      <c r="Z576" s="37"/>
      <c r="AA576" s="37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</row>
    <row r="577" spans="1:52" ht="39.75" hidden="1" customHeight="1" x14ac:dyDescent="0.2">
      <c r="A577" s="45" t="str">
        <f t="shared" si="27"/>
        <v/>
      </c>
      <c r="B577" s="45"/>
      <c r="C577" s="45"/>
      <c r="D577" s="45"/>
      <c r="E577" s="50"/>
      <c r="F577" s="51"/>
      <c r="G577" s="52"/>
      <c r="H577" s="52"/>
      <c r="I577" s="52" t="str">
        <f t="shared" si="28"/>
        <v/>
      </c>
      <c r="J577" s="54"/>
      <c r="K577" s="55" t="str">
        <f t="shared" si="29"/>
        <v/>
      </c>
      <c r="L577" s="54"/>
      <c r="M577" s="54"/>
      <c r="N577" s="54"/>
      <c r="O577" s="54"/>
      <c r="P577" s="54"/>
      <c r="S577" s="38"/>
      <c r="T577" s="38"/>
      <c r="U577" s="38"/>
      <c r="V577" s="37"/>
      <c r="W577" s="37"/>
      <c r="X577" s="37"/>
      <c r="Y577" s="37"/>
      <c r="Z577" s="37"/>
      <c r="AA577" s="37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</row>
    <row r="578" spans="1:52" ht="39.75" hidden="1" customHeight="1" x14ac:dyDescent="0.2">
      <c r="A578" s="45" t="str">
        <f t="shared" si="27"/>
        <v/>
      </c>
      <c r="B578" s="45"/>
      <c r="C578" s="45"/>
      <c r="D578" s="45"/>
      <c r="E578" s="50"/>
      <c r="F578" s="51"/>
      <c r="G578" s="52"/>
      <c r="H578" s="52"/>
      <c r="I578" s="52" t="str">
        <f t="shared" si="28"/>
        <v/>
      </c>
      <c r="J578" s="54"/>
      <c r="K578" s="55" t="str">
        <f t="shared" si="29"/>
        <v/>
      </c>
      <c r="L578" s="54"/>
      <c r="M578" s="54"/>
      <c r="N578" s="54"/>
      <c r="O578" s="54"/>
      <c r="P578" s="54"/>
      <c r="S578" s="38"/>
      <c r="T578" s="38"/>
      <c r="U578" s="38"/>
      <c r="V578" s="37"/>
      <c r="W578" s="37"/>
      <c r="X578" s="37"/>
      <c r="Y578" s="37"/>
      <c r="Z578" s="37"/>
      <c r="AA578" s="37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</row>
    <row r="579" spans="1:52" ht="39.75" hidden="1" customHeight="1" x14ac:dyDescent="0.2">
      <c r="A579" s="45" t="str">
        <f t="shared" si="27"/>
        <v/>
      </c>
      <c r="B579" s="45"/>
      <c r="C579" s="45"/>
      <c r="D579" s="45"/>
      <c r="E579" s="50"/>
      <c r="F579" s="51"/>
      <c r="G579" s="52"/>
      <c r="H579" s="52"/>
      <c r="I579" s="52" t="str">
        <f t="shared" si="28"/>
        <v/>
      </c>
      <c r="J579" s="54"/>
      <c r="K579" s="55" t="str">
        <f t="shared" si="29"/>
        <v/>
      </c>
      <c r="L579" s="54"/>
      <c r="M579" s="54"/>
      <c r="N579" s="54"/>
      <c r="O579" s="54"/>
      <c r="P579" s="54"/>
      <c r="S579" s="38"/>
      <c r="T579" s="38"/>
      <c r="U579" s="38"/>
      <c r="V579" s="37"/>
      <c r="W579" s="37"/>
      <c r="X579" s="37"/>
      <c r="Y579" s="37"/>
      <c r="Z579" s="37"/>
      <c r="AA579" s="37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</row>
    <row r="580" spans="1:52" ht="39.75" hidden="1" customHeight="1" x14ac:dyDescent="0.2">
      <c r="A580" s="45" t="str">
        <f t="shared" si="27"/>
        <v/>
      </c>
      <c r="B580" s="45"/>
      <c r="C580" s="45"/>
      <c r="D580" s="45"/>
      <c r="E580" s="50"/>
      <c r="F580" s="51"/>
      <c r="G580" s="52"/>
      <c r="H580" s="52"/>
      <c r="I580" s="52" t="str">
        <f t="shared" si="28"/>
        <v/>
      </c>
      <c r="J580" s="54"/>
      <c r="K580" s="55" t="str">
        <f t="shared" si="29"/>
        <v/>
      </c>
      <c r="L580" s="54"/>
      <c r="M580" s="54"/>
      <c r="N580" s="54"/>
      <c r="O580" s="54"/>
      <c r="P580" s="54"/>
      <c r="S580" s="38"/>
      <c r="T580" s="38"/>
      <c r="U580" s="38"/>
      <c r="V580" s="37"/>
      <c r="W580" s="37"/>
      <c r="X580" s="37"/>
      <c r="Y580" s="37"/>
      <c r="Z580" s="37"/>
      <c r="AA580" s="37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</row>
    <row r="581" spans="1:52" ht="39.75" hidden="1" customHeight="1" x14ac:dyDescent="0.2">
      <c r="A581" s="45" t="str">
        <f t="shared" si="27"/>
        <v/>
      </c>
      <c r="B581" s="45"/>
      <c r="C581" s="45"/>
      <c r="D581" s="45"/>
      <c r="E581" s="50"/>
      <c r="F581" s="51"/>
      <c r="G581" s="52"/>
      <c r="H581" s="52"/>
      <c r="I581" s="52" t="str">
        <f t="shared" si="28"/>
        <v/>
      </c>
      <c r="J581" s="54"/>
      <c r="K581" s="55" t="str">
        <f t="shared" si="29"/>
        <v/>
      </c>
      <c r="L581" s="54"/>
      <c r="M581" s="54"/>
      <c r="N581" s="54"/>
      <c r="O581" s="54"/>
      <c r="P581" s="54"/>
      <c r="S581" s="38"/>
      <c r="T581" s="38"/>
      <c r="U581" s="38"/>
      <c r="V581" s="37"/>
      <c r="W581" s="37"/>
      <c r="X581" s="37"/>
      <c r="Y581" s="37"/>
      <c r="Z581" s="37"/>
      <c r="AA581" s="37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</row>
    <row r="582" spans="1:52" ht="39.75" hidden="1" customHeight="1" x14ac:dyDescent="0.2">
      <c r="A582" s="45" t="str">
        <f t="shared" ref="A582:A645" si="30">IF(F582="","",ROW()-5)</f>
        <v/>
      </c>
      <c r="B582" s="45"/>
      <c r="C582" s="45"/>
      <c r="D582" s="45"/>
      <c r="E582" s="50"/>
      <c r="F582" s="51"/>
      <c r="G582" s="52"/>
      <c r="H582" s="52"/>
      <c r="I582" s="52" t="str">
        <f t="shared" ref="I582:I645" si="31">IF(AND(LEN(F582)=18, ISBLANK(G582)=FALSE(), ISBLANK(H582)=FALSE()),37,"")</f>
        <v/>
      </c>
      <c r="J582" s="54"/>
      <c r="K582" s="55" t="str">
        <f t="shared" ref="K582:K645" si="32">IF(OR(J582="",Q582=0),"",IF(COUNTA(L582:P582)&gt;Q582,"Seluruh pilihan telah dipilih, anda memilih lebih dari kemungkinan pilihan yang tersedia, periksa pilihan anda "&amp;"("&amp;COUNTA(L582:P582)&amp;"/"&amp;Q582&amp;")",IF(COUNTA(L582:P582)=Q582,IF(SUMPRODUCT(COUNTIF(L582:P582,L582:P582)*(L582:P582&lt;&gt;""))&gt;COUNTA(L582:P582),"Terdapat pilihan yang sama, segera ubah "&amp;"("&amp;COUNTA(L582:P582)&amp;"/"&amp;Q582&amp;")","Seluruh pilihan telah dipilih "&amp;"("&amp;COUNTA(L582:P582)&amp;"/"&amp;Q582&amp;")"),IF(COUNTA(L582:P582)&gt;0,"Masih terdapat pilihan yang bisa dipilih, silahkan melengkapi pilihan "&amp;"("&amp;COUNTA(L582:P582)&amp;"/"&amp;Q582&amp;")",""))))</f>
        <v/>
      </c>
      <c r="L582" s="54"/>
      <c r="M582" s="54"/>
      <c r="N582" s="54"/>
      <c r="O582" s="54"/>
      <c r="P582" s="54"/>
      <c r="S582" s="38"/>
      <c r="T582" s="38"/>
      <c r="U582" s="38"/>
      <c r="V582" s="37"/>
      <c r="W582" s="37"/>
      <c r="X582" s="37"/>
      <c r="Y582" s="37"/>
      <c r="Z582" s="37"/>
      <c r="AA582" s="37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</row>
    <row r="583" spans="1:52" ht="39.75" hidden="1" customHeight="1" x14ac:dyDescent="0.2">
      <c r="A583" s="45" t="str">
        <f t="shared" si="30"/>
        <v/>
      </c>
      <c r="B583" s="45"/>
      <c r="C583" s="45"/>
      <c r="D583" s="45"/>
      <c r="E583" s="50"/>
      <c r="F583" s="51"/>
      <c r="G583" s="52"/>
      <c r="H583" s="52"/>
      <c r="I583" s="52" t="str">
        <f t="shared" si="31"/>
        <v/>
      </c>
      <c r="J583" s="54"/>
      <c r="K583" s="55" t="str">
        <f t="shared" si="32"/>
        <v/>
      </c>
      <c r="L583" s="54"/>
      <c r="M583" s="54"/>
      <c r="N583" s="54"/>
      <c r="O583" s="54"/>
      <c r="P583" s="54"/>
      <c r="S583" s="38"/>
      <c r="T583" s="38"/>
      <c r="U583" s="38"/>
      <c r="V583" s="37"/>
      <c r="W583" s="37"/>
      <c r="X583" s="37"/>
      <c r="Y583" s="37"/>
      <c r="Z583" s="37"/>
      <c r="AA583" s="37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</row>
    <row r="584" spans="1:52" ht="39.75" hidden="1" customHeight="1" x14ac:dyDescent="0.2">
      <c r="A584" s="45" t="str">
        <f t="shared" si="30"/>
        <v/>
      </c>
      <c r="B584" s="45"/>
      <c r="C584" s="45"/>
      <c r="D584" s="45"/>
      <c r="E584" s="50"/>
      <c r="F584" s="51"/>
      <c r="G584" s="52"/>
      <c r="H584" s="52"/>
      <c r="I584" s="52" t="str">
        <f t="shared" si="31"/>
        <v/>
      </c>
      <c r="J584" s="54"/>
      <c r="K584" s="55" t="str">
        <f t="shared" si="32"/>
        <v/>
      </c>
      <c r="L584" s="54"/>
      <c r="M584" s="54"/>
      <c r="N584" s="54"/>
      <c r="O584" s="54"/>
      <c r="P584" s="54"/>
      <c r="S584" s="38"/>
      <c r="T584" s="38"/>
      <c r="U584" s="38"/>
      <c r="V584" s="37"/>
      <c r="W584" s="37"/>
      <c r="X584" s="37"/>
      <c r="Y584" s="37"/>
      <c r="Z584" s="37"/>
      <c r="AA584" s="37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</row>
    <row r="585" spans="1:52" ht="39.75" hidden="1" customHeight="1" x14ac:dyDescent="0.2">
      <c r="A585" s="45" t="str">
        <f t="shared" si="30"/>
        <v/>
      </c>
      <c r="B585" s="45"/>
      <c r="C585" s="45"/>
      <c r="D585" s="45"/>
      <c r="E585" s="50"/>
      <c r="F585" s="51"/>
      <c r="G585" s="52"/>
      <c r="H585" s="52"/>
      <c r="I585" s="52" t="str">
        <f t="shared" si="31"/>
        <v/>
      </c>
      <c r="J585" s="54"/>
      <c r="K585" s="55" t="str">
        <f t="shared" si="32"/>
        <v/>
      </c>
      <c r="L585" s="54"/>
      <c r="M585" s="54"/>
      <c r="N585" s="54"/>
      <c r="O585" s="54"/>
      <c r="P585" s="54"/>
      <c r="S585" s="38"/>
      <c r="T585" s="38"/>
      <c r="U585" s="38"/>
      <c r="V585" s="37"/>
      <c r="W585" s="37"/>
      <c r="X585" s="37"/>
      <c r="Y585" s="37"/>
      <c r="Z585" s="37"/>
      <c r="AA585" s="37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</row>
    <row r="586" spans="1:52" ht="39.75" hidden="1" customHeight="1" x14ac:dyDescent="0.2">
      <c r="A586" s="45" t="str">
        <f t="shared" si="30"/>
        <v/>
      </c>
      <c r="B586" s="45"/>
      <c r="C586" s="45"/>
      <c r="D586" s="45"/>
      <c r="E586" s="50"/>
      <c r="F586" s="51"/>
      <c r="G586" s="52"/>
      <c r="H586" s="52"/>
      <c r="I586" s="52" t="str">
        <f t="shared" si="31"/>
        <v/>
      </c>
      <c r="J586" s="54"/>
      <c r="K586" s="55" t="str">
        <f t="shared" si="32"/>
        <v/>
      </c>
      <c r="L586" s="54"/>
      <c r="M586" s="54"/>
      <c r="N586" s="54"/>
      <c r="O586" s="54"/>
      <c r="P586" s="54"/>
      <c r="S586" s="38"/>
      <c r="T586" s="38"/>
      <c r="U586" s="38"/>
      <c r="V586" s="37"/>
      <c r="W586" s="37"/>
      <c r="X586" s="37"/>
      <c r="Y586" s="37"/>
      <c r="Z586" s="37"/>
      <c r="AA586" s="37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</row>
    <row r="587" spans="1:52" ht="39.75" hidden="1" customHeight="1" x14ac:dyDescent="0.2">
      <c r="A587" s="45" t="str">
        <f t="shared" si="30"/>
        <v/>
      </c>
      <c r="B587" s="45"/>
      <c r="C587" s="45"/>
      <c r="D587" s="45"/>
      <c r="E587" s="50"/>
      <c r="F587" s="51"/>
      <c r="G587" s="52"/>
      <c r="H587" s="52"/>
      <c r="I587" s="52" t="str">
        <f t="shared" si="31"/>
        <v/>
      </c>
      <c r="J587" s="54"/>
      <c r="K587" s="55" t="str">
        <f t="shared" si="32"/>
        <v/>
      </c>
      <c r="L587" s="54"/>
      <c r="M587" s="54"/>
      <c r="N587" s="54"/>
      <c r="O587" s="54"/>
      <c r="P587" s="54"/>
      <c r="S587" s="38"/>
      <c r="T587" s="38"/>
      <c r="U587" s="38"/>
      <c r="V587" s="37"/>
      <c r="W587" s="37"/>
      <c r="X587" s="37"/>
      <c r="Y587" s="37"/>
      <c r="Z587" s="37"/>
      <c r="AA587" s="37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</row>
    <row r="588" spans="1:52" ht="39.75" hidden="1" customHeight="1" x14ac:dyDescent="0.2">
      <c r="A588" s="45" t="str">
        <f t="shared" si="30"/>
        <v/>
      </c>
      <c r="B588" s="45"/>
      <c r="C588" s="45"/>
      <c r="D588" s="45"/>
      <c r="E588" s="50"/>
      <c r="F588" s="51"/>
      <c r="G588" s="52"/>
      <c r="H588" s="52"/>
      <c r="I588" s="52" t="str">
        <f t="shared" si="31"/>
        <v/>
      </c>
      <c r="J588" s="54"/>
      <c r="K588" s="55" t="str">
        <f t="shared" si="32"/>
        <v/>
      </c>
      <c r="L588" s="54"/>
      <c r="M588" s="54"/>
      <c r="N588" s="54"/>
      <c r="O588" s="54"/>
      <c r="P588" s="54"/>
      <c r="S588" s="38"/>
      <c r="T588" s="38"/>
      <c r="U588" s="38"/>
      <c r="V588" s="37"/>
      <c r="W588" s="37"/>
      <c r="X588" s="37"/>
      <c r="Y588" s="37"/>
      <c r="Z588" s="37"/>
      <c r="AA588" s="37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</row>
    <row r="589" spans="1:52" ht="39.75" hidden="1" customHeight="1" x14ac:dyDescent="0.2">
      <c r="A589" s="45" t="str">
        <f t="shared" si="30"/>
        <v/>
      </c>
      <c r="B589" s="45"/>
      <c r="C589" s="45"/>
      <c r="D589" s="45"/>
      <c r="E589" s="50"/>
      <c r="F589" s="51"/>
      <c r="G589" s="52"/>
      <c r="H589" s="52"/>
      <c r="I589" s="52" t="str">
        <f t="shared" si="31"/>
        <v/>
      </c>
      <c r="J589" s="54"/>
      <c r="K589" s="55" t="str">
        <f t="shared" si="32"/>
        <v/>
      </c>
      <c r="L589" s="54"/>
      <c r="M589" s="54"/>
      <c r="N589" s="54"/>
      <c r="O589" s="54"/>
      <c r="P589" s="54"/>
      <c r="S589" s="38"/>
      <c r="T589" s="38"/>
      <c r="U589" s="38"/>
      <c r="V589" s="37"/>
      <c r="W589" s="37"/>
      <c r="X589" s="37"/>
      <c r="Y589" s="37"/>
      <c r="Z589" s="37"/>
      <c r="AA589" s="37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</row>
    <row r="590" spans="1:52" ht="39.75" hidden="1" customHeight="1" x14ac:dyDescent="0.2">
      <c r="A590" s="45" t="str">
        <f t="shared" si="30"/>
        <v/>
      </c>
      <c r="B590" s="45"/>
      <c r="C590" s="45"/>
      <c r="D590" s="45"/>
      <c r="E590" s="50"/>
      <c r="F590" s="51"/>
      <c r="G590" s="52"/>
      <c r="H590" s="52"/>
      <c r="I590" s="52" t="str">
        <f t="shared" si="31"/>
        <v/>
      </c>
      <c r="J590" s="54"/>
      <c r="K590" s="55" t="str">
        <f t="shared" si="32"/>
        <v/>
      </c>
      <c r="L590" s="54"/>
      <c r="M590" s="54"/>
      <c r="N590" s="54"/>
      <c r="O590" s="54"/>
      <c r="P590" s="54"/>
      <c r="S590" s="38"/>
      <c r="T590" s="38"/>
      <c r="U590" s="38"/>
      <c r="V590" s="37"/>
      <c r="W590" s="37"/>
      <c r="X590" s="37"/>
      <c r="Y590" s="37"/>
      <c r="Z590" s="37"/>
      <c r="AA590" s="37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</row>
    <row r="591" spans="1:52" ht="39.75" hidden="1" customHeight="1" x14ac:dyDescent="0.2">
      <c r="A591" s="45" t="str">
        <f t="shared" si="30"/>
        <v/>
      </c>
      <c r="B591" s="45"/>
      <c r="C591" s="45"/>
      <c r="D591" s="45"/>
      <c r="E591" s="50"/>
      <c r="F591" s="51"/>
      <c r="G591" s="52"/>
      <c r="H591" s="52"/>
      <c r="I591" s="52" t="str">
        <f t="shared" si="31"/>
        <v/>
      </c>
      <c r="J591" s="54"/>
      <c r="K591" s="55" t="str">
        <f t="shared" si="32"/>
        <v/>
      </c>
      <c r="L591" s="54"/>
      <c r="M591" s="54"/>
      <c r="N591" s="54"/>
      <c r="O591" s="54"/>
      <c r="P591" s="54"/>
      <c r="S591" s="38"/>
      <c r="T591" s="38"/>
      <c r="U591" s="38"/>
      <c r="V591" s="37"/>
      <c r="W591" s="37"/>
      <c r="X591" s="37"/>
      <c r="Y591" s="37"/>
      <c r="Z591" s="37"/>
      <c r="AA591" s="37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</row>
    <row r="592" spans="1:52" ht="39.75" hidden="1" customHeight="1" x14ac:dyDescent="0.2">
      <c r="A592" s="45" t="str">
        <f t="shared" si="30"/>
        <v/>
      </c>
      <c r="B592" s="45"/>
      <c r="C592" s="45"/>
      <c r="D592" s="45"/>
      <c r="E592" s="50"/>
      <c r="F592" s="51"/>
      <c r="G592" s="52"/>
      <c r="H592" s="52"/>
      <c r="I592" s="52" t="str">
        <f t="shared" si="31"/>
        <v/>
      </c>
      <c r="J592" s="54"/>
      <c r="K592" s="55" t="str">
        <f t="shared" si="32"/>
        <v/>
      </c>
      <c r="L592" s="54"/>
      <c r="M592" s="54"/>
      <c r="N592" s="54"/>
      <c r="O592" s="54"/>
      <c r="P592" s="54"/>
      <c r="S592" s="38"/>
      <c r="T592" s="38"/>
      <c r="U592" s="38"/>
      <c r="V592" s="37"/>
      <c r="W592" s="37"/>
      <c r="X592" s="37"/>
      <c r="Y592" s="37"/>
      <c r="Z592" s="37"/>
      <c r="AA592" s="37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</row>
    <row r="593" spans="1:52" ht="39.75" hidden="1" customHeight="1" x14ac:dyDescent="0.2">
      <c r="A593" s="45" t="str">
        <f t="shared" si="30"/>
        <v/>
      </c>
      <c r="B593" s="45"/>
      <c r="C593" s="45"/>
      <c r="D593" s="45"/>
      <c r="E593" s="50"/>
      <c r="F593" s="51"/>
      <c r="G593" s="52"/>
      <c r="H593" s="52"/>
      <c r="I593" s="52" t="str">
        <f t="shared" si="31"/>
        <v/>
      </c>
      <c r="J593" s="54"/>
      <c r="K593" s="55" t="str">
        <f t="shared" si="32"/>
        <v/>
      </c>
      <c r="L593" s="54"/>
      <c r="M593" s="54"/>
      <c r="N593" s="54"/>
      <c r="O593" s="54"/>
      <c r="P593" s="54"/>
      <c r="S593" s="38"/>
      <c r="T593" s="38"/>
      <c r="U593" s="38"/>
      <c r="V593" s="37"/>
      <c r="W593" s="37"/>
      <c r="X593" s="37"/>
      <c r="Y593" s="37"/>
      <c r="Z593" s="37"/>
      <c r="AA593" s="37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</row>
    <row r="594" spans="1:52" ht="39.75" hidden="1" customHeight="1" x14ac:dyDescent="0.2">
      <c r="A594" s="45" t="str">
        <f t="shared" si="30"/>
        <v/>
      </c>
      <c r="B594" s="45"/>
      <c r="C594" s="45"/>
      <c r="D594" s="45"/>
      <c r="E594" s="50"/>
      <c r="F594" s="51"/>
      <c r="G594" s="52"/>
      <c r="H594" s="52"/>
      <c r="I594" s="52" t="str">
        <f t="shared" si="31"/>
        <v/>
      </c>
      <c r="J594" s="54"/>
      <c r="K594" s="55" t="str">
        <f t="shared" si="32"/>
        <v/>
      </c>
      <c r="L594" s="54"/>
      <c r="M594" s="54"/>
      <c r="N594" s="54"/>
      <c r="O594" s="54"/>
      <c r="P594" s="54"/>
      <c r="S594" s="38"/>
      <c r="T594" s="38"/>
      <c r="U594" s="38"/>
      <c r="V594" s="37"/>
      <c r="W594" s="37"/>
      <c r="X594" s="37"/>
      <c r="Y594" s="37"/>
      <c r="Z594" s="37"/>
      <c r="AA594" s="37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</row>
    <row r="595" spans="1:52" ht="39.75" hidden="1" customHeight="1" x14ac:dyDescent="0.2">
      <c r="A595" s="45" t="str">
        <f t="shared" si="30"/>
        <v/>
      </c>
      <c r="B595" s="45"/>
      <c r="C595" s="45"/>
      <c r="D595" s="45"/>
      <c r="E595" s="50"/>
      <c r="F595" s="51"/>
      <c r="G595" s="52"/>
      <c r="H595" s="52"/>
      <c r="I595" s="52" t="str">
        <f t="shared" si="31"/>
        <v/>
      </c>
      <c r="J595" s="54"/>
      <c r="K595" s="55" t="str">
        <f t="shared" si="32"/>
        <v/>
      </c>
      <c r="L595" s="54"/>
      <c r="M595" s="54"/>
      <c r="N595" s="54"/>
      <c r="O595" s="54"/>
      <c r="P595" s="54"/>
      <c r="S595" s="38"/>
      <c r="T595" s="38"/>
      <c r="U595" s="38"/>
      <c r="V595" s="37"/>
      <c r="W595" s="37"/>
      <c r="X595" s="37"/>
      <c r="Y595" s="37"/>
      <c r="Z595" s="37"/>
      <c r="AA595" s="37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</row>
    <row r="596" spans="1:52" ht="39.75" hidden="1" customHeight="1" x14ac:dyDescent="0.2">
      <c r="A596" s="45" t="str">
        <f t="shared" si="30"/>
        <v/>
      </c>
      <c r="B596" s="45"/>
      <c r="C596" s="45"/>
      <c r="D596" s="45"/>
      <c r="E596" s="50"/>
      <c r="F596" s="51"/>
      <c r="G596" s="52"/>
      <c r="H596" s="52"/>
      <c r="I596" s="52" t="str">
        <f t="shared" si="31"/>
        <v/>
      </c>
      <c r="J596" s="54"/>
      <c r="K596" s="55" t="str">
        <f t="shared" si="32"/>
        <v/>
      </c>
      <c r="L596" s="54"/>
      <c r="M596" s="54"/>
      <c r="N596" s="54"/>
      <c r="O596" s="54"/>
      <c r="P596" s="54"/>
      <c r="S596" s="38"/>
      <c r="T596" s="38"/>
      <c r="U596" s="38"/>
      <c r="V596" s="37"/>
      <c r="W596" s="37"/>
      <c r="X596" s="37"/>
      <c r="Y596" s="37"/>
      <c r="Z596" s="37"/>
      <c r="AA596" s="37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</row>
    <row r="597" spans="1:52" ht="39.75" hidden="1" customHeight="1" x14ac:dyDescent="0.2">
      <c r="A597" s="45" t="str">
        <f t="shared" si="30"/>
        <v/>
      </c>
      <c r="B597" s="45"/>
      <c r="C597" s="45"/>
      <c r="D597" s="45"/>
      <c r="E597" s="50"/>
      <c r="F597" s="51"/>
      <c r="G597" s="52"/>
      <c r="H597" s="52"/>
      <c r="I597" s="52" t="str">
        <f t="shared" si="31"/>
        <v/>
      </c>
      <c r="J597" s="54"/>
      <c r="K597" s="55" t="str">
        <f t="shared" si="32"/>
        <v/>
      </c>
      <c r="L597" s="54"/>
      <c r="M597" s="54"/>
      <c r="N597" s="54"/>
      <c r="O597" s="54"/>
      <c r="P597" s="54"/>
      <c r="S597" s="38"/>
      <c r="T597" s="38"/>
      <c r="U597" s="38"/>
      <c r="V597" s="37"/>
      <c r="W597" s="37"/>
      <c r="X597" s="37"/>
      <c r="Y597" s="37"/>
      <c r="Z597" s="37"/>
      <c r="AA597" s="37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</row>
    <row r="598" spans="1:52" ht="39.75" hidden="1" customHeight="1" x14ac:dyDescent="0.2">
      <c r="A598" s="45" t="str">
        <f t="shared" si="30"/>
        <v/>
      </c>
      <c r="B598" s="45"/>
      <c r="C598" s="45"/>
      <c r="D598" s="45"/>
      <c r="E598" s="50"/>
      <c r="F598" s="51"/>
      <c r="G598" s="52"/>
      <c r="H598" s="52"/>
      <c r="I598" s="52" t="str">
        <f t="shared" si="31"/>
        <v/>
      </c>
      <c r="J598" s="54"/>
      <c r="K598" s="55" t="str">
        <f t="shared" si="32"/>
        <v/>
      </c>
      <c r="L598" s="54"/>
      <c r="M598" s="54"/>
      <c r="N598" s="54"/>
      <c r="O598" s="54"/>
      <c r="P598" s="54"/>
      <c r="S598" s="38"/>
      <c r="T598" s="38"/>
      <c r="U598" s="38"/>
      <c r="V598" s="37"/>
      <c r="W598" s="37"/>
      <c r="X598" s="37"/>
      <c r="Y598" s="37"/>
      <c r="Z598" s="37"/>
      <c r="AA598" s="37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</row>
    <row r="599" spans="1:52" ht="39.75" hidden="1" customHeight="1" x14ac:dyDescent="0.2">
      <c r="A599" s="45" t="str">
        <f t="shared" si="30"/>
        <v/>
      </c>
      <c r="B599" s="45"/>
      <c r="C599" s="45"/>
      <c r="D599" s="45"/>
      <c r="E599" s="50"/>
      <c r="F599" s="51"/>
      <c r="G599" s="52"/>
      <c r="H599" s="52"/>
      <c r="I599" s="52" t="str">
        <f t="shared" si="31"/>
        <v/>
      </c>
      <c r="J599" s="54"/>
      <c r="K599" s="55" t="str">
        <f t="shared" si="32"/>
        <v/>
      </c>
      <c r="L599" s="54"/>
      <c r="M599" s="54"/>
      <c r="N599" s="54"/>
      <c r="O599" s="54"/>
      <c r="P599" s="54"/>
      <c r="S599" s="38"/>
      <c r="T599" s="38"/>
      <c r="U599" s="38"/>
      <c r="V599" s="37"/>
      <c r="W599" s="37"/>
      <c r="X599" s="37"/>
      <c r="Y599" s="37"/>
      <c r="Z599" s="37"/>
      <c r="AA599" s="37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</row>
    <row r="600" spans="1:52" ht="39.75" hidden="1" customHeight="1" x14ac:dyDescent="0.2">
      <c r="A600" s="45" t="str">
        <f t="shared" si="30"/>
        <v/>
      </c>
      <c r="B600" s="45"/>
      <c r="C600" s="45"/>
      <c r="D600" s="45"/>
      <c r="E600" s="50"/>
      <c r="F600" s="51"/>
      <c r="G600" s="52"/>
      <c r="H600" s="52"/>
      <c r="I600" s="52" t="str">
        <f t="shared" si="31"/>
        <v/>
      </c>
      <c r="J600" s="54"/>
      <c r="K600" s="55" t="str">
        <f t="shared" si="32"/>
        <v/>
      </c>
      <c r="L600" s="54"/>
      <c r="M600" s="54"/>
      <c r="N600" s="54"/>
      <c r="O600" s="54"/>
      <c r="P600" s="54"/>
      <c r="S600" s="38"/>
      <c r="T600" s="38"/>
      <c r="U600" s="38"/>
      <c r="V600" s="37"/>
      <c r="W600" s="37"/>
      <c r="X600" s="37"/>
      <c r="Y600" s="37"/>
      <c r="Z600" s="37"/>
      <c r="AA600" s="37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</row>
    <row r="601" spans="1:52" ht="39.75" hidden="1" customHeight="1" x14ac:dyDescent="0.2">
      <c r="A601" s="45" t="str">
        <f t="shared" si="30"/>
        <v/>
      </c>
      <c r="B601" s="45"/>
      <c r="C601" s="45"/>
      <c r="D601" s="45"/>
      <c r="E601" s="50"/>
      <c r="F601" s="51"/>
      <c r="G601" s="52"/>
      <c r="H601" s="52"/>
      <c r="I601" s="52" t="str">
        <f t="shared" si="31"/>
        <v/>
      </c>
      <c r="J601" s="54"/>
      <c r="K601" s="55" t="str">
        <f t="shared" si="32"/>
        <v/>
      </c>
      <c r="L601" s="54"/>
      <c r="M601" s="54"/>
      <c r="N601" s="54"/>
      <c r="O601" s="54"/>
      <c r="P601" s="54"/>
      <c r="S601" s="38"/>
      <c r="T601" s="38"/>
      <c r="U601" s="38"/>
      <c r="V601" s="37"/>
      <c r="W601" s="37"/>
      <c r="X601" s="37"/>
      <c r="Y601" s="37"/>
      <c r="Z601" s="37"/>
      <c r="AA601" s="37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</row>
    <row r="602" spans="1:52" ht="39.75" hidden="1" customHeight="1" x14ac:dyDescent="0.2">
      <c r="A602" s="45" t="str">
        <f t="shared" si="30"/>
        <v/>
      </c>
      <c r="B602" s="45"/>
      <c r="C602" s="45"/>
      <c r="D602" s="45"/>
      <c r="E602" s="50"/>
      <c r="F602" s="51"/>
      <c r="G602" s="52"/>
      <c r="H602" s="52"/>
      <c r="I602" s="52" t="str">
        <f t="shared" si="31"/>
        <v/>
      </c>
      <c r="J602" s="54"/>
      <c r="K602" s="55" t="str">
        <f t="shared" si="32"/>
        <v/>
      </c>
      <c r="L602" s="54"/>
      <c r="M602" s="54"/>
      <c r="N602" s="54"/>
      <c r="O602" s="54"/>
      <c r="P602" s="54"/>
      <c r="S602" s="38"/>
      <c r="T602" s="38"/>
      <c r="U602" s="38"/>
      <c r="V602" s="37"/>
      <c r="W602" s="37"/>
      <c r="X602" s="37"/>
      <c r="Y602" s="37"/>
      <c r="Z602" s="37"/>
      <c r="AA602" s="37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</row>
    <row r="603" spans="1:52" ht="39.75" hidden="1" customHeight="1" x14ac:dyDescent="0.2">
      <c r="A603" s="45" t="str">
        <f t="shared" si="30"/>
        <v/>
      </c>
      <c r="B603" s="45"/>
      <c r="C603" s="45"/>
      <c r="D603" s="45"/>
      <c r="E603" s="50"/>
      <c r="F603" s="51"/>
      <c r="G603" s="52"/>
      <c r="H603" s="52"/>
      <c r="I603" s="52" t="str">
        <f t="shared" si="31"/>
        <v/>
      </c>
      <c r="J603" s="54"/>
      <c r="K603" s="55" t="str">
        <f t="shared" si="32"/>
        <v/>
      </c>
      <c r="L603" s="54"/>
      <c r="M603" s="54"/>
      <c r="N603" s="54"/>
      <c r="O603" s="54"/>
      <c r="P603" s="54"/>
      <c r="S603" s="38"/>
      <c r="T603" s="38"/>
      <c r="U603" s="38"/>
      <c r="V603" s="37"/>
      <c r="W603" s="37"/>
      <c r="X603" s="37"/>
      <c r="Y603" s="37"/>
      <c r="Z603" s="37"/>
      <c r="AA603" s="37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</row>
    <row r="604" spans="1:52" ht="39.75" hidden="1" customHeight="1" x14ac:dyDescent="0.2">
      <c r="A604" s="45" t="str">
        <f t="shared" si="30"/>
        <v/>
      </c>
      <c r="B604" s="45"/>
      <c r="C604" s="45"/>
      <c r="D604" s="45"/>
      <c r="E604" s="50"/>
      <c r="F604" s="51"/>
      <c r="G604" s="52"/>
      <c r="H604" s="52"/>
      <c r="I604" s="52" t="str">
        <f t="shared" si="31"/>
        <v/>
      </c>
      <c r="J604" s="54"/>
      <c r="K604" s="55" t="str">
        <f t="shared" si="32"/>
        <v/>
      </c>
      <c r="L604" s="54"/>
      <c r="M604" s="54"/>
      <c r="N604" s="54"/>
      <c r="O604" s="54"/>
      <c r="P604" s="54"/>
      <c r="S604" s="38"/>
      <c r="T604" s="38"/>
      <c r="U604" s="38"/>
      <c r="V604" s="37"/>
      <c r="W604" s="37"/>
      <c r="X604" s="37"/>
      <c r="Y604" s="37"/>
      <c r="Z604" s="37"/>
      <c r="AA604" s="37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</row>
    <row r="605" spans="1:52" ht="39.75" hidden="1" customHeight="1" x14ac:dyDescent="0.2">
      <c r="A605" s="45" t="str">
        <f t="shared" si="30"/>
        <v/>
      </c>
      <c r="B605" s="45"/>
      <c r="C605" s="45"/>
      <c r="D605" s="45"/>
      <c r="E605" s="50"/>
      <c r="F605" s="51"/>
      <c r="G605" s="52"/>
      <c r="H605" s="52"/>
      <c r="I605" s="52" t="str">
        <f t="shared" si="31"/>
        <v/>
      </c>
      <c r="J605" s="54"/>
      <c r="K605" s="55" t="str">
        <f t="shared" si="32"/>
        <v/>
      </c>
      <c r="L605" s="54"/>
      <c r="M605" s="54"/>
      <c r="N605" s="54"/>
      <c r="O605" s="54"/>
      <c r="P605" s="54"/>
      <c r="S605" s="38"/>
      <c r="T605" s="38"/>
      <c r="U605" s="38"/>
      <c r="V605" s="37"/>
      <c r="W605" s="37"/>
      <c r="X605" s="37"/>
      <c r="Y605" s="37"/>
      <c r="Z605" s="37"/>
      <c r="AA605" s="37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</row>
    <row r="606" spans="1:52" ht="39.75" hidden="1" customHeight="1" x14ac:dyDescent="0.2">
      <c r="A606" s="45" t="str">
        <f t="shared" si="30"/>
        <v/>
      </c>
      <c r="B606" s="45"/>
      <c r="C606" s="45"/>
      <c r="D606" s="45"/>
      <c r="E606" s="50"/>
      <c r="F606" s="51"/>
      <c r="G606" s="52"/>
      <c r="H606" s="52"/>
      <c r="I606" s="52" t="str">
        <f t="shared" si="31"/>
        <v/>
      </c>
      <c r="J606" s="54"/>
      <c r="K606" s="55" t="str">
        <f t="shared" si="32"/>
        <v/>
      </c>
      <c r="L606" s="54"/>
      <c r="M606" s="54"/>
      <c r="N606" s="54"/>
      <c r="O606" s="54"/>
      <c r="P606" s="54"/>
      <c r="S606" s="38"/>
      <c r="T606" s="38"/>
      <c r="U606" s="38"/>
      <c r="V606" s="37"/>
      <c r="W606" s="37"/>
      <c r="X606" s="37"/>
      <c r="Y606" s="37"/>
      <c r="Z606" s="37"/>
      <c r="AA606" s="37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</row>
    <row r="607" spans="1:52" ht="39.75" hidden="1" customHeight="1" x14ac:dyDescent="0.2">
      <c r="A607" s="45" t="str">
        <f t="shared" si="30"/>
        <v/>
      </c>
      <c r="B607" s="45"/>
      <c r="C607" s="45"/>
      <c r="D607" s="45"/>
      <c r="E607" s="50"/>
      <c r="F607" s="51"/>
      <c r="G607" s="52"/>
      <c r="H607" s="52"/>
      <c r="I607" s="52" t="str">
        <f t="shared" si="31"/>
        <v/>
      </c>
      <c r="J607" s="54"/>
      <c r="K607" s="55" t="str">
        <f t="shared" si="32"/>
        <v/>
      </c>
      <c r="L607" s="54"/>
      <c r="M607" s="54"/>
      <c r="N607" s="54"/>
      <c r="O607" s="54"/>
      <c r="P607" s="54"/>
      <c r="S607" s="38"/>
      <c r="T607" s="38"/>
      <c r="U607" s="38"/>
      <c r="V607" s="37"/>
      <c r="W607" s="37"/>
      <c r="X607" s="37"/>
      <c r="Y607" s="37"/>
      <c r="Z607" s="37"/>
      <c r="AA607" s="37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</row>
    <row r="608" spans="1:52" ht="39.75" hidden="1" customHeight="1" x14ac:dyDescent="0.2">
      <c r="A608" s="45" t="str">
        <f t="shared" si="30"/>
        <v/>
      </c>
      <c r="B608" s="45"/>
      <c r="C608" s="45"/>
      <c r="D608" s="45"/>
      <c r="E608" s="50"/>
      <c r="F608" s="51"/>
      <c r="G608" s="52"/>
      <c r="H608" s="52"/>
      <c r="I608" s="52" t="str">
        <f t="shared" si="31"/>
        <v/>
      </c>
      <c r="J608" s="54"/>
      <c r="K608" s="55" t="str">
        <f t="shared" si="32"/>
        <v/>
      </c>
      <c r="L608" s="54"/>
      <c r="M608" s="54"/>
      <c r="N608" s="54"/>
      <c r="O608" s="54"/>
      <c r="P608" s="54"/>
      <c r="S608" s="38"/>
      <c r="T608" s="38"/>
      <c r="U608" s="38"/>
      <c r="V608" s="37"/>
      <c r="W608" s="37"/>
      <c r="X608" s="37"/>
      <c r="Y608" s="37"/>
      <c r="Z608" s="37"/>
      <c r="AA608" s="37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</row>
    <row r="609" spans="1:52" ht="39.75" hidden="1" customHeight="1" x14ac:dyDescent="0.2">
      <c r="A609" s="45" t="str">
        <f t="shared" si="30"/>
        <v/>
      </c>
      <c r="B609" s="45"/>
      <c r="C609" s="45"/>
      <c r="D609" s="45"/>
      <c r="E609" s="50"/>
      <c r="F609" s="51"/>
      <c r="G609" s="52"/>
      <c r="H609" s="52"/>
      <c r="I609" s="52" t="str">
        <f t="shared" si="31"/>
        <v/>
      </c>
      <c r="J609" s="54"/>
      <c r="K609" s="55" t="str">
        <f t="shared" si="32"/>
        <v/>
      </c>
      <c r="L609" s="54"/>
      <c r="M609" s="54"/>
      <c r="N609" s="54"/>
      <c r="O609" s="54"/>
      <c r="P609" s="54"/>
      <c r="S609" s="38"/>
      <c r="T609" s="38"/>
      <c r="U609" s="38"/>
      <c r="V609" s="37"/>
      <c r="W609" s="37"/>
      <c r="X609" s="37"/>
      <c r="Y609" s="37"/>
      <c r="Z609" s="37"/>
      <c r="AA609" s="37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</row>
    <row r="610" spans="1:52" ht="39.75" hidden="1" customHeight="1" x14ac:dyDescent="0.2">
      <c r="A610" s="45" t="str">
        <f t="shared" si="30"/>
        <v/>
      </c>
      <c r="B610" s="45"/>
      <c r="C610" s="45"/>
      <c r="D610" s="45"/>
      <c r="E610" s="50"/>
      <c r="F610" s="51"/>
      <c r="G610" s="52"/>
      <c r="H610" s="52"/>
      <c r="I610" s="52" t="str">
        <f t="shared" si="31"/>
        <v/>
      </c>
      <c r="J610" s="54"/>
      <c r="K610" s="55" t="str">
        <f t="shared" si="32"/>
        <v/>
      </c>
      <c r="L610" s="54"/>
      <c r="M610" s="54"/>
      <c r="N610" s="54"/>
      <c r="O610" s="54"/>
      <c r="P610" s="54"/>
      <c r="S610" s="38"/>
      <c r="T610" s="38"/>
      <c r="U610" s="38"/>
      <c r="V610" s="37"/>
      <c r="W610" s="37"/>
      <c r="X610" s="37"/>
      <c r="Y610" s="37"/>
      <c r="Z610" s="37"/>
      <c r="AA610" s="37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</row>
    <row r="611" spans="1:52" ht="39.75" hidden="1" customHeight="1" x14ac:dyDescent="0.2">
      <c r="A611" s="45" t="str">
        <f t="shared" si="30"/>
        <v/>
      </c>
      <c r="B611" s="45"/>
      <c r="C611" s="45"/>
      <c r="D611" s="45"/>
      <c r="E611" s="50"/>
      <c r="F611" s="51"/>
      <c r="G611" s="52"/>
      <c r="H611" s="52"/>
      <c r="I611" s="52" t="str">
        <f t="shared" si="31"/>
        <v/>
      </c>
      <c r="J611" s="54"/>
      <c r="K611" s="55" t="str">
        <f t="shared" si="32"/>
        <v/>
      </c>
      <c r="L611" s="54"/>
      <c r="M611" s="54"/>
      <c r="N611" s="54"/>
      <c r="O611" s="54"/>
      <c r="P611" s="54"/>
      <c r="S611" s="38"/>
      <c r="T611" s="38"/>
      <c r="U611" s="38"/>
      <c r="V611" s="37"/>
      <c r="W611" s="37"/>
      <c r="X611" s="37"/>
      <c r="Y611" s="37"/>
      <c r="Z611" s="37"/>
      <c r="AA611" s="37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</row>
    <row r="612" spans="1:52" ht="39.75" hidden="1" customHeight="1" x14ac:dyDescent="0.2">
      <c r="A612" s="45" t="str">
        <f t="shared" si="30"/>
        <v/>
      </c>
      <c r="B612" s="45"/>
      <c r="C612" s="45"/>
      <c r="D612" s="45"/>
      <c r="E612" s="50"/>
      <c r="F612" s="51"/>
      <c r="G612" s="52"/>
      <c r="H612" s="52"/>
      <c r="I612" s="52" t="str">
        <f t="shared" si="31"/>
        <v/>
      </c>
      <c r="J612" s="54"/>
      <c r="K612" s="55" t="str">
        <f t="shared" si="32"/>
        <v/>
      </c>
      <c r="L612" s="54"/>
      <c r="M612" s="54"/>
      <c r="N612" s="54"/>
      <c r="O612" s="54"/>
      <c r="P612" s="54"/>
      <c r="S612" s="38"/>
      <c r="T612" s="38"/>
      <c r="U612" s="38"/>
      <c r="V612" s="37"/>
      <c r="W612" s="37"/>
      <c r="X612" s="37"/>
      <c r="Y612" s="37"/>
      <c r="Z612" s="37"/>
      <c r="AA612" s="37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</row>
    <row r="613" spans="1:52" ht="39.75" hidden="1" customHeight="1" x14ac:dyDescent="0.2">
      <c r="A613" s="45" t="str">
        <f t="shared" si="30"/>
        <v/>
      </c>
      <c r="B613" s="45"/>
      <c r="C613" s="45"/>
      <c r="D613" s="45"/>
      <c r="E613" s="50"/>
      <c r="F613" s="51"/>
      <c r="G613" s="52"/>
      <c r="H613" s="52"/>
      <c r="I613" s="52" t="str">
        <f t="shared" si="31"/>
        <v/>
      </c>
      <c r="J613" s="54"/>
      <c r="K613" s="55" t="str">
        <f t="shared" si="32"/>
        <v/>
      </c>
      <c r="L613" s="54"/>
      <c r="M613" s="54"/>
      <c r="N613" s="54"/>
      <c r="O613" s="54"/>
      <c r="P613" s="54"/>
      <c r="S613" s="38"/>
      <c r="T613" s="38"/>
      <c r="U613" s="38"/>
      <c r="V613" s="37"/>
      <c r="W613" s="37"/>
      <c r="X613" s="37"/>
      <c r="Y613" s="37"/>
      <c r="Z613" s="37"/>
      <c r="AA613" s="37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</row>
    <row r="614" spans="1:52" ht="39.75" hidden="1" customHeight="1" x14ac:dyDescent="0.2">
      <c r="A614" s="45" t="str">
        <f t="shared" si="30"/>
        <v/>
      </c>
      <c r="B614" s="45"/>
      <c r="C614" s="45"/>
      <c r="D614" s="45"/>
      <c r="E614" s="50"/>
      <c r="F614" s="51"/>
      <c r="G614" s="52"/>
      <c r="H614" s="52"/>
      <c r="I614" s="52" t="str">
        <f t="shared" si="31"/>
        <v/>
      </c>
      <c r="J614" s="54"/>
      <c r="K614" s="55" t="str">
        <f t="shared" si="32"/>
        <v/>
      </c>
      <c r="L614" s="54"/>
      <c r="M614" s="54"/>
      <c r="N614" s="54"/>
      <c r="O614" s="54"/>
      <c r="P614" s="54"/>
      <c r="S614" s="38"/>
      <c r="T614" s="38"/>
      <c r="U614" s="38"/>
      <c r="V614" s="37"/>
      <c r="W614" s="37"/>
      <c r="X614" s="37"/>
      <c r="Y614" s="37"/>
      <c r="Z614" s="37"/>
      <c r="AA614" s="37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</row>
    <row r="615" spans="1:52" ht="39.75" hidden="1" customHeight="1" x14ac:dyDescent="0.2">
      <c r="A615" s="45" t="str">
        <f t="shared" si="30"/>
        <v/>
      </c>
      <c r="B615" s="45"/>
      <c r="C615" s="45"/>
      <c r="D615" s="45"/>
      <c r="E615" s="50"/>
      <c r="F615" s="51"/>
      <c r="G615" s="52"/>
      <c r="H615" s="52"/>
      <c r="I615" s="52" t="str">
        <f t="shared" si="31"/>
        <v/>
      </c>
      <c r="J615" s="54"/>
      <c r="K615" s="55" t="str">
        <f t="shared" si="32"/>
        <v/>
      </c>
      <c r="L615" s="54"/>
      <c r="M615" s="54"/>
      <c r="N615" s="54"/>
      <c r="O615" s="54"/>
      <c r="P615" s="54"/>
      <c r="S615" s="38"/>
      <c r="T615" s="38"/>
      <c r="U615" s="38"/>
      <c r="V615" s="37"/>
      <c r="W615" s="37"/>
      <c r="X615" s="37"/>
      <c r="Y615" s="37"/>
      <c r="Z615" s="37"/>
      <c r="AA615" s="37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</row>
    <row r="616" spans="1:52" ht="39.75" hidden="1" customHeight="1" x14ac:dyDescent="0.2">
      <c r="A616" s="45" t="str">
        <f t="shared" si="30"/>
        <v/>
      </c>
      <c r="B616" s="45"/>
      <c r="C616" s="45"/>
      <c r="D616" s="45"/>
      <c r="E616" s="50"/>
      <c r="F616" s="51"/>
      <c r="G616" s="52"/>
      <c r="H616" s="52"/>
      <c r="I616" s="52" t="str">
        <f t="shared" si="31"/>
        <v/>
      </c>
      <c r="J616" s="54"/>
      <c r="K616" s="55" t="str">
        <f t="shared" si="32"/>
        <v/>
      </c>
      <c r="L616" s="54"/>
      <c r="M616" s="54"/>
      <c r="N616" s="54"/>
      <c r="O616" s="54"/>
      <c r="P616" s="54"/>
      <c r="S616" s="38"/>
      <c r="T616" s="38"/>
      <c r="U616" s="38"/>
      <c r="V616" s="37"/>
      <c r="W616" s="37"/>
      <c r="X616" s="37"/>
      <c r="Y616" s="37"/>
      <c r="Z616" s="37"/>
      <c r="AA616" s="37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</row>
    <row r="617" spans="1:52" ht="39.75" hidden="1" customHeight="1" x14ac:dyDescent="0.2">
      <c r="A617" s="45" t="str">
        <f t="shared" si="30"/>
        <v/>
      </c>
      <c r="B617" s="45"/>
      <c r="C617" s="45"/>
      <c r="D617" s="45"/>
      <c r="E617" s="50"/>
      <c r="F617" s="51"/>
      <c r="G617" s="52"/>
      <c r="H617" s="52"/>
      <c r="I617" s="52" t="str">
        <f t="shared" si="31"/>
        <v/>
      </c>
      <c r="J617" s="54"/>
      <c r="K617" s="55" t="str">
        <f t="shared" si="32"/>
        <v/>
      </c>
      <c r="L617" s="54"/>
      <c r="M617" s="54"/>
      <c r="N617" s="54"/>
      <c r="O617" s="54"/>
      <c r="P617" s="54"/>
      <c r="S617" s="38"/>
      <c r="T617" s="38"/>
      <c r="U617" s="38"/>
      <c r="V617" s="37"/>
      <c r="W617" s="37"/>
      <c r="X617" s="37"/>
      <c r="Y617" s="37"/>
      <c r="Z617" s="37"/>
      <c r="AA617" s="37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</row>
    <row r="618" spans="1:52" ht="39.75" hidden="1" customHeight="1" x14ac:dyDescent="0.2">
      <c r="A618" s="45" t="str">
        <f t="shared" si="30"/>
        <v/>
      </c>
      <c r="B618" s="45"/>
      <c r="C618" s="45"/>
      <c r="D618" s="45"/>
      <c r="E618" s="50"/>
      <c r="F618" s="51"/>
      <c r="G618" s="52"/>
      <c r="H618" s="52"/>
      <c r="I618" s="52" t="str">
        <f t="shared" si="31"/>
        <v/>
      </c>
      <c r="J618" s="54"/>
      <c r="K618" s="55" t="str">
        <f t="shared" si="32"/>
        <v/>
      </c>
      <c r="L618" s="54"/>
      <c r="M618" s="54"/>
      <c r="N618" s="54"/>
      <c r="O618" s="54"/>
      <c r="P618" s="54"/>
      <c r="S618" s="38"/>
      <c r="T618" s="38"/>
      <c r="U618" s="38"/>
      <c r="V618" s="37"/>
      <c r="W618" s="37"/>
      <c r="X618" s="37"/>
      <c r="Y618" s="37"/>
      <c r="Z618" s="37"/>
      <c r="AA618" s="37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</row>
    <row r="619" spans="1:52" ht="39.75" hidden="1" customHeight="1" x14ac:dyDescent="0.2">
      <c r="A619" s="45" t="str">
        <f t="shared" si="30"/>
        <v/>
      </c>
      <c r="B619" s="45"/>
      <c r="C619" s="45"/>
      <c r="D619" s="45"/>
      <c r="E619" s="50"/>
      <c r="F619" s="51"/>
      <c r="G619" s="52"/>
      <c r="H619" s="52"/>
      <c r="I619" s="52" t="str">
        <f t="shared" si="31"/>
        <v/>
      </c>
      <c r="J619" s="54"/>
      <c r="K619" s="55" t="str">
        <f t="shared" si="32"/>
        <v/>
      </c>
      <c r="L619" s="54"/>
      <c r="M619" s="54"/>
      <c r="N619" s="54"/>
      <c r="O619" s="54"/>
      <c r="P619" s="54"/>
      <c r="S619" s="38"/>
      <c r="T619" s="38"/>
      <c r="U619" s="38"/>
      <c r="V619" s="37"/>
      <c r="W619" s="37"/>
      <c r="X619" s="37"/>
      <c r="Y619" s="37"/>
      <c r="Z619" s="37"/>
      <c r="AA619" s="37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</row>
    <row r="620" spans="1:52" ht="39.75" hidden="1" customHeight="1" x14ac:dyDescent="0.2">
      <c r="A620" s="45" t="str">
        <f t="shared" si="30"/>
        <v/>
      </c>
      <c r="B620" s="45"/>
      <c r="C620" s="45"/>
      <c r="D620" s="45"/>
      <c r="E620" s="50"/>
      <c r="F620" s="51"/>
      <c r="G620" s="52"/>
      <c r="H620" s="52"/>
      <c r="I620" s="52" t="str">
        <f t="shared" si="31"/>
        <v/>
      </c>
      <c r="J620" s="54"/>
      <c r="K620" s="55" t="str">
        <f t="shared" si="32"/>
        <v/>
      </c>
      <c r="L620" s="54"/>
      <c r="M620" s="54"/>
      <c r="N620" s="54"/>
      <c r="O620" s="54"/>
      <c r="P620" s="54"/>
      <c r="S620" s="38"/>
      <c r="T620" s="38"/>
      <c r="U620" s="38"/>
      <c r="V620" s="37"/>
      <c r="W620" s="37"/>
      <c r="X620" s="37"/>
      <c r="Y620" s="37"/>
      <c r="Z620" s="37"/>
      <c r="AA620" s="37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</row>
    <row r="621" spans="1:52" ht="39.75" hidden="1" customHeight="1" x14ac:dyDescent="0.2">
      <c r="A621" s="45" t="str">
        <f t="shared" si="30"/>
        <v/>
      </c>
      <c r="B621" s="45"/>
      <c r="C621" s="45"/>
      <c r="D621" s="45"/>
      <c r="E621" s="50"/>
      <c r="F621" s="51"/>
      <c r="G621" s="52"/>
      <c r="H621" s="52"/>
      <c r="I621" s="52" t="str">
        <f t="shared" si="31"/>
        <v/>
      </c>
      <c r="J621" s="54"/>
      <c r="K621" s="55" t="str">
        <f t="shared" si="32"/>
        <v/>
      </c>
      <c r="L621" s="54"/>
      <c r="M621" s="54"/>
      <c r="N621" s="54"/>
      <c r="O621" s="54"/>
      <c r="P621" s="54"/>
      <c r="S621" s="38"/>
      <c r="T621" s="38"/>
      <c r="U621" s="38"/>
      <c r="V621" s="37"/>
      <c r="W621" s="37"/>
      <c r="X621" s="37"/>
      <c r="Y621" s="37"/>
      <c r="Z621" s="37"/>
      <c r="AA621" s="37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</row>
    <row r="622" spans="1:52" ht="39.75" hidden="1" customHeight="1" x14ac:dyDescent="0.2">
      <c r="A622" s="45" t="str">
        <f t="shared" si="30"/>
        <v/>
      </c>
      <c r="B622" s="45"/>
      <c r="C622" s="45"/>
      <c r="D622" s="45"/>
      <c r="E622" s="50"/>
      <c r="F622" s="51"/>
      <c r="G622" s="52"/>
      <c r="H622" s="52"/>
      <c r="I622" s="52" t="str">
        <f t="shared" si="31"/>
        <v/>
      </c>
      <c r="J622" s="54"/>
      <c r="K622" s="55" t="str">
        <f t="shared" si="32"/>
        <v/>
      </c>
      <c r="L622" s="54"/>
      <c r="M622" s="54"/>
      <c r="N622" s="54"/>
      <c r="O622" s="54"/>
      <c r="P622" s="54"/>
      <c r="S622" s="38"/>
      <c r="T622" s="38"/>
      <c r="U622" s="38"/>
      <c r="V622" s="37"/>
      <c r="W622" s="37"/>
      <c r="X622" s="37"/>
      <c r="Y622" s="37"/>
      <c r="Z622" s="37"/>
      <c r="AA622" s="37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</row>
    <row r="623" spans="1:52" ht="39.75" hidden="1" customHeight="1" x14ac:dyDescent="0.2">
      <c r="A623" s="45" t="str">
        <f t="shared" si="30"/>
        <v/>
      </c>
      <c r="B623" s="45"/>
      <c r="C623" s="45"/>
      <c r="D623" s="45"/>
      <c r="E623" s="50"/>
      <c r="F623" s="51"/>
      <c r="G623" s="52"/>
      <c r="H623" s="52"/>
      <c r="I623" s="52" t="str">
        <f t="shared" si="31"/>
        <v/>
      </c>
      <c r="J623" s="54"/>
      <c r="K623" s="55" t="str">
        <f t="shared" si="32"/>
        <v/>
      </c>
      <c r="L623" s="54"/>
      <c r="M623" s="54"/>
      <c r="N623" s="54"/>
      <c r="O623" s="54"/>
      <c r="P623" s="54"/>
      <c r="S623" s="38"/>
      <c r="T623" s="38"/>
      <c r="U623" s="38"/>
      <c r="V623" s="37"/>
      <c r="W623" s="37"/>
      <c r="X623" s="37"/>
      <c r="Y623" s="37"/>
      <c r="Z623" s="37"/>
      <c r="AA623" s="37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</row>
    <row r="624" spans="1:52" ht="39.75" hidden="1" customHeight="1" x14ac:dyDescent="0.2">
      <c r="A624" s="45" t="str">
        <f t="shared" si="30"/>
        <v/>
      </c>
      <c r="B624" s="45"/>
      <c r="C624" s="45"/>
      <c r="D624" s="45"/>
      <c r="E624" s="50"/>
      <c r="F624" s="51"/>
      <c r="G624" s="52"/>
      <c r="H624" s="52"/>
      <c r="I624" s="52" t="str">
        <f t="shared" si="31"/>
        <v/>
      </c>
      <c r="J624" s="54"/>
      <c r="K624" s="55" t="str">
        <f t="shared" si="32"/>
        <v/>
      </c>
      <c r="L624" s="54"/>
      <c r="M624" s="54"/>
      <c r="N624" s="54"/>
      <c r="O624" s="54"/>
      <c r="P624" s="54"/>
      <c r="S624" s="38"/>
      <c r="T624" s="38"/>
      <c r="U624" s="38"/>
      <c r="V624" s="37"/>
      <c r="W624" s="37"/>
      <c r="X624" s="37"/>
      <c r="Y624" s="37"/>
      <c r="Z624" s="37"/>
      <c r="AA624" s="37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</row>
    <row r="625" spans="1:52" ht="39.75" hidden="1" customHeight="1" x14ac:dyDescent="0.2">
      <c r="A625" s="45" t="str">
        <f t="shared" si="30"/>
        <v/>
      </c>
      <c r="B625" s="45"/>
      <c r="C625" s="45"/>
      <c r="D625" s="45"/>
      <c r="E625" s="50"/>
      <c r="F625" s="51"/>
      <c r="G625" s="52"/>
      <c r="H625" s="52"/>
      <c r="I625" s="52" t="str">
        <f t="shared" si="31"/>
        <v/>
      </c>
      <c r="J625" s="54"/>
      <c r="K625" s="55" t="str">
        <f t="shared" si="32"/>
        <v/>
      </c>
      <c r="L625" s="54"/>
      <c r="M625" s="54"/>
      <c r="N625" s="54"/>
      <c r="O625" s="54"/>
      <c r="P625" s="54"/>
      <c r="S625" s="38"/>
      <c r="T625" s="38"/>
      <c r="U625" s="38"/>
      <c r="V625" s="37"/>
      <c r="W625" s="37"/>
      <c r="X625" s="37"/>
      <c r="Y625" s="37"/>
      <c r="Z625" s="37"/>
      <c r="AA625" s="37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</row>
    <row r="626" spans="1:52" ht="39.75" hidden="1" customHeight="1" x14ac:dyDescent="0.2">
      <c r="A626" s="45" t="str">
        <f t="shared" si="30"/>
        <v/>
      </c>
      <c r="B626" s="45"/>
      <c r="C626" s="45"/>
      <c r="D626" s="45"/>
      <c r="E626" s="50"/>
      <c r="F626" s="51"/>
      <c r="G626" s="52"/>
      <c r="H626" s="52"/>
      <c r="I626" s="52" t="str">
        <f t="shared" si="31"/>
        <v/>
      </c>
      <c r="J626" s="54"/>
      <c r="K626" s="55" t="str">
        <f t="shared" si="32"/>
        <v/>
      </c>
      <c r="L626" s="54"/>
      <c r="M626" s="54"/>
      <c r="N626" s="54"/>
      <c r="O626" s="54"/>
      <c r="P626" s="54"/>
      <c r="S626" s="38"/>
      <c r="T626" s="38"/>
      <c r="U626" s="38"/>
      <c r="V626" s="37"/>
      <c r="W626" s="37"/>
      <c r="X626" s="37"/>
      <c r="Y626" s="37"/>
      <c r="Z626" s="37"/>
      <c r="AA626" s="37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</row>
    <row r="627" spans="1:52" ht="39.75" hidden="1" customHeight="1" x14ac:dyDescent="0.2">
      <c r="A627" s="45" t="str">
        <f t="shared" si="30"/>
        <v/>
      </c>
      <c r="B627" s="45"/>
      <c r="C627" s="45"/>
      <c r="D627" s="45"/>
      <c r="E627" s="50"/>
      <c r="F627" s="51"/>
      <c r="G627" s="52"/>
      <c r="H627" s="52"/>
      <c r="I627" s="52" t="str">
        <f t="shared" si="31"/>
        <v/>
      </c>
      <c r="J627" s="54"/>
      <c r="K627" s="55" t="str">
        <f t="shared" si="32"/>
        <v/>
      </c>
      <c r="L627" s="54"/>
      <c r="M627" s="54"/>
      <c r="N627" s="54"/>
      <c r="O627" s="54"/>
      <c r="P627" s="54"/>
      <c r="S627" s="38"/>
      <c r="T627" s="38"/>
      <c r="U627" s="38"/>
      <c r="V627" s="37"/>
      <c r="W627" s="37"/>
      <c r="X627" s="37"/>
      <c r="Y627" s="37"/>
      <c r="Z627" s="37"/>
      <c r="AA627" s="37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</row>
    <row r="628" spans="1:52" ht="39.75" hidden="1" customHeight="1" x14ac:dyDescent="0.2">
      <c r="A628" s="45" t="str">
        <f t="shared" si="30"/>
        <v/>
      </c>
      <c r="B628" s="45"/>
      <c r="C628" s="45"/>
      <c r="D628" s="45"/>
      <c r="E628" s="50"/>
      <c r="F628" s="51"/>
      <c r="G628" s="52"/>
      <c r="H628" s="52"/>
      <c r="I628" s="52" t="str">
        <f t="shared" si="31"/>
        <v/>
      </c>
      <c r="J628" s="54"/>
      <c r="K628" s="55" t="str">
        <f t="shared" si="32"/>
        <v/>
      </c>
      <c r="L628" s="54"/>
      <c r="M628" s="54"/>
      <c r="N628" s="54"/>
      <c r="O628" s="54"/>
      <c r="P628" s="54"/>
      <c r="S628" s="38"/>
      <c r="T628" s="38"/>
      <c r="U628" s="38"/>
      <c r="V628" s="37"/>
      <c r="W628" s="37"/>
      <c r="X628" s="37"/>
      <c r="Y628" s="37"/>
      <c r="Z628" s="37"/>
      <c r="AA628" s="37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</row>
    <row r="629" spans="1:52" ht="39.75" hidden="1" customHeight="1" x14ac:dyDescent="0.2">
      <c r="A629" s="45" t="str">
        <f t="shared" si="30"/>
        <v/>
      </c>
      <c r="B629" s="45"/>
      <c r="C629" s="45"/>
      <c r="D629" s="45"/>
      <c r="E629" s="50"/>
      <c r="F629" s="51"/>
      <c r="G629" s="52"/>
      <c r="H629" s="52"/>
      <c r="I629" s="52" t="str">
        <f t="shared" si="31"/>
        <v/>
      </c>
      <c r="J629" s="54"/>
      <c r="K629" s="55" t="str">
        <f t="shared" si="32"/>
        <v/>
      </c>
      <c r="L629" s="54"/>
      <c r="M629" s="54"/>
      <c r="N629" s="54"/>
      <c r="O629" s="54"/>
      <c r="P629" s="54"/>
      <c r="S629" s="38"/>
      <c r="T629" s="38"/>
      <c r="U629" s="38"/>
      <c r="V629" s="37"/>
      <c r="W629" s="37"/>
      <c r="X629" s="37"/>
      <c r="Y629" s="37"/>
      <c r="Z629" s="37"/>
      <c r="AA629" s="37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</row>
    <row r="630" spans="1:52" ht="39.75" hidden="1" customHeight="1" x14ac:dyDescent="0.2">
      <c r="A630" s="45" t="str">
        <f t="shared" si="30"/>
        <v/>
      </c>
      <c r="B630" s="45"/>
      <c r="C630" s="45"/>
      <c r="D630" s="45"/>
      <c r="E630" s="50"/>
      <c r="F630" s="51"/>
      <c r="G630" s="52"/>
      <c r="H630" s="52"/>
      <c r="I630" s="52" t="str">
        <f t="shared" si="31"/>
        <v/>
      </c>
      <c r="J630" s="54"/>
      <c r="K630" s="55" t="str">
        <f t="shared" si="32"/>
        <v/>
      </c>
      <c r="L630" s="54"/>
      <c r="M630" s="54"/>
      <c r="N630" s="54"/>
      <c r="O630" s="54"/>
      <c r="P630" s="54"/>
      <c r="S630" s="38"/>
      <c r="T630" s="38"/>
      <c r="U630" s="38"/>
      <c r="V630" s="37"/>
      <c r="W630" s="37"/>
      <c r="X630" s="37"/>
      <c r="Y630" s="37"/>
      <c r="Z630" s="37"/>
      <c r="AA630" s="37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</row>
    <row r="631" spans="1:52" ht="39.75" hidden="1" customHeight="1" x14ac:dyDescent="0.2">
      <c r="A631" s="45" t="str">
        <f t="shared" si="30"/>
        <v/>
      </c>
      <c r="B631" s="45"/>
      <c r="C631" s="45"/>
      <c r="D631" s="45"/>
      <c r="E631" s="50"/>
      <c r="F631" s="51"/>
      <c r="G631" s="52"/>
      <c r="H631" s="52"/>
      <c r="I631" s="52" t="str">
        <f t="shared" si="31"/>
        <v/>
      </c>
      <c r="J631" s="54"/>
      <c r="K631" s="55" t="str">
        <f t="shared" si="32"/>
        <v/>
      </c>
      <c r="L631" s="54"/>
      <c r="M631" s="54"/>
      <c r="N631" s="54"/>
      <c r="O631" s="54"/>
      <c r="P631" s="54"/>
      <c r="S631" s="38"/>
      <c r="T631" s="38"/>
      <c r="U631" s="38"/>
      <c r="V631" s="37"/>
      <c r="W631" s="37"/>
      <c r="X631" s="37"/>
      <c r="Y631" s="37"/>
      <c r="Z631" s="37"/>
      <c r="AA631" s="37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</row>
    <row r="632" spans="1:52" ht="39.75" hidden="1" customHeight="1" x14ac:dyDescent="0.2">
      <c r="A632" s="45" t="str">
        <f t="shared" si="30"/>
        <v/>
      </c>
      <c r="B632" s="45"/>
      <c r="C632" s="45"/>
      <c r="D632" s="45"/>
      <c r="E632" s="50"/>
      <c r="F632" s="51"/>
      <c r="G632" s="52"/>
      <c r="H632" s="52"/>
      <c r="I632" s="52" t="str">
        <f t="shared" si="31"/>
        <v/>
      </c>
      <c r="J632" s="54"/>
      <c r="K632" s="55" t="str">
        <f t="shared" si="32"/>
        <v/>
      </c>
      <c r="L632" s="54"/>
      <c r="M632" s="54"/>
      <c r="N632" s="54"/>
      <c r="O632" s="54"/>
      <c r="P632" s="54"/>
      <c r="S632" s="38"/>
      <c r="T632" s="38"/>
      <c r="U632" s="38"/>
      <c r="V632" s="37"/>
      <c r="W632" s="37"/>
      <c r="X632" s="37"/>
      <c r="Y632" s="37"/>
      <c r="Z632" s="37"/>
      <c r="AA632" s="37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</row>
    <row r="633" spans="1:52" ht="39.75" hidden="1" customHeight="1" x14ac:dyDescent="0.2">
      <c r="A633" s="45" t="str">
        <f t="shared" si="30"/>
        <v/>
      </c>
      <c r="B633" s="45"/>
      <c r="C633" s="45"/>
      <c r="D633" s="45"/>
      <c r="E633" s="50"/>
      <c r="F633" s="51"/>
      <c r="G633" s="52"/>
      <c r="H633" s="52"/>
      <c r="I633" s="52" t="str">
        <f t="shared" si="31"/>
        <v/>
      </c>
      <c r="J633" s="54"/>
      <c r="K633" s="55" t="str">
        <f t="shared" si="32"/>
        <v/>
      </c>
      <c r="L633" s="54"/>
      <c r="M633" s="54"/>
      <c r="N633" s="54"/>
      <c r="O633" s="54"/>
      <c r="P633" s="54"/>
      <c r="S633" s="38"/>
      <c r="T633" s="38"/>
      <c r="U633" s="38"/>
      <c r="V633" s="37"/>
      <c r="W633" s="37"/>
      <c r="X633" s="37"/>
      <c r="Y633" s="37"/>
      <c r="Z633" s="37"/>
      <c r="AA633" s="37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</row>
    <row r="634" spans="1:52" ht="39.75" hidden="1" customHeight="1" x14ac:dyDescent="0.2">
      <c r="A634" s="45" t="str">
        <f t="shared" si="30"/>
        <v/>
      </c>
      <c r="B634" s="45"/>
      <c r="C634" s="45"/>
      <c r="D634" s="45"/>
      <c r="E634" s="50"/>
      <c r="F634" s="51"/>
      <c r="G634" s="52"/>
      <c r="H634" s="52"/>
      <c r="I634" s="52" t="str">
        <f t="shared" si="31"/>
        <v/>
      </c>
      <c r="J634" s="54"/>
      <c r="K634" s="55" t="str">
        <f t="shared" si="32"/>
        <v/>
      </c>
      <c r="L634" s="54"/>
      <c r="M634" s="54"/>
      <c r="N634" s="54"/>
      <c r="O634" s="54"/>
      <c r="P634" s="54"/>
      <c r="S634" s="38"/>
      <c r="T634" s="38"/>
      <c r="U634" s="38"/>
      <c r="V634" s="37"/>
      <c r="W634" s="37"/>
      <c r="X634" s="37"/>
      <c r="Y634" s="37"/>
      <c r="Z634" s="37"/>
      <c r="AA634" s="37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</row>
    <row r="635" spans="1:52" ht="39.75" hidden="1" customHeight="1" x14ac:dyDescent="0.2">
      <c r="A635" s="45" t="str">
        <f t="shared" si="30"/>
        <v/>
      </c>
      <c r="B635" s="45"/>
      <c r="C635" s="45"/>
      <c r="D635" s="45"/>
      <c r="E635" s="50"/>
      <c r="F635" s="51"/>
      <c r="G635" s="52"/>
      <c r="H635" s="52"/>
      <c r="I635" s="52" t="str">
        <f t="shared" si="31"/>
        <v/>
      </c>
      <c r="J635" s="54"/>
      <c r="K635" s="55" t="str">
        <f t="shared" si="32"/>
        <v/>
      </c>
      <c r="L635" s="54"/>
      <c r="M635" s="54"/>
      <c r="N635" s="54"/>
      <c r="O635" s="54"/>
      <c r="P635" s="54"/>
      <c r="S635" s="38"/>
      <c r="T635" s="38"/>
      <c r="U635" s="38"/>
      <c r="V635" s="37"/>
      <c r="W635" s="37"/>
      <c r="X635" s="37"/>
      <c r="Y635" s="37"/>
      <c r="Z635" s="37"/>
      <c r="AA635" s="37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</row>
    <row r="636" spans="1:52" ht="39.75" hidden="1" customHeight="1" x14ac:dyDescent="0.2">
      <c r="A636" s="45" t="str">
        <f t="shared" si="30"/>
        <v/>
      </c>
      <c r="B636" s="45"/>
      <c r="C636" s="45"/>
      <c r="D636" s="45"/>
      <c r="E636" s="50"/>
      <c r="F636" s="51"/>
      <c r="G636" s="52"/>
      <c r="H636" s="52"/>
      <c r="I636" s="52" t="str">
        <f t="shared" si="31"/>
        <v/>
      </c>
      <c r="J636" s="54"/>
      <c r="K636" s="55" t="str">
        <f t="shared" si="32"/>
        <v/>
      </c>
      <c r="L636" s="54"/>
      <c r="M636" s="54"/>
      <c r="N636" s="54"/>
      <c r="O636" s="54"/>
      <c r="P636" s="54"/>
      <c r="S636" s="38"/>
      <c r="T636" s="38"/>
      <c r="U636" s="38"/>
      <c r="V636" s="37"/>
      <c r="W636" s="37"/>
      <c r="X636" s="37"/>
      <c r="Y636" s="37"/>
      <c r="Z636" s="37"/>
      <c r="AA636" s="37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</row>
    <row r="637" spans="1:52" ht="39.75" hidden="1" customHeight="1" x14ac:dyDescent="0.2">
      <c r="A637" s="45" t="str">
        <f t="shared" si="30"/>
        <v/>
      </c>
      <c r="B637" s="45"/>
      <c r="C637" s="45"/>
      <c r="D637" s="45"/>
      <c r="E637" s="50"/>
      <c r="F637" s="51"/>
      <c r="G637" s="52"/>
      <c r="H637" s="52"/>
      <c r="I637" s="52" t="str">
        <f t="shared" si="31"/>
        <v/>
      </c>
      <c r="J637" s="54"/>
      <c r="K637" s="55" t="str">
        <f t="shared" si="32"/>
        <v/>
      </c>
      <c r="L637" s="54"/>
      <c r="M637" s="54"/>
      <c r="N637" s="54"/>
      <c r="O637" s="54"/>
      <c r="P637" s="54"/>
      <c r="S637" s="38"/>
      <c r="T637" s="38"/>
      <c r="U637" s="38"/>
      <c r="V637" s="37"/>
      <c r="W637" s="37"/>
      <c r="X637" s="37"/>
      <c r="Y637" s="37"/>
      <c r="Z637" s="37"/>
      <c r="AA637" s="37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</row>
    <row r="638" spans="1:52" ht="39.75" hidden="1" customHeight="1" x14ac:dyDescent="0.2">
      <c r="A638" s="45" t="str">
        <f t="shared" si="30"/>
        <v/>
      </c>
      <c r="B638" s="45"/>
      <c r="C638" s="45"/>
      <c r="D638" s="45"/>
      <c r="E638" s="50"/>
      <c r="F638" s="51"/>
      <c r="G638" s="52"/>
      <c r="H638" s="52"/>
      <c r="I638" s="52" t="str">
        <f t="shared" si="31"/>
        <v/>
      </c>
      <c r="J638" s="54"/>
      <c r="K638" s="55" t="str">
        <f t="shared" si="32"/>
        <v/>
      </c>
      <c r="L638" s="54"/>
      <c r="M638" s="54"/>
      <c r="N638" s="54"/>
      <c r="O638" s="54"/>
      <c r="P638" s="54"/>
      <c r="S638" s="38"/>
      <c r="T638" s="38"/>
      <c r="U638" s="38"/>
      <c r="V638" s="37"/>
      <c r="W638" s="37"/>
      <c r="X638" s="37"/>
      <c r="Y638" s="37"/>
      <c r="Z638" s="37"/>
      <c r="AA638" s="37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</row>
    <row r="639" spans="1:52" ht="39.75" hidden="1" customHeight="1" x14ac:dyDescent="0.2">
      <c r="A639" s="45" t="str">
        <f t="shared" si="30"/>
        <v/>
      </c>
      <c r="B639" s="45"/>
      <c r="C639" s="45"/>
      <c r="D639" s="45"/>
      <c r="E639" s="50"/>
      <c r="F639" s="51"/>
      <c r="G639" s="52"/>
      <c r="H639" s="52"/>
      <c r="I639" s="52" t="str">
        <f t="shared" si="31"/>
        <v/>
      </c>
      <c r="J639" s="54"/>
      <c r="K639" s="55" t="str">
        <f t="shared" si="32"/>
        <v/>
      </c>
      <c r="L639" s="54"/>
      <c r="M639" s="54"/>
      <c r="N639" s="54"/>
      <c r="O639" s="54"/>
      <c r="P639" s="54"/>
      <c r="S639" s="38"/>
      <c r="T639" s="38"/>
      <c r="U639" s="38"/>
      <c r="V639" s="37"/>
      <c r="W639" s="37"/>
      <c r="X639" s="37"/>
      <c r="Y639" s="37"/>
      <c r="Z639" s="37"/>
      <c r="AA639" s="37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</row>
    <row r="640" spans="1:52" ht="39.75" hidden="1" customHeight="1" x14ac:dyDescent="0.2">
      <c r="A640" s="45" t="str">
        <f t="shared" si="30"/>
        <v/>
      </c>
      <c r="B640" s="45"/>
      <c r="C640" s="45"/>
      <c r="D640" s="45"/>
      <c r="E640" s="50"/>
      <c r="F640" s="51"/>
      <c r="G640" s="52"/>
      <c r="H640" s="52"/>
      <c r="I640" s="52" t="str">
        <f t="shared" si="31"/>
        <v/>
      </c>
      <c r="J640" s="54"/>
      <c r="K640" s="55" t="str">
        <f t="shared" si="32"/>
        <v/>
      </c>
      <c r="L640" s="54"/>
      <c r="M640" s="54"/>
      <c r="N640" s="54"/>
      <c r="O640" s="54"/>
      <c r="P640" s="54"/>
      <c r="S640" s="38"/>
      <c r="T640" s="38"/>
      <c r="U640" s="38"/>
      <c r="V640" s="37"/>
      <c r="W640" s="37"/>
      <c r="X640" s="37"/>
      <c r="Y640" s="37"/>
      <c r="Z640" s="37"/>
      <c r="AA640" s="37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</row>
    <row r="641" spans="1:52" ht="39.75" hidden="1" customHeight="1" x14ac:dyDescent="0.2">
      <c r="A641" s="45" t="str">
        <f t="shared" si="30"/>
        <v/>
      </c>
      <c r="B641" s="45"/>
      <c r="C641" s="45"/>
      <c r="D641" s="45"/>
      <c r="E641" s="50"/>
      <c r="F641" s="51"/>
      <c r="G641" s="52"/>
      <c r="H641" s="52"/>
      <c r="I641" s="52" t="str">
        <f t="shared" si="31"/>
        <v/>
      </c>
      <c r="J641" s="54"/>
      <c r="K641" s="55" t="str">
        <f t="shared" si="32"/>
        <v/>
      </c>
      <c r="L641" s="54"/>
      <c r="M641" s="54"/>
      <c r="N641" s="54"/>
      <c r="O641" s="54"/>
      <c r="P641" s="54"/>
      <c r="S641" s="38"/>
      <c r="T641" s="38"/>
      <c r="U641" s="38"/>
      <c r="V641" s="37"/>
      <c r="W641" s="37"/>
      <c r="X641" s="37"/>
      <c r="Y641" s="37"/>
      <c r="Z641" s="37"/>
      <c r="AA641" s="37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</row>
    <row r="642" spans="1:52" ht="39.75" hidden="1" customHeight="1" x14ac:dyDescent="0.2">
      <c r="A642" s="45" t="str">
        <f t="shared" si="30"/>
        <v/>
      </c>
      <c r="B642" s="45"/>
      <c r="C642" s="45"/>
      <c r="D642" s="45"/>
      <c r="E642" s="50"/>
      <c r="F642" s="51"/>
      <c r="G642" s="52"/>
      <c r="H642" s="52"/>
      <c r="I642" s="52" t="str">
        <f t="shared" si="31"/>
        <v/>
      </c>
      <c r="J642" s="54"/>
      <c r="K642" s="55" t="str">
        <f t="shared" si="32"/>
        <v/>
      </c>
      <c r="L642" s="54"/>
      <c r="M642" s="54"/>
      <c r="N642" s="54"/>
      <c r="O642" s="54"/>
      <c r="P642" s="54"/>
      <c r="S642" s="38"/>
      <c r="T642" s="38"/>
      <c r="U642" s="38"/>
      <c r="V642" s="37"/>
      <c r="W642" s="37"/>
      <c r="X642" s="37"/>
      <c r="Y642" s="37"/>
      <c r="Z642" s="37"/>
      <c r="AA642" s="37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</row>
    <row r="643" spans="1:52" ht="39.75" hidden="1" customHeight="1" x14ac:dyDescent="0.2">
      <c r="A643" s="45" t="str">
        <f t="shared" si="30"/>
        <v/>
      </c>
      <c r="B643" s="45"/>
      <c r="C643" s="45"/>
      <c r="D643" s="45"/>
      <c r="E643" s="50"/>
      <c r="F643" s="51"/>
      <c r="G643" s="52"/>
      <c r="H643" s="52"/>
      <c r="I643" s="52" t="str">
        <f t="shared" si="31"/>
        <v/>
      </c>
      <c r="J643" s="54"/>
      <c r="K643" s="55" t="str">
        <f t="shared" si="32"/>
        <v/>
      </c>
      <c r="L643" s="54"/>
      <c r="M643" s="54"/>
      <c r="N643" s="54"/>
      <c r="O643" s="54"/>
      <c r="P643" s="54"/>
      <c r="S643" s="38"/>
      <c r="T643" s="38"/>
      <c r="U643" s="38"/>
      <c r="V643" s="37"/>
      <c r="W643" s="37"/>
      <c r="X643" s="37"/>
      <c r="Y643" s="37"/>
      <c r="Z643" s="37"/>
      <c r="AA643" s="37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</row>
    <row r="644" spans="1:52" ht="39.75" hidden="1" customHeight="1" x14ac:dyDescent="0.2">
      <c r="A644" s="45" t="str">
        <f t="shared" si="30"/>
        <v/>
      </c>
      <c r="B644" s="45"/>
      <c r="C644" s="45"/>
      <c r="D644" s="45"/>
      <c r="E644" s="50"/>
      <c r="F644" s="51"/>
      <c r="G644" s="52"/>
      <c r="H644" s="52"/>
      <c r="I644" s="52" t="str">
        <f t="shared" si="31"/>
        <v/>
      </c>
      <c r="J644" s="54"/>
      <c r="K644" s="55" t="str">
        <f t="shared" si="32"/>
        <v/>
      </c>
      <c r="L644" s="54"/>
      <c r="M644" s="54"/>
      <c r="N644" s="54"/>
      <c r="O644" s="54"/>
      <c r="P644" s="54"/>
      <c r="S644" s="38"/>
      <c r="T644" s="38"/>
      <c r="U644" s="38"/>
      <c r="V644" s="37"/>
      <c r="W644" s="37"/>
      <c r="X644" s="37"/>
      <c r="Y644" s="37"/>
      <c r="Z644" s="37"/>
      <c r="AA644" s="37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</row>
    <row r="645" spans="1:52" ht="39.75" hidden="1" customHeight="1" x14ac:dyDescent="0.2">
      <c r="A645" s="45" t="str">
        <f t="shared" si="30"/>
        <v/>
      </c>
      <c r="B645" s="45"/>
      <c r="C645" s="45"/>
      <c r="D645" s="45"/>
      <c r="E645" s="50"/>
      <c r="F645" s="51"/>
      <c r="G645" s="52"/>
      <c r="H645" s="52"/>
      <c r="I645" s="52" t="str">
        <f t="shared" si="31"/>
        <v/>
      </c>
      <c r="J645" s="54"/>
      <c r="K645" s="55" t="str">
        <f t="shared" si="32"/>
        <v/>
      </c>
      <c r="L645" s="54"/>
      <c r="M645" s="54"/>
      <c r="N645" s="54"/>
      <c r="O645" s="54"/>
      <c r="P645" s="54"/>
      <c r="S645" s="38"/>
      <c r="T645" s="38"/>
      <c r="U645" s="38"/>
      <c r="V645" s="37"/>
      <c r="W645" s="37"/>
      <c r="X645" s="37"/>
      <c r="Y645" s="37"/>
      <c r="Z645" s="37"/>
      <c r="AA645" s="37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</row>
    <row r="646" spans="1:52" ht="39.75" hidden="1" customHeight="1" x14ac:dyDescent="0.2">
      <c r="A646" s="45" t="str">
        <f t="shared" ref="A646:A709" si="33">IF(F646="","",ROW()-5)</f>
        <v/>
      </c>
      <c r="B646" s="45"/>
      <c r="C646" s="45"/>
      <c r="D646" s="45"/>
      <c r="E646" s="50"/>
      <c r="F646" s="51"/>
      <c r="G646" s="52"/>
      <c r="H646" s="52"/>
      <c r="I646" s="52" t="str">
        <f t="shared" ref="I646:I709" si="34">IF(AND(LEN(F646)=18, ISBLANK(G646)=FALSE(), ISBLANK(H646)=FALSE()),37,"")</f>
        <v/>
      </c>
      <c r="J646" s="54"/>
      <c r="K646" s="55" t="str">
        <f t="shared" ref="K646:K709" si="35">IF(OR(J646="",Q646=0),"",IF(COUNTA(L646:P646)&gt;Q646,"Seluruh pilihan telah dipilih, anda memilih lebih dari kemungkinan pilihan yang tersedia, periksa pilihan anda "&amp;"("&amp;COUNTA(L646:P646)&amp;"/"&amp;Q646&amp;")",IF(COUNTA(L646:P646)=Q646,IF(SUMPRODUCT(COUNTIF(L646:P646,L646:P646)*(L646:P646&lt;&gt;""))&gt;COUNTA(L646:P646),"Terdapat pilihan yang sama, segera ubah "&amp;"("&amp;COUNTA(L646:P646)&amp;"/"&amp;Q646&amp;")","Seluruh pilihan telah dipilih "&amp;"("&amp;COUNTA(L646:P646)&amp;"/"&amp;Q646&amp;")"),IF(COUNTA(L646:P646)&gt;0,"Masih terdapat pilihan yang bisa dipilih, silahkan melengkapi pilihan "&amp;"("&amp;COUNTA(L646:P646)&amp;"/"&amp;Q646&amp;")",""))))</f>
        <v/>
      </c>
      <c r="L646" s="54"/>
      <c r="M646" s="54"/>
      <c r="N646" s="54"/>
      <c r="O646" s="54"/>
      <c r="P646" s="54"/>
      <c r="S646" s="38"/>
      <c r="T646" s="38"/>
      <c r="U646" s="38"/>
      <c r="V646" s="37"/>
      <c r="W646" s="37"/>
      <c r="X646" s="37"/>
      <c r="Y646" s="37"/>
      <c r="Z646" s="37"/>
      <c r="AA646" s="37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</row>
    <row r="647" spans="1:52" ht="39.75" hidden="1" customHeight="1" x14ac:dyDescent="0.2">
      <c r="A647" s="45" t="str">
        <f t="shared" si="33"/>
        <v/>
      </c>
      <c r="B647" s="45"/>
      <c r="C647" s="45"/>
      <c r="D647" s="45"/>
      <c r="E647" s="50"/>
      <c r="F647" s="51"/>
      <c r="G647" s="52"/>
      <c r="H647" s="52"/>
      <c r="I647" s="52" t="str">
        <f t="shared" si="34"/>
        <v/>
      </c>
      <c r="J647" s="54"/>
      <c r="K647" s="55" t="str">
        <f t="shared" si="35"/>
        <v/>
      </c>
      <c r="L647" s="54"/>
      <c r="M647" s="54"/>
      <c r="N647" s="54"/>
      <c r="O647" s="54"/>
      <c r="P647" s="54"/>
      <c r="S647" s="38"/>
      <c r="T647" s="38"/>
      <c r="U647" s="38"/>
      <c r="V647" s="37"/>
      <c r="W647" s="37"/>
      <c r="X647" s="37"/>
      <c r="Y647" s="37"/>
      <c r="Z647" s="37"/>
      <c r="AA647" s="37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</row>
    <row r="648" spans="1:52" ht="39.75" hidden="1" customHeight="1" x14ac:dyDescent="0.2">
      <c r="A648" s="45" t="str">
        <f t="shared" si="33"/>
        <v/>
      </c>
      <c r="B648" s="45"/>
      <c r="C648" s="45"/>
      <c r="D648" s="45"/>
      <c r="E648" s="50"/>
      <c r="F648" s="51"/>
      <c r="G648" s="52"/>
      <c r="H648" s="52"/>
      <c r="I648" s="52" t="str">
        <f t="shared" si="34"/>
        <v/>
      </c>
      <c r="J648" s="54"/>
      <c r="K648" s="55" t="str">
        <f t="shared" si="35"/>
        <v/>
      </c>
      <c r="L648" s="54"/>
      <c r="M648" s="54"/>
      <c r="N648" s="54"/>
      <c r="O648" s="54"/>
      <c r="P648" s="54"/>
      <c r="S648" s="38"/>
      <c r="T648" s="38"/>
      <c r="U648" s="38"/>
      <c r="V648" s="37"/>
      <c r="W648" s="37"/>
      <c r="X648" s="37"/>
      <c r="Y648" s="37"/>
      <c r="Z648" s="37"/>
      <c r="AA648" s="37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</row>
    <row r="649" spans="1:52" ht="39.75" hidden="1" customHeight="1" x14ac:dyDescent="0.2">
      <c r="A649" s="45" t="str">
        <f t="shared" si="33"/>
        <v/>
      </c>
      <c r="B649" s="45"/>
      <c r="C649" s="45"/>
      <c r="D649" s="45"/>
      <c r="E649" s="50"/>
      <c r="F649" s="51"/>
      <c r="G649" s="52"/>
      <c r="H649" s="52"/>
      <c r="I649" s="52" t="str">
        <f t="shared" si="34"/>
        <v/>
      </c>
      <c r="J649" s="54"/>
      <c r="K649" s="55" t="str">
        <f t="shared" si="35"/>
        <v/>
      </c>
      <c r="L649" s="54"/>
      <c r="M649" s="54"/>
      <c r="N649" s="54"/>
      <c r="O649" s="54"/>
      <c r="P649" s="54"/>
      <c r="S649" s="38"/>
      <c r="T649" s="38"/>
      <c r="U649" s="38"/>
      <c r="V649" s="37"/>
      <c r="W649" s="37"/>
      <c r="X649" s="37"/>
      <c r="Y649" s="37"/>
      <c r="Z649" s="37"/>
      <c r="AA649" s="37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</row>
    <row r="650" spans="1:52" ht="39.75" hidden="1" customHeight="1" x14ac:dyDescent="0.2">
      <c r="A650" s="45" t="str">
        <f t="shared" si="33"/>
        <v/>
      </c>
      <c r="B650" s="45"/>
      <c r="C650" s="45"/>
      <c r="D650" s="45"/>
      <c r="E650" s="50"/>
      <c r="F650" s="51"/>
      <c r="G650" s="52"/>
      <c r="H650" s="52"/>
      <c r="I650" s="52" t="str">
        <f t="shared" si="34"/>
        <v/>
      </c>
      <c r="J650" s="54"/>
      <c r="K650" s="55" t="str">
        <f t="shared" si="35"/>
        <v/>
      </c>
      <c r="L650" s="54"/>
      <c r="M650" s="54"/>
      <c r="N650" s="54"/>
      <c r="O650" s="54"/>
      <c r="P650" s="54"/>
      <c r="S650" s="38"/>
      <c r="T650" s="38"/>
      <c r="U650" s="38"/>
      <c r="V650" s="37"/>
      <c r="W650" s="37"/>
      <c r="X650" s="37"/>
      <c r="Y650" s="37"/>
      <c r="Z650" s="37"/>
      <c r="AA650" s="37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</row>
    <row r="651" spans="1:52" ht="39.75" hidden="1" customHeight="1" x14ac:dyDescent="0.2">
      <c r="A651" s="45" t="str">
        <f t="shared" si="33"/>
        <v/>
      </c>
      <c r="B651" s="45"/>
      <c r="C651" s="45"/>
      <c r="D651" s="45"/>
      <c r="E651" s="50"/>
      <c r="F651" s="51"/>
      <c r="G651" s="52"/>
      <c r="H651" s="52"/>
      <c r="I651" s="52" t="str">
        <f t="shared" si="34"/>
        <v/>
      </c>
      <c r="J651" s="54"/>
      <c r="K651" s="55" t="str">
        <f t="shared" si="35"/>
        <v/>
      </c>
      <c r="L651" s="54"/>
      <c r="M651" s="54"/>
      <c r="N651" s="54"/>
      <c r="O651" s="54"/>
      <c r="P651" s="54"/>
      <c r="S651" s="38"/>
      <c r="T651" s="38"/>
      <c r="U651" s="38"/>
      <c r="V651" s="37"/>
      <c r="W651" s="37"/>
      <c r="X651" s="37"/>
      <c r="Y651" s="37"/>
      <c r="Z651" s="37"/>
      <c r="AA651" s="37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</row>
    <row r="652" spans="1:52" ht="39.75" hidden="1" customHeight="1" x14ac:dyDescent="0.2">
      <c r="A652" s="45" t="str">
        <f t="shared" si="33"/>
        <v/>
      </c>
      <c r="B652" s="45"/>
      <c r="C652" s="45"/>
      <c r="D652" s="45"/>
      <c r="E652" s="50"/>
      <c r="F652" s="51"/>
      <c r="G652" s="52"/>
      <c r="H652" s="52"/>
      <c r="I652" s="52" t="str">
        <f t="shared" si="34"/>
        <v/>
      </c>
      <c r="J652" s="54"/>
      <c r="K652" s="55" t="str">
        <f t="shared" si="35"/>
        <v/>
      </c>
      <c r="L652" s="54"/>
      <c r="M652" s="54"/>
      <c r="N652" s="54"/>
      <c r="O652" s="54"/>
      <c r="P652" s="54"/>
      <c r="S652" s="38"/>
      <c r="T652" s="38"/>
      <c r="U652" s="38"/>
      <c r="V652" s="37"/>
      <c r="W652" s="37"/>
      <c r="X652" s="37"/>
      <c r="Y652" s="37"/>
      <c r="Z652" s="37"/>
      <c r="AA652" s="37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</row>
    <row r="653" spans="1:52" ht="39.75" hidden="1" customHeight="1" x14ac:dyDescent="0.2">
      <c r="A653" s="45" t="str">
        <f t="shared" si="33"/>
        <v/>
      </c>
      <c r="B653" s="45"/>
      <c r="C653" s="45"/>
      <c r="D653" s="45"/>
      <c r="E653" s="50"/>
      <c r="F653" s="51"/>
      <c r="G653" s="52"/>
      <c r="H653" s="52"/>
      <c r="I653" s="52" t="str">
        <f t="shared" si="34"/>
        <v/>
      </c>
      <c r="J653" s="54"/>
      <c r="K653" s="55" t="str">
        <f t="shared" si="35"/>
        <v/>
      </c>
      <c r="L653" s="54"/>
      <c r="M653" s="54"/>
      <c r="N653" s="54"/>
      <c r="O653" s="54"/>
      <c r="P653" s="54"/>
      <c r="S653" s="38"/>
      <c r="T653" s="38"/>
      <c r="U653" s="38"/>
      <c r="V653" s="37"/>
      <c r="W653" s="37"/>
      <c r="X653" s="37"/>
      <c r="Y653" s="37"/>
      <c r="Z653" s="37"/>
      <c r="AA653" s="37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</row>
    <row r="654" spans="1:52" ht="39.75" hidden="1" customHeight="1" x14ac:dyDescent="0.2">
      <c r="A654" s="45" t="str">
        <f t="shared" si="33"/>
        <v/>
      </c>
      <c r="B654" s="45"/>
      <c r="C654" s="45"/>
      <c r="D654" s="45"/>
      <c r="E654" s="50"/>
      <c r="F654" s="51"/>
      <c r="G654" s="52"/>
      <c r="H654" s="52"/>
      <c r="I654" s="52" t="str">
        <f t="shared" si="34"/>
        <v/>
      </c>
      <c r="J654" s="54"/>
      <c r="K654" s="55" t="str">
        <f t="shared" si="35"/>
        <v/>
      </c>
      <c r="L654" s="54"/>
      <c r="M654" s="54"/>
      <c r="N654" s="54"/>
      <c r="O654" s="54"/>
      <c r="P654" s="54"/>
      <c r="S654" s="38"/>
      <c r="T654" s="38"/>
      <c r="U654" s="38"/>
      <c r="V654" s="37"/>
      <c r="W654" s="37"/>
      <c r="X654" s="37"/>
      <c r="Y654" s="37"/>
      <c r="Z654" s="37"/>
      <c r="AA654" s="37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</row>
    <row r="655" spans="1:52" ht="39.75" hidden="1" customHeight="1" x14ac:dyDescent="0.2">
      <c r="A655" s="45" t="str">
        <f t="shared" si="33"/>
        <v/>
      </c>
      <c r="B655" s="45"/>
      <c r="C655" s="45"/>
      <c r="D655" s="45"/>
      <c r="E655" s="50"/>
      <c r="F655" s="51"/>
      <c r="G655" s="52"/>
      <c r="H655" s="52"/>
      <c r="I655" s="52" t="str">
        <f t="shared" si="34"/>
        <v/>
      </c>
      <c r="J655" s="54"/>
      <c r="K655" s="55" t="str">
        <f t="shared" si="35"/>
        <v/>
      </c>
      <c r="L655" s="54"/>
      <c r="M655" s="54"/>
      <c r="N655" s="54"/>
      <c r="O655" s="54"/>
      <c r="P655" s="54"/>
      <c r="S655" s="38"/>
      <c r="T655" s="38"/>
      <c r="U655" s="38"/>
      <c r="V655" s="37"/>
      <c r="W655" s="37"/>
      <c r="X655" s="37"/>
      <c r="Y655" s="37"/>
      <c r="Z655" s="37"/>
      <c r="AA655" s="37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</row>
    <row r="656" spans="1:52" ht="39.75" hidden="1" customHeight="1" x14ac:dyDescent="0.2">
      <c r="A656" s="45" t="str">
        <f t="shared" si="33"/>
        <v/>
      </c>
      <c r="B656" s="45"/>
      <c r="C656" s="45"/>
      <c r="D656" s="45"/>
      <c r="E656" s="50"/>
      <c r="F656" s="51"/>
      <c r="G656" s="52"/>
      <c r="H656" s="52"/>
      <c r="I656" s="52" t="str">
        <f t="shared" si="34"/>
        <v/>
      </c>
      <c r="J656" s="54"/>
      <c r="K656" s="55" t="str">
        <f t="shared" si="35"/>
        <v/>
      </c>
      <c r="L656" s="54"/>
      <c r="M656" s="54"/>
      <c r="N656" s="54"/>
      <c r="O656" s="54"/>
      <c r="P656" s="54"/>
      <c r="S656" s="38"/>
      <c r="T656" s="38"/>
      <c r="U656" s="38"/>
      <c r="V656" s="37"/>
      <c r="W656" s="37"/>
      <c r="X656" s="37"/>
      <c r="Y656" s="37"/>
      <c r="Z656" s="37"/>
      <c r="AA656" s="37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</row>
    <row r="657" spans="1:52" ht="39.75" hidden="1" customHeight="1" x14ac:dyDescent="0.2">
      <c r="A657" s="45" t="str">
        <f t="shared" si="33"/>
        <v/>
      </c>
      <c r="B657" s="45"/>
      <c r="C657" s="45"/>
      <c r="D657" s="45"/>
      <c r="E657" s="50"/>
      <c r="F657" s="51"/>
      <c r="G657" s="52"/>
      <c r="H657" s="52"/>
      <c r="I657" s="52" t="str">
        <f t="shared" si="34"/>
        <v/>
      </c>
      <c r="J657" s="54"/>
      <c r="K657" s="55" t="str">
        <f t="shared" si="35"/>
        <v/>
      </c>
      <c r="L657" s="54"/>
      <c r="M657" s="54"/>
      <c r="N657" s="54"/>
      <c r="O657" s="54"/>
      <c r="P657" s="54"/>
      <c r="S657" s="38"/>
      <c r="T657" s="38"/>
      <c r="U657" s="38"/>
      <c r="V657" s="37"/>
      <c r="W657" s="37"/>
      <c r="X657" s="37"/>
      <c r="Y657" s="37"/>
      <c r="Z657" s="37"/>
      <c r="AA657" s="37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</row>
    <row r="658" spans="1:52" ht="39.75" hidden="1" customHeight="1" x14ac:dyDescent="0.2">
      <c r="A658" s="45" t="str">
        <f t="shared" si="33"/>
        <v/>
      </c>
      <c r="B658" s="45"/>
      <c r="C658" s="45"/>
      <c r="D658" s="45"/>
      <c r="E658" s="50"/>
      <c r="F658" s="51"/>
      <c r="G658" s="52"/>
      <c r="H658" s="52"/>
      <c r="I658" s="52" t="str">
        <f t="shared" si="34"/>
        <v/>
      </c>
      <c r="J658" s="54"/>
      <c r="K658" s="55" t="str">
        <f t="shared" si="35"/>
        <v/>
      </c>
      <c r="L658" s="54"/>
      <c r="M658" s="54"/>
      <c r="N658" s="54"/>
      <c r="O658" s="54"/>
      <c r="P658" s="54"/>
      <c r="S658" s="38"/>
      <c r="T658" s="38"/>
      <c r="U658" s="38"/>
      <c r="V658" s="37"/>
      <c r="W658" s="37"/>
      <c r="X658" s="37"/>
      <c r="Y658" s="37"/>
      <c r="Z658" s="37"/>
      <c r="AA658" s="37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</row>
    <row r="659" spans="1:52" ht="39.75" hidden="1" customHeight="1" x14ac:dyDescent="0.2">
      <c r="A659" s="45" t="str">
        <f t="shared" si="33"/>
        <v/>
      </c>
      <c r="B659" s="45"/>
      <c r="C659" s="45"/>
      <c r="D659" s="45"/>
      <c r="E659" s="50"/>
      <c r="F659" s="51"/>
      <c r="G659" s="52"/>
      <c r="H659" s="52"/>
      <c r="I659" s="52" t="str">
        <f t="shared" si="34"/>
        <v/>
      </c>
      <c r="J659" s="54"/>
      <c r="K659" s="55" t="str">
        <f t="shared" si="35"/>
        <v/>
      </c>
      <c r="L659" s="54"/>
      <c r="M659" s="54"/>
      <c r="N659" s="54"/>
      <c r="O659" s="54"/>
      <c r="P659" s="54"/>
      <c r="S659" s="38"/>
      <c r="T659" s="38"/>
      <c r="U659" s="38"/>
      <c r="V659" s="37"/>
      <c r="W659" s="37"/>
      <c r="X659" s="37"/>
      <c r="Y659" s="37"/>
      <c r="Z659" s="37"/>
      <c r="AA659" s="37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</row>
    <row r="660" spans="1:52" ht="39.75" hidden="1" customHeight="1" x14ac:dyDescent="0.2">
      <c r="A660" s="45" t="str">
        <f t="shared" si="33"/>
        <v/>
      </c>
      <c r="B660" s="45"/>
      <c r="C660" s="45"/>
      <c r="D660" s="45"/>
      <c r="E660" s="50"/>
      <c r="F660" s="51"/>
      <c r="G660" s="52"/>
      <c r="H660" s="52"/>
      <c r="I660" s="52" t="str">
        <f t="shared" si="34"/>
        <v/>
      </c>
      <c r="J660" s="54"/>
      <c r="K660" s="55" t="str">
        <f t="shared" si="35"/>
        <v/>
      </c>
      <c r="L660" s="54"/>
      <c r="M660" s="54"/>
      <c r="N660" s="54"/>
      <c r="O660" s="54"/>
      <c r="P660" s="54"/>
      <c r="S660" s="38"/>
      <c r="T660" s="38"/>
      <c r="U660" s="38"/>
      <c r="V660" s="37"/>
      <c r="W660" s="37"/>
      <c r="X660" s="37"/>
      <c r="Y660" s="37"/>
      <c r="Z660" s="37"/>
      <c r="AA660" s="37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</row>
    <row r="661" spans="1:52" ht="39.75" hidden="1" customHeight="1" x14ac:dyDescent="0.2">
      <c r="A661" s="45" t="str">
        <f t="shared" si="33"/>
        <v/>
      </c>
      <c r="B661" s="45"/>
      <c r="C661" s="45"/>
      <c r="D661" s="45"/>
      <c r="E661" s="50"/>
      <c r="F661" s="51"/>
      <c r="G661" s="52"/>
      <c r="H661" s="52"/>
      <c r="I661" s="52" t="str">
        <f t="shared" si="34"/>
        <v/>
      </c>
      <c r="J661" s="54"/>
      <c r="K661" s="55" t="str">
        <f t="shared" si="35"/>
        <v/>
      </c>
      <c r="L661" s="54"/>
      <c r="M661" s="54"/>
      <c r="N661" s="54"/>
      <c r="O661" s="54"/>
      <c r="P661" s="54"/>
      <c r="S661" s="38"/>
      <c r="T661" s="38"/>
      <c r="U661" s="38"/>
      <c r="V661" s="37"/>
      <c r="W661" s="37"/>
      <c r="X661" s="37"/>
      <c r="Y661" s="37"/>
      <c r="Z661" s="37"/>
      <c r="AA661" s="37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</row>
    <row r="662" spans="1:52" ht="39.75" hidden="1" customHeight="1" x14ac:dyDescent="0.2">
      <c r="A662" s="45" t="str">
        <f t="shared" si="33"/>
        <v/>
      </c>
      <c r="B662" s="45"/>
      <c r="C662" s="45"/>
      <c r="D662" s="45"/>
      <c r="E662" s="50"/>
      <c r="F662" s="51"/>
      <c r="G662" s="52"/>
      <c r="H662" s="52"/>
      <c r="I662" s="52" t="str">
        <f t="shared" si="34"/>
        <v/>
      </c>
      <c r="J662" s="54"/>
      <c r="K662" s="55" t="str">
        <f t="shared" si="35"/>
        <v/>
      </c>
      <c r="L662" s="54"/>
      <c r="M662" s="54"/>
      <c r="N662" s="54"/>
      <c r="O662" s="54"/>
      <c r="P662" s="54"/>
      <c r="S662" s="38"/>
      <c r="T662" s="38"/>
      <c r="U662" s="38"/>
      <c r="V662" s="37"/>
      <c r="W662" s="37"/>
      <c r="X662" s="37"/>
      <c r="Y662" s="37"/>
      <c r="Z662" s="37"/>
      <c r="AA662" s="37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</row>
    <row r="663" spans="1:52" ht="39.75" hidden="1" customHeight="1" x14ac:dyDescent="0.2">
      <c r="A663" s="45" t="str">
        <f t="shared" si="33"/>
        <v/>
      </c>
      <c r="B663" s="45"/>
      <c r="C663" s="45"/>
      <c r="D663" s="45"/>
      <c r="E663" s="50"/>
      <c r="F663" s="51"/>
      <c r="G663" s="52"/>
      <c r="H663" s="52"/>
      <c r="I663" s="52" t="str">
        <f t="shared" si="34"/>
        <v/>
      </c>
      <c r="J663" s="54"/>
      <c r="K663" s="55" t="str">
        <f t="shared" si="35"/>
        <v/>
      </c>
      <c r="L663" s="54"/>
      <c r="M663" s="54"/>
      <c r="N663" s="54"/>
      <c r="O663" s="54"/>
      <c r="P663" s="54"/>
      <c r="S663" s="38"/>
      <c r="T663" s="38"/>
      <c r="U663" s="38"/>
      <c r="V663" s="37"/>
      <c r="W663" s="37"/>
      <c r="X663" s="37"/>
      <c r="Y663" s="37"/>
      <c r="Z663" s="37"/>
      <c r="AA663" s="37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</row>
    <row r="664" spans="1:52" ht="39.75" hidden="1" customHeight="1" x14ac:dyDescent="0.2">
      <c r="A664" s="45" t="str">
        <f t="shared" si="33"/>
        <v/>
      </c>
      <c r="B664" s="45"/>
      <c r="C664" s="45"/>
      <c r="D664" s="45"/>
      <c r="E664" s="50"/>
      <c r="F664" s="51"/>
      <c r="G664" s="52"/>
      <c r="H664" s="52"/>
      <c r="I664" s="52" t="str">
        <f t="shared" si="34"/>
        <v/>
      </c>
      <c r="J664" s="54"/>
      <c r="K664" s="55" t="str">
        <f t="shared" si="35"/>
        <v/>
      </c>
      <c r="L664" s="54"/>
      <c r="M664" s="54"/>
      <c r="N664" s="54"/>
      <c r="O664" s="54"/>
      <c r="P664" s="54"/>
      <c r="S664" s="38"/>
      <c r="T664" s="38"/>
      <c r="U664" s="38"/>
      <c r="V664" s="37"/>
      <c r="W664" s="37"/>
      <c r="X664" s="37"/>
      <c r="Y664" s="37"/>
      <c r="Z664" s="37"/>
      <c r="AA664" s="37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</row>
    <row r="665" spans="1:52" ht="39.75" hidden="1" customHeight="1" x14ac:dyDescent="0.2">
      <c r="A665" s="45" t="str">
        <f t="shared" si="33"/>
        <v/>
      </c>
      <c r="B665" s="45"/>
      <c r="C665" s="45"/>
      <c r="D665" s="45"/>
      <c r="E665" s="50"/>
      <c r="F665" s="51"/>
      <c r="G665" s="52"/>
      <c r="H665" s="52"/>
      <c r="I665" s="52" t="str">
        <f t="shared" si="34"/>
        <v/>
      </c>
      <c r="J665" s="54"/>
      <c r="K665" s="55" t="str">
        <f t="shared" si="35"/>
        <v/>
      </c>
      <c r="L665" s="54"/>
      <c r="M665" s="54"/>
      <c r="N665" s="54"/>
      <c r="O665" s="54"/>
      <c r="P665" s="54"/>
      <c r="S665" s="38"/>
      <c r="T665" s="38"/>
      <c r="U665" s="38"/>
      <c r="V665" s="37"/>
      <c r="W665" s="37"/>
      <c r="X665" s="37"/>
      <c r="Y665" s="37"/>
      <c r="Z665" s="37"/>
      <c r="AA665" s="37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</row>
    <row r="666" spans="1:52" ht="39.75" hidden="1" customHeight="1" x14ac:dyDescent="0.2">
      <c r="A666" s="45" t="str">
        <f t="shared" si="33"/>
        <v/>
      </c>
      <c r="B666" s="45"/>
      <c r="C666" s="45"/>
      <c r="D666" s="45"/>
      <c r="E666" s="50"/>
      <c r="F666" s="51"/>
      <c r="G666" s="52"/>
      <c r="H666" s="52"/>
      <c r="I666" s="52" t="str">
        <f t="shared" si="34"/>
        <v/>
      </c>
      <c r="J666" s="54"/>
      <c r="K666" s="55" t="str">
        <f t="shared" si="35"/>
        <v/>
      </c>
      <c r="L666" s="54"/>
      <c r="M666" s="54"/>
      <c r="N666" s="54"/>
      <c r="O666" s="54"/>
      <c r="P666" s="54"/>
      <c r="S666" s="38"/>
      <c r="T666" s="38"/>
      <c r="U666" s="38"/>
      <c r="V666" s="37"/>
      <c r="W666" s="37"/>
      <c r="X666" s="37"/>
      <c r="Y666" s="37"/>
      <c r="Z666" s="37"/>
      <c r="AA666" s="37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</row>
    <row r="667" spans="1:52" ht="39.75" hidden="1" customHeight="1" x14ac:dyDescent="0.2">
      <c r="A667" s="45" t="str">
        <f t="shared" si="33"/>
        <v/>
      </c>
      <c r="B667" s="45"/>
      <c r="C667" s="45"/>
      <c r="D667" s="45"/>
      <c r="E667" s="50"/>
      <c r="F667" s="51"/>
      <c r="G667" s="52"/>
      <c r="H667" s="52"/>
      <c r="I667" s="52" t="str">
        <f t="shared" si="34"/>
        <v/>
      </c>
      <c r="J667" s="54"/>
      <c r="K667" s="55" t="str">
        <f t="shared" si="35"/>
        <v/>
      </c>
      <c r="L667" s="54"/>
      <c r="M667" s="54"/>
      <c r="N667" s="54"/>
      <c r="O667" s="54"/>
      <c r="P667" s="54"/>
      <c r="S667" s="38"/>
      <c r="T667" s="38"/>
      <c r="U667" s="38"/>
      <c r="V667" s="37"/>
      <c r="W667" s="37"/>
      <c r="X667" s="37"/>
      <c r="Y667" s="37"/>
      <c r="Z667" s="37"/>
      <c r="AA667" s="37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</row>
    <row r="668" spans="1:52" ht="39.75" hidden="1" customHeight="1" x14ac:dyDescent="0.2">
      <c r="A668" s="45" t="str">
        <f t="shared" si="33"/>
        <v/>
      </c>
      <c r="B668" s="45"/>
      <c r="C668" s="45"/>
      <c r="D668" s="45"/>
      <c r="E668" s="50"/>
      <c r="F668" s="51"/>
      <c r="G668" s="52"/>
      <c r="H668" s="52"/>
      <c r="I668" s="52" t="str">
        <f t="shared" si="34"/>
        <v/>
      </c>
      <c r="J668" s="54"/>
      <c r="K668" s="55" t="str">
        <f t="shared" si="35"/>
        <v/>
      </c>
      <c r="L668" s="54"/>
      <c r="M668" s="54"/>
      <c r="N668" s="54"/>
      <c r="O668" s="54"/>
      <c r="P668" s="54"/>
      <c r="S668" s="38"/>
      <c r="T668" s="38"/>
      <c r="U668" s="38"/>
      <c r="V668" s="37"/>
      <c r="W668" s="37"/>
      <c r="X668" s="37"/>
      <c r="Y668" s="37"/>
      <c r="Z668" s="37"/>
      <c r="AA668" s="37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</row>
    <row r="669" spans="1:52" ht="39.75" hidden="1" customHeight="1" x14ac:dyDescent="0.2">
      <c r="A669" s="45" t="str">
        <f t="shared" si="33"/>
        <v/>
      </c>
      <c r="B669" s="45"/>
      <c r="C669" s="45"/>
      <c r="D669" s="45"/>
      <c r="E669" s="50"/>
      <c r="F669" s="51"/>
      <c r="G669" s="52"/>
      <c r="H669" s="52"/>
      <c r="I669" s="52" t="str">
        <f t="shared" si="34"/>
        <v/>
      </c>
      <c r="J669" s="54"/>
      <c r="K669" s="55" t="str">
        <f t="shared" si="35"/>
        <v/>
      </c>
      <c r="L669" s="54"/>
      <c r="M669" s="54"/>
      <c r="N669" s="54"/>
      <c r="O669" s="54"/>
      <c r="P669" s="54"/>
      <c r="S669" s="38"/>
      <c r="T669" s="38"/>
      <c r="U669" s="38"/>
      <c r="V669" s="37"/>
      <c r="W669" s="37"/>
      <c r="X669" s="37"/>
      <c r="Y669" s="37"/>
      <c r="Z669" s="37"/>
      <c r="AA669" s="37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</row>
    <row r="670" spans="1:52" ht="39.75" hidden="1" customHeight="1" x14ac:dyDescent="0.2">
      <c r="A670" s="45" t="str">
        <f t="shared" si="33"/>
        <v/>
      </c>
      <c r="B670" s="45"/>
      <c r="C670" s="45"/>
      <c r="D670" s="45"/>
      <c r="E670" s="50"/>
      <c r="F670" s="51"/>
      <c r="G670" s="52"/>
      <c r="H670" s="52"/>
      <c r="I670" s="52" t="str">
        <f t="shared" si="34"/>
        <v/>
      </c>
      <c r="J670" s="54"/>
      <c r="K670" s="55" t="str">
        <f t="shared" si="35"/>
        <v/>
      </c>
      <c r="L670" s="54"/>
      <c r="M670" s="54"/>
      <c r="N670" s="54"/>
      <c r="O670" s="54"/>
      <c r="P670" s="54"/>
      <c r="S670" s="38"/>
      <c r="T670" s="38"/>
      <c r="U670" s="38"/>
      <c r="V670" s="37"/>
      <c r="W670" s="37"/>
      <c r="X670" s="37"/>
      <c r="Y670" s="37"/>
      <c r="Z670" s="37"/>
      <c r="AA670" s="37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</row>
    <row r="671" spans="1:52" ht="39.75" hidden="1" customHeight="1" x14ac:dyDescent="0.2">
      <c r="A671" s="45" t="str">
        <f t="shared" si="33"/>
        <v/>
      </c>
      <c r="B671" s="45"/>
      <c r="C671" s="45"/>
      <c r="D671" s="45"/>
      <c r="E671" s="50"/>
      <c r="F671" s="51"/>
      <c r="G671" s="52"/>
      <c r="H671" s="52"/>
      <c r="I671" s="52" t="str">
        <f t="shared" si="34"/>
        <v/>
      </c>
      <c r="J671" s="54"/>
      <c r="K671" s="55" t="str">
        <f t="shared" si="35"/>
        <v/>
      </c>
      <c r="L671" s="54"/>
      <c r="M671" s="54"/>
      <c r="N671" s="54"/>
      <c r="O671" s="54"/>
      <c r="P671" s="54"/>
      <c r="S671" s="38"/>
      <c r="T671" s="38"/>
      <c r="U671" s="38"/>
      <c r="V671" s="37"/>
      <c r="W671" s="37"/>
      <c r="X671" s="37"/>
      <c r="Y671" s="37"/>
      <c r="Z671" s="37"/>
      <c r="AA671" s="37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</row>
    <row r="672" spans="1:52" ht="39.75" hidden="1" customHeight="1" x14ac:dyDescent="0.2">
      <c r="A672" s="45" t="str">
        <f t="shared" si="33"/>
        <v/>
      </c>
      <c r="B672" s="45"/>
      <c r="C672" s="45"/>
      <c r="D672" s="45"/>
      <c r="E672" s="50"/>
      <c r="F672" s="51"/>
      <c r="G672" s="52"/>
      <c r="H672" s="52"/>
      <c r="I672" s="52" t="str">
        <f t="shared" si="34"/>
        <v/>
      </c>
      <c r="J672" s="54"/>
      <c r="K672" s="55" t="str">
        <f t="shared" si="35"/>
        <v/>
      </c>
      <c r="L672" s="54"/>
      <c r="M672" s="54"/>
      <c r="N672" s="54"/>
      <c r="O672" s="54"/>
      <c r="P672" s="54"/>
      <c r="S672" s="38"/>
      <c r="T672" s="38"/>
      <c r="U672" s="38"/>
      <c r="V672" s="37"/>
      <c r="W672" s="37"/>
      <c r="X672" s="37"/>
      <c r="Y672" s="37"/>
      <c r="Z672" s="37"/>
      <c r="AA672" s="37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</row>
    <row r="673" spans="1:52" ht="39.75" hidden="1" customHeight="1" x14ac:dyDescent="0.2">
      <c r="A673" s="45" t="str">
        <f t="shared" si="33"/>
        <v/>
      </c>
      <c r="B673" s="45"/>
      <c r="C673" s="45"/>
      <c r="D673" s="45"/>
      <c r="E673" s="50"/>
      <c r="F673" s="51"/>
      <c r="G673" s="52"/>
      <c r="H673" s="52"/>
      <c r="I673" s="52" t="str">
        <f t="shared" si="34"/>
        <v/>
      </c>
      <c r="J673" s="54"/>
      <c r="K673" s="55" t="str">
        <f t="shared" si="35"/>
        <v/>
      </c>
      <c r="L673" s="54"/>
      <c r="M673" s="54"/>
      <c r="N673" s="54"/>
      <c r="O673" s="54"/>
      <c r="P673" s="54"/>
      <c r="S673" s="38"/>
      <c r="T673" s="38"/>
      <c r="U673" s="38"/>
      <c r="V673" s="37"/>
      <c r="W673" s="37"/>
      <c r="X673" s="37"/>
      <c r="Y673" s="37"/>
      <c r="Z673" s="37"/>
      <c r="AA673" s="37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</row>
    <row r="674" spans="1:52" ht="39.75" hidden="1" customHeight="1" x14ac:dyDescent="0.2">
      <c r="A674" s="45" t="str">
        <f t="shared" si="33"/>
        <v/>
      </c>
      <c r="B674" s="45"/>
      <c r="C674" s="45"/>
      <c r="D674" s="45"/>
      <c r="E674" s="50"/>
      <c r="F674" s="51"/>
      <c r="G674" s="52"/>
      <c r="H674" s="52"/>
      <c r="I674" s="52" t="str">
        <f t="shared" si="34"/>
        <v/>
      </c>
      <c r="J674" s="54"/>
      <c r="K674" s="55" t="str">
        <f t="shared" si="35"/>
        <v/>
      </c>
      <c r="L674" s="54"/>
      <c r="M674" s="54"/>
      <c r="N674" s="54"/>
      <c r="O674" s="54"/>
      <c r="P674" s="54"/>
      <c r="S674" s="38"/>
      <c r="T674" s="38"/>
      <c r="U674" s="38"/>
      <c r="V674" s="37"/>
      <c r="W674" s="37"/>
      <c r="X674" s="37"/>
      <c r="Y674" s="37"/>
      <c r="Z674" s="37"/>
      <c r="AA674" s="37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</row>
    <row r="675" spans="1:52" ht="39.75" hidden="1" customHeight="1" x14ac:dyDescent="0.2">
      <c r="A675" s="45" t="str">
        <f t="shared" si="33"/>
        <v/>
      </c>
      <c r="B675" s="45"/>
      <c r="C675" s="45"/>
      <c r="D675" s="45"/>
      <c r="E675" s="50"/>
      <c r="F675" s="51"/>
      <c r="G675" s="52"/>
      <c r="H675" s="52"/>
      <c r="I675" s="52" t="str">
        <f t="shared" si="34"/>
        <v/>
      </c>
      <c r="J675" s="54"/>
      <c r="K675" s="55" t="str">
        <f t="shared" si="35"/>
        <v/>
      </c>
      <c r="L675" s="54"/>
      <c r="M675" s="54"/>
      <c r="N675" s="54"/>
      <c r="O675" s="54"/>
      <c r="P675" s="54"/>
      <c r="S675" s="38"/>
      <c r="T675" s="38"/>
      <c r="U675" s="38"/>
      <c r="V675" s="37"/>
      <c r="W675" s="37"/>
      <c r="X675" s="37"/>
      <c r="Y675" s="37"/>
      <c r="Z675" s="37"/>
      <c r="AA675" s="37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</row>
    <row r="676" spans="1:52" ht="39.75" hidden="1" customHeight="1" x14ac:dyDescent="0.2">
      <c r="A676" s="45" t="str">
        <f t="shared" si="33"/>
        <v/>
      </c>
      <c r="B676" s="45"/>
      <c r="C676" s="45"/>
      <c r="D676" s="45"/>
      <c r="E676" s="50"/>
      <c r="F676" s="51"/>
      <c r="G676" s="52"/>
      <c r="H676" s="52"/>
      <c r="I676" s="52" t="str">
        <f t="shared" si="34"/>
        <v/>
      </c>
      <c r="J676" s="54"/>
      <c r="K676" s="55" t="str">
        <f t="shared" si="35"/>
        <v/>
      </c>
      <c r="L676" s="54"/>
      <c r="M676" s="54"/>
      <c r="N676" s="54"/>
      <c r="O676" s="54"/>
      <c r="P676" s="54"/>
      <c r="S676" s="38"/>
      <c r="T676" s="38"/>
      <c r="U676" s="38"/>
      <c r="V676" s="37"/>
      <c r="W676" s="37"/>
      <c r="X676" s="37"/>
      <c r="Y676" s="37"/>
      <c r="Z676" s="37"/>
      <c r="AA676" s="37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</row>
    <row r="677" spans="1:52" ht="39.75" hidden="1" customHeight="1" x14ac:dyDescent="0.2">
      <c r="A677" s="45" t="str">
        <f t="shared" si="33"/>
        <v/>
      </c>
      <c r="B677" s="45"/>
      <c r="C677" s="45"/>
      <c r="D677" s="45"/>
      <c r="E677" s="50"/>
      <c r="F677" s="51"/>
      <c r="G677" s="52"/>
      <c r="H677" s="52"/>
      <c r="I677" s="52" t="str">
        <f t="shared" si="34"/>
        <v/>
      </c>
      <c r="J677" s="54"/>
      <c r="K677" s="55" t="str">
        <f t="shared" si="35"/>
        <v/>
      </c>
      <c r="L677" s="54"/>
      <c r="M677" s="54"/>
      <c r="N677" s="54"/>
      <c r="O677" s="54"/>
      <c r="P677" s="54"/>
      <c r="S677" s="38"/>
      <c r="T677" s="38"/>
      <c r="U677" s="38"/>
      <c r="V677" s="37"/>
      <c r="W677" s="37"/>
      <c r="X677" s="37"/>
      <c r="Y677" s="37"/>
      <c r="Z677" s="37"/>
      <c r="AA677" s="37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</row>
    <row r="678" spans="1:52" ht="39.75" hidden="1" customHeight="1" x14ac:dyDescent="0.2">
      <c r="A678" s="45" t="str">
        <f t="shared" si="33"/>
        <v/>
      </c>
      <c r="B678" s="45"/>
      <c r="C678" s="45"/>
      <c r="D678" s="45"/>
      <c r="E678" s="50"/>
      <c r="F678" s="51"/>
      <c r="G678" s="52"/>
      <c r="H678" s="52"/>
      <c r="I678" s="52" t="str">
        <f t="shared" si="34"/>
        <v/>
      </c>
      <c r="J678" s="54"/>
      <c r="K678" s="55" t="str">
        <f t="shared" si="35"/>
        <v/>
      </c>
      <c r="L678" s="54"/>
      <c r="M678" s="54"/>
      <c r="N678" s="54"/>
      <c r="O678" s="54"/>
      <c r="P678" s="54"/>
      <c r="S678" s="38"/>
      <c r="T678" s="38"/>
      <c r="U678" s="38"/>
      <c r="V678" s="37"/>
      <c r="W678" s="37"/>
      <c r="X678" s="37"/>
      <c r="Y678" s="37"/>
      <c r="Z678" s="37"/>
      <c r="AA678" s="37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</row>
    <row r="679" spans="1:52" ht="39.75" hidden="1" customHeight="1" x14ac:dyDescent="0.2">
      <c r="A679" s="45" t="str">
        <f t="shared" si="33"/>
        <v/>
      </c>
      <c r="B679" s="45"/>
      <c r="C679" s="45"/>
      <c r="D679" s="45"/>
      <c r="E679" s="50"/>
      <c r="F679" s="51"/>
      <c r="G679" s="52"/>
      <c r="H679" s="52"/>
      <c r="I679" s="52" t="str">
        <f t="shared" si="34"/>
        <v/>
      </c>
      <c r="J679" s="54"/>
      <c r="K679" s="55" t="str">
        <f t="shared" si="35"/>
        <v/>
      </c>
      <c r="L679" s="54"/>
      <c r="M679" s="54"/>
      <c r="N679" s="54"/>
      <c r="O679" s="54"/>
      <c r="P679" s="54"/>
      <c r="S679" s="38"/>
      <c r="T679" s="38"/>
      <c r="U679" s="38"/>
      <c r="V679" s="37"/>
      <c r="W679" s="37"/>
      <c r="X679" s="37"/>
      <c r="Y679" s="37"/>
      <c r="Z679" s="37"/>
      <c r="AA679" s="37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</row>
    <row r="680" spans="1:52" ht="39.75" hidden="1" customHeight="1" x14ac:dyDescent="0.2">
      <c r="A680" s="45" t="str">
        <f t="shared" si="33"/>
        <v/>
      </c>
      <c r="B680" s="45"/>
      <c r="C680" s="45"/>
      <c r="D680" s="45"/>
      <c r="E680" s="50"/>
      <c r="F680" s="51"/>
      <c r="G680" s="52"/>
      <c r="H680" s="52"/>
      <c r="I680" s="52" t="str">
        <f t="shared" si="34"/>
        <v/>
      </c>
      <c r="J680" s="54"/>
      <c r="K680" s="55" t="str">
        <f t="shared" si="35"/>
        <v/>
      </c>
      <c r="L680" s="54"/>
      <c r="M680" s="54"/>
      <c r="N680" s="54"/>
      <c r="O680" s="54"/>
      <c r="P680" s="54"/>
      <c r="S680" s="38"/>
      <c r="T680" s="38"/>
      <c r="U680" s="38"/>
      <c r="V680" s="37"/>
      <c r="W680" s="37"/>
      <c r="X680" s="37"/>
      <c r="Y680" s="37"/>
      <c r="Z680" s="37"/>
      <c r="AA680" s="37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</row>
    <row r="681" spans="1:52" ht="39.75" hidden="1" customHeight="1" x14ac:dyDescent="0.2">
      <c r="A681" s="45" t="str">
        <f t="shared" si="33"/>
        <v/>
      </c>
      <c r="B681" s="45"/>
      <c r="C681" s="45"/>
      <c r="D681" s="45"/>
      <c r="E681" s="50"/>
      <c r="F681" s="51"/>
      <c r="G681" s="52"/>
      <c r="H681" s="52"/>
      <c r="I681" s="52" t="str">
        <f t="shared" si="34"/>
        <v/>
      </c>
      <c r="J681" s="54"/>
      <c r="K681" s="55" t="str">
        <f t="shared" si="35"/>
        <v/>
      </c>
      <c r="L681" s="54"/>
      <c r="M681" s="54"/>
      <c r="N681" s="54"/>
      <c r="O681" s="54"/>
      <c r="P681" s="54"/>
      <c r="S681" s="38"/>
      <c r="T681" s="38"/>
      <c r="U681" s="38"/>
      <c r="V681" s="37"/>
      <c r="W681" s="37"/>
      <c r="X681" s="37"/>
      <c r="Y681" s="37"/>
      <c r="Z681" s="37"/>
      <c r="AA681" s="37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</row>
    <row r="682" spans="1:52" ht="39.75" hidden="1" customHeight="1" x14ac:dyDescent="0.2">
      <c r="A682" s="45" t="str">
        <f t="shared" si="33"/>
        <v/>
      </c>
      <c r="B682" s="45"/>
      <c r="C682" s="45"/>
      <c r="D682" s="45"/>
      <c r="E682" s="50"/>
      <c r="F682" s="51"/>
      <c r="G682" s="52"/>
      <c r="H682" s="52"/>
      <c r="I682" s="52" t="str">
        <f t="shared" si="34"/>
        <v/>
      </c>
      <c r="J682" s="54"/>
      <c r="K682" s="55" t="str">
        <f t="shared" si="35"/>
        <v/>
      </c>
      <c r="L682" s="54"/>
      <c r="M682" s="54"/>
      <c r="N682" s="54"/>
      <c r="O682" s="54"/>
      <c r="P682" s="54"/>
      <c r="S682" s="38"/>
      <c r="T682" s="38"/>
      <c r="U682" s="38"/>
      <c r="V682" s="37"/>
      <c r="W682" s="37"/>
      <c r="X682" s="37"/>
      <c r="Y682" s="37"/>
      <c r="Z682" s="37"/>
      <c r="AA682" s="37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</row>
    <row r="683" spans="1:52" ht="39.75" hidden="1" customHeight="1" x14ac:dyDescent="0.2">
      <c r="A683" s="45" t="str">
        <f t="shared" si="33"/>
        <v/>
      </c>
      <c r="B683" s="45"/>
      <c r="C683" s="45"/>
      <c r="D683" s="45"/>
      <c r="E683" s="50"/>
      <c r="F683" s="51"/>
      <c r="G683" s="52"/>
      <c r="H683" s="52"/>
      <c r="I683" s="52" t="str">
        <f t="shared" si="34"/>
        <v/>
      </c>
      <c r="J683" s="54"/>
      <c r="K683" s="55" t="str">
        <f t="shared" si="35"/>
        <v/>
      </c>
      <c r="L683" s="54"/>
      <c r="M683" s="54"/>
      <c r="N683" s="54"/>
      <c r="O683" s="54"/>
      <c r="P683" s="54"/>
      <c r="S683" s="38"/>
      <c r="T683" s="38"/>
      <c r="U683" s="38"/>
      <c r="V683" s="37"/>
      <c r="W683" s="37"/>
      <c r="X683" s="37"/>
      <c r="Y683" s="37"/>
      <c r="Z683" s="37"/>
      <c r="AA683" s="37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</row>
    <row r="684" spans="1:52" ht="39.75" hidden="1" customHeight="1" x14ac:dyDescent="0.2">
      <c r="A684" s="45" t="str">
        <f t="shared" si="33"/>
        <v/>
      </c>
      <c r="B684" s="45"/>
      <c r="C684" s="45"/>
      <c r="D684" s="45"/>
      <c r="E684" s="50"/>
      <c r="F684" s="51"/>
      <c r="G684" s="52"/>
      <c r="H684" s="52"/>
      <c r="I684" s="52" t="str">
        <f t="shared" si="34"/>
        <v/>
      </c>
      <c r="J684" s="54"/>
      <c r="K684" s="55" t="str">
        <f t="shared" si="35"/>
        <v/>
      </c>
      <c r="L684" s="54"/>
      <c r="M684" s="54"/>
      <c r="N684" s="54"/>
      <c r="O684" s="54"/>
      <c r="P684" s="54"/>
      <c r="S684" s="38"/>
      <c r="T684" s="38"/>
      <c r="U684" s="38"/>
      <c r="V684" s="37"/>
      <c r="W684" s="37"/>
      <c r="X684" s="37"/>
      <c r="Y684" s="37"/>
      <c r="Z684" s="37"/>
      <c r="AA684" s="37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</row>
    <row r="685" spans="1:52" ht="39.75" hidden="1" customHeight="1" x14ac:dyDescent="0.2">
      <c r="A685" s="45" t="str">
        <f t="shared" si="33"/>
        <v/>
      </c>
      <c r="B685" s="45"/>
      <c r="C685" s="45"/>
      <c r="D685" s="45"/>
      <c r="E685" s="50"/>
      <c r="F685" s="51"/>
      <c r="G685" s="52"/>
      <c r="H685" s="52"/>
      <c r="I685" s="52" t="str">
        <f t="shared" si="34"/>
        <v/>
      </c>
      <c r="J685" s="54"/>
      <c r="K685" s="55" t="str">
        <f t="shared" si="35"/>
        <v/>
      </c>
      <c r="L685" s="54"/>
      <c r="M685" s="54"/>
      <c r="N685" s="54"/>
      <c r="O685" s="54"/>
      <c r="P685" s="54"/>
      <c r="S685" s="38"/>
      <c r="T685" s="38"/>
      <c r="U685" s="38"/>
      <c r="V685" s="37"/>
      <c r="W685" s="37"/>
      <c r="X685" s="37"/>
      <c r="Y685" s="37"/>
      <c r="Z685" s="37"/>
      <c r="AA685" s="37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</row>
    <row r="686" spans="1:52" ht="39.75" hidden="1" customHeight="1" x14ac:dyDescent="0.2">
      <c r="A686" s="45" t="str">
        <f t="shared" si="33"/>
        <v/>
      </c>
      <c r="B686" s="45"/>
      <c r="C686" s="45"/>
      <c r="D686" s="45"/>
      <c r="E686" s="50"/>
      <c r="F686" s="51"/>
      <c r="G686" s="52"/>
      <c r="H686" s="52"/>
      <c r="I686" s="52" t="str">
        <f t="shared" si="34"/>
        <v/>
      </c>
      <c r="J686" s="54"/>
      <c r="K686" s="55" t="str">
        <f t="shared" si="35"/>
        <v/>
      </c>
      <c r="L686" s="54"/>
      <c r="M686" s="54"/>
      <c r="N686" s="54"/>
      <c r="O686" s="54"/>
      <c r="P686" s="54"/>
      <c r="S686" s="38"/>
      <c r="T686" s="38"/>
      <c r="U686" s="38"/>
      <c r="V686" s="37"/>
      <c r="W686" s="37"/>
      <c r="X686" s="37"/>
      <c r="Y686" s="37"/>
      <c r="Z686" s="37"/>
      <c r="AA686" s="37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</row>
    <row r="687" spans="1:52" ht="39.75" hidden="1" customHeight="1" x14ac:dyDescent="0.2">
      <c r="A687" s="45" t="str">
        <f t="shared" si="33"/>
        <v/>
      </c>
      <c r="B687" s="45"/>
      <c r="C687" s="45"/>
      <c r="D687" s="45"/>
      <c r="E687" s="50"/>
      <c r="F687" s="51"/>
      <c r="G687" s="52"/>
      <c r="H687" s="52"/>
      <c r="I687" s="52" t="str">
        <f t="shared" si="34"/>
        <v/>
      </c>
      <c r="J687" s="54"/>
      <c r="K687" s="55" t="str">
        <f t="shared" si="35"/>
        <v/>
      </c>
      <c r="L687" s="54"/>
      <c r="M687" s="54"/>
      <c r="N687" s="54"/>
      <c r="O687" s="54"/>
      <c r="P687" s="54"/>
      <c r="S687" s="38"/>
      <c r="T687" s="38"/>
      <c r="U687" s="38"/>
      <c r="V687" s="37"/>
      <c r="W687" s="37"/>
      <c r="X687" s="37"/>
      <c r="Y687" s="37"/>
      <c r="Z687" s="37"/>
      <c r="AA687" s="37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</row>
    <row r="688" spans="1:52" ht="39.75" hidden="1" customHeight="1" x14ac:dyDescent="0.2">
      <c r="A688" s="45" t="str">
        <f t="shared" si="33"/>
        <v/>
      </c>
      <c r="B688" s="45"/>
      <c r="C688" s="45"/>
      <c r="D688" s="45"/>
      <c r="E688" s="50"/>
      <c r="F688" s="51"/>
      <c r="G688" s="52"/>
      <c r="H688" s="52"/>
      <c r="I688" s="52" t="str">
        <f t="shared" si="34"/>
        <v/>
      </c>
      <c r="J688" s="54"/>
      <c r="K688" s="55" t="str">
        <f t="shared" si="35"/>
        <v/>
      </c>
      <c r="L688" s="54"/>
      <c r="M688" s="54"/>
      <c r="N688" s="54"/>
      <c r="O688" s="54"/>
      <c r="P688" s="54"/>
      <c r="S688" s="38"/>
      <c r="T688" s="38"/>
      <c r="U688" s="38"/>
      <c r="V688" s="37"/>
      <c r="W688" s="37"/>
      <c r="X688" s="37"/>
      <c r="Y688" s="37"/>
      <c r="Z688" s="37"/>
      <c r="AA688" s="37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</row>
    <row r="689" spans="1:52" ht="39.75" hidden="1" customHeight="1" x14ac:dyDescent="0.2">
      <c r="A689" s="45" t="str">
        <f t="shared" si="33"/>
        <v/>
      </c>
      <c r="B689" s="45"/>
      <c r="C689" s="45"/>
      <c r="D689" s="45"/>
      <c r="E689" s="50"/>
      <c r="F689" s="51"/>
      <c r="G689" s="52"/>
      <c r="H689" s="52"/>
      <c r="I689" s="52" t="str">
        <f t="shared" si="34"/>
        <v/>
      </c>
      <c r="J689" s="54"/>
      <c r="K689" s="55" t="str">
        <f t="shared" si="35"/>
        <v/>
      </c>
      <c r="L689" s="54"/>
      <c r="M689" s="54"/>
      <c r="N689" s="54"/>
      <c r="O689" s="54"/>
      <c r="P689" s="54"/>
      <c r="S689" s="38"/>
      <c r="T689" s="38"/>
      <c r="U689" s="38"/>
      <c r="V689" s="37"/>
      <c r="W689" s="37"/>
      <c r="X689" s="37"/>
      <c r="Y689" s="37"/>
      <c r="Z689" s="37"/>
      <c r="AA689" s="37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</row>
    <row r="690" spans="1:52" ht="39.75" hidden="1" customHeight="1" x14ac:dyDescent="0.2">
      <c r="A690" s="45" t="str">
        <f t="shared" si="33"/>
        <v/>
      </c>
      <c r="B690" s="45"/>
      <c r="C690" s="45"/>
      <c r="D690" s="45"/>
      <c r="E690" s="50"/>
      <c r="F690" s="51"/>
      <c r="G690" s="52"/>
      <c r="H690" s="52"/>
      <c r="I690" s="52" t="str">
        <f t="shared" si="34"/>
        <v/>
      </c>
      <c r="J690" s="54"/>
      <c r="K690" s="55" t="str">
        <f t="shared" si="35"/>
        <v/>
      </c>
      <c r="L690" s="54"/>
      <c r="M690" s="54"/>
      <c r="N690" s="54"/>
      <c r="O690" s="54"/>
      <c r="P690" s="54"/>
      <c r="S690" s="38"/>
      <c r="T690" s="38"/>
      <c r="U690" s="38"/>
      <c r="V690" s="37"/>
      <c r="W690" s="37"/>
      <c r="X690" s="37"/>
      <c r="Y690" s="37"/>
      <c r="Z690" s="37"/>
      <c r="AA690" s="37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</row>
    <row r="691" spans="1:52" ht="39.75" hidden="1" customHeight="1" x14ac:dyDescent="0.2">
      <c r="A691" s="45" t="str">
        <f t="shared" si="33"/>
        <v/>
      </c>
      <c r="B691" s="45"/>
      <c r="C691" s="45"/>
      <c r="D691" s="45"/>
      <c r="E691" s="50"/>
      <c r="F691" s="51"/>
      <c r="G691" s="52"/>
      <c r="H691" s="52"/>
      <c r="I691" s="52" t="str">
        <f t="shared" si="34"/>
        <v/>
      </c>
      <c r="J691" s="54"/>
      <c r="K691" s="55" t="str">
        <f t="shared" si="35"/>
        <v/>
      </c>
      <c r="L691" s="54"/>
      <c r="M691" s="54"/>
      <c r="N691" s="54"/>
      <c r="O691" s="54"/>
      <c r="P691" s="54"/>
      <c r="S691" s="38"/>
      <c r="T691" s="38"/>
      <c r="U691" s="38"/>
      <c r="V691" s="37"/>
      <c r="W691" s="37"/>
      <c r="X691" s="37"/>
      <c r="Y691" s="37"/>
      <c r="Z691" s="37"/>
      <c r="AA691" s="37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</row>
    <row r="692" spans="1:52" ht="39.75" hidden="1" customHeight="1" x14ac:dyDescent="0.2">
      <c r="A692" s="45" t="str">
        <f t="shared" si="33"/>
        <v/>
      </c>
      <c r="B692" s="45"/>
      <c r="C692" s="45"/>
      <c r="D692" s="45"/>
      <c r="E692" s="50"/>
      <c r="F692" s="51"/>
      <c r="G692" s="52"/>
      <c r="H692" s="52"/>
      <c r="I692" s="52" t="str">
        <f t="shared" si="34"/>
        <v/>
      </c>
      <c r="J692" s="54"/>
      <c r="K692" s="55" t="str">
        <f t="shared" si="35"/>
        <v/>
      </c>
      <c r="L692" s="54"/>
      <c r="M692" s="54"/>
      <c r="N692" s="54"/>
      <c r="O692" s="54"/>
      <c r="P692" s="54"/>
      <c r="S692" s="38"/>
      <c r="T692" s="38"/>
      <c r="U692" s="38"/>
      <c r="V692" s="37"/>
      <c r="W692" s="37"/>
      <c r="X692" s="37"/>
      <c r="Y692" s="37"/>
      <c r="Z692" s="37"/>
      <c r="AA692" s="37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</row>
    <row r="693" spans="1:52" ht="39.75" hidden="1" customHeight="1" x14ac:dyDescent="0.2">
      <c r="A693" s="45" t="str">
        <f t="shared" si="33"/>
        <v/>
      </c>
      <c r="B693" s="45"/>
      <c r="C693" s="45"/>
      <c r="D693" s="45"/>
      <c r="E693" s="50"/>
      <c r="F693" s="51"/>
      <c r="G693" s="52"/>
      <c r="H693" s="52"/>
      <c r="I693" s="52" t="str">
        <f t="shared" si="34"/>
        <v/>
      </c>
      <c r="J693" s="54"/>
      <c r="K693" s="55" t="str">
        <f t="shared" si="35"/>
        <v/>
      </c>
      <c r="L693" s="54"/>
      <c r="M693" s="54"/>
      <c r="N693" s="54"/>
      <c r="O693" s="54"/>
      <c r="P693" s="54"/>
      <c r="S693" s="38"/>
      <c r="T693" s="38"/>
      <c r="U693" s="38"/>
      <c r="V693" s="37"/>
      <c r="W693" s="37"/>
      <c r="X693" s="37"/>
      <c r="Y693" s="37"/>
      <c r="Z693" s="37"/>
      <c r="AA693" s="37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</row>
    <row r="694" spans="1:52" ht="39.75" hidden="1" customHeight="1" x14ac:dyDescent="0.2">
      <c r="A694" s="45" t="str">
        <f t="shared" si="33"/>
        <v/>
      </c>
      <c r="B694" s="45"/>
      <c r="C694" s="45"/>
      <c r="D694" s="45"/>
      <c r="E694" s="50"/>
      <c r="F694" s="51"/>
      <c r="G694" s="52"/>
      <c r="H694" s="52"/>
      <c r="I694" s="52" t="str">
        <f t="shared" si="34"/>
        <v/>
      </c>
      <c r="J694" s="54"/>
      <c r="K694" s="55" t="str">
        <f t="shared" si="35"/>
        <v/>
      </c>
      <c r="L694" s="54"/>
      <c r="M694" s="54"/>
      <c r="N694" s="54"/>
      <c r="O694" s="54"/>
      <c r="P694" s="54"/>
      <c r="S694" s="38"/>
      <c r="T694" s="38"/>
      <c r="U694" s="38"/>
      <c r="V694" s="37"/>
      <c r="W694" s="37"/>
      <c r="X694" s="37"/>
      <c r="Y694" s="37"/>
      <c r="Z694" s="37"/>
      <c r="AA694" s="37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</row>
    <row r="695" spans="1:52" ht="39.75" hidden="1" customHeight="1" x14ac:dyDescent="0.2">
      <c r="A695" s="45" t="str">
        <f t="shared" si="33"/>
        <v/>
      </c>
      <c r="B695" s="45"/>
      <c r="C695" s="45"/>
      <c r="D695" s="45"/>
      <c r="E695" s="50"/>
      <c r="F695" s="51"/>
      <c r="G695" s="52"/>
      <c r="H695" s="52"/>
      <c r="I695" s="52" t="str">
        <f t="shared" si="34"/>
        <v/>
      </c>
      <c r="J695" s="54"/>
      <c r="K695" s="55" t="str">
        <f t="shared" si="35"/>
        <v/>
      </c>
      <c r="L695" s="54"/>
      <c r="M695" s="54"/>
      <c r="N695" s="54"/>
      <c r="O695" s="54"/>
      <c r="P695" s="54"/>
      <c r="S695" s="38"/>
      <c r="T695" s="38"/>
      <c r="U695" s="38"/>
      <c r="V695" s="37"/>
      <c r="W695" s="37"/>
      <c r="X695" s="37"/>
      <c r="Y695" s="37"/>
      <c r="Z695" s="37"/>
      <c r="AA695" s="37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</row>
    <row r="696" spans="1:52" ht="39.75" hidden="1" customHeight="1" x14ac:dyDescent="0.2">
      <c r="A696" s="45" t="str">
        <f t="shared" si="33"/>
        <v/>
      </c>
      <c r="B696" s="45"/>
      <c r="C696" s="45"/>
      <c r="D696" s="45"/>
      <c r="E696" s="50"/>
      <c r="F696" s="51"/>
      <c r="G696" s="52"/>
      <c r="H696" s="52"/>
      <c r="I696" s="52" t="str">
        <f t="shared" si="34"/>
        <v/>
      </c>
      <c r="J696" s="54"/>
      <c r="K696" s="55" t="str">
        <f t="shared" si="35"/>
        <v/>
      </c>
      <c r="L696" s="54"/>
      <c r="M696" s="54"/>
      <c r="N696" s="54"/>
      <c r="O696" s="54"/>
      <c r="P696" s="54"/>
      <c r="S696" s="38"/>
      <c r="T696" s="38"/>
      <c r="U696" s="38"/>
      <c r="V696" s="37"/>
      <c r="W696" s="37"/>
      <c r="X696" s="37"/>
      <c r="Y696" s="37"/>
      <c r="Z696" s="37"/>
      <c r="AA696" s="37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</row>
    <row r="697" spans="1:52" ht="39.75" hidden="1" customHeight="1" x14ac:dyDescent="0.2">
      <c r="A697" s="45" t="str">
        <f t="shared" si="33"/>
        <v/>
      </c>
      <c r="B697" s="45"/>
      <c r="C697" s="45"/>
      <c r="D697" s="45"/>
      <c r="E697" s="50"/>
      <c r="F697" s="51"/>
      <c r="G697" s="52"/>
      <c r="H697" s="52"/>
      <c r="I697" s="52" t="str">
        <f t="shared" si="34"/>
        <v/>
      </c>
      <c r="J697" s="54"/>
      <c r="K697" s="55" t="str">
        <f t="shared" si="35"/>
        <v/>
      </c>
      <c r="L697" s="54"/>
      <c r="M697" s="54"/>
      <c r="N697" s="54"/>
      <c r="O697" s="54"/>
      <c r="P697" s="54"/>
      <c r="S697" s="38"/>
      <c r="T697" s="38"/>
      <c r="U697" s="38"/>
      <c r="V697" s="37"/>
      <c r="W697" s="37"/>
      <c r="X697" s="37"/>
      <c r="Y697" s="37"/>
      <c r="Z697" s="37"/>
      <c r="AA697" s="37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</row>
    <row r="698" spans="1:52" ht="39.75" hidden="1" customHeight="1" x14ac:dyDescent="0.2">
      <c r="A698" s="45" t="str">
        <f t="shared" si="33"/>
        <v/>
      </c>
      <c r="B698" s="45"/>
      <c r="C698" s="45"/>
      <c r="D698" s="45"/>
      <c r="E698" s="50"/>
      <c r="F698" s="51"/>
      <c r="G698" s="52"/>
      <c r="H698" s="52"/>
      <c r="I698" s="52" t="str">
        <f t="shared" si="34"/>
        <v/>
      </c>
      <c r="J698" s="54"/>
      <c r="K698" s="55" t="str">
        <f t="shared" si="35"/>
        <v/>
      </c>
      <c r="L698" s="54"/>
      <c r="M698" s="54"/>
      <c r="N698" s="54"/>
      <c r="O698" s="54"/>
      <c r="P698" s="54"/>
      <c r="S698" s="38"/>
      <c r="T698" s="38"/>
      <c r="U698" s="38"/>
      <c r="V698" s="37"/>
      <c r="W698" s="37"/>
      <c r="X698" s="37"/>
      <c r="Y698" s="37"/>
      <c r="Z698" s="37"/>
      <c r="AA698" s="37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</row>
    <row r="699" spans="1:52" ht="39.75" hidden="1" customHeight="1" x14ac:dyDescent="0.2">
      <c r="A699" s="45" t="str">
        <f t="shared" si="33"/>
        <v/>
      </c>
      <c r="B699" s="45"/>
      <c r="C699" s="45"/>
      <c r="D699" s="45"/>
      <c r="E699" s="50"/>
      <c r="F699" s="51"/>
      <c r="G699" s="52"/>
      <c r="H699" s="52"/>
      <c r="I699" s="52" t="str">
        <f t="shared" si="34"/>
        <v/>
      </c>
      <c r="J699" s="54"/>
      <c r="K699" s="55" t="str">
        <f t="shared" si="35"/>
        <v/>
      </c>
      <c r="L699" s="54"/>
      <c r="M699" s="54"/>
      <c r="N699" s="54"/>
      <c r="O699" s="54"/>
      <c r="P699" s="54"/>
      <c r="S699" s="38"/>
      <c r="T699" s="38"/>
      <c r="U699" s="38"/>
      <c r="V699" s="37"/>
      <c r="W699" s="37"/>
      <c r="X699" s="37"/>
      <c r="Y699" s="37"/>
      <c r="Z699" s="37"/>
      <c r="AA699" s="37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</row>
    <row r="700" spans="1:52" ht="39.75" hidden="1" customHeight="1" x14ac:dyDescent="0.2">
      <c r="A700" s="45" t="str">
        <f t="shared" si="33"/>
        <v/>
      </c>
      <c r="B700" s="45"/>
      <c r="C700" s="45"/>
      <c r="D700" s="45"/>
      <c r="E700" s="50"/>
      <c r="F700" s="51"/>
      <c r="G700" s="52"/>
      <c r="H700" s="52"/>
      <c r="I700" s="52" t="str">
        <f t="shared" si="34"/>
        <v/>
      </c>
      <c r="J700" s="54"/>
      <c r="K700" s="55" t="str">
        <f t="shared" si="35"/>
        <v/>
      </c>
      <c r="L700" s="54"/>
      <c r="M700" s="54"/>
      <c r="N700" s="54"/>
      <c r="O700" s="54"/>
      <c r="P700" s="54"/>
      <c r="S700" s="38"/>
      <c r="T700" s="38"/>
      <c r="U700" s="38"/>
      <c r="V700" s="37"/>
      <c r="W700" s="37"/>
      <c r="X700" s="37"/>
      <c r="Y700" s="37"/>
      <c r="Z700" s="37"/>
      <c r="AA700" s="37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</row>
    <row r="701" spans="1:52" ht="39.75" hidden="1" customHeight="1" x14ac:dyDescent="0.2">
      <c r="A701" s="45" t="str">
        <f t="shared" si="33"/>
        <v/>
      </c>
      <c r="B701" s="45"/>
      <c r="C701" s="45"/>
      <c r="D701" s="45"/>
      <c r="E701" s="50"/>
      <c r="F701" s="51"/>
      <c r="G701" s="52"/>
      <c r="H701" s="52"/>
      <c r="I701" s="52" t="str">
        <f t="shared" si="34"/>
        <v/>
      </c>
      <c r="J701" s="54"/>
      <c r="K701" s="55" t="str">
        <f t="shared" si="35"/>
        <v/>
      </c>
      <c r="L701" s="54"/>
      <c r="M701" s="54"/>
      <c r="N701" s="54"/>
      <c r="O701" s="54"/>
      <c r="P701" s="54"/>
      <c r="S701" s="38"/>
      <c r="T701" s="38"/>
      <c r="U701" s="38"/>
      <c r="V701" s="37"/>
      <c r="W701" s="37"/>
      <c r="X701" s="37"/>
      <c r="Y701" s="37"/>
      <c r="Z701" s="37"/>
      <c r="AA701" s="37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</row>
    <row r="702" spans="1:52" ht="39.75" hidden="1" customHeight="1" x14ac:dyDescent="0.2">
      <c r="A702" s="45" t="str">
        <f t="shared" si="33"/>
        <v/>
      </c>
      <c r="B702" s="45"/>
      <c r="C702" s="45"/>
      <c r="D702" s="45"/>
      <c r="E702" s="50"/>
      <c r="F702" s="51"/>
      <c r="G702" s="52"/>
      <c r="H702" s="52"/>
      <c r="I702" s="52" t="str">
        <f t="shared" si="34"/>
        <v/>
      </c>
      <c r="J702" s="54"/>
      <c r="K702" s="55" t="str">
        <f t="shared" si="35"/>
        <v/>
      </c>
      <c r="L702" s="54"/>
      <c r="M702" s="54"/>
      <c r="N702" s="54"/>
      <c r="O702" s="54"/>
      <c r="P702" s="54"/>
      <c r="S702" s="38"/>
      <c r="T702" s="38"/>
      <c r="U702" s="38"/>
      <c r="V702" s="37"/>
      <c r="W702" s="37"/>
      <c r="X702" s="37"/>
      <c r="Y702" s="37"/>
      <c r="Z702" s="37"/>
      <c r="AA702" s="37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</row>
    <row r="703" spans="1:52" ht="39.75" hidden="1" customHeight="1" x14ac:dyDescent="0.2">
      <c r="A703" s="45" t="str">
        <f t="shared" si="33"/>
        <v/>
      </c>
      <c r="B703" s="45"/>
      <c r="C703" s="45"/>
      <c r="D703" s="45"/>
      <c r="E703" s="50"/>
      <c r="F703" s="51"/>
      <c r="G703" s="52"/>
      <c r="H703" s="52"/>
      <c r="I703" s="52" t="str">
        <f t="shared" si="34"/>
        <v/>
      </c>
      <c r="J703" s="54"/>
      <c r="K703" s="55" t="str">
        <f t="shared" si="35"/>
        <v/>
      </c>
      <c r="L703" s="54"/>
      <c r="M703" s="54"/>
      <c r="N703" s="54"/>
      <c r="O703" s="54"/>
      <c r="P703" s="54"/>
      <c r="S703" s="38"/>
      <c r="T703" s="38"/>
      <c r="U703" s="38"/>
      <c r="V703" s="37"/>
      <c r="W703" s="37"/>
      <c r="X703" s="37"/>
      <c r="Y703" s="37"/>
      <c r="Z703" s="37"/>
      <c r="AA703" s="37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</row>
    <row r="704" spans="1:52" ht="39.75" hidden="1" customHeight="1" x14ac:dyDescent="0.2">
      <c r="A704" s="45" t="str">
        <f t="shared" si="33"/>
        <v/>
      </c>
      <c r="B704" s="45"/>
      <c r="C704" s="45"/>
      <c r="D704" s="45"/>
      <c r="E704" s="50"/>
      <c r="F704" s="51"/>
      <c r="G704" s="52"/>
      <c r="H704" s="52"/>
      <c r="I704" s="52" t="str">
        <f t="shared" si="34"/>
        <v/>
      </c>
      <c r="J704" s="54"/>
      <c r="K704" s="55" t="str">
        <f t="shared" si="35"/>
        <v/>
      </c>
      <c r="L704" s="54"/>
      <c r="M704" s="54"/>
      <c r="N704" s="54"/>
      <c r="O704" s="54"/>
      <c r="P704" s="54"/>
      <c r="S704" s="38"/>
      <c r="T704" s="38"/>
      <c r="U704" s="38"/>
      <c r="V704" s="37"/>
      <c r="W704" s="37"/>
      <c r="X704" s="37"/>
      <c r="Y704" s="37"/>
      <c r="Z704" s="37"/>
      <c r="AA704" s="37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</row>
    <row r="705" spans="1:52" ht="39.75" hidden="1" customHeight="1" x14ac:dyDescent="0.2">
      <c r="A705" s="45" t="str">
        <f t="shared" si="33"/>
        <v/>
      </c>
      <c r="B705" s="45"/>
      <c r="C705" s="45"/>
      <c r="D705" s="45"/>
      <c r="E705" s="50"/>
      <c r="F705" s="51"/>
      <c r="G705" s="52"/>
      <c r="H705" s="52"/>
      <c r="I705" s="52" t="str">
        <f t="shared" si="34"/>
        <v/>
      </c>
      <c r="J705" s="54"/>
      <c r="K705" s="55" t="str">
        <f t="shared" si="35"/>
        <v/>
      </c>
      <c r="L705" s="54"/>
      <c r="M705" s="54"/>
      <c r="N705" s="54"/>
      <c r="O705" s="54"/>
      <c r="P705" s="54"/>
      <c r="S705" s="38"/>
      <c r="T705" s="38"/>
      <c r="U705" s="38"/>
      <c r="V705" s="37"/>
      <c r="W705" s="37"/>
      <c r="X705" s="37"/>
      <c r="Y705" s="37"/>
      <c r="Z705" s="37"/>
      <c r="AA705" s="37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</row>
    <row r="706" spans="1:52" ht="39.75" hidden="1" customHeight="1" x14ac:dyDescent="0.2">
      <c r="A706" s="45" t="str">
        <f t="shared" si="33"/>
        <v/>
      </c>
      <c r="B706" s="45"/>
      <c r="C706" s="45"/>
      <c r="D706" s="45"/>
      <c r="E706" s="50"/>
      <c r="F706" s="51"/>
      <c r="G706" s="52"/>
      <c r="H706" s="52"/>
      <c r="I706" s="52" t="str">
        <f t="shared" si="34"/>
        <v/>
      </c>
      <c r="J706" s="54"/>
      <c r="K706" s="55" t="str">
        <f t="shared" si="35"/>
        <v/>
      </c>
      <c r="L706" s="54"/>
      <c r="M706" s="54"/>
      <c r="N706" s="54"/>
      <c r="O706" s="54"/>
      <c r="P706" s="54"/>
      <c r="S706" s="38"/>
      <c r="T706" s="38"/>
      <c r="U706" s="38"/>
      <c r="V706" s="37"/>
      <c r="W706" s="37"/>
      <c r="X706" s="37"/>
      <c r="Y706" s="37"/>
      <c r="Z706" s="37"/>
      <c r="AA706" s="37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</row>
    <row r="707" spans="1:52" ht="39.75" hidden="1" customHeight="1" x14ac:dyDescent="0.2">
      <c r="A707" s="45" t="str">
        <f t="shared" si="33"/>
        <v/>
      </c>
      <c r="B707" s="45"/>
      <c r="C707" s="45"/>
      <c r="D707" s="45"/>
      <c r="E707" s="50"/>
      <c r="F707" s="51"/>
      <c r="G707" s="52"/>
      <c r="H707" s="52"/>
      <c r="I707" s="52" t="str">
        <f t="shared" si="34"/>
        <v/>
      </c>
      <c r="J707" s="54"/>
      <c r="K707" s="55" t="str">
        <f t="shared" si="35"/>
        <v/>
      </c>
      <c r="L707" s="54"/>
      <c r="M707" s="54"/>
      <c r="N707" s="54"/>
      <c r="O707" s="54"/>
      <c r="P707" s="54"/>
      <c r="S707" s="38"/>
      <c r="T707" s="38"/>
      <c r="U707" s="38"/>
      <c r="V707" s="37"/>
      <c r="W707" s="37"/>
      <c r="X707" s="37"/>
      <c r="Y707" s="37"/>
      <c r="Z707" s="37"/>
      <c r="AA707" s="37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</row>
    <row r="708" spans="1:52" ht="39.75" hidden="1" customHeight="1" x14ac:dyDescent="0.2">
      <c r="A708" s="45" t="str">
        <f t="shared" si="33"/>
        <v/>
      </c>
      <c r="B708" s="45"/>
      <c r="C708" s="45"/>
      <c r="D708" s="45"/>
      <c r="E708" s="50"/>
      <c r="F708" s="51"/>
      <c r="G708" s="52"/>
      <c r="H708" s="52"/>
      <c r="I708" s="52" t="str">
        <f t="shared" si="34"/>
        <v/>
      </c>
      <c r="J708" s="54"/>
      <c r="K708" s="55" t="str">
        <f t="shared" si="35"/>
        <v/>
      </c>
      <c r="L708" s="54"/>
      <c r="M708" s="54"/>
      <c r="N708" s="54"/>
      <c r="O708" s="54"/>
      <c r="P708" s="54"/>
      <c r="S708" s="38"/>
      <c r="T708" s="38"/>
      <c r="U708" s="38"/>
      <c r="V708" s="37"/>
      <c r="W708" s="37"/>
      <c r="X708" s="37"/>
      <c r="Y708" s="37"/>
      <c r="Z708" s="37"/>
      <c r="AA708" s="37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</row>
    <row r="709" spans="1:52" ht="39.75" hidden="1" customHeight="1" x14ac:dyDescent="0.2">
      <c r="A709" s="45" t="str">
        <f t="shared" si="33"/>
        <v/>
      </c>
      <c r="B709" s="45"/>
      <c r="C709" s="45"/>
      <c r="D709" s="45"/>
      <c r="E709" s="50"/>
      <c r="F709" s="51"/>
      <c r="G709" s="52"/>
      <c r="H709" s="52"/>
      <c r="I709" s="52" t="str">
        <f t="shared" si="34"/>
        <v/>
      </c>
      <c r="J709" s="54"/>
      <c r="K709" s="55" t="str">
        <f t="shared" si="35"/>
        <v/>
      </c>
      <c r="L709" s="54"/>
      <c r="M709" s="54"/>
      <c r="N709" s="54"/>
      <c r="O709" s="54"/>
      <c r="P709" s="54"/>
      <c r="S709" s="38"/>
      <c r="T709" s="38"/>
      <c r="U709" s="38"/>
      <c r="V709" s="37"/>
      <c r="W709" s="37"/>
      <c r="X709" s="37"/>
      <c r="Y709" s="37"/>
      <c r="Z709" s="37"/>
      <c r="AA709" s="37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</row>
    <row r="710" spans="1:52" ht="39.75" hidden="1" customHeight="1" x14ac:dyDescent="0.2">
      <c r="A710" s="45" t="str">
        <f t="shared" ref="A710:A773" si="36">IF(F710="","",ROW()-5)</f>
        <v/>
      </c>
      <c r="B710" s="45"/>
      <c r="C710" s="45"/>
      <c r="D710" s="45"/>
      <c r="E710" s="50"/>
      <c r="F710" s="51"/>
      <c r="G710" s="52"/>
      <c r="H710" s="52"/>
      <c r="I710" s="52" t="str">
        <f t="shared" ref="I710:I773" si="37">IF(AND(LEN(F710)=18, ISBLANK(G710)=FALSE(), ISBLANK(H710)=FALSE()),37,"")</f>
        <v/>
      </c>
      <c r="J710" s="54"/>
      <c r="K710" s="55" t="str">
        <f t="shared" ref="K710:K773" si="38">IF(OR(J710="",Q710=0),"",IF(COUNTA(L710:P710)&gt;Q710,"Seluruh pilihan telah dipilih, anda memilih lebih dari kemungkinan pilihan yang tersedia, periksa pilihan anda "&amp;"("&amp;COUNTA(L710:P710)&amp;"/"&amp;Q710&amp;")",IF(COUNTA(L710:P710)=Q710,IF(SUMPRODUCT(COUNTIF(L710:P710,L710:P710)*(L710:P710&lt;&gt;""))&gt;COUNTA(L710:P710),"Terdapat pilihan yang sama, segera ubah "&amp;"("&amp;COUNTA(L710:P710)&amp;"/"&amp;Q710&amp;")","Seluruh pilihan telah dipilih "&amp;"("&amp;COUNTA(L710:P710)&amp;"/"&amp;Q710&amp;")"),IF(COUNTA(L710:P710)&gt;0,"Masih terdapat pilihan yang bisa dipilih, silahkan melengkapi pilihan "&amp;"("&amp;COUNTA(L710:P710)&amp;"/"&amp;Q710&amp;")",""))))</f>
        <v/>
      </c>
      <c r="L710" s="54"/>
      <c r="M710" s="54"/>
      <c r="N710" s="54"/>
      <c r="O710" s="54"/>
      <c r="P710" s="54"/>
      <c r="S710" s="38"/>
      <c r="T710" s="38"/>
      <c r="U710" s="38"/>
      <c r="V710" s="37"/>
      <c r="W710" s="37"/>
      <c r="X710" s="37"/>
      <c r="Y710" s="37"/>
      <c r="Z710" s="37"/>
      <c r="AA710" s="37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</row>
    <row r="711" spans="1:52" ht="39.75" hidden="1" customHeight="1" x14ac:dyDescent="0.2">
      <c r="A711" s="45" t="str">
        <f t="shared" si="36"/>
        <v/>
      </c>
      <c r="B711" s="45"/>
      <c r="C711" s="45"/>
      <c r="D711" s="45"/>
      <c r="E711" s="50"/>
      <c r="F711" s="51"/>
      <c r="G711" s="52"/>
      <c r="H711" s="52"/>
      <c r="I711" s="52" t="str">
        <f t="shared" si="37"/>
        <v/>
      </c>
      <c r="J711" s="54"/>
      <c r="K711" s="55" t="str">
        <f t="shared" si="38"/>
        <v/>
      </c>
      <c r="L711" s="54"/>
      <c r="M711" s="54"/>
      <c r="N711" s="54"/>
      <c r="O711" s="54"/>
      <c r="P711" s="54"/>
      <c r="S711" s="38"/>
      <c r="T711" s="38"/>
      <c r="U711" s="38"/>
      <c r="V711" s="37"/>
      <c r="W711" s="37"/>
      <c r="X711" s="37"/>
      <c r="Y711" s="37"/>
      <c r="Z711" s="37"/>
      <c r="AA711" s="37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</row>
    <row r="712" spans="1:52" ht="39.75" hidden="1" customHeight="1" x14ac:dyDescent="0.2">
      <c r="A712" s="45" t="str">
        <f t="shared" si="36"/>
        <v/>
      </c>
      <c r="B712" s="45"/>
      <c r="C712" s="45"/>
      <c r="D712" s="45"/>
      <c r="E712" s="50"/>
      <c r="F712" s="51"/>
      <c r="G712" s="52"/>
      <c r="H712" s="52"/>
      <c r="I712" s="52" t="str">
        <f t="shared" si="37"/>
        <v/>
      </c>
      <c r="J712" s="54"/>
      <c r="K712" s="55" t="str">
        <f t="shared" si="38"/>
        <v/>
      </c>
      <c r="L712" s="54"/>
      <c r="M712" s="54"/>
      <c r="N712" s="54"/>
      <c r="O712" s="54"/>
      <c r="P712" s="54"/>
      <c r="S712" s="38"/>
      <c r="T712" s="38"/>
      <c r="U712" s="38"/>
      <c r="V712" s="37"/>
      <c r="W712" s="37"/>
      <c r="X712" s="37"/>
      <c r="Y712" s="37"/>
      <c r="Z712" s="37"/>
      <c r="AA712" s="37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</row>
    <row r="713" spans="1:52" ht="39.75" hidden="1" customHeight="1" x14ac:dyDescent="0.2">
      <c r="A713" s="45" t="str">
        <f t="shared" si="36"/>
        <v/>
      </c>
      <c r="B713" s="45"/>
      <c r="C713" s="45"/>
      <c r="D713" s="45"/>
      <c r="E713" s="50"/>
      <c r="F713" s="51"/>
      <c r="G713" s="52"/>
      <c r="H713" s="52"/>
      <c r="I713" s="52" t="str">
        <f t="shared" si="37"/>
        <v/>
      </c>
      <c r="J713" s="54"/>
      <c r="K713" s="55" t="str">
        <f t="shared" si="38"/>
        <v/>
      </c>
      <c r="L713" s="54"/>
      <c r="M713" s="54"/>
      <c r="N713" s="54"/>
      <c r="O713" s="54"/>
      <c r="P713" s="54"/>
      <c r="S713" s="38"/>
      <c r="T713" s="38"/>
      <c r="U713" s="38"/>
      <c r="V713" s="37"/>
      <c r="W713" s="37"/>
      <c r="X713" s="37"/>
      <c r="Y713" s="37"/>
      <c r="Z713" s="37"/>
      <c r="AA713" s="37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</row>
    <row r="714" spans="1:52" ht="39.75" hidden="1" customHeight="1" x14ac:dyDescent="0.2">
      <c r="A714" s="45" t="str">
        <f t="shared" si="36"/>
        <v/>
      </c>
      <c r="B714" s="45"/>
      <c r="C714" s="45"/>
      <c r="D714" s="45"/>
      <c r="E714" s="50"/>
      <c r="F714" s="51"/>
      <c r="G714" s="52"/>
      <c r="H714" s="52"/>
      <c r="I714" s="52" t="str">
        <f t="shared" si="37"/>
        <v/>
      </c>
      <c r="J714" s="54"/>
      <c r="K714" s="55" t="str">
        <f t="shared" si="38"/>
        <v/>
      </c>
      <c r="L714" s="54"/>
      <c r="M714" s="54"/>
      <c r="N714" s="54"/>
      <c r="O714" s="54"/>
      <c r="P714" s="54"/>
      <c r="S714" s="38"/>
      <c r="T714" s="38"/>
      <c r="U714" s="38"/>
      <c r="V714" s="37"/>
      <c r="W714" s="37"/>
      <c r="X714" s="37"/>
      <c r="Y714" s="37"/>
      <c r="Z714" s="37"/>
      <c r="AA714" s="37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</row>
    <row r="715" spans="1:52" ht="39.75" hidden="1" customHeight="1" x14ac:dyDescent="0.2">
      <c r="A715" s="45" t="str">
        <f t="shared" si="36"/>
        <v/>
      </c>
      <c r="B715" s="45"/>
      <c r="C715" s="45"/>
      <c r="D715" s="45"/>
      <c r="E715" s="50"/>
      <c r="F715" s="51"/>
      <c r="G715" s="52"/>
      <c r="H715" s="52"/>
      <c r="I715" s="52" t="str">
        <f t="shared" si="37"/>
        <v/>
      </c>
      <c r="J715" s="54"/>
      <c r="K715" s="55" t="str">
        <f t="shared" si="38"/>
        <v/>
      </c>
      <c r="L715" s="54"/>
      <c r="M715" s="54"/>
      <c r="N715" s="54"/>
      <c r="O715" s="54"/>
      <c r="P715" s="54"/>
      <c r="S715" s="38"/>
      <c r="T715" s="38"/>
      <c r="U715" s="38"/>
      <c r="V715" s="37"/>
      <c r="W715" s="37"/>
      <c r="X715" s="37"/>
      <c r="Y715" s="37"/>
      <c r="Z715" s="37"/>
      <c r="AA715" s="37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</row>
    <row r="716" spans="1:52" ht="39.75" hidden="1" customHeight="1" x14ac:dyDescent="0.2">
      <c r="A716" s="45" t="str">
        <f t="shared" si="36"/>
        <v/>
      </c>
      <c r="B716" s="45"/>
      <c r="C716" s="45"/>
      <c r="D716" s="45"/>
      <c r="E716" s="50"/>
      <c r="F716" s="51"/>
      <c r="G716" s="52"/>
      <c r="H716" s="52"/>
      <c r="I716" s="52" t="str">
        <f t="shared" si="37"/>
        <v/>
      </c>
      <c r="J716" s="54"/>
      <c r="K716" s="55" t="str">
        <f t="shared" si="38"/>
        <v/>
      </c>
      <c r="L716" s="54"/>
      <c r="M716" s="54"/>
      <c r="N716" s="54"/>
      <c r="O716" s="54"/>
      <c r="P716" s="54"/>
      <c r="S716" s="38"/>
      <c r="T716" s="38"/>
      <c r="U716" s="38"/>
      <c r="V716" s="37"/>
      <c r="W716" s="37"/>
      <c r="X716" s="37"/>
      <c r="Y716" s="37"/>
      <c r="Z716" s="37"/>
      <c r="AA716" s="37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</row>
    <row r="717" spans="1:52" ht="39.75" hidden="1" customHeight="1" x14ac:dyDescent="0.2">
      <c r="A717" s="45" t="str">
        <f t="shared" si="36"/>
        <v/>
      </c>
      <c r="B717" s="45"/>
      <c r="C717" s="45"/>
      <c r="D717" s="45"/>
      <c r="E717" s="50"/>
      <c r="F717" s="51"/>
      <c r="G717" s="52"/>
      <c r="H717" s="52"/>
      <c r="I717" s="52" t="str">
        <f t="shared" si="37"/>
        <v/>
      </c>
      <c r="J717" s="54"/>
      <c r="K717" s="55" t="str">
        <f t="shared" si="38"/>
        <v/>
      </c>
      <c r="L717" s="54"/>
      <c r="M717" s="54"/>
      <c r="N717" s="54"/>
      <c r="O717" s="54"/>
      <c r="P717" s="54"/>
      <c r="S717" s="38"/>
      <c r="T717" s="38"/>
      <c r="U717" s="38"/>
      <c r="V717" s="37"/>
      <c r="W717" s="37"/>
      <c r="X717" s="37"/>
      <c r="Y717" s="37"/>
      <c r="Z717" s="37"/>
      <c r="AA717" s="37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</row>
    <row r="718" spans="1:52" ht="39.75" hidden="1" customHeight="1" x14ac:dyDescent="0.2">
      <c r="A718" s="45" t="str">
        <f t="shared" si="36"/>
        <v/>
      </c>
      <c r="B718" s="45"/>
      <c r="C718" s="45"/>
      <c r="D718" s="45"/>
      <c r="E718" s="50"/>
      <c r="F718" s="51"/>
      <c r="G718" s="52"/>
      <c r="H718" s="52"/>
      <c r="I718" s="52" t="str">
        <f t="shared" si="37"/>
        <v/>
      </c>
      <c r="J718" s="54"/>
      <c r="K718" s="55" t="str">
        <f t="shared" si="38"/>
        <v/>
      </c>
      <c r="L718" s="54"/>
      <c r="M718" s="54"/>
      <c r="N718" s="54"/>
      <c r="O718" s="54"/>
      <c r="P718" s="54"/>
      <c r="S718" s="38"/>
      <c r="T718" s="38"/>
      <c r="U718" s="38"/>
      <c r="V718" s="37"/>
      <c r="W718" s="37"/>
      <c r="X718" s="37"/>
      <c r="Y718" s="37"/>
      <c r="Z718" s="37"/>
      <c r="AA718" s="37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</row>
    <row r="719" spans="1:52" ht="39.75" hidden="1" customHeight="1" x14ac:dyDescent="0.2">
      <c r="A719" s="45" t="str">
        <f t="shared" si="36"/>
        <v/>
      </c>
      <c r="B719" s="45"/>
      <c r="C719" s="45"/>
      <c r="D719" s="45"/>
      <c r="E719" s="50"/>
      <c r="F719" s="51"/>
      <c r="G719" s="52"/>
      <c r="H719" s="52"/>
      <c r="I719" s="52" t="str">
        <f t="shared" si="37"/>
        <v/>
      </c>
      <c r="J719" s="54"/>
      <c r="K719" s="55" t="str">
        <f t="shared" si="38"/>
        <v/>
      </c>
      <c r="L719" s="54"/>
      <c r="M719" s="54"/>
      <c r="N719" s="54"/>
      <c r="O719" s="54"/>
      <c r="P719" s="54"/>
      <c r="S719" s="38"/>
      <c r="T719" s="38"/>
      <c r="U719" s="38"/>
      <c r="V719" s="37"/>
      <c r="W719" s="37"/>
      <c r="X719" s="37"/>
      <c r="Y719" s="37"/>
      <c r="Z719" s="37"/>
      <c r="AA719" s="37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</row>
    <row r="720" spans="1:52" ht="39.75" hidden="1" customHeight="1" x14ac:dyDescent="0.2">
      <c r="A720" s="45" t="str">
        <f t="shared" si="36"/>
        <v/>
      </c>
      <c r="B720" s="45"/>
      <c r="C720" s="45"/>
      <c r="D720" s="45"/>
      <c r="E720" s="50"/>
      <c r="F720" s="51"/>
      <c r="G720" s="52"/>
      <c r="H720" s="52"/>
      <c r="I720" s="52" t="str">
        <f t="shared" si="37"/>
        <v/>
      </c>
      <c r="J720" s="54"/>
      <c r="K720" s="55" t="str">
        <f t="shared" si="38"/>
        <v/>
      </c>
      <c r="L720" s="54"/>
      <c r="M720" s="54"/>
      <c r="N720" s="54"/>
      <c r="O720" s="54"/>
      <c r="P720" s="54"/>
      <c r="S720" s="38"/>
      <c r="T720" s="38"/>
      <c r="U720" s="38"/>
      <c r="V720" s="37"/>
      <c r="W720" s="37"/>
      <c r="X720" s="37"/>
      <c r="Y720" s="37"/>
      <c r="Z720" s="37"/>
      <c r="AA720" s="37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</row>
    <row r="721" spans="1:52" ht="39.75" hidden="1" customHeight="1" x14ac:dyDescent="0.2">
      <c r="A721" s="45" t="str">
        <f t="shared" si="36"/>
        <v/>
      </c>
      <c r="B721" s="45"/>
      <c r="C721" s="45"/>
      <c r="D721" s="45"/>
      <c r="E721" s="50"/>
      <c r="F721" s="51"/>
      <c r="G721" s="52"/>
      <c r="H721" s="52"/>
      <c r="I721" s="52" t="str">
        <f t="shared" si="37"/>
        <v/>
      </c>
      <c r="J721" s="54"/>
      <c r="K721" s="55" t="str">
        <f t="shared" si="38"/>
        <v/>
      </c>
      <c r="L721" s="54"/>
      <c r="M721" s="54"/>
      <c r="N721" s="54"/>
      <c r="O721" s="54"/>
      <c r="P721" s="54"/>
      <c r="S721" s="38"/>
      <c r="T721" s="38"/>
      <c r="U721" s="38"/>
      <c r="V721" s="37"/>
      <c r="W721" s="37"/>
      <c r="X721" s="37"/>
      <c r="Y721" s="37"/>
      <c r="Z721" s="37"/>
      <c r="AA721" s="37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</row>
    <row r="722" spans="1:52" ht="39.75" hidden="1" customHeight="1" x14ac:dyDescent="0.2">
      <c r="A722" s="45" t="str">
        <f t="shared" si="36"/>
        <v/>
      </c>
      <c r="B722" s="45"/>
      <c r="C722" s="45"/>
      <c r="D722" s="45"/>
      <c r="E722" s="50"/>
      <c r="F722" s="51"/>
      <c r="G722" s="52"/>
      <c r="H722" s="52"/>
      <c r="I722" s="52" t="str">
        <f t="shared" si="37"/>
        <v/>
      </c>
      <c r="J722" s="54"/>
      <c r="K722" s="55" t="str">
        <f t="shared" si="38"/>
        <v/>
      </c>
      <c r="L722" s="54"/>
      <c r="M722" s="54"/>
      <c r="N722" s="54"/>
      <c r="O722" s="54"/>
      <c r="P722" s="54"/>
      <c r="S722" s="38"/>
      <c r="T722" s="38"/>
      <c r="U722" s="38"/>
      <c r="V722" s="37"/>
      <c r="W722" s="37"/>
      <c r="X722" s="37"/>
      <c r="Y722" s="37"/>
      <c r="Z722" s="37"/>
      <c r="AA722" s="37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</row>
    <row r="723" spans="1:52" ht="39.75" hidden="1" customHeight="1" x14ac:dyDescent="0.2">
      <c r="A723" s="45" t="str">
        <f t="shared" si="36"/>
        <v/>
      </c>
      <c r="B723" s="45"/>
      <c r="C723" s="45"/>
      <c r="D723" s="45"/>
      <c r="E723" s="50"/>
      <c r="F723" s="51"/>
      <c r="G723" s="52"/>
      <c r="H723" s="52"/>
      <c r="I723" s="52" t="str">
        <f t="shared" si="37"/>
        <v/>
      </c>
      <c r="J723" s="54"/>
      <c r="K723" s="55" t="str">
        <f t="shared" si="38"/>
        <v/>
      </c>
      <c r="L723" s="54"/>
      <c r="M723" s="54"/>
      <c r="N723" s="54"/>
      <c r="O723" s="54"/>
      <c r="P723" s="54"/>
      <c r="S723" s="38"/>
      <c r="T723" s="38"/>
      <c r="U723" s="38"/>
      <c r="V723" s="37"/>
      <c r="W723" s="37"/>
      <c r="X723" s="37"/>
      <c r="Y723" s="37"/>
      <c r="Z723" s="37"/>
      <c r="AA723" s="37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</row>
    <row r="724" spans="1:52" ht="39.75" hidden="1" customHeight="1" x14ac:dyDescent="0.2">
      <c r="A724" s="45" t="str">
        <f t="shared" si="36"/>
        <v/>
      </c>
      <c r="B724" s="45"/>
      <c r="C724" s="45"/>
      <c r="D724" s="45"/>
      <c r="E724" s="50"/>
      <c r="F724" s="51"/>
      <c r="G724" s="52"/>
      <c r="H724" s="52"/>
      <c r="I724" s="52" t="str">
        <f t="shared" si="37"/>
        <v/>
      </c>
      <c r="J724" s="54"/>
      <c r="K724" s="55" t="str">
        <f t="shared" si="38"/>
        <v/>
      </c>
      <c r="L724" s="54"/>
      <c r="M724" s="54"/>
      <c r="N724" s="54"/>
      <c r="O724" s="54"/>
      <c r="P724" s="54"/>
      <c r="S724" s="38"/>
      <c r="T724" s="38"/>
      <c r="U724" s="38"/>
      <c r="V724" s="37"/>
      <c r="W724" s="37"/>
      <c r="X724" s="37"/>
      <c r="Y724" s="37"/>
      <c r="Z724" s="37"/>
      <c r="AA724" s="37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</row>
    <row r="725" spans="1:52" ht="39.75" hidden="1" customHeight="1" x14ac:dyDescent="0.2">
      <c r="A725" s="45" t="str">
        <f t="shared" si="36"/>
        <v/>
      </c>
      <c r="B725" s="45"/>
      <c r="C725" s="45"/>
      <c r="D725" s="45"/>
      <c r="E725" s="50"/>
      <c r="F725" s="51"/>
      <c r="G725" s="52"/>
      <c r="H725" s="52"/>
      <c r="I725" s="52" t="str">
        <f t="shared" si="37"/>
        <v/>
      </c>
      <c r="J725" s="54"/>
      <c r="K725" s="55" t="str">
        <f t="shared" si="38"/>
        <v/>
      </c>
      <c r="L725" s="54"/>
      <c r="M725" s="54"/>
      <c r="N725" s="54"/>
      <c r="O725" s="54"/>
      <c r="P725" s="54"/>
      <c r="S725" s="38"/>
      <c r="T725" s="38"/>
      <c r="U725" s="38"/>
      <c r="V725" s="37"/>
      <c r="W725" s="37"/>
      <c r="X725" s="37"/>
      <c r="Y725" s="37"/>
      <c r="Z725" s="37"/>
      <c r="AA725" s="37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</row>
    <row r="726" spans="1:52" ht="39.75" hidden="1" customHeight="1" x14ac:dyDescent="0.2">
      <c r="A726" s="45" t="str">
        <f t="shared" si="36"/>
        <v/>
      </c>
      <c r="B726" s="45"/>
      <c r="C726" s="45"/>
      <c r="D726" s="45"/>
      <c r="E726" s="50"/>
      <c r="F726" s="51"/>
      <c r="G726" s="52"/>
      <c r="H726" s="52"/>
      <c r="I726" s="52" t="str">
        <f t="shared" si="37"/>
        <v/>
      </c>
      <c r="J726" s="54"/>
      <c r="K726" s="55" t="str">
        <f t="shared" si="38"/>
        <v/>
      </c>
      <c r="L726" s="54"/>
      <c r="M726" s="54"/>
      <c r="N726" s="54"/>
      <c r="O726" s="54"/>
      <c r="P726" s="54"/>
      <c r="S726" s="38"/>
      <c r="T726" s="38"/>
      <c r="U726" s="38"/>
      <c r="V726" s="37"/>
      <c r="W726" s="37"/>
      <c r="X726" s="37"/>
      <c r="Y726" s="37"/>
      <c r="Z726" s="37"/>
      <c r="AA726" s="37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</row>
    <row r="727" spans="1:52" ht="39.75" hidden="1" customHeight="1" x14ac:dyDescent="0.2">
      <c r="A727" s="45" t="str">
        <f t="shared" si="36"/>
        <v/>
      </c>
      <c r="B727" s="45"/>
      <c r="C727" s="45"/>
      <c r="D727" s="45"/>
      <c r="E727" s="50"/>
      <c r="F727" s="51"/>
      <c r="G727" s="52"/>
      <c r="H727" s="52"/>
      <c r="I727" s="52" t="str">
        <f t="shared" si="37"/>
        <v/>
      </c>
      <c r="J727" s="54"/>
      <c r="K727" s="55" t="str">
        <f t="shared" si="38"/>
        <v/>
      </c>
      <c r="L727" s="54"/>
      <c r="M727" s="54"/>
      <c r="N727" s="54"/>
      <c r="O727" s="54"/>
      <c r="P727" s="54"/>
      <c r="S727" s="38"/>
      <c r="T727" s="38"/>
      <c r="U727" s="38"/>
      <c r="V727" s="37"/>
      <c r="W727" s="37"/>
      <c r="X727" s="37"/>
      <c r="Y727" s="37"/>
      <c r="Z727" s="37"/>
      <c r="AA727" s="37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</row>
    <row r="728" spans="1:52" ht="39.75" hidden="1" customHeight="1" x14ac:dyDescent="0.2">
      <c r="A728" s="45" t="str">
        <f t="shared" si="36"/>
        <v/>
      </c>
      <c r="B728" s="45"/>
      <c r="C728" s="45"/>
      <c r="D728" s="45"/>
      <c r="E728" s="50"/>
      <c r="F728" s="51"/>
      <c r="G728" s="52"/>
      <c r="H728" s="52"/>
      <c r="I728" s="52" t="str">
        <f t="shared" si="37"/>
        <v/>
      </c>
      <c r="J728" s="54"/>
      <c r="K728" s="55" t="str">
        <f t="shared" si="38"/>
        <v/>
      </c>
      <c r="L728" s="54"/>
      <c r="M728" s="54"/>
      <c r="N728" s="54"/>
      <c r="O728" s="54"/>
      <c r="P728" s="54"/>
      <c r="S728" s="38"/>
      <c r="T728" s="38"/>
      <c r="U728" s="38"/>
      <c r="V728" s="37"/>
      <c r="W728" s="37"/>
      <c r="X728" s="37"/>
      <c r="Y728" s="37"/>
      <c r="Z728" s="37"/>
      <c r="AA728" s="37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</row>
    <row r="729" spans="1:52" ht="39.75" hidden="1" customHeight="1" x14ac:dyDescent="0.2">
      <c r="A729" s="45" t="str">
        <f t="shared" si="36"/>
        <v/>
      </c>
      <c r="B729" s="45"/>
      <c r="C729" s="45"/>
      <c r="D729" s="45"/>
      <c r="E729" s="50"/>
      <c r="F729" s="51"/>
      <c r="G729" s="52"/>
      <c r="H729" s="52"/>
      <c r="I729" s="52" t="str">
        <f t="shared" si="37"/>
        <v/>
      </c>
      <c r="J729" s="54"/>
      <c r="K729" s="55" t="str">
        <f t="shared" si="38"/>
        <v/>
      </c>
      <c r="L729" s="54"/>
      <c r="M729" s="54"/>
      <c r="N729" s="54"/>
      <c r="O729" s="54"/>
      <c r="P729" s="54"/>
      <c r="S729" s="38"/>
      <c r="T729" s="38"/>
      <c r="U729" s="38"/>
      <c r="V729" s="37"/>
      <c r="W729" s="37"/>
      <c r="X729" s="37"/>
      <c r="Y729" s="37"/>
      <c r="Z729" s="37"/>
      <c r="AA729" s="37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</row>
    <row r="730" spans="1:52" ht="39.75" hidden="1" customHeight="1" x14ac:dyDescent="0.2">
      <c r="A730" s="45" t="str">
        <f t="shared" si="36"/>
        <v/>
      </c>
      <c r="B730" s="45"/>
      <c r="C730" s="45"/>
      <c r="D730" s="45"/>
      <c r="E730" s="50"/>
      <c r="F730" s="51"/>
      <c r="G730" s="52"/>
      <c r="H730" s="52"/>
      <c r="I730" s="52" t="str">
        <f t="shared" si="37"/>
        <v/>
      </c>
      <c r="J730" s="54"/>
      <c r="K730" s="55" t="str">
        <f t="shared" si="38"/>
        <v/>
      </c>
      <c r="L730" s="54"/>
      <c r="M730" s="54"/>
      <c r="N730" s="54"/>
      <c r="O730" s="54"/>
      <c r="P730" s="54"/>
      <c r="S730" s="38"/>
      <c r="T730" s="38"/>
      <c r="U730" s="38"/>
      <c r="V730" s="37"/>
      <c r="W730" s="37"/>
      <c r="X730" s="37"/>
      <c r="Y730" s="37"/>
      <c r="Z730" s="37"/>
      <c r="AA730" s="37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</row>
    <row r="731" spans="1:52" ht="39.75" hidden="1" customHeight="1" x14ac:dyDescent="0.2">
      <c r="A731" s="45" t="str">
        <f t="shared" si="36"/>
        <v/>
      </c>
      <c r="B731" s="45"/>
      <c r="C731" s="45"/>
      <c r="D731" s="45"/>
      <c r="E731" s="50"/>
      <c r="F731" s="51"/>
      <c r="G731" s="52"/>
      <c r="H731" s="52"/>
      <c r="I731" s="52" t="str">
        <f t="shared" si="37"/>
        <v/>
      </c>
      <c r="J731" s="54"/>
      <c r="K731" s="55" t="str">
        <f t="shared" si="38"/>
        <v/>
      </c>
      <c r="L731" s="54"/>
      <c r="M731" s="54"/>
      <c r="N731" s="54"/>
      <c r="O731" s="54"/>
      <c r="P731" s="54"/>
      <c r="S731" s="38"/>
      <c r="T731" s="38"/>
      <c r="U731" s="38"/>
      <c r="V731" s="37"/>
      <c r="W731" s="37"/>
      <c r="X731" s="37"/>
      <c r="Y731" s="37"/>
      <c r="Z731" s="37"/>
      <c r="AA731" s="37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</row>
    <row r="732" spans="1:52" ht="39.75" hidden="1" customHeight="1" x14ac:dyDescent="0.2">
      <c r="A732" s="45" t="str">
        <f t="shared" si="36"/>
        <v/>
      </c>
      <c r="B732" s="45"/>
      <c r="C732" s="45"/>
      <c r="D732" s="45"/>
      <c r="E732" s="50"/>
      <c r="F732" s="51"/>
      <c r="G732" s="52"/>
      <c r="H732" s="52"/>
      <c r="I732" s="52" t="str">
        <f t="shared" si="37"/>
        <v/>
      </c>
      <c r="J732" s="54"/>
      <c r="K732" s="55" t="str">
        <f t="shared" si="38"/>
        <v/>
      </c>
      <c r="L732" s="54"/>
      <c r="M732" s="54"/>
      <c r="N732" s="54"/>
      <c r="O732" s="54"/>
      <c r="P732" s="54"/>
      <c r="S732" s="38"/>
      <c r="T732" s="38"/>
      <c r="U732" s="38"/>
      <c r="V732" s="37"/>
      <c r="W732" s="37"/>
      <c r="X732" s="37"/>
      <c r="Y732" s="37"/>
      <c r="Z732" s="37"/>
      <c r="AA732" s="37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</row>
    <row r="733" spans="1:52" ht="39.75" hidden="1" customHeight="1" x14ac:dyDescent="0.2">
      <c r="A733" s="45" t="str">
        <f t="shared" si="36"/>
        <v/>
      </c>
      <c r="B733" s="45"/>
      <c r="C733" s="45"/>
      <c r="D733" s="45"/>
      <c r="E733" s="50"/>
      <c r="F733" s="51"/>
      <c r="G733" s="52"/>
      <c r="H733" s="52"/>
      <c r="I733" s="52" t="str">
        <f t="shared" si="37"/>
        <v/>
      </c>
      <c r="J733" s="54"/>
      <c r="K733" s="55" t="str">
        <f t="shared" si="38"/>
        <v/>
      </c>
      <c r="L733" s="54"/>
      <c r="M733" s="54"/>
      <c r="N733" s="54"/>
      <c r="O733" s="54"/>
      <c r="P733" s="54"/>
      <c r="S733" s="38"/>
      <c r="T733" s="38"/>
      <c r="U733" s="38"/>
      <c r="V733" s="37"/>
      <c r="W733" s="37"/>
      <c r="X733" s="37"/>
      <c r="Y733" s="37"/>
      <c r="Z733" s="37"/>
      <c r="AA733" s="37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</row>
    <row r="734" spans="1:52" ht="39.75" hidden="1" customHeight="1" x14ac:dyDescent="0.2">
      <c r="A734" s="45" t="str">
        <f t="shared" si="36"/>
        <v/>
      </c>
      <c r="B734" s="45"/>
      <c r="C734" s="45"/>
      <c r="D734" s="45"/>
      <c r="E734" s="50"/>
      <c r="F734" s="51"/>
      <c r="G734" s="52"/>
      <c r="H734" s="52"/>
      <c r="I734" s="52" t="str">
        <f t="shared" si="37"/>
        <v/>
      </c>
      <c r="J734" s="54"/>
      <c r="K734" s="55" t="str">
        <f t="shared" si="38"/>
        <v/>
      </c>
      <c r="L734" s="54"/>
      <c r="M734" s="54"/>
      <c r="N734" s="54"/>
      <c r="O734" s="54"/>
      <c r="P734" s="54"/>
      <c r="S734" s="38"/>
      <c r="T734" s="38"/>
      <c r="U734" s="38"/>
      <c r="V734" s="37"/>
      <c r="W734" s="37"/>
      <c r="X734" s="37"/>
      <c r="Y734" s="37"/>
      <c r="Z734" s="37"/>
      <c r="AA734" s="37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</row>
    <row r="735" spans="1:52" ht="39.75" hidden="1" customHeight="1" x14ac:dyDescent="0.2">
      <c r="A735" s="45" t="str">
        <f t="shared" si="36"/>
        <v/>
      </c>
      <c r="B735" s="45"/>
      <c r="C735" s="45"/>
      <c r="D735" s="45"/>
      <c r="E735" s="50"/>
      <c r="F735" s="51"/>
      <c r="G735" s="52"/>
      <c r="H735" s="52"/>
      <c r="I735" s="52" t="str">
        <f t="shared" si="37"/>
        <v/>
      </c>
      <c r="J735" s="54"/>
      <c r="K735" s="55" t="str">
        <f t="shared" si="38"/>
        <v/>
      </c>
      <c r="L735" s="54"/>
      <c r="M735" s="54"/>
      <c r="N735" s="54"/>
      <c r="O735" s="54"/>
      <c r="P735" s="54"/>
      <c r="S735" s="38"/>
      <c r="T735" s="38"/>
      <c r="U735" s="38"/>
      <c r="V735" s="37"/>
      <c r="W735" s="37"/>
      <c r="X735" s="37"/>
      <c r="Y735" s="37"/>
      <c r="Z735" s="37"/>
      <c r="AA735" s="37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</row>
    <row r="736" spans="1:52" ht="39.75" hidden="1" customHeight="1" x14ac:dyDescent="0.2">
      <c r="A736" s="45" t="str">
        <f t="shared" si="36"/>
        <v/>
      </c>
      <c r="B736" s="45"/>
      <c r="C736" s="45"/>
      <c r="D736" s="45"/>
      <c r="E736" s="50"/>
      <c r="F736" s="51"/>
      <c r="G736" s="52"/>
      <c r="H736" s="52"/>
      <c r="I736" s="52" t="str">
        <f t="shared" si="37"/>
        <v/>
      </c>
      <c r="J736" s="54"/>
      <c r="K736" s="55" t="str">
        <f t="shared" si="38"/>
        <v/>
      </c>
      <c r="L736" s="54"/>
      <c r="M736" s="54"/>
      <c r="N736" s="54"/>
      <c r="O736" s="54"/>
      <c r="P736" s="54"/>
      <c r="S736" s="38"/>
      <c r="T736" s="38"/>
      <c r="U736" s="38"/>
      <c r="V736" s="37"/>
      <c r="W736" s="37"/>
      <c r="X736" s="37"/>
      <c r="Y736" s="37"/>
      <c r="Z736" s="37"/>
      <c r="AA736" s="37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</row>
    <row r="737" spans="1:52" ht="39.75" hidden="1" customHeight="1" x14ac:dyDescent="0.2">
      <c r="A737" s="45" t="str">
        <f t="shared" si="36"/>
        <v/>
      </c>
      <c r="B737" s="45"/>
      <c r="C737" s="45"/>
      <c r="D737" s="45"/>
      <c r="E737" s="50"/>
      <c r="F737" s="51"/>
      <c r="G737" s="52"/>
      <c r="H737" s="52"/>
      <c r="I737" s="52" t="str">
        <f t="shared" si="37"/>
        <v/>
      </c>
      <c r="J737" s="54"/>
      <c r="K737" s="55" t="str">
        <f t="shared" si="38"/>
        <v/>
      </c>
      <c r="L737" s="54"/>
      <c r="M737" s="54"/>
      <c r="N737" s="54"/>
      <c r="O737" s="54"/>
      <c r="P737" s="54"/>
      <c r="S737" s="38"/>
      <c r="T737" s="38"/>
      <c r="U737" s="38"/>
      <c r="V737" s="37"/>
      <c r="W737" s="37"/>
      <c r="X737" s="37"/>
      <c r="Y737" s="37"/>
      <c r="Z737" s="37"/>
      <c r="AA737" s="37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</row>
    <row r="738" spans="1:52" ht="39.75" hidden="1" customHeight="1" x14ac:dyDescent="0.2">
      <c r="A738" s="45" t="str">
        <f t="shared" si="36"/>
        <v/>
      </c>
      <c r="B738" s="45"/>
      <c r="C738" s="45"/>
      <c r="D738" s="45"/>
      <c r="E738" s="50"/>
      <c r="F738" s="51"/>
      <c r="G738" s="52"/>
      <c r="H738" s="52"/>
      <c r="I738" s="52" t="str">
        <f t="shared" si="37"/>
        <v/>
      </c>
      <c r="J738" s="54"/>
      <c r="K738" s="55" t="str">
        <f t="shared" si="38"/>
        <v/>
      </c>
      <c r="L738" s="54"/>
      <c r="M738" s="54"/>
      <c r="N738" s="54"/>
      <c r="O738" s="54"/>
      <c r="P738" s="54"/>
      <c r="S738" s="38"/>
      <c r="T738" s="38"/>
      <c r="U738" s="38"/>
      <c r="V738" s="37"/>
      <c r="W738" s="37"/>
      <c r="X738" s="37"/>
      <c r="Y738" s="37"/>
      <c r="Z738" s="37"/>
      <c r="AA738" s="37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</row>
    <row r="739" spans="1:52" ht="39.75" hidden="1" customHeight="1" x14ac:dyDescent="0.2">
      <c r="A739" s="45" t="str">
        <f t="shared" si="36"/>
        <v/>
      </c>
      <c r="B739" s="45"/>
      <c r="C739" s="45"/>
      <c r="D739" s="45"/>
      <c r="E739" s="50"/>
      <c r="F739" s="51"/>
      <c r="G739" s="52"/>
      <c r="H739" s="52"/>
      <c r="I739" s="52" t="str">
        <f t="shared" si="37"/>
        <v/>
      </c>
      <c r="J739" s="54"/>
      <c r="K739" s="55" t="str">
        <f t="shared" si="38"/>
        <v/>
      </c>
      <c r="L739" s="54"/>
      <c r="M739" s="54"/>
      <c r="N739" s="54"/>
      <c r="O739" s="54"/>
      <c r="P739" s="54"/>
      <c r="S739" s="38"/>
      <c r="T739" s="38"/>
      <c r="U739" s="38"/>
      <c r="V739" s="37"/>
      <c r="W739" s="37"/>
      <c r="X739" s="37"/>
      <c r="Y739" s="37"/>
      <c r="Z739" s="37"/>
      <c r="AA739" s="37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</row>
    <row r="740" spans="1:52" ht="39.75" hidden="1" customHeight="1" x14ac:dyDescent="0.2">
      <c r="A740" s="45" t="str">
        <f t="shared" si="36"/>
        <v/>
      </c>
      <c r="B740" s="45"/>
      <c r="C740" s="45"/>
      <c r="D740" s="45"/>
      <c r="E740" s="50"/>
      <c r="F740" s="51"/>
      <c r="G740" s="52"/>
      <c r="H740" s="52"/>
      <c r="I740" s="52" t="str">
        <f t="shared" si="37"/>
        <v/>
      </c>
      <c r="J740" s="54"/>
      <c r="K740" s="55" t="str">
        <f t="shared" si="38"/>
        <v/>
      </c>
      <c r="L740" s="54"/>
      <c r="M740" s="54"/>
      <c r="N740" s="54"/>
      <c r="O740" s="54"/>
      <c r="P740" s="54"/>
      <c r="S740" s="38"/>
      <c r="T740" s="38"/>
      <c r="U740" s="38"/>
      <c r="V740" s="37"/>
      <c r="W740" s="37"/>
      <c r="X740" s="37"/>
      <c r="Y740" s="37"/>
      <c r="Z740" s="37"/>
      <c r="AA740" s="37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</row>
    <row r="741" spans="1:52" ht="39.75" hidden="1" customHeight="1" x14ac:dyDescent="0.2">
      <c r="A741" s="45" t="str">
        <f t="shared" si="36"/>
        <v/>
      </c>
      <c r="B741" s="45"/>
      <c r="C741" s="45"/>
      <c r="D741" s="45"/>
      <c r="E741" s="50"/>
      <c r="F741" s="51"/>
      <c r="G741" s="52"/>
      <c r="H741" s="52"/>
      <c r="I741" s="52" t="str">
        <f t="shared" si="37"/>
        <v/>
      </c>
      <c r="J741" s="54"/>
      <c r="K741" s="55" t="str">
        <f t="shared" si="38"/>
        <v/>
      </c>
      <c r="L741" s="54"/>
      <c r="M741" s="54"/>
      <c r="N741" s="54"/>
      <c r="O741" s="54"/>
      <c r="P741" s="54"/>
      <c r="S741" s="38"/>
      <c r="T741" s="38"/>
      <c r="U741" s="38"/>
      <c r="V741" s="37"/>
      <c r="W741" s="37"/>
      <c r="X741" s="37"/>
      <c r="Y741" s="37"/>
      <c r="Z741" s="37"/>
      <c r="AA741" s="37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</row>
    <row r="742" spans="1:52" ht="39.75" hidden="1" customHeight="1" x14ac:dyDescent="0.2">
      <c r="A742" s="45" t="str">
        <f t="shared" si="36"/>
        <v/>
      </c>
      <c r="B742" s="45"/>
      <c r="C742" s="45"/>
      <c r="D742" s="45"/>
      <c r="E742" s="50"/>
      <c r="F742" s="51"/>
      <c r="G742" s="52"/>
      <c r="H742" s="52"/>
      <c r="I742" s="52" t="str">
        <f t="shared" si="37"/>
        <v/>
      </c>
      <c r="J742" s="54"/>
      <c r="K742" s="55" t="str">
        <f t="shared" si="38"/>
        <v/>
      </c>
      <c r="L742" s="54"/>
      <c r="M742" s="54"/>
      <c r="N742" s="54"/>
      <c r="O742" s="54"/>
      <c r="P742" s="54"/>
      <c r="S742" s="38"/>
      <c r="T742" s="38"/>
      <c r="U742" s="38"/>
      <c r="V742" s="37"/>
      <c r="W742" s="37"/>
      <c r="X742" s="37"/>
      <c r="Y742" s="37"/>
      <c r="Z742" s="37"/>
      <c r="AA742" s="37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</row>
    <row r="743" spans="1:52" ht="39.75" hidden="1" customHeight="1" x14ac:dyDescent="0.2">
      <c r="A743" s="45" t="str">
        <f t="shared" si="36"/>
        <v/>
      </c>
      <c r="B743" s="45"/>
      <c r="C743" s="45"/>
      <c r="D743" s="45"/>
      <c r="E743" s="50"/>
      <c r="F743" s="51"/>
      <c r="G743" s="52"/>
      <c r="H743" s="52"/>
      <c r="I743" s="52" t="str">
        <f t="shared" si="37"/>
        <v/>
      </c>
      <c r="J743" s="54"/>
      <c r="K743" s="55" t="str">
        <f t="shared" si="38"/>
        <v/>
      </c>
      <c r="L743" s="54"/>
      <c r="M743" s="54"/>
      <c r="N743" s="54"/>
      <c r="O743" s="54"/>
      <c r="P743" s="54"/>
      <c r="S743" s="38"/>
      <c r="T743" s="38"/>
      <c r="U743" s="38"/>
      <c r="V743" s="37"/>
      <c r="W743" s="37"/>
      <c r="X743" s="37"/>
      <c r="Y743" s="37"/>
      <c r="Z743" s="37"/>
      <c r="AA743" s="37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</row>
    <row r="744" spans="1:52" ht="39.75" hidden="1" customHeight="1" x14ac:dyDescent="0.2">
      <c r="A744" s="45" t="str">
        <f t="shared" si="36"/>
        <v/>
      </c>
      <c r="B744" s="45"/>
      <c r="C744" s="45"/>
      <c r="D744" s="45"/>
      <c r="E744" s="50"/>
      <c r="F744" s="51"/>
      <c r="G744" s="52"/>
      <c r="H744" s="52"/>
      <c r="I744" s="52" t="str">
        <f t="shared" si="37"/>
        <v/>
      </c>
      <c r="J744" s="54"/>
      <c r="K744" s="55" t="str">
        <f t="shared" si="38"/>
        <v/>
      </c>
      <c r="L744" s="54"/>
      <c r="M744" s="54"/>
      <c r="N744" s="54"/>
      <c r="O744" s="54"/>
      <c r="P744" s="54"/>
      <c r="S744" s="38"/>
      <c r="T744" s="38"/>
      <c r="U744" s="38"/>
      <c r="V744" s="37"/>
      <c r="W744" s="37"/>
      <c r="X744" s="37"/>
      <c r="Y744" s="37"/>
      <c r="Z744" s="37"/>
      <c r="AA744" s="37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</row>
    <row r="745" spans="1:52" ht="39.75" hidden="1" customHeight="1" x14ac:dyDescent="0.2">
      <c r="A745" s="45" t="str">
        <f t="shared" si="36"/>
        <v/>
      </c>
      <c r="B745" s="45"/>
      <c r="C745" s="45"/>
      <c r="D745" s="45"/>
      <c r="E745" s="50"/>
      <c r="F745" s="51"/>
      <c r="G745" s="52"/>
      <c r="H745" s="52"/>
      <c r="I745" s="52" t="str">
        <f t="shared" si="37"/>
        <v/>
      </c>
      <c r="J745" s="54"/>
      <c r="K745" s="55" t="str">
        <f t="shared" si="38"/>
        <v/>
      </c>
      <c r="L745" s="54"/>
      <c r="M745" s="54"/>
      <c r="N745" s="54"/>
      <c r="O745" s="54"/>
      <c r="P745" s="54"/>
      <c r="S745" s="38"/>
      <c r="T745" s="38"/>
      <c r="U745" s="38"/>
      <c r="V745" s="37"/>
      <c r="W745" s="37"/>
      <c r="X745" s="37"/>
      <c r="Y745" s="37"/>
      <c r="Z745" s="37"/>
      <c r="AA745" s="37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</row>
    <row r="746" spans="1:52" ht="39.75" hidden="1" customHeight="1" x14ac:dyDescent="0.2">
      <c r="A746" s="45" t="str">
        <f t="shared" si="36"/>
        <v/>
      </c>
      <c r="B746" s="45"/>
      <c r="C746" s="45"/>
      <c r="D746" s="45"/>
      <c r="E746" s="50"/>
      <c r="F746" s="51"/>
      <c r="G746" s="52"/>
      <c r="H746" s="52"/>
      <c r="I746" s="52" t="str">
        <f t="shared" si="37"/>
        <v/>
      </c>
      <c r="J746" s="54"/>
      <c r="K746" s="55" t="str">
        <f t="shared" si="38"/>
        <v/>
      </c>
      <c r="L746" s="54"/>
      <c r="M746" s="54"/>
      <c r="N746" s="54"/>
      <c r="O746" s="54"/>
      <c r="P746" s="54"/>
      <c r="S746" s="38"/>
      <c r="T746" s="38"/>
      <c r="U746" s="38"/>
      <c r="V746" s="37"/>
      <c r="W746" s="37"/>
      <c r="X746" s="37"/>
      <c r="Y746" s="37"/>
      <c r="Z746" s="37"/>
      <c r="AA746" s="37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</row>
    <row r="747" spans="1:52" ht="39.75" hidden="1" customHeight="1" x14ac:dyDescent="0.2">
      <c r="A747" s="45" t="str">
        <f t="shared" si="36"/>
        <v/>
      </c>
      <c r="B747" s="45"/>
      <c r="C747" s="45"/>
      <c r="D747" s="45"/>
      <c r="E747" s="50"/>
      <c r="F747" s="51"/>
      <c r="G747" s="52"/>
      <c r="H747" s="52"/>
      <c r="I747" s="52" t="str">
        <f t="shared" si="37"/>
        <v/>
      </c>
      <c r="J747" s="54"/>
      <c r="K747" s="55" t="str">
        <f t="shared" si="38"/>
        <v/>
      </c>
      <c r="L747" s="54"/>
      <c r="M747" s="54"/>
      <c r="N747" s="54"/>
      <c r="O747" s="54"/>
      <c r="P747" s="54"/>
      <c r="S747" s="38"/>
      <c r="T747" s="38"/>
      <c r="U747" s="38"/>
      <c r="V747" s="37"/>
      <c r="W747" s="37"/>
      <c r="X747" s="37"/>
      <c r="Y747" s="37"/>
      <c r="Z747" s="37"/>
      <c r="AA747" s="37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  <c r="AZ747" s="38"/>
    </row>
    <row r="748" spans="1:52" ht="39.75" hidden="1" customHeight="1" x14ac:dyDescent="0.2">
      <c r="A748" s="45" t="str">
        <f t="shared" si="36"/>
        <v/>
      </c>
      <c r="B748" s="45"/>
      <c r="C748" s="45"/>
      <c r="D748" s="45"/>
      <c r="E748" s="50"/>
      <c r="F748" s="51"/>
      <c r="G748" s="52"/>
      <c r="H748" s="52"/>
      <c r="I748" s="52" t="str">
        <f t="shared" si="37"/>
        <v/>
      </c>
      <c r="J748" s="54"/>
      <c r="K748" s="55" t="str">
        <f t="shared" si="38"/>
        <v/>
      </c>
      <c r="L748" s="54"/>
      <c r="M748" s="54"/>
      <c r="N748" s="54"/>
      <c r="O748" s="54"/>
      <c r="P748" s="54"/>
      <c r="S748" s="38"/>
      <c r="T748" s="38"/>
      <c r="U748" s="38"/>
      <c r="V748" s="37"/>
      <c r="W748" s="37"/>
      <c r="X748" s="37"/>
      <c r="Y748" s="37"/>
      <c r="Z748" s="37"/>
      <c r="AA748" s="37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</row>
    <row r="749" spans="1:52" ht="39.75" hidden="1" customHeight="1" x14ac:dyDescent="0.2">
      <c r="A749" s="45" t="str">
        <f t="shared" si="36"/>
        <v/>
      </c>
      <c r="B749" s="45"/>
      <c r="C749" s="45"/>
      <c r="D749" s="45"/>
      <c r="E749" s="50"/>
      <c r="F749" s="51"/>
      <c r="G749" s="52"/>
      <c r="H749" s="52"/>
      <c r="I749" s="52" t="str">
        <f t="shared" si="37"/>
        <v/>
      </c>
      <c r="J749" s="54"/>
      <c r="K749" s="55" t="str">
        <f t="shared" si="38"/>
        <v/>
      </c>
      <c r="L749" s="54"/>
      <c r="M749" s="54"/>
      <c r="N749" s="54"/>
      <c r="O749" s="54"/>
      <c r="P749" s="54"/>
      <c r="S749" s="38"/>
      <c r="T749" s="38"/>
      <c r="U749" s="38"/>
      <c r="V749" s="37"/>
      <c r="W749" s="37"/>
      <c r="X749" s="37"/>
      <c r="Y749" s="37"/>
      <c r="Z749" s="37"/>
      <c r="AA749" s="37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</row>
    <row r="750" spans="1:52" ht="39.75" hidden="1" customHeight="1" x14ac:dyDescent="0.2">
      <c r="A750" s="45" t="str">
        <f t="shared" si="36"/>
        <v/>
      </c>
      <c r="B750" s="45"/>
      <c r="C750" s="45"/>
      <c r="D750" s="45"/>
      <c r="E750" s="50"/>
      <c r="F750" s="51"/>
      <c r="G750" s="52"/>
      <c r="H750" s="52"/>
      <c r="I750" s="52" t="str">
        <f t="shared" si="37"/>
        <v/>
      </c>
      <c r="J750" s="54"/>
      <c r="K750" s="55" t="str">
        <f t="shared" si="38"/>
        <v/>
      </c>
      <c r="L750" s="54"/>
      <c r="M750" s="54"/>
      <c r="N750" s="54"/>
      <c r="O750" s="54"/>
      <c r="P750" s="54"/>
      <c r="S750" s="38"/>
      <c r="T750" s="38"/>
      <c r="U750" s="38"/>
      <c r="V750" s="37"/>
      <c r="W750" s="37"/>
      <c r="X750" s="37"/>
      <c r="Y750" s="37"/>
      <c r="Z750" s="37"/>
      <c r="AA750" s="37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  <c r="AV750" s="38"/>
      <c r="AW750" s="38"/>
      <c r="AX750" s="38"/>
      <c r="AY750" s="38"/>
      <c r="AZ750" s="38"/>
    </row>
    <row r="751" spans="1:52" ht="39.75" hidden="1" customHeight="1" x14ac:dyDescent="0.2">
      <c r="A751" s="45" t="str">
        <f t="shared" si="36"/>
        <v/>
      </c>
      <c r="B751" s="45"/>
      <c r="C751" s="45"/>
      <c r="D751" s="45"/>
      <c r="E751" s="50"/>
      <c r="F751" s="51"/>
      <c r="G751" s="52"/>
      <c r="H751" s="52"/>
      <c r="I751" s="52" t="str">
        <f t="shared" si="37"/>
        <v/>
      </c>
      <c r="J751" s="54"/>
      <c r="K751" s="55" t="str">
        <f t="shared" si="38"/>
        <v/>
      </c>
      <c r="L751" s="54"/>
      <c r="M751" s="54"/>
      <c r="N751" s="54"/>
      <c r="O751" s="54"/>
      <c r="P751" s="54"/>
      <c r="S751" s="38"/>
      <c r="T751" s="38"/>
      <c r="U751" s="38"/>
      <c r="V751" s="37"/>
      <c r="W751" s="37"/>
      <c r="X751" s="37"/>
      <c r="Y751" s="37"/>
      <c r="Z751" s="37"/>
      <c r="AA751" s="37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</row>
    <row r="752" spans="1:52" ht="39.75" hidden="1" customHeight="1" x14ac:dyDescent="0.2">
      <c r="A752" s="45" t="str">
        <f t="shared" si="36"/>
        <v/>
      </c>
      <c r="B752" s="45"/>
      <c r="C752" s="45"/>
      <c r="D752" s="45"/>
      <c r="E752" s="50"/>
      <c r="F752" s="51"/>
      <c r="G752" s="52"/>
      <c r="H752" s="52"/>
      <c r="I752" s="52" t="str">
        <f t="shared" si="37"/>
        <v/>
      </c>
      <c r="J752" s="54"/>
      <c r="K752" s="55" t="str">
        <f t="shared" si="38"/>
        <v/>
      </c>
      <c r="L752" s="54"/>
      <c r="M752" s="54"/>
      <c r="N752" s="54"/>
      <c r="O752" s="54"/>
      <c r="P752" s="54"/>
      <c r="S752" s="38"/>
      <c r="T752" s="38"/>
      <c r="U752" s="38"/>
      <c r="V752" s="37"/>
      <c r="W752" s="37"/>
      <c r="X752" s="37"/>
      <c r="Y752" s="37"/>
      <c r="Z752" s="37"/>
      <c r="AA752" s="37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</row>
    <row r="753" spans="1:52" ht="39.75" hidden="1" customHeight="1" x14ac:dyDescent="0.2">
      <c r="A753" s="45" t="str">
        <f t="shared" si="36"/>
        <v/>
      </c>
      <c r="B753" s="45"/>
      <c r="C753" s="45"/>
      <c r="D753" s="45"/>
      <c r="E753" s="50"/>
      <c r="F753" s="51"/>
      <c r="G753" s="52"/>
      <c r="H753" s="52"/>
      <c r="I753" s="52" t="str">
        <f t="shared" si="37"/>
        <v/>
      </c>
      <c r="J753" s="54"/>
      <c r="K753" s="55" t="str">
        <f t="shared" si="38"/>
        <v/>
      </c>
      <c r="L753" s="54"/>
      <c r="M753" s="54"/>
      <c r="N753" s="54"/>
      <c r="O753" s="54"/>
      <c r="P753" s="54"/>
      <c r="S753" s="38"/>
      <c r="T753" s="38"/>
      <c r="U753" s="38"/>
      <c r="V753" s="37"/>
      <c r="W753" s="37"/>
      <c r="X753" s="37"/>
      <c r="Y753" s="37"/>
      <c r="Z753" s="37"/>
      <c r="AA753" s="37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</row>
    <row r="754" spans="1:52" ht="39.75" hidden="1" customHeight="1" x14ac:dyDescent="0.2">
      <c r="A754" s="45" t="str">
        <f t="shared" si="36"/>
        <v/>
      </c>
      <c r="B754" s="45"/>
      <c r="C754" s="45"/>
      <c r="D754" s="45"/>
      <c r="E754" s="50"/>
      <c r="F754" s="51"/>
      <c r="G754" s="52"/>
      <c r="H754" s="52"/>
      <c r="I754" s="52" t="str">
        <f t="shared" si="37"/>
        <v/>
      </c>
      <c r="J754" s="54"/>
      <c r="K754" s="55" t="str">
        <f t="shared" si="38"/>
        <v/>
      </c>
      <c r="L754" s="54"/>
      <c r="M754" s="54"/>
      <c r="N754" s="54"/>
      <c r="O754" s="54"/>
      <c r="P754" s="54"/>
      <c r="S754" s="38"/>
      <c r="T754" s="38"/>
      <c r="U754" s="38"/>
      <c r="V754" s="37"/>
      <c r="W754" s="37"/>
      <c r="X754" s="37"/>
      <c r="Y754" s="37"/>
      <c r="Z754" s="37"/>
      <c r="AA754" s="37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</row>
    <row r="755" spans="1:52" ht="39.75" hidden="1" customHeight="1" x14ac:dyDescent="0.2">
      <c r="A755" s="45" t="str">
        <f t="shared" si="36"/>
        <v/>
      </c>
      <c r="B755" s="45"/>
      <c r="C755" s="45"/>
      <c r="D755" s="45"/>
      <c r="E755" s="50"/>
      <c r="F755" s="51"/>
      <c r="G755" s="52"/>
      <c r="H755" s="52"/>
      <c r="I755" s="52" t="str">
        <f t="shared" si="37"/>
        <v/>
      </c>
      <c r="J755" s="54"/>
      <c r="K755" s="55" t="str">
        <f t="shared" si="38"/>
        <v/>
      </c>
      <c r="L755" s="54"/>
      <c r="M755" s="54"/>
      <c r="N755" s="54"/>
      <c r="O755" s="54"/>
      <c r="P755" s="54"/>
      <c r="S755" s="38"/>
      <c r="T755" s="38"/>
      <c r="U755" s="38"/>
      <c r="V755" s="37"/>
      <c r="W755" s="37"/>
      <c r="X755" s="37"/>
      <c r="Y755" s="37"/>
      <c r="Z755" s="37"/>
      <c r="AA755" s="37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</row>
    <row r="756" spans="1:52" ht="39.75" hidden="1" customHeight="1" x14ac:dyDescent="0.2">
      <c r="A756" s="45" t="str">
        <f t="shared" si="36"/>
        <v/>
      </c>
      <c r="B756" s="45"/>
      <c r="C756" s="45"/>
      <c r="D756" s="45"/>
      <c r="E756" s="50"/>
      <c r="F756" s="51"/>
      <c r="G756" s="52"/>
      <c r="H756" s="52"/>
      <c r="I756" s="52" t="str">
        <f t="shared" si="37"/>
        <v/>
      </c>
      <c r="J756" s="54"/>
      <c r="K756" s="55" t="str">
        <f t="shared" si="38"/>
        <v/>
      </c>
      <c r="L756" s="54"/>
      <c r="M756" s="54"/>
      <c r="N756" s="54"/>
      <c r="O756" s="54"/>
      <c r="P756" s="54"/>
      <c r="S756" s="38"/>
      <c r="T756" s="38"/>
      <c r="U756" s="38"/>
      <c r="V756" s="37"/>
      <c r="W756" s="37"/>
      <c r="X756" s="37"/>
      <c r="Y756" s="37"/>
      <c r="Z756" s="37"/>
      <c r="AA756" s="37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</row>
    <row r="757" spans="1:52" ht="39.75" hidden="1" customHeight="1" x14ac:dyDescent="0.2">
      <c r="A757" s="45" t="str">
        <f t="shared" si="36"/>
        <v/>
      </c>
      <c r="B757" s="45"/>
      <c r="C757" s="45"/>
      <c r="D757" s="45"/>
      <c r="E757" s="50"/>
      <c r="F757" s="51"/>
      <c r="G757" s="52"/>
      <c r="H757" s="52"/>
      <c r="I757" s="52" t="str">
        <f t="shared" si="37"/>
        <v/>
      </c>
      <c r="J757" s="54"/>
      <c r="K757" s="55" t="str">
        <f t="shared" si="38"/>
        <v/>
      </c>
      <c r="L757" s="54"/>
      <c r="M757" s="54"/>
      <c r="N757" s="54"/>
      <c r="O757" s="54"/>
      <c r="P757" s="54"/>
      <c r="S757" s="38"/>
      <c r="T757" s="38"/>
      <c r="U757" s="38"/>
      <c r="V757" s="37"/>
      <c r="W757" s="37"/>
      <c r="X757" s="37"/>
      <c r="Y757" s="37"/>
      <c r="Z757" s="37"/>
      <c r="AA757" s="37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</row>
    <row r="758" spans="1:52" ht="39.75" hidden="1" customHeight="1" x14ac:dyDescent="0.2">
      <c r="A758" s="45" t="str">
        <f t="shared" si="36"/>
        <v/>
      </c>
      <c r="B758" s="45"/>
      <c r="C758" s="45"/>
      <c r="D758" s="45"/>
      <c r="E758" s="50"/>
      <c r="F758" s="51"/>
      <c r="G758" s="52"/>
      <c r="H758" s="52"/>
      <c r="I758" s="52" t="str">
        <f t="shared" si="37"/>
        <v/>
      </c>
      <c r="J758" s="54"/>
      <c r="K758" s="55" t="str">
        <f t="shared" si="38"/>
        <v/>
      </c>
      <c r="L758" s="54"/>
      <c r="M758" s="54"/>
      <c r="N758" s="54"/>
      <c r="O758" s="54"/>
      <c r="P758" s="54"/>
      <c r="S758" s="38"/>
      <c r="T758" s="38"/>
      <c r="U758" s="38"/>
      <c r="V758" s="37"/>
      <c r="W758" s="37"/>
      <c r="X758" s="37"/>
      <c r="Y758" s="37"/>
      <c r="Z758" s="37"/>
      <c r="AA758" s="37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</row>
    <row r="759" spans="1:52" ht="39.75" hidden="1" customHeight="1" x14ac:dyDescent="0.2">
      <c r="A759" s="45" t="str">
        <f t="shared" si="36"/>
        <v/>
      </c>
      <c r="B759" s="45"/>
      <c r="C759" s="45"/>
      <c r="D759" s="45"/>
      <c r="E759" s="50"/>
      <c r="F759" s="51"/>
      <c r="G759" s="52"/>
      <c r="H759" s="52"/>
      <c r="I759" s="52" t="str">
        <f t="shared" si="37"/>
        <v/>
      </c>
      <c r="J759" s="54"/>
      <c r="K759" s="55" t="str">
        <f t="shared" si="38"/>
        <v/>
      </c>
      <c r="L759" s="54"/>
      <c r="M759" s="54"/>
      <c r="N759" s="54"/>
      <c r="O759" s="54"/>
      <c r="P759" s="54"/>
      <c r="S759" s="38"/>
      <c r="T759" s="38"/>
      <c r="U759" s="38"/>
      <c r="V759" s="37"/>
      <c r="W759" s="37"/>
      <c r="X759" s="37"/>
      <c r="Y759" s="37"/>
      <c r="Z759" s="37"/>
      <c r="AA759" s="37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</row>
    <row r="760" spans="1:52" ht="39.75" hidden="1" customHeight="1" x14ac:dyDescent="0.2">
      <c r="A760" s="45" t="str">
        <f t="shared" si="36"/>
        <v/>
      </c>
      <c r="B760" s="45"/>
      <c r="C760" s="45"/>
      <c r="D760" s="45"/>
      <c r="E760" s="50"/>
      <c r="F760" s="51"/>
      <c r="G760" s="52"/>
      <c r="H760" s="52"/>
      <c r="I760" s="52" t="str">
        <f t="shared" si="37"/>
        <v/>
      </c>
      <c r="J760" s="54"/>
      <c r="K760" s="55" t="str">
        <f t="shared" si="38"/>
        <v/>
      </c>
      <c r="L760" s="54"/>
      <c r="M760" s="54"/>
      <c r="N760" s="54"/>
      <c r="O760" s="54"/>
      <c r="P760" s="54"/>
      <c r="S760" s="38"/>
      <c r="T760" s="38"/>
      <c r="U760" s="38"/>
      <c r="V760" s="37"/>
      <c r="W760" s="37"/>
      <c r="X760" s="37"/>
      <c r="Y760" s="37"/>
      <c r="Z760" s="37"/>
      <c r="AA760" s="37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</row>
    <row r="761" spans="1:52" ht="39.75" hidden="1" customHeight="1" x14ac:dyDescent="0.2">
      <c r="A761" s="45" t="str">
        <f t="shared" si="36"/>
        <v/>
      </c>
      <c r="B761" s="45"/>
      <c r="C761" s="45"/>
      <c r="D761" s="45"/>
      <c r="E761" s="50"/>
      <c r="F761" s="51"/>
      <c r="G761" s="52"/>
      <c r="H761" s="52"/>
      <c r="I761" s="52" t="str">
        <f t="shared" si="37"/>
        <v/>
      </c>
      <c r="J761" s="54"/>
      <c r="K761" s="55" t="str">
        <f t="shared" si="38"/>
        <v/>
      </c>
      <c r="L761" s="54"/>
      <c r="M761" s="54"/>
      <c r="N761" s="54"/>
      <c r="O761" s="54"/>
      <c r="P761" s="54"/>
      <c r="S761" s="38"/>
      <c r="T761" s="38"/>
      <c r="U761" s="38"/>
      <c r="V761" s="37"/>
      <c r="W761" s="37"/>
      <c r="X761" s="37"/>
      <c r="Y761" s="37"/>
      <c r="Z761" s="37"/>
      <c r="AA761" s="37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</row>
    <row r="762" spans="1:52" ht="39.75" hidden="1" customHeight="1" x14ac:dyDescent="0.2">
      <c r="A762" s="45" t="str">
        <f t="shared" si="36"/>
        <v/>
      </c>
      <c r="B762" s="45"/>
      <c r="C762" s="45"/>
      <c r="D762" s="45"/>
      <c r="E762" s="50"/>
      <c r="F762" s="51"/>
      <c r="G762" s="52"/>
      <c r="H762" s="52"/>
      <c r="I762" s="52" t="str">
        <f t="shared" si="37"/>
        <v/>
      </c>
      <c r="J762" s="54"/>
      <c r="K762" s="55" t="str">
        <f t="shared" si="38"/>
        <v/>
      </c>
      <c r="L762" s="54"/>
      <c r="M762" s="54"/>
      <c r="N762" s="54"/>
      <c r="O762" s="54"/>
      <c r="P762" s="54"/>
      <c r="S762" s="38"/>
      <c r="T762" s="38"/>
      <c r="U762" s="38"/>
      <c r="V762" s="37"/>
      <c r="W762" s="37"/>
      <c r="X762" s="37"/>
      <c r="Y762" s="37"/>
      <c r="Z762" s="37"/>
      <c r="AA762" s="37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</row>
    <row r="763" spans="1:52" ht="39.75" hidden="1" customHeight="1" x14ac:dyDescent="0.2">
      <c r="A763" s="45" t="str">
        <f t="shared" si="36"/>
        <v/>
      </c>
      <c r="B763" s="45"/>
      <c r="C763" s="45"/>
      <c r="D763" s="45"/>
      <c r="E763" s="50"/>
      <c r="F763" s="51"/>
      <c r="G763" s="52"/>
      <c r="H763" s="52"/>
      <c r="I763" s="52" t="str">
        <f t="shared" si="37"/>
        <v/>
      </c>
      <c r="J763" s="54"/>
      <c r="K763" s="55" t="str">
        <f t="shared" si="38"/>
        <v/>
      </c>
      <c r="L763" s="54"/>
      <c r="M763" s="54"/>
      <c r="N763" s="54"/>
      <c r="O763" s="54"/>
      <c r="P763" s="54"/>
      <c r="S763" s="38"/>
      <c r="T763" s="38"/>
      <c r="U763" s="38"/>
      <c r="V763" s="37"/>
      <c r="W763" s="37"/>
      <c r="X763" s="37"/>
      <c r="Y763" s="37"/>
      <c r="Z763" s="37"/>
      <c r="AA763" s="37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</row>
    <row r="764" spans="1:52" ht="39.75" hidden="1" customHeight="1" x14ac:dyDescent="0.2">
      <c r="A764" s="45" t="str">
        <f t="shared" si="36"/>
        <v/>
      </c>
      <c r="B764" s="45"/>
      <c r="C764" s="45"/>
      <c r="D764" s="45"/>
      <c r="E764" s="50"/>
      <c r="F764" s="51"/>
      <c r="G764" s="52"/>
      <c r="H764" s="52"/>
      <c r="I764" s="52" t="str">
        <f t="shared" si="37"/>
        <v/>
      </c>
      <c r="J764" s="54"/>
      <c r="K764" s="55" t="str">
        <f t="shared" si="38"/>
        <v/>
      </c>
      <c r="L764" s="54"/>
      <c r="M764" s="54"/>
      <c r="N764" s="54"/>
      <c r="O764" s="54"/>
      <c r="P764" s="54"/>
      <c r="S764" s="38"/>
      <c r="T764" s="38"/>
      <c r="U764" s="38"/>
      <c r="V764" s="37"/>
      <c r="W764" s="37"/>
      <c r="X764" s="37"/>
      <c r="Y764" s="37"/>
      <c r="Z764" s="37"/>
      <c r="AA764" s="37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</row>
    <row r="765" spans="1:52" ht="39.75" hidden="1" customHeight="1" x14ac:dyDescent="0.2">
      <c r="A765" s="45" t="str">
        <f t="shared" si="36"/>
        <v/>
      </c>
      <c r="B765" s="45"/>
      <c r="C765" s="45"/>
      <c r="D765" s="45"/>
      <c r="E765" s="50"/>
      <c r="F765" s="51"/>
      <c r="G765" s="52"/>
      <c r="H765" s="52"/>
      <c r="I765" s="52" t="str">
        <f t="shared" si="37"/>
        <v/>
      </c>
      <c r="J765" s="54"/>
      <c r="K765" s="55" t="str">
        <f t="shared" si="38"/>
        <v/>
      </c>
      <c r="L765" s="54"/>
      <c r="M765" s="54"/>
      <c r="N765" s="54"/>
      <c r="O765" s="54"/>
      <c r="P765" s="54"/>
      <c r="S765" s="38"/>
      <c r="T765" s="38"/>
      <c r="U765" s="38"/>
      <c r="V765" s="37"/>
      <c r="W765" s="37"/>
      <c r="X765" s="37"/>
      <c r="Y765" s="37"/>
      <c r="Z765" s="37"/>
      <c r="AA765" s="37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</row>
    <row r="766" spans="1:52" ht="39.75" hidden="1" customHeight="1" x14ac:dyDescent="0.2">
      <c r="A766" s="45" t="str">
        <f t="shared" si="36"/>
        <v/>
      </c>
      <c r="B766" s="45"/>
      <c r="C766" s="45"/>
      <c r="D766" s="45"/>
      <c r="E766" s="50"/>
      <c r="F766" s="51"/>
      <c r="G766" s="52"/>
      <c r="H766" s="52"/>
      <c r="I766" s="52" t="str">
        <f t="shared" si="37"/>
        <v/>
      </c>
      <c r="J766" s="54"/>
      <c r="K766" s="55" t="str">
        <f t="shared" si="38"/>
        <v/>
      </c>
      <c r="L766" s="54"/>
      <c r="M766" s="54"/>
      <c r="N766" s="54"/>
      <c r="O766" s="54"/>
      <c r="P766" s="54"/>
      <c r="S766" s="38"/>
      <c r="T766" s="38"/>
      <c r="U766" s="38"/>
      <c r="V766" s="37"/>
      <c r="W766" s="37"/>
      <c r="X766" s="37"/>
      <c r="Y766" s="37"/>
      <c r="Z766" s="37"/>
      <c r="AA766" s="37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</row>
    <row r="767" spans="1:52" ht="39.75" hidden="1" customHeight="1" x14ac:dyDescent="0.2">
      <c r="A767" s="45" t="str">
        <f t="shared" si="36"/>
        <v/>
      </c>
      <c r="B767" s="45"/>
      <c r="C767" s="45"/>
      <c r="D767" s="45"/>
      <c r="E767" s="50"/>
      <c r="F767" s="51"/>
      <c r="G767" s="52"/>
      <c r="H767" s="52"/>
      <c r="I767" s="52" t="str">
        <f t="shared" si="37"/>
        <v/>
      </c>
      <c r="J767" s="54"/>
      <c r="K767" s="55" t="str">
        <f t="shared" si="38"/>
        <v/>
      </c>
      <c r="L767" s="54"/>
      <c r="M767" s="54"/>
      <c r="N767" s="54"/>
      <c r="O767" s="54"/>
      <c r="P767" s="54"/>
      <c r="S767" s="38"/>
      <c r="T767" s="38"/>
      <c r="U767" s="38"/>
      <c r="V767" s="37"/>
      <c r="W767" s="37"/>
      <c r="X767" s="37"/>
      <c r="Y767" s="37"/>
      <c r="Z767" s="37"/>
      <c r="AA767" s="37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</row>
    <row r="768" spans="1:52" ht="39.75" hidden="1" customHeight="1" x14ac:dyDescent="0.2">
      <c r="A768" s="45" t="str">
        <f t="shared" si="36"/>
        <v/>
      </c>
      <c r="B768" s="45"/>
      <c r="C768" s="45"/>
      <c r="D768" s="45"/>
      <c r="E768" s="50"/>
      <c r="F768" s="51"/>
      <c r="G768" s="52"/>
      <c r="H768" s="52"/>
      <c r="I768" s="52" t="str">
        <f t="shared" si="37"/>
        <v/>
      </c>
      <c r="J768" s="54"/>
      <c r="K768" s="55" t="str">
        <f t="shared" si="38"/>
        <v/>
      </c>
      <c r="L768" s="54"/>
      <c r="M768" s="54"/>
      <c r="N768" s="54"/>
      <c r="O768" s="54"/>
      <c r="P768" s="54"/>
      <c r="S768" s="38"/>
      <c r="T768" s="38"/>
      <c r="U768" s="38"/>
      <c r="V768" s="37"/>
      <c r="W768" s="37"/>
      <c r="X768" s="37"/>
      <c r="Y768" s="37"/>
      <c r="Z768" s="37"/>
      <c r="AA768" s="37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</row>
    <row r="769" spans="1:52" ht="39.75" hidden="1" customHeight="1" x14ac:dyDescent="0.2">
      <c r="A769" s="45" t="str">
        <f t="shared" si="36"/>
        <v/>
      </c>
      <c r="B769" s="45"/>
      <c r="C769" s="45"/>
      <c r="D769" s="45"/>
      <c r="E769" s="50"/>
      <c r="F769" s="51"/>
      <c r="G769" s="52"/>
      <c r="H769" s="52"/>
      <c r="I769" s="52" t="str">
        <f t="shared" si="37"/>
        <v/>
      </c>
      <c r="J769" s="54"/>
      <c r="K769" s="55" t="str">
        <f t="shared" si="38"/>
        <v/>
      </c>
      <c r="L769" s="54"/>
      <c r="M769" s="54"/>
      <c r="N769" s="54"/>
      <c r="O769" s="54"/>
      <c r="P769" s="54"/>
      <c r="S769" s="38"/>
      <c r="T769" s="38"/>
      <c r="U769" s="38"/>
      <c r="V769" s="37"/>
      <c r="W769" s="37"/>
      <c r="X769" s="37"/>
      <c r="Y769" s="37"/>
      <c r="Z769" s="37"/>
      <c r="AA769" s="37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</row>
    <row r="770" spans="1:52" ht="39.75" hidden="1" customHeight="1" x14ac:dyDescent="0.2">
      <c r="A770" s="45" t="str">
        <f t="shared" si="36"/>
        <v/>
      </c>
      <c r="B770" s="45"/>
      <c r="C770" s="45"/>
      <c r="D770" s="45"/>
      <c r="E770" s="50"/>
      <c r="F770" s="51"/>
      <c r="G770" s="52"/>
      <c r="H770" s="52"/>
      <c r="I770" s="52" t="str">
        <f t="shared" si="37"/>
        <v/>
      </c>
      <c r="J770" s="54"/>
      <c r="K770" s="55" t="str">
        <f t="shared" si="38"/>
        <v/>
      </c>
      <c r="L770" s="54"/>
      <c r="M770" s="54"/>
      <c r="N770" s="54"/>
      <c r="O770" s="54"/>
      <c r="P770" s="54"/>
      <c r="S770" s="38"/>
      <c r="T770" s="38"/>
      <c r="U770" s="38"/>
      <c r="V770" s="37"/>
      <c r="W770" s="37"/>
      <c r="X770" s="37"/>
      <c r="Y770" s="37"/>
      <c r="Z770" s="37"/>
      <c r="AA770" s="37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</row>
    <row r="771" spans="1:52" ht="39.75" hidden="1" customHeight="1" x14ac:dyDescent="0.2">
      <c r="A771" s="45" t="str">
        <f t="shared" si="36"/>
        <v/>
      </c>
      <c r="B771" s="45"/>
      <c r="C771" s="45"/>
      <c r="D771" s="45"/>
      <c r="E771" s="50"/>
      <c r="F771" s="51"/>
      <c r="G771" s="52"/>
      <c r="H771" s="52"/>
      <c r="I771" s="52" t="str">
        <f t="shared" si="37"/>
        <v/>
      </c>
      <c r="J771" s="54"/>
      <c r="K771" s="55" t="str">
        <f t="shared" si="38"/>
        <v/>
      </c>
      <c r="L771" s="54"/>
      <c r="M771" s="54"/>
      <c r="N771" s="54"/>
      <c r="O771" s="54"/>
      <c r="P771" s="54"/>
      <c r="S771" s="38"/>
      <c r="T771" s="38"/>
      <c r="U771" s="38"/>
      <c r="V771" s="37"/>
      <c r="W771" s="37"/>
      <c r="X771" s="37"/>
      <c r="Y771" s="37"/>
      <c r="Z771" s="37"/>
      <c r="AA771" s="37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</row>
    <row r="772" spans="1:52" ht="39.75" hidden="1" customHeight="1" x14ac:dyDescent="0.2">
      <c r="A772" s="45" t="str">
        <f t="shared" si="36"/>
        <v/>
      </c>
      <c r="B772" s="45"/>
      <c r="C772" s="45"/>
      <c r="D772" s="45"/>
      <c r="E772" s="50"/>
      <c r="F772" s="51"/>
      <c r="G772" s="52"/>
      <c r="H772" s="52"/>
      <c r="I772" s="52" t="str">
        <f t="shared" si="37"/>
        <v/>
      </c>
      <c r="J772" s="54"/>
      <c r="K772" s="55" t="str">
        <f t="shared" si="38"/>
        <v/>
      </c>
      <c r="L772" s="54"/>
      <c r="M772" s="54"/>
      <c r="N772" s="54"/>
      <c r="O772" s="54"/>
      <c r="P772" s="54"/>
      <c r="S772" s="38"/>
      <c r="T772" s="38"/>
      <c r="U772" s="38"/>
      <c r="V772" s="37"/>
      <c r="W772" s="37"/>
      <c r="X772" s="37"/>
      <c r="Y772" s="37"/>
      <c r="Z772" s="37"/>
      <c r="AA772" s="37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</row>
    <row r="773" spans="1:52" ht="39.75" hidden="1" customHeight="1" x14ac:dyDescent="0.2">
      <c r="A773" s="45" t="str">
        <f t="shared" si="36"/>
        <v/>
      </c>
      <c r="B773" s="45"/>
      <c r="C773" s="45"/>
      <c r="D773" s="45"/>
      <c r="E773" s="50"/>
      <c r="F773" s="51"/>
      <c r="G773" s="52"/>
      <c r="H773" s="52"/>
      <c r="I773" s="52" t="str">
        <f t="shared" si="37"/>
        <v/>
      </c>
      <c r="J773" s="54"/>
      <c r="K773" s="55" t="str">
        <f t="shared" si="38"/>
        <v/>
      </c>
      <c r="L773" s="54"/>
      <c r="M773" s="54"/>
      <c r="N773" s="54"/>
      <c r="O773" s="54"/>
      <c r="P773" s="54"/>
      <c r="S773" s="38"/>
      <c r="T773" s="38"/>
      <c r="U773" s="38"/>
      <c r="V773" s="37"/>
      <c r="W773" s="37"/>
      <c r="X773" s="37"/>
      <c r="Y773" s="37"/>
      <c r="Z773" s="37"/>
      <c r="AA773" s="37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</row>
    <row r="774" spans="1:52" ht="39.75" hidden="1" customHeight="1" x14ac:dyDescent="0.2">
      <c r="A774" s="45" t="str">
        <f t="shared" ref="A774:A837" si="39">IF(F774="","",ROW()-5)</f>
        <v/>
      </c>
      <c r="B774" s="45"/>
      <c r="C774" s="45"/>
      <c r="D774" s="45"/>
      <c r="E774" s="50"/>
      <c r="F774" s="51"/>
      <c r="G774" s="52"/>
      <c r="H774" s="52"/>
      <c r="I774" s="52" t="str">
        <f t="shared" ref="I774:I837" si="40">IF(AND(LEN(F774)=18, ISBLANK(G774)=FALSE(), ISBLANK(H774)=FALSE()),37,"")</f>
        <v/>
      </c>
      <c r="J774" s="54"/>
      <c r="K774" s="55" t="str">
        <f t="shared" ref="K774:K837" si="41">IF(OR(J774="",Q774=0),"",IF(COUNTA(L774:P774)&gt;Q774,"Seluruh pilihan telah dipilih, anda memilih lebih dari kemungkinan pilihan yang tersedia, periksa pilihan anda "&amp;"("&amp;COUNTA(L774:P774)&amp;"/"&amp;Q774&amp;")",IF(COUNTA(L774:P774)=Q774,IF(SUMPRODUCT(COUNTIF(L774:P774,L774:P774)*(L774:P774&lt;&gt;""))&gt;COUNTA(L774:P774),"Terdapat pilihan yang sama, segera ubah "&amp;"("&amp;COUNTA(L774:P774)&amp;"/"&amp;Q774&amp;")","Seluruh pilihan telah dipilih "&amp;"("&amp;COUNTA(L774:P774)&amp;"/"&amp;Q774&amp;")"),IF(COUNTA(L774:P774)&gt;0,"Masih terdapat pilihan yang bisa dipilih, silahkan melengkapi pilihan "&amp;"("&amp;COUNTA(L774:P774)&amp;"/"&amp;Q774&amp;")",""))))</f>
        <v/>
      </c>
      <c r="L774" s="54"/>
      <c r="M774" s="54"/>
      <c r="N774" s="54"/>
      <c r="O774" s="54"/>
      <c r="P774" s="54"/>
      <c r="S774" s="38"/>
      <c r="T774" s="38"/>
      <c r="U774" s="38"/>
      <c r="V774" s="37"/>
      <c r="W774" s="37"/>
      <c r="X774" s="37"/>
      <c r="Y774" s="37"/>
      <c r="Z774" s="37"/>
      <c r="AA774" s="37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</row>
    <row r="775" spans="1:52" ht="39.75" hidden="1" customHeight="1" x14ac:dyDescent="0.2">
      <c r="A775" s="45" t="str">
        <f t="shared" si="39"/>
        <v/>
      </c>
      <c r="B775" s="45"/>
      <c r="C775" s="45"/>
      <c r="D775" s="45"/>
      <c r="E775" s="50"/>
      <c r="F775" s="51"/>
      <c r="G775" s="52"/>
      <c r="H775" s="52"/>
      <c r="I775" s="52" t="str">
        <f t="shared" si="40"/>
        <v/>
      </c>
      <c r="J775" s="54"/>
      <c r="K775" s="55" t="str">
        <f t="shared" si="41"/>
        <v/>
      </c>
      <c r="L775" s="54"/>
      <c r="M775" s="54"/>
      <c r="N775" s="54"/>
      <c r="O775" s="54"/>
      <c r="P775" s="54"/>
      <c r="S775" s="38"/>
      <c r="T775" s="38"/>
      <c r="U775" s="38"/>
      <c r="V775" s="37"/>
      <c r="W775" s="37"/>
      <c r="X775" s="37"/>
      <c r="Y775" s="37"/>
      <c r="Z775" s="37"/>
      <c r="AA775" s="37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</row>
    <row r="776" spans="1:52" ht="39.75" hidden="1" customHeight="1" x14ac:dyDescent="0.2">
      <c r="A776" s="45" t="str">
        <f t="shared" si="39"/>
        <v/>
      </c>
      <c r="B776" s="45"/>
      <c r="C776" s="45"/>
      <c r="D776" s="45"/>
      <c r="E776" s="50"/>
      <c r="F776" s="51"/>
      <c r="G776" s="52"/>
      <c r="H776" s="52"/>
      <c r="I776" s="52" t="str">
        <f t="shared" si="40"/>
        <v/>
      </c>
      <c r="J776" s="54"/>
      <c r="K776" s="55" t="str">
        <f t="shared" si="41"/>
        <v/>
      </c>
      <c r="L776" s="54"/>
      <c r="M776" s="54"/>
      <c r="N776" s="54"/>
      <c r="O776" s="54"/>
      <c r="P776" s="54"/>
      <c r="S776" s="38"/>
      <c r="T776" s="38"/>
      <c r="U776" s="38"/>
      <c r="V776" s="37"/>
      <c r="W776" s="37"/>
      <c r="X776" s="37"/>
      <c r="Y776" s="37"/>
      <c r="Z776" s="37"/>
      <c r="AA776" s="37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</row>
    <row r="777" spans="1:52" ht="39.75" hidden="1" customHeight="1" x14ac:dyDescent="0.2">
      <c r="A777" s="45" t="str">
        <f t="shared" si="39"/>
        <v/>
      </c>
      <c r="B777" s="45"/>
      <c r="C777" s="45"/>
      <c r="D777" s="45"/>
      <c r="E777" s="50"/>
      <c r="F777" s="51"/>
      <c r="G777" s="52"/>
      <c r="H777" s="52"/>
      <c r="I777" s="52" t="str">
        <f t="shared" si="40"/>
        <v/>
      </c>
      <c r="J777" s="54"/>
      <c r="K777" s="55" t="str">
        <f t="shared" si="41"/>
        <v/>
      </c>
      <c r="L777" s="54"/>
      <c r="M777" s="54"/>
      <c r="N777" s="54"/>
      <c r="O777" s="54"/>
      <c r="P777" s="54"/>
      <c r="S777" s="38"/>
      <c r="T777" s="38"/>
      <c r="U777" s="38"/>
      <c r="V777" s="37"/>
      <c r="W777" s="37"/>
      <c r="X777" s="37"/>
      <c r="Y777" s="37"/>
      <c r="Z777" s="37"/>
      <c r="AA777" s="37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8"/>
      <c r="AY777" s="38"/>
      <c r="AZ777" s="38"/>
    </row>
    <row r="778" spans="1:52" ht="39.75" hidden="1" customHeight="1" x14ac:dyDescent="0.2">
      <c r="A778" s="45" t="str">
        <f t="shared" si="39"/>
        <v/>
      </c>
      <c r="B778" s="45"/>
      <c r="C778" s="45"/>
      <c r="D778" s="45"/>
      <c r="E778" s="50"/>
      <c r="F778" s="51"/>
      <c r="G778" s="52"/>
      <c r="H778" s="52"/>
      <c r="I778" s="52" t="str">
        <f t="shared" si="40"/>
        <v/>
      </c>
      <c r="J778" s="54"/>
      <c r="K778" s="55" t="str">
        <f t="shared" si="41"/>
        <v/>
      </c>
      <c r="L778" s="54"/>
      <c r="M778" s="54"/>
      <c r="N778" s="54"/>
      <c r="O778" s="54"/>
      <c r="P778" s="54"/>
      <c r="S778" s="38"/>
      <c r="T778" s="38"/>
      <c r="U778" s="38"/>
      <c r="V778" s="37"/>
      <c r="W778" s="37"/>
      <c r="X778" s="37"/>
      <c r="Y778" s="37"/>
      <c r="Z778" s="37"/>
      <c r="AA778" s="37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</row>
    <row r="779" spans="1:52" ht="39.75" hidden="1" customHeight="1" x14ac:dyDescent="0.2">
      <c r="A779" s="45" t="str">
        <f t="shared" si="39"/>
        <v/>
      </c>
      <c r="B779" s="45"/>
      <c r="C779" s="45"/>
      <c r="D779" s="45"/>
      <c r="E779" s="50"/>
      <c r="F779" s="51"/>
      <c r="G779" s="52"/>
      <c r="H779" s="52"/>
      <c r="I779" s="52" t="str">
        <f t="shared" si="40"/>
        <v/>
      </c>
      <c r="J779" s="54"/>
      <c r="K779" s="55" t="str">
        <f t="shared" si="41"/>
        <v/>
      </c>
      <c r="L779" s="54"/>
      <c r="M779" s="54"/>
      <c r="N779" s="54"/>
      <c r="O779" s="54"/>
      <c r="P779" s="54"/>
      <c r="S779" s="38"/>
      <c r="T779" s="38"/>
      <c r="U779" s="38"/>
      <c r="V779" s="37"/>
      <c r="W779" s="37"/>
      <c r="X779" s="37"/>
      <c r="Y779" s="37"/>
      <c r="Z779" s="37"/>
      <c r="AA779" s="37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</row>
    <row r="780" spans="1:52" ht="39.75" hidden="1" customHeight="1" x14ac:dyDescent="0.2">
      <c r="A780" s="45" t="str">
        <f t="shared" si="39"/>
        <v/>
      </c>
      <c r="B780" s="45"/>
      <c r="C780" s="45"/>
      <c r="D780" s="45"/>
      <c r="E780" s="50"/>
      <c r="F780" s="51"/>
      <c r="G780" s="52"/>
      <c r="H780" s="52"/>
      <c r="I780" s="52" t="str">
        <f t="shared" si="40"/>
        <v/>
      </c>
      <c r="J780" s="54"/>
      <c r="K780" s="55" t="str">
        <f t="shared" si="41"/>
        <v/>
      </c>
      <c r="L780" s="54"/>
      <c r="M780" s="54"/>
      <c r="N780" s="54"/>
      <c r="O780" s="54"/>
      <c r="P780" s="54"/>
      <c r="S780" s="38"/>
      <c r="T780" s="38"/>
      <c r="U780" s="38"/>
      <c r="V780" s="37"/>
      <c r="W780" s="37"/>
      <c r="X780" s="37"/>
      <c r="Y780" s="37"/>
      <c r="Z780" s="37"/>
      <c r="AA780" s="37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/>
      <c r="AY780" s="38"/>
      <c r="AZ780" s="38"/>
    </row>
    <row r="781" spans="1:52" ht="39.75" hidden="1" customHeight="1" x14ac:dyDescent="0.2">
      <c r="A781" s="45" t="str">
        <f t="shared" si="39"/>
        <v/>
      </c>
      <c r="B781" s="45"/>
      <c r="C781" s="45"/>
      <c r="D781" s="45"/>
      <c r="E781" s="50"/>
      <c r="F781" s="51"/>
      <c r="G781" s="52"/>
      <c r="H781" s="52"/>
      <c r="I781" s="52" t="str">
        <f t="shared" si="40"/>
        <v/>
      </c>
      <c r="J781" s="54"/>
      <c r="K781" s="55" t="str">
        <f t="shared" si="41"/>
        <v/>
      </c>
      <c r="L781" s="54"/>
      <c r="M781" s="54"/>
      <c r="N781" s="54"/>
      <c r="O781" s="54"/>
      <c r="P781" s="54"/>
      <c r="S781" s="38"/>
      <c r="T781" s="38"/>
      <c r="U781" s="38"/>
      <c r="V781" s="37"/>
      <c r="W781" s="37"/>
      <c r="X781" s="37"/>
      <c r="Y781" s="37"/>
      <c r="Z781" s="37"/>
      <c r="AA781" s="37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</row>
    <row r="782" spans="1:52" ht="39.75" hidden="1" customHeight="1" x14ac:dyDescent="0.2">
      <c r="A782" s="45" t="str">
        <f t="shared" si="39"/>
        <v/>
      </c>
      <c r="B782" s="45"/>
      <c r="C782" s="45"/>
      <c r="D782" s="45"/>
      <c r="E782" s="50"/>
      <c r="F782" s="51"/>
      <c r="G782" s="52"/>
      <c r="H782" s="52"/>
      <c r="I782" s="52" t="str">
        <f t="shared" si="40"/>
        <v/>
      </c>
      <c r="J782" s="54"/>
      <c r="K782" s="55" t="str">
        <f t="shared" si="41"/>
        <v/>
      </c>
      <c r="L782" s="54"/>
      <c r="M782" s="54"/>
      <c r="N782" s="54"/>
      <c r="O782" s="54"/>
      <c r="P782" s="54"/>
      <c r="S782" s="38"/>
      <c r="T782" s="38"/>
      <c r="U782" s="38"/>
      <c r="V782" s="37"/>
      <c r="W782" s="37"/>
      <c r="X782" s="37"/>
      <c r="Y782" s="37"/>
      <c r="Z782" s="37"/>
      <c r="AA782" s="37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</row>
    <row r="783" spans="1:52" ht="39.75" hidden="1" customHeight="1" x14ac:dyDescent="0.2">
      <c r="A783" s="45" t="str">
        <f t="shared" si="39"/>
        <v/>
      </c>
      <c r="B783" s="45"/>
      <c r="C783" s="45"/>
      <c r="D783" s="45"/>
      <c r="E783" s="50"/>
      <c r="F783" s="51"/>
      <c r="G783" s="52"/>
      <c r="H783" s="52"/>
      <c r="I783" s="52" t="str">
        <f t="shared" si="40"/>
        <v/>
      </c>
      <c r="J783" s="54"/>
      <c r="K783" s="55" t="str">
        <f t="shared" si="41"/>
        <v/>
      </c>
      <c r="L783" s="54"/>
      <c r="M783" s="54"/>
      <c r="N783" s="54"/>
      <c r="O783" s="54"/>
      <c r="P783" s="54"/>
      <c r="S783" s="38"/>
      <c r="T783" s="38"/>
      <c r="U783" s="38"/>
      <c r="V783" s="37"/>
      <c r="W783" s="37"/>
      <c r="X783" s="37"/>
      <c r="Y783" s="37"/>
      <c r="Z783" s="37"/>
      <c r="AA783" s="37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</row>
    <row r="784" spans="1:52" ht="39.75" hidden="1" customHeight="1" x14ac:dyDescent="0.2">
      <c r="A784" s="45" t="str">
        <f t="shared" si="39"/>
        <v/>
      </c>
      <c r="B784" s="45"/>
      <c r="C784" s="45"/>
      <c r="D784" s="45"/>
      <c r="E784" s="50"/>
      <c r="F784" s="51"/>
      <c r="G784" s="52"/>
      <c r="H784" s="52"/>
      <c r="I784" s="52" t="str">
        <f t="shared" si="40"/>
        <v/>
      </c>
      <c r="J784" s="54"/>
      <c r="K784" s="55" t="str">
        <f t="shared" si="41"/>
        <v/>
      </c>
      <c r="L784" s="54"/>
      <c r="M784" s="54"/>
      <c r="N784" s="54"/>
      <c r="O784" s="54"/>
      <c r="P784" s="54"/>
      <c r="S784" s="38"/>
      <c r="T784" s="38"/>
      <c r="U784" s="38"/>
      <c r="V784" s="37"/>
      <c r="W784" s="37"/>
      <c r="X784" s="37"/>
      <c r="Y784" s="37"/>
      <c r="Z784" s="37"/>
      <c r="AA784" s="37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  <c r="AV784" s="38"/>
      <c r="AW784" s="38"/>
      <c r="AX784" s="38"/>
      <c r="AY784" s="38"/>
      <c r="AZ784" s="38"/>
    </row>
    <row r="785" spans="1:52" ht="39.75" hidden="1" customHeight="1" x14ac:dyDescent="0.2">
      <c r="A785" s="45" t="str">
        <f t="shared" si="39"/>
        <v/>
      </c>
      <c r="B785" s="45"/>
      <c r="C785" s="45"/>
      <c r="D785" s="45"/>
      <c r="E785" s="50"/>
      <c r="F785" s="51"/>
      <c r="G785" s="52"/>
      <c r="H785" s="52"/>
      <c r="I785" s="52" t="str">
        <f t="shared" si="40"/>
        <v/>
      </c>
      <c r="J785" s="54"/>
      <c r="K785" s="55" t="str">
        <f t="shared" si="41"/>
        <v/>
      </c>
      <c r="L785" s="54"/>
      <c r="M785" s="54"/>
      <c r="N785" s="54"/>
      <c r="O785" s="54"/>
      <c r="P785" s="54"/>
      <c r="S785" s="38"/>
      <c r="T785" s="38"/>
      <c r="U785" s="38"/>
      <c r="V785" s="37"/>
      <c r="W785" s="37"/>
      <c r="X785" s="37"/>
      <c r="Y785" s="37"/>
      <c r="Z785" s="37"/>
      <c r="AA785" s="37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</row>
    <row r="786" spans="1:52" ht="39.75" hidden="1" customHeight="1" x14ac:dyDescent="0.2">
      <c r="A786" s="45" t="str">
        <f t="shared" si="39"/>
        <v/>
      </c>
      <c r="B786" s="45"/>
      <c r="C786" s="45"/>
      <c r="D786" s="45"/>
      <c r="E786" s="50"/>
      <c r="F786" s="51"/>
      <c r="G786" s="52"/>
      <c r="H786" s="52"/>
      <c r="I786" s="52" t="str">
        <f t="shared" si="40"/>
        <v/>
      </c>
      <c r="J786" s="54"/>
      <c r="K786" s="55" t="str">
        <f t="shared" si="41"/>
        <v/>
      </c>
      <c r="L786" s="54"/>
      <c r="M786" s="54"/>
      <c r="N786" s="54"/>
      <c r="O786" s="54"/>
      <c r="P786" s="54"/>
      <c r="S786" s="38"/>
      <c r="T786" s="38"/>
      <c r="U786" s="38"/>
      <c r="V786" s="37"/>
      <c r="W786" s="37"/>
      <c r="X786" s="37"/>
      <c r="Y786" s="37"/>
      <c r="Z786" s="37"/>
      <c r="AA786" s="37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</row>
    <row r="787" spans="1:52" ht="39.75" hidden="1" customHeight="1" x14ac:dyDescent="0.2">
      <c r="A787" s="45" t="str">
        <f t="shared" si="39"/>
        <v/>
      </c>
      <c r="B787" s="45"/>
      <c r="C787" s="45"/>
      <c r="D787" s="45"/>
      <c r="E787" s="50"/>
      <c r="F787" s="51"/>
      <c r="G787" s="52"/>
      <c r="H787" s="52"/>
      <c r="I787" s="52" t="str">
        <f t="shared" si="40"/>
        <v/>
      </c>
      <c r="J787" s="54"/>
      <c r="K787" s="55" t="str">
        <f t="shared" si="41"/>
        <v/>
      </c>
      <c r="L787" s="54"/>
      <c r="M787" s="54"/>
      <c r="N787" s="54"/>
      <c r="O787" s="54"/>
      <c r="P787" s="54"/>
      <c r="S787" s="38"/>
      <c r="T787" s="38"/>
      <c r="U787" s="38"/>
      <c r="V787" s="37"/>
      <c r="W787" s="37"/>
      <c r="X787" s="37"/>
      <c r="Y787" s="37"/>
      <c r="Z787" s="37"/>
      <c r="AA787" s="37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</row>
    <row r="788" spans="1:52" ht="39.75" hidden="1" customHeight="1" x14ac:dyDescent="0.2">
      <c r="A788" s="45" t="str">
        <f t="shared" si="39"/>
        <v/>
      </c>
      <c r="B788" s="45"/>
      <c r="C788" s="45"/>
      <c r="D788" s="45"/>
      <c r="E788" s="50"/>
      <c r="F788" s="51"/>
      <c r="G788" s="52"/>
      <c r="H788" s="52"/>
      <c r="I788" s="52" t="str">
        <f t="shared" si="40"/>
        <v/>
      </c>
      <c r="J788" s="54"/>
      <c r="K788" s="55" t="str">
        <f t="shared" si="41"/>
        <v/>
      </c>
      <c r="L788" s="54"/>
      <c r="M788" s="54"/>
      <c r="N788" s="54"/>
      <c r="O788" s="54"/>
      <c r="P788" s="54"/>
      <c r="S788" s="38"/>
      <c r="T788" s="38"/>
      <c r="U788" s="38"/>
      <c r="V788" s="37"/>
      <c r="W788" s="37"/>
      <c r="X788" s="37"/>
      <c r="Y788" s="37"/>
      <c r="Z788" s="37"/>
      <c r="AA788" s="37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</row>
    <row r="789" spans="1:52" ht="39.75" hidden="1" customHeight="1" x14ac:dyDescent="0.2">
      <c r="A789" s="45" t="str">
        <f t="shared" si="39"/>
        <v/>
      </c>
      <c r="B789" s="45"/>
      <c r="C789" s="45"/>
      <c r="D789" s="45"/>
      <c r="E789" s="50"/>
      <c r="F789" s="51"/>
      <c r="G789" s="52"/>
      <c r="H789" s="52"/>
      <c r="I789" s="52" t="str">
        <f t="shared" si="40"/>
        <v/>
      </c>
      <c r="J789" s="54"/>
      <c r="K789" s="55" t="str">
        <f t="shared" si="41"/>
        <v/>
      </c>
      <c r="L789" s="54"/>
      <c r="M789" s="54"/>
      <c r="N789" s="54"/>
      <c r="O789" s="54"/>
      <c r="P789" s="54"/>
      <c r="S789" s="38"/>
      <c r="T789" s="38"/>
      <c r="U789" s="38"/>
      <c r="V789" s="37"/>
      <c r="W789" s="37"/>
      <c r="X789" s="37"/>
      <c r="Y789" s="37"/>
      <c r="Z789" s="37"/>
      <c r="AA789" s="37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</row>
    <row r="790" spans="1:52" ht="39.75" hidden="1" customHeight="1" x14ac:dyDescent="0.2">
      <c r="A790" s="45" t="str">
        <f t="shared" si="39"/>
        <v/>
      </c>
      <c r="B790" s="45"/>
      <c r="C790" s="45"/>
      <c r="D790" s="45"/>
      <c r="E790" s="50"/>
      <c r="F790" s="51"/>
      <c r="G790" s="52"/>
      <c r="H790" s="52"/>
      <c r="I790" s="52" t="str">
        <f t="shared" si="40"/>
        <v/>
      </c>
      <c r="J790" s="54"/>
      <c r="K790" s="55" t="str">
        <f t="shared" si="41"/>
        <v/>
      </c>
      <c r="L790" s="54"/>
      <c r="M790" s="54"/>
      <c r="N790" s="54"/>
      <c r="O790" s="54"/>
      <c r="P790" s="54"/>
      <c r="S790" s="38"/>
      <c r="T790" s="38"/>
      <c r="U790" s="38"/>
      <c r="V790" s="37"/>
      <c r="W790" s="37"/>
      <c r="X790" s="37"/>
      <c r="Y790" s="37"/>
      <c r="Z790" s="37"/>
      <c r="AA790" s="37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</row>
    <row r="791" spans="1:52" ht="39.75" hidden="1" customHeight="1" x14ac:dyDescent="0.2">
      <c r="A791" s="45" t="str">
        <f t="shared" si="39"/>
        <v/>
      </c>
      <c r="B791" s="45"/>
      <c r="C791" s="45"/>
      <c r="D791" s="45"/>
      <c r="E791" s="50"/>
      <c r="F791" s="51"/>
      <c r="G791" s="52"/>
      <c r="H791" s="52"/>
      <c r="I791" s="52" t="str">
        <f t="shared" si="40"/>
        <v/>
      </c>
      <c r="J791" s="54"/>
      <c r="K791" s="55" t="str">
        <f t="shared" si="41"/>
        <v/>
      </c>
      <c r="L791" s="54"/>
      <c r="M791" s="54"/>
      <c r="N791" s="54"/>
      <c r="O791" s="54"/>
      <c r="P791" s="54"/>
      <c r="S791" s="38"/>
      <c r="T791" s="38"/>
      <c r="U791" s="38"/>
      <c r="V791" s="37"/>
      <c r="W791" s="37"/>
      <c r="X791" s="37"/>
      <c r="Y791" s="37"/>
      <c r="Z791" s="37"/>
      <c r="AA791" s="37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</row>
    <row r="792" spans="1:52" ht="39.75" hidden="1" customHeight="1" x14ac:dyDescent="0.2">
      <c r="A792" s="45" t="str">
        <f t="shared" si="39"/>
        <v/>
      </c>
      <c r="B792" s="45"/>
      <c r="C792" s="45"/>
      <c r="D792" s="45"/>
      <c r="E792" s="50"/>
      <c r="F792" s="51"/>
      <c r="G792" s="52"/>
      <c r="H792" s="52"/>
      <c r="I792" s="52" t="str">
        <f t="shared" si="40"/>
        <v/>
      </c>
      <c r="J792" s="54"/>
      <c r="K792" s="55" t="str">
        <f t="shared" si="41"/>
        <v/>
      </c>
      <c r="L792" s="54"/>
      <c r="M792" s="54"/>
      <c r="N792" s="54"/>
      <c r="O792" s="54"/>
      <c r="P792" s="54"/>
      <c r="S792" s="38"/>
      <c r="T792" s="38"/>
      <c r="U792" s="38"/>
      <c r="V792" s="37"/>
      <c r="W792" s="37"/>
      <c r="X792" s="37"/>
      <c r="Y792" s="37"/>
      <c r="Z792" s="37"/>
      <c r="AA792" s="37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</row>
    <row r="793" spans="1:52" ht="39.75" hidden="1" customHeight="1" x14ac:dyDescent="0.2">
      <c r="A793" s="45" t="str">
        <f t="shared" si="39"/>
        <v/>
      </c>
      <c r="B793" s="45"/>
      <c r="C793" s="45"/>
      <c r="D793" s="45"/>
      <c r="E793" s="50"/>
      <c r="F793" s="51"/>
      <c r="G793" s="52"/>
      <c r="H793" s="52"/>
      <c r="I793" s="52" t="str">
        <f t="shared" si="40"/>
        <v/>
      </c>
      <c r="J793" s="54"/>
      <c r="K793" s="55" t="str">
        <f t="shared" si="41"/>
        <v/>
      </c>
      <c r="L793" s="54"/>
      <c r="M793" s="54"/>
      <c r="N793" s="54"/>
      <c r="O793" s="54"/>
      <c r="P793" s="54"/>
      <c r="S793" s="38"/>
      <c r="T793" s="38"/>
      <c r="U793" s="38"/>
      <c r="V793" s="37"/>
      <c r="W793" s="37"/>
      <c r="X793" s="37"/>
      <c r="Y793" s="37"/>
      <c r="Z793" s="37"/>
      <c r="AA793" s="37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</row>
    <row r="794" spans="1:52" ht="39.75" hidden="1" customHeight="1" x14ac:dyDescent="0.2">
      <c r="A794" s="45" t="str">
        <f t="shared" si="39"/>
        <v/>
      </c>
      <c r="B794" s="45"/>
      <c r="C794" s="45"/>
      <c r="D794" s="45"/>
      <c r="E794" s="50"/>
      <c r="F794" s="51"/>
      <c r="G794" s="52"/>
      <c r="H794" s="52"/>
      <c r="I794" s="52" t="str">
        <f t="shared" si="40"/>
        <v/>
      </c>
      <c r="J794" s="54"/>
      <c r="K794" s="55" t="str">
        <f t="shared" si="41"/>
        <v/>
      </c>
      <c r="L794" s="54"/>
      <c r="M794" s="54"/>
      <c r="N794" s="54"/>
      <c r="O794" s="54"/>
      <c r="P794" s="54"/>
      <c r="S794" s="38"/>
      <c r="T794" s="38"/>
      <c r="U794" s="38"/>
      <c r="V794" s="37"/>
      <c r="W794" s="37"/>
      <c r="X794" s="37"/>
      <c r="Y794" s="37"/>
      <c r="Z794" s="37"/>
      <c r="AA794" s="37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</row>
    <row r="795" spans="1:52" ht="39.75" hidden="1" customHeight="1" x14ac:dyDescent="0.2">
      <c r="A795" s="45" t="str">
        <f t="shared" si="39"/>
        <v/>
      </c>
      <c r="B795" s="45"/>
      <c r="C795" s="45"/>
      <c r="D795" s="45"/>
      <c r="E795" s="50"/>
      <c r="F795" s="51"/>
      <c r="G795" s="52"/>
      <c r="H795" s="52"/>
      <c r="I795" s="52" t="str">
        <f t="shared" si="40"/>
        <v/>
      </c>
      <c r="J795" s="54"/>
      <c r="K795" s="55" t="str">
        <f t="shared" si="41"/>
        <v/>
      </c>
      <c r="L795" s="54"/>
      <c r="M795" s="54"/>
      <c r="N795" s="54"/>
      <c r="O795" s="54"/>
      <c r="P795" s="54"/>
      <c r="S795" s="38"/>
      <c r="T795" s="38"/>
      <c r="U795" s="38"/>
      <c r="V795" s="37"/>
      <c r="W795" s="37"/>
      <c r="X795" s="37"/>
      <c r="Y795" s="37"/>
      <c r="Z795" s="37"/>
      <c r="AA795" s="37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</row>
    <row r="796" spans="1:52" ht="39.75" hidden="1" customHeight="1" x14ac:dyDescent="0.2">
      <c r="A796" s="45" t="str">
        <f t="shared" si="39"/>
        <v/>
      </c>
      <c r="B796" s="45"/>
      <c r="C796" s="45"/>
      <c r="D796" s="45"/>
      <c r="E796" s="50"/>
      <c r="F796" s="51"/>
      <c r="G796" s="52"/>
      <c r="H796" s="52"/>
      <c r="I796" s="52" t="str">
        <f t="shared" si="40"/>
        <v/>
      </c>
      <c r="J796" s="54"/>
      <c r="K796" s="55" t="str">
        <f t="shared" si="41"/>
        <v/>
      </c>
      <c r="L796" s="54"/>
      <c r="M796" s="54"/>
      <c r="N796" s="54"/>
      <c r="O796" s="54"/>
      <c r="P796" s="54"/>
      <c r="S796" s="38"/>
      <c r="T796" s="38"/>
      <c r="U796" s="38"/>
      <c r="V796" s="37"/>
      <c r="W796" s="37"/>
      <c r="X796" s="37"/>
      <c r="Y796" s="37"/>
      <c r="Z796" s="37"/>
      <c r="AA796" s="37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</row>
    <row r="797" spans="1:52" ht="39.75" hidden="1" customHeight="1" x14ac:dyDescent="0.2">
      <c r="A797" s="45" t="str">
        <f t="shared" si="39"/>
        <v/>
      </c>
      <c r="B797" s="45"/>
      <c r="C797" s="45"/>
      <c r="D797" s="45"/>
      <c r="E797" s="50"/>
      <c r="F797" s="51"/>
      <c r="G797" s="52"/>
      <c r="H797" s="52"/>
      <c r="I797" s="52" t="str">
        <f t="shared" si="40"/>
        <v/>
      </c>
      <c r="J797" s="54"/>
      <c r="K797" s="55" t="str">
        <f t="shared" si="41"/>
        <v/>
      </c>
      <c r="L797" s="54"/>
      <c r="M797" s="54"/>
      <c r="N797" s="54"/>
      <c r="O797" s="54"/>
      <c r="P797" s="54"/>
      <c r="S797" s="38"/>
      <c r="T797" s="38"/>
      <c r="U797" s="38"/>
      <c r="V797" s="37"/>
      <c r="W797" s="37"/>
      <c r="X797" s="37"/>
      <c r="Y797" s="37"/>
      <c r="Z797" s="37"/>
      <c r="AA797" s="37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</row>
    <row r="798" spans="1:52" ht="39.75" hidden="1" customHeight="1" x14ac:dyDescent="0.2">
      <c r="A798" s="45" t="str">
        <f t="shared" si="39"/>
        <v/>
      </c>
      <c r="B798" s="45"/>
      <c r="C798" s="45"/>
      <c r="D798" s="45"/>
      <c r="E798" s="50"/>
      <c r="F798" s="51"/>
      <c r="G798" s="52"/>
      <c r="H798" s="52"/>
      <c r="I798" s="52" t="str">
        <f t="shared" si="40"/>
        <v/>
      </c>
      <c r="J798" s="54"/>
      <c r="K798" s="55" t="str">
        <f t="shared" si="41"/>
        <v/>
      </c>
      <c r="L798" s="54"/>
      <c r="M798" s="54"/>
      <c r="N798" s="54"/>
      <c r="O798" s="54"/>
      <c r="P798" s="54"/>
      <c r="S798" s="38"/>
      <c r="T798" s="38"/>
      <c r="U798" s="38"/>
      <c r="V798" s="37"/>
      <c r="W798" s="37"/>
      <c r="X798" s="37"/>
      <c r="Y798" s="37"/>
      <c r="Z798" s="37"/>
      <c r="AA798" s="37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</row>
    <row r="799" spans="1:52" ht="39.75" hidden="1" customHeight="1" x14ac:dyDescent="0.2">
      <c r="A799" s="45" t="str">
        <f t="shared" si="39"/>
        <v/>
      </c>
      <c r="B799" s="45"/>
      <c r="C799" s="45"/>
      <c r="D799" s="45"/>
      <c r="E799" s="50"/>
      <c r="F799" s="51"/>
      <c r="G799" s="52"/>
      <c r="H799" s="52"/>
      <c r="I799" s="52" t="str">
        <f t="shared" si="40"/>
        <v/>
      </c>
      <c r="J799" s="54"/>
      <c r="K799" s="55" t="str">
        <f t="shared" si="41"/>
        <v/>
      </c>
      <c r="L799" s="54"/>
      <c r="M799" s="54"/>
      <c r="N799" s="54"/>
      <c r="O799" s="54"/>
      <c r="P799" s="54"/>
      <c r="S799" s="38"/>
      <c r="T799" s="38"/>
      <c r="U799" s="38"/>
      <c r="V799" s="37"/>
      <c r="W799" s="37"/>
      <c r="X799" s="37"/>
      <c r="Y799" s="37"/>
      <c r="Z799" s="37"/>
      <c r="AA799" s="37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</row>
    <row r="800" spans="1:52" ht="39.75" hidden="1" customHeight="1" x14ac:dyDescent="0.2">
      <c r="A800" s="45" t="str">
        <f t="shared" si="39"/>
        <v/>
      </c>
      <c r="B800" s="45"/>
      <c r="C800" s="45"/>
      <c r="D800" s="45"/>
      <c r="E800" s="50"/>
      <c r="F800" s="51"/>
      <c r="G800" s="52"/>
      <c r="H800" s="52"/>
      <c r="I800" s="52" t="str">
        <f t="shared" si="40"/>
        <v/>
      </c>
      <c r="J800" s="54"/>
      <c r="K800" s="55" t="str">
        <f t="shared" si="41"/>
        <v/>
      </c>
      <c r="L800" s="54"/>
      <c r="M800" s="54"/>
      <c r="N800" s="54"/>
      <c r="O800" s="54"/>
      <c r="P800" s="54"/>
      <c r="S800" s="38"/>
      <c r="T800" s="38"/>
      <c r="U800" s="38"/>
      <c r="V800" s="37"/>
      <c r="W800" s="37"/>
      <c r="X800" s="37"/>
      <c r="Y800" s="37"/>
      <c r="Z800" s="37"/>
      <c r="AA800" s="37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</row>
    <row r="801" spans="1:52" ht="39.75" hidden="1" customHeight="1" x14ac:dyDescent="0.2">
      <c r="A801" s="45" t="str">
        <f t="shared" si="39"/>
        <v/>
      </c>
      <c r="B801" s="45"/>
      <c r="C801" s="45"/>
      <c r="D801" s="45"/>
      <c r="E801" s="50"/>
      <c r="F801" s="51"/>
      <c r="G801" s="52"/>
      <c r="H801" s="52"/>
      <c r="I801" s="52" t="str">
        <f t="shared" si="40"/>
        <v/>
      </c>
      <c r="J801" s="54"/>
      <c r="K801" s="55" t="str">
        <f t="shared" si="41"/>
        <v/>
      </c>
      <c r="L801" s="54"/>
      <c r="M801" s="54"/>
      <c r="N801" s="54"/>
      <c r="O801" s="54"/>
      <c r="P801" s="54"/>
      <c r="S801" s="38"/>
      <c r="T801" s="38"/>
      <c r="U801" s="38"/>
      <c r="V801" s="37"/>
      <c r="W801" s="37"/>
      <c r="X801" s="37"/>
      <c r="Y801" s="37"/>
      <c r="Z801" s="37"/>
      <c r="AA801" s="37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</row>
    <row r="802" spans="1:52" ht="39.75" hidden="1" customHeight="1" x14ac:dyDescent="0.2">
      <c r="A802" s="45" t="str">
        <f t="shared" si="39"/>
        <v/>
      </c>
      <c r="B802" s="45"/>
      <c r="C802" s="45"/>
      <c r="D802" s="45"/>
      <c r="E802" s="50"/>
      <c r="F802" s="51"/>
      <c r="G802" s="52"/>
      <c r="H802" s="52"/>
      <c r="I802" s="52" t="str">
        <f t="shared" si="40"/>
        <v/>
      </c>
      <c r="J802" s="54"/>
      <c r="K802" s="55" t="str">
        <f t="shared" si="41"/>
        <v/>
      </c>
      <c r="L802" s="54"/>
      <c r="M802" s="54"/>
      <c r="N802" s="54"/>
      <c r="O802" s="54"/>
      <c r="P802" s="54"/>
      <c r="S802" s="38"/>
      <c r="T802" s="38"/>
      <c r="U802" s="38"/>
      <c r="V802" s="37"/>
      <c r="W802" s="37"/>
      <c r="X802" s="37"/>
      <c r="Y802" s="37"/>
      <c r="Z802" s="37"/>
      <c r="AA802" s="37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</row>
    <row r="803" spans="1:52" ht="39.75" hidden="1" customHeight="1" x14ac:dyDescent="0.2">
      <c r="A803" s="45" t="str">
        <f t="shared" si="39"/>
        <v/>
      </c>
      <c r="B803" s="45"/>
      <c r="C803" s="45"/>
      <c r="D803" s="45"/>
      <c r="E803" s="50"/>
      <c r="F803" s="51"/>
      <c r="G803" s="52"/>
      <c r="H803" s="52"/>
      <c r="I803" s="52" t="str">
        <f t="shared" si="40"/>
        <v/>
      </c>
      <c r="J803" s="54"/>
      <c r="K803" s="55" t="str">
        <f t="shared" si="41"/>
        <v/>
      </c>
      <c r="L803" s="54"/>
      <c r="M803" s="54"/>
      <c r="N803" s="54"/>
      <c r="O803" s="54"/>
      <c r="P803" s="54"/>
      <c r="S803" s="38"/>
      <c r="T803" s="38"/>
      <c r="U803" s="38"/>
      <c r="V803" s="37"/>
      <c r="W803" s="37"/>
      <c r="X803" s="37"/>
      <c r="Y803" s="37"/>
      <c r="Z803" s="37"/>
      <c r="AA803" s="37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</row>
    <row r="804" spans="1:52" ht="39.75" hidden="1" customHeight="1" x14ac:dyDescent="0.2">
      <c r="A804" s="45" t="str">
        <f t="shared" si="39"/>
        <v/>
      </c>
      <c r="B804" s="45"/>
      <c r="C804" s="45"/>
      <c r="D804" s="45"/>
      <c r="E804" s="50"/>
      <c r="F804" s="51"/>
      <c r="G804" s="52"/>
      <c r="H804" s="52"/>
      <c r="I804" s="52" t="str">
        <f t="shared" si="40"/>
        <v/>
      </c>
      <c r="J804" s="54"/>
      <c r="K804" s="55" t="str">
        <f t="shared" si="41"/>
        <v/>
      </c>
      <c r="L804" s="54"/>
      <c r="M804" s="54"/>
      <c r="N804" s="54"/>
      <c r="O804" s="54"/>
      <c r="P804" s="54"/>
      <c r="S804" s="38"/>
      <c r="T804" s="38"/>
      <c r="U804" s="38"/>
      <c r="V804" s="37"/>
      <c r="W804" s="37"/>
      <c r="X804" s="37"/>
      <c r="Y804" s="37"/>
      <c r="Z804" s="37"/>
      <c r="AA804" s="37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</row>
    <row r="805" spans="1:52" ht="39.75" hidden="1" customHeight="1" x14ac:dyDescent="0.2">
      <c r="A805" s="45" t="str">
        <f t="shared" si="39"/>
        <v/>
      </c>
      <c r="B805" s="45"/>
      <c r="C805" s="45"/>
      <c r="D805" s="45"/>
      <c r="E805" s="50"/>
      <c r="F805" s="51"/>
      <c r="G805" s="52"/>
      <c r="H805" s="52"/>
      <c r="I805" s="52" t="str">
        <f t="shared" si="40"/>
        <v/>
      </c>
      <c r="J805" s="54"/>
      <c r="K805" s="55" t="str">
        <f t="shared" si="41"/>
        <v/>
      </c>
      <c r="L805" s="54"/>
      <c r="M805" s="54"/>
      <c r="N805" s="54"/>
      <c r="O805" s="54"/>
      <c r="P805" s="54"/>
      <c r="S805" s="38"/>
      <c r="T805" s="38"/>
      <c r="U805" s="38"/>
      <c r="V805" s="37"/>
      <c r="W805" s="37"/>
      <c r="X805" s="37"/>
      <c r="Y805" s="37"/>
      <c r="Z805" s="37"/>
      <c r="AA805" s="37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</row>
    <row r="806" spans="1:52" ht="39.75" hidden="1" customHeight="1" x14ac:dyDescent="0.2">
      <c r="A806" s="45" t="str">
        <f t="shared" si="39"/>
        <v/>
      </c>
      <c r="B806" s="45"/>
      <c r="C806" s="45"/>
      <c r="D806" s="45"/>
      <c r="E806" s="50"/>
      <c r="F806" s="51"/>
      <c r="G806" s="52"/>
      <c r="H806" s="52"/>
      <c r="I806" s="52" t="str">
        <f t="shared" si="40"/>
        <v/>
      </c>
      <c r="J806" s="54"/>
      <c r="K806" s="55" t="str">
        <f t="shared" si="41"/>
        <v/>
      </c>
      <c r="L806" s="54"/>
      <c r="M806" s="54"/>
      <c r="N806" s="54"/>
      <c r="O806" s="54"/>
      <c r="P806" s="54"/>
      <c r="S806" s="38"/>
      <c r="T806" s="38"/>
      <c r="U806" s="38"/>
      <c r="V806" s="37"/>
      <c r="W806" s="37"/>
      <c r="X806" s="37"/>
      <c r="Y806" s="37"/>
      <c r="Z806" s="37"/>
      <c r="AA806" s="37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</row>
    <row r="807" spans="1:52" ht="39.75" hidden="1" customHeight="1" x14ac:dyDescent="0.2">
      <c r="A807" s="45" t="str">
        <f t="shared" si="39"/>
        <v/>
      </c>
      <c r="B807" s="45"/>
      <c r="C807" s="45"/>
      <c r="D807" s="45"/>
      <c r="E807" s="50"/>
      <c r="F807" s="51"/>
      <c r="G807" s="52"/>
      <c r="H807" s="52"/>
      <c r="I807" s="52" t="str">
        <f t="shared" si="40"/>
        <v/>
      </c>
      <c r="J807" s="54"/>
      <c r="K807" s="55" t="str">
        <f t="shared" si="41"/>
        <v/>
      </c>
      <c r="L807" s="54"/>
      <c r="M807" s="54"/>
      <c r="N807" s="54"/>
      <c r="O807" s="54"/>
      <c r="P807" s="54"/>
      <c r="S807" s="38"/>
      <c r="T807" s="38"/>
      <c r="U807" s="38"/>
      <c r="V807" s="37"/>
      <c r="W807" s="37"/>
      <c r="X807" s="37"/>
      <c r="Y807" s="37"/>
      <c r="Z807" s="37"/>
      <c r="AA807" s="37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</row>
    <row r="808" spans="1:52" ht="39.75" hidden="1" customHeight="1" x14ac:dyDescent="0.2">
      <c r="A808" s="45" t="str">
        <f t="shared" si="39"/>
        <v/>
      </c>
      <c r="B808" s="45"/>
      <c r="C808" s="45"/>
      <c r="D808" s="45"/>
      <c r="E808" s="50"/>
      <c r="F808" s="51"/>
      <c r="G808" s="52"/>
      <c r="H808" s="52"/>
      <c r="I808" s="52" t="str">
        <f t="shared" si="40"/>
        <v/>
      </c>
      <c r="J808" s="54"/>
      <c r="K808" s="55" t="str">
        <f t="shared" si="41"/>
        <v/>
      </c>
      <c r="L808" s="54"/>
      <c r="M808" s="54"/>
      <c r="N808" s="54"/>
      <c r="O808" s="54"/>
      <c r="P808" s="54"/>
      <c r="S808" s="38"/>
      <c r="T808" s="38"/>
      <c r="U808" s="38"/>
      <c r="V808" s="37"/>
      <c r="W808" s="37"/>
      <c r="X808" s="37"/>
      <c r="Y808" s="37"/>
      <c r="Z808" s="37"/>
      <c r="AA808" s="37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</row>
    <row r="809" spans="1:52" ht="39.75" hidden="1" customHeight="1" x14ac:dyDescent="0.2">
      <c r="A809" s="45" t="str">
        <f t="shared" si="39"/>
        <v/>
      </c>
      <c r="B809" s="45"/>
      <c r="C809" s="45"/>
      <c r="D809" s="45"/>
      <c r="E809" s="50"/>
      <c r="F809" s="51"/>
      <c r="G809" s="52"/>
      <c r="H809" s="52"/>
      <c r="I809" s="52" t="str">
        <f t="shared" si="40"/>
        <v/>
      </c>
      <c r="J809" s="54"/>
      <c r="K809" s="55" t="str">
        <f t="shared" si="41"/>
        <v/>
      </c>
      <c r="L809" s="54"/>
      <c r="M809" s="54"/>
      <c r="N809" s="54"/>
      <c r="O809" s="54"/>
      <c r="P809" s="54"/>
      <c r="S809" s="38"/>
      <c r="T809" s="38"/>
      <c r="U809" s="38"/>
      <c r="V809" s="37"/>
      <c r="W809" s="37"/>
      <c r="X809" s="37"/>
      <c r="Y809" s="37"/>
      <c r="Z809" s="37"/>
      <c r="AA809" s="37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</row>
    <row r="810" spans="1:52" ht="39.75" hidden="1" customHeight="1" x14ac:dyDescent="0.2">
      <c r="A810" s="45" t="str">
        <f t="shared" si="39"/>
        <v/>
      </c>
      <c r="B810" s="45"/>
      <c r="C810" s="45"/>
      <c r="D810" s="45"/>
      <c r="E810" s="50"/>
      <c r="F810" s="51"/>
      <c r="G810" s="52"/>
      <c r="H810" s="52"/>
      <c r="I810" s="52" t="str">
        <f t="shared" si="40"/>
        <v/>
      </c>
      <c r="J810" s="54"/>
      <c r="K810" s="55" t="str">
        <f t="shared" si="41"/>
        <v/>
      </c>
      <c r="L810" s="54"/>
      <c r="M810" s="54"/>
      <c r="N810" s="54"/>
      <c r="O810" s="54"/>
      <c r="P810" s="54"/>
      <c r="S810" s="38"/>
      <c r="T810" s="38"/>
      <c r="U810" s="38"/>
      <c r="V810" s="37"/>
      <c r="W810" s="37"/>
      <c r="X810" s="37"/>
      <c r="Y810" s="37"/>
      <c r="Z810" s="37"/>
      <c r="AA810" s="37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</row>
    <row r="811" spans="1:52" ht="39.75" hidden="1" customHeight="1" x14ac:dyDescent="0.2">
      <c r="A811" s="45" t="str">
        <f t="shared" si="39"/>
        <v/>
      </c>
      <c r="B811" s="45"/>
      <c r="C811" s="45"/>
      <c r="D811" s="45"/>
      <c r="E811" s="50"/>
      <c r="F811" s="51"/>
      <c r="G811" s="52"/>
      <c r="H811" s="52"/>
      <c r="I811" s="52" t="str">
        <f t="shared" si="40"/>
        <v/>
      </c>
      <c r="J811" s="54"/>
      <c r="K811" s="55" t="str">
        <f t="shared" si="41"/>
        <v/>
      </c>
      <c r="L811" s="54"/>
      <c r="M811" s="54"/>
      <c r="N811" s="54"/>
      <c r="O811" s="54"/>
      <c r="P811" s="54"/>
      <c r="S811" s="38"/>
      <c r="T811" s="38"/>
      <c r="U811" s="38"/>
      <c r="V811" s="37"/>
      <c r="W811" s="37"/>
      <c r="X811" s="37"/>
      <c r="Y811" s="37"/>
      <c r="Z811" s="37"/>
      <c r="AA811" s="37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</row>
    <row r="812" spans="1:52" ht="39.75" hidden="1" customHeight="1" x14ac:dyDescent="0.2">
      <c r="A812" s="45" t="str">
        <f t="shared" si="39"/>
        <v/>
      </c>
      <c r="B812" s="45"/>
      <c r="C812" s="45"/>
      <c r="D812" s="45"/>
      <c r="E812" s="50"/>
      <c r="F812" s="51"/>
      <c r="G812" s="52"/>
      <c r="H812" s="52"/>
      <c r="I812" s="52" t="str">
        <f t="shared" si="40"/>
        <v/>
      </c>
      <c r="J812" s="54"/>
      <c r="K812" s="55" t="str">
        <f t="shared" si="41"/>
        <v/>
      </c>
      <c r="L812" s="54"/>
      <c r="M812" s="54"/>
      <c r="N812" s="54"/>
      <c r="O812" s="54"/>
      <c r="P812" s="54"/>
      <c r="S812" s="38"/>
      <c r="T812" s="38"/>
      <c r="U812" s="38"/>
      <c r="V812" s="37"/>
      <c r="W812" s="37"/>
      <c r="X812" s="37"/>
      <c r="Y812" s="37"/>
      <c r="Z812" s="37"/>
      <c r="AA812" s="37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</row>
    <row r="813" spans="1:52" ht="39.75" hidden="1" customHeight="1" x14ac:dyDescent="0.2">
      <c r="A813" s="45" t="str">
        <f t="shared" si="39"/>
        <v/>
      </c>
      <c r="B813" s="45"/>
      <c r="C813" s="45"/>
      <c r="D813" s="45"/>
      <c r="E813" s="50"/>
      <c r="F813" s="51"/>
      <c r="G813" s="52"/>
      <c r="H813" s="52"/>
      <c r="I813" s="52" t="str">
        <f t="shared" si="40"/>
        <v/>
      </c>
      <c r="J813" s="54"/>
      <c r="K813" s="55" t="str">
        <f t="shared" si="41"/>
        <v/>
      </c>
      <c r="L813" s="54"/>
      <c r="M813" s="54"/>
      <c r="N813" s="54"/>
      <c r="O813" s="54"/>
      <c r="P813" s="54"/>
      <c r="S813" s="38"/>
      <c r="T813" s="38"/>
      <c r="U813" s="38"/>
      <c r="V813" s="37"/>
      <c r="W813" s="37"/>
      <c r="X813" s="37"/>
      <c r="Y813" s="37"/>
      <c r="Z813" s="37"/>
      <c r="AA813" s="37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</row>
    <row r="814" spans="1:52" ht="39.75" hidden="1" customHeight="1" x14ac:dyDescent="0.2">
      <c r="A814" s="45" t="str">
        <f t="shared" si="39"/>
        <v/>
      </c>
      <c r="B814" s="45"/>
      <c r="C814" s="45"/>
      <c r="D814" s="45"/>
      <c r="E814" s="50"/>
      <c r="F814" s="51"/>
      <c r="G814" s="52"/>
      <c r="H814" s="52"/>
      <c r="I814" s="52" t="str">
        <f t="shared" si="40"/>
        <v/>
      </c>
      <c r="J814" s="54"/>
      <c r="K814" s="55" t="str">
        <f t="shared" si="41"/>
        <v/>
      </c>
      <c r="L814" s="54"/>
      <c r="M814" s="54"/>
      <c r="N814" s="54"/>
      <c r="O814" s="54"/>
      <c r="P814" s="54"/>
      <c r="S814" s="38"/>
      <c r="T814" s="38"/>
      <c r="U814" s="38"/>
      <c r="V814" s="37"/>
      <c r="W814" s="37"/>
      <c r="X814" s="37"/>
      <c r="Y814" s="37"/>
      <c r="Z814" s="37"/>
      <c r="AA814" s="37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</row>
    <row r="815" spans="1:52" ht="39.75" hidden="1" customHeight="1" x14ac:dyDescent="0.2">
      <c r="A815" s="45" t="str">
        <f t="shared" si="39"/>
        <v/>
      </c>
      <c r="B815" s="45"/>
      <c r="C815" s="45"/>
      <c r="D815" s="45"/>
      <c r="E815" s="50"/>
      <c r="F815" s="51"/>
      <c r="G815" s="52"/>
      <c r="H815" s="52"/>
      <c r="I815" s="52" t="str">
        <f t="shared" si="40"/>
        <v/>
      </c>
      <c r="J815" s="54"/>
      <c r="K815" s="55" t="str">
        <f t="shared" si="41"/>
        <v/>
      </c>
      <c r="L815" s="54"/>
      <c r="M815" s="54"/>
      <c r="N815" s="54"/>
      <c r="O815" s="54"/>
      <c r="P815" s="54"/>
      <c r="S815" s="38"/>
      <c r="T815" s="38"/>
      <c r="U815" s="38"/>
      <c r="V815" s="37"/>
      <c r="W815" s="37"/>
      <c r="X815" s="37"/>
      <c r="Y815" s="37"/>
      <c r="Z815" s="37"/>
      <c r="AA815" s="37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</row>
    <row r="816" spans="1:52" ht="39.75" hidden="1" customHeight="1" x14ac:dyDescent="0.2">
      <c r="A816" s="45" t="str">
        <f t="shared" si="39"/>
        <v/>
      </c>
      <c r="B816" s="45"/>
      <c r="C816" s="45"/>
      <c r="D816" s="45"/>
      <c r="E816" s="50"/>
      <c r="F816" s="51"/>
      <c r="G816" s="52"/>
      <c r="H816" s="52"/>
      <c r="I816" s="52" t="str">
        <f t="shared" si="40"/>
        <v/>
      </c>
      <c r="J816" s="54"/>
      <c r="K816" s="55" t="str">
        <f t="shared" si="41"/>
        <v/>
      </c>
      <c r="L816" s="54"/>
      <c r="M816" s="54"/>
      <c r="N816" s="54"/>
      <c r="O816" s="54"/>
      <c r="P816" s="54"/>
      <c r="S816" s="38"/>
      <c r="T816" s="38"/>
      <c r="U816" s="38"/>
      <c r="V816" s="37"/>
      <c r="W816" s="37"/>
      <c r="X816" s="37"/>
      <c r="Y816" s="37"/>
      <c r="Z816" s="37"/>
      <c r="AA816" s="37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</row>
    <row r="817" spans="1:52" ht="39.75" hidden="1" customHeight="1" x14ac:dyDescent="0.2">
      <c r="A817" s="45" t="str">
        <f t="shared" si="39"/>
        <v/>
      </c>
      <c r="B817" s="45"/>
      <c r="C817" s="45"/>
      <c r="D817" s="45"/>
      <c r="E817" s="50"/>
      <c r="F817" s="51"/>
      <c r="G817" s="52"/>
      <c r="H817" s="52"/>
      <c r="I817" s="52" t="str">
        <f t="shared" si="40"/>
        <v/>
      </c>
      <c r="J817" s="54"/>
      <c r="K817" s="55" t="str">
        <f t="shared" si="41"/>
        <v/>
      </c>
      <c r="L817" s="54"/>
      <c r="M817" s="54"/>
      <c r="N817" s="54"/>
      <c r="O817" s="54"/>
      <c r="P817" s="54"/>
      <c r="S817" s="38"/>
      <c r="T817" s="38"/>
      <c r="U817" s="38"/>
      <c r="V817" s="37"/>
      <c r="W817" s="37"/>
      <c r="X817" s="37"/>
      <c r="Y817" s="37"/>
      <c r="Z817" s="37"/>
      <c r="AA817" s="37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</row>
    <row r="818" spans="1:52" ht="39.75" hidden="1" customHeight="1" x14ac:dyDescent="0.2">
      <c r="A818" s="45" t="str">
        <f t="shared" si="39"/>
        <v/>
      </c>
      <c r="B818" s="45"/>
      <c r="C818" s="45"/>
      <c r="D818" s="45"/>
      <c r="E818" s="50"/>
      <c r="F818" s="51"/>
      <c r="G818" s="52"/>
      <c r="H818" s="52"/>
      <c r="I818" s="52" t="str">
        <f t="shared" si="40"/>
        <v/>
      </c>
      <c r="J818" s="54"/>
      <c r="K818" s="55" t="str">
        <f t="shared" si="41"/>
        <v/>
      </c>
      <c r="L818" s="54"/>
      <c r="M818" s="54"/>
      <c r="N818" s="54"/>
      <c r="O818" s="54"/>
      <c r="P818" s="54"/>
      <c r="S818" s="38"/>
      <c r="T818" s="38"/>
      <c r="U818" s="38"/>
      <c r="V818" s="37"/>
      <c r="W818" s="37"/>
      <c r="X818" s="37"/>
      <c r="Y818" s="37"/>
      <c r="Z818" s="37"/>
      <c r="AA818" s="37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</row>
    <row r="819" spans="1:52" ht="39.75" hidden="1" customHeight="1" x14ac:dyDescent="0.2">
      <c r="A819" s="45" t="str">
        <f t="shared" si="39"/>
        <v/>
      </c>
      <c r="B819" s="45"/>
      <c r="C819" s="45"/>
      <c r="D819" s="45"/>
      <c r="E819" s="50"/>
      <c r="F819" s="51"/>
      <c r="G819" s="52"/>
      <c r="H819" s="52"/>
      <c r="I819" s="52" t="str">
        <f t="shared" si="40"/>
        <v/>
      </c>
      <c r="J819" s="54"/>
      <c r="K819" s="55" t="str">
        <f t="shared" si="41"/>
        <v/>
      </c>
      <c r="L819" s="54"/>
      <c r="M819" s="54"/>
      <c r="N819" s="54"/>
      <c r="O819" s="54"/>
      <c r="P819" s="54"/>
      <c r="S819" s="38"/>
      <c r="T819" s="38"/>
      <c r="U819" s="38"/>
      <c r="V819" s="37"/>
      <c r="W819" s="37"/>
      <c r="X819" s="37"/>
      <c r="Y819" s="37"/>
      <c r="Z819" s="37"/>
      <c r="AA819" s="37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</row>
    <row r="820" spans="1:52" ht="39.75" hidden="1" customHeight="1" x14ac:dyDescent="0.2">
      <c r="A820" s="45" t="str">
        <f t="shared" si="39"/>
        <v/>
      </c>
      <c r="B820" s="45"/>
      <c r="C820" s="45"/>
      <c r="D820" s="45"/>
      <c r="E820" s="50"/>
      <c r="F820" s="51"/>
      <c r="G820" s="52"/>
      <c r="H820" s="52"/>
      <c r="I820" s="52" t="str">
        <f t="shared" si="40"/>
        <v/>
      </c>
      <c r="J820" s="54"/>
      <c r="K820" s="55" t="str">
        <f t="shared" si="41"/>
        <v/>
      </c>
      <c r="L820" s="54"/>
      <c r="M820" s="54"/>
      <c r="N820" s="54"/>
      <c r="O820" s="54"/>
      <c r="P820" s="54"/>
      <c r="S820" s="38"/>
      <c r="T820" s="38"/>
      <c r="U820" s="38"/>
      <c r="V820" s="37"/>
      <c r="W820" s="37"/>
      <c r="X820" s="37"/>
      <c r="Y820" s="37"/>
      <c r="Z820" s="37"/>
      <c r="AA820" s="37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</row>
    <row r="821" spans="1:52" ht="39.75" hidden="1" customHeight="1" x14ac:dyDescent="0.2">
      <c r="A821" s="45" t="str">
        <f t="shared" si="39"/>
        <v/>
      </c>
      <c r="B821" s="45"/>
      <c r="C821" s="45"/>
      <c r="D821" s="45"/>
      <c r="E821" s="50"/>
      <c r="F821" s="51"/>
      <c r="G821" s="52"/>
      <c r="H821" s="52"/>
      <c r="I821" s="52" t="str">
        <f t="shared" si="40"/>
        <v/>
      </c>
      <c r="J821" s="54"/>
      <c r="K821" s="55" t="str">
        <f t="shared" si="41"/>
        <v/>
      </c>
      <c r="L821" s="54"/>
      <c r="M821" s="54"/>
      <c r="N821" s="54"/>
      <c r="O821" s="54"/>
      <c r="P821" s="54"/>
      <c r="S821" s="38"/>
      <c r="T821" s="38"/>
      <c r="U821" s="38"/>
      <c r="V821" s="37"/>
      <c r="W821" s="37"/>
      <c r="X821" s="37"/>
      <c r="Y821" s="37"/>
      <c r="Z821" s="37"/>
      <c r="AA821" s="37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</row>
    <row r="822" spans="1:52" ht="39.75" hidden="1" customHeight="1" x14ac:dyDescent="0.2">
      <c r="A822" s="45" t="str">
        <f t="shared" si="39"/>
        <v/>
      </c>
      <c r="B822" s="45"/>
      <c r="C822" s="45"/>
      <c r="D822" s="45"/>
      <c r="E822" s="50"/>
      <c r="F822" s="51"/>
      <c r="G822" s="52"/>
      <c r="H822" s="52"/>
      <c r="I822" s="52" t="str">
        <f t="shared" si="40"/>
        <v/>
      </c>
      <c r="J822" s="54"/>
      <c r="K822" s="55" t="str">
        <f t="shared" si="41"/>
        <v/>
      </c>
      <c r="L822" s="54"/>
      <c r="M822" s="54"/>
      <c r="N822" s="54"/>
      <c r="O822" s="54"/>
      <c r="P822" s="54"/>
      <c r="S822" s="38"/>
      <c r="T822" s="38"/>
      <c r="U822" s="38"/>
      <c r="V822" s="37"/>
      <c r="W822" s="37"/>
      <c r="X822" s="37"/>
      <c r="Y822" s="37"/>
      <c r="Z822" s="37"/>
      <c r="AA822" s="37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</row>
    <row r="823" spans="1:52" ht="39.75" hidden="1" customHeight="1" x14ac:dyDescent="0.2">
      <c r="A823" s="45" t="str">
        <f t="shared" si="39"/>
        <v/>
      </c>
      <c r="B823" s="45"/>
      <c r="C823" s="45"/>
      <c r="D823" s="45"/>
      <c r="E823" s="50"/>
      <c r="F823" s="51"/>
      <c r="G823" s="52"/>
      <c r="H823" s="52"/>
      <c r="I823" s="52" t="str">
        <f t="shared" si="40"/>
        <v/>
      </c>
      <c r="J823" s="54"/>
      <c r="K823" s="55" t="str">
        <f t="shared" si="41"/>
        <v/>
      </c>
      <c r="L823" s="54"/>
      <c r="M823" s="54"/>
      <c r="N823" s="54"/>
      <c r="O823" s="54"/>
      <c r="P823" s="54"/>
      <c r="S823" s="38"/>
      <c r="T823" s="38"/>
      <c r="U823" s="38"/>
      <c r="V823" s="37"/>
      <c r="W823" s="37"/>
      <c r="X823" s="37"/>
      <c r="Y823" s="37"/>
      <c r="Z823" s="37"/>
      <c r="AA823" s="37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</row>
    <row r="824" spans="1:52" ht="39.75" hidden="1" customHeight="1" x14ac:dyDescent="0.2">
      <c r="A824" s="45" t="str">
        <f t="shared" si="39"/>
        <v/>
      </c>
      <c r="B824" s="45"/>
      <c r="C824" s="45"/>
      <c r="D824" s="45"/>
      <c r="E824" s="50"/>
      <c r="F824" s="51"/>
      <c r="G824" s="52"/>
      <c r="H824" s="52"/>
      <c r="I824" s="52" t="str">
        <f t="shared" si="40"/>
        <v/>
      </c>
      <c r="J824" s="54"/>
      <c r="K824" s="55" t="str">
        <f t="shared" si="41"/>
        <v/>
      </c>
      <c r="L824" s="54"/>
      <c r="M824" s="54"/>
      <c r="N824" s="54"/>
      <c r="O824" s="54"/>
      <c r="P824" s="54"/>
      <c r="S824" s="38"/>
      <c r="T824" s="38"/>
      <c r="U824" s="38"/>
      <c r="V824" s="37"/>
      <c r="W824" s="37"/>
      <c r="X824" s="37"/>
      <c r="Y824" s="37"/>
      <c r="Z824" s="37"/>
      <c r="AA824" s="37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</row>
    <row r="825" spans="1:52" ht="39.75" hidden="1" customHeight="1" x14ac:dyDescent="0.2">
      <c r="A825" s="45" t="str">
        <f t="shared" si="39"/>
        <v/>
      </c>
      <c r="B825" s="45"/>
      <c r="C825" s="45"/>
      <c r="D825" s="45"/>
      <c r="E825" s="50"/>
      <c r="F825" s="51"/>
      <c r="G825" s="52"/>
      <c r="H825" s="52"/>
      <c r="I825" s="52" t="str">
        <f t="shared" si="40"/>
        <v/>
      </c>
      <c r="J825" s="54"/>
      <c r="K825" s="55" t="str">
        <f t="shared" si="41"/>
        <v/>
      </c>
      <c r="L825" s="54"/>
      <c r="M825" s="54"/>
      <c r="N825" s="54"/>
      <c r="O825" s="54"/>
      <c r="P825" s="54"/>
      <c r="S825" s="38"/>
      <c r="T825" s="38"/>
      <c r="U825" s="38"/>
      <c r="V825" s="37"/>
      <c r="W825" s="37"/>
      <c r="X825" s="37"/>
      <c r="Y825" s="37"/>
      <c r="Z825" s="37"/>
      <c r="AA825" s="37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</row>
    <row r="826" spans="1:52" ht="39.75" hidden="1" customHeight="1" x14ac:dyDescent="0.2">
      <c r="A826" s="45" t="str">
        <f t="shared" si="39"/>
        <v/>
      </c>
      <c r="B826" s="45"/>
      <c r="C826" s="45"/>
      <c r="D826" s="45"/>
      <c r="E826" s="50"/>
      <c r="F826" s="51"/>
      <c r="G826" s="52"/>
      <c r="H826" s="52"/>
      <c r="I826" s="52" t="str">
        <f t="shared" si="40"/>
        <v/>
      </c>
      <c r="J826" s="54"/>
      <c r="K826" s="55" t="str">
        <f t="shared" si="41"/>
        <v/>
      </c>
      <c r="L826" s="54"/>
      <c r="M826" s="54"/>
      <c r="N826" s="54"/>
      <c r="O826" s="54"/>
      <c r="P826" s="54"/>
      <c r="S826" s="38"/>
      <c r="T826" s="38"/>
      <c r="U826" s="38"/>
      <c r="V826" s="37"/>
      <c r="W826" s="37"/>
      <c r="X826" s="37"/>
      <c r="Y826" s="37"/>
      <c r="Z826" s="37"/>
      <c r="AA826" s="37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</row>
    <row r="827" spans="1:52" ht="39.75" hidden="1" customHeight="1" x14ac:dyDescent="0.2">
      <c r="A827" s="45" t="str">
        <f t="shared" si="39"/>
        <v/>
      </c>
      <c r="B827" s="45"/>
      <c r="C827" s="45"/>
      <c r="D827" s="45"/>
      <c r="E827" s="50"/>
      <c r="F827" s="51"/>
      <c r="G827" s="52"/>
      <c r="H827" s="52"/>
      <c r="I827" s="52" t="str">
        <f t="shared" si="40"/>
        <v/>
      </c>
      <c r="J827" s="54"/>
      <c r="K827" s="55" t="str">
        <f t="shared" si="41"/>
        <v/>
      </c>
      <c r="L827" s="54"/>
      <c r="M827" s="54"/>
      <c r="N827" s="54"/>
      <c r="O827" s="54"/>
      <c r="P827" s="54"/>
      <c r="S827" s="38"/>
      <c r="T827" s="38"/>
      <c r="U827" s="38"/>
      <c r="V827" s="37"/>
      <c r="W827" s="37"/>
      <c r="X827" s="37"/>
      <c r="Y827" s="37"/>
      <c r="Z827" s="37"/>
      <c r="AA827" s="37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</row>
    <row r="828" spans="1:52" ht="39.75" hidden="1" customHeight="1" x14ac:dyDescent="0.2">
      <c r="A828" s="45" t="str">
        <f t="shared" si="39"/>
        <v/>
      </c>
      <c r="B828" s="45"/>
      <c r="C828" s="45"/>
      <c r="D828" s="45"/>
      <c r="E828" s="50"/>
      <c r="F828" s="51"/>
      <c r="G828" s="52"/>
      <c r="H828" s="52"/>
      <c r="I828" s="52" t="str">
        <f t="shared" si="40"/>
        <v/>
      </c>
      <c r="J828" s="54"/>
      <c r="K828" s="55" t="str">
        <f t="shared" si="41"/>
        <v/>
      </c>
      <c r="L828" s="54"/>
      <c r="M828" s="54"/>
      <c r="N828" s="54"/>
      <c r="O828" s="54"/>
      <c r="P828" s="54"/>
      <c r="S828" s="38"/>
      <c r="T828" s="38"/>
      <c r="U828" s="38"/>
      <c r="V828" s="37"/>
      <c r="W828" s="37"/>
      <c r="X828" s="37"/>
      <c r="Y828" s="37"/>
      <c r="Z828" s="37"/>
      <c r="AA828" s="37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</row>
    <row r="829" spans="1:52" ht="39.75" hidden="1" customHeight="1" x14ac:dyDescent="0.2">
      <c r="A829" s="45" t="str">
        <f t="shared" si="39"/>
        <v/>
      </c>
      <c r="B829" s="45"/>
      <c r="C829" s="45"/>
      <c r="D829" s="45"/>
      <c r="E829" s="50"/>
      <c r="F829" s="51"/>
      <c r="G829" s="52"/>
      <c r="H829" s="52"/>
      <c r="I829" s="52" t="str">
        <f t="shared" si="40"/>
        <v/>
      </c>
      <c r="J829" s="54"/>
      <c r="K829" s="55" t="str">
        <f t="shared" si="41"/>
        <v/>
      </c>
      <c r="L829" s="54"/>
      <c r="M829" s="54"/>
      <c r="N829" s="54"/>
      <c r="O829" s="54"/>
      <c r="P829" s="54"/>
      <c r="S829" s="38"/>
      <c r="T829" s="38"/>
      <c r="U829" s="38"/>
      <c r="V829" s="37"/>
      <c r="W829" s="37"/>
      <c r="X829" s="37"/>
      <c r="Y829" s="37"/>
      <c r="Z829" s="37"/>
      <c r="AA829" s="37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</row>
    <row r="830" spans="1:52" ht="39.75" hidden="1" customHeight="1" x14ac:dyDescent="0.2">
      <c r="A830" s="45" t="str">
        <f t="shared" si="39"/>
        <v/>
      </c>
      <c r="B830" s="45"/>
      <c r="C830" s="45"/>
      <c r="D830" s="45"/>
      <c r="E830" s="50"/>
      <c r="F830" s="51"/>
      <c r="G830" s="52"/>
      <c r="H830" s="52"/>
      <c r="I830" s="52" t="str">
        <f t="shared" si="40"/>
        <v/>
      </c>
      <c r="J830" s="54"/>
      <c r="K830" s="55" t="str">
        <f t="shared" si="41"/>
        <v/>
      </c>
      <c r="L830" s="54"/>
      <c r="M830" s="54"/>
      <c r="N830" s="54"/>
      <c r="O830" s="54"/>
      <c r="P830" s="54"/>
      <c r="S830" s="38"/>
      <c r="T830" s="38"/>
      <c r="U830" s="38"/>
      <c r="V830" s="37"/>
      <c r="W830" s="37"/>
      <c r="X830" s="37"/>
      <c r="Y830" s="37"/>
      <c r="Z830" s="37"/>
      <c r="AA830" s="37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  <c r="AZ830" s="38"/>
    </row>
    <row r="831" spans="1:52" ht="39.75" hidden="1" customHeight="1" x14ac:dyDescent="0.2">
      <c r="A831" s="45" t="str">
        <f t="shared" si="39"/>
        <v/>
      </c>
      <c r="B831" s="45"/>
      <c r="C831" s="45"/>
      <c r="D831" s="45"/>
      <c r="E831" s="50"/>
      <c r="F831" s="51"/>
      <c r="G831" s="52"/>
      <c r="H831" s="52"/>
      <c r="I831" s="52" t="str">
        <f t="shared" si="40"/>
        <v/>
      </c>
      <c r="J831" s="54"/>
      <c r="K831" s="55" t="str">
        <f t="shared" si="41"/>
        <v/>
      </c>
      <c r="L831" s="54"/>
      <c r="M831" s="54"/>
      <c r="N831" s="54"/>
      <c r="O831" s="54"/>
      <c r="P831" s="54"/>
      <c r="S831" s="38"/>
      <c r="T831" s="38"/>
      <c r="U831" s="38"/>
      <c r="V831" s="37"/>
      <c r="W831" s="37"/>
      <c r="X831" s="37"/>
      <c r="Y831" s="37"/>
      <c r="Z831" s="37"/>
      <c r="AA831" s="37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/>
      <c r="AX831" s="38"/>
      <c r="AY831" s="38"/>
      <c r="AZ831" s="38"/>
    </row>
    <row r="832" spans="1:52" ht="39.75" hidden="1" customHeight="1" x14ac:dyDescent="0.2">
      <c r="A832" s="45" t="str">
        <f t="shared" si="39"/>
        <v/>
      </c>
      <c r="B832" s="45"/>
      <c r="C832" s="45"/>
      <c r="D832" s="45"/>
      <c r="E832" s="50"/>
      <c r="F832" s="51"/>
      <c r="G832" s="52"/>
      <c r="H832" s="52"/>
      <c r="I832" s="52" t="str">
        <f t="shared" si="40"/>
        <v/>
      </c>
      <c r="J832" s="54"/>
      <c r="K832" s="55" t="str">
        <f t="shared" si="41"/>
        <v/>
      </c>
      <c r="L832" s="54"/>
      <c r="M832" s="54"/>
      <c r="N832" s="54"/>
      <c r="O832" s="54"/>
      <c r="P832" s="54"/>
      <c r="S832" s="38"/>
      <c r="T832" s="38"/>
      <c r="U832" s="38"/>
      <c r="V832" s="37"/>
      <c r="W832" s="37"/>
      <c r="X832" s="37"/>
      <c r="Y832" s="37"/>
      <c r="Z832" s="37"/>
      <c r="AA832" s="37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</row>
    <row r="833" spans="1:52" ht="39.75" hidden="1" customHeight="1" x14ac:dyDescent="0.2">
      <c r="A833" s="45" t="str">
        <f t="shared" si="39"/>
        <v/>
      </c>
      <c r="B833" s="45"/>
      <c r="C833" s="45"/>
      <c r="D833" s="45"/>
      <c r="E833" s="50"/>
      <c r="F833" s="51"/>
      <c r="G833" s="52"/>
      <c r="H833" s="52"/>
      <c r="I833" s="52" t="str">
        <f t="shared" si="40"/>
        <v/>
      </c>
      <c r="J833" s="54"/>
      <c r="K833" s="55" t="str">
        <f t="shared" si="41"/>
        <v/>
      </c>
      <c r="L833" s="54"/>
      <c r="M833" s="54"/>
      <c r="N833" s="54"/>
      <c r="O833" s="54"/>
      <c r="P833" s="54"/>
      <c r="S833" s="38"/>
      <c r="T833" s="38"/>
      <c r="U833" s="38"/>
      <c r="V833" s="37"/>
      <c r="W833" s="37"/>
      <c r="X833" s="37"/>
      <c r="Y833" s="37"/>
      <c r="Z833" s="37"/>
      <c r="AA833" s="37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</row>
    <row r="834" spans="1:52" ht="39.75" hidden="1" customHeight="1" x14ac:dyDescent="0.2">
      <c r="A834" s="45" t="str">
        <f t="shared" si="39"/>
        <v/>
      </c>
      <c r="B834" s="45"/>
      <c r="C834" s="45"/>
      <c r="D834" s="45"/>
      <c r="E834" s="50"/>
      <c r="F834" s="51"/>
      <c r="G834" s="52"/>
      <c r="H834" s="52"/>
      <c r="I834" s="52" t="str">
        <f t="shared" si="40"/>
        <v/>
      </c>
      <c r="J834" s="54"/>
      <c r="K834" s="55" t="str">
        <f t="shared" si="41"/>
        <v/>
      </c>
      <c r="L834" s="54"/>
      <c r="M834" s="54"/>
      <c r="N834" s="54"/>
      <c r="O834" s="54"/>
      <c r="P834" s="54"/>
      <c r="S834" s="38"/>
      <c r="T834" s="38"/>
      <c r="U834" s="38"/>
      <c r="V834" s="37"/>
      <c r="W834" s="37"/>
      <c r="X834" s="37"/>
      <c r="Y834" s="37"/>
      <c r="Z834" s="37"/>
      <c r="AA834" s="37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</row>
    <row r="835" spans="1:52" ht="39.75" hidden="1" customHeight="1" x14ac:dyDescent="0.2">
      <c r="A835" s="45" t="str">
        <f t="shared" si="39"/>
        <v/>
      </c>
      <c r="B835" s="45"/>
      <c r="C835" s="45"/>
      <c r="D835" s="45"/>
      <c r="E835" s="50"/>
      <c r="F835" s="51"/>
      <c r="G835" s="52"/>
      <c r="H835" s="52"/>
      <c r="I835" s="52" t="str">
        <f t="shared" si="40"/>
        <v/>
      </c>
      <c r="J835" s="54"/>
      <c r="K835" s="55" t="str">
        <f t="shared" si="41"/>
        <v/>
      </c>
      <c r="L835" s="54"/>
      <c r="M835" s="54"/>
      <c r="N835" s="54"/>
      <c r="O835" s="54"/>
      <c r="P835" s="54"/>
      <c r="S835" s="38"/>
      <c r="T835" s="38"/>
      <c r="U835" s="38"/>
      <c r="V835" s="37"/>
      <c r="W835" s="37"/>
      <c r="X835" s="37"/>
      <c r="Y835" s="37"/>
      <c r="Z835" s="37"/>
      <c r="AA835" s="37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</row>
    <row r="836" spans="1:52" ht="39.75" hidden="1" customHeight="1" x14ac:dyDescent="0.2">
      <c r="A836" s="45" t="str">
        <f t="shared" si="39"/>
        <v/>
      </c>
      <c r="B836" s="45"/>
      <c r="C836" s="45"/>
      <c r="D836" s="45"/>
      <c r="E836" s="50"/>
      <c r="F836" s="51"/>
      <c r="G836" s="52"/>
      <c r="H836" s="52"/>
      <c r="I836" s="52" t="str">
        <f t="shared" si="40"/>
        <v/>
      </c>
      <c r="J836" s="54"/>
      <c r="K836" s="55" t="str">
        <f t="shared" si="41"/>
        <v/>
      </c>
      <c r="L836" s="54"/>
      <c r="M836" s="54"/>
      <c r="N836" s="54"/>
      <c r="O836" s="54"/>
      <c r="P836" s="54"/>
      <c r="S836" s="38"/>
      <c r="T836" s="38"/>
      <c r="U836" s="38"/>
      <c r="V836" s="37"/>
      <c r="W836" s="37"/>
      <c r="X836" s="37"/>
      <c r="Y836" s="37"/>
      <c r="Z836" s="37"/>
      <c r="AA836" s="37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/>
      <c r="AX836" s="38"/>
      <c r="AY836" s="38"/>
      <c r="AZ836" s="38"/>
    </row>
    <row r="837" spans="1:52" ht="39.75" hidden="1" customHeight="1" x14ac:dyDescent="0.2">
      <c r="A837" s="45" t="str">
        <f t="shared" si="39"/>
        <v/>
      </c>
      <c r="B837" s="45"/>
      <c r="C837" s="45"/>
      <c r="D837" s="45"/>
      <c r="E837" s="50"/>
      <c r="F837" s="51"/>
      <c r="G837" s="52"/>
      <c r="H837" s="52"/>
      <c r="I837" s="52" t="str">
        <f t="shared" si="40"/>
        <v/>
      </c>
      <c r="J837" s="54"/>
      <c r="K837" s="55" t="str">
        <f t="shared" si="41"/>
        <v/>
      </c>
      <c r="L837" s="54"/>
      <c r="M837" s="54"/>
      <c r="N837" s="54"/>
      <c r="O837" s="54"/>
      <c r="P837" s="54"/>
      <c r="S837" s="38"/>
      <c r="T837" s="38"/>
      <c r="U837" s="38"/>
      <c r="V837" s="37"/>
      <c r="W837" s="37"/>
      <c r="X837" s="37"/>
      <c r="Y837" s="37"/>
      <c r="Z837" s="37"/>
      <c r="AA837" s="37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/>
      <c r="AX837" s="38"/>
      <c r="AY837" s="38"/>
      <c r="AZ837" s="38"/>
    </row>
    <row r="838" spans="1:52" ht="39.75" hidden="1" customHeight="1" x14ac:dyDescent="0.2">
      <c r="A838" s="45" t="str">
        <f t="shared" ref="A838:A901" si="42">IF(F838="","",ROW()-5)</f>
        <v/>
      </c>
      <c r="B838" s="45"/>
      <c r="C838" s="45"/>
      <c r="D838" s="45"/>
      <c r="E838" s="50"/>
      <c r="F838" s="51"/>
      <c r="G838" s="52"/>
      <c r="H838" s="52"/>
      <c r="I838" s="52" t="str">
        <f t="shared" ref="I838:I901" si="43">IF(AND(LEN(F838)=18, ISBLANK(G838)=FALSE(), ISBLANK(H838)=FALSE()),37,"")</f>
        <v/>
      </c>
      <c r="J838" s="54"/>
      <c r="K838" s="55" t="str">
        <f t="shared" ref="K838:K901" si="44">IF(OR(J838="",Q838=0),"",IF(COUNTA(L838:P838)&gt;Q838,"Seluruh pilihan telah dipilih, anda memilih lebih dari kemungkinan pilihan yang tersedia, periksa pilihan anda "&amp;"("&amp;COUNTA(L838:P838)&amp;"/"&amp;Q838&amp;")",IF(COUNTA(L838:P838)=Q838,IF(SUMPRODUCT(COUNTIF(L838:P838,L838:P838)*(L838:P838&lt;&gt;""))&gt;COUNTA(L838:P838),"Terdapat pilihan yang sama, segera ubah "&amp;"("&amp;COUNTA(L838:P838)&amp;"/"&amp;Q838&amp;")","Seluruh pilihan telah dipilih "&amp;"("&amp;COUNTA(L838:P838)&amp;"/"&amp;Q838&amp;")"),IF(COUNTA(L838:P838)&gt;0,"Masih terdapat pilihan yang bisa dipilih, silahkan melengkapi pilihan "&amp;"("&amp;COUNTA(L838:P838)&amp;"/"&amp;Q838&amp;")",""))))</f>
        <v/>
      </c>
      <c r="L838" s="54"/>
      <c r="M838" s="54"/>
      <c r="N838" s="54"/>
      <c r="O838" s="54"/>
      <c r="P838" s="54"/>
      <c r="S838" s="38"/>
      <c r="T838" s="38"/>
      <c r="U838" s="38"/>
      <c r="V838" s="37"/>
      <c r="W838" s="37"/>
      <c r="X838" s="37"/>
      <c r="Y838" s="37"/>
      <c r="Z838" s="37"/>
      <c r="AA838" s="37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</row>
    <row r="839" spans="1:52" ht="39.75" hidden="1" customHeight="1" x14ac:dyDescent="0.2">
      <c r="A839" s="45" t="str">
        <f t="shared" si="42"/>
        <v/>
      </c>
      <c r="B839" s="45"/>
      <c r="C839" s="45"/>
      <c r="D839" s="45"/>
      <c r="E839" s="50"/>
      <c r="F839" s="51"/>
      <c r="G839" s="52"/>
      <c r="H839" s="52"/>
      <c r="I839" s="52" t="str">
        <f t="shared" si="43"/>
        <v/>
      </c>
      <c r="J839" s="54"/>
      <c r="K839" s="55" t="str">
        <f t="shared" si="44"/>
        <v/>
      </c>
      <c r="L839" s="54"/>
      <c r="M839" s="54"/>
      <c r="N839" s="54"/>
      <c r="O839" s="54"/>
      <c r="P839" s="54"/>
      <c r="S839" s="38"/>
      <c r="T839" s="38"/>
      <c r="U839" s="38"/>
      <c r="V839" s="37"/>
      <c r="W839" s="37"/>
      <c r="X839" s="37"/>
      <c r="Y839" s="37"/>
      <c r="Z839" s="37"/>
      <c r="AA839" s="37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  <c r="AV839" s="38"/>
      <c r="AW839" s="38"/>
      <c r="AX839" s="38"/>
      <c r="AY839" s="38"/>
      <c r="AZ839" s="38"/>
    </row>
    <row r="840" spans="1:52" ht="39.75" hidden="1" customHeight="1" x14ac:dyDescent="0.2">
      <c r="A840" s="45" t="str">
        <f t="shared" si="42"/>
        <v/>
      </c>
      <c r="B840" s="45"/>
      <c r="C840" s="45"/>
      <c r="D840" s="45"/>
      <c r="E840" s="50"/>
      <c r="F840" s="51"/>
      <c r="G840" s="52"/>
      <c r="H840" s="52"/>
      <c r="I840" s="52" t="str">
        <f t="shared" si="43"/>
        <v/>
      </c>
      <c r="J840" s="54"/>
      <c r="K840" s="55" t="str">
        <f t="shared" si="44"/>
        <v/>
      </c>
      <c r="L840" s="54"/>
      <c r="M840" s="54"/>
      <c r="N840" s="54"/>
      <c r="O840" s="54"/>
      <c r="P840" s="54"/>
      <c r="S840" s="38"/>
      <c r="T840" s="38"/>
      <c r="U840" s="38"/>
      <c r="V840" s="37"/>
      <c r="W840" s="37"/>
      <c r="X840" s="37"/>
      <c r="Y840" s="37"/>
      <c r="Z840" s="37"/>
      <c r="AA840" s="37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/>
      <c r="AX840" s="38"/>
      <c r="AY840" s="38"/>
      <c r="AZ840" s="38"/>
    </row>
    <row r="841" spans="1:52" ht="39.75" hidden="1" customHeight="1" x14ac:dyDescent="0.2">
      <c r="A841" s="45" t="str">
        <f t="shared" si="42"/>
        <v/>
      </c>
      <c r="B841" s="45"/>
      <c r="C841" s="45"/>
      <c r="D841" s="45"/>
      <c r="E841" s="50"/>
      <c r="F841" s="51"/>
      <c r="G841" s="52"/>
      <c r="H841" s="52"/>
      <c r="I841" s="52" t="str">
        <f t="shared" si="43"/>
        <v/>
      </c>
      <c r="J841" s="54"/>
      <c r="K841" s="55" t="str">
        <f t="shared" si="44"/>
        <v/>
      </c>
      <c r="L841" s="54"/>
      <c r="M841" s="54"/>
      <c r="N841" s="54"/>
      <c r="O841" s="54"/>
      <c r="P841" s="54"/>
      <c r="S841" s="38"/>
      <c r="T841" s="38"/>
      <c r="U841" s="38"/>
      <c r="V841" s="37"/>
      <c r="W841" s="37"/>
      <c r="X841" s="37"/>
      <c r="Y841" s="37"/>
      <c r="Z841" s="37"/>
      <c r="AA841" s="37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/>
      <c r="AX841" s="38"/>
      <c r="AY841" s="38"/>
      <c r="AZ841" s="38"/>
    </row>
    <row r="842" spans="1:52" ht="39.75" hidden="1" customHeight="1" x14ac:dyDescent="0.2">
      <c r="A842" s="45" t="str">
        <f t="shared" si="42"/>
        <v/>
      </c>
      <c r="B842" s="45"/>
      <c r="C842" s="45"/>
      <c r="D842" s="45"/>
      <c r="E842" s="50"/>
      <c r="F842" s="51"/>
      <c r="G842" s="52"/>
      <c r="H842" s="52"/>
      <c r="I842" s="52" t="str">
        <f t="shared" si="43"/>
        <v/>
      </c>
      <c r="J842" s="54"/>
      <c r="K842" s="55" t="str">
        <f t="shared" si="44"/>
        <v/>
      </c>
      <c r="L842" s="54"/>
      <c r="M842" s="54"/>
      <c r="N842" s="54"/>
      <c r="O842" s="54"/>
      <c r="P842" s="54"/>
      <c r="S842" s="38"/>
      <c r="T842" s="38"/>
      <c r="U842" s="38"/>
      <c r="V842" s="37"/>
      <c r="W842" s="37"/>
      <c r="X842" s="37"/>
      <c r="Y842" s="37"/>
      <c r="Z842" s="37"/>
      <c r="AA842" s="37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</row>
    <row r="843" spans="1:52" ht="39.75" hidden="1" customHeight="1" x14ac:dyDescent="0.2">
      <c r="A843" s="45" t="str">
        <f t="shared" si="42"/>
        <v/>
      </c>
      <c r="B843" s="45"/>
      <c r="C843" s="45"/>
      <c r="D843" s="45"/>
      <c r="E843" s="50"/>
      <c r="F843" s="51"/>
      <c r="G843" s="52"/>
      <c r="H843" s="52"/>
      <c r="I843" s="52" t="str">
        <f t="shared" si="43"/>
        <v/>
      </c>
      <c r="J843" s="54"/>
      <c r="K843" s="55" t="str">
        <f t="shared" si="44"/>
        <v/>
      </c>
      <c r="L843" s="54"/>
      <c r="M843" s="54"/>
      <c r="N843" s="54"/>
      <c r="O843" s="54"/>
      <c r="P843" s="54"/>
      <c r="S843" s="38"/>
      <c r="T843" s="38"/>
      <c r="U843" s="38"/>
      <c r="V843" s="37"/>
      <c r="W843" s="37"/>
      <c r="X843" s="37"/>
      <c r="Y843" s="37"/>
      <c r="Z843" s="37"/>
      <c r="AA843" s="37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/>
      <c r="AX843" s="38"/>
      <c r="AY843" s="38"/>
      <c r="AZ843" s="38"/>
    </row>
    <row r="844" spans="1:52" ht="39.75" hidden="1" customHeight="1" x14ac:dyDescent="0.2">
      <c r="A844" s="45" t="str">
        <f t="shared" si="42"/>
        <v/>
      </c>
      <c r="B844" s="45"/>
      <c r="C844" s="45"/>
      <c r="D844" s="45"/>
      <c r="E844" s="50"/>
      <c r="F844" s="51"/>
      <c r="G844" s="52"/>
      <c r="H844" s="52"/>
      <c r="I844" s="52" t="str">
        <f t="shared" si="43"/>
        <v/>
      </c>
      <c r="J844" s="54"/>
      <c r="K844" s="55" t="str">
        <f t="shared" si="44"/>
        <v/>
      </c>
      <c r="L844" s="54"/>
      <c r="M844" s="54"/>
      <c r="N844" s="54"/>
      <c r="O844" s="54"/>
      <c r="P844" s="54"/>
      <c r="S844" s="38"/>
      <c r="T844" s="38"/>
      <c r="U844" s="38"/>
      <c r="V844" s="37"/>
      <c r="W844" s="37"/>
      <c r="X844" s="37"/>
      <c r="Y844" s="37"/>
      <c r="Z844" s="37"/>
      <c r="AA844" s="37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</row>
    <row r="845" spans="1:52" ht="39.75" hidden="1" customHeight="1" x14ac:dyDescent="0.2">
      <c r="A845" s="45" t="str">
        <f t="shared" si="42"/>
        <v/>
      </c>
      <c r="B845" s="45"/>
      <c r="C845" s="45"/>
      <c r="D845" s="45"/>
      <c r="E845" s="50"/>
      <c r="F845" s="51"/>
      <c r="G845" s="52"/>
      <c r="H845" s="52"/>
      <c r="I845" s="52" t="str">
        <f t="shared" si="43"/>
        <v/>
      </c>
      <c r="J845" s="54"/>
      <c r="K845" s="55" t="str">
        <f t="shared" si="44"/>
        <v/>
      </c>
      <c r="L845" s="54"/>
      <c r="M845" s="54"/>
      <c r="N845" s="54"/>
      <c r="O845" s="54"/>
      <c r="P845" s="54"/>
      <c r="S845" s="38"/>
      <c r="T845" s="38"/>
      <c r="U845" s="38"/>
      <c r="V845" s="37"/>
      <c r="W845" s="37"/>
      <c r="X845" s="37"/>
      <c r="Y845" s="37"/>
      <c r="Z845" s="37"/>
      <c r="AA845" s="37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</row>
    <row r="846" spans="1:52" ht="39.75" hidden="1" customHeight="1" x14ac:dyDescent="0.2">
      <c r="A846" s="45" t="str">
        <f t="shared" si="42"/>
        <v/>
      </c>
      <c r="B846" s="45"/>
      <c r="C846" s="45"/>
      <c r="D846" s="45"/>
      <c r="E846" s="50"/>
      <c r="F846" s="51"/>
      <c r="G846" s="52"/>
      <c r="H846" s="52"/>
      <c r="I846" s="52" t="str">
        <f t="shared" si="43"/>
        <v/>
      </c>
      <c r="J846" s="54"/>
      <c r="K846" s="55" t="str">
        <f t="shared" si="44"/>
        <v/>
      </c>
      <c r="L846" s="54"/>
      <c r="M846" s="54"/>
      <c r="N846" s="54"/>
      <c r="O846" s="54"/>
      <c r="P846" s="54"/>
      <c r="S846" s="38"/>
      <c r="T846" s="38"/>
      <c r="U846" s="38"/>
      <c r="V846" s="37"/>
      <c r="W846" s="37"/>
      <c r="X846" s="37"/>
      <c r="Y846" s="37"/>
      <c r="Z846" s="37"/>
      <c r="AA846" s="37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  <c r="AY846" s="38"/>
      <c r="AZ846" s="38"/>
    </row>
    <row r="847" spans="1:52" ht="39.75" hidden="1" customHeight="1" x14ac:dyDescent="0.2">
      <c r="A847" s="45" t="str">
        <f t="shared" si="42"/>
        <v/>
      </c>
      <c r="B847" s="45"/>
      <c r="C847" s="45"/>
      <c r="D847" s="45"/>
      <c r="E847" s="50"/>
      <c r="F847" s="51"/>
      <c r="G847" s="52"/>
      <c r="H847" s="52"/>
      <c r="I847" s="52" t="str">
        <f t="shared" si="43"/>
        <v/>
      </c>
      <c r="J847" s="54"/>
      <c r="K847" s="55" t="str">
        <f t="shared" si="44"/>
        <v/>
      </c>
      <c r="L847" s="54"/>
      <c r="M847" s="54"/>
      <c r="N847" s="54"/>
      <c r="O847" s="54"/>
      <c r="P847" s="54"/>
      <c r="S847" s="38"/>
      <c r="T847" s="38"/>
      <c r="U847" s="38"/>
      <c r="V847" s="37"/>
      <c r="W847" s="37"/>
      <c r="X847" s="37"/>
      <c r="Y847" s="37"/>
      <c r="Z847" s="37"/>
      <c r="AA847" s="37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</row>
    <row r="848" spans="1:52" ht="39.75" hidden="1" customHeight="1" x14ac:dyDescent="0.2">
      <c r="A848" s="45" t="str">
        <f t="shared" si="42"/>
        <v/>
      </c>
      <c r="B848" s="45"/>
      <c r="C848" s="45"/>
      <c r="D848" s="45"/>
      <c r="E848" s="50"/>
      <c r="F848" s="51"/>
      <c r="G848" s="52"/>
      <c r="H848" s="52"/>
      <c r="I848" s="52" t="str">
        <f t="shared" si="43"/>
        <v/>
      </c>
      <c r="J848" s="54"/>
      <c r="K848" s="55" t="str">
        <f t="shared" si="44"/>
        <v/>
      </c>
      <c r="L848" s="54"/>
      <c r="M848" s="54"/>
      <c r="N848" s="54"/>
      <c r="O848" s="54"/>
      <c r="P848" s="54"/>
      <c r="S848" s="38"/>
      <c r="T848" s="38"/>
      <c r="U848" s="38"/>
      <c r="V848" s="37"/>
      <c r="W848" s="37"/>
      <c r="X848" s="37"/>
      <c r="Y848" s="37"/>
      <c r="Z848" s="37"/>
      <c r="AA848" s="37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</row>
    <row r="849" spans="1:52" ht="39.75" hidden="1" customHeight="1" x14ac:dyDescent="0.2">
      <c r="A849" s="45" t="str">
        <f t="shared" si="42"/>
        <v/>
      </c>
      <c r="B849" s="45"/>
      <c r="C849" s="45"/>
      <c r="D849" s="45"/>
      <c r="E849" s="50"/>
      <c r="F849" s="51"/>
      <c r="G849" s="52"/>
      <c r="H849" s="52"/>
      <c r="I849" s="52" t="str">
        <f t="shared" si="43"/>
        <v/>
      </c>
      <c r="J849" s="54"/>
      <c r="K849" s="55" t="str">
        <f t="shared" si="44"/>
        <v/>
      </c>
      <c r="L849" s="54"/>
      <c r="M849" s="54"/>
      <c r="N849" s="54"/>
      <c r="O849" s="54"/>
      <c r="P849" s="54"/>
      <c r="S849" s="38"/>
      <c r="T849" s="38"/>
      <c r="U849" s="38"/>
      <c r="V849" s="37"/>
      <c r="W849" s="37"/>
      <c r="X849" s="37"/>
      <c r="Y849" s="37"/>
      <c r="Z849" s="37"/>
      <c r="AA849" s="37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</row>
    <row r="850" spans="1:52" ht="39.75" hidden="1" customHeight="1" x14ac:dyDescent="0.2">
      <c r="A850" s="45" t="str">
        <f t="shared" si="42"/>
        <v/>
      </c>
      <c r="B850" s="45"/>
      <c r="C850" s="45"/>
      <c r="D850" s="45"/>
      <c r="E850" s="50"/>
      <c r="F850" s="51"/>
      <c r="G850" s="52"/>
      <c r="H850" s="52"/>
      <c r="I850" s="52" t="str">
        <f t="shared" si="43"/>
        <v/>
      </c>
      <c r="J850" s="54"/>
      <c r="K850" s="55" t="str">
        <f t="shared" si="44"/>
        <v/>
      </c>
      <c r="L850" s="54"/>
      <c r="M850" s="54"/>
      <c r="N850" s="54"/>
      <c r="O850" s="54"/>
      <c r="P850" s="54"/>
      <c r="S850" s="38"/>
      <c r="T850" s="38"/>
      <c r="U850" s="38"/>
      <c r="V850" s="37"/>
      <c r="W850" s="37"/>
      <c r="X850" s="37"/>
      <c r="Y850" s="37"/>
      <c r="Z850" s="37"/>
      <c r="AA850" s="37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</row>
    <row r="851" spans="1:52" ht="39.75" hidden="1" customHeight="1" x14ac:dyDescent="0.2">
      <c r="A851" s="45" t="str">
        <f t="shared" si="42"/>
        <v/>
      </c>
      <c r="B851" s="45"/>
      <c r="C851" s="45"/>
      <c r="D851" s="45"/>
      <c r="E851" s="50"/>
      <c r="F851" s="51"/>
      <c r="G851" s="52"/>
      <c r="H851" s="52"/>
      <c r="I851" s="52" t="str">
        <f t="shared" si="43"/>
        <v/>
      </c>
      <c r="J851" s="54"/>
      <c r="K851" s="55" t="str">
        <f t="shared" si="44"/>
        <v/>
      </c>
      <c r="L851" s="54"/>
      <c r="M851" s="54"/>
      <c r="N851" s="54"/>
      <c r="O851" s="54"/>
      <c r="P851" s="54"/>
      <c r="S851" s="38"/>
      <c r="T851" s="38"/>
      <c r="U851" s="38"/>
      <c r="V851" s="37"/>
      <c r="W851" s="37"/>
      <c r="X851" s="37"/>
      <c r="Y851" s="37"/>
      <c r="Z851" s="37"/>
      <c r="AA851" s="37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</row>
    <row r="852" spans="1:52" ht="39.75" hidden="1" customHeight="1" x14ac:dyDescent="0.2">
      <c r="A852" s="45" t="str">
        <f t="shared" si="42"/>
        <v/>
      </c>
      <c r="B852" s="45"/>
      <c r="C852" s="45"/>
      <c r="D852" s="45"/>
      <c r="E852" s="50"/>
      <c r="F852" s="51"/>
      <c r="G852" s="52"/>
      <c r="H852" s="52"/>
      <c r="I852" s="52" t="str">
        <f t="shared" si="43"/>
        <v/>
      </c>
      <c r="J852" s="54"/>
      <c r="K852" s="55" t="str">
        <f t="shared" si="44"/>
        <v/>
      </c>
      <c r="L852" s="54"/>
      <c r="M852" s="54"/>
      <c r="N852" s="54"/>
      <c r="O852" s="54"/>
      <c r="P852" s="54"/>
      <c r="S852" s="38"/>
      <c r="T852" s="38"/>
      <c r="U852" s="38"/>
      <c r="V852" s="37"/>
      <c r="W852" s="37"/>
      <c r="X852" s="37"/>
      <c r="Y852" s="37"/>
      <c r="Z852" s="37"/>
      <c r="AA852" s="37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</row>
    <row r="853" spans="1:52" ht="39.75" hidden="1" customHeight="1" x14ac:dyDescent="0.2">
      <c r="A853" s="45" t="str">
        <f t="shared" si="42"/>
        <v/>
      </c>
      <c r="B853" s="45"/>
      <c r="C853" s="45"/>
      <c r="D853" s="45"/>
      <c r="E853" s="50"/>
      <c r="F853" s="51"/>
      <c r="G853" s="52"/>
      <c r="H853" s="52"/>
      <c r="I853" s="52" t="str">
        <f t="shared" si="43"/>
        <v/>
      </c>
      <c r="J853" s="54"/>
      <c r="K853" s="55" t="str">
        <f t="shared" si="44"/>
        <v/>
      </c>
      <c r="L853" s="54"/>
      <c r="M853" s="54"/>
      <c r="N853" s="54"/>
      <c r="O853" s="54"/>
      <c r="P853" s="54"/>
      <c r="S853" s="38"/>
      <c r="T853" s="38"/>
      <c r="U853" s="38"/>
      <c r="V853" s="37"/>
      <c r="W853" s="37"/>
      <c r="X853" s="37"/>
      <c r="Y853" s="37"/>
      <c r="Z853" s="37"/>
      <c r="AA853" s="37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</row>
    <row r="854" spans="1:52" ht="39.75" hidden="1" customHeight="1" x14ac:dyDescent="0.2">
      <c r="A854" s="45" t="str">
        <f t="shared" si="42"/>
        <v/>
      </c>
      <c r="B854" s="45"/>
      <c r="C854" s="45"/>
      <c r="D854" s="45"/>
      <c r="E854" s="50"/>
      <c r="F854" s="51"/>
      <c r="G854" s="52"/>
      <c r="H854" s="52"/>
      <c r="I854" s="52" t="str">
        <f t="shared" si="43"/>
        <v/>
      </c>
      <c r="J854" s="54"/>
      <c r="K854" s="55" t="str">
        <f t="shared" si="44"/>
        <v/>
      </c>
      <c r="L854" s="54"/>
      <c r="M854" s="54"/>
      <c r="N854" s="54"/>
      <c r="O854" s="54"/>
      <c r="P854" s="54"/>
      <c r="S854" s="38"/>
      <c r="T854" s="38"/>
      <c r="U854" s="38"/>
      <c r="V854" s="37"/>
      <c r="W854" s="37"/>
      <c r="X854" s="37"/>
      <c r="Y854" s="37"/>
      <c r="Z854" s="37"/>
      <c r="AA854" s="37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</row>
    <row r="855" spans="1:52" ht="39.75" hidden="1" customHeight="1" x14ac:dyDescent="0.2">
      <c r="A855" s="45" t="str">
        <f t="shared" si="42"/>
        <v/>
      </c>
      <c r="B855" s="45"/>
      <c r="C855" s="45"/>
      <c r="D855" s="45"/>
      <c r="E855" s="50"/>
      <c r="F855" s="51"/>
      <c r="G855" s="52"/>
      <c r="H855" s="52"/>
      <c r="I855" s="52" t="str">
        <f t="shared" si="43"/>
        <v/>
      </c>
      <c r="J855" s="54"/>
      <c r="K855" s="55" t="str">
        <f t="shared" si="44"/>
        <v/>
      </c>
      <c r="L855" s="54"/>
      <c r="M855" s="54"/>
      <c r="N855" s="54"/>
      <c r="O855" s="54"/>
      <c r="P855" s="54"/>
      <c r="S855" s="38"/>
      <c r="T855" s="38"/>
      <c r="U855" s="38"/>
      <c r="V855" s="37"/>
      <c r="W855" s="37"/>
      <c r="X855" s="37"/>
      <c r="Y855" s="37"/>
      <c r="Z855" s="37"/>
      <c r="AA855" s="37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</row>
    <row r="856" spans="1:52" ht="39.75" hidden="1" customHeight="1" x14ac:dyDescent="0.2">
      <c r="A856" s="45" t="str">
        <f t="shared" si="42"/>
        <v/>
      </c>
      <c r="B856" s="45"/>
      <c r="C856" s="45"/>
      <c r="D856" s="45"/>
      <c r="E856" s="50"/>
      <c r="F856" s="51"/>
      <c r="G856" s="52"/>
      <c r="H856" s="52"/>
      <c r="I856" s="52" t="str">
        <f t="shared" si="43"/>
        <v/>
      </c>
      <c r="J856" s="54"/>
      <c r="K856" s="55" t="str">
        <f t="shared" si="44"/>
        <v/>
      </c>
      <c r="L856" s="54"/>
      <c r="M856" s="54"/>
      <c r="N856" s="54"/>
      <c r="O856" s="54"/>
      <c r="P856" s="54"/>
      <c r="S856" s="38"/>
      <c r="T856" s="38"/>
      <c r="U856" s="38"/>
      <c r="V856" s="37"/>
      <c r="W856" s="37"/>
      <c r="X856" s="37"/>
      <c r="Y856" s="37"/>
      <c r="Z856" s="37"/>
      <c r="AA856" s="37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</row>
    <row r="857" spans="1:52" ht="39.75" hidden="1" customHeight="1" x14ac:dyDescent="0.2">
      <c r="A857" s="45" t="str">
        <f t="shared" si="42"/>
        <v/>
      </c>
      <c r="B857" s="45"/>
      <c r="C857" s="45"/>
      <c r="D857" s="45"/>
      <c r="E857" s="50"/>
      <c r="F857" s="51"/>
      <c r="G857" s="52"/>
      <c r="H857" s="52"/>
      <c r="I857" s="52" t="str">
        <f t="shared" si="43"/>
        <v/>
      </c>
      <c r="J857" s="54"/>
      <c r="K857" s="55" t="str">
        <f t="shared" si="44"/>
        <v/>
      </c>
      <c r="L857" s="54"/>
      <c r="M857" s="54"/>
      <c r="N857" s="54"/>
      <c r="O857" s="54"/>
      <c r="P857" s="54"/>
      <c r="S857" s="38"/>
      <c r="T857" s="38"/>
      <c r="U857" s="38"/>
      <c r="V857" s="37"/>
      <c r="W857" s="37"/>
      <c r="X857" s="37"/>
      <c r="Y857" s="37"/>
      <c r="Z857" s="37"/>
      <c r="AA857" s="37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</row>
    <row r="858" spans="1:52" ht="39.75" hidden="1" customHeight="1" x14ac:dyDescent="0.2">
      <c r="A858" s="45" t="str">
        <f t="shared" si="42"/>
        <v/>
      </c>
      <c r="B858" s="45"/>
      <c r="C858" s="45"/>
      <c r="D858" s="45"/>
      <c r="E858" s="50"/>
      <c r="F858" s="51"/>
      <c r="G858" s="52"/>
      <c r="H858" s="52"/>
      <c r="I858" s="52" t="str">
        <f t="shared" si="43"/>
        <v/>
      </c>
      <c r="J858" s="54"/>
      <c r="K858" s="55" t="str">
        <f t="shared" si="44"/>
        <v/>
      </c>
      <c r="L858" s="54"/>
      <c r="M858" s="54"/>
      <c r="N858" s="54"/>
      <c r="O858" s="54"/>
      <c r="P858" s="54"/>
      <c r="S858" s="38"/>
      <c r="T858" s="38"/>
      <c r="U858" s="38"/>
      <c r="V858" s="37"/>
      <c r="W858" s="37"/>
      <c r="X858" s="37"/>
      <c r="Y858" s="37"/>
      <c r="Z858" s="37"/>
      <c r="AA858" s="37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</row>
    <row r="859" spans="1:52" ht="39.75" hidden="1" customHeight="1" x14ac:dyDescent="0.2">
      <c r="A859" s="45" t="str">
        <f t="shared" si="42"/>
        <v/>
      </c>
      <c r="B859" s="45"/>
      <c r="C859" s="45"/>
      <c r="D859" s="45"/>
      <c r="E859" s="50"/>
      <c r="F859" s="51"/>
      <c r="G859" s="52"/>
      <c r="H859" s="52"/>
      <c r="I859" s="52" t="str">
        <f t="shared" si="43"/>
        <v/>
      </c>
      <c r="J859" s="54"/>
      <c r="K859" s="55" t="str">
        <f t="shared" si="44"/>
        <v/>
      </c>
      <c r="L859" s="54"/>
      <c r="M859" s="54"/>
      <c r="N859" s="54"/>
      <c r="O859" s="54"/>
      <c r="P859" s="54"/>
      <c r="S859" s="38"/>
      <c r="T859" s="38"/>
      <c r="U859" s="38"/>
      <c r="V859" s="37"/>
      <c r="W859" s="37"/>
      <c r="X859" s="37"/>
      <c r="Y859" s="37"/>
      <c r="Z859" s="37"/>
      <c r="AA859" s="37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</row>
    <row r="860" spans="1:52" ht="39.75" hidden="1" customHeight="1" x14ac:dyDescent="0.2">
      <c r="A860" s="45" t="str">
        <f t="shared" si="42"/>
        <v/>
      </c>
      <c r="B860" s="45"/>
      <c r="C860" s="45"/>
      <c r="D860" s="45"/>
      <c r="E860" s="50"/>
      <c r="F860" s="51"/>
      <c r="G860" s="52"/>
      <c r="H860" s="52"/>
      <c r="I860" s="52" t="str">
        <f t="shared" si="43"/>
        <v/>
      </c>
      <c r="J860" s="54"/>
      <c r="K860" s="55" t="str">
        <f t="shared" si="44"/>
        <v/>
      </c>
      <c r="L860" s="54"/>
      <c r="M860" s="54"/>
      <c r="N860" s="54"/>
      <c r="O860" s="54"/>
      <c r="P860" s="54"/>
      <c r="S860" s="38"/>
      <c r="T860" s="38"/>
      <c r="U860" s="38"/>
      <c r="V860" s="37"/>
      <c r="W860" s="37"/>
      <c r="X860" s="37"/>
      <c r="Y860" s="37"/>
      <c r="Z860" s="37"/>
      <c r="AA860" s="37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</row>
    <row r="861" spans="1:52" ht="39.75" hidden="1" customHeight="1" x14ac:dyDescent="0.2">
      <c r="A861" s="45" t="str">
        <f t="shared" si="42"/>
        <v/>
      </c>
      <c r="B861" s="45"/>
      <c r="C861" s="45"/>
      <c r="D861" s="45"/>
      <c r="E861" s="50"/>
      <c r="F861" s="51"/>
      <c r="G861" s="52"/>
      <c r="H861" s="52"/>
      <c r="I861" s="52" t="str">
        <f t="shared" si="43"/>
        <v/>
      </c>
      <c r="J861" s="54"/>
      <c r="K861" s="55" t="str">
        <f t="shared" si="44"/>
        <v/>
      </c>
      <c r="L861" s="54"/>
      <c r="M861" s="54"/>
      <c r="N861" s="54"/>
      <c r="O861" s="54"/>
      <c r="P861" s="54"/>
      <c r="S861" s="38"/>
      <c r="T861" s="38"/>
      <c r="U861" s="38"/>
      <c r="V861" s="37"/>
      <c r="W861" s="37"/>
      <c r="X861" s="37"/>
      <c r="Y861" s="37"/>
      <c r="Z861" s="37"/>
      <c r="AA861" s="37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</row>
    <row r="862" spans="1:52" ht="39.75" hidden="1" customHeight="1" x14ac:dyDescent="0.2">
      <c r="A862" s="45" t="str">
        <f t="shared" si="42"/>
        <v/>
      </c>
      <c r="B862" s="45"/>
      <c r="C862" s="45"/>
      <c r="D862" s="45"/>
      <c r="E862" s="50"/>
      <c r="F862" s="51"/>
      <c r="G862" s="52"/>
      <c r="H862" s="52"/>
      <c r="I862" s="52" t="str">
        <f t="shared" si="43"/>
        <v/>
      </c>
      <c r="J862" s="54"/>
      <c r="K862" s="55" t="str">
        <f t="shared" si="44"/>
        <v/>
      </c>
      <c r="L862" s="54"/>
      <c r="M862" s="54"/>
      <c r="N862" s="54"/>
      <c r="O862" s="54"/>
      <c r="P862" s="54"/>
      <c r="S862" s="38"/>
      <c r="T862" s="38"/>
      <c r="U862" s="38"/>
      <c r="V862" s="37"/>
      <c r="W862" s="37"/>
      <c r="X862" s="37"/>
      <c r="Y862" s="37"/>
      <c r="Z862" s="37"/>
      <c r="AA862" s="37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</row>
    <row r="863" spans="1:52" ht="39.75" hidden="1" customHeight="1" x14ac:dyDescent="0.2">
      <c r="A863" s="45" t="str">
        <f t="shared" si="42"/>
        <v/>
      </c>
      <c r="B863" s="45"/>
      <c r="C863" s="45"/>
      <c r="D863" s="45"/>
      <c r="E863" s="50"/>
      <c r="F863" s="51"/>
      <c r="G863" s="52"/>
      <c r="H863" s="52"/>
      <c r="I863" s="52" t="str">
        <f t="shared" si="43"/>
        <v/>
      </c>
      <c r="J863" s="54"/>
      <c r="K863" s="55" t="str">
        <f t="shared" si="44"/>
        <v/>
      </c>
      <c r="L863" s="54"/>
      <c r="M863" s="54"/>
      <c r="N863" s="54"/>
      <c r="O863" s="54"/>
      <c r="P863" s="54"/>
      <c r="S863" s="38"/>
      <c r="T863" s="38"/>
      <c r="U863" s="38"/>
      <c r="V863" s="37"/>
      <c r="W863" s="37"/>
      <c r="X863" s="37"/>
      <c r="Y863" s="37"/>
      <c r="Z863" s="37"/>
      <c r="AA863" s="37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</row>
    <row r="864" spans="1:52" ht="39.75" hidden="1" customHeight="1" x14ac:dyDescent="0.2">
      <c r="A864" s="45" t="str">
        <f t="shared" si="42"/>
        <v/>
      </c>
      <c r="B864" s="45"/>
      <c r="C864" s="45"/>
      <c r="D864" s="45"/>
      <c r="E864" s="50"/>
      <c r="F864" s="51"/>
      <c r="G864" s="52"/>
      <c r="H864" s="52"/>
      <c r="I864" s="52" t="str">
        <f t="shared" si="43"/>
        <v/>
      </c>
      <c r="J864" s="54"/>
      <c r="K864" s="55" t="str">
        <f t="shared" si="44"/>
        <v/>
      </c>
      <c r="L864" s="54"/>
      <c r="M864" s="54"/>
      <c r="N864" s="54"/>
      <c r="O864" s="54"/>
      <c r="P864" s="54"/>
      <c r="S864" s="38"/>
      <c r="T864" s="38"/>
      <c r="U864" s="38"/>
      <c r="V864" s="37"/>
      <c r="W864" s="37"/>
      <c r="X864" s="37"/>
      <c r="Y864" s="37"/>
      <c r="Z864" s="37"/>
      <c r="AA864" s="37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</row>
    <row r="865" spans="1:52" ht="39.75" hidden="1" customHeight="1" x14ac:dyDescent="0.2">
      <c r="A865" s="45" t="str">
        <f t="shared" si="42"/>
        <v/>
      </c>
      <c r="B865" s="45"/>
      <c r="C865" s="45"/>
      <c r="D865" s="45"/>
      <c r="E865" s="50"/>
      <c r="F865" s="51"/>
      <c r="G865" s="52"/>
      <c r="H865" s="52"/>
      <c r="I865" s="52" t="str">
        <f t="shared" si="43"/>
        <v/>
      </c>
      <c r="J865" s="54"/>
      <c r="K865" s="55" t="str">
        <f t="shared" si="44"/>
        <v/>
      </c>
      <c r="L865" s="54"/>
      <c r="M865" s="54"/>
      <c r="N865" s="54"/>
      <c r="O865" s="54"/>
      <c r="P865" s="54"/>
      <c r="S865" s="38"/>
      <c r="T865" s="38"/>
      <c r="U865" s="38"/>
      <c r="V865" s="37"/>
      <c r="W865" s="37"/>
      <c r="X865" s="37"/>
      <c r="Y865" s="37"/>
      <c r="Z865" s="37"/>
      <c r="AA865" s="37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</row>
    <row r="866" spans="1:52" ht="39.75" hidden="1" customHeight="1" x14ac:dyDescent="0.2">
      <c r="A866" s="45" t="str">
        <f t="shared" si="42"/>
        <v/>
      </c>
      <c r="B866" s="45"/>
      <c r="C866" s="45"/>
      <c r="D866" s="45"/>
      <c r="E866" s="50"/>
      <c r="F866" s="51"/>
      <c r="G866" s="52"/>
      <c r="H866" s="52"/>
      <c r="I866" s="52" t="str">
        <f t="shared" si="43"/>
        <v/>
      </c>
      <c r="J866" s="54"/>
      <c r="K866" s="55" t="str">
        <f t="shared" si="44"/>
        <v/>
      </c>
      <c r="L866" s="54"/>
      <c r="M866" s="54"/>
      <c r="N866" s="54"/>
      <c r="O866" s="54"/>
      <c r="P866" s="54"/>
      <c r="S866" s="38"/>
      <c r="T866" s="38"/>
      <c r="U866" s="38"/>
      <c r="V866" s="37"/>
      <c r="W866" s="37"/>
      <c r="X866" s="37"/>
      <c r="Y866" s="37"/>
      <c r="Z866" s="37"/>
      <c r="AA866" s="37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</row>
    <row r="867" spans="1:52" ht="39.75" hidden="1" customHeight="1" x14ac:dyDescent="0.2">
      <c r="A867" s="45" t="str">
        <f t="shared" si="42"/>
        <v/>
      </c>
      <c r="B867" s="45"/>
      <c r="C867" s="45"/>
      <c r="D867" s="45"/>
      <c r="E867" s="50"/>
      <c r="F867" s="51"/>
      <c r="G867" s="52"/>
      <c r="H867" s="52"/>
      <c r="I867" s="52" t="str">
        <f t="shared" si="43"/>
        <v/>
      </c>
      <c r="J867" s="54"/>
      <c r="K867" s="55" t="str">
        <f t="shared" si="44"/>
        <v/>
      </c>
      <c r="L867" s="54"/>
      <c r="M867" s="54"/>
      <c r="N867" s="54"/>
      <c r="O867" s="54"/>
      <c r="P867" s="54"/>
      <c r="S867" s="38"/>
      <c r="T867" s="38"/>
      <c r="U867" s="38"/>
      <c r="V867" s="37"/>
      <c r="W867" s="37"/>
      <c r="X867" s="37"/>
      <c r="Y867" s="37"/>
      <c r="Z867" s="37"/>
      <c r="AA867" s="37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</row>
    <row r="868" spans="1:52" ht="39.75" hidden="1" customHeight="1" x14ac:dyDescent="0.2">
      <c r="A868" s="45" t="str">
        <f t="shared" si="42"/>
        <v/>
      </c>
      <c r="B868" s="45"/>
      <c r="C868" s="45"/>
      <c r="D868" s="45"/>
      <c r="E868" s="50"/>
      <c r="F868" s="51"/>
      <c r="G868" s="52"/>
      <c r="H868" s="52"/>
      <c r="I868" s="52" t="str">
        <f t="shared" si="43"/>
        <v/>
      </c>
      <c r="J868" s="54"/>
      <c r="K868" s="55" t="str">
        <f t="shared" si="44"/>
        <v/>
      </c>
      <c r="L868" s="54"/>
      <c r="M868" s="54"/>
      <c r="N868" s="54"/>
      <c r="O868" s="54"/>
      <c r="P868" s="54"/>
      <c r="S868" s="38"/>
      <c r="T868" s="38"/>
      <c r="U868" s="38"/>
      <c r="V868" s="37"/>
      <c r="W868" s="37"/>
      <c r="X868" s="37"/>
      <c r="Y868" s="37"/>
      <c r="Z868" s="37"/>
      <c r="AA868" s="37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</row>
    <row r="869" spans="1:52" ht="39.75" hidden="1" customHeight="1" x14ac:dyDescent="0.2">
      <c r="A869" s="45" t="str">
        <f t="shared" si="42"/>
        <v/>
      </c>
      <c r="B869" s="45"/>
      <c r="C869" s="45"/>
      <c r="D869" s="45"/>
      <c r="E869" s="50"/>
      <c r="F869" s="51"/>
      <c r="G869" s="52"/>
      <c r="H869" s="52"/>
      <c r="I869" s="52" t="str">
        <f t="shared" si="43"/>
        <v/>
      </c>
      <c r="J869" s="54"/>
      <c r="K869" s="55" t="str">
        <f t="shared" si="44"/>
        <v/>
      </c>
      <c r="L869" s="54"/>
      <c r="M869" s="54"/>
      <c r="N869" s="54"/>
      <c r="O869" s="54"/>
      <c r="P869" s="54"/>
      <c r="S869" s="38"/>
      <c r="T869" s="38"/>
      <c r="U869" s="38"/>
      <c r="V869" s="37"/>
      <c r="W869" s="37"/>
      <c r="X869" s="37"/>
      <c r="Y869" s="37"/>
      <c r="Z869" s="37"/>
      <c r="AA869" s="37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</row>
    <row r="870" spans="1:52" ht="39.75" hidden="1" customHeight="1" x14ac:dyDescent="0.2">
      <c r="A870" s="45" t="str">
        <f t="shared" si="42"/>
        <v/>
      </c>
      <c r="B870" s="45"/>
      <c r="C870" s="45"/>
      <c r="D870" s="45"/>
      <c r="E870" s="50"/>
      <c r="F870" s="51"/>
      <c r="G870" s="52"/>
      <c r="H870" s="52"/>
      <c r="I870" s="52" t="str">
        <f t="shared" si="43"/>
        <v/>
      </c>
      <c r="J870" s="54"/>
      <c r="K870" s="55" t="str">
        <f t="shared" si="44"/>
        <v/>
      </c>
      <c r="L870" s="54"/>
      <c r="M870" s="54"/>
      <c r="N870" s="54"/>
      <c r="O870" s="54"/>
      <c r="P870" s="54"/>
      <c r="S870" s="38"/>
      <c r="T870" s="38"/>
      <c r="U870" s="38"/>
      <c r="V870" s="37"/>
      <c r="W870" s="37"/>
      <c r="X870" s="37"/>
      <c r="Y870" s="37"/>
      <c r="Z870" s="37"/>
      <c r="AA870" s="37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</row>
    <row r="871" spans="1:52" ht="39.75" hidden="1" customHeight="1" x14ac:dyDescent="0.2">
      <c r="A871" s="45" t="str">
        <f t="shared" si="42"/>
        <v/>
      </c>
      <c r="B871" s="45"/>
      <c r="C871" s="45"/>
      <c r="D871" s="45"/>
      <c r="E871" s="50"/>
      <c r="F871" s="51"/>
      <c r="G871" s="52"/>
      <c r="H871" s="52"/>
      <c r="I871" s="52" t="str">
        <f t="shared" si="43"/>
        <v/>
      </c>
      <c r="J871" s="54"/>
      <c r="K871" s="55" t="str">
        <f t="shared" si="44"/>
        <v/>
      </c>
      <c r="L871" s="54"/>
      <c r="M871" s="54"/>
      <c r="N871" s="54"/>
      <c r="O871" s="54"/>
      <c r="P871" s="54"/>
      <c r="S871" s="38"/>
      <c r="T871" s="38"/>
      <c r="U871" s="38"/>
      <c r="V871" s="37"/>
      <c r="W871" s="37"/>
      <c r="X871" s="37"/>
      <c r="Y871" s="37"/>
      <c r="Z871" s="37"/>
      <c r="AA871" s="37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</row>
    <row r="872" spans="1:52" ht="39.75" hidden="1" customHeight="1" x14ac:dyDescent="0.2">
      <c r="A872" s="45" t="str">
        <f t="shared" si="42"/>
        <v/>
      </c>
      <c r="B872" s="45"/>
      <c r="C872" s="45"/>
      <c r="D872" s="45"/>
      <c r="E872" s="50"/>
      <c r="F872" s="51"/>
      <c r="G872" s="52"/>
      <c r="H872" s="52"/>
      <c r="I872" s="52" t="str">
        <f t="shared" si="43"/>
        <v/>
      </c>
      <c r="J872" s="54"/>
      <c r="K872" s="55" t="str">
        <f t="shared" si="44"/>
        <v/>
      </c>
      <c r="L872" s="54"/>
      <c r="M872" s="54"/>
      <c r="N872" s="54"/>
      <c r="O872" s="54"/>
      <c r="P872" s="54"/>
      <c r="S872" s="38"/>
      <c r="T872" s="38"/>
      <c r="U872" s="38"/>
      <c r="V872" s="37"/>
      <c r="W872" s="37"/>
      <c r="X872" s="37"/>
      <c r="Y872" s="37"/>
      <c r="Z872" s="37"/>
      <c r="AA872" s="37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</row>
    <row r="873" spans="1:52" ht="39.75" hidden="1" customHeight="1" x14ac:dyDescent="0.2">
      <c r="A873" s="45" t="str">
        <f t="shared" si="42"/>
        <v/>
      </c>
      <c r="B873" s="45"/>
      <c r="C873" s="45"/>
      <c r="D873" s="45"/>
      <c r="E873" s="50"/>
      <c r="F873" s="51"/>
      <c r="G873" s="52"/>
      <c r="H873" s="52"/>
      <c r="I873" s="52" t="str">
        <f t="shared" si="43"/>
        <v/>
      </c>
      <c r="J873" s="54"/>
      <c r="K873" s="55" t="str">
        <f t="shared" si="44"/>
        <v/>
      </c>
      <c r="L873" s="54"/>
      <c r="M873" s="54"/>
      <c r="N873" s="54"/>
      <c r="O873" s="54"/>
      <c r="P873" s="54"/>
      <c r="S873" s="38"/>
      <c r="T873" s="38"/>
      <c r="U873" s="38"/>
      <c r="V873" s="37"/>
      <c r="W873" s="37"/>
      <c r="X873" s="37"/>
      <c r="Y873" s="37"/>
      <c r="Z873" s="37"/>
      <c r="AA873" s="37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</row>
    <row r="874" spans="1:52" ht="39.75" hidden="1" customHeight="1" x14ac:dyDescent="0.2">
      <c r="A874" s="45" t="str">
        <f t="shared" si="42"/>
        <v/>
      </c>
      <c r="B874" s="45"/>
      <c r="C874" s="45"/>
      <c r="D874" s="45"/>
      <c r="E874" s="50"/>
      <c r="F874" s="51"/>
      <c r="G874" s="52"/>
      <c r="H874" s="52"/>
      <c r="I874" s="52" t="str">
        <f t="shared" si="43"/>
        <v/>
      </c>
      <c r="J874" s="54"/>
      <c r="K874" s="55" t="str">
        <f t="shared" si="44"/>
        <v/>
      </c>
      <c r="L874" s="54"/>
      <c r="M874" s="54"/>
      <c r="N874" s="54"/>
      <c r="O874" s="54"/>
      <c r="P874" s="54"/>
      <c r="S874" s="38"/>
      <c r="T874" s="38"/>
      <c r="U874" s="38"/>
      <c r="V874" s="37"/>
      <c r="W874" s="37"/>
      <c r="X874" s="37"/>
      <c r="Y874" s="37"/>
      <c r="Z874" s="37"/>
      <c r="AA874" s="37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</row>
    <row r="875" spans="1:52" ht="39.75" hidden="1" customHeight="1" x14ac:dyDescent="0.2">
      <c r="A875" s="45" t="str">
        <f t="shared" si="42"/>
        <v/>
      </c>
      <c r="B875" s="45"/>
      <c r="C875" s="45"/>
      <c r="D875" s="45"/>
      <c r="E875" s="50"/>
      <c r="F875" s="51"/>
      <c r="G875" s="52"/>
      <c r="H875" s="52"/>
      <c r="I875" s="52" t="str">
        <f t="shared" si="43"/>
        <v/>
      </c>
      <c r="J875" s="54"/>
      <c r="K875" s="55" t="str">
        <f t="shared" si="44"/>
        <v/>
      </c>
      <c r="L875" s="54"/>
      <c r="M875" s="54"/>
      <c r="N875" s="54"/>
      <c r="O875" s="54"/>
      <c r="P875" s="54"/>
      <c r="S875" s="38"/>
      <c r="T875" s="38"/>
      <c r="U875" s="38"/>
      <c r="V875" s="37"/>
      <c r="W875" s="37"/>
      <c r="X875" s="37"/>
      <c r="Y875" s="37"/>
      <c r="Z875" s="37"/>
      <c r="AA875" s="37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</row>
    <row r="876" spans="1:52" ht="39.75" hidden="1" customHeight="1" x14ac:dyDescent="0.2">
      <c r="A876" s="45" t="str">
        <f t="shared" si="42"/>
        <v/>
      </c>
      <c r="B876" s="45"/>
      <c r="C876" s="45"/>
      <c r="D876" s="45"/>
      <c r="E876" s="50"/>
      <c r="F876" s="51"/>
      <c r="G876" s="52"/>
      <c r="H876" s="52"/>
      <c r="I876" s="52" t="str">
        <f t="shared" si="43"/>
        <v/>
      </c>
      <c r="J876" s="54"/>
      <c r="K876" s="55" t="str">
        <f t="shared" si="44"/>
        <v/>
      </c>
      <c r="L876" s="54"/>
      <c r="M876" s="54"/>
      <c r="N876" s="54"/>
      <c r="O876" s="54"/>
      <c r="P876" s="54"/>
      <c r="S876" s="38"/>
      <c r="T876" s="38"/>
      <c r="U876" s="38"/>
      <c r="V876" s="37"/>
      <c r="W876" s="37"/>
      <c r="X876" s="37"/>
      <c r="Y876" s="37"/>
      <c r="Z876" s="37"/>
      <c r="AA876" s="37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</row>
    <row r="877" spans="1:52" ht="39.75" hidden="1" customHeight="1" x14ac:dyDescent="0.2">
      <c r="A877" s="45" t="str">
        <f t="shared" si="42"/>
        <v/>
      </c>
      <c r="B877" s="45"/>
      <c r="C877" s="45"/>
      <c r="D877" s="45"/>
      <c r="E877" s="50"/>
      <c r="F877" s="51"/>
      <c r="G877" s="52"/>
      <c r="H877" s="52"/>
      <c r="I877" s="52" t="str">
        <f t="shared" si="43"/>
        <v/>
      </c>
      <c r="J877" s="54"/>
      <c r="K877" s="55" t="str">
        <f t="shared" si="44"/>
        <v/>
      </c>
      <c r="L877" s="54"/>
      <c r="M877" s="54"/>
      <c r="N877" s="54"/>
      <c r="O877" s="54"/>
      <c r="P877" s="54"/>
      <c r="S877" s="38"/>
      <c r="T877" s="38"/>
      <c r="U877" s="38"/>
      <c r="V877" s="37"/>
      <c r="W877" s="37"/>
      <c r="X877" s="37"/>
      <c r="Y877" s="37"/>
      <c r="Z877" s="37"/>
      <c r="AA877" s="37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</row>
    <row r="878" spans="1:52" ht="39.75" hidden="1" customHeight="1" x14ac:dyDescent="0.2">
      <c r="A878" s="45" t="str">
        <f t="shared" si="42"/>
        <v/>
      </c>
      <c r="B878" s="45"/>
      <c r="C878" s="45"/>
      <c r="D878" s="45"/>
      <c r="E878" s="50"/>
      <c r="F878" s="51"/>
      <c r="G878" s="52"/>
      <c r="H878" s="52"/>
      <c r="I878" s="52" t="str">
        <f t="shared" si="43"/>
        <v/>
      </c>
      <c r="J878" s="54"/>
      <c r="K878" s="55" t="str">
        <f t="shared" si="44"/>
        <v/>
      </c>
      <c r="L878" s="54"/>
      <c r="M878" s="54"/>
      <c r="N878" s="54"/>
      <c r="O878" s="54"/>
      <c r="P878" s="54"/>
      <c r="S878" s="38"/>
      <c r="T878" s="38"/>
      <c r="U878" s="38"/>
      <c r="V878" s="37"/>
      <c r="W878" s="37"/>
      <c r="X878" s="37"/>
      <c r="Y878" s="37"/>
      <c r="Z878" s="37"/>
      <c r="AA878" s="37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</row>
    <row r="879" spans="1:52" ht="39.75" hidden="1" customHeight="1" x14ac:dyDescent="0.2">
      <c r="A879" s="45" t="str">
        <f t="shared" si="42"/>
        <v/>
      </c>
      <c r="B879" s="45"/>
      <c r="C879" s="45"/>
      <c r="D879" s="45"/>
      <c r="E879" s="50"/>
      <c r="F879" s="51"/>
      <c r="G879" s="52"/>
      <c r="H879" s="52"/>
      <c r="I879" s="52" t="str">
        <f t="shared" si="43"/>
        <v/>
      </c>
      <c r="J879" s="54"/>
      <c r="K879" s="55" t="str">
        <f t="shared" si="44"/>
        <v/>
      </c>
      <c r="L879" s="54"/>
      <c r="M879" s="54"/>
      <c r="N879" s="54"/>
      <c r="O879" s="54"/>
      <c r="P879" s="54"/>
      <c r="S879" s="38"/>
      <c r="T879" s="38"/>
      <c r="U879" s="38"/>
      <c r="V879" s="37"/>
      <c r="W879" s="37"/>
      <c r="X879" s="37"/>
      <c r="Y879" s="37"/>
      <c r="Z879" s="37"/>
      <c r="AA879" s="37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</row>
    <row r="880" spans="1:52" ht="39.75" hidden="1" customHeight="1" x14ac:dyDescent="0.2">
      <c r="A880" s="45" t="str">
        <f t="shared" si="42"/>
        <v/>
      </c>
      <c r="B880" s="45"/>
      <c r="C880" s="45"/>
      <c r="D880" s="45"/>
      <c r="E880" s="50"/>
      <c r="F880" s="51"/>
      <c r="G880" s="52"/>
      <c r="H880" s="52"/>
      <c r="I880" s="52" t="str">
        <f t="shared" si="43"/>
        <v/>
      </c>
      <c r="J880" s="54"/>
      <c r="K880" s="55" t="str">
        <f t="shared" si="44"/>
        <v/>
      </c>
      <c r="L880" s="54"/>
      <c r="M880" s="54"/>
      <c r="N880" s="54"/>
      <c r="O880" s="54"/>
      <c r="P880" s="54"/>
      <c r="S880" s="38"/>
      <c r="T880" s="38"/>
      <c r="U880" s="38"/>
      <c r="V880" s="37"/>
      <c r="W880" s="37"/>
      <c r="X880" s="37"/>
      <c r="Y880" s="37"/>
      <c r="Z880" s="37"/>
      <c r="AA880" s="37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</row>
    <row r="881" spans="1:52" ht="39.75" hidden="1" customHeight="1" x14ac:dyDescent="0.2">
      <c r="A881" s="45" t="str">
        <f t="shared" si="42"/>
        <v/>
      </c>
      <c r="B881" s="45"/>
      <c r="C881" s="45"/>
      <c r="D881" s="45"/>
      <c r="E881" s="50"/>
      <c r="F881" s="51"/>
      <c r="G881" s="52"/>
      <c r="H881" s="52"/>
      <c r="I881" s="52" t="str">
        <f t="shared" si="43"/>
        <v/>
      </c>
      <c r="J881" s="54"/>
      <c r="K881" s="55" t="str">
        <f t="shared" si="44"/>
        <v/>
      </c>
      <c r="L881" s="54"/>
      <c r="M881" s="54"/>
      <c r="N881" s="54"/>
      <c r="O881" s="54"/>
      <c r="P881" s="54"/>
      <c r="S881" s="38"/>
      <c r="T881" s="38"/>
      <c r="U881" s="38"/>
      <c r="V881" s="37"/>
      <c r="W881" s="37"/>
      <c r="X881" s="37"/>
      <c r="Y881" s="37"/>
      <c r="Z881" s="37"/>
      <c r="AA881" s="37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</row>
    <row r="882" spans="1:52" ht="39.75" hidden="1" customHeight="1" x14ac:dyDescent="0.2">
      <c r="A882" s="45" t="str">
        <f t="shared" si="42"/>
        <v/>
      </c>
      <c r="B882" s="45"/>
      <c r="C882" s="45"/>
      <c r="D882" s="45"/>
      <c r="E882" s="50"/>
      <c r="F882" s="51"/>
      <c r="G882" s="52"/>
      <c r="H882" s="52"/>
      <c r="I882" s="52" t="str">
        <f t="shared" si="43"/>
        <v/>
      </c>
      <c r="J882" s="54"/>
      <c r="K882" s="55" t="str">
        <f t="shared" si="44"/>
        <v/>
      </c>
      <c r="L882" s="54"/>
      <c r="M882" s="54"/>
      <c r="N882" s="54"/>
      <c r="O882" s="54"/>
      <c r="P882" s="54"/>
      <c r="S882" s="38"/>
      <c r="T882" s="38"/>
      <c r="U882" s="38"/>
      <c r="V882" s="37"/>
      <c r="W882" s="37"/>
      <c r="X882" s="37"/>
      <c r="Y882" s="37"/>
      <c r="Z882" s="37"/>
      <c r="AA882" s="37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</row>
    <row r="883" spans="1:52" ht="39.75" hidden="1" customHeight="1" x14ac:dyDescent="0.2">
      <c r="A883" s="45" t="str">
        <f t="shared" si="42"/>
        <v/>
      </c>
      <c r="B883" s="45"/>
      <c r="C883" s="45"/>
      <c r="D883" s="45"/>
      <c r="E883" s="50"/>
      <c r="F883" s="51"/>
      <c r="G883" s="52"/>
      <c r="H883" s="52"/>
      <c r="I883" s="52" t="str">
        <f t="shared" si="43"/>
        <v/>
      </c>
      <c r="J883" s="54"/>
      <c r="K883" s="55" t="str">
        <f t="shared" si="44"/>
        <v/>
      </c>
      <c r="L883" s="54"/>
      <c r="M883" s="54"/>
      <c r="N883" s="54"/>
      <c r="O883" s="54"/>
      <c r="P883" s="54"/>
      <c r="S883" s="38"/>
      <c r="T883" s="38"/>
      <c r="U883" s="38"/>
      <c r="V883" s="37"/>
      <c r="W883" s="37"/>
      <c r="X883" s="37"/>
      <c r="Y883" s="37"/>
      <c r="Z883" s="37"/>
      <c r="AA883" s="37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</row>
    <row r="884" spans="1:52" ht="39.75" hidden="1" customHeight="1" x14ac:dyDescent="0.2">
      <c r="A884" s="45" t="str">
        <f t="shared" si="42"/>
        <v/>
      </c>
      <c r="B884" s="45"/>
      <c r="C884" s="45"/>
      <c r="D884" s="45"/>
      <c r="E884" s="50"/>
      <c r="F884" s="51"/>
      <c r="G884" s="52"/>
      <c r="H884" s="52"/>
      <c r="I884" s="52" t="str">
        <f t="shared" si="43"/>
        <v/>
      </c>
      <c r="J884" s="54"/>
      <c r="K884" s="55" t="str">
        <f t="shared" si="44"/>
        <v/>
      </c>
      <c r="L884" s="54"/>
      <c r="M884" s="54"/>
      <c r="N884" s="54"/>
      <c r="O884" s="54"/>
      <c r="P884" s="54"/>
      <c r="S884" s="38"/>
      <c r="T884" s="38"/>
      <c r="U884" s="38"/>
      <c r="V884" s="37"/>
      <c r="W884" s="37"/>
      <c r="X884" s="37"/>
      <c r="Y884" s="37"/>
      <c r="Z884" s="37"/>
      <c r="AA884" s="37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</row>
    <row r="885" spans="1:52" ht="39.75" hidden="1" customHeight="1" x14ac:dyDescent="0.2">
      <c r="A885" s="45" t="str">
        <f t="shared" si="42"/>
        <v/>
      </c>
      <c r="B885" s="45"/>
      <c r="C885" s="45"/>
      <c r="D885" s="45"/>
      <c r="E885" s="50"/>
      <c r="F885" s="51"/>
      <c r="G885" s="52"/>
      <c r="H885" s="52"/>
      <c r="I885" s="52" t="str">
        <f t="shared" si="43"/>
        <v/>
      </c>
      <c r="J885" s="54"/>
      <c r="K885" s="55" t="str">
        <f t="shared" si="44"/>
        <v/>
      </c>
      <c r="L885" s="54"/>
      <c r="M885" s="54"/>
      <c r="N885" s="54"/>
      <c r="O885" s="54"/>
      <c r="P885" s="54"/>
      <c r="S885" s="38"/>
      <c r="T885" s="38"/>
      <c r="U885" s="38"/>
      <c r="V885" s="37"/>
      <c r="W885" s="37"/>
      <c r="X885" s="37"/>
      <c r="Y885" s="37"/>
      <c r="Z885" s="37"/>
      <c r="AA885" s="37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8"/>
      <c r="AY885" s="38"/>
      <c r="AZ885" s="38"/>
    </row>
    <row r="886" spans="1:52" ht="39.75" hidden="1" customHeight="1" x14ac:dyDescent="0.2">
      <c r="A886" s="45" t="str">
        <f t="shared" si="42"/>
        <v/>
      </c>
      <c r="B886" s="45"/>
      <c r="C886" s="45"/>
      <c r="D886" s="45"/>
      <c r="E886" s="50"/>
      <c r="F886" s="51"/>
      <c r="G886" s="52"/>
      <c r="H886" s="52"/>
      <c r="I886" s="52" t="str">
        <f t="shared" si="43"/>
        <v/>
      </c>
      <c r="J886" s="54"/>
      <c r="K886" s="55" t="str">
        <f t="shared" si="44"/>
        <v/>
      </c>
      <c r="L886" s="54"/>
      <c r="M886" s="54"/>
      <c r="N886" s="54"/>
      <c r="O886" s="54"/>
      <c r="P886" s="54"/>
      <c r="S886" s="38"/>
      <c r="T886" s="38"/>
      <c r="U886" s="38"/>
      <c r="V886" s="37"/>
      <c r="W886" s="37"/>
      <c r="X886" s="37"/>
      <c r="Y886" s="37"/>
      <c r="Z886" s="37"/>
      <c r="AA886" s="37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8"/>
      <c r="AY886" s="38"/>
      <c r="AZ886" s="38"/>
    </row>
    <row r="887" spans="1:52" ht="39.75" hidden="1" customHeight="1" x14ac:dyDescent="0.2">
      <c r="A887" s="45" t="str">
        <f t="shared" si="42"/>
        <v/>
      </c>
      <c r="B887" s="45"/>
      <c r="C887" s="45"/>
      <c r="D887" s="45"/>
      <c r="E887" s="50"/>
      <c r="F887" s="51"/>
      <c r="G887" s="52"/>
      <c r="H887" s="52"/>
      <c r="I887" s="52" t="str">
        <f t="shared" si="43"/>
        <v/>
      </c>
      <c r="J887" s="54"/>
      <c r="K887" s="55" t="str">
        <f t="shared" si="44"/>
        <v/>
      </c>
      <c r="L887" s="54"/>
      <c r="M887" s="54"/>
      <c r="N887" s="54"/>
      <c r="O887" s="54"/>
      <c r="P887" s="54"/>
      <c r="S887" s="38"/>
      <c r="T887" s="38"/>
      <c r="U887" s="38"/>
      <c r="V887" s="37"/>
      <c r="W887" s="37"/>
      <c r="X887" s="37"/>
      <c r="Y887" s="37"/>
      <c r="Z887" s="37"/>
      <c r="AA887" s="37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8"/>
      <c r="AY887" s="38"/>
      <c r="AZ887" s="38"/>
    </row>
    <row r="888" spans="1:52" ht="39.75" hidden="1" customHeight="1" x14ac:dyDescent="0.2">
      <c r="A888" s="45" t="str">
        <f t="shared" si="42"/>
        <v/>
      </c>
      <c r="B888" s="45"/>
      <c r="C888" s="45"/>
      <c r="D888" s="45"/>
      <c r="E888" s="50"/>
      <c r="F888" s="51"/>
      <c r="G888" s="52"/>
      <c r="H888" s="52"/>
      <c r="I888" s="52" t="str">
        <f t="shared" si="43"/>
        <v/>
      </c>
      <c r="J888" s="54"/>
      <c r="K888" s="55" t="str">
        <f t="shared" si="44"/>
        <v/>
      </c>
      <c r="L888" s="54"/>
      <c r="M888" s="54"/>
      <c r="N888" s="54"/>
      <c r="O888" s="54"/>
      <c r="P888" s="54"/>
      <c r="S888" s="38"/>
      <c r="T888" s="38"/>
      <c r="U888" s="38"/>
      <c r="V888" s="37"/>
      <c r="W888" s="37"/>
      <c r="X888" s="37"/>
      <c r="Y888" s="37"/>
      <c r="Z888" s="37"/>
      <c r="AA888" s="37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</row>
    <row r="889" spans="1:52" ht="39.75" hidden="1" customHeight="1" x14ac:dyDescent="0.2">
      <c r="A889" s="45" t="str">
        <f t="shared" si="42"/>
        <v/>
      </c>
      <c r="B889" s="45"/>
      <c r="C889" s="45"/>
      <c r="D889" s="45"/>
      <c r="E889" s="50"/>
      <c r="F889" s="51"/>
      <c r="G889" s="52"/>
      <c r="H889" s="52"/>
      <c r="I889" s="52" t="str">
        <f t="shared" si="43"/>
        <v/>
      </c>
      <c r="J889" s="54"/>
      <c r="K889" s="55" t="str">
        <f t="shared" si="44"/>
        <v/>
      </c>
      <c r="L889" s="54"/>
      <c r="M889" s="54"/>
      <c r="N889" s="54"/>
      <c r="O889" s="54"/>
      <c r="P889" s="54"/>
      <c r="S889" s="38"/>
      <c r="T889" s="38"/>
      <c r="U889" s="38"/>
      <c r="V889" s="37"/>
      <c r="W889" s="37"/>
      <c r="X889" s="37"/>
      <c r="Y889" s="37"/>
      <c r="Z889" s="37"/>
      <c r="AA889" s="37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/>
    </row>
    <row r="890" spans="1:52" ht="39.75" hidden="1" customHeight="1" x14ac:dyDescent="0.2">
      <c r="A890" s="45" t="str">
        <f t="shared" si="42"/>
        <v/>
      </c>
      <c r="B890" s="45"/>
      <c r="C890" s="45"/>
      <c r="D890" s="45"/>
      <c r="E890" s="50"/>
      <c r="F890" s="51"/>
      <c r="G890" s="52"/>
      <c r="H890" s="52"/>
      <c r="I890" s="52" t="str">
        <f t="shared" si="43"/>
        <v/>
      </c>
      <c r="J890" s="54"/>
      <c r="K890" s="55" t="str">
        <f t="shared" si="44"/>
        <v/>
      </c>
      <c r="L890" s="54"/>
      <c r="M890" s="54"/>
      <c r="N890" s="54"/>
      <c r="O890" s="54"/>
      <c r="P890" s="54"/>
      <c r="S890" s="38"/>
      <c r="T890" s="38"/>
      <c r="U890" s="38"/>
      <c r="V890" s="37"/>
      <c r="W890" s="37"/>
      <c r="X890" s="37"/>
      <c r="Y890" s="37"/>
      <c r="Z890" s="37"/>
      <c r="AA890" s="37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</row>
    <row r="891" spans="1:52" ht="39.75" hidden="1" customHeight="1" x14ac:dyDescent="0.2">
      <c r="A891" s="45" t="str">
        <f t="shared" si="42"/>
        <v/>
      </c>
      <c r="B891" s="45"/>
      <c r="C891" s="45"/>
      <c r="D891" s="45"/>
      <c r="E891" s="50"/>
      <c r="F891" s="51"/>
      <c r="G891" s="52"/>
      <c r="H891" s="52"/>
      <c r="I891" s="52" t="str">
        <f t="shared" si="43"/>
        <v/>
      </c>
      <c r="J891" s="54"/>
      <c r="K891" s="55" t="str">
        <f t="shared" si="44"/>
        <v/>
      </c>
      <c r="L891" s="54"/>
      <c r="M891" s="54"/>
      <c r="N891" s="54"/>
      <c r="O891" s="54"/>
      <c r="P891" s="54"/>
      <c r="S891" s="38"/>
      <c r="T891" s="38"/>
      <c r="U891" s="38"/>
      <c r="V891" s="37"/>
      <c r="W891" s="37"/>
      <c r="X891" s="37"/>
      <c r="Y891" s="37"/>
      <c r="Z891" s="37"/>
      <c r="AA891" s="37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</row>
    <row r="892" spans="1:52" ht="39.75" hidden="1" customHeight="1" x14ac:dyDescent="0.2">
      <c r="A892" s="45" t="str">
        <f t="shared" si="42"/>
        <v/>
      </c>
      <c r="B892" s="45"/>
      <c r="C892" s="45"/>
      <c r="D892" s="45"/>
      <c r="E892" s="50"/>
      <c r="F892" s="51"/>
      <c r="G892" s="52"/>
      <c r="H892" s="52"/>
      <c r="I892" s="52" t="str">
        <f t="shared" si="43"/>
        <v/>
      </c>
      <c r="J892" s="54"/>
      <c r="K892" s="55" t="str">
        <f t="shared" si="44"/>
        <v/>
      </c>
      <c r="L892" s="54"/>
      <c r="M892" s="54"/>
      <c r="N892" s="54"/>
      <c r="O892" s="54"/>
      <c r="P892" s="54"/>
      <c r="S892" s="38"/>
      <c r="T892" s="38"/>
      <c r="U892" s="38"/>
      <c r="V892" s="37"/>
      <c r="W892" s="37"/>
      <c r="X892" s="37"/>
      <c r="Y892" s="37"/>
      <c r="Z892" s="37"/>
      <c r="AA892" s="37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</row>
    <row r="893" spans="1:52" ht="39.75" hidden="1" customHeight="1" x14ac:dyDescent="0.2">
      <c r="A893" s="45" t="str">
        <f t="shared" si="42"/>
        <v/>
      </c>
      <c r="B893" s="45"/>
      <c r="C893" s="45"/>
      <c r="D893" s="45"/>
      <c r="E893" s="50"/>
      <c r="F893" s="51"/>
      <c r="G893" s="52"/>
      <c r="H893" s="52"/>
      <c r="I893" s="52" t="str">
        <f t="shared" si="43"/>
        <v/>
      </c>
      <c r="J893" s="54"/>
      <c r="K893" s="55" t="str">
        <f t="shared" si="44"/>
        <v/>
      </c>
      <c r="L893" s="54"/>
      <c r="M893" s="54"/>
      <c r="N893" s="54"/>
      <c r="O893" s="54"/>
      <c r="P893" s="54"/>
      <c r="S893" s="38"/>
      <c r="T893" s="38"/>
      <c r="U893" s="38"/>
      <c r="V893" s="37"/>
      <c r="W893" s="37"/>
      <c r="X893" s="37"/>
      <c r="Y893" s="37"/>
      <c r="Z893" s="37"/>
      <c r="AA893" s="37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</row>
    <row r="894" spans="1:52" ht="39.75" hidden="1" customHeight="1" x14ac:dyDescent="0.2">
      <c r="A894" s="45" t="str">
        <f t="shared" si="42"/>
        <v/>
      </c>
      <c r="B894" s="45"/>
      <c r="C894" s="45"/>
      <c r="D894" s="45"/>
      <c r="E894" s="50"/>
      <c r="F894" s="51"/>
      <c r="G894" s="52"/>
      <c r="H894" s="52"/>
      <c r="I894" s="52" t="str">
        <f t="shared" si="43"/>
        <v/>
      </c>
      <c r="J894" s="54"/>
      <c r="K894" s="55" t="str">
        <f t="shared" si="44"/>
        <v/>
      </c>
      <c r="L894" s="54"/>
      <c r="M894" s="54"/>
      <c r="N894" s="54"/>
      <c r="O894" s="54"/>
      <c r="P894" s="54"/>
      <c r="S894" s="38"/>
      <c r="T894" s="38"/>
      <c r="U894" s="38"/>
      <c r="V894" s="37"/>
      <c r="W894" s="37"/>
      <c r="X894" s="37"/>
      <c r="Y894" s="37"/>
      <c r="Z894" s="37"/>
      <c r="AA894" s="37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</row>
    <row r="895" spans="1:52" ht="39.75" hidden="1" customHeight="1" x14ac:dyDescent="0.2">
      <c r="A895" s="45" t="str">
        <f t="shared" si="42"/>
        <v/>
      </c>
      <c r="B895" s="45"/>
      <c r="C895" s="45"/>
      <c r="D895" s="45"/>
      <c r="E895" s="50"/>
      <c r="F895" s="51"/>
      <c r="G895" s="52"/>
      <c r="H895" s="52"/>
      <c r="I895" s="52" t="str">
        <f t="shared" si="43"/>
        <v/>
      </c>
      <c r="J895" s="54"/>
      <c r="K895" s="55" t="str">
        <f t="shared" si="44"/>
        <v/>
      </c>
      <c r="L895" s="54"/>
      <c r="M895" s="54"/>
      <c r="N895" s="54"/>
      <c r="O895" s="54"/>
      <c r="P895" s="54"/>
      <c r="S895" s="38"/>
      <c r="T895" s="38"/>
      <c r="U895" s="38"/>
      <c r="V895" s="37"/>
      <c r="W895" s="37"/>
      <c r="X895" s="37"/>
      <c r="Y895" s="37"/>
      <c r="Z895" s="37"/>
      <c r="AA895" s="37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8"/>
      <c r="AV895" s="38"/>
      <c r="AW895" s="38"/>
      <c r="AX895" s="38"/>
      <c r="AY895" s="38"/>
      <c r="AZ895" s="38"/>
    </row>
    <row r="896" spans="1:52" ht="39.75" hidden="1" customHeight="1" x14ac:dyDescent="0.2">
      <c r="A896" s="45" t="str">
        <f t="shared" si="42"/>
        <v/>
      </c>
      <c r="B896" s="45"/>
      <c r="C896" s="45"/>
      <c r="D896" s="45"/>
      <c r="E896" s="50"/>
      <c r="F896" s="51"/>
      <c r="G896" s="52"/>
      <c r="H896" s="52"/>
      <c r="I896" s="52" t="str">
        <f t="shared" si="43"/>
        <v/>
      </c>
      <c r="J896" s="54"/>
      <c r="K896" s="55" t="str">
        <f t="shared" si="44"/>
        <v/>
      </c>
      <c r="L896" s="54"/>
      <c r="M896" s="54"/>
      <c r="N896" s="54"/>
      <c r="O896" s="54"/>
      <c r="P896" s="54"/>
      <c r="S896" s="38"/>
      <c r="T896" s="38"/>
      <c r="U896" s="38"/>
      <c r="V896" s="37"/>
      <c r="W896" s="37"/>
      <c r="X896" s="37"/>
      <c r="Y896" s="37"/>
      <c r="Z896" s="37"/>
      <c r="AA896" s="37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8"/>
      <c r="AV896" s="38"/>
      <c r="AW896" s="38"/>
      <c r="AX896" s="38"/>
      <c r="AY896" s="38"/>
      <c r="AZ896" s="38"/>
    </row>
    <row r="897" spans="1:52" ht="39.75" hidden="1" customHeight="1" x14ac:dyDescent="0.2">
      <c r="A897" s="45" t="str">
        <f t="shared" si="42"/>
        <v/>
      </c>
      <c r="B897" s="45"/>
      <c r="C897" s="45"/>
      <c r="D897" s="45"/>
      <c r="E897" s="50"/>
      <c r="F897" s="51"/>
      <c r="G897" s="52"/>
      <c r="H897" s="52"/>
      <c r="I897" s="52" t="str">
        <f t="shared" si="43"/>
        <v/>
      </c>
      <c r="J897" s="54"/>
      <c r="K897" s="55" t="str">
        <f t="shared" si="44"/>
        <v/>
      </c>
      <c r="L897" s="54"/>
      <c r="M897" s="54"/>
      <c r="N897" s="54"/>
      <c r="O897" s="54"/>
      <c r="P897" s="54"/>
      <c r="S897" s="38"/>
      <c r="T897" s="38"/>
      <c r="U897" s="38"/>
      <c r="V897" s="37"/>
      <c r="W897" s="37"/>
      <c r="X897" s="37"/>
      <c r="Y897" s="37"/>
      <c r="Z897" s="37"/>
      <c r="AA897" s="37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8"/>
      <c r="AV897" s="38"/>
      <c r="AW897" s="38"/>
      <c r="AX897" s="38"/>
      <c r="AY897" s="38"/>
      <c r="AZ897" s="38"/>
    </row>
    <row r="898" spans="1:52" ht="39.75" hidden="1" customHeight="1" x14ac:dyDescent="0.2">
      <c r="A898" s="45" t="str">
        <f t="shared" si="42"/>
        <v/>
      </c>
      <c r="B898" s="45"/>
      <c r="C898" s="45"/>
      <c r="D898" s="45"/>
      <c r="E898" s="50"/>
      <c r="F898" s="51"/>
      <c r="G898" s="52"/>
      <c r="H898" s="52"/>
      <c r="I898" s="52" t="str">
        <f t="shared" si="43"/>
        <v/>
      </c>
      <c r="J898" s="54"/>
      <c r="K898" s="55" t="str">
        <f t="shared" si="44"/>
        <v/>
      </c>
      <c r="L898" s="54"/>
      <c r="M898" s="54"/>
      <c r="N898" s="54"/>
      <c r="O898" s="54"/>
      <c r="P898" s="54"/>
      <c r="S898" s="38"/>
      <c r="T898" s="38"/>
      <c r="U898" s="38"/>
      <c r="V898" s="37"/>
      <c r="W898" s="37"/>
      <c r="X898" s="37"/>
      <c r="Y898" s="37"/>
      <c r="Z898" s="37"/>
      <c r="AA898" s="37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</row>
    <row r="899" spans="1:52" ht="39.75" hidden="1" customHeight="1" x14ac:dyDescent="0.2">
      <c r="A899" s="45" t="str">
        <f t="shared" si="42"/>
        <v/>
      </c>
      <c r="B899" s="45"/>
      <c r="C899" s="45"/>
      <c r="D899" s="45"/>
      <c r="E899" s="50"/>
      <c r="F899" s="51"/>
      <c r="G899" s="52"/>
      <c r="H899" s="52"/>
      <c r="I899" s="52" t="str">
        <f t="shared" si="43"/>
        <v/>
      </c>
      <c r="J899" s="54"/>
      <c r="K899" s="55" t="str">
        <f t="shared" si="44"/>
        <v/>
      </c>
      <c r="L899" s="54"/>
      <c r="M899" s="54"/>
      <c r="N899" s="54"/>
      <c r="O899" s="54"/>
      <c r="P899" s="54"/>
      <c r="S899" s="38"/>
      <c r="T899" s="38"/>
      <c r="U899" s="38"/>
      <c r="V899" s="37"/>
      <c r="W899" s="37"/>
      <c r="X899" s="37"/>
      <c r="Y899" s="37"/>
      <c r="Z899" s="37"/>
      <c r="AA899" s="37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</row>
    <row r="900" spans="1:52" ht="39.75" hidden="1" customHeight="1" x14ac:dyDescent="0.2">
      <c r="A900" s="45" t="str">
        <f t="shared" si="42"/>
        <v/>
      </c>
      <c r="B900" s="45"/>
      <c r="C900" s="45"/>
      <c r="D900" s="45"/>
      <c r="E900" s="50"/>
      <c r="F900" s="51"/>
      <c r="G900" s="52"/>
      <c r="H900" s="52"/>
      <c r="I900" s="52" t="str">
        <f t="shared" si="43"/>
        <v/>
      </c>
      <c r="J900" s="54"/>
      <c r="K900" s="55" t="str">
        <f t="shared" si="44"/>
        <v/>
      </c>
      <c r="L900" s="54"/>
      <c r="M900" s="54"/>
      <c r="N900" s="54"/>
      <c r="O900" s="54"/>
      <c r="P900" s="54"/>
      <c r="S900" s="38"/>
      <c r="T900" s="38"/>
      <c r="U900" s="38"/>
      <c r="V900" s="37"/>
      <c r="W900" s="37"/>
      <c r="X900" s="37"/>
      <c r="Y900" s="37"/>
      <c r="Z900" s="37"/>
      <c r="AA900" s="37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</row>
    <row r="901" spans="1:52" ht="39.75" hidden="1" customHeight="1" x14ac:dyDescent="0.2">
      <c r="A901" s="45" t="str">
        <f t="shared" si="42"/>
        <v/>
      </c>
      <c r="B901" s="45"/>
      <c r="C901" s="45"/>
      <c r="D901" s="45"/>
      <c r="E901" s="50"/>
      <c r="F901" s="51"/>
      <c r="G901" s="52"/>
      <c r="H901" s="52"/>
      <c r="I901" s="52" t="str">
        <f t="shared" si="43"/>
        <v/>
      </c>
      <c r="J901" s="54"/>
      <c r="K901" s="55" t="str">
        <f t="shared" si="44"/>
        <v/>
      </c>
      <c r="L901" s="54"/>
      <c r="M901" s="54"/>
      <c r="N901" s="54"/>
      <c r="O901" s="54"/>
      <c r="P901" s="54"/>
      <c r="S901" s="38"/>
      <c r="T901" s="38"/>
      <c r="U901" s="38"/>
      <c r="V901" s="37"/>
      <c r="W901" s="37"/>
      <c r="X901" s="37"/>
      <c r="Y901" s="37"/>
      <c r="Z901" s="37"/>
      <c r="AA901" s="37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</row>
    <row r="902" spans="1:52" ht="39.75" hidden="1" customHeight="1" x14ac:dyDescent="0.2">
      <c r="A902" s="45" t="str">
        <f t="shared" ref="A902:A965" si="45">IF(F902="","",ROW()-5)</f>
        <v/>
      </c>
      <c r="B902" s="45"/>
      <c r="C902" s="45"/>
      <c r="D902" s="45"/>
      <c r="E902" s="50"/>
      <c r="F902" s="51"/>
      <c r="G902" s="52"/>
      <c r="H902" s="52"/>
      <c r="I902" s="52" t="str">
        <f t="shared" ref="I902:I965" si="46">IF(AND(LEN(F902)=18, ISBLANK(G902)=FALSE(), ISBLANK(H902)=FALSE()),37,"")</f>
        <v/>
      </c>
      <c r="J902" s="54"/>
      <c r="K902" s="55" t="str">
        <f t="shared" ref="K902:K965" si="47">IF(OR(J902="",Q902=0),"",IF(COUNTA(L902:P902)&gt;Q902,"Seluruh pilihan telah dipilih, anda memilih lebih dari kemungkinan pilihan yang tersedia, periksa pilihan anda "&amp;"("&amp;COUNTA(L902:P902)&amp;"/"&amp;Q902&amp;")",IF(COUNTA(L902:P902)=Q902,IF(SUMPRODUCT(COUNTIF(L902:P902,L902:P902)*(L902:P902&lt;&gt;""))&gt;COUNTA(L902:P902),"Terdapat pilihan yang sama, segera ubah "&amp;"("&amp;COUNTA(L902:P902)&amp;"/"&amp;Q902&amp;")","Seluruh pilihan telah dipilih "&amp;"("&amp;COUNTA(L902:P902)&amp;"/"&amp;Q902&amp;")"),IF(COUNTA(L902:P902)&gt;0,"Masih terdapat pilihan yang bisa dipilih, silahkan melengkapi pilihan "&amp;"("&amp;COUNTA(L902:P902)&amp;"/"&amp;Q902&amp;")",""))))</f>
        <v/>
      </c>
      <c r="L902" s="54"/>
      <c r="M902" s="54"/>
      <c r="N902" s="54"/>
      <c r="O902" s="54"/>
      <c r="P902" s="54"/>
      <c r="S902" s="38"/>
      <c r="T902" s="38"/>
      <c r="U902" s="38"/>
      <c r="V902" s="37"/>
      <c r="W902" s="37"/>
      <c r="X902" s="37"/>
      <c r="Y902" s="37"/>
      <c r="Z902" s="37"/>
      <c r="AA902" s="37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</row>
    <row r="903" spans="1:52" ht="39.75" hidden="1" customHeight="1" x14ac:dyDescent="0.2">
      <c r="A903" s="45" t="str">
        <f t="shared" si="45"/>
        <v/>
      </c>
      <c r="B903" s="45"/>
      <c r="C903" s="45"/>
      <c r="D903" s="45"/>
      <c r="E903" s="50"/>
      <c r="F903" s="51"/>
      <c r="G903" s="52"/>
      <c r="H903" s="52"/>
      <c r="I903" s="52" t="str">
        <f t="shared" si="46"/>
        <v/>
      </c>
      <c r="J903" s="54"/>
      <c r="K903" s="55" t="str">
        <f t="shared" si="47"/>
        <v/>
      </c>
      <c r="L903" s="54"/>
      <c r="M903" s="54"/>
      <c r="N903" s="54"/>
      <c r="O903" s="54"/>
      <c r="P903" s="54"/>
      <c r="S903" s="38"/>
      <c r="T903" s="38"/>
      <c r="U903" s="38"/>
      <c r="V903" s="37"/>
      <c r="W903" s="37"/>
      <c r="X903" s="37"/>
      <c r="Y903" s="37"/>
      <c r="Z903" s="37"/>
      <c r="AA903" s="37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</row>
    <row r="904" spans="1:52" ht="39.75" hidden="1" customHeight="1" x14ac:dyDescent="0.2">
      <c r="A904" s="45" t="str">
        <f t="shared" si="45"/>
        <v/>
      </c>
      <c r="B904" s="45"/>
      <c r="C904" s="45"/>
      <c r="D904" s="45"/>
      <c r="E904" s="50"/>
      <c r="F904" s="51"/>
      <c r="G904" s="52"/>
      <c r="H904" s="52"/>
      <c r="I904" s="52" t="str">
        <f t="shared" si="46"/>
        <v/>
      </c>
      <c r="J904" s="54"/>
      <c r="K904" s="55" t="str">
        <f t="shared" si="47"/>
        <v/>
      </c>
      <c r="L904" s="54"/>
      <c r="M904" s="54"/>
      <c r="N904" s="54"/>
      <c r="O904" s="54"/>
      <c r="P904" s="54"/>
      <c r="S904" s="38"/>
      <c r="T904" s="38"/>
      <c r="U904" s="38"/>
      <c r="V904" s="37"/>
      <c r="W904" s="37"/>
      <c r="X904" s="37"/>
      <c r="Y904" s="37"/>
      <c r="Z904" s="37"/>
      <c r="AA904" s="37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</row>
    <row r="905" spans="1:52" ht="39.75" hidden="1" customHeight="1" x14ac:dyDescent="0.2">
      <c r="A905" s="45" t="str">
        <f t="shared" si="45"/>
        <v/>
      </c>
      <c r="B905" s="45"/>
      <c r="C905" s="45"/>
      <c r="D905" s="45"/>
      <c r="E905" s="50"/>
      <c r="F905" s="51"/>
      <c r="G905" s="52"/>
      <c r="H905" s="52"/>
      <c r="I905" s="52" t="str">
        <f t="shared" si="46"/>
        <v/>
      </c>
      <c r="J905" s="54"/>
      <c r="K905" s="55" t="str">
        <f t="shared" si="47"/>
        <v/>
      </c>
      <c r="L905" s="54"/>
      <c r="M905" s="54"/>
      <c r="N905" s="54"/>
      <c r="O905" s="54"/>
      <c r="P905" s="54"/>
      <c r="S905" s="38"/>
      <c r="T905" s="38"/>
      <c r="U905" s="38"/>
      <c r="V905" s="37"/>
      <c r="W905" s="37"/>
      <c r="X905" s="37"/>
      <c r="Y905" s="37"/>
      <c r="Z905" s="37"/>
      <c r="AA905" s="37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</row>
    <row r="906" spans="1:52" ht="39.75" hidden="1" customHeight="1" x14ac:dyDescent="0.2">
      <c r="A906" s="45" t="str">
        <f t="shared" si="45"/>
        <v/>
      </c>
      <c r="B906" s="45"/>
      <c r="C906" s="45"/>
      <c r="D906" s="45"/>
      <c r="E906" s="50"/>
      <c r="F906" s="51"/>
      <c r="G906" s="52"/>
      <c r="H906" s="52"/>
      <c r="I906" s="52" t="str">
        <f t="shared" si="46"/>
        <v/>
      </c>
      <c r="J906" s="54"/>
      <c r="K906" s="55" t="str">
        <f t="shared" si="47"/>
        <v/>
      </c>
      <c r="L906" s="54"/>
      <c r="M906" s="54"/>
      <c r="N906" s="54"/>
      <c r="O906" s="54"/>
      <c r="P906" s="54"/>
      <c r="S906" s="38"/>
      <c r="T906" s="38"/>
      <c r="U906" s="38"/>
      <c r="V906" s="37"/>
      <c r="W906" s="37"/>
      <c r="X906" s="37"/>
      <c r="Y906" s="37"/>
      <c r="Z906" s="37"/>
      <c r="AA906" s="37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</row>
    <row r="907" spans="1:52" ht="39.75" hidden="1" customHeight="1" x14ac:dyDescent="0.2">
      <c r="A907" s="45" t="str">
        <f t="shared" si="45"/>
        <v/>
      </c>
      <c r="B907" s="45"/>
      <c r="C907" s="45"/>
      <c r="D907" s="45"/>
      <c r="E907" s="50"/>
      <c r="F907" s="51"/>
      <c r="G907" s="52"/>
      <c r="H907" s="52"/>
      <c r="I907" s="52" t="str">
        <f t="shared" si="46"/>
        <v/>
      </c>
      <c r="J907" s="54"/>
      <c r="K907" s="55" t="str">
        <f t="shared" si="47"/>
        <v/>
      </c>
      <c r="L907" s="54"/>
      <c r="M907" s="54"/>
      <c r="N907" s="54"/>
      <c r="O907" s="54"/>
      <c r="P907" s="54"/>
      <c r="S907" s="38"/>
      <c r="T907" s="38"/>
      <c r="U907" s="38"/>
      <c r="V907" s="37"/>
      <c r="W907" s="37"/>
      <c r="X907" s="37"/>
      <c r="Y907" s="37"/>
      <c r="Z907" s="37"/>
      <c r="AA907" s="37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</row>
    <row r="908" spans="1:52" ht="39.75" hidden="1" customHeight="1" x14ac:dyDescent="0.2">
      <c r="A908" s="45" t="str">
        <f t="shared" si="45"/>
        <v/>
      </c>
      <c r="B908" s="45"/>
      <c r="C908" s="45"/>
      <c r="D908" s="45"/>
      <c r="E908" s="50"/>
      <c r="F908" s="51"/>
      <c r="G908" s="52"/>
      <c r="H908" s="52"/>
      <c r="I908" s="52" t="str">
        <f t="shared" si="46"/>
        <v/>
      </c>
      <c r="J908" s="54"/>
      <c r="K908" s="55" t="str">
        <f t="shared" si="47"/>
        <v/>
      </c>
      <c r="L908" s="54"/>
      <c r="M908" s="54"/>
      <c r="N908" s="54"/>
      <c r="O908" s="54"/>
      <c r="P908" s="54"/>
      <c r="S908" s="38"/>
      <c r="T908" s="38"/>
      <c r="U908" s="38"/>
      <c r="V908" s="37"/>
      <c r="W908" s="37"/>
      <c r="X908" s="37"/>
      <c r="Y908" s="37"/>
      <c r="Z908" s="37"/>
      <c r="AA908" s="37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</row>
    <row r="909" spans="1:52" ht="39.75" hidden="1" customHeight="1" x14ac:dyDescent="0.2">
      <c r="A909" s="45" t="str">
        <f t="shared" si="45"/>
        <v/>
      </c>
      <c r="B909" s="45"/>
      <c r="C909" s="45"/>
      <c r="D909" s="45"/>
      <c r="E909" s="50"/>
      <c r="F909" s="51"/>
      <c r="G909" s="52"/>
      <c r="H909" s="52"/>
      <c r="I909" s="52" t="str">
        <f t="shared" si="46"/>
        <v/>
      </c>
      <c r="J909" s="54"/>
      <c r="K909" s="55" t="str">
        <f t="shared" si="47"/>
        <v/>
      </c>
      <c r="L909" s="54"/>
      <c r="M909" s="54"/>
      <c r="N909" s="54"/>
      <c r="O909" s="54"/>
      <c r="P909" s="54"/>
      <c r="S909" s="38"/>
      <c r="T909" s="38"/>
      <c r="U909" s="38"/>
      <c r="V909" s="37"/>
      <c r="W909" s="37"/>
      <c r="X909" s="37"/>
      <c r="Y909" s="37"/>
      <c r="Z909" s="37"/>
      <c r="AA909" s="37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</row>
    <row r="910" spans="1:52" ht="39.75" hidden="1" customHeight="1" x14ac:dyDescent="0.2">
      <c r="A910" s="45" t="str">
        <f t="shared" si="45"/>
        <v/>
      </c>
      <c r="B910" s="45"/>
      <c r="C910" s="45"/>
      <c r="D910" s="45"/>
      <c r="E910" s="50"/>
      <c r="F910" s="51"/>
      <c r="G910" s="52"/>
      <c r="H910" s="52"/>
      <c r="I910" s="52" t="str">
        <f t="shared" si="46"/>
        <v/>
      </c>
      <c r="J910" s="54"/>
      <c r="K910" s="55" t="str">
        <f t="shared" si="47"/>
        <v/>
      </c>
      <c r="L910" s="54"/>
      <c r="M910" s="54"/>
      <c r="N910" s="54"/>
      <c r="O910" s="54"/>
      <c r="P910" s="54"/>
      <c r="S910" s="38"/>
      <c r="T910" s="38"/>
      <c r="U910" s="38"/>
      <c r="V910" s="37"/>
      <c r="W910" s="37"/>
      <c r="X910" s="37"/>
      <c r="Y910" s="37"/>
      <c r="Z910" s="37"/>
      <c r="AA910" s="37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</row>
    <row r="911" spans="1:52" ht="39.75" hidden="1" customHeight="1" x14ac:dyDescent="0.2">
      <c r="A911" s="45" t="str">
        <f t="shared" si="45"/>
        <v/>
      </c>
      <c r="B911" s="45"/>
      <c r="C911" s="45"/>
      <c r="D911" s="45"/>
      <c r="E911" s="50"/>
      <c r="F911" s="51"/>
      <c r="G911" s="52"/>
      <c r="H911" s="52"/>
      <c r="I911" s="52" t="str">
        <f t="shared" si="46"/>
        <v/>
      </c>
      <c r="J911" s="54"/>
      <c r="K911" s="55" t="str">
        <f t="shared" si="47"/>
        <v/>
      </c>
      <c r="L911" s="54"/>
      <c r="M911" s="54"/>
      <c r="N911" s="54"/>
      <c r="O911" s="54"/>
      <c r="P911" s="54"/>
      <c r="S911" s="38"/>
      <c r="T911" s="38"/>
      <c r="U911" s="38"/>
      <c r="V911" s="37"/>
      <c r="W911" s="37"/>
      <c r="X911" s="37"/>
      <c r="Y911" s="37"/>
      <c r="Z911" s="37"/>
      <c r="AA911" s="37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</row>
    <row r="912" spans="1:52" ht="39.75" hidden="1" customHeight="1" x14ac:dyDescent="0.2">
      <c r="A912" s="45" t="str">
        <f t="shared" si="45"/>
        <v/>
      </c>
      <c r="B912" s="45"/>
      <c r="C912" s="45"/>
      <c r="D912" s="45"/>
      <c r="E912" s="50"/>
      <c r="F912" s="51"/>
      <c r="G912" s="52"/>
      <c r="H912" s="52"/>
      <c r="I912" s="52" t="str">
        <f t="shared" si="46"/>
        <v/>
      </c>
      <c r="J912" s="54"/>
      <c r="K912" s="55" t="str">
        <f t="shared" si="47"/>
        <v/>
      </c>
      <c r="L912" s="54"/>
      <c r="M912" s="54"/>
      <c r="N912" s="54"/>
      <c r="O912" s="54"/>
      <c r="P912" s="54"/>
      <c r="S912" s="38"/>
      <c r="T912" s="38"/>
      <c r="U912" s="38"/>
      <c r="V912" s="37"/>
      <c r="W912" s="37"/>
      <c r="X912" s="37"/>
      <c r="Y912" s="37"/>
      <c r="Z912" s="37"/>
      <c r="AA912" s="37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</row>
    <row r="913" spans="1:52" ht="39.75" hidden="1" customHeight="1" x14ac:dyDescent="0.2">
      <c r="A913" s="45" t="str">
        <f t="shared" si="45"/>
        <v/>
      </c>
      <c r="B913" s="45"/>
      <c r="C913" s="45"/>
      <c r="D913" s="45"/>
      <c r="E913" s="50"/>
      <c r="F913" s="51"/>
      <c r="G913" s="52"/>
      <c r="H913" s="52"/>
      <c r="I913" s="52" t="str">
        <f t="shared" si="46"/>
        <v/>
      </c>
      <c r="J913" s="54"/>
      <c r="K913" s="55" t="str">
        <f t="shared" si="47"/>
        <v/>
      </c>
      <c r="L913" s="54"/>
      <c r="M913" s="54"/>
      <c r="N913" s="54"/>
      <c r="O913" s="54"/>
      <c r="P913" s="54"/>
      <c r="S913" s="38"/>
      <c r="T913" s="38"/>
      <c r="U913" s="38"/>
      <c r="V913" s="37"/>
      <c r="W913" s="37"/>
      <c r="X913" s="37"/>
      <c r="Y913" s="37"/>
      <c r="Z913" s="37"/>
      <c r="AA913" s="37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</row>
    <row r="914" spans="1:52" ht="39.75" hidden="1" customHeight="1" x14ac:dyDescent="0.2">
      <c r="A914" s="45" t="str">
        <f t="shared" si="45"/>
        <v/>
      </c>
      <c r="B914" s="45"/>
      <c r="C914" s="45"/>
      <c r="D914" s="45"/>
      <c r="E914" s="50"/>
      <c r="F914" s="51"/>
      <c r="G914" s="52"/>
      <c r="H914" s="52"/>
      <c r="I914" s="52" t="str">
        <f t="shared" si="46"/>
        <v/>
      </c>
      <c r="J914" s="54"/>
      <c r="K914" s="55" t="str">
        <f t="shared" si="47"/>
        <v/>
      </c>
      <c r="L914" s="54"/>
      <c r="M914" s="54"/>
      <c r="N914" s="54"/>
      <c r="O914" s="54"/>
      <c r="P914" s="54"/>
      <c r="S914" s="38"/>
      <c r="T914" s="38"/>
      <c r="U914" s="38"/>
      <c r="V914" s="37"/>
      <c r="W914" s="37"/>
      <c r="X914" s="37"/>
      <c r="Y914" s="37"/>
      <c r="Z914" s="37"/>
      <c r="AA914" s="37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</row>
    <row r="915" spans="1:52" ht="39.75" hidden="1" customHeight="1" x14ac:dyDescent="0.2">
      <c r="A915" s="45" t="str">
        <f t="shared" si="45"/>
        <v/>
      </c>
      <c r="B915" s="45"/>
      <c r="C915" s="45"/>
      <c r="D915" s="45"/>
      <c r="E915" s="50"/>
      <c r="F915" s="51"/>
      <c r="G915" s="52"/>
      <c r="H915" s="52"/>
      <c r="I915" s="52" t="str">
        <f t="shared" si="46"/>
        <v/>
      </c>
      <c r="J915" s="54"/>
      <c r="K915" s="55" t="str">
        <f t="shared" si="47"/>
        <v/>
      </c>
      <c r="L915" s="54"/>
      <c r="M915" s="54"/>
      <c r="N915" s="54"/>
      <c r="O915" s="54"/>
      <c r="P915" s="54"/>
      <c r="S915" s="38"/>
      <c r="T915" s="38"/>
      <c r="U915" s="38"/>
      <c r="V915" s="37"/>
      <c r="W915" s="37"/>
      <c r="X915" s="37"/>
      <c r="Y915" s="37"/>
      <c r="Z915" s="37"/>
      <c r="AA915" s="37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</row>
    <row r="916" spans="1:52" ht="39.75" hidden="1" customHeight="1" x14ac:dyDescent="0.2">
      <c r="A916" s="45" t="str">
        <f t="shared" si="45"/>
        <v/>
      </c>
      <c r="B916" s="45"/>
      <c r="C916" s="45"/>
      <c r="D916" s="45"/>
      <c r="E916" s="50"/>
      <c r="F916" s="51"/>
      <c r="G916" s="52"/>
      <c r="H916" s="52"/>
      <c r="I916" s="52" t="str">
        <f t="shared" si="46"/>
        <v/>
      </c>
      <c r="J916" s="54"/>
      <c r="K916" s="55" t="str">
        <f t="shared" si="47"/>
        <v/>
      </c>
      <c r="L916" s="54"/>
      <c r="M916" s="54"/>
      <c r="N916" s="54"/>
      <c r="O916" s="54"/>
      <c r="P916" s="54"/>
      <c r="S916" s="38"/>
      <c r="T916" s="38"/>
      <c r="U916" s="38"/>
      <c r="V916" s="37"/>
      <c r="W916" s="37"/>
      <c r="X916" s="37"/>
      <c r="Y916" s="37"/>
      <c r="Z916" s="37"/>
      <c r="AA916" s="37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</row>
    <row r="917" spans="1:52" ht="39.75" hidden="1" customHeight="1" x14ac:dyDescent="0.2">
      <c r="A917" s="45" t="str">
        <f t="shared" si="45"/>
        <v/>
      </c>
      <c r="B917" s="45"/>
      <c r="C917" s="45"/>
      <c r="D917" s="45"/>
      <c r="E917" s="50"/>
      <c r="F917" s="51"/>
      <c r="G917" s="52"/>
      <c r="H917" s="52"/>
      <c r="I917" s="52" t="str">
        <f t="shared" si="46"/>
        <v/>
      </c>
      <c r="J917" s="54"/>
      <c r="K917" s="55" t="str">
        <f t="shared" si="47"/>
        <v/>
      </c>
      <c r="L917" s="54"/>
      <c r="M917" s="54"/>
      <c r="N917" s="54"/>
      <c r="O917" s="54"/>
      <c r="P917" s="54"/>
      <c r="S917" s="38"/>
      <c r="T917" s="38"/>
      <c r="U917" s="38"/>
      <c r="V917" s="37"/>
      <c r="W917" s="37"/>
      <c r="X917" s="37"/>
      <c r="Y917" s="37"/>
      <c r="Z917" s="37"/>
      <c r="AA917" s="37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</row>
    <row r="918" spans="1:52" ht="39.75" hidden="1" customHeight="1" x14ac:dyDescent="0.2">
      <c r="A918" s="45" t="str">
        <f t="shared" si="45"/>
        <v/>
      </c>
      <c r="B918" s="45"/>
      <c r="C918" s="45"/>
      <c r="D918" s="45"/>
      <c r="E918" s="50"/>
      <c r="F918" s="51"/>
      <c r="G918" s="52"/>
      <c r="H918" s="52"/>
      <c r="I918" s="52" t="str">
        <f t="shared" si="46"/>
        <v/>
      </c>
      <c r="J918" s="54"/>
      <c r="K918" s="55" t="str">
        <f t="shared" si="47"/>
        <v/>
      </c>
      <c r="L918" s="54"/>
      <c r="M918" s="54"/>
      <c r="N918" s="54"/>
      <c r="O918" s="54"/>
      <c r="P918" s="54"/>
      <c r="S918" s="38"/>
      <c r="T918" s="38"/>
      <c r="U918" s="38"/>
      <c r="V918" s="37"/>
      <c r="W918" s="37"/>
      <c r="X918" s="37"/>
      <c r="Y918" s="37"/>
      <c r="Z918" s="37"/>
      <c r="AA918" s="37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</row>
    <row r="919" spans="1:52" ht="39.75" hidden="1" customHeight="1" x14ac:dyDescent="0.2">
      <c r="A919" s="45" t="str">
        <f t="shared" si="45"/>
        <v/>
      </c>
      <c r="B919" s="45"/>
      <c r="C919" s="45"/>
      <c r="D919" s="45"/>
      <c r="E919" s="50"/>
      <c r="F919" s="51"/>
      <c r="G919" s="52"/>
      <c r="H919" s="52"/>
      <c r="I919" s="52" t="str">
        <f t="shared" si="46"/>
        <v/>
      </c>
      <c r="J919" s="54"/>
      <c r="K919" s="55" t="str">
        <f t="shared" si="47"/>
        <v/>
      </c>
      <c r="L919" s="54"/>
      <c r="M919" s="54"/>
      <c r="N919" s="54"/>
      <c r="O919" s="54"/>
      <c r="P919" s="54"/>
      <c r="S919" s="38"/>
      <c r="T919" s="38"/>
      <c r="U919" s="38"/>
      <c r="V919" s="37"/>
      <c r="W919" s="37"/>
      <c r="X919" s="37"/>
      <c r="Y919" s="37"/>
      <c r="Z919" s="37"/>
      <c r="AA919" s="37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</row>
    <row r="920" spans="1:52" ht="39.75" hidden="1" customHeight="1" x14ac:dyDescent="0.2">
      <c r="A920" s="45" t="str">
        <f t="shared" si="45"/>
        <v/>
      </c>
      <c r="B920" s="45"/>
      <c r="C920" s="45"/>
      <c r="D920" s="45"/>
      <c r="E920" s="50"/>
      <c r="F920" s="51"/>
      <c r="G920" s="52"/>
      <c r="H920" s="52"/>
      <c r="I920" s="52" t="str">
        <f t="shared" si="46"/>
        <v/>
      </c>
      <c r="J920" s="54"/>
      <c r="K920" s="55" t="str">
        <f t="shared" si="47"/>
        <v/>
      </c>
      <c r="L920" s="54"/>
      <c r="M920" s="54"/>
      <c r="N920" s="54"/>
      <c r="O920" s="54"/>
      <c r="P920" s="54"/>
      <c r="S920" s="38"/>
      <c r="T920" s="38"/>
      <c r="U920" s="38"/>
      <c r="V920" s="37"/>
      <c r="W920" s="37"/>
      <c r="X920" s="37"/>
      <c r="Y920" s="37"/>
      <c r="Z920" s="37"/>
      <c r="AA920" s="37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</row>
    <row r="921" spans="1:52" ht="39.75" hidden="1" customHeight="1" x14ac:dyDescent="0.2">
      <c r="A921" s="45" t="str">
        <f t="shared" si="45"/>
        <v/>
      </c>
      <c r="B921" s="45"/>
      <c r="C921" s="45"/>
      <c r="D921" s="45"/>
      <c r="E921" s="50"/>
      <c r="F921" s="51"/>
      <c r="G921" s="52"/>
      <c r="H921" s="52"/>
      <c r="I921" s="52" t="str">
        <f t="shared" si="46"/>
        <v/>
      </c>
      <c r="J921" s="54"/>
      <c r="K921" s="55" t="str">
        <f t="shared" si="47"/>
        <v/>
      </c>
      <c r="L921" s="54"/>
      <c r="M921" s="54"/>
      <c r="N921" s="54"/>
      <c r="O921" s="54"/>
      <c r="P921" s="54"/>
      <c r="S921" s="38"/>
      <c r="T921" s="38"/>
      <c r="U921" s="38"/>
      <c r="V921" s="37"/>
      <c r="W921" s="37"/>
      <c r="X921" s="37"/>
      <c r="Y921" s="37"/>
      <c r="Z921" s="37"/>
      <c r="AA921" s="37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</row>
    <row r="922" spans="1:52" ht="39.75" hidden="1" customHeight="1" x14ac:dyDescent="0.2">
      <c r="A922" s="45" t="str">
        <f t="shared" si="45"/>
        <v/>
      </c>
      <c r="B922" s="45"/>
      <c r="C922" s="45"/>
      <c r="D922" s="45"/>
      <c r="E922" s="50"/>
      <c r="F922" s="51"/>
      <c r="G922" s="52"/>
      <c r="H922" s="52"/>
      <c r="I922" s="52" t="str">
        <f t="shared" si="46"/>
        <v/>
      </c>
      <c r="J922" s="54"/>
      <c r="K922" s="55" t="str">
        <f t="shared" si="47"/>
        <v/>
      </c>
      <c r="L922" s="54"/>
      <c r="M922" s="54"/>
      <c r="N922" s="54"/>
      <c r="O922" s="54"/>
      <c r="P922" s="54"/>
      <c r="S922" s="38"/>
      <c r="T922" s="38"/>
      <c r="U922" s="38"/>
      <c r="V922" s="37"/>
      <c r="W922" s="37"/>
      <c r="X922" s="37"/>
      <c r="Y922" s="37"/>
      <c r="Z922" s="37"/>
      <c r="AA922" s="37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</row>
    <row r="923" spans="1:52" ht="39.75" hidden="1" customHeight="1" x14ac:dyDescent="0.2">
      <c r="A923" s="45" t="str">
        <f t="shared" si="45"/>
        <v/>
      </c>
      <c r="B923" s="45"/>
      <c r="C923" s="45"/>
      <c r="D923" s="45"/>
      <c r="E923" s="50"/>
      <c r="F923" s="51"/>
      <c r="G923" s="52"/>
      <c r="H923" s="52"/>
      <c r="I923" s="52" t="str">
        <f t="shared" si="46"/>
        <v/>
      </c>
      <c r="J923" s="54"/>
      <c r="K923" s="55" t="str">
        <f t="shared" si="47"/>
        <v/>
      </c>
      <c r="L923" s="54"/>
      <c r="M923" s="54"/>
      <c r="N923" s="54"/>
      <c r="O923" s="54"/>
      <c r="P923" s="54"/>
      <c r="S923" s="38"/>
      <c r="T923" s="38"/>
      <c r="U923" s="38"/>
      <c r="V923" s="37"/>
      <c r="W923" s="37"/>
      <c r="X923" s="37"/>
      <c r="Y923" s="37"/>
      <c r="Z923" s="37"/>
      <c r="AA923" s="37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</row>
    <row r="924" spans="1:52" ht="39.75" hidden="1" customHeight="1" x14ac:dyDescent="0.2">
      <c r="A924" s="45" t="str">
        <f t="shared" si="45"/>
        <v/>
      </c>
      <c r="B924" s="45"/>
      <c r="C924" s="45"/>
      <c r="D924" s="45"/>
      <c r="E924" s="50"/>
      <c r="F924" s="51"/>
      <c r="G924" s="52"/>
      <c r="H924" s="52"/>
      <c r="I924" s="52" t="str">
        <f t="shared" si="46"/>
        <v/>
      </c>
      <c r="J924" s="54"/>
      <c r="K924" s="55" t="str">
        <f t="shared" si="47"/>
        <v/>
      </c>
      <c r="L924" s="54"/>
      <c r="M924" s="54"/>
      <c r="N924" s="54"/>
      <c r="O924" s="54"/>
      <c r="P924" s="54"/>
      <c r="S924" s="38"/>
      <c r="T924" s="38"/>
      <c r="U924" s="38"/>
      <c r="V924" s="37"/>
      <c r="W924" s="37"/>
      <c r="X924" s="37"/>
      <c r="Y924" s="37"/>
      <c r="Z924" s="37"/>
      <c r="AA924" s="37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</row>
    <row r="925" spans="1:52" ht="39.75" hidden="1" customHeight="1" x14ac:dyDescent="0.2">
      <c r="A925" s="45" t="str">
        <f t="shared" si="45"/>
        <v/>
      </c>
      <c r="B925" s="45"/>
      <c r="C925" s="45"/>
      <c r="D925" s="45"/>
      <c r="E925" s="50"/>
      <c r="F925" s="51"/>
      <c r="G925" s="52"/>
      <c r="H925" s="52"/>
      <c r="I925" s="52" t="str">
        <f t="shared" si="46"/>
        <v/>
      </c>
      <c r="J925" s="54"/>
      <c r="K925" s="55" t="str">
        <f t="shared" si="47"/>
        <v/>
      </c>
      <c r="L925" s="54"/>
      <c r="M925" s="54"/>
      <c r="N925" s="54"/>
      <c r="O925" s="54"/>
      <c r="P925" s="54"/>
      <c r="S925" s="38"/>
      <c r="T925" s="38"/>
      <c r="U925" s="38"/>
      <c r="V925" s="37"/>
      <c r="W925" s="37"/>
      <c r="X925" s="37"/>
      <c r="Y925" s="37"/>
      <c r="Z925" s="37"/>
      <c r="AA925" s="37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</row>
    <row r="926" spans="1:52" ht="39.75" hidden="1" customHeight="1" x14ac:dyDescent="0.2">
      <c r="A926" s="45" t="str">
        <f t="shared" si="45"/>
        <v/>
      </c>
      <c r="B926" s="45"/>
      <c r="C926" s="45"/>
      <c r="D926" s="45"/>
      <c r="E926" s="50"/>
      <c r="F926" s="51"/>
      <c r="G926" s="52"/>
      <c r="H926" s="52"/>
      <c r="I926" s="52" t="str">
        <f t="shared" si="46"/>
        <v/>
      </c>
      <c r="J926" s="54"/>
      <c r="K926" s="55" t="str">
        <f t="shared" si="47"/>
        <v/>
      </c>
      <c r="L926" s="54"/>
      <c r="M926" s="54"/>
      <c r="N926" s="54"/>
      <c r="O926" s="54"/>
      <c r="P926" s="54"/>
      <c r="S926" s="38"/>
      <c r="T926" s="38"/>
      <c r="U926" s="38"/>
      <c r="V926" s="37"/>
      <c r="W926" s="37"/>
      <c r="X926" s="37"/>
      <c r="Y926" s="37"/>
      <c r="Z926" s="37"/>
      <c r="AA926" s="37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</row>
    <row r="927" spans="1:52" ht="39.75" hidden="1" customHeight="1" x14ac:dyDescent="0.2">
      <c r="A927" s="45" t="str">
        <f t="shared" si="45"/>
        <v/>
      </c>
      <c r="B927" s="45"/>
      <c r="C927" s="45"/>
      <c r="D927" s="45"/>
      <c r="E927" s="50"/>
      <c r="F927" s="51"/>
      <c r="G927" s="52"/>
      <c r="H927" s="52"/>
      <c r="I927" s="52" t="str">
        <f t="shared" si="46"/>
        <v/>
      </c>
      <c r="J927" s="54"/>
      <c r="K927" s="55" t="str">
        <f t="shared" si="47"/>
        <v/>
      </c>
      <c r="L927" s="54"/>
      <c r="M927" s="54"/>
      <c r="N927" s="54"/>
      <c r="O927" s="54"/>
      <c r="P927" s="54"/>
      <c r="S927" s="38"/>
      <c r="T927" s="38"/>
      <c r="U927" s="38"/>
      <c r="V927" s="37"/>
      <c r="W927" s="37"/>
      <c r="X927" s="37"/>
      <c r="Y927" s="37"/>
      <c r="Z927" s="37"/>
      <c r="AA927" s="37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</row>
    <row r="928" spans="1:52" ht="39.75" hidden="1" customHeight="1" x14ac:dyDescent="0.2">
      <c r="A928" s="45" t="str">
        <f t="shared" si="45"/>
        <v/>
      </c>
      <c r="B928" s="45"/>
      <c r="C928" s="45"/>
      <c r="D928" s="45"/>
      <c r="E928" s="50"/>
      <c r="F928" s="51"/>
      <c r="G928" s="52"/>
      <c r="H928" s="52"/>
      <c r="I928" s="52" t="str">
        <f t="shared" si="46"/>
        <v/>
      </c>
      <c r="J928" s="54"/>
      <c r="K928" s="55" t="str">
        <f t="shared" si="47"/>
        <v/>
      </c>
      <c r="L928" s="54"/>
      <c r="M928" s="54"/>
      <c r="N928" s="54"/>
      <c r="O928" s="54"/>
      <c r="P928" s="54"/>
      <c r="S928" s="38"/>
      <c r="T928" s="38"/>
      <c r="U928" s="38"/>
      <c r="V928" s="37"/>
      <c r="W928" s="37"/>
      <c r="X928" s="37"/>
      <c r="Y928" s="37"/>
      <c r="Z928" s="37"/>
      <c r="AA928" s="37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</row>
    <row r="929" spans="1:52" ht="39.75" hidden="1" customHeight="1" x14ac:dyDescent="0.2">
      <c r="A929" s="45" t="str">
        <f t="shared" si="45"/>
        <v/>
      </c>
      <c r="B929" s="45"/>
      <c r="C929" s="45"/>
      <c r="D929" s="45"/>
      <c r="E929" s="50"/>
      <c r="F929" s="51"/>
      <c r="G929" s="52"/>
      <c r="H929" s="52"/>
      <c r="I929" s="52" t="str">
        <f t="shared" si="46"/>
        <v/>
      </c>
      <c r="J929" s="54"/>
      <c r="K929" s="55" t="str">
        <f t="shared" si="47"/>
        <v/>
      </c>
      <c r="L929" s="54"/>
      <c r="M929" s="54"/>
      <c r="N929" s="54"/>
      <c r="O929" s="54"/>
      <c r="P929" s="54"/>
      <c r="S929" s="38"/>
      <c r="T929" s="38"/>
      <c r="U929" s="38"/>
      <c r="V929" s="37"/>
      <c r="W929" s="37"/>
      <c r="X929" s="37"/>
      <c r="Y929" s="37"/>
      <c r="Z929" s="37"/>
      <c r="AA929" s="37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</row>
    <row r="930" spans="1:52" ht="39.75" hidden="1" customHeight="1" x14ac:dyDescent="0.2">
      <c r="A930" s="45" t="str">
        <f t="shared" si="45"/>
        <v/>
      </c>
      <c r="B930" s="45"/>
      <c r="C930" s="45"/>
      <c r="D930" s="45"/>
      <c r="E930" s="50"/>
      <c r="F930" s="51"/>
      <c r="G930" s="52"/>
      <c r="H930" s="52"/>
      <c r="I930" s="52" t="str">
        <f t="shared" si="46"/>
        <v/>
      </c>
      <c r="J930" s="54"/>
      <c r="K930" s="55" t="str">
        <f t="shared" si="47"/>
        <v/>
      </c>
      <c r="L930" s="54"/>
      <c r="M930" s="54"/>
      <c r="N930" s="54"/>
      <c r="O930" s="54"/>
      <c r="P930" s="54"/>
      <c r="S930" s="38"/>
      <c r="T930" s="38"/>
      <c r="U930" s="38"/>
      <c r="V930" s="37"/>
      <c r="W930" s="37"/>
      <c r="X930" s="37"/>
      <c r="Y930" s="37"/>
      <c r="Z930" s="37"/>
      <c r="AA930" s="37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</row>
    <row r="931" spans="1:52" ht="39.75" hidden="1" customHeight="1" x14ac:dyDescent="0.2">
      <c r="A931" s="45" t="str">
        <f t="shared" si="45"/>
        <v/>
      </c>
      <c r="B931" s="45"/>
      <c r="C931" s="45"/>
      <c r="D931" s="45"/>
      <c r="E931" s="50"/>
      <c r="F931" s="51"/>
      <c r="G931" s="52"/>
      <c r="H931" s="52"/>
      <c r="I931" s="52" t="str">
        <f t="shared" si="46"/>
        <v/>
      </c>
      <c r="J931" s="54"/>
      <c r="K931" s="55" t="str">
        <f t="shared" si="47"/>
        <v/>
      </c>
      <c r="L931" s="54"/>
      <c r="M931" s="54"/>
      <c r="N931" s="54"/>
      <c r="O931" s="54"/>
      <c r="P931" s="54"/>
      <c r="S931" s="38"/>
      <c r="T931" s="38"/>
      <c r="U931" s="38"/>
      <c r="V931" s="37"/>
      <c r="W931" s="37"/>
      <c r="X931" s="37"/>
      <c r="Y931" s="37"/>
      <c r="Z931" s="37"/>
      <c r="AA931" s="37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</row>
    <row r="932" spans="1:52" ht="39.75" hidden="1" customHeight="1" x14ac:dyDescent="0.2">
      <c r="A932" s="45" t="str">
        <f t="shared" si="45"/>
        <v/>
      </c>
      <c r="B932" s="45"/>
      <c r="C932" s="45"/>
      <c r="D932" s="45"/>
      <c r="E932" s="50"/>
      <c r="F932" s="51"/>
      <c r="G932" s="52"/>
      <c r="H932" s="52"/>
      <c r="I932" s="52" t="str">
        <f t="shared" si="46"/>
        <v/>
      </c>
      <c r="J932" s="54"/>
      <c r="K932" s="55" t="str">
        <f t="shared" si="47"/>
        <v/>
      </c>
      <c r="L932" s="54"/>
      <c r="M932" s="54"/>
      <c r="N932" s="54"/>
      <c r="O932" s="54"/>
      <c r="P932" s="54"/>
      <c r="S932" s="38"/>
      <c r="T932" s="38"/>
      <c r="U932" s="38"/>
      <c r="V932" s="37"/>
      <c r="W932" s="37"/>
      <c r="X932" s="37"/>
      <c r="Y932" s="37"/>
      <c r="Z932" s="37"/>
      <c r="AA932" s="37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</row>
    <row r="933" spans="1:52" ht="39.75" hidden="1" customHeight="1" x14ac:dyDescent="0.2">
      <c r="A933" s="45" t="str">
        <f t="shared" si="45"/>
        <v/>
      </c>
      <c r="B933" s="45"/>
      <c r="C933" s="45"/>
      <c r="D933" s="45"/>
      <c r="E933" s="50"/>
      <c r="F933" s="51"/>
      <c r="G933" s="52"/>
      <c r="H933" s="52"/>
      <c r="I933" s="52" t="str">
        <f t="shared" si="46"/>
        <v/>
      </c>
      <c r="J933" s="54"/>
      <c r="K933" s="55" t="str">
        <f t="shared" si="47"/>
        <v/>
      </c>
      <c r="L933" s="54"/>
      <c r="M933" s="54"/>
      <c r="N933" s="54"/>
      <c r="O933" s="54"/>
      <c r="P933" s="54"/>
      <c r="S933" s="38"/>
      <c r="T933" s="38"/>
      <c r="U933" s="38"/>
      <c r="V933" s="37"/>
      <c r="W933" s="37"/>
      <c r="X933" s="37"/>
      <c r="Y933" s="37"/>
      <c r="Z933" s="37"/>
      <c r="AA933" s="37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</row>
    <row r="934" spans="1:52" ht="39.75" hidden="1" customHeight="1" x14ac:dyDescent="0.2">
      <c r="A934" s="45" t="str">
        <f t="shared" si="45"/>
        <v/>
      </c>
      <c r="B934" s="45"/>
      <c r="C934" s="45"/>
      <c r="D934" s="45"/>
      <c r="E934" s="50"/>
      <c r="F934" s="51"/>
      <c r="G934" s="52"/>
      <c r="H934" s="52"/>
      <c r="I934" s="52" t="str">
        <f t="shared" si="46"/>
        <v/>
      </c>
      <c r="J934" s="54"/>
      <c r="K934" s="55" t="str">
        <f t="shared" si="47"/>
        <v/>
      </c>
      <c r="L934" s="54"/>
      <c r="M934" s="54"/>
      <c r="N934" s="54"/>
      <c r="O934" s="54"/>
      <c r="P934" s="54"/>
      <c r="S934" s="38"/>
      <c r="T934" s="38"/>
      <c r="U934" s="38"/>
      <c r="V934" s="37"/>
      <c r="W934" s="37"/>
      <c r="X934" s="37"/>
      <c r="Y934" s="37"/>
      <c r="Z934" s="37"/>
      <c r="AA934" s="37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</row>
    <row r="935" spans="1:52" ht="39.75" hidden="1" customHeight="1" x14ac:dyDescent="0.2">
      <c r="A935" s="45" t="str">
        <f t="shared" si="45"/>
        <v/>
      </c>
      <c r="B935" s="45"/>
      <c r="C935" s="45"/>
      <c r="D935" s="45"/>
      <c r="E935" s="50"/>
      <c r="F935" s="51"/>
      <c r="G935" s="52"/>
      <c r="H935" s="52"/>
      <c r="I935" s="52" t="str">
        <f t="shared" si="46"/>
        <v/>
      </c>
      <c r="J935" s="54"/>
      <c r="K935" s="55" t="str">
        <f t="shared" si="47"/>
        <v/>
      </c>
      <c r="L935" s="54"/>
      <c r="M935" s="54"/>
      <c r="N935" s="54"/>
      <c r="O935" s="54"/>
      <c r="P935" s="54"/>
      <c r="S935" s="38"/>
      <c r="T935" s="38"/>
      <c r="U935" s="38"/>
      <c r="V935" s="37"/>
      <c r="W935" s="37"/>
      <c r="X935" s="37"/>
      <c r="Y935" s="37"/>
      <c r="Z935" s="37"/>
      <c r="AA935" s="37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</row>
    <row r="936" spans="1:52" ht="39.75" hidden="1" customHeight="1" x14ac:dyDescent="0.2">
      <c r="A936" s="45" t="str">
        <f t="shared" si="45"/>
        <v/>
      </c>
      <c r="B936" s="45"/>
      <c r="C936" s="45"/>
      <c r="D936" s="45"/>
      <c r="E936" s="50"/>
      <c r="F936" s="51"/>
      <c r="G936" s="52"/>
      <c r="H936" s="52"/>
      <c r="I936" s="52" t="str">
        <f t="shared" si="46"/>
        <v/>
      </c>
      <c r="J936" s="54"/>
      <c r="K936" s="55" t="str">
        <f t="shared" si="47"/>
        <v/>
      </c>
      <c r="L936" s="54"/>
      <c r="M936" s="54"/>
      <c r="N936" s="54"/>
      <c r="O936" s="54"/>
      <c r="P936" s="54"/>
      <c r="S936" s="38"/>
      <c r="T936" s="38"/>
      <c r="U936" s="38"/>
      <c r="V936" s="37"/>
      <c r="W936" s="37"/>
      <c r="X936" s="37"/>
      <c r="Y936" s="37"/>
      <c r="Z936" s="37"/>
      <c r="AA936" s="37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</row>
    <row r="937" spans="1:52" ht="39.75" hidden="1" customHeight="1" x14ac:dyDescent="0.2">
      <c r="A937" s="45" t="str">
        <f t="shared" si="45"/>
        <v/>
      </c>
      <c r="B937" s="45"/>
      <c r="C937" s="45"/>
      <c r="D937" s="45"/>
      <c r="E937" s="50"/>
      <c r="F937" s="51"/>
      <c r="G937" s="52"/>
      <c r="H937" s="52"/>
      <c r="I937" s="52" t="str">
        <f t="shared" si="46"/>
        <v/>
      </c>
      <c r="J937" s="54"/>
      <c r="K937" s="55" t="str">
        <f t="shared" si="47"/>
        <v/>
      </c>
      <c r="L937" s="54"/>
      <c r="M937" s="54"/>
      <c r="N937" s="54"/>
      <c r="O937" s="54"/>
      <c r="P937" s="54"/>
      <c r="S937" s="38"/>
      <c r="T937" s="38"/>
      <c r="U937" s="38"/>
      <c r="V937" s="37"/>
      <c r="W937" s="37"/>
      <c r="X937" s="37"/>
      <c r="Y937" s="37"/>
      <c r="Z937" s="37"/>
      <c r="AA937" s="37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</row>
    <row r="938" spans="1:52" ht="39.75" hidden="1" customHeight="1" x14ac:dyDescent="0.2">
      <c r="A938" s="45" t="str">
        <f t="shared" si="45"/>
        <v/>
      </c>
      <c r="B938" s="45"/>
      <c r="C938" s="45"/>
      <c r="D938" s="45"/>
      <c r="E938" s="50"/>
      <c r="F938" s="51"/>
      <c r="G938" s="52"/>
      <c r="H938" s="52"/>
      <c r="I938" s="52" t="str">
        <f t="shared" si="46"/>
        <v/>
      </c>
      <c r="J938" s="54"/>
      <c r="K938" s="55" t="str">
        <f t="shared" si="47"/>
        <v/>
      </c>
      <c r="L938" s="54"/>
      <c r="M938" s="54"/>
      <c r="N938" s="54"/>
      <c r="O938" s="54"/>
      <c r="P938" s="54"/>
      <c r="S938" s="38"/>
      <c r="T938" s="38"/>
      <c r="U938" s="38"/>
      <c r="V938" s="37"/>
      <c r="W938" s="37"/>
      <c r="X938" s="37"/>
      <c r="Y938" s="37"/>
      <c r="Z938" s="37"/>
      <c r="AA938" s="37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</row>
    <row r="939" spans="1:52" ht="39.75" hidden="1" customHeight="1" x14ac:dyDescent="0.2">
      <c r="A939" s="45" t="str">
        <f t="shared" si="45"/>
        <v/>
      </c>
      <c r="B939" s="45"/>
      <c r="C939" s="45"/>
      <c r="D939" s="45"/>
      <c r="E939" s="50"/>
      <c r="F939" s="51"/>
      <c r="G939" s="52"/>
      <c r="H939" s="52"/>
      <c r="I939" s="52" t="str">
        <f t="shared" si="46"/>
        <v/>
      </c>
      <c r="J939" s="54"/>
      <c r="K939" s="55" t="str">
        <f t="shared" si="47"/>
        <v/>
      </c>
      <c r="L939" s="54"/>
      <c r="M939" s="54"/>
      <c r="N939" s="54"/>
      <c r="O939" s="54"/>
      <c r="P939" s="54"/>
      <c r="S939" s="38"/>
      <c r="T939" s="38"/>
      <c r="U939" s="38"/>
      <c r="V939" s="37"/>
      <c r="W939" s="37"/>
      <c r="X939" s="37"/>
      <c r="Y939" s="37"/>
      <c r="Z939" s="37"/>
      <c r="AA939" s="37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</row>
    <row r="940" spans="1:52" ht="39.75" hidden="1" customHeight="1" x14ac:dyDescent="0.2">
      <c r="A940" s="45" t="str">
        <f t="shared" si="45"/>
        <v/>
      </c>
      <c r="B940" s="45"/>
      <c r="C940" s="45"/>
      <c r="D940" s="45"/>
      <c r="E940" s="50"/>
      <c r="F940" s="51"/>
      <c r="G940" s="52"/>
      <c r="H940" s="52"/>
      <c r="I940" s="52" t="str">
        <f t="shared" si="46"/>
        <v/>
      </c>
      <c r="J940" s="54"/>
      <c r="K940" s="55" t="str">
        <f t="shared" si="47"/>
        <v/>
      </c>
      <c r="L940" s="54"/>
      <c r="M940" s="54"/>
      <c r="N940" s="54"/>
      <c r="O940" s="54"/>
      <c r="P940" s="54"/>
      <c r="S940" s="38"/>
      <c r="T940" s="38"/>
      <c r="U940" s="38"/>
      <c r="V940" s="37"/>
      <c r="W940" s="37"/>
      <c r="X940" s="37"/>
      <c r="Y940" s="37"/>
      <c r="Z940" s="37"/>
      <c r="AA940" s="37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</row>
    <row r="941" spans="1:52" ht="39.75" hidden="1" customHeight="1" x14ac:dyDescent="0.2">
      <c r="A941" s="45" t="str">
        <f t="shared" si="45"/>
        <v/>
      </c>
      <c r="B941" s="45"/>
      <c r="C941" s="45"/>
      <c r="D941" s="45"/>
      <c r="E941" s="50"/>
      <c r="F941" s="51"/>
      <c r="G941" s="52"/>
      <c r="H941" s="52"/>
      <c r="I941" s="52" t="str">
        <f t="shared" si="46"/>
        <v/>
      </c>
      <c r="J941" s="54"/>
      <c r="K941" s="55" t="str">
        <f t="shared" si="47"/>
        <v/>
      </c>
      <c r="L941" s="54"/>
      <c r="M941" s="54"/>
      <c r="N941" s="54"/>
      <c r="O941" s="54"/>
      <c r="P941" s="54"/>
      <c r="S941" s="38"/>
      <c r="T941" s="38"/>
      <c r="U941" s="38"/>
      <c r="V941" s="37"/>
      <c r="W941" s="37"/>
      <c r="X941" s="37"/>
      <c r="Y941" s="37"/>
      <c r="Z941" s="37"/>
      <c r="AA941" s="37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</row>
    <row r="942" spans="1:52" ht="39.75" hidden="1" customHeight="1" x14ac:dyDescent="0.2">
      <c r="A942" s="45" t="str">
        <f t="shared" si="45"/>
        <v/>
      </c>
      <c r="B942" s="45"/>
      <c r="C942" s="45"/>
      <c r="D942" s="45"/>
      <c r="E942" s="50"/>
      <c r="F942" s="51"/>
      <c r="G942" s="52"/>
      <c r="H942" s="52"/>
      <c r="I942" s="52" t="str">
        <f t="shared" si="46"/>
        <v/>
      </c>
      <c r="J942" s="54"/>
      <c r="K942" s="55" t="str">
        <f t="shared" si="47"/>
        <v/>
      </c>
      <c r="L942" s="54"/>
      <c r="M942" s="54"/>
      <c r="N942" s="54"/>
      <c r="O942" s="54"/>
      <c r="P942" s="54"/>
      <c r="S942" s="38"/>
      <c r="T942" s="38"/>
      <c r="U942" s="38"/>
      <c r="V942" s="37"/>
      <c r="W942" s="37"/>
      <c r="X942" s="37"/>
      <c r="Y942" s="37"/>
      <c r="Z942" s="37"/>
      <c r="AA942" s="37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</row>
    <row r="943" spans="1:52" ht="39.75" hidden="1" customHeight="1" x14ac:dyDescent="0.2">
      <c r="A943" s="45" t="str">
        <f t="shared" si="45"/>
        <v/>
      </c>
      <c r="B943" s="45"/>
      <c r="C943" s="45"/>
      <c r="D943" s="45"/>
      <c r="E943" s="50"/>
      <c r="F943" s="51"/>
      <c r="G943" s="52"/>
      <c r="H943" s="52"/>
      <c r="I943" s="52" t="str">
        <f t="shared" si="46"/>
        <v/>
      </c>
      <c r="J943" s="54"/>
      <c r="K943" s="55" t="str">
        <f t="shared" si="47"/>
        <v/>
      </c>
      <c r="L943" s="54"/>
      <c r="M943" s="54"/>
      <c r="N943" s="54"/>
      <c r="O943" s="54"/>
      <c r="P943" s="54"/>
      <c r="S943" s="38"/>
      <c r="T943" s="38"/>
      <c r="U943" s="38"/>
      <c r="V943" s="37"/>
      <c r="W943" s="37"/>
      <c r="X943" s="37"/>
      <c r="Y943" s="37"/>
      <c r="Z943" s="37"/>
      <c r="AA943" s="37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</row>
    <row r="944" spans="1:52" ht="39.75" hidden="1" customHeight="1" x14ac:dyDescent="0.2">
      <c r="A944" s="45" t="str">
        <f t="shared" si="45"/>
        <v/>
      </c>
      <c r="B944" s="45"/>
      <c r="C944" s="45"/>
      <c r="D944" s="45"/>
      <c r="E944" s="50"/>
      <c r="F944" s="51"/>
      <c r="G944" s="52"/>
      <c r="H944" s="52"/>
      <c r="I944" s="52" t="str">
        <f t="shared" si="46"/>
        <v/>
      </c>
      <c r="J944" s="54"/>
      <c r="K944" s="55" t="str">
        <f t="shared" si="47"/>
        <v/>
      </c>
      <c r="L944" s="54"/>
      <c r="M944" s="54"/>
      <c r="N944" s="54"/>
      <c r="O944" s="54"/>
      <c r="P944" s="54"/>
      <c r="S944" s="38"/>
      <c r="T944" s="38"/>
      <c r="U944" s="38"/>
      <c r="V944" s="37"/>
      <c r="W944" s="37"/>
      <c r="X944" s="37"/>
      <c r="Y944" s="37"/>
      <c r="Z944" s="37"/>
      <c r="AA944" s="37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</row>
    <row r="945" spans="1:52" ht="39.75" hidden="1" customHeight="1" x14ac:dyDescent="0.2">
      <c r="A945" s="45" t="str">
        <f t="shared" si="45"/>
        <v/>
      </c>
      <c r="B945" s="45"/>
      <c r="C945" s="45"/>
      <c r="D945" s="45"/>
      <c r="E945" s="50"/>
      <c r="F945" s="51"/>
      <c r="G945" s="52"/>
      <c r="H945" s="52"/>
      <c r="I945" s="52" t="str">
        <f t="shared" si="46"/>
        <v/>
      </c>
      <c r="J945" s="54"/>
      <c r="K945" s="55" t="str">
        <f t="shared" si="47"/>
        <v/>
      </c>
      <c r="L945" s="54"/>
      <c r="M945" s="54"/>
      <c r="N945" s="54"/>
      <c r="O945" s="54"/>
      <c r="P945" s="54"/>
      <c r="S945" s="38"/>
      <c r="T945" s="38"/>
      <c r="U945" s="38"/>
      <c r="V945" s="37"/>
      <c r="W945" s="37"/>
      <c r="X945" s="37"/>
      <c r="Y945" s="37"/>
      <c r="Z945" s="37"/>
      <c r="AA945" s="37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</row>
    <row r="946" spans="1:52" ht="39.75" hidden="1" customHeight="1" x14ac:dyDescent="0.2">
      <c r="A946" s="45" t="str">
        <f t="shared" si="45"/>
        <v/>
      </c>
      <c r="B946" s="45"/>
      <c r="C946" s="45"/>
      <c r="D946" s="45"/>
      <c r="E946" s="50"/>
      <c r="F946" s="51"/>
      <c r="G946" s="52"/>
      <c r="H946" s="52"/>
      <c r="I946" s="52" t="str">
        <f t="shared" si="46"/>
        <v/>
      </c>
      <c r="J946" s="54"/>
      <c r="K946" s="55" t="str">
        <f t="shared" si="47"/>
        <v/>
      </c>
      <c r="L946" s="54"/>
      <c r="M946" s="54"/>
      <c r="N946" s="54"/>
      <c r="O946" s="54"/>
      <c r="P946" s="54"/>
      <c r="S946" s="38"/>
      <c r="T946" s="38"/>
      <c r="U946" s="38"/>
      <c r="V946" s="37"/>
      <c r="W946" s="37"/>
      <c r="X946" s="37"/>
      <c r="Y946" s="37"/>
      <c r="Z946" s="37"/>
      <c r="AA946" s="37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</row>
    <row r="947" spans="1:52" ht="39.75" hidden="1" customHeight="1" x14ac:dyDescent="0.2">
      <c r="A947" s="45" t="str">
        <f t="shared" si="45"/>
        <v/>
      </c>
      <c r="B947" s="45"/>
      <c r="C947" s="45"/>
      <c r="D947" s="45"/>
      <c r="E947" s="50"/>
      <c r="F947" s="51"/>
      <c r="G947" s="52"/>
      <c r="H947" s="52"/>
      <c r="I947" s="52" t="str">
        <f t="shared" si="46"/>
        <v/>
      </c>
      <c r="J947" s="54"/>
      <c r="K947" s="55" t="str">
        <f t="shared" si="47"/>
        <v/>
      </c>
      <c r="L947" s="54"/>
      <c r="M947" s="54"/>
      <c r="N947" s="54"/>
      <c r="O947" s="54"/>
      <c r="P947" s="54"/>
      <c r="S947" s="38"/>
      <c r="T947" s="38"/>
      <c r="U947" s="38"/>
      <c r="V947" s="37"/>
      <c r="W947" s="37"/>
      <c r="X947" s="37"/>
      <c r="Y947" s="37"/>
      <c r="Z947" s="37"/>
      <c r="AA947" s="37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</row>
    <row r="948" spans="1:52" ht="39.75" hidden="1" customHeight="1" x14ac:dyDescent="0.2">
      <c r="A948" s="45" t="str">
        <f t="shared" si="45"/>
        <v/>
      </c>
      <c r="B948" s="45"/>
      <c r="C948" s="45"/>
      <c r="D948" s="45"/>
      <c r="E948" s="50"/>
      <c r="F948" s="51"/>
      <c r="G948" s="52"/>
      <c r="H948" s="52"/>
      <c r="I948" s="52" t="str">
        <f t="shared" si="46"/>
        <v/>
      </c>
      <c r="J948" s="54"/>
      <c r="K948" s="55" t="str">
        <f t="shared" si="47"/>
        <v/>
      </c>
      <c r="L948" s="54"/>
      <c r="M948" s="54"/>
      <c r="N948" s="54"/>
      <c r="O948" s="54"/>
      <c r="P948" s="54"/>
      <c r="S948" s="38"/>
      <c r="T948" s="38"/>
      <c r="U948" s="38"/>
      <c r="V948" s="37"/>
      <c r="W948" s="37"/>
      <c r="X948" s="37"/>
      <c r="Y948" s="37"/>
      <c r="Z948" s="37"/>
      <c r="AA948" s="37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</row>
    <row r="949" spans="1:52" ht="39.75" hidden="1" customHeight="1" x14ac:dyDescent="0.2">
      <c r="A949" s="45" t="str">
        <f t="shared" si="45"/>
        <v/>
      </c>
      <c r="B949" s="45"/>
      <c r="C949" s="45"/>
      <c r="D949" s="45"/>
      <c r="E949" s="50"/>
      <c r="F949" s="51"/>
      <c r="G949" s="52"/>
      <c r="H949" s="52"/>
      <c r="I949" s="52" t="str">
        <f t="shared" si="46"/>
        <v/>
      </c>
      <c r="J949" s="54"/>
      <c r="K949" s="55" t="str">
        <f t="shared" si="47"/>
        <v/>
      </c>
      <c r="L949" s="54"/>
      <c r="M949" s="54"/>
      <c r="N949" s="54"/>
      <c r="O949" s="54"/>
      <c r="P949" s="54"/>
      <c r="S949" s="38"/>
      <c r="T949" s="38"/>
      <c r="U949" s="38"/>
      <c r="V949" s="37"/>
      <c r="W949" s="37"/>
      <c r="X949" s="37"/>
      <c r="Y949" s="37"/>
      <c r="Z949" s="37"/>
      <c r="AA949" s="37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</row>
    <row r="950" spans="1:52" ht="39.75" hidden="1" customHeight="1" x14ac:dyDescent="0.2">
      <c r="A950" s="45" t="str">
        <f t="shared" si="45"/>
        <v/>
      </c>
      <c r="B950" s="45"/>
      <c r="C950" s="45"/>
      <c r="D950" s="45"/>
      <c r="E950" s="50"/>
      <c r="F950" s="51"/>
      <c r="G950" s="52"/>
      <c r="H950" s="52"/>
      <c r="I950" s="52" t="str">
        <f t="shared" si="46"/>
        <v/>
      </c>
      <c r="J950" s="54"/>
      <c r="K950" s="55" t="str">
        <f t="shared" si="47"/>
        <v/>
      </c>
      <c r="L950" s="54"/>
      <c r="M950" s="54"/>
      <c r="N950" s="54"/>
      <c r="O950" s="54"/>
      <c r="P950" s="54"/>
      <c r="S950" s="38"/>
      <c r="T950" s="38"/>
      <c r="U950" s="38"/>
      <c r="V950" s="37"/>
      <c r="W950" s="37"/>
      <c r="X950" s="37"/>
      <c r="Y950" s="37"/>
      <c r="Z950" s="37"/>
      <c r="AA950" s="37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</row>
    <row r="951" spans="1:52" ht="39.75" hidden="1" customHeight="1" x14ac:dyDescent="0.2">
      <c r="A951" s="45" t="str">
        <f t="shared" si="45"/>
        <v/>
      </c>
      <c r="B951" s="45"/>
      <c r="C951" s="45"/>
      <c r="D951" s="45"/>
      <c r="E951" s="50"/>
      <c r="F951" s="51"/>
      <c r="G951" s="52"/>
      <c r="H951" s="52"/>
      <c r="I951" s="52" t="str">
        <f t="shared" si="46"/>
        <v/>
      </c>
      <c r="J951" s="54"/>
      <c r="K951" s="55" t="str">
        <f t="shared" si="47"/>
        <v/>
      </c>
      <c r="L951" s="54"/>
      <c r="M951" s="54"/>
      <c r="N951" s="54"/>
      <c r="O951" s="54"/>
      <c r="P951" s="54"/>
      <c r="S951" s="38"/>
      <c r="T951" s="38"/>
      <c r="U951" s="38"/>
      <c r="V951" s="37"/>
      <c r="W951" s="37"/>
      <c r="X951" s="37"/>
      <c r="Y951" s="37"/>
      <c r="Z951" s="37"/>
      <c r="AA951" s="37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</row>
    <row r="952" spans="1:52" ht="39.75" hidden="1" customHeight="1" x14ac:dyDescent="0.2">
      <c r="A952" s="45" t="str">
        <f t="shared" si="45"/>
        <v/>
      </c>
      <c r="B952" s="45"/>
      <c r="C952" s="45"/>
      <c r="D952" s="45"/>
      <c r="E952" s="50"/>
      <c r="F952" s="51"/>
      <c r="G952" s="52"/>
      <c r="H952" s="52"/>
      <c r="I952" s="52" t="str">
        <f t="shared" si="46"/>
        <v/>
      </c>
      <c r="J952" s="54"/>
      <c r="K952" s="55" t="str">
        <f t="shared" si="47"/>
        <v/>
      </c>
      <c r="L952" s="54"/>
      <c r="M952" s="54"/>
      <c r="N952" s="54"/>
      <c r="O952" s="54"/>
      <c r="P952" s="54"/>
      <c r="S952" s="38"/>
      <c r="T952" s="38"/>
      <c r="U952" s="38"/>
      <c r="V952" s="37"/>
      <c r="W952" s="37"/>
      <c r="X952" s="37"/>
      <c r="Y952" s="37"/>
      <c r="Z952" s="37"/>
      <c r="AA952" s="37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</row>
    <row r="953" spans="1:52" ht="39.75" hidden="1" customHeight="1" x14ac:dyDescent="0.2">
      <c r="A953" s="45" t="str">
        <f t="shared" si="45"/>
        <v/>
      </c>
      <c r="B953" s="45"/>
      <c r="C953" s="45"/>
      <c r="D953" s="45"/>
      <c r="E953" s="50"/>
      <c r="F953" s="51"/>
      <c r="G953" s="52"/>
      <c r="H953" s="52"/>
      <c r="I953" s="52" t="str">
        <f t="shared" si="46"/>
        <v/>
      </c>
      <c r="J953" s="54"/>
      <c r="K953" s="55" t="str">
        <f t="shared" si="47"/>
        <v/>
      </c>
      <c r="L953" s="54"/>
      <c r="M953" s="54"/>
      <c r="N953" s="54"/>
      <c r="O953" s="54"/>
      <c r="P953" s="54"/>
      <c r="S953" s="38"/>
      <c r="T953" s="38"/>
      <c r="U953" s="38"/>
      <c r="V953" s="37"/>
      <c r="W953" s="37"/>
      <c r="X953" s="37"/>
      <c r="Y953" s="37"/>
      <c r="Z953" s="37"/>
      <c r="AA953" s="37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</row>
    <row r="954" spans="1:52" ht="39.75" hidden="1" customHeight="1" x14ac:dyDescent="0.2">
      <c r="A954" s="45" t="str">
        <f t="shared" si="45"/>
        <v/>
      </c>
      <c r="B954" s="45"/>
      <c r="C954" s="45"/>
      <c r="D954" s="45"/>
      <c r="E954" s="50"/>
      <c r="F954" s="51"/>
      <c r="G954" s="52"/>
      <c r="H954" s="52"/>
      <c r="I954" s="52" t="str">
        <f t="shared" si="46"/>
        <v/>
      </c>
      <c r="J954" s="54"/>
      <c r="K954" s="55" t="str">
        <f t="shared" si="47"/>
        <v/>
      </c>
      <c r="L954" s="54"/>
      <c r="M954" s="54"/>
      <c r="N954" s="54"/>
      <c r="O954" s="54"/>
      <c r="P954" s="54"/>
      <c r="S954" s="38"/>
      <c r="T954" s="38"/>
      <c r="U954" s="38"/>
      <c r="V954" s="37"/>
      <c r="W954" s="37"/>
      <c r="X954" s="37"/>
      <c r="Y954" s="37"/>
      <c r="Z954" s="37"/>
      <c r="AA954" s="37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</row>
    <row r="955" spans="1:52" ht="39.75" hidden="1" customHeight="1" x14ac:dyDescent="0.2">
      <c r="A955" s="45" t="str">
        <f t="shared" si="45"/>
        <v/>
      </c>
      <c r="B955" s="45"/>
      <c r="C955" s="45"/>
      <c r="D955" s="45"/>
      <c r="E955" s="50"/>
      <c r="F955" s="51"/>
      <c r="G955" s="52"/>
      <c r="H955" s="52"/>
      <c r="I955" s="52" t="str">
        <f t="shared" si="46"/>
        <v/>
      </c>
      <c r="J955" s="54"/>
      <c r="K955" s="55" t="str">
        <f t="shared" si="47"/>
        <v/>
      </c>
      <c r="L955" s="54"/>
      <c r="M955" s="54"/>
      <c r="N955" s="54"/>
      <c r="O955" s="54"/>
      <c r="P955" s="54"/>
      <c r="S955" s="38"/>
      <c r="T955" s="38"/>
      <c r="U955" s="38"/>
      <c r="V955" s="37"/>
      <c r="W955" s="37"/>
      <c r="X955" s="37"/>
      <c r="Y955" s="37"/>
      <c r="Z955" s="37"/>
      <c r="AA955" s="37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</row>
    <row r="956" spans="1:52" ht="39.75" hidden="1" customHeight="1" x14ac:dyDescent="0.2">
      <c r="A956" s="45" t="str">
        <f t="shared" si="45"/>
        <v/>
      </c>
      <c r="B956" s="45"/>
      <c r="C956" s="45"/>
      <c r="D956" s="45"/>
      <c r="E956" s="50"/>
      <c r="F956" s="51"/>
      <c r="G956" s="52"/>
      <c r="H956" s="52"/>
      <c r="I956" s="52" t="str">
        <f t="shared" si="46"/>
        <v/>
      </c>
      <c r="J956" s="54"/>
      <c r="K956" s="55" t="str">
        <f t="shared" si="47"/>
        <v/>
      </c>
      <c r="L956" s="54"/>
      <c r="M956" s="54"/>
      <c r="N956" s="54"/>
      <c r="O956" s="54"/>
      <c r="P956" s="54"/>
      <c r="S956" s="38"/>
      <c r="T956" s="38"/>
      <c r="U956" s="38"/>
      <c r="V956" s="37"/>
      <c r="W956" s="37"/>
      <c r="X956" s="37"/>
      <c r="Y956" s="37"/>
      <c r="Z956" s="37"/>
      <c r="AA956" s="37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</row>
    <row r="957" spans="1:52" ht="39.75" hidden="1" customHeight="1" x14ac:dyDescent="0.2">
      <c r="A957" s="45" t="str">
        <f t="shared" si="45"/>
        <v/>
      </c>
      <c r="B957" s="45"/>
      <c r="C957" s="45"/>
      <c r="D957" s="45"/>
      <c r="E957" s="50"/>
      <c r="F957" s="51"/>
      <c r="G957" s="52"/>
      <c r="H957" s="52"/>
      <c r="I957" s="52" t="str">
        <f t="shared" si="46"/>
        <v/>
      </c>
      <c r="J957" s="54"/>
      <c r="K957" s="55" t="str">
        <f t="shared" si="47"/>
        <v/>
      </c>
      <c r="L957" s="54"/>
      <c r="M957" s="54"/>
      <c r="N957" s="54"/>
      <c r="O957" s="54"/>
      <c r="P957" s="54"/>
      <c r="S957" s="38"/>
      <c r="T957" s="38"/>
      <c r="U957" s="38"/>
      <c r="V957" s="37"/>
      <c r="W957" s="37"/>
      <c r="X957" s="37"/>
      <c r="Y957" s="37"/>
      <c r="Z957" s="37"/>
      <c r="AA957" s="37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</row>
    <row r="958" spans="1:52" ht="39.75" hidden="1" customHeight="1" x14ac:dyDescent="0.2">
      <c r="A958" s="45" t="str">
        <f t="shared" si="45"/>
        <v/>
      </c>
      <c r="B958" s="45"/>
      <c r="C958" s="45"/>
      <c r="D958" s="45"/>
      <c r="E958" s="50"/>
      <c r="F958" s="51"/>
      <c r="G958" s="52"/>
      <c r="H958" s="52"/>
      <c r="I958" s="52" t="str">
        <f t="shared" si="46"/>
        <v/>
      </c>
      <c r="J958" s="54"/>
      <c r="K958" s="55" t="str">
        <f t="shared" si="47"/>
        <v/>
      </c>
      <c r="L958" s="54"/>
      <c r="M958" s="54"/>
      <c r="N958" s="54"/>
      <c r="O958" s="54"/>
      <c r="P958" s="54"/>
      <c r="S958" s="38"/>
      <c r="T958" s="38"/>
      <c r="U958" s="38"/>
      <c r="V958" s="37"/>
      <c r="W958" s="37"/>
      <c r="X958" s="37"/>
      <c r="Y958" s="37"/>
      <c r="Z958" s="37"/>
      <c r="AA958" s="37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</row>
    <row r="959" spans="1:52" ht="39.75" hidden="1" customHeight="1" x14ac:dyDescent="0.2">
      <c r="A959" s="45" t="str">
        <f t="shared" si="45"/>
        <v/>
      </c>
      <c r="B959" s="45"/>
      <c r="C959" s="45"/>
      <c r="D959" s="45"/>
      <c r="E959" s="50"/>
      <c r="F959" s="51"/>
      <c r="G959" s="52"/>
      <c r="H959" s="52"/>
      <c r="I959" s="52" t="str">
        <f t="shared" si="46"/>
        <v/>
      </c>
      <c r="J959" s="54"/>
      <c r="K959" s="55" t="str">
        <f t="shared" si="47"/>
        <v/>
      </c>
      <c r="L959" s="54"/>
      <c r="M959" s="54"/>
      <c r="N959" s="54"/>
      <c r="O959" s="54"/>
      <c r="P959" s="54"/>
      <c r="S959" s="38"/>
      <c r="T959" s="38"/>
      <c r="U959" s="38"/>
      <c r="V959" s="37"/>
      <c r="W959" s="37"/>
      <c r="X959" s="37"/>
      <c r="Y959" s="37"/>
      <c r="Z959" s="37"/>
      <c r="AA959" s="37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</row>
    <row r="960" spans="1:52" ht="39.75" hidden="1" customHeight="1" x14ac:dyDescent="0.2">
      <c r="A960" s="45" t="str">
        <f t="shared" si="45"/>
        <v/>
      </c>
      <c r="B960" s="45"/>
      <c r="C960" s="45"/>
      <c r="D960" s="45"/>
      <c r="E960" s="50"/>
      <c r="F960" s="51"/>
      <c r="G960" s="52"/>
      <c r="H960" s="52"/>
      <c r="I960" s="52" t="str">
        <f t="shared" si="46"/>
        <v/>
      </c>
      <c r="J960" s="54"/>
      <c r="K960" s="55" t="str">
        <f t="shared" si="47"/>
        <v/>
      </c>
      <c r="L960" s="54"/>
      <c r="M960" s="54"/>
      <c r="N960" s="54"/>
      <c r="O960" s="54"/>
      <c r="P960" s="54"/>
      <c r="S960" s="38"/>
      <c r="T960" s="38"/>
      <c r="U960" s="38"/>
      <c r="V960" s="37"/>
      <c r="W960" s="37"/>
      <c r="X960" s="37"/>
      <c r="Y960" s="37"/>
      <c r="Z960" s="37"/>
      <c r="AA960" s="37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</row>
    <row r="961" spans="1:52" ht="39.75" hidden="1" customHeight="1" x14ac:dyDescent="0.2">
      <c r="A961" s="45" t="str">
        <f t="shared" si="45"/>
        <v/>
      </c>
      <c r="B961" s="45"/>
      <c r="C961" s="45"/>
      <c r="D961" s="45"/>
      <c r="E961" s="50"/>
      <c r="F961" s="51"/>
      <c r="G961" s="52"/>
      <c r="H961" s="52"/>
      <c r="I961" s="52" t="str">
        <f t="shared" si="46"/>
        <v/>
      </c>
      <c r="J961" s="54"/>
      <c r="K961" s="55" t="str">
        <f t="shared" si="47"/>
        <v/>
      </c>
      <c r="L961" s="54"/>
      <c r="M961" s="54"/>
      <c r="N961" s="54"/>
      <c r="O961" s="54"/>
      <c r="P961" s="54"/>
      <c r="S961" s="38"/>
      <c r="T961" s="38"/>
      <c r="U961" s="38"/>
      <c r="V961" s="37"/>
      <c r="W961" s="37"/>
      <c r="X961" s="37"/>
      <c r="Y961" s="37"/>
      <c r="Z961" s="37"/>
      <c r="AA961" s="37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</row>
    <row r="962" spans="1:52" ht="39.75" hidden="1" customHeight="1" x14ac:dyDescent="0.2">
      <c r="A962" s="45" t="str">
        <f t="shared" si="45"/>
        <v/>
      </c>
      <c r="B962" s="45"/>
      <c r="C962" s="45"/>
      <c r="D962" s="45"/>
      <c r="E962" s="50"/>
      <c r="F962" s="51"/>
      <c r="G962" s="52"/>
      <c r="H962" s="52"/>
      <c r="I962" s="52" t="str">
        <f t="shared" si="46"/>
        <v/>
      </c>
      <c r="J962" s="54"/>
      <c r="K962" s="55" t="str">
        <f t="shared" si="47"/>
        <v/>
      </c>
      <c r="L962" s="54"/>
      <c r="M962" s="54"/>
      <c r="N962" s="54"/>
      <c r="O962" s="54"/>
      <c r="P962" s="54"/>
      <c r="S962" s="38"/>
      <c r="T962" s="38"/>
      <c r="U962" s="38"/>
      <c r="V962" s="37"/>
      <c r="W962" s="37"/>
      <c r="X962" s="37"/>
      <c r="Y962" s="37"/>
      <c r="Z962" s="37"/>
      <c r="AA962" s="37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</row>
    <row r="963" spans="1:52" ht="39.75" hidden="1" customHeight="1" x14ac:dyDescent="0.2">
      <c r="A963" s="45" t="str">
        <f t="shared" si="45"/>
        <v/>
      </c>
      <c r="B963" s="45"/>
      <c r="C963" s="45"/>
      <c r="D963" s="45"/>
      <c r="E963" s="50"/>
      <c r="F963" s="51"/>
      <c r="G963" s="52"/>
      <c r="H963" s="52"/>
      <c r="I963" s="52" t="str">
        <f t="shared" si="46"/>
        <v/>
      </c>
      <c r="J963" s="54"/>
      <c r="K963" s="55" t="str">
        <f t="shared" si="47"/>
        <v/>
      </c>
      <c r="L963" s="54"/>
      <c r="M963" s="54"/>
      <c r="N963" s="54"/>
      <c r="O963" s="54"/>
      <c r="P963" s="54"/>
      <c r="S963" s="38"/>
      <c r="T963" s="38"/>
      <c r="U963" s="38"/>
      <c r="V963" s="37"/>
      <c r="W963" s="37"/>
      <c r="X963" s="37"/>
      <c r="Y963" s="37"/>
      <c r="Z963" s="37"/>
      <c r="AA963" s="37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</row>
    <row r="964" spans="1:52" ht="39.75" hidden="1" customHeight="1" x14ac:dyDescent="0.2">
      <c r="A964" s="45" t="str">
        <f t="shared" si="45"/>
        <v/>
      </c>
      <c r="B964" s="45"/>
      <c r="C964" s="45"/>
      <c r="D964" s="45"/>
      <c r="E964" s="50"/>
      <c r="F964" s="51"/>
      <c r="G964" s="52"/>
      <c r="H964" s="52"/>
      <c r="I964" s="52" t="str">
        <f t="shared" si="46"/>
        <v/>
      </c>
      <c r="J964" s="54"/>
      <c r="K964" s="55" t="str">
        <f t="shared" si="47"/>
        <v/>
      </c>
      <c r="L964" s="54"/>
      <c r="M964" s="54"/>
      <c r="N964" s="54"/>
      <c r="O964" s="54"/>
      <c r="P964" s="54"/>
      <c r="S964" s="38"/>
      <c r="T964" s="38"/>
      <c r="U964" s="38"/>
      <c r="V964" s="37"/>
      <c r="W964" s="37"/>
      <c r="X964" s="37"/>
      <c r="Y964" s="37"/>
      <c r="Z964" s="37"/>
      <c r="AA964" s="37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</row>
    <row r="965" spans="1:52" ht="39.75" hidden="1" customHeight="1" x14ac:dyDescent="0.2">
      <c r="A965" s="45" t="str">
        <f t="shared" si="45"/>
        <v/>
      </c>
      <c r="B965" s="45"/>
      <c r="C965" s="45"/>
      <c r="D965" s="45"/>
      <c r="E965" s="50"/>
      <c r="F965" s="51"/>
      <c r="G965" s="52"/>
      <c r="H965" s="52"/>
      <c r="I965" s="52" t="str">
        <f t="shared" si="46"/>
        <v/>
      </c>
      <c r="J965" s="54"/>
      <c r="K965" s="55" t="str">
        <f t="shared" si="47"/>
        <v/>
      </c>
      <c r="L965" s="54"/>
      <c r="M965" s="54"/>
      <c r="N965" s="54"/>
      <c r="O965" s="54"/>
      <c r="P965" s="54"/>
      <c r="S965" s="38"/>
      <c r="T965" s="38"/>
      <c r="U965" s="38"/>
      <c r="V965" s="37"/>
      <c r="W965" s="37"/>
      <c r="X965" s="37"/>
      <c r="Y965" s="37"/>
      <c r="Z965" s="37"/>
      <c r="AA965" s="37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</row>
    <row r="966" spans="1:52" ht="39.75" hidden="1" customHeight="1" x14ac:dyDescent="0.2">
      <c r="A966" s="45" t="str">
        <f t="shared" ref="A966:A1005" si="48">IF(F966="","",ROW()-5)</f>
        <v/>
      </c>
      <c r="B966" s="45"/>
      <c r="C966" s="45"/>
      <c r="D966" s="45"/>
      <c r="E966" s="50"/>
      <c r="F966" s="51"/>
      <c r="G966" s="52"/>
      <c r="H966" s="52"/>
      <c r="I966" s="52" t="str">
        <f t="shared" ref="I966:I1005" si="49">IF(AND(LEN(F966)=18, ISBLANK(G966)=FALSE(), ISBLANK(H966)=FALSE()),37,"")</f>
        <v/>
      </c>
      <c r="J966" s="54"/>
      <c r="K966" s="55" t="str">
        <f t="shared" ref="K966:K1005" si="50">IF(OR(J966="",Q966=0),"",IF(COUNTA(L966:P966)&gt;Q966,"Seluruh pilihan telah dipilih, anda memilih lebih dari kemungkinan pilihan yang tersedia, periksa pilihan anda "&amp;"("&amp;COUNTA(L966:P966)&amp;"/"&amp;Q966&amp;")",IF(COUNTA(L966:P966)=Q966,IF(SUMPRODUCT(COUNTIF(L966:P966,L966:P966)*(L966:P966&lt;&gt;""))&gt;COUNTA(L966:P966),"Terdapat pilihan yang sama, segera ubah "&amp;"("&amp;COUNTA(L966:P966)&amp;"/"&amp;Q966&amp;")","Seluruh pilihan telah dipilih "&amp;"("&amp;COUNTA(L966:P966)&amp;"/"&amp;Q966&amp;")"),IF(COUNTA(L966:P966)&gt;0,"Masih terdapat pilihan yang bisa dipilih, silahkan melengkapi pilihan "&amp;"("&amp;COUNTA(L966:P966)&amp;"/"&amp;Q966&amp;")",""))))</f>
        <v/>
      </c>
      <c r="L966" s="54"/>
      <c r="M966" s="54"/>
      <c r="N966" s="54"/>
      <c r="O966" s="54"/>
      <c r="P966" s="54"/>
      <c r="S966" s="38"/>
      <c r="T966" s="38"/>
      <c r="U966" s="38"/>
      <c r="V966" s="37"/>
      <c r="W966" s="37"/>
      <c r="X966" s="37"/>
      <c r="Y966" s="37"/>
      <c r="Z966" s="37"/>
      <c r="AA966" s="37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</row>
    <row r="967" spans="1:52" ht="39.75" hidden="1" customHeight="1" x14ac:dyDescent="0.2">
      <c r="A967" s="45" t="str">
        <f t="shared" si="48"/>
        <v/>
      </c>
      <c r="B967" s="45"/>
      <c r="C967" s="45"/>
      <c r="D967" s="45"/>
      <c r="E967" s="50"/>
      <c r="F967" s="51"/>
      <c r="G967" s="52"/>
      <c r="H967" s="52"/>
      <c r="I967" s="52" t="str">
        <f t="shared" si="49"/>
        <v/>
      </c>
      <c r="J967" s="54"/>
      <c r="K967" s="55" t="str">
        <f t="shared" si="50"/>
        <v/>
      </c>
      <c r="L967" s="54"/>
      <c r="M967" s="54"/>
      <c r="N967" s="54"/>
      <c r="O967" s="54"/>
      <c r="P967" s="54"/>
      <c r="S967" s="38"/>
      <c r="T967" s="38"/>
      <c r="U967" s="38"/>
      <c r="V967" s="37"/>
      <c r="W967" s="37"/>
      <c r="X967" s="37"/>
      <c r="Y967" s="37"/>
      <c r="Z967" s="37"/>
      <c r="AA967" s="37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</row>
    <row r="968" spans="1:52" ht="39.75" hidden="1" customHeight="1" x14ac:dyDescent="0.2">
      <c r="A968" s="45" t="str">
        <f t="shared" si="48"/>
        <v/>
      </c>
      <c r="B968" s="45"/>
      <c r="C968" s="45"/>
      <c r="D968" s="45"/>
      <c r="E968" s="50"/>
      <c r="F968" s="51"/>
      <c r="G968" s="52"/>
      <c r="H968" s="52"/>
      <c r="I968" s="52" t="str">
        <f t="shared" si="49"/>
        <v/>
      </c>
      <c r="J968" s="54"/>
      <c r="K968" s="55" t="str">
        <f t="shared" si="50"/>
        <v/>
      </c>
      <c r="L968" s="54"/>
      <c r="M968" s="54"/>
      <c r="N968" s="54"/>
      <c r="O968" s="54"/>
      <c r="P968" s="54"/>
      <c r="S968" s="38"/>
      <c r="T968" s="38"/>
      <c r="U968" s="38"/>
      <c r="V968" s="37"/>
      <c r="W968" s="37"/>
      <c r="X968" s="37"/>
      <c r="Y968" s="37"/>
      <c r="Z968" s="37"/>
      <c r="AA968" s="37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</row>
    <row r="969" spans="1:52" ht="39.75" hidden="1" customHeight="1" x14ac:dyDescent="0.2">
      <c r="A969" s="45" t="str">
        <f t="shared" si="48"/>
        <v/>
      </c>
      <c r="B969" s="45"/>
      <c r="C969" s="45"/>
      <c r="D969" s="45"/>
      <c r="E969" s="50"/>
      <c r="F969" s="51"/>
      <c r="G969" s="52"/>
      <c r="H969" s="52"/>
      <c r="I969" s="52" t="str">
        <f t="shared" si="49"/>
        <v/>
      </c>
      <c r="J969" s="54"/>
      <c r="K969" s="55" t="str">
        <f t="shared" si="50"/>
        <v/>
      </c>
      <c r="L969" s="54"/>
      <c r="M969" s="54"/>
      <c r="N969" s="54"/>
      <c r="O969" s="54"/>
      <c r="P969" s="54"/>
      <c r="S969" s="38"/>
      <c r="T969" s="38"/>
      <c r="U969" s="38"/>
      <c r="V969" s="37"/>
      <c r="W969" s="37"/>
      <c r="X969" s="37"/>
      <c r="Y969" s="37"/>
      <c r="Z969" s="37"/>
      <c r="AA969" s="37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</row>
    <row r="970" spans="1:52" ht="39.75" hidden="1" customHeight="1" x14ac:dyDescent="0.2">
      <c r="A970" s="45" t="str">
        <f t="shared" si="48"/>
        <v/>
      </c>
      <c r="B970" s="45"/>
      <c r="C970" s="45"/>
      <c r="D970" s="45"/>
      <c r="E970" s="50"/>
      <c r="F970" s="51"/>
      <c r="G970" s="52"/>
      <c r="H970" s="52"/>
      <c r="I970" s="52" t="str">
        <f t="shared" si="49"/>
        <v/>
      </c>
      <c r="J970" s="54"/>
      <c r="K970" s="55" t="str">
        <f t="shared" si="50"/>
        <v/>
      </c>
      <c r="L970" s="54"/>
      <c r="M970" s="54"/>
      <c r="N970" s="54"/>
      <c r="O970" s="54"/>
      <c r="P970" s="54"/>
      <c r="S970" s="38"/>
      <c r="T970" s="38"/>
      <c r="U970" s="38"/>
      <c r="V970" s="37"/>
      <c r="W970" s="37"/>
      <c r="X970" s="37"/>
      <c r="Y970" s="37"/>
      <c r="Z970" s="37"/>
      <c r="AA970" s="37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</row>
    <row r="971" spans="1:52" ht="39.75" hidden="1" customHeight="1" x14ac:dyDescent="0.2">
      <c r="A971" s="45" t="str">
        <f t="shared" si="48"/>
        <v/>
      </c>
      <c r="B971" s="45"/>
      <c r="C971" s="45"/>
      <c r="D971" s="45"/>
      <c r="E971" s="50"/>
      <c r="F971" s="51"/>
      <c r="G971" s="52"/>
      <c r="H971" s="52"/>
      <c r="I971" s="52" t="str">
        <f t="shared" si="49"/>
        <v/>
      </c>
      <c r="J971" s="54"/>
      <c r="K971" s="55" t="str">
        <f t="shared" si="50"/>
        <v/>
      </c>
      <c r="L971" s="54"/>
      <c r="M971" s="54"/>
      <c r="N971" s="54"/>
      <c r="O971" s="54"/>
      <c r="P971" s="54"/>
      <c r="S971" s="38"/>
      <c r="T971" s="38"/>
      <c r="U971" s="38"/>
      <c r="V971" s="37"/>
      <c r="W971" s="37"/>
      <c r="X971" s="37"/>
      <c r="Y971" s="37"/>
      <c r="Z971" s="37"/>
      <c r="AA971" s="37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</row>
    <row r="972" spans="1:52" ht="39.75" hidden="1" customHeight="1" x14ac:dyDescent="0.2">
      <c r="A972" s="45" t="str">
        <f t="shared" si="48"/>
        <v/>
      </c>
      <c r="B972" s="45"/>
      <c r="C972" s="45"/>
      <c r="D972" s="45"/>
      <c r="E972" s="50"/>
      <c r="F972" s="51"/>
      <c r="G972" s="52"/>
      <c r="H972" s="52"/>
      <c r="I972" s="52" t="str">
        <f t="shared" si="49"/>
        <v/>
      </c>
      <c r="J972" s="54"/>
      <c r="K972" s="55" t="str">
        <f t="shared" si="50"/>
        <v/>
      </c>
      <c r="L972" s="54"/>
      <c r="M972" s="54"/>
      <c r="N972" s="54"/>
      <c r="O972" s="54"/>
      <c r="P972" s="54"/>
      <c r="S972" s="38"/>
      <c r="T972" s="38"/>
      <c r="U972" s="38"/>
      <c r="V972" s="37"/>
      <c r="W972" s="37"/>
      <c r="X972" s="37"/>
      <c r="Y972" s="37"/>
      <c r="Z972" s="37"/>
      <c r="AA972" s="37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</row>
    <row r="973" spans="1:52" ht="39.75" hidden="1" customHeight="1" x14ac:dyDescent="0.2">
      <c r="A973" s="45" t="str">
        <f t="shared" si="48"/>
        <v/>
      </c>
      <c r="B973" s="45"/>
      <c r="C973" s="45"/>
      <c r="D973" s="45"/>
      <c r="E973" s="50"/>
      <c r="F973" s="51"/>
      <c r="G973" s="52"/>
      <c r="H973" s="52"/>
      <c r="I973" s="52" t="str">
        <f t="shared" si="49"/>
        <v/>
      </c>
      <c r="J973" s="54"/>
      <c r="K973" s="55" t="str">
        <f t="shared" si="50"/>
        <v/>
      </c>
      <c r="L973" s="54"/>
      <c r="M973" s="54"/>
      <c r="N973" s="54"/>
      <c r="O973" s="54"/>
      <c r="P973" s="54"/>
      <c r="S973" s="38"/>
      <c r="T973" s="38"/>
      <c r="U973" s="38"/>
      <c r="V973" s="37"/>
      <c r="W973" s="37"/>
      <c r="X973" s="37"/>
      <c r="Y973" s="37"/>
      <c r="Z973" s="37"/>
      <c r="AA973" s="37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</row>
    <row r="974" spans="1:52" ht="39.75" hidden="1" customHeight="1" x14ac:dyDescent="0.2">
      <c r="A974" s="45" t="str">
        <f t="shared" si="48"/>
        <v/>
      </c>
      <c r="B974" s="45"/>
      <c r="C974" s="45"/>
      <c r="D974" s="45"/>
      <c r="E974" s="50"/>
      <c r="F974" s="51"/>
      <c r="G974" s="52"/>
      <c r="H974" s="52"/>
      <c r="I974" s="52" t="str">
        <f t="shared" si="49"/>
        <v/>
      </c>
      <c r="J974" s="54"/>
      <c r="K974" s="55" t="str">
        <f t="shared" si="50"/>
        <v/>
      </c>
      <c r="L974" s="54"/>
      <c r="M974" s="54"/>
      <c r="N974" s="54"/>
      <c r="O974" s="54"/>
      <c r="P974" s="54"/>
      <c r="S974" s="38"/>
      <c r="T974" s="38"/>
      <c r="U974" s="38"/>
      <c r="V974" s="37"/>
      <c r="W974" s="37"/>
      <c r="X974" s="37"/>
      <c r="Y974" s="37"/>
      <c r="Z974" s="37"/>
      <c r="AA974" s="37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</row>
    <row r="975" spans="1:52" ht="39.75" hidden="1" customHeight="1" x14ac:dyDescent="0.2">
      <c r="A975" s="45" t="str">
        <f t="shared" si="48"/>
        <v/>
      </c>
      <c r="B975" s="45"/>
      <c r="C975" s="45"/>
      <c r="D975" s="45"/>
      <c r="E975" s="50"/>
      <c r="F975" s="51"/>
      <c r="G975" s="52"/>
      <c r="H975" s="52"/>
      <c r="I975" s="52" t="str">
        <f t="shared" si="49"/>
        <v/>
      </c>
      <c r="J975" s="54"/>
      <c r="K975" s="55" t="str">
        <f t="shared" si="50"/>
        <v/>
      </c>
      <c r="L975" s="54"/>
      <c r="M975" s="54"/>
      <c r="N975" s="54"/>
      <c r="O975" s="54"/>
      <c r="P975" s="54"/>
      <c r="S975" s="38"/>
      <c r="T975" s="38"/>
      <c r="U975" s="38"/>
      <c r="V975" s="37"/>
      <c r="W975" s="37"/>
      <c r="X975" s="37"/>
      <c r="Y975" s="37"/>
      <c r="Z975" s="37"/>
      <c r="AA975" s="37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</row>
    <row r="976" spans="1:52" ht="39.75" hidden="1" customHeight="1" x14ac:dyDescent="0.2">
      <c r="A976" s="45" t="str">
        <f t="shared" si="48"/>
        <v/>
      </c>
      <c r="B976" s="45"/>
      <c r="C976" s="45"/>
      <c r="D976" s="45"/>
      <c r="E976" s="50"/>
      <c r="F976" s="51"/>
      <c r="G976" s="52"/>
      <c r="H976" s="52"/>
      <c r="I976" s="52" t="str">
        <f t="shared" si="49"/>
        <v/>
      </c>
      <c r="J976" s="54"/>
      <c r="K976" s="55" t="str">
        <f t="shared" si="50"/>
        <v/>
      </c>
      <c r="L976" s="54"/>
      <c r="M976" s="54"/>
      <c r="N976" s="54"/>
      <c r="O976" s="54"/>
      <c r="P976" s="54"/>
      <c r="S976" s="38"/>
      <c r="T976" s="38"/>
      <c r="U976" s="38"/>
      <c r="V976" s="37"/>
      <c r="W976" s="37"/>
      <c r="X976" s="37"/>
      <c r="Y976" s="37"/>
      <c r="Z976" s="37"/>
      <c r="AA976" s="37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</row>
    <row r="977" spans="1:52" ht="39.75" hidden="1" customHeight="1" x14ac:dyDescent="0.2">
      <c r="A977" s="45" t="str">
        <f t="shared" si="48"/>
        <v/>
      </c>
      <c r="B977" s="45"/>
      <c r="C977" s="45"/>
      <c r="D977" s="45"/>
      <c r="E977" s="50"/>
      <c r="F977" s="51"/>
      <c r="G977" s="52"/>
      <c r="H977" s="52"/>
      <c r="I977" s="52" t="str">
        <f t="shared" si="49"/>
        <v/>
      </c>
      <c r="J977" s="54"/>
      <c r="K977" s="55" t="str">
        <f t="shared" si="50"/>
        <v/>
      </c>
      <c r="L977" s="54"/>
      <c r="M977" s="54"/>
      <c r="N977" s="54"/>
      <c r="O977" s="54"/>
      <c r="P977" s="54"/>
      <c r="S977" s="38"/>
      <c r="T977" s="38"/>
      <c r="U977" s="38"/>
      <c r="V977" s="37"/>
      <c r="W977" s="37"/>
      <c r="X977" s="37"/>
      <c r="Y977" s="37"/>
      <c r="Z977" s="37"/>
      <c r="AA977" s="37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</row>
    <row r="978" spans="1:52" ht="39.75" hidden="1" customHeight="1" x14ac:dyDescent="0.2">
      <c r="A978" s="45" t="str">
        <f t="shared" si="48"/>
        <v/>
      </c>
      <c r="B978" s="45"/>
      <c r="C978" s="45"/>
      <c r="D978" s="45"/>
      <c r="E978" s="50"/>
      <c r="F978" s="51"/>
      <c r="G978" s="52"/>
      <c r="H978" s="52"/>
      <c r="I978" s="52" t="str">
        <f t="shared" si="49"/>
        <v/>
      </c>
      <c r="J978" s="54"/>
      <c r="K978" s="55" t="str">
        <f t="shared" si="50"/>
        <v/>
      </c>
      <c r="L978" s="54"/>
      <c r="M978" s="54"/>
      <c r="N978" s="54"/>
      <c r="O978" s="54"/>
      <c r="P978" s="54"/>
      <c r="S978" s="38"/>
      <c r="T978" s="38"/>
      <c r="U978" s="38"/>
      <c r="V978" s="37"/>
      <c r="W978" s="37"/>
      <c r="X978" s="37"/>
      <c r="Y978" s="37"/>
      <c r="Z978" s="37"/>
      <c r="AA978" s="37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</row>
    <row r="979" spans="1:52" ht="39.75" hidden="1" customHeight="1" x14ac:dyDescent="0.2">
      <c r="A979" s="45" t="str">
        <f t="shared" si="48"/>
        <v/>
      </c>
      <c r="B979" s="45"/>
      <c r="C979" s="45"/>
      <c r="D979" s="45"/>
      <c r="E979" s="50"/>
      <c r="F979" s="51"/>
      <c r="G979" s="52"/>
      <c r="H979" s="52"/>
      <c r="I979" s="52" t="str">
        <f t="shared" si="49"/>
        <v/>
      </c>
      <c r="J979" s="54"/>
      <c r="K979" s="55" t="str">
        <f t="shared" si="50"/>
        <v/>
      </c>
      <c r="L979" s="54"/>
      <c r="M979" s="54"/>
      <c r="N979" s="54"/>
      <c r="O979" s="54"/>
      <c r="P979" s="54"/>
      <c r="S979" s="38"/>
      <c r="T979" s="38"/>
      <c r="U979" s="38"/>
      <c r="V979" s="37"/>
      <c r="W979" s="37"/>
      <c r="X979" s="37"/>
      <c r="Y979" s="37"/>
      <c r="Z979" s="37"/>
      <c r="AA979" s="37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</row>
    <row r="980" spans="1:52" ht="39.75" hidden="1" customHeight="1" x14ac:dyDescent="0.2">
      <c r="A980" s="45" t="str">
        <f t="shared" si="48"/>
        <v/>
      </c>
      <c r="B980" s="45"/>
      <c r="C980" s="45"/>
      <c r="D980" s="45"/>
      <c r="E980" s="50"/>
      <c r="F980" s="51"/>
      <c r="G980" s="52"/>
      <c r="H980" s="52"/>
      <c r="I980" s="52" t="str">
        <f t="shared" si="49"/>
        <v/>
      </c>
      <c r="J980" s="54"/>
      <c r="K980" s="55" t="str">
        <f t="shared" si="50"/>
        <v/>
      </c>
      <c r="L980" s="54"/>
      <c r="M980" s="54"/>
      <c r="N980" s="54"/>
      <c r="O980" s="54"/>
      <c r="P980" s="54"/>
      <c r="S980" s="38"/>
      <c r="T980" s="38"/>
      <c r="U980" s="38"/>
      <c r="V980" s="37"/>
      <c r="W980" s="37"/>
      <c r="X980" s="37"/>
      <c r="Y980" s="37"/>
      <c r="Z980" s="37"/>
      <c r="AA980" s="37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</row>
    <row r="981" spans="1:52" ht="39.75" hidden="1" customHeight="1" x14ac:dyDescent="0.2">
      <c r="A981" s="45" t="str">
        <f t="shared" si="48"/>
        <v/>
      </c>
      <c r="B981" s="45"/>
      <c r="C981" s="45"/>
      <c r="D981" s="45"/>
      <c r="E981" s="50"/>
      <c r="F981" s="51"/>
      <c r="G981" s="52"/>
      <c r="H981" s="52"/>
      <c r="I981" s="52" t="str">
        <f t="shared" si="49"/>
        <v/>
      </c>
      <c r="J981" s="54"/>
      <c r="K981" s="55" t="str">
        <f t="shared" si="50"/>
        <v/>
      </c>
      <c r="L981" s="54"/>
      <c r="M981" s="54"/>
      <c r="N981" s="54"/>
      <c r="O981" s="54"/>
      <c r="P981" s="54"/>
      <c r="S981" s="38"/>
      <c r="T981" s="38"/>
      <c r="U981" s="38"/>
      <c r="V981" s="37"/>
      <c r="W981" s="37"/>
      <c r="X981" s="37"/>
      <c r="Y981" s="37"/>
      <c r="Z981" s="37"/>
      <c r="AA981" s="37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</row>
    <row r="982" spans="1:52" ht="39.75" hidden="1" customHeight="1" x14ac:dyDescent="0.2">
      <c r="A982" s="45" t="str">
        <f t="shared" si="48"/>
        <v/>
      </c>
      <c r="B982" s="45"/>
      <c r="C982" s="45"/>
      <c r="D982" s="45"/>
      <c r="E982" s="50"/>
      <c r="F982" s="51"/>
      <c r="G982" s="52"/>
      <c r="H982" s="52"/>
      <c r="I982" s="52" t="str">
        <f t="shared" si="49"/>
        <v/>
      </c>
      <c r="J982" s="54"/>
      <c r="K982" s="55" t="str">
        <f t="shared" si="50"/>
        <v/>
      </c>
      <c r="L982" s="54"/>
      <c r="M982" s="54"/>
      <c r="N982" s="54"/>
      <c r="O982" s="54"/>
      <c r="P982" s="54"/>
      <c r="S982" s="38"/>
      <c r="T982" s="38"/>
      <c r="U982" s="38"/>
      <c r="V982" s="37"/>
      <c r="W982" s="37"/>
      <c r="X982" s="37"/>
      <c r="Y982" s="37"/>
      <c r="Z982" s="37"/>
      <c r="AA982" s="37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</row>
    <row r="983" spans="1:52" ht="39.75" hidden="1" customHeight="1" x14ac:dyDescent="0.2">
      <c r="A983" s="45" t="str">
        <f t="shared" si="48"/>
        <v/>
      </c>
      <c r="B983" s="45"/>
      <c r="C983" s="45"/>
      <c r="D983" s="45"/>
      <c r="E983" s="50"/>
      <c r="F983" s="51"/>
      <c r="G983" s="52"/>
      <c r="H983" s="52"/>
      <c r="I983" s="52" t="str">
        <f t="shared" si="49"/>
        <v/>
      </c>
      <c r="J983" s="54"/>
      <c r="K983" s="55" t="str">
        <f t="shared" si="50"/>
        <v/>
      </c>
      <c r="L983" s="54"/>
      <c r="M983" s="54"/>
      <c r="N983" s="54"/>
      <c r="O983" s="54"/>
      <c r="P983" s="54"/>
      <c r="S983" s="38"/>
      <c r="T983" s="38"/>
      <c r="U983" s="38"/>
      <c r="V983" s="37"/>
      <c r="W983" s="37"/>
      <c r="X983" s="37"/>
      <c r="Y983" s="37"/>
      <c r="Z983" s="37"/>
      <c r="AA983" s="37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</row>
    <row r="984" spans="1:52" ht="39.75" hidden="1" customHeight="1" x14ac:dyDescent="0.2">
      <c r="A984" s="45" t="str">
        <f t="shared" si="48"/>
        <v/>
      </c>
      <c r="B984" s="45"/>
      <c r="C984" s="45"/>
      <c r="D984" s="45"/>
      <c r="E984" s="50"/>
      <c r="F984" s="51"/>
      <c r="G984" s="52"/>
      <c r="H984" s="52"/>
      <c r="I984" s="52" t="str">
        <f t="shared" si="49"/>
        <v/>
      </c>
      <c r="J984" s="54"/>
      <c r="K984" s="55" t="str">
        <f t="shared" si="50"/>
        <v/>
      </c>
      <c r="L984" s="54"/>
      <c r="M984" s="54"/>
      <c r="N984" s="54"/>
      <c r="O984" s="54"/>
      <c r="P984" s="54"/>
      <c r="S984" s="38"/>
      <c r="T984" s="38"/>
      <c r="U984" s="38"/>
      <c r="V984" s="37"/>
      <c r="W984" s="37"/>
      <c r="X984" s="37"/>
      <c r="Y984" s="37"/>
      <c r="Z984" s="37"/>
      <c r="AA984" s="37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</row>
    <row r="985" spans="1:52" ht="39.75" hidden="1" customHeight="1" x14ac:dyDescent="0.2">
      <c r="A985" s="45" t="str">
        <f t="shared" si="48"/>
        <v/>
      </c>
      <c r="B985" s="45"/>
      <c r="C985" s="45"/>
      <c r="D985" s="45"/>
      <c r="E985" s="50"/>
      <c r="F985" s="51"/>
      <c r="G985" s="52"/>
      <c r="H985" s="52"/>
      <c r="I985" s="52" t="str">
        <f t="shared" si="49"/>
        <v/>
      </c>
      <c r="J985" s="54"/>
      <c r="K985" s="55" t="str">
        <f t="shared" si="50"/>
        <v/>
      </c>
      <c r="L985" s="54"/>
      <c r="M985" s="54"/>
      <c r="N985" s="54"/>
      <c r="O985" s="54"/>
      <c r="P985" s="54"/>
      <c r="S985" s="38"/>
      <c r="T985" s="38"/>
      <c r="U985" s="38"/>
      <c r="V985" s="37"/>
      <c r="W985" s="37"/>
      <c r="X985" s="37"/>
      <c r="Y985" s="37"/>
      <c r="Z985" s="37"/>
      <c r="AA985" s="37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</row>
    <row r="986" spans="1:52" ht="39.75" hidden="1" customHeight="1" x14ac:dyDescent="0.2">
      <c r="A986" s="45" t="str">
        <f t="shared" si="48"/>
        <v/>
      </c>
      <c r="B986" s="45"/>
      <c r="C986" s="45"/>
      <c r="D986" s="45"/>
      <c r="E986" s="50"/>
      <c r="F986" s="51"/>
      <c r="G986" s="52"/>
      <c r="H986" s="52"/>
      <c r="I986" s="52" t="str">
        <f t="shared" si="49"/>
        <v/>
      </c>
      <c r="J986" s="54"/>
      <c r="K986" s="55" t="str">
        <f t="shared" si="50"/>
        <v/>
      </c>
      <c r="L986" s="54"/>
      <c r="M986" s="54"/>
      <c r="N986" s="54"/>
      <c r="O986" s="54"/>
      <c r="P986" s="54"/>
      <c r="S986" s="38"/>
      <c r="T986" s="38"/>
      <c r="U986" s="38"/>
      <c r="V986" s="37"/>
      <c r="W986" s="37"/>
      <c r="X986" s="37"/>
      <c r="Y986" s="37"/>
      <c r="Z986" s="37"/>
      <c r="AA986" s="37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</row>
    <row r="987" spans="1:52" ht="39.75" hidden="1" customHeight="1" x14ac:dyDescent="0.2">
      <c r="A987" s="45" t="str">
        <f t="shared" si="48"/>
        <v/>
      </c>
      <c r="B987" s="45"/>
      <c r="C987" s="45"/>
      <c r="D987" s="45"/>
      <c r="E987" s="50"/>
      <c r="F987" s="51"/>
      <c r="G987" s="52"/>
      <c r="H987" s="52"/>
      <c r="I987" s="52" t="str">
        <f t="shared" si="49"/>
        <v/>
      </c>
      <c r="J987" s="54"/>
      <c r="K987" s="55" t="str">
        <f t="shared" si="50"/>
        <v/>
      </c>
      <c r="L987" s="54"/>
      <c r="M987" s="54"/>
      <c r="N987" s="54"/>
      <c r="O987" s="54"/>
      <c r="P987" s="54"/>
      <c r="S987" s="38"/>
      <c r="T987" s="38"/>
      <c r="U987" s="38"/>
      <c r="V987" s="37"/>
      <c r="W987" s="37"/>
      <c r="X987" s="37"/>
      <c r="Y987" s="37"/>
      <c r="Z987" s="37"/>
      <c r="AA987" s="37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</row>
    <row r="988" spans="1:52" ht="39.75" hidden="1" customHeight="1" x14ac:dyDescent="0.2">
      <c r="A988" s="45" t="str">
        <f t="shared" si="48"/>
        <v/>
      </c>
      <c r="B988" s="45"/>
      <c r="C988" s="45"/>
      <c r="D988" s="45"/>
      <c r="E988" s="50"/>
      <c r="F988" s="51"/>
      <c r="G988" s="52"/>
      <c r="H988" s="52"/>
      <c r="I988" s="52" t="str">
        <f t="shared" si="49"/>
        <v/>
      </c>
      <c r="J988" s="54"/>
      <c r="K988" s="55" t="str">
        <f t="shared" si="50"/>
        <v/>
      </c>
      <c r="L988" s="54"/>
      <c r="M988" s="54"/>
      <c r="N988" s="54"/>
      <c r="O988" s="54"/>
      <c r="P988" s="54"/>
      <c r="S988" s="38"/>
      <c r="T988" s="38"/>
      <c r="U988" s="38"/>
      <c r="V988" s="37"/>
      <c r="W988" s="37"/>
      <c r="X988" s="37"/>
      <c r="Y988" s="37"/>
      <c r="Z988" s="37"/>
      <c r="AA988" s="37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</row>
    <row r="989" spans="1:52" ht="39.75" hidden="1" customHeight="1" x14ac:dyDescent="0.2">
      <c r="A989" s="45" t="str">
        <f t="shared" si="48"/>
        <v/>
      </c>
      <c r="B989" s="45"/>
      <c r="C989" s="45"/>
      <c r="D989" s="45"/>
      <c r="E989" s="50"/>
      <c r="F989" s="51"/>
      <c r="G989" s="52"/>
      <c r="H989" s="52"/>
      <c r="I989" s="52" t="str">
        <f t="shared" si="49"/>
        <v/>
      </c>
      <c r="J989" s="54"/>
      <c r="K989" s="55" t="str">
        <f t="shared" si="50"/>
        <v/>
      </c>
      <c r="L989" s="54"/>
      <c r="M989" s="54"/>
      <c r="N989" s="54"/>
      <c r="O989" s="54"/>
      <c r="P989" s="54"/>
      <c r="S989" s="38"/>
      <c r="T989" s="38"/>
      <c r="U989" s="38"/>
      <c r="V989" s="37"/>
      <c r="W989" s="37"/>
      <c r="X989" s="37"/>
      <c r="Y989" s="37"/>
      <c r="Z989" s="37"/>
      <c r="AA989" s="37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</row>
    <row r="990" spans="1:52" ht="39.75" hidden="1" customHeight="1" x14ac:dyDescent="0.2">
      <c r="A990" s="45" t="str">
        <f t="shared" si="48"/>
        <v/>
      </c>
      <c r="B990" s="45"/>
      <c r="C990" s="45"/>
      <c r="D990" s="45"/>
      <c r="E990" s="50"/>
      <c r="F990" s="51"/>
      <c r="G990" s="52"/>
      <c r="H990" s="52"/>
      <c r="I990" s="52" t="str">
        <f t="shared" si="49"/>
        <v/>
      </c>
      <c r="J990" s="54"/>
      <c r="K990" s="55" t="str">
        <f t="shared" si="50"/>
        <v/>
      </c>
      <c r="L990" s="54"/>
      <c r="M990" s="54"/>
      <c r="N990" s="54"/>
      <c r="O990" s="54"/>
      <c r="P990" s="54"/>
      <c r="S990" s="38"/>
      <c r="T990" s="38"/>
      <c r="U990" s="38"/>
      <c r="V990" s="37"/>
      <c r="W990" s="37"/>
      <c r="X990" s="37"/>
      <c r="Y990" s="37"/>
      <c r="Z990" s="37"/>
      <c r="AA990" s="37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</row>
    <row r="991" spans="1:52" ht="39.75" hidden="1" customHeight="1" x14ac:dyDescent="0.2">
      <c r="A991" s="45" t="str">
        <f t="shared" si="48"/>
        <v/>
      </c>
      <c r="B991" s="45"/>
      <c r="C991" s="45"/>
      <c r="D991" s="45"/>
      <c r="E991" s="50"/>
      <c r="F991" s="51"/>
      <c r="G991" s="52"/>
      <c r="H991" s="52"/>
      <c r="I991" s="52" t="str">
        <f t="shared" si="49"/>
        <v/>
      </c>
      <c r="J991" s="54"/>
      <c r="K991" s="55" t="str">
        <f t="shared" si="50"/>
        <v/>
      </c>
      <c r="L991" s="54"/>
      <c r="M991" s="54"/>
      <c r="N991" s="54"/>
      <c r="O991" s="54"/>
      <c r="P991" s="54"/>
      <c r="S991" s="38"/>
      <c r="T991" s="38"/>
      <c r="U991" s="38"/>
      <c r="V991" s="37"/>
      <c r="W991" s="37"/>
      <c r="X991" s="37"/>
      <c r="Y991" s="37"/>
      <c r="Z991" s="37"/>
      <c r="AA991" s="37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</row>
    <row r="992" spans="1:52" ht="39.75" hidden="1" customHeight="1" x14ac:dyDescent="0.2">
      <c r="A992" s="45" t="str">
        <f t="shared" si="48"/>
        <v/>
      </c>
      <c r="B992" s="45"/>
      <c r="C992" s="45"/>
      <c r="D992" s="45"/>
      <c r="E992" s="50"/>
      <c r="F992" s="51"/>
      <c r="G992" s="52"/>
      <c r="H992" s="52"/>
      <c r="I992" s="52" t="str">
        <f t="shared" si="49"/>
        <v/>
      </c>
      <c r="J992" s="54"/>
      <c r="K992" s="55" t="str">
        <f t="shared" si="50"/>
        <v/>
      </c>
      <c r="L992" s="54"/>
      <c r="M992" s="54"/>
      <c r="N992" s="54"/>
      <c r="O992" s="54"/>
      <c r="P992" s="54"/>
      <c r="S992" s="38"/>
      <c r="T992" s="38"/>
      <c r="U992" s="38"/>
      <c r="V992" s="37"/>
      <c r="W992" s="37"/>
      <c r="X992" s="37"/>
      <c r="Y992" s="37"/>
      <c r="Z992" s="37"/>
      <c r="AA992" s="37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</row>
    <row r="993" spans="1:52" ht="39.75" hidden="1" customHeight="1" x14ac:dyDescent="0.2">
      <c r="A993" s="45" t="str">
        <f t="shared" si="48"/>
        <v/>
      </c>
      <c r="B993" s="45"/>
      <c r="C993" s="45"/>
      <c r="D993" s="45"/>
      <c r="E993" s="50"/>
      <c r="F993" s="51"/>
      <c r="G993" s="52"/>
      <c r="H993" s="52"/>
      <c r="I993" s="52" t="str">
        <f t="shared" si="49"/>
        <v/>
      </c>
      <c r="J993" s="54"/>
      <c r="K993" s="55" t="str">
        <f t="shared" si="50"/>
        <v/>
      </c>
      <c r="L993" s="54"/>
      <c r="M993" s="54"/>
      <c r="N993" s="54"/>
      <c r="O993" s="54"/>
      <c r="P993" s="54"/>
      <c r="S993" s="38"/>
      <c r="T993" s="38"/>
      <c r="U993" s="38"/>
      <c r="V993" s="37"/>
      <c r="W993" s="37"/>
      <c r="X993" s="37"/>
      <c r="Y993" s="37"/>
      <c r="Z993" s="37"/>
      <c r="AA993" s="37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</row>
    <row r="994" spans="1:52" ht="39.75" hidden="1" customHeight="1" x14ac:dyDescent="0.2">
      <c r="A994" s="45" t="str">
        <f t="shared" si="48"/>
        <v/>
      </c>
      <c r="B994" s="45"/>
      <c r="C994" s="45"/>
      <c r="D994" s="45"/>
      <c r="E994" s="50"/>
      <c r="F994" s="51"/>
      <c r="G994" s="52"/>
      <c r="H994" s="52"/>
      <c r="I994" s="52" t="str">
        <f t="shared" si="49"/>
        <v/>
      </c>
      <c r="J994" s="54"/>
      <c r="K994" s="55" t="str">
        <f t="shared" si="50"/>
        <v/>
      </c>
      <c r="L994" s="54"/>
      <c r="M994" s="54"/>
      <c r="N994" s="54"/>
      <c r="O994" s="54"/>
      <c r="P994" s="54"/>
      <c r="S994" s="38"/>
      <c r="T994" s="38"/>
      <c r="U994" s="38"/>
      <c r="V994" s="37"/>
      <c r="W994" s="37"/>
      <c r="X994" s="37"/>
      <c r="Y994" s="37"/>
      <c r="Z994" s="37"/>
      <c r="AA994" s="37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</row>
    <row r="995" spans="1:52" ht="39.75" hidden="1" customHeight="1" x14ac:dyDescent="0.2">
      <c r="A995" s="45" t="str">
        <f t="shared" si="48"/>
        <v/>
      </c>
      <c r="B995" s="45"/>
      <c r="C995" s="45"/>
      <c r="D995" s="45"/>
      <c r="E995" s="50"/>
      <c r="F995" s="51"/>
      <c r="G995" s="52"/>
      <c r="H995" s="52"/>
      <c r="I995" s="52" t="str">
        <f t="shared" si="49"/>
        <v/>
      </c>
      <c r="J995" s="54"/>
      <c r="K995" s="55" t="str">
        <f t="shared" si="50"/>
        <v/>
      </c>
      <c r="L995" s="54"/>
      <c r="M995" s="54"/>
      <c r="N995" s="54"/>
      <c r="O995" s="54"/>
      <c r="P995" s="54"/>
      <c r="S995" s="38"/>
      <c r="T995" s="38"/>
      <c r="U995" s="38"/>
      <c r="V995" s="37"/>
      <c r="W995" s="37"/>
      <c r="X995" s="37"/>
      <c r="Y995" s="37"/>
      <c r="Z995" s="37"/>
      <c r="AA995" s="37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</row>
    <row r="996" spans="1:52" ht="39.75" hidden="1" customHeight="1" x14ac:dyDescent="0.2">
      <c r="A996" s="45" t="str">
        <f t="shared" si="48"/>
        <v/>
      </c>
      <c r="B996" s="45"/>
      <c r="C996" s="45"/>
      <c r="D996" s="45"/>
      <c r="E996" s="50"/>
      <c r="F996" s="51"/>
      <c r="G996" s="52"/>
      <c r="H996" s="52"/>
      <c r="I996" s="52" t="str">
        <f t="shared" si="49"/>
        <v/>
      </c>
      <c r="J996" s="54"/>
      <c r="K996" s="55" t="str">
        <f t="shared" si="50"/>
        <v/>
      </c>
      <c r="L996" s="54"/>
      <c r="M996" s="54"/>
      <c r="N996" s="54"/>
      <c r="O996" s="54"/>
      <c r="P996" s="54"/>
      <c r="S996" s="38"/>
      <c r="T996" s="38"/>
      <c r="U996" s="38"/>
      <c r="V996" s="37"/>
      <c r="W996" s="37"/>
      <c r="X996" s="37"/>
      <c r="Y996" s="37"/>
      <c r="Z996" s="37"/>
      <c r="AA996" s="37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</row>
    <row r="997" spans="1:52" ht="39.75" hidden="1" customHeight="1" x14ac:dyDescent="0.2">
      <c r="A997" s="45" t="str">
        <f t="shared" si="48"/>
        <v/>
      </c>
      <c r="B997" s="45"/>
      <c r="C997" s="45"/>
      <c r="D997" s="45"/>
      <c r="E997" s="50"/>
      <c r="F997" s="51"/>
      <c r="G997" s="52"/>
      <c r="H997" s="52"/>
      <c r="I997" s="52" t="str">
        <f t="shared" si="49"/>
        <v/>
      </c>
      <c r="J997" s="54"/>
      <c r="K997" s="55" t="str">
        <f t="shared" si="50"/>
        <v/>
      </c>
      <c r="L997" s="54"/>
      <c r="M997" s="54"/>
      <c r="N997" s="54"/>
      <c r="O997" s="54"/>
      <c r="P997" s="54"/>
      <c r="S997" s="38"/>
      <c r="T997" s="38"/>
      <c r="U997" s="38"/>
      <c r="V997" s="37"/>
      <c r="W997" s="37"/>
      <c r="X997" s="37"/>
      <c r="Y997" s="37"/>
      <c r="Z997" s="37"/>
      <c r="AA997" s="37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</row>
    <row r="998" spans="1:52" ht="39.75" hidden="1" customHeight="1" x14ac:dyDescent="0.2">
      <c r="A998" s="45" t="str">
        <f t="shared" si="48"/>
        <v/>
      </c>
      <c r="B998" s="45"/>
      <c r="C998" s="45"/>
      <c r="D998" s="45"/>
      <c r="E998" s="50"/>
      <c r="F998" s="51"/>
      <c r="G998" s="52"/>
      <c r="H998" s="52"/>
      <c r="I998" s="52" t="str">
        <f t="shared" si="49"/>
        <v/>
      </c>
      <c r="J998" s="54"/>
      <c r="K998" s="55" t="str">
        <f t="shared" si="50"/>
        <v/>
      </c>
      <c r="L998" s="54"/>
      <c r="M998" s="54"/>
      <c r="N998" s="54"/>
      <c r="O998" s="54"/>
      <c r="P998" s="54"/>
      <c r="S998" s="38"/>
      <c r="T998" s="38"/>
      <c r="U998" s="38"/>
      <c r="V998" s="37"/>
      <c r="W998" s="37"/>
      <c r="X998" s="37"/>
      <c r="Y998" s="37"/>
      <c r="Z998" s="37"/>
      <c r="AA998" s="37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</row>
    <row r="999" spans="1:52" ht="39.75" hidden="1" customHeight="1" x14ac:dyDescent="0.2">
      <c r="A999" s="45" t="str">
        <f t="shared" si="48"/>
        <v/>
      </c>
      <c r="B999" s="45"/>
      <c r="C999" s="45"/>
      <c r="D999" s="45"/>
      <c r="E999" s="50"/>
      <c r="F999" s="51"/>
      <c r="G999" s="52"/>
      <c r="H999" s="52"/>
      <c r="I999" s="52" t="str">
        <f t="shared" si="49"/>
        <v/>
      </c>
      <c r="J999" s="54"/>
      <c r="K999" s="55" t="str">
        <f t="shared" si="50"/>
        <v/>
      </c>
      <c r="L999" s="54"/>
      <c r="M999" s="54"/>
      <c r="N999" s="54"/>
      <c r="O999" s="54"/>
      <c r="P999" s="54"/>
      <c r="S999" s="38"/>
      <c r="T999" s="38"/>
      <c r="U999" s="38"/>
      <c r="V999" s="37"/>
      <c r="W999" s="37"/>
      <c r="X999" s="37"/>
      <c r="Y999" s="37"/>
      <c r="Z999" s="37"/>
      <c r="AA999" s="37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</row>
    <row r="1000" spans="1:52" ht="39.75" hidden="1" customHeight="1" x14ac:dyDescent="0.2">
      <c r="A1000" s="45" t="str">
        <f t="shared" si="48"/>
        <v/>
      </c>
      <c r="B1000" s="45"/>
      <c r="C1000" s="45"/>
      <c r="D1000" s="45"/>
      <c r="E1000" s="50"/>
      <c r="F1000" s="51"/>
      <c r="G1000" s="52"/>
      <c r="H1000" s="52"/>
      <c r="I1000" s="52" t="str">
        <f t="shared" si="49"/>
        <v/>
      </c>
      <c r="J1000" s="54"/>
      <c r="K1000" s="55" t="str">
        <f t="shared" si="50"/>
        <v/>
      </c>
      <c r="L1000" s="54"/>
      <c r="M1000" s="54"/>
      <c r="N1000" s="54"/>
      <c r="O1000" s="54"/>
      <c r="P1000" s="54"/>
      <c r="S1000" s="38"/>
      <c r="T1000" s="38"/>
      <c r="U1000" s="38"/>
      <c r="V1000" s="37"/>
      <c r="W1000" s="37"/>
      <c r="X1000" s="37"/>
      <c r="Y1000" s="37"/>
      <c r="Z1000" s="37"/>
      <c r="AA1000" s="37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</row>
    <row r="1001" spans="1:52" ht="39.75" hidden="1" customHeight="1" x14ac:dyDescent="0.2">
      <c r="A1001" s="45" t="str">
        <f t="shared" si="48"/>
        <v/>
      </c>
      <c r="B1001" s="45"/>
      <c r="C1001" s="45"/>
      <c r="D1001" s="45"/>
      <c r="E1001" s="50"/>
      <c r="F1001" s="51"/>
      <c r="G1001" s="52"/>
      <c r="H1001" s="52"/>
      <c r="I1001" s="52" t="str">
        <f t="shared" si="49"/>
        <v/>
      </c>
      <c r="J1001" s="54"/>
      <c r="K1001" s="55" t="str">
        <f t="shared" si="50"/>
        <v/>
      </c>
      <c r="L1001" s="54"/>
      <c r="M1001" s="54"/>
      <c r="N1001" s="54"/>
      <c r="O1001" s="54"/>
      <c r="P1001" s="54"/>
      <c r="S1001" s="38"/>
      <c r="T1001" s="38"/>
      <c r="U1001" s="38"/>
      <c r="V1001" s="37"/>
      <c r="W1001" s="37"/>
      <c r="X1001" s="37"/>
      <c r="Y1001" s="37"/>
      <c r="Z1001" s="37"/>
      <c r="AA1001" s="37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</row>
    <row r="1002" spans="1:52" ht="39.75" hidden="1" customHeight="1" x14ac:dyDescent="0.2">
      <c r="A1002" s="45" t="str">
        <f t="shared" si="48"/>
        <v/>
      </c>
      <c r="B1002" s="45"/>
      <c r="C1002" s="45"/>
      <c r="D1002" s="45"/>
      <c r="E1002" s="50"/>
      <c r="F1002" s="51"/>
      <c r="G1002" s="52"/>
      <c r="H1002" s="52"/>
      <c r="I1002" s="52" t="str">
        <f t="shared" si="49"/>
        <v/>
      </c>
      <c r="J1002" s="54"/>
      <c r="K1002" s="55" t="str">
        <f t="shared" si="50"/>
        <v/>
      </c>
      <c r="L1002" s="54"/>
      <c r="M1002" s="54"/>
      <c r="N1002" s="54"/>
      <c r="O1002" s="54"/>
      <c r="P1002" s="54"/>
      <c r="S1002" s="38"/>
      <c r="T1002" s="38"/>
      <c r="U1002" s="38"/>
      <c r="V1002" s="37"/>
      <c r="W1002" s="37"/>
      <c r="X1002" s="37"/>
      <c r="Y1002" s="37"/>
      <c r="Z1002" s="37"/>
      <c r="AA1002" s="37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  <c r="AL1002" s="38"/>
      <c r="AM1002" s="38"/>
      <c r="AN1002" s="38"/>
      <c r="AO1002" s="38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</row>
    <row r="1003" spans="1:52" ht="39.75" hidden="1" customHeight="1" x14ac:dyDescent="0.2">
      <c r="A1003" s="45" t="str">
        <f t="shared" si="48"/>
        <v/>
      </c>
      <c r="B1003" s="45"/>
      <c r="C1003" s="45"/>
      <c r="D1003" s="45"/>
      <c r="E1003" s="50"/>
      <c r="F1003" s="51"/>
      <c r="G1003" s="52"/>
      <c r="H1003" s="52"/>
      <c r="I1003" s="52" t="str">
        <f t="shared" si="49"/>
        <v/>
      </c>
      <c r="J1003" s="54"/>
      <c r="K1003" s="55" t="str">
        <f t="shared" si="50"/>
        <v/>
      </c>
      <c r="L1003" s="54"/>
      <c r="M1003" s="54"/>
      <c r="N1003" s="54"/>
      <c r="O1003" s="54"/>
      <c r="P1003" s="54"/>
      <c r="S1003" s="38"/>
      <c r="T1003" s="38"/>
      <c r="U1003" s="38"/>
      <c r="V1003" s="37"/>
      <c r="W1003" s="37"/>
      <c r="X1003" s="37"/>
      <c r="Y1003" s="37"/>
      <c r="Z1003" s="37"/>
      <c r="AA1003" s="37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</row>
    <row r="1004" spans="1:52" ht="39.75" hidden="1" customHeight="1" x14ac:dyDescent="0.2">
      <c r="A1004" s="45" t="str">
        <f t="shared" si="48"/>
        <v/>
      </c>
      <c r="B1004" s="45"/>
      <c r="C1004" s="45"/>
      <c r="D1004" s="45"/>
      <c r="E1004" s="50"/>
      <c r="F1004" s="51"/>
      <c r="G1004" s="52"/>
      <c r="H1004" s="52"/>
      <c r="I1004" s="52" t="str">
        <f t="shared" si="49"/>
        <v/>
      </c>
      <c r="J1004" s="54"/>
      <c r="K1004" s="55" t="str">
        <f t="shared" si="50"/>
        <v/>
      </c>
      <c r="L1004" s="54"/>
      <c r="M1004" s="54"/>
      <c r="N1004" s="54"/>
      <c r="O1004" s="54"/>
      <c r="P1004" s="54"/>
      <c r="S1004" s="38"/>
      <c r="T1004" s="38"/>
      <c r="U1004" s="38"/>
      <c r="V1004" s="37"/>
      <c r="W1004" s="37"/>
      <c r="X1004" s="37"/>
      <c r="Y1004" s="37"/>
      <c r="Z1004" s="37"/>
      <c r="AA1004" s="37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</row>
    <row r="1005" spans="1:52" ht="39.75" hidden="1" customHeight="1" x14ac:dyDescent="0.2">
      <c r="A1005" s="45" t="str">
        <f t="shared" si="48"/>
        <v/>
      </c>
      <c r="B1005" s="45"/>
      <c r="C1005" s="45"/>
      <c r="D1005" s="45"/>
      <c r="E1005" s="50"/>
      <c r="F1005" s="51"/>
      <c r="G1005" s="52"/>
      <c r="H1005" s="52"/>
      <c r="I1005" s="52" t="str">
        <f t="shared" si="49"/>
        <v/>
      </c>
      <c r="J1005" s="54"/>
      <c r="K1005" s="55" t="str">
        <f t="shared" si="50"/>
        <v/>
      </c>
      <c r="L1005" s="54"/>
      <c r="M1005" s="54"/>
      <c r="N1005" s="54"/>
      <c r="O1005" s="54"/>
      <c r="P1005" s="54"/>
      <c r="S1005" s="38"/>
      <c r="T1005" s="38"/>
      <c r="U1005" s="38"/>
      <c r="V1005" s="37"/>
      <c r="W1005" s="37"/>
      <c r="X1005" s="37"/>
      <c r="Y1005" s="37"/>
      <c r="Z1005" s="37"/>
      <c r="AA1005" s="37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</row>
    <row r="1006" spans="1:52" ht="39.75" hidden="1" customHeight="1" x14ac:dyDescent="0.2">
      <c r="F1006" s="20"/>
      <c r="S1006" s="38"/>
      <c r="T1006" s="38"/>
      <c r="U1006" s="38"/>
      <c r="V1006" s="37"/>
      <c r="W1006" s="37"/>
      <c r="X1006" s="37"/>
      <c r="Y1006" s="37"/>
      <c r="Z1006" s="37"/>
      <c r="AA1006" s="37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  <c r="AL1006" s="38"/>
      <c r="AM1006" s="38"/>
      <c r="AN1006" s="38"/>
      <c r="AO1006" s="38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</row>
    <row r="1007" spans="1:52" ht="39.75" hidden="1" customHeight="1" x14ac:dyDescent="0.2">
      <c r="F1007" s="20"/>
      <c r="S1007" s="38"/>
      <c r="T1007" s="38"/>
      <c r="U1007" s="38"/>
      <c r="V1007" s="37"/>
      <c r="W1007" s="37"/>
      <c r="X1007" s="37"/>
      <c r="Y1007" s="37"/>
      <c r="Z1007" s="37"/>
      <c r="AA1007" s="37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  <c r="AO1007" s="38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</row>
    <row r="1008" spans="1:52" ht="39.75" hidden="1" customHeight="1" x14ac:dyDescent="0.2">
      <c r="F1008" s="20"/>
      <c r="S1008" s="38"/>
      <c r="T1008" s="38"/>
      <c r="U1008" s="38"/>
      <c r="V1008" s="37"/>
      <c r="W1008" s="37"/>
      <c r="X1008" s="37"/>
      <c r="Y1008" s="37"/>
      <c r="Z1008" s="37"/>
      <c r="AA1008" s="37"/>
      <c r="AB1008" s="38"/>
      <c r="AC1008" s="38"/>
      <c r="AD1008" s="38"/>
      <c r="AE1008" s="38"/>
      <c r="AF1008" s="38"/>
      <c r="AG1008" s="38"/>
      <c r="AH1008" s="38"/>
      <c r="AI1008" s="38"/>
      <c r="AJ1008" s="38"/>
      <c r="AK1008" s="38"/>
      <c r="AL1008" s="38"/>
      <c r="AM1008" s="38"/>
      <c r="AN1008" s="38"/>
      <c r="AO1008" s="38"/>
      <c r="AP1008" s="38"/>
      <c r="AQ1008" s="38"/>
      <c r="AR1008" s="38"/>
      <c r="AS1008" s="38"/>
      <c r="AT1008" s="38"/>
      <c r="AU1008" s="38"/>
      <c r="AV1008" s="38"/>
      <c r="AW1008" s="38"/>
      <c r="AX1008" s="38"/>
      <c r="AY1008" s="38"/>
      <c r="AZ1008" s="38"/>
    </row>
    <row r="1009" spans="6:52" ht="39.75" hidden="1" customHeight="1" x14ac:dyDescent="0.2">
      <c r="F1009" s="20"/>
      <c r="S1009" s="38"/>
      <c r="T1009" s="38"/>
      <c r="U1009" s="38"/>
      <c r="V1009" s="37"/>
      <c r="W1009" s="37"/>
      <c r="X1009" s="37"/>
      <c r="Y1009" s="37"/>
      <c r="Z1009" s="37"/>
      <c r="AA1009" s="37"/>
      <c r="AB1009" s="38"/>
      <c r="AC1009" s="38"/>
      <c r="AD1009" s="38"/>
      <c r="AE1009" s="38"/>
      <c r="AF1009" s="38"/>
      <c r="AG1009" s="38"/>
      <c r="AH1009" s="38"/>
      <c r="AI1009" s="38"/>
      <c r="AJ1009" s="38"/>
      <c r="AK1009" s="38"/>
      <c r="AL1009" s="38"/>
      <c r="AM1009" s="38"/>
      <c r="AN1009" s="38"/>
      <c r="AO1009" s="38"/>
      <c r="AP1009" s="38"/>
      <c r="AQ1009" s="38"/>
      <c r="AR1009" s="38"/>
      <c r="AS1009" s="38"/>
      <c r="AT1009" s="38"/>
      <c r="AU1009" s="38"/>
      <c r="AV1009" s="38"/>
      <c r="AW1009" s="38"/>
      <c r="AX1009" s="38"/>
      <c r="AY1009" s="38"/>
      <c r="AZ1009" s="38"/>
    </row>
    <row r="1010" spans="6:52" ht="39.75" hidden="1" customHeight="1" x14ac:dyDescent="0.2">
      <c r="F1010" s="20"/>
      <c r="S1010" s="38"/>
      <c r="T1010" s="38"/>
      <c r="U1010" s="38"/>
      <c r="V1010" s="37"/>
      <c r="W1010" s="37"/>
      <c r="X1010" s="37"/>
      <c r="Y1010" s="37"/>
      <c r="Z1010" s="37"/>
      <c r="AA1010" s="37"/>
      <c r="AB1010" s="38"/>
      <c r="AC1010" s="38"/>
      <c r="AD1010" s="38"/>
      <c r="AE1010" s="38"/>
      <c r="AF1010" s="38"/>
      <c r="AG1010" s="38"/>
      <c r="AH1010" s="38"/>
      <c r="AI1010" s="38"/>
      <c r="AJ1010" s="38"/>
      <c r="AK1010" s="38"/>
      <c r="AL1010" s="38"/>
      <c r="AM1010" s="38"/>
      <c r="AN1010" s="38"/>
      <c r="AO1010" s="38"/>
      <c r="AP1010" s="38"/>
      <c r="AQ1010" s="38"/>
      <c r="AR1010" s="38"/>
      <c r="AS1010" s="38"/>
      <c r="AT1010" s="38"/>
      <c r="AU1010" s="38"/>
      <c r="AV1010" s="38"/>
      <c r="AW1010" s="38"/>
      <c r="AX1010" s="38"/>
      <c r="AY1010" s="38"/>
      <c r="AZ1010" s="38"/>
    </row>
    <row r="1011" spans="6:52" ht="39.75" hidden="1" customHeight="1" x14ac:dyDescent="0.2">
      <c r="F1011" s="20"/>
      <c r="S1011" s="38"/>
      <c r="T1011" s="38"/>
      <c r="U1011" s="38"/>
      <c r="V1011" s="37"/>
      <c r="W1011" s="37"/>
      <c r="X1011" s="37"/>
      <c r="Y1011" s="37"/>
      <c r="Z1011" s="37"/>
      <c r="AA1011" s="37"/>
      <c r="AB1011" s="38"/>
      <c r="AC1011" s="38"/>
      <c r="AD1011" s="38"/>
      <c r="AE1011" s="38"/>
      <c r="AF1011" s="38"/>
      <c r="AG1011" s="38"/>
      <c r="AH1011" s="38"/>
      <c r="AI1011" s="38"/>
      <c r="AJ1011" s="38"/>
      <c r="AK1011" s="38"/>
      <c r="AL1011" s="38"/>
      <c r="AM1011" s="38"/>
      <c r="AN1011" s="38"/>
      <c r="AO1011" s="38"/>
      <c r="AP1011" s="38"/>
      <c r="AQ1011" s="38"/>
      <c r="AR1011" s="38"/>
      <c r="AS1011" s="38"/>
      <c r="AT1011" s="38"/>
      <c r="AU1011" s="38"/>
      <c r="AV1011" s="38"/>
      <c r="AW1011" s="38"/>
      <c r="AX1011" s="38"/>
      <c r="AY1011" s="38"/>
      <c r="AZ1011" s="38"/>
    </row>
    <row r="1012" spans="6:52" ht="39.75" hidden="1" customHeight="1" x14ac:dyDescent="0.2">
      <c r="F1012" s="20"/>
      <c r="S1012" s="38"/>
      <c r="T1012" s="38"/>
      <c r="U1012" s="38"/>
      <c r="V1012" s="37"/>
      <c r="W1012" s="37"/>
      <c r="X1012" s="37"/>
      <c r="Y1012" s="37"/>
      <c r="Z1012" s="37"/>
      <c r="AA1012" s="37"/>
      <c r="AB1012" s="38"/>
      <c r="AC1012" s="38"/>
      <c r="AD1012" s="38"/>
      <c r="AE1012" s="38"/>
      <c r="AF1012" s="38"/>
      <c r="AG1012" s="38"/>
      <c r="AH1012" s="38"/>
      <c r="AI1012" s="38"/>
      <c r="AJ1012" s="38"/>
      <c r="AK1012" s="38"/>
      <c r="AL1012" s="38"/>
      <c r="AM1012" s="38"/>
      <c r="AN1012" s="38"/>
      <c r="AO1012" s="38"/>
      <c r="AP1012" s="38"/>
      <c r="AQ1012" s="38"/>
      <c r="AR1012" s="38"/>
      <c r="AS1012" s="38"/>
      <c r="AT1012" s="38"/>
      <c r="AU1012" s="38"/>
      <c r="AV1012" s="38"/>
      <c r="AW1012" s="38"/>
      <c r="AX1012" s="38"/>
      <c r="AY1012" s="38"/>
      <c r="AZ1012" s="38"/>
    </row>
    <row r="1013" spans="6:52" ht="39.75" hidden="1" customHeight="1" x14ac:dyDescent="0.2">
      <c r="F1013" s="20"/>
      <c r="S1013" s="38"/>
      <c r="T1013" s="38"/>
      <c r="U1013" s="38"/>
      <c r="V1013" s="37"/>
      <c r="W1013" s="37"/>
      <c r="X1013" s="37"/>
      <c r="Y1013" s="37"/>
      <c r="Z1013" s="37"/>
      <c r="AA1013" s="37"/>
      <c r="AB1013" s="38"/>
      <c r="AC1013" s="38"/>
      <c r="AD1013" s="38"/>
      <c r="AE1013" s="38"/>
      <c r="AF1013" s="38"/>
      <c r="AG1013" s="38"/>
      <c r="AH1013" s="38"/>
      <c r="AI1013" s="38"/>
      <c r="AJ1013" s="38"/>
      <c r="AK1013" s="38"/>
      <c r="AL1013" s="38"/>
      <c r="AM1013" s="38"/>
      <c r="AN1013" s="38"/>
      <c r="AO1013" s="38"/>
      <c r="AP1013" s="38"/>
      <c r="AQ1013" s="38"/>
      <c r="AR1013" s="38"/>
      <c r="AS1013" s="38"/>
      <c r="AT1013" s="38"/>
      <c r="AU1013" s="38"/>
      <c r="AV1013" s="38"/>
      <c r="AW1013" s="38"/>
      <c r="AX1013" s="38"/>
      <c r="AY1013" s="38"/>
      <c r="AZ1013" s="38"/>
    </row>
    <row r="1014" spans="6:52" ht="39.75" hidden="1" customHeight="1" x14ac:dyDescent="0.2">
      <c r="F1014" s="20"/>
      <c r="S1014" s="38"/>
      <c r="T1014" s="38"/>
      <c r="U1014" s="38"/>
      <c r="V1014" s="37"/>
      <c r="W1014" s="37"/>
      <c r="X1014" s="37"/>
      <c r="Y1014" s="37"/>
      <c r="Z1014" s="37"/>
      <c r="AA1014" s="37"/>
      <c r="AB1014" s="38"/>
      <c r="AC1014" s="38"/>
      <c r="AD1014" s="38"/>
      <c r="AE1014" s="38"/>
      <c r="AF1014" s="38"/>
      <c r="AG1014" s="38"/>
      <c r="AH1014" s="38"/>
      <c r="AI1014" s="38"/>
      <c r="AJ1014" s="38"/>
      <c r="AK1014" s="38"/>
      <c r="AL1014" s="38"/>
      <c r="AM1014" s="38"/>
      <c r="AN1014" s="38"/>
      <c r="AO1014" s="38"/>
      <c r="AP1014" s="38"/>
      <c r="AQ1014" s="38"/>
      <c r="AR1014" s="38"/>
      <c r="AS1014" s="38"/>
      <c r="AT1014" s="38"/>
      <c r="AU1014" s="38"/>
      <c r="AV1014" s="38"/>
      <c r="AW1014" s="38"/>
      <c r="AX1014" s="38"/>
      <c r="AY1014" s="38"/>
      <c r="AZ1014" s="38"/>
    </row>
    <row r="1015" spans="6:52" ht="39.75" hidden="1" customHeight="1" x14ac:dyDescent="0.2">
      <c r="F1015" s="20"/>
      <c r="S1015" s="38"/>
      <c r="T1015" s="38"/>
      <c r="U1015" s="38"/>
      <c r="V1015" s="37"/>
      <c r="W1015" s="37"/>
      <c r="X1015" s="37"/>
      <c r="Y1015" s="37"/>
      <c r="Z1015" s="37"/>
      <c r="AA1015" s="37"/>
      <c r="AB1015" s="38"/>
      <c r="AC1015" s="38"/>
      <c r="AD1015" s="38"/>
      <c r="AE1015" s="38"/>
      <c r="AF1015" s="38"/>
      <c r="AG1015" s="38"/>
      <c r="AH1015" s="38"/>
      <c r="AI1015" s="38"/>
      <c r="AJ1015" s="38"/>
      <c r="AK1015" s="38"/>
      <c r="AL1015" s="38"/>
      <c r="AM1015" s="38"/>
      <c r="AN1015" s="38"/>
      <c r="AO1015" s="38"/>
      <c r="AP1015" s="38"/>
      <c r="AQ1015" s="38"/>
      <c r="AR1015" s="38"/>
      <c r="AS1015" s="38"/>
      <c r="AT1015" s="38"/>
      <c r="AU1015" s="38"/>
      <c r="AV1015" s="38"/>
      <c r="AW1015" s="38"/>
      <c r="AX1015" s="38"/>
      <c r="AY1015" s="38"/>
      <c r="AZ1015" s="38"/>
    </row>
    <row r="1016" spans="6:52" ht="39.75" hidden="1" customHeight="1" x14ac:dyDescent="0.2">
      <c r="F1016" s="20"/>
      <c r="S1016" s="38"/>
      <c r="T1016" s="38"/>
      <c r="U1016" s="38"/>
      <c r="V1016" s="37"/>
      <c r="W1016" s="37"/>
      <c r="X1016" s="37"/>
      <c r="Y1016" s="37"/>
      <c r="Z1016" s="37"/>
      <c r="AA1016" s="37"/>
      <c r="AB1016" s="38"/>
      <c r="AC1016" s="38"/>
      <c r="AD1016" s="38"/>
      <c r="AE1016" s="38"/>
      <c r="AF1016" s="38"/>
      <c r="AG1016" s="38"/>
      <c r="AH1016" s="38"/>
      <c r="AI1016" s="38"/>
      <c r="AJ1016" s="38"/>
      <c r="AK1016" s="38"/>
      <c r="AL1016" s="38"/>
      <c r="AM1016" s="38"/>
      <c r="AN1016" s="38"/>
      <c r="AO1016" s="38"/>
      <c r="AP1016" s="38"/>
      <c r="AQ1016" s="38"/>
      <c r="AR1016" s="38"/>
      <c r="AS1016" s="38"/>
      <c r="AT1016" s="38"/>
      <c r="AU1016" s="38"/>
      <c r="AV1016" s="38"/>
      <c r="AW1016" s="38"/>
      <c r="AX1016" s="38"/>
      <c r="AY1016" s="38"/>
      <c r="AZ1016" s="38"/>
    </row>
    <row r="1017" spans="6:52" ht="39.75" hidden="1" customHeight="1" x14ac:dyDescent="0.2">
      <c r="F1017" s="20"/>
      <c r="S1017" s="38"/>
      <c r="T1017" s="38"/>
      <c r="U1017" s="38"/>
      <c r="V1017" s="37"/>
      <c r="W1017" s="37"/>
      <c r="X1017" s="37"/>
      <c r="Y1017" s="37"/>
      <c r="Z1017" s="37"/>
      <c r="AA1017" s="37"/>
      <c r="AB1017" s="38"/>
      <c r="AC1017" s="38"/>
      <c r="AD1017" s="38"/>
      <c r="AE1017" s="38"/>
      <c r="AF1017" s="38"/>
      <c r="AG1017" s="38"/>
      <c r="AH1017" s="38"/>
      <c r="AI1017" s="38"/>
      <c r="AJ1017" s="38"/>
      <c r="AK1017" s="38"/>
      <c r="AL1017" s="38"/>
      <c r="AM1017" s="38"/>
      <c r="AN1017" s="38"/>
      <c r="AO1017" s="38"/>
      <c r="AP1017" s="38"/>
      <c r="AQ1017" s="38"/>
      <c r="AR1017" s="38"/>
      <c r="AS1017" s="38"/>
      <c r="AT1017" s="38"/>
      <c r="AU1017" s="38"/>
      <c r="AV1017" s="38"/>
      <c r="AW1017" s="38"/>
      <c r="AX1017" s="38"/>
      <c r="AY1017" s="38"/>
      <c r="AZ1017" s="38"/>
    </row>
    <row r="1018" spans="6:52" ht="39.75" hidden="1" customHeight="1" x14ac:dyDescent="0.2">
      <c r="F1018" s="20"/>
      <c r="S1018" s="38"/>
      <c r="T1018" s="38"/>
      <c r="U1018" s="38"/>
      <c r="V1018" s="37"/>
      <c r="W1018" s="37"/>
      <c r="X1018" s="37"/>
      <c r="Y1018" s="37"/>
      <c r="Z1018" s="37"/>
      <c r="AA1018" s="37"/>
      <c r="AB1018" s="38"/>
      <c r="AC1018" s="38"/>
      <c r="AD1018" s="38"/>
      <c r="AE1018" s="38"/>
      <c r="AF1018" s="38"/>
      <c r="AG1018" s="38"/>
      <c r="AH1018" s="38"/>
      <c r="AI1018" s="38"/>
      <c r="AJ1018" s="38"/>
      <c r="AK1018" s="38"/>
      <c r="AL1018" s="38"/>
      <c r="AM1018" s="38"/>
      <c r="AN1018" s="38"/>
      <c r="AO1018" s="38"/>
      <c r="AP1018" s="38"/>
      <c r="AQ1018" s="38"/>
      <c r="AR1018" s="38"/>
      <c r="AS1018" s="38"/>
      <c r="AT1018" s="38"/>
      <c r="AU1018" s="38"/>
      <c r="AV1018" s="38"/>
      <c r="AW1018" s="38"/>
      <c r="AX1018" s="38"/>
      <c r="AY1018" s="38"/>
      <c r="AZ1018" s="38"/>
    </row>
    <row r="1019" spans="6:52" ht="39.75" hidden="1" customHeight="1" x14ac:dyDescent="0.2">
      <c r="F1019" s="20"/>
      <c r="S1019" s="38"/>
      <c r="T1019" s="38"/>
      <c r="U1019" s="38"/>
      <c r="V1019" s="37"/>
      <c r="W1019" s="37"/>
      <c r="X1019" s="37"/>
      <c r="Y1019" s="37"/>
      <c r="Z1019" s="37"/>
      <c r="AA1019" s="37"/>
      <c r="AB1019" s="38"/>
      <c r="AC1019" s="38"/>
      <c r="AD1019" s="38"/>
      <c r="AE1019" s="38"/>
      <c r="AF1019" s="38"/>
      <c r="AG1019" s="38"/>
      <c r="AH1019" s="38"/>
      <c r="AI1019" s="38"/>
      <c r="AJ1019" s="38"/>
      <c r="AK1019" s="38"/>
      <c r="AL1019" s="38"/>
      <c r="AM1019" s="38"/>
      <c r="AN1019" s="38"/>
      <c r="AO1019" s="38"/>
      <c r="AP1019" s="38"/>
      <c r="AQ1019" s="38"/>
      <c r="AR1019" s="38"/>
      <c r="AS1019" s="38"/>
      <c r="AT1019" s="38"/>
      <c r="AU1019" s="38"/>
      <c r="AV1019" s="38"/>
      <c r="AW1019" s="38"/>
      <c r="AX1019" s="38"/>
      <c r="AY1019" s="38"/>
      <c r="AZ1019" s="38"/>
    </row>
    <row r="1020" spans="6:52" ht="39.75" hidden="1" customHeight="1" x14ac:dyDescent="0.2">
      <c r="F1020" s="20"/>
      <c r="S1020" s="38"/>
      <c r="T1020" s="38"/>
      <c r="U1020" s="38"/>
      <c r="V1020" s="37"/>
      <c r="W1020" s="37"/>
      <c r="X1020" s="37"/>
      <c r="Y1020" s="37"/>
      <c r="Z1020" s="37"/>
      <c r="AA1020" s="37"/>
      <c r="AB1020" s="38"/>
      <c r="AC1020" s="38"/>
      <c r="AD1020" s="38"/>
      <c r="AE1020" s="38"/>
      <c r="AF1020" s="38"/>
      <c r="AG1020" s="38"/>
      <c r="AH1020" s="38"/>
      <c r="AI1020" s="38"/>
      <c r="AJ1020" s="38"/>
      <c r="AK1020" s="38"/>
      <c r="AL1020" s="38"/>
      <c r="AM1020" s="38"/>
      <c r="AN1020" s="38"/>
      <c r="AO1020" s="38"/>
      <c r="AP1020" s="38"/>
      <c r="AQ1020" s="38"/>
      <c r="AR1020" s="38"/>
      <c r="AS1020" s="38"/>
      <c r="AT1020" s="38"/>
      <c r="AU1020" s="38"/>
      <c r="AV1020" s="38"/>
      <c r="AW1020" s="38"/>
      <c r="AX1020" s="38"/>
      <c r="AY1020" s="38"/>
      <c r="AZ1020" s="38"/>
    </row>
    <row r="1021" spans="6:52" ht="39.75" hidden="1" customHeight="1" x14ac:dyDescent="0.2">
      <c r="F1021" s="20"/>
      <c r="S1021" s="38"/>
      <c r="T1021" s="38"/>
      <c r="U1021" s="38"/>
      <c r="V1021" s="37"/>
      <c r="W1021" s="37"/>
      <c r="X1021" s="37"/>
      <c r="Y1021" s="37"/>
      <c r="Z1021" s="37"/>
      <c r="AA1021" s="37"/>
      <c r="AB1021" s="38"/>
      <c r="AC1021" s="38"/>
      <c r="AD1021" s="38"/>
      <c r="AE1021" s="38"/>
      <c r="AF1021" s="38"/>
      <c r="AG1021" s="38"/>
      <c r="AH1021" s="38"/>
      <c r="AI1021" s="38"/>
      <c r="AJ1021" s="38"/>
      <c r="AK1021" s="38"/>
      <c r="AL1021" s="38"/>
      <c r="AM1021" s="38"/>
      <c r="AN1021" s="38"/>
      <c r="AO1021" s="38"/>
      <c r="AP1021" s="38"/>
      <c r="AQ1021" s="38"/>
      <c r="AR1021" s="38"/>
      <c r="AS1021" s="38"/>
      <c r="AT1021" s="38"/>
      <c r="AU1021" s="38"/>
      <c r="AV1021" s="38"/>
      <c r="AW1021" s="38"/>
      <c r="AX1021" s="38"/>
      <c r="AY1021" s="38"/>
      <c r="AZ1021" s="38"/>
    </row>
    <row r="1022" spans="6:52" ht="39.75" hidden="1" customHeight="1" x14ac:dyDescent="0.2">
      <c r="F1022" s="20"/>
      <c r="S1022" s="38"/>
      <c r="T1022" s="38"/>
      <c r="U1022" s="38"/>
      <c r="V1022" s="37"/>
      <c r="W1022" s="37"/>
      <c r="X1022" s="37"/>
      <c r="Y1022" s="37"/>
      <c r="Z1022" s="37"/>
      <c r="AA1022" s="37"/>
      <c r="AB1022" s="38"/>
      <c r="AC1022" s="38"/>
      <c r="AD1022" s="38"/>
      <c r="AE1022" s="38"/>
      <c r="AF1022" s="38"/>
      <c r="AG1022" s="38"/>
      <c r="AH1022" s="38"/>
      <c r="AI1022" s="38"/>
      <c r="AJ1022" s="38"/>
      <c r="AK1022" s="38"/>
      <c r="AL1022" s="38"/>
      <c r="AM1022" s="38"/>
      <c r="AN1022" s="38"/>
      <c r="AO1022" s="38"/>
      <c r="AP1022" s="38"/>
      <c r="AQ1022" s="38"/>
      <c r="AR1022" s="38"/>
      <c r="AS1022" s="38"/>
      <c r="AT1022" s="38"/>
      <c r="AU1022" s="38"/>
      <c r="AV1022" s="38"/>
      <c r="AW1022" s="38"/>
      <c r="AX1022" s="38"/>
      <c r="AY1022" s="38"/>
      <c r="AZ1022" s="38"/>
    </row>
    <row r="1023" spans="6:52" ht="39.75" hidden="1" customHeight="1" x14ac:dyDescent="0.2">
      <c r="F1023" s="20"/>
      <c r="S1023" s="38"/>
      <c r="T1023" s="38"/>
      <c r="U1023" s="38"/>
      <c r="V1023" s="37"/>
      <c r="W1023" s="37"/>
      <c r="X1023" s="37"/>
      <c r="Y1023" s="37"/>
      <c r="Z1023" s="37"/>
      <c r="AA1023" s="37"/>
      <c r="AB1023" s="38"/>
      <c r="AC1023" s="38"/>
      <c r="AD1023" s="38"/>
      <c r="AE1023" s="38"/>
      <c r="AF1023" s="38"/>
      <c r="AG1023" s="38"/>
      <c r="AH1023" s="38"/>
      <c r="AI1023" s="38"/>
      <c r="AJ1023" s="38"/>
      <c r="AK1023" s="38"/>
      <c r="AL1023" s="38"/>
      <c r="AM1023" s="38"/>
      <c r="AN1023" s="38"/>
      <c r="AO1023" s="38"/>
      <c r="AP1023" s="38"/>
      <c r="AQ1023" s="38"/>
      <c r="AR1023" s="38"/>
      <c r="AS1023" s="38"/>
      <c r="AT1023" s="38"/>
      <c r="AU1023" s="38"/>
      <c r="AV1023" s="38"/>
      <c r="AW1023" s="38"/>
      <c r="AX1023" s="38"/>
      <c r="AY1023" s="38"/>
      <c r="AZ1023" s="38"/>
    </row>
    <row r="1024" spans="6:52" ht="39.75" hidden="1" customHeight="1" x14ac:dyDescent="0.2">
      <c r="F1024" s="20"/>
      <c r="S1024" s="38"/>
      <c r="T1024" s="38"/>
      <c r="U1024" s="38"/>
      <c r="V1024" s="37"/>
      <c r="W1024" s="37"/>
      <c r="X1024" s="37"/>
      <c r="Y1024" s="37"/>
      <c r="Z1024" s="37"/>
      <c r="AA1024" s="37"/>
      <c r="AB1024" s="38"/>
      <c r="AC1024" s="38"/>
      <c r="AD1024" s="38"/>
      <c r="AE1024" s="38"/>
      <c r="AF1024" s="38"/>
      <c r="AG1024" s="38"/>
      <c r="AH1024" s="38"/>
      <c r="AI1024" s="38"/>
      <c r="AJ1024" s="38"/>
      <c r="AK1024" s="38"/>
      <c r="AL1024" s="38"/>
      <c r="AM1024" s="38"/>
      <c r="AN1024" s="38"/>
      <c r="AO1024" s="38"/>
      <c r="AP1024" s="38"/>
      <c r="AQ1024" s="38"/>
      <c r="AR1024" s="38"/>
      <c r="AS1024" s="38"/>
      <c r="AT1024" s="38"/>
      <c r="AU1024" s="38"/>
      <c r="AV1024" s="38"/>
      <c r="AW1024" s="38"/>
      <c r="AX1024" s="38"/>
      <c r="AY1024" s="38"/>
      <c r="AZ1024" s="38"/>
    </row>
    <row r="1025" spans="6:52" ht="39.75" hidden="1" customHeight="1" x14ac:dyDescent="0.2">
      <c r="F1025" s="20"/>
      <c r="S1025" s="38"/>
      <c r="T1025" s="38"/>
      <c r="U1025" s="38"/>
      <c r="V1025" s="37"/>
      <c r="W1025" s="37"/>
      <c r="X1025" s="37"/>
      <c r="Y1025" s="37"/>
      <c r="Z1025" s="37"/>
      <c r="AA1025" s="37"/>
      <c r="AB1025" s="38"/>
      <c r="AC1025" s="38"/>
      <c r="AD1025" s="38"/>
      <c r="AE1025" s="38"/>
      <c r="AF1025" s="38"/>
      <c r="AG1025" s="38"/>
      <c r="AH1025" s="38"/>
      <c r="AI1025" s="38"/>
      <c r="AJ1025" s="38"/>
      <c r="AK1025" s="38"/>
      <c r="AL1025" s="38"/>
      <c r="AM1025" s="38"/>
      <c r="AN1025" s="38"/>
      <c r="AO1025" s="38"/>
      <c r="AP1025" s="38"/>
      <c r="AQ1025" s="38"/>
      <c r="AR1025" s="38"/>
      <c r="AS1025" s="38"/>
      <c r="AT1025" s="38"/>
      <c r="AU1025" s="38"/>
      <c r="AV1025" s="38"/>
      <c r="AW1025" s="38"/>
      <c r="AX1025" s="38"/>
      <c r="AY1025" s="38"/>
      <c r="AZ1025" s="38"/>
    </row>
    <row r="1026" spans="6:52" ht="39.75" hidden="1" customHeight="1" x14ac:dyDescent="0.2">
      <c r="F1026" s="20"/>
      <c r="S1026" s="38"/>
      <c r="T1026" s="38"/>
      <c r="U1026" s="38"/>
      <c r="V1026" s="37"/>
      <c r="W1026" s="37"/>
      <c r="X1026" s="37"/>
      <c r="Y1026" s="37"/>
      <c r="Z1026" s="37"/>
      <c r="AA1026" s="37"/>
      <c r="AB1026" s="38"/>
      <c r="AC1026" s="38"/>
      <c r="AD1026" s="38"/>
      <c r="AE1026" s="38"/>
      <c r="AF1026" s="38"/>
      <c r="AG1026" s="38"/>
      <c r="AH1026" s="38"/>
      <c r="AI1026" s="38"/>
      <c r="AJ1026" s="38"/>
      <c r="AK1026" s="38"/>
      <c r="AL1026" s="38"/>
      <c r="AM1026" s="38"/>
      <c r="AN1026" s="38"/>
      <c r="AO1026" s="38"/>
      <c r="AP1026" s="38"/>
      <c r="AQ1026" s="38"/>
      <c r="AR1026" s="38"/>
      <c r="AS1026" s="38"/>
      <c r="AT1026" s="38"/>
      <c r="AU1026" s="38"/>
      <c r="AV1026" s="38"/>
      <c r="AW1026" s="38"/>
      <c r="AX1026" s="38"/>
      <c r="AY1026" s="38"/>
      <c r="AZ1026" s="38"/>
    </row>
    <row r="1027" spans="6:52" ht="39.75" hidden="1" customHeight="1" x14ac:dyDescent="0.2">
      <c r="F1027" s="20"/>
      <c r="S1027" s="38"/>
      <c r="T1027" s="38"/>
      <c r="U1027" s="38"/>
      <c r="V1027" s="37"/>
      <c r="W1027" s="37"/>
      <c r="X1027" s="37"/>
      <c r="Y1027" s="37"/>
      <c r="Z1027" s="37"/>
      <c r="AA1027" s="37"/>
      <c r="AB1027" s="38"/>
      <c r="AC1027" s="38"/>
      <c r="AD1027" s="38"/>
      <c r="AE1027" s="38"/>
      <c r="AF1027" s="38"/>
      <c r="AG1027" s="38"/>
      <c r="AH1027" s="38"/>
      <c r="AI1027" s="38"/>
      <c r="AJ1027" s="38"/>
      <c r="AK1027" s="38"/>
      <c r="AL1027" s="38"/>
      <c r="AM1027" s="38"/>
      <c r="AN1027" s="38"/>
      <c r="AO1027" s="38"/>
      <c r="AP1027" s="38"/>
      <c r="AQ1027" s="38"/>
      <c r="AR1027" s="38"/>
      <c r="AS1027" s="38"/>
      <c r="AT1027" s="38"/>
      <c r="AU1027" s="38"/>
      <c r="AV1027" s="38"/>
      <c r="AW1027" s="38"/>
      <c r="AX1027" s="38"/>
      <c r="AY1027" s="38"/>
      <c r="AZ1027" s="38"/>
    </row>
    <row r="1028" spans="6:52" ht="39.75" hidden="1" customHeight="1" x14ac:dyDescent="0.2">
      <c r="F1028" s="20"/>
      <c r="S1028" s="38"/>
      <c r="T1028" s="38"/>
      <c r="U1028" s="38"/>
      <c r="V1028" s="37"/>
      <c r="W1028" s="37"/>
      <c r="X1028" s="37"/>
      <c r="Y1028" s="37"/>
      <c r="Z1028" s="37"/>
      <c r="AA1028" s="37"/>
      <c r="AB1028" s="38"/>
      <c r="AC1028" s="38"/>
      <c r="AD1028" s="38"/>
      <c r="AE1028" s="38"/>
      <c r="AF1028" s="38"/>
      <c r="AG1028" s="38"/>
      <c r="AH1028" s="38"/>
      <c r="AI1028" s="38"/>
      <c r="AJ1028" s="38"/>
      <c r="AK1028" s="38"/>
      <c r="AL1028" s="38"/>
      <c r="AM1028" s="38"/>
      <c r="AN1028" s="38"/>
      <c r="AO1028" s="38"/>
      <c r="AP1028" s="38"/>
      <c r="AQ1028" s="38"/>
      <c r="AR1028" s="38"/>
      <c r="AS1028" s="38"/>
      <c r="AT1028" s="38"/>
      <c r="AU1028" s="38"/>
      <c r="AV1028" s="38"/>
      <c r="AW1028" s="38"/>
      <c r="AX1028" s="38"/>
      <c r="AY1028" s="38"/>
      <c r="AZ1028" s="38"/>
    </row>
    <row r="1029" spans="6:52" ht="39.75" hidden="1" customHeight="1" x14ac:dyDescent="0.2">
      <c r="F1029" s="20"/>
      <c r="S1029" s="38"/>
      <c r="T1029" s="38"/>
      <c r="U1029" s="38"/>
      <c r="V1029" s="37"/>
      <c r="W1029" s="37"/>
      <c r="X1029" s="37"/>
      <c r="Y1029" s="37"/>
      <c r="Z1029" s="37"/>
      <c r="AA1029" s="37"/>
      <c r="AB1029" s="38"/>
      <c r="AC1029" s="38"/>
      <c r="AD1029" s="38"/>
      <c r="AE1029" s="38"/>
      <c r="AF1029" s="38"/>
      <c r="AG1029" s="38"/>
      <c r="AH1029" s="38"/>
      <c r="AI1029" s="38"/>
      <c r="AJ1029" s="38"/>
      <c r="AK1029" s="38"/>
      <c r="AL1029" s="38"/>
      <c r="AM1029" s="38"/>
      <c r="AN1029" s="38"/>
      <c r="AO1029" s="38"/>
      <c r="AP1029" s="38"/>
      <c r="AQ1029" s="38"/>
      <c r="AR1029" s="38"/>
      <c r="AS1029" s="38"/>
      <c r="AT1029" s="38"/>
      <c r="AU1029" s="38"/>
      <c r="AV1029" s="38"/>
      <c r="AW1029" s="38"/>
      <c r="AX1029" s="38"/>
      <c r="AY1029" s="38"/>
      <c r="AZ1029" s="38"/>
    </row>
    <row r="1030" spans="6:52" ht="39.75" hidden="1" customHeight="1" x14ac:dyDescent="0.2">
      <c r="F1030" s="20"/>
      <c r="S1030" s="38"/>
      <c r="T1030" s="38"/>
      <c r="U1030" s="38"/>
      <c r="V1030" s="37"/>
      <c r="W1030" s="37"/>
      <c r="X1030" s="37"/>
      <c r="Y1030" s="37"/>
      <c r="Z1030" s="37"/>
      <c r="AA1030" s="37"/>
      <c r="AB1030" s="38"/>
      <c r="AC1030" s="38"/>
      <c r="AD1030" s="38"/>
      <c r="AE1030" s="38"/>
      <c r="AF1030" s="38"/>
      <c r="AG1030" s="38"/>
      <c r="AH1030" s="38"/>
      <c r="AI1030" s="38"/>
      <c r="AJ1030" s="38"/>
      <c r="AK1030" s="38"/>
      <c r="AL1030" s="38"/>
      <c r="AM1030" s="38"/>
      <c r="AN1030" s="38"/>
      <c r="AO1030" s="38"/>
      <c r="AP1030" s="38"/>
      <c r="AQ1030" s="38"/>
      <c r="AR1030" s="38"/>
      <c r="AS1030" s="38"/>
      <c r="AT1030" s="38"/>
      <c r="AU1030" s="38"/>
      <c r="AV1030" s="38"/>
      <c r="AW1030" s="38"/>
      <c r="AX1030" s="38"/>
      <c r="AY1030" s="38"/>
      <c r="AZ1030" s="38"/>
    </row>
    <row r="1031" spans="6:52" ht="39.75" hidden="1" customHeight="1" x14ac:dyDescent="0.2">
      <c r="F1031" s="20"/>
      <c r="S1031" s="38"/>
      <c r="T1031" s="38"/>
      <c r="U1031" s="38"/>
      <c r="V1031" s="37"/>
      <c r="W1031" s="37"/>
      <c r="X1031" s="37"/>
      <c r="Y1031" s="37"/>
      <c r="Z1031" s="37"/>
      <c r="AA1031" s="37"/>
      <c r="AB1031" s="38"/>
      <c r="AC1031" s="38"/>
      <c r="AD1031" s="38"/>
      <c r="AE1031" s="38"/>
      <c r="AF1031" s="38"/>
      <c r="AG1031" s="38"/>
      <c r="AH1031" s="38"/>
      <c r="AI1031" s="38"/>
      <c r="AJ1031" s="38"/>
      <c r="AK1031" s="38"/>
      <c r="AL1031" s="38"/>
      <c r="AM1031" s="38"/>
      <c r="AN1031" s="38"/>
      <c r="AO1031" s="38"/>
      <c r="AP1031" s="38"/>
      <c r="AQ1031" s="38"/>
      <c r="AR1031" s="38"/>
      <c r="AS1031" s="38"/>
      <c r="AT1031" s="38"/>
      <c r="AU1031" s="38"/>
      <c r="AV1031" s="38"/>
      <c r="AW1031" s="38"/>
      <c r="AX1031" s="38"/>
      <c r="AY1031" s="38"/>
      <c r="AZ1031" s="38"/>
    </row>
    <row r="1032" spans="6:52" ht="39.75" hidden="1" customHeight="1" x14ac:dyDescent="0.2">
      <c r="F1032" s="20"/>
      <c r="S1032" s="38"/>
      <c r="T1032" s="38"/>
      <c r="U1032" s="38"/>
      <c r="V1032" s="37"/>
      <c r="W1032" s="37"/>
      <c r="X1032" s="37"/>
      <c r="Y1032" s="37"/>
      <c r="Z1032" s="37"/>
      <c r="AA1032" s="37"/>
      <c r="AB1032" s="38"/>
      <c r="AC1032" s="38"/>
      <c r="AD1032" s="38"/>
      <c r="AE1032" s="38"/>
      <c r="AF1032" s="38"/>
      <c r="AG1032" s="38"/>
      <c r="AH1032" s="38"/>
      <c r="AI1032" s="38"/>
      <c r="AJ1032" s="38"/>
      <c r="AK1032" s="38"/>
      <c r="AL1032" s="38"/>
      <c r="AM1032" s="38"/>
      <c r="AN1032" s="38"/>
      <c r="AO1032" s="38"/>
      <c r="AP1032" s="38"/>
      <c r="AQ1032" s="38"/>
      <c r="AR1032" s="38"/>
      <c r="AS1032" s="38"/>
      <c r="AT1032" s="38"/>
      <c r="AU1032" s="38"/>
      <c r="AV1032" s="38"/>
      <c r="AW1032" s="38"/>
      <c r="AX1032" s="38"/>
      <c r="AY1032" s="38"/>
      <c r="AZ1032" s="38"/>
    </row>
    <row r="1033" spans="6:52" ht="39.75" hidden="1" customHeight="1" x14ac:dyDescent="0.2">
      <c r="F1033" s="20"/>
      <c r="S1033" s="38"/>
      <c r="T1033" s="38"/>
      <c r="U1033" s="38"/>
      <c r="V1033" s="37"/>
      <c r="W1033" s="37"/>
      <c r="X1033" s="37"/>
      <c r="Y1033" s="37"/>
      <c r="Z1033" s="37"/>
      <c r="AA1033" s="37"/>
      <c r="AB1033" s="38"/>
      <c r="AC1033" s="38"/>
      <c r="AD1033" s="38"/>
      <c r="AE1033" s="38"/>
      <c r="AF1033" s="38"/>
      <c r="AG1033" s="38"/>
      <c r="AH1033" s="38"/>
      <c r="AI1033" s="38"/>
      <c r="AJ1033" s="38"/>
      <c r="AK1033" s="38"/>
      <c r="AL1033" s="38"/>
      <c r="AM1033" s="38"/>
      <c r="AN1033" s="38"/>
      <c r="AO1033" s="38"/>
      <c r="AP1033" s="38"/>
      <c r="AQ1033" s="38"/>
      <c r="AR1033" s="38"/>
      <c r="AS1033" s="38"/>
      <c r="AT1033" s="38"/>
      <c r="AU1033" s="38"/>
      <c r="AV1033" s="38"/>
      <c r="AW1033" s="38"/>
      <c r="AX1033" s="38"/>
      <c r="AY1033" s="38"/>
      <c r="AZ1033" s="38"/>
    </row>
    <row r="1034" spans="6:52" ht="39.75" hidden="1" customHeight="1" x14ac:dyDescent="0.2">
      <c r="F1034" s="20"/>
      <c r="S1034" s="38"/>
      <c r="T1034" s="38"/>
      <c r="U1034" s="38"/>
      <c r="V1034" s="37"/>
      <c r="W1034" s="37"/>
      <c r="X1034" s="37"/>
      <c r="Y1034" s="37"/>
      <c r="Z1034" s="37"/>
      <c r="AA1034" s="37"/>
      <c r="AB1034" s="38"/>
      <c r="AC1034" s="38"/>
      <c r="AD1034" s="38"/>
      <c r="AE1034" s="38"/>
      <c r="AF1034" s="38"/>
      <c r="AG1034" s="38"/>
      <c r="AH1034" s="38"/>
      <c r="AI1034" s="38"/>
      <c r="AJ1034" s="38"/>
      <c r="AK1034" s="38"/>
      <c r="AL1034" s="38"/>
      <c r="AM1034" s="38"/>
      <c r="AN1034" s="38"/>
      <c r="AO1034" s="38"/>
      <c r="AP1034" s="38"/>
      <c r="AQ1034" s="38"/>
      <c r="AR1034" s="38"/>
      <c r="AS1034" s="38"/>
      <c r="AT1034" s="38"/>
      <c r="AU1034" s="38"/>
      <c r="AV1034" s="38"/>
      <c r="AW1034" s="38"/>
      <c r="AX1034" s="38"/>
      <c r="AY1034" s="38"/>
      <c r="AZ1034" s="38"/>
    </row>
    <row r="1035" spans="6:52" ht="39.75" hidden="1" customHeight="1" x14ac:dyDescent="0.2">
      <c r="F1035" s="20"/>
      <c r="S1035" s="38"/>
      <c r="T1035" s="38"/>
      <c r="U1035" s="38"/>
      <c r="V1035" s="37"/>
      <c r="W1035" s="37"/>
      <c r="X1035" s="37"/>
      <c r="Y1035" s="37"/>
      <c r="Z1035" s="37"/>
      <c r="AA1035" s="37"/>
      <c r="AB1035" s="38"/>
      <c r="AC1035" s="38"/>
      <c r="AD1035" s="38"/>
      <c r="AE1035" s="38"/>
      <c r="AF1035" s="38"/>
      <c r="AG1035" s="38"/>
      <c r="AH1035" s="38"/>
      <c r="AI1035" s="38"/>
      <c r="AJ1035" s="38"/>
      <c r="AK1035" s="38"/>
      <c r="AL1035" s="38"/>
      <c r="AM1035" s="38"/>
      <c r="AN1035" s="38"/>
      <c r="AO1035" s="38"/>
      <c r="AP1035" s="38"/>
      <c r="AQ1035" s="38"/>
      <c r="AR1035" s="38"/>
      <c r="AS1035" s="38"/>
      <c r="AT1035" s="38"/>
      <c r="AU1035" s="38"/>
      <c r="AV1035" s="38"/>
      <c r="AW1035" s="38"/>
      <c r="AX1035" s="38"/>
      <c r="AY1035" s="38"/>
      <c r="AZ1035" s="38"/>
    </row>
    <row r="1036" spans="6:52" ht="39.75" hidden="1" customHeight="1" x14ac:dyDescent="0.2">
      <c r="F1036" s="20"/>
      <c r="S1036" s="38"/>
      <c r="T1036" s="38"/>
      <c r="U1036" s="38"/>
      <c r="V1036" s="37"/>
      <c r="W1036" s="37"/>
      <c r="X1036" s="37"/>
      <c r="Y1036" s="37"/>
      <c r="Z1036" s="37"/>
      <c r="AA1036" s="37"/>
      <c r="AB1036" s="38"/>
      <c r="AC1036" s="38"/>
      <c r="AD1036" s="38"/>
      <c r="AE1036" s="38"/>
      <c r="AF1036" s="38"/>
      <c r="AG1036" s="38"/>
      <c r="AH1036" s="38"/>
      <c r="AI1036" s="38"/>
      <c r="AJ1036" s="38"/>
      <c r="AK1036" s="38"/>
      <c r="AL1036" s="38"/>
      <c r="AM1036" s="38"/>
      <c r="AN1036" s="38"/>
      <c r="AO1036" s="38"/>
      <c r="AP1036" s="38"/>
      <c r="AQ1036" s="38"/>
      <c r="AR1036" s="38"/>
      <c r="AS1036" s="38"/>
      <c r="AT1036" s="38"/>
      <c r="AU1036" s="38"/>
      <c r="AV1036" s="38"/>
      <c r="AW1036" s="38"/>
      <c r="AX1036" s="38"/>
      <c r="AY1036" s="38"/>
      <c r="AZ1036" s="38"/>
    </row>
    <row r="1037" spans="6:52" ht="39.75" hidden="1" customHeight="1" x14ac:dyDescent="0.2">
      <c r="F1037" s="20"/>
      <c r="S1037" s="38"/>
      <c r="T1037" s="38"/>
      <c r="U1037" s="38"/>
      <c r="V1037" s="37"/>
      <c r="W1037" s="37"/>
      <c r="X1037" s="37"/>
      <c r="Y1037" s="37"/>
      <c r="Z1037" s="37"/>
      <c r="AA1037" s="37"/>
      <c r="AB1037" s="38"/>
      <c r="AC1037" s="38"/>
      <c r="AD1037" s="38"/>
      <c r="AE1037" s="38"/>
      <c r="AF1037" s="38"/>
      <c r="AG1037" s="38"/>
      <c r="AH1037" s="38"/>
      <c r="AI1037" s="38"/>
      <c r="AJ1037" s="38"/>
      <c r="AK1037" s="38"/>
      <c r="AL1037" s="38"/>
      <c r="AM1037" s="38"/>
      <c r="AN1037" s="38"/>
      <c r="AO1037" s="38"/>
      <c r="AP1037" s="38"/>
      <c r="AQ1037" s="38"/>
      <c r="AR1037" s="38"/>
      <c r="AS1037" s="38"/>
      <c r="AT1037" s="38"/>
      <c r="AU1037" s="38"/>
      <c r="AV1037" s="38"/>
      <c r="AW1037" s="38"/>
      <c r="AX1037" s="38"/>
      <c r="AY1037" s="38"/>
      <c r="AZ1037" s="38"/>
    </row>
    <row r="1038" spans="6:52" ht="39.75" hidden="1" customHeight="1" x14ac:dyDescent="0.2">
      <c r="F1038" s="20"/>
      <c r="S1038" s="38"/>
      <c r="T1038" s="38"/>
      <c r="U1038" s="38"/>
      <c r="V1038" s="37"/>
      <c r="W1038" s="37"/>
      <c r="X1038" s="37"/>
      <c r="Y1038" s="37"/>
      <c r="Z1038" s="37"/>
      <c r="AA1038" s="37"/>
      <c r="AB1038" s="38"/>
      <c r="AC1038" s="38"/>
      <c r="AD1038" s="38"/>
      <c r="AE1038" s="38"/>
      <c r="AF1038" s="38"/>
      <c r="AG1038" s="38"/>
      <c r="AH1038" s="38"/>
      <c r="AI1038" s="38"/>
      <c r="AJ1038" s="38"/>
      <c r="AK1038" s="38"/>
      <c r="AL1038" s="38"/>
      <c r="AM1038" s="38"/>
      <c r="AN1038" s="38"/>
      <c r="AO1038" s="38"/>
      <c r="AP1038" s="38"/>
      <c r="AQ1038" s="38"/>
      <c r="AR1038" s="38"/>
      <c r="AS1038" s="38"/>
      <c r="AT1038" s="38"/>
      <c r="AU1038" s="38"/>
      <c r="AV1038" s="38"/>
      <c r="AW1038" s="38"/>
      <c r="AX1038" s="38"/>
      <c r="AY1038" s="38"/>
      <c r="AZ1038" s="38"/>
    </row>
    <row r="1039" spans="6:52" ht="39.75" hidden="1" customHeight="1" x14ac:dyDescent="0.2">
      <c r="F1039" s="20"/>
      <c r="S1039" s="38"/>
      <c r="T1039" s="38"/>
      <c r="U1039" s="38"/>
      <c r="V1039" s="37"/>
      <c r="W1039" s="37"/>
      <c r="X1039" s="37"/>
      <c r="Y1039" s="37"/>
      <c r="Z1039" s="37"/>
      <c r="AA1039" s="37"/>
      <c r="AB1039" s="38"/>
      <c r="AC1039" s="38"/>
      <c r="AD1039" s="38"/>
      <c r="AE1039" s="38"/>
      <c r="AF1039" s="38"/>
      <c r="AG1039" s="38"/>
      <c r="AH1039" s="38"/>
      <c r="AI1039" s="38"/>
      <c r="AJ1039" s="38"/>
      <c r="AK1039" s="38"/>
      <c r="AL1039" s="38"/>
      <c r="AM1039" s="38"/>
      <c r="AN1039" s="38"/>
      <c r="AO1039" s="38"/>
      <c r="AP1039" s="38"/>
      <c r="AQ1039" s="38"/>
      <c r="AR1039" s="38"/>
      <c r="AS1039" s="38"/>
      <c r="AT1039" s="38"/>
      <c r="AU1039" s="38"/>
      <c r="AV1039" s="38"/>
      <c r="AW1039" s="38"/>
      <c r="AX1039" s="38"/>
      <c r="AY1039" s="38"/>
      <c r="AZ1039" s="38"/>
    </row>
    <row r="1040" spans="6:52" ht="39.75" hidden="1" customHeight="1" x14ac:dyDescent="0.2">
      <c r="F1040" s="20"/>
      <c r="S1040" s="38"/>
      <c r="T1040" s="38"/>
      <c r="U1040" s="38"/>
      <c r="V1040" s="37"/>
      <c r="W1040" s="37"/>
      <c r="X1040" s="37"/>
      <c r="Y1040" s="37"/>
      <c r="Z1040" s="37"/>
      <c r="AA1040" s="37"/>
      <c r="AB1040" s="38"/>
      <c r="AC1040" s="38"/>
      <c r="AD1040" s="38"/>
      <c r="AE1040" s="38"/>
      <c r="AF1040" s="38"/>
      <c r="AG1040" s="38"/>
      <c r="AH1040" s="38"/>
      <c r="AI1040" s="38"/>
      <c r="AJ1040" s="38"/>
      <c r="AK1040" s="38"/>
      <c r="AL1040" s="38"/>
      <c r="AM1040" s="38"/>
      <c r="AN1040" s="38"/>
      <c r="AO1040" s="38"/>
      <c r="AP1040" s="38"/>
      <c r="AQ1040" s="38"/>
      <c r="AR1040" s="38"/>
      <c r="AS1040" s="38"/>
      <c r="AT1040" s="38"/>
      <c r="AU1040" s="38"/>
      <c r="AV1040" s="38"/>
      <c r="AW1040" s="38"/>
      <c r="AX1040" s="38"/>
      <c r="AY1040" s="38"/>
      <c r="AZ1040" s="38"/>
    </row>
    <row r="1041" spans="6:52" ht="39.75" hidden="1" customHeight="1" x14ac:dyDescent="0.2">
      <c r="F1041" s="20"/>
      <c r="S1041" s="38"/>
      <c r="T1041" s="38"/>
      <c r="U1041" s="38"/>
      <c r="V1041" s="37"/>
      <c r="W1041" s="37"/>
      <c r="X1041" s="37"/>
      <c r="Y1041" s="37"/>
      <c r="Z1041" s="37"/>
      <c r="AA1041" s="37"/>
      <c r="AB1041" s="38"/>
      <c r="AC1041" s="38"/>
      <c r="AD1041" s="38"/>
      <c r="AE1041" s="38"/>
      <c r="AF1041" s="38"/>
      <c r="AG1041" s="38"/>
      <c r="AH1041" s="38"/>
      <c r="AI1041" s="38"/>
      <c r="AJ1041" s="38"/>
      <c r="AK1041" s="38"/>
      <c r="AL1041" s="38"/>
      <c r="AM1041" s="38"/>
      <c r="AN1041" s="38"/>
      <c r="AO1041" s="38"/>
      <c r="AP1041" s="38"/>
      <c r="AQ1041" s="38"/>
      <c r="AR1041" s="38"/>
      <c r="AS1041" s="38"/>
      <c r="AT1041" s="38"/>
      <c r="AU1041" s="38"/>
      <c r="AV1041" s="38"/>
      <c r="AW1041" s="38"/>
      <c r="AX1041" s="38"/>
      <c r="AY1041" s="38"/>
      <c r="AZ1041" s="38"/>
    </row>
    <row r="1042" spans="6:52" ht="39.75" hidden="1" customHeight="1" x14ac:dyDescent="0.2">
      <c r="F1042" s="20"/>
      <c r="S1042" s="38"/>
      <c r="T1042" s="38"/>
      <c r="U1042" s="38"/>
      <c r="V1042" s="37"/>
      <c r="W1042" s="37"/>
      <c r="X1042" s="37"/>
      <c r="Y1042" s="37"/>
      <c r="Z1042" s="37"/>
      <c r="AA1042" s="37"/>
      <c r="AB1042" s="38"/>
      <c r="AC1042" s="38"/>
      <c r="AD1042" s="38"/>
      <c r="AE1042" s="38"/>
      <c r="AF1042" s="38"/>
      <c r="AG1042" s="38"/>
      <c r="AH1042" s="38"/>
      <c r="AI1042" s="38"/>
      <c r="AJ1042" s="38"/>
      <c r="AK1042" s="38"/>
      <c r="AL1042" s="38"/>
      <c r="AM1042" s="38"/>
      <c r="AN1042" s="38"/>
      <c r="AO1042" s="38"/>
      <c r="AP1042" s="38"/>
      <c r="AQ1042" s="38"/>
      <c r="AR1042" s="38"/>
      <c r="AS1042" s="38"/>
      <c r="AT1042" s="38"/>
      <c r="AU1042" s="38"/>
      <c r="AV1042" s="38"/>
      <c r="AW1042" s="38"/>
      <c r="AX1042" s="38"/>
      <c r="AY1042" s="38"/>
      <c r="AZ1042" s="38"/>
    </row>
    <row r="1043" spans="6:52" ht="39.75" hidden="1" customHeight="1" x14ac:dyDescent="0.2">
      <c r="F1043" s="20"/>
      <c r="S1043" s="38"/>
      <c r="T1043" s="38"/>
      <c r="U1043" s="38"/>
      <c r="V1043" s="37"/>
      <c r="W1043" s="37"/>
      <c r="X1043" s="37"/>
      <c r="Y1043" s="37"/>
      <c r="Z1043" s="37"/>
      <c r="AA1043" s="37"/>
      <c r="AB1043" s="38"/>
      <c r="AC1043" s="38"/>
      <c r="AD1043" s="38"/>
      <c r="AE1043" s="38"/>
      <c r="AF1043" s="38"/>
      <c r="AG1043" s="38"/>
      <c r="AH1043" s="38"/>
      <c r="AI1043" s="38"/>
      <c r="AJ1043" s="38"/>
      <c r="AK1043" s="38"/>
      <c r="AL1043" s="38"/>
      <c r="AM1043" s="38"/>
      <c r="AN1043" s="38"/>
      <c r="AO1043" s="38"/>
      <c r="AP1043" s="38"/>
      <c r="AQ1043" s="38"/>
      <c r="AR1043" s="38"/>
      <c r="AS1043" s="38"/>
      <c r="AT1043" s="38"/>
      <c r="AU1043" s="38"/>
      <c r="AV1043" s="38"/>
      <c r="AW1043" s="38"/>
      <c r="AX1043" s="38"/>
      <c r="AY1043" s="38"/>
      <c r="AZ1043" s="38"/>
    </row>
    <row r="1044" spans="6:52" ht="39.75" hidden="1" customHeight="1" x14ac:dyDescent="0.2">
      <c r="F1044" s="20"/>
      <c r="S1044" s="38"/>
      <c r="T1044" s="38"/>
      <c r="U1044" s="38"/>
      <c r="V1044" s="37"/>
      <c r="W1044" s="37"/>
      <c r="X1044" s="37"/>
      <c r="Y1044" s="37"/>
      <c r="Z1044" s="37"/>
      <c r="AA1044" s="37"/>
      <c r="AB1044" s="38"/>
      <c r="AC1044" s="38"/>
      <c r="AD1044" s="38"/>
      <c r="AE1044" s="38"/>
      <c r="AF1044" s="38"/>
      <c r="AG1044" s="38"/>
      <c r="AH1044" s="38"/>
      <c r="AI1044" s="38"/>
      <c r="AJ1044" s="38"/>
      <c r="AK1044" s="38"/>
      <c r="AL1044" s="38"/>
      <c r="AM1044" s="38"/>
      <c r="AN1044" s="38"/>
      <c r="AO1044" s="38"/>
      <c r="AP1044" s="38"/>
      <c r="AQ1044" s="38"/>
      <c r="AR1044" s="38"/>
      <c r="AS1044" s="38"/>
      <c r="AT1044" s="38"/>
      <c r="AU1044" s="38"/>
      <c r="AV1044" s="38"/>
      <c r="AW1044" s="38"/>
      <c r="AX1044" s="38"/>
      <c r="AY1044" s="38"/>
      <c r="AZ1044" s="38"/>
    </row>
    <row r="1045" spans="6:52" ht="39.75" hidden="1" customHeight="1" x14ac:dyDescent="0.2">
      <c r="F1045" s="20"/>
      <c r="S1045" s="38"/>
      <c r="T1045" s="38"/>
      <c r="U1045" s="38"/>
      <c r="V1045" s="37"/>
      <c r="W1045" s="37"/>
      <c r="X1045" s="37"/>
      <c r="Y1045" s="37"/>
      <c r="Z1045" s="37"/>
      <c r="AA1045" s="37"/>
      <c r="AB1045" s="38"/>
      <c r="AC1045" s="38"/>
      <c r="AD1045" s="38"/>
      <c r="AE1045" s="38"/>
      <c r="AF1045" s="38"/>
      <c r="AG1045" s="38"/>
      <c r="AH1045" s="38"/>
      <c r="AI1045" s="38"/>
      <c r="AJ1045" s="38"/>
      <c r="AK1045" s="38"/>
      <c r="AL1045" s="38"/>
      <c r="AM1045" s="38"/>
      <c r="AN1045" s="38"/>
      <c r="AO1045" s="38"/>
      <c r="AP1045" s="38"/>
      <c r="AQ1045" s="38"/>
      <c r="AR1045" s="38"/>
      <c r="AS1045" s="38"/>
      <c r="AT1045" s="38"/>
      <c r="AU1045" s="38"/>
      <c r="AV1045" s="38"/>
      <c r="AW1045" s="38"/>
      <c r="AX1045" s="38"/>
      <c r="AY1045" s="38"/>
      <c r="AZ1045" s="38"/>
    </row>
  </sheetData>
  <mergeCells count="9">
    <mergeCell ref="AY3:AY5"/>
    <mergeCell ref="A1:P1"/>
    <mergeCell ref="A2:P2"/>
    <mergeCell ref="C3:E4"/>
    <mergeCell ref="R3:AF4"/>
    <mergeCell ref="AV3:AX3"/>
    <mergeCell ref="AG3:AT3"/>
    <mergeCell ref="AG2:AX2"/>
    <mergeCell ref="S2:AF2"/>
  </mergeCells>
  <conditionalFormatting sqref="A6:AY6 A7:AL7 A8:AY1005 AW7:AY7">
    <cfRule type="expression" dxfId="15" priority="16">
      <formula>AND($F6&lt;&gt;"",LEN($F6)&lt;&gt;18)</formula>
    </cfRule>
    <cfRule type="expression" dxfId="14" priority="17">
      <formula>AND($F6&lt;&gt;"",COUNTIF($F$6:$F$1005,$F6)&gt;1)</formula>
    </cfRule>
  </conditionalFormatting>
  <conditionalFormatting sqref="K6:K1005">
    <cfRule type="expression" dxfId="13" priority="12">
      <formula>ISNUMBER(SEARCH("lebih",K6))</formula>
    </cfRule>
    <cfRule type="expression" dxfId="12" priority="13">
      <formula>ISNUMBER(SEARCH("sama",K6))</formula>
    </cfRule>
    <cfRule type="expression" dxfId="11" priority="14">
      <formula>ISNUMBER(SEARCH("Seluruh",K6))</formula>
    </cfRule>
    <cfRule type="expression" dxfId="10" priority="15">
      <formula>ISNUMBER(SEARCH("Masih",K6))</formula>
    </cfRule>
  </conditionalFormatting>
  <conditionalFormatting sqref="L6:L1005">
    <cfRule type="expression" dxfId="9" priority="2">
      <formula>AND($L6&lt;&gt;"",OR($L6=$M6,$L6=$N6,$L6=$O6,$L6=$P6))</formula>
    </cfRule>
    <cfRule type="expression" dxfId="8" priority="3">
      <formula>AND($L6&lt;&gt;"",$J6&lt;&gt;"",NOT(ISNUMBER(MATCH($L6,INDIRECT("K_"&amp;MATCH($J6,BidangList,0)),0))))</formula>
    </cfRule>
  </conditionalFormatting>
  <conditionalFormatting sqref="M6:M1005">
    <cfRule type="expression" dxfId="7" priority="4">
      <formula>AND($M6&lt;&gt;"",OR($M6=$L6,$M6=$N6,$M6=$O6,$M6=$P6))</formula>
    </cfRule>
    <cfRule type="expression" dxfId="6" priority="5">
      <formula>AND($M6&lt;&gt;"",$J6&lt;&gt;"",NOT(ISNUMBER(MATCH($M6,INDIRECT("K_"&amp;MATCH($J6,BidangList,0)),0))))</formula>
    </cfRule>
  </conditionalFormatting>
  <conditionalFormatting sqref="N6:N1005">
    <cfRule type="expression" dxfId="5" priority="6">
      <formula>AND($N6&lt;&gt;"",OR($N6=$L6,$N6=$M6,$N6=$O6,$N6=$P6))</formula>
    </cfRule>
    <cfRule type="expression" dxfId="4" priority="7">
      <formula>AND($N6&lt;&gt;"",$J6&lt;&gt;"",NOT(ISNUMBER(MATCH($N6,INDIRECT("K_"&amp;MATCH($J6,BidangList,0)),0))))</formula>
    </cfRule>
  </conditionalFormatting>
  <conditionalFormatting sqref="O6:O1005">
    <cfRule type="expression" dxfId="3" priority="8">
      <formula>AND($O6&lt;&gt;"",OR($O6=$L6,$O6=$M6,$O6=$N6,$O6=$P6))</formula>
    </cfRule>
    <cfRule type="expression" dxfId="2" priority="9">
      <formula>AND($O6&lt;&gt;"",$J6&lt;&gt;"",NOT(ISNUMBER(MATCH($O6,INDIRECT("K_"&amp;MATCH($J6,BidangList,0)),0))))</formula>
    </cfRule>
  </conditionalFormatting>
  <conditionalFormatting sqref="P6:P1005">
    <cfRule type="expression" dxfId="1" priority="10">
      <formula>AND($P6&lt;&gt;"",OR($P6=$L6,$P6=$M6,$P6=$N6,$P6=$O6))</formula>
    </cfRule>
    <cfRule type="expression" dxfId="0" priority="11">
      <formula>AND($P6&lt;&gt;"",$J6&lt;&gt;"",NOT(ISNUMBER(MATCH($P6,INDIRECT("K_"&amp;MATCH($J6,BidangList,0)),0))))</formula>
    </cfRule>
  </conditionalFormatting>
  <dataValidations count="10">
    <dataValidation type="list" allowBlank="1" sqref="J6:J1005" xr:uid="{00000000-0002-0000-0100-000000000000}">
      <formula1>BidangList</formula1>
      <formula2>0</formula2>
    </dataValidation>
    <dataValidation type="list" allowBlank="1" sqref="L6:L1005" xr:uid="{00000000-0002-0000-0100-000001000000}">
      <formula1>INDIRECT("K_"&amp;MATCH(J6,BidangList,0))</formula1>
      <formula2>0</formula2>
    </dataValidation>
    <dataValidation type="list" allowBlank="1" sqref="M6:M1005" xr:uid="{00000000-0002-0000-0100-000002000000}">
      <formula1>INDIRECT("K_"&amp;MATCH(J6,BidangList,0))</formula1>
      <formula2>0</formula2>
    </dataValidation>
    <dataValidation type="list" allowBlank="1" sqref="N6:N1005" xr:uid="{00000000-0002-0000-0100-000003000000}">
      <formula1>INDIRECT("K_"&amp;MATCH(J6,BidangList,0))</formula1>
      <formula2>0</formula2>
    </dataValidation>
    <dataValidation type="list" allowBlank="1" sqref="O6:O1005" xr:uid="{00000000-0002-0000-0100-000004000000}">
      <formula1>INDIRECT("K_"&amp;MATCH(J6,BidangList,0))</formula1>
      <formula2>0</formula2>
    </dataValidation>
    <dataValidation type="list" allowBlank="1" sqref="P6:P1005" xr:uid="{00000000-0002-0000-0100-000005000000}">
      <formula1>INDIRECT("K_"&amp;MATCH(J6,BidangList,0))</formula1>
      <formula2>0</formula2>
    </dataValidation>
    <dataValidation type="list" allowBlank="1" showErrorMessage="1" errorTitle="Nilai Tidak Valid" error="Pilihan hanya &quot;Direkomendasikan&quot; atau &quot;Tidak Direkomendasikan&quot;" sqref="AY6:AY1005" xr:uid="{00000000-0002-0000-0100-000006000000}">
      <formula1>"Direkomendasikan,Tidak Direkomendasikan"</formula1>
      <formula2>0</formula2>
    </dataValidation>
    <dataValidation type="list" allowBlank="1" showErrorMessage="1" errorTitle="Nilai Tidak Valid" error="Pilihan hanya &quot;Direkomendasikan&quot; atau &quot;Tidak Direkomendasikan&quot;" sqref="E6:E1005" xr:uid="{9F724BEF-8306-43CF-B50C-DF979804FD2B}">
      <formula1>"Reguler, Afirmasi"</formula1>
    </dataValidation>
    <dataValidation type="list" allowBlank="1" showInputMessage="1" showErrorMessage="1" sqref="B7:B1045" xr:uid="{06010DDF-693B-7A45-87B6-9B4CC9543010}">
      <formula1>"DJBC, DJP, DJPb, UE-1 Kemenkeu Lainnya, KLPD"</formula1>
    </dataValidation>
    <dataValidation type="list" allowBlank="1" showInputMessage="1" showErrorMessage="1" sqref="B6" xr:uid="{693B9418-D148-D247-B671-6F0231078273}">
      <formula1>"DJBC, DJP, DJPb, UE-1 Kemenkeu Lainnya"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L104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1" sqref="D11"/>
    </sheetView>
  </sheetViews>
  <sheetFormatPr baseColWidth="10" defaultColWidth="8.83203125" defaultRowHeight="15" x14ac:dyDescent="0.2"/>
  <cols>
    <col min="1" max="1" width="5" customWidth="1"/>
    <col min="2" max="2" width="9.83203125" customWidth="1"/>
    <col min="3" max="3" width="22.33203125" customWidth="1"/>
    <col min="4" max="5" width="27.1640625" customWidth="1"/>
    <col min="6" max="6" width="14.1640625" customWidth="1"/>
    <col min="7" max="7" width="29.1640625" bestFit="1" customWidth="1"/>
    <col min="8" max="13" width="10" customWidth="1"/>
  </cols>
  <sheetData>
    <row r="1" spans="1:12" ht="39.75" customHeight="1" x14ac:dyDescent="0.2">
      <c r="A1" s="18" t="s">
        <v>36</v>
      </c>
      <c r="B1" s="18" t="s">
        <v>39</v>
      </c>
      <c r="C1" s="18" t="s">
        <v>40</v>
      </c>
      <c r="D1" s="18" t="s">
        <v>41</v>
      </c>
      <c r="E1" s="18" t="s">
        <v>42</v>
      </c>
      <c r="F1" s="18" t="s">
        <v>43</v>
      </c>
      <c r="G1" s="18" t="s">
        <v>70</v>
      </c>
      <c r="H1" s="21" t="s">
        <v>71</v>
      </c>
      <c r="I1" s="21" t="s">
        <v>72</v>
      </c>
      <c r="J1" s="21" t="s">
        <v>73</v>
      </c>
      <c r="K1" s="21" t="s">
        <v>74</v>
      </c>
      <c r="L1" s="21" t="s">
        <v>75</v>
      </c>
    </row>
    <row r="2" spans="1:12" ht="15" customHeight="1" x14ac:dyDescent="0.2">
      <c r="A2" t="str">
        <f t="shared" ref="A2:A65" si="0">IF(C2="","",ROW()-1)</f>
        <v/>
      </c>
      <c r="B2" t="str">
        <f t="array" ref="B2:B1001">IFERROR(INDEX(checklistPesertaKemenkeu!$E$6:$E$1005,SMALL(IF(checklistPesertaKemenkeu!$AY$6:$AY$1005="Direkomendasikan",ROW($6:$1005)-5),ROW()-1)),"")</f>
        <v/>
      </c>
      <c r="C2" s="40" t="str">
        <f t="array" ref="C2">IFERROR(INDEX(checklistPesertaKemenkeu!$F$6:$F$1005,SMALL(IF(checklistPesertaKemenkeu!$AY$6:$AY$1005="Direkomendasikan",ROW($6:$1005)-5),1)),"")</f>
        <v/>
      </c>
      <c r="D2" t="str">
        <f t="array" ref="D2">IFERROR(INDEX(checklistPesertaKemenkeu!$G$6:$G$1005,SMALL(IF(checklistPesertaKemenkeu!$AY$6:$AY$1005="Direkomendasikan",ROW($6:$1005)-5),1)),"")</f>
        <v/>
      </c>
      <c r="E2" t="str">
        <f t="array" ref="E2">IFERROR(INDEX(checklistPesertaKemenkeu!$H$6:$H$1005,SMALL(IF(checklistPesertaKemenkeu!$AY$6:$AY$1005="Direkomendasikan",ROW($6:$1005)-5),1)),"")</f>
        <v/>
      </c>
      <c r="F2" t="str">
        <f t="array" ref="F2">IFERROR(INDEX(checklistPesertaKemenkeu!$I$6:$I$1005,SMALL(IF(checklistPesertaKemenkeu!$AY$6:$AY$1005="Direkomendasikan",ROW($6:$1005)-5),1)),"")</f>
        <v/>
      </c>
      <c r="G2" t="str">
        <f t="array" ref="G2">IFERROR(INDEX(checklistPesertaKemenkeu!$J$6:$J$1005,SMALL(IF(checklistPesertaKemenkeu!$AY$6:$AY$1005="Direkomendasikan",ROW($6:$1005)-5),1)),"")</f>
        <v/>
      </c>
      <c r="H2" t="str">
        <f t="array" aca="1" ref="H2" ca="1">IFERROR(IF(OR(INDEX(checklistPesertaKemenkeu!$L$6:$L$1005,SMALL(IF(checklistPesertaKemenkeu!$AY$6:$AY$1005="Direkomendasikan",ROW($6:$1005)-5),1))="",INDEX(checklistPesertaKemenkeu!$J$6:$J$1005,SMALL(IF(checklistPesertaKemenkeu!$AY$6:$AY$1005="Direkomendasikan",ROW($6:$1005)-5),1))=""),"",IF(AND(COUNTIF(INDIRECT("K_"&amp;MATCH(INDEX(checklistPesertaKemenkeu!$J$6:$J$1005,SMALL(IF(checklistPesertaKemenkeu!$AY$6:$AY$1005="Direkomendasikan",ROW($6:$1005)-5),1)),BidangList,0)),INDEX(checklistPesertaKemenkeu!$L$6:$L$1005,SMALL(IF(checklistPesertaKemenkeu!$AY$6:$AY$1005="Direkomendasikan",ROW($6:$1005)-5),1)))&gt;0,COUNTIF(INDIRECT("'KERTAS KERJA'!K"&amp;(SMALL(IF(checklistPesertaKemenkeu!$AY$6:$AY$1005="Direkomendasikan",ROW($6:$1005)-5),1)+5)&amp;":O"&amp;(SMALL(IF(checklistPesertaKemenkeu!$AY$6:$AY$1005="Direkomendasikan",ROW($6:$1005)-5),1)+5)),INDEX(checklistPesertaKemenkeu!$L$6:$L$1005,SMALL(IF(checklistPesertaKemenkeu!$AY$6:$AY$1005="Direkomendasikan",ROW($6:$1005)-5),1)))=1),IFERROR(VLOOKUP(INDEX(checklistPesertaKemenkeu!$L$6:$L$1005,SMALL(IF(checklistPesertaKemenkeu!$AY$6:$AY$1005="Direkomendasikan",ROW($6:$1005)-5),1)),KotaKode,2,0),"-"),"")),"")</f>
        <v/>
      </c>
      <c r="I2" t="str">
        <f t="array" aca="1" ref="I2" ca="1">IFERROR(IF(OR(INDEX(checklistPesertaKemenkeu!$M$6:$M$1005,SMALL(IF(checklistPesertaKemenkeu!$AY$6:$AY$1005="Direkomendasikan",ROW($6:$1005)-5),1))="",INDEX(checklistPesertaKemenkeu!$J$6:$J$1005,SMALL(IF(checklistPesertaKemenkeu!$AY$6:$AY$1005="Direkomendasikan",ROW($6:$1005)-5),1))=""),"",IF(AND(COUNTIF(INDIRECT("K_"&amp;MATCH(INDEX(checklistPesertaKemenkeu!$J$6:$J$1005,SMALL(IF(checklistPesertaKemenkeu!$AY$6:$AY$1005="Direkomendasikan",ROW($6:$1005)-5),1)),BidangList,0)),INDEX(checklistPesertaKemenkeu!$M$6:$M$1005,SMALL(IF(checklistPesertaKemenkeu!$AY$6:$AY$1005="Direkomendasikan",ROW($6:$1005)-5),1)))&gt;0,COUNTIF(INDIRECT("'KERTAS KERJA'!K"&amp;(SMALL(IF(checklistPesertaKemenkeu!$AY$6:$AY$1005="Direkomendasikan",ROW($6:$1005)-5),1)+5)&amp;":O"&amp;(SMALL(IF(checklistPesertaKemenkeu!$AY$6:$AY$1005="Direkomendasikan",ROW($6:$1005)-5),1)+5)),INDEX(checklistPesertaKemenkeu!$M$6:$M$1005,SMALL(IF(checklistPesertaKemenkeu!$AY$6:$AY$1005="Direkomendasikan",ROW($6:$1005)-5),1)))=1),IFERROR(VLOOKUP(INDEX(checklistPesertaKemenkeu!$M$6:$M$1005,SMALL(IF(checklistPesertaKemenkeu!$AY$6:$AY$1005="Direkomendasikan",ROW($6:$1005)-5),1)),KotaKode,2,0),"-"),"")),"")</f>
        <v/>
      </c>
      <c r="J2" t="str">
        <f t="array" aca="1" ref="J2" ca="1">IFERROR(IF(OR(INDEX(checklistPesertaKemenkeu!$N$6:$N$1005,SMALL(IF(checklistPesertaKemenkeu!$AY$6:$AY$1005="Direkomendasikan",ROW($6:$1005)-5),1))="",INDEX(checklistPesertaKemenkeu!$J$6:$J$1005,SMALL(IF(checklistPesertaKemenkeu!$AY$6:$AY$1005="Direkomendasikan",ROW($6:$1005)-5),1))=""),"",IF(AND(COUNTIF(INDIRECT("K_"&amp;MATCH(INDEX(checklistPesertaKemenkeu!$J$6:$J$1005,SMALL(IF(checklistPesertaKemenkeu!$AY$6:$AY$1005="Direkomendasikan",ROW($6:$1005)-5),1)),BidangList,0)),INDEX(checklistPesertaKemenkeu!$N$6:$N$1005,SMALL(IF(checklistPesertaKemenkeu!$AY$6:$AY$1005="Direkomendasikan",ROW($6:$1005)-5),1)))&gt;0,COUNTIF(INDIRECT("'KERTAS KERJA'!K"&amp;(SMALL(IF(checklistPesertaKemenkeu!$AY$6:$AY$1005="Direkomendasikan",ROW($6:$1005)-5),1)+5)&amp;":O"&amp;(SMALL(IF(checklistPesertaKemenkeu!$AY$6:$AY$1005="Direkomendasikan",ROW($6:$1005)-5),1)+5)),INDEX(checklistPesertaKemenkeu!$N$6:$N$1005,SMALL(IF(checklistPesertaKemenkeu!$AY$6:$AY$1005="Direkomendasikan",ROW($6:$1005)-5),1)))=1),IFERROR(VLOOKUP(INDEX(checklistPesertaKemenkeu!$N$6:$N$1005,SMALL(IF(checklistPesertaKemenkeu!$AY$6:$AY$1005="Direkomendasikan",ROW($6:$1005)-5),1)),KotaKode,2,0),"-"),"")),"")</f>
        <v/>
      </c>
      <c r="K2" t="str">
        <f t="array" aca="1" ref="K2" ca="1">IFERROR(IF(OR(INDEX(checklistPesertaKemenkeu!$O$6:$O$1005,SMALL(IF(checklistPesertaKemenkeu!$AY$6:$AY$1005="Direkomendasikan",ROW($6:$1005)-5),1))="",INDEX(checklistPesertaKemenkeu!$J$6:$J$1005,SMALL(IF(checklistPesertaKemenkeu!$AY$6:$AY$1005="Direkomendasikan",ROW($6:$1005)-5),1))=""),"",IF(AND(COUNTIF(INDIRECT("K_"&amp;MATCH(INDEX(checklistPesertaKemenkeu!$J$6:$J$1005,SMALL(IF(checklistPesertaKemenkeu!$AY$6:$AY$1005="Direkomendasikan",ROW($6:$1005)-5),1)),BidangList,0)),INDEX(checklistPesertaKemenkeu!$O$6:$O$1005,SMALL(IF(checklistPesertaKemenkeu!$AY$6:$AY$1005="Direkomendasikan",ROW($6:$1005)-5),1)))&gt;0,COUNTIF(INDIRECT("'KERTAS KERJA'!K"&amp;(SMALL(IF(checklistPesertaKemenkeu!$AY$6:$AY$1005="Direkomendasikan",ROW($6:$1005)-5),1)+5)&amp;":O"&amp;(SMALL(IF(checklistPesertaKemenkeu!$AY$6:$AY$1005="Direkomendasikan",ROW($6:$1005)-5),1)+5)),INDEX(checklistPesertaKemenkeu!$O$6:$O$1005,SMALL(IF(checklistPesertaKemenkeu!$AY$6:$AY$1005="Direkomendasikan",ROW($6:$1005)-5),1)))=1),IFERROR(VLOOKUP(INDEX(checklistPesertaKemenkeu!$O$6:$O$1005,SMALL(IF(checklistPesertaKemenkeu!$AY$6:$AY$1005="Direkomendasikan",ROW($6:$1005)-5),1)),KotaKode,2,0),"-"),"")),"")</f>
        <v/>
      </c>
      <c r="L2" t="str">
        <f t="array" aca="1" ref="L2" ca="1">IFERROR(IF(OR(INDEX(checklistPesertaKemenkeu!$P$6:$P$1005,SMALL(IF(checklistPesertaKemenkeu!$AY$6:$AY$1005="Direkomendasikan",ROW($6:$1005)-5),1))="",INDEX(checklistPesertaKemenkeu!$J$6:$J$1005,SMALL(IF(checklistPesertaKemenkeu!$AY$6:$AY$1005="Direkomendasikan",ROW($6:$1005)-5),1))=""),"",IF(AND(COUNTIF(INDIRECT("K_"&amp;MATCH(INDEX(checklistPesertaKemenkeu!$J$6:$J$1005,SMALL(IF(checklistPesertaKemenkeu!$AY$6:$AY$1005="Direkomendasikan",ROW($6:$1005)-5),1)),BidangList,0)),INDEX(checklistPesertaKemenkeu!$P$6:$P$1005,SMALL(IF(checklistPesertaKemenkeu!$AY$6:$AY$1005="Direkomendasikan",ROW($6:$1005)-5),1)))&gt;0,COUNTIF(INDIRECT("'KERTAS KERJA'!K"&amp;(SMALL(IF(checklistPesertaKemenkeu!$AY$6:$AY$1005="Direkomendasikan",ROW($6:$1005)-5),1)+5)&amp;":O"&amp;(SMALL(IF(checklistPesertaKemenkeu!$AY$6:$AY$1005="Direkomendasikan",ROW($6:$1005)-5),1)+5)),INDEX(checklistPesertaKemenkeu!$P$6:$P$1005,SMALL(IF(checklistPesertaKemenkeu!$AY$6:$AY$1005="Direkomendasikan",ROW($6:$1005)-5),1)))=1),IFERROR(VLOOKUP(INDEX(checklistPesertaKemenkeu!$P$6:$P$1005,SMALL(IF(checklistPesertaKemenkeu!$AY$6:$AY$1005="Direkomendasikan",ROW($6:$1005)-5),1)),KotaKode,2,0),"-"),"")),"")</f>
        <v/>
      </c>
    </row>
    <row r="3" spans="1:12" ht="15" customHeight="1" x14ac:dyDescent="0.2">
      <c r="A3" t="str">
        <f t="shared" si="0"/>
        <v/>
      </c>
      <c r="B3" t="str">
        <v/>
      </c>
      <c r="C3" s="40" t="str">
        <f t="array" ref="C3">IFERROR(INDEX(checklistPesertaKemenkeu!$F$6:$F$1005,SMALL(IF(checklistPesertaKemenkeu!$AY$6:$AY$1005="Direkomendasikan",ROW($6:$1005)-5),2)),"")</f>
        <v/>
      </c>
      <c r="D3" t="str">
        <f t="array" ref="D3">IFERROR(INDEX(checklistPesertaKemenkeu!$G$6:$G$1005,SMALL(IF(checklistPesertaKemenkeu!$AY$6:$AY$1005="Direkomendasikan",ROW($6:$1005)-5),2)),"")</f>
        <v/>
      </c>
      <c r="E3" t="str">
        <f t="array" ref="E3">IFERROR(INDEX(checklistPesertaKemenkeu!$H$6:$H$1005,SMALL(IF(checklistPesertaKemenkeu!$AY$6:$AY$1005="Direkomendasikan",ROW($6:$1005)-5),2)),"")</f>
        <v/>
      </c>
      <c r="F3" t="str">
        <f t="array" ref="F3">IFERROR(INDEX(checklistPesertaKemenkeu!$I$6:$I$1005,SMALL(IF(checklistPesertaKemenkeu!$AY$6:$AY$1005="Direkomendasikan",ROW($6:$1005)-5),2)),"")</f>
        <v/>
      </c>
      <c r="G3" t="str">
        <f t="array" ref="G3">IFERROR(INDEX(checklistPesertaKemenkeu!$J$6:$J$1005,SMALL(IF(checklistPesertaKemenkeu!$AY$6:$AY$1005="Direkomendasikan",ROW($6:$1005)-5),2)),"")</f>
        <v/>
      </c>
      <c r="H3" t="str">
        <f t="array" aca="1" ref="H3" ca="1">IFERROR(IF(OR(INDEX(checklistPesertaKemenkeu!$L$6:$L$1005,SMALL(IF(checklistPesertaKemenkeu!$AY$6:$AY$1005="Direkomendasikan",ROW($6:$1005)-5),2))="",INDEX(checklistPesertaKemenkeu!$J$6:$J$1005,SMALL(IF(checklistPesertaKemenkeu!$AY$6:$AY$1005="Direkomendasikan",ROW($6:$1005)-5),2))=""),"",IF(AND(COUNTIF(INDIRECT("K_"&amp;MATCH(INDEX(checklistPesertaKemenkeu!$J$6:$J$1005,SMALL(IF(checklistPesertaKemenkeu!$AY$6:$AY$1005="Direkomendasikan",ROW($6:$1005)-5),2)),BidangList,0)),INDEX(checklistPesertaKemenkeu!$L$6:$L$1005,SMALL(IF(checklistPesertaKemenkeu!$AY$6:$AY$1005="Direkomendasikan",ROW($6:$1005)-5),2)))&gt;0,COUNTIF(INDIRECT("'KERTAS KERJA'!K"&amp;(SMALL(IF(checklistPesertaKemenkeu!$AY$6:$AY$1005="Direkomendasikan",ROW($6:$1005)-5),2)+5)&amp;":O"&amp;(SMALL(IF(checklistPesertaKemenkeu!$AY$6:$AY$1005="Direkomendasikan",ROW($6:$1005)-5),2)+5)),INDEX(checklistPesertaKemenkeu!$L$6:$L$1005,SMALL(IF(checklistPesertaKemenkeu!$AY$6:$AY$1005="Direkomendasikan",ROW($6:$1005)-5),2)))=1),IFERROR(VLOOKUP(INDEX(checklistPesertaKemenkeu!$L$6:$L$1005,SMALL(IF(checklistPesertaKemenkeu!$AY$6:$AY$1005="Direkomendasikan",ROW($6:$1005)-5),2)),KotaKode,2,0),"-"),"")),"")</f>
        <v/>
      </c>
      <c r="I3" t="str">
        <f t="array" aca="1" ref="I3" ca="1">IFERROR(IF(OR(INDEX(checklistPesertaKemenkeu!$M$6:$M$1005,SMALL(IF(checklistPesertaKemenkeu!$AY$6:$AY$1005="Direkomendasikan",ROW($6:$1005)-5),2))="",INDEX(checklistPesertaKemenkeu!$J$6:$J$1005,SMALL(IF(checklistPesertaKemenkeu!$AY$6:$AY$1005="Direkomendasikan",ROW($6:$1005)-5),2))=""),"",IF(AND(COUNTIF(INDIRECT("K_"&amp;MATCH(INDEX(checklistPesertaKemenkeu!$J$6:$J$1005,SMALL(IF(checklistPesertaKemenkeu!$AY$6:$AY$1005="Direkomendasikan",ROW($6:$1005)-5),2)),BidangList,0)),INDEX(checklistPesertaKemenkeu!$M$6:$M$1005,SMALL(IF(checklistPesertaKemenkeu!$AY$6:$AY$1005="Direkomendasikan",ROW($6:$1005)-5),2)))&gt;0,COUNTIF(INDIRECT("'KERTAS KERJA'!K"&amp;(SMALL(IF(checklistPesertaKemenkeu!$AY$6:$AY$1005="Direkomendasikan",ROW($6:$1005)-5),2)+5)&amp;":O"&amp;(SMALL(IF(checklistPesertaKemenkeu!$AY$6:$AY$1005="Direkomendasikan",ROW($6:$1005)-5),2)+5)),INDEX(checklistPesertaKemenkeu!$M$6:$M$1005,SMALL(IF(checklistPesertaKemenkeu!$AY$6:$AY$1005="Direkomendasikan",ROW($6:$1005)-5),2)))=1),IFERROR(VLOOKUP(INDEX(checklistPesertaKemenkeu!$M$6:$M$1005,SMALL(IF(checklistPesertaKemenkeu!$AY$6:$AY$1005="Direkomendasikan",ROW($6:$1005)-5),2)),KotaKode,2,0),"-"),"")),"")</f>
        <v/>
      </c>
      <c r="J3" t="str">
        <f t="array" aca="1" ref="J3" ca="1">IFERROR(IF(OR(INDEX(checklistPesertaKemenkeu!$N$6:$N$1005,SMALL(IF(checklistPesertaKemenkeu!$AY$6:$AY$1005="Direkomendasikan",ROW($6:$1005)-5),2))="",INDEX(checklistPesertaKemenkeu!$J$6:$J$1005,SMALL(IF(checklistPesertaKemenkeu!$AY$6:$AY$1005="Direkomendasikan",ROW($6:$1005)-5),2))=""),"",IF(AND(COUNTIF(INDIRECT("K_"&amp;MATCH(INDEX(checklistPesertaKemenkeu!$J$6:$J$1005,SMALL(IF(checklistPesertaKemenkeu!$AY$6:$AY$1005="Direkomendasikan",ROW($6:$1005)-5),2)),BidangList,0)),INDEX(checklistPesertaKemenkeu!$N$6:$N$1005,SMALL(IF(checklistPesertaKemenkeu!$AY$6:$AY$1005="Direkomendasikan",ROW($6:$1005)-5),2)))&gt;0,COUNTIF(INDIRECT("'KERTAS KERJA'!K"&amp;(SMALL(IF(checklistPesertaKemenkeu!$AY$6:$AY$1005="Direkomendasikan",ROW($6:$1005)-5),2)+5)&amp;":O"&amp;(SMALL(IF(checklistPesertaKemenkeu!$AY$6:$AY$1005="Direkomendasikan",ROW($6:$1005)-5),2)+5)),INDEX(checklistPesertaKemenkeu!$N$6:$N$1005,SMALL(IF(checklistPesertaKemenkeu!$AY$6:$AY$1005="Direkomendasikan",ROW($6:$1005)-5),2)))=1),IFERROR(VLOOKUP(INDEX(checklistPesertaKemenkeu!$N$6:$N$1005,SMALL(IF(checklistPesertaKemenkeu!$AY$6:$AY$1005="Direkomendasikan",ROW($6:$1005)-5),2)),KotaKode,2,0),"-"),"")),"")</f>
        <v/>
      </c>
      <c r="K3" t="str">
        <f t="array" aca="1" ref="K3" ca="1">IFERROR(IF(OR(INDEX(checklistPesertaKemenkeu!$O$6:$O$1005,SMALL(IF(checklistPesertaKemenkeu!$AY$6:$AY$1005="Direkomendasikan",ROW($6:$1005)-5),2))="",INDEX(checklistPesertaKemenkeu!$J$6:$J$1005,SMALL(IF(checklistPesertaKemenkeu!$AY$6:$AY$1005="Direkomendasikan",ROW($6:$1005)-5),2))=""),"",IF(AND(COUNTIF(INDIRECT("K_"&amp;MATCH(INDEX(checklistPesertaKemenkeu!$J$6:$J$1005,SMALL(IF(checklistPesertaKemenkeu!$AY$6:$AY$1005="Direkomendasikan",ROW($6:$1005)-5),2)),BidangList,0)),INDEX(checklistPesertaKemenkeu!$O$6:$O$1005,SMALL(IF(checklistPesertaKemenkeu!$AY$6:$AY$1005="Direkomendasikan",ROW($6:$1005)-5),2)))&gt;0,COUNTIF(INDIRECT("'KERTAS KERJA'!K"&amp;(SMALL(IF(checklistPesertaKemenkeu!$AY$6:$AY$1005="Direkomendasikan",ROW($6:$1005)-5),2)+5)&amp;":O"&amp;(SMALL(IF(checklistPesertaKemenkeu!$AY$6:$AY$1005="Direkomendasikan",ROW($6:$1005)-5),2)+5)),INDEX(checklistPesertaKemenkeu!$O$6:$O$1005,SMALL(IF(checklistPesertaKemenkeu!$AY$6:$AY$1005="Direkomendasikan",ROW($6:$1005)-5),2)))=1),IFERROR(VLOOKUP(INDEX(checklistPesertaKemenkeu!$O$6:$O$1005,SMALL(IF(checklistPesertaKemenkeu!$AY$6:$AY$1005="Direkomendasikan",ROW($6:$1005)-5),2)),KotaKode,2,0),"-"),"")),"")</f>
        <v/>
      </c>
      <c r="L3" t="str">
        <f t="array" aca="1" ref="L3" ca="1">IFERROR(IF(OR(INDEX(checklistPesertaKemenkeu!$P$6:$P$1005,SMALL(IF(checklistPesertaKemenkeu!$AY$6:$AY$1005="Direkomendasikan",ROW($6:$1005)-5),2))="",INDEX(checklistPesertaKemenkeu!$J$6:$J$1005,SMALL(IF(checklistPesertaKemenkeu!$AY$6:$AY$1005="Direkomendasikan",ROW($6:$1005)-5),2))=""),"",IF(AND(COUNTIF(INDIRECT("K_"&amp;MATCH(INDEX(checklistPesertaKemenkeu!$J$6:$J$1005,SMALL(IF(checklistPesertaKemenkeu!$AY$6:$AY$1005="Direkomendasikan",ROW($6:$1005)-5),2)),BidangList,0)),INDEX(checklistPesertaKemenkeu!$P$6:$P$1005,SMALL(IF(checklistPesertaKemenkeu!$AY$6:$AY$1005="Direkomendasikan",ROW($6:$1005)-5),2)))&gt;0,COUNTIF(INDIRECT("'KERTAS KERJA'!K"&amp;(SMALL(IF(checklistPesertaKemenkeu!$AY$6:$AY$1005="Direkomendasikan",ROW($6:$1005)-5),2)+5)&amp;":O"&amp;(SMALL(IF(checklistPesertaKemenkeu!$AY$6:$AY$1005="Direkomendasikan",ROW($6:$1005)-5),2)+5)),INDEX(checklistPesertaKemenkeu!$P$6:$P$1005,SMALL(IF(checklistPesertaKemenkeu!$AY$6:$AY$1005="Direkomendasikan",ROW($6:$1005)-5),2)))=1),IFERROR(VLOOKUP(INDEX(checklistPesertaKemenkeu!$P$6:$P$1005,SMALL(IF(checklistPesertaKemenkeu!$AY$6:$AY$1005="Direkomendasikan",ROW($6:$1005)-5),2)),KotaKode,2,0),"-"),"")),"")</f>
        <v/>
      </c>
    </row>
    <row r="4" spans="1:12" ht="15" customHeight="1" x14ac:dyDescent="0.2">
      <c r="A4" t="str">
        <f t="shared" si="0"/>
        <v/>
      </c>
      <c r="B4" t="str">
        <v/>
      </c>
      <c r="C4" s="40" t="str">
        <f t="array" ref="C4">IFERROR(INDEX(checklistPesertaKemenkeu!$F$6:$F$1005,SMALL(IF(checklistPesertaKemenkeu!$AY$6:$AY$1005="Direkomendasikan",ROW($6:$1005)-5),3)),"")</f>
        <v/>
      </c>
      <c r="D4" t="str">
        <f t="array" ref="D4">IFERROR(INDEX(checklistPesertaKemenkeu!$G$6:$G$1005,SMALL(IF(checklistPesertaKemenkeu!$AY$6:$AY$1005="Direkomendasikan",ROW($6:$1005)-5),3)),"")</f>
        <v/>
      </c>
      <c r="E4" t="str">
        <f t="array" ref="E4">IFERROR(INDEX(checklistPesertaKemenkeu!$H$6:$H$1005,SMALL(IF(checklistPesertaKemenkeu!$AY$6:$AY$1005="Direkomendasikan",ROW($6:$1005)-5),3)),"")</f>
        <v/>
      </c>
      <c r="F4" t="str">
        <f t="array" ref="F4">IFERROR(INDEX(checklistPesertaKemenkeu!$I$6:$I$1005,SMALL(IF(checklistPesertaKemenkeu!$AY$6:$AY$1005="Direkomendasikan",ROW($6:$1005)-5),3)),"")</f>
        <v/>
      </c>
      <c r="G4" t="str">
        <f t="array" ref="G4">IFERROR(INDEX(checklistPesertaKemenkeu!$J$6:$J$1005,SMALL(IF(checklistPesertaKemenkeu!$AY$6:$AY$1005="Direkomendasikan",ROW($6:$1005)-5),3)),"")</f>
        <v/>
      </c>
      <c r="H4" t="str">
        <f t="array" aca="1" ref="H4" ca="1">IFERROR(IF(OR(INDEX(checklistPesertaKemenkeu!$L$6:$L$1005,SMALL(IF(checklistPesertaKemenkeu!$AY$6:$AY$1005="Direkomendasikan",ROW($6:$1005)-5),3))="",INDEX(checklistPesertaKemenkeu!$J$6:$J$1005,SMALL(IF(checklistPesertaKemenkeu!$AY$6:$AY$1005="Direkomendasikan",ROW($6:$1005)-5),3))=""),"",IF(AND(COUNTIF(INDIRECT("K_"&amp;MATCH(INDEX(checklistPesertaKemenkeu!$J$6:$J$1005,SMALL(IF(checklistPesertaKemenkeu!$AY$6:$AY$1005="Direkomendasikan",ROW($6:$1005)-5),3)),BidangList,0)),INDEX(checklistPesertaKemenkeu!$L$6:$L$1005,SMALL(IF(checklistPesertaKemenkeu!$AY$6:$AY$1005="Direkomendasikan",ROW($6:$1005)-5),3)))&gt;0,COUNTIF(INDIRECT("'KERTAS KERJA'!K"&amp;(SMALL(IF(checklistPesertaKemenkeu!$AY$6:$AY$1005="Direkomendasikan",ROW($6:$1005)-5),3)+5)&amp;":O"&amp;(SMALL(IF(checklistPesertaKemenkeu!$AY$6:$AY$1005="Direkomendasikan",ROW($6:$1005)-5),3)+5)),INDEX(checklistPesertaKemenkeu!$L$6:$L$1005,SMALL(IF(checklistPesertaKemenkeu!$AY$6:$AY$1005="Direkomendasikan",ROW($6:$1005)-5),3)))=1),IFERROR(VLOOKUP(INDEX(checklistPesertaKemenkeu!$L$6:$L$1005,SMALL(IF(checklistPesertaKemenkeu!$AY$6:$AY$1005="Direkomendasikan",ROW($6:$1005)-5),3)),KotaKode,2,0),"-"),"")),"")</f>
        <v/>
      </c>
      <c r="I4" t="str">
        <f t="array" aca="1" ref="I4" ca="1">IFERROR(IF(OR(INDEX(checklistPesertaKemenkeu!$M$6:$M$1005,SMALL(IF(checklistPesertaKemenkeu!$AY$6:$AY$1005="Direkomendasikan",ROW($6:$1005)-5),3))="",INDEX(checklistPesertaKemenkeu!$J$6:$J$1005,SMALL(IF(checklistPesertaKemenkeu!$AY$6:$AY$1005="Direkomendasikan",ROW($6:$1005)-5),3))=""),"",IF(AND(COUNTIF(INDIRECT("K_"&amp;MATCH(INDEX(checklistPesertaKemenkeu!$J$6:$J$1005,SMALL(IF(checklistPesertaKemenkeu!$AY$6:$AY$1005="Direkomendasikan",ROW($6:$1005)-5),3)),BidangList,0)),INDEX(checklistPesertaKemenkeu!$M$6:$M$1005,SMALL(IF(checklistPesertaKemenkeu!$AY$6:$AY$1005="Direkomendasikan",ROW($6:$1005)-5),3)))&gt;0,COUNTIF(INDIRECT("'KERTAS KERJA'!K"&amp;(SMALL(IF(checklistPesertaKemenkeu!$AY$6:$AY$1005="Direkomendasikan",ROW($6:$1005)-5),3)+5)&amp;":O"&amp;(SMALL(IF(checklistPesertaKemenkeu!$AY$6:$AY$1005="Direkomendasikan",ROW($6:$1005)-5),3)+5)),INDEX(checklistPesertaKemenkeu!$M$6:$M$1005,SMALL(IF(checklistPesertaKemenkeu!$AY$6:$AY$1005="Direkomendasikan",ROW($6:$1005)-5),3)))=1),IFERROR(VLOOKUP(INDEX(checklistPesertaKemenkeu!$M$6:$M$1005,SMALL(IF(checklistPesertaKemenkeu!$AY$6:$AY$1005="Direkomendasikan",ROW($6:$1005)-5),3)),KotaKode,2,0),"-"),"")),"")</f>
        <v/>
      </c>
      <c r="J4" t="str">
        <f t="array" aca="1" ref="J4" ca="1">IFERROR(IF(OR(INDEX(checklistPesertaKemenkeu!$N$6:$N$1005,SMALL(IF(checklistPesertaKemenkeu!$AY$6:$AY$1005="Direkomendasikan",ROW($6:$1005)-5),3))="",INDEX(checklistPesertaKemenkeu!$J$6:$J$1005,SMALL(IF(checklistPesertaKemenkeu!$AY$6:$AY$1005="Direkomendasikan",ROW($6:$1005)-5),3))=""),"",IF(AND(COUNTIF(INDIRECT("K_"&amp;MATCH(INDEX(checklistPesertaKemenkeu!$J$6:$J$1005,SMALL(IF(checklistPesertaKemenkeu!$AY$6:$AY$1005="Direkomendasikan",ROW($6:$1005)-5),3)),BidangList,0)),INDEX(checklistPesertaKemenkeu!$N$6:$N$1005,SMALL(IF(checklistPesertaKemenkeu!$AY$6:$AY$1005="Direkomendasikan",ROW($6:$1005)-5),3)))&gt;0,COUNTIF(INDIRECT("'KERTAS KERJA'!K"&amp;(SMALL(IF(checklistPesertaKemenkeu!$AY$6:$AY$1005="Direkomendasikan",ROW($6:$1005)-5),3)+5)&amp;":O"&amp;(SMALL(IF(checklistPesertaKemenkeu!$AY$6:$AY$1005="Direkomendasikan",ROW($6:$1005)-5),3)+5)),INDEX(checklistPesertaKemenkeu!$N$6:$N$1005,SMALL(IF(checklistPesertaKemenkeu!$AY$6:$AY$1005="Direkomendasikan",ROW($6:$1005)-5),3)))=1),IFERROR(VLOOKUP(INDEX(checklistPesertaKemenkeu!$N$6:$N$1005,SMALL(IF(checklistPesertaKemenkeu!$AY$6:$AY$1005="Direkomendasikan",ROW($6:$1005)-5),3)),KotaKode,2,0),"-"),"")),"")</f>
        <v/>
      </c>
      <c r="K4" t="str">
        <f t="array" aca="1" ref="K4" ca="1">IFERROR(IF(OR(INDEX(checklistPesertaKemenkeu!$O$6:$O$1005,SMALL(IF(checklistPesertaKemenkeu!$AY$6:$AY$1005="Direkomendasikan",ROW($6:$1005)-5),3))="",INDEX(checklistPesertaKemenkeu!$J$6:$J$1005,SMALL(IF(checklistPesertaKemenkeu!$AY$6:$AY$1005="Direkomendasikan",ROW($6:$1005)-5),3))=""),"",IF(AND(COUNTIF(INDIRECT("K_"&amp;MATCH(INDEX(checklistPesertaKemenkeu!$J$6:$J$1005,SMALL(IF(checklistPesertaKemenkeu!$AY$6:$AY$1005="Direkomendasikan",ROW($6:$1005)-5),3)),BidangList,0)),INDEX(checklistPesertaKemenkeu!$O$6:$O$1005,SMALL(IF(checklistPesertaKemenkeu!$AY$6:$AY$1005="Direkomendasikan",ROW($6:$1005)-5),3)))&gt;0,COUNTIF(INDIRECT("'KERTAS KERJA'!K"&amp;(SMALL(IF(checklistPesertaKemenkeu!$AY$6:$AY$1005="Direkomendasikan",ROW($6:$1005)-5),3)+5)&amp;":O"&amp;(SMALL(IF(checklistPesertaKemenkeu!$AY$6:$AY$1005="Direkomendasikan",ROW($6:$1005)-5),3)+5)),INDEX(checklistPesertaKemenkeu!$O$6:$O$1005,SMALL(IF(checklistPesertaKemenkeu!$AY$6:$AY$1005="Direkomendasikan",ROW($6:$1005)-5),3)))=1),IFERROR(VLOOKUP(INDEX(checklistPesertaKemenkeu!$O$6:$O$1005,SMALL(IF(checklistPesertaKemenkeu!$AY$6:$AY$1005="Direkomendasikan",ROW($6:$1005)-5),3)),KotaKode,2,0),"-"),"")),"")</f>
        <v/>
      </c>
      <c r="L4" t="str">
        <f t="array" aca="1" ref="L4" ca="1">IFERROR(IF(OR(INDEX(checklistPesertaKemenkeu!$P$6:$P$1005,SMALL(IF(checklistPesertaKemenkeu!$AY$6:$AY$1005="Direkomendasikan",ROW($6:$1005)-5),3))="",INDEX(checklistPesertaKemenkeu!$J$6:$J$1005,SMALL(IF(checklistPesertaKemenkeu!$AY$6:$AY$1005="Direkomendasikan",ROW($6:$1005)-5),3))=""),"",IF(AND(COUNTIF(INDIRECT("K_"&amp;MATCH(INDEX(checklistPesertaKemenkeu!$J$6:$J$1005,SMALL(IF(checklistPesertaKemenkeu!$AY$6:$AY$1005="Direkomendasikan",ROW($6:$1005)-5),3)),BidangList,0)),INDEX(checklistPesertaKemenkeu!$P$6:$P$1005,SMALL(IF(checklistPesertaKemenkeu!$AY$6:$AY$1005="Direkomendasikan",ROW($6:$1005)-5),3)))&gt;0,COUNTIF(INDIRECT("'KERTAS KERJA'!K"&amp;(SMALL(IF(checklistPesertaKemenkeu!$AY$6:$AY$1005="Direkomendasikan",ROW($6:$1005)-5),3)+5)&amp;":O"&amp;(SMALL(IF(checklistPesertaKemenkeu!$AY$6:$AY$1005="Direkomendasikan",ROW($6:$1005)-5),3)+5)),INDEX(checklistPesertaKemenkeu!$P$6:$P$1005,SMALL(IF(checklistPesertaKemenkeu!$AY$6:$AY$1005="Direkomendasikan",ROW($6:$1005)-5),3)))=1),IFERROR(VLOOKUP(INDEX(checklistPesertaKemenkeu!$P$6:$P$1005,SMALL(IF(checklistPesertaKemenkeu!$AY$6:$AY$1005="Direkomendasikan",ROW($6:$1005)-5),3)),KotaKode,2,0),"-"),"")),"")</f>
        <v/>
      </c>
    </row>
    <row r="5" spans="1:12" ht="15" customHeight="1" x14ac:dyDescent="0.2">
      <c r="A5" t="str">
        <f t="shared" si="0"/>
        <v/>
      </c>
      <c r="B5" t="str">
        <v/>
      </c>
      <c r="C5" s="40" t="str">
        <f t="array" ref="C5">IFERROR(INDEX(checklistPesertaKemenkeu!$F$6:$F$1005,SMALL(IF(checklistPesertaKemenkeu!$AY$6:$AY$1005="Direkomendasikan",ROW($6:$1005)-5),4)),"")</f>
        <v/>
      </c>
      <c r="D5" t="str">
        <f t="array" ref="D5">IFERROR(INDEX(checklistPesertaKemenkeu!$G$6:$G$1005,SMALL(IF(checklistPesertaKemenkeu!$AY$6:$AY$1005="Direkomendasikan",ROW($6:$1005)-5),4)),"")</f>
        <v/>
      </c>
      <c r="E5" t="str">
        <f t="array" ref="E5">IFERROR(INDEX(checklistPesertaKemenkeu!$H$6:$H$1005,SMALL(IF(checklistPesertaKemenkeu!$AY$6:$AY$1005="Direkomendasikan",ROW($6:$1005)-5),4)),"")</f>
        <v/>
      </c>
      <c r="F5" t="str">
        <f t="array" ref="F5">IFERROR(INDEX(checklistPesertaKemenkeu!$I$6:$I$1005,SMALL(IF(checklistPesertaKemenkeu!$AY$6:$AY$1005="Direkomendasikan",ROW($6:$1005)-5),4)),"")</f>
        <v/>
      </c>
      <c r="G5" t="str">
        <f t="array" ref="G5">IFERROR(INDEX(checklistPesertaKemenkeu!$J$6:$J$1005,SMALL(IF(checklistPesertaKemenkeu!$AY$6:$AY$1005="Direkomendasikan",ROW($6:$1005)-5),4)),"")</f>
        <v/>
      </c>
      <c r="H5" t="str">
        <f t="array" aca="1" ref="H5" ca="1">IFERROR(IF(OR(INDEX(checklistPesertaKemenkeu!$L$6:$L$1005,SMALL(IF(checklistPesertaKemenkeu!$AY$6:$AY$1005="Direkomendasikan",ROW($6:$1005)-5),4))="",INDEX(checklistPesertaKemenkeu!$J$6:$J$1005,SMALL(IF(checklistPesertaKemenkeu!$AY$6:$AY$1005="Direkomendasikan",ROW($6:$1005)-5),4))=""),"",IF(AND(COUNTIF(INDIRECT("K_"&amp;MATCH(INDEX(checklistPesertaKemenkeu!$J$6:$J$1005,SMALL(IF(checklistPesertaKemenkeu!$AY$6:$AY$1005="Direkomendasikan",ROW($6:$1005)-5),4)),BidangList,0)),INDEX(checklistPesertaKemenkeu!$L$6:$L$1005,SMALL(IF(checklistPesertaKemenkeu!$AY$6:$AY$1005="Direkomendasikan",ROW($6:$1005)-5),4)))&gt;0,COUNTIF(INDIRECT("'KERTAS KERJA'!K"&amp;(SMALL(IF(checklistPesertaKemenkeu!$AY$6:$AY$1005="Direkomendasikan",ROW($6:$1005)-5),4)+5)&amp;":O"&amp;(SMALL(IF(checklistPesertaKemenkeu!$AY$6:$AY$1005="Direkomendasikan",ROW($6:$1005)-5),4)+5)),INDEX(checklistPesertaKemenkeu!$L$6:$L$1005,SMALL(IF(checklistPesertaKemenkeu!$AY$6:$AY$1005="Direkomendasikan",ROW($6:$1005)-5),4)))=1),IFERROR(VLOOKUP(INDEX(checklistPesertaKemenkeu!$L$6:$L$1005,SMALL(IF(checklistPesertaKemenkeu!$AY$6:$AY$1005="Direkomendasikan",ROW($6:$1005)-5),4)),KotaKode,2,0),"-"),"")),"")</f>
        <v/>
      </c>
      <c r="I5" t="str">
        <f t="array" aca="1" ref="I5" ca="1">IFERROR(IF(OR(INDEX(checklistPesertaKemenkeu!$M$6:$M$1005,SMALL(IF(checklistPesertaKemenkeu!$AY$6:$AY$1005="Direkomendasikan",ROW($6:$1005)-5),4))="",INDEX(checklistPesertaKemenkeu!$J$6:$J$1005,SMALL(IF(checklistPesertaKemenkeu!$AY$6:$AY$1005="Direkomendasikan",ROW($6:$1005)-5),4))=""),"",IF(AND(COUNTIF(INDIRECT("K_"&amp;MATCH(INDEX(checklistPesertaKemenkeu!$J$6:$J$1005,SMALL(IF(checklistPesertaKemenkeu!$AY$6:$AY$1005="Direkomendasikan",ROW($6:$1005)-5),4)),BidangList,0)),INDEX(checklistPesertaKemenkeu!$M$6:$M$1005,SMALL(IF(checklistPesertaKemenkeu!$AY$6:$AY$1005="Direkomendasikan",ROW($6:$1005)-5),4)))&gt;0,COUNTIF(INDIRECT("'KERTAS KERJA'!K"&amp;(SMALL(IF(checklistPesertaKemenkeu!$AY$6:$AY$1005="Direkomendasikan",ROW($6:$1005)-5),4)+5)&amp;":O"&amp;(SMALL(IF(checklistPesertaKemenkeu!$AY$6:$AY$1005="Direkomendasikan",ROW($6:$1005)-5),4)+5)),INDEX(checklistPesertaKemenkeu!$M$6:$M$1005,SMALL(IF(checklistPesertaKemenkeu!$AY$6:$AY$1005="Direkomendasikan",ROW($6:$1005)-5),4)))=1),IFERROR(VLOOKUP(INDEX(checklistPesertaKemenkeu!$M$6:$M$1005,SMALL(IF(checklistPesertaKemenkeu!$AY$6:$AY$1005="Direkomendasikan",ROW($6:$1005)-5),4)),KotaKode,2,0),"-"),"")),"")</f>
        <v/>
      </c>
      <c r="J5" t="str">
        <f t="array" aca="1" ref="J5" ca="1">IFERROR(IF(OR(INDEX(checklistPesertaKemenkeu!$N$6:$N$1005,SMALL(IF(checklistPesertaKemenkeu!$AY$6:$AY$1005="Direkomendasikan",ROW($6:$1005)-5),4))="",INDEX(checklistPesertaKemenkeu!$J$6:$J$1005,SMALL(IF(checklistPesertaKemenkeu!$AY$6:$AY$1005="Direkomendasikan",ROW($6:$1005)-5),4))=""),"",IF(AND(COUNTIF(INDIRECT("K_"&amp;MATCH(INDEX(checklistPesertaKemenkeu!$J$6:$J$1005,SMALL(IF(checklistPesertaKemenkeu!$AY$6:$AY$1005="Direkomendasikan",ROW($6:$1005)-5),4)),BidangList,0)),INDEX(checklistPesertaKemenkeu!$N$6:$N$1005,SMALL(IF(checklistPesertaKemenkeu!$AY$6:$AY$1005="Direkomendasikan",ROW($6:$1005)-5),4)))&gt;0,COUNTIF(INDIRECT("'KERTAS KERJA'!K"&amp;(SMALL(IF(checklistPesertaKemenkeu!$AY$6:$AY$1005="Direkomendasikan",ROW($6:$1005)-5),4)+5)&amp;":O"&amp;(SMALL(IF(checklistPesertaKemenkeu!$AY$6:$AY$1005="Direkomendasikan",ROW($6:$1005)-5),4)+5)),INDEX(checklistPesertaKemenkeu!$N$6:$N$1005,SMALL(IF(checklistPesertaKemenkeu!$AY$6:$AY$1005="Direkomendasikan",ROW($6:$1005)-5),4)))=1),IFERROR(VLOOKUP(INDEX(checklistPesertaKemenkeu!$N$6:$N$1005,SMALL(IF(checklistPesertaKemenkeu!$AY$6:$AY$1005="Direkomendasikan",ROW($6:$1005)-5),4)),KotaKode,2,0),"-"),"")),"")</f>
        <v/>
      </c>
      <c r="K5" t="str">
        <f t="array" aca="1" ref="K5" ca="1">IFERROR(IF(OR(INDEX(checklistPesertaKemenkeu!$O$6:$O$1005,SMALL(IF(checklistPesertaKemenkeu!$AY$6:$AY$1005="Direkomendasikan",ROW($6:$1005)-5),4))="",INDEX(checklistPesertaKemenkeu!$J$6:$J$1005,SMALL(IF(checklistPesertaKemenkeu!$AY$6:$AY$1005="Direkomendasikan",ROW($6:$1005)-5),4))=""),"",IF(AND(COUNTIF(INDIRECT("K_"&amp;MATCH(INDEX(checklistPesertaKemenkeu!$J$6:$J$1005,SMALL(IF(checklistPesertaKemenkeu!$AY$6:$AY$1005="Direkomendasikan",ROW($6:$1005)-5),4)),BidangList,0)),INDEX(checklistPesertaKemenkeu!$O$6:$O$1005,SMALL(IF(checklistPesertaKemenkeu!$AY$6:$AY$1005="Direkomendasikan",ROW($6:$1005)-5),4)))&gt;0,COUNTIF(INDIRECT("'KERTAS KERJA'!K"&amp;(SMALL(IF(checklistPesertaKemenkeu!$AY$6:$AY$1005="Direkomendasikan",ROW($6:$1005)-5),4)+5)&amp;":O"&amp;(SMALL(IF(checklistPesertaKemenkeu!$AY$6:$AY$1005="Direkomendasikan",ROW($6:$1005)-5),4)+5)),INDEX(checklistPesertaKemenkeu!$O$6:$O$1005,SMALL(IF(checklistPesertaKemenkeu!$AY$6:$AY$1005="Direkomendasikan",ROW($6:$1005)-5),4)))=1),IFERROR(VLOOKUP(INDEX(checklistPesertaKemenkeu!$O$6:$O$1005,SMALL(IF(checklistPesertaKemenkeu!$AY$6:$AY$1005="Direkomendasikan",ROW($6:$1005)-5),4)),KotaKode,2,0),"-"),"")),"")</f>
        <v/>
      </c>
      <c r="L5" t="str">
        <f t="array" aca="1" ref="L5" ca="1">IFERROR(IF(OR(INDEX(checklistPesertaKemenkeu!$P$6:$P$1005,SMALL(IF(checklistPesertaKemenkeu!$AY$6:$AY$1005="Direkomendasikan",ROW($6:$1005)-5),4))="",INDEX(checklistPesertaKemenkeu!$J$6:$J$1005,SMALL(IF(checklistPesertaKemenkeu!$AY$6:$AY$1005="Direkomendasikan",ROW($6:$1005)-5),4))=""),"",IF(AND(COUNTIF(INDIRECT("K_"&amp;MATCH(INDEX(checklistPesertaKemenkeu!$J$6:$J$1005,SMALL(IF(checklistPesertaKemenkeu!$AY$6:$AY$1005="Direkomendasikan",ROW($6:$1005)-5),4)),BidangList,0)),INDEX(checklistPesertaKemenkeu!$P$6:$P$1005,SMALL(IF(checklistPesertaKemenkeu!$AY$6:$AY$1005="Direkomendasikan",ROW($6:$1005)-5),4)))&gt;0,COUNTIF(INDIRECT("'KERTAS KERJA'!K"&amp;(SMALL(IF(checklistPesertaKemenkeu!$AY$6:$AY$1005="Direkomendasikan",ROW($6:$1005)-5),4)+5)&amp;":O"&amp;(SMALL(IF(checklistPesertaKemenkeu!$AY$6:$AY$1005="Direkomendasikan",ROW($6:$1005)-5),4)+5)),INDEX(checklistPesertaKemenkeu!$P$6:$P$1005,SMALL(IF(checklistPesertaKemenkeu!$AY$6:$AY$1005="Direkomendasikan",ROW($6:$1005)-5),4)))=1),IFERROR(VLOOKUP(INDEX(checklistPesertaKemenkeu!$P$6:$P$1005,SMALL(IF(checklistPesertaKemenkeu!$AY$6:$AY$1005="Direkomendasikan",ROW($6:$1005)-5),4)),KotaKode,2,0),"-"),"")),"")</f>
        <v/>
      </c>
    </row>
    <row r="6" spans="1:12" ht="15" customHeight="1" x14ac:dyDescent="0.2">
      <c r="A6" t="str">
        <f t="shared" si="0"/>
        <v/>
      </c>
      <c r="B6" t="str">
        <v/>
      </c>
      <c r="C6" s="40" t="str">
        <f t="array" ref="C6">IFERROR(INDEX(checklistPesertaKemenkeu!$F$6:$F$1005,SMALL(IF(checklistPesertaKemenkeu!$AY$6:$AY$1005="Direkomendasikan",ROW($6:$1005)-5),5)),"")</f>
        <v/>
      </c>
      <c r="D6" t="str">
        <f t="array" ref="D6">IFERROR(INDEX(checklistPesertaKemenkeu!$G$6:$G$1005,SMALL(IF(checklistPesertaKemenkeu!$AY$6:$AY$1005="Direkomendasikan",ROW($6:$1005)-5),5)),"")</f>
        <v/>
      </c>
      <c r="E6" t="str">
        <f t="array" ref="E6">IFERROR(INDEX(checklistPesertaKemenkeu!$H$6:$H$1005,SMALL(IF(checklistPesertaKemenkeu!$AY$6:$AY$1005="Direkomendasikan",ROW($6:$1005)-5),5)),"")</f>
        <v/>
      </c>
      <c r="F6" t="str">
        <f t="array" ref="F6">IFERROR(INDEX(checklistPesertaKemenkeu!$I$6:$I$1005,SMALL(IF(checklistPesertaKemenkeu!$AY$6:$AY$1005="Direkomendasikan",ROW($6:$1005)-5),5)),"")</f>
        <v/>
      </c>
      <c r="G6" t="str">
        <f t="array" ref="G6">IFERROR(INDEX(checklistPesertaKemenkeu!$J$6:$J$1005,SMALL(IF(checklistPesertaKemenkeu!$AY$6:$AY$1005="Direkomendasikan",ROW($6:$1005)-5),5)),"")</f>
        <v/>
      </c>
      <c r="H6" t="str">
        <f t="array" aca="1" ref="H6" ca="1">IFERROR(IF(OR(INDEX(checklistPesertaKemenkeu!$L$6:$L$1005,SMALL(IF(checklistPesertaKemenkeu!$AY$6:$AY$1005="Direkomendasikan",ROW($6:$1005)-5),5))="",INDEX(checklistPesertaKemenkeu!$J$6:$J$1005,SMALL(IF(checklistPesertaKemenkeu!$AY$6:$AY$1005="Direkomendasikan",ROW($6:$1005)-5),5))=""),"",IF(AND(COUNTIF(INDIRECT("K_"&amp;MATCH(INDEX(checklistPesertaKemenkeu!$J$6:$J$1005,SMALL(IF(checklistPesertaKemenkeu!$AY$6:$AY$1005="Direkomendasikan",ROW($6:$1005)-5),5)),BidangList,0)),INDEX(checklistPesertaKemenkeu!$L$6:$L$1005,SMALL(IF(checklistPesertaKemenkeu!$AY$6:$AY$1005="Direkomendasikan",ROW($6:$1005)-5),5)))&gt;0,COUNTIF(INDIRECT("'KERTAS KERJA'!K"&amp;(SMALL(IF(checklistPesertaKemenkeu!$AY$6:$AY$1005="Direkomendasikan",ROW($6:$1005)-5),5)+5)&amp;":O"&amp;(SMALL(IF(checklistPesertaKemenkeu!$AY$6:$AY$1005="Direkomendasikan",ROW($6:$1005)-5),5)+5)),INDEX(checklistPesertaKemenkeu!$L$6:$L$1005,SMALL(IF(checklistPesertaKemenkeu!$AY$6:$AY$1005="Direkomendasikan",ROW($6:$1005)-5),5)))=1),IFERROR(VLOOKUP(INDEX(checklistPesertaKemenkeu!$L$6:$L$1005,SMALL(IF(checklistPesertaKemenkeu!$AY$6:$AY$1005="Direkomendasikan",ROW($6:$1005)-5),5)),KotaKode,2,0),"-"),"")),"")</f>
        <v/>
      </c>
      <c r="I6" t="str">
        <f t="array" aca="1" ref="I6" ca="1">IFERROR(IF(OR(INDEX(checklistPesertaKemenkeu!$M$6:$M$1005,SMALL(IF(checklistPesertaKemenkeu!$AY$6:$AY$1005="Direkomendasikan",ROW($6:$1005)-5),5))="",INDEX(checklistPesertaKemenkeu!$J$6:$J$1005,SMALL(IF(checklistPesertaKemenkeu!$AY$6:$AY$1005="Direkomendasikan",ROW($6:$1005)-5),5))=""),"",IF(AND(COUNTIF(INDIRECT("K_"&amp;MATCH(INDEX(checklistPesertaKemenkeu!$J$6:$J$1005,SMALL(IF(checklistPesertaKemenkeu!$AY$6:$AY$1005="Direkomendasikan",ROW($6:$1005)-5),5)),BidangList,0)),INDEX(checklistPesertaKemenkeu!$M$6:$M$1005,SMALL(IF(checklistPesertaKemenkeu!$AY$6:$AY$1005="Direkomendasikan",ROW($6:$1005)-5),5)))&gt;0,COUNTIF(INDIRECT("'KERTAS KERJA'!K"&amp;(SMALL(IF(checklistPesertaKemenkeu!$AY$6:$AY$1005="Direkomendasikan",ROW($6:$1005)-5),5)+5)&amp;":O"&amp;(SMALL(IF(checklistPesertaKemenkeu!$AY$6:$AY$1005="Direkomendasikan",ROW($6:$1005)-5),5)+5)),INDEX(checklistPesertaKemenkeu!$M$6:$M$1005,SMALL(IF(checklistPesertaKemenkeu!$AY$6:$AY$1005="Direkomendasikan",ROW($6:$1005)-5),5)))=1),IFERROR(VLOOKUP(INDEX(checklistPesertaKemenkeu!$M$6:$M$1005,SMALL(IF(checklistPesertaKemenkeu!$AY$6:$AY$1005="Direkomendasikan",ROW($6:$1005)-5),5)),KotaKode,2,0),"-"),"")),"")</f>
        <v/>
      </c>
      <c r="J6" t="str">
        <f t="array" aca="1" ref="J6" ca="1">IFERROR(IF(OR(INDEX(checklistPesertaKemenkeu!$N$6:$N$1005,SMALL(IF(checklistPesertaKemenkeu!$AY$6:$AY$1005="Direkomendasikan",ROW($6:$1005)-5),5))="",INDEX(checklistPesertaKemenkeu!$J$6:$J$1005,SMALL(IF(checklistPesertaKemenkeu!$AY$6:$AY$1005="Direkomendasikan",ROW($6:$1005)-5),5))=""),"",IF(AND(COUNTIF(INDIRECT("K_"&amp;MATCH(INDEX(checklistPesertaKemenkeu!$J$6:$J$1005,SMALL(IF(checklistPesertaKemenkeu!$AY$6:$AY$1005="Direkomendasikan",ROW($6:$1005)-5),5)),BidangList,0)),INDEX(checklistPesertaKemenkeu!$N$6:$N$1005,SMALL(IF(checklistPesertaKemenkeu!$AY$6:$AY$1005="Direkomendasikan",ROW($6:$1005)-5),5)))&gt;0,COUNTIF(INDIRECT("'KERTAS KERJA'!K"&amp;(SMALL(IF(checklistPesertaKemenkeu!$AY$6:$AY$1005="Direkomendasikan",ROW($6:$1005)-5),5)+5)&amp;":O"&amp;(SMALL(IF(checklistPesertaKemenkeu!$AY$6:$AY$1005="Direkomendasikan",ROW($6:$1005)-5),5)+5)),INDEX(checklistPesertaKemenkeu!$N$6:$N$1005,SMALL(IF(checklistPesertaKemenkeu!$AY$6:$AY$1005="Direkomendasikan",ROW($6:$1005)-5),5)))=1),IFERROR(VLOOKUP(INDEX(checklistPesertaKemenkeu!$N$6:$N$1005,SMALL(IF(checklistPesertaKemenkeu!$AY$6:$AY$1005="Direkomendasikan",ROW($6:$1005)-5),5)),KotaKode,2,0),"-"),"")),"")</f>
        <v/>
      </c>
      <c r="K6" t="str">
        <f t="array" aca="1" ref="K6" ca="1">IFERROR(IF(OR(INDEX(checklistPesertaKemenkeu!$O$6:$O$1005,SMALL(IF(checklistPesertaKemenkeu!$AY$6:$AY$1005="Direkomendasikan",ROW($6:$1005)-5),5))="",INDEX(checklistPesertaKemenkeu!$J$6:$J$1005,SMALL(IF(checklistPesertaKemenkeu!$AY$6:$AY$1005="Direkomendasikan",ROW($6:$1005)-5),5))=""),"",IF(AND(COUNTIF(INDIRECT("K_"&amp;MATCH(INDEX(checklistPesertaKemenkeu!$J$6:$J$1005,SMALL(IF(checklistPesertaKemenkeu!$AY$6:$AY$1005="Direkomendasikan",ROW($6:$1005)-5),5)),BidangList,0)),INDEX(checklistPesertaKemenkeu!$O$6:$O$1005,SMALL(IF(checklistPesertaKemenkeu!$AY$6:$AY$1005="Direkomendasikan",ROW($6:$1005)-5),5)))&gt;0,COUNTIF(INDIRECT("'KERTAS KERJA'!K"&amp;(SMALL(IF(checklistPesertaKemenkeu!$AY$6:$AY$1005="Direkomendasikan",ROW($6:$1005)-5),5)+5)&amp;":O"&amp;(SMALL(IF(checklistPesertaKemenkeu!$AY$6:$AY$1005="Direkomendasikan",ROW($6:$1005)-5),5)+5)),INDEX(checklistPesertaKemenkeu!$O$6:$O$1005,SMALL(IF(checklistPesertaKemenkeu!$AY$6:$AY$1005="Direkomendasikan",ROW($6:$1005)-5),5)))=1),IFERROR(VLOOKUP(INDEX(checklistPesertaKemenkeu!$O$6:$O$1005,SMALL(IF(checklistPesertaKemenkeu!$AY$6:$AY$1005="Direkomendasikan",ROW($6:$1005)-5),5)),KotaKode,2,0),"-"),"")),"")</f>
        <v/>
      </c>
      <c r="L6" t="str">
        <f t="array" aca="1" ref="L6" ca="1">IFERROR(IF(OR(INDEX(checklistPesertaKemenkeu!$P$6:$P$1005,SMALL(IF(checklistPesertaKemenkeu!$AY$6:$AY$1005="Direkomendasikan",ROW($6:$1005)-5),5))="",INDEX(checklistPesertaKemenkeu!$J$6:$J$1005,SMALL(IF(checklistPesertaKemenkeu!$AY$6:$AY$1005="Direkomendasikan",ROW($6:$1005)-5),5))=""),"",IF(AND(COUNTIF(INDIRECT("K_"&amp;MATCH(INDEX(checklistPesertaKemenkeu!$J$6:$J$1005,SMALL(IF(checklistPesertaKemenkeu!$AY$6:$AY$1005="Direkomendasikan",ROW($6:$1005)-5),5)),BidangList,0)),INDEX(checklistPesertaKemenkeu!$P$6:$P$1005,SMALL(IF(checklistPesertaKemenkeu!$AY$6:$AY$1005="Direkomendasikan",ROW($6:$1005)-5),5)))&gt;0,COUNTIF(INDIRECT("'KERTAS KERJA'!K"&amp;(SMALL(IF(checklistPesertaKemenkeu!$AY$6:$AY$1005="Direkomendasikan",ROW($6:$1005)-5),5)+5)&amp;":O"&amp;(SMALL(IF(checklistPesertaKemenkeu!$AY$6:$AY$1005="Direkomendasikan",ROW($6:$1005)-5),5)+5)),INDEX(checklistPesertaKemenkeu!$P$6:$P$1005,SMALL(IF(checklistPesertaKemenkeu!$AY$6:$AY$1005="Direkomendasikan",ROW($6:$1005)-5),5)))=1),IFERROR(VLOOKUP(INDEX(checklistPesertaKemenkeu!$P$6:$P$1005,SMALL(IF(checklistPesertaKemenkeu!$AY$6:$AY$1005="Direkomendasikan",ROW($6:$1005)-5),5)),KotaKode,2,0),"-"),"")),"")</f>
        <v/>
      </c>
    </row>
    <row r="7" spans="1:12" ht="15" customHeight="1" x14ac:dyDescent="0.2">
      <c r="A7" t="str">
        <f t="shared" si="0"/>
        <v/>
      </c>
      <c r="B7" t="str">
        <v/>
      </c>
      <c r="C7" s="40" t="str">
        <f t="array" ref="C7">IFERROR(INDEX(checklistPesertaKemenkeu!$F$6:$F$1005,SMALL(IF(checklistPesertaKemenkeu!$AY$6:$AY$1005="Direkomendasikan",ROW($6:$1005)-5),6)),"")</f>
        <v/>
      </c>
      <c r="D7" t="str">
        <f t="array" ref="D7">IFERROR(INDEX(checklistPesertaKemenkeu!$G$6:$G$1005,SMALL(IF(checklistPesertaKemenkeu!$AY$6:$AY$1005="Direkomendasikan",ROW($6:$1005)-5),6)),"")</f>
        <v/>
      </c>
      <c r="E7" t="str">
        <f t="array" ref="E7">IFERROR(INDEX(checklistPesertaKemenkeu!$H$6:$H$1005,SMALL(IF(checklistPesertaKemenkeu!$AY$6:$AY$1005="Direkomendasikan",ROW($6:$1005)-5),6)),"")</f>
        <v/>
      </c>
      <c r="F7" t="str">
        <f t="array" ref="F7">IFERROR(INDEX(checklistPesertaKemenkeu!$I$6:$I$1005,SMALL(IF(checklistPesertaKemenkeu!$AY$6:$AY$1005="Direkomendasikan",ROW($6:$1005)-5),6)),"")</f>
        <v/>
      </c>
      <c r="G7" t="str">
        <f t="array" ref="G7">IFERROR(INDEX(checklistPesertaKemenkeu!$J$6:$J$1005,SMALL(IF(checklistPesertaKemenkeu!$AY$6:$AY$1005="Direkomendasikan",ROW($6:$1005)-5),6)),"")</f>
        <v/>
      </c>
      <c r="H7" t="str">
        <f t="array" aca="1" ref="H7" ca="1">IFERROR(IF(OR(INDEX(checklistPesertaKemenkeu!$L$6:$L$1005,SMALL(IF(checklistPesertaKemenkeu!$AY$6:$AY$1005="Direkomendasikan",ROW($6:$1005)-5),6))="",INDEX(checklistPesertaKemenkeu!$J$6:$J$1005,SMALL(IF(checklistPesertaKemenkeu!$AY$6:$AY$1005="Direkomendasikan",ROW($6:$1005)-5),6))=""),"",IF(AND(COUNTIF(INDIRECT("K_"&amp;MATCH(INDEX(checklistPesertaKemenkeu!$J$6:$J$1005,SMALL(IF(checklistPesertaKemenkeu!$AY$6:$AY$1005="Direkomendasikan",ROW($6:$1005)-5),6)),BidangList,0)),INDEX(checklistPesertaKemenkeu!$L$6:$L$1005,SMALL(IF(checklistPesertaKemenkeu!$AY$6:$AY$1005="Direkomendasikan",ROW($6:$1005)-5),6)))&gt;0,COUNTIF(INDIRECT("'KERTAS KERJA'!K"&amp;(SMALL(IF(checklistPesertaKemenkeu!$AY$6:$AY$1005="Direkomendasikan",ROW($6:$1005)-5),6)+5)&amp;":O"&amp;(SMALL(IF(checklistPesertaKemenkeu!$AY$6:$AY$1005="Direkomendasikan",ROW($6:$1005)-5),6)+5)),INDEX(checklistPesertaKemenkeu!$L$6:$L$1005,SMALL(IF(checklistPesertaKemenkeu!$AY$6:$AY$1005="Direkomendasikan",ROW($6:$1005)-5),6)))=1),IFERROR(VLOOKUP(INDEX(checklistPesertaKemenkeu!$L$6:$L$1005,SMALL(IF(checklistPesertaKemenkeu!$AY$6:$AY$1005="Direkomendasikan",ROW($6:$1005)-5),6)),KotaKode,2,0),"-"),"")),"")</f>
        <v/>
      </c>
      <c r="I7" t="str">
        <f t="array" aca="1" ref="I7" ca="1">IFERROR(IF(OR(INDEX(checklistPesertaKemenkeu!$M$6:$M$1005,SMALL(IF(checklistPesertaKemenkeu!$AY$6:$AY$1005="Direkomendasikan",ROW($6:$1005)-5),6))="",INDEX(checklistPesertaKemenkeu!$J$6:$J$1005,SMALL(IF(checklistPesertaKemenkeu!$AY$6:$AY$1005="Direkomendasikan",ROW($6:$1005)-5),6))=""),"",IF(AND(COUNTIF(INDIRECT("K_"&amp;MATCH(INDEX(checklistPesertaKemenkeu!$J$6:$J$1005,SMALL(IF(checklistPesertaKemenkeu!$AY$6:$AY$1005="Direkomendasikan",ROW($6:$1005)-5),6)),BidangList,0)),INDEX(checklistPesertaKemenkeu!$M$6:$M$1005,SMALL(IF(checklistPesertaKemenkeu!$AY$6:$AY$1005="Direkomendasikan",ROW($6:$1005)-5),6)))&gt;0,COUNTIF(INDIRECT("'KERTAS KERJA'!K"&amp;(SMALL(IF(checklistPesertaKemenkeu!$AY$6:$AY$1005="Direkomendasikan",ROW($6:$1005)-5),6)+5)&amp;":O"&amp;(SMALL(IF(checklistPesertaKemenkeu!$AY$6:$AY$1005="Direkomendasikan",ROW($6:$1005)-5),6)+5)),INDEX(checklistPesertaKemenkeu!$M$6:$M$1005,SMALL(IF(checklistPesertaKemenkeu!$AY$6:$AY$1005="Direkomendasikan",ROW($6:$1005)-5),6)))=1),IFERROR(VLOOKUP(INDEX(checklistPesertaKemenkeu!$M$6:$M$1005,SMALL(IF(checklistPesertaKemenkeu!$AY$6:$AY$1005="Direkomendasikan",ROW($6:$1005)-5),6)),KotaKode,2,0),"-"),"")),"")</f>
        <v/>
      </c>
      <c r="J7" t="str">
        <f t="array" aca="1" ref="J7" ca="1">IFERROR(IF(OR(INDEX(checklistPesertaKemenkeu!$N$6:$N$1005,SMALL(IF(checklistPesertaKemenkeu!$AY$6:$AY$1005="Direkomendasikan",ROW($6:$1005)-5),6))="",INDEX(checklistPesertaKemenkeu!$J$6:$J$1005,SMALL(IF(checklistPesertaKemenkeu!$AY$6:$AY$1005="Direkomendasikan",ROW($6:$1005)-5),6))=""),"",IF(AND(COUNTIF(INDIRECT("K_"&amp;MATCH(INDEX(checklistPesertaKemenkeu!$J$6:$J$1005,SMALL(IF(checklistPesertaKemenkeu!$AY$6:$AY$1005="Direkomendasikan",ROW($6:$1005)-5),6)),BidangList,0)),INDEX(checklistPesertaKemenkeu!$N$6:$N$1005,SMALL(IF(checklistPesertaKemenkeu!$AY$6:$AY$1005="Direkomendasikan",ROW($6:$1005)-5),6)))&gt;0,COUNTIF(INDIRECT("'KERTAS KERJA'!K"&amp;(SMALL(IF(checklistPesertaKemenkeu!$AY$6:$AY$1005="Direkomendasikan",ROW($6:$1005)-5),6)+5)&amp;":O"&amp;(SMALL(IF(checklistPesertaKemenkeu!$AY$6:$AY$1005="Direkomendasikan",ROW($6:$1005)-5),6)+5)),INDEX(checklistPesertaKemenkeu!$N$6:$N$1005,SMALL(IF(checklistPesertaKemenkeu!$AY$6:$AY$1005="Direkomendasikan",ROW($6:$1005)-5),6)))=1),IFERROR(VLOOKUP(INDEX(checklistPesertaKemenkeu!$N$6:$N$1005,SMALL(IF(checklistPesertaKemenkeu!$AY$6:$AY$1005="Direkomendasikan",ROW($6:$1005)-5),6)),KotaKode,2,0),"-"),"")),"")</f>
        <v/>
      </c>
      <c r="K7" t="str">
        <f t="array" aca="1" ref="K7" ca="1">IFERROR(IF(OR(INDEX(checklistPesertaKemenkeu!$O$6:$O$1005,SMALL(IF(checklistPesertaKemenkeu!$AY$6:$AY$1005="Direkomendasikan",ROW($6:$1005)-5),6))="",INDEX(checklistPesertaKemenkeu!$J$6:$J$1005,SMALL(IF(checklistPesertaKemenkeu!$AY$6:$AY$1005="Direkomendasikan",ROW($6:$1005)-5),6))=""),"",IF(AND(COUNTIF(INDIRECT("K_"&amp;MATCH(INDEX(checklistPesertaKemenkeu!$J$6:$J$1005,SMALL(IF(checklistPesertaKemenkeu!$AY$6:$AY$1005="Direkomendasikan",ROW($6:$1005)-5),6)),BidangList,0)),INDEX(checklistPesertaKemenkeu!$O$6:$O$1005,SMALL(IF(checklistPesertaKemenkeu!$AY$6:$AY$1005="Direkomendasikan",ROW($6:$1005)-5),6)))&gt;0,COUNTIF(INDIRECT("'KERTAS KERJA'!K"&amp;(SMALL(IF(checklistPesertaKemenkeu!$AY$6:$AY$1005="Direkomendasikan",ROW($6:$1005)-5),6)+5)&amp;":O"&amp;(SMALL(IF(checklistPesertaKemenkeu!$AY$6:$AY$1005="Direkomendasikan",ROW($6:$1005)-5),6)+5)),INDEX(checklistPesertaKemenkeu!$O$6:$O$1005,SMALL(IF(checklistPesertaKemenkeu!$AY$6:$AY$1005="Direkomendasikan",ROW($6:$1005)-5),6)))=1),IFERROR(VLOOKUP(INDEX(checklistPesertaKemenkeu!$O$6:$O$1005,SMALL(IF(checklistPesertaKemenkeu!$AY$6:$AY$1005="Direkomendasikan",ROW($6:$1005)-5),6)),KotaKode,2,0),"-"),"")),"")</f>
        <v/>
      </c>
      <c r="L7" t="str">
        <f t="array" aca="1" ref="L7" ca="1">IFERROR(IF(OR(INDEX(checklistPesertaKemenkeu!$P$6:$P$1005,SMALL(IF(checklistPesertaKemenkeu!$AY$6:$AY$1005="Direkomendasikan",ROW($6:$1005)-5),6))="",INDEX(checklistPesertaKemenkeu!$J$6:$J$1005,SMALL(IF(checklistPesertaKemenkeu!$AY$6:$AY$1005="Direkomendasikan",ROW($6:$1005)-5),6))=""),"",IF(AND(COUNTIF(INDIRECT("K_"&amp;MATCH(INDEX(checklistPesertaKemenkeu!$J$6:$J$1005,SMALL(IF(checklistPesertaKemenkeu!$AY$6:$AY$1005="Direkomendasikan",ROW($6:$1005)-5),6)),BidangList,0)),INDEX(checklistPesertaKemenkeu!$P$6:$P$1005,SMALL(IF(checklistPesertaKemenkeu!$AY$6:$AY$1005="Direkomendasikan",ROW($6:$1005)-5),6)))&gt;0,COUNTIF(INDIRECT("'KERTAS KERJA'!K"&amp;(SMALL(IF(checklistPesertaKemenkeu!$AY$6:$AY$1005="Direkomendasikan",ROW($6:$1005)-5),6)+5)&amp;":O"&amp;(SMALL(IF(checklistPesertaKemenkeu!$AY$6:$AY$1005="Direkomendasikan",ROW($6:$1005)-5),6)+5)),INDEX(checklistPesertaKemenkeu!$P$6:$P$1005,SMALL(IF(checklistPesertaKemenkeu!$AY$6:$AY$1005="Direkomendasikan",ROW($6:$1005)-5),6)))=1),IFERROR(VLOOKUP(INDEX(checklistPesertaKemenkeu!$P$6:$P$1005,SMALL(IF(checklistPesertaKemenkeu!$AY$6:$AY$1005="Direkomendasikan",ROW($6:$1005)-5),6)),KotaKode,2,0),"-"),"")),"")</f>
        <v/>
      </c>
    </row>
    <row r="8" spans="1:12" ht="15" customHeight="1" x14ac:dyDescent="0.2">
      <c r="A8" t="str">
        <f t="shared" si="0"/>
        <v/>
      </c>
      <c r="B8" t="str">
        <v/>
      </c>
      <c r="C8" s="40" t="str">
        <f t="array" ref="C8">IFERROR(INDEX(checklistPesertaKemenkeu!$F$6:$F$1005,SMALL(IF(checklistPesertaKemenkeu!$AY$6:$AY$1005="Direkomendasikan",ROW($6:$1005)-5),7)),"")</f>
        <v/>
      </c>
      <c r="D8" t="str">
        <f t="array" ref="D8">IFERROR(INDEX(checklistPesertaKemenkeu!$G$6:$G$1005,SMALL(IF(checklistPesertaKemenkeu!$AY$6:$AY$1005="Direkomendasikan",ROW($6:$1005)-5),7)),"")</f>
        <v/>
      </c>
      <c r="E8" t="str">
        <f t="array" ref="E8">IFERROR(INDEX(checklistPesertaKemenkeu!$H$6:$H$1005,SMALL(IF(checklistPesertaKemenkeu!$AY$6:$AY$1005="Direkomendasikan",ROW($6:$1005)-5),7)),"")</f>
        <v/>
      </c>
      <c r="F8" t="str">
        <f t="array" ref="F8">IFERROR(INDEX(checklistPesertaKemenkeu!$I$6:$I$1005,SMALL(IF(checklistPesertaKemenkeu!$AY$6:$AY$1005="Direkomendasikan",ROW($6:$1005)-5),7)),"")</f>
        <v/>
      </c>
      <c r="G8" t="str">
        <f t="array" ref="G8">IFERROR(INDEX(checklistPesertaKemenkeu!$J$6:$J$1005,SMALL(IF(checklistPesertaKemenkeu!$AY$6:$AY$1005="Direkomendasikan",ROW($6:$1005)-5),7)),"")</f>
        <v/>
      </c>
      <c r="H8" t="str">
        <f t="array" aca="1" ref="H8" ca="1">IFERROR(IF(OR(INDEX(checklistPesertaKemenkeu!$L$6:$L$1005,SMALL(IF(checklistPesertaKemenkeu!$AY$6:$AY$1005="Direkomendasikan",ROW($6:$1005)-5),7))="",INDEX(checklistPesertaKemenkeu!$J$6:$J$1005,SMALL(IF(checklistPesertaKemenkeu!$AY$6:$AY$1005="Direkomendasikan",ROW($6:$1005)-5),7))=""),"",IF(AND(COUNTIF(INDIRECT("K_"&amp;MATCH(INDEX(checklistPesertaKemenkeu!$J$6:$J$1005,SMALL(IF(checklistPesertaKemenkeu!$AY$6:$AY$1005="Direkomendasikan",ROW($6:$1005)-5),7)),BidangList,0)),INDEX(checklistPesertaKemenkeu!$L$6:$L$1005,SMALL(IF(checklistPesertaKemenkeu!$AY$6:$AY$1005="Direkomendasikan",ROW($6:$1005)-5),7)))&gt;0,COUNTIF(INDIRECT("'KERTAS KERJA'!K"&amp;(SMALL(IF(checklistPesertaKemenkeu!$AY$6:$AY$1005="Direkomendasikan",ROW($6:$1005)-5),7)+5)&amp;":O"&amp;(SMALL(IF(checklistPesertaKemenkeu!$AY$6:$AY$1005="Direkomendasikan",ROW($6:$1005)-5),7)+5)),INDEX(checklistPesertaKemenkeu!$L$6:$L$1005,SMALL(IF(checklistPesertaKemenkeu!$AY$6:$AY$1005="Direkomendasikan",ROW($6:$1005)-5),7)))=1),IFERROR(VLOOKUP(INDEX(checklistPesertaKemenkeu!$L$6:$L$1005,SMALL(IF(checklistPesertaKemenkeu!$AY$6:$AY$1005="Direkomendasikan",ROW($6:$1005)-5),7)),KotaKode,2,0),"-"),"")),"")</f>
        <v/>
      </c>
      <c r="I8" t="str">
        <f t="array" aca="1" ref="I8" ca="1">IFERROR(IF(OR(INDEX(checklistPesertaKemenkeu!$M$6:$M$1005,SMALL(IF(checklistPesertaKemenkeu!$AY$6:$AY$1005="Direkomendasikan",ROW($6:$1005)-5),7))="",INDEX(checklistPesertaKemenkeu!$J$6:$J$1005,SMALL(IF(checklistPesertaKemenkeu!$AY$6:$AY$1005="Direkomendasikan",ROW($6:$1005)-5),7))=""),"",IF(AND(COUNTIF(INDIRECT("K_"&amp;MATCH(INDEX(checklistPesertaKemenkeu!$J$6:$J$1005,SMALL(IF(checklistPesertaKemenkeu!$AY$6:$AY$1005="Direkomendasikan",ROW($6:$1005)-5),7)),BidangList,0)),INDEX(checklistPesertaKemenkeu!$M$6:$M$1005,SMALL(IF(checklistPesertaKemenkeu!$AY$6:$AY$1005="Direkomendasikan",ROW($6:$1005)-5),7)))&gt;0,COUNTIF(INDIRECT("'KERTAS KERJA'!K"&amp;(SMALL(IF(checklistPesertaKemenkeu!$AY$6:$AY$1005="Direkomendasikan",ROW($6:$1005)-5),7)+5)&amp;":O"&amp;(SMALL(IF(checklistPesertaKemenkeu!$AY$6:$AY$1005="Direkomendasikan",ROW($6:$1005)-5),7)+5)),INDEX(checklistPesertaKemenkeu!$M$6:$M$1005,SMALL(IF(checklistPesertaKemenkeu!$AY$6:$AY$1005="Direkomendasikan",ROW($6:$1005)-5),7)))=1),IFERROR(VLOOKUP(INDEX(checklistPesertaKemenkeu!$M$6:$M$1005,SMALL(IF(checklistPesertaKemenkeu!$AY$6:$AY$1005="Direkomendasikan",ROW($6:$1005)-5),7)),KotaKode,2,0),"-"),"")),"")</f>
        <v/>
      </c>
      <c r="J8" t="str">
        <f t="array" aca="1" ref="J8" ca="1">IFERROR(IF(OR(INDEX(checklistPesertaKemenkeu!$N$6:$N$1005,SMALL(IF(checklistPesertaKemenkeu!$AY$6:$AY$1005="Direkomendasikan",ROW($6:$1005)-5),7))="",INDEX(checklistPesertaKemenkeu!$J$6:$J$1005,SMALL(IF(checklistPesertaKemenkeu!$AY$6:$AY$1005="Direkomendasikan",ROW($6:$1005)-5),7))=""),"",IF(AND(COUNTIF(INDIRECT("K_"&amp;MATCH(INDEX(checklistPesertaKemenkeu!$J$6:$J$1005,SMALL(IF(checklistPesertaKemenkeu!$AY$6:$AY$1005="Direkomendasikan",ROW($6:$1005)-5),7)),BidangList,0)),INDEX(checklistPesertaKemenkeu!$N$6:$N$1005,SMALL(IF(checklistPesertaKemenkeu!$AY$6:$AY$1005="Direkomendasikan",ROW($6:$1005)-5),7)))&gt;0,COUNTIF(INDIRECT("'KERTAS KERJA'!K"&amp;(SMALL(IF(checklistPesertaKemenkeu!$AY$6:$AY$1005="Direkomendasikan",ROW($6:$1005)-5),7)+5)&amp;":O"&amp;(SMALL(IF(checklistPesertaKemenkeu!$AY$6:$AY$1005="Direkomendasikan",ROW($6:$1005)-5),7)+5)),INDEX(checklistPesertaKemenkeu!$N$6:$N$1005,SMALL(IF(checklistPesertaKemenkeu!$AY$6:$AY$1005="Direkomendasikan",ROW($6:$1005)-5),7)))=1),IFERROR(VLOOKUP(INDEX(checklistPesertaKemenkeu!$N$6:$N$1005,SMALL(IF(checklistPesertaKemenkeu!$AY$6:$AY$1005="Direkomendasikan",ROW($6:$1005)-5),7)),KotaKode,2,0),"-"),"")),"")</f>
        <v/>
      </c>
      <c r="K8" t="str">
        <f t="array" aca="1" ref="K8" ca="1">IFERROR(IF(OR(INDEX(checklistPesertaKemenkeu!$O$6:$O$1005,SMALL(IF(checklistPesertaKemenkeu!$AY$6:$AY$1005="Direkomendasikan",ROW($6:$1005)-5),7))="",INDEX(checklistPesertaKemenkeu!$J$6:$J$1005,SMALL(IF(checklistPesertaKemenkeu!$AY$6:$AY$1005="Direkomendasikan",ROW($6:$1005)-5),7))=""),"",IF(AND(COUNTIF(INDIRECT("K_"&amp;MATCH(INDEX(checklistPesertaKemenkeu!$J$6:$J$1005,SMALL(IF(checklistPesertaKemenkeu!$AY$6:$AY$1005="Direkomendasikan",ROW($6:$1005)-5),7)),BidangList,0)),INDEX(checklistPesertaKemenkeu!$O$6:$O$1005,SMALL(IF(checklistPesertaKemenkeu!$AY$6:$AY$1005="Direkomendasikan",ROW($6:$1005)-5),7)))&gt;0,COUNTIF(INDIRECT("'KERTAS KERJA'!K"&amp;(SMALL(IF(checklistPesertaKemenkeu!$AY$6:$AY$1005="Direkomendasikan",ROW($6:$1005)-5),7)+5)&amp;":O"&amp;(SMALL(IF(checklistPesertaKemenkeu!$AY$6:$AY$1005="Direkomendasikan",ROW($6:$1005)-5),7)+5)),INDEX(checklistPesertaKemenkeu!$O$6:$O$1005,SMALL(IF(checklistPesertaKemenkeu!$AY$6:$AY$1005="Direkomendasikan",ROW($6:$1005)-5),7)))=1),IFERROR(VLOOKUP(INDEX(checklistPesertaKemenkeu!$O$6:$O$1005,SMALL(IF(checklistPesertaKemenkeu!$AY$6:$AY$1005="Direkomendasikan",ROW($6:$1005)-5),7)),KotaKode,2,0),"-"),"")),"")</f>
        <v/>
      </c>
      <c r="L8" t="str">
        <f t="array" aca="1" ref="L8" ca="1">IFERROR(IF(OR(INDEX(checklistPesertaKemenkeu!$P$6:$P$1005,SMALL(IF(checklistPesertaKemenkeu!$AY$6:$AY$1005="Direkomendasikan",ROW($6:$1005)-5),7))="",INDEX(checklistPesertaKemenkeu!$J$6:$J$1005,SMALL(IF(checklistPesertaKemenkeu!$AY$6:$AY$1005="Direkomendasikan",ROW($6:$1005)-5),7))=""),"",IF(AND(COUNTIF(INDIRECT("K_"&amp;MATCH(INDEX(checklistPesertaKemenkeu!$J$6:$J$1005,SMALL(IF(checklistPesertaKemenkeu!$AY$6:$AY$1005="Direkomendasikan",ROW($6:$1005)-5),7)),BidangList,0)),INDEX(checklistPesertaKemenkeu!$P$6:$P$1005,SMALL(IF(checklistPesertaKemenkeu!$AY$6:$AY$1005="Direkomendasikan",ROW($6:$1005)-5),7)))&gt;0,COUNTIF(INDIRECT("'KERTAS KERJA'!K"&amp;(SMALL(IF(checklistPesertaKemenkeu!$AY$6:$AY$1005="Direkomendasikan",ROW($6:$1005)-5),7)+5)&amp;":O"&amp;(SMALL(IF(checklistPesertaKemenkeu!$AY$6:$AY$1005="Direkomendasikan",ROW($6:$1005)-5),7)+5)),INDEX(checklistPesertaKemenkeu!$P$6:$P$1005,SMALL(IF(checklistPesertaKemenkeu!$AY$6:$AY$1005="Direkomendasikan",ROW($6:$1005)-5),7)))=1),IFERROR(VLOOKUP(INDEX(checklistPesertaKemenkeu!$P$6:$P$1005,SMALL(IF(checklistPesertaKemenkeu!$AY$6:$AY$1005="Direkomendasikan",ROW($6:$1005)-5),7)),KotaKode,2,0),"-"),"")),"")</f>
        <v/>
      </c>
    </row>
    <row r="9" spans="1:12" ht="15" customHeight="1" x14ac:dyDescent="0.2">
      <c r="A9" t="str">
        <f t="shared" si="0"/>
        <v/>
      </c>
      <c r="B9" t="str">
        <v/>
      </c>
      <c r="C9" s="40" t="str">
        <f t="array" ref="C9">IFERROR(INDEX(checklistPesertaKemenkeu!$F$6:$F$1005,SMALL(IF(checklistPesertaKemenkeu!$AY$6:$AY$1005="Direkomendasikan",ROW($6:$1005)-5),8)),"")</f>
        <v/>
      </c>
      <c r="D9" t="str">
        <f t="array" ref="D9">IFERROR(INDEX(checklistPesertaKemenkeu!$G$6:$G$1005,SMALL(IF(checklistPesertaKemenkeu!$AY$6:$AY$1005="Direkomendasikan",ROW($6:$1005)-5),8)),"")</f>
        <v/>
      </c>
      <c r="E9" t="str">
        <f t="array" ref="E9">IFERROR(INDEX(checklistPesertaKemenkeu!$H$6:$H$1005,SMALL(IF(checklistPesertaKemenkeu!$AY$6:$AY$1005="Direkomendasikan",ROW($6:$1005)-5),8)),"")</f>
        <v/>
      </c>
      <c r="F9" t="str">
        <f t="array" ref="F9">IFERROR(INDEX(checklistPesertaKemenkeu!$I$6:$I$1005,SMALL(IF(checklistPesertaKemenkeu!$AY$6:$AY$1005="Direkomendasikan",ROW($6:$1005)-5),8)),"")</f>
        <v/>
      </c>
      <c r="G9" t="str">
        <f t="array" ref="G9">IFERROR(INDEX(checklistPesertaKemenkeu!$J$6:$J$1005,SMALL(IF(checklistPesertaKemenkeu!$AY$6:$AY$1005="Direkomendasikan",ROW($6:$1005)-5),8)),"")</f>
        <v/>
      </c>
      <c r="H9" t="str">
        <f t="array" aca="1" ref="H9" ca="1">IFERROR(IF(OR(INDEX(checklistPesertaKemenkeu!$L$6:$L$1005,SMALL(IF(checklistPesertaKemenkeu!$AY$6:$AY$1005="Direkomendasikan",ROW($6:$1005)-5),8))="",INDEX(checklistPesertaKemenkeu!$J$6:$J$1005,SMALL(IF(checklistPesertaKemenkeu!$AY$6:$AY$1005="Direkomendasikan",ROW($6:$1005)-5),8))=""),"",IF(AND(COUNTIF(INDIRECT("K_"&amp;MATCH(INDEX(checklistPesertaKemenkeu!$J$6:$J$1005,SMALL(IF(checklistPesertaKemenkeu!$AY$6:$AY$1005="Direkomendasikan",ROW($6:$1005)-5),8)),BidangList,0)),INDEX(checklistPesertaKemenkeu!$L$6:$L$1005,SMALL(IF(checklistPesertaKemenkeu!$AY$6:$AY$1005="Direkomendasikan",ROW($6:$1005)-5),8)))&gt;0,COUNTIF(INDIRECT("'KERTAS KERJA'!K"&amp;(SMALL(IF(checklistPesertaKemenkeu!$AY$6:$AY$1005="Direkomendasikan",ROW($6:$1005)-5),8)+5)&amp;":O"&amp;(SMALL(IF(checklistPesertaKemenkeu!$AY$6:$AY$1005="Direkomendasikan",ROW($6:$1005)-5),8)+5)),INDEX(checklistPesertaKemenkeu!$L$6:$L$1005,SMALL(IF(checklistPesertaKemenkeu!$AY$6:$AY$1005="Direkomendasikan",ROW($6:$1005)-5),8)))=1),IFERROR(VLOOKUP(INDEX(checklistPesertaKemenkeu!$L$6:$L$1005,SMALL(IF(checklistPesertaKemenkeu!$AY$6:$AY$1005="Direkomendasikan",ROW($6:$1005)-5),8)),KotaKode,2,0),"-"),"")),"")</f>
        <v/>
      </c>
      <c r="I9" t="str">
        <f t="array" aca="1" ref="I9" ca="1">IFERROR(IF(OR(INDEX(checklistPesertaKemenkeu!$M$6:$M$1005,SMALL(IF(checklistPesertaKemenkeu!$AY$6:$AY$1005="Direkomendasikan",ROW($6:$1005)-5),8))="",INDEX(checklistPesertaKemenkeu!$J$6:$J$1005,SMALL(IF(checklistPesertaKemenkeu!$AY$6:$AY$1005="Direkomendasikan",ROW($6:$1005)-5),8))=""),"",IF(AND(COUNTIF(INDIRECT("K_"&amp;MATCH(INDEX(checklistPesertaKemenkeu!$J$6:$J$1005,SMALL(IF(checklistPesertaKemenkeu!$AY$6:$AY$1005="Direkomendasikan",ROW($6:$1005)-5),8)),BidangList,0)),INDEX(checklistPesertaKemenkeu!$M$6:$M$1005,SMALL(IF(checklistPesertaKemenkeu!$AY$6:$AY$1005="Direkomendasikan",ROW($6:$1005)-5),8)))&gt;0,COUNTIF(INDIRECT("'KERTAS KERJA'!K"&amp;(SMALL(IF(checklistPesertaKemenkeu!$AY$6:$AY$1005="Direkomendasikan",ROW($6:$1005)-5),8)+5)&amp;":O"&amp;(SMALL(IF(checklistPesertaKemenkeu!$AY$6:$AY$1005="Direkomendasikan",ROW($6:$1005)-5),8)+5)),INDEX(checklistPesertaKemenkeu!$M$6:$M$1005,SMALL(IF(checklistPesertaKemenkeu!$AY$6:$AY$1005="Direkomendasikan",ROW($6:$1005)-5),8)))=1),IFERROR(VLOOKUP(INDEX(checklistPesertaKemenkeu!$M$6:$M$1005,SMALL(IF(checklistPesertaKemenkeu!$AY$6:$AY$1005="Direkomendasikan",ROW($6:$1005)-5),8)),KotaKode,2,0),"-"),"")),"")</f>
        <v/>
      </c>
      <c r="J9" t="str">
        <f t="array" aca="1" ref="J9" ca="1">IFERROR(IF(OR(INDEX(checklistPesertaKemenkeu!$N$6:$N$1005,SMALL(IF(checklistPesertaKemenkeu!$AY$6:$AY$1005="Direkomendasikan",ROW($6:$1005)-5),8))="",INDEX(checklistPesertaKemenkeu!$J$6:$J$1005,SMALL(IF(checklistPesertaKemenkeu!$AY$6:$AY$1005="Direkomendasikan",ROW($6:$1005)-5),8))=""),"",IF(AND(COUNTIF(INDIRECT("K_"&amp;MATCH(INDEX(checklistPesertaKemenkeu!$J$6:$J$1005,SMALL(IF(checklistPesertaKemenkeu!$AY$6:$AY$1005="Direkomendasikan",ROW($6:$1005)-5),8)),BidangList,0)),INDEX(checklistPesertaKemenkeu!$N$6:$N$1005,SMALL(IF(checklistPesertaKemenkeu!$AY$6:$AY$1005="Direkomendasikan",ROW($6:$1005)-5),8)))&gt;0,COUNTIF(INDIRECT("'KERTAS KERJA'!K"&amp;(SMALL(IF(checklistPesertaKemenkeu!$AY$6:$AY$1005="Direkomendasikan",ROW($6:$1005)-5),8)+5)&amp;":O"&amp;(SMALL(IF(checklistPesertaKemenkeu!$AY$6:$AY$1005="Direkomendasikan",ROW($6:$1005)-5),8)+5)),INDEX(checklistPesertaKemenkeu!$N$6:$N$1005,SMALL(IF(checklistPesertaKemenkeu!$AY$6:$AY$1005="Direkomendasikan",ROW($6:$1005)-5),8)))=1),IFERROR(VLOOKUP(INDEX(checklistPesertaKemenkeu!$N$6:$N$1005,SMALL(IF(checklistPesertaKemenkeu!$AY$6:$AY$1005="Direkomendasikan",ROW($6:$1005)-5),8)),KotaKode,2,0),"-"),"")),"")</f>
        <v/>
      </c>
      <c r="K9" t="str">
        <f t="array" aca="1" ref="K9" ca="1">IFERROR(IF(OR(INDEX(checklistPesertaKemenkeu!$O$6:$O$1005,SMALL(IF(checklistPesertaKemenkeu!$AY$6:$AY$1005="Direkomendasikan",ROW($6:$1005)-5),8))="",INDEX(checklistPesertaKemenkeu!$J$6:$J$1005,SMALL(IF(checklistPesertaKemenkeu!$AY$6:$AY$1005="Direkomendasikan",ROW($6:$1005)-5),8))=""),"",IF(AND(COUNTIF(INDIRECT("K_"&amp;MATCH(INDEX(checklistPesertaKemenkeu!$J$6:$J$1005,SMALL(IF(checklistPesertaKemenkeu!$AY$6:$AY$1005="Direkomendasikan",ROW($6:$1005)-5),8)),BidangList,0)),INDEX(checklistPesertaKemenkeu!$O$6:$O$1005,SMALL(IF(checklistPesertaKemenkeu!$AY$6:$AY$1005="Direkomendasikan",ROW($6:$1005)-5),8)))&gt;0,COUNTIF(INDIRECT("'KERTAS KERJA'!K"&amp;(SMALL(IF(checklistPesertaKemenkeu!$AY$6:$AY$1005="Direkomendasikan",ROW($6:$1005)-5),8)+5)&amp;":O"&amp;(SMALL(IF(checklistPesertaKemenkeu!$AY$6:$AY$1005="Direkomendasikan",ROW($6:$1005)-5),8)+5)),INDEX(checklistPesertaKemenkeu!$O$6:$O$1005,SMALL(IF(checklistPesertaKemenkeu!$AY$6:$AY$1005="Direkomendasikan",ROW($6:$1005)-5),8)))=1),IFERROR(VLOOKUP(INDEX(checklistPesertaKemenkeu!$O$6:$O$1005,SMALL(IF(checklistPesertaKemenkeu!$AY$6:$AY$1005="Direkomendasikan",ROW($6:$1005)-5),8)),KotaKode,2,0),"-"),"")),"")</f>
        <v/>
      </c>
      <c r="L9" t="str">
        <f t="array" aca="1" ref="L9" ca="1">IFERROR(IF(OR(INDEX(checklistPesertaKemenkeu!$P$6:$P$1005,SMALL(IF(checklistPesertaKemenkeu!$AY$6:$AY$1005="Direkomendasikan",ROW($6:$1005)-5),8))="",INDEX(checklistPesertaKemenkeu!$J$6:$J$1005,SMALL(IF(checklistPesertaKemenkeu!$AY$6:$AY$1005="Direkomendasikan",ROW($6:$1005)-5),8))=""),"",IF(AND(COUNTIF(INDIRECT("K_"&amp;MATCH(INDEX(checklistPesertaKemenkeu!$J$6:$J$1005,SMALL(IF(checklistPesertaKemenkeu!$AY$6:$AY$1005="Direkomendasikan",ROW($6:$1005)-5),8)),BidangList,0)),INDEX(checklistPesertaKemenkeu!$P$6:$P$1005,SMALL(IF(checklistPesertaKemenkeu!$AY$6:$AY$1005="Direkomendasikan",ROW($6:$1005)-5),8)))&gt;0,COUNTIF(INDIRECT("'KERTAS KERJA'!K"&amp;(SMALL(IF(checklistPesertaKemenkeu!$AY$6:$AY$1005="Direkomendasikan",ROW($6:$1005)-5),8)+5)&amp;":O"&amp;(SMALL(IF(checklistPesertaKemenkeu!$AY$6:$AY$1005="Direkomendasikan",ROW($6:$1005)-5),8)+5)),INDEX(checklistPesertaKemenkeu!$P$6:$P$1005,SMALL(IF(checklistPesertaKemenkeu!$AY$6:$AY$1005="Direkomendasikan",ROW($6:$1005)-5),8)))=1),IFERROR(VLOOKUP(INDEX(checklistPesertaKemenkeu!$P$6:$P$1005,SMALL(IF(checklistPesertaKemenkeu!$AY$6:$AY$1005="Direkomendasikan",ROW($6:$1005)-5),8)),KotaKode,2,0),"-"),"")),"")</f>
        <v/>
      </c>
    </row>
    <row r="10" spans="1:12" ht="15" customHeight="1" x14ac:dyDescent="0.2">
      <c r="A10" t="str">
        <f t="shared" si="0"/>
        <v/>
      </c>
      <c r="B10" t="str">
        <v/>
      </c>
      <c r="C10" s="40" t="str">
        <f t="array" ref="C10">IFERROR(INDEX(checklistPesertaKemenkeu!$F$6:$F$1005,SMALL(IF(checklistPesertaKemenkeu!$AY$6:$AY$1005="Direkomendasikan",ROW($6:$1005)-5),9)),"")</f>
        <v/>
      </c>
      <c r="D10" t="str">
        <f t="array" ref="D10">IFERROR(INDEX(checklistPesertaKemenkeu!$G$6:$G$1005,SMALL(IF(checklistPesertaKemenkeu!$AY$6:$AY$1005="Direkomendasikan",ROW($6:$1005)-5),9)),"")</f>
        <v/>
      </c>
      <c r="E10" t="str">
        <f t="array" ref="E10">IFERROR(INDEX(checklistPesertaKemenkeu!$H$6:$H$1005,SMALL(IF(checklistPesertaKemenkeu!$AY$6:$AY$1005="Direkomendasikan",ROW($6:$1005)-5),9)),"")</f>
        <v/>
      </c>
      <c r="F10" t="str">
        <f t="array" ref="F10">IFERROR(INDEX(checklistPesertaKemenkeu!$I$6:$I$1005,SMALL(IF(checklistPesertaKemenkeu!$AY$6:$AY$1005="Direkomendasikan",ROW($6:$1005)-5),9)),"")</f>
        <v/>
      </c>
      <c r="G10" t="str">
        <f t="array" ref="G10">IFERROR(INDEX(checklistPesertaKemenkeu!$J$6:$J$1005,SMALL(IF(checklistPesertaKemenkeu!$AY$6:$AY$1005="Direkomendasikan",ROW($6:$1005)-5),9)),"")</f>
        <v/>
      </c>
      <c r="H10" t="str">
        <f t="array" aca="1" ref="H10" ca="1">IFERROR(IF(OR(INDEX(checklistPesertaKemenkeu!$L$6:$L$1005,SMALL(IF(checklistPesertaKemenkeu!$AY$6:$AY$1005="Direkomendasikan",ROW($6:$1005)-5),9))="",INDEX(checklistPesertaKemenkeu!$J$6:$J$1005,SMALL(IF(checklistPesertaKemenkeu!$AY$6:$AY$1005="Direkomendasikan",ROW($6:$1005)-5),9))=""),"",IF(AND(COUNTIF(INDIRECT("K_"&amp;MATCH(INDEX(checklistPesertaKemenkeu!$J$6:$J$1005,SMALL(IF(checklistPesertaKemenkeu!$AY$6:$AY$1005="Direkomendasikan",ROW($6:$1005)-5),9)),BidangList,0)),INDEX(checklistPesertaKemenkeu!$L$6:$L$1005,SMALL(IF(checklistPesertaKemenkeu!$AY$6:$AY$1005="Direkomendasikan",ROW($6:$1005)-5),9)))&gt;0,COUNTIF(INDIRECT("'KERTAS KERJA'!K"&amp;(SMALL(IF(checklistPesertaKemenkeu!$AY$6:$AY$1005="Direkomendasikan",ROW($6:$1005)-5),9)+5)&amp;":O"&amp;(SMALL(IF(checklistPesertaKemenkeu!$AY$6:$AY$1005="Direkomendasikan",ROW($6:$1005)-5),9)+5)),INDEX(checklistPesertaKemenkeu!$L$6:$L$1005,SMALL(IF(checklistPesertaKemenkeu!$AY$6:$AY$1005="Direkomendasikan",ROW($6:$1005)-5),9)))=1),IFERROR(VLOOKUP(INDEX(checklistPesertaKemenkeu!$L$6:$L$1005,SMALL(IF(checklistPesertaKemenkeu!$AY$6:$AY$1005="Direkomendasikan",ROW($6:$1005)-5),9)),KotaKode,2,0),"-"),"")),"")</f>
        <v/>
      </c>
      <c r="I10" t="str">
        <f t="array" aca="1" ref="I10" ca="1">IFERROR(IF(OR(INDEX(checklistPesertaKemenkeu!$M$6:$M$1005,SMALL(IF(checklistPesertaKemenkeu!$AY$6:$AY$1005="Direkomendasikan",ROW($6:$1005)-5),9))="",INDEX(checklistPesertaKemenkeu!$J$6:$J$1005,SMALL(IF(checklistPesertaKemenkeu!$AY$6:$AY$1005="Direkomendasikan",ROW($6:$1005)-5),9))=""),"",IF(AND(COUNTIF(INDIRECT("K_"&amp;MATCH(INDEX(checklistPesertaKemenkeu!$J$6:$J$1005,SMALL(IF(checklistPesertaKemenkeu!$AY$6:$AY$1005="Direkomendasikan",ROW($6:$1005)-5),9)),BidangList,0)),INDEX(checklistPesertaKemenkeu!$M$6:$M$1005,SMALL(IF(checklistPesertaKemenkeu!$AY$6:$AY$1005="Direkomendasikan",ROW($6:$1005)-5),9)))&gt;0,COUNTIF(INDIRECT("'KERTAS KERJA'!K"&amp;(SMALL(IF(checklistPesertaKemenkeu!$AY$6:$AY$1005="Direkomendasikan",ROW($6:$1005)-5),9)+5)&amp;":O"&amp;(SMALL(IF(checklistPesertaKemenkeu!$AY$6:$AY$1005="Direkomendasikan",ROW($6:$1005)-5),9)+5)),INDEX(checklistPesertaKemenkeu!$M$6:$M$1005,SMALL(IF(checklistPesertaKemenkeu!$AY$6:$AY$1005="Direkomendasikan",ROW($6:$1005)-5),9)))=1),IFERROR(VLOOKUP(INDEX(checklistPesertaKemenkeu!$M$6:$M$1005,SMALL(IF(checklistPesertaKemenkeu!$AY$6:$AY$1005="Direkomendasikan",ROW($6:$1005)-5),9)),KotaKode,2,0),"-"),"")),"")</f>
        <v/>
      </c>
      <c r="J10" t="str">
        <f t="array" aca="1" ref="J10" ca="1">IFERROR(IF(OR(INDEX(checklistPesertaKemenkeu!$N$6:$N$1005,SMALL(IF(checklistPesertaKemenkeu!$AY$6:$AY$1005="Direkomendasikan",ROW($6:$1005)-5),9))="",INDEX(checklistPesertaKemenkeu!$J$6:$J$1005,SMALL(IF(checklistPesertaKemenkeu!$AY$6:$AY$1005="Direkomendasikan",ROW($6:$1005)-5),9))=""),"",IF(AND(COUNTIF(INDIRECT("K_"&amp;MATCH(INDEX(checklistPesertaKemenkeu!$J$6:$J$1005,SMALL(IF(checklistPesertaKemenkeu!$AY$6:$AY$1005="Direkomendasikan",ROW($6:$1005)-5),9)),BidangList,0)),INDEX(checklistPesertaKemenkeu!$N$6:$N$1005,SMALL(IF(checklistPesertaKemenkeu!$AY$6:$AY$1005="Direkomendasikan",ROW($6:$1005)-5),9)))&gt;0,COUNTIF(INDIRECT("'KERTAS KERJA'!K"&amp;(SMALL(IF(checklistPesertaKemenkeu!$AY$6:$AY$1005="Direkomendasikan",ROW($6:$1005)-5),9)+5)&amp;":O"&amp;(SMALL(IF(checklistPesertaKemenkeu!$AY$6:$AY$1005="Direkomendasikan",ROW($6:$1005)-5),9)+5)),INDEX(checklistPesertaKemenkeu!$N$6:$N$1005,SMALL(IF(checklistPesertaKemenkeu!$AY$6:$AY$1005="Direkomendasikan",ROW($6:$1005)-5),9)))=1),IFERROR(VLOOKUP(INDEX(checklistPesertaKemenkeu!$N$6:$N$1005,SMALL(IF(checklistPesertaKemenkeu!$AY$6:$AY$1005="Direkomendasikan",ROW($6:$1005)-5),9)),KotaKode,2,0),"-"),"")),"")</f>
        <v/>
      </c>
      <c r="K10" t="str">
        <f t="array" aca="1" ref="K10" ca="1">IFERROR(IF(OR(INDEX(checklistPesertaKemenkeu!$O$6:$O$1005,SMALL(IF(checklistPesertaKemenkeu!$AY$6:$AY$1005="Direkomendasikan",ROW($6:$1005)-5),9))="",INDEX(checklistPesertaKemenkeu!$J$6:$J$1005,SMALL(IF(checklistPesertaKemenkeu!$AY$6:$AY$1005="Direkomendasikan",ROW($6:$1005)-5),9))=""),"",IF(AND(COUNTIF(INDIRECT("K_"&amp;MATCH(INDEX(checklistPesertaKemenkeu!$J$6:$J$1005,SMALL(IF(checklistPesertaKemenkeu!$AY$6:$AY$1005="Direkomendasikan",ROW($6:$1005)-5),9)),BidangList,0)),INDEX(checklistPesertaKemenkeu!$O$6:$O$1005,SMALL(IF(checklistPesertaKemenkeu!$AY$6:$AY$1005="Direkomendasikan",ROW($6:$1005)-5),9)))&gt;0,COUNTIF(INDIRECT("'KERTAS KERJA'!K"&amp;(SMALL(IF(checklistPesertaKemenkeu!$AY$6:$AY$1005="Direkomendasikan",ROW($6:$1005)-5),9)+5)&amp;":O"&amp;(SMALL(IF(checklistPesertaKemenkeu!$AY$6:$AY$1005="Direkomendasikan",ROW($6:$1005)-5),9)+5)),INDEX(checklistPesertaKemenkeu!$O$6:$O$1005,SMALL(IF(checklistPesertaKemenkeu!$AY$6:$AY$1005="Direkomendasikan",ROW($6:$1005)-5),9)))=1),IFERROR(VLOOKUP(INDEX(checklistPesertaKemenkeu!$O$6:$O$1005,SMALL(IF(checklistPesertaKemenkeu!$AY$6:$AY$1005="Direkomendasikan",ROW($6:$1005)-5),9)),KotaKode,2,0),"-"),"")),"")</f>
        <v/>
      </c>
      <c r="L10" t="str">
        <f t="array" aca="1" ref="L10" ca="1">IFERROR(IF(OR(INDEX(checklistPesertaKemenkeu!$P$6:$P$1005,SMALL(IF(checklistPesertaKemenkeu!$AY$6:$AY$1005="Direkomendasikan",ROW($6:$1005)-5),9))="",INDEX(checklistPesertaKemenkeu!$J$6:$J$1005,SMALL(IF(checklistPesertaKemenkeu!$AY$6:$AY$1005="Direkomendasikan",ROW($6:$1005)-5),9))=""),"",IF(AND(COUNTIF(INDIRECT("K_"&amp;MATCH(INDEX(checklistPesertaKemenkeu!$J$6:$J$1005,SMALL(IF(checklistPesertaKemenkeu!$AY$6:$AY$1005="Direkomendasikan",ROW($6:$1005)-5),9)),BidangList,0)),INDEX(checklistPesertaKemenkeu!$P$6:$P$1005,SMALL(IF(checklistPesertaKemenkeu!$AY$6:$AY$1005="Direkomendasikan",ROW($6:$1005)-5),9)))&gt;0,COUNTIF(INDIRECT("'KERTAS KERJA'!K"&amp;(SMALL(IF(checklistPesertaKemenkeu!$AY$6:$AY$1005="Direkomendasikan",ROW($6:$1005)-5),9)+5)&amp;":O"&amp;(SMALL(IF(checklistPesertaKemenkeu!$AY$6:$AY$1005="Direkomendasikan",ROW($6:$1005)-5),9)+5)),INDEX(checklistPesertaKemenkeu!$P$6:$P$1005,SMALL(IF(checklistPesertaKemenkeu!$AY$6:$AY$1005="Direkomendasikan",ROW($6:$1005)-5),9)))=1),IFERROR(VLOOKUP(INDEX(checklistPesertaKemenkeu!$P$6:$P$1005,SMALL(IF(checklistPesertaKemenkeu!$AY$6:$AY$1005="Direkomendasikan",ROW($6:$1005)-5),9)),KotaKode,2,0),"-"),"")),"")</f>
        <v/>
      </c>
    </row>
    <row r="11" spans="1:12" ht="15" customHeight="1" x14ac:dyDescent="0.2">
      <c r="A11" t="str">
        <f t="shared" si="0"/>
        <v/>
      </c>
      <c r="B11" t="str">
        <v/>
      </c>
      <c r="C11" s="40" t="str">
        <f t="array" ref="C11">IFERROR(INDEX(checklistPesertaKemenkeu!$F$6:$F$1005,SMALL(IF(checklistPesertaKemenkeu!$AY$6:$AY$1005="Direkomendasikan",ROW($6:$1005)-5),10)),"")</f>
        <v/>
      </c>
      <c r="D11" t="str">
        <f t="array" ref="D11">IFERROR(INDEX(checklistPesertaKemenkeu!$G$6:$G$1005,SMALL(IF(checklistPesertaKemenkeu!$AY$6:$AY$1005="Direkomendasikan",ROW($6:$1005)-5),10)),"")</f>
        <v/>
      </c>
      <c r="E11" t="str">
        <f t="array" ref="E11">IFERROR(INDEX(checklistPesertaKemenkeu!$H$6:$H$1005,SMALL(IF(checklistPesertaKemenkeu!$AY$6:$AY$1005="Direkomendasikan",ROW($6:$1005)-5),10)),"")</f>
        <v/>
      </c>
      <c r="F11" t="str">
        <f t="array" ref="F11">IFERROR(INDEX(checklistPesertaKemenkeu!$I$6:$I$1005,SMALL(IF(checklistPesertaKemenkeu!$AY$6:$AY$1005="Direkomendasikan",ROW($6:$1005)-5),10)),"")</f>
        <v/>
      </c>
      <c r="G11" t="str">
        <f t="array" ref="G11">IFERROR(INDEX(checklistPesertaKemenkeu!$J$6:$J$1005,SMALL(IF(checklistPesertaKemenkeu!$AY$6:$AY$1005="Direkomendasikan",ROW($6:$1005)-5),10)),"")</f>
        <v/>
      </c>
      <c r="H11" t="str">
        <f t="array" aca="1" ref="H11" ca="1">IFERROR(IF(OR(INDEX(checklistPesertaKemenkeu!$L$6:$L$1005,SMALL(IF(checklistPesertaKemenkeu!$AY$6:$AY$1005="Direkomendasikan",ROW($6:$1005)-5),10))="",INDEX(checklistPesertaKemenkeu!$J$6:$J$1005,SMALL(IF(checklistPesertaKemenkeu!$AY$6:$AY$1005="Direkomendasikan",ROW($6:$1005)-5),10))=""),"",IF(AND(COUNTIF(INDIRECT("K_"&amp;MATCH(INDEX(checklistPesertaKemenkeu!$J$6:$J$1005,SMALL(IF(checklistPesertaKemenkeu!$AY$6:$AY$1005="Direkomendasikan",ROW($6:$1005)-5),10)),BidangList,0)),INDEX(checklistPesertaKemenkeu!$L$6:$L$1005,SMALL(IF(checklistPesertaKemenkeu!$AY$6:$AY$1005="Direkomendasikan",ROW($6:$1005)-5),10)))&gt;0,COUNTIF(INDIRECT("'KERTAS KERJA'!K"&amp;(SMALL(IF(checklistPesertaKemenkeu!$AY$6:$AY$1005="Direkomendasikan",ROW($6:$1005)-5),10)+5)&amp;":O"&amp;(SMALL(IF(checklistPesertaKemenkeu!$AY$6:$AY$1005="Direkomendasikan",ROW($6:$1005)-5),10)+5)),INDEX(checklistPesertaKemenkeu!$L$6:$L$1005,SMALL(IF(checklistPesertaKemenkeu!$AY$6:$AY$1005="Direkomendasikan",ROW($6:$1005)-5),10)))=1),IFERROR(VLOOKUP(INDEX(checklistPesertaKemenkeu!$L$6:$L$1005,SMALL(IF(checklistPesertaKemenkeu!$AY$6:$AY$1005="Direkomendasikan",ROW($6:$1005)-5),10)),KotaKode,2,0),"-"),"")),"")</f>
        <v/>
      </c>
      <c r="I11" t="str">
        <f t="array" aca="1" ref="I11" ca="1">IFERROR(IF(OR(INDEX(checklistPesertaKemenkeu!$M$6:$M$1005,SMALL(IF(checklistPesertaKemenkeu!$AY$6:$AY$1005="Direkomendasikan",ROW($6:$1005)-5),10))="",INDEX(checklistPesertaKemenkeu!$J$6:$J$1005,SMALL(IF(checklistPesertaKemenkeu!$AY$6:$AY$1005="Direkomendasikan",ROW($6:$1005)-5),10))=""),"",IF(AND(COUNTIF(INDIRECT("K_"&amp;MATCH(INDEX(checklistPesertaKemenkeu!$J$6:$J$1005,SMALL(IF(checklistPesertaKemenkeu!$AY$6:$AY$1005="Direkomendasikan",ROW($6:$1005)-5),10)),BidangList,0)),INDEX(checklistPesertaKemenkeu!$M$6:$M$1005,SMALL(IF(checklistPesertaKemenkeu!$AY$6:$AY$1005="Direkomendasikan",ROW($6:$1005)-5),10)))&gt;0,COUNTIF(INDIRECT("'KERTAS KERJA'!K"&amp;(SMALL(IF(checklistPesertaKemenkeu!$AY$6:$AY$1005="Direkomendasikan",ROW($6:$1005)-5),10)+5)&amp;":O"&amp;(SMALL(IF(checklistPesertaKemenkeu!$AY$6:$AY$1005="Direkomendasikan",ROW($6:$1005)-5),10)+5)),INDEX(checklistPesertaKemenkeu!$M$6:$M$1005,SMALL(IF(checklistPesertaKemenkeu!$AY$6:$AY$1005="Direkomendasikan",ROW($6:$1005)-5),10)))=1),IFERROR(VLOOKUP(INDEX(checklistPesertaKemenkeu!$M$6:$M$1005,SMALL(IF(checklistPesertaKemenkeu!$AY$6:$AY$1005="Direkomendasikan",ROW($6:$1005)-5),10)),KotaKode,2,0),"-"),"")),"")</f>
        <v/>
      </c>
      <c r="J11" t="str">
        <f t="array" aca="1" ref="J11" ca="1">IFERROR(IF(OR(INDEX(checklistPesertaKemenkeu!$N$6:$N$1005,SMALL(IF(checklistPesertaKemenkeu!$AY$6:$AY$1005="Direkomendasikan",ROW($6:$1005)-5),10))="",INDEX(checklistPesertaKemenkeu!$J$6:$J$1005,SMALL(IF(checklistPesertaKemenkeu!$AY$6:$AY$1005="Direkomendasikan",ROW($6:$1005)-5),10))=""),"",IF(AND(COUNTIF(INDIRECT("K_"&amp;MATCH(INDEX(checklistPesertaKemenkeu!$J$6:$J$1005,SMALL(IF(checklistPesertaKemenkeu!$AY$6:$AY$1005="Direkomendasikan",ROW($6:$1005)-5),10)),BidangList,0)),INDEX(checklistPesertaKemenkeu!$N$6:$N$1005,SMALL(IF(checklistPesertaKemenkeu!$AY$6:$AY$1005="Direkomendasikan",ROW($6:$1005)-5),10)))&gt;0,COUNTIF(INDIRECT("'KERTAS KERJA'!K"&amp;(SMALL(IF(checklistPesertaKemenkeu!$AY$6:$AY$1005="Direkomendasikan",ROW($6:$1005)-5),10)+5)&amp;":O"&amp;(SMALL(IF(checklistPesertaKemenkeu!$AY$6:$AY$1005="Direkomendasikan",ROW($6:$1005)-5),10)+5)),INDEX(checklistPesertaKemenkeu!$N$6:$N$1005,SMALL(IF(checklistPesertaKemenkeu!$AY$6:$AY$1005="Direkomendasikan",ROW($6:$1005)-5),10)))=1),IFERROR(VLOOKUP(INDEX(checklistPesertaKemenkeu!$N$6:$N$1005,SMALL(IF(checklistPesertaKemenkeu!$AY$6:$AY$1005="Direkomendasikan",ROW($6:$1005)-5),10)),KotaKode,2,0),"-"),"")),"")</f>
        <v/>
      </c>
      <c r="K11" t="str">
        <f t="array" aca="1" ref="K11" ca="1">IFERROR(IF(OR(INDEX(checklistPesertaKemenkeu!$O$6:$O$1005,SMALL(IF(checklistPesertaKemenkeu!$AY$6:$AY$1005="Direkomendasikan",ROW($6:$1005)-5),10))="",INDEX(checklistPesertaKemenkeu!$J$6:$J$1005,SMALL(IF(checklistPesertaKemenkeu!$AY$6:$AY$1005="Direkomendasikan",ROW($6:$1005)-5),10))=""),"",IF(AND(COUNTIF(INDIRECT("K_"&amp;MATCH(INDEX(checklistPesertaKemenkeu!$J$6:$J$1005,SMALL(IF(checklistPesertaKemenkeu!$AY$6:$AY$1005="Direkomendasikan",ROW($6:$1005)-5),10)),BidangList,0)),INDEX(checklistPesertaKemenkeu!$O$6:$O$1005,SMALL(IF(checklistPesertaKemenkeu!$AY$6:$AY$1005="Direkomendasikan",ROW($6:$1005)-5),10)))&gt;0,COUNTIF(INDIRECT("'KERTAS KERJA'!K"&amp;(SMALL(IF(checklistPesertaKemenkeu!$AY$6:$AY$1005="Direkomendasikan",ROW($6:$1005)-5),10)+5)&amp;":O"&amp;(SMALL(IF(checklistPesertaKemenkeu!$AY$6:$AY$1005="Direkomendasikan",ROW($6:$1005)-5),10)+5)),INDEX(checklistPesertaKemenkeu!$O$6:$O$1005,SMALL(IF(checklistPesertaKemenkeu!$AY$6:$AY$1005="Direkomendasikan",ROW($6:$1005)-5),10)))=1),IFERROR(VLOOKUP(INDEX(checklistPesertaKemenkeu!$O$6:$O$1005,SMALL(IF(checklistPesertaKemenkeu!$AY$6:$AY$1005="Direkomendasikan",ROW($6:$1005)-5),10)),KotaKode,2,0),"-"),"")),"")</f>
        <v/>
      </c>
      <c r="L11" t="str">
        <f t="array" aca="1" ref="L11" ca="1">IFERROR(IF(OR(INDEX(checklistPesertaKemenkeu!$P$6:$P$1005,SMALL(IF(checklistPesertaKemenkeu!$AY$6:$AY$1005="Direkomendasikan",ROW($6:$1005)-5),10))="",INDEX(checklistPesertaKemenkeu!$J$6:$J$1005,SMALL(IF(checklistPesertaKemenkeu!$AY$6:$AY$1005="Direkomendasikan",ROW($6:$1005)-5),10))=""),"",IF(AND(COUNTIF(INDIRECT("K_"&amp;MATCH(INDEX(checklistPesertaKemenkeu!$J$6:$J$1005,SMALL(IF(checklistPesertaKemenkeu!$AY$6:$AY$1005="Direkomendasikan",ROW($6:$1005)-5),10)),BidangList,0)),INDEX(checklistPesertaKemenkeu!$P$6:$P$1005,SMALL(IF(checklistPesertaKemenkeu!$AY$6:$AY$1005="Direkomendasikan",ROW($6:$1005)-5),10)))&gt;0,COUNTIF(INDIRECT("'KERTAS KERJA'!K"&amp;(SMALL(IF(checklistPesertaKemenkeu!$AY$6:$AY$1005="Direkomendasikan",ROW($6:$1005)-5),10)+5)&amp;":O"&amp;(SMALL(IF(checklistPesertaKemenkeu!$AY$6:$AY$1005="Direkomendasikan",ROW($6:$1005)-5),10)+5)),INDEX(checklistPesertaKemenkeu!$P$6:$P$1005,SMALL(IF(checklistPesertaKemenkeu!$AY$6:$AY$1005="Direkomendasikan",ROW($6:$1005)-5),10)))=1),IFERROR(VLOOKUP(INDEX(checklistPesertaKemenkeu!$P$6:$P$1005,SMALL(IF(checklistPesertaKemenkeu!$AY$6:$AY$1005="Direkomendasikan",ROW($6:$1005)-5),10)),KotaKode,2,0),"-"),"")),"")</f>
        <v/>
      </c>
    </row>
    <row r="12" spans="1:12" ht="15" customHeight="1" x14ac:dyDescent="0.2">
      <c r="A12" t="str">
        <f t="shared" si="0"/>
        <v/>
      </c>
      <c r="B12" t="str">
        <v/>
      </c>
      <c r="C12" s="40" t="str">
        <f t="array" ref="C12">IFERROR(INDEX(checklistPesertaKemenkeu!$F$6:$F$1005,SMALL(IF(checklistPesertaKemenkeu!$AY$6:$AY$1005="Direkomendasikan",ROW($6:$1005)-5),11)),"")</f>
        <v/>
      </c>
      <c r="D12" t="str">
        <f t="array" ref="D12">IFERROR(INDEX(checklistPesertaKemenkeu!$G$6:$G$1005,SMALL(IF(checklistPesertaKemenkeu!$AY$6:$AY$1005="Direkomendasikan",ROW($6:$1005)-5),11)),"")</f>
        <v/>
      </c>
      <c r="E12" t="str">
        <f t="array" ref="E12">IFERROR(INDEX(checklistPesertaKemenkeu!$H$6:$H$1005,SMALL(IF(checklistPesertaKemenkeu!$AY$6:$AY$1005="Direkomendasikan",ROW($6:$1005)-5),11)),"")</f>
        <v/>
      </c>
      <c r="F12" t="str">
        <f t="array" ref="F12">IFERROR(INDEX(checklistPesertaKemenkeu!$I$6:$I$1005,SMALL(IF(checklistPesertaKemenkeu!$AY$6:$AY$1005="Direkomendasikan",ROW($6:$1005)-5),11)),"")</f>
        <v/>
      </c>
      <c r="G12" t="str">
        <f t="array" ref="G12">IFERROR(INDEX(checklistPesertaKemenkeu!$J$6:$J$1005,SMALL(IF(checklistPesertaKemenkeu!$AY$6:$AY$1005="Direkomendasikan",ROW($6:$1005)-5),11)),"")</f>
        <v/>
      </c>
      <c r="H12" t="str">
        <f t="array" aca="1" ref="H12" ca="1">IFERROR(IF(OR(INDEX(checklistPesertaKemenkeu!$L$6:$L$1005,SMALL(IF(checklistPesertaKemenkeu!$AY$6:$AY$1005="Direkomendasikan",ROW($6:$1005)-5),11))="",INDEX(checklistPesertaKemenkeu!$J$6:$J$1005,SMALL(IF(checklistPesertaKemenkeu!$AY$6:$AY$1005="Direkomendasikan",ROW($6:$1005)-5),11))=""),"",IF(AND(COUNTIF(INDIRECT("K_"&amp;MATCH(INDEX(checklistPesertaKemenkeu!$J$6:$J$1005,SMALL(IF(checklistPesertaKemenkeu!$AY$6:$AY$1005="Direkomendasikan",ROW($6:$1005)-5),11)),BidangList,0)),INDEX(checklistPesertaKemenkeu!$L$6:$L$1005,SMALL(IF(checklistPesertaKemenkeu!$AY$6:$AY$1005="Direkomendasikan",ROW($6:$1005)-5),11)))&gt;0,COUNTIF(INDIRECT("'KERTAS KERJA'!K"&amp;(SMALL(IF(checklistPesertaKemenkeu!$AY$6:$AY$1005="Direkomendasikan",ROW($6:$1005)-5),11)+5)&amp;":O"&amp;(SMALL(IF(checklistPesertaKemenkeu!$AY$6:$AY$1005="Direkomendasikan",ROW($6:$1005)-5),11)+5)),INDEX(checklistPesertaKemenkeu!$L$6:$L$1005,SMALL(IF(checklistPesertaKemenkeu!$AY$6:$AY$1005="Direkomendasikan",ROW($6:$1005)-5),11)))=1),IFERROR(VLOOKUP(INDEX(checklistPesertaKemenkeu!$L$6:$L$1005,SMALL(IF(checklistPesertaKemenkeu!$AY$6:$AY$1005="Direkomendasikan",ROW($6:$1005)-5),11)),KotaKode,2,0),"-"),"")),"")</f>
        <v/>
      </c>
      <c r="I12" t="str">
        <f t="array" aca="1" ref="I12" ca="1">IFERROR(IF(OR(INDEX(checklistPesertaKemenkeu!$M$6:$M$1005,SMALL(IF(checklistPesertaKemenkeu!$AY$6:$AY$1005="Direkomendasikan",ROW($6:$1005)-5),11))="",INDEX(checklistPesertaKemenkeu!$J$6:$J$1005,SMALL(IF(checklistPesertaKemenkeu!$AY$6:$AY$1005="Direkomendasikan",ROW($6:$1005)-5),11))=""),"",IF(AND(COUNTIF(INDIRECT("K_"&amp;MATCH(INDEX(checklistPesertaKemenkeu!$J$6:$J$1005,SMALL(IF(checklistPesertaKemenkeu!$AY$6:$AY$1005="Direkomendasikan",ROW($6:$1005)-5),11)),BidangList,0)),INDEX(checklistPesertaKemenkeu!$M$6:$M$1005,SMALL(IF(checklistPesertaKemenkeu!$AY$6:$AY$1005="Direkomendasikan",ROW($6:$1005)-5),11)))&gt;0,COUNTIF(INDIRECT("'KERTAS KERJA'!K"&amp;(SMALL(IF(checklistPesertaKemenkeu!$AY$6:$AY$1005="Direkomendasikan",ROW($6:$1005)-5),11)+5)&amp;":O"&amp;(SMALL(IF(checklistPesertaKemenkeu!$AY$6:$AY$1005="Direkomendasikan",ROW($6:$1005)-5),11)+5)),INDEX(checklistPesertaKemenkeu!$M$6:$M$1005,SMALL(IF(checklistPesertaKemenkeu!$AY$6:$AY$1005="Direkomendasikan",ROW($6:$1005)-5),11)))=1),IFERROR(VLOOKUP(INDEX(checklistPesertaKemenkeu!$M$6:$M$1005,SMALL(IF(checklistPesertaKemenkeu!$AY$6:$AY$1005="Direkomendasikan",ROW($6:$1005)-5),11)),KotaKode,2,0),"-"),"")),"")</f>
        <v/>
      </c>
      <c r="J12" t="str">
        <f t="array" aca="1" ref="J12" ca="1">IFERROR(IF(OR(INDEX(checklistPesertaKemenkeu!$N$6:$N$1005,SMALL(IF(checklistPesertaKemenkeu!$AY$6:$AY$1005="Direkomendasikan",ROW($6:$1005)-5),11))="",INDEX(checklistPesertaKemenkeu!$J$6:$J$1005,SMALL(IF(checklistPesertaKemenkeu!$AY$6:$AY$1005="Direkomendasikan",ROW($6:$1005)-5),11))=""),"",IF(AND(COUNTIF(INDIRECT("K_"&amp;MATCH(INDEX(checklistPesertaKemenkeu!$J$6:$J$1005,SMALL(IF(checklistPesertaKemenkeu!$AY$6:$AY$1005="Direkomendasikan",ROW($6:$1005)-5),11)),BidangList,0)),INDEX(checklistPesertaKemenkeu!$N$6:$N$1005,SMALL(IF(checklistPesertaKemenkeu!$AY$6:$AY$1005="Direkomendasikan",ROW($6:$1005)-5),11)))&gt;0,COUNTIF(INDIRECT("'KERTAS KERJA'!K"&amp;(SMALL(IF(checklistPesertaKemenkeu!$AY$6:$AY$1005="Direkomendasikan",ROW($6:$1005)-5),11)+5)&amp;":O"&amp;(SMALL(IF(checklistPesertaKemenkeu!$AY$6:$AY$1005="Direkomendasikan",ROW($6:$1005)-5),11)+5)),INDEX(checklistPesertaKemenkeu!$N$6:$N$1005,SMALL(IF(checklistPesertaKemenkeu!$AY$6:$AY$1005="Direkomendasikan",ROW($6:$1005)-5),11)))=1),IFERROR(VLOOKUP(INDEX(checklistPesertaKemenkeu!$N$6:$N$1005,SMALL(IF(checklistPesertaKemenkeu!$AY$6:$AY$1005="Direkomendasikan",ROW($6:$1005)-5),11)),KotaKode,2,0),"-"),"")),"")</f>
        <v/>
      </c>
      <c r="K12" t="str">
        <f t="array" aca="1" ref="K12" ca="1">IFERROR(IF(OR(INDEX(checklistPesertaKemenkeu!$O$6:$O$1005,SMALL(IF(checklistPesertaKemenkeu!$AY$6:$AY$1005="Direkomendasikan",ROW($6:$1005)-5),11))="",INDEX(checklistPesertaKemenkeu!$J$6:$J$1005,SMALL(IF(checklistPesertaKemenkeu!$AY$6:$AY$1005="Direkomendasikan",ROW($6:$1005)-5),11))=""),"",IF(AND(COUNTIF(INDIRECT("K_"&amp;MATCH(INDEX(checklistPesertaKemenkeu!$J$6:$J$1005,SMALL(IF(checklistPesertaKemenkeu!$AY$6:$AY$1005="Direkomendasikan",ROW($6:$1005)-5),11)),BidangList,0)),INDEX(checklistPesertaKemenkeu!$O$6:$O$1005,SMALL(IF(checklistPesertaKemenkeu!$AY$6:$AY$1005="Direkomendasikan",ROW($6:$1005)-5),11)))&gt;0,COUNTIF(INDIRECT("'KERTAS KERJA'!K"&amp;(SMALL(IF(checklistPesertaKemenkeu!$AY$6:$AY$1005="Direkomendasikan",ROW($6:$1005)-5),11)+5)&amp;":O"&amp;(SMALL(IF(checklistPesertaKemenkeu!$AY$6:$AY$1005="Direkomendasikan",ROW($6:$1005)-5),11)+5)),INDEX(checklistPesertaKemenkeu!$O$6:$O$1005,SMALL(IF(checklistPesertaKemenkeu!$AY$6:$AY$1005="Direkomendasikan",ROW($6:$1005)-5),11)))=1),IFERROR(VLOOKUP(INDEX(checklistPesertaKemenkeu!$O$6:$O$1005,SMALL(IF(checklistPesertaKemenkeu!$AY$6:$AY$1005="Direkomendasikan",ROW($6:$1005)-5),11)),KotaKode,2,0),"-"),"")),"")</f>
        <v/>
      </c>
      <c r="L12" t="str">
        <f t="array" aca="1" ref="L12" ca="1">IFERROR(IF(OR(INDEX(checklistPesertaKemenkeu!$P$6:$P$1005,SMALL(IF(checklistPesertaKemenkeu!$AY$6:$AY$1005="Direkomendasikan",ROW($6:$1005)-5),11))="",INDEX(checklistPesertaKemenkeu!$J$6:$J$1005,SMALL(IF(checklistPesertaKemenkeu!$AY$6:$AY$1005="Direkomendasikan",ROW($6:$1005)-5),11))=""),"",IF(AND(COUNTIF(INDIRECT("K_"&amp;MATCH(INDEX(checklistPesertaKemenkeu!$J$6:$J$1005,SMALL(IF(checklistPesertaKemenkeu!$AY$6:$AY$1005="Direkomendasikan",ROW($6:$1005)-5),11)),BidangList,0)),INDEX(checklistPesertaKemenkeu!$P$6:$P$1005,SMALL(IF(checklistPesertaKemenkeu!$AY$6:$AY$1005="Direkomendasikan",ROW($6:$1005)-5),11)))&gt;0,COUNTIF(INDIRECT("'KERTAS KERJA'!K"&amp;(SMALL(IF(checklistPesertaKemenkeu!$AY$6:$AY$1005="Direkomendasikan",ROW($6:$1005)-5),11)+5)&amp;":O"&amp;(SMALL(IF(checklistPesertaKemenkeu!$AY$6:$AY$1005="Direkomendasikan",ROW($6:$1005)-5),11)+5)),INDEX(checklistPesertaKemenkeu!$P$6:$P$1005,SMALL(IF(checklistPesertaKemenkeu!$AY$6:$AY$1005="Direkomendasikan",ROW($6:$1005)-5),11)))=1),IFERROR(VLOOKUP(INDEX(checklistPesertaKemenkeu!$P$6:$P$1005,SMALL(IF(checklistPesertaKemenkeu!$AY$6:$AY$1005="Direkomendasikan",ROW($6:$1005)-5),11)),KotaKode,2,0),"-"),"")),"")</f>
        <v/>
      </c>
    </row>
    <row r="13" spans="1:12" ht="15" customHeight="1" x14ac:dyDescent="0.2">
      <c r="A13" t="str">
        <f t="shared" si="0"/>
        <v/>
      </c>
      <c r="B13" t="str">
        <v/>
      </c>
      <c r="C13" s="40" t="str">
        <f t="array" ref="C13">IFERROR(INDEX(checklistPesertaKemenkeu!$F$6:$F$1005,SMALL(IF(checklistPesertaKemenkeu!$AY$6:$AY$1005="Direkomendasikan",ROW($6:$1005)-5),12)),"")</f>
        <v/>
      </c>
      <c r="D13" t="str">
        <f t="array" ref="D13">IFERROR(INDEX(checklistPesertaKemenkeu!$G$6:$G$1005,SMALL(IF(checklistPesertaKemenkeu!$AY$6:$AY$1005="Direkomendasikan",ROW($6:$1005)-5),12)),"")</f>
        <v/>
      </c>
      <c r="E13" t="str">
        <f t="array" ref="E13">IFERROR(INDEX(checklistPesertaKemenkeu!$H$6:$H$1005,SMALL(IF(checklistPesertaKemenkeu!$AY$6:$AY$1005="Direkomendasikan",ROW($6:$1005)-5),12)),"")</f>
        <v/>
      </c>
      <c r="F13" t="str">
        <f t="array" ref="F13">IFERROR(INDEX(checklistPesertaKemenkeu!$I$6:$I$1005,SMALL(IF(checklistPesertaKemenkeu!$AY$6:$AY$1005="Direkomendasikan",ROW($6:$1005)-5),12)),"")</f>
        <v/>
      </c>
      <c r="G13" t="str">
        <f t="array" ref="G13">IFERROR(INDEX(checklistPesertaKemenkeu!$J$6:$J$1005,SMALL(IF(checklistPesertaKemenkeu!$AY$6:$AY$1005="Direkomendasikan",ROW($6:$1005)-5),12)),"")</f>
        <v/>
      </c>
      <c r="H13" t="str">
        <f t="array" aca="1" ref="H13" ca="1">IFERROR(IF(OR(INDEX(checklistPesertaKemenkeu!$L$6:$L$1005,SMALL(IF(checklistPesertaKemenkeu!$AY$6:$AY$1005="Direkomendasikan",ROW($6:$1005)-5),12))="",INDEX(checklistPesertaKemenkeu!$J$6:$J$1005,SMALL(IF(checklistPesertaKemenkeu!$AY$6:$AY$1005="Direkomendasikan",ROW($6:$1005)-5),12))=""),"",IF(AND(COUNTIF(INDIRECT("K_"&amp;MATCH(INDEX(checklistPesertaKemenkeu!$J$6:$J$1005,SMALL(IF(checklistPesertaKemenkeu!$AY$6:$AY$1005="Direkomendasikan",ROW($6:$1005)-5),12)),BidangList,0)),INDEX(checklistPesertaKemenkeu!$L$6:$L$1005,SMALL(IF(checklistPesertaKemenkeu!$AY$6:$AY$1005="Direkomendasikan",ROW($6:$1005)-5),12)))&gt;0,COUNTIF(INDIRECT("'KERTAS KERJA'!K"&amp;(SMALL(IF(checklistPesertaKemenkeu!$AY$6:$AY$1005="Direkomendasikan",ROW($6:$1005)-5),12)+5)&amp;":O"&amp;(SMALL(IF(checklistPesertaKemenkeu!$AY$6:$AY$1005="Direkomendasikan",ROW($6:$1005)-5),12)+5)),INDEX(checklistPesertaKemenkeu!$L$6:$L$1005,SMALL(IF(checklistPesertaKemenkeu!$AY$6:$AY$1005="Direkomendasikan",ROW($6:$1005)-5),12)))=1),IFERROR(VLOOKUP(INDEX(checklistPesertaKemenkeu!$L$6:$L$1005,SMALL(IF(checklistPesertaKemenkeu!$AY$6:$AY$1005="Direkomendasikan",ROW($6:$1005)-5),12)),KotaKode,2,0),"-"),"")),"")</f>
        <v/>
      </c>
      <c r="I13" t="str">
        <f t="array" aca="1" ref="I13" ca="1">IFERROR(IF(OR(INDEX(checklistPesertaKemenkeu!$M$6:$M$1005,SMALL(IF(checklistPesertaKemenkeu!$AY$6:$AY$1005="Direkomendasikan",ROW($6:$1005)-5),12))="",INDEX(checklistPesertaKemenkeu!$J$6:$J$1005,SMALL(IF(checklistPesertaKemenkeu!$AY$6:$AY$1005="Direkomendasikan",ROW($6:$1005)-5),12))=""),"",IF(AND(COUNTIF(INDIRECT("K_"&amp;MATCH(INDEX(checklistPesertaKemenkeu!$J$6:$J$1005,SMALL(IF(checklistPesertaKemenkeu!$AY$6:$AY$1005="Direkomendasikan",ROW($6:$1005)-5),12)),BidangList,0)),INDEX(checklistPesertaKemenkeu!$M$6:$M$1005,SMALL(IF(checklistPesertaKemenkeu!$AY$6:$AY$1005="Direkomendasikan",ROW($6:$1005)-5),12)))&gt;0,COUNTIF(INDIRECT("'KERTAS KERJA'!K"&amp;(SMALL(IF(checklistPesertaKemenkeu!$AY$6:$AY$1005="Direkomendasikan",ROW($6:$1005)-5),12)+5)&amp;":O"&amp;(SMALL(IF(checklistPesertaKemenkeu!$AY$6:$AY$1005="Direkomendasikan",ROW($6:$1005)-5),12)+5)),INDEX(checklistPesertaKemenkeu!$M$6:$M$1005,SMALL(IF(checklistPesertaKemenkeu!$AY$6:$AY$1005="Direkomendasikan",ROW($6:$1005)-5),12)))=1),IFERROR(VLOOKUP(INDEX(checklistPesertaKemenkeu!$M$6:$M$1005,SMALL(IF(checklistPesertaKemenkeu!$AY$6:$AY$1005="Direkomendasikan",ROW($6:$1005)-5),12)),KotaKode,2,0),"-"),"")),"")</f>
        <v/>
      </c>
      <c r="J13" t="str">
        <f t="array" aca="1" ref="J13" ca="1">IFERROR(IF(OR(INDEX(checklistPesertaKemenkeu!$N$6:$N$1005,SMALL(IF(checklistPesertaKemenkeu!$AY$6:$AY$1005="Direkomendasikan",ROW($6:$1005)-5),12))="",INDEX(checklistPesertaKemenkeu!$J$6:$J$1005,SMALL(IF(checklistPesertaKemenkeu!$AY$6:$AY$1005="Direkomendasikan",ROW($6:$1005)-5),12))=""),"",IF(AND(COUNTIF(INDIRECT("K_"&amp;MATCH(INDEX(checklistPesertaKemenkeu!$J$6:$J$1005,SMALL(IF(checklistPesertaKemenkeu!$AY$6:$AY$1005="Direkomendasikan",ROW($6:$1005)-5),12)),BidangList,0)),INDEX(checklistPesertaKemenkeu!$N$6:$N$1005,SMALL(IF(checklistPesertaKemenkeu!$AY$6:$AY$1005="Direkomendasikan",ROW($6:$1005)-5),12)))&gt;0,COUNTIF(INDIRECT("'KERTAS KERJA'!K"&amp;(SMALL(IF(checklistPesertaKemenkeu!$AY$6:$AY$1005="Direkomendasikan",ROW($6:$1005)-5),12)+5)&amp;":O"&amp;(SMALL(IF(checklistPesertaKemenkeu!$AY$6:$AY$1005="Direkomendasikan",ROW($6:$1005)-5),12)+5)),INDEX(checklistPesertaKemenkeu!$N$6:$N$1005,SMALL(IF(checklistPesertaKemenkeu!$AY$6:$AY$1005="Direkomendasikan",ROW($6:$1005)-5),12)))=1),IFERROR(VLOOKUP(INDEX(checklistPesertaKemenkeu!$N$6:$N$1005,SMALL(IF(checklistPesertaKemenkeu!$AY$6:$AY$1005="Direkomendasikan",ROW($6:$1005)-5),12)),KotaKode,2,0),"-"),"")),"")</f>
        <v/>
      </c>
      <c r="K13" t="str">
        <f t="array" aca="1" ref="K13" ca="1">IFERROR(IF(OR(INDEX(checklistPesertaKemenkeu!$O$6:$O$1005,SMALL(IF(checklistPesertaKemenkeu!$AY$6:$AY$1005="Direkomendasikan",ROW($6:$1005)-5),12))="",INDEX(checklistPesertaKemenkeu!$J$6:$J$1005,SMALL(IF(checklistPesertaKemenkeu!$AY$6:$AY$1005="Direkomendasikan",ROW($6:$1005)-5),12))=""),"",IF(AND(COUNTIF(INDIRECT("K_"&amp;MATCH(INDEX(checklistPesertaKemenkeu!$J$6:$J$1005,SMALL(IF(checklistPesertaKemenkeu!$AY$6:$AY$1005="Direkomendasikan",ROW($6:$1005)-5),12)),BidangList,0)),INDEX(checklistPesertaKemenkeu!$O$6:$O$1005,SMALL(IF(checklistPesertaKemenkeu!$AY$6:$AY$1005="Direkomendasikan",ROW($6:$1005)-5),12)))&gt;0,COUNTIF(INDIRECT("'KERTAS KERJA'!K"&amp;(SMALL(IF(checklistPesertaKemenkeu!$AY$6:$AY$1005="Direkomendasikan",ROW($6:$1005)-5),12)+5)&amp;":O"&amp;(SMALL(IF(checklistPesertaKemenkeu!$AY$6:$AY$1005="Direkomendasikan",ROW($6:$1005)-5),12)+5)),INDEX(checklistPesertaKemenkeu!$O$6:$O$1005,SMALL(IF(checklistPesertaKemenkeu!$AY$6:$AY$1005="Direkomendasikan",ROW($6:$1005)-5),12)))=1),IFERROR(VLOOKUP(INDEX(checklistPesertaKemenkeu!$O$6:$O$1005,SMALL(IF(checklistPesertaKemenkeu!$AY$6:$AY$1005="Direkomendasikan",ROW($6:$1005)-5),12)),KotaKode,2,0),"-"),"")),"")</f>
        <v/>
      </c>
      <c r="L13" t="str">
        <f t="array" aca="1" ref="L13" ca="1">IFERROR(IF(OR(INDEX(checklistPesertaKemenkeu!$P$6:$P$1005,SMALL(IF(checklistPesertaKemenkeu!$AY$6:$AY$1005="Direkomendasikan",ROW($6:$1005)-5),12))="",INDEX(checklistPesertaKemenkeu!$J$6:$J$1005,SMALL(IF(checklistPesertaKemenkeu!$AY$6:$AY$1005="Direkomendasikan",ROW($6:$1005)-5),12))=""),"",IF(AND(COUNTIF(INDIRECT("K_"&amp;MATCH(INDEX(checklistPesertaKemenkeu!$J$6:$J$1005,SMALL(IF(checklistPesertaKemenkeu!$AY$6:$AY$1005="Direkomendasikan",ROW($6:$1005)-5),12)),BidangList,0)),INDEX(checklistPesertaKemenkeu!$P$6:$P$1005,SMALL(IF(checklistPesertaKemenkeu!$AY$6:$AY$1005="Direkomendasikan",ROW($6:$1005)-5),12)))&gt;0,COUNTIF(INDIRECT("'KERTAS KERJA'!K"&amp;(SMALL(IF(checklistPesertaKemenkeu!$AY$6:$AY$1005="Direkomendasikan",ROW($6:$1005)-5),12)+5)&amp;":O"&amp;(SMALL(IF(checklistPesertaKemenkeu!$AY$6:$AY$1005="Direkomendasikan",ROW($6:$1005)-5),12)+5)),INDEX(checklistPesertaKemenkeu!$P$6:$P$1005,SMALL(IF(checklistPesertaKemenkeu!$AY$6:$AY$1005="Direkomendasikan",ROW($6:$1005)-5),12)))=1),IFERROR(VLOOKUP(INDEX(checklistPesertaKemenkeu!$P$6:$P$1005,SMALL(IF(checklistPesertaKemenkeu!$AY$6:$AY$1005="Direkomendasikan",ROW($6:$1005)-5),12)),KotaKode,2,0),"-"),"")),"")</f>
        <v/>
      </c>
    </row>
    <row r="14" spans="1:12" ht="15" customHeight="1" x14ac:dyDescent="0.2">
      <c r="A14" t="str">
        <f t="shared" si="0"/>
        <v/>
      </c>
      <c r="B14" t="str">
        <v/>
      </c>
      <c r="C14" s="40" t="str">
        <f t="array" ref="C14">IFERROR(INDEX(checklistPesertaKemenkeu!$F$6:$F$1005,SMALL(IF(checklistPesertaKemenkeu!$AY$6:$AY$1005="Direkomendasikan",ROW($6:$1005)-5),13)),"")</f>
        <v/>
      </c>
      <c r="D14" t="str">
        <f t="array" ref="D14">IFERROR(INDEX(checklistPesertaKemenkeu!$G$6:$G$1005,SMALL(IF(checklistPesertaKemenkeu!$AY$6:$AY$1005="Direkomendasikan",ROW($6:$1005)-5),13)),"")</f>
        <v/>
      </c>
      <c r="E14" t="str">
        <f t="array" ref="E14">IFERROR(INDEX(checklistPesertaKemenkeu!$H$6:$H$1005,SMALL(IF(checklistPesertaKemenkeu!$AY$6:$AY$1005="Direkomendasikan",ROW($6:$1005)-5),13)),"")</f>
        <v/>
      </c>
      <c r="F14" t="str">
        <f t="array" ref="F14">IFERROR(INDEX(checklistPesertaKemenkeu!$I$6:$I$1005,SMALL(IF(checklistPesertaKemenkeu!$AY$6:$AY$1005="Direkomendasikan",ROW($6:$1005)-5),13)),"")</f>
        <v/>
      </c>
      <c r="G14" t="str">
        <f t="array" ref="G14">IFERROR(INDEX(checklistPesertaKemenkeu!$J$6:$J$1005,SMALL(IF(checklistPesertaKemenkeu!$AY$6:$AY$1005="Direkomendasikan",ROW($6:$1005)-5),13)),"")</f>
        <v/>
      </c>
      <c r="H14" t="str">
        <f t="array" aca="1" ref="H14" ca="1">IFERROR(IF(OR(INDEX(checklistPesertaKemenkeu!$L$6:$L$1005,SMALL(IF(checklistPesertaKemenkeu!$AY$6:$AY$1005="Direkomendasikan",ROW($6:$1005)-5),13))="",INDEX(checklistPesertaKemenkeu!$J$6:$J$1005,SMALL(IF(checklistPesertaKemenkeu!$AY$6:$AY$1005="Direkomendasikan",ROW($6:$1005)-5),13))=""),"",IF(AND(COUNTIF(INDIRECT("K_"&amp;MATCH(INDEX(checklistPesertaKemenkeu!$J$6:$J$1005,SMALL(IF(checklistPesertaKemenkeu!$AY$6:$AY$1005="Direkomendasikan",ROW($6:$1005)-5),13)),BidangList,0)),INDEX(checklistPesertaKemenkeu!$L$6:$L$1005,SMALL(IF(checklistPesertaKemenkeu!$AY$6:$AY$1005="Direkomendasikan",ROW($6:$1005)-5),13)))&gt;0,COUNTIF(INDIRECT("'KERTAS KERJA'!K"&amp;(SMALL(IF(checklistPesertaKemenkeu!$AY$6:$AY$1005="Direkomendasikan",ROW($6:$1005)-5),13)+5)&amp;":O"&amp;(SMALL(IF(checklistPesertaKemenkeu!$AY$6:$AY$1005="Direkomendasikan",ROW($6:$1005)-5),13)+5)),INDEX(checklistPesertaKemenkeu!$L$6:$L$1005,SMALL(IF(checklistPesertaKemenkeu!$AY$6:$AY$1005="Direkomendasikan",ROW($6:$1005)-5),13)))=1),IFERROR(VLOOKUP(INDEX(checklistPesertaKemenkeu!$L$6:$L$1005,SMALL(IF(checklistPesertaKemenkeu!$AY$6:$AY$1005="Direkomendasikan",ROW($6:$1005)-5),13)),KotaKode,2,0),"-"),"")),"")</f>
        <v/>
      </c>
      <c r="I14" t="str">
        <f t="array" aca="1" ref="I14" ca="1">IFERROR(IF(OR(INDEX(checklistPesertaKemenkeu!$M$6:$M$1005,SMALL(IF(checklistPesertaKemenkeu!$AY$6:$AY$1005="Direkomendasikan",ROW($6:$1005)-5),13))="",INDEX(checklistPesertaKemenkeu!$J$6:$J$1005,SMALL(IF(checklistPesertaKemenkeu!$AY$6:$AY$1005="Direkomendasikan",ROW($6:$1005)-5),13))=""),"",IF(AND(COUNTIF(INDIRECT("K_"&amp;MATCH(INDEX(checklistPesertaKemenkeu!$J$6:$J$1005,SMALL(IF(checklistPesertaKemenkeu!$AY$6:$AY$1005="Direkomendasikan",ROW($6:$1005)-5),13)),BidangList,0)),INDEX(checklistPesertaKemenkeu!$M$6:$M$1005,SMALL(IF(checklistPesertaKemenkeu!$AY$6:$AY$1005="Direkomendasikan",ROW($6:$1005)-5),13)))&gt;0,COUNTIF(INDIRECT("'KERTAS KERJA'!K"&amp;(SMALL(IF(checklistPesertaKemenkeu!$AY$6:$AY$1005="Direkomendasikan",ROW($6:$1005)-5),13)+5)&amp;":O"&amp;(SMALL(IF(checklistPesertaKemenkeu!$AY$6:$AY$1005="Direkomendasikan",ROW($6:$1005)-5),13)+5)),INDEX(checklistPesertaKemenkeu!$M$6:$M$1005,SMALL(IF(checklistPesertaKemenkeu!$AY$6:$AY$1005="Direkomendasikan",ROW($6:$1005)-5),13)))=1),IFERROR(VLOOKUP(INDEX(checklistPesertaKemenkeu!$M$6:$M$1005,SMALL(IF(checklistPesertaKemenkeu!$AY$6:$AY$1005="Direkomendasikan",ROW($6:$1005)-5),13)),KotaKode,2,0),"-"),"")),"")</f>
        <v/>
      </c>
      <c r="J14" t="str">
        <f t="array" aca="1" ref="J14" ca="1">IFERROR(IF(OR(INDEX(checklistPesertaKemenkeu!$N$6:$N$1005,SMALL(IF(checklistPesertaKemenkeu!$AY$6:$AY$1005="Direkomendasikan",ROW($6:$1005)-5),13))="",INDEX(checklistPesertaKemenkeu!$J$6:$J$1005,SMALL(IF(checklistPesertaKemenkeu!$AY$6:$AY$1005="Direkomendasikan",ROW($6:$1005)-5),13))=""),"",IF(AND(COUNTIF(INDIRECT("K_"&amp;MATCH(INDEX(checklistPesertaKemenkeu!$J$6:$J$1005,SMALL(IF(checklistPesertaKemenkeu!$AY$6:$AY$1005="Direkomendasikan",ROW($6:$1005)-5),13)),BidangList,0)),INDEX(checklistPesertaKemenkeu!$N$6:$N$1005,SMALL(IF(checklistPesertaKemenkeu!$AY$6:$AY$1005="Direkomendasikan",ROW($6:$1005)-5),13)))&gt;0,COUNTIF(INDIRECT("'KERTAS KERJA'!K"&amp;(SMALL(IF(checklistPesertaKemenkeu!$AY$6:$AY$1005="Direkomendasikan",ROW($6:$1005)-5),13)+5)&amp;":O"&amp;(SMALL(IF(checklistPesertaKemenkeu!$AY$6:$AY$1005="Direkomendasikan",ROW($6:$1005)-5),13)+5)),INDEX(checklistPesertaKemenkeu!$N$6:$N$1005,SMALL(IF(checklistPesertaKemenkeu!$AY$6:$AY$1005="Direkomendasikan",ROW($6:$1005)-5),13)))=1),IFERROR(VLOOKUP(INDEX(checklistPesertaKemenkeu!$N$6:$N$1005,SMALL(IF(checklistPesertaKemenkeu!$AY$6:$AY$1005="Direkomendasikan",ROW($6:$1005)-5),13)),KotaKode,2,0),"-"),"")),"")</f>
        <v/>
      </c>
      <c r="K14" t="str">
        <f t="array" aca="1" ref="K14" ca="1">IFERROR(IF(OR(INDEX(checklistPesertaKemenkeu!$O$6:$O$1005,SMALL(IF(checklistPesertaKemenkeu!$AY$6:$AY$1005="Direkomendasikan",ROW($6:$1005)-5),13))="",INDEX(checklistPesertaKemenkeu!$J$6:$J$1005,SMALL(IF(checklistPesertaKemenkeu!$AY$6:$AY$1005="Direkomendasikan",ROW($6:$1005)-5),13))=""),"",IF(AND(COUNTIF(INDIRECT("K_"&amp;MATCH(INDEX(checklistPesertaKemenkeu!$J$6:$J$1005,SMALL(IF(checklistPesertaKemenkeu!$AY$6:$AY$1005="Direkomendasikan",ROW($6:$1005)-5),13)),BidangList,0)),INDEX(checklistPesertaKemenkeu!$O$6:$O$1005,SMALL(IF(checklistPesertaKemenkeu!$AY$6:$AY$1005="Direkomendasikan",ROW($6:$1005)-5),13)))&gt;0,COUNTIF(INDIRECT("'KERTAS KERJA'!K"&amp;(SMALL(IF(checklistPesertaKemenkeu!$AY$6:$AY$1005="Direkomendasikan",ROW($6:$1005)-5),13)+5)&amp;":O"&amp;(SMALL(IF(checklistPesertaKemenkeu!$AY$6:$AY$1005="Direkomendasikan",ROW($6:$1005)-5),13)+5)),INDEX(checklistPesertaKemenkeu!$O$6:$O$1005,SMALL(IF(checklistPesertaKemenkeu!$AY$6:$AY$1005="Direkomendasikan",ROW($6:$1005)-5),13)))=1),IFERROR(VLOOKUP(INDEX(checklistPesertaKemenkeu!$O$6:$O$1005,SMALL(IF(checklistPesertaKemenkeu!$AY$6:$AY$1005="Direkomendasikan",ROW($6:$1005)-5),13)),KotaKode,2,0),"-"),"")),"")</f>
        <v/>
      </c>
      <c r="L14" t="str">
        <f t="array" aca="1" ref="L14" ca="1">IFERROR(IF(OR(INDEX(checklistPesertaKemenkeu!$P$6:$P$1005,SMALL(IF(checklistPesertaKemenkeu!$AY$6:$AY$1005="Direkomendasikan",ROW($6:$1005)-5),13))="",INDEX(checklistPesertaKemenkeu!$J$6:$J$1005,SMALL(IF(checklistPesertaKemenkeu!$AY$6:$AY$1005="Direkomendasikan",ROW($6:$1005)-5),13))=""),"",IF(AND(COUNTIF(INDIRECT("K_"&amp;MATCH(INDEX(checklistPesertaKemenkeu!$J$6:$J$1005,SMALL(IF(checklistPesertaKemenkeu!$AY$6:$AY$1005="Direkomendasikan",ROW($6:$1005)-5),13)),BidangList,0)),INDEX(checklistPesertaKemenkeu!$P$6:$P$1005,SMALL(IF(checklistPesertaKemenkeu!$AY$6:$AY$1005="Direkomendasikan",ROW($6:$1005)-5),13)))&gt;0,COUNTIF(INDIRECT("'KERTAS KERJA'!K"&amp;(SMALL(IF(checklistPesertaKemenkeu!$AY$6:$AY$1005="Direkomendasikan",ROW($6:$1005)-5),13)+5)&amp;":O"&amp;(SMALL(IF(checklistPesertaKemenkeu!$AY$6:$AY$1005="Direkomendasikan",ROW($6:$1005)-5),13)+5)),INDEX(checklistPesertaKemenkeu!$P$6:$P$1005,SMALL(IF(checklistPesertaKemenkeu!$AY$6:$AY$1005="Direkomendasikan",ROW($6:$1005)-5),13)))=1),IFERROR(VLOOKUP(INDEX(checklistPesertaKemenkeu!$P$6:$P$1005,SMALL(IF(checklistPesertaKemenkeu!$AY$6:$AY$1005="Direkomendasikan",ROW($6:$1005)-5),13)),KotaKode,2,0),"-"),"")),"")</f>
        <v/>
      </c>
    </row>
    <row r="15" spans="1:12" ht="15" customHeight="1" x14ac:dyDescent="0.2">
      <c r="A15" t="str">
        <f t="shared" si="0"/>
        <v/>
      </c>
      <c r="B15" t="str">
        <v/>
      </c>
      <c r="C15" s="40" t="str">
        <f t="array" ref="C15">IFERROR(INDEX(checklistPesertaKemenkeu!$F$6:$F$1005,SMALL(IF(checklistPesertaKemenkeu!$AY$6:$AY$1005="Direkomendasikan",ROW($6:$1005)-5),14)),"")</f>
        <v/>
      </c>
      <c r="D15" t="str">
        <f t="array" ref="D15">IFERROR(INDEX(checklistPesertaKemenkeu!$G$6:$G$1005,SMALL(IF(checklistPesertaKemenkeu!$AY$6:$AY$1005="Direkomendasikan",ROW($6:$1005)-5),14)),"")</f>
        <v/>
      </c>
      <c r="E15" t="str">
        <f t="array" ref="E15">IFERROR(INDEX(checklistPesertaKemenkeu!$H$6:$H$1005,SMALL(IF(checklistPesertaKemenkeu!$AY$6:$AY$1005="Direkomendasikan",ROW($6:$1005)-5),14)),"")</f>
        <v/>
      </c>
      <c r="F15" t="str">
        <f t="array" ref="F15">IFERROR(INDEX(checklistPesertaKemenkeu!$I$6:$I$1005,SMALL(IF(checklistPesertaKemenkeu!$AY$6:$AY$1005="Direkomendasikan",ROW($6:$1005)-5),14)),"")</f>
        <v/>
      </c>
      <c r="G15" t="str">
        <f t="array" ref="G15">IFERROR(INDEX(checklistPesertaKemenkeu!$J$6:$J$1005,SMALL(IF(checklistPesertaKemenkeu!$AY$6:$AY$1005="Direkomendasikan",ROW($6:$1005)-5),14)),"")</f>
        <v/>
      </c>
      <c r="H15" t="str">
        <f t="array" aca="1" ref="H15" ca="1">IFERROR(IF(OR(INDEX(checklistPesertaKemenkeu!$L$6:$L$1005,SMALL(IF(checklistPesertaKemenkeu!$AY$6:$AY$1005="Direkomendasikan",ROW($6:$1005)-5),14))="",INDEX(checklistPesertaKemenkeu!$J$6:$J$1005,SMALL(IF(checklistPesertaKemenkeu!$AY$6:$AY$1005="Direkomendasikan",ROW($6:$1005)-5),14))=""),"",IF(AND(COUNTIF(INDIRECT("K_"&amp;MATCH(INDEX(checklistPesertaKemenkeu!$J$6:$J$1005,SMALL(IF(checklistPesertaKemenkeu!$AY$6:$AY$1005="Direkomendasikan",ROW($6:$1005)-5),14)),BidangList,0)),INDEX(checklistPesertaKemenkeu!$L$6:$L$1005,SMALL(IF(checklistPesertaKemenkeu!$AY$6:$AY$1005="Direkomendasikan",ROW($6:$1005)-5),14)))&gt;0,COUNTIF(INDIRECT("'KERTAS KERJA'!K"&amp;(SMALL(IF(checklistPesertaKemenkeu!$AY$6:$AY$1005="Direkomendasikan",ROW($6:$1005)-5),14)+5)&amp;":O"&amp;(SMALL(IF(checklistPesertaKemenkeu!$AY$6:$AY$1005="Direkomendasikan",ROW($6:$1005)-5),14)+5)),INDEX(checklistPesertaKemenkeu!$L$6:$L$1005,SMALL(IF(checklistPesertaKemenkeu!$AY$6:$AY$1005="Direkomendasikan",ROW($6:$1005)-5),14)))=1),IFERROR(VLOOKUP(INDEX(checklistPesertaKemenkeu!$L$6:$L$1005,SMALL(IF(checklistPesertaKemenkeu!$AY$6:$AY$1005="Direkomendasikan",ROW($6:$1005)-5),14)),KotaKode,2,0),"-"),"")),"")</f>
        <v/>
      </c>
      <c r="I15" t="str">
        <f t="array" aca="1" ref="I15" ca="1">IFERROR(IF(OR(INDEX(checklistPesertaKemenkeu!$M$6:$M$1005,SMALL(IF(checklistPesertaKemenkeu!$AY$6:$AY$1005="Direkomendasikan",ROW($6:$1005)-5),14))="",INDEX(checklistPesertaKemenkeu!$J$6:$J$1005,SMALL(IF(checklistPesertaKemenkeu!$AY$6:$AY$1005="Direkomendasikan",ROW($6:$1005)-5),14))=""),"",IF(AND(COUNTIF(INDIRECT("K_"&amp;MATCH(INDEX(checklistPesertaKemenkeu!$J$6:$J$1005,SMALL(IF(checklistPesertaKemenkeu!$AY$6:$AY$1005="Direkomendasikan",ROW($6:$1005)-5),14)),BidangList,0)),INDEX(checklistPesertaKemenkeu!$M$6:$M$1005,SMALL(IF(checklistPesertaKemenkeu!$AY$6:$AY$1005="Direkomendasikan",ROW($6:$1005)-5),14)))&gt;0,COUNTIF(INDIRECT("'KERTAS KERJA'!K"&amp;(SMALL(IF(checklistPesertaKemenkeu!$AY$6:$AY$1005="Direkomendasikan",ROW($6:$1005)-5),14)+5)&amp;":O"&amp;(SMALL(IF(checklistPesertaKemenkeu!$AY$6:$AY$1005="Direkomendasikan",ROW($6:$1005)-5),14)+5)),INDEX(checklistPesertaKemenkeu!$M$6:$M$1005,SMALL(IF(checklistPesertaKemenkeu!$AY$6:$AY$1005="Direkomendasikan",ROW($6:$1005)-5),14)))=1),IFERROR(VLOOKUP(INDEX(checklistPesertaKemenkeu!$M$6:$M$1005,SMALL(IF(checklistPesertaKemenkeu!$AY$6:$AY$1005="Direkomendasikan",ROW($6:$1005)-5),14)),KotaKode,2,0),"-"),"")),"")</f>
        <v/>
      </c>
      <c r="J15" t="str">
        <f t="array" aca="1" ref="J15" ca="1">IFERROR(IF(OR(INDEX(checklistPesertaKemenkeu!$N$6:$N$1005,SMALL(IF(checklistPesertaKemenkeu!$AY$6:$AY$1005="Direkomendasikan",ROW($6:$1005)-5),14))="",INDEX(checklistPesertaKemenkeu!$J$6:$J$1005,SMALL(IF(checklistPesertaKemenkeu!$AY$6:$AY$1005="Direkomendasikan",ROW($6:$1005)-5),14))=""),"",IF(AND(COUNTIF(INDIRECT("K_"&amp;MATCH(INDEX(checklistPesertaKemenkeu!$J$6:$J$1005,SMALL(IF(checklistPesertaKemenkeu!$AY$6:$AY$1005="Direkomendasikan",ROW($6:$1005)-5),14)),BidangList,0)),INDEX(checklistPesertaKemenkeu!$N$6:$N$1005,SMALL(IF(checklistPesertaKemenkeu!$AY$6:$AY$1005="Direkomendasikan",ROW($6:$1005)-5),14)))&gt;0,COUNTIF(INDIRECT("'KERTAS KERJA'!K"&amp;(SMALL(IF(checklistPesertaKemenkeu!$AY$6:$AY$1005="Direkomendasikan",ROW($6:$1005)-5),14)+5)&amp;":O"&amp;(SMALL(IF(checklistPesertaKemenkeu!$AY$6:$AY$1005="Direkomendasikan",ROW($6:$1005)-5),14)+5)),INDEX(checklistPesertaKemenkeu!$N$6:$N$1005,SMALL(IF(checklistPesertaKemenkeu!$AY$6:$AY$1005="Direkomendasikan",ROW($6:$1005)-5),14)))=1),IFERROR(VLOOKUP(INDEX(checklistPesertaKemenkeu!$N$6:$N$1005,SMALL(IF(checklistPesertaKemenkeu!$AY$6:$AY$1005="Direkomendasikan",ROW($6:$1005)-5),14)),KotaKode,2,0),"-"),"")),"")</f>
        <v/>
      </c>
      <c r="K15" t="str">
        <f t="array" aca="1" ref="K15" ca="1">IFERROR(IF(OR(INDEX(checklistPesertaKemenkeu!$O$6:$O$1005,SMALL(IF(checklistPesertaKemenkeu!$AY$6:$AY$1005="Direkomendasikan",ROW($6:$1005)-5),14))="",INDEX(checklistPesertaKemenkeu!$J$6:$J$1005,SMALL(IF(checklistPesertaKemenkeu!$AY$6:$AY$1005="Direkomendasikan",ROW($6:$1005)-5),14))=""),"",IF(AND(COUNTIF(INDIRECT("K_"&amp;MATCH(INDEX(checklistPesertaKemenkeu!$J$6:$J$1005,SMALL(IF(checklistPesertaKemenkeu!$AY$6:$AY$1005="Direkomendasikan",ROW($6:$1005)-5),14)),BidangList,0)),INDEX(checklistPesertaKemenkeu!$O$6:$O$1005,SMALL(IF(checklistPesertaKemenkeu!$AY$6:$AY$1005="Direkomendasikan",ROW($6:$1005)-5),14)))&gt;0,COUNTIF(INDIRECT("'KERTAS KERJA'!K"&amp;(SMALL(IF(checklistPesertaKemenkeu!$AY$6:$AY$1005="Direkomendasikan",ROW($6:$1005)-5),14)+5)&amp;":O"&amp;(SMALL(IF(checklistPesertaKemenkeu!$AY$6:$AY$1005="Direkomendasikan",ROW($6:$1005)-5),14)+5)),INDEX(checklistPesertaKemenkeu!$O$6:$O$1005,SMALL(IF(checklistPesertaKemenkeu!$AY$6:$AY$1005="Direkomendasikan",ROW($6:$1005)-5),14)))=1),IFERROR(VLOOKUP(INDEX(checklistPesertaKemenkeu!$O$6:$O$1005,SMALL(IF(checklistPesertaKemenkeu!$AY$6:$AY$1005="Direkomendasikan",ROW($6:$1005)-5),14)),KotaKode,2,0),"-"),"")),"")</f>
        <v/>
      </c>
      <c r="L15" t="str">
        <f t="array" aca="1" ref="L15" ca="1">IFERROR(IF(OR(INDEX(checklistPesertaKemenkeu!$P$6:$P$1005,SMALL(IF(checklistPesertaKemenkeu!$AY$6:$AY$1005="Direkomendasikan",ROW($6:$1005)-5),14))="",INDEX(checklistPesertaKemenkeu!$J$6:$J$1005,SMALL(IF(checklistPesertaKemenkeu!$AY$6:$AY$1005="Direkomendasikan",ROW($6:$1005)-5),14))=""),"",IF(AND(COUNTIF(INDIRECT("K_"&amp;MATCH(INDEX(checklistPesertaKemenkeu!$J$6:$J$1005,SMALL(IF(checklistPesertaKemenkeu!$AY$6:$AY$1005="Direkomendasikan",ROW($6:$1005)-5),14)),BidangList,0)),INDEX(checklistPesertaKemenkeu!$P$6:$P$1005,SMALL(IF(checklistPesertaKemenkeu!$AY$6:$AY$1005="Direkomendasikan",ROW($6:$1005)-5),14)))&gt;0,COUNTIF(INDIRECT("'KERTAS KERJA'!K"&amp;(SMALL(IF(checklistPesertaKemenkeu!$AY$6:$AY$1005="Direkomendasikan",ROW($6:$1005)-5),14)+5)&amp;":O"&amp;(SMALL(IF(checklistPesertaKemenkeu!$AY$6:$AY$1005="Direkomendasikan",ROW($6:$1005)-5),14)+5)),INDEX(checklistPesertaKemenkeu!$P$6:$P$1005,SMALL(IF(checklistPesertaKemenkeu!$AY$6:$AY$1005="Direkomendasikan",ROW($6:$1005)-5),14)))=1),IFERROR(VLOOKUP(INDEX(checklistPesertaKemenkeu!$P$6:$P$1005,SMALL(IF(checklistPesertaKemenkeu!$AY$6:$AY$1005="Direkomendasikan",ROW($6:$1005)-5),14)),KotaKode,2,0),"-"),"")),"")</f>
        <v/>
      </c>
    </row>
    <row r="16" spans="1:12" ht="15" customHeight="1" x14ac:dyDescent="0.2">
      <c r="A16" t="str">
        <f t="shared" si="0"/>
        <v/>
      </c>
      <c r="B16" t="str">
        <v/>
      </c>
      <c r="C16" s="40" t="str">
        <f t="array" ref="C16">IFERROR(INDEX(checklistPesertaKemenkeu!$F$6:$F$1005,SMALL(IF(checklistPesertaKemenkeu!$AY$6:$AY$1005="Direkomendasikan",ROW($6:$1005)-5),15)),"")</f>
        <v/>
      </c>
      <c r="D16" t="str">
        <f t="array" ref="D16">IFERROR(INDEX(checklistPesertaKemenkeu!$G$6:$G$1005,SMALL(IF(checklistPesertaKemenkeu!$AY$6:$AY$1005="Direkomendasikan",ROW($6:$1005)-5),15)),"")</f>
        <v/>
      </c>
      <c r="E16" t="str">
        <f t="array" ref="E16">IFERROR(INDEX(checklistPesertaKemenkeu!$H$6:$H$1005,SMALL(IF(checklistPesertaKemenkeu!$AY$6:$AY$1005="Direkomendasikan",ROW($6:$1005)-5),15)),"")</f>
        <v/>
      </c>
      <c r="F16" t="str">
        <f t="array" ref="F16">IFERROR(INDEX(checklistPesertaKemenkeu!$I$6:$I$1005,SMALL(IF(checklistPesertaKemenkeu!$AY$6:$AY$1005="Direkomendasikan",ROW($6:$1005)-5),15)),"")</f>
        <v/>
      </c>
      <c r="G16" t="str">
        <f t="array" ref="G16">IFERROR(INDEX(checklistPesertaKemenkeu!$J$6:$J$1005,SMALL(IF(checklistPesertaKemenkeu!$AY$6:$AY$1005="Direkomendasikan",ROW($6:$1005)-5),15)),"")</f>
        <v/>
      </c>
      <c r="H16" t="str">
        <f t="array" aca="1" ref="H16" ca="1">IFERROR(IF(OR(INDEX(checklistPesertaKemenkeu!$L$6:$L$1005,SMALL(IF(checklistPesertaKemenkeu!$AY$6:$AY$1005="Direkomendasikan",ROW($6:$1005)-5),15))="",INDEX(checklistPesertaKemenkeu!$J$6:$J$1005,SMALL(IF(checklistPesertaKemenkeu!$AY$6:$AY$1005="Direkomendasikan",ROW($6:$1005)-5),15))=""),"",IF(AND(COUNTIF(INDIRECT("K_"&amp;MATCH(INDEX(checklistPesertaKemenkeu!$J$6:$J$1005,SMALL(IF(checklistPesertaKemenkeu!$AY$6:$AY$1005="Direkomendasikan",ROW($6:$1005)-5),15)),BidangList,0)),INDEX(checklistPesertaKemenkeu!$L$6:$L$1005,SMALL(IF(checklistPesertaKemenkeu!$AY$6:$AY$1005="Direkomendasikan",ROW($6:$1005)-5),15)))&gt;0,COUNTIF(INDIRECT("'KERTAS KERJA'!K"&amp;(SMALL(IF(checklistPesertaKemenkeu!$AY$6:$AY$1005="Direkomendasikan",ROW($6:$1005)-5),15)+5)&amp;":O"&amp;(SMALL(IF(checklistPesertaKemenkeu!$AY$6:$AY$1005="Direkomendasikan",ROW($6:$1005)-5),15)+5)),INDEX(checklistPesertaKemenkeu!$L$6:$L$1005,SMALL(IF(checklistPesertaKemenkeu!$AY$6:$AY$1005="Direkomendasikan",ROW($6:$1005)-5),15)))=1),IFERROR(VLOOKUP(INDEX(checklistPesertaKemenkeu!$L$6:$L$1005,SMALL(IF(checklistPesertaKemenkeu!$AY$6:$AY$1005="Direkomendasikan",ROW($6:$1005)-5),15)),KotaKode,2,0),"-"),"")),"")</f>
        <v/>
      </c>
      <c r="I16" t="str">
        <f t="array" aca="1" ref="I16" ca="1">IFERROR(IF(OR(INDEX(checklistPesertaKemenkeu!$M$6:$M$1005,SMALL(IF(checklistPesertaKemenkeu!$AY$6:$AY$1005="Direkomendasikan",ROW($6:$1005)-5),15))="",INDEX(checklistPesertaKemenkeu!$J$6:$J$1005,SMALL(IF(checklistPesertaKemenkeu!$AY$6:$AY$1005="Direkomendasikan",ROW($6:$1005)-5),15))=""),"",IF(AND(COUNTIF(INDIRECT("K_"&amp;MATCH(INDEX(checklistPesertaKemenkeu!$J$6:$J$1005,SMALL(IF(checklistPesertaKemenkeu!$AY$6:$AY$1005="Direkomendasikan",ROW($6:$1005)-5),15)),BidangList,0)),INDEX(checklistPesertaKemenkeu!$M$6:$M$1005,SMALL(IF(checklistPesertaKemenkeu!$AY$6:$AY$1005="Direkomendasikan",ROW($6:$1005)-5),15)))&gt;0,COUNTIF(INDIRECT("'KERTAS KERJA'!K"&amp;(SMALL(IF(checklistPesertaKemenkeu!$AY$6:$AY$1005="Direkomendasikan",ROW($6:$1005)-5),15)+5)&amp;":O"&amp;(SMALL(IF(checklistPesertaKemenkeu!$AY$6:$AY$1005="Direkomendasikan",ROW($6:$1005)-5),15)+5)),INDEX(checklistPesertaKemenkeu!$M$6:$M$1005,SMALL(IF(checklistPesertaKemenkeu!$AY$6:$AY$1005="Direkomendasikan",ROW($6:$1005)-5),15)))=1),IFERROR(VLOOKUP(INDEX(checklistPesertaKemenkeu!$M$6:$M$1005,SMALL(IF(checklistPesertaKemenkeu!$AY$6:$AY$1005="Direkomendasikan",ROW($6:$1005)-5),15)),KotaKode,2,0),"-"),"")),"")</f>
        <v/>
      </c>
      <c r="J16" t="str">
        <f t="array" aca="1" ref="J16" ca="1">IFERROR(IF(OR(INDEX(checklistPesertaKemenkeu!$N$6:$N$1005,SMALL(IF(checklistPesertaKemenkeu!$AY$6:$AY$1005="Direkomendasikan",ROW($6:$1005)-5),15))="",INDEX(checklistPesertaKemenkeu!$J$6:$J$1005,SMALL(IF(checklistPesertaKemenkeu!$AY$6:$AY$1005="Direkomendasikan",ROW($6:$1005)-5),15))=""),"",IF(AND(COUNTIF(INDIRECT("K_"&amp;MATCH(INDEX(checklistPesertaKemenkeu!$J$6:$J$1005,SMALL(IF(checklistPesertaKemenkeu!$AY$6:$AY$1005="Direkomendasikan",ROW($6:$1005)-5),15)),BidangList,0)),INDEX(checklistPesertaKemenkeu!$N$6:$N$1005,SMALL(IF(checklistPesertaKemenkeu!$AY$6:$AY$1005="Direkomendasikan",ROW($6:$1005)-5),15)))&gt;0,COUNTIF(INDIRECT("'KERTAS KERJA'!K"&amp;(SMALL(IF(checklistPesertaKemenkeu!$AY$6:$AY$1005="Direkomendasikan",ROW($6:$1005)-5),15)+5)&amp;":O"&amp;(SMALL(IF(checklistPesertaKemenkeu!$AY$6:$AY$1005="Direkomendasikan",ROW($6:$1005)-5),15)+5)),INDEX(checklistPesertaKemenkeu!$N$6:$N$1005,SMALL(IF(checklistPesertaKemenkeu!$AY$6:$AY$1005="Direkomendasikan",ROW($6:$1005)-5),15)))=1),IFERROR(VLOOKUP(INDEX(checklistPesertaKemenkeu!$N$6:$N$1005,SMALL(IF(checklistPesertaKemenkeu!$AY$6:$AY$1005="Direkomendasikan",ROW($6:$1005)-5),15)),KotaKode,2,0),"-"),"")),"")</f>
        <v/>
      </c>
      <c r="K16" t="str">
        <f t="array" aca="1" ref="K16" ca="1">IFERROR(IF(OR(INDEX(checklistPesertaKemenkeu!$O$6:$O$1005,SMALL(IF(checklistPesertaKemenkeu!$AY$6:$AY$1005="Direkomendasikan",ROW($6:$1005)-5),15))="",INDEX(checklistPesertaKemenkeu!$J$6:$J$1005,SMALL(IF(checklistPesertaKemenkeu!$AY$6:$AY$1005="Direkomendasikan",ROW($6:$1005)-5),15))=""),"",IF(AND(COUNTIF(INDIRECT("K_"&amp;MATCH(INDEX(checklistPesertaKemenkeu!$J$6:$J$1005,SMALL(IF(checklistPesertaKemenkeu!$AY$6:$AY$1005="Direkomendasikan",ROW($6:$1005)-5),15)),BidangList,0)),INDEX(checklistPesertaKemenkeu!$O$6:$O$1005,SMALL(IF(checklistPesertaKemenkeu!$AY$6:$AY$1005="Direkomendasikan",ROW($6:$1005)-5),15)))&gt;0,COUNTIF(INDIRECT("'KERTAS KERJA'!K"&amp;(SMALL(IF(checklistPesertaKemenkeu!$AY$6:$AY$1005="Direkomendasikan",ROW($6:$1005)-5),15)+5)&amp;":O"&amp;(SMALL(IF(checklistPesertaKemenkeu!$AY$6:$AY$1005="Direkomendasikan",ROW($6:$1005)-5),15)+5)),INDEX(checklistPesertaKemenkeu!$O$6:$O$1005,SMALL(IF(checklistPesertaKemenkeu!$AY$6:$AY$1005="Direkomendasikan",ROW($6:$1005)-5),15)))=1),IFERROR(VLOOKUP(INDEX(checklistPesertaKemenkeu!$O$6:$O$1005,SMALL(IF(checklistPesertaKemenkeu!$AY$6:$AY$1005="Direkomendasikan",ROW($6:$1005)-5),15)),KotaKode,2,0),"-"),"")),"")</f>
        <v/>
      </c>
      <c r="L16" t="str">
        <f t="array" aca="1" ref="L16" ca="1">IFERROR(IF(OR(INDEX(checklistPesertaKemenkeu!$P$6:$P$1005,SMALL(IF(checklistPesertaKemenkeu!$AY$6:$AY$1005="Direkomendasikan",ROW($6:$1005)-5),15))="",INDEX(checklistPesertaKemenkeu!$J$6:$J$1005,SMALL(IF(checklistPesertaKemenkeu!$AY$6:$AY$1005="Direkomendasikan",ROW($6:$1005)-5),15))=""),"",IF(AND(COUNTIF(INDIRECT("K_"&amp;MATCH(INDEX(checklistPesertaKemenkeu!$J$6:$J$1005,SMALL(IF(checklistPesertaKemenkeu!$AY$6:$AY$1005="Direkomendasikan",ROW($6:$1005)-5),15)),BidangList,0)),INDEX(checklistPesertaKemenkeu!$P$6:$P$1005,SMALL(IF(checklistPesertaKemenkeu!$AY$6:$AY$1005="Direkomendasikan",ROW($6:$1005)-5),15)))&gt;0,COUNTIF(INDIRECT("'KERTAS KERJA'!K"&amp;(SMALL(IF(checklistPesertaKemenkeu!$AY$6:$AY$1005="Direkomendasikan",ROW($6:$1005)-5),15)+5)&amp;":O"&amp;(SMALL(IF(checklistPesertaKemenkeu!$AY$6:$AY$1005="Direkomendasikan",ROW($6:$1005)-5),15)+5)),INDEX(checklistPesertaKemenkeu!$P$6:$P$1005,SMALL(IF(checklistPesertaKemenkeu!$AY$6:$AY$1005="Direkomendasikan",ROW($6:$1005)-5),15)))=1),IFERROR(VLOOKUP(INDEX(checklistPesertaKemenkeu!$P$6:$P$1005,SMALL(IF(checklistPesertaKemenkeu!$AY$6:$AY$1005="Direkomendasikan",ROW($6:$1005)-5),15)),KotaKode,2,0),"-"),"")),"")</f>
        <v/>
      </c>
    </row>
    <row r="17" spans="1:12" ht="15" customHeight="1" x14ac:dyDescent="0.2">
      <c r="A17" t="str">
        <f t="shared" si="0"/>
        <v/>
      </c>
      <c r="B17" t="str">
        <v/>
      </c>
      <c r="C17" s="40" t="str">
        <f t="array" ref="C17">IFERROR(INDEX(checklistPesertaKemenkeu!$F$6:$F$1005,SMALL(IF(checklistPesertaKemenkeu!$AY$6:$AY$1005="Direkomendasikan",ROW($6:$1005)-5),16)),"")</f>
        <v/>
      </c>
      <c r="D17" t="str">
        <f t="array" ref="D17">IFERROR(INDEX(checklistPesertaKemenkeu!$G$6:$G$1005,SMALL(IF(checklistPesertaKemenkeu!$AY$6:$AY$1005="Direkomendasikan",ROW($6:$1005)-5),16)),"")</f>
        <v/>
      </c>
      <c r="E17" t="str">
        <f t="array" ref="E17">IFERROR(INDEX(checklistPesertaKemenkeu!$H$6:$H$1005,SMALL(IF(checklistPesertaKemenkeu!$AY$6:$AY$1005="Direkomendasikan",ROW($6:$1005)-5),16)),"")</f>
        <v/>
      </c>
      <c r="F17" t="str">
        <f t="array" ref="F17">IFERROR(INDEX(checklistPesertaKemenkeu!$I$6:$I$1005,SMALL(IF(checklistPesertaKemenkeu!$AY$6:$AY$1005="Direkomendasikan",ROW($6:$1005)-5),16)),"")</f>
        <v/>
      </c>
      <c r="G17" t="str">
        <f t="array" ref="G17">IFERROR(INDEX(checklistPesertaKemenkeu!$J$6:$J$1005,SMALL(IF(checklistPesertaKemenkeu!$AY$6:$AY$1005="Direkomendasikan",ROW($6:$1005)-5),16)),"")</f>
        <v/>
      </c>
      <c r="H17" t="str">
        <f t="array" aca="1" ref="H17" ca="1">IFERROR(IF(OR(INDEX(checklistPesertaKemenkeu!$L$6:$L$1005,SMALL(IF(checklistPesertaKemenkeu!$AY$6:$AY$1005="Direkomendasikan",ROW($6:$1005)-5),16))="",INDEX(checklistPesertaKemenkeu!$J$6:$J$1005,SMALL(IF(checklistPesertaKemenkeu!$AY$6:$AY$1005="Direkomendasikan",ROW($6:$1005)-5),16))=""),"",IF(AND(COUNTIF(INDIRECT("K_"&amp;MATCH(INDEX(checklistPesertaKemenkeu!$J$6:$J$1005,SMALL(IF(checklistPesertaKemenkeu!$AY$6:$AY$1005="Direkomendasikan",ROW($6:$1005)-5),16)),BidangList,0)),INDEX(checklistPesertaKemenkeu!$L$6:$L$1005,SMALL(IF(checklistPesertaKemenkeu!$AY$6:$AY$1005="Direkomendasikan",ROW($6:$1005)-5),16)))&gt;0,COUNTIF(INDIRECT("'KERTAS KERJA'!K"&amp;(SMALL(IF(checklistPesertaKemenkeu!$AY$6:$AY$1005="Direkomendasikan",ROW($6:$1005)-5),16)+5)&amp;":O"&amp;(SMALL(IF(checklistPesertaKemenkeu!$AY$6:$AY$1005="Direkomendasikan",ROW($6:$1005)-5),16)+5)),INDEX(checklistPesertaKemenkeu!$L$6:$L$1005,SMALL(IF(checklistPesertaKemenkeu!$AY$6:$AY$1005="Direkomendasikan",ROW($6:$1005)-5),16)))=1),IFERROR(VLOOKUP(INDEX(checklistPesertaKemenkeu!$L$6:$L$1005,SMALL(IF(checklistPesertaKemenkeu!$AY$6:$AY$1005="Direkomendasikan",ROW($6:$1005)-5),16)),KotaKode,2,0),"-"),"")),"")</f>
        <v/>
      </c>
      <c r="I17" t="str">
        <f t="array" aca="1" ref="I17" ca="1">IFERROR(IF(OR(INDEX(checklistPesertaKemenkeu!$M$6:$M$1005,SMALL(IF(checklistPesertaKemenkeu!$AY$6:$AY$1005="Direkomendasikan",ROW($6:$1005)-5),16))="",INDEX(checklistPesertaKemenkeu!$J$6:$J$1005,SMALL(IF(checklistPesertaKemenkeu!$AY$6:$AY$1005="Direkomendasikan",ROW($6:$1005)-5),16))=""),"",IF(AND(COUNTIF(INDIRECT("K_"&amp;MATCH(INDEX(checklistPesertaKemenkeu!$J$6:$J$1005,SMALL(IF(checklistPesertaKemenkeu!$AY$6:$AY$1005="Direkomendasikan",ROW($6:$1005)-5),16)),BidangList,0)),INDEX(checklistPesertaKemenkeu!$M$6:$M$1005,SMALL(IF(checklistPesertaKemenkeu!$AY$6:$AY$1005="Direkomendasikan",ROW($6:$1005)-5),16)))&gt;0,COUNTIF(INDIRECT("'KERTAS KERJA'!K"&amp;(SMALL(IF(checklistPesertaKemenkeu!$AY$6:$AY$1005="Direkomendasikan",ROW($6:$1005)-5),16)+5)&amp;":O"&amp;(SMALL(IF(checklistPesertaKemenkeu!$AY$6:$AY$1005="Direkomendasikan",ROW($6:$1005)-5),16)+5)),INDEX(checklistPesertaKemenkeu!$M$6:$M$1005,SMALL(IF(checklistPesertaKemenkeu!$AY$6:$AY$1005="Direkomendasikan",ROW($6:$1005)-5),16)))=1),IFERROR(VLOOKUP(INDEX(checklistPesertaKemenkeu!$M$6:$M$1005,SMALL(IF(checklistPesertaKemenkeu!$AY$6:$AY$1005="Direkomendasikan",ROW($6:$1005)-5),16)),KotaKode,2,0),"-"),"")),"")</f>
        <v/>
      </c>
      <c r="J17" t="str">
        <f t="array" aca="1" ref="J17" ca="1">IFERROR(IF(OR(INDEX(checklistPesertaKemenkeu!$N$6:$N$1005,SMALL(IF(checklistPesertaKemenkeu!$AY$6:$AY$1005="Direkomendasikan",ROW($6:$1005)-5),16))="",INDEX(checklistPesertaKemenkeu!$J$6:$J$1005,SMALL(IF(checklistPesertaKemenkeu!$AY$6:$AY$1005="Direkomendasikan",ROW($6:$1005)-5),16))=""),"",IF(AND(COUNTIF(INDIRECT("K_"&amp;MATCH(INDEX(checklistPesertaKemenkeu!$J$6:$J$1005,SMALL(IF(checklistPesertaKemenkeu!$AY$6:$AY$1005="Direkomendasikan",ROW($6:$1005)-5),16)),BidangList,0)),INDEX(checklistPesertaKemenkeu!$N$6:$N$1005,SMALL(IF(checklistPesertaKemenkeu!$AY$6:$AY$1005="Direkomendasikan",ROW($6:$1005)-5),16)))&gt;0,COUNTIF(INDIRECT("'KERTAS KERJA'!K"&amp;(SMALL(IF(checklistPesertaKemenkeu!$AY$6:$AY$1005="Direkomendasikan",ROW($6:$1005)-5),16)+5)&amp;":O"&amp;(SMALL(IF(checklistPesertaKemenkeu!$AY$6:$AY$1005="Direkomendasikan",ROW($6:$1005)-5),16)+5)),INDEX(checklistPesertaKemenkeu!$N$6:$N$1005,SMALL(IF(checklistPesertaKemenkeu!$AY$6:$AY$1005="Direkomendasikan",ROW($6:$1005)-5),16)))=1),IFERROR(VLOOKUP(INDEX(checklistPesertaKemenkeu!$N$6:$N$1005,SMALL(IF(checklistPesertaKemenkeu!$AY$6:$AY$1005="Direkomendasikan",ROW($6:$1005)-5),16)),KotaKode,2,0),"-"),"")),"")</f>
        <v/>
      </c>
      <c r="K17" t="str">
        <f t="array" aca="1" ref="K17" ca="1">IFERROR(IF(OR(INDEX(checklistPesertaKemenkeu!$O$6:$O$1005,SMALL(IF(checklistPesertaKemenkeu!$AY$6:$AY$1005="Direkomendasikan",ROW($6:$1005)-5),16))="",INDEX(checklistPesertaKemenkeu!$J$6:$J$1005,SMALL(IF(checklistPesertaKemenkeu!$AY$6:$AY$1005="Direkomendasikan",ROW($6:$1005)-5),16))=""),"",IF(AND(COUNTIF(INDIRECT("K_"&amp;MATCH(INDEX(checklistPesertaKemenkeu!$J$6:$J$1005,SMALL(IF(checklistPesertaKemenkeu!$AY$6:$AY$1005="Direkomendasikan",ROW($6:$1005)-5),16)),BidangList,0)),INDEX(checklistPesertaKemenkeu!$O$6:$O$1005,SMALL(IF(checklistPesertaKemenkeu!$AY$6:$AY$1005="Direkomendasikan",ROW($6:$1005)-5),16)))&gt;0,COUNTIF(INDIRECT("'KERTAS KERJA'!K"&amp;(SMALL(IF(checklistPesertaKemenkeu!$AY$6:$AY$1005="Direkomendasikan",ROW($6:$1005)-5),16)+5)&amp;":O"&amp;(SMALL(IF(checklistPesertaKemenkeu!$AY$6:$AY$1005="Direkomendasikan",ROW($6:$1005)-5),16)+5)),INDEX(checklistPesertaKemenkeu!$O$6:$O$1005,SMALL(IF(checklistPesertaKemenkeu!$AY$6:$AY$1005="Direkomendasikan",ROW($6:$1005)-5),16)))=1),IFERROR(VLOOKUP(INDEX(checklistPesertaKemenkeu!$O$6:$O$1005,SMALL(IF(checklistPesertaKemenkeu!$AY$6:$AY$1005="Direkomendasikan",ROW($6:$1005)-5),16)),KotaKode,2,0),"-"),"")),"")</f>
        <v/>
      </c>
      <c r="L17" t="str">
        <f t="array" aca="1" ref="L17" ca="1">IFERROR(IF(OR(INDEX(checklistPesertaKemenkeu!$P$6:$P$1005,SMALL(IF(checklistPesertaKemenkeu!$AY$6:$AY$1005="Direkomendasikan",ROW($6:$1005)-5),16))="",INDEX(checklistPesertaKemenkeu!$J$6:$J$1005,SMALL(IF(checklistPesertaKemenkeu!$AY$6:$AY$1005="Direkomendasikan",ROW($6:$1005)-5),16))=""),"",IF(AND(COUNTIF(INDIRECT("K_"&amp;MATCH(INDEX(checklistPesertaKemenkeu!$J$6:$J$1005,SMALL(IF(checklistPesertaKemenkeu!$AY$6:$AY$1005="Direkomendasikan",ROW($6:$1005)-5),16)),BidangList,0)),INDEX(checklistPesertaKemenkeu!$P$6:$P$1005,SMALL(IF(checklistPesertaKemenkeu!$AY$6:$AY$1005="Direkomendasikan",ROW($6:$1005)-5),16)))&gt;0,COUNTIF(INDIRECT("'KERTAS KERJA'!K"&amp;(SMALL(IF(checklistPesertaKemenkeu!$AY$6:$AY$1005="Direkomendasikan",ROW($6:$1005)-5),16)+5)&amp;":O"&amp;(SMALL(IF(checklistPesertaKemenkeu!$AY$6:$AY$1005="Direkomendasikan",ROW($6:$1005)-5),16)+5)),INDEX(checklistPesertaKemenkeu!$P$6:$P$1005,SMALL(IF(checklistPesertaKemenkeu!$AY$6:$AY$1005="Direkomendasikan",ROW($6:$1005)-5),16)))=1),IFERROR(VLOOKUP(INDEX(checklistPesertaKemenkeu!$P$6:$P$1005,SMALL(IF(checklistPesertaKemenkeu!$AY$6:$AY$1005="Direkomendasikan",ROW($6:$1005)-5),16)),KotaKode,2,0),"-"),"")),"")</f>
        <v/>
      </c>
    </row>
    <row r="18" spans="1:12" ht="15" customHeight="1" x14ac:dyDescent="0.2">
      <c r="A18" t="str">
        <f t="shared" si="0"/>
        <v/>
      </c>
      <c r="B18" t="str">
        <v/>
      </c>
      <c r="C18" s="40" t="str">
        <f t="array" ref="C18">IFERROR(INDEX(checklistPesertaKemenkeu!$F$6:$F$1005,SMALL(IF(checklistPesertaKemenkeu!$AY$6:$AY$1005="Direkomendasikan",ROW($6:$1005)-5),17)),"")</f>
        <v/>
      </c>
      <c r="D18" t="str">
        <f t="array" ref="D18">IFERROR(INDEX(checklistPesertaKemenkeu!$G$6:$G$1005,SMALL(IF(checklistPesertaKemenkeu!$AY$6:$AY$1005="Direkomendasikan",ROW($6:$1005)-5),17)),"")</f>
        <v/>
      </c>
      <c r="E18" t="str">
        <f t="array" ref="E18">IFERROR(INDEX(checklistPesertaKemenkeu!$H$6:$H$1005,SMALL(IF(checklistPesertaKemenkeu!$AY$6:$AY$1005="Direkomendasikan",ROW($6:$1005)-5),17)),"")</f>
        <v/>
      </c>
      <c r="F18" t="str">
        <f t="array" ref="F18">IFERROR(INDEX(checklistPesertaKemenkeu!$I$6:$I$1005,SMALL(IF(checklistPesertaKemenkeu!$AY$6:$AY$1005="Direkomendasikan",ROW($6:$1005)-5),17)),"")</f>
        <v/>
      </c>
      <c r="G18" t="str">
        <f t="array" ref="G18">IFERROR(INDEX(checklistPesertaKemenkeu!$J$6:$J$1005,SMALL(IF(checklistPesertaKemenkeu!$AY$6:$AY$1005="Direkomendasikan",ROW($6:$1005)-5),17)),"")</f>
        <v/>
      </c>
      <c r="H18" t="str">
        <f t="array" aca="1" ref="H18" ca="1">IFERROR(IF(OR(INDEX(checklistPesertaKemenkeu!$L$6:$L$1005,SMALL(IF(checklistPesertaKemenkeu!$AY$6:$AY$1005="Direkomendasikan",ROW($6:$1005)-5),17))="",INDEX(checklistPesertaKemenkeu!$J$6:$J$1005,SMALL(IF(checklistPesertaKemenkeu!$AY$6:$AY$1005="Direkomendasikan",ROW($6:$1005)-5),17))=""),"",IF(AND(COUNTIF(INDIRECT("K_"&amp;MATCH(INDEX(checklistPesertaKemenkeu!$J$6:$J$1005,SMALL(IF(checklistPesertaKemenkeu!$AY$6:$AY$1005="Direkomendasikan",ROW($6:$1005)-5),17)),BidangList,0)),INDEX(checklistPesertaKemenkeu!$L$6:$L$1005,SMALL(IF(checklistPesertaKemenkeu!$AY$6:$AY$1005="Direkomendasikan",ROW($6:$1005)-5),17)))&gt;0,COUNTIF(INDIRECT("'KERTAS KERJA'!K"&amp;(SMALL(IF(checklistPesertaKemenkeu!$AY$6:$AY$1005="Direkomendasikan",ROW($6:$1005)-5),17)+5)&amp;":O"&amp;(SMALL(IF(checklistPesertaKemenkeu!$AY$6:$AY$1005="Direkomendasikan",ROW($6:$1005)-5),17)+5)),INDEX(checklistPesertaKemenkeu!$L$6:$L$1005,SMALL(IF(checklistPesertaKemenkeu!$AY$6:$AY$1005="Direkomendasikan",ROW($6:$1005)-5),17)))=1),IFERROR(VLOOKUP(INDEX(checklistPesertaKemenkeu!$L$6:$L$1005,SMALL(IF(checklistPesertaKemenkeu!$AY$6:$AY$1005="Direkomendasikan",ROW($6:$1005)-5),17)),KotaKode,2,0),"-"),"")),"")</f>
        <v/>
      </c>
      <c r="I18" t="str">
        <f t="array" aca="1" ref="I18" ca="1">IFERROR(IF(OR(INDEX(checklistPesertaKemenkeu!$M$6:$M$1005,SMALL(IF(checklistPesertaKemenkeu!$AY$6:$AY$1005="Direkomendasikan",ROW($6:$1005)-5),17))="",INDEX(checklistPesertaKemenkeu!$J$6:$J$1005,SMALL(IF(checklistPesertaKemenkeu!$AY$6:$AY$1005="Direkomendasikan",ROW($6:$1005)-5),17))=""),"",IF(AND(COUNTIF(INDIRECT("K_"&amp;MATCH(INDEX(checklistPesertaKemenkeu!$J$6:$J$1005,SMALL(IF(checklistPesertaKemenkeu!$AY$6:$AY$1005="Direkomendasikan",ROW($6:$1005)-5),17)),BidangList,0)),INDEX(checklistPesertaKemenkeu!$M$6:$M$1005,SMALL(IF(checklistPesertaKemenkeu!$AY$6:$AY$1005="Direkomendasikan",ROW($6:$1005)-5),17)))&gt;0,COUNTIF(INDIRECT("'KERTAS KERJA'!K"&amp;(SMALL(IF(checklistPesertaKemenkeu!$AY$6:$AY$1005="Direkomendasikan",ROW($6:$1005)-5),17)+5)&amp;":O"&amp;(SMALL(IF(checklistPesertaKemenkeu!$AY$6:$AY$1005="Direkomendasikan",ROW($6:$1005)-5),17)+5)),INDEX(checklistPesertaKemenkeu!$M$6:$M$1005,SMALL(IF(checklistPesertaKemenkeu!$AY$6:$AY$1005="Direkomendasikan",ROW($6:$1005)-5),17)))=1),IFERROR(VLOOKUP(INDEX(checklistPesertaKemenkeu!$M$6:$M$1005,SMALL(IF(checklistPesertaKemenkeu!$AY$6:$AY$1005="Direkomendasikan",ROW($6:$1005)-5),17)),KotaKode,2,0),"-"),"")),"")</f>
        <v/>
      </c>
      <c r="J18" t="str">
        <f t="array" aca="1" ref="J18" ca="1">IFERROR(IF(OR(INDEX(checklistPesertaKemenkeu!$N$6:$N$1005,SMALL(IF(checklistPesertaKemenkeu!$AY$6:$AY$1005="Direkomendasikan",ROW($6:$1005)-5),17))="",INDEX(checklistPesertaKemenkeu!$J$6:$J$1005,SMALL(IF(checklistPesertaKemenkeu!$AY$6:$AY$1005="Direkomendasikan",ROW($6:$1005)-5),17))=""),"",IF(AND(COUNTIF(INDIRECT("K_"&amp;MATCH(INDEX(checklistPesertaKemenkeu!$J$6:$J$1005,SMALL(IF(checklistPesertaKemenkeu!$AY$6:$AY$1005="Direkomendasikan",ROW($6:$1005)-5),17)),BidangList,0)),INDEX(checklistPesertaKemenkeu!$N$6:$N$1005,SMALL(IF(checklistPesertaKemenkeu!$AY$6:$AY$1005="Direkomendasikan",ROW($6:$1005)-5),17)))&gt;0,COUNTIF(INDIRECT("'KERTAS KERJA'!K"&amp;(SMALL(IF(checklistPesertaKemenkeu!$AY$6:$AY$1005="Direkomendasikan",ROW($6:$1005)-5),17)+5)&amp;":O"&amp;(SMALL(IF(checklistPesertaKemenkeu!$AY$6:$AY$1005="Direkomendasikan",ROW($6:$1005)-5),17)+5)),INDEX(checklistPesertaKemenkeu!$N$6:$N$1005,SMALL(IF(checklistPesertaKemenkeu!$AY$6:$AY$1005="Direkomendasikan",ROW($6:$1005)-5),17)))=1),IFERROR(VLOOKUP(INDEX(checklistPesertaKemenkeu!$N$6:$N$1005,SMALL(IF(checklistPesertaKemenkeu!$AY$6:$AY$1005="Direkomendasikan",ROW($6:$1005)-5),17)),KotaKode,2,0),"-"),"")),"")</f>
        <v/>
      </c>
      <c r="K18" t="str">
        <f t="array" aca="1" ref="K18" ca="1">IFERROR(IF(OR(INDEX(checklistPesertaKemenkeu!$O$6:$O$1005,SMALL(IF(checklistPesertaKemenkeu!$AY$6:$AY$1005="Direkomendasikan",ROW($6:$1005)-5),17))="",INDEX(checklistPesertaKemenkeu!$J$6:$J$1005,SMALL(IF(checklistPesertaKemenkeu!$AY$6:$AY$1005="Direkomendasikan",ROW($6:$1005)-5),17))=""),"",IF(AND(COUNTIF(INDIRECT("K_"&amp;MATCH(INDEX(checklistPesertaKemenkeu!$J$6:$J$1005,SMALL(IF(checklistPesertaKemenkeu!$AY$6:$AY$1005="Direkomendasikan",ROW($6:$1005)-5),17)),BidangList,0)),INDEX(checklistPesertaKemenkeu!$O$6:$O$1005,SMALL(IF(checklistPesertaKemenkeu!$AY$6:$AY$1005="Direkomendasikan",ROW($6:$1005)-5),17)))&gt;0,COUNTIF(INDIRECT("'KERTAS KERJA'!K"&amp;(SMALL(IF(checklistPesertaKemenkeu!$AY$6:$AY$1005="Direkomendasikan",ROW($6:$1005)-5),17)+5)&amp;":O"&amp;(SMALL(IF(checklistPesertaKemenkeu!$AY$6:$AY$1005="Direkomendasikan",ROW($6:$1005)-5),17)+5)),INDEX(checklistPesertaKemenkeu!$O$6:$O$1005,SMALL(IF(checklistPesertaKemenkeu!$AY$6:$AY$1005="Direkomendasikan",ROW($6:$1005)-5),17)))=1),IFERROR(VLOOKUP(INDEX(checklistPesertaKemenkeu!$O$6:$O$1005,SMALL(IF(checklistPesertaKemenkeu!$AY$6:$AY$1005="Direkomendasikan",ROW($6:$1005)-5),17)),KotaKode,2,0),"-"),"")),"")</f>
        <v/>
      </c>
      <c r="L18" t="str">
        <f t="array" aca="1" ref="L18" ca="1">IFERROR(IF(OR(INDEX(checklistPesertaKemenkeu!$P$6:$P$1005,SMALL(IF(checklistPesertaKemenkeu!$AY$6:$AY$1005="Direkomendasikan",ROW($6:$1005)-5),17))="",INDEX(checklistPesertaKemenkeu!$J$6:$J$1005,SMALL(IF(checklistPesertaKemenkeu!$AY$6:$AY$1005="Direkomendasikan",ROW($6:$1005)-5),17))=""),"",IF(AND(COUNTIF(INDIRECT("K_"&amp;MATCH(INDEX(checklistPesertaKemenkeu!$J$6:$J$1005,SMALL(IF(checklistPesertaKemenkeu!$AY$6:$AY$1005="Direkomendasikan",ROW($6:$1005)-5),17)),BidangList,0)),INDEX(checklistPesertaKemenkeu!$P$6:$P$1005,SMALL(IF(checklistPesertaKemenkeu!$AY$6:$AY$1005="Direkomendasikan",ROW($6:$1005)-5),17)))&gt;0,COUNTIF(INDIRECT("'KERTAS KERJA'!K"&amp;(SMALL(IF(checklistPesertaKemenkeu!$AY$6:$AY$1005="Direkomendasikan",ROW($6:$1005)-5),17)+5)&amp;":O"&amp;(SMALL(IF(checklistPesertaKemenkeu!$AY$6:$AY$1005="Direkomendasikan",ROW($6:$1005)-5),17)+5)),INDEX(checklistPesertaKemenkeu!$P$6:$P$1005,SMALL(IF(checklistPesertaKemenkeu!$AY$6:$AY$1005="Direkomendasikan",ROW($6:$1005)-5),17)))=1),IFERROR(VLOOKUP(INDEX(checklistPesertaKemenkeu!$P$6:$P$1005,SMALL(IF(checklistPesertaKemenkeu!$AY$6:$AY$1005="Direkomendasikan",ROW($6:$1005)-5),17)),KotaKode,2,0),"-"),"")),"")</f>
        <v/>
      </c>
    </row>
    <row r="19" spans="1:12" ht="15" customHeight="1" x14ac:dyDescent="0.2">
      <c r="A19" t="str">
        <f t="shared" si="0"/>
        <v/>
      </c>
      <c r="B19" t="str">
        <v/>
      </c>
      <c r="C19" s="40" t="str">
        <f t="array" ref="C19">IFERROR(INDEX(checklistPesertaKemenkeu!$F$6:$F$1005,SMALL(IF(checklistPesertaKemenkeu!$AY$6:$AY$1005="Direkomendasikan",ROW($6:$1005)-5),18)),"")</f>
        <v/>
      </c>
      <c r="D19" t="str">
        <f t="array" ref="D19">IFERROR(INDEX(checklistPesertaKemenkeu!$G$6:$G$1005,SMALL(IF(checklistPesertaKemenkeu!$AY$6:$AY$1005="Direkomendasikan",ROW($6:$1005)-5),18)),"")</f>
        <v/>
      </c>
      <c r="E19" t="str">
        <f t="array" ref="E19">IFERROR(INDEX(checklistPesertaKemenkeu!$H$6:$H$1005,SMALL(IF(checklistPesertaKemenkeu!$AY$6:$AY$1005="Direkomendasikan",ROW($6:$1005)-5),18)),"")</f>
        <v/>
      </c>
      <c r="F19" t="str">
        <f t="array" ref="F19">IFERROR(INDEX(checklistPesertaKemenkeu!$I$6:$I$1005,SMALL(IF(checklistPesertaKemenkeu!$AY$6:$AY$1005="Direkomendasikan",ROW($6:$1005)-5),18)),"")</f>
        <v/>
      </c>
      <c r="G19" t="str">
        <f t="array" ref="G19">IFERROR(INDEX(checklistPesertaKemenkeu!$J$6:$J$1005,SMALL(IF(checklistPesertaKemenkeu!$AY$6:$AY$1005="Direkomendasikan",ROW($6:$1005)-5),18)),"")</f>
        <v/>
      </c>
      <c r="H19" t="str">
        <f t="array" aca="1" ref="H19" ca="1">IFERROR(IF(OR(INDEX(checklistPesertaKemenkeu!$L$6:$L$1005,SMALL(IF(checklistPesertaKemenkeu!$AY$6:$AY$1005="Direkomendasikan",ROW($6:$1005)-5),18))="",INDEX(checklistPesertaKemenkeu!$J$6:$J$1005,SMALL(IF(checklistPesertaKemenkeu!$AY$6:$AY$1005="Direkomendasikan",ROW($6:$1005)-5),18))=""),"",IF(AND(COUNTIF(INDIRECT("K_"&amp;MATCH(INDEX(checklistPesertaKemenkeu!$J$6:$J$1005,SMALL(IF(checklistPesertaKemenkeu!$AY$6:$AY$1005="Direkomendasikan",ROW($6:$1005)-5),18)),BidangList,0)),INDEX(checklistPesertaKemenkeu!$L$6:$L$1005,SMALL(IF(checklistPesertaKemenkeu!$AY$6:$AY$1005="Direkomendasikan",ROW($6:$1005)-5),18)))&gt;0,COUNTIF(INDIRECT("'KERTAS KERJA'!K"&amp;(SMALL(IF(checklistPesertaKemenkeu!$AY$6:$AY$1005="Direkomendasikan",ROW($6:$1005)-5),18)+5)&amp;":O"&amp;(SMALL(IF(checklistPesertaKemenkeu!$AY$6:$AY$1005="Direkomendasikan",ROW($6:$1005)-5),18)+5)),INDEX(checklistPesertaKemenkeu!$L$6:$L$1005,SMALL(IF(checklistPesertaKemenkeu!$AY$6:$AY$1005="Direkomendasikan",ROW($6:$1005)-5),18)))=1),IFERROR(VLOOKUP(INDEX(checklistPesertaKemenkeu!$L$6:$L$1005,SMALL(IF(checklistPesertaKemenkeu!$AY$6:$AY$1005="Direkomendasikan",ROW($6:$1005)-5),18)),KotaKode,2,0),"-"),"")),"")</f>
        <v/>
      </c>
      <c r="I19" t="str">
        <f t="array" aca="1" ref="I19" ca="1">IFERROR(IF(OR(INDEX(checklistPesertaKemenkeu!$M$6:$M$1005,SMALL(IF(checklistPesertaKemenkeu!$AY$6:$AY$1005="Direkomendasikan",ROW($6:$1005)-5),18))="",INDEX(checklistPesertaKemenkeu!$J$6:$J$1005,SMALL(IF(checklistPesertaKemenkeu!$AY$6:$AY$1005="Direkomendasikan",ROW($6:$1005)-5),18))=""),"",IF(AND(COUNTIF(INDIRECT("K_"&amp;MATCH(INDEX(checklistPesertaKemenkeu!$J$6:$J$1005,SMALL(IF(checklistPesertaKemenkeu!$AY$6:$AY$1005="Direkomendasikan",ROW($6:$1005)-5),18)),BidangList,0)),INDEX(checklistPesertaKemenkeu!$M$6:$M$1005,SMALL(IF(checklistPesertaKemenkeu!$AY$6:$AY$1005="Direkomendasikan",ROW($6:$1005)-5),18)))&gt;0,COUNTIF(INDIRECT("'KERTAS KERJA'!K"&amp;(SMALL(IF(checklistPesertaKemenkeu!$AY$6:$AY$1005="Direkomendasikan",ROW($6:$1005)-5),18)+5)&amp;":O"&amp;(SMALL(IF(checklistPesertaKemenkeu!$AY$6:$AY$1005="Direkomendasikan",ROW($6:$1005)-5),18)+5)),INDEX(checklistPesertaKemenkeu!$M$6:$M$1005,SMALL(IF(checklistPesertaKemenkeu!$AY$6:$AY$1005="Direkomendasikan",ROW($6:$1005)-5),18)))=1),IFERROR(VLOOKUP(INDEX(checklistPesertaKemenkeu!$M$6:$M$1005,SMALL(IF(checklistPesertaKemenkeu!$AY$6:$AY$1005="Direkomendasikan",ROW($6:$1005)-5),18)),KotaKode,2,0),"-"),"")),"")</f>
        <v/>
      </c>
      <c r="J19" t="str">
        <f t="array" aca="1" ref="J19" ca="1">IFERROR(IF(OR(INDEX(checklistPesertaKemenkeu!$N$6:$N$1005,SMALL(IF(checklistPesertaKemenkeu!$AY$6:$AY$1005="Direkomendasikan",ROW($6:$1005)-5),18))="",INDEX(checklistPesertaKemenkeu!$J$6:$J$1005,SMALL(IF(checklistPesertaKemenkeu!$AY$6:$AY$1005="Direkomendasikan",ROW($6:$1005)-5),18))=""),"",IF(AND(COUNTIF(INDIRECT("K_"&amp;MATCH(INDEX(checklistPesertaKemenkeu!$J$6:$J$1005,SMALL(IF(checklistPesertaKemenkeu!$AY$6:$AY$1005="Direkomendasikan",ROW($6:$1005)-5),18)),BidangList,0)),INDEX(checklistPesertaKemenkeu!$N$6:$N$1005,SMALL(IF(checklistPesertaKemenkeu!$AY$6:$AY$1005="Direkomendasikan",ROW($6:$1005)-5),18)))&gt;0,COUNTIF(INDIRECT("'KERTAS KERJA'!K"&amp;(SMALL(IF(checklistPesertaKemenkeu!$AY$6:$AY$1005="Direkomendasikan",ROW($6:$1005)-5),18)+5)&amp;":O"&amp;(SMALL(IF(checklistPesertaKemenkeu!$AY$6:$AY$1005="Direkomendasikan",ROW($6:$1005)-5),18)+5)),INDEX(checklistPesertaKemenkeu!$N$6:$N$1005,SMALL(IF(checklistPesertaKemenkeu!$AY$6:$AY$1005="Direkomendasikan",ROW($6:$1005)-5),18)))=1),IFERROR(VLOOKUP(INDEX(checklistPesertaKemenkeu!$N$6:$N$1005,SMALL(IF(checklistPesertaKemenkeu!$AY$6:$AY$1005="Direkomendasikan",ROW($6:$1005)-5),18)),KotaKode,2,0),"-"),"")),"")</f>
        <v/>
      </c>
      <c r="K19" t="str">
        <f t="array" aca="1" ref="K19" ca="1">IFERROR(IF(OR(INDEX(checklistPesertaKemenkeu!$O$6:$O$1005,SMALL(IF(checklistPesertaKemenkeu!$AY$6:$AY$1005="Direkomendasikan",ROW($6:$1005)-5),18))="",INDEX(checklistPesertaKemenkeu!$J$6:$J$1005,SMALL(IF(checklistPesertaKemenkeu!$AY$6:$AY$1005="Direkomendasikan",ROW($6:$1005)-5),18))=""),"",IF(AND(COUNTIF(INDIRECT("K_"&amp;MATCH(INDEX(checklistPesertaKemenkeu!$J$6:$J$1005,SMALL(IF(checklistPesertaKemenkeu!$AY$6:$AY$1005="Direkomendasikan",ROW($6:$1005)-5),18)),BidangList,0)),INDEX(checklistPesertaKemenkeu!$O$6:$O$1005,SMALL(IF(checklistPesertaKemenkeu!$AY$6:$AY$1005="Direkomendasikan",ROW($6:$1005)-5),18)))&gt;0,COUNTIF(INDIRECT("'KERTAS KERJA'!K"&amp;(SMALL(IF(checklistPesertaKemenkeu!$AY$6:$AY$1005="Direkomendasikan",ROW($6:$1005)-5),18)+5)&amp;":O"&amp;(SMALL(IF(checklistPesertaKemenkeu!$AY$6:$AY$1005="Direkomendasikan",ROW($6:$1005)-5),18)+5)),INDEX(checklistPesertaKemenkeu!$O$6:$O$1005,SMALL(IF(checklistPesertaKemenkeu!$AY$6:$AY$1005="Direkomendasikan",ROW($6:$1005)-5),18)))=1),IFERROR(VLOOKUP(INDEX(checklistPesertaKemenkeu!$O$6:$O$1005,SMALL(IF(checklistPesertaKemenkeu!$AY$6:$AY$1005="Direkomendasikan",ROW($6:$1005)-5),18)),KotaKode,2,0),"-"),"")),"")</f>
        <v/>
      </c>
      <c r="L19" t="str">
        <f t="array" aca="1" ref="L19" ca="1">IFERROR(IF(OR(INDEX(checklistPesertaKemenkeu!$P$6:$P$1005,SMALL(IF(checklistPesertaKemenkeu!$AY$6:$AY$1005="Direkomendasikan",ROW($6:$1005)-5),18))="",INDEX(checklistPesertaKemenkeu!$J$6:$J$1005,SMALL(IF(checklistPesertaKemenkeu!$AY$6:$AY$1005="Direkomendasikan",ROW($6:$1005)-5),18))=""),"",IF(AND(COUNTIF(INDIRECT("K_"&amp;MATCH(INDEX(checklistPesertaKemenkeu!$J$6:$J$1005,SMALL(IF(checklistPesertaKemenkeu!$AY$6:$AY$1005="Direkomendasikan",ROW($6:$1005)-5),18)),BidangList,0)),INDEX(checklistPesertaKemenkeu!$P$6:$P$1005,SMALL(IF(checklistPesertaKemenkeu!$AY$6:$AY$1005="Direkomendasikan",ROW($6:$1005)-5),18)))&gt;0,COUNTIF(INDIRECT("'KERTAS KERJA'!K"&amp;(SMALL(IF(checklistPesertaKemenkeu!$AY$6:$AY$1005="Direkomendasikan",ROW($6:$1005)-5),18)+5)&amp;":O"&amp;(SMALL(IF(checklistPesertaKemenkeu!$AY$6:$AY$1005="Direkomendasikan",ROW($6:$1005)-5),18)+5)),INDEX(checklistPesertaKemenkeu!$P$6:$P$1005,SMALL(IF(checklistPesertaKemenkeu!$AY$6:$AY$1005="Direkomendasikan",ROW($6:$1005)-5),18)))=1),IFERROR(VLOOKUP(INDEX(checklistPesertaKemenkeu!$P$6:$P$1005,SMALL(IF(checklistPesertaKemenkeu!$AY$6:$AY$1005="Direkomendasikan",ROW($6:$1005)-5),18)),KotaKode,2,0),"-"),"")),"")</f>
        <v/>
      </c>
    </row>
    <row r="20" spans="1:12" ht="15" customHeight="1" x14ac:dyDescent="0.2">
      <c r="A20" t="str">
        <f t="shared" si="0"/>
        <v/>
      </c>
      <c r="B20" t="str">
        <v/>
      </c>
      <c r="C20" s="40" t="str">
        <f t="array" ref="C20">IFERROR(INDEX(checklistPesertaKemenkeu!$F$6:$F$1005,SMALL(IF(checklistPesertaKemenkeu!$AY$6:$AY$1005="Direkomendasikan",ROW($6:$1005)-5),19)),"")</f>
        <v/>
      </c>
      <c r="D20" t="str">
        <f t="array" ref="D20">IFERROR(INDEX(checklistPesertaKemenkeu!$G$6:$G$1005,SMALL(IF(checklistPesertaKemenkeu!$AY$6:$AY$1005="Direkomendasikan",ROW($6:$1005)-5),19)),"")</f>
        <v/>
      </c>
      <c r="E20" t="str">
        <f t="array" ref="E20">IFERROR(INDEX(checklistPesertaKemenkeu!$H$6:$H$1005,SMALL(IF(checklistPesertaKemenkeu!$AY$6:$AY$1005="Direkomendasikan",ROW($6:$1005)-5),19)),"")</f>
        <v/>
      </c>
      <c r="F20" t="str">
        <f t="array" ref="F20">IFERROR(INDEX(checklistPesertaKemenkeu!$I$6:$I$1005,SMALL(IF(checklistPesertaKemenkeu!$AY$6:$AY$1005="Direkomendasikan",ROW($6:$1005)-5),19)),"")</f>
        <v/>
      </c>
      <c r="G20" t="str">
        <f t="array" ref="G20">IFERROR(INDEX(checklistPesertaKemenkeu!$J$6:$J$1005,SMALL(IF(checklistPesertaKemenkeu!$AY$6:$AY$1005="Direkomendasikan",ROW($6:$1005)-5),19)),"")</f>
        <v/>
      </c>
      <c r="H20" t="str">
        <f t="array" aca="1" ref="H20" ca="1">IFERROR(IF(OR(INDEX(checklistPesertaKemenkeu!$L$6:$L$1005,SMALL(IF(checklistPesertaKemenkeu!$AY$6:$AY$1005="Direkomendasikan",ROW($6:$1005)-5),19))="",INDEX(checklistPesertaKemenkeu!$J$6:$J$1005,SMALL(IF(checklistPesertaKemenkeu!$AY$6:$AY$1005="Direkomendasikan",ROW($6:$1005)-5),19))=""),"",IF(AND(COUNTIF(INDIRECT("K_"&amp;MATCH(INDEX(checklistPesertaKemenkeu!$J$6:$J$1005,SMALL(IF(checklistPesertaKemenkeu!$AY$6:$AY$1005="Direkomendasikan",ROW($6:$1005)-5),19)),BidangList,0)),INDEX(checklistPesertaKemenkeu!$L$6:$L$1005,SMALL(IF(checklistPesertaKemenkeu!$AY$6:$AY$1005="Direkomendasikan",ROW($6:$1005)-5),19)))&gt;0,COUNTIF(INDIRECT("'KERTAS KERJA'!K"&amp;(SMALL(IF(checklistPesertaKemenkeu!$AY$6:$AY$1005="Direkomendasikan",ROW($6:$1005)-5),19)+5)&amp;":O"&amp;(SMALL(IF(checklistPesertaKemenkeu!$AY$6:$AY$1005="Direkomendasikan",ROW($6:$1005)-5),19)+5)),INDEX(checklistPesertaKemenkeu!$L$6:$L$1005,SMALL(IF(checklistPesertaKemenkeu!$AY$6:$AY$1005="Direkomendasikan",ROW($6:$1005)-5),19)))=1),IFERROR(VLOOKUP(INDEX(checklistPesertaKemenkeu!$L$6:$L$1005,SMALL(IF(checklistPesertaKemenkeu!$AY$6:$AY$1005="Direkomendasikan",ROW($6:$1005)-5),19)),KotaKode,2,0),"-"),"")),"")</f>
        <v/>
      </c>
      <c r="I20" t="str">
        <f t="array" aca="1" ref="I20" ca="1">IFERROR(IF(OR(INDEX(checklistPesertaKemenkeu!$M$6:$M$1005,SMALL(IF(checklistPesertaKemenkeu!$AY$6:$AY$1005="Direkomendasikan",ROW($6:$1005)-5),19))="",INDEX(checklistPesertaKemenkeu!$J$6:$J$1005,SMALL(IF(checklistPesertaKemenkeu!$AY$6:$AY$1005="Direkomendasikan",ROW($6:$1005)-5),19))=""),"",IF(AND(COUNTIF(INDIRECT("K_"&amp;MATCH(INDEX(checklistPesertaKemenkeu!$J$6:$J$1005,SMALL(IF(checklistPesertaKemenkeu!$AY$6:$AY$1005="Direkomendasikan",ROW($6:$1005)-5),19)),BidangList,0)),INDEX(checklistPesertaKemenkeu!$M$6:$M$1005,SMALL(IF(checklistPesertaKemenkeu!$AY$6:$AY$1005="Direkomendasikan",ROW($6:$1005)-5),19)))&gt;0,COUNTIF(INDIRECT("'KERTAS KERJA'!K"&amp;(SMALL(IF(checklistPesertaKemenkeu!$AY$6:$AY$1005="Direkomendasikan",ROW($6:$1005)-5),19)+5)&amp;":O"&amp;(SMALL(IF(checklistPesertaKemenkeu!$AY$6:$AY$1005="Direkomendasikan",ROW($6:$1005)-5),19)+5)),INDEX(checklistPesertaKemenkeu!$M$6:$M$1005,SMALL(IF(checklistPesertaKemenkeu!$AY$6:$AY$1005="Direkomendasikan",ROW($6:$1005)-5),19)))=1),IFERROR(VLOOKUP(INDEX(checklistPesertaKemenkeu!$M$6:$M$1005,SMALL(IF(checklistPesertaKemenkeu!$AY$6:$AY$1005="Direkomendasikan",ROW($6:$1005)-5),19)),KotaKode,2,0),"-"),"")),"")</f>
        <v/>
      </c>
      <c r="J20" t="str">
        <f t="array" aca="1" ref="J20" ca="1">IFERROR(IF(OR(INDEX(checklistPesertaKemenkeu!$N$6:$N$1005,SMALL(IF(checklistPesertaKemenkeu!$AY$6:$AY$1005="Direkomendasikan",ROW($6:$1005)-5),19))="",INDEX(checklistPesertaKemenkeu!$J$6:$J$1005,SMALL(IF(checklistPesertaKemenkeu!$AY$6:$AY$1005="Direkomendasikan",ROW($6:$1005)-5),19))=""),"",IF(AND(COUNTIF(INDIRECT("K_"&amp;MATCH(INDEX(checklistPesertaKemenkeu!$J$6:$J$1005,SMALL(IF(checklistPesertaKemenkeu!$AY$6:$AY$1005="Direkomendasikan",ROW($6:$1005)-5),19)),BidangList,0)),INDEX(checklistPesertaKemenkeu!$N$6:$N$1005,SMALL(IF(checklistPesertaKemenkeu!$AY$6:$AY$1005="Direkomendasikan",ROW($6:$1005)-5),19)))&gt;0,COUNTIF(INDIRECT("'KERTAS KERJA'!K"&amp;(SMALL(IF(checklistPesertaKemenkeu!$AY$6:$AY$1005="Direkomendasikan",ROW($6:$1005)-5),19)+5)&amp;":O"&amp;(SMALL(IF(checklistPesertaKemenkeu!$AY$6:$AY$1005="Direkomendasikan",ROW($6:$1005)-5),19)+5)),INDEX(checklistPesertaKemenkeu!$N$6:$N$1005,SMALL(IF(checklistPesertaKemenkeu!$AY$6:$AY$1005="Direkomendasikan",ROW($6:$1005)-5),19)))=1),IFERROR(VLOOKUP(INDEX(checklistPesertaKemenkeu!$N$6:$N$1005,SMALL(IF(checklistPesertaKemenkeu!$AY$6:$AY$1005="Direkomendasikan",ROW($6:$1005)-5),19)),KotaKode,2,0),"-"),"")),"")</f>
        <v/>
      </c>
      <c r="K20" t="str">
        <f t="array" aca="1" ref="K20" ca="1">IFERROR(IF(OR(INDEX(checklistPesertaKemenkeu!$O$6:$O$1005,SMALL(IF(checklistPesertaKemenkeu!$AY$6:$AY$1005="Direkomendasikan",ROW($6:$1005)-5),19))="",INDEX(checklistPesertaKemenkeu!$J$6:$J$1005,SMALL(IF(checklistPesertaKemenkeu!$AY$6:$AY$1005="Direkomendasikan",ROW($6:$1005)-5),19))=""),"",IF(AND(COUNTIF(INDIRECT("K_"&amp;MATCH(INDEX(checklistPesertaKemenkeu!$J$6:$J$1005,SMALL(IF(checklistPesertaKemenkeu!$AY$6:$AY$1005="Direkomendasikan",ROW($6:$1005)-5),19)),BidangList,0)),INDEX(checklistPesertaKemenkeu!$O$6:$O$1005,SMALL(IF(checklistPesertaKemenkeu!$AY$6:$AY$1005="Direkomendasikan",ROW($6:$1005)-5),19)))&gt;0,COUNTIF(INDIRECT("'KERTAS KERJA'!K"&amp;(SMALL(IF(checklistPesertaKemenkeu!$AY$6:$AY$1005="Direkomendasikan",ROW($6:$1005)-5),19)+5)&amp;":O"&amp;(SMALL(IF(checklistPesertaKemenkeu!$AY$6:$AY$1005="Direkomendasikan",ROW($6:$1005)-5),19)+5)),INDEX(checklistPesertaKemenkeu!$O$6:$O$1005,SMALL(IF(checklistPesertaKemenkeu!$AY$6:$AY$1005="Direkomendasikan",ROW($6:$1005)-5),19)))=1),IFERROR(VLOOKUP(INDEX(checklistPesertaKemenkeu!$O$6:$O$1005,SMALL(IF(checklistPesertaKemenkeu!$AY$6:$AY$1005="Direkomendasikan",ROW($6:$1005)-5),19)),KotaKode,2,0),"-"),"")),"")</f>
        <v/>
      </c>
      <c r="L20" t="str">
        <f t="array" aca="1" ref="L20" ca="1">IFERROR(IF(OR(INDEX(checklistPesertaKemenkeu!$P$6:$P$1005,SMALL(IF(checklistPesertaKemenkeu!$AY$6:$AY$1005="Direkomendasikan",ROW($6:$1005)-5),19))="",INDEX(checklistPesertaKemenkeu!$J$6:$J$1005,SMALL(IF(checklistPesertaKemenkeu!$AY$6:$AY$1005="Direkomendasikan",ROW($6:$1005)-5),19))=""),"",IF(AND(COUNTIF(INDIRECT("K_"&amp;MATCH(INDEX(checklistPesertaKemenkeu!$J$6:$J$1005,SMALL(IF(checklistPesertaKemenkeu!$AY$6:$AY$1005="Direkomendasikan",ROW($6:$1005)-5),19)),BidangList,0)),INDEX(checklistPesertaKemenkeu!$P$6:$P$1005,SMALL(IF(checklistPesertaKemenkeu!$AY$6:$AY$1005="Direkomendasikan",ROW($6:$1005)-5),19)))&gt;0,COUNTIF(INDIRECT("'KERTAS KERJA'!K"&amp;(SMALL(IF(checklistPesertaKemenkeu!$AY$6:$AY$1005="Direkomendasikan",ROW($6:$1005)-5),19)+5)&amp;":O"&amp;(SMALL(IF(checklistPesertaKemenkeu!$AY$6:$AY$1005="Direkomendasikan",ROW($6:$1005)-5),19)+5)),INDEX(checklistPesertaKemenkeu!$P$6:$P$1005,SMALL(IF(checklistPesertaKemenkeu!$AY$6:$AY$1005="Direkomendasikan",ROW($6:$1005)-5),19)))=1),IFERROR(VLOOKUP(INDEX(checklistPesertaKemenkeu!$P$6:$P$1005,SMALL(IF(checklistPesertaKemenkeu!$AY$6:$AY$1005="Direkomendasikan",ROW($6:$1005)-5),19)),KotaKode,2,0),"-"),"")),"")</f>
        <v/>
      </c>
    </row>
    <row r="21" spans="1:12" ht="15" customHeight="1" x14ac:dyDescent="0.2">
      <c r="A21" t="str">
        <f t="shared" si="0"/>
        <v/>
      </c>
      <c r="B21" t="str">
        <v/>
      </c>
      <c r="C21" s="40" t="str">
        <f t="array" ref="C21">IFERROR(INDEX(checklistPesertaKemenkeu!$F$6:$F$1005,SMALL(IF(checklistPesertaKemenkeu!$AY$6:$AY$1005="Direkomendasikan",ROW($6:$1005)-5),20)),"")</f>
        <v/>
      </c>
      <c r="D21" t="str">
        <f t="array" ref="D21">IFERROR(INDEX(checklistPesertaKemenkeu!$G$6:$G$1005,SMALL(IF(checklistPesertaKemenkeu!$AY$6:$AY$1005="Direkomendasikan",ROW($6:$1005)-5),20)),"")</f>
        <v/>
      </c>
      <c r="E21" t="str">
        <f t="array" ref="E21">IFERROR(INDEX(checklistPesertaKemenkeu!$H$6:$H$1005,SMALL(IF(checklistPesertaKemenkeu!$AY$6:$AY$1005="Direkomendasikan",ROW($6:$1005)-5),20)),"")</f>
        <v/>
      </c>
      <c r="F21" t="str">
        <f t="array" ref="F21">IFERROR(INDEX(checklistPesertaKemenkeu!$I$6:$I$1005,SMALL(IF(checklistPesertaKemenkeu!$AY$6:$AY$1005="Direkomendasikan",ROW($6:$1005)-5),20)),"")</f>
        <v/>
      </c>
      <c r="G21" t="str">
        <f t="array" ref="G21">IFERROR(INDEX(checklistPesertaKemenkeu!$J$6:$J$1005,SMALL(IF(checklistPesertaKemenkeu!$AY$6:$AY$1005="Direkomendasikan",ROW($6:$1005)-5),20)),"")</f>
        <v/>
      </c>
      <c r="H21" t="str">
        <f t="array" aca="1" ref="H21" ca="1">IFERROR(IF(OR(INDEX(checklistPesertaKemenkeu!$L$6:$L$1005,SMALL(IF(checklistPesertaKemenkeu!$AY$6:$AY$1005="Direkomendasikan",ROW($6:$1005)-5),20))="",INDEX(checklistPesertaKemenkeu!$J$6:$J$1005,SMALL(IF(checklistPesertaKemenkeu!$AY$6:$AY$1005="Direkomendasikan",ROW($6:$1005)-5),20))=""),"",IF(AND(COUNTIF(INDIRECT("K_"&amp;MATCH(INDEX(checklistPesertaKemenkeu!$J$6:$J$1005,SMALL(IF(checklistPesertaKemenkeu!$AY$6:$AY$1005="Direkomendasikan",ROW($6:$1005)-5),20)),BidangList,0)),INDEX(checklistPesertaKemenkeu!$L$6:$L$1005,SMALL(IF(checklistPesertaKemenkeu!$AY$6:$AY$1005="Direkomendasikan",ROW($6:$1005)-5),20)))&gt;0,COUNTIF(INDIRECT("'KERTAS KERJA'!K"&amp;(SMALL(IF(checklistPesertaKemenkeu!$AY$6:$AY$1005="Direkomendasikan",ROW($6:$1005)-5),20)+5)&amp;":O"&amp;(SMALL(IF(checklistPesertaKemenkeu!$AY$6:$AY$1005="Direkomendasikan",ROW($6:$1005)-5),20)+5)),INDEX(checklistPesertaKemenkeu!$L$6:$L$1005,SMALL(IF(checklistPesertaKemenkeu!$AY$6:$AY$1005="Direkomendasikan",ROW($6:$1005)-5),20)))=1),IFERROR(VLOOKUP(INDEX(checklistPesertaKemenkeu!$L$6:$L$1005,SMALL(IF(checklistPesertaKemenkeu!$AY$6:$AY$1005="Direkomendasikan",ROW($6:$1005)-5),20)),KotaKode,2,0),"-"),"")),"")</f>
        <v/>
      </c>
      <c r="I21" t="str">
        <f t="array" aca="1" ref="I21" ca="1">IFERROR(IF(OR(INDEX(checklistPesertaKemenkeu!$M$6:$M$1005,SMALL(IF(checklistPesertaKemenkeu!$AY$6:$AY$1005="Direkomendasikan",ROW($6:$1005)-5),20))="",INDEX(checklistPesertaKemenkeu!$J$6:$J$1005,SMALL(IF(checklistPesertaKemenkeu!$AY$6:$AY$1005="Direkomendasikan",ROW($6:$1005)-5),20))=""),"",IF(AND(COUNTIF(INDIRECT("K_"&amp;MATCH(INDEX(checklistPesertaKemenkeu!$J$6:$J$1005,SMALL(IF(checklistPesertaKemenkeu!$AY$6:$AY$1005="Direkomendasikan",ROW($6:$1005)-5),20)),BidangList,0)),INDEX(checklistPesertaKemenkeu!$M$6:$M$1005,SMALL(IF(checklistPesertaKemenkeu!$AY$6:$AY$1005="Direkomendasikan",ROW($6:$1005)-5),20)))&gt;0,COUNTIF(INDIRECT("'KERTAS KERJA'!K"&amp;(SMALL(IF(checklistPesertaKemenkeu!$AY$6:$AY$1005="Direkomendasikan",ROW($6:$1005)-5),20)+5)&amp;":O"&amp;(SMALL(IF(checklistPesertaKemenkeu!$AY$6:$AY$1005="Direkomendasikan",ROW($6:$1005)-5),20)+5)),INDEX(checklistPesertaKemenkeu!$M$6:$M$1005,SMALL(IF(checklistPesertaKemenkeu!$AY$6:$AY$1005="Direkomendasikan",ROW($6:$1005)-5),20)))=1),IFERROR(VLOOKUP(INDEX(checklistPesertaKemenkeu!$M$6:$M$1005,SMALL(IF(checklistPesertaKemenkeu!$AY$6:$AY$1005="Direkomendasikan",ROW($6:$1005)-5),20)),KotaKode,2,0),"-"),"")),"")</f>
        <v/>
      </c>
      <c r="J21" t="str">
        <f t="array" aca="1" ref="J21" ca="1">IFERROR(IF(OR(INDEX(checklistPesertaKemenkeu!$N$6:$N$1005,SMALL(IF(checklistPesertaKemenkeu!$AY$6:$AY$1005="Direkomendasikan",ROW($6:$1005)-5),20))="",INDEX(checklistPesertaKemenkeu!$J$6:$J$1005,SMALL(IF(checklistPesertaKemenkeu!$AY$6:$AY$1005="Direkomendasikan",ROW($6:$1005)-5),20))=""),"",IF(AND(COUNTIF(INDIRECT("K_"&amp;MATCH(INDEX(checklistPesertaKemenkeu!$J$6:$J$1005,SMALL(IF(checklistPesertaKemenkeu!$AY$6:$AY$1005="Direkomendasikan",ROW($6:$1005)-5),20)),BidangList,0)),INDEX(checklistPesertaKemenkeu!$N$6:$N$1005,SMALL(IF(checklistPesertaKemenkeu!$AY$6:$AY$1005="Direkomendasikan",ROW($6:$1005)-5),20)))&gt;0,COUNTIF(INDIRECT("'KERTAS KERJA'!K"&amp;(SMALL(IF(checklistPesertaKemenkeu!$AY$6:$AY$1005="Direkomendasikan",ROW($6:$1005)-5),20)+5)&amp;":O"&amp;(SMALL(IF(checklistPesertaKemenkeu!$AY$6:$AY$1005="Direkomendasikan",ROW($6:$1005)-5),20)+5)),INDEX(checklistPesertaKemenkeu!$N$6:$N$1005,SMALL(IF(checklistPesertaKemenkeu!$AY$6:$AY$1005="Direkomendasikan",ROW($6:$1005)-5),20)))=1),IFERROR(VLOOKUP(INDEX(checklistPesertaKemenkeu!$N$6:$N$1005,SMALL(IF(checklistPesertaKemenkeu!$AY$6:$AY$1005="Direkomendasikan",ROW($6:$1005)-5),20)),KotaKode,2,0),"-"),"")),"")</f>
        <v/>
      </c>
      <c r="K21" t="str">
        <f t="array" aca="1" ref="K21" ca="1">IFERROR(IF(OR(INDEX(checklistPesertaKemenkeu!$O$6:$O$1005,SMALL(IF(checklistPesertaKemenkeu!$AY$6:$AY$1005="Direkomendasikan",ROW($6:$1005)-5),20))="",INDEX(checklistPesertaKemenkeu!$J$6:$J$1005,SMALL(IF(checklistPesertaKemenkeu!$AY$6:$AY$1005="Direkomendasikan",ROW($6:$1005)-5),20))=""),"",IF(AND(COUNTIF(INDIRECT("K_"&amp;MATCH(INDEX(checklistPesertaKemenkeu!$J$6:$J$1005,SMALL(IF(checklistPesertaKemenkeu!$AY$6:$AY$1005="Direkomendasikan",ROW($6:$1005)-5),20)),BidangList,0)),INDEX(checklistPesertaKemenkeu!$O$6:$O$1005,SMALL(IF(checklistPesertaKemenkeu!$AY$6:$AY$1005="Direkomendasikan",ROW($6:$1005)-5),20)))&gt;0,COUNTIF(INDIRECT("'KERTAS KERJA'!K"&amp;(SMALL(IF(checklistPesertaKemenkeu!$AY$6:$AY$1005="Direkomendasikan",ROW($6:$1005)-5),20)+5)&amp;":O"&amp;(SMALL(IF(checklistPesertaKemenkeu!$AY$6:$AY$1005="Direkomendasikan",ROW($6:$1005)-5),20)+5)),INDEX(checklistPesertaKemenkeu!$O$6:$O$1005,SMALL(IF(checklistPesertaKemenkeu!$AY$6:$AY$1005="Direkomendasikan",ROW($6:$1005)-5),20)))=1),IFERROR(VLOOKUP(INDEX(checklistPesertaKemenkeu!$O$6:$O$1005,SMALL(IF(checklistPesertaKemenkeu!$AY$6:$AY$1005="Direkomendasikan",ROW($6:$1005)-5),20)),KotaKode,2,0),"-"),"")),"")</f>
        <v/>
      </c>
      <c r="L21" t="str">
        <f t="array" aca="1" ref="L21" ca="1">IFERROR(IF(OR(INDEX(checklistPesertaKemenkeu!$P$6:$P$1005,SMALL(IF(checklistPesertaKemenkeu!$AY$6:$AY$1005="Direkomendasikan",ROW($6:$1005)-5),20))="",INDEX(checklistPesertaKemenkeu!$J$6:$J$1005,SMALL(IF(checklistPesertaKemenkeu!$AY$6:$AY$1005="Direkomendasikan",ROW($6:$1005)-5),20))=""),"",IF(AND(COUNTIF(INDIRECT("K_"&amp;MATCH(INDEX(checklistPesertaKemenkeu!$J$6:$J$1005,SMALL(IF(checklistPesertaKemenkeu!$AY$6:$AY$1005="Direkomendasikan",ROW($6:$1005)-5),20)),BidangList,0)),INDEX(checklistPesertaKemenkeu!$P$6:$P$1005,SMALL(IF(checklistPesertaKemenkeu!$AY$6:$AY$1005="Direkomendasikan",ROW($6:$1005)-5),20)))&gt;0,COUNTIF(INDIRECT("'KERTAS KERJA'!K"&amp;(SMALL(IF(checklistPesertaKemenkeu!$AY$6:$AY$1005="Direkomendasikan",ROW($6:$1005)-5),20)+5)&amp;":O"&amp;(SMALL(IF(checklistPesertaKemenkeu!$AY$6:$AY$1005="Direkomendasikan",ROW($6:$1005)-5),20)+5)),INDEX(checklistPesertaKemenkeu!$P$6:$P$1005,SMALL(IF(checklistPesertaKemenkeu!$AY$6:$AY$1005="Direkomendasikan",ROW($6:$1005)-5),20)))=1),IFERROR(VLOOKUP(INDEX(checklistPesertaKemenkeu!$P$6:$P$1005,SMALL(IF(checklistPesertaKemenkeu!$AY$6:$AY$1005="Direkomendasikan",ROW($6:$1005)-5),20)),KotaKode,2,0),"-"),"")),"")</f>
        <v/>
      </c>
    </row>
    <row r="22" spans="1:12" ht="15" customHeight="1" x14ac:dyDescent="0.2">
      <c r="A22" t="str">
        <f t="shared" si="0"/>
        <v/>
      </c>
      <c r="B22" t="str">
        <v/>
      </c>
      <c r="C22" s="40" t="str">
        <f t="array" ref="C22">IFERROR(INDEX(checklistPesertaKemenkeu!$F$6:$F$1005,SMALL(IF(checklistPesertaKemenkeu!$AY$6:$AY$1005="Direkomendasikan",ROW($6:$1005)-5),21)),"")</f>
        <v/>
      </c>
      <c r="D22" t="str">
        <f t="array" ref="D22">IFERROR(INDEX(checklistPesertaKemenkeu!$G$6:$G$1005,SMALL(IF(checklistPesertaKemenkeu!$AY$6:$AY$1005="Direkomendasikan",ROW($6:$1005)-5),21)),"")</f>
        <v/>
      </c>
      <c r="E22" t="str">
        <f t="array" ref="E22">IFERROR(INDEX(checklistPesertaKemenkeu!$H$6:$H$1005,SMALL(IF(checklistPesertaKemenkeu!$AY$6:$AY$1005="Direkomendasikan",ROW($6:$1005)-5),21)),"")</f>
        <v/>
      </c>
      <c r="F22" t="str">
        <f t="array" ref="F22">IFERROR(INDEX(checklistPesertaKemenkeu!$I$6:$I$1005,SMALL(IF(checklistPesertaKemenkeu!$AY$6:$AY$1005="Direkomendasikan",ROW($6:$1005)-5),21)),"")</f>
        <v/>
      </c>
      <c r="G22" t="str">
        <f t="array" ref="G22">IFERROR(INDEX(checklistPesertaKemenkeu!$J$6:$J$1005,SMALL(IF(checklistPesertaKemenkeu!$AY$6:$AY$1005="Direkomendasikan",ROW($6:$1005)-5),21)),"")</f>
        <v/>
      </c>
      <c r="H22" t="str">
        <f t="array" aca="1" ref="H22" ca="1">IFERROR(IF(OR(INDEX(checklistPesertaKemenkeu!$L$6:$L$1005,SMALL(IF(checklistPesertaKemenkeu!$AY$6:$AY$1005="Direkomendasikan",ROW($6:$1005)-5),21))="",INDEX(checklistPesertaKemenkeu!$J$6:$J$1005,SMALL(IF(checklistPesertaKemenkeu!$AY$6:$AY$1005="Direkomendasikan",ROW($6:$1005)-5),21))=""),"",IF(AND(COUNTIF(INDIRECT("K_"&amp;MATCH(INDEX(checklistPesertaKemenkeu!$J$6:$J$1005,SMALL(IF(checklistPesertaKemenkeu!$AY$6:$AY$1005="Direkomendasikan",ROW($6:$1005)-5),21)),BidangList,0)),INDEX(checklistPesertaKemenkeu!$L$6:$L$1005,SMALL(IF(checklistPesertaKemenkeu!$AY$6:$AY$1005="Direkomendasikan",ROW($6:$1005)-5),21)))&gt;0,COUNTIF(INDIRECT("'KERTAS KERJA'!K"&amp;(SMALL(IF(checklistPesertaKemenkeu!$AY$6:$AY$1005="Direkomendasikan",ROW($6:$1005)-5),21)+5)&amp;":O"&amp;(SMALL(IF(checklistPesertaKemenkeu!$AY$6:$AY$1005="Direkomendasikan",ROW($6:$1005)-5),21)+5)),INDEX(checklistPesertaKemenkeu!$L$6:$L$1005,SMALL(IF(checklistPesertaKemenkeu!$AY$6:$AY$1005="Direkomendasikan",ROW($6:$1005)-5),21)))=1),IFERROR(VLOOKUP(INDEX(checklistPesertaKemenkeu!$L$6:$L$1005,SMALL(IF(checklistPesertaKemenkeu!$AY$6:$AY$1005="Direkomendasikan",ROW($6:$1005)-5),21)),KotaKode,2,0),"-"),"")),"")</f>
        <v/>
      </c>
      <c r="I22" t="str">
        <f t="array" aca="1" ref="I22" ca="1">IFERROR(IF(OR(INDEX(checklistPesertaKemenkeu!$M$6:$M$1005,SMALL(IF(checklistPesertaKemenkeu!$AY$6:$AY$1005="Direkomendasikan",ROW($6:$1005)-5),21))="",INDEX(checklistPesertaKemenkeu!$J$6:$J$1005,SMALL(IF(checklistPesertaKemenkeu!$AY$6:$AY$1005="Direkomendasikan",ROW($6:$1005)-5),21))=""),"",IF(AND(COUNTIF(INDIRECT("K_"&amp;MATCH(INDEX(checklistPesertaKemenkeu!$J$6:$J$1005,SMALL(IF(checklistPesertaKemenkeu!$AY$6:$AY$1005="Direkomendasikan",ROW($6:$1005)-5),21)),BidangList,0)),INDEX(checklistPesertaKemenkeu!$M$6:$M$1005,SMALL(IF(checklistPesertaKemenkeu!$AY$6:$AY$1005="Direkomendasikan",ROW($6:$1005)-5),21)))&gt;0,COUNTIF(INDIRECT("'KERTAS KERJA'!K"&amp;(SMALL(IF(checklistPesertaKemenkeu!$AY$6:$AY$1005="Direkomendasikan",ROW($6:$1005)-5),21)+5)&amp;":O"&amp;(SMALL(IF(checklistPesertaKemenkeu!$AY$6:$AY$1005="Direkomendasikan",ROW($6:$1005)-5),21)+5)),INDEX(checklistPesertaKemenkeu!$M$6:$M$1005,SMALL(IF(checklistPesertaKemenkeu!$AY$6:$AY$1005="Direkomendasikan",ROW($6:$1005)-5),21)))=1),IFERROR(VLOOKUP(INDEX(checklistPesertaKemenkeu!$M$6:$M$1005,SMALL(IF(checklistPesertaKemenkeu!$AY$6:$AY$1005="Direkomendasikan",ROW($6:$1005)-5),21)),KotaKode,2,0),"-"),"")),"")</f>
        <v/>
      </c>
      <c r="J22" t="str">
        <f t="array" aca="1" ref="J22" ca="1">IFERROR(IF(OR(INDEX(checklistPesertaKemenkeu!$N$6:$N$1005,SMALL(IF(checklistPesertaKemenkeu!$AY$6:$AY$1005="Direkomendasikan",ROW($6:$1005)-5),21))="",INDEX(checklistPesertaKemenkeu!$J$6:$J$1005,SMALL(IF(checklistPesertaKemenkeu!$AY$6:$AY$1005="Direkomendasikan",ROW($6:$1005)-5),21))=""),"",IF(AND(COUNTIF(INDIRECT("K_"&amp;MATCH(INDEX(checklistPesertaKemenkeu!$J$6:$J$1005,SMALL(IF(checklistPesertaKemenkeu!$AY$6:$AY$1005="Direkomendasikan",ROW($6:$1005)-5),21)),BidangList,0)),INDEX(checklistPesertaKemenkeu!$N$6:$N$1005,SMALL(IF(checklistPesertaKemenkeu!$AY$6:$AY$1005="Direkomendasikan",ROW($6:$1005)-5),21)))&gt;0,COUNTIF(INDIRECT("'KERTAS KERJA'!K"&amp;(SMALL(IF(checklistPesertaKemenkeu!$AY$6:$AY$1005="Direkomendasikan",ROW($6:$1005)-5),21)+5)&amp;":O"&amp;(SMALL(IF(checklistPesertaKemenkeu!$AY$6:$AY$1005="Direkomendasikan",ROW($6:$1005)-5),21)+5)),INDEX(checklistPesertaKemenkeu!$N$6:$N$1005,SMALL(IF(checklistPesertaKemenkeu!$AY$6:$AY$1005="Direkomendasikan",ROW($6:$1005)-5),21)))=1),IFERROR(VLOOKUP(INDEX(checklistPesertaKemenkeu!$N$6:$N$1005,SMALL(IF(checklistPesertaKemenkeu!$AY$6:$AY$1005="Direkomendasikan",ROW($6:$1005)-5),21)),KotaKode,2,0),"-"),"")),"")</f>
        <v/>
      </c>
      <c r="K22" t="str">
        <f t="array" aca="1" ref="K22" ca="1">IFERROR(IF(OR(INDEX(checklistPesertaKemenkeu!$O$6:$O$1005,SMALL(IF(checklistPesertaKemenkeu!$AY$6:$AY$1005="Direkomendasikan",ROW($6:$1005)-5),21))="",INDEX(checklistPesertaKemenkeu!$J$6:$J$1005,SMALL(IF(checklistPesertaKemenkeu!$AY$6:$AY$1005="Direkomendasikan",ROW($6:$1005)-5),21))=""),"",IF(AND(COUNTIF(INDIRECT("K_"&amp;MATCH(INDEX(checklistPesertaKemenkeu!$J$6:$J$1005,SMALL(IF(checklistPesertaKemenkeu!$AY$6:$AY$1005="Direkomendasikan",ROW($6:$1005)-5),21)),BidangList,0)),INDEX(checklistPesertaKemenkeu!$O$6:$O$1005,SMALL(IF(checklistPesertaKemenkeu!$AY$6:$AY$1005="Direkomendasikan",ROW($6:$1005)-5),21)))&gt;0,COUNTIF(INDIRECT("'KERTAS KERJA'!K"&amp;(SMALL(IF(checklistPesertaKemenkeu!$AY$6:$AY$1005="Direkomendasikan",ROW($6:$1005)-5),21)+5)&amp;":O"&amp;(SMALL(IF(checklistPesertaKemenkeu!$AY$6:$AY$1005="Direkomendasikan",ROW($6:$1005)-5),21)+5)),INDEX(checklistPesertaKemenkeu!$O$6:$O$1005,SMALL(IF(checklistPesertaKemenkeu!$AY$6:$AY$1005="Direkomendasikan",ROW($6:$1005)-5),21)))=1),IFERROR(VLOOKUP(INDEX(checklistPesertaKemenkeu!$O$6:$O$1005,SMALL(IF(checklistPesertaKemenkeu!$AY$6:$AY$1005="Direkomendasikan",ROW($6:$1005)-5),21)),KotaKode,2,0),"-"),"")),"")</f>
        <v/>
      </c>
      <c r="L22" t="str">
        <f t="array" aca="1" ref="L22" ca="1">IFERROR(IF(OR(INDEX(checklistPesertaKemenkeu!$P$6:$P$1005,SMALL(IF(checklistPesertaKemenkeu!$AY$6:$AY$1005="Direkomendasikan",ROW($6:$1005)-5),21))="",INDEX(checklistPesertaKemenkeu!$J$6:$J$1005,SMALL(IF(checklistPesertaKemenkeu!$AY$6:$AY$1005="Direkomendasikan",ROW($6:$1005)-5),21))=""),"",IF(AND(COUNTIF(INDIRECT("K_"&amp;MATCH(INDEX(checklistPesertaKemenkeu!$J$6:$J$1005,SMALL(IF(checklistPesertaKemenkeu!$AY$6:$AY$1005="Direkomendasikan",ROW($6:$1005)-5),21)),BidangList,0)),INDEX(checklistPesertaKemenkeu!$P$6:$P$1005,SMALL(IF(checklistPesertaKemenkeu!$AY$6:$AY$1005="Direkomendasikan",ROW($6:$1005)-5),21)))&gt;0,COUNTIF(INDIRECT("'KERTAS KERJA'!K"&amp;(SMALL(IF(checklistPesertaKemenkeu!$AY$6:$AY$1005="Direkomendasikan",ROW($6:$1005)-5),21)+5)&amp;":O"&amp;(SMALL(IF(checklistPesertaKemenkeu!$AY$6:$AY$1005="Direkomendasikan",ROW($6:$1005)-5),21)+5)),INDEX(checklistPesertaKemenkeu!$P$6:$P$1005,SMALL(IF(checklistPesertaKemenkeu!$AY$6:$AY$1005="Direkomendasikan",ROW($6:$1005)-5),21)))=1),IFERROR(VLOOKUP(INDEX(checklistPesertaKemenkeu!$P$6:$P$1005,SMALL(IF(checklistPesertaKemenkeu!$AY$6:$AY$1005="Direkomendasikan",ROW($6:$1005)-5),21)),KotaKode,2,0),"-"),"")),"")</f>
        <v/>
      </c>
    </row>
    <row r="23" spans="1:12" ht="15" customHeight="1" x14ac:dyDescent="0.2">
      <c r="A23" t="str">
        <f t="shared" si="0"/>
        <v/>
      </c>
      <c r="B23" t="str">
        <v/>
      </c>
      <c r="C23" s="40" t="str">
        <f t="array" ref="C23">IFERROR(INDEX(checklistPesertaKemenkeu!$F$6:$F$1005,SMALL(IF(checklistPesertaKemenkeu!$AY$6:$AY$1005="Direkomendasikan",ROW($6:$1005)-5),22)),"")</f>
        <v/>
      </c>
      <c r="D23" t="str">
        <f t="array" ref="D23">IFERROR(INDEX(checklistPesertaKemenkeu!$G$6:$G$1005,SMALL(IF(checklistPesertaKemenkeu!$AY$6:$AY$1005="Direkomendasikan",ROW($6:$1005)-5),22)),"")</f>
        <v/>
      </c>
      <c r="E23" t="str">
        <f t="array" ref="E23">IFERROR(INDEX(checklistPesertaKemenkeu!$H$6:$H$1005,SMALL(IF(checklistPesertaKemenkeu!$AY$6:$AY$1005="Direkomendasikan",ROW($6:$1005)-5),22)),"")</f>
        <v/>
      </c>
      <c r="F23" t="str">
        <f t="array" ref="F23">IFERROR(INDEX(checklistPesertaKemenkeu!$I$6:$I$1005,SMALL(IF(checklistPesertaKemenkeu!$AY$6:$AY$1005="Direkomendasikan",ROW($6:$1005)-5),22)),"")</f>
        <v/>
      </c>
      <c r="G23" t="str">
        <f t="array" ref="G23">IFERROR(INDEX(checklistPesertaKemenkeu!$J$6:$J$1005,SMALL(IF(checklistPesertaKemenkeu!$AY$6:$AY$1005="Direkomendasikan",ROW($6:$1005)-5),22)),"")</f>
        <v/>
      </c>
      <c r="H23" t="str">
        <f t="array" aca="1" ref="H23" ca="1">IFERROR(IF(OR(INDEX(checklistPesertaKemenkeu!$L$6:$L$1005,SMALL(IF(checklistPesertaKemenkeu!$AY$6:$AY$1005="Direkomendasikan",ROW($6:$1005)-5),22))="",INDEX(checklistPesertaKemenkeu!$J$6:$J$1005,SMALL(IF(checklistPesertaKemenkeu!$AY$6:$AY$1005="Direkomendasikan",ROW($6:$1005)-5),22))=""),"",IF(AND(COUNTIF(INDIRECT("K_"&amp;MATCH(INDEX(checklistPesertaKemenkeu!$J$6:$J$1005,SMALL(IF(checklistPesertaKemenkeu!$AY$6:$AY$1005="Direkomendasikan",ROW($6:$1005)-5),22)),BidangList,0)),INDEX(checklistPesertaKemenkeu!$L$6:$L$1005,SMALL(IF(checklistPesertaKemenkeu!$AY$6:$AY$1005="Direkomendasikan",ROW($6:$1005)-5),22)))&gt;0,COUNTIF(INDIRECT("'KERTAS KERJA'!K"&amp;(SMALL(IF(checklistPesertaKemenkeu!$AY$6:$AY$1005="Direkomendasikan",ROW($6:$1005)-5),22)+5)&amp;":O"&amp;(SMALL(IF(checklistPesertaKemenkeu!$AY$6:$AY$1005="Direkomendasikan",ROW($6:$1005)-5),22)+5)),INDEX(checklistPesertaKemenkeu!$L$6:$L$1005,SMALL(IF(checklistPesertaKemenkeu!$AY$6:$AY$1005="Direkomendasikan",ROW($6:$1005)-5),22)))=1),IFERROR(VLOOKUP(INDEX(checklistPesertaKemenkeu!$L$6:$L$1005,SMALL(IF(checklistPesertaKemenkeu!$AY$6:$AY$1005="Direkomendasikan",ROW($6:$1005)-5),22)),KotaKode,2,0),"-"),"")),"")</f>
        <v/>
      </c>
      <c r="I23" t="str">
        <f t="array" aca="1" ref="I23" ca="1">IFERROR(IF(OR(INDEX(checklistPesertaKemenkeu!$M$6:$M$1005,SMALL(IF(checklistPesertaKemenkeu!$AY$6:$AY$1005="Direkomendasikan",ROW($6:$1005)-5),22))="",INDEX(checklistPesertaKemenkeu!$J$6:$J$1005,SMALL(IF(checklistPesertaKemenkeu!$AY$6:$AY$1005="Direkomendasikan",ROW($6:$1005)-5),22))=""),"",IF(AND(COUNTIF(INDIRECT("K_"&amp;MATCH(INDEX(checklistPesertaKemenkeu!$J$6:$J$1005,SMALL(IF(checklistPesertaKemenkeu!$AY$6:$AY$1005="Direkomendasikan",ROW($6:$1005)-5),22)),BidangList,0)),INDEX(checklistPesertaKemenkeu!$M$6:$M$1005,SMALL(IF(checklistPesertaKemenkeu!$AY$6:$AY$1005="Direkomendasikan",ROW($6:$1005)-5),22)))&gt;0,COUNTIF(INDIRECT("'KERTAS KERJA'!K"&amp;(SMALL(IF(checklistPesertaKemenkeu!$AY$6:$AY$1005="Direkomendasikan",ROW($6:$1005)-5),22)+5)&amp;":O"&amp;(SMALL(IF(checklistPesertaKemenkeu!$AY$6:$AY$1005="Direkomendasikan",ROW($6:$1005)-5),22)+5)),INDEX(checklistPesertaKemenkeu!$M$6:$M$1005,SMALL(IF(checklistPesertaKemenkeu!$AY$6:$AY$1005="Direkomendasikan",ROW($6:$1005)-5),22)))=1),IFERROR(VLOOKUP(INDEX(checklistPesertaKemenkeu!$M$6:$M$1005,SMALL(IF(checklistPesertaKemenkeu!$AY$6:$AY$1005="Direkomendasikan",ROW($6:$1005)-5),22)),KotaKode,2,0),"-"),"")),"")</f>
        <v/>
      </c>
      <c r="J23" t="str">
        <f t="array" aca="1" ref="J23" ca="1">IFERROR(IF(OR(INDEX(checklistPesertaKemenkeu!$N$6:$N$1005,SMALL(IF(checklistPesertaKemenkeu!$AY$6:$AY$1005="Direkomendasikan",ROW($6:$1005)-5),22))="",INDEX(checklistPesertaKemenkeu!$J$6:$J$1005,SMALL(IF(checklistPesertaKemenkeu!$AY$6:$AY$1005="Direkomendasikan",ROW($6:$1005)-5),22))=""),"",IF(AND(COUNTIF(INDIRECT("K_"&amp;MATCH(INDEX(checklistPesertaKemenkeu!$J$6:$J$1005,SMALL(IF(checklistPesertaKemenkeu!$AY$6:$AY$1005="Direkomendasikan",ROW($6:$1005)-5),22)),BidangList,0)),INDEX(checklistPesertaKemenkeu!$N$6:$N$1005,SMALL(IF(checklistPesertaKemenkeu!$AY$6:$AY$1005="Direkomendasikan",ROW($6:$1005)-5),22)))&gt;0,COUNTIF(INDIRECT("'KERTAS KERJA'!K"&amp;(SMALL(IF(checklistPesertaKemenkeu!$AY$6:$AY$1005="Direkomendasikan",ROW($6:$1005)-5),22)+5)&amp;":O"&amp;(SMALL(IF(checklistPesertaKemenkeu!$AY$6:$AY$1005="Direkomendasikan",ROW($6:$1005)-5),22)+5)),INDEX(checklistPesertaKemenkeu!$N$6:$N$1005,SMALL(IF(checklistPesertaKemenkeu!$AY$6:$AY$1005="Direkomendasikan",ROW($6:$1005)-5),22)))=1),IFERROR(VLOOKUP(INDEX(checklistPesertaKemenkeu!$N$6:$N$1005,SMALL(IF(checklistPesertaKemenkeu!$AY$6:$AY$1005="Direkomendasikan",ROW($6:$1005)-5),22)),KotaKode,2,0),"-"),"")),"")</f>
        <v/>
      </c>
      <c r="K23" t="str">
        <f t="array" aca="1" ref="K23" ca="1">IFERROR(IF(OR(INDEX(checklistPesertaKemenkeu!$O$6:$O$1005,SMALL(IF(checklistPesertaKemenkeu!$AY$6:$AY$1005="Direkomendasikan",ROW($6:$1005)-5),22))="",INDEX(checklistPesertaKemenkeu!$J$6:$J$1005,SMALL(IF(checklistPesertaKemenkeu!$AY$6:$AY$1005="Direkomendasikan",ROW($6:$1005)-5),22))=""),"",IF(AND(COUNTIF(INDIRECT("K_"&amp;MATCH(INDEX(checklistPesertaKemenkeu!$J$6:$J$1005,SMALL(IF(checklistPesertaKemenkeu!$AY$6:$AY$1005="Direkomendasikan",ROW($6:$1005)-5),22)),BidangList,0)),INDEX(checklistPesertaKemenkeu!$O$6:$O$1005,SMALL(IF(checklistPesertaKemenkeu!$AY$6:$AY$1005="Direkomendasikan",ROW($6:$1005)-5),22)))&gt;0,COUNTIF(INDIRECT("'KERTAS KERJA'!K"&amp;(SMALL(IF(checklistPesertaKemenkeu!$AY$6:$AY$1005="Direkomendasikan",ROW($6:$1005)-5),22)+5)&amp;":O"&amp;(SMALL(IF(checklistPesertaKemenkeu!$AY$6:$AY$1005="Direkomendasikan",ROW($6:$1005)-5),22)+5)),INDEX(checklistPesertaKemenkeu!$O$6:$O$1005,SMALL(IF(checklistPesertaKemenkeu!$AY$6:$AY$1005="Direkomendasikan",ROW($6:$1005)-5),22)))=1),IFERROR(VLOOKUP(INDEX(checklistPesertaKemenkeu!$O$6:$O$1005,SMALL(IF(checklistPesertaKemenkeu!$AY$6:$AY$1005="Direkomendasikan",ROW($6:$1005)-5),22)),KotaKode,2,0),"-"),"")),"")</f>
        <v/>
      </c>
      <c r="L23" t="str">
        <f t="array" aca="1" ref="L23" ca="1">IFERROR(IF(OR(INDEX(checklistPesertaKemenkeu!$P$6:$P$1005,SMALL(IF(checklistPesertaKemenkeu!$AY$6:$AY$1005="Direkomendasikan",ROW($6:$1005)-5),22))="",INDEX(checklistPesertaKemenkeu!$J$6:$J$1005,SMALL(IF(checklistPesertaKemenkeu!$AY$6:$AY$1005="Direkomendasikan",ROW($6:$1005)-5),22))=""),"",IF(AND(COUNTIF(INDIRECT("K_"&amp;MATCH(INDEX(checklistPesertaKemenkeu!$J$6:$J$1005,SMALL(IF(checklistPesertaKemenkeu!$AY$6:$AY$1005="Direkomendasikan",ROW($6:$1005)-5),22)),BidangList,0)),INDEX(checklistPesertaKemenkeu!$P$6:$P$1005,SMALL(IF(checklistPesertaKemenkeu!$AY$6:$AY$1005="Direkomendasikan",ROW($6:$1005)-5),22)))&gt;0,COUNTIF(INDIRECT("'KERTAS KERJA'!K"&amp;(SMALL(IF(checklistPesertaKemenkeu!$AY$6:$AY$1005="Direkomendasikan",ROW($6:$1005)-5),22)+5)&amp;":O"&amp;(SMALL(IF(checklistPesertaKemenkeu!$AY$6:$AY$1005="Direkomendasikan",ROW($6:$1005)-5),22)+5)),INDEX(checklistPesertaKemenkeu!$P$6:$P$1005,SMALL(IF(checklistPesertaKemenkeu!$AY$6:$AY$1005="Direkomendasikan",ROW($6:$1005)-5),22)))=1),IFERROR(VLOOKUP(INDEX(checklistPesertaKemenkeu!$P$6:$P$1005,SMALL(IF(checklistPesertaKemenkeu!$AY$6:$AY$1005="Direkomendasikan",ROW($6:$1005)-5),22)),KotaKode,2,0),"-"),"")),"")</f>
        <v/>
      </c>
    </row>
    <row r="24" spans="1:12" ht="15" customHeight="1" x14ac:dyDescent="0.2">
      <c r="A24" t="str">
        <f t="shared" si="0"/>
        <v/>
      </c>
      <c r="B24" t="str">
        <v/>
      </c>
      <c r="C24" s="40" t="str">
        <f t="array" ref="C24">IFERROR(INDEX(checklistPesertaKemenkeu!$F$6:$F$1005,SMALL(IF(checklistPesertaKemenkeu!$AY$6:$AY$1005="Direkomendasikan",ROW($6:$1005)-5),23)),"")</f>
        <v/>
      </c>
      <c r="D24" t="str">
        <f t="array" ref="D24">IFERROR(INDEX(checklistPesertaKemenkeu!$G$6:$G$1005,SMALL(IF(checklistPesertaKemenkeu!$AY$6:$AY$1005="Direkomendasikan",ROW($6:$1005)-5),23)),"")</f>
        <v/>
      </c>
      <c r="E24" t="str">
        <f t="array" ref="E24">IFERROR(INDEX(checklistPesertaKemenkeu!$H$6:$H$1005,SMALL(IF(checklistPesertaKemenkeu!$AY$6:$AY$1005="Direkomendasikan",ROW($6:$1005)-5),23)),"")</f>
        <v/>
      </c>
      <c r="F24" t="str">
        <f t="array" ref="F24">IFERROR(INDEX(checklistPesertaKemenkeu!$I$6:$I$1005,SMALL(IF(checklistPesertaKemenkeu!$AY$6:$AY$1005="Direkomendasikan",ROW($6:$1005)-5),23)),"")</f>
        <v/>
      </c>
      <c r="G24" t="str">
        <f t="array" ref="G24">IFERROR(INDEX(checklistPesertaKemenkeu!$J$6:$J$1005,SMALL(IF(checklistPesertaKemenkeu!$AY$6:$AY$1005="Direkomendasikan",ROW($6:$1005)-5),23)),"")</f>
        <v/>
      </c>
      <c r="H24" t="str">
        <f t="array" aca="1" ref="H24" ca="1">IFERROR(IF(OR(INDEX(checklistPesertaKemenkeu!$L$6:$L$1005,SMALL(IF(checklistPesertaKemenkeu!$AY$6:$AY$1005="Direkomendasikan",ROW($6:$1005)-5),23))="",INDEX(checklistPesertaKemenkeu!$J$6:$J$1005,SMALL(IF(checklistPesertaKemenkeu!$AY$6:$AY$1005="Direkomendasikan",ROW($6:$1005)-5),23))=""),"",IF(AND(COUNTIF(INDIRECT("K_"&amp;MATCH(INDEX(checklistPesertaKemenkeu!$J$6:$J$1005,SMALL(IF(checklistPesertaKemenkeu!$AY$6:$AY$1005="Direkomendasikan",ROW($6:$1005)-5),23)),BidangList,0)),INDEX(checklistPesertaKemenkeu!$L$6:$L$1005,SMALL(IF(checklistPesertaKemenkeu!$AY$6:$AY$1005="Direkomendasikan",ROW($6:$1005)-5),23)))&gt;0,COUNTIF(INDIRECT("'KERTAS KERJA'!K"&amp;(SMALL(IF(checklistPesertaKemenkeu!$AY$6:$AY$1005="Direkomendasikan",ROW($6:$1005)-5),23)+5)&amp;":O"&amp;(SMALL(IF(checklistPesertaKemenkeu!$AY$6:$AY$1005="Direkomendasikan",ROW($6:$1005)-5),23)+5)),INDEX(checklistPesertaKemenkeu!$L$6:$L$1005,SMALL(IF(checklistPesertaKemenkeu!$AY$6:$AY$1005="Direkomendasikan",ROW($6:$1005)-5),23)))=1),IFERROR(VLOOKUP(INDEX(checklistPesertaKemenkeu!$L$6:$L$1005,SMALL(IF(checklistPesertaKemenkeu!$AY$6:$AY$1005="Direkomendasikan",ROW($6:$1005)-5),23)),KotaKode,2,0),"-"),"")),"")</f>
        <v/>
      </c>
      <c r="I24" t="str">
        <f t="array" aca="1" ref="I24" ca="1">IFERROR(IF(OR(INDEX(checklistPesertaKemenkeu!$M$6:$M$1005,SMALL(IF(checklistPesertaKemenkeu!$AY$6:$AY$1005="Direkomendasikan",ROW($6:$1005)-5),23))="",INDEX(checklistPesertaKemenkeu!$J$6:$J$1005,SMALL(IF(checklistPesertaKemenkeu!$AY$6:$AY$1005="Direkomendasikan",ROW($6:$1005)-5),23))=""),"",IF(AND(COUNTIF(INDIRECT("K_"&amp;MATCH(INDEX(checklistPesertaKemenkeu!$J$6:$J$1005,SMALL(IF(checklistPesertaKemenkeu!$AY$6:$AY$1005="Direkomendasikan",ROW($6:$1005)-5),23)),BidangList,0)),INDEX(checklistPesertaKemenkeu!$M$6:$M$1005,SMALL(IF(checklistPesertaKemenkeu!$AY$6:$AY$1005="Direkomendasikan",ROW($6:$1005)-5),23)))&gt;0,COUNTIF(INDIRECT("'KERTAS KERJA'!K"&amp;(SMALL(IF(checklistPesertaKemenkeu!$AY$6:$AY$1005="Direkomendasikan",ROW($6:$1005)-5),23)+5)&amp;":O"&amp;(SMALL(IF(checklistPesertaKemenkeu!$AY$6:$AY$1005="Direkomendasikan",ROW($6:$1005)-5),23)+5)),INDEX(checklistPesertaKemenkeu!$M$6:$M$1005,SMALL(IF(checklistPesertaKemenkeu!$AY$6:$AY$1005="Direkomendasikan",ROW($6:$1005)-5),23)))=1),IFERROR(VLOOKUP(INDEX(checklistPesertaKemenkeu!$M$6:$M$1005,SMALL(IF(checklistPesertaKemenkeu!$AY$6:$AY$1005="Direkomendasikan",ROW($6:$1005)-5),23)),KotaKode,2,0),"-"),"")),"")</f>
        <v/>
      </c>
      <c r="J24" t="str">
        <f t="array" aca="1" ref="J24" ca="1">IFERROR(IF(OR(INDEX(checklistPesertaKemenkeu!$N$6:$N$1005,SMALL(IF(checklistPesertaKemenkeu!$AY$6:$AY$1005="Direkomendasikan",ROW($6:$1005)-5),23))="",INDEX(checklistPesertaKemenkeu!$J$6:$J$1005,SMALL(IF(checklistPesertaKemenkeu!$AY$6:$AY$1005="Direkomendasikan",ROW($6:$1005)-5),23))=""),"",IF(AND(COUNTIF(INDIRECT("K_"&amp;MATCH(INDEX(checklistPesertaKemenkeu!$J$6:$J$1005,SMALL(IF(checklistPesertaKemenkeu!$AY$6:$AY$1005="Direkomendasikan",ROW($6:$1005)-5),23)),BidangList,0)),INDEX(checklistPesertaKemenkeu!$N$6:$N$1005,SMALL(IF(checklistPesertaKemenkeu!$AY$6:$AY$1005="Direkomendasikan",ROW($6:$1005)-5),23)))&gt;0,COUNTIF(INDIRECT("'KERTAS KERJA'!K"&amp;(SMALL(IF(checklistPesertaKemenkeu!$AY$6:$AY$1005="Direkomendasikan",ROW($6:$1005)-5),23)+5)&amp;":O"&amp;(SMALL(IF(checklistPesertaKemenkeu!$AY$6:$AY$1005="Direkomendasikan",ROW($6:$1005)-5),23)+5)),INDEX(checklistPesertaKemenkeu!$N$6:$N$1005,SMALL(IF(checklistPesertaKemenkeu!$AY$6:$AY$1005="Direkomendasikan",ROW($6:$1005)-5),23)))=1),IFERROR(VLOOKUP(INDEX(checklistPesertaKemenkeu!$N$6:$N$1005,SMALL(IF(checklistPesertaKemenkeu!$AY$6:$AY$1005="Direkomendasikan",ROW($6:$1005)-5),23)),KotaKode,2,0),"-"),"")),"")</f>
        <v/>
      </c>
      <c r="K24" t="str">
        <f t="array" aca="1" ref="K24" ca="1">IFERROR(IF(OR(INDEX(checklistPesertaKemenkeu!$O$6:$O$1005,SMALL(IF(checklistPesertaKemenkeu!$AY$6:$AY$1005="Direkomendasikan",ROW($6:$1005)-5),23))="",INDEX(checklistPesertaKemenkeu!$J$6:$J$1005,SMALL(IF(checklistPesertaKemenkeu!$AY$6:$AY$1005="Direkomendasikan",ROW($6:$1005)-5),23))=""),"",IF(AND(COUNTIF(INDIRECT("K_"&amp;MATCH(INDEX(checklistPesertaKemenkeu!$J$6:$J$1005,SMALL(IF(checklistPesertaKemenkeu!$AY$6:$AY$1005="Direkomendasikan",ROW($6:$1005)-5),23)),BidangList,0)),INDEX(checklistPesertaKemenkeu!$O$6:$O$1005,SMALL(IF(checklistPesertaKemenkeu!$AY$6:$AY$1005="Direkomendasikan",ROW($6:$1005)-5),23)))&gt;0,COUNTIF(INDIRECT("'KERTAS KERJA'!K"&amp;(SMALL(IF(checklistPesertaKemenkeu!$AY$6:$AY$1005="Direkomendasikan",ROW($6:$1005)-5),23)+5)&amp;":O"&amp;(SMALL(IF(checklistPesertaKemenkeu!$AY$6:$AY$1005="Direkomendasikan",ROW($6:$1005)-5),23)+5)),INDEX(checklistPesertaKemenkeu!$O$6:$O$1005,SMALL(IF(checklistPesertaKemenkeu!$AY$6:$AY$1005="Direkomendasikan",ROW($6:$1005)-5),23)))=1),IFERROR(VLOOKUP(INDEX(checklistPesertaKemenkeu!$O$6:$O$1005,SMALL(IF(checklistPesertaKemenkeu!$AY$6:$AY$1005="Direkomendasikan",ROW($6:$1005)-5),23)),KotaKode,2,0),"-"),"")),"")</f>
        <v/>
      </c>
      <c r="L24" t="str">
        <f t="array" aca="1" ref="L24" ca="1">IFERROR(IF(OR(INDEX(checklistPesertaKemenkeu!$P$6:$P$1005,SMALL(IF(checklistPesertaKemenkeu!$AY$6:$AY$1005="Direkomendasikan",ROW($6:$1005)-5),23))="",INDEX(checklistPesertaKemenkeu!$J$6:$J$1005,SMALL(IF(checklistPesertaKemenkeu!$AY$6:$AY$1005="Direkomendasikan",ROW($6:$1005)-5),23))=""),"",IF(AND(COUNTIF(INDIRECT("K_"&amp;MATCH(INDEX(checklistPesertaKemenkeu!$J$6:$J$1005,SMALL(IF(checklistPesertaKemenkeu!$AY$6:$AY$1005="Direkomendasikan",ROW($6:$1005)-5),23)),BidangList,0)),INDEX(checklistPesertaKemenkeu!$P$6:$P$1005,SMALL(IF(checklistPesertaKemenkeu!$AY$6:$AY$1005="Direkomendasikan",ROW($6:$1005)-5),23)))&gt;0,COUNTIF(INDIRECT("'KERTAS KERJA'!K"&amp;(SMALL(IF(checklistPesertaKemenkeu!$AY$6:$AY$1005="Direkomendasikan",ROW($6:$1005)-5),23)+5)&amp;":O"&amp;(SMALL(IF(checklistPesertaKemenkeu!$AY$6:$AY$1005="Direkomendasikan",ROW($6:$1005)-5),23)+5)),INDEX(checklistPesertaKemenkeu!$P$6:$P$1005,SMALL(IF(checklistPesertaKemenkeu!$AY$6:$AY$1005="Direkomendasikan",ROW($6:$1005)-5),23)))=1),IFERROR(VLOOKUP(INDEX(checklistPesertaKemenkeu!$P$6:$P$1005,SMALL(IF(checklistPesertaKemenkeu!$AY$6:$AY$1005="Direkomendasikan",ROW($6:$1005)-5),23)),KotaKode,2,0),"-"),"")),"")</f>
        <v/>
      </c>
    </row>
    <row r="25" spans="1:12" ht="15" customHeight="1" x14ac:dyDescent="0.2">
      <c r="A25" t="str">
        <f t="shared" si="0"/>
        <v/>
      </c>
      <c r="B25" t="str">
        <v/>
      </c>
      <c r="C25" s="40" t="str">
        <f t="array" ref="C25">IFERROR(INDEX(checklistPesertaKemenkeu!$F$6:$F$1005,SMALL(IF(checklistPesertaKemenkeu!$AY$6:$AY$1005="Direkomendasikan",ROW($6:$1005)-5),24)),"")</f>
        <v/>
      </c>
      <c r="D25" t="str">
        <f t="array" ref="D25">IFERROR(INDEX(checklistPesertaKemenkeu!$G$6:$G$1005,SMALL(IF(checklistPesertaKemenkeu!$AY$6:$AY$1005="Direkomendasikan",ROW($6:$1005)-5),24)),"")</f>
        <v/>
      </c>
      <c r="E25" t="str">
        <f t="array" ref="E25">IFERROR(INDEX(checklistPesertaKemenkeu!$H$6:$H$1005,SMALL(IF(checklistPesertaKemenkeu!$AY$6:$AY$1005="Direkomendasikan",ROW($6:$1005)-5),24)),"")</f>
        <v/>
      </c>
      <c r="F25" t="str">
        <f t="array" ref="F25">IFERROR(INDEX(checklistPesertaKemenkeu!$I$6:$I$1005,SMALL(IF(checklistPesertaKemenkeu!$AY$6:$AY$1005="Direkomendasikan",ROW($6:$1005)-5),24)),"")</f>
        <v/>
      </c>
      <c r="G25" t="str">
        <f t="array" ref="G25">IFERROR(INDEX(checklistPesertaKemenkeu!$J$6:$J$1005,SMALL(IF(checklistPesertaKemenkeu!$AY$6:$AY$1005="Direkomendasikan",ROW($6:$1005)-5),24)),"")</f>
        <v/>
      </c>
      <c r="H25" t="str">
        <f t="array" aca="1" ref="H25" ca="1">IFERROR(IF(OR(INDEX(checklistPesertaKemenkeu!$L$6:$L$1005,SMALL(IF(checklistPesertaKemenkeu!$AY$6:$AY$1005="Direkomendasikan",ROW($6:$1005)-5),24))="",INDEX(checklistPesertaKemenkeu!$J$6:$J$1005,SMALL(IF(checklistPesertaKemenkeu!$AY$6:$AY$1005="Direkomendasikan",ROW($6:$1005)-5),24))=""),"",IF(AND(COUNTIF(INDIRECT("K_"&amp;MATCH(INDEX(checklistPesertaKemenkeu!$J$6:$J$1005,SMALL(IF(checklistPesertaKemenkeu!$AY$6:$AY$1005="Direkomendasikan",ROW($6:$1005)-5),24)),BidangList,0)),INDEX(checklistPesertaKemenkeu!$L$6:$L$1005,SMALL(IF(checklistPesertaKemenkeu!$AY$6:$AY$1005="Direkomendasikan",ROW($6:$1005)-5),24)))&gt;0,COUNTIF(INDIRECT("'KERTAS KERJA'!K"&amp;(SMALL(IF(checklistPesertaKemenkeu!$AY$6:$AY$1005="Direkomendasikan",ROW($6:$1005)-5),24)+5)&amp;":O"&amp;(SMALL(IF(checklistPesertaKemenkeu!$AY$6:$AY$1005="Direkomendasikan",ROW($6:$1005)-5),24)+5)),INDEX(checklistPesertaKemenkeu!$L$6:$L$1005,SMALL(IF(checklistPesertaKemenkeu!$AY$6:$AY$1005="Direkomendasikan",ROW($6:$1005)-5),24)))=1),IFERROR(VLOOKUP(INDEX(checklistPesertaKemenkeu!$L$6:$L$1005,SMALL(IF(checklistPesertaKemenkeu!$AY$6:$AY$1005="Direkomendasikan",ROW($6:$1005)-5),24)),KotaKode,2,0),"-"),"")),"")</f>
        <v/>
      </c>
      <c r="I25" t="str">
        <f t="array" aca="1" ref="I25" ca="1">IFERROR(IF(OR(INDEX(checklistPesertaKemenkeu!$M$6:$M$1005,SMALL(IF(checklistPesertaKemenkeu!$AY$6:$AY$1005="Direkomendasikan",ROW($6:$1005)-5),24))="",INDEX(checklistPesertaKemenkeu!$J$6:$J$1005,SMALL(IF(checklistPesertaKemenkeu!$AY$6:$AY$1005="Direkomendasikan",ROW($6:$1005)-5),24))=""),"",IF(AND(COUNTIF(INDIRECT("K_"&amp;MATCH(INDEX(checklistPesertaKemenkeu!$J$6:$J$1005,SMALL(IF(checklistPesertaKemenkeu!$AY$6:$AY$1005="Direkomendasikan",ROW($6:$1005)-5),24)),BidangList,0)),INDEX(checklistPesertaKemenkeu!$M$6:$M$1005,SMALL(IF(checklistPesertaKemenkeu!$AY$6:$AY$1005="Direkomendasikan",ROW($6:$1005)-5),24)))&gt;0,COUNTIF(INDIRECT("'KERTAS KERJA'!K"&amp;(SMALL(IF(checklistPesertaKemenkeu!$AY$6:$AY$1005="Direkomendasikan",ROW($6:$1005)-5),24)+5)&amp;":O"&amp;(SMALL(IF(checklistPesertaKemenkeu!$AY$6:$AY$1005="Direkomendasikan",ROW($6:$1005)-5),24)+5)),INDEX(checklistPesertaKemenkeu!$M$6:$M$1005,SMALL(IF(checklistPesertaKemenkeu!$AY$6:$AY$1005="Direkomendasikan",ROW($6:$1005)-5),24)))=1),IFERROR(VLOOKUP(INDEX(checklistPesertaKemenkeu!$M$6:$M$1005,SMALL(IF(checklistPesertaKemenkeu!$AY$6:$AY$1005="Direkomendasikan",ROW($6:$1005)-5),24)),KotaKode,2,0),"-"),"")),"")</f>
        <v/>
      </c>
      <c r="J25" t="str">
        <f t="array" aca="1" ref="J25" ca="1">IFERROR(IF(OR(INDEX(checklistPesertaKemenkeu!$N$6:$N$1005,SMALL(IF(checklistPesertaKemenkeu!$AY$6:$AY$1005="Direkomendasikan",ROW($6:$1005)-5),24))="",INDEX(checklistPesertaKemenkeu!$J$6:$J$1005,SMALL(IF(checklistPesertaKemenkeu!$AY$6:$AY$1005="Direkomendasikan",ROW($6:$1005)-5),24))=""),"",IF(AND(COUNTIF(INDIRECT("K_"&amp;MATCH(INDEX(checklistPesertaKemenkeu!$J$6:$J$1005,SMALL(IF(checklistPesertaKemenkeu!$AY$6:$AY$1005="Direkomendasikan",ROW($6:$1005)-5),24)),BidangList,0)),INDEX(checklistPesertaKemenkeu!$N$6:$N$1005,SMALL(IF(checklistPesertaKemenkeu!$AY$6:$AY$1005="Direkomendasikan",ROW($6:$1005)-5),24)))&gt;0,COUNTIF(INDIRECT("'KERTAS KERJA'!K"&amp;(SMALL(IF(checklistPesertaKemenkeu!$AY$6:$AY$1005="Direkomendasikan",ROW($6:$1005)-5),24)+5)&amp;":O"&amp;(SMALL(IF(checklistPesertaKemenkeu!$AY$6:$AY$1005="Direkomendasikan",ROW($6:$1005)-5),24)+5)),INDEX(checklistPesertaKemenkeu!$N$6:$N$1005,SMALL(IF(checklistPesertaKemenkeu!$AY$6:$AY$1005="Direkomendasikan",ROW($6:$1005)-5),24)))=1),IFERROR(VLOOKUP(INDEX(checklistPesertaKemenkeu!$N$6:$N$1005,SMALL(IF(checklistPesertaKemenkeu!$AY$6:$AY$1005="Direkomendasikan",ROW($6:$1005)-5),24)),KotaKode,2,0),"-"),"")),"")</f>
        <v/>
      </c>
      <c r="K25" t="str">
        <f t="array" aca="1" ref="K25" ca="1">IFERROR(IF(OR(INDEX(checklistPesertaKemenkeu!$O$6:$O$1005,SMALL(IF(checklistPesertaKemenkeu!$AY$6:$AY$1005="Direkomendasikan",ROW($6:$1005)-5),24))="",INDEX(checklistPesertaKemenkeu!$J$6:$J$1005,SMALL(IF(checklistPesertaKemenkeu!$AY$6:$AY$1005="Direkomendasikan",ROW($6:$1005)-5),24))=""),"",IF(AND(COUNTIF(INDIRECT("K_"&amp;MATCH(INDEX(checklistPesertaKemenkeu!$J$6:$J$1005,SMALL(IF(checklistPesertaKemenkeu!$AY$6:$AY$1005="Direkomendasikan",ROW($6:$1005)-5),24)),BidangList,0)),INDEX(checklistPesertaKemenkeu!$O$6:$O$1005,SMALL(IF(checklistPesertaKemenkeu!$AY$6:$AY$1005="Direkomendasikan",ROW($6:$1005)-5),24)))&gt;0,COUNTIF(INDIRECT("'KERTAS KERJA'!K"&amp;(SMALL(IF(checklistPesertaKemenkeu!$AY$6:$AY$1005="Direkomendasikan",ROW($6:$1005)-5),24)+5)&amp;":O"&amp;(SMALL(IF(checklistPesertaKemenkeu!$AY$6:$AY$1005="Direkomendasikan",ROW($6:$1005)-5),24)+5)),INDEX(checklistPesertaKemenkeu!$O$6:$O$1005,SMALL(IF(checklistPesertaKemenkeu!$AY$6:$AY$1005="Direkomendasikan",ROW($6:$1005)-5),24)))=1),IFERROR(VLOOKUP(INDEX(checklistPesertaKemenkeu!$O$6:$O$1005,SMALL(IF(checklistPesertaKemenkeu!$AY$6:$AY$1005="Direkomendasikan",ROW($6:$1005)-5),24)),KotaKode,2,0),"-"),"")),"")</f>
        <v/>
      </c>
      <c r="L25" t="str">
        <f t="array" aca="1" ref="L25" ca="1">IFERROR(IF(OR(INDEX(checklistPesertaKemenkeu!$P$6:$P$1005,SMALL(IF(checklistPesertaKemenkeu!$AY$6:$AY$1005="Direkomendasikan",ROW($6:$1005)-5),24))="",INDEX(checklistPesertaKemenkeu!$J$6:$J$1005,SMALL(IF(checklistPesertaKemenkeu!$AY$6:$AY$1005="Direkomendasikan",ROW($6:$1005)-5),24))=""),"",IF(AND(COUNTIF(INDIRECT("K_"&amp;MATCH(INDEX(checklistPesertaKemenkeu!$J$6:$J$1005,SMALL(IF(checklistPesertaKemenkeu!$AY$6:$AY$1005="Direkomendasikan",ROW($6:$1005)-5),24)),BidangList,0)),INDEX(checklistPesertaKemenkeu!$P$6:$P$1005,SMALL(IF(checklistPesertaKemenkeu!$AY$6:$AY$1005="Direkomendasikan",ROW($6:$1005)-5),24)))&gt;0,COUNTIF(INDIRECT("'KERTAS KERJA'!K"&amp;(SMALL(IF(checklistPesertaKemenkeu!$AY$6:$AY$1005="Direkomendasikan",ROW($6:$1005)-5),24)+5)&amp;":O"&amp;(SMALL(IF(checklistPesertaKemenkeu!$AY$6:$AY$1005="Direkomendasikan",ROW($6:$1005)-5),24)+5)),INDEX(checklistPesertaKemenkeu!$P$6:$P$1005,SMALL(IF(checklistPesertaKemenkeu!$AY$6:$AY$1005="Direkomendasikan",ROW($6:$1005)-5),24)))=1),IFERROR(VLOOKUP(INDEX(checklistPesertaKemenkeu!$P$6:$P$1005,SMALL(IF(checklistPesertaKemenkeu!$AY$6:$AY$1005="Direkomendasikan",ROW($6:$1005)-5),24)),KotaKode,2,0),"-"),"")),"")</f>
        <v/>
      </c>
    </row>
    <row r="26" spans="1:12" ht="15" customHeight="1" x14ac:dyDescent="0.2">
      <c r="A26" t="str">
        <f t="shared" si="0"/>
        <v/>
      </c>
      <c r="B26" t="str">
        <v/>
      </c>
      <c r="C26" s="40" t="str">
        <f t="array" ref="C26">IFERROR(INDEX(checklistPesertaKemenkeu!$F$6:$F$1005,SMALL(IF(checklistPesertaKemenkeu!$AY$6:$AY$1005="Direkomendasikan",ROW($6:$1005)-5),25)),"")</f>
        <v/>
      </c>
      <c r="D26" t="str">
        <f t="array" ref="D26">IFERROR(INDEX(checklistPesertaKemenkeu!$G$6:$G$1005,SMALL(IF(checklistPesertaKemenkeu!$AY$6:$AY$1005="Direkomendasikan",ROW($6:$1005)-5),25)),"")</f>
        <v/>
      </c>
      <c r="E26" t="str">
        <f t="array" ref="E26">IFERROR(INDEX(checklistPesertaKemenkeu!$H$6:$H$1005,SMALL(IF(checklistPesertaKemenkeu!$AY$6:$AY$1005="Direkomendasikan",ROW($6:$1005)-5),25)),"")</f>
        <v/>
      </c>
      <c r="F26" t="str">
        <f t="array" ref="F26">IFERROR(INDEX(checklistPesertaKemenkeu!$I$6:$I$1005,SMALL(IF(checklistPesertaKemenkeu!$AY$6:$AY$1005="Direkomendasikan",ROW($6:$1005)-5),25)),"")</f>
        <v/>
      </c>
      <c r="G26" t="str">
        <f t="array" ref="G26">IFERROR(INDEX(checklistPesertaKemenkeu!$J$6:$J$1005,SMALL(IF(checklistPesertaKemenkeu!$AY$6:$AY$1005="Direkomendasikan",ROW($6:$1005)-5),25)),"")</f>
        <v/>
      </c>
      <c r="H26" t="str">
        <f t="array" aca="1" ref="H26" ca="1">IFERROR(IF(OR(INDEX(checklistPesertaKemenkeu!$L$6:$L$1005,SMALL(IF(checklistPesertaKemenkeu!$AY$6:$AY$1005="Direkomendasikan",ROW($6:$1005)-5),25))="",INDEX(checklistPesertaKemenkeu!$J$6:$J$1005,SMALL(IF(checklistPesertaKemenkeu!$AY$6:$AY$1005="Direkomendasikan",ROW($6:$1005)-5),25))=""),"",IF(AND(COUNTIF(INDIRECT("K_"&amp;MATCH(INDEX(checklistPesertaKemenkeu!$J$6:$J$1005,SMALL(IF(checklistPesertaKemenkeu!$AY$6:$AY$1005="Direkomendasikan",ROW($6:$1005)-5),25)),BidangList,0)),INDEX(checklistPesertaKemenkeu!$L$6:$L$1005,SMALL(IF(checklistPesertaKemenkeu!$AY$6:$AY$1005="Direkomendasikan",ROW($6:$1005)-5),25)))&gt;0,COUNTIF(INDIRECT("'KERTAS KERJA'!K"&amp;(SMALL(IF(checklistPesertaKemenkeu!$AY$6:$AY$1005="Direkomendasikan",ROW($6:$1005)-5),25)+5)&amp;":O"&amp;(SMALL(IF(checklistPesertaKemenkeu!$AY$6:$AY$1005="Direkomendasikan",ROW($6:$1005)-5),25)+5)),INDEX(checklistPesertaKemenkeu!$L$6:$L$1005,SMALL(IF(checklistPesertaKemenkeu!$AY$6:$AY$1005="Direkomendasikan",ROW($6:$1005)-5),25)))=1),IFERROR(VLOOKUP(INDEX(checklistPesertaKemenkeu!$L$6:$L$1005,SMALL(IF(checklistPesertaKemenkeu!$AY$6:$AY$1005="Direkomendasikan",ROW($6:$1005)-5),25)),KotaKode,2,0),"-"),"")),"")</f>
        <v/>
      </c>
      <c r="I26" t="str">
        <f t="array" aca="1" ref="I26" ca="1">IFERROR(IF(OR(INDEX(checklistPesertaKemenkeu!$M$6:$M$1005,SMALL(IF(checklistPesertaKemenkeu!$AY$6:$AY$1005="Direkomendasikan",ROW($6:$1005)-5),25))="",INDEX(checklistPesertaKemenkeu!$J$6:$J$1005,SMALL(IF(checklistPesertaKemenkeu!$AY$6:$AY$1005="Direkomendasikan",ROW($6:$1005)-5),25))=""),"",IF(AND(COUNTIF(INDIRECT("K_"&amp;MATCH(INDEX(checklistPesertaKemenkeu!$J$6:$J$1005,SMALL(IF(checklistPesertaKemenkeu!$AY$6:$AY$1005="Direkomendasikan",ROW($6:$1005)-5),25)),BidangList,0)),INDEX(checklistPesertaKemenkeu!$M$6:$M$1005,SMALL(IF(checklistPesertaKemenkeu!$AY$6:$AY$1005="Direkomendasikan",ROW($6:$1005)-5),25)))&gt;0,COUNTIF(INDIRECT("'KERTAS KERJA'!K"&amp;(SMALL(IF(checklistPesertaKemenkeu!$AY$6:$AY$1005="Direkomendasikan",ROW($6:$1005)-5),25)+5)&amp;":O"&amp;(SMALL(IF(checklistPesertaKemenkeu!$AY$6:$AY$1005="Direkomendasikan",ROW($6:$1005)-5),25)+5)),INDEX(checklistPesertaKemenkeu!$M$6:$M$1005,SMALL(IF(checklistPesertaKemenkeu!$AY$6:$AY$1005="Direkomendasikan",ROW($6:$1005)-5),25)))=1),IFERROR(VLOOKUP(INDEX(checklistPesertaKemenkeu!$M$6:$M$1005,SMALL(IF(checklistPesertaKemenkeu!$AY$6:$AY$1005="Direkomendasikan",ROW($6:$1005)-5),25)),KotaKode,2,0),"-"),"")),"")</f>
        <v/>
      </c>
      <c r="J26" t="str">
        <f t="array" aca="1" ref="J26" ca="1">IFERROR(IF(OR(INDEX(checklistPesertaKemenkeu!$N$6:$N$1005,SMALL(IF(checklistPesertaKemenkeu!$AY$6:$AY$1005="Direkomendasikan",ROW($6:$1005)-5),25))="",INDEX(checklistPesertaKemenkeu!$J$6:$J$1005,SMALL(IF(checklistPesertaKemenkeu!$AY$6:$AY$1005="Direkomendasikan",ROW($6:$1005)-5),25))=""),"",IF(AND(COUNTIF(INDIRECT("K_"&amp;MATCH(INDEX(checklistPesertaKemenkeu!$J$6:$J$1005,SMALL(IF(checklistPesertaKemenkeu!$AY$6:$AY$1005="Direkomendasikan",ROW($6:$1005)-5),25)),BidangList,0)),INDEX(checklistPesertaKemenkeu!$N$6:$N$1005,SMALL(IF(checklistPesertaKemenkeu!$AY$6:$AY$1005="Direkomendasikan",ROW($6:$1005)-5),25)))&gt;0,COUNTIF(INDIRECT("'KERTAS KERJA'!K"&amp;(SMALL(IF(checklistPesertaKemenkeu!$AY$6:$AY$1005="Direkomendasikan",ROW($6:$1005)-5),25)+5)&amp;":O"&amp;(SMALL(IF(checklistPesertaKemenkeu!$AY$6:$AY$1005="Direkomendasikan",ROW($6:$1005)-5),25)+5)),INDEX(checklistPesertaKemenkeu!$N$6:$N$1005,SMALL(IF(checklistPesertaKemenkeu!$AY$6:$AY$1005="Direkomendasikan",ROW($6:$1005)-5),25)))=1),IFERROR(VLOOKUP(INDEX(checklistPesertaKemenkeu!$N$6:$N$1005,SMALL(IF(checklistPesertaKemenkeu!$AY$6:$AY$1005="Direkomendasikan",ROW($6:$1005)-5),25)),KotaKode,2,0),"-"),"")),"")</f>
        <v/>
      </c>
      <c r="K26" t="str">
        <f t="array" aca="1" ref="K26" ca="1">IFERROR(IF(OR(INDEX(checklistPesertaKemenkeu!$O$6:$O$1005,SMALL(IF(checklistPesertaKemenkeu!$AY$6:$AY$1005="Direkomendasikan",ROW($6:$1005)-5),25))="",INDEX(checklistPesertaKemenkeu!$J$6:$J$1005,SMALL(IF(checklistPesertaKemenkeu!$AY$6:$AY$1005="Direkomendasikan",ROW($6:$1005)-5),25))=""),"",IF(AND(COUNTIF(INDIRECT("K_"&amp;MATCH(INDEX(checklistPesertaKemenkeu!$J$6:$J$1005,SMALL(IF(checklistPesertaKemenkeu!$AY$6:$AY$1005="Direkomendasikan",ROW($6:$1005)-5),25)),BidangList,0)),INDEX(checklistPesertaKemenkeu!$O$6:$O$1005,SMALL(IF(checklistPesertaKemenkeu!$AY$6:$AY$1005="Direkomendasikan",ROW($6:$1005)-5),25)))&gt;0,COUNTIF(INDIRECT("'KERTAS KERJA'!K"&amp;(SMALL(IF(checklistPesertaKemenkeu!$AY$6:$AY$1005="Direkomendasikan",ROW($6:$1005)-5),25)+5)&amp;":O"&amp;(SMALL(IF(checklistPesertaKemenkeu!$AY$6:$AY$1005="Direkomendasikan",ROW($6:$1005)-5),25)+5)),INDEX(checklistPesertaKemenkeu!$O$6:$O$1005,SMALL(IF(checklistPesertaKemenkeu!$AY$6:$AY$1005="Direkomendasikan",ROW($6:$1005)-5),25)))=1),IFERROR(VLOOKUP(INDEX(checklistPesertaKemenkeu!$O$6:$O$1005,SMALL(IF(checklistPesertaKemenkeu!$AY$6:$AY$1005="Direkomendasikan",ROW($6:$1005)-5),25)),KotaKode,2,0),"-"),"")),"")</f>
        <v/>
      </c>
      <c r="L26" t="str">
        <f t="array" aca="1" ref="L26" ca="1">IFERROR(IF(OR(INDEX(checklistPesertaKemenkeu!$P$6:$P$1005,SMALL(IF(checklistPesertaKemenkeu!$AY$6:$AY$1005="Direkomendasikan",ROW($6:$1005)-5),25))="",INDEX(checklistPesertaKemenkeu!$J$6:$J$1005,SMALL(IF(checklistPesertaKemenkeu!$AY$6:$AY$1005="Direkomendasikan",ROW($6:$1005)-5),25))=""),"",IF(AND(COUNTIF(INDIRECT("K_"&amp;MATCH(INDEX(checklistPesertaKemenkeu!$J$6:$J$1005,SMALL(IF(checklistPesertaKemenkeu!$AY$6:$AY$1005="Direkomendasikan",ROW($6:$1005)-5),25)),BidangList,0)),INDEX(checklistPesertaKemenkeu!$P$6:$P$1005,SMALL(IF(checklistPesertaKemenkeu!$AY$6:$AY$1005="Direkomendasikan",ROW($6:$1005)-5),25)))&gt;0,COUNTIF(INDIRECT("'KERTAS KERJA'!K"&amp;(SMALL(IF(checklistPesertaKemenkeu!$AY$6:$AY$1005="Direkomendasikan",ROW($6:$1005)-5),25)+5)&amp;":O"&amp;(SMALL(IF(checklistPesertaKemenkeu!$AY$6:$AY$1005="Direkomendasikan",ROW($6:$1005)-5),25)+5)),INDEX(checklistPesertaKemenkeu!$P$6:$P$1005,SMALL(IF(checklistPesertaKemenkeu!$AY$6:$AY$1005="Direkomendasikan",ROW($6:$1005)-5),25)))=1),IFERROR(VLOOKUP(INDEX(checklistPesertaKemenkeu!$P$6:$P$1005,SMALL(IF(checklistPesertaKemenkeu!$AY$6:$AY$1005="Direkomendasikan",ROW($6:$1005)-5),25)),KotaKode,2,0),"-"),"")),"")</f>
        <v/>
      </c>
    </row>
    <row r="27" spans="1:12" ht="15" customHeight="1" x14ac:dyDescent="0.2">
      <c r="A27" t="str">
        <f t="shared" si="0"/>
        <v/>
      </c>
      <c r="B27" t="str">
        <v/>
      </c>
      <c r="C27" s="40" t="str">
        <f t="array" ref="C27">IFERROR(INDEX(checklistPesertaKemenkeu!$F$6:$F$1005,SMALL(IF(checklistPesertaKemenkeu!$AY$6:$AY$1005="Direkomendasikan",ROW($6:$1005)-5),26)),"")</f>
        <v/>
      </c>
      <c r="D27" t="str">
        <f t="array" ref="D27">IFERROR(INDEX(checklistPesertaKemenkeu!$G$6:$G$1005,SMALL(IF(checklistPesertaKemenkeu!$AY$6:$AY$1005="Direkomendasikan",ROW($6:$1005)-5),26)),"")</f>
        <v/>
      </c>
      <c r="E27" t="str">
        <f t="array" ref="E27">IFERROR(INDEX(checklistPesertaKemenkeu!$H$6:$H$1005,SMALL(IF(checklistPesertaKemenkeu!$AY$6:$AY$1005="Direkomendasikan",ROW($6:$1005)-5),26)),"")</f>
        <v/>
      </c>
      <c r="F27" t="str">
        <f t="array" ref="F27">IFERROR(INDEX(checklistPesertaKemenkeu!$I$6:$I$1005,SMALL(IF(checklistPesertaKemenkeu!$AY$6:$AY$1005="Direkomendasikan",ROW($6:$1005)-5),26)),"")</f>
        <v/>
      </c>
      <c r="G27" t="str">
        <f t="array" ref="G27">IFERROR(INDEX(checklistPesertaKemenkeu!$J$6:$J$1005,SMALL(IF(checklistPesertaKemenkeu!$AY$6:$AY$1005="Direkomendasikan",ROW($6:$1005)-5),26)),"")</f>
        <v/>
      </c>
      <c r="H27" t="str">
        <f t="array" aca="1" ref="H27" ca="1">IFERROR(IF(OR(INDEX(checklistPesertaKemenkeu!$L$6:$L$1005,SMALL(IF(checklistPesertaKemenkeu!$AY$6:$AY$1005="Direkomendasikan",ROW($6:$1005)-5),26))="",INDEX(checklistPesertaKemenkeu!$J$6:$J$1005,SMALL(IF(checklistPesertaKemenkeu!$AY$6:$AY$1005="Direkomendasikan",ROW($6:$1005)-5),26))=""),"",IF(AND(COUNTIF(INDIRECT("K_"&amp;MATCH(INDEX(checklistPesertaKemenkeu!$J$6:$J$1005,SMALL(IF(checklistPesertaKemenkeu!$AY$6:$AY$1005="Direkomendasikan",ROW($6:$1005)-5),26)),BidangList,0)),INDEX(checklistPesertaKemenkeu!$L$6:$L$1005,SMALL(IF(checklistPesertaKemenkeu!$AY$6:$AY$1005="Direkomendasikan",ROW($6:$1005)-5),26)))&gt;0,COUNTIF(INDIRECT("'KERTAS KERJA'!K"&amp;(SMALL(IF(checklistPesertaKemenkeu!$AY$6:$AY$1005="Direkomendasikan",ROW($6:$1005)-5),26)+5)&amp;":O"&amp;(SMALL(IF(checklistPesertaKemenkeu!$AY$6:$AY$1005="Direkomendasikan",ROW($6:$1005)-5),26)+5)),INDEX(checklistPesertaKemenkeu!$L$6:$L$1005,SMALL(IF(checklistPesertaKemenkeu!$AY$6:$AY$1005="Direkomendasikan",ROW($6:$1005)-5),26)))=1),IFERROR(VLOOKUP(INDEX(checklistPesertaKemenkeu!$L$6:$L$1005,SMALL(IF(checklistPesertaKemenkeu!$AY$6:$AY$1005="Direkomendasikan",ROW($6:$1005)-5),26)),KotaKode,2,0),"-"),"")),"")</f>
        <v/>
      </c>
      <c r="I27" t="str">
        <f t="array" aca="1" ref="I27" ca="1">IFERROR(IF(OR(INDEX(checklistPesertaKemenkeu!$M$6:$M$1005,SMALL(IF(checklistPesertaKemenkeu!$AY$6:$AY$1005="Direkomendasikan",ROW($6:$1005)-5),26))="",INDEX(checklistPesertaKemenkeu!$J$6:$J$1005,SMALL(IF(checklistPesertaKemenkeu!$AY$6:$AY$1005="Direkomendasikan",ROW($6:$1005)-5),26))=""),"",IF(AND(COUNTIF(INDIRECT("K_"&amp;MATCH(INDEX(checklistPesertaKemenkeu!$J$6:$J$1005,SMALL(IF(checklistPesertaKemenkeu!$AY$6:$AY$1005="Direkomendasikan",ROW($6:$1005)-5),26)),BidangList,0)),INDEX(checklistPesertaKemenkeu!$M$6:$M$1005,SMALL(IF(checklistPesertaKemenkeu!$AY$6:$AY$1005="Direkomendasikan",ROW($6:$1005)-5),26)))&gt;0,COUNTIF(INDIRECT("'KERTAS KERJA'!K"&amp;(SMALL(IF(checklistPesertaKemenkeu!$AY$6:$AY$1005="Direkomendasikan",ROW($6:$1005)-5),26)+5)&amp;":O"&amp;(SMALL(IF(checklistPesertaKemenkeu!$AY$6:$AY$1005="Direkomendasikan",ROW($6:$1005)-5),26)+5)),INDEX(checklistPesertaKemenkeu!$M$6:$M$1005,SMALL(IF(checklistPesertaKemenkeu!$AY$6:$AY$1005="Direkomendasikan",ROW($6:$1005)-5),26)))=1),IFERROR(VLOOKUP(INDEX(checklistPesertaKemenkeu!$M$6:$M$1005,SMALL(IF(checklistPesertaKemenkeu!$AY$6:$AY$1005="Direkomendasikan",ROW($6:$1005)-5),26)),KotaKode,2,0),"-"),"")),"")</f>
        <v/>
      </c>
      <c r="J27" t="str">
        <f t="array" aca="1" ref="J27" ca="1">IFERROR(IF(OR(INDEX(checklistPesertaKemenkeu!$N$6:$N$1005,SMALL(IF(checklistPesertaKemenkeu!$AY$6:$AY$1005="Direkomendasikan",ROW($6:$1005)-5),26))="",INDEX(checklistPesertaKemenkeu!$J$6:$J$1005,SMALL(IF(checklistPesertaKemenkeu!$AY$6:$AY$1005="Direkomendasikan",ROW($6:$1005)-5),26))=""),"",IF(AND(COUNTIF(INDIRECT("K_"&amp;MATCH(INDEX(checklistPesertaKemenkeu!$J$6:$J$1005,SMALL(IF(checklistPesertaKemenkeu!$AY$6:$AY$1005="Direkomendasikan",ROW($6:$1005)-5),26)),BidangList,0)),INDEX(checklistPesertaKemenkeu!$N$6:$N$1005,SMALL(IF(checklistPesertaKemenkeu!$AY$6:$AY$1005="Direkomendasikan",ROW($6:$1005)-5),26)))&gt;0,COUNTIF(INDIRECT("'KERTAS KERJA'!K"&amp;(SMALL(IF(checklistPesertaKemenkeu!$AY$6:$AY$1005="Direkomendasikan",ROW($6:$1005)-5),26)+5)&amp;":O"&amp;(SMALL(IF(checklistPesertaKemenkeu!$AY$6:$AY$1005="Direkomendasikan",ROW($6:$1005)-5),26)+5)),INDEX(checklistPesertaKemenkeu!$N$6:$N$1005,SMALL(IF(checklistPesertaKemenkeu!$AY$6:$AY$1005="Direkomendasikan",ROW($6:$1005)-5),26)))=1),IFERROR(VLOOKUP(INDEX(checklistPesertaKemenkeu!$N$6:$N$1005,SMALL(IF(checklistPesertaKemenkeu!$AY$6:$AY$1005="Direkomendasikan",ROW($6:$1005)-5),26)),KotaKode,2,0),"-"),"")),"")</f>
        <v/>
      </c>
      <c r="K27" t="str">
        <f t="array" aca="1" ref="K27" ca="1">IFERROR(IF(OR(INDEX(checklistPesertaKemenkeu!$O$6:$O$1005,SMALL(IF(checklistPesertaKemenkeu!$AY$6:$AY$1005="Direkomendasikan",ROW($6:$1005)-5),26))="",INDEX(checklistPesertaKemenkeu!$J$6:$J$1005,SMALL(IF(checklistPesertaKemenkeu!$AY$6:$AY$1005="Direkomendasikan",ROW($6:$1005)-5),26))=""),"",IF(AND(COUNTIF(INDIRECT("K_"&amp;MATCH(INDEX(checklistPesertaKemenkeu!$J$6:$J$1005,SMALL(IF(checklistPesertaKemenkeu!$AY$6:$AY$1005="Direkomendasikan",ROW($6:$1005)-5),26)),BidangList,0)),INDEX(checklistPesertaKemenkeu!$O$6:$O$1005,SMALL(IF(checklistPesertaKemenkeu!$AY$6:$AY$1005="Direkomendasikan",ROW($6:$1005)-5),26)))&gt;0,COUNTIF(INDIRECT("'KERTAS KERJA'!K"&amp;(SMALL(IF(checklistPesertaKemenkeu!$AY$6:$AY$1005="Direkomendasikan",ROW($6:$1005)-5),26)+5)&amp;":O"&amp;(SMALL(IF(checklistPesertaKemenkeu!$AY$6:$AY$1005="Direkomendasikan",ROW($6:$1005)-5),26)+5)),INDEX(checklistPesertaKemenkeu!$O$6:$O$1005,SMALL(IF(checklistPesertaKemenkeu!$AY$6:$AY$1005="Direkomendasikan",ROW($6:$1005)-5),26)))=1),IFERROR(VLOOKUP(INDEX(checklistPesertaKemenkeu!$O$6:$O$1005,SMALL(IF(checklistPesertaKemenkeu!$AY$6:$AY$1005="Direkomendasikan",ROW($6:$1005)-5),26)),KotaKode,2,0),"-"),"")),"")</f>
        <v/>
      </c>
      <c r="L27" t="str">
        <f t="array" aca="1" ref="L27" ca="1">IFERROR(IF(OR(INDEX(checklistPesertaKemenkeu!$P$6:$P$1005,SMALL(IF(checklistPesertaKemenkeu!$AY$6:$AY$1005="Direkomendasikan",ROW($6:$1005)-5),26))="",INDEX(checklistPesertaKemenkeu!$J$6:$J$1005,SMALL(IF(checklistPesertaKemenkeu!$AY$6:$AY$1005="Direkomendasikan",ROW($6:$1005)-5),26))=""),"",IF(AND(COUNTIF(INDIRECT("K_"&amp;MATCH(INDEX(checklistPesertaKemenkeu!$J$6:$J$1005,SMALL(IF(checklistPesertaKemenkeu!$AY$6:$AY$1005="Direkomendasikan",ROW($6:$1005)-5),26)),BidangList,0)),INDEX(checklistPesertaKemenkeu!$P$6:$P$1005,SMALL(IF(checklistPesertaKemenkeu!$AY$6:$AY$1005="Direkomendasikan",ROW($6:$1005)-5),26)))&gt;0,COUNTIF(INDIRECT("'KERTAS KERJA'!K"&amp;(SMALL(IF(checklistPesertaKemenkeu!$AY$6:$AY$1005="Direkomendasikan",ROW($6:$1005)-5),26)+5)&amp;":O"&amp;(SMALL(IF(checklistPesertaKemenkeu!$AY$6:$AY$1005="Direkomendasikan",ROW($6:$1005)-5),26)+5)),INDEX(checklistPesertaKemenkeu!$P$6:$P$1005,SMALL(IF(checklistPesertaKemenkeu!$AY$6:$AY$1005="Direkomendasikan",ROW($6:$1005)-5),26)))=1),IFERROR(VLOOKUP(INDEX(checklistPesertaKemenkeu!$P$6:$P$1005,SMALL(IF(checklistPesertaKemenkeu!$AY$6:$AY$1005="Direkomendasikan",ROW($6:$1005)-5),26)),KotaKode,2,0),"-"),"")),"")</f>
        <v/>
      </c>
    </row>
    <row r="28" spans="1:12" ht="15" customHeight="1" x14ac:dyDescent="0.2">
      <c r="A28" t="str">
        <f t="shared" si="0"/>
        <v/>
      </c>
      <c r="B28" t="str">
        <v/>
      </c>
      <c r="C28" s="40" t="str">
        <f t="array" ref="C28">IFERROR(INDEX(checklistPesertaKemenkeu!$F$6:$F$1005,SMALL(IF(checklistPesertaKemenkeu!$AY$6:$AY$1005="Direkomendasikan",ROW($6:$1005)-5),27)),"")</f>
        <v/>
      </c>
      <c r="D28" t="str">
        <f t="array" ref="D28">IFERROR(INDEX(checklistPesertaKemenkeu!$G$6:$G$1005,SMALL(IF(checklistPesertaKemenkeu!$AY$6:$AY$1005="Direkomendasikan",ROW($6:$1005)-5),27)),"")</f>
        <v/>
      </c>
      <c r="E28" t="str">
        <f t="array" ref="E28">IFERROR(INDEX(checklistPesertaKemenkeu!$H$6:$H$1005,SMALL(IF(checklistPesertaKemenkeu!$AY$6:$AY$1005="Direkomendasikan",ROW($6:$1005)-5),27)),"")</f>
        <v/>
      </c>
      <c r="F28" t="str">
        <f t="array" ref="F28">IFERROR(INDEX(checklistPesertaKemenkeu!$I$6:$I$1005,SMALL(IF(checklistPesertaKemenkeu!$AY$6:$AY$1005="Direkomendasikan",ROW($6:$1005)-5),27)),"")</f>
        <v/>
      </c>
      <c r="G28" t="str">
        <f t="array" ref="G28">IFERROR(INDEX(checklistPesertaKemenkeu!$J$6:$J$1005,SMALL(IF(checklistPesertaKemenkeu!$AY$6:$AY$1005="Direkomendasikan",ROW($6:$1005)-5),27)),"")</f>
        <v/>
      </c>
      <c r="H28" t="str">
        <f t="array" aca="1" ref="H28" ca="1">IFERROR(IF(OR(INDEX(checklistPesertaKemenkeu!$L$6:$L$1005,SMALL(IF(checklistPesertaKemenkeu!$AY$6:$AY$1005="Direkomendasikan",ROW($6:$1005)-5),27))="",INDEX(checklistPesertaKemenkeu!$J$6:$J$1005,SMALL(IF(checklistPesertaKemenkeu!$AY$6:$AY$1005="Direkomendasikan",ROW($6:$1005)-5),27))=""),"",IF(AND(COUNTIF(INDIRECT("K_"&amp;MATCH(INDEX(checklistPesertaKemenkeu!$J$6:$J$1005,SMALL(IF(checklistPesertaKemenkeu!$AY$6:$AY$1005="Direkomendasikan",ROW($6:$1005)-5),27)),BidangList,0)),INDEX(checklistPesertaKemenkeu!$L$6:$L$1005,SMALL(IF(checklistPesertaKemenkeu!$AY$6:$AY$1005="Direkomendasikan",ROW($6:$1005)-5),27)))&gt;0,COUNTIF(INDIRECT("'KERTAS KERJA'!K"&amp;(SMALL(IF(checklistPesertaKemenkeu!$AY$6:$AY$1005="Direkomendasikan",ROW($6:$1005)-5),27)+5)&amp;":O"&amp;(SMALL(IF(checklistPesertaKemenkeu!$AY$6:$AY$1005="Direkomendasikan",ROW($6:$1005)-5),27)+5)),INDEX(checklistPesertaKemenkeu!$L$6:$L$1005,SMALL(IF(checklistPesertaKemenkeu!$AY$6:$AY$1005="Direkomendasikan",ROW($6:$1005)-5),27)))=1),IFERROR(VLOOKUP(INDEX(checklistPesertaKemenkeu!$L$6:$L$1005,SMALL(IF(checklistPesertaKemenkeu!$AY$6:$AY$1005="Direkomendasikan",ROW($6:$1005)-5),27)),KotaKode,2,0),"-"),"")),"")</f>
        <v/>
      </c>
      <c r="I28" t="str">
        <f t="array" aca="1" ref="I28" ca="1">IFERROR(IF(OR(INDEX(checklistPesertaKemenkeu!$M$6:$M$1005,SMALL(IF(checklistPesertaKemenkeu!$AY$6:$AY$1005="Direkomendasikan",ROW($6:$1005)-5),27))="",INDEX(checklistPesertaKemenkeu!$J$6:$J$1005,SMALL(IF(checklistPesertaKemenkeu!$AY$6:$AY$1005="Direkomendasikan",ROW($6:$1005)-5),27))=""),"",IF(AND(COUNTIF(INDIRECT("K_"&amp;MATCH(INDEX(checklistPesertaKemenkeu!$J$6:$J$1005,SMALL(IF(checklistPesertaKemenkeu!$AY$6:$AY$1005="Direkomendasikan",ROW($6:$1005)-5),27)),BidangList,0)),INDEX(checklistPesertaKemenkeu!$M$6:$M$1005,SMALL(IF(checklistPesertaKemenkeu!$AY$6:$AY$1005="Direkomendasikan",ROW($6:$1005)-5),27)))&gt;0,COUNTIF(INDIRECT("'KERTAS KERJA'!K"&amp;(SMALL(IF(checklistPesertaKemenkeu!$AY$6:$AY$1005="Direkomendasikan",ROW($6:$1005)-5),27)+5)&amp;":O"&amp;(SMALL(IF(checklistPesertaKemenkeu!$AY$6:$AY$1005="Direkomendasikan",ROW($6:$1005)-5),27)+5)),INDEX(checklistPesertaKemenkeu!$M$6:$M$1005,SMALL(IF(checklistPesertaKemenkeu!$AY$6:$AY$1005="Direkomendasikan",ROW($6:$1005)-5),27)))=1),IFERROR(VLOOKUP(INDEX(checklistPesertaKemenkeu!$M$6:$M$1005,SMALL(IF(checklistPesertaKemenkeu!$AY$6:$AY$1005="Direkomendasikan",ROW($6:$1005)-5),27)),KotaKode,2,0),"-"),"")),"")</f>
        <v/>
      </c>
      <c r="J28" t="str">
        <f t="array" aca="1" ref="J28" ca="1">IFERROR(IF(OR(INDEX(checklistPesertaKemenkeu!$N$6:$N$1005,SMALL(IF(checklistPesertaKemenkeu!$AY$6:$AY$1005="Direkomendasikan",ROW($6:$1005)-5),27))="",INDEX(checklistPesertaKemenkeu!$J$6:$J$1005,SMALL(IF(checklistPesertaKemenkeu!$AY$6:$AY$1005="Direkomendasikan",ROW($6:$1005)-5),27))=""),"",IF(AND(COUNTIF(INDIRECT("K_"&amp;MATCH(INDEX(checklistPesertaKemenkeu!$J$6:$J$1005,SMALL(IF(checklistPesertaKemenkeu!$AY$6:$AY$1005="Direkomendasikan",ROW($6:$1005)-5),27)),BidangList,0)),INDEX(checklistPesertaKemenkeu!$N$6:$N$1005,SMALL(IF(checklistPesertaKemenkeu!$AY$6:$AY$1005="Direkomendasikan",ROW($6:$1005)-5),27)))&gt;0,COUNTIF(INDIRECT("'KERTAS KERJA'!K"&amp;(SMALL(IF(checklistPesertaKemenkeu!$AY$6:$AY$1005="Direkomendasikan",ROW($6:$1005)-5),27)+5)&amp;":O"&amp;(SMALL(IF(checklistPesertaKemenkeu!$AY$6:$AY$1005="Direkomendasikan",ROW($6:$1005)-5),27)+5)),INDEX(checklistPesertaKemenkeu!$N$6:$N$1005,SMALL(IF(checklistPesertaKemenkeu!$AY$6:$AY$1005="Direkomendasikan",ROW($6:$1005)-5),27)))=1),IFERROR(VLOOKUP(INDEX(checklistPesertaKemenkeu!$N$6:$N$1005,SMALL(IF(checklistPesertaKemenkeu!$AY$6:$AY$1005="Direkomendasikan",ROW($6:$1005)-5),27)),KotaKode,2,0),"-"),"")),"")</f>
        <v/>
      </c>
      <c r="K28" t="str">
        <f t="array" aca="1" ref="K28" ca="1">IFERROR(IF(OR(INDEX(checklistPesertaKemenkeu!$O$6:$O$1005,SMALL(IF(checklistPesertaKemenkeu!$AY$6:$AY$1005="Direkomendasikan",ROW($6:$1005)-5),27))="",INDEX(checklistPesertaKemenkeu!$J$6:$J$1005,SMALL(IF(checklistPesertaKemenkeu!$AY$6:$AY$1005="Direkomendasikan",ROW($6:$1005)-5),27))=""),"",IF(AND(COUNTIF(INDIRECT("K_"&amp;MATCH(INDEX(checklistPesertaKemenkeu!$J$6:$J$1005,SMALL(IF(checklistPesertaKemenkeu!$AY$6:$AY$1005="Direkomendasikan",ROW($6:$1005)-5),27)),BidangList,0)),INDEX(checklistPesertaKemenkeu!$O$6:$O$1005,SMALL(IF(checklistPesertaKemenkeu!$AY$6:$AY$1005="Direkomendasikan",ROW($6:$1005)-5),27)))&gt;0,COUNTIF(INDIRECT("'KERTAS KERJA'!K"&amp;(SMALL(IF(checklistPesertaKemenkeu!$AY$6:$AY$1005="Direkomendasikan",ROW($6:$1005)-5),27)+5)&amp;":O"&amp;(SMALL(IF(checklistPesertaKemenkeu!$AY$6:$AY$1005="Direkomendasikan",ROW($6:$1005)-5),27)+5)),INDEX(checklistPesertaKemenkeu!$O$6:$O$1005,SMALL(IF(checklistPesertaKemenkeu!$AY$6:$AY$1005="Direkomendasikan",ROW($6:$1005)-5),27)))=1),IFERROR(VLOOKUP(INDEX(checklistPesertaKemenkeu!$O$6:$O$1005,SMALL(IF(checklistPesertaKemenkeu!$AY$6:$AY$1005="Direkomendasikan",ROW($6:$1005)-5),27)),KotaKode,2,0),"-"),"")),"")</f>
        <v/>
      </c>
      <c r="L28" t="str">
        <f t="array" aca="1" ref="L28" ca="1">IFERROR(IF(OR(INDEX(checklistPesertaKemenkeu!$P$6:$P$1005,SMALL(IF(checklistPesertaKemenkeu!$AY$6:$AY$1005="Direkomendasikan",ROW($6:$1005)-5),27))="",INDEX(checklistPesertaKemenkeu!$J$6:$J$1005,SMALL(IF(checklistPesertaKemenkeu!$AY$6:$AY$1005="Direkomendasikan",ROW($6:$1005)-5),27))=""),"",IF(AND(COUNTIF(INDIRECT("K_"&amp;MATCH(INDEX(checklistPesertaKemenkeu!$J$6:$J$1005,SMALL(IF(checklistPesertaKemenkeu!$AY$6:$AY$1005="Direkomendasikan",ROW($6:$1005)-5),27)),BidangList,0)),INDEX(checklistPesertaKemenkeu!$P$6:$P$1005,SMALL(IF(checklistPesertaKemenkeu!$AY$6:$AY$1005="Direkomendasikan",ROW($6:$1005)-5),27)))&gt;0,COUNTIF(INDIRECT("'KERTAS KERJA'!K"&amp;(SMALL(IF(checklistPesertaKemenkeu!$AY$6:$AY$1005="Direkomendasikan",ROW($6:$1005)-5),27)+5)&amp;":O"&amp;(SMALL(IF(checklistPesertaKemenkeu!$AY$6:$AY$1005="Direkomendasikan",ROW($6:$1005)-5),27)+5)),INDEX(checklistPesertaKemenkeu!$P$6:$P$1005,SMALL(IF(checklistPesertaKemenkeu!$AY$6:$AY$1005="Direkomendasikan",ROW($6:$1005)-5),27)))=1),IFERROR(VLOOKUP(INDEX(checklistPesertaKemenkeu!$P$6:$P$1005,SMALL(IF(checklistPesertaKemenkeu!$AY$6:$AY$1005="Direkomendasikan",ROW($6:$1005)-5),27)),KotaKode,2,0),"-"),"")),"")</f>
        <v/>
      </c>
    </row>
    <row r="29" spans="1:12" ht="15" customHeight="1" x14ac:dyDescent="0.2">
      <c r="A29" t="str">
        <f t="shared" si="0"/>
        <v/>
      </c>
      <c r="B29" t="str">
        <v/>
      </c>
      <c r="C29" s="40" t="str">
        <f t="array" ref="C29">IFERROR(INDEX(checklistPesertaKemenkeu!$F$6:$F$1005,SMALL(IF(checklistPesertaKemenkeu!$AY$6:$AY$1005="Direkomendasikan",ROW($6:$1005)-5),28)),"")</f>
        <v/>
      </c>
      <c r="D29" t="str">
        <f t="array" ref="D29">IFERROR(INDEX(checklistPesertaKemenkeu!$G$6:$G$1005,SMALL(IF(checklistPesertaKemenkeu!$AY$6:$AY$1005="Direkomendasikan",ROW($6:$1005)-5),28)),"")</f>
        <v/>
      </c>
      <c r="E29" t="str">
        <f t="array" ref="E29">IFERROR(INDEX(checklistPesertaKemenkeu!$H$6:$H$1005,SMALL(IF(checklistPesertaKemenkeu!$AY$6:$AY$1005="Direkomendasikan",ROW($6:$1005)-5),28)),"")</f>
        <v/>
      </c>
      <c r="F29" t="str">
        <f t="array" ref="F29">IFERROR(INDEX(checklistPesertaKemenkeu!$I$6:$I$1005,SMALL(IF(checklistPesertaKemenkeu!$AY$6:$AY$1005="Direkomendasikan",ROW($6:$1005)-5),28)),"")</f>
        <v/>
      </c>
      <c r="G29" t="str">
        <f t="array" ref="G29">IFERROR(INDEX(checklistPesertaKemenkeu!$J$6:$J$1005,SMALL(IF(checklistPesertaKemenkeu!$AY$6:$AY$1005="Direkomendasikan",ROW($6:$1005)-5),28)),"")</f>
        <v/>
      </c>
      <c r="H29" t="str">
        <f t="array" aca="1" ref="H29" ca="1">IFERROR(IF(OR(INDEX(checklistPesertaKemenkeu!$L$6:$L$1005,SMALL(IF(checklistPesertaKemenkeu!$AY$6:$AY$1005="Direkomendasikan",ROW($6:$1005)-5),28))="",INDEX(checklistPesertaKemenkeu!$J$6:$J$1005,SMALL(IF(checklistPesertaKemenkeu!$AY$6:$AY$1005="Direkomendasikan",ROW($6:$1005)-5),28))=""),"",IF(AND(COUNTIF(INDIRECT("K_"&amp;MATCH(INDEX(checklistPesertaKemenkeu!$J$6:$J$1005,SMALL(IF(checklistPesertaKemenkeu!$AY$6:$AY$1005="Direkomendasikan",ROW($6:$1005)-5),28)),BidangList,0)),INDEX(checklistPesertaKemenkeu!$L$6:$L$1005,SMALL(IF(checklistPesertaKemenkeu!$AY$6:$AY$1005="Direkomendasikan",ROW($6:$1005)-5),28)))&gt;0,COUNTIF(INDIRECT("'KERTAS KERJA'!K"&amp;(SMALL(IF(checklistPesertaKemenkeu!$AY$6:$AY$1005="Direkomendasikan",ROW($6:$1005)-5),28)+5)&amp;":O"&amp;(SMALL(IF(checklistPesertaKemenkeu!$AY$6:$AY$1005="Direkomendasikan",ROW($6:$1005)-5),28)+5)),INDEX(checklistPesertaKemenkeu!$L$6:$L$1005,SMALL(IF(checklistPesertaKemenkeu!$AY$6:$AY$1005="Direkomendasikan",ROW($6:$1005)-5),28)))=1),IFERROR(VLOOKUP(INDEX(checklistPesertaKemenkeu!$L$6:$L$1005,SMALL(IF(checklistPesertaKemenkeu!$AY$6:$AY$1005="Direkomendasikan",ROW($6:$1005)-5),28)),KotaKode,2,0),"-"),"")),"")</f>
        <v/>
      </c>
      <c r="I29" t="str">
        <f t="array" aca="1" ref="I29" ca="1">IFERROR(IF(OR(INDEX(checklistPesertaKemenkeu!$M$6:$M$1005,SMALL(IF(checklistPesertaKemenkeu!$AY$6:$AY$1005="Direkomendasikan",ROW($6:$1005)-5),28))="",INDEX(checklistPesertaKemenkeu!$J$6:$J$1005,SMALL(IF(checklistPesertaKemenkeu!$AY$6:$AY$1005="Direkomendasikan",ROW($6:$1005)-5),28))=""),"",IF(AND(COUNTIF(INDIRECT("K_"&amp;MATCH(INDEX(checklistPesertaKemenkeu!$J$6:$J$1005,SMALL(IF(checklistPesertaKemenkeu!$AY$6:$AY$1005="Direkomendasikan",ROW($6:$1005)-5),28)),BidangList,0)),INDEX(checklistPesertaKemenkeu!$M$6:$M$1005,SMALL(IF(checklistPesertaKemenkeu!$AY$6:$AY$1005="Direkomendasikan",ROW($6:$1005)-5),28)))&gt;0,COUNTIF(INDIRECT("'KERTAS KERJA'!K"&amp;(SMALL(IF(checklistPesertaKemenkeu!$AY$6:$AY$1005="Direkomendasikan",ROW($6:$1005)-5),28)+5)&amp;":O"&amp;(SMALL(IF(checklistPesertaKemenkeu!$AY$6:$AY$1005="Direkomendasikan",ROW($6:$1005)-5),28)+5)),INDEX(checklistPesertaKemenkeu!$M$6:$M$1005,SMALL(IF(checklistPesertaKemenkeu!$AY$6:$AY$1005="Direkomendasikan",ROW($6:$1005)-5),28)))=1),IFERROR(VLOOKUP(INDEX(checklistPesertaKemenkeu!$M$6:$M$1005,SMALL(IF(checklistPesertaKemenkeu!$AY$6:$AY$1005="Direkomendasikan",ROW($6:$1005)-5),28)),KotaKode,2,0),"-"),"")),"")</f>
        <v/>
      </c>
      <c r="J29" t="str">
        <f t="array" aca="1" ref="J29" ca="1">IFERROR(IF(OR(INDEX(checklistPesertaKemenkeu!$N$6:$N$1005,SMALL(IF(checklistPesertaKemenkeu!$AY$6:$AY$1005="Direkomendasikan",ROW($6:$1005)-5),28))="",INDEX(checklistPesertaKemenkeu!$J$6:$J$1005,SMALL(IF(checklistPesertaKemenkeu!$AY$6:$AY$1005="Direkomendasikan",ROW($6:$1005)-5),28))=""),"",IF(AND(COUNTIF(INDIRECT("K_"&amp;MATCH(INDEX(checklistPesertaKemenkeu!$J$6:$J$1005,SMALL(IF(checklistPesertaKemenkeu!$AY$6:$AY$1005="Direkomendasikan",ROW($6:$1005)-5),28)),BidangList,0)),INDEX(checklistPesertaKemenkeu!$N$6:$N$1005,SMALL(IF(checklistPesertaKemenkeu!$AY$6:$AY$1005="Direkomendasikan",ROW($6:$1005)-5),28)))&gt;0,COUNTIF(INDIRECT("'KERTAS KERJA'!K"&amp;(SMALL(IF(checklistPesertaKemenkeu!$AY$6:$AY$1005="Direkomendasikan",ROW($6:$1005)-5),28)+5)&amp;":O"&amp;(SMALL(IF(checklistPesertaKemenkeu!$AY$6:$AY$1005="Direkomendasikan",ROW($6:$1005)-5),28)+5)),INDEX(checklistPesertaKemenkeu!$N$6:$N$1005,SMALL(IF(checklistPesertaKemenkeu!$AY$6:$AY$1005="Direkomendasikan",ROW($6:$1005)-5),28)))=1),IFERROR(VLOOKUP(INDEX(checklistPesertaKemenkeu!$N$6:$N$1005,SMALL(IF(checklistPesertaKemenkeu!$AY$6:$AY$1005="Direkomendasikan",ROW($6:$1005)-5),28)),KotaKode,2,0),"-"),"")),"")</f>
        <v/>
      </c>
      <c r="K29" t="str">
        <f t="array" aca="1" ref="K29" ca="1">IFERROR(IF(OR(INDEX(checklistPesertaKemenkeu!$O$6:$O$1005,SMALL(IF(checklistPesertaKemenkeu!$AY$6:$AY$1005="Direkomendasikan",ROW($6:$1005)-5),28))="",INDEX(checklistPesertaKemenkeu!$J$6:$J$1005,SMALL(IF(checklistPesertaKemenkeu!$AY$6:$AY$1005="Direkomendasikan",ROW($6:$1005)-5),28))=""),"",IF(AND(COUNTIF(INDIRECT("K_"&amp;MATCH(INDEX(checklistPesertaKemenkeu!$J$6:$J$1005,SMALL(IF(checklistPesertaKemenkeu!$AY$6:$AY$1005="Direkomendasikan",ROW($6:$1005)-5),28)),BidangList,0)),INDEX(checklistPesertaKemenkeu!$O$6:$O$1005,SMALL(IF(checklistPesertaKemenkeu!$AY$6:$AY$1005="Direkomendasikan",ROW($6:$1005)-5),28)))&gt;0,COUNTIF(INDIRECT("'KERTAS KERJA'!K"&amp;(SMALL(IF(checklistPesertaKemenkeu!$AY$6:$AY$1005="Direkomendasikan",ROW($6:$1005)-5),28)+5)&amp;":O"&amp;(SMALL(IF(checklistPesertaKemenkeu!$AY$6:$AY$1005="Direkomendasikan",ROW($6:$1005)-5),28)+5)),INDEX(checklistPesertaKemenkeu!$O$6:$O$1005,SMALL(IF(checklistPesertaKemenkeu!$AY$6:$AY$1005="Direkomendasikan",ROW($6:$1005)-5),28)))=1),IFERROR(VLOOKUP(INDEX(checklistPesertaKemenkeu!$O$6:$O$1005,SMALL(IF(checklistPesertaKemenkeu!$AY$6:$AY$1005="Direkomendasikan",ROW($6:$1005)-5),28)),KotaKode,2,0),"-"),"")),"")</f>
        <v/>
      </c>
      <c r="L29" t="str">
        <f t="array" aca="1" ref="L29" ca="1">IFERROR(IF(OR(INDEX(checklistPesertaKemenkeu!$P$6:$P$1005,SMALL(IF(checklistPesertaKemenkeu!$AY$6:$AY$1005="Direkomendasikan",ROW($6:$1005)-5),28))="",INDEX(checklistPesertaKemenkeu!$J$6:$J$1005,SMALL(IF(checklistPesertaKemenkeu!$AY$6:$AY$1005="Direkomendasikan",ROW($6:$1005)-5),28))=""),"",IF(AND(COUNTIF(INDIRECT("K_"&amp;MATCH(INDEX(checklistPesertaKemenkeu!$J$6:$J$1005,SMALL(IF(checklistPesertaKemenkeu!$AY$6:$AY$1005="Direkomendasikan",ROW($6:$1005)-5),28)),BidangList,0)),INDEX(checklistPesertaKemenkeu!$P$6:$P$1005,SMALL(IF(checklistPesertaKemenkeu!$AY$6:$AY$1005="Direkomendasikan",ROW($6:$1005)-5),28)))&gt;0,COUNTIF(INDIRECT("'KERTAS KERJA'!K"&amp;(SMALL(IF(checklistPesertaKemenkeu!$AY$6:$AY$1005="Direkomendasikan",ROW($6:$1005)-5),28)+5)&amp;":O"&amp;(SMALL(IF(checklistPesertaKemenkeu!$AY$6:$AY$1005="Direkomendasikan",ROW($6:$1005)-5),28)+5)),INDEX(checklistPesertaKemenkeu!$P$6:$P$1005,SMALL(IF(checklistPesertaKemenkeu!$AY$6:$AY$1005="Direkomendasikan",ROW($6:$1005)-5),28)))=1),IFERROR(VLOOKUP(INDEX(checklistPesertaKemenkeu!$P$6:$P$1005,SMALL(IF(checklistPesertaKemenkeu!$AY$6:$AY$1005="Direkomendasikan",ROW($6:$1005)-5),28)),KotaKode,2,0),"-"),"")),"")</f>
        <v/>
      </c>
    </row>
    <row r="30" spans="1:12" ht="15" customHeight="1" x14ac:dyDescent="0.2">
      <c r="A30" t="str">
        <f t="shared" si="0"/>
        <v/>
      </c>
      <c r="B30" t="str">
        <v/>
      </c>
      <c r="C30" s="40" t="str">
        <f t="array" ref="C30">IFERROR(INDEX(checklistPesertaKemenkeu!$F$6:$F$1005,SMALL(IF(checklistPesertaKemenkeu!$AY$6:$AY$1005="Direkomendasikan",ROW($6:$1005)-5),29)),"")</f>
        <v/>
      </c>
      <c r="D30" t="str">
        <f t="array" ref="D30">IFERROR(INDEX(checklistPesertaKemenkeu!$G$6:$G$1005,SMALL(IF(checklistPesertaKemenkeu!$AY$6:$AY$1005="Direkomendasikan",ROW($6:$1005)-5),29)),"")</f>
        <v/>
      </c>
      <c r="E30" t="str">
        <f t="array" ref="E30">IFERROR(INDEX(checklistPesertaKemenkeu!$H$6:$H$1005,SMALL(IF(checklistPesertaKemenkeu!$AY$6:$AY$1005="Direkomendasikan",ROW($6:$1005)-5),29)),"")</f>
        <v/>
      </c>
      <c r="F30" t="str">
        <f t="array" ref="F30">IFERROR(INDEX(checklistPesertaKemenkeu!$I$6:$I$1005,SMALL(IF(checklistPesertaKemenkeu!$AY$6:$AY$1005="Direkomendasikan",ROW($6:$1005)-5),29)),"")</f>
        <v/>
      </c>
      <c r="G30" t="str">
        <f t="array" ref="G30">IFERROR(INDEX(checklistPesertaKemenkeu!$J$6:$J$1005,SMALL(IF(checklistPesertaKemenkeu!$AY$6:$AY$1005="Direkomendasikan",ROW($6:$1005)-5),29)),"")</f>
        <v/>
      </c>
      <c r="H30" t="str">
        <f t="array" aca="1" ref="H30" ca="1">IFERROR(IF(OR(INDEX(checklistPesertaKemenkeu!$L$6:$L$1005,SMALL(IF(checklistPesertaKemenkeu!$AY$6:$AY$1005="Direkomendasikan",ROW($6:$1005)-5),29))="",INDEX(checklistPesertaKemenkeu!$J$6:$J$1005,SMALL(IF(checklistPesertaKemenkeu!$AY$6:$AY$1005="Direkomendasikan",ROW($6:$1005)-5),29))=""),"",IF(AND(COUNTIF(INDIRECT("K_"&amp;MATCH(INDEX(checklistPesertaKemenkeu!$J$6:$J$1005,SMALL(IF(checklistPesertaKemenkeu!$AY$6:$AY$1005="Direkomendasikan",ROW($6:$1005)-5),29)),BidangList,0)),INDEX(checklistPesertaKemenkeu!$L$6:$L$1005,SMALL(IF(checklistPesertaKemenkeu!$AY$6:$AY$1005="Direkomendasikan",ROW($6:$1005)-5),29)))&gt;0,COUNTIF(INDIRECT("'KERTAS KERJA'!K"&amp;(SMALL(IF(checklistPesertaKemenkeu!$AY$6:$AY$1005="Direkomendasikan",ROW($6:$1005)-5),29)+5)&amp;":O"&amp;(SMALL(IF(checklistPesertaKemenkeu!$AY$6:$AY$1005="Direkomendasikan",ROW($6:$1005)-5),29)+5)),INDEX(checklistPesertaKemenkeu!$L$6:$L$1005,SMALL(IF(checklistPesertaKemenkeu!$AY$6:$AY$1005="Direkomendasikan",ROW($6:$1005)-5),29)))=1),IFERROR(VLOOKUP(INDEX(checklistPesertaKemenkeu!$L$6:$L$1005,SMALL(IF(checklistPesertaKemenkeu!$AY$6:$AY$1005="Direkomendasikan",ROW($6:$1005)-5),29)),KotaKode,2,0),"-"),"")),"")</f>
        <v/>
      </c>
      <c r="I30" t="str">
        <f t="array" aca="1" ref="I30" ca="1">IFERROR(IF(OR(INDEX(checklistPesertaKemenkeu!$M$6:$M$1005,SMALL(IF(checklistPesertaKemenkeu!$AY$6:$AY$1005="Direkomendasikan",ROW($6:$1005)-5),29))="",INDEX(checklistPesertaKemenkeu!$J$6:$J$1005,SMALL(IF(checklistPesertaKemenkeu!$AY$6:$AY$1005="Direkomendasikan",ROW($6:$1005)-5),29))=""),"",IF(AND(COUNTIF(INDIRECT("K_"&amp;MATCH(INDEX(checklistPesertaKemenkeu!$J$6:$J$1005,SMALL(IF(checklistPesertaKemenkeu!$AY$6:$AY$1005="Direkomendasikan",ROW($6:$1005)-5),29)),BidangList,0)),INDEX(checklistPesertaKemenkeu!$M$6:$M$1005,SMALL(IF(checklistPesertaKemenkeu!$AY$6:$AY$1005="Direkomendasikan",ROW($6:$1005)-5),29)))&gt;0,COUNTIF(INDIRECT("'KERTAS KERJA'!K"&amp;(SMALL(IF(checklistPesertaKemenkeu!$AY$6:$AY$1005="Direkomendasikan",ROW($6:$1005)-5),29)+5)&amp;":O"&amp;(SMALL(IF(checklistPesertaKemenkeu!$AY$6:$AY$1005="Direkomendasikan",ROW($6:$1005)-5),29)+5)),INDEX(checklistPesertaKemenkeu!$M$6:$M$1005,SMALL(IF(checklistPesertaKemenkeu!$AY$6:$AY$1005="Direkomendasikan",ROW($6:$1005)-5),29)))=1),IFERROR(VLOOKUP(INDEX(checklistPesertaKemenkeu!$M$6:$M$1005,SMALL(IF(checklistPesertaKemenkeu!$AY$6:$AY$1005="Direkomendasikan",ROW($6:$1005)-5),29)),KotaKode,2,0),"-"),"")),"")</f>
        <v/>
      </c>
      <c r="J30" t="str">
        <f t="array" aca="1" ref="J30" ca="1">IFERROR(IF(OR(INDEX(checklistPesertaKemenkeu!$N$6:$N$1005,SMALL(IF(checklistPesertaKemenkeu!$AY$6:$AY$1005="Direkomendasikan",ROW($6:$1005)-5),29))="",INDEX(checklistPesertaKemenkeu!$J$6:$J$1005,SMALL(IF(checklistPesertaKemenkeu!$AY$6:$AY$1005="Direkomendasikan",ROW($6:$1005)-5),29))=""),"",IF(AND(COUNTIF(INDIRECT("K_"&amp;MATCH(INDEX(checklistPesertaKemenkeu!$J$6:$J$1005,SMALL(IF(checklistPesertaKemenkeu!$AY$6:$AY$1005="Direkomendasikan",ROW($6:$1005)-5),29)),BidangList,0)),INDEX(checklistPesertaKemenkeu!$N$6:$N$1005,SMALL(IF(checklistPesertaKemenkeu!$AY$6:$AY$1005="Direkomendasikan",ROW($6:$1005)-5),29)))&gt;0,COUNTIF(INDIRECT("'KERTAS KERJA'!K"&amp;(SMALL(IF(checklistPesertaKemenkeu!$AY$6:$AY$1005="Direkomendasikan",ROW($6:$1005)-5),29)+5)&amp;":O"&amp;(SMALL(IF(checklistPesertaKemenkeu!$AY$6:$AY$1005="Direkomendasikan",ROW($6:$1005)-5),29)+5)),INDEX(checklistPesertaKemenkeu!$N$6:$N$1005,SMALL(IF(checklistPesertaKemenkeu!$AY$6:$AY$1005="Direkomendasikan",ROW($6:$1005)-5),29)))=1),IFERROR(VLOOKUP(INDEX(checklistPesertaKemenkeu!$N$6:$N$1005,SMALL(IF(checklistPesertaKemenkeu!$AY$6:$AY$1005="Direkomendasikan",ROW($6:$1005)-5),29)),KotaKode,2,0),"-"),"")),"")</f>
        <v/>
      </c>
      <c r="K30" t="str">
        <f t="array" aca="1" ref="K30" ca="1">IFERROR(IF(OR(INDEX(checklistPesertaKemenkeu!$O$6:$O$1005,SMALL(IF(checklistPesertaKemenkeu!$AY$6:$AY$1005="Direkomendasikan",ROW($6:$1005)-5),29))="",INDEX(checklistPesertaKemenkeu!$J$6:$J$1005,SMALL(IF(checklistPesertaKemenkeu!$AY$6:$AY$1005="Direkomendasikan",ROW($6:$1005)-5),29))=""),"",IF(AND(COUNTIF(INDIRECT("K_"&amp;MATCH(INDEX(checklistPesertaKemenkeu!$J$6:$J$1005,SMALL(IF(checklistPesertaKemenkeu!$AY$6:$AY$1005="Direkomendasikan",ROW($6:$1005)-5),29)),BidangList,0)),INDEX(checklistPesertaKemenkeu!$O$6:$O$1005,SMALL(IF(checklistPesertaKemenkeu!$AY$6:$AY$1005="Direkomendasikan",ROW($6:$1005)-5),29)))&gt;0,COUNTIF(INDIRECT("'KERTAS KERJA'!K"&amp;(SMALL(IF(checklistPesertaKemenkeu!$AY$6:$AY$1005="Direkomendasikan",ROW($6:$1005)-5),29)+5)&amp;":O"&amp;(SMALL(IF(checklistPesertaKemenkeu!$AY$6:$AY$1005="Direkomendasikan",ROW($6:$1005)-5),29)+5)),INDEX(checklistPesertaKemenkeu!$O$6:$O$1005,SMALL(IF(checklistPesertaKemenkeu!$AY$6:$AY$1005="Direkomendasikan",ROW($6:$1005)-5),29)))=1),IFERROR(VLOOKUP(INDEX(checklistPesertaKemenkeu!$O$6:$O$1005,SMALL(IF(checklistPesertaKemenkeu!$AY$6:$AY$1005="Direkomendasikan",ROW($6:$1005)-5),29)),KotaKode,2,0),"-"),"")),"")</f>
        <v/>
      </c>
      <c r="L30" t="str">
        <f t="array" aca="1" ref="L30" ca="1">IFERROR(IF(OR(INDEX(checklistPesertaKemenkeu!$P$6:$P$1005,SMALL(IF(checklistPesertaKemenkeu!$AY$6:$AY$1005="Direkomendasikan",ROW($6:$1005)-5),29))="",INDEX(checklistPesertaKemenkeu!$J$6:$J$1005,SMALL(IF(checklistPesertaKemenkeu!$AY$6:$AY$1005="Direkomendasikan",ROW($6:$1005)-5),29))=""),"",IF(AND(COUNTIF(INDIRECT("K_"&amp;MATCH(INDEX(checklistPesertaKemenkeu!$J$6:$J$1005,SMALL(IF(checklistPesertaKemenkeu!$AY$6:$AY$1005="Direkomendasikan",ROW($6:$1005)-5),29)),BidangList,0)),INDEX(checklistPesertaKemenkeu!$P$6:$P$1005,SMALL(IF(checklistPesertaKemenkeu!$AY$6:$AY$1005="Direkomendasikan",ROW($6:$1005)-5),29)))&gt;0,COUNTIF(INDIRECT("'KERTAS KERJA'!K"&amp;(SMALL(IF(checklistPesertaKemenkeu!$AY$6:$AY$1005="Direkomendasikan",ROW($6:$1005)-5),29)+5)&amp;":O"&amp;(SMALL(IF(checklistPesertaKemenkeu!$AY$6:$AY$1005="Direkomendasikan",ROW($6:$1005)-5),29)+5)),INDEX(checklistPesertaKemenkeu!$P$6:$P$1005,SMALL(IF(checklistPesertaKemenkeu!$AY$6:$AY$1005="Direkomendasikan",ROW($6:$1005)-5),29)))=1),IFERROR(VLOOKUP(INDEX(checklistPesertaKemenkeu!$P$6:$P$1005,SMALL(IF(checklistPesertaKemenkeu!$AY$6:$AY$1005="Direkomendasikan",ROW($6:$1005)-5),29)),KotaKode,2,0),"-"),"")),"")</f>
        <v/>
      </c>
    </row>
    <row r="31" spans="1:12" ht="15" customHeight="1" x14ac:dyDescent="0.2">
      <c r="A31" t="str">
        <f t="shared" si="0"/>
        <v/>
      </c>
      <c r="B31" t="str">
        <v/>
      </c>
      <c r="C31" s="40" t="str">
        <f t="array" ref="C31">IFERROR(INDEX(checklistPesertaKemenkeu!$F$6:$F$1005,SMALL(IF(checklistPesertaKemenkeu!$AY$6:$AY$1005="Direkomendasikan",ROW($6:$1005)-5),30)),"")</f>
        <v/>
      </c>
      <c r="D31" t="str">
        <f t="array" ref="D31">IFERROR(INDEX(checklistPesertaKemenkeu!$G$6:$G$1005,SMALL(IF(checklistPesertaKemenkeu!$AY$6:$AY$1005="Direkomendasikan",ROW($6:$1005)-5),30)),"")</f>
        <v/>
      </c>
      <c r="E31" t="str">
        <f t="array" ref="E31">IFERROR(INDEX(checklistPesertaKemenkeu!$H$6:$H$1005,SMALL(IF(checklistPesertaKemenkeu!$AY$6:$AY$1005="Direkomendasikan",ROW($6:$1005)-5),30)),"")</f>
        <v/>
      </c>
      <c r="F31" t="str">
        <f t="array" ref="F31">IFERROR(INDEX(checklistPesertaKemenkeu!$I$6:$I$1005,SMALL(IF(checklistPesertaKemenkeu!$AY$6:$AY$1005="Direkomendasikan",ROW($6:$1005)-5),30)),"")</f>
        <v/>
      </c>
      <c r="G31" t="str">
        <f t="array" ref="G31">IFERROR(INDEX(checklistPesertaKemenkeu!$J$6:$J$1005,SMALL(IF(checklistPesertaKemenkeu!$AY$6:$AY$1005="Direkomendasikan",ROW($6:$1005)-5),30)),"")</f>
        <v/>
      </c>
      <c r="H31" t="str">
        <f t="array" aca="1" ref="H31" ca="1">IFERROR(IF(OR(INDEX(checklistPesertaKemenkeu!$L$6:$L$1005,SMALL(IF(checklistPesertaKemenkeu!$AY$6:$AY$1005="Direkomendasikan",ROW($6:$1005)-5),30))="",INDEX(checklistPesertaKemenkeu!$J$6:$J$1005,SMALL(IF(checklistPesertaKemenkeu!$AY$6:$AY$1005="Direkomendasikan",ROW($6:$1005)-5),30))=""),"",IF(AND(COUNTIF(INDIRECT("K_"&amp;MATCH(INDEX(checklistPesertaKemenkeu!$J$6:$J$1005,SMALL(IF(checklistPesertaKemenkeu!$AY$6:$AY$1005="Direkomendasikan",ROW($6:$1005)-5),30)),BidangList,0)),INDEX(checklistPesertaKemenkeu!$L$6:$L$1005,SMALL(IF(checklistPesertaKemenkeu!$AY$6:$AY$1005="Direkomendasikan",ROW($6:$1005)-5),30)))&gt;0,COUNTIF(INDIRECT("'KERTAS KERJA'!K"&amp;(SMALL(IF(checklistPesertaKemenkeu!$AY$6:$AY$1005="Direkomendasikan",ROW($6:$1005)-5),30)+5)&amp;":O"&amp;(SMALL(IF(checklistPesertaKemenkeu!$AY$6:$AY$1005="Direkomendasikan",ROW($6:$1005)-5),30)+5)),INDEX(checklistPesertaKemenkeu!$L$6:$L$1005,SMALL(IF(checklistPesertaKemenkeu!$AY$6:$AY$1005="Direkomendasikan",ROW($6:$1005)-5),30)))=1),IFERROR(VLOOKUP(INDEX(checklistPesertaKemenkeu!$L$6:$L$1005,SMALL(IF(checklistPesertaKemenkeu!$AY$6:$AY$1005="Direkomendasikan",ROW($6:$1005)-5),30)),KotaKode,2,0),"-"),"")),"")</f>
        <v/>
      </c>
      <c r="I31" t="str">
        <f t="array" aca="1" ref="I31" ca="1">IFERROR(IF(OR(INDEX(checklistPesertaKemenkeu!$M$6:$M$1005,SMALL(IF(checklistPesertaKemenkeu!$AY$6:$AY$1005="Direkomendasikan",ROW($6:$1005)-5),30))="",INDEX(checklistPesertaKemenkeu!$J$6:$J$1005,SMALL(IF(checklistPesertaKemenkeu!$AY$6:$AY$1005="Direkomendasikan",ROW($6:$1005)-5),30))=""),"",IF(AND(COUNTIF(INDIRECT("K_"&amp;MATCH(INDEX(checklistPesertaKemenkeu!$J$6:$J$1005,SMALL(IF(checklistPesertaKemenkeu!$AY$6:$AY$1005="Direkomendasikan",ROW($6:$1005)-5),30)),BidangList,0)),INDEX(checklistPesertaKemenkeu!$M$6:$M$1005,SMALL(IF(checklistPesertaKemenkeu!$AY$6:$AY$1005="Direkomendasikan",ROW($6:$1005)-5),30)))&gt;0,COUNTIF(INDIRECT("'KERTAS KERJA'!K"&amp;(SMALL(IF(checklistPesertaKemenkeu!$AY$6:$AY$1005="Direkomendasikan",ROW($6:$1005)-5),30)+5)&amp;":O"&amp;(SMALL(IF(checklistPesertaKemenkeu!$AY$6:$AY$1005="Direkomendasikan",ROW($6:$1005)-5),30)+5)),INDEX(checklistPesertaKemenkeu!$M$6:$M$1005,SMALL(IF(checklistPesertaKemenkeu!$AY$6:$AY$1005="Direkomendasikan",ROW($6:$1005)-5),30)))=1),IFERROR(VLOOKUP(INDEX(checklistPesertaKemenkeu!$M$6:$M$1005,SMALL(IF(checklistPesertaKemenkeu!$AY$6:$AY$1005="Direkomendasikan",ROW($6:$1005)-5),30)),KotaKode,2,0),"-"),"")),"")</f>
        <v/>
      </c>
      <c r="J31" t="str">
        <f t="array" aca="1" ref="J31" ca="1">IFERROR(IF(OR(INDEX(checklistPesertaKemenkeu!$N$6:$N$1005,SMALL(IF(checklistPesertaKemenkeu!$AY$6:$AY$1005="Direkomendasikan",ROW($6:$1005)-5),30))="",INDEX(checklistPesertaKemenkeu!$J$6:$J$1005,SMALL(IF(checklistPesertaKemenkeu!$AY$6:$AY$1005="Direkomendasikan",ROW($6:$1005)-5),30))=""),"",IF(AND(COUNTIF(INDIRECT("K_"&amp;MATCH(INDEX(checklistPesertaKemenkeu!$J$6:$J$1005,SMALL(IF(checklistPesertaKemenkeu!$AY$6:$AY$1005="Direkomendasikan",ROW($6:$1005)-5),30)),BidangList,0)),INDEX(checklistPesertaKemenkeu!$N$6:$N$1005,SMALL(IF(checklistPesertaKemenkeu!$AY$6:$AY$1005="Direkomendasikan",ROW($6:$1005)-5),30)))&gt;0,COUNTIF(INDIRECT("'KERTAS KERJA'!K"&amp;(SMALL(IF(checklistPesertaKemenkeu!$AY$6:$AY$1005="Direkomendasikan",ROW($6:$1005)-5),30)+5)&amp;":O"&amp;(SMALL(IF(checklistPesertaKemenkeu!$AY$6:$AY$1005="Direkomendasikan",ROW($6:$1005)-5),30)+5)),INDEX(checklistPesertaKemenkeu!$N$6:$N$1005,SMALL(IF(checklistPesertaKemenkeu!$AY$6:$AY$1005="Direkomendasikan",ROW($6:$1005)-5),30)))=1),IFERROR(VLOOKUP(INDEX(checklistPesertaKemenkeu!$N$6:$N$1005,SMALL(IF(checklistPesertaKemenkeu!$AY$6:$AY$1005="Direkomendasikan",ROW($6:$1005)-5),30)),KotaKode,2,0),"-"),"")),"")</f>
        <v/>
      </c>
      <c r="K31" t="str">
        <f t="array" aca="1" ref="K31" ca="1">IFERROR(IF(OR(INDEX(checklistPesertaKemenkeu!$O$6:$O$1005,SMALL(IF(checklistPesertaKemenkeu!$AY$6:$AY$1005="Direkomendasikan",ROW($6:$1005)-5),30))="",INDEX(checklistPesertaKemenkeu!$J$6:$J$1005,SMALL(IF(checklistPesertaKemenkeu!$AY$6:$AY$1005="Direkomendasikan",ROW($6:$1005)-5),30))=""),"",IF(AND(COUNTIF(INDIRECT("K_"&amp;MATCH(INDEX(checklistPesertaKemenkeu!$J$6:$J$1005,SMALL(IF(checklistPesertaKemenkeu!$AY$6:$AY$1005="Direkomendasikan",ROW($6:$1005)-5),30)),BidangList,0)),INDEX(checklistPesertaKemenkeu!$O$6:$O$1005,SMALL(IF(checklistPesertaKemenkeu!$AY$6:$AY$1005="Direkomendasikan",ROW($6:$1005)-5),30)))&gt;0,COUNTIF(INDIRECT("'KERTAS KERJA'!K"&amp;(SMALL(IF(checklistPesertaKemenkeu!$AY$6:$AY$1005="Direkomendasikan",ROW($6:$1005)-5),30)+5)&amp;":O"&amp;(SMALL(IF(checklistPesertaKemenkeu!$AY$6:$AY$1005="Direkomendasikan",ROW($6:$1005)-5),30)+5)),INDEX(checklistPesertaKemenkeu!$O$6:$O$1005,SMALL(IF(checklistPesertaKemenkeu!$AY$6:$AY$1005="Direkomendasikan",ROW($6:$1005)-5),30)))=1),IFERROR(VLOOKUP(INDEX(checklistPesertaKemenkeu!$O$6:$O$1005,SMALL(IF(checklistPesertaKemenkeu!$AY$6:$AY$1005="Direkomendasikan",ROW($6:$1005)-5),30)),KotaKode,2,0),"-"),"")),"")</f>
        <v/>
      </c>
      <c r="L31" t="str">
        <f t="array" aca="1" ref="L31" ca="1">IFERROR(IF(OR(INDEX(checklistPesertaKemenkeu!$P$6:$P$1005,SMALL(IF(checklistPesertaKemenkeu!$AY$6:$AY$1005="Direkomendasikan",ROW($6:$1005)-5),30))="",INDEX(checklistPesertaKemenkeu!$J$6:$J$1005,SMALL(IF(checklistPesertaKemenkeu!$AY$6:$AY$1005="Direkomendasikan",ROW($6:$1005)-5),30))=""),"",IF(AND(COUNTIF(INDIRECT("K_"&amp;MATCH(INDEX(checklistPesertaKemenkeu!$J$6:$J$1005,SMALL(IF(checklistPesertaKemenkeu!$AY$6:$AY$1005="Direkomendasikan",ROW($6:$1005)-5),30)),BidangList,0)),INDEX(checklistPesertaKemenkeu!$P$6:$P$1005,SMALL(IF(checklistPesertaKemenkeu!$AY$6:$AY$1005="Direkomendasikan",ROW($6:$1005)-5),30)))&gt;0,COUNTIF(INDIRECT("'KERTAS KERJA'!K"&amp;(SMALL(IF(checklistPesertaKemenkeu!$AY$6:$AY$1005="Direkomendasikan",ROW($6:$1005)-5),30)+5)&amp;":O"&amp;(SMALL(IF(checklistPesertaKemenkeu!$AY$6:$AY$1005="Direkomendasikan",ROW($6:$1005)-5),30)+5)),INDEX(checklistPesertaKemenkeu!$P$6:$P$1005,SMALL(IF(checklistPesertaKemenkeu!$AY$6:$AY$1005="Direkomendasikan",ROW($6:$1005)-5),30)))=1),IFERROR(VLOOKUP(INDEX(checklistPesertaKemenkeu!$P$6:$P$1005,SMALL(IF(checklistPesertaKemenkeu!$AY$6:$AY$1005="Direkomendasikan",ROW($6:$1005)-5),30)),KotaKode,2,0),"-"),"")),"")</f>
        <v/>
      </c>
    </row>
    <row r="32" spans="1:12" ht="15" customHeight="1" x14ac:dyDescent="0.2">
      <c r="A32" t="str">
        <f t="shared" si="0"/>
        <v/>
      </c>
      <c r="B32" t="str">
        <v/>
      </c>
      <c r="C32" s="40" t="str">
        <f t="array" ref="C32">IFERROR(INDEX(checklistPesertaKemenkeu!$F$6:$F$1005,SMALL(IF(checklistPesertaKemenkeu!$AY$6:$AY$1005="Direkomendasikan",ROW($6:$1005)-5),31)),"")</f>
        <v/>
      </c>
      <c r="D32" t="str">
        <f t="array" ref="D32">IFERROR(INDEX(checklistPesertaKemenkeu!$G$6:$G$1005,SMALL(IF(checklistPesertaKemenkeu!$AY$6:$AY$1005="Direkomendasikan",ROW($6:$1005)-5),31)),"")</f>
        <v/>
      </c>
      <c r="E32" t="str">
        <f t="array" ref="E32">IFERROR(INDEX(checklistPesertaKemenkeu!$H$6:$H$1005,SMALL(IF(checklistPesertaKemenkeu!$AY$6:$AY$1005="Direkomendasikan",ROW($6:$1005)-5),31)),"")</f>
        <v/>
      </c>
      <c r="F32" t="str">
        <f t="array" ref="F32">IFERROR(INDEX(checklistPesertaKemenkeu!$I$6:$I$1005,SMALL(IF(checklistPesertaKemenkeu!$AY$6:$AY$1005="Direkomendasikan",ROW($6:$1005)-5),31)),"")</f>
        <v/>
      </c>
      <c r="G32" t="str">
        <f t="array" ref="G32">IFERROR(INDEX(checklistPesertaKemenkeu!$J$6:$J$1005,SMALL(IF(checklistPesertaKemenkeu!$AY$6:$AY$1005="Direkomendasikan",ROW($6:$1005)-5),31)),"")</f>
        <v/>
      </c>
      <c r="H32" t="str">
        <f t="array" aca="1" ref="H32" ca="1">IFERROR(IF(OR(INDEX(checklistPesertaKemenkeu!$L$6:$L$1005,SMALL(IF(checklistPesertaKemenkeu!$AY$6:$AY$1005="Direkomendasikan",ROW($6:$1005)-5),31))="",INDEX(checklistPesertaKemenkeu!$J$6:$J$1005,SMALL(IF(checklistPesertaKemenkeu!$AY$6:$AY$1005="Direkomendasikan",ROW($6:$1005)-5),31))=""),"",IF(AND(COUNTIF(INDIRECT("K_"&amp;MATCH(INDEX(checklistPesertaKemenkeu!$J$6:$J$1005,SMALL(IF(checklistPesertaKemenkeu!$AY$6:$AY$1005="Direkomendasikan",ROW($6:$1005)-5),31)),BidangList,0)),INDEX(checklistPesertaKemenkeu!$L$6:$L$1005,SMALL(IF(checklistPesertaKemenkeu!$AY$6:$AY$1005="Direkomendasikan",ROW($6:$1005)-5),31)))&gt;0,COUNTIF(INDIRECT("'KERTAS KERJA'!K"&amp;(SMALL(IF(checklistPesertaKemenkeu!$AY$6:$AY$1005="Direkomendasikan",ROW($6:$1005)-5),31)+5)&amp;":O"&amp;(SMALL(IF(checklistPesertaKemenkeu!$AY$6:$AY$1005="Direkomendasikan",ROW($6:$1005)-5),31)+5)),INDEX(checklistPesertaKemenkeu!$L$6:$L$1005,SMALL(IF(checklistPesertaKemenkeu!$AY$6:$AY$1005="Direkomendasikan",ROW($6:$1005)-5),31)))=1),IFERROR(VLOOKUP(INDEX(checklistPesertaKemenkeu!$L$6:$L$1005,SMALL(IF(checklistPesertaKemenkeu!$AY$6:$AY$1005="Direkomendasikan",ROW($6:$1005)-5),31)),KotaKode,2,0),"-"),"")),"")</f>
        <v/>
      </c>
      <c r="I32" t="str">
        <f t="array" aca="1" ref="I32" ca="1">IFERROR(IF(OR(INDEX(checklistPesertaKemenkeu!$M$6:$M$1005,SMALL(IF(checklistPesertaKemenkeu!$AY$6:$AY$1005="Direkomendasikan",ROW($6:$1005)-5),31))="",INDEX(checklistPesertaKemenkeu!$J$6:$J$1005,SMALL(IF(checklistPesertaKemenkeu!$AY$6:$AY$1005="Direkomendasikan",ROW($6:$1005)-5),31))=""),"",IF(AND(COUNTIF(INDIRECT("K_"&amp;MATCH(INDEX(checklistPesertaKemenkeu!$J$6:$J$1005,SMALL(IF(checklistPesertaKemenkeu!$AY$6:$AY$1005="Direkomendasikan",ROW($6:$1005)-5),31)),BidangList,0)),INDEX(checklistPesertaKemenkeu!$M$6:$M$1005,SMALL(IF(checklistPesertaKemenkeu!$AY$6:$AY$1005="Direkomendasikan",ROW($6:$1005)-5),31)))&gt;0,COUNTIF(INDIRECT("'KERTAS KERJA'!K"&amp;(SMALL(IF(checklistPesertaKemenkeu!$AY$6:$AY$1005="Direkomendasikan",ROW($6:$1005)-5),31)+5)&amp;":O"&amp;(SMALL(IF(checklistPesertaKemenkeu!$AY$6:$AY$1005="Direkomendasikan",ROW($6:$1005)-5),31)+5)),INDEX(checklistPesertaKemenkeu!$M$6:$M$1005,SMALL(IF(checklistPesertaKemenkeu!$AY$6:$AY$1005="Direkomendasikan",ROW($6:$1005)-5),31)))=1),IFERROR(VLOOKUP(INDEX(checklistPesertaKemenkeu!$M$6:$M$1005,SMALL(IF(checklistPesertaKemenkeu!$AY$6:$AY$1005="Direkomendasikan",ROW($6:$1005)-5),31)),KotaKode,2,0),"-"),"")),"")</f>
        <v/>
      </c>
      <c r="J32" t="str">
        <f t="array" aca="1" ref="J32" ca="1">IFERROR(IF(OR(INDEX(checklistPesertaKemenkeu!$N$6:$N$1005,SMALL(IF(checklistPesertaKemenkeu!$AY$6:$AY$1005="Direkomendasikan",ROW($6:$1005)-5),31))="",INDEX(checklistPesertaKemenkeu!$J$6:$J$1005,SMALL(IF(checklistPesertaKemenkeu!$AY$6:$AY$1005="Direkomendasikan",ROW($6:$1005)-5),31))=""),"",IF(AND(COUNTIF(INDIRECT("K_"&amp;MATCH(INDEX(checklistPesertaKemenkeu!$J$6:$J$1005,SMALL(IF(checklistPesertaKemenkeu!$AY$6:$AY$1005="Direkomendasikan",ROW($6:$1005)-5),31)),BidangList,0)),INDEX(checklistPesertaKemenkeu!$N$6:$N$1005,SMALL(IF(checklistPesertaKemenkeu!$AY$6:$AY$1005="Direkomendasikan",ROW($6:$1005)-5),31)))&gt;0,COUNTIF(INDIRECT("'KERTAS KERJA'!K"&amp;(SMALL(IF(checklistPesertaKemenkeu!$AY$6:$AY$1005="Direkomendasikan",ROW($6:$1005)-5),31)+5)&amp;":O"&amp;(SMALL(IF(checklistPesertaKemenkeu!$AY$6:$AY$1005="Direkomendasikan",ROW($6:$1005)-5),31)+5)),INDEX(checklistPesertaKemenkeu!$N$6:$N$1005,SMALL(IF(checklistPesertaKemenkeu!$AY$6:$AY$1005="Direkomendasikan",ROW($6:$1005)-5),31)))=1),IFERROR(VLOOKUP(INDEX(checklistPesertaKemenkeu!$N$6:$N$1005,SMALL(IF(checklistPesertaKemenkeu!$AY$6:$AY$1005="Direkomendasikan",ROW($6:$1005)-5),31)),KotaKode,2,0),"-"),"")),"")</f>
        <v/>
      </c>
      <c r="K32" t="str">
        <f t="array" aca="1" ref="K32" ca="1">IFERROR(IF(OR(INDEX(checklistPesertaKemenkeu!$O$6:$O$1005,SMALL(IF(checklistPesertaKemenkeu!$AY$6:$AY$1005="Direkomendasikan",ROW($6:$1005)-5),31))="",INDEX(checklistPesertaKemenkeu!$J$6:$J$1005,SMALL(IF(checklistPesertaKemenkeu!$AY$6:$AY$1005="Direkomendasikan",ROW($6:$1005)-5),31))=""),"",IF(AND(COUNTIF(INDIRECT("K_"&amp;MATCH(INDEX(checklistPesertaKemenkeu!$J$6:$J$1005,SMALL(IF(checklistPesertaKemenkeu!$AY$6:$AY$1005="Direkomendasikan",ROW($6:$1005)-5),31)),BidangList,0)),INDEX(checklistPesertaKemenkeu!$O$6:$O$1005,SMALL(IF(checklistPesertaKemenkeu!$AY$6:$AY$1005="Direkomendasikan",ROW($6:$1005)-5),31)))&gt;0,COUNTIF(INDIRECT("'KERTAS KERJA'!K"&amp;(SMALL(IF(checklistPesertaKemenkeu!$AY$6:$AY$1005="Direkomendasikan",ROW($6:$1005)-5),31)+5)&amp;":O"&amp;(SMALL(IF(checklistPesertaKemenkeu!$AY$6:$AY$1005="Direkomendasikan",ROW($6:$1005)-5),31)+5)),INDEX(checklistPesertaKemenkeu!$O$6:$O$1005,SMALL(IF(checklistPesertaKemenkeu!$AY$6:$AY$1005="Direkomendasikan",ROW($6:$1005)-5),31)))=1),IFERROR(VLOOKUP(INDEX(checklistPesertaKemenkeu!$O$6:$O$1005,SMALL(IF(checklistPesertaKemenkeu!$AY$6:$AY$1005="Direkomendasikan",ROW($6:$1005)-5),31)),KotaKode,2,0),"-"),"")),"")</f>
        <v/>
      </c>
      <c r="L32" t="str">
        <f t="array" aca="1" ref="L32" ca="1">IFERROR(IF(OR(INDEX(checklistPesertaKemenkeu!$P$6:$P$1005,SMALL(IF(checklistPesertaKemenkeu!$AY$6:$AY$1005="Direkomendasikan",ROW($6:$1005)-5),31))="",INDEX(checklistPesertaKemenkeu!$J$6:$J$1005,SMALL(IF(checklistPesertaKemenkeu!$AY$6:$AY$1005="Direkomendasikan",ROW($6:$1005)-5),31))=""),"",IF(AND(COUNTIF(INDIRECT("K_"&amp;MATCH(INDEX(checklistPesertaKemenkeu!$J$6:$J$1005,SMALL(IF(checklistPesertaKemenkeu!$AY$6:$AY$1005="Direkomendasikan",ROW($6:$1005)-5),31)),BidangList,0)),INDEX(checklistPesertaKemenkeu!$P$6:$P$1005,SMALL(IF(checklistPesertaKemenkeu!$AY$6:$AY$1005="Direkomendasikan",ROW($6:$1005)-5),31)))&gt;0,COUNTIF(INDIRECT("'KERTAS KERJA'!K"&amp;(SMALL(IF(checklistPesertaKemenkeu!$AY$6:$AY$1005="Direkomendasikan",ROW($6:$1005)-5),31)+5)&amp;":O"&amp;(SMALL(IF(checklistPesertaKemenkeu!$AY$6:$AY$1005="Direkomendasikan",ROW($6:$1005)-5),31)+5)),INDEX(checklistPesertaKemenkeu!$P$6:$P$1005,SMALL(IF(checklistPesertaKemenkeu!$AY$6:$AY$1005="Direkomendasikan",ROW($6:$1005)-5),31)))=1),IFERROR(VLOOKUP(INDEX(checklistPesertaKemenkeu!$P$6:$P$1005,SMALL(IF(checklistPesertaKemenkeu!$AY$6:$AY$1005="Direkomendasikan",ROW($6:$1005)-5),31)),KotaKode,2,0),"-"),"")),"")</f>
        <v/>
      </c>
    </row>
    <row r="33" spans="1:12" ht="15" customHeight="1" x14ac:dyDescent="0.2">
      <c r="A33" t="str">
        <f t="shared" si="0"/>
        <v/>
      </c>
      <c r="B33" t="str">
        <v/>
      </c>
      <c r="C33" s="40" t="str">
        <f t="array" ref="C33">IFERROR(INDEX(checklistPesertaKemenkeu!$F$6:$F$1005,SMALL(IF(checklistPesertaKemenkeu!$AY$6:$AY$1005="Direkomendasikan",ROW($6:$1005)-5),32)),"")</f>
        <v/>
      </c>
      <c r="D33" t="str">
        <f t="array" ref="D33">IFERROR(INDEX(checklistPesertaKemenkeu!$G$6:$G$1005,SMALL(IF(checklistPesertaKemenkeu!$AY$6:$AY$1005="Direkomendasikan",ROW($6:$1005)-5),32)),"")</f>
        <v/>
      </c>
      <c r="E33" t="str">
        <f t="array" ref="E33">IFERROR(INDEX(checklistPesertaKemenkeu!$H$6:$H$1005,SMALL(IF(checklistPesertaKemenkeu!$AY$6:$AY$1005="Direkomendasikan",ROW($6:$1005)-5),32)),"")</f>
        <v/>
      </c>
      <c r="F33" t="str">
        <f t="array" ref="F33">IFERROR(INDEX(checklistPesertaKemenkeu!$I$6:$I$1005,SMALL(IF(checklistPesertaKemenkeu!$AY$6:$AY$1005="Direkomendasikan",ROW($6:$1005)-5),32)),"")</f>
        <v/>
      </c>
      <c r="G33" t="str">
        <f t="array" ref="G33">IFERROR(INDEX(checklistPesertaKemenkeu!$J$6:$J$1005,SMALL(IF(checklistPesertaKemenkeu!$AY$6:$AY$1005="Direkomendasikan",ROW($6:$1005)-5),32)),"")</f>
        <v/>
      </c>
      <c r="H33" t="str">
        <f t="array" aca="1" ref="H33" ca="1">IFERROR(IF(OR(INDEX(checklistPesertaKemenkeu!$L$6:$L$1005,SMALL(IF(checklistPesertaKemenkeu!$AY$6:$AY$1005="Direkomendasikan",ROW($6:$1005)-5),32))="",INDEX(checklistPesertaKemenkeu!$J$6:$J$1005,SMALL(IF(checklistPesertaKemenkeu!$AY$6:$AY$1005="Direkomendasikan",ROW($6:$1005)-5),32))=""),"",IF(AND(COUNTIF(INDIRECT("K_"&amp;MATCH(INDEX(checklistPesertaKemenkeu!$J$6:$J$1005,SMALL(IF(checklistPesertaKemenkeu!$AY$6:$AY$1005="Direkomendasikan",ROW($6:$1005)-5),32)),BidangList,0)),INDEX(checklistPesertaKemenkeu!$L$6:$L$1005,SMALL(IF(checklistPesertaKemenkeu!$AY$6:$AY$1005="Direkomendasikan",ROW($6:$1005)-5),32)))&gt;0,COUNTIF(INDIRECT("'KERTAS KERJA'!K"&amp;(SMALL(IF(checklistPesertaKemenkeu!$AY$6:$AY$1005="Direkomendasikan",ROW($6:$1005)-5),32)+5)&amp;":O"&amp;(SMALL(IF(checklistPesertaKemenkeu!$AY$6:$AY$1005="Direkomendasikan",ROW($6:$1005)-5),32)+5)),INDEX(checklistPesertaKemenkeu!$L$6:$L$1005,SMALL(IF(checklistPesertaKemenkeu!$AY$6:$AY$1005="Direkomendasikan",ROW($6:$1005)-5),32)))=1),IFERROR(VLOOKUP(INDEX(checklistPesertaKemenkeu!$L$6:$L$1005,SMALL(IF(checklistPesertaKemenkeu!$AY$6:$AY$1005="Direkomendasikan",ROW($6:$1005)-5),32)),KotaKode,2,0),"-"),"")),"")</f>
        <v/>
      </c>
      <c r="I33" t="str">
        <f t="array" aca="1" ref="I33" ca="1">IFERROR(IF(OR(INDEX(checklistPesertaKemenkeu!$M$6:$M$1005,SMALL(IF(checklistPesertaKemenkeu!$AY$6:$AY$1005="Direkomendasikan",ROW($6:$1005)-5),32))="",INDEX(checklistPesertaKemenkeu!$J$6:$J$1005,SMALL(IF(checklistPesertaKemenkeu!$AY$6:$AY$1005="Direkomendasikan",ROW($6:$1005)-5),32))=""),"",IF(AND(COUNTIF(INDIRECT("K_"&amp;MATCH(INDEX(checklistPesertaKemenkeu!$J$6:$J$1005,SMALL(IF(checklistPesertaKemenkeu!$AY$6:$AY$1005="Direkomendasikan",ROW($6:$1005)-5),32)),BidangList,0)),INDEX(checklistPesertaKemenkeu!$M$6:$M$1005,SMALL(IF(checklistPesertaKemenkeu!$AY$6:$AY$1005="Direkomendasikan",ROW($6:$1005)-5),32)))&gt;0,COUNTIF(INDIRECT("'KERTAS KERJA'!K"&amp;(SMALL(IF(checklistPesertaKemenkeu!$AY$6:$AY$1005="Direkomendasikan",ROW($6:$1005)-5),32)+5)&amp;":O"&amp;(SMALL(IF(checklistPesertaKemenkeu!$AY$6:$AY$1005="Direkomendasikan",ROW($6:$1005)-5),32)+5)),INDEX(checklistPesertaKemenkeu!$M$6:$M$1005,SMALL(IF(checklistPesertaKemenkeu!$AY$6:$AY$1005="Direkomendasikan",ROW($6:$1005)-5),32)))=1),IFERROR(VLOOKUP(INDEX(checklistPesertaKemenkeu!$M$6:$M$1005,SMALL(IF(checklistPesertaKemenkeu!$AY$6:$AY$1005="Direkomendasikan",ROW($6:$1005)-5),32)),KotaKode,2,0),"-"),"")),"")</f>
        <v/>
      </c>
      <c r="J33" t="str">
        <f t="array" aca="1" ref="J33" ca="1">IFERROR(IF(OR(INDEX(checklistPesertaKemenkeu!$N$6:$N$1005,SMALL(IF(checklistPesertaKemenkeu!$AY$6:$AY$1005="Direkomendasikan",ROW($6:$1005)-5),32))="",INDEX(checklistPesertaKemenkeu!$J$6:$J$1005,SMALL(IF(checklistPesertaKemenkeu!$AY$6:$AY$1005="Direkomendasikan",ROW($6:$1005)-5),32))=""),"",IF(AND(COUNTIF(INDIRECT("K_"&amp;MATCH(INDEX(checklistPesertaKemenkeu!$J$6:$J$1005,SMALL(IF(checklistPesertaKemenkeu!$AY$6:$AY$1005="Direkomendasikan",ROW($6:$1005)-5),32)),BidangList,0)),INDEX(checklistPesertaKemenkeu!$N$6:$N$1005,SMALL(IF(checklistPesertaKemenkeu!$AY$6:$AY$1005="Direkomendasikan",ROW($6:$1005)-5),32)))&gt;0,COUNTIF(INDIRECT("'KERTAS KERJA'!K"&amp;(SMALL(IF(checklistPesertaKemenkeu!$AY$6:$AY$1005="Direkomendasikan",ROW($6:$1005)-5),32)+5)&amp;":O"&amp;(SMALL(IF(checklistPesertaKemenkeu!$AY$6:$AY$1005="Direkomendasikan",ROW($6:$1005)-5),32)+5)),INDEX(checklistPesertaKemenkeu!$N$6:$N$1005,SMALL(IF(checklistPesertaKemenkeu!$AY$6:$AY$1005="Direkomendasikan",ROW($6:$1005)-5),32)))=1),IFERROR(VLOOKUP(INDEX(checklistPesertaKemenkeu!$N$6:$N$1005,SMALL(IF(checklistPesertaKemenkeu!$AY$6:$AY$1005="Direkomendasikan",ROW($6:$1005)-5),32)),KotaKode,2,0),"-"),"")),"")</f>
        <v/>
      </c>
      <c r="K33" t="str">
        <f t="array" aca="1" ref="K33" ca="1">IFERROR(IF(OR(INDEX(checklistPesertaKemenkeu!$O$6:$O$1005,SMALL(IF(checklistPesertaKemenkeu!$AY$6:$AY$1005="Direkomendasikan",ROW($6:$1005)-5),32))="",INDEX(checklistPesertaKemenkeu!$J$6:$J$1005,SMALL(IF(checklistPesertaKemenkeu!$AY$6:$AY$1005="Direkomendasikan",ROW($6:$1005)-5),32))=""),"",IF(AND(COUNTIF(INDIRECT("K_"&amp;MATCH(INDEX(checklistPesertaKemenkeu!$J$6:$J$1005,SMALL(IF(checklistPesertaKemenkeu!$AY$6:$AY$1005="Direkomendasikan",ROW($6:$1005)-5),32)),BidangList,0)),INDEX(checklistPesertaKemenkeu!$O$6:$O$1005,SMALL(IF(checklistPesertaKemenkeu!$AY$6:$AY$1005="Direkomendasikan",ROW($6:$1005)-5),32)))&gt;0,COUNTIF(INDIRECT("'KERTAS KERJA'!K"&amp;(SMALL(IF(checklistPesertaKemenkeu!$AY$6:$AY$1005="Direkomendasikan",ROW($6:$1005)-5),32)+5)&amp;":O"&amp;(SMALL(IF(checklistPesertaKemenkeu!$AY$6:$AY$1005="Direkomendasikan",ROW($6:$1005)-5),32)+5)),INDEX(checklistPesertaKemenkeu!$O$6:$O$1005,SMALL(IF(checklistPesertaKemenkeu!$AY$6:$AY$1005="Direkomendasikan",ROW($6:$1005)-5),32)))=1),IFERROR(VLOOKUP(INDEX(checklistPesertaKemenkeu!$O$6:$O$1005,SMALL(IF(checklistPesertaKemenkeu!$AY$6:$AY$1005="Direkomendasikan",ROW($6:$1005)-5),32)),KotaKode,2,0),"-"),"")),"")</f>
        <v/>
      </c>
      <c r="L33" t="str">
        <f t="array" aca="1" ref="L33" ca="1">IFERROR(IF(OR(INDEX(checklistPesertaKemenkeu!$P$6:$P$1005,SMALL(IF(checklistPesertaKemenkeu!$AY$6:$AY$1005="Direkomendasikan",ROW($6:$1005)-5),32))="",INDEX(checklistPesertaKemenkeu!$J$6:$J$1005,SMALL(IF(checklistPesertaKemenkeu!$AY$6:$AY$1005="Direkomendasikan",ROW($6:$1005)-5),32))=""),"",IF(AND(COUNTIF(INDIRECT("K_"&amp;MATCH(INDEX(checklistPesertaKemenkeu!$J$6:$J$1005,SMALL(IF(checklistPesertaKemenkeu!$AY$6:$AY$1005="Direkomendasikan",ROW($6:$1005)-5),32)),BidangList,0)),INDEX(checklistPesertaKemenkeu!$P$6:$P$1005,SMALL(IF(checklistPesertaKemenkeu!$AY$6:$AY$1005="Direkomendasikan",ROW($6:$1005)-5),32)))&gt;0,COUNTIF(INDIRECT("'KERTAS KERJA'!K"&amp;(SMALL(IF(checklistPesertaKemenkeu!$AY$6:$AY$1005="Direkomendasikan",ROW($6:$1005)-5),32)+5)&amp;":O"&amp;(SMALL(IF(checklistPesertaKemenkeu!$AY$6:$AY$1005="Direkomendasikan",ROW($6:$1005)-5),32)+5)),INDEX(checklistPesertaKemenkeu!$P$6:$P$1005,SMALL(IF(checklistPesertaKemenkeu!$AY$6:$AY$1005="Direkomendasikan",ROW($6:$1005)-5),32)))=1),IFERROR(VLOOKUP(INDEX(checklistPesertaKemenkeu!$P$6:$P$1005,SMALL(IF(checklistPesertaKemenkeu!$AY$6:$AY$1005="Direkomendasikan",ROW($6:$1005)-5),32)),KotaKode,2,0),"-"),"")),"")</f>
        <v/>
      </c>
    </row>
    <row r="34" spans="1:12" ht="15" customHeight="1" x14ac:dyDescent="0.2">
      <c r="A34" t="str">
        <f t="shared" si="0"/>
        <v/>
      </c>
      <c r="B34" t="str">
        <v/>
      </c>
      <c r="C34" s="40" t="str">
        <f t="array" ref="C34">IFERROR(INDEX(checklistPesertaKemenkeu!$F$6:$F$1005,SMALL(IF(checklistPesertaKemenkeu!$AY$6:$AY$1005="Direkomendasikan",ROW($6:$1005)-5),33)),"")</f>
        <v/>
      </c>
      <c r="D34" t="str">
        <f t="array" ref="D34">IFERROR(INDEX(checklistPesertaKemenkeu!$G$6:$G$1005,SMALL(IF(checklistPesertaKemenkeu!$AY$6:$AY$1005="Direkomendasikan",ROW($6:$1005)-5),33)),"")</f>
        <v/>
      </c>
      <c r="E34" t="str">
        <f t="array" ref="E34">IFERROR(INDEX(checklistPesertaKemenkeu!$H$6:$H$1005,SMALL(IF(checklistPesertaKemenkeu!$AY$6:$AY$1005="Direkomendasikan",ROW($6:$1005)-5),33)),"")</f>
        <v/>
      </c>
      <c r="F34" t="str">
        <f t="array" ref="F34">IFERROR(INDEX(checklistPesertaKemenkeu!$I$6:$I$1005,SMALL(IF(checklistPesertaKemenkeu!$AY$6:$AY$1005="Direkomendasikan",ROW($6:$1005)-5),33)),"")</f>
        <v/>
      </c>
      <c r="G34" t="str">
        <f t="array" ref="G34">IFERROR(INDEX(checklistPesertaKemenkeu!$J$6:$J$1005,SMALL(IF(checklistPesertaKemenkeu!$AY$6:$AY$1005="Direkomendasikan",ROW($6:$1005)-5),33)),"")</f>
        <v/>
      </c>
      <c r="H34" t="str">
        <f t="array" aca="1" ref="H34" ca="1">IFERROR(IF(OR(INDEX(checklistPesertaKemenkeu!$L$6:$L$1005,SMALL(IF(checklistPesertaKemenkeu!$AY$6:$AY$1005="Direkomendasikan",ROW($6:$1005)-5),33))="",INDEX(checklistPesertaKemenkeu!$J$6:$J$1005,SMALL(IF(checklistPesertaKemenkeu!$AY$6:$AY$1005="Direkomendasikan",ROW($6:$1005)-5),33))=""),"",IF(AND(COUNTIF(INDIRECT("K_"&amp;MATCH(INDEX(checklistPesertaKemenkeu!$J$6:$J$1005,SMALL(IF(checklistPesertaKemenkeu!$AY$6:$AY$1005="Direkomendasikan",ROW($6:$1005)-5),33)),BidangList,0)),INDEX(checklistPesertaKemenkeu!$L$6:$L$1005,SMALL(IF(checklistPesertaKemenkeu!$AY$6:$AY$1005="Direkomendasikan",ROW($6:$1005)-5),33)))&gt;0,COUNTIF(INDIRECT("'KERTAS KERJA'!K"&amp;(SMALL(IF(checklistPesertaKemenkeu!$AY$6:$AY$1005="Direkomendasikan",ROW($6:$1005)-5),33)+5)&amp;":O"&amp;(SMALL(IF(checklistPesertaKemenkeu!$AY$6:$AY$1005="Direkomendasikan",ROW($6:$1005)-5),33)+5)),INDEX(checklistPesertaKemenkeu!$L$6:$L$1005,SMALL(IF(checklistPesertaKemenkeu!$AY$6:$AY$1005="Direkomendasikan",ROW($6:$1005)-5),33)))=1),IFERROR(VLOOKUP(INDEX(checklistPesertaKemenkeu!$L$6:$L$1005,SMALL(IF(checklistPesertaKemenkeu!$AY$6:$AY$1005="Direkomendasikan",ROW($6:$1005)-5),33)),KotaKode,2,0),"-"),"")),"")</f>
        <v/>
      </c>
      <c r="I34" t="str">
        <f t="array" aca="1" ref="I34" ca="1">IFERROR(IF(OR(INDEX(checklistPesertaKemenkeu!$M$6:$M$1005,SMALL(IF(checklistPesertaKemenkeu!$AY$6:$AY$1005="Direkomendasikan",ROW($6:$1005)-5),33))="",INDEX(checklistPesertaKemenkeu!$J$6:$J$1005,SMALL(IF(checklistPesertaKemenkeu!$AY$6:$AY$1005="Direkomendasikan",ROW($6:$1005)-5),33))=""),"",IF(AND(COUNTIF(INDIRECT("K_"&amp;MATCH(INDEX(checklistPesertaKemenkeu!$J$6:$J$1005,SMALL(IF(checklistPesertaKemenkeu!$AY$6:$AY$1005="Direkomendasikan",ROW($6:$1005)-5),33)),BidangList,0)),INDEX(checklistPesertaKemenkeu!$M$6:$M$1005,SMALL(IF(checklistPesertaKemenkeu!$AY$6:$AY$1005="Direkomendasikan",ROW($6:$1005)-5),33)))&gt;0,COUNTIF(INDIRECT("'KERTAS KERJA'!K"&amp;(SMALL(IF(checklistPesertaKemenkeu!$AY$6:$AY$1005="Direkomendasikan",ROW($6:$1005)-5),33)+5)&amp;":O"&amp;(SMALL(IF(checklistPesertaKemenkeu!$AY$6:$AY$1005="Direkomendasikan",ROW($6:$1005)-5),33)+5)),INDEX(checklistPesertaKemenkeu!$M$6:$M$1005,SMALL(IF(checklistPesertaKemenkeu!$AY$6:$AY$1005="Direkomendasikan",ROW($6:$1005)-5),33)))=1),IFERROR(VLOOKUP(INDEX(checklistPesertaKemenkeu!$M$6:$M$1005,SMALL(IF(checklistPesertaKemenkeu!$AY$6:$AY$1005="Direkomendasikan",ROW($6:$1005)-5),33)),KotaKode,2,0),"-"),"")),"")</f>
        <v/>
      </c>
      <c r="J34" t="str">
        <f t="array" aca="1" ref="J34" ca="1">IFERROR(IF(OR(INDEX(checklistPesertaKemenkeu!$N$6:$N$1005,SMALL(IF(checklistPesertaKemenkeu!$AY$6:$AY$1005="Direkomendasikan",ROW($6:$1005)-5),33))="",INDEX(checklistPesertaKemenkeu!$J$6:$J$1005,SMALL(IF(checklistPesertaKemenkeu!$AY$6:$AY$1005="Direkomendasikan",ROW($6:$1005)-5),33))=""),"",IF(AND(COUNTIF(INDIRECT("K_"&amp;MATCH(INDEX(checklistPesertaKemenkeu!$J$6:$J$1005,SMALL(IF(checklistPesertaKemenkeu!$AY$6:$AY$1005="Direkomendasikan",ROW($6:$1005)-5),33)),BidangList,0)),INDEX(checklistPesertaKemenkeu!$N$6:$N$1005,SMALL(IF(checklistPesertaKemenkeu!$AY$6:$AY$1005="Direkomendasikan",ROW($6:$1005)-5),33)))&gt;0,COUNTIF(INDIRECT("'KERTAS KERJA'!K"&amp;(SMALL(IF(checklistPesertaKemenkeu!$AY$6:$AY$1005="Direkomendasikan",ROW($6:$1005)-5),33)+5)&amp;":O"&amp;(SMALL(IF(checklistPesertaKemenkeu!$AY$6:$AY$1005="Direkomendasikan",ROW($6:$1005)-5),33)+5)),INDEX(checklistPesertaKemenkeu!$N$6:$N$1005,SMALL(IF(checklistPesertaKemenkeu!$AY$6:$AY$1005="Direkomendasikan",ROW($6:$1005)-5),33)))=1),IFERROR(VLOOKUP(INDEX(checklistPesertaKemenkeu!$N$6:$N$1005,SMALL(IF(checklistPesertaKemenkeu!$AY$6:$AY$1005="Direkomendasikan",ROW($6:$1005)-5),33)),KotaKode,2,0),"-"),"")),"")</f>
        <v/>
      </c>
      <c r="K34" t="str">
        <f t="array" aca="1" ref="K34" ca="1">IFERROR(IF(OR(INDEX(checklistPesertaKemenkeu!$O$6:$O$1005,SMALL(IF(checklistPesertaKemenkeu!$AY$6:$AY$1005="Direkomendasikan",ROW($6:$1005)-5),33))="",INDEX(checklistPesertaKemenkeu!$J$6:$J$1005,SMALL(IF(checklistPesertaKemenkeu!$AY$6:$AY$1005="Direkomendasikan",ROW($6:$1005)-5),33))=""),"",IF(AND(COUNTIF(INDIRECT("K_"&amp;MATCH(INDEX(checklistPesertaKemenkeu!$J$6:$J$1005,SMALL(IF(checklistPesertaKemenkeu!$AY$6:$AY$1005="Direkomendasikan",ROW($6:$1005)-5),33)),BidangList,0)),INDEX(checklistPesertaKemenkeu!$O$6:$O$1005,SMALL(IF(checklistPesertaKemenkeu!$AY$6:$AY$1005="Direkomendasikan",ROW($6:$1005)-5),33)))&gt;0,COUNTIF(INDIRECT("'KERTAS KERJA'!K"&amp;(SMALL(IF(checklistPesertaKemenkeu!$AY$6:$AY$1005="Direkomendasikan",ROW($6:$1005)-5),33)+5)&amp;":O"&amp;(SMALL(IF(checklistPesertaKemenkeu!$AY$6:$AY$1005="Direkomendasikan",ROW($6:$1005)-5),33)+5)),INDEX(checklistPesertaKemenkeu!$O$6:$O$1005,SMALL(IF(checklistPesertaKemenkeu!$AY$6:$AY$1005="Direkomendasikan",ROW($6:$1005)-5),33)))=1),IFERROR(VLOOKUP(INDEX(checklistPesertaKemenkeu!$O$6:$O$1005,SMALL(IF(checklistPesertaKemenkeu!$AY$6:$AY$1005="Direkomendasikan",ROW($6:$1005)-5),33)),KotaKode,2,0),"-"),"")),"")</f>
        <v/>
      </c>
      <c r="L34" t="str">
        <f t="array" aca="1" ref="L34" ca="1">IFERROR(IF(OR(INDEX(checklistPesertaKemenkeu!$P$6:$P$1005,SMALL(IF(checklistPesertaKemenkeu!$AY$6:$AY$1005="Direkomendasikan",ROW($6:$1005)-5),33))="",INDEX(checklistPesertaKemenkeu!$J$6:$J$1005,SMALL(IF(checklistPesertaKemenkeu!$AY$6:$AY$1005="Direkomendasikan",ROW($6:$1005)-5),33))=""),"",IF(AND(COUNTIF(INDIRECT("K_"&amp;MATCH(INDEX(checklistPesertaKemenkeu!$J$6:$J$1005,SMALL(IF(checklistPesertaKemenkeu!$AY$6:$AY$1005="Direkomendasikan",ROW($6:$1005)-5),33)),BidangList,0)),INDEX(checklistPesertaKemenkeu!$P$6:$P$1005,SMALL(IF(checklistPesertaKemenkeu!$AY$6:$AY$1005="Direkomendasikan",ROW($6:$1005)-5),33)))&gt;0,COUNTIF(INDIRECT("'KERTAS KERJA'!K"&amp;(SMALL(IF(checklistPesertaKemenkeu!$AY$6:$AY$1005="Direkomendasikan",ROW($6:$1005)-5),33)+5)&amp;":O"&amp;(SMALL(IF(checklistPesertaKemenkeu!$AY$6:$AY$1005="Direkomendasikan",ROW($6:$1005)-5),33)+5)),INDEX(checklistPesertaKemenkeu!$P$6:$P$1005,SMALL(IF(checklistPesertaKemenkeu!$AY$6:$AY$1005="Direkomendasikan",ROW($6:$1005)-5),33)))=1),IFERROR(VLOOKUP(INDEX(checklistPesertaKemenkeu!$P$6:$P$1005,SMALL(IF(checklistPesertaKemenkeu!$AY$6:$AY$1005="Direkomendasikan",ROW($6:$1005)-5),33)),KotaKode,2,0),"-"),"")),"")</f>
        <v/>
      </c>
    </row>
    <row r="35" spans="1:12" ht="15" customHeight="1" x14ac:dyDescent="0.2">
      <c r="A35" t="str">
        <f t="shared" si="0"/>
        <v/>
      </c>
      <c r="B35" t="str">
        <v/>
      </c>
      <c r="C35" s="40" t="str">
        <f t="array" ref="C35">IFERROR(INDEX(checklistPesertaKemenkeu!$F$6:$F$1005,SMALL(IF(checklistPesertaKemenkeu!$AY$6:$AY$1005="Direkomendasikan",ROW($6:$1005)-5),34)),"")</f>
        <v/>
      </c>
      <c r="D35" t="str">
        <f t="array" ref="D35">IFERROR(INDEX(checklistPesertaKemenkeu!$G$6:$G$1005,SMALL(IF(checklistPesertaKemenkeu!$AY$6:$AY$1005="Direkomendasikan",ROW($6:$1005)-5),34)),"")</f>
        <v/>
      </c>
      <c r="E35" t="str">
        <f t="array" ref="E35">IFERROR(INDEX(checklistPesertaKemenkeu!$H$6:$H$1005,SMALL(IF(checklistPesertaKemenkeu!$AY$6:$AY$1005="Direkomendasikan",ROW($6:$1005)-5),34)),"")</f>
        <v/>
      </c>
      <c r="F35" t="str">
        <f t="array" ref="F35">IFERROR(INDEX(checklistPesertaKemenkeu!$I$6:$I$1005,SMALL(IF(checklistPesertaKemenkeu!$AY$6:$AY$1005="Direkomendasikan",ROW($6:$1005)-5),34)),"")</f>
        <v/>
      </c>
      <c r="G35" t="str">
        <f t="array" ref="G35">IFERROR(INDEX(checklistPesertaKemenkeu!$J$6:$J$1005,SMALL(IF(checklistPesertaKemenkeu!$AY$6:$AY$1005="Direkomendasikan",ROW($6:$1005)-5),34)),"")</f>
        <v/>
      </c>
      <c r="H35" t="str">
        <f t="array" aca="1" ref="H35" ca="1">IFERROR(IF(OR(INDEX(checklistPesertaKemenkeu!$L$6:$L$1005,SMALL(IF(checklistPesertaKemenkeu!$AY$6:$AY$1005="Direkomendasikan",ROW($6:$1005)-5),34))="",INDEX(checklistPesertaKemenkeu!$J$6:$J$1005,SMALL(IF(checklistPesertaKemenkeu!$AY$6:$AY$1005="Direkomendasikan",ROW($6:$1005)-5),34))=""),"",IF(AND(COUNTIF(INDIRECT("K_"&amp;MATCH(INDEX(checklistPesertaKemenkeu!$J$6:$J$1005,SMALL(IF(checklistPesertaKemenkeu!$AY$6:$AY$1005="Direkomendasikan",ROW($6:$1005)-5),34)),BidangList,0)),INDEX(checklistPesertaKemenkeu!$L$6:$L$1005,SMALL(IF(checklistPesertaKemenkeu!$AY$6:$AY$1005="Direkomendasikan",ROW($6:$1005)-5),34)))&gt;0,COUNTIF(INDIRECT("'KERTAS KERJA'!K"&amp;(SMALL(IF(checklistPesertaKemenkeu!$AY$6:$AY$1005="Direkomendasikan",ROW($6:$1005)-5),34)+5)&amp;":O"&amp;(SMALL(IF(checklistPesertaKemenkeu!$AY$6:$AY$1005="Direkomendasikan",ROW($6:$1005)-5),34)+5)),INDEX(checklistPesertaKemenkeu!$L$6:$L$1005,SMALL(IF(checklistPesertaKemenkeu!$AY$6:$AY$1005="Direkomendasikan",ROW($6:$1005)-5),34)))=1),IFERROR(VLOOKUP(INDEX(checklistPesertaKemenkeu!$L$6:$L$1005,SMALL(IF(checklistPesertaKemenkeu!$AY$6:$AY$1005="Direkomendasikan",ROW($6:$1005)-5),34)),KotaKode,2,0),"-"),"")),"")</f>
        <v/>
      </c>
      <c r="I35" t="str">
        <f t="array" aca="1" ref="I35" ca="1">IFERROR(IF(OR(INDEX(checklistPesertaKemenkeu!$M$6:$M$1005,SMALL(IF(checklistPesertaKemenkeu!$AY$6:$AY$1005="Direkomendasikan",ROW($6:$1005)-5),34))="",INDEX(checklistPesertaKemenkeu!$J$6:$J$1005,SMALL(IF(checklistPesertaKemenkeu!$AY$6:$AY$1005="Direkomendasikan",ROW($6:$1005)-5),34))=""),"",IF(AND(COUNTIF(INDIRECT("K_"&amp;MATCH(INDEX(checklistPesertaKemenkeu!$J$6:$J$1005,SMALL(IF(checklistPesertaKemenkeu!$AY$6:$AY$1005="Direkomendasikan",ROW($6:$1005)-5),34)),BidangList,0)),INDEX(checklistPesertaKemenkeu!$M$6:$M$1005,SMALL(IF(checklistPesertaKemenkeu!$AY$6:$AY$1005="Direkomendasikan",ROW($6:$1005)-5),34)))&gt;0,COUNTIF(INDIRECT("'KERTAS KERJA'!K"&amp;(SMALL(IF(checklistPesertaKemenkeu!$AY$6:$AY$1005="Direkomendasikan",ROW($6:$1005)-5),34)+5)&amp;":O"&amp;(SMALL(IF(checklistPesertaKemenkeu!$AY$6:$AY$1005="Direkomendasikan",ROW($6:$1005)-5),34)+5)),INDEX(checklistPesertaKemenkeu!$M$6:$M$1005,SMALL(IF(checklistPesertaKemenkeu!$AY$6:$AY$1005="Direkomendasikan",ROW($6:$1005)-5),34)))=1),IFERROR(VLOOKUP(INDEX(checklistPesertaKemenkeu!$M$6:$M$1005,SMALL(IF(checklistPesertaKemenkeu!$AY$6:$AY$1005="Direkomendasikan",ROW($6:$1005)-5),34)),KotaKode,2,0),"-"),"")),"")</f>
        <v/>
      </c>
      <c r="J35" t="str">
        <f t="array" aca="1" ref="J35" ca="1">IFERROR(IF(OR(INDEX(checklistPesertaKemenkeu!$N$6:$N$1005,SMALL(IF(checklistPesertaKemenkeu!$AY$6:$AY$1005="Direkomendasikan",ROW($6:$1005)-5),34))="",INDEX(checklistPesertaKemenkeu!$J$6:$J$1005,SMALL(IF(checklistPesertaKemenkeu!$AY$6:$AY$1005="Direkomendasikan",ROW($6:$1005)-5),34))=""),"",IF(AND(COUNTIF(INDIRECT("K_"&amp;MATCH(INDEX(checklistPesertaKemenkeu!$J$6:$J$1005,SMALL(IF(checklistPesertaKemenkeu!$AY$6:$AY$1005="Direkomendasikan",ROW($6:$1005)-5),34)),BidangList,0)),INDEX(checklistPesertaKemenkeu!$N$6:$N$1005,SMALL(IF(checklistPesertaKemenkeu!$AY$6:$AY$1005="Direkomendasikan",ROW($6:$1005)-5),34)))&gt;0,COUNTIF(INDIRECT("'KERTAS KERJA'!K"&amp;(SMALL(IF(checklistPesertaKemenkeu!$AY$6:$AY$1005="Direkomendasikan",ROW($6:$1005)-5),34)+5)&amp;":O"&amp;(SMALL(IF(checklistPesertaKemenkeu!$AY$6:$AY$1005="Direkomendasikan",ROW($6:$1005)-5),34)+5)),INDEX(checklistPesertaKemenkeu!$N$6:$N$1005,SMALL(IF(checklistPesertaKemenkeu!$AY$6:$AY$1005="Direkomendasikan",ROW($6:$1005)-5),34)))=1),IFERROR(VLOOKUP(INDEX(checklistPesertaKemenkeu!$N$6:$N$1005,SMALL(IF(checklistPesertaKemenkeu!$AY$6:$AY$1005="Direkomendasikan",ROW($6:$1005)-5),34)),KotaKode,2,0),"-"),"")),"")</f>
        <v/>
      </c>
      <c r="K35" t="str">
        <f t="array" aca="1" ref="K35" ca="1">IFERROR(IF(OR(INDEX(checklistPesertaKemenkeu!$O$6:$O$1005,SMALL(IF(checklistPesertaKemenkeu!$AY$6:$AY$1005="Direkomendasikan",ROW($6:$1005)-5),34))="",INDEX(checklistPesertaKemenkeu!$J$6:$J$1005,SMALL(IF(checklistPesertaKemenkeu!$AY$6:$AY$1005="Direkomendasikan",ROW($6:$1005)-5),34))=""),"",IF(AND(COUNTIF(INDIRECT("K_"&amp;MATCH(INDEX(checklistPesertaKemenkeu!$J$6:$J$1005,SMALL(IF(checklistPesertaKemenkeu!$AY$6:$AY$1005="Direkomendasikan",ROW($6:$1005)-5),34)),BidangList,0)),INDEX(checklistPesertaKemenkeu!$O$6:$O$1005,SMALL(IF(checklistPesertaKemenkeu!$AY$6:$AY$1005="Direkomendasikan",ROW($6:$1005)-5),34)))&gt;0,COUNTIF(INDIRECT("'KERTAS KERJA'!K"&amp;(SMALL(IF(checklistPesertaKemenkeu!$AY$6:$AY$1005="Direkomendasikan",ROW($6:$1005)-5),34)+5)&amp;":O"&amp;(SMALL(IF(checklistPesertaKemenkeu!$AY$6:$AY$1005="Direkomendasikan",ROW($6:$1005)-5),34)+5)),INDEX(checklistPesertaKemenkeu!$O$6:$O$1005,SMALL(IF(checklistPesertaKemenkeu!$AY$6:$AY$1005="Direkomendasikan",ROW($6:$1005)-5),34)))=1),IFERROR(VLOOKUP(INDEX(checklistPesertaKemenkeu!$O$6:$O$1005,SMALL(IF(checklistPesertaKemenkeu!$AY$6:$AY$1005="Direkomendasikan",ROW($6:$1005)-5),34)),KotaKode,2,0),"-"),"")),"")</f>
        <v/>
      </c>
      <c r="L35" t="str">
        <f t="array" aca="1" ref="L35" ca="1">IFERROR(IF(OR(INDEX(checklistPesertaKemenkeu!$P$6:$P$1005,SMALL(IF(checklistPesertaKemenkeu!$AY$6:$AY$1005="Direkomendasikan",ROW($6:$1005)-5),34))="",INDEX(checklistPesertaKemenkeu!$J$6:$J$1005,SMALL(IF(checklistPesertaKemenkeu!$AY$6:$AY$1005="Direkomendasikan",ROW($6:$1005)-5),34))=""),"",IF(AND(COUNTIF(INDIRECT("K_"&amp;MATCH(INDEX(checklistPesertaKemenkeu!$J$6:$J$1005,SMALL(IF(checklistPesertaKemenkeu!$AY$6:$AY$1005="Direkomendasikan",ROW($6:$1005)-5),34)),BidangList,0)),INDEX(checklistPesertaKemenkeu!$P$6:$P$1005,SMALL(IF(checklistPesertaKemenkeu!$AY$6:$AY$1005="Direkomendasikan",ROW($6:$1005)-5),34)))&gt;0,COUNTIF(INDIRECT("'KERTAS KERJA'!K"&amp;(SMALL(IF(checklistPesertaKemenkeu!$AY$6:$AY$1005="Direkomendasikan",ROW($6:$1005)-5),34)+5)&amp;":O"&amp;(SMALL(IF(checklistPesertaKemenkeu!$AY$6:$AY$1005="Direkomendasikan",ROW($6:$1005)-5),34)+5)),INDEX(checklistPesertaKemenkeu!$P$6:$P$1005,SMALL(IF(checklistPesertaKemenkeu!$AY$6:$AY$1005="Direkomendasikan",ROW($6:$1005)-5),34)))=1),IFERROR(VLOOKUP(INDEX(checklistPesertaKemenkeu!$P$6:$P$1005,SMALL(IF(checklistPesertaKemenkeu!$AY$6:$AY$1005="Direkomendasikan",ROW($6:$1005)-5),34)),KotaKode,2,0),"-"),"")),"")</f>
        <v/>
      </c>
    </row>
    <row r="36" spans="1:12" ht="15" customHeight="1" x14ac:dyDescent="0.2">
      <c r="A36" t="str">
        <f t="shared" si="0"/>
        <v/>
      </c>
      <c r="B36" t="str">
        <v/>
      </c>
      <c r="C36" s="40" t="str">
        <f t="array" ref="C36">IFERROR(INDEX(checklistPesertaKemenkeu!$F$6:$F$1005,SMALL(IF(checklistPesertaKemenkeu!$AY$6:$AY$1005="Direkomendasikan",ROW($6:$1005)-5),35)),"")</f>
        <v/>
      </c>
      <c r="D36" t="str">
        <f t="array" ref="D36">IFERROR(INDEX(checklistPesertaKemenkeu!$G$6:$G$1005,SMALL(IF(checklistPesertaKemenkeu!$AY$6:$AY$1005="Direkomendasikan",ROW($6:$1005)-5),35)),"")</f>
        <v/>
      </c>
      <c r="E36" t="str">
        <f t="array" ref="E36">IFERROR(INDEX(checklistPesertaKemenkeu!$H$6:$H$1005,SMALL(IF(checklistPesertaKemenkeu!$AY$6:$AY$1005="Direkomendasikan",ROW($6:$1005)-5),35)),"")</f>
        <v/>
      </c>
      <c r="F36" t="str">
        <f t="array" ref="F36">IFERROR(INDEX(checklistPesertaKemenkeu!$I$6:$I$1005,SMALL(IF(checklistPesertaKemenkeu!$AY$6:$AY$1005="Direkomendasikan",ROW($6:$1005)-5),35)),"")</f>
        <v/>
      </c>
      <c r="G36" t="str">
        <f t="array" ref="G36">IFERROR(INDEX(checklistPesertaKemenkeu!$J$6:$J$1005,SMALL(IF(checklistPesertaKemenkeu!$AY$6:$AY$1005="Direkomendasikan",ROW($6:$1005)-5),35)),"")</f>
        <v/>
      </c>
      <c r="H36" t="str">
        <f t="array" aca="1" ref="H36" ca="1">IFERROR(IF(OR(INDEX(checklistPesertaKemenkeu!$L$6:$L$1005,SMALL(IF(checklistPesertaKemenkeu!$AY$6:$AY$1005="Direkomendasikan",ROW($6:$1005)-5),35))="",INDEX(checklistPesertaKemenkeu!$J$6:$J$1005,SMALL(IF(checklistPesertaKemenkeu!$AY$6:$AY$1005="Direkomendasikan",ROW($6:$1005)-5),35))=""),"",IF(AND(COUNTIF(INDIRECT("K_"&amp;MATCH(INDEX(checklistPesertaKemenkeu!$J$6:$J$1005,SMALL(IF(checklistPesertaKemenkeu!$AY$6:$AY$1005="Direkomendasikan",ROW($6:$1005)-5),35)),BidangList,0)),INDEX(checklistPesertaKemenkeu!$L$6:$L$1005,SMALL(IF(checklistPesertaKemenkeu!$AY$6:$AY$1005="Direkomendasikan",ROW($6:$1005)-5),35)))&gt;0,COUNTIF(INDIRECT("'KERTAS KERJA'!K"&amp;(SMALL(IF(checklistPesertaKemenkeu!$AY$6:$AY$1005="Direkomendasikan",ROW($6:$1005)-5),35)+5)&amp;":O"&amp;(SMALL(IF(checklistPesertaKemenkeu!$AY$6:$AY$1005="Direkomendasikan",ROW($6:$1005)-5),35)+5)),INDEX(checklistPesertaKemenkeu!$L$6:$L$1005,SMALL(IF(checklistPesertaKemenkeu!$AY$6:$AY$1005="Direkomendasikan",ROW($6:$1005)-5),35)))=1),IFERROR(VLOOKUP(INDEX(checklistPesertaKemenkeu!$L$6:$L$1005,SMALL(IF(checklistPesertaKemenkeu!$AY$6:$AY$1005="Direkomendasikan",ROW($6:$1005)-5),35)),KotaKode,2,0),"-"),"")),"")</f>
        <v/>
      </c>
      <c r="I36" t="str">
        <f t="array" aca="1" ref="I36" ca="1">IFERROR(IF(OR(INDEX(checklistPesertaKemenkeu!$M$6:$M$1005,SMALL(IF(checklistPesertaKemenkeu!$AY$6:$AY$1005="Direkomendasikan",ROW($6:$1005)-5),35))="",INDEX(checklistPesertaKemenkeu!$J$6:$J$1005,SMALL(IF(checklistPesertaKemenkeu!$AY$6:$AY$1005="Direkomendasikan",ROW($6:$1005)-5),35))=""),"",IF(AND(COUNTIF(INDIRECT("K_"&amp;MATCH(INDEX(checklistPesertaKemenkeu!$J$6:$J$1005,SMALL(IF(checklistPesertaKemenkeu!$AY$6:$AY$1005="Direkomendasikan",ROW($6:$1005)-5),35)),BidangList,0)),INDEX(checklistPesertaKemenkeu!$M$6:$M$1005,SMALL(IF(checklistPesertaKemenkeu!$AY$6:$AY$1005="Direkomendasikan",ROW($6:$1005)-5),35)))&gt;0,COUNTIF(INDIRECT("'KERTAS KERJA'!K"&amp;(SMALL(IF(checklistPesertaKemenkeu!$AY$6:$AY$1005="Direkomendasikan",ROW($6:$1005)-5),35)+5)&amp;":O"&amp;(SMALL(IF(checklistPesertaKemenkeu!$AY$6:$AY$1005="Direkomendasikan",ROW($6:$1005)-5),35)+5)),INDEX(checklistPesertaKemenkeu!$M$6:$M$1005,SMALL(IF(checklistPesertaKemenkeu!$AY$6:$AY$1005="Direkomendasikan",ROW($6:$1005)-5),35)))=1),IFERROR(VLOOKUP(INDEX(checklistPesertaKemenkeu!$M$6:$M$1005,SMALL(IF(checklistPesertaKemenkeu!$AY$6:$AY$1005="Direkomendasikan",ROW($6:$1005)-5),35)),KotaKode,2,0),"-"),"")),"")</f>
        <v/>
      </c>
      <c r="J36" t="str">
        <f t="array" aca="1" ref="J36" ca="1">IFERROR(IF(OR(INDEX(checklistPesertaKemenkeu!$N$6:$N$1005,SMALL(IF(checklistPesertaKemenkeu!$AY$6:$AY$1005="Direkomendasikan",ROW($6:$1005)-5),35))="",INDEX(checklistPesertaKemenkeu!$J$6:$J$1005,SMALL(IF(checklistPesertaKemenkeu!$AY$6:$AY$1005="Direkomendasikan",ROW($6:$1005)-5),35))=""),"",IF(AND(COUNTIF(INDIRECT("K_"&amp;MATCH(INDEX(checklistPesertaKemenkeu!$J$6:$J$1005,SMALL(IF(checklistPesertaKemenkeu!$AY$6:$AY$1005="Direkomendasikan",ROW($6:$1005)-5),35)),BidangList,0)),INDEX(checklistPesertaKemenkeu!$N$6:$N$1005,SMALL(IF(checklistPesertaKemenkeu!$AY$6:$AY$1005="Direkomendasikan",ROW($6:$1005)-5),35)))&gt;0,COUNTIF(INDIRECT("'KERTAS KERJA'!K"&amp;(SMALL(IF(checklistPesertaKemenkeu!$AY$6:$AY$1005="Direkomendasikan",ROW($6:$1005)-5),35)+5)&amp;":O"&amp;(SMALL(IF(checklistPesertaKemenkeu!$AY$6:$AY$1005="Direkomendasikan",ROW($6:$1005)-5),35)+5)),INDEX(checklistPesertaKemenkeu!$N$6:$N$1005,SMALL(IF(checklistPesertaKemenkeu!$AY$6:$AY$1005="Direkomendasikan",ROW($6:$1005)-5),35)))=1),IFERROR(VLOOKUP(INDEX(checklistPesertaKemenkeu!$N$6:$N$1005,SMALL(IF(checklistPesertaKemenkeu!$AY$6:$AY$1005="Direkomendasikan",ROW($6:$1005)-5),35)),KotaKode,2,0),"-"),"")),"")</f>
        <v/>
      </c>
      <c r="K36" t="str">
        <f t="array" aca="1" ref="K36" ca="1">IFERROR(IF(OR(INDEX(checklistPesertaKemenkeu!$O$6:$O$1005,SMALL(IF(checklistPesertaKemenkeu!$AY$6:$AY$1005="Direkomendasikan",ROW($6:$1005)-5),35))="",INDEX(checklistPesertaKemenkeu!$J$6:$J$1005,SMALL(IF(checklistPesertaKemenkeu!$AY$6:$AY$1005="Direkomendasikan",ROW($6:$1005)-5),35))=""),"",IF(AND(COUNTIF(INDIRECT("K_"&amp;MATCH(INDEX(checklistPesertaKemenkeu!$J$6:$J$1005,SMALL(IF(checklistPesertaKemenkeu!$AY$6:$AY$1005="Direkomendasikan",ROW($6:$1005)-5),35)),BidangList,0)),INDEX(checklistPesertaKemenkeu!$O$6:$O$1005,SMALL(IF(checklistPesertaKemenkeu!$AY$6:$AY$1005="Direkomendasikan",ROW($6:$1005)-5),35)))&gt;0,COUNTIF(INDIRECT("'KERTAS KERJA'!K"&amp;(SMALL(IF(checklistPesertaKemenkeu!$AY$6:$AY$1005="Direkomendasikan",ROW($6:$1005)-5),35)+5)&amp;":O"&amp;(SMALL(IF(checklistPesertaKemenkeu!$AY$6:$AY$1005="Direkomendasikan",ROW($6:$1005)-5),35)+5)),INDEX(checklistPesertaKemenkeu!$O$6:$O$1005,SMALL(IF(checklistPesertaKemenkeu!$AY$6:$AY$1005="Direkomendasikan",ROW($6:$1005)-5),35)))=1),IFERROR(VLOOKUP(INDEX(checklistPesertaKemenkeu!$O$6:$O$1005,SMALL(IF(checklistPesertaKemenkeu!$AY$6:$AY$1005="Direkomendasikan",ROW($6:$1005)-5),35)),KotaKode,2,0),"-"),"")),"")</f>
        <v/>
      </c>
      <c r="L36" t="str">
        <f t="array" aca="1" ref="L36" ca="1">IFERROR(IF(OR(INDEX(checklistPesertaKemenkeu!$P$6:$P$1005,SMALL(IF(checklistPesertaKemenkeu!$AY$6:$AY$1005="Direkomendasikan",ROW($6:$1005)-5),35))="",INDEX(checklistPesertaKemenkeu!$J$6:$J$1005,SMALL(IF(checklistPesertaKemenkeu!$AY$6:$AY$1005="Direkomendasikan",ROW($6:$1005)-5),35))=""),"",IF(AND(COUNTIF(INDIRECT("K_"&amp;MATCH(INDEX(checklistPesertaKemenkeu!$J$6:$J$1005,SMALL(IF(checklistPesertaKemenkeu!$AY$6:$AY$1005="Direkomendasikan",ROW($6:$1005)-5),35)),BidangList,0)),INDEX(checklistPesertaKemenkeu!$P$6:$P$1005,SMALL(IF(checklistPesertaKemenkeu!$AY$6:$AY$1005="Direkomendasikan",ROW($6:$1005)-5),35)))&gt;0,COUNTIF(INDIRECT("'KERTAS KERJA'!K"&amp;(SMALL(IF(checklistPesertaKemenkeu!$AY$6:$AY$1005="Direkomendasikan",ROW($6:$1005)-5),35)+5)&amp;":O"&amp;(SMALL(IF(checklistPesertaKemenkeu!$AY$6:$AY$1005="Direkomendasikan",ROW($6:$1005)-5),35)+5)),INDEX(checklistPesertaKemenkeu!$P$6:$P$1005,SMALL(IF(checklistPesertaKemenkeu!$AY$6:$AY$1005="Direkomendasikan",ROW($6:$1005)-5),35)))=1),IFERROR(VLOOKUP(INDEX(checklistPesertaKemenkeu!$P$6:$P$1005,SMALL(IF(checklistPesertaKemenkeu!$AY$6:$AY$1005="Direkomendasikan",ROW($6:$1005)-5),35)),KotaKode,2,0),"-"),"")),"")</f>
        <v/>
      </c>
    </row>
    <row r="37" spans="1:12" ht="15" customHeight="1" x14ac:dyDescent="0.2">
      <c r="A37" t="str">
        <f t="shared" si="0"/>
        <v/>
      </c>
      <c r="B37" t="str">
        <v/>
      </c>
      <c r="C37" s="40" t="str">
        <f t="array" ref="C37">IFERROR(INDEX(checklistPesertaKemenkeu!$F$6:$F$1005,SMALL(IF(checklistPesertaKemenkeu!$AY$6:$AY$1005="Direkomendasikan",ROW($6:$1005)-5),36)),"")</f>
        <v/>
      </c>
      <c r="D37" t="str">
        <f t="array" ref="D37">IFERROR(INDEX(checklistPesertaKemenkeu!$G$6:$G$1005,SMALL(IF(checklistPesertaKemenkeu!$AY$6:$AY$1005="Direkomendasikan",ROW($6:$1005)-5),36)),"")</f>
        <v/>
      </c>
      <c r="E37" t="str">
        <f t="array" ref="E37">IFERROR(INDEX(checklistPesertaKemenkeu!$H$6:$H$1005,SMALL(IF(checklistPesertaKemenkeu!$AY$6:$AY$1005="Direkomendasikan",ROW($6:$1005)-5),36)),"")</f>
        <v/>
      </c>
      <c r="F37" t="str">
        <f t="array" ref="F37">IFERROR(INDEX(checklistPesertaKemenkeu!$I$6:$I$1005,SMALL(IF(checklistPesertaKemenkeu!$AY$6:$AY$1005="Direkomendasikan",ROW($6:$1005)-5),36)),"")</f>
        <v/>
      </c>
      <c r="G37" t="str">
        <f t="array" ref="G37">IFERROR(INDEX(checklistPesertaKemenkeu!$J$6:$J$1005,SMALL(IF(checklistPesertaKemenkeu!$AY$6:$AY$1005="Direkomendasikan",ROW($6:$1005)-5),36)),"")</f>
        <v/>
      </c>
      <c r="H37" t="str">
        <f t="array" aca="1" ref="H37" ca="1">IFERROR(IF(OR(INDEX(checklistPesertaKemenkeu!$L$6:$L$1005,SMALL(IF(checklistPesertaKemenkeu!$AY$6:$AY$1005="Direkomendasikan",ROW($6:$1005)-5),36))="",INDEX(checklistPesertaKemenkeu!$J$6:$J$1005,SMALL(IF(checklistPesertaKemenkeu!$AY$6:$AY$1005="Direkomendasikan",ROW($6:$1005)-5),36))=""),"",IF(AND(COUNTIF(INDIRECT("K_"&amp;MATCH(INDEX(checklistPesertaKemenkeu!$J$6:$J$1005,SMALL(IF(checklistPesertaKemenkeu!$AY$6:$AY$1005="Direkomendasikan",ROW($6:$1005)-5),36)),BidangList,0)),INDEX(checklistPesertaKemenkeu!$L$6:$L$1005,SMALL(IF(checklistPesertaKemenkeu!$AY$6:$AY$1005="Direkomendasikan",ROW($6:$1005)-5),36)))&gt;0,COUNTIF(INDIRECT("'KERTAS KERJA'!K"&amp;(SMALL(IF(checklistPesertaKemenkeu!$AY$6:$AY$1005="Direkomendasikan",ROW($6:$1005)-5),36)+5)&amp;":O"&amp;(SMALL(IF(checklistPesertaKemenkeu!$AY$6:$AY$1005="Direkomendasikan",ROW($6:$1005)-5),36)+5)),INDEX(checklistPesertaKemenkeu!$L$6:$L$1005,SMALL(IF(checklistPesertaKemenkeu!$AY$6:$AY$1005="Direkomendasikan",ROW($6:$1005)-5),36)))=1),IFERROR(VLOOKUP(INDEX(checklistPesertaKemenkeu!$L$6:$L$1005,SMALL(IF(checklistPesertaKemenkeu!$AY$6:$AY$1005="Direkomendasikan",ROW($6:$1005)-5),36)),KotaKode,2,0),"-"),"")),"")</f>
        <v/>
      </c>
      <c r="I37" t="str">
        <f t="array" aca="1" ref="I37" ca="1">IFERROR(IF(OR(INDEX(checklistPesertaKemenkeu!$M$6:$M$1005,SMALL(IF(checklistPesertaKemenkeu!$AY$6:$AY$1005="Direkomendasikan",ROW($6:$1005)-5),36))="",INDEX(checklistPesertaKemenkeu!$J$6:$J$1005,SMALL(IF(checklistPesertaKemenkeu!$AY$6:$AY$1005="Direkomendasikan",ROW($6:$1005)-5),36))=""),"",IF(AND(COUNTIF(INDIRECT("K_"&amp;MATCH(INDEX(checklistPesertaKemenkeu!$J$6:$J$1005,SMALL(IF(checklistPesertaKemenkeu!$AY$6:$AY$1005="Direkomendasikan",ROW($6:$1005)-5),36)),BidangList,0)),INDEX(checklistPesertaKemenkeu!$M$6:$M$1005,SMALL(IF(checklistPesertaKemenkeu!$AY$6:$AY$1005="Direkomendasikan",ROW($6:$1005)-5),36)))&gt;0,COUNTIF(INDIRECT("'KERTAS KERJA'!K"&amp;(SMALL(IF(checklistPesertaKemenkeu!$AY$6:$AY$1005="Direkomendasikan",ROW($6:$1005)-5),36)+5)&amp;":O"&amp;(SMALL(IF(checklistPesertaKemenkeu!$AY$6:$AY$1005="Direkomendasikan",ROW($6:$1005)-5),36)+5)),INDEX(checklistPesertaKemenkeu!$M$6:$M$1005,SMALL(IF(checklistPesertaKemenkeu!$AY$6:$AY$1005="Direkomendasikan",ROW($6:$1005)-5),36)))=1),IFERROR(VLOOKUP(INDEX(checklistPesertaKemenkeu!$M$6:$M$1005,SMALL(IF(checklistPesertaKemenkeu!$AY$6:$AY$1005="Direkomendasikan",ROW($6:$1005)-5),36)),KotaKode,2,0),"-"),"")),"")</f>
        <v/>
      </c>
      <c r="J37" t="str">
        <f t="array" aca="1" ref="J37" ca="1">IFERROR(IF(OR(INDEX(checklistPesertaKemenkeu!$N$6:$N$1005,SMALL(IF(checklistPesertaKemenkeu!$AY$6:$AY$1005="Direkomendasikan",ROW($6:$1005)-5),36))="",INDEX(checklistPesertaKemenkeu!$J$6:$J$1005,SMALL(IF(checklistPesertaKemenkeu!$AY$6:$AY$1005="Direkomendasikan",ROW($6:$1005)-5),36))=""),"",IF(AND(COUNTIF(INDIRECT("K_"&amp;MATCH(INDEX(checklistPesertaKemenkeu!$J$6:$J$1005,SMALL(IF(checklistPesertaKemenkeu!$AY$6:$AY$1005="Direkomendasikan",ROW($6:$1005)-5),36)),BidangList,0)),INDEX(checklistPesertaKemenkeu!$N$6:$N$1005,SMALL(IF(checklistPesertaKemenkeu!$AY$6:$AY$1005="Direkomendasikan",ROW($6:$1005)-5),36)))&gt;0,COUNTIF(INDIRECT("'KERTAS KERJA'!K"&amp;(SMALL(IF(checklistPesertaKemenkeu!$AY$6:$AY$1005="Direkomendasikan",ROW($6:$1005)-5),36)+5)&amp;":O"&amp;(SMALL(IF(checklistPesertaKemenkeu!$AY$6:$AY$1005="Direkomendasikan",ROW($6:$1005)-5),36)+5)),INDEX(checklistPesertaKemenkeu!$N$6:$N$1005,SMALL(IF(checklistPesertaKemenkeu!$AY$6:$AY$1005="Direkomendasikan",ROW($6:$1005)-5),36)))=1),IFERROR(VLOOKUP(INDEX(checklistPesertaKemenkeu!$N$6:$N$1005,SMALL(IF(checklistPesertaKemenkeu!$AY$6:$AY$1005="Direkomendasikan",ROW($6:$1005)-5),36)),KotaKode,2,0),"-"),"")),"")</f>
        <v/>
      </c>
      <c r="K37" t="str">
        <f t="array" aca="1" ref="K37" ca="1">IFERROR(IF(OR(INDEX(checklistPesertaKemenkeu!$O$6:$O$1005,SMALL(IF(checklistPesertaKemenkeu!$AY$6:$AY$1005="Direkomendasikan",ROW($6:$1005)-5),36))="",INDEX(checklistPesertaKemenkeu!$J$6:$J$1005,SMALL(IF(checklistPesertaKemenkeu!$AY$6:$AY$1005="Direkomendasikan",ROW($6:$1005)-5),36))=""),"",IF(AND(COUNTIF(INDIRECT("K_"&amp;MATCH(INDEX(checklistPesertaKemenkeu!$J$6:$J$1005,SMALL(IF(checklistPesertaKemenkeu!$AY$6:$AY$1005="Direkomendasikan",ROW($6:$1005)-5),36)),BidangList,0)),INDEX(checklistPesertaKemenkeu!$O$6:$O$1005,SMALL(IF(checklistPesertaKemenkeu!$AY$6:$AY$1005="Direkomendasikan",ROW($6:$1005)-5),36)))&gt;0,COUNTIF(INDIRECT("'KERTAS KERJA'!K"&amp;(SMALL(IF(checklistPesertaKemenkeu!$AY$6:$AY$1005="Direkomendasikan",ROW($6:$1005)-5),36)+5)&amp;":O"&amp;(SMALL(IF(checklistPesertaKemenkeu!$AY$6:$AY$1005="Direkomendasikan",ROW($6:$1005)-5),36)+5)),INDEX(checklistPesertaKemenkeu!$O$6:$O$1005,SMALL(IF(checklistPesertaKemenkeu!$AY$6:$AY$1005="Direkomendasikan",ROW($6:$1005)-5),36)))=1),IFERROR(VLOOKUP(INDEX(checklistPesertaKemenkeu!$O$6:$O$1005,SMALL(IF(checklistPesertaKemenkeu!$AY$6:$AY$1005="Direkomendasikan",ROW($6:$1005)-5),36)),KotaKode,2,0),"-"),"")),"")</f>
        <v/>
      </c>
      <c r="L37" t="str">
        <f t="array" aca="1" ref="L37" ca="1">IFERROR(IF(OR(INDEX(checklistPesertaKemenkeu!$P$6:$P$1005,SMALL(IF(checklistPesertaKemenkeu!$AY$6:$AY$1005="Direkomendasikan",ROW($6:$1005)-5),36))="",INDEX(checklistPesertaKemenkeu!$J$6:$J$1005,SMALL(IF(checklistPesertaKemenkeu!$AY$6:$AY$1005="Direkomendasikan",ROW($6:$1005)-5),36))=""),"",IF(AND(COUNTIF(INDIRECT("K_"&amp;MATCH(INDEX(checklistPesertaKemenkeu!$J$6:$J$1005,SMALL(IF(checklistPesertaKemenkeu!$AY$6:$AY$1005="Direkomendasikan",ROW($6:$1005)-5),36)),BidangList,0)),INDEX(checklistPesertaKemenkeu!$P$6:$P$1005,SMALL(IF(checklistPesertaKemenkeu!$AY$6:$AY$1005="Direkomendasikan",ROW($6:$1005)-5),36)))&gt;0,COUNTIF(INDIRECT("'KERTAS KERJA'!K"&amp;(SMALL(IF(checklistPesertaKemenkeu!$AY$6:$AY$1005="Direkomendasikan",ROW($6:$1005)-5),36)+5)&amp;":O"&amp;(SMALL(IF(checklistPesertaKemenkeu!$AY$6:$AY$1005="Direkomendasikan",ROW($6:$1005)-5),36)+5)),INDEX(checklistPesertaKemenkeu!$P$6:$P$1005,SMALL(IF(checklistPesertaKemenkeu!$AY$6:$AY$1005="Direkomendasikan",ROW($6:$1005)-5),36)))=1),IFERROR(VLOOKUP(INDEX(checklistPesertaKemenkeu!$P$6:$P$1005,SMALL(IF(checklistPesertaKemenkeu!$AY$6:$AY$1005="Direkomendasikan",ROW($6:$1005)-5),36)),KotaKode,2,0),"-"),"")),"")</f>
        <v/>
      </c>
    </row>
    <row r="38" spans="1:12" ht="15" customHeight="1" x14ac:dyDescent="0.2">
      <c r="A38" t="str">
        <f t="shared" si="0"/>
        <v/>
      </c>
      <c r="B38" t="str">
        <v/>
      </c>
      <c r="C38" s="40" t="str">
        <f t="array" ref="C38">IFERROR(INDEX(checklistPesertaKemenkeu!$F$6:$F$1005,SMALL(IF(checklistPesertaKemenkeu!$AY$6:$AY$1005="Direkomendasikan",ROW($6:$1005)-5),37)),"")</f>
        <v/>
      </c>
      <c r="D38" t="str">
        <f t="array" ref="D38">IFERROR(INDEX(checklistPesertaKemenkeu!$G$6:$G$1005,SMALL(IF(checklistPesertaKemenkeu!$AY$6:$AY$1005="Direkomendasikan",ROW($6:$1005)-5),37)),"")</f>
        <v/>
      </c>
      <c r="E38" t="str">
        <f t="array" ref="E38">IFERROR(INDEX(checklistPesertaKemenkeu!$H$6:$H$1005,SMALL(IF(checklistPesertaKemenkeu!$AY$6:$AY$1005="Direkomendasikan",ROW($6:$1005)-5),37)),"")</f>
        <v/>
      </c>
      <c r="F38" t="str">
        <f t="array" ref="F38">IFERROR(INDEX(checklistPesertaKemenkeu!$I$6:$I$1005,SMALL(IF(checklistPesertaKemenkeu!$AY$6:$AY$1005="Direkomendasikan",ROW($6:$1005)-5),37)),"")</f>
        <v/>
      </c>
      <c r="G38" t="str">
        <f t="array" ref="G38">IFERROR(INDEX(checklistPesertaKemenkeu!$J$6:$J$1005,SMALL(IF(checklistPesertaKemenkeu!$AY$6:$AY$1005="Direkomendasikan",ROW($6:$1005)-5),37)),"")</f>
        <v/>
      </c>
      <c r="H38" t="str">
        <f t="array" aca="1" ref="H38" ca="1">IFERROR(IF(OR(INDEX(checklistPesertaKemenkeu!$L$6:$L$1005,SMALL(IF(checklistPesertaKemenkeu!$AY$6:$AY$1005="Direkomendasikan",ROW($6:$1005)-5),37))="",INDEX(checklistPesertaKemenkeu!$J$6:$J$1005,SMALL(IF(checklistPesertaKemenkeu!$AY$6:$AY$1005="Direkomendasikan",ROW($6:$1005)-5),37))=""),"",IF(AND(COUNTIF(INDIRECT("K_"&amp;MATCH(INDEX(checklistPesertaKemenkeu!$J$6:$J$1005,SMALL(IF(checklistPesertaKemenkeu!$AY$6:$AY$1005="Direkomendasikan",ROW($6:$1005)-5),37)),BidangList,0)),INDEX(checklistPesertaKemenkeu!$L$6:$L$1005,SMALL(IF(checklistPesertaKemenkeu!$AY$6:$AY$1005="Direkomendasikan",ROW($6:$1005)-5),37)))&gt;0,COUNTIF(INDIRECT("'KERTAS KERJA'!K"&amp;(SMALL(IF(checklistPesertaKemenkeu!$AY$6:$AY$1005="Direkomendasikan",ROW($6:$1005)-5),37)+5)&amp;":O"&amp;(SMALL(IF(checklistPesertaKemenkeu!$AY$6:$AY$1005="Direkomendasikan",ROW($6:$1005)-5),37)+5)),INDEX(checklistPesertaKemenkeu!$L$6:$L$1005,SMALL(IF(checklistPesertaKemenkeu!$AY$6:$AY$1005="Direkomendasikan",ROW($6:$1005)-5),37)))=1),IFERROR(VLOOKUP(INDEX(checklistPesertaKemenkeu!$L$6:$L$1005,SMALL(IF(checklistPesertaKemenkeu!$AY$6:$AY$1005="Direkomendasikan",ROW($6:$1005)-5),37)),KotaKode,2,0),"-"),"")),"")</f>
        <v/>
      </c>
      <c r="I38" t="str">
        <f t="array" aca="1" ref="I38" ca="1">IFERROR(IF(OR(INDEX(checklistPesertaKemenkeu!$M$6:$M$1005,SMALL(IF(checklistPesertaKemenkeu!$AY$6:$AY$1005="Direkomendasikan",ROW($6:$1005)-5),37))="",INDEX(checklistPesertaKemenkeu!$J$6:$J$1005,SMALL(IF(checklistPesertaKemenkeu!$AY$6:$AY$1005="Direkomendasikan",ROW($6:$1005)-5),37))=""),"",IF(AND(COUNTIF(INDIRECT("K_"&amp;MATCH(INDEX(checklistPesertaKemenkeu!$J$6:$J$1005,SMALL(IF(checklistPesertaKemenkeu!$AY$6:$AY$1005="Direkomendasikan",ROW($6:$1005)-5),37)),BidangList,0)),INDEX(checklistPesertaKemenkeu!$M$6:$M$1005,SMALL(IF(checklistPesertaKemenkeu!$AY$6:$AY$1005="Direkomendasikan",ROW($6:$1005)-5),37)))&gt;0,COUNTIF(INDIRECT("'KERTAS KERJA'!K"&amp;(SMALL(IF(checklistPesertaKemenkeu!$AY$6:$AY$1005="Direkomendasikan",ROW($6:$1005)-5),37)+5)&amp;":O"&amp;(SMALL(IF(checklistPesertaKemenkeu!$AY$6:$AY$1005="Direkomendasikan",ROW($6:$1005)-5),37)+5)),INDEX(checklistPesertaKemenkeu!$M$6:$M$1005,SMALL(IF(checklistPesertaKemenkeu!$AY$6:$AY$1005="Direkomendasikan",ROW($6:$1005)-5),37)))=1),IFERROR(VLOOKUP(INDEX(checklistPesertaKemenkeu!$M$6:$M$1005,SMALL(IF(checklistPesertaKemenkeu!$AY$6:$AY$1005="Direkomendasikan",ROW($6:$1005)-5),37)),KotaKode,2,0),"-"),"")),"")</f>
        <v/>
      </c>
      <c r="J38" t="str">
        <f t="array" aca="1" ref="J38" ca="1">IFERROR(IF(OR(INDEX(checklistPesertaKemenkeu!$N$6:$N$1005,SMALL(IF(checklistPesertaKemenkeu!$AY$6:$AY$1005="Direkomendasikan",ROW($6:$1005)-5),37))="",INDEX(checklistPesertaKemenkeu!$J$6:$J$1005,SMALL(IF(checklistPesertaKemenkeu!$AY$6:$AY$1005="Direkomendasikan",ROW($6:$1005)-5),37))=""),"",IF(AND(COUNTIF(INDIRECT("K_"&amp;MATCH(INDEX(checklistPesertaKemenkeu!$J$6:$J$1005,SMALL(IF(checklistPesertaKemenkeu!$AY$6:$AY$1005="Direkomendasikan",ROW($6:$1005)-5),37)),BidangList,0)),INDEX(checklistPesertaKemenkeu!$N$6:$N$1005,SMALL(IF(checklistPesertaKemenkeu!$AY$6:$AY$1005="Direkomendasikan",ROW($6:$1005)-5),37)))&gt;0,COUNTIF(INDIRECT("'KERTAS KERJA'!K"&amp;(SMALL(IF(checklistPesertaKemenkeu!$AY$6:$AY$1005="Direkomendasikan",ROW($6:$1005)-5),37)+5)&amp;":O"&amp;(SMALL(IF(checklistPesertaKemenkeu!$AY$6:$AY$1005="Direkomendasikan",ROW($6:$1005)-5),37)+5)),INDEX(checklistPesertaKemenkeu!$N$6:$N$1005,SMALL(IF(checklistPesertaKemenkeu!$AY$6:$AY$1005="Direkomendasikan",ROW($6:$1005)-5),37)))=1),IFERROR(VLOOKUP(INDEX(checklistPesertaKemenkeu!$N$6:$N$1005,SMALL(IF(checklistPesertaKemenkeu!$AY$6:$AY$1005="Direkomendasikan",ROW($6:$1005)-5),37)),KotaKode,2,0),"-"),"")),"")</f>
        <v/>
      </c>
      <c r="K38" t="str">
        <f t="array" aca="1" ref="K38" ca="1">IFERROR(IF(OR(INDEX(checklistPesertaKemenkeu!$O$6:$O$1005,SMALL(IF(checklistPesertaKemenkeu!$AY$6:$AY$1005="Direkomendasikan",ROW($6:$1005)-5),37))="",INDEX(checklistPesertaKemenkeu!$J$6:$J$1005,SMALL(IF(checklistPesertaKemenkeu!$AY$6:$AY$1005="Direkomendasikan",ROW($6:$1005)-5),37))=""),"",IF(AND(COUNTIF(INDIRECT("K_"&amp;MATCH(INDEX(checklistPesertaKemenkeu!$J$6:$J$1005,SMALL(IF(checklistPesertaKemenkeu!$AY$6:$AY$1005="Direkomendasikan",ROW($6:$1005)-5),37)),BidangList,0)),INDEX(checklistPesertaKemenkeu!$O$6:$O$1005,SMALL(IF(checklistPesertaKemenkeu!$AY$6:$AY$1005="Direkomendasikan",ROW($6:$1005)-5),37)))&gt;0,COUNTIF(INDIRECT("'KERTAS KERJA'!K"&amp;(SMALL(IF(checklistPesertaKemenkeu!$AY$6:$AY$1005="Direkomendasikan",ROW($6:$1005)-5),37)+5)&amp;":O"&amp;(SMALL(IF(checklistPesertaKemenkeu!$AY$6:$AY$1005="Direkomendasikan",ROW($6:$1005)-5),37)+5)),INDEX(checklistPesertaKemenkeu!$O$6:$O$1005,SMALL(IF(checklistPesertaKemenkeu!$AY$6:$AY$1005="Direkomendasikan",ROW($6:$1005)-5),37)))=1),IFERROR(VLOOKUP(INDEX(checklistPesertaKemenkeu!$O$6:$O$1005,SMALL(IF(checklistPesertaKemenkeu!$AY$6:$AY$1005="Direkomendasikan",ROW($6:$1005)-5),37)),KotaKode,2,0),"-"),"")),"")</f>
        <v/>
      </c>
      <c r="L38" t="str">
        <f t="array" aca="1" ref="L38" ca="1">IFERROR(IF(OR(INDEX(checklistPesertaKemenkeu!$P$6:$P$1005,SMALL(IF(checklistPesertaKemenkeu!$AY$6:$AY$1005="Direkomendasikan",ROW($6:$1005)-5),37))="",INDEX(checklistPesertaKemenkeu!$J$6:$J$1005,SMALL(IF(checklistPesertaKemenkeu!$AY$6:$AY$1005="Direkomendasikan",ROW($6:$1005)-5),37))=""),"",IF(AND(COUNTIF(INDIRECT("K_"&amp;MATCH(INDEX(checklistPesertaKemenkeu!$J$6:$J$1005,SMALL(IF(checklistPesertaKemenkeu!$AY$6:$AY$1005="Direkomendasikan",ROW($6:$1005)-5),37)),BidangList,0)),INDEX(checklistPesertaKemenkeu!$P$6:$P$1005,SMALL(IF(checklistPesertaKemenkeu!$AY$6:$AY$1005="Direkomendasikan",ROW($6:$1005)-5),37)))&gt;0,COUNTIF(INDIRECT("'KERTAS KERJA'!K"&amp;(SMALL(IF(checklistPesertaKemenkeu!$AY$6:$AY$1005="Direkomendasikan",ROW($6:$1005)-5),37)+5)&amp;":O"&amp;(SMALL(IF(checklistPesertaKemenkeu!$AY$6:$AY$1005="Direkomendasikan",ROW($6:$1005)-5),37)+5)),INDEX(checklistPesertaKemenkeu!$P$6:$P$1005,SMALL(IF(checklistPesertaKemenkeu!$AY$6:$AY$1005="Direkomendasikan",ROW($6:$1005)-5),37)))=1),IFERROR(VLOOKUP(INDEX(checklistPesertaKemenkeu!$P$6:$P$1005,SMALL(IF(checklistPesertaKemenkeu!$AY$6:$AY$1005="Direkomendasikan",ROW($6:$1005)-5),37)),KotaKode,2,0),"-"),"")),"")</f>
        <v/>
      </c>
    </row>
    <row r="39" spans="1:12" ht="15" customHeight="1" x14ac:dyDescent="0.2">
      <c r="A39" t="str">
        <f t="shared" si="0"/>
        <v/>
      </c>
      <c r="B39" t="str">
        <v/>
      </c>
      <c r="C39" s="40" t="str">
        <f t="array" ref="C39">IFERROR(INDEX(checklistPesertaKemenkeu!$F$6:$F$1005,SMALL(IF(checklistPesertaKemenkeu!$AY$6:$AY$1005="Direkomendasikan",ROW($6:$1005)-5),38)),"")</f>
        <v/>
      </c>
      <c r="D39" t="str">
        <f t="array" ref="D39">IFERROR(INDEX(checklistPesertaKemenkeu!$G$6:$G$1005,SMALL(IF(checklistPesertaKemenkeu!$AY$6:$AY$1005="Direkomendasikan",ROW($6:$1005)-5),38)),"")</f>
        <v/>
      </c>
      <c r="E39" t="str">
        <f t="array" ref="E39">IFERROR(INDEX(checklistPesertaKemenkeu!$H$6:$H$1005,SMALL(IF(checklistPesertaKemenkeu!$AY$6:$AY$1005="Direkomendasikan",ROW($6:$1005)-5),38)),"")</f>
        <v/>
      </c>
      <c r="F39" t="str">
        <f t="array" ref="F39">IFERROR(INDEX(checklistPesertaKemenkeu!$I$6:$I$1005,SMALL(IF(checklistPesertaKemenkeu!$AY$6:$AY$1005="Direkomendasikan",ROW($6:$1005)-5),38)),"")</f>
        <v/>
      </c>
      <c r="G39" t="str">
        <f t="array" ref="G39">IFERROR(INDEX(checklistPesertaKemenkeu!$J$6:$J$1005,SMALL(IF(checklistPesertaKemenkeu!$AY$6:$AY$1005="Direkomendasikan",ROW($6:$1005)-5),38)),"")</f>
        <v/>
      </c>
      <c r="H39" t="str">
        <f t="array" aca="1" ref="H39" ca="1">IFERROR(IF(OR(INDEX(checklistPesertaKemenkeu!$L$6:$L$1005,SMALL(IF(checklistPesertaKemenkeu!$AY$6:$AY$1005="Direkomendasikan",ROW($6:$1005)-5),38))="",INDEX(checklistPesertaKemenkeu!$J$6:$J$1005,SMALL(IF(checklistPesertaKemenkeu!$AY$6:$AY$1005="Direkomendasikan",ROW($6:$1005)-5),38))=""),"",IF(AND(COUNTIF(INDIRECT("K_"&amp;MATCH(INDEX(checklistPesertaKemenkeu!$J$6:$J$1005,SMALL(IF(checklistPesertaKemenkeu!$AY$6:$AY$1005="Direkomendasikan",ROW($6:$1005)-5),38)),BidangList,0)),INDEX(checklistPesertaKemenkeu!$L$6:$L$1005,SMALL(IF(checklistPesertaKemenkeu!$AY$6:$AY$1005="Direkomendasikan",ROW($6:$1005)-5),38)))&gt;0,COUNTIF(INDIRECT("'KERTAS KERJA'!K"&amp;(SMALL(IF(checklistPesertaKemenkeu!$AY$6:$AY$1005="Direkomendasikan",ROW($6:$1005)-5),38)+5)&amp;":O"&amp;(SMALL(IF(checklistPesertaKemenkeu!$AY$6:$AY$1005="Direkomendasikan",ROW($6:$1005)-5),38)+5)),INDEX(checklistPesertaKemenkeu!$L$6:$L$1005,SMALL(IF(checklistPesertaKemenkeu!$AY$6:$AY$1005="Direkomendasikan",ROW($6:$1005)-5),38)))=1),IFERROR(VLOOKUP(INDEX(checklistPesertaKemenkeu!$L$6:$L$1005,SMALL(IF(checklistPesertaKemenkeu!$AY$6:$AY$1005="Direkomendasikan",ROW($6:$1005)-5),38)),KotaKode,2,0),"-"),"")),"")</f>
        <v/>
      </c>
      <c r="I39" t="str">
        <f t="array" aca="1" ref="I39" ca="1">IFERROR(IF(OR(INDEX(checklistPesertaKemenkeu!$M$6:$M$1005,SMALL(IF(checklistPesertaKemenkeu!$AY$6:$AY$1005="Direkomendasikan",ROW($6:$1005)-5),38))="",INDEX(checklistPesertaKemenkeu!$J$6:$J$1005,SMALL(IF(checklistPesertaKemenkeu!$AY$6:$AY$1005="Direkomendasikan",ROW($6:$1005)-5),38))=""),"",IF(AND(COUNTIF(INDIRECT("K_"&amp;MATCH(INDEX(checklistPesertaKemenkeu!$J$6:$J$1005,SMALL(IF(checklistPesertaKemenkeu!$AY$6:$AY$1005="Direkomendasikan",ROW($6:$1005)-5),38)),BidangList,0)),INDEX(checklistPesertaKemenkeu!$M$6:$M$1005,SMALL(IF(checklistPesertaKemenkeu!$AY$6:$AY$1005="Direkomendasikan",ROW($6:$1005)-5),38)))&gt;0,COUNTIF(INDIRECT("'KERTAS KERJA'!K"&amp;(SMALL(IF(checklistPesertaKemenkeu!$AY$6:$AY$1005="Direkomendasikan",ROW($6:$1005)-5),38)+5)&amp;":O"&amp;(SMALL(IF(checklistPesertaKemenkeu!$AY$6:$AY$1005="Direkomendasikan",ROW($6:$1005)-5),38)+5)),INDEX(checklistPesertaKemenkeu!$M$6:$M$1005,SMALL(IF(checklistPesertaKemenkeu!$AY$6:$AY$1005="Direkomendasikan",ROW($6:$1005)-5),38)))=1),IFERROR(VLOOKUP(INDEX(checklistPesertaKemenkeu!$M$6:$M$1005,SMALL(IF(checklistPesertaKemenkeu!$AY$6:$AY$1005="Direkomendasikan",ROW($6:$1005)-5),38)),KotaKode,2,0),"-"),"")),"")</f>
        <v/>
      </c>
      <c r="J39" t="str">
        <f t="array" aca="1" ref="J39" ca="1">IFERROR(IF(OR(INDEX(checklistPesertaKemenkeu!$N$6:$N$1005,SMALL(IF(checklistPesertaKemenkeu!$AY$6:$AY$1005="Direkomendasikan",ROW($6:$1005)-5),38))="",INDEX(checklistPesertaKemenkeu!$J$6:$J$1005,SMALL(IF(checklistPesertaKemenkeu!$AY$6:$AY$1005="Direkomendasikan",ROW($6:$1005)-5),38))=""),"",IF(AND(COUNTIF(INDIRECT("K_"&amp;MATCH(INDEX(checklistPesertaKemenkeu!$J$6:$J$1005,SMALL(IF(checklistPesertaKemenkeu!$AY$6:$AY$1005="Direkomendasikan",ROW($6:$1005)-5),38)),BidangList,0)),INDEX(checklistPesertaKemenkeu!$N$6:$N$1005,SMALL(IF(checklistPesertaKemenkeu!$AY$6:$AY$1005="Direkomendasikan",ROW($6:$1005)-5),38)))&gt;0,COUNTIF(INDIRECT("'KERTAS KERJA'!K"&amp;(SMALL(IF(checklistPesertaKemenkeu!$AY$6:$AY$1005="Direkomendasikan",ROW($6:$1005)-5),38)+5)&amp;":O"&amp;(SMALL(IF(checklistPesertaKemenkeu!$AY$6:$AY$1005="Direkomendasikan",ROW($6:$1005)-5),38)+5)),INDEX(checklistPesertaKemenkeu!$N$6:$N$1005,SMALL(IF(checklistPesertaKemenkeu!$AY$6:$AY$1005="Direkomendasikan",ROW($6:$1005)-5),38)))=1),IFERROR(VLOOKUP(INDEX(checklistPesertaKemenkeu!$N$6:$N$1005,SMALL(IF(checklistPesertaKemenkeu!$AY$6:$AY$1005="Direkomendasikan",ROW($6:$1005)-5),38)),KotaKode,2,0),"-"),"")),"")</f>
        <v/>
      </c>
      <c r="K39" t="str">
        <f t="array" aca="1" ref="K39" ca="1">IFERROR(IF(OR(INDEX(checklistPesertaKemenkeu!$O$6:$O$1005,SMALL(IF(checklistPesertaKemenkeu!$AY$6:$AY$1005="Direkomendasikan",ROW($6:$1005)-5),38))="",INDEX(checklistPesertaKemenkeu!$J$6:$J$1005,SMALL(IF(checklistPesertaKemenkeu!$AY$6:$AY$1005="Direkomendasikan",ROW($6:$1005)-5),38))=""),"",IF(AND(COUNTIF(INDIRECT("K_"&amp;MATCH(INDEX(checklistPesertaKemenkeu!$J$6:$J$1005,SMALL(IF(checklistPesertaKemenkeu!$AY$6:$AY$1005="Direkomendasikan",ROW($6:$1005)-5),38)),BidangList,0)),INDEX(checklistPesertaKemenkeu!$O$6:$O$1005,SMALL(IF(checklistPesertaKemenkeu!$AY$6:$AY$1005="Direkomendasikan",ROW($6:$1005)-5),38)))&gt;0,COUNTIF(INDIRECT("'KERTAS KERJA'!K"&amp;(SMALL(IF(checklistPesertaKemenkeu!$AY$6:$AY$1005="Direkomendasikan",ROW($6:$1005)-5),38)+5)&amp;":O"&amp;(SMALL(IF(checklistPesertaKemenkeu!$AY$6:$AY$1005="Direkomendasikan",ROW($6:$1005)-5),38)+5)),INDEX(checklistPesertaKemenkeu!$O$6:$O$1005,SMALL(IF(checklistPesertaKemenkeu!$AY$6:$AY$1005="Direkomendasikan",ROW($6:$1005)-5),38)))=1),IFERROR(VLOOKUP(INDEX(checklistPesertaKemenkeu!$O$6:$O$1005,SMALL(IF(checklistPesertaKemenkeu!$AY$6:$AY$1005="Direkomendasikan",ROW($6:$1005)-5),38)),KotaKode,2,0),"-"),"")),"")</f>
        <v/>
      </c>
      <c r="L39" t="str">
        <f t="array" aca="1" ref="L39" ca="1">IFERROR(IF(OR(INDEX(checklistPesertaKemenkeu!$P$6:$P$1005,SMALL(IF(checklistPesertaKemenkeu!$AY$6:$AY$1005="Direkomendasikan",ROW($6:$1005)-5),38))="",INDEX(checklistPesertaKemenkeu!$J$6:$J$1005,SMALL(IF(checklistPesertaKemenkeu!$AY$6:$AY$1005="Direkomendasikan",ROW($6:$1005)-5),38))=""),"",IF(AND(COUNTIF(INDIRECT("K_"&amp;MATCH(INDEX(checklistPesertaKemenkeu!$J$6:$J$1005,SMALL(IF(checklistPesertaKemenkeu!$AY$6:$AY$1005="Direkomendasikan",ROW($6:$1005)-5),38)),BidangList,0)),INDEX(checklistPesertaKemenkeu!$P$6:$P$1005,SMALL(IF(checklistPesertaKemenkeu!$AY$6:$AY$1005="Direkomendasikan",ROW($6:$1005)-5),38)))&gt;0,COUNTIF(INDIRECT("'KERTAS KERJA'!K"&amp;(SMALL(IF(checklistPesertaKemenkeu!$AY$6:$AY$1005="Direkomendasikan",ROW($6:$1005)-5),38)+5)&amp;":O"&amp;(SMALL(IF(checklistPesertaKemenkeu!$AY$6:$AY$1005="Direkomendasikan",ROW($6:$1005)-5),38)+5)),INDEX(checklistPesertaKemenkeu!$P$6:$P$1005,SMALL(IF(checklistPesertaKemenkeu!$AY$6:$AY$1005="Direkomendasikan",ROW($6:$1005)-5),38)))=1),IFERROR(VLOOKUP(INDEX(checklistPesertaKemenkeu!$P$6:$P$1005,SMALL(IF(checklistPesertaKemenkeu!$AY$6:$AY$1005="Direkomendasikan",ROW($6:$1005)-5),38)),KotaKode,2,0),"-"),"")),"")</f>
        <v/>
      </c>
    </row>
    <row r="40" spans="1:12" ht="15" customHeight="1" x14ac:dyDescent="0.2">
      <c r="A40" t="str">
        <f t="shared" si="0"/>
        <v/>
      </c>
      <c r="B40" t="str">
        <v/>
      </c>
      <c r="C40" s="40" t="str">
        <f t="array" ref="C40">IFERROR(INDEX(checklistPesertaKemenkeu!$F$6:$F$1005,SMALL(IF(checklistPesertaKemenkeu!$AY$6:$AY$1005="Direkomendasikan",ROW($6:$1005)-5),39)),"")</f>
        <v/>
      </c>
      <c r="D40" t="str">
        <f t="array" ref="D40">IFERROR(INDEX(checklistPesertaKemenkeu!$G$6:$G$1005,SMALL(IF(checklistPesertaKemenkeu!$AY$6:$AY$1005="Direkomendasikan",ROW($6:$1005)-5),39)),"")</f>
        <v/>
      </c>
      <c r="E40" t="str">
        <f t="array" ref="E40">IFERROR(INDEX(checklistPesertaKemenkeu!$H$6:$H$1005,SMALL(IF(checklistPesertaKemenkeu!$AY$6:$AY$1005="Direkomendasikan",ROW($6:$1005)-5),39)),"")</f>
        <v/>
      </c>
      <c r="F40" t="str">
        <f t="array" ref="F40">IFERROR(INDEX(checklistPesertaKemenkeu!$I$6:$I$1005,SMALL(IF(checklistPesertaKemenkeu!$AY$6:$AY$1005="Direkomendasikan",ROW($6:$1005)-5),39)),"")</f>
        <v/>
      </c>
      <c r="G40" t="str">
        <f t="array" ref="G40">IFERROR(INDEX(checklistPesertaKemenkeu!$J$6:$J$1005,SMALL(IF(checklistPesertaKemenkeu!$AY$6:$AY$1005="Direkomendasikan",ROW($6:$1005)-5),39)),"")</f>
        <v/>
      </c>
      <c r="H40" t="str">
        <f t="array" aca="1" ref="H40" ca="1">IFERROR(IF(OR(INDEX(checklistPesertaKemenkeu!$L$6:$L$1005,SMALL(IF(checklistPesertaKemenkeu!$AY$6:$AY$1005="Direkomendasikan",ROW($6:$1005)-5),39))="",INDEX(checklistPesertaKemenkeu!$J$6:$J$1005,SMALL(IF(checklistPesertaKemenkeu!$AY$6:$AY$1005="Direkomendasikan",ROW($6:$1005)-5),39))=""),"",IF(AND(COUNTIF(INDIRECT("K_"&amp;MATCH(INDEX(checklistPesertaKemenkeu!$J$6:$J$1005,SMALL(IF(checklistPesertaKemenkeu!$AY$6:$AY$1005="Direkomendasikan",ROW($6:$1005)-5),39)),BidangList,0)),INDEX(checklistPesertaKemenkeu!$L$6:$L$1005,SMALL(IF(checklistPesertaKemenkeu!$AY$6:$AY$1005="Direkomendasikan",ROW($6:$1005)-5),39)))&gt;0,COUNTIF(INDIRECT("'KERTAS KERJA'!K"&amp;(SMALL(IF(checklistPesertaKemenkeu!$AY$6:$AY$1005="Direkomendasikan",ROW($6:$1005)-5),39)+5)&amp;":O"&amp;(SMALL(IF(checklistPesertaKemenkeu!$AY$6:$AY$1005="Direkomendasikan",ROW($6:$1005)-5),39)+5)),INDEX(checklistPesertaKemenkeu!$L$6:$L$1005,SMALL(IF(checklistPesertaKemenkeu!$AY$6:$AY$1005="Direkomendasikan",ROW($6:$1005)-5),39)))=1),IFERROR(VLOOKUP(INDEX(checklistPesertaKemenkeu!$L$6:$L$1005,SMALL(IF(checklistPesertaKemenkeu!$AY$6:$AY$1005="Direkomendasikan",ROW($6:$1005)-5),39)),KotaKode,2,0),"-"),"")),"")</f>
        <v/>
      </c>
      <c r="I40" t="str">
        <f t="array" aca="1" ref="I40" ca="1">IFERROR(IF(OR(INDEX(checklistPesertaKemenkeu!$M$6:$M$1005,SMALL(IF(checklistPesertaKemenkeu!$AY$6:$AY$1005="Direkomendasikan",ROW($6:$1005)-5),39))="",INDEX(checklistPesertaKemenkeu!$J$6:$J$1005,SMALL(IF(checklistPesertaKemenkeu!$AY$6:$AY$1005="Direkomendasikan",ROW($6:$1005)-5),39))=""),"",IF(AND(COUNTIF(INDIRECT("K_"&amp;MATCH(INDEX(checklistPesertaKemenkeu!$J$6:$J$1005,SMALL(IF(checklistPesertaKemenkeu!$AY$6:$AY$1005="Direkomendasikan",ROW($6:$1005)-5),39)),BidangList,0)),INDEX(checklistPesertaKemenkeu!$M$6:$M$1005,SMALL(IF(checklistPesertaKemenkeu!$AY$6:$AY$1005="Direkomendasikan",ROW($6:$1005)-5),39)))&gt;0,COUNTIF(INDIRECT("'KERTAS KERJA'!K"&amp;(SMALL(IF(checklistPesertaKemenkeu!$AY$6:$AY$1005="Direkomendasikan",ROW($6:$1005)-5),39)+5)&amp;":O"&amp;(SMALL(IF(checklistPesertaKemenkeu!$AY$6:$AY$1005="Direkomendasikan",ROW($6:$1005)-5),39)+5)),INDEX(checklistPesertaKemenkeu!$M$6:$M$1005,SMALL(IF(checklistPesertaKemenkeu!$AY$6:$AY$1005="Direkomendasikan",ROW($6:$1005)-5),39)))=1),IFERROR(VLOOKUP(INDEX(checklistPesertaKemenkeu!$M$6:$M$1005,SMALL(IF(checklistPesertaKemenkeu!$AY$6:$AY$1005="Direkomendasikan",ROW($6:$1005)-5),39)),KotaKode,2,0),"-"),"")),"")</f>
        <v/>
      </c>
      <c r="J40" t="str">
        <f t="array" aca="1" ref="J40" ca="1">IFERROR(IF(OR(INDEX(checklistPesertaKemenkeu!$N$6:$N$1005,SMALL(IF(checklistPesertaKemenkeu!$AY$6:$AY$1005="Direkomendasikan",ROW($6:$1005)-5),39))="",INDEX(checklistPesertaKemenkeu!$J$6:$J$1005,SMALL(IF(checklistPesertaKemenkeu!$AY$6:$AY$1005="Direkomendasikan",ROW($6:$1005)-5),39))=""),"",IF(AND(COUNTIF(INDIRECT("K_"&amp;MATCH(INDEX(checklistPesertaKemenkeu!$J$6:$J$1005,SMALL(IF(checklistPesertaKemenkeu!$AY$6:$AY$1005="Direkomendasikan",ROW($6:$1005)-5),39)),BidangList,0)),INDEX(checklistPesertaKemenkeu!$N$6:$N$1005,SMALL(IF(checklistPesertaKemenkeu!$AY$6:$AY$1005="Direkomendasikan",ROW($6:$1005)-5),39)))&gt;0,COUNTIF(INDIRECT("'KERTAS KERJA'!K"&amp;(SMALL(IF(checklistPesertaKemenkeu!$AY$6:$AY$1005="Direkomendasikan",ROW($6:$1005)-5),39)+5)&amp;":O"&amp;(SMALL(IF(checklistPesertaKemenkeu!$AY$6:$AY$1005="Direkomendasikan",ROW($6:$1005)-5),39)+5)),INDEX(checklistPesertaKemenkeu!$N$6:$N$1005,SMALL(IF(checklistPesertaKemenkeu!$AY$6:$AY$1005="Direkomendasikan",ROW($6:$1005)-5),39)))=1),IFERROR(VLOOKUP(INDEX(checklistPesertaKemenkeu!$N$6:$N$1005,SMALL(IF(checklistPesertaKemenkeu!$AY$6:$AY$1005="Direkomendasikan",ROW($6:$1005)-5),39)),KotaKode,2,0),"-"),"")),"")</f>
        <v/>
      </c>
      <c r="K40" t="str">
        <f t="array" aca="1" ref="K40" ca="1">IFERROR(IF(OR(INDEX(checklistPesertaKemenkeu!$O$6:$O$1005,SMALL(IF(checklistPesertaKemenkeu!$AY$6:$AY$1005="Direkomendasikan",ROW($6:$1005)-5),39))="",INDEX(checklistPesertaKemenkeu!$J$6:$J$1005,SMALL(IF(checklistPesertaKemenkeu!$AY$6:$AY$1005="Direkomendasikan",ROW($6:$1005)-5),39))=""),"",IF(AND(COUNTIF(INDIRECT("K_"&amp;MATCH(INDEX(checklistPesertaKemenkeu!$J$6:$J$1005,SMALL(IF(checklistPesertaKemenkeu!$AY$6:$AY$1005="Direkomendasikan",ROW($6:$1005)-5),39)),BidangList,0)),INDEX(checklistPesertaKemenkeu!$O$6:$O$1005,SMALL(IF(checklistPesertaKemenkeu!$AY$6:$AY$1005="Direkomendasikan",ROW($6:$1005)-5),39)))&gt;0,COUNTIF(INDIRECT("'KERTAS KERJA'!K"&amp;(SMALL(IF(checklistPesertaKemenkeu!$AY$6:$AY$1005="Direkomendasikan",ROW($6:$1005)-5),39)+5)&amp;":O"&amp;(SMALL(IF(checklistPesertaKemenkeu!$AY$6:$AY$1005="Direkomendasikan",ROW($6:$1005)-5),39)+5)),INDEX(checklistPesertaKemenkeu!$O$6:$O$1005,SMALL(IF(checklistPesertaKemenkeu!$AY$6:$AY$1005="Direkomendasikan",ROW($6:$1005)-5),39)))=1),IFERROR(VLOOKUP(INDEX(checklistPesertaKemenkeu!$O$6:$O$1005,SMALL(IF(checklistPesertaKemenkeu!$AY$6:$AY$1005="Direkomendasikan",ROW($6:$1005)-5),39)),KotaKode,2,0),"-"),"")),"")</f>
        <v/>
      </c>
      <c r="L40" t="str">
        <f t="array" aca="1" ref="L40" ca="1">IFERROR(IF(OR(INDEX(checklistPesertaKemenkeu!$P$6:$P$1005,SMALL(IF(checklistPesertaKemenkeu!$AY$6:$AY$1005="Direkomendasikan",ROW($6:$1005)-5),39))="",INDEX(checklistPesertaKemenkeu!$J$6:$J$1005,SMALL(IF(checklistPesertaKemenkeu!$AY$6:$AY$1005="Direkomendasikan",ROW($6:$1005)-5),39))=""),"",IF(AND(COUNTIF(INDIRECT("K_"&amp;MATCH(INDEX(checklistPesertaKemenkeu!$J$6:$J$1005,SMALL(IF(checklistPesertaKemenkeu!$AY$6:$AY$1005="Direkomendasikan",ROW($6:$1005)-5),39)),BidangList,0)),INDEX(checklistPesertaKemenkeu!$P$6:$P$1005,SMALL(IF(checklistPesertaKemenkeu!$AY$6:$AY$1005="Direkomendasikan",ROW($6:$1005)-5),39)))&gt;0,COUNTIF(INDIRECT("'KERTAS KERJA'!K"&amp;(SMALL(IF(checklistPesertaKemenkeu!$AY$6:$AY$1005="Direkomendasikan",ROW($6:$1005)-5),39)+5)&amp;":O"&amp;(SMALL(IF(checklistPesertaKemenkeu!$AY$6:$AY$1005="Direkomendasikan",ROW($6:$1005)-5),39)+5)),INDEX(checklistPesertaKemenkeu!$P$6:$P$1005,SMALL(IF(checklistPesertaKemenkeu!$AY$6:$AY$1005="Direkomendasikan",ROW($6:$1005)-5),39)))=1),IFERROR(VLOOKUP(INDEX(checklistPesertaKemenkeu!$P$6:$P$1005,SMALL(IF(checklistPesertaKemenkeu!$AY$6:$AY$1005="Direkomendasikan",ROW($6:$1005)-5),39)),KotaKode,2,0),"-"),"")),"")</f>
        <v/>
      </c>
    </row>
    <row r="41" spans="1:12" ht="15" customHeight="1" x14ac:dyDescent="0.2">
      <c r="A41" t="str">
        <f t="shared" si="0"/>
        <v/>
      </c>
      <c r="B41" t="str">
        <v/>
      </c>
      <c r="C41" s="40" t="str">
        <f t="array" ref="C41">IFERROR(INDEX(checklistPesertaKemenkeu!$F$6:$F$1005,SMALL(IF(checklistPesertaKemenkeu!$AY$6:$AY$1005="Direkomendasikan",ROW($6:$1005)-5),40)),"")</f>
        <v/>
      </c>
      <c r="D41" t="str">
        <f t="array" ref="D41">IFERROR(INDEX(checklistPesertaKemenkeu!$G$6:$G$1005,SMALL(IF(checklistPesertaKemenkeu!$AY$6:$AY$1005="Direkomendasikan",ROW($6:$1005)-5),40)),"")</f>
        <v/>
      </c>
      <c r="E41" t="str">
        <f t="array" ref="E41">IFERROR(INDEX(checklistPesertaKemenkeu!$H$6:$H$1005,SMALL(IF(checklistPesertaKemenkeu!$AY$6:$AY$1005="Direkomendasikan",ROW($6:$1005)-5),40)),"")</f>
        <v/>
      </c>
      <c r="F41" t="str">
        <f t="array" ref="F41">IFERROR(INDEX(checklistPesertaKemenkeu!$I$6:$I$1005,SMALL(IF(checklistPesertaKemenkeu!$AY$6:$AY$1005="Direkomendasikan",ROW($6:$1005)-5),40)),"")</f>
        <v/>
      </c>
      <c r="G41" t="str">
        <f t="array" ref="G41">IFERROR(INDEX(checklistPesertaKemenkeu!$J$6:$J$1005,SMALL(IF(checklistPesertaKemenkeu!$AY$6:$AY$1005="Direkomendasikan",ROW($6:$1005)-5),40)),"")</f>
        <v/>
      </c>
      <c r="H41" t="str">
        <f t="array" aca="1" ref="H41" ca="1">IFERROR(IF(OR(INDEX(checklistPesertaKemenkeu!$L$6:$L$1005,SMALL(IF(checklistPesertaKemenkeu!$AY$6:$AY$1005="Direkomendasikan",ROW($6:$1005)-5),40))="",INDEX(checklistPesertaKemenkeu!$J$6:$J$1005,SMALL(IF(checklistPesertaKemenkeu!$AY$6:$AY$1005="Direkomendasikan",ROW($6:$1005)-5),40))=""),"",IF(AND(COUNTIF(INDIRECT("K_"&amp;MATCH(INDEX(checklistPesertaKemenkeu!$J$6:$J$1005,SMALL(IF(checklistPesertaKemenkeu!$AY$6:$AY$1005="Direkomendasikan",ROW($6:$1005)-5),40)),BidangList,0)),INDEX(checklistPesertaKemenkeu!$L$6:$L$1005,SMALL(IF(checklistPesertaKemenkeu!$AY$6:$AY$1005="Direkomendasikan",ROW($6:$1005)-5),40)))&gt;0,COUNTIF(INDIRECT("'KERTAS KERJA'!K"&amp;(SMALL(IF(checklistPesertaKemenkeu!$AY$6:$AY$1005="Direkomendasikan",ROW($6:$1005)-5),40)+5)&amp;":O"&amp;(SMALL(IF(checklistPesertaKemenkeu!$AY$6:$AY$1005="Direkomendasikan",ROW($6:$1005)-5),40)+5)),INDEX(checklistPesertaKemenkeu!$L$6:$L$1005,SMALL(IF(checklistPesertaKemenkeu!$AY$6:$AY$1005="Direkomendasikan",ROW($6:$1005)-5),40)))=1),IFERROR(VLOOKUP(INDEX(checklistPesertaKemenkeu!$L$6:$L$1005,SMALL(IF(checklistPesertaKemenkeu!$AY$6:$AY$1005="Direkomendasikan",ROW($6:$1005)-5),40)),KotaKode,2,0),"-"),"")),"")</f>
        <v/>
      </c>
      <c r="I41" t="str">
        <f t="array" aca="1" ref="I41" ca="1">IFERROR(IF(OR(INDEX(checklistPesertaKemenkeu!$M$6:$M$1005,SMALL(IF(checklistPesertaKemenkeu!$AY$6:$AY$1005="Direkomendasikan",ROW($6:$1005)-5),40))="",INDEX(checklistPesertaKemenkeu!$J$6:$J$1005,SMALL(IF(checklistPesertaKemenkeu!$AY$6:$AY$1005="Direkomendasikan",ROW($6:$1005)-5),40))=""),"",IF(AND(COUNTIF(INDIRECT("K_"&amp;MATCH(INDEX(checklistPesertaKemenkeu!$J$6:$J$1005,SMALL(IF(checklistPesertaKemenkeu!$AY$6:$AY$1005="Direkomendasikan",ROW($6:$1005)-5),40)),BidangList,0)),INDEX(checklistPesertaKemenkeu!$M$6:$M$1005,SMALL(IF(checklistPesertaKemenkeu!$AY$6:$AY$1005="Direkomendasikan",ROW($6:$1005)-5),40)))&gt;0,COUNTIF(INDIRECT("'KERTAS KERJA'!K"&amp;(SMALL(IF(checklistPesertaKemenkeu!$AY$6:$AY$1005="Direkomendasikan",ROW($6:$1005)-5),40)+5)&amp;":O"&amp;(SMALL(IF(checklistPesertaKemenkeu!$AY$6:$AY$1005="Direkomendasikan",ROW($6:$1005)-5),40)+5)),INDEX(checklistPesertaKemenkeu!$M$6:$M$1005,SMALL(IF(checklistPesertaKemenkeu!$AY$6:$AY$1005="Direkomendasikan",ROW($6:$1005)-5),40)))=1),IFERROR(VLOOKUP(INDEX(checklistPesertaKemenkeu!$M$6:$M$1005,SMALL(IF(checklistPesertaKemenkeu!$AY$6:$AY$1005="Direkomendasikan",ROW($6:$1005)-5),40)),KotaKode,2,0),"-"),"")),"")</f>
        <v/>
      </c>
      <c r="J41" t="str">
        <f t="array" aca="1" ref="J41" ca="1">IFERROR(IF(OR(INDEX(checklistPesertaKemenkeu!$N$6:$N$1005,SMALL(IF(checklistPesertaKemenkeu!$AY$6:$AY$1005="Direkomendasikan",ROW($6:$1005)-5),40))="",INDEX(checklistPesertaKemenkeu!$J$6:$J$1005,SMALL(IF(checklistPesertaKemenkeu!$AY$6:$AY$1005="Direkomendasikan",ROW($6:$1005)-5),40))=""),"",IF(AND(COUNTIF(INDIRECT("K_"&amp;MATCH(INDEX(checklistPesertaKemenkeu!$J$6:$J$1005,SMALL(IF(checklistPesertaKemenkeu!$AY$6:$AY$1005="Direkomendasikan",ROW($6:$1005)-5),40)),BidangList,0)),INDEX(checklistPesertaKemenkeu!$N$6:$N$1005,SMALL(IF(checklistPesertaKemenkeu!$AY$6:$AY$1005="Direkomendasikan",ROW($6:$1005)-5),40)))&gt;0,COUNTIF(INDIRECT("'KERTAS KERJA'!K"&amp;(SMALL(IF(checklistPesertaKemenkeu!$AY$6:$AY$1005="Direkomendasikan",ROW($6:$1005)-5),40)+5)&amp;":O"&amp;(SMALL(IF(checklistPesertaKemenkeu!$AY$6:$AY$1005="Direkomendasikan",ROW($6:$1005)-5),40)+5)),INDEX(checklistPesertaKemenkeu!$N$6:$N$1005,SMALL(IF(checklistPesertaKemenkeu!$AY$6:$AY$1005="Direkomendasikan",ROW($6:$1005)-5),40)))=1),IFERROR(VLOOKUP(INDEX(checklistPesertaKemenkeu!$N$6:$N$1005,SMALL(IF(checklistPesertaKemenkeu!$AY$6:$AY$1005="Direkomendasikan",ROW($6:$1005)-5),40)),KotaKode,2,0),"-"),"")),"")</f>
        <v/>
      </c>
      <c r="K41" t="str">
        <f t="array" aca="1" ref="K41" ca="1">IFERROR(IF(OR(INDEX(checklistPesertaKemenkeu!$O$6:$O$1005,SMALL(IF(checklistPesertaKemenkeu!$AY$6:$AY$1005="Direkomendasikan",ROW($6:$1005)-5),40))="",INDEX(checklistPesertaKemenkeu!$J$6:$J$1005,SMALL(IF(checklistPesertaKemenkeu!$AY$6:$AY$1005="Direkomendasikan",ROW($6:$1005)-5),40))=""),"",IF(AND(COUNTIF(INDIRECT("K_"&amp;MATCH(INDEX(checklistPesertaKemenkeu!$J$6:$J$1005,SMALL(IF(checklistPesertaKemenkeu!$AY$6:$AY$1005="Direkomendasikan",ROW($6:$1005)-5),40)),BidangList,0)),INDEX(checklistPesertaKemenkeu!$O$6:$O$1005,SMALL(IF(checklistPesertaKemenkeu!$AY$6:$AY$1005="Direkomendasikan",ROW($6:$1005)-5),40)))&gt;0,COUNTIF(INDIRECT("'KERTAS KERJA'!K"&amp;(SMALL(IF(checklistPesertaKemenkeu!$AY$6:$AY$1005="Direkomendasikan",ROW($6:$1005)-5),40)+5)&amp;":O"&amp;(SMALL(IF(checklistPesertaKemenkeu!$AY$6:$AY$1005="Direkomendasikan",ROW($6:$1005)-5),40)+5)),INDEX(checklistPesertaKemenkeu!$O$6:$O$1005,SMALL(IF(checklistPesertaKemenkeu!$AY$6:$AY$1005="Direkomendasikan",ROW($6:$1005)-5),40)))=1),IFERROR(VLOOKUP(INDEX(checklistPesertaKemenkeu!$O$6:$O$1005,SMALL(IF(checklistPesertaKemenkeu!$AY$6:$AY$1005="Direkomendasikan",ROW($6:$1005)-5),40)),KotaKode,2,0),"-"),"")),"")</f>
        <v/>
      </c>
      <c r="L41" t="str">
        <f t="array" aca="1" ref="L41" ca="1">IFERROR(IF(OR(INDEX(checklistPesertaKemenkeu!$P$6:$P$1005,SMALL(IF(checklistPesertaKemenkeu!$AY$6:$AY$1005="Direkomendasikan",ROW($6:$1005)-5),40))="",INDEX(checklistPesertaKemenkeu!$J$6:$J$1005,SMALL(IF(checklistPesertaKemenkeu!$AY$6:$AY$1005="Direkomendasikan",ROW($6:$1005)-5),40))=""),"",IF(AND(COUNTIF(INDIRECT("K_"&amp;MATCH(INDEX(checklistPesertaKemenkeu!$J$6:$J$1005,SMALL(IF(checklistPesertaKemenkeu!$AY$6:$AY$1005="Direkomendasikan",ROW($6:$1005)-5),40)),BidangList,0)),INDEX(checklistPesertaKemenkeu!$P$6:$P$1005,SMALL(IF(checklistPesertaKemenkeu!$AY$6:$AY$1005="Direkomendasikan",ROW($6:$1005)-5),40)))&gt;0,COUNTIF(INDIRECT("'KERTAS KERJA'!K"&amp;(SMALL(IF(checklistPesertaKemenkeu!$AY$6:$AY$1005="Direkomendasikan",ROW($6:$1005)-5),40)+5)&amp;":O"&amp;(SMALL(IF(checklistPesertaKemenkeu!$AY$6:$AY$1005="Direkomendasikan",ROW($6:$1005)-5),40)+5)),INDEX(checklistPesertaKemenkeu!$P$6:$P$1005,SMALL(IF(checklistPesertaKemenkeu!$AY$6:$AY$1005="Direkomendasikan",ROW($6:$1005)-5),40)))=1),IFERROR(VLOOKUP(INDEX(checklistPesertaKemenkeu!$P$6:$P$1005,SMALL(IF(checklistPesertaKemenkeu!$AY$6:$AY$1005="Direkomendasikan",ROW($6:$1005)-5),40)),KotaKode,2,0),"-"),"")),"")</f>
        <v/>
      </c>
    </row>
    <row r="42" spans="1:12" ht="15" customHeight="1" x14ac:dyDescent="0.2">
      <c r="A42" t="str">
        <f t="shared" si="0"/>
        <v/>
      </c>
      <c r="B42" t="str">
        <v/>
      </c>
      <c r="C42" s="40" t="str">
        <f t="array" ref="C42">IFERROR(INDEX(checklistPesertaKemenkeu!$F$6:$F$1005,SMALL(IF(checklistPesertaKemenkeu!$AY$6:$AY$1005="Direkomendasikan",ROW($6:$1005)-5),41)),"")</f>
        <v/>
      </c>
      <c r="D42" t="str">
        <f t="array" ref="D42">IFERROR(INDEX(checklistPesertaKemenkeu!$G$6:$G$1005,SMALL(IF(checklistPesertaKemenkeu!$AY$6:$AY$1005="Direkomendasikan",ROW($6:$1005)-5),41)),"")</f>
        <v/>
      </c>
      <c r="E42" t="str">
        <f t="array" ref="E42">IFERROR(INDEX(checklistPesertaKemenkeu!$H$6:$H$1005,SMALL(IF(checklistPesertaKemenkeu!$AY$6:$AY$1005="Direkomendasikan",ROW($6:$1005)-5),41)),"")</f>
        <v/>
      </c>
      <c r="F42" t="str">
        <f t="array" ref="F42">IFERROR(INDEX(checklistPesertaKemenkeu!$I$6:$I$1005,SMALL(IF(checklistPesertaKemenkeu!$AY$6:$AY$1005="Direkomendasikan",ROW($6:$1005)-5),41)),"")</f>
        <v/>
      </c>
      <c r="G42" t="str">
        <f t="array" ref="G42">IFERROR(INDEX(checklistPesertaKemenkeu!$J$6:$J$1005,SMALL(IF(checklistPesertaKemenkeu!$AY$6:$AY$1005="Direkomendasikan",ROW($6:$1005)-5),41)),"")</f>
        <v/>
      </c>
      <c r="H42" t="str">
        <f t="array" aca="1" ref="H42" ca="1">IFERROR(IF(OR(INDEX(checklistPesertaKemenkeu!$L$6:$L$1005,SMALL(IF(checklistPesertaKemenkeu!$AY$6:$AY$1005="Direkomendasikan",ROW($6:$1005)-5),41))="",INDEX(checklistPesertaKemenkeu!$J$6:$J$1005,SMALL(IF(checklistPesertaKemenkeu!$AY$6:$AY$1005="Direkomendasikan",ROW($6:$1005)-5),41))=""),"",IF(AND(COUNTIF(INDIRECT("K_"&amp;MATCH(INDEX(checklistPesertaKemenkeu!$J$6:$J$1005,SMALL(IF(checklistPesertaKemenkeu!$AY$6:$AY$1005="Direkomendasikan",ROW($6:$1005)-5),41)),BidangList,0)),INDEX(checklistPesertaKemenkeu!$L$6:$L$1005,SMALL(IF(checklistPesertaKemenkeu!$AY$6:$AY$1005="Direkomendasikan",ROW($6:$1005)-5),41)))&gt;0,COUNTIF(INDIRECT("'KERTAS KERJA'!K"&amp;(SMALL(IF(checklistPesertaKemenkeu!$AY$6:$AY$1005="Direkomendasikan",ROW($6:$1005)-5),41)+5)&amp;":O"&amp;(SMALL(IF(checklistPesertaKemenkeu!$AY$6:$AY$1005="Direkomendasikan",ROW($6:$1005)-5),41)+5)),INDEX(checklistPesertaKemenkeu!$L$6:$L$1005,SMALL(IF(checklistPesertaKemenkeu!$AY$6:$AY$1005="Direkomendasikan",ROW($6:$1005)-5),41)))=1),IFERROR(VLOOKUP(INDEX(checklistPesertaKemenkeu!$L$6:$L$1005,SMALL(IF(checklistPesertaKemenkeu!$AY$6:$AY$1005="Direkomendasikan",ROW($6:$1005)-5),41)),KotaKode,2,0),"-"),"")),"")</f>
        <v/>
      </c>
      <c r="I42" t="str">
        <f t="array" aca="1" ref="I42" ca="1">IFERROR(IF(OR(INDEX(checklistPesertaKemenkeu!$M$6:$M$1005,SMALL(IF(checklistPesertaKemenkeu!$AY$6:$AY$1005="Direkomendasikan",ROW($6:$1005)-5),41))="",INDEX(checklistPesertaKemenkeu!$J$6:$J$1005,SMALL(IF(checklistPesertaKemenkeu!$AY$6:$AY$1005="Direkomendasikan",ROW($6:$1005)-5),41))=""),"",IF(AND(COUNTIF(INDIRECT("K_"&amp;MATCH(INDEX(checklistPesertaKemenkeu!$J$6:$J$1005,SMALL(IF(checklistPesertaKemenkeu!$AY$6:$AY$1005="Direkomendasikan",ROW($6:$1005)-5),41)),BidangList,0)),INDEX(checklistPesertaKemenkeu!$M$6:$M$1005,SMALL(IF(checklistPesertaKemenkeu!$AY$6:$AY$1005="Direkomendasikan",ROW($6:$1005)-5),41)))&gt;0,COUNTIF(INDIRECT("'KERTAS KERJA'!K"&amp;(SMALL(IF(checklistPesertaKemenkeu!$AY$6:$AY$1005="Direkomendasikan",ROW($6:$1005)-5),41)+5)&amp;":O"&amp;(SMALL(IF(checklistPesertaKemenkeu!$AY$6:$AY$1005="Direkomendasikan",ROW($6:$1005)-5),41)+5)),INDEX(checklistPesertaKemenkeu!$M$6:$M$1005,SMALL(IF(checklistPesertaKemenkeu!$AY$6:$AY$1005="Direkomendasikan",ROW($6:$1005)-5),41)))=1),IFERROR(VLOOKUP(INDEX(checklistPesertaKemenkeu!$M$6:$M$1005,SMALL(IF(checklistPesertaKemenkeu!$AY$6:$AY$1005="Direkomendasikan",ROW($6:$1005)-5),41)),KotaKode,2,0),"-"),"")),"")</f>
        <v/>
      </c>
      <c r="J42" t="str">
        <f t="array" aca="1" ref="J42" ca="1">IFERROR(IF(OR(INDEX(checklistPesertaKemenkeu!$N$6:$N$1005,SMALL(IF(checklistPesertaKemenkeu!$AY$6:$AY$1005="Direkomendasikan",ROW($6:$1005)-5),41))="",INDEX(checklistPesertaKemenkeu!$J$6:$J$1005,SMALL(IF(checklistPesertaKemenkeu!$AY$6:$AY$1005="Direkomendasikan",ROW($6:$1005)-5),41))=""),"",IF(AND(COUNTIF(INDIRECT("K_"&amp;MATCH(INDEX(checklistPesertaKemenkeu!$J$6:$J$1005,SMALL(IF(checklistPesertaKemenkeu!$AY$6:$AY$1005="Direkomendasikan",ROW($6:$1005)-5),41)),BidangList,0)),INDEX(checklistPesertaKemenkeu!$N$6:$N$1005,SMALL(IF(checklistPesertaKemenkeu!$AY$6:$AY$1005="Direkomendasikan",ROW($6:$1005)-5),41)))&gt;0,COUNTIF(INDIRECT("'KERTAS KERJA'!K"&amp;(SMALL(IF(checklistPesertaKemenkeu!$AY$6:$AY$1005="Direkomendasikan",ROW($6:$1005)-5),41)+5)&amp;":O"&amp;(SMALL(IF(checklistPesertaKemenkeu!$AY$6:$AY$1005="Direkomendasikan",ROW($6:$1005)-5),41)+5)),INDEX(checklistPesertaKemenkeu!$N$6:$N$1005,SMALL(IF(checklistPesertaKemenkeu!$AY$6:$AY$1005="Direkomendasikan",ROW($6:$1005)-5),41)))=1),IFERROR(VLOOKUP(INDEX(checklistPesertaKemenkeu!$N$6:$N$1005,SMALL(IF(checklistPesertaKemenkeu!$AY$6:$AY$1005="Direkomendasikan",ROW($6:$1005)-5),41)),KotaKode,2,0),"-"),"")),"")</f>
        <v/>
      </c>
      <c r="K42" t="str">
        <f t="array" aca="1" ref="K42" ca="1">IFERROR(IF(OR(INDEX(checklistPesertaKemenkeu!$O$6:$O$1005,SMALL(IF(checklistPesertaKemenkeu!$AY$6:$AY$1005="Direkomendasikan",ROW($6:$1005)-5),41))="",INDEX(checklistPesertaKemenkeu!$J$6:$J$1005,SMALL(IF(checklistPesertaKemenkeu!$AY$6:$AY$1005="Direkomendasikan",ROW($6:$1005)-5),41))=""),"",IF(AND(COUNTIF(INDIRECT("K_"&amp;MATCH(INDEX(checklistPesertaKemenkeu!$J$6:$J$1005,SMALL(IF(checklistPesertaKemenkeu!$AY$6:$AY$1005="Direkomendasikan",ROW($6:$1005)-5),41)),BidangList,0)),INDEX(checklistPesertaKemenkeu!$O$6:$O$1005,SMALL(IF(checklistPesertaKemenkeu!$AY$6:$AY$1005="Direkomendasikan",ROW($6:$1005)-5),41)))&gt;0,COUNTIF(INDIRECT("'KERTAS KERJA'!K"&amp;(SMALL(IF(checklistPesertaKemenkeu!$AY$6:$AY$1005="Direkomendasikan",ROW($6:$1005)-5),41)+5)&amp;":O"&amp;(SMALL(IF(checklistPesertaKemenkeu!$AY$6:$AY$1005="Direkomendasikan",ROW($6:$1005)-5),41)+5)),INDEX(checklistPesertaKemenkeu!$O$6:$O$1005,SMALL(IF(checklistPesertaKemenkeu!$AY$6:$AY$1005="Direkomendasikan",ROW($6:$1005)-5),41)))=1),IFERROR(VLOOKUP(INDEX(checklistPesertaKemenkeu!$O$6:$O$1005,SMALL(IF(checklistPesertaKemenkeu!$AY$6:$AY$1005="Direkomendasikan",ROW($6:$1005)-5),41)),KotaKode,2,0),"-"),"")),"")</f>
        <v/>
      </c>
      <c r="L42" t="str">
        <f t="array" aca="1" ref="L42" ca="1">IFERROR(IF(OR(INDEX(checklistPesertaKemenkeu!$P$6:$P$1005,SMALL(IF(checklistPesertaKemenkeu!$AY$6:$AY$1005="Direkomendasikan",ROW($6:$1005)-5),41))="",INDEX(checklistPesertaKemenkeu!$J$6:$J$1005,SMALL(IF(checklistPesertaKemenkeu!$AY$6:$AY$1005="Direkomendasikan",ROW($6:$1005)-5),41))=""),"",IF(AND(COUNTIF(INDIRECT("K_"&amp;MATCH(INDEX(checklistPesertaKemenkeu!$J$6:$J$1005,SMALL(IF(checklistPesertaKemenkeu!$AY$6:$AY$1005="Direkomendasikan",ROW($6:$1005)-5),41)),BidangList,0)),INDEX(checklistPesertaKemenkeu!$P$6:$P$1005,SMALL(IF(checklistPesertaKemenkeu!$AY$6:$AY$1005="Direkomendasikan",ROW($6:$1005)-5),41)))&gt;0,COUNTIF(INDIRECT("'KERTAS KERJA'!K"&amp;(SMALL(IF(checklistPesertaKemenkeu!$AY$6:$AY$1005="Direkomendasikan",ROW($6:$1005)-5),41)+5)&amp;":O"&amp;(SMALL(IF(checklistPesertaKemenkeu!$AY$6:$AY$1005="Direkomendasikan",ROW($6:$1005)-5),41)+5)),INDEX(checklistPesertaKemenkeu!$P$6:$P$1005,SMALL(IF(checklistPesertaKemenkeu!$AY$6:$AY$1005="Direkomendasikan",ROW($6:$1005)-5),41)))=1),IFERROR(VLOOKUP(INDEX(checklistPesertaKemenkeu!$P$6:$P$1005,SMALL(IF(checklistPesertaKemenkeu!$AY$6:$AY$1005="Direkomendasikan",ROW($6:$1005)-5),41)),KotaKode,2,0),"-"),"")),"")</f>
        <v/>
      </c>
    </row>
    <row r="43" spans="1:12" ht="15" customHeight="1" x14ac:dyDescent="0.2">
      <c r="A43" t="str">
        <f t="shared" si="0"/>
        <v/>
      </c>
      <c r="B43" t="str">
        <v/>
      </c>
      <c r="C43" s="40" t="str">
        <f t="array" ref="C43">IFERROR(INDEX(checklistPesertaKemenkeu!$F$6:$F$1005,SMALL(IF(checklistPesertaKemenkeu!$AY$6:$AY$1005="Direkomendasikan",ROW($6:$1005)-5),42)),"")</f>
        <v/>
      </c>
      <c r="D43" t="str">
        <f t="array" ref="D43">IFERROR(INDEX(checklistPesertaKemenkeu!$G$6:$G$1005,SMALL(IF(checklistPesertaKemenkeu!$AY$6:$AY$1005="Direkomendasikan",ROW($6:$1005)-5),42)),"")</f>
        <v/>
      </c>
      <c r="E43" t="str">
        <f t="array" ref="E43">IFERROR(INDEX(checklistPesertaKemenkeu!$H$6:$H$1005,SMALL(IF(checklistPesertaKemenkeu!$AY$6:$AY$1005="Direkomendasikan",ROW($6:$1005)-5),42)),"")</f>
        <v/>
      </c>
      <c r="F43" t="str">
        <f t="array" ref="F43">IFERROR(INDEX(checklistPesertaKemenkeu!$I$6:$I$1005,SMALL(IF(checklistPesertaKemenkeu!$AY$6:$AY$1005="Direkomendasikan",ROW($6:$1005)-5),42)),"")</f>
        <v/>
      </c>
      <c r="G43" t="str">
        <f t="array" ref="G43">IFERROR(INDEX(checklistPesertaKemenkeu!$J$6:$J$1005,SMALL(IF(checklistPesertaKemenkeu!$AY$6:$AY$1005="Direkomendasikan",ROW($6:$1005)-5),42)),"")</f>
        <v/>
      </c>
      <c r="H43" t="str">
        <f t="array" aca="1" ref="H43" ca="1">IFERROR(IF(OR(INDEX(checklistPesertaKemenkeu!$L$6:$L$1005,SMALL(IF(checklistPesertaKemenkeu!$AY$6:$AY$1005="Direkomendasikan",ROW($6:$1005)-5),42))="",INDEX(checklistPesertaKemenkeu!$J$6:$J$1005,SMALL(IF(checklistPesertaKemenkeu!$AY$6:$AY$1005="Direkomendasikan",ROW($6:$1005)-5),42))=""),"",IF(AND(COUNTIF(INDIRECT("K_"&amp;MATCH(INDEX(checklistPesertaKemenkeu!$J$6:$J$1005,SMALL(IF(checklistPesertaKemenkeu!$AY$6:$AY$1005="Direkomendasikan",ROW($6:$1005)-5),42)),BidangList,0)),INDEX(checklistPesertaKemenkeu!$L$6:$L$1005,SMALL(IF(checklistPesertaKemenkeu!$AY$6:$AY$1005="Direkomendasikan",ROW($6:$1005)-5),42)))&gt;0,COUNTIF(INDIRECT("'KERTAS KERJA'!K"&amp;(SMALL(IF(checklistPesertaKemenkeu!$AY$6:$AY$1005="Direkomendasikan",ROW($6:$1005)-5),42)+5)&amp;":O"&amp;(SMALL(IF(checklistPesertaKemenkeu!$AY$6:$AY$1005="Direkomendasikan",ROW($6:$1005)-5),42)+5)),INDEX(checklistPesertaKemenkeu!$L$6:$L$1005,SMALL(IF(checklistPesertaKemenkeu!$AY$6:$AY$1005="Direkomendasikan",ROW($6:$1005)-5),42)))=1),IFERROR(VLOOKUP(INDEX(checklistPesertaKemenkeu!$L$6:$L$1005,SMALL(IF(checklistPesertaKemenkeu!$AY$6:$AY$1005="Direkomendasikan",ROW($6:$1005)-5),42)),KotaKode,2,0),"-"),"")),"")</f>
        <v/>
      </c>
      <c r="I43" t="str">
        <f t="array" aca="1" ref="I43" ca="1">IFERROR(IF(OR(INDEX(checklistPesertaKemenkeu!$M$6:$M$1005,SMALL(IF(checklistPesertaKemenkeu!$AY$6:$AY$1005="Direkomendasikan",ROW($6:$1005)-5),42))="",INDEX(checklistPesertaKemenkeu!$J$6:$J$1005,SMALL(IF(checklistPesertaKemenkeu!$AY$6:$AY$1005="Direkomendasikan",ROW($6:$1005)-5),42))=""),"",IF(AND(COUNTIF(INDIRECT("K_"&amp;MATCH(INDEX(checklistPesertaKemenkeu!$J$6:$J$1005,SMALL(IF(checklistPesertaKemenkeu!$AY$6:$AY$1005="Direkomendasikan",ROW($6:$1005)-5),42)),BidangList,0)),INDEX(checklistPesertaKemenkeu!$M$6:$M$1005,SMALL(IF(checklistPesertaKemenkeu!$AY$6:$AY$1005="Direkomendasikan",ROW($6:$1005)-5),42)))&gt;0,COUNTIF(INDIRECT("'KERTAS KERJA'!K"&amp;(SMALL(IF(checklistPesertaKemenkeu!$AY$6:$AY$1005="Direkomendasikan",ROW($6:$1005)-5),42)+5)&amp;":O"&amp;(SMALL(IF(checklistPesertaKemenkeu!$AY$6:$AY$1005="Direkomendasikan",ROW($6:$1005)-5),42)+5)),INDEX(checklistPesertaKemenkeu!$M$6:$M$1005,SMALL(IF(checklistPesertaKemenkeu!$AY$6:$AY$1005="Direkomendasikan",ROW($6:$1005)-5),42)))=1),IFERROR(VLOOKUP(INDEX(checklistPesertaKemenkeu!$M$6:$M$1005,SMALL(IF(checklistPesertaKemenkeu!$AY$6:$AY$1005="Direkomendasikan",ROW($6:$1005)-5),42)),KotaKode,2,0),"-"),"")),"")</f>
        <v/>
      </c>
      <c r="J43" t="str">
        <f t="array" aca="1" ref="J43" ca="1">IFERROR(IF(OR(INDEX(checklistPesertaKemenkeu!$N$6:$N$1005,SMALL(IF(checklistPesertaKemenkeu!$AY$6:$AY$1005="Direkomendasikan",ROW($6:$1005)-5),42))="",INDEX(checklistPesertaKemenkeu!$J$6:$J$1005,SMALL(IF(checklistPesertaKemenkeu!$AY$6:$AY$1005="Direkomendasikan",ROW($6:$1005)-5),42))=""),"",IF(AND(COUNTIF(INDIRECT("K_"&amp;MATCH(INDEX(checklistPesertaKemenkeu!$J$6:$J$1005,SMALL(IF(checklistPesertaKemenkeu!$AY$6:$AY$1005="Direkomendasikan",ROW($6:$1005)-5),42)),BidangList,0)),INDEX(checklistPesertaKemenkeu!$N$6:$N$1005,SMALL(IF(checklistPesertaKemenkeu!$AY$6:$AY$1005="Direkomendasikan",ROW($6:$1005)-5),42)))&gt;0,COUNTIF(INDIRECT("'KERTAS KERJA'!K"&amp;(SMALL(IF(checklistPesertaKemenkeu!$AY$6:$AY$1005="Direkomendasikan",ROW($6:$1005)-5),42)+5)&amp;":O"&amp;(SMALL(IF(checklistPesertaKemenkeu!$AY$6:$AY$1005="Direkomendasikan",ROW($6:$1005)-5),42)+5)),INDEX(checklistPesertaKemenkeu!$N$6:$N$1005,SMALL(IF(checklistPesertaKemenkeu!$AY$6:$AY$1005="Direkomendasikan",ROW($6:$1005)-5),42)))=1),IFERROR(VLOOKUP(INDEX(checklistPesertaKemenkeu!$N$6:$N$1005,SMALL(IF(checklistPesertaKemenkeu!$AY$6:$AY$1005="Direkomendasikan",ROW($6:$1005)-5),42)),KotaKode,2,0),"-"),"")),"")</f>
        <v/>
      </c>
      <c r="K43" t="str">
        <f t="array" aca="1" ref="K43" ca="1">IFERROR(IF(OR(INDEX(checklistPesertaKemenkeu!$O$6:$O$1005,SMALL(IF(checklistPesertaKemenkeu!$AY$6:$AY$1005="Direkomendasikan",ROW($6:$1005)-5),42))="",INDEX(checklistPesertaKemenkeu!$J$6:$J$1005,SMALL(IF(checklistPesertaKemenkeu!$AY$6:$AY$1005="Direkomendasikan",ROW($6:$1005)-5),42))=""),"",IF(AND(COUNTIF(INDIRECT("K_"&amp;MATCH(INDEX(checklistPesertaKemenkeu!$J$6:$J$1005,SMALL(IF(checklistPesertaKemenkeu!$AY$6:$AY$1005="Direkomendasikan",ROW($6:$1005)-5),42)),BidangList,0)),INDEX(checklistPesertaKemenkeu!$O$6:$O$1005,SMALL(IF(checklistPesertaKemenkeu!$AY$6:$AY$1005="Direkomendasikan",ROW($6:$1005)-5),42)))&gt;0,COUNTIF(INDIRECT("'KERTAS KERJA'!K"&amp;(SMALL(IF(checklistPesertaKemenkeu!$AY$6:$AY$1005="Direkomendasikan",ROW($6:$1005)-5),42)+5)&amp;":O"&amp;(SMALL(IF(checklistPesertaKemenkeu!$AY$6:$AY$1005="Direkomendasikan",ROW($6:$1005)-5),42)+5)),INDEX(checklistPesertaKemenkeu!$O$6:$O$1005,SMALL(IF(checklistPesertaKemenkeu!$AY$6:$AY$1005="Direkomendasikan",ROW($6:$1005)-5),42)))=1),IFERROR(VLOOKUP(INDEX(checklistPesertaKemenkeu!$O$6:$O$1005,SMALL(IF(checklistPesertaKemenkeu!$AY$6:$AY$1005="Direkomendasikan",ROW($6:$1005)-5),42)),KotaKode,2,0),"-"),"")),"")</f>
        <v/>
      </c>
      <c r="L43" t="str">
        <f t="array" aca="1" ref="L43" ca="1">IFERROR(IF(OR(INDEX(checklistPesertaKemenkeu!$P$6:$P$1005,SMALL(IF(checklistPesertaKemenkeu!$AY$6:$AY$1005="Direkomendasikan",ROW($6:$1005)-5),42))="",INDEX(checklistPesertaKemenkeu!$J$6:$J$1005,SMALL(IF(checklistPesertaKemenkeu!$AY$6:$AY$1005="Direkomendasikan",ROW($6:$1005)-5),42))=""),"",IF(AND(COUNTIF(INDIRECT("K_"&amp;MATCH(INDEX(checklistPesertaKemenkeu!$J$6:$J$1005,SMALL(IF(checklistPesertaKemenkeu!$AY$6:$AY$1005="Direkomendasikan",ROW($6:$1005)-5),42)),BidangList,0)),INDEX(checklistPesertaKemenkeu!$P$6:$P$1005,SMALL(IF(checklistPesertaKemenkeu!$AY$6:$AY$1005="Direkomendasikan",ROW($6:$1005)-5),42)))&gt;0,COUNTIF(INDIRECT("'KERTAS KERJA'!K"&amp;(SMALL(IF(checklistPesertaKemenkeu!$AY$6:$AY$1005="Direkomendasikan",ROW($6:$1005)-5),42)+5)&amp;":O"&amp;(SMALL(IF(checklistPesertaKemenkeu!$AY$6:$AY$1005="Direkomendasikan",ROW($6:$1005)-5),42)+5)),INDEX(checklistPesertaKemenkeu!$P$6:$P$1005,SMALL(IF(checklistPesertaKemenkeu!$AY$6:$AY$1005="Direkomendasikan",ROW($6:$1005)-5),42)))=1),IFERROR(VLOOKUP(INDEX(checklistPesertaKemenkeu!$P$6:$P$1005,SMALL(IF(checklistPesertaKemenkeu!$AY$6:$AY$1005="Direkomendasikan",ROW($6:$1005)-5),42)),KotaKode,2,0),"-"),"")),"")</f>
        <v/>
      </c>
    </row>
    <row r="44" spans="1:12" ht="15" customHeight="1" x14ac:dyDescent="0.2">
      <c r="A44" t="str">
        <f t="shared" si="0"/>
        <v/>
      </c>
      <c r="B44" t="str">
        <v/>
      </c>
      <c r="C44" s="40" t="str">
        <f t="array" ref="C44">IFERROR(INDEX(checklistPesertaKemenkeu!$F$6:$F$1005,SMALL(IF(checklistPesertaKemenkeu!$AY$6:$AY$1005="Direkomendasikan",ROW($6:$1005)-5),43)),"")</f>
        <v/>
      </c>
      <c r="D44" t="str">
        <f t="array" ref="D44">IFERROR(INDEX(checklistPesertaKemenkeu!$G$6:$G$1005,SMALL(IF(checklistPesertaKemenkeu!$AY$6:$AY$1005="Direkomendasikan",ROW($6:$1005)-5),43)),"")</f>
        <v/>
      </c>
      <c r="E44" t="str">
        <f t="array" ref="E44">IFERROR(INDEX(checklistPesertaKemenkeu!$H$6:$H$1005,SMALL(IF(checklistPesertaKemenkeu!$AY$6:$AY$1005="Direkomendasikan",ROW($6:$1005)-5),43)),"")</f>
        <v/>
      </c>
      <c r="F44" t="str">
        <f t="array" ref="F44">IFERROR(INDEX(checklistPesertaKemenkeu!$I$6:$I$1005,SMALL(IF(checklistPesertaKemenkeu!$AY$6:$AY$1005="Direkomendasikan",ROW($6:$1005)-5),43)),"")</f>
        <v/>
      </c>
      <c r="G44" t="str">
        <f t="array" ref="G44">IFERROR(INDEX(checklistPesertaKemenkeu!$J$6:$J$1005,SMALL(IF(checklistPesertaKemenkeu!$AY$6:$AY$1005="Direkomendasikan",ROW($6:$1005)-5),43)),"")</f>
        <v/>
      </c>
      <c r="H44" t="str">
        <f t="array" aca="1" ref="H44" ca="1">IFERROR(IF(OR(INDEX(checklistPesertaKemenkeu!$L$6:$L$1005,SMALL(IF(checklistPesertaKemenkeu!$AY$6:$AY$1005="Direkomendasikan",ROW($6:$1005)-5),43))="",INDEX(checklistPesertaKemenkeu!$J$6:$J$1005,SMALL(IF(checklistPesertaKemenkeu!$AY$6:$AY$1005="Direkomendasikan",ROW($6:$1005)-5),43))=""),"",IF(AND(COUNTIF(INDIRECT("K_"&amp;MATCH(INDEX(checklistPesertaKemenkeu!$J$6:$J$1005,SMALL(IF(checklistPesertaKemenkeu!$AY$6:$AY$1005="Direkomendasikan",ROW($6:$1005)-5),43)),BidangList,0)),INDEX(checklistPesertaKemenkeu!$L$6:$L$1005,SMALL(IF(checklistPesertaKemenkeu!$AY$6:$AY$1005="Direkomendasikan",ROW($6:$1005)-5),43)))&gt;0,COUNTIF(INDIRECT("'KERTAS KERJA'!K"&amp;(SMALL(IF(checklistPesertaKemenkeu!$AY$6:$AY$1005="Direkomendasikan",ROW($6:$1005)-5),43)+5)&amp;":O"&amp;(SMALL(IF(checklistPesertaKemenkeu!$AY$6:$AY$1005="Direkomendasikan",ROW($6:$1005)-5),43)+5)),INDEX(checklistPesertaKemenkeu!$L$6:$L$1005,SMALL(IF(checklistPesertaKemenkeu!$AY$6:$AY$1005="Direkomendasikan",ROW($6:$1005)-5),43)))=1),IFERROR(VLOOKUP(INDEX(checklistPesertaKemenkeu!$L$6:$L$1005,SMALL(IF(checklistPesertaKemenkeu!$AY$6:$AY$1005="Direkomendasikan",ROW($6:$1005)-5),43)),KotaKode,2,0),"-"),"")),"")</f>
        <v/>
      </c>
      <c r="I44" t="str">
        <f t="array" aca="1" ref="I44" ca="1">IFERROR(IF(OR(INDEX(checklistPesertaKemenkeu!$M$6:$M$1005,SMALL(IF(checklistPesertaKemenkeu!$AY$6:$AY$1005="Direkomendasikan",ROW($6:$1005)-5),43))="",INDEX(checklistPesertaKemenkeu!$J$6:$J$1005,SMALL(IF(checklistPesertaKemenkeu!$AY$6:$AY$1005="Direkomendasikan",ROW($6:$1005)-5),43))=""),"",IF(AND(COUNTIF(INDIRECT("K_"&amp;MATCH(INDEX(checklistPesertaKemenkeu!$J$6:$J$1005,SMALL(IF(checklistPesertaKemenkeu!$AY$6:$AY$1005="Direkomendasikan",ROW($6:$1005)-5),43)),BidangList,0)),INDEX(checklistPesertaKemenkeu!$M$6:$M$1005,SMALL(IF(checklistPesertaKemenkeu!$AY$6:$AY$1005="Direkomendasikan",ROW($6:$1005)-5),43)))&gt;0,COUNTIF(INDIRECT("'KERTAS KERJA'!K"&amp;(SMALL(IF(checklistPesertaKemenkeu!$AY$6:$AY$1005="Direkomendasikan",ROW($6:$1005)-5),43)+5)&amp;":O"&amp;(SMALL(IF(checklistPesertaKemenkeu!$AY$6:$AY$1005="Direkomendasikan",ROW($6:$1005)-5),43)+5)),INDEX(checklistPesertaKemenkeu!$M$6:$M$1005,SMALL(IF(checklistPesertaKemenkeu!$AY$6:$AY$1005="Direkomendasikan",ROW($6:$1005)-5),43)))=1),IFERROR(VLOOKUP(INDEX(checklistPesertaKemenkeu!$M$6:$M$1005,SMALL(IF(checklistPesertaKemenkeu!$AY$6:$AY$1005="Direkomendasikan",ROW($6:$1005)-5),43)),KotaKode,2,0),"-"),"")),"")</f>
        <v/>
      </c>
      <c r="J44" t="str">
        <f t="array" aca="1" ref="J44" ca="1">IFERROR(IF(OR(INDEX(checklistPesertaKemenkeu!$N$6:$N$1005,SMALL(IF(checklistPesertaKemenkeu!$AY$6:$AY$1005="Direkomendasikan",ROW($6:$1005)-5),43))="",INDEX(checklistPesertaKemenkeu!$J$6:$J$1005,SMALL(IF(checklistPesertaKemenkeu!$AY$6:$AY$1005="Direkomendasikan",ROW($6:$1005)-5),43))=""),"",IF(AND(COUNTIF(INDIRECT("K_"&amp;MATCH(INDEX(checklistPesertaKemenkeu!$J$6:$J$1005,SMALL(IF(checklistPesertaKemenkeu!$AY$6:$AY$1005="Direkomendasikan",ROW($6:$1005)-5),43)),BidangList,0)),INDEX(checklistPesertaKemenkeu!$N$6:$N$1005,SMALL(IF(checklistPesertaKemenkeu!$AY$6:$AY$1005="Direkomendasikan",ROW($6:$1005)-5),43)))&gt;0,COUNTIF(INDIRECT("'KERTAS KERJA'!K"&amp;(SMALL(IF(checklistPesertaKemenkeu!$AY$6:$AY$1005="Direkomendasikan",ROW($6:$1005)-5),43)+5)&amp;":O"&amp;(SMALL(IF(checklistPesertaKemenkeu!$AY$6:$AY$1005="Direkomendasikan",ROW($6:$1005)-5),43)+5)),INDEX(checklistPesertaKemenkeu!$N$6:$N$1005,SMALL(IF(checklistPesertaKemenkeu!$AY$6:$AY$1005="Direkomendasikan",ROW($6:$1005)-5),43)))=1),IFERROR(VLOOKUP(INDEX(checklistPesertaKemenkeu!$N$6:$N$1005,SMALL(IF(checklistPesertaKemenkeu!$AY$6:$AY$1005="Direkomendasikan",ROW($6:$1005)-5),43)),KotaKode,2,0),"-"),"")),"")</f>
        <v/>
      </c>
      <c r="K44" t="str">
        <f t="array" aca="1" ref="K44" ca="1">IFERROR(IF(OR(INDEX(checklistPesertaKemenkeu!$O$6:$O$1005,SMALL(IF(checklistPesertaKemenkeu!$AY$6:$AY$1005="Direkomendasikan",ROW($6:$1005)-5),43))="",INDEX(checklistPesertaKemenkeu!$J$6:$J$1005,SMALL(IF(checklistPesertaKemenkeu!$AY$6:$AY$1005="Direkomendasikan",ROW($6:$1005)-5),43))=""),"",IF(AND(COUNTIF(INDIRECT("K_"&amp;MATCH(INDEX(checklistPesertaKemenkeu!$J$6:$J$1005,SMALL(IF(checklistPesertaKemenkeu!$AY$6:$AY$1005="Direkomendasikan",ROW($6:$1005)-5),43)),BidangList,0)),INDEX(checklistPesertaKemenkeu!$O$6:$O$1005,SMALL(IF(checklistPesertaKemenkeu!$AY$6:$AY$1005="Direkomendasikan",ROW($6:$1005)-5),43)))&gt;0,COUNTIF(INDIRECT("'KERTAS KERJA'!K"&amp;(SMALL(IF(checklistPesertaKemenkeu!$AY$6:$AY$1005="Direkomendasikan",ROW($6:$1005)-5),43)+5)&amp;":O"&amp;(SMALL(IF(checklistPesertaKemenkeu!$AY$6:$AY$1005="Direkomendasikan",ROW($6:$1005)-5),43)+5)),INDEX(checklistPesertaKemenkeu!$O$6:$O$1005,SMALL(IF(checklistPesertaKemenkeu!$AY$6:$AY$1005="Direkomendasikan",ROW($6:$1005)-5),43)))=1),IFERROR(VLOOKUP(INDEX(checklistPesertaKemenkeu!$O$6:$O$1005,SMALL(IF(checklistPesertaKemenkeu!$AY$6:$AY$1005="Direkomendasikan",ROW($6:$1005)-5),43)),KotaKode,2,0),"-"),"")),"")</f>
        <v/>
      </c>
      <c r="L44" t="str">
        <f t="array" aca="1" ref="L44" ca="1">IFERROR(IF(OR(INDEX(checklistPesertaKemenkeu!$P$6:$P$1005,SMALL(IF(checklistPesertaKemenkeu!$AY$6:$AY$1005="Direkomendasikan",ROW($6:$1005)-5),43))="",INDEX(checklistPesertaKemenkeu!$J$6:$J$1005,SMALL(IF(checklistPesertaKemenkeu!$AY$6:$AY$1005="Direkomendasikan",ROW($6:$1005)-5),43))=""),"",IF(AND(COUNTIF(INDIRECT("K_"&amp;MATCH(INDEX(checklistPesertaKemenkeu!$J$6:$J$1005,SMALL(IF(checklistPesertaKemenkeu!$AY$6:$AY$1005="Direkomendasikan",ROW($6:$1005)-5),43)),BidangList,0)),INDEX(checklistPesertaKemenkeu!$P$6:$P$1005,SMALL(IF(checklistPesertaKemenkeu!$AY$6:$AY$1005="Direkomendasikan",ROW($6:$1005)-5),43)))&gt;0,COUNTIF(INDIRECT("'KERTAS KERJA'!K"&amp;(SMALL(IF(checklistPesertaKemenkeu!$AY$6:$AY$1005="Direkomendasikan",ROW($6:$1005)-5),43)+5)&amp;":O"&amp;(SMALL(IF(checklistPesertaKemenkeu!$AY$6:$AY$1005="Direkomendasikan",ROW($6:$1005)-5),43)+5)),INDEX(checklistPesertaKemenkeu!$P$6:$P$1005,SMALL(IF(checklistPesertaKemenkeu!$AY$6:$AY$1005="Direkomendasikan",ROW($6:$1005)-5),43)))=1),IFERROR(VLOOKUP(INDEX(checklistPesertaKemenkeu!$P$6:$P$1005,SMALL(IF(checklistPesertaKemenkeu!$AY$6:$AY$1005="Direkomendasikan",ROW($6:$1005)-5),43)),KotaKode,2,0),"-"),"")),"")</f>
        <v/>
      </c>
    </row>
    <row r="45" spans="1:12" ht="15" customHeight="1" x14ac:dyDescent="0.2">
      <c r="A45" t="str">
        <f t="shared" si="0"/>
        <v/>
      </c>
      <c r="B45" t="str">
        <v/>
      </c>
      <c r="C45" s="40" t="str">
        <f t="array" ref="C45">IFERROR(INDEX(checklistPesertaKemenkeu!$F$6:$F$1005,SMALL(IF(checklistPesertaKemenkeu!$AY$6:$AY$1005="Direkomendasikan",ROW($6:$1005)-5),44)),"")</f>
        <v/>
      </c>
      <c r="D45" t="str">
        <f t="array" ref="D45">IFERROR(INDEX(checklistPesertaKemenkeu!$G$6:$G$1005,SMALL(IF(checklistPesertaKemenkeu!$AY$6:$AY$1005="Direkomendasikan",ROW($6:$1005)-5),44)),"")</f>
        <v/>
      </c>
      <c r="E45" t="str">
        <f t="array" ref="E45">IFERROR(INDEX(checklistPesertaKemenkeu!$H$6:$H$1005,SMALL(IF(checklistPesertaKemenkeu!$AY$6:$AY$1005="Direkomendasikan",ROW($6:$1005)-5),44)),"")</f>
        <v/>
      </c>
      <c r="F45" t="str">
        <f t="array" ref="F45">IFERROR(INDEX(checklistPesertaKemenkeu!$I$6:$I$1005,SMALL(IF(checklistPesertaKemenkeu!$AY$6:$AY$1005="Direkomendasikan",ROW($6:$1005)-5),44)),"")</f>
        <v/>
      </c>
      <c r="G45" t="str">
        <f t="array" ref="G45">IFERROR(INDEX(checklistPesertaKemenkeu!$J$6:$J$1005,SMALL(IF(checklistPesertaKemenkeu!$AY$6:$AY$1005="Direkomendasikan",ROW($6:$1005)-5),44)),"")</f>
        <v/>
      </c>
      <c r="H45" t="str">
        <f t="array" aca="1" ref="H45" ca="1">IFERROR(IF(OR(INDEX(checklistPesertaKemenkeu!$L$6:$L$1005,SMALL(IF(checklistPesertaKemenkeu!$AY$6:$AY$1005="Direkomendasikan",ROW($6:$1005)-5),44))="",INDEX(checklistPesertaKemenkeu!$J$6:$J$1005,SMALL(IF(checklistPesertaKemenkeu!$AY$6:$AY$1005="Direkomendasikan",ROW($6:$1005)-5),44))=""),"",IF(AND(COUNTIF(INDIRECT("K_"&amp;MATCH(INDEX(checklistPesertaKemenkeu!$J$6:$J$1005,SMALL(IF(checklistPesertaKemenkeu!$AY$6:$AY$1005="Direkomendasikan",ROW($6:$1005)-5),44)),BidangList,0)),INDEX(checklistPesertaKemenkeu!$L$6:$L$1005,SMALL(IF(checklistPesertaKemenkeu!$AY$6:$AY$1005="Direkomendasikan",ROW($6:$1005)-5),44)))&gt;0,COUNTIF(INDIRECT("'KERTAS KERJA'!K"&amp;(SMALL(IF(checklistPesertaKemenkeu!$AY$6:$AY$1005="Direkomendasikan",ROW($6:$1005)-5),44)+5)&amp;":O"&amp;(SMALL(IF(checklistPesertaKemenkeu!$AY$6:$AY$1005="Direkomendasikan",ROW($6:$1005)-5),44)+5)),INDEX(checklistPesertaKemenkeu!$L$6:$L$1005,SMALL(IF(checklistPesertaKemenkeu!$AY$6:$AY$1005="Direkomendasikan",ROW($6:$1005)-5),44)))=1),IFERROR(VLOOKUP(INDEX(checklistPesertaKemenkeu!$L$6:$L$1005,SMALL(IF(checklistPesertaKemenkeu!$AY$6:$AY$1005="Direkomendasikan",ROW($6:$1005)-5),44)),KotaKode,2,0),"-"),"")),"")</f>
        <v/>
      </c>
      <c r="I45" t="str">
        <f t="array" aca="1" ref="I45" ca="1">IFERROR(IF(OR(INDEX(checklistPesertaKemenkeu!$M$6:$M$1005,SMALL(IF(checklistPesertaKemenkeu!$AY$6:$AY$1005="Direkomendasikan",ROW($6:$1005)-5),44))="",INDEX(checklistPesertaKemenkeu!$J$6:$J$1005,SMALL(IF(checklistPesertaKemenkeu!$AY$6:$AY$1005="Direkomendasikan",ROW($6:$1005)-5),44))=""),"",IF(AND(COUNTIF(INDIRECT("K_"&amp;MATCH(INDEX(checklistPesertaKemenkeu!$J$6:$J$1005,SMALL(IF(checklistPesertaKemenkeu!$AY$6:$AY$1005="Direkomendasikan",ROW($6:$1005)-5),44)),BidangList,0)),INDEX(checklistPesertaKemenkeu!$M$6:$M$1005,SMALL(IF(checklistPesertaKemenkeu!$AY$6:$AY$1005="Direkomendasikan",ROW($6:$1005)-5),44)))&gt;0,COUNTIF(INDIRECT("'KERTAS KERJA'!K"&amp;(SMALL(IF(checklistPesertaKemenkeu!$AY$6:$AY$1005="Direkomendasikan",ROW($6:$1005)-5),44)+5)&amp;":O"&amp;(SMALL(IF(checklistPesertaKemenkeu!$AY$6:$AY$1005="Direkomendasikan",ROW($6:$1005)-5),44)+5)),INDEX(checklistPesertaKemenkeu!$M$6:$M$1005,SMALL(IF(checklistPesertaKemenkeu!$AY$6:$AY$1005="Direkomendasikan",ROW($6:$1005)-5),44)))=1),IFERROR(VLOOKUP(INDEX(checklistPesertaKemenkeu!$M$6:$M$1005,SMALL(IF(checklistPesertaKemenkeu!$AY$6:$AY$1005="Direkomendasikan",ROW($6:$1005)-5),44)),KotaKode,2,0),"-"),"")),"")</f>
        <v/>
      </c>
      <c r="J45" t="str">
        <f t="array" aca="1" ref="J45" ca="1">IFERROR(IF(OR(INDEX(checklistPesertaKemenkeu!$N$6:$N$1005,SMALL(IF(checklistPesertaKemenkeu!$AY$6:$AY$1005="Direkomendasikan",ROW($6:$1005)-5),44))="",INDEX(checklistPesertaKemenkeu!$J$6:$J$1005,SMALL(IF(checklistPesertaKemenkeu!$AY$6:$AY$1005="Direkomendasikan",ROW($6:$1005)-5),44))=""),"",IF(AND(COUNTIF(INDIRECT("K_"&amp;MATCH(INDEX(checklistPesertaKemenkeu!$J$6:$J$1005,SMALL(IF(checklistPesertaKemenkeu!$AY$6:$AY$1005="Direkomendasikan",ROW($6:$1005)-5),44)),BidangList,0)),INDEX(checklistPesertaKemenkeu!$N$6:$N$1005,SMALL(IF(checklistPesertaKemenkeu!$AY$6:$AY$1005="Direkomendasikan",ROW($6:$1005)-5),44)))&gt;0,COUNTIF(INDIRECT("'KERTAS KERJA'!K"&amp;(SMALL(IF(checklistPesertaKemenkeu!$AY$6:$AY$1005="Direkomendasikan",ROW($6:$1005)-5),44)+5)&amp;":O"&amp;(SMALL(IF(checklistPesertaKemenkeu!$AY$6:$AY$1005="Direkomendasikan",ROW($6:$1005)-5),44)+5)),INDEX(checklistPesertaKemenkeu!$N$6:$N$1005,SMALL(IF(checklistPesertaKemenkeu!$AY$6:$AY$1005="Direkomendasikan",ROW($6:$1005)-5),44)))=1),IFERROR(VLOOKUP(INDEX(checklistPesertaKemenkeu!$N$6:$N$1005,SMALL(IF(checklistPesertaKemenkeu!$AY$6:$AY$1005="Direkomendasikan",ROW($6:$1005)-5),44)),KotaKode,2,0),"-"),"")),"")</f>
        <v/>
      </c>
      <c r="K45" t="str">
        <f t="array" aca="1" ref="K45" ca="1">IFERROR(IF(OR(INDEX(checklistPesertaKemenkeu!$O$6:$O$1005,SMALL(IF(checklistPesertaKemenkeu!$AY$6:$AY$1005="Direkomendasikan",ROW($6:$1005)-5),44))="",INDEX(checklistPesertaKemenkeu!$J$6:$J$1005,SMALL(IF(checklistPesertaKemenkeu!$AY$6:$AY$1005="Direkomendasikan",ROW($6:$1005)-5),44))=""),"",IF(AND(COUNTIF(INDIRECT("K_"&amp;MATCH(INDEX(checklistPesertaKemenkeu!$J$6:$J$1005,SMALL(IF(checklistPesertaKemenkeu!$AY$6:$AY$1005="Direkomendasikan",ROW($6:$1005)-5),44)),BidangList,0)),INDEX(checklistPesertaKemenkeu!$O$6:$O$1005,SMALL(IF(checklistPesertaKemenkeu!$AY$6:$AY$1005="Direkomendasikan",ROW($6:$1005)-5),44)))&gt;0,COUNTIF(INDIRECT("'KERTAS KERJA'!K"&amp;(SMALL(IF(checklistPesertaKemenkeu!$AY$6:$AY$1005="Direkomendasikan",ROW($6:$1005)-5),44)+5)&amp;":O"&amp;(SMALL(IF(checklistPesertaKemenkeu!$AY$6:$AY$1005="Direkomendasikan",ROW($6:$1005)-5),44)+5)),INDEX(checklistPesertaKemenkeu!$O$6:$O$1005,SMALL(IF(checklistPesertaKemenkeu!$AY$6:$AY$1005="Direkomendasikan",ROW($6:$1005)-5),44)))=1),IFERROR(VLOOKUP(INDEX(checklistPesertaKemenkeu!$O$6:$O$1005,SMALL(IF(checklistPesertaKemenkeu!$AY$6:$AY$1005="Direkomendasikan",ROW($6:$1005)-5),44)),KotaKode,2,0),"-"),"")),"")</f>
        <v/>
      </c>
      <c r="L45" t="str">
        <f t="array" aca="1" ref="L45" ca="1">IFERROR(IF(OR(INDEX(checklistPesertaKemenkeu!$P$6:$P$1005,SMALL(IF(checklistPesertaKemenkeu!$AY$6:$AY$1005="Direkomendasikan",ROW($6:$1005)-5),44))="",INDEX(checklistPesertaKemenkeu!$J$6:$J$1005,SMALL(IF(checklistPesertaKemenkeu!$AY$6:$AY$1005="Direkomendasikan",ROW($6:$1005)-5),44))=""),"",IF(AND(COUNTIF(INDIRECT("K_"&amp;MATCH(INDEX(checklistPesertaKemenkeu!$J$6:$J$1005,SMALL(IF(checklistPesertaKemenkeu!$AY$6:$AY$1005="Direkomendasikan",ROW($6:$1005)-5),44)),BidangList,0)),INDEX(checklistPesertaKemenkeu!$P$6:$P$1005,SMALL(IF(checklistPesertaKemenkeu!$AY$6:$AY$1005="Direkomendasikan",ROW($6:$1005)-5),44)))&gt;0,COUNTIF(INDIRECT("'KERTAS KERJA'!K"&amp;(SMALL(IF(checklistPesertaKemenkeu!$AY$6:$AY$1005="Direkomendasikan",ROW($6:$1005)-5),44)+5)&amp;":O"&amp;(SMALL(IF(checklistPesertaKemenkeu!$AY$6:$AY$1005="Direkomendasikan",ROW($6:$1005)-5),44)+5)),INDEX(checklistPesertaKemenkeu!$P$6:$P$1005,SMALL(IF(checklistPesertaKemenkeu!$AY$6:$AY$1005="Direkomendasikan",ROW($6:$1005)-5),44)))=1),IFERROR(VLOOKUP(INDEX(checklistPesertaKemenkeu!$P$6:$P$1005,SMALL(IF(checklistPesertaKemenkeu!$AY$6:$AY$1005="Direkomendasikan",ROW($6:$1005)-5),44)),KotaKode,2,0),"-"),"")),"")</f>
        <v/>
      </c>
    </row>
    <row r="46" spans="1:12" ht="15" customHeight="1" x14ac:dyDescent="0.2">
      <c r="A46" t="str">
        <f t="shared" si="0"/>
        <v/>
      </c>
      <c r="B46" t="str">
        <v/>
      </c>
      <c r="C46" s="40" t="str">
        <f t="array" ref="C46">IFERROR(INDEX(checklistPesertaKemenkeu!$F$6:$F$1005,SMALL(IF(checklistPesertaKemenkeu!$AY$6:$AY$1005="Direkomendasikan",ROW($6:$1005)-5),45)),"")</f>
        <v/>
      </c>
      <c r="D46" t="str">
        <f t="array" ref="D46">IFERROR(INDEX(checklistPesertaKemenkeu!$G$6:$G$1005,SMALL(IF(checklistPesertaKemenkeu!$AY$6:$AY$1005="Direkomendasikan",ROW($6:$1005)-5),45)),"")</f>
        <v/>
      </c>
      <c r="E46" t="str">
        <f t="array" ref="E46">IFERROR(INDEX(checklistPesertaKemenkeu!$H$6:$H$1005,SMALL(IF(checklistPesertaKemenkeu!$AY$6:$AY$1005="Direkomendasikan",ROW($6:$1005)-5),45)),"")</f>
        <v/>
      </c>
      <c r="F46" t="str">
        <f t="array" ref="F46">IFERROR(INDEX(checklistPesertaKemenkeu!$I$6:$I$1005,SMALL(IF(checklistPesertaKemenkeu!$AY$6:$AY$1005="Direkomendasikan",ROW($6:$1005)-5),45)),"")</f>
        <v/>
      </c>
      <c r="G46" t="str">
        <f t="array" ref="G46">IFERROR(INDEX(checklistPesertaKemenkeu!$J$6:$J$1005,SMALL(IF(checklistPesertaKemenkeu!$AY$6:$AY$1005="Direkomendasikan",ROW($6:$1005)-5),45)),"")</f>
        <v/>
      </c>
      <c r="H46" t="str">
        <f t="array" aca="1" ref="H46" ca="1">IFERROR(IF(OR(INDEX(checklistPesertaKemenkeu!$L$6:$L$1005,SMALL(IF(checklistPesertaKemenkeu!$AY$6:$AY$1005="Direkomendasikan",ROW($6:$1005)-5),45))="",INDEX(checklistPesertaKemenkeu!$J$6:$J$1005,SMALL(IF(checklistPesertaKemenkeu!$AY$6:$AY$1005="Direkomendasikan",ROW($6:$1005)-5),45))=""),"",IF(AND(COUNTIF(INDIRECT("K_"&amp;MATCH(INDEX(checklistPesertaKemenkeu!$J$6:$J$1005,SMALL(IF(checklistPesertaKemenkeu!$AY$6:$AY$1005="Direkomendasikan",ROW($6:$1005)-5),45)),BidangList,0)),INDEX(checklistPesertaKemenkeu!$L$6:$L$1005,SMALL(IF(checklistPesertaKemenkeu!$AY$6:$AY$1005="Direkomendasikan",ROW($6:$1005)-5),45)))&gt;0,COUNTIF(INDIRECT("'KERTAS KERJA'!K"&amp;(SMALL(IF(checklistPesertaKemenkeu!$AY$6:$AY$1005="Direkomendasikan",ROW($6:$1005)-5),45)+5)&amp;":O"&amp;(SMALL(IF(checklistPesertaKemenkeu!$AY$6:$AY$1005="Direkomendasikan",ROW($6:$1005)-5),45)+5)),INDEX(checklistPesertaKemenkeu!$L$6:$L$1005,SMALL(IF(checklistPesertaKemenkeu!$AY$6:$AY$1005="Direkomendasikan",ROW($6:$1005)-5),45)))=1),IFERROR(VLOOKUP(INDEX(checklistPesertaKemenkeu!$L$6:$L$1005,SMALL(IF(checklistPesertaKemenkeu!$AY$6:$AY$1005="Direkomendasikan",ROW($6:$1005)-5),45)),KotaKode,2,0),"-"),"")),"")</f>
        <v/>
      </c>
      <c r="I46" t="str">
        <f t="array" aca="1" ref="I46" ca="1">IFERROR(IF(OR(INDEX(checklistPesertaKemenkeu!$M$6:$M$1005,SMALL(IF(checklistPesertaKemenkeu!$AY$6:$AY$1005="Direkomendasikan",ROW($6:$1005)-5),45))="",INDEX(checklistPesertaKemenkeu!$J$6:$J$1005,SMALL(IF(checklistPesertaKemenkeu!$AY$6:$AY$1005="Direkomendasikan",ROW($6:$1005)-5),45))=""),"",IF(AND(COUNTIF(INDIRECT("K_"&amp;MATCH(INDEX(checklistPesertaKemenkeu!$J$6:$J$1005,SMALL(IF(checklistPesertaKemenkeu!$AY$6:$AY$1005="Direkomendasikan",ROW($6:$1005)-5),45)),BidangList,0)),INDEX(checklistPesertaKemenkeu!$M$6:$M$1005,SMALL(IF(checklistPesertaKemenkeu!$AY$6:$AY$1005="Direkomendasikan",ROW($6:$1005)-5),45)))&gt;0,COUNTIF(INDIRECT("'KERTAS KERJA'!K"&amp;(SMALL(IF(checklistPesertaKemenkeu!$AY$6:$AY$1005="Direkomendasikan",ROW($6:$1005)-5),45)+5)&amp;":O"&amp;(SMALL(IF(checklistPesertaKemenkeu!$AY$6:$AY$1005="Direkomendasikan",ROW($6:$1005)-5),45)+5)),INDEX(checklistPesertaKemenkeu!$M$6:$M$1005,SMALL(IF(checklistPesertaKemenkeu!$AY$6:$AY$1005="Direkomendasikan",ROW($6:$1005)-5),45)))=1),IFERROR(VLOOKUP(INDEX(checklistPesertaKemenkeu!$M$6:$M$1005,SMALL(IF(checklistPesertaKemenkeu!$AY$6:$AY$1005="Direkomendasikan",ROW($6:$1005)-5),45)),KotaKode,2,0),"-"),"")),"")</f>
        <v/>
      </c>
      <c r="J46" t="str">
        <f t="array" aca="1" ref="J46" ca="1">IFERROR(IF(OR(INDEX(checklistPesertaKemenkeu!$N$6:$N$1005,SMALL(IF(checklistPesertaKemenkeu!$AY$6:$AY$1005="Direkomendasikan",ROW($6:$1005)-5),45))="",INDEX(checklistPesertaKemenkeu!$J$6:$J$1005,SMALL(IF(checklistPesertaKemenkeu!$AY$6:$AY$1005="Direkomendasikan",ROW($6:$1005)-5),45))=""),"",IF(AND(COUNTIF(INDIRECT("K_"&amp;MATCH(INDEX(checklistPesertaKemenkeu!$J$6:$J$1005,SMALL(IF(checklistPesertaKemenkeu!$AY$6:$AY$1005="Direkomendasikan",ROW($6:$1005)-5),45)),BidangList,0)),INDEX(checklistPesertaKemenkeu!$N$6:$N$1005,SMALL(IF(checklistPesertaKemenkeu!$AY$6:$AY$1005="Direkomendasikan",ROW($6:$1005)-5),45)))&gt;0,COUNTIF(INDIRECT("'KERTAS KERJA'!K"&amp;(SMALL(IF(checklistPesertaKemenkeu!$AY$6:$AY$1005="Direkomendasikan",ROW($6:$1005)-5),45)+5)&amp;":O"&amp;(SMALL(IF(checklistPesertaKemenkeu!$AY$6:$AY$1005="Direkomendasikan",ROW($6:$1005)-5),45)+5)),INDEX(checklistPesertaKemenkeu!$N$6:$N$1005,SMALL(IF(checklistPesertaKemenkeu!$AY$6:$AY$1005="Direkomendasikan",ROW($6:$1005)-5),45)))=1),IFERROR(VLOOKUP(INDEX(checklistPesertaKemenkeu!$N$6:$N$1005,SMALL(IF(checklistPesertaKemenkeu!$AY$6:$AY$1005="Direkomendasikan",ROW($6:$1005)-5),45)),KotaKode,2,0),"-"),"")),"")</f>
        <v/>
      </c>
      <c r="K46" t="str">
        <f t="array" aca="1" ref="K46" ca="1">IFERROR(IF(OR(INDEX(checklistPesertaKemenkeu!$O$6:$O$1005,SMALL(IF(checklistPesertaKemenkeu!$AY$6:$AY$1005="Direkomendasikan",ROW($6:$1005)-5),45))="",INDEX(checklistPesertaKemenkeu!$J$6:$J$1005,SMALL(IF(checklistPesertaKemenkeu!$AY$6:$AY$1005="Direkomendasikan",ROW($6:$1005)-5),45))=""),"",IF(AND(COUNTIF(INDIRECT("K_"&amp;MATCH(INDEX(checklistPesertaKemenkeu!$J$6:$J$1005,SMALL(IF(checklistPesertaKemenkeu!$AY$6:$AY$1005="Direkomendasikan",ROW($6:$1005)-5),45)),BidangList,0)),INDEX(checklistPesertaKemenkeu!$O$6:$O$1005,SMALL(IF(checklistPesertaKemenkeu!$AY$6:$AY$1005="Direkomendasikan",ROW($6:$1005)-5),45)))&gt;0,COUNTIF(INDIRECT("'KERTAS KERJA'!K"&amp;(SMALL(IF(checklistPesertaKemenkeu!$AY$6:$AY$1005="Direkomendasikan",ROW($6:$1005)-5),45)+5)&amp;":O"&amp;(SMALL(IF(checklistPesertaKemenkeu!$AY$6:$AY$1005="Direkomendasikan",ROW($6:$1005)-5),45)+5)),INDEX(checklistPesertaKemenkeu!$O$6:$O$1005,SMALL(IF(checklistPesertaKemenkeu!$AY$6:$AY$1005="Direkomendasikan",ROW($6:$1005)-5),45)))=1),IFERROR(VLOOKUP(INDEX(checklistPesertaKemenkeu!$O$6:$O$1005,SMALL(IF(checklistPesertaKemenkeu!$AY$6:$AY$1005="Direkomendasikan",ROW($6:$1005)-5),45)),KotaKode,2,0),"-"),"")),"")</f>
        <v/>
      </c>
      <c r="L46" t="str">
        <f t="array" aca="1" ref="L46" ca="1">IFERROR(IF(OR(INDEX(checklistPesertaKemenkeu!$P$6:$P$1005,SMALL(IF(checklistPesertaKemenkeu!$AY$6:$AY$1005="Direkomendasikan",ROW($6:$1005)-5),45))="",INDEX(checklistPesertaKemenkeu!$J$6:$J$1005,SMALL(IF(checklistPesertaKemenkeu!$AY$6:$AY$1005="Direkomendasikan",ROW($6:$1005)-5),45))=""),"",IF(AND(COUNTIF(INDIRECT("K_"&amp;MATCH(INDEX(checklistPesertaKemenkeu!$J$6:$J$1005,SMALL(IF(checklistPesertaKemenkeu!$AY$6:$AY$1005="Direkomendasikan",ROW($6:$1005)-5),45)),BidangList,0)),INDEX(checklistPesertaKemenkeu!$P$6:$P$1005,SMALL(IF(checklistPesertaKemenkeu!$AY$6:$AY$1005="Direkomendasikan",ROW($6:$1005)-5),45)))&gt;0,COUNTIF(INDIRECT("'KERTAS KERJA'!K"&amp;(SMALL(IF(checklistPesertaKemenkeu!$AY$6:$AY$1005="Direkomendasikan",ROW($6:$1005)-5),45)+5)&amp;":O"&amp;(SMALL(IF(checklistPesertaKemenkeu!$AY$6:$AY$1005="Direkomendasikan",ROW($6:$1005)-5),45)+5)),INDEX(checklistPesertaKemenkeu!$P$6:$P$1005,SMALL(IF(checklistPesertaKemenkeu!$AY$6:$AY$1005="Direkomendasikan",ROW($6:$1005)-5),45)))=1),IFERROR(VLOOKUP(INDEX(checklistPesertaKemenkeu!$P$6:$P$1005,SMALL(IF(checklistPesertaKemenkeu!$AY$6:$AY$1005="Direkomendasikan",ROW($6:$1005)-5),45)),KotaKode,2,0),"-"),"")),"")</f>
        <v/>
      </c>
    </row>
    <row r="47" spans="1:12" ht="15" customHeight="1" x14ac:dyDescent="0.2">
      <c r="A47" t="str">
        <f t="shared" si="0"/>
        <v/>
      </c>
      <c r="B47" t="str">
        <v/>
      </c>
      <c r="C47" s="40" t="str">
        <f t="array" ref="C47">IFERROR(INDEX(checklistPesertaKemenkeu!$F$6:$F$1005,SMALL(IF(checklistPesertaKemenkeu!$AY$6:$AY$1005="Direkomendasikan",ROW($6:$1005)-5),46)),"")</f>
        <v/>
      </c>
      <c r="D47" t="str">
        <f t="array" ref="D47">IFERROR(INDEX(checklistPesertaKemenkeu!$G$6:$G$1005,SMALL(IF(checklistPesertaKemenkeu!$AY$6:$AY$1005="Direkomendasikan",ROW($6:$1005)-5),46)),"")</f>
        <v/>
      </c>
      <c r="E47" t="str">
        <f t="array" ref="E47">IFERROR(INDEX(checklistPesertaKemenkeu!$H$6:$H$1005,SMALL(IF(checklistPesertaKemenkeu!$AY$6:$AY$1005="Direkomendasikan",ROW($6:$1005)-5),46)),"")</f>
        <v/>
      </c>
      <c r="F47" t="str">
        <f t="array" ref="F47">IFERROR(INDEX(checklistPesertaKemenkeu!$I$6:$I$1005,SMALL(IF(checklistPesertaKemenkeu!$AY$6:$AY$1005="Direkomendasikan",ROW($6:$1005)-5),46)),"")</f>
        <v/>
      </c>
      <c r="G47" t="str">
        <f t="array" ref="G47">IFERROR(INDEX(checklistPesertaKemenkeu!$J$6:$J$1005,SMALL(IF(checklistPesertaKemenkeu!$AY$6:$AY$1005="Direkomendasikan",ROW($6:$1005)-5),46)),"")</f>
        <v/>
      </c>
      <c r="H47" t="str">
        <f t="array" aca="1" ref="H47" ca="1">IFERROR(IF(OR(INDEX(checklistPesertaKemenkeu!$L$6:$L$1005,SMALL(IF(checklistPesertaKemenkeu!$AY$6:$AY$1005="Direkomendasikan",ROW($6:$1005)-5),46))="",INDEX(checklistPesertaKemenkeu!$J$6:$J$1005,SMALL(IF(checklistPesertaKemenkeu!$AY$6:$AY$1005="Direkomendasikan",ROW($6:$1005)-5),46))=""),"",IF(AND(COUNTIF(INDIRECT("K_"&amp;MATCH(INDEX(checklistPesertaKemenkeu!$J$6:$J$1005,SMALL(IF(checklistPesertaKemenkeu!$AY$6:$AY$1005="Direkomendasikan",ROW($6:$1005)-5),46)),BidangList,0)),INDEX(checklistPesertaKemenkeu!$L$6:$L$1005,SMALL(IF(checklistPesertaKemenkeu!$AY$6:$AY$1005="Direkomendasikan",ROW($6:$1005)-5),46)))&gt;0,COUNTIF(INDIRECT("'KERTAS KERJA'!K"&amp;(SMALL(IF(checklistPesertaKemenkeu!$AY$6:$AY$1005="Direkomendasikan",ROW($6:$1005)-5),46)+5)&amp;":O"&amp;(SMALL(IF(checklistPesertaKemenkeu!$AY$6:$AY$1005="Direkomendasikan",ROW($6:$1005)-5),46)+5)),INDEX(checklistPesertaKemenkeu!$L$6:$L$1005,SMALL(IF(checklistPesertaKemenkeu!$AY$6:$AY$1005="Direkomendasikan",ROW($6:$1005)-5),46)))=1),IFERROR(VLOOKUP(INDEX(checklistPesertaKemenkeu!$L$6:$L$1005,SMALL(IF(checklistPesertaKemenkeu!$AY$6:$AY$1005="Direkomendasikan",ROW($6:$1005)-5),46)),KotaKode,2,0),"-"),"")),"")</f>
        <v/>
      </c>
      <c r="I47" t="str">
        <f t="array" aca="1" ref="I47" ca="1">IFERROR(IF(OR(INDEX(checklistPesertaKemenkeu!$M$6:$M$1005,SMALL(IF(checklistPesertaKemenkeu!$AY$6:$AY$1005="Direkomendasikan",ROW($6:$1005)-5),46))="",INDEX(checklistPesertaKemenkeu!$J$6:$J$1005,SMALL(IF(checklistPesertaKemenkeu!$AY$6:$AY$1005="Direkomendasikan",ROW($6:$1005)-5),46))=""),"",IF(AND(COUNTIF(INDIRECT("K_"&amp;MATCH(INDEX(checklistPesertaKemenkeu!$J$6:$J$1005,SMALL(IF(checklistPesertaKemenkeu!$AY$6:$AY$1005="Direkomendasikan",ROW($6:$1005)-5),46)),BidangList,0)),INDEX(checklistPesertaKemenkeu!$M$6:$M$1005,SMALL(IF(checklistPesertaKemenkeu!$AY$6:$AY$1005="Direkomendasikan",ROW($6:$1005)-5),46)))&gt;0,COUNTIF(INDIRECT("'KERTAS KERJA'!K"&amp;(SMALL(IF(checklistPesertaKemenkeu!$AY$6:$AY$1005="Direkomendasikan",ROW($6:$1005)-5),46)+5)&amp;":O"&amp;(SMALL(IF(checklistPesertaKemenkeu!$AY$6:$AY$1005="Direkomendasikan",ROW($6:$1005)-5),46)+5)),INDEX(checklistPesertaKemenkeu!$M$6:$M$1005,SMALL(IF(checklistPesertaKemenkeu!$AY$6:$AY$1005="Direkomendasikan",ROW($6:$1005)-5),46)))=1),IFERROR(VLOOKUP(INDEX(checklistPesertaKemenkeu!$M$6:$M$1005,SMALL(IF(checklistPesertaKemenkeu!$AY$6:$AY$1005="Direkomendasikan",ROW($6:$1005)-5),46)),KotaKode,2,0),"-"),"")),"")</f>
        <v/>
      </c>
      <c r="J47" t="str">
        <f t="array" aca="1" ref="J47" ca="1">IFERROR(IF(OR(INDEX(checklistPesertaKemenkeu!$N$6:$N$1005,SMALL(IF(checklistPesertaKemenkeu!$AY$6:$AY$1005="Direkomendasikan",ROW($6:$1005)-5),46))="",INDEX(checklistPesertaKemenkeu!$J$6:$J$1005,SMALL(IF(checklistPesertaKemenkeu!$AY$6:$AY$1005="Direkomendasikan",ROW($6:$1005)-5),46))=""),"",IF(AND(COUNTIF(INDIRECT("K_"&amp;MATCH(INDEX(checklistPesertaKemenkeu!$J$6:$J$1005,SMALL(IF(checklistPesertaKemenkeu!$AY$6:$AY$1005="Direkomendasikan",ROW($6:$1005)-5),46)),BidangList,0)),INDEX(checklistPesertaKemenkeu!$N$6:$N$1005,SMALL(IF(checklistPesertaKemenkeu!$AY$6:$AY$1005="Direkomendasikan",ROW($6:$1005)-5),46)))&gt;0,COUNTIF(INDIRECT("'KERTAS KERJA'!K"&amp;(SMALL(IF(checklistPesertaKemenkeu!$AY$6:$AY$1005="Direkomendasikan",ROW($6:$1005)-5),46)+5)&amp;":O"&amp;(SMALL(IF(checklistPesertaKemenkeu!$AY$6:$AY$1005="Direkomendasikan",ROW($6:$1005)-5),46)+5)),INDEX(checklistPesertaKemenkeu!$N$6:$N$1005,SMALL(IF(checklistPesertaKemenkeu!$AY$6:$AY$1005="Direkomendasikan",ROW($6:$1005)-5),46)))=1),IFERROR(VLOOKUP(INDEX(checklistPesertaKemenkeu!$N$6:$N$1005,SMALL(IF(checklistPesertaKemenkeu!$AY$6:$AY$1005="Direkomendasikan",ROW($6:$1005)-5),46)),KotaKode,2,0),"-"),"")),"")</f>
        <v/>
      </c>
      <c r="K47" t="str">
        <f t="array" aca="1" ref="K47" ca="1">IFERROR(IF(OR(INDEX(checklistPesertaKemenkeu!$O$6:$O$1005,SMALL(IF(checklistPesertaKemenkeu!$AY$6:$AY$1005="Direkomendasikan",ROW($6:$1005)-5),46))="",INDEX(checklistPesertaKemenkeu!$J$6:$J$1005,SMALL(IF(checklistPesertaKemenkeu!$AY$6:$AY$1005="Direkomendasikan",ROW($6:$1005)-5),46))=""),"",IF(AND(COUNTIF(INDIRECT("K_"&amp;MATCH(INDEX(checklistPesertaKemenkeu!$J$6:$J$1005,SMALL(IF(checklistPesertaKemenkeu!$AY$6:$AY$1005="Direkomendasikan",ROW($6:$1005)-5),46)),BidangList,0)),INDEX(checklistPesertaKemenkeu!$O$6:$O$1005,SMALL(IF(checklistPesertaKemenkeu!$AY$6:$AY$1005="Direkomendasikan",ROW($6:$1005)-5),46)))&gt;0,COUNTIF(INDIRECT("'KERTAS KERJA'!K"&amp;(SMALL(IF(checklistPesertaKemenkeu!$AY$6:$AY$1005="Direkomendasikan",ROW($6:$1005)-5),46)+5)&amp;":O"&amp;(SMALL(IF(checklistPesertaKemenkeu!$AY$6:$AY$1005="Direkomendasikan",ROW($6:$1005)-5),46)+5)),INDEX(checklistPesertaKemenkeu!$O$6:$O$1005,SMALL(IF(checklistPesertaKemenkeu!$AY$6:$AY$1005="Direkomendasikan",ROW($6:$1005)-5),46)))=1),IFERROR(VLOOKUP(INDEX(checklistPesertaKemenkeu!$O$6:$O$1005,SMALL(IF(checklistPesertaKemenkeu!$AY$6:$AY$1005="Direkomendasikan",ROW($6:$1005)-5),46)),KotaKode,2,0),"-"),"")),"")</f>
        <v/>
      </c>
      <c r="L47" t="str">
        <f t="array" aca="1" ref="L47" ca="1">IFERROR(IF(OR(INDEX(checklistPesertaKemenkeu!$P$6:$P$1005,SMALL(IF(checklistPesertaKemenkeu!$AY$6:$AY$1005="Direkomendasikan",ROW($6:$1005)-5),46))="",INDEX(checklistPesertaKemenkeu!$J$6:$J$1005,SMALL(IF(checklistPesertaKemenkeu!$AY$6:$AY$1005="Direkomendasikan",ROW($6:$1005)-5),46))=""),"",IF(AND(COUNTIF(INDIRECT("K_"&amp;MATCH(INDEX(checklistPesertaKemenkeu!$J$6:$J$1005,SMALL(IF(checklistPesertaKemenkeu!$AY$6:$AY$1005="Direkomendasikan",ROW($6:$1005)-5),46)),BidangList,0)),INDEX(checklistPesertaKemenkeu!$P$6:$P$1005,SMALL(IF(checklistPesertaKemenkeu!$AY$6:$AY$1005="Direkomendasikan",ROW($6:$1005)-5),46)))&gt;0,COUNTIF(INDIRECT("'KERTAS KERJA'!K"&amp;(SMALL(IF(checklistPesertaKemenkeu!$AY$6:$AY$1005="Direkomendasikan",ROW($6:$1005)-5),46)+5)&amp;":O"&amp;(SMALL(IF(checklistPesertaKemenkeu!$AY$6:$AY$1005="Direkomendasikan",ROW($6:$1005)-5),46)+5)),INDEX(checklistPesertaKemenkeu!$P$6:$P$1005,SMALL(IF(checklistPesertaKemenkeu!$AY$6:$AY$1005="Direkomendasikan",ROW($6:$1005)-5),46)))=1),IFERROR(VLOOKUP(INDEX(checklistPesertaKemenkeu!$P$6:$P$1005,SMALL(IF(checklistPesertaKemenkeu!$AY$6:$AY$1005="Direkomendasikan",ROW($6:$1005)-5),46)),KotaKode,2,0),"-"),"")),"")</f>
        <v/>
      </c>
    </row>
    <row r="48" spans="1:12" ht="15" customHeight="1" x14ac:dyDescent="0.2">
      <c r="A48" t="str">
        <f t="shared" si="0"/>
        <v/>
      </c>
      <c r="B48" t="str">
        <v/>
      </c>
      <c r="C48" s="40" t="str">
        <f t="array" ref="C48">IFERROR(INDEX(checklistPesertaKemenkeu!$F$6:$F$1005,SMALL(IF(checklistPesertaKemenkeu!$AY$6:$AY$1005="Direkomendasikan",ROW($6:$1005)-5),47)),"")</f>
        <v/>
      </c>
      <c r="D48" t="str">
        <f t="array" ref="D48">IFERROR(INDEX(checklistPesertaKemenkeu!$G$6:$G$1005,SMALL(IF(checklistPesertaKemenkeu!$AY$6:$AY$1005="Direkomendasikan",ROW($6:$1005)-5),47)),"")</f>
        <v/>
      </c>
      <c r="E48" t="str">
        <f t="array" ref="E48">IFERROR(INDEX(checklistPesertaKemenkeu!$H$6:$H$1005,SMALL(IF(checklistPesertaKemenkeu!$AY$6:$AY$1005="Direkomendasikan",ROW($6:$1005)-5),47)),"")</f>
        <v/>
      </c>
      <c r="F48" t="str">
        <f t="array" ref="F48">IFERROR(INDEX(checklistPesertaKemenkeu!$I$6:$I$1005,SMALL(IF(checklistPesertaKemenkeu!$AY$6:$AY$1005="Direkomendasikan",ROW($6:$1005)-5),47)),"")</f>
        <v/>
      </c>
      <c r="G48" t="str">
        <f t="array" ref="G48">IFERROR(INDEX(checklistPesertaKemenkeu!$J$6:$J$1005,SMALL(IF(checklistPesertaKemenkeu!$AY$6:$AY$1005="Direkomendasikan",ROW($6:$1005)-5),47)),"")</f>
        <v/>
      </c>
      <c r="H48" t="str">
        <f t="array" aca="1" ref="H48" ca="1">IFERROR(IF(OR(INDEX(checklistPesertaKemenkeu!$L$6:$L$1005,SMALL(IF(checklistPesertaKemenkeu!$AY$6:$AY$1005="Direkomendasikan",ROW($6:$1005)-5),47))="",INDEX(checklistPesertaKemenkeu!$J$6:$J$1005,SMALL(IF(checklistPesertaKemenkeu!$AY$6:$AY$1005="Direkomendasikan",ROW($6:$1005)-5),47))=""),"",IF(AND(COUNTIF(INDIRECT("K_"&amp;MATCH(INDEX(checklistPesertaKemenkeu!$J$6:$J$1005,SMALL(IF(checklistPesertaKemenkeu!$AY$6:$AY$1005="Direkomendasikan",ROW($6:$1005)-5),47)),BidangList,0)),INDEX(checklistPesertaKemenkeu!$L$6:$L$1005,SMALL(IF(checklistPesertaKemenkeu!$AY$6:$AY$1005="Direkomendasikan",ROW($6:$1005)-5),47)))&gt;0,COUNTIF(INDIRECT("'KERTAS KERJA'!K"&amp;(SMALL(IF(checklistPesertaKemenkeu!$AY$6:$AY$1005="Direkomendasikan",ROW($6:$1005)-5),47)+5)&amp;":O"&amp;(SMALL(IF(checklistPesertaKemenkeu!$AY$6:$AY$1005="Direkomendasikan",ROW($6:$1005)-5),47)+5)),INDEX(checklistPesertaKemenkeu!$L$6:$L$1005,SMALL(IF(checklistPesertaKemenkeu!$AY$6:$AY$1005="Direkomendasikan",ROW($6:$1005)-5),47)))=1),IFERROR(VLOOKUP(INDEX(checklistPesertaKemenkeu!$L$6:$L$1005,SMALL(IF(checklistPesertaKemenkeu!$AY$6:$AY$1005="Direkomendasikan",ROW($6:$1005)-5),47)),KotaKode,2,0),"-"),"")),"")</f>
        <v/>
      </c>
      <c r="I48" t="str">
        <f t="array" aca="1" ref="I48" ca="1">IFERROR(IF(OR(INDEX(checklistPesertaKemenkeu!$M$6:$M$1005,SMALL(IF(checklistPesertaKemenkeu!$AY$6:$AY$1005="Direkomendasikan",ROW($6:$1005)-5),47))="",INDEX(checklistPesertaKemenkeu!$J$6:$J$1005,SMALL(IF(checklistPesertaKemenkeu!$AY$6:$AY$1005="Direkomendasikan",ROW($6:$1005)-5),47))=""),"",IF(AND(COUNTIF(INDIRECT("K_"&amp;MATCH(INDEX(checklistPesertaKemenkeu!$J$6:$J$1005,SMALL(IF(checklistPesertaKemenkeu!$AY$6:$AY$1005="Direkomendasikan",ROW($6:$1005)-5),47)),BidangList,0)),INDEX(checklistPesertaKemenkeu!$M$6:$M$1005,SMALL(IF(checklistPesertaKemenkeu!$AY$6:$AY$1005="Direkomendasikan",ROW($6:$1005)-5),47)))&gt;0,COUNTIF(INDIRECT("'KERTAS KERJA'!K"&amp;(SMALL(IF(checklistPesertaKemenkeu!$AY$6:$AY$1005="Direkomendasikan",ROW($6:$1005)-5),47)+5)&amp;":O"&amp;(SMALL(IF(checklistPesertaKemenkeu!$AY$6:$AY$1005="Direkomendasikan",ROW($6:$1005)-5),47)+5)),INDEX(checklistPesertaKemenkeu!$M$6:$M$1005,SMALL(IF(checklistPesertaKemenkeu!$AY$6:$AY$1005="Direkomendasikan",ROW($6:$1005)-5),47)))=1),IFERROR(VLOOKUP(INDEX(checklistPesertaKemenkeu!$M$6:$M$1005,SMALL(IF(checklistPesertaKemenkeu!$AY$6:$AY$1005="Direkomendasikan",ROW($6:$1005)-5),47)),KotaKode,2,0),"-"),"")),"")</f>
        <v/>
      </c>
      <c r="J48" t="str">
        <f t="array" aca="1" ref="J48" ca="1">IFERROR(IF(OR(INDEX(checklistPesertaKemenkeu!$N$6:$N$1005,SMALL(IF(checklistPesertaKemenkeu!$AY$6:$AY$1005="Direkomendasikan",ROW($6:$1005)-5),47))="",INDEX(checklistPesertaKemenkeu!$J$6:$J$1005,SMALL(IF(checklistPesertaKemenkeu!$AY$6:$AY$1005="Direkomendasikan",ROW($6:$1005)-5),47))=""),"",IF(AND(COUNTIF(INDIRECT("K_"&amp;MATCH(INDEX(checklistPesertaKemenkeu!$J$6:$J$1005,SMALL(IF(checklistPesertaKemenkeu!$AY$6:$AY$1005="Direkomendasikan",ROW($6:$1005)-5),47)),BidangList,0)),INDEX(checklistPesertaKemenkeu!$N$6:$N$1005,SMALL(IF(checklistPesertaKemenkeu!$AY$6:$AY$1005="Direkomendasikan",ROW($6:$1005)-5),47)))&gt;0,COUNTIF(INDIRECT("'KERTAS KERJA'!K"&amp;(SMALL(IF(checklistPesertaKemenkeu!$AY$6:$AY$1005="Direkomendasikan",ROW($6:$1005)-5),47)+5)&amp;":O"&amp;(SMALL(IF(checklistPesertaKemenkeu!$AY$6:$AY$1005="Direkomendasikan",ROW($6:$1005)-5),47)+5)),INDEX(checklistPesertaKemenkeu!$N$6:$N$1005,SMALL(IF(checklistPesertaKemenkeu!$AY$6:$AY$1005="Direkomendasikan",ROW($6:$1005)-5),47)))=1),IFERROR(VLOOKUP(INDEX(checklistPesertaKemenkeu!$N$6:$N$1005,SMALL(IF(checklistPesertaKemenkeu!$AY$6:$AY$1005="Direkomendasikan",ROW($6:$1005)-5),47)),KotaKode,2,0),"-"),"")),"")</f>
        <v/>
      </c>
      <c r="K48" t="str">
        <f t="array" aca="1" ref="K48" ca="1">IFERROR(IF(OR(INDEX(checklistPesertaKemenkeu!$O$6:$O$1005,SMALL(IF(checklistPesertaKemenkeu!$AY$6:$AY$1005="Direkomendasikan",ROW($6:$1005)-5),47))="",INDEX(checklistPesertaKemenkeu!$J$6:$J$1005,SMALL(IF(checklistPesertaKemenkeu!$AY$6:$AY$1005="Direkomendasikan",ROW($6:$1005)-5),47))=""),"",IF(AND(COUNTIF(INDIRECT("K_"&amp;MATCH(INDEX(checklistPesertaKemenkeu!$J$6:$J$1005,SMALL(IF(checklistPesertaKemenkeu!$AY$6:$AY$1005="Direkomendasikan",ROW($6:$1005)-5),47)),BidangList,0)),INDEX(checklistPesertaKemenkeu!$O$6:$O$1005,SMALL(IF(checklistPesertaKemenkeu!$AY$6:$AY$1005="Direkomendasikan",ROW($6:$1005)-5),47)))&gt;0,COUNTIF(INDIRECT("'KERTAS KERJA'!K"&amp;(SMALL(IF(checklistPesertaKemenkeu!$AY$6:$AY$1005="Direkomendasikan",ROW($6:$1005)-5),47)+5)&amp;":O"&amp;(SMALL(IF(checklistPesertaKemenkeu!$AY$6:$AY$1005="Direkomendasikan",ROW($6:$1005)-5),47)+5)),INDEX(checklistPesertaKemenkeu!$O$6:$O$1005,SMALL(IF(checklistPesertaKemenkeu!$AY$6:$AY$1005="Direkomendasikan",ROW($6:$1005)-5),47)))=1),IFERROR(VLOOKUP(INDEX(checklistPesertaKemenkeu!$O$6:$O$1005,SMALL(IF(checklistPesertaKemenkeu!$AY$6:$AY$1005="Direkomendasikan",ROW($6:$1005)-5),47)),KotaKode,2,0),"-"),"")),"")</f>
        <v/>
      </c>
      <c r="L48" t="str">
        <f t="array" aca="1" ref="L48" ca="1">IFERROR(IF(OR(INDEX(checklistPesertaKemenkeu!$P$6:$P$1005,SMALL(IF(checklistPesertaKemenkeu!$AY$6:$AY$1005="Direkomendasikan",ROW($6:$1005)-5),47))="",INDEX(checklistPesertaKemenkeu!$J$6:$J$1005,SMALL(IF(checklistPesertaKemenkeu!$AY$6:$AY$1005="Direkomendasikan",ROW($6:$1005)-5),47))=""),"",IF(AND(COUNTIF(INDIRECT("K_"&amp;MATCH(INDEX(checklistPesertaKemenkeu!$J$6:$J$1005,SMALL(IF(checklistPesertaKemenkeu!$AY$6:$AY$1005="Direkomendasikan",ROW($6:$1005)-5),47)),BidangList,0)),INDEX(checklistPesertaKemenkeu!$P$6:$P$1005,SMALL(IF(checklistPesertaKemenkeu!$AY$6:$AY$1005="Direkomendasikan",ROW($6:$1005)-5),47)))&gt;0,COUNTIF(INDIRECT("'KERTAS KERJA'!K"&amp;(SMALL(IF(checklistPesertaKemenkeu!$AY$6:$AY$1005="Direkomendasikan",ROW($6:$1005)-5),47)+5)&amp;":O"&amp;(SMALL(IF(checklistPesertaKemenkeu!$AY$6:$AY$1005="Direkomendasikan",ROW($6:$1005)-5),47)+5)),INDEX(checklistPesertaKemenkeu!$P$6:$P$1005,SMALL(IF(checklistPesertaKemenkeu!$AY$6:$AY$1005="Direkomendasikan",ROW($6:$1005)-5),47)))=1),IFERROR(VLOOKUP(INDEX(checklistPesertaKemenkeu!$P$6:$P$1005,SMALL(IF(checklistPesertaKemenkeu!$AY$6:$AY$1005="Direkomendasikan",ROW($6:$1005)-5),47)),KotaKode,2,0),"-"),"")),"")</f>
        <v/>
      </c>
    </row>
    <row r="49" spans="1:12" ht="15" customHeight="1" x14ac:dyDescent="0.2">
      <c r="A49" t="str">
        <f t="shared" si="0"/>
        <v/>
      </c>
      <c r="B49" t="str">
        <v/>
      </c>
      <c r="C49" s="40" t="str">
        <f t="array" ref="C49">IFERROR(INDEX(checklistPesertaKemenkeu!$F$6:$F$1005,SMALL(IF(checklistPesertaKemenkeu!$AY$6:$AY$1005="Direkomendasikan",ROW($6:$1005)-5),48)),"")</f>
        <v/>
      </c>
      <c r="D49" t="str">
        <f t="array" ref="D49">IFERROR(INDEX(checklistPesertaKemenkeu!$G$6:$G$1005,SMALL(IF(checklistPesertaKemenkeu!$AY$6:$AY$1005="Direkomendasikan",ROW($6:$1005)-5),48)),"")</f>
        <v/>
      </c>
      <c r="E49" t="str">
        <f t="array" ref="E49">IFERROR(INDEX(checklistPesertaKemenkeu!$H$6:$H$1005,SMALL(IF(checklistPesertaKemenkeu!$AY$6:$AY$1005="Direkomendasikan",ROW($6:$1005)-5),48)),"")</f>
        <v/>
      </c>
      <c r="F49" t="str">
        <f t="array" ref="F49">IFERROR(INDEX(checklistPesertaKemenkeu!$I$6:$I$1005,SMALL(IF(checklistPesertaKemenkeu!$AY$6:$AY$1005="Direkomendasikan",ROW($6:$1005)-5),48)),"")</f>
        <v/>
      </c>
      <c r="G49" t="str">
        <f t="array" ref="G49">IFERROR(INDEX(checklistPesertaKemenkeu!$J$6:$J$1005,SMALL(IF(checklistPesertaKemenkeu!$AY$6:$AY$1005="Direkomendasikan",ROW($6:$1005)-5),48)),"")</f>
        <v/>
      </c>
      <c r="H49" t="str">
        <f t="array" aca="1" ref="H49" ca="1">IFERROR(IF(OR(INDEX(checklistPesertaKemenkeu!$L$6:$L$1005,SMALL(IF(checklistPesertaKemenkeu!$AY$6:$AY$1005="Direkomendasikan",ROW($6:$1005)-5),48))="",INDEX(checklistPesertaKemenkeu!$J$6:$J$1005,SMALL(IF(checklistPesertaKemenkeu!$AY$6:$AY$1005="Direkomendasikan",ROW($6:$1005)-5),48))=""),"",IF(AND(COUNTIF(INDIRECT("K_"&amp;MATCH(INDEX(checklistPesertaKemenkeu!$J$6:$J$1005,SMALL(IF(checklistPesertaKemenkeu!$AY$6:$AY$1005="Direkomendasikan",ROW($6:$1005)-5),48)),BidangList,0)),INDEX(checklistPesertaKemenkeu!$L$6:$L$1005,SMALL(IF(checklistPesertaKemenkeu!$AY$6:$AY$1005="Direkomendasikan",ROW($6:$1005)-5),48)))&gt;0,COUNTIF(INDIRECT("'KERTAS KERJA'!K"&amp;(SMALL(IF(checklistPesertaKemenkeu!$AY$6:$AY$1005="Direkomendasikan",ROW($6:$1005)-5),48)+5)&amp;":O"&amp;(SMALL(IF(checklistPesertaKemenkeu!$AY$6:$AY$1005="Direkomendasikan",ROW($6:$1005)-5),48)+5)),INDEX(checklistPesertaKemenkeu!$L$6:$L$1005,SMALL(IF(checklistPesertaKemenkeu!$AY$6:$AY$1005="Direkomendasikan",ROW($6:$1005)-5),48)))=1),IFERROR(VLOOKUP(INDEX(checklistPesertaKemenkeu!$L$6:$L$1005,SMALL(IF(checklistPesertaKemenkeu!$AY$6:$AY$1005="Direkomendasikan",ROW($6:$1005)-5),48)),KotaKode,2,0),"-"),"")),"")</f>
        <v/>
      </c>
      <c r="I49" t="str">
        <f t="array" aca="1" ref="I49" ca="1">IFERROR(IF(OR(INDEX(checklistPesertaKemenkeu!$M$6:$M$1005,SMALL(IF(checklistPesertaKemenkeu!$AY$6:$AY$1005="Direkomendasikan",ROW($6:$1005)-5),48))="",INDEX(checklistPesertaKemenkeu!$J$6:$J$1005,SMALL(IF(checklistPesertaKemenkeu!$AY$6:$AY$1005="Direkomendasikan",ROW($6:$1005)-5),48))=""),"",IF(AND(COUNTIF(INDIRECT("K_"&amp;MATCH(INDEX(checklistPesertaKemenkeu!$J$6:$J$1005,SMALL(IF(checklistPesertaKemenkeu!$AY$6:$AY$1005="Direkomendasikan",ROW($6:$1005)-5),48)),BidangList,0)),INDEX(checklistPesertaKemenkeu!$M$6:$M$1005,SMALL(IF(checklistPesertaKemenkeu!$AY$6:$AY$1005="Direkomendasikan",ROW($6:$1005)-5),48)))&gt;0,COUNTIF(INDIRECT("'KERTAS KERJA'!K"&amp;(SMALL(IF(checklistPesertaKemenkeu!$AY$6:$AY$1005="Direkomendasikan",ROW($6:$1005)-5),48)+5)&amp;":O"&amp;(SMALL(IF(checklistPesertaKemenkeu!$AY$6:$AY$1005="Direkomendasikan",ROW($6:$1005)-5),48)+5)),INDEX(checklistPesertaKemenkeu!$M$6:$M$1005,SMALL(IF(checklistPesertaKemenkeu!$AY$6:$AY$1005="Direkomendasikan",ROW($6:$1005)-5),48)))=1),IFERROR(VLOOKUP(INDEX(checklistPesertaKemenkeu!$M$6:$M$1005,SMALL(IF(checklistPesertaKemenkeu!$AY$6:$AY$1005="Direkomendasikan",ROW($6:$1005)-5),48)),KotaKode,2,0),"-"),"")),"")</f>
        <v/>
      </c>
      <c r="J49" t="str">
        <f t="array" aca="1" ref="J49" ca="1">IFERROR(IF(OR(INDEX(checklistPesertaKemenkeu!$N$6:$N$1005,SMALL(IF(checklistPesertaKemenkeu!$AY$6:$AY$1005="Direkomendasikan",ROW($6:$1005)-5),48))="",INDEX(checklistPesertaKemenkeu!$J$6:$J$1005,SMALL(IF(checklistPesertaKemenkeu!$AY$6:$AY$1005="Direkomendasikan",ROW($6:$1005)-5),48))=""),"",IF(AND(COUNTIF(INDIRECT("K_"&amp;MATCH(INDEX(checklistPesertaKemenkeu!$J$6:$J$1005,SMALL(IF(checklistPesertaKemenkeu!$AY$6:$AY$1005="Direkomendasikan",ROW($6:$1005)-5),48)),BidangList,0)),INDEX(checklistPesertaKemenkeu!$N$6:$N$1005,SMALL(IF(checklistPesertaKemenkeu!$AY$6:$AY$1005="Direkomendasikan",ROW($6:$1005)-5),48)))&gt;0,COUNTIF(INDIRECT("'KERTAS KERJA'!K"&amp;(SMALL(IF(checklistPesertaKemenkeu!$AY$6:$AY$1005="Direkomendasikan",ROW($6:$1005)-5),48)+5)&amp;":O"&amp;(SMALL(IF(checklistPesertaKemenkeu!$AY$6:$AY$1005="Direkomendasikan",ROW($6:$1005)-5),48)+5)),INDEX(checklistPesertaKemenkeu!$N$6:$N$1005,SMALL(IF(checklistPesertaKemenkeu!$AY$6:$AY$1005="Direkomendasikan",ROW($6:$1005)-5),48)))=1),IFERROR(VLOOKUP(INDEX(checklistPesertaKemenkeu!$N$6:$N$1005,SMALL(IF(checklistPesertaKemenkeu!$AY$6:$AY$1005="Direkomendasikan",ROW($6:$1005)-5),48)),KotaKode,2,0),"-"),"")),"")</f>
        <v/>
      </c>
      <c r="K49" t="str">
        <f t="array" aca="1" ref="K49" ca="1">IFERROR(IF(OR(INDEX(checklistPesertaKemenkeu!$O$6:$O$1005,SMALL(IF(checklistPesertaKemenkeu!$AY$6:$AY$1005="Direkomendasikan",ROW($6:$1005)-5),48))="",INDEX(checklistPesertaKemenkeu!$J$6:$J$1005,SMALL(IF(checklistPesertaKemenkeu!$AY$6:$AY$1005="Direkomendasikan",ROW($6:$1005)-5),48))=""),"",IF(AND(COUNTIF(INDIRECT("K_"&amp;MATCH(INDEX(checklistPesertaKemenkeu!$J$6:$J$1005,SMALL(IF(checklistPesertaKemenkeu!$AY$6:$AY$1005="Direkomendasikan",ROW($6:$1005)-5),48)),BidangList,0)),INDEX(checklistPesertaKemenkeu!$O$6:$O$1005,SMALL(IF(checklistPesertaKemenkeu!$AY$6:$AY$1005="Direkomendasikan",ROW($6:$1005)-5),48)))&gt;0,COUNTIF(INDIRECT("'KERTAS KERJA'!K"&amp;(SMALL(IF(checklistPesertaKemenkeu!$AY$6:$AY$1005="Direkomendasikan",ROW($6:$1005)-5),48)+5)&amp;":O"&amp;(SMALL(IF(checklistPesertaKemenkeu!$AY$6:$AY$1005="Direkomendasikan",ROW($6:$1005)-5),48)+5)),INDEX(checklistPesertaKemenkeu!$O$6:$O$1005,SMALL(IF(checklistPesertaKemenkeu!$AY$6:$AY$1005="Direkomendasikan",ROW($6:$1005)-5),48)))=1),IFERROR(VLOOKUP(INDEX(checklistPesertaKemenkeu!$O$6:$O$1005,SMALL(IF(checklistPesertaKemenkeu!$AY$6:$AY$1005="Direkomendasikan",ROW($6:$1005)-5),48)),KotaKode,2,0),"-"),"")),"")</f>
        <v/>
      </c>
      <c r="L49" t="str">
        <f t="array" aca="1" ref="L49" ca="1">IFERROR(IF(OR(INDEX(checklistPesertaKemenkeu!$P$6:$P$1005,SMALL(IF(checklistPesertaKemenkeu!$AY$6:$AY$1005="Direkomendasikan",ROW($6:$1005)-5),48))="",INDEX(checklistPesertaKemenkeu!$J$6:$J$1005,SMALL(IF(checklistPesertaKemenkeu!$AY$6:$AY$1005="Direkomendasikan",ROW($6:$1005)-5),48))=""),"",IF(AND(COUNTIF(INDIRECT("K_"&amp;MATCH(INDEX(checklistPesertaKemenkeu!$J$6:$J$1005,SMALL(IF(checklistPesertaKemenkeu!$AY$6:$AY$1005="Direkomendasikan",ROW($6:$1005)-5),48)),BidangList,0)),INDEX(checklistPesertaKemenkeu!$P$6:$P$1005,SMALL(IF(checklistPesertaKemenkeu!$AY$6:$AY$1005="Direkomendasikan",ROW($6:$1005)-5),48)))&gt;0,COUNTIF(INDIRECT("'KERTAS KERJA'!K"&amp;(SMALL(IF(checklistPesertaKemenkeu!$AY$6:$AY$1005="Direkomendasikan",ROW($6:$1005)-5),48)+5)&amp;":O"&amp;(SMALL(IF(checklistPesertaKemenkeu!$AY$6:$AY$1005="Direkomendasikan",ROW($6:$1005)-5),48)+5)),INDEX(checklistPesertaKemenkeu!$P$6:$P$1005,SMALL(IF(checklistPesertaKemenkeu!$AY$6:$AY$1005="Direkomendasikan",ROW($6:$1005)-5),48)))=1),IFERROR(VLOOKUP(INDEX(checklistPesertaKemenkeu!$P$6:$P$1005,SMALL(IF(checklistPesertaKemenkeu!$AY$6:$AY$1005="Direkomendasikan",ROW($6:$1005)-5),48)),KotaKode,2,0),"-"),"")),"")</f>
        <v/>
      </c>
    </row>
    <row r="50" spans="1:12" ht="15" customHeight="1" x14ac:dyDescent="0.2">
      <c r="A50" t="str">
        <f t="shared" si="0"/>
        <v/>
      </c>
      <c r="B50" t="str">
        <v/>
      </c>
      <c r="C50" s="40" t="str">
        <f t="array" ref="C50">IFERROR(INDEX(checklistPesertaKemenkeu!$F$6:$F$1005,SMALL(IF(checklistPesertaKemenkeu!$AY$6:$AY$1005="Direkomendasikan",ROW($6:$1005)-5),49)),"")</f>
        <v/>
      </c>
      <c r="D50" t="str">
        <f t="array" ref="D50">IFERROR(INDEX(checklistPesertaKemenkeu!$G$6:$G$1005,SMALL(IF(checklistPesertaKemenkeu!$AY$6:$AY$1005="Direkomendasikan",ROW($6:$1005)-5),49)),"")</f>
        <v/>
      </c>
      <c r="E50" t="str">
        <f t="array" ref="E50">IFERROR(INDEX(checklistPesertaKemenkeu!$H$6:$H$1005,SMALL(IF(checklistPesertaKemenkeu!$AY$6:$AY$1005="Direkomendasikan",ROW($6:$1005)-5),49)),"")</f>
        <v/>
      </c>
      <c r="F50" t="str">
        <f t="array" ref="F50">IFERROR(INDEX(checklistPesertaKemenkeu!$I$6:$I$1005,SMALL(IF(checklistPesertaKemenkeu!$AY$6:$AY$1005="Direkomendasikan",ROW($6:$1005)-5),49)),"")</f>
        <v/>
      </c>
      <c r="G50" t="str">
        <f t="array" ref="G50">IFERROR(INDEX(checklistPesertaKemenkeu!$J$6:$J$1005,SMALL(IF(checklistPesertaKemenkeu!$AY$6:$AY$1005="Direkomendasikan",ROW($6:$1005)-5),49)),"")</f>
        <v/>
      </c>
      <c r="H50" t="str">
        <f t="array" aca="1" ref="H50" ca="1">IFERROR(IF(OR(INDEX(checklistPesertaKemenkeu!$L$6:$L$1005,SMALL(IF(checklistPesertaKemenkeu!$AY$6:$AY$1005="Direkomendasikan",ROW($6:$1005)-5),49))="",INDEX(checklistPesertaKemenkeu!$J$6:$J$1005,SMALL(IF(checklistPesertaKemenkeu!$AY$6:$AY$1005="Direkomendasikan",ROW($6:$1005)-5),49))=""),"",IF(AND(COUNTIF(INDIRECT("K_"&amp;MATCH(INDEX(checklistPesertaKemenkeu!$J$6:$J$1005,SMALL(IF(checklistPesertaKemenkeu!$AY$6:$AY$1005="Direkomendasikan",ROW($6:$1005)-5),49)),BidangList,0)),INDEX(checklistPesertaKemenkeu!$L$6:$L$1005,SMALL(IF(checklistPesertaKemenkeu!$AY$6:$AY$1005="Direkomendasikan",ROW($6:$1005)-5),49)))&gt;0,COUNTIF(INDIRECT("'KERTAS KERJA'!K"&amp;(SMALL(IF(checklistPesertaKemenkeu!$AY$6:$AY$1005="Direkomendasikan",ROW($6:$1005)-5),49)+5)&amp;":O"&amp;(SMALL(IF(checklistPesertaKemenkeu!$AY$6:$AY$1005="Direkomendasikan",ROW($6:$1005)-5),49)+5)),INDEX(checklistPesertaKemenkeu!$L$6:$L$1005,SMALL(IF(checklistPesertaKemenkeu!$AY$6:$AY$1005="Direkomendasikan",ROW($6:$1005)-5),49)))=1),IFERROR(VLOOKUP(INDEX(checklistPesertaKemenkeu!$L$6:$L$1005,SMALL(IF(checklistPesertaKemenkeu!$AY$6:$AY$1005="Direkomendasikan",ROW($6:$1005)-5),49)),KotaKode,2,0),"-"),"")),"")</f>
        <v/>
      </c>
      <c r="I50" t="str">
        <f t="array" aca="1" ref="I50" ca="1">IFERROR(IF(OR(INDEX(checklistPesertaKemenkeu!$M$6:$M$1005,SMALL(IF(checklistPesertaKemenkeu!$AY$6:$AY$1005="Direkomendasikan",ROW($6:$1005)-5),49))="",INDEX(checklistPesertaKemenkeu!$J$6:$J$1005,SMALL(IF(checklistPesertaKemenkeu!$AY$6:$AY$1005="Direkomendasikan",ROW($6:$1005)-5),49))=""),"",IF(AND(COUNTIF(INDIRECT("K_"&amp;MATCH(INDEX(checklistPesertaKemenkeu!$J$6:$J$1005,SMALL(IF(checklistPesertaKemenkeu!$AY$6:$AY$1005="Direkomendasikan",ROW($6:$1005)-5),49)),BidangList,0)),INDEX(checklistPesertaKemenkeu!$M$6:$M$1005,SMALL(IF(checklistPesertaKemenkeu!$AY$6:$AY$1005="Direkomendasikan",ROW($6:$1005)-5),49)))&gt;0,COUNTIF(INDIRECT("'KERTAS KERJA'!K"&amp;(SMALL(IF(checklistPesertaKemenkeu!$AY$6:$AY$1005="Direkomendasikan",ROW($6:$1005)-5),49)+5)&amp;":O"&amp;(SMALL(IF(checklistPesertaKemenkeu!$AY$6:$AY$1005="Direkomendasikan",ROW($6:$1005)-5),49)+5)),INDEX(checklistPesertaKemenkeu!$M$6:$M$1005,SMALL(IF(checklistPesertaKemenkeu!$AY$6:$AY$1005="Direkomendasikan",ROW($6:$1005)-5),49)))=1),IFERROR(VLOOKUP(INDEX(checklistPesertaKemenkeu!$M$6:$M$1005,SMALL(IF(checklistPesertaKemenkeu!$AY$6:$AY$1005="Direkomendasikan",ROW($6:$1005)-5),49)),KotaKode,2,0),"-"),"")),"")</f>
        <v/>
      </c>
      <c r="J50" t="str">
        <f t="array" aca="1" ref="J50" ca="1">IFERROR(IF(OR(INDEX(checklistPesertaKemenkeu!$N$6:$N$1005,SMALL(IF(checklistPesertaKemenkeu!$AY$6:$AY$1005="Direkomendasikan",ROW($6:$1005)-5),49))="",INDEX(checklistPesertaKemenkeu!$J$6:$J$1005,SMALL(IF(checklistPesertaKemenkeu!$AY$6:$AY$1005="Direkomendasikan",ROW($6:$1005)-5),49))=""),"",IF(AND(COUNTIF(INDIRECT("K_"&amp;MATCH(INDEX(checklistPesertaKemenkeu!$J$6:$J$1005,SMALL(IF(checklistPesertaKemenkeu!$AY$6:$AY$1005="Direkomendasikan",ROW($6:$1005)-5),49)),BidangList,0)),INDEX(checklistPesertaKemenkeu!$N$6:$N$1005,SMALL(IF(checklistPesertaKemenkeu!$AY$6:$AY$1005="Direkomendasikan",ROW($6:$1005)-5),49)))&gt;0,COUNTIF(INDIRECT("'KERTAS KERJA'!K"&amp;(SMALL(IF(checklistPesertaKemenkeu!$AY$6:$AY$1005="Direkomendasikan",ROW($6:$1005)-5),49)+5)&amp;":O"&amp;(SMALL(IF(checklistPesertaKemenkeu!$AY$6:$AY$1005="Direkomendasikan",ROW($6:$1005)-5),49)+5)),INDEX(checklistPesertaKemenkeu!$N$6:$N$1005,SMALL(IF(checklistPesertaKemenkeu!$AY$6:$AY$1005="Direkomendasikan",ROW($6:$1005)-5),49)))=1),IFERROR(VLOOKUP(INDEX(checklistPesertaKemenkeu!$N$6:$N$1005,SMALL(IF(checklistPesertaKemenkeu!$AY$6:$AY$1005="Direkomendasikan",ROW($6:$1005)-5),49)),KotaKode,2,0),"-"),"")),"")</f>
        <v/>
      </c>
      <c r="K50" t="str">
        <f t="array" aca="1" ref="K50" ca="1">IFERROR(IF(OR(INDEX(checklistPesertaKemenkeu!$O$6:$O$1005,SMALL(IF(checklistPesertaKemenkeu!$AY$6:$AY$1005="Direkomendasikan",ROW($6:$1005)-5),49))="",INDEX(checklistPesertaKemenkeu!$J$6:$J$1005,SMALL(IF(checklistPesertaKemenkeu!$AY$6:$AY$1005="Direkomendasikan",ROW($6:$1005)-5),49))=""),"",IF(AND(COUNTIF(INDIRECT("K_"&amp;MATCH(INDEX(checklistPesertaKemenkeu!$J$6:$J$1005,SMALL(IF(checklistPesertaKemenkeu!$AY$6:$AY$1005="Direkomendasikan",ROW($6:$1005)-5),49)),BidangList,0)),INDEX(checklistPesertaKemenkeu!$O$6:$O$1005,SMALL(IF(checklistPesertaKemenkeu!$AY$6:$AY$1005="Direkomendasikan",ROW($6:$1005)-5),49)))&gt;0,COUNTIF(INDIRECT("'KERTAS KERJA'!K"&amp;(SMALL(IF(checklistPesertaKemenkeu!$AY$6:$AY$1005="Direkomendasikan",ROW($6:$1005)-5),49)+5)&amp;":O"&amp;(SMALL(IF(checklistPesertaKemenkeu!$AY$6:$AY$1005="Direkomendasikan",ROW($6:$1005)-5),49)+5)),INDEX(checklistPesertaKemenkeu!$O$6:$O$1005,SMALL(IF(checklistPesertaKemenkeu!$AY$6:$AY$1005="Direkomendasikan",ROW($6:$1005)-5),49)))=1),IFERROR(VLOOKUP(INDEX(checklistPesertaKemenkeu!$O$6:$O$1005,SMALL(IF(checklistPesertaKemenkeu!$AY$6:$AY$1005="Direkomendasikan",ROW($6:$1005)-5),49)),KotaKode,2,0),"-"),"")),"")</f>
        <v/>
      </c>
      <c r="L50" t="str">
        <f t="array" aca="1" ref="L50" ca="1">IFERROR(IF(OR(INDEX(checklistPesertaKemenkeu!$P$6:$P$1005,SMALL(IF(checklistPesertaKemenkeu!$AY$6:$AY$1005="Direkomendasikan",ROW($6:$1005)-5),49))="",INDEX(checklistPesertaKemenkeu!$J$6:$J$1005,SMALL(IF(checklistPesertaKemenkeu!$AY$6:$AY$1005="Direkomendasikan",ROW($6:$1005)-5),49))=""),"",IF(AND(COUNTIF(INDIRECT("K_"&amp;MATCH(INDEX(checklistPesertaKemenkeu!$J$6:$J$1005,SMALL(IF(checklistPesertaKemenkeu!$AY$6:$AY$1005="Direkomendasikan",ROW($6:$1005)-5),49)),BidangList,0)),INDEX(checklistPesertaKemenkeu!$P$6:$P$1005,SMALL(IF(checklistPesertaKemenkeu!$AY$6:$AY$1005="Direkomendasikan",ROW($6:$1005)-5),49)))&gt;0,COUNTIF(INDIRECT("'KERTAS KERJA'!K"&amp;(SMALL(IF(checklistPesertaKemenkeu!$AY$6:$AY$1005="Direkomendasikan",ROW($6:$1005)-5),49)+5)&amp;":O"&amp;(SMALL(IF(checklistPesertaKemenkeu!$AY$6:$AY$1005="Direkomendasikan",ROW($6:$1005)-5),49)+5)),INDEX(checklistPesertaKemenkeu!$P$6:$P$1005,SMALL(IF(checklistPesertaKemenkeu!$AY$6:$AY$1005="Direkomendasikan",ROW($6:$1005)-5),49)))=1),IFERROR(VLOOKUP(INDEX(checklistPesertaKemenkeu!$P$6:$P$1005,SMALL(IF(checklistPesertaKemenkeu!$AY$6:$AY$1005="Direkomendasikan",ROW($6:$1005)-5),49)),KotaKode,2,0),"-"),"")),"")</f>
        <v/>
      </c>
    </row>
    <row r="51" spans="1:12" ht="15" customHeight="1" x14ac:dyDescent="0.2">
      <c r="A51" t="str">
        <f t="shared" si="0"/>
        <v/>
      </c>
      <c r="B51" t="str">
        <v/>
      </c>
      <c r="C51" s="40" t="str">
        <f t="array" ref="C51">IFERROR(INDEX(checklistPesertaKemenkeu!$F$6:$F$1005,SMALL(IF(checklistPesertaKemenkeu!$AY$6:$AY$1005="Direkomendasikan",ROW($6:$1005)-5),50)),"")</f>
        <v/>
      </c>
      <c r="D51" t="str">
        <f t="array" ref="D51">IFERROR(INDEX(checklistPesertaKemenkeu!$G$6:$G$1005,SMALL(IF(checklistPesertaKemenkeu!$AY$6:$AY$1005="Direkomendasikan",ROW($6:$1005)-5),50)),"")</f>
        <v/>
      </c>
      <c r="E51" t="str">
        <f t="array" ref="E51">IFERROR(INDEX(checklistPesertaKemenkeu!$H$6:$H$1005,SMALL(IF(checklistPesertaKemenkeu!$AY$6:$AY$1005="Direkomendasikan",ROW($6:$1005)-5),50)),"")</f>
        <v/>
      </c>
      <c r="F51" t="str">
        <f t="array" ref="F51">IFERROR(INDEX(checklistPesertaKemenkeu!$I$6:$I$1005,SMALL(IF(checklistPesertaKemenkeu!$AY$6:$AY$1005="Direkomendasikan",ROW($6:$1005)-5),50)),"")</f>
        <v/>
      </c>
      <c r="G51" t="str">
        <f t="array" ref="G51">IFERROR(INDEX(checklistPesertaKemenkeu!$J$6:$J$1005,SMALL(IF(checklistPesertaKemenkeu!$AY$6:$AY$1005="Direkomendasikan",ROW($6:$1005)-5),50)),"")</f>
        <v/>
      </c>
      <c r="H51" t="str">
        <f t="array" aca="1" ref="H51" ca="1">IFERROR(IF(OR(INDEX(checklistPesertaKemenkeu!$L$6:$L$1005,SMALL(IF(checklistPesertaKemenkeu!$AY$6:$AY$1005="Direkomendasikan",ROW($6:$1005)-5),50))="",INDEX(checklistPesertaKemenkeu!$J$6:$J$1005,SMALL(IF(checklistPesertaKemenkeu!$AY$6:$AY$1005="Direkomendasikan",ROW($6:$1005)-5),50))=""),"",IF(AND(COUNTIF(INDIRECT("K_"&amp;MATCH(INDEX(checklistPesertaKemenkeu!$J$6:$J$1005,SMALL(IF(checklistPesertaKemenkeu!$AY$6:$AY$1005="Direkomendasikan",ROW($6:$1005)-5),50)),BidangList,0)),INDEX(checklistPesertaKemenkeu!$L$6:$L$1005,SMALL(IF(checklistPesertaKemenkeu!$AY$6:$AY$1005="Direkomendasikan",ROW($6:$1005)-5),50)))&gt;0,COUNTIF(INDIRECT("'KERTAS KERJA'!K"&amp;(SMALL(IF(checklistPesertaKemenkeu!$AY$6:$AY$1005="Direkomendasikan",ROW($6:$1005)-5),50)+5)&amp;":O"&amp;(SMALL(IF(checklistPesertaKemenkeu!$AY$6:$AY$1005="Direkomendasikan",ROW($6:$1005)-5),50)+5)),INDEX(checklistPesertaKemenkeu!$L$6:$L$1005,SMALL(IF(checklistPesertaKemenkeu!$AY$6:$AY$1005="Direkomendasikan",ROW($6:$1005)-5),50)))=1),IFERROR(VLOOKUP(INDEX(checklistPesertaKemenkeu!$L$6:$L$1005,SMALL(IF(checklistPesertaKemenkeu!$AY$6:$AY$1005="Direkomendasikan",ROW($6:$1005)-5),50)),KotaKode,2,0),"-"),"")),"")</f>
        <v/>
      </c>
      <c r="I51" t="str">
        <f t="array" aca="1" ref="I51" ca="1">IFERROR(IF(OR(INDEX(checklistPesertaKemenkeu!$M$6:$M$1005,SMALL(IF(checklistPesertaKemenkeu!$AY$6:$AY$1005="Direkomendasikan",ROW($6:$1005)-5),50))="",INDEX(checklistPesertaKemenkeu!$J$6:$J$1005,SMALL(IF(checklistPesertaKemenkeu!$AY$6:$AY$1005="Direkomendasikan",ROW($6:$1005)-5),50))=""),"",IF(AND(COUNTIF(INDIRECT("K_"&amp;MATCH(INDEX(checklistPesertaKemenkeu!$J$6:$J$1005,SMALL(IF(checklistPesertaKemenkeu!$AY$6:$AY$1005="Direkomendasikan",ROW($6:$1005)-5),50)),BidangList,0)),INDEX(checklistPesertaKemenkeu!$M$6:$M$1005,SMALL(IF(checklistPesertaKemenkeu!$AY$6:$AY$1005="Direkomendasikan",ROW($6:$1005)-5),50)))&gt;0,COUNTIF(INDIRECT("'KERTAS KERJA'!K"&amp;(SMALL(IF(checklistPesertaKemenkeu!$AY$6:$AY$1005="Direkomendasikan",ROW($6:$1005)-5),50)+5)&amp;":O"&amp;(SMALL(IF(checklistPesertaKemenkeu!$AY$6:$AY$1005="Direkomendasikan",ROW($6:$1005)-5),50)+5)),INDEX(checklistPesertaKemenkeu!$M$6:$M$1005,SMALL(IF(checklistPesertaKemenkeu!$AY$6:$AY$1005="Direkomendasikan",ROW($6:$1005)-5),50)))=1),IFERROR(VLOOKUP(INDEX(checklistPesertaKemenkeu!$M$6:$M$1005,SMALL(IF(checklistPesertaKemenkeu!$AY$6:$AY$1005="Direkomendasikan",ROW($6:$1005)-5),50)),KotaKode,2,0),"-"),"")),"")</f>
        <v/>
      </c>
      <c r="J51" t="str">
        <f t="array" aca="1" ref="J51" ca="1">IFERROR(IF(OR(INDEX(checklistPesertaKemenkeu!$N$6:$N$1005,SMALL(IF(checklistPesertaKemenkeu!$AY$6:$AY$1005="Direkomendasikan",ROW($6:$1005)-5),50))="",INDEX(checklistPesertaKemenkeu!$J$6:$J$1005,SMALL(IF(checklistPesertaKemenkeu!$AY$6:$AY$1005="Direkomendasikan",ROW($6:$1005)-5),50))=""),"",IF(AND(COUNTIF(INDIRECT("K_"&amp;MATCH(INDEX(checklistPesertaKemenkeu!$J$6:$J$1005,SMALL(IF(checklistPesertaKemenkeu!$AY$6:$AY$1005="Direkomendasikan",ROW($6:$1005)-5),50)),BidangList,0)),INDEX(checklistPesertaKemenkeu!$N$6:$N$1005,SMALL(IF(checklistPesertaKemenkeu!$AY$6:$AY$1005="Direkomendasikan",ROW($6:$1005)-5),50)))&gt;0,COUNTIF(INDIRECT("'KERTAS KERJA'!K"&amp;(SMALL(IF(checklistPesertaKemenkeu!$AY$6:$AY$1005="Direkomendasikan",ROW($6:$1005)-5),50)+5)&amp;":O"&amp;(SMALL(IF(checklistPesertaKemenkeu!$AY$6:$AY$1005="Direkomendasikan",ROW($6:$1005)-5),50)+5)),INDEX(checklistPesertaKemenkeu!$N$6:$N$1005,SMALL(IF(checklistPesertaKemenkeu!$AY$6:$AY$1005="Direkomendasikan",ROW($6:$1005)-5),50)))=1),IFERROR(VLOOKUP(INDEX(checklistPesertaKemenkeu!$N$6:$N$1005,SMALL(IF(checklistPesertaKemenkeu!$AY$6:$AY$1005="Direkomendasikan",ROW($6:$1005)-5),50)),KotaKode,2,0),"-"),"")),"")</f>
        <v/>
      </c>
      <c r="K51" t="str">
        <f t="array" aca="1" ref="K51" ca="1">IFERROR(IF(OR(INDEX(checklistPesertaKemenkeu!$O$6:$O$1005,SMALL(IF(checklistPesertaKemenkeu!$AY$6:$AY$1005="Direkomendasikan",ROW($6:$1005)-5),50))="",INDEX(checklistPesertaKemenkeu!$J$6:$J$1005,SMALL(IF(checklistPesertaKemenkeu!$AY$6:$AY$1005="Direkomendasikan",ROW($6:$1005)-5),50))=""),"",IF(AND(COUNTIF(INDIRECT("K_"&amp;MATCH(INDEX(checklistPesertaKemenkeu!$J$6:$J$1005,SMALL(IF(checklistPesertaKemenkeu!$AY$6:$AY$1005="Direkomendasikan",ROW($6:$1005)-5),50)),BidangList,0)),INDEX(checklistPesertaKemenkeu!$O$6:$O$1005,SMALL(IF(checklistPesertaKemenkeu!$AY$6:$AY$1005="Direkomendasikan",ROW($6:$1005)-5),50)))&gt;0,COUNTIF(INDIRECT("'KERTAS KERJA'!K"&amp;(SMALL(IF(checklistPesertaKemenkeu!$AY$6:$AY$1005="Direkomendasikan",ROW($6:$1005)-5),50)+5)&amp;":O"&amp;(SMALL(IF(checklistPesertaKemenkeu!$AY$6:$AY$1005="Direkomendasikan",ROW($6:$1005)-5),50)+5)),INDEX(checklistPesertaKemenkeu!$O$6:$O$1005,SMALL(IF(checklistPesertaKemenkeu!$AY$6:$AY$1005="Direkomendasikan",ROW($6:$1005)-5),50)))=1),IFERROR(VLOOKUP(INDEX(checklistPesertaKemenkeu!$O$6:$O$1005,SMALL(IF(checklistPesertaKemenkeu!$AY$6:$AY$1005="Direkomendasikan",ROW($6:$1005)-5),50)),KotaKode,2,0),"-"),"")),"")</f>
        <v/>
      </c>
      <c r="L51" t="str">
        <f t="array" aca="1" ref="L51" ca="1">IFERROR(IF(OR(INDEX(checklistPesertaKemenkeu!$P$6:$P$1005,SMALL(IF(checklistPesertaKemenkeu!$AY$6:$AY$1005="Direkomendasikan",ROW($6:$1005)-5),50))="",INDEX(checklistPesertaKemenkeu!$J$6:$J$1005,SMALL(IF(checklistPesertaKemenkeu!$AY$6:$AY$1005="Direkomendasikan",ROW($6:$1005)-5),50))=""),"",IF(AND(COUNTIF(INDIRECT("K_"&amp;MATCH(INDEX(checklistPesertaKemenkeu!$J$6:$J$1005,SMALL(IF(checklistPesertaKemenkeu!$AY$6:$AY$1005="Direkomendasikan",ROW($6:$1005)-5),50)),BidangList,0)),INDEX(checklistPesertaKemenkeu!$P$6:$P$1005,SMALL(IF(checklistPesertaKemenkeu!$AY$6:$AY$1005="Direkomendasikan",ROW($6:$1005)-5),50)))&gt;0,COUNTIF(INDIRECT("'KERTAS KERJA'!K"&amp;(SMALL(IF(checklistPesertaKemenkeu!$AY$6:$AY$1005="Direkomendasikan",ROW($6:$1005)-5),50)+5)&amp;":O"&amp;(SMALL(IF(checklistPesertaKemenkeu!$AY$6:$AY$1005="Direkomendasikan",ROW($6:$1005)-5),50)+5)),INDEX(checklistPesertaKemenkeu!$P$6:$P$1005,SMALL(IF(checklistPesertaKemenkeu!$AY$6:$AY$1005="Direkomendasikan",ROW($6:$1005)-5),50)))=1),IFERROR(VLOOKUP(INDEX(checklistPesertaKemenkeu!$P$6:$P$1005,SMALL(IF(checklistPesertaKemenkeu!$AY$6:$AY$1005="Direkomendasikan",ROW($6:$1005)-5),50)),KotaKode,2,0),"-"),"")),"")</f>
        <v/>
      </c>
    </row>
    <row r="52" spans="1:12" ht="15" customHeight="1" x14ac:dyDescent="0.2">
      <c r="A52" t="str">
        <f t="shared" si="0"/>
        <v/>
      </c>
      <c r="B52" t="str">
        <v/>
      </c>
      <c r="C52" s="40" t="str">
        <f t="array" ref="C52">IFERROR(INDEX(checklistPesertaKemenkeu!$F$6:$F$1005,SMALL(IF(checklistPesertaKemenkeu!$AY$6:$AY$1005="Direkomendasikan",ROW($6:$1005)-5),51)),"")</f>
        <v/>
      </c>
      <c r="D52" t="str">
        <f t="array" ref="D52">IFERROR(INDEX(checklistPesertaKemenkeu!$G$6:$G$1005,SMALL(IF(checklistPesertaKemenkeu!$AY$6:$AY$1005="Direkomendasikan",ROW($6:$1005)-5),51)),"")</f>
        <v/>
      </c>
      <c r="E52" t="str">
        <f t="array" ref="E52">IFERROR(INDEX(checklistPesertaKemenkeu!$H$6:$H$1005,SMALL(IF(checklistPesertaKemenkeu!$AY$6:$AY$1005="Direkomendasikan",ROW($6:$1005)-5),51)),"")</f>
        <v/>
      </c>
      <c r="F52" t="str">
        <f t="array" ref="F52">IFERROR(INDEX(checklistPesertaKemenkeu!$I$6:$I$1005,SMALL(IF(checklistPesertaKemenkeu!$AY$6:$AY$1005="Direkomendasikan",ROW($6:$1005)-5),51)),"")</f>
        <v/>
      </c>
      <c r="G52" t="str">
        <f t="array" ref="G52">IFERROR(INDEX(checklistPesertaKemenkeu!$J$6:$J$1005,SMALL(IF(checklistPesertaKemenkeu!$AY$6:$AY$1005="Direkomendasikan",ROW($6:$1005)-5),51)),"")</f>
        <v/>
      </c>
      <c r="H52" t="str">
        <f t="array" aca="1" ref="H52" ca="1">IFERROR(IF(OR(INDEX(checklistPesertaKemenkeu!$L$6:$L$1005,SMALL(IF(checklistPesertaKemenkeu!$AY$6:$AY$1005="Direkomendasikan",ROW($6:$1005)-5),51))="",INDEX(checklistPesertaKemenkeu!$J$6:$J$1005,SMALL(IF(checklistPesertaKemenkeu!$AY$6:$AY$1005="Direkomendasikan",ROW($6:$1005)-5),51))=""),"",IF(AND(COUNTIF(INDIRECT("K_"&amp;MATCH(INDEX(checklistPesertaKemenkeu!$J$6:$J$1005,SMALL(IF(checklistPesertaKemenkeu!$AY$6:$AY$1005="Direkomendasikan",ROW($6:$1005)-5),51)),BidangList,0)),INDEX(checklistPesertaKemenkeu!$L$6:$L$1005,SMALL(IF(checklistPesertaKemenkeu!$AY$6:$AY$1005="Direkomendasikan",ROW($6:$1005)-5),51)))&gt;0,COUNTIF(INDIRECT("'KERTAS KERJA'!K"&amp;(SMALL(IF(checklistPesertaKemenkeu!$AY$6:$AY$1005="Direkomendasikan",ROW($6:$1005)-5),51)+5)&amp;":O"&amp;(SMALL(IF(checklistPesertaKemenkeu!$AY$6:$AY$1005="Direkomendasikan",ROW($6:$1005)-5),51)+5)),INDEX(checklistPesertaKemenkeu!$L$6:$L$1005,SMALL(IF(checklistPesertaKemenkeu!$AY$6:$AY$1005="Direkomendasikan",ROW($6:$1005)-5),51)))=1),IFERROR(VLOOKUP(INDEX(checklistPesertaKemenkeu!$L$6:$L$1005,SMALL(IF(checklistPesertaKemenkeu!$AY$6:$AY$1005="Direkomendasikan",ROW($6:$1005)-5),51)),KotaKode,2,0),"-"),"")),"")</f>
        <v/>
      </c>
      <c r="I52" t="str">
        <f t="array" aca="1" ref="I52" ca="1">IFERROR(IF(OR(INDEX(checklistPesertaKemenkeu!$M$6:$M$1005,SMALL(IF(checklistPesertaKemenkeu!$AY$6:$AY$1005="Direkomendasikan",ROW($6:$1005)-5),51))="",INDEX(checklistPesertaKemenkeu!$J$6:$J$1005,SMALL(IF(checklistPesertaKemenkeu!$AY$6:$AY$1005="Direkomendasikan",ROW($6:$1005)-5),51))=""),"",IF(AND(COUNTIF(INDIRECT("K_"&amp;MATCH(INDEX(checklistPesertaKemenkeu!$J$6:$J$1005,SMALL(IF(checklistPesertaKemenkeu!$AY$6:$AY$1005="Direkomendasikan",ROW($6:$1005)-5),51)),BidangList,0)),INDEX(checklistPesertaKemenkeu!$M$6:$M$1005,SMALL(IF(checklistPesertaKemenkeu!$AY$6:$AY$1005="Direkomendasikan",ROW($6:$1005)-5),51)))&gt;0,COUNTIF(INDIRECT("'KERTAS KERJA'!K"&amp;(SMALL(IF(checklistPesertaKemenkeu!$AY$6:$AY$1005="Direkomendasikan",ROW($6:$1005)-5),51)+5)&amp;":O"&amp;(SMALL(IF(checklistPesertaKemenkeu!$AY$6:$AY$1005="Direkomendasikan",ROW($6:$1005)-5),51)+5)),INDEX(checklistPesertaKemenkeu!$M$6:$M$1005,SMALL(IF(checklistPesertaKemenkeu!$AY$6:$AY$1005="Direkomendasikan",ROW($6:$1005)-5),51)))=1),IFERROR(VLOOKUP(INDEX(checklistPesertaKemenkeu!$M$6:$M$1005,SMALL(IF(checklistPesertaKemenkeu!$AY$6:$AY$1005="Direkomendasikan",ROW($6:$1005)-5),51)),KotaKode,2,0),"-"),"")),"")</f>
        <v/>
      </c>
      <c r="J52" t="str">
        <f t="array" aca="1" ref="J52" ca="1">IFERROR(IF(OR(INDEX(checklistPesertaKemenkeu!$N$6:$N$1005,SMALL(IF(checklistPesertaKemenkeu!$AY$6:$AY$1005="Direkomendasikan",ROW($6:$1005)-5),51))="",INDEX(checklistPesertaKemenkeu!$J$6:$J$1005,SMALL(IF(checklistPesertaKemenkeu!$AY$6:$AY$1005="Direkomendasikan",ROW($6:$1005)-5),51))=""),"",IF(AND(COUNTIF(INDIRECT("K_"&amp;MATCH(INDEX(checklistPesertaKemenkeu!$J$6:$J$1005,SMALL(IF(checklistPesertaKemenkeu!$AY$6:$AY$1005="Direkomendasikan",ROW($6:$1005)-5),51)),BidangList,0)),INDEX(checklistPesertaKemenkeu!$N$6:$N$1005,SMALL(IF(checklistPesertaKemenkeu!$AY$6:$AY$1005="Direkomendasikan",ROW($6:$1005)-5),51)))&gt;0,COUNTIF(INDIRECT("'KERTAS KERJA'!K"&amp;(SMALL(IF(checklistPesertaKemenkeu!$AY$6:$AY$1005="Direkomendasikan",ROW($6:$1005)-5),51)+5)&amp;":O"&amp;(SMALL(IF(checklistPesertaKemenkeu!$AY$6:$AY$1005="Direkomendasikan",ROW($6:$1005)-5),51)+5)),INDEX(checklistPesertaKemenkeu!$N$6:$N$1005,SMALL(IF(checklistPesertaKemenkeu!$AY$6:$AY$1005="Direkomendasikan",ROW($6:$1005)-5),51)))=1),IFERROR(VLOOKUP(INDEX(checklistPesertaKemenkeu!$N$6:$N$1005,SMALL(IF(checklistPesertaKemenkeu!$AY$6:$AY$1005="Direkomendasikan",ROW($6:$1005)-5),51)),KotaKode,2,0),"-"),"")),"")</f>
        <v/>
      </c>
      <c r="K52" t="str">
        <f t="array" aca="1" ref="K52" ca="1">IFERROR(IF(OR(INDEX(checklistPesertaKemenkeu!$O$6:$O$1005,SMALL(IF(checklistPesertaKemenkeu!$AY$6:$AY$1005="Direkomendasikan",ROW($6:$1005)-5),51))="",INDEX(checklistPesertaKemenkeu!$J$6:$J$1005,SMALL(IF(checklistPesertaKemenkeu!$AY$6:$AY$1005="Direkomendasikan",ROW($6:$1005)-5),51))=""),"",IF(AND(COUNTIF(INDIRECT("K_"&amp;MATCH(INDEX(checklistPesertaKemenkeu!$J$6:$J$1005,SMALL(IF(checklistPesertaKemenkeu!$AY$6:$AY$1005="Direkomendasikan",ROW($6:$1005)-5),51)),BidangList,0)),INDEX(checklistPesertaKemenkeu!$O$6:$O$1005,SMALL(IF(checklistPesertaKemenkeu!$AY$6:$AY$1005="Direkomendasikan",ROW($6:$1005)-5),51)))&gt;0,COUNTIF(INDIRECT("'KERTAS KERJA'!K"&amp;(SMALL(IF(checklistPesertaKemenkeu!$AY$6:$AY$1005="Direkomendasikan",ROW($6:$1005)-5),51)+5)&amp;":O"&amp;(SMALL(IF(checklistPesertaKemenkeu!$AY$6:$AY$1005="Direkomendasikan",ROW($6:$1005)-5),51)+5)),INDEX(checklistPesertaKemenkeu!$O$6:$O$1005,SMALL(IF(checklistPesertaKemenkeu!$AY$6:$AY$1005="Direkomendasikan",ROW($6:$1005)-5),51)))=1),IFERROR(VLOOKUP(INDEX(checklistPesertaKemenkeu!$O$6:$O$1005,SMALL(IF(checklistPesertaKemenkeu!$AY$6:$AY$1005="Direkomendasikan",ROW($6:$1005)-5),51)),KotaKode,2,0),"-"),"")),"")</f>
        <v/>
      </c>
      <c r="L52" t="str">
        <f t="array" aca="1" ref="L52" ca="1">IFERROR(IF(OR(INDEX(checklistPesertaKemenkeu!$P$6:$P$1005,SMALL(IF(checklistPesertaKemenkeu!$AY$6:$AY$1005="Direkomendasikan",ROW($6:$1005)-5),51))="",INDEX(checklistPesertaKemenkeu!$J$6:$J$1005,SMALL(IF(checklistPesertaKemenkeu!$AY$6:$AY$1005="Direkomendasikan",ROW($6:$1005)-5),51))=""),"",IF(AND(COUNTIF(INDIRECT("K_"&amp;MATCH(INDEX(checklistPesertaKemenkeu!$J$6:$J$1005,SMALL(IF(checklistPesertaKemenkeu!$AY$6:$AY$1005="Direkomendasikan",ROW($6:$1005)-5),51)),BidangList,0)),INDEX(checklistPesertaKemenkeu!$P$6:$P$1005,SMALL(IF(checklistPesertaKemenkeu!$AY$6:$AY$1005="Direkomendasikan",ROW($6:$1005)-5),51)))&gt;0,COUNTIF(INDIRECT("'KERTAS KERJA'!K"&amp;(SMALL(IF(checklistPesertaKemenkeu!$AY$6:$AY$1005="Direkomendasikan",ROW($6:$1005)-5),51)+5)&amp;":O"&amp;(SMALL(IF(checklistPesertaKemenkeu!$AY$6:$AY$1005="Direkomendasikan",ROW($6:$1005)-5),51)+5)),INDEX(checklistPesertaKemenkeu!$P$6:$P$1005,SMALL(IF(checklistPesertaKemenkeu!$AY$6:$AY$1005="Direkomendasikan",ROW($6:$1005)-5),51)))=1),IFERROR(VLOOKUP(INDEX(checklistPesertaKemenkeu!$P$6:$P$1005,SMALL(IF(checklistPesertaKemenkeu!$AY$6:$AY$1005="Direkomendasikan",ROW($6:$1005)-5),51)),KotaKode,2,0),"-"),"")),"")</f>
        <v/>
      </c>
    </row>
    <row r="53" spans="1:12" ht="15" customHeight="1" x14ac:dyDescent="0.2">
      <c r="A53" t="str">
        <f t="shared" si="0"/>
        <v/>
      </c>
      <c r="B53" t="str">
        <v/>
      </c>
      <c r="C53" s="40" t="str">
        <f t="array" ref="C53">IFERROR(INDEX(checklistPesertaKemenkeu!$F$6:$F$1005,SMALL(IF(checklistPesertaKemenkeu!$AY$6:$AY$1005="Direkomendasikan",ROW($6:$1005)-5),52)),"")</f>
        <v/>
      </c>
      <c r="D53" t="str">
        <f t="array" ref="D53">IFERROR(INDEX(checklistPesertaKemenkeu!$G$6:$G$1005,SMALL(IF(checklistPesertaKemenkeu!$AY$6:$AY$1005="Direkomendasikan",ROW($6:$1005)-5),52)),"")</f>
        <v/>
      </c>
      <c r="E53" t="str">
        <f t="array" ref="E53">IFERROR(INDEX(checklistPesertaKemenkeu!$H$6:$H$1005,SMALL(IF(checklistPesertaKemenkeu!$AY$6:$AY$1005="Direkomendasikan",ROW($6:$1005)-5),52)),"")</f>
        <v/>
      </c>
      <c r="F53" t="str">
        <f t="array" ref="F53">IFERROR(INDEX(checklistPesertaKemenkeu!$I$6:$I$1005,SMALL(IF(checklistPesertaKemenkeu!$AY$6:$AY$1005="Direkomendasikan",ROW($6:$1005)-5),52)),"")</f>
        <v/>
      </c>
      <c r="G53" t="str">
        <f t="array" ref="G53">IFERROR(INDEX(checklistPesertaKemenkeu!$J$6:$J$1005,SMALL(IF(checklistPesertaKemenkeu!$AY$6:$AY$1005="Direkomendasikan",ROW($6:$1005)-5),52)),"")</f>
        <v/>
      </c>
      <c r="H53" t="str">
        <f t="array" aca="1" ref="H53" ca="1">IFERROR(IF(OR(INDEX(checklistPesertaKemenkeu!$L$6:$L$1005,SMALL(IF(checklistPesertaKemenkeu!$AY$6:$AY$1005="Direkomendasikan",ROW($6:$1005)-5),52))="",INDEX(checklistPesertaKemenkeu!$J$6:$J$1005,SMALL(IF(checklistPesertaKemenkeu!$AY$6:$AY$1005="Direkomendasikan",ROW($6:$1005)-5),52))=""),"",IF(AND(COUNTIF(INDIRECT("K_"&amp;MATCH(INDEX(checklistPesertaKemenkeu!$J$6:$J$1005,SMALL(IF(checklistPesertaKemenkeu!$AY$6:$AY$1005="Direkomendasikan",ROW($6:$1005)-5),52)),BidangList,0)),INDEX(checklistPesertaKemenkeu!$L$6:$L$1005,SMALL(IF(checklistPesertaKemenkeu!$AY$6:$AY$1005="Direkomendasikan",ROW($6:$1005)-5),52)))&gt;0,COUNTIF(INDIRECT("'KERTAS KERJA'!K"&amp;(SMALL(IF(checklistPesertaKemenkeu!$AY$6:$AY$1005="Direkomendasikan",ROW($6:$1005)-5),52)+5)&amp;":O"&amp;(SMALL(IF(checklistPesertaKemenkeu!$AY$6:$AY$1005="Direkomendasikan",ROW($6:$1005)-5),52)+5)),INDEX(checklistPesertaKemenkeu!$L$6:$L$1005,SMALL(IF(checklistPesertaKemenkeu!$AY$6:$AY$1005="Direkomendasikan",ROW($6:$1005)-5),52)))=1),IFERROR(VLOOKUP(INDEX(checklistPesertaKemenkeu!$L$6:$L$1005,SMALL(IF(checklistPesertaKemenkeu!$AY$6:$AY$1005="Direkomendasikan",ROW($6:$1005)-5),52)),KotaKode,2,0),"-"),"")),"")</f>
        <v/>
      </c>
      <c r="I53" t="str">
        <f t="array" aca="1" ref="I53" ca="1">IFERROR(IF(OR(INDEX(checklistPesertaKemenkeu!$M$6:$M$1005,SMALL(IF(checklistPesertaKemenkeu!$AY$6:$AY$1005="Direkomendasikan",ROW($6:$1005)-5),52))="",INDEX(checklistPesertaKemenkeu!$J$6:$J$1005,SMALL(IF(checklistPesertaKemenkeu!$AY$6:$AY$1005="Direkomendasikan",ROW($6:$1005)-5),52))=""),"",IF(AND(COUNTIF(INDIRECT("K_"&amp;MATCH(INDEX(checklistPesertaKemenkeu!$J$6:$J$1005,SMALL(IF(checklistPesertaKemenkeu!$AY$6:$AY$1005="Direkomendasikan",ROW($6:$1005)-5),52)),BidangList,0)),INDEX(checklistPesertaKemenkeu!$M$6:$M$1005,SMALL(IF(checklistPesertaKemenkeu!$AY$6:$AY$1005="Direkomendasikan",ROW($6:$1005)-5),52)))&gt;0,COUNTIF(INDIRECT("'KERTAS KERJA'!K"&amp;(SMALL(IF(checklistPesertaKemenkeu!$AY$6:$AY$1005="Direkomendasikan",ROW($6:$1005)-5),52)+5)&amp;":O"&amp;(SMALL(IF(checklistPesertaKemenkeu!$AY$6:$AY$1005="Direkomendasikan",ROW($6:$1005)-5),52)+5)),INDEX(checklistPesertaKemenkeu!$M$6:$M$1005,SMALL(IF(checklistPesertaKemenkeu!$AY$6:$AY$1005="Direkomendasikan",ROW($6:$1005)-5),52)))=1),IFERROR(VLOOKUP(INDEX(checklistPesertaKemenkeu!$M$6:$M$1005,SMALL(IF(checklistPesertaKemenkeu!$AY$6:$AY$1005="Direkomendasikan",ROW($6:$1005)-5),52)),KotaKode,2,0),"-"),"")),"")</f>
        <v/>
      </c>
      <c r="J53" t="str">
        <f t="array" aca="1" ref="J53" ca="1">IFERROR(IF(OR(INDEX(checklistPesertaKemenkeu!$N$6:$N$1005,SMALL(IF(checklistPesertaKemenkeu!$AY$6:$AY$1005="Direkomendasikan",ROW($6:$1005)-5),52))="",INDEX(checklistPesertaKemenkeu!$J$6:$J$1005,SMALL(IF(checklistPesertaKemenkeu!$AY$6:$AY$1005="Direkomendasikan",ROW($6:$1005)-5),52))=""),"",IF(AND(COUNTIF(INDIRECT("K_"&amp;MATCH(INDEX(checklistPesertaKemenkeu!$J$6:$J$1005,SMALL(IF(checklistPesertaKemenkeu!$AY$6:$AY$1005="Direkomendasikan",ROW($6:$1005)-5),52)),BidangList,0)),INDEX(checklistPesertaKemenkeu!$N$6:$N$1005,SMALL(IF(checklistPesertaKemenkeu!$AY$6:$AY$1005="Direkomendasikan",ROW($6:$1005)-5),52)))&gt;0,COUNTIF(INDIRECT("'KERTAS KERJA'!K"&amp;(SMALL(IF(checklistPesertaKemenkeu!$AY$6:$AY$1005="Direkomendasikan",ROW($6:$1005)-5),52)+5)&amp;":O"&amp;(SMALL(IF(checklistPesertaKemenkeu!$AY$6:$AY$1005="Direkomendasikan",ROW($6:$1005)-5),52)+5)),INDEX(checklistPesertaKemenkeu!$N$6:$N$1005,SMALL(IF(checklistPesertaKemenkeu!$AY$6:$AY$1005="Direkomendasikan",ROW($6:$1005)-5),52)))=1),IFERROR(VLOOKUP(INDEX(checklistPesertaKemenkeu!$N$6:$N$1005,SMALL(IF(checklistPesertaKemenkeu!$AY$6:$AY$1005="Direkomendasikan",ROW($6:$1005)-5),52)),KotaKode,2,0),"-"),"")),"")</f>
        <v/>
      </c>
      <c r="K53" t="str">
        <f t="array" aca="1" ref="K53" ca="1">IFERROR(IF(OR(INDEX(checklistPesertaKemenkeu!$O$6:$O$1005,SMALL(IF(checklistPesertaKemenkeu!$AY$6:$AY$1005="Direkomendasikan",ROW($6:$1005)-5),52))="",INDEX(checklistPesertaKemenkeu!$J$6:$J$1005,SMALL(IF(checklistPesertaKemenkeu!$AY$6:$AY$1005="Direkomendasikan",ROW($6:$1005)-5),52))=""),"",IF(AND(COUNTIF(INDIRECT("K_"&amp;MATCH(INDEX(checklistPesertaKemenkeu!$J$6:$J$1005,SMALL(IF(checklistPesertaKemenkeu!$AY$6:$AY$1005="Direkomendasikan",ROW($6:$1005)-5),52)),BidangList,0)),INDEX(checklistPesertaKemenkeu!$O$6:$O$1005,SMALL(IF(checklistPesertaKemenkeu!$AY$6:$AY$1005="Direkomendasikan",ROW($6:$1005)-5),52)))&gt;0,COUNTIF(INDIRECT("'KERTAS KERJA'!K"&amp;(SMALL(IF(checklistPesertaKemenkeu!$AY$6:$AY$1005="Direkomendasikan",ROW($6:$1005)-5),52)+5)&amp;":O"&amp;(SMALL(IF(checklistPesertaKemenkeu!$AY$6:$AY$1005="Direkomendasikan",ROW($6:$1005)-5),52)+5)),INDEX(checklistPesertaKemenkeu!$O$6:$O$1005,SMALL(IF(checklistPesertaKemenkeu!$AY$6:$AY$1005="Direkomendasikan",ROW($6:$1005)-5),52)))=1),IFERROR(VLOOKUP(INDEX(checklistPesertaKemenkeu!$O$6:$O$1005,SMALL(IF(checklistPesertaKemenkeu!$AY$6:$AY$1005="Direkomendasikan",ROW($6:$1005)-5),52)),KotaKode,2,0),"-"),"")),"")</f>
        <v/>
      </c>
      <c r="L53" t="str">
        <f t="array" aca="1" ref="L53" ca="1">IFERROR(IF(OR(INDEX(checklistPesertaKemenkeu!$P$6:$P$1005,SMALL(IF(checklistPesertaKemenkeu!$AY$6:$AY$1005="Direkomendasikan",ROW($6:$1005)-5),52))="",INDEX(checklistPesertaKemenkeu!$J$6:$J$1005,SMALL(IF(checklistPesertaKemenkeu!$AY$6:$AY$1005="Direkomendasikan",ROW($6:$1005)-5),52))=""),"",IF(AND(COUNTIF(INDIRECT("K_"&amp;MATCH(INDEX(checklistPesertaKemenkeu!$J$6:$J$1005,SMALL(IF(checklistPesertaKemenkeu!$AY$6:$AY$1005="Direkomendasikan",ROW($6:$1005)-5),52)),BidangList,0)),INDEX(checklistPesertaKemenkeu!$P$6:$P$1005,SMALL(IF(checklistPesertaKemenkeu!$AY$6:$AY$1005="Direkomendasikan",ROW($6:$1005)-5),52)))&gt;0,COUNTIF(INDIRECT("'KERTAS KERJA'!K"&amp;(SMALL(IF(checklistPesertaKemenkeu!$AY$6:$AY$1005="Direkomendasikan",ROW($6:$1005)-5),52)+5)&amp;":O"&amp;(SMALL(IF(checklistPesertaKemenkeu!$AY$6:$AY$1005="Direkomendasikan",ROW($6:$1005)-5),52)+5)),INDEX(checklistPesertaKemenkeu!$P$6:$P$1005,SMALL(IF(checklistPesertaKemenkeu!$AY$6:$AY$1005="Direkomendasikan",ROW($6:$1005)-5),52)))=1),IFERROR(VLOOKUP(INDEX(checklistPesertaKemenkeu!$P$6:$P$1005,SMALL(IF(checklistPesertaKemenkeu!$AY$6:$AY$1005="Direkomendasikan",ROW($6:$1005)-5),52)),KotaKode,2,0),"-"),"")),"")</f>
        <v/>
      </c>
    </row>
    <row r="54" spans="1:12" ht="15" customHeight="1" x14ac:dyDescent="0.2">
      <c r="A54" t="str">
        <f t="shared" si="0"/>
        <v/>
      </c>
      <c r="B54" t="str">
        <v/>
      </c>
      <c r="C54" s="40" t="str">
        <f t="array" ref="C54">IFERROR(INDEX(checklistPesertaKemenkeu!$F$6:$F$1005,SMALL(IF(checklistPesertaKemenkeu!$AY$6:$AY$1005="Direkomendasikan",ROW($6:$1005)-5),53)),"")</f>
        <v/>
      </c>
      <c r="D54" t="str">
        <f t="array" ref="D54">IFERROR(INDEX(checklistPesertaKemenkeu!$G$6:$G$1005,SMALL(IF(checklistPesertaKemenkeu!$AY$6:$AY$1005="Direkomendasikan",ROW($6:$1005)-5),53)),"")</f>
        <v/>
      </c>
      <c r="E54" t="str">
        <f t="array" ref="E54">IFERROR(INDEX(checklistPesertaKemenkeu!$H$6:$H$1005,SMALL(IF(checklistPesertaKemenkeu!$AY$6:$AY$1005="Direkomendasikan",ROW($6:$1005)-5),53)),"")</f>
        <v/>
      </c>
      <c r="F54" t="str">
        <f t="array" ref="F54">IFERROR(INDEX(checklistPesertaKemenkeu!$I$6:$I$1005,SMALL(IF(checklistPesertaKemenkeu!$AY$6:$AY$1005="Direkomendasikan",ROW($6:$1005)-5),53)),"")</f>
        <v/>
      </c>
      <c r="G54" t="str">
        <f t="array" ref="G54">IFERROR(INDEX(checklistPesertaKemenkeu!$J$6:$J$1005,SMALL(IF(checklistPesertaKemenkeu!$AY$6:$AY$1005="Direkomendasikan",ROW($6:$1005)-5),53)),"")</f>
        <v/>
      </c>
      <c r="H54" t="str">
        <f t="array" aca="1" ref="H54" ca="1">IFERROR(IF(OR(INDEX(checklistPesertaKemenkeu!$L$6:$L$1005,SMALL(IF(checklistPesertaKemenkeu!$AY$6:$AY$1005="Direkomendasikan",ROW($6:$1005)-5),53))="",INDEX(checklistPesertaKemenkeu!$J$6:$J$1005,SMALL(IF(checklistPesertaKemenkeu!$AY$6:$AY$1005="Direkomendasikan",ROW($6:$1005)-5),53))=""),"",IF(AND(COUNTIF(INDIRECT("K_"&amp;MATCH(INDEX(checklistPesertaKemenkeu!$J$6:$J$1005,SMALL(IF(checklistPesertaKemenkeu!$AY$6:$AY$1005="Direkomendasikan",ROW($6:$1005)-5),53)),BidangList,0)),INDEX(checklistPesertaKemenkeu!$L$6:$L$1005,SMALL(IF(checklistPesertaKemenkeu!$AY$6:$AY$1005="Direkomendasikan",ROW($6:$1005)-5),53)))&gt;0,COUNTIF(INDIRECT("'KERTAS KERJA'!K"&amp;(SMALL(IF(checklistPesertaKemenkeu!$AY$6:$AY$1005="Direkomendasikan",ROW($6:$1005)-5),53)+5)&amp;":O"&amp;(SMALL(IF(checklistPesertaKemenkeu!$AY$6:$AY$1005="Direkomendasikan",ROW($6:$1005)-5),53)+5)),INDEX(checklistPesertaKemenkeu!$L$6:$L$1005,SMALL(IF(checklistPesertaKemenkeu!$AY$6:$AY$1005="Direkomendasikan",ROW($6:$1005)-5),53)))=1),IFERROR(VLOOKUP(INDEX(checklistPesertaKemenkeu!$L$6:$L$1005,SMALL(IF(checklistPesertaKemenkeu!$AY$6:$AY$1005="Direkomendasikan",ROW($6:$1005)-5),53)),KotaKode,2,0),"-"),"")),"")</f>
        <v/>
      </c>
      <c r="I54" t="str">
        <f t="array" aca="1" ref="I54" ca="1">IFERROR(IF(OR(INDEX(checklistPesertaKemenkeu!$M$6:$M$1005,SMALL(IF(checklistPesertaKemenkeu!$AY$6:$AY$1005="Direkomendasikan",ROW($6:$1005)-5),53))="",INDEX(checklistPesertaKemenkeu!$J$6:$J$1005,SMALL(IF(checklistPesertaKemenkeu!$AY$6:$AY$1005="Direkomendasikan",ROW($6:$1005)-5),53))=""),"",IF(AND(COUNTIF(INDIRECT("K_"&amp;MATCH(INDEX(checklistPesertaKemenkeu!$J$6:$J$1005,SMALL(IF(checklistPesertaKemenkeu!$AY$6:$AY$1005="Direkomendasikan",ROW($6:$1005)-5),53)),BidangList,0)),INDEX(checklistPesertaKemenkeu!$M$6:$M$1005,SMALL(IF(checklistPesertaKemenkeu!$AY$6:$AY$1005="Direkomendasikan",ROW($6:$1005)-5),53)))&gt;0,COUNTIF(INDIRECT("'KERTAS KERJA'!K"&amp;(SMALL(IF(checklistPesertaKemenkeu!$AY$6:$AY$1005="Direkomendasikan",ROW($6:$1005)-5),53)+5)&amp;":O"&amp;(SMALL(IF(checklistPesertaKemenkeu!$AY$6:$AY$1005="Direkomendasikan",ROW($6:$1005)-5),53)+5)),INDEX(checklistPesertaKemenkeu!$M$6:$M$1005,SMALL(IF(checklistPesertaKemenkeu!$AY$6:$AY$1005="Direkomendasikan",ROW($6:$1005)-5),53)))=1),IFERROR(VLOOKUP(INDEX(checklistPesertaKemenkeu!$M$6:$M$1005,SMALL(IF(checklistPesertaKemenkeu!$AY$6:$AY$1005="Direkomendasikan",ROW($6:$1005)-5),53)),KotaKode,2,0),"-"),"")),"")</f>
        <v/>
      </c>
      <c r="J54" t="str">
        <f t="array" aca="1" ref="J54" ca="1">IFERROR(IF(OR(INDEX(checklistPesertaKemenkeu!$N$6:$N$1005,SMALL(IF(checklistPesertaKemenkeu!$AY$6:$AY$1005="Direkomendasikan",ROW($6:$1005)-5),53))="",INDEX(checklistPesertaKemenkeu!$J$6:$J$1005,SMALL(IF(checklistPesertaKemenkeu!$AY$6:$AY$1005="Direkomendasikan",ROW($6:$1005)-5),53))=""),"",IF(AND(COUNTIF(INDIRECT("K_"&amp;MATCH(INDEX(checklistPesertaKemenkeu!$J$6:$J$1005,SMALL(IF(checklistPesertaKemenkeu!$AY$6:$AY$1005="Direkomendasikan",ROW($6:$1005)-5),53)),BidangList,0)),INDEX(checklistPesertaKemenkeu!$N$6:$N$1005,SMALL(IF(checklistPesertaKemenkeu!$AY$6:$AY$1005="Direkomendasikan",ROW($6:$1005)-5),53)))&gt;0,COUNTIF(INDIRECT("'KERTAS KERJA'!K"&amp;(SMALL(IF(checklistPesertaKemenkeu!$AY$6:$AY$1005="Direkomendasikan",ROW($6:$1005)-5),53)+5)&amp;":O"&amp;(SMALL(IF(checklistPesertaKemenkeu!$AY$6:$AY$1005="Direkomendasikan",ROW($6:$1005)-5),53)+5)),INDEX(checklistPesertaKemenkeu!$N$6:$N$1005,SMALL(IF(checklistPesertaKemenkeu!$AY$6:$AY$1005="Direkomendasikan",ROW($6:$1005)-5),53)))=1),IFERROR(VLOOKUP(INDEX(checklistPesertaKemenkeu!$N$6:$N$1005,SMALL(IF(checklistPesertaKemenkeu!$AY$6:$AY$1005="Direkomendasikan",ROW($6:$1005)-5),53)),KotaKode,2,0),"-"),"")),"")</f>
        <v/>
      </c>
      <c r="K54" t="str">
        <f t="array" aca="1" ref="K54" ca="1">IFERROR(IF(OR(INDEX(checklistPesertaKemenkeu!$O$6:$O$1005,SMALL(IF(checklistPesertaKemenkeu!$AY$6:$AY$1005="Direkomendasikan",ROW($6:$1005)-5),53))="",INDEX(checklistPesertaKemenkeu!$J$6:$J$1005,SMALL(IF(checklistPesertaKemenkeu!$AY$6:$AY$1005="Direkomendasikan",ROW($6:$1005)-5),53))=""),"",IF(AND(COUNTIF(INDIRECT("K_"&amp;MATCH(INDEX(checklistPesertaKemenkeu!$J$6:$J$1005,SMALL(IF(checklistPesertaKemenkeu!$AY$6:$AY$1005="Direkomendasikan",ROW($6:$1005)-5),53)),BidangList,0)),INDEX(checklistPesertaKemenkeu!$O$6:$O$1005,SMALL(IF(checklistPesertaKemenkeu!$AY$6:$AY$1005="Direkomendasikan",ROW($6:$1005)-5),53)))&gt;0,COUNTIF(INDIRECT("'KERTAS KERJA'!K"&amp;(SMALL(IF(checklistPesertaKemenkeu!$AY$6:$AY$1005="Direkomendasikan",ROW($6:$1005)-5),53)+5)&amp;":O"&amp;(SMALL(IF(checklistPesertaKemenkeu!$AY$6:$AY$1005="Direkomendasikan",ROW($6:$1005)-5),53)+5)),INDEX(checklistPesertaKemenkeu!$O$6:$O$1005,SMALL(IF(checklistPesertaKemenkeu!$AY$6:$AY$1005="Direkomendasikan",ROW($6:$1005)-5),53)))=1),IFERROR(VLOOKUP(INDEX(checklistPesertaKemenkeu!$O$6:$O$1005,SMALL(IF(checklistPesertaKemenkeu!$AY$6:$AY$1005="Direkomendasikan",ROW($6:$1005)-5),53)),KotaKode,2,0),"-"),"")),"")</f>
        <v/>
      </c>
      <c r="L54" t="str">
        <f t="array" aca="1" ref="L54" ca="1">IFERROR(IF(OR(INDEX(checklistPesertaKemenkeu!$P$6:$P$1005,SMALL(IF(checklistPesertaKemenkeu!$AY$6:$AY$1005="Direkomendasikan",ROW($6:$1005)-5),53))="",INDEX(checklistPesertaKemenkeu!$J$6:$J$1005,SMALL(IF(checklistPesertaKemenkeu!$AY$6:$AY$1005="Direkomendasikan",ROW($6:$1005)-5),53))=""),"",IF(AND(COUNTIF(INDIRECT("K_"&amp;MATCH(INDEX(checklistPesertaKemenkeu!$J$6:$J$1005,SMALL(IF(checklistPesertaKemenkeu!$AY$6:$AY$1005="Direkomendasikan",ROW($6:$1005)-5),53)),BidangList,0)),INDEX(checklistPesertaKemenkeu!$P$6:$P$1005,SMALL(IF(checklistPesertaKemenkeu!$AY$6:$AY$1005="Direkomendasikan",ROW($6:$1005)-5),53)))&gt;0,COUNTIF(INDIRECT("'KERTAS KERJA'!K"&amp;(SMALL(IF(checklistPesertaKemenkeu!$AY$6:$AY$1005="Direkomendasikan",ROW($6:$1005)-5),53)+5)&amp;":O"&amp;(SMALL(IF(checklistPesertaKemenkeu!$AY$6:$AY$1005="Direkomendasikan",ROW($6:$1005)-5),53)+5)),INDEX(checklistPesertaKemenkeu!$P$6:$P$1005,SMALL(IF(checklistPesertaKemenkeu!$AY$6:$AY$1005="Direkomendasikan",ROW($6:$1005)-5),53)))=1),IFERROR(VLOOKUP(INDEX(checklistPesertaKemenkeu!$P$6:$P$1005,SMALL(IF(checklistPesertaKemenkeu!$AY$6:$AY$1005="Direkomendasikan",ROW($6:$1005)-5),53)),KotaKode,2,0),"-"),"")),"")</f>
        <v/>
      </c>
    </row>
    <row r="55" spans="1:12" ht="15" customHeight="1" x14ac:dyDescent="0.2">
      <c r="A55" t="str">
        <f t="shared" si="0"/>
        <v/>
      </c>
      <c r="B55" t="str">
        <v/>
      </c>
      <c r="C55" s="40" t="str">
        <f t="array" ref="C55">IFERROR(INDEX(checklistPesertaKemenkeu!$F$6:$F$1005,SMALL(IF(checklistPesertaKemenkeu!$AY$6:$AY$1005="Direkomendasikan",ROW($6:$1005)-5),54)),"")</f>
        <v/>
      </c>
      <c r="D55" t="str">
        <f t="array" ref="D55">IFERROR(INDEX(checklistPesertaKemenkeu!$G$6:$G$1005,SMALL(IF(checklistPesertaKemenkeu!$AY$6:$AY$1005="Direkomendasikan",ROW($6:$1005)-5),54)),"")</f>
        <v/>
      </c>
      <c r="E55" t="str">
        <f t="array" ref="E55">IFERROR(INDEX(checklistPesertaKemenkeu!$H$6:$H$1005,SMALL(IF(checklistPesertaKemenkeu!$AY$6:$AY$1005="Direkomendasikan",ROW($6:$1005)-5),54)),"")</f>
        <v/>
      </c>
      <c r="F55" t="str">
        <f t="array" ref="F55">IFERROR(INDEX(checklistPesertaKemenkeu!$I$6:$I$1005,SMALL(IF(checklistPesertaKemenkeu!$AY$6:$AY$1005="Direkomendasikan",ROW($6:$1005)-5),54)),"")</f>
        <v/>
      </c>
      <c r="G55" t="str">
        <f t="array" ref="G55">IFERROR(INDEX(checklistPesertaKemenkeu!$J$6:$J$1005,SMALL(IF(checklistPesertaKemenkeu!$AY$6:$AY$1005="Direkomendasikan",ROW($6:$1005)-5),54)),"")</f>
        <v/>
      </c>
      <c r="H55" t="str">
        <f t="array" aca="1" ref="H55" ca="1">IFERROR(IF(OR(INDEX(checklistPesertaKemenkeu!$L$6:$L$1005,SMALL(IF(checklistPesertaKemenkeu!$AY$6:$AY$1005="Direkomendasikan",ROW($6:$1005)-5),54))="",INDEX(checklistPesertaKemenkeu!$J$6:$J$1005,SMALL(IF(checklistPesertaKemenkeu!$AY$6:$AY$1005="Direkomendasikan",ROW($6:$1005)-5),54))=""),"",IF(AND(COUNTIF(INDIRECT("K_"&amp;MATCH(INDEX(checklistPesertaKemenkeu!$J$6:$J$1005,SMALL(IF(checklistPesertaKemenkeu!$AY$6:$AY$1005="Direkomendasikan",ROW($6:$1005)-5),54)),BidangList,0)),INDEX(checklistPesertaKemenkeu!$L$6:$L$1005,SMALL(IF(checklistPesertaKemenkeu!$AY$6:$AY$1005="Direkomendasikan",ROW($6:$1005)-5),54)))&gt;0,COUNTIF(INDIRECT("'KERTAS KERJA'!K"&amp;(SMALL(IF(checklistPesertaKemenkeu!$AY$6:$AY$1005="Direkomendasikan",ROW($6:$1005)-5),54)+5)&amp;":O"&amp;(SMALL(IF(checklistPesertaKemenkeu!$AY$6:$AY$1005="Direkomendasikan",ROW($6:$1005)-5),54)+5)),INDEX(checklistPesertaKemenkeu!$L$6:$L$1005,SMALL(IF(checklistPesertaKemenkeu!$AY$6:$AY$1005="Direkomendasikan",ROW($6:$1005)-5),54)))=1),IFERROR(VLOOKUP(INDEX(checklistPesertaKemenkeu!$L$6:$L$1005,SMALL(IF(checklistPesertaKemenkeu!$AY$6:$AY$1005="Direkomendasikan",ROW($6:$1005)-5),54)),KotaKode,2,0),"-"),"")),"")</f>
        <v/>
      </c>
      <c r="I55" t="str">
        <f t="array" aca="1" ref="I55" ca="1">IFERROR(IF(OR(INDEX(checklistPesertaKemenkeu!$M$6:$M$1005,SMALL(IF(checklistPesertaKemenkeu!$AY$6:$AY$1005="Direkomendasikan",ROW($6:$1005)-5),54))="",INDEX(checklistPesertaKemenkeu!$J$6:$J$1005,SMALL(IF(checklistPesertaKemenkeu!$AY$6:$AY$1005="Direkomendasikan",ROW($6:$1005)-5),54))=""),"",IF(AND(COUNTIF(INDIRECT("K_"&amp;MATCH(INDEX(checklistPesertaKemenkeu!$J$6:$J$1005,SMALL(IF(checklistPesertaKemenkeu!$AY$6:$AY$1005="Direkomendasikan",ROW($6:$1005)-5),54)),BidangList,0)),INDEX(checklistPesertaKemenkeu!$M$6:$M$1005,SMALL(IF(checklistPesertaKemenkeu!$AY$6:$AY$1005="Direkomendasikan",ROW($6:$1005)-5),54)))&gt;0,COUNTIF(INDIRECT("'KERTAS KERJA'!K"&amp;(SMALL(IF(checklistPesertaKemenkeu!$AY$6:$AY$1005="Direkomendasikan",ROW($6:$1005)-5),54)+5)&amp;":O"&amp;(SMALL(IF(checklistPesertaKemenkeu!$AY$6:$AY$1005="Direkomendasikan",ROW($6:$1005)-5),54)+5)),INDEX(checklistPesertaKemenkeu!$M$6:$M$1005,SMALL(IF(checklistPesertaKemenkeu!$AY$6:$AY$1005="Direkomendasikan",ROW($6:$1005)-5),54)))=1),IFERROR(VLOOKUP(INDEX(checklistPesertaKemenkeu!$M$6:$M$1005,SMALL(IF(checklistPesertaKemenkeu!$AY$6:$AY$1005="Direkomendasikan",ROW($6:$1005)-5),54)),KotaKode,2,0),"-"),"")),"")</f>
        <v/>
      </c>
      <c r="J55" t="str">
        <f t="array" aca="1" ref="J55" ca="1">IFERROR(IF(OR(INDEX(checklistPesertaKemenkeu!$N$6:$N$1005,SMALL(IF(checklistPesertaKemenkeu!$AY$6:$AY$1005="Direkomendasikan",ROW($6:$1005)-5),54))="",INDEX(checklistPesertaKemenkeu!$J$6:$J$1005,SMALL(IF(checklistPesertaKemenkeu!$AY$6:$AY$1005="Direkomendasikan",ROW($6:$1005)-5),54))=""),"",IF(AND(COUNTIF(INDIRECT("K_"&amp;MATCH(INDEX(checklistPesertaKemenkeu!$J$6:$J$1005,SMALL(IF(checklistPesertaKemenkeu!$AY$6:$AY$1005="Direkomendasikan",ROW($6:$1005)-5),54)),BidangList,0)),INDEX(checklistPesertaKemenkeu!$N$6:$N$1005,SMALL(IF(checklistPesertaKemenkeu!$AY$6:$AY$1005="Direkomendasikan",ROW($6:$1005)-5),54)))&gt;0,COUNTIF(INDIRECT("'KERTAS KERJA'!K"&amp;(SMALL(IF(checklistPesertaKemenkeu!$AY$6:$AY$1005="Direkomendasikan",ROW($6:$1005)-5),54)+5)&amp;":O"&amp;(SMALL(IF(checklistPesertaKemenkeu!$AY$6:$AY$1005="Direkomendasikan",ROW($6:$1005)-5),54)+5)),INDEX(checklistPesertaKemenkeu!$N$6:$N$1005,SMALL(IF(checklistPesertaKemenkeu!$AY$6:$AY$1005="Direkomendasikan",ROW($6:$1005)-5),54)))=1),IFERROR(VLOOKUP(INDEX(checklistPesertaKemenkeu!$N$6:$N$1005,SMALL(IF(checklistPesertaKemenkeu!$AY$6:$AY$1005="Direkomendasikan",ROW($6:$1005)-5),54)),KotaKode,2,0),"-"),"")),"")</f>
        <v/>
      </c>
      <c r="K55" t="str">
        <f t="array" aca="1" ref="K55" ca="1">IFERROR(IF(OR(INDEX(checklistPesertaKemenkeu!$O$6:$O$1005,SMALL(IF(checklistPesertaKemenkeu!$AY$6:$AY$1005="Direkomendasikan",ROW($6:$1005)-5),54))="",INDEX(checklistPesertaKemenkeu!$J$6:$J$1005,SMALL(IF(checklistPesertaKemenkeu!$AY$6:$AY$1005="Direkomendasikan",ROW($6:$1005)-5),54))=""),"",IF(AND(COUNTIF(INDIRECT("K_"&amp;MATCH(INDEX(checklistPesertaKemenkeu!$J$6:$J$1005,SMALL(IF(checklistPesertaKemenkeu!$AY$6:$AY$1005="Direkomendasikan",ROW($6:$1005)-5),54)),BidangList,0)),INDEX(checklistPesertaKemenkeu!$O$6:$O$1005,SMALL(IF(checklistPesertaKemenkeu!$AY$6:$AY$1005="Direkomendasikan",ROW($6:$1005)-5),54)))&gt;0,COUNTIF(INDIRECT("'KERTAS KERJA'!K"&amp;(SMALL(IF(checklistPesertaKemenkeu!$AY$6:$AY$1005="Direkomendasikan",ROW($6:$1005)-5),54)+5)&amp;":O"&amp;(SMALL(IF(checklistPesertaKemenkeu!$AY$6:$AY$1005="Direkomendasikan",ROW($6:$1005)-5),54)+5)),INDEX(checklistPesertaKemenkeu!$O$6:$O$1005,SMALL(IF(checklistPesertaKemenkeu!$AY$6:$AY$1005="Direkomendasikan",ROW($6:$1005)-5),54)))=1),IFERROR(VLOOKUP(INDEX(checklistPesertaKemenkeu!$O$6:$O$1005,SMALL(IF(checklistPesertaKemenkeu!$AY$6:$AY$1005="Direkomendasikan",ROW($6:$1005)-5),54)),KotaKode,2,0),"-"),"")),"")</f>
        <v/>
      </c>
      <c r="L55" t="str">
        <f t="array" aca="1" ref="L55" ca="1">IFERROR(IF(OR(INDEX(checklistPesertaKemenkeu!$P$6:$P$1005,SMALL(IF(checklistPesertaKemenkeu!$AY$6:$AY$1005="Direkomendasikan",ROW($6:$1005)-5),54))="",INDEX(checklistPesertaKemenkeu!$J$6:$J$1005,SMALL(IF(checklistPesertaKemenkeu!$AY$6:$AY$1005="Direkomendasikan",ROW($6:$1005)-5),54))=""),"",IF(AND(COUNTIF(INDIRECT("K_"&amp;MATCH(INDEX(checklistPesertaKemenkeu!$J$6:$J$1005,SMALL(IF(checklistPesertaKemenkeu!$AY$6:$AY$1005="Direkomendasikan",ROW($6:$1005)-5),54)),BidangList,0)),INDEX(checklistPesertaKemenkeu!$P$6:$P$1005,SMALL(IF(checklistPesertaKemenkeu!$AY$6:$AY$1005="Direkomendasikan",ROW($6:$1005)-5),54)))&gt;0,COUNTIF(INDIRECT("'KERTAS KERJA'!K"&amp;(SMALL(IF(checklistPesertaKemenkeu!$AY$6:$AY$1005="Direkomendasikan",ROW($6:$1005)-5),54)+5)&amp;":O"&amp;(SMALL(IF(checklistPesertaKemenkeu!$AY$6:$AY$1005="Direkomendasikan",ROW($6:$1005)-5),54)+5)),INDEX(checklistPesertaKemenkeu!$P$6:$P$1005,SMALL(IF(checklistPesertaKemenkeu!$AY$6:$AY$1005="Direkomendasikan",ROW($6:$1005)-5),54)))=1),IFERROR(VLOOKUP(INDEX(checklistPesertaKemenkeu!$P$6:$P$1005,SMALL(IF(checklistPesertaKemenkeu!$AY$6:$AY$1005="Direkomendasikan",ROW($6:$1005)-5),54)),KotaKode,2,0),"-"),"")),"")</f>
        <v/>
      </c>
    </row>
    <row r="56" spans="1:12" ht="15" customHeight="1" x14ac:dyDescent="0.2">
      <c r="A56" t="str">
        <f t="shared" si="0"/>
        <v/>
      </c>
      <c r="B56" t="str">
        <v/>
      </c>
      <c r="C56" s="40" t="str">
        <f t="array" ref="C56">IFERROR(INDEX(checklistPesertaKemenkeu!$F$6:$F$1005,SMALL(IF(checklistPesertaKemenkeu!$AY$6:$AY$1005="Direkomendasikan",ROW($6:$1005)-5),55)),"")</f>
        <v/>
      </c>
      <c r="D56" t="str">
        <f t="array" ref="D56">IFERROR(INDEX(checklistPesertaKemenkeu!$G$6:$G$1005,SMALL(IF(checklistPesertaKemenkeu!$AY$6:$AY$1005="Direkomendasikan",ROW($6:$1005)-5),55)),"")</f>
        <v/>
      </c>
      <c r="E56" t="str">
        <f t="array" ref="E56">IFERROR(INDEX(checklistPesertaKemenkeu!$H$6:$H$1005,SMALL(IF(checklistPesertaKemenkeu!$AY$6:$AY$1005="Direkomendasikan",ROW($6:$1005)-5),55)),"")</f>
        <v/>
      </c>
      <c r="F56" t="str">
        <f t="array" ref="F56">IFERROR(INDEX(checklistPesertaKemenkeu!$I$6:$I$1005,SMALL(IF(checklistPesertaKemenkeu!$AY$6:$AY$1005="Direkomendasikan",ROW($6:$1005)-5),55)),"")</f>
        <v/>
      </c>
      <c r="G56" t="str">
        <f t="array" ref="G56">IFERROR(INDEX(checklistPesertaKemenkeu!$J$6:$J$1005,SMALL(IF(checklistPesertaKemenkeu!$AY$6:$AY$1005="Direkomendasikan",ROW($6:$1005)-5),55)),"")</f>
        <v/>
      </c>
      <c r="H56" t="str">
        <f t="array" aca="1" ref="H56" ca="1">IFERROR(IF(OR(INDEX(checklistPesertaKemenkeu!$L$6:$L$1005,SMALL(IF(checklistPesertaKemenkeu!$AY$6:$AY$1005="Direkomendasikan",ROW($6:$1005)-5),55))="",INDEX(checklistPesertaKemenkeu!$J$6:$J$1005,SMALL(IF(checklistPesertaKemenkeu!$AY$6:$AY$1005="Direkomendasikan",ROW($6:$1005)-5),55))=""),"",IF(AND(COUNTIF(INDIRECT("K_"&amp;MATCH(INDEX(checklistPesertaKemenkeu!$J$6:$J$1005,SMALL(IF(checklistPesertaKemenkeu!$AY$6:$AY$1005="Direkomendasikan",ROW($6:$1005)-5),55)),BidangList,0)),INDEX(checklistPesertaKemenkeu!$L$6:$L$1005,SMALL(IF(checklistPesertaKemenkeu!$AY$6:$AY$1005="Direkomendasikan",ROW($6:$1005)-5),55)))&gt;0,COUNTIF(INDIRECT("'KERTAS KERJA'!K"&amp;(SMALL(IF(checklistPesertaKemenkeu!$AY$6:$AY$1005="Direkomendasikan",ROW($6:$1005)-5),55)+5)&amp;":O"&amp;(SMALL(IF(checklistPesertaKemenkeu!$AY$6:$AY$1005="Direkomendasikan",ROW($6:$1005)-5),55)+5)),INDEX(checklistPesertaKemenkeu!$L$6:$L$1005,SMALL(IF(checklistPesertaKemenkeu!$AY$6:$AY$1005="Direkomendasikan",ROW($6:$1005)-5),55)))=1),IFERROR(VLOOKUP(INDEX(checklistPesertaKemenkeu!$L$6:$L$1005,SMALL(IF(checklistPesertaKemenkeu!$AY$6:$AY$1005="Direkomendasikan",ROW($6:$1005)-5),55)),KotaKode,2,0),"-"),"")),"")</f>
        <v/>
      </c>
      <c r="I56" t="str">
        <f t="array" aca="1" ref="I56" ca="1">IFERROR(IF(OR(INDEX(checklistPesertaKemenkeu!$M$6:$M$1005,SMALL(IF(checklistPesertaKemenkeu!$AY$6:$AY$1005="Direkomendasikan",ROW($6:$1005)-5),55))="",INDEX(checklistPesertaKemenkeu!$J$6:$J$1005,SMALL(IF(checklistPesertaKemenkeu!$AY$6:$AY$1005="Direkomendasikan",ROW($6:$1005)-5),55))=""),"",IF(AND(COUNTIF(INDIRECT("K_"&amp;MATCH(INDEX(checklistPesertaKemenkeu!$J$6:$J$1005,SMALL(IF(checklistPesertaKemenkeu!$AY$6:$AY$1005="Direkomendasikan",ROW($6:$1005)-5),55)),BidangList,0)),INDEX(checklistPesertaKemenkeu!$M$6:$M$1005,SMALL(IF(checklistPesertaKemenkeu!$AY$6:$AY$1005="Direkomendasikan",ROW($6:$1005)-5),55)))&gt;0,COUNTIF(INDIRECT("'KERTAS KERJA'!K"&amp;(SMALL(IF(checklistPesertaKemenkeu!$AY$6:$AY$1005="Direkomendasikan",ROW($6:$1005)-5),55)+5)&amp;":O"&amp;(SMALL(IF(checklistPesertaKemenkeu!$AY$6:$AY$1005="Direkomendasikan",ROW($6:$1005)-5),55)+5)),INDEX(checklistPesertaKemenkeu!$M$6:$M$1005,SMALL(IF(checklistPesertaKemenkeu!$AY$6:$AY$1005="Direkomendasikan",ROW($6:$1005)-5),55)))=1),IFERROR(VLOOKUP(INDEX(checklistPesertaKemenkeu!$M$6:$M$1005,SMALL(IF(checklistPesertaKemenkeu!$AY$6:$AY$1005="Direkomendasikan",ROW($6:$1005)-5),55)),KotaKode,2,0),"-"),"")),"")</f>
        <v/>
      </c>
      <c r="J56" t="str">
        <f t="array" aca="1" ref="J56" ca="1">IFERROR(IF(OR(INDEX(checklistPesertaKemenkeu!$N$6:$N$1005,SMALL(IF(checklistPesertaKemenkeu!$AY$6:$AY$1005="Direkomendasikan",ROW($6:$1005)-5),55))="",INDEX(checklistPesertaKemenkeu!$J$6:$J$1005,SMALL(IF(checklistPesertaKemenkeu!$AY$6:$AY$1005="Direkomendasikan",ROW($6:$1005)-5),55))=""),"",IF(AND(COUNTIF(INDIRECT("K_"&amp;MATCH(INDEX(checklistPesertaKemenkeu!$J$6:$J$1005,SMALL(IF(checklistPesertaKemenkeu!$AY$6:$AY$1005="Direkomendasikan",ROW($6:$1005)-5),55)),BidangList,0)),INDEX(checklistPesertaKemenkeu!$N$6:$N$1005,SMALL(IF(checklistPesertaKemenkeu!$AY$6:$AY$1005="Direkomendasikan",ROW($6:$1005)-5),55)))&gt;0,COUNTIF(INDIRECT("'KERTAS KERJA'!K"&amp;(SMALL(IF(checklistPesertaKemenkeu!$AY$6:$AY$1005="Direkomendasikan",ROW($6:$1005)-5),55)+5)&amp;":O"&amp;(SMALL(IF(checklistPesertaKemenkeu!$AY$6:$AY$1005="Direkomendasikan",ROW($6:$1005)-5),55)+5)),INDEX(checklistPesertaKemenkeu!$N$6:$N$1005,SMALL(IF(checklistPesertaKemenkeu!$AY$6:$AY$1005="Direkomendasikan",ROW($6:$1005)-5),55)))=1),IFERROR(VLOOKUP(INDEX(checklistPesertaKemenkeu!$N$6:$N$1005,SMALL(IF(checklistPesertaKemenkeu!$AY$6:$AY$1005="Direkomendasikan",ROW($6:$1005)-5),55)),KotaKode,2,0),"-"),"")),"")</f>
        <v/>
      </c>
      <c r="K56" t="str">
        <f t="array" aca="1" ref="K56" ca="1">IFERROR(IF(OR(INDEX(checklistPesertaKemenkeu!$O$6:$O$1005,SMALL(IF(checklistPesertaKemenkeu!$AY$6:$AY$1005="Direkomendasikan",ROW($6:$1005)-5),55))="",INDEX(checklistPesertaKemenkeu!$J$6:$J$1005,SMALL(IF(checklistPesertaKemenkeu!$AY$6:$AY$1005="Direkomendasikan",ROW($6:$1005)-5),55))=""),"",IF(AND(COUNTIF(INDIRECT("K_"&amp;MATCH(INDEX(checklistPesertaKemenkeu!$J$6:$J$1005,SMALL(IF(checklistPesertaKemenkeu!$AY$6:$AY$1005="Direkomendasikan",ROW($6:$1005)-5),55)),BidangList,0)),INDEX(checklistPesertaKemenkeu!$O$6:$O$1005,SMALL(IF(checklistPesertaKemenkeu!$AY$6:$AY$1005="Direkomendasikan",ROW($6:$1005)-5),55)))&gt;0,COUNTIF(INDIRECT("'KERTAS KERJA'!K"&amp;(SMALL(IF(checklistPesertaKemenkeu!$AY$6:$AY$1005="Direkomendasikan",ROW($6:$1005)-5),55)+5)&amp;":O"&amp;(SMALL(IF(checklistPesertaKemenkeu!$AY$6:$AY$1005="Direkomendasikan",ROW($6:$1005)-5),55)+5)),INDEX(checklistPesertaKemenkeu!$O$6:$O$1005,SMALL(IF(checklistPesertaKemenkeu!$AY$6:$AY$1005="Direkomendasikan",ROW($6:$1005)-5),55)))=1),IFERROR(VLOOKUP(INDEX(checklistPesertaKemenkeu!$O$6:$O$1005,SMALL(IF(checklistPesertaKemenkeu!$AY$6:$AY$1005="Direkomendasikan",ROW($6:$1005)-5),55)),KotaKode,2,0),"-"),"")),"")</f>
        <v/>
      </c>
      <c r="L56" t="str">
        <f t="array" aca="1" ref="L56" ca="1">IFERROR(IF(OR(INDEX(checklistPesertaKemenkeu!$P$6:$P$1005,SMALL(IF(checklistPesertaKemenkeu!$AY$6:$AY$1005="Direkomendasikan",ROW($6:$1005)-5),55))="",INDEX(checklistPesertaKemenkeu!$J$6:$J$1005,SMALL(IF(checklistPesertaKemenkeu!$AY$6:$AY$1005="Direkomendasikan",ROW($6:$1005)-5),55))=""),"",IF(AND(COUNTIF(INDIRECT("K_"&amp;MATCH(INDEX(checklistPesertaKemenkeu!$J$6:$J$1005,SMALL(IF(checklistPesertaKemenkeu!$AY$6:$AY$1005="Direkomendasikan",ROW($6:$1005)-5),55)),BidangList,0)),INDEX(checklistPesertaKemenkeu!$P$6:$P$1005,SMALL(IF(checklistPesertaKemenkeu!$AY$6:$AY$1005="Direkomendasikan",ROW($6:$1005)-5),55)))&gt;0,COUNTIF(INDIRECT("'KERTAS KERJA'!K"&amp;(SMALL(IF(checklistPesertaKemenkeu!$AY$6:$AY$1005="Direkomendasikan",ROW($6:$1005)-5),55)+5)&amp;":O"&amp;(SMALL(IF(checklistPesertaKemenkeu!$AY$6:$AY$1005="Direkomendasikan",ROW($6:$1005)-5),55)+5)),INDEX(checklistPesertaKemenkeu!$P$6:$P$1005,SMALL(IF(checklistPesertaKemenkeu!$AY$6:$AY$1005="Direkomendasikan",ROW($6:$1005)-5),55)))=1),IFERROR(VLOOKUP(INDEX(checklistPesertaKemenkeu!$P$6:$P$1005,SMALL(IF(checklistPesertaKemenkeu!$AY$6:$AY$1005="Direkomendasikan",ROW($6:$1005)-5),55)),KotaKode,2,0),"-"),"")),"")</f>
        <v/>
      </c>
    </row>
    <row r="57" spans="1:12" ht="15" customHeight="1" x14ac:dyDescent="0.2">
      <c r="A57" t="str">
        <f t="shared" si="0"/>
        <v/>
      </c>
      <c r="B57" t="str">
        <v/>
      </c>
      <c r="C57" s="40" t="str">
        <f t="array" ref="C57">IFERROR(INDEX(checklistPesertaKemenkeu!$F$6:$F$1005,SMALL(IF(checklistPesertaKemenkeu!$AY$6:$AY$1005="Direkomendasikan",ROW($6:$1005)-5),56)),"")</f>
        <v/>
      </c>
      <c r="D57" t="str">
        <f t="array" ref="D57">IFERROR(INDEX(checklistPesertaKemenkeu!$G$6:$G$1005,SMALL(IF(checklistPesertaKemenkeu!$AY$6:$AY$1005="Direkomendasikan",ROW($6:$1005)-5),56)),"")</f>
        <v/>
      </c>
      <c r="E57" t="str">
        <f t="array" ref="E57">IFERROR(INDEX(checklistPesertaKemenkeu!$H$6:$H$1005,SMALL(IF(checklistPesertaKemenkeu!$AY$6:$AY$1005="Direkomendasikan",ROW($6:$1005)-5),56)),"")</f>
        <v/>
      </c>
      <c r="F57" t="str">
        <f t="array" ref="F57">IFERROR(INDEX(checklistPesertaKemenkeu!$I$6:$I$1005,SMALL(IF(checklistPesertaKemenkeu!$AY$6:$AY$1005="Direkomendasikan",ROW($6:$1005)-5),56)),"")</f>
        <v/>
      </c>
      <c r="G57" t="str">
        <f t="array" ref="G57">IFERROR(INDEX(checklistPesertaKemenkeu!$J$6:$J$1005,SMALL(IF(checklistPesertaKemenkeu!$AY$6:$AY$1005="Direkomendasikan",ROW($6:$1005)-5),56)),"")</f>
        <v/>
      </c>
      <c r="H57" t="str">
        <f t="array" aca="1" ref="H57" ca="1">IFERROR(IF(OR(INDEX(checklistPesertaKemenkeu!$L$6:$L$1005,SMALL(IF(checklistPesertaKemenkeu!$AY$6:$AY$1005="Direkomendasikan",ROW($6:$1005)-5),56))="",INDEX(checklistPesertaKemenkeu!$J$6:$J$1005,SMALL(IF(checklistPesertaKemenkeu!$AY$6:$AY$1005="Direkomendasikan",ROW($6:$1005)-5),56))=""),"",IF(AND(COUNTIF(INDIRECT("K_"&amp;MATCH(INDEX(checklistPesertaKemenkeu!$J$6:$J$1005,SMALL(IF(checklistPesertaKemenkeu!$AY$6:$AY$1005="Direkomendasikan",ROW($6:$1005)-5),56)),BidangList,0)),INDEX(checklistPesertaKemenkeu!$L$6:$L$1005,SMALL(IF(checklistPesertaKemenkeu!$AY$6:$AY$1005="Direkomendasikan",ROW($6:$1005)-5),56)))&gt;0,COUNTIF(INDIRECT("'KERTAS KERJA'!K"&amp;(SMALL(IF(checklistPesertaKemenkeu!$AY$6:$AY$1005="Direkomendasikan",ROW($6:$1005)-5),56)+5)&amp;":O"&amp;(SMALL(IF(checklistPesertaKemenkeu!$AY$6:$AY$1005="Direkomendasikan",ROW($6:$1005)-5),56)+5)),INDEX(checklistPesertaKemenkeu!$L$6:$L$1005,SMALL(IF(checklistPesertaKemenkeu!$AY$6:$AY$1005="Direkomendasikan",ROW($6:$1005)-5),56)))=1),IFERROR(VLOOKUP(INDEX(checklistPesertaKemenkeu!$L$6:$L$1005,SMALL(IF(checklistPesertaKemenkeu!$AY$6:$AY$1005="Direkomendasikan",ROW($6:$1005)-5),56)),KotaKode,2,0),"-"),"")),"")</f>
        <v/>
      </c>
      <c r="I57" t="str">
        <f t="array" aca="1" ref="I57" ca="1">IFERROR(IF(OR(INDEX(checklistPesertaKemenkeu!$M$6:$M$1005,SMALL(IF(checklistPesertaKemenkeu!$AY$6:$AY$1005="Direkomendasikan",ROW($6:$1005)-5),56))="",INDEX(checklistPesertaKemenkeu!$J$6:$J$1005,SMALL(IF(checklistPesertaKemenkeu!$AY$6:$AY$1005="Direkomendasikan",ROW($6:$1005)-5),56))=""),"",IF(AND(COUNTIF(INDIRECT("K_"&amp;MATCH(INDEX(checklistPesertaKemenkeu!$J$6:$J$1005,SMALL(IF(checklistPesertaKemenkeu!$AY$6:$AY$1005="Direkomendasikan",ROW($6:$1005)-5),56)),BidangList,0)),INDEX(checklistPesertaKemenkeu!$M$6:$M$1005,SMALL(IF(checklistPesertaKemenkeu!$AY$6:$AY$1005="Direkomendasikan",ROW($6:$1005)-5),56)))&gt;0,COUNTIF(INDIRECT("'KERTAS KERJA'!K"&amp;(SMALL(IF(checklistPesertaKemenkeu!$AY$6:$AY$1005="Direkomendasikan",ROW($6:$1005)-5),56)+5)&amp;":O"&amp;(SMALL(IF(checklistPesertaKemenkeu!$AY$6:$AY$1005="Direkomendasikan",ROW($6:$1005)-5),56)+5)),INDEX(checklistPesertaKemenkeu!$M$6:$M$1005,SMALL(IF(checklistPesertaKemenkeu!$AY$6:$AY$1005="Direkomendasikan",ROW($6:$1005)-5),56)))=1),IFERROR(VLOOKUP(INDEX(checklistPesertaKemenkeu!$M$6:$M$1005,SMALL(IF(checklistPesertaKemenkeu!$AY$6:$AY$1005="Direkomendasikan",ROW($6:$1005)-5),56)),KotaKode,2,0),"-"),"")),"")</f>
        <v/>
      </c>
      <c r="J57" t="str">
        <f t="array" aca="1" ref="J57" ca="1">IFERROR(IF(OR(INDEX(checklistPesertaKemenkeu!$N$6:$N$1005,SMALL(IF(checklistPesertaKemenkeu!$AY$6:$AY$1005="Direkomendasikan",ROW($6:$1005)-5),56))="",INDEX(checklistPesertaKemenkeu!$J$6:$J$1005,SMALL(IF(checklistPesertaKemenkeu!$AY$6:$AY$1005="Direkomendasikan",ROW($6:$1005)-5),56))=""),"",IF(AND(COUNTIF(INDIRECT("K_"&amp;MATCH(INDEX(checklistPesertaKemenkeu!$J$6:$J$1005,SMALL(IF(checklistPesertaKemenkeu!$AY$6:$AY$1005="Direkomendasikan",ROW($6:$1005)-5),56)),BidangList,0)),INDEX(checklistPesertaKemenkeu!$N$6:$N$1005,SMALL(IF(checklistPesertaKemenkeu!$AY$6:$AY$1005="Direkomendasikan",ROW($6:$1005)-5),56)))&gt;0,COUNTIF(INDIRECT("'KERTAS KERJA'!K"&amp;(SMALL(IF(checklistPesertaKemenkeu!$AY$6:$AY$1005="Direkomendasikan",ROW($6:$1005)-5),56)+5)&amp;":O"&amp;(SMALL(IF(checklistPesertaKemenkeu!$AY$6:$AY$1005="Direkomendasikan",ROW($6:$1005)-5),56)+5)),INDEX(checklistPesertaKemenkeu!$N$6:$N$1005,SMALL(IF(checklistPesertaKemenkeu!$AY$6:$AY$1005="Direkomendasikan",ROW($6:$1005)-5),56)))=1),IFERROR(VLOOKUP(INDEX(checklistPesertaKemenkeu!$N$6:$N$1005,SMALL(IF(checklistPesertaKemenkeu!$AY$6:$AY$1005="Direkomendasikan",ROW($6:$1005)-5),56)),KotaKode,2,0),"-"),"")),"")</f>
        <v/>
      </c>
      <c r="K57" t="str">
        <f t="array" aca="1" ref="K57" ca="1">IFERROR(IF(OR(INDEX(checklistPesertaKemenkeu!$O$6:$O$1005,SMALL(IF(checklistPesertaKemenkeu!$AY$6:$AY$1005="Direkomendasikan",ROW($6:$1005)-5),56))="",INDEX(checklistPesertaKemenkeu!$J$6:$J$1005,SMALL(IF(checklistPesertaKemenkeu!$AY$6:$AY$1005="Direkomendasikan",ROW($6:$1005)-5),56))=""),"",IF(AND(COUNTIF(INDIRECT("K_"&amp;MATCH(INDEX(checklistPesertaKemenkeu!$J$6:$J$1005,SMALL(IF(checklistPesertaKemenkeu!$AY$6:$AY$1005="Direkomendasikan",ROW($6:$1005)-5),56)),BidangList,0)),INDEX(checklistPesertaKemenkeu!$O$6:$O$1005,SMALL(IF(checklistPesertaKemenkeu!$AY$6:$AY$1005="Direkomendasikan",ROW($6:$1005)-5),56)))&gt;0,COUNTIF(INDIRECT("'KERTAS KERJA'!K"&amp;(SMALL(IF(checklistPesertaKemenkeu!$AY$6:$AY$1005="Direkomendasikan",ROW($6:$1005)-5),56)+5)&amp;":O"&amp;(SMALL(IF(checklistPesertaKemenkeu!$AY$6:$AY$1005="Direkomendasikan",ROW($6:$1005)-5),56)+5)),INDEX(checklistPesertaKemenkeu!$O$6:$O$1005,SMALL(IF(checklistPesertaKemenkeu!$AY$6:$AY$1005="Direkomendasikan",ROW($6:$1005)-5),56)))=1),IFERROR(VLOOKUP(INDEX(checklistPesertaKemenkeu!$O$6:$O$1005,SMALL(IF(checklistPesertaKemenkeu!$AY$6:$AY$1005="Direkomendasikan",ROW($6:$1005)-5),56)),KotaKode,2,0),"-"),"")),"")</f>
        <v/>
      </c>
      <c r="L57" t="str">
        <f t="array" aca="1" ref="L57" ca="1">IFERROR(IF(OR(INDEX(checklistPesertaKemenkeu!$P$6:$P$1005,SMALL(IF(checklistPesertaKemenkeu!$AY$6:$AY$1005="Direkomendasikan",ROW($6:$1005)-5),56))="",INDEX(checklistPesertaKemenkeu!$J$6:$J$1005,SMALL(IF(checklistPesertaKemenkeu!$AY$6:$AY$1005="Direkomendasikan",ROW($6:$1005)-5),56))=""),"",IF(AND(COUNTIF(INDIRECT("K_"&amp;MATCH(INDEX(checklistPesertaKemenkeu!$J$6:$J$1005,SMALL(IF(checklistPesertaKemenkeu!$AY$6:$AY$1005="Direkomendasikan",ROW($6:$1005)-5),56)),BidangList,0)),INDEX(checklistPesertaKemenkeu!$P$6:$P$1005,SMALL(IF(checklistPesertaKemenkeu!$AY$6:$AY$1005="Direkomendasikan",ROW($6:$1005)-5),56)))&gt;0,COUNTIF(INDIRECT("'KERTAS KERJA'!K"&amp;(SMALL(IF(checklistPesertaKemenkeu!$AY$6:$AY$1005="Direkomendasikan",ROW($6:$1005)-5),56)+5)&amp;":O"&amp;(SMALL(IF(checklistPesertaKemenkeu!$AY$6:$AY$1005="Direkomendasikan",ROW($6:$1005)-5),56)+5)),INDEX(checklistPesertaKemenkeu!$P$6:$P$1005,SMALL(IF(checklistPesertaKemenkeu!$AY$6:$AY$1005="Direkomendasikan",ROW($6:$1005)-5),56)))=1),IFERROR(VLOOKUP(INDEX(checklistPesertaKemenkeu!$P$6:$P$1005,SMALL(IF(checklistPesertaKemenkeu!$AY$6:$AY$1005="Direkomendasikan",ROW($6:$1005)-5),56)),KotaKode,2,0),"-"),"")),"")</f>
        <v/>
      </c>
    </row>
    <row r="58" spans="1:12" ht="15" customHeight="1" x14ac:dyDescent="0.2">
      <c r="A58" t="str">
        <f t="shared" si="0"/>
        <v/>
      </c>
      <c r="B58" t="str">
        <v/>
      </c>
      <c r="C58" s="40" t="str">
        <f t="array" ref="C58">IFERROR(INDEX(checklistPesertaKemenkeu!$F$6:$F$1005,SMALL(IF(checklistPesertaKemenkeu!$AY$6:$AY$1005="Direkomendasikan",ROW($6:$1005)-5),57)),"")</f>
        <v/>
      </c>
      <c r="D58" t="str">
        <f t="array" ref="D58">IFERROR(INDEX(checklistPesertaKemenkeu!$G$6:$G$1005,SMALL(IF(checklistPesertaKemenkeu!$AY$6:$AY$1005="Direkomendasikan",ROW($6:$1005)-5),57)),"")</f>
        <v/>
      </c>
      <c r="E58" t="str">
        <f t="array" ref="E58">IFERROR(INDEX(checklistPesertaKemenkeu!$H$6:$H$1005,SMALL(IF(checklistPesertaKemenkeu!$AY$6:$AY$1005="Direkomendasikan",ROW($6:$1005)-5),57)),"")</f>
        <v/>
      </c>
      <c r="F58" t="str">
        <f t="array" ref="F58">IFERROR(INDEX(checklistPesertaKemenkeu!$I$6:$I$1005,SMALL(IF(checklistPesertaKemenkeu!$AY$6:$AY$1005="Direkomendasikan",ROW($6:$1005)-5),57)),"")</f>
        <v/>
      </c>
      <c r="G58" t="str">
        <f t="array" ref="G58">IFERROR(INDEX(checklistPesertaKemenkeu!$J$6:$J$1005,SMALL(IF(checklistPesertaKemenkeu!$AY$6:$AY$1005="Direkomendasikan",ROW($6:$1005)-5),57)),"")</f>
        <v/>
      </c>
      <c r="H58" t="str">
        <f t="array" aca="1" ref="H58" ca="1">IFERROR(IF(OR(INDEX(checklistPesertaKemenkeu!$L$6:$L$1005,SMALL(IF(checklistPesertaKemenkeu!$AY$6:$AY$1005="Direkomendasikan",ROW($6:$1005)-5),57))="",INDEX(checklistPesertaKemenkeu!$J$6:$J$1005,SMALL(IF(checklistPesertaKemenkeu!$AY$6:$AY$1005="Direkomendasikan",ROW($6:$1005)-5),57))=""),"",IF(AND(COUNTIF(INDIRECT("K_"&amp;MATCH(INDEX(checklistPesertaKemenkeu!$J$6:$J$1005,SMALL(IF(checklistPesertaKemenkeu!$AY$6:$AY$1005="Direkomendasikan",ROW($6:$1005)-5),57)),BidangList,0)),INDEX(checklistPesertaKemenkeu!$L$6:$L$1005,SMALL(IF(checklistPesertaKemenkeu!$AY$6:$AY$1005="Direkomendasikan",ROW($6:$1005)-5),57)))&gt;0,COUNTIF(INDIRECT("'KERTAS KERJA'!K"&amp;(SMALL(IF(checklistPesertaKemenkeu!$AY$6:$AY$1005="Direkomendasikan",ROW($6:$1005)-5),57)+5)&amp;":O"&amp;(SMALL(IF(checklistPesertaKemenkeu!$AY$6:$AY$1005="Direkomendasikan",ROW($6:$1005)-5),57)+5)),INDEX(checklistPesertaKemenkeu!$L$6:$L$1005,SMALL(IF(checklistPesertaKemenkeu!$AY$6:$AY$1005="Direkomendasikan",ROW($6:$1005)-5),57)))=1),IFERROR(VLOOKUP(INDEX(checklistPesertaKemenkeu!$L$6:$L$1005,SMALL(IF(checklistPesertaKemenkeu!$AY$6:$AY$1005="Direkomendasikan",ROW($6:$1005)-5),57)),KotaKode,2,0),"-"),"")),"")</f>
        <v/>
      </c>
      <c r="I58" t="str">
        <f t="array" aca="1" ref="I58" ca="1">IFERROR(IF(OR(INDEX(checklistPesertaKemenkeu!$M$6:$M$1005,SMALL(IF(checklistPesertaKemenkeu!$AY$6:$AY$1005="Direkomendasikan",ROW($6:$1005)-5),57))="",INDEX(checklistPesertaKemenkeu!$J$6:$J$1005,SMALL(IF(checklistPesertaKemenkeu!$AY$6:$AY$1005="Direkomendasikan",ROW($6:$1005)-5),57))=""),"",IF(AND(COUNTIF(INDIRECT("K_"&amp;MATCH(INDEX(checklistPesertaKemenkeu!$J$6:$J$1005,SMALL(IF(checklistPesertaKemenkeu!$AY$6:$AY$1005="Direkomendasikan",ROW($6:$1005)-5),57)),BidangList,0)),INDEX(checklistPesertaKemenkeu!$M$6:$M$1005,SMALL(IF(checklistPesertaKemenkeu!$AY$6:$AY$1005="Direkomendasikan",ROW($6:$1005)-5),57)))&gt;0,COUNTIF(INDIRECT("'KERTAS KERJA'!K"&amp;(SMALL(IF(checklistPesertaKemenkeu!$AY$6:$AY$1005="Direkomendasikan",ROW($6:$1005)-5),57)+5)&amp;":O"&amp;(SMALL(IF(checklistPesertaKemenkeu!$AY$6:$AY$1005="Direkomendasikan",ROW($6:$1005)-5),57)+5)),INDEX(checklistPesertaKemenkeu!$M$6:$M$1005,SMALL(IF(checklistPesertaKemenkeu!$AY$6:$AY$1005="Direkomendasikan",ROW($6:$1005)-5),57)))=1),IFERROR(VLOOKUP(INDEX(checklistPesertaKemenkeu!$M$6:$M$1005,SMALL(IF(checklistPesertaKemenkeu!$AY$6:$AY$1005="Direkomendasikan",ROW($6:$1005)-5),57)),KotaKode,2,0),"-"),"")),"")</f>
        <v/>
      </c>
      <c r="J58" t="str">
        <f t="array" aca="1" ref="J58" ca="1">IFERROR(IF(OR(INDEX(checklistPesertaKemenkeu!$N$6:$N$1005,SMALL(IF(checklistPesertaKemenkeu!$AY$6:$AY$1005="Direkomendasikan",ROW($6:$1005)-5),57))="",INDEX(checklistPesertaKemenkeu!$J$6:$J$1005,SMALL(IF(checklistPesertaKemenkeu!$AY$6:$AY$1005="Direkomendasikan",ROW($6:$1005)-5),57))=""),"",IF(AND(COUNTIF(INDIRECT("K_"&amp;MATCH(INDEX(checklistPesertaKemenkeu!$J$6:$J$1005,SMALL(IF(checklistPesertaKemenkeu!$AY$6:$AY$1005="Direkomendasikan",ROW($6:$1005)-5),57)),BidangList,0)),INDEX(checklistPesertaKemenkeu!$N$6:$N$1005,SMALL(IF(checklistPesertaKemenkeu!$AY$6:$AY$1005="Direkomendasikan",ROW($6:$1005)-5),57)))&gt;0,COUNTIF(INDIRECT("'KERTAS KERJA'!K"&amp;(SMALL(IF(checklistPesertaKemenkeu!$AY$6:$AY$1005="Direkomendasikan",ROW($6:$1005)-5),57)+5)&amp;":O"&amp;(SMALL(IF(checklistPesertaKemenkeu!$AY$6:$AY$1005="Direkomendasikan",ROW($6:$1005)-5),57)+5)),INDEX(checklistPesertaKemenkeu!$N$6:$N$1005,SMALL(IF(checklistPesertaKemenkeu!$AY$6:$AY$1005="Direkomendasikan",ROW($6:$1005)-5),57)))=1),IFERROR(VLOOKUP(INDEX(checklistPesertaKemenkeu!$N$6:$N$1005,SMALL(IF(checklistPesertaKemenkeu!$AY$6:$AY$1005="Direkomendasikan",ROW($6:$1005)-5),57)),KotaKode,2,0),"-"),"")),"")</f>
        <v/>
      </c>
      <c r="K58" t="str">
        <f t="array" aca="1" ref="K58" ca="1">IFERROR(IF(OR(INDEX(checklistPesertaKemenkeu!$O$6:$O$1005,SMALL(IF(checklistPesertaKemenkeu!$AY$6:$AY$1005="Direkomendasikan",ROW($6:$1005)-5),57))="",INDEX(checklistPesertaKemenkeu!$J$6:$J$1005,SMALL(IF(checklistPesertaKemenkeu!$AY$6:$AY$1005="Direkomendasikan",ROW($6:$1005)-5),57))=""),"",IF(AND(COUNTIF(INDIRECT("K_"&amp;MATCH(INDEX(checklistPesertaKemenkeu!$J$6:$J$1005,SMALL(IF(checklistPesertaKemenkeu!$AY$6:$AY$1005="Direkomendasikan",ROW($6:$1005)-5),57)),BidangList,0)),INDEX(checklistPesertaKemenkeu!$O$6:$O$1005,SMALL(IF(checklistPesertaKemenkeu!$AY$6:$AY$1005="Direkomendasikan",ROW($6:$1005)-5),57)))&gt;0,COUNTIF(INDIRECT("'KERTAS KERJA'!K"&amp;(SMALL(IF(checklistPesertaKemenkeu!$AY$6:$AY$1005="Direkomendasikan",ROW($6:$1005)-5),57)+5)&amp;":O"&amp;(SMALL(IF(checklistPesertaKemenkeu!$AY$6:$AY$1005="Direkomendasikan",ROW($6:$1005)-5),57)+5)),INDEX(checklistPesertaKemenkeu!$O$6:$O$1005,SMALL(IF(checklistPesertaKemenkeu!$AY$6:$AY$1005="Direkomendasikan",ROW($6:$1005)-5),57)))=1),IFERROR(VLOOKUP(INDEX(checklistPesertaKemenkeu!$O$6:$O$1005,SMALL(IF(checklistPesertaKemenkeu!$AY$6:$AY$1005="Direkomendasikan",ROW($6:$1005)-5),57)),KotaKode,2,0),"-"),"")),"")</f>
        <v/>
      </c>
      <c r="L58" t="str">
        <f t="array" aca="1" ref="L58" ca="1">IFERROR(IF(OR(INDEX(checklistPesertaKemenkeu!$P$6:$P$1005,SMALL(IF(checklistPesertaKemenkeu!$AY$6:$AY$1005="Direkomendasikan",ROW($6:$1005)-5),57))="",INDEX(checklistPesertaKemenkeu!$J$6:$J$1005,SMALL(IF(checklistPesertaKemenkeu!$AY$6:$AY$1005="Direkomendasikan",ROW($6:$1005)-5),57))=""),"",IF(AND(COUNTIF(INDIRECT("K_"&amp;MATCH(INDEX(checklistPesertaKemenkeu!$J$6:$J$1005,SMALL(IF(checklistPesertaKemenkeu!$AY$6:$AY$1005="Direkomendasikan",ROW($6:$1005)-5),57)),BidangList,0)),INDEX(checklistPesertaKemenkeu!$P$6:$P$1005,SMALL(IF(checklistPesertaKemenkeu!$AY$6:$AY$1005="Direkomendasikan",ROW($6:$1005)-5),57)))&gt;0,COUNTIF(INDIRECT("'KERTAS KERJA'!K"&amp;(SMALL(IF(checklistPesertaKemenkeu!$AY$6:$AY$1005="Direkomendasikan",ROW($6:$1005)-5),57)+5)&amp;":O"&amp;(SMALL(IF(checklistPesertaKemenkeu!$AY$6:$AY$1005="Direkomendasikan",ROW($6:$1005)-5),57)+5)),INDEX(checklistPesertaKemenkeu!$P$6:$P$1005,SMALL(IF(checklistPesertaKemenkeu!$AY$6:$AY$1005="Direkomendasikan",ROW($6:$1005)-5),57)))=1),IFERROR(VLOOKUP(INDEX(checklistPesertaKemenkeu!$P$6:$P$1005,SMALL(IF(checklistPesertaKemenkeu!$AY$6:$AY$1005="Direkomendasikan",ROW($6:$1005)-5),57)),KotaKode,2,0),"-"),"")),"")</f>
        <v/>
      </c>
    </row>
    <row r="59" spans="1:12" ht="15" customHeight="1" x14ac:dyDescent="0.2">
      <c r="A59" t="str">
        <f t="shared" si="0"/>
        <v/>
      </c>
      <c r="B59" t="str">
        <v/>
      </c>
      <c r="C59" s="40" t="str">
        <f t="array" ref="C59">IFERROR(INDEX(checklistPesertaKemenkeu!$F$6:$F$1005,SMALL(IF(checklistPesertaKemenkeu!$AY$6:$AY$1005="Direkomendasikan",ROW($6:$1005)-5),58)),"")</f>
        <v/>
      </c>
      <c r="D59" t="str">
        <f t="array" ref="D59">IFERROR(INDEX(checklistPesertaKemenkeu!$G$6:$G$1005,SMALL(IF(checklistPesertaKemenkeu!$AY$6:$AY$1005="Direkomendasikan",ROW($6:$1005)-5),58)),"")</f>
        <v/>
      </c>
      <c r="E59" t="str">
        <f t="array" ref="E59">IFERROR(INDEX(checklistPesertaKemenkeu!$H$6:$H$1005,SMALL(IF(checklistPesertaKemenkeu!$AY$6:$AY$1005="Direkomendasikan",ROW($6:$1005)-5),58)),"")</f>
        <v/>
      </c>
      <c r="F59" t="str">
        <f t="array" ref="F59">IFERROR(INDEX(checklistPesertaKemenkeu!$I$6:$I$1005,SMALL(IF(checklistPesertaKemenkeu!$AY$6:$AY$1005="Direkomendasikan",ROW($6:$1005)-5),58)),"")</f>
        <v/>
      </c>
      <c r="G59" t="str">
        <f t="array" ref="G59">IFERROR(INDEX(checklistPesertaKemenkeu!$J$6:$J$1005,SMALL(IF(checklistPesertaKemenkeu!$AY$6:$AY$1005="Direkomendasikan",ROW($6:$1005)-5),58)),"")</f>
        <v/>
      </c>
      <c r="H59" t="str">
        <f t="array" aca="1" ref="H59" ca="1">IFERROR(IF(OR(INDEX(checklistPesertaKemenkeu!$L$6:$L$1005,SMALL(IF(checklistPesertaKemenkeu!$AY$6:$AY$1005="Direkomendasikan",ROW($6:$1005)-5),58))="",INDEX(checklistPesertaKemenkeu!$J$6:$J$1005,SMALL(IF(checklistPesertaKemenkeu!$AY$6:$AY$1005="Direkomendasikan",ROW($6:$1005)-5),58))=""),"",IF(AND(COUNTIF(INDIRECT("K_"&amp;MATCH(INDEX(checklistPesertaKemenkeu!$J$6:$J$1005,SMALL(IF(checklistPesertaKemenkeu!$AY$6:$AY$1005="Direkomendasikan",ROW($6:$1005)-5),58)),BidangList,0)),INDEX(checklistPesertaKemenkeu!$L$6:$L$1005,SMALL(IF(checklistPesertaKemenkeu!$AY$6:$AY$1005="Direkomendasikan",ROW($6:$1005)-5),58)))&gt;0,COUNTIF(INDIRECT("'KERTAS KERJA'!K"&amp;(SMALL(IF(checklistPesertaKemenkeu!$AY$6:$AY$1005="Direkomendasikan",ROW($6:$1005)-5),58)+5)&amp;":O"&amp;(SMALL(IF(checklistPesertaKemenkeu!$AY$6:$AY$1005="Direkomendasikan",ROW($6:$1005)-5),58)+5)),INDEX(checklistPesertaKemenkeu!$L$6:$L$1005,SMALL(IF(checklistPesertaKemenkeu!$AY$6:$AY$1005="Direkomendasikan",ROW($6:$1005)-5),58)))=1),IFERROR(VLOOKUP(INDEX(checklistPesertaKemenkeu!$L$6:$L$1005,SMALL(IF(checklistPesertaKemenkeu!$AY$6:$AY$1005="Direkomendasikan",ROW($6:$1005)-5),58)),KotaKode,2,0),"-"),"")),"")</f>
        <v/>
      </c>
      <c r="I59" t="str">
        <f t="array" aca="1" ref="I59" ca="1">IFERROR(IF(OR(INDEX(checklistPesertaKemenkeu!$M$6:$M$1005,SMALL(IF(checklistPesertaKemenkeu!$AY$6:$AY$1005="Direkomendasikan",ROW($6:$1005)-5),58))="",INDEX(checklistPesertaKemenkeu!$J$6:$J$1005,SMALL(IF(checklistPesertaKemenkeu!$AY$6:$AY$1005="Direkomendasikan",ROW($6:$1005)-5),58))=""),"",IF(AND(COUNTIF(INDIRECT("K_"&amp;MATCH(INDEX(checklistPesertaKemenkeu!$J$6:$J$1005,SMALL(IF(checklistPesertaKemenkeu!$AY$6:$AY$1005="Direkomendasikan",ROW($6:$1005)-5),58)),BidangList,0)),INDEX(checklistPesertaKemenkeu!$M$6:$M$1005,SMALL(IF(checklistPesertaKemenkeu!$AY$6:$AY$1005="Direkomendasikan",ROW($6:$1005)-5),58)))&gt;0,COUNTIF(INDIRECT("'KERTAS KERJA'!K"&amp;(SMALL(IF(checklistPesertaKemenkeu!$AY$6:$AY$1005="Direkomendasikan",ROW($6:$1005)-5),58)+5)&amp;":O"&amp;(SMALL(IF(checklistPesertaKemenkeu!$AY$6:$AY$1005="Direkomendasikan",ROW($6:$1005)-5),58)+5)),INDEX(checklistPesertaKemenkeu!$M$6:$M$1005,SMALL(IF(checklistPesertaKemenkeu!$AY$6:$AY$1005="Direkomendasikan",ROW($6:$1005)-5),58)))=1),IFERROR(VLOOKUP(INDEX(checklistPesertaKemenkeu!$M$6:$M$1005,SMALL(IF(checklistPesertaKemenkeu!$AY$6:$AY$1005="Direkomendasikan",ROW($6:$1005)-5),58)),KotaKode,2,0),"-"),"")),"")</f>
        <v/>
      </c>
      <c r="J59" t="str">
        <f t="array" aca="1" ref="J59" ca="1">IFERROR(IF(OR(INDEX(checklistPesertaKemenkeu!$N$6:$N$1005,SMALL(IF(checklistPesertaKemenkeu!$AY$6:$AY$1005="Direkomendasikan",ROW($6:$1005)-5),58))="",INDEX(checklistPesertaKemenkeu!$J$6:$J$1005,SMALL(IF(checklistPesertaKemenkeu!$AY$6:$AY$1005="Direkomendasikan",ROW($6:$1005)-5),58))=""),"",IF(AND(COUNTIF(INDIRECT("K_"&amp;MATCH(INDEX(checklistPesertaKemenkeu!$J$6:$J$1005,SMALL(IF(checklistPesertaKemenkeu!$AY$6:$AY$1005="Direkomendasikan",ROW($6:$1005)-5),58)),BidangList,0)),INDEX(checklistPesertaKemenkeu!$N$6:$N$1005,SMALL(IF(checklistPesertaKemenkeu!$AY$6:$AY$1005="Direkomendasikan",ROW($6:$1005)-5),58)))&gt;0,COUNTIF(INDIRECT("'KERTAS KERJA'!K"&amp;(SMALL(IF(checklistPesertaKemenkeu!$AY$6:$AY$1005="Direkomendasikan",ROW($6:$1005)-5),58)+5)&amp;":O"&amp;(SMALL(IF(checklistPesertaKemenkeu!$AY$6:$AY$1005="Direkomendasikan",ROW($6:$1005)-5),58)+5)),INDEX(checklistPesertaKemenkeu!$N$6:$N$1005,SMALL(IF(checklistPesertaKemenkeu!$AY$6:$AY$1005="Direkomendasikan",ROW($6:$1005)-5),58)))=1),IFERROR(VLOOKUP(INDEX(checklistPesertaKemenkeu!$N$6:$N$1005,SMALL(IF(checklistPesertaKemenkeu!$AY$6:$AY$1005="Direkomendasikan",ROW($6:$1005)-5),58)),KotaKode,2,0),"-"),"")),"")</f>
        <v/>
      </c>
      <c r="K59" t="str">
        <f t="array" aca="1" ref="K59" ca="1">IFERROR(IF(OR(INDEX(checklistPesertaKemenkeu!$O$6:$O$1005,SMALL(IF(checklistPesertaKemenkeu!$AY$6:$AY$1005="Direkomendasikan",ROW($6:$1005)-5),58))="",INDEX(checklistPesertaKemenkeu!$J$6:$J$1005,SMALL(IF(checklistPesertaKemenkeu!$AY$6:$AY$1005="Direkomendasikan",ROW($6:$1005)-5),58))=""),"",IF(AND(COUNTIF(INDIRECT("K_"&amp;MATCH(INDEX(checklistPesertaKemenkeu!$J$6:$J$1005,SMALL(IF(checklistPesertaKemenkeu!$AY$6:$AY$1005="Direkomendasikan",ROW($6:$1005)-5),58)),BidangList,0)),INDEX(checklistPesertaKemenkeu!$O$6:$O$1005,SMALL(IF(checklistPesertaKemenkeu!$AY$6:$AY$1005="Direkomendasikan",ROW($6:$1005)-5),58)))&gt;0,COUNTIF(INDIRECT("'KERTAS KERJA'!K"&amp;(SMALL(IF(checklistPesertaKemenkeu!$AY$6:$AY$1005="Direkomendasikan",ROW($6:$1005)-5),58)+5)&amp;":O"&amp;(SMALL(IF(checklistPesertaKemenkeu!$AY$6:$AY$1005="Direkomendasikan",ROW($6:$1005)-5),58)+5)),INDEX(checklistPesertaKemenkeu!$O$6:$O$1005,SMALL(IF(checklistPesertaKemenkeu!$AY$6:$AY$1005="Direkomendasikan",ROW($6:$1005)-5),58)))=1),IFERROR(VLOOKUP(INDEX(checklistPesertaKemenkeu!$O$6:$O$1005,SMALL(IF(checklistPesertaKemenkeu!$AY$6:$AY$1005="Direkomendasikan",ROW($6:$1005)-5),58)),KotaKode,2,0),"-"),"")),"")</f>
        <v/>
      </c>
      <c r="L59" t="str">
        <f t="array" aca="1" ref="L59" ca="1">IFERROR(IF(OR(INDEX(checklistPesertaKemenkeu!$P$6:$P$1005,SMALL(IF(checklistPesertaKemenkeu!$AY$6:$AY$1005="Direkomendasikan",ROW($6:$1005)-5),58))="",INDEX(checklistPesertaKemenkeu!$J$6:$J$1005,SMALL(IF(checklistPesertaKemenkeu!$AY$6:$AY$1005="Direkomendasikan",ROW($6:$1005)-5),58))=""),"",IF(AND(COUNTIF(INDIRECT("K_"&amp;MATCH(INDEX(checklistPesertaKemenkeu!$J$6:$J$1005,SMALL(IF(checklistPesertaKemenkeu!$AY$6:$AY$1005="Direkomendasikan",ROW($6:$1005)-5),58)),BidangList,0)),INDEX(checklistPesertaKemenkeu!$P$6:$P$1005,SMALL(IF(checklistPesertaKemenkeu!$AY$6:$AY$1005="Direkomendasikan",ROW($6:$1005)-5),58)))&gt;0,COUNTIF(INDIRECT("'KERTAS KERJA'!K"&amp;(SMALL(IF(checklistPesertaKemenkeu!$AY$6:$AY$1005="Direkomendasikan",ROW($6:$1005)-5),58)+5)&amp;":O"&amp;(SMALL(IF(checklistPesertaKemenkeu!$AY$6:$AY$1005="Direkomendasikan",ROW($6:$1005)-5),58)+5)),INDEX(checklistPesertaKemenkeu!$P$6:$P$1005,SMALL(IF(checklistPesertaKemenkeu!$AY$6:$AY$1005="Direkomendasikan",ROW($6:$1005)-5),58)))=1),IFERROR(VLOOKUP(INDEX(checklistPesertaKemenkeu!$P$6:$P$1005,SMALL(IF(checklistPesertaKemenkeu!$AY$6:$AY$1005="Direkomendasikan",ROW($6:$1005)-5),58)),KotaKode,2,0),"-"),"")),"")</f>
        <v/>
      </c>
    </row>
    <row r="60" spans="1:12" ht="15" customHeight="1" x14ac:dyDescent="0.2">
      <c r="A60" t="str">
        <f t="shared" si="0"/>
        <v/>
      </c>
      <c r="B60" t="str">
        <v/>
      </c>
      <c r="C60" s="40" t="str">
        <f t="array" ref="C60">IFERROR(INDEX(checklistPesertaKemenkeu!$F$6:$F$1005,SMALL(IF(checklistPesertaKemenkeu!$AY$6:$AY$1005="Direkomendasikan",ROW($6:$1005)-5),59)),"")</f>
        <v/>
      </c>
      <c r="D60" t="str">
        <f t="array" ref="D60">IFERROR(INDEX(checklistPesertaKemenkeu!$G$6:$G$1005,SMALL(IF(checklistPesertaKemenkeu!$AY$6:$AY$1005="Direkomendasikan",ROW($6:$1005)-5),59)),"")</f>
        <v/>
      </c>
      <c r="E60" t="str">
        <f t="array" ref="E60">IFERROR(INDEX(checklistPesertaKemenkeu!$H$6:$H$1005,SMALL(IF(checklistPesertaKemenkeu!$AY$6:$AY$1005="Direkomendasikan",ROW($6:$1005)-5),59)),"")</f>
        <v/>
      </c>
      <c r="F60" t="str">
        <f t="array" ref="F60">IFERROR(INDEX(checklistPesertaKemenkeu!$I$6:$I$1005,SMALL(IF(checklistPesertaKemenkeu!$AY$6:$AY$1005="Direkomendasikan",ROW($6:$1005)-5),59)),"")</f>
        <v/>
      </c>
      <c r="G60" t="str">
        <f t="array" ref="G60">IFERROR(INDEX(checklistPesertaKemenkeu!$J$6:$J$1005,SMALL(IF(checklistPesertaKemenkeu!$AY$6:$AY$1005="Direkomendasikan",ROW($6:$1005)-5),59)),"")</f>
        <v/>
      </c>
      <c r="H60" t="str">
        <f t="array" aca="1" ref="H60" ca="1">IFERROR(IF(OR(INDEX(checklistPesertaKemenkeu!$L$6:$L$1005,SMALL(IF(checklistPesertaKemenkeu!$AY$6:$AY$1005="Direkomendasikan",ROW($6:$1005)-5),59))="",INDEX(checklistPesertaKemenkeu!$J$6:$J$1005,SMALL(IF(checklistPesertaKemenkeu!$AY$6:$AY$1005="Direkomendasikan",ROW($6:$1005)-5),59))=""),"",IF(AND(COUNTIF(INDIRECT("K_"&amp;MATCH(INDEX(checklistPesertaKemenkeu!$J$6:$J$1005,SMALL(IF(checklistPesertaKemenkeu!$AY$6:$AY$1005="Direkomendasikan",ROW($6:$1005)-5),59)),BidangList,0)),INDEX(checklistPesertaKemenkeu!$L$6:$L$1005,SMALL(IF(checklistPesertaKemenkeu!$AY$6:$AY$1005="Direkomendasikan",ROW($6:$1005)-5),59)))&gt;0,COUNTIF(INDIRECT("'KERTAS KERJA'!K"&amp;(SMALL(IF(checklistPesertaKemenkeu!$AY$6:$AY$1005="Direkomendasikan",ROW($6:$1005)-5),59)+5)&amp;":O"&amp;(SMALL(IF(checklistPesertaKemenkeu!$AY$6:$AY$1005="Direkomendasikan",ROW($6:$1005)-5),59)+5)),INDEX(checklistPesertaKemenkeu!$L$6:$L$1005,SMALL(IF(checklistPesertaKemenkeu!$AY$6:$AY$1005="Direkomendasikan",ROW($6:$1005)-5),59)))=1),IFERROR(VLOOKUP(INDEX(checklistPesertaKemenkeu!$L$6:$L$1005,SMALL(IF(checklistPesertaKemenkeu!$AY$6:$AY$1005="Direkomendasikan",ROW($6:$1005)-5),59)),KotaKode,2,0),"-"),"")),"")</f>
        <v/>
      </c>
      <c r="I60" t="str">
        <f t="array" aca="1" ref="I60" ca="1">IFERROR(IF(OR(INDEX(checklistPesertaKemenkeu!$M$6:$M$1005,SMALL(IF(checklistPesertaKemenkeu!$AY$6:$AY$1005="Direkomendasikan",ROW($6:$1005)-5),59))="",INDEX(checklistPesertaKemenkeu!$J$6:$J$1005,SMALL(IF(checklistPesertaKemenkeu!$AY$6:$AY$1005="Direkomendasikan",ROW($6:$1005)-5),59))=""),"",IF(AND(COUNTIF(INDIRECT("K_"&amp;MATCH(INDEX(checklistPesertaKemenkeu!$J$6:$J$1005,SMALL(IF(checklistPesertaKemenkeu!$AY$6:$AY$1005="Direkomendasikan",ROW($6:$1005)-5),59)),BidangList,0)),INDEX(checklistPesertaKemenkeu!$M$6:$M$1005,SMALL(IF(checklistPesertaKemenkeu!$AY$6:$AY$1005="Direkomendasikan",ROW($6:$1005)-5),59)))&gt;0,COUNTIF(INDIRECT("'KERTAS KERJA'!K"&amp;(SMALL(IF(checklistPesertaKemenkeu!$AY$6:$AY$1005="Direkomendasikan",ROW($6:$1005)-5),59)+5)&amp;":O"&amp;(SMALL(IF(checklistPesertaKemenkeu!$AY$6:$AY$1005="Direkomendasikan",ROW($6:$1005)-5),59)+5)),INDEX(checklistPesertaKemenkeu!$M$6:$M$1005,SMALL(IF(checklistPesertaKemenkeu!$AY$6:$AY$1005="Direkomendasikan",ROW($6:$1005)-5),59)))=1),IFERROR(VLOOKUP(INDEX(checklistPesertaKemenkeu!$M$6:$M$1005,SMALL(IF(checklistPesertaKemenkeu!$AY$6:$AY$1005="Direkomendasikan",ROW($6:$1005)-5),59)),KotaKode,2,0),"-"),"")),"")</f>
        <v/>
      </c>
      <c r="J60" t="str">
        <f t="array" aca="1" ref="J60" ca="1">IFERROR(IF(OR(INDEX(checklistPesertaKemenkeu!$N$6:$N$1005,SMALL(IF(checklistPesertaKemenkeu!$AY$6:$AY$1005="Direkomendasikan",ROW($6:$1005)-5),59))="",INDEX(checklistPesertaKemenkeu!$J$6:$J$1005,SMALL(IF(checklistPesertaKemenkeu!$AY$6:$AY$1005="Direkomendasikan",ROW($6:$1005)-5),59))=""),"",IF(AND(COUNTIF(INDIRECT("K_"&amp;MATCH(INDEX(checklistPesertaKemenkeu!$J$6:$J$1005,SMALL(IF(checklistPesertaKemenkeu!$AY$6:$AY$1005="Direkomendasikan",ROW($6:$1005)-5),59)),BidangList,0)),INDEX(checklistPesertaKemenkeu!$N$6:$N$1005,SMALL(IF(checklistPesertaKemenkeu!$AY$6:$AY$1005="Direkomendasikan",ROW($6:$1005)-5),59)))&gt;0,COUNTIF(INDIRECT("'KERTAS KERJA'!K"&amp;(SMALL(IF(checklistPesertaKemenkeu!$AY$6:$AY$1005="Direkomendasikan",ROW($6:$1005)-5),59)+5)&amp;":O"&amp;(SMALL(IF(checklistPesertaKemenkeu!$AY$6:$AY$1005="Direkomendasikan",ROW($6:$1005)-5),59)+5)),INDEX(checklistPesertaKemenkeu!$N$6:$N$1005,SMALL(IF(checklistPesertaKemenkeu!$AY$6:$AY$1005="Direkomendasikan",ROW($6:$1005)-5),59)))=1),IFERROR(VLOOKUP(INDEX(checklistPesertaKemenkeu!$N$6:$N$1005,SMALL(IF(checklistPesertaKemenkeu!$AY$6:$AY$1005="Direkomendasikan",ROW($6:$1005)-5),59)),KotaKode,2,0),"-"),"")),"")</f>
        <v/>
      </c>
      <c r="K60" t="str">
        <f t="array" aca="1" ref="K60" ca="1">IFERROR(IF(OR(INDEX(checklistPesertaKemenkeu!$O$6:$O$1005,SMALL(IF(checklistPesertaKemenkeu!$AY$6:$AY$1005="Direkomendasikan",ROW($6:$1005)-5),59))="",INDEX(checklistPesertaKemenkeu!$J$6:$J$1005,SMALL(IF(checklistPesertaKemenkeu!$AY$6:$AY$1005="Direkomendasikan",ROW($6:$1005)-5),59))=""),"",IF(AND(COUNTIF(INDIRECT("K_"&amp;MATCH(INDEX(checklistPesertaKemenkeu!$J$6:$J$1005,SMALL(IF(checklistPesertaKemenkeu!$AY$6:$AY$1005="Direkomendasikan",ROW($6:$1005)-5),59)),BidangList,0)),INDEX(checklistPesertaKemenkeu!$O$6:$O$1005,SMALL(IF(checklistPesertaKemenkeu!$AY$6:$AY$1005="Direkomendasikan",ROW($6:$1005)-5),59)))&gt;0,COUNTIF(INDIRECT("'KERTAS KERJA'!K"&amp;(SMALL(IF(checklistPesertaKemenkeu!$AY$6:$AY$1005="Direkomendasikan",ROW($6:$1005)-5),59)+5)&amp;":O"&amp;(SMALL(IF(checklistPesertaKemenkeu!$AY$6:$AY$1005="Direkomendasikan",ROW($6:$1005)-5),59)+5)),INDEX(checklistPesertaKemenkeu!$O$6:$O$1005,SMALL(IF(checklistPesertaKemenkeu!$AY$6:$AY$1005="Direkomendasikan",ROW($6:$1005)-5),59)))=1),IFERROR(VLOOKUP(INDEX(checklistPesertaKemenkeu!$O$6:$O$1005,SMALL(IF(checklistPesertaKemenkeu!$AY$6:$AY$1005="Direkomendasikan",ROW($6:$1005)-5),59)),KotaKode,2,0),"-"),"")),"")</f>
        <v/>
      </c>
      <c r="L60" t="str">
        <f t="array" aca="1" ref="L60" ca="1">IFERROR(IF(OR(INDEX(checklistPesertaKemenkeu!$P$6:$P$1005,SMALL(IF(checklistPesertaKemenkeu!$AY$6:$AY$1005="Direkomendasikan",ROW($6:$1005)-5),59))="",INDEX(checklistPesertaKemenkeu!$J$6:$J$1005,SMALL(IF(checklistPesertaKemenkeu!$AY$6:$AY$1005="Direkomendasikan",ROW($6:$1005)-5),59))=""),"",IF(AND(COUNTIF(INDIRECT("K_"&amp;MATCH(INDEX(checklistPesertaKemenkeu!$J$6:$J$1005,SMALL(IF(checklistPesertaKemenkeu!$AY$6:$AY$1005="Direkomendasikan",ROW($6:$1005)-5),59)),BidangList,0)),INDEX(checklistPesertaKemenkeu!$P$6:$P$1005,SMALL(IF(checklistPesertaKemenkeu!$AY$6:$AY$1005="Direkomendasikan",ROW($6:$1005)-5),59)))&gt;0,COUNTIF(INDIRECT("'KERTAS KERJA'!K"&amp;(SMALL(IF(checklistPesertaKemenkeu!$AY$6:$AY$1005="Direkomendasikan",ROW($6:$1005)-5),59)+5)&amp;":O"&amp;(SMALL(IF(checklistPesertaKemenkeu!$AY$6:$AY$1005="Direkomendasikan",ROW($6:$1005)-5),59)+5)),INDEX(checklistPesertaKemenkeu!$P$6:$P$1005,SMALL(IF(checklistPesertaKemenkeu!$AY$6:$AY$1005="Direkomendasikan",ROW($6:$1005)-5),59)))=1),IFERROR(VLOOKUP(INDEX(checklistPesertaKemenkeu!$P$6:$P$1005,SMALL(IF(checklistPesertaKemenkeu!$AY$6:$AY$1005="Direkomendasikan",ROW($6:$1005)-5),59)),KotaKode,2,0),"-"),"")),"")</f>
        <v/>
      </c>
    </row>
    <row r="61" spans="1:12" ht="15" customHeight="1" x14ac:dyDescent="0.2">
      <c r="A61" t="str">
        <f t="shared" si="0"/>
        <v/>
      </c>
      <c r="B61" t="str">
        <v/>
      </c>
      <c r="C61" s="40" t="str">
        <f t="array" ref="C61">IFERROR(INDEX(checklistPesertaKemenkeu!$F$6:$F$1005,SMALL(IF(checklistPesertaKemenkeu!$AY$6:$AY$1005="Direkomendasikan",ROW($6:$1005)-5),60)),"")</f>
        <v/>
      </c>
      <c r="D61" t="str">
        <f t="array" ref="D61">IFERROR(INDEX(checklistPesertaKemenkeu!$G$6:$G$1005,SMALL(IF(checklistPesertaKemenkeu!$AY$6:$AY$1005="Direkomendasikan",ROW($6:$1005)-5),60)),"")</f>
        <v/>
      </c>
      <c r="E61" t="str">
        <f t="array" ref="E61">IFERROR(INDEX(checklistPesertaKemenkeu!$H$6:$H$1005,SMALL(IF(checklistPesertaKemenkeu!$AY$6:$AY$1005="Direkomendasikan",ROW($6:$1005)-5),60)),"")</f>
        <v/>
      </c>
      <c r="F61" t="str">
        <f t="array" ref="F61">IFERROR(INDEX(checklistPesertaKemenkeu!$I$6:$I$1005,SMALL(IF(checklistPesertaKemenkeu!$AY$6:$AY$1005="Direkomendasikan",ROW($6:$1005)-5),60)),"")</f>
        <v/>
      </c>
      <c r="G61" t="str">
        <f t="array" ref="G61">IFERROR(INDEX(checklistPesertaKemenkeu!$J$6:$J$1005,SMALL(IF(checklistPesertaKemenkeu!$AY$6:$AY$1005="Direkomendasikan",ROW($6:$1005)-5),60)),"")</f>
        <v/>
      </c>
      <c r="H61" t="str">
        <f t="array" aca="1" ref="H61" ca="1">IFERROR(IF(OR(INDEX(checklistPesertaKemenkeu!$L$6:$L$1005,SMALL(IF(checklistPesertaKemenkeu!$AY$6:$AY$1005="Direkomendasikan",ROW($6:$1005)-5),60))="",INDEX(checklistPesertaKemenkeu!$J$6:$J$1005,SMALL(IF(checklistPesertaKemenkeu!$AY$6:$AY$1005="Direkomendasikan",ROW($6:$1005)-5),60))=""),"",IF(AND(COUNTIF(INDIRECT("K_"&amp;MATCH(INDEX(checklistPesertaKemenkeu!$J$6:$J$1005,SMALL(IF(checklistPesertaKemenkeu!$AY$6:$AY$1005="Direkomendasikan",ROW($6:$1005)-5),60)),BidangList,0)),INDEX(checklistPesertaKemenkeu!$L$6:$L$1005,SMALL(IF(checklistPesertaKemenkeu!$AY$6:$AY$1005="Direkomendasikan",ROW($6:$1005)-5),60)))&gt;0,COUNTIF(INDIRECT("'KERTAS KERJA'!K"&amp;(SMALL(IF(checklistPesertaKemenkeu!$AY$6:$AY$1005="Direkomendasikan",ROW($6:$1005)-5),60)+5)&amp;":O"&amp;(SMALL(IF(checklistPesertaKemenkeu!$AY$6:$AY$1005="Direkomendasikan",ROW($6:$1005)-5),60)+5)),INDEX(checklistPesertaKemenkeu!$L$6:$L$1005,SMALL(IF(checklistPesertaKemenkeu!$AY$6:$AY$1005="Direkomendasikan",ROW($6:$1005)-5),60)))=1),IFERROR(VLOOKUP(INDEX(checklistPesertaKemenkeu!$L$6:$L$1005,SMALL(IF(checklistPesertaKemenkeu!$AY$6:$AY$1005="Direkomendasikan",ROW($6:$1005)-5),60)),KotaKode,2,0),"-"),"")),"")</f>
        <v/>
      </c>
      <c r="I61" t="str">
        <f t="array" aca="1" ref="I61" ca="1">IFERROR(IF(OR(INDEX(checklistPesertaKemenkeu!$M$6:$M$1005,SMALL(IF(checklistPesertaKemenkeu!$AY$6:$AY$1005="Direkomendasikan",ROW($6:$1005)-5),60))="",INDEX(checklistPesertaKemenkeu!$J$6:$J$1005,SMALL(IF(checklistPesertaKemenkeu!$AY$6:$AY$1005="Direkomendasikan",ROW($6:$1005)-5),60))=""),"",IF(AND(COUNTIF(INDIRECT("K_"&amp;MATCH(INDEX(checklistPesertaKemenkeu!$J$6:$J$1005,SMALL(IF(checklistPesertaKemenkeu!$AY$6:$AY$1005="Direkomendasikan",ROW($6:$1005)-5),60)),BidangList,0)),INDEX(checklistPesertaKemenkeu!$M$6:$M$1005,SMALL(IF(checklistPesertaKemenkeu!$AY$6:$AY$1005="Direkomendasikan",ROW($6:$1005)-5),60)))&gt;0,COUNTIF(INDIRECT("'KERTAS KERJA'!K"&amp;(SMALL(IF(checklistPesertaKemenkeu!$AY$6:$AY$1005="Direkomendasikan",ROW($6:$1005)-5),60)+5)&amp;":O"&amp;(SMALL(IF(checklistPesertaKemenkeu!$AY$6:$AY$1005="Direkomendasikan",ROW($6:$1005)-5),60)+5)),INDEX(checklistPesertaKemenkeu!$M$6:$M$1005,SMALL(IF(checklistPesertaKemenkeu!$AY$6:$AY$1005="Direkomendasikan",ROW($6:$1005)-5),60)))=1),IFERROR(VLOOKUP(INDEX(checklistPesertaKemenkeu!$M$6:$M$1005,SMALL(IF(checklistPesertaKemenkeu!$AY$6:$AY$1005="Direkomendasikan",ROW($6:$1005)-5),60)),KotaKode,2,0),"-"),"")),"")</f>
        <v/>
      </c>
      <c r="J61" t="str">
        <f t="array" aca="1" ref="J61" ca="1">IFERROR(IF(OR(INDEX(checklistPesertaKemenkeu!$N$6:$N$1005,SMALL(IF(checklistPesertaKemenkeu!$AY$6:$AY$1005="Direkomendasikan",ROW($6:$1005)-5),60))="",INDEX(checklistPesertaKemenkeu!$J$6:$J$1005,SMALL(IF(checklistPesertaKemenkeu!$AY$6:$AY$1005="Direkomendasikan",ROW($6:$1005)-5),60))=""),"",IF(AND(COUNTIF(INDIRECT("K_"&amp;MATCH(INDEX(checklistPesertaKemenkeu!$J$6:$J$1005,SMALL(IF(checklistPesertaKemenkeu!$AY$6:$AY$1005="Direkomendasikan",ROW($6:$1005)-5),60)),BidangList,0)),INDEX(checklistPesertaKemenkeu!$N$6:$N$1005,SMALL(IF(checklistPesertaKemenkeu!$AY$6:$AY$1005="Direkomendasikan",ROW($6:$1005)-5),60)))&gt;0,COUNTIF(INDIRECT("'KERTAS KERJA'!K"&amp;(SMALL(IF(checklistPesertaKemenkeu!$AY$6:$AY$1005="Direkomendasikan",ROW($6:$1005)-5),60)+5)&amp;":O"&amp;(SMALL(IF(checklistPesertaKemenkeu!$AY$6:$AY$1005="Direkomendasikan",ROW($6:$1005)-5),60)+5)),INDEX(checklistPesertaKemenkeu!$N$6:$N$1005,SMALL(IF(checklistPesertaKemenkeu!$AY$6:$AY$1005="Direkomendasikan",ROW($6:$1005)-5),60)))=1),IFERROR(VLOOKUP(INDEX(checklistPesertaKemenkeu!$N$6:$N$1005,SMALL(IF(checklistPesertaKemenkeu!$AY$6:$AY$1005="Direkomendasikan",ROW($6:$1005)-5),60)),KotaKode,2,0),"-"),"")),"")</f>
        <v/>
      </c>
      <c r="K61" t="str">
        <f t="array" aca="1" ref="K61" ca="1">IFERROR(IF(OR(INDEX(checklistPesertaKemenkeu!$O$6:$O$1005,SMALL(IF(checklistPesertaKemenkeu!$AY$6:$AY$1005="Direkomendasikan",ROW($6:$1005)-5),60))="",INDEX(checklistPesertaKemenkeu!$J$6:$J$1005,SMALL(IF(checklistPesertaKemenkeu!$AY$6:$AY$1005="Direkomendasikan",ROW($6:$1005)-5),60))=""),"",IF(AND(COUNTIF(INDIRECT("K_"&amp;MATCH(INDEX(checklistPesertaKemenkeu!$J$6:$J$1005,SMALL(IF(checklistPesertaKemenkeu!$AY$6:$AY$1005="Direkomendasikan",ROW($6:$1005)-5),60)),BidangList,0)),INDEX(checklistPesertaKemenkeu!$O$6:$O$1005,SMALL(IF(checklistPesertaKemenkeu!$AY$6:$AY$1005="Direkomendasikan",ROW($6:$1005)-5),60)))&gt;0,COUNTIF(INDIRECT("'KERTAS KERJA'!K"&amp;(SMALL(IF(checklistPesertaKemenkeu!$AY$6:$AY$1005="Direkomendasikan",ROW($6:$1005)-5),60)+5)&amp;":O"&amp;(SMALL(IF(checklistPesertaKemenkeu!$AY$6:$AY$1005="Direkomendasikan",ROW($6:$1005)-5),60)+5)),INDEX(checklistPesertaKemenkeu!$O$6:$O$1005,SMALL(IF(checklistPesertaKemenkeu!$AY$6:$AY$1005="Direkomendasikan",ROW($6:$1005)-5),60)))=1),IFERROR(VLOOKUP(INDEX(checklistPesertaKemenkeu!$O$6:$O$1005,SMALL(IF(checklistPesertaKemenkeu!$AY$6:$AY$1005="Direkomendasikan",ROW($6:$1005)-5),60)),KotaKode,2,0),"-"),"")),"")</f>
        <v/>
      </c>
      <c r="L61" t="str">
        <f t="array" aca="1" ref="L61" ca="1">IFERROR(IF(OR(INDEX(checklistPesertaKemenkeu!$P$6:$P$1005,SMALL(IF(checklistPesertaKemenkeu!$AY$6:$AY$1005="Direkomendasikan",ROW($6:$1005)-5),60))="",INDEX(checklistPesertaKemenkeu!$J$6:$J$1005,SMALL(IF(checklistPesertaKemenkeu!$AY$6:$AY$1005="Direkomendasikan",ROW($6:$1005)-5),60))=""),"",IF(AND(COUNTIF(INDIRECT("K_"&amp;MATCH(INDEX(checklistPesertaKemenkeu!$J$6:$J$1005,SMALL(IF(checklistPesertaKemenkeu!$AY$6:$AY$1005="Direkomendasikan",ROW($6:$1005)-5),60)),BidangList,0)),INDEX(checklistPesertaKemenkeu!$P$6:$P$1005,SMALL(IF(checklistPesertaKemenkeu!$AY$6:$AY$1005="Direkomendasikan",ROW($6:$1005)-5),60)))&gt;0,COUNTIF(INDIRECT("'KERTAS KERJA'!K"&amp;(SMALL(IF(checklistPesertaKemenkeu!$AY$6:$AY$1005="Direkomendasikan",ROW($6:$1005)-5),60)+5)&amp;":O"&amp;(SMALL(IF(checklistPesertaKemenkeu!$AY$6:$AY$1005="Direkomendasikan",ROW($6:$1005)-5),60)+5)),INDEX(checklistPesertaKemenkeu!$P$6:$P$1005,SMALL(IF(checklistPesertaKemenkeu!$AY$6:$AY$1005="Direkomendasikan",ROW($6:$1005)-5),60)))=1),IFERROR(VLOOKUP(INDEX(checklistPesertaKemenkeu!$P$6:$P$1005,SMALL(IF(checklistPesertaKemenkeu!$AY$6:$AY$1005="Direkomendasikan",ROW($6:$1005)-5),60)),KotaKode,2,0),"-"),"")),"")</f>
        <v/>
      </c>
    </row>
    <row r="62" spans="1:12" ht="15" customHeight="1" x14ac:dyDescent="0.2">
      <c r="A62" t="str">
        <f t="shared" si="0"/>
        <v/>
      </c>
      <c r="B62" t="str">
        <v/>
      </c>
      <c r="C62" s="40" t="str">
        <f t="array" ref="C62">IFERROR(INDEX(checklistPesertaKemenkeu!$F$6:$F$1005,SMALL(IF(checklistPesertaKemenkeu!$AY$6:$AY$1005="Direkomendasikan",ROW($6:$1005)-5),61)),"")</f>
        <v/>
      </c>
      <c r="D62" t="str">
        <f t="array" ref="D62">IFERROR(INDEX(checklistPesertaKemenkeu!$G$6:$G$1005,SMALL(IF(checklistPesertaKemenkeu!$AY$6:$AY$1005="Direkomendasikan",ROW($6:$1005)-5),61)),"")</f>
        <v/>
      </c>
      <c r="E62" t="str">
        <f t="array" ref="E62">IFERROR(INDEX(checklistPesertaKemenkeu!$H$6:$H$1005,SMALL(IF(checklistPesertaKemenkeu!$AY$6:$AY$1005="Direkomendasikan",ROW($6:$1005)-5),61)),"")</f>
        <v/>
      </c>
      <c r="F62" t="str">
        <f t="array" ref="F62">IFERROR(INDEX(checklistPesertaKemenkeu!$I$6:$I$1005,SMALL(IF(checklistPesertaKemenkeu!$AY$6:$AY$1005="Direkomendasikan",ROW($6:$1005)-5),61)),"")</f>
        <v/>
      </c>
      <c r="G62" t="str">
        <f t="array" ref="G62">IFERROR(INDEX(checklistPesertaKemenkeu!$J$6:$J$1005,SMALL(IF(checklistPesertaKemenkeu!$AY$6:$AY$1005="Direkomendasikan",ROW($6:$1005)-5),61)),"")</f>
        <v/>
      </c>
      <c r="H62" t="str">
        <f t="array" aca="1" ref="H62" ca="1">IFERROR(IF(OR(INDEX(checklistPesertaKemenkeu!$L$6:$L$1005,SMALL(IF(checklistPesertaKemenkeu!$AY$6:$AY$1005="Direkomendasikan",ROW($6:$1005)-5),61))="",INDEX(checklistPesertaKemenkeu!$J$6:$J$1005,SMALL(IF(checklistPesertaKemenkeu!$AY$6:$AY$1005="Direkomendasikan",ROW($6:$1005)-5),61))=""),"",IF(AND(COUNTIF(INDIRECT("K_"&amp;MATCH(INDEX(checklistPesertaKemenkeu!$J$6:$J$1005,SMALL(IF(checklistPesertaKemenkeu!$AY$6:$AY$1005="Direkomendasikan",ROW($6:$1005)-5),61)),BidangList,0)),INDEX(checklistPesertaKemenkeu!$L$6:$L$1005,SMALL(IF(checklistPesertaKemenkeu!$AY$6:$AY$1005="Direkomendasikan",ROW($6:$1005)-5),61)))&gt;0,COUNTIF(INDIRECT("'KERTAS KERJA'!K"&amp;(SMALL(IF(checklistPesertaKemenkeu!$AY$6:$AY$1005="Direkomendasikan",ROW($6:$1005)-5),61)+5)&amp;":O"&amp;(SMALL(IF(checklistPesertaKemenkeu!$AY$6:$AY$1005="Direkomendasikan",ROW($6:$1005)-5),61)+5)),INDEX(checklistPesertaKemenkeu!$L$6:$L$1005,SMALL(IF(checklistPesertaKemenkeu!$AY$6:$AY$1005="Direkomendasikan",ROW($6:$1005)-5),61)))=1),IFERROR(VLOOKUP(INDEX(checklistPesertaKemenkeu!$L$6:$L$1005,SMALL(IF(checklistPesertaKemenkeu!$AY$6:$AY$1005="Direkomendasikan",ROW($6:$1005)-5),61)),KotaKode,2,0),"-"),"")),"")</f>
        <v/>
      </c>
      <c r="I62" t="str">
        <f t="array" aca="1" ref="I62" ca="1">IFERROR(IF(OR(INDEX(checklistPesertaKemenkeu!$M$6:$M$1005,SMALL(IF(checklistPesertaKemenkeu!$AY$6:$AY$1005="Direkomendasikan",ROW($6:$1005)-5),61))="",INDEX(checklistPesertaKemenkeu!$J$6:$J$1005,SMALL(IF(checklistPesertaKemenkeu!$AY$6:$AY$1005="Direkomendasikan",ROW($6:$1005)-5),61))=""),"",IF(AND(COUNTIF(INDIRECT("K_"&amp;MATCH(INDEX(checklistPesertaKemenkeu!$J$6:$J$1005,SMALL(IF(checklistPesertaKemenkeu!$AY$6:$AY$1005="Direkomendasikan",ROW($6:$1005)-5),61)),BidangList,0)),INDEX(checklistPesertaKemenkeu!$M$6:$M$1005,SMALL(IF(checklistPesertaKemenkeu!$AY$6:$AY$1005="Direkomendasikan",ROW($6:$1005)-5),61)))&gt;0,COUNTIF(INDIRECT("'KERTAS KERJA'!K"&amp;(SMALL(IF(checklistPesertaKemenkeu!$AY$6:$AY$1005="Direkomendasikan",ROW($6:$1005)-5),61)+5)&amp;":O"&amp;(SMALL(IF(checklistPesertaKemenkeu!$AY$6:$AY$1005="Direkomendasikan",ROW($6:$1005)-5),61)+5)),INDEX(checklistPesertaKemenkeu!$M$6:$M$1005,SMALL(IF(checklistPesertaKemenkeu!$AY$6:$AY$1005="Direkomendasikan",ROW($6:$1005)-5),61)))=1),IFERROR(VLOOKUP(INDEX(checklistPesertaKemenkeu!$M$6:$M$1005,SMALL(IF(checklistPesertaKemenkeu!$AY$6:$AY$1005="Direkomendasikan",ROW($6:$1005)-5),61)),KotaKode,2,0),"-"),"")),"")</f>
        <v/>
      </c>
      <c r="J62" t="str">
        <f t="array" aca="1" ref="J62" ca="1">IFERROR(IF(OR(INDEX(checklistPesertaKemenkeu!$N$6:$N$1005,SMALL(IF(checklistPesertaKemenkeu!$AY$6:$AY$1005="Direkomendasikan",ROW($6:$1005)-5),61))="",INDEX(checklistPesertaKemenkeu!$J$6:$J$1005,SMALL(IF(checklistPesertaKemenkeu!$AY$6:$AY$1005="Direkomendasikan",ROW($6:$1005)-5),61))=""),"",IF(AND(COUNTIF(INDIRECT("K_"&amp;MATCH(INDEX(checklistPesertaKemenkeu!$J$6:$J$1005,SMALL(IF(checklistPesertaKemenkeu!$AY$6:$AY$1005="Direkomendasikan",ROW($6:$1005)-5),61)),BidangList,0)),INDEX(checklistPesertaKemenkeu!$N$6:$N$1005,SMALL(IF(checklistPesertaKemenkeu!$AY$6:$AY$1005="Direkomendasikan",ROW($6:$1005)-5),61)))&gt;0,COUNTIF(INDIRECT("'KERTAS KERJA'!K"&amp;(SMALL(IF(checklistPesertaKemenkeu!$AY$6:$AY$1005="Direkomendasikan",ROW($6:$1005)-5),61)+5)&amp;":O"&amp;(SMALL(IF(checklistPesertaKemenkeu!$AY$6:$AY$1005="Direkomendasikan",ROW($6:$1005)-5),61)+5)),INDEX(checklistPesertaKemenkeu!$N$6:$N$1005,SMALL(IF(checklistPesertaKemenkeu!$AY$6:$AY$1005="Direkomendasikan",ROW($6:$1005)-5),61)))=1),IFERROR(VLOOKUP(INDEX(checklistPesertaKemenkeu!$N$6:$N$1005,SMALL(IF(checklistPesertaKemenkeu!$AY$6:$AY$1005="Direkomendasikan",ROW($6:$1005)-5),61)),KotaKode,2,0),"-"),"")),"")</f>
        <v/>
      </c>
      <c r="K62" t="str">
        <f t="array" aca="1" ref="K62" ca="1">IFERROR(IF(OR(INDEX(checklistPesertaKemenkeu!$O$6:$O$1005,SMALL(IF(checklistPesertaKemenkeu!$AY$6:$AY$1005="Direkomendasikan",ROW($6:$1005)-5),61))="",INDEX(checklistPesertaKemenkeu!$J$6:$J$1005,SMALL(IF(checklistPesertaKemenkeu!$AY$6:$AY$1005="Direkomendasikan",ROW($6:$1005)-5),61))=""),"",IF(AND(COUNTIF(INDIRECT("K_"&amp;MATCH(INDEX(checklistPesertaKemenkeu!$J$6:$J$1005,SMALL(IF(checklistPesertaKemenkeu!$AY$6:$AY$1005="Direkomendasikan",ROW($6:$1005)-5),61)),BidangList,0)),INDEX(checklistPesertaKemenkeu!$O$6:$O$1005,SMALL(IF(checklistPesertaKemenkeu!$AY$6:$AY$1005="Direkomendasikan",ROW($6:$1005)-5),61)))&gt;0,COUNTIF(INDIRECT("'KERTAS KERJA'!K"&amp;(SMALL(IF(checklistPesertaKemenkeu!$AY$6:$AY$1005="Direkomendasikan",ROW($6:$1005)-5),61)+5)&amp;":O"&amp;(SMALL(IF(checklistPesertaKemenkeu!$AY$6:$AY$1005="Direkomendasikan",ROW($6:$1005)-5),61)+5)),INDEX(checklistPesertaKemenkeu!$O$6:$O$1005,SMALL(IF(checklistPesertaKemenkeu!$AY$6:$AY$1005="Direkomendasikan",ROW($6:$1005)-5),61)))=1),IFERROR(VLOOKUP(INDEX(checklistPesertaKemenkeu!$O$6:$O$1005,SMALL(IF(checklistPesertaKemenkeu!$AY$6:$AY$1005="Direkomendasikan",ROW($6:$1005)-5),61)),KotaKode,2,0),"-"),"")),"")</f>
        <v/>
      </c>
      <c r="L62" t="str">
        <f t="array" aca="1" ref="L62" ca="1">IFERROR(IF(OR(INDEX(checklistPesertaKemenkeu!$P$6:$P$1005,SMALL(IF(checklistPesertaKemenkeu!$AY$6:$AY$1005="Direkomendasikan",ROW($6:$1005)-5),61))="",INDEX(checklistPesertaKemenkeu!$J$6:$J$1005,SMALL(IF(checklistPesertaKemenkeu!$AY$6:$AY$1005="Direkomendasikan",ROW($6:$1005)-5),61))=""),"",IF(AND(COUNTIF(INDIRECT("K_"&amp;MATCH(INDEX(checklistPesertaKemenkeu!$J$6:$J$1005,SMALL(IF(checklistPesertaKemenkeu!$AY$6:$AY$1005="Direkomendasikan",ROW($6:$1005)-5),61)),BidangList,0)),INDEX(checklistPesertaKemenkeu!$P$6:$P$1005,SMALL(IF(checklistPesertaKemenkeu!$AY$6:$AY$1005="Direkomendasikan",ROW($6:$1005)-5),61)))&gt;0,COUNTIF(INDIRECT("'KERTAS KERJA'!K"&amp;(SMALL(IF(checklistPesertaKemenkeu!$AY$6:$AY$1005="Direkomendasikan",ROW($6:$1005)-5),61)+5)&amp;":O"&amp;(SMALL(IF(checklistPesertaKemenkeu!$AY$6:$AY$1005="Direkomendasikan",ROW($6:$1005)-5),61)+5)),INDEX(checklistPesertaKemenkeu!$P$6:$P$1005,SMALL(IF(checklistPesertaKemenkeu!$AY$6:$AY$1005="Direkomendasikan",ROW($6:$1005)-5),61)))=1),IFERROR(VLOOKUP(INDEX(checklistPesertaKemenkeu!$P$6:$P$1005,SMALL(IF(checklistPesertaKemenkeu!$AY$6:$AY$1005="Direkomendasikan",ROW($6:$1005)-5),61)),KotaKode,2,0),"-"),"")),"")</f>
        <v/>
      </c>
    </row>
    <row r="63" spans="1:12" ht="15" customHeight="1" x14ac:dyDescent="0.2">
      <c r="A63" t="str">
        <f t="shared" si="0"/>
        <v/>
      </c>
      <c r="B63" t="str">
        <v/>
      </c>
      <c r="C63" s="40" t="str">
        <f t="array" ref="C63">IFERROR(INDEX(checklistPesertaKemenkeu!$F$6:$F$1005,SMALL(IF(checklistPesertaKemenkeu!$AY$6:$AY$1005="Direkomendasikan",ROW($6:$1005)-5),62)),"")</f>
        <v/>
      </c>
      <c r="D63" t="str">
        <f t="array" ref="D63">IFERROR(INDEX(checklistPesertaKemenkeu!$G$6:$G$1005,SMALL(IF(checklistPesertaKemenkeu!$AY$6:$AY$1005="Direkomendasikan",ROW($6:$1005)-5),62)),"")</f>
        <v/>
      </c>
      <c r="E63" t="str">
        <f t="array" ref="E63">IFERROR(INDEX(checklistPesertaKemenkeu!$H$6:$H$1005,SMALL(IF(checklistPesertaKemenkeu!$AY$6:$AY$1005="Direkomendasikan",ROW($6:$1005)-5),62)),"")</f>
        <v/>
      </c>
      <c r="F63" t="str">
        <f t="array" ref="F63">IFERROR(INDEX(checklistPesertaKemenkeu!$I$6:$I$1005,SMALL(IF(checklistPesertaKemenkeu!$AY$6:$AY$1005="Direkomendasikan",ROW($6:$1005)-5),62)),"")</f>
        <v/>
      </c>
      <c r="G63" t="str">
        <f t="array" ref="G63">IFERROR(INDEX(checklistPesertaKemenkeu!$J$6:$J$1005,SMALL(IF(checklistPesertaKemenkeu!$AY$6:$AY$1005="Direkomendasikan",ROW($6:$1005)-5),62)),"")</f>
        <v/>
      </c>
      <c r="H63" t="str">
        <f t="array" aca="1" ref="H63" ca="1">IFERROR(IF(OR(INDEX(checklistPesertaKemenkeu!$L$6:$L$1005,SMALL(IF(checklistPesertaKemenkeu!$AY$6:$AY$1005="Direkomendasikan",ROW($6:$1005)-5),62))="",INDEX(checklistPesertaKemenkeu!$J$6:$J$1005,SMALL(IF(checklistPesertaKemenkeu!$AY$6:$AY$1005="Direkomendasikan",ROW($6:$1005)-5),62))=""),"",IF(AND(COUNTIF(INDIRECT("K_"&amp;MATCH(INDEX(checklistPesertaKemenkeu!$J$6:$J$1005,SMALL(IF(checklistPesertaKemenkeu!$AY$6:$AY$1005="Direkomendasikan",ROW($6:$1005)-5),62)),BidangList,0)),INDEX(checklistPesertaKemenkeu!$L$6:$L$1005,SMALL(IF(checklistPesertaKemenkeu!$AY$6:$AY$1005="Direkomendasikan",ROW($6:$1005)-5),62)))&gt;0,COUNTIF(INDIRECT("'KERTAS KERJA'!K"&amp;(SMALL(IF(checklistPesertaKemenkeu!$AY$6:$AY$1005="Direkomendasikan",ROW($6:$1005)-5),62)+5)&amp;":O"&amp;(SMALL(IF(checklistPesertaKemenkeu!$AY$6:$AY$1005="Direkomendasikan",ROW($6:$1005)-5),62)+5)),INDEX(checklistPesertaKemenkeu!$L$6:$L$1005,SMALL(IF(checklistPesertaKemenkeu!$AY$6:$AY$1005="Direkomendasikan",ROW($6:$1005)-5),62)))=1),IFERROR(VLOOKUP(INDEX(checklistPesertaKemenkeu!$L$6:$L$1005,SMALL(IF(checklistPesertaKemenkeu!$AY$6:$AY$1005="Direkomendasikan",ROW($6:$1005)-5),62)),KotaKode,2,0),"-"),"")),"")</f>
        <v/>
      </c>
      <c r="I63" t="str">
        <f t="array" aca="1" ref="I63" ca="1">IFERROR(IF(OR(INDEX(checklistPesertaKemenkeu!$M$6:$M$1005,SMALL(IF(checklistPesertaKemenkeu!$AY$6:$AY$1005="Direkomendasikan",ROW($6:$1005)-5),62))="",INDEX(checklistPesertaKemenkeu!$J$6:$J$1005,SMALL(IF(checklistPesertaKemenkeu!$AY$6:$AY$1005="Direkomendasikan",ROW($6:$1005)-5),62))=""),"",IF(AND(COUNTIF(INDIRECT("K_"&amp;MATCH(INDEX(checklistPesertaKemenkeu!$J$6:$J$1005,SMALL(IF(checklistPesertaKemenkeu!$AY$6:$AY$1005="Direkomendasikan",ROW($6:$1005)-5),62)),BidangList,0)),INDEX(checklistPesertaKemenkeu!$M$6:$M$1005,SMALL(IF(checklistPesertaKemenkeu!$AY$6:$AY$1005="Direkomendasikan",ROW($6:$1005)-5),62)))&gt;0,COUNTIF(INDIRECT("'KERTAS KERJA'!K"&amp;(SMALL(IF(checklistPesertaKemenkeu!$AY$6:$AY$1005="Direkomendasikan",ROW($6:$1005)-5),62)+5)&amp;":O"&amp;(SMALL(IF(checklistPesertaKemenkeu!$AY$6:$AY$1005="Direkomendasikan",ROW($6:$1005)-5),62)+5)),INDEX(checklistPesertaKemenkeu!$M$6:$M$1005,SMALL(IF(checklistPesertaKemenkeu!$AY$6:$AY$1005="Direkomendasikan",ROW($6:$1005)-5),62)))=1),IFERROR(VLOOKUP(INDEX(checklistPesertaKemenkeu!$M$6:$M$1005,SMALL(IF(checklistPesertaKemenkeu!$AY$6:$AY$1005="Direkomendasikan",ROW($6:$1005)-5),62)),KotaKode,2,0),"-"),"")),"")</f>
        <v/>
      </c>
      <c r="J63" t="str">
        <f t="array" aca="1" ref="J63" ca="1">IFERROR(IF(OR(INDEX(checklistPesertaKemenkeu!$N$6:$N$1005,SMALL(IF(checklistPesertaKemenkeu!$AY$6:$AY$1005="Direkomendasikan",ROW($6:$1005)-5),62))="",INDEX(checklistPesertaKemenkeu!$J$6:$J$1005,SMALL(IF(checklistPesertaKemenkeu!$AY$6:$AY$1005="Direkomendasikan",ROW($6:$1005)-5),62))=""),"",IF(AND(COUNTIF(INDIRECT("K_"&amp;MATCH(INDEX(checklistPesertaKemenkeu!$J$6:$J$1005,SMALL(IF(checklistPesertaKemenkeu!$AY$6:$AY$1005="Direkomendasikan",ROW($6:$1005)-5),62)),BidangList,0)),INDEX(checklistPesertaKemenkeu!$N$6:$N$1005,SMALL(IF(checklistPesertaKemenkeu!$AY$6:$AY$1005="Direkomendasikan",ROW($6:$1005)-5),62)))&gt;0,COUNTIF(INDIRECT("'KERTAS KERJA'!K"&amp;(SMALL(IF(checklistPesertaKemenkeu!$AY$6:$AY$1005="Direkomendasikan",ROW($6:$1005)-5),62)+5)&amp;":O"&amp;(SMALL(IF(checklistPesertaKemenkeu!$AY$6:$AY$1005="Direkomendasikan",ROW($6:$1005)-5),62)+5)),INDEX(checklistPesertaKemenkeu!$N$6:$N$1005,SMALL(IF(checklistPesertaKemenkeu!$AY$6:$AY$1005="Direkomendasikan",ROW($6:$1005)-5),62)))=1),IFERROR(VLOOKUP(INDEX(checklistPesertaKemenkeu!$N$6:$N$1005,SMALL(IF(checklistPesertaKemenkeu!$AY$6:$AY$1005="Direkomendasikan",ROW($6:$1005)-5),62)),KotaKode,2,0),"-"),"")),"")</f>
        <v/>
      </c>
      <c r="K63" t="str">
        <f t="array" aca="1" ref="K63" ca="1">IFERROR(IF(OR(INDEX(checklistPesertaKemenkeu!$O$6:$O$1005,SMALL(IF(checklistPesertaKemenkeu!$AY$6:$AY$1005="Direkomendasikan",ROW($6:$1005)-5),62))="",INDEX(checklistPesertaKemenkeu!$J$6:$J$1005,SMALL(IF(checklistPesertaKemenkeu!$AY$6:$AY$1005="Direkomendasikan",ROW($6:$1005)-5),62))=""),"",IF(AND(COUNTIF(INDIRECT("K_"&amp;MATCH(INDEX(checklistPesertaKemenkeu!$J$6:$J$1005,SMALL(IF(checklistPesertaKemenkeu!$AY$6:$AY$1005="Direkomendasikan",ROW($6:$1005)-5),62)),BidangList,0)),INDEX(checklistPesertaKemenkeu!$O$6:$O$1005,SMALL(IF(checklistPesertaKemenkeu!$AY$6:$AY$1005="Direkomendasikan",ROW($6:$1005)-5),62)))&gt;0,COUNTIF(INDIRECT("'KERTAS KERJA'!K"&amp;(SMALL(IF(checklistPesertaKemenkeu!$AY$6:$AY$1005="Direkomendasikan",ROW($6:$1005)-5),62)+5)&amp;":O"&amp;(SMALL(IF(checklistPesertaKemenkeu!$AY$6:$AY$1005="Direkomendasikan",ROW($6:$1005)-5),62)+5)),INDEX(checklistPesertaKemenkeu!$O$6:$O$1005,SMALL(IF(checklistPesertaKemenkeu!$AY$6:$AY$1005="Direkomendasikan",ROW($6:$1005)-5),62)))=1),IFERROR(VLOOKUP(INDEX(checklistPesertaKemenkeu!$O$6:$O$1005,SMALL(IF(checklistPesertaKemenkeu!$AY$6:$AY$1005="Direkomendasikan",ROW($6:$1005)-5),62)),KotaKode,2,0),"-"),"")),"")</f>
        <v/>
      </c>
      <c r="L63" t="str">
        <f t="array" aca="1" ref="L63" ca="1">IFERROR(IF(OR(INDEX(checklistPesertaKemenkeu!$P$6:$P$1005,SMALL(IF(checklistPesertaKemenkeu!$AY$6:$AY$1005="Direkomendasikan",ROW($6:$1005)-5),62))="",INDEX(checklistPesertaKemenkeu!$J$6:$J$1005,SMALL(IF(checklistPesertaKemenkeu!$AY$6:$AY$1005="Direkomendasikan",ROW($6:$1005)-5),62))=""),"",IF(AND(COUNTIF(INDIRECT("K_"&amp;MATCH(INDEX(checklistPesertaKemenkeu!$J$6:$J$1005,SMALL(IF(checklistPesertaKemenkeu!$AY$6:$AY$1005="Direkomendasikan",ROW($6:$1005)-5),62)),BidangList,0)),INDEX(checklistPesertaKemenkeu!$P$6:$P$1005,SMALL(IF(checklistPesertaKemenkeu!$AY$6:$AY$1005="Direkomendasikan",ROW($6:$1005)-5),62)))&gt;0,COUNTIF(INDIRECT("'KERTAS KERJA'!K"&amp;(SMALL(IF(checklistPesertaKemenkeu!$AY$6:$AY$1005="Direkomendasikan",ROW($6:$1005)-5),62)+5)&amp;":O"&amp;(SMALL(IF(checklistPesertaKemenkeu!$AY$6:$AY$1005="Direkomendasikan",ROW($6:$1005)-5),62)+5)),INDEX(checklistPesertaKemenkeu!$P$6:$P$1005,SMALL(IF(checklistPesertaKemenkeu!$AY$6:$AY$1005="Direkomendasikan",ROW($6:$1005)-5),62)))=1),IFERROR(VLOOKUP(INDEX(checklistPesertaKemenkeu!$P$6:$P$1005,SMALL(IF(checklistPesertaKemenkeu!$AY$6:$AY$1005="Direkomendasikan",ROW($6:$1005)-5),62)),KotaKode,2,0),"-"),"")),"")</f>
        <v/>
      </c>
    </row>
    <row r="64" spans="1:12" ht="15" customHeight="1" x14ac:dyDescent="0.2">
      <c r="A64" t="str">
        <f t="shared" si="0"/>
        <v/>
      </c>
      <c r="B64" t="str">
        <v/>
      </c>
      <c r="C64" s="40" t="str">
        <f t="array" ref="C64">IFERROR(INDEX(checklistPesertaKemenkeu!$F$6:$F$1005,SMALL(IF(checklistPesertaKemenkeu!$AY$6:$AY$1005="Direkomendasikan",ROW($6:$1005)-5),63)),"")</f>
        <v/>
      </c>
      <c r="D64" t="str">
        <f t="array" ref="D64">IFERROR(INDEX(checklistPesertaKemenkeu!$G$6:$G$1005,SMALL(IF(checklistPesertaKemenkeu!$AY$6:$AY$1005="Direkomendasikan",ROW($6:$1005)-5),63)),"")</f>
        <v/>
      </c>
      <c r="E64" t="str">
        <f t="array" ref="E64">IFERROR(INDEX(checklistPesertaKemenkeu!$H$6:$H$1005,SMALL(IF(checklistPesertaKemenkeu!$AY$6:$AY$1005="Direkomendasikan",ROW($6:$1005)-5),63)),"")</f>
        <v/>
      </c>
      <c r="F64" t="str">
        <f t="array" ref="F64">IFERROR(INDEX(checklistPesertaKemenkeu!$I$6:$I$1005,SMALL(IF(checklistPesertaKemenkeu!$AY$6:$AY$1005="Direkomendasikan",ROW($6:$1005)-5),63)),"")</f>
        <v/>
      </c>
      <c r="G64" t="str">
        <f t="array" ref="G64">IFERROR(INDEX(checklistPesertaKemenkeu!$J$6:$J$1005,SMALL(IF(checklistPesertaKemenkeu!$AY$6:$AY$1005="Direkomendasikan",ROW($6:$1005)-5),63)),"")</f>
        <v/>
      </c>
      <c r="H64" t="str">
        <f t="array" aca="1" ref="H64" ca="1">IFERROR(IF(OR(INDEX(checklistPesertaKemenkeu!$L$6:$L$1005,SMALL(IF(checklistPesertaKemenkeu!$AY$6:$AY$1005="Direkomendasikan",ROW($6:$1005)-5),63))="",INDEX(checklistPesertaKemenkeu!$J$6:$J$1005,SMALL(IF(checklistPesertaKemenkeu!$AY$6:$AY$1005="Direkomendasikan",ROW($6:$1005)-5),63))=""),"",IF(AND(COUNTIF(INDIRECT("K_"&amp;MATCH(INDEX(checklistPesertaKemenkeu!$J$6:$J$1005,SMALL(IF(checklistPesertaKemenkeu!$AY$6:$AY$1005="Direkomendasikan",ROW($6:$1005)-5),63)),BidangList,0)),INDEX(checklistPesertaKemenkeu!$L$6:$L$1005,SMALL(IF(checklistPesertaKemenkeu!$AY$6:$AY$1005="Direkomendasikan",ROW($6:$1005)-5),63)))&gt;0,COUNTIF(INDIRECT("'KERTAS KERJA'!K"&amp;(SMALL(IF(checklistPesertaKemenkeu!$AY$6:$AY$1005="Direkomendasikan",ROW($6:$1005)-5),63)+5)&amp;":O"&amp;(SMALL(IF(checklistPesertaKemenkeu!$AY$6:$AY$1005="Direkomendasikan",ROW($6:$1005)-5),63)+5)),INDEX(checklistPesertaKemenkeu!$L$6:$L$1005,SMALL(IF(checklistPesertaKemenkeu!$AY$6:$AY$1005="Direkomendasikan",ROW($6:$1005)-5),63)))=1),IFERROR(VLOOKUP(INDEX(checklistPesertaKemenkeu!$L$6:$L$1005,SMALL(IF(checklistPesertaKemenkeu!$AY$6:$AY$1005="Direkomendasikan",ROW($6:$1005)-5),63)),KotaKode,2,0),"-"),"")),"")</f>
        <v/>
      </c>
      <c r="I64" t="str">
        <f t="array" aca="1" ref="I64" ca="1">IFERROR(IF(OR(INDEX(checklistPesertaKemenkeu!$M$6:$M$1005,SMALL(IF(checklistPesertaKemenkeu!$AY$6:$AY$1005="Direkomendasikan",ROW($6:$1005)-5),63))="",INDEX(checklistPesertaKemenkeu!$J$6:$J$1005,SMALL(IF(checklistPesertaKemenkeu!$AY$6:$AY$1005="Direkomendasikan",ROW($6:$1005)-5),63))=""),"",IF(AND(COUNTIF(INDIRECT("K_"&amp;MATCH(INDEX(checklistPesertaKemenkeu!$J$6:$J$1005,SMALL(IF(checklistPesertaKemenkeu!$AY$6:$AY$1005="Direkomendasikan",ROW($6:$1005)-5),63)),BidangList,0)),INDEX(checklistPesertaKemenkeu!$M$6:$M$1005,SMALL(IF(checklistPesertaKemenkeu!$AY$6:$AY$1005="Direkomendasikan",ROW($6:$1005)-5),63)))&gt;0,COUNTIF(INDIRECT("'KERTAS KERJA'!K"&amp;(SMALL(IF(checklistPesertaKemenkeu!$AY$6:$AY$1005="Direkomendasikan",ROW($6:$1005)-5),63)+5)&amp;":O"&amp;(SMALL(IF(checklistPesertaKemenkeu!$AY$6:$AY$1005="Direkomendasikan",ROW($6:$1005)-5),63)+5)),INDEX(checklistPesertaKemenkeu!$M$6:$M$1005,SMALL(IF(checklistPesertaKemenkeu!$AY$6:$AY$1005="Direkomendasikan",ROW($6:$1005)-5),63)))=1),IFERROR(VLOOKUP(INDEX(checklistPesertaKemenkeu!$M$6:$M$1005,SMALL(IF(checklistPesertaKemenkeu!$AY$6:$AY$1005="Direkomendasikan",ROW($6:$1005)-5),63)),KotaKode,2,0),"-"),"")),"")</f>
        <v/>
      </c>
      <c r="J64" t="str">
        <f t="array" aca="1" ref="J64" ca="1">IFERROR(IF(OR(INDEX(checklistPesertaKemenkeu!$N$6:$N$1005,SMALL(IF(checklistPesertaKemenkeu!$AY$6:$AY$1005="Direkomendasikan",ROW($6:$1005)-5),63))="",INDEX(checklistPesertaKemenkeu!$J$6:$J$1005,SMALL(IF(checklistPesertaKemenkeu!$AY$6:$AY$1005="Direkomendasikan",ROW($6:$1005)-5),63))=""),"",IF(AND(COUNTIF(INDIRECT("K_"&amp;MATCH(INDEX(checklistPesertaKemenkeu!$J$6:$J$1005,SMALL(IF(checklistPesertaKemenkeu!$AY$6:$AY$1005="Direkomendasikan",ROW($6:$1005)-5),63)),BidangList,0)),INDEX(checklistPesertaKemenkeu!$N$6:$N$1005,SMALL(IF(checklistPesertaKemenkeu!$AY$6:$AY$1005="Direkomendasikan",ROW($6:$1005)-5),63)))&gt;0,COUNTIF(INDIRECT("'KERTAS KERJA'!K"&amp;(SMALL(IF(checklistPesertaKemenkeu!$AY$6:$AY$1005="Direkomendasikan",ROW($6:$1005)-5),63)+5)&amp;":O"&amp;(SMALL(IF(checklistPesertaKemenkeu!$AY$6:$AY$1005="Direkomendasikan",ROW($6:$1005)-5),63)+5)),INDEX(checklistPesertaKemenkeu!$N$6:$N$1005,SMALL(IF(checklistPesertaKemenkeu!$AY$6:$AY$1005="Direkomendasikan",ROW($6:$1005)-5),63)))=1),IFERROR(VLOOKUP(INDEX(checklistPesertaKemenkeu!$N$6:$N$1005,SMALL(IF(checklistPesertaKemenkeu!$AY$6:$AY$1005="Direkomendasikan",ROW($6:$1005)-5),63)),KotaKode,2,0),"-"),"")),"")</f>
        <v/>
      </c>
      <c r="K64" t="str">
        <f t="array" aca="1" ref="K64" ca="1">IFERROR(IF(OR(INDEX(checklistPesertaKemenkeu!$O$6:$O$1005,SMALL(IF(checklistPesertaKemenkeu!$AY$6:$AY$1005="Direkomendasikan",ROW($6:$1005)-5),63))="",INDEX(checklistPesertaKemenkeu!$J$6:$J$1005,SMALL(IF(checklistPesertaKemenkeu!$AY$6:$AY$1005="Direkomendasikan",ROW($6:$1005)-5),63))=""),"",IF(AND(COUNTIF(INDIRECT("K_"&amp;MATCH(INDEX(checklistPesertaKemenkeu!$J$6:$J$1005,SMALL(IF(checklistPesertaKemenkeu!$AY$6:$AY$1005="Direkomendasikan",ROW($6:$1005)-5),63)),BidangList,0)),INDEX(checklistPesertaKemenkeu!$O$6:$O$1005,SMALL(IF(checklistPesertaKemenkeu!$AY$6:$AY$1005="Direkomendasikan",ROW($6:$1005)-5),63)))&gt;0,COUNTIF(INDIRECT("'KERTAS KERJA'!K"&amp;(SMALL(IF(checklistPesertaKemenkeu!$AY$6:$AY$1005="Direkomendasikan",ROW($6:$1005)-5),63)+5)&amp;":O"&amp;(SMALL(IF(checklistPesertaKemenkeu!$AY$6:$AY$1005="Direkomendasikan",ROW($6:$1005)-5),63)+5)),INDEX(checklistPesertaKemenkeu!$O$6:$O$1005,SMALL(IF(checklistPesertaKemenkeu!$AY$6:$AY$1005="Direkomendasikan",ROW($6:$1005)-5),63)))=1),IFERROR(VLOOKUP(INDEX(checklistPesertaKemenkeu!$O$6:$O$1005,SMALL(IF(checklistPesertaKemenkeu!$AY$6:$AY$1005="Direkomendasikan",ROW($6:$1005)-5),63)),KotaKode,2,0),"-"),"")),"")</f>
        <v/>
      </c>
      <c r="L64" t="str">
        <f t="array" aca="1" ref="L64" ca="1">IFERROR(IF(OR(INDEX(checklistPesertaKemenkeu!$P$6:$P$1005,SMALL(IF(checklistPesertaKemenkeu!$AY$6:$AY$1005="Direkomendasikan",ROW($6:$1005)-5),63))="",INDEX(checklistPesertaKemenkeu!$J$6:$J$1005,SMALL(IF(checklistPesertaKemenkeu!$AY$6:$AY$1005="Direkomendasikan",ROW($6:$1005)-5),63))=""),"",IF(AND(COUNTIF(INDIRECT("K_"&amp;MATCH(INDEX(checklistPesertaKemenkeu!$J$6:$J$1005,SMALL(IF(checklistPesertaKemenkeu!$AY$6:$AY$1005="Direkomendasikan",ROW($6:$1005)-5),63)),BidangList,0)),INDEX(checklistPesertaKemenkeu!$P$6:$P$1005,SMALL(IF(checklistPesertaKemenkeu!$AY$6:$AY$1005="Direkomendasikan",ROW($6:$1005)-5),63)))&gt;0,COUNTIF(INDIRECT("'KERTAS KERJA'!K"&amp;(SMALL(IF(checklistPesertaKemenkeu!$AY$6:$AY$1005="Direkomendasikan",ROW($6:$1005)-5),63)+5)&amp;":O"&amp;(SMALL(IF(checklistPesertaKemenkeu!$AY$6:$AY$1005="Direkomendasikan",ROW($6:$1005)-5),63)+5)),INDEX(checklistPesertaKemenkeu!$P$6:$P$1005,SMALL(IF(checklistPesertaKemenkeu!$AY$6:$AY$1005="Direkomendasikan",ROW($6:$1005)-5),63)))=1),IFERROR(VLOOKUP(INDEX(checklistPesertaKemenkeu!$P$6:$P$1005,SMALL(IF(checklistPesertaKemenkeu!$AY$6:$AY$1005="Direkomendasikan",ROW($6:$1005)-5),63)),KotaKode,2,0),"-"),"")),"")</f>
        <v/>
      </c>
    </row>
    <row r="65" spans="1:12" ht="15" customHeight="1" x14ac:dyDescent="0.2">
      <c r="A65" t="str">
        <f t="shared" si="0"/>
        <v/>
      </c>
      <c r="B65" t="str">
        <v/>
      </c>
      <c r="C65" s="40" t="str">
        <f t="array" ref="C65">IFERROR(INDEX(checklistPesertaKemenkeu!$F$6:$F$1005,SMALL(IF(checklistPesertaKemenkeu!$AY$6:$AY$1005="Direkomendasikan",ROW($6:$1005)-5),64)),"")</f>
        <v/>
      </c>
      <c r="D65" t="str">
        <f t="array" ref="D65">IFERROR(INDEX(checklistPesertaKemenkeu!$G$6:$G$1005,SMALL(IF(checklistPesertaKemenkeu!$AY$6:$AY$1005="Direkomendasikan",ROW($6:$1005)-5),64)),"")</f>
        <v/>
      </c>
      <c r="E65" t="str">
        <f t="array" ref="E65">IFERROR(INDEX(checklistPesertaKemenkeu!$H$6:$H$1005,SMALL(IF(checklistPesertaKemenkeu!$AY$6:$AY$1005="Direkomendasikan",ROW($6:$1005)-5),64)),"")</f>
        <v/>
      </c>
      <c r="F65" t="str">
        <f t="array" ref="F65">IFERROR(INDEX(checklistPesertaKemenkeu!$I$6:$I$1005,SMALL(IF(checklistPesertaKemenkeu!$AY$6:$AY$1005="Direkomendasikan",ROW($6:$1005)-5),64)),"")</f>
        <v/>
      </c>
      <c r="G65" t="str">
        <f t="array" ref="G65">IFERROR(INDEX(checklistPesertaKemenkeu!$J$6:$J$1005,SMALL(IF(checklistPesertaKemenkeu!$AY$6:$AY$1005="Direkomendasikan",ROW($6:$1005)-5),64)),"")</f>
        <v/>
      </c>
      <c r="H65" t="str">
        <f t="array" aca="1" ref="H65" ca="1">IFERROR(IF(OR(INDEX(checklistPesertaKemenkeu!$L$6:$L$1005,SMALL(IF(checklistPesertaKemenkeu!$AY$6:$AY$1005="Direkomendasikan",ROW($6:$1005)-5),64))="",INDEX(checklistPesertaKemenkeu!$J$6:$J$1005,SMALL(IF(checklistPesertaKemenkeu!$AY$6:$AY$1005="Direkomendasikan",ROW($6:$1005)-5),64))=""),"",IF(AND(COUNTIF(INDIRECT("K_"&amp;MATCH(INDEX(checklistPesertaKemenkeu!$J$6:$J$1005,SMALL(IF(checklistPesertaKemenkeu!$AY$6:$AY$1005="Direkomendasikan",ROW($6:$1005)-5),64)),BidangList,0)),INDEX(checklistPesertaKemenkeu!$L$6:$L$1005,SMALL(IF(checklistPesertaKemenkeu!$AY$6:$AY$1005="Direkomendasikan",ROW($6:$1005)-5),64)))&gt;0,COUNTIF(INDIRECT("'KERTAS KERJA'!K"&amp;(SMALL(IF(checklistPesertaKemenkeu!$AY$6:$AY$1005="Direkomendasikan",ROW($6:$1005)-5),64)+5)&amp;":O"&amp;(SMALL(IF(checklistPesertaKemenkeu!$AY$6:$AY$1005="Direkomendasikan",ROW($6:$1005)-5),64)+5)),INDEX(checklistPesertaKemenkeu!$L$6:$L$1005,SMALL(IF(checklistPesertaKemenkeu!$AY$6:$AY$1005="Direkomendasikan",ROW($6:$1005)-5),64)))=1),IFERROR(VLOOKUP(INDEX(checklistPesertaKemenkeu!$L$6:$L$1005,SMALL(IF(checklistPesertaKemenkeu!$AY$6:$AY$1005="Direkomendasikan",ROW($6:$1005)-5),64)),KotaKode,2,0),"-"),"")),"")</f>
        <v/>
      </c>
      <c r="I65" t="str">
        <f t="array" aca="1" ref="I65" ca="1">IFERROR(IF(OR(INDEX(checklistPesertaKemenkeu!$M$6:$M$1005,SMALL(IF(checklistPesertaKemenkeu!$AY$6:$AY$1005="Direkomendasikan",ROW($6:$1005)-5),64))="",INDEX(checklistPesertaKemenkeu!$J$6:$J$1005,SMALL(IF(checklistPesertaKemenkeu!$AY$6:$AY$1005="Direkomendasikan",ROW($6:$1005)-5),64))=""),"",IF(AND(COUNTIF(INDIRECT("K_"&amp;MATCH(INDEX(checklistPesertaKemenkeu!$J$6:$J$1005,SMALL(IF(checklistPesertaKemenkeu!$AY$6:$AY$1005="Direkomendasikan",ROW($6:$1005)-5),64)),BidangList,0)),INDEX(checklistPesertaKemenkeu!$M$6:$M$1005,SMALL(IF(checklistPesertaKemenkeu!$AY$6:$AY$1005="Direkomendasikan",ROW($6:$1005)-5),64)))&gt;0,COUNTIF(INDIRECT("'KERTAS KERJA'!K"&amp;(SMALL(IF(checklistPesertaKemenkeu!$AY$6:$AY$1005="Direkomendasikan",ROW($6:$1005)-5),64)+5)&amp;":O"&amp;(SMALL(IF(checklistPesertaKemenkeu!$AY$6:$AY$1005="Direkomendasikan",ROW($6:$1005)-5),64)+5)),INDEX(checklistPesertaKemenkeu!$M$6:$M$1005,SMALL(IF(checklistPesertaKemenkeu!$AY$6:$AY$1005="Direkomendasikan",ROW($6:$1005)-5),64)))=1),IFERROR(VLOOKUP(INDEX(checklistPesertaKemenkeu!$M$6:$M$1005,SMALL(IF(checklistPesertaKemenkeu!$AY$6:$AY$1005="Direkomendasikan",ROW($6:$1005)-5),64)),KotaKode,2,0),"-"),"")),"")</f>
        <v/>
      </c>
      <c r="J65" t="str">
        <f t="array" aca="1" ref="J65" ca="1">IFERROR(IF(OR(INDEX(checklistPesertaKemenkeu!$N$6:$N$1005,SMALL(IF(checklistPesertaKemenkeu!$AY$6:$AY$1005="Direkomendasikan",ROW($6:$1005)-5),64))="",INDEX(checklistPesertaKemenkeu!$J$6:$J$1005,SMALL(IF(checklistPesertaKemenkeu!$AY$6:$AY$1005="Direkomendasikan",ROW($6:$1005)-5),64))=""),"",IF(AND(COUNTIF(INDIRECT("K_"&amp;MATCH(INDEX(checklistPesertaKemenkeu!$J$6:$J$1005,SMALL(IF(checklistPesertaKemenkeu!$AY$6:$AY$1005="Direkomendasikan",ROW($6:$1005)-5),64)),BidangList,0)),INDEX(checklistPesertaKemenkeu!$N$6:$N$1005,SMALL(IF(checklistPesertaKemenkeu!$AY$6:$AY$1005="Direkomendasikan",ROW($6:$1005)-5),64)))&gt;0,COUNTIF(INDIRECT("'KERTAS KERJA'!K"&amp;(SMALL(IF(checklistPesertaKemenkeu!$AY$6:$AY$1005="Direkomendasikan",ROW($6:$1005)-5),64)+5)&amp;":O"&amp;(SMALL(IF(checklistPesertaKemenkeu!$AY$6:$AY$1005="Direkomendasikan",ROW($6:$1005)-5),64)+5)),INDEX(checklistPesertaKemenkeu!$N$6:$N$1005,SMALL(IF(checklistPesertaKemenkeu!$AY$6:$AY$1005="Direkomendasikan",ROW($6:$1005)-5),64)))=1),IFERROR(VLOOKUP(INDEX(checklistPesertaKemenkeu!$N$6:$N$1005,SMALL(IF(checklistPesertaKemenkeu!$AY$6:$AY$1005="Direkomendasikan",ROW($6:$1005)-5),64)),KotaKode,2,0),"-"),"")),"")</f>
        <v/>
      </c>
      <c r="K65" t="str">
        <f t="array" aca="1" ref="K65" ca="1">IFERROR(IF(OR(INDEX(checklistPesertaKemenkeu!$O$6:$O$1005,SMALL(IF(checklistPesertaKemenkeu!$AY$6:$AY$1005="Direkomendasikan",ROW($6:$1005)-5),64))="",INDEX(checklistPesertaKemenkeu!$J$6:$J$1005,SMALL(IF(checklistPesertaKemenkeu!$AY$6:$AY$1005="Direkomendasikan",ROW($6:$1005)-5),64))=""),"",IF(AND(COUNTIF(INDIRECT("K_"&amp;MATCH(INDEX(checklistPesertaKemenkeu!$J$6:$J$1005,SMALL(IF(checklistPesertaKemenkeu!$AY$6:$AY$1005="Direkomendasikan",ROW($6:$1005)-5),64)),BidangList,0)),INDEX(checklistPesertaKemenkeu!$O$6:$O$1005,SMALL(IF(checklistPesertaKemenkeu!$AY$6:$AY$1005="Direkomendasikan",ROW($6:$1005)-5),64)))&gt;0,COUNTIF(INDIRECT("'KERTAS KERJA'!K"&amp;(SMALL(IF(checklistPesertaKemenkeu!$AY$6:$AY$1005="Direkomendasikan",ROW($6:$1005)-5),64)+5)&amp;":O"&amp;(SMALL(IF(checklistPesertaKemenkeu!$AY$6:$AY$1005="Direkomendasikan",ROW($6:$1005)-5),64)+5)),INDEX(checklistPesertaKemenkeu!$O$6:$O$1005,SMALL(IF(checklistPesertaKemenkeu!$AY$6:$AY$1005="Direkomendasikan",ROW($6:$1005)-5),64)))=1),IFERROR(VLOOKUP(INDEX(checklistPesertaKemenkeu!$O$6:$O$1005,SMALL(IF(checklistPesertaKemenkeu!$AY$6:$AY$1005="Direkomendasikan",ROW($6:$1005)-5),64)),KotaKode,2,0),"-"),"")),"")</f>
        <v/>
      </c>
      <c r="L65" t="str">
        <f t="array" aca="1" ref="L65" ca="1">IFERROR(IF(OR(INDEX(checklistPesertaKemenkeu!$P$6:$P$1005,SMALL(IF(checklistPesertaKemenkeu!$AY$6:$AY$1005="Direkomendasikan",ROW($6:$1005)-5),64))="",INDEX(checklistPesertaKemenkeu!$J$6:$J$1005,SMALL(IF(checklistPesertaKemenkeu!$AY$6:$AY$1005="Direkomendasikan",ROW($6:$1005)-5),64))=""),"",IF(AND(COUNTIF(INDIRECT("K_"&amp;MATCH(INDEX(checklistPesertaKemenkeu!$J$6:$J$1005,SMALL(IF(checklistPesertaKemenkeu!$AY$6:$AY$1005="Direkomendasikan",ROW($6:$1005)-5),64)),BidangList,0)),INDEX(checklistPesertaKemenkeu!$P$6:$P$1005,SMALL(IF(checklistPesertaKemenkeu!$AY$6:$AY$1005="Direkomendasikan",ROW($6:$1005)-5),64)))&gt;0,COUNTIF(INDIRECT("'KERTAS KERJA'!K"&amp;(SMALL(IF(checklistPesertaKemenkeu!$AY$6:$AY$1005="Direkomendasikan",ROW($6:$1005)-5),64)+5)&amp;":O"&amp;(SMALL(IF(checklistPesertaKemenkeu!$AY$6:$AY$1005="Direkomendasikan",ROW($6:$1005)-5),64)+5)),INDEX(checklistPesertaKemenkeu!$P$6:$P$1005,SMALL(IF(checklistPesertaKemenkeu!$AY$6:$AY$1005="Direkomendasikan",ROW($6:$1005)-5),64)))=1),IFERROR(VLOOKUP(INDEX(checklistPesertaKemenkeu!$P$6:$P$1005,SMALL(IF(checklistPesertaKemenkeu!$AY$6:$AY$1005="Direkomendasikan",ROW($6:$1005)-5),64)),KotaKode,2,0),"-"),"")),"")</f>
        <v/>
      </c>
    </row>
    <row r="66" spans="1:12" ht="15" customHeight="1" x14ac:dyDescent="0.2">
      <c r="A66" t="str">
        <f t="shared" ref="A66:A129" si="1">IF(C66="","",ROW()-1)</f>
        <v/>
      </c>
      <c r="B66" t="str">
        <v/>
      </c>
      <c r="C66" s="40" t="str">
        <f t="array" ref="C66">IFERROR(INDEX(checklistPesertaKemenkeu!$F$6:$F$1005,SMALL(IF(checklistPesertaKemenkeu!$AY$6:$AY$1005="Direkomendasikan",ROW($6:$1005)-5),65)),"")</f>
        <v/>
      </c>
      <c r="D66" t="str">
        <f t="array" ref="D66">IFERROR(INDEX(checklistPesertaKemenkeu!$G$6:$G$1005,SMALL(IF(checklistPesertaKemenkeu!$AY$6:$AY$1005="Direkomendasikan",ROW($6:$1005)-5),65)),"")</f>
        <v/>
      </c>
      <c r="E66" t="str">
        <f t="array" ref="E66">IFERROR(INDEX(checklistPesertaKemenkeu!$H$6:$H$1005,SMALL(IF(checklistPesertaKemenkeu!$AY$6:$AY$1005="Direkomendasikan",ROW($6:$1005)-5),65)),"")</f>
        <v/>
      </c>
      <c r="F66" t="str">
        <f t="array" ref="F66">IFERROR(INDEX(checklistPesertaKemenkeu!$I$6:$I$1005,SMALL(IF(checklistPesertaKemenkeu!$AY$6:$AY$1005="Direkomendasikan",ROW($6:$1005)-5),65)),"")</f>
        <v/>
      </c>
      <c r="G66" t="str">
        <f t="array" ref="G66">IFERROR(INDEX(checklistPesertaKemenkeu!$J$6:$J$1005,SMALL(IF(checklistPesertaKemenkeu!$AY$6:$AY$1005="Direkomendasikan",ROW($6:$1005)-5),65)),"")</f>
        <v/>
      </c>
      <c r="H66" t="str">
        <f t="array" aca="1" ref="H66" ca="1">IFERROR(IF(OR(INDEX(checklistPesertaKemenkeu!$L$6:$L$1005,SMALL(IF(checklistPesertaKemenkeu!$AY$6:$AY$1005="Direkomendasikan",ROW($6:$1005)-5),65))="",INDEX(checklistPesertaKemenkeu!$J$6:$J$1005,SMALL(IF(checklistPesertaKemenkeu!$AY$6:$AY$1005="Direkomendasikan",ROW($6:$1005)-5),65))=""),"",IF(AND(COUNTIF(INDIRECT("K_"&amp;MATCH(INDEX(checklistPesertaKemenkeu!$J$6:$J$1005,SMALL(IF(checklistPesertaKemenkeu!$AY$6:$AY$1005="Direkomendasikan",ROW($6:$1005)-5),65)),BidangList,0)),INDEX(checklistPesertaKemenkeu!$L$6:$L$1005,SMALL(IF(checklistPesertaKemenkeu!$AY$6:$AY$1005="Direkomendasikan",ROW($6:$1005)-5),65)))&gt;0,COUNTIF(INDIRECT("'KERTAS KERJA'!K"&amp;(SMALL(IF(checklistPesertaKemenkeu!$AY$6:$AY$1005="Direkomendasikan",ROW($6:$1005)-5),65)+5)&amp;":O"&amp;(SMALL(IF(checklistPesertaKemenkeu!$AY$6:$AY$1005="Direkomendasikan",ROW($6:$1005)-5),65)+5)),INDEX(checklistPesertaKemenkeu!$L$6:$L$1005,SMALL(IF(checklistPesertaKemenkeu!$AY$6:$AY$1005="Direkomendasikan",ROW($6:$1005)-5),65)))=1),IFERROR(VLOOKUP(INDEX(checklistPesertaKemenkeu!$L$6:$L$1005,SMALL(IF(checklistPesertaKemenkeu!$AY$6:$AY$1005="Direkomendasikan",ROW($6:$1005)-5),65)),KotaKode,2,0),"-"),"")),"")</f>
        <v/>
      </c>
      <c r="I66" t="str">
        <f t="array" aca="1" ref="I66" ca="1">IFERROR(IF(OR(INDEX(checklistPesertaKemenkeu!$M$6:$M$1005,SMALL(IF(checklistPesertaKemenkeu!$AY$6:$AY$1005="Direkomendasikan",ROW($6:$1005)-5),65))="",INDEX(checklistPesertaKemenkeu!$J$6:$J$1005,SMALL(IF(checklistPesertaKemenkeu!$AY$6:$AY$1005="Direkomendasikan",ROW($6:$1005)-5),65))=""),"",IF(AND(COUNTIF(INDIRECT("K_"&amp;MATCH(INDEX(checklistPesertaKemenkeu!$J$6:$J$1005,SMALL(IF(checklistPesertaKemenkeu!$AY$6:$AY$1005="Direkomendasikan",ROW($6:$1005)-5),65)),BidangList,0)),INDEX(checklistPesertaKemenkeu!$M$6:$M$1005,SMALL(IF(checklistPesertaKemenkeu!$AY$6:$AY$1005="Direkomendasikan",ROW($6:$1005)-5),65)))&gt;0,COUNTIF(INDIRECT("'KERTAS KERJA'!K"&amp;(SMALL(IF(checklistPesertaKemenkeu!$AY$6:$AY$1005="Direkomendasikan",ROW($6:$1005)-5),65)+5)&amp;":O"&amp;(SMALL(IF(checklistPesertaKemenkeu!$AY$6:$AY$1005="Direkomendasikan",ROW($6:$1005)-5),65)+5)),INDEX(checklistPesertaKemenkeu!$M$6:$M$1005,SMALL(IF(checklistPesertaKemenkeu!$AY$6:$AY$1005="Direkomendasikan",ROW($6:$1005)-5),65)))=1),IFERROR(VLOOKUP(INDEX(checklistPesertaKemenkeu!$M$6:$M$1005,SMALL(IF(checklistPesertaKemenkeu!$AY$6:$AY$1005="Direkomendasikan",ROW($6:$1005)-5),65)),KotaKode,2,0),"-"),"")),"")</f>
        <v/>
      </c>
      <c r="J66" t="str">
        <f t="array" aca="1" ref="J66" ca="1">IFERROR(IF(OR(INDEX(checklistPesertaKemenkeu!$N$6:$N$1005,SMALL(IF(checklistPesertaKemenkeu!$AY$6:$AY$1005="Direkomendasikan",ROW($6:$1005)-5),65))="",INDEX(checklistPesertaKemenkeu!$J$6:$J$1005,SMALL(IF(checklistPesertaKemenkeu!$AY$6:$AY$1005="Direkomendasikan",ROW($6:$1005)-5),65))=""),"",IF(AND(COUNTIF(INDIRECT("K_"&amp;MATCH(INDEX(checklistPesertaKemenkeu!$J$6:$J$1005,SMALL(IF(checklistPesertaKemenkeu!$AY$6:$AY$1005="Direkomendasikan",ROW($6:$1005)-5),65)),BidangList,0)),INDEX(checklistPesertaKemenkeu!$N$6:$N$1005,SMALL(IF(checklistPesertaKemenkeu!$AY$6:$AY$1005="Direkomendasikan",ROW($6:$1005)-5),65)))&gt;0,COUNTIF(INDIRECT("'KERTAS KERJA'!K"&amp;(SMALL(IF(checklistPesertaKemenkeu!$AY$6:$AY$1005="Direkomendasikan",ROW($6:$1005)-5),65)+5)&amp;":O"&amp;(SMALL(IF(checklistPesertaKemenkeu!$AY$6:$AY$1005="Direkomendasikan",ROW($6:$1005)-5),65)+5)),INDEX(checklistPesertaKemenkeu!$N$6:$N$1005,SMALL(IF(checklistPesertaKemenkeu!$AY$6:$AY$1005="Direkomendasikan",ROW($6:$1005)-5),65)))=1),IFERROR(VLOOKUP(INDEX(checklistPesertaKemenkeu!$N$6:$N$1005,SMALL(IF(checklistPesertaKemenkeu!$AY$6:$AY$1005="Direkomendasikan",ROW($6:$1005)-5),65)),KotaKode,2,0),"-"),"")),"")</f>
        <v/>
      </c>
      <c r="K66" t="str">
        <f t="array" aca="1" ref="K66" ca="1">IFERROR(IF(OR(INDEX(checklistPesertaKemenkeu!$O$6:$O$1005,SMALL(IF(checklistPesertaKemenkeu!$AY$6:$AY$1005="Direkomendasikan",ROW($6:$1005)-5),65))="",INDEX(checklistPesertaKemenkeu!$J$6:$J$1005,SMALL(IF(checklistPesertaKemenkeu!$AY$6:$AY$1005="Direkomendasikan",ROW($6:$1005)-5),65))=""),"",IF(AND(COUNTIF(INDIRECT("K_"&amp;MATCH(INDEX(checklistPesertaKemenkeu!$J$6:$J$1005,SMALL(IF(checklistPesertaKemenkeu!$AY$6:$AY$1005="Direkomendasikan",ROW($6:$1005)-5),65)),BidangList,0)),INDEX(checklistPesertaKemenkeu!$O$6:$O$1005,SMALL(IF(checklistPesertaKemenkeu!$AY$6:$AY$1005="Direkomendasikan",ROW($6:$1005)-5),65)))&gt;0,COUNTIF(INDIRECT("'KERTAS KERJA'!K"&amp;(SMALL(IF(checklistPesertaKemenkeu!$AY$6:$AY$1005="Direkomendasikan",ROW($6:$1005)-5),65)+5)&amp;":O"&amp;(SMALL(IF(checklistPesertaKemenkeu!$AY$6:$AY$1005="Direkomendasikan",ROW($6:$1005)-5),65)+5)),INDEX(checklistPesertaKemenkeu!$O$6:$O$1005,SMALL(IF(checklistPesertaKemenkeu!$AY$6:$AY$1005="Direkomendasikan",ROW($6:$1005)-5),65)))=1),IFERROR(VLOOKUP(INDEX(checklistPesertaKemenkeu!$O$6:$O$1005,SMALL(IF(checklistPesertaKemenkeu!$AY$6:$AY$1005="Direkomendasikan",ROW($6:$1005)-5),65)),KotaKode,2,0),"-"),"")),"")</f>
        <v/>
      </c>
      <c r="L66" t="str">
        <f t="array" aca="1" ref="L66" ca="1">IFERROR(IF(OR(INDEX(checklistPesertaKemenkeu!$P$6:$P$1005,SMALL(IF(checklistPesertaKemenkeu!$AY$6:$AY$1005="Direkomendasikan",ROW($6:$1005)-5),65))="",INDEX(checklistPesertaKemenkeu!$J$6:$J$1005,SMALL(IF(checklistPesertaKemenkeu!$AY$6:$AY$1005="Direkomendasikan",ROW($6:$1005)-5),65))=""),"",IF(AND(COUNTIF(INDIRECT("K_"&amp;MATCH(INDEX(checklistPesertaKemenkeu!$J$6:$J$1005,SMALL(IF(checklistPesertaKemenkeu!$AY$6:$AY$1005="Direkomendasikan",ROW($6:$1005)-5),65)),BidangList,0)),INDEX(checklistPesertaKemenkeu!$P$6:$P$1005,SMALL(IF(checklistPesertaKemenkeu!$AY$6:$AY$1005="Direkomendasikan",ROW($6:$1005)-5),65)))&gt;0,COUNTIF(INDIRECT("'KERTAS KERJA'!K"&amp;(SMALL(IF(checklistPesertaKemenkeu!$AY$6:$AY$1005="Direkomendasikan",ROW($6:$1005)-5),65)+5)&amp;":O"&amp;(SMALL(IF(checklistPesertaKemenkeu!$AY$6:$AY$1005="Direkomendasikan",ROW($6:$1005)-5),65)+5)),INDEX(checklistPesertaKemenkeu!$P$6:$P$1005,SMALL(IF(checklistPesertaKemenkeu!$AY$6:$AY$1005="Direkomendasikan",ROW($6:$1005)-5),65)))=1),IFERROR(VLOOKUP(INDEX(checklistPesertaKemenkeu!$P$6:$P$1005,SMALL(IF(checklistPesertaKemenkeu!$AY$6:$AY$1005="Direkomendasikan",ROW($6:$1005)-5),65)),KotaKode,2,0),"-"),"")),"")</f>
        <v/>
      </c>
    </row>
    <row r="67" spans="1:12" ht="15" customHeight="1" x14ac:dyDescent="0.2">
      <c r="A67" t="str">
        <f t="shared" si="1"/>
        <v/>
      </c>
      <c r="B67" t="str">
        <v/>
      </c>
      <c r="C67" s="40" t="str">
        <f t="array" ref="C67">IFERROR(INDEX(checklistPesertaKemenkeu!$F$6:$F$1005,SMALL(IF(checklistPesertaKemenkeu!$AY$6:$AY$1005="Direkomendasikan",ROW($6:$1005)-5),66)),"")</f>
        <v/>
      </c>
      <c r="D67" t="str">
        <f t="array" ref="D67">IFERROR(INDEX(checklistPesertaKemenkeu!$G$6:$G$1005,SMALL(IF(checklistPesertaKemenkeu!$AY$6:$AY$1005="Direkomendasikan",ROW($6:$1005)-5),66)),"")</f>
        <v/>
      </c>
      <c r="E67" t="str">
        <f t="array" ref="E67">IFERROR(INDEX(checklistPesertaKemenkeu!$H$6:$H$1005,SMALL(IF(checklistPesertaKemenkeu!$AY$6:$AY$1005="Direkomendasikan",ROW($6:$1005)-5),66)),"")</f>
        <v/>
      </c>
      <c r="F67" t="str">
        <f t="array" ref="F67">IFERROR(INDEX(checklistPesertaKemenkeu!$I$6:$I$1005,SMALL(IF(checklistPesertaKemenkeu!$AY$6:$AY$1005="Direkomendasikan",ROW($6:$1005)-5),66)),"")</f>
        <v/>
      </c>
      <c r="G67" t="str">
        <f t="array" ref="G67">IFERROR(INDEX(checklistPesertaKemenkeu!$J$6:$J$1005,SMALL(IF(checklistPesertaKemenkeu!$AY$6:$AY$1005="Direkomendasikan",ROW($6:$1005)-5),66)),"")</f>
        <v/>
      </c>
      <c r="H67" t="str">
        <f t="array" aca="1" ref="H67" ca="1">IFERROR(IF(OR(INDEX(checklistPesertaKemenkeu!$L$6:$L$1005,SMALL(IF(checklistPesertaKemenkeu!$AY$6:$AY$1005="Direkomendasikan",ROW($6:$1005)-5),66))="",INDEX(checklistPesertaKemenkeu!$J$6:$J$1005,SMALL(IF(checklistPesertaKemenkeu!$AY$6:$AY$1005="Direkomendasikan",ROW($6:$1005)-5),66))=""),"",IF(AND(COUNTIF(INDIRECT("K_"&amp;MATCH(INDEX(checklistPesertaKemenkeu!$J$6:$J$1005,SMALL(IF(checklistPesertaKemenkeu!$AY$6:$AY$1005="Direkomendasikan",ROW($6:$1005)-5),66)),BidangList,0)),INDEX(checklistPesertaKemenkeu!$L$6:$L$1005,SMALL(IF(checklistPesertaKemenkeu!$AY$6:$AY$1005="Direkomendasikan",ROW($6:$1005)-5),66)))&gt;0,COUNTIF(INDIRECT("'KERTAS KERJA'!K"&amp;(SMALL(IF(checklistPesertaKemenkeu!$AY$6:$AY$1005="Direkomendasikan",ROW($6:$1005)-5),66)+5)&amp;":O"&amp;(SMALL(IF(checklistPesertaKemenkeu!$AY$6:$AY$1005="Direkomendasikan",ROW($6:$1005)-5),66)+5)),INDEX(checklistPesertaKemenkeu!$L$6:$L$1005,SMALL(IF(checklistPesertaKemenkeu!$AY$6:$AY$1005="Direkomendasikan",ROW($6:$1005)-5),66)))=1),IFERROR(VLOOKUP(INDEX(checklistPesertaKemenkeu!$L$6:$L$1005,SMALL(IF(checklistPesertaKemenkeu!$AY$6:$AY$1005="Direkomendasikan",ROW($6:$1005)-5),66)),KotaKode,2,0),"-"),"")),"")</f>
        <v/>
      </c>
      <c r="I67" t="str">
        <f t="array" aca="1" ref="I67" ca="1">IFERROR(IF(OR(INDEX(checklistPesertaKemenkeu!$M$6:$M$1005,SMALL(IF(checklistPesertaKemenkeu!$AY$6:$AY$1005="Direkomendasikan",ROW($6:$1005)-5),66))="",INDEX(checklistPesertaKemenkeu!$J$6:$J$1005,SMALL(IF(checklistPesertaKemenkeu!$AY$6:$AY$1005="Direkomendasikan",ROW($6:$1005)-5),66))=""),"",IF(AND(COUNTIF(INDIRECT("K_"&amp;MATCH(INDEX(checklistPesertaKemenkeu!$J$6:$J$1005,SMALL(IF(checklistPesertaKemenkeu!$AY$6:$AY$1005="Direkomendasikan",ROW($6:$1005)-5),66)),BidangList,0)),INDEX(checklistPesertaKemenkeu!$M$6:$M$1005,SMALL(IF(checklistPesertaKemenkeu!$AY$6:$AY$1005="Direkomendasikan",ROW($6:$1005)-5),66)))&gt;0,COUNTIF(INDIRECT("'KERTAS KERJA'!K"&amp;(SMALL(IF(checklistPesertaKemenkeu!$AY$6:$AY$1005="Direkomendasikan",ROW($6:$1005)-5),66)+5)&amp;":O"&amp;(SMALL(IF(checklistPesertaKemenkeu!$AY$6:$AY$1005="Direkomendasikan",ROW($6:$1005)-5),66)+5)),INDEX(checklistPesertaKemenkeu!$M$6:$M$1005,SMALL(IF(checklistPesertaKemenkeu!$AY$6:$AY$1005="Direkomendasikan",ROW($6:$1005)-5),66)))=1),IFERROR(VLOOKUP(INDEX(checklistPesertaKemenkeu!$M$6:$M$1005,SMALL(IF(checklistPesertaKemenkeu!$AY$6:$AY$1005="Direkomendasikan",ROW($6:$1005)-5),66)),KotaKode,2,0),"-"),"")),"")</f>
        <v/>
      </c>
      <c r="J67" t="str">
        <f t="array" aca="1" ref="J67" ca="1">IFERROR(IF(OR(INDEX(checklistPesertaKemenkeu!$N$6:$N$1005,SMALL(IF(checklistPesertaKemenkeu!$AY$6:$AY$1005="Direkomendasikan",ROW($6:$1005)-5),66))="",INDEX(checklistPesertaKemenkeu!$J$6:$J$1005,SMALL(IF(checklistPesertaKemenkeu!$AY$6:$AY$1005="Direkomendasikan",ROW($6:$1005)-5),66))=""),"",IF(AND(COUNTIF(INDIRECT("K_"&amp;MATCH(INDEX(checklistPesertaKemenkeu!$J$6:$J$1005,SMALL(IF(checklistPesertaKemenkeu!$AY$6:$AY$1005="Direkomendasikan",ROW($6:$1005)-5),66)),BidangList,0)),INDEX(checklistPesertaKemenkeu!$N$6:$N$1005,SMALL(IF(checklistPesertaKemenkeu!$AY$6:$AY$1005="Direkomendasikan",ROW($6:$1005)-5),66)))&gt;0,COUNTIF(INDIRECT("'KERTAS KERJA'!K"&amp;(SMALL(IF(checklistPesertaKemenkeu!$AY$6:$AY$1005="Direkomendasikan",ROW($6:$1005)-5),66)+5)&amp;":O"&amp;(SMALL(IF(checklistPesertaKemenkeu!$AY$6:$AY$1005="Direkomendasikan",ROW($6:$1005)-5),66)+5)),INDEX(checklistPesertaKemenkeu!$N$6:$N$1005,SMALL(IF(checklistPesertaKemenkeu!$AY$6:$AY$1005="Direkomendasikan",ROW($6:$1005)-5),66)))=1),IFERROR(VLOOKUP(INDEX(checklistPesertaKemenkeu!$N$6:$N$1005,SMALL(IF(checklistPesertaKemenkeu!$AY$6:$AY$1005="Direkomendasikan",ROW($6:$1005)-5),66)),KotaKode,2,0),"-"),"")),"")</f>
        <v/>
      </c>
      <c r="K67" t="str">
        <f t="array" aca="1" ref="K67" ca="1">IFERROR(IF(OR(INDEX(checklistPesertaKemenkeu!$O$6:$O$1005,SMALL(IF(checklistPesertaKemenkeu!$AY$6:$AY$1005="Direkomendasikan",ROW($6:$1005)-5),66))="",INDEX(checklistPesertaKemenkeu!$J$6:$J$1005,SMALL(IF(checklistPesertaKemenkeu!$AY$6:$AY$1005="Direkomendasikan",ROW($6:$1005)-5),66))=""),"",IF(AND(COUNTIF(INDIRECT("K_"&amp;MATCH(INDEX(checklistPesertaKemenkeu!$J$6:$J$1005,SMALL(IF(checklistPesertaKemenkeu!$AY$6:$AY$1005="Direkomendasikan",ROW($6:$1005)-5),66)),BidangList,0)),INDEX(checklistPesertaKemenkeu!$O$6:$O$1005,SMALL(IF(checklistPesertaKemenkeu!$AY$6:$AY$1005="Direkomendasikan",ROW($6:$1005)-5),66)))&gt;0,COUNTIF(INDIRECT("'KERTAS KERJA'!K"&amp;(SMALL(IF(checklistPesertaKemenkeu!$AY$6:$AY$1005="Direkomendasikan",ROW($6:$1005)-5),66)+5)&amp;":O"&amp;(SMALL(IF(checklistPesertaKemenkeu!$AY$6:$AY$1005="Direkomendasikan",ROW($6:$1005)-5),66)+5)),INDEX(checklistPesertaKemenkeu!$O$6:$O$1005,SMALL(IF(checklistPesertaKemenkeu!$AY$6:$AY$1005="Direkomendasikan",ROW($6:$1005)-5),66)))=1),IFERROR(VLOOKUP(INDEX(checklistPesertaKemenkeu!$O$6:$O$1005,SMALL(IF(checklistPesertaKemenkeu!$AY$6:$AY$1005="Direkomendasikan",ROW($6:$1005)-5),66)),KotaKode,2,0),"-"),"")),"")</f>
        <v/>
      </c>
      <c r="L67" t="str">
        <f t="array" aca="1" ref="L67" ca="1">IFERROR(IF(OR(INDEX(checklistPesertaKemenkeu!$P$6:$P$1005,SMALL(IF(checklistPesertaKemenkeu!$AY$6:$AY$1005="Direkomendasikan",ROW($6:$1005)-5),66))="",INDEX(checklistPesertaKemenkeu!$J$6:$J$1005,SMALL(IF(checklistPesertaKemenkeu!$AY$6:$AY$1005="Direkomendasikan",ROW($6:$1005)-5),66))=""),"",IF(AND(COUNTIF(INDIRECT("K_"&amp;MATCH(INDEX(checklistPesertaKemenkeu!$J$6:$J$1005,SMALL(IF(checklistPesertaKemenkeu!$AY$6:$AY$1005="Direkomendasikan",ROW($6:$1005)-5),66)),BidangList,0)),INDEX(checklistPesertaKemenkeu!$P$6:$P$1005,SMALL(IF(checklistPesertaKemenkeu!$AY$6:$AY$1005="Direkomendasikan",ROW($6:$1005)-5),66)))&gt;0,COUNTIF(INDIRECT("'KERTAS KERJA'!K"&amp;(SMALL(IF(checklistPesertaKemenkeu!$AY$6:$AY$1005="Direkomendasikan",ROW($6:$1005)-5),66)+5)&amp;":O"&amp;(SMALL(IF(checklistPesertaKemenkeu!$AY$6:$AY$1005="Direkomendasikan",ROW($6:$1005)-5),66)+5)),INDEX(checklistPesertaKemenkeu!$P$6:$P$1005,SMALL(IF(checklistPesertaKemenkeu!$AY$6:$AY$1005="Direkomendasikan",ROW($6:$1005)-5),66)))=1),IFERROR(VLOOKUP(INDEX(checklistPesertaKemenkeu!$P$6:$P$1005,SMALL(IF(checklistPesertaKemenkeu!$AY$6:$AY$1005="Direkomendasikan",ROW($6:$1005)-5),66)),KotaKode,2,0),"-"),"")),"")</f>
        <v/>
      </c>
    </row>
    <row r="68" spans="1:12" ht="15" customHeight="1" x14ac:dyDescent="0.2">
      <c r="A68" t="str">
        <f t="shared" si="1"/>
        <v/>
      </c>
      <c r="B68" t="str">
        <v/>
      </c>
      <c r="C68" s="40" t="str">
        <f t="array" ref="C68">IFERROR(INDEX(checklistPesertaKemenkeu!$F$6:$F$1005,SMALL(IF(checklistPesertaKemenkeu!$AY$6:$AY$1005="Direkomendasikan",ROW($6:$1005)-5),67)),"")</f>
        <v/>
      </c>
      <c r="D68" t="str">
        <f t="array" ref="D68">IFERROR(INDEX(checklistPesertaKemenkeu!$G$6:$G$1005,SMALL(IF(checklistPesertaKemenkeu!$AY$6:$AY$1005="Direkomendasikan",ROW($6:$1005)-5),67)),"")</f>
        <v/>
      </c>
      <c r="E68" t="str">
        <f t="array" ref="E68">IFERROR(INDEX(checklistPesertaKemenkeu!$H$6:$H$1005,SMALL(IF(checklistPesertaKemenkeu!$AY$6:$AY$1005="Direkomendasikan",ROW($6:$1005)-5),67)),"")</f>
        <v/>
      </c>
      <c r="F68" t="str">
        <f t="array" ref="F68">IFERROR(INDEX(checklistPesertaKemenkeu!$I$6:$I$1005,SMALL(IF(checklistPesertaKemenkeu!$AY$6:$AY$1005="Direkomendasikan",ROW($6:$1005)-5),67)),"")</f>
        <v/>
      </c>
      <c r="G68" t="str">
        <f t="array" ref="G68">IFERROR(INDEX(checklistPesertaKemenkeu!$J$6:$J$1005,SMALL(IF(checklistPesertaKemenkeu!$AY$6:$AY$1005="Direkomendasikan",ROW($6:$1005)-5),67)),"")</f>
        <v/>
      </c>
      <c r="H68" t="str">
        <f t="array" aca="1" ref="H68" ca="1">IFERROR(IF(OR(INDEX(checklistPesertaKemenkeu!$L$6:$L$1005,SMALL(IF(checklistPesertaKemenkeu!$AY$6:$AY$1005="Direkomendasikan",ROW($6:$1005)-5),67))="",INDEX(checklistPesertaKemenkeu!$J$6:$J$1005,SMALL(IF(checklistPesertaKemenkeu!$AY$6:$AY$1005="Direkomendasikan",ROW($6:$1005)-5),67))=""),"",IF(AND(COUNTIF(INDIRECT("K_"&amp;MATCH(INDEX(checklistPesertaKemenkeu!$J$6:$J$1005,SMALL(IF(checklistPesertaKemenkeu!$AY$6:$AY$1005="Direkomendasikan",ROW($6:$1005)-5),67)),BidangList,0)),INDEX(checklistPesertaKemenkeu!$L$6:$L$1005,SMALL(IF(checklistPesertaKemenkeu!$AY$6:$AY$1005="Direkomendasikan",ROW($6:$1005)-5),67)))&gt;0,COUNTIF(INDIRECT("'KERTAS KERJA'!K"&amp;(SMALL(IF(checklistPesertaKemenkeu!$AY$6:$AY$1005="Direkomendasikan",ROW($6:$1005)-5),67)+5)&amp;":O"&amp;(SMALL(IF(checklistPesertaKemenkeu!$AY$6:$AY$1005="Direkomendasikan",ROW($6:$1005)-5),67)+5)),INDEX(checklistPesertaKemenkeu!$L$6:$L$1005,SMALL(IF(checklistPesertaKemenkeu!$AY$6:$AY$1005="Direkomendasikan",ROW($6:$1005)-5),67)))=1),IFERROR(VLOOKUP(INDEX(checklistPesertaKemenkeu!$L$6:$L$1005,SMALL(IF(checklistPesertaKemenkeu!$AY$6:$AY$1005="Direkomendasikan",ROW($6:$1005)-5),67)),KotaKode,2,0),"-"),"")),"")</f>
        <v/>
      </c>
      <c r="I68" t="str">
        <f t="array" aca="1" ref="I68" ca="1">IFERROR(IF(OR(INDEX(checklistPesertaKemenkeu!$M$6:$M$1005,SMALL(IF(checklistPesertaKemenkeu!$AY$6:$AY$1005="Direkomendasikan",ROW($6:$1005)-5),67))="",INDEX(checklistPesertaKemenkeu!$J$6:$J$1005,SMALL(IF(checklistPesertaKemenkeu!$AY$6:$AY$1005="Direkomendasikan",ROW($6:$1005)-5),67))=""),"",IF(AND(COUNTIF(INDIRECT("K_"&amp;MATCH(INDEX(checklistPesertaKemenkeu!$J$6:$J$1005,SMALL(IF(checklistPesertaKemenkeu!$AY$6:$AY$1005="Direkomendasikan",ROW($6:$1005)-5),67)),BidangList,0)),INDEX(checklistPesertaKemenkeu!$M$6:$M$1005,SMALL(IF(checklistPesertaKemenkeu!$AY$6:$AY$1005="Direkomendasikan",ROW($6:$1005)-5),67)))&gt;0,COUNTIF(INDIRECT("'KERTAS KERJA'!K"&amp;(SMALL(IF(checklistPesertaKemenkeu!$AY$6:$AY$1005="Direkomendasikan",ROW($6:$1005)-5),67)+5)&amp;":O"&amp;(SMALL(IF(checklistPesertaKemenkeu!$AY$6:$AY$1005="Direkomendasikan",ROW($6:$1005)-5),67)+5)),INDEX(checklistPesertaKemenkeu!$M$6:$M$1005,SMALL(IF(checklistPesertaKemenkeu!$AY$6:$AY$1005="Direkomendasikan",ROW($6:$1005)-5),67)))=1),IFERROR(VLOOKUP(INDEX(checklistPesertaKemenkeu!$M$6:$M$1005,SMALL(IF(checklistPesertaKemenkeu!$AY$6:$AY$1005="Direkomendasikan",ROW($6:$1005)-5),67)),KotaKode,2,0),"-"),"")),"")</f>
        <v/>
      </c>
      <c r="J68" t="str">
        <f t="array" aca="1" ref="J68" ca="1">IFERROR(IF(OR(INDEX(checklistPesertaKemenkeu!$N$6:$N$1005,SMALL(IF(checklistPesertaKemenkeu!$AY$6:$AY$1005="Direkomendasikan",ROW($6:$1005)-5),67))="",INDEX(checklistPesertaKemenkeu!$J$6:$J$1005,SMALL(IF(checklistPesertaKemenkeu!$AY$6:$AY$1005="Direkomendasikan",ROW($6:$1005)-5),67))=""),"",IF(AND(COUNTIF(INDIRECT("K_"&amp;MATCH(INDEX(checklistPesertaKemenkeu!$J$6:$J$1005,SMALL(IF(checklistPesertaKemenkeu!$AY$6:$AY$1005="Direkomendasikan",ROW($6:$1005)-5),67)),BidangList,0)),INDEX(checklistPesertaKemenkeu!$N$6:$N$1005,SMALL(IF(checklistPesertaKemenkeu!$AY$6:$AY$1005="Direkomendasikan",ROW($6:$1005)-5),67)))&gt;0,COUNTIF(INDIRECT("'KERTAS KERJA'!K"&amp;(SMALL(IF(checklistPesertaKemenkeu!$AY$6:$AY$1005="Direkomendasikan",ROW($6:$1005)-5),67)+5)&amp;":O"&amp;(SMALL(IF(checklistPesertaKemenkeu!$AY$6:$AY$1005="Direkomendasikan",ROW($6:$1005)-5),67)+5)),INDEX(checklistPesertaKemenkeu!$N$6:$N$1005,SMALL(IF(checklistPesertaKemenkeu!$AY$6:$AY$1005="Direkomendasikan",ROW($6:$1005)-5),67)))=1),IFERROR(VLOOKUP(INDEX(checklistPesertaKemenkeu!$N$6:$N$1005,SMALL(IF(checklistPesertaKemenkeu!$AY$6:$AY$1005="Direkomendasikan",ROW($6:$1005)-5),67)),KotaKode,2,0),"-"),"")),"")</f>
        <v/>
      </c>
      <c r="K68" t="str">
        <f t="array" aca="1" ref="K68" ca="1">IFERROR(IF(OR(INDEX(checklistPesertaKemenkeu!$O$6:$O$1005,SMALL(IF(checklistPesertaKemenkeu!$AY$6:$AY$1005="Direkomendasikan",ROW($6:$1005)-5),67))="",INDEX(checklistPesertaKemenkeu!$J$6:$J$1005,SMALL(IF(checklistPesertaKemenkeu!$AY$6:$AY$1005="Direkomendasikan",ROW($6:$1005)-5),67))=""),"",IF(AND(COUNTIF(INDIRECT("K_"&amp;MATCH(INDEX(checklistPesertaKemenkeu!$J$6:$J$1005,SMALL(IF(checklistPesertaKemenkeu!$AY$6:$AY$1005="Direkomendasikan",ROW($6:$1005)-5),67)),BidangList,0)),INDEX(checklistPesertaKemenkeu!$O$6:$O$1005,SMALL(IF(checklistPesertaKemenkeu!$AY$6:$AY$1005="Direkomendasikan",ROW($6:$1005)-5),67)))&gt;0,COUNTIF(INDIRECT("'KERTAS KERJA'!K"&amp;(SMALL(IF(checklistPesertaKemenkeu!$AY$6:$AY$1005="Direkomendasikan",ROW($6:$1005)-5),67)+5)&amp;":O"&amp;(SMALL(IF(checklistPesertaKemenkeu!$AY$6:$AY$1005="Direkomendasikan",ROW($6:$1005)-5),67)+5)),INDEX(checklistPesertaKemenkeu!$O$6:$O$1005,SMALL(IF(checklistPesertaKemenkeu!$AY$6:$AY$1005="Direkomendasikan",ROW($6:$1005)-5),67)))=1),IFERROR(VLOOKUP(INDEX(checklistPesertaKemenkeu!$O$6:$O$1005,SMALL(IF(checklistPesertaKemenkeu!$AY$6:$AY$1005="Direkomendasikan",ROW($6:$1005)-5),67)),KotaKode,2,0),"-"),"")),"")</f>
        <v/>
      </c>
      <c r="L68" t="str">
        <f t="array" aca="1" ref="L68" ca="1">IFERROR(IF(OR(INDEX(checklistPesertaKemenkeu!$P$6:$P$1005,SMALL(IF(checklistPesertaKemenkeu!$AY$6:$AY$1005="Direkomendasikan",ROW($6:$1005)-5),67))="",INDEX(checklistPesertaKemenkeu!$J$6:$J$1005,SMALL(IF(checklistPesertaKemenkeu!$AY$6:$AY$1005="Direkomendasikan",ROW($6:$1005)-5),67))=""),"",IF(AND(COUNTIF(INDIRECT("K_"&amp;MATCH(INDEX(checklistPesertaKemenkeu!$J$6:$J$1005,SMALL(IF(checklistPesertaKemenkeu!$AY$6:$AY$1005="Direkomendasikan",ROW($6:$1005)-5),67)),BidangList,0)),INDEX(checklistPesertaKemenkeu!$P$6:$P$1005,SMALL(IF(checklistPesertaKemenkeu!$AY$6:$AY$1005="Direkomendasikan",ROW($6:$1005)-5),67)))&gt;0,COUNTIF(INDIRECT("'KERTAS KERJA'!K"&amp;(SMALL(IF(checklistPesertaKemenkeu!$AY$6:$AY$1005="Direkomendasikan",ROW($6:$1005)-5),67)+5)&amp;":O"&amp;(SMALL(IF(checklistPesertaKemenkeu!$AY$6:$AY$1005="Direkomendasikan",ROW($6:$1005)-5),67)+5)),INDEX(checklistPesertaKemenkeu!$P$6:$P$1005,SMALL(IF(checklistPesertaKemenkeu!$AY$6:$AY$1005="Direkomendasikan",ROW($6:$1005)-5),67)))=1),IFERROR(VLOOKUP(INDEX(checklistPesertaKemenkeu!$P$6:$P$1005,SMALL(IF(checklistPesertaKemenkeu!$AY$6:$AY$1005="Direkomendasikan",ROW($6:$1005)-5),67)),KotaKode,2,0),"-"),"")),"")</f>
        <v/>
      </c>
    </row>
    <row r="69" spans="1:12" ht="15" customHeight="1" x14ac:dyDescent="0.2">
      <c r="A69" t="str">
        <f t="shared" si="1"/>
        <v/>
      </c>
      <c r="B69" t="str">
        <v/>
      </c>
      <c r="C69" s="40" t="str">
        <f t="array" ref="C69">IFERROR(INDEX(checklistPesertaKemenkeu!$F$6:$F$1005,SMALL(IF(checklistPesertaKemenkeu!$AY$6:$AY$1005="Direkomendasikan",ROW($6:$1005)-5),68)),"")</f>
        <v/>
      </c>
      <c r="D69" t="str">
        <f t="array" ref="D69">IFERROR(INDEX(checklistPesertaKemenkeu!$G$6:$G$1005,SMALL(IF(checklistPesertaKemenkeu!$AY$6:$AY$1005="Direkomendasikan",ROW($6:$1005)-5),68)),"")</f>
        <v/>
      </c>
      <c r="E69" t="str">
        <f t="array" ref="E69">IFERROR(INDEX(checklistPesertaKemenkeu!$H$6:$H$1005,SMALL(IF(checklistPesertaKemenkeu!$AY$6:$AY$1005="Direkomendasikan",ROW($6:$1005)-5),68)),"")</f>
        <v/>
      </c>
      <c r="F69" t="str">
        <f t="array" ref="F69">IFERROR(INDEX(checklistPesertaKemenkeu!$I$6:$I$1005,SMALL(IF(checklistPesertaKemenkeu!$AY$6:$AY$1005="Direkomendasikan",ROW($6:$1005)-5),68)),"")</f>
        <v/>
      </c>
      <c r="G69" t="str">
        <f t="array" ref="G69">IFERROR(INDEX(checklistPesertaKemenkeu!$J$6:$J$1005,SMALL(IF(checklistPesertaKemenkeu!$AY$6:$AY$1005="Direkomendasikan",ROW($6:$1005)-5),68)),"")</f>
        <v/>
      </c>
      <c r="H69" t="str">
        <f t="array" aca="1" ref="H69" ca="1">IFERROR(IF(OR(INDEX(checklistPesertaKemenkeu!$L$6:$L$1005,SMALL(IF(checklistPesertaKemenkeu!$AY$6:$AY$1005="Direkomendasikan",ROW($6:$1005)-5),68))="",INDEX(checklistPesertaKemenkeu!$J$6:$J$1005,SMALL(IF(checklistPesertaKemenkeu!$AY$6:$AY$1005="Direkomendasikan",ROW($6:$1005)-5),68))=""),"",IF(AND(COUNTIF(INDIRECT("K_"&amp;MATCH(INDEX(checklistPesertaKemenkeu!$J$6:$J$1005,SMALL(IF(checklistPesertaKemenkeu!$AY$6:$AY$1005="Direkomendasikan",ROW($6:$1005)-5),68)),BidangList,0)),INDEX(checklistPesertaKemenkeu!$L$6:$L$1005,SMALL(IF(checklistPesertaKemenkeu!$AY$6:$AY$1005="Direkomendasikan",ROW($6:$1005)-5),68)))&gt;0,COUNTIF(INDIRECT("'KERTAS KERJA'!K"&amp;(SMALL(IF(checklistPesertaKemenkeu!$AY$6:$AY$1005="Direkomendasikan",ROW($6:$1005)-5),68)+5)&amp;":O"&amp;(SMALL(IF(checklistPesertaKemenkeu!$AY$6:$AY$1005="Direkomendasikan",ROW($6:$1005)-5),68)+5)),INDEX(checklistPesertaKemenkeu!$L$6:$L$1005,SMALL(IF(checklistPesertaKemenkeu!$AY$6:$AY$1005="Direkomendasikan",ROW($6:$1005)-5),68)))=1),IFERROR(VLOOKUP(INDEX(checklistPesertaKemenkeu!$L$6:$L$1005,SMALL(IF(checklistPesertaKemenkeu!$AY$6:$AY$1005="Direkomendasikan",ROW($6:$1005)-5),68)),KotaKode,2,0),"-"),"")),"")</f>
        <v/>
      </c>
      <c r="I69" t="str">
        <f t="array" aca="1" ref="I69" ca="1">IFERROR(IF(OR(INDEX(checklistPesertaKemenkeu!$M$6:$M$1005,SMALL(IF(checklistPesertaKemenkeu!$AY$6:$AY$1005="Direkomendasikan",ROW($6:$1005)-5),68))="",INDEX(checklistPesertaKemenkeu!$J$6:$J$1005,SMALL(IF(checklistPesertaKemenkeu!$AY$6:$AY$1005="Direkomendasikan",ROW($6:$1005)-5),68))=""),"",IF(AND(COUNTIF(INDIRECT("K_"&amp;MATCH(INDEX(checklistPesertaKemenkeu!$J$6:$J$1005,SMALL(IF(checklistPesertaKemenkeu!$AY$6:$AY$1005="Direkomendasikan",ROW($6:$1005)-5),68)),BidangList,0)),INDEX(checklistPesertaKemenkeu!$M$6:$M$1005,SMALL(IF(checklistPesertaKemenkeu!$AY$6:$AY$1005="Direkomendasikan",ROW($6:$1005)-5),68)))&gt;0,COUNTIF(INDIRECT("'KERTAS KERJA'!K"&amp;(SMALL(IF(checklistPesertaKemenkeu!$AY$6:$AY$1005="Direkomendasikan",ROW($6:$1005)-5),68)+5)&amp;":O"&amp;(SMALL(IF(checklistPesertaKemenkeu!$AY$6:$AY$1005="Direkomendasikan",ROW($6:$1005)-5),68)+5)),INDEX(checklistPesertaKemenkeu!$M$6:$M$1005,SMALL(IF(checklistPesertaKemenkeu!$AY$6:$AY$1005="Direkomendasikan",ROW($6:$1005)-5),68)))=1),IFERROR(VLOOKUP(INDEX(checklistPesertaKemenkeu!$M$6:$M$1005,SMALL(IF(checklistPesertaKemenkeu!$AY$6:$AY$1005="Direkomendasikan",ROW($6:$1005)-5),68)),KotaKode,2,0),"-"),"")),"")</f>
        <v/>
      </c>
      <c r="J69" t="str">
        <f t="array" aca="1" ref="J69" ca="1">IFERROR(IF(OR(INDEX(checklistPesertaKemenkeu!$N$6:$N$1005,SMALL(IF(checklistPesertaKemenkeu!$AY$6:$AY$1005="Direkomendasikan",ROW($6:$1005)-5),68))="",INDEX(checklistPesertaKemenkeu!$J$6:$J$1005,SMALL(IF(checklistPesertaKemenkeu!$AY$6:$AY$1005="Direkomendasikan",ROW($6:$1005)-5),68))=""),"",IF(AND(COUNTIF(INDIRECT("K_"&amp;MATCH(INDEX(checklistPesertaKemenkeu!$J$6:$J$1005,SMALL(IF(checklistPesertaKemenkeu!$AY$6:$AY$1005="Direkomendasikan",ROW($6:$1005)-5),68)),BidangList,0)),INDEX(checklistPesertaKemenkeu!$N$6:$N$1005,SMALL(IF(checklistPesertaKemenkeu!$AY$6:$AY$1005="Direkomendasikan",ROW($6:$1005)-5),68)))&gt;0,COUNTIF(INDIRECT("'KERTAS KERJA'!K"&amp;(SMALL(IF(checklistPesertaKemenkeu!$AY$6:$AY$1005="Direkomendasikan",ROW($6:$1005)-5),68)+5)&amp;":O"&amp;(SMALL(IF(checklistPesertaKemenkeu!$AY$6:$AY$1005="Direkomendasikan",ROW($6:$1005)-5),68)+5)),INDEX(checklistPesertaKemenkeu!$N$6:$N$1005,SMALL(IF(checklistPesertaKemenkeu!$AY$6:$AY$1005="Direkomendasikan",ROW($6:$1005)-5),68)))=1),IFERROR(VLOOKUP(INDEX(checklistPesertaKemenkeu!$N$6:$N$1005,SMALL(IF(checklistPesertaKemenkeu!$AY$6:$AY$1005="Direkomendasikan",ROW($6:$1005)-5),68)),KotaKode,2,0),"-"),"")),"")</f>
        <v/>
      </c>
      <c r="K69" t="str">
        <f t="array" aca="1" ref="K69" ca="1">IFERROR(IF(OR(INDEX(checklistPesertaKemenkeu!$O$6:$O$1005,SMALL(IF(checklistPesertaKemenkeu!$AY$6:$AY$1005="Direkomendasikan",ROW($6:$1005)-5),68))="",INDEX(checklistPesertaKemenkeu!$J$6:$J$1005,SMALL(IF(checklistPesertaKemenkeu!$AY$6:$AY$1005="Direkomendasikan",ROW($6:$1005)-5),68))=""),"",IF(AND(COUNTIF(INDIRECT("K_"&amp;MATCH(INDEX(checklistPesertaKemenkeu!$J$6:$J$1005,SMALL(IF(checklistPesertaKemenkeu!$AY$6:$AY$1005="Direkomendasikan",ROW($6:$1005)-5),68)),BidangList,0)),INDEX(checklistPesertaKemenkeu!$O$6:$O$1005,SMALL(IF(checklistPesertaKemenkeu!$AY$6:$AY$1005="Direkomendasikan",ROW($6:$1005)-5),68)))&gt;0,COUNTIF(INDIRECT("'KERTAS KERJA'!K"&amp;(SMALL(IF(checklistPesertaKemenkeu!$AY$6:$AY$1005="Direkomendasikan",ROW($6:$1005)-5),68)+5)&amp;":O"&amp;(SMALL(IF(checklistPesertaKemenkeu!$AY$6:$AY$1005="Direkomendasikan",ROW($6:$1005)-5),68)+5)),INDEX(checklistPesertaKemenkeu!$O$6:$O$1005,SMALL(IF(checklistPesertaKemenkeu!$AY$6:$AY$1005="Direkomendasikan",ROW($6:$1005)-5),68)))=1),IFERROR(VLOOKUP(INDEX(checklistPesertaKemenkeu!$O$6:$O$1005,SMALL(IF(checklistPesertaKemenkeu!$AY$6:$AY$1005="Direkomendasikan",ROW($6:$1005)-5),68)),KotaKode,2,0),"-"),"")),"")</f>
        <v/>
      </c>
      <c r="L69" t="str">
        <f t="array" aca="1" ref="L69" ca="1">IFERROR(IF(OR(INDEX(checklistPesertaKemenkeu!$P$6:$P$1005,SMALL(IF(checklistPesertaKemenkeu!$AY$6:$AY$1005="Direkomendasikan",ROW($6:$1005)-5),68))="",INDEX(checklistPesertaKemenkeu!$J$6:$J$1005,SMALL(IF(checklistPesertaKemenkeu!$AY$6:$AY$1005="Direkomendasikan",ROW($6:$1005)-5),68))=""),"",IF(AND(COUNTIF(INDIRECT("K_"&amp;MATCH(INDEX(checklistPesertaKemenkeu!$J$6:$J$1005,SMALL(IF(checklistPesertaKemenkeu!$AY$6:$AY$1005="Direkomendasikan",ROW($6:$1005)-5),68)),BidangList,0)),INDEX(checklistPesertaKemenkeu!$P$6:$P$1005,SMALL(IF(checklistPesertaKemenkeu!$AY$6:$AY$1005="Direkomendasikan",ROW($6:$1005)-5),68)))&gt;0,COUNTIF(INDIRECT("'KERTAS KERJA'!K"&amp;(SMALL(IF(checklistPesertaKemenkeu!$AY$6:$AY$1005="Direkomendasikan",ROW($6:$1005)-5),68)+5)&amp;":O"&amp;(SMALL(IF(checklistPesertaKemenkeu!$AY$6:$AY$1005="Direkomendasikan",ROW($6:$1005)-5),68)+5)),INDEX(checklistPesertaKemenkeu!$P$6:$P$1005,SMALL(IF(checklistPesertaKemenkeu!$AY$6:$AY$1005="Direkomendasikan",ROW($6:$1005)-5),68)))=1),IFERROR(VLOOKUP(INDEX(checklistPesertaKemenkeu!$P$6:$P$1005,SMALL(IF(checklistPesertaKemenkeu!$AY$6:$AY$1005="Direkomendasikan",ROW($6:$1005)-5),68)),KotaKode,2,0),"-"),"")),"")</f>
        <v/>
      </c>
    </row>
    <row r="70" spans="1:12" ht="15" customHeight="1" x14ac:dyDescent="0.2">
      <c r="A70" t="str">
        <f t="shared" si="1"/>
        <v/>
      </c>
      <c r="B70" t="str">
        <v/>
      </c>
      <c r="C70" s="40" t="str">
        <f t="array" ref="C70">IFERROR(INDEX(checklistPesertaKemenkeu!$F$6:$F$1005,SMALL(IF(checklistPesertaKemenkeu!$AY$6:$AY$1005="Direkomendasikan",ROW($6:$1005)-5),69)),"")</f>
        <v/>
      </c>
      <c r="D70" t="str">
        <f t="array" ref="D70">IFERROR(INDEX(checklistPesertaKemenkeu!$G$6:$G$1005,SMALL(IF(checklistPesertaKemenkeu!$AY$6:$AY$1005="Direkomendasikan",ROW($6:$1005)-5),69)),"")</f>
        <v/>
      </c>
      <c r="E70" t="str">
        <f t="array" ref="E70">IFERROR(INDEX(checklistPesertaKemenkeu!$H$6:$H$1005,SMALL(IF(checklistPesertaKemenkeu!$AY$6:$AY$1005="Direkomendasikan",ROW($6:$1005)-5),69)),"")</f>
        <v/>
      </c>
      <c r="F70" t="str">
        <f t="array" ref="F70">IFERROR(INDEX(checklistPesertaKemenkeu!$I$6:$I$1005,SMALL(IF(checklistPesertaKemenkeu!$AY$6:$AY$1005="Direkomendasikan",ROW($6:$1005)-5),69)),"")</f>
        <v/>
      </c>
      <c r="G70" t="str">
        <f t="array" ref="G70">IFERROR(INDEX(checklistPesertaKemenkeu!$J$6:$J$1005,SMALL(IF(checklistPesertaKemenkeu!$AY$6:$AY$1005="Direkomendasikan",ROW($6:$1005)-5),69)),"")</f>
        <v/>
      </c>
      <c r="H70" t="str">
        <f t="array" aca="1" ref="H70" ca="1">IFERROR(IF(OR(INDEX(checklistPesertaKemenkeu!$L$6:$L$1005,SMALL(IF(checklistPesertaKemenkeu!$AY$6:$AY$1005="Direkomendasikan",ROW($6:$1005)-5),69))="",INDEX(checklistPesertaKemenkeu!$J$6:$J$1005,SMALL(IF(checklistPesertaKemenkeu!$AY$6:$AY$1005="Direkomendasikan",ROW($6:$1005)-5),69))=""),"",IF(AND(COUNTIF(INDIRECT("K_"&amp;MATCH(INDEX(checklistPesertaKemenkeu!$J$6:$J$1005,SMALL(IF(checklistPesertaKemenkeu!$AY$6:$AY$1005="Direkomendasikan",ROW($6:$1005)-5),69)),BidangList,0)),INDEX(checklistPesertaKemenkeu!$L$6:$L$1005,SMALL(IF(checklistPesertaKemenkeu!$AY$6:$AY$1005="Direkomendasikan",ROW($6:$1005)-5),69)))&gt;0,COUNTIF(INDIRECT("'KERTAS KERJA'!K"&amp;(SMALL(IF(checklistPesertaKemenkeu!$AY$6:$AY$1005="Direkomendasikan",ROW($6:$1005)-5),69)+5)&amp;":O"&amp;(SMALL(IF(checklistPesertaKemenkeu!$AY$6:$AY$1005="Direkomendasikan",ROW($6:$1005)-5),69)+5)),INDEX(checklistPesertaKemenkeu!$L$6:$L$1005,SMALL(IF(checklistPesertaKemenkeu!$AY$6:$AY$1005="Direkomendasikan",ROW($6:$1005)-5),69)))=1),IFERROR(VLOOKUP(INDEX(checklistPesertaKemenkeu!$L$6:$L$1005,SMALL(IF(checklistPesertaKemenkeu!$AY$6:$AY$1005="Direkomendasikan",ROW($6:$1005)-5),69)),KotaKode,2,0),"-"),"")),"")</f>
        <v/>
      </c>
      <c r="I70" t="str">
        <f t="array" aca="1" ref="I70" ca="1">IFERROR(IF(OR(INDEX(checklistPesertaKemenkeu!$M$6:$M$1005,SMALL(IF(checklistPesertaKemenkeu!$AY$6:$AY$1005="Direkomendasikan",ROW($6:$1005)-5),69))="",INDEX(checklistPesertaKemenkeu!$J$6:$J$1005,SMALL(IF(checklistPesertaKemenkeu!$AY$6:$AY$1005="Direkomendasikan",ROW($6:$1005)-5),69))=""),"",IF(AND(COUNTIF(INDIRECT("K_"&amp;MATCH(INDEX(checklistPesertaKemenkeu!$J$6:$J$1005,SMALL(IF(checklistPesertaKemenkeu!$AY$6:$AY$1005="Direkomendasikan",ROW($6:$1005)-5),69)),BidangList,0)),INDEX(checklistPesertaKemenkeu!$M$6:$M$1005,SMALL(IF(checklistPesertaKemenkeu!$AY$6:$AY$1005="Direkomendasikan",ROW($6:$1005)-5),69)))&gt;0,COUNTIF(INDIRECT("'KERTAS KERJA'!K"&amp;(SMALL(IF(checklistPesertaKemenkeu!$AY$6:$AY$1005="Direkomendasikan",ROW($6:$1005)-5),69)+5)&amp;":O"&amp;(SMALL(IF(checklistPesertaKemenkeu!$AY$6:$AY$1005="Direkomendasikan",ROW($6:$1005)-5),69)+5)),INDEX(checklistPesertaKemenkeu!$M$6:$M$1005,SMALL(IF(checklistPesertaKemenkeu!$AY$6:$AY$1005="Direkomendasikan",ROW($6:$1005)-5),69)))=1),IFERROR(VLOOKUP(INDEX(checklistPesertaKemenkeu!$M$6:$M$1005,SMALL(IF(checklistPesertaKemenkeu!$AY$6:$AY$1005="Direkomendasikan",ROW($6:$1005)-5),69)),KotaKode,2,0),"-"),"")),"")</f>
        <v/>
      </c>
      <c r="J70" t="str">
        <f t="array" aca="1" ref="J70" ca="1">IFERROR(IF(OR(INDEX(checklistPesertaKemenkeu!$N$6:$N$1005,SMALL(IF(checklistPesertaKemenkeu!$AY$6:$AY$1005="Direkomendasikan",ROW($6:$1005)-5),69))="",INDEX(checklistPesertaKemenkeu!$J$6:$J$1005,SMALL(IF(checklistPesertaKemenkeu!$AY$6:$AY$1005="Direkomendasikan",ROW($6:$1005)-5),69))=""),"",IF(AND(COUNTIF(INDIRECT("K_"&amp;MATCH(INDEX(checklistPesertaKemenkeu!$J$6:$J$1005,SMALL(IF(checklistPesertaKemenkeu!$AY$6:$AY$1005="Direkomendasikan",ROW($6:$1005)-5),69)),BidangList,0)),INDEX(checklistPesertaKemenkeu!$N$6:$N$1005,SMALL(IF(checklistPesertaKemenkeu!$AY$6:$AY$1005="Direkomendasikan",ROW($6:$1005)-5),69)))&gt;0,COUNTIF(INDIRECT("'KERTAS KERJA'!K"&amp;(SMALL(IF(checklistPesertaKemenkeu!$AY$6:$AY$1005="Direkomendasikan",ROW($6:$1005)-5),69)+5)&amp;":O"&amp;(SMALL(IF(checklistPesertaKemenkeu!$AY$6:$AY$1005="Direkomendasikan",ROW($6:$1005)-5),69)+5)),INDEX(checklistPesertaKemenkeu!$N$6:$N$1005,SMALL(IF(checklistPesertaKemenkeu!$AY$6:$AY$1005="Direkomendasikan",ROW($6:$1005)-5),69)))=1),IFERROR(VLOOKUP(INDEX(checklistPesertaKemenkeu!$N$6:$N$1005,SMALL(IF(checklistPesertaKemenkeu!$AY$6:$AY$1005="Direkomendasikan",ROW($6:$1005)-5),69)),KotaKode,2,0),"-"),"")),"")</f>
        <v/>
      </c>
      <c r="K70" t="str">
        <f t="array" aca="1" ref="K70" ca="1">IFERROR(IF(OR(INDEX(checklistPesertaKemenkeu!$O$6:$O$1005,SMALL(IF(checklistPesertaKemenkeu!$AY$6:$AY$1005="Direkomendasikan",ROW($6:$1005)-5),69))="",INDEX(checklistPesertaKemenkeu!$J$6:$J$1005,SMALL(IF(checklistPesertaKemenkeu!$AY$6:$AY$1005="Direkomendasikan",ROW($6:$1005)-5),69))=""),"",IF(AND(COUNTIF(INDIRECT("K_"&amp;MATCH(INDEX(checklistPesertaKemenkeu!$J$6:$J$1005,SMALL(IF(checklistPesertaKemenkeu!$AY$6:$AY$1005="Direkomendasikan",ROW($6:$1005)-5),69)),BidangList,0)),INDEX(checklistPesertaKemenkeu!$O$6:$O$1005,SMALL(IF(checklistPesertaKemenkeu!$AY$6:$AY$1005="Direkomendasikan",ROW($6:$1005)-5),69)))&gt;0,COUNTIF(INDIRECT("'KERTAS KERJA'!K"&amp;(SMALL(IF(checklistPesertaKemenkeu!$AY$6:$AY$1005="Direkomendasikan",ROW($6:$1005)-5),69)+5)&amp;":O"&amp;(SMALL(IF(checklistPesertaKemenkeu!$AY$6:$AY$1005="Direkomendasikan",ROW($6:$1005)-5),69)+5)),INDEX(checklistPesertaKemenkeu!$O$6:$O$1005,SMALL(IF(checklistPesertaKemenkeu!$AY$6:$AY$1005="Direkomendasikan",ROW($6:$1005)-5),69)))=1),IFERROR(VLOOKUP(INDEX(checklistPesertaKemenkeu!$O$6:$O$1005,SMALL(IF(checklistPesertaKemenkeu!$AY$6:$AY$1005="Direkomendasikan",ROW($6:$1005)-5),69)),KotaKode,2,0),"-"),"")),"")</f>
        <v/>
      </c>
      <c r="L70" t="str">
        <f t="array" aca="1" ref="L70" ca="1">IFERROR(IF(OR(INDEX(checklistPesertaKemenkeu!$P$6:$P$1005,SMALL(IF(checklistPesertaKemenkeu!$AY$6:$AY$1005="Direkomendasikan",ROW($6:$1005)-5),69))="",INDEX(checklistPesertaKemenkeu!$J$6:$J$1005,SMALL(IF(checklistPesertaKemenkeu!$AY$6:$AY$1005="Direkomendasikan",ROW($6:$1005)-5),69))=""),"",IF(AND(COUNTIF(INDIRECT("K_"&amp;MATCH(INDEX(checklistPesertaKemenkeu!$J$6:$J$1005,SMALL(IF(checklistPesertaKemenkeu!$AY$6:$AY$1005="Direkomendasikan",ROW($6:$1005)-5),69)),BidangList,0)),INDEX(checklistPesertaKemenkeu!$P$6:$P$1005,SMALL(IF(checklistPesertaKemenkeu!$AY$6:$AY$1005="Direkomendasikan",ROW($6:$1005)-5),69)))&gt;0,COUNTIF(INDIRECT("'KERTAS KERJA'!K"&amp;(SMALL(IF(checklistPesertaKemenkeu!$AY$6:$AY$1005="Direkomendasikan",ROW($6:$1005)-5),69)+5)&amp;":O"&amp;(SMALL(IF(checklistPesertaKemenkeu!$AY$6:$AY$1005="Direkomendasikan",ROW($6:$1005)-5),69)+5)),INDEX(checklistPesertaKemenkeu!$P$6:$P$1005,SMALL(IF(checklistPesertaKemenkeu!$AY$6:$AY$1005="Direkomendasikan",ROW($6:$1005)-5),69)))=1),IFERROR(VLOOKUP(INDEX(checklistPesertaKemenkeu!$P$6:$P$1005,SMALL(IF(checklistPesertaKemenkeu!$AY$6:$AY$1005="Direkomendasikan",ROW($6:$1005)-5),69)),KotaKode,2,0),"-"),"")),"")</f>
        <v/>
      </c>
    </row>
    <row r="71" spans="1:12" ht="15" customHeight="1" x14ac:dyDescent="0.2">
      <c r="A71" t="str">
        <f t="shared" si="1"/>
        <v/>
      </c>
      <c r="B71" t="str">
        <v/>
      </c>
      <c r="C71" s="40" t="str">
        <f t="array" ref="C71">IFERROR(INDEX(checklistPesertaKemenkeu!$F$6:$F$1005,SMALL(IF(checklistPesertaKemenkeu!$AY$6:$AY$1005="Direkomendasikan",ROW($6:$1005)-5),70)),"")</f>
        <v/>
      </c>
      <c r="D71" t="str">
        <f t="array" ref="D71">IFERROR(INDEX(checklistPesertaKemenkeu!$G$6:$G$1005,SMALL(IF(checklistPesertaKemenkeu!$AY$6:$AY$1005="Direkomendasikan",ROW($6:$1005)-5),70)),"")</f>
        <v/>
      </c>
      <c r="E71" t="str">
        <f t="array" ref="E71">IFERROR(INDEX(checklistPesertaKemenkeu!$H$6:$H$1005,SMALL(IF(checklistPesertaKemenkeu!$AY$6:$AY$1005="Direkomendasikan",ROW($6:$1005)-5),70)),"")</f>
        <v/>
      </c>
      <c r="F71" t="str">
        <f t="array" ref="F71">IFERROR(INDEX(checklistPesertaKemenkeu!$I$6:$I$1005,SMALL(IF(checklistPesertaKemenkeu!$AY$6:$AY$1005="Direkomendasikan",ROW($6:$1005)-5),70)),"")</f>
        <v/>
      </c>
      <c r="G71" t="str">
        <f t="array" ref="G71">IFERROR(INDEX(checklistPesertaKemenkeu!$J$6:$J$1005,SMALL(IF(checklistPesertaKemenkeu!$AY$6:$AY$1005="Direkomendasikan",ROW($6:$1005)-5),70)),"")</f>
        <v/>
      </c>
      <c r="H71" t="str">
        <f t="array" aca="1" ref="H71" ca="1">IFERROR(IF(OR(INDEX(checklistPesertaKemenkeu!$L$6:$L$1005,SMALL(IF(checklistPesertaKemenkeu!$AY$6:$AY$1005="Direkomendasikan",ROW($6:$1005)-5),70))="",INDEX(checklistPesertaKemenkeu!$J$6:$J$1005,SMALL(IF(checklistPesertaKemenkeu!$AY$6:$AY$1005="Direkomendasikan",ROW($6:$1005)-5),70))=""),"",IF(AND(COUNTIF(INDIRECT("K_"&amp;MATCH(INDEX(checklistPesertaKemenkeu!$J$6:$J$1005,SMALL(IF(checklistPesertaKemenkeu!$AY$6:$AY$1005="Direkomendasikan",ROW($6:$1005)-5),70)),BidangList,0)),INDEX(checklistPesertaKemenkeu!$L$6:$L$1005,SMALL(IF(checklistPesertaKemenkeu!$AY$6:$AY$1005="Direkomendasikan",ROW($6:$1005)-5),70)))&gt;0,COUNTIF(INDIRECT("'KERTAS KERJA'!K"&amp;(SMALL(IF(checklistPesertaKemenkeu!$AY$6:$AY$1005="Direkomendasikan",ROW($6:$1005)-5),70)+5)&amp;":O"&amp;(SMALL(IF(checklistPesertaKemenkeu!$AY$6:$AY$1005="Direkomendasikan",ROW($6:$1005)-5),70)+5)),INDEX(checklistPesertaKemenkeu!$L$6:$L$1005,SMALL(IF(checklistPesertaKemenkeu!$AY$6:$AY$1005="Direkomendasikan",ROW($6:$1005)-5),70)))=1),IFERROR(VLOOKUP(INDEX(checklistPesertaKemenkeu!$L$6:$L$1005,SMALL(IF(checklistPesertaKemenkeu!$AY$6:$AY$1005="Direkomendasikan",ROW($6:$1005)-5),70)),KotaKode,2,0),"-"),"")),"")</f>
        <v/>
      </c>
      <c r="I71" t="str">
        <f t="array" aca="1" ref="I71" ca="1">IFERROR(IF(OR(INDEX(checklistPesertaKemenkeu!$M$6:$M$1005,SMALL(IF(checklistPesertaKemenkeu!$AY$6:$AY$1005="Direkomendasikan",ROW($6:$1005)-5),70))="",INDEX(checklistPesertaKemenkeu!$J$6:$J$1005,SMALL(IF(checklistPesertaKemenkeu!$AY$6:$AY$1005="Direkomendasikan",ROW($6:$1005)-5),70))=""),"",IF(AND(COUNTIF(INDIRECT("K_"&amp;MATCH(INDEX(checklistPesertaKemenkeu!$J$6:$J$1005,SMALL(IF(checklistPesertaKemenkeu!$AY$6:$AY$1005="Direkomendasikan",ROW($6:$1005)-5),70)),BidangList,0)),INDEX(checklistPesertaKemenkeu!$M$6:$M$1005,SMALL(IF(checklistPesertaKemenkeu!$AY$6:$AY$1005="Direkomendasikan",ROW($6:$1005)-5),70)))&gt;0,COUNTIF(INDIRECT("'KERTAS KERJA'!K"&amp;(SMALL(IF(checklistPesertaKemenkeu!$AY$6:$AY$1005="Direkomendasikan",ROW($6:$1005)-5),70)+5)&amp;":O"&amp;(SMALL(IF(checklistPesertaKemenkeu!$AY$6:$AY$1005="Direkomendasikan",ROW($6:$1005)-5),70)+5)),INDEX(checklistPesertaKemenkeu!$M$6:$M$1005,SMALL(IF(checklistPesertaKemenkeu!$AY$6:$AY$1005="Direkomendasikan",ROW($6:$1005)-5),70)))=1),IFERROR(VLOOKUP(INDEX(checklistPesertaKemenkeu!$M$6:$M$1005,SMALL(IF(checklistPesertaKemenkeu!$AY$6:$AY$1005="Direkomendasikan",ROW($6:$1005)-5),70)),KotaKode,2,0),"-"),"")),"")</f>
        <v/>
      </c>
      <c r="J71" t="str">
        <f t="array" aca="1" ref="J71" ca="1">IFERROR(IF(OR(INDEX(checklistPesertaKemenkeu!$N$6:$N$1005,SMALL(IF(checklistPesertaKemenkeu!$AY$6:$AY$1005="Direkomendasikan",ROW($6:$1005)-5),70))="",INDEX(checklistPesertaKemenkeu!$J$6:$J$1005,SMALL(IF(checklistPesertaKemenkeu!$AY$6:$AY$1005="Direkomendasikan",ROW($6:$1005)-5),70))=""),"",IF(AND(COUNTIF(INDIRECT("K_"&amp;MATCH(INDEX(checklistPesertaKemenkeu!$J$6:$J$1005,SMALL(IF(checklistPesertaKemenkeu!$AY$6:$AY$1005="Direkomendasikan",ROW($6:$1005)-5),70)),BidangList,0)),INDEX(checklistPesertaKemenkeu!$N$6:$N$1005,SMALL(IF(checklistPesertaKemenkeu!$AY$6:$AY$1005="Direkomendasikan",ROW($6:$1005)-5),70)))&gt;0,COUNTIF(INDIRECT("'KERTAS KERJA'!K"&amp;(SMALL(IF(checklistPesertaKemenkeu!$AY$6:$AY$1005="Direkomendasikan",ROW($6:$1005)-5),70)+5)&amp;":O"&amp;(SMALL(IF(checklistPesertaKemenkeu!$AY$6:$AY$1005="Direkomendasikan",ROW($6:$1005)-5),70)+5)),INDEX(checklistPesertaKemenkeu!$N$6:$N$1005,SMALL(IF(checklistPesertaKemenkeu!$AY$6:$AY$1005="Direkomendasikan",ROW($6:$1005)-5),70)))=1),IFERROR(VLOOKUP(INDEX(checklistPesertaKemenkeu!$N$6:$N$1005,SMALL(IF(checklistPesertaKemenkeu!$AY$6:$AY$1005="Direkomendasikan",ROW($6:$1005)-5),70)),KotaKode,2,0),"-"),"")),"")</f>
        <v/>
      </c>
      <c r="K71" t="str">
        <f t="array" aca="1" ref="K71" ca="1">IFERROR(IF(OR(INDEX(checklistPesertaKemenkeu!$O$6:$O$1005,SMALL(IF(checklistPesertaKemenkeu!$AY$6:$AY$1005="Direkomendasikan",ROW($6:$1005)-5),70))="",INDEX(checklistPesertaKemenkeu!$J$6:$J$1005,SMALL(IF(checklistPesertaKemenkeu!$AY$6:$AY$1005="Direkomendasikan",ROW($6:$1005)-5),70))=""),"",IF(AND(COUNTIF(INDIRECT("K_"&amp;MATCH(INDEX(checklistPesertaKemenkeu!$J$6:$J$1005,SMALL(IF(checklistPesertaKemenkeu!$AY$6:$AY$1005="Direkomendasikan",ROW($6:$1005)-5),70)),BidangList,0)),INDEX(checklistPesertaKemenkeu!$O$6:$O$1005,SMALL(IF(checklistPesertaKemenkeu!$AY$6:$AY$1005="Direkomendasikan",ROW($6:$1005)-5),70)))&gt;0,COUNTIF(INDIRECT("'KERTAS KERJA'!K"&amp;(SMALL(IF(checklistPesertaKemenkeu!$AY$6:$AY$1005="Direkomendasikan",ROW($6:$1005)-5),70)+5)&amp;":O"&amp;(SMALL(IF(checklistPesertaKemenkeu!$AY$6:$AY$1005="Direkomendasikan",ROW($6:$1005)-5),70)+5)),INDEX(checklistPesertaKemenkeu!$O$6:$O$1005,SMALL(IF(checklistPesertaKemenkeu!$AY$6:$AY$1005="Direkomendasikan",ROW($6:$1005)-5),70)))=1),IFERROR(VLOOKUP(INDEX(checklistPesertaKemenkeu!$O$6:$O$1005,SMALL(IF(checklistPesertaKemenkeu!$AY$6:$AY$1005="Direkomendasikan",ROW($6:$1005)-5),70)),KotaKode,2,0),"-"),"")),"")</f>
        <v/>
      </c>
      <c r="L71" t="str">
        <f t="array" aca="1" ref="L71" ca="1">IFERROR(IF(OR(INDEX(checklistPesertaKemenkeu!$P$6:$P$1005,SMALL(IF(checklistPesertaKemenkeu!$AY$6:$AY$1005="Direkomendasikan",ROW($6:$1005)-5),70))="",INDEX(checklistPesertaKemenkeu!$J$6:$J$1005,SMALL(IF(checklistPesertaKemenkeu!$AY$6:$AY$1005="Direkomendasikan",ROW($6:$1005)-5),70))=""),"",IF(AND(COUNTIF(INDIRECT("K_"&amp;MATCH(INDEX(checklistPesertaKemenkeu!$J$6:$J$1005,SMALL(IF(checklistPesertaKemenkeu!$AY$6:$AY$1005="Direkomendasikan",ROW($6:$1005)-5),70)),BidangList,0)),INDEX(checklistPesertaKemenkeu!$P$6:$P$1005,SMALL(IF(checklistPesertaKemenkeu!$AY$6:$AY$1005="Direkomendasikan",ROW($6:$1005)-5),70)))&gt;0,COUNTIF(INDIRECT("'KERTAS KERJA'!K"&amp;(SMALL(IF(checklistPesertaKemenkeu!$AY$6:$AY$1005="Direkomendasikan",ROW($6:$1005)-5),70)+5)&amp;":O"&amp;(SMALL(IF(checklistPesertaKemenkeu!$AY$6:$AY$1005="Direkomendasikan",ROW($6:$1005)-5),70)+5)),INDEX(checklistPesertaKemenkeu!$P$6:$P$1005,SMALL(IF(checklistPesertaKemenkeu!$AY$6:$AY$1005="Direkomendasikan",ROW($6:$1005)-5),70)))=1),IFERROR(VLOOKUP(INDEX(checklistPesertaKemenkeu!$P$6:$P$1005,SMALL(IF(checklistPesertaKemenkeu!$AY$6:$AY$1005="Direkomendasikan",ROW($6:$1005)-5),70)),KotaKode,2,0),"-"),"")),"")</f>
        <v/>
      </c>
    </row>
    <row r="72" spans="1:12" ht="15" customHeight="1" x14ac:dyDescent="0.2">
      <c r="A72" t="str">
        <f t="shared" si="1"/>
        <v/>
      </c>
      <c r="B72" t="str">
        <v/>
      </c>
      <c r="C72" s="40" t="str">
        <f t="array" ref="C72">IFERROR(INDEX(checklistPesertaKemenkeu!$F$6:$F$1005,SMALL(IF(checklistPesertaKemenkeu!$AY$6:$AY$1005="Direkomendasikan",ROW($6:$1005)-5),71)),"")</f>
        <v/>
      </c>
      <c r="D72" t="str">
        <f t="array" ref="D72">IFERROR(INDEX(checklistPesertaKemenkeu!$G$6:$G$1005,SMALL(IF(checklistPesertaKemenkeu!$AY$6:$AY$1005="Direkomendasikan",ROW($6:$1005)-5),71)),"")</f>
        <v/>
      </c>
      <c r="E72" t="str">
        <f t="array" ref="E72">IFERROR(INDEX(checklistPesertaKemenkeu!$H$6:$H$1005,SMALL(IF(checklistPesertaKemenkeu!$AY$6:$AY$1005="Direkomendasikan",ROW($6:$1005)-5),71)),"")</f>
        <v/>
      </c>
      <c r="F72" t="str">
        <f t="array" ref="F72">IFERROR(INDEX(checklistPesertaKemenkeu!$I$6:$I$1005,SMALL(IF(checklistPesertaKemenkeu!$AY$6:$AY$1005="Direkomendasikan",ROW($6:$1005)-5),71)),"")</f>
        <v/>
      </c>
      <c r="G72" t="str">
        <f t="array" ref="G72">IFERROR(INDEX(checklistPesertaKemenkeu!$J$6:$J$1005,SMALL(IF(checklistPesertaKemenkeu!$AY$6:$AY$1005="Direkomendasikan",ROW($6:$1005)-5),71)),"")</f>
        <v/>
      </c>
      <c r="H72" t="str">
        <f t="array" aca="1" ref="H72" ca="1">IFERROR(IF(OR(INDEX(checklistPesertaKemenkeu!$L$6:$L$1005,SMALL(IF(checklistPesertaKemenkeu!$AY$6:$AY$1005="Direkomendasikan",ROW($6:$1005)-5),71))="",INDEX(checklistPesertaKemenkeu!$J$6:$J$1005,SMALL(IF(checklistPesertaKemenkeu!$AY$6:$AY$1005="Direkomendasikan",ROW($6:$1005)-5),71))=""),"",IF(AND(COUNTIF(INDIRECT("K_"&amp;MATCH(INDEX(checklistPesertaKemenkeu!$J$6:$J$1005,SMALL(IF(checklistPesertaKemenkeu!$AY$6:$AY$1005="Direkomendasikan",ROW($6:$1005)-5),71)),BidangList,0)),INDEX(checklistPesertaKemenkeu!$L$6:$L$1005,SMALL(IF(checklistPesertaKemenkeu!$AY$6:$AY$1005="Direkomendasikan",ROW($6:$1005)-5),71)))&gt;0,COUNTIF(INDIRECT("'KERTAS KERJA'!K"&amp;(SMALL(IF(checklistPesertaKemenkeu!$AY$6:$AY$1005="Direkomendasikan",ROW($6:$1005)-5),71)+5)&amp;":O"&amp;(SMALL(IF(checklistPesertaKemenkeu!$AY$6:$AY$1005="Direkomendasikan",ROW($6:$1005)-5),71)+5)),INDEX(checklistPesertaKemenkeu!$L$6:$L$1005,SMALL(IF(checklistPesertaKemenkeu!$AY$6:$AY$1005="Direkomendasikan",ROW($6:$1005)-5),71)))=1),IFERROR(VLOOKUP(INDEX(checklistPesertaKemenkeu!$L$6:$L$1005,SMALL(IF(checklistPesertaKemenkeu!$AY$6:$AY$1005="Direkomendasikan",ROW($6:$1005)-5),71)),KotaKode,2,0),"-"),"")),"")</f>
        <v/>
      </c>
      <c r="I72" t="str">
        <f t="array" aca="1" ref="I72" ca="1">IFERROR(IF(OR(INDEX(checklistPesertaKemenkeu!$M$6:$M$1005,SMALL(IF(checklistPesertaKemenkeu!$AY$6:$AY$1005="Direkomendasikan",ROW($6:$1005)-5),71))="",INDEX(checklistPesertaKemenkeu!$J$6:$J$1005,SMALL(IF(checklistPesertaKemenkeu!$AY$6:$AY$1005="Direkomendasikan",ROW($6:$1005)-5),71))=""),"",IF(AND(COUNTIF(INDIRECT("K_"&amp;MATCH(INDEX(checklistPesertaKemenkeu!$J$6:$J$1005,SMALL(IF(checklistPesertaKemenkeu!$AY$6:$AY$1005="Direkomendasikan",ROW($6:$1005)-5),71)),BidangList,0)),INDEX(checklistPesertaKemenkeu!$M$6:$M$1005,SMALL(IF(checklistPesertaKemenkeu!$AY$6:$AY$1005="Direkomendasikan",ROW($6:$1005)-5),71)))&gt;0,COUNTIF(INDIRECT("'KERTAS KERJA'!K"&amp;(SMALL(IF(checklistPesertaKemenkeu!$AY$6:$AY$1005="Direkomendasikan",ROW($6:$1005)-5),71)+5)&amp;":O"&amp;(SMALL(IF(checklistPesertaKemenkeu!$AY$6:$AY$1005="Direkomendasikan",ROW($6:$1005)-5),71)+5)),INDEX(checklistPesertaKemenkeu!$M$6:$M$1005,SMALL(IF(checklistPesertaKemenkeu!$AY$6:$AY$1005="Direkomendasikan",ROW($6:$1005)-5),71)))=1),IFERROR(VLOOKUP(INDEX(checklistPesertaKemenkeu!$M$6:$M$1005,SMALL(IF(checklistPesertaKemenkeu!$AY$6:$AY$1005="Direkomendasikan",ROW($6:$1005)-5),71)),KotaKode,2,0),"-"),"")),"")</f>
        <v/>
      </c>
      <c r="J72" t="str">
        <f t="array" aca="1" ref="J72" ca="1">IFERROR(IF(OR(INDEX(checklistPesertaKemenkeu!$N$6:$N$1005,SMALL(IF(checklistPesertaKemenkeu!$AY$6:$AY$1005="Direkomendasikan",ROW($6:$1005)-5),71))="",INDEX(checklistPesertaKemenkeu!$J$6:$J$1005,SMALL(IF(checklistPesertaKemenkeu!$AY$6:$AY$1005="Direkomendasikan",ROW($6:$1005)-5),71))=""),"",IF(AND(COUNTIF(INDIRECT("K_"&amp;MATCH(INDEX(checklistPesertaKemenkeu!$J$6:$J$1005,SMALL(IF(checklistPesertaKemenkeu!$AY$6:$AY$1005="Direkomendasikan",ROW($6:$1005)-5),71)),BidangList,0)),INDEX(checklistPesertaKemenkeu!$N$6:$N$1005,SMALL(IF(checklistPesertaKemenkeu!$AY$6:$AY$1005="Direkomendasikan",ROW($6:$1005)-5),71)))&gt;0,COUNTIF(INDIRECT("'KERTAS KERJA'!K"&amp;(SMALL(IF(checklistPesertaKemenkeu!$AY$6:$AY$1005="Direkomendasikan",ROW($6:$1005)-5),71)+5)&amp;":O"&amp;(SMALL(IF(checklistPesertaKemenkeu!$AY$6:$AY$1005="Direkomendasikan",ROW($6:$1005)-5),71)+5)),INDEX(checklistPesertaKemenkeu!$N$6:$N$1005,SMALL(IF(checklistPesertaKemenkeu!$AY$6:$AY$1005="Direkomendasikan",ROW($6:$1005)-5),71)))=1),IFERROR(VLOOKUP(INDEX(checklistPesertaKemenkeu!$N$6:$N$1005,SMALL(IF(checklistPesertaKemenkeu!$AY$6:$AY$1005="Direkomendasikan",ROW($6:$1005)-5),71)),KotaKode,2,0),"-"),"")),"")</f>
        <v/>
      </c>
      <c r="K72" t="str">
        <f t="array" aca="1" ref="K72" ca="1">IFERROR(IF(OR(INDEX(checklistPesertaKemenkeu!$O$6:$O$1005,SMALL(IF(checklistPesertaKemenkeu!$AY$6:$AY$1005="Direkomendasikan",ROW($6:$1005)-5),71))="",INDEX(checklistPesertaKemenkeu!$J$6:$J$1005,SMALL(IF(checklistPesertaKemenkeu!$AY$6:$AY$1005="Direkomendasikan",ROW($6:$1005)-5),71))=""),"",IF(AND(COUNTIF(INDIRECT("K_"&amp;MATCH(INDEX(checklistPesertaKemenkeu!$J$6:$J$1005,SMALL(IF(checklistPesertaKemenkeu!$AY$6:$AY$1005="Direkomendasikan",ROW($6:$1005)-5),71)),BidangList,0)),INDEX(checklistPesertaKemenkeu!$O$6:$O$1005,SMALL(IF(checklistPesertaKemenkeu!$AY$6:$AY$1005="Direkomendasikan",ROW($6:$1005)-5),71)))&gt;0,COUNTIF(INDIRECT("'KERTAS KERJA'!K"&amp;(SMALL(IF(checklistPesertaKemenkeu!$AY$6:$AY$1005="Direkomendasikan",ROW($6:$1005)-5),71)+5)&amp;":O"&amp;(SMALL(IF(checklistPesertaKemenkeu!$AY$6:$AY$1005="Direkomendasikan",ROW($6:$1005)-5),71)+5)),INDEX(checklistPesertaKemenkeu!$O$6:$O$1005,SMALL(IF(checklistPesertaKemenkeu!$AY$6:$AY$1005="Direkomendasikan",ROW($6:$1005)-5),71)))=1),IFERROR(VLOOKUP(INDEX(checklistPesertaKemenkeu!$O$6:$O$1005,SMALL(IF(checklistPesertaKemenkeu!$AY$6:$AY$1005="Direkomendasikan",ROW($6:$1005)-5),71)),KotaKode,2,0),"-"),"")),"")</f>
        <v/>
      </c>
      <c r="L72" t="str">
        <f t="array" aca="1" ref="L72" ca="1">IFERROR(IF(OR(INDEX(checklistPesertaKemenkeu!$P$6:$P$1005,SMALL(IF(checklistPesertaKemenkeu!$AY$6:$AY$1005="Direkomendasikan",ROW($6:$1005)-5),71))="",INDEX(checklistPesertaKemenkeu!$J$6:$J$1005,SMALL(IF(checklistPesertaKemenkeu!$AY$6:$AY$1005="Direkomendasikan",ROW($6:$1005)-5),71))=""),"",IF(AND(COUNTIF(INDIRECT("K_"&amp;MATCH(INDEX(checklistPesertaKemenkeu!$J$6:$J$1005,SMALL(IF(checklistPesertaKemenkeu!$AY$6:$AY$1005="Direkomendasikan",ROW($6:$1005)-5),71)),BidangList,0)),INDEX(checklistPesertaKemenkeu!$P$6:$P$1005,SMALL(IF(checklistPesertaKemenkeu!$AY$6:$AY$1005="Direkomendasikan",ROW($6:$1005)-5),71)))&gt;0,COUNTIF(INDIRECT("'KERTAS KERJA'!K"&amp;(SMALL(IF(checklistPesertaKemenkeu!$AY$6:$AY$1005="Direkomendasikan",ROW($6:$1005)-5),71)+5)&amp;":O"&amp;(SMALL(IF(checklistPesertaKemenkeu!$AY$6:$AY$1005="Direkomendasikan",ROW($6:$1005)-5),71)+5)),INDEX(checklistPesertaKemenkeu!$P$6:$P$1005,SMALL(IF(checklistPesertaKemenkeu!$AY$6:$AY$1005="Direkomendasikan",ROW($6:$1005)-5),71)))=1),IFERROR(VLOOKUP(INDEX(checklistPesertaKemenkeu!$P$6:$P$1005,SMALL(IF(checklistPesertaKemenkeu!$AY$6:$AY$1005="Direkomendasikan",ROW($6:$1005)-5),71)),KotaKode,2,0),"-"),"")),"")</f>
        <v/>
      </c>
    </row>
    <row r="73" spans="1:12" ht="15" customHeight="1" x14ac:dyDescent="0.2">
      <c r="A73" t="str">
        <f t="shared" si="1"/>
        <v/>
      </c>
      <c r="B73" t="str">
        <v/>
      </c>
      <c r="C73" s="40" t="str">
        <f t="array" ref="C73">IFERROR(INDEX(checklistPesertaKemenkeu!$F$6:$F$1005,SMALL(IF(checklistPesertaKemenkeu!$AY$6:$AY$1005="Direkomendasikan",ROW($6:$1005)-5),72)),"")</f>
        <v/>
      </c>
      <c r="D73" t="str">
        <f t="array" ref="D73">IFERROR(INDEX(checklistPesertaKemenkeu!$G$6:$G$1005,SMALL(IF(checklistPesertaKemenkeu!$AY$6:$AY$1005="Direkomendasikan",ROW($6:$1005)-5),72)),"")</f>
        <v/>
      </c>
      <c r="E73" t="str">
        <f t="array" ref="E73">IFERROR(INDEX(checklistPesertaKemenkeu!$H$6:$H$1005,SMALL(IF(checklistPesertaKemenkeu!$AY$6:$AY$1005="Direkomendasikan",ROW($6:$1005)-5),72)),"")</f>
        <v/>
      </c>
      <c r="F73" t="str">
        <f t="array" ref="F73">IFERROR(INDEX(checklistPesertaKemenkeu!$I$6:$I$1005,SMALL(IF(checklistPesertaKemenkeu!$AY$6:$AY$1005="Direkomendasikan",ROW($6:$1005)-5),72)),"")</f>
        <v/>
      </c>
      <c r="G73" t="str">
        <f t="array" ref="G73">IFERROR(INDEX(checklistPesertaKemenkeu!$J$6:$J$1005,SMALL(IF(checklistPesertaKemenkeu!$AY$6:$AY$1005="Direkomendasikan",ROW($6:$1005)-5),72)),"")</f>
        <v/>
      </c>
      <c r="H73" t="str">
        <f t="array" aca="1" ref="H73" ca="1">IFERROR(IF(OR(INDEX(checklistPesertaKemenkeu!$L$6:$L$1005,SMALL(IF(checklistPesertaKemenkeu!$AY$6:$AY$1005="Direkomendasikan",ROW($6:$1005)-5),72))="",INDEX(checklistPesertaKemenkeu!$J$6:$J$1005,SMALL(IF(checklistPesertaKemenkeu!$AY$6:$AY$1005="Direkomendasikan",ROW($6:$1005)-5),72))=""),"",IF(AND(COUNTIF(INDIRECT("K_"&amp;MATCH(INDEX(checklistPesertaKemenkeu!$J$6:$J$1005,SMALL(IF(checklistPesertaKemenkeu!$AY$6:$AY$1005="Direkomendasikan",ROW($6:$1005)-5),72)),BidangList,0)),INDEX(checklistPesertaKemenkeu!$L$6:$L$1005,SMALL(IF(checklistPesertaKemenkeu!$AY$6:$AY$1005="Direkomendasikan",ROW($6:$1005)-5),72)))&gt;0,COUNTIF(INDIRECT("'KERTAS KERJA'!K"&amp;(SMALL(IF(checklistPesertaKemenkeu!$AY$6:$AY$1005="Direkomendasikan",ROW($6:$1005)-5),72)+5)&amp;":O"&amp;(SMALL(IF(checklistPesertaKemenkeu!$AY$6:$AY$1005="Direkomendasikan",ROW($6:$1005)-5),72)+5)),INDEX(checklistPesertaKemenkeu!$L$6:$L$1005,SMALL(IF(checklistPesertaKemenkeu!$AY$6:$AY$1005="Direkomendasikan",ROW($6:$1005)-5),72)))=1),IFERROR(VLOOKUP(INDEX(checklistPesertaKemenkeu!$L$6:$L$1005,SMALL(IF(checklistPesertaKemenkeu!$AY$6:$AY$1005="Direkomendasikan",ROW($6:$1005)-5),72)),KotaKode,2,0),"-"),"")),"")</f>
        <v/>
      </c>
      <c r="I73" t="str">
        <f t="array" aca="1" ref="I73" ca="1">IFERROR(IF(OR(INDEX(checklistPesertaKemenkeu!$M$6:$M$1005,SMALL(IF(checklistPesertaKemenkeu!$AY$6:$AY$1005="Direkomendasikan",ROW($6:$1005)-5),72))="",INDEX(checklistPesertaKemenkeu!$J$6:$J$1005,SMALL(IF(checklistPesertaKemenkeu!$AY$6:$AY$1005="Direkomendasikan",ROW($6:$1005)-5),72))=""),"",IF(AND(COUNTIF(INDIRECT("K_"&amp;MATCH(INDEX(checklistPesertaKemenkeu!$J$6:$J$1005,SMALL(IF(checklistPesertaKemenkeu!$AY$6:$AY$1005="Direkomendasikan",ROW($6:$1005)-5),72)),BidangList,0)),INDEX(checklistPesertaKemenkeu!$M$6:$M$1005,SMALL(IF(checklistPesertaKemenkeu!$AY$6:$AY$1005="Direkomendasikan",ROW($6:$1005)-5),72)))&gt;0,COUNTIF(INDIRECT("'KERTAS KERJA'!K"&amp;(SMALL(IF(checklistPesertaKemenkeu!$AY$6:$AY$1005="Direkomendasikan",ROW($6:$1005)-5),72)+5)&amp;":O"&amp;(SMALL(IF(checklistPesertaKemenkeu!$AY$6:$AY$1005="Direkomendasikan",ROW($6:$1005)-5),72)+5)),INDEX(checklistPesertaKemenkeu!$M$6:$M$1005,SMALL(IF(checklistPesertaKemenkeu!$AY$6:$AY$1005="Direkomendasikan",ROW($6:$1005)-5),72)))=1),IFERROR(VLOOKUP(INDEX(checklistPesertaKemenkeu!$M$6:$M$1005,SMALL(IF(checklistPesertaKemenkeu!$AY$6:$AY$1005="Direkomendasikan",ROW($6:$1005)-5),72)),KotaKode,2,0),"-"),"")),"")</f>
        <v/>
      </c>
      <c r="J73" t="str">
        <f t="array" aca="1" ref="J73" ca="1">IFERROR(IF(OR(INDEX(checklistPesertaKemenkeu!$N$6:$N$1005,SMALL(IF(checklistPesertaKemenkeu!$AY$6:$AY$1005="Direkomendasikan",ROW($6:$1005)-5),72))="",INDEX(checklistPesertaKemenkeu!$J$6:$J$1005,SMALL(IF(checklistPesertaKemenkeu!$AY$6:$AY$1005="Direkomendasikan",ROW($6:$1005)-5),72))=""),"",IF(AND(COUNTIF(INDIRECT("K_"&amp;MATCH(INDEX(checklistPesertaKemenkeu!$J$6:$J$1005,SMALL(IF(checklistPesertaKemenkeu!$AY$6:$AY$1005="Direkomendasikan",ROW($6:$1005)-5),72)),BidangList,0)),INDEX(checklistPesertaKemenkeu!$N$6:$N$1005,SMALL(IF(checklistPesertaKemenkeu!$AY$6:$AY$1005="Direkomendasikan",ROW($6:$1005)-5),72)))&gt;0,COUNTIF(INDIRECT("'KERTAS KERJA'!K"&amp;(SMALL(IF(checklistPesertaKemenkeu!$AY$6:$AY$1005="Direkomendasikan",ROW($6:$1005)-5),72)+5)&amp;":O"&amp;(SMALL(IF(checklistPesertaKemenkeu!$AY$6:$AY$1005="Direkomendasikan",ROW($6:$1005)-5),72)+5)),INDEX(checklistPesertaKemenkeu!$N$6:$N$1005,SMALL(IF(checklistPesertaKemenkeu!$AY$6:$AY$1005="Direkomendasikan",ROW($6:$1005)-5),72)))=1),IFERROR(VLOOKUP(INDEX(checklistPesertaKemenkeu!$N$6:$N$1005,SMALL(IF(checklistPesertaKemenkeu!$AY$6:$AY$1005="Direkomendasikan",ROW($6:$1005)-5),72)),KotaKode,2,0),"-"),"")),"")</f>
        <v/>
      </c>
      <c r="K73" t="str">
        <f t="array" aca="1" ref="K73" ca="1">IFERROR(IF(OR(INDEX(checklistPesertaKemenkeu!$O$6:$O$1005,SMALL(IF(checklistPesertaKemenkeu!$AY$6:$AY$1005="Direkomendasikan",ROW($6:$1005)-5),72))="",INDEX(checklistPesertaKemenkeu!$J$6:$J$1005,SMALL(IF(checklistPesertaKemenkeu!$AY$6:$AY$1005="Direkomendasikan",ROW($6:$1005)-5),72))=""),"",IF(AND(COUNTIF(INDIRECT("K_"&amp;MATCH(INDEX(checklistPesertaKemenkeu!$J$6:$J$1005,SMALL(IF(checklistPesertaKemenkeu!$AY$6:$AY$1005="Direkomendasikan",ROW($6:$1005)-5),72)),BidangList,0)),INDEX(checklistPesertaKemenkeu!$O$6:$O$1005,SMALL(IF(checklistPesertaKemenkeu!$AY$6:$AY$1005="Direkomendasikan",ROW($6:$1005)-5),72)))&gt;0,COUNTIF(INDIRECT("'KERTAS KERJA'!K"&amp;(SMALL(IF(checklistPesertaKemenkeu!$AY$6:$AY$1005="Direkomendasikan",ROW($6:$1005)-5),72)+5)&amp;":O"&amp;(SMALL(IF(checklistPesertaKemenkeu!$AY$6:$AY$1005="Direkomendasikan",ROW($6:$1005)-5),72)+5)),INDEX(checklistPesertaKemenkeu!$O$6:$O$1005,SMALL(IF(checklistPesertaKemenkeu!$AY$6:$AY$1005="Direkomendasikan",ROW($6:$1005)-5),72)))=1),IFERROR(VLOOKUP(INDEX(checklistPesertaKemenkeu!$O$6:$O$1005,SMALL(IF(checklistPesertaKemenkeu!$AY$6:$AY$1005="Direkomendasikan",ROW($6:$1005)-5),72)),KotaKode,2,0),"-"),"")),"")</f>
        <v/>
      </c>
      <c r="L73" t="str">
        <f t="array" aca="1" ref="L73" ca="1">IFERROR(IF(OR(INDEX(checklistPesertaKemenkeu!$P$6:$P$1005,SMALL(IF(checklistPesertaKemenkeu!$AY$6:$AY$1005="Direkomendasikan",ROW($6:$1005)-5),72))="",INDEX(checklistPesertaKemenkeu!$J$6:$J$1005,SMALL(IF(checklistPesertaKemenkeu!$AY$6:$AY$1005="Direkomendasikan",ROW($6:$1005)-5),72))=""),"",IF(AND(COUNTIF(INDIRECT("K_"&amp;MATCH(INDEX(checklistPesertaKemenkeu!$J$6:$J$1005,SMALL(IF(checklistPesertaKemenkeu!$AY$6:$AY$1005="Direkomendasikan",ROW($6:$1005)-5),72)),BidangList,0)),INDEX(checklistPesertaKemenkeu!$P$6:$P$1005,SMALL(IF(checklistPesertaKemenkeu!$AY$6:$AY$1005="Direkomendasikan",ROW($6:$1005)-5),72)))&gt;0,COUNTIF(INDIRECT("'KERTAS KERJA'!K"&amp;(SMALL(IF(checklistPesertaKemenkeu!$AY$6:$AY$1005="Direkomendasikan",ROW($6:$1005)-5),72)+5)&amp;":O"&amp;(SMALL(IF(checklistPesertaKemenkeu!$AY$6:$AY$1005="Direkomendasikan",ROW($6:$1005)-5),72)+5)),INDEX(checklistPesertaKemenkeu!$P$6:$P$1005,SMALL(IF(checklistPesertaKemenkeu!$AY$6:$AY$1005="Direkomendasikan",ROW($6:$1005)-5),72)))=1),IFERROR(VLOOKUP(INDEX(checklistPesertaKemenkeu!$P$6:$P$1005,SMALL(IF(checklistPesertaKemenkeu!$AY$6:$AY$1005="Direkomendasikan",ROW($6:$1005)-5),72)),KotaKode,2,0),"-"),"")),"")</f>
        <v/>
      </c>
    </row>
    <row r="74" spans="1:12" ht="15" customHeight="1" x14ac:dyDescent="0.2">
      <c r="A74" t="str">
        <f t="shared" si="1"/>
        <v/>
      </c>
      <c r="B74" t="str">
        <v/>
      </c>
      <c r="C74" s="40" t="str">
        <f t="array" ref="C74">IFERROR(INDEX(checklistPesertaKemenkeu!$F$6:$F$1005,SMALL(IF(checklistPesertaKemenkeu!$AY$6:$AY$1005="Direkomendasikan",ROW($6:$1005)-5),73)),"")</f>
        <v/>
      </c>
      <c r="D74" t="str">
        <f t="array" ref="D74">IFERROR(INDEX(checklistPesertaKemenkeu!$G$6:$G$1005,SMALL(IF(checklistPesertaKemenkeu!$AY$6:$AY$1005="Direkomendasikan",ROW($6:$1005)-5),73)),"")</f>
        <v/>
      </c>
      <c r="E74" t="str">
        <f t="array" ref="E74">IFERROR(INDEX(checklistPesertaKemenkeu!$H$6:$H$1005,SMALL(IF(checklistPesertaKemenkeu!$AY$6:$AY$1005="Direkomendasikan",ROW($6:$1005)-5),73)),"")</f>
        <v/>
      </c>
      <c r="F74" t="str">
        <f t="array" ref="F74">IFERROR(INDEX(checklistPesertaKemenkeu!$I$6:$I$1005,SMALL(IF(checklistPesertaKemenkeu!$AY$6:$AY$1005="Direkomendasikan",ROW($6:$1005)-5),73)),"")</f>
        <v/>
      </c>
      <c r="G74" t="str">
        <f t="array" ref="G74">IFERROR(INDEX(checklistPesertaKemenkeu!$J$6:$J$1005,SMALL(IF(checklistPesertaKemenkeu!$AY$6:$AY$1005="Direkomendasikan",ROW($6:$1005)-5),73)),"")</f>
        <v/>
      </c>
      <c r="H74" t="str">
        <f t="array" aca="1" ref="H74" ca="1">IFERROR(IF(OR(INDEX(checklistPesertaKemenkeu!$L$6:$L$1005,SMALL(IF(checklistPesertaKemenkeu!$AY$6:$AY$1005="Direkomendasikan",ROW($6:$1005)-5),73))="",INDEX(checklistPesertaKemenkeu!$J$6:$J$1005,SMALL(IF(checklistPesertaKemenkeu!$AY$6:$AY$1005="Direkomendasikan",ROW($6:$1005)-5),73))=""),"",IF(AND(COUNTIF(INDIRECT("K_"&amp;MATCH(INDEX(checklistPesertaKemenkeu!$J$6:$J$1005,SMALL(IF(checklistPesertaKemenkeu!$AY$6:$AY$1005="Direkomendasikan",ROW($6:$1005)-5),73)),BidangList,0)),INDEX(checklistPesertaKemenkeu!$L$6:$L$1005,SMALL(IF(checklistPesertaKemenkeu!$AY$6:$AY$1005="Direkomendasikan",ROW($6:$1005)-5),73)))&gt;0,COUNTIF(INDIRECT("'KERTAS KERJA'!K"&amp;(SMALL(IF(checklistPesertaKemenkeu!$AY$6:$AY$1005="Direkomendasikan",ROW($6:$1005)-5),73)+5)&amp;":O"&amp;(SMALL(IF(checklistPesertaKemenkeu!$AY$6:$AY$1005="Direkomendasikan",ROW($6:$1005)-5),73)+5)),INDEX(checklistPesertaKemenkeu!$L$6:$L$1005,SMALL(IF(checklistPesertaKemenkeu!$AY$6:$AY$1005="Direkomendasikan",ROW($6:$1005)-5),73)))=1),IFERROR(VLOOKUP(INDEX(checklistPesertaKemenkeu!$L$6:$L$1005,SMALL(IF(checklistPesertaKemenkeu!$AY$6:$AY$1005="Direkomendasikan",ROW($6:$1005)-5),73)),KotaKode,2,0),"-"),"")),"")</f>
        <v/>
      </c>
      <c r="I74" t="str">
        <f t="array" aca="1" ref="I74" ca="1">IFERROR(IF(OR(INDEX(checklistPesertaKemenkeu!$M$6:$M$1005,SMALL(IF(checklistPesertaKemenkeu!$AY$6:$AY$1005="Direkomendasikan",ROW($6:$1005)-5),73))="",INDEX(checklistPesertaKemenkeu!$J$6:$J$1005,SMALL(IF(checklistPesertaKemenkeu!$AY$6:$AY$1005="Direkomendasikan",ROW($6:$1005)-5),73))=""),"",IF(AND(COUNTIF(INDIRECT("K_"&amp;MATCH(INDEX(checklistPesertaKemenkeu!$J$6:$J$1005,SMALL(IF(checklistPesertaKemenkeu!$AY$6:$AY$1005="Direkomendasikan",ROW($6:$1005)-5),73)),BidangList,0)),INDEX(checklistPesertaKemenkeu!$M$6:$M$1005,SMALL(IF(checklistPesertaKemenkeu!$AY$6:$AY$1005="Direkomendasikan",ROW($6:$1005)-5),73)))&gt;0,COUNTIF(INDIRECT("'KERTAS KERJA'!K"&amp;(SMALL(IF(checklistPesertaKemenkeu!$AY$6:$AY$1005="Direkomendasikan",ROW($6:$1005)-5),73)+5)&amp;":O"&amp;(SMALL(IF(checklistPesertaKemenkeu!$AY$6:$AY$1005="Direkomendasikan",ROW($6:$1005)-5),73)+5)),INDEX(checklistPesertaKemenkeu!$M$6:$M$1005,SMALL(IF(checklistPesertaKemenkeu!$AY$6:$AY$1005="Direkomendasikan",ROW($6:$1005)-5),73)))=1),IFERROR(VLOOKUP(INDEX(checklistPesertaKemenkeu!$M$6:$M$1005,SMALL(IF(checklistPesertaKemenkeu!$AY$6:$AY$1005="Direkomendasikan",ROW($6:$1005)-5),73)),KotaKode,2,0),"-"),"")),"")</f>
        <v/>
      </c>
      <c r="J74" t="str">
        <f t="array" aca="1" ref="J74" ca="1">IFERROR(IF(OR(INDEX(checklistPesertaKemenkeu!$N$6:$N$1005,SMALL(IF(checklistPesertaKemenkeu!$AY$6:$AY$1005="Direkomendasikan",ROW($6:$1005)-5),73))="",INDEX(checklistPesertaKemenkeu!$J$6:$J$1005,SMALL(IF(checklistPesertaKemenkeu!$AY$6:$AY$1005="Direkomendasikan",ROW($6:$1005)-5),73))=""),"",IF(AND(COUNTIF(INDIRECT("K_"&amp;MATCH(INDEX(checklistPesertaKemenkeu!$J$6:$J$1005,SMALL(IF(checklistPesertaKemenkeu!$AY$6:$AY$1005="Direkomendasikan",ROW($6:$1005)-5),73)),BidangList,0)),INDEX(checklistPesertaKemenkeu!$N$6:$N$1005,SMALL(IF(checklistPesertaKemenkeu!$AY$6:$AY$1005="Direkomendasikan",ROW($6:$1005)-5),73)))&gt;0,COUNTIF(INDIRECT("'KERTAS KERJA'!K"&amp;(SMALL(IF(checklistPesertaKemenkeu!$AY$6:$AY$1005="Direkomendasikan",ROW($6:$1005)-5),73)+5)&amp;":O"&amp;(SMALL(IF(checklistPesertaKemenkeu!$AY$6:$AY$1005="Direkomendasikan",ROW($6:$1005)-5),73)+5)),INDEX(checklistPesertaKemenkeu!$N$6:$N$1005,SMALL(IF(checklistPesertaKemenkeu!$AY$6:$AY$1005="Direkomendasikan",ROW($6:$1005)-5),73)))=1),IFERROR(VLOOKUP(INDEX(checklistPesertaKemenkeu!$N$6:$N$1005,SMALL(IF(checklistPesertaKemenkeu!$AY$6:$AY$1005="Direkomendasikan",ROW($6:$1005)-5),73)),KotaKode,2,0),"-"),"")),"")</f>
        <v/>
      </c>
      <c r="K74" t="str">
        <f t="array" aca="1" ref="K74" ca="1">IFERROR(IF(OR(INDEX(checklistPesertaKemenkeu!$O$6:$O$1005,SMALL(IF(checklistPesertaKemenkeu!$AY$6:$AY$1005="Direkomendasikan",ROW($6:$1005)-5),73))="",INDEX(checklistPesertaKemenkeu!$J$6:$J$1005,SMALL(IF(checklistPesertaKemenkeu!$AY$6:$AY$1005="Direkomendasikan",ROW($6:$1005)-5),73))=""),"",IF(AND(COUNTIF(INDIRECT("K_"&amp;MATCH(INDEX(checklistPesertaKemenkeu!$J$6:$J$1005,SMALL(IF(checklistPesertaKemenkeu!$AY$6:$AY$1005="Direkomendasikan",ROW($6:$1005)-5),73)),BidangList,0)),INDEX(checklistPesertaKemenkeu!$O$6:$O$1005,SMALL(IF(checklistPesertaKemenkeu!$AY$6:$AY$1005="Direkomendasikan",ROW($6:$1005)-5),73)))&gt;0,COUNTIF(INDIRECT("'KERTAS KERJA'!K"&amp;(SMALL(IF(checklistPesertaKemenkeu!$AY$6:$AY$1005="Direkomendasikan",ROW($6:$1005)-5),73)+5)&amp;":O"&amp;(SMALL(IF(checklistPesertaKemenkeu!$AY$6:$AY$1005="Direkomendasikan",ROW($6:$1005)-5),73)+5)),INDEX(checklistPesertaKemenkeu!$O$6:$O$1005,SMALL(IF(checklistPesertaKemenkeu!$AY$6:$AY$1005="Direkomendasikan",ROW($6:$1005)-5),73)))=1),IFERROR(VLOOKUP(INDEX(checklistPesertaKemenkeu!$O$6:$O$1005,SMALL(IF(checklistPesertaKemenkeu!$AY$6:$AY$1005="Direkomendasikan",ROW($6:$1005)-5),73)),KotaKode,2,0),"-"),"")),"")</f>
        <v/>
      </c>
      <c r="L74" t="str">
        <f t="array" aca="1" ref="L74" ca="1">IFERROR(IF(OR(INDEX(checklistPesertaKemenkeu!$P$6:$P$1005,SMALL(IF(checklistPesertaKemenkeu!$AY$6:$AY$1005="Direkomendasikan",ROW($6:$1005)-5),73))="",INDEX(checklistPesertaKemenkeu!$J$6:$J$1005,SMALL(IF(checklistPesertaKemenkeu!$AY$6:$AY$1005="Direkomendasikan",ROW($6:$1005)-5),73))=""),"",IF(AND(COUNTIF(INDIRECT("K_"&amp;MATCH(INDEX(checklistPesertaKemenkeu!$J$6:$J$1005,SMALL(IF(checklistPesertaKemenkeu!$AY$6:$AY$1005="Direkomendasikan",ROW($6:$1005)-5),73)),BidangList,0)),INDEX(checklistPesertaKemenkeu!$P$6:$P$1005,SMALL(IF(checklistPesertaKemenkeu!$AY$6:$AY$1005="Direkomendasikan",ROW($6:$1005)-5),73)))&gt;0,COUNTIF(INDIRECT("'KERTAS KERJA'!K"&amp;(SMALL(IF(checklistPesertaKemenkeu!$AY$6:$AY$1005="Direkomendasikan",ROW($6:$1005)-5),73)+5)&amp;":O"&amp;(SMALL(IF(checklistPesertaKemenkeu!$AY$6:$AY$1005="Direkomendasikan",ROW($6:$1005)-5),73)+5)),INDEX(checklistPesertaKemenkeu!$P$6:$P$1005,SMALL(IF(checklistPesertaKemenkeu!$AY$6:$AY$1005="Direkomendasikan",ROW($6:$1005)-5),73)))=1),IFERROR(VLOOKUP(INDEX(checklistPesertaKemenkeu!$P$6:$P$1005,SMALL(IF(checklistPesertaKemenkeu!$AY$6:$AY$1005="Direkomendasikan",ROW($6:$1005)-5),73)),KotaKode,2,0),"-"),"")),"")</f>
        <v/>
      </c>
    </row>
    <row r="75" spans="1:12" ht="15" customHeight="1" x14ac:dyDescent="0.2">
      <c r="A75" t="str">
        <f t="shared" si="1"/>
        <v/>
      </c>
      <c r="B75" t="str">
        <v/>
      </c>
      <c r="C75" s="40" t="str">
        <f t="array" ref="C75">IFERROR(INDEX(checklistPesertaKemenkeu!$F$6:$F$1005,SMALL(IF(checklistPesertaKemenkeu!$AY$6:$AY$1005="Direkomendasikan",ROW($6:$1005)-5),74)),"")</f>
        <v/>
      </c>
      <c r="D75" t="str">
        <f t="array" ref="D75">IFERROR(INDEX(checklistPesertaKemenkeu!$G$6:$G$1005,SMALL(IF(checklistPesertaKemenkeu!$AY$6:$AY$1005="Direkomendasikan",ROW($6:$1005)-5),74)),"")</f>
        <v/>
      </c>
      <c r="E75" t="str">
        <f t="array" ref="E75">IFERROR(INDEX(checklistPesertaKemenkeu!$H$6:$H$1005,SMALL(IF(checklistPesertaKemenkeu!$AY$6:$AY$1005="Direkomendasikan",ROW($6:$1005)-5),74)),"")</f>
        <v/>
      </c>
      <c r="F75" t="str">
        <f t="array" ref="F75">IFERROR(INDEX(checklistPesertaKemenkeu!$I$6:$I$1005,SMALL(IF(checklistPesertaKemenkeu!$AY$6:$AY$1005="Direkomendasikan",ROW($6:$1005)-5),74)),"")</f>
        <v/>
      </c>
      <c r="G75" t="str">
        <f t="array" ref="G75">IFERROR(INDEX(checklistPesertaKemenkeu!$J$6:$J$1005,SMALL(IF(checklistPesertaKemenkeu!$AY$6:$AY$1005="Direkomendasikan",ROW($6:$1005)-5),74)),"")</f>
        <v/>
      </c>
      <c r="H75" t="str">
        <f t="array" aca="1" ref="H75" ca="1">IFERROR(IF(OR(INDEX(checklistPesertaKemenkeu!$L$6:$L$1005,SMALL(IF(checklistPesertaKemenkeu!$AY$6:$AY$1005="Direkomendasikan",ROW($6:$1005)-5),74))="",INDEX(checklistPesertaKemenkeu!$J$6:$J$1005,SMALL(IF(checklistPesertaKemenkeu!$AY$6:$AY$1005="Direkomendasikan",ROW($6:$1005)-5),74))=""),"",IF(AND(COUNTIF(INDIRECT("K_"&amp;MATCH(INDEX(checklistPesertaKemenkeu!$J$6:$J$1005,SMALL(IF(checklistPesertaKemenkeu!$AY$6:$AY$1005="Direkomendasikan",ROW($6:$1005)-5),74)),BidangList,0)),INDEX(checklistPesertaKemenkeu!$L$6:$L$1005,SMALL(IF(checklistPesertaKemenkeu!$AY$6:$AY$1005="Direkomendasikan",ROW($6:$1005)-5),74)))&gt;0,COUNTIF(INDIRECT("'KERTAS KERJA'!K"&amp;(SMALL(IF(checklistPesertaKemenkeu!$AY$6:$AY$1005="Direkomendasikan",ROW($6:$1005)-5),74)+5)&amp;":O"&amp;(SMALL(IF(checklistPesertaKemenkeu!$AY$6:$AY$1005="Direkomendasikan",ROW($6:$1005)-5),74)+5)),INDEX(checklistPesertaKemenkeu!$L$6:$L$1005,SMALL(IF(checklistPesertaKemenkeu!$AY$6:$AY$1005="Direkomendasikan",ROW($6:$1005)-5),74)))=1),IFERROR(VLOOKUP(INDEX(checklistPesertaKemenkeu!$L$6:$L$1005,SMALL(IF(checklistPesertaKemenkeu!$AY$6:$AY$1005="Direkomendasikan",ROW($6:$1005)-5),74)),KotaKode,2,0),"-"),"")),"")</f>
        <v/>
      </c>
      <c r="I75" t="str">
        <f t="array" aca="1" ref="I75" ca="1">IFERROR(IF(OR(INDEX(checklistPesertaKemenkeu!$M$6:$M$1005,SMALL(IF(checklistPesertaKemenkeu!$AY$6:$AY$1005="Direkomendasikan",ROW($6:$1005)-5),74))="",INDEX(checklistPesertaKemenkeu!$J$6:$J$1005,SMALL(IF(checklistPesertaKemenkeu!$AY$6:$AY$1005="Direkomendasikan",ROW($6:$1005)-5),74))=""),"",IF(AND(COUNTIF(INDIRECT("K_"&amp;MATCH(INDEX(checklistPesertaKemenkeu!$J$6:$J$1005,SMALL(IF(checklistPesertaKemenkeu!$AY$6:$AY$1005="Direkomendasikan",ROW($6:$1005)-5),74)),BidangList,0)),INDEX(checklistPesertaKemenkeu!$M$6:$M$1005,SMALL(IF(checklistPesertaKemenkeu!$AY$6:$AY$1005="Direkomendasikan",ROW($6:$1005)-5),74)))&gt;0,COUNTIF(INDIRECT("'KERTAS KERJA'!K"&amp;(SMALL(IF(checklistPesertaKemenkeu!$AY$6:$AY$1005="Direkomendasikan",ROW($6:$1005)-5),74)+5)&amp;":O"&amp;(SMALL(IF(checklistPesertaKemenkeu!$AY$6:$AY$1005="Direkomendasikan",ROW($6:$1005)-5),74)+5)),INDEX(checklistPesertaKemenkeu!$M$6:$M$1005,SMALL(IF(checklistPesertaKemenkeu!$AY$6:$AY$1005="Direkomendasikan",ROW($6:$1005)-5),74)))=1),IFERROR(VLOOKUP(INDEX(checklistPesertaKemenkeu!$M$6:$M$1005,SMALL(IF(checklistPesertaKemenkeu!$AY$6:$AY$1005="Direkomendasikan",ROW($6:$1005)-5),74)),KotaKode,2,0),"-"),"")),"")</f>
        <v/>
      </c>
      <c r="J75" t="str">
        <f t="array" aca="1" ref="J75" ca="1">IFERROR(IF(OR(INDEX(checklistPesertaKemenkeu!$N$6:$N$1005,SMALL(IF(checklistPesertaKemenkeu!$AY$6:$AY$1005="Direkomendasikan",ROW($6:$1005)-5),74))="",INDEX(checklistPesertaKemenkeu!$J$6:$J$1005,SMALL(IF(checklistPesertaKemenkeu!$AY$6:$AY$1005="Direkomendasikan",ROW($6:$1005)-5),74))=""),"",IF(AND(COUNTIF(INDIRECT("K_"&amp;MATCH(INDEX(checklistPesertaKemenkeu!$J$6:$J$1005,SMALL(IF(checklistPesertaKemenkeu!$AY$6:$AY$1005="Direkomendasikan",ROW($6:$1005)-5),74)),BidangList,0)),INDEX(checklistPesertaKemenkeu!$N$6:$N$1005,SMALL(IF(checklistPesertaKemenkeu!$AY$6:$AY$1005="Direkomendasikan",ROW($6:$1005)-5),74)))&gt;0,COUNTIF(INDIRECT("'KERTAS KERJA'!K"&amp;(SMALL(IF(checklistPesertaKemenkeu!$AY$6:$AY$1005="Direkomendasikan",ROW($6:$1005)-5),74)+5)&amp;":O"&amp;(SMALL(IF(checklistPesertaKemenkeu!$AY$6:$AY$1005="Direkomendasikan",ROW($6:$1005)-5),74)+5)),INDEX(checklistPesertaKemenkeu!$N$6:$N$1005,SMALL(IF(checklistPesertaKemenkeu!$AY$6:$AY$1005="Direkomendasikan",ROW($6:$1005)-5),74)))=1),IFERROR(VLOOKUP(INDEX(checklistPesertaKemenkeu!$N$6:$N$1005,SMALL(IF(checklistPesertaKemenkeu!$AY$6:$AY$1005="Direkomendasikan",ROW($6:$1005)-5),74)),KotaKode,2,0),"-"),"")),"")</f>
        <v/>
      </c>
      <c r="K75" t="str">
        <f t="array" aca="1" ref="K75" ca="1">IFERROR(IF(OR(INDEX(checklistPesertaKemenkeu!$O$6:$O$1005,SMALL(IF(checklistPesertaKemenkeu!$AY$6:$AY$1005="Direkomendasikan",ROW($6:$1005)-5),74))="",INDEX(checklistPesertaKemenkeu!$J$6:$J$1005,SMALL(IF(checklistPesertaKemenkeu!$AY$6:$AY$1005="Direkomendasikan",ROW($6:$1005)-5),74))=""),"",IF(AND(COUNTIF(INDIRECT("K_"&amp;MATCH(INDEX(checklistPesertaKemenkeu!$J$6:$J$1005,SMALL(IF(checklistPesertaKemenkeu!$AY$6:$AY$1005="Direkomendasikan",ROW($6:$1005)-5),74)),BidangList,0)),INDEX(checklistPesertaKemenkeu!$O$6:$O$1005,SMALL(IF(checklistPesertaKemenkeu!$AY$6:$AY$1005="Direkomendasikan",ROW($6:$1005)-5),74)))&gt;0,COUNTIF(INDIRECT("'KERTAS KERJA'!K"&amp;(SMALL(IF(checklistPesertaKemenkeu!$AY$6:$AY$1005="Direkomendasikan",ROW($6:$1005)-5),74)+5)&amp;":O"&amp;(SMALL(IF(checklistPesertaKemenkeu!$AY$6:$AY$1005="Direkomendasikan",ROW($6:$1005)-5),74)+5)),INDEX(checklistPesertaKemenkeu!$O$6:$O$1005,SMALL(IF(checklistPesertaKemenkeu!$AY$6:$AY$1005="Direkomendasikan",ROW($6:$1005)-5),74)))=1),IFERROR(VLOOKUP(INDEX(checklistPesertaKemenkeu!$O$6:$O$1005,SMALL(IF(checklistPesertaKemenkeu!$AY$6:$AY$1005="Direkomendasikan",ROW($6:$1005)-5),74)),KotaKode,2,0),"-"),"")),"")</f>
        <v/>
      </c>
      <c r="L75" t="str">
        <f t="array" aca="1" ref="L75" ca="1">IFERROR(IF(OR(INDEX(checklistPesertaKemenkeu!$P$6:$P$1005,SMALL(IF(checklistPesertaKemenkeu!$AY$6:$AY$1005="Direkomendasikan",ROW($6:$1005)-5),74))="",INDEX(checklistPesertaKemenkeu!$J$6:$J$1005,SMALL(IF(checklistPesertaKemenkeu!$AY$6:$AY$1005="Direkomendasikan",ROW($6:$1005)-5),74))=""),"",IF(AND(COUNTIF(INDIRECT("K_"&amp;MATCH(INDEX(checklistPesertaKemenkeu!$J$6:$J$1005,SMALL(IF(checklistPesertaKemenkeu!$AY$6:$AY$1005="Direkomendasikan",ROW($6:$1005)-5),74)),BidangList,0)),INDEX(checklistPesertaKemenkeu!$P$6:$P$1005,SMALL(IF(checklistPesertaKemenkeu!$AY$6:$AY$1005="Direkomendasikan",ROW($6:$1005)-5),74)))&gt;0,COUNTIF(INDIRECT("'KERTAS KERJA'!K"&amp;(SMALL(IF(checklistPesertaKemenkeu!$AY$6:$AY$1005="Direkomendasikan",ROW($6:$1005)-5),74)+5)&amp;":O"&amp;(SMALL(IF(checklistPesertaKemenkeu!$AY$6:$AY$1005="Direkomendasikan",ROW($6:$1005)-5),74)+5)),INDEX(checklistPesertaKemenkeu!$P$6:$P$1005,SMALL(IF(checklistPesertaKemenkeu!$AY$6:$AY$1005="Direkomendasikan",ROW($6:$1005)-5),74)))=1),IFERROR(VLOOKUP(INDEX(checklistPesertaKemenkeu!$P$6:$P$1005,SMALL(IF(checklistPesertaKemenkeu!$AY$6:$AY$1005="Direkomendasikan",ROW($6:$1005)-5),74)),KotaKode,2,0),"-"),"")),"")</f>
        <v/>
      </c>
    </row>
    <row r="76" spans="1:12" ht="15" customHeight="1" x14ac:dyDescent="0.2">
      <c r="A76" t="str">
        <f t="shared" si="1"/>
        <v/>
      </c>
      <c r="B76" t="str">
        <v/>
      </c>
      <c r="C76" s="40" t="str">
        <f t="array" ref="C76">IFERROR(INDEX(checklistPesertaKemenkeu!$F$6:$F$1005,SMALL(IF(checklistPesertaKemenkeu!$AY$6:$AY$1005="Direkomendasikan",ROW($6:$1005)-5),75)),"")</f>
        <v/>
      </c>
      <c r="D76" t="str">
        <f t="array" ref="D76">IFERROR(INDEX(checklistPesertaKemenkeu!$G$6:$G$1005,SMALL(IF(checklistPesertaKemenkeu!$AY$6:$AY$1005="Direkomendasikan",ROW($6:$1005)-5),75)),"")</f>
        <v/>
      </c>
      <c r="E76" t="str">
        <f t="array" ref="E76">IFERROR(INDEX(checklistPesertaKemenkeu!$H$6:$H$1005,SMALL(IF(checklistPesertaKemenkeu!$AY$6:$AY$1005="Direkomendasikan",ROW($6:$1005)-5),75)),"")</f>
        <v/>
      </c>
      <c r="F76" t="str">
        <f t="array" ref="F76">IFERROR(INDEX(checklistPesertaKemenkeu!$I$6:$I$1005,SMALL(IF(checklistPesertaKemenkeu!$AY$6:$AY$1005="Direkomendasikan",ROW($6:$1005)-5),75)),"")</f>
        <v/>
      </c>
      <c r="G76" t="str">
        <f t="array" ref="G76">IFERROR(INDEX(checklistPesertaKemenkeu!$J$6:$J$1005,SMALL(IF(checklistPesertaKemenkeu!$AY$6:$AY$1005="Direkomendasikan",ROW($6:$1005)-5),75)),"")</f>
        <v/>
      </c>
      <c r="H76" t="str">
        <f t="array" aca="1" ref="H76" ca="1">IFERROR(IF(OR(INDEX(checklistPesertaKemenkeu!$L$6:$L$1005,SMALL(IF(checklistPesertaKemenkeu!$AY$6:$AY$1005="Direkomendasikan",ROW($6:$1005)-5),75))="",INDEX(checklistPesertaKemenkeu!$J$6:$J$1005,SMALL(IF(checklistPesertaKemenkeu!$AY$6:$AY$1005="Direkomendasikan",ROW($6:$1005)-5),75))=""),"",IF(AND(COUNTIF(INDIRECT("K_"&amp;MATCH(INDEX(checklistPesertaKemenkeu!$J$6:$J$1005,SMALL(IF(checklistPesertaKemenkeu!$AY$6:$AY$1005="Direkomendasikan",ROW($6:$1005)-5),75)),BidangList,0)),INDEX(checklistPesertaKemenkeu!$L$6:$L$1005,SMALL(IF(checklistPesertaKemenkeu!$AY$6:$AY$1005="Direkomendasikan",ROW($6:$1005)-5),75)))&gt;0,COUNTIF(INDIRECT("'KERTAS KERJA'!K"&amp;(SMALL(IF(checklistPesertaKemenkeu!$AY$6:$AY$1005="Direkomendasikan",ROW($6:$1005)-5),75)+5)&amp;":O"&amp;(SMALL(IF(checklistPesertaKemenkeu!$AY$6:$AY$1005="Direkomendasikan",ROW($6:$1005)-5),75)+5)),INDEX(checklistPesertaKemenkeu!$L$6:$L$1005,SMALL(IF(checklistPesertaKemenkeu!$AY$6:$AY$1005="Direkomendasikan",ROW($6:$1005)-5),75)))=1),IFERROR(VLOOKUP(INDEX(checklistPesertaKemenkeu!$L$6:$L$1005,SMALL(IF(checklistPesertaKemenkeu!$AY$6:$AY$1005="Direkomendasikan",ROW($6:$1005)-5),75)),KotaKode,2,0),"-"),"")),"")</f>
        <v/>
      </c>
      <c r="I76" t="str">
        <f t="array" aca="1" ref="I76" ca="1">IFERROR(IF(OR(INDEX(checklistPesertaKemenkeu!$M$6:$M$1005,SMALL(IF(checklistPesertaKemenkeu!$AY$6:$AY$1005="Direkomendasikan",ROW($6:$1005)-5),75))="",INDEX(checklistPesertaKemenkeu!$J$6:$J$1005,SMALL(IF(checklistPesertaKemenkeu!$AY$6:$AY$1005="Direkomendasikan",ROW($6:$1005)-5),75))=""),"",IF(AND(COUNTIF(INDIRECT("K_"&amp;MATCH(INDEX(checklistPesertaKemenkeu!$J$6:$J$1005,SMALL(IF(checklistPesertaKemenkeu!$AY$6:$AY$1005="Direkomendasikan",ROW($6:$1005)-5),75)),BidangList,0)),INDEX(checklistPesertaKemenkeu!$M$6:$M$1005,SMALL(IF(checklistPesertaKemenkeu!$AY$6:$AY$1005="Direkomendasikan",ROW($6:$1005)-5),75)))&gt;0,COUNTIF(INDIRECT("'KERTAS KERJA'!K"&amp;(SMALL(IF(checklistPesertaKemenkeu!$AY$6:$AY$1005="Direkomendasikan",ROW($6:$1005)-5),75)+5)&amp;":O"&amp;(SMALL(IF(checklistPesertaKemenkeu!$AY$6:$AY$1005="Direkomendasikan",ROW($6:$1005)-5),75)+5)),INDEX(checklistPesertaKemenkeu!$M$6:$M$1005,SMALL(IF(checklistPesertaKemenkeu!$AY$6:$AY$1005="Direkomendasikan",ROW($6:$1005)-5),75)))=1),IFERROR(VLOOKUP(INDEX(checklistPesertaKemenkeu!$M$6:$M$1005,SMALL(IF(checklistPesertaKemenkeu!$AY$6:$AY$1005="Direkomendasikan",ROW($6:$1005)-5),75)),KotaKode,2,0),"-"),"")),"")</f>
        <v/>
      </c>
      <c r="J76" t="str">
        <f t="array" aca="1" ref="J76" ca="1">IFERROR(IF(OR(INDEX(checklistPesertaKemenkeu!$N$6:$N$1005,SMALL(IF(checklistPesertaKemenkeu!$AY$6:$AY$1005="Direkomendasikan",ROW($6:$1005)-5),75))="",INDEX(checklistPesertaKemenkeu!$J$6:$J$1005,SMALL(IF(checklistPesertaKemenkeu!$AY$6:$AY$1005="Direkomendasikan",ROW($6:$1005)-5),75))=""),"",IF(AND(COUNTIF(INDIRECT("K_"&amp;MATCH(INDEX(checklistPesertaKemenkeu!$J$6:$J$1005,SMALL(IF(checklistPesertaKemenkeu!$AY$6:$AY$1005="Direkomendasikan",ROW($6:$1005)-5),75)),BidangList,0)),INDEX(checklistPesertaKemenkeu!$N$6:$N$1005,SMALL(IF(checklistPesertaKemenkeu!$AY$6:$AY$1005="Direkomendasikan",ROW($6:$1005)-5),75)))&gt;0,COUNTIF(INDIRECT("'KERTAS KERJA'!K"&amp;(SMALL(IF(checklistPesertaKemenkeu!$AY$6:$AY$1005="Direkomendasikan",ROW($6:$1005)-5),75)+5)&amp;":O"&amp;(SMALL(IF(checklistPesertaKemenkeu!$AY$6:$AY$1005="Direkomendasikan",ROW($6:$1005)-5),75)+5)),INDEX(checklistPesertaKemenkeu!$N$6:$N$1005,SMALL(IF(checklistPesertaKemenkeu!$AY$6:$AY$1005="Direkomendasikan",ROW($6:$1005)-5),75)))=1),IFERROR(VLOOKUP(INDEX(checklistPesertaKemenkeu!$N$6:$N$1005,SMALL(IF(checklistPesertaKemenkeu!$AY$6:$AY$1005="Direkomendasikan",ROW($6:$1005)-5),75)),KotaKode,2,0),"-"),"")),"")</f>
        <v/>
      </c>
      <c r="K76" t="str">
        <f t="array" aca="1" ref="K76" ca="1">IFERROR(IF(OR(INDEX(checklistPesertaKemenkeu!$O$6:$O$1005,SMALL(IF(checklistPesertaKemenkeu!$AY$6:$AY$1005="Direkomendasikan",ROW($6:$1005)-5),75))="",INDEX(checklistPesertaKemenkeu!$J$6:$J$1005,SMALL(IF(checklistPesertaKemenkeu!$AY$6:$AY$1005="Direkomendasikan",ROW($6:$1005)-5),75))=""),"",IF(AND(COUNTIF(INDIRECT("K_"&amp;MATCH(INDEX(checklistPesertaKemenkeu!$J$6:$J$1005,SMALL(IF(checklistPesertaKemenkeu!$AY$6:$AY$1005="Direkomendasikan",ROW($6:$1005)-5),75)),BidangList,0)),INDEX(checklistPesertaKemenkeu!$O$6:$O$1005,SMALL(IF(checklistPesertaKemenkeu!$AY$6:$AY$1005="Direkomendasikan",ROW($6:$1005)-5),75)))&gt;0,COUNTIF(INDIRECT("'KERTAS KERJA'!K"&amp;(SMALL(IF(checklistPesertaKemenkeu!$AY$6:$AY$1005="Direkomendasikan",ROW($6:$1005)-5),75)+5)&amp;":O"&amp;(SMALL(IF(checklistPesertaKemenkeu!$AY$6:$AY$1005="Direkomendasikan",ROW($6:$1005)-5),75)+5)),INDEX(checklistPesertaKemenkeu!$O$6:$O$1005,SMALL(IF(checklistPesertaKemenkeu!$AY$6:$AY$1005="Direkomendasikan",ROW($6:$1005)-5),75)))=1),IFERROR(VLOOKUP(INDEX(checklistPesertaKemenkeu!$O$6:$O$1005,SMALL(IF(checklistPesertaKemenkeu!$AY$6:$AY$1005="Direkomendasikan",ROW($6:$1005)-5),75)),KotaKode,2,0),"-"),"")),"")</f>
        <v/>
      </c>
      <c r="L76" t="str">
        <f t="array" aca="1" ref="L76" ca="1">IFERROR(IF(OR(INDEX(checklistPesertaKemenkeu!$P$6:$P$1005,SMALL(IF(checklistPesertaKemenkeu!$AY$6:$AY$1005="Direkomendasikan",ROW($6:$1005)-5),75))="",INDEX(checklistPesertaKemenkeu!$J$6:$J$1005,SMALL(IF(checklistPesertaKemenkeu!$AY$6:$AY$1005="Direkomendasikan",ROW($6:$1005)-5),75))=""),"",IF(AND(COUNTIF(INDIRECT("K_"&amp;MATCH(INDEX(checklistPesertaKemenkeu!$J$6:$J$1005,SMALL(IF(checklistPesertaKemenkeu!$AY$6:$AY$1005="Direkomendasikan",ROW($6:$1005)-5),75)),BidangList,0)),INDEX(checklistPesertaKemenkeu!$P$6:$P$1005,SMALL(IF(checklistPesertaKemenkeu!$AY$6:$AY$1005="Direkomendasikan",ROW($6:$1005)-5),75)))&gt;0,COUNTIF(INDIRECT("'KERTAS KERJA'!K"&amp;(SMALL(IF(checklistPesertaKemenkeu!$AY$6:$AY$1005="Direkomendasikan",ROW($6:$1005)-5),75)+5)&amp;":O"&amp;(SMALL(IF(checklistPesertaKemenkeu!$AY$6:$AY$1005="Direkomendasikan",ROW($6:$1005)-5),75)+5)),INDEX(checklistPesertaKemenkeu!$P$6:$P$1005,SMALL(IF(checklistPesertaKemenkeu!$AY$6:$AY$1005="Direkomendasikan",ROW($6:$1005)-5),75)))=1),IFERROR(VLOOKUP(INDEX(checklistPesertaKemenkeu!$P$6:$P$1005,SMALL(IF(checklistPesertaKemenkeu!$AY$6:$AY$1005="Direkomendasikan",ROW($6:$1005)-5),75)),KotaKode,2,0),"-"),"")),"")</f>
        <v/>
      </c>
    </row>
    <row r="77" spans="1:12" ht="15" customHeight="1" x14ac:dyDescent="0.2">
      <c r="A77" t="str">
        <f t="shared" si="1"/>
        <v/>
      </c>
      <c r="B77" t="str">
        <v/>
      </c>
      <c r="C77" s="40" t="str">
        <f t="array" ref="C77">IFERROR(INDEX(checklistPesertaKemenkeu!$F$6:$F$1005,SMALL(IF(checklistPesertaKemenkeu!$AY$6:$AY$1005="Direkomendasikan",ROW($6:$1005)-5),76)),"")</f>
        <v/>
      </c>
      <c r="D77" t="str">
        <f t="array" ref="D77">IFERROR(INDEX(checklistPesertaKemenkeu!$G$6:$G$1005,SMALL(IF(checklistPesertaKemenkeu!$AY$6:$AY$1005="Direkomendasikan",ROW($6:$1005)-5),76)),"")</f>
        <v/>
      </c>
      <c r="E77" t="str">
        <f t="array" ref="E77">IFERROR(INDEX(checklistPesertaKemenkeu!$H$6:$H$1005,SMALL(IF(checklistPesertaKemenkeu!$AY$6:$AY$1005="Direkomendasikan",ROW($6:$1005)-5),76)),"")</f>
        <v/>
      </c>
      <c r="F77" t="str">
        <f t="array" ref="F77">IFERROR(INDEX(checklistPesertaKemenkeu!$I$6:$I$1005,SMALL(IF(checklistPesertaKemenkeu!$AY$6:$AY$1005="Direkomendasikan",ROW($6:$1005)-5),76)),"")</f>
        <v/>
      </c>
      <c r="G77" t="str">
        <f t="array" ref="G77">IFERROR(INDEX(checklistPesertaKemenkeu!$J$6:$J$1005,SMALL(IF(checklistPesertaKemenkeu!$AY$6:$AY$1005="Direkomendasikan",ROW($6:$1005)-5),76)),"")</f>
        <v/>
      </c>
      <c r="H77" t="str">
        <f t="array" aca="1" ref="H77" ca="1">IFERROR(IF(OR(INDEX(checklistPesertaKemenkeu!$L$6:$L$1005,SMALL(IF(checklistPesertaKemenkeu!$AY$6:$AY$1005="Direkomendasikan",ROW($6:$1005)-5),76))="",INDEX(checklistPesertaKemenkeu!$J$6:$J$1005,SMALL(IF(checklistPesertaKemenkeu!$AY$6:$AY$1005="Direkomendasikan",ROW($6:$1005)-5),76))=""),"",IF(AND(COUNTIF(INDIRECT("K_"&amp;MATCH(INDEX(checklistPesertaKemenkeu!$J$6:$J$1005,SMALL(IF(checklistPesertaKemenkeu!$AY$6:$AY$1005="Direkomendasikan",ROW($6:$1005)-5),76)),BidangList,0)),INDEX(checklistPesertaKemenkeu!$L$6:$L$1005,SMALL(IF(checklistPesertaKemenkeu!$AY$6:$AY$1005="Direkomendasikan",ROW($6:$1005)-5),76)))&gt;0,COUNTIF(INDIRECT("'KERTAS KERJA'!K"&amp;(SMALL(IF(checklistPesertaKemenkeu!$AY$6:$AY$1005="Direkomendasikan",ROW($6:$1005)-5),76)+5)&amp;":O"&amp;(SMALL(IF(checklistPesertaKemenkeu!$AY$6:$AY$1005="Direkomendasikan",ROW($6:$1005)-5),76)+5)),INDEX(checklistPesertaKemenkeu!$L$6:$L$1005,SMALL(IF(checklistPesertaKemenkeu!$AY$6:$AY$1005="Direkomendasikan",ROW($6:$1005)-5),76)))=1),IFERROR(VLOOKUP(INDEX(checklistPesertaKemenkeu!$L$6:$L$1005,SMALL(IF(checklistPesertaKemenkeu!$AY$6:$AY$1005="Direkomendasikan",ROW($6:$1005)-5),76)),KotaKode,2,0),"-"),"")),"")</f>
        <v/>
      </c>
      <c r="I77" t="str">
        <f t="array" aca="1" ref="I77" ca="1">IFERROR(IF(OR(INDEX(checklistPesertaKemenkeu!$M$6:$M$1005,SMALL(IF(checklistPesertaKemenkeu!$AY$6:$AY$1005="Direkomendasikan",ROW($6:$1005)-5),76))="",INDEX(checklistPesertaKemenkeu!$J$6:$J$1005,SMALL(IF(checklistPesertaKemenkeu!$AY$6:$AY$1005="Direkomendasikan",ROW($6:$1005)-5),76))=""),"",IF(AND(COUNTIF(INDIRECT("K_"&amp;MATCH(INDEX(checklistPesertaKemenkeu!$J$6:$J$1005,SMALL(IF(checklistPesertaKemenkeu!$AY$6:$AY$1005="Direkomendasikan",ROW($6:$1005)-5),76)),BidangList,0)),INDEX(checklistPesertaKemenkeu!$M$6:$M$1005,SMALL(IF(checklistPesertaKemenkeu!$AY$6:$AY$1005="Direkomendasikan",ROW($6:$1005)-5),76)))&gt;0,COUNTIF(INDIRECT("'KERTAS KERJA'!K"&amp;(SMALL(IF(checklistPesertaKemenkeu!$AY$6:$AY$1005="Direkomendasikan",ROW($6:$1005)-5),76)+5)&amp;":O"&amp;(SMALL(IF(checklistPesertaKemenkeu!$AY$6:$AY$1005="Direkomendasikan",ROW($6:$1005)-5),76)+5)),INDEX(checklistPesertaKemenkeu!$M$6:$M$1005,SMALL(IF(checklistPesertaKemenkeu!$AY$6:$AY$1005="Direkomendasikan",ROW($6:$1005)-5),76)))=1),IFERROR(VLOOKUP(INDEX(checklistPesertaKemenkeu!$M$6:$M$1005,SMALL(IF(checklistPesertaKemenkeu!$AY$6:$AY$1005="Direkomendasikan",ROW($6:$1005)-5),76)),KotaKode,2,0),"-"),"")),"")</f>
        <v/>
      </c>
      <c r="J77" t="str">
        <f t="array" aca="1" ref="J77" ca="1">IFERROR(IF(OR(INDEX(checklistPesertaKemenkeu!$N$6:$N$1005,SMALL(IF(checklistPesertaKemenkeu!$AY$6:$AY$1005="Direkomendasikan",ROW($6:$1005)-5),76))="",INDEX(checklistPesertaKemenkeu!$J$6:$J$1005,SMALL(IF(checklistPesertaKemenkeu!$AY$6:$AY$1005="Direkomendasikan",ROW($6:$1005)-5),76))=""),"",IF(AND(COUNTIF(INDIRECT("K_"&amp;MATCH(INDEX(checklistPesertaKemenkeu!$J$6:$J$1005,SMALL(IF(checklistPesertaKemenkeu!$AY$6:$AY$1005="Direkomendasikan",ROW($6:$1005)-5),76)),BidangList,0)),INDEX(checklistPesertaKemenkeu!$N$6:$N$1005,SMALL(IF(checklistPesertaKemenkeu!$AY$6:$AY$1005="Direkomendasikan",ROW($6:$1005)-5),76)))&gt;0,COUNTIF(INDIRECT("'KERTAS KERJA'!K"&amp;(SMALL(IF(checklistPesertaKemenkeu!$AY$6:$AY$1005="Direkomendasikan",ROW($6:$1005)-5),76)+5)&amp;":O"&amp;(SMALL(IF(checklistPesertaKemenkeu!$AY$6:$AY$1005="Direkomendasikan",ROW($6:$1005)-5),76)+5)),INDEX(checklistPesertaKemenkeu!$N$6:$N$1005,SMALL(IF(checklistPesertaKemenkeu!$AY$6:$AY$1005="Direkomendasikan",ROW($6:$1005)-5),76)))=1),IFERROR(VLOOKUP(INDEX(checklistPesertaKemenkeu!$N$6:$N$1005,SMALL(IF(checklistPesertaKemenkeu!$AY$6:$AY$1005="Direkomendasikan",ROW($6:$1005)-5),76)),KotaKode,2,0),"-"),"")),"")</f>
        <v/>
      </c>
      <c r="K77" t="str">
        <f t="array" aca="1" ref="K77" ca="1">IFERROR(IF(OR(INDEX(checklistPesertaKemenkeu!$O$6:$O$1005,SMALL(IF(checklistPesertaKemenkeu!$AY$6:$AY$1005="Direkomendasikan",ROW($6:$1005)-5),76))="",INDEX(checklistPesertaKemenkeu!$J$6:$J$1005,SMALL(IF(checklistPesertaKemenkeu!$AY$6:$AY$1005="Direkomendasikan",ROW($6:$1005)-5),76))=""),"",IF(AND(COUNTIF(INDIRECT("K_"&amp;MATCH(INDEX(checklistPesertaKemenkeu!$J$6:$J$1005,SMALL(IF(checklistPesertaKemenkeu!$AY$6:$AY$1005="Direkomendasikan",ROW($6:$1005)-5),76)),BidangList,0)),INDEX(checklistPesertaKemenkeu!$O$6:$O$1005,SMALL(IF(checklistPesertaKemenkeu!$AY$6:$AY$1005="Direkomendasikan",ROW($6:$1005)-5),76)))&gt;0,COUNTIF(INDIRECT("'KERTAS KERJA'!K"&amp;(SMALL(IF(checklistPesertaKemenkeu!$AY$6:$AY$1005="Direkomendasikan",ROW($6:$1005)-5),76)+5)&amp;":O"&amp;(SMALL(IF(checklistPesertaKemenkeu!$AY$6:$AY$1005="Direkomendasikan",ROW($6:$1005)-5),76)+5)),INDEX(checklistPesertaKemenkeu!$O$6:$O$1005,SMALL(IF(checklistPesertaKemenkeu!$AY$6:$AY$1005="Direkomendasikan",ROW($6:$1005)-5),76)))=1),IFERROR(VLOOKUP(INDEX(checklistPesertaKemenkeu!$O$6:$O$1005,SMALL(IF(checklistPesertaKemenkeu!$AY$6:$AY$1005="Direkomendasikan",ROW($6:$1005)-5),76)),KotaKode,2,0),"-"),"")),"")</f>
        <v/>
      </c>
      <c r="L77" t="str">
        <f t="array" aca="1" ref="L77" ca="1">IFERROR(IF(OR(INDEX(checklistPesertaKemenkeu!$P$6:$P$1005,SMALL(IF(checklistPesertaKemenkeu!$AY$6:$AY$1005="Direkomendasikan",ROW($6:$1005)-5),76))="",INDEX(checklistPesertaKemenkeu!$J$6:$J$1005,SMALL(IF(checklistPesertaKemenkeu!$AY$6:$AY$1005="Direkomendasikan",ROW($6:$1005)-5),76))=""),"",IF(AND(COUNTIF(INDIRECT("K_"&amp;MATCH(INDEX(checklistPesertaKemenkeu!$J$6:$J$1005,SMALL(IF(checklistPesertaKemenkeu!$AY$6:$AY$1005="Direkomendasikan",ROW($6:$1005)-5),76)),BidangList,0)),INDEX(checklistPesertaKemenkeu!$P$6:$P$1005,SMALL(IF(checklistPesertaKemenkeu!$AY$6:$AY$1005="Direkomendasikan",ROW($6:$1005)-5),76)))&gt;0,COUNTIF(INDIRECT("'KERTAS KERJA'!K"&amp;(SMALL(IF(checklistPesertaKemenkeu!$AY$6:$AY$1005="Direkomendasikan",ROW($6:$1005)-5),76)+5)&amp;":O"&amp;(SMALL(IF(checklistPesertaKemenkeu!$AY$6:$AY$1005="Direkomendasikan",ROW($6:$1005)-5),76)+5)),INDEX(checklistPesertaKemenkeu!$P$6:$P$1005,SMALL(IF(checklistPesertaKemenkeu!$AY$6:$AY$1005="Direkomendasikan",ROW($6:$1005)-5),76)))=1),IFERROR(VLOOKUP(INDEX(checklistPesertaKemenkeu!$P$6:$P$1005,SMALL(IF(checklistPesertaKemenkeu!$AY$6:$AY$1005="Direkomendasikan",ROW($6:$1005)-5),76)),KotaKode,2,0),"-"),"")),"")</f>
        <v/>
      </c>
    </row>
    <row r="78" spans="1:12" ht="15" customHeight="1" x14ac:dyDescent="0.2">
      <c r="A78" t="str">
        <f t="shared" si="1"/>
        <v/>
      </c>
      <c r="B78" t="str">
        <v/>
      </c>
      <c r="C78" s="40" t="str">
        <f t="array" ref="C78">IFERROR(INDEX(checklistPesertaKemenkeu!$F$6:$F$1005,SMALL(IF(checklistPesertaKemenkeu!$AY$6:$AY$1005="Direkomendasikan",ROW($6:$1005)-5),77)),"")</f>
        <v/>
      </c>
      <c r="D78" t="str">
        <f t="array" ref="D78">IFERROR(INDEX(checklistPesertaKemenkeu!$G$6:$G$1005,SMALL(IF(checklistPesertaKemenkeu!$AY$6:$AY$1005="Direkomendasikan",ROW($6:$1005)-5),77)),"")</f>
        <v/>
      </c>
      <c r="E78" t="str">
        <f t="array" ref="E78">IFERROR(INDEX(checklistPesertaKemenkeu!$H$6:$H$1005,SMALL(IF(checklistPesertaKemenkeu!$AY$6:$AY$1005="Direkomendasikan",ROW($6:$1005)-5),77)),"")</f>
        <v/>
      </c>
      <c r="F78" t="str">
        <f t="array" ref="F78">IFERROR(INDEX(checklistPesertaKemenkeu!$I$6:$I$1005,SMALL(IF(checklistPesertaKemenkeu!$AY$6:$AY$1005="Direkomendasikan",ROW($6:$1005)-5),77)),"")</f>
        <v/>
      </c>
      <c r="G78" t="str">
        <f t="array" ref="G78">IFERROR(INDEX(checklistPesertaKemenkeu!$J$6:$J$1005,SMALL(IF(checklistPesertaKemenkeu!$AY$6:$AY$1005="Direkomendasikan",ROW($6:$1005)-5),77)),"")</f>
        <v/>
      </c>
      <c r="H78" t="str">
        <f t="array" aca="1" ref="H78" ca="1">IFERROR(IF(OR(INDEX(checklistPesertaKemenkeu!$L$6:$L$1005,SMALL(IF(checklistPesertaKemenkeu!$AY$6:$AY$1005="Direkomendasikan",ROW($6:$1005)-5),77))="",INDEX(checklistPesertaKemenkeu!$J$6:$J$1005,SMALL(IF(checklistPesertaKemenkeu!$AY$6:$AY$1005="Direkomendasikan",ROW($6:$1005)-5),77))=""),"",IF(AND(COUNTIF(INDIRECT("K_"&amp;MATCH(INDEX(checklistPesertaKemenkeu!$J$6:$J$1005,SMALL(IF(checklistPesertaKemenkeu!$AY$6:$AY$1005="Direkomendasikan",ROW($6:$1005)-5),77)),BidangList,0)),INDEX(checklistPesertaKemenkeu!$L$6:$L$1005,SMALL(IF(checklistPesertaKemenkeu!$AY$6:$AY$1005="Direkomendasikan",ROW($6:$1005)-5),77)))&gt;0,COUNTIF(INDIRECT("'KERTAS KERJA'!K"&amp;(SMALL(IF(checklistPesertaKemenkeu!$AY$6:$AY$1005="Direkomendasikan",ROW($6:$1005)-5),77)+5)&amp;":O"&amp;(SMALL(IF(checklistPesertaKemenkeu!$AY$6:$AY$1005="Direkomendasikan",ROW($6:$1005)-5),77)+5)),INDEX(checklistPesertaKemenkeu!$L$6:$L$1005,SMALL(IF(checklistPesertaKemenkeu!$AY$6:$AY$1005="Direkomendasikan",ROW($6:$1005)-5),77)))=1),IFERROR(VLOOKUP(INDEX(checklistPesertaKemenkeu!$L$6:$L$1005,SMALL(IF(checklistPesertaKemenkeu!$AY$6:$AY$1005="Direkomendasikan",ROW($6:$1005)-5),77)),KotaKode,2,0),"-"),"")),"")</f>
        <v/>
      </c>
      <c r="I78" t="str">
        <f t="array" aca="1" ref="I78" ca="1">IFERROR(IF(OR(INDEX(checklistPesertaKemenkeu!$M$6:$M$1005,SMALL(IF(checklistPesertaKemenkeu!$AY$6:$AY$1005="Direkomendasikan",ROW($6:$1005)-5),77))="",INDEX(checklistPesertaKemenkeu!$J$6:$J$1005,SMALL(IF(checklistPesertaKemenkeu!$AY$6:$AY$1005="Direkomendasikan",ROW($6:$1005)-5),77))=""),"",IF(AND(COUNTIF(INDIRECT("K_"&amp;MATCH(INDEX(checklistPesertaKemenkeu!$J$6:$J$1005,SMALL(IF(checklistPesertaKemenkeu!$AY$6:$AY$1005="Direkomendasikan",ROW($6:$1005)-5),77)),BidangList,0)),INDEX(checklistPesertaKemenkeu!$M$6:$M$1005,SMALL(IF(checklistPesertaKemenkeu!$AY$6:$AY$1005="Direkomendasikan",ROW($6:$1005)-5),77)))&gt;0,COUNTIF(INDIRECT("'KERTAS KERJA'!K"&amp;(SMALL(IF(checklistPesertaKemenkeu!$AY$6:$AY$1005="Direkomendasikan",ROW($6:$1005)-5),77)+5)&amp;":O"&amp;(SMALL(IF(checklistPesertaKemenkeu!$AY$6:$AY$1005="Direkomendasikan",ROW($6:$1005)-5),77)+5)),INDEX(checklistPesertaKemenkeu!$M$6:$M$1005,SMALL(IF(checklistPesertaKemenkeu!$AY$6:$AY$1005="Direkomendasikan",ROW($6:$1005)-5),77)))=1),IFERROR(VLOOKUP(INDEX(checklistPesertaKemenkeu!$M$6:$M$1005,SMALL(IF(checklistPesertaKemenkeu!$AY$6:$AY$1005="Direkomendasikan",ROW($6:$1005)-5),77)),KotaKode,2,0),"-"),"")),"")</f>
        <v/>
      </c>
      <c r="J78" t="str">
        <f t="array" aca="1" ref="J78" ca="1">IFERROR(IF(OR(INDEX(checklistPesertaKemenkeu!$N$6:$N$1005,SMALL(IF(checklistPesertaKemenkeu!$AY$6:$AY$1005="Direkomendasikan",ROW($6:$1005)-5),77))="",INDEX(checklistPesertaKemenkeu!$J$6:$J$1005,SMALL(IF(checklistPesertaKemenkeu!$AY$6:$AY$1005="Direkomendasikan",ROW($6:$1005)-5),77))=""),"",IF(AND(COUNTIF(INDIRECT("K_"&amp;MATCH(INDEX(checklistPesertaKemenkeu!$J$6:$J$1005,SMALL(IF(checklistPesertaKemenkeu!$AY$6:$AY$1005="Direkomendasikan",ROW($6:$1005)-5),77)),BidangList,0)),INDEX(checklistPesertaKemenkeu!$N$6:$N$1005,SMALL(IF(checklistPesertaKemenkeu!$AY$6:$AY$1005="Direkomendasikan",ROW($6:$1005)-5),77)))&gt;0,COUNTIF(INDIRECT("'KERTAS KERJA'!K"&amp;(SMALL(IF(checklistPesertaKemenkeu!$AY$6:$AY$1005="Direkomendasikan",ROW($6:$1005)-5),77)+5)&amp;":O"&amp;(SMALL(IF(checklistPesertaKemenkeu!$AY$6:$AY$1005="Direkomendasikan",ROW($6:$1005)-5),77)+5)),INDEX(checklistPesertaKemenkeu!$N$6:$N$1005,SMALL(IF(checklistPesertaKemenkeu!$AY$6:$AY$1005="Direkomendasikan",ROW($6:$1005)-5),77)))=1),IFERROR(VLOOKUP(INDEX(checklistPesertaKemenkeu!$N$6:$N$1005,SMALL(IF(checklistPesertaKemenkeu!$AY$6:$AY$1005="Direkomendasikan",ROW($6:$1005)-5),77)),KotaKode,2,0),"-"),"")),"")</f>
        <v/>
      </c>
      <c r="K78" t="str">
        <f t="array" aca="1" ref="K78" ca="1">IFERROR(IF(OR(INDEX(checklistPesertaKemenkeu!$O$6:$O$1005,SMALL(IF(checklistPesertaKemenkeu!$AY$6:$AY$1005="Direkomendasikan",ROW($6:$1005)-5),77))="",INDEX(checklistPesertaKemenkeu!$J$6:$J$1005,SMALL(IF(checklistPesertaKemenkeu!$AY$6:$AY$1005="Direkomendasikan",ROW($6:$1005)-5),77))=""),"",IF(AND(COUNTIF(INDIRECT("K_"&amp;MATCH(INDEX(checklistPesertaKemenkeu!$J$6:$J$1005,SMALL(IF(checklistPesertaKemenkeu!$AY$6:$AY$1005="Direkomendasikan",ROW($6:$1005)-5),77)),BidangList,0)),INDEX(checklistPesertaKemenkeu!$O$6:$O$1005,SMALL(IF(checklistPesertaKemenkeu!$AY$6:$AY$1005="Direkomendasikan",ROW($6:$1005)-5),77)))&gt;0,COUNTIF(INDIRECT("'KERTAS KERJA'!K"&amp;(SMALL(IF(checklistPesertaKemenkeu!$AY$6:$AY$1005="Direkomendasikan",ROW($6:$1005)-5),77)+5)&amp;":O"&amp;(SMALL(IF(checklistPesertaKemenkeu!$AY$6:$AY$1005="Direkomendasikan",ROW($6:$1005)-5),77)+5)),INDEX(checklistPesertaKemenkeu!$O$6:$O$1005,SMALL(IF(checklistPesertaKemenkeu!$AY$6:$AY$1005="Direkomendasikan",ROW($6:$1005)-5),77)))=1),IFERROR(VLOOKUP(INDEX(checklistPesertaKemenkeu!$O$6:$O$1005,SMALL(IF(checklistPesertaKemenkeu!$AY$6:$AY$1005="Direkomendasikan",ROW($6:$1005)-5),77)),KotaKode,2,0),"-"),"")),"")</f>
        <v/>
      </c>
      <c r="L78" t="str">
        <f t="array" aca="1" ref="L78" ca="1">IFERROR(IF(OR(INDEX(checklistPesertaKemenkeu!$P$6:$P$1005,SMALL(IF(checklistPesertaKemenkeu!$AY$6:$AY$1005="Direkomendasikan",ROW($6:$1005)-5),77))="",INDEX(checklistPesertaKemenkeu!$J$6:$J$1005,SMALL(IF(checklistPesertaKemenkeu!$AY$6:$AY$1005="Direkomendasikan",ROW($6:$1005)-5),77))=""),"",IF(AND(COUNTIF(INDIRECT("K_"&amp;MATCH(INDEX(checklistPesertaKemenkeu!$J$6:$J$1005,SMALL(IF(checklistPesertaKemenkeu!$AY$6:$AY$1005="Direkomendasikan",ROW($6:$1005)-5),77)),BidangList,0)),INDEX(checklistPesertaKemenkeu!$P$6:$P$1005,SMALL(IF(checklistPesertaKemenkeu!$AY$6:$AY$1005="Direkomendasikan",ROW($6:$1005)-5),77)))&gt;0,COUNTIF(INDIRECT("'KERTAS KERJA'!K"&amp;(SMALL(IF(checklistPesertaKemenkeu!$AY$6:$AY$1005="Direkomendasikan",ROW($6:$1005)-5),77)+5)&amp;":O"&amp;(SMALL(IF(checklistPesertaKemenkeu!$AY$6:$AY$1005="Direkomendasikan",ROW($6:$1005)-5),77)+5)),INDEX(checklistPesertaKemenkeu!$P$6:$P$1005,SMALL(IF(checklistPesertaKemenkeu!$AY$6:$AY$1005="Direkomendasikan",ROW($6:$1005)-5),77)))=1),IFERROR(VLOOKUP(INDEX(checklistPesertaKemenkeu!$P$6:$P$1005,SMALL(IF(checklistPesertaKemenkeu!$AY$6:$AY$1005="Direkomendasikan",ROW($6:$1005)-5),77)),KotaKode,2,0),"-"),"")),"")</f>
        <v/>
      </c>
    </row>
    <row r="79" spans="1:12" ht="15" customHeight="1" x14ac:dyDescent="0.2">
      <c r="A79" t="str">
        <f t="shared" si="1"/>
        <v/>
      </c>
      <c r="B79" t="str">
        <v/>
      </c>
      <c r="C79" s="40" t="str">
        <f t="array" ref="C79">IFERROR(INDEX(checklistPesertaKemenkeu!$F$6:$F$1005,SMALL(IF(checklistPesertaKemenkeu!$AY$6:$AY$1005="Direkomendasikan",ROW($6:$1005)-5),78)),"")</f>
        <v/>
      </c>
      <c r="D79" t="str">
        <f t="array" ref="D79">IFERROR(INDEX(checklistPesertaKemenkeu!$G$6:$G$1005,SMALL(IF(checklistPesertaKemenkeu!$AY$6:$AY$1005="Direkomendasikan",ROW($6:$1005)-5),78)),"")</f>
        <v/>
      </c>
      <c r="E79" t="str">
        <f t="array" ref="E79">IFERROR(INDEX(checklistPesertaKemenkeu!$H$6:$H$1005,SMALL(IF(checklistPesertaKemenkeu!$AY$6:$AY$1005="Direkomendasikan",ROW($6:$1005)-5),78)),"")</f>
        <v/>
      </c>
      <c r="F79" t="str">
        <f t="array" ref="F79">IFERROR(INDEX(checklistPesertaKemenkeu!$I$6:$I$1005,SMALL(IF(checklistPesertaKemenkeu!$AY$6:$AY$1005="Direkomendasikan",ROW($6:$1005)-5),78)),"")</f>
        <v/>
      </c>
      <c r="G79" t="str">
        <f t="array" ref="G79">IFERROR(INDEX(checklistPesertaKemenkeu!$J$6:$J$1005,SMALL(IF(checklistPesertaKemenkeu!$AY$6:$AY$1005="Direkomendasikan",ROW($6:$1005)-5),78)),"")</f>
        <v/>
      </c>
      <c r="H79" t="str">
        <f t="array" aca="1" ref="H79" ca="1">IFERROR(IF(OR(INDEX(checklistPesertaKemenkeu!$L$6:$L$1005,SMALL(IF(checklistPesertaKemenkeu!$AY$6:$AY$1005="Direkomendasikan",ROW($6:$1005)-5),78))="",INDEX(checklistPesertaKemenkeu!$J$6:$J$1005,SMALL(IF(checklistPesertaKemenkeu!$AY$6:$AY$1005="Direkomendasikan",ROW($6:$1005)-5),78))=""),"",IF(AND(COUNTIF(INDIRECT("K_"&amp;MATCH(INDEX(checklistPesertaKemenkeu!$J$6:$J$1005,SMALL(IF(checklistPesertaKemenkeu!$AY$6:$AY$1005="Direkomendasikan",ROW($6:$1005)-5),78)),BidangList,0)),INDEX(checklistPesertaKemenkeu!$L$6:$L$1005,SMALL(IF(checklistPesertaKemenkeu!$AY$6:$AY$1005="Direkomendasikan",ROW($6:$1005)-5),78)))&gt;0,COUNTIF(INDIRECT("'KERTAS KERJA'!K"&amp;(SMALL(IF(checklistPesertaKemenkeu!$AY$6:$AY$1005="Direkomendasikan",ROW($6:$1005)-5),78)+5)&amp;":O"&amp;(SMALL(IF(checklistPesertaKemenkeu!$AY$6:$AY$1005="Direkomendasikan",ROW($6:$1005)-5),78)+5)),INDEX(checklistPesertaKemenkeu!$L$6:$L$1005,SMALL(IF(checklistPesertaKemenkeu!$AY$6:$AY$1005="Direkomendasikan",ROW($6:$1005)-5),78)))=1),IFERROR(VLOOKUP(INDEX(checklistPesertaKemenkeu!$L$6:$L$1005,SMALL(IF(checklistPesertaKemenkeu!$AY$6:$AY$1005="Direkomendasikan",ROW($6:$1005)-5),78)),KotaKode,2,0),"-"),"")),"")</f>
        <v/>
      </c>
      <c r="I79" t="str">
        <f t="array" aca="1" ref="I79" ca="1">IFERROR(IF(OR(INDEX(checklistPesertaKemenkeu!$M$6:$M$1005,SMALL(IF(checklistPesertaKemenkeu!$AY$6:$AY$1005="Direkomendasikan",ROW($6:$1005)-5),78))="",INDEX(checklistPesertaKemenkeu!$J$6:$J$1005,SMALL(IF(checklistPesertaKemenkeu!$AY$6:$AY$1005="Direkomendasikan",ROW($6:$1005)-5),78))=""),"",IF(AND(COUNTIF(INDIRECT("K_"&amp;MATCH(INDEX(checklistPesertaKemenkeu!$J$6:$J$1005,SMALL(IF(checklistPesertaKemenkeu!$AY$6:$AY$1005="Direkomendasikan",ROW($6:$1005)-5),78)),BidangList,0)),INDEX(checklistPesertaKemenkeu!$M$6:$M$1005,SMALL(IF(checklistPesertaKemenkeu!$AY$6:$AY$1005="Direkomendasikan",ROW($6:$1005)-5),78)))&gt;0,COUNTIF(INDIRECT("'KERTAS KERJA'!K"&amp;(SMALL(IF(checklistPesertaKemenkeu!$AY$6:$AY$1005="Direkomendasikan",ROW($6:$1005)-5),78)+5)&amp;":O"&amp;(SMALL(IF(checklistPesertaKemenkeu!$AY$6:$AY$1005="Direkomendasikan",ROW($6:$1005)-5),78)+5)),INDEX(checklistPesertaKemenkeu!$M$6:$M$1005,SMALL(IF(checklistPesertaKemenkeu!$AY$6:$AY$1005="Direkomendasikan",ROW($6:$1005)-5),78)))=1),IFERROR(VLOOKUP(INDEX(checklistPesertaKemenkeu!$M$6:$M$1005,SMALL(IF(checklistPesertaKemenkeu!$AY$6:$AY$1005="Direkomendasikan",ROW($6:$1005)-5),78)),KotaKode,2,0),"-"),"")),"")</f>
        <v/>
      </c>
      <c r="J79" t="str">
        <f t="array" aca="1" ref="J79" ca="1">IFERROR(IF(OR(INDEX(checklistPesertaKemenkeu!$N$6:$N$1005,SMALL(IF(checklistPesertaKemenkeu!$AY$6:$AY$1005="Direkomendasikan",ROW($6:$1005)-5),78))="",INDEX(checklistPesertaKemenkeu!$J$6:$J$1005,SMALL(IF(checklistPesertaKemenkeu!$AY$6:$AY$1005="Direkomendasikan",ROW($6:$1005)-5),78))=""),"",IF(AND(COUNTIF(INDIRECT("K_"&amp;MATCH(INDEX(checklistPesertaKemenkeu!$J$6:$J$1005,SMALL(IF(checklistPesertaKemenkeu!$AY$6:$AY$1005="Direkomendasikan",ROW($6:$1005)-5),78)),BidangList,0)),INDEX(checklistPesertaKemenkeu!$N$6:$N$1005,SMALL(IF(checklistPesertaKemenkeu!$AY$6:$AY$1005="Direkomendasikan",ROW($6:$1005)-5),78)))&gt;0,COUNTIF(INDIRECT("'KERTAS KERJA'!K"&amp;(SMALL(IF(checklistPesertaKemenkeu!$AY$6:$AY$1005="Direkomendasikan",ROW($6:$1005)-5),78)+5)&amp;":O"&amp;(SMALL(IF(checklistPesertaKemenkeu!$AY$6:$AY$1005="Direkomendasikan",ROW($6:$1005)-5),78)+5)),INDEX(checklistPesertaKemenkeu!$N$6:$N$1005,SMALL(IF(checklistPesertaKemenkeu!$AY$6:$AY$1005="Direkomendasikan",ROW($6:$1005)-5),78)))=1),IFERROR(VLOOKUP(INDEX(checklistPesertaKemenkeu!$N$6:$N$1005,SMALL(IF(checklistPesertaKemenkeu!$AY$6:$AY$1005="Direkomendasikan",ROW($6:$1005)-5),78)),KotaKode,2,0),"-"),"")),"")</f>
        <v/>
      </c>
      <c r="K79" t="str">
        <f t="array" aca="1" ref="K79" ca="1">IFERROR(IF(OR(INDEX(checklistPesertaKemenkeu!$O$6:$O$1005,SMALL(IF(checklistPesertaKemenkeu!$AY$6:$AY$1005="Direkomendasikan",ROW($6:$1005)-5),78))="",INDEX(checklistPesertaKemenkeu!$J$6:$J$1005,SMALL(IF(checklistPesertaKemenkeu!$AY$6:$AY$1005="Direkomendasikan",ROW($6:$1005)-5),78))=""),"",IF(AND(COUNTIF(INDIRECT("K_"&amp;MATCH(INDEX(checklistPesertaKemenkeu!$J$6:$J$1005,SMALL(IF(checklistPesertaKemenkeu!$AY$6:$AY$1005="Direkomendasikan",ROW($6:$1005)-5),78)),BidangList,0)),INDEX(checklistPesertaKemenkeu!$O$6:$O$1005,SMALL(IF(checklistPesertaKemenkeu!$AY$6:$AY$1005="Direkomendasikan",ROW($6:$1005)-5),78)))&gt;0,COUNTIF(INDIRECT("'KERTAS KERJA'!K"&amp;(SMALL(IF(checklistPesertaKemenkeu!$AY$6:$AY$1005="Direkomendasikan",ROW($6:$1005)-5),78)+5)&amp;":O"&amp;(SMALL(IF(checklistPesertaKemenkeu!$AY$6:$AY$1005="Direkomendasikan",ROW($6:$1005)-5),78)+5)),INDEX(checklistPesertaKemenkeu!$O$6:$O$1005,SMALL(IF(checklistPesertaKemenkeu!$AY$6:$AY$1005="Direkomendasikan",ROW($6:$1005)-5),78)))=1),IFERROR(VLOOKUP(INDEX(checklistPesertaKemenkeu!$O$6:$O$1005,SMALL(IF(checklistPesertaKemenkeu!$AY$6:$AY$1005="Direkomendasikan",ROW($6:$1005)-5),78)),KotaKode,2,0),"-"),"")),"")</f>
        <v/>
      </c>
      <c r="L79" t="str">
        <f t="array" aca="1" ref="L79" ca="1">IFERROR(IF(OR(INDEX(checklistPesertaKemenkeu!$P$6:$P$1005,SMALL(IF(checklistPesertaKemenkeu!$AY$6:$AY$1005="Direkomendasikan",ROW($6:$1005)-5),78))="",INDEX(checklistPesertaKemenkeu!$J$6:$J$1005,SMALL(IF(checklistPesertaKemenkeu!$AY$6:$AY$1005="Direkomendasikan",ROW($6:$1005)-5),78))=""),"",IF(AND(COUNTIF(INDIRECT("K_"&amp;MATCH(INDEX(checklistPesertaKemenkeu!$J$6:$J$1005,SMALL(IF(checklistPesertaKemenkeu!$AY$6:$AY$1005="Direkomendasikan",ROW($6:$1005)-5),78)),BidangList,0)),INDEX(checklistPesertaKemenkeu!$P$6:$P$1005,SMALL(IF(checklistPesertaKemenkeu!$AY$6:$AY$1005="Direkomendasikan",ROW($6:$1005)-5),78)))&gt;0,COUNTIF(INDIRECT("'KERTAS KERJA'!K"&amp;(SMALL(IF(checklistPesertaKemenkeu!$AY$6:$AY$1005="Direkomendasikan",ROW($6:$1005)-5),78)+5)&amp;":O"&amp;(SMALL(IF(checklistPesertaKemenkeu!$AY$6:$AY$1005="Direkomendasikan",ROW($6:$1005)-5),78)+5)),INDEX(checklistPesertaKemenkeu!$P$6:$P$1005,SMALL(IF(checklistPesertaKemenkeu!$AY$6:$AY$1005="Direkomendasikan",ROW($6:$1005)-5),78)))=1),IFERROR(VLOOKUP(INDEX(checklistPesertaKemenkeu!$P$6:$P$1005,SMALL(IF(checklistPesertaKemenkeu!$AY$6:$AY$1005="Direkomendasikan",ROW($6:$1005)-5),78)),KotaKode,2,0),"-"),"")),"")</f>
        <v/>
      </c>
    </row>
    <row r="80" spans="1:12" ht="15" customHeight="1" x14ac:dyDescent="0.2">
      <c r="A80" t="str">
        <f t="shared" si="1"/>
        <v/>
      </c>
      <c r="B80" t="str">
        <v/>
      </c>
      <c r="C80" s="40" t="str">
        <f t="array" ref="C80">IFERROR(INDEX(checklistPesertaKemenkeu!$F$6:$F$1005,SMALL(IF(checklistPesertaKemenkeu!$AY$6:$AY$1005="Direkomendasikan",ROW($6:$1005)-5),79)),"")</f>
        <v/>
      </c>
      <c r="D80" t="str">
        <f t="array" ref="D80">IFERROR(INDEX(checklistPesertaKemenkeu!$G$6:$G$1005,SMALL(IF(checklistPesertaKemenkeu!$AY$6:$AY$1005="Direkomendasikan",ROW($6:$1005)-5),79)),"")</f>
        <v/>
      </c>
      <c r="E80" t="str">
        <f t="array" ref="E80">IFERROR(INDEX(checklistPesertaKemenkeu!$H$6:$H$1005,SMALL(IF(checklistPesertaKemenkeu!$AY$6:$AY$1005="Direkomendasikan",ROW($6:$1005)-5),79)),"")</f>
        <v/>
      </c>
      <c r="F80" t="str">
        <f t="array" ref="F80">IFERROR(INDEX(checklistPesertaKemenkeu!$I$6:$I$1005,SMALL(IF(checklistPesertaKemenkeu!$AY$6:$AY$1005="Direkomendasikan",ROW($6:$1005)-5),79)),"")</f>
        <v/>
      </c>
      <c r="G80" t="str">
        <f t="array" ref="G80">IFERROR(INDEX(checklistPesertaKemenkeu!$J$6:$J$1005,SMALL(IF(checklistPesertaKemenkeu!$AY$6:$AY$1005="Direkomendasikan",ROW($6:$1005)-5),79)),"")</f>
        <v/>
      </c>
      <c r="H80" t="str">
        <f t="array" aca="1" ref="H80" ca="1">IFERROR(IF(OR(INDEX(checklistPesertaKemenkeu!$L$6:$L$1005,SMALL(IF(checklistPesertaKemenkeu!$AY$6:$AY$1005="Direkomendasikan",ROW($6:$1005)-5),79))="",INDEX(checklistPesertaKemenkeu!$J$6:$J$1005,SMALL(IF(checklistPesertaKemenkeu!$AY$6:$AY$1005="Direkomendasikan",ROW($6:$1005)-5),79))=""),"",IF(AND(COUNTIF(INDIRECT("K_"&amp;MATCH(INDEX(checklistPesertaKemenkeu!$J$6:$J$1005,SMALL(IF(checklistPesertaKemenkeu!$AY$6:$AY$1005="Direkomendasikan",ROW($6:$1005)-5),79)),BidangList,0)),INDEX(checklistPesertaKemenkeu!$L$6:$L$1005,SMALL(IF(checklistPesertaKemenkeu!$AY$6:$AY$1005="Direkomendasikan",ROW($6:$1005)-5),79)))&gt;0,COUNTIF(INDIRECT("'KERTAS KERJA'!K"&amp;(SMALL(IF(checklistPesertaKemenkeu!$AY$6:$AY$1005="Direkomendasikan",ROW($6:$1005)-5),79)+5)&amp;":O"&amp;(SMALL(IF(checklistPesertaKemenkeu!$AY$6:$AY$1005="Direkomendasikan",ROW($6:$1005)-5),79)+5)),INDEX(checklistPesertaKemenkeu!$L$6:$L$1005,SMALL(IF(checklistPesertaKemenkeu!$AY$6:$AY$1005="Direkomendasikan",ROW($6:$1005)-5),79)))=1),IFERROR(VLOOKUP(INDEX(checklistPesertaKemenkeu!$L$6:$L$1005,SMALL(IF(checklistPesertaKemenkeu!$AY$6:$AY$1005="Direkomendasikan",ROW($6:$1005)-5),79)),KotaKode,2,0),"-"),"")),"")</f>
        <v/>
      </c>
      <c r="I80" t="str">
        <f t="array" aca="1" ref="I80" ca="1">IFERROR(IF(OR(INDEX(checklistPesertaKemenkeu!$M$6:$M$1005,SMALL(IF(checklistPesertaKemenkeu!$AY$6:$AY$1005="Direkomendasikan",ROW($6:$1005)-5),79))="",INDEX(checklistPesertaKemenkeu!$J$6:$J$1005,SMALL(IF(checklistPesertaKemenkeu!$AY$6:$AY$1005="Direkomendasikan",ROW($6:$1005)-5),79))=""),"",IF(AND(COUNTIF(INDIRECT("K_"&amp;MATCH(INDEX(checklistPesertaKemenkeu!$J$6:$J$1005,SMALL(IF(checklistPesertaKemenkeu!$AY$6:$AY$1005="Direkomendasikan",ROW($6:$1005)-5),79)),BidangList,0)),INDEX(checklistPesertaKemenkeu!$M$6:$M$1005,SMALL(IF(checklistPesertaKemenkeu!$AY$6:$AY$1005="Direkomendasikan",ROW($6:$1005)-5),79)))&gt;0,COUNTIF(INDIRECT("'KERTAS KERJA'!K"&amp;(SMALL(IF(checklistPesertaKemenkeu!$AY$6:$AY$1005="Direkomendasikan",ROW($6:$1005)-5),79)+5)&amp;":O"&amp;(SMALL(IF(checklistPesertaKemenkeu!$AY$6:$AY$1005="Direkomendasikan",ROW($6:$1005)-5),79)+5)),INDEX(checklistPesertaKemenkeu!$M$6:$M$1005,SMALL(IF(checklistPesertaKemenkeu!$AY$6:$AY$1005="Direkomendasikan",ROW($6:$1005)-5),79)))=1),IFERROR(VLOOKUP(INDEX(checklistPesertaKemenkeu!$M$6:$M$1005,SMALL(IF(checklistPesertaKemenkeu!$AY$6:$AY$1005="Direkomendasikan",ROW($6:$1005)-5),79)),KotaKode,2,0),"-"),"")),"")</f>
        <v/>
      </c>
      <c r="J80" t="str">
        <f t="array" aca="1" ref="J80" ca="1">IFERROR(IF(OR(INDEX(checklistPesertaKemenkeu!$N$6:$N$1005,SMALL(IF(checklistPesertaKemenkeu!$AY$6:$AY$1005="Direkomendasikan",ROW($6:$1005)-5),79))="",INDEX(checklistPesertaKemenkeu!$J$6:$J$1005,SMALL(IF(checklistPesertaKemenkeu!$AY$6:$AY$1005="Direkomendasikan",ROW($6:$1005)-5),79))=""),"",IF(AND(COUNTIF(INDIRECT("K_"&amp;MATCH(INDEX(checklistPesertaKemenkeu!$J$6:$J$1005,SMALL(IF(checklistPesertaKemenkeu!$AY$6:$AY$1005="Direkomendasikan",ROW($6:$1005)-5),79)),BidangList,0)),INDEX(checklistPesertaKemenkeu!$N$6:$N$1005,SMALL(IF(checklistPesertaKemenkeu!$AY$6:$AY$1005="Direkomendasikan",ROW($6:$1005)-5),79)))&gt;0,COUNTIF(INDIRECT("'KERTAS KERJA'!K"&amp;(SMALL(IF(checklistPesertaKemenkeu!$AY$6:$AY$1005="Direkomendasikan",ROW($6:$1005)-5),79)+5)&amp;":O"&amp;(SMALL(IF(checklistPesertaKemenkeu!$AY$6:$AY$1005="Direkomendasikan",ROW($6:$1005)-5),79)+5)),INDEX(checklistPesertaKemenkeu!$N$6:$N$1005,SMALL(IF(checklistPesertaKemenkeu!$AY$6:$AY$1005="Direkomendasikan",ROW($6:$1005)-5),79)))=1),IFERROR(VLOOKUP(INDEX(checklistPesertaKemenkeu!$N$6:$N$1005,SMALL(IF(checklistPesertaKemenkeu!$AY$6:$AY$1005="Direkomendasikan",ROW($6:$1005)-5),79)),KotaKode,2,0),"-"),"")),"")</f>
        <v/>
      </c>
      <c r="K80" t="str">
        <f t="array" aca="1" ref="K80" ca="1">IFERROR(IF(OR(INDEX(checklistPesertaKemenkeu!$O$6:$O$1005,SMALL(IF(checklistPesertaKemenkeu!$AY$6:$AY$1005="Direkomendasikan",ROW($6:$1005)-5),79))="",INDEX(checklistPesertaKemenkeu!$J$6:$J$1005,SMALL(IF(checklistPesertaKemenkeu!$AY$6:$AY$1005="Direkomendasikan",ROW($6:$1005)-5),79))=""),"",IF(AND(COUNTIF(INDIRECT("K_"&amp;MATCH(INDEX(checklistPesertaKemenkeu!$J$6:$J$1005,SMALL(IF(checklistPesertaKemenkeu!$AY$6:$AY$1005="Direkomendasikan",ROW($6:$1005)-5),79)),BidangList,0)),INDEX(checklistPesertaKemenkeu!$O$6:$O$1005,SMALL(IF(checklistPesertaKemenkeu!$AY$6:$AY$1005="Direkomendasikan",ROW($6:$1005)-5),79)))&gt;0,COUNTIF(INDIRECT("'KERTAS KERJA'!K"&amp;(SMALL(IF(checklistPesertaKemenkeu!$AY$6:$AY$1005="Direkomendasikan",ROW($6:$1005)-5),79)+5)&amp;":O"&amp;(SMALL(IF(checklistPesertaKemenkeu!$AY$6:$AY$1005="Direkomendasikan",ROW($6:$1005)-5),79)+5)),INDEX(checklistPesertaKemenkeu!$O$6:$O$1005,SMALL(IF(checklistPesertaKemenkeu!$AY$6:$AY$1005="Direkomendasikan",ROW($6:$1005)-5),79)))=1),IFERROR(VLOOKUP(INDEX(checklistPesertaKemenkeu!$O$6:$O$1005,SMALL(IF(checklistPesertaKemenkeu!$AY$6:$AY$1005="Direkomendasikan",ROW($6:$1005)-5),79)),KotaKode,2,0),"-"),"")),"")</f>
        <v/>
      </c>
      <c r="L80" t="str">
        <f t="array" aca="1" ref="L80" ca="1">IFERROR(IF(OR(INDEX(checklistPesertaKemenkeu!$P$6:$P$1005,SMALL(IF(checklistPesertaKemenkeu!$AY$6:$AY$1005="Direkomendasikan",ROW($6:$1005)-5),79))="",INDEX(checklistPesertaKemenkeu!$J$6:$J$1005,SMALL(IF(checklistPesertaKemenkeu!$AY$6:$AY$1005="Direkomendasikan",ROW($6:$1005)-5),79))=""),"",IF(AND(COUNTIF(INDIRECT("K_"&amp;MATCH(INDEX(checklistPesertaKemenkeu!$J$6:$J$1005,SMALL(IF(checklistPesertaKemenkeu!$AY$6:$AY$1005="Direkomendasikan",ROW($6:$1005)-5),79)),BidangList,0)),INDEX(checklistPesertaKemenkeu!$P$6:$P$1005,SMALL(IF(checklistPesertaKemenkeu!$AY$6:$AY$1005="Direkomendasikan",ROW($6:$1005)-5),79)))&gt;0,COUNTIF(INDIRECT("'KERTAS KERJA'!K"&amp;(SMALL(IF(checklistPesertaKemenkeu!$AY$6:$AY$1005="Direkomendasikan",ROW($6:$1005)-5),79)+5)&amp;":O"&amp;(SMALL(IF(checklistPesertaKemenkeu!$AY$6:$AY$1005="Direkomendasikan",ROW($6:$1005)-5),79)+5)),INDEX(checklistPesertaKemenkeu!$P$6:$P$1005,SMALL(IF(checklistPesertaKemenkeu!$AY$6:$AY$1005="Direkomendasikan",ROW($6:$1005)-5),79)))=1),IFERROR(VLOOKUP(INDEX(checklistPesertaKemenkeu!$P$6:$P$1005,SMALL(IF(checklistPesertaKemenkeu!$AY$6:$AY$1005="Direkomendasikan",ROW($6:$1005)-5),79)),KotaKode,2,0),"-"),"")),"")</f>
        <v/>
      </c>
    </row>
    <row r="81" spans="1:12" ht="15" customHeight="1" x14ac:dyDescent="0.2">
      <c r="A81" t="str">
        <f t="shared" si="1"/>
        <v/>
      </c>
      <c r="B81" t="str">
        <v/>
      </c>
      <c r="C81" s="40" t="str">
        <f t="array" ref="C81">IFERROR(INDEX(checklistPesertaKemenkeu!$F$6:$F$1005,SMALL(IF(checklistPesertaKemenkeu!$AY$6:$AY$1005="Direkomendasikan",ROW($6:$1005)-5),80)),"")</f>
        <v/>
      </c>
      <c r="D81" t="str">
        <f t="array" ref="D81">IFERROR(INDEX(checklistPesertaKemenkeu!$G$6:$G$1005,SMALL(IF(checklistPesertaKemenkeu!$AY$6:$AY$1005="Direkomendasikan",ROW($6:$1005)-5),80)),"")</f>
        <v/>
      </c>
      <c r="E81" t="str">
        <f t="array" ref="E81">IFERROR(INDEX(checklistPesertaKemenkeu!$H$6:$H$1005,SMALL(IF(checklistPesertaKemenkeu!$AY$6:$AY$1005="Direkomendasikan",ROW($6:$1005)-5),80)),"")</f>
        <v/>
      </c>
      <c r="F81" t="str">
        <f t="array" ref="F81">IFERROR(INDEX(checklistPesertaKemenkeu!$I$6:$I$1005,SMALL(IF(checklistPesertaKemenkeu!$AY$6:$AY$1005="Direkomendasikan",ROW($6:$1005)-5),80)),"")</f>
        <v/>
      </c>
      <c r="G81" t="str">
        <f t="array" ref="G81">IFERROR(INDEX(checklistPesertaKemenkeu!$J$6:$J$1005,SMALL(IF(checklistPesertaKemenkeu!$AY$6:$AY$1005="Direkomendasikan",ROW($6:$1005)-5),80)),"")</f>
        <v/>
      </c>
      <c r="H81" t="str">
        <f t="array" aca="1" ref="H81" ca="1">IFERROR(IF(OR(INDEX(checklistPesertaKemenkeu!$L$6:$L$1005,SMALL(IF(checklistPesertaKemenkeu!$AY$6:$AY$1005="Direkomendasikan",ROW($6:$1005)-5),80))="",INDEX(checklistPesertaKemenkeu!$J$6:$J$1005,SMALL(IF(checklistPesertaKemenkeu!$AY$6:$AY$1005="Direkomendasikan",ROW($6:$1005)-5),80))=""),"",IF(AND(COUNTIF(INDIRECT("K_"&amp;MATCH(INDEX(checklistPesertaKemenkeu!$J$6:$J$1005,SMALL(IF(checklistPesertaKemenkeu!$AY$6:$AY$1005="Direkomendasikan",ROW($6:$1005)-5),80)),BidangList,0)),INDEX(checklistPesertaKemenkeu!$L$6:$L$1005,SMALL(IF(checklistPesertaKemenkeu!$AY$6:$AY$1005="Direkomendasikan",ROW($6:$1005)-5),80)))&gt;0,COUNTIF(INDIRECT("'KERTAS KERJA'!K"&amp;(SMALL(IF(checklistPesertaKemenkeu!$AY$6:$AY$1005="Direkomendasikan",ROW($6:$1005)-5),80)+5)&amp;":O"&amp;(SMALL(IF(checklistPesertaKemenkeu!$AY$6:$AY$1005="Direkomendasikan",ROW($6:$1005)-5),80)+5)),INDEX(checklistPesertaKemenkeu!$L$6:$L$1005,SMALL(IF(checklistPesertaKemenkeu!$AY$6:$AY$1005="Direkomendasikan",ROW($6:$1005)-5),80)))=1),IFERROR(VLOOKUP(INDEX(checklistPesertaKemenkeu!$L$6:$L$1005,SMALL(IF(checklistPesertaKemenkeu!$AY$6:$AY$1005="Direkomendasikan",ROW($6:$1005)-5),80)),KotaKode,2,0),"-"),"")),"")</f>
        <v/>
      </c>
      <c r="I81" t="str">
        <f t="array" aca="1" ref="I81" ca="1">IFERROR(IF(OR(INDEX(checklistPesertaKemenkeu!$M$6:$M$1005,SMALL(IF(checklistPesertaKemenkeu!$AY$6:$AY$1005="Direkomendasikan",ROW($6:$1005)-5),80))="",INDEX(checklistPesertaKemenkeu!$J$6:$J$1005,SMALL(IF(checklistPesertaKemenkeu!$AY$6:$AY$1005="Direkomendasikan",ROW($6:$1005)-5),80))=""),"",IF(AND(COUNTIF(INDIRECT("K_"&amp;MATCH(INDEX(checklistPesertaKemenkeu!$J$6:$J$1005,SMALL(IF(checklistPesertaKemenkeu!$AY$6:$AY$1005="Direkomendasikan",ROW($6:$1005)-5),80)),BidangList,0)),INDEX(checklistPesertaKemenkeu!$M$6:$M$1005,SMALL(IF(checklistPesertaKemenkeu!$AY$6:$AY$1005="Direkomendasikan",ROW($6:$1005)-5),80)))&gt;0,COUNTIF(INDIRECT("'KERTAS KERJA'!K"&amp;(SMALL(IF(checklistPesertaKemenkeu!$AY$6:$AY$1005="Direkomendasikan",ROW($6:$1005)-5),80)+5)&amp;":O"&amp;(SMALL(IF(checklistPesertaKemenkeu!$AY$6:$AY$1005="Direkomendasikan",ROW($6:$1005)-5),80)+5)),INDEX(checklistPesertaKemenkeu!$M$6:$M$1005,SMALL(IF(checklistPesertaKemenkeu!$AY$6:$AY$1005="Direkomendasikan",ROW($6:$1005)-5),80)))=1),IFERROR(VLOOKUP(INDEX(checklistPesertaKemenkeu!$M$6:$M$1005,SMALL(IF(checklistPesertaKemenkeu!$AY$6:$AY$1005="Direkomendasikan",ROW($6:$1005)-5),80)),KotaKode,2,0),"-"),"")),"")</f>
        <v/>
      </c>
      <c r="J81" t="str">
        <f t="array" aca="1" ref="J81" ca="1">IFERROR(IF(OR(INDEX(checklistPesertaKemenkeu!$N$6:$N$1005,SMALL(IF(checklistPesertaKemenkeu!$AY$6:$AY$1005="Direkomendasikan",ROW($6:$1005)-5),80))="",INDEX(checklistPesertaKemenkeu!$J$6:$J$1005,SMALL(IF(checklistPesertaKemenkeu!$AY$6:$AY$1005="Direkomendasikan",ROW($6:$1005)-5),80))=""),"",IF(AND(COUNTIF(INDIRECT("K_"&amp;MATCH(INDEX(checklistPesertaKemenkeu!$J$6:$J$1005,SMALL(IF(checklistPesertaKemenkeu!$AY$6:$AY$1005="Direkomendasikan",ROW($6:$1005)-5),80)),BidangList,0)),INDEX(checklistPesertaKemenkeu!$N$6:$N$1005,SMALL(IF(checklistPesertaKemenkeu!$AY$6:$AY$1005="Direkomendasikan",ROW($6:$1005)-5),80)))&gt;0,COUNTIF(INDIRECT("'KERTAS KERJA'!K"&amp;(SMALL(IF(checklistPesertaKemenkeu!$AY$6:$AY$1005="Direkomendasikan",ROW($6:$1005)-5),80)+5)&amp;":O"&amp;(SMALL(IF(checklistPesertaKemenkeu!$AY$6:$AY$1005="Direkomendasikan",ROW($6:$1005)-5),80)+5)),INDEX(checklistPesertaKemenkeu!$N$6:$N$1005,SMALL(IF(checklistPesertaKemenkeu!$AY$6:$AY$1005="Direkomendasikan",ROW($6:$1005)-5),80)))=1),IFERROR(VLOOKUP(INDEX(checklistPesertaKemenkeu!$N$6:$N$1005,SMALL(IF(checklistPesertaKemenkeu!$AY$6:$AY$1005="Direkomendasikan",ROW($6:$1005)-5),80)),KotaKode,2,0),"-"),"")),"")</f>
        <v/>
      </c>
      <c r="K81" t="str">
        <f t="array" aca="1" ref="K81" ca="1">IFERROR(IF(OR(INDEX(checklistPesertaKemenkeu!$O$6:$O$1005,SMALL(IF(checklistPesertaKemenkeu!$AY$6:$AY$1005="Direkomendasikan",ROW($6:$1005)-5),80))="",INDEX(checklistPesertaKemenkeu!$J$6:$J$1005,SMALL(IF(checklistPesertaKemenkeu!$AY$6:$AY$1005="Direkomendasikan",ROW($6:$1005)-5),80))=""),"",IF(AND(COUNTIF(INDIRECT("K_"&amp;MATCH(INDEX(checklistPesertaKemenkeu!$J$6:$J$1005,SMALL(IF(checklistPesertaKemenkeu!$AY$6:$AY$1005="Direkomendasikan",ROW($6:$1005)-5),80)),BidangList,0)),INDEX(checklistPesertaKemenkeu!$O$6:$O$1005,SMALL(IF(checklistPesertaKemenkeu!$AY$6:$AY$1005="Direkomendasikan",ROW($6:$1005)-5),80)))&gt;0,COUNTIF(INDIRECT("'KERTAS KERJA'!K"&amp;(SMALL(IF(checklistPesertaKemenkeu!$AY$6:$AY$1005="Direkomendasikan",ROW($6:$1005)-5),80)+5)&amp;":O"&amp;(SMALL(IF(checklistPesertaKemenkeu!$AY$6:$AY$1005="Direkomendasikan",ROW($6:$1005)-5),80)+5)),INDEX(checklistPesertaKemenkeu!$O$6:$O$1005,SMALL(IF(checklistPesertaKemenkeu!$AY$6:$AY$1005="Direkomendasikan",ROW($6:$1005)-5),80)))=1),IFERROR(VLOOKUP(INDEX(checklistPesertaKemenkeu!$O$6:$O$1005,SMALL(IF(checklistPesertaKemenkeu!$AY$6:$AY$1005="Direkomendasikan",ROW($6:$1005)-5),80)),KotaKode,2,0),"-"),"")),"")</f>
        <v/>
      </c>
      <c r="L81" t="str">
        <f t="array" aca="1" ref="L81" ca="1">IFERROR(IF(OR(INDEX(checklistPesertaKemenkeu!$P$6:$P$1005,SMALL(IF(checklistPesertaKemenkeu!$AY$6:$AY$1005="Direkomendasikan",ROW($6:$1005)-5),80))="",INDEX(checklistPesertaKemenkeu!$J$6:$J$1005,SMALL(IF(checklistPesertaKemenkeu!$AY$6:$AY$1005="Direkomendasikan",ROW($6:$1005)-5),80))=""),"",IF(AND(COUNTIF(INDIRECT("K_"&amp;MATCH(INDEX(checklistPesertaKemenkeu!$J$6:$J$1005,SMALL(IF(checklistPesertaKemenkeu!$AY$6:$AY$1005="Direkomendasikan",ROW($6:$1005)-5),80)),BidangList,0)),INDEX(checklistPesertaKemenkeu!$P$6:$P$1005,SMALL(IF(checklistPesertaKemenkeu!$AY$6:$AY$1005="Direkomendasikan",ROW($6:$1005)-5),80)))&gt;0,COUNTIF(INDIRECT("'KERTAS KERJA'!K"&amp;(SMALL(IF(checklistPesertaKemenkeu!$AY$6:$AY$1005="Direkomendasikan",ROW($6:$1005)-5),80)+5)&amp;":O"&amp;(SMALL(IF(checklistPesertaKemenkeu!$AY$6:$AY$1005="Direkomendasikan",ROW($6:$1005)-5),80)+5)),INDEX(checklistPesertaKemenkeu!$P$6:$P$1005,SMALL(IF(checklistPesertaKemenkeu!$AY$6:$AY$1005="Direkomendasikan",ROW($6:$1005)-5),80)))=1),IFERROR(VLOOKUP(INDEX(checklistPesertaKemenkeu!$P$6:$P$1005,SMALL(IF(checklistPesertaKemenkeu!$AY$6:$AY$1005="Direkomendasikan",ROW($6:$1005)-5),80)),KotaKode,2,0),"-"),"")),"")</f>
        <v/>
      </c>
    </row>
    <row r="82" spans="1:12" ht="15" customHeight="1" x14ac:dyDescent="0.2">
      <c r="A82" t="str">
        <f t="shared" si="1"/>
        <v/>
      </c>
      <c r="B82" t="str">
        <v/>
      </c>
      <c r="C82" s="40" t="str">
        <f t="array" ref="C82">IFERROR(INDEX(checklistPesertaKemenkeu!$F$6:$F$1005,SMALL(IF(checklistPesertaKemenkeu!$AY$6:$AY$1005="Direkomendasikan",ROW($6:$1005)-5),81)),"")</f>
        <v/>
      </c>
      <c r="D82" t="str">
        <f t="array" ref="D82">IFERROR(INDEX(checklistPesertaKemenkeu!$G$6:$G$1005,SMALL(IF(checklistPesertaKemenkeu!$AY$6:$AY$1005="Direkomendasikan",ROW($6:$1005)-5),81)),"")</f>
        <v/>
      </c>
      <c r="E82" t="str">
        <f t="array" ref="E82">IFERROR(INDEX(checklistPesertaKemenkeu!$H$6:$H$1005,SMALL(IF(checklistPesertaKemenkeu!$AY$6:$AY$1005="Direkomendasikan",ROW($6:$1005)-5),81)),"")</f>
        <v/>
      </c>
      <c r="F82" t="str">
        <f t="array" ref="F82">IFERROR(INDEX(checklistPesertaKemenkeu!$I$6:$I$1005,SMALL(IF(checklistPesertaKemenkeu!$AY$6:$AY$1005="Direkomendasikan",ROW($6:$1005)-5),81)),"")</f>
        <v/>
      </c>
      <c r="G82" t="str">
        <f t="array" ref="G82">IFERROR(INDEX(checklistPesertaKemenkeu!$J$6:$J$1005,SMALL(IF(checklistPesertaKemenkeu!$AY$6:$AY$1005="Direkomendasikan",ROW($6:$1005)-5),81)),"")</f>
        <v/>
      </c>
      <c r="H82" t="str">
        <f t="array" aca="1" ref="H82" ca="1">IFERROR(IF(OR(INDEX(checklistPesertaKemenkeu!$L$6:$L$1005,SMALL(IF(checklistPesertaKemenkeu!$AY$6:$AY$1005="Direkomendasikan",ROW($6:$1005)-5),81))="",INDEX(checklistPesertaKemenkeu!$J$6:$J$1005,SMALL(IF(checklistPesertaKemenkeu!$AY$6:$AY$1005="Direkomendasikan",ROW($6:$1005)-5),81))=""),"",IF(AND(COUNTIF(INDIRECT("K_"&amp;MATCH(INDEX(checklistPesertaKemenkeu!$J$6:$J$1005,SMALL(IF(checklistPesertaKemenkeu!$AY$6:$AY$1005="Direkomendasikan",ROW($6:$1005)-5),81)),BidangList,0)),INDEX(checklistPesertaKemenkeu!$L$6:$L$1005,SMALL(IF(checklistPesertaKemenkeu!$AY$6:$AY$1005="Direkomendasikan",ROW($6:$1005)-5),81)))&gt;0,COUNTIF(INDIRECT("'KERTAS KERJA'!K"&amp;(SMALL(IF(checklistPesertaKemenkeu!$AY$6:$AY$1005="Direkomendasikan",ROW($6:$1005)-5),81)+5)&amp;":O"&amp;(SMALL(IF(checklistPesertaKemenkeu!$AY$6:$AY$1005="Direkomendasikan",ROW($6:$1005)-5),81)+5)),INDEX(checklistPesertaKemenkeu!$L$6:$L$1005,SMALL(IF(checklistPesertaKemenkeu!$AY$6:$AY$1005="Direkomendasikan",ROW($6:$1005)-5),81)))=1),IFERROR(VLOOKUP(INDEX(checklistPesertaKemenkeu!$L$6:$L$1005,SMALL(IF(checklistPesertaKemenkeu!$AY$6:$AY$1005="Direkomendasikan",ROW($6:$1005)-5),81)),KotaKode,2,0),"-"),"")),"")</f>
        <v/>
      </c>
      <c r="I82" t="str">
        <f t="array" aca="1" ref="I82" ca="1">IFERROR(IF(OR(INDEX(checklistPesertaKemenkeu!$M$6:$M$1005,SMALL(IF(checklistPesertaKemenkeu!$AY$6:$AY$1005="Direkomendasikan",ROW($6:$1005)-5),81))="",INDEX(checklistPesertaKemenkeu!$J$6:$J$1005,SMALL(IF(checklistPesertaKemenkeu!$AY$6:$AY$1005="Direkomendasikan",ROW($6:$1005)-5),81))=""),"",IF(AND(COUNTIF(INDIRECT("K_"&amp;MATCH(INDEX(checklistPesertaKemenkeu!$J$6:$J$1005,SMALL(IF(checklistPesertaKemenkeu!$AY$6:$AY$1005="Direkomendasikan",ROW($6:$1005)-5),81)),BidangList,0)),INDEX(checklistPesertaKemenkeu!$M$6:$M$1005,SMALL(IF(checklistPesertaKemenkeu!$AY$6:$AY$1005="Direkomendasikan",ROW($6:$1005)-5),81)))&gt;0,COUNTIF(INDIRECT("'KERTAS KERJA'!K"&amp;(SMALL(IF(checklistPesertaKemenkeu!$AY$6:$AY$1005="Direkomendasikan",ROW($6:$1005)-5),81)+5)&amp;":O"&amp;(SMALL(IF(checklistPesertaKemenkeu!$AY$6:$AY$1005="Direkomendasikan",ROW($6:$1005)-5),81)+5)),INDEX(checklistPesertaKemenkeu!$M$6:$M$1005,SMALL(IF(checklistPesertaKemenkeu!$AY$6:$AY$1005="Direkomendasikan",ROW($6:$1005)-5),81)))=1),IFERROR(VLOOKUP(INDEX(checklistPesertaKemenkeu!$M$6:$M$1005,SMALL(IF(checklistPesertaKemenkeu!$AY$6:$AY$1005="Direkomendasikan",ROW($6:$1005)-5),81)),KotaKode,2,0),"-"),"")),"")</f>
        <v/>
      </c>
      <c r="J82" t="str">
        <f t="array" aca="1" ref="J82" ca="1">IFERROR(IF(OR(INDEX(checklistPesertaKemenkeu!$N$6:$N$1005,SMALL(IF(checklistPesertaKemenkeu!$AY$6:$AY$1005="Direkomendasikan",ROW($6:$1005)-5),81))="",INDEX(checklistPesertaKemenkeu!$J$6:$J$1005,SMALL(IF(checklistPesertaKemenkeu!$AY$6:$AY$1005="Direkomendasikan",ROW($6:$1005)-5),81))=""),"",IF(AND(COUNTIF(INDIRECT("K_"&amp;MATCH(INDEX(checklistPesertaKemenkeu!$J$6:$J$1005,SMALL(IF(checklistPesertaKemenkeu!$AY$6:$AY$1005="Direkomendasikan",ROW($6:$1005)-5),81)),BidangList,0)),INDEX(checklistPesertaKemenkeu!$N$6:$N$1005,SMALL(IF(checklistPesertaKemenkeu!$AY$6:$AY$1005="Direkomendasikan",ROW($6:$1005)-5),81)))&gt;0,COUNTIF(INDIRECT("'KERTAS KERJA'!K"&amp;(SMALL(IF(checklistPesertaKemenkeu!$AY$6:$AY$1005="Direkomendasikan",ROW($6:$1005)-5),81)+5)&amp;":O"&amp;(SMALL(IF(checklistPesertaKemenkeu!$AY$6:$AY$1005="Direkomendasikan",ROW($6:$1005)-5),81)+5)),INDEX(checklistPesertaKemenkeu!$N$6:$N$1005,SMALL(IF(checklistPesertaKemenkeu!$AY$6:$AY$1005="Direkomendasikan",ROW($6:$1005)-5),81)))=1),IFERROR(VLOOKUP(INDEX(checklistPesertaKemenkeu!$N$6:$N$1005,SMALL(IF(checklistPesertaKemenkeu!$AY$6:$AY$1005="Direkomendasikan",ROW($6:$1005)-5),81)),KotaKode,2,0),"-"),"")),"")</f>
        <v/>
      </c>
      <c r="K82" t="str">
        <f t="array" aca="1" ref="K82" ca="1">IFERROR(IF(OR(INDEX(checklistPesertaKemenkeu!$O$6:$O$1005,SMALL(IF(checklistPesertaKemenkeu!$AY$6:$AY$1005="Direkomendasikan",ROW($6:$1005)-5),81))="",INDEX(checklistPesertaKemenkeu!$J$6:$J$1005,SMALL(IF(checklistPesertaKemenkeu!$AY$6:$AY$1005="Direkomendasikan",ROW($6:$1005)-5),81))=""),"",IF(AND(COUNTIF(INDIRECT("K_"&amp;MATCH(INDEX(checklistPesertaKemenkeu!$J$6:$J$1005,SMALL(IF(checklistPesertaKemenkeu!$AY$6:$AY$1005="Direkomendasikan",ROW($6:$1005)-5),81)),BidangList,0)),INDEX(checklistPesertaKemenkeu!$O$6:$O$1005,SMALL(IF(checklistPesertaKemenkeu!$AY$6:$AY$1005="Direkomendasikan",ROW($6:$1005)-5),81)))&gt;0,COUNTIF(INDIRECT("'KERTAS KERJA'!K"&amp;(SMALL(IF(checklistPesertaKemenkeu!$AY$6:$AY$1005="Direkomendasikan",ROW($6:$1005)-5),81)+5)&amp;":O"&amp;(SMALL(IF(checklistPesertaKemenkeu!$AY$6:$AY$1005="Direkomendasikan",ROW($6:$1005)-5),81)+5)),INDEX(checklistPesertaKemenkeu!$O$6:$O$1005,SMALL(IF(checklistPesertaKemenkeu!$AY$6:$AY$1005="Direkomendasikan",ROW($6:$1005)-5),81)))=1),IFERROR(VLOOKUP(INDEX(checklistPesertaKemenkeu!$O$6:$O$1005,SMALL(IF(checklistPesertaKemenkeu!$AY$6:$AY$1005="Direkomendasikan",ROW($6:$1005)-5),81)),KotaKode,2,0),"-"),"")),"")</f>
        <v/>
      </c>
      <c r="L82" t="str">
        <f t="array" aca="1" ref="L82" ca="1">IFERROR(IF(OR(INDEX(checklistPesertaKemenkeu!$P$6:$P$1005,SMALL(IF(checklistPesertaKemenkeu!$AY$6:$AY$1005="Direkomendasikan",ROW($6:$1005)-5),81))="",INDEX(checklistPesertaKemenkeu!$J$6:$J$1005,SMALL(IF(checklistPesertaKemenkeu!$AY$6:$AY$1005="Direkomendasikan",ROW($6:$1005)-5),81))=""),"",IF(AND(COUNTIF(INDIRECT("K_"&amp;MATCH(INDEX(checklistPesertaKemenkeu!$J$6:$J$1005,SMALL(IF(checklistPesertaKemenkeu!$AY$6:$AY$1005="Direkomendasikan",ROW($6:$1005)-5),81)),BidangList,0)),INDEX(checklistPesertaKemenkeu!$P$6:$P$1005,SMALL(IF(checklistPesertaKemenkeu!$AY$6:$AY$1005="Direkomendasikan",ROW($6:$1005)-5),81)))&gt;0,COUNTIF(INDIRECT("'KERTAS KERJA'!K"&amp;(SMALL(IF(checklistPesertaKemenkeu!$AY$6:$AY$1005="Direkomendasikan",ROW($6:$1005)-5),81)+5)&amp;":O"&amp;(SMALL(IF(checklistPesertaKemenkeu!$AY$6:$AY$1005="Direkomendasikan",ROW($6:$1005)-5),81)+5)),INDEX(checklistPesertaKemenkeu!$P$6:$P$1005,SMALL(IF(checklistPesertaKemenkeu!$AY$6:$AY$1005="Direkomendasikan",ROW($6:$1005)-5),81)))=1),IFERROR(VLOOKUP(INDEX(checklistPesertaKemenkeu!$P$6:$P$1005,SMALL(IF(checklistPesertaKemenkeu!$AY$6:$AY$1005="Direkomendasikan",ROW($6:$1005)-5),81)),KotaKode,2,0),"-"),"")),"")</f>
        <v/>
      </c>
    </row>
    <row r="83" spans="1:12" ht="15" customHeight="1" x14ac:dyDescent="0.2">
      <c r="A83" t="str">
        <f t="shared" si="1"/>
        <v/>
      </c>
      <c r="B83" t="str">
        <v/>
      </c>
      <c r="C83" s="40" t="str">
        <f t="array" ref="C83">IFERROR(INDEX(checklistPesertaKemenkeu!$F$6:$F$1005,SMALL(IF(checklistPesertaKemenkeu!$AY$6:$AY$1005="Direkomendasikan",ROW($6:$1005)-5),82)),"")</f>
        <v/>
      </c>
      <c r="D83" t="str">
        <f t="array" ref="D83">IFERROR(INDEX(checklistPesertaKemenkeu!$G$6:$G$1005,SMALL(IF(checklistPesertaKemenkeu!$AY$6:$AY$1005="Direkomendasikan",ROW($6:$1005)-5),82)),"")</f>
        <v/>
      </c>
      <c r="E83" t="str">
        <f t="array" ref="E83">IFERROR(INDEX(checklistPesertaKemenkeu!$H$6:$H$1005,SMALL(IF(checklistPesertaKemenkeu!$AY$6:$AY$1005="Direkomendasikan",ROW($6:$1005)-5),82)),"")</f>
        <v/>
      </c>
      <c r="F83" t="str">
        <f t="array" ref="F83">IFERROR(INDEX(checklistPesertaKemenkeu!$I$6:$I$1005,SMALL(IF(checklistPesertaKemenkeu!$AY$6:$AY$1005="Direkomendasikan",ROW($6:$1005)-5),82)),"")</f>
        <v/>
      </c>
      <c r="G83" t="str">
        <f t="array" ref="G83">IFERROR(INDEX(checklistPesertaKemenkeu!$J$6:$J$1005,SMALL(IF(checklistPesertaKemenkeu!$AY$6:$AY$1005="Direkomendasikan",ROW($6:$1005)-5),82)),"")</f>
        <v/>
      </c>
      <c r="H83" t="str">
        <f t="array" aca="1" ref="H83" ca="1">IFERROR(IF(OR(INDEX(checklistPesertaKemenkeu!$L$6:$L$1005,SMALL(IF(checklistPesertaKemenkeu!$AY$6:$AY$1005="Direkomendasikan",ROW($6:$1005)-5),82))="",INDEX(checklistPesertaKemenkeu!$J$6:$J$1005,SMALL(IF(checklistPesertaKemenkeu!$AY$6:$AY$1005="Direkomendasikan",ROW($6:$1005)-5),82))=""),"",IF(AND(COUNTIF(INDIRECT("K_"&amp;MATCH(INDEX(checklistPesertaKemenkeu!$J$6:$J$1005,SMALL(IF(checklistPesertaKemenkeu!$AY$6:$AY$1005="Direkomendasikan",ROW($6:$1005)-5),82)),BidangList,0)),INDEX(checklistPesertaKemenkeu!$L$6:$L$1005,SMALL(IF(checklistPesertaKemenkeu!$AY$6:$AY$1005="Direkomendasikan",ROW($6:$1005)-5),82)))&gt;0,COUNTIF(INDIRECT("'KERTAS KERJA'!K"&amp;(SMALL(IF(checklistPesertaKemenkeu!$AY$6:$AY$1005="Direkomendasikan",ROW($6:$1005)-5),82)+5)&amp;":O"&amp;(SMALL(IF(checklistPesertaKemenkeu!$AY$6:$AY$1005="Direkomendasikan",ROW($6:$1005)-5),82)+5)),INDEX(checklistPesertaKemenkeu!$L$6:$L$1005,SMALL(IF(checklistPesertaKemenkeu!$AY$6:$AY$1005="Direkomendasikan",ROW($6:$1005)-5),82)))=1),IFERROR(VLOOKUP(INDEX(checklistPesertaKemenkeu!$L$6:$L$1005,SMALL(IF(checklistPesertaKemenkeu!$AY$6:$AY$1005="Direkomendasikan",ROW($6:$1005)-5),82)),KotaKode,2,0),"-"),"")),"")</f>
        <v/>
      </c>
      <c r="I83" t="str">
        <f t="array" aca="1" ref="I83" ca="1">IFERROR(IF(OR(INDEX(checklistPesertaKemenkeu!$M$6:$M$1005,SMALL(IF(checklistPesertaKemenkeu!$AY$6:$AY$1005="Direkomendasikan",ROW($6:$1005)-5),82))="",INDEX(checklistPesertaKemenkeu!$J$6:$J$1005,SMALL(IF(checklistPesertaKemenkeu!$AY$6:$AY$1005="Direkomendasikan",ROW($6:$1005)-5),82))=""),"",IF(AND(COUNTIF(INDIRECT("K_"&amp;MATCH(INDEX(checklistPesertaKemenkeu!$J$6:$J$1005,SMALL(IF(checklistPesertaKemenkeu!$AY$6:$AY$1005="Direkomendasikan",ROW($6:$1005)-5),82)),BidangList,0)),INDEX(checklistPesertaKemenkeu!$M$6:$M$1005,SMALL(IF(checklistPesertaKemenkeu!$AY$6:$AY$1005="Direkomendasikan",ROW($6:$1005)-5),82)))&gt;0,COUNTIF(INDIRECT("'KERTAS KERJA'!K"&amp;(SMALL(IF(checklistPesertaKemenkeu!$AY$6:$AY$1005="Direkomendasikan",ROW($6:$1005)-5),82)+5)&amp;":O"&amp;(SMALL(IF(checklistPesertaKemenkeu!$AY$6:$AY$1005="Direkomendasikan",ROW($6:$1005)-5),82)+5)),INDEX(checklistPesertaKemenkeu!$M$6:$M$1005,SMALL(IF(checklistPesertaKemenkeu!$AY$6:$AY$1005="Direkomendasikan",ROW($6:$1005)-5),82)))=1),IFERROR(VLOOKUP(INDEX(checklistPesertaKemenkeu!$M$6:$M$1005,SMALL(IF(checklistPesertaKemenkeu!$AY$6:$AY$1005="Direkomendasikan",ROW($6:$1005)-5),82)),KotaKode,2,0),"-"),"")),"")</f>
        <v/>
      </c>
      <c r="J83" t="str">
        <f t="array" aca="1" ref="J83" ca="1">IFERROR(IF(OR(INDEX(checklistPesertaKemenkeu!$N$6:$N$1005,SMALL(IF(checklistPesertaKemenkeu!$AY$6:$AY$1005="Direkomendasikan",ROW($6:$1005)-5),82))="",INDEX(checklistPesertaKemenkeu!$J$6:$J$1005,SMALL(IF(checklistPesertaKemenkeu!$AY$6:$AY$1005="Direkomendasikan",ROW($6:$1005)-5),82))=""),"",IF(AND(COUNTIF(INDIRECT("K_"&amp;MATCH(INDEX(checklistPesertaKemenkeu!$J$6:$J$1005,SMALL(IF(checklistPesertaKemenkeu!$AY$6:$AY$1005="Direkomendasikan",ROW($6:$1005)-5),82)),BidangList,0)),INDEX(checklistPesertaKemenkeu!$N$6:$N$1005,SMALL(IF(checklistPesertaKemenkeu!$AY$6:$AY$1005="Direkomendasikan",ROW($6:$1005)-5),82)))&gt;0,COUNTIF(INDIRECT("'KERTAS KERJA'!K"&amp;(SMALL(IF(checklistPesertaKemenkeu!$AY$6:$AY$1005="Direkomendasikan",ROW($6:$1005)-5),82)+5)&amp;":O"&amp;(SMALL(IF(checklistPesertaKemenkeu!$AY$6:$AY$1005="Direkomendasikan",ROW($6:$1005)-5),82)+5)),INDEX(checklistPesertaKemenkeu!$N$6:$N$1005,SMALL(IF(checklistPesertaKemenkeu!$AY$6:$AY$1005="Direkomendasikan",ROW($6:$1005)-5),82)))=1),IFERROR(VLOOKUP(INDEX(checklistPesertaKemenkeu!$N$6:$N$1005,SMALL(IF(checklistPesertaKemenkeu!$AY$6:$AY$1005="Direkomendasikan",ROW($6:$1005)-5),82)),KotaKode,2,0),"-"),"")),"")</f>
        <v/>
      </c>
      <c r="K83" t="str">
        <f t="array" aca="1" ref="K83" ca="1">IFERROR(IF(OR(INDEX(checklistPesertaKemenkeu!$O$6:$O$1005,SMALL(IF(checklistPesertaKemenkeu!$AY$6:$AY$1005="Direkomendasikan",ROW($6:$1005)-5),82))="",INDEX(checklistPesertaKemenkeu!$J$6:$J$1005,SMALL(IF(checklistPesertaKemenkeu!$AY$6:$AY$1005="Direkomendasikan",ROW($6:$1005)-5),82))=""),"",IF(AND(COUNTIF(INDIRECT("K_"&amp;MATCH(INDEX(checklistPesertaKemenkeu!$J$6:$J$1005,SMALL(IF(checklistPesertaKemenkeu!$AY$6:$AY$1005="Direkomendasikan",ROW($6:$1005)-5),82)),BidangList,0)),INDEX(checklistPesertaKemenkeu!$O$6:$O$1005,SMALL(IF(checklistPesertaKemenkeu!$AY$6:$AY$1005="Direkomendasikan",ROW($6:$1005)-5),82)))&gt;0,COUNTIF(INDIRECT("'KERTAS KERJA'!K"&amp;(SMALL(IF(checklistPesertaKemenkeu!$AY$6:$AY$1005="Direkomendasikan",ROW($6:$1005)-5),82)+5)&amp;":O"&amp;(SMALL(IF(checklistPesertaKemenkeu!$AY$6:$AY$1005="Direkomendasikan",ROW($6:$1005)-5),82)+5)),INDEX(checklistPesertaKemenkeu!$O$6:$O$1005,SMALL(IF(checklistPesertaKemenkeu!$AY$6:$AY$1005="Direkomendasikan",ROW($6:$1005)-5),82)))=1),IFERROR(VLOOKUP(INDEX(checklistPesertaKemenkeu!$O$6:$O$1005,SMALL(IF(checklistPesertaKemenkeu!$AY$6:$AY$1005="Direkomendasikan",ROW($6:$1005)-5),82)),KotaKode,2,0),"-"),"")),"")</f>
        <v/>
      </c>
      <c r="L83" t="str">
        <f t="array" aca="1" ref="L83" ca="1">IFERROR(IF(OR(INDEX(checklistPesertaKemenkeu!$P$6:$P$1005,SMALL(IF(checklistPesertaKemenkeu!$AY$6:$AY$1005="Direkomendasikan",ROW($6:$1005)-5),82))="",INDEX(checklistPesertaKemenkeu!$J$6:$J$1005,SMALL(IF(checklistPesertaKemenkeu!$AY$6:$AY$1005="Direkomendasikan",ROW($6:$1005)-5),82))=""),"",IF(AND(COUNTIF(INDIRECT("K_"&amp;MATCH(INDEX(checklistPesertaKemenkeu!$J$6:$J$1005,SMALL(IF(checklistPesertaKemenkeu!$AY$6:$AY$1005="Direkomendasikan",ROW($6:$1005)-5),82)),BidangList,0)),INDEX(checklistPesertaKemenkeu!$P$6:$P$1005,SMALL(IF(checklistPesertaKemenkeu!$AY$6:$AY$1005="Direkomendasikan",ROW($6:$1005)-5),82)))&gt;0,COUNTIF(INDIRECT("'KERTAS KERJA'!K"&amp;(SMALL(IF(checklistPesertaKemenkeu!$AY$6:$AY$1005="Direkomendasikan",ROW($6:$1005)-5),82)+5)&amp;":O"&amp;(SMALL(IF(checklistPesertaKemenkeu!$AY$6:$AY$1005="Direkomendasikan",ROW($6:$1005)-5),82)+5)),INDEX(checklistPesertaKemenkeu!$P$6:$P$1005,SMALL(IF(checklistPesertaKemenkeu!$AY$6:$AY$1005="Direkomendasikan",ROW($6:$1005)-5),82)))=1),IFERROR(VLOOKUP(INDEX(checklistPesertaKemenkeu!$P$6:$P$1005,SMALL(IF(checklistPesertaKemenkeu!$AY$6:$AY$1005="Direkomendasikan",ROW($6:$1005)-5),82)),KotaKode,2,0),"-"),"")),"")</f>
        <v/>
      </c>
    </row>
    <row r="84" spans="1:12" ht="15" customHeight="1" x14ac:dyDescent="0.2">
      <c r="A84" t="str">
        <f t="shared" si="1"/>
        <v/>
      </c>
      <c r="B84" t="str">
        <v/>
      </c>
      <c r="C84" s="40" t="str">
        <f t="array" ref="C84">IFERROR(INDEX(checklistPesertaKemenkeu!$F$6:$F$1005,SMALL(IF(checklistPesertaKemenkeu!$AY$6:$AY$1005="Direkomendasikan",ROW($6:$1005)-5),83)),"")</f>
        <v/>
      </c>
      <c r="D84" t="str">
        <f t="array" ref="D84">IFERROR(INDEX(checklistPesertaKemenkeu!$G$6:$G$1005,SMALL(IF(checklistPesertaKemenkeu!$AY$6:$AY$1005="Direkomendasikan",ROW($6:$1005)-5),83)),"")</f>
        <v/>
      </c>
      <c r="E84" t="str">
        <f t="array" ref="E84">IFERROR(INDEX(checklistPesertaKemenkeu!$H$6:$H$1005,SMALL(IF(checklistPesertaKemenkeu!$AY$6:$AY$1005="Direkomendasikan",ROW($6:$1005)-5),83)),"")</f>
        <v/>
      </c>
      <c r="F84" t="str">
        <f t="array" ref="F84">IFERROR(INDEX(checklistPesertaKemenkeu!$I$6:$I$1005,SMALL(IF(checklistPesertaKemenkeu!$AY$6:$AY$1005="Direkomendasikan",ROW($6:$1005)-5),83)),"")</f>
        <v/>
      </c>
      <c r="G84" t="str">
        <f t="array" ref="G84">IFERROR(INDEX(checklistPesertaKemenkeu!$J$6:$J$1005,SMALL(IF(checklistPesertaKemenkeu!$AY$6:$AY$1005="Direkomendasikan",ROW($6:$1005)-5),83)),"")</f>
        <v/>
      </c>
      <c r="H84" t="str">
        <f t="array" aca="1" ref="H84" ca="1">IFERROR(IF(OR(INDEX(checklistPesertaKemenkeu!$L$6:$L$1005,SMALL(IF(checklistPesertaKemenkeu!$AY$6:$AY$1005="Direkomendasikan",ROW($6:$1005)-5),83))="",INDEX(checklistPesertaKemenkeu!$J$6:$J$1005,SMALL(IF(checklistPesertaKemenkeu!$AY$6:$AY$1005="Direkomendasikan",ROW($6:$1005)-5),83))=""),"",IF(AND(COUNTIF(INDIRECT("K_"&amp;MATCH(INDEX(checklistPesertaKemenkeu!$J$6:$J$1005,SMALL(IF(checklistPesertaKemenkeu!$AY$6:$AY$1005="Direkomendasikan",ROW($6:$1005)-5),83)),BidangList,0)),INDEX(checklistPesertaKemenkeu!$L$6:$L$1005,SMALL(IF(checklistPesertaKemenkeu!$AY$6:$AY$1005="Direkomendasikan",ROW($6:$1005)-5),83)))&gt;0,COUNTIF(INDIRECT("'KERTAS KERJA'!K"&amp;(SMALL(IF(checklistPesertaKemenkeu!$AY$6:$AY$1005="Direkomendasikan",ROW($6:$1005)-5),83)+5)&amp;":O"&amp;(SMALL(IF(checklistPesertaKemenkeu!$AY$6:$AY$1005="Direkomendasikan",ROW($6:$1005)-5),83)+5)),INDEX(checklistPesertaKemenkeu!$L$6:$L$1005,SMALL(IF(checklistPesertaKemenkeu!$AY$6:$AY$1005="Direkomendasikan",ROW($6:$1005)-5),83)))=1),IFERROR(VLOOKUP(INDEX(checklistPesertaKemenkeu!$L$6:$L$1005,SMALL(IF(checklistPesertaKemenkeu!$AY$6:$AY$1005="Direkomendasikan",ROW($6:$1005)-5),83)),KotaKode,2,0),"-"),"")),"")</f>
        <v/>
      </c>
      <c r="I84" t="str">
        <f t="array" aca="1" ref="I84" ca="1">IFERROR(IF(OR(INDEX(checklistPesertaKemenkeu!$M$6:$M$1005,SMALL(IF(checklistPesertaKemenkeu!$AY$6:$AY$1005="Direkomendasikan",ROW($6:$1005)-5),83))="",INDEX(checklistPesertaKemenkeu!$J$6:$J$1005,SMALL(IF(checklistPesertaKemenkeu!$AY$6:$AY$1005="Direkomendasikan",ROW($6:$1005)-5),83))=""),"",IF(AND(COUNTIF(INDIRECT("K_"&amp;MATCH(INDEX(checklistPesertaKemenkeu!$J$6:$J$1005,SMALL(IF(checklistPesertaKemenkeu!$AY$6:$AY$1005="Direkomendasikan",ROW($6:$1005)-5),83)),BidangList,0)),INDEX(checklistPesertaKemenkeu!$M$6:$M$1005,SMALL(IF(checklistPesertaKemenkeu!$AY$6:$AY$1005="Direkomendasikan",ROW($6:$1005)-5),83)))&gt;0,COUNTIF(INDIRECT("'KERTAS KERJA'!K"&amp;(SMALL(IF(checklistPesertaKemenkeu!$AY$6:$AY$1005="Direkomendasikan",ROW($6:$1005)-5),83)+5)&amp;":O"&amp;(SMALL(IF(checklistPesertaKemenkeu!$AY$6:$AY$1005="Direkomendasikan",ROW($6:$1005)-5),83)+5)),INDEX(checklistPesertaKemenkeu!$M$6:$M$1005,SMALL(IF(checklistPesertaKemenkeu!$AY$6:$AY$1005="Direkomendasikan",ROW($6:$1005)-5),83)))=1),IFERROR(VLOOKUP(INDEX(checklistPesertaKemenkeu!$M$6:$M$1005,SMALL(IF(checklistPesertaKemenkeu!$AY$6:$AY$1005="Direkomendasikan",ROW($6:$1005)-5),83)),KotaKode,2,0),"-"),"")),"")</f>
        <v/>
      </c>
      <c r="J84" t="str">
        <f t="array" aca="1" ref="J84" ca="1">IFERROR(IF(OR(INDEX(checklistPesertaKemenkeu!$N$6:$N$1005,SMALL(IF(checklistPesertaKemenkeu!$AY$6:$AY$1005="Direkomendasikan",ROW($6:$1005)-5),83))="",INDEX(checklistPesertaKemenkeu!$J$6:$J$1005,SMALL(IF(checklistPesertaKemenkeu!$AY$6:$AY$1005="Direkomendasikan",ROW($6:$1005)-5),83))=""),"",IF(AND(COUNTIF(INDIRECT("K_"&amp;MATCH(INDEX(checklistPesertaKemenkeu!$J$6:$J$1005,SMALL(IF(checklistPesertaKemenkeu!$AY$6:$AY$1005="Direkomendasikan",ROW($6:$1005)-5),83)),BidangList,0)),INDEX(checklistPesertaKemenkeu!$N$6:$N$1005,SMALL(IF(checklistPesertaKemenkeu!$AY$6:$AY$1005="Direkomendasikan",ROW($6:$1005)-5),83)))&gt;0,COUNTIF(INDIRECT("'KERTAS KERJA'!K"&amp;(SMALL(IF(checklistPesertaKemenkeu!$AY$6:$AY$1005="Direkomendasikan",ROW($6:$1005)-5),83)+5)&amp;":O"&amp;(SMALL(IF(checklistPesertaKemenkeu!$AY$6:$AY$1005="Direkomendasikan",ROW($6:$1005)-5),83)+5)),INDEX(checklistPesertaKemenkeu!$N$6:$N$1005,SMALL(IF(checklistPesertaKemenkeu!$AY$6:$AY$1005="Direkomendasikan",ROW($6:$1005)-5),83)))=1),IFERROR(VLOOKUP(INDEX(checklistPesertaKemenkeu!$N$6:$N$1005,SMALL(IF(checklistPesertaKemenkeu!$AY$6:$AY$1005="Direkomendasikan",ROW($6:$1005)-5),83)),KotaKode,2,0),"-"),"")),"")</f>
        <v/>
      </c>
      <c r="K84" t="str">
        <f t="array" aca="1" ref="K84" ca="1">IFERROR(IF(OR(INDEX(checklistPesertaKemenkeu!$O$6:$O$1005,SMALL(IF(checklistPesertaKemenkeu!$AY$6:$AY$1005="Direkomendasikan",ROW($6:$1005)-5),83))="",INDEX(checklistPesertaKemenkeu!$J$6:$J$1005,SMALL(IF(checklistPesertaKemenkeu!$AY$6:$AY$1005="Direkomendasikan",ROW($6:$1005)-5),83))=""),"",IF(AND(COUNTIF(INDIRECT("K_"&amp;MATCH(INDEX(checklistPesertaKemenkeu!$J$6:$J$1005,SMALL(IF(checklistPesertaKemenkeu!$AY$6:$AY$1005="Direkomendasikan",ROW($6:$1005)-5),83)),BidangList,0)),INDEX(checklistPesertaKemenkeu!$O$6:$O$1005,SMALL(IF(checklistPesertaKemenkeu!$AY$6:$AY$1005="Direkomendasikan",ROW($6:$1005)-5),83)))&gt;0,COUNTIF(INDIRECT("'KERTAS KERJA'!K"&amp;(SMALL(IF(checklistPesertaKemenkeu!$AY$6:$AY$1005="Direkomendasikan",ROW($6:$1005)-5),83)+5)&amp;":O"&amp;(SMALL(IF(checklistPesertaKemenkeu!$AY$6:$AY$1005="Direkomendasikan",ROW($6:$1005)-5),83)+5)),INDEX(checklistPesertaKemenkeu!$O$6:$O$1005,SMALL(IF(checklistPesertaKemenkeu!$AY$6:$AY$1005="Direkomendasikan",ROW($6:$1005)-5),83)))=1),IFERROR(VLOOKUP(INDEX(checklistPesertaKemenkeu!$O$6:$O$1005,SMALL(IF(checklistPesertaKemenkeu!$AY$6:$AY$1005="Direkomendasikan",ROW($6:$1005)-5),83)),KotaKode,2,0),"-"),"")),"")</f>
        <v/>
      </c>
      <c r="L84" t="str">
        <f t="array" aca="1" ref="L84" ca="1">IFERROR(IF(OR(INDEX(checklistPesertaKemenkeu!$P$6:$P$1005,SMALL(IF(checklistPesertaKemenkeu!$AY$6:$AY$1005="Direkomendasikan",ROW($6:$1005)-5),83))="",INDEX(checklistPesertaKemenkeu!$J$6:$J$1005,SMALL(IF(checklistPesertaKemenkeu!$AY$6:$AY$1005="Direkomendasikan",ROW($6:$1005)-5),83))=""),"",IF(AND(COUNTIF(INDIRECT("K_"&amp;MATCH(INDEX(checklistPesertaKemenkeu!$J$6:$J$1005,SMALL(IF(checklistPesertaKemenkeu!$AY$6:$AY$1005="Direkomendasikan",ROW($6:$1005)-5),83)),BidangList,0)),INDEX(checklistPesertaKemenkeu!$P$6:$P$1005,SMALL(IF(checklistPesertaKemenkeu!$AY$6:$AY$1005="Direkomendasikan",ROW($6:$1005)-5),83)))&gt;0,COUNTIF(INDIRECT("'KERTAS KERJA'!K"&amp;(SMALL(IF(checklistPesertaKemenkeu!$AY$6:$AY$1005="Direkomendasikan",ROW($6:$1005)-5),83)+5)&amp;":O"&amp;(SMALL(IF(checklistPesertaKemenkeu!$AY$6:$AY$1005="Direkomendasikan",ROW($6:$1005)-5),83)+5)),INDEX(checklistPesertaKemenkeu!$P$6:$P$1005,SMALL(IF(checklistPesertaKemenkeu!$AY$6:$AY$1005="Direkomendasikan",ROW($6:$1005)-5),83)))=1),IFERROR(VLOOKUP(INDEX(checklistPesertaKemenkeu!$P$6:$P$1005,SMALL(IF(checklistPesertaKemenkeu!$AY$6:$AY$1005="Direkomendasikan",ROW($6:$1005)-5),83)),KotaKode,2,0),"-"),"")),"")</f>
        <v/>
      </c>
    </row>
    <row r="85" spans="1:12" ht="15" customHeight="1" x14ac:dyDescent="0.2">
      <c r="A85" t="str">
        <f t="shared" si="1"/>
        <v/>
      </c>
      <c r="B85" t="str">
        <v/>
      </c>
      <c r="C85" s="40" t="str">
        <f t="array" ref="C85">IFERROR(INDEX(checklistPesertaKemenkeu!$F$6:$F$1005,SMALL(IF(checklistPesertaKemenkeu!$AY$6:$AY$1005="Direkomendasikan",ROW($6:$1005)-5),84)),"")</f>
        <v/>
      </c>
      <c r="D85" t="str">
        <f t="array" ref="D85">IFERROR(INDEX(checklistPesertaKemenkeu!$G$6:$G$1005,SMALL(IF(checklistPesertaKemenkeu!$AY$6:$AY$1005="Direkomendasikan",ROW($6:$1005)-5),84)),"")</f>
        <v/>
      </c>
      <c r="E85" t="str">
        <f t="array" ref="E85">IFERROR(INDEX(checklistPesertaKemenkeu!$H$6:$H$1005,SMALL(IF(checklistPesertaKemenkeu!$AY$6:$AY$1005="Direkomendasikan",ROW($6:$1005)-5),84)),"")</f>
        <v/>
      </c>
      <c r="F85" t="str">
        <f t="array" ref="F85">IFERROR(INDEX(checklistPesertaKemenkeu!$I$6:$I$1005,SMALL(IF(checklistPesertaKemenkeu!$AY$6:$AY$1005="Direkomendasikan",ROW($6:$1005)-5),84)),"")</f>
        <v/>
      </c>
      <c r="G85" t="str">
        <f t="array" ref="G85">IFERROR(INDEX(checklistPesertaKemenkeu!$J$6:$J$1005,SMALL(IF(checklistPesertaKemenkeu!$AY$6:$AY$1005="Direkomendasikan",ROW($6:$1005)-5),84)),"")</f>
        <v/>
      </c>
      <c r="H85" t="str">
        <f t="array" aca="1" ref="H85" ca="1">IFERROR(IF(OR(INDEX(checklistPesertaKemenkeu!$L$6:$L$1005,SMALL(IF(checklistPesertaKemenkeu!$AY$6:$AY$1005="Direkomendasikan",ROW($6:$1005)-5),84))="",INDEX(checklistPesertaKemenkeu!$J$6:$J$1005,SMALL(IF(checklistPesertaKemenkeu!$AY$6:$AY$1005="Direkomendasikan",ROW($6:$1005)-5),84))=""),"",IF(AND(COUNTIF(INDIRECT("K_"&amp;MATCH(INDEX(checklistPesertaKemenkeu!$J$6:$J$1005,SMALL(IF(checklistPesertaKemenkeu!$AY$6:$AY$1005="Direkomendasikan",ROW($6:$1005)-5),84)),BidangList,0)),INDEX(checklistPesertaKemenkeu!$L$6:$L$1005,SMALL(IF(checklistPesertaKemenkeu!$AY$6:$AY$1005="Direkomendasikan",ROW($6:$1005)-5),84)))&gt;0,COUNTIF(INDIRECT("'KERTAS KERJA'!K"&amp;(SMALL(IF(checklistPesertaKemenkeu!$AY$6:$AY$1005="Direkomendasikan",ROW($6:$1005)-5),84)+5)&amp;":O"&amp;(SMALL(IF(checklistPesertaKemenkeu!$AY$6:$AY$1005="Direkomendasikan",ROW($6:$1005)-5),84)+5)),INDEX(checklistPesertaKemenkeu!$L$6:$L$1005,SMALL(IF(checklistPesertaKemenkeu!$AY$6:$AY$1005="Direkomendasikan",ROW($6:$1005)-5),84)))=1),IFERROR(VLOOKUP(INDEX(checklistPesertaKemenkeu!$L$6:$L$1005,SMALL(IF(checklistPesertaKemenkeu!$AY$6:$AY$1005="Direkomendasikan",ROW($6:$1005)-5),84)),KotaKode,2,0),"-"),"")),"")</f>
        <v/>
      </c>
      <c r="I85" t="str">
        <f t="array" aca="1" ref="I85" ca="1">IFERROR(IF(OR(INDEX(checklistPesertaKemenkeu!$M$6:$M$1005,SMALL(IF(checklistPesertaKemenkeu!$AY$6:$AY$1005="Direkomendasikan",ROW($6:$1005)-5),84))="",INDEX(checklistPesertaKemenkeu!$J$6:$J$1005,SMALL(IF(checklistPesertaKemenkeu!$AY$6:$AY$1005="Direkomendasikan",ROW($6:$1005)-5),84))=""),"",IF(AND(COUNTIF(INDIRECT("K_"&amp;MATCH(INDEX(checklistPesertaKemenkeu!$J$6:$J$1005,SMALL(IF(checklistPesertaKemenkeu!$AY$6:$AY$1005="Direkomendasikan",ROW($6:$1005)-5),84)),BidangList,0)),INDEX(checklistPesertaKemenkeu!$M$6:$M$1005,SMALL(IF(checklistPesertaKemenkeu!$AY$6:$AY$1005="Direkomendasikan",ROW($6:$1005)-5),84)))&gt;0,COUNTIF(INDIRECT("'KERTAS KERJA'!K"&amp;(SMALL(IF(checklistPesertaKemenkeu!$AY$6:$AY$1005="Direkomendasikan",ROW($6:$1005)-5),84)+5)&amp;":O"&amp;(SMALL(IF(checklistPesertaKemenkeu!$AY$6:$AY$1005="Direkomendasikan",ROW($6:$1005)-5),84)+5)),INDEX(checklistPesertaKemenkeu!$M$6:$M$1005,SMALL(IF(checklistPesertaKemenkeu!$AY$6:$AY$1005="Direkomendasikan",ROW($6:$1005)-5),84)))=1),IFERROR(VLOOKUP(INDEX(checklistPesertaKemenkeu!$M$6:$M$1005,SMALL(IF(checklistPesertaKemenkeu!$AY$6:$AY$1005="Direkomendasikan",ROW($6:$1005)-5),84)),KotaKode,2,0),"-"),"")),"")</f>
        <v/>
      </c>
      <c r="J85" t="str">
        <f t="array" aca="1" ref="J85" ca="1">IFERROR(IF(OR(INDEX(checklistPesertaKemenkeu!$N$6:$N$1005,SMALL(IF(checklistPesertaKemenkeu!$AY$6:$AY$1005="Direkomendasikan",ROW($6:$1005)-5),84))="",INDEX(checklistPesertaKemenkeu!$J$6:$J$1005,SMALL(IF(checklistPesertaKemenkeu!$AY$6:$AY$1005="Direkomendasikan",ROW($6:$1005)-5),84))=""),"",IF(AND(COUNTIF(INDIRECT("K_"&amp;MATCH(INDEX(checklistPesertaKemenkeu!$J$6:$J$1005,SMALL(IF(checklistPesertaKemenkeu!$AY$6:$AY$1005="Direkomendasikan",ROW($6:$1005)-5),84)),BidangList,0)),INDEX(checklistPesertaKemenkeu!$N$6:$N$1005,SMALL(IF(checklistPesertaKemenkeu!$AY$6:$AY$1005="Direkomendasikan",ROW($6:$1005)-5),84)))&gt;0,COUNTIF(INDIRECT("'KERTAS KERJA'!K"&amp;(SMALL(IF(checklistPesertaKemenkeu!$AY$6:$AY$1005="Direkomendasikan",ROW($6:$1005)-5),84)+5)&amp;":O"&amp;(SMALL(IF(checklistPesertaKemenkeu!$AY$6:$AY$1005="Direkomendasikan",ROW($6:$1005)-5),84)+5)),INDEX(checklistPesertaKemenkeu!$N$6:$N$1005,SMALL(IF(checklistPesertaKemenkeu!$AY$6:$AY$1005="Direkomendasikan",ROW($6:$1005)-5),84)))=1),IFERROR(VLOOKUP(INDEX(checklistPesertaKemenkeu!$N$6:$N$1005,SMALL(IF(checklistPesertaKemenkeu!$AY$6:$AY$1005="Direkomendasikan",ROW($6:$1005)-5),84)),KotaKode,2,0),"-"),"")),"")</f>
        <v/>
      </c>
      <c r="K85" t="str">
        <f t="array" aca="1" ref="K85" ca="1">IFERROR(IF(OR(INDEX(checklistPesertaKemenkeu!$O$6:$O$1005,SMALL(IF(checklistPesertaKemenkeu!$AY$6:$AY$1005="Direkomendasikan",ROW($6:$1005)-5),84))="",INDEX(checklistPesertaKemenkeu!$J$6:$J$1005,SMALL(IF(checklistPesertaKemenkeu!$AY$6:$AY$1005="Direkomendasikan",ROW($6:$1005)-5),84))=""),"",IF(AND(COUNTIF(INDIRECT("K_"&amp;MATCH(INDEX(checklistPesertaKemenkeu!$J$6:$J$1005,SMALL(IF(checklistPesertaKemenkeu!$AY$6:$AY$1005="Direkomendasikan",ROW($6:$1005)-5),84)),BidangList,0)),INDEX(checklistPesertaKemenkeu!$O$6:$O$1005,SMALL(IF(checklistPesertaKemenkeu!$AY$6:$AY$1005="Direkomendasikan",ROW($6:$1005)-5),84)))&gt;0,COUNTIF(INDIRECT("'KERTAS KERJA'!K"&amp;(SMALL(IF(checklistPesertaKemenkeu!$AY$6:$AY$1005="Direkomendasikan",ROW($6:$1005)-5),84)+5)&amp;":O"&amp;(SMALL(IF(checklistPesertaKemenkeu!$AY$6:$AY$1005="Direkomendasikan",ROW($6:$1005)-5),84)+5)),INDEX(checklistPesertaKemenkeu!$O$6:$O$1005,SMALL(IF(checklistPesertaKemenkeu!$AY$6:$AY$1005="Direkomendasikan",ROW($6:$1005)-5),84)))=1),IFERROR(VLOOKUP(INDEX(checklistPesertaKemenkeu!$O$6:$O$1005,SMALL(IF(checklistPesertaKemenkeu!$AY$6:$AY$1005="Direkomendasikan",ROW($6:$1005)-5),84)),KotaKode,2,0),"-"),"")),"")</f>
        <v/>
      </c>
      <c r="L85" t="str">
        <f t="array" aca="1" ref="L85" ca="1">IFERROR(IF(OR(INDEX(checklistPesertaKemenkeu!$P$6:$P$1005,SMALL(IF(checklistPesertaKemenkeu!$AY$6:$AY$1005="Direkomendasikan",ROW($6:$1005)-5),84))="",INDEX(checklistPesertaKemenkeu!$J$6:$J$1005,SMALL(IF(checklistPesertaKemenkeu!$AY$6:$AY$1005="Direkomendasikan",ROW($6:$1005)-5),84))=""),"",IF(AND(COUNTIF(INDIRECT("K_"&amp;MATCH(INDEX(checklistPesertaKemenkeu!$J$6:$J$1005,SMALL(IF(checklistPesertaKemenkeu!$AY$6:$AY$1005="Direkomendasikan",ROW($6:$1005)-5),84)),BidangList,0)),INDEX(checklistPesertaKemenkeu!$P$6:$P$1005,SMALL(IF(checklistPesertaKemenkeu!$AY$6:$AY$1005="Direkomendasikan",ROW($6:$1005)-5),84)))&gt;0,COUNTIF(INDIRECT("'KERTAS KERJA'!K"&amp;(SMALL(IF(checklistPesertaKemenkeu!$AY$6:$AY$1005="Direkomendasikan",ROW($6:$1005)-5),84)+5)&amp;":O"&amp;(SMALL(IF(checklistPesertaKemenkeu!$AY$6:$AY$1005="Direkomendasikan",ROW($6:$1005)-5),84)+5)),INDEX(checklistPesertaKemenkeu!$P$6:$P$1005,SMALL(IF(checklistPesertaKemenkeu!$AY$6:$AY$1005="Direkomendasikan",ROW($6:$1005)-5),84)))=1),IFERROR(VLOOKUP(INDEX(checklistPesertaKemenkeu!$P$6:$P$1005,SMALL(IF(checklistPesertaKemenkeu!$AY$6:$AY$1005="Direkomendasikan",ROW($6:$1005)-5),84)),KotaKode,2,0),"-"),"")),"")</f>
        <v/>
      </c>
    </row>
    <row r="86" spans="1:12" ht="15" customHeight="1" x14ac:dyDescent="0.2">
      <c r="A86" t="str">
        <f t="shared" si="1"/>
        <v/>
      </c>
      <c r="B86" t="str">
        <v/>
      </c>
      <c r="C86" s="40" t="str">
        <f t="array" ref="C86">IFERROR(INDEX(checklistPesertaKemenkeu!$F$6:$F$1005,SMALL(IF(checklistPesertaKemenkeu!$AY$6:$AY$1005="Direkomendasikan",ROW($6:$1005)-5),85)),"")</f>
        <v/>
      </c>
      <c r="D86" t="str">
        <f t="array" ref="D86">IFERROR(INDEX(checklistPesertaKemenkeu!$G$6:$G$1005,SMALL(IF(checklistPesertaKemenkeu!$AY$6:$AY$1005="Direkomendasikan",ROW($6:$1005)-5),85)),"")</f>
        <v/>
      </c>
      <c r="E86" t="str">
        <f t="array" ref="E86">IFERROR(INDEX(checklistPesertaKemenkeu!$H$6:$H$1005,SMALL(IF(checklistPesertaKemenkeu!$AY$6:$AY$1005="Direkomendasikan",ROW($6:$1005)-5),85)),"")</f>
        <v/>
      </c>
      <c r="F86" t="str">
        <f t="array" ref="F86">IFERROR(INDEX(checklistPesertaKemenkeu!$I$6:$I$1005,SMALL(IF(checklistPesertaKemenkeu!$AY$6:$AY$1005="Direkomendasikan",ROW($6:$1005)-5),85)),"")</f>
        <v/>
      </c>
      <c r="G86" t="str">
        <f t="array" ref="G86">IFERROR(INDEX(checklistPesertaKemenkeu!$J$6:$J$1005,SMALL(IF(checklistPesertaKemenkeu!$AY$6:$AY$1005="Direkomendasikan",ROW($6:$1005)-5),85)),"")</f>
        <v/>
      </c>
      <c r="H86" t="str">
        <f t="array" aca="1" ref="H86" ca="1">IFERROR(IF(OR(INDEX(checklistPesertaKemenkeu!$L$6:$L$1005,SMALL(IF(checklistPesertaKemenkeu!$AY$6:$AY$1005="Direkomendasikan",ROW($6:$1005)-5),85))="",INDEX(checklistPesertaKemenkeu!$J$6:$J$1005,SMALL(IF(checklistPesertaKemenkeu!$AY$6:$AY$1005="Direkomendasikan",ROW($6:$1005)-5),85))=""),"",IF(AND(COUNTIF(INDIRECT("K_"&amp;MATCH(INDEX(checklistPesertaKemenkeu!$J$6:$J$1005,SMALL(IF(checklistPesertaKemenkeu!$AY$6:$AY$1005="Direkomendasikan",ROW($6:$1005)-5),85)),BidangList,0)),INDEX(checklistPesertaKemenkeu!$L$6:$L$1005,SMALL(IF(checklistPesertaKemenkeu!$AY$6:$AY$1005="Direkomendasikan",ROW($6:$1005)-5),85)))&gt;0,COUNTIF(INDIRECT("'KERTAS KERJA'!K"&amp;(SMALL(IF(checklistPesertaKemenkeu!$AY$6:$AY$1005="Direkomendasikan",ROW($6:$1005)-5),85)+5)&amp;":O"&amp;(SMALL(IF(checklistPesertaKemenkeu!$AY$6:$AY$1005="Direkomendasikan",ROW($6:$1005)-5),85)+5)),INDEX(checklistPesertaKemenkeu!$L$6:$L$1005,SMALL(IF(checklistPesertaKemenkeu!$AY$6:$AY$1005="Direkomendasikan",ROW($6:$1005)-5),85)))=1),IFERROR(VLOOKUP(INDEX(checklistPesertaKemenkeu!$L$6:$L$1005,SMALL(IF(checklistPesertaKemenkeu!$AY$6:$AY$1005="Direkomendasikan",ROW($6:$1005)-5),85)),KotaKode,2,0),"-"),"")),"")</f>
        <v/>
      </c>
      <c r="I86" t="str">
        <f t="array" aca="1" ref="I86" ca="1">IFERROR(IF(OR(INDEX(checklistPesertaKemenkeu!$M$6:$M$1005,SMALL(IF(checklistPesertaKemenkeu!$AY$6:$AY$1005="Direkomendasikan",ROW($6:$1005)-5),85))="",INDEX(checklistPesertaKemenkeu!$J$6:$J$1005,SMALL(IF(checklistPesertaKemenkeu!$AY$6:$AY$1005="Direkomendasikan",ROW($6:$1005)-5),85))=""),"",IF(AND(COUNTIF(INDIRECT("K_"&amp;MATCH(INDEX(checklistPesertaKemenkeu!$J$6:$J$1005,SMALL(IF(checklistPesertaKemenkeu!$AY$6:$AY$1005="Direkomendasikan",ROW($6:$1005)-5),85)),BidangList,0)),INDEX(checklistPesertaKemenkeu!$M$6:$M$1005,SMALL(IF(checklistPesertaKemenkeu!$AY$6:$AY$1005="Direkomendasikan",ROW($6:$1005)-5),85)))&gt;0,COUNTIF(INDIRECT("'KERTAS KERJA'!K"&amp;(SMALL(IF(checklistPesertaKemenkeu!$AY$6:$AY$1005="Direkomendasikan",ROW($6:$1005)-5),85)+5)&amp;":O"&amp;(SMALL(IF(checklistPesertaKemenkeu!$AY$6:$AY$1005="Direkomendasikan",ROW($6:$1005)-5),85)+5)),INDEX(checklistPesertaKemenkeu!$M$6:$M$1005,SMALL(IF(checklistPesertaKemenkeu!$AY$6:$AY$1005="Direkomendasikan",ROW($6:$1005)-5),85)))=1),IFERROR(VLOOKUP(INDEX(checklistPesertaKemenkeu!$M$6:$M$1005,SMALL(IF(checklistPesertaKemenkeu!$AY$6:$AY$1005="Direkomendasikan",ROW($6:$1005)-5),85)),KotaKode,2,0),"-"),"")),"")</f>
        <v/>
      </c>
      <c r="J86" t="str">
        <f t="array" aca="1" ref="J86" ca="1">IFERROR(IF(OR(INDEX(checklistPesertaKemenkeu!$N$6:$N$1005,SMALL(IF(checklistPesertaKemenkeu!$AY$6:$AY$1005="Direkomendasikan",ROW($6:$1005)-5),85))="",INDEX(checklistPesertaKemenkeu!$J$6:$J$1005,SMALL(IF(checklistPesertaKemenkeu!$AY$6:$AY$1005="Direkomendasikan",ROW($6:$1005)-5),85))=""),"",IF(AND(COUNTIF(INDIRECT("K_"&amp;MATCH(INDEX(checklistPesertaKemenkeu!$J$6:$J$1005,SMALL(IF(checklistPesertaKemenkeu!$AY$6:$AY$1005="Direkomendasikan",ROW($6:$1005)-5),85)),BidangList,0)),INDEX(checklistPesertaKemenkeu!$N$6:$N$1005,SMALL(IF(checklistPesertaKemenkeu!$AY$6:$AY$1005="Direkomendasikan",ROW($6:$1005)-5),85)))&gt;0,COUNTIF(INDIRECT("'KERTAS KERJA'!K"&amp;(SMALL(IF(checklistPesertaKemenkeu!$AY$6:$AY$1005="Direkomendasikan",ROW($6:$1005)-5),85)+5)&amp;":O"&amp;(SMALL(IF(checklistPesertaKemenkeu!$AY$6:$AY$1005="Direkomendasikan",ROW($6:$1005)-5),85)+5)),INDEX(checklistPesertaKemenkeu!$N$6:$N$1005,SMALL(IF(checklistPesertaKemenkeu!$AY$6:$AY$1005="Direkomendasikan",ROW($6:$1005)-5),85)))=1),IFERROR(VLOOKUP(INDEX(checklistPesertaKemenkeu!$N$6:$N$1005,SMALL(IF(checklistPesertaKemenkeu!$AY$6:$AY$1005="Direkomendasikan",ROW($6:$1005)-5),85)),KotaKode,2,0),"-"),"")),"")</f>
        <v/>
      </c>
      <c r="K86" t="str">
        <f t="array" aca="1" ref="K86" ca="1">IFERROR(IF(OR(INDEX(checklistPesertaKemenkeu!$O$6:$O$1005,SMALL(IF(checklistPesertaKemenkeu!$AY$6:$AY$1005="Direkomendasikan",ROW($6:$1005)-5),85))="",INDEX(checklistPesertaKemenkeu!$J$6:$J$1005,SMALL(IF(checklistPesertaKemenkeu!$AY$6:$AY$1005="Direkomendasikan",ROW($6:$1005)-5),85))=""),"",IF(AND(COUNTIF(INDIRECT("K_"&amp;MATCH(INDEX(checklistPesertaKemenkeu!$J$6:$J$1005,SMALL(IF(checklistPesertaKemenkeu!$AY$6:$AY$1005="Direkomendasikan",ROW($6:$1005)-5),85)),BidangList,0)),INDEX(checklistPesertaKemenkeu!$O$6:$O$1005,SMALL(IF(checklistPesertaKemenkeu!$AY$6:$AY$1005="Direkomendasikan",ROW($6:$1005)-5),85)))&gt;0,COUNTIF(INDIRECT("'KERTAS KERJA'!K"&amp;(SMALL(IF(checklistPesertaKemenkeu!$AY$6:$AY$1005="Direkomendasikan",ROW($6:$1005)-5),85)+5)&amp;":O"&amp;(SMALL(IF(checklistPesertaKemenkeu!$AY$6:$AY$1005="Direkomendasikan",ROW($6:$1005)-5),85)+5)),INDEX(checklistPesertaKemenkeu!$O$6:$O$1005,SMALL(IF(checklistPesertaKemenkeu!$AY$6:$AY$1005="Direkomendasikan",ROW($6:$1005)-5),85)))=1),IFERROR(VLOOKUP(INDEX(checklistPesertaKemenkeu!$O$6:$O$1005,SMALL(IF(checklistPesertaKemenkeu!$AY$6:$AY$1005="Direkomendasikan",ROW($6:$1005)-5),85)),KotaKode,2,0),"-"),"")),"")</f>
        <v/>
      </c>
      <c r="L86" t="str">
        <f t="array" aca="1" ref="L86" ca="1">IFERROR(IF(OR(INDEX(checklistPesertaKemenkeu!$P$6:$P$1005,SMALL(IF(checklistPesertaKemenkeu!$AY$6:$AY$1005="Direkomendasikan",ROW($6:$1005)-5),85))="",INDEX(checklistPesertaKemenkeu!$J$6:$J$1005,SMALL(IF(checklistPesertaKemenkeu!$AY$6:$AY$1005="Direkomendasikan",ROW($6:$1005)-5),85))=""),"",IF(AND(COUNTIF(INDIRECT("K_"&amp;MATCH(INDEX(checklistPesertaKemenkeu!$J$6:$J$1005,SMALL(IF(checklistPesertaKemenkeu!$AY$6:$AY$1005="Direkomendasikan",ROW($6:$1005)-5),85)),BidangList,0)),INDEX(checklistPesertaKemenkeu!$P$6:$P$1005,SMALL(IF(checklistPesertaKemenkeu!$AY$6:$AY$1005="Direkomendasikan",ROW($6:$1005)-5),85)))&gt;0,COUNTIF(INDIRECT("'KERTAS KERJA'!K"&amp;(SMALL(IF(checklistPesertaKemenkeu!$AY$6:$AY$1005="Direkomendasikan",ROW($6:$1005)-5),85)+5)&amp;":O"&amp;(SMALL(IF(checklistPesertaKemenkeu!$AY$6:$AY$1005="Direkomendasikan",ROW($6:$1005)-5),85)+5)),INDEX(checklistPesertaKemenkeu!$P$6:$P$1005,SMALL(IF(checklistPesertaKemenkeu!$AY$6:$AY$1005="Direkomendasikan",ROW($6:$1005)-5),85)))=1),IFERROR(VLOOKUP(INDEX(checklistPesertaKemenkeu!$P$6:$P$1005,SMALL(IF(checklistPesertaKemenkeu!$AY$6:$AY$1005="Direkomendasikan",ROW($6:$1005)-5),85)),KotaKode,2,0),"-"),"")),"")</f>
        <v/>
      </c>
    </row>
    <row r="87" spans="1:12" ht="15" customHeight="1" x14ac:dyDescent="0.2">
      <c r="A87" t="str">
        <f t="shared" si="1"/>
        <v/>
      </c>
      <c r="B87" t="str">
        <v/>
      </c>
      <c r="C87" s="40" t="str">
        <f t="array" ref="C87">IFERROR(INDEX(checklistPesertaKemenkeu!$F$6:$F$1005,SMALL(IF(checklistPesertaKemenkeu!$AY$6:$AY$1005="Direkomendasikan",ROW($6:$1005)-5),86)),"")</f>
        <v/>
      </c>
      <c r="D87" t="str">
        <f t="array" ref="D87">IFERROR(INDEX(checklistPesertaKemenkeu!$G$6:$G$1005,SMALL(IF(checklistPesertaKemenkeu!$AY$6:$AY$1005="Direkomendasikan",ROW($6:$1005)-5),86)),"")</f>
        <v/>
      </c>
      <c r="E87" t="str">
        <f t="array" ref="E87">IFERROR(INDEX(checklistPesertaKemenkeu!$H$6:$H$1005,SMALL(IF(checklistPesertaKemenkeu!$AY$6:$AY$1005="Direkomendasikan",ROW($6:$1005)-5),86)),"")</f>
        <v/>
      </c>
      <c r="F87" t="str">
        <f t="array" ref="F87">IFERROR(INDEX(checklistPesertaKemenkeu!$I$6:$I$1005,SMALL(IF(checklistPesertaKemenkeu!$AY$6:$AY$1005="Direkomendasikan",ROW($6:$1005)-5),86)),"")</f>
        <v/>
      </c>
      <c r="G87" t="str">
        <f t="array" ref="G87">IFERROR(INDEX(checklistPesertaKemenkeu!$J$6:$J$1005,SMALL(IF(checklistPesertaKemenkeu!$AY$6:$AY$1005="Direkomendasikan",ROW($6:$1005)-5),86)),"")</f>
        <v/>
      </c>
      <c r="H87" t="str">
        <f t="array" aca="1" ref="H87" ca="1">IFERROR(IF(OR(INDEX(checklistPesertaKemenkeu!$L$6:$L$1005,SMALL(IF(checklistPesertaKemenkeu!$AY$6:$AY$1005="Direkomendasikan",ROW($6:$1005)-5),86))="",INDEX(checklistPesertaKemenkeu!$J$6:$J$1005,SMALL(IF(checklistPesertaKemenkeu!$AY$6:$AY$1005="Direkomendasikan",ROW($6:$1005)-5),86))=""),"",IF(AND(COUNTIF(INDIRECT("K_"&amp;MATCH(INDEX(checklistPesertaKemenkeu!$J$6:$J$1005,SMALL(IF(checklistPesertaKemenkeu!$AY$6:$AY$1005="Direkomendasikan",ROW($6:$1005)-5),86)),BidangList,0)),INDEX(checklistPesertaKemenkeu!$L$6:$L$1005,SMALL(IF(checklistPesertaKemenkeu!$AY$6:$AY$1005="Direkomendasikan",ROW($6:$1005)-5),86)))&gt;0,COUNTIF(INDIRECT("'KERTAS KERJA'!K"&amp;(SMALL(IF(checklistPesertaKemenkeu!$AY$6:$AY$1005="Direkomendasikan",ROW($6:$1005)-5),86)+5)&amp;":O"&amp;(SMALL(IF(checklistPesertaKemenkeu!$AY$6:$AY$1005="Direkomendasikan",ROW($6:$1005)-5),86)+5)),INDEX(checklistPesertaKemenkeu!$L$6:$L$1005,SMALL(IF(checklistPesertaKemenkeu!$AY$6:$AY$1005="Direkomendasikan",ROW($6:$1005)-5),86)))=1),IFERROR(VLOOKUP(INDEX(checklistPesertaKemenkeu!$L$6:$L$1005,SMALL(IF(checklistPesertaKemenkeu!$AY$6:$AY$1005="Direkomendasikan",ROW($6:$1005)-5),86)),KotaKode,2,0),"-"),"")),"")</f>
        <v/>
      </c>
      <c r="I87" t="str">
        <f t="array" aca="1" ref="I87" ca="1">IFERROR(IF(OR(INDEX(checklistPesertaKemenkeu!$M$6:$M$1005,SMALL(IF(checklistPesertaKemenkeu!$AY$6:$AY$1005="Direkomendasikan",ROW($6:$1005)-5),86))="",INDEX(checklistPesertaKemenkeu!$J$6:$J$1005,SMALL(IF(checklistPesertaKemenkeu!$AY$6:$AY$1005="Direkomendasikan",ROW($6:$1005)-5),86))=""),"",IF(AND(COUNTIF(INDIRECT("K_"&amp;MATCH(INDEX(checklistPesertaKemenkeu!$J$6:$J$1005,SMALL(IF(checklistPesertaKemenkeu!$AY$6:$AY$1005="Direkomendasikan",ROW($6:$1005)-5),86)),BidangList,0)),INDEX(checklistPesertaKemenkeu!$M$6:$M$1005,SMALL(IF(checklistPesertaKemenkeu!$AY$6:$AY$1005="Direkomendasikan",ROW($6:$1005)-5),86)))&gt;0,COUNTIF(INDIRECT("'KERTAS KERJA'!K"&amp;(SMALL(IF(checklistPesertaKemenkeu!$AY$6:$AY$1005="Direkomendasikan",ROW($6:$1005)-5),86)+5)&amp;":O"&amp;(SMALL(IF(checklistPesertaKemenkeu!$AY$6:$AY$1005="Direkomendasikan",ROW($6:$1005)-5),86)+5)),INDEX(checklistPesertaKemenkeu!$M$6:$M$1005,SMALL(IF(checklistPesertaKemenkeu!$AY$6:$AY$1005="Direkomendasikan",ROW($6:$1005)-5),86)))=1),IFERROR(VLOOKUP(INDEX(checklistPesertaKemenkeu!$M$6:$M$1005,SMALL(IF(checklistPesertaKemenkeu!$AY$6:$AY$1005="Direkomendasikan",ROW($6:$1005)-5),86)),KotaKode,2,0),"-"),"")),"")</f>
        <v/>
      </c>
      <c r="J87" t="str">
        <f t="array" aca="1" ref="J87" ca="1">IFERROR(IF(OR(INDEX(checklistPesertaKemenkeu!$N$6:$N$1005,SMALL(IF(checklistPesertaKemenkeu!$AY$6:$AY$1005="Direkomendasikan",ROW($6:$1005)-5),86))="",INDEX(checklistPesertaKemenkeu!$J$6:$J$1005,SMALL(IF(checklistPesertaKemenkeu!$AY$6:$AY$1005="Direkomendasikan",ROW($6:$1005)-5),86))=""),"",IF(AND(COUNTIF(INDIRECT("K_"&amp;MATCH(INDEX(checklistPesertaKemenkeu!$J$6:$J$1005,SMALL(IF(checklistPesertaKemenkeu!$AY$6:$AY$1005="Direkomendasikan",ROW($6:$1005)-5),86)),BidangList,0)),INDEX(checklistPesertaKemenkeu!$N$6:$N$1005,SMALL(IF(checklistPesertaKemenkeu!$AY$6:$AY$1005="Direkomendasikan",ROW($6:$1005)-5),86)))&gt;0,COUNTIF(INDIRECT("'KERTAS KERJA'!K"&amp;(SMALL(IF(checklistPesertaKemenkeu!$AY$6:$AY$1005="Direkomendasikan",ROW($6:$1005)-5),86)+5)&amp;":O"&amp;(SMALL(IF(checklistPesertaKemenkeu!$AY$6:$AY$1005="Direkomendasikan",ROW($6:$1005)-5),86)+5)),INDEX(checklistPesertaKemenkeu!$N$6:$N$1005,SMALL(IF(checklistPesertaKemenkeu!$AY$6:$AY$1005="Direkomendasikan",ROW($6:$1005)-5),86)))=1),IFERROR(VLOOKUP(INDEX(checklistPesertaKemenkeu!$N$6:$N$1005,SMALL(IF(checklistPesertaKemenkeu!$AY$6:$AY$1005="Direkomendasikan",ROW($6:$1005)-5),86)),KotaKode,2,0),"-"),"")),"")</f>
        <v/>
      </c>
      <c r="K87" t="str">
        <f t="array" aca="1" ref="K87" ca="1">IFERROR(IF(OR(INDEX(checklistPesertaKemenkeu!$O$6:$O$1005,SMALL(IF(checklistPesertaKemenkeu!$AY$6:$AY$1005="Direkomendasikan",ROW($6:$1005)-5),86))="",INDEX(checklistPesertaKemenkeu!$J$6:$J$1005,SMALL(IF(checklistPesertaKemenkeu!$AY$6:$AY$1005="Direkomendasikan",ROW($6:$1005)-5),86))=""),"",IF(AND(COUNTIF(INDIRECT("K_"&amp;MATCH(INDEX(checklistPesertaKemenkeu!$J$6:$J$1005,SMALL(IF(checklistPesertaKemenkeu!$AY$6:$AY$1005="Direkomendasikan",ROW($6:$1005)-5),86)),BidangList,0)),INDEX(checklistPesertaKemenkeu!$O$6:$O$1005,SMALL(IF(checklistPesertaKemenkeu!$AY$6:$AY$1005="Direkomendasikan",ROW($6:$1005)-5),86)))&gt;0,COUNTIF(INDIRECT("'KERTAS KERJA'!K"&amp;(SMALL(IF(checklistPesertaKemenkeu!$AY$6:$AY$1005="Direkomendasikan",ROW($6:$1005)-5),86)+5)&amp;":O"&amp;(SMALL(IF(checklistPesertaKemenkeu!$AY$6:$AY$1005="Direkomendasikan",ROW($6:$1005)-5),86)+5)),INDEX(checklistPesertaKemenkeu!$O$6:$O$1005,SMALL(IF(checklistPesertaKemenkeu!$AY$6:$AY$1005="Direkomendasikan",ROW($6:$1005)-5),86)))=1),IFERROR(VLOOKUP(INDEX(checklistPesertaKemenkeu!$O$6:$O$1005,SMALL(IF(checklistPesertaKemenkeu!$AY$6:$AY$1005="Direkomendasikan",ROW($6:$1005)-5),86)),KotaKode,2,0),"-"),"")),"")</f>
        <v/>
      </c>
      <c r="L87" t="str">
        <f t="array" aca="1" ref="L87" ca="1">IFERROR(IF(OR(INDEX(checklistPesertaKemenkeu!$P$6:$P$1005,SMALL(IF(checklistPesertaKemenkeu!$AY$6:$AY$1005="Direkomendasikan",ROW($6:$1005)-5),86))="",INDEX(checklistPesertaKemenkeu!$J$6:$J$1005,SMALL(IF(checklistPesertaKemenkeu!$AY$6:$AY$1005="Direkomendasikan",ROW($6:$1005)-5),86))=""),"",IF(AND(COUNTIF(INDIRECT("K_"&amp;MATCH(INDEX(checklistPesertaKemenkeu!$J$6:$J$1005,SMALL(IF(checklistPesertaKemenkeu!$AY$6:$AY$1005="Direkomendasikan",ROW($6:$1005)-5),86)),BidangList,0)),INDEX(checklistPesertaKemenkeu!$P$6:$P$1005,SMALL(IF(checklistPesertaKemenkeu!$AY$6:$AY$1005="Direkomendasikan",ROW($6:$1005)-5),86)))&gt;0,COUNTIF(INDIRECT("'KERTAS KERJA'!K"&amp;(SMALL(IF(checklistPesertaKemenkeu!$AY$6:$AY$1005="Direkomendasikan",ROW($6:$1005)-5),86)+5)&amp;":O"&amp;(SMALL(IF(checklistPesertaKemenkeu!$AY$6:$AY$1005="Direkomendasikan",ROW($6:$1005)-5),86)+5)),INDEX(checklistPesertaKemenkeu!$P$6:$P$1005,SMALL(IF(checklistPesertaKemenkeu!$AY$6:$AY$1005="Direkomendasikan",ROW($6:$1005)-5),86)))=1),IFERROR(VLOOKUP(INDEX(checklistPesertaKemenkeu!$P$6:$P$1005,SMALL(IF(checklistPesertaKemenkeu!$AY$6:$AY$1005="Direkomendasikan",ROW($6:$1005)-5),86)),KotaKode,2,0),"-"),"")),"")</f>
        <v/>
      </c>
    </row>
    <row r="88" spans="1:12" ht="15" customHeight="1" x14ac:dyDescent="0.2">
      <c r="A88" t="str">
        <f t="shared" si="1"/>
        <v/>
      </c>
      <c r="B88" t="str">
        <v/>
      </c>
      <c r="C88" s="40" t="str">
        <f t="array" ref="C88">IFERROR(INDEX(checklistPesertaKemenkeu!$F$6:$F$1005,SMALL(IF(checklistPesertaKemenkeu!$AY$6:$AY$1005="Direkomendasikan",ROW($6:$1005)-5),87)),"")</f>
        <v/>
      </c>
      <c r="D88" t="str">
        <f t="array" ref="D88">IFERROR(INDEX(checklistPesertaKemenkeu!$G$6:$G$1005,SMALL(IF(checklistPesertaKemenkeu!$AY$6:$AY$1005="Direkomendasikan",ROW($6:$1005)-5),87)),"")</f>
        <v/>
      </c>
      <c r="E88" t="str">
        <f t="array" ref="E88">IFERROR(INDEX(checklistPesertaKemenkeu!$H$6:$H$1005,SMALL(IF(checklistPesertaKemenkeu!$AY$6:$AY$1005="Direkomendasikan",ROW($6:$1005)-5),87)),"")</f>
        <v/>
      </c>
      <c r="F88" t="str">
        <f t="array" ref="F88">IFERROR(INDEX(checklistPesertaKemenkeu!$I$6:$I$1005,SMALL(IF(checklistPesertaKemenkeu!$AY$6:$AY$1005="Direkomendasikan",ROW($6:$1005)-5),87)),"")</f>
        <v/>
      </c>
      <c r="G88" t="str">
        <f t="array" ref="G88">IFERROR(INDEX(checklistPesertaKemenkeu!$J$6:$J$1005,SMALL(IF(checklistPesertaKemenkeu!$AY$6:$AY$1005="Direkomendasikan",ROW($6:$1005)-5),87)),"")</f>
        <v/>
      </c>
      <c r="H88" t="str">
        <f t="array" aca="1" ref="H88" ca="1">IFERROR(IF(OR(INDEX(checklistPesertaKemenkeu!$L$6:$L$1005,SMALL(IF(checklistPesertaKemenkeu!$AY$6:$AY$1005="Direkomendasikan",ROW($6:$1005)-5),87))="",INDEX(checklistPesertaKemenkeu!$J$6:$J$1005,SMALL(IF(checklistPesertaKemenkeu!$AY$6:$AY$1005="Direkomendasikan",ROW($6:$1005)-5),87))=""),"",IF(AND(COUNTIF(INDIRECT("K_"&amp;MATCH(INDEX(checklistPesertaKemenkeu!$J$6:$J$1005,SMALL(IF(checklistPesertaKemenkeu!$AY$6:$AY$1005="Direkomendasikan",ROW($6:$1005)-5),87)),BidangList,0)),INDEX(checklistPesertaKemenkeu!$L$6:$L$1005,SMALL(IF(checklistPesertaKemenkeu!$AY$6:$AY$1005="Direkomendasikan",ROW($6:$1005)-5),87)))&gt;0,COUNTIF(INDIRECT("'KERTAS KERJA'!K"&amp;(SMALL(IF(checklistPesertaKemenkeu!$AY$6:$AY$1005="Direkomendasikan",ROW($6:$1005)-5),87)+5)&amp;":O"&amp;(SMALL(IF(checklistPesertaKemenkeu!$AY$6:$AY$1005="Direkomendasikan",ROW($6:$1005)-5),87)+5)),INDEX(checklistPesertaKemenkeu!$L$6:$L$1005,SMALL(IF(checklistPesertaKemenkeu!$AY$6:$AY$1005="Direkomendasikan",ROW($6:$1005)-5),87)))=1),IFERROR(VLOOKUP(INDEX(checklistPesertaKemenkeu!$L$6:$L$1005,SMALL(IF(checklistPesertaKemenkeu!$AY$6:$AY$1005="Direkomendasikan",ROW($6:$1005)-5),87)),KotaKode,2,0),"-"),"")),"")</f>
        <v/>
      </c>
      <c r="I88" t="str">
        <f t="array" aca="1" ref="I88" ca="1">IFERROR(IF(OR(INDEX(checklistPesertaKemenkeu!$M$6:$M$1005,SMALL(IF(checklistPesertaKemenkeu!$AY$6:$AY$1005="Direkomendasikan",ROW($6:$1005)-5),87))="",INDEX(checklistPesertaKemenkeu!$J$6:$J$1005,SMALL(IF(checklistPesertaKemenkeu!$AY$6:$AY$1005="Direkomendasikan",ROW($6:$1005)-5),87))=""),"",IF(AND(COUNTIF(INDIRECT("K_"&amp;MATCH(INDEX(checklistPesertaKemenkeu!$J$6:$J$1005,SMALL(IF(checklistPesertaKemenkeu!$AY$6:$AY$1005="Direkomendasikan",ROW($6:$1005)-5),87)),BidangList,0)),INDEX(checklistPesertaKemenkeu!$M$6:$M$1005,SMALL(IF(checklistPesertaKemenkeu!$AY$6:$AY$1005="Direkomendasikan",ROW($6:$1005)-5),87)))&gt;0,COUNTIF(INDIRECT("'KERTAS KERJA'!K"&amp;(SMALL(IF(checklistPesertaKemenkeu!$AY$6:$AY$1005="Direkomendasikan",ROW($6:$1005)-5),87)+5)&amp;":O"&amp;(SMALL(IF(checklistPesertaKemenkeu!$AY$6:$AY$1005="Direkomendasikan",ROW($6:$1005)-5),87)+5)),INDEX(checklistPesertaKemenkeu!$M$6:$M$1005,SMALL(IF(checklistPesertaKemenkeu!$AY$6:$AY$1005="Direkomendasikan",ROW($6:$1005)-5),87)))=1),IFERROR(VLOOKUP(INDEX(checklistPesertaKemenkeu!$M$6:$M$1005,SMALL(IF(checklistPesertaKemenkeu!$AY$6:$AY$1005="Direkomendasikan",ROW($6:$1005)-5),87)),KotaKode,2,0),"-"),"")),"")</f>
        <v/>
      </c>
      <c r="J88" t="str">
        <f t="array" aca="1" ref="J88" ca="1">IFERROR(IF(OR(INDEX(checklistPesertaKemenkeu!$N$6:$N$1005,SMALL(IF(checklistPesertaKemenkeu!$AY$6:$AY$1005="Direkomendasikan",ROW($6:$1005)-5),87))="",INDEX(checklistPesertaKemenkeu!$J$6:$J$1005,SMALL(IF(checklistPesertaKemenkeu!$AY$6:$AY$1005="Direkomendasikan",ROW($6:$1005)-5),87))=""),"",IF(AND(COUNTIF(INDIRECT("K_"&amp;MATCH(INDEX(checklistPesertaKemenkeu!$J$6:$J$1005,SMALL(IF(checklistPesertaKemenkeu!$AY$6:$AY$1005="Direkomendasikan",ROW($6:$1005)-5),87)),BidangList,0)),INDEX(checklistPesertaKemenkeu!$N$6:$N$1005,SMALL(IF(checklistPesertaKemenkeu!$AY$6:$AY$1005="Direkomendasikan",ROW($6:$1005)-5),87)))&gt;0,COUNTIF(INDIRECT("'KERTAS KERJA'!K"&amp;(SMALL(IF(checklistPesertaKemenkeu!$AY$6:$AY$1005="Direkomendasikan",ROW($6:$1005)-5),87)+5)&amp;":O"&amp;(SMALL(IF(checklistPesertaKemenkeu!$AY$6:$AY$1005="Direkomendasikan",ROW($6:$1005)-5),87)+5)),INDEX(checklistPesertaKemenkeu!$N$6:$N$1005,SMALL(IF(checklistPesertaKemenkeu!$AY$6:$AY$1005="Direkomendasikan",ROW($6:$1005)-5),87)))=1),IFERROR(VLOOKUP(INDEX(checklistPesertaKemenkeu!$N$6:$N$1005,SMALL(IF(checklistPesertaKemenkeu!$AY$6:$AY$1005="Direkomendasikan",ROW($6:$1005)-5),87)),KotaKode,2,0),"-"),"")),"")</f>
        <v/>
      </c>
      <c r="K88" t="str">
        <f t="array" aca="1" ref="K88" ca="1">IFERROR(IF(OR(INDEX(checklistPesertaKemenkeu!$O$6:$O$1005,SMALL(IF(checklistPesertaKemenkeu!$AY$6:$AY$1005="Direkomendasikan",ROW($6:$1005)-5),87))="",INDEX(checklistPesertaKemenkeu!$J$6:$J$1005,SMALL(IF(checklistPesertaKemenkeu!$AY$6:$AY$1005="Direkomendasikan",ROW($6:$1005)-5),87))=""),"",IF(AND(COUNTIF(INDIRECT("K_"&amp;MATCH(INDEX(checklistPesertaKemenkeu!$J$6:$J$1005,SMALL(IF(checklistPesertaKemenkeu!$AY$6:$AY$1005="Direkomendasikan",ROW($6:$1005)-5),87)),BidangList,0)),INDEX(checklistPesertaKemenkeu!$O$6:$O$1005,SMALL(IF(checklistPesertaKemenkeu!$AY$6:$AY$1005="Direkomendasikan",ROW($6:$1005)-5),87)))&gt;0,COUNTIF(INDIRECT("'KERTAS KERJA'!K"&amp;(SMALL(IF(checklistPesertaKemenkeu!$AY$6:$AY$1005="Direkomendasikan",ROW($6:$1005)-5),87)+5)&amp;":O"&amp;(SMALL(IF(checklistPesertaKemenkeu!$AY$6:$AY$1005="Direkomendasikan",ROW($6:$1005)-5),87)+5)),INDEX(checklistPesertaKemenkeu!$O$6:$O$1005,SMALL(IF(checklistPesertaKemenkeu!$AY$6:$AY$1005="Direkomendasikan",ROW($6:$1005)-5),87)))=1),IFERROR(VLOOKUP(INDEX(checklistPesertaKemenkeu!$O$6:$O$1005,SMALL(IF(checklistPesertaKemenkeu!$AY$6:$AY$1005="Direkomendasikan",ROW($6:$1005)-5),87)),KotaKode,2,0),"-"),"")),"")</f>
        <v/>
      </c>
      <c r="L88" t="str">
        <f t="array" aca="1" ref="L88" ca="1">IFERROR(IF(OR(INDEX(checklistPesertaKemenkeu!$P$6:$P$1005,SMALL(IF(checklistPesertaKemenkeu!$AY$6:$AY$1005="Direkomendasikan",ROW($6:$1005)-5),87))="",INDEX(checklistPesertaKemenkeu!$J$6:$J$1005,SMALL(IF(checklistPesertaKemenkeu!$AY$6:$AY$1005="Direkomendasikan",ROW($6:$1005)-5),87))=""),"",IF(AND(COUNTIF(INDIRECT("K_"&amp;MATCH(INDEX(checklistPesertaKemenkeu!$J$6:$J$1005,SMALL(IF(checklistPesertaKemenkeu!$AY$6:$AY$1005="Direkomendasikan",ROW($6:$1005)-5),87)),BidangList,0)),INDEX(checklistPesertaKemenkeu!$P$6:$P$1005,SMALL(IF(checklistPesertaKemenkeu!$AY$6:$AY$1005="Direkomendasikan",ROW($6:$1005)-5),87)))&gt;0,COUNTIF(INDIRECT("'KERTAS KERJA'!K"&amp;(SMALL(IF(checklistPesertaKemenkeu!$AY$6:$AY$1005="Direkomendasikan",ROW($6:$1005)-5),87)+5)&amp;":O"&amp;(SMALL(IF(checklistPesertaKemenkeu!$AY$6:$AY$1005="Direkomendasikan",ROW($6:$1005)-5),87)+5)),INDEX(checklistPesertaKemenkeu!$P$6:$P$1005,SMALL(IF(checklistPesertaKemenkeu!$AY$6:$AY$1005="Direkomendasikan",ROW($6:$1005)-5),87)))=1),IFERROR(VLOOKUP(INDEX(checklistPesertaKemenkeu!$P$6:$P$1005,SMALL(IF(checklistPesertaKemenkeu!$AY$6:$AY$1005="Direkomendasikan",ROW($6:$1005)-5),87)),KotaKode,2,0),"-"),"")),"")</f>
        <v/>
      </c>
    </row>
    <row r="89" spans="1:12" ht="15" customHeight="1" x14ac:dyDescent="0.2">
      <c r="A89" t="str">
        <f t="shared" si="1"/>
        <v/>
      </c>
      <c r="B89" t="str">
        <v/>
      </c>
      <c r="C89" s="40" t="str">
        <f t="array" ref="C89">IFERROR(INDEX(checklistPesertaKemenkeu!$F$6:$F$1005,SMALL(IF(checklistPesertaKemenkeu!$AY$6:$AY$1005="Direkomendasikan",ROW($6:$1005)-5),88)),"")</f>
        <v/>
      </c>
      <c r="D89" t="str">
        <f t="array" ref="D89">IFERROR(INDEX(checklistPesertaKemenkeu!$G$6:$G$1005,SMALL(IF(checklistPesertaKemenkeu!$AY$6:$AY$1005="Direkomendasikan",ROW($6:$1005)-5),88)),"")</f>
        <v/>
      </c>
      <c r="E89" t="str">
        <f t="array" ref="E89">IFERROR(INDEX(checklistPesertaKemenkeu!$H$6:$H$1005,SMALL(IF(checklistPesertaKemenkeu!$AY$6:$AY$1005="Direkomendasikan",ROW($6:$1005)-5),88)),"")</f>
        <v/>
      </c>
      <c r="F89" t="str">
        <f t="array" ref="F89">IFERROR(INDEX(checklistPesertaKemenkeu!$I$6:$I$1005,SMALL(IF(checklistPesertaKemenkeu!$AY$6:$AY$1005="Direkomendasikan",ROW($6:$1005)-5),88)),"")</f>
        <v/>
      </c>
      <c r="G89" t="str">
        <f t="array" ref="G89">IFERROR(INDEX(checklistPesertaKemenkeu!$J$6:$J$1005,SMALL(IF(checklistPesertaKemenkeu!$AY$6:$AY$1005="Direkomendasikan",ROW($6:$1005)-5),88)),"")</f>
        <v/>
      </c>
      <c r="H89" t="str">
        <f t="array" aca="1" ref="H89" ca="1">IFERROR(IF(OR(INDEX(checklistPesertaKemenkeu!$L$6:$L$1005,SMALL(IF(checklistPesertaKemenkeu!$AY$6:$AY$1005="Direkomendasikan",ROW($6:$1005)-5),88))="",INDEX(checklistPesertaKemenkeu!$J$6:$J$1005,SMALL(IF(checklistPesertaKemenkeu!$AY$6:$AY$1005="Direkomendasikan",ROW($6:$1005)-5),88))=""),"",IF(AND(COUNTIF(INDIRECT("K_"&amp;MATCH(INDEX(checklistPesertaKemenkeu!$J$6:$J$1005,SMALL(IF(checklistPesertaKemenkeu!$AY$6:$AY$1005="Direkomendasikan",ROW($6:$1005)-5),88)),BidangList,0)),INDEX(checklistPesertaKemenkeu!$L$6:$L$1005,SMALL(IF(checklistPesertaKemenkeu!$AY$6:$AY$1005="Direkomendasikan",ROW($6:$1005)-5),88)))&gt;0,COUNTIF(INDIRECT("'KERTAS KERJA'!K"&amp;(SMALL(IF(checklistPesertaKemenkeu!$AY$6:$AY$1005="Direkomendasikan",ROW($6:$1005)-5),88)+5)&amp;":O"&amp;(SMALL(IF(checklistPesertaKemenkeu!$AY$6:$AY$1005="Direkomendasikan",ROW($6:$1005)-5),88)+5)),INDEX(checklistPesertaKemenkeu!$L$6:$L$1005,SMALL(IF(checklistPesertaKemenkeu!$AY$6:$AY$1005="Direkomendasikan",ROW($6:$1005)-5),88)))=1),IFERROR(VLOOKUP(INDEX(checklistPesertaKemenkeu!$L$6:$L$1005,SMALL(IF(checklistPesertaKemenkeu!$AY$6:$AY$1005="Direkomendasikan",ROW($6:$1005)-5),88)),KotaKode,2,0),"-"),"")),"")</f>
        <v/>
      </c>
      <c r="I89" t="str">
        <f t="array" aca="1" ref="I89" ca="1">IFERROR(IF(OR(INDEX(checklistPesertaKemenkeu!$M$6:$M$1005,SMALL(IF(checklistPesertaKemenkeu!$AY$6:$AY$1005="Direkomendasikan",ROW($6:$1005)-5),88))="",INDEX(checklistPesertaKemenkeu!$J$6:$J$1005,SMALL(IF(checklistPesertaKemenkeu!$AY$6:$AY$1005="Direkomendasikan",ROW($6:$1005)-5),88))=""),"",IF(AND(COUNTIF(INDIRECT("K_"&amp;MATCH(INDEX(checklistPesertaKemenkeu!$J$6:$J$1005,SMALL(IF(checklistPesertaKemenkeu!$AY$6:$AY$1005="Direkomendasikan",ROW($6:$1005)-5),88)),BidangList,0)),INDEX(checklistPesertaKemenkeu!$M$6:$M$1005,SMALL(IF(checklistPesertaKemenkeu!$AY$6:$AY$1005="Direkomendasikan",ROW($6:$1005)-5),88)))&gt;0,COUNTIF(INDIRECT("'KERTAS KERJA'!K"&amp;(SMALL(IF(checklistPesertaKemenkeu!$AY$6:$AY$1005="Direkomendasikan",ROW($6:$1005)-5),88)+5)&amp;":O"&amp;(SMALL(IF(checklistPesertaKemenkeu!$AY$6:$AY$1005="Direkomendasikan",ROW($6:$1005)-5),88)+5)),INDEX(checklistPesertaKemenkeu!$M$6:$M$1005,SMALL(IF(checklistPesertaKemenkeu!$AY$6:$AY$1005="Direkomendasikan",ROW($6:$1005)-5),88)))=1),IFERROR(VLOOKUP(INDEX(checklistPesertaKemenkeu!$M$6:$M$1005,SMALL(IF(checklistPesertaKemenkeu!$AY$6:$AY$1005="Direkomendasikan",ROW($6:$1005)-5),88)),KotaKode,2,0),"-"),"")),"")</f>
        <v/>
      </c>
      <c r="J89" t="str">
        <f t="array" aca="1" ref="J89" ca="1">IFERROR(IF(OR(INDEX(checklistPesertaKemenkeu!$N$6:$N$1005,SMALL(IF(checklistPesertaKemenkeu!$AY$6:$AY$1005="Direkomendasikan",ROW($6:$1005)-5),88))="",INDEX(checklistPesertaKemenkeu!$J$6:$J$1005,SMALL(IF(checklistPesertaKemenkeu!$AY$6:$AY$1005="Direkomendasikan",ROW($6:$1005)-5),88))=""),"",IF(AND(COUNTIF(INDIRECT("K_"&amp;MATCH(INDEX(checklistPesertaKemenkeu!$J$6:$J$1005,SMALL(IF(checklistPesertaKemenkeu!$AY$6:$AY$1005="Direkomendasikan",ROW($6:$1005)-5),88)),BidangList,0)),INDEX(checklistPesertaKemenkeu!$N$6:$N$1005,SMALL(IF(checklistPesertaKemenkeu!$AY$6:$AY$1005="Direkomendasikan",ROW($6:$1005)-5),88)))&gt;0,COUNTIF(INDIRECT("'KERTAS KERJA'!K"&amp;(SMALL(IF(checklistPesertaKemenkeu!$AY$6:$AY$1005="Direkomendasikan",ROW($6:$1005)-5),88)+5)&amp;":O"&amp;(SMALL(IF(checklistPesertaKemenkeu!$AY$6:$AY$1005="Direkomendasikan",ROW($6:$1005)-5),88)+5)),INDEX(checklistPesertaKemenkeu!$N$6:$N$1005,SMALL(IF(checklistPesertaKemenkeu!$AY$6:$AY$1005="Direkomendasikan",ROW($6:$1005)-5),88)))=1),IFERROR(VLOOKUP(INDEX(checklistPesertaKemenkeu!$N$6:$N$1005,SMALL(IF(checklistPesertaKemenkeu!$AY$6:$AY$1005="Direkomendasikan",ROW($6:$1005)-5),88)),KotaKode,2,0),"-"),"")),"")</f>
        <v/>
      </c>
      <c r="K89" t="str">
        <f t="array" aca="1" ref="K89" ca="1">IFERROR(IF(OR(INDEX(checklistPesertaKemenkeu!$O$6:$O$1005,SMALL(IF(checklistPesertaKemenkeu!$AY$6:$AY$1005="Direkomendasikan",ROW($6:$1005)-5),88))="",INDEX(checklistPesertaKemenkeu!$J$6:$J$1005,SMALL(IF(checklistPesertaKemenkeu!$AY$6:$AY$1005="Direkomendasikan",ROW($6:$1005)-5),88))=""),"",IF(AND(COUNTIF(INDIRECT("K_"&amp;MATCH(INDEX(checklistPesertaKemenkeu!$J$6:$J$1005,SMALL(IF(checklistPesertaKemenkeu!$AY$6:$AY$1005="Direkomendasikan",ROW($6:$1005)-5),88)),BidangList,0)),INDEX(checklistPesertaKemenkeu!$O$6:$O$1005,SMALL(IF(checklistPesertaKemenkeu!$AY$6:$AY$1005="Direkomendasikan",ROW($6:$1005)-5),88)))&gt;0,COUNTIF(INDIRECT("'KERTAS KERJA'!K"&amp;(SMALL(IF(checklistPesertaKemenkeu!$AY$6:$AY$1005="Direkomendasikan",ROW($6:$1005)-5),88)+5)&amp;":O"&amp;(SMALL(IF(checklistPesertaKemenkeu!$AY$6:$AY$1005="Direkomendasikan",ROW($6:$1005)-5),88)+5)),INDEX(checklistPesertaKemenkeu!$O$6:$O$1005,SMALL(IF(checklistPesertaKemenkeu!$AY$6:$AY$1005="Direkomendasikan",ROW($6:$1005)-5),88)))=1),IFERROR(VLOOKUP(INDEX(checklistPesertaKemenkeu!$O$6:$O$1005,SMALL(IF(checklistPesertaKemenkeu!$AY$6:$AY$1005="Direkomendasikan",ROW($6:$1005)-5),88)),KotaKode,2,0),"-"),"")),"")</f>
        <v/>
      </c>
      <c r="L89" t="str">
        <f t="array" aca="1" ref="L89" ca="1">IFERROR(IF(OR(INDEX(checklistPesertaKemenkeu!$P$6:$P$1005,SMALL(IF(checklistPesertaKemenkeu!$AY$6:$AY$1005="Direkomendasikan",ROW($6:$1005)-5),88))="",INDEX(checklistPesertaKemenkeu!$J$6:$J$1005,SMALL(IF(checklistPesertaKemenkeu!$AY$6:$AY$1005="Direkomendasikan",ROW($6:$1005)-5),88))=""),"",IF(AND(COUNTIF(INDIRECT("K_"&amp;MATCH(INDEX(checklistPesertaKemenkeu!$J$6:$J$1005,SMALL(IF(checklistPesertaKemenkeu!$AY$6:$AY$1005="Direkomendasikan",ROW($6:$1005)-5),88)),BidangList,0)),INDEX(checklistPesertaKemenkeu!$P$6:$P$1005,SMALL(IF(checklistPesertaKemenkeu!$AY$6:$AY$1005="Direkomendasikan",ROW($6:$1005)-5),88)))&gt;0,COUNTIF(INDIRECT("'KERTAS KERJA'!K"&amp;(SMALL(IF(checklistPesertaKemenkeu!$AY$6:$AY$1005="Direkomendasikan",ROW($6:$1005)-5),88)+5)&amp;":O"&amp;(SMALL(IF(checklistPesertaKemenkeu!$AY$6:$AY$1005="Direkomendasikan",ROW($6:$1005)-5),88)+5)),INDEX(checklistPesertaKemenkeu!$P$6:$P$1005,SMALL(IF(checklistPesertaKemenkeu!$AY$6:$AY$1005="Direkomendasikan",ROW($6:$1005)-5),88)))=1),IFERROR(VLOOKUP(INDEX(checklistPesertaKemenkeu!$P$6:$P$1005,SMALL(IF(checklistPesertaKemenkeu!$AY$6:$AY$1005="Direkomendasikan",ROW($6:$1005)-5),88)),KotaKode,2,0),"-"),"")),"")</f>
        <v/>
      </c>
    </row>
    <row r="90" spans="1:12" ht="15" customHeight="1" x14ac:dyDescent="0.2">
      <c r="A90" t="str">
        <f t="shared" si="1"/>
        <v/>
      </c>
      <c r="B90" t="str">
        <v/>
      </c>
      <c r="C90" s="40" t="str">
        <f t="array" ref="C90">IFERROR(INDEX(checklistPesertaKemenkeu!$F$6:$F$1005,SMALL(IF(checklistPesertaKemenkeu!$AY$6:$AY$1005="Direkomendasikan",ROW($6:$1005)-5),89)),"")</f>
        <v/>
      </c>
      <c r="D90" t="str">
        <f t="array" ref="D90">IFERROR(INDEX(checklistPesertaKemenkeu!$G$6:$G$1005,SMALL(IF(checklistPesertaKemenkeu!$AY$6:$AY$1005="Direkomendasikan",ROW($6:$1005)-5),89)),"")</f>
        <v/>
      </c>
      <c r="E90" t="str">
        <f t="array" ref="E90">IFERROR(INDEX(checklistPesertaKemenkeu!$H$6:$H$1005,SMALL(IF(checklistPesertaKemenkeu!$AY$6:$AY$1005="Direkomendasikan",ROW($6:$1005)-5),89)),"")</f>
        <v/>
      </c>
      <c r="F90" t="str">
        <f t="array" ref="F90">IFERROR(INDEX(checklistPesertaKemenkeu!$I$6:$I$1005,SMALL(IF(checklistPesertaKemenkeu!$AY$6:$AY$1005="Direkomendasikan",ROW($6:$1005)-5),89)),"")</f>
        <v/>
      </c>
      <c r="G90" t="str">
        <f t="array" ref="G90">IFERROR(INDEX(checklistPesertaKemenkeu!$J$6:$J$1005,SMALL(IF(checklistPesertaKemenkeu!$AY$6:$AY$1005="Direkomendasikan",ROW($6:$1005)-5),89)),"")</f>
        <v/>
      </c>
      <c r="H90" t="str">
        <f t="array" aca="1" ref="H90" ca="1">IFERROR(IF(OR(INDEX(checklistPesertaKemenkeu!$L$6:$L$1005,SMALL(IF(checklistPesertaKemenkeu!$AY$6:$AY$1005="Direkomendasikan",ROW($6:$1005)-5),89))="",INDEX(checklistPesertaKemenkeu!$J$6:$J$1005,SMALL(IF(checklistPesertaKemenkeu!$AY$6:$AY$1005="Direkomendasikan",ROW($6:$1005)-5),89))=""),"",IF(AND(COUNTIF(INDIRECT("K_"&amp;MATCH(INDEX(checklistPesertaKemenkeu!$J$6:$J$1005,SMALL(IF(checklistPesertaKemenkeu!$AY$6:$AY$1005="Direkomendasikan",ROW($6:$1005)-5),89)),BidangList,0)),INDEX(checklistPesertaKemenkeu!$L$6:$L$1005,SMALL(IF(checklistPesertaKemenkeu!$AY$6:$AY$1005="Direkomendasikan",ROW($6:$1005)-5),89)))&gt;0,COUNTIF(INDIRECT("'KERTAS KERJA'!K"&amp;(SMALL(IF(checklistPesertaKemenkeu!$AY$6:$AY$1005="Direkomendasikan",ROW($6:$1005)-5),89)+5)&amp;":O"&amp;(SMALL(IF(checklistPesertaKemenkeu!$AY$6:$AY$1005="Direkomendasikan",ROW($6:$1005)-5),89)+5)),INDEX(checklistPesertaKemenkeu!$L$6:$L$1005,SMALL(IF(checklistPesertaKemenkeu!$AY$6:$AY$1005="Direkomendasikan",ROW($6:$1005)-5),89)))=1),IFERROR(VLOOKUP(INDEX(checklistPesertaKemenkeu!$L$6:$L$1005,SMALL(IF(checklistPesertaKemenkeu!$AY$6:$AY$1005="Direkomendasikan",ROW($6:$1005)-5),89)),KotaKode,2,0),"-"),"")),"")</f>
        <v/>
      </c>
      <c r="I90" t="str">
        <f t="array" aca="1" ref="I90" ca="1">IFERROR(IF(OR(INDEX(checklistPesertaKemenkeu!$M$6:$M$1005,SMALL(IF(checklistPesertaKemenkeu!$AY$6:$AY$1005="Direkomendasikan",ROW($6:$1005)-5),89))="",INDEX(checklistPesertaKemenkeu!$J$6:$J$1005,SMALL(IF(checklistPesertaKemenkeu!$AY$6:$AY$1005="Direkomendasikan",ROW($6:$1005)-5),89))=""),"",IF(AND(COUNTIF(INDIRECT("K_"&amp;MATCH(INDEX(checklistPesertaKemenkeu!$J$6:$J$1005,SMALL(IF(checklistPesertaKemenkeu!$AY$6:$AY$1005="Direkomendasikan",ROW($6:$1005)-5),89)),BidangList,0)),INDEX(checklistPesertaKemenkeu!$M$6:$M$1005,SMALL(IF(checklistPesertaKemenkeu!$AY$6:$AY$1005="Direkomendasikan",ROW($6:$1005)-5),89)))&gt;0,COUNTIF(INDIRECT("'KERTAS KERJA'!K"&amp;(SMALL(IF(checklistPesertaKemenkeu!$AY$6:$AY$1005="Direkomendasikan",ROW($6:$1005)-5),89)+5)&amp;":O"&amp;(SMALL(IF(checklistPesertaKemenkeu!$AY$6:$AY$1005="Direkomendasikan",ROW($6:$1005)-5),89)+5)),INDEX(checklistPesertaKemenkeu!$M$6:$M$1005,SMALL(IF(checklistPesertaKemenkeu!$AY$6:$AY$1005="Direkomendasikan",ROW($6:$1005)-5),89)))=1),IFERROR(VLOOKUP(INDEX(checklistPesertaKemenkeu!$M$6:$M$1005,SMALL(IF(checklistPesertaKemenkeu!$AY$6:$AY$1005="Direkomendasikan",ROW($6:$1005)-5),89)),KotaKode,2,0),"-"),"")),"")</f>
        <v/>
      </c>
      <c r="J90" t="str">
        <f t="array" aca="1" ref="J90" ca="1">IFERROR(IF(OR(INDEX(checklistPesertaKemenkeu!$N$6:$N$1005,SMALL(IF(checklistPesertaKemenkeu!$AY$6:$AY$1005="Direkomendasikan",ROW($6:$1005)-5),89))="",INDEX(checklistPesertaKemenkeu!$J$6:$J$1005,SMALL(IF(checklistPesertaKemenkeu!$AY$6:$AY$1005="Direkomendasikan",ROW($6:$1005)-5),89))=""),"",IF(AND(COUNTIF(INDIRECT("K_"&amp;MATCH(INDEX(checklistPesertaKemenkeu!$J$6:$J$1005,SMALL(IF(checklistPesertaKemenkeu!$AY$6:$AY$1005="Direkomendasikan",ROW($6:$1005)-5),89)),BidangList,0)),INDEX(checklistPesertaKemenkeu!$N$6:$N$1005,SMALL(IF(checklistPesertaKemenkeu!$AY$6:$AY$1005="Direkomendasikan",ROW($6:$1005)-5),89)))&gt;0,COUNTIF(INDIRECT("'KERTAS KERJA'!K"&amp;(SMALL(IF(checklistPesertaKemenkeu!$AY$6:$AY$1005="Direkomendasikan",ROW($6:$1005)-5),89)+5)&amp;":O"&amp;(SMALL(IF(checklistPesertaKemenkeu!$AY$6:$AY$1005="Direkomendasikan",ROW($6:$1005)-5),89)+5)),INDEX(checklistPesertaKemenkeu!$N$6:$N$1005,SMALL(IF(checklistPesertaKemenkeu!$AY$6:$AY$1005="Direkomendasikan",ROW($6:$1005)-5),89)))=1),IFERROR(VLOOKUP(INDEX(checklistPesertaKemenkeu!$N$6:$N$1005,SMALL(IF(checklistPesertaKemenkeu!$AY$6:$AY$1005="Direkomendasikan",ROW($6:$1005)-5),89)),KotaKode,2,0),"-"),"")),"")</f>
        <v/>
      </c>
      <c r="K90" t="str">
        <f t="array" aca="1" ref="K90" ca="1">IFERROR(IF(OR(INDEX(checklistPesertaKemenkeu!$O$6:$O$1005,SMALL(IF(checklistPesertaKemenkeu!$AY$6:$AY$1005="Direkomendasikan",ROW($6:$1005)-5),89))="",INDEX(checklistPesertaKemenkeu!$J$6:$J$1005,SMALL(IF(checklistPesertaKemenkeu!$AY$6:$AY$1005="Direkomendasikan",ROW($6:$1005)-5),89))=""),"",IF(AND(COUNTIF(INDIRECT("K_"&amp;MATCH(INDEX(checklistPesertaKemenkeu!$J$6:$J$1005,SMALL(IF(checklistPesertaKemenkeu!$AY$6:$AY$1005="Direkomendasikan",ROW($6:$1005)-5),89)),BidangList,0)),INDEX(checklistPesertaKemenkeu!$O$6:$O$1005,SMALL(IF(checklistPesertaKemenkeu!$AY$6:$AY$1005="Direkomendasikan",ROW($6:$1005)-5),89)))&gt;0,COUNTIF(INDIRECT("'KERTAS KERJA'!K"&amp;(SMALL(IF(checklistPesertaKemenkeu!$AY$6:$AY$1005="Direkomendasikan",ROW($6:$1005)-5),89)+5)&amp;":O"&amp;(SMALL(IF(checklistPesertaKemenkeu!$AY$6:$AY$1005="Direkomendasikan",ROW($6:$1005)-5),89)+5)),INDEX(checklistPesertaKemenkeu!$O$6:$O$1005,SMALL(IF(checklistPesertaKemenkeu!$AY$6:$AY$1005="Direkomendasikan",ROW($6:$1005)-5),89)))=1),IFERROR(VLOOKUP(INDEX(checklistPesertaKemenkeu!$O$6:$O$1005,SMALL(IF(checklistPesertaKemenkeu!$AY$6:$AY$1005="Direkomendasikan",ROW($6:$1005)-5),89)),KotaKode,2,0),"-"),"")),"")</f>
        <v/>
      </c>
      <c r="L90" t="str">
        <f t="array" aca="1" ref="L90" ca="1">IFERROR(IF(OR(INDEX(checklistPesertaKemenkeu!$P$6:$P$1005,SMALL(IF(checklistPesertaKemenkeu!$AY$6:$AY$1005="Direkomendasikan",ROW($6:$1005)-5),89))="",INDEX(checklistPesertaKemenkeu!$J$6:$J$1005,SMALL(IF(checklistPesertaKemenkeu!$AY$6:$AY$1005="Direkomendasikan",ROW($6:$1005)-5),89))=""),"",IF(AND(COUNTIF(INDIRECT("K_"&amp;MATCH(INDEX(checklistPesertaKemenkeu!$J$6:$J$1005,SMALL(IF(checklistPesertaKemenkeu!$AY$6:$AY$1005="Direkomendasikan",ROW($6:$1005)-5),89)),BidangList,0)),INDEX(checklistPesertaKemenkeu!$P$6:$P$1005,SMALL(IF(checklistPesertaKemenkeu!$AY$6:$AY$1005="Direkomendasikan",ROW($6:$1005)-5),89)))&gt;0,COUNTIF(INDIRECT("'KERTAS KERJA'!K"&amp;(SMALL(IF(checklistPesertaKemenkeu!$AY$6:$AY$1005="Direkomendasikan",ROW($6:$1005)-5),89)+5)&amp;":O"&amp;(SMALL(IF(checklistPesertaKemenkeu!$AY$6:$AY$1005="Direkomendasikan",ROW($6:$1005)-5),89)+5)),INDEX(checklistPesertaKemenkeu!$P$6:$P$1005,SMALL(IF(checklistPesertaKemenkeu!$AY$6:$AY$1005="Direkomendasikan",ROW($6:$1005)-5),89)))=1),IFERROR(VLOOKUP(INDEX(checklistPesertaKemenkeu!$P$6:$P$1005,SMALL(IF(checklistPesertaKemenkeu!$AY$6:$AY$1005="Direkomendasikan",ROW($6:$1005)-5),89)),KotaKode,2,0),"-"),"")),"")</f>
        <v/>
      </c>
    </row>
    <row r="91" spans="1:12" ht="15" customHeight="1" x14ac:dyDescent="0.2">
      <c r="A91" t="str">
        <f t="shared" si="1"/>
        <v/>
      </c>
      <c r="B91" t="str">
        <v/>
      </c>
      <c r="C91" s="40" t="str">
        <f t="array" ref="C91">IFERROR(INDEX(checklistPesertaKemenkeu!$F$6:$F$1005,SMALL(IF(checklistPesertaKemenkeu!$AY$6:$AY$1005="Direkomendasikan",ROW($6:$1005)-5),90)),"")</f>
        <v/>
      </c>
      <c r="D91" t="str">
        <f t="array" ref="D91">IFERROR(INDEX(checklistPesertaKemenkeu!$G$6:$G$1005,SMALL(IF(checklistPesertaKemenkeu!$AY$6:$AY$1005="Direkomendasikan",ROW($6:$1005)-5),90)),"")</f>
        <v/>
      </c>
      <c r="E91" t="str">
        <f t="array" ref="E91">IFERROR(INDEX(checklistPesertaKemenkeu!$H$6:$H$1005,SMALL(IF(checklistPesertaKemenkeu!$AY$6:$AY$1005="Direkomendasikan",ROW($6:$1005)-5),90)),"")</f>
        <v/>
      </c>
      <c r="F91" t="str">
        <f t="array" ref="F91">IFERROR(INDEX(checklistPesertaKemenkeu!$I$6:$I$1005,SMALL(IF(checklistPesertaKemenkeu!$AY$6:$AY$1005="Direkomendasikan",ROW($6:$1005)-5),90)),"")</f>
        <v/>
      </c>
      <c r="G91" t="str">
        <f t="array" ref="G91">IFERROR(INDEX(checklistPesertaKemenkeu!$J$6:$J$1005,SMALL(IF(checklistPesertaKemenkeu!$AY$6:$AY$1005="Direkomendasikan",ROW($6:$1005)-5),90)),"")</f>
        <v/>
      </c>
      <c r="H91" t="str">
        <f t="array" aca="1" ref="H91" ca="1">IFERROR(IF(OR(INDEX(checklistPesertaKemenkeu!$L$6:$L$1005,SMALL(IF(checklistPesertaKemenkeu!$AY$6:$AY$1005="Direkomendasikan",ROW($6:$1005)-5),90))="",INDEX(checklistPesertaKemenkeu!$J$6:$J$1005,SMALL(IF(checklistPesertaKemenkeu!$AY$6:$AY$1005="Direkomendasikan",ROW($6:$1005)-5),90))=""),"",IF(AND(COUNTIF(INDIRECT("K_"&amp;MATCH(INDEX(checklistPesertaKemenkeu!$J$6:$J$1005,SMALL(IF(checklistPesertaKemenkeu!$AY$6:$AY$1005="Direkomendasikan",ROW($6:$1005)-5),90)),BidangList,0)),INDEX(checklistPesertaKemenkeu!$L$6:$L$1005,SMALL(IF(checklistPesertaKemenkeu!$AY$6:$AY$1005="Direkomendasikan",ROW($6:$1005)-5),90)))&gt;0,COUNTIF(INDIRECT("'KERTAS KERJA'!K"&amp;(SMALL(IF(checklistPesertaKemenkeu!$AY$6:$AY$1005="Direkomendasikan",ROW($6:$1005)-5),90)+5)&amp;":O"&amp;(SMALL(IF(checklistPesertaKemenkeu!$AY$6:$AY$1005="Direkomendasikan",ROW($6:$1005)-5),90)+5)),INDEX(checklistPesertaKemenkeu!$L$6:$L$1005,SMALL(IF(checklistPesertaKemenkeu!$AY$6:$AY$1005="Direkomendasikan",ROW($6:$1005)-5),90)))=1),IFERROR(VLOOKUP(INDEX(checklistPesertaKemenkeu!$L$6:$L$1005,SMALL(IF(checklistPesertaKemenkeu!$AY$6:$AY$1005="Direkomendasikan",ROW($6:$1005)-5),90)),KotaKode,2,0),"-"),"")),"")</f>
        <v/>
      </c>
      <c r="I91" t="str">
        <f t="array" aca="1" ref="I91" ca="1">IFERROR(IF(OR(INDEX(checklistPesertaKemenkeu!$M$6:$M$1005,SMALL(IF(checklistPesertaKemenkeu!$AY$6:$AY$1005="Direkomendasikan",ROW($6:$1005)-5),90))="",INDEX(checklistPesertaKemenkeu!$J$6:$J$1005,SMALL(IF(checklistPesertaKemenkeu!$AY$6:$AY$1005="Direkomendasikan",ROW($6:$1005)-5),90))=""),"",IF(AND(COUNTIF(INDIRECT("K_"&amp;MATCH(INDEX(checklistPesertaKemenkeu!$J$6:$J$1005,SMALL(IF(checklistPesertaKemenkeu!$AY$6:$AY$1005="Direkomendasikan",ROW($6:$1005)-5),90)),BidangList,0)),INDEX(checklistPesertaKemenkeu!$M$6:$M$1005,SMALL(IF(checklistPesertaKemenkeu!$AY$6:$AY$1005="Direkomendasikan",ROW($6:$1005)-5),90)))&gt;0,COUNTIF(INDIRECT("'KERTAS KERJA'!K"&amp;(SMALL(IF(checklistPesertaKemenkeu!$AY$6:$AY$1005="Direkomendasikan",ROW($6:$1005)-5),90)+5)&amp;":O"&amp;(SMALL(IF(checklistPesertaKemenkeu!$AY$6:$AY$1005="Direkomendasikan",ROW($6:$1005)-5),90)+5)),INDEX(checklistPesertaKemenkeu!$M$6:$M$1005,SMALL(IF(checklistPesertaKemenkeu!$AY$6:$AY$1005="Direkomendasikan",ROW($6:$1005)-5),90)))=1),IFERROR(VLOOKUP(INDEX(checklistPesertaKemenkeu!$M$6:$M$1005,SMALL(IF(checklistPesertaKemenkeu!$AY$6:$AY$1005="Direkomendasikan",ROW($6:$1005)-5),90)),KotaKode,2,0),"-"),"")),"")</f>
        <v/>
      </c>
      <c r="J91" t="str">
        <f t="array" aca="1" ref="J91" ca="1">IFERROR(IF(OR(INDEX(checklistPesertaKemenkeu!$N$6:$N$1005,SMALL(IF(checklistPesertaKemenkeu!$AY$6:$AY$1005="Direkomendasikan",ROW($6:$1005)-5),90))="",INDEX(checklistPesertaKemenkeu!$J$6:$J$1005,SMALL(IF(checklistPesertaKemenkeu!$AY$6:$AY$1005="Direkomendasikan",ROW($6:$1005)-5),90))=""),"",IF(AND(COUNTIF(INDIRECT("K_"&amp;MATCH(INDEX(checklistPesertaKemenkeu!$J$6:$J$1005,SMALL(IF(checklistPesertaKemenkeu!$AY$6:$AY$1005="Direkomendasikan",ROW($6:$1005)-5),90)),BidangList,0)),INDEX(checklistPesertaKemenkeu!$N$6:$N$1005,SMALL(IF(checklistPesertaKemenkeu!$AY$6:$AY$1005="Direkomendasikan",ROW($6:$1005)-5),90)))&gt;0,COUNTIF(INDIRECT("'KERTAS KERJA'!K"&amp;(SMALL(IF(checklistPesertaKemenkeu!$AY$6:$AY$1005="Direkomendasikan",ROW($6:$1005)-5),90)+5)&amp;":O"&amp;(SMALL(IF(checklistPesertaKemenkeu!$AY$6:$AY$1005="Direkomendasikan",ROW($6:$1005)-5),90)+5)),INDEX(checklistPesertaKemenkeu!$N$6:$N$1005,SMALL(IF(checklistPesertaKemenkeu!$AY$6:$AY$1005="Direkomendasikan",ROW($6:$1005)-5),90)))=1),IFERROR(VLOOKUP(INDEX(checklistPesertaKemenkeu!$N$6:$N$1005,SMALL(IF(checklistPesertaKemenkeu!$AY$6:$AY$1005="Direkomendasikan",ROW($6:$1005)-5),90)),KotaKode,2,0),"-"),"")),"")</f>
        <v/>
      </c>
      <c r="K91" t="str">
        <f t="array" aca="1" ref="K91" ca="1">IFERROR(IF(OR(INDEX(checklistPesertaKemenkeu!$O$6:$O$1005,SMALL(IF(checklistPesertaKemenkeu!$AY$6:$AY$1005="Direkomendasikan",ROW($6:$1005)-5),90))="",INDEX(checklistPesertaKemenkeu!$J$6:$J$1005,SMALL(IF(checklistPesertaKemenkeu!$AY$6:$AY$1005="Direkomendasikan",ROW($6:$1005)-5),90))=""),"",IF(AND(COUNTIF(INDIRECT("K_"&amp;MATCH(INDEX(checklistPesertaKemenkeu!$J$6:$J$1005,SMALL(IF(checklistPesertaKemenkeu!$AY$6:$AY$1005="Direkomendasikan",ROW($6:$1005)-5),90)),BidangList,0)),INDEX(checklistPesertaKemenkeu!$O$6:$O$1005,SMALL(IF(checklistPesertaKemenkeu!$AY$6:$AY$1005="Direkomendasikan",ROW($6:$1005)-5),90)))&gt;0,COUNTIF(INDIRECT("'KERTAS KERJA'!K"&amp;(SMALL(IF(checklistPesertaKemenkeu!$AY$6:$AY$1005="Direkomendasikan",ROW($6:$1005)-5),90)+5)&amp;":O"&amp;(SMALL(IF(checklistPesertaKemenkeu!$AY$6:$AY$1005="Direkomendasikan",ROW($6:$1005)-5),90)+5)),INDEX(checklistPesertaKemenkeu!$O$6:$O$1005,SMALL(IF(checklistPesertaKemenkeu!$AY$6:$AY$1005="Direkomendasikan",ROW($6:$1005)-5),90)))=1),IFERROR(VLOOKUP(INDEX(checklistPesertaKemenkeu!$O$6:$O$1005,SMALL(IF(checklistPesertaKemenkeu!$AY$6:$AY$1005="Direkomendasikan",ROW($6:$1005)-5),90)),KotaKode,2,0),"-"),"")),"")</f>
        <v/>
      </c>
      <c r="L91" t="str">
        <f t="array" aca="1" ref="L91" ca="1">IFERROR(IF(OR(INDEX(checklistPesertaKemenkeu!$P$6:$P$1005,SMALL(IF(checklistPesertaKemenkeu!$AY$6:$AY$1005="Direkomendasikan",ROW($6:$1005)-5),90))="",INDEX(checklistPesertaKemenkeu!$J$6:$J$1005,SMALL(IF(checklistPesertaKemenkeu!$AY$6:$AY$1005="Direkomendasikan",ROW($6:$1005)-5),90))=""),"",IF(AND(COUNTIF(INDIRECT("K_"&amp;MATCH(INDEX(checklistPesertaKemenkeu!$J$6:$J$1005,SMALL(IF(checklistPesertaKemenkeu!$AY$6:$AY$1005="Direkomendasikan",ROW($6:$1005)-5),90)),BidangList,0)),INDEX(checklistPesertaKemenkeu!$P$6:$P$1005,SMALL(IF(checklistPesertaKemenkeu!$AY$6:$AY$1005="Direkomendasikan",ROW($6:$1005)-5),90)))&gt;0,COUNTIF(INDIRECT("'KERTAS KERJA'!K"&amp;(SMALL(IF(checklistPesertaKemenkeu!$AY$6:$AY$1005="Direkomendasikan",ROW($6:$1005)-5),90)+5)&amp;":O"&amp;(SMALL(IF(checklistPesertaKemenkeu!$AY$6:$AY$1005="Direkomendasikan",ROW($6:$1005)-5),90)+5)),INDEX(checklistPesertaKemenkeu!$P$6:$P$1005,SMALL(IF(checklistPesertaKemenkeu!$AY$6:$AY$1005="Direkomendasikan",ROW($6:$1005)-5),90)))=1),IFERROR(VLOOKUP(INDEX(checklistPesertaKemenkeu!$P$6:$P$1005,SMALL(IF(checklistPesertaKemenkeu!$AY$6:$AY$1005="Direkomendasikan",ROW($6:$1005)-5),90)),KotaKode,2,0),"-"),"")),"")</f>
        <v/>
      </c>
    </row>
    <row r="92" spans="1:12" ht="15" customHeight="1" x14ac:dyDescent="0.2">
      <c r="A92" t="str">
        <f t="shared" si="1"/>
        <v/>
      </c>
      <c r="B92" t="str">
        <v/>
      </c>
      <c r="C92" s="40" t="str">
        <f t="array" ref="C92">IFERROR(INDEX(checklistPesertaKemenkeu!$F$6:$F$1005,SMALL(IF(checklistPesertaKemenkeu!$AY$6:$AY$1005="Direkomendasikan",ROW($6:$1005)-5),91)),"")</f>
        <v/>
      </c>
      <c r="D92" t="str">
        <f t="array" ref="D92">IFERROR(INDEX(checklistPesertaKemenkeu!$G$6:$G$1005,SMALL(IF(checklistPesertaKemenkeu!$AY$6:$AY$1005="Direkomendasikan",ROW($6:$1005)-5),91)),"")</f>
        <v/>
      </c>
      <c r="E92" t="str">
        <f t="array" ref="E92">IFERROR(INDEX(checklistPesertaKemenkeu!$H$6:$H$1005,SMALL(IF(checklistPesertaKemenkeu!$AY$6:$AY$1005="Direkomendasikan",ROW($6:$1005)-5),91)),"")</f>
        <v/>
      </c>
      <c r="F92" t="str">
        <f t="array" ref="F92">IFERROR(INDEX(checklistPesertaKemenkeu!$I$6:$I$1005,SMALL(IF(checklistPesertaKemenkeu!$AY$6:$AY$1005="Direkomendasikan",ROW($6:$1005)-5),91)),"")</f>
        <v/>
      </c>
      <c r="G92" t="str">
        <f t="array" ref="G92">IFERROR(INDEX(checklistPesertaKemenkeu!$J$6:$J$1005,SMALL(IF(checklistPesertaKemenkeu!$AY$6:$AY$1005="Direkomendasikan",ROW($6:$1005)-5),91)),"")</f>
        <v/>
      </c>
      <c r="H92" t="str">
        <f t="array" aca="1" ref="H92" ca="1">IFERROR(IF(OR(INDEX(checklistPesertaKemenkeu!$L$6:$L$1005,SMALL(IF(checklistPesertaKemenkeu!$AY$6:$AY$1005="Direkomendasikan",ROW($6:$1005)-5),91))="",INDEX(checklistPesertaKemenkeu!$J$6:$J$1005,SMALL(IF(checklistPesertaKemenkeu!$AY$6:$AY$1005="Direkomendasikan",ROW($6:$1005)-5),91))=""),"",IF(AND(COUNTIF(INDIRECT("K_"&amp;MATCH(INDEX(checklistPesertaKemenkeu!$J$6:$J$1005,SMALL(IF(checklistPesertaKemenkeu!$AY$6:$AY$1005="Direkomendasikan",ROW($6:$1005)-5),91)),BidangList,0)),INDEX(checklistPesertaKemenkeu!$L$6:$L$1005,SMALL(IF(checklistPesertaKemenkeu!$AY$6:$AY$1005="Direkomendasikan",ROW($6:$1005)-5),91)))&gt;0,COUNTIF(INDIRECT("'KERTAS KERJA'!K"&amp;(SMALL(IF(checklistPesertaKemenkeu!$AY$6:$AY$1005="Direkomendasikan",ROW($6:$1005)-5),91)+5)&amp;":O"&amp;(SMALL(IF(checklistPesertaKemenkeu!$AY$6:$AY$1005="Direkomendasikan",ROW($6:$1005)-5),91)+5)),INDEX(checklistPesertaKemenkeu!$L$6:$L$1005,SMALL(IF(checklistPesertaKemenkeu!$AY$6:$AY$1005="Direkomendasikan",ROW($6:$1005)-5),91)))=1),IFERROR(VLOOKUP(INDEX(checklistPesertaKemenkeu!$L$6:$L$1005,SMALL(IF(checklistPesertaKemenkeu!$AY$6:$AY$1005="Direkomendasikan",ROW($6:$1005)-5),91)),KotaKode,2,0),"-"),"")),"")</f>
        <v/>
      </c>
      <c r="I92" t="str">
        <f t="array" aca="1" ref="I92" ca="1">IFERROR(IF(OR(INDEX(checklistPesertaKemenkeu!$M$6:$M$1005,SMALL(IF(checklistPesertaKemenkeu!$AY$6:$AY$1005="Direkomendasikan",ROW($6:$1005)-5),91))="",INDEX(checklistPesertaKemenkeu!$J$6:$J$1005,SMALL(IF(checklistPesertaKemenkeu!$AY$6:$AY$1005="Direkomendasikan",ROW($6:$1005)-5),91))=""),"",IF(AND(COUNTIF(INDIRECT("K_"&amp;MATCH(INDEX(checklistPesertaKemenkeu!$J$6:$J$1005,SMALL(IF(checklistPesertaKemenkeu!$AY$6:$AY$1005="Direkomendasikan",ROW($6:$1005)-5),91)),BidangList,0)),INDEX(checklistPesertaKemenkeu!$M$6:$M$1005,SMALL(IF(checklistPesertaKemenkeu!$AY$6:$AY$1005="Direkomendasikan",ROW($6:$1005)-5),91)))&gt;0,COUNTIF(INDIRECT("'KERTAS KERJA'!K"&amp;(SMALL(IF(checklistPesertaKemenkeu!$AY$6:$AY$1005="Direkomendasikan",ROW($6:$1005)-5),91)+5)&amp;":O"&amp;(SMALL(IF(checklistPesertaKemenkeu!$AY$6:$AY$1005="Direkomendasikan",ROW($6:$1005)-5),91)+5)),INDEX(checklistPesertaKemenkeu!$M$6:$M$1005,SMALL(IF(checklistPesertaKemenkeu!$AY$6:$AY$1005="Direkomendasikan",ROW($6:$1005)-5),91)))=1),IFERROR(VLOOKUP(INDEX(checklistPesertaKemenkeu!$M$6:$M$1005,SMALL(IF(checklistPesertaKemenkeu!$AY$6:$AY$1005="Direkomendasikan",ROW($6:$1005)-5),91)),KotaKode,2,0),"-"),"")),"")</f>
        <v/>
      </c>
      <c r="J92" t="str">
        <f t="array" aca="1" ref="J92" ca="1">IFERROR(IF(OR(INDEX(checklistPesertaKemenkeu!$N$6:$N$1005,SMALL(IF(checklistPesertaKemenkeu!$AY$6:$AY$1005="Direkomendasikan",ROW($6:$1005)-5),91))="",INDEX(checklistPesertaKemenkeu!$J$6:$J$1005,SMALL(IF(checklistPesertaKemenkeu!$AY$6:$AY$1005="Direkomendasikan",ROW($6:$1005)-5),91))=""),"",IF(AND(COUNTIF(INDIRECT("K_"&amp;MATCH(INDEX(checklistPesertaKemenkeu!$J$6:$J$1005,SMALL(IF(checklistPesertaKemenkeu!$AY$6:$AY$1005="Direkomendasikan",ROW($6:$1005)-5),91)),BidangList,0)),INDEX(checklistPesertaKemenkeu!$N$6:$N$1005,SMALL(IF(checklistPesertaKemenkeu!$AY$6:$AY$1005="Direkomendasikan",ROW($6:$1005)-5),91)))&gt;0,COUNTIF(INDIRECT("'KERTAS KERJA'!K"&amp;(SMALL(IF(checklistPesertaKemenkeu!$AY$6:$AY$1005="Direkomendasikan",ROW($6:$1005)-5),91)+5)&amp;":O"&amp;(SMALL(IF(checklistPesertaKemenkeu!$AY$6:$AY$1005="Direkomendasikan",ROW($6:$1005)-5),91)+5)),INDEX(checklistPesertaKemenkeu!$N$6:$N$1005,SMALL(IF(checklistPesertaKemenkeu!$AY$6:$AY$1005="Direkomendasikan",ROW($6:$1005)-5),91)))=1),IFERROR(VLOOKUP(INDEX(checklistPesertaKemenkeu!$N$6:$N$1005,SMALL(IF(checklistPesertaKemenkeu!$AY$6:$AY$1005="Direkomendasikan",ROW($6:$1005)-5),91)),KotaKode,2,0),"-"),"")),"")</f>
        <v/>
      </c>
      <c r="K92" t="str">
        <f t="array" aca="1" ref="K92" ca="1">IFERROR(IF(OR(INDEX(checklistPesertaKemenkeu!$O$6:$O$1005,SMALL(IF(checklistPesertaKemenkeu!$AY$6:$AY$1005="Direkomendasikan",ROW($6:$1005)-5),91))="",INDEX(checklistPesertaKemenkeu!$J$6:$J$1005,SMALL(IF(checklistPesertaKemenkeu!$AY$6:$AY$1005="Direkomendasikan",ROW($6:$1005)-5),91))=""),"",IF(AND(COUNTIF(INDIRECT("K_"&amp;MATCH(INDEX(checklistPesertaKemenkeu!$J$6:$J$1005,SMALL(IF(checklistPesertaKemenkeu!$AY$6:$AY$1005="Direkomendasikan",ROW($6:$1005)-5),91)),BidangList,0)),INDEX(checklistPesertaKemenkeu!$O$6:$O$1005,SMALL(IF(checklistPesertaKemenkeu!$AY$6:$AY$1005="Direkomendasikan",ROW($6:$1005)-5),91)))&gt;0,COUNTIF(INDIRECT("'KERTAS KERJA'!K"&amp;(SMALL(IF(checklistPesertaKemenkeu!$AY$6:$AY$1005="Direkomendasikan",ROW($6:$1005)-5),91)+5)&amp;":O"&amp;(SMALL(IF(checklistPesertaKemenkeu!$AY$6:$AY$1005="Direkomendasikan",ROW($6:$1005)-5),91)+5)),INDEX(checklistPesertaKemenkeu!$O$6:$O$1005,SMALL(IF(checklistPesertaKemenkeu!$AY$6:$AY$1005="Direkomendasikan",ROW($6:$1005)-5),91)))=1),IFERROR(VLOOKUP(INDEX(checklistPesertaKemenkeu!$O$6:$O$1005,SMALL(IF(checklistPesertaKemenkeu!$AY$6:$AY$1005="Direkomendasikan",ROW($6:$1005)-5),91)),KotaKode,2,0),"-"),"")),"")</f>
        <v/>
      </c>
      <c r="L92" t="str">
        <f t="array" aca="1" ref="L92" ca="1">IFERROR(IF(OR(INDEX(checklistPesertaKemenkeu!$P$6:$P$1005,SMALL(IF(checklistPesertaKemenkeu!$AY$6:$AY$1005="Direkomendasikan",ROW($6:$1005)-5),91))="",INDEX(checklistPesertaKemenkeu!$J$6:$J$1005,SMALL(IF(checklistPesertaKemenkeu!$AY$6:$AY$1005="Direkomendasikan",ROW($6:$1005)-5),91))=""),"",IF(AND(COUNTIF(INDIRECT("K_"&amp;MATCH(INDEX(checklistPesertaKemenkeu!$J$6:$J$1005,SMALL(IF(checklistPesertaKemenkeu!$AY$6:$AY$1005="Direkomendasikan",ROW($6:$1005)-5),91)),BidangList,0)),INDEX(checklistPesertaKemenkeu!$P$6:$P$1005,SMALL(IF(checklistPesertaKemenkeu!$AY$6:$AY$1005="Direkomendasikan",ROW($6:$1005)-5),91)))&gt;0,COUNTIF(INDIRECT("'KERTAS KERJA'!K"&amp;(SMALL(IF(checklistPesertaKemenkeu!$AY$6:$AY$1005="Direkomendasikan",ROW($6:$1005)-5),91)+5)&amp;":O"&amp;(SMALL(IF(checklistPesertaKemenkeu!$AY$6:$AY$1005="Direkomendasikan",ROW($6:$1005)-5),91)+5)),INDEX(checklistPesertaKemenkeu!$P$6:$P$1005,SMALL(IF(checklistPesertaKemenkeu!$AY$6:$AY$1005="Direkomendasikan",ROW($6:$1005)-5),91)))=1),IFERROR(VLOOKUP(INDEX(checklistPesertaKemenkeu!$P$6:$P$1005,SMALL(IF(checklistPesertaKemenkeu!$AY$6:$AY$1005="Direkomendasikan",ROW($6:$1005)-5),91)),KotaKode,2,0),"-"),"")),"")</f>
        <v/>
      </c>
    </row>
    <row r="93" spans="1:12" ht="15" customHeight="1" x14ac:dyDescent="0.2">
      <c r="A93" t="str">
        <f t="shared" si="1"/>
        <v/>
      </c>
      <c r="B93" t="str">
        <v/>
      </c>
      <c r="C93" s="40" t="str">
        <f t="array" ref="C93">IFERROR(INDEX(checklistPesertaKemenkeu!$F$6:$F$1005,SMALL(IF(checklistPesertaKemenkeu!$AY$6:$AY$1005="Direkomendasikan",ROW($6:$1005)-5),92)),"")</f>
        <v/>
      </c>
      <c r="D93" t="str">
        <f t="array" ref="D93">IFERROR(INDEX(checklistPesertaKemenkeu!$G$6:$G$1005,SMALL(IF(checklistPesertaKemenkeu!$AY$6:$AY$1005="Direkomendasikan",ROW($6:$1005)-5),92)),"")</f>
        <v/>
      </c>
      <c r="E93" t="str">
        <f t="array" ref="E93">IFERROR(INDEX(checklistPesertaKemenkeu!$H$6:$H$1005,SMALL(IF(checklistPesertaKemenkeu!$AY$6:$AY$1005="Direkomendasikan",ROW($6:$1005)-5),92)),"")</f>
        <v/>
      </c>
      <c r="F93" t="str">
        <f t="array" ref="F93">IFERROR(INDEX(checklistPesertaKemenkeu!$I$6:$I$1005,SMALL(IF(checklistPesertaKemenkeu!$AY$6:$AY$1005="Direkomendasikan",ROW($6:$1005)-5),92)),"")</f>
        <v/>
      </c>
      <c r="G93" t="str">
        <f t="array" ref="G93">IFERROR(INDEX(checklistPesertaKemenkeu!$J$6:$J$1005,SMALL(IF(checklistPesertaKemenkeu!$AY$6:$AY$1005="Direkomendasikan",ROW($6:$1005)-5),92)),"")</f>
        <v/>
      </c>
      <c r="H93" t="str">
        <f t="array" aca="1" ref="H93" ca="1">IFERROR(IF(OR(INDEX(checklistPesertaKemenkeu!$L$6:$L$1005,SMALL(IF(checklistPesertaKemenkeu!$AY$6:$AY$1005="Direkomendasikan",ROW($6:$1005)-5),92))="",INDEX(checklistPesertaKemenkeu!$J$6:$J$1005,SMALL(IF(checklistPesertaKemenkeu!$AY$6:$AY$1005="Direkomendasikan",ROW($6:$1005)-5),92))=""),"",IF(AND(COUNTIF(INDIRECT("K_"&amp;MATCH(INDEX(checklistPesertaKemenkeu!$J$6:$J$1005,SMALL(IF(checklistPesertaKemenkeu!$AY$6:$AY$1005="Direkomendasikan",ROW($6:$1005)-5),92)),BidangList,0)),INDEX(checklistPesertaKemenkeu!$L$6:$L$1005,SMALL(IF(checklistPesertaKemenkeu!$AY$6:$AY$1005="Direkomendasikan",ROW($6:$1005)-5),92)))&gt;0,COUNTIF(INDIRECT("'KERTAS KERJA'!K"&amp;(SMALL(IF(checklistPesertaKemenkeu!$AY$6:$AY$1005="Direkomendasikan",ROW($6:$1005)-5),92)+5)&amp;":O"&amp;(SMALL(IF(checklistPesertaKemenkeu!$AY$6:$AY$1005="Direkomendasikan",ROW($6:$1005)-5),92)+5)),INDEX(checklistPesertaKemenkeu!$L$6:$L$1005,SMALL(IF(checklistPesertaKemenkeu!$AY$6:$AY$1005="Direkomendasikan",ROW($6:$1005)-5),92)))=1),IFERROR(VLOOKUP(INDEX(checklistPesertaKemenkeu!$L$6:$L$1005,SMALL(IF(checklistPesertaKemenkeu!$AY$6:$AY$1005="Direkomendasikan",ROW($6:$1005)-5),92)),KotaKode,2,0),"-"),"")),"")</f>
        <v/>
      </c>
      <c r="I93" t="str">
        <f t="array" aca="1" ref="I93" ca="1">IFERROR(IF(OR(INDEX(checklistPesertaKemenkeu!$M$6:$M$1005,SMALL(IF(checklistPesertaKemenkeu!$AY$6:$AY$1005="Direkomendasikan",ROW($6:$1005)-5),92))="",INDEX(checklistPesertaKemenkeu!$J$6:$J$1005,SMALL(IF(checklistPesertaKemenkeu!$AY$6:$AY$1005="Direkomendasikan",ROW($6:$1005)-5),92))=""),"",IF(AND(COUNTIF(INDIRECT("K_"&amp;MATCH(INDEX(checklistPesertaKemenkeu!$J$6:$J$1005,SMALL(IF(checklistPesertaKemenkeu!$AY$6:$AY$1005="Direkomendasikan",ROW($6:$1005)-5),92)),BidangList,0)),INDEX(checklistPesertaKemenkeu!$M$6:$M$1005,SMALL(IF(checklistPesertaKemenkeu!$AY$6:$AY$1005="Direkomendasikan",ROW($6:$1005)-5),92)))&gt;0,COUNTIF(INDIRECT("'KERTAS KERJA'!K"&amp;(SMALL(IF(checklistPesertaKemenkeu!$AY$6:$AY$1005="Direkomendasikan",ROW($6:$1005)-5),92)+5)&amp;":O"&amp;(SMALL(IF(checklistPesertaKemenkeu!$AY$6:$AY$1005="Direkomendasikan",ROW($6:$1005)-5),92)+5)),INDEX(checklistPesertaKemenkeu!$M$6:$M$1005,SMALL(IF(checklistPesertaKemenkeu!$AY$6:$AY$1005="Direkomendasikan",ROW($6:$1005)-5),92)))=1),IFERROR(VLOOKUP(INDEX(checklistPesertaKemenkeu!$M$6:$M$1005,SMALL(IF(checklistPesertaKemenkeu!$AY$6:$AY$1005="Direkomendasikan",ROW($6:$1005)-5),92)),KotaKode,2,0),"-"),"")),"")</f>
        <v/>
      </c>
      <c r="J93" t="str">
        <f t="array" aca="1" ref="J93" ca="1">IFERROR(IF(OR(INDEX(checklistPesertaKemenkeu!$N$6:$N$1005,SMALL(IF(checklistPesertaKemenkeu!$AY$6:$AY$1005="Direkomendasikan",ROW($6:$1005)-5),92))="",INDEX(checklistPesertaKemenkeu!$J$6:$J$1005,SMALL(IF(checklistPesertaKemenkeu!$AY$6:$AY$1005="Direkomendasikan",ROW($6:$1005)-5),92))=""),"",IF(AND(COUNTIF(INDIRECT("K_"&amp;MATCH(INDEX(checklistPesertaKemenkeu!$J$6:$J$1005,SMALL(IF(checklistPesertaKemenkeu!$AY$6:$AY$1005="Direkomendasikan",ROW($6:$1005)-5),92)),BidangList,0)),INDEX(checklistPesertaKemenkeu!$N$6:$N$1005,SMALL(IF(checklistPesertaKemenkeu!$AY$6:$AY$1005="Direkomendasikan",ROW($6:$1005)-5),92)))&gt;0,COUNTIF(INDIRECT("'KERTAS KERJA'!K"&amp;(SMALL(IF(checklistPesertaKemenkeu!$AY$6:$AY$1005="Direkomendasikan",ROW($6:$1005)-5),92)+5)&amp;":O"&amp;(SMALL(IF(checklistPesertaKemenkeu!$AY$6:$AY$1005="Direkomendasikan",ROW($6:$1005)-5),92)+5)),INDEX(checklistPesertaKemenkeu!$N$6:$N$1005,SMALL(IF(checklistPesertaKemenkeu!$AY$6:$AY$1005="Direkomendasikan",ROW($6:$1005)-5),92)))=1),IFERROR(VLOOKUP(INDEX(checklistPesertaKemenkeu!$N$6:$N$1005,SMALL(IF(checklistPesertaKemenkeu!$AY$6:$AY$1005="Direkomendasikan",ROW($6:$1005)-5),92)),KotaKode,2,0),"-"),"")),"")</f>
        <v/>
      </c>
      <c r="K93" t="str">
        <f t="array" aca="1" ref="K93" ca="1">IFERROR(IF(OR(INDEX(checklistPesertaKemenkeu!$O$6:$O$1005,SMALL(IF(checklistPesertaKemenkeu!$AY$6:$AY$1005="Direkomendasikan",ROW($6:$1005)-5),92))="",INDEX(checklistPesertaKemenkeu!$J$6:$J$1005,SMALL(IF(checklistPesertaKemenkeu!$AY$6:$AY$1005="Direkomendasikan",ROW($6:$1005)-5),92))=""),"",IF(AND(COUNTIF(INDIRECT("K_"&amp;MATCH(INDEX(checklistPesertaKemenkeu!$J$6:$J$1005,SMALL(IF(checklistPesertaKemenkeu!$AY$6:$AY$1005="Direkomendasikan",ROW($6:$1005)-5),92)),BidangList,0)),INDEX(checklistPesertaKemenkeu!$O$6:$O$1005,SMALL(IF(checklistPesertaKemenkeu!$AY$6:$AY$1005="Direkomendasikan",ROW($6:$1005)-5),92)))&gt;0,COUNTIF(INDIRECT("'KERTAS KERJA'!K"&amp;(SMALL(IF(checklistPesertaKemenkeu!$AY$6:$AY$1005="Direkomendasikan",ROW($6:$1005)-5),92)+5)&amp;":O"&amp;(SMALL(IF(checklistPesertaKemenkeu!$AY$6:$AY$1005="Direkomendasikan",ROW($6:$1005)-5),92)+5)),INDEX(checklistPesertaKemenkeu!$O$6:$O$1005,SMALL(IF(checklistPesertaKemenkeu!$AY$6:$AY$1005="Direkomendasikan",ROW($6:$1005)-5),92)))=1),IFERROR(VLOOKUP(INDEX(checklistPesertaKemenkeu!$O$6:$O$1005,SMALL(IF(checklistPesertaKemenkeu!$AY$6:$AY$1005="Direkomendasikan",ROW($6:$1005)-5),92)),KotaKode,2,0),"-"),"")),"")</f>
        <v/>
      </c>
      <c r="L93" t="str">
        <f t="array" aca="1" ref="L93" ca="1">IFERROR(IF(OR(INDEX(checklistPesertaKemenkeu!$P$6:$P$1005,SMALL(IF(checklistPesertaKemenkeu!$AY$6:$AY$1005="Direkomendasikan",ROW($6:$1005)-5),92))="",INDEX(checklistPesertaKemenkeu!$J$6:$J$1005,SMALL(IF(checklistPesertaKemenkeu!$AY$6:$AY$1005="Direkomendasikan",ROW($6:$1005)-5),92))=""),"",IF(AND(COUNTIF(INDIRECT("K_"&amp;MATCH(INDEX(checklistPesertaKemenkeu!$J$6:$J$1005,SMALL(IF(checklistPesertaKemenkeu!$AY$6:$AY$1005="Direkomendasikan",ROW($6:$1005)-5),92)),BidangList,0)),INDEX(checklistPesertaKemenkeu!$P$6:$P$1005,SMALL(IF(checklistPesertaKemenkeu!$AY$6:$AY$1005="Direkomendasikan",ROW($6:$1005)-5),92)))&gt;0,COUNTIF(INDIRECT("'KERTAS KERJA'!K"&amp;(SMALL(IF(checklistPesertaKemenkeu!$AY$6:$AY$1005="Direkomendasikan",ROW($6:$1005)-5),92)+5)&amp;":O"&amp;(SMALL(IF(checklistPesertaKemenkeu!$AY$6:$AY$1005="Direkomendasikan",ROW($6:$1005)-5),92)+5)),INDEX(checklistPesertaKemenkeu!$P$6:$P$1005,SMALL(IF(checklistPesertaKemenkeu!$AY$6:$AY$1005="Direkomendasikan",ROW($6:$1005)-5),92)))=1),IFERROR(VLOOKUP(INDEX(checklistPesertaKemenkeu!$P$6:$P$1005,SMALL(IF(checklistPesertaKemenkeu!$AY$6:$AY$1005="Direkomendasikan",ROW($6:$1005)-5),92)),KotaKode,2,0),"-"),"")),"")</f>
        <v/>
      </c>
    </row>
    <row r="94" spans="1:12" ht="15" customHeight="1" x14ac:dyDescent="0.2">
      <c r="A94" t="str">
        <f t="shared" si="1"/>
        <v/>
      </c>
      <c r="B94" t="str">
        <v/>
      </c>
      <c r="C94" s="40" t="str">
        <f t="array" ref="C94">IFERROR(INDEX(checklistPesertaKemenkeu!$F$6:$F$1005,SMALL(IF(checklistPesertaKemenkeu!$AY$6:$AY$1005="Direkomendasikan",ROW($6:$1005)-5),93)),"")</f>
        <v/>
      </c>
      <c r="D94" t="str">
        <f t="array" ref="D94">IFERROR(INDEX(checklistPesertaKemenkeu!$G$6:$G$1005,SMALL(IF(checklistPesertaKemenkeu!$AY$6:$AY$1005="Direkomendasikan",ROW($6:$1005)-5),93)),"")</f>
        <v/>
      </c>
      <c r="E94" t="str">
        <f t="array" ref="E94">IFERROR(INDEX(checklistPesertaKemenkeu!$H$6:$H$1005,SMALL(IF(checklistPesertaKemenkeu!$AY$6:$AY$1005="Direkomendasikan",ROW($6:$1005)-5),93)),"")</f>
        <v/>
      </c>
      <c r="F94" t="str">
        <f t="array" ref="F94">IFERROR(INDEX(checklistPesertaKemenkeu!$I$6:$I$1005,SMALL(IF(checklistPesertaKemenkeu!$AY$6:$AY$1005="Direkomendasikan",ROW($6:$1005)-5),93)),"")</f>
        <v/>
      </c>
      <c r="G94" t="str">
        <f t="array" ref="G94">IFERROR(INDEX(checklistPesertaKemenkeu!$J$6:$J$1005,SMALL(IF(checklistPesertaKemenkeu!$AY$6:$AY$1005="Direkomendasikan",ROW($6:$1005)-5),93)),"")</f>
        <v/>
      </c>
      <c r="H94" t="str">
        <f t="array" aca="1" ref="H94" ca="1">IFERROR(IF(OR(INDEX(checklistPesertaKemenkeu!$L$6:$L$1005,SMALL(IF(checklistPesertaKemenkeu!$AY$6:$AY$1005="Direkomendasikan",ROW($6:$1005)-5),93))="",INDEX(checklistPesertaKemenkeu!$J$6:$J$1005,SMALL(IF(checklistPesertaKemenkeu!$AY$6:$AY$1005="Direkomendasikan",ROW($6:$1005)-5),93))=""),"",IF(AND(COUNTIF(INDIRECT("K_"&amp;MATCH(INDEX(checklistPesertaKemenkeu!$J$6:$J$1005,SMALL(IF(checklistPesertaKemenkeu!$AY$6:$AY$1005="Direkomendasikan",ROW($6:$1005)-5),93)),BidangList,0)),INDEX(checklistPesertaKemenkeu!$L$6:$L$1005,SMALL(IF(checklistPesertaKemenkeu!$AY$6:$AY$1005="Direkomendasikan",ROW($6:$1005)-5),93)))&gt;0,COUNTIF(INDIRECT("'KERTAS KERJA'!K"&amp;(SMALL(IF(checklistPesertaKemenkeu!$AY$6:$AY$1005="Direkomendasikan",ROW($6:$1005)-5),93)+5)&amp;":O"&amp;(SMALL(IF(checklistPesertaKemenkeu!$AY$6:$AY$1005="Direkomendasikan",ROW($6:$1005)-5),93)+5)),INDEX(checklistPesertaKemenkeu!$L$6:$L$1005,SMALL(IF(checklistPesertaKemenkeu!$AY$6:$AY$1005="Direkomendasikan",ROW($6:$1005)-5),93)))=1),IFERROR(VLOOKUP(INDEX(checklistPesertaKemenkeu!$L$6:$L$1005,SMALL(IF(checklistPesertaKemenkeu!$AY$6:$AY$1005="Direkomendasikan",ROW($6:$1005)-5),93)),KotaKode,2,0),"-"),"")),"")</f>
        <v/>
      </c>
      <c r="I94" t="str">
        <f t="array" aca="1" ref="I94" ca="1">IFERROR(IF(OR(INDEX(checklistPesertaKemenkeu!$M$6:$M$1005,SMALL(IF(checklistPesertaKemenkeu!$AY$6:$AY$1005="Direkomendasikan",ROW($6:$1005)-5),93))="",INDEX(checklistPesertaKemenkeu!$J$6:$J$1005,SMALL(IF(checklistPesertaKemenkeu!$AY$6:$AY$1005="Direkomendasikan",ROW($6:$1005)-5),93))=""),"",IF(AND(COUNTIF(INDIRECT("K_"&amp;MATCH(INDEX(checklistPesertaKemenkeu!$J$6:$J$1005,SMALL(IF(checklistPesertaKemenkeu!$AY$6:$AY$1005="Direkomendasikan",ROW($6:$1005)-5),93)),BidangList,0)),INDEX(checklistPesertaKemenkeu!$M$6:$M$1005,SMALL(IF(checklistPesertaKemenkeu!$AY$6:$AY$1005="Direkomendasikan",ROW($6:$1005)-5),93)))&gt;0,COUNTIF(INDIRECT("'KERTAS KERJA'!K"&amp;(SMALL(IF(checklistPesertaKemenkeu!$AY$6:$AY$1005="Direkomendasikan",ROW($6:$1005)-5),93)+5)&amp;":O"&amp;(SMALL(IF(checklistPesertaKemenkeu!$AY$6:$AY$1005="Direkomendasikan",ROW($6:$1005)-5),93)+5)),INDEX(checklistPesertaKemenkeu!$M$6:$M$1005,SMALL(IF(checklistPesertaKemenkeu!$AY$6:$AY$1005="Direkomendasikan",ROW($6:$1005)-5),93)))=1),IFERROR(VLOOKUP(INDEX(checklistPesertaKemenkeu!$M$6:$M$1005,SMALL(IF(checklistPesertaKemenkeu!$AY$6:$AY$1005="Direkomendasikan",ROW($6:$1005)-5),93)),KotaKode,2,0),"-"),"")),"")</f>
        <v/>
      </c>
      <c r="J94" t="str">
        <f t="array" aca="1" ref="J94" ca="1">IFERROR(IF(OR(INDEX(checklistPesertaKemenkeu!$N$6:$N$1005,SMALL(IF(checklistPesertaKemenkeu!$AY$6:$AY$1005="Direkomendasikan",ROW($6:$1005)-5),93))="",INDEX(checklistPesertaKemenkeu!$J$6:$J$1005,SMALL(IF(checklistPesertaKemenkeu!$AY$6:$AY$1005="Direkomendasikan",ROW($6:$1005)-5),93))=""),"",IF(AND(COUNTIF(INDIRECT("K_"&amp;MATCH(INDEX(checklistPesertaKemenkeu!$J$6:$J$1005,SMALL(IF(checklistPesertaKemenkeu!$AY$6:$AY$1005="Direkomendasikan",ROW($6:$1005)-5),93)),BidangList,0)),INDEX(checklistPesertaKemenkeu!$N$6:$N$1005,SMALL(IF(checklistPesertaKemenkeu!$AY$6:$AY$1005="Direkomendasikan",ROW($6:$1005)-5),93)))&gt;0,COUNTIF(INDIRECT("'KERTAS KERJA'!K"&amp;(SMALL(IF(checklistPesertaKemenkeu!$AY$6:$AY$1005="Direkomendasikan",ROW($6:$1005)-5),93)+5)&amp;":O"&amp;(SMALL(IF(checklistPesertaKemenkeu!$AY$6:$AY$1005="Direkomendasikan",ROW($6:$1005)-5),93)+5)),INDEX(checklistPesertaKemenkeu!$N$6:$N$1005,SMALL(IF(checklistPesertaKemenkeu!$AY$6:$AY$1005="Direkomendasikan",ROW($6:$1005)-5),93)))=1),IFERROR(VLOOKUP(INDEX(checklistPesertaKemenkeu!$N$6:$N$1005,SMALL(IF(checklistPesertaKemenkeu!$AY$6:$AY$1005="Direkomendasikan",ROW($6:$1005)-5),93)),KotaKode,2,0),"-"),"")),"")</f>
        <v/>
      </c>
      <c r="K94" t="str">
        <f t="array" aca="1" ref="K94" ca="1">IFERROR(IF(OR(INDEX(checklistPesertaKemenkeu!$O$6:$O$1005,SMALL(IF(checklistPesertaKemenkeu!$AY$6:$AY$1005="Direkomendasikan",ROW($6:$1005)-5),93))="",INDEX(checklistPesertaKemenkeu!$J$6:$J$1005,SMALL(IF(checklistPesertaKemenkeu!$AY$6:$AY$1005="Direkomendasikan",ROW($6:$1005)-5),93))=""),"",IF(AND(COUNTIF(INDIRECT("K_"&amp;MATCH(INDEX(checklistPesertaKemenkeu!$J$6:$J$1005,SMALL(IF(checklistPesertaKemenkeu!$AY$6:$AY$1005="Direkomendasikan",ROW($6:$1005)-5),93)),BidangList,0)),INDEX(checklistPesertaKemenkeu!$O$6:$O$1005,SMALL(IF(checklistPesertaKemenkeu!$AY$6:$AY$1005="Direkomendasikan",ROW($6:$1005)-5),93)))&gt;0,COUNTIF(INDIRECT("'KERTAS KERJA'!K"&amp;(SMALL(IF(checklistPesertaKemenkeu!$AY$6:$AY$1005="Direkomendasikan",ROW($6:$1005)-5),93)+5)&amp;":O"&amp;(SMALL(IF(checklistPesertaKemenkeu!$AY$6:$AY$1005="Direkomendasikan",ROW($6:$1005)-5),93)+5)),INDEX(checklistPesertaKemenkeu!$O$6:$O$1005,SMALL(IF(checklistPesertaKemenkeu!$AY$6:$AY$1005="Direkomendasikan",ROW($6:$1005)-5),93)))=1),IFERROR(VLOOKUP(INDEX(checklistPesertaKemenkeu!$O$6:$O$1005,SMALL(IF(checklistPesertaKemenkeu!$AY$6:$AY$1005="Direkomendasikan",ROW($6:$1005)-5),93)),KotaKode,2,0),"-"),"")),"")</f>
        <v/>
      </c>
      <c r="L94" t="str">
        <f t="array" aca="1" ref="L94" ca="1">IFERROR(IF(OR(INDEX(checklistPesertaKemenkeu!$P$6:$P$1005,SMALL(IF(checklistPesertaKemenkeu!$AY$6:$AY$1005="Direkomendasikan",ROW($6:$1005)-5),93))="",INDEX(checklistPesertaKemenkeu!$J$6:$J$1005,SMALL(IF(checklistPesertaKemenkeu!$AY$6:$AY$1005="Direkomendasikan",ROW($6:$1005)-5),93))=""),"",IF(AND(COUNTIF(INDIRECT("K_"&amp;MATCH(INDEX(checklistPesertaKemenkeu!$J$6:$J$1005,SMALL(IF(checklistPesertaKemenkeu!$AY$6:$AY$1005="Direkomendasikan",ROW($6:$1005)-5),93)),BidangList,0)),INDEX(checklistPesertaKemenkeu!$P$6:$P$1005,SMALL(IF(checklistPesertaKemenkeu!$AY$6:$AY$1005="Direkomendasikan",ROW($6:$1005)-5),93)))&gt;0,COUNTIF(INDIRECT("'KERTAS KERJA'!K"&amp;(SMALL(IF(checklistPesertaKemenkeu!$AY$6:$AY$1005="Direkomendasikan",ROW($6:$1005)-5),93)+5)&amp;":O"&amp;(SMALL(IF(checklistPesertaKemenkeu!$AY$6:$AY$1005="Direkomendasikan",ROW($6:$1005)-5),93)+5)),INDEX(checklistPesertaKemenkeu!$P$6:$P$1005,SMALL(IF(checklistPesertaKemenkeu!$AY$6:$AY$1005="Direkomendasikan",ROW($6:$1005)-5),93)))=1),IFERROR(VLOOKUP(INDEX(checklistPesertaKemenkeu!$P$6:$P$1005,SMALL(IF(checklistPesertaKemenkeu!$AY$6:$AY$1005="Direkomendasikan",ROW($6:$1005)-5),93)),KotaKode,2,0),"-"),"")),"")</f>
        <v/>
      </c>
    </row>
    <row r="95" spans="1:12" ht="15" customHeight="1" x14ac:dyDescent="0.2">
      <c r="A95" t="str">
        <f t="shared" si="1"/>
        <v/>
      </c>
      <c r="B95" t="str">
        <v/>
      </c>
      <c r="C95" s="40" t="str">
        <f t="array" ref="C95">IFERROR(INDEX(checklistPesertaKemenkeu!$F$6:$F$1005,SMALL(IF(checklistPesertaKemenkeu!$AY$6:$AY$1005="Direkomendasikan",ROW($6:$1005)-5),94)),"")</f>
        <v/>
      </c>
      <c r="D95" t="str">
        <f t="array" ref="D95">IFERROR(INDEX(checklistPesertaKemenkeu!$G$6:$G$1005,SMALL(IF(checklistPesertaKemenkeu!$AY$6:$AY$1005="Direkomendasikan",ROW($6:$1005)-5),94)),"")</f>
        <v/>
      </c>
      <c r="E95" t="str">
        <f t="array" ref="E95">IFERROR(INDEX(checklistPesertaKemenkeu!$H$6:$H$1005,SMALL(IF(checklistPesertaKemenkeu!$AY$6:$AY$1005="Direkomendasikan",ROW($6:$1005)-5),94)),"")</f>
        <v/>
      </c>
      <c r="F95" t="str">
        <f t="array" ref="F95">IFERROR(INDEX(checklistPesertaKemenkeu!$I$6:$I$1005,SMALL(IF(checklistPesertaKemenkeu!$AY$6:$AY$1005="Direkomendasikan",ROW($6:$1005)-5),94)),"")</f>
        <v/>
      </c>
      <c r="G95" t="str">
        <f t="array" ref="G95">IFERROR(INDEX(checklistPesertaKemenkeu!$J$6:$J$1005,SMALL(IF(checklistPesertaKemenkeu!$AY$6:$AY$1005="Direkomendasikan",ROW($6:$1005)-5),94)),"")</f>
        <v/>
      </c>
      <c r="H95" t="str">
        <f t="array" aca="1" ref="H95" ca="1">IFERROR(IF(OR(INDEX(checklistPesertaKemenkeu!$L$6:$L$1005,SMALL(IF(checklistPesertaKemenkeu!$AY$6:$AY$1005="Direkomendasikan",ROW($6:$1005)-5),94))="",INDEX(checklistPesertaKemenkeu!$J$6:$J$1005,SMALL(IF(checklistPesertaKemenkeu!$AY$6:$AY$1005="Direkomendasikan",ROW($6:$1005)-5),94))=""),"",IF(AND(COUNTIF(INDIRECT("K_"&amp;MATCH(INDEX(checklistPesertaKemenkeu!$J$6:$J$1005,SMALL(IF(checklistPesertaKemenkeu!$AY$6:$AY$1005="Direkomendasikan",ROW($6:$1005)-5),94)),BidangList,0)),INDEX(checklistPesertaKemenkeu!$L$6:$L$1005,SMALL(IF(checklistPesertaKemenkeu!$AY$6:$AY$1005="Direkomendasikan",ROW($6:$1005)-5),94)))&gt;0,COUNTIF(INDIRECT("'KERTAS KERJA'!K"&amp;(SMALL(IF(checklistPesertaKemenkeu!$AY$6:$AY$1005="Direkomendasikan",ROW($6:$1005)-5),94)+5)&amp;":O"&amp;(SMALL(IF(checklistPesertaKemenkeu!$AY$6:$AY$1005="Direkomendasikan",ROW($6:$1005)-5),94)+5)),INDEX(checklistPesertaKemenkeu!$L$6:$L$1005,SMALL(IF(checklistPesertaKemenkeu!$AY$6:$AY$1005="Direkomendasikan",ROW($6:$1005)-5),94)))=1),IFERROR(VLOOKUP(INDEX(checklistPesertaKemenkeu!$L$6:$L$1005,SMALL(IF(checklistPesertaKemenkeu!$AY$6:$AY$1005="Direkomendasikan",ROW($6:$1005)-5),94)),KotaKode,2,0),"-"),"")),"")</f>
        <v/>
      </c>
      <c r="I95" t="str">
        <f t="array" aca="1" ref="I95" ca="1">IFERROR(IF(OR(INDEX(checklistPesertaKemenkeu!$M$6:$M$1005,SMALL(IF(checklistPesertaKemenkeu!$AY$6:$AY$1005="Direkomendasikan",ROW($6:$1005)-5),94))="",INDEX(checklistPesertaKemenkeu!$J$6:$J$1005,SMALL(IF(checklistPesertaKemenkeu!$AY$6:$AY$1005="Direkomendasikan",ROW($6:$1005)-5),94))=""),"",IF(AND(COUNTIF(INDIRECT("K_"&amp;MATCH(INDEX(checklistPesertaKemenkeu!$J$6:$J$1005,SMALL(IF(checklistPesertaKemenkeu!$AY$6:$AY$1005="Direkomendasikan",ROW($6:$1005)-5),94)),BidangList,0)),INDEX(checklistPesertaKemenkeu!$M$6:$M$1005,SMALL(IF(checklistPesertaKemenkeu!$AY$6:$AY$1005="Direkomendasikan",ROW($6:$1005)-5),94)))&gt;0,COUNTIF(INDIRECT("'KERTAS KERJA'!K"&amp;(SMALL(IF(checklistPesertaKemenkeu!$AY$6:$AY$1005="Direkomendasikan",ROW($6:$1005)-5),94)+5)&amp;":O"&amp;(SMALL(IF(checklistPesertaKemenkeu!$AY$6:$AY$1005="Direkomendasikan",ROW($6:$1005)-5),94)+5)),INDEX(checklistPesertaKemenkeu!$M$6:$M$1005,SMALL(IF(checklistPesertaKemenkeu!$AY$6:$AY$1005="Direkomendasikan",ROW($6:$1005)-5),94)))=1),IFERROR(VLOOKUP(INDEX(checklistPesertaKemenkeu!$M$6:$M$1005,SMALL(IF(checklistPesertaKemenkeu!$AY$6:$AY$1005="Direkomendasikan",ROW($6:$1005)-5),94)),KotaKode,2,0),"-"),"")),"")</f>
        <v/>
      </c>
      <c r="J95" t="str">
        <f t="array" aca="1" ref="J95" ca="1">IFERROR(IF(OR(INDEX(checklistPesertaKemenkeu!$N$6:$N$1005,SMALL(IF(checklistPesertaKemenkeu!$AY$6:$AY$1005="Direkomendasikan",ROW($6:$1005)-5),94))="",INDEX(checklistPesertaKemenkeu!$J$6:$J$1005,SMALL(IF(checklistPesertaKemenkeu!$AY$6:$AY$1005="Direkomendasikan",ROW($6:$1005)-5),94))=""),"",IF(AND(COUNTIF(INDIRECT("K_"&amp;MATCH(INDEX(checklistPesertaKemenkeu!$J$6:$J$1005,SMALL(IF(checklistPesertaKemenkeu!$AY$6:$AY$1005="Direkomendasikan",ROW($6:$1005)-5),94)),BidangList,0)),INDEX(checklistPesertaKemenkeu!$N$6:$N$1005,SMALL(IF(checklistPesertaKemenkeu!$AY$6:$AY$1005="Direkomendasikan",ROW($6:$1005)-5),94)))&gt;0,COUNTIF(INDIRECT("'KERTAS KERJA'!K"&amp;(SMALL(IF(checklistPesertaKemenkeu!$AY$6:$AY$1005="Direkomendasikan",ROW($6:$1005)-5),94)+5)&amp;":O"&amp;(SMALL(IF(checklistPesertaKemenkeu!$AY$6:$AY$1005="Direkomendasikan",ROW($6:$1005)-5),94)+5)),INDEX(checklistPesertaKemenkeu!$N$6:$N$1005,SMALL(IF(checklistPesertaKemenkeu!$AY$6:$AY$1005="Direkomendasikan",ROW($6:$1005)-5),94)))=1),IFERROR(VLOOKUP(INDEX(checklistPesertaKemenkeu!$N$6:$N$1005,SMALL(IF(checklistPesertaKemenkeu!$AY$6:$AY$1005="Direkomendasikan",ROW($6:$1005)-5),94)),KotaKode,2,0),"-"),"")),"")</f>
        <v/>
      </c>
      <c r="K95" t="str">
        <f t="array" aca="1" ref="K95" ca="1">IFERROR(IF(OR(INDEX(checklistPesertaKemenkeu!$O$6:$O$1005,SMALL(IF(checklistPesertaKemenkeu!$AY$6:$AY$1005="Direkomendasikan",ROW($6:$1005)-5),94))="",INDEX(checklistPesertaKemenkeu!$J$6:$J$1005,SMALL(IF(checklistPesertaKemenkeu!$AY$6:$AY$1005="Direkomendasikan",ROW($6:$1005)-5),94))=""),"",IF(AND(COUNTIF(INDIRECT("K_"&amp;MATCH(INDEX(checklistPesertaKemenkeu!$J$6:$J$1005,SMALL(IF(checklistPesertaKemenkeu!$AY$6:$AY$1005="Direkomendasikan",ROW($6:$1005)-5),94)),BidangList,0)),INDEX(checklistPesertaKemenkeu!$O$6:$O$1005,SMALL(IF(checklistPesertaKemenkeu!$AY$6:$AY$1005="Direkomendasikan",ROW($6:$1005)-5),94)))&gt;0,COUNTIF(INDIRECT("'KERTAS KERJA'!K"&amp;(SMALL(IF(checklistPesertaKemenkeu!$AY$6:$AY$1005="Direkomendasikan",ROW($6:$1005)-5),94)+5)&amp;":O"&amp;(SMALL(IF(checklistPesertaKemenkeu!$AY$6:$AY$1005="Direkomendasikan",ROW($6:$1005)-5),94)+5)),INDEX(checklistPesertaKemenkeu!$O$6:$O$1005,SMALL(IF(checklistPesertaKemenkeu!$AY$6:$AY$1005="Direkomendasikan",ROW($6:$1005)-5),94)))=1),IFERROR(VLOOKUP(INDEX(checklistPesertaKemenkeu!$O$6:$O$1005,SMALL(IF(checklistPesertaKemenkeu!$AY$6:$AY$1005="Direkomendasikan",ROW($6:$1005)-5),94)),KotaKode,2,0),"-"),"")),"")</f>
        <v/>
      </c>
      <c r="L95" t="str">
        <f t="array" aca="1" ref="L95" ca="1">IFERROR(IF(OR(INDEX(checklistPesertaKemenkeu!$P$6:$P$1005,SMALL(IF(checklistPesertaKemenkeu!$AY$6:$AY$1005="Direkomendasikan",ROW($6:$1005)-5),94))="",INDEX(checklistPesertaKemenkeu!$J$6:$J$1005,SMALL(IF(checklistPesertaKemenkeu!$AY$6:$AY$1005="Direkomendasikan",ROW($6:$1005)-5),94))=""),"",IF(AND(COUNTIF(INDIRECT("K_"&amp;MATCH(INDEX(checklistPesertaKemenkeu!$J$6:$J$1005,SMALL(IF(checklistPesertaKemenkeu!$AY$6:$AY$1005="Direkomendasikan",ROW($6:$1005)-5),94)),BidangList,0)),INDEX(checklistPesertaKemenkeu!$P$6:$P$1005,SMALL(IF(checklistPesertaKemenkeu!$AY$6:$AY$1005="Direkomendasikan",ROW($6:$1005)-5),94)))&gt;0,COUNTIF(INDIRECT("'KERTAS KERJA'!K"&amp;(SMALL(IF(checklistPesertaKemenkeu!$AY$6:$AY$1005="Direkomendasikan",ROW($6:$1005)-5),94)+5)&amp;":O"&amp;(SMALL(IF(checklistPesertaKemenkeu!$AY$6:$AY$1005="Direkomendasikan",ROW($6:$1005)-5),94)+5)),INDEX(checklistPesertaKemenkeu!$P$6:$P$1005,SMALL(IF(checklistPesertaKemenkeu!$AY$6:$AY$1005="Direkomendasikan",ROW($6:$1005)-5),94)))=1),IFERROR(VLOOKUP(INDEX(checklistPesertaKemenkeu!$P$6:$P$1005,SMALL(IF(checklistPesertaKemenkeu!$AY$6:$AY$1005="Direkomendasikan",ROW($6:$1005)-5),94)),KotaKode,2,0),"-"),"")),"")</f>
        <v/>
      </c>
    </row>
    <row r="96" spans="1:12" ht="15" customHeight="1" x14ac:dyDescent="0.2">
      <c r="A96" t="str">
        <f t="shared" si="1"/>
        <v/>
      </c>
      <c r="B96" t="str">
        <v/>
      </c>
      <c r="C96" s="40" t="str">
        <f t="array" ref="C96">IFERROR(INDEX(checklistPesertaKemenkeu!$F$6:$F$1005,SMALL(IF(checklistPesertaKemenkeu!$AY$6:$AY$1005="Direkomendasikan",ROW($6:$1005)-5),95)),"")</f>
        <v/>
      </c>
      <c r="D96" t="str">
        <f t="array" ref="D96">IFERROR(INDEX(checklistPesertaKemenkeu!$G$6:$G$1005,SMALL(IF(checklistPesertaKemenkeu!$AY$6:$AY$1005="Direkomendasikan",ROW($6:$1005)-5),95)),"")</f>
        <v/>
      </c>
      <c r="E96" t="str">
        <f t="array" ref="E96">IFERROR(INDEX(checklistPesertaKemenkeu!$H$6:$H$1005,SMALL(IF(checklistPesertaKemenkeu!$AY$6:$AY$1005="Direkomendasikan",ROW($6:$1005)-5),95)),"")</f>
        <v/>
      </c>
      <c r="F96" t="str">
        <f t="array" ref="F96">IFERROR(INDEX(checklistPesertaKemenkeu!$I$6:$I$1005,SMALL(IF(checklistPesertaKemenkeu!$AY$6:$AY$1005="Direkomendasikan",ROW($6:$1005)-5),95)),"")</f>
        <v/>
      </c>
      <c r="G96" t="str">
        <f t="array" ref="G96">IFERROR(INDEX(checklistPesertaKemenkeu!$J$6:$J$1005,SMALL(IF(checklistPesertaKemenkeu!$AY$6:$AY$1005="Direkomendasikan",ROW($6:$1005)-5),95)),"")</f>
        <v/>
      </c>
      <c r="H96" t="str">
        <f t="array" aca="1" ref="H96" ca="1">IFERROR(IF(OR(INDEX(checklistPesertaKemenkeu!$L$6:$L$1005,SMALL(IF(checklistPesertaKemenkeu!$AY$6:$AY$1005="Direkomendasikan",ROW($6:$1005)-5),95))="",INDEX(checklistPesertaKemenkeu!$J$6:$J$1005,SMALL(IF(checklistPesertaKemenkeu!$AY$6:$AY$1005="Direkomendasikan",ROW($6:$1005)-5),95))=""),"",IF(AND(COUNTIF(INDIRECT("K_"&amp;MATCH(INDEX(checklistPesertaKemenkeu!$J$6:$J$1005,SMALL(IF(checklistPesertaKemenkeu!$AY$6:$AY$1005="Direkomendasikan",ROW($6:$1005)-5),95)),BidangList,0)),INDEX(checklistPesertaKemenkeu!$L$6:$L$1005,SMALL(IF(checklistPesertaKemenkeu!$AY$6:$AY$1005="Direkomendasikan",ROW($6:$1005)-5),95)))&gt;0,COUNTIF(INDIRECT("'KERTAS KERJA'!K"&amp;(SMALL(IF(checklistPesertaKemenkeu!$AY$6:$AY$1005="Direkomendasikan",ROW($6:$1005)-5),95)+5)&amp;":O"&amp;(SMALL(IF(checklistPesertaKemenkeu!$AY$6:$AY$1005="Direkomendasikan",ROW($6:$1005)-5),95)+5)),INDEX(checklistPesertaKemenkeu!$L$6:$L$1005,SMALL(IF(checklistPesertaKemenkeu!$AY$6:$AY$1005="Direkomendasikan",ROW($6:$1005)-5),95)))=1),IFERROR(VLOOKUP(INDEX(checklistPesertaKemenkeu!$L$6:$L$1005,SMALL(IF(checklistPesertaKemenkeu!$AY$6:$AY$1005="Direkomendasikan",ROW($6:$1005)-5),95)),KotaKode,2,0),"-"),"")),"")</f>
        <v/>
      </c>
      <c r="I96" t="str">
        <f t="array" aca="1" ref="I96" ca="1">IFERROR(IF(OR(INDEX(checklistPesertaKemenkeu!$M$6:$M$1005,SMALL(IF(checklistPesertaKemenkeu!$AY$6:$AY$1005="Direkomendasikan",ROW($6:$1005)-5),95))="",INDEX(checklistPesertaKemenkeu!$J$6:$J$1005,SMALL(IF(checklistPesertaKemenkeu!$AY$6:$AY$1005="Direkomendasikan",ROW($6:$1005)-5),95))=""),"",IF(AND(COUNTIF(INDIRECT("K_"&amp;MATCH(INDEX(checklistPesertaKemenkeu!$J$6:$J$1005,SMALL(IF(checklistPesertaKemenkeu!$AY$6:$AY$1005="Direkomendasikan",ROW($6:$1005)-5),95)),BidangList,0)),INDEX(checklistPesertaKemenkeu!$M$6:$M$1005,SMALL(IF(checklistPesertaKemenkeu!$AY$6:$AY$1005="Direkomendasikan",ROW($6:$1005)-5),95)))&gt;0,COUNTIF(INDIRECT("'KERTAS KERJA'!K"&amp;(SMALL(IF(checklistPesertaKemenkeu!$AY$6:$AY$1005="Direkomendasikan",ROW($6:$1005)-5),95)+5)&amp;":O"&amp;(SMALL(IF(checklistPesertaKemenkeu!$AY$6:$AY$1005="Direkomendasikan",ROW($6:$1005)-5),95)+5)),INDEX(checklistPesertaKemenkeu!$M$6:$M$1005,SMALL(IF(checklistPesertaKemenkeu!$AY$6:$AY$1005="Direkomendasikan",ROW($6:$1005)-5),95)))=1),IFERROR(VLOOKUP(INDEX(checklistPesertaKemenkeu!$M$6:$M$1005,SMALL(IF(checklistPesertaKemenkeu!$AY$6:$AY$1005="Direkomendasikan",ROW($6:$1005)-5),95)),KotaKode,2,0),"-"),"")),"")</f>
        <v/>
      </c>
      <c r="J96" t="str">
        <f t="array" aca="1" ref="J96" ca="1">IFERROR(IF(OR(INDEX(checklistPesertaKemenkeu!$N$6:$N$1005,SMALL(IF(checklistPesertaKemenkeu!$AY$6:$AY$1005="Direkomendasikan",ROW($6:$1005)-5),95))="",INDEX(checklistPesertaKemenkeu!$J$6:$J$1005,SMALL(IF(checklistPesertaKemenkeu!$AY$6:$AY$1005="Direkomendasikan",ROW($6:$1005)-5),95))=""),"",IF(AND(COUNTIF(INDIRECT("K_"&amp;MATCH(INDEX(checklistPesertaKemenkeu!$J$6:$J$1005,SMALL(IF(checklistPesertaKemenkeu!$AY$6:$AY$1005="Direkomendasikan",ROW($6:$1005)-5),95)),BidangList,0)),INDEX(checklistPesertaKemenkeu!$N$6:$N$1005,SMALL(IF(checklistPesertaKemenkeu!$AY$6:$AY$1005="Direkomendasikan",ROW($6:$1005)-5),95)))&gt;0,COUNTIF(INDIRECT("'KERTAS KERJA'!K"&amp;(SMALL(IF(checklistPesertaKemenkeu!$AY$6:$AY$1005="Direkomendasikan",ROW($6:$1005)-5),95)+5)&amp;":O"&amp;(SMALL(IF(checklistPesertaKemenkeu!$AY$6:$AY$1005="Direkomendasikan",ROW($6:$1005)-5),95)+5)),INDEX(checklistPesertaKemenkeu!$N$6:$N$1005,SMALL(IF(checklistPesertaKemenkeu!$AY$6:$AY$1005="Direkomendasikan",ROW($6:$1005)-5),95)))=1),IFERROR(VLOOKUP(INDEX(checklistPesertaKemenkeu!$N$6:$N$1005,SMALL(IF(checklistPesertaKemenkeu!$AY$6:$AY$1005="Direkomendasikan",ROW($6:$1005)-5),95)),KotaKode,2,0),"-"),"")),"")</f>
        <v/>
      </c>
      <c r="K96" t="str">
        <f t="array" aca="1" ref="K96" ca="1">IFERROR(IF(OR(INDEX(checklistPesertaKemenkeu!$O$6:$O$1005,SMALL(IF(checklistPesertaKemenkeu!$AY$6:$AY$1005="Direkomendasikan",ROW($6:$1005)-5),95))="",INDEX(checklistPesertaKemenkeu!$J$6:$J$1005,SMALL(IF(checklistPesertaKemenkeu!$AY$6:$AY$1005="Direkomendasikan",ROW($6:$1005)-5),95))=""),"",IF(AND(COUNTIF(INDIRECT("K_"&amp;MATCH(INDEX(checklistPesertaKemenkeu!$J$6:$J$1005,SMALL(IF(checklistPesertaKemenkeu!$AY$6:$AY$1005="Direkomendasikan",ROW($6:$1005)-5),95)),BidangList,0)),INDEX(checklistPesertaKemenkeu!$O$6:$O$1005,SMALL(IF(checklistPesertaKemenkeu!$AY$6:$AY$1005="Direkomendasikan",ROW($6:$1005)-5),95)))&gt;0,COUNTIF(INDIRECT("'KERTAS KERJA'!K"&amp;(SMALL(IF(checklistPesertaKemenkeu!$AY$6:$AY$1005="Direkomendasikan",ROW($6:$1005)-5),95)+5)&amp;":O"&amp;(SMALL(IF(checklistPesertaKemenkeu!$AY$6:$AY$1005="Direkomendasikan",ROW($6:$1005)-5),95)+5)),INDEX(checklistPesertaKemenkeu!$O$6:$O$1005,SMALL(IF(checklistPesertaKemenkeu!$AY$6:$AY$1005="Direkomendasikan",ROW($6:$1005)-5),95)))=1),IFERROR(VLOOKUP(INDEX(checklistPesertaKemenkeu!$O$6:$O$1005,SMALL(IF(checklistPesertaKemenkeu!$AY$6:$AY$1005="Direkomendasikan",ROW($6:$1005)-5),95)),KotaKode,2,0),"-"),"")),"")</f>
        <v/>
      </c>
      <c r="L96" t="str">
        <f t="array" aca="1" ref="L96" ca="1">IFERROR(IF(OR(INDEX(checklistPesertaKemenkeu!$P$6:$P$1005,SMALL(IF(checklistPesertaKemenkeu!$AY$6:$AY$1005="Direkomendasikan",ROW($6:$1005)-5),95))="",INDEX(checklistPesertaKemenkeu!$J$6:$J$1005,SMALL(IF(checklistPesertaKemenkeu!$AY$6:$AY$1005="Direkomendasikan",ROW($6:$1005)-5),95))=""),"",IF(AND(COUNTIF(INDIRECT("K_"&amp;MATCH(INDEX(checklistPesertaKemenkeu!$J$6:$J$1005,SMALL(IF(checklistPesertaKemenkeu!$AY$6:$AY$1005="Direkomendasikan",ROW($6:$1005)-5),95)),BidangList,0)),INDEX(checklistPesertaKemenkeu!$P$6:$P$1005,SMALL(IF(checklistPesertaKemenkeu!$AY$6:$AY$1005="Direkomendasikan",ROW($6:$1005)-5),95)))&gt;0,COUNTIF(INDIRECT("'KERTAS KERJA'!K"&amp;(SMALL(IF(checklistPesertaKemenkeu!$AY$6:$AY$1005="Direkomendasikan",ROW($6:$1005)-5),95)+5)&amp;":O"&amp;(SMALL(IF(checklistPesertaKemenkeu!$AY$6:$AY$1005="Direkomendasikan",ROW($6:$1005)-5),95)+5)),INDEX(checklistPesertaKemenkeu!$P$6:$P$1005,SMALL(IF(checklistPesertaKemenkeu!$AY$6:$AY$1005="Direkomendasikan",ROW($6:$1005)-5),95)))=1),IFERROR(VLOOKUP(INDEX(checklistPesertaKemenkeu!$P$6:$P$1005,SMALL(IF(checklistPesertaKemenkeu!$AY$6:$AY$1005="Direkomendasikan",ROW($6:$1005)-5),95)),KotaKode,2,0),"-"),"")),"")</f>
        <v/>
      </c>
    </row>
    <row r="97" spans="1:12" ht="15" customHeight="1" x14ac:dyDescent="0.2">
      <c r="A97" t="str">
        <f t="shared" si="1"/>
        <v/>
      </c>
      <c r="B97" t="str">
        <v/>
      </c>
      <c r="C97" s="40" t="str">
        <f t="array" ref="C97">IFERROR(INDEX(checklistPesertaKemenkeu!$F$6:$F$1005,SMALL(IF(checklistPesertaKemenkeu!$AY$6:$AY$1005="Direkomendasikan",ROW($6:$1005)-5),96)),"")</f>
        <v/>
      </c>
      <c r="D97" t="str">
        <f t="array" ref="D97">IFERROR(INDEX(checklistPesertaKemenkeu!$G$6:$G$1005,SMALL(IF(checklistPesertaKemenkeu!$AY$6:$AY$1005="Direkomendasikan",ROW($6:$1005)-5),96)),"")</f>
        <v/>
      </c>
      <c r="E97" t="str">
        <f t="array" ref="E97">IFERROR(INDEX(checklistPesertaKemenkeu!$H$6:$H$1005,SMALL(IF(checklistPesertaKemenkeu!$AY$6:$AY$1005="Direkomendasikan",ROW($6:$1005)-5),96)),"")</f>
        <v/>
      </c>
      <c r="F97" t="str">
        <f t="array" ref="F97">IFERROR(INDEX(checklistPesertaKemenkeu!$I$6:$I$1005,SMALL(IF(checklistPesertaKemenkeu!$AY$6:$AY$1005="Direkomendasikan",ROW($6:$1005)-5),96)),"")</f>
        <v/>
      </c>
      <c r="G97" t="str">
        <f t="array" ref="G97">IFERROR(INDEX(checklistPesertaKemenkeu!$J$6:$J$1005,SMALL(IF(checklistPesertaKemenkeu!$AY$6:$AY$1005="Direkomendasikan",ROW($6:$1005)-5),96)),"")</f>
        <v/>
      </c>
      <c r="H97" t="str">
        <f t="array" aca="1" ref="H97" ca="1">IFERROR(IF(OR(INDEX(checklistPesertaKemenkeu!$L$6:$L$1005,SMALL(IF(checklistPesertaKemenkeu!$AY$6:$AY$1005="Direkomendasikan",ROW($6:$1005)-5),96))="",INDEX(checklistPesertaKemenkeu!$J$6:$J$1005,SMALL(IF(checklistPesertaKemenkeu!$AY$6:$AY$1005="Direkomendasikan",ROW($6:$1005)-5),96))=""),"",IF(AND(COUNTIF(INDIRECT("K_"&amp;MATCH(INDEX(checklistPesertaKemenkeu!$J$6:$J$1005,SMALL(IF(checklistPesertaKemenkeu!$AY$6:$AY$1005="Direkomendasikan",ROW($6:$1005)-5),96)),BidangList,0)),INDEX(checklistPesertaKemenkeu!$L$6:$L$1005,SMALL(IF(checklistPesertaKemenkeu!$AY$6:$AY$1005="Direkomendasikan",ROW($6:$1005)-5),96)))&gt;0,COUNTIF(INDIRECT("'KERTAS KERJA'!K"&amp;(SMALL(IF(checklistPesertaKemenkeu!$AY$6:$AY$1005="Direkomendasikan",ROW($6:$1005)-5),96)+5)&amp;":O"&amp;(SMALL(IF(checklistPesertaKemenkeu!$AY$6:$AY$1005="Direkomendasikan",ROW($6:$1005)-5),96)+5)),INDEX(checklistPesertaKemenkeu!$L$6:$L$1005,SMALL(IF(checklistPesertaKemenkeu!$AY$6:$AY$1005="Direkomendasikan",ROW($6:$1005)-5),96)))=1),IFERROR(VLOOKUP(INDEX(checklistPesertaKemenkeu!$L$6:$L$1005,SMALL(IF(checklistPesertaKemenkeu!$AY$6:$AY$1005="Direkomendasikan",ROW($6:$1005)-5),96)),KotaKode,2,0),"-"),"")),"")</f>
        <v/>
      </c>
      <c r="I97" t="str">
        <f t="array" aca="1" ref="I97" ca="1">IFERROR(IF(OR(INDEX(checklistPesertaKemenkeu!$M$6:$M$1005,SMALL(IF(checklistPesertaKemenkeu!$AY$6:$AY$1005="Direkomendasikan",ROW($6:$1005)-5),96))="",INDEX(checklistPesertaKemenkeu!$J$6:$J$1005,SMALL(IF(checklistPesertaKemenkeu!$AY$6:$AY$1005="Direkomendasikan",ROW($6:$1005)-5),96))=""),"",IF(AND(COUNTIF(INDIRECT("K_"&amp;MATCH(INDEX(checklistPesertaKemenkeu!$J$6:$J$1005,SMALL(IF(checklistPesertaKemenkeu!$AY$6:$AY$1005="Direkomendasikan",ROW($6:$1005)-5),96)),BidangList,0)),INDEX(checklistPesertaKemenkeu!$M$6:$M$1005,SMALL(IF(checklistPesertaKemenkeu!$AY$6:$AY$1005="Direkomendasikan",ROW($6:$1005)-5),96)))&gt;0,COUNTIF(INDIRECT("'KERTAS KERJA'!K"&amp;(SMALL(IF(checklistPesertaKemenkeu!$AY$6:$AY$1005="Direkomendasikan",ROW($6:$1005)-5),96)+5)&amp;":O"&amp;(SMALL(IF(checklistPesertaKemenkeu!$AY$6:$AY$1005="Direkomendasikan",ROW($6:$1005)-5),96)+5)),INDEX(checklistPesertaKemenkeu!$M$6:$M$1005,SMALL(IF(checklistPesertaKemenkeu!$AY$6:$AY$1005="Direkomendasikan",ROW($6:$1005)-5),96)))=1),IFERROR(VLOOKUP(INDEX(checklistPesertaKemenkeu!$M$6:$M$1005,SMALL(IF(checklistPesertaKemenkeu!$AY$6:$AY$1005="Direkomendasikan",ROW($6:$1005)-5),96)),KotaKode,2,0),"-"),"")),"")</f>
        <v/>
      </c>
      <c r="J97" t="str">
        <f t="array" aca="1" ref="J97" ca="1">IFERROR(IF(OR(INDEX(checklistPesertaKemenkeu!$N$6:$N$1005,SMALL(IF(checklistPesertaKemenkeu!$AY$6:$AY$1005="Direkomendasikan",ROW($6:$1005)-5),96))="",INDEX(checklistPesertaKemenkeu!$J$6:$J$1005,SMALL(IF(checklistPesertaKemenkeu!$AY$6:$AY$1005="Direkomendasikan",ROW($6:$1005)-5),96))=""),"",IF(AND(COUNTIF(INDIRECT("K_"&amp;MATCH(INDEX(checklistPesertaKemenkeu!$J$6:$J$1005,SMALL(IF(checklistPesertaKemenkeu!$AY$6:$AY$1005="Direkomendasikan",ROW($6:$1005)-5),96)),BidangList,0)),INDEX(checklistPesertaKemenkeu!$N$6:$N$1005,SMALL(IF(checklistPesertaKemenkeu!$AY$6:$AY$1005="Direkomendasikan",ROW($6:$1005)-5),96)))&gt;0,COUNTIF(INDIRECT("'KERTAS KERJA'!K"&amp;(SMALL(IF(checklistPesertaKemenkeu!$AY$6:$AY$1005="Direkomendasikan",ROW($6:$1005)-5),96)+5)&amp;":O"&amp;(SMALL(IF(checklistPesertaKemenkeu!$AY$6:$AY$1005="Direkomendasikan",ROW($6:$1005)-5),96)+5)),INDEX(checklistPesertaKemenkeu!$N$6:$N$1005,SMALL(IF(checklistPesertaKemenkeu!$AY$6:$AY$1005="Direkomendasikan",ROW($6:$1005)-5),96)))=1),IFERROR(VLOOKUP(INDEX(checklistPesertaKemenkeu!$N$6:$N$1005,SMALL(IF(checklistPesertaKemenkeu!$AY$6:$AY$1005="Direkomendasikan",ROW($6:$1005)-5),96)),KotaKode,2,0),"-"),"")),"")</f>
        <v/>
      </c>
      <c r="K97" t="str">
        <f t="array" aca="1" ref="K97" ca="1">IFERROR(IF(OR(INDEX(checklistPesertaKemenkeu!$O$6:$O$1005,SMALL(IF(checklistPesertaKemenkeu!$AY$6:$AY$1005="Direkomendasikan",ROW($6:$1005)-5),96))="",INDEX(checklistPesertaKemenkeu!$J$6:$J$1005,SMALL(IF(checklistPesertaKemenkeu!$AY$6:$AY$1005="Direkomendasikan",ROW($6:$1005)-5),96))=""),"",IF(AND(COUNTIF(INDIRECT("K_"&amp;MATCH(INDEX(checklistPesertaKemenkeu!$J$6:$J$1005,SMALL(IF(checklistPesertaKemenkeu!$AY$6:$AY$1005="Direkomendasikan",ROW($6:$1005)-5),96)),BidangList,0)),INDEX(checklistPesertaKemenkeu!$O$6:$O$1005,SMALL(IF(checklistPesertaKemenkeu!$AY$6:$AY$1005="Direkomendasikan",ROW($6:$1005)-5),96)))&gt;0,COUNTIF(INDIRECT("'KERTAS KERJA'!K"&amp;(SMALL(IF(checklistPesertaKemenkeu!$AY$6:$AY$1005="Direkomendasikan",ROW($6:$1005)-5),96)+5)&amp;":O"&amp;(SMALL(IF(checklistPesertaKemenkeu!$AY$6:$AY$1005="Direkomendasikan",ROW($6:$1005)-5),96)+5)),INDEX(checklistPesertaKemenkeu!$O$6:$O$1005,SMALL(IF(checklistPesertaKemenkeu!$AY$6:$AY$1005="Direkomendasikan",ROW($6:$1005)-5),96)))=1),IFERROR(VLOOKUP(INDEX(checklistPesertaKemenkeu!$O$6:$O$1005,SMALL(IF(checklistPesertaKemenkeu!$AY$6:$AY$1005="Direkomendasikan",ROW($6:$1005)-5),96)),KotaKode,2,0),"-"),"")),"")</f>
        <v/>
      </c>
      <c r="L97" t="str">
        <f t="array" aca="1" ref="L97" ca="1">IFERROR(IF(OR(INDEX(checklistPesertaKemenkeu!$P$6:$P$1005,SMALL(IF(checklistPesertaKemenkeu!$AY$6:$AY$1005="Direkomendasikan",ROW($6:$1005)-5),96))="",INDEX(checklistPesertaKemenkeu!$J$6:$J$1005,SMALL(IF(checklistPesertaKemenkeu!$AY$6:$AY$1005="Direkomendasikan",ROW($6:$1005)-5),96))=""),"",IF(AND(COUNTIF(INDIRECT("K_"&amp;MATCH(INDEX(checklistPesertaKemenkeu!$J$6:$J$1005,SMALL(IF(checklistPesertaKemenkeu!$AY$6:$AY$1005="Direkomendasikan",ROW($6:$1005)-5),96)),BidangList,0)),INDEX(checklistPesertaKemenkeu!$P$6:$P$1005,SMALL(IF(checklistPesertaKemenkeu!$AY$6:$AY$1005="Direkomendasikan",ROW($6:$1005)-5),96)))&gt;0,COUNTIF(INDIRECT("'KERTAS KERJA'!K"&amp;(SMALL(IF(checklistPesertaKemenkeu!$AY$6:$AY$1005="Direkomendasikan",ROW($6:$1005)-5),96)+5)&amp;":O"&amp;(SMALL(IF(checklistPesertaKemenkeu!$AY$6:$AY$1005="Direkomendasikan",ROW($6:$1005)-5),96)+5)),INDEX(checklistPesertaKemenkeu!$P$6:$P$1005,SMALL(IF(checklistPesertaKemenkeu!$AY$6:$AY$1005="Direkomendasikan",ROW($6:$1005)-5),96)))=1),IFERROR(VLOOKUP(INDEX(checklistPesertaKemenkeu!$P$6:$P$1005,SMALL(IF(checklistPesertaKemenkeu!$AY$6:$AY$1005="Direkomendasikan",ROW($6:$1005)-5),96)),KotaKode,2,0),"-"),"")),"")</f>
        <v/>
      </c>
    </row>
    <row r="98" spans="1:12" ht="15" customHeight="1" x14ac:dyDescent="0.2">
      <c r="A98" t="str">
        <f t="shared" si="1"/>
        <v/>
      </c>
      <c r="B98" t="str">
        <v/>
      </c>
      <c r="C98" s="40" t="str">
        <f t="array" ref="C98">IFERROR(INDEX(checklistPesertaKemenkeu!$F$6:$F$1005,SMALL(IF(checklistPesertaKemenkeu!$AY$6:$AY$1005="Direkomendasikan",ROW($6:$1005)-5),97)),"")</f>
        <v/>
      </c>
      <c r="D98" t="str">
        <f t="array" ref="D98">IFERROR(INDEX(checklistPesertaKemenkeu!$G$6:$G$1005,SMALL(IF(checklistPesertaKemenkeu!$AY$6:$AY$1005="Direkomendasikan",ROW($6:$1005)-5),97)),"")</f>
        <v/>
      </c>
      <c r="E98" t="str">
        <f t="array" ref="E98">IFERROR(INDEX(checklistPesertaKemenkeu!$H$6:$H$1005,SMALL(IF(checklistPesertaKemenkeu!$AY$6:$AY$1005="Direkomendasikan",ROW($6:$1005)-5),97)),"")</f>
        <v/>
      </c>
      <c r="F98" t="str">
        <f t="array" ref="F98">IFERROR(INDEX(checklistPesertaKemenkeu!$I$6:$I$1005,SMALL(IF(checklistPesertaKemenkeu!$AY$6:$AY$1005="Direkomendasikan",ROW($6:$1005)-5),97)),"")</f>
        <v/>
      </c>
      <c r="G98" t="str">
        <f t="array" ref="G98">IFERROR(INDEX(checklistPesertaKemenkeu!$J$6:$J$1005,SMALL(IF(checklistPesertaKemenkeu!$AY$6:$AY$1005="Direkomendasikan",ROW($6:$1005)-5),97)),"")</f>
        <v/>
      </c>
      <c r="H98" t="str">
        <f t="array" aca="1" ref="H98" ca="1">IFERROR(IF(OR(INDEX(checklistPesertaKemenkeu!$L$6:$L$1005,SMALL(IF(checklistPesertaKemenkeu!$AY$6:$AY$1005="Direkomendasikan",ROW($6:$1005)-5),97))="",INDEX(checklistPesertaKemenkeu!$J$6:$J$1005,SMALL(IF(checklistPesertaKemenkeu!$AY$6:$AY$1005="Direkomendasikan",ROW($6:$1005)-5),97))=""),"",IF(AND(COUNTIF(INDIRECT("K_"&amp;MATCH(INDEX(checklistPesertaKemenkeu!$J$6:$J$1005,SMALL(IF(checklistPesertaKemenkeu!$AY$6:$AY$1005="Direkomendasikan",ROW($6:$1005)-5),97)),BidangList,0)),INDEX(checklistPesertaKemenkeu!$L$6:$L$1005,SMALL(IF(checklistPesertaKemenkeu!$AY$6:$AY$1005="Direkomendasikan",ROW($6:$1005)-5),97)))&gt;0,COUNTIF(INDIRECT("'KERTAS KERJA'!K"&amp;(SMALL(IF(checklistPesertaKemenkeu!$AY$6:$AY$1005="Direkomendasikan",ROW($6:$1005)-5),97)+5)&amp;":O"&amp;(SMALL(IF(checklistPesertaKemenkeu!$AY$6:$AY$1005="Direkomendasikan",ROW($6:$1005)-5),97)+5)),INDEX(checklistPesertaKemenkeu!$L$6:$L$1005,SMALL(IF(checklistPesertaKemenkeu!$AY$6:$AY$1005="Direkomendasikan",ROW($6:$1005)-5),97)))=1),IFERROR(VLOOKUP(INDEX(checklistPesertaKemenkeu!$L$6:$L$1005,SMALL(IF(checklistPesertaKemenkeu!$AY$6:$AY$1005="Direkomendasikan",ROW($6:$1005)-5),97)),KotaKode,2,0),"-"),"")),"")</f>
        <v/>
      </c>
      <c r="I98" t="str">
        <f t="array" aca="1" ref="I98" ca="1">IFERROR(IF(OR(INDEX(checklistPesertaKemenkeu!$M$6:$M$1005,SMALL(IF(checklistPesertaKemenkeu!$AY$6:$AY$1005="Direkomendasikan",ROW($6:$1005)-5),97))="",INDEX(checklistPesertaKemenkeu!$J$6:$J$1005,SMALL(IF(checklistPesertaKemenkeu!$AY$6:$AY$1005="Direkomendasikan",ROW($6:$1005)-5),97))=""),"",IF(AND(COUNTIF(INDIRECT("K_"&amp;MATCH(INDEX(checklistPesertaKemenkeu!$J$6:$J$1005,SMALL(IF(checklistPesertaKemenkeu!$AY$6:$AY$1005="Direkomendasikan",ROW($6:$1005)-5),97)),BidangList,0)),INDEX(checklistPesertaKemenkeu!$M$6:$M$1005,SMALL(IF(checklistPesertaKemenkeu!$AY$6:$AY$1005="Direkomendasikan",ROW($6:$1005)-5),97)))&gt;0,COUNTIF(INDIRECT("'KERTAS KERJA'!K"&amp;(SMALL(IF(checklistPesertaKemenkeu!$AY$6:$AY$1005="Direkomendasikan",ROW($6:$1005)-5),97)+5)&amp;":O"&amp;(SMALL(IF(checklistPesertaKemenkeu!$AY$6:$AY$1005="Direkomendasikan",ROW($6:$1005)-5),97)+5)),INDEX(checklistPesertaKemenkeu!$M$6:$M$1005,SMALL(IF(checklistPesertaKemenkeu!$AY$6:$AY$1005="Direkomendasikan",ROW($6:$1005)-5),97)))=1),IFERROR(VLOOKUP(INDEX(checklistPesertaKemenkeu!$M$6:$M$1005,SMALL(IF(checklistPesertaKemenkeu!$AY$6:$AY$1005="Direkomendasikan",ROW($6:$1005)-5),97)),KotaKode,2,0),"-"),"")),"")</f>
        <v/>
      </c>
      <c r="J98" t="str">
        <f t="array" aca="1" ref="J98" ca="1">IFERROR(IF(OR(INDEX(checklistPesertaKemenkeu!$N$6:$N$1005,SMALL(IF(checklistPesertaKemenkeu!$AY$6:$AY$1005="Direkomendasikan",ROW($6:$1005)-5),97))="",INDEX(checklistPesertaKemenkeu!$J$6:$J$1005,SMALL(IF(checklistPesertaKemenkeu!$AY$6:$AY$1005="Direkomendasikan",ROW($6:$1005)-5),97))=""),"",IF(AND(COUNTIF(INDIRECT("K_"&amp;MATCH(INDEX(checklistPesertaKemenkeu!$J$6:$J$1005,SMALL(IF(checklistPesertaKemenkeu!$AY$6:$AY$1005="Direkomendasikan",ROW($6:$1005)-5),97)),BidangList,0)),INDEX(checklistPesertaKemenkeu!$N$6:$N$1005,SMALL(IF(checklistPesertaKemenkeu!$AY$6:$AY$1005="Direkomendasikan",ROW($6:$1005)-5),97)))&gt;0,COUNTIF(INDIRECT("'KERTAS KERJA'!K"&amp;(SMALL(IF(checklistPesertaKemenkeu!$AY$6:$AY$1005="Direkomendasikan",ROW($6:$1005)-5),97)+5)&amp;":O"&amp;(SMALL(IF(checklistPesertaKemenkeu!$AY$6:$AY$1005="Direkomendasikan",ROW($6:$1005)-5),97)+5)),INDEX(checklistPesertaKemenkeu!$N$6:$N$1005,SMALL(IF(checklistPesertaKemenkeu!$AY$6:$AY$1005="Direkomendasikan",ROW($6:$1005)-5),97)))=1),IFERROR(VLOOKUP(INDEX(checklistPesertaKemenkeu!$N$6:$N$1005,SMALL(IF(checklistPesertaKemenkeu!$AY$6:$AY$1005="Direkomendasikan",ROW($6:$1005)-5),97)),KotaKode,2,0),"-"),"")),"")</f>
        <v/>
      </c>
      <c r="K98" t="str">
        <f t="array" aca="1" ref="K98" ca="1">IFERROR(IF(OR(INDEX(checklistPesertaKemenkeu!$O$6:$O$1005,SMALL(IF(checklistPesertaKemenkeu!$AY$6:$AY$1005="Direkomendasikan",ROW($6:$1005)-5),97))="",INDEX(checklistPesertaKemenkeu!$J$6:$J$1005,SMALL(IF(checklistPesertaKemenkeu!$AY$6:$AY$1005="Direkomendasikan",ROW($6:$1005)-5),97))=""),"",IF(AND(COUNTIF(INDIRECT("K_"&amp;MATCH(INDEX(checklistPesertaKemenkeu!$J$6:$J$1005,SMALL(IF(checklistPesertaKemenkeu!$AY$6:$AY$1005="Direkomendasikan",ROW($6:$1005)-5),97)),BidangList,0)),INDEX(checklistPesertaKemenkeu!$O$6:$O$1005,SMALL(IF(checklistPesertaKemenkeu!$AY$6:$AY$1005="Direkomendasikan",ROW($6:$1005)-5),97)))&gt;0,COUNTIF(INDIRECT("'KERTAS KERJA'!K"&amp;(SMALL(IF(checklistPesertaKemenkeu!$AY$6:$AY$1005="Direkomendasikan",ROW($6:$1005)-5),97)+5)&amp;":O"&amp;(SMALL(IF(checklistPesertaKemenkeu!$AY$6:$AY$1005="Direkomendasikan",ROW($6:$1005)-5),97)+5)),INDEX(checklistPesertaKemenkeu!$O$6:$O$1005,SMALL(IF(checklistPesertaKemenkeu!$AY$6:$AY$1005="Direkomendasikan",ROW($6:$1005)-5),97)))=1),IFERROR(VLOOKUP(INDEX(checklistPesertaKemenkeu!$O$6:$O$1005,SMALL(IF(checklistPesertaKemenkeu!$AY$6:$AY$1005="Direkomendasikan",ROW($6:$1005)-5),97)),KotaKode,2,0),"-"),"")),"")</f>
        <v/>
      </c>
      <c r="L98" t="str">
        <f t="array" aca="1" ref="L98" ca="1">IFERROR(IF(OR(INDEX(checklistPesertaKemenkeu!$P$6:$P$1005,SMALL(IF(checklistPesertaKemenkeu!$AY$6:$AY$1005="Direkomendasikan",ROW($6:$1005)-5),97))="",INDEX(checklistPesertaKemenkeu!$J$6:$J$1005,SMALL(IF(checklistPesertaKemenkeu!$AY$6:$AY$1005="Direkomendasikan",ROW($6:$1005)-5),97))=""),"",IF(AND(COUNTIF(INDIRECT("K_"&amp;MATCH(INDEX(checklistPesertaKemenkeu!$J$6:$J$1005,SMALL(IF(checklistPesertaKemenkeu!$AY$6:$AY$1005="Direkomendasikan",ROW($6:$1005)-5),97)),BidangList,0)),INDEX(checklistPesertaKemenkeu!$P$6:$P$1005,SMALL(IF(checklistPesertaKemenkeu!$AY$6:$AY$1005="Direkomendasikan",ROW($6:$1005)-5),97)))&gt;0,COUNTIF(INDIRECT("'KERTAS KERJA'!K"&amp;(SMALL(IF(checklistPesertaKemenkeu!$AY$6:$AY$1005="Direkomendasikan",ROW($6:$1005)-5),97)+5)&amp;":O"&amp;(SMALL(IF(checklistPesertaKemenkeu!$AY$6:$AY$1005="Direkomendasikan",ROW($6:$1005)-5),97)+5)),INDEX(checklistPesertaKemenkeu!$P$6:$P$1005,SMALL(IF(checklistPesertaKemenkeu!$AY$6:$AY$1005="Direkomendasikan",ROW($6:$1005)-5),97)))=1),IFERROR(VLOOKUP(INDEX(checklistPesertaKemenkeu!$P$6:$P$1005,SMALL(IF(checklistPesertaKemenkeu!$AY$6:$AY$1005="Direkomendasikan",ROW($6:$1005)-5),97)),KotaKode,2,0),"-"),"")),"")</f>
        <v/>
      </c>
    </row>
    <row r="99" spans="1:12" ht="15" customHeight="1" x14ac:dyDescent="0.2">
      <c r="A99" t="str">
        <f t="shared" si="1"/>
        <v/>
      </c>
      <c r="B99" t="str">
        <v/>
      </c>
      <c r="C99" s="40" t="str">
        <f t="array" ref="C99">IFERROR(INDEX(checklistPesertaKemenkeu!$F$6:$F$1005,SMALL(IF(checklistPesertaKemenkeu!$AY$6:$AY$1005="Direkomendasikan",ROW($6:$1005)-5),98)),"")</f>
        <v/>
      </c>
      <c r="D99" t="str">
        <f t="array" ref="D99">IFERROR(INDEX(checklistPesertaKemenkeu!$G$6:$G$1005,SMALL(IF(checklistPesertaKemenkeu!$AY$6:$AY$1005="Direkomendasikan",ROW($6:$1005)-5),98)),"")</f>
        <v/>
      </c>
      <c r="E99" t="str">
        <f t="array" ref="E99">IFERROR(INDEX(checklistPesertaKemenkeu!$H$6:$H$1005,SMALL(IF(checklistPesertaKemenkeu!$AY$6:$AY$1005="Direkomendasikan",ROW($6:$1005)-5),98)),"")</f>
        <v/>
      </c>
      <c r="F99" t="str">
        <f t="array" ref="F99">IFERROR(INDEX(checklistPesertaKemenkeu!$I$6:$I$1005,SMALL(IF(checklistPesertaKemenkeu!$AY$6:$AY$1005="Direkomendasikan",ROW($6:$1005)-5),98)),"")</f>
        <v/>
      </c>
      <c r="G99" t="str">
        <f t="array" ref="G99">IFERROR(INDEX(checklistPesertaKemenkeu!$J$6:$J$1005,SMALL(IF(checklistPesertaKemenkeu!$AY$6:$AY$1005="Direkomendasikan",ROW($6:$1005)-5),98)),"")</f>
        <v/>
      </c>
      <c r="H99" t="str">
        <f t="array" aca="1" ref="H99" ca="1">IFERROR(IF(OR(INDEX(checklistPesertaKemenkeu!$L$6:$L$1005,SMALL(IF(checklistPesertaKemenkeu!$AY$6:$AY$1005="Direkomendasikan",ROW($6:$1005)-5),98))="",INDEX(checklistPesertaKemenkeu!$J$6:$J$1005,SMALL(IF(checklistPesertaKemenkeu!$AY$6:$AY$1005="Direkomendasikan",ROW($6:$1005)-5),98))=""),"",IF(AND(COUNTIF(INDIRECT("K_"&amp;MATCH(INDEX(checklistPesertaKemenkeu!$J$6:$J$1005,SMALL(IF(checklistPesertaKemenkeu!$AY$6:$AY$1005="Direkomendasikan",ROW($6:$1005)-5),98)),BidangList,0)),INDEX(checklistPesertaKemenkeu!$L$6:$L$1005,SMALL(IF(checklistPesertaKemenkeu!$AY$6:$AY$1005="Direkomendasikan",ROW($6:$1005)-5),98)))&gt;0,COUNTIF(INDIRECT("'KERTAS KERJA'!K"&amp;(SMALL(IF(checklistPesertaKemenkeu!$AY$6:$AY$1005="Direkomendasikan",ROW($6:$1005)-5),98)+5)&amp;":O"&amp;(SMALL(IF(checklistPesertaKemenkeu!$AY$6:$AY$1005="Direkomendasikan",ROW($6:$1005)-5),98)+5)),INDEX(checklistPesertaKemenkeu!$L$6:$L$1005,SMALL(IF(checklistPesertaKemenkeu!$AY$6:$AY$1005="Direkomendasikan",ROW($6:$1005)-5),98)))=1),IFERROR(VLOOKUP(INDEX(checklistPesertaKemenkeu!$L$6:$L$1005,SMALL(IF(checklistPesertaKemenkeu!$AY$6:$AY$1005="Direkomendasikan",ROW($6:$1005)-5),98)),KotaKode,2,0),"-"),"")),"")</f>
        <v/>
      </c>
      <c r="I99" t="str">
        <f t="array" aca="1" ref="I99" ca="1">IFERROR(IF(OR(INDEX(checklistPesertaKemenkeu!$M$6:$M$1005,SMALL(IF(checklistPesertaKemenkeu!$AY$6:$AY$1005="Direkomendasikan",ROW($6:$1005)-5),98))="",INDEX(checklistPesertaKemenkeu!$J$6:$J$1005,SMALL(IF(checklistPesertaKemenkeu!$AY$6:$AY$1005="Direkomendasikan",ROW($6:$1005)-5),98))=""),"",IF(AND(COUNTIF(INDIRECT("K_"&amp;MATCH(INDEX(checklistPesertaKemenkeu!$J$6:$J$1005,SMALL(IF(checklistPesertaKemenkeu!$AY$6:$AY$1005="Direkomendasikan",ROW($6:$1005)-5),98)),BidangList,0)),INDEX(checklistPesertaKemenkeu!$M$6:$M$1005,SMALL(IF(checklistPesertaKemenkeu!$AY$6:$AY$1005="Direkomendasikan",ROW($6:$1005)-5),98)))&gt;0,COUNTIF(INDIRECT("'KERTAS KERJA'!K"&amp;(SMALL(IF(checklistPesertaKemenkeu!$AY$6:$AY$1005="Direkomendasikan",ROW($6:$1005)-5),98)+5)&amp;":O"&amp;(SMALL(IF(checklistPesertaKemenkeu!$AY$6:$AY$1005="Direkomendasikan",ROW($6:$1005)-5),98)+5)),INDEX(checklistPesertaKemenkeu!$M$6:$M$1005,SMALL(IF(checklistPesertaKemenkeu!$AY$6:$AY$1005="Direkomendasikan",ROW($6:$1005)-5),98)))=1),IFERROR(VLOOKUP(INDEX(checklistPesertaKemenkeu!$M$6:$M$1005,SMALL(IF(checklistPesertaKemenkeu!$AY$6:$AY$1005="Direkomendasikan",ROW($6:$1005)-5),98)),KotaKode,2,0),"-"),"")),"")</f>
        <v/>
      </c>
      <c r="J99" t="str">
        <f t="array" aca="1" ref="J99" ca="1">IFERROR(IF(OR(INDEX(checklistPesertaKemenkeu!$N$6:$N$1005,SMALL(IF(checklistPesertaKemenkeu!$AY$6:$AY$1005="Direkomendasikan",ROW($6:$1005)-5),98))="",INDEX(checklistPesertaKemenkeu!$J$6:$J$1005,SMALL(IF(checklistPesertaKemenkeu!$AY$6:$AY$1005="Direkomendasikan",ROW($6:$1005)-5),98))=""),"",IF(AND(COUNTIF(INDIRECT("K_"&amp;MATCH(INDEX(checklistPesertaKemenkeu!$J$6:$J$1005,SMALL(IF(checklistPesertaKemenkeu!$AY$6:$AY$1005="Direkomendasikan",ROW($6:$1005)-5),98)),BidangList,0)),INDEX(checklistPesertaKemenkeu!$N$6:$N$1005,SMALL(IF(checklistPesertaKemenkeu!$AY$6:$AY$1005="Direkomendasikan",ROW($6:$1005)-5),98)))&gt;0,COUNTIF(INDIRECT("'KERTAS KERJA'!K"&amp;(SMALL(IF(checklistPesertaKemenkeu!$AY$6:$AY$1005="Direkomendasikan",ROW($6:$1005)-5),98)+5)&amp;":O"&amp;(SMALL(IF(checklistPesertaKemenkeu!$AY$6:$AY$1005="Direkomendasikan",ROW($6:$1005)-5),98)+5)),INDEX(checklistPesertaKemenkeu!$N$6:$N$1005,SMALL(IF(checklistPesertaKemenkeu!$AY$6:$AY$1005="Direkomendasikan",ROW($6:$1005)-5),98)))=1),IFERROR(VLOOKUP(INDEX(checklistPesertaKemenkeu!$N$6:$N$1005,SMALL(IF(checklistPesertaKemenkeu!$AY$6:$AY$1005="Direkomendasikan",ROW($6:$1005)-5),98)),KotaKode,2,0),"-"),"")),"")</f>
        <v/>
      </c>
      <c r="K99" t="str">
        <f t="array" aca="1" ref="K99" ca="1">IFERROR(IF(OR(INDEX(checklistPesertaKemenkeu!$O$6:$O$1005,SMALL(IF(checklistPesertaKemenkeu!$AY$6:$AY$1005="Direkomendasikan",ROW($6:$1005)-5),98))="",INDEX(checklistPesertaKemenkeu!$J$6:$J$1005,SMALL(IF(checklistPesertaKemenkeu!$AY$6:$AY$1005="Direkomendasikan",ROW($6:$1005)-5),98))=""),"",IF(AND(COUNTIF(INDIRECT("K_"&amp;MATCH(INDEX(checklistPesertaKemenkeu!$J$6:$J$1005,SMALL(IF(checklistPesertaKemenkeu!$AY$6:$AY$1005="Direkomendasikan",ROW($6:$1005)-5),98)),BidangList,0)),INDEX(checklistPesertaKemenkeu!$O$6:$O$1005,SMALL(IF(checklistPesertaKemenkeu!$AY$6:$AY$1005="Direkomendasikan",ROW($6:$1005)-5),98)))&gt;0,COUNTIF(INDIRECT("'KERTAS KERJA'!K"&amp;(SMALL(IF(checklistPesertaKemenkeu!$AY$6:$AY$1005="Direkomendasikan",ROW($6:$1005)-5),98)+5)&amp;":O"&amp;(SMALL(IF(checklistPesertaKemenkeu!$AY$6:$AY$1005="Direkomendasikan",ROW($6:$1005)-5),98)+5)),INDEX(checklistPesertaKemenkeu!$O$6:$O$1005,SMALL(IF(checklistPesertaKemenkeu!$AY$6:$AY$1005="Direkomendasikan",ROW($6:$1005)-5),98)))=1),IFERROR(VLOOKUP(INDEX(checklistPesertaKemenkeu!$O$6:$O$1005,SMALL(IF(checklistPesertaKemenkeu!$AY$6:$AY$1005="Direkomendasikan",ROW($6:$1005)-5),98)),KotaKode,2,0),"-"),"")),"")</f>
        <v/>
      </c>
      <c r="L99" t="str">
        <f t="array" aca="1" ref="L99" ca="1">IFERROR(IF(OR(INDEX(checklistPesertaKemenkeu!$P$6:$P$1005,SMALL(IF(checklistPesertaKemenkeu!$AY$6:$AY$1005="Direkomendasikan",ROW($6:$1005)-5),98))="",INDEX(checklistPesertaKemenkeu!$J$6:$J$1005,SMALL(IF(checklistPesertaKemenkeu!$AY$6:$AY$1005="Direkomendasikan",ROW($6:$1005)-5),98))=""),"",IF(AND(COUNTIF(INDIRECT("K_"&amp;MATCH(INDEX(checklistPesertaKemenkeu!$J$6:$J$1005,SMALL(IF(checklistPesertaKemenkeu!$AY$6:$AY$1005="Direkomendasikan",ROW($6:$1005)-5),98)),BidangList,0)),INDEX(checklistPesertaKemenkeu!$P$6:$P$1005,SMALL(IF(checklistPesertaKemenkeu!$AY$6:$AY$1005="Direkomendasikan",ROW($6:$1005)-5),98)))&gt;0,COUNTIF(INDIRECT("'KERTAS KERJA'!K"&amp;(SMALL(IF(checklistPesertaKemenkeu!$AY$6:$AY$1005="Direkomendasikan",ROW($6:$1005)-5),98)+5)&amp;":O"&amp;(SMALL(IF(checklistPesertaKemenkeu!$AY$6:$AY$1005="Direkomendasikan",ROW($6:$1005)-5),98)+5)),INDEX(checklistPesertaKemenkeu!$P$6:$P$1005,SMALL(IF(checklistPesertaKemenkeu!$AY$6:$AY$1005="Direkomendasikan",ROW($6:$1005)-5),98)))=1),IFERROR(VLOOKUP(INDEX(checklistPesertaKemenkeu!$P$6:$P$1005,SMALL(IF(checklistPesertaKemenkeu!$AY$6:$AY$1005="Direkomendasikan",ROW($6:$1005)-5),98)),KotaKode,2,0),"-"),"")),"")</f>
        <v/>
      </c>
    </row>
    <row r="100" spans="1:12" ht="15" customHeight="1" x14ac:dyDescent="0.2">
      <c r="A100" t="str">
        <f t="shared" si="1"/>
        <v/>
      </c>
      <c r="B100" t="str">
        <v/>
      </c>
      <c r="C100" s="40" t="str">
        <f t="array" ref="C100">IFERROR(INDEX(checklistPesertaKemenkeu!$F$6:$F$1005,SMALL(IF(checklistPesertaKemenkeu!$AY$6:$AY$1005="Direkomendasikan",ROW($6:$1005)-5),99)),"")</f>
        <v/>
      </c>
      <c r="D100" t="str">
        <f t="array" ref="D100">IFERROR(INDEX(checklistPesertaKemenkeu!$G$6:$G$1005,SMALL(IF(checklistPesertaKemenkeu!$AY$6:$AY$1005="Direkomendasikan",ROW($6:$1005)-5),99)),"")</f>
        <v/>
      </c>
      <c r="E100" t="str">
        <f t="array" ref="E100">IFERROR(INDEX(checklistPesertaKemenkeu!$H$6:$H$1005,SMALL(IF(checklistPesertaKemenkeu!$AY$6:$AY$1005="Direkomendasikan",ROW($6:$1005)-5),99)),"")</f>
        <v/>
      </c>
      <c r="F100" t="str">
        <f t="array" ref="F100">IFERROR(INDEX(checklistPesertaKemenkeu!$I$6:$I$1005,SMALL(IF(checklistPesertaKemenkeu!$AY$6:$AY$1005="Direkomendasikan",ROW($6:$1005)-5),99)),"")</f>
        <v/>
      </c>
      <c r="G100" t="str">
        <f t="array" ref="G100">IFERROR(INDEX(checklistPesertaKemenkeu!$J$6:$J$1005,SMALL(IF(checklistPesertaKemenkeu!$AY$6:$AY$1005="Direkomendasikan",ROW($6:$1005)-5),99)),"")</f>
        <v/>
      </c>
      <c r="H100" t="str">
        <f t="array" aca="1" ref="H100" ca="1">IFERROR(IF(OR(INDEX(checklistPesertaKemenkeu!$L$6:$L$1005,SMALL(IF(checklistPesertaKemenkeu!$AY$6:$AY$1005="Direkomendasikan",ROW($6:$1005)-5),99))="",INDEX(checklistPesertaKemenkeu!$J$6:$J$1005,SMALL(IF(checklistPesertaKemenkeu!$AY$6:$AY$1005="Direkomendasikan",ROW($6:$1005)-5),99))=""),"",IF(AND(COUNTIF(INDIRECT("K_"&amp;MATCH(INDEX(checklistPesertaKemenkeu!$J$6:$J$1005,SMALL(IF(checklistPesertaKemenkeu!$AY$6:$AY$1005="Direkomendasikan",ROW($6:$1005)-5),99)),BidangList,0)),INDEX(checklistPesertaKemenkeu!$L$6:$L$1005,SMALL(IF(checklistPesertaKemenkeu!$AY$6:$AY$1005="Direkomendasikan",ROW($6:$1005)-5),99)))&gt;0,COUNTIF(INDIRECT("'KERTAS KERJA'!K"&amp;(SMALL(IF(checklistPesertaKemenkeu!$AY$6:$AY$1005="Direkomendasikan",ROW($6:$1005)-5),99)+5)&amp;":O"&amp;(SMALL(IF(checklistPesertaKemenkeu!$AY$6:$AY$1005="Direkomendasikan",ROW($6:$1005)-5),99)+5)),INDEX(checklistPesertaKemenkeu!$L$6:$L$1005,SMALL(IF(checklistPesertaKemenkeu!$AY$6:$AY$1005="Direkomendasikan",ROW($6:$1005)-5),99)))=1),IFERROR(VLOOKUP(INDEX(checklistPesertaKemenkeu!$L$6:$L$1005,SMALL(IF(checklistPesertaKemenkeu!$AY$6:$AY$1005="Direkomendasikan",ROW($6:$1005)-5),99)),KotaKode,2,0),"-"),"")),"")</f>
        <v/>
      </c>
      <c r="I100" t="str">
        <f t="array" aca="1" ref="I100" ca="1">IFERROR(IF(OR(INDEX(checklistPesertaKemenkeu!$M$6:$M$1005,SMALL(IF(checklistPesertaKemenkeu!$AY$6:$AY$1005="Direkomendasikan",ROW($6:$1005)-5),99))="",INDEX(checklistPesertaKemenkeu!$J$6:$J$1005,SMALL(IF(checklistPesertaKemenkeu!$AY$6:$AY$1005="Direkomendasikan",ROW($6:$1005)-5),99))=""),"",IF(AND(COUNTIF(INDIRECT("K_"&amp;MATCH(INDEX(checklistPesertaKemenkeu!$J$6:$J$1005,SMALL(IF(checklistPesertaKemenkeu!$AY$6:$AY$1005="Direkomendasikan",ROW($6:$1005)-5),99)),BidangList,0)),INDEX(checklistPesertaKemenkeu!$M$6:$M$1005,SMALL(IF(checklistPesertaKemenkeu!$AY$6:$AY$1005="Direkomendasikan",ROW($6:$1005)-5),99)))&gt;0,COUNTIF(INDIRECT("'KERTAS KERJA'!K"&amp;(SMALL(IF(checklistPesertaKemenkeu!$AY$6:$AY$1005="Direkomendasikan",ROW($6:$1005)-5),99)+5)&amp;":O"&amp;(SMALL(IF(checklistPesertaKemenkeu!$AY$6:$AY$1005="Direkomendasikan",ROW($6:$1005)-5),99)+5)),INDEX(checklistPesertaKemenkeu!$M$6:$M$1005,SMALL(IF(checklistPesertaKemenkeu!$AY$6:$AY$1005="Direkomendasikan",ROW($6:$1005)-5),99)))=1),IFERROR(VLOOKUP(INDEX(checklistPesertaKemenkeu!$M$6:$M$1005,SMALL(IF(checklistPesertaKemenkeu!$AY$6:$AY$1005="Direkomendasikan",ROW($6:$1005)-5),99)),KotaKode,2,0),"-"),"")),"")</f>
        <v/>
      </c>
      <c r="J100" t="str">
        <f t="array" aca="1" ref="J100" ca="1">IFERROR(IF(OR(INDEX(checklistPesertaKemenkeu!$N$6:$N$1005,SMALL(IF(checklistPesertaKemenkeu!$AY$6:$AY$1005="Direkomendasikan",ROW($6:$1005)-5),99))="",INDEX(checklistPesertaKemenkeu!$J$6:$J$1005,SMALL(IF(checklistPesertaKemenkeu!$AY$6:$AY$1005="Direkomendasikan",ROW($6:$1005)-5),99))=""),"",IF(AND(COUNTIF(INDIRECT("K_"&amp;MATCH(INDEX(checklistPesertaKemenkeu!$J$6:$J$1005,SMALL(IF(checklistPesertaKemenkeu!$AY$6:$AY$1005="Direkomendasikan",ROW($6:$1005)-5),99)),BidangList,0)),INDEX(checklistPesertaKemenkeu!$N$6:$N$1005,SMALL(IF(checklistPesertaKemenkeu!$AY$6:$AY$1005="Direkomendasikan",ROW($6:$1005)-5),99)))&gt;0,COUNTIF(INDIRECT("'KERTAS KERJA'!K"&amp;(SMALL(IF(checklistPesertaKemenkeu!$AY$6:$AY$1005="Direkomendasikan",ROW($6:$1005)-5),99)+5)&amp;":O"&amp;(SMALL(IF(checklistPesertaKemenkeu!$AY$6:$AY$1005="Direkomendasikan",ROW($6:$1005)-5),99)+5)),INDEX(checklistPesertaKemenkeu!$N$6:$N$1005,SMALL(IF(checklistPesertaKemenkeu!$AY$6:$AY$1005="Direkomendasikan",ROW($6:$1005)-5),99)))=1),IFERROR(VLOOKUP(INDEX(checklistPesertaKemenkeu!$N$6:$N$1005,SMALL(IF(checklistPesertaKemenkeu!$AY$6:$AY$1005="Direkomendasikan",ROW($6:$1005)-5),99)),KotaKode,2,0),"-"),"")),"")</f>
        <v/>
      </c>
      <c r="K100" t="str">
        <f t="array" aca="1" ref="K100" ca="1">IFERROR(IF(OR(INDEX(checklistPesertaKemenkeu!$O$6:$O$1005,SMALL(IF(checklistPesertaKemenkeu!$AY$6:$AY$1005="Direkomendasikan",ROW($6:$1005)-5),99))="",INDEX(checklistPesertaKemenkeu!$J$6:$J$1005,SMALL(IF(checklistPesertaKemenkeu!$AY$6:$AY$1005="Direkomendasikan",ROW($6:$1005)-5),99))=""),"",IF(AND(COUNTIF(INDIRECT("K_"&amp;MATCH(INDEX(checklistPesertaKemenkeu!$J$6:$J$1005,SMALL(IF(checklistPesertaKemenkeu!$AY$6:$AY$1005="Direkomendasikan",ROW($6:$1005)-5),99)),BidangList,0)),INDEX(checklistPesertaKemenkeu!$O$6:$O$1005,SMALL(IF(checklistPesertaKemenkeu!$AY$6:$AY$1005="Direkomendasikan",ROW($6:$1005)-5),99)))&gt;0,COUNTIF(INDIRECT("'KERTAS KERJA'!K"&amp;(SMALL(IF(checklistPesertaKemenkeu!$AY$6:$AY$1005="Direkomendasikan",ROW($6:$1005)-5),99)+5)&amp;":O"&amp;(SMALL(IF(checklistPesertaKemenkeu!$AY$6:$AY$1005="Direkomendasikan",ROW($6:$1005)-5),99)+5)),INDEX(checklistPesertaKemenkeu!$O$6:$O$1005,SMALL(IF(checklistPesertaKemenkeu!$AY$6:$AY$1005="Direkomendasikan",ROW($6:$1005)-5),99)))=1),IFERROR(VLOOKUP(INDEX(checklistPesertaKemenkeu!$O$6:$O$1005,SMALL(IF(checklistPesertaKemenkeu!$AY$6:$AY$1005="Direkomendasikan",ROW($6:$1005)-5),99)),KotaKode,2,0),"-"),"")),"")</f>
        <v/>
      </c>
      <c r="L100" t="str">
        <f t="array" aca="1" ref="L100" ca="1">IFERROR(IF(OR(INDEX(checklistPesertaKemenkeu!$P$6:$P$1005,SMALL(IF(checklistPesertaKemenkeu!$AY$6:$AY$1005="Direkomendasikan",ROW($6:$1005)-5),99))="",INDEX(checklistPesertaKemenkeu!$J$6:$J$1005,SMALL(IF(checklistPesertaKemenkeu!$AY$6:$AY$1005="Direkomendasikan",ROW($6:$1005)-5),99))=""),"",IF(AND(COUNTIF(INDIRECT("K_"&amp;MATCH(INDEX(checklistPesertaKemenkeu!$J$6:$J$1005,SMALL(IF(checklistPesertaKemenkeu!$AY$6:$AY$1005="Direkomendasikan",ROW($6:$1005)-5),99)),BidangList,0)),INDEX(checklistPesertaKemenkeu!$P$6:$P$1005,SMALL(IF(checklistPesertaKemenkeu!$AY$6:$AY$1005="Direkomendasikan",ROW($6:$1005)-5),99)))&gt;0,COUNTIF(INDIRECT("'KERTAS KERJA'!K"&amp;(SMALL(IF(checklistPesertaKemenkeu!$AY$6:$AY$1005="Direkomendasikan",ROW($6:$1005)-5),99)+5)&amp;":O"&amp;(SMALL(IF(checklistPesertaKemenkeu!$AY$6:$AY$1005="Direkomendasikan",ROW($6:$1005)-5),99)+5)),INDEX(checklistPesertaKemenkeu!$P$6:$P$1005,SMALL(IF(checklistPesertaKemenkeu!$AY$6:$AY$1005="Direkomendasikan",ROW($6:$1005)-5),99)))=1),IFERROR(VLOOKUP(INDEX(checklistPesertaKemenkeu!$P$6:$P$1005,SMALL(IF(checklistPesertaKemenkeu!$AY$6:$AY$1005="Direkomendasikan",ROW($6:$1005)-5),99)),KotaKode,2,0),"-"),"")),"")</f>
        <v/>
      </c>
    </row>
    <row r="101" spans="1:12" ht="15" customHeight="1" x14ac:dyDescent="0.2">
      <c r="A101" t="str">
        <f t="shared" si="1"/>
        <v/>
      </c>
      <c r="B101" t="str">
        <v/>
      </c>
      <c r="C101" s="40" t="str">
        <f t="array" ref="C101">IFERROR(INDEX(checklistPesertaKemenkeu!$F$6:$F$1005,SMALL(IF(checklistPesertaKemenkeu!$AY$6:$AY$1005="Direkomendasikan",ROW($6:$1005)-5),100)),"")</f>
        <v/>
      </c>
      <c r="D101" t="str">
        <f t="array" ref="D101">IFERROR(INDEX(checklistPesertaKemenkeu!$G$6:$G$1005,SMALL(IF(checklistPesertaKemenkeu!$AY$6:$AY$1005="Direkomendasikan",ROW($6:$1005)-5),100)),"")</f>
        <v/>
      </c>
      <c r="E101" t="str">
        <f t="array" ref="E101">IFERROR(INDEX(checklistPesertaKemenkeu!$H$6:$H$1005,SMALL(IF(checklistPesertaKemenkeu!$AY$6:$AY$1005="Direkomendasikan",ROW($6:$1005)-5),100)),"")</f>
        <v/>
      </c>
      <c r="F101" t="str">
        <f t="array" ref="F101">IFERROR(INDEX(checklistPesertaKemenkeu!$I$6:$I$1005,SMALL(IF(checklistPesertaKemenkeu!$AY$6:$AY$1005="Direkomendasikan",ROW($6:$1005)-5),100)),"")</f>
        <v/>
      </c>
      <c r="G101" t="str">
        <f t="array" ref="G101">IFERROR(INDEX(checklistPesertaKemenkeu!$J$6:$J$1005,SMALL(IF(checklistPesertaKemenkeu!$AY$6:$AY$1005="Direkomendasikan",ROW($6:$1005)-5),100)),"")</f>
        <v/>
      </c>
      <c r="H101" t="str">
        <f t="array" aca="1" ref="H101" ca="1">IFERROR(IF(OR(INDEX(checklistPesertaKemenkeu!$L$6:$L$1005,SMALL(IF(checklistPesertaKemenkeu!$AY$6:$AY$1005="Direkomendasikan",ROW($6:$1005)-5),100))="",INDEX(checklistPesertaKemenkeu!$J$6:$J$1005,SMALL(IF(checklistPesertaKemenkeu!$AY$6:$AY$1005="Direkomendasikan",ROW($6:$1005)-5),100))=""),"",IF(AND(COUNTIF(INDIRECT("K_"&amp;MATCH(INDEX(checklistPesertaKemenkeu!$J$6:$J$1005,SMALL(IF(checklistPesertaKemenkeu!$AY$6:$AY$1005="Direkomendasikan",ROW($6:$1005)-5),100)),BidangList,0)),INDEX(checklistPesertaKemenkeu!$L$6:$L$1005,SMALL(IF(checklistPesertaKemenkeu!$AY$6:$AY$1005="Direkomendasikan",ROW($6:$1005)-5),100)))&gt;0,COUNTIF(INDIRECT("'KERTAS KERJA'!K"&amp;(SMALL(IF(checklistPesertaKemenkeu!$AY$6:$AY$1005="Direkomendasikan",ROW($6:$1005)-5),100)+5)&amp;":O"&amp;(SMALL(IF(checklistPesertaKemenkeu!$AY$6:$AY$1005="Direkomendasikan",ROW($6:$1005)-5),100)+5)),INDEX(checklistPesertaKemenkeu!$L$6:$L$1005,SMALL(IF(checklistPesertaKemenkeu!$AY$6:$AY$1005="Direkomendasikan",ROW($6:$1005)-5),100)))=1),IFERROR(VLOOKUP(INDEX(checklistPesertaKemenkeu!$L$6:$L$1005,SMALL(IF(checklistPesertaKemenkeu!$AY$6:$AY$1005="Direkomendasikan",ROW($6:$1005)-5),100)),KotaKode,2,0),"-"),"")),"")</f>
        <v/>
      </c>
      <c r="I101" t="str">
        <f t="array" aca="1" ref="I101" ca="1">IFERROR(IF(OR(INDEX(checklistPesertaKemenkeu!$M$6:$M$1005,SMALL(IF(checklistPesertaKemenkeu!$AY$6:$AY$1005="Direkomendasikan",ROW($6:$1005)-5),100))="",INDEX(checklistPesertaKemenkeu!$J$6:$J$1005,SMALL(IF(checklistPesertaKemenkeu!$AY$6:$AY$1005="Direkomendasikan",ROW($6:$1005)-5),100))=""),"",IF(AND(COUNTIF(INDIRECT("K_"&amp;MATCH(INDEX(checklistPesertaKemenkeu!$J$6:$J$1005,SMALL(IF(checklistPesertaKemenkeu!$AY$6:$AY$1005="Direkomendasikan",ROW($6:$1005)-5),100)),BidangList,0)),INDEX(checklistPesertaKemenkeu!$M$6:$M$1005,SMALL(IF(checklistPesertaKemenkeu!$AY$6:$AY$1005="Direkomendasikan",ROW($6:$1005)-5),100)))&gt;0,COUNTIF(INDIRECT("'KERTAS KERJA'!K"&amp;(SMALL(IF(checklistPesertaKemenkeu!$AY$6:$AY$1005="Direkomendasikan",ROW($6:$1005)-5),100)+5)&amp;":O"&amp;(SMALL(IF(checklistPesertaKemenkeu!$AY$6:$AY$1005="Direkomendasikan",ROW($6:$1005)-5),100)+5)),INDEX(checklistPesertaKemenkeu!$M$6:$M$1005,SMALL(IF(checklistPesertaKemenkeu!$AY$6:$AY$1005="Direkomendasikan",ROW($6:$1005)-5),100)))=1),IFERROR(VLOOKUP(INDEX(checklistPesertaKemenkeu!$M$6:$M$1005,SMALL(IF(checklistPesertaKemenkeu!$AY$6:$AY$1005="Direkomendasikan",ROW($6:$1005)-5),100)),KotaKode,2,0),"-"),"")),"")</f>
        <v/>
      </c>
      <c r="J101" t="str">
        <f t="array" aca="1" ref="J101" ca="1">IFERROR(IF(OR(INDEX(checklistPesertaKemenkeu!$N$6:$N$1005,SMALL(IF(checklistPesertaKemenkeu!$AY$6:$AY$1005="Direkomendasikan",ROW($6:$1005)-5),100))="",INDEX(checklistPesertaKemenkeu!$J$6:$J$1005,SMALL(IF(checklistPesertaKemenkeu!$AY$6:$AY$1005="Direkomendasikan",ROW($6:$1005)-5),100))=""),"",IF(AND(COUNTIF(INDIRECT("K_"&amp;MATCH(INDEX(checklistPesertaKemenkeu!$J$6:$J$1005,SMALL(IF(checklistPesertaKemenkeu!$AY$6:$AY$1005="Direkomendasikan",ROW($6:$1005)-5),100)),BidangList,0)),INDEX(checklistPesertaKemenkeu!$N$6:$N$1005,SMALL(IF(checklistPesertaKemenkeu!$AY$6:$AY$1005="Direkomendasikan",ROW($6:$1005)-5),100)))&gt;0,COUNTIF(INDIRECT("'KERTAS KERJA'!K"&amp;(SMALL(IF(checklistPesertaKemenkeu!$AY$6:$AY$1005="Direkomendasikan",ROW($6:$1005)-5),100)+5)&amp;":O"&amp;(SMALL(IF(checklistPesertaKemenkeu!$AY$6:$AY$1005="Direkomendasikan",ROW($6:$1005)-5),100)+5)),INDEX(checklistPesertaKemenkeu!$N$6:$N$1005,SMALL(IF(checklistPesertaKemenkeu!$AY$6:$AY$1005="Direkomendasikan",ROW($6:$1005)-5),100)))=1),IFERROR(VLOOKUP(INDEX(checklistPesertaKemenkeu!$N$6:$N$1005,SMALL(IF(checklistPesertaKemenkeu!$AY$6:$AY$1005="Direkomendasikan",ROW($6:$1005)-5),100)),KotaKode,2,0),"-"),"")),"")</f>
        <v/>
      </c>
      <c r="K101" t="str">
        <f t="array" aca="1" ref="K101" ca="1">IFERROR(IF(OR(INDEX(checklistPesertaKemenkeu!$O$6:$O$1005,SMALL(IF(checklistPesertaKemenkeu!$AY$6:$AY$1005="Direkomendasikan",ROW($6:$1005)-5),100))="",INDEX(checklistPesertaKemenkeu!$J$6:$J$1005,SMALL(IF(checklistPesertaKemenkeu!$AY$6:$AY$1005="Direkomendasikan",ROW($6:$1005)-5),100))=""),"",IF(AND(COUNTIF(INDIRECT("K_"&amp;MATCH(INDEX(checklistPesertaKemenkeu!$J$6:$J$1005,SMALL(IF(checklistPesertaKemenkeu!$AY$6:$AY$1005="Direkomendasikan",ROW($6:$1005)-5),100)),BidangList,0)),INDEX(checklistPesertaKemenkeu!$O$6:$O$1005,SMALL(IF(checklistPesertaKemenkeu!$AY$6:$AY$1005="Direkomendasikan",ROW($6:$1005)-5),100)))&gt;0,COUNTIF(INDIRECT("'KERTAS KERJA'!K"&amp;(SMALL(IF(checklistPesertaKemenkeu!$AY$6:$AY$1005="Direkomendasikan",ROW($6:$1005)-5),100)+5)&amp;":O"&amp;(SMALL(IF(checklistPesertaKemenkeu!$AY$6:$AY$1005="Direkomendasikan",ROW($6:$1005)-5),100)+5)),INDEX(checklistPesertaKemenkeu!$O$6:$O$1005,SMALL(IF(checklistPesertaKemenkeu!$AY$6:$AY$1005="Direkomendasikan",ROW($6:$1005)-5),100)))=1),IFERROR(VLOOKUP(INDEX(checklistPesertaKemenkeu!$O$6:$O$1005,SMALL(IF(checklistPesertaKemenkeu!$AY$6:$AY$1005="Direkomendasikan",ROW($6:$1005)-5),100)),KotaKode,2,0),"-"),"")),"")</f>
        <v/>
      </c>
      <c r="L101" t="str">
        <f t="array" aca="1" ref="L101" ca="1">IFERROR(IF(OR(INDEX(checklistPesertaKemenkeu!$P$6:$P$1005,SMALL(IF(checklistPesertaKemenkeu!$AY$6:$AY$1005="Direkomendasikan",ROW($6:$1005)-5),100))="",INDEX(checklistPesertaKemenkeu!$J$6:$J$1005,SMALL(IF(checklistPesertaKemenkeu!$AY$6:$AY$1005="Direkomendasikan",ROW($6:$1005)-5),100))=""),"",IF(AND(COUNTIF(INDIRECT("K_"&amp;MATCH(INDEX(checklistPesertaKemenkeu!$J$6:$J$1005,SMALL(IF(checklistPesertaKemenkeu!$AY$6:$AY$1005="Direkomendasikan",ROW($6:$1005)-5),100)),BidangList,0)),INDEX(checklistPesertaKemenkeu!$P$6:$P$1005,SMALL(IF(checklistPesertaKemenkeu!$AY$6:$AY$1005="Direkomendasikan",ROW($6:$1005)-5),100)))&gt;0,COUNTIF(INDIRECT("'KERTAS KERJA'!K"&amp;(SMALL(IF(checklistPesertaKemenkeu!$AY$6:$AY$1005="Direkomendasikan",ROW($6:$1005)-5),100)+5)&amp;":O"&amp;(SMALL(IF(checklistPesertaKemenkeu!$AY$6:$AY$1005="Direkomendasikan",ROW($6:$1005)-5),100)+5)),INDEX(checklistPesertaKemenkeu!$P$6:$P$1005,SMALL(IF(checklistPesertaKemenkeu!$AY$6:$AY$1005="Direkomendasikan",ROW($6:$1005)-5),100)))=1),IFERROR(VLOOKUP(INDEX(checklistPesertaKemenkeu!$P$6:$P$1005,SMALL(IF(checklistPesertaKemenkeu!$AY$6:$AY$1005="Direkomendasikan",ROW($6:$1005)-5),100)),KotaKode,2,0),"-"),"")),"")</f>
        <v/>
      </c>
    </row>
    <row r="102" spans="1:12" ht="15" customHeight="1" x14ac:dyDescent="0.2">
      <c r="A102" t="str">
        <f t="shared" si="1"/>
        <v/>
      </c>
      <c r="B102" t="str">
        <v/>
      </c>
      <c r="C102" s="40" t="str">
        <f t="array" ref="C102">IFERROR(INDEX(checklistPesertaKemenkeu!$F$6:$F$1005,SMALL(IF(checklistPesertaKemenkeu!$AY$6:$AY$1005="Direkomendasikan",ROW($6:$1005)-5),101)),"")</f>
        <v/>
      </c>
      <c r="D102" t="str">
        <f t="array" ref="D102">IFERROR(INDEX(checklistPesertaKemenkeu!$G$6:$G$1005,SMALL(IF(checklistPesertaKemenkeu!$AY$6:$AY$1005="Direkomendasikan",ROW($6:$1005)-5),101)),"")</f>
        <v/>
      </c>
      <c r="E102" t="str">
        <f t="array" ref="E102">IFERROR(INDEX(checklistPesertaKemenkeu!$H$6:$H$1005,SMALL(IF(checklistPesertaKemenkeu!$AY$6:$AY$1005="Direkomendasikan",ROW($6:$1005)-5),101)),"")</f>
        <v/>
      </c>
      <c r="F102" t="str">
        <f t="array" ref="F102">IFERROR(INDEX(checklistPesertaKemenkeu!$I$6:$I$1005,SMALL(IF(checklistPesertaKemenkeu!$AY$6:$AY$1005="Direkomendasikan",ROW($6:$1005)-5),101)),"")</f>
        <v/>
      </c>
      <c r="G102" t="str">
        <f t="array" ref="G102">IFERROR(INDEX(checklistPesertaKemenkeu!$J$6:$J$1005,SMALL(IF(checklistPesertaKemenkeu!$AY$6:$AY$1005="Direkomendasikan",ROW($6:$1005)-5),101)),"")</f>
        <v/>
      </c>
      <c r="H102" t="str">
        <f t="array" aca="1" ref="H102" ca="1">IFERROR(IF(OR(INDEX(checklistPesertaKemenkeu!$L$6:$L$1005,SMALL(IF(checklistPesertaKemenkeu!$AY$6:$AY$1005="Direkomendasikan",ROW($6:$1005)-5),101))="",INDEX(checklistPesertaKemenkeu!$J$6:$J$1005,SMALL(IF(checklistPesertaKemenkeu!$AY$6:$AY$1005="Direkomendasikan",ROW($6:$1005)-5),101))=""),"",IF(AND(COUNTIF(INDIRECT("K_"&amp;MATCH(INDEX(checklistPesertaKemenkeu!$J$6:$J$1005,SMALL(IF(checklistPesertaKemenkeu!$AY$6:$AY$1005="Direkomendasikan",ROW($6:$1005)-5),101)),BidangList,0)),INDEX(checklistPesertaKemenkeu!$L$6:$L$1005,SMALL(IF(checklistPesertaKemenkeu!$AY$6:$AY$1005="Direkomendasikan",ROW($6:$1005)-5),101)))&gt;0,COUNTIF(INDIRECT("'KERTAS KERJA'!K"&amp;(SMALL(IF(checklistPesertaKemenkeu!$AY$6:$AY$1005="Direkomendasikan",ROW($6:$1005)-5),101)+5)&amp;":O"&amp;(SMALL(IF(checklistPesertaKemenkeu!$AY$6:$AY$1005="Direkomendasikan",ROW($6:$1005)-5),101)+5)),INDEX(checklistPesertaKemenkeu!$L$6:$L$1005,SMALL(IF(checklistPesertaKemenkeu!$AY$6:$AY$1005="Direkomendasikan",ROW($6:$1005)-5),101)))=1),IFERROR(VLOOKUP(INDEX(checklistPesertaKemenkeu!$L$6:$L$1005,SMALL(IF(checklistPesertaKemenkeu!$AY$6:$AY$1005="Direkomendasikan",ROW($6:$1005)-5),101)),KotaKode,2,0),"-"),"")),"")</f>
        <v/>
      </c>
      <c r="I102" t="str">
        <f t="array" aca="1" ref="I102" ca="1">IFERROR(IF(OR(INDEX(checklistPesertaKemenkeu!$M$6:$M$1005,SMALL(IF(checklistPesertaKemenkeu!$AY$6:$AY$1005="Direkomendasikan",ROW($6:$1005)-5),101))="",INDEX(checklistPesertaKemenkeu!$J$6:$J$1005,SMALL(IF(checklistPesertaKemenkeu!$AY$6:$AY$1005="Direkomendasikan",ROW($6:$1005)-5),101))=""),"",IF(AND(COUNTIF(INDIRECT("K_"&amp;MATCH(INDEX(checklistPesertaKemenkeu!$J$6:$J$1005,SMALL(IF(checklistPesertaKemenkeu!$AY$6:$AY$1005="Direkomendasikan",ROW($6:$1005)-5),101)),BidangList,0)),INDEX(checklistPesertaKemenkeu!$M$6:$M$1005,SMALL(IF(checklistPesertaKemenkeu!$AY$6:$AY$1005="Direkomendasikan",ROW($6:$1005)-5),101)))&gt;0,COUNTIF(INDIRECT("'KERTAS KERJA'!K"&amp;(SMALL(IF(checklistPesertaKemenkeu!$AY$6:$AY$1005="Direkomendasikan",ROW($6:$1005)-5),101)+5)&amp;":O"&amp;(SMALL(IF(checklistPesertaKemenkeu!$AY$6:$AY$1005="Direkomendasikan",ROW($6:$1005)-5),101)+5)),INDEX(checklistPesertaKemenkeu!$M$6:$M$1005,SMALL(IF(checklistPesertaKemenkeu!$AY$6:$AY$1005="Direkomendasikan",ROW($6:$1005)-5),101)))=1),IFERROR(VLOOKUP(INDEX(checklistPesertaKemenkeu!$M$6:$M$1005,SMALL(IF(checklistPesertaKemenkeu!$AY$6:$AY$1005="Direkomendasikan",ROW($6:$1005)-5),101)),KotaKode,2,0),"-"),"")),"")</f>
        <v/>
      </c>
      <c r="J102" t="str">
        <f t="array" aca="1" ref="J102" ca="1">IFERROR(IF(OR(INDEX(checklistPesertaKemenkeu!$N$6:$N$1005,SMALL(IF(checklistPesertaKemenkeu!$AY$6:$AY$1005="Direkomendasikan",ROW($6:$1005)-5),101))="",INDEX(checklistPesertaKemenkeu!$J$6:$J$1005,SMALL(IF(checklistPesertaKemenkeu!$AY$6:$AY$1005="Direkomendasikan",ROW($6:$1005)-5),101))=""),"",IF(AND(COUNTIF(INDIRECT("K_"&amp;MATCH(INDEX(checklistPesertaKemenkeu!$J$6:$J$1005,SMALL(IF(checklistPesertaKemenkeu!$AY$6:$AY$1005="Direkomendasikan",ROW($6:$1005)-5),101)),BidangList,0)),INDEX(checklistPesertaKemenkeu!$N$6:$N$1005,SMALL(IF(checklistPesertaKemenkeu!$AY$6:$AY$1005="Direkomendasikan",ROW($6:$1005)-5),101)))&gt;0,COUNTIF(INDIRECT("'KERTAS KERJA'!K"&amp;(SMALL(IF(checklistPesertaKemenkeu!$AY$6:$AY$1005="Direkomendasikan",ROW($6:$1005)-5),101)+5)&amp;":O"&amp;(SMALL(IF(checklistPesertaKemenkeu!$AY$6:$AY$1005="Direkomendasikan",ROW($6:$1005)-5),101)+5)),INDEX(checklistPesertaKemenkeu!$N$6:$N$1005,SMALL(IF(checklistPesertaKemenkeu!$AY$6:$AY$1005="Direkomendasikan",ROW($6:$1005)-5),101)))=1),IFERROR(VLOOKUP(INDEX(checklistPesertaKemenkeu!$N$6:$N$1005,SMALL(IF(checklistPesertaKemenkeu!$AY$6:$AY$1005="Direkomendasikan",ROW($6:$1005)-5),101)),KotaKode,2,0),"-"),"")),"")</f>
        <v/>
      </c>
      <c r="K102" t="str">
        <f t="array" aca="1" ref="K102" ca="1">IFERROR(IF(OR(INDEX(checklistPesertaKemenkeu!$O$6:$O$1005,SMALL(IF(checklistPesertaKemenkeu!$AY$6:$AY$1005="Direkomendasikan",ROW($6:$1005)-5),101))="",INDEX(checklistPesertaKemenkeu!$J$6:$J$1005,SMALL(IF(checklistPesertaKemenkeu!$AY$6:$AY$1005="Direkomendasikan",ROW($6:$1005)-5),101))=""),"",IF(AND(COUNTIF(INDIRECT("K_"&amp;MATCH(INDEX(checklistPesertaKemenkeu!$J$6:$J$1005,SMALL(IF(checklistPesertaKemenkeu!$AY$6:$AY$1005="Direkomendasikan",ROW($6:$1005)-5),101)),BidangList,0)),INDEX(checklistPesertaKemenkeu!$O$6:$O$1005,SMALL(IF(checklistPesertaKemenkeu!$AY$6:$AY$1005="Direkomendasikan",ROW($6:$1005)-5),101)))&gt;0,COUNTIF(INDIRECT("'KERTAS KERJA'!K"&amp;(SMALL(IF(checklistPesertaKemenkeu!$AY$6:$AY$1005="Direkomendasikan",ROW($6:$1005)-5),101)+5)&amp;":O"&amp;(SMALL(IF(checklistPesertaKemenkeu!$AY$6:$AY$1005="Direkomendasikan",ROW($6:$1005)-5),101)+5)),INDEX(checklistPesertaKemenkeu!$O$6:$O$1005,SMALL(IF(checklistPesertaKemenkeu!$AY$6:$AY$1005="Direkomendasikan",ROW($6:$1005)-5),101)))=1),IFERROR(VLOOKUP(INDEX(checklistPesertaKemenkeu!$O$6:$O$1005,SMALL(IF(checklistPesertaKemenkeu!$AY$6:$AY$1005="Direkomendasikan",ROW($6:$1005)-5),101)),KotaKode,2,0),"-"),"")),"")</f>
        <v/>
      </c>
      <c r="L102" t="str">
        <f t="array" aca="1" ref="L102" ca="1">IFERROR(IF(OR(INDEX(checklistPesertaKemenkeu!$P$6:$P$1005,SMALL(IF(checklistPesertaKemenkeu!$AY$6:$AY$1005="Direkomendasikan",ROW($6:$1005)-5),101))="",INDEX(checklistPesertaKemenkeu!$J$6:$J$1005,SMALL(IF(checklistPesertaKemenkeu!$AY$6:$AY$1005="Direkomendasikan",ROW($6:$1005)-5),101))=""),"",IF(AND(COUNTIF(INDIRECT("K_"&amp;MATCH(INDEX(checklistPesertaKemenkeu!$J$6:$J$1005,SMALL(IF(checklistPesertaKemenkeu!$AY$6:$AY$1005="Direkomendasikan",ROW($6:$1005)-5),101)),BidangList,0)),INDEX(checklistPesertaKemenkeu!$P$6:$P$1005,SMALL(IF(checklistPesertaKemenkeu!$AY$6:$AY$1005="Direkomendasikan",ROW($6:$1005)-5),101)))&gt;0,COUNTIF(INDIRECT("'KERTAS KERJA'!K"&amp;(SMALL(IF(checklistPesertaKemenkeu!$AY$6:$AY$1005="Direkomendasikan",ROW($6:$1005)-5),101)+5)&amp;":O"&amp;(SMALL(IF(checklistPesertaKemenkeu!$AY$6:$AY$1005="Direkomendasikan",ROW($6:$1005)-5),101)+5)),INDEX(checklistPesertaKemenkeu!$P$6:$P$1005,SMALL(IF(checklistPesertaKemenkeu!$AY$6:$AY$1005="Direkomendasikan",ROW($6:$1005)-5),101)))=1),IFERROR(VLOOKUP(INDEX(checklistPesertaKemenkeu!$P$6:$P$1005,SMALL(IF(checklistPesertaKemenkeu!$AY$6:$AY$1005="Direkomendasikan",ROW($6:$1005)-5),101)),KotaKode,2,0),"-"),"")),"")</f>
        <v/>
      </c>
    </row>
    <row r="103" spans="1:12" ht="15" customHeight="1" x14ac:dyDescent="0.2">
      <c r="A103" t="str">
        <f t="shared" si="1"/>
        <v/>
      </c>
      <c r="B103" t="str">
        <v/>
      </c>
      <c r="C103" s="40" t="str">
        <f t="array" ref="C103">IFERROR(INDEX(checklistPesertaKemenkeu!$F$6:$F$1005,SMALL(IF(checklistPesertaKemenkeu!$AY$6:$AY$1005="Direkomendasikan",ROW($6:$1005)-5),102)),"")</f>
        <v/>
      </c>
      <c r="D103" t="str">
        <f t="array" ref="D103">IFERROR(INDEX(checklistPesertaKemenkeu!$G$6:$G$1005,SMALL(IF(checklistPesertaKemenkeu!$AY$6:$AY$1005="Direkomendasikan",ROW($6:$1005)-5),102)),"")</f>
        <v/>
      </c>
      <c r="E103" t="str">
        <f t="array" ref="E103">IFERROR(INDEX(checklistPesertaKemenkeu!$H$6:$H$1005,SMALL(IF(checklistPesertaKemenkeu!$AY$6:$AY$1005="Direkomendasikan",ROW($6:$1005)-5),102)),"")</f>
        <v/>
      </c>
      <c r="F103" t="str">
        <f t="array" ref="F103">IFERROR(INDEX(checklistPesertaKemenkeu!$I$6:$I$1005,SMALL(IF(checklistPesertaKemenkeu!$AY$6:$AY$1005="Direkomendasikan",ROW($6:$1005)-5),102)),"")</f>
        <v/>
      </c>
      <c r="G103" t="str">
        <f t="array" ref="G103">IFERROR(INDEX(checklistPesertaKemenkeu!$J$6:$J$1005,SMALL(IF(checklistPesertaKemenkeu!$AY$6:$AY$1005="Direkomendasikan",ROW($6:$1005)-5),102)),"")</f>
        <v/>
      </c>
      <c r="H103" t="str">
        <f t="array" aca="1" ref="H103" ca="1">IFERROR(IF(OR(INDEX(checklistPesertaKemenkeu!$L$6:$L$1005,SMALL(IF(checklistPesertaKemenkeu!$AY$6:$AY$1005="Direkomendasikan",ROW($6:$1005)-5),102))="",INDEX(checklistPesertaKemenkeu!$J$6:$J$1005,SMALL(IF(checklistPesertaKemenkeu!$AY$6:$AY$1005="Direkomendasikan",ROW($6:$1005)-5),102))=""),"",IF(AND(COUNTIF(INDIRECT("K_"&amp;MATCH(INDEX(checklistPesertaKemenkeu!$J$6:$J$1005,SMALL(IF(checklistPesertaKemenkeu!$AY$6:$AY$1005="Direkomendasikan",ROW($6:$1005)-5),102)),BidangList,0)),INDEX(checklistPesertaKemenkeu!$L$6:$L$1005,SMALL(IF(checklistPesertaKemenkeu!$AY$6:$AY$1005="Direkomendasikan",ROW($6:$1005)-5),102)))&gt;0,COUNTIF(INDIRECT("'KERTAS KERJA'!K"&amp;(SMALL(IF(checklistPesertaKemenkeu!$AY$6:$AY$1005="Direkomendasikan",ROW($6:$1005)-5),102)+5)&amp;":O"&amp;(SMALL(IF(checklistPesertaKemenkeu!$AY$6:$AY$1005="Direkomendasikan",ROW($6:$1005)-5),102)+5)),INDEX(checklistPesertaKemenkeu!$L$6:$L$1005,SMALL(IF(checklistPesertaKemenkeu!$AY$6:$AY$1005="Direkomendasikan",ROW($6:$1005)-5),102)))=1),IFERROR(VLOOKUP(INDEX(checklistPesertaKemenkeu!$L$6:$L$1005,SMALL(IF(checklistPesertaKemenkeu!$AY$6:$AY$1005="Direkomendasikan",ROW($6:$1005)-5),102)),KotaKode,2,0),"-"),"")),"")</f>
        <v/>
      </c>
      <c r="I103" t="str">
        <f t="array" aca="1" ref="I103" ca="1">IFERROR(IF(OR(INDEX(checklistPesertaKemenkeu!$M$6:$M$1005,SMALL(IF(checklistPesertaKemenkeu!$AY$6:$AY$1005="Direkomendasikan",ROW($6:$1005)-5),102))="",INDEX(checklistPesertaKemenkeu!$J$6:$J$1005,SMALL(IF(checklistPesertaKemenkeu!$AY$6:$AY$1005="Direkomendasikan",ROW($6:$1005)-5),102))=""),"",IF(AND(COUNTIF(INDIRECT("K_"&amp;MATCH(INDEX(checklistPesertaKemenkeu!$J$6:$J$1005,SMALL(IF(checklistPesertaKemenkeu!$AY$6:$AY$1005="Direkomendasikan",ROW($6:$1005)-5),102)),BidangList,0)),INDEX(checklistPesertaKemenkeu!$M$6:$M$1005,SMALL(IF(checklistPesertaKemenkeu!$AY$6:$AY$1005="Direkomendasikan",ROW($6:$1005)-5),102)))&gt;0,COUNTIF(INDIRECT("'KERTAS KERJA'!K"&amp;(SMALL(IF(checklistPesertaKemenkeu!$AY$6:$AY$1005="Direkomendasikan",ROW($6:$1005)-5),102)+5)&amp;":O"&amp;(SMALL(IF(checklistPesertaKemenkeu!$AY$6:$AY$1005="Direkomendasikan",ROW($6:$1005)-5),102)+5)),INDEX(checklistPesertaKemenkeu!$M$6:$M$1005,SMALL(IF(checklistPesertaKemenkeu!$AY$6:$AY$1005="Direkomendasikan",ROW($6:$1005)-5),102)))=1),IFERROR(VLOOKUP(INDEX(checklistPesertaKemenkeu!$M$6:$M$1005,SMALL(IF(checklistPesertaKemenkeu!$AY$6:$AY$1005="Direkomendasikan",ROW($6:$1005)-5),102)),KotaKode,2,0),"-"),"")),"")</f>
        <v/>
      </c>
      <c r="J103" t="str">
        <f t="array" aca="1" ref="J103" ca="1">IFERROR(IF(OR(INDEX(checklistPesertaKemenkeu!$N$6:$N$1005,SMALL(IF(checklistPesertaKemenkeu!$AY$6:$AY$1005="Direkomendasikan",ROW($6:$1005)-5),102))="",INDEX(checklistPesertaKemenkeu!$J$6:$J$1005,SMALL(IF(checklistPesertaKemenkeu!$AY$6:$AY$1005="Direkomendasikan",ROW($6:$1005)-5),102))=""),"",IF(AND(COUNTIF(INDIRECT("K_"&amp;MATCH(INDEX(checklistPesertaKemenkeu!$J$6:$J$1005,SMALL(IF(checklistPesertaKemenkeu!$AY$6:$AY$1005="Direkomendasikan",ROW($6:$1005)-5),102)),BidangList,0)),INDEX(checklistPesertaKemenkeu!$N$6:$N$1005,SMALL(IF(checklistPesertaKemenkeu!$AY$6:$AY$1005="Direkomendasikan",ROW($6:$1005)-5),102)))&gt;0,COUNTIF(INDIRECT("'KERTAS KERJA'!K"&amp;(SMALL(IF(checklistPesertaKemenkeu!$AY$6:$AY$1005="Direkomendasikan",ROW($6:$1005)-5),102)+5)&amp;":O"&amp;(SMALL(IF(checklistPesertaKemenkeu!$AY$6:$AY$1005="Direkomendasikan",ROW($6:$1005)-5),102)+5)),INDEX(checklistPesertaKemenkeu!$N$6:$N$1005,SMALL(IF(checklistPesertaKemenkeu!$AY$6:$AY$1005="Direkomendasikan",ROW($6:$1005)-5),102)))=1),IFERROR(VLOOKUP(INDEX(checklistPesertaKemenkeu!$N$6:$N$1005,SMALL(IF(checklistPesertaKemenkeu!$AY$6:$AY$1005="Direkomendasikan",ROW($6:$1005)-5),102)),KotaKode,2,0),"-"),"")),"")</f>
        <v/>
      </c>
      <c r="K103" t="str">
        <f t="array" aca="1" ref="K103" ca="1">IFERROR(IF(OR(INDEX(checklistPesertaKemenkeu!$O$6:$O$1005,SMALL(IF(checklistPesertaKemenkeu!$AY$6:$AY$1005="Direkomendasikan",ROW($6:$1005)-5),102))="",INDEX(checklistPesertaKemenkeu!$J$6:$J$1005,SMALL(IF(checklistPesertaKemenkeu!$AY$6:$AY$1005="Direkomendasikan",ROW($6:$1005)-5),102))=""),"",IF(AND(COUNTIF(INDIRECT("K_"&amp;MATCH(INDEX(checklistPesertaKemenkeu!$J$6:$J$1005,SMALL(IF(checklistPesertaKemenkeu!$AY$6:$AY$1005="Direkomendasikan",ROW($6:$1005)-5),102)),BidangList,0)),INDEX(checklistPesertaKemenkeu!$O$6:$O$1005,SMALL(IF(checklistPesertaKemenkeu!$AY$6:$AY$1005="Direkomendasikan",ROW($6:$1005)-5),102)))&gt;0,COUNTIF(INDIRECT("'KERTAS KERJA'!K"&amp;(SMALL(IF(checklistPesertaKemenkeu!$AY$6:$AY$1005="Direkomendasikan",ROW($6:$1005)-5),102)+5)&amp;":O"&amp;(SMALL(IF(checklistPesertaKemenkeu!$AY$6:$AY$1005="Direkomendasikan",ROW($6:$1005)-5),102)+5)),INDEX(checklistPesertaKemenkeu!$O$6:$O$1005,SMALL(IF(checklistPesertaKemenkeu!$AY$6:$AY$1005="Direkomendasikan",ROW($6:$1005)-5),102)))=1),IFERROR(VLOOKUP(INDEX(checklistPesertaKemenkeu!$O$6:$O$1005,SMALL(IF(checklistPesertaKemenkeu!$AY$6:$AY$1005="Direkomendasikan",ROW($6:$1005)-5),102)),KotaKode,2,0),"-"),"")),"")</f>
        <v/>
      </c>
      <c r="L103" t="str">
        <f t="array" aca="1" ref="L103" ca="1">IFERROR(IF(OR(INDEX(checklistPesertaKemenkeu!$P$6:$P$1005,SMALL(IF(checklistPesertaKemenkeu!$AY$6:$AY$1005="Direkomendasikan",ROW($6:$1005)-5),102))="",INDEX(checklistPesertaKemenkeu!$J$6:$J$1005,SMALL(IF(checklistPesertaKemenkeu!$AY$6:$AY$1005="Direkomendasikan",ROW($6:$1005)-5),102))=""),"",IF(AND(COUNTIF(INDIRECT("K_"&amp;MATCH(INDEX(checklistPesertaKemenkeu!$J$6:$J$1005,SMALL(IF(checklistPesertaKemenkeu!$AY$6:$AY$1005="Direkomendasikan",ROW($6:$1005)-5),102)),BidangList,0)),INDEX(checklistPesertaKemenkeu!$P$6:$P$1005,SMALL(IF(checklistPesertaKemenkeu!$AY$6:$AY$1005="Direkomendasikan",ROW($6:$1005)-5),102)))&gt;0,COUNTIF(INDIRECT("'KERTAS KERJA'!K"&amp;(SMALL(IF(checklistPesertaKemenkeu!$AY$6:$AY$1005="Direkomendasikan",ROW($6:$1005)-5),102)+5)&amp;":O"&amp;(SMALL(IF(checklistPesertaKemenkeu!$AY$6:$AY$1005="Direkomendasikan",ROW($6:$1005)-5),102)+5)),INDEX(checklistPesertaKemenkeu!$P$6:$P$1005,SMALL(IF(checklistPesertaKemenkeu!$AY$6:$AY$1005="Direkomendasikan",ROW($6:$1005)-5),102)))=1),IFERROR(VLOOKUP(INDEX(checklistPesertaKemenkeu!$P$6:$P$1005,SMALL(IF(checklistPesertaKemenkeu!$AY$6:$AY$1005="Direkomendasikan",ROW($6:$1005)-5),102)),KotaKode,2,0),"-"),"")),"")</f>
        <v/>
      </c>
    </row>
    <row r="104" spans="1:12" ht="15" customHeight="1" x14ac:dyDescent="0.2">
      <c r="A104" t="str">
        <f t="shared" si="1"/>
        <v/>
      </c>
      <c r="B104" t="str">
        <v/>
      </c>
      <c r="C104" s="40" t="str">
        <f t="array" ref="C104">IFERROR(INDEX(checklistPesertaKemenkeu!$F$6:$F$1005,SMALL(IF(checklistPesertaKemenkeu!$AY$6:$AY$1005="Direkomendasikan",ROW($6:$1005)-5),103)),"")</f>
        <v/>
      </c>
      <c r="D104" t="str">
        <f t="array" ref="D104">IFERROR(INDEX(checklistPesertaKemenkeu!$G$6:$G$1005,SMALL(IF(checklistPesertaKemenkeu!$AY$6:$AY$1005="Direkomendasikan",ROW($6:$1005)-5),103)),"")</f>
        <v/>
      </c>
      <c r="E104" t="str">
        <f t="array" ref="E104">IFERROR(INDEX(checklistPesertaKemenkeu!$H$6:$H$1005,SMALL(IF(checklistPesertaKemenkeu!$AY$6:$AY$1005="Direkomendasikan",ROW($6:$1005)-5),103)),"")</f>
        <v/>
      </c>
      <c r="F104" t="str">
        <f t="array" ref="F104">IFERROR(INDEX(checklistPesertaKemenkeu!$I$6:$I$1005,SMALL(IF(checklistPesertaKemenkeu!$AY$6:$AY$1005="Direkomendasikan",ROW($6:$1005)-5),103)),"")</f>
        <v/>
      </c>
      <c r="G104" t="str">
        <f t="array" ref="G104">IFERROR(INDEX(checklistPesertaKemenkeu!$J$6:$J$1005,SMALL(IF(checklistPesertaKemenkeu!$AY$6:$AY$1005="Direkomendasikan",ROW($6:$1005)-5),103)),"")</f>
        <v/>
      </c>
      <c r="H104" t="str">
        <f t="array" aca="1" ref="H104" ca="1">IFERROR(IF(OR(INDEX(checklistPesertaKemenkeu!$L$6:$L$1005,SMALL(IF(checklistPesertaKemenkeu!$AY$6:$AY$1005="Direkomendasikan",ROW($6:$1005)-5),103))="",INDEX(checklistPesertaKemenkeu!$J$6:$J$1005,SMALL(IF(checklistPesertaKemenkeu!$AY$6:$AY$1005="Direkomendasikan",ROW($6:$1005)-5),103))=""),"",IF(AND(COUNTIF(INDIRECT("K_"&amp;MATCH(INDEX(checklistPesertaKemenkeu!$J$6:$J$1005,SMALL(IF(checklistPesertaKemenkeu!$AY$6:$AY$1005="Direkomendasikan",ROW($6:$1005)-5),103)),BidangList,0)),INDEX(checklistPesertaKemenkeu!$L$6:$L$1005,SMALL(IF(checklistPesertaKemenkeu!$AY$6:$AY$1005="Direkomendasikan",ROW($6:$1005)-5),103)))&gt;0,COUNTIF(INDIRECT("'KERTAS KERJA'!K"&amp;(SMALL(IF(checklistPesertaKemenkeu!$AY$6:$AY$1005="Direkomendasikan",ROW($6:$1005)-5),103)+5)&amp;":O"&amp;(SMALL(IF(checklistPesertaKemenkeu!$AY$6:$AY$1005="Direkomendasikan",ROW($6:$1005)-5),103)+5)),INDEX(checklistPesertaKemenkeu!$L$6:$L$1005,SMALL(IF(checklistPesertaKemenkeu!$AY$6:$AY$1005="Direkomendasikan",ROW($6:$1005)-5),103)))=1),IFERROR(VLOOKUP(INDEX(checklistPesertaKemenkeu!$L$6:$L$1005,SMALL(IF(checklistPesertaKemenkeu!$AY$6:$AY$1005="Direkomendasikan",ROW($6:$1005)-5),103)),KotaKode,2,0),"-"),"")),"")</f>
        <v/>
      </c>
      <c r="I104" t="str">
        <f t="array" aca="1" ref="I104" ca="1">IFERROR(IF(OR(INDEX(checklistPesertaKemenkeu!$M$6:$M$1005,SMALL(IF(checklistPesertaKemenkeu!$AY$6:$AY$1005="Direkomendasikan",ROW($6:$1005)-5),103))="",INDEX(checklistPesertaKemenkeu!$J$6:$J$1005,SMALL(IF(checklistPesertaKemenkeu!$AY$6:$AY$1005="Direkomendasikan",ROW($6:$1005)-5),103))=""),"",IF(AND(COUNTIF(INDIRECT("K_"&amp;MATCH(INDEX(checklistPesertaKemenkeu!$J$6:$J$1005,SMALL(IF(checklistPesertaKemenkeu!$AY$6:$AY$1005="Direkomendasikan",ROW($6:$1005)-5),103)),BidangList,0)),INDEX(checklistPesertaKemenkeu!$M$6:$M$1005,SMALL(IF(checklistPesertaKemenkeu!$AY$6:$AY$1005="Direkomendasikan",ROW($6:$1005)-5),103)))&gt;0,COUNTIF(INDIRECT("'KERTAS KERJA'!K"&amp;(SMALL(IF(checklistPesertaKemenkeu!$AY$6:$AY$1005="Direkomendasikan",ROW($6:$1005)-5),103)+5)&amp;":O"&amp;(SMALL(IF(checklistPesertaKemenkeu!$AY$6:$AY$1005="Direkomendasikan",ROW($6:$1005)-5),103)+5)),INDEX(checklistPesertaKemenkeu!$M$6:$M$1005,SMALL(IF(checklistPesertaKemenkeu!$AY$6:$AY$1005="Direkomendasikan",ROW($6:$1005)-5),103)))=1),IFERROR(VLOOKUP(INDEX(checklistPesertaKemenkeu!$M$6:$M$1005,SMALL(IF(checklistPesertaKemenkeu!$AY$6:$AY$1005="Direkomendasikan",ROW($6:$1005)-5),103)),KotaKode,2,0),"-"),"")),"")</f>
        <v/>
      </c>
      <c r="J104" t="str">
        <f t="array" aca="1" ref="J104" ca="1">IFERROR(IF(OR(INDEX(checklistPesertaKemenkeu!$N$6:$N$1005,SMALL(IF(checklistPesertaKemenkeu!$AY$6:$AY$1005="Direkomendasikan",ROW($6:$1005)-5),103))="",INDEX(checklistPesertaKemenkeu!$J$6:$J$1005,SMALL(IF(checklistPesertaKemenkeu!$AY$6:$AY$1005="Direkomendasikan",ROW($6:$1005)-5),103))=""),"",IF(AND(COUNTIF(INDIRECT("K_"&amp;MATCH(INDEX(checklistPesertaKemenkeu!$J$6:$J$1005,SMALL(IF(checklistPesertaKemenkeu!$AY$6:$AY$1005="Direkomendasikan",ROW($6:$1005)-5),103)),BidangList,0)),INDEX(checklistPesertaKemenkeu!$N$6:$N$1005,SMALL(IF(checklistPesertaKemenkeu!$AY$6:$AY$1005="Direkomendasikan",ROW($6:$1005)-5),103)))&gt;0,COUNTIF(INDIRECT("'KERTAS KERJA'!K"&amp;(SMALL(IF(checklistPesertaKemenkeu!$AY$6:$AY$1005="Direkomendasikan",ROW($6:$1005)-5),103)+5)&amp;":O"&amp;(SMALL(IF(checklistPesertaKemenkeu!$AY$6:$AY$1005="Direkomendasikan",ROW($6:$1005)-5),103)+5)),INDEX(checklistPesertaKemenkeu!$N$6:$N$1005,SMALL(IF(checklistPesertaKemenkeu!$AY$6:$AY$1005="Direkomendasikan",ROW($6:$1005)-5),103)))=1),IFERROR(VLOOKUP(INDEX(checklistPesertaKemenkeu!$N$6:$N$1005,SMALL(IF(checklistPesertaKemenkeu!$AY$6:$AY$1005="Direkomendasikan",ROW($6:$1005)-5),103)),KotaKode,2,0),"-"),"")),"")</f>
        <v/>
      </c>
      <c r="K104" t="str">
        <f t="array" aca="1" ref="K104" ca="1">IFERROR(IF(OR(INDEX(checklistPesertaKemenkeu!$O$6:$O$1005,SMALL(IF(checklistPesertaKemenkeu!$AY$6:$AY$1005="Direkomendasikan",ROW($6:$1005)-5),103))="",INDEX(checklistPesertaKemenkeu!$J$6:$J$1005,SMALL(IF(checklistPesertaKemenkeu!$AY$6:$AY$1005="Direkomendasikan",ROW($6:$1005)-5),103))=""),"",IF(AND(COUNTIF(INDIRECT("K_"&amp;MATCH(INDEX(checklistPesertaKemenkeu!$J$6:$J$1005,SMALL(IF(checklistPesertaKemenkeu!$AY$6:$AY$1005="Direkomendasikan",ROW($6:$1005)-5),103)),BidangList,0)),INDEX(checklistPesertaKemenkeu!$O$6:$O$1005,SMALL(IF(checklistPesertaKemenkeu!$AY$6:$AY$1005="Direkomendasikan",ROW($6:$1005)-5),103)))&gt;0,COUNTIF(INDIRECT("'KERTAS KERJA'!K"&amp;(SMALL(IF(checklistPesertaKemenkeu!$AY$6:$AY$1005="Direkomendasikan",ROW($6:$1005)-5),103)+5)&amp;":O"&amp;(SMALL(IF(checklistPesertaKemenkeu!$AY$6:$AY$1005="Direkomendasikan",ROW($6:$1005)-5),103)+5)),INDEX(checklistPesertaKemenkeu!$O$6:$O$1005,SMALL(IF(checklistPesertaKemenkeu!$AY$6:$AY$1005="Direkomendasikan",ROW($6:$1005)-5),103)))=1),IFERROR(VLOOKUP(INDEX(checklistPesertaKemenkeu!$O$6:$O$1005,SMALL(IF(checklistPesertaKemenkeu!$AY$6:$AY$1005="Direkomendasikan",ROW($6:$1005)-5),103)),KotaKode,2,0),"-"),"")),"")</f>
        <v/>
      </c>
      <c r="L104" t="str">
        <f t="array" aca="1" ref="L104" ca="1">IFERROR(IF(OR(INDEX(checklistPesertaKemenkeu!$P$6:$P$1005,SMALL(IF(checklistPesertaKemenkeu!$AY$6:$AY$1005="Direkomendasikan",ROW($6:$1005)-5),103))="",INDEX(checklistPesertaKemenkeu!$J$6:$J$1005,SMALL(IF(checklistPesertaKemenkeu!$AY$6:$AY$1005="Direkomendasikan",ROW($6:$1005)-5),103))=""),"",IF(AND(COUNTIF(INDIRECT("K_"&amp;MATCH(INDEX(checklistPesertaKemenkeu!$J$6:$J$1005,SMALL(IF(checklistPesertaKemenkeu!$AY$6:$AY$1005="Direkomendasikan",ROW($6:$1005)-5),103)),BidangList,0)),INDEX(checklistPesertaKemenkeu!$P$6:$P$1005,SMALL(IF(checklistPesertaKemenkeu!$AY$6:$AY$1005="Direkomendasikan",ROW($6:$1005)-5),103)))&gt;0,COUNTIF(INDIRECT("'KERTAS KERJA'!K"&amp;(SMALL(IF(checklistPesertaKemenkeu!$AY$6:$AY$1005="Direkomendasikan",ROW($6:$1005)-5),103)+5)&amp;":O"&amp;(SMALL(IF(checklistPesertaKemenkeu!$AY$6:$AY$1005="Direkomendasikan",ROW($6:$1005)-5),103)+5)),INDEX(checklistPesertaKemenkeu!$P$6:$P$1005,SMALL(IF(checklistPesertaKemenkeu!$AY$6:$AY$1005="Direkomendasikan",ROW($6:$1005)-5),103)))=1),IFERROR(VLOOKUP(INDEX(checklistPesertaKemenkeu!$P$6:$P$1005,SMALL(IF(checklistPesertaKemenkeu!$AY$6:$AY$1005="Direkomendasikan",ROW($6:$1005)-5),103)),KotaKode,2,0),"-"),"")),"")</f>
        <v/>
      </c>
    </row>
    <row r="105" spans="1:12" ht="15" customHeight="1" x14ac:dyDescent="0.2">
      <c r="A105" t="str">
        <f t="shared" si="1"/>
        <v/>
      </c>
      <c r="B105" t="str">
        <v/>
      </c>
      <c r="C105" s="40" t="str">
        <f t="array" ref="C105">IFERROR(INDEX(checklistPesertaKemenkeu!$F$6:$F$1005,SMALL(IF(checklistPesertaKemenkeu!$AY$6:$AY$1005="Direkomendasikan",ROW($6:$1005)-5),104)),"")</f>
        <v/>
      </c>
      <c r="D105" t="str">
        <f t="array" ref="D105">IFERROR(INDEX(checklistPesertaKemenkeu!$G$6:$G$1005,SMALL(IF(checklistPesertaKemenkeu!$AY$6:$AY$1005="Direkomendasikan",ROW($6:$1005)-5),104)),"")</f>
        <v/>
      </c>
      <c r="E105" t="str">
        <f t="array" ref="E105">IFERROR(INDEX(checklistPesertaKemenkeu!$H$6:$H$1005,SMALL(IF(checklistPesertaKemenkeu!$AY$6:$AY$1005="Direkomendasikan",ROW($6:$1005)-5),104)),"")</f>
        <v/>
      </c>
      <c r="F105" t="str">
        <f t="array" ref="F105">IFERROR(INDEX(checklistPesertaKemenkeu!$I$6:$I$1005,SMALL(IF(checklistPesertaKemenkeu!$AY$6:$AY$1005="Direkomendasikan",ROW($6:$1005)-5),104)),"")</f>
        <v/>
      </c>
      <c r="G105" t="str">
        <f t="array" ref="G105">IFERROR(INDEX(checklistPesertaKemenkeu!$J$6:$J$1005,SMALL(IF(checklistPesertaKemenkeu!$AY$6:$AY$1005="Direkomendasikan",ROW($6:$1005)-5),104)),"")</f>
        <v/>
      </c>
      <c r="H105" t="str">
        <f t="array" aca="1" ref="H105" ca="1">IFERROR(IF(OR(INDEX(checklistPesertaKemenkeu!$L$6:$L$1005,SMALL(IF(checklistPesertaKemenkeu!$AY$6:$AY$1005="Direkomendasikan",ROW($6:$1005)-5),104))="",INDEX(checklistPesertaKemenkeu!$J$6:$J$1005,SMALL(IF(checklistPesertaKemenkeu!$AY$6:$AY$1005="Direkomendasikan",ROW($6:$1005)-5),104))=""),"",IF(AND(COUNTIF(INDIRECT("K_"&amp;MATCH(INDEX(checklistPesertaKemenkeu!$J$6:$J$1005,SMALL(IF(checklistPesertaKemenkeu!$AY$6:$AY$1005="Direkomendasikan",ROW($6:$1005)-5),104)),BidangList,0)),INDEX(checklistPesertaKemenkeu!$L$6:$L$1005,SMALL(IF(checklistPesertaKemenkeu!$AY$6:$AY$1005="Direkomendasikan",ROW($6:$1005)-5),104)))&gt;0,COUNTIF(INDIRECT("'KERTAS KERJA'!K"&amp;(SMALL(IF(checklistPesertaKemenkeu!$AY$6:$AY$1005="Direkomendasikan",ROW($6:$1005)-5),104)+5)&amp;":O"&amp;(SMALL(IF(checklistPesertaKemenkeu!$AY$6:$AY$1005="Direkomendasikan",ROW($6:$1005)-5),104)+5)),INDEX(checklistPesertaKemenkeu!$L$6:$L$1005,SMALL(IF(checklistPesertaKemenkeu!$AY$6:$AY$1005="Direkomendasikan",ROW($6:$1005)-5),104)))=1),IFERROR(VLOOKUP(INDEX(checklistPesertaKemenkeu!$L$6:$L$1005,SMALL(IF(checklistPesertaKemenkeu!$AY$6:$AY$1005="Direkomendasikan",ROW($6:$1005)-5),104)),KotaKode,2,0),"-"),"")),"")</f>
        <v/>
      </c>
      <c r="I105" t="str">
        <f t="array" aca="1" ref="I105" ca="1">IFERROR(IF(OR(INDEX(checklistPesertaKemenkeu!$M$6:$M$1005,SMALL(IF(checklistPesertaKemenkeu!$AY$6:$AY$1005="Direkomendasikan",ROW($6:$1005)-5),104))="",INDEX(checklistPesertaKemenkeu!$J$6:$J$1005,SMALL(IF(checklistPesertaKemenkeu!$AY$6:$AY$1005="Direkomendasikan",ROW($6:$1005)-5),104))=""),"",IF(AND(COUNTIF(INDIRECT("K_"&amp;MATCH(INDEX(checklistPesertaKemenkeu!$J$6:$J$1005,SMALL(IF(checklistPesertaKemenkeu!$AY$6:$AY$1005="Direkomendasikan",ROW($6:$1005)-5),104)),BidangList,0)),INDEX(checklistPesertaKemenkeu!$M$6:$M$1005,SMALL(IF(checklistPesertaKemenkeu!$AY$6:$AY$1005="Direkomendasikan",ROW($6:$1005)-5),104)))&gt;0,COUNTIF(INDIRECT("'KERTAS KERJA'!K"&amp;(SMALL(IF(checklistPesertaKemenkeu!$AY$6:$AY$1005="Direkomendasikan",ROW($6:$1005)-5),104)+5)&amp;":O"&amp;(SMALL(IF(checklistPesertaKemenkeu!$AY$6:$AY$1005="Direkomendasikan",ROW($6:$1005)-5),104)+5)),INDEX(checklistPesertaKemenkeu!$M$6:$M$1005,SMALL(IF(checklistPesertaKemenkeu!$AY$6:$AY$1005="Direkomendasikan",ROW($6:$1005)-5),104)))=1),IFERROR(VLOOKUP(INDEX(checklistPesertaKemenkeu!$M$6:$M$1005,SMALL(IF(checklistPesertaKemenkeu!$AY$6:$AY$1005="Direkomendasikan",ROW($6:$1005)-5),104)),KotaKode,2,0),"-"),"")),"")</f>
        <v/>
      </c>
      <c r="J105" t="str">
        <f t="array" aca="1" ref="J105" ca="1">IFERROR(IF(OR(INDEX(checklistPesertaKemenkeu!$N$6:$N$1005,SMALL(IF(checklistPesertaKemenkeu!$AY$6:$AY$1005="Direkomendasikan",ROW($6:$1005)-5),104))="",INDEX(checklistPesertaKemenkeu!$J$6:$J$1005,SMALL(IF(checklistPesertaKemenkeu!$AY$6:$AY$1005="Direkomendasikan",ROW($6:$1005)-5),104))=""),"",IF(AND(COUNTIF(INDIRECT("K_"&amp;MATCH(INDEX(checklistPesertaKemenkeu!$J$6:$J$1005,SMALL(IF(checklistPesertaKemenkeu!$AY$6:$AY$1005="Direkomendasikan",ROW($6:$1005)-5),104)),BidangList,0)),INDEX(checklistPesertaKemenkeu!$N$6:$N$1005,SMALL(IF(checklistPesertaKemenkeu!$AY$6:$AY$1005="Direkomendasikan",ROW($6:$1005)-5),104)))&gt;0,COUNTIF(INDIRECT("'KERTAS KERJA'!K"&amp;(SMALL(IF(checklistPesertaKemenkeu!$AY$6:$AY$1005="Direkomendasikan",ROW($6:$1005)-5),104)+5)&amp;":O"&amp;(SMALL(IF(checklistPesertaKemenkeu!$AY$6:$AY$1005="Direkomendasikan",ROW($6:$1005)-5),104)+5)),INDEX(checklistPesertaKemenkeu!$N$6:$N$1005,SMALL(IF(checklistPesertaKemenkeu!$AY$6:$AY$1005="Direkomendasikan",ROW($6:$1005)-5),104)))=1),IFERROR(VLOOKUP(INDEX(checklistPesertaKemenkeu!$N$6:$N$1005,SMALL(IF(checklistPesertaKemenkeu!$AY$6:$AY$1005="Direkomendasikan",ROW($6:$1005)-5),104)),KotaKode,2,0),"-"),"")),"")</f>
        <v/>
      </c>
      <c r="K105" t="str">
        <f t="array" aca="1" ref="K105" ca="1">IFERROR(IF(OR(INDEX(checklistPesertaKemenkeu!$O$6:$O$1005,SMALL(IF(checklistPesertaKemenkeu!$AY$6:$AY$1005="Direkomendasikan",ROW($6:$1005)-5),104))="",INDEX(checklistPesertaKemenkeu!$J$6:$J$1005,SMALL(IF(checklistPesertaKemenkeu!$AY$6:$AY$1005="Direkomendasikan",ROW($6:$1005)-5),104))=""),"",IF(AND(COUNTIF(INDIRECT("K_"&amp;MATCH(INDEX(checklistPesertaKemenkeu!$J$6:$J$1005,SMALL(IF(checklistPesertaKemenkeu!$AY$6:$AY$1005="Direkomendasikan",ROW($6:$1005)-5),104)),BidangList,0)),INDEX(checklistPesertaKemenkeu!$O$6:$O$1005,SMALL(IF(checklistPesertaKemenkeu!$AY$6:$AY$1005="Direkomendasikan",ROW($6:$1005)-5),104)))&gt;0,COUNTIF(INDIRECT("'KERTAS KERJA'!K"&amp;(SMALL(IF(checklistPesertaKemenkeu!$AY$6:$AY$1005="Direkomendasikan",ROW($6:$1005)-5),104)+5)&amp;":O"&amp;(SMALL(IF(checklistPesertaKemenkeu!$AY$6:$AY$1005="Direkomendasikan",ROW($6:$1005)-5),104)+5)),INDEX(checklistPesertaKemenkeu!$O$6:$O$1005,SMALL(IF(checklistPesertaKemenkeu!$AY$6:$AY$1005="Direkomendasikan",ROW($6:$1005)-5),104)))=1),IFERROR(VLOOKUP(INDEX(checklistPesertaKemenkeu!$O$6:$O$1005,SMALL(IF(checklistPesertaKemenkeu!$AY$6:$AY$1005="Direkomendasikan",ROW($6:$1005)-5),104)),KotaKode,2,0),"-"),"")),"")</f>
        <v/>
      </c>
      <c r="L105" t="str">
        <f t="array" aca="1" ref="L105" ca="1">IFERROR(IF(OR(INDEX(checklistPesertaKemenkeu!$P$6:$P$1005,SMALL(IF(checklistPesertaKemenkeu!$AY$6:$AY$1005="Direkomendasikan",ROW($6:$1005)-5),104))="",INDEX(checklistPesertaKemenkeu!$J$6:$J$1005,SMALL(IF(checklistPesertaKemenkeu!$AY$6:$AY$1005="Direkomendasikan",ROW($6:$1005)-5),104))=""),"",IF(AND(COUNTIF(INDIRECT("K_"&amp;MATCH(INDEX(checklistPesertaKemenkeu!$J$6:$J$1005,SMALL(IF(checklistPesertaKemenkeu!$AY$6:$AY$1005="Direkomendasikan",ROW($6:$1005)-5),104)),BidangList,0)),INDEX(checklistPesertaKemenkeu!$P$6:$P$1005,SMALL(IF(checklistPesertaKemenkeu!$AY$6:$AY$1005="Direkomendasikan",ROW($6:$1005)-5),104)))&gt;0,COUNTIF(INDIRECT("'KERTAS KERJA'!K"&amp;(SMALL(IF(checklistPesertaKemenkeu!$AY$6:$AY$1005="Direkomendasikan",ROW($6:$1005)-5),104)+5)&amp;":O"&amp;(SMALL(IF(checklistPesertaKemenkeu!$AY$6:$AY$1005="Direkomendasikan",ROW($6:$1005)-5),104)+5)),INDEX(checklistPesertaKemenkeu!$P$6:$P$1005,SMALL(IF(checklistPesertaKemenkeu!$AY$6:$AY$1005="Direkomendasikan",ROW($6:$1005)-5),104)))=1),IFERROR(VLOOKUP(INDEX(checklistPesertaKemenkeu!$P$6:$P$1005,SMALL(IF(checklistPesertaKemenkeu!$AY$6:$AY$1005="Direkomendasikan",ROW($6:$1005)-5),104)),KotaKode,2,0),"-"),"")),"")</f>
        <v/>
      </c>
    </row>
    <row r="106" spans="1:12" ht="15" customHeight="1" x14ac:dyDescent="0.2">
      <c r="A106" t="str">
        <f t="shared" si="1"/>
        <v/>
      </c>
      <c r="B106" t="str">
        <v/>
      </c>
      <c r="C106" s="40" t="str">
        <f t="array" ref="C106">IFERROR(INDEX(checklistPesertaKemenkeu!$F$6:$F$1005,SMALL(IF(checklistPesertaKemenkeu!$AY$6:$AY$1005="Direkomendasikan",ROW($6:$1005)-5),105)),"")</f>
        <v/>
      </c>
      <c r="D106" t="str">
        <f t="array" ref="D106">IFERROR(INDEX(checklistPesertaKemenkeu!$G$6:$G$1005,SMALL(IF(checklistPesertaKemenkeu!$AY$6:$AY$1005="Direkomendasikan",ROW($6:$1005)-5),105)),"")</f>
        <v/>
      </c>
      <c r="E106" t="str">
        <f t="array" ref="E106">IFERROR(INDEX(checklistPesertaKemenkeu!$H$6:$H$1005,SMALL(IF(checklistPesertaKemenkeu!$AY$6:$AY$1005="Direkomendasikan",ROW($6:$1005)-5),105)),"")</f>
        <v/>
      </c>
      <c r="F106" t="str">
        <f t="array" ref="F106">IFERROR(INDEX(checklistPesertaKemenkeu!$I$6:$I$1005,SMALL(IF(checklistPesertaKemenkeu!$AY$6:$AY$1005="Direkomendasikan",ROW($6:$1005)-5),105)),"")</f>
        <v/>
      </c>
      <c r="G106" t="str">
        <f t="array" ref="G106">IFERROR(INDEX(checklistPesertaKemenkeu!$J$6:$J$1005,SMALL(IF(checklistPesertaKemenkeu!$AY$6:$AY$1005="Direkomendasikan",ROW($6:$1005)-5),105)),"")</f>
        <v/>
      </c>
      <c r="H106" t="str">
        <f t="array" aca="1" ref="H106" ca="1">IFERROR(IF(OR(INDEX(checklistPesertaKemenkeu!$L$6:$L$1005,SMALL(IF(checklistPesertaKemenkeu!$AY$6:$AY$1005="Direkomendasikan",ROW($6:$1005)-5),105))="",INDEX(checklistPesertaKemenkeu!$J$6:$J$1005,SMALL(IF(checklistPesertaKemenkeu!$AY$6:$AY$1005="Direkomendasikan",ROW($6:$1005)-5),105))=""),"",IF(AND(COUNTIF(INDIRECT("K_"&amp;MATCH(INDEX(checklistPesertaKemenkeu!$J$6:$J$1005,SMALL(IF(checklistPesertaKemenkeu!$AY$6:$AY$1005="Direkomendasikan",ROW($6:$1005)-5),105)),BidangList,0)),INDEX(checklistPesertaKemenkeu!$L$6:$L$1005,SMALL(IF(checklistPesertaKemenkeu!$AY$6:$AY$1005="Direkomendasikan",ROW($6:$1005)-5),105)))&gt;0,COUNTIF(INDIRECT("'KERTAS KERJA'!K"&amp;(SMALL(IF(checklistPesertaKemenkeu!$AY$6:$AY$1005="Direkomendasikan",ROW($6:$1005)-5),105)+5)&amp;":O"&amp;(SMALL(IF(checklistPesertaKemenkeu!$AY$6:$AY$1005="Direkomendasikan",ROW($6:$1005)-5),105)+5)),INDEX(checklistPesertaKemenkeu!$L$6:$L$1005,SMALL(IF(checklistPesertaKemenkeu!$AY$6:$AY$1005="Direkomendasikan",ROW($6:$1005)-5),105)))=1),IFERROR(VLOOKUP(INDEX(checklistPesertaKemenkeu!$L$6:$L$1005,SMALL(IF(checklistPesertaKemenkeu!$AY$6:$AY$1005="Direkomendasikan",ROW($6:$1005)-5),105)),KotaKode,2,0),"-"),"")),"")</f>
        <v/>
      </c>
      <c r="I106" t="str">
        <f t="array" aca="1" ref="I106" ca="1">IFERROR(IF(OR(INDEX(checklistPesertaKemenkeu!$M$6:$M$1005,SMALL(IF(checklistPesertaKemenkeu!$AY$6:$AY$1005="Direkomendasikan",ROW($6:$1005)-5),105))="",INDEX(checklistPesertaKemenkeu!$J$6:$J$1005,SMALL(IF(checklistPesertaKemenkeu!$AY$6:$AY$1005="Direkomendasikan",ROW($6:$1005)-5),105))=""),"",IF(AND(COUNTIF(INDIRECT("K_"&amp;MATCH(INDEX(checklistPesertaKemenkeu!$J$6:$J$1005,SMALL(IF(checklistPesertaKemenkeu!$AY$6:$AY$1005="Direkomendasikan",ROW($6:$1005)-5),105)),BidangList,0)),INDEX(checklistPesertaKemenkeu!$M$6:$M$1005,SMALL(IF(checklistPesertaKemenkeu!$AY$6:$AY$1005="Direkomendasikan",ROW($6:$1005)-5),105)))&gt;0,COUNTIF(INDIRECT("'KERTAS KERJA'!K"&amp;(SMALL(IF(checklistPesertaKemenkeu!$AY$6:$AY$1005="Direkomendasikan",ROW($6:$1005)-5),105)+5)&amp;":O"&amp;(SMALL(IF(checklistPesertaKemenkeu!$AY$6:$AY$1005="Direkomendasikan",ROW($6:$1005)-5),105)+5)),INDEX(checklistPesertaKemenkeu!$M$6:$M$1005,SMALL(IF(checklistPesertaKemenkeu!$AY$6:$AY$1005="Direkomendasikan",ROW($6:$1005)-5),105)))=1),IFERROR(VLOOKUP(INDEX(checklistPesertaKemenkeu!$M$6:$M$1005,SMALL(IF(checklistPesertaKemenkeu!$AY$6:$AY$1005="Direkomendasikan",ROW($6:$1005)-5),105)),KotaKode,2,0),"-"),"")),"")</f>
        <v/>
      </c>
      <c r="J106" t="str">
        <f t="array" aca="1" ref="J106" ca="1">IFERROR(IF(OR(INDEX(checklistPesertaKemenkeu!$N$6:$N$1005,SMALL(IF(checklistPesertaKemenkeu!$AY$6:$AY$1005="Direkomendasikan",ROW($6:$1005)-5),105))="",INDEX(checklistPesertaKemenkeu!$J$6:$J$1005,SMALL(IF(checklistPesertaKemenkeu!$AY$6:$AY$1005="Direkomendasikan",ROW($6:$1005)-5),105))=""),"",IF(AND(COUNTIF(INDIRECT("K_"&amp;MATCH(INDEX(checklistPesertaKemenkeu!$J$6:$J$1005,SMALL(IF(checklistPesertaKemenkeu!$AY$6:$AY$1005="Direkomendasikan",ROW($6:$1005)-5),105)),BidangList,0)),INDEX(checklistPesertaKemenkeu!$N$6:$N$1005,SMALL(IF(checklistPesertaKemenkeu!$AY$6:$AY$1005="Direkomendasikan",ROW($6:$1005)-5),105)))&gt;0,COUNTIF(INDIRECT("'KERTAS KERJA'!K"&amp;(SMALL(IF(checklistPesertaKemenkeu!$AY$6:$AY$1005="Direkomendasikan",ROW($6:$1005)-5),105)+5)&amp;":O"&amp;(SMALL(IF(checklistPesertaKemenkeu!$AY$6:$AY$1005="Direkomendasikan",ROW($6:$1005)-5),105)+5)),INDEX(checklistPesertaKemenkeu!$N$6:$N$1005,SMALL(IF(checklistPesertaKemenkeu!$AY$6:$AY$1005="Direkomendasikan",ROW($6:$1005)-5),105)))=1),IFERROR(VLOOKUP(INDEX(checklistPesertaKemenkeu!$N$6:$N$1005,SMALL(IF(checklistPesertaKemenkeu!$AY$6:$AY$1005="Direkomendasikan",ROW($6:$1005)-5),105)),KotaKode,2,0),"-"),"")),"")</f>
        <v/>
      </c>
      <c r="K106" t="str">
        <f t="array" aca="1" ref="K106" ca="1">IFERROR(IF(OR(INDEX(checklistPesertaKemenkeu!$O$6:$O$1005,SMALL(IF(checklistPesertaKemenkeu!$AY$6:$AY$1005="Direkomendasikan",ROW($6:$1005)-5),105))="",INDEX(checklistPesertaKemenkeu!$J$6:$J$1005,SMALL(IF(checklistPesertaKemenkeu!$AY$6:$AY$1005="Direkomendasikan",ROW($6:$1005)-5),105))=""),"",IF(AND(COUNTIF(INDIRECT("K_"&amp;MATCH(INDEX(checklistPesertaKemenkeu!$J$6:$J$1005,SMALL(IF(checklistPesertaKemenkeu!$AY$6:$AY$1005="Direkomendasikan",ROW($6:$1005)-5),105)),BidangList,0)),INDEX(checklistPesertaKemenkeu!$O$6:$O$1005,SMALL(IF(checklistPesertaKemenkeu!$AY$6:$AY$1005="Direkomendasikan",ROW($6:$1005)-5),105)))&gt;0,COUNTIF(INDIRECT("'KERTAS KERJA'!K"&amp;(SMALL(IF(checklistPesertaKemenkeu!$AY$6:$AY$1005="Direkomendasikan",ROW($6:$1005)-5),105)+5)&amp;":O"&amp;(SMALL(IF(checklistPesertaKemenkeu!$AY$6:$AY$1005="Direkomendasikan",ROW($6:$1005)-5),105)+5)),INDEX(checklistPesertaKemenkeu!$O$6:$O$1005,SMALL(IF(checklistPesertaKemenkeu!$AY$6:$AY$1005="Direkomendasikan",ROW($6:$1005)-5),105)))=1),IFERROR(VLOOKUP(INDEX(checklistPesertaKemenkeu!$O$6:$O$1005,SMALL(IF(checklistPesertaKemenkeu!$AY$6:$AY$1005="Direkomendasikan",ROW($6:$1005)-5),105)),KotaKode,2,0),"-"),"")),"")</f>
        <v/>
      </c>
      <c r="L106" t="str">
        <f t="array" aca="1" ref="L106" ca="1">IFERROR(IF(OR(INDEX(checklistPesertaKemenkeu!$P$6:$P$1005,SMALL(IF(checklistPesertaKemenkeu!$AY$6:$AY$1005="Direkomendasikan",ROW($6:$1005)-5),105))="",INDEX(checklistPesertaKemenkeu!$J$6:$J$1005,SMALL(IF(checklistPesertaKemenkeu!$AY$6:$AY$1005="Direkomendasikan",ROW($6:$1005)-5),105))=""),"",IF(AND(COUNTIF(INDIRECT("K_"&amp;MATCH(INDEX(checklistPesertaKemenkeu!$J$6:$J$1005,SMALL(IF(checklistPesertaKemenkeu!$AY$6:$AY$1005="Direkomendasikan",ROW($6:$1005)-5),105)),BidangList,0)),INDEX(checklistPesertaKemenkeu!$P$6:$P$1005,SMALL(IF(checklistPesertaKemenkeu!$AY$6:$AY$1005="Direkomendasikan",ROW($6:$1005)-5),105)))&gt;0,COUNTIF(INDIRECT("'KERTAS KERJA'!K"&amp;(SMALL(IF(checklistPesertaKemenkeu!$AY$6:$AY$1005="Direkomendasikan",ROW($6:$1005)-5),105)+5)&amp;":O"&amp;(SMALL(IF(checklistPesertaKemenkeu!$AY$6:$AY$1005="Direkomendasikan",ROW($6:$1005)-5),105)+5)),INDEX(checklistPesertaKemenkeu!$P$6:$P$1005,SMALL(IF(checklistPesertaKemenkeu!$AY$6:$AY$1005="Direkomendasikan",ROW($6:$1005)-5),105)))=1),IFERROR(VLOOKUP(INDEX(checklistPesertaKemenkeu!$P$6:$P$1005,SMALL(IF(checklistPesertaKemenkeu!$AY$6:$AY$1005="Direkomendasikan",ROW($6:$1005)-5),105)),KotaKode,2,0),"-"),"")),"")</f>
        <v/>
      </c>
    </row>
    <row r="107" spans="1:12" ht="15" customHeight="1" x14ac:dyDescent="0.2">
      <c r="A107" t="str">
        <f t="shared" si="1"/>
        <v/>
      </c>
      <c r="B107" t="str">
        <v/>
      </c>
      <c r="C107" s="40" t="str">
        <f t="array" ref="C107">IFERROR(INDEX(checklistPesertaKemenkeu!$F$6:$F$1005,SMALL(IF(checklistPesertaKemenkeu!$AY$6:$AY$1005="Direkomendasikan",ROW($6:$1005)-5),106)),"")</f>
        <v/>
      </c>
      <c r="D107" t="str">
        <f t="array" ref="D107">IFERROR(INDEX(checklistPesertaKemenkeu!$G$6:$G$1005,SMALL(IF(checklistPesertaKemenkeu!$AY$6:$AY$1005="Direkomendasikan",ROW($6:$1005)-5),106)),"")</f>
        <v/>
      </c>
      <c r="E107" t="str">
        <f t="array" ref="E107">IFERROR(INDEX(checklistPesertaKemenkeu!$H$6:$H$1005,SMALL(IF(checklistPesertaKemenkeu!$AY$6:$AY$1005="Direkomendasikan",ROW($6:$1005)-5),106)),"")</f>
        <v/>
      </c>
      <c r="F107" t="str">
        <f t="array" ref="F107">IFERROR(INDEX(checklistPesertaKemenkeu!$I$6:$I$1005,SMALL(IF(checklistPesertaKemenkeu!$AY$6:$AY$1005="Direkomendasikan",ROW($6:$1005)-5),106)),"")</f>
        <v/>
      </c>
      <c r="G107" t="str">
        <f t="array" ref="G107">IFERROR(INDEX(checklistPesertaKemenkeu!$J$6:$J$1005,SMALL(IF(checklistPesertaKemenkeu!$AY$6:$AY$1005="Direkomendasikan",ROW($6:$1005)-5),106)),"")</f>
        <v/>
      </c>
      <c r="H107" t="str">
        <f t="array" aca="1" ref="H107" ca="1">IFERROR(IF(OR(INDEX(checklistPesertaKemenkeu!$L$6:$L$1005,SMALL(IF(checklistPesertaKemenkeu!$AY$6:$AY$1005="Direkomendasikan",ROW($6:$1005)-5),106))="",INDEX(checklistPesertaKemenkeu!$J$6:$J$1005,SMALL(IF(checklistPesertaKemenkeu!$AY$6:$AY$1005="Direkomendasikan",ROW($6:$1005)-5),106))=""),"",IF(AND(COUNTIF(INDIRECT("K_"&amp;MATCH(INDEX(checklistPesertaKemenkeu!$J$6:$J$1005,SMALL(IF(checklistPesertaKemenkeu!$AY$6:$AY$1005="Direkomendasikan",ROW($6:$1005)-5),106)),BidangList,0)),INDEX(checklistPesertaKemenkeu!$L$6:$L$1005,SMALL(IF(checklistPesertaKemenkeu!$AY$6:$AY$1005="Direkomendasikan",ROW($6:$1005)-5),106)))&gt;0,COUNTIF(INDIRECT("'KERTAS KERJA'!K"&amp;(SMALL(IF(checklistPesertaKemenkeu!$AY$6:$AY$1005="Direkomendasikan",ROW($6:$1005)-5),106)+5)&amp;":O"&amp;(SMALL(IF(checklistPesertaKemenkeu!$AY$6:$AY$1005="Direkomendasikan",ROW($6:$1005)-5),106)+5)),INDEX(checklistPesertaKemenkeu!$L$6:$L$1005,SMALL(IF(checklistPesertaKemenkeu!$AY$6:$AY$1005="Direkomendasikan",ROW($6:$1005)-5),106)))=1),IFERROR(VLOOKUP(INDEX(checklistPesertaKemenkeu!$L$6:$L$1005,SMALL(IF(checklistPesertaKemenkeu!$AY$6:$AY$1005="Direkomendasikan",ROW($6:$1005)-5),106)),KotaKode,2,0),"-"),"")),"")</f>
        <v/>
      </c>
      <c r="I107" t="str">
        <f t="array" aca="1" ref="I107" ca="1">IFERROR(IF(OR(INDEX(checklistPesertaKemenkeu!$M$6:$M$1005,SMALL(IF(checklistPesertaKemenkeu!$AY$6:$AY$1005="Direkomendasikan",ROW($6:$1005)-5),106))="",INDEX(checklistPesertaKemenkeu!$J$6:$J$1005,SMALL(IF(checklistPesertaKemenkeu!$AY$6:$AY$1005="Direkomendasikan",ROW($6:$1005)-5),106))=""),"",IF(AND(COUNTIF(INDIRECT("K_"&amp;MATCH(INDEX(checklistPesertaKemenkeu!$J$6:$J$1005,SMALL(IF(checklistPesertaKemenkeu!$AY$6:$AY$1005="Direkomendasikan",ROW($6:$1005)-5),106)),BidangList,0)),INDEX(checklistPesertaKemenkeu!$M$6:$M$1005,SMALL(IF(checklistPesertaKemenkeu!$AY$6:$AY$1005="Direkomendasikan",ROW($6:$1005)-5),106)))&gt;0,COUNTIF(INDIRECT("'KERTAS KERJA'!K"&amp;(SMALL(IF(checklistPesertaKemenkeu!$AY$6:$AY$1005="Direkomendasikan",ROW($6:$1005)-5),106)+5)&amp;":O"&amp;(SMALL(IF(checklistPesertaKemenkeu!$AY$6:$AY$1005="Direkomendasikan",ROW($6:$1005)-5),106)+5)),INDEX(checklistPesertaKemenkeu!$M$6:$M$1005,SMALL(IF(checklistPesertaKemenkeu!$AY$6:$AY$1005="Direkomendasikan",ROW($6:$1005)-5),106)))=1),IFERROR(VLOOKUP(INDEX(checklistPesertaKemenkeu!$M$6:$M$1005,SMALL(IF(checklistPesertaKemenkeu!$AY$6:$AY$1005="Direkomendasikan",ROW($6:$1005)-5),106)),KotaKode,2,0),"-"),"")),"")</f>
        <v/>
      </c>
      <c r="J107" t="str">
        <f t="array" aca="1" ref="J107" ca="1">IFERROR(IF(OR(INDEX(checklistPesertaKemenkeu!$N$6:$N$1005,SMALL(IF(checklistPesertaKemenkeu!$AY$6:$AY$1005="Direkomendasikan",ROW($6:$1005)-5),106))="",INDEX(checklistPesertaKemenkeu!$J$6:$J$1005,SMALL(IF(checklistPesertaKemenkeu!$AY$6:$AY$1005="Direkomendasikan",ROW($6:$1005)-5),106))=""),"",IF(AND(COUNTIF(INDIRECT("K_"&amp;MATCH(INDEX(checklistPesertaKemenkeu!$J$6:$J$1005,SMALL(IF(checklistPesertaKemenkeu!$AY$6:$AY$1005="Direkomendasikan",ROW($6:$1005)-5),106)),BidangList,0)),INDEX(checklistPesertaKemenkeu!$N$6:$N$1005,SMALL(IF(checklistPesertaKemenkeu!$AY$6:$AY$1005="Direkomendasikan",ROW($6:$1005)-5),106)))&gt;0,COUNTIF(INDIRECT("'KERTAS KERJA'!K"&amp;(SMALL(IF(checklistPesertaKemenkeu!$AY$6:$AY$1005="Direkomendasikan",ROW($6:$1005)-5),106)+5)&amp;":O"&amp;(SMALL(IF(checklistPesertaKemenkeu!$AY$6:$AY$1005="Direkomendasikan",ROW($6:$1005)-5),106)+5)),INDEX(checklistPesertaKemenkeu!$N$6:$N$1005,SMALL(IF(checklistPesertaKemenkeu!$AY$6:$AY$1005="Direkomendasikan",ROW($6:$1005)-5),106)))=1),IFERROR(VLOOKUP(INDEX(checklistPesertaKemenkeu!$N$6:$N$1005,SMALL(IF(checklistPesertaKemenkeu!$AY$6:$AY$1005="Direkomendasikan",ROW($6:$1005)-5),106)),KotaKode,2,0),"-"),"")),"")</f>
        <v/>
      </c>
      <c r="K107" t="str">
        <f t="array" aca="1" ref="K107" ca="1">IFERROR(IF(OR(INDEX(checklistPesertaKemenkeu!$O$6:$O$1005,SMALL(IF(checklistPesertaKemenkeu!$AY$6:$AY$1005="Direkomendasikan",ROW($6:$1005)-5),106))="",INDEX(checklistPesertaKemenkeu!$J$6:$J$1005,SMALL(IF(checklistPesertaKemenkeu!$AY$6:$AY$1005="Direkomendasikan",ROW($6:$1005)-5),106))=""),"",IF(AND(COUNTIF(INDIRECT("K_"&amp;MATCH(INDEX(checklistPesertaKemenkeu!$J$6:$J$1005,SMALL(IF(checklistPesertaKemenkeu!$AY$6:$AY$1005="Direkomendasikan",ROW($6:$1005)-5),106)),BidangList,0)),INDEX(checklistPesertaKemenkeu!$O$6:$O$1005,SMALL(IF(checklistPesertaKemenkeu!$AY$6:$AY$1005="Direkomendasikan",ROW($6:$1005)-5),106)))&gt;0,COUNTIF(INDIRECT("'KERTAS KERJA'!K"&amp;(SMALL(IF(checklistPesertaKemenkeu!$AY$6:$AY$1005="Direkomendasikan",ROW($6:$1005)-5),106)+5)&amp;":O"&amp;(SMALL(IF(checklistPesertaKemenkeu!$AY$6:$AY$1005="Direkomendasikan",ROW($6:$1005)-5),106)+5)),INDEX(checklistPesertaKemenkeu!$O$6:$O$1005,SMALL(IF(checklistPesertaKemenkeu!$AY$6:$AY$1005="Direkomendasikan",ROW($6:$1005)-5),106)))=1),IFERROR(VLOOKUP(INDEX(checklistPesertaKemenkeu!$O$6:$O$1005,SMALL(IF(checklistPesertaKemenkeu!$AY$6:$AY$1005="Direkomendasikan",ROW($6:$1005)-5),106)),KotaKode,2,0),"-"),"")),"")</f>
        <v/>
      </c>
      <c r="L107" t="str">
        <f t="array" aca="1" ref="L107" ca="1">IFERROR(IF(OR(INDEX(checklistPesertaKemenkeu!$P$6:$P$1005,SMALL(IF(checklistPesertaKemenkeu!$AY$6:$AY$1005="Direkomendasikan",ROW($6:$1005)-5),106))="",INDEX(checklistPesertaKemenkeu!$J$6:$J$1005,SMALL(IF(checklistPesertaKemenkeu!$AY$6:$AY$1005="Direkomendasikan",ROW($6:$1005)-5),106))=""),"",IF(AND(COUNTIF(INDIRECT("K_"&amp;MATCH(INDEX(checklistPesertaKemenkeu!$J$6:$J$1005,SMALL(IF(checklistPesertaKemenkeu!$AY$6:$AY$1005="Direkomendasikan",ROW($6:$1005)-5),106)),BidangList,0)),INDEX(checklistPesertaKemenkeu!$P$6:$P$1005,SMALL(IF(checklistPesertaKemenkeu!$AY$6:$AY$1005="Direkomendasikan",ROW($6:$1005)-5),106)))&gt;0,COUNTIF(INDIRECT("'KERTAS KERJA'!K"&amp;(SMALL(IF(checklistPesertaKemenkeu!$AY$6:$AY$1005="Direkomendasikan",ROW($6:$1005)-5),106)+5)&amp;":O"&amp;(SMALL(IF(checklistPesertaKemenkeu!$AY$6:$AY$1005="Direkomendasikan",ROW($6:$1005)-5),106)+5)),INDEX(checklistPesertaKemenkeu!$P$6:$P$1005,SMALL(IF(checklistPesertaKemenkeu!$AY$6:$AY$1005="Direkomendasikan",ROW($6:$1005)-5),106)))=1),IFERROR(VLOOKUP(INDEX(checklistPesertaKemenkeu!$P$6:$P$1005,SMALL(IF(checklistPesertaKemenkeu!$AY$6:$AY$1005="Direkomendasikan",ROW($6:$1005)-5),106)),KotaKode,2,0),"-"),"")),"")</f>
        <v/>
      </c>
    </row>
    <row r="108" spans="1:12" ht="15" customHeight="1" x14ac:dyDescent="0.2">
      <c r="A108" t="str">
        <f t="shared" si="1"/>
        <v/>
      </c>
      <c r="B108" t="str">
        <v/>
      </c>
      <c r="C108" s="40" t="str">
        <f t="array" ref="C108">IFERROR(INDEX(checklistPesertaKemenkeu!$F$6:$F$1005,SMALL(IF(checklistPesertaKemenkeu!$AY$6:$AY$1005="Direkomendasikan",ROW($6:$1005)-5),107)),"")</f>
        <v/>
      </c>
      <c r="D108" t="str">
        <f t="array" ref="D108">IFERROR(INDEX(checklistPesertaKemenkeu!$G$6:$G$1005,SMALL(IF(checklistPesertaKemenkeu!$AY$6:$AY$1005="Direkomendasikan",ROW($6:$1005)-5),107)),"")</f>
        <v/>
      </c>
      <c r="E108" t="str">
        <f t="array" ref="E108">IFERROR(INDEX(checklistPesertaKemenkeu!$H$6:$H$1005,SMALL(IF(checklistPesertaKemenkeu!$AY$6:$AY$1005="Direkomendasikan",ROW($6:$1005)-5),107)),"")</f>
        <v/>
      </c>
      <c r="F108" t="str">
        <f t="array" ref="F108">IFERROR(INDEX(checklistPesertaKemenkeu!$I$6:$I$1005,SMALL(IF(checklistPesertaKemenkeu!$AY$6:$AY$1005="Direkomendasikan",ROW($6:$1005)-5),107)),"")</f>
        <v/>
      </c>
      <c r="G108" t="str">
        <f t="array" ref="G108">IFERROR(INDEX(checklistPesertaKemenkeu!$J$6:$J$1005,SMALL(IF(checklistPesertaKemenkeu!$AY$6:$AY$1005="Direkomendasikan",ROW($6:$1005)-5),107)),"")</f>
        <v/>
      </c>
      <c r="H108" t="str">
        <f t="array" aca="1" ref="H108" ca="1">IFERROR(IF(OR(INDEX(checklistPesertaKemenkeu!$L$6:$L$1005,SMALL(IF(checklistPesertaKemenkeu!$AY$6:$AY$1005="Direkomendasikan",ROW($6:$1005)-5),107))="",INDEX(checklistPesertaKemenkeu!$J$6:$J$1005,SMALL(IF(checklistPesertaKemenkeu!$AY$6:$AY$1005="Direkomendasikan",ROW($6:$1005)-5),107))=""),"",IF(AND(COUNTIF(INDIRECT("K_"&amp;MATCH(INDEX(checklistPesertaKemenkeu!$J$6:$J$1005,SMALL(IF(checklistPesertaKemenkeu!$AY$6:$AY$1005="Direkomendasikan",ROW($6:$1005)-5),107)),BidangList,0)),INDEX(checklistPesertaKemenkeu!$L$6:$L$1005,SMALL(IF(checklistPesertaKemenkeu!$AY$6:$AY$1005="Direkomendasikan",ROW($6:$1005)-5),107)))&gt;0,COUNTIF(INDIRECT("'KERTAS KERJA'!K"&amp;(SMALL(IF(checklistPesertaKemenkeu!$AY$6:$AY$1005="Direkomendasikan",ROW($6:$1005)-5),107)+5)&amp;":O"&amp;(SMALL(IF(checklistPesertaKemenkeu!$AY$6:$AY$1005="Direkomendasikan",ROW($6:$1005)-5),107)+5)),INDEX(checklistPesertaKemenkeu!$L$6:$L$1005,SMALL(IF(checklistPesertaKemenkeu!$AY$6:$AY$1005="Direkomendasikan",ROW($6:$1005)-5),107)))=1),IFERROR(VLOOKUP(INDEX(checklistPesertaKemenkeu!$L$6:$L$1005,SMALL(IF(checklistPesertaKemenkeu!$AY$6:$AY$1005="Direkomendasikan",ROW($6:$1005)-5),107)),KotaKode,2,0),"-"),"")),"")</f>
        <v/>
      </c>
      <c r="I108" t="str">
        <f t="array" aca="1" ref="I108" ca="1">IFERROR(IF(OR(INDEX(checklistPesertaKemenkeu!$M$6:$M$1005,SMALL(IF(checklistPesertaKemenkeu!$AY$6:$AY$1005="Direkomendasikan",ROW($6:$1005)-5),107))="",INDEX(checklistPesertaKemenkeu!$J$6:$J$1005,SMALL(IF(checklistPesertaKemenkeu!$AY$6:$AY$1005="Direkomendasikan",ROW($6:$1005)-5),107))=""),"",IF(AND(COUNTIF(INDIRECT("K_"&amp;MATCH(INDEX(checklistPesertaKemenkeu!$J$6:$J$1005,SMALL(IF(checklistPesertaKemenkeu!$AY$6:$AY$1005="Direkomendasikan",ROW($6:$1005)-5),107)),BidangList,0)),INDEX(checklistPesertaKemenkeu!$M$6:$M$1005,SMALL(IF(checklistPesertaKemenkeu!$AY$6:$AY$1005="Direkomendasikan",ROW($6:$1005)-5),107)))&gt;0,COUNTIF(INDIRECT("'KERTAS KERJA'!K"&amp;(SMALL(IF(checklistPesertaKemenkeu!$AY$6:$AY$1005="Direkomendasikan",ROW($6:$1005)-5),107)+5)&amp;":O"&amp;(SMALL(IF(checklistPesertaKemenkeu!$AY$6:$AY$1005="Direkomendasikan",ROW($6:$1005)-5),107)+5)),INDEX(checklistPesertaKemenkeu!$M$6:$M$1005,SMALL(IF(checklistPesertaKemenkeu!$AY$6:$AY$1005="Direkomendasikan",ROW($6:$1005)-5),107)))=1),IFERROR(VLOOKUP(INDEX(checklistPesertaKemenkeu!$M$6:$M$1005,SMALL(IF(checklistPesertaKemenkeu!$AY$6:$AY$1005="Direkomendasikan",ROW($6:$1005)-5),107)),KotaKode,2,0),"-"),"")),"")</f>
        <v/>
      </c>
      <c r="J108" t="str">
        <f t="array" aca="1" ref="J108" ca="1">IFERROR(IF(OR(INDEX(checklistPesertaKemenkeu!$N$6:$N$1005,SMALL(IF(checklistPesertaKemenkeu!$AY$6:$AY$1005="Direkomendasikan",ROW($6:$1005)-5),107))="",INDEX(checklistPesertaKemenkeu!$J$6:$J$1005,SMALL(IF(checklistPesertaKemenkeu!$AY$6:$AY$1005="Direkomendasikan",ROW($6:$1005)-5),107))=""),"",IF(AND(COUNTIF(INDIRECT("K_"&amp;MATCH(INDEX(checklistPesertaKemenkeu!$J$6:$J$1005,SMALL(IF(checklistPesertaKemenkeu!$AY$6:$AY$1005="Direkomendasikan",ROW($6:$1005)-5),107)),BidangList,0)),INDEX(checklistPesertaKemenkeu!$N$6:$N$1005,SMALL(IF(checklistPesertaKemenkeu!$AY$6:$AY$1005="Direkomendasikan",ROW($6:$1005)-5),107)))&gt;0,COUNTIF(INDIRECT("'KERTAS KERJA'!K"&amp;(SMALL(IF(checklistPesertaKemenkeu!$AY$6:$AY$1005="Direkomendasikan",ROW($6:$1005)-5),107)+5)&amp;":O"&amp;(SMALL(IF(checklistPesertaKemenkeu!$AY$6:$AY$1005="Direkomendasikan",ROW($6:$1005)-5),107)+5)),INDEX(checklistPesertaKemenkeu!$N$6:$N$1005,SMALL(IF(checklistPesertaKemenkeu!$AY$6:$AY$1005="Direkomendasikan",ROW($6:$1005)-5),107)))=1),IFERROR(VLOOKUP(INDEX(checklistPesertaKemenkeu!$N$6:$N$1005,SMALL(IF(checklistPesertaKemenkeu!$AY$6:$AY$1005="Direkomendasikan",ROW($6:$1005)-5),107)),KotaKode,2,0),"-"),"")),"")</f>
        <v/>
      </c>
      <c r="K108" t="str">
        <f t="array" aca="1" ref="K108" ca="1">IFERROR(IF(OR(INDEX(checklistPesertaKemenkeu!$O$6:$O$1005,SMALL(IF(checklistPesertaKemenkeu!$AY$6:$AY$1005="Direkomendasikan",ROW($6:$1005)-5),107))="",INDEX(checklistPesertaKemenkeu!$J$6:$J$1005,SMALL(IF(checklistPesertaKemenkeu!$AY$6:$AY$1005="Direkomendasikan",ROW($6:$1005)-5),107))=""),"",IF(AND(COUNTIF(INDIRECT("K_"&amp;MATCH(INDEX(checklistPesertaKemenkeu!$J$6:$J$1005,SMALL(IF(checklistPesertaKemenkeu!$AY$6:$AY$1005="Direkomendasikan",ROW($6:$1005)-5),107)),BidangList,0)),INDEX(checklistPesertaKemenkeu!$O$6:$O$1005,SMALL(IF(checklistPesertaKemenkeu!$AY$6:$AY$1005="Direkomendasikan",ROW($6:$1005)-5),107)))&gt;0,COUNTIF(INDIRECT("'KERTAS KERJA'!K"&amp;(SMALL(IF(checklistPesertaKemenkeu!$AY$6:$AY$1005="Direkomendasikan",ROW($6:$1005)-5),107)+5)&amp;":O"&amp;(SMALL(IF(checklistPesertaKemenkeu!$AY$6:$AY$1005="Direkomendasikan",ROW($6:$1005)-5),107)+5)),INDEX(checklistPesertaKemenkeu!$O$6:$O$1005,SMALL(IF(checklistPesertaKemenkeu!$AY$6:$AY$1005="Direkomendasikan",ROW($6:$1005)-5),107)))=1),IFERROR(VLOOKUP(INDEX(checklistPesertaKemenkeu!$O$6:$O$1005,SMALL(IF(checklistPesertaKemenkeu!$AY$6:$AY$1005="Direkomendasikan",ROW($6:$1005)-5),107)),KotaKode,2,0),"-"),"")),"")</f>
        <v/>
      </c>
      <c r="L108" t="str">
        <f t="array" aca="1" ref="L108" ca="1">IFERROR(IF(OR(INDEX(checklistPesertaKemenkeu!$P$6:$P$1005,SMALL(IF(checklistPesertaKemenkeu!$AY$6:$AY$1005="Direkomendasikan",ROW($6:$1005)-5),107))="",INDEX(checklistPesertaKemenkeu!$J$6:$J$1005,SMALL(IF(checklistPesertaKemenkeu!$AY$6:$AY$1005="Direkomendasikan",ROW($6:$1005)-5),107))=""),"",IF(AND(COUNTIF(INDIRECT("K_"&amp;MATCH(INDEX(checklistPesertaKemenkeu!$J$6:$J$1005,SMALL(IF(checklistPesertaKemenkeu!$AY$6:$AY$1005="Direkomendasikan",ROW($6:$1005)-5),107)),BidangList,0)),INDEX(checklistPesertaKemenkeu!$P$6:$P$1005,SMALL(IF(checklistPesertaKemenkeu!$AY$6:$AY$1005="Direkomendasikan",ROW($6:$1005)-5),107)))&gt;0,COUNTIF(INDIRECT("'KERTAS KERJA'!K"&amp;(SMALL(IF(checklistPesertaKemenkeu!$AY$6:$AY$1005="Direkomendasikan",ROW($6:$1005)-5),107)+5)&amp;":O"&amp;(SMALL(IF(checklistPesertaKemenkeu!$AY$6:$AY$1005="Direkomendasikan",ROW($6:$1005)-5),107)+5)),INDEX(checklistPesertaKemenkeu!$P$6:$P$1005,SMALL(IF(checklistPesertaKemenkeu!$AY$6:$AY$1005="Direkomendasikan",ROW($6:$1005)-5),107)))=1),IFERROR(VLOOKUP(INDEX(checklistPesertaKemenkeu!$P$6:$P$1005,SMALL(IF(checklistPesertaKemenkeu!$AY$6:$AY$1005="Direkomendasikan",ROW($6:$1005)-5),107)),KotaKode,2,0),"-"),"")),"")</f>
        <v/>
      </c>
    </row>
    <row r="109" spans="1:12" ht="15" customHeight="1" x14ac:dyDescent="0.2">
      <c r="A109" t="str">
        <f t="shared" si="1"/>
        <v/>
      </c>
      <c r="B109" t="str">
        <v/>
      </c>
      <c r="C109" s="40" t="str">
        <f t="array" ref="C109">IFERROR(INDEX(checklistPesertaKemenkeu!$F$6:$F$1005,SMALL(IF(checklistPesertaKemenkeu!$AY$6:$AY$1005="Direkomendasikan",ROW($6:$1005)-5),108)),"")</f>
        <v/>
      </c>
      <c r="D109" t="str">
        <f t="array" ref="D109">IFERROR(INDEX(checklistPesertaKemenkeu!$G$6:$G$1005,SMALL(IF(checklistPesertaKemenkeu!$AY$6:$AY$1005="Direkomendasikan",ROW($6:$1005)-5),108)),"")</f>
        <v/>
      </c>
      <c r="E109" t="str">
        <f t="array" ref="E109">IFERROR(INDEX(checklistPesertaKemenkeu!$H$6:$H$1005,SMALL(IF(checklistPesertaKemenkeu!$AY$6:$AY$1005="Direkomendasikan",ROW($6:$1005)-5),108)),"")</f>
        <v/>
      </c>
      <c r="F109" t="str">
        <f t="array" ref="F109">IFERROR(INDEX(checklistPesertaKemenkeu!$I$6:$I$1005,SMALL(IF(checklistPesertaKemenkeu!$AY$6:$AY$1005="Direkomendasikan",ROW($6:$1005)-5),108)),"")</f>
        <v/>
      </c>
      <c r="G109" t="str">
        <f t="array" ref="G109">IFERROR(INDEX(checklistPesertaKemenkeu!$J$6:$J$1005,SMALL(IF(checklistPesertaKemenkeu!$AY$6:$AY$1005="Direkomendasikan",ROW($6:$1005)-5),108)),"")</f>
        <v/>
      </c>
      <c r="H109" t="str">
        <f t="array" aca="1" ref="H109" ca="1">IFERROR(IF(OR(INDEX(checklistPesertaKemenkeu!$L$6:$L$1005,SMALL(IF(checklistPesertaKemenkeu!$AY$6:$AY$1005="Direkomendasikan",ROW($6:$1005)-5),108))="",INDEX(checklistPesertaKemenkeu!$J$6:$J$1005,SMALL(IF(checklistPesertaKemenkeu!$AY$6:$AY$1005="Direkomendasikan",ROW($6:$1005)-5),108))=""),"",IF(AND(COUNTIF(INDIRECT("K_"&amp;MATCH(INDEX(checklistPesertaKemenkeu!$J$6:$J$1005,SMALL(IF(checklistPesertaKemenkeu!$AY$6:$AY$1005="Direkomendasikan",ROW($6:$1005)-5),108)),BidangList,0)),INDEX(checklistPesertaKemenkeu!$L$6:$L$1005,SMALL(IF(checklistPesertaKemenkeu!$AY$6:$AY$1005="Direkomendasikan",ROW($6:$1005)-5),108)))&gt;0,COUNTIF(INDIRECT("'KERTAS KERJA'!K"&amp;(SMALL(IF(checklistPesertaKemenkeu!$AY$6:$AY$1005="Direkomendasikan",ROW($6:$1005)-5),108)+5)&amp;":O"&amp;(SMALL(IF(checklistPesertaKemenkeu!$AY$6:$AY$1005="Direkomendasikan",ROW($6:$1005)-5),108)+5)),INDEX(checklistPesertaKemenkeu!$L$6:$L$1005,SMALL(IF(checklistPesertaKemenkeu!$AY$6:$AY$1005="Direkomendasikan",ROW($6:$1005)-5),108)))=1),IFERROR(VLOOKUP(INDEX(checklistPesertaKemenkeu!$L$6:$L$1005,SMALL(IF(checklistPesertaKemenkeu!$AY$6:$AY$1005="Direkomendasikan",ROW($6:$1005)-5),108)),KotaKode,2,0),"-"),"")),"")</f>
        <v/>
      </c>
      <c r="I109" t="str">
        <f t="array" aca="1" ref="I109" ca="1">IFERROR(IF(OR(INDEX(checklistPesertaKemenkeu!$M$6:$M$1005,SMALL(IF(checklistPesertaKemenkeu!$AY$6:$AY$1005="Direkomendasikan",ROW($6:$1005)-5),108))="",INDEX(checklistPesertaKemenkeu!$J$6:$J$1005,SMALL(IF(checklistPesertaKemenkeu!$AY$6:$AY$1005="Direkomendasikan",ROW($6:$1005)-5),108))=""),"",IF(AND(COUNTIF(INDIRECT("K_"&amp;MATCH(INDEX(checklistPesertaKemenkeu!$J$6:$J$1005,SMALL(IF(checklistPesertaKemenkeu!$AY$6:$AY$1005="Direkomendasikan",ROW($6:$1005)-5),108)),BidangList,0)),INDEX(checklistPesertaKemenkeu!$M$6:$M$1005,SMALL(IF(checklistPesertaKemenkeu!$AY$6:$AY$1005="Direkomendasikan",ROW($6:$1005)-5),108)))&gt;0,COUNTIF(INDIRECT("'KERTAS KERJA'!K"&amp;(SMALL(IF(checklistPesertaKemenkeu!$AY$6:$AY$1005="Direkomendasikan",ROW($6:$1005)-5),108)+5)&amp;":O"&amp;(SMALL(IF(checklistPesertaKemenkeu!$AY$6:$AY$1005="Direkomendasikan",ROW($6:$1005)-5),108)+5)),INDEX(checklistPesertaKemenkeu!$M$6:$M$1005,SMALL(IF(checklistPesertaKemenkeu!$AY$6:$AY$1005="Direkomendasikan",ROW($6:$1005)-5),108)))=1),IFERROR(VLOOKUP(INDEX(checklistPesertaKemenkeu!$M$6:$M$1005,SMALL(IF(checklistPesertaKemenkeu!$AY$6:$AY$1005="Direkomendasikan",ROW($6:$1005)-5),108)),KotaKode,2,0),"-"),"")),"")</f>
        <v/>
      </c>
      <c r="J109" t="str">
        <f t="array" aca="1" ref="J109" ca="1">IFERROR(IF(OR(INDEX(checklistPesertaKemenkeu!$N$6:$N$1005,SMALL(IF(checklistPesertaKemenkeu!$AY$6:$AY$1005="Direkomendasikan",ROW($6:$1005)-5),108))="",INDEX(checklistPesertaKemenkeu!$J$6:$J$1005,SMALL(IF(checklistPesertaKemenkeu!$AY$6:$AY$1005="Direkomendasikan",ROW($6:$1005)-5),108))=""),"",IF(AND(COUNTIF(INDIRECT("K_"&amp;MATCH(INDEX(checklistPesertaKemenkeu!$J$6:$J$1005,SMALL(IF(checklistPesertaKemenkeu!$AY$6:$AY$1005="Direkomendasikan",ROW($6:$1005)-5),108)),BidangList,0)),INDEX(checklistPesertaKemenkeu!$N$6:$N$1005,SMALL(IF(checklistPesertaKemenkeu!$AY$6:$AY$1005="Direkomendasikan",ROW($6:$1005)-5),108)))&gt;0,COUNTIF(INDIRECT("'KERTAS KERJA'!K"&amp;(SMALL(IF(checklistPesertaKemenkeu!$AY$6:$AY$1005="Direkomendasikan",ROW($6:$1005)-5),108)+5)&amp;":O"&amp;(SMALL(IF(checklistPesertaKemenkeu!$AY$6:$AY$1005="Direkomendasikan",ROW($6:$1005)-5),108)+5)),INDEX(checklistPesertaKemenkeu!$N$6:$N$1005,SMALL(IF(checklistPesertaKemenkeu!$AY$6:$AY$1005="Direkomendasikan",ROW($6:$1005)-5),108)))=1),IFERROR(VLOOKUP(INDEX(checklistPesertaKemenkeu!$N$6:$N$1005,SMALL(IF(checklistPesertaKemenkeu!$AY$6:$AY$1005="Direkomendasikan",ROW($6:$1005)-5),108)),KotaKode,2,0),"-"),"")),"")</f>
        <v/>
      </c>
      <c r="K109" t="str">
        <f t="array" aca="1" ref="K109" ca="1">IFERROR(IF(OR(INDEX(checklistPesertaKemenkeu!$O$6:$O$1005,SMALL(IF(checklistPesertaKemenkeu!$AY$6:$AY$1005="Direkomendasikan",ROW($6:$1005)-5),108))="",INDEX(checklistPesertaKemenkeu!$J$6:$J$1005,SMALL(IF(checklistPesertaKemenkeu!$AY$6:$AY$1005="Direkomendasikan",ROW($6:$1005)-5),108))=""),"",IF(AND(COUNTIF(INDIRECT("K_"&amp;MATCH(INDEX(checklistPesertaKemenkeu!$J$6:$J$1005,SMALL(IF(checklistPesertaKemenkeu!$AY$6:$AY$1005="Direkomendasikan",ROW($6:$1005)-5),108)),BidangList,0)),INDEX(checklistPesertaKemenkeu!$O$6:$O$1005,SMALL(IF(checklistPesertaKemenkeu!$AY$6:$AY$1005="Direkomendasikan",ROW($6:$1005)-5),108)))&gt;0,COUNTIF(INDIRECT("'KERTAS KERJA'!K"&amp;(SMALL(IF(checklistPesertaKemenkeu!$AY$6:$AY$1005="Direkomendasikan",ROW($6:$1005)-5),108)+5)&amp;":O"&amp;(SMALL(IF(checklistPesertaKemenkeu!$AY$6:$AY$1005="Direkomendasikan",ROW($6:$1005)-5),108)+5)),INDEX(checklistPesertaKemenkeu!$O$6:$O$1005,SMALL(IF(checklistPesertaKemenkeu!$AY$6:$AY$1005="Direkomendasikan",ROW($6:$1005)-5),108)))=1),IFERROR(VLOOKUP(INDEX(checklistPesertaKemenkeu!$O$6:$O$1005,SMALL(IF(checklistPesertaKemenkeu!$AY$6:$AY$1005="Direkomendasikan",ROW($6:$1005)-5),108)),KotaKode,2,0),"-"),"")),"")</f>
        <v/>
      </c>
      <c r="L109" t="str">
        <f t="array" aca="1" ref="L109" ca="1">IFERROR(IF(OR(INDEX(checklistPesertaKemenkeu!$P$6:$P$1005,SMALL(IF(checklistPesertaKemenkeu!$AY$6:$AY$1005="Direkomendasikan",ROW($6:$1005)-5),108))="",INDEX(checklistPesertaKemenkeu!$J$6:$J$1005,SMALL(IF(checklistPesertaKemenkeu!$AY$6:$AY$1005="Direkomendasikan",ROW($6:$1005)-5),108))=""),"",IF(AND(COUNTIF(INDIRECT("K_"&amp;MATCH(INDEX(checklistPesertaKemenkeu!$J$6:$J$1005,SMALL(IF(checklistPesertaKemenkeu!$AY$6:$AY$1005="Direkomendasikan",ROW($6:$1005)-5),108)),BidangList,0)),INDEX(checklistPesertaKemenkeu!$P$6:$P$1005,SMALL(IF(checklistPesertaKemenkeu!$AY$6:$AY$1005="Direkomendasikan",ROW($6:$1005)-5),108)))&gt;0,COUNTIF(INDIRECT("'KERTAS KERJA'!K"&amp;(SMALL(IF(checklistPesertaKemenkeu!$AY$6:$AY$1005="Direkomendasikan",ROW($6:$1005)-5),108)+5)&amp;":O"&amp;(SMALL(IF(checklistPesertaKemenkeu!$AY$6:$AY$1005="Direkomendasikan",ROW($6:$1005)-5),108)+5)),INDEX(checklistPesertaKemenkeu!$P$6:$P$1005,SMALL(IF(checklistPesertaKemenkeu!$AY$6:$AY$1005="Direkomendasikan",ROW($6:$1005)-5),108)))=1),IFERROR(VLOOKUP(INDEX(checklistPesertaKemenkeu!$P$6:$P$1005,SMALL(IF(checklistPesertaKemenkeu!$AY$6:$AY$1005="Direkomendasikan",ROW($6:$1005)-5),108)),KotaKode,2,0),"-"),"")),"")</f>
        <v/>
      </c>
    </row>
    <row r="110" spans="1:12" ht="15" customHeight="1" x14ac:dyDescent="0.2">
      <c r="A110" t="str">
        <f t="shared" si="1"/>
        <v/>
      </c>
      <c r="B110" t="str">
        <v/>
      </c>
      <c r="C110" s="40" t="str">
        <f t="array" ref="C110">IFERROR(INDEX(checklistPesertaKemenkeu!$F$6:$F$1005,SMALL(IF(checklistPesertaKemenkeu!$AY$6:$AY$1005="Direkomendasikan",ROW($6:$1005)-5),109)),"")</f>
        <v/>
      </c>
      <c r="D110" t="str">
        <f t="array" ref="D110">IFERROR(INDEX(checklistPesertaKemenkeu!$G$6:$G$1005,SMALL(IF(checklistPesertaKemenkeu!$AY$6:$AY$1005="Direkomendasikan",ROW($6:$1005)-5),109)),"")</f>
        <v/>
      </c>
      <c r="E110" t="str">
        <f t="array" ref="E110">IFERROR(INDEX(checklistPesertaKemenkeu!$H$6:$H$1005,SMALL(IF(checklistPesertaKemenkeu!$AY$6:$AY$1005="Direkomendasikan",ROW($6:$1005)-5),109)),"")</f>
        <v/>
      </c>
      <c r="F110" t="str">
        <f t="array" ref="F110">IFERROR(INDEX(checklistPesertaKemenkeu!$I$6:$I$1005,SMALL(IF(checklistPesertaKemenkeu!$AY$6:$AY$1005="Direkomendasikan",ROW($6:$1005)-5),109)),"")</f>
        <v/>
      </c>
      <c r="G110" t="str">
        <f t="array" ref="G110">IFERROR(INDEX(checklistPesertaKemenkeu!$J$6:$J$1005,SMALL(IF(checklistPesertaKemenkeu!$AY$6:$AY$1005="Direkomendasikan",ROW($6:$1005)-5),109)),"")</f>
        <v/>
      </c>
      <c r="H110" t="str">
        <f t="array" aca="1" ref="H110" ca="1">IFERROR(IF(OR(INDEX(checklistPesertaKemenkeu!$L$6:$L$1005,SMALL(IF(checklistPesertaKemenkeu!$AY$6:$AY$1005="Direkomendasikan",ROW($6:$1005)-5),109))="",INDEX(checklistPesertaKemenkeu!$J$6:$J$1005,SMALL(IF(checklistPesertaKemenkeu!$AY$6:$AY$1005="Direkomendasikan",ROW($6:$1005)-5),109))=""),"",IF(AND(COUNTIF(INDIRECT("K_"&amp;MATCH(INDEX(checklistPesertaKemenkeu!$J$6:$J$1005,SMALL(IF(checklistPesertaKemenkeu!$AY$6:$AY$1005="Direkomendasikan",ROW($6:$1005)-5),109)),BidangList,0)),INDEX(checklistPesertaKemenkeu!$L$6:$L$1005,SMALL(IF(checklistPesertaKemenkeu!$AY$6:$AY$1005="Direkomendasikan",ROW($6:$1005)-5),109)))&gt;0,COUNTIF(INDIRECT("'KERTAS KERJA'!K"&amp;(SMALL(IF(checklistPesertaKemenkeu!$AY$6:$AY$1005="Direkomendasikan",ROW($6:$1005)-5),109)+5)&amp;":O"&amp;(SMALL(IF(checklistPesertaKemenkeu!$AY$6:$AY$1005="Direkomendasikan",ROW($6:$1005)-5),109)+5)),INDEX(checklistPesertaKemenkeu!$L$6:$L$1005,SMALL(IF(checklistPesertaKemenkeu!$AY$6:$AY$1005="Direkomendasikan",ROW($6:$1005)-5),109)))=1),IFERROR(VLOOKUP(INDEX(checklistPesertaKemenkeu!$L$6:$L$1005,SMALL(IF(checklistPesertaKemenkeu!$AY$6:$AY$1005="Direkomendasikan",ROW($6:$1005)-5),109)),KotaKode,2,0),"-"),"")),"")</f>
        <v/>
      </c>
      <c r="I110" t="str">
        <f t="array" aca="1" ref="I110" ca="1">IFERROR(IF(OR(INDEX(checklistPesertaKemenkeu!$M$6:$M$1005,SMALL(IF(checklistPesertaKemenkeu!$AY$6:$AY$1005="Direkomendasikan",ROW($6:$1005)-5),109))="",INDEX(checklistPesertaKemenkeu!$J$6:$J$1005,SMALL(IF(checklistPesertaKemenkeu!$AY$6:$AY$1005="Direkomendasikan",ROW($6:$1005)-5),109))=""),"",IF(AND(COUNTIF(INDIRECT("K_"&amp;MATCH(INDEX(checklistPesertaKemenkeu!$J$6:$J$1005,SMALL(IF(checklistPesertaKemenkeu!$AY$6:$AY$1005="Direkomendasikan",ROW($6:$1005)-5),109)),BidangList,0)),INDEX(checklistPesertaKemenkeu!$M$6:$M$1005,SMALL(IF(checklistPesertaKemenkeu!$AY$6:$AY$1005="Direkomendasikan",ROW($6:$1005)-5),109)))&gt;0,COUNTIF(INDIRECT("'KERTAS KERJA'!K"&amp;(SMALL(IF(checklistPesertaKemenkeu!$AY$6:$AY$1005="Direkomendasikan",ROW($6:$1005)-5),109)+5)&amp;":O"&amp;(SMALL(IF(checklistPesertaKemenkeu!$AY$6:$AY$1005="Direkomendasikan",ROW($6:$1005)-5),109)+5)),INDEX(checklistPesertaKemenkeu!$M$6:$M$1005,SMALL(IF(checklistPesertaKemenkeu!$AY$6:$AY$1005="Direkomendasikan",ROW($6:$1005)-5),109)))=1),IFERROR(VLOOKUP(INDEX(checklistPesertaKemenkeu!$M$6:$M$1005,SMALL(IF(checklistPesertaKemenkeu!$AY$6:$AY$1005="Direkomendasikan",ROW($6:$1005)-5),109)),KotaKode,2,0),"-"),"")),"")</f>
        <v/>
      </c>
      <c r="J110" t="str">
        <f t="array" aca="1" ref="J110" ca="1">IFERROR(IF(OR(INDEX(checklistPesertaKemenkeu!$N$6:$N$1005,SMALL(IF(checklistPesertaKemenkeu!$AY$6:$AY$1005="Direkomendasikan",ROW($6:$1005)-5),109))="",INDEX(checklistPesertaKemenkeu!$J$6:$J$1005,SMALL(IF(checklistPesertaKemenkeu!$AY$6:$AY$1005="Direkomendasikan",ROW($6:$1005)-5),109))=""),"",IF(AND(COUNTIF(INDIRECT("K_"&amp;MATCH(INDEX(checklistPesertaKemenkeu!$J$6:$J$1005,SMALL(IF(checklistPesertaKemenkeu!$AY$6:$AY$1005="Direkomendasikan",ROW($6:$1005)-5),109)),BidangList,0)),INDEX(checklistPesertaKemenkeu!$N$6:$N$1005,SMALL(IF(checklistPesertaKemenkeu!$AY$6:$AY$1005="Direkomendasikan",ROW($6:$1005)-5),109)))&gt;0,COUNTIF(INDIRECT("'KERTAS KERJA'!K"&amp;(SMALL(IF(checklistPesertaKemenkeu!$AY$6:$AY$1005="Direkomendasikan",ROW($6:$1005)-5),109)+5)&amp;":O"&amp;(SMALL(IF(checklistPesertaKemenkeu!$AY$6:$AY$1005="Direkomendasikan",ROW($6:$1005)-5),109)+5)),INDEX(checklistPesertaKemenkeu!$N$6:$N$1005,SMALL(IF(checklistPesertaKemenkeu!$AY$6:$AY$1005="Direkomendasikan",ROW($6:$1005)-5),109)))=1),IFERROR(VLOOKUP(INDEX(checklistPesertaKemenkeu!$N$6:$N$1005,SMALL(IF(checklistPesertaKemenkeu!$AY$6:$AY$1005="Direkomendasikan",ROW($6:$1005)-5),109)),KotaKode,2,0),"-"),"")),"")</f>
        <v/>
      </c>
      <c r="K110" t="str">
        <f t="array" aca="1" ref="K110" ca="1">IFERROR(IF(OR(INDEX(checklistPesertaKemenkeu!$O$6:$O$1005,SMALL(IF(checklistPesertaKemenkeu!$AY$6:$AY$1005="Direkomendasikan",ROW($6:$1005)-5),109))="",INDEX(checklistPesertaKemenkeu!$J$6:$J$1005,SMALL(IF(checklistPesertaKemenkeu!$AY$6:$AY$1005="Direkomendasikan",ROW($6:$1005)-5),109))=""),"",IF(AND(COUNTIF(INDIRECT("K_"&amp;MATCH(INDEX(checklistPesertaKemenkeu!$J$6:$J$1005,SMALL(IF(checklistPesertaKemenkeu!$AY$6:$AY$1005="Direkomendasikan",ROW($6:$1005)-5),109)),BidangList,0)),INDEX(checklistPesertaKemenkeu!$O$6:$O$1005,SMALL(IF(checklistPesertaKemenkeu!$AY$6:$AY$1005="Direkomendasikan",ROW($6:$1005)-5),109)))&gt;0,COUNTIF(INDIRECT("'KERTAS KERJA'!K"&amp;(SMALL(IF(checklistPesertaKemenkeu!$AY$6:$AY$1005="Direkomendasikan",ROW($6:$1005)-5),109)+5)&amp;":O"&amp;(SMALL(IF(checklistPesertaKemenkeu!$AY$6:$AY$1005="Direkomendasikan",ROW($6:$1005)-5),109)+5)),INDEX(checklistPesertaKemenkeu!$O$6:$O$1005,SMALL(IF(checklistPesertaKemenkeu!$AY$6:$AY$1005="Direkomendasikan",ROW($6:$1005)-5),109)))=1),IFERROR(VLOOKUP(INDEX(checklistPesertaKemenkeu!$O$6:$O$1005,SMALL(IF(checklistPesertaKemenkeu!$AY$6:$AY$1005="Direkomendasikan",ROW($6:$1005)-5),109)),KotaKode,2,0),"-"),"")),"")</f>
        <v/>
      </c>
      <c r="L110" t="str">
        <f t="array" aca="1" ref="L110" ca="1">IFERROR(IF(OR(INDEX(checklistPesertaKemenkeu!$P$6:$P$1005,SMALL(IF(checklistPesertaKemenkeu!$AY$6:$AY$1005="Direkomendasikan",ROW($6:$1005)-5),109))="",INDEX(checklistPesertaKemenkeu!$J$6:$J$1005,SMALL(IF(checklistPesertaKemenkeu!$AY$6:$AY$1005="Direkomendasikan",ROW($6:$1005)-5),109))=""),"",IF(AND(COUNTIF(INDIRECT("K_"&amp;MATCH(INDEX(checklistPesertaKemenkeu!$J$6:$J$1005,SMALL(IF(checklistPesertaKemenkeu!$AY$6:$AY$1005="Direkomendasikan",ROW($6:$1005)-5),109)),BidangList,0)),INDEX(checklistPesertaKemenkeu!$P$6:$P$1005,SMALL(IF(checklistPesertaKemenkeu!$AY$6:$AY$1005="Direkomendasikan",ROW($6:$1005)-5),109)))&gt;0,COUNTIF(INDIRECT("'KERTAS KERJA'!K"&amp;(SMALL(IF(checklistPesertaKemenkeu!$AY$6:$AY$1005="Direkomendasikan",ROW($6:$1005)-5),109)+5)&amp;":O"&amp;(SMALL(IF(checklistPesertaKemenkeu!$AY$6:$AY$1005="Direkomendasikan",ROW($6:$1005)-5),109)+5)),INDEX(checklistPesertaKemenkeu!$P$6:$P$1005,SMALL(IF(checklistPesertaKemenkeu!$AY$6:$AY$1005="Direkomendasikan",ROW($6:$1005)-5),109)))=1),IFERROR(VLOOKUP(INDEX(checklistPesertaKemenkeu!$P$6:$P$1005,SMALL(IF(checklistPesertaKemenkeu!$AY$6:$AY$1005="Direkomendasikan",ROW($6:$1005)-5),109)),KotaKode,2,0),"-"),"")),"")</f>
        <v/>
      </c>
    </row>
    <row r="111" spans="1:12" ht="15" customHeight="1" x14ac:dyDescent="0.2">
      <c r="A111" t="str">
        <f t="shared" si="1"/>
        <v/>
      </c>
      <c r="B111" t="str">
        <v/>
      </c>
      <c r="C111" s="40" t="str">
        <f t="array" ref="C111">IFERROR(INDEX(checklistPesertaKemenkeu!$F$6:$F$1005,SMALL(IF(checklistPesertaKemenkeu!$AY$6:$AY$1005="Direkomendasikan",ROW($6:$1005)-5),110)),"")</f>
        <v/>
      </c>
      <c r="D111" t="str">
        <f t="array" ref="D111">IFERROR(INDEX(checklistPesertaKemenkeu!$G$6:$G$1005,SMALL(IF(checklistPesertaKemenkeu!$AY$6:$AY$1005="Direkomendasikan",ROW($6:$1005)-5),110)),"")</f>
        <v/>
      </c>
      <c r="E111" t="str">
        <f t="array" ref="E111">IFERROR(INDEX(checklistPesertaKemenkeu!$H$6:$H$1005,SMALL(IF(checklistPesertaKemenkeu!$AY$6:$AY$1005="Direkomendasikan",ROW($6:$1005)-5),110)),"")</f>
        <v/>
      </c>
      <c r="F111" t="str">
        <f t="array" ref="F111">IFERROR(INDEX(checklistPesertaKemenkeu!$I$6:$I$1005,SMALL(IF(checklistPesertaKemenkeu!$AY$6:$AY$1005="Direkomendasikan",ROW($6:$1005)-5),110)),"")</f>
        <v/>
      </c>
      <c r="G111" t="str">
        <f t="array" ref="G111">IFERROR(INDEX(checklistPesertaKemenkeu!$J$6:$J$1005,SMALL(IF(checklistPesertaKemenkeu!$AY$6:$AY$1005="Direkomendasikan",ROW($6:$1005)-5),110)),"")</f>
        <v/>
      </c>
      <c r="H111" t="str">
        <f t="array" aca="1" ref="H111" ca="1">IFERROR(IF(OR(INDEX(checklistPesertaKemenkeu!$L$6:$L$1005,SMALL(IF(checklistPesertaKemenkeu!$AY$6:$AY$1005="Direkomendasikan",ROW($6:$1005)-5),110))="",INDEX(checklistPesertaKemenkeu!$J$6:$J$1005,SMALL(IF(checklistPesertaKemenkeu!$AY$6:$AY$1005="Direkomendasikan",ROW($6:$1005)-5),110))=""),"",IF(AND(COUNTIF(INDIRECT("K_"&amp;MATCH(INDEX(checklistPesertaKemenkeu!$J$6:$J$1005,SMALL(IF(checklistPesertaKemenkeu!$AY$6:$AY$1005="Direkomendasikan",ROW($6:$1005)-5),110)),BidangList,0)),INDEX(checklistPesertaKemenkeu!$L$6:$L$1005,SMALL(IF(checklistPesertaKemenkeu!$AY$6:$AY$1005="Direkomendasikan",ROW($6:$1005)-5),110)))&gt;0,COUNTIF(INDIRECT("'KERTAS KERJA'!K"&amp;(SMALL(IF(checklistPesertaKemenkeu!$AY$6:$AY$1005="Direkomendasikan",ROW($6:$1005)-5),110)+5)&amp;":O"&amp;(SMALL(IF(checklistPesertaKemenkeu!$AY$6:$AY$1005="Direkomendasikan",ROW($6:$1005)-5),110)+5)),INDEX(checklistPesertaKemenkeu!$L$6:$L$1005,SMALL(IF(checklistPesertaKemenkeu!$AY$6:$AY$1005="Direkomendasikan",ROW($6:$1005)-5),110)))=1),IFERROR(VLOOKUP(INDEX(checklistPesertaKemenkeu!$L$6:$L$1005,SMALL(IF(checklistPesertaKemenkeu!$AY$6:$AY$1005="Direkomendasikan",ROW($6:$1005)-5),110)),KotaKode,2,0),"-"),"")),"")</f>
        <v/>
      </c>
      <c r="I111" t="str">
        <f t="array" aca="1" ref="I111" ca="1">IFERROR(IF(OR(INDEX(checklistPesertaKemenkeu!$M$6:$M$1005,SMALL(IF(checklistPesertaKemenkeu!$AY$6:$AY$1005="Direkomendasikan",ROW($6:$1005)-5),110))="",INDEX(checklistPesertaKemenkeu!$J$6:$J$1005,SMALL(IF(checklistPesertaKemenkeu!$AY$6:$AY$1005="Direkomendasikan",ROW($6:$1005)-5),110))=""),"",IF(AND(COUNTIF(INDIRECT("K_"&amp;MATCH(INDEX(checklistPesertaKemenkeu!$J$6:$J$1005,SMALL(IF(checklistPesertaKemenkeu!$AY$6:$AY$1005="Direkomendasikan",ROW($6:$1005)-5),110)),BidangList,0)),INDEX(checklistPesertaKemenkeu!$M$6:$M$1005,SMALL(IF(checklistPesertaKemenkeu!$AY$6:$AY$1005="Direkomendasikan",ROW($6:$1005)-5),110)))&gt;0,COUNTIF(INDIRECT("'KERTAS KERJA'!K"&amp;(SMALL(IF(checklistPesertaKemenkeu!$AY$6:$AY$1005="Direkomendasikan",ROW($6:$1005)-5),110)+5)&amp;":O"&amp;(SMALL(IF(checklistPesertaKemenkeu!$AY$6:$AY$1005="Direkomendasikan",ROW($6:$1005)-5),110)+5)),INDEX(checklistPesertaKemenkeu!$M$6:$M$1005,SMALL(IF(checklistPesertaKemenkeu!$AY$6:$AY$1005="Direkomendasikan",ROW($6:$1005)-5),110)))=1),IFERROR(VLOOKUP(INDEX(checklistPesertaKemenkeu!$M$6:$M$1005,SMALL(IF(checklistPesertaKemenkeu!$AY$6:$AY$1005="Direkomendasikan",ROW($6:$1005)-5),110)),KotaKode,2,0),"-"),"")),"")</f>
        <v/>
      </c>
      <c r="J111" t="str">
        <f t="array" aca="1" ref="J111" ca="1">IFERROR(IF(OR(INDEX(checklistPesertaKemenkeu!$N$6:$N$1005,SMALL(IF(checklistPesertaKemenkeu!$AY$6:$AY$1005="Direkomendasikan",ROW($6:$1005)-5),110))="",INDEX(checklistPesertaKemenkeu!$J$6:$J$1005,SMALL(IF(checklistPesertaKemenkeu!$AY$6:$AY$1005="Direkomendasikan",ROW($6:$1005)-5),110))=""),"",IF(AND(COUNTIF(INDIRECT("K_"&amp;MATCH(INDEX(checklistPesertaKemenkeu!$J$6:$J$1005,SMALL(IF(checklistPesertaKemenkeu!$AY$6:$AY$1005="Direkomendasikan",ROW($6:$1005)-5),110)),BidangList,0)),INDEX(checklistPesertaKemenkeu!$N$6:$N$1005,SMALL(IF(checklistPesertaKemenkeu!$AY$6:$AY$1005="Direkomendasikan",ROW($6:$1005)-5),110)))&gt;0,COUNTIF(INDIRECT("'KERTAS KERJA'!K"&amp;(SMALL(IF(checklistPesertaKemenkeu!$AY$6:$AY$1005="Direkomendasikan",ROW($6:$1005)-5),110)+5)&amp;":O"&amp;(SMALL(IF(checklistPesertaKemenkeu!$AY$6:$AY$1005="Direkomendasikan",ROW($6:$1005)-5),110)+5)),INDEX(checklistPesertaKemenkeu!$N$6:$N$1005,SMALL(IF(checklistPesertaKemenkeu!$AY$6:$AY$1005="Direkomendasikan",ROW($6:$1005)-5),110)))=1),IFERROR(VLOOKUP(INDEX(checklistPesertaKemenkeu!$N$6:$N$1005,SMALL(IF(checklistPesertaKemenkeu!$AY$6:$AY$1005="Direkomendasikan",ROW($6:$1005)-5),110)),KotaKode,2,0),"-"),"")),"")</f>
        <v/>
      </c>
      <c r="K111" t="str">
        <f t="array" aca="1" ref="K111" ca="1">IFERROR(IF(OR(INDEX(checklistPesertaKemenkeu!$O$6:$O$1005,SMALL(IF(checklistPesertaKemenkeu!$AY$6:$AY$1005="Direkomendasikan",ROW($6:$1005)-5),110))="",INDEX(checklistPesertaKemenkeu!$J$6:$J$1005,SMALL(IF(checklistPesertaKemenkeu!$AY$6:$AY$1005="Direkomendasikan",ROW($6:$1005)-5),110))=""),"",IF(AND(COUNTIF(INDIRECT("K_"&amp;MATCH(INDEX(checklistPesertaKemenkeu!$J$6:$J$1005,SMALL(IF(checklistPesertaKemenkeu!$AY$6:$AY$1005="Direkomendasikan",ROW($6:$1005)-5),110)),BidangList,0)),INDEX(checklistPesertaKemenkeu!$O$6:$O$1005,SMALL(IF(checklistPesertaKemenkeu!$AY$6:$AY$1005="Direkomendasikan",ROW($6:$1005)-5),110)))&gt;0,COUNTIF(INDIRECT("'KERTAS KERJA'!K"&amp;(SMALL(IF(checklistPesertaKemenkeu!$AY$6:$AY$1005="Direkomendasikan",ROW($6:$1005)-5),110)+5)&amp;":O"&amp;(SMALL(IF(checklistPesertaKemenkeu!$AY$6:$AY$1005="Direkomendasikan",ROW($6:$1005)-5),110)+5)),INDEX(checklistPesertaKemenkeu!$O$6:$O$1005,SMALL(IF(checklistPesertaKemenkeu!$AY$6:$AY$1005="Direkomendasikan",ROW($6:$1005)-5),110)))=1),IFERROR(VLOOKUP(INDEX(checklistPesertaKemenkeu!$O$6:$O$1005,SMALL(IF(checklistPesertaKemenkeu!$AY$6:$AY$1005="Direkomendasikan",ROW($6:$1005)-5),110)),KotaKode,2,0),"-"),"")),"")</f>
        <v/>
      </c>
      <c r="L111" t="str">
        <f t="array" aca="1" ref="L111" ca="1">IFERROR(IF(OR(INDEX(checklistPesertaKemenkeu!$P$6:$P$1005,SMALL(IF(checklistPesertaKemenkeu!$AY$6:$AY$1005="Direkomendasikan",ROW($6:$1005)-5),110))="",INDEX(checklistPesertaKemenkeu!$J$6:$J$1005,SMALL(IF(checklistPesertaKemenkeu!$AY$6:$AY$1005="Direkomendasikan",ROW($6:$1005)-5),110))=""),"",IF(AND(COUNTIF(INDIRECT("K_"&amp;MATCH(INDEX(checklistPesertaKemenkeu!$J$6:$J$1005,SMALL(IF(checklistPesertaKemenkeu!$AY$6:$AY$1005="Direkomendasikan",ROW($6:$1005)-5),110)),BidangList,0)),INDEX(checklistPesertaKemenkeu!$P$6:$P$1005,SMALL(IF(checklistPesertaKemenkeu!$AY$6:$AY$1005="Direkomendasikan",ROW($6:$1005)-5),110)))&gt;0,COUNTIF(INDIRECT("'KERTAS KERJA'!K"&amp;(SMALL(IF(checklistPesertaKemenkeu!$AY$6:$AY$1005="Direkomendasikan",ROW($6:$1005)-5),110)+5)&amp;":O"&amp;(SMALL(IF(checklistPesertaKemenkeu!$AY$6:$AY$1005="Direkomendasikan",ROW($6:$1005)-5),110)+5)),INDEX(checklistPesertaKemenkeu!$P$6:$P$1005,SMALL(IF(checklistPesertaKemenkeu!$AY$6:$AY$1005="Direkomendasikan",ROW($6:$1005)-5),110)))=1),IFERROR(VLOOKUP(INDEX(checklistPesertaKemenkeu!$P$6:$P$1005,SMALL(IF(checklistPesertaKemenkeu!$AY$6:$AY$1005="Direkomendasikan",ROW($6:$1005)-5),110)),KotaKode,2,0),"-"),"")),"")</f>
        <v/>
      </c>
    </row>
    <row r="112" spans="1:12" ht="15" customHeight="1" x14ac:dyDescent="0.2">
      <c r="A112" t="str">
        <f t="shared" si="1"/>
        <v/>
      </c>
      <c r="B112" t="str">
        <v/>
      </c>
      <c r="C112" s="40" t="str">
        <f t="array" ref="C112">IFERROR(INDEX(checklistPesertaKemenkeu!$F$6:$F$1005,SMALL(IF(checklistPesertaKemenkeu!$AY$6:$AY$1005="Direkomendasikan",ROW($6:$1005)-5),111)),"")</f>
        <v/>
      </c>
      <c r="D112" t="str">
        <f t="array" ref="D112">IFERROR(INDEX(checklistPesertaKemenkeu!$G$6:$G$1005,SMALL(IF(checklistPesertaKemenkeu!$AY$6:$AY$1005="Direkomendasikan",ROW($6:$1005)-5),111)),"")</f>
        <v/>
      </c>
      <c r="E112" t="str">
        <f t="array" ref="E112">IFERROR(INDEX(checklistPesertaKemenkeu!$H$6:$H$1005,SMALL(IF(checklistPesertaKemenkeu!$AY$6:$AY$1005="Direkomendasikan",ROW($6:$1005)-5),111)),"")</f>
        <v/>
      </c>
      <c r="F112" t="str">
        <f t="array" ref="F112">IFERROR(INDEX(checklistPesertaKemenkeu!$I$6:$I$1005,SMALL(IF(checklistPesertaKemenkeu!$AY$6:$AY$1005="Direkomendasikan",ROW($6:$1005)-5),111)),"")</f>
        <v/>
      </c>
      <c r="G112" t="str">
        <f t="array" ref="G112">IFERROR(INDEX(checklistPesertaKemenkeu!$J$6:$J$1005,SMALL(IF(checklistPesertaKemenkeu!$AY$6:$AY$1005="Direkomendasikan",ROW($6:$1005)-5),111)),"")</f>
        <v/>
      </c>
      <c r="H112" t="str">
        <f t="array" aca="1" ref="H112" ca="1">IFERROR(IF(OR(INDEX(checklistPesertaKemenkeu!$L$6:$L$1005,SMALL(IF(checklistPesertaKemenkeu!$AY$6:$AY$1005="Direkomendasikan",ROW($6:$1005)-5),111))="",INDEX(checklistPesertaKemenkeu!$J$6:$J$1005,SMALL(IF(checklistPesertaKemenkeu!$AY$6:$AY$1005="Direkomendasikan",ROW($6:$1005)-5),111))=""),"",IF(AND(COUNTIF(INDIRECT("K_"&amp;MATCH(INDEX(checklistPesertaKemenkeu!$J$6:$J$1005,SMALL(IF(checklistPesertaKemenkeu!$AY$6:$AY$1005="Direkomendasikan",ROW($6:$1005)-5),111)),BidangList,0)),INDEX(checklistPesertaKemenkeu!$L$6:$L$1005,SMALL(IF(checklistPesertaKemenkeu!$AY$6:$AY$1005="Direkomendasikan",ROW($6:$1005)-5),111)))&gt;0,COUNTIF(INDIRECT("'KERTAS KERJA'!K"&amp;(SMALL(IF(checklistPesertaKemenkeu!$AY$6:$AY$1005="Direkomendasikan",ROW($6:$1005)-5),111)+5)&amp;":O"&amp;(SMALL(IF(checklistPesertaKemenkeu!$AY$6:$AY$1005="Direkomendasikan",ROW($6:$1005)-5),111)+5)),INDEX(checklistPesertaKemenkeu!$L$6:$L$1005,SMALL(IF(checklistPesertaKemenkeu!$AY$6:$AY$1005="Direkomendasikan",ROW($6:$1005)-5),111)))=1),IFERROR(VLOOKUP(INDEX(checklistPesertaKemenkeu!$L$6:$L$1005,SMALL(IF(checklistPesertaKemenkeu!$AY$6:$AY$1005="Direkomendasikan",ROW($6:$1005)-5),111)),KotaKode,2,0),"-"),"")),"")</f>
        <v/>
      </c>
      <c r="I112" t="str">
        <f t="array" aca="1" ref="I112" ca="1">IFERROR(IF(OR(INDEX(checklistPesertaKemenkeu!$M$6:$M$1005,SMALL(IF(checklistPesertaKemenkeu!$AY$6:$AY$1005="Direkomendasikan",ROW($6:$1005)-5),111))="",INDEX(checklistPesertaKemenkeu!$J$6:$J$1005,SMALL(IF(checklistPesertaKemenkeu!$AY$6:$AY$1005="Direkomendasikan",ROW($6:$1005)-5),111))=""),"",IF(AND(COUNTIF(INDIRECT("K_"&amp;MATCH(INDEX(checklistPesertaKemenkeu!$J$6:$J$1005,SMALL(IF(checklistPesertaKemenkeu!$AY$6:$AY$1005="Direkomendasikan",ROW($6:$1005)-5),111)),BidangList,0)),INDEX(checklistPesertaKemenkeu!$M$6:$M$1005,SMALL(IF(checklistPesertaKemenkeu!$AY$6:$AY$1005="Direkomendasikan",ROW($6:$1005)-5),111)))&gt;0,COUNTIF(INDIRECT("'KERTAS KERJA'!K"&amp;(SMALL(IF(checklistPesertaKemenkeu!$AY$6:$AY$1005="Direkomendasikan",ROW($6:$1005)-5),111)+5)&amp;":O"&amp;(SMALL(IF(checklistPesertaKemenkeu!$AY$6:$AY$1005="Direkomendasikan",ROW($6:$1005)-5),111)+5)),INDEX(checklistPesertaKemenkeu!$M$6:$M$1005,SMALL(IF(checklistPesertaKemenkeu!$AY$6:$AY$1005="Direkomendasikan",ROW($6:$1005)-5),111)))=1),IFERROR(VLOOKUP(INDEX(checklistPesertaKemenkeu!$M$6:$M$1005,SMALL(IF(checklistPesertaKemenkeu!$AY$6:$AY$1005="Direkomendasikan",ROW($6:$1005)-5),111)),KotaKode,2,0),"-"),"")),"")</f>
        <v/>
      </c>
      <c r="J112" t="str">
        <f t="array" aca="1" ref="J112" ca="1">IFERROR(IF(OR(INDEX(checklistPesertaKemenkeu!$N$6:$N$1005,SMALL(IF(checklistPesertaKemenkeu!$AY$6:$AY$1005="Direkomendasikan",ROW($6:$1005)-5),111))="",INDEX(checklistPesertaKemenkeu!$J$6:$J$1005,SMALL(IF(checklistPesertaKemenkeu!$AY$6:$AY$1005="Direkomendasikan",ROW($6:$1005)-5),111))=""),"",IF(AND(COUNTIF(INDIRECT("K_"&amp;MATCH(INDEX(checklistPesertaKemenkeu!$J$6:$J$1005,SMALL(IF(checklistPesertaKemenkeu!$AY$6:$AY$1005="Direkomendasikan",ROW($6:$1005)-5),111)),BidangList,0)),INDEX(checklistPesertaKemenkeu!$N$6:$N$1005,SMALL(IF(checklistPesertaKemenkeu!$AY$6:$AY$1005="Direkomendasikan",ROW($6:$1005)-5),111)))&gt;0,COUNTIF(INDIRECT("'KERTAS KERJA'!K"&amp;(SMALL(IF(checklistPesertaKemenkeu!$AY$6:$AY$1005="Direkomendasikan",ROW($6:$1005)-5),111)+5)&amp;":O"&amp;(SMALL(IF(checklistPesertaKemenkeu!$AY$6:$AY$1005="Direkomendasikan",ROW($6:$1005)-5),111)+5)),INDEX(checklistPesertaKemenkeu!$N$6:$N$1005,SMALL(IF(checklistPesertaKemenkeu!$AY$6:$AY$1005="Direkomendasikan",ROW($6:$1005)-5),111)))=1),IFERROR(VLOOKUP(INDEX(checklistPesertaKemenkeu!$N$6:$N$1005,SMALL(IF(checklistPesertaKemenkeu!$AY$6:$AY$1005="Direkomendasikan",ROW($6:$1005)-5),111)),KotaKode,2,0),"-"),"")),"")</f>
        <v/>
      </c>
      <c r="K112" t="str">
        <f t="array" aca="1" ref="K112" ca="1">IFERROR(IF(OR(INDEX(checklistPesertaKemenkeu!$O$6:$O$1005,SMALL(IF(checklistPesertaKemenkeu!$AY$6:$AY$1005="Direkomendasikan",ROW($6:$1005)-5),111))="",INDEX(checklistPesertaKemenkeu!$J$6:$J$1005,SMALL(IF(checklistPesertaKemenkeu!$AY$6:$AY$1005="Direkomendasikan",ROW($6:$1005)-5),111))=""),"",IF(AND(COUNTIF(INDIRECT("K_"&amp;MATCH(INDEX(checklistPesertaKemenkeu!$J$6:$J$1005,SMALL(IF(checklistPesertaKemenkeu!$AY$6:$AY$1005="Direkomendasikan",ROW($6:$1005)-5),111)),BidangList,0)),INDEX(checklistPesertaKemenkeu!$O$6:$O$1005,SMALL(IF(checklistPesertaKemenkeu!$AY$6:$AY$1005="Direkomendasikan",ROW($6:$1005)-5),111)))&gt;0,COUNTIF(INDIRECT("'KERTAS KERJA'!K"&amp;(SMALL(IF(checklistPesertaKemenkeu!$AY$6:$AY$1005="Direkomendasikan",ROW($6:$1005)-5),111)+5)&amp;":O"&amp;(SMALL(IF(checklistPesertaKemenkeu!$AY$6:$AY$1005="Direkomendasikan",ROW($6:$1005)-5),111)+5)),INDEX(checklistPesertaKemenkeu!$O$6:$O$1005,SMALL(IF(checklistPesertaKemenkeu!$AY$6:$AY$1005="Direkomendasikan",ROW($6:$1005)-5),111)))=1),IFERROR(VLOOKUP(INDEX(checklistPesertaKemenkeu!$O$6:$O$1005,SMALL(IF(checklistPesertaKemenkeu!$AY$6:$AY$1005="Direkomendasikan",ROW($6:$1005)-5),111)),KotaKode,2,0),"-"),"")),"")</f>
        <v/>
      </c>
      <c r="L112" t="str">
        <f t="array" aca="1" ref="L112" ca="1">IFERROR(IF(OR(INDEX(checklistPesertaKemenkeu!$P$6:$P$1005,SMALL(IF(checklistPesertaKemenkeu!$AY$6:$AY$1005="Direkomendasikan",ROW($6:$1005)-5),111))="",INDEX(checklistPesertaKemenkeu!$J$6:$J$1005,SMALL(IF(checklistPesertaKemenkeu!$AY$6:$AY$1005="Direkomendasikan",ROW($6:$1005)-5),111))=""),"",IF(AND(COUNTIF(INDIRECT("K_"&amp;MATCH(INDEX(checklistPesertaKemenkeu!$J$6:$J$1005,SMALL(IF(checklistPesertaKemenkeu!$AY$6:$AY$1005="Direkomendasikan",ROW($6:$1005)-5),111)),BidangList,0)),INDEX(checklistPesertaKemenkeu!$P$6:$P$1005,SMALL(IF(checklistPesertaKemenkeu!$AY$6:$AY$1005="Direkomendasikan",ROW($6:$1005)-5),111)))&gt;0,COUNTIF(INDIRECT("'KERTAS KERJA'!K"&amp;(SMALL(IF(checklistPesertaKemenkeu!$AY$6:$AY$1005="Direkomendasikan",ROW($6:$1005)-5),111)+5)&amp;":O"&amp;(SMALL(IF(checklistPesertaKemenkeu!$AY$6:$AY$1005="Direkomendasikan",ROW($6:$1005)-5),111)+5)),INDEX(checklistPesertaKemenkeu!$P$6:$P$1005,SMALL(IF(checklistPesertaKemenkeu!$AY$6:$AY$1005="Direkomendasikan",ROW($6:$1005)-5),111)))=1),IFERROR(VLOOKUP(INDEX(checklistPesertaKemenkeu!$P$6:$P$1005,SMALL(IF(checklistPesertaKemenkeu!$AY$6:$AY$1005="Direkomendasikan",ROW($6:$1005)-5),111)),KotaKode,2,0),"-"),"")),"")</f>
        <v/>
      </c>
    </row>
    <row r="113" spans="1:12" ht="15" customHeight="1" x14ac:dyDescent="0.2">
      <c r="A113" t="str">
        <f t="shared" si="1"/>
        <v/>
      </c>
      <c r="B113" t="str">
        <v/>
      </c>
      <c r="C113" s="40" t="str">
        <f t="array" ref="C113">IFERROR(INDEX(checklistPesertaKemenkeu!$F$6:$F$1005,SMALL(IF(checklistPesertaKemenkeu!$AY$6:$AY$1005="Direkomendasikan",ROW($6:$1005)-5),112)),"")</f>
        <v/>
      </c>
      <c r="D113" t="str">
        <f t="array" ref="D113">IFERROR(INDEX(checklistPesertaKemenkeu!$G$6:$G$1005,SMALL(IF(checklistPesertaKemenkeu!$AY$6:$AY$1005="Direkomendasikan",ROW($6:$1005)-5),112)),"")</f>
        <v/>
      </c>
      <c r="E113" t="str">
        <f t="array" ref="E113">IFERROR(INDEX(checklistPesertaKemenkeu!$H$6:$H$1005,SMALL(IF(checklistPesertaKemenkeu!$AY$6:$AY$1005="Direkomendasikan",ROW($6:$1005)-5),112)),"")</f>
        <v/>
      </c>
      <c r="F113" t="str">
        <f t="array" ref="F113">IFERROR(INDEX(checklistPesertaKemenkeu!$I$6:$I$1005,SMALL(IF(checklistPesertaKemenkeu!$AY$6:$AY$1005="Direkomendasikan",ROW($6:$1005)-5),112)),"")</f>
        <v/>
      </c>
      <c r="G113" t="str">
        <f t="array" ref="G113">IFERROR(INDEX(checklistPesertaKemenkeu!$J$6:$J$1005,SMALL(IF(checklistPesertaKemenkeu!$AY$6:$AY$1005="Direkomendasikan",ROW($6:$1005)-5),112)),"")</f>
        <v/>
      </c>
      <c r="H113" t="str">
        <f t="array" aca="1" ref="H113" ca="1">IFERROR(IF(OR(INDEX(checklistPesertaKemenkeu!$L$6:$L$1005,SMALL(IF(checklistPesertaKemenkeu!$AY$6:$AY$1005="Direkomendasikan",ROW($6:$1005)-5),112))="",INDEX(checklistPesertaKemenkeu!$J$6:$J$1005,SMALL(IF(checklistPesertaKemenkeu!$AY$6:$AY$1005="Direkomendasikan",ROW($6:$1005)-5),112))=""),"",IF(AND(COUNTIF(INDIRECT("K_"&amp;MATCH(INDEX(checklistPesertaKemenkeu!$J$6:$J$1005,SMALL(IF(checklistPesertaKemenkeu!$AY$6:$AY$1005="Direkomendasikan",ROW($6:$1005)-5),112)),BidangList,0)),INDEX(checklistPesertaKemenkeu!$L$6:$L$1005,SMALL(IF(checklistPesertaKemenkeu!$AY$6:$AY$1005="Direkomendasikan",ROW($6:$1005)-5),112)))&gt;0,COUNTIF(INDIRECT("'KERTAS KERJA'!K"&amp;(SMALL(IF(checklistPesertaKemenkeu!$AY$6:$AY$1005="Direkomendasikan",ROW($6:$1005)-5),112)+5)&amp;":O"&amp;(SMALL(IF(checklistPesertaKemenkeu!$AY$6:$AY$1005="Direkomendasikan",ROW($6:$1005)-5),112)+5)),INDEX(checklistPesertaKemenkeu!$L$6:$L$1005,SMALL(IF(checklistPesertaKemenkeu!$AY$6:$AY$1005="Direkomendasikan",ROW($6:$1005)-5),112)))=1),IFERROR(VLOOKUP(INDEX(checklistPesertaKemenkeu!$L$6:$L$1005,SMALL(IF(checklistPesertaKemenkeu!$AY$6:$AY$1005="Direkomendasikan",ROW($6:$1005)-5),112)),KotaKode,2,0),"-"),"")),"")</f>
        <v/>
      </c>
      <c r="I113" t="str">
        <f t="array" aca="1" ref="I113" ca="1">IFERROR(IF(OR(INDEX(checklistPesertaKemenkeu!$M$6:$M$1005,SMALL(IF(checklistPesertaKemenkeu!$AY$6:$AY$1005="Direkomendasikan",ROW($6:$1005)-5),112))="",INDEX(checklistPesertaKemenkeu!$J$6:$J$1005,SMALL(IF(checklistPesertaKemenkeu!$AY$6:$AY$1005="Direkomendasikan",ROW($6:$1005)-5),112))=""),"",IF(AND(COUNTIF(INDIRECT("K_"&amp;MATCH(INDEX(checklistPesertaKemenkeu!$J$6:$J$1005,SMALL(IF(checklistPesertaKemenkeu!$AY$6:$AY$1005="Direkomendasikan",ROW($6:$1005)-5),112)),BidangList,0)),INDEX(checklistPesertaKemenkeu!$M$6:$M$1005,SMALL(IF(checklistPesertaKemenkeu!$AY$6:$AY$1005="Direkomendasikan",ROW($6:$1005)-5),112)))&gt;0,COUNTIF(INDIRECT("'KERTAS KERJA'!K"&amp;(SMALL(IF(checklistPesertaKemenkeu!$AY$6:$AY$1005="Direkomendasikan",ROW($6:$1005)-5),112)+5)&amp;":O"&amp;(SMALL(IF(checklistPesertaKemenkeu!$AY$6:$AY$1005="Direkomendasikan",ROW($6:$1005)-5),112)+5)),INDEX(checklistPesertaKemenkeu!$M$6:$M$1005,SMALL(IF(checklistPesertaKemenkeu!$AY$6:$AY$1005="Direkomendasikan",ROW($6:$1005)-5),112)))=1),IFERROR(VLOOKUP(INDEX(checklistPesertaKemenkeu!$M$6:$M$1005,SMALL(IF(checklistPesertaKemenkeu!$AY$6:$AY$1005="Direkomendasikan",ROW($6:$1005)-5),112)),KotaKode,2,0),"-"),"")),"")</f>
        <v/>
      </c>
      <c r="J113" t="str">
        <f t="array" aca="1" ref="J113" ca="1">IFERROR(IF(OR(INDEX(checklistPesertaKemenkeu!$N$6:$N$1005,SMALL(IF(checklistPesertaKemenkeu!$AY$6:$AY$1005="Direkomendasikan",ROW($6:$1005)-5),112))="",INDEX(checklistPesertaKemenkeu!$J$6:$J$1005,SMALL(IF(checklistPesertaKemenkeu!$AY$6:$AY$1005="Direkomendasikan",ROW($6:$1005)-5),112))=""),"",IF(AND(COUNTIF(INDIRECT("K_"&amp;MATCH(INDEX(checklistPesertaKemenkeu!$J$6:$J$1005,SMALL(IF(checklistPesertaKemenkeu!$AY$6:$AY$1005="Direkomendasikan",ROW($6:$1005)-5),112)),BidangList,0)),INDEX(checklistPesertaKemenkeu!$N$6:$N$1005,SMALL(IF(checklistPesertaKemenkeu!$AY$6:$AY$1005="Direkomendasikan",ROW($6:$1005)-5),112)))&gt;0,COUNTIF(INDIRECT("'KERTAS KERJA'!K"&amp;(SMALL(IF(checklistPesertaKemenkeu!$AY$6:$AY$1005="Direkomendasikan",ROW($6:$1005)-5),112)+5)&amp;":O"&amp;(SMALL(IF(checklistPesertaKemenkeu!$AY$6:$AY$1005="Direkomendasikan",ROW($6:$1005)-5),112)+5)),INDEX(checklistPesertaKemenkeu!$N$6:$N$1005,SMALL(IF(checklistPesertaKemenkeu!$AY$6:$AY$1005="Direkomendasikan",ROW($6:$1005)-5),112)))=1),IFERROR(VLOOKUP(INDEX(checklistPesertaKemenkeu!$N$6:$N$1005,SMALL(IF(checklistPesertaKemenkeu!$AY$6:$AY$1005="Direkomendasikan",ROW($6:$1005)-5),112)),KotaKode,2,0),"-"),"")),"")</f>
        <v/>
      </c>
      <c r="K113" t="str">
        <f t="array" aca="1" ref="K113" ca="1">IFERROR(IF(OR(INDEX(checklistPesertaKemenkeu!$O$6:$O$1005,SMALL(IF(checklistPesertaKemenkeu!$AY$6:$AY$1005="Direkomendasikan",ROW($6:$1005)-5),112))="",INDEX(checklistPesertaKemenkeu!$J$6:$J$1005,SMALL(IF(checklistPesertaKemenkeu!$AY$6:$AY$1005="Direkomendasikan",ROW($6:$1005)-5),112))=""),"",IF(AND(COUNTIF(INDIRECT("K_"&amp;MATCH(INDEX(checklistPesertaKemenkeu!$J$6:$J$1005,SMALL(IF(checklistPesertaKemenkeu!$AY$6:$AY$1005="Direkomendasikan",ROW($6:$1005)-5),112)),BidangList,0)),INDEX(checklistPesertaKemenkeu!$O$6:$O$1005,SMALL(IF(checklistPesertaKemenkeu!$AY$6:$AY$1005="Direkomendasikan",ROW($6:$1005)-5),112)))&gt;0,COUNTIF(INDIRECT("'KERTAS KERJA'!K"&amp;(SMALL(IF(checklistPesertaKemenkeu!$AY$6:$AY$1005="Direkomendasikan",ROW($6:$1005)-5),112)+5)&amp;":O"&amp;(SMALL(IF(checklistPesertaKemenkeu!$AY$6:$AY$1005="Direkomendasikan",ROW($6:$1005)-5),112)+5)),INDEX(checklistPesertaKemenkeu!$O$6:$O$1005,SMALL(IF(checklistPesertaKemenkeu!$AY$6:$AY$1005="Direkomendasikan",ROW($6:$1005)-5),112)))=1),IFERROR(VLOOKUP(INDEX(checklistPesertaKemenkeu!$O$6:$O$1005,SMALL(IF(checklistPesertaKemenkeu!$AY$6:$AY$1005="Direkomendasikan",ROW($6:$1005)-5),112)),KotaKode,2,0),"-"),"")),"")</f>
        <v/>
      </c>
      <c r="L113" t="str">
        <f t="array" aca="1" ref="L113" ca="1">IFERROR(IF(OR(INDEX(checklistPesertaKemenkeu!$P$6:$P$1005,SMALL(IF(checklistPesertaKemenkeu!$AY$6:$AY$1005="Direkomendasikan",ROW($6:$1005)-5),112))="",INDEX(checklistPesertaKemenkeu!$J$6:$J$1005,SMALL(IF(checklistPesertaKemenkeu!$AY$6:$AY$1005="Direkomendasikan",ROW($6:$1005)-5),112))=""),"",IF(AND(COUNTIF(INDIRECT("K_"&amp;MATCH(INDEX(checklistPesertaKemenkeu!$J$6:$J$1005,SMALL(IF(checklistPesertaKemenkeu!$AY$6:$AY$1005="Direkomendasikan",ROW($6:$1005)-5),112)),BidangList,0)),INDEX(checklistPesertaKemenkeu!$P$6:$P$1005,SMALL(IF(checklistPesertaKemenkeu!$AY$6:$AY$1005="Direkomendasikan",ROW($6:$1005)-5),112)))&gt;0,COUNTIF(INDIRECT("'KERTAS KERJA'!K"&amp;(SMALL(IF(checklistPesertaKemenkeu!$AY$6:$AY$1005="Direkomendasikan",ROW($6:$1005)-5),112)+5)&amp;":O"&amp;(SMALL(IF(checklistPesertaKemenkeu!$AY$6:$AY$1005="Direkomendasikan",ROW($6:$1005)-5),112)+5)),INDEX(checklistPesertaKemenkeu!$P$6:$P$1005,SMALL(IF(checklistPesertaKemenkeu!$AY$6:$AY$1005="Direkomendasikan",ROW($6:$1005)-5),112)))=1),IFERROR(VLOOKUP(INDEX(checklistPesertaKemenkeu!$P$6:$P$1005,SMALL(IF(checklistPesertaKemenkeu!$AY$6:$AY$1005="Direkomendasikan",ROW($6:$1005)-5),112)),KotaKode,2,0),"-"),"")),"")</f>
        <v/>
      </c>
    </row>
    <row r="114" spans="1:12" ht="15" customHeight="1" x14ac:dyDescent="0.2">
      <c r="A114" t="str">
        <f t="shared" si="1"/>
        <v/>
      </c>
      <c r="B114" t="str">
        <v/>
      </c>
      <c r="C114" s="40" t="str">
        <f t="array" ref="C114">IFERROR(INDEX(checklistPesertaKemenkeu!$F$6:$F$1005,SMALL(IF(checklistPesertaKemenkeu!$AY$6:$AY$1005="Direkomendasikan",ROW($6:$1005)-5),113)),"")</f>
        <v/>
      </c>
      <c r="D114" t="str">
        <f t="array" ref="D114">IFERROR(INDEX(checklistPesertaKemenkeu!$G$6:$G$1005,SMALL(IF(checklistPesertaKemenkeu!$AY$6:$AY$1005="Direkomendasikan",ROW($6:$1005)-5),113)),"")</f>
        <v/>
      </c>
      <c r="E114" t="str">
        <f t="array" ref="E114">IFERROR(INDEX(checklistPesertaKemenkeu!$H$6:$H$1005,SMALL(IF(checklistPesertaKemenkeu!$AY$6:$AY$1005="Direkomendasikan",ROW($6:$1005)-5),113)),"")</f>
        <v/>
      </c>
      <c r="F114" t="str">
        <f t="array" ref="F114">IFERROR(INDEX(checklistPesertaKemenkeu!$I$6:$I$1005,SMALL(IF(checklistPesertaKemenkeu!$AY$6:$AY$1005="Direkomendasikan",ROW($6:$1005)-5),113)),"")</f>
        <v/>
      </c>
      <c r="G114" t="str">
        <f t="array" ref="G114">IFERROR(INDEX(checklistPesertaKemenkeu!$J$6:$J$1005,SMALL(IF(checklistPesertaKemenkeu!$AY$6:$AY$1005="Direkomendasikan",ROW($6:$1005)-5),113)),"")</f>
        <v/>
      </c>
      <c r="H114" t="str">
        <f t="array" aca="1" ref="H114" ca="1">IFERROR(IF(OR(INDEX(checklistPesertaKemenkeu!$L$6:$L$1005,SMALL(IF(checklistPesertaKemenkeu!$AY$6:$AY$1005="Direkomendasikan",ROW($6:$1005)-5),113))="",INDEX(checklistPesertaKemenkeu!$J$6:$J$1005,SMALL(IF(checklistPesertaKemenkeu!$AY$6:$AY$1005="Direkomendasikan",ROW($6:$1005)-5),113))=""),"",IF(AND(COUNTIF(INDIRECT("K_"&amp;MATCH(INDEX(checklistPesertaKemenkeu!$J$6:$J$1005,SMALL(IF(checklistPesertaKemenkeu!$AY$6:$AY$1005="Direkomendasikan",ROW($6:$1005)-5),113)),BidangList,0)),INDEX(checklistPesertaKemenkeu!$L$6:$L$1005,SMALL(IF(checklistPesertaKemenkeu!$AY$6:$AY$1005="Direkomendasikan",ROW($6:$1005)-5),113)))&gt;0,COUNTIF(INDIRECT("'KERTAS KERJA'!K"&amp;(SMALL(IF(checklistPesertaKemenkeu!$AY$6:$AY$1005="Direkomendasikan",ROW($6:$1005)-5),113)+5)&amp;":O"&amp;(SMALL(IF(checklistPesertaKemenkeu!$AY$6:$AY$1005="Direkomendasikan",ROW($6:$1005)-5),113)+5)),INDEX(checklistPesertaKemenkeu!$L$6:$L$1005,SMALL(IF(checklistPesertaKemenkeu!$AY$6:$AY$1005="Direkomendasikan",ROW($6:$1005)-5),113)))=1),IFERROR(VLOOKUP(INDEX(checklistPesertaKemenkeu!$L$6:$L$1005,SMALL(IF(checklistPesertaKemenkeu!$AY$6:$AY$1005="Direkomendasikan",ROW($6:$1005)-5),113)),KotaKode,2,0),"-"),"")),"")</f>
        <v/>
      </c>
      <c r="I114" t="str">
        <f t="array" aca="1" ref="I114" ca="1">IFERROR(IF(OR(INDEX(checklistPesertaKemenkeu!$M$6:$M$1005,SMALL(IF(checklistPesertaKemenkeu!$AY$6:$AY$1005="Direkomendasikan",ROW($6:$1005)-5),113))="",INDEX(checklistPesertaKemenkeu!$J$6:$J$1005,SMALL(IF(checklistPesertaKemenkeu!$AY$6:$AY$1005="Direkomendasikan",ROW($6:$1005)-5),113))=""),"",IF(AND(COUNTIF(INDIRECT("K_"&amp;MATCH(INDEX(checklistPesertaKemenkeu!$J$6:$J$1005,SMALL(IF(checklistPesertaKemenkeu!$AY$6:$AY$1005="Direkomendasikan",ROW($6:$1005)-5),113)),BidangList,0)),INDEX(checklistPesertaKemenkeu!$M$6:$M$1005,SMALL(IF(checklistPesertaKemenkeu!$AY$6:$AY$1005="Direkomendasikan",ROW($6:$1005)-5),113)))&gt;0,COUNTIF(INDIRECT("'KERTAS KERJA'!K"&amp;(SMALL(IF(checklistPesertaKemenkeu!$AY$6:$AY$1005="Direkomendasikan",ROW($6:$1005)-5),113)+5)&amp;":O"&amp;(SMALL(IF(checklistPesertaKemenkeu!$AY$6:$AY$1005="Direkomendasikan",ROW($6:$1005)-5),113)+5)),INDEX(checklistPesertaKemenkeu!$M$6:$M$1005,SMALL(IF(checklistPesertaKemenkeu!$AY$6:$AY$1005="Direkomendasikan",ROW($6:$1005)-5),113)))=1),IFERROR(VLOOKUP(INDEX(checklistPesertaKemenkeu!$M$6:$M$1005,SMALL(IF(checklistPesertaKemenkeu!$AY$6:$AY$1005="Direkomendasikan",ROW($6:$1005)-5),113)),KotaKode,2,0),"-"),"")),"")</f>
        <v/>
      </c>
      <c r="J114" t="str">
        <f t="array" aca="1" ref="J114" ca="1">IFERROR(IF(OR(INDEX(checklistPesertaKemenkeu!$N$6:$N$1005,SMALL(IF(checklistPesertaKemenkeu!$AY$6:$AY$1005="Direkomendasikan",ROW($6:$1005)-5),113))="",INDEX(checklistPesertaKemenkeu!$J$6:$J$1005,SMALL(IF(checklistPesertaKemenkeu!$AY$6:$AY$1005="Direkomendasikan",ROW($6:$1005)-5),113))=""),"",IF(AND(COUNTIF(INDIRECT("K_"&amp;MATCH(INDEX(checklistPesertaKemenkeu!$J$6:$J$1005,SMALL(IF(checklistPesertaKemenkeu!$AY$6:$AY$1005="Direkomendasikan",ROW($6:$1005)-5),113)),BidangList,0)),INDEX(checklistPesertaKemenkeu!$N$6:$N$1005,SMALL(IF(checklistPesertaKemenkeu!$AY$6:$AY$1005="Direkomendasikan",ROW($6:$1005)-5),113)))&gt;0,COUNTIF(INDIRECT("'KERTAS KERJA'!K"&amp;(SMALL(IF(checklistPesertaKemenkeu!$AY$6:$AY$1005="Direkomendasikan",ROW($6:$1005)-5),113)+5)&amp;":O"&amp;(SMALL(IF(checklistPesertaKemenkeu!$AY$6:$AY$1005="Direkomendasikan",ROW($6:$1005)-5),113)+5)),INDEX(checklistPesertaKemenkeu!$N$6:$N$1005,SMALL(IF(checklistPesertaKemenkeu!$AY$6:$AY$1005="Direkomendasikan",ROW($6:$1005)-5),113)))=1),IFERROR(VLOOKUP(INDEX(checklistPesertaKemenkeu!$N$6:$N$1005,SMALL(IF(checklistPesertaKemenkeu!$AY$6:$AY$1005="Direkomendasikan",ROW($6:$1005)-5),113)),KotaKode,2,0),"-"),"")),"")</f>
        <v/>
      </c>
      <c r="K114" t="str">
        <f t="array" aca="1" ref="K114" ca="1">IFERROR(IF(OR(INDEX(checklistPesertaKemenkeu!$O$6:$O$1005,SMALL(IF(checklistPesertaKemenkeu!$AY$6:$AY$1005="Direkomendasikan",ROW($6:$1005)-5),113))="",INDEX(checklistPesertaKemenkeu!$J$6:$J$1005,SMALL(IF(checklistPesertaKemenkeu!$AY$6:$AY$1005="Direkomendasikan",ROW($6:$1005)-5),113))=""),"",IF(AND(COUNTIF(INDIRECT("K_"&amp;MATCH(INDEX(checklistPesertaKemenkeu!$J$6:$J$1005,SMALL(IF(checklistPesertaKemenkeu!$AY$6:$AY$1005="Direkomendasikan",ROW($6:$1005)-5),113)),BidangList,0)),INDEX(checklistPesertaKemenkeu!$O$6:$O$1005,SMALL(IF(checklistPesertaKemenkeu!$AY$6:$AY$1005="Direkomendasikan",ROW($6:$1005)-5),113)))&gt;0,COUNTIF(INDIRECT("'KERTAS KERJA'!K"&amp;(SMALL(IF(checklistPesertaKemenkeu!$AY$6:$AY$1005="Direkomendasikan",ROW($6:$1005)-5),113)+5)&amp;":O"&amp;(SMALL(IF(checklistPesertaKemenkeu!$AY$6:$AY$1005="Direkomendasikan",ROW($6:$1005)-5),113)+5)),INDEX(checklistPesertaKemenkeu!$O$6:$O$1005,SMALL(IF(checklistPesertaKemenkeu!$AY$6:$AY$1005="Direkomendasikan",ROW($6:$1005)-5),113)))=1),IFERROR(VLOOKUP(INDEX(checklistPesertaKemenkeu!$O$6:$O$1005,SMALL(IF(checklistPesertaKemenkeu!$AY$6:$AY$1005="Direkomendasikan",ROW($6:$1005)-5),113)),KotaKode,2,0),"-"),"")),"")</f>
        <v/>
      </c>
      <c r="L114" t="str">
        <f t="array" aca="1" ref="L114" ca="1">IFERROR(IF(OR(INDEX(checklistPesertaKemenkeu!$P$6:$P$1005,SMALL(IF(checklistPesertaKemenkeu!$AY$6:$AY$1005="Direkomendasikan",ROW($6:$1005)-5),113))="",INDEX(checklistPesertaKemenkeu!$J$6:$J$1005,SMALL(IF(checklistPesertaKemenkeu!$AY$6:$AY$1005="Direkomendasikan",ROW($6:$1005)-5),113))=""),"",IF(AND(COUNTIF(INDIRECT("K_"&amp;MATCH(INDEX(checklistPesertaKemenkeu!$J$6:$J$1005,SMALL(IF(checklistPesertaKemenkeu!$AY$6:$AY$1005="Direkomendasikan",ROW($6:$1005)-5),113)),BidangList,0)),INDEX(checklistPesertaKemenkeu!$P$6:$P$1005,SMALL(IF(checklistPesertaKemenkeu!$AY$6:$AY$1005="Direkomendasikan",ROW($6:$1005)-5),113)))&gt;0,COUNTIF(INDIRECT("'KERTAS KERJA'!K"&amp;(SMALL(IF(checklistPesertaKemenkeu!$AY$6:$AY$1005="Direkomendasikan",ROW($6:$1005)-5),113)+5)&amp;":O"&amp;(SMALL(IF(checklistPesertaKemenkeu!$AY$6:$AY$1005="Direkomendasikan",ROW($6:$1005)-5),113)+5)),INDEX(checklistPesertaKemenkeu!$P$6:$P$1005,SMALL(IF(checklistPesertaKemenkeu!$AY$6:$AY$1005="Direkomendasikan",ROW($6:$1005)-5),113)))=1),IFERROR(VLOOKUP(INDEX(checklistPesertaKemenkeu!$P$6:$P$1005,SMALL(IF(checklistPesertaKemenkeu!$AY$6:$AY$1005="Direkomendasikan",ROW($6:$1005)-5),113)),KotaKode,2,0),"-"),"")),"")</f>
        <v/>
      </c>
    </row>
    <row r="115" spans="1:12" ht="15" customHeight="1" x14ac:dyDescent="0.2">
      <c r="A115" t="str">
        <f t="shared" si="1"/>
        <v/>
      </c>
      <c r="B115" t="str">
        <v/>
      </c>
      <c r="C115" s="40" t="str">
        <f t="array" ref="C115">IFERROR(INDEX(checklistPesertaKemenkeu!$F$6:$F$1005,SMALL(IF(checklistPesertaKemenkeu!$AY$6:$AY$1005="Direkomendasikan",ROW($6:$1005)-5),114)),"")</f>
        <v/>
      </c>
      <c r="D115" t="str">
        <f t="array" ref="D115">IFERROR(INDEX(checklistPesertaKemenkeu!$G$6:$G$1005,SMALL(IF(checklistPesertaKemenkeu!$AY$6:$AY$1005="Direkomendasikan",ROW($6:$1005)-5),114)),"")</f>
        <v/>
      </c>
      <c r="E115" t="str">
        <f t="array" ref="E115">IFERROR(INDEX(checklistPesertaKemenkeu!$H$6:$H$1005,SMALL(IF(checklistPesertaKemenkeu!$AY$6:$AY$1005="Direkomendasikan",ROW($6:$1005)-5),114)),"")</f>
        <v/>
      </c>
      <c r="F115" t="str">
        <f t="array" ref="F115">IFERROR(INDEX(checklistPesertaKemenkeu!$I$6:$I$1005,SMALL(IF(checklistPesertaKemenkeu!$AY$6:$AY$1005="Direkomendasikan",ROW($6:$1005)-5),114)),"")</f>
        <v/>
      </c>
      <c r="G115" t="str">
        <f t="array" ref="G115">IFERROR(INDEX(checklistPesertaKemenkeu!$J$6:$J$1005,SMALL(IF(checklistPesertaKemenkeu!$AY$6:$AY$1005="Direkomendasikan",ROW($6:$1005)-5),114)),"")</f>
        <v/>
      </c>
      <c r="H115" t="str">
        <f t="array" aca="1" ref="H115" ca="1">IFERROR(IF(OR(INDEX(checklistPesertaKemenkeu!$L$6:$L$1005,SMALL(IF(checklistPesertaKemenkeu!$AY$6:$AY$1005="Direkomendasikan",ROW($6:$1005)-5),114))="",INDEX(checklistPesertaKemenkeu!$J$6:$J$1005,SMALL(IF(checklistPesertaKemenkeu!$AY$6:$AY$1005="Direkomendasikan",ROW($6:$1005)-5),114))=""),"",IF(AND(COUNTIF(INDIRECT("K_"&amp;MATCH(INDEX(checklistPesertaKemenkeu!$J$6:$J$1005,SMALL(IF(checklistPesertaKemenkeu!$AY$6:$AY$1005="Direkomendasikan",ROW($6:$1005)-5),114)),BidangList,0)),INDEX(checklistPesertaKemenkeu!$L$6:$L$1005,SMALL(IF(checklistPesertaKemenkeu!$AY$6:$AY$1005="Direkomendasikan",ROW($6:$1005)-5),114)))&gt;0,COUNTIF(INDIRECT("'KERTAS KERJA'!K"&amp;(SMALL(IF(checklistPesertaKemenkeu!$AY$6:$AY$1005="Direkomendasikan",ROW($6:$1005)-5),114)+5)&amp;":O"&amp;(SMALL(IF(checklistPesertaKemenkeu!$AY$6:$AY$1005="Direkomendasikan",ROW($6:$1005)-5),114)+5)),INDEX(checklistPesertaKemenkeu!$L$6:$L$1005,SMALL(IF(checklistPesertaKemenkeu!$AY$6:$AY$1005="Direkomendasikan",ROW($6:$1005)-5),114)))=1),IFERROR(VLOOKUP(INDEX(checklistPesertaKemenkeu!$L$6:$L$1005,SMALL(IF(checklistPesertaKemenkeu!$AY$6:$AY$1005="Direkomendasikan",ROW($6:$1005)-5),114)),KotaKode,2,0),"-"),"")),"")</f>
        <v/>
      </c>
      <c r="I115" t="str">
        <f t="array" aca="1" ref="I115" ca="1">IFERROR(IF(OR(INDEX(checklistPesertaKemenkeu!$M$6:$M$1005,SMALL(IF(checklistPesertaKemenkeu!$AY$6:$AY$1005="Direkomendasikan",ROW($6:$1005)-5),114))="",INDEX(checklistPesertaKemenkeu!$J$6:$J$1005,SMALL(IF(checklistPesertaKemenkeu!$AY$6:$AY$1005="Direkomendasikan",ROW($6:$1005)-5),114))=""),"",IF(AND(COUNTIF(INDIRECT("K_"&amp;MATCH(INDEX(checklistPesertaKemenkeu!$J$6:$J$1005,SMALL(IF(checklistPesertaKemenkeu!$AY$6:$AY$1005="Direkomendasikan",ROW($6:$1005)-5),114)),BidangList,0)),INDEX(checklistPesertaKemenkeu!$M$6:$M$1005,SMALL(IF(checklistPesertaKemenkeu!$AY$6:$AY$1005="Direkomendasikan",ROW($6:$1005)-5),114)))&gt;0,COUNTIF(INDIRECT("'KERTAS KERJA'!K"&amp;(SMALL(IF(checklistPesertaKemenkeu!$AY$6:$AY$1005="Direkomendasikan",ROW($6:$1005)-5),114)+5)&amp;":O"&amp;(SMALL(IF(checklistPesertaKemenkeu!$AY$6:$AY$1005="Direkomendasikan",ROW($6:$1005)-5),114)+5)),INDEX(checklistPesertaKemenkeu!$M$6:$M$1005,SMALL(IF(checklistPesertaKemenkeu!$AY$6:$AY$1005="Direkomendasikan",ROW($6:$1005)-5),114)))=1),IFERROR(VLOOKUP(INDEX(checklistPesertaKemenkeu!$M$6:$M$1005,SMALL(IF(checklistPesertaKemenkeu!$AY$6:$AY$1005="Direkomendasikan",ROW($6:$1005)-5),114)),KotaKode,2,0),"-"),"")),"")</f>
        <v/>
      </c>
      <c r="J115" t="str">
        <f t="array" aca="1" ref="J115" ca="1">IFERROR(IF(OR(INDEX(checklistPesertaKemenkeu!$N$6:$N$1005,SMALL(IF(checklistPesertaKemenkeu!$AY$6:$AY$1005="Direkomendasikan",ROW($6:$1005)-5),114))="",INDEX(checklistPesertaKemenkeu!$J$6:$J$1005,SMALL(IF(checklistPesertaKemenkeu!$AY$6:$AY$1005="Direkomendasikan",ROW($6:$1005)-5),114))=""),"",IF(AND(COUNTIF(INDIRECT("K_"&amp;MATCH(INDEX(checklistPesertaKemenkeu!$J$6:$J$1005,SMALL(IF(checklistPesertaKemenkeu!$AY$6:$AY$1005="Direkomendasikan",ROW($6:$1005)-5),114)),BidangList,0)),INDEX(checklistPesertaKemenkeu!$N$6:$N$1005,SMALL(IF(checklistPesertaKemenkeu!$AY$6:$AY$1005="Direkomendasikan",ROW($6:$1005)-5),114)))&gt;0,COUNTIF(INDIRECT("'KERTAS KERJA'!K"&amp;(SMALL(IF(checklistPesertaKemenkeu!$AY$6:$AY$1005="Direkomendasikan",ROW($6:$1005)-5),114)+5)&amp;":O"&amp;(SMALL(IF(checklistPesertaKemenkeu!$AY$6:$AY$1005="Direkomendasikan",ROW($6:$1005)-5),114)+5)),INDEX(checklistPesertaKemenkeu!$N$6:$N$1005,SMALL(IF(checklistPesertaKemenkeu!$AY$6:$AY$1005="Direkomendasikan",ROW($6:$1005)-5),114)))=1),IFERROR(VLOOKUP(INDEX(checklistPesertaKemenkeu!$N$6:$N$1005,SMALL(IF(checklistPesertaKemenkeu!$AY$6:$AY$1005="Direkomendasikan",ROW($6:$1005)-5),114)),KotaKode,2,0),"-"),"")),"")</f>
        <v/>
      </c>
      <c r="K115" t="str">
        <f t="array" aca="1" ref="K115" ca="1">IFERROR(IF(OR(INDEX(checklistPesertaKemenkeu!$O$6:$O$1005,SMALL(IF(checklistPesertaKemenkeu!$AY$6:$AY$1005="Direkomendasikan",ROW($6:$1005)-5),114))="",INDEX(checklistPesertaKemenkeu!$J$6:$J$1005,SMALL(IF(checklistPesertaKemenkeu!$AY$6:$AY$1005="Direkomendasikan",ROW($6:$1005)-5),114))=""),"",IF(AND(COUNTIF(INDIRECT("K_"&amp;MATCH(INDEX(checklistPesertaKemenkeu!$J$6:$J$1005,SMALL(IF(checklistPesertaKemenkeu!$AY$6:$AY$1005="Direkomendasikan",ROW($6:$1005)-5),114)),BidangList,0)),INDEX(checklistPesertaKemenkeu!$O$6:$O$1005,SMALL(IF(checklistPesertaKemenkeu!$AY$6:$AY$1005="Direkomendasikan",ROW($6:$1005)-5),114)))&gt;0,COUNTIF(INDIRECT("'KERTAS KERJA'!K"&amp;(SMALL(IF(checklistPesertaKemenkeu!$AY$6:$AY$1005="Direkomendasikan",ROW($6:$1005)-5),114)+5)&amp;":O"&amp;(SMALL(IF(checklistPesertaKemenkeu!$AY$6:$AY$1005="Direkomendasikan",ROW($6:$1005)-5),114)+5)),INDEX(checklistPesertaKemenkeu!$O$6:$O$1005,SMALL(IF(checklistPesertaKemenkeu!$AY$6:$AY$1005="Direkomendasikan",ROW($6:$1005)-5),114)))=1),IFERROR(VLOOKUP(INDEX(checklistPesertaKemenkeu!$O$6:$O$1005,SMALL(IF(checklistPesertaKemenkeu!$AY$6:$AY$1005="Direkomendasikan",ROW($6:$1005)-5),114)),KotaKode,2,0),"-"),"")),"")</f>
        <v/>
      </c>
      <c r="L115" t="str">
        <f t="array" aca="1" ref="L115" ca="1">IFERROR(IF(OR(INDEX(checklistPesertaKemenkeu!$P$6:$P$1005,SMALL(IF(checklistPesertaKemenkeu!$AY$6:$AY$1005="Direkomendasikan",ROW($6:$1005)-5),114))="",INDEX(checklistPesertaKemenkeu!$J$6:$J$1005,SMALL(IF(checklistPesertaKemenkeu!$AY$6:$AY$1005="Direkomendasikan",ROW($6:$1005)-5),114))=""),"",IF(AND(COUNTIF(INDIRECT("K_"&amp;MATCH(INDEX(checklistPesertaKemenkeu!$J$6:$J$1005,SMALL(IF(checklistPesertaKemenkeu!$AY$6:$AY$1005="Direkomendasikan",ROW($6:$1005)-5),114)),BidangList,0)),INDEX(checklistPesertaKemenkeu!$P$6:$P$1005,SMALL(IF(checklistPesertaKemenkeu!$AY$6:$AY$1005="Direkomendasikan",ROW($6:$1005)-5),114)))&gt;0,COUNTIF(INDIRECT("'KERTAS KERJA'!K"&amp;(SMALL(IF(checklistPesertaKemenkeu!$AY$6:$AY$1005="Direkomendasikan",ROW($6:$1005)-5),114)+5)&amp;":O"&amp;(SMALL(IF(checklistPesertaKemenkeu!$AY$6:$AY$1005="Direkomendasikan",ROW($6:$1005)-5),114)+5)),INDEX(checklistPesertaKemenkeu!$P$6:$P$1005,SMALL(IF(checklistPesertaKemenkeu!$AY$6:$AY$1005="Direkomendasikan",ROW($6:$1005)-5),114)))=1),IFERROR(VLOOKUP(INDEX(checklistPesertaKemenkeu!$P$6:$P$1005,SMALL(IF(checklistPesertaKemenkeu!$AY$6:$AY$1005="Direkomendasikan",ROW($6:$1005)-5),114)),KotaKode,2,0),"-"),"")),"")</f>
        <v/>
      </c>
    </row>
    <row r="116" spans="1:12" ht="15" customHeight="1" x14ac:dyDescent="0.2">
      <c r="A116" t="str">
        <f t="shared" si="1"/>
        <v/>
      </c>
      <c r="B116" t="str">
        <v/>
      </c>
      <c r="C116" s="40" t="str">
        <f t="array" ref="C116">IFERROR(INDEX(checklistPesertaKemenkeu!$F$6:$F$1005,SMALL(IF(checklistPesertaKemenkeu!$AY$6:$AY$1005="Direkomendasikan",ROW($6:$1005)-5),115)),"")</f>
        <v/>
      </c>
      <c r="D116" t="str">
        <f t="array" ref="D116">IFERROR(INDEX(checklistPesertaKemenkeu!$G$6:$G$1005,SMALL(IF(checklistPesertaKemenkeu!$AY$6:$AY$1005="Direkomendasikan",ROW($6:$1005)-5),115)),"")</f>
        <v/>
      </c>
      <c r="E116" t="str">
        <f t="array" ref="E116">IFERROR(INDEX(checklistPesertaKemenkeu!$H$6:$H$1005,SMALL(IF(checklistPesertaKemenkeu!$AY$6:$AY$1005="Direkomendasikan",ROW($6:$1005)-5),115)),"")</f>
        <v/>
      </c>
      <c r="F116" t="str">
        <f t="array" ref="F116">IFERROR(INDEX(checklistPesertaKemenkeu!$I$6:$I$1005,SMALL(IF(checklistPesertaKemenkeu!$AY$6:$AY$1005="Direkomendasikan",ROW($6:$1005)-5),115)),"")</f>
        <v/>
      </c>
      <c r="G116" t="str">
        <f t="array" ref="G116">IFERROR(INDEX(checklistPesertaKemenkeu!$J$6:$J$1005,SMALL(IF(checklistPesertaKemenkeu!$AY$6:$AY$1005="Direkomendasikan",ROW($6:$1005)-5),115)),"")</f>
        <v/>
      </c>
      <c r="H116" t="str">
        <f t="array" aca="1" ref="H116" ca="1">IFERROR(IF(OR(INDEX(checklistPesertaKemenkeu!$L$6:$L$1005,SMALL(IF(checklistPesertaKemenkeu!$AY$6:$AY$1005="Direkomendasikan",ROW($6:$1005)-5),115))="",INDEX(checklistPesertaKemenkeu!$J$6:$J$1005,SMALL(IF(checklistPesertaKemenkeu!$AY$6:$AY$1005="Direkomendasikan",ROW($6:$1005)-5),115))=""),"",IF(AND(COUNTIF(INDIRECT("K_"&amp;MATCH(INDEX(checklistPesertaKemenkeu!$J$6:$J$1005,SMALL(IF(checklistPesertaKemenkeu!$AY$6:$AY$1005="Direkomendasikan",ROW($6:$1005)-5),115)),BidangList,0)),INDEX(checklistPesertaKemenkeu!$L$6:$L$1005,SMALL(IF(checklistPesertaKemenkeu!$AY$6:$AY$1005="Direkomendasikan",ROW($6:$1005)-5),115)))&gt;0,COUNTIF(INDIRECT("'KERTAS KERJA'!K"&amp;(SMALL(IF(checklistPesertaKemenkeu!$AY$6:$AY$1005="Direkomendasikan",ROW($6:$1005)-5),115)+5)&amp;":O"&amp;(SMALL(IF(checklistPesertaKemenkeu!$AY$6:$AY$1005="Direkomendasikan",ROW($6:$1005)-5),115)+5)),INDEX(checklistPesertaKemenkeu!$L$6:$L$1005,SMALL(IF(checklistPesertaKemenkeu!$AY$6:$AY$1005="Direkomendasikan",ROW($6:$1005)-5),115)))=1),IFERROR(VLOOKUP(INDEX(checklistPesertaKemenkeu!$L$6:$L$1005,SMALL(IF(checklistPesertaKemenkeu!$AY$6:$AY$1005="Direkomendasikan",ROW($6:$1005)-5),115)),KotaKode,2,0),"-"),"")),"")</f>
        <v/>
      </c>
      <c r="I116" t="str">
        <f t="array" aca="1" ref="I116" ca="1">IFERROR(IF(OR(INDEX(checklistPesertaKemenkeu!$M$6:$M$1005,SMALL(IF(checklistPesertaKemenkeu!$AY$6:$AY$1005="Direkomendasikan",ROW($6:$1005)-5),115))="",INDEX(checklistPesertaKemenkeu!$J$6:$J$1005,SMALL(IF(checklistPesertaKemenkeu!$AY$6:$AY$1005="Direkomendasikan",ROW($6:$1005)-5),115))=""),"",IF(AND(COUNTIF(INDIRECT("K_"&amp;MATCH(INDEX(checklistPesertaKemenkeu!$J$6:$J$1005,SMALL(IF(checklistPesertaKemenkeu!$AY$6:$AY$1005="Direkomendasikan",ROW($6:$1005)-5),115)),BidangList,0)),INDEX(checklistPesertaKemenkeu!$M$6:$M$1005,SMALL(IF(checklistPesertaKemenkeu!$AY$6:$AY$1005="Direkomendasikan",ROW($6:$1005)-5),115)))&gt;0,COUNTIF(INDIRECT("'KERTAS KERJA'!K"&amp;(SMALL(IF(checklistPesertaKemenkeu!$AY$6:$AY$1005="Direkomendasikan",ROW($6:$1005)-5),115)+5)&amp;":O"&amp;(SMALL(IF(checklistPesertaKemenkeu!$AY$6:$AY$1005="Direkomendasikan",ROW($6:$1005)-5),115)+5)),INDEX(checklistPesertaKemenkeu!$M$6:$M$1005,SMALL(IF(checklistPesertaKemenkeu!$AY$6:$AY$1005="Direkomendasikan",ROW($6:$1005)-5),115)))=1),IFERROR(VLOOKUP(INDEX(checklistPesertaKemenkeu!$M$6:$M$1005,SMALL(IF(checklistPesertaKemenkeu!$AY$6:$AY$1005="Direkomendasikan",ROW($6:$1005)-5),115)),KotaKode,2,0),"-"),"")),"")</f>
        <v/>
      </c>
      <c r="J116" t="str">
        <f t="array" aca="1" ref="J116" ca="1">IFERROR(IF(OR(INDEX(checklistPesertaKemenkeu!$N$6:$N$1005,SMALL(IF(checklistPesertaKemenkeu!$AY$6:$AY$1005="Direkomendasikan",ROW($6:$1005)-5),115))="",INDEX(checklistPesertaKemenkeu!$J$6:$J$1005,SMALL(IF(checklistPesertaKemenkeu!$AY$6:$AY$1005="Direkomendasikan",ROW($6:$1005)-5),115))=""),"",IF(AND(COUNTIF(INDIRECT("K_"&amp;MATCH(INDEX(checklistPesertaKemenkeu!$J$6:$J$1005,SMALL(IF(checklistPesertaKemenkeu!$AY$6:$AY$1005="Direkomendasikan",ROW($6:$1005)-5),115)),BidangList,0)),INDEX(checklistPesertaKemenkeu!$N$6:$N$1005,SMALL(IF(checklistPesertaKemenkeu!$AY$6:$AY$1005="Direkomendasikan",ROW($6:$1005)-5),115)))&gt;0,COUNTIF(INDIRECT("'KERTAS KERJA'!K"&amp;(SMALL(IF(checklistPesertaKemenkeu!$AY$6:$AY$1005="Direkomendasikan",ROW($6:$1005)-5),115)+5)&amp;":O"&amp;(SMALL(IF(checklistPesertaKemenkeu!$AY$6:$AY$1005="Direkomendasikan",ROW($6:$1005)-5),115)+5)),INDEX(checklistPesertaKemenkeu!$N$6:$N$1005,SMALL(IF(checklistPesertaKemenkeu!$AY$6:$AY$1005="Direkomendasikan",ROW($6:$1005)-5),115)))=1),IFERROR(VLOOKUP(INDEX(checklistPesertaKemenkeu!$N$6:$N$1005,SMALL(IF(checklistPesertaKemenkeu!$AY$6:$AY$1005="Direkomendasikan",ROW($6:$1005)-5),115)),KotaKode,2,0),"-"),"")),"")</f>
        <v/>
      </c>
      <c r="K116" t="str">
        <f t="array" aca="1" ref="K116" ca="1">IFERROR(IF(OR(INDEX(checklistPesertaKemenkeu!$O$6:$O$1005,SMALL(IF(checklistPesertaKemenkeu!$AY$6:$AY$1005="Direkomendasikan",ROW($6:$1005)-5),115))="",INDEX(checklistPesertaKemenkeu!$J$6:$J$1005,SMALL(IF(checklistPesertaKemenkeu!$AY$6:$AY$1005="Direkomendasikan",ROW($6:$1005)-5),115))=""),"",IF(AND(COUNTIF(INDIRECT("K_"&amp;MATCH(INDEX(checklistPesertaKemenkeu!$J$6:$J$1005,SMALL(IF(checklistPesertaKemenkeu!$AY$6:$AY$1005="Direkomendasikan",ROW($6:$1005)-5),115)),BidangList,0)),INDEX(checklistPesertaKemenkeu!$O$6:$O$1005,SMALL(IF(checklistPesertaKemenkeu!$AY$6:$AY$1005="Direkomendasikan",ROW($6:$1005)-5),115)))&gt;0,COUNTIF(INDIRECT("'KERTAS KERJA'!K"&amp;(SMALL(IF(checklistPesertaKemenkeu!$AY$6:$AY$1005="Direkomendasikan",ROW($6:$1005)-5),115)+5)&amp;":O"&amp;(SMALL(IF(checklistPesertaKemenkeu!$AY$6:$AY$1005="Direkomendasikan",ROW($6:$1005)-5),115)+5)),INDEX(checklistPesertaKemenkeu!$O$6:$O$1005,SMALL(IF(checklistPesertaKemenkeu!$AY$6:$AY$1005="Direkomendasikan",ROW($6:$1005)-5),115)))=1),IFERROR(VLOOKUP(INDEX(checklistPesertaKemenkeu!$O$6:$O$1005,SMALL(IF(checklistPesertaKemenkeu!$AY$6:$AY$1005="Direkomendasikan",ROW($6:$1005)-5),115)),KotaKode,2,0),"-"),"")),"")</f>
        <v/>
      </c>
      <c r="L116" t="str">
        <f t="array" aca="1" ref="L116" ca="1">IFERROR(IF(OR(INDEX(checklistPesertaKemenkeu!$P$6:$P$1005,SMALL(IF(checklistPesertaKemenkeu!$AY$6:$AY$1005="Direkomendasikan",ROW($6:$1005)-5),115))="",INDEX(checklistPesertaKemenkeu!$J$6:$J$1005,SMALL(IF(checklistPesertaKemenkeu!$AY$6:$AY$1005="Direkomendasikan",ROW($6:$1005)-5),115))=""),"",IF(AND(COUNTIF(INDIRECT("K_"&amp;MATCH(INDEX(checklistPesertaKemenkeu!$J$6:$J$1005,SMALL(IF(checklistPesertaKemenkeu!$AY$6:$AY$1005="Direkomendasikan",ROW($6:$1005)-5),115)),BidangList,0)),INDEX(checklistPesertaKemenkeu!$P$6:$P$1005,SMALL(IF(checklistPesertaKemenkeu!$AY$6:$AY$1005="Direkomendasikan",ROW($6:$1005)-5),115)))&gt;0,COUNTIF(INDIRECT("'KERTAS KERJA'!K"&amp;(SMALL(IF(checklistPesertaKemenkeu!$AY$6:$AY$1005="Direkomendasikan",ROW($6:$1005)-5),115)+5)&amp;":O"&amp;(SMALL(IF(checklistPesertaKemenkeu!$AY$6:$AY$1005="Direkomendasikan",ROW($6:$1005)-5),115)+5)),INDEX(checklistPesertaKemenkeu!$P$6:$P$1005,SMALL(IF(checklistPesertaKemenkeu!$AY$6:$AY$1005="Direkomendasikan",ROW($6:$1005)-5),115)))=1),IFERROR(VLOOKUP(INDEX(checklistPesertaKemenkeu!$P$6:$P$1005,SMALL(IF(checklistPesertaKemenkeu!$AY$6:$AY$1005="Direkomendasikan",ROW($6:$1005)-5),115)),KotaKode,2,0),"-"),"")),"")</f>
        <v/>
      </c>
    </row>
    <row r="117" spans="1:12" ht="15" customHeight="1" x14ac:dyDescent="0.2">
      <c r="A117" t="str">
        <f t="shared" si="1"/>
        <v/>
      </c>
      <c r="B117" t="str">
        <v/>
      </c>
      <c r="C117" s="40" t="str">
        <f t="array" ref="C117">IFERROR(INDEX(checklistPesertaKemenkeu!$F$6:$F$1005,SMALL(IF(checklistPesertaKemenkeu!$AY$6:$AY$1005="Direkomendasikan",ROW($6:$1005)-5),116)),"")</f>
        <v/>
      </c>
      <c r="D117" t="str">
        <f t="array" ref="D117">IFERROR(INDEX(checklistPesertaKemenkeu!$G$6:$G$1005,SMALL(IF(checklistPesertaKemenkeu!$AY$6:$AY$1005="Direkomendasikan",ROW($6:$1005)-5),116)),"")</f>
        <v/>
      </c>
      <c r="E117" t="str">
        <f t="array" ref="E117">IFERROR(INDEX(checklistPesertaKemenkeu!$H$6:$H$1005,SMALL(IF(checklistPesertaKemenkeu!$AY$6:$AY$1005="Direkomendasikan",ROW($6:$1005)-5),116)),"")</f>
        <v/>
      </c>
      <c r="F117" t="str">
        <f t="array" ref="F117">IFERROR(INDEX(checklistPesertaKemenkeu!$I$6:$I$1005,SMALL(IF(checklistPesertaKemenkeu!$AY$6:$AY$1005="Direkomendasikan",ROW($6:$1005)-5),116)),"")</f>
        <v/>
      </c>
      <c r="G117" t="str">
        <f t="array" ref="G117">IFERROR(INDEX(checklistPesertaKemenkeu!$J$6:$J$1005,SMALL(IF(checklistPesertaKemenkeu!$AY$6:$AY$1005="Direkomendasikan",ROW($6:$1005)-5),116)),"")</f>
        <v/>
      </c>
      <c r="H117" t="str">
        <f t="array" aca="1" ref="H117" ca="1">IFERROR(IF(OR(INDEX(checklistPesertaKemenkeu!$L$6:$L$1005,SMALL(IF(checklistPesertaKemenkeu!$AY$6:$AY$1005="Direkomendasikan",ROW($6:$1005)-5),116))="",INDEX(checklistPesertaKemenkeu!$J$6:$J$1005,SMALL(IF(checklistPesertaKemenkeu!$AY$6:$AY$1005="Direkomendasikan",ROW($6:$1005)-5),116))=""),"",IF(AND(COUNTIF(INDIRECT("K_"&amp;MATCH(INDEX(checklistPesertaKemenkeu!$J$6:$J$1005,SMALL(IF(checklistPesertaKemenkeu!$AY$6:$AY$1005="Direkomendasikan",ROW($6:$1005)-5),116)),BidangList,0)),INDEX(checklistPesertaKemenkeu!$L$6:$L$1005,SMALL(IF(checklistPesertaKemenkeu!$AY$6:$AY$1005="Direkomendasikan",ROW($6:$1005)-5),116)))&gt;0,COUNTIF(INDIRECT("'KERTAS KERJA'!K"&amp;(SMALL(IF(checklistPesertaKemenkeu!$AY$6:$AY$1005="Direkomendasikan",ROW($6:$1005)-5),116)+5)&amp;":O"&amp;(SMALL(IF(checklistPesertaKemenkeu!$AY$6:$AY$1005="Direkomendasikan",ROW($6:$1005)-5),116)+5)),INDEX(checklistPesertaKemenkeu!$L$6:$L$1005,SMALL(IF(checklistPesertaKemenkeu!$AY$6:$AY$1005="Direkomendasikan",ROW($6:$1005)-5),116)))=1),IFERROR(VLOOKUP(INDEX(checklistPesertaKemenkeu!$L$6:$L$1005,SMALL(IF(checklistPesertaKemenkeu!$AY$6:$AY$1005="Direkomendasikan",ROW($6:$1005)-5),116)),KotaKode,2,0),"-"),"")),"")</f>
        <v/>
      </c>
      <c r="I117" t="str">
        <f t="array" aca="1" ref="I117" ca="1">IFERROR(IF(OR(INDEX(checklistPesertaKemenkeu!$M$6:$M$1005,SMALL(IF(checklistPesertaKemenkeu!$AY$6:$AY$1005="Direkomendasikan",ROW($6:$1005)-5),116))="",INDEX(checklistPesertaKemenkeu!$J$6:$J$1005,SMALL(IF(checklistPesertaKemenkeu!$AY$6:$AY$1005="Direkomendasikan",ROW($6:$1005)-5),116))=""),"",IF(AND(COUNTIF(INDIRECT("K_"&amp;MATCH(INDEX(checklistPesertaKemenkeu!$J$6:$J$1005,SMALL(IF(checklistPesertaKemenkeu!$AY$6:$AY$1005="Direkomendasikan",ROW($6:$1005)-5),116)),BidangList,0)),INDEX(checklistPesertaKemenkeu!$M$6:$M$1005,SMALL(IF(checklistPesertaKemenkeu!$AY$6:$AY$1005="Direkomendasikan",ROW($6:$1005)-5),116)))&gt;0,COUNTIF(INDIRECT("'KERTAS KERJA'!K"&amp;(SMALL(IF(checklistPesertaKemenkeu!$AY$6:$AY$1005="Direkomendasikan",ROW($6:$1005)-5),116)+5)&amp;":O"&amp;(SMALL(IF(checklistPesertaKemenkeu!$AY$6:$AY$1005="Direkomendasikan",ROW($6:$1005)-5),116)+5)),INDEX(checklistPesertaKemenkeu!$M$6:$M$1005,SMALL(IF(checklistPesertaKemenkeu!$AY$6:$AY$1005="Direkomendasikan",ROW($6:$1005)-5),116)))=1),IFERROR(VLOOKUP(INDEX(checklistPesertaKemenkeu!$M$6:$M$1005,SMALL(IF(checklistPesertaKemenkeu!$AY$6:$AY$1005="Direkomendasikan",ROW($6:$1005)-5),116)),KotaKode,2,0),"-"),"")),"")</f>
        <v/>
      </c>
      <c r="J117" t="str">
        <f t="array" aca="1" ref="J117" ca="1">IFERROR(IF(OR(INDEX(checklistPesertaKemenkeu!$N$6:$N$1005,SMALL(IF(checklistPesertaKemenkeu!$AY$6:$AY$1005="Direkomendasikan",ROW($6:$1005)-5),116))="",INDEX(checklistPesertaKemenkeu!$J$6:$J$1005,SMALL(IF(checklistPesertaKemenkeu!$AY$6:$AY$1005="Direkomendasikan",ROW($6:$1005)-5),116))=""),"",IF(AND(COUNTIF(INDIRECT("K_"&amp;MATCH(INDEX(checklistPesertaKemenkeu!$J$6:$J$1005,SMALL(IF(checklistPesertaKemenkeu!$AY$6:$AY$1005="Direkomendasikan",ROW($6:$1005)-5),116)),BidangList,0)),INDEX(checklistPesertaKemenkeu!$N$6:$N$1005,SMALL(IF(checklistPesertaKemenkeu!$AY$6:$AY$1005="Direkomendasikan",ROW($6:$1005)-5),116)))&gt;0,COUNTIF(INDIRECT("'KERTAS KERJA'!K"&amp;(SMALL(IF(checklistPesertaKemenkeu!$AY$6:$AY$1005="Direkomendasikan",ROW($6:$1005)-5),116)+5)&amp;":O"&amp;(SMALL(IF(checklistPesertaKemenkeu!$AY$6:$AY$1005="Direkomendasikan",ROW($6:$1005)-5),116)+5)),INDEX(checklistPesertaKemenkeu!$N$6:$N$1005,SMALL(IF(checklistPesertaKemenkeu!$AY$6:$AY$1005="Direkomendasikan",ROW($6:$1005)-5),116)))=1),IFERROR(VLOOKUP(INDEX(checklistPesertaKemenkeu!$N$6:$N$1005,SMALL(IF(checklistPesertaKemenkeu!$AY$6:$AY$1005="Direkomendasikan",ROW($6:$1005)-5),116)),KotaKode,2,0),"-"),"")),"")</f>
        <v/>
      </c>
      <c r="K117" t="str">
        <f t="array" aca="1" ref="K117" ca="1">IFERROR(IF(OR(INDEX(checklistPesertaKemenkeu!$O$6:$O$1005,SMALL(IF(checklistPesertaKemenkeu!$AY$6:$AY$1005="Direkomendasikan",ROW($6:$1005)-5),116))="",INDEX(checklistPesertaKemenkeu!$J$6:$J$1005,SMALL(IF(checklistPesertaKemenkeu!$AY$6:$AY$1005="Direkomendasikan",ROW($6:$1005)-5),116))=""),"",IF(AND(COUNTIF(INDIRECT("K_"&amp;MATCH(INDEX(checklistPesertaKemenkeu!$J$6:$J$1005,SMALL(IF(checklistPesertaKemenkeu!$AY$6:$AY$1005="Direkomendasikan",ROW($6:$1005)-5),116)),BidangList,0)),INDEX(checklistPesertaKemenkeu!$O$6:$O$1005,SMALL(IF(checklistPesertaKemenkeu!$AY$6:$AY$1005="Direkomendasikan",ROW($6:$1005)-5),116)))&gt;0,COUNTIF(INDIRECT("'KERTAS KERJA'!K"&amp;(SMALL(IF(checklistPesertaKemenkeu!$AY$6:$AY$1005="Direkomendasikan",ROW($6:$1005)-5),116)+5)&amp;":O"&amp;(SMALL(IF(checklistPesertaKemenkeu!$AY$6:$AY$1005="Direkomendasikan",ROW($6:$1005)-5),116)+5)),INDEX(checklistPesertaKemenkeu!$O$6:$O$1005,SMALL(IF(checklistPesertaKemenkeu!$AY$6:$AY$1005="Direkomendasikan",ROW($6:$1005)-5),116)))=1),IFERROR(VLOOKUP(INDEX(checklistPesertaKemenkeu!$O$6:$O$1005,SMALL(IF(checklistPesertaKemenkeu!$AY$6:$AY$1005="Direkomendasikan",ROW($6:$1005)-5),116)),KotaKode,2,0),"-"),"")),"")</f>
        <v/>
      </c>
      <c r="L117" t="str">
        <f t="array" aca="1" ref="L117" ca="1">IFERROR(IF(OR(INDEX(checklistPesertaKemenkeu!$P$6:$P$1005,SMALL(IF(checklistPesertaKemenkeu!$AY$6:$AY$1005="Direkomendasikan",ROW($6:$1005)-5),116))="",INDEX(checklistPesertaKemenkeu!$J$6:$J$1005,SMALL(IF(checklistPesertaKemenkeu!$AY$6:$AY$1005="Direkomendasikan",ROW($6:$1005)-5),116))=""),"",IF(AND(COUNTIF(INDIRECT("K_"&amp;MATCH(INDEX(checklistPesertaKemenkeu!$J$6:$J$1005,SMALL(IF(checklistPesertaKemenkeu!$AY$6:$AY$1005="Direkomendasikan",ROW($6:$1005)-5),116)),BidangList,0)),INDEX(checklistPesertaKemenkeu!$P$6:$P$1005,SMALL(IF(checklistPesertaKemenkeu!$AY$6:$AY$1005="Direkomendasikan",ROW($6:$1005)-5),116)))&gt;0,COUNTIF(INDIRECT("'KERTAS KERJA'!K"&amp;(SMALL(IF(checklistPesertaKemenkeu!$AY$6:$AY$1005="Direkomendasikan",ROW($6:$1005)-5),116)+5)&amp;":O"&amp;(SMALL(IF(checklistPesertaKemenkeu!$AY$6:$AY$1005="Direkomendasikan",ROW($6:$1005)-5),116)+5)),INDEX(checklistPesertaKemenkeu!$P$6:$P$1005,SMALL(IF(checklistPesertaKemenkeu!$AY$6:$AY$1005="Direkomendasikan",ROW($6:$1005)-5),116)))=1),IFERROR(VLOOKUP(INDEX(checklistPesertaKemenkeu!$P$6:$P$1005,SMALL(IF(checklistPesertaKemenkeu!$AY$6:$AY$1005="Direkomendasikan",ROW($6:$1005)-5),116)),KotaKode,2,0),"-"),"")),"")</f>
        <v/>
      </c>
    </row>
    <row r="118" spans="1:12" ht="15" customHeight="1" x14ac:dyDescent="0.2">
      <c r="A118" t="str">
        <f t="shared" si="1"/>
        <v/>
      </c>
      <c r="B118" t="str">
        <v/>
      </c>
      <c r="C118" s="40" t="str">
        <f t="array" ref="C118">IFERROR(INDEX(checklistPesertaKemenkeu!$F$6:$F$1005,SMALL(IF(checklistPesertaKemenkeu!$AY$6:$AY$1005="Direkomendasikan",ROW($6:$1005)-5),117)),"")</f>
        <v/>
      </c>
      <c r="D118" t="str">
        <f t="array" ref="D118">IFERROR(INDEX(checklistPesertaKemenkeu!$G$6:$G$1005,SMALL(IF(checklistPesertaKemenkeu!$AY$6:$AY$1005="Direkomendasikan",ROW($6:$1005)-5),117)),"")</f>
        <v/>
      </c>
      <c r="E118" t="str">
        <f t="array" ref="E118">IFERROR(INDEX(checklistPesertaKemenkeu!$H$6:$H$1005,SMALL(IF(checklistPesertaKemenkeu!$AY$6:$AY$1005="Direkomendasikan",ROW($6:$1005)-5),117)),"")</f>
        <v/>
      </c>
      <c r="F118" t="str">
        <f t="array" ref="F118">IFERROR(INDEX(checklistPesertaKemenkeu!$I$6:$I$1005,SMALL(IF(checklistPesertaKemenkeu!$AY$6:$AY$1005="Direkomendasikan",ROW($6:$1005)-5),117)),"")</f>
        <v/>
      </c>
      <c r="G118" t="str">
        <f t="array" ref="G118">IFERROR(INDEX(checklistPesertaKemenkeu!$J$6:$J$1005,SMALL(IF(checklistPesertaKemenkeu!$AY$6:$AY$1005="Direkomendasikan",ROW($6:$1005)-5),117)),"")</f>
        <v/>
      </c>
      <c r="H118" t="str">
        <f t="array" aca="1" ref="H118" ca="1">IFERROR(IF(OR(INDEX(checklistPesertaKemenkeu!$L$6:$L$1005,SMALL(IF(checklistPesertaKemenkeu!$AY$6:$AY$1005="Direkomendasikan",ROW($6:$1005)-5),117))="",INDEX(checklistPesertaKemenkeu!$J$6:$J$1005,SMALL(IF(checklistPesertaKemenkeu!$AY$6:$AY$1005="Direkomendasikan",ROW($6:$1005)-5),117))=""),"",IF(AND(COUNTIF(INDIRECT("K_"&amp;MATCH(INDEX(checklistPesertaKemenkeu!$J$6:$J$1005,SMALL(IF(checklistPesertaKemenkeu!$AY$6:$AY$1005="Direkomendasikan",ROW($6:$1005)-5),117)),BidangList,0)),INDEX(checklistPesertaKemenkeu!$L$6:$L$1005,SMALL(IF(checklistPesertaKemenkeu!$AY$6:$AY$1005="Direkomendasikan",ROW($6:$1005)-5),117)))&gt;0,COUNTIF(INDIRECT("'KERTAS KERJA'!K"&amp;(SMALL(IF(checklistPesertaKemenkeu!$AY$6:$AY$1005="Direkomendasikan",ROW($6:$1005)-5),117)+5)&amp;":O"&amp;(SMALL(IF(checklistPesertaKemenkeu!$AY$6:$AY$1005="Direkomendasikan",ROW($6:$1005)-5),117)+5)),INDEX(checklistPesertaKemenkeu!$L$6:$L$1005,SMALL(IF(checklistPesertaKemenkeu!$AY$6:$AY$1005="Direkomendasikan",ROW($6:$1005)-5),117)))=1),IFERROR(VLOOKUP(INDEX(checklistPesertaKemenkeu!$L$6:$L$1005,SMALL(IF(checklistPesertaKemenkeu!$AY$6:$AY$1005="Direkomendasikan",ROW($6:$1005)-5),117)),KotaKode,2,0),"-"),"")),"")</f>
        <v/>
      </c>
      <c r="I118" t="str">
        <f t="array" aca="1" ref="I118" ca="1">IFERROR(IF(OR(INDEX(checklistPesertaKemenkeu!$M$6:$M$1005,SMALL(IF(checklistPesertaKemenkeu!$AY$6:$AY$1005="Direkomendasikan",ROW($6:$1005)-5),117))="",INDEX(checklistPesertaKemenkeu!$J$6:$J$1005,SMALL(IF(checklistPesertaKemenkeu!$AY$6:$AY$1005="Direkomendasikan",ROW($6:$1005)-5),117))=""),"",IF(AND(COUNTIF(INDIRECT("K_"&amp;MATCH(INDEX(checklistPesertaKemenkeu!$J$6:$J$1005,SMALL(IF(checklistPesertaKemenkeu!$AY$6:$AY$1005="Direkomendasikan",ROW($6:$1005)-5),117)),BidangList,0)),INDEX(checklistPesertaKemenkeu!$M$6:$M$1005,SMALL(IF(checklistPesertaKemenkeu!$AY$6:$AY$1005="Direkomendasikan",ROW($6:$1005)-5),117)))&gt;0,COUNTIF(INDIRECT("'KERTAS KERJA'!K"&amp;(SMALL(IF(checklistPesertaKemenkeu!$AY$6:$AY$1005="Direkomendasikan",ROW($6:$1005)-5),117)+5)&amp;":O"&amp;(SMALL(IF(checklistPesertaKemenkeu!$AY$6:$AY$1005="Direkomendasikan",ROW($6:$1005)-5),117)+5)),INDEX(checklistPesertaKemenkeu!$M$6:$M$1005,SMALL(IF(checklistPesertaKemenkeu!$AY$6:$AY$1005="Direkomendasikan",ROW($6:$1005)-5),117)))=1),IFERROR(VLOOKUP(INDEX(checklistPesertaKemenkeu!$M$6:$M$1005,SMALL(IF(checklistPesertaKemenkeu!$AY$6:$AY$1005="Direkomendasikan",ROW($6:$1005)-5),117)),KotaKode,2,0),"-"),"")),"")</f>
        <v/>
      </c>
      <c r="J118" t="str">
        <f t="array" aca="1" ref="J118" ca="1">IFERROR(IF(OR(INDEX(checklistPesertaKemenkeu!$N$6:$N$1005,SMALL(IF(checklistPesertaKemenkeu!$AY$6:$AY$1005="Direkomendasikan",ROW($6:$1005)-5),117))="",INDEX(checklistPesertaKemenkeu!$J$6:$J$1005,SMALL(IF(checklistPesertaKemenkeu!$AY$6:$AY$1005="Direkomendasikan",ROW($6:$1005)-5),117))=""),"",IF(AND(COUNTIF(INDIRECT("K_"&amp;MATCH(INDEX(checklistPesertaKemenkeu!$J$6:$J$1005,SMALL(IF(checklistPesertaKemenkeu!$AY$6:$AY$1005="Direkomendasikan",ROW($6:$1005)-5),117)),BidangList,0)),INDEX(checklistPesertaKemenkeu!$N$6:$N$1005,SMALL(IF(checklistPesertaKemenkeu!$AY$6:$AY$1005="Direkomendasikan",ROW($6:$1005)-5),117)))&gt;0,COUNTIF(INDIRECT("'KERTAS KERJA'!K"&amp;(SMALL(IF(checklistPesertaKemenkeu!$AY$6:$AY$1005="Direkomendasikan",ROW($6:$1005)-5),117)+5)&amp;":O"&amp;(SMALL(IF(checklistPesertaKemenkeu!$AY$6:$AY$1005="Direkomendasikan",ROW($6:$1005)-5),117)+5)),INDEX(checklistPesertaKemenkeu!$N$6:$N$1005,SMALL(IF(checklistPesertaKemenkeu!$AY$6:$AY$1005="Direkomendasikan",ROW($6:$1005)-5),117)))=1),IFERROR(VLOOKUP(INDEX(checklistPesertaKemenkeu!$N$6:$N$1005,SMALL(IF(checklistPesertaKemenkeu!$AY$6:$AY$1005="Direkomendasikan",ROW($6:$1005)-5),117)),KotaKode,2,0),"-"),"")),"")</f>
        <v/>
      </c>
      <c r="K118" t="str">
        <f t="array" aca="1" ref="K118" ca="1">IFERROR(IF(OR(INDEX(checklistPesertaKemenkeu!$O$6:$O$1005,SMALL(IF(checklistPesertaKemenkeu!$AY$6:$AY$1005="Direkomendasikan",ROW($6:$1005)-5),117))="",INDEX(checklistPesertaKemenkeu!$J$6:$J$1005,SMALL(IF(checklistPesertaKemenkeu!$AY$6:$AY$1005="Direkomendasikan",ROW($6:$1005)-5),117))=""),"",IF(AND(COUNTIF(INDIRECT("K_"&amp;MATCH(INDEX(checklistPesertaKemenkeu!$J$6:$J$1005,SMALL(IF(checklistPesertaKemenkeu!$AY$6:$AY$1005="Direkomendasikan",ROW($6:$1005)-5),117)),BidangList,0)),INDEX(checklistPesertaKemenkeu!$O$6:$O$1005,SMALL(IF(checklistPesertaKemenkeu!$AY$6:$AY$1005="Direkomendasikan",ROW($6:$1005)-5),117)))&gt;0,COUNTIF(INDIRECT("'KERTAS KERJA'!K"&amp;(SMALL(IF(checklistPesertaKemenkeu!$AY$6:$AY$1005="Direkomendasikan",ROW($6:$1005)-5),117)+5)&amp;":O"&amp;(SMALL(IF(checklistPesertaKemenkeu!$AY$6:$AY$1005="Direkomendasikan",ROW($6:$1005)-5),117)+5)),INDEX(checklistPesertaKemenkeu!$O$6:$O$1005,SMALL(IF(checklistPesertaKemenkeu!$AY$6:$AY$1005="Direkomendasikan",ROW($6:$1005)-5),117)))=1),IFERROR(VLOOKUP(INDEX(checklistPesertaKemenkeu!$O$6:$O$1005,SMALL(IF(checklistPesertaKemenkeu!$AY$6:$AY$1005="Direkomendasikan",ROW($6:$1005)-5),117)),KotaKode,2,0),"-"),"")),"")</f>
        <v/>
      </c>
      <c r="L118" t="str">
        <f t="array" aca="1" ref="L118" ca="1">IFERROR(IF(OR(INDEX(checklistPesertaKemenkeu!$P$6:$P$1005,SMALL(IF(checklistPesertaKemenkeu!$AY$6:$AY$1005="Direkomendasikan",ROW($6:$1005)-5),117))="",INDEX(checklistPesertaKemenkeu!$J$6:$J$1005,SMALL(IF(checklistPesertaKemenkeu!$AY$6:$AY$1005="Direkomendasikan",ROW($6:$1005)-5),117))=""),"",IF(AND(COUNTIF(INDIRECT("K_"&amp;MATCH(INDEX(checklistPesertaKemenkeu!$J$6:$J$1005,SMALL(IF(checklistPesertaKemenkeu!$AY$6:$AY$1005="Direkomendasikan",ROW($6:$1005)-5),117)),BidangList,0)),INDEX(checklistPesertaKemenkeu!$P$6:$P$1005,SMALL(IF(checklistPesertaKemenkeu!$AY$6:$AY$1005="Direkomendasikan",ROW($6:$1005)-5),117)))&gt;0,COUNTIF(INDIRECT("'KERTAS KERJA'!K"&amp;(SMALL(IF(checklistPesertaKemenkeu!$AY$6:$AY$1005="Direkomendasikan",ROW($6:$1005)-5),117)+5)&amp;":O"&amp;(SMALL(IF(checklistPesertaKemenkeu!$AY$6:$AY$1005="Direkomendasikan",ROW($6:$1005)-5),117)+5)),INDEX(checklistPesertaKemenkeu!$P$6:$P$1005,SMALL(IF(checklistPesertaKemenkeu!$AY$6:$AY$1005="Direkomendasikan",ROW($6:$1005)-5),117)))=1),IFERROR(VLOOKUP(INDEX(checklistPesertaKemenkeu!$P$6:$P$1005,SMALL(IF(checklistPesertaKemenkeu!$AY$6:$AY$1005="Direkomendasikan",ROW($6:$1005)-5),117)),KotaKode,2,0),"-"),"")),"")</f>
        <v/>
      </c>
    </row>
    <row r="119" spans="1:12" ht="15" customHeight="1" x14ac:dyDescent="0.2">
      <c r="A119" t="str">
        <f t="shared" si="1"/>
        <v/>
      </c>
      <c r="B119" t="str">
        <v/>
      </c>
      <c r="C119" s="40" t="str">
        <f t="array" ref="C119">IFERROR(INDEX(checklistPesertaKemenkeu!$F$6:$F$1005,SMALL(IF(checklistPesertaKemenkeu!$AY$6:$AY$1005="Direkomendasikan",ROW($6:$1005)-5),118)),"")</f>
        <v/>
      </c>
      <c r="D119" t="str">
        <f t="array" ref="D119">IFERROR(INDEX(checklistPesertaKemenkeu!$G$6:$G$1005,SMALL(IF(checklistPesertaKemenkeu!$AY$6:$AY$1005="Direkomendasikan",ROW($6:$1005)-5),118)),"")</f>
        <v/>
      </c>
      <c r="E119" t="str">
        <f t="array" ref="E119">IFERROR(INDEX(checklistPesertaKemenkeu!$H$6:$H$1005,SMALL(IF(checklistPesertaKemenkeu!$AY$6:$AY$1005="Direkomendasikan",ROW($6:$1005)-5),118)),"")</f>
        <v/>
      </c>
      <c r="F119" t="str">
        <f t="array" ref="F119">IFERROR(INDEX(checklistPesertaKemenkeu!$I$6:$I$1005,SMALL(IF(checklistPesertaKemenkeu!$AY$6:$AY$1005="Direkomendasikan",ROW($6:$1005)-5),118)),"")</f>
        <v/>
      </c>
      <c r="G119" t="str">
        <f t="array" ref="G119">IFERROR(INDEX(checklistPesertaKemenkeu!$J$6:$J$1005,SMALL(IF(checklistPesertaKemenkeu!$AY$6:$AY$1005="Direkomendasikan",ROW($6:$1005)-5),118)),"")</f>
        <v/>
      </c>
      <c r="H119" t="str">
        <f t="array" aca="1" ref="H119" ca="1">IFERROR(IF(OR(INDEX(checklistPesertaKemenkeu!$L$6:$L$1005,SMALL(IF(checklistPesertaKemenkeu!$AY$6:$AY$1005="Direkomendasikan",ROW($6:$1005)-5),118))="",INDEX(checklistPesertaKemenkeu!$J$6:$J$1005,SMALL(IF(checklistPesertaKemenkeu!$AY$6:$AY$1005="Direkomendasikan",ROW($6:$1005)-5),118))=""),"",IF(AND(COUNTIF(INDIRECT("K_"&amp;MATCH(INDEX(checklistPesertaKemenkeu!$J$6:$J$1005,SMALL(IF(checklistPesertaKemenkeu!$AY$6:$AY$1005="Direkomendasikan",ROW($6:$1005)-5),118)),BidangList,0)),INDEX(checklistPesertaKemenkeu!$L$6:$L$1005,SMALL(IF(checklistPesertaKemenkeu!$AY$6:$AY$1005="Direkomendasikan",ROW($6:$1005)-5),118)))&gt;0,COUNTIF(INDIRECT("'KERTAS KERJA'!K"&amp;(SMALL(IF(checklistPesertaKemenkeu!$AY$6:$AY$1005="Direkomendasikan",ROW($6:$1005)-5),118)+5)&amp;":O"&amp;(SMALL(IF(checklistPesertaKemenkeu!$AY$6:$AY$1005="Direkomendasikan",ROW($6:$1005)-5),118)+5)),INDEX(checklistPesertaKemenkeu!$L$6:$L$1005,SMALL(IF(checklistPesertaKemenkeu!$AY$6:$AY$1005="Direkomendasikan",ROW($6:$1005)-5),118)))=1),IFERROR(VLOOKUP(INDEX(checklistPesertaKemenkeu!$L$6:$L$1005,SMALL(IF(checklistPesertaKemenkeu!$AY$6:$AY$1005="Direkomendasikan",ROW($6:$1005)-5),118)),KotaKode,2,0),"-"),"")),"")</f>
        <v/>
      </c>
      <c r="I119" t="str">
        <f t="array" aca="1" ref="I119" ca="1">IFERROR(IF(OR(INDEX(checklistPesertaKemenkeu!$M$6:$M$1005,SMALL(IF(checklistPesertaKemenkeu!$AY$6:$AY$1005="Direkomendasikan",ROW($6:$1005)-5),118))="",INDEX(checklistPesertaKemenkeu!$J$6:$J$1005,SMALL(IF(checklistPesertaKemenkeu!$AY$6:$AY$1005="Direkomendasikan",ROW($6:$1005)-5),118))=""),"",IF(AND(COUNTIF(INDIRECT("K_"&amp;MATCH(INDEX(checklistPesertaKemenkeu!$J$6:$J$1005,SMALL(IF(checklistPesertaKemenkeu!$AY$6:$AY$1005="Direkomendasikan",ROW($6:$1005)-5),118)),BidangList,0)),INDEX(checklistPesertaKemenkeu!$M$6:$M$1005,SMALL(IF(checklistPesertaKemenkeu!$AY$6:$AY$1005="Direkomendasikan",ROW($6:$1005)-5),118)))&gt;0,COUNTIF(INDIRECT("'KERTAS KERJA'!K"&amp;(SMALL(IF(checklistPesertaKemenkeu!$AY$6:$AY$1005="Direkomendasikan",ROW($6:$1005)-5),118)+5)&amp;":O"&amp;(SMALL(IF(checklistPesertaKemenkeu!$AY$6:$AY$1005="Direkomendasikan",ROW($6:$1005)-5),118)+5)),INDEX(checklistPesertaKemenkeu!$M$6:$M$1005,SMALL(IF(checklistPesertaKemenkeu!$AY$6:$AY$1005="Direkomendasikan",ROW($6:$1005)-5),118)))=1),IFERROR(VLOOKUP(INDEX(checklistPesertaKemenkeu!$M$6:$M$1005,SMALL(IF(checklistPesertaKemenkeu!$AY$6:$AY$1005="Direkomendasikan",ROW($6:$1005)-5),118)),KotaKode,2,0),"-"),"")),"")</f>
        <v/>
      </c>
      <c r="J119" t="str">
        <f t="array" aca="1" ref="J119" ca="1">IFERROR(IF(OR(INDEX(checklistPesertaKemenkeu!$N$6:$N$1005,SMALL(IF(checklistPesertaKemenkeu!$AY$6:$AY$1005="Direkomendasikan",ROW($6:$1005)-5),118))="",INDEX(checklistPesertaKemenkeu!$J$6:$J$1005,SMALL(IF(checklistPesertaKemenkeu!$AY$6:$AY$1005="Direkomendasikan",ROW($6:$1005)-5),118))=""),"",IF(AND(COUNTIF(INDIRECT("K_"&amp;MATCH(INDEX(checklistPesertaKemenkeu!$J$6:$J$1005,SMALL(IF(checklistPesertaKemenkeu!$AY$6:$AY$1005="Direkomendasikan",ROW($6:$1005)-5),118)),BidangList,0)),INDEX(checklistPesertaKemenkeu!$N$6:$N$1005,SMALL(IF(checklistPesertaKemenkeu!$AY$6:$AY$1005="Direkomendasikan",ROW($6:$1005)-5),118)))&gt;0,COUNTIF(INDIRECT("'KERTAS KERJA'!K"&amp;(SMALL(IF(checklistPesertaKemenkeu!$AY$6:$AY$1005="Direkomendasikan",ROW($6:$1005)-5),118)+5)&amp;":O"&amp;(SMALL(IF(checklistPesertaKemenkeu!$AY$6:$AY$1005="Direkomendasikan",ROW($6:$1005)-5),118)+5)),INDEX(checklistPesertaKemenkeu!$N$6:$N$1005,SMALL(IF(checklistPesertaKemenkeu!$AY$6:$AY$1005="Direkomendasikan",ROW($6:$1005)-5),118)))=1),IFERROR(VLOOKUP(INDEX(checklistPesertaKemenkeu!$N$6:$N$1005,SMALL(IF(checklistPesertaKemenkeu!$AY$6:$AY$1005="Direkomendasikan",ROW($6:$1005)-5),118)),KotaKode,2,0),"-"),"")),"")</f>
        <v/>
      </c>
      <c r="K119" t="str">
        <f t="array" aca="1" ref="K119" ca="1">IFERROR(IF(OR(INDEX(checklistPesertaKemenkeu!$O$6:$O$1005,SMALL(IF(checklistPesertaKemenkeu!$AY$6:$AY$1005="Direkomendasikan",ROW($6:$1005)-5),118))="",INDEX(checklistPesertaKemenkeu!$J$6:$J$1005,SMALL(IF(checklistPesertaKemenkeu!$AY$6:$AY$1005="Direkomendasikan",ROW($6:$1005)-5),118))=""),"",IF(AND(COUNTIF(INDIRECT("K_"&amp;MATCH(INDEX(checklistPesertaKemenkeu!$J$6:$J$1005,SMALL(IF(checklistPesertaKemenkeu!$AY$6:$AY$1005="Direkomendasikan",ROW($6:$1005)-5),118)),BidangList,0)),INDEX(checklistPesertaKemenkeu!$O$6:$O$1005,SMALL(IF(checklistPesertaKemenkeu!$AY$6:$AY$1005="Direkomendasikan",ROW($6:$1005)-5),118)))&gt;0,COUNTIF(INDIRECT("'KERTAS KERJA'!K"&amp;(SMALL(IF(checklistPesertaKemenkeu!$AY$6:$AY$1005="Direkomendasikan",ROW($6:$1005)-5),118)+5)&amp;":O"&amp;(SMALL(IF(checklistPesertaKemenkeu!$AY$6:$AY$1005="Direkomendasikan",ROW($6:$1005)-5),118)+5)),INDEX(checklistPesertaKemenkeu!$O$6:$O$1005,SMALL(IF(checklistPesertaKemenkeu!$AY$6:$AY$1005="Direkomendasikan",ROW($6:$1005)-5),118)))=1),IFERROR(VLOOKUP(INDEX(checklistPesertaKemenkeu!$O$6:$O$1005,SMALL(IF(checklistPesertaKemenkeu!$AY$6:$AY$1005="Direkomendasikan",ROW($6:$1005)-5),118)),KotaKode,2,0),"-"),"")),"")</f>
        <v/>
      </c>
      <c r="L119" t="str">
        <f t="array" aca="1" ref="L119" ca="1">IFERROR(IF(OR(INDEX(checklistPesertaKemenkeu!$P$6:$P$1005,SMALL(IF(checklistPesertaKemenkeu!$AY$6:$AY$1005="Direkomendasikan",ROW($6:$1005)-5),118))="",INDEX(checklistPesertaKemenkeu!$J$6:$J$1005,SMALL(IF(checklistPesertaKemenkeu!$AY$6:$AY$1005="Direkomendasikan",ROW($6:$1005)-5),118))=""),"",IF(AND(COUNTIF(INDIRECT("K_"&amp;MATCH(INDEX(checklistPesertaKemenkeu!$J$6:$J$1005,SMALL(IF(checklistPesertaKemenkeu!$AY$6:$AY$1005="Direkomendasikan",ROW($6:$1005)-5),118)),BidangList,0)),INDEX(checklistPesertaKemenkeu!$P$6:$P$1005,SMALL(IF(checklistPesertaKemenkeu!$AY$6:$AY$1005="Direkomendasikan",ROW($6:$1005)-5),118)))&gt;0,COUNTIF(INDIRECT("'KERTAS KERJA'!K"&amp;(SMALL(IF(checklistPesertaKemenkeu!$AY$6:$AY$1005="Direkomendasikan",ROW($6:$1005)-5),118)+5)&amp;":O"&amp;(SMALL(IF(checklistPesertaKemenkeu!$AY$6:$AY$1005="Direkomendasikan",ROW($6:$1005)-5),118)+5)),INDEX(checklistPesertaKemenkeu!$P$6:$P$1005,SMALL(IF(checklistPesertaKemenkeu!$AY$6:$AY$1005="Direkomendasikan",ROW($6:$1005)-5),118)))=1),IFERROR(VLOOKUP(INDEX(checklistPesertaKemenkeu!$P$6:$P$1005,SMALL(IF(checklistPesertaKemenkeu!$AY$6:$AY$1005="Direkomendasikan",ROW($6:$1005)-5),118)),KotaKode,2,0),"-"),"")),"")</f>
        <v/>
      </c>
    </row>
    <row r="120" spans="1:12" ht="15" customHeight="1" x14ac:dyDescent="0.2">
      <c r="A120" t="str">
        <f t="shared" si="1"/>
        <v/>
      </c>
      <c r="B120" t="str">
        <v/>
      </c>
      <c r="C120" s="40" t="str">
        <f t="array" ref="C120">IFERROR(INDEX(checklistPesertaKemenkeu!$F$6:$F$1005,SMALL(IF(checklistPesertaKemenkeu!$AY$6:$AY$1005="Direkomendasikan",ROW($6:$1005)-5),119)),"")</f>
        <v/>
      </c>
      <c r="D120" t="str">
        <f t="array" ref="D120">IFERROR(INDEX(checklistPesertaKemenkeu!$G$6:$G$1005,SMALL(IF(checklistPesertaKemenkeu!$AY$6:$AY$1005="Direkomendasikan",ROW($6:$1005)-5),119)),"")</f>
        <v/>
      </c>
      <c r="E120" t="str">
        <f t="array" ref="E120">IFERROR(INDEX(checklistPesertaKemenkeu!$H$6:$H$1005,SMALL(IF(checklistPesertaKemenkeu!$AY$6:$AY$1005="Direkomendasikan",ROW($6:$1005)-5),119)),"")</f>
        <v/>
      </c>
      <c r="F120" t="str">
        <f t="array" ref="F120">IFERROR(INDEX(checklistPesertaKemenkeu!$I$6:$I$1005,SMALL(IF(checklistPesertaKemenkeu!$AY$6:$AY$1005="Direkomendasikan",ROW($6:$1005)-5),119)),"")</f>
        <v/>
      </c>
      <c r="G120" t="str">
        <f t="array" ref="G120">IFERROR(INDEX(checklistPesertaKemenkeu!$J$6:$J$1005,SMALL(IF(checklistPesertaKemenkeu!$AY$6:$AY$1005="Direkomendasikan",ROW($6:$1005)-5),119)),"")</f>
        <v/>
      </c>
      <c r="H120" t="str">
        <f t="array" aca="1" ref="H120" ca="1">IFERROR(IF(OR(INDEX(checklistPesertaKemenkeu!$L$6:$L$1005,SMALL(IF(checklistPesertaKemenkeu!$AY$6:$AY$1005="Direkomendasikan",ROW($6:$1005)-5),119))="",INDEX(checklistPesertaKemenkeu!$J$6:$J$1005,SMALL(IF(checklistPesertaKemenkeu!$AY$6:$AY$1005="Direkomendasikan",ROW($6:$1005)-5),119))=""),"",IF(AND(COUNTIF(INDIRECT("K_"&amp;MATCH(INDEX(checklistPesertaKemenkeu!$J$6:$J$1005,SMALL(IF(checklistPesertaKemenkeu!$AY$6:$AY$1005="Direkomendasikan",ROW($6:$1005)-5),119)),BidangList,0)),INDEX(checklistPesertaKemenkeu!$L$6:$L$1005,SMALL(IF(checklistPesertaKemenkeu!$AY$6:$AY$1005="Direkomendasikan",ROW($6:$1005)-5),119)))&gt;0,COUNTIF(INDIRECT("'KERTAS KERJA'!K"&amp;(SMALL(IF(checklistPesertaKemenkeu!$AY$6:$AY$1005="Direkomendasikan",ROW($6:$1005)-5),119)+5)&amp;":O"&amp;(SMALL(IF(checklistPesertaKemenkeu!$AY$6:$AY$1005="Direkomendasikan",ROW($6:$1005)-5),119)+5)),INDEX(checklistPesertaKemenkeu!$L$6:$L$1005,SMALL(IF(checklistPesertaKemenkeu!$AY$6:$AY$1005="Direkomendasikan",ROW($6:$1005)-5),119)))=1),IFERROR(VLOOKUP(INDEX(checklistPesertaKemenkeu!$L$6:$L$1005,SMALL(IF(checklistPesertaKemenkeu!$AY$6:$AY$1005="Direkomendasikan",ROW($6:$1005)-5),119)),KotaKode,2,0),"-"),"")),"")</f>
        <v/>
      </c>
      <c r="I120" t="str">
        <f t="array" aca="1" ref="I120" ca="1">IFERROR(IF(OR(INDEX(checklistPesertaKemenkeu!$M$6:$M$1005,SMALL(IF(checklistPesertaKemenkeu!$AY$6:$AY$1005="Direkomendasikan",ROW($6:$1005)-5),119))="",INDEX(checklistPesertaKemenkeu!$J$6:$J$1005,SMALL(IF(checklistPesertaKemenkeu!$AY$6:$AY$1005="Direkomendasikan",ROW($6:$1005)-5),119))=""),"",IF(AND(COUNTIF(INDIRECT("K_"&amp;MATCH(INDEX(checklistPesertaKemenkeu!$J$6:$J$1005,SMALL(IF(checklistPesertaKemenkeu!$AY$6:$AY$1005="Direkomendasikan",ROW($6:$1005)-5),119)),BidangList,0)),INDEX(checklistPesertaKemenkeu!$M$6:$M$1005,SMALL(IF(checklistPesertaKemenkeu!$AY$6:$AY$1005="Direkomendasikan",ROW($6:$1005)-5),119)))&gt;0,COUNTIF(INDIRECT("'KERTAS KERJA'!K"&amp;(SMALL(IF(checklistPesertaKemenkeu!$AY$6:$AY$1005="Direkomendasikan",ROW($6:$1005)-5),119)+5)&amp;":O"&amp;(SMALL(IF(checklistPesertaKemenkeu!$AY$6:$AY$1005="Direkomendasikan",ROW($6:$1005)-5),119)+5)),INDEX(checklistPesertaKemenkeu!$M$6:$M$1005,SMALL(IF(checklistPesertaKemenkeu!$AY$6:$AY$1005="Direkomendasikan",ROW($6:$1005)-5),119)))=1),IFERROR(VLOOKUP(INDEX(checklistPesertaKemenkeu!$M$6:$M$1005,SMALL(IF(checklistPesertaKemenkeu!$AY$6:$AY$1005="Direkomendasikan",ROW($6:$1005)-5),119)),KotaKode,2,0),"-"),"")),"")</f>
        <v/>
      </c>
      <c r="J120" t="str">
        <f t="array" aca="1" ref="J120" ca="1">IFERROR(IF(OR(INDEX(checklistPesertaKemenkeu!$N$6:$N$1005,SMALL(IF(checklistPesertaKemenkeu!$AY$6:$AY$1005="Direkomendasikan",ROW($6:$1005)-5),119))="",INDEX(checklistPesertaKemenkeu!$J$6:$J$1005,SMALL(IF(checklistPesertaKemenkeu!$AY$6:$AY$1005="Direkomendasikan",ROW($6:$1005)-5),119))=""),"",IF(AND(COUNTIF(INDIRECT("K_"&amp;MATCH(INDEX(checklistPesertaKemenkeu!$J$6:$J$1005,SMALL(IF(checklistPesertaKemenkeu!$AY$6:$AY$1005="Direkomendasikan",ROW($6:$1005)-5),119)),BidangList,0)),INDEX(checklistPesertaKemenkeu!$N$6:$N$1005,SMALL(IF(checklistPesertaKemenkeu!$AY$6:$AY$1005="Direkomendasikan",ROW($6:$1005)-5),119)))&gt;0,COUNTIF(INDIRECT("'KERTAS KERJA'!K"&amp;(SMALL(IF(checklistPesertaKemenkeu!$AY$6:$AY$1005="Direkomendasikan",ROW($6:$1005)-5),119)+5)&amp;":O"&amp;(SMALL(IF(checklistPesertaKemenkeu!$AY$6:$AY$1005="Direkomendasikan",ROW($6:$1005)-5),119)+5)),INDEX(checklistPesertaKemenkeu!$N$6:$N$1005,SMALL(IF(checklistPesertaKemenkeu!$AY$6:$AY$1005="Direkomendasikan",ROW($6:$1005)-5),119)))=1),IFERROR(VLOOKUP(INDEX(checklistPesertaKemenkeu!$N$6:$N$1005,SMALL(IF(checklistPesertaKemenkeu!$AY$6:$AY$1005="Direkomendasikan",ROW($6:$1005)-5),119)),KotaKode,2,0),"-"),"")),"")</f>
        <v/>
      </c>
      <c r="K120" t="str">
        <f t="array" aca="1" ref="K120" ca="1">IFERROR(IF(OR(INDEX(checklistPesertaKemenkeu!$O$6:$O$1005,SMALL(IF(checklistPesertaKemenkeu!$AY$6:$AY$1005="Direkomendasikan",ROW($6:$1005)-5),119))="",INDEX(checklistPesertaKemenkeu!$J$6:$J$1005,SMALL(IF(checklistPesertaKemenkeu!$AY$6:$AY$1005="Direkomendasikan",ROW($6:$1005)-5),119))=""),"",IF(AND(COUNTIF(INDIRECT("K_"&amp;MATCH(INDEX(checklistPesertaKemenkeu!$J$6:$J$1005,SMALL(IF(checklistPesertaKemenkeu!$AY$6:$AY$1005="Direkomendasikan",ROW($6:$1005)-5),119)),BidangList,0)),INDEX(checklistPesertaKemenkeu!$O$6:$O$1005,SMALL(IF(checklistPesertaKemenkeu!$AY$6:$AY$1005="Direkomendasikan",ROW($6:$1005)-5),119)))&gt;0,COUNTIF(INDIRECT("'KERTAS KERJA'!K"&amp;(SMALL(IF(checklistPesertaKemenkeu!$AY$6:$AY$1005="Direkomendasikan",ROW($6:$1005)-5),119)+5)&amp;":O"&amp;(SMALL(IF(checklistPesertaKemenkeu!$AY$6:$AY$1005="Direkomendasikan",ROW($6:$1005)-5),119)+5)),INDEX(checklistPesertaKemenkeu!$O$6:$O$1005,SMALL(IF(checklistPesertaKemenkeu!$AY$6:$AY$1005="Direkomendasikan",ROW($6:$1005)-5),119)))=1),IFERROR(VLOOKUP(INDEX(checklistPesertaKemenkeu!$O$6:$O$1005,SMALL(IF(checklistPesertaKemenkeu!$AY$6:$AY$1005="Direkomendasikan",ROW($6:$1005)-5),119)),KotaKode,2,0),"-"),"")),"")</f>
        <v/>
      </c>
      <c r="L120" t="str">
        <f t="array" aca="1" ref="L120" ca="1">IFERROR(IF(OR(INDEX(checklistPesertaKemenkeu!$P$6:$P$1005,SMALL(IF(checklistPesertaKemenkeu!$AY$6:$AY$1005="Direkomendasikan",ROW($6:$1005)-5),119))="",INDEX(checklistPesertaKemenkeu!$J$6:$J$1005,SMALL(IF(checklistPesertaKemenkeu!$AY$6:$AY$1005="Direkomendasikan",ROW($6:$1005)-5),119))=""),"",IF(AND(COUNTIF(INDIRECT("K_"&amp;MATCH(INDEX(checklistPesertaKemenkeu!$J$6:$J$1005,SMALL(IF(checklistPesertaKemenkeu!$AY$6:$AY$1005="Direkomendasikan",ROW($6:$1005)-5),119)),BidangList,0)),INDEX(checklistPesertaKemenkeu!$P$6:$P$1005,SMALL(IF(checklistPesertaKemenkeu!$AY$6:$AY$1005="Direkomendasikan",ROW($6:$1005)-5),119)))&gt;0,COUNTIF(INDIRECT("'KERTAS KERJA'!K"&amp;(SMALL(IF(checklistPesertaKemenkeu!$AY$6:$AY$1005="Direkomendasikan",ROW($6:$1005)-5),119)+5)&amp;":O"&amp;(SMALL(IF(checklistPesertaKemenkeu!$AY$6:$AY$1005="Direkomendasikan",ROW($6:$1005)-5),119)+5)),INDEX(checklistPesertaKemenkeu!$P$6:$P$1005,SMALL(IF(checklistPesertaKemenkeu!$AY$6:$AY$1005="Direkomendasikan",ROW($6:$1005)-5),119)))=1),IFERROR(VLOOKUP(INDEX(checklistPesertaKemenkeu!$P$6:$P$1005,SMALL(IF(checklistPesertaKemenkeu!$AY$6:$AY$1005="Direkomendasikan",ROW($6:$1005)-5),119)),KotaKode,2,0),"-"),"")),"")</f>
        <v/>
      </c>
    </row>
    <row r="121" spans="1:12" ht="15" customHeight="1" x14ac:dyDescent="0.2">
      <c r="A121" t="str">
        <f t="shared" si="1"/>
        <v/>
      </c>
      <c r="B121" t="str">
        <v/>
      </c>
      <c r="C121" s="40" t="str">
        <f t="array" ref="C121">IFERROR(INDEX(checklistPesertaKemenkeu!$F$6:$F$1005,SMALL(IF(checklistPesertaKemenkeu!$AY$6:$AY$1005="Direkomendasikan",ROW($6:$1005)-5),120)),"")</f>
        <v/>
      </c>
      <c r="D121" t="str">
        <f t="array" ref="D121">IFERROR(INDEX(checklistPesertaKemenkeu!$G$6:$G$1005,SMALL(IF(checklistPesertaKemenkeu!$AY$6:$AY$1005="Direkomendasikan",ROW($6:$1005)-5),120)),"")</f>
        <v/>
      </c>
      <c r="E121" t="str">
        <f t="array" ref="E121">IFERROR(INDEX(checklistPesertaKemenkeu!$H$6:$H$1005,SMALL(IF(checklistPesertaKemenkeu!$AY$6:$AY$1005="Direkomendasikan",ROW($6:$1005)-5),120)),"")</f>
        <v/>
      </c>
      <c r="F121" t="str">
        <f t="array" ref="F121">IFERROR(INDEX(checklistPesertaKemenkeu!$I$6:$I$1005,SMALL(IF(checklistPesertaKemenkeu!$AY$6:$AY$1005="Direkomendasikan",ROW($6:$1005)-5),120)),"")</f>
        <v/>
      </c>
      <c r="G121" t="str">
        <f t="array" ref="G121">IFERROR(INDEX(checklistPesertaKemenkeu!$J$6:$J$1005,SMALL(IF(checklistPesertaKemenkeu!$AY$6:$AY$1005="Direkomendasikan",ROW($6:$1005)-5),120)),"")</f>
        <v/>
      </c>
      <c r="H121" t="str">
        <f t="array" aca="1" ref="H121" ca="1">IFERROR(IF(OR(INDEX(checklistPesertaKemenkeu!$L$6:$L$1005,SMALL(IF(checklistPesertaKemenkeu!$AY$6:$AY$1005="Direkomendasikan",ROW($6:$1005)-5),120))="",INDEX(checklistPesertaKemenkeu!$J$6:$J$1005,SMALL(IF(checklistPesertaKemenkeu!$AY$6:$AY$1005="Direkomendasikan",ROW($6:$1005)-5),120))=""),"",IF(AND(COUNTIF(INDIRECT("K_"&amp;MATCH(INDEX(checklistPesertaKemenkeu!$J$6:$J$1005,SMALL(IF(checklistPesertaKemenkeu!$AY$6:$AY$1005="Direkomendasikan",ROW($6:$1005)-5),120)),BidangList,0)),INDEX(checklistPesertaKemenkeu!$L$6:$L$1005,SMALL(IF(checklistPesertaKemenkeu!$AY$6:$AY$1005="Direkomendasikan",ROW($6:$1005)-5),120)))&gt;0,COUNTIF(INDIRECT("'KERTAS KERJA'!K"&amp;(SMALL(IF(checklistPesertaKemenkeu!$AY$6:$AY$1005="Direkomendasikan",ROW($6:$1005)-5),120)+5)&amp;":O"&amp;(SMALL(IF(checklistPesertaKemenkeu!$AY$6:$AY$1005="Direkomendasikan",ROW($6:$1005)-5),120)+5)),INDEX(checklistPesertaKemenkeu!$L$6:$L$1005,SMALL(IF(checklistPesertaKemenkeu!$AY$6:$AY$1005="Direkomendasikan",ROW($6:$1005)-5),120)))=1),IFERROR(VLOOKUP(INDEX(checklistPesertaKemenkeu!$L$6:$L$1005,SMALL(IF(checklistPesertaKemenkeu!$AY$6:$AY$1005="Direkomendasikan",ROW($6:$1005)-5),120)),KotaKode,2,0),"-"),"")),"")</f>
        <v/>
      </c>
      <c r="I121" t="str">
        <f t="array" aca="1" ref="I121" ca="1">IFERROR(IF(OR(INDEX(checklistPesertaKemenkeu!$M$6:$M$1005,SMALL(IF(checklistPesertaKemenkeu!$AY$6:$AY$1005="Direkomendasikan",ROW($6:$1005)-5),120))="",INDEX(checklistPesertaKemenkeu!$J$6:$J$1005,SMALL(IF(checklistPesertaKemenkeu!$AY$6:$AY$1005="Direkomendasikan",ROW($6:$1005)-5),120))=""),"",IF(AND(COUNTIF(INDIRECT("K_"&amp;MATCH(INDEX(checklistPesertaKemenkeu!$J$6:$J$1005,SMALL(IF(checklistPesertaKemenkeu!$AY$6:$AY$1005="Direkomendasikan",ROW($6:$1005)-5),120)),BidangList,0)),INDEX(checklistPesertaKemenkeu!$M$6:$M$1005,SMALL(IF(checklistPesertaKemenkeu!$AY$6:$AY$1005="Direkomendasikan",ROW($6:$1005)-5),120)))&gt;0,COUNTIF(INDIRECT("'KERTAS KERJA'!K"&amp;(SMALL(IF(checklistPesertaKemenkeu!$AY$6:$AY$1005="Direkomendasikan",ROW($6:$1005)-5),120)+5)&amp;":O"&amp;(SMALL(IF(checklistPesertaKemenkeu!$AY$6:$AY$1005="Direkomendasikan",ROW($6:$1005)-5),120)+5)),INDEX(checklistPesertaKemenkeu!$M$6:$M$1005,SMALL(IF(checklistPesertaKemenkeu!$AY$6:$AY$1005="Direkomendasikan",ROW($6:$1005)-5),120)))=1),IFERROR(VLOOKUP(INDEX(checklistPesertaKemenkeu!$M$6:$M$1005,SMALL(IF(checklistPesertaKemenkeu!$AY$6:$AY$1005="Direkomendasikan",ROW($6:$1005)-5),120)),KotaKode,2,0),"-"),"")),"")</f>
        <v/>
      </c>
      <c r="J121" t="str">
        <f t="array" aca="1" ref="J121" ca="1">IFERROR(IF(OR(INDEX(checklistPesertaKemenkeu!$N$6:$N$1005,SMALL(IF(checklistPesertaKemenkeu!$AY$6:$AY$1005="Direkomendasikan",ROW($6:$1005)-5),120))="",INDEX(checklistPesertaKemenkeu!$J$6:$J$1005,SMALL(IF(checklistPesertaKemenkeu!$AY$6:$AY$1005="Direkomendasikan",ROW($6:$1005)-5),120))=""),"",IF(AND(COUNTIF(INDIRECT("K_"&amp;MATCH(INDEX(checklistPesertaKemenkeu!$J$6:$J$1005,SMALL(IF(checklistPesertaKemenkeu!$AY$6:$AY$1005="Direkomendasikan",ROW($6:$1005)-5),120)),BidangList,0)),INDEX(checklistPesertaKemenkeu!$N$6:$N$1005,SMALL(IF(checklistPesertaKemenkeu!$AY$6:$AY$1005="Direkomendasikan",ROW($6:$1005)-5),120)))&gt;0,COUNTIF(INDIRECT("'KERTAS KERJA'!K"&amp;(SMALL(IF(checklistPesertaKemenkeu!$AY$6:$AY$1005="Direkomendasikan",ROW($6:$1005)-5),120)+5)&amp;":O"&amp;(SMALL(IF(checklistPesertaKemenkeu!$AY$6:$AY$1005="Direkomendasikan",ROW($6:$1005)-5),120)+5)),INDEX(checklistPesertaKemenkeu!$N$6:$N$1005,SMALL(IF(checklistPesertaKemenkeu!$AY$6:$AY$1005="Direkomendasikan",ROW($6:$1005)-5),120)))=1),IFERROR(VLOOKUP(INDEX(checklistPesertaKemenkeu!$N$6:$N$1005,SMALL(IF(checklistPesertaKemenkeu!$AY$6:$AY$1005="Direkomendasikan",ROW($6:$1005)-5),120)),KotaKode,2,0),"-"),"")),"")</f>
        <v/>
      </c>
      <c r="K121" t="str">
        <f t="array" aca="1" ref="K121" ca="1">IFERROR(IF(OR(INDEX(checklistPesertaKemenkeu!$O$6:$O$1005,SMALL(IF(checklistPesertaKemenkeu!$AY$6:$AY$1005="Direkomendasikan",ROW($6:$1005)-5),120))="",INDEX(checklistPesertaKemenkeu!$J$6:$J$1005,SMALL(IF(checklistPesertaKemenkeu!$AY$6:$AY$1005="Direkomendasikan",ROW($6:$1005)-5),120))=""),"",IF(AND(COUNTIF(INDIRECT("K_"&amp;MATCH(INDEX(checklistPesertaKemenkeu!$J$6:$J$1005,SMALL(IF(checklistPesertaKemenkeu!$AY$6:$AY$1005="Direkomendasikan",ROW($6:$1005)-5),120)),BidangList,0)),INDEX(checklistPesertaKemenkeu!$O$6:$O$1005,SMALL(IF(checklistPesertaKemenkeu!$AY$6:$AY$1005="Direkomendasikan",ROW($6:$1005)-5),120)))&gt;0,COUNTIF(INDIRECT("'KERTAS KERJA'!K"&amp;(SMALL(IF(checklistPesertaKemenkeu!$AY$6:$AY$1005="Direkomendasikan",ROW($6:$1005)-5),120)+5)&amp;":O"&amp;(SMALL(IF(checklistPesertaKemenkeu!$AY$6:$AY$1005="Direkomendasikan",ROW($6:$1005)-5),120)+5)),INDEX(checklistPesertaKemenkeu!$O$6:$O$1005,SMALL(IF(checklistPesertaKemenkeu!$AY$6:$AY$1005="Direkomendasikan",ROW($6:$1005)-5),120)))=1),IFERROR(VLOOKUP(INDEX(checklistPesertaKemenkeu!$O$6:$O$1005,SMALL(IF(checklistPesertaKemenkeu!$AY$6:$AY$1005="Direkomendasikan",ROW($6:$1005)-5),120)),KotaKode,2,0),"-"),"")),"")</f>
        <v/>
      </c>
      <c r="L121" t="str">
        <f t="array" aca="1" ref="L121" ca="1">IFERROR(IF(OR(INDEX(checklistPesertaKemenkeu!$P$6:$P$1005,SMALL(IF(checklistPesertaKemenkeu!$AY$6:$AY$1005="Direkomendasikan",ROW($6:$1005)-5),120))="",INDEX(checklistPesertaKemenkeu!$J$6:$J$1005,SMALL(IF(checklistPesertaKemenkeu!$AY$6:$AY$1005="Direkomendasikan",ROW($6:$1005)-5),120))=""),"",IF(AND(COUNTIF(INDIRECT("K_"&amp;MATCH(INDEX(checklistPesertaKemenkeu!$J$6:$J$1005,SMALL(IF(checklistPesertaKemenkeu!$AY$6:$AY$1005="Direkomendasikan",ROW($6:$1005)-5),120)),BidangList,0)),INDEX(checklistPesertaKemenkeu!$P$6:$P$1005,SMALL(IF(checklistPesertaKemenkeu!$AY$6:$AY$1005="Direkomendasikan",ROW($6:$1005)-5),120)))&gt;0,COUNTIF(INDIRECT("'KERTAS KERJA'!K"&amp;(SMALL(IF(checklistPesertaKemenkeu!$AY$6:$AY$1005="Direkomendasikan",ROW($6:$1005)-5),120)+5)&amp;":O"&amp;(SMALL(IF(checklistPesertaKemenkeu!$AY$6:$AY$1005="Direkomendasikan",ROW($6:$1005)-5),120)+5)),INDEX(checklistPesertaKemenkeu!$P$6:$P$1005,SMALL(IF(checklistPesertaKemenkeu!$AY$6:$AY$1005="Direkomendasikan",ROW($6:$1005)-5),120)))=1),IFERROR(VLOOKUP(INDEX(checklistPesertaKemenkeu!$P$6:$P$1005,SMALL(IF(checklistPesertaKemenkeu!$AY$6:$AY$1005="Direkomendasikan",ROW($6:$1005)-5),120)),KotaKode,2,0),"-"),"")),"")</f>
        <v/>
      </c>
    </row>
    <row r="122" spans="1:12" ht="15" customHeight="1" x14ac:dyDescent="0.2">
      <c r="A122" t="str">
        <f t="shared" si="1"/>
        <v/>
      </c>
      <c r="B122" t="str">
        <v/>
      </c>
      <c r="C122" s="40" t="str">
        <f t="array" ref="C122">IFERROR(INDEX(checklistPesertaKemenkeu!$F$6:$F$1005,SMALL(IF(checklistPesertaKemenkeu!$AY$6:$AY$1005="Direkomendasikan",ROW($6:$1005)-5),121)),"")</f>
        <v/>
      </c>
      <c r="D122" t="str">
        <f t="array" ref="D122">IFERROR(INDEX(checklistPesertaKemenkeu!$G$6:$G$1005,SMALL(IF(checklistPesertaKemenkeu!$AY$6:$AY$1005="Direkomendasikan",ROW($6:$1005)-5),121)),"")</f>
        <v/>
      </c>
      <c r="E122" t="str">
        <f t="array" ref="E122">IFERROR(INDEX(checklistPesertaKemenkeu!$H$6:$H$1005,SMALL(IF(checklistPesertaKemenkeu!$AY$6:$AY$1005="Direkomendasikan",ROW($6:$1005)-5),121)),"")</f>
        <v/>
      </c>
      <c r="F122" t="str">
        <f t="array" ref="F122">IFERROR(INDEX(checklistPesertaKemenkeu!$I$6:$I$1005,SMALL(IF(checklistPesertaKemenkeu!$AY$6:$AY$1005="Direkomendasikan",ROW($6:$1005)-5),121)),"")</f>
        <v/>
      </c>
      <c r="G122" t="str">
        <f t="array" ref="G122">IFERROR(INDEX(checklistPesertaKemenkeu!$J$6:$J$1005,SMALL(IF(checklistPesertaKemenkeu!$AY$6:$AY$1005="Direkomendasikan",ROW($6:$1005)-5),121)),"")</f>
        <v/>
      </c>
      <c r="H122" t="str">
        <f t="array" aca="1" ref="H122" ca="1">IFERROR(IF(OR(INDEX(checklistPesertaKemenkeu!$L$6:$L$1005,SMALL(IF(checklistPesertaKemenkeu!$AY$6:$AY$1005="Direkomendasikan",ROW($6:$1005)-5),121))="",INDEX(checklistPesertaKemenkeu!$J$6:$J$1005,SMALL(IF(checklistPesertaKemenkeu!$AY$6:$AY$1005="Direkomendasikan",ROW($6:$1005)-5),121))=""),"",IF(AND(COUNTIF(INDIRECT("K_"&amp;MATCH(INDEX(checklistPesertaKemenkeu!$J$6:$J$1005,SMALL(IF(checklistPesertaKemenkeu!$AY$6:$AY$1005="Direkomendasikan",ROW($6:$1005)-5),121)),BidangList,0)),INDEX(checklistPesertaKemenkeu!$L$6:$L$1005,SMALL(IF(checklistPesertaKemenkeu!$AY$6:$AY$1005="Direkomendasikan",ROW($6:$1005)-5),121)))&gt;0,COUNTIF(INDIRECT("'KERTAS KERJA'!K"&amp;(SMALL(IF(checklistPesertaKemenkeu!$AY$6:$AY$1005="Direkomendasikan",ROW($6:$1005)-5),121)+5)&amp;":O"&amp;(SMALL(IF(checklistPesertaKemenkeu!$AY$6:$AY$1005="Direkomendasikan",ROW($6:$1005)-5),121)+5)),INDEX(checklistPesertaKemenkeu!$L$6:$L$1005,SMALL(IF(checklistPesertaKemenkeu!$AY$6:$AY$1005="Direkomendasikan",ROW($6:$1005)-5),121)))=1),IFERROR(VLOOKUP(INDEX(checklistPesertaKemenkeu!$L$6:$L$1005,SMALL(IF(checklistPesertaKemenkeu!$AY$6:$AY$1005="Direkomendasikan",ROW($6:$1005)-5),121)),KotaKode,2,0),"-"),"")),"")</f>
        <v/>
      </c>
      <c r="I122" t="str">
        <f t="array" aca="1" ref="I122" ca="1">IFERROR(IF(OR(INDEX(checklistPesertaKemenkeu!$M$6:$M$1005,SMALL(IF(checklistPesertaKemenkeu!$AY$6:$AY$1005="Direkomendasikan",ROW($6:$1005)-5),121))="",INDEX(checklistPesertaKemenkeu!$J$6:$J$1005,SMALL(IF(checklistPesertaKemenkeu!$AY$6:$AY$1005="Direkomendasikan",ROW($6:$1005)-5),121))=""),"",IF(AND(COUNTIF(INDIRECT("K_"&amp;MATCH(INDEX(checklistPesertaKemenkeu!$J$6:$J$1005,SMALL(IF(checklistPesertaKemenkeu!$AY$6:$AY$1005="Direkomendasikan",ROW($6:$1005)-5),121)),BidangList,0)),INDEX(checklistPesertaKemenkeu!$M$6:$M$1005,SMALL(IF(checklistPesertaKemenkeu!$AY$6:$AY$1005="Direkomendasikan",ROW($6:$1005)-5),121)))&gt;0,COUNTIF(INDIRECT("'KERTAS KERJA'!K"&amp;(SMALL(IF(checklistPesertaKemenkeu!$AY$6:$AY$1005="Direkomendasikan",ROW($6:$1005)-5),121)+5)&amp;":O"&amp;(SMALL(IF(checklistPesertaKemenkeu!$AY$6:$AY$1005="Direkomendasikan",ROW($6:$1005)-5),121)+5)),INDEX(checklistPesertaKemenkeu!$M$6:$M$1005,SMALL(IF(checklistPesertaKemenkeu!$AY$6:$AY$1005="Direkomendasikan",ROW($6:$1005)-5),121)))=1),IFERROR(VLOOKUP(INDEX(checklistPesertaKemenkeu!$M$6:$M$1005,SMALL(IF(checklistPesertaKemenkeu!$AY$6:$AY$1005="Direkomendasikan",ROW($6:$1005)-5),121)),KotaKode,2,0),"-"),"")),"")</f>
        <v/>
      </c>
      <c r="J122" t="str">
        <f t="array" aca="1" ref="J122" ca="1">IFERROR(IF(OR(INDEX(checklistPesertaKemenkeu!$N$6:$N$1005,SMALL(IF(checklistPesertaKemenkeu!$AY$6:$AY$1005="Direkomendasikan",ROW($6:$1005)-5),121))="",INDEX(checklistPesertaKemenkeu!$J$6:$J$1005,SMALL(IF(checklistPesertaKemenkeu!$AY$6:$AY$1005="Direkomendasikan",ROW($6:$1005)-5),121))=""),"",IF(AND(COUNTIF(INDIRECT("K_"&amp;MATCH(INDEX(checklistPesertaKemenkeu!$J$6:$J$1005,SMALL(IF(checklistPesertaKemenkeu!$AY$6:$AY$1005="Direkomendasikan",ROW($6:$1005)-5),121)),BidangList,0)),INDEX(checklistPesertaKemenkeu!$N$6:$N$1005,SMALL(IF(checklistPesertaKemenkeu!$AY$6:$AY$1005="Direkomendasikan",ROW($6:$1005)-5),121)))&gt;0,COUNTIF(INDIRECT("'KERTAS KERJA'!K"&amp;(SMALL(IF(checklistPesertaKemenkeu!$AY$6:$AY$1005="Direkomendasikan",ROW($6:$1005)-5),121)+5)&amp;":O"&amp;(SMALL(IF(checklistPesertaKemenkeu!$AY$6:$AY$1005="Direkomendasikan",ROW($6:$1005)-5),121)+5)),INDEX(checklistPesertaKemenkeu!$N$6:$N$1005,SMALL(IF(checklistPesertaKemenkeu!$AY$6:$AY$1005="Direkomendasikan",ROW($6:$1005)-5),121)))=1),IFERROR(VLOOKUP(INDEX(checklistPesertaKemenkeu!$N$6:$N$1005,SMALL(IF(checklistPesertaKemenkeu!$AY$6:$AY$1005="Direkomendasikan",ROW($6:$1005)-5),121)),KotaKode,2,0),"-"),"")),"")</f>
        <v/>
      </c>
      <c r="K122" t="str">
        <f t="array" aca="1" ref="K122" ca="1">IFERROR(IF(OR(INDEX(checklistPesertaKemenkeu!$O$6:$O$1005,SMALL(IF(checklistPesertaKemenkeu!$AY$6:$AY$1005="Direkomendasikan",ROW($6:$1005)-5),121))="",INDEX(checklistPesertaKemenkeu!$J$6:$J$1005,SMALL(IF(checklistPesertaKemenkeu!$AY$6:$AY$1005="Direkomendasikan",ROW($6:$1005)-5),121))=""),"",IF(AND(COUNTIF(INDIRECT("K_"&amp;MATCH(INDEX(checklistPesertaKemenkeu!$J$6:$J$1005,SMALL(IF(checklistPesertaKemenkeu!$AY$6:$AY$1005="Direkomendasikan",ROW($6:$1005)-5),121)),BidangList,0)),INDEX(checklistPesertaKemenkeu!$O$6:$O$1005,SMALL(IF(checklistPesertaKemenkeu!$AY$6:$AY$1005="Direkomendasikan",ROW($6:$1005)-5),121)))&gt;0,COUNTIF(INDIRECT("'KERTAS KERJA'!K"&amp;(SMALL(IF(checklistPesertaKemenkeu!$AY$6:$AY$1005="Direkomendasikan",ROW($6:$1005)-5),121)+5)&amp;":O"&amp;(SMALL(IF(checklistPesertaKemenkeu!$AY$6:$AY$1005="Direkomendasikan",ROW($6:$1005)-5),121)+5)),INDEX(checklistPesertaKemenkeu!$O$6:$O$1005,SMALL(IF(checklistPesertaKemenkeu!$AY$6:$AY$1005="Direkomendasikan",ROW($6:$1005)-5),121)))=1),IFERROR(VLOOKUP(INDEX(checklistPesertaKemenkeu!$O$6:$O$1005,SMALL(IF(checklistPesertaKemenkeu!$AY$6:$AY$1005="Direkomendasikan",ROW($6:$1005)-5),121)),KotaKode,2,0),"-"),"")),"")</f>
        <v/>
      </c>
      <c r="L122" t="str">
        <f t="array" aca="1" ref="L122" ca="1">IFERROR(IF(OR(INDEX(checklistPesertaKemenkeu!$P$6:$P$1005,SMALL(IF(checklistPesertaKemenkeu!$AY$6:$AY$1005="Direkomendasikan",ROW($6:$1005)-5),121))="",INDEX(checklistPesertaKemenkeu!$J$6:$J$1005,SMALL(IF(checklistPesertaKemenkeu!$AY$6:$AY$1005="Direkomendasikan",ROW($6:$1005)-5),121))=""),"",IF(AND(COUNTIF(INDIRECT("K_"&amp;MATCH(INDEX(checklistPesertaKemenkeu!$J$6:$J$1005,SMALL(IF(checklistPesertaKemenkeu!$AY$6:$AY$1005="Direkomendasikan",ROW($6:$1005)-5),121)),BidangList,0)),INDEX(checklistPesertaKemenkeu!$P$6:$P$1005,SMALL(IF(checklistPesertaKemenkeu!$AY$6:$AY$1005="Direkomendasikan",ROW($6:$1005)-5),121)))&gt;0,COUNTIF(INDIRECT("'KERTAS KERJA'!K"&amp;(SMALL(IF(checklistPesertaKemenkeu!$AY$6:$AY$1005="Direkomendasikan",ROW($6:$1005)-5),121)+5)&amp;":O"&amp;(SMALL(IF(checklistPesertaKemenkeu!$AY$6:$AY$1005="Direkomendasikan",ROW($6:$1005)-5),121)+5)),INDEX(checklistPesertaKemenkeu!$P$6:$P$1005,SMALL(IF(checklistPesertaKemenkeu!$AY$6:$AY$1005="Direkomendasikan",ROW($6:$1005)-5),121)))=1),IFERROR(VLOOKUP(INDEX(checklistPesertaKemenkeu!$P$6:$P$1005,SMALL(IF(checklistPesertaKemenkeu!$AY$6:$AY$1005="Direkomendasikan",ROW($6:$1005)-5),121)),KotaKode,2,0),"-"),"")),"")</f>
        <v/>
      </c>
    </row>
    <row r="123" spans="1:12" ht="15" customHeight="1" x14ac:dyDescent="0.2">
      <c r="A123" t="str">
        <f t="shared" si="1"/>
        <v/>
      </c>
      <c r="B123" t="str">
        <v/>
      </c>
      <c r="C123" s="40" t="str">
        <f t="array" ref="C123">IFERROR(INDEX(checklistPesertaKemenkeu!$F$6:$F$1005,SMALL(IF(checklistPesertaKemenkeu!$AY$6:$AY$1005="Direkomendasikan",ROW($6:$1005)-5),122)),"")</f>
        <v/>
      </c>
      <c r="D123" t="str">
        <f t="array" ref="D123">IFERROR(INDEX(checklistPesertaKemenkeu!$G$6:$G$1005,SMALL(IF(checklistPesertaKemenkeu!$AY$6:$AY$1005="Direkomendasikan",ROW($6:$1005)-5),122)),"")</f>
        <v/>
      </c>
      <c r="E123" t="str">
        <f t="array" ref="E123">IFERROR(INDEX(checklistPesertaKemenkeu!$H$6:$H$1005,SMALL(IF(checklistPesertaKemenkeu!$AY$6:$AY$1005="Direkomendasikan",ROW($6:$1005)-5),122)),"")</f>
        <v/>
      </c>
      <c r="F123" t="str">
        <f t="array" ref="F123">IFERROR(INDEX(checklistPesertaKemenkeu!$I$6:$I$1005,SMALL(IF(checklistPesertaKemenkeu!$AY$6:$AY$1005="Direkomendasikan",ROW($6:$1005)-5),122)),"")</f>
        <v/>
      </c>
      <c r="G123" t="str">
        <f t="array" ref="G123">IFERROR(INDEX(checklistPesertaKemenkeu!$J$6:$J$1005,SMALL(IF(checklistPesertaKemenkeu!$AY$6:$AY$1005="Direkomendasikan",ROW($6:$1005)-5),122)),"")</f>
        <v/>
      </c>
      <c r="H123" t="str">
        <f t="array" aca="1" ref="H123" ca="1">IFERROR(IF(OR(INDEX(checklistPesertaKemenkeu!$L$6:$L$1005,SMALL(IF(checklistPesertaKemenkeu!$AY$6:$AY$1005="Direkomendasikan",ROW($6:$1005)-5),122))="",INDEX(checklistPesertaKemenkeu!$J$6:$J$1005,SMALL(IF(checklistPesertaKemenkeu!$AY$6:$AY$1005="Direkomendasikan",ROW($6:$1005)-5),122))=""),"",IF(AND(COUNTIF(INDIRECT("K_"&amp;MATCH(INDEX(checklistPesertaKemenkeu!$J$6:$J$1005,SMALL(IF(checklistPesertaKemenkeu!$AY$6:$AY$1005="Direkomendasikan",ROW($6:$1005)-5),122)),BidangList,0)),INDEX(checklistPesertaKemenkeu!$L$6:$L$1005,SMALL(IF(checklistPesertaKemenkeu!$AY$6:$AY$1005="Direkomendasikan",ROW($6:$1005)-5),122)))&gt;0,COUNTIF(INDIRECT("'KERTAS KERJA'!K"&amp;(SMALL(IF(checklistPesertaKemenkeu!$AY$6:$AY$1005="Direkomendasikan",ROW($6:$1005)-5),122)+5)&amp;":O"&amp;(SMALL(IF(checklistPesertaKemenkeu!$AY$6:$AY$1005="Direkomendasikan",ROW($6:$1005)-5),122)+5)),INDEX(checklistPesertaKemenkeu!$L$6:$L$1005,SMALL(IF(checklistPesertaKemenkeu!$AY$6:$AY$1005="Direkomendasikan",ROW($6:$1005)-5),122)))=1),IFERROR(VLOOKUP(INDEX(checklistPesertaKemenkeu!$L$6:$L$1005,SMALL(IF(checklistPesertaKemenkeu!$AY$6:$AY$1005="Direkomendasikan",ROW($6:$1005)-5),122)),KotaKode,2,0),"-"),"")),"")</f>
        <v/>
      </c>
      <c r="I123" t="str">
        <f t="array" aca="1" ref="I123" ca="1">IFERROR(IF(OR(INDEX(checklistPesertaKemenkeu!$M$6:$M$1005,SMALL(IF(checklistPesertaKemenkeu!$AY$6:$AY$1005="Direkomendasikan",ROW($6:$1005)-5),122))="",INDEX(checklistPesertaKemenkeu!$J$6:$J$1005,SMALL(IF(checklistPesertaKemenkeu!$AY$6:$AY$1005="Direkomendasikan",ROW($6:$1005)-5),122))=""),"",IF(AND(COUNTIF(INDIRECT("K_"&amp;MATCH(INDEX(checklistPesertaKemenkeu!$J$6:$J$1005,SMALL(IF(checklistPesertaKemenkeu!$AY$6:$AY$1005="Direkomendasikan",ROW($6:$1005)-5),122)),BidangList,0)),INDEX(checklistPesertaKemenkeu!$M$6:$M$1005,SMALL(IF(checklistPesertaKemenkeu!$AY$6:$AY$1005="Direkomendasikan",ROW($6:$1005)-5),122)))&gt;0,COUNTIF(INDIRECT("'KERTAS KERJA'!K"&amp;(SMALL(IF(checklistPesertaKemenkeu!$AY$6:$AY$1005="Direkomendasikan",ROW($6:$1005)-5),122)+5)&amp;":O"&amp;(SMALL(IF(checklistPesertaKemenkeu!$AY$6:$AY$1005="Direkomendasikan",ROW($6:$1005)-5),122)+5)),INDEX(checklistPesertaKemenkeu!$M$6:$M$1005,SMALL(IF(checklistPesertaKemenkeu!$AY$6:$AY$1005="Direkomendasikan",ROW($6:$1005)-5),122)))=1),IFERROR(VLOOKUP(INDEX(checklistPesertaKemenkeu!$M$6:$M$1005,SMALL(IF(checklistPesertaKemenkeu!$AY$6:$AY$1005="Direkomendasikan",ROW($6:$1005)-5),122)),KotaKode,2,0),"-"),"")),"")</f>
        <v/>
      </c>
      <c r="J123" t="str">
        <f t="array" aca="1" ref="J123" ca="1">IFERROR(IF(OR(INDEX(checklistPesertaKemenkeu!$N$6:$N$1005,SMALL(IF(checklistPesertaKemenkeu!$AY$6:$AY$1005="Direkomendasikan",ROW($6:$1005)-5),122))="",INDEX(checklistPesertaKemenkeu!$J$6:$J$1005,SMALL(IF(checklistPesertaKemenkeu!$AY$6:$AY$1005="Direkomendasikan",ROW($6:$1005)-5),122))=""),"",IF(AND(COUNTIF(INDIRECT("K_"&amp;MATCH(INDEX(checklistPesertaKemenkeu!$J$6:$J$1005,SMALL(IF(checklistPesertaKemenkeu!$AY$6:$AY$1005="Direkomendasikan",ROW($6:$1005)-5),122)),BidangList,0)),INDEX(checklistPesertaKemenkeu!$N$6:$N$1005,SMALL(IF(checklistPesertaKemenkeu!$AY$6:$AY$1005="Direkomendasikan",ROW($6:$1005)-5),122)))&gt;0,COUNTIF(INDIRECT("'KERTAS KERJA'!K"&amp;(SMALL(IF(checklistPesertaKemenkeu!$AY$6:$AY$1005="Direkomendasikan",ROW($6:$1005)-5),122)+5)&amp;":O"&amp;(SMALL(IF(checklistPesertaKemenkeu!$AY$6:$AY$1005="Direkomendasikan",ROW($6:$1005)-5),122)+5)),INDEX(checklistPesertaKemenkeu!$N$6:$N$1005,SMALL(IF(checklistPesertaKemenkeu!$AY$6:$AY$1005="Direkomendasikan",ROW($6:$1005)-5),122)))=1),IFERROR(VLOOKUP(INDEX(checklistPesertaKemenkeu!$N$6:$N$1005,SMALL(IF(checklistPesertaKemenkeu!$AY$6:$AY$1005="Direkomendasikan",ROW($6:$1005)-5),122)),KotaKode,2,0),"-"),"")),"")</f>
        <v/>
      </c>
      <c r="K123" t="str">
        <f t="array" aca="1" ref="K123" ca="1">IFERROR(IF(OR(INDEX(checklistPesertaKemenkeu!$O$6:$O$1005,SMALL(IF(checklistPesertaKemenkeu!$AY$6:$AY$1005="Direkomendasikan",ROW($6:$1005)-5),122))="",INDEX(checklistPesertaKemenkeu!$J$6:$J$1005,SMALL(IF(checklistPesertaKemenkeu!$AY$6:$AY$1005="Direkomendasikan",ROW($6:$1005)-5),122))=""),"",IF(AND(COUNTIF(INDIRECT("K_"&amp;MATCH(INDEX(checklistPesertaKemenkeu!$J$6:$J$1005,SMALL(IF(checklistPesertaKemenkeu!$AY$6:$AY$1005="Direkomendasikan",ROW($6:$1005)-5),122)),BidangList,0)),INDEX(checklistPesertaKemenkeu!$O$6:$O$1005,SMALL(IF(checklistPesertaKemenkeu!$AY$6:$AY$1005="Direkomendasikan",ROW($6:$1005)-5),122)))&gt;0,COUNTIF(INDIRECT("'KERTAS KERJA'!K"&amp;(SMALL(IF(checklistPesertaKemenkeu!$AY$6:$AY$1005="Direkomendasikan",ROW($6:$1005)-5),122)+5)&amp;":O"&amp;(SMALL(IF(checklistPesertaKemenkeu!$AY$6:$AY$1005="Direkomendasikan",ROW($6:$1005)-5),122)+5)),INDEX(checklistPesertaKemenkeu!$O$6:$O$1005,SMALL(IF(checklistPesertaKemenkeu!$AY$6:$AY$1005="Direkomendasikan",ROW($6:$1005)-5),122)))=1),IFERROR(VLOOKUP(INDEX(checklistPesertaKemenkeu!$O$6:$O$1005,SMALL(IF(checklistPesertaKemenkeu!$AY$6:$AY$1005="Direkomendasikan",ROW($6:$1005)-5),122)),KotaKode,2,0),"-"),"")),"")</f>
        <v/>
      </c>
      <c r="L123" t="str">
        <f t="array" aca="1" ref="L123" ca="1">IFERROR(IF(OR(INDEX(checklistPesertaKemenkeu!$P$6:$P$1005,SMALL(IF(checklistPesertaKemenkeu!$AY$6:$AY$1005="Direkomendasikan",ROW($6:$1005)-5),122))="",INDEX(checklistPesertaKemenkeu!$J$6:$J$1005,SMALL(IF(checklistPesertaKemenkeu!$AY$6:$AY$1005="Direkomendasikan",ROW($6:$1005)-5),122))=""),"",IF(AND(COUNTIF(INDIRECT("K_"&amp;MATCH(INDEX(checklistPesertaKemenkeu!$J$6:$J$1005,SMALL(IF(checklistPesertaKemenkeu!$AY$6:$AY$1005="Direkomendasikan",ROW($6:$1005)-5),122)),BidangList,0)),INDEX(checklistPesertaKemenkeu!$P$6:$P$1005,SMALL(IF(checklistPesertaKemenkeu!$AY$6:$AY$1005="Direkomendasikan",ROW($6:$1005)-5),122)))&gt;0,COUNTIF(INDIRECT("'KERTAS KERJA'!K"&amp;(SMALL(IF(checklistPesertaKemenkeu!$AY$6:$AY$1005="Direkomendasikan",ROW($6:$1005)-5),122)+5)&amp;":O"&amp;(SMALL(IF(checklistPesertaKemenkeu!$AY$6:$AY$1005="Direkomendasikan",ROW($6:$1005)-5),122)+5)),INDEX(checklistPesertaKemenkeu!$P$6:$P$1005,SMALL(IF(checklistPesertaKemenkeu!$AY$6:$AY$1005="Direkomendasikan",ROW($6:$1005)-5),122)))=1),IFERROR(VLOOKUP(INDEX(checklistPesertaKemenkeu!$P$6:$P$1005,SMALL(IF(checklistPesertaKemenkeu!$AY$6:$AY$1005="Direkomendasikan",ROW($6:$1005)-5),122)),KotaKode,2,0),"-"),"")),"")</f>
        <v/>
      </c>
    </row>
    <row r="124" spans="1:12" ht="15" customHeight="1" x14ac:dyDescent="0.2">
      <c r="A124" t="str">
        <f t="shared" si="1"/>
        <v/>
      </c>
      <c r="B124" t="str">
        <v/>
      </c>
      <c r="C124" s="40" t="str">
        <f t="array" ref="C124">IFERROR(INDEX(checklistPesertaKemenkeu!$F$6:$F$1005,SMALL(IF(checklistPesertaKemenkeu!$AY$6:$AY$1005="Direkomendasikan",ROW($6:$1005)-5),123)),"")</f>
        <v/>
      </c>
      <c r="D124" t="str">
        <f t="array" ref="D124">IFERROR(INDEX(checklistPesertaKemenkeu!$G$6:$G$1005,SMALL(IF(checklistPesertaKemenkeu!$AY$6:$AY$1005="Direkomendasikan",ROW($6:$1005)-5),123)),"")</f>
        <v/>
      </c>
      <c r="E124" t="str">
        <f t="array" ref="E124">IFERROR(INDEX(checklistPesertaKemenkeu!$H$6:$H$1005,SMALL(IF(checklistPesertaKemenkeu!$AY$6:$AY$1005="Direkomendasikan",ROW($6:$1005)-5),123)),"")</f>
        <v/>
      </c>
      <c r="F124" t="str">
        <f t="array" ref="F124">IFERROR(INDEX(checklistPesertaKemenkeu!$I$6:$I$1005,SMALL(IF(checklistPesertaKemenkeu!$AY$6:$AY$1005="Direkomendasikan",ROW($6:$1005)-5),123)),"")</f>
        <v/>
      </c>
      <c r="G124" t="str">
        <f t="array" ref="G124">IFERROR(INDEX(checklistPesertaKemenkeu!$J$6:$J$1005,SMALL(IF(checklistPesertaKemenkeu!$AY$6:$AY$1005="Direkomendasikan",ROW($6:$1005)-5),123)),"")</f>
        <v/>
      </c>
      <c r="H124" t="str">
        <f t="array" aca="1" ref="H124" ca="1">IFERROR(IF(OR(INDEX(checklistPesertaKemenkeu!$L$6:$L$1005,SMALL(IF(checklistPesertaKemenkeu!$AY$6:$AY$1005="Direkomendasikan",ROW($6:$1005)-5),123))="",INDEX(checklistPesertaKemenkeu!$J$6:$J$1005,SMALL(IF(checklistPesertaKemenkeu!$AY$6:$AY$1005="Direkomendasikan",ROW($6:$1005)-5),123))=""),"",IF(AND(COUNTIF(INDIRECT("K_"&amp;MATCH(INDEX(checklistPesertaKemenkeu!$J$6:$J$1005,SMALL(IF(checklistPesertaKemenkeu!$AY$6:$AY$1005="Direkomendasikan",ROW($6:$1005)-5),123)),BidangList,0)),INDEX(checklistPesertaKemenkeu!$L$6:$L$1005,SMALL(IF(checklistPesertaKemenkeu!$AY$6:$AY$1005="Direkomendasikan",ROW($6:$1005)-5),123)))&gt;0,COUNTIF(INDIRECT("'KERTAS KERJA'!K"&amp;(SMALL(IF(checklistPesertaKemenkeu!$AY$6:$AY$1005="Direkomendasikan",ROW($6:$1005)-5),123)+5)&amp;":O"&amp;(SMALL(IF(checklistPesertaKemenkeu!$AY$6:$AY$1005="Direkomendasikan",ROW($6:$1005)-5),123)+5)),INDEX(checklistPesertaKemenkeu!$L$6:$L$1005,SMALL(IF(checklistPesertaKemenkeu!$AY$6:$AY$1005="Direkomendasikan",ROW($6:$1005)-5),123)))=1),IFERROR(VLOOKUP(INDEX(checklistPesertaKemenkeu!$L$6:$L$1005,SMALL(IF(checklistPesertaKemenkeu!$AY$6:$AY$1005="Direkomendasikan",ROW($6:$1005)-5),123)),KotaKode,2,0),"-"),"")),"")</f>
        <v/>
      </c>
      <c r="I124" t="str">
        <f t="array" aca="1" ref="I124" ca="1">IFERROR(IF(OR(INDEX(checklistPesertaKemenkeu!$M$6:$M$1005,SMALL(IF(checklistPesertaKemenkeu!$AY$6:$AY$1005="Direkomendasikan",ROW($6:$1005)-5),123))="",INDEX(checklistPesertaKemenkeu!$J$6:$J$1005,SMALL(IF(checklistPesertaKemenkeu!$AY$6:$AY$1005="Direkomendasikan",ROW($6:$1005)-5),123))=""),"",IF(AND(COUNTIF(INDIRECT("K_"&amp;MATCH(INDEX(checklistPesertaKemenkeu!$J$6:$J$1005,SMALL(IF(checklistPesertaKemenkeu!$AY$6:$AY$1005="Direkomendasikan",ROW($6:$1005)-5),123)),BidangList,0)),INDEX(checklistPesertaKemenkeu!$M$6:$M$1005,SMALL(IF(checklistPesertaKemenkeu!$AY$6:$AY$1005="Direkomendasikan",ROW($6:$1005)-5),123)))&gt;0,COUNTIF(INDIRECT("'KERTAS KERJA'!K"&amp;(SMALL(IF(checklistPesertaKemenkeu!$AY$6:$AY$1005="Direkomendasikan",ROW($6:$1005)-5),123)+5)&amp;":O"&amp;(SMALL(IF(checklistPesertaKemenkeu!$AY$6:$AY$1005="Direkomendasikan",ROW($6:$1005)-5),123)+5)),INDEX(checklistPesertaKemenkeu!$M$6:$M$1005,SMALL(IF(checklistPesertaKemenkeu!$AY$6:$AY$1005="Direkomendasikan",ROW($6:$1005)-5),123)))=1),IFERROR(VLOOKUP(INDEX(checklistPesertaKemenkeu!$M$6:$M$1005,SMALL(IF(checklistPesertaKemenkeu!$AY$6:$AY$1005="Direkomendasikan",ROW($6:$1005)-5),123)),KotaKode,2,0),"-"),"")),"")</f>
        <v/>
      </c>
      <c r="J124" t="str">
        <f t="array" aca="1" ref="J124" ca="1">IFERROR(IF(OR(INDEX(checklistPesertaKemenkeu!$N$6:$N$1005,SMALL(IF(checklistPesertaKemenkeu!$AY$6:$AY$1005="Direkomendasikan",ROW($6:$1005)-5),123))="",INDEX(checklistPesertaKemenkeu!$J$6:$J$1005,SMALL(IF(checklistPesertaKemenkeu!$AY$6:$AY$1005="Direkomendasikan",ROW($6:$1005)-5),123))=""),"",IF(AND(COUNTIF(INDIRECT("K_"&amp;MATCH(INDEX(checklistPesertaKemenkeu!$J$6:$J$1005,SMALL(IF(checklistPesertaKemenkeu!$AY$6:$AY$1005="Direkomendasikan",ROW($6:$1005)-5),123)),BidangList,0)),INDEX(checklistPesertaKemenkeu!$N$6:$N$1005,SMALL(IF(checklistPesertaKemenkeu!$AY$6:$AY$1005="Direkomendasikan",ROW($6:$1005)-5),123)))&gt;0,COUNTIF(INDIRECT("'KERTAS KERJA'!K"&amp;(SMALL(IF(checklistPesertaKemenkeu!$AY$6:$AY$1005="Direkomendasikan",ROW($6:$1005)-5),123)+5)&amp;":O"&amp;(SMALL(IF(checklistPesertaKemenkeu!$AY$6:$AY$1005="Direkomendasikan",ROW($6:$1005)-5),123)+5)),INDEX(checklistPesertaKemenkeu!$N$6:$N$1005,SMALL(IF(checklistPesertaKemenkeu!$AY$6:$AY$1005="Direkomendasikan",ROW($6:$1005)-5),123)))=1),IFERROR(VLOOKUP(INDEX(checklistPesertaKemenkeu!$N$6:$N$1005,SMALL(IF(checklistPesertaKemenkeu!$AY$6:$AY$1005="Direkomendasikan",ROW($6:$1005)-5),123)),KotaKode,2,0),"-"),"")),"")</f>
        <v/>
      </c>
      <c r="K124" t="str">
        <f t="array" aca="1" ref="K124" ca="1">IFERROR(IF(OR(INDEX(checklistPesertaKemenkeu!$O$6:$O$1005,SMALL(IF(checklistPesertaKemenkeu!$AY$6:$AY$1005="Direkomendasikan",ROW($6:$1005)-5),123))="",INDEX(checklistPesertaKemenkeu!$J$6:$J$1005,SMALL(IF(checklistPesertaKemenkeu!$AY$6:$AY$1005="Direkomendasikan",ROW($6:$1005)-5),123))=""),"",IF(AND(COUNTIF(INDIRECT("K_"&amp;MATCH(INDEX(checklistPesertaKemenkeu!$J$6:$J$1005,SMALL(IF(checklistPesertaKemenkeu!$AY$6:$AY$1005="Direkomendasikan",ROW($6:$1005)-5),123)),BidangList,0)),INDEX(checklistPesertaKemenkeu!$O$6:$O$1005,SMALL(IF(checklistPesertaKemenkeu!$AY$6:$AY$1005="Direkomendasikan",ROW($6:$1005)-5),123)))&gt;0,COUNTIF(INDIRECT("'KERTAS KERJA'!K"&amp;(SMALL(IF(checklistPesertaKemenkeu!$AY$6:$AY$1005="Direkomendasikan",ROW($6:$1005)-5),123)+5)&amp;":O"&amp;(SMALL(IF(checklistPesertaKemenkeu!$AY$6:$AY$1005="Direkomendasikan",ROW($6:$1005)-5),123)+5)),INDEX(checklistPesertaKemenkeu!$O$6:$O$1005,SMALL(IF(checklistPesertaKemenkeu!$AY$6:$AY$1005="Direkomendasikan",ROW($6:$1005)-5),123)))=1),IFERROR(VLOOKUP(INDEX(checklistPesertaKemenkeu!$O$6:$O$1005,SMALL(IF(checklistPesertaKemenkeu!$AY$6:$AY$1005="Direkomendasikan",ROW($6:$1005)-5),123)),KotaKode,2,0),"-"),"")),"")</f>
        <v/>
      </c>
      <c r="L124" t="str">
        <f t="array" aca="1" ref="L124" ca="1">IFERROR(IF(OR(INDEX(checklistPesertaKemenkeu!$P$6:$P$1005,SMALL(IF(checklistPesertaKemenkeu!$AY$6:$AY$1005="Direkomendasikan",ROW($6:$1005)-5),123))="",INDEX(checklistPesertaKemenkeu!$J$6:$J$1005,SMALL(IF(checklistPesertaKemenkeu!$AY$6:$AY$1005="Direkomendasikan",ROW($6:$1005)-5),123))=""),"",IF(AND(COUNTIF(INDIRECT("K_"&amp;MATCH(INDEX(checklistPesertaKemenkeu!$J$6:$J$1005,SMALL(IF(checklistPesertaKemenkeu!$AY$6:$AY$1005="Direkomendasikan",ROW($6:$1005)-5),123)),BidangList,0)),INDEX(checklistPesertaKemenkeu!$P$6:$P$1005,SMALL(IF(checklistPesertaKemenkeu!$AY$6:$AY$1005="Direkomendasikan",ROW($6:$1005)-5),123)))&gt;0,COUNTIF(INDIRECT("'KERTAS KERJA'!K"&amp;(SMALL(IF(checklistPesertaKemenkeu!$AY$6:$AY$1005="Direkomendasikan",ROW($6:$1005)-5),123)+5)&amp;":O"&amp;(SMALL(IF(checklistPesertaKemenkeu!$AY$6:$AY$1005="Direkomendasikan",ROW($6:$1005)-5),123)+5)),INDEX(checklistPesertaKemenkeu!$P$6:$P$1005,SMALL(IF(checklistPesertaKemenkeu!$AY$6:$AY$1005="Direkomendasikan",ROW($6:$1005)-5),123)))=1),IFERROR(VLOOKUP(INDEX(checklistPesertaKemenkeu!$P$6:$P$1005,SMALL(IF(checklistPesertaKemenkeu!$AY$6:$AY$1005="Direkomendasikan",ROW($6:$1005)-5),123)),KotaKode,2,0),"-"),"")),"")</f>
        <v/>
      </c>
    </row>
    <row r="125" spans="1:12" ht="15" customHeight="1" x14ac:dyDescent="0.2">
      <c r="A125" t="str">
        <f t="shared" si="1"/>
        <v/>
      </c>
      <c r="B125" t="str">
        <v/>
      </c>
      <c r="C125" s="40" t="str">
        <f t="array" ref="C125">IFERROR(INDEX(checklistPesertaKemenkeu!$F$6:$F$1005,SMALL(IF(checklistPesertaKemenkeu!$AY$6:$AY$1005="Direkomendasikan",ROW($6:$1005)-5),124)),"")</f>
        <v/>
      </c>
      <c r="D125" t="str">
        <f t="array" ref="D125">IFERROR(INDEX(checklistPesertaKemenkeu!$G$6:$G$1005,SMALL(IF(checklistPesertaKemenkeu!$AY$6:$AY$1005="Direkomendasikan",ROW($6:$1005)-5),124)),"")</f>
        <v/>
      </c>
      <c r="E125" t="str">
        <f t="array" ref="E125">IFERROR(INDEX(checklistPesertaKemenkeu!$H$6:$H$1005,SMALL(IF(checklistPesertaKemenkeu!$AY$6:$AY$1005="Direkomendasikan",ROW($6:$1005)-5),124)),"")</f>
        <v/>
      </c>
      <c r="F125" t="str">
        <f t="array" ref="F125">IFERROR(INDEX(checklistPesertaKemenkeu!$I$6:$I$1005,SMALL(IF(checklistPesertaKemenkeu!$AY$6:$AY$1005="Direkomendasikan",ROW($6:$1005)-5),124)),"")</f>
        <v/>
      </c>
      <c r="G125" t="str">
        <f t="array" ref="G125">IFERROR(INDEX(checklistPesertaKemenkeu!$J$6:$J$1005,SMALL(IF(checklistPesertaKemenkeu!$AY$6:$AY$1005="Direkomendasikan",ROW($6:$1005)-5),124)),"")</f>
        <v/>
      </c>
      <c r="H125" t="str">
        <f t="array" aca="1" ref="H125" ca="1">IFERROR(IF(OR(INDEX(checklistPesertaKemenkeu!$L$6:$L$1005,SMALL(IF(checklistPesertaKemenkeu!$AY$6:$AY$1005="Direkomendasikan",ROW($6:$1005)-5),124))="",INDEX(checklistPesertaKemenkeu!$J$6:$J$1005,SMALL(IF(checklistPesertaKemenkeu!$AY$6:$AY$1005="Direkomendasikan",ROW($6:$1005)-5),124))=""),"",IF(AND(COUNTIF(INDIRECT("K_"&amp;MATCH(INDEX(checklistPesertaKemenkeu!$J$6:$J$1005,SMALL(IF(checklistPesertaKemenkeu!$AY$6:$AY$1005="Direkomendasikan",ROW($6:$1005)-5),124)),BidangList,0)),INDEX(checklistPesertaKemenkeu!$L$6:$L$1005,SMALL(IF(checklistPesertaKemenkeu!$AY$6:$AY$1005="Direkomendasikan",ROW($6:$1005)-5),124)))&gt;0,COUNTIF(INDIRECT("'KERTAS KERJA'!K"&amp;(SMALL(IF(checklistPesertaKemenkeu!$AY$6:$AY$1005="Direkomendasikan",ROW($6:$1005)-5),124)+5)&amp;":O"&amp;(SMALL(IF(checklistPesertaKemenkeu!$AY$6:$AY$1005="Direkomendasikan",ROW($6:$1005)-5),124)+5)),INDEX(checklistPesertaKemenkeu!$L$6:$L$1005,SMALL(IF(checklistPesertaKemenkeu!$AY$6:$AY$1005="Direkomendasikan",ROW($6:$1005)-5),124)))=1),IFERROR(VLOOKUP(INDEX(checklistPesertaKemenkeu!$L$6:$L$1005,SMALL(IF(checklistPesertaKemenkeu!$AY$6:$AY$1005="Direkomendasikan",ROW($6:$1005)-5),124)),KotaKode,2,0),"-"),"")),"")</f>
        <v/>
      </c>
      <c r="I125" t="str">
        <f t="array" aca="1" ref="I125" ca="1">IFERROR(IF(OR(INDEX(checklistPesertaKemenkeu!$M$6:$M$1005,SMALL(IF(checklistPesertaKemenkeu!$AY$6:$AY$1005="Direkomendasikan",ROW($6:$1005)-5),124))="",INDEX(checklistPesertaKemenkeu!$J$6:$J$1005,SMALL(IF(checklistPesertaKemenkeu!$AY$6:$AY$1005="Direkomendasikan",ROW($6:$1005)-5),124))=""),"",IF(AND(COUNTIF(INDIRECT("K_"&amp;MATCH(INDEX(checklistPesertaKemenkeu!$J$6:$J$1005,SMALL(IF(checklistPesertaKemenkeu!$AY$6:$AY$1005="Direkomendasikan",ROW($6:$1005)-5),124)),BidangList,0)),INDEX(checklistPesertaKemenkeu!$M$6:$M$1005,SMALL(IF(checklistPesertaKemenkeu!$AY$6:$AY$1005="Direkomendasikan",ROW($6:$1005)-5),124)))&gt;0,COUNTIF(INDIRECT("'KERTAS KERJA'!K"&amp;(SMALL(IF(checklistPesertaKemenkeu!$AY$6:$AY$1005="Direkomendasikan",ROW($6:$1005)-5),124)+5)&amp;":O"&amp;(SMALL(IF(checklistPesertaKemenkeu!$AY$6:$AY$1005="Direkomendasikan",ROW($6:$1005)-5),124)+5)),INDEX(checklistPesertaKemenkeu!$M$6:$M$1005,SMALL(IF(checklistPesertaKemenkeu!$AY$6:$AY$1005="Direkomendasikan",ROW($6:$1005)-5),124)))=1),IFERROR(VLOOKUP(INDEX(checklistPesertaKemenkeu!$M$6:$M$1005,SMALL(IF(checklistPesertaKemenkeu!$AY$6:$AY$1005="Direkomendasikan",ROW($6:$1005)-5),124)),KotaKode,2,0),"-"),"")),"")</f>
        <v/>
      </c>
      <c r="J125" t="str">
        <f t="array" aca="1" ref="J125" ca="1">IFERROR(IF(OR(INDEX(checklistPesertaKemenkeu!$N$6:$N$1005,SMALL(IF(checklistPesertaKemenkeu!$AY$6:$AY$1005="Direkomendasikan",ROW($6:$1005)-5),124))="",INDEX(checklistPesertaKemenkeu!$J$6:$J$1005,SMALL(IF(checklistPesertaKemenkeu!$AY$6:$AY$1005="Direkomendasikan",ROW($6:$1005)-5),124))=""),"",IF(AND(COUNTIF(INDIRECT("K_"&amp;MATCH(INDEX(checklistPesertaKemenkeu!$J$6:$J$1005,SMALL(IF(checklistPesertaKemenkeu!$AY$6:$AY$1005="Direkomendasikan",ROW($6:$1005)-5),124)),BidangList,0)),INDEX(checklistPesertaKemenkeu!$N$6:$N$1005,SMALL(IF(checklistPesertaKemenkeu!$AY$6:$AY$1005="Direkomendasikan",ROW($6:$1005)-5),124)))&gt;0,COUNTIF(INDIRECT("'KERTAS KERJA'!K"&amp;(SMALL(IF(checklistPesertaKemenkeu!$AY$6:$AY$1005="Direkomendasikan",ROW($6:$1005)-5),124)+5)&amp;":O"&amp;(SMALL(IF(checklistPesertaKemenkeu!$AY$6:$AY$1005="Direkomendasikan",ROW($6:$1005)-5),124)+5)),INDEX(checklistPesertaKemenkeu!$N$6:$N$1005,SMALL(IF(checklistPesertaKemenkeu!$AY$6:$AY$1005="Direkomendasikan",ROW($6:$1005)-5),124)))=1),IFERROR(VLOOKUP(INDEX(checklistPesertaKemenkeu!$N$6:$N$1005,SMALL(IF(checklistPesertaKemenkeu!$AY$6:$AY$1005="Direkomendasikan",ROW($6:$1005)-5),124)),KotaKode,2,0),"-"),"")),"")</f>
        <v/>
      </c>
      <c r="K125" t="str">
        <f t="array" aca="1" ref="K125" ca="1">IFERROR(IF(OR(INDEX(checklistPesertaKemenkeu!$O$6:$O$1005,SMALL(IF(checklistPesertaKemenkeu!$AY$6:$AY$1005="Direkomendasikan",ROW($6:$1005)-5),124))="",INDEX(checklistPesertaKemenkeu!$J$6:$J$1005,SMALL(IF(checklistPesertaKemenkeu!$AY$6:$AY$1005="Direkomendasikan",ROW($6:$1005)-5),124))=""),"",IF(AND(COUNTIF(INDIRECT("K_"&amp;MATCH(INDEX(checklistPesertaKemenkeu!$J$6:$J$1005,SMALL(IF(checklistPesertaKemenkeu!$AY$6:$AY$1005="Direkomendasikan",ROW($6:$1005)-5),124)),BidangList,0)),INDEX(checklistPesertaKemenkeu!$O$6:$O$1005,SMALL(IF(checklistPesertaKemenkeu!$AY$6:$AY$1005="Direkomendasikan",ROW($6:$1005)-5),124)))&gt;0,COUNTIF(INDIRECT("'KERTAS KERJA'!K"&amp;(SMALL(IF(checklistPesertaKemenkeu!$AY$6:$AY$1005="Direkomendasikan",ROW($6:$1005)-5),124)+5)&amp;":O"&amp;(SMALL(IF(checklistPesertaKemenkeu!$AY$6:$AY$1005="Direkomendasikan",ROW($6:$1005)-5),124)+5)),INDEX(checklistPesertaKemenkeu!$O$6:$O$1005,SMALL(IF(checklistPesertaKemenkeu!$AY$6:$AY$1005="Direkomendasikan",ROW($6:$1005)-5),124)))=1),IFERROR(VLOOKUP(INDEX(checklistPesertaKemenkeu!$O$6:$O$1005,SMALL(IF(checklistPesertaKemenkeu!$AY$6:$AY$1005="Direkomendasikan",ROW($6:$1005)-5),124)),KotaKode,2,0),"-"),"")),"")</f>
        <v/>
      </c>
      <c r="L125" t="str">
        <f t="array" aca="1" ref="L125" ca="1">IFERROR(IF(OR(INDEX(checklistPesertaKemenkeu!$P$6:$P$1005,SMALL(IF(checklistPesertaKemenkeu!$AY$6:$AY$1005="Direkomendasikan",ROW($6:$1005)-5),124))="",INDEX(checklistPesertaKemenkeu!$J$6:$J$1005,SMALL(IF(checklistPesertaKemenkeu!$AY$6:$AY$1005="Direkomendasikan",ROW($6:$1005)-5),124))=""),"",IF(AND(COUNTIF(INDIRECT("K_"&amp;MATCH(INDEX(checklistPesertaKemenkeu!$J$6:$J$1005,SMALL(IF(checklistPesertaKemenkeu!$AY$6:$AY$1005="Direkomendasikan",ROW($6:$1005)-5),124)),BidangList,0)),INDEX(checklistPesertaKemenkeu!$P$6:$P$1005,SMALL(IF(checklistPesertaKemenkeu!$AY$6:$AY$1005="Direkomendasikan",ROW($6:$1005)-5),124)))&gt;0,COUNTIF(INDIRECT("'KERTAS KERJA'!K"&amp;(SMALL(IF(checklistPesertaKemenkeu!$AY$6:$AY$1005="Direkomendasikan",ROW($6:$1005)-5),124)+5)&amp;":O"&amp;(SMALL(IF(checklistPesertaKemenkeu!$AY$6:$AY$1005="Direkomendasikan",ROW($6:$1005)-5),124)+5)),INDEX(checklistPesertaKemenkeu!$P$6:$P$1005,SMALL(IF(checklistPesertaKemenkeu!$AY$6:$AY$1005="Direkomendasikan",ROW($6:$1005)-5),124)))=1),IFERROR(VLOOKUP(INDEX(checklistPesertaKemenkeu!$P$6:$P$1005,SMALL(IF(checklistPesertaKemenkeu!$AY$6:$AY$1005="Direkomendasikan",ROW($6:$1005)-5),124)),KotaKode,2,0),"-"),"")),"")</f>
        <v/>
      </c>
    </row>
    <row r="126" spans="1:12" ht="15" customHeight="1" x14ac:dyDescent="0.2">
      <c r="A126" t="str">
        <f t="shared" si="1"/>
        <v/>
      </c>
      <c r="B126" t="str">
        <v/>
      </c>
      <c r="C126" s="40" t="str">
        <f t="array" ref="C126">IFERROR(INDEX(checklistPesertaKemenkeu!$F$6:$F$1005,SMALL(IF(checklistPesertaKemenkeu!$AY$6:$AY$1005="Direkomendasikan",ROW($6:$1005)-5),125)),"")</f>
        <v/>
      </c>
      <c r="D126" t="str">
        <f t="array" ref="D126">IFERROR(INDEX(checklistPesertaKemenkeu!$G$6:$G$1005,SMALL(IF(checklistPesertaKemenkeu!$AY$6:$AY$1005="Direkomendasikan",ROW($6:$1005)-5),125)),"")</f>
        <v/>
      </c>
      <c r="E126" t="str">
        <f t="array" ref="E126">IFERROR(INDEX(checklistPesertaKemenkeu!$H$6:$H$1005,SMALL(IF(checklistPesertaKemenkeu!$AY$6:$AY$1005="Direkomendasikan",ROW($6:$1005)-5),125)),"")</f>
        <v/>
      </c>
      <c r="F126" t="str">
        <f t="array" ref="F126">IFERROR(INDEX(checklistPesertaKemenkeu!$I$6:$I$1005,SMALL(IF(checklistPesertaKemenkeu!$AY$6:$AY$1005="Direkomendasikan",ROW($6:$1005)-5),125)),"")</f>
        <v/>
      </c>
      <c r="G126" t="str">
        <f t="array" ref="G126">IFERROR(INDEX(checklistPesertaKemenkeu!$J$6:$J$1005,SMALL(IF(checklistPesertaKemenkeu!$AY$6:$AY$1005="Direkomendasikan",ROW($6:$1005)-5),125)),"")</f>
        <v/>
      </c>
      <c r="H126" t="str">
        <f t="array" aca="1" ref="H126" ca="1">IFERROR(IF(OR(INDEX(checklistPesertaKemenkeu!$L$6:$L$1005,SMALL(IF(checklistPesertaKemenkeu!$AY$6:$AY$1005="Direkomendasikan",ROW($6:$1005)-5),125))="",INDEX(checklistPesertaKemenkeu!$J$6:$J$1005,SMALL(IF(checklistPesertaKemenkeu!$AY$6:$AY$1005="Direkomendasikan",ROW($6:$1005)-5),125))=""),"",IF(AND(COUNTIF(INDIRECT("K_"&amp;MATCH(INDEX(checklistPesertaKemenkeu!$J$6:$J$1005,SMALL(IF(checklistPesertaKemenkeu!$AY$6:$AY$1005="Direkomendasikan",ROW($6:$1005)-5),125)),BidangList,0)),INDEX(checklistPesertaKemenkeu!$L$6:$L$1005,SMALL(IF(checklistPesertaKemenkeu!$AY$6:$AY$1005="Direkomendasikan",ROW($6:$1005)-5),125)))&gt;0,COUNTIF(INDIRECT("'KERTAS KERJA'!K"&amp;(SMALL(IF(checklistPesertaKemenkeu!$AY$6:$AY$1005="Direkomendasikan",ROW($6:$1005)-5),125)+5)&amp;":O"&amp;(SMALL(IF(checklistPesertaKemenkeu!$AY$6:$AY$1005="Direkomendasikan",ROW($6:$1005)-5),125)+5)),INDEX(checklistPesertaKemenkeu!$L$6:$L$1005,SMALL(IF(checklistPesertaKemenkeu!$AY$6:$AY$1005="Direkomendasikan",ROW($6:$1005)-5),125)))=1),IFERROR(VLOOKUP(INDEX(checklistPesertaKemenkeu!$L$6:$L$1005,SMALL(IF(checklistPesertaKemenkeu!$AY$6:$AY$1005="Direkomendasikan",ROW($6:$1005)-5),125)),KotaKode,2,0),"-"),"")),"")</f>
        <v/>
      </c>
      <c r="I126" t="str">
        <f t="array" aca="1" ref="I126" ca="1">IFERROR(IF(OR(INDEX(checklistPesertaKemenkeu!$M$6:$M$1005,SMALL(IF(checklistPesertaKemenkeu!$AY$6:$AY$1005="Direkomendasikan",ROW($6:$1005)-5),125))="",INDEX(checklistPesertaKemenkeu!$J$6:$J$1005,SMALL(IF(checklistPesertaKemenkeu!$AY$6:$AY$1005="Direkomendasikan",ROW($6:$1005)-5),125))=""),"",IF(AND(COUNTIF(INDIRECT("K_"&amp;MATCH(INDEX(checklistPesertaKemenkeu!$J$6:$J$1005,SMALL(IF(checklistPesertaKemenkeu!$AY$6:$AY$1005="Direkomendasikan",ROW($6:$1005)-5),125)),BidangList,0)),INDEX(checklistPesertaKemenkeu!$M$6:$M$1005,SMALL(IF(checklistPesertaKemenkeu!$AY$6:$AY$1005="Direkomendasikan",ROW($6:$1005)-5),125)))&gt;0,COUNTIF(INDIRECT("'KERTAS KERJA'!K"&amp;(SMALL(IF(checklistPesertaKemenkeu!$AY$6:$AY$1005="Direkomendasikan",ROW($6:$1005)-5),125)+5)&amp;":O"&amp;(SMALL(IF(checklistPesertaKemenkeu!$AY$6:$AY$1005="Direkomendasikan",ROW($6:$1005)-5),125)+5)),INDEX(checklistPesertaKemenkeu!$M$6:$M$1005,SMALL(IF(checklistPesertaKemenkeu!$AY$6:$AY$1005="Direkomendasikan",ROW($6:$1005)-5),125)))=1),IFERROR(VLOOKUP(INDEX(checklistPesertaKemenkeu!$M$6:$M$1005,SMALL(IF(checklistPesertaKemenkeu!$AY$6:$AY$1005="Direkomendasikan",ROW($6:$1005)-5),125)),KotaKode,2,0),"-"),"")),"")</f>
        <v/>
      </c>
      <c r="J126" t="str">
        <f t="array" aca="1" ref="J126" ca="1">IFERROR(IF(OR(INDEX(checklistPesertaKemenkeu!$N$6:$N$1005,SMALL(IF(checklistPesertaKemenkeu!$AY$6:$AY$1005="Direkomendasikan",ROW($6:$1005)-5),125))="",INDEX(checklistPesertaKemenkeu!$J$6:$J$1005,SMALL(IF(checklistPesertaKemenkeu!$AY$6:$AY$1005="Direkomendasikan",ROW($6:$1005)-5),125))=""),"",IF(AND(COUNTIF(INDIRECT("K_"&amp;MATCH(INDEX(checklistPesertaKemenkeu!$J$6:$J$1005,SMALL(IF(checklistPesertaKemenkeu!$AY$6:$AY$1005="Direkomendasikan",ROW($6:$1005)-5),125)),BidangList,0)),INDEX(checklistPesertaKemenkeu!$N$6:$N$1005,SMALL(IF(checklistPesertaKemenkeu!$AY$6:$AY$1005="Direkomendasikan",ROW($6:$1005)-5),125)))&gt;0,COUNTIF(INDIRECT("'KERTAS KERJA'!K"&amp;(SMALL(IF(checklistPesertaKemenkeu!$AY$6:$AY$1005="Direkomendasikan",ROW($6:$1005)-5),125)+5)&amp;":O"&amp;(SMALL(IF(checklistPesertaKemenkeu!$AY$6:$AY$1005="Direkomendasikan",ROW($6:$1005)-5),125)+5)),INDEX(checklistPesertaKemenkeu!$N$6:$N$1005,SMALL(IF(checklistPesertaKemenkeu!$AY$6:$AY$1005="Direkomendasikan",ROW($6:$1005)-5),125)))=1),IFERROR(VLOOKUP(INDEX(checklistPesertaKemenkeu!$N$6:$N$1005,SMALL(IF(checklistPesertaKemenkeu!$AY$6:$AY$1005="Direkomendasikan",ROW($6:$1005)-5),125)),KotaKode,2,0),"-"),"")),"")</f>
        <v/>
      </c>
      <c r="K126" t="str">
        <f t="array" aca="1" ref="K126" ca="1">IFERROR(IF(OR(INDEX(checklistPesertaKemenkeu!$O$6:$O$1005,SMALL(IF(checklistPesertaKemenkeu!$AY$6:$AY$1005="Direkomendasikan",ROW($6:$1005)-5),125))="",INDEX(checklistPesertaKemenkeu!$J$6:$J$1005,SMALL(IF(checklistPesertaKemenkeu!$AY$6:$AY$1005="Direkomendasikan",ROW($6:$1005)-5),125))=""),"",IF(AND(COUNTIF(INDIRECT("K_"&amp;MATCH(INDEX(checklistPesertaKemenkeu!$J$6:$J$1005,SMALL(IF(checklistPesertaKemenkeu!$AY$6:$AY$1005="Direkomendasikan",ROW($6:$1005)-5),125)),BidangList,0)),INDEX(checklistPesertaKemenkeu!$O$6:$O$1005,SMALL(IF(checklistPesertaKemenkeu!$AY$6:$AY$1005="Direkomendasikan",ROW($6:$1005)-5),125)))&gt;0,COUNTIF(INDIRECT("'KERTAS KERJA'!K"&amp;(SMALL(IF(checklistPesertaKemenkeu!$AY$6:$AY$1005="Direkomendasikan",ROW($6:$1005)-5),125)+5)&amp;":O"&amp;(SMALL(IF(checklistPesertaKemenkeu!$AY$6:$AY$1005="Direkomendasikan",ROW($6:$1005)-5),125)+5)),INDEX(checklistPesertaKemenkeu!$O$6:$O$1005,SMALL(IF(checklistPesertaKemenkeu!$AY$6:$AY$1005="Direkomendasikan",ROW($6:$1005)-5),125)))=1),IFERROR(VLOOKUP(INDEX(checklistPesertaKemenkeu!$O$6:$O$1005,SMALL(IF(checklistPesertaKemenkeu!$AY$6:$AY$1005="Direkomendasikan",ROW($6:$1005)-5),125)),KotaKode,2,0),"-"),"")),"")</f>
        <v/>
      </c>
      <c r="L126" t="str">
        <f t="array" aca="1" ref="L126" ca="1">IFERROR(IF(OR(INDEX(checklistPesertaKemenkeu!$P$6:$P$1005,SMALL(IF(checklistPesertaKemenkeu!$AY$6:$AY$1005="Direkomendasikan",ROW($6:$1005)-5),125))="",INDEX(checklistPesertaKemenkeu!$J$6:$J$1005,SMALL(IF(checklistPesertaKemenkeu!$AY$6:$AY$1005="Direkomendasikan",ROW($6:$1005)-5),125))=""),"",IF(AND(COUNTIF(INDIRECT("K_"&amp;MATCH(INDEX(checklistPesertaKemenkeu!$J$6:$J$1005,SMALL(IF(checklistPesertaKemenkeu!$AY$6:$AY$1005="Direkomendasikan",ROW($6:$1005)-5),125)),BidangList,0)),INDEX(checklistPesertaKemenkeu!$P$6:$P$1005,SMALL(IF(checklistPesertaKemenkeu!$AY$6:$AY$1005="Direkomendasikan",ROW($6:$1005)-5),125)))&gt;0,COUNTIF(INDIRECT("'KERTAS KERJA'!K"&amp;(SMALL(IF(checklistPesertaKemenkeu!$AY$6:$AY$1005="Direkomendasikan",ROW($6:$1005)-5),125)+5)&amp;":O"&amp;(SMALL(IF(checklistPesertaKemenkeu!$AY$6:$AY$1005="Direkomendasikan",ROW($6:$1005)-5),125)+5)),INDEX(checklistPesertaKemenkeu!$P$6:$P$1005,SMALL(IF(checklistPesertaKemenkeu!$AY$6:$AY$1005="Direkomendasikan",ROW($6:$1005)-5),125)))=1),IFERROR(VLOOKUP(INDEX(checklistPesertaKemenkeu!$P$6:$P$1005,SMALL(IF(checklistPesertaKemenkeu!$AY$6:$AY$1005="Direkomendasikan",ROW($6:$1005)-5),125)),KotaKode,2,0),"-"),"")),"")</f>
        <v/>
      </c>
    </row>
    <row r="127" spans="1:12" ht="15" customHeight="1" x14ac:dyDescent="0.2">
      <c r="A127" t="str">
        <f t="shared" si="1"/>
        <v/>
      </c>
      <c r="B127" t="str">
        <v/>
      </c>
      <c r="C127" s="40" t="str">
        <f t="array" ref="C127">IFERROR(INDEX(checklistPesertaKemenkeu!$F$6:$F$1005,SMALL(IF(checklistPesertaKemenkeu!$AY$6:$AY$1005="Direkomendasikan",ROW($6:$1005)-5),126)),"")</f>
        <v/>
      </c>
      <c r="D127" t="str">
        <f t="array" ref="D127">IFERROR(INDEX(checklistPesertaKemenkeu!$G$6:$G$1005,SMALL(IF(checklistPesertaKemenkeu!$AY$6:$AY$1005="Direkomendasikan",ROW($6:$1005)-5),126)),"")</f>
        <v/>
      </c>
      <c r="E127" t="str">
        <f t="array" ref="E127">IFERROR(INDEX(checklistPesertaKemenkeu!$H$6:$H$1005,SMALL(IF(checklistPesertaKemenkeu!$AY$6:$AY$1005="Direkomendasikan",ROW($6:$1005)-5),126)),"")</f>
        <v/>
      </c>
      <c r="F127" t="str">
        <f t="array" ref="F127">IFERROR(INDEX(checklistPesertaKemenkeu!$I$6:$I$1005,SMALL(IF(checklistPesertaKemenkeu!$AY$6:$AY$1005="Direkomendasikan",ROW($6:$1005)-5),126)),"")</f>
        <v/>
      </c>
      <c r="G127" t="str">
        <f t="array" ref="G127">IFERROR(INDEX(checklistPesertaKemenkeu!$J$6:$J$1005,SMALL(IF(checklistPesertaKemenkeu!$AY$6:$AY$1005="Direkomendasikan",ROW($6:$1005)-5),126)),"")</f>
        <v/>
      </c>
      <c r="H127" t="str">
        <f t="array" aca="1" ref="H127" ca="1">IFERROR(IF(OR(INDEX(checklistPesertaKemenkeu!$L$6:$L$1005,SMALL(IF(checklistPesertaKemenkeu!$AY$6:$AY$1005="Direkomendasikan",ROW($6:$1005)-5),126))="",INDEX(checklistPesertaKemenkeu!$J$6:$J$1005,SMALL(IF(checklistPesertaKemenkeu!$AY$6:$AY$1005="Direkomendasikan",ROW($6:$1005)-5),126))=""),"",IF(AND(COUNTIF(INDIRECT("K_"&amp;MATCH(INDEX(checklistPesertaKemenkeu!$J$6:$J$1005,SMALL(IF(checklistPesertaKemenkeu!$AY$6:$AY$1005="Direkomendasikan",ROW($6:$1005)-5),126)),BidangList,0)),INDEX(checklistPesertaKemenkeu!$L$6:$L$1005,SMALL(IF(checklistPesertaKemenkeu!$AY$6:$AY$1005="Direkomendasikan",ROW($6:$1005)-5),126)))&gt;0,COUNTIF(INDIRECT("'KERTAS KERJA'!K"&amp;(SMALL(IF(checklistPesertaKemenkeu!$AY$6:$AY$1005="Direkomendasikan",ROW($6:$1005)-5),126)+5)&amp;":O"&amp;(SMALL(IF(checklistPesertaKemenkeu!$AY$6:$AY$1005="Direkomendasikan",ROW($6:$1005)-5),126)+5)),INDEX(checklistPesertaKemenkeu!$L$6:$L$1005,SMALL(IF(checklistPesertaKemenkeu!$AY$6:$AY$1005="Direkomendasikan",ROW($6:$1005)-5),126)))=1),IFERROR(VLOOKUP(INDEX(checklistPesertaKemenkeu!$L$6:$L$1005,SMALL(IF(checklistPesertaKemenkeu!$AY$6:$AY$1005="Direkomendasikan",ROW($6:$1005)-5),126)),KotaKode,2,0),"-"),"")),"")</f>
        <v/>
      </c>
      <c r="I127" t="str">
        <f t="array" aca="1" ref="I127" ca="1">IFERROR(IF(OR(INDEX(checklistPesertaKemenkeu!$M$6:$M$1005,SMALL(IF(checklistPesertaKemenkeu!$AY$6:$AY$1005="Direkomendasikan",ROW($6:$1005)-5),126))="",INDEX(checklistPesertaKemenkeu!$J$6:$J$1005,SMALL(IF(checklistPesertaKemenkeu!$AY$6:$AY$1005="Direkomendasikan",ROW($6:$1005)-5),126))=""),"",IF(AND(COUNTIF(INDIRECT("K_"&amp;MATCH(INDEX(checklistPesertaKemenkeu!$J$6:$J$1005,SMALL(IF(checklistPesertaKemenkeu!$AY$6:$AY$1005="Direkomendasikan",ROW($6:$1005)-5),126)),BidangList,0)),INDEX(checklistPesertaKemenkeu!$M$6:$M$1005,SMALL(IF(checklistPesertaKemenkeu!$AY$6:$AY$1005="Direkomendasikan",ROW($6:$1005)-5),126)))&gt;0,COUNTIF(INDIRECT("'KERTAS KERJA'!K"&amp;(SMALL(IF(checklistPesertaKemenkeu!$AY$6:$AY$1005="Direkomendasikan",ROW($6:$1005)-5),126)+5)&amp;":O"&amp;(SMALL(IF(checklistPesertaKemenkeu!$AY$6:$AY$1005="Direkomendasikan",ROW($6:$1005)-5),126)+5)),INDEX(checklistPesertaKemenkeu!$M$6:$M$1005,SMALL(IF(checklistPesertaKemenkeu!$AY$6:$AY$1005="Direkomendasikan",ROW($6:$1005)-5),126)))=1),IFERROR(VLOOKUP(INDEX(checklistPesertaKemenkeu!$M$6:$M$1005,SMALL(IF(checklistPesertaKemenkeu!$AY$6:$AY$1005="Direkomendasikan",ROW($6:$1005)-5),126)),KotaKode,2,0),"-"),"")),"")</f>
        <v/>
      </c>
      <c r="J127" t="str">
        <f t="array" aca="1" ref="J127" ca="1">IFERROR(IF(OR(INDEX(checklistPesertaKemenkeu!$N$6:$N$1005,SMALL(IF(checklistPesertaKemenkeu!$AY$6:$AY$1005="Direkomendasikan",ROW($6:$1005)-5),126))="",INDEX(checklistPesertaKemenkeu!$J$6:$J$1005,SMALL(IF(checklistPesertaKemenkeu!$AY$6:$AY$1005="Direkomendasikan",ROW($6:$1005)-5),126))=""),"",IF(AND(COUNTIF(INDIRECT("K_"&amp;MATCH(INDEX(checklistPesertaKemenkeu!$J$6:$J$1005,SMALL(IF(checklistPesertaKemenkeu!$AY$6:$AY$1005="Direkomendasikan",ROW($6:$1005)-5),126)),BidangList,0)),INDEX(checklistPesertaKemenkeu!$N$6:$N$1005,SMALL(IF(checklistPesertaKemenkeu!$AY$6:$AY$1005="Direkomendasikan",ROW($6:$1005)-5),126)))&gt;0,COUNTIF(INDIRECT("'KERTAS KERJA'!K"&amp;(SMALL(IF(checklistPesertaKemenkeu!$AY$6:$AY$1005="Direkomendasikan",ROW($6:$1005)-5),126)+5)&amp;":O"&amp;(SMALL(IF(checklistPesertaKemenkeu!$AY$6:$AY$1005="Direkomendasikan",ROW($6:$1005)-5),126)+5)),INDEX(checklistPesertaKemenkeu!$N$6:$N$1005,SMALL(IF(checklistPesertaKemenkeu!$AY$6:$AY$1005="Direkomendasikan",ROW($6:$1005)-5),126)))=1),IFERROR(VLOOKUP(INDEX(checklistPesertaKemenkeu!$N$6:$N$1005,SMALL(IF(checklistPesertaKemenkeu!$AY$6:$AY$1005="Direkomendasikan",ROW($6:$1005)-5),126)),KotaKode,2,0),"-"),"")),"")</f>
        <v/>
      </c>
      <c r="K127" t="str">
        <f t="array" aca="1" ref="K127" ca="1">IFERROR(IF(OR(INDEX(checklistPesertaKemenkeu!$O$6:$O$1005,SMALL(IF(checklistPesertaKemenkeu!$AY$6:$AY$1005="Direkomendasikan",ROW($6:$1005)-5),126))="",INDEX(checklistPesertaKemenkeu!$J$6:$J$1005,SMALL(IF(checklistPesertaKemenkeu!$AY$6:$AY$1005="Direkomendasikan",ROW($6:$1005)-5),126))=""),"",IF(AND(COUNTIF(INDIRECT("K_"&amp;MATCH(INDEX(checklistPesertaKemenkeu!$J$6:$J$1005,SMALL(IF(checklistPesertaKemenkeu!$AY$6:$AY$1005="Direkomendasikan",ROW($6:$1005)-5),126)),BidangList,0)),INDEX(checklistPesertaKemenkeu!$O$6:$O$1005,SMALL(IF(checklistPesertaKemenkeu!$AY$6:$AY$1005="Direkomendasikan",ROW($6:$1005)-5),126)))&gt;0,COUNTIF(INDIRECT("'KERTAS KERJA'!K"&amp;(SMALL(IF(checklistPesertaKemenkeu!$AY$6:$AY$1005="Direkomendasikan",ROW($6:$1005)-5),126)+5)&amp;":O"&amp;(SMALL(IF(checklistPesertaKemenkeu!$AY$6:$AY$1005="Direkomendasikan",ROW($6:$1005)-5),126)+5)),INDEX(checklistPesertaKemenkeu!$O$6:$O$1005,SMALL(IF(checklistPesertaKemenkeu!$AY$6:$AY$1005="Direkomendasikan",ROW($6:$1005)-5),126)))=1),IFERROR(VLOOKUP(INDEX(checklistPesertaKemenkeu!$O$6:$O$1005,SMALL(IF(checklistPesertaKemenkeu!$AY$6:$AY$1005="Direkomendasikan",ROW($6:$1005)-5),126)),KotaKode,2,0),"-"),"")),"")</f>
        <v/>
      </c>
      <c r="L127" t="str">
        <f t="array" aca="1" ref="L127" ca="1">IFERROR(IF(OR(INDEX(checklistPesertaKemenkeu!$P$6:$P$1005,SMALL(IF(checklistPesertaKemenkeu!$AY$6:$AY$1005="Direkomendasikan",ROW($6:$1005)-5),126))="",INDEX(checklistPesertaKemenkeu!$J$6:$J$1005,SMALL(IF(checklistPesertaKemenkeu!$AY$6:$AY$1005="Direkomendasikan",ROW($6:$1005)-5),126))=""),"",IF(AND(COUNTIF(INDIRECT("K_"&amp;MATCH(INDEX(checklistPesertaKemenkeu!$J$6:$J$1005,SMALL(IF(checklistPesertaKemenkeu!$AY$6:$AY$1005="Direkomendasikan",ROW($6:$1005)-5),126)),BidangList,0)),INDEX(checklistPesertaKemenkeu!$P$6:$P$1005,SMALL(IF(checklistPesertaKemenkeu!$AY$6:$AY$1005="Direkomendasikan",ROW($6:$1005)-5),126)))&gt;0,COUNTIF(INDIRECT("'KERTAS KERJA'!K"&amp;(SMALL(IF(checklistPesertaKemenkeu!$AY$6:$AY$1005="Direkomendasikan",ROW($6:$1005)-5),126)+5)&amp;":O"&amp;(SMALL(IF(checklistPesertaKemenkeu!$AY$6:$AY$1005="Direkomendasikan",ROW($6:$1005)-5),126)+5)),INDEX(checklistPesertaKemenkeu!$P$6:$P$1005,SMALL(IF(checklistPesertaKemenkeu!$AY$6:$AY$1005="Direkomendasikan",ROW($6:$1005)-5),126)))=1),IFERROR(VLOOKUP(INDEX(checklistPesertaKemenkeu!$P$6:$P$1005,SMALL(IF(checklistPesertaKemenkeu!$AY$6:$AY$1005="Direkomendasikan",ROW($6:$1005)-5),126)),KotaKode,2,0),"-"),"")),"")</f>
        <v/>
      </c>
    </row>
    <row r="128" spans="1:12" ht="15" customHeight="1" x14ac:dyDescent="0.2">
      <c r="A128" t="str">
        <f t="shared" si="1"/>
        <v/>
      </c>
      <c r="B128" t="str">
        <v/>
      </c>
      <c r="C128" s="40" t="str">
        <f t="array" ref="C128">IFERROR(INDEX(checklistPesertaKemenkeu!$F$6:$F$1005,SMALL(IF(checklistPesertaKemenkeu!$AY$6:$AY$1005="Direkomendasikan",ROW($6:$1005)-5),127)),"")</f>
        <v/>
      </c>
      <c r="D128" t="str">
        <f t="array" ref="D128">IFERROR(INDEX(checklistPesertaKemenkeu!$G$6:$G$1005,SMALL(IF(checklistPesertaKemenkeu!$AY$6:$AY$1005="Direkomendasikan",ROW($6:$1005)-5),127)),"")</f>
        <v/>
      </c>
      <c r="E128" t="str">
        <f t="array" ref="E128">IFERROR(INDEX(checklistPesertaKemenkeu!$H$6:$H$1005,SMALL(IF(checklistPesertaKemenkeu!$AY$6:$AY$1005="Direkomendasikan",ROW($6:$1005)-5),127)),"")</f>
        <v/>
      </c>
      <c r="F128" t="str">
        <f t="array" ref="F128">IFERROR(INDEX(checklistPesertaKemenkeu!$I$6:$I$1005,SMALL(IF(checklistPesertaKemenkeu!$AY$6:$AY$1005="Direkomendasikan",ROW($6:$1005)-5),127)),"")</f>
        <v/>
      </c>
      <c r="G128" t="str">
        <f t="array" ref="G128">IFERROR(INDEX(checklistPesertaKemenkeu!$J$6:$J$1005,SMALL(IF(checklistPesertaKemenkeu!$AY$6:$AY$1005="Direkomendasikan",ROW($6:$1005)-5),127)),"")</f>
        <v/>
      </c>
      <c r="H128" t="str">
        <f t="array" aca="1" ref="H128" ca="1">IFERROR(IF(OR(INDEX(checklistPesertaKemenkeu!$L$6:$L$1005,SMALL(IF(checklistPesertaKemenkeu!$AY$6:$AY$1005="Direkomendasikan",ROW($6:$1005)-5),127))="",INDEX(checklistPesertaKemenkeu!$J$6:$J$1005,SMALL(IF(checklistPesertaKemenkeu!$AY$6:$AY$1005="Direkomendasikan",ROW($6:$1005)-5),127))=""),"",IF(AND(COUNTIF(INDIRECT("K_"&amp;MATCH(INDEX(checklistPesertaKemenkeu!$J$6:$J$1005,SMALL(IF(checklistPesertaKemenkeu!$AY$6:$AY$1005="Direkomendasikan",ROW($6:$1005)-5),127)),BidangList,0)),INDEX(checklistPesertaKemenkeu!$L$6:$L$1005,SMALL(IF(checklistPesertaKemenkeu!$AY$6:$AY$1005="Direkomendasikan",ROW($6:$1005)-5),127)))&gt;0,COUNTIF(INDIRECT("'KERTAS KERJA'!K"&amp;(SMALL(IF(checklistPesertaKemenkeu!$AY$6:$AY$1005="Direkomendasikan",ROW($6:$1005)-5),127)+5)&amp;":O"&amp;(SMALL(IF(checklistPesertaKemenkeu!$AY$6:$AY$1005="Direkomendasikan",ROW($6:$1005)-5),127)+5)),INDEX(checklistPesertaKemenkeu!$L$6:$L$1005,SMALL(IF(checklistPesertaKemenkeu!$AY$6:$AY$1005="Direkomendasikan",ROW($6:$1005)-5),127)))=1),IFERROR(VLOOKUP(INDEX(checklistPesertaKemenkeu!$L$6:$L$1005,SMALL(IF(checklistPesertaKemenkeu!$AY$6:$AY$1005="Direkomendasikan",ROW($6:$1005)-5),127)),KotaKode,2,0),"-"),"")),"")</f>
        <v/>
      </c>
      <c r="I128" t="str">
        <f t="array" aca="1" ref="I128" ca="1">IFERROR(IF(OR(INDEX(checklistPesertaKemenkeu!$M$6:$M$1005,SMALL(IF(checklistPesertaKemenkeu!$AY$6:$AY$1005="Direkomendasikan",ROW($6:$1005)-5),127))="",INDEX(checklistPesertaKemenkeu!$J$6:$J$1005,SMALL(IF(checklistPesertaKemenkeu!$AY$6:$AY$1005="Direkomendasikan",ROW($6:$1005)-5),127))=""),"",IF(AND(COUNTIF(INDIRECT("K_"&amp;MATCH(INDEX(checklistPesertaKemenkeu!$J$6:$J$1005,SMALL(IF(checklistPesertaKemenkeu!$AY$6:$AY$1005="Direkomendasikan",ROW($6:$1005)-5),127)),BidangList,0)),INDEX(checklistPesertaKemenkeu!$M$6:$M$1005,SMALL(IF(checklistPesertaKemenkeu!$AY$6:$AY$1005="Direkomendasikan",ROW($6:$1005)-5),127)))&gt;0,COUNTIF(INDIRECT("'KERTAS KERJA'!K"&amp;(SMALL(IF(checklistPesertaKemenkeu!$AY$6:$AY$1005="Direkomendasikan",ROW($6:$1005)-5),127)+5)&amp;":O"&amp;(SMALL(IF(checklistPesertaKemenkeu!$AY$6:$AY$1005="Direkomendasikan",ROW($6:$1005)-5),127)+5)),INDEX(checklistPesertaKemenkeu!$M$6:$M$1005,SMALL(IF(checklistPesertaKemenkeu!$AY$6:$AY$1005="Direkomendasikan",ROW($6:$1005)-5),127)))=1),IFERROR(VLOOKUP(INDEX(checklistPesertaKemenkeu!$M$6:$M$1005,SMALL(IF(checklistPesertaKemenkeu!$AY$6:$AY$1005="Direkomendasikan",ROW($6:$1005)-5),127)),KotaKode,2,0),"-"),"")),"")</f>
        <v/>
      </c>
      <c r="J128" t="str">
        <f t="array" aca="1" ref="J128" ca="1">IFERROR(IF(OR(INDEX(checklistPesertaKemenkeu!$N$6:$N$1005,SMALL(IF(checklistPesertaKemenkeu!$AY$6:$AY$1005="Direkomendasikan",ROW($6:$1005)-5),127))="",INDEX(checklistPesertaKemenkeu!$J$6:$J$1005,SMALL(IF(checklistPesertaKemenkeu!$AY$6:$AY$1005="Direkomendasikan",ROW($6:$1005)-5),127))=""),"",IF(AND(COUNTIF(INDIRECT("K_"&amp;MATCH(INDEX(checklistPesertaKemenkeu!$J$6:$J$1005,SMALL(IF(checklistPesertaKemenkeu!$AY$6:$AY$1005="Direkomendasikan",ROW($6:$1005)-5),127)),BidangList,0)),INDEX(checklistPesertaKemenkeu!$N$6:$N$1005,SMALL(IF(checklistPesertaKemenkeu!$AY$6:$AY$1005="Direkomendasikan",ROW($6:$1005)-5),127)))&gt;0,COUNTIF(INDIRECT("'KERTAS KERJA'!K"&amp;(SMALL(IF(checklistPesertaKemenkeu!$AY$6:$AY$1005="Direkomendasikan",ROW($6:$1005)-5),127)+5)&amp;":O"&amp;(SMALL(IF(checklistPesertaKemenkeu!$AY$6:$AY$1005="Direkomendasikan",ROW($6:$1005)-5),127)+5)),INDEX(checklistPesertaKemenkeu!$N$6:$N$1005,SMALL(IF(checklistPesertaKemenkeu!$AY$6:$AY$1005="Direkomendasikan",ROW($6:$1005)-5),127)))=1),IFERROR(VLOOKUP(INDEX(checklistPesertaKemenkeu!$N$6:$N$1005,SMALL(IF(checklistPesertaKemenkeu!$AY$6:$AY$1005="Direkomendasikan",ROW($6:$1005)-5),127)),KotaKode,2,0),"-"),"")),"")</f>
        <v/>
      </c>
      <c r="K128" t="str">
        <f t="array" aca="1" ref="K128" ca="1">IFERROR(IF(OR(INDEX(checklistPesertaKemenkeu!$O$6:$O$1005,SMALL(IF(checklistPesertaKemenkeu!$AY$6:$AY$1005="Direkomendasikan",ROW($6:$1005)-5),127))="",INDEX(checklistPesertaKemenkeu!$J$6:$J$1005,SMALL(IF(checklistPesertaKemenkeu!$AY$6:$AY$1005="Direkomendasikan",ROW($6:$1005)-5),127))=""),"",IF(AND(COUNTIF(INDIRECT("K_"&amp;MATCH(INDEX(checklistPesertaKemenkeu!$J$6:$J$1005,SMALL(IF(checklistPesertaKemenkeu!$AY$6:$AY$1005="Direkomendasikan",ROW($6:$1005)-5),127)),BidangList,0)),INDEX(checklistPesertaKemenkeu!$O$6:$O$1005,SMALL(IF(checklistPesertaKemenkeu!$AY$6:$AY$1005="Direkomendasikan",ROW($6:$1005)-5),127)))&gt;0,COUNTIF(INDIRECT("'KERTAS KERJA'!K"&amp;(SMALL(IF(checklistPesertaKemenkeu!$AY$6:$AY$1005="Direkomendasikan",ROW($6:$1005)-5),127)+5)&amp;":O"&amp;(SMALL(IF(checklistPesertaKemenkeu!$AY$6:$AY$1005="Direkomendasikan",ROW($6:$1005)-5),127)+5)),INDEX(checklistPesertaKemenkeu!$O$6:$O$1005,SMALL(IF(checklistPesertaKemenkeu!$AY$6:$AY$1005="Direkomendasikan",ROW($6:$1005)-5),127)))=1),IFERROR(VLOOKUP(INDEX(checklistPesertaKemenkeu!$O$6:$O$1005,SMALL(IF(checklistPesertaKemenkeu!$AY$6:$AY$1005="Direkomendasikan",ROW($6:$1005)-5),127)),KotaKode,2,0),"-"),"")),"")</f>
        <v/>
      </c>
      <c r="L128" t="str">
        <f t="array" aca="1" ref="L128" ca="1">IFERROR(IF(OR(INDEX(checklistPesertaKemenkeu!$P$6:$P$1005,SMALL(IF(checklistPesertaKemenkeu!$AY$6:$AY$1005="Direkomendasikan",ROW($6:$1005)-5),127))="",INDEX(checklistPesertaKemenkeu!$J$6:$J$1005,SMALL(IF(checklistPesertaKemenkeu!$AY$6:$AY$1005="Direkomendasikan",ROW($6:$1005)-5),127))=""),"",IF(AND(COUNTIF(INDIRECT("K_"&amp;MATCH(INDEX(checklistPesertaKemenkeu!$J$6:$J$1005,SMALL(IF(checklistPesertaKemenkeu!$AY$6:$AY$1005="Direkomendasikan",ROW($6:$1005)-5),127)),BidangList,0)),INDEX(checklistPesertaKemenkeu!$P$6:$P$1005,SMALL(IF(checklistPesertaKemenkeu!$AY$6:$AY$1005="Direkomendasikan",ROW($6:$1005)-5),127)))&gt;0,COUNTIF(INDIRECT("'KERTAS KERJA'!K"&amp;(SMALL(IF(checklistPesertaKemenkeu!$AY$6:$AY$1005="Direkomendasikan",ROW($6:$1005)-5),127)+5)&amp;":O"&amp;(SMALL(IF(checklistPesertaKemenkeu!$AY$6:$AY$1005="Direkomendasikan",ROW($6:$1005)-5),127)+5)),INDEX(checklistPesertaKemenkeu!$P$6:$P$1005,SMALL(IF(checklistPesertaKemenkeu!$AY$6:$AY$1005="Direkomendasikan",ROW($6:$1005)-5),127)))=1),IFERROR(VLOOKUP(INDEX(checklistPesertaKemenkeu!$P$6:$P$1005,SMALL(IF(checklistPesertaKemenkeu!$AY$6:$AY$1005="Direkomendasikan",ROW($6:$1005)-5),127)),KotaKode,2,0),"-"),"")),"")</f>
        <v/>
      </c>
    </row>
    <row r="129" spans="1:12" ht="15" customHeight="1" x14ac:dyDescent="0.2">
      <c r="A129" t="str">
        <f t="shared" si="1"/>
        <v/>
      </c>
      <c r="B129" t="str">
        <v/>
      </c>
      <c r="C129" s="40" t="str">
        <f t="array" ref="C129">IFERROR(INDEX(checklistPesertaKemenkeu!$F$6:$F$1005,SMALL(IF(checklistPesertaKemenkeu!$AY$6:$AY$1005="Direkomendasikan",ROW($6:$1005)-5),128)),"")</f>
        <v/>
      </c>
      <c r="D129" t="str">
        <f t="array" ref="D129">IFERROR(INDEX(checklistPesertaKemenkeu!$G$6:$G$1005,SMALL(IF(checklistPesertaKemenkeu!$AY$6:$AY$1005="Direkomendasikan",ROW($6:$1005)-5),128)),"")</f>
        <v/>
      </c>
      <c r="E129" t="str">
        <f t="array" ref="E129">IFERROR(INDEX(checklistPesertaKemenkeu!$H$6:$H$1005,SMALL(IF(checklistPesertaKemenkeu!$AY$6:$AY$1005="Direkomendasikan",ROW($6:$1005)-5),128)),"")</f>
        <v/>
      </c>
      <c r="F129" t="str">
        <f t="array" ref="F129">IFERROR(INDEX(checklistPesertaKemenkeu!$I$6:$I$1005,SMALL(IF(checklistPesertaKemenkeu!$AY$6:$AY$1005="Direkomendasikan",ROW($6:$1005)-5),128)),"")</f>
        <v/>
      </c>
      <c r="G129" t="str">
        <f t="array" ref="G129">IFERROR(INDEX(checklistPesertaKemenkeu!$J$6:$J$1005,SMALL(IF(checklistPesertaKemenkeu!$AY$6:$AY$1005="Direkomendasikan",ROW($6:$1005)-5),128)),"")</f>
        <v/>
      </c>
      <c r="H129" t="str">
        <f t="array" aca="1" ref="H129" ca="1">IFERROR(IF(OR(INDEX(checklistPesertaKemenkeu!$L$6:$L$1005,SMALL(IF(checklistPesertaKemenkeu!$AY$6:$AY$1005="Direkomendasikan",ROW($6:$1005)-5),128))="",INDEX(checklistPesertaKemenkeu!$J$6:$J$1005,SMALL(IF(checklistPesertaKemenkeu!$AY$6:$AY$1005="Direkomendasikan",ROW($6:$1005)-5),128))=""),"",IF(AND(COUNTIF(INDIRECT("K_"&amp;MATCH(INDEX(checklistPesertaKemenkeu!$J$6:$J$1005,SMALL(IF(checklistPesertaKemenkeu!$AY$6:$AY$1005="Direkomendasikan",ROW($6:$1005)-5),128)),BidangList,0)),INDEX(checklistPesertaKemenkeu!$L$6:$L$1005,SMALL(IF(checklistPesertaKemenkeu!$AY$6:$AY$1005="Direkomendasikan",ROW($6:$1005)-5),128)))&gt;0,COUNTIF(INDIRECT("'KERTAS KERJA'!K"&amp;(SMALL(IF(checklistPesertaKemenkeu!$AY$6:$AY$1005="Direkomendasikan",ROW($6:$1005)-5),128)+5)&amp;":O"&amp;(SMALL(IF(checklistPesertaKemenkeu!$AY$6:$AY$1005="Direkomendasikan",ROW($6:$1005)-5),128)+5)),INDEX(checklistPesertaKemenkeu!$L$6:$L$1005,SMALL(IF(checklistPesertaKemenkeu!$AY$6:$AY$1005="Direkomendasikan",ROW($6:$1005)-5),128)))=1),IFERROR(VLOOKUP(INDEX(checklistPesertaKemenkeu!$L$6:$L$1005,SMALL(IF(checklistPesertaKemenkeu!$AY$6:$AY$1005="Direkomendasikan",ROW($6:$1005)-5),128)),KotaKode,2,0),"-"),"")),"")</f>
        <v/>
      </c>
      <c r="I129" t="str">
        <f t="array" aca="1" ref="I129" ca="1">IFERROR(IF(OR(INDEX(checklistPesertaKemenkeu!$M$6:$M$1005,SMALL(IF(checklistPesertaKemenkeu!$AY$6:$AY$1005="Direkomendasikan",ROW($6:$1005)-5),128))="",INDEX(checklistPesertaKemenkeu!$J$6:$J$1005,SMALL(IF(checklistPesertaKemenkeu!$AY$6:$AY$1005="Direkomendasikan",ROW($6:$1005)-5),128))=""),"",IF(AND(COUNTIF(INDIRECT("K_"&amp;MATCH(INDEX(checklistPesertaKemenkeu!$J$6:$J$1005,SMALL(IF(checklistPesertaKemenkeu!$AY$6:$AY$1005="Direkomendasikan",ROW($6:$1005)-5),128)),BidangList,0)),INDEX(checklistPesertaKemenkeu!$M$6:$M$1005,SMALL(IF(checklistPesertaKemenkeu!$AY$6:$AY$1005="Direkomendasikan",ROW($6:$1005)-5),128)))&gt;0,COUNTIF(INDIRECT("'KERTAS KERJA'!K"&amp;(SMALL(IF(checklistPesertaKemenkeu!$AY$6:$AY$1005="Direkomendasikan",ROW($6:$1005)-5),128)+5)&amp;":O"&amp;(SMALL(IF(checklistPesertaKemenkeu!$AY$6:$AY$1005="Direkomendasikan",ROW($6:$1005)-5),128)+5)),INDEX(checklistPesertaKemenkeu!$M$6:$M$1005,SMALL(IF(checklistPesertaKemenkeu!$AY$6:$AY$1005="Direkomendasikan",ROW($6:$1005)-5),128)))=1),IFERROR(VLOOKUP(INDEX(checklistPesertaKemenkeu!$M$6:$M$1005,SMALL(IF(checklistPesertaKemenkeu!$AY$6:$AY$1005="Direkomendasikan",ROW($6:$1005)-5),128)),KotaKode,2,0),"-"),"")),"")</f>
        <v/>
      </c>
      <c r="J129" t="str">
        <f t="array" aca="1" ref="J129" ca="1">IFERROR(IF(OR(INDEX(checklistPesertaKemenkeu!$N$6:$N$1005,SMALL(IF(checklistPesertaKemenkeu!$AY$6:$AY$1005="Direkomendasikan",ROW($6:$1005)-5),128))="",INDEX(checklistPesertaKemenkeu!$J$6:$J$1005,SMALL(IF(checklistPesertaKemenkeu!$AY$6:$AY$1005="Direkomendasikan",ROW($6:$1005)-5),128))=""),"",IF(AND(COUNTIF(INDIRECT("K_"&amp;MATCH(INDEX(checklistPesertaKemenkeu!$J$6:$J$1005,SMALL(IF(checklistPesertaKemenkeu!$AY$6:$AY$1005="Direkomendasikan",ROW($6:$1005)-5),128)),BidangList,0)),INDEX(checklistPesertaKemenkeu!$N$6:$N$1005,SMALL(IF(checklistPesertaKemenkeu!$AY$6:$AY$1005="Direkomendasikan",ROW($6:$1005)-5),128)))&gt;0,COUNTIF(INDIRECT("'KERTAS KERJA'!K"&amp;(SMALL(IF(checklistPesertaKemenkeu!$AY$6:$AY$1005="Direkomendasikan",ROW($6:$1005)-5),128)+5)&amp;":O"&amp;(SMALL(IF(checklistPesertaKemenkeu!$AY$6:$AY$1005="Direkomendasikan",ROW($6:$1005)-5),128)+5)),INDEX(checklistPesertaKemenkeu!$N$6:$N$1005,SMALL(IF(checklistPesertaKemenkeu!$AY$6:$AY$1005="Direkomendasikan",ROW($6:$1005)-5),128)))=1),IFERROR(VLOOKUP(INDEX(checklistPesertaKemenkeu!$N$6:$N$1005,SMALL(IF(checklistPesertaKemenkeu!$AY$6:$AY$1005="Direkomendasikan",ROW($6:$1005)-5),128)),KotaKode,2,0),"-"),"")),"")</f>
        <v/>
      </c>
      <c r="K129" t="str">
        <f t="array" aca="1" ref="K129" ca="1">IFERROR(IF(OR(INDEX(checklistPesertaKemenkeu!$O$6:$O$1005,SMALL(IF(checklistPesertaKemenkeu!$AY$6:$AY$1005="Direkomendasikan",ROW($6:$1005)-5),128))="",INDEX(checklistPesertaKemenkeu!$J$6:$J$1005,SMALL(IF(checklistPesertaKemenkeu!$AY$6:$AY$1005="Direkomendasikan",ROW($6:$1005)-5),128))=""),"",IF(AND(COUNTIF(INDIRECT("K_"&amp;MATCH(INDEX(checklistPesertaKemenkeu!$J$6:$J$1005,SMALL(IF(checklistPesertaKemenkeu!$AY$6:$AY$1005="Direkomendasikan",ROW($6:$1005)-5),128)),BidangList,0)),INDEX(checklistPesertaKemenkeu!$O$6:$O$1005,SMALL(IF(checklistPesertaKemenkeu!$AY$6:$AY$1005="Direkomendasikan",ROW($6:$1005)-5),128)))&gt;0,COUNTIF(INDIRECT("'KERTAS KERJA'!K"&amp;(SMALL(IF(checklistPesertaKemenkeu!$AY$6:$AY$1005="Direkomendasikan",ROW($6:$1005)-5),128)+5)&amp;":O"&amp;(SMALL(IF(checklistPesertaKemenkeu!$AY$6:$AY$1005="Direkomendasikan",ROW($6:$1005)-5),128)+5)),INDEX(checklistPesertaKemenkeu!$O$6:$O$1005,SMALL(IF(checklistPesertaKemenkeu!$AY$6:$AY$1005="Direkomendasikan",ROW($6:$1005)-5),128)))=1),IFERROR(VLOOKUP(INDEX(checklistPesertaKemenkeu!$O$6:$O$1005,SMALL(IF(checklistPesertaKemenkeu!$AY$6:$AY$1005="Direkomendasikan",ROW($6:$1005)-5),128)),KotaKode,2,0),"-"),"")),"")</f>
        <v/>
      </c>
      <c r="L129" t="str">
        <f t="array" aca="1" ref="L129" ca="1">IFERROR(IF(OR(INDEX(checklistPesertaKemenkeu!$P$6:$P$1005,SMALL(IF(checklistPesertaKemenkeu!$AY$6:$AY$1005="Direkomendasikan",ROW($6:$1005)-5),128))="",INDEX(checklistPesertaKemenkeu!$J$6:$J$1005,SMALL(IF(checklistPesertaKemenkeu!$AY$6:$AY$1005="Direkomendasikan",ROW($6:$1005)-5),128))=""),"",IF(AND(COUNTIF(INDIRECT("K_"&amp;MATCH(INDEX(checklistPesertaKemenkeu!$J$6:$J$1005,SMALL(IF(checklistPesertaKemenkeu!$AY$6:$AY$1005="Direkomendasikan",ROW($6:$1005)-5),128)),BidangList,0)),INDEX(checklistPesertaKemenkeu!$P$6:$P$1005,SMALL(IF(checklistPesertaKemenkeu!$AY$6:$AY$1005="Direkomendasikan",ROW($6:$1005)-5),128)))&gt;0,COUNTIF(INDIRECT("'KERTAS KERJA'!K"&amp;(SMALL(IF(checklistPesertaKemenkeu!$AY$6:$AY$1005="Direkomendasikan",ROW($6:$1005)-5),128)+5)&amp;":O"&amp;(SMALL(IF(checklistPesertaKemenkeu!$AY$6:$AY$1005="Direkomendasikan",ROW($6:$1005)-5),128)+5)),INDEX(checklistPesertaKemenkeu!$P$6:$P$1005,SMALL(IF(checklistPesertaKemenkeu!$AY$6:$AY$1005="Direkomendasikan",ROW($6:$1005)-5),128)))=1),IFERROR(VLOOKUP(INDEX(checklistPesertaKemenkeu!$P$6:$P$1005,SMALL(IF(checklistPesertaKemenkeu!$AY$6:$AY$1005="Direkomendasikan",ROW($6:$1005)-5),128)),KotaKode,2,0),"-"),"")),"")</f>
        <v/>
      </c>
    </row>
    <row r="130" spans="1:12" ht="15" customHeight="1" x14ac:dyDescent="0.2">
      <c r="A130" t="str">
        <f t="shared" ref="A130:A193" si="2">IF(C130="","",ROW()-1)</f>
        <v/>
      </c>
      <c r="B130" t="str">
        <v/>
      </c>
      <c r="C130" s="40" t="str">
        <f t="array" ref="C130">IFERROR(INDEX(checklistPesertaKemenkeu!$F$6:$F$1005,SMALL(IF(checklistPesertaKemenkeu!$AY$6:$AY$1005="Direkomendasikan",ROW($6:$1005)-5),129)),"")</f>
        <v/>
      </c>
      <c r="D130" t="str">
        <f t="array" ref="D130">IFERROR(INDEX(checklistPesertaKemenkeu!$G$6:$G$1005,SMALL(IF(checklistPesertaKemenkeu!$AY$6:$AY$1005="Direkomendasikan",ROW($6:$1005)-5),129)),"")</f>
        <v/>
      </c>
      <c r="E130" t="str">
        <f t="array" ref="E130">IFERROR(INDEX(checklistPesertaKemenkeu!$H$6:$H$1005,SMALL(IF(checklistPesertaKemenkeu!$AY$6:$AY$1005="Direkomendasikan",ROW($6:$1005)-5),129)),"")</f>
        <v/>
      </c>
      <c r="F130" t="str">
        <f t="array" ref="F130">IFERROR(INDEX(checklistPesertaKemenkeu!$I$6:$I$1005,SMALL(IF(checklistPesertaKemenkeu!$AY$6:$AY$1005="Direkomendasikan",ROW($6:$1005)-5),129)),"")</f>
        <v/>
      </c>
      <c r="G130" t="str">
        <f t="array" ref="G130">IFERROR(INDEX(checklistPesertaKemenkeu!$J$6:$J$1005,SMALL(IF(checklistPesertaKemenkeu!$AY$6:$AY$1005="Direkomendasikan",ROW($6:$1005)-5),129)),"")</f>
        <v/>
      </c>
      <c r="H130" t="str">
        <f t="array" aca="1" ref="H130" ca="1">IFERROR(IF(OR(INDEX(checklistPesertaKemenkeu!$L$6:$L$1005,SMALL(IF(checklistPesertaKemenkeu!$AY$6:$AY$1005="Direkomendasikan",ROW($6:$1005)-5),129))="",INDEX(checklistPesertaKemenkeu!$J$6:$J$1005,SMALL(IF(checklistPesertaKemenkeu!$AY$6:$AY$1005="Direkomendasikan",ROW($6:$1005)-5),129))=""),"",IF(AND(COUNTIF(INDIRECT("K_"&amp;MATCH(INDEX(checklistPesertaKemenkeu!$J$6:$J$1005,SMALL(IF(checklistPesertaKemenkeu!$AY$6:$AY$1005="Direkomendasikan",ROW($6:$1005)-5),129)),BidangList,0)),INDEX(checklistPesertaKemenkeu!$L$6:$L$1005,SMALL(IF(checklistPesertaKemenkeu!$AY$6:$AY$1005="Direkomendasikan",ROW($6:$1005)-5),129)))&gt;0,COUNTIF(INDIRECT("'KERTAS KERJA'!K"&amp;(SMALL(IF(checklistPesertaKemenkeu!$AY$6:$AY$1005="Direkomendasikan",ROW($6:$1005)-5),129)+5)&amp;":O"&amp;(SMALL(IF(checklistPesertaKemenkeu!$AY$6:$AY$1005="Direkomendasikan",ROW($6:$1005)-5),129)+5)),INDEX(checklistPesertaKemenkeu!$L$6:$L$1005,SMALL(IF(checklistPesertaKemenkeu!$AY$6:$AY$1005="Direkomendasikan",ROW($6:$1005)-5),129)))=1),IFERROR(VLOOKUP(INDEX(checklistPesertaKemenkeu!$L$6:$L$1005,SMALL(IF(checklistPesertaKemenkeu!$AY$6:$AY$1005="Direkomendasikan",ROW($6:$1005)-5),129)),KotaKode,2,0),"-"),"")),"")</f>
        <v/>
      </c>
      <c r="I130" t="str">
        <f t="array" aca="1" ref="I130" ca="1">IFERROR(IF(OR(INDEX(checklistPesertaKemenkeu!$M$6:$M$1005,SMALL(IF(checklistPesertaKemenkeu!$AY$6:$AY$1005="Direkomendasikan",ROW($6:$1005)-5),129))="",INDEX(checklistPesertaKemenkeu!$J$6:$J$1005,SMALL(IF(checklistPesertaKemenkeu!$AY$6:$AY$1005="Direkomendasikan",ROW($6:$1005)-5),129))=""),"",IF(AND(COUNTIF(INDIRECT("K_"&amp;MATCH(INDEX(checklistPesertaKemenkeu!$J$6:$J$1005,SMALL(IF(checklistPesertaKemenkeu!$AY$6:$AY$1005="Direkomendasikan",ROW($6:$1005)-5),129)),BidangList,0)),INDEX(checklistPesertaKemenkeu!$M$6:$M$1005,SMALL(IF(checklistPesertaKemenkeu!$AY$6:$AY$1005="Direkomendasikan",ROW($6:$1005)-5),129)))&gt;0,COUNTIF(INDIRECT("'KERTAS KERJA'!K"&amp;(SMALL(IF(checklistPesertaKemenkeu!$AY$6:$AY$1005="Direkomendasikan",ROW($6:$1005)-5),129)+5)&amp;":O"&amp;(SMALL(IF(checklistPesertaKemenkeu!$AY$6:$AY$1005="Direkomendasikan",ROW($6:$1005)-5),129)+5)),INDEX(checklistPesertaKemenkeu!$M$6:$M$1005,SMALL(IF(checklistPesertaKemenkeu!$AY$6:$AY$1005="Direkomendasikan",ROW($6:$1005)-5),129)))=1),IFERROR(VLOOKUP(INDEX(checklistPesertaKemenkeu!$M$6:$M$1005,SMALL(IF(checklistPesertaKemenkeu!$AY$6:$AY$1005="Direkomendasikan",ROW($6:$1005)-5),129)),KotaKode,2,0),"-"),"")),"")</f>
        <v/>
      </c>
      <c r="J130" t="str">
        <f t="array" aca="1" ref="J130" ca="1">IFERROR(IF(OR(INDEX(checklistPesertaKemenkeu!$N$6:$N$1005,SMALL(IF(checklistPesertaKemenkeu!$AY$6:$AY$1005="Direkomendasikan",ROW($6:$1005)-5),129))="",INDEX(checklistPesertaKemenkeu!$J$6:$J$1005,SMALL(IF(checklistPesertaKemenkeu!$AY$6:$AY$1005="Direkomendasikan",ROW($6:$1005)-5),129))=""),"",IF(AND(COUNTIF(INDIRECT("K_"&amp;MATCH(INDEX(checklistPesertaKemenkeu!$J$6:$J$1005,SMALL(IF(checklistPesertaKemenkeu!$AY$6:$AY$1005="Direkomendasikan",ROW($6:$1005)-5),129)),BidangList,0)),INDEX(checklistPesertaKemenkeu!$N$6:$N$1005,SMALL(IF(checklistPesertaKemenkeu!$AY$6:$AY$1005="Direkomendasikan",ROW($6:$1005)-5),129)))&gt;0,COUNTIF(INDIRECT("'KERTAS KERJA'!K"&amp;(SMALL(IF(checklistPesertaKemenkeu!$AY$6:$AY$1005="Direkomendasikan",ROW($6:$1005)-5),129)+5)&amp;":O"&amp;(SMALL(IF(checklistPesertaKemenkeu!$AY$6:$AY$1005="Direkomendasikan",ROW($6:$1005)-5),129)+5)),INDEX(checklistPesertaKemenkeu!$N$6:$N$1005,SMALL(IF(checklistPesertaKemenkeu!$AY$6:$AY$1005="Direkomendasikan",ROW($6:$1005)-5),129)))=1),IFERROR(VLOOKUP(INDEX(checklistPesertaKemenkeu!$N$6:$N$1005,SMALL(IF(checklistPesertaKemenkeu!$AY$6:$AY$1005="Direkomendasikan",ROW($6:$1005)-5),129)),KotaKode,2,0),"-"),"")),"")</f>
        <v/>
      </c>
      <c r="K130" t="str">
        <f t="array" aca="1" ref="K130" ca="1">IFERROR(IF(OR(INDEX(checklistPesertaKemenkeu!$O$6:$O$1005,SMALL(IF(checklistPesertaKemenkeu!$AY$6:$AY$1005="Direkomendasikan",ROW($6:$1005)-5),129))="",INDEX(checklistPesertaKemenkeu!$J$6:$J$1005,SMALL(IF(checklistPesertaKemenkeu!$AY$6:$AY$1005="Direkomendasikan",ROW($6:$1005)-5),129))=""),"",IF(AND(COUNTIF(INDIRECT("K_"&amp;MATCH(INDEX(checklistPesertaKemenkeu!$J$6:$J$1005,SMALL(IF(checklistPesertaKemenkeu!$AY$6:$AY$1005="Direkomendasikan",ROW($6:$1005)-5),129)),BidangList,0)),INDEX(checklistPesertaKemenkeu!$O$6:$O$1005,SMALL(IF(checklistPesertaKemenkeu!$AY$6:$AY$1005="Direkomendasikan",ROW($6:$1005)-5),129)))&gt;0,COUNTIF(INDIRECT("'KERTAS KERJA'!K"&amp;(SMALL(IF(checklistPesertaKemenkeu!$AY$6:$AY$1005="Direkomendasikan",ROW($6:$1005)-5),129)+5)&amp;":O"&amp;(SMALL(IF(checklistPesertaKemenkeu!$AY$6:$AY$1005="Direkomendasikan",ROW($6:$1005)-5),129)+5)),INDEX(checklistPesertaKemenkeu!$O$6:$O$1005,SMALL(IF(checklistPesertaKemenkeu!$AY$6:$AY$1005="Direkomendasikan",ROW($6:$1005)-5),129)))=1),IFERROR(VLOOKUP(INDEX(checklistPesertaKemenkeu!$O$6:$O$1005,SMALL(IF(checklistPesertaKemenkeu!$AY$6:$AY$1005="Direkomendasikan",ROW($6:$1005)-5),129)),KotaKode,2,0),"-"),"")),"")</f>
        <v/>
      </c>
      <c r="L130" t="str">
        <f t="array" aca="1" ref="L130" ca="1">IFERROR(IF(OR(INDEX(checklistPesertaKemenkeu!$P$6:$P$1005,SMALL(IF(checklistPesertaKemenkeu!$AY$6:$AY$1005="Direkomendasikan",ROW($6:$1005)-5),129))="",INDEX(checklistPesertaKemenkeu!$J$6:$J$1005,SMALL(IF(checklistPesertaKemenkeu!$AY$6:$AY$1005="Direkomendasikan",ROW($6:$1005)-5),129))=""),"",IF(AND(COUNTIF(INDIRECT("K_"&amp;MATCH(INDEX(checklistPesertaKemenkeu!$J$6:$J$1005,SMALL(IF(checklistPesertaKemenkeu!$AY$6:$AY$1005="Direkomendasikan",ROW($6:$1005)-5),129)),BidangList,0)),INDEX(checklistPesertaKemenkeu!$P$6:$P$1005,SMALL(IF(checklistPesertaKemenkeu!$AY$6:$AY$1005="Direkomendasikan",ROW($6:$1005)-5),129)))&gt;0,COUNTIF(INDIRECT("'KERTAS KERJA'!K"&amp;(SMALL(IF(checklistPesertaKemenkeu!$AY$6:$AY$1005="Direkomendasikan",ROW($6:$1005)-5),129)+5)&amp;":O"&amp;(SMALL(IF(checklistPesertaKemenkeu!$AY$6:$AY$1005="Direkomendasikan",ROW($6:$1005)-5),129)+5)),INDEX(checklistPesertaKemenkeu!$P$6:$P$1005,SMALL(IF(checklistPesertaKemenkeu!$AY$6:$AY$1005="Direkomendasikan",ROW($6:$1005)-5),129)))=1),IFERROR(VLOOKUP(INDEX(checklistPesertaKemenkeu!$P$6:$P$1005,SMALL(IF(checklistPesertaKemenkeu!$AY$6:$AY$1005="Direkomendasikan",ROW($6:$1005)-5),129)),KotaKode,2,0),"-"),"")),"")</f>
        <v/>
      </c>
    </row>
    <row r="131" spans="1:12" ht="15" customHeight="1" x14ac:dyDescent="0.2">
      <c r="A131" t="str">
        <f t="shared" si="2"/>
        <v/>
      </c>
      <c r="B131" t="str">
        <v/>
      </c>
      <c r="C131" s="40" t="str">
        <f t="array" ref="C131">IFERROR(INDEX(checklistPesertaKemenkeu!$F$6:$F$1005,SMALL(IF(checklistPesertaKemenkeu!$AY$6:$AY$1005="Direkomendasikan",ROW($6:$1005)-5),130)),"")</f>
        <v/>
      </c>
      <c r="D131" t="str">
        <f t="array" ref="D131">IFERROR(INDEX(checklistPesertaKemenkeu!$G$6:$G$1005,SMALL(IF(checklistPesertaKemenkeu!$AY$6:$AY$1005="Direkomendasikan",ROW($6:$1005)-5),130)),"")</f>
        <v/>
      </c>
      <c r="E131" t="str">
        <f t="array" ref="E131">IFERROR(INDEX(checklistPesertaKemenkeu!$H$6:$H$1005,SMALL(IF(checklistPesertaKemenkeu!$AY$6:$AY$1005="Direkomendasikan",ROW($6:$1005)-5),130)),"")</f>
        <v/>
      </c>
      <c r="F131" t="str">
        <f t="array" ref="F131">IFERROR(INDEX(checklistPesertaKemenkeu!$I$6:$I$1005,SMALL(IF(checklistPesertaKemenkeu!$AY$6:$AY$1005="Direkomendasikan",ROW($6:$1005)-5),130)),"")</f>
        <v/>
      </c>
      <c r="G131" t="str">
        <f t="array" ref="G131">IFERROR(INDEX(checklistPesertaKemenkeu!$J$6:$J$1005,SMALL(IF(checklistPesertaKemenkeu!$AY$6:$AY$1005="Direkomendasikan",ROW($6:$1005)-5),130)),"")</f>
        <v/>
      </c>
      <c r="H131" t="str">
        <f t="array" aca="1" ref="H131" ca="1">IFERROR(IF(OR(INDEX(checklistPesertaKemenkeu!$L$6:$L$1005,SMALL(IF(checklistPesertaKemenkeu!$AY$6:$AY$1005="Direkomendasikan",ROW($6:$1005)-5),130))="",INDEX(checklistPesertaKemenkeu!$J$6:$J$1005,SMALL(IF(checklistPesertaKemenkeu!$AY$6:$AY$1005="Direkomendasikan",ROW($6:$1005)-5),130))=""),"",IF(AND(COUNTIF(INDIRECT("K_"&amp;MATCH(INDEX(checklistPesertaKemenkeu!$J$6:$J$1005,SMALL(IF(checklistPesertaKemenkeu!$AY$6:$AY$1005="Direkomendasikan",ROW($6:$1005)-5),130)),BidangList,0)),INDEX(checklistPesertaKemenkeu!$L$6:$L$1005,SMALL(IF(checklistPesertaKemenkeu!$AY$6:$AY$1005="Direkomendasikan",ROW($6:$1005)-5),130)))&gt;0,COUNTIF(INDIRECT("'KERTAS KERJA'!K"&amp;(SMALL(IF(checklistPesertaKemenkeu!$AY$6:$AY$1005="Direkomendasikan",ROW($6:$1005)-5),130)+5)&amp;":O"&amp;(SMALL(IF(checklistPesertaKemenkeu!$AY$6:$AY$1005="Direkomendasikan",ROW($6:$1005)-5),130)+5)),INDEX(checklistPesertaKemenkeu!$L$6:$L$1005,SMALL(IF(checklistPesertaKemenkeu!$AY$6:$AY$1005="Direkomendasikan",ROW($6:$1005)-5),130)))=1),IFERROR(VLOOKUP(INDEX(checklistPesertaKemenkeu!$L$6:$L$1005,SMALL(IF(checklistPesertaKemenkeu!$AY$6:$AY$1005="Direkomendasikan",ROW($6:$1005)-5),130)),KotaKode,2,0),"-"),"")),"")</f>
        <v/>
      </c>
      <c r="I131" t="str">
        <f t="array" aca="1" ref="I131" ca="1">IFERROR(IF(OR(INDEX(checklistPesertaKemenkeu!$M$6:$M$1005,SMALL(IF(checklistPesertaKemenkeu!$AY$6:$AY$1005="Direkomendasikan",ROW($6:$1005)-5),130))="",INDEX(checklistPesertaKemenkeu!$J$6:$J$1005,SMALL(IF(checklistPesertaKemenkeu!$AY$6:$AY$1005="Direkomendasikan",ROW($6:$1005)-5),130))=""),"",IF(AND(COUNTIF(INDIRECT("K_"&amp;MATCH(INDEX(checklistPesertaKemenkeu!$J$6:$J$1005,SMALL(IF(checklistPesertaKemenkeu!$AY$6:$AY$1005="Direkomendasikan",ROW($6:$1005)-5),130)),BidangList,0)),INDEX(checklistPesertaKemenkeu!$M$6:$M$1005,SMALL(IF(checklistPesertaKemenkeu!$AY$6:$AY$1005="Direkomendasikan",ROW($6:$1005)-5),130)))&gt;0,COUNTIF(INDIRECT("'KERTAS KERJA'!K"&amp;(SMALL(IF(checklistPesertaKemenkeu!$AY$6:$AY$1005="Direkomendasikan",ROW($6:$1005)-5),130)+5)&amp;":O"&amp;(SMALL(IF(checklistPesertaKemenkeu!$AY$6:$AY$1005="Direkomendasikan",ROW($6:$1005)-5),130)+5)),INDEX(checklistPesertaKemenkeu!$M$6:$M$1005,SMALL(IF(checklistPesertaKemenkeu!$AY$6:$AY$1005="Direkomendasikan",ROW($6:$1005)-5),130)))=1),IFERROR(VLOOKUP(INDEX(checklistPesertaKemenkeu!$M$6:$M$1005,SMALL(IF(checklistPesertaKemenkeu!$AY$6:$AY$1005="Direkomendasikan",ROW($6:$1005)-5),130)),KotaKode,2,0),"-"),"")),"")</f>
        <v/>
      </c>
      <c r="J131" t="str">
        <f t="array" aca="1" ref="J131" ca="1">IFERROR(IF(OR(INDEX(checklistPesertaKemenkeu!$N$6:$N$1005,SMALL(IF(checklistPesertaKemenkeu!$AY$6:$AY$1005="Direkomendasikan",ROW($6:$1005)-5),130))="",INDEX(checklistPesertaKemenkeu!$J$6:$J$1005,SMALL(IF(checklistPesertaKemenkeu!$AY$6:$AY$1005="Direkomendasikan",ROW($6:$1005)-5),130))=""),"",IF(AND(COUNTIF(INDIRECT("K_"&amp;MATCH(INDEX(checklistPesertaKemenkeu!$J$6:$J$1005,SMALL(IF(checklistPesertaKemenkeu!$AY$6:$AY$1005="Direkomendasikan",ROW($6:$1005)-5),130)),BidangList,0)),INDEX(checklistPesertaKemenkeu!$N$6:$N$1005,SMALL(IF(checklistPesertaKemenkeu!$AY$6:$AY$1005="Direkomendasikan",ROW($6:$1005)-5),130)))&gt;0,COUNTIF(INDIRECT("'KERTAS KERJA'!K"&amp;(SMALL(IF(checklistPesertaKemenkeu!$AY$6:$AY$1005="Direkomendasikan",ROW($6:$1005)-5),130)+5)&amp;":O"&amp;(SMALL(IF(checklistPesertaKemenkeu!$AY$6:$AY$1005="Direkomendasikan",ROW($6:$1005)-5),130)+5)),INDEX(checklistPesertaKemenkeu!$N$6:$N$1005,SMALL(IF(checklistPesertaKemenkeu!$AY$6:$AY$1005="Direkomendasikan",ROW($6:$1005)-5),130)))=1),IFERROR(VLOOKUP(INDEX(checklistPesertaKemenkeu!$N$6:$N$1005,SMALL(IF(checklistPesertaKemenkeu!$AY$6:$AY$1005="Direkomendasikan",ROW($6:$1005)-5),130)),KotaKode,2,0),"-"),"")),"")</f>
        <v/>
      </c>
      <c r="K131" t="str">
        <f t="array" aca="1" ref="K131" ca="1">IFERROR(IF(OR(INDEX(checklistPesertaKemenkeu!$O$6:$O$1005,SMALL(IF(checklistPesertaKemenkeu!$AY$6:$AY$1005="Direkomendasikan",ROW($6:$1005)-5),130))="",INDEX(checklistPesertaKemenkeu!$J$6:$J$1005,SMALL(IF(checklistPesertaKemenkeu!$AY$6:$AY$1005="Direkomendasikan",ROW($6:$1005)-5),130))=""),"",IF(AND(COUNTIF(INDIRECT("K_"&amp;MATCH(INDEX(checklistPesertaKemenkeu!$J$6:$J$1005,SMALL(IF(checklistPesertaKemenkeu!$AY$6:$AY$1005="Direkomendasikan",ROW($6:$1005)-5),130)),BidangList,0)),INDEX(checklistPesertaKemenkeu!$O$6:$O$1005,SMALL(IF(checklistPesertaKemenkeu!$AY$6:$AY$1005="Direkomendasikan",ROW($6:$1005)-5),130)))&gt;0,COUNTIF(INDIRECT("'KERTAS KERJA'!K"&amp;(SMALL(IF(checklistPesertaKemenkeu!$AY$6:$AY$1005="Direkomendasikan",ROW($6:$1005)-5),130)+5)&amp;":O"&amp;(SMALL(IF(checklistPesertaKemenkeu!$AY$6:$AY$1005="Direkomendasikan",ROW($6:$1005)-5),130)+5)),INDEX(checklistPesertaKemenkeu!$O$6:$O$1005,SMALL(IF(checklistPesertaKemenkeu!$AY$6:$AY$1005="Direkomendasikan",ROW($6:$1005)-5),130)))=1),IFERROR(VLOOKUP(INDEX(checklistPesertaKemenkeu!$O$6:$O$1005,SMALL(IF(checklistPesertaKemenkeu!$AY$6:$AY$1005="Direkomendasikan",ROW($6:$1005)-5),130)),KotaKode,2,0),"-"),"")),"")</f>
        <v/>
      </c>
      <c r="L131" t="str">
        <f t="array" aca="1" ref="L131" ca="1">IFERROR(IF(OR(INDEX(checklistPesertaKemenkeu!$P$6:$P$1005,SMALL(IF(checklistPesertaKemenkeu!$AY$6:$AY$1005="Direkomendasikan",ROW($6:$1005)-5),130))="",INDEX(checklistPesertaKemenkeu!$J$6:$J$1005,SMALL(IF(checklistPesertaKemenkeu!$AY$6:$AY$1005="Direkomendasikan",ROW($6:$1005)-5),130))=""),"",IF(AND(COUNTIF(INDIRECT("K_"&amp;MATCH(INDEX(checklistPesertaKemenkeu!$J$6:$J$1005,SMALL(IF(checklistPesertaKemenkeu!$AY$6:$AY$1005="Direkomendasikan",ROW($6:$1005)-5),130)),BidangList,0)),INDEX(checklistPesertaKemenkeu!$P$6:$P$1005,SMALL(IF(checklistPesertaKemenkeu!$AY$6:$AY$1005="Direkomendasikan",ROW($6:$1005)-5),130)))&gt;0,COUNTIF(INDIRECT("'KERTAS KERJA'!K"&amp;(SMALL(IF(checklistPesertaKemenkeu!$AY$6:$AY$1005="Direkomendasikan",ROW($6:$1005)-5),130)+5)&amp;":O"&amp;(SMALL(IF(checklistPesertaKemenkeu!$AY$6:$AY$1005="Direkomendasikan",ROW($6:$1005)-5),130)+5)),INDEX(checklistPesertaKemenkeu!$P$6:$P$1005,SMALL(IF(checklistPesertaKemenkeu!$AY$6:$AY$1005="Direkomendasikan",ROW($6:$1005)-5),130)))=1),IFERROR(VLOOKUP(INDEX(checklistPesertaKemenkeu!$P$6:$P$1005,SMALL(IF(checklistPesertaKemenkeu!$AY$6:$AY$1005="Direkomendasikan",ROW($6:$1005)-5),130)),KotaKode,2,0),"-"),"")),"")</f>
        <v/>
      </c>
    </row>
    <row r="132" spans="1:12" ht="15" customHeight="1" x14ac:dyDescent="0.2">
      <c r="A132" t="str">
        <f t="shared" si="2"/>
        <v/>
      </c>
      <c r="B132" t="str">
        <v/>
      </c>
      <c r="C132" s="40" t="str">
        <f t="array" ref="C132">IFERROR(INDEX(checklistPesertaKemenkeu!$F$6:$F$1005,SMALL(IF(checklistPesertaKemenkeu!$AY$6:$AY$1005="Direkomendasikan",ROW($6:$1005)-5),131)),"")</f>
        <v/>
      </c>
      <c r="D132" t="str">
        <f t="array" ref="D132">IFERROR(INDEX(checklistPesertaKemenkeu!$G$6:$G$1005,SMALL(IF(checklistPesertaKemenkeu!$AY$6:$AY$1005="Direkomendasikan",ROW($6:$1005)-5),131)),"")</f>
        <v/>
      </c>
      <c r="E132" t="str">
        <f t="array" ref="E132">IFERROR(INDEX(checklistPesertaKemenkeu!$H$6:$H$1005,SMALL(IF(checklistPesertaKemenkeu!$AY$6:$AY$1005="Direkomendasikan",ROW($6:$1005)-5),131)),"")</f>
        <v/>
      </c>
      <c r="F132" t="str">
        <f t="array" ref="F132">IFERROR(INDEX(checklistPesertaKemenkeu!$I$6:$I$1005,SMALL(IF(checklistPesertaKemenkeu!$AY$6:$AY$1005="Direkomendasikan",ROW($6:$1005)-5),131)),"")</f>
        <v/>
      </c>
      <c r="G132" t="str">
        <f t="array" ref="G132">IFERROR(INDEX(checklistPesertaKemenkeu!$J$6:$J$1005,SMALL(IF(checklistPesertaKemenkeu!$AY$6:$AY$1005="Direkomendasikan",ROW($6:$1005)-5),131)),"")</f>
        <v/>
      </c>
      <c r="H132" t="str">
        <f t="array" aca="1" ref="H132" ca="1">IFERROR(IF(OR(INDEX(checklistPesertaKemenkeu!$L$6:$L$1005,SMALL(IF(checklistPesertaKemenkeu!$AY$6:$AY$1005="Direkomendasikan",ROW($6:$1005)-5),131))="",INDEX(checklistPesertaKemenkeu!$J$6:$J$1005,SMALL(IF(checklistPesertaKemenkeu!$AY$6:$AY$1005="Direkomendasikan",ROW($6:$1005)-5),131))=""),"",IF(AND(COUNTIF(INDIRECT("K_"&amp;MATCH(INDEX(checklistPesertaKemenkeu!$J$6:$J$1005,SMALL(IF(checklistPesertaKemenkeu!$AY$6:$AY$1005="Direkomendasikan",ROW($6:$1005)-5),131)),BidangList,0)),INDEX(checklistPesertaKemenkeu!$L$6:$L$1005,SMALL(IF(checklistPesertaKemenkeu!$AY$6:$AY$1005="Direkomendasikan",ROW($6:$1005)-5),131)))&gt;0,COUNTIF(INDIRECT("'KERTAS KERJA'!K"&amp;(SMALL(IF(checklistPesertaKemenkeu!$AY$6:$AY$1005="Direkomendasikan",ROW($6:$1005)-5),131)+5)&amp;":O"&amp;(SMALL(IF(checklistPesertaKemenkeu!$AY$6:$AY$1005="Direkomendasikan",ROW($6:$1005)-5),131)+5)),INDEX(checklistPesertaKemenkeu!$L$6:$L$1005,SMALL(IF(checklistPesertaKemenkeu!$AY$6:$AY$1005="Direkomendasikan",ROW($6:$1005)-5),131)))=1),IFERROR(VLOOKUP(INDEX(checklistPesertaKemenkeu!$L$6:$L$1005,SMALL(IF(checklistPesertaKemenkeu!$AY$6:$AY$1005="Direkomendasikan",ROW($6:$1005)-5),131)),KotaKode,2,0),"-"),"")),"")</f>
        <v/>
      </c>
      <c r="I132" t="str">
        <f t="array" aca="1" ref="I132" ca="1">IFERROR(IF(OR(INDEX(checklistPesertaKemenkeu!$M$6:$M$1005,SMALL(IF(checklistPesertaKemenkeu!$AY$6:$AY$1005="Direkomendasikan",ROW($6:$1005)-5),131))="",INDEX(checklistPesertaKemenkeu!$J$6:$J$1005,SMALL(IF(checklistPesertaKemenkeu!$AY$6:$AY$1005="Direkomendasikan",ROW($6:$1005)-5),131))=""),"",IF(AND(COUNTIF(INDIRECT("K_"&amp;MATCH(INDEX(checklistPesertaKemenkeu!$J$6:$J$1005,SMALL(IF(checklistPesertaKemenkeu!$AY$6:$AY$1005="Direkomendasikan",ROW($6:$1005)-5),131)),BidangList,0)),INDEX(checklistPesertaKemenkeu!$M$6:$M$1005,SMALL(IF(checklistPesertaKemenkeu!$AY$6:$AY$1005="Direkomendasikan",ROW($6:$1005)-5),131)))&gt;0,COUNTIF(INDIRECT("'KERTAS KERJA'!K"&amp;(SMALL(IF(checklistPesertaKemenkeu!$AY$6:$AY$1005="Direkomendasikan",ROW($6:$1005)-5),131)+5)&amp;":O"&amp;(SMALL(IF(checklistPesertaKemenkeu!$AY$6:$AY$1005="Direkomendasikan",ROW($6:$1005)-5),131)+5)),INDEX(checklistPesertaKemenkeu!$M$6:$M$1005,SMALL(IF(checklistPesertaKemenkeu!$AY$6:$AY$1005="Direkomendasikan",ROW($6:$1005)-5),131)))=1),IFERROR(VLOOKUP(INDEX(checklistPesertaKemenkeu!$M$6:$M$1005,SMALL(IF(checklistPesertaKemenkeu!$AY$6:$AY$1005="Direkomendasikan",ROW($6:$1005)-5),131)),KotaKode,2,0),"-"),"")),"")</f>
        <v/>
      </c>
      <c r="J132" t="str">
        <f t="array" aca="1" ref="J132" ca="1">IFERROR(IF(OR(INDEX(checklistPesertaKemenkeu!$N$6:$N$1005,SMALL(IF(checklistPesertaKemenkeu!$AY$6:$AY$1005="Direkomendasikan",ROW($6:$1005)-5),131))="",INDEX(checklistPesertaKemenkeu!$J$6:$J$1005,SMALL(IF(checklistPesertaKemenkeu!$AY$6:$AY$1005="Direkomendasikan",ROW($6:$1005)-5),131))=""),"",IF(AND(COUNTIF(INDIRECT("K_"&amp;MATCH(INDEX(checklistPesertaKemenkeu!$J$6:$J$1005,SMALL(IF(checklistPesertaKemenkeu!$AY$6:$AY$1005="Direkomendasikan",ROW($6:$1005)-5),131)),BidangList,0)),INDEX(checklistPesertaKemenkeu!$N$6:$N$1005,SMALL(IF(checklistPesertaKemenkeu!$AY$6:$AY$1005="Direkomendasikan",ROW($6:$1005)-5),131)))&gt;0,COUNTIF(INDIRECT("'KERTAS KERJA'!K"&amp;(SMALL(IF(checklistPesertaKemenkeu!$AY$6:$AY$1005="Direkomendasikan",ROW($6:$1005)-5),131)+5)&amp;":O"&amp;(SMALL(IF(checklistPesertaKemenkeu!$AY$6:$AY$1005="Direkomendasikan",ROW($6:$1005)-5),131)+5)),INDEX(checklistPesertaKemenkeu!$N$6:$N$1005,SMALL(IF(checklistPesertaKemenkeu!$AY$6:$AY$1005="Direkomendasikan",ROW($6:$1005)-5),131)))=1),IFERROR(VLOOKUP(INDEX(checklistPesertaKemenkeu!$N$6:$N$1005,SMALL(IF(checklistPesertaKemenkeu!$AY$6:$AY$1005="Direkomendasikan",ROW($6:$1005)-5),131)),KotaKode,2,0),"-"),"")),"")</f>
        <v/>
      </c>
      <c r="K132" t="str">
        <f t="array" aca="1" ref="K132" ca="1">IFERROR(IF(OR(INDEX(checklistPesertaKemenkeu!$O$6:$O$1005,SMALL(IF(checklistPesertaKemenkeu!$AY$6:$AY$1005="Direkomendasikan",ROW($6:$1005)-5),131))="",INDEX(checklistPesertaKemenkeu!$J$6:$J$1005,SMALL(IF(checklistPesertaKemenkeu!$AY$6:$AY$1005="Direkomendasikan",ROW($6:$1005)-5),131))=""),"",IF(AND(COUNTIF(INDIRECT("K_"&amp;MATCH(INDEX(checklistPesertaKemenkeu!$J$6:$J$1005,SMALL(IF(checklistPesertaKemenkeu!$AY$6:$AY$1005="Direkomendasikan",ROW($6:$1005)-5),131)),BidangList,0)),INDEX(checklistPesertaKemenkeu!$O$6:$O$1005,SMALL(IF(checklistPesertaKemenkeu!$AY$6:$AY$1005="Direkomendasikan",ROW($6:$1005)-5),131)))&gt;0,COUNTIF(INDIRECT("'KERTAS KERJA'!K"&amp;(SMALL(IF(checklistPesertaKemenkeu!$AY$6:$AY$1005="Direkomendasikan",ROW($6:$1005)-5),131)+5)&amp;":O"&amp;(SMALL(IF(checklistPesertaKemenkeu!$AY$6:$AY$1005="Direkomendasikan",ROW($6:$1005)-5),131)+5)),INDEX(checklistPesertaKemenkeu!$O$6:$O$1005,SMALL(IF(checklistPesertaKemenkeu!$AY$6:$AY$1005="Direkomendasikan",ROW($6:$1005)-5),131)))=1),IFERROR(VLOOKUP(INDEX(checklistPesertaKemenkeu!$O$6:$O$1005,SMALL(IF(checklistPesertaKemenkeu!$AY$6:$AY$1005="Direkomendasikan",ROW($6:$1005)-5),131)),KotaKode,2,0),"-"),"")),"")</f>
        <v/>
      </c>
      <c r="L132" t="str">
        <f t="array" aca="1" ref="L132" ca="1">IFERROR(IF(OR(INDEX(checklistPesertaKemenkeu!$P$6:$P$1005,SMALL(IF(checklistPesertaKemenkeu!$AY$6:$AY$1005="Direkomendasikan",ROW($6:$1005)-5),131))="",INDEX(checklistPesertaKemenkeu!$J$6:$J$1005,SMALL(IF(checklistPesertaKemenkeu!$AY$6:$AY$1005="Direkomendasikan",ROW($6:$1005)-5),131))=""),"",IF(AND(COUNTIF(INDIRECT("K_"&amp;MATCH(INDEX(checklistPesertaKemenkeu!$J$6:$J$1005,SMALL(IF(checklistPesertaKemenkeu!$AY$6:$AY$1005="Direkomendasikan",ROW($6:$1005)-5),131)),BidangList,0)),INDEX(checklistPesertaKemenkeu!$P$6:$P$1005,SMALL(IF(checklistPesertaKemenkeu!$AY$6:$AY$1005="Direkomendasikan",ROW($6:$1005)-5),131)))&gt;0,COUNTIF(INDIRECT("'KERTAS KERJA'!K"&amp;(SMALL(IF(checklistPesertaKemenkeu!$AY$6:$AY$1005="Direkomendasikan",ROW($6:$1005)-5),131)+5)&amp;":O"&amp;(SMALL(IF(checklistPesertaKemenkeu!$AY$6:$AY$1005="Direkomendasikan",ROW($6:$1005)-5),131)+5)),INDEX(checklistPesertaKemenkeu!$P$6:$P$1005,SMALL(IF(checklistPesertaKemenkeu!$AY$6:$AY$1005="Direkomendasikan",ROW($6:$1005)-5),131)))=1),IFERROR(VLOOKUP(INDEX(checklistPesertaKemenkeu!$P$6:$P$1005,SMALL(IF(checklistPesertaKemenkeu!$AY$6:$AY$1005="Direkomendasikan",ROW($6:$1005)-5),131)),KotaKode,2,0),"-"),"")),"")</f>
        <v/>
      </c>
    </row>
    <row r="133" spans="1:12" ht="15" customHeight="1" x14ac:dyDescent="0.2">
      <c r="A133" t="str">
        <f t="shared" si="2"/>
        <v/>
      </c>
      <c r="B133" t="str">
        <v/>
      </c>
      <c r="C133" s="40" t="str">
        <f t="array" ref="C133">IFERROR(INDEX(checklistPesertaKemenkeu!$F$6:$F$1005,SMALL(IF(checklistPesertaKemenkeu!$AY$6:$AY$1005="Direkomendasikan",ROW($6:$1005)-5),132)),"")</f>
        <v/>
      </c>
      <c r="D133" t="str">
        <f t="array" ref="D133">IFERROR(INDEX(checklistPesertaKemenkeu!$G$6:$G$1005,SMALL(IF(checklistPesertaKemenkeu!$AY$6:$AY$1005="Direkomendasikan",ROW($6:$1005)-5),132)),"")</f>
        <v/>
      </c>
      <c r="E133" t="str">
        <f t="array" ref="E133">IFERROR(INDEX(checklistPesertaKemenkeu!$H$6:$H$1005,SMALL(IF(checklistPesertaKemenkeu!$AY$6:$AY$1005="Direkomendasikan",ROW($6:$1005)-5),132)),"")</f>
        <v/>
      </c>
      <c r="F133" t="str">
        <f t="array" ref="F133">IFERROR(INDEX(checklistPesertaKemenkeu!$I$6:$I$1005,SMALL(IF(checklistPesertaKemenkeu!$AY$6:$AY$1005="Direkomendasikan",ROW($6:$1005)-5),132)),"")</f>
        <v/>
      </c>
      <c r="G133" t="str">
        <f t="array" ref="G133">IFERROR(INDEX(checklistPesertaKemenkeu!$J$6:$J$1005,SMALL(IF(checklistPesertaKemenkeu!$AY$6:$AY$1005="Direkomendasikan",ROW($6:$1005)-5),132)),"")</f>
        <v/>
      </c>
      <c r="H133" t="str">
        <f t="array" aca="1" ref="H133" ca="1">IFERROR(IF(OR(INDEX(checklistPesertaKemenkeu!$L$6:$L$1005,SMALL(IF(checklistPesertaKemenkeu!$AY$6:$AY$1005="Direkomendasikan",ROW($6:$1005)-5),132))="",INDEX(checklistPesertaKemenkeu!$J$6:$J$1005,SMALL(IF(checklistPesertaKemenkeu!$AY$6:$AY$1005="Direkomendasikan",ROW($6:$1005)-5),132))=""),"",IF(AND(COUNTIF(INDIRECT("K_"&amp;MATCH(INDEX(checklistPesertaKemenkeu!$J$6:$J$1005,SMALL(IF(checklistPesertaKemenkeu!$AY$6:$AY$1005="Direkomendasikan",ROW($6:$1005)-5),132)),BidangList,0)),INDEX(checklistPesertaKemenkeu!$L$6:$L$1005,SMALL(IF(checklistPesertaKemenkeu!$AY$6:$AY$1005="Direkomendasikan",ROW($6:$1005)-5),132)))&gt;0,COUNTIF(INDIRECT("'KERTAS KERJA'!K"&amp;(SMALL(IF(checklistPesertaKemenkeu!$AY$6:$AY$1005="Direkomendasikan",ROW($6:$1005)-5),132)+5)&amp;":O"&amp;(SMALL(IF(checklistPesertaKemenkeu!$AY$6:$AY$1005="Direkomendasikan",ROW($6:$1005)-5),132)+5)),INDEX(checklistPesertaKemenkeu!$L$6:$L$1005,SMALL(IF(checklistPesertaKemenkeu!$AY$6:$AY$1005="Direkomendasikan",ROW($6:$1005)-5),132)))=1),IFERROR(VLOOKUP(INDEX(checklistPesertaKemenkeu!$L$6:$L$1005,SMALL(IF(checklistPesertaKemenkeu!$AY$6:$AY$1005="Direkomendasikan",ROW($6:$1005)-5),132)),KotaKode,2,0),"-"),"")),"")</f>
        <v/>
      </c>
      <c r="I133" t="str">
        <f t="array" aca="1" ref="I133" ca="1">IFERROR(IF(OR(INDEX(checklistPesertaKemenkeu!$M$6:$M$1005,SMALL(IF(checklistPesertaKemenkeu!$AY$6:$AY$1005="Direkomendasikan",ROW($6:$1005)-5),132))="",INDEX(checklistPesertaKemenkeu!$J$6:$J$1005,SMALL(IF(checklistPesertaKemenkeu!$AY$6:$AY$1005="Direkomendasikan",ROW($6:$1005)-5),132))=""),"",IF(AND(COUNTIF(INDIRECT("K_"&amp;MATCH(INDEX(checklistPesertaKemenkeu!$J$6:$J$1005,SMALL(IF(checklistPesertaKemenkeu!$AY$6:$AY$1005="Direkomendasikan",ROW($6:$1005)-5),132)),BidangList,0)),INDEX(checklistPesertaKemenkeu!$M$6:$M$1005,SMALL(IF(checklistPesertaKemenkeu!$AY$6:$AY$1005="Direkomendasikan",ROW($6:$1005)-5),132)))&gt;0,COUNTIF(INDIRECT("'KERTAS KERJA'!K"&amp;(SMALL(IF(checklistPesertaKemenkeu!$AY$6:$AY$1005="Direkomendasikan",ROW($6:$1005)-5),132)+5)&amp;":O"&amp;(SMALL(IF(checklistPesertaKemenkeu!$AY$6:$AY$1005="Direkomendasikan",ROW($6:$1005)-5),132)+5)),INDEX(checklistPesertaKemenkeu!$M$6:$M$1005,SMALL(IF(checklistPesertaKemenkeu!$AY$6:$AY$1005="Direkomendasikan",ROW($6:$1005)-5),132)))=1),IFERROR(VLOOKUP(INDEX(checklistPesertaKemenkeu!$M$6:$M$1005,SMALL(IF(checklistPesertaKemenkeu!$AY$6:$AY$1005="Direkomendasikan",ROW($6:$1005)-5),132)),KotaKode,2,0),"-"),"")),"")</f>
        <v/>
      </c>
      <c r="J133" t="str">
        <f t="array" aca="1" ref="J133" ca="1">IFERROR(IF(OR(INDEX(checklistPesertaKemenkeu!$N$6:$N$1005,SMALL(IF(checklistPesertaKemenkeu!$AY$6:$AY$1005="Direkomendasikan",ROW($6:$1005)-5),132))="",INDEX(checklistPesertaKemenkeu!$J$6:$J$1005,SMALL(IF(checklistPesertaKemenkeu!$AY$6:$AY$1005="Direkomendasikan",ROW($6:$1005)-5),132))=""),"",IF(AND(COUNTIF(INDIRECT("K_"&amp;MATCH(INDEX(checklistPesertaKemenkeu!$J$6:$J$1005,SMALL(IF(checklistPesertaKemenkeu!$AY$6:$AY$1005="Direkomendasikan",ROW($6:$1005)-5),132)),BidangList,0)),INDEX(checklistPesertaKemenkeu!$N$6:$N$1005,SMALL(IF(checklistPesertaKemenkeu!$AY$6:$AY$1005="Direkomendasikan",ROW($6:$1005)-5),132)))&gt;0,COUNTIF(INDIRECT("'KERTAS KERJA'!K"&amp;(SMALL(IF(checklistPesertaKemenkeu!$AY$6:$AY$1005="Direkomendasikan",ROW($6:$1005)-5),132)+5)&amp;":O"&amp;(SMALL(IF(checklistPesertaKemenkeu!$AY$6:$AY$1005="Direkomendasikan",ROW($6:$1005)-5),132)+5)),INDEX(checklistPesertaKemenkeu!$N$6:$N$1005,SMALL(IF(checklistPesertaKemenkeu!$AY$6:$AY$1005="Direkomendasikan",ROW($6:$1005)-5),132)))=1),IFERROR(VLOOKUP(INDEX(checklistPesertaKemenkeu!$N$6:$N$1005,SMALL(IF(checklistPesertaKemenkeu!$AY$6:$AY$1005="Direkomendasikan",ROW($6:$1005)-5),132)),KotaKode,2,0),"-"),"")),"")</f>
        <v/>
      </c>
      <c r="K133" t="str">
        <f t="array" aca="1" ref="K133" ca="1">IFERROR(IF(OR(INDEX(checklistPesertaKemenkeu!$O$6:$O$1005,SMALL(IF(checklistPesertaKemenkeu!$AY$6:$AY$1005="Direkomendasikan",ROW($6:$1005)-5),132))="",INDEX(checklistPesertaKemenkeu!$J$6:$J$1005,SMALL(IF(checklistPesertaKemenkeu!$AY$6:$AY$1005="Direkomendasikan",ROW($6:$1005)-5),132))=""),"",IF(AND(COUNTIF(INDIRECT("K_"&amp;MATCH(INDEX(checklistPesertaKemenkeu!$J$6:$J$1005,SMALL(IF(checklistPesertaKemenkeu!$AY$6:$AY$1005="Direkomendasikan",ROW($6:$1005)-5),132)),BidangList,0)),INDEX(checklistPesertaKemenkeu!$O$6:$O$1005,SMALL(IF(checklistPesertaKemenkeu!$AY$6:$AY$1005="Direkomendasikan",ROW($6:$1005)-5),132)))&gt;0,COUNTIF(INDIRECT("'KERTAS KERJA'!K"&amp;(SMALL(IF(checklistPesertaKemenkeu!$AY$6:$AY$1005="Direkomendasikan",ROW($6:$1005)-5),132)+5)&amp;":O"&amp;(SMALL(IF(checklistPesertaKemenkeu!$AY$6:$AY$1005="Direkomendasikan",ROW($6:$1005)-5),132)+5)),INDEX(checklistPesertaKemenkeu!$O$6:$O$1005,SMALL(IF(checklistPesertaKemenkeu!$AY$6:$AY$1005="Direkomendasikan",ROW($6:$1005)-5),132)))=1),IFERROR(VLOOKUP(INDEX(checklistPesertaKemenkeu!$O$6:$O$1005,SMALL(IF(checklistPesertaKemenkeu!$AY$6:$AY$1005="Direkomendasikan",ROW($6:$1005)-5),132)),KotaKode,2,0),"-"),"")),"")</f>
        <v/>
      </c>
      <c r="L133" t="str">
        <f t="array" aca="1" ref="L133" ca="1">IFERROR(IF(OR(INDEX(checklistPesertaKemenkeu!$P$6:$P$1005,SMALL(IF(checklistPesertaKemenkeu!$AY$6:$AY$1005="Direkomendasikan",ROW($6:$1005)-5),132))="",INDEX(checklistPesertaKemenkeu!$J$6:$J$1005,SMALL(IF(checklistPesertaKemenkeu!$AY$6:$AY$1005="Direkomendasikan",ROW($6:$1005)-5),132))=""),"",IF(AND(COUNTIF(INDIRECT("K_"&amp;MATCH(INDEX(checklistPesertaKemenkeu!$J$6:$J$1005,SMALL(IF(checklistPesertaKemenkeu!$AY$6:$AY$1005="Direkomendasikan",ROW($6:$1005)-5),132)),BidangList,0)),INDEX(checklistPesertaKemenkeu!$P$6:$P$1005,SMALL(IF(checklistPesertaKemenkeu!$AY$6:$AY$1005="Direkomendasikan",ROW($6:$1005)-5),132)))&gt;0,COUNTIF(INDIRECT("'KERTAS KERJA'!K"&amp;(SMALL(IF(checklistPesertaKemenkeu!$AY$6:$AY$1005="Direkomendasikan",ROW($6:$1005)-5),132)+5)&amp;":O"&amp;(SMALL(IF(checklistPesertaKemenkeu!$AY$6:$AY$1005="Direkomendasikan",ROW($6:$1005)-5),132)+5)),INDEX(checklistPesertaKemenkeu!$P$6:$P$1005,SMALL(IF(checklistPesertaKemenkeu!$AY$6:$AY$1005="Direkomendasikan",ROW($6:$1005)-5),132)))=1),IFERROR(VLOOKUP(INDEX(checklistPesertaKemenkeu!$P$6:$P$1005,SMALL(IF(checklistPesertaKemenkeu!$AY$6:$AY$1005="Direkomendasikan",ROW($6:$1005)-5),132)),KotaKode,2,0),"-"),"")),"")</f>
        <v/>
      </c>
    </row>
    <row r="134" spans="1:12" ht="15" customHeight="1" x14ac:dyDescent="0.2">
      <c r="A134" t="str">
        <f t="shared" si="2"/>
        <v/>
      </c>
      <c r="B134" t="str">
        <v/>
      </c>
      <c r="C134" s="40" t="str">
        <f t="array" ref="C134">IFERROR(INDEX(checklistPesertaKemenkeu!$F$6:$F$1005,SMALL(IF(checklistPesertaKemenkeu!$AY$6:$AY$1005="Direkomendasikan",ROW($6:$1005)-5),133)),"")</f>
        <v/>
      </c>
      <c r="D134" t="str">
        <f t="array" ref="D134">IFERROR(INDEX(checklistPesertaKemenkeu!$G$6:$G$1005,SMALL(IF(checklistPesertaKemenkeu!$AY$6:$AY$1005="Direkomendasikan",ROW($6:$1005)-5),133)),"")</f>
        <v/>
      </c>
      <c r="E134" t="str">
        <f t="array" ref="E134">IFERROR(INDEX(checklistPesertaKemenkeu!$H$6:$H$1005,SMALL(IF(checklistPesertaKemenkeu!$AY$6:$AY$1005="Direkomendasikan",ROW($6:$1005)-5),133)),"")</f>
        <v/>
      </c>
      <c r="F134" t="str">
        <f t="array" ref="F134">IFERROR(INDEX(checklistPesertaKemenkeu!$I$6:$I$1005,SMALL(IF(checklistPesertaKemenkeu!$AY$6:$AY$1005="Direkomendasikan",ROW($6:$1005)-5),133)),"")</f>
        <v/>
      </c>
      <c r="G134" t="str">
        <f t="array" ref="G134">IFERROR(INDEX(checklistPesertaKemenkeu!$J$6:$J$1005,SMALL(IF(checklistPesertaKemenkeu!$AY$6:$AY$1005="Direkomendasikan",ROW($6:$1005)-5),133)),"")</f>
        <v/>
      </c>
      <c r="H134" t="str">
        <f t="array" aca="1" ref="H134" ca="1">IFERROR(IF(OR(INDEX(checklistPesertaKemenkeu!$L$6:$L$1005,SMALL(IF(checklistPesertaKemenkeu!$AY$6:$AY$1005="Direkomendasikan",ROW($6:$1005)-5),133))="",INDEX(checklistPesertaKemenkeu!$J$6:$J$1005,SMALL(IF(checklistPesertaKemenkeu!$AY$6:$AY$1005="Direkomendasikan",ROW($6:$1005)-5),133))=""),"",IF(AND(COUNTIF(INDIRECT("K_"&amp;MATCH(INDEX(checklistPesertaKemenkeu!$J$6:$J$1005,SMALL(IF(checklistPesertaKemenkeu!$AY$6:$AY$1005="Direkomendasikan",ROW($6:$1005)-5),133)),BidangList,0)),INDEX(checklistPesertaKemenkeu!$L$6:$L$1005,SMALL(IF(checklistPesertaKemenkeu!$AY$6:$AY$1005="Direkomendasikan",ROW($6:$1005)-5),133)))&gt;0,COUNTIF(INDIRECT("'KERTAS KERJA'!K"&amp;(SMALL(IF(checklistPesertaKemenkeu!$AY$6:$AY$1005="Direkomendasikan",ROW($6:$1005)-5),133)+5)&amp;":O"&amp;(SMALL(IF(checklistPesertaKemenkeu!$AY$6:$AY$1005="Direkomendasikan",ROW($6:$1005)-5),133)+5)),INDEX(checklistPesertaKemenkeu!$L$6:$L$1005,SMALL(IF(checklistPesertaKemenkeu!$AY$6:$AY$1005="Direkomendasikan",ROW($6:$1005)-5),133)))=1),IFERROR(VLOOKUP(INDEX(checklistPesertaKemenkeu!$L$6:$L$1005,SMALL(IF(checklistPesertaKemenkeu!$AY$6:$AY$1005="Direkomendasikan",ROW($6:$1005)-5),133)),KotaKode,2,0),"-"),"")),"")</f>
        <v/>
      </c>
      <c r="I134" t="str">
        <f t="array" aca="1" ref="I134" ca="1">IFERROR(IF(OR(INDEX(checklistPesertaKemenkeu!$M$6:$M$1005,SMALL(IF(checklistPesertaKemenkeu!$AY$6:$AY$1005="Direkomendasikan",ROW($6:$1005)-5),133))="",INDEX(checklistPesertaKemenkeu!$J$6:$J$1005,SMALL(IF(checklistPesertaKemenkeu!$AY$6:$AY$1005="Direkomendasikan",ROW($6:$1005)-5),133))=""),"",IF(AND(COUNTIF(INDIRECT("K_"&amp;MATCH(INDEX(checklistPesertaKemenkeu!$J$6:$J$1005,SMALL(IF(checklistPesertaKemenkeu!$AY$6:$AY$1005="Direkomendasikan",ROW($6:$1005)-5),133)),BidangList,0)),INDEX(checklistPesertaKemenkeu!$M$6:$M$1005,SMALL(IF(checklistPesertaKemenkeu!$AY$6:$AY$1005="Direkomendasikan",ROW($6:$1005)-5),133)))&gt;0,COUNTIF(INDIRECT("'KERTAS KERJA'!K"&amp;(SMALL(IF(checklistPesertaKemenkeu!$AY$6:$AY$1005="Direkomendasikan",ROW($6:$1005)-5),133)+5)&amp;":O"&amp;(SMALL(IF(checklistPesertaKemenkeu!$AY$6:$AY$1005="Direkomendasikan",ROW($6:$1005)-5),133)+5)),INDEX(checklistPesertaKemenkeu!$M$6:$M$1005,SMALL(IF(checklistPesertaKemenkeu!$AY$6:$AY$1005="Direkomendasikan",ROW($6:$1005)-5),133)))=1),IFERROR(VLOOKUP(INDEX(checklistPesertaKemenkeu!$M$6:$M$1005,SMALL(IF(checklistPesertaKemenkeu!$AY$6:$AY$1005="Direkomendasikan",ROW($6:$1005)-5),133)),KotaKode,2,0),"-"),"")),"")</f>
        <v/>
      </c>
      <c r="J134" t="str">
        <f t="array" aca="1" ref="J134" ca="1">IFERROR(IF(OR(INDEX(checklistPesertaKemenkeu!$N$6:$N$1005,SMALL(IF(checklistPesertaKemenkeu!$AY$6:$AY$1005="Direkomendasikan",ROW($6:$1005)-5),133))="",INDEX(checklistPesertaKemenkeu!$J$6:$J$1005,SMALL(IF(checklistPesertaKemenkeu!$AY$6:$AY$1005="Direkomendasikan",ROW($6:$1005)-5),133))=""),"",IF(AND(COUNTIF(INDIRECT("K_"&amp;MATCH(INDEX(checklistPesertaKemenkeu!$J$6:$J$1005,SMALL(IF(checklistPesertaKemenkeu!$AY$6:$AY$1005="Direkomendasikan",ROW($6:$1005)-5),133)),BidangList,0)),INDEX(checklistPesertaKemenkeu!$N$6:$N$1005,SMALL(IF(checklistPesertaKemenkeu!$AY$6:$AY$1005="Direkomendasikan",ROW($6:$1005)-5),133)))&gt;0,COUNTIF(INDIRECT("'KERTAS KERJA'!K"&amp;(SMALL(IF(checklistPesertaKemenkeu!$AY$6:$AY$1005="Direkomendasikan",ROW($6:$1005)-5),133)+5)&amp;":O"&amp;(SMALL(IF(checklistPesertaKemenkeu!$AY$6:$AY$1005="Direkomendasikan",ROW($6:$1005)-5),133)+5)),INDEX(checklistPesertaKemenkeu!$N$6:$N$1005,SMALL(IF(checklistPesertaKemenkeu!$AY$6:$AY$1005="Direkomendasikan",ROW($6:$1005)-5),133)))=1),IFERROR(VLOOKUP(INDEX(checklistPesertaKemenkeu!$N$6:$N$1005,SMALL(IF(checklistPesertaKemenkeu!$AY$6:$AY$1005="Direkomendasikan",ROW($6:$1005)-5),133)),KotaKode,2,0),"-"),"")),"")</f>
        <v/>
      </c>
      <c r="K134" t="str">
        <f t="array" aca="1" ref="K134" ca="1">IFERROR(IF(OR(INDEX(checklistPesertaKemenkeu!$O$6:$O$1005,SMALL(IF(checklistPesertaKemenkeu!$AY$6:$AY$1005="Direkomendasikan",ROW($6:$1005)-5),133))="",INDEX(checklistPesertaKemenkeu!$J$6:$J$1005,SMALL(IF(checklistPesertaKemenkeu!$AY$6:$AY$1005="Direkomendasikan",ROW($6:$1005)-5),133))=""),"",IF(AND(COUNTIF(INDIRECT("K_"&amp;MATCH(INDEX(checklistPesertaKemenkeu!$J$6:$J$1005,SMALL(IF(checklistPesertaKemenkeu!$AY$6:$AY$1005="Direkomendasikan",ROW($6:$1005)-5),133)),BidangList,0)),INDEX(checklistPesertaKemenkeu!$O$6:$O$1005,SMALL(IF(checklistPesertaKemenkeu!$AY$6:$AY$1005="Direkomendasikan",ROW($6:$1005)-5),133)))&gt;0,COUNTIF(INDIRECT("'KERTAS KERJA'!K"&amp;(SMALL(IF(checklistPesertaKemenkeu!$AY$6:$AY$1005="Direkomendasikan",ROW($6:$1005)-5),133)+5)&amp;":O"&amp;(SMALL(IF(checklistPesertaKemenkeu!$AY$6:$AY$1005="Direkomendasikan",ROW($6:$1005)-5),133)+5)),INDEX(checklistPesertaKemenkeu!$O$6:$O$1005,SMALL(IF(checklistPesertaKemenkeu!$AY$6:$AY$1005="Direkomendasikan",ROW($6:$1005)-5),133)))=1),IFERROR(VLOOKUP(INDEX(checklistPesertaKemenkeu!$O$6:$O$1005,SMALL(IF(checklistPesertaKemenkeu!$AY$6:$AY$1005="Direkomendasikan",ROW($6:$1005)-5),133)),KotaKode,2,0),"-"),"")),"")</f>
        <v/>
      </c>
      <c r="L134" t="str">
        <f t="array" aca="1" ref="L134" ca="1">IFERROR(IF(OR(INDEX(checklistPesertaKemenkeu!$P$6:$P$1005,SMALL(IF(checklistPesertaKemenkeu!$AY$6:$AY$1005="Direkomendasikan",ROW($6:$1005)-5),133))="",INDEX(checklistPesertaKemenkeu!$J$6:$J$1005,SMALL(IF(checklistPesertaKemenkeu!$AY$6:$AY$1005="Direkomendasikan",ROW($6:$1005)-5),133))=""),"",IF(AND(COUNTIF(INDIRECT("K_"&amp;MATCH(INDEX(checklistPesertaKemenkeu!$J$6:$J$1005,SMALL(IF(checklistPesertaKemenkeu!$AY$6:$AY$1005="Direkomendasikan",ROW($6:$1005)-5),133)),BidangList,0)),INDEX(checklistPesertaKemenkeu!$P$6:$P$1005,SMALL(IF(checklistPesertaKemenkeu!$AY$6:$AY$1005="Direkomendasikan",ROW($6:$1005)-5),133)))&gt;0,COUNTIF(INDIRECT("'KERTAS KERJA'!K"&amp;(SMALL(IF(checklistPesertaKemenkeu!$AY$6:$AY$1005="Direkomendasikan",ROW($6:$1005)-5),133)+5)&amp;":O"&amp;(SMALL(IF(checklistPesertaKemenkeu!$AY$6:$AY$1005="Direkomendasikan",ROW($6:$1005)-5),133)+5)),INDEX(checklistPesertaKemenkeu!$P$6:$P$1005,SMALL(IF(checklistPesertaKemenkeu!$AY$6:$AY$1005="Direkomendasikan",ROW($6:$1005)-5),133)))=1),IFERROR(VLOOKUP(INDEX(checklistPesertaKemenkeu!$P$6:$P$1005,SMALL(IF(checklistPesertaKemenkeu!$AY$6:$AY$1005="Direkomendasikan",ROW($6:$1005)-5),133)),KotaKode,2,0),"-"),"")),"")</f>
        <v/>
      </c>
    </row>
    <row r="135" spans="1:12" ht="15" customHeight="1" x14ac:dyDescent="0.2">
      <c r="A135" t="str">
        <f t="shared" si="2"/>
        <v/>
      </c>
      <c r="B135" t="str">
        <v/>
      </c>
      <c r="C135" s="40" t="str">
        <f t="array" ref="C135">IFERROR(INDEX(checklistPesertaKemenkeu!$F$6:$F$1005,SMALL(IF(checklistPesertaKemenkeu!$AY$6:$AY$1005="Direkomendasikan",ROW($6:$1005)-5),134)),"")</f>
        <v/>
      </c>
      <c r="D135" t="str">
        <f t="array" ref="D135">IFERROR(INDEX(checklistPesertaKemenkeu!$G$6:$G$1005,SMALL(IF(checklistPesertaKemenkeu!$AY$6:$AY$1005="Direkomendasikan",ROW($6:$1005)-5),134)),"")</f>
        <v/>
      </c>
      <c r="E135" t="str">
        <f t="array" ref="E135">IFERROR(INDEX(checklistPesertaKemenkeu!$H$6:$H$1005,SMALL(IF(checklistPesertaKemenkeu!$AY$6:$AY$1005="Direkomendasikan",ROW($6:$1005)-5),134)),"")</f>
        <v/>
      </c>
      <c r="F135" t="str">
        <f t="array" ref="F135">IFERROR(INDEX(checklistPesertaKemenkeu!$I$6:$I$1005,SMALL(IF(checklistPesertaKemenkeu!$AY$6:$AY$1005="Direkomendasikan",ROW($6:$1005)-5),134)),"")</f>
        <v/>
      </c>
      <c r="G135" t="str">
        <f t="array" ref="G135">IFERROR(INDEX(checklistPesertaKemenkeu!$J$6:$J$1005,SMALL(IF(checklistPesertaKemenkeu!$AY$6:$AY$1005="Direkomendasikan",ROW($6:$1005)-5),134)),"")</f>
        <v/>
      </c>
      <c r="H135" t="str">
        <f t="array" aca="1" ref="H135" ca="1">IFERROR(IF(OR(INDEX(checklistPesertaKemenkeu!$L$6:$L$1005,SMALL(IF(checklistPesertaKemenkeu!$AY$6:$AY$1005="Direkomendasikan",ROW($6:$1005)-5),134))="",INDEX(checklistPesertaKemenkeu!$J$6:$J$1005,SMALL(IF(checklistPesertaKemenkeu!$AY$6:$AY$1005="Direkomendasikan",ROW($6:$1005)-5),134))=""),"",IF(AND(COUNTIF(INDIRECT("K_"&amp;MATCH(INDEX(checklistPesertaKemenkeu!$J$6:$J$1005,SMALL(IF(checklistPesertaKemenkeu!$AY$6:$AY$1005="Direkomendasikan",ROW($6:$1005)-5),134)),BidangList,0)),INDEX(checklistPesertaKemenkeu!$L$6:$L$1005,SMALL(IF(checklistPesertaKemenkeu!$AY$6:$AY$1005="Direkomendasikan",ROW($6:$1005)-5),134)))&gt;0,COUNTIF(INDIRECT("'KERTAS KERJA'!K"&amp;(SMALL(IF(checklistPesertaKemenkeu!$AY$6:$AY$1005="Direkomendasikan",ROW($6:$1005)-5),134)+5)&amp;":O"&amp;(SMALL(IF(checklistPesertaKemenkeu!$AY$6:$AY$1005="Direkomendasikan",ROW($6:$1005)-5),134)+5)),INDEX(checklistPesertaKemenkeu!$L$6:$L$1005,SMALL(IF(checklistPesertaKemenkeu!$AY$6:$AY$1005="Direkomendasikan",ROW($6:$1005)-5),134)))=1),IFERROR(VLOOKUP(INDEX(checklistPesertaKemenkeu!$L$6:$L$1005,SMALL(IF(checklistPesertaKemenkeu!$AY$6:$AY$1005="Direkomendasikan",ROW($6:$1005)-5),134)),KotaKode,2,0),"-"),"")),"")</f>
        <v/>
      </c>
      <c r="I135" t="str">
        <f t="array" aca="1" ref="I135" ca="1">IFERROR(IF(OR(INDEX(checklistPesertaKemenkeu!$M$6:$M$1005,SMALL(IF(checklistPesertaKemenkeu!$AY$6:$AY$1005="Direkomendasikan",ROW($6:$1005)-5),134))="",INDEX(checklistPesertaKemenkeu!$J$6:$J$1005,SMALL(IF(checklistPesertaKemenkeu!$AY$6:$AY$1005="Direkomendasikan",ROW($6:$1005)-5),134))=""),"",IF(AND(COUNTIF(INDIRECT("K_"&amp;MATCH(INDEX(checklistPesertaKemenkeu!$J$6:$J$1005,SMALL(IF(checklistPesertaKemenkeu!$AY$6:$AY$1005="Direkomendasikan",ROW($6:$1005)-5),134)),BidangList,0)),INDEX(checklistPesertaKemenkeu!$M$6:$M$1005,SMALL(IF(checklistPesertaKemenkeu!$AY$6:$AY$1005="Direkomendasikan",ROW($6:$1005)-5),134)))&gt;0,COUNTIF(INDIRECT("'KERTAS KERJA'!K"&amp;(SMALL(IF(checklistPesertaKemenkeu!$AY$6:$AY$1005="Direkomendasikan",ROW($6:$1005)-5),134)+5)&amp;":O"&amp;(SMALL(IF(checklistPesertaKemenkeu!$AY$6:$AY$1005="Direkomendasikan",ROW($6:$1005)-5),134)+5)),INDEX(checklistPesertaKemenkeu!$M$6:$M$1005,SMALL(IF(checklistPesertaKemenkeu!$AY$6:$AY$1005="Direkomendasikan",ROW($6:$1005)-5),134)))=1),IFERROR(VLOOKUP(INDEX(checklistPesertaKemenkeu!$M$6:$M$1005,SMALL(IF(checklistPesertaKemenkeu!$AY$6:$AY$1005="Direkomendasikan",ROW($6:$1005)-5),134)),KotaKode,2,0),"-"),"")),"")</f>
        <v/>
      </c>
      <c r="J135" t="str">
        <f t="array" aca="1" ref="J135" ca="1">IFERROR(IF(OR(INDEX(checklistPesertaKemenkeu!$N$6:$N$1005,SMALL(IF(checklistPesertaKemenkeu!$AY$6:$AY$1005="Direkomendasikan",ROW($6:$1005)-5),134))="",INDEX(checklistPesertaKemenkeu!$J$6:$J$1005,SMALL(IF(checklistPesertaKemenkeu!$AY$6:$AY$1005="Direkomendasikan",ROW($6:$1005)-5),134))=""),"",IF(AND(COUNTIF(INDIRECT("K_"&amp;MATCH(INDEX(checklistPesertaKemenkeu!$J$6:$J$1005,SMALL(IF(checklistPesertaKemenkeu!$AY$6:$AY$1005="Direkomendasikan",ROW($6:$1005)-5),134)),BidangList,0)),INDEX(checklistPesertaKemenkeu!$N$6:$N$1005,SMALL(IF(checklistPesertaKemenkeu!$AY$6:$AY$1005="Direkomendasikan",ROW($6:$1005)-5),134)))&gt;0,COUNTIF(INDIRECT("'KERTAS KERJA'!K"&amp;(SMALL(IF(checklistPesertaKemenkeu!$AY$6:$AY$1005="Direkomendasikan",ROW($6:$1005)-5),134)+5)&amp;":O"&amp;(SMALL(IF(checklistPesertaKemenkeu!$AY$6:$AY$1005="Direkomendasikan",ROW($6:$1005)-5),134)+5)),INDEX(checklistPesertaKemenkeu!$N$6:$N$1005,SMALL(IF(checklistPesertaKemenkeu!$AY$6:$AY$1005="Direkomendasikan",ROW($6:$1005)-5),134)))=1),IFERROR(VLOOKUP(INDEX(checklistPesertaKemenkeu!$N$6:$N$1005,SMALL(IF(checklistPesertaKemenkeu!$AY$6:$AY$1005="Direkomendasikan",ROW($6:$1005)-5),134)),KotaKode,2,0),"-"),"")),"")</f>
        <v/>
      </c>
      <c r="K135" t="str">
        <f t="array" aca="1" ref="K135" ca="1">IFERROR(IF(OR(INDEX(checklistPesertaKemenkeu!$O$6:$O$1005,SMALL(IF(checklistPesertaKemenkeu!$AY$6:$AY$1005="Direkomendasikan",ROW($6:$1005)-5),134))="",INDEX(checklistPesertaKemenkeu!$J$6:$J$1005,SMALL(IF(checklistPesertaKemenkeu!$AY$6:$AY$1005="Direkomendasikan",ROW($6:$1005)-5),134))=""),"",IF(AND(COUNTIF(INDIRECT("K_"&amp;MATCH(INDEX(checklistPesertaKemenkeu!$J$6:$J$1005,SMALL(IF(checklistPesertaKemenkeu!$AY$6:$AY$1005="Direkomendasikan",ROW($6:$1005)-5),134)),BidangList,0)),INDEX(checklistPesertaKemenkeu!$O$6:$O$1005,SMALL(IF(checklistPesertaKemenkeu!$AY$6:$AY$1005="Direkomendasikan",ROW($6:$1005)-5),134)))&gt;0,COUNTIF(INDIRECT("'KERTAS KERJA'!K"&amp;(SMALL(IF(checklistPesertaKemenkeu!$AY$6:$AY$1005="Direkomendasikan",ROW($6:$1005)-5),134)+5)&amp;":O"&amp;(SMALL(IF(checklistPesertaKemenkeu!$AY$6:$AY$1005="Direkomendasikan",ROW($6:$1005)-5),134)+5)),INDEX(checklistPesertaKemenkeu!$O$6:$O$1005,SMALL(IF(checklistPesertaKemenkeu!$AY$6:$AY$1005="Direkomendasikan",ROW($6:$1005)-5),134)))=1),IFERROR(VLOOKUP(INDEX(checklistPesertaKemenkeu!$O$6:$O$1005,SMALL(IF(checklistPesertaKemenkeu!$AY$6:$AY$1005="Direkomendasikan",ROW($6:$1005)-5),134)),KotaKode,2,0),"-"),"")),"")</f>
        <v/>
      </c>
      <c r="L135" t="str">
        <f t="array" aca="1" ref="L135" ca="1">IFERROR(IF(OR(INDEX(checklistPesertaKemenkeu!$P$6:$P$1005,SMALL(IF(checklistPesertaKemenkeu!$AY$6:$AY$1005="Direkomendasikan",ROW($6:$1005)-5),134))="",INDEX(checklistPesertaKemenkeu!$J$6:$J$1005,SMALL(IF(checklistPesertaKemenkeu!$AY$6:$AY$1005="Direkomendasikan",ROW($6:$1005)-5),134))=""),"",IF(AND(COUNTIF(INDIRECT("K_"&amp;MATCH(INDEX(checklistPesertaKemenkeu!$J$6:$J$1005,SMALL(IF(checklistPesertaKemenkeu!$AY$6:$AY$1005="Direkomendasikan",ROW($6:$1005)-5),134)),BidangList,0)),INDEX(checklistPesertaKemenkeu!$P$6:$P$1005,SMALL(IF(checklistPesertaKemenkeu!$AY$6:$AY$1005="Direkomendasikan",ROW($6:$1005)-5),134)))&gt;0,COUNTIF(INDIRECT("'KERTAS KERJA'!K"&amp;(SMALL(IF(checklistPesertaKemenkeu!$AY$6:$AY$1005="Direkomendasikan",ROW($6:$1005)-5),134)+5)&amp;":O"&amp;(SMALL(IF(checklistPesertaKemenkeu!$AY$6:$AY$1005="Direkomendasikan",ROW($6:$1005)-5),134)+5)),INDEX(checklistPesertaKemenkeu!$P$6:$P$1005,SMALL(IF(checklistPesertaKemenkeu!$AY$6:$AY$1005="Direkomendasikan",ROW($6:$1005)-5),134)))=1),IFERROR(VLOOKUP(INDEX(checklistPesertaKemenkeu!$P$6:$P$1005,SMALL(IF(checklistPesertaKemenkeu!$AY$6:$AY$1005="Direkomendasikan",ROW($6:$1005)-5),134)),KotaKode,2,0),"-"),"")),"")</f>
        <v/>
      </c>
    </row>
    <row r="136" spans="1:12" ht="15" customHeight="1" x14ac:dyDescent="0.2">
      <c r="A136" t="str">
        <f t="shared" si="2"/>
        <v/>
      </c>
      <c r="B136" t="str">
        <v/>
      </c>
      <c r="C136" s="40" t="str">
        <f t="array" ref="C136">IFERROR(INDEX(checklistPesertaKemenkeu!$F$6:$F$1005,SMALL(IF(checklistPesertaKemenkeu!$AY$6:$AY$1005="Direkomendasikan",ROW($6:$1005)-5),135)),"")</f>
        <v/>
      </c>
      <c r="D136" t="str">
        <f t="array" ref="D136">IFERROR(INDEX(checklistPesertaKemenkeu!$G$6:$G$1005,SMALL(IF(checklistPesertaKemenkeu!$AY$6:$AY$1005="Direkomendasikan",ROW($6:$1005)-5),135)),"")</f>
        <v/>
      </c>
      <c r="E136" t="str">
        <f t="array" ref="E136">IFERROR(INDEX(checklistPesertaKemenkeu!$H$6:$H$1005,SMALL(IF(checklistPesertaKemenkeu!$AY$6:$AY$1005="Direkomendasikan",ROW($6:$1005)-5),135)),"")</f>
        <v/>
      </c>
      <c r="F136" t="str">
        <f t="array" ref="F136">IFERROR(INDEX(checklistPesertaKemenkeu!$I$6:$I$1005,SMALL(IF(checklistPesertaKemenkeu!$AY$6:$AY$1005="Direkomendasikan",ROW($6:$1005)-5),135)),"")</f>
        <v/>
      </c>
      <c r="G136" t="str">
        <f t="array" ref="G136">IFERROR(INDEX(checklistPesertaKemenkeu!$J$6:$J$1005,SMALL(IF(checklistPesertaKemenkeu!$AY$6:$AY$1005="Direkomendasikan",ROW($6:$1005)-5),135)),"")</f>
        <v/>
      </c>
      <c r="H136" t="str">
        <f t="array" aca="1" ref="H136" ca="1">IFERROR(IF(OR(INDEX(checklistPesertaKemenkeu!$L$6:$L$1005,SMALL(IF(checklistPesertaKemenkeu!$AY$6:$AY$1005="Direkomendasikan",ROW($6:$1005)-5),135))="",INDEX(checklistPesertaKemenkeu!$J$6:$J$1005,SMALL(IF(checklistPesertaKemenkeu!$AY$6:$AY$1005="Direkomendasikan",ROW($6:$1005)-5),135))=""),"",IF(AND(COUNTIF(INDIRECT("K_"&amp;MATCH(INDEX(checklistPesertaKemenkeu!$J$6:$J$1005,SMALL(IF(checklistPesertaKemenkeu!$AY$6:$AY$1005="Direkomendasikan",ROW($6:$1005)-5),135)),BidangList,0)),INDEX(checklistPesertaKemenkeu!$L$6:$L$1005,SMALL(IF(checklistPesertaKemenkeu!$AY$6:$AY$1005="Direkomendasikan",ROW($6:$1005)-5),135)))&gt;0,COUNTIF(INDIRECT("'KERTAS KERJA'!K"&amp;(SMALL(IF(checklistPesertaKemenkeu!$AY$6:$AY$1005="Direkomendasikan",ROW($6:$1005)-5),135)+5)&amp;":O"&amp;(SMALL(IF(checklistPesertaKemenkeu!$AY$6:$AY$1005="Direkomendasikan",ROW($6:$1005)-5),135)+5)),INDEX(checklistPesertaKemenkeu!$L$6:$L$1005,SMALL(IF(checklistPesertaKemenkeu!$AY$6:$AY$1005="Direkomendasikan",ROW($6:$1005)-5),135)))=1),IFERROR(VLOOKUP(INDEX(checklistPesertaKemenkeu!$L$6:$L$1005,SMALL(IF(checklistPesertaKemenkeu!$AY$6:$AY$1005="Direkomendasikan",ROW($6:$1005)-5),135)),KotaKode,2,0),"-"),"")),"")</f>
        <v/>
      </c>
      <c r="I136" t="str">
        <f t="array" aca="1" ref="I136" ca="1">IFERROR(IF(OR(INDEX(checklistPesertaKemenkeu!$M$6:$M$1005,SMALL(IF(checklistPesertaKemenkeu!$AY$6:$AY$1005="Direkomendasikan",ROW($6:$1005)-5),135))="",INDEX(checklistPesertaKemenkeu!$J$6:$J$1005,SMALL(IF(checklistPesertaKemenkeu!$AY$6:$AY$1005="Direkomendasikan",ROW($6:$1005)-5),135))=""),"",IF(AND(COUNTIF(INDIRECT("K_"&amp;MATCH(INDEX(checklistPesertaKemenkeu!$J$6:$J$1005,SMALL(IF(checklistPesertaKemenkeu!$AY$6:$AY$1005="Direkomendasikan",ROW($6:$1005)-5),135)),BidangList,0)),INDEX(checklistPesertaKemenkeu!$M$6:$M$1005,SMALL(IF(checklistPesertaKemenkeu!$AY$6:$AY$1005="Direkomendasikan",ROW($6:$1005)-5),135)))&gt;0,COUNTIF(INDIRECT("'KERTAS KERJA'!K"&amp;(SMALL(IF(checklistPesertaKemenkeu!$AY$6:$AY$1005="Direkomendasikan",ROW($6:$1005)-5),135)+5)&amp;":O"&amp;(SMALL(IF(checklistPesertaKemenkeu!$AY$6:$AY$1005="Direkomendasikan",ROW($6:$1005)-5),135)+5)),INDEX(checklistPesertaKemenkeu!$M$6:$M$1005,SMALL(IF(checklistPesertaKemenkeu!$AY$6:$AY$1005="Direkomendasikan",ROW($6:$1005)-5),135)))=1),IFERROR(VLOOKUP(INDEX(checklistPesertaKemenkeu!$M$6:$M$1005,SMALL(IF(checklistPesertaKemenkeu!$AY$6:$AY$1005="Direkomendasikan",ROW($6:$1005)-5),135)),KotaKode,2,0),"-"),"")),"")</f>
        <v/>
      </c>
      <c r="J136" t="str">
        <f t="array" aca="1" ref="J136" ca="1">IFERROR(IF(OR(INDEX(checklistPesertaKemenkeu!$N$6:$N$1005,SMALL(IF(checklistPesertaKemenkeu!$AY$6:$AY$1005="Direkomendasikan",ROW($6:$1005)-5),135))="",INDEX(checklistPesertaKemenkeu!$J$6:$J$1005,SMALL(IF(checklistPesertaKemenkeu!$AY$6:$AY$1005="Direkomendasikan",ROW($6:$1005)-5),135))=""),"",IF(AND(COUNTIF(INDIRECT("K_"&amp;MATCH(INDEX(checklistPesertaKemenkeu!$J$6:$J$1005,SMALL(IF(checklistPesertaKemenkeu!$AY$6:$AY$1005="Direkomendasikan",ROW($6:$1005)-5),135)),BidangList,0)),INDEX(checklistPesertaKemenkeu!$N$6:$N$1005,SMALL(IF(checklistPesertaKemenkeu!$AY$6:$AY$1005="Direkomendasikan",ROW($6:$1005)-5),135)))&gt;0,COUNTIF(INDIRECT("'KERTAS KERJA'!K"&amp;(SMALL(IF(checklistPesertaKemenkeu!$AY$6:$AY$1005="Direkomendasikan",ROW($6:$1005)-5),135)+5)&amp;":O"&amp;(SMALL(IF(checklistPesertaKemenkeu!$AY$6:$AY$1005="Direkomendasikan",ROW($6:$1005)-5),135)+5)),INDEX(checklistPesertaKemenkeu!$N$6:$N$1005,SMALL(IF(checklistPesertaKemenkeu!$AY$6:$AY$1005="Direkomendasikan",ROW($6:$1005)-5),135)))=1),IFERROR(VLOOKUP(INDEX(checklistPesertaKemenkeu!$N$6:$N$1005,SMALL(IF(checklistPesertaKemenkeu!$AY$6:$AY$1005="Direkomendasikan",ROW($6:$1005)-5),135)),KotaKode,2,0),"-"),"")),"")</f>
        <v/>
      </c>
      <c r="K136" t="str">
        <f t="array" aca="1" ref="K136" ca="1">IFERROR(IF(OR(INDEX(checklistPesertaKemenkeu!$O$6:$O$1005,SMALL(IF(checklistPesertaKemenkeu!$AY$6:$AY$1005="Direkomendasikan",ROW($6:$1005)-5),135))="",INDEX(checklistPesertaKemenkeu!$J$6:$J$1005,SMALL(IF(checklistPesertaKemenkeu!$AY$6:$AY$1005="Direkomendasikan",ROW($6:$1005)-5),135))=""),"",IF(AND(COUNTIF(INDIRECT("K_"&amp;MATCH(INDEX(checklistPesertaKemenkeu!$J$6:$J$1005,SMALL(IF(checklistPesertaKemenkeu!$AY$6:$AY$1005="Direkomendasikan",ROW($6:$1005)-5),135)),BidangList,0)),INDEX(checklistPesertaKemenkeu!$O$6:$O$1005,SMALL(IF(checklistPesertaKemenkeu!$AY$6:$AY$1005="Direkomendasikan",ROW($6:$1005)-5),135)))&gt;0,COUNTIF(INDIRECT("'KERTAS KERJA'!K"&amp;(SMALL(IF(checklistPesertaKemenkeu!$AY$6:$AY$1005="Direkomendasikan",ROW($6:$1005)-5),135)+5)&amp;":O"&amp;(SMALL(IF(checklistPesertaKemenkeu!$AY$6:$AY$1005="Direkomendasikan",ROW($6:$1005)-5),135)+5)),INDEX(checklistPesertaKemenkeu!$O$6:$O$1005,SMALL(IF(checklistPesertaKemenkeu!$AY$6:$AY$1005="Direkomendasikan",ROW($6:$1005)-5),135)))=1),IFERROR(VLOOKUP(INDEX(checklistPesertaKemenkeu!$O$6:$O$1005,SMALL(IF(checklistPesertaKemenkeu!$AY$6:$AY$1005="Direkomendasikan",ROW($6:$1005)-5),135)),KotaKode,2,0),"-"),"")),"")</f>
        <v/>
      </c>
      <c r="L136" t="str">
        <f t="array" aca="1" ref="L136" ca="1">IFERROR(IF(OR(INDEX(checklistPesertaKemenkeu!$P$6:$P$1005,SMALL(IF(checklistPesertaKemenkeu!$AY$6:$AY$1005="Direkomendasikan",ROW($6:$1005)-5),135))="",INDEX(checklistPesertaKemenkeu!$J$6:$J$1005,SMALL(IF(checklistPesertaKemenkeu!$AY$6:$AY$1005="Direkomendasikan",ROW($6:$1005)-5),135))=""),"",IF(AND(COUNTIF(INDIRECT("K_"&amp;MATCH(INDEX(checklistPesertaKemenkeu!$J$6:$J$1005,SMALL(IF(checklistPesertaKemenkeu!$AY$6:$AY$1005="Direkomendasikan",ROW($6:$1005)-5),135)),BidangList,0)),INDEX(checklistPesertaKemenkeu!$P$6:$P$1005,SMALL(IF(checklistPesertaKemenkeu!$AY$6:$AY$1005="Direkomendasikan",ROW($6:$1005)-5),135)))&gt;0,COUNTIF(INDIRECT("'KERTAS KERJA'!K"&amp;(SMALL(IF(checklistPesertaKemenkeu!$AY$6:$AY$1005="Direkomendasikan",ROW($6:$1005)-5),135)+5)&amp;":O"&amp;(SMALL(IF(checklistPesertaKemenkeu!$AY$6:$AY$1005="Direkomendasikan",ROW($6:$1005)-5),135)+5)),INDEX(checklistPesertaKemenkeu!$P$6:$P$1005,SMALL(IF(checklistPesertaKemenkeu!$AY$6:$AY$1005="Direkomendasikan",ROW($6:$1005)-5),135)))=1),IFERROR(VLOOKUP(INDEX(checklistPesertaKemenkeu!$P$6:$P$1005,SMALL(IF(checklistPesertaKemenkeu!$AY$6:$AY$1005="Direkomendasikan",ROW($6:$1005)-5),135)),KotaKode,2,0),"-"),"")),"")</f>
        <v/>
      </c>
    </row>
    <row r="137" spans="1:12" ht="15" customHeight="1" x14ac:dyDescent="0.2">
      <c r="A137" t="str">
        <f t="shared" si="2"/>
        <v/>
      </c>
      <c r="B137" t="str">
        <v/>
      </c>
      <c r="C137" s="40" t="str">
        <f t="array" ref="C137">IFERROR(INDEX(checklistPesertaKemenkeu!$F$6:$F$1005,SMALL(IF(checklistPesertaKemenkeu!$AY$6:$AY$1005="Direkomendasikan",ROW($6:$1005)-5),136)),"")</f>
        <v/>
      </c>
      <c r="D137" t="str">
        <f t="array" ref="D137">IFERROR(INDEX(checklistPesertaKemenkeu!$G$6:$G$1005,SMALL(IF(checklistPesertaKemenkeu!$AY$6:$AY$1005="Direkomendasikan",ROW($6:$1005)-5),136)),"")</f>
        <v/>
      </c>
      <c r="E137" t="str">
        <f t="array" ref="E137">IFERROR(INDEX(checklistPesertaKemenkeu!$H$6:$H$1005,SMALL(IF(checklistPesertaKemenkeu!$AY$6:$AY$1005="Direkomendasikan",ROW($6:$1005)-5),136)),"")</f>
        <v/>
      </c>
      <c r="F137" t="str">
        <f t="array" ref="F137">IFERROR(INDEX(checklistPesertaKemenkeu!$I$6:$I$1005,SMALL(IF(checklistPesertaKemenkeu!$AY$6:$AY$1005="Direkomendasikan",ROW($6:$1005)-5),136)),"")</f>
        <v/>
      </c>
      <c r="G137" t="str">
        <f t="array" ref="G137">IFERROR(INDEX(checklistPesertaKemenkeu!$J$6:$J$1005,SMALL(IF(checklistPesertaKemenkeu!$AY$6:$AY$1005="Direkomendasikan",ROW($6:$1005)-5),136)),"")</f>
        <v/>
      </c>
      <c r="H137" t="str">
        <f t="array" aca="1" ref="H137" ca="1">IFERROR(IF(OR(INDEX(checklistPesertaKemenkeu!$L$6:$L$1005,SMALL(IF(checklistPesertaKemenkeu!$AY$6:$AY$1005="Direkomendasikan",ROW($6:$1005)-5),136))="",INDEX(checklistPesertaKemenkeu!$J$6:$J$1005,SMALL(IF(checklistPesertaKemenkeu!$AY$6:$AY$1005="Direkomendasikan",ROW($6:$1005)-5),136))=""),"",IF(AND(COUNTIF(INDIRECT("K_"&amp;MATCH(INDEX(checklistPesertaKemenkeu!$J$6:$J$1005,SMALL(IF(checklistPesertaKemenkeu!$AY$6:$AY$1005="Direkomendasikan",ROW($6:$1005)-5),136)),BidangList,0)),INDEX(checklistPesertaKemenkeu!$L$6:$L$1005,SMALL(IF(checklistPesertaKemenkeu!$AY$6:$AY$1005="Direkomendasikan",ROW($6:$1005)-5),136)))&gt;0,COUNTIF(INDIRECT("'KERTAS KERJA'!K"&amp;(SMALL(IF(checklistPesertaKemenkeu!$AY$6:$AY$1005="Direkomendasikan",ROW($6:$1005)-5),136)+5)&amp;":O"&amp;(SMALL(IF(checklistPesertaKemenkeu!$AY$6:$AY$1005="Direkomendasikan",ROW($6:$1005)-5),136)+5)),INDEX(checklistPesertaKemenkeu!$L$6:$L$1005,SMALL(IF(checklistPesertaKemenkeu!$AY$6:$AY$1005="Direkomendasikan",ROW($6:$1005)-5),136)))=1),IFERROR(VLOOKUP(INDEX(checklistPesertaKemenkeu!$L$6:$L$1005,SMALL(IF(checklistPesertaKemenkeu!$AY$6:$AY$1005="Direkomendasikan",ROW($6:$1005)-5),136)),KotaKode,2,0),"-"),"")),"")</f>
        <v/>
      </c>
      <c r="I137" t="str">
        <f t="array" aca="1" ref="I137" ca="1">IFERROR(IF(OR(INDEX(checklistPesertaKemenkeu!$M$6:$M$1005,SMALL(IF(checklistPesertaKemenkeu!$AY$6:$AY$1005="Direkomendasikan",ROW($6:$1005)-5),136))="",INDEX(checklistPesertaKemenkeu!$J$6:$J$1005,SMALL(IF(checklistPesertaKemenkeu!$AY$6:$AY$1005="Direkomendasikan",ROW($6:$1005)-5),136))=""),"",IF(AND(COUNTIF(INDIRECT("K_"&amp;MATCH(INDEX(checklistPesertaKemenkeu!$J$6:$J$1005,SMALL(IF(checklistPesertaKemenkeu!$AY$6:$AY$1005="Direkomendasikan",ROW($6:$1005)-5),136)),BidangList,0)),INDEX(checklistPesertaKemenkeu!$M$6:$M$1005,SMALL(IF(checklistPesertaKemenkeu!$AY$6:$AY$1005="Direkomendasikan",ROW($6:$1005)-5),136)))&gt;0,COUNTIF(INDIRECT("'KERTAS KERJA'!K"&amp;(SMALL(IF(checklistPesertaKemenkeu!$AY$6:$AY$1005="Direkomendasikan",ROW($6:$1005)-5),136)+5)&amp;":O"&amp;(SMALL(IF(checklistPesertaKemenkeu!$AY$6:$AY$1005="Direkomendasikan",ROW($6:$1005)-5),136)+5)),INDEX(checklistPesertaKemenkeu!$M$6:$M$1005,SMALL(IF(checklistPesertaKemenkeu!$AY$6:$AY$1005="Direkomendasikan",ROW($6:$1005)-5),136)))=1),IFERROR(VLOOKUP(INDEX(checklistPesertaKemenkeu!$M$6:$M$1005,SMALL(IF(checklistPesertaKemenkeu!$AY$6:$AY$1005="Direkomendasikan",ROW($6:$1005)-5),136)),KotaKode,2,0),"-"),"")),"")</f>
        <v/>
      </c>
      <c r="J137" t="str">
        <f t="array" aca="1" ref="J137" ca="1">IFERROR(IF(OR(INDEX(checklistPesertaKemenkeu!$N$6:$N$1005,SMALL(IF(checklistPesertaKemenkeu!$AY$6:$AY$1005="Direkomendasikan",ROW($6:$1005)-5),136))="",INDEX(checklistPesertaKemenkeu!$J$6:$J$1005,SMALL(IF(checklistPesertaKemenkeu!$AY$6:$AY$1005="Direkomendasikan",ROW($6:$1005)-5),136))=""),"",IF(AND(COUNTIF(INDIRECT("K_"&amp;MATCH(INDEX(checklistPesertaKemenkeu!$J$6:$J$1005,SMALL(IF(checklistPesertaKemenkeu!$AY$6:$AY$1005="Direkomendasikan",ROW($6:$1005)-5),136)),BidangList,0)),INDEX(checklistPesertaKemenkeu!$N$6:$N$1005,SMALL(IF(checklistPesertaKemenkeu!$AY$6:$AY$1005="Direkomendasikan",ROW($6:$1005)-5),136)))&gt;0,COUNTIF(INDIRECT("'KERTAS KERJA'!K"&amp;(SMALL(IF(checklistPesertaKemenkeu!$AY$6:$AY$1005="Direkomendasikan",ROW($6:$1005)-5),136)+5)&amp;":O"&amp;(SMALL(IF(checklistPesertaKemenkeu!$AY$6:$AY$1005="Direkomendasikan",ROW($6:$1005)-5),136)+5)),INDEX(checklistPesertaKemenkeu!$N$6:$N$1005,SMALL(IF(checklistPesertaKemenkeu!$AY$6:$AY$1005="Direkomendasikan",ROW($6:$1005)-5),136)))=1),IFERROR(VLOOKUP(INDEX(checklistPesertaKemenkeu!$N$6:$N$1005,SMALL(IF(checklistPesertaKemenkeu!$AY$6:$AY$1005="Direkomendasikan",ROW($6:$1005)-5),136)),KotaKode,2,0),"-"),"")),"")</f>
        <v/>
      </c>
      <c r="K137" t="str">
        <f t="array" aca="1" ref="K137" ca="1">IFERROR(IF(OR(INDEX(checklistPesertaKemenkeu!$O$6:$O$1005,SMALL(IF(checklistPesertaKemenkeu!$AY$6:$AY$1005="Direkomendasikan",ROW($6:$1005)-5),136))="",INDEX(checklistPesertaKemenkeu!$J$6:$J$1005,SMALL(IF(checklistPesertaKemenkeu!$AY$6:$AY$1005="Direkomendasikan",ROW($6:$1005)-5),136))=""),"",IF(AND(COUNTIF(INDIRECT("K_"&amp;MATCH(INDEX(checklistPesertaKemenkeu!$J$6:$J$1005,SMALL(IF(checklistPesertaKemenkeu!$AY$6:$AY$1005="Direkomendasikan",ROW($6:$1005)-5),136)),BidangList,0)),INDEX(checklistPesertaKemenkeu!$O$6:$O$1005,SMALL(IF(checklistPesertaKemenkeu!$AY$6:$AY$1005="Direkomendasikan",ROW($6:$1005)-5),136)))&gt;0,COUNTIF(INDIRECT("'KERTAS KERJA'!K"&amp;(SMALL(IF(checklistPesertaKemenkeu!$AY$6:$AY$1005="Direkomendasikan",ROW($6:$1005)-5),136)+5)&amp;":O"&amp;(SMALL(IF(checklistPesertaKemenkeu!$AY$6:$AY$1005="Direkomendasikan",ROW($6:$1005)-5),136)+5)),INDEX(checklistPesertaKemenkeu!$O$6:$O$1005,SMALL(IF(checklistPesertaKemenkeu!$AY$6:$AY$1005="Direkomendasikan",ROW($6:$1005)-5),136)))=1),IFERROR(VLOOKUP(INDEX(checklistPesertaKemenkeu!$O$6:$O$1005,SMALL(IF(checklistPesertaKemenkeu!$AY$6:$AY$1005="Direkomendasikan",ROW($6:$1005)-5),136)),KotaKode,2,0),"-"),"")),"")</f>
        <v/>
      </c>
      <c r="L137" t="str">
        <f t="array" aca="1" ref="L137" ca="1">IFERROR(IF(OR(INDEX(checklistPesertaKemenkeu!$P$6:$P$1005,SMALL(IF(checklistPesertaKemenkeu!$AY$6:$AY$1005="Direkomendasikan",ROW($6:$1005)-5),136))="",INDEX(checklistPesertaKemenkeu!$J$6:$J$1005,SMALL(IF(checklistPesertaKemenkeu!$AY$6:$AY$1005="Direkomendasikan",ROW($6:$1005)-5),136))=""),"",IF(AND(COUNTIF(INDIRECT("K_"&amp;MATCH(INDEX(checklistPesertaKemenkeu!$J$6:$J$1005,SMALL(IF(checklistPesertaKemenkeu!$AY$6:$AY$1005="Direkomendasikan",ROW($6:$1005)-5),136)),BidangList,0)),INDEX(checklistPesertaKemenkeu!$P$6:$P$1005,SMALL(IF(checklistPesertaKemenkeu!$AY$6:$AY$1005="Direkomendasikan",ROW($6:$1005)-5),136)))&gt;0,COUNTIF(INDIRECT("'KERTAS KERJA'!K"&amp;(SMALL(IF(checklistPesertaKemenkeu!$AY$6:$AY$1005="Direkomendasikan",ROW($6:$1005)-5),136)+5)&amp;":O"&amp;(SMALL(IF(checklistPesertaKemenkeu!$AY$6:$AY$1005="Direkomendasikan",ROW($6:$1005)-5),136)+5)),INDEX(checklistPesertaKemenkeu!$P$6:$P$1005,SMALL(IF(checklistPesertaKemenkeu!$AY$6:$AY$1005="Direkomendasikan",ROW($6:$1005)-5),136)))=1),IFERROR(VLOOKUP(INDEX(checklistPesertaKemenkeu!$P$6:$P$1005,SMALL(IF(checklistPesertaKemenkeu!$AY$6:$AY$1005="Direkomendasikan",ROW($6:$1005)-5),136)),KotaKode,2,0),"-"),"")),"")</f>
        <v/>
      </c>
    </row>
    <row r="138" spans="1:12" ht="15" customHeight="1" x14ac:dyDescent="0.2">
      <c r="A138" t="str">
        <f t="shared" si="2"/>
        <v/>
      </c>
      <c r="B138" t="str">
        <v/>
      </c>
      <c r="C138" s="40" t="str">
        <f t="array" ref="C138">IFERROR(INDEX(checklistPesertaKemenkeu!$F$6:$F$1005,SMALL(IF(checklistPesertaKemenkeu!$AY$6:$AY$1005="Direkomendasikan",ROW($6:$1005)-5),137)),"")</f>
        <v/>
      </c>
      <c r="D138" t="str">
        <f t="array" ref="D138">IFERROR(INDEX(checklistPesertaKemenkeu!$G$6:$G$1005,SMALL(IF(checklistPesertaKemenkeu!$AY$6:$AY$1005="Direkomendasikan",ROW($6:$1005)-5),137)),"")</f>
        <v/>
      </c>
      <c r="E138" t="str">
        <f t="array" ref="E138">IFERROR(INDEX(checklistPesertaKemenkeu!$H$6:$H$1005,SMALL(IF(checklistPesertaKemenkeu!$AY$6:$AY$1005="Direkomendasikan",ROW($6:$1005)-5),137)),"")</f>
        <v/>
      </c>
      <c r="F138" t="str">
        <f t="array" ref="F138">IFERROR(INDEX(checklistPesertaKemenkeu!$I$6:$I$1005,SMALL(IF(checklistPesertaKemenkeu!$AY$6:$AY$1005="Direkomendasikan",ROW($6:$1005)-5),137)),"")</f>
        <v/>
      </c>
      <c r="G138" t="str">
        <f t="array" ref="G138">IFERROR(INDEX(checklistPesertaKemenkeu!$J$6:$J$1005,SMALL(IF(checklistPesertaKemenkeu!$AY$6:$AY$1005="Direkomendasikan",ROW($6:$1005)-5),137)),"")</f>
        <v/>
      </c>
      <c r="H138" t="str">
        <f t="array" aca="1" ref="H138" ca="1">IFERROR(IF(OR(INDEX(checklistPesertaKemenkeu!$L$6:$L$1005,SMALL(IF(checklistPesertaKemenkeu!$AY$6:$AY$1005="Direkomendasikan",ROW($6:$1005)-5),137))="",INDEX(checklistPesertaKemenkeu!$J$6:$J$1005,SMALL(IF(checklistPesertaKemenkeu!$AY$6:$AY$1005="Direkomendasikan",ROW($6:$1005)-5),137))=""),"",IF(AND(COUNTIF(INDIRECT("K_"&amp;MATCH(INDEX(checklistPesertaKemenkeu!$J$6:$J$1005,SMALL(IF(checklistPesertaKemenkeu!$AY$6:$AY$1005="Direkomendasikan",ROW($6:$1005)-5),137)),BidangList,0)),INDEX(checklistPesertaKemenkeu!$L$6:$L$1005,SMALL(IF(checklistPesertaKemenkeu!$AY$6:$AY$1005="Direkomendasikan",ROW($6:$1005)-5),137)))&gt;0,COUNTIF(INDIRECT("'KERTAS KERJA'!K"&amp;(SMALL(IF(checklistPesertaKemenkeu!$AY$6:$AY$1005="Direkomendasikan",ROW($6:$1005)-5),137)+5)&amp;":O"&amp;(SMALL(IF(checklistPesertaKemenkeu!$AY$6:$AY$1005="Direkomendasikan",ROW($6:$1005)-5),137)+5)),INDEX(checklistPesertaKemenkeu!$L$6:$L$1005,SMALL(IF(checklistPesertaKemenkeu!$AY$6:$AY$1005="Direkomendasikan",ROW($6:$1005)-5),137)))=1),IFERROR(VLOOKUP(INDEX(checklistPesertaKemenkeu!$L$6:$L$1005,SMALL(IF(checklistPesertaKemenkeu!$AY$6:$AY$1005="Direkomendasikan",ROW($6:$1005)-5),137)),KotaKode,2,0),"-"),"")),"")</f>
        <v/>
      </c>
      <c r="I138" t="str">
        <f t="array" aca="1" ref="I138" ca="1">IFERROR(IF(OR(INDEX(checklistPesertaKemenkeu!$M$6:$M$1005,SMALL(IF(checklistPesertaKemenkeu!$AY$6:$AY$1005="Direkomendasikan",ROW($6:$1005)-5),137))="",INDEX(checklistPesertaKemenkeu!$J$6:$J$1005,SMALL(IF(checklistPesertaKemenkeu!$AY$6:$AY$1005="Direkomendasikan",ROW($6:$1005)-5),137))=""),"",IF(AND(COUNTIF(INDIRECT("K_"&amp;MATCH(INDEX(checklistPesertaKemenkeu!$J$6:$J$1005,SMALL(IF(checklistPesertaKemenkeu!$AY$6:$AY$1005="Direkomendasikan",ROW($6:$1005)-5),137)),BidangList,0)),INDEX(checklistPesertaKemenkeu!$M$6:$M$1005,SMALL(IF(checklistPesertaKemenkeu!$AY$6:$AY$1005="Direkomendasikan",ROW($6:$1005)-5),137)))&gt;0,COUNTIF(INDIRECT("'KERTAS KERJA'!K"&amp;(SMALL(IF(checklistPesertaKemenkeu!$AY$6:$AY$1005="Direkomendasikan",ROW($6:$1005)-5),137)+5)&amp;":O"&amp;(SMALL(IF(checklistPesertaKemenkeu!$AY$6:$AY$1005="Direkomendasikan",ROW($6:$1005)-5),137)+5)),INDEX(checklistPesertaKemenkeu!$M$6:$M$1005,SMALL(IF(checklistPesertaKemenkeu!$AY$6:$AY$1005="Direkomendasikan",ROW($6:$1005)-5),137)))=1),IFERROR(VLOOKUP(INDEX(checklistPesertaKemenkeu!$M$6:$M$1005,SMALL(IF(checklistPesertaKemenkeu!$AY$6:$AY$1005="Direkomendasikan",ROW($6:$1005)-5),137)),KotaKode,2,0),"-"),"")),"")</f>
        <v/>
      </c>
      <c r="J138" t="str">
        <f t="array" aca="1" ref="J138" ca="1">IFERROR(IF(OR(INDEX(checklistPesertaKemenkeu!$N$6:$N$1005,SMALL(IF(checklistPesertaKemenkeu!$AY$6:$AY$1005="Direkomendasikan",ROW($6:$1005)-5),137))="",INDEX(checklistPesertaKemenkeu!$J$6:$J$1005,SMALL(IF(checklistPesertaKemenkeu!$AY$6:$AY$1005="Direkomendasikan",ROW($6:$1005)-5),137))=""),"",IF(AND(COUNTIF(INDIRECT("K_"&amp;MATCH(INDEX(checklistPesertaKemenkeu!$J$6:$J$1005,SMALL(IF(checklistPesertaKemenkeu!$AY$6:$AY$1005="Direkomendasikan",ROW($6:$1005)-5),137)),BidangList,0)),INDEX(checklistPesertaKemenkeu!$N$6:$N$1005,SMALL(IF(checklistPesertaKemenkeu!$AY$6:$AY$1005="Direkomendasikan",ROW($6:$1005)-5),137)))&gt;0,COUNTIF(INDIRECT("'KERTAS KERJA'!K"&amp;(SMALL(IF(checklistPesertaKemenkeu!$AY$6:$AY$1005="Direkomendasikan",ROW($6:$1005)-5),137)+5)&amp;":O"&amp;(SMALL(IF(checklistPesertaKemenkeu!$AY$6:$AY$1005="Direkomendasikan",ROW($6:$1005)-5),137)+5)),INDEX(checklistPesertaKemenkeu!$N$6:$N$1005,SMALL(IF(checklistPesertaKemenkeu!$AY$6:$AY$1005="Direkomendasikan",ROW($6:$1005)-5),137)))=1),IFERROR(VLOOKUP(INDEX(checklistPesertaKemenkeu!$N$6:$N$1005,SMALL(IF(checklistPesertaKemenkeu!$AY$6:$AY$1005="Direkomendasikan",ROW($6:$1005)-5),137)),KotaKode,2,0),"-"),"")),"")</f>
        <v/>
      </c>
      <c r="K138" t="str">
        <f t="array" aca="1" ref="K138" ca="1">IFERROR(IF(OR(INDEX(checklistPesertaKemenkeu!$O$6:$O$1005,SMALL(IF(checklistPesertaKemenkeu!$AY$6:$AY$1005="Direkomendasikan",ROW($6:$1005)-5),137))="",INDEX(checklistPesertaKemenkeu!$J$6:$J$1005,SMALL(IF(checklistPesertaKemenkeu!$AY$6:$AY$1005="Direkomendasikan",ROW($6:$1005)-5),137))=""),"",IF(AND(COUNTIF(INDIRECT("K_"&amp;MATCH(INDEX(checklistPesertaKemenkeu!$J$6:$J$1005,SMALL(IF(checklistPesertaKemenkeu!$AY$6:$AY$1005="Direkomendasikan",ROW($6:$1005)-5),137)),BidangList,0)),INDEX(checklistPesertaKemenkeu!$O$6:$O$1005,SMALL(IF(checklistPesertaKemenkeu!$AY$6:$AY$1005="Direkomendasikan",ROW($6:$1005)-5),137)))&gt;0,COUNTIF(INDIRECT("'KERTAS KERJA'!K"&amp;(SMALL(IF(checklistPesertaKemenkeu!$AY$6:$AY$1005="Direkomendasikan",ROW($6:$1005)-5),137)+5)&amp;":O"&amp;(SMALL(IF(checklistPesertaKemenkeu!$AY$6:$AY$1005="Direkomendasikan",ROW($6:$1005)-5),137)+5)),INDEX(checklistPesertaKemenkeu!$O$6:$O$1005,SMALL(IF(checklistPesertaKemenkeu!$AY$6:$AY$1005="Direkomendasikan",ROW($6:$1005)-5),137)))=1),IFERROR(VLOOKUP(INDEX(checklistPesertaKemenkeu!$O$6:$O$1005,SMALL(IF(checklistPesertaKemenkeu!$AY$6:$AY$1005="Direkomendasikan",ROW($6:$1005)-5),137)),KotaKode,2,0),"-"),"")),"")</f>
        <v/>
      </c>
      <c r="L138" t="str">
        <f t="array" aca="1" ref="L138" ca="1">IFERROR(IF(OR(INDEX(checklistPesertaKemenkeu!$P$6:$P$1005,SMALL(IF(checklistPesertaKemenkeu!$AY$6:$AY$1005="Direkomendasikan",ROW($6:$1005)-5),137))="",INDEX(checklistPesertaKemenkeu!$J$6:$J$1005,SMALL(IF(checklistPesertaKemenkeu!$AY$6:$AY$1005="Direkomendasikan",ROW($6:$1005)-5),137))=""),"",IF(AND(COUNTIF(INDIRECT("K_"&amp;MATCH(INDEX(checklistPesertaKemenkeu!$J$6:$J$1005,SMALL(IF(checklistPesertaKemenkeu!$AY$6:$AY$1005="Direkomendasikan",ROW($6:$1005)-5),137)),BidangList,0)),INDEX(checklistPesertaKemenkeu!$P$6:$P$1005,SMALL(IF(checklistPesertaKemenkeu!$AY$6:$AY$1005="Direkomendasikan",ROW($6:$1005)-5),137)))&gt;0,COUNTIF(INDIRECT("'KERTAS KERJA'!K"&amp;(SMALL(IF(checklistPesertaKemenkeu!$AY$6:$AY$1005="Direkomendasikan",ROW($6:$1005)-5),137)+5)&amp;":O"&amp;(SMALL(IF(checklistPesertaKemenkeu!$AY$6:$AY$1005="Direkomendasikan",ROW($6:$1005)-5),137)+5)),INDEX(checklistPesertaKemenkeu!$P$6:$P$1005,SMALL(IF(checklistPesertaKemenkeu!$AY$6:$AY$1005="Direkomendasikan",ROW($6:$1005)-5),137)))=1),IFERROR(VLOOKUP(INDEX(checklistPesertaKemenkeu!$P$6:$P$1005,SMALL(IF(checklistPesertaKemenkeu!$AY$6:$AY$1005="Direkomendasikan",ROW($6:$1005)-5),137)),KotaKode,2,0),"-"),"")),"")</f>
        <v/>
      </c>
    </row>
    <row r="139" spans="1:12" ht="15" customHeight="1" x14ac:dyDescent="0.2">
      <c r="A139" t="str">
        <f t="shared" si="2"/>
        <v/>
      </c>
      <c r="B139" t="str">
        <v/>
      </c>
      <c r="C139" s="40" t="str">
        <f t="array" ref="C139">IFERROR(INDEX(checklistPesertaKemenkeu!$F$6:$F$1005,SMALL(IF(checklistPesertaKemenkeu!$AY$6:$AY$1005="Direkomendasikan",ROW($6:$1005)-5),138)),"")</f>
        <v/>
      </c>
      <c r="D139" t="str">
        <f t="array" ref="D139">IFERROR(INDEX(checklistPesertaKemenkeu!$G$6:$G$1005,SMALL(IF(checklistPesertaKemenkeu!$AY$6:$AY$1005="Direkomendasikan",ROW($6:$1005)-5),138)),"")</f>
        <v/>
      </c>
      <c r="E139" t="str">
        <f t="array" ref="E139">IFERROR(INDEX(checklistPesertaKemenkeu!$H$6:$H$1005,SMALL(IF(checklistPesertaKemenkeu!$AY$6:$AY$1005="Direkomendasikan",ROW($6:$1005)-5),138)),"")</f>
        <v/>
      </c>
      <c r="F139" t="str">
        <f t="array" ref="F139">IFERROR(INDEX(checklistPesertaKemenkeu!$I$6:$I$1005,SMALL(IF(checklistPesertaKemenkeu!$AY$6:$AY$1005="Direkomendasikan",ROW($6:$1005)-5),138)),"")</f>
        <v/>
      </c>
      <c r="G139" t="str">
        <f t="array" ref="G139">IFERROR(INDEX(checklistPesertaKemenkeu!$J$6:$J$1005,SMALL(IF(checklistPesertaKemenkeu!$AY$6:$AY$1005="Direkomendasikan",ROW($6:$1005)-5),138)),"")</f>
        <v/>
      </c>
      <c r="H139" t="str">
        <f t="array" aca="1" ref="H139" ca="1">IFERROR(IF(OR(INDEX(checklistPesertaKemenkeu!$L$6:$L$1005,SMALL(IF(checklistPesertaKemenkeu!$AY$6:$AY$1005="Direkomendasikan",ROW($6:$1005)-5),138))="",INDEX(checklistPesertaKemenkeu!$J$6:$J$1005,SMALL(IF(checklistPesertaKemenkeu!$AY$6:$AY$1005="Direkomendasikan",ROW($6:$1005)-5),138))=""),"",IF(AND(COUNTIF(INDIRECT("K_"&amp;MATCH(INDEX(checklistPesertaKemenkeu!$J$6:$J$1005,SMALL(IF(checklistPesertaKemenkeu!$AY$6:$AY$1005="Direkomendasikan",ROW($6:$1005)-5),138)),BidangList,0)),INDEX(checklistPesertaKemenkeu!$L$6:$L$1005,SMALL(IF(checklistPesertaKemenkeu!$AY$6:$AY$1005="Direkomendasikan",ROW($6:$1005)-5),138)))&gt;0,COUNTIF(INDIRECT("'KERTAS KERJA'!K"&amp;(SMALL(IF(checklistPesertaKemenkeu!$AY$6:$AY$1005="Direkomendasikan",ROW($6:$1005)-5),138)+5)&amp;":O"&amp;(SMALL(IF(checklistPesertaKemenkeu!$AY$6:$AY$1005="Direkomendasikan",ROW($6:$1005)-5),138)+5)),INDEX(checklistPesertaKemenkeu!$L$6:$L$1005,SMALL(IF(checklistPesertaKemenkeu!$AY$6:$AY$1005="Direkomendasikan",ROW($6:$1005)-5),138)))=1),IFERROR(VLOOKUP(INDEX(checklistPesertaKemenkeu!$L$6:$L$1005,SMALL(IF(checklistPesertaKemenkeu!$AY$6:$AY$1005="Direkomendasikan",ROW($6:$1005)-5),138)),KotaKode,2,0),"-"),"")),"")</f>
        <v/>
      </c>
      <c r="I139" t="str">
        <f t="array" aca="1" ref="I139" ca="1">IFERROR(IF(OR(INDEX(checklistPesertaKemenkeu!$M$6:$M$1005,SMALL(IF(checklistPesertaKemenkeu!$AY$6:$AY$1005="Direkomendasikan",ROW($6:$1005)-5),138))="",INDEX(checklistPesertaKemenkeu!$J$6:$J$1005,SMALL(IF(checklistPesertaKemenkeu!$AY$6:$AY$1005="Direkomendasikan",ROW($6:$1005)-5),138))=""),"",IF(AND(COUNTIF(INDIRECT("K_"&amp;MATCH(INDEX(checklistPesertaKemenkeu!$J$6:$J$1005,SMALL(IF(checklistPesertaKemenkeu!$AY$6:$AY$1005="Direkomendasikan",ROW($6:$1005)-5),138)),BidangList,0)),INDEX(checklistPesertaKemenkeu!$M$6:$M$1005,SMALL(IF(checklistPesertaKemenkeu!$AY$6:$AY$1005="Direkomendasikan",ROW($6:$1005)-5),138)))&gt;0,COUNTIF(INDIRECT("'KERTAS KERJA'!K"&amp;(SMALL(IF(checklistPesertaKemenkeu!$AY$6:$AY$1005="Direkomendasikan",ROW($6:$1005)-5),138)+5)&amp;":O"&amp;(SMALL(IF(checklistPesertaKemenkeu!$AY$6:$AY$1005="Direkomendasikan",ROW($6:$1005)-5),138)+5)),INDEX(checklistPesertaKemenkeu!$M$6:$M$1005,SMALL(IF(checklistPesertaKemenkeu!$AY$6:$AY$1005="Direkomendasikan",ROW($6:$1005)-5),138)))=1),IFERROR(VLOOKUP(INDEX(checklistPesertaKemenkeu!$M$6:$M$1005,SMALL(IF(checklistPesertaKemenkeu!$AY$6:$AY$1005="Direkomendasikan",ROW($6:$1005)-5),138)),KotaKode,2,0),"-"),"")),"")</f>
        <v/>
      </c>
      <c r="J139" t="str">
        <f t="array" aca="1" ref="J139" ca="1">IFERROR(IF(OR(INDEX(checklistPesertaKemenkeu!$N$6:$N$1005,SMALL(IF(checklistPesertaKemenkeu!$AY$6:$AY$1005="Direkomendasikan",ROW($6:$1005)-5),138))="",INDEX(checklistPesertaKemenkeu!$J$6:$J$1005,SMALL(IF(checklistPesertaKemenkeu!$AY$6:$AY$1005="Direkomendasikan",ROW($6:$1005)-5),138))=""),"",IF(AND(COUNTIF(INDIRECT("K_"&amp;MATCH(INDEX(checklistPesertaKemenkeu!$J$6:$J$1005,SMALL(IF(checklistPesertaKemenkeu!$AY$6:$AY$1005="Direkomendasikan",ROW($6:$1005)-5),138)),BidangList,0)),INDEX(checklistPesertaKemenkeu!$N$6:$N$1005,SMALL(IF(checklistPesertaKemenkeu!$AY$6:$AY$1005="Direkomendasikan",ROW($6:$1005)-5),138)))&gt;0,COUNTIF(INDIRECT("'KERTAS KERJA'!K"&amp;(SMALL(IF(checklistPesertaKemenkeu!$AY$6:$AY$1005="Direkomendasikan",ROW($6:$1005)-5),138)+5)&amp;":O"&amp;(SMALL(IF(checklistPesertaKemenkeu!$AY$6:$AY$1005="Direkomendasikan",ROW($6:$1005)-5),138)+5)),INDEX(checklistPesertaKemenkeu!$N$6:$N$1005,SMALL(IF(checklistPesertaKemenkeu!$AY$6:$AY$1005="Direkomendasikan",ROW($6:$1005)-5),138)))=1),IFERROR(VLOOKUP(INDEX(checklistPesertaKemenkeu!$N$6:$N$1005,SMALL(IF(checklistPesertaKemenkeu!$AY$6:$AY$1005="Direkomendasikan",ROW($6:$1005)-5),138)),KotaKode,2,0),"-"),"")),"")</f>
        <v/>
      </c>
      <c r="K139" t="str">
        <f t="array" aca="1" ref="K139" ca="1">IFERROR(IF(OR(INDEX(checklistPesertaKemenkeu!$O$6:$O$1005,SMALL(IF(checklistPesertaKemenkeu!$AY$6:$AY$1005="Direkomendasikan",ROW($6:$1005)-5),138))="",INDEX(checklistPesertaKemenkeu!$J$6:$J$1005,SMALL(IF(checklistPesertaKemenkeu!$AY$6:$AY$1005="Direkomendasikan",ROW($6:$1005)-5),138))=""),"",IF(AND(COUNTIF(INDIRECT("K_"&amp;MATCH(INDEX(checklistPesertaKemenkeu!$J$6:$J$1005,SMALL(IF(checklistPesertaKemenkeu!$AY$6:$AY$1005="Direkomendasikan",ROW($6:$1005)-5),138)),BidangList,0)),INDEX(checklistPesertaKemenkeu!$O$6:$O$1005,SMALL(IF(checklistPesertaKemenkeu!$AY$6:$AY$1005="Direkomendasikan",ROW($6:$1005)-5),138)))&gt;0,COUNTIF(INDIRECT("'KERTAS KERJA'!K"&amp;(SMALL(IF(checklistPesertaKemenkeu!$AY$6:$AY$1005="Direkomendasikan",ROW($6:$1005)-5),138)+5)&amp;":O"&amp;(SMALL(IF(checklistPesertaKemenkeu!$AY$6:$AY$1005="Direkomendasikan",ROW($6:$1005)-5),138)+5)),INDEX(checklistPesertaKemenkeu!$O$6:$O$1005,SMALL(IF(checklistPesertaKemenkeu!$AY$6:$AY$1005="Direkomendasikan",ROW($6:$1005)-5),138)))=1),IFERROR(VLOOKUP(INDEX(checklistPesertaKemenkeu!$O$6:$O$1005,SMALL(IF(checklistPesertaKemenkeu!$AY$6:$AY$1005="Direkomendasikan",ROW($6:$1005)-5),138)),KotaKode,2,0),"-"),"")),"")</f>
        <v/>
      </c>
      <c r="L139" t="str">
        <f t="array" aca="1" ref="L139" ca="1">IFERROR(IF(OR(INDEX(checklistPesertaKemenkeu!$P$6:$P$1005,SMALL(IF(checklistPesertaKemenkeu!$AY$6:$AY$1005="Direkomendasikan",ROW($6:$1005)-5),138))="",INDEX(checklistPesertaKemenkeu!$J$6:$J$1005,SMALL(IF(checklistPesertaKemenkeu!$AY$6:$AY$1005="Direkomendasikan",ROW($6:$1005)-5),138))=""),"",IF(AND(COUNTIF(INDIRECT("K_"&amp;MATCH(INDEX(checklistPesertaKemenkeu!$J$6:$J$1005,SMALL(IF(checklistPesertaKemenkeu!$AY$6:$AY$1005="Direkomendasikan",ROW($6:$1005)-5),138)),BidangList,0)),INDEX(checklistPesertaKemenkeu!$P$6:$P$1005,SMALL(IF(checklistPesertaKemenkeu!$AY$6:$AY$1005="Direkomendasikan",ROW($6:$1005)-5),138)))&gt;0,COUNTIF(INDIRECT("'KERTAS KERJA'!K"&amp;(SMALL(IF(checklistPesertaKemenkeu!$AY$6:$AY$1005="Direkomendasikan",ROW($6:$1005)-5),138)+5)&amp;":O"&amp;(SMALL(IF(checklistPesertaKemenkeu!$AY$6:$AY$1005="Direkomendasikan",ROW($6:$1005)-5),138)+5)),INDEX(checklistPesertaKemenkeu!$P$6:$P$1005,SMALL(IF(checklistPesertaKemenkeu!$AY$6:$AY$1005="Direkomendasikan",ROW($6:$1005)-5),138)))=1),IFERROR(VLOOKUP(INDEX(checklistPesertaKemenkeu!$P$6:$P$1005,SMALL(IF(checklistPesertaKemenkeu!$AY$6:$AY$1005="Direkomendasikan",ROW($6:$1005)-5),138)),KotaKode,2,0),"-"),"")),"")</f>
        <v/>
      </c>
    </row>
    <row r="140" spans="1:12" ht="15" customHeight="1" x14ac:dyDescent="0.2">
      <c r="A140" t="str">
        <f t="shared" si="2"/>
        <v/>
      </c>
      <c r="B140" t="str">
        <v/>
      </c>
      <c r="C140" s="40" t="str">
        <f t="array" ref="C140">IFERROR(INDEX(checklistPesertaKemenkeu!$F$6:$F$1005,SMALL(IF(checklistPesertaKemenkeu!$AY$6:$AY$1005="Direkomendasikan",ROW($6:$1005)-5),139)),"")</f>
        <v/>
      </c>
      <c r="D140" t="str">
        <f t="array" ref="D140">IFERROR(INDEX(checklistPesertaKemenkeu!$G$6:$G$1005,SMALL(IF(checklistPesertaKemenkeu!$AY$6:$AY$1005="Direkomendasikan",ROW($6:$1005)-5),139)),"")</f>
        <v/>
      </c>
      <c r="E140" t="str">
        <f t="array" ref="E140">IFERROR(INDEX(checklistPesertaKemenkeu!$H$6:$H$1005,SMALL(IF(checklistPesertaKemenkeu!$AY$6:$AY$1005="Direkomendasikan",ROW($6:$1005)-5),139)),"")</f>
        <v/>
      </c>
      <c r="F140" t="str">
        <f t="array" ref="F140">IFERROR(INDEX(checklistPesertaKemenkeu!$I$6:$I$1005,SMALL(IF(checklistPesertaKemenkeu!$AY$6:$AY$1005="Direkomendasikan",ROW($6:$1005)-5),139)),"")</f>
        <v/>
      </c>
      <c r="G140" t="str">
        <f t="array" ref="G140">IFERROR(INDEX(checklistPesertaKemenkeu!$J$6:$J$1005,SMALL(IF(checklistPesertaKemenkeu!$AY$6:$AY$1005="Direkomendasikan",ROW($6:$1005)-5),139)),"")</f>
        <v/>
      </c>
      <c r="H140" t="str">
        <f t="array" aca="1" ref="H140" ca="1">IFERROR(IF(OR(INDEX(checklistPesertaKemenkeu!$L$6:$L$1005,SMALL(IF(checklistPesertaKemenkeu!$AY$6:$AY$1005="Direkomendasikan",ROW($6:$1005)-5),139))="",INDEX(checklistPesertaKemenkeu!$J$6:$J$1005,SMALL(IF(checklistPesertaKemenkeu!$AY$6:$AY$1005="Direkomendasikan",ROW($6:$1005)-5),139))=""),"",IF(AND(COUNTIF(INDIRECT("K_"&amp;MATCH(INDEX(checklistPesertaKemenkeu!$J$6:$J$1005,SMALL(IF(checklistPesertaKemenkeu!$AY$6:$AY$1005="Direkomendasikan",ROW($6:$1005)-5),139)),BidangList,0)),INDEX(checklistPesertaKemenkeu!$L$6:$L$1005,SMALL(IF(checklistPesertaKemenkeu!$AY$6:$AY$1005="Direkomendasikan",ROW($6:$1005)-5),139)))&gt;0,COUNTIF(INDIRECT("'KERTAS KERJA'!K"&amp;(SMALL(IF(checklistPesertaKemenkeu!$AY$6:$AY$1005="Direkomendasikan",ROW($6:$1005)-5),139)+5)&amp;":O"&amp;(SMALL(IF(checklistPesertaKemenkeu!$AY$6:$AY$1005="Direkomendasikan",ROW($6:$1005)-5),139)+5)),INDEX(checklistPesertaKemenkeu!$L$6:$L$1005,SMALL(IF(checklistPesertaKemenkeu!$AY$6:$AY$1005="Direkomendasikan",ROW($6:$1005)-5),139)))=1),IFERROR(VLOOKUP(INDEX(checklistPesertaKemenkeu!$L$6:$L$1005,SMALL(IF(checklistPesertaKemenkeu!$AY$6:$AY$1005="Direkomendasikan",ROW($6:$1005)-5),139)),KotaKode,2,0),"-"),"")),"")</f>
        <v/>
      </c>
      <c r="I140" t="str">
        <f t="array" aca="1" ref="I140" ca="1">IFERROR(IF(OR(INDEX(checklistPesertaKemenkeu!$M$6:$M$1005,SMALL(IF(checklistPesertaKemenkeu!$AY$6:$AY$1005="Direkomendasikan",ROW($6:$1005)-5),139))="",INDEX(checklistPesertaKemenkeu!$J$6:$J$1005,SMALL(IF(checklistPesertaKemenkeu!$AY$6:$AY$1005="Direkomendasikan",ROW($6:$1005)-5),139))=""),"",IF(AND(COUNTIF(INDIRECT("K_"&amp;MATCH(INDEX(checklistPesertaKemenkeu!$J$6:$J$1005,SMALL(IF(checklistPesertaKemenkeu!$AY$6:$AY$1005="Direkomendasikan",ROW($6:$1005)-5),139)),BidangList,0)),INDEX(checklistPesertaKemenkeu!$M$6:$M$1005,SMALL(IF(checklistPesertaKemenkeu!$AY$6:$AY$1005="Direkomendasikan",ROW($6:$1005)-5),139)))&gt;0,COUNTIF(INDIRECT("'KERTAS KERJA'!K"&amp;(SMALL(IF(checklistPesertaKemenkeu!$AY$6:$AY$1005="Direkomendasikan",ROW($6:$1005)-5),139)+5)&amp;":O"&amp;(SMALL(IF(checklistPesertaKemenkeu!$AY$6:$AY$1005="Direkomendasikan",ROW($6:$1005)-5),139)+5)),INDEX(checklistPesertaKemenkeu!$M$6:$M$1005,SMALL(IF(checklistPesertaKemenkeu!$AY$6:$AY$1005="Direkomendasikan",ROW($6:$1005)-5),139)))=1),IFERROR(VLOOKUP(INDEX(checklistPesertaKemenkeu!$M$6:$M$1005,SMALL(IF(checklistPesertaKemenkeu!$AY$6:$AY$1005="Direkomendasikan",ROW($6:$1005)-5),139)),KotaKode,2,0),"-"),"")),"")</f>
        <v/>
      </c>
      <c r="J140" t="str">
        <f t="array" aca="1" ref="J140" ca="1">IFERROR(IF(OR(INDEX(checklistPesertaKemenkeu!$N$6:$N$1005,SMALL(IF(checklistPesertaKemenkeu!$AY$6:$AY$1005="Direkomendasikan",ROW($6:$1005)-5),139))="",INDEX(checklistPesertaKemenkeu!$J$6:$J$1005,SMALL(IF(checklistPesertaKemenkeu!$AY$6:$AY$1005="Direkomendasikan",ROW($6:$1005)-5),139))=""),"",IF(AND(COUNTIF(INDIRECT("K_"&amp;MATCH(INDEX(checklistPesertaKemenkeu!$J$6:$J$1005,SMALL(IF(checklistPesertaKemenkeu!$AY$6:$AY$1005="Direkomendasikan",ROW($6:$1005)-5),139)),BidangList,0)),INDEX(checklistPesertaKemenkeu!$N$6:$N$1005,SMALL(IF(checklistPesertaKemenkeu!$AY$6:$AY$1005="Direkomendasikan",ROW($6:$1005)-5),139)))&gt;0,COUNTIF(INDIRECT("'KERTAS KERJA'!K"&amp;(SMALL(IF(checklistPesertaKemenkeu!$AY$6:$AY$1005="Direkomendasikan",ROW($6:$1005)-5),139)+5)&amp;":O"&amp;(SMALL(IF(checklistPesertaKemenkeu!$AY$6:$AY$1005="Direkomendasikan",ROW($6:$1005)-5),139)+5)),INDEX(checklistPesertaKemenkeu!$N$6:$N$1005,SMALL(IF(checklistPesertaKemenkeu!$AY$6:$AY$1005="Direkomendasikan",ROW($6:$1005)-5),139)))=1),IFERROR(VLOOKUP(INDEX(checklistPesertaKemenkeu!$N$6:$N$1005,SMALL(IF(checklistPesertaKemenkeu!$AY$6:$AY$1005="Direkomendasikan",ROW($6:$1005)-5),139)),KotaKode,2,0),"-"),"")),"")</f>
        <v/>
      </c>
      <c r="K140" t="str">
        <f t="array" aca="1" ref="K140" ca="1">IFERROR(IF(OR(INDEX(checklistPesertaKemenkeu!$O$6:$O$1005,SMALL(IF(checklistPesertaKemenkeu!$AY$6:$AY$1005="Direkomendasikan",ROW($6:$1005)-5),139))="",INDEX(checklistPesertaKemenkeu!$J$6:$J$1005,SMALL(IF(checklistPesertaKemenkeu!$AY$6:$AY$1005="Direkomendasikan",ROW($6:$1005)-5),139))=""),"",IF(AND(COUNTIF(INDIRECT("K_"&amp;MATCH(INDEX(checklistPesertaKemenkeu!$J$6:$J$1005,SMALL(IF(checklistPesertaKemenkeu!$AY$6:$AY$1005="Direkomendasikan",ROW($6:$1005)-5),139)),BidangList,0)),INDEX(checklistPesertaKemenkeu!$O$6:$O$1005,SMALL(IF(checklistPesertaKemenkeu!$AY$6:$AY$1005="Direkomendasikan",ROW($6:$1005)-5),139)))&gt;0,COUNTIF(INDIRECT("'KERTAS KERJA'!K"&amp;(SMALL(IF(checklistPesertaKemenkeu!$AY$6:$AY$1005="Direkomendasikan",ROW($6:$1005)-5),139)+5)&amp;":O"&amp;(SMALL(IF(checklistPesertaKemenkeu!$AY$6:$AY$1005="Direkomendasikan",ROW($6:$1005)-5),139)+5)),INDEX(checklistPesertaKemenkeu!$O$6:$O$1005,SMALL(IF(checklistPesertaKemenkeu!$AY$6:$AY$1005="Direkomendasikan",ROW($6:$1005)-5),139)))=1),IFERROR(VLOOKUP(INDEX(checklistPesertaKemenkeu!$O$6:$O$1005,SMALL(IF(checklistPesertaKemenkeu!$AY$6:$AY$1005="Direkomendasikan",ROW($6:$1005)-5),139)),KotaKode,2,0),"-"),"")),"")</f>
        <v/>
      </c>
      <c r="L140" t="str">
        <f t="array" aca="1" ref="L140" ca="1">IFERROR(IF(OR(INDEX(checklistPesertaKemenkeu!$P$6:$P$1005,SMALL(IF(checklistPesertaKemenkeu!$AY$6:$AY$1005="Direkomendasikan",ROW($6:$1005)-5),139))="",INDEX(checklistPesertaKemenkeu!$J$6:$J$1005,SMALL(IF(checklistPesertaKemenkeu!$AY$6:$AY$1005="Direkomendasikan",ROW($6:$1005)-5),139))=""),"",IF(AND(COUNTIF(INDIRECT("K_"&amp;MATCH(INDEX(checklistPesertaKemenkeu!$J$6:$J$1005,SMALL(IF(checklistPesertaKemenkeu!$AY$6:$AY$1005="Direkomendasikan",ROW($6:$1005)-5),139)),BidangList,0)),INDEX(checklistPesertaKemenkeu!$P$6:$P$1005,SMALL(IF(checklistPesertaKemenkeu!$AY$6:$AY$1005="Direkomendasikan",ROW($6:$1005)-5),139)))&gt;0,COUNTIF(INDIRECT("'KERTAS KERJA'!K"&amp;(SMALL(IF(checklistPesertaKemenkeu!$AY$6:$AY$1005="Direkomendasikan",ROW($6:$1005)-5),139)+5)&amp;":O"&amp;(SMALL(IF(checklistPesertaKemenkeu!$AY$6:$AY$1005="Direkomendasikan",ROW($6:$1005)-5),139)+5)),INDEX(checklistPesertaKemenkeu!$P$6:$P$1005,SMALL(IF(checklistPesertaKemenkeu!$AY$6:$AY$1005="Direkomendasikan",ROW($6:$1005)-5),139)))=1),IFERROR(VLOOKUP(INDEX(checklistPesertaKemenkeu!$P$6:$P$1005,SMALL(IF(checklistPesertaKemenkeu!$AY$6:$AY$1005="Direkomendasikan",ROW($6:$1005)-5),139)),KotaKode,2,0),"-"),"")),"")</f>
        <v/>
      </c>
    </row>
    <row r="141" spans="1:12" ht="15" customHeight="1" x14ac:dyDescent="0.2">
      <c r="A141" t="str">
        <f t="shared" si="2"/>
        <v/>
      </c>
      <c r="B141" t="str">
        <v/>
      </c>
      <c r="C141" s="40" t="str">
        <f t="array" ref="C141">IFERROR(INDEX(checklistPesertaKemenkeu!$F$6:$F$1005,SMALL(IF(checklistPesertaKemenkeu!$AY$6:$AY$1005="Direkomendasikan",ROW($6:$1005)-5),140)),"")</f>
        <v/>
      </c>
      <c r="D141" t="str">
        <f t="array" ref="D141">IFERROR(INDEX(checklistPesertaKemenkeu!$G$6:$G$1005,SMALL(IF(checklistPesertaKemenkeu!$AY$6:$AY$1005="Direkomendasikan",ROW($6:$1005)-5),140)),"")</f>
        <v/>
      </c>
      <c r="E141" t="str">
        <f t="array" ref="E141">IFERROR(INDEX(checklistPesertaKemenkeu!$H$6:$H$1005,SMALL(IF(checklistPesertaKemenkeu!$AY$6:$AY$1005="Direkomendasikan",ROW($6:$1005)-5),140)),"")</f>
        <v/>
      </c>
      <c r="F141" t="str">
        <f t="array" ref="F141">IFERROR(INDEX(checklistPesertaKemenkeu!$I$6:$I$1005,SMALL(IF(checklistPesertaKemenkeu!$AY$6:$AY$1005="Direkomendasikan",ROW($6:$1005)-5),140)),"")</f>
        <v/>
      </c>
      <c r="G141" t="str">
        <f t="array" ref="G141">IFERROR(INDEX(checklistPesertaKemenkeu!$J$6:$J$1005,SMALL(IF(checklistPesertaKemenkeu!$AY$6:$AY$1005="Direkomendasikan",ROW($6:$1005)-5),140)),"")</f>
        <v/>
      </c>
      <c r="H141" t="str">
        <f t="array" aca="1" ref="H141" ca="1">IFERROR(IF(OR(INDEX(checklistPesertaKemenkeu!$L$6:$L$1005,SMALL(IF(checklistPesertaKemenkeu!$AY$6:$AY$1005="Direkomendasikan",ROW($6:$1005)-5),140))="",INDEX(checklistPesertaKemenkeu!$J$6:$J$1005,SMALL(IF(checklistPesertaKemenkeu!$AY$6:$AY$1005="Direkomendasikan",ROW($6:$1005)-5),140))=""),"",IF(AND(COUNTIF(INDIRECT("K_"&amp;MATCH(INDEX(checklistPesertaKemenkeu!$J$6:$J$1005,SMALL(IF(checklistPesertaKemenkeu!$AY$6:$AY$1005="Direkomendasikan",ROW($6:$1005)-5),140)),BidangList,0)),INDEX(checklistPesertaKemenkeu!$L$6:$L$1005,SMALL(IF(checklistPesertaKemenkeu!$AY$6:$AY$1005="Direkomendasikan",ROW($6:$1005)-5),140)))&gt;0,COUNTIF(INDIRECT("'KERTAS KERJA'!K"&amp;(SMALL(IF(checklistPesertaKemenkeu!$AY$6:$AY$1005="Direkomendasikan",ROW($6:$1005)-5),140)+5)&amp;":O"&amp;(SMALL(IF(checklistPesertaKemenkeu!$AY$6:$AY$1005="Direkomendasikan",ROW($6:$1005)-5),140)+5)),INDEX(checklistPesertaKemenkeu!$L$6:$L$1005,SMALL(IF(checklistPesertaKemenkeu!$AY$6:$AY$1005="Direkomendasikan",ROW($6:$1005)-5),140)))=1),IFERROR(VLOOKUP(INDEX(checklistPesertaKemenkeu!$L$6:$L$1005,SMALL(IF(checklistPesertaKemenkeu!$AY$6:$AY$1005="Direkomendasikan",ROW($6:$1005)-5),140)),KotaKode,2,0),"-"),"")),"")</f>
        <v/>
      </c>
      <c r="I141" t="str">
        <f t="array" aca="1" ref="I141" ca="1">IFERROR(IF(OR(INDEX(checklistPesertaKemenkeu!$M$6:$M$1005,SMALL(IF(checklistPesertaKemenkeu!$AY$6:$AY$1005="Direkomendasikan",ROW($6:$1005)-5),140))="",INDEX(checklistPesertaKemenkeu!$J$6:$J$1005,SMALL(IF(checklistPesertaKemenkeu!$AY$6:$AY$1005="Direkomendasikan",ROW($6:$1005)-5),140))=""),"",IF(AND(COUNTIF(INDIRECT("K_"&amp;MATCH(INDEX(checklistPesertaKemenkeu!$J$6:$J$1005,SMALL(IF(checklistPesertaKemenkeu!$AY$6:$AY$1005="Direkomendasikan",ROW($6:$1005)-5),140)),BidangList,0)),INDEX(checklistPesertaKemenkeu!$M$6:$M$1005,SMALL(IF(checklistPesertaKemenkeu!$AY$6:$AY$1005="Direkomendasikan",ROW($6:$1005)-5),140)))&gt;0,COUNTIF(INDIRECT("'KERTAS KERJA'!K"&amp;(SMALL(IF(checklistPesertaKemenkeu!$AY$6:$AY$1005="Direkomendasikan",ROW($6:$1005)-5),140)+5)&amp;":O"&amp;(SMALL(IF(checklistPesertaKemenkeu!$AY$6:$AY$1005="Direkomendasikan",ROW($6:$1005)-5),140)+5)),INDEX(checklistPesertaKemenkeu!$M$6:$M$1005,SMALL(IF(checklistPesertaKemenkeu!$AY$6:$AY$1005="Direkomendasikan",ROW($6:$1005)-5),140)))=1),IFERROR(VLOOKUP(INDEX(checklistPesertaKemenkeu!$M$6:$M$1005,SMALL(IF(checklistPesertaKemenkeu!$AY$6:$AY$1005="Direkomendasikan",ROW($6:$1005)-5),140)),KotaKode,2,0),"-"),"")),"")</f>
        <v/>
      </c>
      <c r="J141" t="str">
        <f t="array" aca="1" ref="J141" ca="1">IFERROR(IF(OR(INDEX(checklistPesertaKemenkeu!$N$6:$N$1005,SMALL(IF(checklistPesertaKemenkeu!$AY$6:$AY$1005="Direkomendasikan",ROW($6:$1005)-5),140))="",INDEX(checklistPesertaKemenkeu!$J$6:$J$1005,SMALL(IF(checklistPesertaKemenkeu!$AY$6:$AY$1005="Direkomendasikan",ROW($6:$1005)-5),140))=""),"",IF(AND(COUNTIF(INDIRECT("K_"&amp;MATCH(INDEX(checklistPesertaKemenkeu!$J$6:$J$1005,SMALL(IF(checklistPesertaKemenkeu!$AY$6:$AY$1005="Direkomendasikan",ROW($6:$1005)-5),140)),BidangList,0)),INDEX(checklistPesertaKemenkeu!$N$6:$N$1005,SMALL(IF(checklistPesertaKemenkeu!$AY$6:$AY$1005="Direkomendasikan",ROW($6:$1005)-5),140)))&gt;0,COUNTIF(INDIRECT("'KERTAS KERJA'!K"&amp;(SMALL(IF(checklistPesertaKemenkeu!$AY$6:$AY$1005="Direkomendasikan",ROW($6:$1005)-5),140)+5)&amp;":O"&amp;(SMALL(IF(checklistPesertaKemenkeu!$AY$6:$AY$1005="Direkomendasikan",ROW($6:$1005)-5),140)+5)),INDEX(checklistPesertaKemenkeu!$N$6:$N$1005,SMALL(IF(checklistPesertaKemenkeu!$AY$6:$AY$1005="Direkomendasikan",ROW($6:$1005)-5),140)))=1),IFERROR(VLOOKUP(INDEX(checklistPesertaKemenkeu!$N$6:$N$1005,SMALL(IF(checklistPesertaKemenkeu!$AY$6:$AY$1005="Direkomendasikan",ROW($6:$1005)-5),140)),KotaKode,2,0),"-"),"")),"")</f>
        <v/>
      </c>
      <c r="K141" t="str">
        <f t="array" aca="1" ref="K141" ca="1">IFERROR(IF(OR(INDEX(checklistPesertaKemenkeu!$O$6:$O$1005,SMALL(IF(checklistPesertaKemenkeu!$AY$6:$AY$1005="Direkomendasikan",ROW($6:$1005)-5),140))="",INDEX(checklistPesertaKemenkeu!$J$6:$J$1005,SMALL(IF(checklistPesertaKemenkeu!$AY$6:$AY$1005="Direkomendasikan",ROW($6:$1005)-5),140))=""),"",IF(AND(COUNTIF(INDIRECT("K_"&amp;MATCH(INDEX(checklistPesertaKemenkeu!$J$6:$J$1005,SMALL(IF(checklistPesertaKemenkeu!$AY$6:$AY$1005="Direkomendasikan",ROW($6:$1005)-5),140)),BidangList,0)),INDEX(checklistPesertaKemenkeu!$O$6:$O$1005,SMALL(IF(checklistPesertaKemenkeu!$AY$6:$AY$1005="Direkomendasikan",ROW($6:$1005)-5),140)))&gt;0,COUNTIF(INDIRECT("'KERTAS KERJA'!K"&amp;(SMALL(IF(checklistPesertaKemenkeu!$AY$6:$AY$1005="Direkomendasikan",ROW($6:$1005)-5),140)+5)&amp;":O"&amp;(SMALL(IF(checklistPesertaKemenkeu!$AY$6:$AY$1005="Direkomendasikan",ROW($6:$1005)-5),140)+5)),INDEX(checklistPesertaKemenkeu!$O$6:$O$1005,SMALL(IF(checklistPesertaKemenkeu!$AY$6:$AY$1005="Direkomendasikan",ROW($6:$1005)-5),140)))=1),IFERROR(VLOOKUP(INDEX(checklistPesertaKemenkeu!$O$6:$O$1005,SMALL(IF(checklistPesertaKemenkeu!$AY$6:$AY$1005="Direkomendasikan",ROW($6:$1005)-5),140)),KotaKode,2,0),"-"),"")),"")</f>
        <v/>
      </c>
      <c r="L141" t="str">
        <f t="array" aca="1" ref="L141" ca="1">IFERROR(IF(OR(INDEX(checklistPesertaKemenkeu!$P$6:$P$1005,SMALL(IF(checklistPesertaKemenkeu!$AY$6:$AY$1005="Direkomendasikan",ROW($6:$1005)-5),140))="",INDEX(checklistPesertaKemenkeu!$J$6:$J$1005,SMALL(IF(checklistPesertaKemenkeu!$AY$6:$AY$1005="Direkomendasikan",ROW($6:$1005)-5),140))=""),"",IF(AND(COUNTIF(INDIRECT("K_"&amp;MATCH(INDEX(checklistPesertaKemenkeu!$J$6:$J$1005,SMALL(IF(checklistPesertaKemenkeu!$AY$6:$AY$1005="Direkomendasikan",ROW($6:$1005)-5),140)),BidangList,0)),INDEX(checklistPesertaKemenkeu!$P$6:$P$1005,SMALL(IF(checklistPesertaKemenkeu!$AY$6:$AY$1005="Direkomendasikan",ROW($6:$1005)-5),140)))&gt;0,COUNTIF(INDIRECT("'KERTAS KERJA'!K"&amp;(SMALL(IF(checklistPesertaKemenkeu!$AY$6:$AY$1005="Direkomendasikan",ROW($6:$1005)-5),140)+5)&amp;":O"&amp;(SMALL(IF(checklistPesertaKemenkeu!$AY$6:$AY$1005="Direkomendasikan",ROW($6:$1005)-5),140)+5)),INDEX(checklistPesertaKemenkeu!$P$6:$P$1005,SMALL(IF(checklistPesertaKemenkeu!$AY$6:$AY$1005="Direkomendasikan",ROW($6:$1005)-5),140)))=1),IFERROR(VLOOKUP(INDEX(checklistPesertaKemenkeu!$P$6:$P$1005,SMALL(IF(checklistPesertaKemenkeu!$AY$6:$AY$1005="Direkomendasikan",ROW($6:$1005)-5),140)),KotaKode,2,0),"-"),"")),"")</f>
        <v/>
      </c>
    </row>
    <row r="142" spans="1:12" ht="15" customHeight="1" x14ac:dyDescent="0.2">
      <c r="A142" t="str">
        <f t="shared" si="2"/>
        <v/>
      </c>
      <c r="B142" t="str">
        <v/>
      </c>
      <c r="C142" s="40" t="str">
        <f t="array" ref="C142">IFERROR(INDEX(checklistPesertaKemenkeu!$F$6:$F$1005,SMALL(IF(checklistPesertaKemenkeu!$AY$6:$AY$1005="Direkomendasikan",ROW($6:$1005)-5),141)),"")</f>
        <v/>
      </c>
      <c r="D142" t="str">
        <f t="array" ref="D142">IFERROR(INDEX(checklistPesertaKemenkeu!$G$6:$G$1005,SMALL(IF(checklistPesertaKemenkeu!$AY$6:$AY$1005="Direkomendasikan",ROW($6:$1005)-5),141)),"")</f>
        <v/>
      </c>
      <c r="E142" t="str">
        <f t="array" ref="E142">IFERROR(INDEX(checklistPesertaKemenkeu!$H$6:$H$1005,SMALL(IF(checklistPesertaKemenkeu!$AY$6:$AY$1005="Direkomendasikan",ROW($6:$1005)-5),141)),"")</f>
        <v/>
      </c>
      <c r="F142" t="str">
        <f t="array" ref="F142">IFERROR(INDEX(checklistPesertaKemenkeu!$I$6:$I$1005,SMALL(IF(checklistPesertaKemenkeu!$AY$6:$AY$1005="Direkomendasikan",ROW($6:$1005)-5),141)),"")</f>
        <v/>
      </c>
      <c r="G142" t="str">
        <f t="array" ref="G142">IFERROR(INDEX(checklistPesertaKemenkeu!$J$6:$J$1005,SMALL(IF(checklistPesertaKemenkeu!$AY$6:$AY$1005="Direkomendasikan",ROW($6:$1005)-5),141)),"")</f>
        <v/>
      </c>
      <c r="H142" t="str">
        <f t="array" aca="1" ref="H142" ca="1">IFERROR(IF(OR(INDEX(checklistPesertaKemenkeu!$L$6:$L$1005,SMALL(IF(checklistPesertaKemenkeu!$AY$6:$AY$1005="Direkomendasikan",ROW($6:$1005)-5),141))="",INDEX(checklistPesertaKemenkeu!$J$6:$J$1005,SMALL(IF(checklistPesertaKemenkeu!$AY$6:$AY$1005="Direkomendasikan",ROW($6:$1005)-5),141))=""),"",IF(AND(COUNTIF(INDIRECT("K_"&amp;MATCH(INDEX(checklistPesertaKemenkeu!$J$6:$J$1005,SMALL(IF(checklistPesertaKemenkeu!$AY$6:$AY$1005="Direkomendasikan",ROW($6:$1005)-5),141)),BidangList,0)),INDEX(checklistPesertaKemenkeu!$L$6:$L$1005,SMALL(IF(checklistPesertaKemenkeu!$AY$6:$AY$1005="Direkomendasikan",ROW($6:$1005)-5),141)))&gt;0,COUNTIF(INDIRECT("'KERTAS KERJA'!K"&amp;(SMALL(IF(checklistPesertaKemenkeu!$AY$6:$AY$1005="Direkomendasikan",ROW($6:$1005)-5),141)+5)&amp;":O"&amp;(SMALL(IF(checklistPesertaKemenkeu!$AY$6:$AY$1005="Direkomendasikan",ROW($6:$1005)-5),141)+5)),INDEX(checklistPesertaKemenkeu!$L$6:$L$1005,SMALL(IF(checklistPesertaKemenkeu!$AY$6:$AY$1005="Direkomendasikan",ROW($6:$1005)-5),141)))=1),IFERROR(VLOOKUP(INDEX(checklistPesertaKemenkeu!$L$6:$L$1005,SMALL(IF(checklistPesertaKemenkeu!$AY$6:$AY$1005="Direkomendasikan",ROW($6:$1005)-5),141)),KotaKode,2,0),"-"),"")),"")</f>
        <v/>
      </c>
      <c r="I142" t="str">
        <f t="array" aca="1" ref="I142" ca="1">IFERROR(IF(OR(INDEX(checklistPesertaKemenkeu!$M$6:$M$1005,SMALL(IF(checklistPesertaKemenkeu!$AY$6:$AY$1005="Direkomendasikan",ROW($6:$1005)-5),141))="",INDEX(checklistPesertaKemenkeu!$J$6:$J$1005,SMALL(IF(checklistPesertaKemenkeu!$AY$6:$AY$1005="Direkomendasikan",ROW($6:$1005)-5),141))=""),"",IF(AND(COUNTIF(INDIRECT("K_"&amp;MATCH(INDEX(checklistPesertaKemenkeu!$J$6:$J$1005,SMALL(IF(checklistPesertaKemenkeu!$AY$6:$AY$1005="Direkomendasikan",ROW($6:$1005)-5),141)),BidangList,0)),INDEX(checklistPesertaKemenkeu!$M$6:$M$1005,SMALL(IF(checklistPesertaKemenkeu!$AY$6:$AY$1005="Direkomendasikan",ROW($6:$1005)-5),141)))&gt;0,COUNTIF(INDIRECT("'KERTAS KERJA'!K"&amp;(SMALL(IF(checklistPesertaKemenkeu!$AY$6:$AY$1005="Direkomendasikan",ROW($6:$1005)-5),141)+5)&amp;":O"&amp;(SMALL(IF(checklistPesertaKemenkeu!$AY$6:$AY$1005="Direkomendasikan",ROW($6:$1005)-5),141)+5)),INDEX(checklistPesertaKemenkeu!$M$6:$M$1005,SMALL(IF(checklistPesertaKemenkeu!$AY$6:$AY$1005="Direkomendasikan",ROW($6:$1005)-5),141)))=1),IFERROR(VLOOKUP(INDEX(checklistPesertaKemenkeu!$M$6:$M$1005,SMALL(IF(checklistPesertaKemenkeu!$AY$6:$AY$1005="Direkomendasikan",ROW($6:$1005)-5),141)),KotaKode,2,0),"-"),"")),"")</f>
        <v/>
      </c>
      <c r="J142" t="str">
        <f t="array" aca="1" ref="J142" ca="1">IFERROR(IF(OR(INDEX(checklistPesertaKemenkeu!$N$6:$N$1005,SMALL(IF(checklistPesertaKemenkeu!$AY$6:$AY$1005="Direkomendasikan",ROW($6:$1005)-5),141))="",INDEX(checklistPesertaKemenkeu!$J$6:$J$1005,SMALL(IF(checklistPesertaKemenkeu!$AY$6:$AY$1005="Direkomendasikan",ROW($6:$1005)-5),141))=""),"",IF(AND(COUNTIF(INDIRECT("K_"&amp;MATCH(INDEX(checklistPesertaKemenkeu!$J$6:$J$1005,SMALL(IF(checklistPesertaKemenkeu!$AY$6:$AY$1005="Direkomendasikan",ROW($6:$1005)-5),141)),BidangList,0)),INDEX(checklistPesertaKemenkeu!$N$6:$N$1005,SMALL(IF(checklistPesertaKemenkeu!$AY$6:$AY$1005="Direkomendasikan",ROW($6:$1005)-5),141)))&gt;0,COUNTIF(INDIRECT("'KERTAS KERJA'!K"&amp;(SMALL(IF(checklistPesertaKemenkeu!$AY$6:$AY$1005="Direkomendasikan",ROW($6:$1005)-5),141)+5)&amp;":O"&amp;(SMALL(IF(checklistPesertaKemenkeu!$AY$6:$AY$1005="Direkomendasikan",ROW($6:$1005)-5),141)+5)),INDEX(checklistPesertaKemenkeu!$N$6:$N$1005,SMALL(IF(checklistPesertaKemenkeu!$AY$6:$AY$1005="Direkomendasikan",ROW($6:$1005)-5),141)))=1),IFERROR(VLOOKUP(INDEX(checklistPesertaKemenkeu!$N$6:$N$1005,SMALL(IF(checklistPesertaKemenkeu!$AY$6:$AY$1005="Direkomendasikan",ROW($6:$1005)-5),141)),KotaKode,2,0),"-"),"")),"")</f>
        <v/>
      </c>
      <c r="K142" t="str">
        <f t="array" aca="1" ref="K142" ca="1">IFERROR(IF(OR(INDEX(checklistPesertaKemenkeu!$O$6:$O$1005,SMALL(IF(checklistPesertaKemenkeu!$AY$6:$AY$1005="Direkomendasikan",ROW($6:$1005)-5),141))="",INDEX(checklistPesertaKemenkeu!$J$6:$J$1005,SMALL(IF(checklistPesertaKemenkeu!$AY$6:$AY$1005="Direkomendasikan",ROW($6:$1005)-5),141))=""),"",IF(AND(COUNTIF(INDIRECT("K_"&amp;MATCH(INDEX(checklistPesertaKemenkeu!$J$6:$J$1005,SMALL(IF(checklistPesertaKemenkeu!$AY$6:$AY$1005="Direkomendasikan",ROW($6:$1005)-5),141)),BidangList,0)),INDEX(checklistPesertaKemenkeu!$O$6:$O$1005,SMALL(IF(checklistPesertaKemenkeu!$AY$6:$AY$1005="Direkomendasikan",ROW($6:$1005)-5),141)))&gt;0,COUNTIF(INDIRECT("'KERTAS KERJA'!K"&amp;(SMALL(IF(checklistPesertaKemenkeu!$AY$6:$AY$1005="Direkomendasikan",ROW($6:$1005)-5),141)+5)&amp;":O"&amp;(SMALL(IF(checklistPesertaKemenkeu!$AY$6:$AY$1005="Direkomendasikan",ROW($6:$1005)-5),141)+5)),INDEX(checklistPesertaKemenkeu!$O$6:$O$1005,SMALL(IF(checklistPesertaKemenkeu!$AY$6:$AY$1005="Direkomendasikan",ROW($6:$1005)-5),141)))=1),IFERROR(VLOOKUP(INDEX(checklistPesertaKemenkeu!$O$6:$O$1005,SMALL(IF(checklistPesertaKemenkeu!$AY$6:$AY$1005="Direkomendasikan",ROW($6:$1005)-5),141)),KotaKode,2,0),"-"),"")),"")</f>
        <v/>
      </c>
      <c r="L142" t="str">
        <f t="array" aca="1" ref="L142" ca="1">IFERROR(IF(OR(INDEX(checklistPesertaKemenkeu!$P$6:$P$1005,SMALL(IF(checklistPesertaKemenkeu!$AY$6:$AY$1005="Direkomendasikan",ROW($6:$1005)-5),141))="",INDEX(checklistPesertaKemenkeu!$J$6:$J$1005,SMALL(IF(checklistPesertaKemenkeu!$AY$6:$AY$1005="Direkomendasikan",ROW($6:$1005)-5),141))=""),"",IF(AND(COUNTIF(INDIRECT("K_"&amp;MATCH(INDEX(checklistPesertaKemenkeu!$J$6:$J$1005,SMALL(IF(checklistPesertaKemenkeu!$AY$6:$AY$1005="Direkomendasikan",ROW($6:$1005)-5),141)),BidangList,0)),INDEX(checklistPesertaKemenkeu!$P$6:$P$1005,SMALL(IF(checklistPesertaKemenkeu!$AY$6:$AY$1005="Direkomendasikan",ROW($6:$1005)-5),141)))&gt;0,COUNTIF(INDIRECT("'KERTAS KERJA'!K"&amp;(SMALL(IF(checklistPesertaKemenkeu!$AY$6:$AY$1005="Direkomendasikan",ROW($6:$1005)-5),141)+5)&amp;":O"&amp;(SMALL(IF(checklistPesertaKemenkeu!$AY$6:$AY$1005="Direkomendasikan",ROW($6:$1005)-5),141)+5)),INDEX(checklistPesertaKemenkeu!$P$6:$P$1005,SMALL(IF(checklistPesertaKemenkeu!$AY$6:$AY$1005="Direkomendasikan",ROW($6:$1005)-5),141)))=1),IFERROR(VLOOKUP(INDEX(checklistPesertaKemenkeu!$P$6:$P$1005,SMALL(IF(checklistPesertaKemenkeu!$AY$6:$AY$1005="Direkomendasikan",ROW($6:$1005)-5),141)),KotaKode,2,0),"-"),"")),"")</f>
        <v/>
      </c>
    </row>
    <row r="143" spans="1:12" ht="15" customHeight="1" x14ac:dyDescent="0.2">
      <c r="A143" t="str">
        <f t="shared" si="2"/>
        <v/>
      </c>
      <c r="B143" t="str">
        <v/>
      </c>
      <c r="C143" s="40" t="str">
        <f t="array" ref="C143">IFERROR(INDEX(checklistPesertaKemenkeu!$F$6:$F$1005,SMALL(IF(checklistPesertaKemenkeu!$AY$6:$AY$1005="Direkomendasikan",ROW($6:$1005)-5),142)),"")</f>
        <v/>
      </c>
      <c r="D143" t="str">
        <f t="array" ref="D143">IFERROR(INDEX(checklistPesertaKemenkeu!$G$6:$G$1005,SMALL(IF(checklistPesertaKemenkeu!$AY$6:$AY$1005="Direkomendasikan",ROW($6:$1005)-5),142)),"")</f>
        <v/>
      </c>
      <c r="E143" t="str">
        <f t="array" ref="E143">IFERROR(INDEX(checklistPesertaKemenkeu!$H$6:$H$1005,SMALL(IF(checklistPesertaKemenkeu!$AY$6:$AY$1005="Direkomendasikan",ROW($6:$1005)-5),142)),"")</f>
        <v/>
      </c>
      <c r="F143" t="str">
        <f t="array" ref="F143">IFERROR(INDEX(checklistPesertaKemenkeu!$I$6:$I$1005,SMALL(IF(checklistPesertaKemenkeu!$AY$6:$AY$1005="Direkomendasikan",ROW($6:$1005)-5),142)),"")</f>
        <v/>
      </c>
      <c r="G143" t="str">
        <f t="array" ref="G143">IFERROR(INDEX(checklistPesertaKemenkeu!$J$6:$J$1005,SMALL(IF(checklistPesertaKemenkeu!$AY$6:$AY$1005="Direkomendasikan",ROW($6:$1005)-5),142)),"")</f>
        <v/>
      </c>
      <c r="H143" t="str">
        <f t="array" aca="1" ref="H143" ca="1">IFERROR(IF(OR(INDEX(checklistPesertaKemenkeu!$L$6:$L$1005,SMALL(IF(checklistPesertaKemenkeu!$AY$6:$AY$1005="Direkomendasikan",ROW($6:$1005)-5),142))="",INDEX(checklistPesertaKemenkeu!$J$6:$J$1005,SMALL(IF(checklistPesertaKemenkeu!$AY$6:$AY$1005="Direkomendasikan",ROW($6:$1005)-5),142))=""),"",IF(AND(COUNTIF(INDIRECT("K_"&amp;MATCH(INDEX(checklistPesertaKemenkeu!$J$6:$J$1005,SMALL(IF(checklistPesertaKemenkeu!$AY$6:$AY$1005="Direkomendasikan",ROW($6:$1005)-5),142)),BidangList,0)),INDEX(checklistPesertaKemenkeu!$L$6:$L$1005,SMALL(IF(checklistPesertaKemenkeu!$AY$6:$AY$1005="Direkomendasikan",ROW($6:$1005)-5),142)))&gt;0,COUNTIF(INDIRECT("'KERTAS KERJA'!K"&amp;(SMALL(IF(checklistPesertaKemenkeu!$AY$6:$AY$1005="Direkomendasikan",ROW($6:$1005)-5),142)+5)&amp;":O"&amp;(SMALL(IF(checklistPesertaKemenkeu!$AY$6:$AY$1005="Direkomendasikan",ROW($6:$1005)-5),142)+5)),INDEX(checklistPesertaKemenkeu!$L$6:$L$1005,SMALL(IF(checklistPesertaKemenkeu!$AY$6:$AY$1005="Direkomendasikan",ROW($6:$1005)-5),142)))=1),IFERROR(VLOOKUP(INDEX(checklistPesertaKemenkeu!$L$6:$L$1005,SMALL(IF(checklistPesertaKemenkeu!$AY$6:$AY$1005="Direkomendasikan",ROW($6:$1005)-5),142)),KotaKode,2,0),"-"),"")),"")</f>
        <v/>
      </c>
      <c r="I143" t="str">
        <f t="array" aca="1" ref="I143" ca="1">IFERROR(IF(OR(INDEX(checklistPesertaKemenkeu!$M$6:$M$1005,SMALL(IF(checklistPesertaKemenkeu!$AY$6:$AY$1005="Direkomendasikan",ROW($6:$1005)-5),142))="",INDEX(checklistPesertaKemenkeu!$J$6:$J$1005,SMALL(IF(checklistPesertaKemenkeu!$AY$6:$AY$1005="Direkomendasikan",ROW($6:$1005)-5),142))=""),"",IF(AND(COUNTIF(INDIRECT("K_"&amp;MATCH(INDEX(checklistPesertaKemenkeu!$J$6:$J$1005,SMALL(IF(checklistPesertaKemenkeu!$AY$6:$AY$1005="Direkomendasikan",ROW($6:$1005)-5),142)),BidangList,0)),INDEX(checklistPesertaKemenkeu!$M$6:$M$1005,SMALL(IF(checklistPesertaKemenkeu!$AY$6:$AY$1005="Direkomendasikan",ROW($6:$1005)-5),142)))&gt;0,COUNTIF(INDIRECT("'KERTAS KERJA'!K"&amp;(SMALL(IF(checklistPesertaKemenkeu!$AY$6:$AY$1005="Direkomendasikan",ROW($6:$1005)-5),142)+5)&amp;":O"&amp;(SMALL(IF(checklistPesertaKemenkeu!$AY$6:$AY$1005="Direkomendasikan",ROW($6:$1005)-5),142)+5)),INDEX(checklistPesertaKemenkeu!$M$6:$M$1005,SMALL(IF(checklistPesertaKemenkeu!$AY$6:$AY$1005="Direkomendasikan",ROW($6:$1005)-5),142)))=1),IFERROR(VLOOKUP(INDEX(checklistPesertaKemenkeu!$M$6:$M$1005,SMALL(IF(checklistPesertaKemenkeu!$AY$6:$AY$1005="Direkomendasikan",ROW($6:$1005)-5),142)),KotaKode,2,0),"-"),"")),"")</f>
        <v/>
      </c>
      <c r="J143" t="str">
        <f t="array" aca="1" ref="J143" ca="1">IFERROR(IF(OR(INDEX(checklistPesertaKemenkeu!$N$6:$N$1005,SMALL(IF(checklistPesertaKemenkeu!$AY$6:$AY$1005="Direkomendasikan",ROW($6:$1005)-5),142))="",INDEX(checklistPesertaKemenkeu!$J$6:$J$1005,SMALL(IF(checklistPesertaKemenkeu!$AY$6:$AY$1005="Direkomendasikan",ROW($6:$1005)-5),142))=""),"",IF(AND(COUNTIF(INDIRECT("K_"&amp;MATCH(INDEX(checklistPesertaKemenkeu!$J$6:$J$1005,SMALL(IF(checklistPesertaKemenkeu!$AY$6:$AY$1005="Direkomendasikan",ROW($6:$1005)-5),142)),BidangList,0)),INDEX(checklistPesertaKemenkeu!$N$6:$N$1005,SMALL(IF(checklistPesertaKemenkeu!$AY$6:$AY$1005="Direkomendasikan",ROW($6:$1005)-5),142)))&gt;0,COUNTIF(INDIRECT("'KERTAS KERJA'!K"&amp;(SMALL(IF(checklistPesertaKemenkeu!$AY$6:$AY$1005="Direkomendasikan",ROW($6:$1005)-5),142)+5)&amp;":O"&amp;(SMALL(IF(checklistPesertaKemenkeu!$AY$6:$AY$1005="Direkomendasikan",ROW($6:$1005)-5),142)+5)),INDEX(checklistPesertaKemenkeu!$N$6:$N$1005,SMALL(IF(checklistPesertaKemenkeu!$AY$6:$AY$1005="Direkomendasikan",ROW($6:$1005)-5),142)))=1),IFERROR(VLOOKUP(INDEX(checklistPesertaKemenkeu!$N$6:$N$1005,SMALL(IF(checklistPesertaKemenkeu!$AY$6:$AY$1005="Direkomendasikan",ROW($6:$1005)-5),142)),KotaKode,2,0),"-"),"")),"")</f>
        <v/>
      </c>
      <c r="K143" t="str">
        <f t="array" aca="1" ref="K143" ca="1">IFERROR(IF(OR(INDEX(checklistPesertaKemenkeu!$O$6:$O$1005,SMALL(IF(checklistPesertaKemenkeu!$AY$6:$AY$1005="Direkomendasikan",ROW($6:$1005)-5),142))="",INDEX(checklistPesertaKemenkeu!$J$6:$J$1005,SMALL(IF(checklistPesertaKemenkeu!$AY$6:$AY$1005="Direkomendasikan",ROW($6:$1005)-5),142))=""),"",IF(AND(COUNTIF(INDIRECT("K_"&amp;MATCH(INDEX(checklistPesertaKemenkeu!$J$6:$J$1005,SMALL(IF(checklistPesertaKemenkeu!$AY$6:$AY$1005="Direkomendasikan",ROW($6:$1005)-5),142)),BidangList,0)),INDEX(checklistPesertaKemenkeu!$O$6:$O$1005,SMALL(IF(checklistPesertaKemenkeu!$AY$6:$AY$1005="Direkomendasikan",ROW($6:$1005)-5),142)))&gt;0,COUNTIF(INDIRECT("'KERTAS KERJA'!K"&amp;(SMALL(IF(checklistPesertaKemenkeu!$AY$6:$AY$1005="Direkomendasikan",ROW($6:$1005)-5),142)+5)&amp;":O"&amp;(SMALL(IF(checklistPesertaKemenkeu!$AY$6:$AY$1005="Direkomendasikan",ROW($6:$1005)-5),142)+5)),INDEX(checklistPesertaKemenkeu!$O$6:$O$1005,SMALL(IF(checklistPesertaKemenkeu!$AY$6:$AY$1005="Direkomendasikan",ROW($6:$1005)-5),142)))=1),IFERROR(VLOOKUP(INDEX(checklistPesertaKemenkeu!$O$6:$O$1005,SMALL(IF(checklistPesertaKemenkeu!$AY$6:$AY$1005="Direkomendasikan",ROW($6:$1005)-5),142)),KotaKode,2,0),"-"),"")),"")</f>
        <v/>
      </c>
      <c r="L143" t="str">
        <f t="array" aca="1" ref="L143" ca="1">IFERROR(IF(OR(INDEX(checklistPesertaKemenkeu!$P$6:$P$1005,SMALL(IF(checklistPesertaKemenkeu!$AY$6:$AY$1005="Direkomendasikan",ROW($6:$1005)-5),142))="",INDEX(checklistPesertaKemenkeu!$J$6:$J$1005,SMALL(IF(checklistPesertaKemenkeu!$AY$6:$AY$1005="Direkomendasikan",ROW($6:$1005)-5),142))=""),"",IF(AND(COUNTIF(INDIRECT("K_"&amp;MATCH(INDEX(checklistPesertaKemenkeu!$J$6:$J$1005,SMALL(IF(checklistPesertaKemenkeu!$AY$6:$AY$1005="Direkomendasikan",ROW($6:$1005)-5),142)),BidangList,0)),INDEX(checklistPesertaKemenkeu!$P$6:$P$1005,SMALL(IF(checklistPesertaKemenkeu!$AY$6:$AY$1005="Direkomendasikan",ROW($6:$1005)-5),142)))&gt;0,COUNTIF(INDIRECT("'KERTAS KERJA'!K"&amp;(SMALL(IF(checklistPesertaKemenkeu!$AY$6:$AY$1005="Direkomendasikan",ROW($6:$1005)-5),142)+5)&amp;":O"&amp;(SMALL(IF(checklistPesertaKemenkeu!$AY$6:$AY$1005="Direkomendasikan",ROW($6:$1005)-5),142)+5)),INDEX(checklistPesertaKemenkeu!$P$6:$P$1005,SMALL(IF(checklistPesertaKemenkeu!$AY$6:$AY$1005="Direkomendasikan",ROW($6:$1005)-5),142)))=1),IFERROR(VLOOKUP(INDEX(checklistPesertaKemenkeu!$P$6:$P$1005,SMALL(IF(checklistPesertaKemenkeu!$AY$6:$AY$1005="Direkomendasikan",ROW($6:$1005)-5),142)),KotaKode,2,0),"-"),"")),"")</f>
        <v/>
      </c>
    </row>
    <row r="144" spans="1:12" ht="15" customHeight="1" x14ac:dyDescent="0.2">
      <c r="A144" t="str">
        <f t="shared" si="2"/>
        <v/>
      </c>
      <c r="B144" t="str">
        <v/>
      </c>
      <c r="C144" s="40" t="str">
        <f t="array" ref="C144">IFERROR(INDEX(checklistPesertaKemenkeu!$F$6:$F$1005,SMALL(IF(checklistPesertaKemenkeu!$AY$6:$AY$1005="Direkomendasikan",ROW($6:$1005)-5),143)),"")</f>
        <v/>
      </c>
      <c r="D144" t="str">
        <f t="array" ref="D144">IFERROR(INDEX(checklistPesertaKemenkeu!$G$6:$G$1005,SMALL(IF(checklistPesertaKemenkeu!$AY$6:$AY$1005="Direkomendasikan",ROW($6:$1005)-5),143)),"")</f>
        <v/>
      </c>
      <c r="E144" t="str">
        <f t="array" ref="E144">IFERROR(INDEX(checklistPesertaKemenkeu!$H$6:$H$1005,SMALL(IF(checklistPesertaKemenkeu!$AY$6:$AY$1005="Direkomendasikan",ROW($6:$1005)-5),143)),"")</f>
        <v/>
      </c>
      <c r="F144" t="str">
        <f t="array" ref="F144">IFERROR(INDEX(checklistPesertaKemenkeu!$I$6:$I$1005,SMALL(IF(checklistPesertaKemenkeu!$AY$6:$AY$1005="Direkomendasikan",ROW($6:$1005)-5),143)),"")</f>
        <v/>
      </c>
      <c r="G144" t="str">
        <f t="array" ref="G144">IFERROR(INDEX(checklistPesertaKemenkeu!$J$6:$J$1005,SMALL(IF(checklistPesertaKemenkeu!$AY$6:$AY$1005="Direkomendasikan",ROW($6:$1005)-5),143)),"")</f>
        <v/>
      </c>
      <c r="H144" t="str">
        <f t="array" aca="1" ref="H144" ca="1">IFERROR(IF(OR(INDEX(checklistPesertaKemenkeu!$L$6:$L$1005,SMALL(IF(checklistPesertaKemenkeu!$AY$6:$AY$1005="Direkomendasikan",ROW($6:$1005)-5),143))="",INDEX(checklistPesertaKemenkeu!$J$6:$J$1005,SMALL(IF(checklistPesertaKemenkeu!$AY$6:$AY$1005="Direkomendasikan",ROW($6:$1005)-5),143))=""),"",IF(AND(COUNTIF(INDIRECT("K_"&amp;MATCH(INDEX(checklistPesertaKemenkeu!$J$6:$J$1005,SMALL(IF(checklistPesertaKemenkeu!$AY$6:$AY$1005="Direkomendasikan",ROW($6:$1005)-5),143)),BidangList,0)),INDEX(checklistPesertaKemenkeu!$L$6:$L$1005,SMALL(IF(checklistPesertaKemenkeu!$AY$6:$AY$1005="Direkomendasikan",ROW($6:$1005)-5),143)))&gt;0,COUNTIF(INDIRECT("'KERTAS KERJA'!K"&amp;(SMALL(IF(checklistPesertaKemenkeu!$AY$6:$AY$1005="Direkomendasikan",ROW($6:$1005)-5),143)+5)&amp;":O"&amp;(SMALL(IF(checklistPesertaKemenkeu!$AY$6:$AY$1005="Direkomendasikan",ROW($6:$1005)-5),143)+5)),INDEX(checklistPesertaKemenkeu!$L$6:$L$1005,SMALL(IF(checklistPesertaKemenkeu!$AY$6:$AY$1005="Direkomendasikan",ROW($6:$1005)-5),143)))=1),IFERROR(VLOOKUP(INDEX(checklistPesertaKemenkeu!$L$6:$L$1005,SMALL(IF(checklistPesertaKemenkeu!$AY$6:$AY$1005="Direkomendasikan",ROW($6:$1005)-5),143)),KotaKode,2,0),"-"),"")),"")</f>
        <v/>
      </c>
      <c r="I144" t="str">
        <f t="array" aca="1" ref="I144" ca="1">IFERROR(IF(OR(INDEX(checklistPesertaKemenkeu!$M$6:$M$1005,SMALL(IF(checklistPesertaKemenkeu!$AY$6:$AY$1005="Direkomendasikan",ROW($6:$1005)-5),143))="",INDEX(checklistPesertaKemenkeu!$J$6:$J$1005,SMALL(IF(checklistPesertaKemenkeu!$AY$6:$AY$1005="Direkomendasikan",ROW($6:$1005)-5),143))=""),"",IF(AND(COUNTIF(INDIRECT("K_"&amp;MATCH(INDEX(checklistPesertaKemenkeu!$J$6:$J$1005,SMALL(IF(checklistPesertaKemenkeu!$AY$6:$AY$1005="Direkomendasikan",ROW($6:$1005)-5),143)),BidangList,0)),INDEX(checklistPesertaKemenkeu!$M$6:$M$1005,SMALL(IF(checklistPesertaKemenkeu!$AY$6:$AY$1005="Direkomendasikan",ROW($6:$1005)-5),143)))&gt;0,COUNTIF(INDIRECT("'KERTAS KERJA'!K"&amp;(SMALL(IF(checklistPesertaKemenkeu!$AY$6:$AY$1005="Direkomendasikan",ROW($6:$1005)-5),143)+5)&amp;":O"&amp;(SMALL(IF(checklistPesertaKemenkeu!$AY$6:$AY$1005="Direkomendasikan",ROW($6:$1005)-5),143)+5)),INDEX(checklistPesertaKemenkeu!$M$6:$M$1005,SMALL(IF(checklistPesertaKemenkeu!$AY$6:$AY$1005="Direkomendasikan",ROW($6:$1005)-5),143)))=1),IFERROR(VLOOKUP(INDEX(checklistPesertaKemenkeu!$M$6:$M$1005,SMALL(IF(checklistPesertaKemenkeu!$AY$6:$AY$1005="Direkomendasikan",ROW($6:$1005)-5),143)),KotaKode,2,0),"-"),"")),"")</f>
        <v/>
      </c>
      <c r="J144" t="str">
        <f t="array" aca="1" ref="J144" ca="1">IFERROR(IF(OR(INDEX(checklistPesertaKemenkeu!$N$6:$N$1005,SMALL(IF(checklistPesertaKemenkeu!$AY$6:$AY$1005="Direkomendasikan",ROW($6:$1005)-5),143))="",INDEX(checklistPesertaKemenkeu!$J$6:$J$1005,SMALL(IF(checklistPesertaKemenkeu!$AY$6:$AY$1005="Direkomendasikan",ROW($6:$1005)-5),143))=""),"",IF(AND(COUNTIF(INDIRECT("K_"&amp;MATCH(INDEX(checklistPesertaKemenkeu!$J$6:$J$1005,SMALL(IF(checklistPesertaKemenkeu!$AY$6:$AY$1005="Direkomendasikan",ROW($6:$1005)-5),143)),BidangList,0)),INDEX(checklistPesertaKemenkeu!$N$6:$N$1005,SMALL(IF(checklistPesertaKemenkeu!$AY$6:$AY$1005="Direkomendasikan",ROW($6:$1005)-5),143)))&gt;0,COUNTIF(INDIRECT("'KERTAS KERJA'!K"&amp;(SMALL(IF(checklistPesertaKemenkeu!$AY$6:$AY$1005="Direkomendasikan",ROW($6:$1005)-5),143)+5)&amp;":O"&amp;(SMALL(IF(checklistPesertaKemenkeu!$AY$6:$AY$1005="Direkomendasikan",ROW($6:$1005)-5),143)+5)),INDEX(checklistPesertaKemenkeu!$N$6:$N$1005,SMALL(IF(checklistPesertaKemenkeu!$AY$6:$AY$1005="Direkomendasikan",ROW($6:$1005)-5),143)))=1),IFERROR(VLOOKUP(INDEX(checklistPesertaKemenkeu!$N$6:$N$1005,SMALL(IF(checklistPesertaKemenkeu!$AY$6:$AY$1005="Direkomendasikan",ROW($6:$1005)-5),143)),KotaKode,2,0),"-"),"")),"")</f>
        <v/>
      </c>
      <c r="K144" t="str">
        <f t="array" aca="1" ref="K144" ca="1">IFERROR(IF(OR(INDEX(checklistPesertaKemenkeu!$O$6:$O$1005,SMALL(IF(checklistPesertaKemenkeu!$AY$6:$AY$1005="Direkomendasikan",ROW($6:$1005)-5),143))="",INDEX(checklistPesertaKemenkeu!$J$6:$J$1005,SMALL(IF(checklistPesertaKemenkeu!$AY$6:$AY$1005="Direkomendasikan",ROW($6:$1005)-5),143))=""),"",IF(AND(COUNTIF(INDIRECT("K_"&amp;MATCH(INDEX(checklistPesertaKemenkeu!$J$6:$J$1005,SMALL(IF(checklistPesertaKemenkeu!$AY$6:$AY$1005="Direkomendasikan",ROW($6:$1005)-5),143)),BidangList,0)),INDEX(checklistPesertaKemenkeu!$O$6:$O$1005,SMALL(IF(checklistPesertaKemenkeu!$AY$6:$AY$1005="Direkomendasikan",ROW($6:$1005)-5),143)))&gt;0,COUNTIF(INDIRECT("'KERTAS KERJA'!K"&amp;(SMALL(IF(checklistPesertaKemenkeu!$AY$6:$AY$1005="Direkomendasikan",ROW($6:$1005)-5),143)+5)&amp;":O"&amp;(SMALL(IF(checklistPesertaKemenkeu!$AY$6:$AY$1005="Direkomendasikan",ROW($6:$1005)-5),143)+5)),INDEX(checklistPesertaKemenkeu!$O$6:$O$1005,SMALL(IF(checklistPesertaKemenkeu!$AY$6:$AY$1005="Direkomendasikan",ROW($6:$1005)-5),143)))=1),IFERROR(VLOOKUP(INDEX(checklistPesertaKemenkeu!$O$6:$O$1005,SMALL(IF(checklistPesertaKemenkeu!$AY$6:$AY$1005="Direkomendasikan",ROW($6:$1005)-5),143)),KotaKode,2,0),"-"),"")),"")</f>
        <v/>
      </c>
      <c r="L144" t="str">
        <f t="array" aca="1" ref="L144" ca="1">IFERROR(IF(OR(INDEX(checklistPesertaKemenkeu!$P$6:$P$1005,SMALL(IF(checklistPesertaKemenkeu!$AY$6:$AY$1005="Direkomendasikan",ROW($6:$1005)-5),143))="",INDEX(checklistPesertaKemenkeu!$J$6:$J$1005,SMALL(IF(checklistPesertaKemenkeu!$AY$6:$AY$1005="Direkomendasikan",ROW($6:$1005)-5),143))=""),"",IF(AND(COUNTIF(INDIRECT("K_"&amp;MATCH(INDEX(checklistPesertaKemenkeu!$J$6:$J$1005,SMALL(IF(checklistPesertaKemenkeu!$AY$6:$AY$1005="Direkomendasikan",ROW($6:$1005)-5),143)),BidangList,0)),INDEX(checklistPesertaKemenkeu!$P$6:$P$1005,SMALL(IF(checklistPesertaKemenkeu!$AY$6:$AY$1005="Direkomendasikan",ROW($6:$1005)-5),143)))&gt;0,COUNTIF(INDIRECT("'KERTAS KERJA'!K"&amp;(SMALL(IF(checklistPesertaKemenkeu!$AY$6:$AY$1005="Direkomendasikan",ROW($6:$1005)-5),143)+5)&amp;":O"&amp;(SMALL(IF(checklistPesertaKemenkeu!$AY$6:$AY$1005="Direkomendasikan",ROW($6:$1005)-5),143)+5)),INDEX(checklistPesertaKemenkeu!$P$6:$P$1005,SMALL(IF(checklistPesertaKemenkeu!$AY$6:$AY$1005="Direkomendasikan",ROW($6:$1005)-5),143)))=1),IFERROR(VLOOKUP(INDEX(checklistPesertaKemenkeu!$P$6:$P$1005,SMALL(IF(checklistPesertaKemenkeu!$AY$6:$AY$1005="Direkomendasikan",ROW($6:$1005)-5),143)),KotaKode,2,0),"-"),"")),"")</f>
        <v/>
      </c>
    </row>
    <row r="145" spans="1:12" ht="15" customHeight="1" x14ac:dyDescent="0.2">
      <c r="A145" t="str">
        <f t="shared" si="2"/>
        <v/>
      </c>
      <c r="B145" t="str">
        <v/>
      </c>
      <c r="C145" s="40" t="str">
        <f t="array" ref="C145">IFERROR(INDEX(checklistPesertaKemenkeu!$F$6:$F$1005,SMALL(IF(checklistPesertaKemenkeu!$AY$6:$AY$1005="Direkomendasikan",ROW($6:$1005)-5),144)),"")</f>
        <v/>
      </c>
      <c r="D145" t="str">
        <f t="array" ref="D145">IFERROR(INDEX(checklistPesertaKemenkeu!$G$6:$G$1005,SMALL(IF(checklistPesertaKemenkeu!$AY$6:$AY$1005="Direkomendasikan",ROW($6:$1005)-5),144)),"")</f>
        <v/>
      </c>
      <c r="E145" t="str">
        <f t="array" ref="E145">IFERROR(INDEX(checklistPesertaKemenkeu!$H$6:$H$1005,SMALL(IF(checklistPesertaKemenkeu!$AY$6:$AY$1005="Direkomendasikan",ROW($6:$1005)-5),144)),"")</f>
        <v/>
      </c>
      <c r="F145" t="str">
        <f t="array" ref="F145">IFERROR(INDEX(checklistPesertaKemenkeu!$I$6:$I$1005,SMALL(IF(checklistPesertaKemenkeu!$AY$6:$AY$1005="Direkomendasikan",ROW($6:$1005)-5),144)),"")</f>
        <v/>
      </c>
      <c r="G145" t="str">
        <f t="array" ref="G145">IFERROR(INDEX(checklistPesertaKemenkeu!$J$6:$J$1005,SMALL(IF(checklistPesertaKemenkeu!$AY$6:$AY$1005="Direkomendasikan",ROW($6:$1005)-5),144)),"")</f>
        <v/>
      </c>
      <c r="H145" t="str">
        <f t="array" aca="1" ref="H145" ca="1">IFERROR(IF(OR(INDEX(checklistPesertaKemenkeu!$L$6:$L$1005,SMALL(IF(checklistPesertaKemenkeu!$AY$6:$AY$1005="Direkomendasikan",ROW($6:$1005)-5),144))="",INDEX(checklistPesertaKemenkeu!$J$6:$J$1005,SMALL(IF(checklistPesertaKemenkeu!$AY$6:$AY$1005="Direkomendasikan",ROW($6:$1005)-5),144))=""),"",IF(AND(COUNTIF(INDIRECT("K_"&amp;MATCH(INDEX(checklistPesertaKemenkeu!$J$6:$J$1005,SMALL(IF(checklistPesertaKemenkeu!$AY$6:$AY$1005="Direkomendasikan",ROW($6:$1005)-5),144)),BidangList,0)),INDEX(checklistPesertaKemenkeu!$L$6:$L$1005,SMALL(IF(checklistPesertaKemenkeu!$AY$6:$AY$1005="Direkomendasikan",ROW($6:$1005)-5),144)))&gt;0,COUNTIF(INDIRECT("'KERTAS KERJA'!K"&amp;(SMALL(IF(checklistPesertaKemenkeu!$AY$6:$AY$1005="Direkomendasikan",ROW($6:$1005)-5),144)+5)&amp;":O"&amp;(SMALL(IF(checklistPesertaKemenkeu!$AY$6:$AY$1005="Direkomendasikan",ROW($6:$1005)-5),144)+5)),INDEX(checklistPesertaKemenkeu!$L$6:$L$1005,SMALL(IF(checklistPesertaKemenkeu!$AY$6:$AY$1005="Direkomendasikan",ROW($6:$1005)-5),144)))=1),IFERROR(VLOOKUP(INDEX(checklistPesertaKemenkeu!$L$6:$L$1005,SMALL(IF(checklistPesertaKemenkeu!$AY$6:$AY$1005="Direkomendasikan",ROW($6:$1005)-5),144)),KotaKode,2,0),"-"),"")),"")</f>
        <v/>
      </c>
      <c r="I145" t="str">
        <f t="array" aca="1" ref="I145" ca="1">IFERROR(IF(OR(INDEX(checklistPesertaKemenkeu!$M$6:$M$1005,SMALL(IF(checklistPesertaKemenkeu!$AY$6:$AY$1005="Direkomendasikan",ROW($6:$1005)-5),144))="",INDEX(checklistPesertaKemenkeu!$J$6:$J$1005,SMALL(IF(checklistPesertaKemenkeu!$AY$6:$AY$1005="Direkomendasikan",ROW($6:$1005)-5),144))=""),"",IF(AND(COUNTIF(INDIRECT("K_"&amp;MATCH(INDEX(checklistPesertaKemenkeu!$J$6:$J$1005,SMALL(IF(checklistPesertaKemenkeu!$AY$6:$AY$1005="Direkomendasikan",ROW($6:$1005)-5),144)),BidangList,0)),INDEX(checklistPesertaKemenkeu!$M$6:$M$1005,SMALL(IF(checklistPesertaKemenkeu!$AY$6:$AY$1005="Direkomendasikan",ROW($6:$1005)-5),144)))&gt;0,COUNTIF(INDIRECT("'KERTAS KERJA'!K"&amp;(SMALL(IF(checklistPesertaKemenkeu!$AY$6:$AY$1005="Direkomendasikan",ROW($6:$1005)-5),144)+5)&amp;":O"&amp;(SMALL(IF(checklistPesertaKemenkeu!$AY$6:$AY$1005="Direkomendasikan",ROW($6:$1005)-5),144)+5)),INDEX(checklistPesertaKemenkeu!$M$6:$M$1005,SMALL(IF(checklistPesertaKemenkeu!$AY$6:$AY$1005="Direkomendasikan",ROW($6:$1005)-5),144)))=1),IFERROR(VLOOKUP(INDEX(checklistPesertaKemenkeu!$M$6:$M$1005,SMALL(IF(checklistPesertaKemenkeu!$AY$6:$AY$1005="Direkomendasikan",ROW($6:$1005)-5),144)),KotaKode,2,0),"-"),"")),"")</f>
        <v/>
      </c>
      <c r="J145" t="str">
        <f t="array" aca="1" ref="J145" ca="1">IFERROR(IF(OR(INDEX(checklistPesertaKemenkeu!$N$6:$N$1005,SMALL(IF(checklistPesertaKemenkeu!$AY$6:$AY$1005="Direkomendasikan",ROW($6:$1005)-5),144))="",INDEX(checklistPesertaKemenkeu!$J$6:$J$1005,SMALL(IF(checklistPesertaKemenkeu!$AY$6:$AY$1005="Direkomendasikan",ROW($6:$1005)-5),144))=""),"",IF(AND(COUNTIF(INDIRECT("K_"&amp;MATCH(INDEX(checklistPesertaKemenkeu!$J$6:$J$1005,SMALL(IF(checklistPesertaKemenkeu!$AY$6:$AY$1005="Direkomendasikan",ROW($6:$1005)-5),144)),BidangList,0)),INDEX(checklistPesertaKemenkeu!$N$6:$N$1005,SMALL(IF(checklistPesertaKemenkeu!$AY$6:$AY$1005="Direkomendasikan",ROW($6:$1005)-5),144)))&gt;0,COUNTIF(INDIRECT("'KERTAS KERJA'!K"&amp;(SMALL(IF(checklistPesertaKemenkeu!$AY$6:$AY$1005="Direkomendasikan",ROW($6:$1005)-5),144)+5)&amp;":O"&amp;(SMALL(IF(checklistPesertaKemenkeu!$AY$6:$AY$1005="Direkomendasikan",ROW($6:$1005)-5),144)+5)),INDEX(checklistPesertaKemenkeu!$N$6:$N$1005,SMALL(IF(checklistPesertaKemenkeu!$AY$6:$AY$1005="Direkomendasikan",ROW($6:$1005)-5),144)))=1),IFERROR(VLOOKUP(INDEX(checklistPesertaKemenkeu!$N$6:$N$1005,SMALL(IF(checklistPesertaKemenkeu!$AY$6:$AY$1005="Direkomendasikan",ROW($6:$1005)-5),144)),KotaKode,2,0),"-"),"")),"")</f>
        <v/>
      </c>
      <c r="K145" t="str">
        <f t="array" aca="1" ref="K145" ca="1">IFERROR(IF(OR(INDEX(checklistPesertaKemenkeu!$O$6:$O$1005,SMALL(IF(checklistPesertaKemenkeu!$AY$6:$AY$1005="Direkomendasikan",ROW($6:$1005)-5),144))="",INDEX(checklistPesertaKemenkeu!$J$6:$J$1005,SMALL(IF(checklistPesertaKemenkeu!$AY$6:$AY$1005="Direkomendasikan",ROW($6:$1005)-5),144))=""),"",IF(AND(COUNTIF(INDIRECT("K_"&amp;MATCH(INDEX(checklistPesertaKemenkeu!$J$6:$J$1005,SMALL(IF(checklistPesertaKemenkeu!$AY$6:$AY$1005="Direkomendasikan",ROW($6:$1005)-5),144)),BidangList,0)),INDEX(checklistPesertaKemenkeu!$O$6:$O$1005,SMALL(IF(checklistPesertaKemenkeu!$AY$6:$AY$1005="Direkomendasikan",ROW($6:$1005)-5),144)))&gt;0,COUNTIF(INDIRECT("'KERTAS KERJA'!K"&amp;(SMALL(IF(checklistPesertaKemenkeu!$AY$6:$AY$1005="Direkomendasikan",ROW($6:$1005)-5),144)+5)&amp;":O"&amp;(SMALL(IF(checklistPesertaKemenkeu!$AY$6:$AY$1005="Direkomendasikan",ROW($6:$1005)-5),144)+5)),INDEX(checklistPesertaKemenkeu!$O$6:$O$1005,SMALL(IF(checklistPesertaKemenkeu!$AY$6:$AY$1005="Direkomendasikan",ROW($6:$1005)-5),144)))=1),IFERROR(VLOOKUP(INDEX(checklistPesertaKemenkeu!$O$6:$O$1005,SMALL(IF(checklistPesertaKemenkeu!$AY$6:$AY$1005="Direkomendasikan",ROW($6:$1005)-5),144)),KotaKode,2,0),"-"),"")),"")</f>
        <v/>
      </c>
      <c r="L145" t="str">
        <f t="array" aca="1" ref="L145" ca="1">IFERROR(IF(OR(INDEX(checklistPesertaKemenkeu!$P$6:$P$1005,SMALL(IF(checklistPesertaKemenkeu!$AY$6:$AY$1005="Direkomendasikan",ROW($6:$1005)-5),144))="",INDEX(checklistPesertaKemenkeu!$J$6:$J$1005,SMALL(IF(checklistPesertaKemenkeu!$AY$6:$AY$1005="Direkomendasikan",ROW($6:$1005)-5),144))=""),"",IF(AND(COUNTIF(INDIRECT("K_"&amp;MATCH(INDEX(checklistPesertaKemenkeu!$J$6:$J$1005,SMALL(IF(checklistPesertaKemenkeu!$AY$6:$AY$1005="Direkomendasikan",ROW($6:$1005)-5),144)),BidangList,0)),INDEX(checklistPesertaKemenkeu!$P$6:$P$1005,SMALL(IF(checklistPesertaKemenkeu!$AY$6:$AY$1005="Direkomendasikan",ROW($6:$1005)-5),144)))&gt;0,COUNTIF(INDIRECT("'KERTAS KERJA'!K"&amp;(SMALL(IF(checklistPesertaKemenkeu!$AY$6:$AY$1005="Direkomendasikan",ROW($6:$1005)-5),144)+5)&amp;":O"&amp;(SMALL(IF(checklistPesertaKemenkeu!$AY$6:$AY$1005="Direkomendasikan",ROW($6:$1005)-5),144)+5)),INDEX(checklistPesertaKemenkeu!$P$6:$P$1005,SMALL(IF(checklistPesertaKemenkeu!$AY$6:$AY$1005="Direkomendasikan",ROW($6:$1005)-5),144)))=1),IFERROR(VLOOKUP(INDEX(checklistPesertaKemenkeu!$P$6:$P$1005,SMALL(IF(checklistPesertaKemenkeu!$AY$6:$AY$1005="Direkomendasikan",ROW($6:$1005)-5),144)),KotaKode,2,0),"-"),"")),"")</f>
        <v/>
      </c>
    </row>
    <row r="146" spans="1:12" ht="15" customHeight="1" x14ac:dyDescent="0.2">
      <c r="A146" t="str">
        <f t="shared" si="2"/>
        <v/>
      </c>
      <c r="B146" t="str">
        <v/>
      </c>
      <c r="C146" s="40" t="str">
        <f t="array" ref="C146">IFERROR(INDEX(checklistPesertaKemenkeu!$F$6:$F$1005,SMALL(IF(checklistPesertaKemenkeu!$AY$6:$AY$1005="Direkomendasikan",ROW($6:$1005)-5),145)),"")</f>
        <v/>
      </c>
      <c r="D146" t="str">
        <f t="array" ref="D146">IFERROR(INDEX(checklistPesertaKemenkeu!$G$6:$G$1005,SMALL(IF(checklistPesertaKemenkeu!$AY$6:$AY$1005="Direkomendasikan",ROW($6:$1005)-5),145)),"")</f>
        <v/>
      </c>
      <c r="E146" t="str">
        <f t="array" ref="E146">IFERROR(INDEX(checklistPesertaKemenkeu!$H$6:$H$1005,SMALL(IF(checklistPesertaKemenkeu!$AY$6:$AY$1005="Direkomendasikan",ROW($6:$1005)-5),145)),"")</f>
        <v/>
      </c>
      <c r="F146" t="str">
        <f t="array" ref="F146">IFERROR(INDEX(checklistPesertaKemenkeu!$I$6:$I$1005,SMALL(IF(checklistPesertaKemenkeu!$AY$6:$AY$1005="Direkomendasikan",ROW($6:$1005)-5),145)),"")</f>
        <v/>
      </c>
      <c r="G146" t="str">
        <f t="array" ref="G146">IFERROR(INDEX(checklistPesertaKemenkeu!$J$6:$J$1005,SMALL(IF(checklistPesertaKemenkeu!$AY$6:$AY$1005="Direkomendasikan",ROW($6:$1005)-5),145)),"")</f>
        <v/>
      </c>
      <c r="H146" t="str">
        <f t="array" aca="1" ref="H146" ca="1">IFERROR(IF(OR(INDEX(checklistPesertaKemenkeu!$L$6:$L$1005,SMALL(IF(checklistPesertaKemenkeu!$AY$6:$AY$1005="Direkomendasikan",ROW($6:$1005)-5),145))="",INDEX(checklistPesertaKemenkeu!$J$6:$J$1005,SMALL(IF(checklistPesertaKemenkeu!$AY$6:$AY$1005="Direkomendasikan",ROW($6:$1005)-5),145))=""),"",IF(AND(COUNTIF(INDIRECT("K_"&amp;MATCH(INDEX(checklistPesertaKemenkeu!$J$6:$J$1005,SMALL(IF(checklistPesertaKemenkeu!$AY$6:$AY$1005="Direkomendasikan",ROW($6:$1005)-5),145)),BidangList,0)),INDEX(checklistPesertaKemenkeu!$L$6:$L$1005,SMALL(IF(checklistPesertaKemenkeu!$AY$6:$AY$1005="Direkomendasikan",ROW($6:$1005)-5),145)))&gt;0,COUNTIF(INDIRECT("'KERTAS KERJA'!K"&amp;(SMALL(IF(checklistPesertaKemenkeu!$AY$6:$AY$1005="Direkomendasikan",ROW($6:$1005)-5),145)+5)&amp;":O"&amp;(SMALL(IF(checklistPesertaKemenkeu!$AY$6:$AY$1005="Direkomendasikan",ROW($6:$1005)-5),145)+5)),INDEX(checklistPesertaKemenkeu!$L$6:$L$1005,SMALL(IF(checklistPesertaKemenkeu!$AY$6:$AY$1005="Direkomendasikan",ROW($6:$1005)-5),145)))=1),IFERROR(VLOOKUP(INDEX(checklistPesertaKemenkeu!$L$6:$L$1005,SMALL(IF(checklistPesertaKemenkeu!$AY$6:$AY$1005="Direkomendasikan",ROW($6:$1005)-5),145)),KotaKode,2,0),"-"),"")),"")</f>
        <v/>
      </c>
      <c r="I146" t="str">
        <f t="array" aca="1" ref="I146" ca="1">IFERROR(IF(OR(INDEX(checklistPesertaKemenkeu!$M$6:$M$1005,SMALL(IF(checklistPesertaKemenkeu!$AY$6:$AY$1005="Direkomendasikan",ROW($6:$1005)-5),145))="",INDEX(checklistPesertaKemenkeu!$J$6:$J$1005,SMALL(IF(checklistPesertaKemenkeu!$AY$6:$AY$1005="Direkomendasikan",ROW($6:$1005)-5),145))=""),"",IF(AND(COUNTIF(INDIRECT("K_"&amp;MATCH(INDEX(checklistPesertaKemenkeu!$J$6:$J$1005,SMALL(IF(checklistPesertaKemenkeu!$AY$6:$AY$1005="Direkomendasikan",ROW($6:$1005)-5),145)),BidangList,0)),INDEX(checklistPesertaKemenkeu!$M$6:$M$1005,SMALL(IF(checklistPesertaKemenkeu!$AY$6:$AY$1005="Direkomendasikan",ROW($6:$1005)-5),145)))&gt;0,COUNTIF(INDIRECT("'KERTAS KERJA'!K"&amp;(SMALL(IF(checklistPesertaKemenkeu!$AY$6:$AY$1005="Direkomendasikan",ROW($6:$1005)-5),145)+5)&amp;":O"&amp;(SMALL(IF(checklistPesertaKemenkeu!$AY$6:$AY$1005="Direkomendasikan",ROW($6:$1005)-5),145)+5)),INDEX(checklistPesertaKemenkeu!$M$6:$M$1005,SMALL(IF(checklistPesertaKemenkeu!$AY$6:$AY$1005="Direkomendasikan",ROW($6:$1005)-5),145)))=1),IFERROR(VLOOKUP(INDEX(checklistPesertaKemenkeu!$M$6:$M$1005,SMALL(IF(checklistPesertaKemenkeu!$AY$6:$AY$1005="Direkomendasikan",ROW($6:$1005)-5),145)),KotaKode,2,0),"-"),"")),"")</f>
        <v/>
      </c>
      <c r="J146" t="str">
        <f t="array" aca="1" ref="J146" ca="1">IFERROR(IF(OR(INDEX(checklistPesertaKemenkeu!$N$6:$N$1005,SMALL(IF(checklistPesertaKemenkeu!$AY$6:$AY$1005="Direkomendasikan",ROW($6:$1005)-5),145))="",INDEX(checklistPesertaKemenkeu!$J$6:$J$1005,SMALL(IF(checklistPesertaKemenkeu!$AY$6:$AY$1005="Direkomendasikan",ROW($6:$1005)-5),145))=""),"",IF(AND(COUNTIF(INDIRECT("K_"&amp;MATCH(INDEX(checklistPesertaKemenkeu!$J$6:$J$1005,SMALL(IF(checklistPesertaKemenkeu!$AY$6:$AY$1005="Direkomendasikan",ROW($6:$1005)-5),145)),BidangList,0)),INDEX(checklistPesertaKemenkeu!$N$6:$N$1005,SMALL(IF(checklistPesertaKemenkeu!$AY$6:$AY$1005="Direkomendasikan",ROW($6:$1005)-5),145)))&gt;0,COUNTIF(INDIRECT("'KERTAS KERJA'!K"&amp;(SMALL(IF(checklistPesertaKemenkeu!$AY$6:$AY$1005="Direkomendasikan",ROW($6:$1005)-5),145)+5)&amp;":O"&amp;(SMALL(IF(checklistPesertaKemenkeu!$AY$6:$AY$1005="Direkomendasikan",ROW($6:$1005)-5),145)+5)),INDEX(checklistPesertaKemenkeu!$N$6:$N$1005,SMALL(IF(checklistPesertaKemenkeu!$AY$6:$AY$1005="Direkomendasikan",ROW($6:$1005)-5),145)))=1),IFERROR(VLOOKUP(INDEX(checklistPesertaKemenkeu!$N$6:$N$1005,SMALL(IF(checklistPesertaKemenkeu!$AY$6:$AY$1005="Direkomendasikan",ROW($6:$1005)-5),145)),KotaKode,2,0),"-"),"")),"")</f>
        <v/>
      </c>
      <c r="K146" t="str">
        <f t="array" aca="1" ref="K146" ca="1">IFERROR(IF(OR(INDEX(checklistPesertaKemenkeu!$O$6:$O$1005,SMALL(IF(checklistPesertaKemenkeu!$AY$6:$AY$1005="Direkomendasikan",ROW($6:$1005)-5),145))="",INDEX(checklistPesertaKemenkeu!$J$6:$J$1005,SMALL(IF(checklistPesertaKemenkeu!$AY$6:$AY$1005="Direkomendasikan",ROW($6:$1005)-5),145))=""),"",IF(AND(COUNTIF(INDIRECT("K_"&amp;MATCH(INDEX(checklistPesertaKemenkeu!$J$6:$J$1005,SMALL(IF(checklistPesertaKemenkeu!$AY$6:$AY$1005="Direkomendasikan",ROW($6:$1005)-5),145)),BidangList,0)),INDEX(checklistPesertaKemenkeu!$O$6:$O$1005,SMALL(IF(checklistPesertaKemenkeu!$AY$6:$AY$1005="Direkomendasikan",ROW($6:$1005)-5),145)))&gt;0,COUNTIF(INDIRECT("'KERTAS KERJA'!K"&amp;(SMALL(IF(checklistPesertaKemenkeu!$AY$6:$AY$1005="Direkomendasikan",ROW($6:$1005)-5),145)+5)&amp;":O"&amp;(SMALL(IF(checklistPesertaKemenkeu!$AY$6:$AY$1005="Direkomendasikan",ROW($6:$1005)-5),145)+5)),INDEX(checklistPesertaKemenkeu!$O$6:$O$1005,SMALL(IF(checklistPesertaKemenkeu!$AY$6:$AY$1005="Direkomendasikan",ROW($6:$1005)-5),145)))=1),IFERROR(VLOOKUP(INDEX(checklistPesertaKemenkeu!$O$6:$O$1005,SMALL(IF(checklistPesertaKemenkeu!$AY$6:$AY$1005="Direkomendasikan",ROW($6:$1005)-5),145)),KotaKode,2,0),"-"),"")),"")</f>
        <v/>
      </c>
      <c r="L146" t="str">
        <f t="array" aca="1" ref="L146" ca="1">IFERROR(IF(OR(INDEX(checklistPesertaKemenkeu!$P$6:$P$1005,SMALL(IF(checklistPesertaKemenkeu!$AY$6:$AY$1005="Direkomendasikan",ROW($6:$1005)-5),145))="",INDEX(checklistPesertaKemenkeu!$J$6:$J$1005,SMALL(IF(checklistPesertaKemenkeu!$AY$6:$AY$1005="Direkomendasikan",ROW($6:$1005)-5),145))=""),"",IF(AND(COUNTIF(INDIRECT("K_"&amp;MATCH(INDEX(checklistPesertaKemenkeu!$J$6:$J$1005,SMALL(IF(checklistPesertaKemenkeu!$AY$6:$AY$1005="Direkomendasikan",ROW($6:$1005)-5),145)),BidangList,0)),INDEX(checklistPesertaKemenkeu!$P$6:$P$1005,SMALL(IF(checklistPesertaKemenkeu!$AY$6:$AY$1005="Direkomendasikan",ROW($6:$1005)-5),145)))&gt;0,COUNTIF(INDIRECT("'KERTAS KERJA'!K"&amp;(SMALL(IF(checklistPesertaKemenkeu!$AY$6:$AY$1005="Direkomendasikan",ROW($6:$1005)-5),145)+5)&amp;":O"&amp;(SMALL(IF(checklistPesertaKemenkeu!$AY$6:$AY$1005="Direkomendasikan",ROW($6:$1005)-5),145)+5)),INDEX(checklistPesertaKemenkeu!$P$6:$P$1005,SMALL(IF(checklistPesertaKemenkeu!$AY$6:$AY$1005="Direkomendasikan",ROW($6:$1005)-5),145)))=1),IFERROR(VLOOKUP(INDEX(checklistPesertaKemenkeu!$P$6:$P$1005,SMALL(IF(checklistPesertaKemenkeu!$AY$6:$AY$1005="Direkomendasikan",ROW($6:$1005)-5),145)),KotaKode,2,0),"-"),"")),"")</f>
        <v/>
      </c>
    </row>
    <row r="147" spans="1:12" ht="15" customHeight="1" x14ac:dyDescent="0.2">
      <c r="A147" t="str">
        <f t="shared" si="2"/>
        <v/>
      </c>
      <c r="B147" t="str">
        <v/>
      </c>
      <c r="C147" s="40" t="str">
        <f t="array" ref="C147">IFERROR(INDEX(checklistPesertaKemenkeu!$F$6:$F$1005,SMALL(IF(checklistPesertaKemenkeu!$AY$6:$AY$1005="Direkomendasikan",ROW($6:$1005)-5),146)),"")</f>
        <v/>
      </c>
      <c r="D147" t="str">
        <f t="array" ref="D147">IFERROR(INDEX(checklistPesertaKemenkeu!$G$6:$G$1005,SMALL(IF(checklistPesertaKemenkeu!$AY$6:$AY$1005="Direkomendasikan",ROW($6:$1005)-5),146)),"")</f>
        <v/>
      </c>
      <c r="E147" t="str">
        <f t="array" ref="E147">IFERROR(INDEX(checklistPesertaKemenkeu!$H$6:$H$1005,SMALL(IF(checklistPesertaKemenkeu!$AY$6:$AY$1005="Direkomendasikan",ROW($6:$1005)-5),146)),"")</f>
        <v/>
      </c>
      <c r="F147" t="str">
        <f t="array" ref="F147">IFERROR(INDEX(checklistPesertaKemenkeu!$I$6:$I$1005,SMALL(IF(checklistPesertaKemenkeu!$AY$6:$AY$1005="Direkomendasikan",ROW($6:$1005)-5),146)),"")</f>
        <v/>
      </c>
      <c r="G147" t="str">
        <f t="array" ref="G147">IFERROR(INDEX(checklistPesertaKemenkeu!$J$6:$J$1005,SMALL(IF(checklistPesertaKemenkeu!$AY$6:$AY$1005="Direkomendasikan",ROW($6:$1005)-5),146)),"")</f>
        <v/>
      </c>
      <c r="H147" t="str">
        <f t="array" aca="1" ref="H147" ca="1">IFERROR(IF(OR(INDEX(checklistPesertaKemenkeu!$L$6:$L$1005,SMALL(IF(checklistPesertaKemenkeu!$AY$6:$AY$1005="Direkomendasikan",ROW($6:$1005)-5),146))="",INDEX(checklistPesertaKemenkeu!$J$6:$J$1005,SMALL(IF(checklistPesertaKemenkeu!$AY$6:$AY$1005="Direkomendasikan",ROW($6:$1005)-5),146))=""),"",IF(AND(COUNTIF(INDIRECT("K_"&amp;MATCH(INDEX(checklistPesertaKemenkeu!$J$6:$J$1005,SMALL(IF(checklistPesertaKemenkeu!$AY$6:$AY$1005="Direkomendasikan",ROW($6:$1005)-5),146)),BidangList,0)),INDEX(checklistPesertaKemenkeu!$L$6:$L$1005,SMALL(IF(checklistPesertaKemenkeu!$AY$6:$AY$1005="Direkomendasikan",ROW($6:$1005)-5),146)))&gt;0,COUNTIF(INDIRECT("'KERTAS KERJA'!K"&amp;(SMALL(IF(checklistPesertaKemenkeu!$AY$6:$AY$1005="Direkomendasikan",ROW($6:$1005)-5),146)+5)&amp;":O"&amp;(SMALL(IF(checklistPesertaKemenkeu!$AY$6:$AY$1005="Direkomendasikan",ROW($6:$1005)-5),146)+5)),INDEX(checklistPesertaKemenkeu!$L$6:$L$1005,SMALL(IF(checklistPesertaKemenkeu!$AY$6:$AY$1005="Direkomendasikan",ROW($6:$1005)-5),146)))=1),IFERROR(VLOOKUP(INDEX(checklistPesertaKemenkeu!$L$6:$L$1005,SMALL(IF(checklistPesertaKemenkeu!$AY$6:$AY$1005="Direkomendasikan",ROW($6:$1005)-5),146)),KotaKode,2,0),"-"),"")),"")</f>
        <v/>
      </c>
      <c r="I147" t="str">
        <f t="array" aca="1" ref="I147" ca="1">IFERROR(IF(OR(INDEX(checklistPesertaKemenkeu!$M$6:$M$1005,SMALL(IF(checklistPesertaKemenkeu!$AY$6:$AY$1005="Direkomendasikan",ROW($6:$1005)-5),146))="",INDEX(checklistPesertaKemenkeu!$J$6:$J$1005,SMALL(IF(checklistPesertaKemenkeu!$AY$6:$AY$1005="Direkomendasikan",ROW($6:$1005)-5),146))=""),"",IF(AND(COUNTIF(INDIRECT("K_"&amp;MATCH(INDEX(checklistPesertaKemenkeu!$J$6:$J$1005,SMALL(IF(checklistPesertaKemenkeu!$AY$6:$AY$1005="Direkomendasikan",ROW($6:$1005)-5),146)),BidangList,0)),INDEX(checklistPesertaKemenkeu!$M$6:$M$1005,SMALL(IF(checklistPesertaKemenkeu!$AY$6:$AY$1005="Direkomendasikan",ROW($6:$1005)-5),146)))&gt;0,COUNTIF(INDIRECT("'KERTAS KERJA'!K"&amp;(SMALL(IF(checklistPesertaKemenkeu!$AY$6:$AY$1005="Direkomendasikan",ROW($6:$1005)-5),146)+5)&amp;":O"&amp;(SMALL(IF(checklistPesertaKemenkeu!$AY$6:$AY$1005="Direkomendasikan",ROW($6:$1005)-5),146)+5)),INDEX(checklistPesertaKemenkeu!$M$6:$M$1005,SMALL(IF(checklistPesertaKemenkeu!$AY$6:$AY$1005="Direkomendasikan",ROW($6:$1005)-5),146)))=1),IFERROR(VLOOKUP(INDEX(checklistPesertaKemenkeu!$M$6:$M$1005,SMALL(IF(checklistPesertaKemenkeu!$AY$6:$AY$1005="Direkomendasikan",ROW($6:$1005)-5),146)),KotaKode,2,0),"-"),"")),"")</f>
        <v/>
      </c>
      <c r="J147" t="str">
        <f t="array" aca="1" ref="J147" ca="1">IFERROR(IF(OR(INDEX(checklistPesertaKemenkeu!$N$6:$N$1005,SMALL(IF(checklistPesertaKemenkeu!$AY$6:$AY$1005="Direkomendasikan",ROW($6:$1005)-5),146))="",INDEX(checklistPesertaKemenkeu!$J$6:$J$1005,SMALL(IF(checklistPesertaKemenkeu!$AY$6:$AY$1005="Direkomendasikan",ROW($6:$1005)-5),146))=""),"",IF(AND(COUNTIF(INDIRECT("K_"&amp;MATCH(INDEX(checklistPesertaKemenkeu!$J$6:$J$1005,SMALL(IF(checklistPesertaKemenkeu!$AY$6:$AY$1005="Direkomendasikan",ROW($6:$1005)-5),146)),BidangList,0)),INDEX(checklistPesertaKemenkeu!$N$6:$N$1005,SMALL(IF(checklistPesertaKemenkeu!$AY$6:$AY$1005="Direkomendasikan",ROW($6:$1005)-5),146)))&gt;0,COUNTIF(INDIRECT("'KERTAS KERJA'!K"&amp;(SMALL(IF(checklistPesertaKemenkeu!$AY$6:$AY$1005="Direkomendasikan",ROW($6:$1005)-5),146)+5)&amp;":O"&amp;(SMALL(IF(checklistPesertaKemenkeu!$AY$6:$AY$1005="Direkomendasikan",ROW($6:$1005)-5),146)+5)),INDEX(checklistPesertaKemenkeu!$N$6:$N$1005,SMALL(IF(checklistPesertaKemenkeu!$AY$6:$AY$1005="Direkomendasikan",ROW($6:$1005)-5),146)))=1),IFERROR(VLOOKUP(INDEX(checklistPesertaKemenkeu!$N$6:$N$1005,SMALL(IF(checklistPesertaKemenkeu!$AY$6:$AY$1005="Direkomendasikan",ROW($6:$1005)-5),146)),KotaKode,2,0),"-"),"")),"")</f>
        <v/>
      </c>
      <c r="K147" t="str">
        <f t="array" aca="1" ref="K147" ca="1">IFERROR(IF(OR(INDEX(checklistPesertaKemenkeu!$O$6:$O$1005,SMALL(IF(checklistPesertaKemenkeu!$AY$6:$AY$1005="Direkomendasikan",ROW($6:$1005)-5),146))="",INDEX(checklistPesertaKemenkeu!$J$6:$J$1005,SMALL(IF(checklistPesertaKemenkeu!$AY$6:$AY$1005="Direkomendasikan",ROW($6:$1005)-5),146))=""),"",IF(AND(COUNTIF(INDIRECT("K_"&amp;MATCH(INDEX(checklistPesertaKemenkeu!$J$6:$J$1005,SMALL(IF(checklistPesertaKemenkeu!$AY$6:$AY$1005="Direkomendasikan",ROW($6:$1005)-5),146)),BidangList,0)),INDEX(checklistPesertaKemenkeu!$O$6:$O$1005,SMALL(IF(checklistPesertaKemenkeu!$AY$6:$AY$1005="Direkomendasikan",ROW($6:$1005)-5),146)))&gt;0,COUNTIF(INDIRECT("'KERTAS KERJA'!K"&amp;(SMALL(IF(checklistPesertaKemenkeu!$AY$6:$AY$1005="Direkomendasikan",ROW($6:$1005)-5),146)+5)&amp;":O"&amp;(SMALL(IF(checklistPesertaKemenkeu!$AY$6:$AY$1005="Direkomendasikan",ROW($6:$1005)-5),146)+5)),INDEX(checklistPesertaKemenkeu!$O$6:$O$1005,SMALL(IF(checklistPesertaKemenkeu!$AY$6:$AY$1005="Direkomendasikan",ROW($6:$1005)-5),146)))=1),IFERROR(VLOOKUP(INDEX(checklistPesertaKemenkeu!$O$6:$O$1005,SMALL(IF(checklistPesertaKemenkeu!$AY$6:$AY$1005="Direkomendasikan",ROW($6:$1005)-5),146)),KotaKode,2,0),"-"),"")),"")</f>
        <v/>
      </c>
      <c r="L147" t="str">
        <f t="array" aca="1" ref="L147" ca="1">IFERROR(IF(OR(INDEX(checklistPesertaKemenkeu!$P$6:$P$1005,SMALL(IF(checklistPesertaKemenkeu!$AY$6:$AY$1005="Direkomendasikan",ROW($6:$1005)-5),146))="",INDEX(checklistPesertaKemenkeu!$J$6:$J$1005,SMALL(IF(checklistPesertaKemenkeu!$AY$6:$AY$1005="Direkomendasikan",ROW($6:$1005)-5),146))=""),"",IF(AND(COUNTIF(INDIRECT("K_"&amp;MATCH(INDEX(checklistPesertaKemenkeu!$J$6:$J$1005,SMALL(IF(checklistPesertaKemenkeu!$AY$6:$AY$1005="Direkomendasikan",ROW($6:$1005)-5),146)),BidangList,0)),INDEX(checklistPesertaKemenkeu!$P$6:$P$1005,SMALL(IF(checklistPesertaKemenkeu!$AY$6:$AY$1005="Direkomendasikan",ROW($6:$1005)-5),146)))&gt;0,COUNTIF(INDIRECT("'KERTAS KERJA'!K"&amp;(SMALL(IF(checklistPesertaKemenkeu!$AY$6:$AY$1005="Direkomendasikan",ROW($6:$1005)-5),146)+5)&amp;":O"&amp;(SMALL(IF(checklistPesertaKemenkeu!$AY$6:$AY$1005="Direkomendasikan",ROW($6:$1005)-5),146)+5)),INDEX(checklistPesertaKemenkeu!$P$6:$P$1005,SMALL(IF(checklistPesertaKemenkeu!$AY$6:$AY$1005="Direkomendasikan",ROW($6:$1005)-5),146)))=1),IFERROR(VLOOKUP(INDEX(checklistPesertaKemenkeu!$P$6:$P$1005,SMALL(IF(checklistPesertaKemenkeu!$AY$6:$AY$1005="Direkomendasikan",ROW($6:$1005)-5),146)),KotaKode,2,0),"-"),"")),"")</f>
        <v/>
      </c>
    </row>
    <row r="148" spans="1:12" ht="15" customHeight="1" x14ac:dyDescent="0.2">
      <c r="A148" t="str">
        <f t="shared" si="2"/>
        <v/>
      </c>
      <c r="B148" t="str">
        <v/>
      </c>
      <c r="C148" s="40" t="str">
        <f t="array" ref="C148">IFERROR(INDEX(checklistPesertaKemenkeu!$F$6:$F$1005,SMALL(IF(checklistPesertaKemenkeu!$AY$6:$AY$1005="Direkomendasikan",ROW($6:$1005)-5),147)),"")</f>
        <v/>
      </c>
      <c r="D148" t="str">
        <f t="array" ref="D148">IFERROR(INDEX(checklistPesertaKemenkeu!$G$6:$G$1005,SMALL(IF(checklistPesertaKemenkeu!$AY$6:$AY$1005="Direkomendasikan",ROW($6:$1005)-5),147)),"")</f>
        <v/>
      </c>
      <c r="E148" t="str">
        <f t="array" ref="E148">IFERROR(INDEX(checklistPesertaKemenkeu!$H$6:$H$1005,SMALL(IF(checklistPesertaKemenkeu!$AY$6:$AY$1005="Direkomendasikan",ROW($6:$1005)-5),147)),"")</f>
        <v/>
      </c>
      <c r="F148" t="str">
        <f t="array" ref="F148">IFERROR(INDEX(checklistPesertaKemenkeu!$I$6:$I$1005,SMALL(IF(checklistPesertaKemenkeu!$AY$6:$AY$1005="Direkomendasikan",ROW($6:$1005)-5),147)),"")</f>
        <v/>
      </c>
      <c r="G148" t="str">
        <f t="array" ref="G148">IFERROR(INDEX(checklistPesertaKemenkeu!$J$6:$J$1005,SMALL(IF(checklistPesertaKemenkeu!$AY$6:$AY$1005="Direkomendasikan",ROW($6:$1005)-5),147)),"")</f>
        <v/>
      </c>
      <c r="H148" t="str">
        <f t="array" aca="1" ref="H148" ca="1">IFERROR(IF(OR(INDEX(checklistPesertaKemenkeu!$L$6:$L$1005,SMALL(IF(checklistPesertaKemenkeu!$AY$6:$AY$1005="Direkomendasikan",ROW($6:$1005)-5),147))="",INDEX(checklistPesertaKemenkeu!$J$6:$J$1005,SMALL(IF(checklistPesertaKemenkeu!$AY$6:$AY$1005="Direkomendasikan",ROW($6:$1005)-5),147))=""),"",IF(AND(COUNTIF(INDIRECT("K_"&amp;MATCH(INDEX(checklistPesertaKemenkeu!$J$6:$J$1005,SMALL(IF(checklistPesertaKemenkeu!$AY$6:$AY$1005="Direkomendasikan",ROW($6:$1005)-5),147)),BidangList,0)),INDEX(checklistPesertaKemenkeu!$L$6:$L$1005,SMALL(IF(checklistPesertaKemenkeu!$AY$6:$AY$1005="Direkomendasikan",ROW($6:$1005)-5),147)))&gt;0,COUNTIF(INDIRECT("'KERTAS KERJA'!K"&amp;(SMALL(IF(checklistPesertaKemenkeu!$AY$6:$AY$1005="Direkomendasikan",ROW($6:$1005)-5),147)+5)&amp;":O"&amp;(SMALL(IF(checklistPesertaKemenkeu!$AY$6:$AY$1005="Direkomendasikan",ROW($6:$1005)-5),147)+5)),INDEX(checklistPesertaKemenkeu!$L$6:$L$1005,SMALL(IF(checklistPesertaKemenkeu!$AY$6:$AY$1005="Direkomendasikan",ROW($6:$1005)-5),147)))=1),IFERROR(VLOOKUP(INDEX(checklistPesertaKemenkeu!$L$6:$L$1005,SMALL(IF(checklistPesertaKemenkeu!$AY$6:$AY$1005="Direkomendasikan",ROW($6:$1005)-5),147)),KotaKode,2,0),"-"),"")),"")</f>
        <v/>
      </c>
      <c r="I148" t="str">
        <f t="array" aca="1" ref="I148" ca="1">IFERROR(IF(OR(INDEX(checklistPesertaKemenkeu!$M$6:$M$1005,SMALL(IF(checklistPesertaKemenkeu!$AY$6:$AY$1005="Direkomendasikan",ROW($6:$1005)-5),147))="",INDEX(checklistPesertaKemenkeu!$J$6:$J$1005,SMALL(IF(checklistPesertaKemenkeu!$AY$6:$AY$1005="Direkomendasikan",ROW($6:$1005)-5),147))=""),"",IF(AND(COUNTIF(INDIRECT("K_"&amp;MATCH(INDEX(checklistPesertaKemenkeu!$J$6:$J$1005,SMALL(IF(checklistPesertaKemenkeu!$AY$6:$AY$1005="Direkomendasikan",ROW($6:$1005)-5),147)),BidangList,0)),INDEX(checklistPesertaKemenkeu!$M$6:$M$1005,SMALL(IF(checklistPesertaKemenkeu!$AY$6:$AY$1005="Direkomendasikan",ROW($6:$1005)-5),147)))&gt;0,COUNTIF(INDIRECT("'KERTAS KERJA'!K"&amp;(SMALL(IF(checklistPesertaKemenkeu!$AY$6:$AY$1005="Direkomendasikan",ROW($6:$1005)-5),147)+5)&amp;":O"&amp;(SMALL(IF(checklistPesertaKemenkeu!$AY$6:$AY$1005="Direkomendasikan",ROW($6:$1005)-5),147)+5)),INDEX(checklistPesertaKemenkeu!$M$6:$M$1005,SMALL(IF(checklistPesertaKemenkeu!$AY$6:$AY$1005="Direkomendasikan",ROW($6:$1005)-5),147)))=1),IFERROR(VLOOKUP(INDEX(checklistPesertaKemenkeu!$M$6:$M$1005,SMALL(IF(checklistPesertaKemenkeu!$AY$6:$AY$1005="Direkomendasikan",ROW($6:$1005)-5),147)),KotaKode,2,0),"-"),"")),"")</f>
        <v/>
      </c>
      <c r="J148" t="str">
        <f t="array" aca="1" ref="J148" ca="1">IFERROR(IF(OR(INDEX(checklistPesertaKemenkeu!$N$6:$N$1005,SMALL(IF(checklistPesertaKemenkeu!$AY$6:$AY$1005="Direkomendasikan",ROW($6:$1005)-5),147))="",INDEX(checklistPesertaKemenkeu!$J$6:$J$1005,SMALL(IF(checklistPesertaKemenkeu!$AY$6:$AY$1005="Direkomendasikan",ROW($6:$1005)-5),147))=""),"",IF(AND(COUNTIF(INDIRECT("K_"&amp;MATCH(INDEX(checklistPesertaKemenkeu!$J$6:$J$1005,SMALL(IF(checklistPesertaKemenkeu!$AY$6:$AY$1005="Direkomendasikan",ROW($6:$1005)-5),147)),BidangList,0)),INDEX(checklistPesertaKemenkeu!$N$6:$N$1005,SMALL(IF(checklistPesertaKemenkeu!$AY$6:$AY$1005="Direkomendasikan",ROW($6:$1005)-5),147)))&gt;0,COUNTIF(INDIRECT("'KERTAS KERJA'!K"&amp;(SMALL(IF(checklistPesertaKemenkeu!$AY$6:$AY$1005="Direkomendasikan",ROW($6:$1005)-5),147)+5)&amp;":O"&amp;(SMALL(IF(checklistPesertaKemenkeu!$AY$6:$AY$1005="Direkomendasikan",ROW($6:$1005)-5),147)+5)),INDEX(checklistPesertaKemenkeu!$N$6:$N$1005,SMALL(IF(checklistPesertaKemenkeu!$AY$6:$AY$1005="Direkomendasikan",ROW($6:$1005)-5),147)))=1),IFERROR(VLOOKUP(INDEX(checklistPesertaKemenkeu!$N$6:$N$1005,SMALL(IF(checklistPesertaKemenkeu!$AY$6:$AY$1005="Direkomendasikan",ROW($6:$1005)-5),147)),KotaKode,2,0),"-"),"")),"")</f>
        <v/>
      </c>
      <c r="K148" t="str">
        <f t="array" aca="1" ref="K148" ca="1">IFERROR(IF(OR(INDEX(checklistPesertaKemenkeu!$O$6:$O$1005,SMALL(IF(checklistPesertaKemenkeu!$AY$6:$AY$1005="Direkomendasikan",ROW($6:$1005)-5),147))="",INDEX(checklistPesertaKemenkeu!$J$6:$J$1005,SMALL(IF(checklistPesertaKemenkeu!$AY$6:$AY$1005="Direkomendasikan",ROW($6:$1005)-5),147))=""),"",IF(AND(COUNTIF(INDIRECT("K_"&amp;MATCH(INDEX(checklistPesertaKemenkeu!$J$6:$J$1005,SMALL(IF(checklistPesertaKemenkeu!$AY$6:$AY$1005="Direkomendasikan",ROW($6:$1005)-5),147)),BidangList,0)),INDEX(checklistPesertaKemenkeu!$O$6:$O$1005,SMALL(IF(checklistPesertaKemenkeu!$AY$6:$AY$1005="Direkomendasikan",ROW($6:$1005)-5),147)))&gt;0,COUNTIF(INDIRECT("'KERTAS KERJA'!K"&amp;(SMALL(IF(checklistPesertaKemenkeu!$AY$6:$AY$1005="Direkomendasikan",ROW($6:$1005)-5),147)+5)&amp;":O"&amp;(SMALL(IF(checklistPesertaKemenkeu!$AY$6:$AY$1005="Direkomendasikan",ROW($6:$1005)-5),147)+5)),INDEX(checklistPesertaKemenkeu!$O$6:$O$1005,SMALL(IF(checklistPesertaKemenkeu!$AY$6:$AY$1005="Direkomendasikan",ROW($6:$1005)-5),147)))=1),IFERROR(VLOOKUP(INDEX(checklistPesertaKemenkeu!$O$6:$O$1005,SMALL(IF(checklistPesertaKemenkeu!$AY$6:$AY$1005="Direkomendasikan",ROW($6:$1005)-5),147)),KotaKode,2,0),"-"),"")),"")</f>
        <v/>
      </c>
      <c r="L148" t="str">
        <f t="array" aca="1" ref="L148" ca="1">IFERROR(IF(OR(INDEX(checklistPesertaKemenkeu!$P$6:$P$1005,SMALL(IF(checklistPesertaKemenkeu!$AY$6:$AY$1005="Direkomendasikan",ROW($6:$1005)-5),147))="",INDEX(checklistPesertaKemenkeu!$J$6:$J$1005,SMALL(IF(checklistPesertaKemenkeu!$AY$6:$AY$1005="Direkomendasikan",ROW($6:$1005)-5),147))=""),"",IF(AND(COUNTIF(INDIRECT("K_"&amp;MATCH(INDEX(checklistPesertaKemenkeu!$J$6:$J$1005,SMALL(IF(checklistPesertaKemenkeu!$AY$6:$AY$1005="Direkomendasikan",ROW($6:$1005)-5),147)),BidangList,0)),INDEX(checklistPesertaKemenkeu!$P$6:$P$1005,SMALL(IF(checklistPesertaKemenkeu!$AY$6:$AY$1005="Direkomendasikan",ROW($6:$1005)-5),147)))&gt;0,COUNTIF(INDIRECT("'KERTAS KERJA'!K"&amp;(SMALL(IF(checklistPesertaKemenkeu!$AY$6:$AY$1005="Direkomendasikan",ROW($6:$1005)-5),147)+5)&amp;":O"&amp;(SMALL(IF(checklistPesertaKemenkeu!$AY$6:$AY$1005="Direkomendasikan",ROW($6:$1005)-5),147)+5)),INDEX(checklistPesertaKemenkeu!$P$6:$P$1005,SMALL(IF(checklistPesertaKemenkeu!$AY$6:$AY$1005="Direkomendasikan",ROW($6:$1005)-5),147)))=1),IFERROR(VLOOKUP(INDEX(checklistPesertaKemenkeu!$P$6:$P$1005,SMALL(IF(checklistPesertaKemenkeu!$AY$6:$AY$1005="Direkomendasikan",ROW($6:$1005)-5),147)),KotaKode,2,0),"-"),"")),"")</f>
        <v/>
      </c>
    </row>
    <row r="149" spans="1:12" ht="15" customHeight="1" x14ac:dyDescent="0.2">
      <c r="A149" t="str">
        <f t="shared" si="2"/>
        <v/>
      </c>
      <c r="B149" t="str">
        <v/>
      </c>
      <c r="C149" s="40" t="str">
        <f t="array" ref="C149">IFERROR(INDEX(checklistPesertaKemenkeu!$F$6:$F$1005,SMALL(IF(checklistPesertaKemenkeu!$AY$6:$AY$1005="Direkomendasikan",ROW($6:$1005)-5),148)),"")</f>
        <v/>
      </c>
      <c r="D149" t="str">
        <f t="array" ref="D149">IFERROR(INDEX(checklistPesertaKemenkeu!$G$6:$G$1005,SMALL(IF(checklistPesertaKemenkeu!$AY$6:$AY$1005="Direkomendasikan",ROW($6:$1005)-5),148)),"")</f>
        <v/>
      </c>
      <c r="E149" t="str">
        <f t="array" ref="E149">IFERROR(INDEX(checklistPesertaKemenkeu!$H$6:$H$1005,SMALL(IF(checklistPesertaKemenkeu!$AY$6:$AY$1005="Direkomendasikan",ROW($6:$1005)-5),148)),"")</f>
        <v/>
      </c>
      <c r="F149" t="str">
        <f t="array" ref="F149">IFERROR(INDEX(checklistPesertaKemenkeu!$I$6:$I$1005,SMALL(IF(checklistPesertaKemenkeu!$AY$6:$AY$1005="Direkomendasikan",ROW($6:$1005)-5),148)),"")</f>
        <v/>
      </c>
      <c r="G149" t="str">
        <f t="array" ref="G149">IFERROR(INDEX(checklistPesertaKemenkeu!$J$6:$J$1005,SMALL(IF(checklistPesertaKemenkeu!$AY$6:$AY$1005="Direkomendasikan",ROW($6:$1005)-5),148)),"")</f>
        <v/>
      </c>
      <c r="H149" t="str">
        <f t="array" aca="1" ref="H149" ca="1">IFERROR(IF(OR(INDEX(checklistPesertaKemenkeu!$L$6:$L$1005,SMALL(IF(checklistPesertaKemenkeu!$AY$6:$AY$1005="Direkomendasikan",ROW($6:$1005)-5),148))="",INDEX(checklistPesertaKemenkeu!$J$6:$J$1005,SMALL(IF(checklistPesertaKemenkeu!$AY$6:$AY$1005="Direkomendasikan",ROW($6:$1005)-5),148))=""),"",IF(AND(COUNTIF(INDIRECT("K_"&amp;MATCH(INDEX(checklistPesertaKemenkeu!$J$6:$J$1005,SMALL(IF(checklistPesertaKemenkeu!$AY$6:$AY$1005="Direkomendasikan",ROW($6:$1005)-5),148)),BidangList,0)),INDEX(checklistPesertaKemenkeu!$L$6:$L$1005,SMALL(IF(checklistPesertaKemenkeu!$AY$6:$AY$1005="Direkomendasikan",ROW($6:$1005)-5),148)))&gt;0,COUNTIF(INDIRECT("'KERTAS KERJA'!K"&amp;(SMALL(IF(checklistPesertaKemenkeu!$AY$6:$AY$1005="Direkomendasikan",ROW($6:$1005)-5),148)+5)&amp;":O"&amp;(SMALL(IF(checklistPesertaKemenkeu!$AY$6:$AY$1005="Direkomendasikan",ROW($6:$1005)-5),148)+5)),INDEX(checklistPesertaKemenkeu!$L$6:$L$1005,SMALL(IF(checklistPesertaKemenkeu!$AY$6:$AY$1005="Direkomendasikan",ROW($6:$1005)-5),148)))=1),IFERROR(VLOOKUP(INDEX(checklistPesertaKemenkeu!$L$6:$L$1005,SMALL(IF(checklistPesertaKemenkeu!$AY$6:$AY$1005="Direkomendasikan",ROW($6:$1005)-5),148)),KotaKode,2,0),"-"),"")),"")</f>
        <v/>
      </c>
      <c r="I149" t="str">
        <f t="array" aca="1" ref="I149" ca="1">IFERROR(IF(OR(INDEX(checklistPesertaKemenkeu!$M$6:$M$1005,SMALL(IF(checklistPesertaKemenkeu!$AY$6:$AY$1005="Direkomendasikan",ROW($6:$1005)-5),148))="",INDEX(checklistPesertaKemenkeu!$J$6:$J$1005,SMALL(IF(checklistPesertaKemenkeu!$AY$6:$AY$1005="Direkomendasikan",ROW($6:$1005)-5),148))=""),"",IF(AND(COUNTIF(INDIRECT("K_"&amp;MATCH(INDEX(checklistPesertaKemenkeu!$J$6:$J$1005,SMALL(IF(checklistPesertaKemenkeu!$AY$6:$AY$1005="Direkomendasikan",ROW($6:$1005)-5),148)),BidangList,0)),INDEX(checklistPesertaKemenkeu!$M$6:$M$1005,SMALL(IF(checklistPesertaKemenkeu!$AY$6:$AY$1005="Direkomendasikan",ROW($6:$1005)-5),148)))&gt;0,COUNTIF(INDIRECT("'KERTAS KERJA'!K"&amp;(SMALL(IF(checklistPesertaKemenkeu!$AY$6:$AY$1005="Direkomendasikan",ROW($6:$1005)-5),148)+5)&amp;":O"&amp;(SMALL(IF(checklistPesertaKemenkeu!$AY$6:$AY$1005="Direkomendasikan",ROW($6:$1005)-5),148)+5)),INDEX(checklistPesertaKemenkeu!$M$6:$M$1005,SMALL(IF(checklistPesertaKemenkeu!$AY$6:$AY$1005="Direkomendasikan",ROW($6:$1005)-5),148)))=1),IFERROR(VLOOKUP(INDEX(checklistPesertaKemenkeu!$M$6:$M$1005,SMALL(IF(checklistPesertaKemenkeu!$AY$6:$AY$1005="Direkomendasikan",ROW($6:$1005)-5),148)),KotaKode,2,0),"-"),"")),"")</f>
        <v/>
      </c>
      <c r="J149" t="str">
        <f t="array" aca="1" ref="J149" ca="1">IFERROR(IF(OR(INDEX(checklistPesertaKemenkeu!$N$6:$N$1005,SMALL(IF(checklistPesertaKemenkeu!$AY$6:$AY$1005="Direkomendasikan",ROW($6:$1005)-5),148))="",INDEX(checklistPesertaKemenkeu!$J$6:$J$1005,SMALL(IF(checklistPesertaKemenkeu!$AY$6:$AY$1005="Direkomendasikan",ROW($6:$1005)-5),148))=""),"",IF(AND(COUNTIF(INDIRECT("K_"&amp;MATCH(INDEX(checklistPesertaKemenkeu!$J$6:$J$1005,SMALL(IF(checklistPesertaKemenkeu!$AY$6:$AY$1005="Direkomendasikan",ROW($6:$1005)-5),148)),BidangList,0)),INDEX(checklistPesertaKemenkeu!$N$6:$N$1005,SMALL(IF(checklistPesertaKemenkeu!$AY$6:$AY$1005="Direkomendasikan",ROW($6:$1005)-5),148)))&gt;0,COUNTIF(INDIRECT("'KERTAS KERJA'!K"&amp;(SMALL(IF(checklistPesertaKemenkeu!$AY$6:$AY$1005="Direkomendasikan",ROW($6:$1005)-5),148)+5)&amp;":O"&amp;(SMALL(IF(checklistPesertaKemenkeu!$AY$6:$AY$1005="Direkomendasikan",ROW($6:$1005)-5),148)+5)),INDEX(checklistPesertaKemenkeu!$N$6:$N$1005,SMALL(IF(checklistPesertaKemenkeu!$AY$6:$AY$1005="Direkomendasikan",ROW($6:$1005)-5),148)))=1),IFERROR(VLOOKUP(INDEX(checklistPesertaKemenkeu!$N$6:$N$1005,SMALL(IF(checklistPesertaKemenkeu!$AY$6:$AY$1005="Direkomendasikan",ROW($6:$1005)-5),148)),KotaKode,2,0),"-"),"")),"")</f>
        <v/>
      </c>
      <c r="K149" t="str">
        <f t="array" aca="1" ref="K149" ca="1">IFERROR(IF(OR(INDEX(checklistPesertaKemenkeu!$O$6:$O$1005,SMALL(IF(checklistPesertaKemenkeu!$AY$6:$AY$1005="Direkomendasikan",ROW($6:$1005)-5),148))="",INDEX(checklistPesertaKemenkeu!$J$6:$J$1005,SMALL(IF(checklistPesertaKemenkeu!$AY$6:$AY$1005="Direkomendasikan",ROW($6:$1005)-5),148))=""),"",IF(AND(COUNTIF(INDIRECT("K_"&amp;MATCH(INDEX(checklistPesertaKemenkeu!$J$6:$J$1005,SMALL(IF(checklistPesertaKemenkeu!$AY$6:$AY$1005="Direkomendasikan",ROW($6:$1005)-5),148)),BidangList,0)),INDEX(checklistPesertaKemenkeu!$O$6:$O$1005,SMALL(IF(checklistPesertaKemenkeu!$AY$6:$AY$1005="Direkomendasikan",ROW($6:$1005)-5),148)))&gt;0,COUNTIF(INDIRECT("'KERTAS KERJA'!K"&amp;(SMALL(IF(checklistPesertaKemenkeu!$AY$6:$AY$1005="Direkomendasikan",ROW($6:$1005)-5),148)+5)&amp;":O"&amp;(SMALL(IF(checklistPesertaKemenkeu!$AY$6:$AY$1005="Direkomendasikan",ROW($6:$1005)-5),148)+5)),INDEX(checklistPesertaKemenkeu!$O$6:$O$1005,SMALL(IF(checklistPesertaKemenkeu!$AY$6:$AY$1005="Direkomendasikan",ROW($6:$1005)-5),148)))=1),IFERROR(VLOOKUP(INDEX(checklistPesertaKemenkeu!$O$6:$O$1005,SMALL(IF(checklistPesertaKemenkeu!$AY$6:$AY$1005="Direkomendasikan",ROW($6:$1005)-5),148)),KotaKode,2,0),"-"),"")),"")</f>
        <v/>
      </c>
      <c r="L149" t="str">
        <f t="array" aca="1" ref="L149" ca="1">IFERROR(IF(OR(INDEX(checklistPesertaKemenkeu!$P$6:$P$1005,SMALL(IF(checklistPesertaKemenkeu!$AY$6:$AY$1005="Direkomendasikan",ROW($6:$1005)-5),148))="",INDEX(checklistPesertaKemenkeu!$J$6:$J$1005,SMALL(IF(checklistPesertaKemenkeu!$AY$6:$AY$1005="Direkomendasikan",ROW($6:$1005)-5),148))=""),"",IF(AND(COUNTIF(INDIRECT("K_"&amp;MATCH(INDEX(checklistPesertaKemenkeu!$J$6:$J$1005,SMALL(IF(checklistPesertaKemenkeu!$AY$6:$AY$1005="Direkomendasikan",ROW($6:$1005)-5),148)),BidangList,0)),INDEX(checklistPesertaKemenkeu!$P$6:$P$1005,SMALL(IF(checklistPesertaKemenkeu!$AY$6:$AY$1005="Direkomendasikan",ROW($6:$1005)-5),148)))&gt;0,COUNTIF(INDIRECT("'KERTAS KERJA'!K"&amp;(SMALL(IF(checklistPesertaKemenkeu!$AY$6:$AY$1005="Direkomendasikan",ROW($6:$1005)-5),148)+5)&amp;":O"&amp;(SMALL(IF(checklistPesertaKemenkeu!$AY$6:$AY$1005="Direkomendasikan",ROW($6:$1005)-5),148)+5)),INDEX(checklistPesertaKemenkeu!$P$6:$P$1005,SMALL(IF(checklistPesertaKemenkeu!$AY$6:$AY$1005="Direkomendasikan",ROW($6:$1005)-5),148)))=1),IFERROR(VLOOKUP(INDEX(checklistPesertaKemenkeu!$P$6:$P$1005,SMALL(IF(checklistPesertaKemenkeu!$AY$6:$AY$1005="Direkomendasikan",ROW($6:$1005)-5),148)),KotaKode,2,0),"-"),"")),"")</f>
        <v/>
      </c>
    </row>
    <row r="150" spans="1:12" ht="15" customHeight="1" x14ac:dyDescent="0.2">
      <c r="A150" t="str">
        <f t="shared" si="2"/>
        <v/>
      </c>
      <c r="B150" t="str">
        <v/>
      </c>
      <c r="C150" s="40" t="str">
        <f t="array" ref="C150">IFERROR(INDEX(checklistPesertaKemenkeu!$F$6:$F$1005,SMALL(IF(checklistPesertaKemenkeu!$AY$6:$AY$1005="Direkomendasikan",ROW($6:$1005)-5),149)),"")</f>
        <v/>
      </c>
      <c r="D150" t="str">
        <f t="array" ref="D150">IFERROR(INDEX(checklistPesertaKemenkeu!$G$6:$G$1005,SMALL(IF(checklistPesertaKemenkeu!$AY$6:$AY$1005="Direkomendasikan",ROW($6:$1005)-5),149)),"")</f>
        <v/>
      </c>
      <c r="E150" t="str">
        <f t="array" ref="E150">IFERROR(INDEX(checklistPesertaKemenkeu!$H$6:$H$1005,SMALL(IF(checklistPesertaKemenkeu!$AY$6:$AY$1005="Direkomendasikan",ROW($6:$1005)-5),149)),"")</f>
        <v/>
      </c>
      <c r="F150" t="str">
        <f t="array" ref="F150">IFERROR(INDEX(checklistPesertaKemenkeu!$I$6:$I$1005,SMALL(IF(checklistPesertaKemenkeu!$AY$6:$AY$1005="Direkomendasikan",ROW($6:$1005)-5),149)),"")</f>
        <v/>
      </c>
      <c r="G150" t="str">
        <f t="array" ref="G150">IFERROR(INDEX(checklistPesertaKemenkeu!$J$6:$J$1005,SMALL(IF(checklistPesertaKemenkeu!$AY$6:$AY$1005="Direkomendasikan",ROW($6:$1005)-5),149)),"")</f>
        <v/>
      </c>
      <c r="H150" t="str">
        <f t="array" aca="1" ref="H150" ca="1">IFERROR(IF(OR(INDEX(checklistPesertaKemenkeu!$L$6:$L$1005,SMALL(IF(checklistPesertaKemenkeu!$AY$6:$AY$1005="Direkomendasikan",ROW($6:$1005)-5),149))="",INDEX(checklistPesertaKemenkeu!$J$6:$J$1005,SMALL(IF(checklistPesertaKemenkeu!$AY$6:$AY$1005="Direkomendasikan",ROW($6:$1005)-5),149))=""),"",IF(AND(COUNTIF(INDIRECT("K_"&amp;MATCH(INDEX(checklistPesertaKemenkeu!$J$6:$J$1005,SMALL(IF(checklistPesertaKemenkeu!$AY$6:$AY$1005="Direkomendasikan",ROW($6:$1005)-5),149)),BidangList,0)),INDEX(checklistPesertaKemenkeu!$L$6:$L$1005,SMALL(IF(checklistPesertaKemenkeu!$AY$6:$AY$1005="Direkomendasikan",ROW($6:$1005)-5),149)))&gt;0,COUNTIF(INDIRECT("'KERTAS KERJA'!K"&amp;(SMALL(IF(checklistPesertaKemenkeu!$AY$6:$AY$1005="Direkomendasikan",ROW($6:$1005)-5),149)+5)&amp;":O"&amp;(SMALL(IF(checklistPesertaKemenkeu!$AY$6:$AY$1005="Direkomendasikan",ROW($6:$1005)-5),149)+5)),INDEX(checklistPesertaKemenkeu!$L$6:$L$1005,SMALL(IF(checklistPesertaKemenkeu!$AY$6:$AY$1005="Direkomendasikan",ROW($6:$1005)-5),149)))=1),IFERROR(VLOOKUP(INDEX(checklistPesertaKemenkeu!$L$6:$L$1005,SMALL(IF(checklistPesertaKemenkeu!$AY$6:$AY$1005="Direkomendasikan",ROW($6:$1005)-5),149)),KotaKode,2,0),"-"),"")),"")</f>
        <v/>
      </c>
      <c r="I150" t="str">
        <f t="array" aca="1" ref="I150" ca="1">IFERROR(IF(OR(INDEX(checklistPesertaKemenkeu!$M$6:$M$1005,SMALL(IF(checklistPesertaKemenkeu!$AY$6:$AY$1005="Direkomendasikan",ROW($6:$1005)-5),149))="",INDEX(checklistPesertaKemenkeu!$J$6:$J$1005,SMALL(IF(checklistPesertaKemenkeu!$AY$6:$AY$1005="Direkomendasikan",ROW($6:$1005)-5),149))=""),"",IF(AND(COUNTIF(INDIRECT("K_"&amp;MATCH(INDEX(checklistPesertaKemenkeu!$J$6:$J$1005,SMALL(IF(checklistPesertaKemenkeu!$AY$6:$AY$1005="Direkomendasikan",ROW($6:$1005)-5),149)),BidangList,0)),INDEX(checklistPesertaKemenkeu!$M$6:$M$1005,SMALL(IF(checklistPesertaKemenkeu!$AY$6:$AY$1005="Direkomendasikan",ROW($6:$1005)-5),149)))&gt;0,COUNTIF(INDIRECT("'KERTAS KERJA'!K"&amp;(SMALL(IF(checklistPesertaKemenkeu!$AY$6:$AY$1005="Direkomendasikan",ROW($6:$1005)-5),149)+5)&amp;":O"&amp;(SMALL(IF(checklistPesertaKemenkeu!$AY$6:$AY$1005="Direkomendasikan",ROW($6:$1005)-5),149)+5)),INDEX(checklistPesertaKemenkeu!$M$6:$M$1005,SMALL(IF(checklistPesertaKemenkeu!$AY$6:$AY$1005="Direkomendasikan",ROW($6:$1005)-5),149)))=1),IFERROR(VLOOKUP(INDEX(checklistPesertaKemenkeu!$M$6:$M$1005,SMALL(IF(checklistPesertaKemenkeu!$AY$6:$AY$1005="Direkomendasikan",ROW($6:$1005)-5),149)),KotaKode,2,0),"-"),"")),"")</f>
        <v/>
      </c>
      <c r="J150" t="str">
        <f t="array" aca="1" ref="J150" ca="1">IFERROR(IF(OR(INDEX(checklistPesertaKemenkeu!$N$6:$N$1005,SMALL(IF(checklistPesertaKemenkeu!$AY$6:$AY$1005="Direkomendasikan",ROW($6:$1005)-5),149))="",INDEX(checklistPesertaKemenkeu!$J$6:$J$1005,SMALL(IF(checklistPesertaKemenkeu!$AY$6:$AY$1005="Direkomendasikan",ROW($6:$1005)-5),149))=""),"",IF(AND(COUNTIF(INDIRECT("K_"&amp;MATCH(INDEX(checklistPesertaKemenkeu!$J$6:$J$1005,SMALL(IF(checklistPesertaKemenkeu!$AY$6:$AY$1005="Direkomendasikan",ROW($6:$1005)-5),149)),BidangList,0)),INDEX(checklistPesertaKemenkeu!$N$6:$N$1005,SMALL(IF(checklistPesertaKemenkeu!$AY$6:$AY$1005="Direkomendasikan",ROW($6:$1005)-5),149)))&gt;0,COUNTIF(INDIRECT("'KERTAS KERJA'!K"&amp;(SMALL(IF(checklistPesertaKemenkeu!$AY$6:$AY$1005="Direkomendasikan",ROW($6:$1005)-5),149)+5)&amp;":O"&amp;(SMALL(IF(checklistPesertaKemenkeu!$AY$6:$AY$1005="Direkomendasikan",ROW($6:$1005)-5),149)+5)),INDEX(checklistPesertaKemenkeu!$N$6:$N$1005,SMALL(IF(checklistPesertaKemenkeu!$AY$6:$AY$1005="Direkomendasikan",ROW($6:$1005)-5),149)))=1),IFERROR(VLOOKUP(INDEX(checklistPesertaKemenkeu!$N$6:$N$1005,SMALL(IF(checklistPesertaKemenkeu!$AY$6:$AY$1005="Direkomendasikan",ROW($6:$1005)-5),149)),KotaKode,2,0),"-"),"")),"")</f>
        <v/>
      </c>
      <c r="K150" t="str">
        <f t="array" aca="1" ref="K150" ca="1">IFERROR(IF(OR(INDEX(checklistPesertaKemenkeu!$O$6:$O$1005,SMALL(IF(checklistPesertaKemenkeu!$AY$6:$AY$1005="Direkomendasikan",ROW($6:$1005)-5),149))="",INDEX(checklistPesertaKemenkeu!$J$6:$J$1005,SMALL(IF(checklistPesertaKemenkeu!$AY$6:$AY$1005="Direkomendasikan",ROW($6:$1005)-5),149))=""),"",IF(AND(COUNTIF(INDIRECT("K_"&amp;MATCH(INDEX(checklistPesertaKemenkeu!$J$6:$J$1005,SMALL(IF(checklistPesertaKemenkeu!$AY$6:$AY$1005="Direkomendasikan",ROW($6:$1005)-5),149)),BidangList,0)),INDEX(checklistPesertaKemenkeu!$O$6:$O$1005,SMALL(IF(checklistPesertaKemenkeu!$AY$6:$AY$1005="Direkomendasikan",ROW($6:$1005)-5),149)))&gt;0,COUNTIF(INDIRECT("'KERTAS KERJA'!K"&amp;(SMALL(IF(checklistPesertaKemenkeu!$AY$6:$AY$1005="Direkomendasikan",ROW($6:$1005)-5),149)+5)&amp;":O"&amp;(SMALL(IF(checklistPesertaKemenkeu!$AY$6:$AY$1005="Direkomendasikan",ROW($6:$1005)-5),149)+5)),INDEX(checklistPesertaKemenkeu!$O$6:$O$1005,SMALL(IF(checklistPesertaKemenkeu!$AY$6:$AY$1005="Direkomendasikan",ROW($6:$1005)-5),149)))=1),IFERROR(VLOOKUP(INDEX(checklistPesertaKemenkeu!$O$6:$O$1005,SMALL(IF(checklistPesertaKemenkeu!$AY$6:$AY$1005="Direkomendasikan",ROW($6:$1005)-5),149)),KotaKode,2,0),"-"),"")),"")</f>
        <v/>
      </c>
      <c r="L150" t="str">
        <f t="array" aca="1" ref="L150" ca="1">IFERROR(IF(OR(INDEX(checklistPesertaKemenkeu!$P$6:$P$1005,SMALL(IF(checklistPesertaKemenkeu!$AY$6:$AY$1005="Direkomendasikan",ROW($6:$1005)-5),149))="",INDEX(checklistPesertaKemenkeu!$J$6:$J$1005,SMALL(IF(checklistPesertaKemenkeu!$AY$6:$AY$1005="Direkomendasikan",ROW($6:$1005)-5),149))=""),"",IF(AND(COUNTIF(INDIRECT("K_"&amp;MATCH(INDEX(checklistPesertaKemenkeu!$J$6:$J$1005,SMALL(IF(checklistPesertaKemenkeu!$AY$6:$AY$1005="Direkomendasikan",ROW($6:$1005)-5),149)),BidangList,0)),INDEX(checklistPesertaKemenkeu!$P$6:$P$1005,SMALL(IF(checklistPesertaKemenkeu!$AY$6:$AY$1005="Direkomendasikan",ROW($6:$1005)-5),149)))&gt;0,COUNTIF(INDIRECT("'KERTAS KERJA'!K"&amp;(SMALL(IF(checklistPesertaKemenkeu!$AY$6:$AY$1005="Direkomendasikan",ROW($6:$1005)-5),149)+5)&amp;":O"&amp;(SMALL(IF(checklistPesertaKemenkeu!$AY$6:$AY$1005="Direkomendasikan",ROW($6:$1005)-5),149)+5)),INDEX(checklistPesertaKemenkeu!$P$6:$P$1005,SMALL(IF(checklistPesertaKemenkeu!$AY$6:$AY$1005="Direkomendasikan",ROW($6:$1005)-5),149)))=1),IFERROR(VLOOKUP(INDEX(checklistPesertaKemenkeu!$P$6:$P$1005,SMALL(IF(checklistPesertaKemenkeu!$AY$6:$AY$1005="Direkomendasikan",ROW($6:$1005)-5),149)),KotaKode,2,0),"-"),"")),"")</f>
        <v/>
      </c>
    </row>
    <row r="151" spans="1:12" ht="15" customHeight="1" x14ac:dyDescent="0.2">
      <c r="A151" t="str">
        <f t="shared" si="2"/>
        <v/>
      </c>
      <c r="B151" t="str">
        <v/>
      </c>
      <c r="C151" s="40" t="str">
        <f t="array" ref="C151">IFERROR(INDEX(checklistPesertaKemenkeu!$F$6:$F$1005,SMALL(IF(checklistPesertaKemenkeu!$AY$6:$AY$1005="Direkomendasikan",ROW($6:$1005)-5),150)),"")</f>
        <v/>
      </c>
      <c r="D151" t="str">
        <f t="array" ref="D151">IFERROR(INDEX(checklistPesertaKemenkeu!$G$6:$G$1005,SMALL(IF(checklistPesertaKemenkeu!$AY$6:$AY$1005="Direkomendasikan",ROW($6:$1005)-5),150)),"")</f>
        <v/>
      </c>
      <c r="E151" t="str">
        <f t="array" ref="E151">IFERROR(INDEX(checklistPesertaKemenkeu!$H$6:$H$1005,SMALL(IF(checklistPesertaKemenkeu!$AY$6:$AY$1005="Direkomendasikan",ROW($6:$1005)-5),150)),"")</f>
        <v/>
      </c>
      <c r="F151" t="str">
        <f t="array" ref="F151">IFERROR(INDEX(checklistPesertaKemenkeu!$I$6:$I$1005,SMALL(IF(checklistPesertaKemenkeu!$AY$6:$AY$1005="Direkomendasikan",ROW($6:$1005)-5),150)),"")</f>
        <v/>
      </c>
      <c r="G151" t="str">
        <f t="array" ref="G151">IFERROR(INDEX(checklistPesertaKemenkeu!$J$6:$J$1005,SMALL(IF(checklistPesertaKemenkeu!$AY$6:$AY$1005="Direkomendasikan",ROW($6:$1005)-5),150)),"")</f>
        <v/>
      </c>
      <c r="H151" t="str">
        <f t="array" aca="1" ref="H151" ca="1">IFERROR(IF(OR(INDEX(checklistPesertaKemenkeu!$L$6:$L$1005,SMALL(IF(checklistPesertaKemenkeu!$AY$6:$AY$1005="Direkomendasikan",ROW($6:$1005)-5),150))="",INDEX(checklistPesertaKemenkeu!$J$6:$J$1005,SMALL(IF(checklistPesertaKemenkeu!$AY$6:$AY$1005="Direkomendasikan",ROW($6:$1005)-5),150))=""),"",IF(AND(COUNTIF(INDIRECT("K_"&amp;MATCH(INDEX(checklistPesertaKemenkeu!$J$6:$J$1005,SMALL(IF(checklistPesertaKemenkeu!$AY$6:$AY$1005="Direkomendasikan",ROW($6:$1005)-5),150)),BidangList,0)),INDEX(checklistPesertaKemenkeu!$L$6:$L$1005,SMALL(IF(checklistPesertaKemenkeu!$AY$6:$AY$1005="Direkomendasikan",ROW($6:$1005)-5),150)))&gt;0,COUNTIF(INDIRECT("'KERTAS KERJA'!K"&amp;(SMALL(IF(checklistPesertaKemenkeu!$AY$6:$AY$1005="Direkomendasikan",ROW($6:$1005)-5),150)+5)&amp;":O"&amp;(SMALL(IF(checklistPesertaKemenkeu!$AY$6:$AY$1005="Direkomendasikan",ROW($6:$1005)-5),150)+5)),INDEX(checklistPesertaKemenkeu!$L$6:$L$1005,SMALL(IF(checklistPesertaKemenkeu!$AY$6:$AY$1005="Direkomendasikan",ROW($6:$1005)-5),150)))=1),IFERROR(VLOOKUP(INDEX(checklistPesertaKemenkeu!$L$6:$L$1005,SMALL(IF(checklistPesertaKemenkeu!$AY$6:$AY$1005="Direkomendasikan",ROW($6:$1005)-5),150)),KotaKode,2,0),"-"),"")),"")</f>
        <v/>
      </c>
      <c r="I151" t="str">
        <f t="array" aca="1" ref="I151" ca="1">IFERROR(IF(OR(INDEX(checklistPesertaKemenkeu!$M$6:$M$1005,SMALL(IF(checklistPesertaKemenkeu!$AY$6:$AY$1005="Direkomendasikan",ROW($6:$1005)-5),150))="",INDEX(checklistPesertaKemenkeu!$J$6:$J$1005,SMALL(IF(checklistPesertaKemenkeu!$AY$6:$AY$1005="Direkomendasikan",ROW($6:$1005)-5),150))=""),"",IF(AND(COUNTIF(INDIRECT("K_"&amp;MATCH(INDEX(checklistPesertaKemenkeu!$J$6:$J$1005,SMALL(IF(checklistPesertaKemenkeu!$AY$6:$AY$1005="Direkomendasikan",ROW($6:$1005)-5),150)),BidangList,0)),INDEX(checklistPesertaKemenkeu!$M$6:$M$1005,SMALL(IF(checklistPesertaKemenkeu!$AY$6:$AY$1005="Direkomendasikan",ROW($6:$1005)-5),150)))&gt;0,COUNTIF(INDIRECT("'KERTAS KERJA'!K"&amp;(SMALL(IF(checklistPesertaKemenkeu!$AY$6:$AY$1005="Direkomendasikan",ROW($6:$1005)-5),150)+5)&amp;":O"&amp;(SMALL(IF(checklistPesertaKemenkeu!$AY$6:$AY$1005="Direkomendasikan",ROW($6:$1005)-5),150)+5)),INDEX(checklistPesertaKemenkeu!$M$6:$M$1005,SMALL(IF(checklistPesertaKemenkeu!$AY$6:$AY$1005="Direkomendasikan",ROW($6:$1005)-5),150)))=1),IFERROR(VLOOKUP(INDEX(checklistPesertaKemenkeu!$M$6:$M$1005,SMALL(IF(checklistPesertaKemenkeu!$AY$6:$AY$1005="Direkomendasikan",ROW($6:$1005)-5),150)),KotaKode,2,0),"-"),"")),"")</f>
        <v/>
      </c>
      <c r="J151" t="str">
        <f t="array" aca="1" ref="J151" ca="1">IFERROR(IF(OR(INDEX(checklistPesertaKemenkeu!$N$6:$N$1005,SMALL(IF(checklistPesertaKemenkeu!$AY$6:$AY$1005="Direkomendasikan",ROW($6:$1005)-5),150))="",INDEX(checklistPesertaKemenkeu!$J$6:$J$1005,SMALL(IF(checklistPesertaKemenkeu!$AY$6:$AY$1005="Direkomendasikan",ROW($6:$1005)-5),150))=""),"",IF(AND(COUNTIF(INDIRECT("K_"&amp;MATCH(INDEX(checklistPesertaKemenkeu!$J$6:$J$1005,SMALL(IF(checklistPesertaKemenkeu!$AY$6:$AY$1005="Direkomendasikan",ROW($6:$1005)-5),150)),BidangList,0)),INDEX(checklistPesertaKemenkeu!$N$6:$N$1005,SMALL(IF(checklistPesertaKemenkeu!$AY$6:$AY$1005="Direkomendasikan",ROW($6:$1005)-5),150)))&gt;0,COUNTIF(INDIRECT("'KERTAS KERJA'!K"&amp;(SMALL(IF(checklistPesertaKemenkeu!$AY$6:$AY$1005="Direkomendasikan",ROW($6:$1005)-5),150)+5)&amp;":O"&amp;(SMALL(IF(checklistPesertaKemenkeu!$AY$6:$AY$1005="Direkomendasikan",ROW($6:$1005)-5),150)+5)),INDEX(checklistPesertaKemenkeu!$N$6:$N$1005,SMALL(IF(checklistPesertaKemenkeu!$AY$6:$AY$1005="Direkomendasikan",ROW($6:$1005)-5),150)))=1),IFERROR(VLOOKUP(INDEX(checklistPesertaKemenkeu!$N$6:$N$1005,SMALL(IF(checklistPesertaKemenkeu!$AY$6:$AY$1005="Direkomendasikan",ROW($6:$1005)-5),150)),KotaKode,2,0),"-"),"")),"")</f>
        <v/>
      </c>
      <c r="K151" t="str">
        <f t="array" aca="1" ref="K151" ca="1">IFERROR(IF(OR(INDEX(checklistPesertaKemenkeu!$O$6:$O$1005,SMALL(IF(checklistPesertaKemenkeu!$AY$6:$AY$1005="Direkomendasikan",ROW($6:$1005)-5),150))="",INDEX(checklistPesertaKemenkeu!$J$6:$J$1005,SMALL(IF(checklistPesertaKemenkeu!$AY$6:$AY$1005="Direkomendasikan",ROW($6:$1005)-5),150))=""),"",IF(AND(COUNTIF(INDIRECT("K_"&amp;MATCH(INDEX(checklistPesertaKemenkeu!$J$6:$J$1005,SMALL(IF(checklistPesertaKemenkeu!$AY$6:$AY$1005="Direkomendasikan",ROW($6:$1005)-5),150)),BidangList,0)),INDEX(checklistPesertaKemenkeu!$O$6:$O$1005,SMALL(IF(checklistPesertaKemenkeu!$AY$6:$AY$1005="Direkomendasikan",ROW($6:$1005)-5),150)))&gt;0,COUNTIF(INDIRECT("'KERTAS KERJA'!K"&amp;(SMALL(IF(checklistPesertaKemenkeu!$AY$6:$AY$1005="Direkomendasikan",ROW($6:$1005)-5),150)+5)&amp;":O"&amp;(SMALL(IF(checklistPesertaKemenkeu!$AY$6:$AY$1005="Direkomendasikan",ROW($6:$1005)-5),150)+5)),INDEX(checklistPesertaKemenkeu!$O$6:$O$1005,SMALL(IF(checklistPesertaKemenkeu!$AY$6:$AY$1005="Direkomendasikan",ROW($6:$1005)-5),150)))=1),IFERROR(VLOOKUP(INDEX(checklistPesertaKemenkeu!$O$6:$O$1005,SMALL(IF(checklistPesertaKemenkeu!$AY$6:$AY$1005="Direkomendasikan",ROW($6:$1005)-5),150)),KotaKode,2,0),"-"),"")),"")</f>
        <v/>
      </c>
      <c r="L151" t="str">
        <f t="array" aca="1" ref="L151" ca="1">IFERROR(IF(OR(INDEX(checklistPesertaKemenkeu!$P$6:$P$1005,SMALL(IF(checklistPesertaKemenkeu!$AY$6:$AY$1005="Direkomendasikan",ROW($6:$1005)-5),150))="",INDEX(checklistPesertaKemenkeu!$J$6:$J$1005,SMALL(IF(checklistPesertaKemenkeu!$AY$6:$AY$1005="Direkomendasikan",ROW($6:$1005)-5),150))=""),"",IF(AND(COUNTIF(INDIRECT("K_"&amp;MATCH(INDEX(checklistPesertaKemenkeu!$J$6:$J$1005,SMALL(IF(checklistPesertaKemenkeu!$AY$6:$AY$1005="Direkomendasikan",ROW($6:$1005)-5),150)),BidangList,0)),INDEX(checklistPesertaKemenkeu!$P$6:$P$1005,SMALL(IF(checklistPesertaKemenkeu!$AY$6:$AY$1005="Direkomendasikan",ROW($6:$1005)-5),150)))&gt;0,COUNTIF(INDIRECT("'KERTAS KERJA'!K"&amp;(SMALL(IF(checklistPesertaKemenkeu!$AY$6:$AY$1005="Direkomendasikan",ROW($6:$1005)-5),150)+5)&amp;":O"&amp;(SMALL(IF(checklistPesertaKemenkeu!$AY$6:$AY$1005="Direkomendasikan",ROW($6:$1005)-5),150)+5)),INDEX(checklistPesertaKemenkeu!$P$6:$P$1005,SMALL(IF(checklistPesertaKemenkeu!$AY$6:$AY$1005="Direkomendasikan",ROW($6:$1005)-5),150)))=1),IFERROR(VLOOKUP(INDEX(checklistPesertaKemenkeu!$P$6:$P$1005,SMALL(IF(checklistPesertaKemenkeu!$AY$6:$AY$1005="Direkomendasikan",ROW($6:$1005)-5),150)),KotaKode,2,0),"-"),"")),"")</f>
        <v/>
      </c>
    </row>
    <row r="152" spans="1:12" ht="15" customHeight="1" x14ac:dyDescent="0.2">
      <c r="A152" t="str">
        <f t="shared" si="2"/>
        <v/>
      </c>
      <c r="B152" t="str">
        <v/>
      </c>
      <c r="C152" s="40" t="str">
        <f t="array" ref="C152">IFERROR(INDEX(checklistPesertaKemenkeu!$F$6:$F$1005,SMALL(IF(checklistPesertaKemenkeu!$AY$6:$AY$1005="Direkomendasikan",ROW($6:$1005)-5),151)),"")</f>
        <v/>
      </c>
      <c r="D152" t="str">
        <f t="array" ref="D152">IFERROR(INDEX(checklistPesertaKemenkeu!$G$6:$G$1005,SMALL(IF(checklistPesertaKemenkeu!$AY$6:$AY$1005="Direkomendasikan",ROW($6:$1005)-5),151)),"")</f>
        <v/>
      </c>
      <c r="E152" t="str">
        <f t="array" ref="E152">IFERROR(INDEX(checklistPesertaKemenkeu!$H$6:$H$1005,SMALL(IF(checklistPesertaKemenkeu!$AY$6:$AY$1005="Direkomendasikan",ROW($6:$1005)-5),151)),"")</f>
        <v/>
      </c>
      <c r="F152" t="str">
        <f t="array" ref="F152">IFERROR(INDEX(checklistPesertaKemenkeu!$I$6:$I$1005,SMALL(IF(checklistPesertaKemenkeu!$AY$6:$AY$1005="Direkomendasikan",ROW($6:$1005)-5),151)),"")</f>
        <v/>
      </c>
      <c r="G152" t="str">
        <f t="array" ref="G152">IFERROR(INDEX(checklistPesertaKemenkeu!$J$6:$J$1005,SMALL(IF(checklistPesertaKemenkeu!$AY$6:$AY$1005="Direkomendasikan",ROW($6:$1005)-5),151)),"")</f>
        <v/>
      </c>
      <c r="H152" t="str">
        <f t="array" aca="1" ref="H152" ca="1">IFERROR(IF(OR(INDEX(checklistPesertaKemenkeu!$L$6:$L$1005,SMALL(IF(checklistPesertaKemenkeu!$AY$6:$AY$1005="Direkomendasikan",ROW($6:$1005)-5),151))="",INDEX(checklistPesertaKemenkeu!$J$6:$J$1005,SMALL(IF(checklistPesertaKemenkeu!$AY$6:$AY$1005="Direkomendasikan",ROW($6:$1005)-5),151))=""),"",IF(AND(COUNTIF(INDIRECT("K_"&amp;MATCH(INDEX(checklistPesertaKemenkeu!$J$6:$J$1005,SMALL(IF(checklistPesertaKemenkeu!$AY$6:$AY$1005="Direkomendasikan",ROW($6:$1005)-5),151)),BidangList,0)),INDEX(checklistPesertaKemenkeu!$L$6:$L$1005,SMALL(IF(checklistPesertaKemenkeu!$AY$6:$AY$1005="Direkomendasikan",ROW($6:$1005)-5),151)))&gt;0,COUNTIF(INDIRECT("'KERTAS KERJA'!K"&amp;(SMALL(IF(checklistPesertaKemenkeu!$AY$6:$AY$1005="Direkomendasikan",ROW($6:$1005)-5),151)+5)&amp;":O"&amp;(SMALL(IF(checklistPesertaKemenkeu!$AY$6:$AY$1005="Direkomendasikan",ROW($6:$1005)-5),151)+5)),INDEX(checklistPesertaKemenkeu!$L$6:$L$1005,SMALL(IF(checklistPesertaKemenkeu!$AY$6:$AY$1005="Direkomendasikan",ROW($6:$1005)-5),151)))=1),IFERROR(VLOOKUP(INDEX(checklistPesertaKemenkeu!$L$6:$L$1005,SMALL(IF(checklistPesertaKemenkeu!$AY$6:$AY$1005="Direkomendasikan",ROW($6:$1005)-5),151)),KotaKode,2,0),"-"),"")),"")</f>
        <v/>
      </c>
      <c r="I152" t="str">
        <f t="array" aca="1" ref="I152" ca="1">IFERROR(IF(OR(INDEX(checklistPesertaKemenkeu!$M$6:$M$1005,SMALL(IF(checklistPesertaKemenkeu!$AY$6:$AY$1005="Direkomendasikan",ROW($6:$1005)-5),151))="",INDEX(checklistPesertaKemenkeu!$J$6:$J$1005,SMALL(IF(checklistPesertaKemenkeu!$AY$6:$AY$1005="Direkomendasikan",ROW($6:$1005)-5),151))=""),"",IF(AND(COUNTIF(INDIRECT("K_"&amp;MATCH(INDEX(checklistPesertaKemenkeu!$J$6:$J$1005,SMALL(IF(checklistPesertaKemenkeu!$AY$6:$AY$1005="Direkomendasikan",ROW($6:$1005)-5),151)),BidangList,0)),INDEX(checklistPesertaKemenkeu!$M$6:$M$1005,SMALL(IF(checklistPesertaKemenkeu!$AY$6:$AY$1005="Direkomendasikan",ROW($6:$1005)-5),151)))&gt;0,COUNTIF(INDIRECT("'KERTAS KERJA'!K"&amp;(SMALL(IF(checklistPesertaKemenkeu!$AY$6:$AY$1005="Direkomendasikan",ROW($6:$1005)-5),151)+5)&amp;":O"&amp;(SMALL(IF(checklistPesertaKemenkeu!$AY$6:$AY$1005="Direkomendasikan",ROW($6:$1005)-5),151)+5)),INDEX(checklistPesertaKemenkeu!$M$6:$M$1005,SMALL(IF(checklistPesertaKemenkeu!$AY$6:$AY$1005="Direkomendasikan",ROW($6:$1005)-5),151)))=1),IFERROR(VLOOKUP(INDEX(checklistPesertaKemenkeu!$M$6:$M$1005,SMALL(IF(checklistPesertaKemenkeu!$AY$6:$AY$1005="Direkomendasikan",ROW($6:$1005)-5),151)),KotaKode,2,0),"-"),"")),"")</f>
        <v/>
      </c>
      <c r="J152" t="str">
        <f t="array" aca="1" ref="J152" ca="1">IFERROR(IF(OR(INDEX(checklistPesertaKemenkeu!$N$6:$N$1005,SMALL(IF(checklistPesertaKemenkeu!$AY$6:$AY$1005="Direkomendasikan",ROW($6:$1005)-5),151))="",INDEX(checklistPesertaKemenkeu!$J$6:$J$1005,SMALL(IF(checklistPesertaKemenkeu!$AY$6:$AY$1005="Direkomendasikan",ROW($6:$1005)-5),151))=""),"",IF(AND(COUNTIF(INDIRECT("K_"&amp;MATCH(INDEX(checklistPesertaKemenkeu!$J$6:$J$1005,SMALL(IF(checklistPesertaKemenkeu!$AY$6:$AY$1005="Direkomendasikan",ROW($6:$1005)-5),151)),BidangList,0)),INDEX(checklistPesertaKemenkeu!$N$6:$N$1005,SMALL(IF(checklistPesertaKemenkeu!$AY$6:$AY$1005="Direkomendasikan",ROW($6:$1005)-5),151)))&gt;0,COUNTIF(INDIRECT("'KERTAS KERJA'!K"&amp;(SMALL(IF(checklistPesertaKemenkeu!$AY$6:$AY$1005="Direkomendasikan",ROW($6:$1005)-5),151)+5)&amp;":O"&amp;(SMALL(IF(checklistPesertaKemenkeu!$AY$6:$AY$1005="Direkomendasikan",ROW($6:$1005)-5),151)+5)),INDEX(checklistPesertaKemenkeu!$N$6:$N$1005,SMALL(IF(checklistPesertaKemenkeu!$AY$6:$AY$1005="Direkomendasikan",ROW($6:$1005)-5),151)))=1),IFERROR(VLOOKUP(INDEX(checklistPesertaKemenkeu!$N$6:$N$1005,SMALL(IF(checklistPesertaKemenkeu!$AY$6:$AY$1005="Direkomendasikan",ROW($6:$1005)-5),151)),KotaKode,2,0),"-"),"")),"")</f>
        <v/>
      </c>
      <c r="K152" t="str">
        <f t="array" aca="1" ref="K152" ca="1">IFERROR(IF(OR(INDEX(checklistPesertaKemenkeu!$O$6:$O$1005,SMALL(IF(checklistPesertaKemenkeu!$AY$6:$AY$1005="Direkomendasikan",ROW($6:$1005)-5),151))="",INDEX(checklistPesertaKemenkeu!$J$6:$J$1005,SMALL(IF(checklistPesertaKemenkeu!$AY$6:$AY$1005="Direkomendasikan",ROW($6:$1005)-5),151))=""),"",IF(AND(COUNTIF(INDIRECT("K_"&amp;MATCH(INDEX(checklistPesertaKemenkeu!$J$6:$J$1005,SMALL(IF(checklistPesertaKemenkeu!$AY$6:$AY$1005="Direkomendasikan",ROW($6:$1005)-5),151)),BidangList,0)),INDEX(checklistPesertaKemenkeu!$O$6:$O$1005,SMALL(IF(checklistPesertaKemenkeu!$AY$6:$AY$1005="Direkomendasikan",ROW($6:$1005)-5),151)))&gt;0,COUNTIF(INDIRECT("'KERTAS KERJA'!K"&amp;(SMALL(IF(checklistPesertaKemenkeu!$AY$6:$AY$1005="Direkomendasikan",ROW($6:$1005)-5),151)+5)&amp;":O"&amp;(SMALL(IF(checklistPesertaKemenkeu!$AY$6:$AY$1005="Direkomendasikan",ROW($6:$1005)-5),151)+5)),INDEX(checklistPesertaKemenkeu!$O$6:$O$1005,SMALL(IF(checklistPesertaKemenkeu!$AY$6:$AY$1005="Direkomendasikan",ROW($6:$1005)-5),151)))=1),IFERROR(VLOOKUP(INDEX(checklistPesertaKemenkeu!$O$6:$O$1005,SMALL(IF(checklistPesertaKemenkeu!$AY$6:$AY$1005="Direkomendasikan",ROW($6:$1005)-5),151)),KotaKode,2,0),"-"),"")),"")</f>
        <v/>
      </c>
      <c r="L152" t="str">
        <f t="array" aca="1" ref="L152" ca="1">IFERROR(IF(OR(INDEX(checklistPesertaKemenkeu!$P$6:$P$1005,SMALL(IF(checklistPesertaKemenkeu!$AY$6:$AY$1005="Direkomendasikan",ROW($6:$1005)-5),151))="",INDEX(checklistPesertaKemenkeu!$J$6:$J$1005,SMALL(IF(checklistPesertaKemenkeu!$AY$6:$AY$1005="Direkomendasikan",ROW($6:$1005)-5),151))=""),"",IF(AND(COUNTIF(INDIRECT("K_"&amp;MATCH(INDEX(checklistPesertaKemenkeu!$J$6:$J$1005,SMALL(IF(checklistPesertaKemenkeu!$AY$6:$AY$1005="Direkomendasikan",ROW($6:$1005)-5),151)),BidangList,0)),INDEX(checklistPesertaKemenkeu!$P$6:$P$1005,SMALL(IF(checklistPesertaKemenkeu!$AY$6:$AY$1005="Direkomendasikan",ROW($6:$1005)-5),151)))&gt;0,COUNTIF(INDIRECT("'KERTAS KERJA'!K"&amp;(SMALL(IF(checklistPesertaKemenkeu!$AY$6:$AY$1005="Direkomendasikan",ROW($6:$1005)-5),151)+5)&amp;":O"&amp;(SMALL(IF(checklistPesertaKemenkeu!$AY$6:$AY$1005="Direkomendasikan",ROW($6:$1005)-5),151)+5)),INDEX(checklistPesertaKemenkeu!$P$6:$P$1005,SMALL(IF(checklistPesertaKemenkeu!$AY$6:$AY$1005="Direkomendasikan",ROW($6:$1005)-5),151)))=1),IFERROR(VLOOKUP(INDEX(checklistPesertaKemenkeu!$P$6:$P$1005,SMALL(IF(checklistPesertaKemenkeu!$AY$6:$AY$1005="Direkomendasikan",ROW($6:$1005)-5),151)),KotaKode,2,0),"-"),"")),"")</f>
        <v/>
      </c>
    </row>
    <row r="153" spans="1:12" ht="15" customHeight="1" x14ac:dyDescent="0.2">
      <c r="A153" t="str">
        <f t="shared" si="2"/>
        <v/>
      </c>
      <c r="B153" t="str">
        <v/>
      </c>
      <c r="C153" s="40" t="str">
        <f t="array" ref="C153">IFERROR(INDEX(checklistPesertaKemenkeu!$F$6:$F$1005,SMALL(IF(checklistPesertaKemenkeu!$AY$6:$AY$1005="Direkomendasikan",ROW($6:$1005)-5),152)),"")</f>
        <v/>
      </c>
      <c r="D153" t="str">
        <f t="array" ref="D153">IFERROR(INDEX(checklistPesertaKemenkeu!$G$6:$G$1005,SMALL(IF(checklistPesertaKemenkeu!$AY$6:$AY$1005="Direkomendasikan",ROW($6:$1005)-5),152)),"")</f>
        <v/>
      </c>
      <c r="E153" t="str">
        <f t="array" ref="E153">IFERROR(INDEX(checklistPesertaKemenkeu!$H$6:$H$1005,SMALL(IF(checklistPesertaKemenkeu!$AY$6:$AY$1005="Direkomendasikan",ROW($6:$1005)-5),152)),"")</f>
        <v/>
      </c>
      <c r="F153" t="str">
        <f t="array" ref="F153">IFERROR(INDEX(checklistPesertaKemenkeu!$I$6:$I$1005,SMALL(IF(checklistPesertaKemenkeu!$AY$6:$AY$1005="Direkomendasikan",ROW($6:$1005)-5),152)),"")</f>
        <v/>
      </c>
      <c r="G153" t="str">
        <f t="array" ref="G153">IFERROR(INDEX(checklistPesertaKemenkeu!$J$6:$J$1005,SMALL(IF(checklistPesertaKemenkeu!$AY$6:$AY$1005="Direkomendasikan",ROW($6:$1005)-5),152)),"")</f>
        <v/>
      </c>
      <c r="H153" t="str">
        <f t="array" aca="1" ref="H153" ca="1">IFERROR(IF(OR(INDEX(checklistPesertaKemenkeu!$L$6:$L$1005,SMALL(IF(checklistPesertaKemenkeu!$AY$6:$AY$1005="Direkomendasikan",ROW($6:$1005)-5),152))="",INDEX(checklistPesertaKemenkeu!$J$6:$J$1005,SMALL(IF(checklistPesertaKemenkeu!$AY$6:$AY$1005="Direkomendasikan",ROW($6:$1005)-5),152))=""),"",IF(AND(COUNTIF(INDIRECT("K_"&amp;MATCH(INDEX(checklistPesertaKemenkeu!$J$6:$J$1005,SMALL(IF(checklistPesertaKemenkeu!$AY$6:$AY$1005="Direkomendasikan",ROW($6:$1005)-5),152)),BidangList,0)),INDEX(checklistPesertaKemenkeu!$L$6:$L$1005,SMALL(IF(checklistPesertaKemenkeu!$AY$6:$AY$1005="Direkomendasikan",ROW($6:$1005)-5),152)))&gt;0,COUNTIF(INDIRECT("'KERTAS KERJA'!K"&amp;(SMALL(IF(checklistPesertaKemenkeu!$AY$6:$AY$1005="Direkomendasikan",ROW($6:$1005)-5),152)+5)&amp;":O"&amp;(SMALL(IF(checklistPesertaKemenkeu!$AY$6:$AY$1005="Direkomendasikan",ROW($6:$1005)-5),152)+5)),INDEX(checklistPesertaKemenkeu!$L$6:$L$1005,SMALL(IF(checklistPesertaKemenkeu!$AY$6:$AY$1005="Direkomendasikan",ROW($6:$1005)-5),152)))=1),IFERROR(VLOOKUP(INDEX(checklistPesertaKemenkeu!$L$6:$L$1005,SMALL(IF(checklistPesertaKemenkeu!$AY$6:$AY$1005="Direkomendasikan",ROW($6:$1005)-5),152)),KotaKode,2,0),"-"),"")),"")</f>
        <v/>
      </c>
      <c r="I153" t="str">
        <f t="array" aca="1" ref="I153" ca="1">IFERROR(IF(OR(INDEX(checklistPesertaKemenkeu!$M$6:$M$1005,SMALL(IF(checklistPesertaKemenkeu!$AY$6:$AY$1005="Direkomendasikan",ROW($6:$1005)-5),152))="",INDEX(checklistPesertaKemenkeu!$J$6:$J$1005,SMALL(IF(checklistPesertaKemenkeu!$AY$6:$AY$1005="Direkomendasikan",ROW($6:$1005)-5),152))=""),"",IF(AND(COUNTIF(INDIRECT("K_"&amp;MATCH(INDEX(checklistPesertaKemenkeu!$J$6:$J$1005,SMALL(IF(checklistPesertaKemenkeu!$AY$6:$AY$1005="Direkomendasikan",ROW($6:$1005)-5),152)),BidangList,0)),INDEX(checklistPesertaKemenkeu!$M$6:$M$1005,SMALL(IF(checklistPesertaKemenkeu!$AY$6:$AY$1005="Direkomendasikan",ROW($6:$1005)-5),152)))&gt;0,COUNTIF(INDIRECT("'KERTAS KERJA'!K"&amp;(SMALL(IF(checklistPesertaKemenkeu!$AY$6:$AY$1005="Direkomendasikan",ROW($6:$1005)-5),152)+5)&amp;":O"&amp;(SMALL(IF(checklistPesertaKemenkeu!$AY$6:$AY$1005="Direkomendasikan",ROW($6:$1005)-5),152)+5)),INDEX(checklistPesertaKemenkeu!$M$6:$M$1005,SMALL(IF(checklistPesertaKemenkeu!$AY$6:$AY$1005="Direkomendasikan",ROW($6:$1005)-5),152)))=1),IFERROR(VLOOKUP(INDEX(checklistPesertaKemenkeu!$M$6:$M$1005,SMALL(IF(checklistPesertaKemenkeu!$AY$6:$AY$1005="Direkomendasikan",ROW($6:$1005)-5),152)),KotaKode,2,0),"-"),"")),"")</f>
        <v/>
      </c>
      <c r="J153" t="str">
        <f t="array" aca="1" ref="J153" ca="1">IFERROR(IF(OR(INDEX(checklistPesertaKemenkeu!$N$6:$N$1005,SMALL(IF(checklistPesertaKemenkeu!$AY$6:$AY$1005="Direkomendasikan",ROW($6:$1005)-5),152))="",INDEX(checklistPesertaKemenkeu!$J$6:$J$1005,SMALL(IF(checklistPesertaKemenkeu!$AY$6:$AY$1005="Direkomendasikan",ROW($6:$1005)-5),152))=""),"",IF(AND(COUNTIF(INDIRECT("K_"&amp;MATCH(INDEX(checklistPesertaKemenkeu!$J$6:$J$1005,SMALL(IF(checklistPesertaKemenkeu!$AY$6:$AY$1005="Direkomendasikan",ROW($6:$1005)-5),152)),BidangList,0)),INDEX(checklistPesertaKemenkeu!$N$6:$N$1005,SMALL(IF(checklistPesertaKemenkeu!$AY$6:$AY$1005="Direkomendasikan",ROW($6:$1005)-5),152)))&gt;0,COUNTIF(INDIRECT("'KERTAS KERJA'!K"&amp;(SMALL(IF(checklistPesertaKemenkeu!$AY$6:$AY$1005="Direkomendasikan",ROW($6:$1005)-5),152)+5)&amp;":O"&amp;(SMALL(IF(checklistPesertaKemenkeu!$AY$6:$AY$1005="Direkomendasikan",ROW($6:$1005)-5),152)+5)),INDEX(checklistPesertaKemenkeu!$N$6:$N$1005,SMALL(IF(checklistPesertaKemenkeu!$AY$6:$AY$1005="Direkomendasikan",ROW($6:$1005)-5),152)))=1),IFERROR(VLOOKUP(INDEX(checklistPesertaKemenkeu!$N$6:$N$1005,SMALL(IF(checklistPesertaKemenkeu!$AY$6:$AY$1005="Direkomendasikan",ROW($6:$1005)-5),152)),KotaKode,2,0),"-"),"")),"")</f>
        <v/>
      </c>
      <c r="K153" t="str">
        <f t="array" aca="1" ref="K153" ca="1">IFERROR(IF(OR(INDEX(checklistPesertaKemenkeu!$O$6:$O$1005,SMALL(IF(checklistPesertaKemenkeu!$AY$6:$AY$1005="Direkomendasikan",ROW($6:$1005)-5),152))="",INDEX(checklistPesertaKemenkeu!$J$6:$J$1005,SMALL(IF(checklistPesertaKemenkeu!$AY$6:$AY$1005="Direkomendasikan",ROW($6:$1005)-5),152))=""),"",IF(AND(COUNTIF(INDIRECT("K_"&amp;MATCH(INDEX(checklistPesertaKemenkeu!$J$6:$J$1005,SMALL(IF(checklistPesertaKemenkeu!$AY$6:$AY$1005="Direkomendasikan",ROW($6:$1005)-5),152)),BidangList,0)),INDEX(checklistPesertaKemenkeu!$O$6:$O$1005,SMALL(IF(checklistPesertaKemenkeu!$AY$6:$AY$1005="Direkomendasikan",ROW($6:$1005)-5),152)))&gt;0,COUNTIF(INDIRECT("'KERTAS KERJA'!K"&amp;(SMALL(IF(checklistPesertaKemenkeu!$AY$6:$AY$1005="Direkomendasikan",ROW($6:$1005)-5),152)+5)&amp;":O"&amp;(SMALL(IF(checklistPesertaKemenkeu!$AY$6:$AY$1005="Direkomendasikan",ROW($6:$1005)-5),152)+5)),INDEX(checklistPesertaKemenkeu!$O$6:$O$1005,SMALL(IF(checklistPesertaKemenkeu!$AY$6:$AY$1005="Direkomendasikan",ROW($6:$1005)-5),152)))=1),IFERROR(VLOOKUP(INDEX(checklistPesertaKemenkeu!$O$6:$O$1005,SMALL(IF(checklistPesertaKemenkeu!$AY$6:$AY$1005="Direkomendasikan",ROW($6:$1005)-5),152)),KotaKode,2,0),"-"),"")),"")</f>
        <v/>
      </c>
      <c r="L153" t="str">
        <f t="array" aca="1" ref="L153" ca="1">IFERROR(IF(OR(INDEX(checklistPesertaKemenkeu!$P$6:$P$1005,SMALL(IF(checklistPesertaKemenkeu!$AY$6:$AY$1005="Direkomendasikan",ROW($6:$1005)-5),152))="",INDEX(checklistPesertaKemenkeu!$J$6:$J$1005,SMALL(IF(checklistPesertaKemenkeu!$AY$6:$AY$1005="Direkomendasikan",ROW($6:$1005)-5),152))=""),"",IF(AND(COUNTIF(INDIRECT("K_"&amp;MATCH(INDEX(checklistPesertaKemenkeu!$J$6:$J$1005,SMALL(IF(checklistPesertaKemenkeu!$AY$6:$AY$1005="Direkomendasikan",ROW($6:$1005)-5),152)),BidangList,0)),INDEX(checklistPesertaKemenkeu!$P$6:$P$1005,SMALL(IF(checklistPesertaKemenkeu!$AY$6:$AY$1005="Direkomendasikan",ROW($6:$1005)-5),152)))&gt;0,COUNTIF(INDIRECT("'KERTAS KERJA'!K"&amp;(SMALL(IF(checklistPesertaKemenkeu!$AY$6:$AY$1005="Direkomendasikan",ROW($6:$1005)-5),152)+5)&amp;":O"&amp;(SMALL(IF(checklistPesertaKemenkeu!$AY$6:$AY$1005="Direkomendasikan",ROW($6:$1005)-5),152)+5)),INDEX(checklistPesertaKemenkeu!$P$6:$P$1005,SMALL(IF(checklistPesertaKemenkeu!$AY$6:$AY$1005="Direkomendasikan",ROW($6:$1005)-5),152)))=1),IFERROR(VLOOKUP(INDEX(checklistPesertaKemenkeu!$P$6:$P$1005,SMALL(IF(checklistPesertaKemenkeu!$AY$6:$AY$1005="Direkomendasikan",ROW($6:$1005)-5),152)),KotaKode,2,0),"-"),"")),"")</f>
        <v/>
      </c>
    </row>
    <row r="154" spans="1:12" ht="15" customHeight="1" x14ac:dyDescent="0.2">
      <c r="A154" t="str">
        <f t="shared" si="2"/>
        <v/>
      </c>
      <c r="B154" t="str">
        <v/>
      </c>
      <c r="C154" s="40" t="str">
        <f t="array" ref="C154">IFERROR(INDEX(checklistPesertaKemenkeu!$F$6:$F$1005,SMALL(IF(checklistPesertaKemenkeu!$AY$6:$AY$1005="Direkomendasikan",ROW($6:$1005)-5),153)),"")</f>
        <v/>
      </c>
      <c r="D154" t="str">
        <f t="array" ref="D154">IFERROR(INDEX(checklistPesertaKemenkeu!$G$6:$G$1005,SMALL(IF(checklistPesertaKemenkeu!$AY$6:$AY$1005="Direkomendasikan",ROW($6:$1005)-5),153)),"")</f>
        <v/>
      </c>
      <c r="E154" t="str">
        <f t="array" ref="E154">IFERROR(INDEX(checklistPesertaKemenkeu!$H$6:$H$1005,SMALL(IF(checklistPesertaKemenkeu!$AY$6:$AY$1005="Direkomendasikan",ROW($6:$1005)-5),153)),"")</f>
        <v/>
      </c>
      <c r="F154" t="str">
        <f t="array" ref="F154">IFERROR(INDEX(checklistPesertaKemenkeu!$I$6:$I$1005,SMALL(IF(checklistPesertaKemenkeu!$AY$6:$AY$1005="Direkomendasikan",ROW($6:$1005)-5),153)),"")</f>
        <v/>
      </c>
      <c r="G154" t="str">
        <f t="array" ref="G154">IFERROR(INDEX(checklistPesertaKemenkeu!$J$6:$J$1005,SMALL(IF(checklistPesertaKemenkeu!$AY$6:$AY$1005="Direkomendasikan",ROW($6:$1005)-5),153)),"")</f>
        <v/>
      </c>
      <c r="H154" t="str">
        <f t="array" aca="1" ref="H154" ca="1">IFERROR(IF(OR(INDEX(checklistPesertaKemenkeu!$L$6:$L$1005,SMALL(IF(checklistPesertaKemenkeu!$AY$6:$AY$1005="Direkomendasikan",ROW($6:$1005)-5),153))="",INDEX(checklistPesertaKemenkeu!$J$6:$J$1005,SMALL(IF(checklistPesertaKemenkeu!$AY$6:$AY$1005="Direkomendasikan",ROW($6:$1005)-5),153))=""),"",IF(AND(COUNTIF(INDIRECT("K_"&amp;MATCH(INDEX(checklistPesertaKemenkeu!$J$6:$J$1005,SMALL(IF(checklistPesertaKemenkeu!$AY$6:$AY$1005="Direkomendasikan",ROW($6:$1005)-5),153)),BidangList,0)),INDEX(checklistPesertaKemenkeu!$L$6:$L$1005,SMALL(IF(checklistPesertaKemenkeu!$AY$6:$AY$1005="Direkomendasikan",ROW($6:$1005)-5),153)))&gt;0,COUNTIF(INDIRECT("'KERTAS KERJA'!K"&amp;(SMALL(IF(checklistPesertaKemenkeu!$AY$6:$AY$1005="Direkomendasikan",ROW($6:$1005)-5),153)+5)&amp;":O"&amp;(SMALL(IF(checklistPesertaKemenkeu!$AY$6:$AY$1005="Direkomendasikan",ROW($6:$1005)-5),153)+5)),INDEX(checklistPesertaKemenkeu!$L$6:$L$1005,SMALL(IF(checklistPesertaKemenkeu!$AY$6:$AY$1005="Direkomendasikan",ROW($6:$1005)-5),153)))=1),IFERROR(VLOOKUP(INDEX(checklistPesertaKemenkeu!$L$6:$L$1005,SMALL(IF(checklistPesertaKemenkeu!$AY$6:$AY$1005="Direkomendasikan",ROW($6:$1005)-5),153)),KotaKode,2,0),"-"),"")),"")</f>
        <v/>
      </c>
      <c r="I154" t="str">
        <f t="array" aca="1" ref="I154" ca="1">IFERROR(IF(OR(INDEX(checklistPesertaKemenkeu!$M$6:$M$1005,SMALL(IF(checklistPesertaKemenkeu!$AY$6:$AY$1005="Direkomendasikan",ROW($6:$1005)-5),153))="",INDEX(checklistPesertaKemenkeu!$J$6:$J$1005,SMALL(IF(checklistPesertaKemenkeu!$AY$6:$AY$1005="Direkomendasikan",ROW($6:$1005)-5),153))=""),"",IF(AND(COUNTIF(INDIRECT("K_"&amp;MATCH(INDEX(checklistPesertaKemenkeu!$J$6:$J$1005,SMALL(IF(checklistPesertaKemenkeu!$AY$6:$AY$1005="Direkomendasikan",ROW($6:$1005)-5),153)),BidangList,0)),INDEX(checklistPesertaKemenkeu!$M$6:$M$1005,SMALL(IF(checklistPesertaKemenkeu!$AY$6:$AY$1005="Direkomendasikan",ROW($6:$1005)-5),153)))&gt;0,COUNTIF(INDIRECT("'KERTAS KERJA'!K"&amp;(SMALL(IF(checklistPesertaKemenkeu!$AY$6:$AY$1005="Direkomendasikan",ROW($6:$1005)-5),153)+5)&amp;":O"&amp;(SMALL(IF(checklistPesertaKemenkeu!$AY$6:$AY$1005="Direkomendasikan",ROW($6:$1005)-5),153)+5)),INDEX(checklistPesertaKemenkeu!$M$6:$M$1005,SMALL(IF(checklistPesertaKemenkeu!$AY$6:$AY$1005="Direkomendasikan",ROW($6:$1005)-5),153)))=1),IFERROR(VLOOKUP(INDEX(checklistPesertaKemenkeu!$M$6:$M$1005,SMALL(IF(checklistPesertaKemenkeu!$AY$6:$AY$1005="Direkomendasikan",ROW($6:$1005)-5),153)),KotaKode,2,0),"-"),"")),"")</f>
        <v/>
      </c>
      <c r="J154" t="str">
        <f t="array" aca="1" ref="J154" ca="1">IFERROR(IF(OR(INDEX(checklistPesertaKemenkeu!$N$6:$N$1005,SMALL(IF(checklistPesertaKemenkeu!$AY$6:$AY$1005="Direkomendasikan",ROW($6:$1005)-5),153))="",INDEX(checklistPesertaKemenkeu!$J$6:$J$1005,SMALL(IF(checklistPesertaKemenkeu!$AY$6:$AY$1005="Direkomendasikan",ROW($6:$1005)-5),153))=""),"",IF(AND(COUNTIF(INDIRECT("K_"&amp;MATCH(INDEX(checklistPesertaKemenkeu!$J$6:$J$1005,SMALL(IF(checklistPesertaKemenkeu!$AY$6:$AY$1005="Direkomendasikan",ROW($6:$1005)-5),153)),BidangList,0)),INDEX(checklistPesertaKemenkeu!$N$6:$N$1005,SMALL(IF(checklistPesertaKemenkeu!$AY$6:$AY$1005="Direkomendasikan",ROW($6:$1005)-5),153)))&gt;0,COUNTIF(INDIRECT("'KERTAS KERJA'!K"&amp;(SMALL(IF(checklistPesertaKemenkeu!$AY$6:$AY$1005="Direkomendasikan",ROW($6:$1005)-5),153)+5)&amp;":O"&amp;(SMALL(IF(checklistPesertaKemenkeu!$AY$6:$AY$1005="Direkomendasikan",ROW($6:$1005)-5),153)+5)),INDEX(checklistPesertaKemenkeu!$N$6:$N$1005,SMALL(IF(checklistPesertaKemenkeu!$AY$6:$AY$1005="Direkomendasikan",ROW($6:$1005)-5),153)))=1),IFERROR(VLOOKUP(INDEX(checklistPesertaKemenkeu!$N$6:$N$1005,SMALL(IF(checklistPesertaKemenkeu!$AY$6:$AY$1005="Direkomendasikan",ROW($6:$1005)-5),153)),KotaKode,2,0),"-"),"")),"")</f>
        <v/>
      </c>
      <c r="K154" t="str">
        <f t="array" aca="1" ref="K154" ca="1">IFERROR(IF(OR(INDEX(checklistPesertaKemenkeu!$O$6:$O$1005,SMALL(IF(checklistPesertaKemenkeu!$AY$6:$AY$1005="Direkomendasikan",ROW($6:$1005)-5),153))="",INDEX(checklistPesertaKemenkeu!$J$6:$J$1005,SMALL(IF(checklistPesertaKemenkeu!$AY$6:$AY$1005="Direkomendasikan",ROW($6:$1005)-5),153))=""),"",IF(AND(COUNTIF(INDIRECT("K_"&amp;MATCH(INDEX(checklistPesertaKemenkeu!$J$6:$J$1005,SMALL(IF(checklistPesertaKemenkeu!$AY$6:$AY$1005="Direkomendasikan",ROW($6:$1005)-5),153)),BidangList,0)),INDEX(checklistPesertaKemenkeu!$O$6:$O$1005,SMALL(IF(checklistPesertaKemenkeu!$AY$6:$AY$1005="Direkomendasikan",ROW($6:$1005)-5),153)))&gt;0,COUNTIF(INDIRECT("'KERTAS KERJA'!K"&amp;(SMALL(IF(checklistPesertaKemenkeu!$AY$6:$AY$1005="Direkomendasikan",ROW($6:$1005)-5),153)+5)&amp;":O"&amp;(SMALL(IF(checklistPesertaKemenkeu!$AY$6:$AY$1005="Direkomendasikan",ROW($6:$1005)-5),153)+5)),INDEX(checklistPesertaKemenkeu!$O$6:$O$1005,SMALL(IF(checklistPesertaKemenkeu!$AY$6:$AY$1005="Direkomendasikan",ROW($6:$1005)-5),153)))=1),IFERROR(VLOOKUP(INDEX(checklistPesertaKemenkeu!$O$6:$O$1005,SMALL(IF(checklistPesertaKemenkeu!$AY$6:$AY$1005="Direkomendasikan",ROW($6:$1005)-5),153)),KotaKode,2,0),"-"),"")),"")</f>
        <v/>
      </c>
      <c r="L154" t="str">
        <f t="array" aca="1" ref="L154" ca="1">IFERROR(IF(OR(INDEX(checklistPesertaKemenkeu!$P$6:$P$1005,SMALL(IF(checklistPesertaKemenkeu!$AY$6:$AY$1005="Direkomendasikan",ROW($6:$1005)-5),153))="",INDEX(checklistPesertaKemenkeu!$J$6:$J$1005,SMALL(IF(checklistPesertaKemenkeu!$AY$6:$AY$1005="Direkomendasikan",ROW($6:$1005)-5),153))=""),"",IF(AND(COUNTIF(INDIRECT("K_"&amp;MATCH(INDEX(checklistPesertaKemenkeu!$J$6:$J$1005,SMALL(IF(checklistPesertaKemenkeu!$AY$6:$AY$1005="Direkomendasikan",ROW($6:$1005)-5),153)),BidangList,0)),INDEX(checklistPesertaKemenkeu!$P$6:$P$1005,SMALL(IF(checklistPesertaKemenkeu!$AY$6:$AY$1005="Direkomendasikan",ROW($6:$1005)-5),153)))&gt;0,COUNTIF(INDIRECT("'KERTAS KERJA'!K"&amp;(SMALL(IF(checklistPesertaKemenkeu!$AY$6:$AY$1005="Direkomendasikan",ROW($6:$1005)-5),153)+5)&amp;":O"&amp;(SMALL(IF(checklistPesertaKemenkeu!$AY$6:$AY$1005="Direkomendasikan",ROW($6:$1005)-5),153)+5)),INDEX(checklistPesertaKemenkeu!$P$6:$P$1005,SMALL(IF(checklistPesertaKemenkeu!$AY$6:$AY$1005="Direkomendasikan",ROW($6:$1005)-5),153)))=1),IFERROR(VLOOKUP(INDEX(checklistPesertaKemenkeu!$P$6:$P$1005,SMALL(IF(checklistPesertaKemenkeu!$AY$6:$AY$1005="Direkomendasikan",ROW($6:$1005)-5),153)),KotaKode,2,0),"-"),"")),"")</f>
        <v/>
      </c>
    </row>
    <row r="155" spans="1:12" ht="15" customHeight="1" x14ac:dyDescent="0.2">
      <c r="A155" t="str">
        <f t="shared" si="2"/>
        <v/>
      </c>
      <c r="B155" t="str">
        <v/>
      </c>
      <c r="C155" s="40" t="str">
        <f t="array" ref="C155">IFERROR(INDEX(checklistPesertaKemenkeu!$F$6:$F$1005,SMALL(IF(checklistPesertaKemenkeu!$AY$6:$AY$1005="Direkomendasikan",ROW($6:$1005)-5),154)),"")</f>
        <v/>
      </c>
      <c r="D155" t="str">
        <f t="array" ref="D155">IFERROR(INDEX(checklistPesertaKemenkeu!$G$6:$G$1005,SMALL(IF(checklistPesertaKemenkeu!$AY$6:$AY$1005="Direkomendasikan",ROW($6:$1005)-5),154)),"")</f>
        <v/>
      </c>
      <c r="E155" t="str">
        <f t="array" ref="E155">IFERROR(INDEX(checklistPesertaKemenkeu!$H$6:$H$1005,SMALL(IF(checklistPesertaKemenkeu!$AY$6:$AY$1005="Direkomendasikan",ROW($6:$1005)-5),154)),"")</f>
        <v/>
      </c>
      <c r="F155" t="str">
        <f t="array" ref="F155">IFERROR(INDEX(checklistPesertaKemenkeu!$I$6:$I$1005,SMALL(IF(checklistPesertaKemenkeu!$AY$6:$AY$1005="Direkomendasikan",ROW($6:$1005)-5),154)),"")</f>
        <v/>
      </c>
      <c r="G155" t="str">
        <f t="array" ref="G155">IFERROR(INDEX(checklistPesertaKemenkeu!$J$6:$J$1005,SMALL(IF(checklistPesertaKemenkeu!$AY$6:$AY$1005="Direkomendasikan",ROW($6:$1005)-5),154)),"")</f>
        <v/>
      </c>
      <c r="H155" t="str">
        <f t="array" aca="1" ref="H155" ca="1">IFERROR(IF(OR(INDEX(checklistPesertaKemenkeu!$L$6:$L$1005,SMALL(IF(checklistPesertaKemenkeu!$AY$6:$AY$1005="Direkomendasikan",ROW($6:$1005)-5),154))="",INDEX(checklistPesertaKemenkeu!$J$6:$J$1005,SMALL(IF(checklistPesertaKemenkeu!$AY$6:$AY$1005="Direkomendasikan",ROW($6:$1005)-5),154))=""),"",IF(AND(COUNTIF(INDIRECT("K_"&amp;MATCH(INDEX(checklistPesertaKemenkeu!$J$6:$J$1005,SMALL(IF(checklistPesertaKemenkeu!$AY$6:$AY$1005="Direkomendasikan",ROW($6:$1005)-5),154)),BidangList,0)),INDEX(checklistPesertaKemenkeu!$L$6:$L$1005,SMALL(IF(checklistPesertaKemenkeu!$AY$6:$AY$1005="Direkomendasikan",ROW($6:$1005)-5),154)))&gt;0,COUNTIF(INDIRECT("'KERTAS KERJA'!K"&amp;(SMALL(IF(checklistPesertaKemenkeu!$AY$6:$AY$1005="Direkomendasikan",ROW($6:$1005)-5),154)+5)&amp;":O"&amp;(SMALL(IF(checklistPesertaKemenkeu!$AY$6:$AY$1005="Direkomendasikan",ROW($6:$1005)-5),154)+5)),INDEX(checklistPesertaKemenkeu!$L$6:$L$1005,SMALL(IF(checklistPesertaKemenkeu!$AY$6:$AY$1005="Direkomendasikan",ROW($6:$1005)-5),154)))=1),IFERROR(VLOOKUP(INDEX(checklistPesertaKemenkeu!$L$6:$L$1005,SMALL(IF(checklistPesertaKemenkeu!$AY$6:$AY$1005="Direkomendasikan",ROW($6:$1005)-5),154)),KotaKode,2,0),"-"),"")),"")</f>
        <v/>
      </c>
      <c r="I155" t="str">
        <f t="array" aca="1" ref="I155" ca="1">IFERROR(IF(OR(INDEX(checklistPesertaKemenkeu!$M$6:$M$1005,SMALL(IF(checklistPesertaKemenkeu!$AY$6:$AY$1005="Direkomendasikan",ROW($6:$1005)-5),154))="",INDEX(checklistPesertaKemenkeu!$J$6:$J$1005,SMALL(IF(checklistPesertaKemenkeu!$AY$6:$AY$1005="Direkomendasikan",ROW($6:$1005)-5),154))=""),"",IF(AND(COUNTIF(INDIRECT("K_"&amp;MATCH(INDEX(checklistPesertaKemenkeu!$J$6:$J$1005,SMALL(IF(checklistPesertaKemenkeu!$AY$6:$AY$1005="Direkomendasikan",ROW($6:$1005)-5),154)),BidangList,0)),INDEX(checklistPesertaKemenkeu!$M$6:$M$1005,SMALL(IF(checklistPesertaKemenkeu!$AY$6:$AY$1005="Direkomendasikan",ROW($6:$1005)-5),154)))&gt;0,COUNTIF(INDIRECT("'KERTAS KERJA'!K"&amp;(SMALL(IF(checklistPesertaKemenkeu!$AY$6:$AY$1005="Direkomendasikan",ROW($6:$1005)-5),154)+5)&amp;":O"&amp;(SMALL(IF(checklistPesertaKemenkeu!$AY$6:$AY$1005="Direkomendasikan",ROW($6:$1005)-5),154)+5)),INDEX(checklistPesertaKemenkeu!$M$6:$M$1005,SMALL(IF(checklistPesertaKemenkeu!$AY$6:$AY$1005="Direkomendasikan",ROW($6:$1005)-5),154)))=1),IFERROR(VLOOKUP(INDEX(checklistPesertaKemenkeu!$M$6:$M$1005,SMALL(IF(checklistPesertaKemenkeu!$AY$6:$AY$1005="Direkomendasikan",ROW($6:$1005)-5),154)),KotaKode,2,0),"-"),"")),"")</f>
        <v/>
      </c>
      <c r="J155" t="str">
        <f t="array" aca="1" ref="J155" ca="1">IFERROR(IF(OR(INDEX(checklistPesertaKemenkeu!$N$6:$N$1005,SMALL(IF(checklistPesertaKemenkeu!$AY$6:$AY$1005="Direkomendasikan",ROW($6:$1005)-5),154))="",INDEX(checklistPesertaKemenkeu!$J$6:$J$1005,SMALL(IF(checklistPesertaKemenkeu!$AY$6:$AY$1005="Direkomendasikan",ROW($6:$1005)-5),154))=""),"",IF(AND(COUNTIF(INDIRECT("K_"&amp;MATCH(INDEX(checklistPesertaKemenkeu!$J$6:$J$1005,SMALL(IF(checklistPesertaKemenkeu!$AY$6:$AY$1005="Direkomendasikan",ROW($6:$1005)-5),154)),BidangList,0)),INDEX(checklistPesertaKemenkeu!$N$6:$N$1005,SMALL(IF(checklistPesertaKemenkeu!$AY$6:$AY$1005="Direkomendasikan",ROW($6:$1005)-5),154)))&gt;0,COUNTIF(INDIRECT("'KERTAS KERJA'!K"&amp;(SMALL(IF(checklistPesertaKemenkeu!$AY$6:$AY$1005="Direkomendasikan",ROW($6:$1005)-5),154)+5)&amp;":O"&amp;(SMALL(IF(checklistPesertaKemenkeu!$AY$6:$AY$1005="Direkomendasikan",ROW($6:$1005)-5),154)+5)),INDEX(checklistPesertaKemenkeu!$N$6:$N$1005,SMALL(IF(checklistPesertaKemenkeu!$AY$6:$AY$1005="Direkomendasikan",ROW($6:$1005)-5),154)))=1),IFERROR(VLOOKUP(INDEX(checklistPesertaKemenkeu!$N$6:$N$1005,SMALL(IF(checklistPesertaKemenkeu!$AY$6:$AY$1005="Direkomendasikan",ROW($6:$1005)-5),154)),KotaKode,2,0),"-"),"")),"")</f>
        <v/>
      </c>
      <c r="K155" t="str">
        <f t="array" aca="1" ref="K155" ca="1">IFERROR(IF(OR(INDEX(checklistPesertaKemenkeu!$O$6:$O$1005,SMALL(IF(checklistPesertaKemenkeu!$AY$6:$AY$1005="Direkomendasikan",ROW($6:$1005)-5),154))="",INDEX(checklistPesertaKemenkeu!$J$6:$J$1005,SMALL(IF(checklistPesertaKemenkeu!$AY$6:$AY$1005="Direkomendasikan",ROW($6:$1005)-5),154))=""),"",IF(AND(COUNTIF(INDIRECT("K_"&amp;MATCH(INDEX(checklistPesertaKemenkeu!$J$6:$J$1005,SMALL(IF(checklistPesertaKemenkeu!$AY$6:$AY$1005="Direkomendasikan",ROW($6:$1005)-5),154)),BidangList,0)),INDEX(checklistPesertaKemenkeu!$O$6:$O$1005,SMALL(IF(checklistPesertaKemenkeu!$AY$6:$AY$1005="Direkomendasikan",ROW($6:$1005)-5),154)))&gt;0,COUNTIF(INDIRECT("'KERTAS KERJA'!K"&amp;(SMALL(IF(checklistPesertaKemenkeu!$AY$6:$AY$1005="Direkomendasikan",ROW($6:$1005)-5),154)+5)&amp;":O"&amp;(SMALL(IF(checklistPesertaKemenkeu!$AY$6:$AY$1005="Direkomendasikan",ROW($6:$1005)-5),154)+5)),INDEX(checklistPesertaKemenkeu!$O$6:$O$1005,SMALL(IF(checklistPesertaKemenkeu!$AY$6:$AY$1005="Direkomendasikan",ROW($6:$1005)-5),154)))=1),IFERROR(VLOOKUP(INDEX(checklistPesertaKemenkeu!$O$6:$O$1005,SMALL(IF(checklistPesertaKemenkeu!$AY$6:$AY$1005="Direkomendasikan",ROW($6:$1005)-5),154)),KotaKode,2,0),"-"),"")),"")</f>
        <v/>
      </c>
      <c r="L155" t="str">
        <f t="array" aca="1" ref="L155" ca="1">IFERROR(IF(OR(INDEX(checklistPesertaKemenkeu!$P$6:$P$1005,SMALL(IF(checklistPesertaKemenkeu!$AY$6:$AY$1005="Direkomendasikan",ROW($6:$1005)-5),154))="",INDEX(checklistPesertaKemenkeu!$J$6:$J$1005,SMALL(IF(checklistPesertaKemenkeu!$AY$6:$AY$1005="Direkomendasikan",ROW($6:$1005)-5),154))=""),"",IF(AND(COUNTIF(INDIRECT("K_"&amp;MATCH(INDEX(checklistPesertaKemenkeu!$J$6:$J$1005,SMALL(IF(checklistPesertaKemenkeu!$AY$6:$AY$1005="Direkomendasikan",ROW($6:$1005)-5),154)),BidangList,0)),INDEX(checklistPesertaKemenkeu!$P$6:$P$1005,SMALL(IF(checklistPesertaKemenkeu!$AY$6:$AY$1005="Direkomendasikan",ROW($6:$1005)-5),154)))&gt;0,COUNTIF(INDIRECT("'KERTAS KERJA'!K"&amp;(SMALL(IF(checklistPesertaKemenkeu!$AY$6:$AY$1005="Direkomendasikan",ROW($6:$1005)-5),154)+5)&amp;":O"&amp;(SMALL(IF(checklistPesertaKemenkeu!$AY$6:$AY$1005="Direkomendasikan",ROW($6:$1005)-5),154)+5)),INDEX(checklistPesertaKemenkeu!$P$6:$P$1005,SMALL(IF(checklistPesertaKemenkeu!$AY$6:$AY$1005="Direkomendasikan",ROW($6:$1005)-5),154)))=1),IFERROR(VLOOKUP(INDEX(checklistPesertaKemenkeu!$P$6:$P$1005,SMALL(IF(checklistPesertaKemenkeu!$AY$6:$AY$1005="Direkomendasikan",ROW($6:$1005)-5),154)),KotaKode,2,0),"-"),"")),"")</f>
        <v/>
      </c>
    </row>
    <row r="156" spans="1:12" ht="15" customHeight="1" x14ac:dyDescent="0.2">
      <c r="A156" t="str">
        <f t="shared" si="2"/>
        <v/>
      </c>
      <c r="B156" t="str">
        <v/>
      </c>
      <c r="C156" s="40" t="str">
        <f t="array" ref="C156">IFERROR(INDEX(checklistPesertaKemenkeu!$F$6:$F$1005,SMALL(IF(checklistPesertaKemenkeu!$AY$6:$AY$1005="Direkomendasikan",ROW($6:$1005)-5),155)),"")</f>
        <v/>
      </c>
      <c r="D156" t="str">
        <f t="array" ref="D156">IFERROR(INDEX(checklistPesertaKemenkeu!$G$6:$G$1005,SMALL(IF(checklistPesertaKemenkeu!$AY$6:$AY$1005="Direkomendasikan",ROW($6:$1005)-5),155)),"")</f>
        <v/>
      </c>
      <c r="E156" t="str">
        <f t="array" ref="E156">IFERROR(INDEX(checklistPesertaKemenkeu!$H$6:$H$1005,SMALL(IF(checklistPesertaKemenkeu!$AY$6:$AY$1005="Direkomendasikan",ROW($6:$1005)-5),155)),"")</f>
        <v/>
      </c>
      <c r="F156" t="str">
        <f t="array" ref="F156">IFERROR(INDEX(checklistPesertaKemenkeu!$I$6:$I$1005,SMALL(IF(checklistPesertaKemenkeu!$AY$6:$AY$1005="Direkomendasikan",ROW($6:$1005)-5),155)),"")</f>
        <v/>
      </c>
      <c r="G156" t="str">
        <f t="array" ref="G156">IFERROR(INDEX(checklistPesertaKemenkeu!$J$6:$J$1005,SMALL(IF(checklistPesertaKemenkeu!$AY$6:$AY$1005="Direkomendasikan",ROW($6:$1005)-5),155)),"")</f>
        <v/>
      </c>
      <c r="H156" t="str">
        <f t="array" aca="1" ref="H156" ca="1">IFERROR(IF(OR(INDEX(checklistPesertaKemenkeu!$L$6:$L$1005,SMALL(IF(checklistPesertaKemenkeu!$AY$6:$AY$1005="Direkomendasikan",ROW($6:$1005)-5),155))="",INDEX(checklistPesertaKemenkeu!$J$6:$J$1005,SMALL(IF(checklistPesertaKemenkeu!$AY$6:$AY$1005="Direkomendasikan",ROW($6:$1005)-5),155))=""),"",IF(AND(COUNTIF(INDIRECT("K_"&amp;MATCH(INDEX(checklistPesertaKemenkeu!$J$6:$J$1005,SMALL(IF(checklistPesertaKemenkeu!$AY$6:$AY$1005="Direkomendasikan",ROW($6:$1005)-5),155)),BidangList,0)),INDEX(checklistPesertaKemenkeu!$L$6:$L$1005,SMALL(IF(checklistPesertaKemenkeu!$AY$6:$AY$1005="Direkomendasikan",ROW($6:$1005)-5),155)))&gt;0,COUNTIF(INDIRECT("'KERTAS KERJA'!K"&amp;(SMALL(IF(checklistPesertaKemenkeu!$AY$6:$AY$1005="Direkomendasikan",ROW($6:$1005)-5),155)+5)&amp;":O"&amp;(SMALL(IF(checklistPesertaKemenkeu!$AY$6:$AY$1005="Direkomendasikan",ROW($6:$1005)-5),155)+5)),INDEX(checklistPesertaKemenkeu!$L$6:$L$1005,SMALL(IF(checklistPesertaKemenkeu!$AY$6:$AY$1005="Direkomendasikan",ROW($6:$1005)-5),155)))=1),IFERROR(VLOOKUP(INDEX(checklistPesertaKemenkeu!$L$6:$L$1005,SMALL(IF(checklistPesertaKemenkeu!$AY$6:$AY$1005="Direkomendasikan",ROW($6:$1005)-5),155)),KotaKode,2,0),"-"),"")),"")</f>
        <v/>
      </c>
      <c r="I156" t="str">
        <f t="array" aca="1" ref="I156" ca="1">IFERROR(IF(OR(INDEX(checklistPesertaKemenkeu!$M$6:$M$1005,SMALL(IF(checklistPesertaKemenkeu!$AY$6:$AY$1005="Direkomendasikan",ROW($6:$1005)-5),155))="",INDEX(checklistPesertaKemenkeu!$J$6:$J$1005,SMALL(IF(checklistPesertaKemenkeu!$AY$6:$AY$1005="Direkomendasikan",ROW($6:$1005)-5),155))=""),"",IF(AND(COUNTIF(INDIRECT("K_"&amp;MATCH(INDEX(checklistPesertaKemenkeu!$J$6:$J$1005,SMALL(IF(checklistPesertaKemenkeu!$AY$6:$AY$1005="Direkomendasikan",ROW($6:$1005)-5),155)),BidangList,0)),INDEX(checklistPesertaKemenkeu!$M$6:$M$1005,SMALL(IF(checklistPesertaKemenkeu!$AY$6:$AY$1005="Direkomendasikan",ROW($6:$1005)-5),155)))&gt;0,COUNTIF(INDIRECT("'KERTAS KERJA'!K"&amp;(SMALL(IF(checklistPesertaKemenkeu!$AY$6:$AY$1005="Direkomendasikan",ROW($6:$1005)-5),155)+5)&amp;":O"&amp;(SMALL(IF(checklistPesertaKemenkeu!$AY$6:$AY$1005="Direkomendasikan",ROW($6:$1005)-5),155)+5)),INDEX(checklistPesertaKemenkeu!$M$6:$M$1005,SMALL(IF(checklistPesertaKemenkeu!$AY$6:$AY$1005="Direkomendasikan",ROW($6:$1005)-5),155)))=1),IFERROR(VLOOKUP(INDEX(checklistPesertaKemenkeu!$M$6:$M$1005,SMALL(IF(checklistPesertaKemenkeu!$AY$6:$AY$1005="Direkomendasikan",ROW($6:$1005)-5),155)),KotaKode,2,0),"-"),"")),"")</f>
        <v/>
      </c>
      <c r="J156" t="str">
        <f t="array" aca="1" ref="J156" ca="1">IFERROR(IF(OR(INDEX(checklistPesertaKemenkeu!$N$6:$N$1005,SMALL(IF(checklistPesertaKemenkeu!$AY$6:$AY$1005="Direkomendasikan",ROW($6:$1005)-5),155))="",INDEX(checklistPesertaKemenkeu!$J$6:$J$1005,SMALL(IF(checklistPesertaKemenkeu!$AY$6:$AY$1005="Direkomendasikan",ROW($6:$1005)-5),155))=""),"",IF(AND(COUNTIF(INDIRECT("K_"&amp;MATCH(INDEX(checklistPesertaKemenkeu!$J$6:$J$1005,SMALL(IF(checklistPesertaKemenkeu!$AY$6:$AY$1005="Direkomendasikan",ROW($6:$1005)-5),155)),BidangList,0)),INDEX(checklistPesertaKemenkeu!$N$6:$N$1005,SMALL(IF(checklistPesertaKemenkeu!$AY$6:$AY$1005="Direkomendasikan",ROW($6:$1005)-5),155)))&gt;0,COUNTIF(INDIRECT("'KERTAS KERJA'!K"&amp;(SMALL(IF(checklistPesertaKemenkeu!$AY$6:$AY$1005="Direkomendasikan",ROW($6:$1005)-5),155)+5)&amp;":O"&amp;(SMALL(IF(checklistPesertaKemenkeu!$AY$6:$AY$1005="Direkomendasikan",ROW($6:$1005)-5),155)+5)),INDEX(checklistPesertaKemenkeu!$N$6:$N$1005,SMALL(IF(checklistPesertaKemenkeu!$AY$6:$AY$1005="Direkomendasikan",ROW($6:$1005)-5),155)))=1),IFERROR(VLOOKUP(INDEX(checklistPesertaKemenkeu!$N$6:$N$1005,SMALL(IF(checklistPesertaKemenkeu!$AY$6:$AY$1005="Direkomendasikan",ROW($6:$1005)-5),155)),KotaKode,2,0),"-"),"")),"")</f>
        <v/>
      </c>
      <c r="K156" t="str">
        <f t="array" aca="1" ref="K156" ca="1">IFERROR(IF(OR(INDEX(checklistPesertaKemenkeu!$O$6:$O$1005,SMALL(IF(checklistPesertaKemenkeu!$AY$6:$AY$1005="Direkomendasikan",ROW($6:$1005)-5),155))="",INDEX(checklistPesertaKemenkeu!$J$6:$J$1005,SMALL(IF(checklistPesertaKemenkeu!$AY$6:$AY$1005="Direkomendasikan",ROW($6:$1005)-5),155))=""),"",IF(AND(COUNTIF(INDIRECT("K_"&amp;MATCH(INDEX(checklistPesertaKemenkeu!$J$6:$J$1005,SMALL(IF(checklistPesertaKemenkeu!$AY$6:$AY$1005="Direkomendasikan",ROW($6:$1005)-5),155)),BidangList,0)),INDEX(checklistPesertaKemenkeu!$O$6:$O$1005,SMALL(IF(checklistPesertaKemenkeu!$AY$6:$AY$1005="Direkomendasikan",ROW($6:$1005)-5),155)))&gt;0,COUNTIF(INDIRECT("'KERTAS KERJA'!K"&amp;(SMALL(IF(checklistPesertaKemenkeu!$AY$6:$AY$1005="Direkomendasikan",ROW($6:$1005)-5),155)+5)&amp;":O"&amp;(SMALL(IF(checklistPesertaKemenkeu!$AY$6:$AY$1005="Direkomendasikan",ROW($6:$1005)-5),155)+5)),INDEX(checklistPesertaKemenkeu!$O$6:$O$1005,SMALL(IF(checklistPesertaKemenkeu!$AY$6:$AY$1005="Direkomendasikan",ROW($6:$1005)-5),155)))=1),IFERROR(VLOOKUP(INDEX(checklistPesertaKemenkeu!$O$6:$O$1005,SMALL(IF(checklistPesertaKemenkeu!$AY$6:$AY$1005="Direkomendasikan",ROW($6:$1005)-5),155)),KotaKode,2,0),"-"),"")),"")</f>
        <v/>
      </c>
      <c r="L156" t="str">
        <f t="array" aca="1" ref="L156" ca="1">IFERROR(IF(OR(INDEX(checklistPesertaKemenkeu!$P$6:$P$1005,SMALL(IF(checklistPesertaKemenkeu!$AY$6:$AY$1005="Direkomendasikan",ROW($6:$1005)-5),155))="",INDEX(checklistPesertaKemenkeu!$J$6:$J$1005,SMALL(IF(checklistPesertaKemenkeu!$AY$6:$AY$1005="Direkomendasikan",ROW($6:$1005)-5),155))=""),"",IF(AND(COUNTIF(INDIRECT("K_"&amp;MATCH(INDEX(checklistPesertaKemenkeu!$J$6:$J$1005,SMALL(IF(checklistPesertaKemenkeu!$AY$6:$AY$1005="Direkomendasikan",ROW($6:$1005)-5),155)),BidangList,0)),INDEX(checklistPesertaKemenkeu!$P$6:$P$1005,SMALL(IF(checklistPesertaKemenkeu!$AY$6:$AY$1005="Direkomendasikan",ROW($6:$1005)-5),155)))&gt;0,COUNTIF(INDIRECT("'KERTAS KERJA'!K"&amp;(SMALL(IF(checklistPesertaKemenkeu!$AY$6:$AY$1005="Direkomendasikan",ROW($6:$1005)-5),155)+5)&amp;":O"&amp;(SMALL(IF(checklistPesertaKemenkeu!$AY$6:$AY$1005="Direkomendasikan",ROW($6:$1005)-5),155)+5)),INDEX(checklistPesertaKemenkeu!$P$6:$P$1005,SMALL(IF(checklistPesertaKemenkeu!$AY$6:$AY$1005="Direkomendasikan",ROW($6:$1005)-5),155)))=1),IFERROR(VLOOKUP(INDEX(checklistPesertaKemenkeu!$P$6:$P$1005,SMALL(IF(checklistPesertaKemenkeu!$AY$6:$AY$1005="Direkomendasikan",ROW($6:$1005)-5),155)),KotaKode,2,0),"-"),"")),"")</f>
        <v/>
      </c>
    </row>
    <row r="157" spans="1:12" ht="15" customHeight="1" x14ac:dyDescent="0.2">
      <c r="A157" t="str">
        <f t="shared" si="2"/>
        <v/>
      </c>
      <c r="B157" t="str">
        <v/>
      </c>
      <c r="C157" s="40" t="str">
        <f t="array" ref="C157">IFERROR(INDEX(checklistPesertaKemenkeu!$F$6:$F$1005,SMALL(IF(checklistPesertaKemenkeu!$AY$6:$AY$1005="Direkomendasikan",ROW($6:$1005)-5),156)),"")</f>
        <v/>
      </c>
      <c r="D157" t="str">
        <f t="array" ref="D157">IFERROR(INDEX(checklistPesertaKemenkeu!$G$6:$G$1005,SMALL(IF(checklistPesertaKemenkeu!$AY$6:$AY$1005="Direkomendasikan",ROW($6:$1005)-5),156)),"")</f>
        <v/>
      </c>
      <c r="E157" t="str">
        <f t="array" ref="E157">IFERROR(INDEX(checklistPesertaKemenkeu!$H$6:$H$1005,SMALL(IF(checklistPesertaKemenkeu!$AY$6:$AY$1005="Direkomendasikan",ROW($6:$1005)-5),156)),"")</f>
        <v/>
      </c>
      <c r="F157" t="str">
        <f t="array" ref="F157">IFERROR(INDEX(checklistPesertaKemenkeu!$I$6:$I$1005,SMALL(IF(checklistPesertaKemenkeu!$AY$6:$AY$1005="Direkomendasikan",ROW($6:$1005)-5),156)),"")</f>
        <v/>
      </c>
      <c r="G157" t="str">
        <f t="array" ref="G157">IFERROR(INDEX(checklistPesertaKemenkeu!$J$6:$J$1005,SMALL(IF(checklistPesertaKemenkeu!$AY$6:$AY$1005="Direkomendasikan",ROW($6:$1005)-5),156)),"")</f>
        <v/>
      </c>
      <c r="H157" t="str">
        <f t="array" aca="1" ref="H157" ca="1">IFERROR(IF(OR(INDEX(checklistPesertaKemenkeu!$L$6:$L$1005,SMALL(IF(checklistPesertaKemenkeu!$AY$6:$AY$1005="Direkomendasikan",ROW($6:$1005)-5),156))="",INDEX(checklistPesertaKemenkeu!$J$6:$J$1005,SMALL(IF(checklistPesertaKemenkeu!$AY$6:$AY$1005="Direkomendasikan",ROW($6:$1005)-5),156))=""),"",IF(AND(COUNTIF(INDIRECT("K_"&amp;MATCH(INDEX(checklistPesertaKemenkeu!$J$6:$J$1005,SMALL(IF(checklistPesertaKemenkeu!$AY$6:$AY$1005="Direkomendasikan",ROW($6:$1005)-5),156)),BidangList,0)),INDEX(checklistPesertaKemenkeu!$L$6:$L$1005,SMALL(IF(checklistPesertaKemenkeu!$AY$6:$AY$1005="Direkomendasikan",ROW($6:$1005)-5),156)))&gt;0,COUNTIF(INDIRECT("'KERTAS KERJA'!K"&amp;(SMALL(IF(checklistPesertaKemenkeu!$AY$6:$AY$1005="Direkomendasikan",ROW($6:$1005)-5),156)+5)&amp;":O"&amp;(SMALL(IF(checklistPesertaKemenkeu!$AY$6:$AY$1005="Direkomendasikan",ROW($6:$1005)-5),156)+5)),INDEX(checklistPesertaKemenkeu!$L$6:$L$1005,SMALL(IF(checklistPesertaKemenkeu!$AY$6:$AY$1005="Direkomendasikan",ROW($6:$1005)-5),156)))=1),IFERROR(VLOOKUP(INDEX(checklistPesertaKemenkeu!$L$6:$L$1005,SMALL(IF(checklistPesertaKemenkeu!$AY$6:$AY$1005="Direkomendasikan",ROW($6:$1005)-5),156)),KotaKode,2,0),"-"),"")),"")</f>
        <v/>
      </c>
      <c r="I157" t="str">
        <f t="array" aca="1" ref="I157" ca="1">IFERROR(IF(OR(INDEX(checklistPesertaKemenkeu!$M$6:$M$1005,SMALL(IF(checklistPesertaKemenkeu!$AY$6:$AY$1005="Direkomendasikan",ROW($6:$1005)-5),156))="",INDEX(checklistPesertaKemenkeu!$J$6:$J$1005,SMALL(IF(checklistPesertaKemenkeu!$AY$6:$AY$1005="Direkomendasikan",ROW($6:$1005)-5),156))=""),"",IF(AND(COUNTIF(INDIRECT("K_"&amp;MATCH(INDEX(checklistPesertaKemenkeu!$J$6:$J$1005,SMALL(IF(checklistPesertaKemenkeu!$AY$6:$AY$1005="Direkomendasikan",ROW($6:$1005)-5),156)),BidangList,0)),INDEX(checklistPesertaKemenkeu!$M$6:$M$1005,SMALL(IF(checklistPesertaKemenkeu!$AY$6:$AY$1005="Direkomendasikan",ROW($6:$1005)-5),156)))&gt;0,COUNTIF(INDIRECT("'KERTAS KERJA'!K"&amp;(SMALL(IF(checklistPesertaKemenkeu!$AY$6:$AY$1005="Direkomendasikan",ROW($6:$1005)-5),156)+5)&amp;":O"&amp;(SMALL(IF(checklistPesertaKemenkeu!$AY$6:$AY$1005="Direkomendasikan",ROW($6:$1005)-5),156)+5)),INDEX(checklistPesertaKemenkeu!$M$6:$M$1005,SMALL(IF(checklistPesertaKemenkeu!$AY$6:$AY$1005="Direkomendasikan",ROW($6:$1005)-5),156)))=1),IFERROR(VLOOKUP(INDEX(checklistPesertaKemenkeu!$M$6:$M$1005,SMALL(IF(checklistPesertaKemenkeu!$AY$6:$AY$1005="Direkomendasikan",ROW($6:$1005)-5),156)),KotaKode,2,0),"-"),"")),"")</f>
        <v/>
      </c>
      <c r="J157" t="str">
        <f t="array" aca="1" ref="J157" ca="1">IFERROR(IF(OR(INDEX(checklistPesertaKemenkeu!$N$6:$N$1005,SMALL(IF(checklistPesertaKemenkeu!$AY$6:$AY$1005="Direkomendasikan",ROW($6:$1005)-5),156))="",INDEX(checklistPesertaKemenkeu!$J$6:$J$1005,SMALL(IF(checklistPesertaKemenkeu!$AY$6:$AY$1005="Direkomendasikan",ROW($6:$1005)-5),156))=""),"",IF(AND(COUNTIF(INDIRECT("K_"&amp;MATCH(INDEX(checklistPesertaKemenkeu!$J$6:$J$1005,SMALL(IF(checklistPesertaKemenkeu!$AY$6:$AY$1005="Direkomendasikan",ROW($6:$1005)-5),156)),BidangList,0)),INDEX(checklistPesertaKemenkeu!$N$6:$N$1005,SMALL(IF(checklistPesertaKemenkeu!$AY$6:$AY$1005="Direkomendasikan",ROW($6:$1005)-5),156)))&gt;0,COUNTIF(INDIRECT("'KERTAS KERJA'!K"&amp;(SMALL(IF(checklistPesertaKemenkeu!$AY$6:$AY$1005="Direkomendasikan",ROW($6:$1005)-5),156)+5)&amp;":O"&amp;(SMALL(IF(checklistPesertaKemenkeu!$AY$6:$AY$1005="Direkomendasikan",ROW($6:$1005)-5),156)+5)),INDEX(checklistPesertaKemenkeu!$N$6:$N$1005,SMALL(IF(checklistPesertaKemenkeu!$AY$6:$AY$1005="Direkomendasikan",ROW($6:$1005)-5),156)))=1),IFERROR(VLOOKUP(INDEX(checklistPesertaKemenkeu!$N$6:$N$1005,SMALL(IF(checklistPesertaKemenkeu!$AY$6:$AY$1005="Direkomendasikan",ROW($6:$1005)-5),156)),KotaKode,2,0),"-"),"")),"")</f>
        <v/>
      </c>
      <c r="K157" t="str">
        <f t="array" aca="1" ref="K157" ca="1">IFERROR(IF(OR(INDEX(checklistPesertaKemenkeu!$O$6:$O$1005,SMALL(IF(checklistPesertaKemenkeu!$AY$6:$AY$1005="Direkomendasikan",ROW($6:$1005)-5),156))="",INDEX(checklistPesertaKemenkeu!$J$6:$J$1005,SMALL(IF(checklistPesertaKemenkeu!$AY$6:$AY$1005="Direkomendasikan",ROW($6:$1005)-5),156))=""),"",IF(AND(COUNTIF(INDIRECT("K_"&amp;MATCH(INDEX(checklistPesertaKemenkeu!$J$6:$J$1005,SMALL(IF(checklistPesertaKemenkeu!$AY$6:$AY$1005="Direkomendasikan",ROW($6:$1005)-5),156)),BidangList,0)),INDEX(checklistPesertaKemenkeu!$O$6:$O$1005,SMALL(IF(checklistPesertaKemenkeu!$AY$6:$AY$1005="Direkomendasikan",ROW($6:$1005)-5),156)))&gt;0,COUNTIF(INDIRECT("'KERTAS KERJA'!K"&amp;(SMALL(IF(checklistPesertaKemenkeu!$AY$6:$AY$1005="Direkomendasikan",ROW($6:$1005)-5),156)+5)&amp;":O"&amp;(SMALL(IF(checklistPesertaKemenkeu!$AY$6:$AY$1005="Direkomendasikan",ROW($6:$1005)-5),156)+5)),INDEX(checklistPesertaKemenkeu!$O$6:$O$1005,SMALL(IF(checklistPesertaKemenkeu!$AY$6:$AY$1005="Direkomendasikan",ROW($6:$1005)-5),156)))=1),IFERROR(VLOOKUP(INDEX(checklistPesertaKemenkeu!$O$6:$O$1005,SMALL(IF(checklistPesertaKemenkeu!$AY$6:$AY$1005="Direkomendasikan",ROW($6:$1005)-5),156)),KotaKode,2,0),"-"),"")),"")</f>
        <v/>
      </c>
      <c r="L157" t="str">
        <f t="array" aca="1" ref="L157" ca="1">IFERROR(IF(OR(INDEX(checklistPesertaKemenkeu!$P$6:$P$1005,SMALL(IF(checklistPesertaKemenkeu!$AY$6:$AY$1005="Direkomendasikan",ROW($6:$1005)-5),156))="",INDEX(checklistPesertaKemenkeu!$J$6:$J$1005,SMALL(IF(checklistPesertaKemenkeu!$AY$6:$AY$1005="Direkomendasikan",ROW($6:$1005)-5),156))=""),"",IF(AND(COUNTIF(INDIRECT("K_"&amp;MATCH(INDEX(checklistPesertaKemenkeu!$J$6:$J$1005,SMALL(IF(checklistPesertaKemenkeu!$AY$6:$AY$1005="Direkomendasikan",ROW($6:$1005)-5),156)),BidangList,0)),INDEX(checklistPesertaKemenkeu!$P$6:$P$1005,SMALL(IF(checklistPesertaKemenkeu!$AY$6:$AY$1005="Direkomendasikan",ROW($6:$1005)-5),156)))&gt;0,COUNTIF(INDIRECT("'KERTAS KERJA'!K"&amp;(SMALL(IF(checklistPesertaKemenkeu!$AY$6:$AY$1005="Direkomendasikan",ROW($6:$1005)-5),156)+5)&amp;":O"&amp;(SMALL(IF(checklistPesertaKemenkeu!$AY$6:$AY$1005="Direkomendasikan",ROW($6:$1005)-5),156)+5)),INDEX(checklistPesertaKemenkeu!$P$6:$P$1005,SMALL(IF(checklistPesertaKemenkeu!$AY$6:$AY$1005="Direkomendasikan",ROW($6:$1005)-5),156)))=1),IFERROR(VLOOKUP(INDEX(checklistPesertaKemenkeu!$P$6:$P$1005,SMALL(IF(checklistPesertaKemenkeu!$AY$6:$AY$1005="Direkomendasikan",ROW($6:$1005)-5),156)),KotaKode,2,0),"-"),"")),"")</f>
        <v/>
      </c>
    </row>
    <row r="158" spans="1:12" ht="15" customHeight="1" x14ac:dyDescent="0.2">
      <c r="A158" t="str">
        <f t="shared" si="2"/>
        <v/>
      </c>
      <c r="B158" t="str">
        <v/>
      </c>
      <c r="C158" s="40" t="str">
        <f t="array" ref="C158">IFERROR(INDEX(checklistPesertaKemenkeu!$F$6:$F$1005,SMALL(IF(checklistPesertaKemenkeu!$AY$6:$AY$1005="Direkomendasikan",ROW($6:$1005)-5),157)),"")</f>
        <v/>
      </c>
      <c r="D158" t="str">
        <f t="array" ref="D158">IFERROR(INDEX(checklistPesertaKemenkeu!$G$6:$G$1005,SMALL(IF(checklistPesertaKemenkeu!$AY$6:$AY$1005="Direkomendasikan",ROW($6:$1005)-5),157)),"")</f>
        <v/>
      </c>
      <c r="E158" t="str">
        <f t="array" ref="E158">IFERROR(INDEX(checklistPesertaKemenkeu!$H$6:$H$1005,SMALL(IF(checklistPesertaKemenkeu!$AY$6:$AY$1005="Direkomendasikan",ROW($6:$1005)-5),157)),"")</f>
        <v/>
      </c>
      <c r="F158" t="str">
        <f t="array" ref="F158">IFERROR(INDEX(checklistPesertaKemenkeu!$I$6:$I$1005,SMALL(IF(checklistPesertaKemenkeu!$AY$6:$AY$1005="Direkomendasikan",ROW($6:$1005)-5),157)),"")</f>
        <v/>
      </c>
      <c r="G158" t="str">
        <f t="array" ref="G158">IFERROR(INDEX(checklistPesertaKemenkeu!$J$6:$J$1005,SMALL(IF(checklistPesertaKemenkeu!$AY$6:$AY$1005="Direkomendasikan",ROW($6:$1005)-5),157)),"")</f>
        <v/>
      </c>
      <c r="H158" t="str">
        <f t="array" aca="1" ref="H158" ca="1">IFERROR(IF(OR(INDEX(checklistPesertaKemenkeu!$L$6:$L$1005,SMALL(IF(checklistPesertaKemenkeu!$AY$6:$AY$1005="Direkomendasikan",ROW($6:$1005)-5),157))="",INDEX(checklistPesertaKemenkeu!$J$6:$J$1005,SMALL(IF(checklistPesertaKemenkeu!$AY$6:$AY$1005="Direkomendasikan",ROW($6:$1005)-5),157))=""),"",IF(AND(COUNTIF(INDIRECT("K_"&amp;MATCH(INDEX(checklistPesertaKemenkeu!$J$6:$J$1005,SMALL(IF(checklistPesertaKemenkeu!$AY$6:$AY$1005="Direkomendasikan",ROW($6:$1005)-5),157)),BidangList,0)),INDEX(checklistPesertaKemenkeu!$L$6:$L$1005,SMALL(IF(checklistPesertaKemenkeu!$AY$6:$AY$1005="Direkomendasikan",ROW($6:$1005)-5),157)))&gt;0,COUNTIF(INDIRECT("'KERTAS KERJA'!K"&amp;(SMALL(IF(checklistPesertaKemenkeu!$AY$6:$AY$1005="Direkomendasikan",ROW($6:$1005)-5),157)+5)&amp;":O"&amp;(SMALL(IF(checklistPesertaKemenkeu!$AY$6:$AY$1005="Direkomendasikan",ROW($6:$1005)-5),157)+5)),INDEX(checklistPesertaKemenkeu!$L$6:$L$1005,SMALL(IF(checklistPesertaKemenkeu!$AY$6:$AY$1005="Direkomendasikan",ROW($6:$1005)-5),157)))=1),IFERROR(VLOOKUP(INDEX(checklistPesertaKemenkeu!$L$6:$L$1005,SMALL(IF(checklistPesertaKemenkeu!$AY$6:$AY$1005="Direkomendasikan",ROW($6:$1005)-5),157)),KotaKode,2,0),"-"),"")),"")</f>
        <v/>
      </c>
      <c r="I158" t="str">
        <f t="array" aca="1" ref="I158" ca="1">IFERROR(IF(OR(INDEX(checklistPesertaKemenkeu!$M$6:$M$1005,SMALL(IF(checklistPesertaKemenkeu!$AY$6:$AY$1005="Direkomendasikan",ROW($6:$1005)-5),157))="",INDEX(checklistPesertaKemenkeu!$J$6:$J$1005,SMALL(IF(checklistPesertaKemenkeu!$AY$6:$AY$1005="Direkomendasikan",ROW($6:$1005)-5),157))=""),"",IF(AND(COUNTIF(INDIRECT("K_"&amp;MATCH(INDEX(checklistPesertaKemenkeu!$J$6:$J$1005,SMALL(IF(checklistPesertaKemenkeu!$AY$6:$AY$1005="Direkomendasikan",ROW($6:$1005)-5),157)),BidangList,0)),INDEX(checklistPesertaKemenkeu!$M$6:$M$1005,SMALL(IF(checklistPesertaKemenkeu!$AY$6:$AY$1005="Direkomendasikan",ROW($6:$1005)-5),157)))&gt;0,COUNTIF(INDIRECT("'KERTAS KERJA'!K"&amp;(SMALL(IF(checklistPesertaKemenkeu!$AY$6:$AY$1005="Direkomendasikan",ROW($6:$1005)-5),157)+5)&amp;":O"&amp;(SMALL(IF(checklistPesertaKemenkeu!$AY$6:$AY$1005="Direkomendasikan",ROW($6:$1005)-5),157)+5)),INDEX(checklistPesertaKemenkeu!$M$6:$M$1005,SMALL(IF(checklistPesertaKemenkeu!$AY$6:$AY$1005="Direkomendasikan",ROW($6:$1005)-5),157)))=1),IFERROR(VLOOKUP(INDEX(checklistPesertaKemenkeu!$M$6:$M$1005,SMALL(IF(checklistPesertaKemenkeu!$AY$6:$AY$1005="Direkomendasikan",ROW($6:$1005)-5),157)),KotaKode,2,0),"-"),"")),"")</f>
        <v/>
      </c>
      <c r="J158" t="str">
        <f t="array" aca="1" ref="J158" ca="1">IFERROR(IF(OR(INDEX(checklistPesertaKemenkeu!$N$6:$N$1005,SMALL(IF(checklistPesertaKemenkeu!$AY$6:$AY$1005="Direkomendasikan",ROW($6:$1005)-5),157))="",INDEX(checklistPesertaKemenkeu!$J$6:$J$1005,SMALL(IF(checklistPesertaKemenkeu!$AY$6:$AY$1005="Direkomendasikan",ROW($6:$1005)-5),157))=""),"",IF(AND(COUNTIF(INDIRECT("K_"&amp;MATCH(INDEX(checklistPesertaKemenkeu!$J$6:$J$1005,SMALL(IF(checklistPesertaKemenkeu!$AY$6:$AY$1005="Direkomendasikan",ROW($6:$1005)-5),157)),BidangList,0)),INDEX(checklistPesertaKemenkeu!$N$6:$N$1005,SMALL(IF(checklistPesertaKemenkeu!$AY$6:$AY$1005="Direkomendasikan",ROW($6:$1005)-5),157)))&gt;0,COUNTIF(INDIRECT("'KERTAS KERJA'!K"&amp;(SMALL(IF(checklistPesertaKemenkeu!$AY$6:$AY$1005="Direkomendasikan",ROW($6:$1005)-5),157)+5)&amp;":O"&amp;(SMALL(IF(checklistPesertaKemenkeu!$AY$6:$AY$1005="Direkomendasikan",ROW($6:$1005)-5),157)+5)),INDEX(checklistPesertaKemenkeu!$N$6:$N$1005,SMALL(IF(checklistPesertaKemenkeu!$AY$6:$AY$1005="Direkomendasikan",ROW($6:$1005)-5),157)))=1),IFERROR(VLOOKUP(INDEX(checklistPesertaKemenkeu!$N$6:$N$1005,SMALL(IF(checklistPesertaKemenkeu!$AY$6:$AY$1005="Direkomendasikan",ROW($6:$1005)-5),157)),KotaKode,2,0),"-"),"")),"")</f>
        <v/>
      </c>
      <c r="K158" t="str">
        <f t="array" aca="1" ref="K158" ca="1">IFERROR(IF(OR(INDEX(checklistPesertaKemenkeu!$O$6:$O$1005,SMALL(IF(checklistPesertaKemenkeu!$AY$6:$AY$1005="Direkomendasikan",ROW($6:$1005)-5),157))="",INDEX(checklistPesertaKemenkeu!$J$6:$J$1005,SMALL(IF(checklistPesertaKemenkeu!$AY$6:$AY$1005="Direkomendasikan",ROW($6:$1005)-5),157))=""),"",IF(AND(COUNTIF(INDIRECT("K_"&amp;MATCH(INDEX(checklistPesertaKemenkeu!$J$6:$J$1005,SMALL(IF(checklistPesertaKemenkeu!$AY$6:$AY$1005="Direkomendasikan",ROW($6:$1005)-5),157)),BidangList,0)),INDEX(checklistPesertaKemenkeu!$O$6:$O$1005,SMALL(IF(checklistPesertaKemenkeu!$AY$6:$AY$1005="Direkomendasikan",ROW($6:$1005)-5),157)))&gt;0,COUNTIF(INDIRECT("'KERTAS KERJA'!K"&amp;(SMALL(IF(checklistPesertaKemenkeu!$AY$6:$AY$1005="Direkomendasikan",ROW($6:$1005)-5),157)+5)&amp;":O"&amp;(SMALL(IF(checklistPesertaKemenkeu!$AY$6:$AY$1005="Direkomendasikan",ROW($6:$1005)-5),157)+5)),INDEX(checklistPesertaKemenkeu!$O$6:$O$1005,SMALL(IF(checklistPesertaKemenkeu!$AY$6:$AY$1005="Direkomendasikan",ROW($6:$1005)-5),157)))=1),IFERROR(VLOOKUP(INDEX(checklistPesertaKemenkeu!$O$6:$O$1005,SMALL(IF(checklistPesertaKemenkeu!$AY$6:$AY$1005="Direkomendasikan",ROW($6:$1005)-5),157)),KotaKode,2,0),"-"),"")),"")</f>
        <v/>
      </c>
      <c r="L158" t="str">
        <f t="array" aca="1" ref="L158" ca="1">IFERROR(IF(OR(INDEX(checklistPesertaKemenkeu!$P$6:$P$1005,SMALL(IF(checklistPesertaKemenkeu!$AY$6:$AY$1005="Direkomendasikan",ROW($6:$1005)-5),157))="",INDEX(checklistPesertaKemenkeu!$J$6:$J$1005,SMALL(IF(checklistPesertaKemenkeu!$AY$6:$AY$1005="Direkomendasikan",ROW($6:$1005)-5),157))=""),"",IF(AND(COUNTIF(INDIRECT("K_"&amp;MATCH(INDEX(checklistPesertaKemenkeu!$J$6:$J$1005,SMALL(IF(checklistPesertaKemenkeu!$AY$6:$AY$1005="Direkomendasikan",ROW($6:$1005)-5),157)),BidangList,0)),INDEX(checklistPesertaKemenkeu!$P$6:$P$1005,SMALL(IF(checklistPesertaKemenkeu!$AY$6:$AY$1005="Direkomendasikan",ROW($6:$1005)-5),157)))&gt;0,COUNTIF(INDIRECT("'KERTAS KERJA'!K"&amp;(SMALL(IF(checklistPesertaKemenkeu!$AY$6:$AY$1005="Direkomendasikan",ROW($6:$1005)-5),157)+5)&amp;":O"&amp;(SMALL(IF(checklistPesertaKemenkeu!$AY$6:$AY$1005="Direkomendasikan",ROW($6:$1005)-5),157)+5)),INDEX(checklistPesertaKemenkeu!$P$6:$P$1005,SMALL(IF(checklistPesertaKemenkeu!$AY$6:$AY$1005="Direkomendasikan",ROW($6:$1005)-5),157)))=1),IFERROR(VLOOKUP(INDEX(checklistPesertaKemenkeu!$P$6:$P$1005,SMALL(IF(checklistPesertaKemenkeu!$AY$6:$AY$1005="Direkomendasikan",ROW($6:$1005)-5),157)),KotaKode,2,0),"-"),"")),"")</f>
        <v/>
      </c>
    </row>
    <row r="159" spans="1:12" ht="15" customHeight="1" x14ac:dyDescent="0.2">
      <c r="A159" t="str">
        <f t="shared" si="2"/>
        <v/>
      </c>
      <c r="B159" t="str">
        <v/>
      </c>
      <c r="C159" s="40" t="str">
        <f t="array" ref="C159">IFERROR(INDEX(checklistPesertaKemenkeu!$F$6:$F$1005,SMALL(IF(checklistPesertaKemenkeu!$AY$6:$AY$1005="Direkomendasikan",ROW($6:$1005)-5),158)),"")</f>
        <v/>
      </c>
      <c r="D159" t="str">
        <f t="array" ref="D159">IFERROR(INDEX(checklistPesertaKemenkeu!$G$6:$G$1005,SMALL(IF(checklistPesertaKemenkeu!$AY$6:$AY$1005="Direkomendasikan",ROW($6:$1005)-5),158)),"")</f>
        <v/>
      </c>
      <c r="E159" t="str">
        <f t="array" ref="E159">IFERROR(INDEX(checklistPesertaKemenkeu!$H$6:$H$1005,SMALL(IF(checklistPesertaKemenkeu!$AY$6:$AY$1005="Direkomendasikan",ROW($6:$1005)-5),158)),"")</f>
        <v/>
      </c>
      <c r="F159" t="str">
        <f t="array" ref="F159">IFERROR(INDEX(checklistPesertaKemenkeu!$I$6:$I$1005,SMALL(IF(checklistPesertaKemenkeu!$AY$6:$AY$1005="Direkomendasikan",ROW($6:$1005)-5),158)),"")</f>
        <v/>
      </c>
      <c r="G159" t="str">
        <f t="array" ref="G159">IFERROR(INDEX(checklistPesertaKemenkeu!$J$6:$J$1005,SMALL(IF(checklistPesertaKemenkeu!$AY$6:$AY$1005="Direkomendasikan",ROW($6:$1005)-5),158)),"")</f>
        <v/>
      </c>
      <c r="H159" t="str">
        <f t="array" aca="1" ref="H159" ca="1">IFERROR(IF(OR(INDEX(checklistPesertaKemenkeu!$L$6:$L$1005,SMALL(IF(checklistPesertaKemenkeu!$AY$6:$AY$1005="Direkomendasikan",ROW($6:$1005)-5),158))="",INDEX(checklistPesertaKemenkeu!$J$6:$J$1005,SMALL(IF(checklistPesertaKemenkeu!$AY$6:$AY$1005="Direkomendasikan",ROW($6:$1005)-5),158))=""),"",IF(AND(COUNTIF(INDIRECT("K_"&amp;MATCH(INDEX(checklistPesertaKemenkeu!$J$6:$J$1005,SMALL(IF(checklistPesertaKemenkeu!$AY$6:$AY$1005="Direkomendasikan",ROW($6:$1005)-5),158)),BidangList,0)),INDEX(checklistPesertaKemenkeu!$L$6:$L$1005,SMALL(IF(checklistPesertaKemenkeu!$AY$6:$AY$1005="Direkomendasikan",ROW($6:$1005)-5),158)))&gt;0,COUNTIF(INDIRECT("'KERTAS KERJA'!K"&amp;(SMALL(IF(checklistPesertaKemenkeu!$AY$6:$AY$1005="Direkomendasikan",ROW($6:$1005)-5),158)+5)&amp;":O"&amp;(SMALL(IF(checklistPesertaKemenkeu!$AY$6:$AY$1005="Direkomendasikan",ROW($6:$1005)-5),158)+5)),INDEX(checklistPesertaKemenkeu!$L$6:$L$1005,SMALL(IF(checklistPesertaKemenkeu!$AY$6:$AY$1005="Direkomendasikan",ROW($6:$1005)-5),158)))=1),IFERROR(VLOOKUP(INDEX(checklistPesertaKemenkeu!$L$6:$L$1005,SMALL(IF(checklistPesertaKemenkeu!$AY$6:$AY$1005="Direkomendasikan",ROW($6:$1005)-5),158)),KotaKode,2,0),"-"),"")),"")</f>
        <v/>
      </c>
      <c r="I159" t="str">
        <f t="array" aca="1" ref="I159" ca="1">IFERROR(IF(OR(INDEX(checklistPesertaKemenkeu!$M$6:$M$1005,SMALL(IF(checklistPesertaKemenkeu!$AY$6:$AY$1005="Direkomendasikan",ROW($6:$1005)-5),158))="",INDEX(checklistPesertaKemenkeu!$J$6:$J$1005,SMALL(IF(checklistPesertaKemenkeu!$AY$6:$AY$1005="Direkomendasikan",ROW($6:$1005)-5),158))=""),"",IF(AND(COUNTIF(INDIRECT("K_"&amp;MATCH(INDEX(checklistPesertaKemenkeu!$J$6:$J$1005,SMALL(IF(checklistPesertaKemenkeu!$AY$6:$AY$1005="Direkomendasikan",ROW($6:$1005)-5),158)),BidangList,0)),INDEX(checklistPesertaKemenkeu!$M$6:$M$1005,SMALL(IF(checklistPesertaKemenkeu!$AY$6:$AY$1005="Direkomendasikan",ROW($6:$1005)-5),158)))&gt;0,COUNTIF(INDIRECT("'KERTAS KERJA'!K"&amp;(SMALL(IF(checklistPesertaKemenkeu!$AY$6:$AY$1005="Direkomendasikan",ROW($6:$1005)-5),158)+5)&amp;":O"&amp;(SMALL(IF(checklistPesertaKemenkeu!$AY$6:$AY$1005="Direkomendasikan",ROW($6:$1005)-5),158)+5)),INDEX(checklistPesertaKemenkeu!$M$6:$M$1005,SMALL(IF(checklistPesertaKemenkeu!$AY$6:$AY$1005="Direkomendasikan",ROW($6:$1005)-5),158)))=1),IFERROR(VLOOKUP(INDEX(checklistPesertaKemenkeu!$M$6:$M$1005,SMALL(IF(checklistPesertaKemenkeu!$AY$6:$AY$1005="Direkomendasikan",ROW($6:$1005)-5),158)),KotaKode,2,0),"-"),"")),"")</f>
        <v/>
      </c>
      <c r="J159" t="str">
        <f t="array" aca="1" ref="J159" ca="1">IFERROR(IF(OR(INDEX(checklistPesertaKemenkeu!$N$6:$N$1005,SMALL(IF(checklistPesertaKemenkeu!$AY$6:$AY$1005="Direkomendasikan",ROW($6:$1005)-5),158))="",INDEX(checklistPesertaKemenkeu!$J$6:$J$1005,SMALL(IF(checklistPesertaKemenkeu!$AY$6:$AY$1005="Direkomendasikan",ROW($6:$1005)-5),158))=""),"",IF(AND(COUNTIF(INDIRECT("K_"&amp;MATCH(INDEX(checklistPesertaKemenkeu!$J$6:$J$1005,SMALL(IF(checklistPesertaKemenkeu!$AY$6:$AY$1005="Direkomendasikan",ROW($6:$1005)-5),158)),BidangList,0)),INDEX(checklistPesertaKemenkeu!$N$6:$N$1005,SMALL(IF(checklistPesertaKemenkeu!$AY$6:$AY$1005="Direkomendasikan",ROW($6:$1005)-5),158)))&gt;0,COUNTIF(INDIRECT("'KERTAS KERJA'!K"&amp;(SMALL(IF(checklistPesertaKemenkeu!$AY$6:$AY$1005="Direkomendasikan",ROW($6:$1005)-5),158)+5)&amp;":O"&amp;(SMALL(IF(checklistPesertaKemenkeu!$AY$6:$AY$1005="Direkomendasikan",ROW($6:$1005)-5),158)+5)),INDEX(checklistPesertaKemenkeu!$N$6:$N$1005,SMALL(IF(checklistPesertaKemenkeu!$AY$6:$AY$1005="Direkomendasikan",ROW($6:$1005)-5),158)))=1),IFERROR(VLOOKUP(INDEX(checklistPesertaKemenkeu!$N$6:$N$1005,SMALL(IF(checklistPesertaKemenkeu!$AY$6:$AY$1005="Direkomendasikan",ROW($6:$1005)-5),158)),KotaKode,2,0),"-"),"")),"")</f>
        <v/>
      </c>
      <c r="K159" t="str">
        <f t="array" aca="1" ref="K159" ca="1">IFERROR(IF(OR(INDEX(checklistPesertaKemenkeu!$O$6:$O$1005,SMALL(IF(checklistPesertaKemenkeu!$AY$6:$AY$1005="Direkomendasikan",ROW($6:$1005)-5),158))="",INDEX(checklistPesertaKemenkeu!$J$6:$J$1005,SMALL(IF(checklistPesertaKemenkeu!$AY$6:$AY$1005="Direkomendasikan",ROW($6:$1005)-5),158))=""),"",IF(AND(COUNTIF(INDIRECT("K_"&amp;MATCH(INDEX(checklistPesertaKemenkeu!$J$6:$J$1005,SMALL(IF(checklistPesertaKemenkeu!$AY$6:$AY$1005="Direkomendasikan",ROW($6:$1005)-5),158)),BidangList,0)),INDEX(checklistPesertaKemenkeu!$O$6:$O$1005,SMALL(IF(checklistPesertaKemenkeu!$AY$6:$AY$1005="Direkomendasikan",ROW($6:$1005)-5),158)))&gt;0,COUNTIF(INDIRECT("'KERTAS KERJA'!K"&amp;(SMALL(IF(checklistPesertaKemenkeu!$AY$6:$AY$1005="Direkomendasikan",ROW($6:$1005)-5),158)+5)&amp;":O"&amp;(SMALL(IF(checklistPesertaKemenkeu!$AY$6:$AY$1005="Direkomendasikan",ROW($6:$1005)-5),158)+5)),INDEX(checklistPesertaKemenkeu!$O$6:$O$1005,SMALL(IF(checklistPesertaKemenkeu!$AY$6:$AY$1005="Direkomendasikan",ROW($6:$1005)-5),158)))=1),IFERROR(VLOOKUP(INDEX(checklistPesertaKemenkeu!$O$6:$O$1005,SMALL(IF(checklistPesertaKemenkeu!$AY$6:$AY$1005="Direkomendasikan",ROW($6:$1005)-5),158)),KotaKode,2,0),"-"),"")),"")</f>
        <v/>
      </c>
      <c r="L159" t="str">
        <f t="array" aca="1" ref="L159" ca="1">IFERROR(IF(OR(INDEX(checklistPesertaKemenkeu!$P$6:$P$1005,SMALL(IF(checklistPesertaKemenkeu!$AY$6:$AY$1005="Direkomendasikan",ROW($6:$1005)-5),158))="",INDEX(checklistPesertaKemenkeu!$J$6:$J$1005,SMALL(IF(checklistPesertaKemenkeu!$AY$6:$AY$1005="Direkomendasikan",ROW($6:$1005)-5),158))=""),"",IF(AND(COUNTIF(INDIRECT("K_"&amp;MATCH(INDEX(checklistPesertaKemenkeu!$J$6:$J$1005,SMALL(IF(checklistPesertaKemenkeu!$AY$6:$AY$1005="Direkomendasikan",ROW($6:$1005)-5),158)),BidangList,0)),INDEX(checklistPesertaKemenkeu!$P$6:$P$1005,SMALL(IF(checklistPesertaKemenkeu!$AY$6:$AY$1005="Direkomendasikan",ROW($6:$1005)-5),158)))&gt;0,COUNTIF(INDIRECT("'KERTAS KERJA'!K"&amp;(SMALL(IF(checklistPesertaKemenkeu!$AY$6:$AY$1005="Direkomendasikan",ROW($6:$1005)-5),158)+5)&amp;":O"&amp;(SMALL(IF(checklistPesertaKemenkeu!$AY$6:$AY$1005="Direkomendasikan",ROW($6:$1005)-5),158)+5)),INDEX(checklistPesertaKemenkeu!$P$6:$P$1005,SMALL(IF(checklistPesertaKemenkeu!$AY$6:$AY$1005="Direkomendasikan",ROW($6:$1005)-5),158)))=1),IFERROR(VLOOKUP(INDEX(checklistPesertaKemenkeu!$P$6:$P$1005,SMALL(IF(checklistPesertaKemenkeu!$AY$6:$AY$1005="Direkomendasikan",ROW($6:$1005)-5),158)),KotaKode,2,0),"-"),"")),"")</f>
        <v/>
      </c>
    </row>
    <row r="160" spans="1:12" ht="15" customHeight="1" x14ac:dyDescent="0.2">
      <c r="A160" t="str">
        <f t="shared" si="2"/>
        <v/>
      </c>
      <c r="B160" t="str">
        <v/>
      </c>
      <c r="C160" s="40" t="str">
        <f t="array" ref="C160">IFERROR(INDEX(checklistPesertaKemenkeu!$F$6:$F$1005,SMALL(IF(checklistPesertaKemenkeu!$AY$6:$AY$1005="Direkomendasikan",ROW($6:$1005)-5),159)),"")</f>
        <v/>
      </c>
      <c r="D160" t="str">
        <f t="array" ref="D160">IFERROR(INDEX(checklistPesertaKemenkeu!$G$6:$G$1005,SMALL(IF(checklistPesertaKemenkeu!$AY$6:$AY$1005="Direkomendasikan",ROW($6:$1005)-5),159)),"")</f>
        <v/>
      </c>
      <c r="E160" t="str">
        <f t="array" ref="E160">IFERROR(INDEX(checklistPesertaKemenkeu!$H$6:$H$1005,SMALL(IF(checklistPesertaKemenkeu!$AY$6:$AY$1005="Direkomendasikan",ROW($6:$1005)-5),159)),"")</f>
        <v/>
      </c>
      <c r="F160" t="str">
        <f t="array" ref="F160">IFERROR(INDEX(checklistPesertaKemenkeu!$I$6:$I$1005,SMALL(IF(checklistPesertaKemenkeu!$AY$6:$AY$1005="Direkomendasikan",ROW($6:$1005)-5),159)),"")</f>
        <v/>
      </c>
      <c r="G160" t="str">
        <f t="array" ref="G160">IFERROR(INDEX(checklistPesertaKemenkeu!$J$6:$J$1005,SMALL(IF(checklistPesertaKemenkeu!$AY$6:$AY$1005="Direkomendasikan",ROW($6:$1005)-5),159)),"")</f>
        <v/>
      </c>
      <c r="H160" t="str">
        <f t="array" aca="1" ref="H160" ca="1">IFERROR(IF(OR(INDEX(checklistPesertaKemenkeu!$L$6:$L$1005,SMALL(IF(checklistPesertaKemenkeu!$AY$6:$AY$1005="Direkomendasikan",ROW($6:$1005)-5),159))="",INDEX(checklistPesertaKemenkeu!$J$6:$J$1005,SMALL(IF(checklistPesertaKemenkeu!$AY$6:$AY$1005="Direkomendasikan",ROW($6:$1005)-5),159))=""),"",IF(AND(COUNTIF(INDIRECT("K_"&amp;MATCH(INDEX(checklistPesertaKemenkeu!$J$6:$J$1005,SMALL(IF(checklistPesertaKemenkeu!$AY$6:$AY$1005="Direkomendasikan",ROW($6:$1005)-5),159)),BidangList,0)),INDEX(checklistPesertaKemenkeu!$L$6:$L$1005,SMALL(IF(checklistPesertaKemenkeu!$AY$6:$AY$1005="Direkomendasikan",ROW($6:$1005)-5),159)))&gt;0,COUNTIF(INDIRECT("'KERTAS KERJA'!K"&amp;(SMALL(IF(checklistPesertaKemenkeu!$AY$6:$AY$1005="Direkomendasikan",ROW($6:$1005)-5),159)+5)&amp;":O"&amp;(SMALL(IF(checklistPesertaKemenkeu!$AY$6:$AY$1005="Direkomendasikan",ROW($6:$1005)-5),159)+5)),INDEX(checklistPesertaKemenkeu!$L$6:$L$1005,SMALL(IF(checklistPesertaKemenkeu!$AY$6:$AY$1005="Direkomendasikan",ROW($6:$1005)-5),159)))=1),IFERROR(VLOOKUP(INDEX(checklistPesertaKemenkeu!$L$6:$L$1005,SMALL(IF(checklistPesertaKemenkeu!$AY$6:$AY$1005="Direkomendasikan",ROW($6:$1005)-5),159)),KotaKode,2,0),"-"),"")),"")</f>
        <v/>
      </c>
      <c r="I160" t="str">
        <f t="array" aca="1" ref="I160" ca="1">IFERROR(IF(OR(INDEX(checklistPesertaKemenkeu!$M$6:$M$1005,SMALL(IF(checklistPesertaKemenkeu!$AY$6:$AY$1005="Direkomendasikan",ROW($6:$1005)-5),159))="",INDEX(checklistPesertaKemenkeu!$J$6:$J$1005,SMALL(IF(checklistPesertaKemenkeu!$AY$6:$AY$1005="Direkomendasikan",ROW($6:$1005)-5),159))=""),"",IF(AND(COUNTIF(INDIRECT("K_"&amp;MATCH(INDEX(checklistPesertaKemenkeu!$J$6:$J$1005,SMALL(IF(checklistPesertaKemenkeu!$AY$6:$AY$1005="Direkomendasikan",ROW($6:$1005)-5),159)),BidangList,0)),INDEX(checklistPesertaKemenkeu!$M$6:$M$1005,SMALL(IF(checklistPesertaKemenkeu!$AY$6:$AY$1005="Direkomendasikan",ROW($6:$1005)-5),159)))&gt;0,COUNTIF(INDIRECT("'KERTAS KERJA'!K"&amp;(SMALL(IF(checklistPesertaKemenkeu!$AY$6:$AY$1005="Direkomendasikan",ROW($6:$1005)-5),159)+5)&amp;":O"&amp;(SMALL(IF(checklistPesertaKemenkeu!$AY$6:$AY$1005="Direkomendasikan",ROW($6:$1005)-5),159)+5)),INDEX(checklistPesertaKemenkeu!$M$6:$M$1005,SMALL(IF(checklistPesertaKemenkeu!$AY$6:$AY$1005="Direkomendasikan",ROW($6:$1005)-5),159)))=1),IFERROR(VLOOKUP(INDEX(checklistPesertaKemenkeu!$M$6:$M$1005,SMALL(IF(checklistPesertaKemenkeu!$AY$6:$AY$1005="Direkomendasikan",ROW($6:$1005)-5),159)),KotaKode,2,0),"-"),"")),"")</f>
        <v/>
      </c>
      <c r="J160" t="str">
        <f t="array" aca="1" ref="J160" ca="1">IFERROR(IF(OR(INDEX(checklistPesertaKemenkeu!$N$6:$N$1005,SMALL(IF(checklistPesertaKemenkeu!$AY$6:$AY$1005="Direkomendasikan",ROW($6:$1005)-5),159))="",INDEX(checklistPesertaKemenkeu!$J$6:$J$1005,SMALL(IF(checklistPesertaKemenkeu!$AY$6:$AY$1005="Direkomendasikan",ROW($6:$1005)-5),159))=""),"",IF(AND(COUNTIF(INDIRECT("K_"&amp;MATCH(INDEX(checklistPesertaKemenkeu!$J$6:$J$1005,SMALL(IF(checklistPesertaKemenkeu!$AY$6:$AY$1005="Direkomendasikan",ROW($6:$1005)-5),159)),BidangList,0)),INDEX(checklistPesertaKemenkeu!$N$6:$N$1005,SMALL(IF(checklistPesertaKemenkeu!$AY$6:$AY$1005="Direkomendasikan",ROW($6:$1005)-5),159)))&gt;0,COUNTIF(INDIRECT("'KERTAS KERJA'!K"&amp;(SMALL(IF(checklistPesertaKemenkeu!$AY$6:$AY$1005="Direkomendasikan",ROW($6:$1005)-5),159)+5)&amp;":O"&amp;(SMALL(IF(checklistPesertaKemenkeu!$AY$6:$AY$1005="Direkomendasikan",ROW($6:$1005)-5),159)+5)),INDEX(checklistPesertaKemenkeu!$N$6:$N$1005,SMALL(IF(checklistPesertaKemenkeu!$AY$6:$AY$1005="Direkomendasikan",ROW($6:$1005)-5),159)))=1),IFERROR(VLOOKUP(INDEX(checklistPesertaKemenkeu!$N$6:$N$1005,SMALL(IF(checklistPesertaKemenkeu!$AY$6:$AY$1005="Direkomendasikan",ROW($6:$1005)-5),159)),KotaKode,2,0),"-"),"")),"")</f>
        <v/>
      </c>
      <c r="K160" t="str">
        <f t="array" aca="1" ref="K160" ca="1">IFERROR(IF(OR(INDEX(checklistPesertaKemenkeu!$O$6:$O$1005,SMALL(IF(checklistPesertaKemenkeu!$AY$6:$AY$1005="Direkomendasikan",ROW($6:$1005)-5),159))="",INDEX(checklistPesertaKemenkeu!$J$6:$J$1005,SMALL(IF(checklistPesertaKemenkeu!$AY$6:$AY$1005="Direkomendasikan",ROW($6:$1005)-5),159))=""),"",IF(AND(COUNTIF(INDIRECT("K_"&amp;MATCH(INDEX(checklistPesertaKemenkeu!$J$6:$J$1005,SMALL(IF(checklistPesertaKemenkeu!$AY$6:$AY$1005="Direkomendasikan",ROW($6:$1005)-5),159)),BidangList,0)),INDEX(checklistPesertaKemenkeu!$O$6:$O$1005,SMALL(IF(checklistPesertaKemenkeu!$AY$6:$AY$1005="Direkomendasikan",ROW($6:$1005)-5),159)))&gt;0,COUNTIF(INDIRECT("'KERTAS KERJA'!K"&amp;(SMALL(IF(checklistPesertaKemenkeu!$AY$6:$AY$1005="Direkomendasikan",ROW($6:$1005)-5),159)+5)&amp;":O"&amp;(SMALL(IF(checklistPesertaKemenkeu!$AY$6:$AY$1005="Direkomendasikan",ROW($6:$1005)-5),159)+5)),INDEX(checklistPesertaKemenkeu!$O$6:$O$1005,SMALL(IF(checklistPesertaKemenkeu!$AY$6:$AY$1005="Direkomendasikan",ROW($6:$1005)-5),159)))=1),IFERROR(VLOOKUP(INDEX(checklistPesertaKemenkeu!$O$6:$O$1005,SMALL(IF(checklistPesertaKemenkeu!$AY$6:$AY$1005="Direkomendasikan",ROW($6:$1005)-5),159)),KotaKode,2,0),"-"),"")),"")</f>
        <v/>
      </c>
      <c r="L160" t="str">
        <f t="array" aca="1" ref="L160" ca="1">IFERROR(IF(OR(INDEX(checklistPesertaKemenkeu!$P$6:$P$1005,SMALL(IF(checklistPesertaKemenkeu!$AY$6:$AY$1005="Direkomendasikan",ROW($6:$1005)-5),159))="",INDEX(checklistPesertaKemenkeu!$J$6:$J$1005,SMALL(IF(checklistPesertaKemenkeu!$AY$6:$AY$1005="Direkomendasikan",ROW($6:$1005)-5),159))=""),"",IF(AND(COUNTIF(INDIRECT("K_"&amp;MATCH(INDEX(checklistPesertaKemenkeu!$J$6:$J$1005,SMALL(IF(checklistPesertaKemenkeu!$AY$6:$AY$1005="Direkomendasikan",ROW($6:$1005)-5),159)),BidangList,0)),INDEX(checklistPesertaKemenkeu!$P$6:$P$1005,SMALL(IF(checklistPesertaKemenkeu!$AY$6:$AY$1005="Direkomendasikan",ROW($6:$1005)-5),159)))&gt;0,COUNTIF(INDIRECT("'KERTAS KERJA'!K"&amp;(SMALL(IF(checklistPesertaKemenkeu!$AY$6:$AY$1005="Direkomendasikan",ROW($6:$1005)-5),159)+5)&amp;":O"&amp;(SMALL(IF(checklistPesertaKemenkeu!$AY$6:$AY$1005="Direkomendasikan",ROW($6:$1005)-5),159)+5)),INDEX(checklistPesertaKemenkeu!$P$6:$P$1005,SMALL(IF(checklistPesertaKemenkeu!$AY$6:$AY$1005="Direkomendasikan",ROW($6:$1005)-5),159)))=1),IFERROR(VLOOKUP(INDEX(checklistPesertaKemenkeu!$P$6:$P$1005,SMALL(IF(checklistPesertaKemenkeu!$AY$6:$AY$1005="Direkomendasikan",ROW($6:$1005)-5),159)),KotaKode,2,0),"-"),"")),"")</f>
        <v/>
      </c>
    </row>
    <row r="161" spans="1:12" ht="15" customHeight="1" x14ac:dyDescent="0.2">
      <c r="A161" t="str">
        <f t="shared" si="2"/>
        <v/>
      </c>
      <c r="B161" t="str">
        <v/>
      </c>
      <c r="C161" s="40" t="str">
        <f t="array" ref="C161">IFERROR(INDEX(checklistPesertaKemenkeu!$F$6:$F$1005,SMALL(IF(checklistPesertaKemenkeu!$AY$6:$AY$1005="Direkomendasikan",ROW($6:$1005)-5),160)),"")</f>
        <v/>
      </c>
      <c r="D161" t="str">
        <f t="array" ref="D161">IFERROR(INDEX(checklistPesertaKemenkeu!$G$6:$G$1005,SMALL(IF(checklistPesertaKemenkeu!$AY$6:$AY$1005="Direkomendasikan",ROW($6:$1005)-5),160)),"")</f>
        <v/>
      </c>
      <c r="E161" t="str">
        <f t="array" ref="E161">IFERROR(INDEX(checklistPesertaKemenkeu!$H$6:$H$1005,SMALL(IF(checklistPesertaKemenkeu!$AY$6:$AY$1005="Direkomendasikan",ROW($6:$1005)-5),160)),"")</f>
        <v/>
      </c>
      <c r="F161" t="str">
        <f t="array" ref="F161">IFERROR(INDEX(checklistPesertaKemenkeu!$I$6:$I$1005,SMALL(IF(checklistPesertaKemenkeu!$AY$6:$AY$1005="Direkomendasikan",ROW($6:$1005)-5),160)),"")</f>
        <v/>
      </c>
      <c r="G161" t="str">
        <f t="array" ref="G161">IFERROR(INDEX(checklistPesertaKemenkeu!$J$6:$J$1005,SMALL(IF(checklistPesertaKemenkeu!$AY$6:$AY$1005="Direkomendasikan",ROW($6:$1005)-5),160)),"")</f>
        <v/>
      </c>
      <c r="H161" t="str">
        <f t="array" aca="1" ref="H161" ca="1">IFERROR(IF(OR(INDEX(checklistPesertaKemenkeu!$L$6:$L$1005,SMALL(IF(checklistPesertaKemenkeu!$AY$6:$AY$1005="Direkomendasikan",ROW($6:$1005)-5),160))="",INDEX(checklistPesertaKemenkeu!$J$6:$J$1005,SMALL(IF(checklistPesertaKemenkeu!$AY$6:$AY$1005="Direkomendasikan",ROW($6:$1005)-5),160))=""),"",IF(AND(COUNTIF(INDIRECT("K_"&amp;MATCH(INDEX(checklistPesertaKemenkeu!$J$6:$J$1005,SMALL(IF(checklistPesertaKemenkeu!$AY$6:$AY$1005="Direkomendasikan",ROW($6:$1005)-5),160)),BidangList,0)),INDEX(checklistPesertaKemenkeu!$L$6:$L$1005,SMALL(IF(checklistPesertaKemenkeu!$AY$6:$AY$1005="Direkomendasikan",ROW($6:$1005)-5),160)))&gt;0,COUNTIF(INDIRECT("'KERTAS KERJA'!K"&amp;(SMALL(IF(checklistPesertaKemenkeu!$AY$6:$AY$1005="Direkomendasikan",ROW($6:$1005)-5),160)+5)&amp;":O"&amp;(SMALL(IF(checklistPesertaKemenkeu!$AY$6:$AY$1005="Direkomendasikan",ROW($6:$1005)-5),160)+5)),INDEX(checklistPesertaKemenkeu!$L$6:$L$1005,SMALL(IF(checklistPesertaKemenkeu!$AY$6:$AY$1005="Direkomendasikan",ROW($6:$1005)-5),160)))=1),IFERROR(VLOOKUP(INDEX(checklistPesertaKemenkeu!$L$6:$L$1005,SMALL(IF(checklistPesertaKemenkeu!$AY$6:$AY$1005="Direkomendasikan",ROW($6:$1005)-5),160)),KotaKode,2,0),"-"),"")),"")</f>
        <v/>
      </c>
      <c r="I161" t="str">
        <f t="array" aca="1" ref="I161" ca="1">IFERROR(IF(OR(INDEX(checklistPesertaKemenkeu!$M$6:$M$1005,SMALL(IF(checklistPesertaKemenkeu!$AY$6:$AY$1005="Direkomendasikan",ROW($6:$1005)-5),160))="",INDEX(checklistPesertaKemenkeu!$J$6:$J$1005,SMALL(IF(checklistPesertaKemenkeu!$AY$6:$AY$1005="Direkomendasikan",ROW($6:$1005)-5),160))=""),"",IF(AND(COUNTIF(INDIRECT("K_"&amp;MATCH(INDEX(checklistPesertaKemenkeu!$J$6:$J$1005,SMALL(IF(checklistPesertaKemenkeu!$AY$6:$AY$1005="Direkomendasikan",ROW($6:$1005)-5),160)),BidangList,0)),INDEX(checklistPesertaKemenkeu!$M$6:$M$1005,SMALL(IF(checklistPesertaKemenkeu!$AY$6:$AY$1005="Direkomendasikan",ROW($6:$1005)-5),160)))&gt;0,COUNTIF(INDIRECT("'KERTAS KERJA'!K"&amp;(SMALL(IF(checklistPesertaKemenkeu!$AY$6:$AY$1005="Direkomendasikan",ROW($6:$1005)-5),160)+5)&amp;":O"&amp;(SMALL(IF(checklistPesertaKemenkeu!$AY$6:$AY$1005="Direkomendasikan",ROW($6:$1005)-5),160)+5)),INDEX(checklistPesertaKemenkeu!$M$6:$M$1005,SMALL(IF(checklistPesertaKemenkeu!$AY$6:$AY$1005="Direkomendasikan",ROW($6:$1005)-5),160)))=1),IFERROR(VLOOKUP(INDEX(checklistPesertaKemenkeu!$M$6:$M$1005,SMALL(IF(checklistPesertaKemenkeu!$AY$6:$AY$1005="Direkomendasikan",ROW($6:$1005)-5),160)),KotaKode,2,0),"-"),"")),"")</f>
        <v/>
      </c>
      <c r="J161" t="str">
        <f t="array" aca="1" ref="J161" ca="1">IFERROR(IF(OR(INDEX(checklistPesertaKemenkeu!$N$6:$N$1005,SMALL(IF(checklistPesertaKemenkeu!$AY$6:$AY$1005="Direkomendasikan",ROW($6:$1005)-5),160))="",INDEX(checklistPesertaKemenkeu!$J$6:$J$1005,SMALL(IF(checklistPesertaKemenkeu!$AY$6:$AY$1005="Direkomendasikan",ROW($6:$1005)-5),160))=""),"",IF(AND(COUNTIF(INDIRECT("K_"&amp;MATCH(INDEX(checklistPesertaKemenkeu!$J$6:$J$1005,SMALL(IF(checklistPesertaKemenkeu!$AY$6:$AY$1005="Direkomendasikan",ROW($6:$1005)-5),160)),BidangList,0)),INDEX(checklistPesertaKemenkeu!$N$6:$N$1005,SMALL(IF(checklistPesertaKemenkeu!$AY$6:$AY$1005="Direkomendasikan",ROW($6:$1005)-5),160)))&gt;0,COUNTIF(INDIRECT("'KERTAS KERJA'!K"&amp;(SMALL(IF(checklistPesertaKemenkeu!$AY$6:$AY$1005="Direkomendasikan",ROW($6:$1005)-5),160)+5)&amp;":O"&amp;(SMALL(IF(checklistPesertaKemenkeu!$AY$6:$AY$1005="Direkomendasikan",ROW($6:$1005)-5),160)+5)),INDEX(checklistPesertaKemenkeu!$N$6:$N$1005,SMALL(IF(checklistPesertaKemenkeu!$AY$6:$AY$1005="Direkomendasikan",ROW($6:$1005)-5),160)))=1),IFERROR(VLOOKUP(INDEX(checklistPesertaKemenkeu!$N$6:$N$1005,SMALL(IF(checklistPesertaKemenkeu!$AY$6:$AY$1005="Direkomendasikan",ROW($6:$1005)-5),160)),KotaKode,2,0),"-"),"")),"")</f>
        <v/>
      </c>
      <c r="K161" t="str">
        <f t="array" aca="1" ref="K161" ca="1">IFERROR(IF(OR(INDEX(checklistPesertaKemenkeu!$O$6:$O$1005,SMALL(IF(checklistPesertaKemenkeu!$AY$6:$AY$1005="Direkomendasikan",ROW($6:$1005)-5),160))="",INDEX(checklistPesertaKemenkeu!$J$6:$J$1005,SMALL(IF(checklistPesertaKemenkeu!$AY$6:$AY$1005="Direkomendasikan",ROW($6:$1005)-5),160))=""),"",IF(AND(COUNTIF(INDIRECT("K_"&amp;MATCH(INDEX(checklistPesertaKemenkeu!$J$6:$J$1005,SMALL(IF(checklistPesertaKemenkeu!$AY$6:$AY$1005="Direkomendasikan",ROW($6:$1005)-5),160)),BidangList,0)),INDEX(checklistPesertaKemenkeu!$O$6:$O$1005,SMALL(IF(checklistPesertaKemenkeu!$AY$6:$AY$1005="Direkomendasikan",ROW($6:$1005)-5),160)))&gt;0,COUNTIF(INDIRECT("'KERTAS KERJA'!K"&amp;(SMALL(IF(checklistPesertaKemenkeu!$AY$6:$AY$1005="Direkomendasikan",ROW($6:$1005)-5),160)+5)&amp;":O"&amp;(SMALL(IF(checklistPesertaKemenkeu!$AY$6:$AY$1005="Direkomendasikan",ROW($6:$1005)-5),160)+5)),INDEX(checklistPesertaKemenkeu!$O$6:$O$1005,SMALL(IF(checklistPesertaKemenkeu!$AY$6:$AY$1005="Direkomendasikan",ROW($6:$1005)-5),160)))=1),IFERROR(VLOOKUP(INDEX(checklistPesertaKemenkeu!$O$6:$O$1005,SMALL(IF(checklistPesertaKemenkeu!$AY$6:$AY$1005="Direkomendasikan",ROW($6:$1005)-5),160)),KotaKode,2,0),"-"),"")),"")</f>
        <v/>
      </c>
      <c r="L161" t="str">
        <f t="array" aca="1" ref="L161" ca="1">IFERROR(IF(OR(INDEX(checklistPesertaKemenkeu!$P$6:$P$1005,SMALL(IF(checklistPesertaKemenkeu!$AY$6:$AY$1005="Direkomendasikan",ROW($6:$1005)-5),160))="",INDEX(checklistPesertaKemenkeu!$J$6:$J$1005,SMALL(IF(checklistPesertaKemenkeu!$AY$6:$AY$1005="Direkomendasikan",ROW($6:$1005)-5),160))=""),"",IF(AND(COUNTIF(INDIRECT("K_"&amp;MATCH(INDEX(checklistPesertaKemenkeu!$J$6:$J$1005,SMALL(IF(checklistPesertaKemenkeu!$AY$6:$AY$1005="Direkomendasikan",ROW($6:$1005)-5),160)),BidangList,0)),INDEX(checklistPesertaKemenkeu!$P$6:$P$1005,SMALL(IF(checklistPesertaKemenkeu!$AY$6:$AY$1005="Direkomendasikan",ROW($6:$1005)-5),160)))&gt;0,COUNTIF(INDIRECT("'KERTAS KERJA'!K"&amp;(SMALL(IF(checklistPesertaKemenkeu!$AY$6:$AY$1005="Direkomendasikan",ROW($6:$1005)-5),160)+5)&amp;":O"&amp;(SMALL(IF(checklistPesertaKemenkeu!$AY$6:$AY$1005="Direkomendasikan",ROW($6:$1005)-5),160)+5)),INDEX(checklistPesertaKemenkeu!$P$6:$P$1005,SMALL(IF(checklistPesertaKemenkeu!$AY$6:$AY$1005="Direkomendasikan",ROW($6:$1005)-5),160)))=1),IFERROR(VLOOKUP(INDEX(checklistPesertaKemenkeu!$P$6:$P$1005,SMALL(IF(checklistPesertaKemenkeu!$AY$6:$AY$1005="Direkomendasikan",ROW($6:$1005)-5),160)),KotaKode,2,0),"-"),"")),"")</f>
        <v/>
      </c>
    </row>
    <row r="162" spans="1:12" ht="15" customHeight="1" x14ac:dyDescent="0.2">
      <c r="A162" t="str">
        <f t="shared" si="2"/>
        <v/>
      </c>
      <c r="B162" t="str">
        <v/>
      </c>
      <c r="C162" s="40" t="str">
        <f t="array" ref="C162">IFERROR(INDEX(checklistPesertaKemenkeu!$F$6:$F$1005,SMALL(IF(checklistPesertaKemenkeu!$AY$6:$AY$1005="Direkomendasikan",ROW($6:$1005)-5),161)),"")</f>
        <v/>
      </c>
      <c r="D162" t="str">
        <f t="array" ref="D162">IFERROR(INDEX(checklistPesertaKemenkeu!$G$6:$G$1005,SMALL(IF(checklistPesertaKemenkeu!$AY$6:$AY$1005="Direkomendasikan",ROW($6:$1005)-5),161)),"")</f>
        <v/>
      </c>
      <c r="E162" t="str">
        <f t="array" ref="E162">IFERROR(INDEX(checklistPesertaKemenkeu!$H$6:$H$1005,SMALL(IF(checklistPesertaKemenkeu!$AY$6:$AY$1005="Direkomendasikan",ROW($6:$1005)-5),161)),"")</f>
        <v/>
      </c>
      <c r="F162" t="str">
        <f t="array" ref="F162">IFERROR(INDEX(checklistPesertaKemenkeu!$I$6:$I$1005,SMALL(IF(checklistPesertaKemenkeu!$AY$6:$AY$1005="Direkomendasikan",ROW($6:$1005)-5),161)),"")</f>
        <v/>
      </c>
      <c r="G162" t="str">
        <f t="array" ref="G162">IFERROR(INDEX(checklistPesertaKemenkeu!$J$6:$J$1005,SMALL(IF(checklistPesertaKemenkeu!$AY$6:$AY$1005="Direkomendasikan",ROW($6:$1005)-5),161)),"")</f>
        <v/>
      </c>
      <c r="H162" t="str">
        <f t="array" aca="1" ref="H162" ca="1">IFERROR(IF(OR(INDEX(checklistPesertaKemenkeu!$L$6:$L$1005,SMALL(IF(checklistPesertaKemenkeu!$AY$6:$AY$1005="Direkomendasikan",ROW($6:$1005)-5),161))="",INDEX(checklistPesertaKemenkeu!$J$6:$J$1005,SMALL(IF(checklistPesertaKemenkeu!$AY$6:$AY$1005="Direkomendasikan",ROW($6:$1005)-5),161))=""),"",IF(AND(COUNTIF(INDIRECT("K_"&amp;MATCH(INDEX(checklistPesertaKemenkeu!$J$6:$J$1005,SMALL(IF(checklistPesertaKemenkeu!$AY$6:$AY$1005="Direkomendasikan",ROW($6:$1005)-5),161)),BidangList,0)),INDEX(checklistPesertaKemenkeu!$L$6:$L$1005,SMALL(IF(checklistPesertaKemenkeu!$AY$6:$AY$1005="Direkomendasikan",ROW($6:$1005)-5),161)))&gt;0,COUNTIF(INDIRECT("'KERTAS KERJA'!K"&amp;(SMALL(IF(checklistPesertaKemenkeu!$AY$6:$AY$1005="Direkomendasikan",ROW($6:$1005)-5),161)+5)&amp;":O"&amp;(SMALL(IF(checklistPesertaKemenkeu!$AY$6:$AY$1005="Direkomendasikan",ROW($6:$1005)-5),161)+5)),INDEX(checklistPesertaKemenkeu!$L$6:$L$1005,SMALL(IF(checklistPesertaKemenkeu!$AY$6:$AY$1005="Direkomendasikan",ROW($6:$1005)-5),161)))=1),IFERROR(VLOOKUP(INDEX(checklistPesertaKemenkeu!$L$6:$L$1005,SMALL(IF(checklistPesertaKemenkeu!$AY$6:$AY$1005="Direkomendasikan",ROW($6:$1005)-5),161)),KotaKode,2,0),"-"),"")),"")</f>
        <v/>
      </c>
      <c r="I162" t="str">
        <f t="array" aca="1" ref="I162" ca="1">IFERROR(IF(OR(INDEX(checklistPesertaKemenkeu!$M$6:$M$1005,SMALL(IF(checklistPesertaKemenkeu!$AY$6:$AY$1005="Direkomendasikan",ROW($6:$1005)-5),161))="",INDEX(checklistPesertaKemenkeu!$J$6:$J$1005,SMALL(IF(checklistPesertaKemenkeu!$AY$6:$AY$1005="Direkomendasikan",ROW($6:$1005)-5),161))=""),"",IF(AND(COUNTIF(INDIRECT("K_"&amp;MATCH(INDEX(checklistPesertaKemenkeu!$J$6:$J$1005,SMALL(IF(checklistPesertaKemenkeu!$AY$6:$AY$1005="Direkomendasikan",ROW($6:$1005)-5),161)),BidangList,0)),INDEX(checklistPesertaKemenkeu!$M$6:$M$1005,SMALL(IF(checklistPesertaKemenkeu!$AY$6:$AY$1005="Direkomendasikan",ROW($6:$1005)-5),161)))&gt;0,COUNTIF(INDIRECT("'KERTAS KERJA'!K"&amp;(SMALL(IF(checklistPesertaKemenkeu!$AY$6:$AY$1005="Direkomendasikan",ROW($6:$1005)-5),161)+5)&amp;":O"&amp;(SMALL(IF(checklistPesertaKemenkeu!$AY$6:$AY$1005="Direkomendasikan",ROW($6:$1005)-5),161)+5)),INDEX(checklistPesertaKemenkeu!$M$6:$M$1005,SMALL(IF(checklistPesertaKemenkeu!$AY$6:$AY$1005="Direkomendasikan",ROW($6:$1005)-5),161)))=1),IFERROR(VLOOKUP(INDEX(checklistPesertaKemenkeu!$M$6:$M$1005,SMALL(IF(checklistPesertaKemenkeu!$AY$6:$AY$1005="Direkomendasikan",ROW($6:$1005)-5),161)),KotaKode,2,0),"-"),"")),"")</f>
        <v/>
      </c>
      <c r="J162" t="str">
        <f t="array" aca="1" ref="J162" ca="1">IFERROR(IF(OR(INDEX(checklistPesertaKemenkeu!$N$6:$N$1005,SMALL(IF(checklistPesertaKemenkeu!$AY$6:$AY$1005="Direkomendasikan",ROW($6:$1005)-5),161))="",INDEX(checklistPesertaKemenkeu!$J$6:$J$1005,SMALL(IF(checklistPesertaKemenkeu!$AY$6:$AY$1005="Direkomendasikan",ROW($6:$1005)-5),161))=""),"",IF(AND(COUNTIF(INDIRECT("K_"&amp;MATCH(INDEX(checklistPesertaKemenkeu!$J$6:$J$1005,SMALL(IF(checklistPesertaKemenkeu!$AY$6:$AY$1005="Direkomendasikan",ROW($6:$1005)-5),161)),BidangList,0)),INDEX(checklistPesertaKemenkeu!$N$6:$N$1005,SMALL(IF(checklistPesertaKemenkeu!$AY$6:$AY$1005="Direkomendasikan",ROW($6:$1005)-5),161)))&gt;0,COUNTIF(INDIRECT("'KERTAS KERJA'!K"&amp;(SMALL(IF(checklistPesertaKemenkeu!$AY$6:$AY$1005="Direkomendasikan",ROW($6:$1005)-5),161)+5)&amp;":O"&amp;(SMALL(IF(checklistPesertaKemenkeu!$AY$6:$AY$1005="Direkomendasikan",ROW($6:$1005)-5),161)+5)),INDEX(checklistPesertaKemenkeu!$N$6:$N$1005,SMALL(IF(checklistPesertaKemenkeu!$AY$6:$AY$1005="Direkomendasikan",ROW($6:$1005)-5),161)))=1),IFERROR(VLOOKUP(INDEX(checklistPesertaKemenkeu!$N$6:$N$1005,SMALL(IF(checklistPesertaKemenkeu!$AY$6:$AY$1005="Direkomendasikan",ROW($6:$1005)-5),161)),KotaKode,2,0),"-"),"")),"")</f>
        <v/>
      </c>
      <c r="K162" t="str">
        <f t="array" aca="1" ref="K162" ca="1">IFERROR(IF(OR(INDEX(checklistPesertaKemenkeu!$O$6:$O$1005,SMALL(IF(checklistPesertaKemenkeu!$AY$6:$AY$1005="Direkomendasikan",ROW($6:$1005)-5),161))="",INDEX(checklistPesertaKemenkeu!$J$6:$J$1005,SMALL(IF(checklistPesertaKemenkeu!$AY$6:$AY$1005="Direkomendasikan",ROW($6:$1005)-5),161))=""),"",IF(AND(COUNTIF(INDIRECT("K_"&amp;MATCH(INDEX(checklistPesertaKemenkeu!$J$6:$J$1005,SMALL(IF(checklistPesertaKemenkeu!$AY$6:$AY$1005="Direkomendasikan",ROW($6:$1005)-5),161)),BidangList,0)),INDEX(checklistPesertaKemenkeu!$O$6:$O$1005,SMALL(IF(checklistPesertaKemenkeu!$AY$6:$AY$1005="Direkomendasikan",ROW($6:$1005)-5),161)))&gt;0,COUNTIF(INDIRECT("'KERTAS KERJA'!K"&amp;(SMALL(IF(checklistPesertaKemenkeu!$AY$6:$AY$1005="Direkomendasikan",ROW($6:$1005)-5),161)+5)&amp;":O"&amp;(SMALL(IF(checklistPesertaKemenkeu!$AY$6:$AY$1005="Direkomendasikan",ROW($6:$1005)-5),161)+5)),INDEX(checklistPesertaKemenkeu!$O$6:$O$1005,SMALL(IF(checklistPesertaKemenkeu!$AY$6:$AY$1005="Direkomendasikan",ROW($6:$1005)-5),161)))=1),IFERROR(VLOOKUP(INDEX(checklistPesertaKemenkeu!$O$6:$O$1005,SMALL(IF(checklistPesertaKemenkeu!$AY$6:$AY$1005="Direkomendasikan",ROW($6:$1005)-5),161)),KotaKode,2,0),"-"),"")),"")</f>
        <v/>
      </c>
      <c r="L162" t="str">
        <f t="array" aca="1" ref="L162" ca="1">IFERROR(IF(OR(INDEX(checklistPesertaKemenkeu!$P$6:$P$1005,SMALL(IF(checklistPesertaKemenkeu!$AY$6:$AY$1005="Direkomendasikan",ROW($6:$1005)-5),161))="",INDEX(checklistPesertaKemenkeu!$J$6:$J$1005,SMALL(IF(checklistPesertaKemenkeu!$AY$6:$AY$1005="Direkomendasikan",ROW($6:$1005)-5),161))=""),"",IF(AND(COUNTIF(INDIRECT("K_"&amp;MATCH(INDEX(checklistPesertaKemenkeu!$J$6:$J$1005,SMALL(IF(checklistPesertaKemenkeu!$AY$6:$AY$1005="Direkomendasikan",ROW($6:$1005)-5),161)),BidangList,0)),INDEX(checklistPesertaKemenkeu!$P$6:$P$1005,SMALL(IF(checklistPesertaKemenkeu!$AY$6:$AY$1005="Direkomendasikan",ROW($6:$1005)-5),161)))&gt;0,COUNTIF(INDIRECT("'KERTAS KERJA'!K"&amp;(SMALL(IF(checklistPesertaKemenkeu!$AY$6:$AY$1005="Direkomendasikan",ROW($6:$1005)-5),161)+5)&amp;":O"&amp;(SMALL(IF(checklistPesertaKemenkeu!$AY$6:$AY$1005="Direkomendasikan",ROW($6:$1005)-5),161)+5)),INDEX(checklistPesertaKemenkeu!$P$6:$P$1005,SMALL(IF(checklistPesertaKemenkeu!$AY$6:$AY$1005="Direkomendasikan",ROW($6:$1005)-5),161)))=1),IFERROR(VLOOKUP(INDEX(checklistPesertaKemenkeu!$P$6:$P$1005,SMALL(IF(checklistPesertaKemenkeu!$AY$6:$AY$1005="Direkomendasikan",ROW($6:$1005)-5),161)),KotaKode,2,0),"-"),"")),"")</f>
        <v/>
      </c>
    </row>
    <row r="163" spans="1:12" ht="15" customHeight="1" x14ac:dyDescent="0.2">
      <c r="A163" t="str">
        <f t="shared" si="2"/>
        <v/>
      </c>
      <c r="B163" t="str">
        <v/>
      </c>
      <c r="C163" s="40" t="str">
        <f t="array" ref="C163">IFERROR(INDEX(checklistPesertaKemenkeu!$F$6:$F$1005,SMALL(IF(checklistPesertaKemenkeu!$AY$6:$AY$1005="Direkomendasikan",ROW($6:$1005)-5),162)),"")</f>
        <v/>
      </c>
      <c r="D163" t="str">
        <f t="array" ref="D163">IFERROR(INDEX(checklistPesertaKemenkeu!$G$6:$G$1005,SMALL(IF(checklistPesertaKemenkeu!$AY$6:$AY$1005="Direkomendasikan",ROW($6:$1005)-5),162)),"")</f>
        <v/>
      </c>
      <c r="E163" t="str">
        <f t="array" ref="E163">IFERROR(INDEX(checklistPesertaKemenkeu!$H$6:$H$1005,SMALL(IF(checklistPesertaKemenkeu!$AY$6:$AY$1005="Direkomendasikan",ROW($6:$1005)-5),162)),"")</f>
        <v/>
      </c>
      <c r="F163" t="str">
        <f t="array" ref="F163">IFERROR(INDEX(checklistPesertaKemenkeu!$I$6:$I$1005,SMALL(IF(checklistPesertaKemenkeu!$AY$6:$AY$1005="Direkomendasikan",ROW($6:$1005)-5),162)),"")</f>
        <v/>
      </c>
      <c r="G163" t="str">
        <f t="array" ref="G163">IFERROR(INDEX(checklistPesertaKemenkeu!$J$6:$J$1005,SMALL(IF(checklistPesertaKemenkeu!$AY$6:$AY$1005="Direkomendasikan",ROW($6:$1005)-5),162)),"")</f>
        <v/>
      </c>
      <c r="H163" t="str">
        <f t="array" aca="1" ref="H163" ca="1">IFERROR(IF(OR(INDEX(checklistPesertaKemenkeu!$L$6:$L$1005,SMALL(IF(checklistPesertaKemenkeu!$AY$6:$AY$1005="Direkomendasikan",ROW($6:$1005)-5),162))="",INDEX(checklistPesertaKemenkeu!$J$6:$J$1005,SMALL(IF(checklistPesertaKemenkeu!$AY$6:$AY$1005="Direkomendasikan",ROW($6:$1005)-5),162))=""),"",IF(AND(COUNTIF(INDIRECT("K_"&amp;MATCH(INDEX(checklistPesertaKemenkeu!$J$6:$J$1005,SMALL(IF(checklistPesertaKemenkeu!$AY$6:$AY$1005="Direkomendasikan",ROW($6:$1005)-5),162)),BidangList,0)),INDEX(checklistPesertaKemenkeu!$L$6:$L$1005,SMALL(IF(checklistPesertaKemenkeu!$AY$6:$AY$1005="Direkomendasikan",ROW($6:$1005)-5),162)))&gt;0,COUNTIF(INDIRECT("'KERTAS KERJA'!K"&amp;(SMALL(IF(checklistPesertaKemenkeu!$AY$6:$AY$1005="Direkomendasikan",ROW($6:$1005)-5),162)+5)&amp;":O"&amp;(SMALL(IF(checklistPesertaKemenkeu!$AY$6:$AY$1005="Direkomendasikan",ROW($6:$1005)-5),162)+5)),INDEX(checklistPesertaKemenkeu!$L$6:$L$1005,SMALL(IF(checklistPesertaKemenkeu!$AY$6:$AY$1005="Direkomendasikan",ROW($6:$1005)-5),162)))=1),IFERROR(VLOOKUP(INDEX(checklistPesertaKemenkeu!$L$6:$L$1005,SMALL(IF(checklistPesertaKemenkeu!$AY$6:$AY$1005="Direkomendasikan",ROW($6:$1005)-5),162)),KotaKode,2,0),"-"),"")),"")</f>
        <v/>
      </c>
      <c r="I163" t="str">
        <f t="array" aca="1" ref="I163" ca="1">IFERROR(IF(OR(INDEX(checklistPesertaKemenkeu!$M$6:$M$1005,SMALL(IF(checklistPesertaKemenkeu!$AY$6:$AY$1005="Direkomendasikan",ROW($6:$1005)-5),162))="",INDEX(checklistPesertaKemenkeu!$J$6:$J$1005,SMALL(IF(checklistPesertaKemenkeu!$AY$6:$AY$1005="Direkomendasikan",ROW($6:$1005)-5),162))=""),"",IF(AND(COUNTIF(INDIRECT("K_"&amp;MATCH(INDEX(checklistPesertaKemenkeu!$J$6:$J$1005,SMALL(IF(checklistPesertaKemenkeu!$AY$6:$AY$1005="Direkomendasikan",ROW($6:$1005)-5),162)),BidangList,0)),INDEX(checklistPesertaKemenkeu!$M$6:$M$1005,SMALL(IF(checklistPesertaKemenkeu!$AY$6:$AY$1005="Direkomendasikan",ROW($6:$1005)-5),162)))&gt;0,COUNTIF(INDIRECT("'KERTAS KERJA'!K"&amp;(SMALL(IF(checklistPesertaKemenkeu!$AY$6:$AY$1005="Direkomendasikan",ROW($6:$1005)-5),162)+5)&amp;":O"&amp;(SMALL(IF(checklistPesertaKemenkeu!$AY$6:$AY$1005="Direkomendasikan",ROW($6:$1005)-5),162)+5)),INDEX(checklistPesertaKemenkeu!$M$6:$M$1005,SMALL(IF(checklistPesertaKemenkeu!$AY$6:$AY$1005="Direkomendasikan",ROW($6:$1005)-5),162)))=1),IFERROR(VLOOKUP(INDEX(checklistPesertaKemenkeu!$M$6:$M$1005,SMALL(IF(checklistPesertaKemenkeu!$AY$6:$AY$1005="Direkomendasikan",ROW($6:$1005)-5),162)),KotaKode,2,0),"-"),"")),"")</f>
        <v/>
      </c>
      <c r="J163" t="str">
        <f t="array" aca="1" ref="J163" ca="1">IFERROR(IF(OR(INDEX(checklistPesertaKemenkeu!$N$6:$N$1005,SMALL(IF(checklistPesertaKemenkeu!$AY$6:$AY$1005="Direkomendasikan",ROW($6:$1005)-5),162))="",INDEX(checklistPesertaKemenkeu!$J$6:$J$1005,SMALL(IF(checklistPesertaKemenkeu!$AY$6:$AY$1005="Direkomendasikan",ROW($6:$1005)-5),162))=""),"",IF(AND(COUNTIF(INDIRECT("K_"&amp;MATCH(INDEX(checklistPesertaKemenkeu!$J$6:$J$1005,SMALL(IF(checklistPesertaKemenkeu!$AY$6:$AY$1005="Direkomendasikan",ROW($6:$1005)-5),162)),BidangList,0)),INDEX(checklistPesertaKemenkeu!$N$6:$N$1005,SMALL(IF(checklistPesertaKemenkeu!$AY$6:$AY$1005="Direkomendasikan",ROW($6:$1005)-5),162)))&gt;0,COUNTIF(INDIRECT("'KERTAS KERJA'!K"&amp;(SMALL(IF(checklistPesertaKemenkeu!$AY$6:$AY$1005="Direkomendasikan",ROW($6:$1005)-5),162)+5)&amp;":O"&amp;(SMALL(IF(checklistPesertaKemenkeu!$AY$6:$AY$1005="Direkomendasikan",ROW($6:$1005)-5),162)+5)),INDEX(checklistPesertaKemenkeu!$N$6:$N$1005,SMALL(IF(checklistPesertaKemenkeu!$AY$6:$AY$1005="Direkomendasikan",ROW($6:$1005)-5),162)))=1),IFERROR(VLOOKUP(INDEX(checklistPesertaKemenkeu!$N$6:$N$1005,SMALL(IF(checklistPesertaKemenkeu!$AY$6:$AY$1005="Direkomendasikan",ROW($6:$1005)-5),162)),KotaKode,2,0),"-"),"")),"")</f>
        <v/>
      </c>
      <c r="K163" t="str">
        <f t="array" aca="1" ref="K163" ca="1">IFERROR(IF(OR(INDEX(checklistPesertaKemenkeu!$O$6:$O$1005,SMALL(IF(checklistPesertaKemenkeu!$AY$6:$AY$1005="Direkomendasikan",ROW($6:$1005)-5),162))="",INDEX(checklistPesertaKemenkeu!$J$6:$J$1005,SMALL(IF(checklistPesertaKemenkeu!$AY$6:$AY$1005="Direkomendasikan",ROW($6:$1005)-5),162))=""),"",IF(AND(COUNTIF(INDIRECT("K_"&amp;MATCH(INDEX(checklistPesertaKemenkeu!$J$6:$J$1005,SMALL(IF(checklistPesertaKemenkeu!$AY$6:$AY$1005="Direkomendasikan",ROW($6:$1005)-5),162)),BidangList,0)),INDEX(checklistPesertaKemenkeu!$O$6:$O$1005,SMALL(IF(checklistPesertaKemenkeu!$AY$6:$AY$1005="Direkomendasikan",ROW($6:$1005)-5),162)))&gt;0,COUNTIF(INDIRECT("'KERTAS KERJA'!K"&amp;(SMALL(IF(checklistPesertaKemenkeu!$AY$6:$AY$1005="Direkomendasikan",ROW($6:$1005)-5),162)+5)&amp;":O"&amp;(SMALL(IF(checklistPesertaKemenkeu!$AY$6:$AY$1005="Direkomendasikan",ROW($6:$1005)-5),162)+5)),INDEX(checklistPesertaKemenkeu!$O$6:$O$1005,SMALL(IF(checklistPesertaKemenkeu!$AY$6:$AY$1005="Direkomendasikan",ROW($6:$1005)-5),162)))=1),IFERROR(VLOOKUP(INDEX(checklistPesertaKemenkeu!$O$6:$O$1005,SMALL(IF(checklistPesertaKemenkeu!$AY$6:$AY$1005="Direkomendasikan",ROW($6:$1005)-5),162)),KotaKode,2,0),"-"),"")),"")</f>
        <v/>
      </c>
      <c r="L163" t="str">
        <f t="array" aca="1" ref="L163" ca="1">IFERROR(IF(OR(INDEX(checklistPesertaKemenkeu!$P$6:$P$1005,SMALL(IF(checklistPesertaKemenkeu!$AY$6:$AY$1005="Direkomendasikan",ROW($6:$1005)-5),162))="",INDEX(checklistPesertaKemenkeu!$J$6:$J$1005,SMALL(IF(checklistPesertaKemenkeu!$AY$6:$AY$1005="Direkomendasikan",ROW($6:$1005)-5),162))=""),"",IF(AND(COUNTIF(INDIRECT("K_"&amp;MATCH(INDEX(checklistPesertaKemenkeu!$J$6:$J$1005,SMALL(IF(checklistPesertaKemenkeu!$AY$6:$AY$1005="Direkomendasikan",ROW($6:$1005)-5),162)),BidangList,0)),INDEX(checklistPesertaKemenkeu!$P$6:$P$1005,SMALL(IF(checklistPesertaKemenkeu!$AY$6:$AY$1005="Direkomendasikan",ROW($6:$1005)-5),162)))&gt;0,COUNTIF(INDIRECT("'KERTAS KERJA'!K"&amp;(SMALL(IF(checklistPesertaKemenkeu!$AY$6:$AY$1005="Direkomendasikan",ROW($6:$1005)-5),162)+5)&amp;":O"&amp;(SMALL(IF(checklistPesertaKemenkeu!$AY$6:$AY$1005="Direkomendasikan",ROW($6:$1005)-5),162)+5)),INDEX(checklistPesertaKemenkeu!$P$6:$P$1005,SMALL(IF(checklistPesertaKemenkeu!$AY$6:$AY$1005="Direkomendasikan",ROW($6:$1005)-5),162)))=1),IFERROR(VLOOKUP(INDEX(checklistPesertaKemenkeu!$P$6:$P$1005,SMALL(IF(checklistPesertaKemenkeu!$AY$6:$AY$1005="Direkomendasikan",ROW($6:$1005)-5),162)),KotaKode,2,0),"-"),"")),"")</f>
        <v/>
      </c>
    </row>
    <row r="164" spans="1:12" ht="15" customHeight="1" x14ac:dyDescent="0.2">
      <c r="A164" t="str">
        <f t="shared" si="2"/>
        <v/>
      </c>
      <c r="B164" t="str">
        <v/>
      </c>
      <c r="C164" s="40" t="str">
        <f t="array" ref="C164">IFERROR(INDEX(checklistPesertaKemenkeu!$F$6:$F$1005,SMALL(IF(checklistPesertaKemenkeu!$AY$6:$AY$1005="Direkomendasikan",ROW($6:$1005)-5),163)),"")</f>
        <v/>
      </c>
      <c r="D164" t="str">
        <f t="array" ref="D164">IFERROR(INDEX(checklistPesertaKemenkeu!$G$6:$G$1005,SMALL(IF(checklistPesertaKemenkeu!$AY$6:$AY$1005="Direkomendasikan",ROW($6:$1005)-5),163)),"")</f>
        <v/>
      </c>
      <c r="E164" t="str">
        <f t="array" ref="E164">IFERROR(INDEX(checklistPesertaKemenkeu!$H$6:$H$1005,SMALL(IF(checklistPesertaKemenkeu!$AY$6:$AY$1005="Direkomendasikan",ROW($6:$1005)-5),163)),"")</f>
        <v/>
      </c>
      <c r="F164" t="str">
        <f t="array" ref="F164">IFERROR(INDEX(checklistPesertaKemenkeu!$I$6:$I$1005,SMALL(IF(checklistPesertaKemenkeu!$AY$6:$AY$1005="Direkomendasikan",ROW($6:$1005)-5),163)),"")</f>
        <v/>
      </c>
      <c r="G164" t="str">
        <f t="array" ref="G164">IFERROR(INDEX(checklistPesertaKemenkeu!$J$6:$J$1005,SMALL(IF(checklistPesertaKemenkeu!$AY$6:$AY$1005="Direkomendasikan",ROW($6:$1005)-5),163)),"")</f>
        <v/>
      </c>
      <c r="H164" t="str">
        <f t="array" aca="1" ref="H164" ca="1">IFERROR(IF(OR(INDEX(checklistPesertaKemenkeu!$L$6:$L$1005,SMALL(IF(checklistPesertaKemenkeu!$AY$6:$AY$1005="Direkomendasikan",ROW($6:$1005)-5),163))="",INDEX(checklistPesertaKemenkeu!$J$6:$J$1005,SMALL(IF(checklistPesertaKemenkeu!$AY$6:$AY$1005="Direkomendasikan",ROW($6:$1005)-5),163))=""),"",IF(AND(COUNTIF(INDIRECT("K_"&amp;MATCH(INDEX(checklistPesertaKemenkeu!$J$6:$J$1005,SMALL(IF(checklistPesertaKemenkeu!$AY$6:$AY$1005="Direkomendasikan",ROW($6:$1005)-5),163)),BidangList,0)),INDEX(checklistPesertaKemenkeu!$L$6:$L$1005,SMALL(IF(checklistPesertaKemenkeu!$AY$6:$AY$1005="Direkomendasikan",ROW($6:$1005)-5),163)))&gt;0,COUNTIF(INDIRECT("'KERTAS KERJA'!K"&amp;(SMALL(IF(checklistPesertaKemenkeu!$AY$6:$AY$1005="Direkomendasikan",ROW($6:$1005)-5),163)+5)&amp;":O"&amp;(SMALL(IF(checklistPesertaKemenkeu!$AY$6:$AY$1005="Direkomendasikan",ROW($6:$1005)-5),163)+5)),INDEX(checklistPesertaKemenkeu!$L$6:$L$1005,SMALL(IF(checklistPesertaKemenkeu!$AY$6:$AY$1005="Direkomendasikan",ROW($6:$1005)-5),163)))=1),IFERROR(VLOOKUP(INDEX(checklistPesertaKemenkeu!$L$6:$L$1005,SMALL(IF(checklistPesertaKemenkeu!$AY$6:$AY$1005="Direkomendasikan",ROW($6:$1005)-5),163)),KotaKode,2,0),"-"),"")),"")</f>
        <v/>
      </c>
      <c r="I164" t="str">
        <f t="array" aca="1" ref="I164" ca="1">IFERROR(IF(OR(INDEX(checklistPesertaKemenkeu!$M$6:$M$1005,SMALL(IF(checklistPesertaKemenkeu!$AY$6:$AY$1005="Direkomendasikan",ROW($6:$1005)-5),163))="",INDEX(checklistPesertaKemenkeu!$J$6:$J$1005,SMALL(IF(checklistPesertaKemenkeu!$AY$6:$AY$1005="Direkomendasikan",ROW($6:$1005)-5),163))=""),"",IF(AND(COUNTIF(INDIRECT("K_"&amp;MATCH(INDEX(checklistPesertaKemenkeu!$J$6:$J$1005,SMALL(IF(checklistPesertaKemenkeu!$AY$6:$AY$1005="Direkomendasikan",ROW($6:$1005)-5),163)),BidangList,0)),INDEX(checklistPesertaKemenkeu!$M$6:$M$1005,SMALL(IF(checklistPesertaKemenkeu!$AY$6:$AY$1005="Direkomendasikan",ROW($6:$1005)-5),163)))&gt;0,COUNTIF(INDIRECT("'KERTAS KERJA'!K"&amp;(SMALL(IF(checklistPesertaKemenkeu!$AY$6:$AY$1005="Direkomendasikan",ROW($6:$1005)-5),163)+5)&amp;":O"&amp;(SMALL(IF(checklistPesertaKemenkeu!$AY$6:$AY$1005="Direkomendasikan",ROW($6:$1005)-5),163)+5)),INDEX(checklistPesertaKemenkeu!$M$6:$M$1005,SMALL(IF(checklistPesertaKemenkeu!$AY$6:$AY$1005="Direkomendasikan",ROW($6:$1005)-5),163)))=1),IFERROR(VLOOKUP(INDEX(checklistPesertaKemenkeu!$M$6:$M$1005,SMALL(IF(checklistPesertaKemenkeu!$AY$6:$AY$1005="Direkomendasikan",ROW($6:$1005)-5),163)),KotaKode,2,0),"-"),"")),"")</f>
        <v/>
      </c>
      <c r="J164" t="str">
        <f t="array" aca="1" ref="J164" ca="1">IFERROR(IF(OR(INDEX(checklistPesertaKemenkeu!$N$6:$N$1005,SMALL(IF(checklistPesertaKemenkeu!$AY$6:$AY$1005="Direkomendasikan",ROW($6:$1005)-5),163))="",INDEX(checklistPesertaKemenkeu!$J$6:$J$1005,SMALL(IF(checklistPesertaKemenkeu!$AY$6:$AY$1005="Direkomendasikan",ROW($6:$1005)-5),163))=""),"",IF(AND(COUNTIF(INDIRECT("K_"&amp;MATCH(INDEX(checklistPesertaKemenkeu!$J$6:$J$1005,SMALL(IF(checklistPesertaKemenkeu!$AY$6:$AY$1005="Direkomendasikan",ROW($6:$1005)-5),163)),BidangList,0)),INDEX(checklistPesertaKemenkeu!$N$6:$N$1005,SMALL(IF(checklistPesertaKemenkeu!$AY$6:$AY$1005="Direkomendasikan",ROW($6:$1005)-5),163)))&gt;0,COUNTIF(INDIRECT("'KERTAS KERJA'!K"&amp;(SMALL(IF(checklistPesertaKemenkeu!$AY$6:$AY$1005="Direkomendasikan",ROW($6:$1005)-5),163)+5)&amp;":O"&amp;(SMALL(IF(checklistPesertaKemenkeu!$AY$6:$AY$1005="Direkomendasikan",ROW($6:$1005)-5),163)+5)),INDEX(checklistPesertaKemenkeu!$N$6:$N$1005,SMALL(IF(checklistPesertaKemenkeu!$AY$6:$AY$1005="Direkomendasikan",ROW($6:$1005)-5),163)))=1),IFERROR(VLOOKUP(INDEX(checklistPesertaKemenkeu!$N$6:$N$1005,SMALL(IF(checklistPesertaKemenkeu!$AY$6:$AY$1005="Direkomendasikan",ROW($6:$1005)-5),163)),KotaKode,2,0),"-"),"")),"")</f>
        <v/>
      </c>
      <c r="K164" t="str">
        <f t="array" aca="1" ref="K164" ca="1">IFERROR(IF(OR(INDEX(checklistPesertaKemenkeu!$O$6:$O$1005,SMALL(IF(checklistPesertaKemenkeu!$AY$6:$AY$1005="Direkomendasikan",ROW($6:$1005)-5),163))="",INDEX(checklistPesertaKemenkeu!$J$6:$J$1005,SMALL(IF(checklistPesertaKemenkeu!$AY$6:$AY$1005="Direkomendasikan",ROW($6:$1005)-5),163))=""),"",IF(AND(COUNTIF(INDIRECT("K_"&amp;MATCH(INDEX(checklistPesertaKemenkeu!$J$6:$J$1005,SMALL(IF(checklistPesertaKemenkeu!$AY$6:$AY$1005="Direkomendasikan",ROW($6:$1005)-5),163)),BidangList,0)),INDEX(checklistPesertaKemenkeu!$O$6:$O$1005,SMALL(IF(checklistPesertaKemenkeu!$AY$6:$AY$1005="Direkomendasikan",ROW($6:$1005)-5),163)))&gt;0,COUNTIF(INDIRECT("'KERTAS KERJA'!K"&amp;(SMALL(IF(checklistPesertaKemenkeu!$AY$6:$AY$1005="Direkomendasikan",ROW($6:$1005)-5),163)+5)&amp;":O"&amp;(SMALL(IF(checklistPesertaKemenkeu!$AY$6:$AY$1005="Direkomendasikan",ROW($6:$1005)-5),163)+5)),INDEX(checklistPesertaKemenkeu!$O$6:$O$1005,SMALL(IF(checklistPesertaKemenkeu!$AY$6:$AY$1005="Direkomendasikan",ROW($6:$1005)-5),163)))=1),IFERROR(VLOOKUP(INDEX(checklistPesertaKemenkeu!$O$6:$O$1005,SMALL(IF(checklistPesertaKemenkeu!$AY$6:$AY$1005="Direkomendasikan",ROW($6:$1005)-5),163)),KotaKode,2,0),"-"),"")),"")</f>
        <v/>
      </c>
      <c r="L164" t="str">
        <f t="array" aca="1" ref="L164" ca="1">IFERROR(IF(OR(INDEX(checklistPesertaKemenkeu!$P$6:$P$1005,SMALL(IF(checklistPesertaKemenkeu!$AY$6:$AY$1005="Direkomendasikan",ROW($6:$1005)-5),163))="",INDEX(checklistPesertaKemenkeu!$J$6:$J$1005,SMALL(IF(checklistPesertaKemenkeu!$AY$6:$AY$1005="Direkomendasikan",ROW($6:$1005)-5),163))=""),"",IF(AND(COUNTIF(INDIRECT("K_"&amp;MATCH(INDEX(checklistPesertaKemenkeu!$J$6:$J$1005,SMALL(IF(checklistPesertaKemenkeu!$AY$6:$AY$1005="Direkomendasikan",ROW($6:$1005)-5),163)),BidangList,0)),INDEX(checklistPesertaKemenkeu!$P$6:$P$1005,SMALL(IF(checklistPesertaKemenkeu!$AY$6:$AY$1005="Direkomendasikan",ROW($6:$1005)-5),163)))&gt;0,COUNTIF(INDIRECT("'KERTAS KERJA'!K"&amp;(SMALL(IF(checklistPesertaKemenkeu!$AY$6:$AY$1005="Direkomendasikan",ROW($6:$1005)-5),163)+5)&amp;":O"&amp;(SMALL(IF(checklistPesertaKemenkeu!$AY$6:$AY$1005="Direkomendasikan",ROW($6:$1005)-5),163)+5)),INDEX(checklistPesertaKemenkeu!$P$6:$P$1005,SMALL(IF(checklistPesertaKemenkeu!$AY$6:$AY$1005="Direkomendasikan",ROW($6:$1005)-5),163)))=1),IFERROR(VLOOKUP(INDEX(checklistPesertaKemenkeu!$P$6:$P$1005,SMALL(IF(checklistPesertaKemenkeu!$AY$6:$AY$1005="Direkomendasikan",ROW($6:$1005)-5),163)),KotaKode,2,0),"-"),"")),"")</f>
        <v/>
      </c>
    </row>
    <row r="165" spans="1:12" ht="15" customHeight="1" x14ac:dyDescent="0.2">
      <c r="A165" t="str">
        <f t="shared" si="2"/>
        <v/>
      </c>
      <c r="B165" t="str">
        <v/>
      </c>
      <c r="C165" s="40" t="str">
        <f t="array" ref="C165">IFERROR(INDEX(checklistPesertaKemenkeu!$F$6:$F$1005,SMALL(IF(checklistPesertaKemenkeu!$AY$6:$AY$1005="Direkomendasikan",ROW($6:$1005)-5),164)),"")</f>
        <v/>
      </c>
      <c r="D165" t="str">
        <f t="array" ref="D165">IFERROR(INDEX(checklistPesertaKemenkeu!$G$6:$G$1005,SMALL(IF(checklistPesertaKemenkeu!$AY$6:$AY$1005="Direkomendasikan",ROW($6:$1005)-5),164)),"")</f>
        <v/>
      </c>
      <c r="E165" t="str">
        <f t="array" ref="E165">IFERROR(INDEX(checklistPesertaKemenkeu!$H$6:$H$1005,SMALL(IF(checklistPesertaKemenkeu!$AY$6:$AY$1005="Direkomendasikan",ROW($6:$1005)-5),164)),"")</f>
        <v/>
      </c>
      <c r="F165" t="str">
        <f t="array" ref="F165">IFERROR(INDEX(checklistPesertaKemenkeu!$I$6:$I$1005,SMALL(IF(checklistPesertaKemenkeu!$AY$6:$AY$1005="Direkomendasikan",ROW($6:$1005)-5),164)),"")</f>
        <v/>
      </c>
      <c r="G165" t="str">
        <f t="array" ref="G165">IFERROR(INDEX(checklistPesertaKemenkeu!$J$6:$J$1005,SMALL(IF(checklistPesertaKemenkeu!$AY$6:$AY$1005="Direkomendasikan",ROW($6:$1005)-5),164)),"")</f>
        <v/>
      </c>
      <c r="H165" t="str">
        <f t="array" aca="1" ref="H165" ca="1">IFERROR(IF(OR(INDEX(checklistPesertaKemenkeu!$L$6:$L$1005,SMALL(IF(checklistPesertaKemenkeu!$AY$6:$AY$1005="Direkomendasikan",ROW($6:$1005)-5),164))="",INDEX(checklistPesertaKemenkeu!$J$6:$J$1005,SMALL(IF(checklistPesertaKemenkeu!$AY$6:$AY$1005="Direkomendasikan",ROW($6:$1005)-5),164))=""),"",IF(AND(COUNTIF(INDIRECT("K_"&amp;MATCH(INDEX(checklistPesertaKemenkeu!$J$6:$J$1005,SMALL(IF(checklistPesertaKemenkeu!$AY$6:$AY$1005="Direkomendasikan",ROW($6:$1005)-5),164)),BidangList,0)),INDEX(checklistPesertaKemenkeu!$L$6:$L$1005,SMALL(IF(checklistPesertaKemenkeu!$AY$6:$AY$1005="Direkomendasikan",ROW($6:$1005)-5),164)))&gt;0,COUNTIF(INDIRECT("'KERTAS KERJA'!K"&amp;(SMALL(IF(checklistPesertaKemenkeu!$AY$6:$AY$1005="Direkomendasikan",ROW($6:$1005)-5),164)+5)&amp;":O"&amp;(SMALL(IF(checklistPesertaKemenkeu!$AY$6:$AY$1005="Direkomendasikan",ROW($6:$1005)-5),164)+5)),INDEX(checklistPesertaKemenkeu!$L$6:$L$1005,SMALL(IF(checklistPesertaKemenkeu!$AY$6:$AY$1005="Direkomendasikan",ROW($6:$1005)-5),164)))=1),IFERROR(VLOOKUP(INDEX(checklistPesertaKemenkeu!$L$6:$L$1005,SMALL(IF(checklistPesertaKemenkeu!$AY$6:$AY$1005="Direkomendasikan",ROW($6:$1005)-5),164)),KotaKode,2,0),"-"),"")),"")</f>
        <v/>
      </c>
      <c r="I165" t="str">
        <f t="array" aca="1" ref="I165" ca="1">IFERROR(IF(OR(INDEX(checklistPesertaKemenkeu!$M$6:$M$1005,SMALL(IF(checklistPesertaKemenkeu!$AY$6:$AY$1005="Direkomendasikan",ROW($6:$1005)-5),164))="",INDEX(checklistPesertaKemenkeu!$J$6:$J$1005,SMALL(IF(checklistPesertaKemenkeu!$AY$6:$AY$1005="Direkomendasikan",ROW($6:$1005)-5),164))=""),"",IF(AND(COUNTIF(INDIRECT("K_"&amp;MATCH(INDEX(checklistPesertaKemenkeu!$J$6:$J$1005,SMALL(IF(checklistPesertaKemenkeu!$AY$6:$AY$1005="Direkomendasikan",ROW($6:$1005)-5),164)),BidangList,0)),INDEX(checklistPesertaKemenkeu!$M$6:$M$1005,SMALL(IF(checklistPesertaKemenkeu!$AY$6:$AY$1005="Direkomendasikan",ROW($6:$1005)-5),164)))&gt;0,COUNTIF(INDIRECT("'KERTAS KERJA'!K"&amp;(SMALL(IF(checklistPesertaKemenkeu!$AY$6:$AY$1005="Direkomendasikan",ROW($6:$1005)-5),164)+5)&amp;":O"&amp;(SMALL(IF(checklistPesertaKemenkeu!$AY$6:$AY$1005="Direkomendasikan",ROW($6:$1005)-5),164)+5)),INDEX(checklistPesertaKemenkeu!$M$6:$M$1005,SMALL(IF(checklistPesertaKemenkeu!$AY$6:$AY$1005="Direkomendasikan",ROW($6:$1005)-5),164)))=1),IFERROR(VLOOKUP(INDEX(checklistPesertaKemenkeu!$M$6:$M$1005,SMALL(IF(checklistPesertaKemenkeu!$AY$6:$AY$1005="Direkomendasikan",ROW($6:$1005)-5),164)),KotaKode,2,0),"-"),"")),"")</f>
        <v/>
      </c>
      <c r="J165" t="str">
        <f t="array" aca="1" ref="J165" ca="1">IFERROR(IF(OR(INDEX(checklistPesertaKemenkeu!$N$6:$N$1005,SMALL(IF(checklistPesertaKemenkeu!$AY$6:$AY$1005="Direkomendasikan",ROW($6:$1005)-5),164))="",INDEX(checklistPesertaKemenkeu!$J$6:$J$1005,SMALL(IF(checklistPesertaKemenkeu!$AY$6:$AY$1005="Direkomendasikan",ROW($6:$1005)-5),164))=""),"",IF(AND(COUNTIF(INDIRECT("K_"&amp;MATCH(INDEX(checklistPesertaKemenkeu!$J$6:$J$1005,SMALL(IF(checklistPesertaKemenkeu!$AY$6:$AY$1005="Direkomendasikan",ROW($6:$1005)-5),164)),BidangList,0)),INDEX(checklistPesertaKemenkeu!$N$6:$N$1005,SMALL(IF(checklistPesertaKemenkeu!$AY$6:$AY$1005="Direkomendasikan",ROW($6:$1005)-5),164)))&gt;0,COUNTIF(INDIRECT("'KERTAS KERJA'!K"&amp;(SMALL(IF(checklistPesertaKemenkeu!$AY$6:$AY$1005="Direkomendasikan",ROW($6:$1005)-5),164)+5)&amp;":O"&amp;(SMALL(IF(checklistPesertaKemenkeu!$AY$6:$AY$1005="Direkomendasikan",ROW($6:$1005)-5),164)+5)),INDEX(checklistPesertaKemenkeu!$N$6:$N$1005,SMALL(IF(checklistPesertaKemenkeu!$AY$6:$AY$1005="Direkomendasikan",ROW($6:$1005)-5),164)))=1),IFERROR(VLOOKUP(INDEX(checklistPesertaKemenkeu!$N$6:$N$1005,SMALL(IF(checklistPesertaKemenkeu!$AY$6:$AY$1005="Direkomendasikan",ROW($6:$1005)-5),164)),KotaKode,2,0),"-"),"")),"")</f>
        <v/>
      </c>
      <c r="K165" t="str">
        <f t="array" aca="1" ref="K165" ca="1">IFERROR(IF(OR(INDEX(checklistPesertaKemenkeu!$O$6:$O$1005,SMALL(IF(checklistPesertaKemenkeu!$AY$6:$AY$1005="Direkomendasikan",ROW($6:$1005)-5),164))="",INDEX(checklistPesertaKemenkeu!$J$6:$J$1005,SMALL(IF(checklistPesertaKemenkeu!$AY$6:$AY$1005="Direkomendasikan",ROW($6:$1005)-5),164))=""),"",IF(AND(COUNTIF(INDIRECT("K_"&amp;MATCH(INDEX(checklistPesertaKemenkeu!$J$6:$J$1005,SMALL(IF(checklistPesertaKemenkeu!$AY$6:$AY$1005="Direkomendasikan",ROW($6:$1005)-5),164)),BidangList,0)),INDEX(checklistPesertaKemenkeu!$O$6:$O$1005,SMALL(IF(checklistPesertaKemenkeu!$AY$6:$AY$1005="Direkomendasikan",ROW($6:$1005)-5),164)))&gt;0,COUNTIF(INDIRECT("'KERTAS KERJA'!K"&amp;(SMALL(IF(checklistPesertaKemenkeu!$AY$6:$AY$1005="Direkomendasikan",ROW($6:$1005)-5),164)+5)&amp;":O"&amp;(SMALL(IF(checklistPesertaKemenkeu!$AY$6:$AY$1005="Direkomendasikan",ROW($6:$1005)-5),164)+5)),INDEX(checklistPesertaKemenkeu!$O$6:$O$1005,SMALL(IF(checklistPesertaKemenkeu!$AY$6:$AY$1005="Direkomendasikan",ROW($6:$1005)-5),164)))=1),IFERROR(VLOOKUP(INDEX(checklistPesertaKemenkeu!$O$6:$O$1005,SMALL(IF(checklistPesertaKemenkeu!$AY$6:$AY$1005="Direkomendasikan",ROW($6:$1005)-5),164)),KotaKode,2,0),"-"),"")),"")</f>
        <v/>
      </c>
      <c r="L165" t="str">
        <f t="array" aca="1" ref="L165" ca="1">IFERROR(IF(OR(INDEX(checklistPesertaKemenkeu!$P$6:$P$1005,SMALL(IF(checklistPesertaKemenkeu!$AY$6:$AY$1005="Direkomendasikan",ROW($6:$1005)-5),164))="",INDEX(checklistPesertaKemenkeu!$J$6:$J$1005,SMALL(IF(checklistPesertaKemenkeu!$AY$6:$AY$1005="Direkomendasikan",ROW($6:$1005)-5),164))=""),"",IF(AND(COUNTIF(INDIRECT("K_"&amp;MATCH(INDEX(checklistPesertaKemenkeu!$J$6:$J$1005,SMALL(IF(checklistPesertaKemenkeu!$AY$6:$AY$1005="Direkomendasikan",ROW($6:$1005)-5),164)),BidangList,0)),INDEX(checklistPesertaKemenkeu!$P$6:$P$1005,SMALL(IF(checklistPesertaKemenkeu!$AY$6:$AY$1005="Direkomendasikan",ROW($6:$1005)-5),164)))&gt;0,COUNTIF(INDIRECT("'KERTAS KERJA'!K"&amp;(SMALL(IF(checklistPesertaKemenkeu!$AY$6:$AY$1005="Direkomendasikan",ROW($6:$1005)-5),164)+5)&amp;":O"&amp;(SMALL(IF(checklistPesertaKemenkeu!$AY$6:$AY$1005="Direkomendasikan",ROW($6:$1005)-5),164)+5)),INDEX(checklistPesertaKemenkeu!$P$6:$P$1005,SMALL(IF(checklistPesertaKemenkeu!$AY$6:$AY$1005="Direkomendasikan",ROW($6:$1005)-5),164)))=1),IFERROR(VLOOKUP(INDEX(checklistPesertaKemenkeu!$P$6:$P$1005,SMALL(IF(checklistPesertaKemenkeu!$AY$6:$AY$1005="Direkomendasikan",ROW($6:$1005)-5),164)),KotaKode,2,0),"-"),"")),"")</f>
        <v/>
      </c>
    </row>
    <row r="166" spans="1:12" ht="15" customHeight="1" x14ac:dyDescent="0.2">
      <c r="A166" t="str">
        <f t="shared" si="2"/>
        <v/>
      </c>
      <c r="B166" t="str">
        <v/>
      </c>
      <c r="C166" s="40" t="str">
        <f t="array" ref="C166">IFERROR(INDEX(checklistPesertaKemenkeu!$F$6:$F$1005,SMALL(IF(checklistPesertaKemenkeu!$AY$6:$AY$1005="Direkomendasikan",ROW($6:$1005)-5),165)),"")</f>
        <v/>
      </c>
      <c r="D166" t="str">
        <f t="array" ref="D166">IFERROR(INDEX(checklistPesertaKemenkeu!$G$6:$G$1005,SMALL(IF(checklistPesertaKemenkeu!$AY$6:$AY$1005="Direkomendasikan",ROW($6:$1005)-5),165)),"")</f>
        <v/>
      </c>
      <c r="E166" t="str">
        <f t="array" ref="E166">IFERROR(INDEX(checklistPesertaKemenkeu!$H$6:$H$1005,SMALL(IF(checklistPesertaKemenkeu!$AY$6:$AY$1005="Direkomendasikan",ROW($6:$1005)-5),165)),"")</f>
        <v/>
      </c>
      <c r="F166" t="str">
        <f t="array" ref="F166">IFERROR(INDEX(checklistPesertaKemenkeu!$I$6:$I$1005,SMALL(IF(checklistPesertaKemenkeu!$AY$6:$AY$1005="Direkomendasikan",ROW($6:$1005)-5),165)),"")</f>
        <v/>
      </c>
      <c r="G166" t="str">
        <f t="array" ref="G166">IFERROR(INDEX(checklistPesertaKemenkeu!$J$6:$J$1005,SMALL(IF(checklistPesertaKemenkeu!$AY$6:$AY$1005="Direkomendasikan",ROW($6:$1005)-5),165)),"")</f>
        <v/>
      </c>
      <c r="H166" t="str">
        <f t="array" aca="1" ref="H166" ca="1">IFERROR(IF(OR(INDEX(checklistPesertaKemenkeu!$L$6:$L$1005,SMALL(IF(checklistPesertaKemenkeu!$AY$6:$AY$1005="Direkomendasikan",ROW($6:$1005)-5),165))="",INDEX(checklistPesertaKemenkeu!$J$6:$J$1005,SMALL(IF(checklistPesertaKemenkeu!$AY$6:$AY$1005="Direkomendasikan",ROW($6:$1005)-5),165))=""),"",IF(AND(COUNTIF(INDIRECT("K_"&amp;MATCH(INDEX(checklistPesertaKemenkeu!$J$6:$J$1005,SMALL(IF(checklistPesertaKemenkeu!$AY$6:$AY$1005="Direkomendasikan",ROW($6:$1005)-5),165)),BidangList,0)),INDEX(checklistPesertaKemenkeu!$L$6:$L$1005,SMALL(IF(checklistPesertaKemenkeu!$AY$6:$AY$1005="Direkomendasikan",ROW($6:$1005)-5),165)))&gt;0,COUNTIF(INDIRECT("'KERTAS KERJA'!K"&amp;(SMALL(IF(checklistPesertaKemenkeu!$AY$6:$AY$1005="Direkomendasikan",ROW($6:$1005)-5),165)+5)&amp;":O"&amp;(SMALL(IF(checklistPesertaKemenkeu!$AY$6:$AY$1005="Direkomendasikan",ROW($6:$1005)-5),165)+5)),INDEX(checklistPesertaKemenkeu!$L$6:$L$1005,SMALL(IF(checklistPesertaKemenkeu!$AY$6:$AY$1005="Direkomendasikan",ROW($6:$1005)-5),165)))=1),IFERROR(VLOOKUP(INDEX(checklistPesertaKemenkeu!$L$6:$L$1005,SMALL(IF(checklistPesertaKemenkeu!$AY$6:$AY$1005="Direkomendasikan",ROW($6:$1005)-5),165)),KotaKode,2,0),"-"),"")),"")</f>
        <v/>
      </c>
      <c r="I166" t="str">
        <f t="array" aca="1" ref="I166" ca="1">IFERROR(IF(OR(INDEX(checklistPesertaKemenkeu!$M$6:$M$1005,SMALL(IF(checklistPesertaKemenkeu!$AY$6:$AY$1005="Direkomendasikan",ROW($6:$1005)-5),165))="",INDEX(checklistPesertaKemenkeu!$J$6:$J$1005,SMALL(IF(checklistPesertaKemenkeu!$AY$6:$AY$1005="Direkomendasikan",ROW($6:$1005)-5),165))=""),"",IF(AND(COUNTIF(INDIRECT("K_"&amp;MATCH(INDEX(checklistPesertaKemenkeu!$J$6:$J$1005,SMALL(IF(checklistPesertaKemenkeu!$AY$6:$AY$1005="Direkomendasikan",ROW($6:$1005)-5),165)),BidangList,0)),INDEX(checklistPesertaKemenkeu!$M$6:$M$1005,SMALL(IF(checklistPesertaKemenkeu!$AY$6:$AY$1005="Direkomendasikan",ROW($6:$1005)-5),165)))&gt;0,COUNTIF(INDIRECT("'KERTAS KERJA'!K"&amp;(SMALL(IF(checklistPesertaKemenkeu!$AY$6:$AY$1005="Direkomendasikan",ROW($6:$1005)-5),165)+5)&amp;":O"&amp;(SMALL(IF(checklistPesertaKemenkeu!$AY$6:$AY$1005="Direkomendasikan",ROW($6:$1005)-5),165)+5)),INDEX(checklistPesertaKemenkeu!$M$6:$M$1005,SMALL(IF(checklistPesertaKemenkeu!$AY$6:$AY$1005="Direkomendasikan",ROW($6:$1005)-5),165)))=1),IFERROR(VLOOKUP(INDEX(checklistPesertaKemenkeu!$M$6:$M$1005,SMALL(IF(checklistPesertaKemenkeu!$AY$6:$AY$1005="Direkomendasikan",ROW($6:$1005)-5),165)),KotaKode,2,0),"-"),"")),"")</f>
        <v/>
      </c>
      <c r="J166" t="str">
        <f t="array" aca="1" ref="J166" ca="1">IFERROR(IF(OR(INDEX(checklistPesertaKemenkeu!$N$6:$N$1005,SMALL(IF(checklistPesertaKemenkeu!$AY$6:$AY$1005="Direkomendasikan",ROW($6:$1005)-5),165))="",INDEX(checklistPesertaKemenkeu!$J$6:$J$1005,SMALL(IF(checklistPesertaKemenkeu!$AY$6:$AY$1005="Direkomendasikan",ROW($6:$1005)-5),165))=""),"",IF(AND(COUNTIF(INDIRECT("K_"&amp;MATCH(INDEX(checklistPesertaKemenkeu!$J$6:$J$1005,SMALL(IF(checklistPesertaKemenkeu!$AY$6:$AY$1005="Direkomendasikan",ROW($6:$1005)-5),165)),BidangList,0)),INDEX(checklistPesertaKemenkeu!$N$6:$N$1005,SMALL(IF(checklistPesertaKemenkeu!$AY$6:$AY$1005="Direkomendasikan",ROW($6:$1005)-5),165)))&gt;0,COUNTIF(INDIRECT("'KERTAS KERJA'!K"&amp;(SMALL(IF(checklistPesertaKemenkeu!$AY$6:$AY$1005="Direkomendasikan",ROW($6:$1005)-5),165)+5)&amp;":O"&amp;(SMALL(IF(checklistPesertaKemenkeu!$AY$6:$AY$1005="Direkomendasikan",ROW($6:$1005)-5),165)+5)),INDEX(checklistPesertaKemenkeu!$N$6:$N$1005,SMALL(IF(checklistPesertaKemenkeu!$AY$6:$AY$1005="Direkomendasikan",ROW($6:$1005)-5),165)))=1),IFERROR(VLOOKUP(INDEX(checklistPesertaKemenkeu!$N$6:$N$1005,SMALL(IF(checklistPesertaKemenkeu!$AY$6:$AY$1005="Direkomendasikan",ROW($6:$1005)-5),165)),KotaKode,2,0),"-"),"")),"")</f>
        <v/>
      </c>
      <c r="K166" t="str">
        <f t="array" aca="1" ref="K166" ca="1">IFERROR(IF(OR(INDEX(checklistPesertaKemenkeu!$O$6:$O$1005,SMALL(IF(checklistPesertaKemenkeu!$AY$6:$AY$1005="Direkomendasikan",ROW($6:$1005)-5),165))="",INDEX(checklistPesertaKemenkeu!$J$6:$J$1005,SMALL(IF(checklistPesertaKemenkeu!$AY$6:$AY$1005="Direkomendasikan",ROW($6:$1005)-5),165))=""),"",IF(AND(COUNTIF(INDIRECT("K_"&amp;MATCH(INDEX(checklistPesertaKemenkeu!$J$6:$J$1005,SMALL(IF(checklistPesertaKemenkeu!$AY$6:$AY$1005="Direkomendasikan",ROW($6:$1005)-5),165)),BidangList,0)),INDEX(checklistPesertaKemenkeu!$O$6:$O$1005,SMALL(IF(checklistPesertaKemenkeu!$AY$6:$AY$1005="Direkomendasikan",ROW($6:$1005)-5),165)))&gt;0,COUNTIF(INDIRECT("'KERTAS KERJA'!K"&amp;(SMALL(IF(checklistPesertaKemenkeu!$AY$6:$AY$1005="Direkomendasikan",ROW($6:$1005)-5),165)+5)&amp;":O"&amp;(SMALL(IF(checklistPesertaKemenkeu!$AY$6:$AY$1005="Direkomendasikan",ROW($6:$1005)-5),165)+5)),INDEX(checklistPesertaKemenkeu!$O$6:$O$1005,SMALL(IF(checklistPesertaKemenkeu!$AY$6:$AY$1005="Direkomendasikan",ROW($6:$1005)-5),165)))=1),IFERROR(VLOOKUP(INDEX(checklistPesertaKemenkeu!$O$6:$O$1005,SMALL(IF(checklistPesertaKemenkeu!$AY$6:$AY$1005="Direkomendasikan",ROW($6:$1005)-5),165)),KotaKode,2,0),"-"),"")),"")</f>
        <v/>
      </c>
      <c r="L166" t="str">
        <f t="array" aca="1" ref="L166" ca="1">IFERROR(IF(OR(INDEX(checklistPesertaKemenkeu!$P$6:$P$1005,SMALL(IF(checklistPesertaKemenkeu!$AY$6:$AY$1005="Direkomendasikan",ROW($6:$1005)-5),165))="",INDEX(checklistPesertaKemenkeu!$J$6:$J$1005,SMALL(IF(checklistPesertaKemenkeu!$AY$6:$AY$1005="Direkomendasikan",ROW($6:$1005)-5),165))=""),"",IF(AND(COUNTIF(INDIRECT("K_"&amp;MATCH(INDEX(checklistPesertaKemenkeu!$J$6:$J$1005,SMALL(IF(checklistPesertaKemenkeu!$AY$6:$AY$1005="Direkomendasikan",ROW($6:$1005)-5),165)),BidangList,0)),INDEX(checklistPesertaKemenkeu!$P$6:$P$1005,SMALL(IF(checklistPesertaKemenkeu!$AY$6:$AY$1005="Direkomendasikan",ROW($6:$1005)-5),165)))&gt;0,COUNTIF(INDIRECT("'KERTAS KERJA'!K"&amp;(SMALL(IF(checklistPesertaKemenkeu!$AY$6:$AY$1005="Direkomendasikan",ROW($6:$1005)-5),165)+5)&amp;":O"&amp;(SMALL(IF(checklistPesertaKemenkeu!$AY$6:$AY$1005="Direkomendasikan",ROW($6:$1005)-5),165)+5)),INDEX(checklistPesertaKemenkeu!$P$6:$P$1005,SMALL(IF(checklistPesertaKemenkeu!$AY$6:$AY$1005="Direkomendasikan",ROW($6:$1005)-5),165)))=1),IFERROR(VLOOKUP(INDEX(checklistPesertaKemenkeu!$P$6:$P$1005,SMALL(IF(checklistPesertaKemenkeu!$AY$6:$AY$1005="Direkomendasikan",ROW($6:$1005)-5),165)),KotaKode,2,0),"-"),"")),"")</f>
        <v/>
      </c>
    </row>
    <row r="167" spans="1:12" ht="15" customHeight="1" x14ac:dyDescent="0.2">
      <c r="A167" t="str">
        <f t="shared" si="2"/>
        <v/>
      </c>
      <c r="B167" t="str">
        <v/>
      </c>
      <c r="C167" s="40" t="str">
        <f t="array" ref="C167">IFERROR(INDEX(checklistPesertaKemenkeu!$F$6:$F$1005,SMALL(IF(checklistPesertaKemenkeu!$AY$6:$AY$1005="Direkomendasikan",ROW($6:$1005)-5),166)),"")</f>
        <v/>
      </c>
      <c r="D167" t="str">
        <f t="array" ref="D167">IFERROR(INDEX(checklistPesertaKemenkeu!$G$6:$G$1005,SMALL(IF(checklistPesertaKemenkeu!$AY$6:$AY$1005="Direkomendasikan",ROW($6:$1005)-5),166)),"")</f>
        <v/>
      </c>
      <c r="E167" t="str">
        <f t="array" ref="E167">IFERROR(INDEX(checklistPesertaKemenkeu!$H$6:$H$1005,SMALL(IF(checklistPesertaKemenkeu!$AY$6:$AY$1005="Direkomendasikan",ROW($6:$1005)-5),166)),"")</f>
        <v/>
      </c>
      <c r="F167" t="str">
        <f t="array" ref="F167">IFERROR(INDEX(checklistPesertaKemenkeu!$I$6:$I$1005,SMALL(IF(checklistPesertaKemenkeu!$AY$6:$AY$1005="Direkomendasikan",ROW($6:$1005)-5),166)),"")</f>
        <v/>
      </c>
      <c r="G167" t="str">
        <f t="array" ref="G167">IFERROR(INDEX(checklistPesertaKemenkeu!$J$6:$J$1005,SMALL(IF(checklistPesertaKemenkeu!$AY$6:$AY$1005="Direkomendasikan",ROW($6:$1005)-5),166)),"")</f>
        <v/>
      </c>
      <c r="H167" t="str">
        <f t="array" aca="1" ref="H167" ca="1">IFERROR(IF(OR(INDEX(checklistPesertaKemenkeu!$L$6:$L$1005,SMALL(IF(checklistPesertaKemenkeu!$AY$6:$AY$1005="Direkomendasikan",ROW($6:$1005)-5),166))="",INDEX(checklistPesertaKemenkeu!$J$6:$J$1005,SMALL(IF(checklistPesertaKemenkeu!$AY$6:$AY$1005="Direkomendasikan",ROW($6:$1005)-5),166))=""),"",IF(AND(COUNTIF(INDIRECT("K_"&amp;MATCH(INDEX(checklistPesertaKemenkeu!$J$6:$J$1005,SMALL(IF(checklistPesertaKemenkeu!$AY$6:$AY$1005="Direkomendasikan",ROW($6:$1005)-5),166)),BidangList,0)),INDEX(checklistPesertaKemenkeu!$L$6:$L$1005,SMALL(IF(checklistPesertaKemenkeu!$AY$6:$AY$1005="Direkomendasikan",ROW($6:$1005)-5),166)))&gt;0,COUNTIF(INDIRECT("'KERTAS KERJA'!K"&amp;(SMALL(IF(checklistPesertaKemenkeu!$AY$6:$AY$1005="Direkomendasikan",ROW($6:$1005)-5),166)+5)&amp;":O"&amp;(SMALL(IF(checklistPesertaKemenkeu!$AY$6:$AY$1005="Direkomendasikan",ROW($6:$1005)-5),166)+5)),INDEX(checklistPesertaKemenkeu!$L$6:$L$1005,SMALL(IF(checklistPesertaKemenkeu!$AY$6:$AY$1005="Direkomendasikan",ROW($6:$1005)-5),166)))=1),IFERROR(VLOOKUP(INDEX(checklistPesertaKemenkeu!$L$6:$L$1005,SMALL(IF(checklistPesertaKemenkeu!$AY$6:$AY$1005="Direkomendasikan",ROW($6:$1005)-5),166)),KotaKode,2,0),"-"),"")),"")</f>
        <v/>
      </c>
      <c r="I167" t="str">
        <f t="array" aca="1" ref="I167" ca="1">IFERROR(IF(OR(INDEX(checklistPesertaKemenkeu!$M$6:$M$1005,SMALL(IF(checklistPesertaKemenkeu!$AY$6:$AY$1005="Direkomendasikan",ROW($6:$1005)-5),166))="",INDEX(checklistPesertaKemenkeu!$J$6:$J$1005,SMALL(IF(checklistPesertaKemenkeu!$AY$6:$AY$1005="Direkomendasikan",ROW($6:$1005)-5),166))=""),"",IF(AND(COUNTIF(INDIRECT("K_"&amp;MATCH(INDEX(checklistPesertaKemenkeu!$J$6:$J$1005,SMALL(IF(checklistPesertaKemenkeu!$AY$6:$AY$1005="Direkomendasikan",ROW($6:$1005)-5),166)),BidangList,0)),INDEX(checklistPesertaKemenkeu!$M$6:$M$1005,SMALL(IF(checklistPesertaKemenkeu!$AY$6:$AY$1005="Direkomendasikan",ROW($6:$1005)-5),166)))&gt;0,COUNTIF(INDIRECT("'KERTAS KERJA'!K"&amp;(SMALL(IF(checklistPesertaKemenkeu!$AY$6:$AY$1005="Direkomendasikan",ROW($6:$1005)-5),166)+5)&amp;":O"&amp;(SMALL(IF(checklistPesertaKemenkeu!$AY$6:$AY$1005="Direkomendasikan",ROW($6:$1005)-5),166)+5)),INDEX(checklistPesertaKemenkeu!$M$6:$M$1005,SMALL(IF(checklistPesertaKemenkeu!$AY$6:$AY$1005="Direkomendasikan",ROW($6:$1005)-5),166)))=1),IFERROR(VLOOKUP(INDEX(checklistPesertaKemenkeu!$M$6:$M$1005,SMALL(IF(checklistPesertaKemenkeu!$AY$6:$AY$1005="Direkomendasikan",ROW($6:$1005)-5),166)),KotaKode,2,0),"-"),"")),"")</f>
        <v/>
      </c>
      <c r="J167" t="str">
        <f t="array" aca="1" ref="J167" ca="1">IFERROR(IF(OR(INDEX(checklistPesertaKemenkeu!$N$6:$N$1005,SMALL(IF(checklistPesertaKemenkeu!$AY$6:$AY$1005="Direkomendasikan",ROW($6:$1005)-5),166))="",INDEX(checklistPesertaKemenkeu!$J$6:$J$1005,SMALL(IF(checklistPesertaKemenkeu!$AY$6:$AY$1005="Direkomendasikan",ROW($6:$1005)-5),166))=""),"",IF(AND(COUNTIF(INDIRECT("K_"&amp;MATCH(INDEX(checklistPesertaKemenkeu!$J$6:$J$1005,SMALL(IF(checklistPesertaKemenkeu!$AY$6:$AY$1005="Direkomendasikan",ROW($6:$1005)-5),166)),BidangList,0)),INDEX(checklistPesertaKemenkeu!$N$6:$N$1005,SMALL(IF(checklistPesertaKemenkeu!$AY$6:$AY$1005="Direkomendasikan",ROW($6:$1005)-5),166)))&gt;0,COUNTIF(INDIRECT("'KERTAS KERJA'!K"&amp;(SMALL(IF(checklistPesertaKemenkeu!$AY$6:$AY$1005="Direkomendasikan",ROW($6:$1005)-5),166)+5)&amp;":O"&amp;(SMALL(IF(checklistPesertaKemenkeu!$AY$6:$AY$1005="Direkomendasikan",ROW($6:$1005)-5),166)+5)),INDEX(checklistPesertaKemenkeu!$N$6:$N$1005,SMALL(IF(checklistPesertaKemenkeu!$AY$6:$AY$1005="Direkomendasikan",ROW($6:$1005)-5),166)))=1),IFERROR(VLOOKUP(INDEX(checklistPesertaKemenkeu!$N$6:$N$1005,SMALL(IF(checklistPesertaKemenkeu!$AY$6:$AY$1005="Direkomendasikan",ROW($6:$1005)-5),166)),KotaKode,2,0),"-"),"")),"")</f>
        <v/>
      </c>
      <c r="K167" t="str">
        <f t="array" aca="1" ref="K167" ca="1">IFERROR(IF(OR(INDEX(checklistPesertaKemenkeu!$O$6:$O$1005,SMALL(IF(checklistPesertaKemenkeu!$AY$6:$AY$1005="Direkomendasikan",ROW($6:$1005)-5),166))="",INDEX(checklistPesertaKemenkeu!$J$6:$J$1005,SMALL(IF(checklistPesertaKemenkeu!$AY$6:$AY$1005="Direkomendasikan",ROW($6:$1005)-5),166))=""),"",IF(AND(COUNTIF(INDIRECT("K_"&amp;MATCH(INDEX(checklistPesertaKemenkeu!$J$6:$J$1005,SMALL(IF(checklistPesertaKemenkeu!$AY$6:$AY$1005="Direkomendasikan",ROW($6:$1005)-5),166)),BidangList,0)),INDEX(checklistPesertaKemenkeu!$O$6:$O$1005,SMALL(IF(checklistPesertaKemenkeu!$AY$6:$AY$1005="Direkomendasikan",ROW($6:$1005)-5),166)))&gt;0,COUNTIF(INDIRECT("'KERTAS KERJA'!K"&amp;(SMALL(IF(checklistPesertaKemenkeu!$AY$6:$AY$1005="Direkomendasikan",ROW($6:$1005)-5),166)+5)&amp;":O"&amp;(SMALL(IF(checklistPesertaKemenkeu!$AY$6:$AY$1005="Direkomendasikan",ROW($6:$1005)-5),166)+5)),INDEX(checklistPesertaKemenkeu!$O$6:$O$1005,SMALL(IF(checklistPesertaKemenkeu!$AY$6:$AY$1005="Direkomendasikan",ROW($6:$1005)-5),166)))=1),IFERROR(VLOOKUP(INDEX(checklistPesertaKemenkeu!$O$6:$O$1005,SMALL(IF(checklistPesertaKemenkeu!$AY$6:$AY$1005="Direkomendasikan",ROW($6:$1005)-5),166)),KotaKode,2,0),"-"),"")),"")</f>
        <v/>
      </c>
      <c r="L167" t="str">
        <f t="array" aca="1" ref="L167" ca="1">IFERROR(IF(OR(INDEX(checklistPesertaKemenkeu!$P$6:$P$1005,SMALL(IF(checklistPesertaKemenkeu!$AY$6:$AY$1005="Direkomendasikan",ROW($6:$1005)-5),166))="",INDEX(checklistPesertaKemenkeu!$J$6:$J$1005,SMALL(IF(checklistPesertaKemenkeu!$AY$6:$AY$1005="Direkomendasikan",ROW($6:$1005)-5),166))=""),"",IF(AND(COUNTIF(INDIRECT("K_"&amp;MATCH(INDEX(checklistPesertaKemenkeu!$J$6:$J$1005,SMALL(IF(checklistPesertaKemenkeu!$AY$6:$AY$1005="Direkomendasikan",ROW($6:$1005)-5),166)),BidangList,0)),INDEX(checklistPesertaKemenkeu!$P$6:$P$1005,SMALL(IF(checklistPesertaKemenkeu!$AY$6:$AY$1005="Direkomendasikan",ROW($6:$1005)-5),166)))&gt;0,COUNTIF(INDIRECT("'KERTAS KERJA'!K"&amp;(SMALL(IF(checklistPesertaKemenkeu!$AY$6:$AY$1005="Direkomendasikan",ROW($6:$1005)-5),166)+5)&amp;":O"&amp;(SMALL(IF(checklistPesertaKemenkeu!$AY$6:$AY$1005="Direkomendasikan",ROW($6:$1005)-5),166)+5)),INDEX(checklistPesertaKemenkeu!$P$6:$P$1005,SMALL(IF(checklistPesertaKemenkeu!$AY$6:$AY$1005="Direkomendasikan",ROW($6:$1005)-5),166)))=1),IFERROR(VLOOKUP(INDEX(checklistPesertaKemenkeu!$P$6:$P$1005,SMALL(IF(checklistPesertaKemenkeu!$AY$6:$AY$1005="Direkomendasikan",ROW($6:$1005)-5),166)),KotaKode,2,0),"-"),"")),"")</f>
        <v/>
      </c>
    </row>
    <row r="168" spans="1:12" ht="15" customHeight="1" x14ac:dyDescent="0.2">
      <c r="A168" t="str">
        <f t="shared" si="2"/>
        <v/>
      </c>
      <c r="B168" t="str">
        <v/>
      </c>
      <c r="C168" s="40" t="str">
        <f t="array" ref="C168">IFERROR(INDEX(checklistPesertaKemenkeu!$F$6:$F$1005,SMALL(IF(checklistPesertaKemenkeu!$AY$6:$AY$1005="Direkomendasikan",ROW($6:$1005)-5),167)),"")</f>
        <v/>
      </c>
      <c r="D168" t="str">
        <f t="array" ref="D168">IFERROR(INDEX(checklistPesertaKemenkeu!$G$6:$G$1005,SMALL(IF(checklistPesertaKemenkeu!$AY$6:$AY$1005="Direkomendasikan",ROW($6:$1005)-5),167)),"")</f>
        <v/>
      </c>
      <c r="E168" t="str">
        <f t="array" ref="E168">IFERROR(INDEX(checklistPesertaKemenkeu!$H$6:$H$1005,SMALL(IF(checklistPesertaKemenkeu!$AY$6:$AY$1005="Direkomendasikan",ROW($6:$1005)-5),167)),"")</f>
        <v/>
      </c>
      <c r="F168" t="str">
        <f t="array" ref="F168">IFERROR(INDEX(checklistPesertaKemenkeu!$I$6:$I$1005,SMALL(IF(checklistPesertaKemenkeu!$AY$6:$AY$1005="Direkomendasikan",ROW($6:$1005)-5),167)),"")</f>
        <v/>
      </c>
      <c r="G168" t="str">
        <f t="array" ref="G168">IFERROR(INDEX(checklistPesertaKemenkeu!$J$6:$J$1005,SMALL(IF(checklistPesertaKemenkeu!$AY$6:$AY$1005="Direkomendasikan",ROW($6:$1005)-5),167)),"")</f>
        <v/>
      </c>
      <c r="H168" t="str">
        <f t="array" aca="1" ref="H168" ca="1">IFERROR(IF(OR(INDEX(checklistPesertaKemenkeu!$L$6:$L$1005,SMALL(IF(checklistPesertaKemenkeu!$AY$6:$AY$1005="Direkomendasikan",ROW($6:$1005)-5),167))="",INDEX(checklistPesertaKemenkeu!$J$6:$J$1005,SMALL(IF(checklistPesertaKemenkeu!$AY$6:$AY$1005="Direkomendasikan",ROW($6:$1005)-5),167))=""),"",IF(AND(COUNTIF(INDIRECT("K_"&amp;MATCH(INDEX(checklistPesertaKemenkeu!$J$6:$J$1005,SMALL(IF(checklistPesertaKemenkeu!$AY$6:$AY$1005="Direkomendasikan",ROW($6:$1005)-5),167)),BidangList,0)),INDEX(checklistPesertaKemenkeu!$L$6:$L$1005,SMALL(IF(checklistPesertaKemenkeu!$AY$6:$AY$1005="Direkomendasikan",ROW($6:$1005)-5),167)))&gt;0,COUNTIF(INDIRECT("'KERTAS KERJA'!K"&amp;(SMALL(IF(checklistPesertaKemenkeu!$AY$6:$AY$1005="Direkomendasikan",ROW($6:$1005)-5),167)+5)&amp;":O"&amp;(SMALL(IF(checklistPesertaKemenkeu!$AY$6:$AY$1005="Direkomendasikan",ROW($6:$1005)-5),167)+5)),INDEX(checklistPesertaKemenkeu!$L$6:$L$1005,SMALL(IF(checklistPesertaKemenkeu!$AY$6:$AY$1005="Direkomendasikan",ROW($6:$1005)-5),167)))=1),IFERROR(VLOOKUP(INDEX(checklistPesertaKemenkeu!$L$6:$L$1005,SMALL(IF(checklistPesertaKemenkeu!$AY$6:$AY$1005="Direkomendasikan",ROW($6:$1005)-5),167)),KotaKode,2,0),"-"),"")),"")</f>
        <v/>
      </c>
      <c r="I168" t="str">
        <f t="array" aca="1" ref="I168" ca="1">IFERROR(IF(OR(INDEX(checklistPesertaKemenkeu!$M$6:$M$1005,SMALL(IF(checklistPesertaKemenkeu!$AY$6:$AY$1005="Direkomendasikan",ROW($6:$1005)-5),167))="",INDEX(checklistPesertaKemenkeu!$J$6:$J$1005,SMALL(IF(checklistPesertaKemenkeu!$AY$6:$AY$1005="Direkomendasikan",ROW($6:$1005)-5),167))=""),"",IF(AND(COUNTIF(INDIRECT("K_"&amp;MATCH(INDEX(checklistPesertaKemenkeu!$J$6:$J$1005,SMALL(IF(checklistPesertaKemenkeu!$AY$6:$AY$1005="Direkomendasikan",ROW($6:$1005)-5),167)),BidangList,0)),INDEX(checklistPesertaKemenkeu!$M$6:$M$1005,SMALL(IF(checklistPesertaKemenkeu!$AY$6:$AY$1005="Direkomendasikan",ROW($6:$1005)-5),167)))&gt;0,COUNTIF(INDIRECT("'KERTAS KERJA'!K"&amp;(SMALL(IF(checklistPesertaKemenkeu!$AY$6:$AY$1005="Direkomendasikan",ROW($6:$1005)-5),167)+5)&amp;":O"&amp;(SMALL(IF(checklistPesertaKemenkeu!$AY$6:$AY$1005="Direkomendasikan",ROW($6:$1005)-5),167)+5)),INDEX(checklistPesertaKemenkeu!$M$6:$M$1005,SMALL(IF(checklistPesertaKemenkeu!$AY$6:$AY$1005="Direkomendasikan",ROW($6:$1005)-5),167)))=1),IFERROR(VLOOKUP(INDEX(checklistPesertaKemenkeu!$M$6:$M$1005,SMALL(IF(checklistPesertaKemenkeu!$AY$6:$AY$1005="Direkomendasikan",ROW($6:$1005)-5),167)),KotaKode,2,0),"-"),"")),"")</f>
        <v/>
      </c>
      <c r="J168" t="str">
        <f t="array" aca="1" ref="J168" ca="1">IFERROR(IF(OR(INDEX(checklistPesertaKemenkeu!$N$6:$N$1005,SMALL(IF(checklistPesertaKemenkeu!$AY$6:$AY$1005="Direkomendasikan",ROW($6:$1005)-5),167))="",INDEX(checklistPesertaKemenkeu!$J$6:$J$1005,SMALL(IF(checklistPesertaKemenkeu!$AY$6:$AY$1005="Direkomendasikan",ROW($6:$1005)-5),167))=""),"",IF(AND(COUNTIF(INDIRECT("K_"&amp;MATCH(INDEX(checklistPesertaKemenkeu!$J$6:$J$1005,SMALL(IF(checklistPesertaKemenkeu!$AY$6:$AY$1005="Direkomendasikan",ROW($6:$1005)-5),167)),BidangList,0)),INDEX(checklistPesertaKemenkeu!$N$6:$N$1005,SMALL(IF(checklistPesertaKemenkeu!$AY$6:$AY$1005="Direkomendasikan",ROW($6:$1005)-5),167)))&gt;0,COUNTIF(INDIRECT("'KERTAS KERJA'!K"&amp;(SMALL(IF(checklistPesertaKemenkeu!$AY$6:$AY$1005="Direkomendasikan",ROW($6:$1005)-5),167)+5)&amp;":O"&amp;(SMALL(IF(checklistPesertaKemenkeu!$AY$6:$AY$1005="Direkomendasikan",ROW($6:$1005)-5),167)+5)),INDEX(checklistPesertaKemenkeu!$N$6:$N$1005,SMALL(IF(checklistPesertaKemenkeu!$AY$6:$AY$1005="Direkomendasikan",ROW($6:$1005)-5),167)))=1),IFERROR(VLOOKUP(INDEX(checklistPesertaKemenkeu!$N$6:$N$1005,SMALL(IF(checklistPesertaKemenkeu!$AY$6:$AY$1005="Direkomendasikan",ROW($6:$1005)-5),167)),KotaKode,2,0),"-"),"")),"")</f>
        <v/>
      </c>
      <c r="K168" t="str">
        <f t="array" aca="1" ref="K168" ca="1">IFERROR(IF(OR(INDEX(checklistPesertaKemenkeu!$O$6:$O$1005,SMALL(IF(checklistPesertaKemenkeu!$AY$6:$AY$1005="Direkomendasikan",ROW($6:$1005)-5),167))="",INDEX(checklistPesertaKemenkeu!$J$6:$J$1005,SMALL(IF(checklistPesertaKemenkeu!$AY$6:$AY$1005="Direkomendasikan",ROW($6:$1005)-5),167))=""),"",IF(AND(COUNTIF(INDIRECT("K_"&amp;MATCH(INDEX(checklistPesertaKemenkeu!$J$6:$J$1005,SMALL(IF(checklistPesertaKemenkeu!$AY$6:$AY$1005="Direkomendasikan",ROW($6:$1005)-5),167)),BidangList,0)),INDEX(checklistPesertaKemenkeu!$O$6:$O$1005,SMALL(IF(checklistPesertaKemenkeu!$AY$6:$AY$1005="Direkomendasikan",ROW($6:$1005)-5),167)))&gt;0,COUNTIF(INDIRECT("'KERTAS KERJA'!K"&amp;(SMALL(IF(checklistPesertaKemenkeu!$AY$6:$AY$1005="Direkomendasikan",ROW($6:$1005)-5),167)+5)&amp;":O"&amp;(SMALL(IF(checklistPesertaKemenkeu!$AY$6:$AY$1005="Direkomendasikan",ROW($6:$1005)-5),167)+5)),INDEX(checklistPesertaKemenkeu!$O$6:$O$1005,SMALL(IF(checklistPesertaKemenkeu!$AY$6:$AY$1005="Direkomendasikan",ROW($6:$1005)-5),167)))=1),IFERROR(VLOOKUP(INDEX(checklistPesertaKemenkeu!$O$6:$O$1005,SMALL(IF(checklistPesertaKemenkeu!$AY$6:$AY$1005="Direkomendasikan",ROW($6:$1005)-5),167)),KotaKode,2,0),"-"),"")),"")</f>
        <v/>
      </c>
      <c r="L168" t="str">
        <f t="array" aca="1" ref="L168" ca="1">IFERROR(IF(OR(INDEX(checklistPesertaKemenkeu!$P$6:$P$1005,SMALL(IF(checklistPesertaKemenkeu!$AY$6:$AY$1005="Direkomendasikan",ROW($6:$1005)-5),167))="",INDEX(checklistPesertaKemenkeu!$J$6:$J$1005,SMALL(IF(checklistPesertaKemenkeu!$AY$6:$AY$1005="Direkomendasikan",ROW($6:$1005)-5),167))=""),"",IF(AND(COUNTIF(INDIRECT("K_"&amp;MATCH(INDEX(checklistPesertaKemenkeu!$J$6:$J$1005,SMALL(IF(checklistPesertaKemenkeu!$AY$6:$AY$1005="Direkomendasikan",ROW($6:$1005)-5),167)),BidangList,0)),INDEX(checklistPesertaKemenkeu!$P$6:$P$1005,SMALL(IF(checklistPesertaKemenkeu!$AY$6:$AY$1005="Direkomendasikan",ROW($6:$1005)-5),167)))&gt;0,COUNTIF(INDIRECT("'KERTAS KERJA'!K"&amp;(SMALL(IF(checklistPesertaKemenkeu!$AY$6:$AY$1005="Direkomendasikan",ROW($6:$1005)-5),167)+5)&amp;":O"&amp;(SMALL(IF(checklistPesertaKemenkeu!$AY$6:$AY$1005="Direkomendasikan",ROW($6:$1005)-5),167)+5)),INDEX(checklistPesertaKemenkeu!$P$6:$P$1005,SMALL(IF(checklistPesertaKemenkeu!$AY$6:$AY$1005="Direkomendasikan",ROW($6:$1005)-5),167)))=1),IFERROR(VLOOKUP(INDEX(checklistPesertaKemenkeu!$P$6:$P$1005,SMALL(IF(checklistPesertaKemenkeu!$AY$6:$AY$1005="Direkomendasikan",ROW($6:$1005)-5),167)),KotaKode,2,0),"-"),"")),"")</f>
        <v/>
      </c>
    </row>
    <row r="169" spans="1:12" ht="15" customHeight="1" x14ac:dyDescent="0.2">
      <c r="A169" t="str">
        <f t="shared" si="2"/>
        <v/>
      </c>
      <c r="B169" t="str">
        <v/>
      </c>
      <c r="C169" s="40" t="str">
        <f t="array" ref="C169">IFERROR(INDEX(checklistPesertaKemenkeu!$F$6:$F$1005,SMALL(IF(checklistPesertaKemenkeu!$AY$6:$AY$1005="Direkomendasikan",ROW($6:$1005)-5),168)),"")</f>
        <v/>
      </c>
      <c r="D169" t="str">
        <f t="array" ref="D169">IFERROR(INDEX(checklistPesertaKemenkeu!$G$6:$G$1005,SMALL(IF(checklistPesertaKemenkeu!$AY$6:$AY$1005="Direkomendasikan",ROW($6:$1005)-5),168)),"")</f>
        <v/>
      </c>
      <c r="E169" t="str">
        <f t="array" ref="E169">IFERROR(INDEX(checklistPesertaKemenkeu!$H$6:$H$1005,SMALL(IF(checklistPesertaKemenkeu!$AY$6:$AY$1005="Direkomendasikan",ROW($6:$1005)-5),168)),"")</f>
        <v/>
      </c>
      <c r="F169" t="str">
        <f t="array" ref="F169">IFERROR(INDEX(checklistPesertaKemenkeu!$I$6:$I$1005,SMALL(IF(checklistPesertaKemenkeu!$AY$6:$AY$1005="Direkomendasikan",ROW($6:$1005)-5),168)),"")</f>
        <v/>
      </c>
      <c r="G169" t="str">
        <f t="array" ref="G169">IFERROR(INDEX(checklistPesertaKemenkeu!$J$6:$J$1005,SMALL(IF(checklistPesertaKemenkeu!$AY$6:$AY$1005="Direkomendasikan",ROW($6:$1005)-5),168)),"")</f>
        <v/>
      </c>
      <c r="H169" t="str">
        <f t="array" aca="1" ref="H169" ca="1">IFERROR(IF(OR(INDEX(checklistPesertaKemenkeu!$L$6:$L$1005,SMALL(IF(checklistPesertaKemenkeu!$AY$6:$AY$1005="Direkomendasikan",ROW($6:$1005)-5),168))="",INDEX(checklistPesertaKemenkeu!$J$6:$J$1005,SMALL(IF(checklistPesertaKemenkeu!$AY$6:$AY$1005="Direkomendasikan",ROW($6:$1005)-5),168))=""),"",IF(AND(COUNTIF(INDIRECT("K_"&amp;MATCH(INDEX(checklistPesertaKemenkeu!$J$6:$J$1005,SMALL(IF(checklistPesertaKemenkeu!$AY$6:$AY$1005="Direkomendasikan",ROW($6:$1005)-5),168)),BidangList,0)),INDEX(checklistPesertaKemenkeu!$L$6:$L$1005,SMALL(IF(checklistPesertaKemenkeu!$AY$6:$AY$1005="Direkomendasikan",ROW($6:$1005)-5),168)))&gt;0,COUNTIF(INDIRECT("'KERTAS KERJA'!K"&amp;(SMALL(IF(checklistPesertaKemenkeu!$AY$6:$AY$1005="Direkomendasikan",ROW($6:$1005)-5),168)+5)&amp;":O"&amp;(SMALL(IF(checklistPesertaKemenkeu!$AY$6:$AY$1005="Direkomendasikan",ROW($6:$1005)-5),168)+5)),INDEX(checklistPesertaKemenkeu!$L$6:$L$1005,SMALL(IF(checklistPesertaKemenkeu!$AY$6:$AY$1005="Direkomendasikan",ROW($6:$1005)-5),168)))=1),IFERROR(VLOOKUP(INDEX(checklistPesertaKemenkeu!$L$6:$L$1005,SMALL(IF(checklistPesertaKemenkeu!$AY$6:$AY$1005="Direkomendasikan",ROW($6:$1005)-5),168)),KotaKode,2,0),"-"),"")),"")</f>
        <v/>
      </c>
      <c r="I169" t="str">
        <f t="array" aca="1" ref="I169" ca="1">IFERROR(IF(OR(INDEX(checklistPesertaKemenkeu!$M$6:$M$1005,SMALL(IF(checklistPesertaKemenkeu!$AY$6:$AY$1005="Direkomendasikan",ROW($6:$1005)-5),168))="",INDEX(checklistPesertaKemenkeu!$J$6:$J$1005,SMALL(IF(checklistPesertaKemenkeu!$AY$6:$AY$1005="Direkomendasikan",ROW($6:$1005)-5),168))=""),"",IF(AND(COUNTIF(INDIRECT("K_"&amp;MATCH(INDEX(checklistPesertaKemenkeu!$J$6:$J$1005,SMALL(IF(checklistPesertaKemenkeu!$AY$6:$AY$1005="Direkomendasikan",ROW($6:$1005)-5),168)),BidangList,0)),INDEX(checklistPesertaKemenkeu!$M$6:$M$1005,SMALL(IF(checklistPesertaKemenkeu!$AY$6:$AY$1005="Direkomendasikan",ROW($6:$1005)-5),168)))&gt;0,COUNTIF(INDIRECT("'KERTAS KERJA'!K"&amp;(SMALL(IF(checklistPesertaKemenkeu!$AY$6:$AY$1005="Direkomendasikan",ROW($6:$1005)-5),168)+5)&amp;":O"&amp;(SMALL(IF(checklistPesertaKemenkeu!$AY$6:$AY$1005="Direkomendasikan",ROW($6:$1005)-5),168)+5)),INDEX(checklistPesertaKemenkeu!$M$6:$M$1005,SMALL(IF(checklistPesertaKemenkeu!$AY$6:$AY$1005="Direkomendasikan",ROW($6:$1005)-5),168)))=1),IFERROR(VLOOKUP(INDEX(checklistPesertaKemenkeu!$M$6:$M$1005,SMALL(IF(checklistPesertaKemenkeu!$AY$6:$AY$1005="Direkomendasikan",ROW($6:$1005)-5),168)),KotaKode,2,0),"-"),"")),"")</f>
        <v/>
      </c>
      <c r="J169" t="str">
        <f t="array" aca="1" ref="J169" ca="1">IFERROR(IF(OR(INDEX(checklistPesertaKemenkeu!$N$6:$N$1005,SMALL(IF(checklistPesertaKemenkeu!$AY$6:$AY$1005="Direkomendasikan",ROW($6:$1005)-5),168))="",INDEX(checklistPesertaKemenkeu!$J$6:$J$1005,SMALL(IF(checklistPesertaKemenkeu!$AY$6:$AY$1005="Direkomendasikan",ROW($6:$1005)-5),168))=""),"",IF(AND(COUNTIF(INDIRECT("K_"&amp;MATCH(INDEX(checklistPesertaKemenkeu!$J$6:$J$1005,SMALL(IF(checklistPesertaKemenkeu!$AY$6:$AY$1005="Direkomendasikan",ROW($6:$1005)-5),168)),BidangList,0)),INDEX(checklistPesertaKemenkeu!$N$6:$N$1005,SMALL(IF(checklistPesertaKemenkeu!$AY$6:$AY$1005="Direkomendasikan",ROW($6:$1005)-5),168)))&gt;0,COUNTIF(INDIRECT("'KERTAS KERJA'!K"&amp;(SMALL(IF(checklistPesertaKemenkeu!$AY$6:$AY$1005="Direkomendasikan",ROW($6:$1005)-5),168)+5)&amp;":O"&amp;(SMALL(IF(checklistPesertaKemenkeu!$AY$6:$AY$1005="Direkomendasikan",ROW($6:$1005)-5),168)+5)),INDEX(checklistPesertaKemenkeu!$N$6:$N$1005,SMALL(IF(checklistPesertaKemenkeu!$AY$6:$AY$1005="Direkomendasikan",ROW($6:$1005)-5),168)))=1),IFERROR(VLOOKUP(INDEX(checklistPesertaKemenkeu!$N$6:$N$1005,SMALL(IF(checklistPesertaKemenkeu!$AY$6:$AY$1005="Direkomendasikan",ROW($6:$1005)-5),168)),KotaKode,2,0),"-"),"")),"")</f>
        <v/>
      </c>
      <c r="K169" t="str">
        <f t="array" aca="1" ref="K169" ca="1">IFERROR(IF(OR(INDEX(checklistPesertaKemenkeu!$O$6:$O$1005,SMALL(IF(checklistPesertaKemenkeu!$AY$6:$AY$1005="Direkomendasikan",ROW($6:$1005)-5),168))="",INDEX(checklistPesertaKemenkeu!$J$6:$J$1005,SMALL(IF(checklistPesertaKemenkeu!$AY$6:$AY$1005="Direkomendasikan",ROW($6:$1005)-5),168))=""),"",IF(AND(COUNTIF(INDIRECT("K_"&amp;MATCH(INDEX(checklistPesertaKemenkeu!$J$6:$J$1005,SMALL(IF(checklistPesertaKemenkeu!$AY$6:$AY$1005="Direkomendasikan",ROW($6:$1005)-5),168)),BidangList,0)),INDEX(checklistPesertaKemenkeu!$O$6:$O$1005,SMALL(IF(checklistPesertaKemenkeu!$AY$6:$AY$1005="Direkomendasikan",ROW($6:$1005)-5),168)))&gt;0,COUNTIF(INDIRECT("'KERTAS KERJA'!K"&amp;(SMALL(IF(checklistPesertaKemenkeu!$AY$6:$AY$1005="Direkomendasikan",ROW($6:$1005)-5),168)+5)&amp;":O"&amp;(SMALL(IF(checklistPesertaKemenkeu!$AY$6:$AY$1005="Direkomendasikan",ROW($6:$1005)-5),168)+5)),INDEX(checklistPesertaKemenkeu!$O$6:$O$1005,SMALL(IF(checklistPesertaKemenkeu!$AY$6:$AY$1005="Direkomendasikan",ROW($6:$1005)-5),168)))=1),IFERROR(VLOOKUP(INDEX(checklistPesertaKemenkeu!$O$6:$O$1005,SMALL(IF(checklistPesertaKemenkeu!$AY$6:$AY$1005="Direkomendasikan",ROW($6:$1005)-5),168)),KotaKode,2,0),"-"),"")),"")</f>
        <v/>
      </c>
      <c r="L169" t="str">
        <f t="array" aca="1" ref="L169" ca="1">IFERROR(IF(OR(INDEX(checklistPesertaKemenkeu!$P$6:$P$1005,SMALL(IF(checklistPesertaKemenkeu!$AY$6:$AY$1005="Direkomendasikan",ROW($6:$1005)-5),168))="",INDEX(checklistPesertaKemenkeu!$J$6:$J$1005,SMALL(IF(checklistPesertaKemenkeu!$AY$6:$AY$1005="Direkomendasikan",ROW($6:$1005)-5),168))=""),"",IF(AND(COUNTIF(INDIRECT("K_"&amp;MATCH(INDEX(checklistPesertaKemenkeu!$J$6:$J$1005,SMALL(IF(checklistPesertaKemenkeu!$AY$6:$AY$1005="Direkomendasikan",ROW($6:$1005)-5),168)),BidangList,0)),INDEX(checklistPesertaKemenkeu!$P$6:$P$1005,SMALL(IF(checklistPesertaKemenkeu!$AY$6:$AY$1005="Direkomendasikan",ROW($6:$1005)-5),168)))&gt;0,COUNTIF(INDIRECT("'KERTAS KERJA'!K"&amp;(SMALL(IF(checklistPesertaKemenkeu!$AY$6:$AY$1005="Direkomendasikan",ROW($6:$1005)-5),168)+5)&amp;":O"&amp;(SMALL(IF(checklistPesertaKemenkeu!$AY$6:$AY$1005="Direkomendasikan",ROW($6:$1005)-5),168)+5)),INDEX(checklistPesertaKemenkeu!$P$6:$P$1005,SMALL(IF(checklistPesertaKemenkeu!$AY$6:$AY$1005="Direkomendasikan",ROW($6:$1005)-5),168)))=1),IFERROR(VLOOKUP(INDEX(checklistPesertaKemenkeu!$P$6:$P$1005,SMALL(IF(checklistPesertaKemenkeu!$AY$6:$AY$1005="Direkomendasikan",ROW($6:$1005)-5),168)),KotaKode,2,0),"-"),"")),"")</f>
        <v/>
      </c>
    </row>
    <row r="170" spans="1:12" ht="15" customHeight="1" x14ac:dyDescent="0.2">
      <c r="A170" t="str">
        <f t="shared" si="2"/>
        <v/>
      </c>
      <c r="B170" t="str">
        <v/>
      </c>
      <c r="C170" s="40" t="str">
        <f t="array" ref="C170">IFERROR(INDEX(checklistPesertaKemenkeu!$F$6:$F$1005,SMALL(IF(checklistPesertaKemenkeu!$AY$6:$AY$1005="Direkomendasikan",ROW($6:$1005)-5),169)),"")</f>
        <v/>
      </c>
      <c r="D170" t="str">
        <f t="array" ref="D170">IFERROR(INDEX(checklistPesertaKemenkeu!$G$6:$G$1005,SMALL(IF(checklistPesertaKemenkeu!$AY$6:$AY$1005="Direkomendasikan",ROW($6:$1005)-5),169)),"")</f>
        <v/>
      </c>
      <c r="E170" t="str">
        <f t="array" ref="E170">IFERROR(INDEX(checklistPesertaKemenkeu!$H$6:$H$1005,SMALL(IF(checklistPesertaKemenkeu!$AY$6:$AY$1005="Direkomendasikan",ROW($6:$1005)-5),169)),"")</f>
        <v/>
      </c>
      <c r="F170" t="str">
        <f t="array" ref="F170">IFERROR(INDEX(checklistPesertaKemenkeu!$I$6:$I$1005,SMALL(IF(checklistPesertaKemenkeu!$AY$6:$AY$1005="Direkomendasikan",ROW($6:$1005)-5),169)),"")</f>
        <v/>
      </c>
      <c r="G170" t="str">
        <f t="array" ref="G170">IFERROR(INDEX(checklistPesertaKemenkeu!$J$6:$J$1005,SMALL(IF(checklistPesertaKemenkeu!$AY$6:$AY$1005="Direkomendasikan",ROW($6:$1005)-5),169)),"")</f>
        <v/>
      </c>
      <c r="H170" t="str">
        <f t="array" aca="1" ref="H170" ca="1">IFERROR(IF(OR(INDEX(checklistPesertaKemenkeu!$L$6:$L$1005,SMALL(IF(checklistPesertaKemenkeu!$AY$6:$AY$1005="Direkomendasikan",ROW($6:$1005)-5),169))="",INDEX(checklistPesertaKemenkeu!$J$6:$J$1005,SMALL(IF(checklistPesertaKemenkeu!$AY$6:$AY$1005="Direkomendasikan",ROW($6:$1005)-5),169))=""),"",IF(AND(COUNTIF(INDIRECT("K_"&amp;MATCH(INDEX(checklistPesertaKemenkeu!$J$6:$J$1005,SMALL(IF(checklistPesertaKemenkeu!$AY$6:$AY$1005="Direkomendasikan",ROW($6:$1005)-5),169)),BidangList,0)),INDEX(checklistPesertaKemenkeu!$L$6:$L$1005,SMALL(IF(checklistPesertaKemenkeu!$AY$6:$AY$1005="Direkomendasikan",ROW($6:$1005)-5),169)))&gt;0,COUNTIF(INDIRECT("'KERTAS KERJA'!K"&amp;(SMALL(IF(checklistPesertaKemenkeu!$AY$6:$AY$1005="Direkomendasikan",ROW($6:$1005)-5),169)+5)&amp;":O"&amp;(SMALL(IF(checklistPesertaKemenkeu!$AY$6:$AY$1005="Direkomendasikan",ROW($6:$1005)-5),169)+5)),INDEX(checklistPesertaKemenkeu!$L$6:$L$1005,SMALL(IF(checklistPesertaKemenkeu!$AY$6:$AY$1005="Direkomendasikan",ROW($6:$1005)-5),169)))=1),IFERROR(VLOOKUP(INDEX(checklistPesertaKemenkeu!$L$6:$L$1005,SMALL(IF(checklistPesertaKemenkeu!$AY$6:$AY$1005="Direkomendasikan",ROW($6:$1005)-5),169)),KotaKode,2,0),"-"),"")),"")</f>
        <v/>
      </c>
      <c r="I170" t="str">
        <f t="array" aca="1" ref="I170" ca="1">IFERROR(IF(OR(INDEX(checklistPesertaKemenkeu!$M$6:$M$1005,SMALL(IF(checklistPesertaKemenkeu!$AY$6:$AY$1005="Direkomendasikan",ROW($6:$1005)-5),169))="",INDEX(checklistPesertaKemenkeu!$J$6:$J$1005,SMALL(IF(checklistPesertaKemenkeu!$AY$6:$AY$1005="Direkomendasikan",ROW($6:$1005)-5),169))=""),"",IF(AND(COUNTIF(INDIRECT("K_"&amp;MATCH(INDEX(checklistPesertaKemenkeu!$J$6:$J$1005,SMALL(IF(checklistPesertaKemenkeu!$AY$6:$AY$1005="Direkomendasikan",ROW($6:$1005)-5),169)),BidangList,0)),INDEX(checklistPesertaKemenkeu!$M$6:$M$1005,SMALL(IF(checklistPesertaKemenkeu!$AY$6:$AY$1005="Direkomendasikan",ROW($6:$1005)-5),169)))&gt;0,COUNTIF(INDIRECT("'KERTAS KERJA'!K"&amp;(SMALL(IF(checklistPesertaKemenkeu!$AY$6:$AY$1005="Direkomendasikan",ROW($6:$1005)-5),169)+5)&amp;":O"&amp;(SMALL(IF(checklistPesertaKemenkeu!$AY$6:$AY$1005="Direkomendasikan",ROW($6:$1005)-5),169)+5)),INDEX(checklistPesertaKemenkeu!$M$6:$M$1005,SMALL(IF(checklistPesertaKemenkeu!$AY$6:$AY$1005="Direkomendasikan",ROW($6:$1005)-5),169)))=1),IFERROR(VLOOKUP(INDEX(checklistPesertaKemenkeu!$M$6:$M$1005,SMALL(IF(checklistPesertaKemenkeu!$AY$6:$AY$1005="Direkomendasikan",ROW($6:$1005)-5),169)),KotaKode,2,0),"-"),"")),"")</f>
        <v/>
      </c>
      <c r="J170" t="str">
        <f t="array" aca="1" ref="J170" ca="1">IFERROR(IF(OR(INDEX(checklistPesertaKemenkeu!$N$6:$N$1005,SMALL(IF(checklistPesertaKemenkeu!$AY$6:$AY$1005="Direkomendasikan",ROW($6:$1005)-5),169))="",INDEX(checklistPesertaKemenkeu!$J$6:$J$1005,SMALL(IF(checklistPesertaKemenkeu!$AY$6:$AY$1005="Direkomendasikan",ROW($6:$1005)-5),169))=""),"",IF(AND(COUNTIF(INDIRECT("K_"&amp;MATCH(INDEX(checklistPesertaKemenkeu!$J$6:$J$1005,SMALL(IF(checklistPesertaKemenkeu!$AY$6:$AY$1005="Direkomendasikan",ROW($6:$1005)-5),169)),BidangList,0)),INDEX(checklistPesertaKemenkeu!$N$6:$N$1005,SMALL(IF(checklistPesertaKemenkeu!$AY$6:$AY$1005="Direkomendasikan",ROW($6:$1005)-5),169)))&gt;0,COUNTIF(INDIRECT("'KERTAS KERJA'!K"&amp;(SMALL(IF(checklistPesertaKemenkeu!$AY$6:$AY$1005="Direkomendasikan",ROW($6:$1005)-5),169)+5)&amp;":O"&amp;(SMALL(IF(checklistPesertaKemenkeu!$AY$6:$AY$1005="Direkomendasikan",ROW($6:$1005)-5),169)+5)),INDEX(checklistPesertaKemenkeu!$N$6:$N$1005,SMALL(IF(checklistPesertaKemenkeu!$AY$6:$AY$1005="Direkomendasikan",ROW($6:$1005)-5),169)))=1),IFERROR(VLOOKUP(INDEX(checklistPesertaKemenkeu!$N$6:$N$1005,SMALL(IF(checklistPesertaKemenkeu!$AY$6:$AY$1005="Direkomendasikan",ROW($6:$1005)-5),169)),KotaKode,2,0),"-"),"")),"")</f>
        <v/>
      </c>
      <c r="K170" t="str">
        <f t="array" aca="1" ref="K170" ca="1">IFERROR(IF(OR(INDEX(checklistPesertaKemenkeu!$O$6:$O$1005,SMALL(IF(checklistPesertaKemenkeu!$AY$6:$AY$1005="Direkomendasikan",ROW($6:$1005)-5),169))="",INDEX(checklistPesertaKemenkeu!$J$6:$J$1005,SMALL(IF(checklistPesertaKemenkeu!$AY$6:$AY$1005="Direkomendasikan",ROW($6:$1005)-5),169))=""),"",IF(AND(COUNTIF(INDIRECT("K_"&amp;MATCH(INDEX(checklistPesertaKemenkeu!$J$6:$J$1005,SMALL(IF(checklistPesertaKemenkeu!$AY$6:$AY$1005="Direkomendasikan",ROW($6:$1005)-5),169)),BidangList,0)),INDEX(checklistPesertaKemenkeu!$O$6:$O$1005,SMALL(IF(checklistPesertaKemenkeu!$AY$6:$AY$1005="Direkomendasikan",ROW($6:$1005)-5),169)))&gt;0,COUNTIF(INDIRECT("'KERTAS KERJA'!K"&amp;(SMALL(IF(checklistPesertaKemenkeu!$AY$6:$AY$1005="Direkomendasikan",ROW($6:$1005)-5),169)+5)&amp;":O"&amp;(SMALL(IF(checklistPesertaKemenkeu!$AY$6:$AY$1005="Direkomendasikan",ROW($6:$1005)-5),169)+5)),INDEX(checklistPesertaKemenkeu!$O$6:$O$1005,SMALL(IF(checklistPesertaKemenkeu!$AY$6:$AY$1005="Direkomendasikan",ROW($6:$1005)-5),169)))=1),IFERROR(VLOOKUP(INDEX(checklistPesertaKemenkeu!$O$6:$O$1005,SMALL(IF(checklistPesertaKemenkeu!$AY$6:$AY$1005="Direkomendasikan",ROW($6:$1005)-5),169)),KotaKode,2,0),"-"),"")),"")</f>
        <v/>
      </c>
      <c r="L170" t="str">
        <f t="array" aca="1" ref="L170" ca="1">IFERROR(IF(OR(INDEX(checklistPesertaKemenkeu!$P$6:$P$1005,SMALL(IF(checklistPesertaKemenkeu!$AY$6:$AY$1005="Direkomendasikan",ROW($6:$1005)-5),169))="",INDEX(checklistPesertaKemenkeu!$J$6:$J$1005,SMALL(IF(checklistPesertaKemenkeu!$AY$6:$AY$1005="Direkomendasikan",ROW($6:$1005)-5),169))=""),"",IF(AND(COUNTIF(INDIRECT("K_"&amp;MATCH(INDEX(checklistPesertaKemenkeu!$J$6:$J$1005,SMALL(IF(checklistPesertaKemenkeu!$AY$6:$AY$1005="Direkomendasikan",ROW($6:$1005)-5),169)),BidangList,0)),INDEX(checklistPesertaKemenkeu!$P$6:$P$1005,SMALL(IF(checklistPesertaKemenkeu!$AY$6:$AY$1005="Direkomendasikan",ROW($6:$1005)-5),169)))&gt;0,COUNTIF(INDIRECT("'KERTAS KERJA'!K"&amp;(SMALL(IF(checklistPesertaKemenkeu!$AY$6:$AY$1005="Direkomendasikan",ROW($6:$1005)-5),169)+5)&amp;":O"&amp;(SMALL(IF(checklistPesertaKemenkeu!$AY$6:$AY$1005="Direkomendasikan",ROW($6:$1005)-5),169)+5)),INDEX(checklistPesertaKemenkeu!$P$6:$P$1005,SMALL(IF(checklistPesertaKemenkeu!$AY$6:$AY$1005="Direkomendasikan",ROW($6:$1005)-5),169)))=1),IFERROR(VLOOKUP(INDEX(checklistPesertaKemenkeu!$P$6:$P$1005,SMALL(IF(checklistPesertaKemenkeu!$AY$6:$AY$1005="Direkomendasikan",ROW($6:$1005)-5),169)),KotaKode,2,0),"-"),"")),"")</f>
        <v/>
      </c>
    </row>
    <row r="171" spans="1:12" ht="15" customHeight="1" x14ac:dyDescent="0.2">
      <c r="A171" t="str">
        <f t="shared" si="2"/>
        <v/>
      </c>
      <c r="B171" t="str">
        <v/>
      </c>
      <c r="C171" s="40" t="str">
        <f t="array" ref="C171">IFERROR(INDEX(checklistPesertaKemenkeu!$F$6:$F$1005,SMALL(IF(checklistPesertaKemenkeu!$AY$6:$AY$1005="Direkomendasikan",ROW($6:$1005)-5),170)),"")</f>
        <v/>
      </c>
      <c r="D171" t="str">
        <f t="array" ref="D171">IFERROR(INDEX(checklistPesertaKemenkeu!$G$6:$G$1005,SMALL(IF(checklistPesertaKemenkeu!$AY$6:$AY$1005="Direkomendasikan",ROW($6:$1005)-5),170)),"")</f>
        <v/>
      </c>
      <c r="E171" t="str">
        <f t="array" ref="E171">IFERROR(INDEX(checklistPesertaKemenkeu!$H$6:$H$1005,SMALL(IF(checklistPesertaKemenkeu!$AY$6:$AY$1005="Direkomendasikan",ROW($6:$1005)-5),170)),"")</f>
        <v/>
      </c>
      <c r="F171" t="str">
        <f t="array" ref="F171">IFERROR(INDEX(checklistPesertaKemenkeu!$I$6:$I$1005,SMALL(IF(checklistPesertaKemenkeu!$AY$6:$AY$1005="Direkomendasikan",ROW($6:$1005)-5),170)),"")</f>
        <v/>
      </c>
      <c r="G171" t="str">
        <f t="array" ref="G171">IFERROR(INDEX(checklistPesertaKemenkeu!$J$6:$J$1005,SMALL(IF(checklistPesertaKemenkeu!$AY$6:$AY$1005="Direkomendasikan",ROW($6:$1005)-5),170)),"")</f>
        <v/>
      </c>
      <c r="H171" t="str">
        <f t="array" aca="1" ref="H171" ca="1">IFERROR(IF(OR(INDEX(checklistPesertaKemenkeu!$L$6:$L$1005,SMALL(IF(checklistPesertaKemenkeu!$AY$6:$AY$1005="Direkomendasikan",ROW($6:$1005)-5),170))="",INDEX(checklistPesertaKemenkeu!$J$6:$J$1005,SMALL(IF(checklistPesertaKemenkeu!$AY$6:$AY$1005="Direkomendasikan",ROW($6:$1005)-5),170))=""),"",IF(AND(COUNTIF(INDIRECT("K_"&amp;MATCH(INDEX(checklistPesertaKemenkeu!$J$6:$J$1005,SMALL(IF(checklistPesertaKemenkeu!$AY$6:$AY$1005="Direkomendasikan",ROW($6:$1005)-5),170)),BidangList,0)),INDEX(checklistPesertaKemenkeu!$L$6:$L$1005,SMALL(IF(checklistPesertaKemenkeu!$AY$6:$AY$1005="Direkomendasikan",ROW($6:$1005)-5),170)))&gt;0,COUNTIF(INDIRECT("'KERTAS KERJA'!K"&amp;(SMALL(IF(checklistPesertaKemenkeu!$AY$6:$AY$1005="Direkomendasikan",ROW($6:$1005)-5),170)+5)&amp;":O"&amp;(SMALL(IF(checklistPesertaKemenkeu!$AY$6:$AY$1005="Direkomendasikan",ROW($6:$1005)-5),170)+5)),INDEX(checklistPesertaKemenkeu!$L$6:$L$1005,SMALL(IF(checklistPesertaKemenkeu!$AY$6:$AY$1005="Direkomendasikan",ROW($6:$1005)-5),170)))=1),IFERROR(VLOOKUP(INDEX(checklistPesertaKemenkeu!$L$6:$L$1005,SMALL(IF(checklistPesertaKemenkeu!$AY$6:$AY$1005="Direkomendasikan",ROW($6:$1005)-5),170)),KotaKode,2,0),"-"),"")),"")</f>
        <v/>
      </c>
      <c r="I171" t="str">
        <f t="array" aca="1" ref="I171" ca="1">IFERROR(IF(OR(INDEX(checklistPesertaKemenkeu!$M$6:$M$1005,SMALL(IF(checklistPesertaKemenkeu!$AY$6:$AY$1005="Direkomendasikan",ROW($6:$1005)-5),170))="",INDEX(checklistPesertaKemenkeu!$J$6:$J$1005,SMALL(IF(checklistPesertaKemenkeu!$AY$6:$AY$1005="Direkomendasikan",ROW($6:$1005)-5),170))=""),"",IF(AND(COUNTIF(INDIRECT("K_"&amp;MATCH(INDEX(checklistPesertaKemenkeu!$J$6:$J$1005,SMALL(IF(checklistPesertaKemenkeu!$AY$6:$AY$1005="Direkomendasikan",ROW($6:$1005)-5),170)),BidangList,0)),INDEX(checklistPesertaKemenkeu!$M$6:$M$1005,SMALL(IF(checklistPesertaKemenkeu!$AY$6:$AY$1005="Direkomendasikan",ROW($6:$1005)-5),170)))&gt;0,COUNTIF(INDIRECT("'KERTAS KERJA'!K"&amp;(SMALL(IF(checklistPesertaKemenkeu!$AY$6:$AY$1005="Direkomendasikan",ROW($6:$1005)-5),170)+5)&amp;":O"&amp;(SMALL(IF(checklistPesertaKemenkeu!$AY$6:$AY$1005="Direkomendasikan",ROW($6:$1005)-5),170)+5)),INDEX(checklistPesertaKemenkeu!$M$6:$M$1005,SMALL(IF(checklistPesertaKemenkeu!$AY$6:$AY$1005="Direkomendasikan",ROW($6:$1005)-5),170)))=1),IFERROR(VLOOKUP(INDEX(checklistPesertaKemenkeu!$M$6:$M$1005,SMALL(IF(checklistPesertaKemenkeu!$AY$6:$AY$1005="Direkomendasikan",ROW($6:$1005)-5),170)),KotaKode,2,0),"-"),"")),"")</f>
        <v/>
      </c>
      <c r="J171" t="str">
        <f t="array" aca="1" ref="J171" ca="1">IFERROR(IF(OR(INDEX(checklistPesertaKemenkeu!$N$6:$N$1005,SMALL(IF(checklistPesertaKemenkeu!$AY$6:$AY$1005="Direkomendasikan",ROW($6:$1005)-5),170))="",INDEX(checklistPesertaKemenkeu!$J$6:$J$1005,SMALL(IF(checklistPesertaKemenkeu!$AY$6:$AY$1005="Direkomendasikan",ROW($6:$1005)-5),170))=""),"",IF(AND(COUNTIF(INDIRECT("K_"&amp;MATCH(INDEX(checklistPesertaKemenkeu!$J$6:$J$1005,SMALL(IF(checklistPesertaKemenkeu!$AY$6:$AY$1005="Direkomendasikan",ROW($6:$1005)-5),170)),BidangList,0)),INDEX(checklistPesertaKemenkeu!$N$6:$N$1005,SMALL(IF(checklistPesertaKemenkeu!$AY$6:$AY$1005="Direkomendasikan",ROW($6:$1005)-5),170)))&gt;0,COUNTIF(INDIRECT("'KERTAS KERJA'!K"&amp;(SMALL(IF(checklistPesertaKemenkeu!$AY$6:$AY$1005="Direkomendasikan",ROW($6:$1005)-5),170)+5)&amp;":O"&amp;(SMALL(IF(checklistPesertaKemenkeu!$AY$6:$AY$1005="Direkomendasikan",ROW($6:$1005)-5),170)+5)),INDEX(checklistPesertaKemenkeu!$N$6:$N$1005,SMALL(IF(checklistPesertaKemenkeu!$AY$6:$AY$1005="Direkomendasikan",ROW($6:$1005)-5),170)))=1),IFERROR(VLOOKUP(INDEX(checklistPesertaKemenkeu!$N$6:$N$1005,SMALL(IF(checklistPesertaKemenkeu!$AY$6:$AY$1005="Direkomendasikan",ROW($6:$1005)-5),170)),KotaKode,2,0),"-"),"")),"")</f>
        <v/>
      </c>
      <c r="K171" t="str">
        <f t="array" aca="1" ref="K171" ca="1">IFERROR(IF(OR(INDEX(checklistPesertaKemenkeu!$O$6:$O$1005,SMALL(IF(checklistPesertaKemenkeu!$AY$6:$AY$1005="Direkomendasikan",ROW($6:$1005)-5),170))="",INDEX(checklistPesertaKemenkeu!$J$6:$J$1005,SMALL(IF(checklistPesertaKemenkeu!$AY$6:$AY$1005="Direkomendasikan",ROW($6:$1005)-5),170))=""),"",IF(AND(COUNTIF(INDIRECT("K_"&amp;MATCH(INDEX(checklistPesertaKemenkeu!$J$6:$J$1005,SMALL(IF(checklistPesertaKemenkeu!$AY$6:$AY$1005="Direkomendasikan",ROW($6:$1005)-5),170)),BidangList,0)),INDEX(checklistPesertaKemenkeu!$O$6:$O$1005,SMALL(IF(checklistPesertaKemenkeu!$AY$6:$AY$1005="Direkomendasikan",ROW($6:$1005)-5),170)))&gt;0,COUNTIF(INDIRECT("'KERTAS KERJA'!K"&amp;(SMALL(IF(checklistPesertaKemenkeu!$AY$6:$AY$1005="Direkomendasikan",ROW($6:$1005)-5),170)+5)&amp;":O"&amp;(SMALL(IF(checklistPesertaKemenkeu!$AY$6:$AY$1005="Direkomendasikan",ROW($6:$1005)-5),170)+5)),INDEX(checklistPesertaKemenkeu!$O$6:$O$1005,SMALL(IF(checklistPesertaKemenkeu!$AY$6:$AY$1005="Direkomendasikan",ROW($6:$1005)-5),170)))=1),IFERROR(VLOOKUP(INDEX(checklistPesertaKemenkeu!$O$6:$O$1005,SMALL(IF(checklistPesertaKemenkeu!$AY$6:$AY$1005="Direkomendasikan",ROW($6:$1005)-5),170)),KotaKode,2,0),"-"),"")),"")</f>
        <v/>
      </c>
      <c r="L171" t="str">
        <f t="array" aca="1" ref="L171" ca="1">IFERROR(IF(OR(INDEX(checklistPesertaKemenkeu!$P$6:$P$1005,SMALL(IF(checklistPesertaKemenkeu!$AY$6:$AY$1005="Direkomendasikan",ROW($6:$1005)-5),170))="",INDEX(checklistPesertaKemenkeu!$J$6:$J$1005,SMALL(IF(checklistPesertaKemenkeu!$AY$6:$AY$1005="Direkomendasikan",ROW($6:$1005)-5),170))=""),"",IF(AND(COUNTIF(INDIRECT("K_"&amp;MATCH(INDEX(checklistPesertaKemenkeu!$J$6:$J$1005,SMALL(IF(checklistPesertaKemenkeu!$AY$6:$AY$1005="Direkomendasikan",ROW($6:$1005)-5),170)),BidangList,0)),INDEX(checklistPesertaKemenkeu!$P$6:$P$1005,SMALL(IF(checklistPesertaKemenkeu!$AY$6:$AY$1005="Direkomendasikan",ROW($6:$1005)-5),170)))&gt;0,COUNTIF(INDIRECT("'KERTAS KERJA'!K"&amp;(SMALL(IF(checklistPesertaKemenkeu!$AY$6:$AY$1005="Direkomendasikan",ROW($6:$1005)-5),170)+5)&amp;":O"&amp;(SMALL(IF(checklistPesertaKemenkeu!$AY$6:$AY$1005="Direkomendasikan",ROW($6:$1005)-5),170)+5)),INDEX(checklistPesertaKemenkeu!$P$6:$P$1005,SMALL(IF(checklistPesertaKemenkeu!$AY$6:$AY$1005="Direkomendasikan",ROW($6:$1005)-5),170)))=1),IFERROR(VLOOKUP(INDEX(checklistPesertaKemenkeu!$P$6:$P$1005,SMALL(IF(checklistPesertaKemenkeu!$AY$6:$AY$1005="Direkomendasikan",ROW($6:$1005)-5),170)),KotaKode,2,0),"-"),"")),"")</f>
        <v/>
      </c>
    </row>
    <row r="172" spans="1:12" ht="15" customHeight="1" x14ac:dyDescent="0.2">
      <c r="A172" t="str">
        <f t="shared" si="2"/>
        <v/>
      </c>
      <c r="B172" t="str">
        <v/>
      </c>
      <c r="C172" s="40" t="str">
        <f t="array" ref="C172">IFERROR(INDEX(checklistPesertaKemenkeu!$F$6:$F$1005,SMALL(IF(checklistPesertaKemenkeu!$AY$6:$AY$1005="Direkomendasikan",ROW($6:$1005)-5),171)),"")</f>
        <v/>
      </c>
      <c r="D172" t="str">
        <f t="array" ref="D172">IFERROR(INDEX(checklistPesertaKemenkeu!$G$6:$G$1005,SMALL(IF(checklistPesertaKemenkeu!$AY$6:$AY$1005="Direkomendasikan",ROW($6:$1005)-5),171)),"")</f>
        <v/>
      </c>
      <c r="E172" t="str">
        <f t="array" ref="E172">IFERROR(INDEX(checklistPesertaKemenkeu!$H$6:$H$1005,SMALL(IF(checklistPesertaKemenkeu!$AY$6:$AY$1005="Direkomendasikan",ROW($6:$1005)-5),171)),"")</f>
        <v/>
      </c>
      <c r="F172" t="str">
        <f t="array" ref="F172">IFERROR(INDEX(checklistPesertaKemenkeu!$I$6:$I$1005,SMALL(IF(checklistPesertaKemenkeu!$AY$6:$AY$1005="Direkomendasikan",ROW($6:$1005)-5),171)),"")</f>
        <v/>
      </c>
      <c r="G172" t="str">
        <f t="array" ref="G172">IFERROR(INDEX(checklistPesertaKemenkeu!$J$6:$J$1005,SMALL(IF(checklistPesertaKemenkeu!$AY$6:$AY$1005="Direkomendasikan",ROW($6:$1005)-5),171)),"")</f>
        <v/>
      </c>
      <c r="H172" t="str">
        <f t="array" aca="1" ref="H172" ca="1">IFERROR(IF(OR(INDEX(checklistPesertaKemenkeu!$L$6:$L$1005,SMALL(IF(checklistPesertaKemenkeu!$AY$6:$AY$1005="Direkomendasikan",ROW($6:$1005)-5),171))="",INDEX(checklistPesertaKemenkeu!$J$6:$J$1005,SMALL(IF(checklistPesertaKemenkeu!$AY$6:$AY$1005="Direkomendasikan",ROW($6:$1005)-5),171))=""),"",IF(AND(COUNTIF(INDIRECT("K_"&amp;MATCH(INDEX(checklistPesertaKemenkeu!$J$6:$J$1005,SMALL(IF(checklistPesertaKemenkeu!$AY$6:$AY$1005="Direkomendasikan",ROW($6:$1005)-5),171)),BidangList,0)),INDEX(checklistPesertaKemenkeu!$L$6:$L$1005,SMALL(IF(checklistPesertaKemenkeu!$AY$6:$AY$1005="Direkomendasikan",ROW($6:$1005)-5),171)))&gt;0,COUNTIF(INDIRECT("'KERTAS KERJA'!K"&amp;(SMALL(IF(checklistPesertaKemenkeu!$AY$6:$AY$1005="Direkomendasikan",ROW($6:$1005)-5),171)+5)&amp;":O"&amp;(SMALL(IF(checklistPesertaKemenkeu!$AY$6:$AY$1005="Direkomendasikan",ROW($6:$1005)-5),171)+5)),INDEX(checklistPesertaKemenkeu!$L$6:$L$1005,SMALL(IF(checklistPesertaKemenkeu!$AY$6:$AY$1005="Direkomendasikan",ROW($6:$1005)-5),171)))=1),IFERROR(VLOOKUP(INDEX(checklistPesertaKemenkeu!$L$6:$L$1005,SMALL(IF(checklistPesertaKemenkeu!$AY$6:$AY$1005="Direkomendasikan",ROW($6:$1005)-5),171)),KotaKode,2,0),"-"),"")),"")</f>
        <v/>
      </c>
      <c r="I172" t="str">
        <f t="array" aca="1" ref="I172" ca="1">IFERROR(IF(OR(INDEX(checklistPesertaKemenkeu!$M$6:$M$1005,SMALL(IF(checklistPesertaKemenkeu!$AY$6:$AY$1005="Direkomendasikan",ROW($6:$1005)-5),171))="",INDEX(checklistPesertaKemenkeu!$J$6:$J$1005,SMALL(IF(checklistPesertaKemenkeu!$AY$6:$AY$1005="Direkomendasikan",ROW($6:$1005)-5),171))=""),"",IF(AND(COUNTIF(INDIRECT("K_"&amp;MATCH(INDEX(checklistPesertaKemenkeu!$J$6:$J$1005,SMALL(IF(checklistPesertaKemenkeu!$AY$6:$AY$1005="Direkomendasikan",ROW($6:$1005)-5),171)),BidangList,0)),INDEX(checklistPesertaKemenkeu!$M$6:$M$1005,SMALL(IF(checklistPesertaKemenkeu!$AY$6:$AY$1005="Direkomendasikan",ROW($6:$1005)-5),171)))&gt;0,COUNTIF(INDIRECT("'KERTAS KERJA'!K"&amp;(SMALL(IF(checklistPesertaKemenkeu!$AY$6:$AY$1005="Direkomendasikan",ROW($6:$1005)-5),171)+5)&amp;":O"&amp;(SMALL(IF(checklistPesertaKemenkeu!$AY$6:$AY$1005="Direkomendasikan",ROW($6:$1005)-5),171)+5)),INDEX(checklistPesertaKemenkeu!$M$6:$M$1005,SMALL(IF(checklistPesertaKemenkeu!$AY$6:$AY$1005="Direkomendasikan",ROW($6:$1005)-5),171)))=1),IFERROR(VLOOKUP(INDEX(checklistPesertaKemenkeu!$M$6:$M$1005,SMALL(IF(checklistPesertaKemenkeu!$AY$6:$AY$1005="Direkomendasikan",ROW($6:$1005)-5),171)),KotaKode,2,0),"-"),"")),"")</f>
        <v/>
      </c>
      <c r="J172" t="str">
        <f t="array" aca="1" ref="J172" ca="1">IFERROR(IF(OR(INDEX(checklistPesertaKemenkeu!$N$6:$N$1005,SMALL(IF(checklistPesertaKemenkeu!$AY$6:$AY$1005="Direkomendasikan",ROW($6:$1005)-5),171))="",INDEX(checklistPesertaKemenkeu!$J$6:$J$1005,SMALL(IF(checklistPesertaKemenkeu!$AY$6:$AY$1005="Direkomendasikan",ROW($6:$1005)-5),171))=""),"",IF(AND(COUNTIF(INDIRECT("K_"&amp;MATCH(INDEX(checklistPesertaKemenkeu!$J$6:$J$1005,SMALL(IF(checklistPesertaKemenkeu!$AY$6:$AY$1005="Direkomendasikan",ROW($6:$1005)-5),171)),BidangList,0)),INDEX(checklistPesertaKemenkeu!$N$6:$N$1005,SMALL(IF(checklistPesertaKemenkeu!$AY$6:$AY$1005="Direkomendasikan",ROW($6:$1005)-5),171)))&gt;0,COUNTIF(INDIRECT("'KERTAS KERJA'!K"&amp;(SMALL(IF(checklistPesertaKemenkeu!$AY$6:$AY$1005="Direkomendasikan",ROW($6:$1005)-5),171)+5)&amp;":O"&amp;(SMALL(IF(checklistPesertaKemenkeu!$AY$6:$AY$1005="Direkomendasikan",ROW($6:$1005)-5),171)+5)),INDEX(checklistPesertaKemenkeu!$N$6:$N$1005,SMALL(IF(checklistPesertaKemenkeu!$AY$6:$AY$1005="Direkomendasikan",ROW($6:$1005)-5),171)))=1),IFERROR(VLOOKUP(INDEX(checklistPesertaKemenkeu!$N$6:$N$1005,SMALL(IF(checklistPesertaKemenkeu!$AY$6:$AY$1005="Direkomendasikan",ROW($6:$1005)-5),171)),KotaKode,2,0),"-"),"")),"")</f>
        <v/>
      </c>
      <c r="K172" t="str">
        <f t="array" aca="1" ref="K172" ca="1">IFERROR(IF(OR(INDEX(checklistPesertaKemenkeu!$O$6:$O$1005,SMALL(IF(checklistPesertaKemenkeu!$AY$6:$AY$1005="Direkomendasikan",ROW($6:$1005)-5),171))="",INDEX(checklistPesertaKemenkeu!$J$6:$J$1005,SMALL(IF(checklistPesertaKemenkeu!$AY$6:$AY$1005="Direkomendasikan",ROW($6:$1005)-5),171))=""),"",IF(AND(COUNTIF(INDIRECT("K_"&amp;MATCH(INDEX(checklistPesertaKemenkeu!$J$6:$J$1005,SMALL(IF(checklistPesertaKemenkeu!$AY$6:$AY$1005="Direkomendasikan",ROW($6:$1005)-5),171)),BidangList,0)),INDEX(checklistPesertaKemenkeu!$O$6:$O$1005,SMALL(IF(checklistPesertaKemenkeu!$AY$6:$AY$1005="Direkomendasikan",ROW($6:$1005)-5),171)))&gt;0,COUNTIF(INDIRECT("'KERTAS KERJA'!K"&amp;(SMALL(IF(checklistPesertaKemenkeu!$AY$6:$AY$1005="Direkomendasikan",ROW($6:$1005)-5),171)+5)&amp;":O"&amp;(SMALL(IF(checklistPesertaKemenkeu!$AY$6:$AY$1005="Direkomendasikan",ROW($6:$1005)-5),171)+5)),INDEX(checklistPesertaKemenkeu!$O$6:$O$1005,SMALL(IF(checklistPesertaKemenkeu!$AY$6:$AY$1005="Direkomendasikan",ROW($6:$1005)-5),171)))=1),IFERROR(VLOOKUP(INDEX(checklistPesertaKemenkeu!$O$6:$O$1005,SMALL(IF(checklistPesertaKemenkeu!$AY$6:$AY$1005="Direkomendasikan",ROW($6:$1005)-5),171)),KotaKode,2,0),"-"),"")),"")</f>
        <v/>
      </c>
      <c r="L172" t="str">
        <f t="array" aca="1" ref="L172" ca="1">IFERROR(IF(OR(INDEX(checklistPesertaKemenkeu!$P$6:$P$1005,SMALL(IF(checklistPesertaKemenkeu!$AY$6:$AY$1005="Direkomendasikan",ROW($6:$1005)-5),171))="",INDEX(checklistPesertaKemenkeu!$J$6:$J$1005,SMALL(IF(checklistPesertaKemenkeu!$AY$6:$AY$1005="Direkomendasikan",ROW($6:$1005)-5),171))=""),"",IF(AND(COUNTIF(INDIRECT("K_"&amp;MATCH(INDEX(checklistPesertaKemenkeu!$J$6:$J$1005,SMALL(IF(checklistPesertaKemenkeu!$AY$6:$AY$1005="Direkomendasikan",ROW($6:$1005)-5),171)),BidangList,0)),INDEX(checklistPesertaKemenkeu!$P$6:$P$1005,SMALL(IF(checklistPesertaKemenkeu!$AY$6:$AY$1005="Direkomendasikan",ROW($6:$1005)-5),171)))&gt;0,COUNTIF(INDIRECT("'KERTAS KERJA'!K"&amp;(SMALL(IF(checklistPesertaKemenkeu!$AY$6:$AY$1005="Direkomendasikan",ROW($6:$1005)-5),171)+5)&amp;":O"&amp;(SMALL(IF(checklistPesertaKemenkeu!$AY$6:$AY$1005="Direkomendasikan",ROW($6:$1005)-5),171)+5)),INDEX(checklistPesertaKemenkeu!$P$6:$P$1005,SMALL(IF(checklistPesertaKemenkeu!$AY$6:$AY$1005="Direkomendasikan",ROW($6:$1005)-5),171)))=1),IFERROR(VLOOKUP(INDEX(checklistPesertaKemenkeu!$P$6:$P$1005,SMALL(IF(checklistPesertaKemenkeu!$AY$6:$AY$1005="Direkomendasikan",ROW($6:$1005)-5),171)),KotaKode,2,0),"-"),"")),"")</f>
        <v/>
      </c>
    </row>
    <row r="173" spans="1:12" ht="15" customHeight="1" x14ac:dyDescent="0.2">
      <c r="A173" t="str">
        <f t="shared" si="2"/>
        <v/>
      </c>
      <c r="B173" t="str">
        <v/>
      </c>
      <c r="C173" s="40" t="str">
        <f t="array" ref="C173">IFERROR(INDEX(checklistPesertaKemenkeu!$F$6:$F$1005,SMALL(IF(checklistPesertaKemenkeu!$AY$6:$AY$1005="Direkomendasikan",ROW($6:$1005)-5),172)),"")</f>
        <v/>
      </c>
      <c r="D173" t="str">
        <f t="array" ref="D173">IFERROR(INDEX(checklistPesertaKemenkeu!$G$6:$G$1005,SMALL(IF(checklistPesertaKemenkeu!$AY$6:$AY$1005="Direkomendasikan",ROW($6:$1005)-5),172)),"")</f>
        <v/>
      </c>
      <c r="E173" t="str">
        <f t="array" ref="E173">IFERROR(INDEX(checklistPesertaKemenkeu!$H$6:$H$1005,SMALL(IF(checklistPesertaKemenkeu!$AY$6:$AY$1005="Direkomendasikan",ROW($6:$1005)-5),172)),"")</f>
        <v/>
      </c>
      <c r="F173" t="str">
        <f t="array" ref="F173">IFERROR(INDEX(checklistPesertaKemenkeu!$I$6:$I$1005,SMALL(IF(checklistPesertaKemenkeu!$AY$6:$AY$1005="Direkomendasikan",ROW($6:$1005)-5),172)),"")</f>
        <v/>
      </c>
      <c r="G173" t="str">
        <f t="array" ref="G173">IFERROR(INDEX(checklistPesertaKemenkeu!$J$6:$J$1005,SMALL(IF(checklistPesertaKemenkeu!$AY$6:$AY$1005="Direkomendasikan",ROW($6:$1005)-5),172)),"")</f>
        <v/>
      </c>
      <c r="H173" t="str">
        <f t="array" aca="1" ref="H173" ca="1">IFERROR(IF(OR(INDEX(checklistPesertaKemenkeu!$L$6:$L$1005,SMALL(IF(checklistPesertaKemenkeu!$AY$6:$AY$1005="Direkomendasikan",ROW($6:$1005)-5),172))="",INDEX(checklistPesertaKemenkeu!$J$6:$J$1005,SMALL(IF(checklistPesertaKemenkeu!$AY$6:$AY$1005="Direkomendasikan",ROW($6:$1005)-5),172))=""),"",IF(AND(COUNTIF(INDIRECT("K_"&amp;MATCH(INDEX(checklistPesertaKemenkeu!$J$6:$J$1005,SMALL(IF(checklistPesertaKemenkeu!$AY$6:$AY$1005="Direkomendasikan",ROW($6:$1005)-5),172)),BidangList,0)),INDEX(checklistPesertaKemenkeu!$L$6:$L$1005,SMALL(IF(checklistPesertaKemenkeu!$AY$6:$AY$1005="Direkomendasikan",ROW($6:$1005)-5),172)))&gt;0,COUNTIF(INDIRECT("'KERTAS KERJA'!K"&amp;(SMALL(IF(checklistPesertaKemenkeu!$AY$6:$AY$1005="Direkomendasikan",ROW($6:$1005)-5),172)+5)&amp;":O"&amp;(SMALL(IF(checklistPesertaKemenkeu!$AY$6:$AY$1005="Direkomendasikan",ROW($6:$1005)-5),172)+5)),INDEX(checklistPesertaKemenkeu!$L$6:$L$1005,SMALL(IF(checklistPesertaKemenkeu!$AY$6:$AY$1005="Direkomendasikan",ROW($6:$1005)-5),172)))=1),IFERROR(VLOOKUP(INDEX(checklistPesertaKemenkeu!$L$6:$L$1005,SMALL(IF(checklistPesertaKemenkeu!$AY$6:$AY$1005="Direkomendasikan",ROW($6:$1005)-5),172)),KotaKode,2,0),"-"),"")),"")</f>
        <v/>
      </c>
      <c r="I173" t="str">
        <f t="array" aca="1" ref="I173" ca="1">IFERROR(IF(OR(INDEX(checklistPesertaKemenkeu!$M$6:$M$1005,SMALL(IF(checklistPesertaKemenkeu!$AY$6:$AY$1005="Direkomendasikan",ROW($6:$1005)-5),172))="",INDEX(checklistPesertaKemenkeu!$J$6:$J$1005,SMALL(IF(checklistPesertaKemenkeu!$AY$6:$AY$1005="Direkomendasikan",ROW($6:$1005)-5),172))=""),"",IF(AND(COUNTIF(INDIRECT("K_"&amp;MATCH(INDEX(checklistPesertaKemenkeu!$J$6:$J$1005,SMALL(IF(checklistPesertaKemenkeu!$AY$6:$AY$1005="Direkomendasikan",ROW($6:$1005)-5),172)),BidangList,0)),INDEX(checklistPesertaKemenkeu!$M$6:$M$1005,SMALL(IF(checklistPesertaKemenkeu!$AY$6:$AY$1005="Direkomendasikan",ROW($6:$1005)-5),172)))&gt;0,COUNTIF(INDIRECT("'KERTAS KERJA'!K"&amp;(SMALL(IF(checklistPesertaKemenkeu!$AY$6:$AY$1005="Direkomendasikan",ROW($6:$1005)-5),172)+5)&amp;":O"&amp;(SMALL(IF(checklistPesertaKemenkeu!$AY$6:$AY$1005="Direkomendasikan",ROW($6:$1005)-5),172)+5)),INDEX(checklistPesertaKemenkeu!$M$6:$M$1005,SMALL(IF(checklistPesertaKemenkeu!$AY$6:$AY$1005="Direkomendasikan",ROW($6:$1005)-5),172)))=1),IFERROR(VLOOKUP(INDEX(checklistPesertaKemenkeu!$M$6:$M$1005,SMALL(IF(checklistPesertaKemenkeu!$AY$6:$AY$1005="Direkomendasikan",ROW($6:$1005)-5),172)),KotaKode,2,0),"-"),"")),"")</f>
        <v/>
      </c>
      <c r="J173" t="str">
        <f t="array" aca="1" ref="J173" ca="1">IFERROR(IF(OR(INDEX(checklistPesertaKemenkeu!$N$6:$N$1005,SMALL(IF(checklistPesertaKemenkeu!$AY$6:$AY$1005="Direkomendasikan",ROW($6:$1005)-5),172))="",INDEX(checklistPesertaKemenkeu!$J$6:$J$1005,SMALL(IF(checklistPesertaKemenkeu!$AY$6:$AY$1005="Direkomendasikan",ROW($6:$1005)-5),172))=""),"",IF(AND(COUNTIF(INDIRECT("K_"&amp;MATCH(INDEX(checklistPesertaKemenkeu!$J$6:$J$1005,SMALL(IF(checklistPesertaKemenkeu!$AY$6:$AY$1005="Direkomendasikan",ROW($6:$1005)-5),172)),BidangList,0)),INDEX(checklistPesertaKemenkeu!$N$6:$N$1005,SMALL(IF(checklistPesertaKemenkeu!$AY$6:$AY$1005="Direkomendasikan",ROW($6:$1005)-5),172)))&gt;0,COUNTIF(INDIRECT("'KERTAS KERJA'!K"&amp;(SMALL(IF(checklistPesertaKemenkeu!$AY$6:$AY$1005="Direkomendasikan",ROW($6:$1005)-5),172)+5)&amp;":O"&amp;(SMALL(IF(checklistPesertaKemenkeu!$AY$6:$AY$1005="Direkomendasikan",ROW($6:$1005)-5),172)+5)),INDEX(checklistPesertaKemenkeu!$N$6:$N$1005,SMALL(IF(checklistPesertaKemenkeu!$AY$6:$AY$1005="Direkomendasikan",ROW($6:$1005)-5),172)))=1),IFERROR(VLOOKUP(INDEX(checklistPesertaKemenkeu!$N$6:$N$1005,SMALL(IF(checklistPesertaKemenkeu!$AY$6:$AY$1005="Direkomendasikan",ROW($6:$1005)-5),172)),KotaKode,2,0),"-"),"")),"")</f>
        <v/>
      </c>
      <c r="K173" t="str">
        <f t="array" aca="1" ref="K173" ca="1">IFERROR(IF(OR(INDEX(checklistPesertaKemenkeu!$O$6:$O$1005,SMALL(IF(checklistPesertaKemenkeu!$AY$6:$AY$1005="Direkomendasikan",ROW($6:$1005)-5),172))="",INDEX(checklistPesertaKemenkeu!$J$6:$J$1005,SMALL(IF(checklistPesertaKemenkeu!$AY$6:$AY$1005="Direkomendasikan",ROW($6:$1005)-5),172))=""),"",IF(AND(COUNTIF(INDIRECT("K_"&amp;MATCH(INDEX(checklistPesertaKemenkeu!$J$6:$J$1005,SMALL(IF(checklistPesertaKemenkeu!$AY$6:$AY$1005="Direkomendasikan",ROW($6:$1005)-5),172)),BidangList,0)),INDEX(checklistPesertaKemenkeu!$O$6:$O$1005,SMALL(IF(checklistPesertaKemenkeu!$AY$6:$AY$1005="Direkomendasikan",ROW($6:$1005)-5),172)))&gt;0,COUNTIF(INDIRECT("'KERTAS KERJA'!K"&amp;(SMALL(IF(checklistPesertaKemenkeu!$AY$6:$AY$1005="Direkomendasikan",ROW($6:$1005)-5),172)+5)&amp;":O"&amp;(SMALL(IF(checklistPesertaKemenkeu!$AY$6:$AY$1005="Direkomendasikan",ROW($6:$1005)-5),172)+5)),INDEX(checklistPesertaKemenkeu!$O$6:$O$1005,SMALL(IF(checklistPesertaKemenkeu!$AY$6:$AY$1005="Direkomendasikan",ROW($6:$1005)-5),172)))=1),IFERROR(VLOOKUP(INDEX(checklistPesertaKemenkeu!$O$6:$O$1005,SMALL(IF(checklistPesertaKemenkeu!$AY$6:$AY$1005="Direkomendasikan",ROW($6:$1005)-5),172)),KotaKode,2,0),"-"),"")),"")</f>
        <v/>
      </c>
      <c r="L173" t="str">
        <f t="array" aca="1" ref="L173" ca="1">IFERROR(IF(OR(INDEX(checklistPesertaKemenkeu!$P$6:$P$1005,SMALL(IF(checklistPesertaKemenkeu!$AY$6:$AY$1005="Direkomendasikan",ROW($6:$1005)-5),172))="",INDEX(checklistPesertaKemenkeu!$J$6:$J$1005,SMALL(IF(checklistPesertaKemenkeu!$AY$6:$AY$1005="Direkomendasikan",ROW($6:$1005)-5),172))=""),"",IF(AND(COUNTIF(INDIRECT("K_"&amp;MATCH(INDEX(checklistPesertaKemenkeu!$J$6:$J$1005,SMALL(IF(checklistPesertaKemenkeu!$AY$6:$AY$1005="Direkomendasikan",ROW($6:$1005)-5),172)),BidangList,0)),INDEX(checklistPesertaKemenkeu!$P$6:$P$1005,SMALL(IF(checklistPesertaKemenkeu!$AY$6:$AY$1005="Direkomendasikan",ROW($6:$1005)-5),172)))&gt;0,COUNTIF(INDIRECT("'KERTAS KERJA'!K"&amp;(SMALL(IF(checklistPesertaKemenkeu!$AY$6:$AY$1005="Direkomendasikan",ROW($6:$1005)-5),172)+5)&amp;":O"&amp;(SMALL(IF(checklistPesertaKemenkeu!$AY$6:$AY$1005="Direkomendasikan",ROW($6:$1005)-5),172)+5)),INDEX(checklistPesertaKemenkeu!$P$6:$P$1005,SMALL(IF(checklistPesertaKemenkeu!$AY$6:$AY$1005="Direkomendasikan",ROW($6:$1005)-5),172)))=1),IFERROR(VLOOKUP(INDEX(checklistPesertaKemenkeu!$P$6:$P$1005,SMALL(IF(checklistPesertaKemenkeu!$AY$6:$AY$1005="Direkomendasikan",ROW($6:$1005)-5),172)),KotaKode,2,0),"-"),"")),"")</f>
        <v/>
      </c>
    </row>
    <row r="174" spans="1:12" ht="15" customHeight="1" x14ac:dyDescent="0.2">
      <c r="A174" t="str">
        <f t="shared" si="2"/>
        <v/>
      </c>
      <c r="B174" t="str">
        <v/>
      </c>
      <c r="C174" s="40" t="str">
        <f t="array" ref="C174">IFERROR(INDEX(checklistPesertaKemenkeu!$F$6:$F$1005,SMALL(IF(checklistPesertaKemenkeu!$AY$6:$AY$1005="Direkomendasikan",ROW($6:$1005)-5),173)),"")</f>
        <v/>
      </c>
      <c r="D174" t="str">
        <f t="array" ref="D174">IFERROR(INDEX(checklistPesertaKemenkeu!$G$6:$G$1005,SMALL(IF(checklistPesertaKemenkeu!$AY$6:$AY$1005="Direkomendasikan",ROW($6:$1005)-5),173)),"")</f>
        <v/>
      </c>
      <c r="E174" t="str">
        <f t="array" ref="E174">IFERROR(INDEX(checklistPesertaKemenkeu!$H$6:$H$1005,SMALL(IF(checklistPesertaKemenkeu!$AY$6:$AY$1005="Direkomendasikan",ROW($6:$1005)-5),173)),"")</f>
        <v/>
      </c>
      <c r="F174" t="str">
        <f t="array" ref="F174">IFERROR(INDEX(checklistPesertaKemenkeu!$I$6:$I$1005,SMALL(IF(checklistPesertaKemenkeu!$AY$6:$AY$1005="Direkomendasikan",ROW($6:$1005)-5),173)),"")</f>
        <v/>
      </c>
      <c r="G174" t="str">
        <f t="array" ref="G174">IFERROR(INDEX(checklistPesertaKemenkeu!$J$6:$J$1005,SMALL(IF(checklistPesertaKemenkeu!$AY$6:$AY$1005="Direkomendasikan",ROW($6:$1005)-5),173)),"")</f>
        <v/>
      </c>
      <c r="H174" t="str">
        <f t="array" aca="1" ref="H174" ca="1">IFERROR(IF(OR(INDEX(checklistPesertaKemenkeu!$L$6:$L$1005,SMALL(IF(checklistPesertaKemenkeu!$AY$6:$AY$1005="Direkomendasikan",ROW($6:$1005)-5),173))="",INDEX(checklistPesertaKemenkeu!$J$6:$J$1005,SMALL(IF(checklistPesertaKemenkeu!$AY$6:$AY$1005="Direkomendasikan",ROW($6:$1005)-5),173))=""),"",IF(AND(COUNTIF(INDIRECT("K_"&amp;MATCH(INDEX(checklistPesertaKemenkeu!$J$6:$J$1005,SMALL(IF(checklistPesertaKemenkeu!$AY$6:$AY$1005="Direkomendasikan",ROW($6:$1005)-5),173)),BidangList,0)),INDEX(checklistPesertaKemenkeu!$L$6:$L$1005,SMALL(IF(checklistPesertaKemenkeu!$AY$6:$AY$1005="Direkomendasikan",ROW($6:$1005)-5),173)))&gt;0,COUNTIF(INDIRECT("'KERTAS KERJA'!K"&amp;(SMALL(IF(checklistPesertaKemenkeu!$AY$6:$AY$1005="Direkomendasikan",ROW($6:$1005)-5),173)+5)&amp;":O"&amp;(SMALL(IF(checklistPesertaKemenkeu!$AY$6:$AY$1005="Direkomendasikan",ROW($6:$1005)-5),173)+5)),INDEX(checklistPesertaKemenkeu!$L$6:$L$1005,SMALL(IF(checklistPesertaKemenkeu!$AY$6:$AY$1005="Direkomendasikan",ROW($6:$1005)-5),173)))=1),IFERROR(VLOOKUP(INDEX(checklistPesertaKemenkeu!$L$6:$L$1005,SMALL(IF(checklistPesertaKemenkeu!$AY$6:$AY$1005="Direkomendasikan",ROW($6:$1005)-5),173)),KotaKode,2,0),"-"),"")),"")</f>
        <v/>
      </c>
      <c r="I174" t="str">
        <f t="array" aca="1" ref="I174" ca="1">IFERROR(IF(OR(INDEX(checklistPesertaKemenkeu!$M$6:$M$1005,SMALL(IF(checklistPesertaKemenkeu!$AY$6:$AY$1005="Direkomendasikan",ROW($6:$1005)-5),173))="",INDEX(checklistPesertaKemenkeu!$J$6:$J$1005,SMALL(IF(checklistPesertaKemenkeu!$AY$6:$AY$1005="Direkomendasikan",ROW($6:$1005)-5),173))=""),"",IF(AND(COUNTIF(INDIRECT("K_"&amp;MATCH(INDEX(checklistPesertaKemenkeu!$J$6:$J$1005,SMALL(IF(checklistPesertaKemenkeu!$AY$6:$AY$1005="Direkomendasikan",ROW($6:$1005)-5),173)),BidangList,0)),INDEX(checklistPesertaKemenkeu!$M$6:$M$1005,SMALL(IF(checklistPesertaKemenkeu!$AY$6:$AY$1005="Direkomendasikan",ROW($6:$1005)-5),173)))&gt;0,COUNTIF(INDIRECT("'KERTAS KERJA'!K"&amp;(SMALL(IF(checklistPesertaKemenkeu!$AY$6:$AY$1005="Direkomendasikan",ROW($6:$1005)-5),173)+5)&amp;":O"&amp;(SMALL(IF(checklistPesertaKemenkeu!$AY$6:$AY$1005="Direkomendasikan",ROW($6:$1005)-5),173)+5)),INDEX(checklistPesertaKemenkeu!$M$6:$M$1005,SMALL(IF(checklistPesertaKemenkeu!$AY$6:$AY$1005="Direkomendasikan",ROW($6:$1005)-5),173)))=1),IFERROR(VLOOKUP(INDEX(checklistPesertaKemenkeu!$M$6:$M$1005,SMALL(IF(checklistPesertaKemenkeu!$AY$6:$AY$1005="Direkomendasikan",ROW($6:$1005)-5),173)),KotaKode,2,0),"-"),"")),"")</f>
        <v/>
      </c>
      <c r="J174" t="str">
        <f t="array" aca="1" ref="J174" ca="1">IFERROR(IF(OR(INDEX(checklistPesertaKemenkeu!$N$6:$N$1005,SMALL(IF(checklistPesertaKemenkeu!$AY$6:$AY$1005="Direkomendasikan",ROW($6:$1005)-5),173))="",INDEX(checklistPesertaKemenkeu!$J$6:$J$1005,SMALL(IF(checklistPesertaKemenkeu!$AY$6:$AY$1005="Direkomendasikan",ROW($6:$1005)-5),173))=""),"",IF(AND(COUNTIF(INDIRECT("K_"&amp;MATCH(INDEX(checklistPesertaKemenkeu!$J$6:$J$1005,SMALL(IF(checklistPesertaKemenkeu!$AY$6:$AY$1005="Direkomendasikan",ROW($6:$1005)-5),173)),BidangList,0)),INDEX(checklistPesertaKemenkeu!$N$6:$N$1005,SMALL(IF(checklistPesertaKemenkeu!$AY$6:$AY$1005="Direkomendasikan",ROW($6:$1005)-5),173)))&gt;0,COUNTIF(INDIRECT("'KERTAS KERJA'!K"&amp;(SMALL(IF(checklistPesertaKemenkeu!$AY$6:$AY$1005="Direkomendasikan",ROW($6:$1005)-5),173)+5)&amp;":O"&amp;(SMALL(IF(checklistPesertaKemenkeu!$AY$6:$AY$1005="Direkomendasikan",ROW($6:$1005)-5),173)+5)),INDEX(checklistPesertaKemenkeu!$N$6:$N$1005,SMALL(IF(checklistPesertaKemenkeu!$AY$6:$AY$1005="Direkomendasikan",ROW($6:$1005)-5),173)))=1),IFERROR(VLOOKUP(INDEX(checklistPesertaKemenkeu!$N$6:$N$1005,SMALL(IF(checklistPesertaKemenkeu!$AY$6:$AY$1005="Direkomendasikan",ROW($6:$1005)-5),173)),KotaKode,2,0),"-"),"")),"")</f>
        <v/>
      </c>
      <c r="K174" t="str">
        <f t="array" aca="1" ref="K174" ca="1">IFERROR(IF(OR(INDEX(checklistPesertaKemenkeu!$O$6:$O$1005,SMALL(IF(checklistPesertaKemenkeu!$AY$6:$AY$1005="Direkomendasikan",ROW($6:$1005)-5),173))="",INDEX(checklistPesertaKemenkeu!$J$6:$J$1005,SMALL(IF(checklistPesertaKemenkeu!$AY$6:$AY$1005="Direkomendasikan",ROW($6:$1005)-5),173))=""),"",IF(AND(COUNTIF(INDIRECT("K_"&amp;MATCH(INDEX(checklistPesertaKemenkeu!$J$6:$J$1005,SMALL(IF(checklistPesertaKemenkeu!$AY$6:$AY$1005="Direkomendasikan",ROW($6:$1005)-5),173)),BidangList,0)),INDEX(checklistPesertaKemenkeu!$O$6:$O$1005,SMALL(IF(checklistPesertaKemenkeu!$AY$6:$AY$1005="Direkomendasikan",ROW($6:$1005)-5),173)))&gt;0,COUNTIF(INDIRECT("'KERTAS KERJA'!K"&amp;(SMALL(IF(checklistPesertaKemenkeu!$AY$6:$AY$1005="Direkomendasikan",ROW($6:$1005)-5),173)+5)&amp;":O"&amp;(SMALL(IF(checklistPesertaKemenkeu!$AY$6:$AY$1005="Direkomendasikan",ROW($6:$1005)-5),173)+5)),INDEX(checklistPesertaKemenkeu!$O$6:$O$1005,SMALL(IF(checklistPesertaKemenkeu!$AY$6:$AY$1005="Direkomendasikan",ROW($6:$1005)-5),173)))=1),IFERROR(VLOOKUP(INDEX(checklistPesertaKemenkeu!$O$6:$O$1005,SMALL(IF(checklistPesertaKemenkeu!$AY$6:$AY$1005="Direkomendasikan",ROW($6:$1005)-5),173)),KotaKode,2,0),"-"),"")),"")</f>
        <v/>
      </c>
      <c r="L174" t="str">
        <f t="array" aca="1" ref="L174" ca="1">IFERROR(IF(OR(INDEX(checklistPesertaKemenkeu!$P$6:$P$1005,SMALL(IF(checklistPesertaKemenkeu!$AY$6:$AY$1005="Direkomendasikan",ROW($6:$1005)-5),173))="",INDEX(checklistPesertaKemenkeu!$J$6:$J$1005,SMALL(IF(checklistPesertaKemenkeu!$AY$6:$AY$1005="Direkomendasikan",ROW($6:$1005)-5),173))=""),"",IF(AND(COUNTIF(INDIRECT("K_"&amp;MATCH(INDEX(checklistPesertaKemenkeu!$J$6:$J$1005,SMALL(IF(checklistPesertaKemenkeu!$AY$6:$AY$1005="Direkomendasikan",ROW($6:$1005)-5),173)),BidangList,0)),INDEX(checklistPesertaKemenkeu!$P$6:$P$1005,SMALL(IF(checklistPesertaKemenkeu!$AY$6:$AY$1005="Direkomendasikan",ROW($6:$1005)-5),173)))&gt;0,COUNTIF(INDIRECT("'KERTAS KERJA'!K"&amp;(SMALL(IF(checklistPesertaKemenkeu!$AY$6:$AY$1005="Direkomendasikan",ROW($6:$1005)-5),173)+5)&amp;":O"&amp;(SMALL(IF(checklistPesertaKemenkeu!$AY$6:$AY$1005="Direkomendasikan",ROW($6:$1005)-5),173)+5)),INDEX(checklistPesertaKemenkeu!$P$6:$P$1005,SMALL(IF(checklistPesertaKemenkeu!$AY$6:$AY$1005="Direkomendasikan",ROW($6:$1005)-5),173)))=1),IFERROR(VLOOKUP(INDEX(checklistPesertaKemenkeu!$P$6:$P$1005,SMALL(IF(checklistPesertaKemenkeu!$AY$6:$AY$1005="Direkomendasikan",ROW($6:$1005)-5),173)),KotaKode,2,0),"-"),"")),"")</f>
        <v/>
      </c>
    </row>
    <row r="175" spans="1:12" ht="15" customHeight="1" x14ac:dyDescent="0.2">
      <c r="A175" t="str">
        <f t="shared" si="2"/>
        <v/>
      </c>
      <c r="B175" t="str">
        <v/>
      </c>
      <c r="C175" s="40" t="str">
        <f t="array" ref="C175">IFERROR(INDEX(checklistPesertaKemenkeu!$F$6:$F$1005,SMALL(IF(checklistPesertaKemenkeu!$AY$6:$AY$1005="Direkomendasikan",ROW($6:$1005)-5),174)),"")</f>
        <v/>
      </c>
      <c r="D175" t="str">
        <f t="array" ref="D175">IFERROR(INDEX(checklistPesertaKemenkeu!$G$6:$G$1005,SMALL(IF(checklistPesertaKemenkeu!$AY$6:$AY$1005="Direkomendasikan",ROW($6:$1005)-5),174)),"")</f>
        <v/>
      </c>
      <c r="E175" t="str">
        <f t="array" ref="E175">IFERROR(INDEX(checklistPesertaKemenkeu!$H$6:$H$1005,SMALL(IF(checklistPesertaKemenkeu!$AY$6:$AY$1005="Direkomendasikan",ROW($6:$1005)-5),174)),"")</f>
        <v/>
      </c>
      <c r="F175" t="str">
        <f t="array" ref="F175">IFERROR(INDEX(checklistPesertaKemenkeu!$I$6:$I$1005,SMALL(IF(checklistPesertaKemenkeu!$AY$6:$AY$1005="Direkomendasikan",ROW($6:$1005)-5),174)),"")</f>
        <v/>
      </c>
      <c r="G175" t="str">
        <f t="array" ref="G175">IFERROR(INDEX(checklistPesertaKemenkeu!$J$6:$J$1005,SMALL(IF(checklistPesertaKemenkeu!$AY$6:$AY$1005="Direkomendasikan",ROW($6:$1005)-5),174)),"")</f>
        <v/>
      </c>
      <c r="H175" t="str">
        <f t="array" aca="1" ref="H175" ca="1">IFERROR(IF(OR(INDEX(checklistPesertaKemenkeu!$L$6:$L$1005,SMALL(IF(checklistPesertaKemenkeu!$AY$6:$AY$1005="Direkomendasikan",ROW($6:$1005)-5),174))="",INDEX(checklistPesertaKemenkeu!$J$6:$J$1005,SMALL(IF(checklistPesertaKemenkeu!$AY$6:$AY$1005="Direkomendasikan",ROW($6:$1005)-5),174))=""),"",IF(AND(COUNTIF(INDIRECT("K_"&amp;MATCH(INDEX(checklistPesertaKemenkeu!$J$6:$J$1005,SMALL(IF(checklistPesertaKemenkeu!$AY$6:$AY$1005="Direkomendasikan",ROW($6:$1005)-5),174)),BidangList,0)),INDEX(checklistPesertaKemenkeu!$L$6:$L$1005,SMALL(IF(checklistPesertaKemenkeu!$AY$6:$AY$1005="Direkomendasikan",ROW($6:$1005)-5),174)))&gt;0,COUNTIF(INDIRECT("'KERTAS KERJA'!K"&amp;(SMALL(IF(checklistPesertaKemenkeu!$AY$6:$AY$1005="Direkomendasikan",ROW($6:$1005)-5),174)+5)&amp;":O"&amp;(SMALL(IF(checklistPesertaKemenkeu!$AY$6:$AY$1005="Direkomendasikan",ROW($6:$1005)-5),174)+5)),INDEX(checklistPesertaKemenkeu!$L$6:$L$1005,SMALL(IF(checklistPesertaKemenkeu!$AY$6:$AY$1005="Direkomendasikan",ROW($6:$1005)-5),174)))=1),IFERROR(VLOOKUP(INDEX(checklistPesertaKemenkeu!$L$6:$L$1005,SMALL(IF(checklistPesertaKemenkeu!$AY$6:$AY$1005="Direkomendasikan",ROW($6:$1005)-5),174)),KotaKode,2,0),"-"),"")),"")</f>
        <v/>
      </c>
      <c r="I175" t="str">
        <f t="array" aca="1" ref="I175" ca="1">IFERROR(IF(OR(INDEX(checklistPesertaKemenkeu!$M$6:$M$1005,SMALL(IF(checklistPesertaKemenkeu!$AY$6:$AY$1005="Direkomendasikan",ROW($6:$1005)-5),174))="",INDEX(checklistPesertaKemenkeu!$J$6:$J$1005,SMALL(IF(checklistPesertaKemenkeu!$AY$6:$AY$1005="Direkomendasikan",ROW($6:$1005)-5),174))=""),"",IF(AND(COUNTIF(INDIRECT("K_"&amp;MATCH(INDEX(checklistPesertaKemenkeu!$J$6:$J$1005,SMALL(IF(checklistPesertaKemenkeu!$AY$6:$AY$1005="Direkomendasikan",ROW($6:$1005)-5),174)),BidangList,0)),INDEX(checklistPesertaKemenkeu!$M$6:$M$1005,SMALL(IF(checklistPesertaKemenkeu!$AY$6:$AY$1005="Direkomendasikan",ROW($6:$1005)-5),174)))&gt;0,COUNTIF(INDIRECT("'KERTAS KERJA'!K"&amp;(SMALL(IF(checklistPesertaKemenkeu!$AY$6:$AY$1005="Direkomendasikan",ROW($6:$1005)-5),174)+5)&amp;":O"&amp;(SMALL(IF(checklistPesertaKemenkeu!$AY$6:$AY$1005="Direkomendasikan",ROW($6:$1005)-5),174)+5)),INDEX(checklistPesertaKemenkeu!$M$6:$M$1005,SMALL(IF(checklistPesertaKemenkeu!$AY$6:$AY$1005="Direkomendasikan",ROW($6:$1005)-5),174)))=1),IFERROR(VLOOKUP(INDEX(checklistPesertaKemenkeu!$M$6:$M$1005,SMALL(IF(checklistPesertaKemenkeu!$AY$6:$AY$1005="Direkomendasikan",ROW($6:$1005)-5),174)),KotaKode,2,0),"-"),"")),"")</f>
        <v/>
      </c>
      <c r="J175" t="str">
        <f t="array" aca="1" ref="J175" ca="1">IFERROR(IF(OR(INDEX(checklistPesertaKemenkeu!$N$6:$N$1005,SMALL(IF(checklistPesertaKemenkeu!$AY$6:$AY$1005="Direkomendasikan",ROW($6:$1005)-5),174))="",INDEX(checklistPesertaKemenkeu!$J$6:$J$1005,SMALL(IF(checklistPesertaKemenkeu!$AY$6:$AY$1005="Direkomendasikan",ROW($6:$1005)-5),174))=""),"",IF(AND(COUNTIF(INDIRECT("K_"&amp;MATCH(INDEX(checklistPesertaKemenkeu!$J$6:$J$1005,SMALL(IF(checklistPesertaKemenkeu!$AY$6:$AY$1005="Direkomendasikan",ROW($6:$1005)-5),174)),BidangList,0)),INDEX(checklistPesertaKemenkeu!$N$6:$N$1005,SMALL(IF(checklistPesertaKemenkeu!$AY$6:$AY$1005="Direkomendasikan",ROW($6:$1005)-5),174)))&gt;0,COUNTIF(INDIRECT("'KERTAS KERJA'!K"&amp;(SMALL(IF(checklistPesertaKemenkeu!$AY$6:$AY$1005="Direkomendasikan",ROW($6:$1005)-5),174)+5)&amp;":O"&amp;(SMALL(IF(checklistPesertaKemenkeu!$AY$6:$AY$1005="Direkomendasikan",ROW($6:$1005)-5),174)+5)),INDEX(checklistPesertaKemenkeu!$N$6:$N$1005,SMALL(IF(checklistPesertaKemenkeu!$AY$6:$AY$1005="Direkomendasikan",ROW($6:$1005)-5),174)))=1),IFERROR(VLOOKUP(INDEX(checklistPesertaKemenkeu!$N$6:$N$1005,SMALL(IF(checklistPesertaKemenkeu!$AY$6:$AY$1005="Direkomendasikan",ROW($6:$1005)-5),174)),KotaKode,2,0),"-"),"")),"")</f>
        <v/>
      </c>
      <c r="K175" t="str">
        <f t="array" aca="1" ref="K175" ca="1">IFERROR(IF(OR(INDEX(checklistPesertaKemenkeu!$O$6:$O$1005,SMALL(IF(checklistPesertaKemenkeu!$AY$6:$AY$1005="Direkomendasikan",ROW($6:$1005)-5),174))="",INDEX(checklistPesertaKemenkeu!$J$6:$J$1005,SMALL(IF(checklistPesertaKemenkeu!$AY$6:$AY$1005="Direkomendasikan",ROW($6:$1005)-5),174))=""),"",IF(AND(COUNTIF(INDIRECT("K_"&amp;MATCH(INDEX(checklistPesertaKemenkeu!$J$6:$J$1005,SMALL(IF(checklistPesertaKemenkeu!$AY$6:$AY$1005="Direkomendasikan",ROW($6:$1005)-5),174)),BidangList,0)),INDEX(checklistPesertaKemenkeu!$O$6:$O$1005,SMALL(IF(checklistPesertaKemenkeu!$AY$6:$AY$1005="Direkomendasikan",ROW($6:$1005)-5),174)))&gt;0,COUNTIF(INDIRECT("'KERTAS KERJA'!K"&amp;(SMALL(IF(checklistPesertaKemenkeu!$AY$6:$AY$1005="Direkomendasikan",ROW($6:$1005)-5),174)+5)&amp;":O"&amp;(SMALL(IF(checklistPesertaKemenkeu!$AY$6:$AY$1005="Direkomendasikan",ROW($6:$1005)-5),174)+5)),INDEX(checklistPesertaKemenkeu!$O$6:$O$1005,SMALL(IF(checklistPesertaKemenkeu!$AY$6:$AY$1005="Direkomendasikan",ROW($6:$1005)-5),174)))=1),IFERROR(VLOOKUP(INDEX(checklistPesertaKemenkeu!$O$6:$O$1005,SMALL(IF(checklistPesertaKemenkeu!$AY$6:$AY$1005="Direkomendasikan",ROW($6:$1005)-5),174)),KotaKode,2,0),"-"),"")),"")</f>
        <v/>
      </c>
      <c r="L175" t="str">
        <f t="array" aca="1" ref="L175" ca="1">IFERROR(IF(OR(INDEX(checklistPesertaKemenkeu!$P$6:$P$1005,SMALL(IF(checklistPesertaKemenkeu!$AY$6:$AY$1005="Direkomendasikan",ROW($6:$1005)-5),174))="",INDEX(checklistPesertaKemenkeu!$J$6:$J$1005,SMALL(IF(checklistPesertaKemenkeu!$AY$6:$AY$1005="Direkomendasikan",ROW($6:$1005)-5),174))=""),"",IF(AND(COUNTIF(INDIRECT("K_"&amp;MATCH(INDEX(checklistPesertaKemenkeu!$J$6:$J$1005,SMALL(IF(checklistPesertaKemenkeu!$AY$6:$AY$1005="Direkomendasikan",ROW($6:$1005)-5),174)),BidangList,0)),INDEX(checklistPesertaKemenkeu!$P$6:$P$1005,SMALL(IF(checklistPesertaKemenkeu!$AY$6:$AY$1005="Direkomendasikan",ROW($6:$1005)-5),174)))&gt;0,COUNTIF(INDIRECT("'KERTAS KERJA'!K"&amp;(SMALL(IF(checklistPesertaKemenkeu!$AY$6:$AY$1005="Direkomendasikan",ROW($6:$1005)-5),174)+5)&amp;":O"&amp;(SMALL(IF(checklistPesertaKemenkeu!$AY$6:$AY$1005="Direkomendasikan",ROW($6:$1005)-5),174)+5)),INDEX(checklistPesertaKemenkeu!$P$6:$P$1005,SMALL(IF(checklistPesertaKemenkeu!$AY$6:$AY$1005="Direkomendasikan",ROW($6:$1005)-5),174)))=1),IFERROR(VLOOKUP(INDEX(checklistPesertaKemenkeu!$P$6:$P$1005,SMALL(IF(checklistPesertaKemenkeu!$AY$6:$AY$1005="Direkomendasikan",ROW($6:$1005)-5),174)),KotaKode,2,0),"-"),"")),"")</f>
        <v/>
      </c>
    </row>
    <row r="176" spans="1:12" ht="15" customHeight="1" x14ac:dyDescent="0.2">
      <c r="A176" t="str">
        <f t="shared" si="2"/>
        <v/>
      </c>
      <c r="B176" t="str">
        <v/>
      </c>
      <c r="C176" s="40" t="str">
        <f t="array" ref="C176">IFERROR(INDEX(checklistPesertaKemenkeu!$F$6:$F$1005,SMALL(IF(checklistPesertaKemenkeu!$AY$6:$AY$1005="Direkomendasikan",ROW($6:$1005)-5),175)),"")</f>
        <v/>
      </c>
      <c r="D176" t="str">
        <f t="array" ref="D176">IFERROR(INDEX(checklistPesertaKemenkeu!$G$6:$G$1005,SMALL(IF(checklistPesertaKemenkeu!$AY$6:$AY$1005="Direkomendasikan",ROW($6:$1005)-5),175)),"")</f>
        <v/>
      </c>
      <c r="E176" t="str">
        <f t="array" ref="E176">IFERROR(INDEX(checklistPesertaKemenkeu!$H$6:$H$1005,SMALL(IF(checklistPesertaKemenkeu!$AY$6:$AY$1005="Direkomendasikan",ROW($6:$1005)-5),175)),"")</f>
        <v/>
      </c>
      <c r="F176" t="str">
        <f t="array" ref="F176">IFERROR(INDEX(checklistPesertaKemenkeu!$I$6:$I$1005,SMALL(IF(checklistPesertaKemenkeu!$AY$6:$AY$1005="Direkomendasikan",ROW($6:$1005)-5),175)),"")</f>
        <v/>
      </c>
      <c r="G176" t="str">
        <f t="array" ref="G176">IFERROR(INDEX(checklistPesertaKemenkeu!$J$6:$J$1005,SMALL(IF(checklistPesertaKemenkeu!$AY$6:$AY$1005="Direkomendasikan",ROW($6:$1005)-5),175)),"")</f>
        <v/>
      </c>
      <c r="H176" t="str">
        <f t="array" aca="1" ref="H176" ca="1">IFERROR(IF(OR(INDEX(checklistPesertaKemenkeu!$L$6:$L$1005,SMALL(IF(checklistPesertaKemenkeu!$AY$6:$AY$1005="Direkomendasikan",ROW($6:$1005)-5),175))="",INDEX(checklistPesertaKemenkeu!$J$6:$J$1005,SMALL(IF(checklistPesertaKemenkeu!$AY$6:$AY$1005="Direkomendasikan",ROW($6:$1005)-5),175))=""),"",IF(AND(COUNTIF(INDIRECT("K_"&amp;MATCH(INDEX(checklistPesertaKemenkeu!$J$6:$J$1005,SMALL(IF(checklistPesertaKemenkeu!$AY$6:$AY$1005="Direkomendasikan",ROW($6:$1005)-5),175)),BidangList,0)),INDEX(checklistPesertaKemenkeu!$L$6:$L$1005,SMALL(IF(checklistPesertaKemenkeu!$AY$6:$AY$1005="Direkomendasikan",ROW($6:$1005)-5),175)))&gt;0,COUNTIF(INDIRECT("'KERTAS KERJA'!K"&amp;(SMALL(IF(checklistPesertaKemenkeu!$AY$6:$AY$1005="Direkomendasikan",ROW($6:$1005)-5),175)+5)&amp;":O"&amp;(SMALL(IF(checklistPesertaKemenkeu!$AY$6:$AY$1005="Direkomendasikan",ROW($6:$1005)-5),175)+5)),INDEX(checklistPesertaKemenkeu!$L$6:$L$1005,SMALL(IF(checklistPesertaKemenkeu!$AY$6:$AY$1005="Direkomendasikan",ROW($6:$1005)-5),175)))=1),IFERROR(VLOOKUP(INDEX(checklistPesertaKemenkeu!$L$6:$L$1005,SMALL(IF(checklistPesertaKemenkeu!$AY$6:$AY$1005="Direkomendasikan",ROW($6:$1005)-5),175)),KotaKode,2,0),"-"),"")),"")</f>
        <v/>
      </c>
      <c r="I176" t="str">
        <f t="array" aca="1" ref="I176" ca="1">IFERROR(IF(OR(INDEX(checklistPesertaKemenkeu!$M$6:$M$1005,SMALL(IF(checklistPesertaKemenkeu!$AY$6:$AY$1005="Direkomendasikan",ROW($6:$1005)-5),175))="",INDEX(checklistPesertaKemenkeu!$J$6:$J$1005,SMALL(IF(checklistPesertaKemenkeu!$AY$6:$AY$1005="Direkomendasikan",ROW($6:$1005)-5),175))=""),"",IF(AND(COUNTIF(INDIRECT("K_"&amp;MATCH(INDEX(checklistPesertaKemenkeu!$J$6:$J$1005,SMALL(IF(checklistPesertaKemenkeu!$AY$6:$AY$1005="Direkomendasikan",ROW($6:$1005)-5),175)),BidangList,0)),INDEX(checklistPesertaKemenkeu!$M$6:$M$1005,SMALL(IF(checklistPesertaKemenkeu!$AY$6:$AY$1005="Direkomendasikan",ROW($6:$1005)-5),175)))&gt;0,COUNTIF(INDIRECT("'KERTAS KERJA'!K"&amp;(SMALL(IF(checklistPesertaKemenkeu!$AY$6:$AY$1005="Direkomendasikan",ROW($6:$1005)-5),175)+5)&amp;":O"&amp;(SMALL(IF(checklistPesertaKemenkeu!$AY$6:$AY$1005="Direkomendasikan",ROW($6:$1005)-5),175)+5)),INDEX(checklistPesertaKemenkeu!$M$6:$M$1005,SMALL(IF(checklistPesertaKemenkeu!$AY$6:$AY$1005="Direkomendasikan",ROW($6:$1005)-5),175)))=1),IFERROR(VLOOKUP(INDEX(checklistPesertaKemenkeu!$M$6:$M$1005,SMALL(IF(checklistPesertaKemenkeu!$AY$6:$AY$1005="Direkomendasikan",ROW($6:$1005)-5),175)),KotaKode,2,0),"-"),"")),"")</f>
        <v/>
      </c>
      <c r="J176" t="str">
        <f t="array" aca="1" ref="J176" ca="1">IFERROR(IF(OR(INDEX(checklistPesertaKemenkeu!$N$6:$N$1005,SMALL(IF(checklistPesertaKemenkeu!$AY$6:$AY$1005="Direkomendasikan",ROW($6:$1005)-5),175))="",INDEX(checklistPesertaKemenkeu!$J$6:$J$1005,SMALL(IF(checklistPesertaKemenkeu!$AY$6:$AY$1005="Direkomendasikan",ROW($6:$1005)-5),175))=""),"",IF(AND(COUNTIF(INDIRECT("K_"&amp;MATCH(INDEX(checklistPesertaKemenkeu!$J$6:$J$1005,SMALL(IF(checklistPesertaKemenkeu!$AY$6:$AY$1005="Direkomendasikan",ROW($6:$1005)-5),175)),BidangList,0)),INDEX(checklistPesertaKemenkeu!$N$6:$N$1005,SMALL(IF(checklistPesertaKemenkeu!$AY$6:$AY$1005="Direkomendasikan",ROW($6:$1005)-5),175)))&gt;0,COUNTIF(INDIRECT("'KERTAS KERJA'!K"&amp;(SMALL(IF(checklistPesertaKemenkeu!$AY$6:$AY$1005="Direkomendasikan",ROW($6:$1005)-5),175)+5)&amp;":O"&amp;(SMALL(IF(checklistPesertaKemenkeu!$AY$6:$AY$1005="Direkomendasikan",ROW($6:$1005)-5),175)+5)),INDEX(checklistPesertaKemenkeu!$N$6:$N$1005,SMALL(IF(checklistPesertaKemenkeu!$AY$6:$AY$1005="Direkomendasikan",ROW($6:$1005)-5),175)))=1),IFERROR(VLOOKUP(INDEX(checklistPesertaKemenkeu!$N$6:$N$1005,SMALL(IF(checklistPesertaKemenkeu!$AY$6:$AY$1005="Direkomendasikan",ROW($6:$1005)-5),175)),KotaKode,2,0),"-"),"")),"")</f>
        <v/>
      </c>
      <c r="K176" t="str">
        <f t="array" aca="1" ref="K176" ca="1">IFERROR(IF(OR(INDEX(checklistPesertaKemenkeu!$O$6:$O$1005,SMALL(IF(checklistPesertaKemenkeu!$AY$6:$AY$1005="Direkomendasikan",ROW($6:$1005)-5),175))="",INDEX(checklistPesertaKemenkeu!$J$6:$J$1005,SMALL(IF(checklistPesertaKemenkeu!$AY$6:$AY$1005="Direkomendasikan",ROW($6:$1005)-5),175))=""),"",IF(AND(COUNTIF(INDIRECT("K_"&amp;MATCH(INDEX(checklistPesertaKemenkeu!$J$6:$J$1005,SMALL(IF(checklistPesertaKemenkeu!$AY$6:$AY$1005="Direkomendasikan",ROW($6:$1005)-5),175)),BidangList,0)),INDEX(checklistPesertaKemenkeu!$O$6:$O$1005,SMALL(IF(checklistPesertaKemenkeu!$AY$6:$AY$1005="Direkomendasikan",ROW($6:$1005)-5),175)))&gt;0,COUNTIF(INDIRECT("'KERTAS KERJA'!K"&amp;(SMALL(IF(checklistPesertaKemenkeu!$AY$6:$AY$1005="Direkomendasikan",ROW($6:$1005)-5),175)+5)&amp;":O"&amp;(SMALL(IF(checklistPesertaKemenkeu!$AY$6:$AY$1005="Direkomendasikan",ROW($6:$1005)-5),175)+5)),INDEX(checklistPesertaKemenkeu!$O$6:$O$1005,SMALL(IF(checklistPesertaKemenkeu!$AY$6:$AY$1005="Direkomendasikan",ROW($6:$1005)-5),175)))=1),IFERROR(VLOOKUP(INDEX(checklistPesertaKemenkeu!$O$6:$O$1005,SMALL(IF(checklistPesertaKemenkeu!$AY$6:$AY$1005="Direkomendasikan",ROW($6:$1005)-5),175)),KotaKode,2,0),"-"),"")),"")</f>
        <v/>
      </c>
      <c r="L176" t="str">
        <f t="array" aca="1" ref="L176" ca="1">IFERROR(IF(OR(INDEX(checklistPesertaKemenkeu!$P$6:$P$1005,SMALL(IF(checklistPesertaKemenkeu!$AY$6:$AY$1005="Direkomendasikan",ROW($6:$1005)-5),175))="",INDEX(checklistPesertaKemenkeu!$J$6:$J$1005,SMALL(IF(checklistPesertaKemenkeu!$AY$6:$AY$1005="Direkomendasikan",ROW($6:$1005)-5),175))=""),"",IF(AND(COUNTIF(INDIRECT("K_"&amp;MATCH(INDEX(checklistPesertaKemenkeu!$J$6:$J$1005,SMALL(IF(checklistPesertaKemenkeu!$AY$6:$AY$1005="Direkomendasikan",ROW($6:$1005)-5),175)),BidangList,0)),INDEX(checklistPesertaKemenkeu!$P$6:$P$1005,SMALL(IF(checklistPesertaKemenkeu!$AY$6:$AY$1005="Direkomendasikan",ROW($6:$1005)-5),175)))&gt;0,COUNTIF(INDIRECT("'KERTAS KERJA'!K"&amp;(SMALL(IF(checklistPesertaKemenkeu!$AY$6:$AY$1005="Direkomendasikan",ROW($6:$1005)-5),175)+5)&amp;":O"&amp;(SMALL(IF(checklistPesertaKemenkeu!$AY$6:$AY$1005="Direkomendasikan",ROW($6:$1005)-5),175)+5)),INDEX(checklistPesertaKemenkeu!$P$6:$P$1005,SMALL(IF(checklistPesertaKemenkeu!$AY$6:$AY$1005="Direkomendasikan",ROW($6:$1005)-5),175)))=1),IFERROR(VLOOKUP(INDEX(checklistPesertaKemenkeu!$P$6:$P$1005,SMALL(IF(checklistPesertaKemenkeu!$AY$6:$AY$1005="Direkomendasikan",ROW($6:$1005)-5),175)),KotaKode,2,0),"-"),"")),"")</f>
        <v/>
      </c>
    </row>
    <row r="177" spans="1:12" ht="15" customHeight="1" x14ac:dyDescent="0.2">
      <c r="A177" t="str">
        <f t="shared" si="2"/>
        <v/>
      </c>
      <c r="B177" t="str">
        <v/>
      </c>
      <c r="C177" s="40" t="str">
        <f t="array" ref="C177">IFERROR(INDEX(checklistPesertaKemenkeu!$F$6:$F$1005,SMALL(IF(checklistPesertaKemenkeu!$AY$6:$AY$1005="Direkomendasikan",ROW($6:$1005)-5),176)),"")</f>
        <v/>
      </c>
      <c r="D177" t="str">
        <f t="array" ref="D177">IFERROR(INDEX(checklistPesertaKemenkeu!$G$6:$G$1005,SMALL(IF(checklistPesertaKemenkeu!$AY$6:$AY$1005="Direkomendasikan",ROW($6:$1005)-5),176)),"")</f>
        <v/>
      </c>
      <c r="E177" t="str">
        <f t="array" ref="E177">IFERROR(INDEX(checklistPesertaKemenkeu!$H$6:$H$1005,SMALL(IF(checklistPesertaKemenkeu!$AY$6:$AY$1005="Direkomendasikan",ROW($6:$1005)-5),176)),"")</f>
        <v/>
      </c>
      <c r="F177" t="str">
        <f t="array" ref="F177">IFERROR(INDEX(checklistPesertaKemenkeu!$I$6:$I$1005,SMALL(IF(checklistPesertaKemenkeu!$AY$6:$AY$1005="Direkomendasikan",ROW($6:$1005)-5),176)),"")</f>
        <v/>
      </c>
      <c r="G177" t="str">
        <f t="array" ref="G177">IFERROR(INDEX(checklistPesertaKemenkeu!$J$6:$J$1005,SMALL(IF(checklistPesertaKemenkeu!$AY$6:$AY$1005="Direkomendasikan",ROW($6:$1005)-5),176)),"")</f>
        <v/>
      </c>
      <c r="H177" t="str">
        <f t="array" aca="1" ref="H177" ca="1">IFERROR(IF(OR(INDEX(checklistPesertaKemenkeu!$L$6:$L$1005,SMALL(IF(checklistPesertaKemenkeu!$AY$6:$AY$1005="Direkomendasikan",ROW($6:$1005)-5),176))="",INDEX(checklistPesertaKemenkeu!$J$6:$J$1005,SMALL(IF(checklistPesertaKemenkeu!$AY$6:$AY$1005="Direkomendasikan",ROW($6:$1005)-5),176))=""),"",IF(AND(COUNTIF(INDIRECT("K_"&amp;MATCH(INDEX(checklistPesertaKemenkeu!$J$6:$J$1005,SMALL(IF(checklistPesertaKemenkeu!$AY$6:$AY$1005="Direkomendasikan",ROW($6:$1005)-5),176)),BidangList,0)),INDEX(checklistPesertaKemenkeu!$L$6:$L$1005,SMALL(IF(checklistPesertaKemenkeu!$AY$6:$AY$1005="Direkomendasikan",ROW($6:$1005)-5),176)))&gt;0,COUNTIF(INDIRECT("'KERTAS KERJA'!K"&amp;(SMALL(IF(checklistPesertaKemenkeu!$AY$6:$AY$1005="Direkomendasikan",ROW($6:$1005)-5),176)+5)&amp;":O"&amp;(SMALL(IF(checklistPesertaKemenkeu!$AY$6:$AY$1005="Direkomendasikan",ROW($6:$1005)-5),176)+5)),INDEX(checklistPesertaKemenkeu!$L$6:$L$1005,SMALL(IF(checklistPesertaKemenkeu!$AY$6:$AY$1005="Direkomendasikan",ROW($6:$1005)-5),176)))=1),IFERROR(VLOOKUP(INDEX(checklistPesertaKemenkeu!$L$6:$L$1005,SMALL(IF(checklistPesertaKemenkeu!$AY$6:$AY$1005="Direkomendasikan",ROW($6:$1005)-5),176)),KotaKode,2,0),"-"),"")),"")</f>
        <v/>
      </c>
      <c r="I177" t="str">
        <f t="array" aca="1" ref="I177" ca="1">IFERROR(IF(OR(INDEX(checklistPesertaKemenkeu!$M$6:$M$1005,SMALL(IF(checklistPesertaKemenkeu!$AY$6:$AY$1005="Direkomendasikan",ROW($6:$1005)-5),176))="",INDEX(checklistPesertaKemenkeu!$J$6:$J$1005,SMALL(IF(checklistPesertaKemenkeu!$AY$6:$AY$1005="Direkomendasikan",ROW($6:$1005)-5),176))=""),"",IF(AND(COUNTIF(INDIRECT("K_"&amp;MATCH(INDEX(checklistPesertaKemenkeu!$J$6:$J$1005,SMALL(IF(checklistPesertaKemenkeu!$AY$6:$AY$1005="Direkomendasikan",ROW($6:$1005)-5),176)),BidangList,0)),INDEX(checklistPesertaKemenkeu!$M$6:$M$1005,SMALL(IF(checklistPesertaKemenkeu!$AY$6:$AY$1005="Direkomendasikan",ROW($6:$1005)-5),176)))&gt;0,COUNTIF(INDIRECT("'KERTAS KERJA'!K"&amp;(SMALL(IF(checklistPesertaKemenkeu!$AY$6:$AY$1005="Direkomendasikan",ROW($6:$1005)-5),176)+5)&amp;":O"&amp;(SMALL(IF(checklistPesertaKemenkeu!$AY$6:$AY$1005="Direkomendasikan",ROW($6:$1005)-5),176)+5)),INDEX(checklistPesertaKemenkeu!$M$6:$M$1005,SMALL(IF(checklistPesertaKemenkeu!$AY$6:$AY$1005="Direkomendasikan",ROW($6:$1005)-5),176)))=1),IFERROR(VLOOKUP(INDEX(checklistPesertaKemenkeu!$M$6:$M$1005,SMALL(IF(checklistPesertaKemenkeu!$AY$6:$AY$1005="Direkomendasikan",ROW($6:$1005)-5),176)),KotaKode,2,0),"-"),"")),"")</f>
        <v/>
      </c>
      <c r="J177" t="str">
        <f t="array" aca="1" ref="J177" ca="1">IFERROR(IF(OR(INDEX(checklistPesertaKemenkeu!$N$6:$N$1005,SMALL(IF(checklistPesertaKemenkeu!$AY$6:$AY$1005="Direkomendasikan",ROW($6:$1005)-5),176))="",INDEX(checklistPesertaKemenkeu!$J$6:$J$1005,SMALL(IF(checklistPesertaKemenkeu!$AY$6:$AY$1005="Direkomendasikan",ROW($6:$1005)-5),176))=""),"",IF(AND(COUNTIF(INDIRECT("K_"&amp;MATCH(INDEX(checklistPesertaKemenkeu!$J$6:$J$1005,SMALL(IF(checklistPesertaKemenkeu!$AY$6:$AY$1005="Direkomendasikan",ROW($6:$1005)-5),176)),BidangList,0)),INDEX(checklistPesertaKemenkeu!$N$6:$N$1005,SMALL(IF(checklistPesertaKemenkeu!$AY$6:$AY$1005="Direkomendasikan",ROW($6:$1005)-5),176)))&gt;0,COUNTIF(INDIRECT("'KERTAS KERJA'!K"&amp;(SMALL(IF(checklistPesertaKemenkeu!$AY$6:$AY$1005="Direkomendasikan",ROW($6:$1005)-5),176)+5)&amp;":O"&amp;(SMALL(IF(checklistPesertaKemenkeu!$AY$6:$AY$1005="Direkomendasikan",ROW($6:$1005)-5),176)+5)),INDEX(checklistPesertaKemenkeu!$N$6:$N$1005,SMALL(IF(checklistPesertaKemenkeu!$AY$6:$AY$1005="Direkomendasikan",ROW($6:$1005)-5),176)))=1),IFERROR(VLOOKUP(INDEX(checklistPesertaKemenkeu!$N$6:$N$1005,SMALL(IF(checklistPesertaKemenkeu!$AY$6:$AY$1005="Direkomendasikan",ROW($6:$1005)-5),176)),KotaKode,2,0),"-"),"")),"")</f>
        <v/>
      </c>
      <c r="K177" t="str">
        <f t="array" aca="1" ref="K177" ca="1">IFERROR(IF(OR(INDEX(checklistPesertaKemenkeu!$O$6:$O$1005,SMALL(IF(checklistPesertaKemenkeu!$AY$6:$AY$1005="Direkomendasikan",ROW($6:$1005)-5),176))="",INDEX(checklistPesertaKemenkeu!$J$6:$J$1005,SMALL(IF(checklistPesertaKemenkeu!$AY$6:$AY$1005="Direkomendasikan",ROW($6:$1005)-5),176))=""),"",IF(AND(COUNTIF(INDIRECT("K_"&amp;MATCH(INDEX(checklistPesertaKemenkeu!$J$6:$J$1005,SMALL(IF(checklistPesertaKemenkeu!$AY$6:$AY$1005="Direkomendasikan",ROW($6:$1005)-5),176)),BidangList,0)),INDEX(checklistPesertaKemenkeu!$O$6:$O$1005,SMALL(IF(checklistPesertaKemenkeu!$AY$6:$AY$1005="Direkomendasikan",ROW($6:$1005)-5),176)))&gt;0,COUNTIF(INDIRECT("'KERTAS KERJA'!K"&amp;(SMALL(IF(checklistPesertaKemenkeu!$AY$6:$AY$1005="Direkomendasikan",ROW($6:$1005)-5),176)+5)&amp;":O"&amp;(SMALL(IF(checklistPesertaKemenkeu!$AY$6:$AY$1005="Direkomendasikan",ROW($6:$1005)-5),176)+5)),INDEX(checklistPesertaKemenkeu!$O$6:$O$1005,SMALL(IF(checklistPesertaKemenkeu!$AY$6:$AY$1005="Direkomendasikan",ROW($6:$1005)-5),176)))=1),IFERROR(VLOOKUP(INDEX(checklistPesertaKemenkeu!$O$6:$O$1005,SMALL(IF(checklistPesertaKemenkeu!$AY$6:$AY$1005="Direkomendasikan",ROW($6:$1005)-5),176)),KotaKode,2,0),"-"),"")),"")</f>
        <v/>
      </c>
      <c r="L177" t="str">
        <f t="array" aca="1" ref="L177" ca="1">IFERROR(IF(OR(INDEX(checklistPesertaKemenkeu!$P$6:$P$1005,SMALL(IF(checklistPesertaKemenkeu!$AY$6:$AY$1005="Direkomendasikan",ROW($6:$1005)-5),176))="",INDEX(checklistPesertaKemenkeu!$J$6:$J$1005,SMALL(IF(checklistPesertaKemenkeu!$AY$6:$AY$1005="Direkomendasikan",ROW($6:$1005)-5),176))=""),"",IF(AND(COUNTIF(INDIRECT("K_"&amp;MATCH(INDEX(checklistPesertaKemenkeu!$J$6:$J$1005,SMALL(IF(checklistPesertaKemenkeu!$AY$6:$AY$1005="Direkomendasikan",ROW($6:$1005)-5),176)),BidangList,0)),INDEX(checklistPesertaKemenkeu!$P$6:$P$1005,SMALL(IF(checklistPesertaKemenkeu!$AY$6:$AY$1005="Direkomendasikan",ROW($6:$1005)-5),176)))&gt;0,COUNTIF(INDIRECT("'KERTAS KERJA'!K"&amp;(SMALL(IF(checklistPesertaKemenkeu!$AY$6:$AY$1005="Direkomendasikan",ROW($6:$1005)-5),176)+5)&amp;":O"&amp;(SMALL(IF(checklistPesertaKemenkeu!$AY$6:$AY$1005="Direkomendasikan",ROW($6:$1005)-5),176)+5)),INDEX(checklistPesertaKemenkeu!$P$6:$P$1005,SMALL(IF(checklistPesertaKemenkeu!$AY$6:$AY$1005="Direkomendasikan",ROW($6:$1005)-5),176)))=1),IFERROR(VLOOKUP(INDEX(checklistPesertaKemenkeu!$P$6:$P$1005,SMALL(IF(checklistPesertaKemenkeu!$AY$6:$AY$1005="Direkomendasikan",ROW($6:$1005)-5),176)),KotaKode,2,0),"-"),"")),"")</f>
        <v/>
      </c>
    </row>
    <row r="178" spans="1:12" ht="15" customHeight="1" x14ac:dyDescent="0.2">
      <c r="A178" t="str">
        <f t="shared" si="2"/>
        <v/>
      </c>
      <c r="B178" t="str">
        <v/>
      </c>
      <c r="C178" s="40" t="str">
        <f t="array" ref="C178">IFERROR(INDEX(checklistPesertaKemenkeu!$F$6:$F$1005,SMALL(IF(checklistPesertaKemenkeu!$AY$6:$AY$1005="Direkomendasikan",ROW($6:$1005)-5),177)),"")</f>
        <v/>
      </c>
      <c r="D178" t="str">
        <f t="array" ref="D178">IFERROR(INDEX(checklistPesertaKemenkeu!$G$6:$G$1005,SMALL(IF(checklistPesertaKemenkeu!$AY$6:$AY$1005="Direkomendasikan",ROW($6:$1005)-5),177)),"")</f>
        <v/>
      </c>
      <c r="E178" t="str">
        <f t="array" ref="E178">IFERROR(INDEX(checklistPesertaKemenkeu!$H$6:$H$1005,SMALL(IF(checklistPesertaKemenkeu!$AY$6:$AY$1005="Direkomendasikan",ROW($6:$1005)-5),177)),"")</f>
        <v/>
      </c>
      <c r="F178" t="str">
        <f t="array" ref="F178">IFERROR(INDEX(checklistPesertaKemenkeu!$I$6:$I$1005,SMALL(IF(checklistPesertaKemenkeu!$AY$6:$AY$1005="Direkomendasikan",ROW($6:$1005)-5),177)),"")</f>
        <v/>
      </c>
      <c r="G178" t="str">
        <f t="array" ref="G178">IFERROR(INDEX(checklistPesertaKemenkeu!$J$6:$J$1005,SMALL(IF(checklistPesertaKemenkeu!$AY$6:$AY$1005="Direkomendasikan",ROW($6:$1005)-5),177)),"")</f>
        <v/>
      </c>
      <c r="H178" t="str">
        <f t="array" aca="1" ref="H178" ca="1">IFERROR(IF(OR(INDEX(checklistPesertaKemenkeu!$L$6:$L$1005,SMALL(IF(checklistPesertaKemenkeu!$AY$6:$AY$1005="Direkomendasikan",ROW($6:$1005)-5),177))="",INDEX(checklistPesertaKemenkeu!$J$6:$J$1005,SMALL(IF(checklistPesertaKemenkeu!$AY$6:$AY$1005="Direkomendasikan",ROW($6:$1005)-5),177))=""),"",IF(AND(COUNTIF(INDIRECT("K_"&amp;MATCH(INDEX(checklistPesertaKemenkeu!$J$6:$J$1005,SMALL(IF(checklistPesertaKemenkeu!$AY$6:$AY$1005="Direkomendasikan",ROW($6:$1005)-5),177)),BidangList,0)),INDEX(checklistPesertaKemenkeu!$L$6:$L$1005,SMALL(IF(checklistPesertaKemenkeu!$AY$6:$AY$1005="Direkomendasikan",ROW($6:$1005)-5),177)))&gt;0,COUNTIF(INDIRECT("'KERTAS KERJA'!K"&amp;(SMALL(IF(checklistPesertaKemenkeu!$AY$6:$AY$1005="Direkomendasikan",ROW($6:$1005)-5),177)+5)&amp;":O"&amp;(SMALL(IF(checklistPesertaKemenkeu!$AY$6:$AY$1005="Direkomendasikan",ROW($6:$1005)-5),177)+5)),INDEX(checklistPesertaKemenkeu!$L$6:$L$1005,SMALL(IF(checklistPesertaKemenkeu!$AY$6:$AY$1005="Direkomendasikan",ROW($6:$1005)-5),177)))=1),IFERROR(VLOOKUP(INDEX(checklistPesertaKemenkeu!$L$6:$L$1005,SMALL(IF(checklistPesertaKemenkeu!$AY$6:$AY$1005="Direkomendasikan",ROW($6:$1005)-5),177)),KotaKode,2,0),"-"),"")),"")</f>
        <v/>
      </c>
      <c r="I178" t="str">
        <f t="array" aca="1" ref="I178" ca="1">IFERROR(IF(OR(INDEX(checklistPesertaKemenkeu!$M$6:$M$1005,SMALL(IF(checklistPesertaKemenkeu!$AY$6:$AY$1005="Direkomendasikan",ROW($6:$1005)-5),177))="",INDEX(checklistPesertaKemenkeu!$J$6:$J$1005,SMALL(IF(checklistPesertaKemenkeu!$AY$6:$AY$1005="Direkomendasikan",ROW($6:$1005)-5),177))=""),"",IF(AND(COUNTIF(INDIRECT("K_"&amp;MATCH(INDEX(checklistPesertaKemenkeu!$J$6:$J$1005,SMALL(IF(checklistPesertaKemenkeu!$AY$6:$AY$1005="Direkomendasikan",ROW($6:$1005)-5),177)),BidangList,0)),INDEX(checklistPesertaKemenkeu!$M$6:$M$1005,SMALL(IF(checklistPesertaKemenkeu!$AY$6:$AY$1005="Direkomendasikan",ROW($6:$1005)-5),177)))&gt;0,COUNTIF(INDIRECT("'KERTAS KERJA'!K"&amp;(SMALL(IF(checklistPesertaKemenkeu!$AY$6:$AY$1005="Direkomendasikan",ROW($6:$1005)-5),177)+5)&amp;":O"&amp;(SMALL(IF(checklistPesertaKemenkeu!$AY$6:$AY$1005="Direkomendasikan",ROW($6:$1005)-5),177)+5)),INDEX(checklistPesertaKemenkeu!$M$6:$M$1005,SMALL(IF(checklistPesertaKemenkeu!$AY$6:$AY$1005="Direkomendasikan",ROW($6:$1005)-5),177)))=1),IFERROR(VLOOKUP(INDEX(checklistPesertaKemenkeu!$M$6:$M$1005,SMALL(IF(checklistPesertaKemenkeu!$AY$6:$AY$1005="Direkomendasikan",ROW($6:$1005)-5),177)),KotaKode,2,0),"-"),"")),"")</f>
        <v/>
      </c>
      <c r="J178" t="str">
        <f t="array" aca="1" ref="J178" ca="1">IFERROR(IF(OR(INDEX(checklistPesertaKemenkeu!$N$6:$N$1005,SMALL(IF(checklistPesertaKemenkeu!$AY$6:$AY$1005="Direkomendasikan",ROW($6:$1005)-5),177))="",INDEX(checklistPesertaKemenkeu!$J$6:$J$1005,SMALL(IF(checklistPesertaKemenkeu!$AY$6:$AY$1005="Direkomendasikan",ROW($6:$1005)-5),177))=""),"",IF(AND(COUNTIF(INDIRECT("K_"&amp;MATCH(INDEX(checklistPesertaKemenkeu!$J$6:$J$1005,SMALL(IF(checklistPesertaKemenkeu!$AY$6:$AY$1005="Direkomendasikan",ROW($6:$1005)-5),177)),BidangList,0)),INDEX(checklistPesertaKemenkeu!$N$6:$N$1005,SMALL(IF(checklistPesertaKemenkeu!$AY$6:$AY$1005="Direkomendasikan",ROW($6:$1005)-5),177)))&gt;0,COUNTIF(INDIRECT("'KERTAS KERJA'!K"&amp;(SMALL(IF(checklistPesertaKemenkeu!$AY$6:$AY$1005="Direkomendasikan",ROW($6:$1005)-5),177)+5)&amp;":O"&amp;(SMALL(IF(checklistPesertaKemenkeu!$AY$6:$AY$1005="Direkomendasikan",ROW($6:$1005)-5),177)+5)),INDEX(checklistPesertaKemenkeu!$N$6:$N$1005,SMALL(IF(checklistPesertaKemenkeu!$AY$6:$AY$1005="Direkomendasikan",ROW($6:$1005)-5),177)))=1),IFERROR(VLOOKUP(INDEX(checklistPesertaKemenkeu!$N$6:$N$1005,SMALL(IF(checklistPesertaKemenkeu!$AY$6:$AY$1005="Direkomendasikan",ROW($6:$1005)-5),177)),KotaKode,2,0),"-"),"")),"")</f>
        <v/>
      </c>
      <c r="K178" t="str">
        <f t="array" aca="1" ref="K178" ca="1">IFERROR(IF(OR(INDEX(checklistPesertaKemenkeu!$O$6:$O$1005,SMALL(IF(checklistPesertaKemenkeu!$AY$6:$AY$1005="Direkomendasikan",ROW($6:$1005)-5),177))="",INDEX(checklistPesertaKemenkeu!$J$6:$J$1005,SMALL(IF(checklistPesertaKemenkeu!$AY$6:$AY$1005="Direkomendasikan",ROW($6:$1005)-5),177))=""),"",IF(AND(COUNTIF(INDIRECT("K_"&amp;MATCH(INDEX(checklistPesertaKemenkeu!$J$6:$J$1005,SMALL(IF(checklistPesertaKemenkeu!$AY$6:$AY$1005="Direkomendasikan",ROW($6:$1005)-5),177)),BidangList,0)),INDEX(checklistPesertaKemenkeu!$O$6:$O$1005,SMALL(IF(checklistPesertaKemenkeu!$AY$6:$AY$1005="Direkomendasikan",ROW($6:$1005)-5),177)))&gt;0,COUNTIF(INDIRECT("'KERTAS KERJA'!K"&amp;(SMALL(IF(checklistPesertaKemenkeu!$AY$6:$AY$1005="Direkomendasikan",ROW($6:$1005)-5),177)+5)&amp;":O"&amp;(SMALL(IF(checklistPesertaKemenkeu!$AY$6:$AY$1005="Direkomendasikan",ROW($6:$1005)-5),177)+5)),INDEX(checklistPesertaKemenkeu!$O$6:$O$1005,SMALL(IF(checklistPesertaKemenkeu!$AY$6:$AY$1005="Direkomendasikan",ROW($6:$1005)-5),177)))=1),IFERROR(VLOOKUP(INDEX(checklistPesertaKemenkeu!$O$6:$O$1005,SMALL(IF(checklistPesertaKemenkeu!$AY$6:$AY$1005="Direkomendasikan",ROW($6:$1005)-5),177)),KotaKode,2,0),"-"),"")),"")</f>
        <v/>
      </c>
      <c r="L178" t="str">
        <f t="array" aca="1" ref="L178" ca="1">IFERROR(IF(OR(INDEX(checklistPesertaKemenkeu!$P$6:$P$1005,SMALL(IF(checklistPesertaKemenkeu!$AY$6:$AY$1005="Direkomendasikan",ROW($6:$1005)-5),177))="",INDEX(checklistPesertaKemenkeu!$J$6:$J$1005,SMALL(IF(checklistPesertaKemenkeu!$AY$6:$AY$1005="Direkomendasikan",ROW($6:$1005)-5),177))=""),"",IF(AND(COUNTIF(INDIRECT("K_"&amp;MATCH(INDEX(checklistPesertaKemenkeu!$J$6:$J$1005,SMALL(IF(checklistPesertaKemenkeu!$AY$6:$AY$1005="Direkomendasikan",ROW($6:$1005)-5),177)),BidangList,0)),INDEX(checklistPesertaKemenkeu!$P$6:$P$1005,SMALL(IF(checklistPesertaKemenkeu!$AY$6:$AY$1005="Direkomendasikan",ROW($6:$1005)-5),177)))&gt;0,COUNTIF(INDIRECT("'KERTAS KERJA'!K"&amp;(SMALL(IF(checklistPesertaKemenkeu!$AY$6:$AY$1005="Direkomendasikan",ROW($6:$1005)-5),177)+5)&amp;":O"&amp;(SMALL(IF(checklistPesertaKemenkeu!$AY$6:$AY$1005="Direkomendasikan",ROW($6:$1005)-5),177)+5)),INDEX(checklistPesertaKemenkeu!$P$6:$P$1005,SMALL(IF(checklistPesertaKemenkeu!$AY$6:$AY$1005="Direkomendasikan",ROW($6:$1005)-5),177)))=1),IFERROR(VLOOKUP(INDEX(checklistPesertaKemenkeu!$P$6:$P$1005,SMALL(IF(checklistPesertaKemenkeu!$AY$6:$AY$1005="Direkomendasikan",ROW($6:$1005)-5),177)),KotaKode,2,0),"-"),"")),"")</f>
        <v/>
      </c>
    </row>
    <row r="179" spans="1:12" ht="15" customHeight="1" x14ac:dyDescent="0.2">
      <c r="A179" t="str">
        <f t="shared" si="2"/>
        <v/>
      </c>
      <c r="B179" t="str">
        <v/>
      </c>
      <c r="C179" s="40" t="str">
        <f t="array" ref="C179">IFERROR(INDEX(checklistPesertaKemenkeu!$F$6:$F$1005,SMALL(IF(checklistPesertaKemenkeu!$AY$6:$AY$1005="Direkomendasikan",ROW($6:$1005)-5),178)),"")</f>
        <v/>
      </c>
      <c r="D179" t="str">
        <f t="array" ref="D179">IFERROR(INDEX(checklistPesertaKemenkeu!$G$6:$G$1005,SMALL(IF(checklistPesertaKemenkeu!$AY$6:$AY$1005="Direkomendasikan",ROW($6:$1005)-5),178)),"")</f>
        <v/>
      </c>
      <c r="E179" t="str">
        <f t="array" ref="E179">IFERROR(INDEX(checklistPesertaKemenkeu!$H$6:$H$1005,SMALL(IF(checklistPesertaKemenkeu!$AY$6:$AY$1005="Direkomendasikan",ROW($6:$1005)-5),178)),"")</f>
        <v/>
      </c>
      <c r="F179" t="str">
        <f t="array" ref="F179">IFERROR(INDEX(checklistPesertaKemenkeu!$I$6:$I$1005,SMALL(IF(checklistPesertaKemenkeu!$AY$6:$AY$1005="Direkomendasikan",ROW($6:$1005)-5),178)),"")</f>
        <v/>
      </c>
      <c r="G179" t="str">
        <f t="array" ref="G179">IFERROR(INDEX(checklistPesertaKemenkeu!$J$6:$J$1005,SMALL(IF(checklistPesertaKemenkeu!$AY$6:$AY$1005="Direkomendasikan",ROW($6:$1005)-5),178)),"")</f>
        <v/>
      </c>
      <c r="H179" t="str">
        <f t="array" aca="1" ref="H179" ca="1">IFERROR(IF(OR(INDEX(checklistPesertaKemenkeu!$L$6:$L$1005,SMALL(IF(checklistPesertaKemenkeu!$AY$6:$AY$1005="Direkomendasikan",ROW($6:$1005)-5),178))="",INDEX(checklistPesertaKemenkeu!$J$6:$J$1005,SMALL(IF(checklistPesertaKemenkeu!$AY$6:$AY$1005="Direkomendasikan",ROW($6:$1005)-5),178))=""),"",IF(AND(COUNTIF(INDIRECT("K_"&amp;MATCH(INDEX(checklistPesertaKemenkeu!$J$6:$J$1005,SMALL(IF(checklistPesertaKemenkeu!$AY$6:$AY$1005="Direkomendasikan",ROW($6:$1005)-5),178)),BidangList,0)),INDEX(checklistPesertaKemenkeu!$L$6:$L$1005,SMALL(IF(checklistPesertaKemenkeu!$AY$6:$AY$1005="Direkomendasikan",ROW($6:$1005)-5),178)))&gt;0,COUNTIF(INDIRECT("'KERTAS KERJA'!K"&amp;(SMALL(IF(checklistPesertaKemenkeu!$AY$6:$AY$1005="Direkomendasikan",ROW($6:$1005)-5),178)+5)&amp;":O"&amp;(SMALL(IF(checklistPesertaKemenkeu!$AY$6:$AY$1005="Direkomendasikan",ROW($6:$1005)-5),178)+5)),INDEX(checklistPesertaKemenkeu!$L$6:$L$1005,SMALL(IF(checklistPesertaKemenkeu!$AY$6:$AY$1005="Direkomendasikan",ROW($6:$1005)-5),178)))=1),IFERROR(VLOOKUP(INDEX(checklistPesertaKemenkeu!$L$6:$L$1005,SMALL(IF(checklistPesertaKemenkeu!$AY$6:$AY$1005="Direkomendasikan",ROW($6:$1005)-5),178)),KotaKode,2,0),"-"),"")),"")</f>
        <v/>
      </c>
      <c r="I179" t="str">
        <f t="array" aca="1" ref="I179" ca="1">IFERROR(IF(OR(INDEX(checklistPesertaKemenkeu!$M$6:$M$1005,SMALL(IF(checklistPesertaKemenkeu!$AY$6:$AY$1005="Direkomendasikan",ROW($6:$1005)-5),178))="",INDEX(checklistPesertaKemenkeu!$J$6:$J$1005,SMALL(IF(checklistPesertaKemenkeu!$AY$6:$AY$1005="Direkomendasikan",ROW($6:$1005)-5),178))=""),"",IF(AND(COUNTIF(INDIRECT("K_"&amp;MATCH(INDEX(checklistPesertaKemenkeu!$J$6:$J$1005,SMALL(IF(checklistPesertaKemenkeu!$AY$6:$AY$1005="Direkomendasikan",ROW($6:$1005)-5),178)),BidangList,0)),INDEX(checklistPesertaKemenkeu!$M$6:$M$1005,SMALL(IF(checklistPesertaKemenkeu!$AY$6:$AY$1005="Direkomendasikan",ROW($6:$1005)-5),178)))&gt;0,COUNTIF(INDIRECT("'KERTAS KERJA'!K"&amp;(SMALL(IF(checklistPesertaKemenkeu!$AY$6:$AY$1005="Direkomendasikan",ROW($6:$1005)-5),178)+5)&amp;":O"&amp;(SMALL(IF(checklistPesertaKemenkeu!$AY$6:$AY$1005="Direkomendasikan",ROW($6:$1005)-5),178)+5)),INDEX(checklistPesertaKemenkeu!$M$6:$M$1005,SMALL(IF(checklistPesertaKemenkeu!$AY$6:$AY$1005="Direkomendasikan",ROW($6:$1005)-5),178)))=1),IFERROR(VLOOKUP(INDEX(checklistPesertaKemenkeu!$M$6:$M$1005,SMALL(IF(checklistPesertaKemenkeu!$AY$6:$AY$1005="Direkomendasikan",ROW($6:$1005)-5),178)),KotaKode,2,0),"-"),"")),"")</f>
        <v/>
      </c>
      <c r="J179" t="str">
        <f t="array" aca="1" ref="J179" ca="1">IFERROR(IF(OR(INDEX(checklistPesertaKemenkeu!$N$6:$N$1005,SMALL(IF(checklistPesertaKemenkeu!$AY$6:$AY$1005="Direkomendasikan",ROW($6:$1005)-5),178))="",INDEX(checklistPesertaKemenkeu!$J$6:$J$1005,SMALL(IF(checklistPesertaKemenkeu!$AY$6:$AY$1005="Direkomendasikan",ROW($6:$1005)-5),178))=""),"",IF(AND(COUNTIF(INDIRECT("K_"&amp;MATCH(INDEX(checklistPesertaKemenkeu!$J$6:$J$1005,SMALL(IF(checklistPesertaKemenkeu!$AY$6:$AY$1005="Direkomendasikan",ROW($6:$1005)-5),178)),BidangList,0)),INDEX(checklistPesertaKemenkeu!$N$6:$N$1005,SMALL(IF(checklistPesertaKemenkeu!$AY$6:$AY$1005="Direkomendasikan",ROW($6:$1005)-5),178)))&gt;0,COUNTIF(INDIRECT("'KERTAS KERJA'!K"&amp;(SMALL(IF(checklistPesertaKemenkeu!$AY$6:$AY$1005="Direkomendasikan",ROW($6:$1005)-5),178)+5)&amp;":O"&amp;(SMALL(IF(checklistPesertaKemenkeu!$AY$6:$AY$1005="Direkomendasikan",ROW($6:$1005)-5),178)+5)),INDEX(checklistPesertaKemenkeu!$N$6:$N$1005,SMALL(IF(checklistPesertaKemenkeu!$AY$6:$AY$1005="Direkomendasikan",ROW($6:$1005)-5),178)))=1),IFERROR(VLOOKUP(INDEX(checklistPesertaKemenkeu!$N$6:$N$1005,SMALL(IF(checklistPesertaKemenkeu!$AY$6:$AY$1005="Direkomendasikan",ROW($6:$1005)-5),178)),KotaKode,2,0),"-"),"")),"")</f>
        <v/>
      </c>
      <c r="K179" t="str">
        <f t="array" aca="1" ref="K179" ca="1">IFERROR(IF(OR(INDEX(checklistPesertaKemenkeu!$O$6:$O$1005,SMALL(IF(checklistPesertaKemenkeu!$AY$6:$AY$1005="Direkomendasikan",ROW($6:$1005)-5),178))="",INDEX(checklistPesertaKemenkeu!$J$6:$J$1005,SMALL(IF(checklistPesertaKemenkeu!$AY$6:$AY$1005="Direkomendasikan",ROW($6:$1005)-5),178))=""),"",IF(AND(COUNTIF(INDIRECT("K_"&amp;MATCH(INDEX(checklistPesertaKemenkeu!$J$6:$J$1005,SMALL(IF(checklistPesertaKemenkeu!$AY$6:$AY$1005="Direkomendasikan",ROW($6:$1005)-5),178)),BidangList,0)),INDEX(checklistPesertaKemenkeu!$O$6:$O$1005,SMALL(IF(checklistPesertaKemenkeu!$AY$6:$AY$1005="Direkomendasikan",ROW($6:$1005)-5),178)))&gt;0,COUNTIF(INDIRECT("'KERTAS KERJA'!K"&amp;(SMALL(IF(checklistPesertaKemenkeu!$AY$6:$AY$1005="Direkomendasikan",ROW($6:$1005)-5),178)+5)&amp;":O"&amp;(SMALL(IF(checklistPesertaKemenkeu!$AY$6:$AY$1005="Direkomendasikan",ROW($6:$1005)-5),178)+5)),INDEX(checklistPesertaKemenkeu!$O$6:$O$1005,SMALL(IF(checklistPesertaKemenkeu!$AY$6:$AY$1005="Direkomendasikan",ROW($6:$1005)-5),178)))=1),IFERROR(VLOOKUP(INDEX(checklistPesertaKemenkeu!$O$6:$O$1005,SMALL(IF(checklistPesertaKemenkeu!$AY$6:$AY$1005="Direkomendasikan",ROW($6:$1005)-5),178)),KotaKode,2,0),"-"),"")),"")</f>
        <v/>
      </c>
      <c r="L179" t="str">
        <f t="array" aca="1" ref="L179" ca="1">IFERROR(IF(OR(INDEX(checklistPesertaKemenkeu!$P$6:$P$1005,SMALL(IF(checklistPesertaKemenkeu!$AY$6:$AY$1005="Direkomendasikan",ROW($6:$1005)-5),178))="",INDEX(checklistPesertaKemenkeu!$J$6:$J$1005,SMALL(IF(checklistPesertaKemenkeu!$AY$6:$AY$1005="Direkomendasikan",ROW($6:$1005)-5),178))=""),"",IF(AND(COUNTIF(INDIRECT("K_"&amp;MATCH(INDEX(checklistPesertaKemenkeu!$J$6:$J$1005,SMALL(IF(checklistPesertaKemenkeu!$AY$6:$AY$1005="Direkomendasikan",ROW($6:$1005)-5),178)),BidangList,0)),INDEX(checklistPesertaKemenkeu!$P$6:$P$1005,SMALL(IF(checklistPesertaKemenkeu!$AY$6:$AY$1005="Direkomendasikan",ROW($6:$1005)-5),178)))&gt;0,COUNTIF(INDIRECT("'KERTAS KERJA'!K"&amp;(SMALL(IF(checklistPesertaKemenkeu!$AY$6:$AY$1005="Direkomendasikan",ROW($6:$1005)-5),178)+5)&amp;":O"&amp;(SMALL(IF(checklistPesertaKemenkeu!$AY$6:$AY$1005="Direkomendasikan",ROW($6:$1005)-5),178)+5)),INDEX(checklistPesertaKemenkeu!$P$6:$P$1005,SMALL(IF(checklistPesertaKemenkeu!$AY$6:$AY$1005="Direkomendasikan",ROW($6:$1005)-5),178)))=1),IFERROR(VLOOKUP(INDEX(checklistPesertaKemenkeu!$P$6:$P$1005,SMALL(IF(checklistPesertaKemenkeu!$AY$6:$AY$1005="Direkomendasikan",ROW($6:$1005)-5),178)),KotaKode,2,0),"-"),"")),"")</f>
        <v/>
      </c>
    </row>
    <row r="180" spans="1:12" ht="15" customHeight="1" x14ac:dyDescent="0.2">
      <c r="A180" t="str">
        <f t="shared" si="2"/>
        <v/>
      </c>
      <c r="B180" t="str">
        <v/>
      </c>
      <c r="C180" s="40" t="str">
        <f t="array" ref="C180">IFERROR(INDEX(checklistPesertaKemenkeu!$F$6:$F$1005,SMALL(IF(checklistPesertaKemenkeu!$AY$6:$AY$1005="Direkomendasikan",ROW($6:$1005)-5),179)),"")</f>
        <v/>
      </c>
      <c r="D180" t="str">
        <f t="array" ref="D180">IFERROR(INDEX(checklistPesertaKemenkeu!$G$6:$G$1005,SMALL(IF(checklistPesertaKemenkeu!$AY$6:$AY$1005="Direkomendasikan",ROW($6:$1005)-5),179)),"")</f>
        <v/>
      </c>
      <c r="E180" t="str">
        <f t="array" ref="E180">IFERROR(INDEX(checklistPesertaKemenkeu!$H$6:$H$1005,SMALL(IF(checklistPesertaKemenkeu!$AY$6:$AY$1005="Direkomendasikan",ROW($6:$1005)-5),179)),"")</f>
        <v/>
      </c>
      <c r="F180" t="str">
        <f t="array" ref="F180">IFERROR(INDEX(checklistPesertaKemenkeu!$I$6:$I$1005,SMALL(IF(checklistPesertaKemenkeu!$AY$6:$AY$1005="Direkomendasikan",ROW($6:$1005)-5),179)),"")</f>
        <v/>
      </c>
      <c r="G180" t="str">
        <f t="array" ref="G180">IFERROR(INDEX(checklistPesertaKemenkeu!$J$6:$J$1005,SMALL(IF(checklistPesertaKemenkeu!$AY$6:$AY$1005="Direkomendasikan",ROW($6:$1005)-5),179)),"")</f>
        <v/>
      </c>
      <c r="H180" t="str">
        <f t="array" aca="1" ref="H180" ca="1">IFERROR(IF(OR(INDEX(checklistPesertaKemenkeu!$L$6:$L$1005,SMALL(IF(checklistPesertaKemenkeu!$AY$6:$AY$1005="Direkomendasikan",ROW($6:$1005)-5),179))="",INDEX(checklistPesertaKemenkeu!$J$6:$J$1005,SMALL(IF(checklistPesertaKemenkeu!$AY$6:$AY$1005="Direkomendasikan",ROW($6:$1005)-5),179))=""),"",IF(AND(COUNTIF(INDIRECT("K_"&amp;MATCH(INDEX(checklistPesertaKemenkeu!$J$6:$J$1005,SMALL(IF(checklistPesertaKemenkeu!$AY$6:$AY$1005="Direkomendasikan",ROW($6:$1005)-5),179)),BidangList,0)),INDEX(checklistPesertaKemenkeu!$L$6:$L$1005,SMALL(IF(checklistPesertaKemenkeu!$AY$6:$AY$1005="Direkomendasikan",ROW($6:$1005)-5),179)))&gt;0,COUNTIF(INDIRECT("'KERTAS KERJA'!K"&amp;(SMALL(IF(checklistPesertaKemenkeu!$AY$6:$AY$1005="Direkomendasikan",ROW($6:$1005)-5),179)+5)&amp;":O"&amp;(SMALL(IF(checklistPesertaKemenkeu!$AY$6:$AY$1005="Direkomendasikan",ROW($6:$1005)-5),179)+5)),INDEX(checklistPesertaKemenkeu!$L$6:$L$1005,SMALL(IF(checklistPesertaKemenkeu!$AY$6:$AY$1005="Direkomendasikan",ROW($6:$1005)-5),179)))=1),IFERROR(VLOOKUP(INDEX(checklistPesertaKemenkeu!$L$6:$L$1005,SMALL(IF(checklistPesertaKemenkeu!$AY$6:$AY$1005="Direkomendasikan",ROW($6:$1005)-5),179)),KotaKode,2,0),"-"),"")),"")</f>
        <v/>
      </c>
      <c r="I180" t="str">
        <f t="array" aca="1" ref="I180" ca="1">IFERROR(IF(OR(INDEX(checklistPesertaKemenkeu!$M$6:$M$1005,SMALL(IF(checklistPesertaKemenkeu!$AY$6:$AY$1005="Direkomendasikan",ROW($6:$1005)-5),179))="",INDEX(checklistPesertaKemenkeu!$J$6:$J$1005,SMALL(IF(checklistPesertaKemenkeu!$AY$6:$AY$1005="Direkomendasikan",ROW($6:$1005)-5),179))=""),"",IF(AND(COUNTIF(INDIRECT("K_"&amp;MATCH(INDEX(checklistPesertaKemenkeu!$J$6:$J$1005,SMALL(IF(checklistPesertaKemenkeu!$AY$6:$AY$1005="Direkomendasikan",ROW($6:$1005)-5),179)),BidangList,0)),INDEX(checklistPesertaKemenkeu!$M$6:$M$1005,SMALL(IF(checklistPesertaKemenkeu!$AY$6:$AY$1005="Direkomendasikan",ROW($6:$1005)-5),179)))&gt;0,COUNTIF(INDIRECT("'KERTAS KERJA'!K"&amp;(SMALL(IF(checklistPesertaKemenkeu!$AY$6:$AY$1005="Direkomendasikan",ROW($6:$1005)-5),179)+5)&amp;":O"&amp;(SMALL(IF(checklistPesertaKemenkeu!$AY$6:$AY$1005="Direkomendasikan",ROW($6:$1005)-5),179)+5)),INDEX(checklistPesertaKemenkeu!$M$6:$M$1005,SMALL(IF(checklistPesertaKemenkeu!$AY$6:$AY$1005="Direkomendasikan",ROW($6:$1005)-5),179)))=1),IFERROR(VLOOKUP(INDEX(checklistPesertaKemenkeu!$M$6:$M$1005,SMALL(IF(checklistPesertaKemenkeu!$AY$6:$AY$1005="Direkomendasikan",ROW($6:$1005)-5),179)),KotaKode,2,0),"-"),"")),"")</f>
        <v/>
      </c>
      <c r="J180" t="str">
        <f t="array" aca="1" ref="J180" ca="1">IFERROR(IF(OR(INDEX(checklistPesertaKemenkeu!$N$6:$N$1005,SMALL(IF(checklistPesertaKemenkeu!$AY$6:$AY$1005="Direkomendasikan",ROW($6:$1005)-5),179))="",INDEX(checklistPesertaKemenkeu!$J$6:$J$1005,SMALL(IF(checklistPesertaKemenkeu!$AY$6:$AY$1005="Direkomendasikan",ROW($6:$1005)-5),179))=""),"",IF(AND(COUNTIF(INDIRECT("K_"&amp;MATCH(INDEX(checklistPesertaKemenkeu!$J$6:$J$1005,SMALL(IF(checklistPesertaKemenkeu!$AY$6:$AY$1005="Direkomendasikan",ROW($6:$1005)-5),179)),BidangList,0)),INDEX(checklistPesertaKemenkeu!$N$6:$N$1005,SMALL(IF(checklistPesertaKemenkeu!$AY$6:$AY$1005="Direkomendasikan",ROW($6:$1005)-5),179)))&gt;0,COUNTIF(INDIRECT("'KERTAS KERJA'!K"&amp;(SMALL(IF(checklistPesertaKemenkeu!$AY$6:$AY$1005="Direkomendasikan",ROW($6:$1005)-5),179)+5)&amp;":O"&amp;(SMALL(IF(checklistPesertaKemenkeu!$AY$6:$AY$1005="Direkomendasikan",ROW($6:$1005)-5),179)+5)),INDEX(checklistPesertaKemenkeu!$N$6:$N$1005,SMALL(IF(checklistPesertaKemenkeu!$AY$6:$AY$1005="Direkomendasikan",ROW($6:$1005)-5),179)))=1),IFERROR(VLOOKUP(INDEX(checklistPesertaKemenkeu!$N$6:$N$1005,SMALL(IF(checklistPesertaKemenkeu!$AY$6:$AY$1005="Direkomendasikan",ROW($6:$1005)-5),179)),KotaKode,2,0),"-"),"")),"")</f>
        <v/>
      </c>
      <c r="K180" t="str">
        <f t="array" aca="1" ref="K180" ca="1">IFERROR(IF(OR(INDEX(checklistPesertaKemenkeu!$O$6:$O$1005,SMALL(IF(checklistPesertaKemenkeu!$AY$6:$AY$1005="Direkomendasikan",ROW($6:$1005)-5),179))="",INDEX(checklistPesertaKemenkeu!$J$6:$J$1005,SMALL(IF(checklistPesertaKemenkeu!$AY$6:$AY$1005="Direkomendasikan",ROW($6:$1005)-5),179))=""),"",IF(AND(COUNTIF(INDIRECT("K_"&amp;MATCH(INDEX(checklistPesertaKemenkeu!$J$6:$J$1005,SMALL(IF(checklistPesertaKemenkeu!$AY$6:$AY$1005="Direkomendasikan",ROW($6:$1005)-5),179)),BidangList,0)),INDEX(checklistPesertaKemenkeu!$O$6:$O$1005,SMALL(IF(checklistPesertaKemenkeu!$AY$6:$AY$1005="Direkomendasikan",ROW($6:$1005)-5),179)))&gt;0,COUNTIF(INDIRECT("'KERTAS KERJA'!K"&amp;(SMALL(IF(checklistPesertaKemenkeu!$AY$6:$AY$1005="Direkomendasikan",ROW($6:$1005)-5),179)+5)&amp;":O"&amp;(SMALL(IF(checklistPesertaKemenkeu!$AY$6:$AY$1005="Direkomendasikan",ROW($6:$1005)-5),179)+5)),INDEX(checklistPesertaKemenkeu!$O$6:$O$1005,SMALL(IF(checklistPesertaKemenkeu!$AY$6:$AY$1005="Direkomendasikan",ROW($6:$1005)-5),179)))=1),IFERROR(VLOOKUP(INDEX(checklistPesertaKemenkeu!$O$6:$O$1005,SMALL(IF(checklistPesertaKemenkeu!$AY$6:$AY$1005="Direkomendasikan",ROW($6:$1005)-5),179)),KotaKode,2,0),"-"),"")),"")</f>
        <v/>
      </c>
      <c r="L180" t="str">
        <f t="array" aca="1" ref="L180" ca="1">IFERROR(IF(OR(INDEX(checklistPesertaKemenkeu!$P$6:$P$1005,SMALL(IF(checklistPesertaKemenkeu!$AY$6:$AY$1005="Direkomendasikan",ROW($6:$1005)-5),179))="",INDEX(checklistPesertaKemenkeu!$J$6:$J$1005,SMALL(IF(checklistPesertaKemenkeu!$AY$6:$AY$1005="Direkomendasikan",ROW($6:$1005)-5),179))=""),"",IF(AND(COUNTIF(INDIRECT("K_"&amp;MATCH(INDEX(checklistPesertaKemenkeu!$J$6:$J$1005,SMALL(IF(checklistPesertaKemenkeu!$AY$6:$AY$1005="Direkomendasikan",ROW($6:$1005)-5),179)),BidangList,0)),INDEX(checklistPesertaKemenkeu!$P$6:$P$1005,SMALL(IF(checklistPesertaKemenkeu!$AY$6:$AY$1005="Direkomendasikan",ROW($6:$1005)-5),179)))&gt;0,COUNTIF(INDIRECT("'KERTAS KERJA'!K"&amp;(SMALL(IF(checklistPesertaKemenkeu!$AY$6:$AY$1005="Direkomendasikan",ROW($6:$1005)-5),179)+5)&amp;":O"&amp;(SMALL(IF(checklistPesertaKemenkeu!$AY$6:$AY$1005="Direkomendasikan",ROW($6:$1005)-5),179)+5)),INDEX(checklistPesertaKemenkeu!$P$6:$P$1005,SMALL(IF(checklistPesertaKemenkeu!$AY$6:$AY$1005="Direkomendasikan",ROW($6:$1005)-5),179)))=1),IFERROR(VLOOKUP(INDEX(checklistPesertaKemenkeu!$P$6:$P$1005,SMALL(IF(checklistPesertaKemenkeu!$AY$6:$AY$1005="Direkomendasikan",ROW($6:$1005)-5),179)),KotaKode,2,0),"-"),"")),"")</f>
        <v/>
      </c>
    </row>
    <row r="181" spans="1:12" ht="15" customHeight="1" x14ac:dyDescent="0.2">
      <c r="A181" t="str">
        <f t="shared" si="2"/>
        <v/>
      </c>
      <c r="B181" t="str">
        <v/>
      </c>
      <c r="C181" s="40" t="str">
        <f t="array" ref="C181">IFERROR(INDEX(checklistPesertaKemenkeu!$F$6:$F$1005,SMALL(IF(checklistPesertaKemenkeu!$AY$6:$AY$1005="Direkomendasikan",ROW($6:$1005)-5),180)),"")</f>
        <v/>
      </c>
      <c r="D181" t="str">
        <f t="array" ref="D181">IFERROR(INDEX(checklistPesertaKemenkeu!$G$6:$G$1005,SMALL(IF(checklistPesertaKemenkeu!$AY$6:$AY$1005="Direkomendasikan",ROW($6:$1005)-5),180)),"")</f>
        <v/>
      </c>
      <c r="E181" t="str">
        <f t="array" ref="E181">IFERROR(INDEX(checklistPesertaKemenkeu!$H$6:$H$1005,SMALL(IF(checklistPesertaKemenkeu!$AY$6:$AY$1005="Direkomendasikan",ROW($6:$1005)-5),180)),"")</f>
        <v/>
      </c>
      <c r="F181" t="str">
        <f t="array" ref="F181">IFERROR(INDEX(checklistPesertaKemenkeu!$I$6:$I$1005,SMALL(IF(checklistPesertaKemenkeu!$AY$6:$AY$1005="Direkomendasikan",ROW($6:$1005)-5),180)),"")</f>
        <v/>
      </c>
      <c r="G181" t="str">
        <f t="array" ref="G181">IFERROR(INDEX(checklistPesertaKemenkeu!$J$6:$J$1005,SMALL(IF(checklistPesertaKemenkeu!$AY$6:$AY$1005="Direkomendasikan",ROW($6:$1005)-5),180)),"")</f>
        <v/>
      </c>
      <c r="H181" t="str">
        <f t="array" aca="1" ref="H181" ca="1">IFERROR(IF(OR(INDEX(checklistPesertaKemenkeu!$L$6:$L$1005,SMALL(IF(checklistPesertaKemenkeu!$AY$6:$AY$1005="Direkomendasikan",ROW($6:$1005)-5),180))="",INDEX(checklistPesertaKemenkeu!$J$6:$J$1005,SMALL(IF(checklistPesertaKemenkeu!$AY$6:$AY$1005="Direkomendasikan",ROW($6:$1005)-5),180))=""),"",IF(AND(COUNTIF(INDIRECT("K_"&amp;MATCH(INDEX(checklistPesertaKemenkeu!$J$6:$J$1005,SMALL(IF(checklistPesertaKemenkeu!$AY$6:$AY$1005="Direkomendasikan",ROW($6:$1005)-5),180)),BidangList,0)),INDEX(checklistPesertaKemenkeu!$L$6:$L$1005,SMALL(IF(checklistPesertaKemenkeu!$AY$6:$AY$1005="Direkomendasikan",ROW($6:$1005)-5),180)))&gt;0,COUNTIF(INDIRECT("'KERTAS KERJA'!K"&amp;(SMALL(IF(checklistPesertaKemenkeu!$AY$6:$AY$1005="Direkomendasikan",ROW($6:$1005)-5),180)+5)&amp;":O"&amp;(SMALL(IF(checklistPesertaKemenkeu!$AY$6:$AY$1005="Direkomendasikan",ROW($6:$1005)-5),180)+5)),INDEX(checklistPesertaKemenkeu!$L$6:$L$1005,SMALL(IF(checklistPesertaKemenkeu!$AY$6:$AY$1005="Direkomendasikan",ROW($6:$1005)-5),180)))=1),IFERROR(VLOOKUP(INDEX(checklistPesertaKemenkeu!$L$6:$L$1005,SMALL(IF(checklistPesertaKemenkeu!$AY$6:$AY$1005="Direkomendasikan",ROW($6:$1005)-5),180)),KotaKode,2,0),"-"),"")),"")</f>
        <v/>
      </c>
      <c r="I181" t="str">
        <f t="array" aca="1" ref="I181" ca="1">IFERROR(IF(OR(INDEX(checklistPesertaKemenkeu!$M$6:$M$1005,SMALL(IF(checklistPesertaKemenkeu!$AY$6:$AY$1005="Direkomendasikan",ROW($6:$1005)-5),180))="",INDEX(checklistPesertaKemenkeu!$J$6:$J$1005,SMALL(IF(checklistPesertaKemenkeu!$AY$6:$AY$1005="Direkomendasikan",ROW($6:$1005)-5),180))=""),"",IF(AND(COUNTIF(INDIRECT("K_"&amp;MATCH(INDEX(checklistPesertaKemenkeu!$J$6:$J$1005,SMALL(IF(checklistPesertaKemenkeu!$AY$6:$AY$1005="Direkomendasikan",ROW($6:$1005)-5),180)),BidangList,0)),INDEX(checklistPesertaKemenkeu!$M$6:$M$1005,SMALL(IF(checklistPesertaKemenkeu!$AY$6:$AY$1005="Direkomendasikan",ROW($6:$1005)-5),180)))&gt;0,COUNTIF(INDIRECT("'KERTAS KERJA'!K"&amp;(SMALL(IF(checklistPesertaKemenkeu!$AY$6:$AY$1005="Direkomendasikan",ROW($6:$1005)-5),180)+5)&amp;":O"&amp;(SMALL(IF(checklistPesertaKemenkeu!$AY$6:$AY$1005="Direkomendasikan",ROW($6:$1005)-5),180)+5)),INDEX(checklistPesertaKemenkeu!$M$6:$M$1005,SMALL(IF(checklistPesertaKemenkeu!$AY$6:$AY$1005="Direkomendasikan",ROW($6:$1005)-5),180)))=1),IFERROR(VLOOKUP(INDEX(checklistPesertaKemenkeu!$M$6:$M$1005,SMALL(IF(checklistPesertaKemenkeu!$AY$6:$AY$1005="Direkomendasikan",ROW($6:$1005)-5),180)),KotaKode,2,0),"-"),"")),"")</f>
        <v/>
      </c>
      <c r="J181" t="str">
        <f t="array" aca="1" ref="J181" ca="1">IFERROR(IF(OR(INDEX(checklistPesertaKemenkeu!$N$6:$N$1005,SMALL(IF(checklistPesertaKemenkeu!$AY$6:$AY$1005="Direkomendasikan",ROW($6:$1005)-5),180))="",INDEX(checklistPesertaKemenkeu!$J$6:$J$1005,SMALL(IF(checklistPesertaKemenkeu!$AY$6:$AY$1005="Direkomendasikan",ROW($6:$1005)-5),180))=""),"",IF(AND(COUNTIF(INDIRECT("K_"&amp;MATCH(INDEX(checklistPesertaKemenkeu!$J$6:$J$1005,SMALL(IF(checklistPesertaKemenkeu!$AY$6:$AY$1005="Direkomendasikan",ROW($6:$1005)-5),180)),BidangList,0)),INDEX(checklistPesertaKemenkeu!$N$6:$N$1005,SMALL(IF(checklistPesertaKemenkeu!$AY$6:$AY$1005="Direkomendasikan",ROW($6:$1005)-5),180)))&gt;0,COUNTIF(INDIRECT("'KERTAS KERJA'!K"&amp;(SMALL(IF(checklistPesertaKemenkeu!$AY$6:$AY$1005="Direkomendasikan",ROW($6:$1005)-5),180)+5)&amp;":O"&amp;(SMALL(IF(checklistPesertaKemenkeu!$AY$6:$AY$1005="Direkomendasikan",ROW($6:$1005)-5),180)+5)),INDEX(checklistPesertaKemenkeu!$N$6:$N$1005,SMALL(IF(checklistPesertaKemenkeu!$AY$6:$AY$1005="Direkomendasikan",ROW($6:$1005)-5),180)))=1),IFERROR(VLOOKUP(INDEX(checklistPesertaKemenkeu!$N$6:$N$1005,SMALL(IF(checklistPesertaKemenkeu!$AY$6:$AY$1005="Direkomendasikan",ROW($6:$1005)-5),180)),KotaKode,2,0),"-"),"")),"")</f>
        <v/>
      </c>
      <c r="K181" t="str">
        <f t="array" aca="1" ref="K181" ca="1">IFERROR(IF(OR(INDEX(checklistPesertaKemenkeu!$O$6:$O$1005,SMALL(IF(checklistPesertaKemenkeu!$AY$6:$AY$1005="Direkomendasikan",ROW($6:$1005)-5),180))="",INDEX(checklistPesertaKemenkeu!$J$6:$J$1005,SMALL(IF(checklistPesertaKemenkeu!$AY$6:$AY$1005="Direkomendasikan",ROW($6:$1005)-5),180))=""),"",IF(AND(COUNTIF(INDIRECT("K_"&amp;MATCH(INDEX(checklistPesertaKemenkeu!$J$6:$J$1005,SMALL(IF(checklistPesertaKemenkeu!$AY$6:$AY$1005="Direkomendasikan",ROW($6:$1005)-5),180)),BidangList,0)),INDEX(checklistPesertaKemenkeu!$O$6:$O$1005,SMALL(IF(checklistPesertaKemenkeu!$AY$6:$AY$1005="Direkomendasikan",ROW($6:$1005)-5),180)))&gt;0,COUNTIF(INDIRECT("'KERTAS KERJA'!K"&amp;(SMALL(IF(checklistPesertaKemenkeu!$AY$6:$AY$1005="Direkomendasikan",ROW($6:$1005)-5),180)+5)&amp;":O"&amp;(SMALL(IF(checklistPesertaKemenkeu!$AY$6:$AY$1005="Direkomendasikan",ROW($6:$1005)-5),180)+5)),INDEX(checklistPesertaKemenkeu!$O$6:$O$1005,SMALL(IF(checklistPesertaKemenkeu!$AY$6:$AY$1005="Direkomendasikan",ROW($6:$1005)-5),180)))=1),IFERROR(VLOOKUP(INDEX(checklistPesertaKemenkeu!$O$6:$O$1005,SMALL(IF(checklistPesertaKemenkeu!$AY$6:$AY$1005="Direkomendasikan",ROW($6:$1005)-5),180)),KotaKode,2,0),"-"),"")),"")</f>
        <v/>
      </c>
      <c r="L181" t="str">
        <f t="array" aca="1" ref="L181" ca="1">IFERROR(IF(OR(INDEX(checklistPesertaKemenkeu!$P$6:$P$1005,SMALL(IF(checklistPesertaKemenkeu!$AY$6:$AY$1005="Direkomendasikan",ROW($6:$1005)-5),180))="",INDEX(checklistPesertaKemenkeu!$J$6:$J$1005,SMALL(IF(checklistPesertaKemenkeu!$AY$6:$AY$1005="Direkomendasikan",ROW($6:$1005)-5),180))=""),"",IF(AND(COUNTIF(INDIRECT("K_"&amp;MATCH(INDEX(checklistPesertaKemenkeu!$J$6:$J$1005,SMALL(IF(checklistPesertaKemenkeu!$AY$6:$AY$1005="Direkomendasikan",ROW($6:$1005)-5),180)),BidangList,0)),INDEX(checklistPesertaKemenkeu!$P$6:$P$1005,SMALL(IF(checklistPesertaKemenkeu!$AY$6:$AY$1005="Direkomendasikan",ROW($6:$1005)-5),180)))&gt;0,COUNTIF(INDIRECT("'KERTAS KERJA'!K"&amp;(SMALL(IF(checklistPesertaKemenkeu!$AY$6:$AY$1005="Direkomendasikan",ROW($6:$1005)-5),180)+5)&amp;":O"&amp;(SMALL(IF(checklistPesertaKemenkeu!$AY$6:$AY$1005="Direkomendasikan",ROW($6:$1005)-5),180)+5)),INDEX(checklistPesertaKemenkeu!$P$6:$P$1005,SMALL(IF(checklistPesertaKemenkeu!$AY$6:$AY$1005="Direkomendasikan",ROW($6:$1005)-5),180)))=1),IFERROR(VLOOKUP(INDEX(checklistPesertaKemenkeu!$P$6:$P$1005,SMALL(IF(checklistPesertaKemenkeu!$AY$6:$AY$1005="Direkomendasikan",ROW($6:$1005)-5),180)),KotaKode,2,0),"-"),"")),"")</f>
        <v/>
      </c>
    </row>
    <row r="182" spans="1:12" ht="15" customHeight="1" x14ac:dyDescent="0.2">
      <c r="A182" t="str">
        <f t="shared" si="2"/>
        <v/>
      </c>
      <c r="B182" t="str">
        <v/>
      </c>
      <c r="C182" s="40" t="str">
        <f t="array" ref="C182">IFERROR(INDEX(checklistPesertaKemenkeu!$F$6:$F$1005,SMALL(IF(checklistPesertaKemenkeu!$AY$6:$AY$1005="Direkomendasikan",ROW($6:$1005)-5),181)),"")</f>
        <v/>
      </c>
      <c r="D182" t="str">
        <f t="array" ref="D182">IFERROR(INDEX(checklistPesertaKemenkeu!$G$6:$G$1005,SMALL(IF(checklistPesertaKemenkeu!$AY$6:$AY$1005="Direkomendasikan",ROW($6:$1005)-5),181)),"")</f>
        <v/>
      </c>
      <c r="E182" t="str">
        <f t="array" ref="E182">IFERROR(INDEX(checklistPesertaKemenkeu!$H$6:$H$1005,SMALL(IF(checklistPesertaKemenkeu!$AY$6:$AY$1005="Direkomendasikan",ROW($6:$1005)-5),181)),"")</f>
        <v/>
      </c>
      <c r="F182" t="str">
        <f t="array" ref="F182">IFERROR(INDEX(checklistPesertaKemenkeu!$I$6:$I$1005,SMALL(IF(checklistPesertaKemenkeu!$AY$6:$AY$1005="Direkomendasikan",ROW($6:$1005)-5),181)),"")</f>
        <v/>
      </c>
      <c r="G182" t="str">
        <f t="array" ref="G182">IFERROR(INDEX(checklistPesertaKemenkeu!$J$6:$J$1005,SMALL(IF(checklistPesertaKemenkeu!$AY$6:$AY$1005="Direkomendasikan",ROW($6:$1005)-5),181)),"")</f>
        <v/>
      </c>
      <c r="H182" t="str">
        <f t="array" aca="1" ref="H182" ca="1">IFERROR(IF(OR(INDEX(checklistPesertaKemenkeu!$L$6:$L$1005,SMALL(IF(checklistPesertaKemenkeu!$AY$6:$AY$1005="Direkomendasikan",ROW($6:$1005)-5),181))="",INDEX(checklistPesertaKemenkeu!$J$6:$J$1005,SMALL(IF(checklistPesertaKemenkeu!$AY$6:$AY$1005="Direkomendasikan",ROW($6:$1005)-5),181))=""),"",IF(AND(COUNTIF(INDIRECT("K_"&amp;MATCH(INDEX(checklistPesertaKemenkeu!$J$6:$J$1005,SMALL(IF(checklistPesertaKemenkeu!$AY$6:$AY$1005="Direkomendasikan",ROW($6:$1005)-5),181)),BidangList,0)),INDEX(checklistPesertaKemenkeu!$L$6:$L$1005,SMALL(IF(checklistPesertaKemenkeu!$AY$6:$AY$1005="Direkomendasikan",ROW($6:$1005)-5),181)))&gt;0,COUNTIF(INDIRECT("'KERTAS KERJA'!K"&amp;(SMALL(IF(checklistPesertaKemenkeu!$AY$6:$AY$1005="Direkomendasikan",ROW($6:$1005)-5),181)+5)&amp;":O"&amp;(SMALL(IF(checklistPesertaKemenkeu!$AY$6:$AY$1005="Direkomendasikan",ROW($6:$1005)-5),181)+5)),INDEX(checklistPesertaKemenkeu!$L$6:$L$1005,SMALL(IF(checklistPesertaKemenkeu!$AY$6:$AY$1005="Direkomendasikan",ROW($6:$1005)-5),181)))=1),IFERROR(VLOOKUP(INDEX(checklistPesertaKemenkeu!$L$6:$L$1005,SMALL(IF(checklistPesertaKemenkeu!$AY$6:$AY$1005="Direkomendasikan",ROW($6:$1005)-5),181)),KotaKode,2,0),"-"),"")),"")</f>
        <v/>
      </c>
      <c r="I182" t="str">
        <f t="array" aca="1" ref="I182" ca="1">IFERROR(IF(OR(INDEX(checklistPesertaKemenkeu!$M$6:$M$1005,SMALL(IF(checklistPesertaKemenkeu!$AY$6:$AY$1005="Direkomendasikan",ROW($6:$1005)-5),181))="",INDEX(checklistPesertaKemenkeu!$J$6:$J$1005,SMALL(IF(checklistPesertaKemenkeu!$AY$6:$AY$1005="Direkomendasikan",ROW($6:$1005)-5),181))=""),"",IF(AND(COUNTIF(INDIRECT("K_"&amp;MATCH(INDEX(checklistPesertaKemenkeu!$J$6:$J$1005,SMALL(IF(checklistPesertaKemenkeu!$AY$6:$AY$1005="Direkomendasikan",ROW($6:$1005)-5),181)),BidangList,0)),INDEX(checklistPesertaKemenkeu!$M$6:$M$1005,SMALL(IF(checklistPesertaKemenkeu!$AY$6:$AY$1005="Direkomendasikan",ROW($6:$1005)-5),181)))&gt;0,COUNTIF(INDIRECT("'KERTAS KERJA'!K"&amp;(SMALL(IF(checklistPesertaKemenkeu!$AY$6:$AY$1005="Direkomendasikan",ROW($6:$1005)-5),181)+5)&amp;":O"&amp;(SMALL(IF(checklistPesertaKemenkeu!$AY$6:$AY$1005="Direkomendasikan",ROW($6:$1005)-5),181)+5)),INDEX(checklistPesertaKemenkeu!$M$6:$M$1005,SMALL(IF(checklistPesertaKemenkeu!$AY$6:$AY$1005="Direkomendasikan",ROW($6:$1005)-5),181)))=1),IFERROR(VLOOKUP(INDEX(checklistPesertaKemenkeu!$M$6:$M$1005,SMALL(IF(checklistPesertaKemenkeu!$AY$6:$AY$1005="Direkomendasikan",ROW($6:$1005)-5),181)),KotaKode,2,0),"-"),"")),"")</f>
        <v/>
      </c>
      <c r="J182" t="str">
        <f t="array" aca="1" ref="J182" ca="1">IFERROR(IF(OR(INDEX(checklistPesertaKemenkeu!$N$6:$N$1005,SMALL(IF(checklistPesertaKemenkeu!$AY$6:$AY$1005="Direkomendasikan",ROW($6:$1005)-5),181))="",INDEX(checklistPesertaKemenkeu!$J$6:$J$1005,SMALL(IF(checklistPesertaKemenkeu!$AY$6:$AY$1005="Direkomendasikan",ROW($6:$1005)-5),181))=""),"",IF(AND(COUNTIF(INDIRECT("K_"&amp;MATCH(INDEX(checklistPesertaKemenkeu!$J$6:$J$1005,SMALL(IF(checklistPesertaKemenkeu!$AY$6:$AY$1005="Direkomendasikan",ROW($6:$1005)-5),181)),BidangList,0)),INDEX(checklistPesertaKemenkeu!$N$6:$N$1005,SMALL(IF(checklistPesertaKemenkeu!$AY$6:$AY$1005="Direkomendasikan",ROW($6:$1005)-5),181)))&gt;0,COUNTIF(INDIRECT("'KERTAS KERJA'!K"&amp;(SMALL(IF(checklistPesertaKemenkeu!$AY$6:$AY$1005="Direkomendasikan",ROW($6:$1005)-5),181)+5)&amp;":O"&amp;(SMALL(IF(checklistPesertaKemenkeu!$AY$6:$AY$1005="Direkomendasikan",ROW($6:$1005)-5),181)+5)),INDEX(checklistPesertaKemenkeu!$N$6:$N$1005,SMALL(IF(checklistPesertaKemenkeu!$AY$6:$AY$1005="Direkomendasikan",ROW($6:$1005)-5),181)))=1),IFERROR(VLOOKUP(INDEX(checklistPesertaKemenkeu!$N$6:$N$1005,SMALL(IF(checklistPesertaKemenkeu!$AY$6:$AY$1005="Direkomendasikan",ROW($6:$1005)-5),181)),KotaKode,2,0),"-"),"")),"")</f>
        <v/>
      </c>
      <c r="K182" t="str">
        <f t="array" aca="1" ref="K182" ca="1">IFERROR(IF(OR(INDEX(checklistPesertaKemenkeu!$O$6:$O$1005,SMALL(IF(checklistPesertaKemenkeu!$AY$6:$AY$1005="Direkomendasikan",ROW($6:$1005)-5),181))="",INDEX(checklistPesertaKemenkeu!$J$6:$J$1005,SMALL(IF(checklistPesertaKemenkeu!$AY$6:$AY$1005="Direkomendasikan",ROW($6:$1005)-5),181))=""),"",IF(AND(COUNTIF(INDIRECT("K_"&amp;MATCH(INDEX(checklistPesertaKemenkeu!$J$6:$J$1005,SMALL(IF(checklistPesertaKemenkeu!$AY$6:$AY$1005="Direkomendasikan",ROW($6:$1005)-5),181)),BidangList,0)),INDEX(checklistPesertaKemenkeu!$O$6:$O$1005,SMALL(IF(checklistPesertaKemenkeu!$AY$6:$AY$1005="Direkomendasikan",ROW($6:$1005)-5),181)))&gt;0,COUNTIF(INDIRECT("'KERTAS KERJA'!K"&amp;(SMALL(IF(checklistPesertaKemenkeu!$AY$6:$AY$1005="Direkomendasikan",ROW($6:$1005)-5),181)+5)&amp;":O"&amp;(SMALL(IF(checklistPesertaKemenkeu!$AY$6:$AY$1005="Direkomendasikan",ROW($6:$1005)-5),181)+5)),INDEX(checklistPesertaKemenkeu!$O$6:$O$1005,SMALL(IF(checklistPesertaKemenkeu!$AY$6:$AY$1005="Direkomendasikan",ROW($6:$1005)-5),181)))=1),IFERROR(VLOOKUP(INDEX(checklistPesertaKemenkeu!$O$6:$O$1005,SMALL(IF(checklistPesertaKemenkeu!$AY$6:$AY$1005="Direkomendasikan",ROW($6:$1005)-5),181)),KotaKode,2,0),"-"),"")),"")</f>
        <v/>
      </c>
      <c r="L182" t="str">
        <f t="array" aca="1" ref="L182" ca="1">IFERROR(IF(OR(INDEX(checklistPesertaKemenkeu!$P$6:$P$1005,SMALL(IF(checklistPesertaKemenkeu!$AY$6:$AY$1005="Direkomendasikan",ROW($6:$1005)-5),181))="",INDEX(checklistPesertaKemenkeu!$J$6:$J$1005,SMALL(IF(checklistPesertaKemenkeu!$AY$6:$AY$1005="Direkomendasikan",ROW($6:$1005)-5),181))=""),"",IF(AND(COUNTIF(INDIRECT("K_"&amp;MATCH(INDEX(checklistPesertaKemenkeu!$J$6:$J$1005,SMALL(IF(checklistPesertaKemenkeu!$AY$6:$AY$1005="Direkomendasikan",ROW($6:$1005)-5),181)),BidangList,0)),INDEX(checklistPesertaKemenkeu!$P$6:$P$1005,SMALL(IF(checklistPesertaKemenkeu!$AY$6:$AY$1005="Direkomendasikan",ROW($6:$1005)-5),181)))&gt;0,COUNTIF(INDIRECT("'KERTAS KERJA'!K"&amp;(SMALL(IF(checklistPesertaKemenkeu!$AY$6:$AY$1005="Direkomendasikan",ROW($6:$1005)-5),181)+5)&amp;":O"&amp;(SMALL(IF(checklistPesertaKemenkeu!$AY$6:$AY$1005="Direkomendasikan",ROW($6:$1005)-5),181)+5)),INDEX(checklistPesertaKemenkeu!$P$6:$P$1005,SMALL(IF(checklistPesertaKemenkeu!$AY$6:$AY$1005="Direkomendasikan",ROW($6:$1005)-5),181)))=1),IFERROR(VLOOKUP(INDEX(checklistPesertaKemenkeu!$P$6:$P$1005,SMALL(IF(checklistPesertaKemenkeu!$AY$6:$AY$1005="Direkomendasikan",ROW($6:$1005)-5),181)),KotaKode,2,0),"-"),"")),"")</f>
        <v/>
      </c>
    </row>
    <row r="183" spans="1:12" ht="15" customHeight="1" x14ac:dyDescent="0.2">
      <c r="A183" t="str">
        <f t="shared" si="2"/>
        <v/>
      </c>
      <c r="B183" t="str">
        <v/>
      </c>
      <c r="C183" s="40" t="str">
        <f t="array" ref="C183">IFERROR(INDEX(checklistPesertaKemenkeu!$F$6:$F$1005,SMALL(IF(checklistPesertaKemenkeu!$AY$6:$AY$1005="Direkomendasikan",ROW($6:$1005)-5),182)),"")</f>
        <v/>
      </c>
      <c r="D183" t="str">
        <f t="array" ref="D183">IFERROR(INDEX(checklistPesertaKemenkeu!$G$6:$G$1005,SMALL(IF(checklistPesertaKemenkeu!$AY$6:$AY$1005="Direkomendasikan",ROW($6:$1005)-5),182)),"")</f>
        <v/>
      </c>
      <c r="E183" t="str">
        <f t="array" ref="E183">IFERROR(INDEX(checklistPesertaKemenkeu!$H$6:$H$1005,SMALL(IF(checklistPesertaKemenkeu!$AY$6:$AY$1005="Direkomendasikan",ROW($6:$1005)-5),182)),"")</f>
        <v/>
      </c>
      <c r="F183" t="str">
        <f t="array" ref="F183">IFERROR(INDEX(checklistPesertaKemenkeu!$I$6:$I$1005,SMALL(IF(checklistPesertaKemenkeu!$AY$6:$AY$1005="Direkomendasikan",ROW($6:$1005)-5),182)),"")</f>
        <v/>
      </c>
      <c r="G183" t="str">
        <f t="array" ref="G183">IFERROR(INDEX(checklistPesertaKemenkeu!$J$6:$J$1005,SMALL(IF(checklistPesertaKemenkeu!$AY$6:$AY$1005="Direkomendasikan",ROW($6:$1005)-5),182)),"")</f>
        <v/>
      </c>
      <c r="H183" t="str">
        <f t="array" aca="1" ref="H183" ca="1">IFERROR(IF(OR(INDEX(checklistPesertaKemenkeu!$L$6:$L$1005,SMALL(IF(checklistPesertaKemenkeu!$AY$6:$AY$1005="Direkomendasikan",ROW($6:$1005)-5),182))="",INDEX(checklistPesertaKemenkeu!$J$6:$J$1005,SMALL(IF(checklistPesertaKemenkeu!$AY$6:$AY$1005="Direkomendasikan",ROW($6:$1005)-5),182))=""),"",IF(AND(COUNTIF(INDIRECT("K_"&amp;MATCH(INDEX(checklistPesertaKemenkeu!$J$6:$J$1005,SMALL(IF(checklistPesertaKemenkeu!$AY$6:$AY$1005="Direkomendasikan",ROW($6:$1005)-5),182)),BidangList,0)),INDEX(checklistPesertaKemenkeu!$L$6:$L$1005,SMALL(IF(checklistPesertaKemenkeu!$AY$6:$AY$1005="Direkomendasikan",ROW($6:$1005)-5),182)))&gt;0,COUNTIF(INDIRECT("'KERTAS KERJA'!K"&amp;(SMALL(IF(checklistPesertaKemenkeu!$AY$6:$AY$1005="Direkomendasikan",ROW($6:$1005)-5),182)+5)&amp;":O"&amp;(SMALL(IF(checklistPesertaKemenkeu!$AY$6:$AY$1005="Direkomendasikan",ROW($6:$1005)-5),182)+5)),INDEX(checklistPesertaKemenkeu!$L$6:$L$1005,SMALL(IF(checklistPesertaKemenkeu!$AY$6:$AY$1005="Direkomendasikan",ROW($6:$1005)-5),182)))=1),IFERROR(VLOOKUP(INDEX(checklistPesertaKemenkeu!$L$6:$L$1005,SMALL(IF(checklistPesertaKemenkeu!$AY$6:$AY$1005="Direkomendasikan",ROW($6:$1005)-5),182)),KotaKode,2,0),"-"),"")),"")</f>
        <v/>
      </c>
      <c r="I183" t="str">
        <f t="array" aca="1" ref="I183" ca="1">IFERROR(IF(OR(INDEX(checklistPesertaKemenkeu!$M$6:$M$1005,SMALL(IF(checklistPesertaKemenkeu!$AY$6:$AY$1005="Direkomendasikan",ROW($6:$1005)-5),182))="",INDEX(checklistPesertaKemenkeu!$J$6:$J$1005,SMALL(IF(checklistPesertaKemenkeu!$AY$6:$AY$1005="Direkomendasikan",ROW($6:$1005)-5),182))=""),"",IF(AND(COUNTIF(INDIRECT("K_"&amp;MATCH(INDEX(checklistPesertaKemenkeu!$J$6:$J$1005,SMALL(IF(checklistPesertaKemenkeu!$AY$6:$AY$1005="Direkomendasikan",ROW($6:$1005)-5),182)),BidangList,0)),INDEX(checklistPesertaKemenkeu!$M$6:$M$1005,SMALL(IF(checklistPesertaKemenkeu!$AY$6:$AY$1005="Direkomendasikan",ROW($6:$1005)-5),182)))&gt;0,COUNTIF(INDIRECT("'KERTAS KERJA'!K"&amp;(SMALL(IF(checklistPesertaKemenkeu!$AY$6:$AY$1005="Direkomendasikan",ROW($6:$1005)-5),182)+5)&amp;":O"&amp;(SMALL(IF(checklistPesertaKemenkeu!$AY$6:$AY$1005="Direkomendasikan",ROW($6:$1005)-5),182)+5)),INDEX(checklistPesertaKemenkeu!$M$6:$M$1005,SMALL(IF(checklistPesertaKemenkeu!$AY$6:$AY$1005="Direkomendasikan",ROW($6:$1005)-5),182)))=1),IFERROR(VLOOKUP(INDEX(checklistPesertaKemenkeu!$M$6:$M$1005,SMALL(IF(checklistPesertaKemenkeu!$AY$6:$AY$1005="Direkomendasikan",ROW($6:$1005)-5),182)),KotaKode,2,0),"-"),"")),"")</f>
        <v/>
      </c>
      <c r="J183" t="str">
        <f t="array" aca="1" ref="J183" ca="1">IFERROR(IF(OR(INDEX(checklistPesertaKemenkeu!$N$6:$N$1005,SMALL(IF(checklistPesertaKemenkeu!$AY$6:$AY$1005="Direkomendasikan",ROW($6:$1005)-5),182))="",INDEX(checklistPesertaKemenkeu!$J$6:$J$1005,SMALL(IF(checklistPesertaKemenkeu!$AY$6:$AY$1005="Direkomendasikan",ROW($6:$1005)-5),182))=""),"",IF(AND(COUNTIF(INDIRECT("K_"&amp;MATCH(INDEX(checklistPesertaKemenkeu!$J$6:$J$1005,SMALL(IF(checklistPesertaKemenkeu!$AY$6:$AY$1005="Direkomendasikan",ROW($6:$1005)-5),182)),BidangList,0)),INDEX(checklistPesertaKemenkeu!$N$6:$N$1005,SMALL(IF(checklistPesertaKemenkeu!$AY$6:$AY$1005="Direkomendasikan",ROW($6:$1005)-5),182)))&gt;0,COUNTIF(INDIRECT("'KERTAS KERJA'!K"&amp;(SMALL(IF(checklistPesertaKemenkeu!$AY$6:$AY$1005="Direkomendasikan",ROW($6:$1005)-5),182)+5)&amp;":O"&amp;(SMALL(IF(checklistPesertaKemenkeu!$AY$6:$AY$1005="Direkomendasikan",ROW($6:$1005)-5),182)+5)),INDEX(checklistPesertaKemenkeu!$N$6:$N$1005,SMALL(IF(checklistPesertaKemenkeu!$AY$6:$AY$1005="Direkomendasikan",ROW($6:$1005)-5),182)))=1),IFERROR(VLOOKUP(INDEX(checklistPesertaKemenkeu!$N$6:$N$1005,SMALL(IF(checklistPesertaKemenkeu!$AY$6:$AY$1005="Direkomendasikan",ROW($6:$1005)-5),182)),KotaKode,2,0),"-"),"")),"")</f>
        <v/>
      </c>
      <c r="K183" t="str">
        <f t="array" aca="1" ref="K183" ca="1">IFERROR(IF(OR(INDEX(checklistPesertaKemenkeu!$O$6:$O$1005,SMALL(IF(checklistPesertaKemenkeu!$AY$6:$AY$1005="Direkomendasikan",ROW($6:$1005)-5),182))="",INDEX(checklistPesertaKemenkeu!$J$6:$J$1005,SMALL(IF(checklistPesertaKemenkeu!$AY$6:$AY$1005="Direkomendasikan",ROW($6:$1005)-5),182))=""),"",IF(AND(COUNTIF(INDIRECT("K_"&amp;MATCH(INDEX(checklistPesertaKemenkeu!$J$6:$J$1005,SMALL(IF(checklistPesertaKemenkeu!$AY$6:$AY$1005="Direkomendasikan",ROW($6:$1005)-5),182)),BidangList,0)),INDEX(checklistPesertaKemenkeu!$O$6:$O$1005,SMALL(IF(checklistPesertaKemenkeu!$AY$6:$AY$1005="Direkomendasikan",ROW($6:$1005)-5),182)))&gt;0,COUNTIF(INDIRECT("'KERTAS KERJA'!K"&amp;(SMALL(IF(checklistPesertaKemenkeu!$AY$6:$AY$1005="Direkomendasikan",ROW($6:$1005)-5),182)+5)&amp;":O"&amp;(SMALL(IF(checklistPesertaKemenkeu!$AY$6:$AY$1005="Direkomendasikan",ROW($6:$1005)-5),182)+5)),INDEX(checklistPesertaKemenkeu!$O$6:$O$1005,SMALL(IF(checklistPesertaKemenkeu!$AY$6:$AY$1005="Direkomendasikan",ROW($6:$1005)-5),182)))=1),IFERROR(VLOOKUP(INDEX(checklistPesertaKemenkeu!$O$6:$O$1005,SMALL(IF(checklistPesertaKemenkeu!$AY$6:$AY$1005="Direkomendasikan",ROW($6:$1005)-5),182)),KotaKode,2,0),"-"),"")),"")</f>
        <v/>
      </c>
      <c r="L183" t="str">
        <f t="array" aca="1" ref="L183" ca="1">IFERROR(IF(OR(INDEX(checklistPesertaKemenkeu!$P$6:$P$1005,SMALL(IF(checklistPesertaKemenkeu!$AY$6:$AY$1005="Direkomendasikan",ROW($6:$1005)-5),182))="",INDEX(checklistPesertaKemenkeu!$J$6:$J$1005,SMALL(IF(checklistPesertaKemenkeu!$AY$6:$AY$1005="Direkomendasikan",ROW($6:$1005)-5),182))=""),"",IF(AND(COUNTIF(INDIRECT("K_"&amp;MATCH(INDEX(checklistPesertaKemenkeu!$J$6:$J$1005,SMALL(IF(checklistPesertaKemenkeu!$AY$6:$AY$1005="Direkomendasikan",ROW($6:$1005)-5),182)),BidangList,0)),INDEX(checklistPesertaKemenkeu!$P$6:$P$1005,SMALL(IF(checklistPesertaKemenkeu!$AY$6:$AY$1005="Direkomendasikan",ROW($6:$1005)-5),182)))&gt;0,COUNTIF(INDIRECT("'KERTAS KERJA'!K"&amp;(SMALL(IF(checklistPesertaKemenkeu!$AY$6:$AY$1005="Direkomendasikan",ROW($6:$1005)-5),182)+5)&amp;":O"&amp;(SMALL(IF(checklistPesertaKemenkeu!$AY$6:$AY$1005="Direkomendasikan",ROW($6:$1005)-5),182)+5)),INDEX(checklistPesertaKemenkeu!$P$6:$P$1005,SMALL(IF(checklistPesertaKemenkeu!$AY$6:$AY$1005="Direkomendasikan",ROW($6:$1005)-5),182)))=1),IFERROR(VLOOKUP(INDEX(checklistPesertaKemenkeu!$P$6:$P$1005,SMALL(IF(checklistPesertaKemenkeu!$AY$6:$AY$1005="Direkomendasikan",ROW($6:$1005)-5),182)),KotaKode,2,0),"-"),"")),"")</f>
        <v/>
      </c>
    </row>
    <row r="184" spans="1:12" ht="15" customHeight="1" x14ac:dyDescent="0.2">
      <c r="A184" t="str">
        <f t="shared" si="2"/>
        <v/>
      </c>
      <c r="B184" t="str">
        <v/>
      </c>
      <c r="C184" s="40" t="str">
        <f t="array" ref="C184">IFERROR(INDEX(checklistPesertaKemenkeu!$F$6:$F$1005,SMALL(IF(checklistPesertaKemenkeu!$AY$6:$AY$1005="Direkomendasikan",ROW($6:$1005)-5),183)),"")</f>
        <v/>
      </c>
      <c r="D184" t="str">
        <f t="array" ref="D184">IFERROR(INDEX(checklistPesertaKemenkeu!$G$6:$G$1005,SMALL(IF(checklistPesertaKemenkeu!$AY$6:$AY$1005="Direkomendasikan",ROW($6:$1005)-5),183)),"")</f>
        <v/>
      </c>
      <c r="E184" t="str">
        <f t="array" ref="E184">IFERROR(INDEX(checklistPesertaKemenkeu!$H$6:$H$1005,SMALL(IF(checklistPesertaKemenkeu!$AY$6:$AY$1005="Direkomendasikan",ROW($6:$1005)-5),183)),"")</f>
        <v/>
      </c>
      <c r="F184" t="str">
        <f t="array" ref="F184">IFERROR(INDEX(checklistPesertaKemenkeu!$I$6:$I$1005,SMALL(IF(checklistPesertaKemenkeu!$AY$6:$AY$1005="Direkomendasikan",ROW($6:$1005)-5),183)),"")</f>
        <v/>
      </c>
      <c r="G184" t="str">
        <f t="array" ref="G184">IFERROR(INDEX(checklistPesertaKemenkeu!$J$6:$J$1005,SMALL(IF(checklistPesertaKemenkeu!$AY$6:$AY$1005="Direkomendasikan",ROW($6:$1005)-5),183)),"")</f>
        <v/>
      </c>
      <c r="H184" t="str">
        <f t="array" aca="1" ref="H184" ca="1">IFERROR(IF(OR(INDEX(checklistPesertaKemenkeu!$L$6:$L$1005,SMALL(IF(checklistPesertaKemenkeu!$AY$6:$AY$1005="Direkomendasikan",ROW($6:$1005)-5),183))="",INDEX(checklistPesertaKemenkeu!$J$6:$J$1005,SMALL(IF(checklistPesertaKemenkeu!$AY$6:$AY$1005="Direkomendasikan",ROW($6:$1005)-5),183))=""),"",IF(AND(COUNTIF(INDIRECT("K_"&amp;MATCH(INDEX(checklistPesertaKemenkeu!$J$6:$J$1005,SMALL(IF(checklistPesertaKemenkeu!$AY$6:$AY$1005="Direkomendasikan",ROW($6:$1005)-5),183)),BidangList,0)),INDEX(checklistPesertaKemenkeu!$L$6:$L$1005,SMALL(IF(checklistPesertaKemenkeu!$AY$6:$AY$1005="Direkomendasikan",ROW($6:$1005)-5),183)))&gt;0,COUNTIF(INDIRECT("'KERTAS KERJA'!K"&amp;(SMALL(IF(checklistPesertaKemenkeu!$AY$6:$AY$1005="Direkomendasikan",ROW($6:$1005)-5),183)+5)&amp;":O"&amp;(SMALL(IF(checklistPesertaKemenkeu!$AY$6:$AY$1005="Direkomendasikan",ROW($6:$1005)-5),183)+5)),INDEX(checklistPesertaKemenkeu!$L$6:$L$1005,SMALL(IF(checklistPesertaKemenkeu!$AY$6:$AY$1005="Direkomendasikan",ROW($6:$1005)-5),183)))=1),IFERROR(VLOOKUP(INDEX(checklistPesertaKemenkeu!$L$6:$L$1005,SMALL(IF(checklistPesertaKemenkeu!$AY$6:$AY$1005="Direkomendasikan",ROW($6:$1005)-5),183)),KotaKode,2,0),"-"),"")),"")</f>
        <v/>
      </c>
      <c r="I184" t="str">
        <f t="array" aca="1" ref="I184" ca="1">IFERROR(IF(OR(INDEX(checklistPesertaKemenkeu!$M$6:$M$1005,SMALL(IF(checklistPesertaKemenkeu!$AY$6:$AY$1005="Direkomendasikan",ROW($6:$1005)-5),183))="",INDEX(checklistPesertaKemenkeu!$J$6:$J$1005,SMALL(IF(checklistPesertaKemenkeu!$AY$6:$AY$1005="Direkomendasikan",ROW($6:$1005)-5),183))=""),"",IF(AND(COUNTIF(INDIRECT("K_"&amp;MATCH(INDEX(checklistPesertaKemenkeu!$J$6:$J$1005,SMALL(IF(checklistPesertaKemenkeu!$AY$6:$AY$1005="Direkomendasikan",ROW($6:$1005)-5),183)),BidangList,0)),INDEX(checklistPesertaKemenkeu!$M$6:$M$1005,SMALL(IF(checklistPesertaKemenkeu!$AY$6:$AY$1005="Direkomendasikan",ROW($6:$1005)-5),183)))&gt;0,COUNTIF(INDIRECT("'KERTAS KERJA'!K"&amp;(SMALL(IF(checklistPesertaKemenkeu!$AY$6:$AY$1005="Direkomendasikan",ROW($6:$1005)-5),183)+5)&amp;":O"&amp;(SMALL(IF(checklistPesertaKemenkeu!$AY$6:$AY$1005="Direkomendasikan",ROW($6:$1005)-5),183)+5)),INDEX(checklistPesertaKemenkeu!$M$6:$M$1005,SMALL(IF(checklistPesertaKemenkeu!$AY$6:$AY$1005="Direkomendasikan",ROW($6:$1005)-5),183)))=1),IFERROR(VLOOKUP(INDEX(checklistPesertaKemenkeu!$M$6:$M$1005,SMALL(IF(checklistPesertaKemenkeu!$AY$6:$AY$1005="Direkomendasikan",ROW($6:$1005)-5),183)),KotaKode,2,0),"-"),"")),"")</f>
        <v/>
      </c>
      <c r="J184" t="str">
        <f t="array" aca="1" ref="J184" ca="1">IFERROR(IF(OR(INDEX(checklistPesertaKemenkeu!$N$6:$N$1005,SMALL(IF(checklistPesertaKemenkeu!$AY$6:$AY$1005="Direkomendasikan",ROW($6:$1005)-5),183))="",INDEX(checklistPesertaKemenkeu!$J$6:$J$1005,SMALL(IF(checklistPesertaKemenkeu!$AY$6:$AY$1005="Direkomendasikan",ROW($6:$1005)-5),183))=""),"",IF(AND(COUNTIF(INDIRECT("K_"&amp;MATCH(INDEX(checklistPesertaKemenkeu!$J$6:$J$1005,SMALL(IF(checklistPesertaKemenkeu!$AY$6:$AY$1005="Direkomendasikan",ROW($6:$1005)-5),183)),BidangList,0)),INDEX(checklistPesertaKemenkeu!$N$6:$N$1005,SMALL(IF(checklistPesertaKemenkeu!$AY$6:$AY$1005="Direkomendasikan",ROW($6:$1005)-5),183)))&gt;0,COUNTIF(INDIRECT("'KERTAS KERJA'!K"&amp;(SMALL(IF(checklistPesertaKemenkeu!$AY$6:$AY$1005="Direkomendasikan",ROW($6:$1005)-5),183)+5)&amp;":O"&amp;(SMALL(IF(checklistPesertaKemenkeu!$AY$6:$AY$1005="Direkomendasikan",ROW($6:$1005)-5),183)+5)),INDEX(checklistPesertaKemenkeu!$N$6:$N$1005,SMALL(IF(checklistPesertaKemenkeu!$AY$6:$AY$1005="Direkomendasikan",ROW($6:$1005)-5),183)))=1),IFERROR(VLOOKUP(INDEX(checklistPesertaKemenkeu!$N$6:$N$1005,SMALL(IF(checklistPesertaKemenkeu!$AY$6:$AY$1005="Direkomendasikan",ROW($6:$1005)-5),183)),KotaKode,2,0),"-"),"")),"")</f>
        <v/>
      </c>
      <c r="K184" t="str">
        <f t="array" aca="1" ref="K184" ca="1">IFERROR(IF(OR(INDEX(checklistPesertaKemenkeu!$O$6:$O$1005,SMALL(IF(checklistPesertaKemenkeu!$AY$6:$AY$1005="Direkomendasikan",ROW($6:$1005)-5),183))="",INDEX(checklistPesertaKemenkeu!$J$6:$J$1005,SMALL(IF(checklistPesertaKemenkeu!$AY$6:$AY$1005="Direkomendasikan",ROW($6:$1005)-5),183))=""),"",IF(AND(COUNTIF(INDIRECT("K_"&amp;MATCH(INDEX(checklistPesertaKemenkeu!$J$6:$J$1005,SMALL(IF(checklistPesertaKemenkeu!$AY$6:$AY$1005="Direkomendasikan",ROW($6:$1005)-5),183)),BidangList,0)),INDEX(checklistPesertaKemenkeu!$O$6:$O$1005,SMALL(IF(checklistPesertaKemenkeu!$AY$6:$AY$1005="Direkomendasikan",ROW($6:$1005)-5),183)))&gt;0,COUNTIF(INDIRECT("'KERTAS KERJA'!K"&amp;(SMALL(IF(checklistPesertaKemenkeu!$AY$6:$AY$1005="Direkomendasikan",ROW($6:$1005)-5),183)+5)&amp;":O"&amp;(SMALL(IF(checklistPesertaKemenkeu!$AY$6:$AY$1005="Direkomendasikan",ROW($6:$1005)-5),183)+5)),INDEX(checklistPesertaKemenkeu!$O$6:$O$1005,SMALL(IF(checklistPesertaKemenkeu!$AY$6:$AY$1005="Direkomendasikan",ROW($6:$1005)-5),183)))=1),IFERROR(VLOOKUP(INDEX(checklistPesertaKemenkeu!$O$6:$O$1005,SMALL(IF(checklistPesertaKemenkeu!$AY$6:$AY$1005="Direkomendasikan",ROW($6:$1005)-5),183)),KotaKode,2,0),"-"),"")),"")</f>
        <v/>
      </c>
      <c r="L184" t="str">
        <f t="array" aca="1" ref="L184" ca="1">IFERROR(IF(OR(INDEX(checklistPesertaKemenkeu!$P$6:$P$1005,SMALL(IF(checklistPesertaKemenkeu!$AY$6:$AY$1005="Direkomendasikan",ROW($6:$1005)-5),183))="",INDEX(checklistPesertaKemenkeu!$J$6:$J$1005,SMALL(IF(checklistPesertaKemenkeu!$AY$6:$AY$1005="Direkomendasikan",ROW($6:$1005)-5),183))=""),"",IF(AND(COUNTIF(INDIRECT("K_"&amp;MATCH(INDEX(checklistPesertaKemenkeu!$J$6:$J$1005,SMALL(IF(checklistPesertaKemenkeu!$AY$6:$AY$1005="Direkomendasikan",ROW($6:$1005)-5),183)),BidangList,0)),INDEX(checklistPesertaKemenkeu!$P$6:$P$1005,SMALL(IF(checklistPesertaKemenkeu!$AY$6:$AY$1005="Direkomendasikan",ROW($6:$1005)-5),183)))&gt;0,COUNTIF(INDIRECT("'KERTAS KERJA'!K"&amp;(SMALL(IF(checklistPesertaKemenkeu!$AY$6:$AY$1005="Direkomendasikan",ROW($6:$1005)-5),183)+5)&amp;":O"&amp;(SMALL(IF(checklistPesertaKemenkeu!$AY$6:$AY$1005="Direkomendasikan",ROW($6:$1005)-5),183)+5)),INDEX(checklistPesertaKemenkeu!$P$6:$P$1005,SMALL(IF(checklistPesertaKemenkeu!$AY$6:$AY$1005="Direkomendasikan",ROW($6:$1005)-5),183)))=1),IFERROR(VLOOKUP(INDEX(checklistPesertaKemenkeu!$P$6:$P$1005,SMALL(IF(checklistPesertaKemenkeu!$AY$6:$AY$1005="Direkomendasikan",ROW($6:$1005)-5),183)),KotaKode,2,0),"-"),"")),"")</f>
        <v/>
      </c>
    </row>
    <row r="185" spans="1:12" ht="15" customHeight="1" x14ac:dyDescent="0.2">
      <c r="A185" t="str">
        <f t="shared" si="2"/>
        <v/>
      </c>
      <c r="B185" t="str">
        <v/>
      </c>
      <c r="C185" s="40" t="str">
        <f t="array" ref="C185">IFERROR(INDEX(checklistPesertaKemenkeu!$F$6:$F$1005,SMALL(IF(checklistPesertaKemenkeu!$AY$6:$AY$1005="Direkomendasikan",ROW($6:$1005)-5),184)),"")</f>
        <v/>
      </c>
      <c r="D185" t="str">
        <f t="array" ref="D185">IFERROR(INDEX(checklistPesertaKemenkeu!$G$6:$G$1005,SMALL(IF(checklistPesertaKemenkeu!$AY$6:$AY$1005="Direkomendasikan",ROW($6:$1005)-5),184)),"")</f>
        <v/>
      </c>
      <c r="E185" t="str">
        <f t="array" ref="E185">IFERROR(INDEX(checklistPesertaKemenkeu!$H$6:$H$1005,SMALL(IF(checklistPesertaKemenkeu!$AY$6:$AY$1005="Direkomendasikan",ROW($6:$1005)-5),184)),"")</f>
        <v/>
      </c>
      <c r="F185" t="str">
        <f t="array" ref="F185">IFERROR(INDEX(checklistPesertaKemenkeu!$I$6:$I$1005,SMALL(IF(checklistPesertaKemenkeu!$AY$6:$AY$1005="Direkomendasikan",ROW($6:$1005)-5),184)),"")</f>
        <v/>
      </c>
      <c r="G185" t="str">
        <f t="array" ref="G185">IFERROR(INDEX(checklistPesertaKemenkeu!$J$6:$J$1005,SMALL(IF(checklistPesertaKemenkeu!$AY$6:$AY$1005="Direkomendasikan",ROW($6:$1005)-5),184)),"")</f>
        <v/>
      </c>
      <c r="H185" t="str">
        <f t="array" aca="1" ref="H185" ca="1">IFERROR(IF(OR(INDEX(checklistPesertaKemenkeu!$L$6:$L$1005,SMALL(IF(checklistPesertaKemenkeu!$AY$6:$AY$1005="Direkomendasikan",ROW($6:$1005)-5),184))="",INDEX(checklistPesertaKemenkeu!$J$6:$J$1005,SMALL(IF(checklistPesertaKemenkeu!$AY$6:$AY$1005="Direkomendasikan",ROW($6:$1005)-5),184))=""),"",IF(AND(COUNTIF(INDIRECT("K_"&amp;MATCH(INDEX(checklistPesertaKemenkeu!$J$6:$J$1005,SMALL(IF(checklistPesertaKemenkeu!$AY$6:$AY$1005="Direkomendasikan",ROW($6:$1005)-5),184)),BidangList,0)),INDEX(checklistPesertaKemenkeu!$L$6:$L$1005,SMALL(IF(checklistPesertaKemenkeu!$AY$6:$AY$1005="Direkomendasikan",ROW($6:$1005)-5),184)))&gt;0,COUNTIF(INDIRECT("'KERTAS KERJA'!K"&amp;(SMALL(IF(checklistPesertaKemenkeu!$AY$6:$AY$1005="Direkomendasikan",ROW($6:$1005)-5),184)+5)&amp;":O"&amp;(SMALL(IF(checklistPesertaKemenkeu!$AY$6:$AY$1005="Direkomendasikan",ROW($6:$1005)-5),184)+5)),INDEX(checklistPesertaKemenkeu!$L$6:$L$1005,SMALL(IF(checklistPesertaKemenkeu!$AY$6:$AY$1005="Direkomendasikan",ROW($6:$1005)-5),184)))=1),IFERROR(VLOOKUP(INDEX(checklistPesertaKemenkeu!$L$6:$L$1005,SMALL(IF(checklistPesertaKemenkeu!$AY$6:$AY$1005="Direkomendasikan",ROW($6:$1005)-5),184)),KotaKode,2,0),"-"),"")),"")</f>
        <v/>
      </c>
      <c r="I185" t="str">
        <f t="array" aca="1" ref="I185" ca="1">IFERROR(IF(OR(INDEX(checklistPesertaKemenkeu!$M$6:$M$1005,SMALL(IF(checklistPesertaKemenkeu!$AY$6:$AY$1005="Direkomendasikan",ROW($6:$1005)-5),184))="",INDEX(checklistPesertaKemenkeu!$J$6:$J$1005,SMALL(IF(checklistPesertaKemenkeu!$AY$6:$AY$1005="Direkomendasikan",ROW($6:$1005)-5),184))=""),"",IF(AND(COUNTIF(INDIRECT("K_"&amp;MATCH(INDEX(checklistPesertaKemenkeu!$J$6:$J$1005,SMALL(IF(checklistPesertaKemenkeu!$AY$6:$AY$1005="Direkomendasikan",ROW($6:$1005)-5),184)),BidangList,0)),INDEX(checklistPesertaKemenkeu!$M$6:$M$1005,SMALL(IF(checklistPesertaKemenkeu!$AY$6:$AY$1005="Direkomendasikan",ROW($6:$1005)-5),184)))&gt;0,COUNTIF(INDIRECT("'KERTAS KERJA'!K"&amp;(SMALL(IF(checklistPesertaKemenkeu!$AY$6:$AY$1005="Direkomendasikan",ROW($6:$1005)-5),184)+5)&amp;":O"&amp;(SMALL(IF(checklistPesertaKemenkeu!$AY$6:$AY$1005="Direkomendasikan",ROW($6:$1005)-5),184)+5)),INDEX(checklistPesertaKemenkeu!$M$6:$M$1005,SMALL(IF(checklistPesertaKemenkeu!$AY$6:$AY$1005="Direkomendasikan",ROW($6:$1005)-5),184)))=1),IFERROR(VLOOKUP(INDEX(checklistPesertaKemenkeu!$M$6:$M$1005,SMALL(IF(checklistPesertaKemenkeu!$AY$6:$AY$1005="Direkomendasikan",ROW($6:$1005)-5),184)),KotaKode,2,0),"-"),"")),"")</f>
        <v/>
      </c>
      <c r="J185" t="str">
        <f t="array" aca="1" ref="J185" ca="1">IFERROR(IF(OR(INDEX(checklistPesertaKemenkeu!$N$6:$N$1005,SMALL(IF(checklistPesertaKemenkeu!$AY$6:$AY$1005="Direkomendasikan",ROW($6:$1005)-5),184))="",INDEX(checklistPesertaKemenkeu!$J$6:$J$1005,SMALL(IF(checklistPesertaKemenkeu!$AY$6:$AY$1005="Direkomendasikan",ROW($6:$1005)-5),184))=""),"",IF(AND(COUNTIF(INDIRECT("K_"&amp;MATCH(INDEX(checklistPesertaKemenkeu!$J$6:$J$1005,SMALL(IF(checklistPesertaKemenkeu!$AY$6:$AY$1005="Direkomendasikan",ROW($6:$1005)-5),184)),BidangList,0)),INDEX(checklistPesertaKemenkeu!$N$6:$N$1005,SMALL(IF(checklistPesertaKemenkeu!$AY$6:$AY$1005="Direkomendasikan",ROW($6:$1005)-5),184)))&gt;0,COUNTIF(INDIRECT("'KERTAS KERJA'!K"&amp;(SMALL(IF(checklistPesertaKemenkeu!$AY$6:$AY$1005="Direkomendasikan",ROW($6:$1005)-5),184)+5)&amp;":O"&amp;(SMALL(IF(checklistPesertaKemenkeu!$AY$6:$AY$1005="Direkomendasikan",ROW($6:$1005)-5),184)+5)),INDEX(checklistPesertaKemenkeu!$N$6:$N$1005,SMALL(IF(checklistPesertaKemenkeu!$AY$6:$AY$1005="Direkomendasikan",ROW($6:$1005)-5),184)))=1),IFERROR(VLOOKUP(INDEX(checklistPesertaKemenkeu!$N$6:$N$1005,SMALL(IF(checklistPesertaKemenkeu!$AY$6:$AY$1005="Direkomendasikan",ROW($6:$1005)-5),184)),KotaKode,2,0),"-"),"")),"")</f>
        <v/>
      </c>
      <c r="K185" t="str">
        <f t="array" aca="1" ref="K185" ca="1">IFERROR(IF(OR(INDEX(checklistPesertaKemenkeu!$O$6:$O$1005,SMALL(IF(checklistPesertaKemenkeu!$AY$6:$AY$1005="Direkomendasikan",ROW($6:$1005)-5),184))="",INDEX(checklistPesertaKemenkeu!$J$6:$J$1005,SMALL(IF(checklistPesertaKemenkeu!$AY$6:$AY$1005="Direkomendasikan",ROW($6:$1005)-5),184))=""),"",IF(AND(COUNTIF(INDIRECT("K_"&amp;MATCH(INDEX(checklistPesertaKemenkeu!$J$6:$J$1005,SMALL(IF(checklistPesertaKemenkeu!$AY$6:$AY$1005="Direkomendasikan",ROW($6:$1005)-5),184)),BidangList,0)),INDEX(checklistPesertaKemenkeu!$O$6:$O$1005,SMALL(IF(checklistPesertaKemenkeu!$AY$6:$AY$1005="Direkomendasikan",ROW($6:$1005)-5),184)))&gt;0,COUNTIF(INDIRECT("'KERTAS KERJA'!K"&amp;(SMALL(IF(checklistPesertaKemenkeu!$AY$6:$AY$1005="Direkomendasikan",ROW($6:$1005)-5),184)+5)&amp;":O"&amp;(SMALL(IF(checklistPesertaKemenkeu!$AY$6:$AY$1005="Direkomendasikan",ROW($6:$1005)-5),184)+5)),INDEX(checklistPesertaKemenkeu!$O$6:$O$1005,SMALL(IF(checklistPesertaKemenkeu!$AY$6:$AY$1005="Direkomendasikan",ROW($6:$1005)-5),184)))=1),IFERROR(VLOOKUP(INDEX(checklistPesertaKemenkeu!$O$6:$O$1005,SMALL(IF(checklistPesertaKemenkeu!$AY$6:$AY$1005="Direkomendasikan",ROW($6:$1005)-5),184)),KotaKode,2,0),"-"),"")),"")</f>
        <v/>
      </c>
      <c r="L185" t="str">
        <f t="array" aca="1" ref="L185" ca="1">IFERROR(IF(OR(INDEX(checklistPesertaKemenkeu!$P$6:$P$1005,SMALL(IF(checklistPesertaKemenkeu!$AY$6:$AY$1005="Direkomendasikan",ROW($6:$1005)-5),184))="",INDEX(checklistPesertaKemenkeu!$J$6:$J$1005,SMALL(IF(checklistPesertaKemenkeu!$AY$6:$AY$1005="Direkomendasikan",ROW($6:$1005)-5),184))=""),"",IF(AND(COUNTIF(INDIRECT("K_"&amp;MATCH(INDEX(checklistPesertaKemenkeu!$J$6:$J$1005,SMALL(IF(checklistPesertaKemenkeu!$AY$6:$AY$1005="Direkomendasikan",ROW($6:$1005)-5),184)),BidangList,0)),INDEX(checklistPesertaKemenkeu!$P$6:$P$1005,SMALL(IF(checklistPesertaKemenkeu!$AY$6:$AY$1005="Direkomendasikan",ROW($6:$1005)-5),184)))&gt;0,COUNTIF(INDIRECT("'KERTAS KERJA'!K"&amp;(SMALL(IF(checklistPesertaKemenkeu!$AY$6:$AY$1005="Direkomendasikan",ROW($6:$1005)-5),184)+5)&amp;":O"&amp;(SMALL(IF(checklistPesertaKemenkeu!$AY$6:$AY$1005="Direkomendasikan",ROW($6:$1005)-5),184)+5)),INDEX(checklistPesertaKemenkeu!$P$6:$P$1005,SMALL(IF(checklistPesertaKemenkeu!$AY$6:$AY$1005="Direkomendasikan",ROW($6:$1005)-5),184)))=1),IFERROR(VLOOKUP(INDEX(checklistPesertaKemenkeu!$P$6:$P$1005,SMALL(IF(checklistPesertaKemenkeu!$AY$6:$AY$1005="Direkomendasikan",ROW($6:$1005)-5),184)),KotaKode,2,0),"-"),"")),"")</f>
        <v/>
      </c>
    </row>
    <row r="186" spans="1:12" ht="15" customHeight="1" x14ac:dyDescent="0.2">
      <c r="A186" t="str">
        <f t="shared" si="2"/>
        <v/>
      </c>
      <c r="B186" t="str">
        <v/>
      </c>
      <c r="C186" s="40" t="str">
        <f t="array" ref="C186">IFERROR(INDEX(checklistPesertaKemenkeu!$F$6:$F$1005,SMALL(IF(checklistPesertaKemenkeu!$AY$6:$AY$1005="Direkomendasikan",ROW($6:$1005)-5),185)),"")</f>
        <v/>
      </c>
      <c r="D186" t="str">
        <f t="array" ref="D186">IFERROR(INDEX(checklistPesertaKemenkeu!$G$6:$G$1005,SMALL(IF(checklistPesertaKemenkeu!$AY$6:$AY$1005="Direkomendasikan",ROW($6:$1005)-5),185)),"")</f>
        <v/>
      </c>
      <c r="E186" t="str">
        <f t="array" ref="E186">IFERROR(INDEX(checklistPesertaKemenkeu!$H$6:$H$1005,SMALL(IF(checklistPesertaKemenkeu!$AY$6:$AY$1005="Direkomendasikan",ROW($6:$1005)-5),185)),"")</f>
        <v/>
      </c>
      <c r="F186" t="str">
        <f t="array" ref="F186">IFERROR(INDEX(checklistPesertaKemenkeu!$I$6:$I$1005,SMALL(IF(checklistPesertaKemenkeu!$AY$6:$AY$1005="Direkomendasikan",ROW($6:$1005)-5),185)),"")</f>
        <v/>
      </c>
      <c r="G186" t="str">
        <f t="array" ref="G186">IFERROR(INDEX(checklistPesertaKemenkeu!$J$6:$J$1005,SMALL(IF(checklistPesertaKemenkeu!$AY$6:$AY$1005="Direkomendasikan",ROW($6:$1005)-5),185)),"")</f>
        <v/>
      </c>
      <c r="H186" t="str">
        <f t="array" aca="1" ref="H186" ca="1">IFERROR(IF(OR(INDEX(checklistPesertaKemenkeu!$L$6:$L$1005,SMALL(IF(checklistPesertaKemenkeu!$AY$6:$AY$1005="Direkomendasikan",ROW($6:$1005)-5),185))="",INDEX(checklistPesertaKemenkeu!$J$6:$J$1005,SMALL(IF(checklistPesertaKemenkeu!$AY$6:$AY$1005="Direkomendasikan",ROW($6:$1005)-5),185))=""),"",IF(AND(COUNTIF(INDIRECT("K_"&amp;MATCH(INDEX(checklistPesertaKemenkeu!$J$6:$J$1005,SMALL(IF(checklistPesertaKemenkeu!$AY$6:$AY$1005="Direkomendasikan",ROW($6:$1005)-5),185)),BidangList,0)),INDEX(checklistPesertaKemenkeu!$L$6:$L$1005,SMALL(IF(checklistPesertaKemenkeu!$AY$6:$AY$1005="Direkomendasikan",ROW($6:$1005)-5),185)))&gt;0,COUNTIF(INDIRECT("'KERTAS KERJA'!K"&amp;(SMALL(IF(checklistPesertaKemenkeu!$AY$6:$AY$1005="Direkomendasikan",ROW($6:$1005)-5),185)+5)&amp;":O"&amp;(SMALL(IF(checklistPesertaKemenkeu!$AY$6:$AY$1005="Direkomendasikan",ROW($6:$1005)-5),185)+5)),INDEX(checklistPesertaKemenkeu!$L$6:$L$1005,SMALL(IF(checklistPesertaKemenkeu!$AY$6:$AY$1005="Direkomendasikan",ROW($6:$1005)-5),185)))=1),IFERROR(VLOOKUP(INDEX(checklistPesertaKemenkeu!$L$6:$L$1005,SMALL(IF(checklistPesertaKemenkeu!$AY$6:$AY$1005="Direkomendasikan",ROW($6:$1005)-5),185)),KotaKode,2,0),"-"),"")),"")</f>
        <v/>
      </c>
      <c r="I186" t="str">
        <f t="array" aca="1" ref="I186" ca="1">IFERROR(IF(OR(INDEX(checklistPesertaKemenkeu!$M$6:$M$1005,SMALL(IF(checklistPesertaKemenkeu!$AY$6:$AY$1005="Direkomendasikan",ROW($6:$1005)-5),185))="",INDEX(checklistPesertaKemenkeu!$J$6:$J$1005,SMALL(IF(checklistPesertaKemenkeu!$AY$6:$AY$1005="Direkomendasikan",ROW($6:$1005)-5),185))=""),"",IF(AND(COUNTIF(INDIRECT("K_"&amp;MATCH(INDEX(checklistPesertaKemenkeu!$J$6:$J$1005,SMALL(IF(checklistPesertaKemenkeu!$AY$6:$AY$1005="Direkomendasikan",ROW($6:$1005)-5),185)),BidangList,0)),INDEX(checklistPesertaKemenkeu!$M$6:$M$1005,SMALL(IF(checklistPesertaKemenkeu!$AY$6:$AY$1005="Direkomendasikan",ROW($6:$1005)-5),185)))&gt;0,COUNTIF(INDIRECT("'KERTAS KERJA'!K"&amp;(SMALL(IF(checklistPesertaKemenkeu!$AY$6:$AY$1005="Direkomendasikan",ROW($6:$1005)-5),185)+5)&amp;":O"&amp;(SMALL(IF(checklistPesertaKemenkeu!$AY$6:$AY$1005="Direkomendasikan",ROW($6:$1005)-5),185)+5)),INDEX(checklistPesertaKemenkeu!$M$6:$M$1005,SMALL(IF(checklistPesertaKemenkeu!$AY$6:$AY$1005="Direkomendasikan",ROW($6:$1005)-5),185)))=1),IFERROR(VLOOKUP(INDEX(checklistPesertaKemenkeu!$M$6:$M$1005,SMALL(IF(checklistPesertaKemenkeu!$AY$6:$AY$1005="Direkomendasikan",ROW($6:$1005)-5),185)),KotaKode,2,0),"-"),"")),"")</f>
        <v/>
      </c>
      <c r="J186" t="str">
        <f t="array" aca="1" ref="J186" ca="1">IFERROR(IF(OR(INDEX(checklistPesertaKemenkeu!$N$6:$N$1005,SMALL(IF(checklistPesertaKemenkeu!$AY$6:$AY$1005="Direkomendasikan",ROW($6:$1005)-5),185))="",INDEX(checklistPesertaKemenkeu!$J$6:$J$1005,SMALL(IF(checklistPesertaKemenkeu!$AY$6:$AY$1005="Direkomendasikan",ROW($6:$1005)-5),185))=""),"",IF(AND(COUNTIF(INDIRECT("K_"&amp;MATCH(INDEX(checklistPesertaKemenkeu!$J$6:$J$1005,SMALL(IF(checklistPesertaKemenkeu!$AY$6:$AY$1005="Direkomendasikan",ROW($6:$1005)-5),185)),BidangList,0)),INDEX(checklistPesertaKemenkeu!$N$6:$N$1005,SMALL(IF(checklistPesertaKemenkeu!$AY$6:$AY$1005="Direkomendasikan",ROW($6:$1005)-5),185)))&gt;0,COUNTIF(INDIRECT("'KERTAS KERJA'!K"&amp;(SMALL(IF(checklistPesertaKemenkeu!$AY$6:$AY$1005="Direkomendasikan",ROW($6:$1005)-5),185)+5)&amp;":O"&amp;(SMALL(IF(checklistPesertaKemenkeu!$AY$6:$AY$1005="Direkomendasikan",ROW($6:$1005)-5),185)+5)),INDEX(checklistPesertaKemenkeu!$N$6:$N$1005,SMALL(IF(checklistPesertaKemenkeu!$AY$6:$AY$1005="Direkomendasikan",ROW($6:$1005)-5),185)))=1),IFERROR(VLOOKUP(INDEX(checklistPesertaKemenkeu!$N$6:$N$1005,SMALL(IF(checklistPesertaKemenkeu!$AY$6:$AY$1005="Direkomendasikan",ROW($6:$1005)-5),185)),KotaKode,2,0),"-"),"")),"")</f>
        <v/>
      </c>
      <c r="K186" t="str">
        <f t="array" aca="1" ref="K186" ca="1">IFERROR(IF(OR(INDEX(checklistPesertaKemenkeu!$O$6:$O$1005,SMALL(IF(checklistPesertaKemenkeu!$AY$6:$AY$1005="Direkomendasikan",ROW($6:$1005)-5),185))="",INDEX(checklistPesertaKemenkeu!$J$6:$J$1005,SMALL(IF(checklistPesertaKemenkeu!$AY$6:$AY$1005="Direkomendasikan",ROW($6:$1005)-5),185))=""),"",IF(AND(COUNTIF(INDIRECT("K_"&amp;MATCH(INDEX(checklistPesertaKemenkeu!$J$6:$J$1005,SMALL(IF(checklistPesertaKemenkeu!$AY$6:$AY$1005="Direkomendasikan",ROW($6:$1005)-5),185)),BidangList,0)),INDEX(checklistPesertaKemenkeu!$O$6:$O$1005,SMALL(IF(checklistPesertaKemenkeu!$AY$6:$AY$1005="Direkomendasikan",ROW($6:$1005)-5),185)))&gt;0,COUNTIF(INDIRECT("'KERTAS KERJA'!K"&amp;(SMALL(IF(checklistPesertaKemenkeu!$AY$6:$AY$1005="Direkomendasikan",ROW($6:$1005)-5),185)+5)&amp;":O"&amp;(SMALL(IF(checklistPesertaKemenkeu!$AY$6:$AY$1005="Direkomendasikan",ROW($6:$1005)-5),185)+5)),INDEX(checklistPesertaKemenkeu!$O$6:$O$1005,SMALL(IF(checklistPesertaKemenkeu!$AY$6:$AY$1005="Direkomendasikan",ROW($6:$1005)-5),185)))=1),IFERROR(VLOOKUP(INDEX(checklistPesertaKemenkeu!$O$6:$O$1005,SMALL(IF(checklistPesertaKemenkeu!$AY$6:$AY$1005="Direkomendasikan",ROW($6:$1005)-5),185)),KotaKode,2,0),"-"),"")),"")</f>
        <v/>
      </c>
      <c r="L186" t="str">
        <f t="array" aca="1" ref="L186" ca="1">IFERROR(IF(OR(INDEX(checklistPesertaKemenkeu!$P$6:$P$1005,SMALL(IF(checklistPesertaKemenkeu!$AY$6:$AY$1005="Direkomendasikan",ROW($6:$1005)-5),185))="",INDEX(checklistPesertaKemenkeu!$J$6:$J$1005,SMALL(IF(checklistPesertaKemenkeu!$AY$6:$AY$1005="Direkomendasikan",ROW($6:$1005)-5),185))=""),"",IF(AND(COUNTIF(INDIRECT("K_"&amp;MATCH(INDEX(checklistPesertaKemenkeu!$J$6:$J$1005,SMALL(IF(checklistPesertaKemenkeu!$AY$6:$AY$1005="Direkomendasikan",ROW($6:$1005)-5),185)),BidangList,0)),INDEX(checklistPesertaKemenkeu!$P$6:$P$1005,SMALL(IF(checklistPesertaKemenkeu!$AY$6:$AY$1005="Direkomendasikan",ROW($6:$1005)-5),185)))&gt;0,COUNTIF(INDIRECT("'KERTAS KERJA'!K"&amp;(SMALL(IF(checklistPesertaKemenkeu!$AY$6:$AY$1005="Direkomendasikan",ROW($6:$1005)-5),185)+5)&amp;":O"&amp;(SMALL(IF(checklistPesertaKemenkeu!$AY$6:$AY$1005="Direkomendasikan",ROW($6:$1005)-5),185)+5)),INDEX(checklistPesertaKemenkeu!$P$6:$P$1005,SMALL(IF(checklistPesertaKemenkeu!$AY$6:$AY$1005="Direkomendasikan",ROW($6:$1005)-5),185)))=1),IFERROR(VLOOKUP(INDEX(checklistPesertaKemenkeu!$P$6:$P$1005,SMALL(IF(checklistPesertaKemenkeu!$AY$6:$AY$1005="Direkomendasikan",ROW($6:$1005)-5),185)),KotaKode,2,0),"-"),"")),"")</f>
        <v/>
      </c>
    </row>
    <row r="187" spans="1:12" ht="15" customHeight="1" x14ac:dyDescent="0.2">
      <c r="A187" t="str">
        <f t="shared" si="2"/>
        <v/>
      </c>
      <c r="B187" t="str">
        <v/>
      </c>
      <c r="C187" s="40" t="str">
        <f t="array" ref="C187">IFERROR(INDEX(checklistPesertaKemenkeu!$F$6:$F$1005,SMALL(IF(checklistPesertaKemenkeu!$AY$6:$AY$1005="Direkomendasikan",ROW($6:$1005)-5),186)),"")</f>
        <v/>
      </c>
      <c r="D187" t="str">
        <f t="array" ref="D187">IFERROR(INDEX(checklistPesertaKemenkeu!$G$6:$G$1005,SMALL(IF(checklistPesertaKemenkeu!$AY$6:$AY$1005="Direkomendasikan",ROW($6:$1005)-5),186)),"")</f>
        <v/>
      </c>
      <c r="E187" t="str">
        <f t="array" ref="E187">IFERROR(INDEX(checklistPesertaKemenkeu!$H$6:$H$1005,SMALL(IF(checklistPesertaKemenkeu!$AY$6:$AY$1005="Direkomendasikan",ROW($6:$1005)-5),186)),"")</f>
        <v/>
      </c>
      <c r="F187" t="str">
        <f t="array" ref="F187">IFERROR(INDEX(checklistPesertaKemenkeu!$I$6:$I$1005,SMALL(IF(checklistPesertaKemenkeu!$AY$6:$AY$1005="Direkomendasikan",ROW($6:$1005)-5),186)),"")</f>
        <v/>
      </c>
      <c r="G187" t="str">
        <f t="array" ref="G187">IFERROR(INDEX(checklistPesertaKemenkeu!$J$6:$J$1005,SMALL(IF(checklistPesertaKemenkeu!$AY$6:$AY$1005="Direkomendasikan",ROW($6:$1005)-5),186)),"")</f>
        <v/>
      </c>
      <c r="H187" t="str">
        <f t="array" aca="1" ref="H187" ca="1">IFERROR(IF(OR(INDEX(checklistPesertaKemenkeu!$L$6:$L$1005,SMALL(IF(checklistPesertaKemenkeu!$AY$6:$AY$1005="Direkomendasikan",ROW($6:$1005)-5),186))="",INDEX(checklistPesertaKemenkeu!$J$6:$J$1005,SMALL(IF(checklistPesertaKemenkeu!$AY$6:$AY$1005="Direkomendasikan",ROW($6:$1005)-5),186))=""),"",IF(AND(COUNTIF(INDIRECT("K_"&amp;MATCH(INDEX(checklistPesertaKemenkeu!$J$6:$J$1005,SMALL(IF(checklistPesertaKemenkeu!$AY$6:$AY$1005="Direkomendasikan",ROW($6:$1005)-5),186)),BidangList,0)),INDEX(checklistPesertaKemenkeu!$L$6:$L$1005,SMALL(IF(checklistPesertaKemenkeu!$AY$6:$AY$1005="Direkomendasikan",ROW($6:$1005)-5),186)))&gt;0,COUNTIF(INDIRECT("'KERTAS KERJA'!K"&amp;(SMALL(IF(checklistPesertaKemenkeu!$AY$6:$AY$1005="Direkomendasikan",ROW($6:$1005)-5),186)+5)&amp;":O"&amp;(SMALL(IF(checklistPesertaKemenkeu!$AY$6:$AY$1005="Direkomendasikan",ROW($6:$1005)-5),186)+5)),INDEX(checklistPesertaKemenkeu!$L$6:$L$1005,SMALL(IF(checklistPesertaKemenkeu!$AY$6:$AY$1005="Direkomendasikan",ROW($6:$1005)-5),186)))=1),IFERROR(VLOOKUP(INDEX(checklistPesertaKemenkeu!$L$6:$L$1005,SMALL(IF(checklistPesertaKemenkeu!$AY$6:$AY$1005="Direkomendasikan",ROW($6:$1005)-5),186)),KotaKode,2,0),"-"),"")),"")</f>
        <v/>
      </c>
      <c r="I187" t="str">
        <f t="array" aca="1" ref="I187" ca="1">IFERROR(IF(OR(INDEX(checklistPesertaKemenkeu!$M$6:$M$1005,SMALL(IF(checklistPesertaKemenkeu!$AY$6:$AY$1005="Direkomendasikan",ROW($6:$1005)-5),186))="",INDEX(checklistPesertaKemenkeu!$J$6:$J$1005,SMALL(IF(checklistPesertaKemenkeu!$AY$6:$AY$1005="Direkomendasikan",ROW($6:$1005)-5),186))=""),"",IF(AND(COUNTIF(INDIRECT("K_"&amp;MATCH(INDEX(checklistPesertaKemenkeu!$J$6:$J$1005,SMALL(IF(checklistPesertaKemenkeu!$AY$6:$AY$1005="Direkomendasikan",ROW($6:$1005)-5),186)),BidangList,0)),INDEX(checklistPesertaKemenkeu!$M$6:$M$1005,SMALL(IF(checklistPesertaKemenkeu!$AY$6:$AY$1005="Direkomendasikan",ROW($6:$1005)-5),186)))&gt;0,COUNTIF(INDIRECT("'KERTAS KERJA'!K"&amp;(SMALL(IF(checklistPesertaKemenkeu!$AY$6:$AY$1005="Direkomendasikan",ROW($6:$1005)-5),186)+5)&amp;":O"&amp;(SMALL(IF(checklistPesertaKemenkeu!$AY$6:$AY$1005="Direkomendasikan",ROW($6:$1005)-5),186)+5)),INDEX(checklistPesertaKemenkeu!$M$6:$M$1005,SMALL(IF(checklistPesertaKemenkeu!$AY$6:$AY$1005="Direkomendasikan",ROW($6:$1005)-5),186)))=1),IFERROR(VLOOKUP(INDEX(checklistPesertaKemenkeu!$M$6:$M$1005,SMALL(IF(checklistPesertaKemenkeu!$AY$6:$AY$1005="Direkomendasikan",ROW($6:$1005)-5),186)),KotaKode,2,0),"-"),"")),"")</f>
        <v/>
      </c>
      <c r="J187" t="str">
        <f t="array" aca="1" ref="J187" ca="1">IFERROR(IF(OR(INDEX(checklistPesertaKemenkeu!$N$6:$N$1005,SMALL(IF(checklistPesertaKemenkeu!$AY$6:$AY$1005="Direkomendasikan",ROW($6:$1005)-5),186))="",INDEX(checklistPesertaKemenkeu!$J$6:$J$1005,SMALL(IF(checklistPesertaKemenkeu!$AY$6:$AY$1005="Direkomendasikan",ROW($6:$1005)-5),186))=""),"",IF(AND(COUNTIF(INDIRECT("K_"&amp;MATCH(INDEX(checklistPesertaKemenkeu!$J$6:$J$1005,SMALL(IF(checklistPesertaKemenkeu!$AY$6:$AY$1005="Direkomendasikan",ROW($6:$1005)-5),186)),BidangList,0)),INDEX(checklistPesertaKemenkeu!$N$6:$N$1005,SMALL(IF(checklistPesertaKemenkeu!$AY$6:$AY$1005="Direkomendasikan",ROW($6:$1005)-5),186)))&gt;0,COUNTIF(INDIRECT("'KERTAS KERJA'!K"&amp;(SMALL(IF(checklistPesertaKemenkeu!$AY$6:$AY$1005="Direkomendasikan",ROW($6:$1005)-5),186)+5)&amp;":O"&amp;(SMALL(IF(checklistPesertaKemenkeu!$AY$6:$AY$1005="Direkomendasikan",ROW($6:$1005)-5),186)+5)),INDEX(checklistPesertaKemenkeu!$N$6:$N$1005,SMALL(IF(checklistPesertaKemenkeu!$AY$6:$AY$1005="Direkomendasikan",ROW($6:$1005)-5),186)))=1),IFERROR(VLOOKUP(INDEX(checklistPesertaKemenkeu!$N$6:$N$1005,SMALL(IF(checklistPesertaKemenkeu!$AY$6:$AY$1005="Direkomendasikan",ROW($6:$1005)-5),186)),KotaKode,2,0),"-"),"")),"")</f>
        <v/>
      </c>
      <c r="K187" t="str">
        <f t="array" aca="1" ref="K187" ca="1">IFERROR(IF(OR(INDEX(checklistPesertaKemenkeu!$O$6:$O$1005,SMALL(IF(checklistPesertaKemenkeu!$AY$6:$AY$1005="Direkomendasikan",ROW($6:$1005)-5),186))="",INDEX(checklistPesertaKemenkeu!$J$6:$J$1005,SMALL(IF(checklistPesertaKemenkeu!$AY$6:$AY$1005="Direkomendasikan",ROW($6:$1005)-5),186))=""),"",IF(AND(COUNTIF(INDIRECT("K_"&amp;MATCH(INDEX(checklistPesertaKemenkeu!$J$6:$J$1005,SMALL(IF(checklistPesertaKemenkeu!$AY$6:$AY$1005="Direkomendasikan",ROW($6:$1005)-5),186)),BidangList,0)),INDEX(checklistPesertaKemenkeu!$O$6:$O$1005,SMALL(IF(checklistPesertaKemenkeu!$AY$6:$AY$1005="Direkomendasikan",ROW($6:$1005)-5),186)))&gt;0,COUNTIF(INDIRECT("'KERTAS KERJA'!K"&amp;(SMALL(IF(checklistPesertaKemenkeu!$AY$6:$AY$1005="Direkomendasikan",ROW($6:$1005)-5),186)+5)&amp;":O"&amp;(SMALL(IF(checklistPesertaKemenkeu!$AY$6:$AY$1005="Direkomendasikan",ROW($6:$1005)-5),186)+5)),INDEX(checklistPesertaKemenkeu!$O$6:$O$1005,SMALL(IF(checklistPesertaKemenkeu!$AY$6:$AY$1005="Direkomendasikan",ROW($6:$1005)-5),186)))=1),IFERROR(VLOOKUP(INDEX(checklistPesertaKemenkeu!$O$6:$O$1005,SMALL(IF(checklistPesertaKemenkeu!$AY$6:$AY$1005="Direkomendasikan",ROW($6:$1005)-5),186)),KotaKode,2,0),"-"),"")),"")</f>
        <v/>
      </c>
      <c r="L187" t="str">
        <f t="array" aca="1" ref="L187" ca="1">IFERROR(IF(OR(INDEX(checklistPesertaKemenkeu!$P$6:$P$1005,SMALL(IF(checklistPesertaKemenkeu!$AY$6:$AY$1005="Direkomendasikan",ROW($6:$1005)-5),186))="",INDEX(checklistPesertaKemenkeu!$J$6:$J$1005,SMALL(IF(checklistPesertaKemenkeu!$AY$6:$AY$1005="Direkomendasikan",ROW($6:$1005)-5),186))=""),"",IF(AND(COUNTIF(INDIRECT("K_"&amp;MATCH(INDEX(checklistPesertaKemenkeu!$J$6:$J$1005,SMALL(IF(checklistPesertaKemenkeu!$AY$6:$AY$1005="Direkomendasikan",ROW($6:$1005)-5),186)),BidangList,0)),INDEX(checklistPesertaKemenkeu!$P$6:$P$1005,SMALL(IF(checklistPesertaKemenkeu!$AY$6:$AY$1005="Direkomendasikan",ROW($6:$1005)-5),186)))&gt;0,COUNTIF(INDIRECT("'KERTAS KERJA'!K"&amp;(SMALL(IF(checklistPesertaKemenkeu!$AY$6:$AY$1005="Direkomendasikan",ROW($6:$1005)-5),186)+5)&amp;":O"&amp;(SMALL(IF(checklistPesertaKemenkeu!$AY$6:$AY$1005="Direkomendasikan",ROW($6:$1005)-5),186)+5)),INDEX(checklistPesertaKemenkeu!$P$6:$P$1005,SMALL(IF(checklistPesertaKemenkeu!$AY$6:$AY$1005="Direkomendasikan",ROW($6:$1005)-5),186)))=1),IFERROR(VLOOKUP(INDEX(checklistPesertaKemenkeu!$P$6:$P$1005,SMALL(IF(checklistPesertaKemenkeu!$AY$6:$AY$1005="Direkomendasikan",ROW($6:$1005)-5),186)),KotaKode,2,0),"-"),"")),"")</f>
        <v/>
      </c>
    </row>
    <row r="188" spans="1:12" ht="15" customHeight="1" x14ac:dyDescent="0.2">
      <c r="A188" t="str">
        <f t="shared" si="2"/>
        <v/>
      </c>
      <c r="B188" t="str">
        <v/>
      </c>
      <c r="C188" s="40" t="str">
        <f t="array" ref="C188">IFERROR(INDEX(checklistPesertaKemenkeu!$F$6:$F$1005,SMALL(IF(checklistPesertaKemenkeu!$AY$6:$AY$1005="Direkomendasikan",ROW($6:$1005)-5),187)),"")</f>
        <v/>
      </c>
      <c r="D188" t="str">
        <f t="array" ref="D188">IFERROR(INDEX(checklistPesertaKemenkeu!$G$6:$G$1005,SMALL(IF(checklistPesertaKemenkeu!$AY$6:$AY$1005="Direkomendasikan",ROW($6:$1005)-5),187)),"")</f>
        <v/>
      </c>
      <c r="E188" t="str">
        <f t="array" ref="E188">IFERROR(INDEX(checklistPesertaKemenkeu!$H$6:$H$1005,SMALL(IF(checklistPesertaKemenkeu!$AY$6:$AY$1005="Direkomendasikan",ROW($6:$1005)-5),187)),"")</f>
        <v/>
      </c>
      <c r="F188" t="str">
        <f t="array" ref="F188">IFERROR(INDEX(checklistPesertaKemenkeu!$I$6:$I$1005,SMALL(IF(checklistPesertaKemenkeu!$AY$6:$AY$1005="Direkomendasikan",ROW($6:$1005)-5),187)),"")</f>
        <v/>
      </c>
      <c r="G188" t="str">
        <f t="array" ref="G188">IFERROR(INDEX(checklistPesertaKemenkeu!$J$6:$J$1005,SMALL(IF(checklistPesertaKemenkeu!$AY$6:$AY$1005="Direkomendasikan",ROW($6:$1005)-5),187)),"")</f>
        <v/>
      </c>
      <c r="H188" t="str">
        <f t="array" aca="1" ref="H188" ca="1">IFERROR(IF(OR(INDEX(checklistPesertaKemenkeu!$L$6:$L$1005,SMALL(IF(checklistPesertaKemenkeu!$AY$6:$AY$1005="Direkomendasikan",ROW($6:$1005)-5),187))="",INDEX(checklistPesertaKemenkeu!$J$6:$J$1005,SMALL(IF(checklistPesertaKemenkeu!$AY$6:$AY$1005="Direkomendasikan",ROW($6:$1005)-5),187))=""),"",IF(AND(COUNTIF(INDIRECT("K_"&amp;MATCH(INDEX(checklistPesertaKemenkeu!$J$6:$J$1005,SMALL(IF(checklistPesertaKemenkeu!$AY$6:$AY$1005="Direkomendasikan",ROW($6:$1005)-5),187)),BidangList,0)),INDEX(checklistPesertaKemenkeu!$L$6:$L$1005,SMALL(IF(checklistPesertaKemenkeu!$AY$6:$AY$1005="Direkomendasikan",ROW($6:$1005)-5),187)))&gt;0,COUNTIF(INDIRECT("'KERTAS KERJA'!K"&amp;(SMALL(IF(checklistPesertaKemenkeu!$AY$6:$AY$1005="Direkomendasikan",ROW($6:$1005)-5),187)+5)&amp;":O"&amp;(SMALL(IF(checklistPesertaKemenkeu!$AY$6:$AY$1005="Direkomendasikan",ROW($6:$1005)-5),187)+5)),INDEX(checklistPesertaKemenkeu!$L$6:$L$1005,SMALL(IF(checklistPesertaKemenkeu!$AY$6:$AY$1005="Direkomendasikan",ROW($6:$1005)-5),187)))=1),IFERROR(VLOOKUP(INDEX(checklistPesertaKemenkeu!$L$6:$L$1005,SMALL(IF(checklistPesertaKemenkeu!$AY$6:$AY$1005="Direkomendasikan",ROW($6:$1005)-5),187)),KotaKode,2,0),"-"),"")),"")</f>
        <v/>
      </c>
      <c r="I188" t="str">
        <f t="array" aca="1" ref="I188" ca="1">IFERROR(IF(OR(INDEX(checklistPesertaKemenkeu!$M$6:$M$1005,SMALL(IF(checklistPesertaKemenkeu!$AY$6:$AY$1005="Direkomendasikan",ROW($6:$1005)-5),187))="",INDEX(checklistPesertaKemenkeu!$J$6:$J$1005,SMALL(IF(checklistPesertaKemenkeu!$AY$6:$AY$1005="Direkomendasikan",ROW($6:$1005)-5),187))=""),"",IF(AND(COUNTIF(INDIRECT("K_"&amp;MATCH(INDEX(checklistPesertaKemenkeu!$J$6:$J$1005,SMALL(IF(checklistPesertaKemenkeu!$AY$6:$AY$1005="Direkomendasikan",ROW($6:$1005)-5),187)),BidangList,0)),INDEX(checklistPesertaKemenkeu!$M$6:$M$1005,SMALL(IF(checklistPesertaKemenkeu!$AY$6:$AY$1005="Direkomendasikan",ROW($6:$1005)-5),187)))&gt;0,COUNTIF(INDIRECT("'KERTAS KERJA'!K"&amp;(SMALL(IF(checklistPesertaKemenkeu!$AY$6:$AY$1005="Direkomendasikan",ROW($6:$1005)-5),187)+5)&amp;":O"&amp;(SMALL(IF(checklistPesertaKemenkeu!$AY$6:$AY$1005="Direkomendasikan",ROW($6:$1005)-5),187)+5)),INDEX(checklistPesertaKemenkeu!$M$6:$M$1005,SMALL(IF(checklistPesertaKemenkeu!$AY$6:$AY$1005="Direkomendasikan",ROW($6:$1005)-5),187)))=1),IFERROR(VLOOKUP(INDEX(checklistPesertaKemenkeu!$M$6:$M$1005,SMALL(IF(checklistPesertaKemenkeu!$AY$6:$AY$1005="Direkomendasikan",ROW($6:$1005)-5),187)),KotaKode,2,0),"-"),"")),"")</f>
        <v/>
      </c>
      <c r="J188" t="str">
        <f t="array" aca="1" ref="J188" ca="1">IFERROR(IF(OR(INDEX(checklistPesertaKemenkeu!$N$6:$N$1005,SMALL(IF(checklistPesertaKemenkeu!$AY$6:$AY$1005="Direkomendasikan",ROW($6:$1005)-5),187))="",INDEX(checklistPesertaKemenkeu!$J$6:$J$1005,SMALL(IF(checklistPesertaKemenkeu!$AY$6:$AY$1005="Direkomendasikan",ROW($6:$1005)-5),187))=""),"",IF(AND(COUNTIF(INDIRECT("K_"&amp;MATCH(INDEX(checklistPesertaKemenkeu!$J$6:$J$1005,SMALL(IF(checklistPesertaKemenkeu!$AY$6:$AY$1005="Direkomendasikan",ROW($6:$1005)-5),187)),BidangList,0)),INDEX(checklistPesertaKemenkeu!$N$6:$N$1005,SMALL(IF(checklistPesertaKemenkeu!$AY$6:$AY$1005="Direkomendasikan",ROW($6:$1005)-5),187)))&gt;0,COUNTIF(INDIRECT("'KERTAS KERJA'!K"&amp;(SMALL(IF(checklistPesertaKemenkeu!$AY$6:$AY$1005="Direkomendasikan",ROW($6:$1005)-5),187)+5)&amp;":O"&amp;(SMALL(IF(checklistPesertaKemenkeu!$AY$6:$AY$1005="Direkomendasikan",ROW($6:$1005)-5),187)+5)),INDEX(checklistPesertaKemenkeu!$N$6:$N$1005,SMALL(IF(checklistPesertaKemenkeu!$AY$6:$AY$1005="Direkomendasikan",ROW($6:$1005)-5),187)))=1),IFERROR(VLOOKUP(INDEX(checklistPesertaKemenkeu!$N$6:$N$1005,SMALL(IF(checklistPesertaKemenkeu!$AY$6:$AY$1005="Direkomendasikan",ROW($6:$1005)-5),187)),KotaKode,2,0),"-"),"")),"")</f>
        <v/>
      </c>
      <c r="K188" t="str">
        <f t="array" aca="1" ref="K188" ca="1">IFERROR(IF(OR(INDEX(checklistPesertaKemenkeu!$O$6:$O$1005,SMALL(IF(checklistPesertaKemenkeu!$AY$6:$AY$1005="Direkomendasikan",ROW($6:$1005)-5),187))="",INDEX(checklistPesertaKemenkeu!$J$6:$J$1005,SMALL(IF(checklistPesertaKemenkeu!$AY$6:$AY$1005="Direkomendasikan",ROW($6:$1005)-5),187))=""),"",IF(AND(COUNTIF(INDIRECT("K_"&amp;MATCH(INDEX(checklistPesertaKemenkeu!$J$6:$J$1005,SMALL(IF(checklistPesertaKemenkeu!$AY$6:$AY$1005="Direkomendasikan",ROW($6:$1005)-5),187)),BidangList,0)),INDEX(checklistPesertaKemenkeu!$O$6:$O$1005,SMALL(IF(checklistPesertaKemenkeu!$AY$6:$AY$1005="Direkomendasikan",ROW($6:$1005)-5),187)))&gt;0,COUNTIF(INDIRECT("'KERTAS KERJA'!K"&amp;(SMALL(IF(checklistPesertaKemenkeu!$AY$6:$AY$1005="Direkomendasikan",ROW($6:$1005)-5),187)+5)&amp;":O"&amp;(SMALL(IF(checklistPesertaKemenkeu!$AY$6:$AY$1005="Direkomendasikan",ROW($6:$1005)-5),187)+5)),INDEX(checklistPesertaKemenkeu!$O$6:$O$1005,SMALL(IF(checklistPesertaKemenkeu!$AY$6:$AY$1005="Direkomendasikan",ROW($6:$1005)-5),187)))=1),IFERROR(VLOOKUP(INDEX(checklistPesertaKemenkeu!$O$6:$O$1005,SMALL(IF(checklistPesertaKemenkeu!$AY$6:$AY$1005="Direkomendasikan",ROW($6:$1005)-5),187)),KotaKode,2,0),"-"),"")),"")</f>
        <v/>
      </c>
      <c r="L188" t="str">
        <f t="array" aca="1" ref="L188" ca="1">IFERROR(IF(OR(INDEX(checklistPesertaKemenkeu!$P$6:$P$1005,SMALL(IF(checklistPesertaKemenkeu!$AY$6:$AY$1005="Direkomendasikan",ROW($6:$1005)-5),187))="",INDEX(checklistPesertaKemenkeu!$J$6:$J$1005,SMALL(IF(checklistPesertaKemenkeu!$AY$6:$AY$1005="Direkomendasikan",ROW($6:$1005)-5),187))=""),"",IF(AND(COUNTIF(INDIRECT("K_"&amp;MATCH(INDEX(checklistPesertaKemenkeu!$J$6:$J$1005,SMALL(IF(checklistPesertaKemenkeu!$AY$6:$AY$1005="Direkomendasikan",ROW($6:$1005)-5),187)),BidangList,0)),INDEX(checklistPesertaKemenkeu!$P$6:$P$1005,SMALL(IF(checklistPesertaKemenkeu!$AY$6:$AY$1005="Direkomendasikan",ROW($6:$1005)-5),187)))&gt;0,COUNTIF(INDIRECT("'KERTAS KERJA'!K"&amp;(SMALL(IF(checklistPesertaKemenkeu!$AY$6:$AY$1005="Direkomendasikan",ROW($6:$1005)-5),187)+5)&amp;":O"&amp;(SMALL(IF(checklistPesertaKemenkeu!$AY$6:$AY$1005="Direkomendasikan",ROW($6:$1005)-5),187)+5)),INDEX(checklistPesertaKemenkeu!$P$6:$P$1005,SMALL(IF(checklistPesertaKemenkeu!$AY$6:$AY$1005="Direkomendasikan",ROW($6:$1005)-5),187)))=1),IFERROR(VLOOKUP(INDEX(checklistPesertaKemenkeu!$P$6:$P$1005,SMALL(IF(checklistPesertaKemenkeu!$AY$6:$AY$1005="Direkomendasikan",ROW($6:$1005)-5),187)),KotaKode,2,0),"-"),"")),"")</f>
        <v/>
      </c>
    </row>
    <row r="189" spans="1:12" ht="15" customHeight="1" x14ac:dyDescent="0.2">
      <c r="A189" t="str">
        <f t="shared" si="2"/>
        <v/>
      </c>
      <c r="B189" t="str">
        <v/>
      </c>
      <c r="C189" s="40" t="str">
        <f t="array" ref="C189">IFERROR(INDEX(checklistPesertaKemenkeu!$F$6:$F$1005,SMALL(IF(checklistPesertaKemenkeu!$AY$6:$AY$1005="Direkomendasikan",ROW($6:$1005)-5),188)),"")</f>
        <v/>
      </c>
      <c r="D189" t="str">
        <f t="array" ref="D189">IFERROR(INDEX(checklistPesertaKemenkeu!$G$6:$G$1005,SMALL(IF(checklistPesertaKemenkeu!$AY$6:$AY$1005="Direkomendasikan",ROW($6:$1005)-5),188)),"")</f>
        <v/>
      </c>
      <c r="E189" t="str">
        <f t="array" ref="E189">IFERROR(INDEX(checklistPesertaKemenkeu!$H$6:$H$1005,SMALL(IF(checklistPesertaKemenkeu!$AY$6:$AY$1005="Direkomendasikan",ROW($6:$1005)-5),188)),"")</f>
        <v/>
      </c>
      <c r="F189" t="str">
        <f t="array" ref="F189">IFERROR(INDEX(checklistPesertaKemenkeu!$I$6:$I$1005,SMALL(IF(checklistPesertaKemenkeu!$AY$6:$AY$1005="Direkomendasikan",ROW($6:$1005)-5),188)),"")</f>
        <v/>
      </c>
      <c r="G189" t="str">
        <f t="array" ref="G189">IFERROR(INDEX(checklistPesertaKemenkeu!$J$6:$J$1005,SMALL(IF(checklistPesertaKemenkeu!$AY$6:$AY$1005="Direkomendasikan",ROW($6:$1005)-5),188)),"")</f>
        <v/>
      </c>
      <c r="H189" t="str">
        <f t="array" aca="1" ref="H189" ca="1">IFERROR(IF(OR(INDEX(checklistPesertaKemenkeu!$L$6:$L$1005,SMALL(IF(checklistPesertaKemenkeu!$AY$6:$AY$1005="Direkomendasikan",ROW($6:$1005)-5),188))="",INDEX(checklistPesertaKemenkeu!$J$6:$J$1005,SMALL(IF(checklistPesertaKemenkeu!$AY$6:$AY$1005="Direkomendasikan",ROW($6:$1005)-5),188))=""),"",IF(AND(COUNTIF(INDIRECT("K_"&amp;MATCH(INDEX(checklistPesertaKemenkeu!$J$6:$J$1005,SMALL(IF(checklistPesertaKemenkeu!$AY$6:$AY$1005="Direkomendasikan",ROW($6:$1005)-5),188)),BidangList,0)),INDEX(checklistPesertaKemenkeu!$L$6:$L$1005,SMALL(IF(checklistPesertaKemenkeu!$AY$6:$AY$1005="Direkomendasikan",ROW($6:$1005)-5),188)))&gt;0,COUNTIF(INDIRECT("'KERTAS KERJA'!K"&amp;(SMALL(IF(checklistPesertaKemenkeu!$AY$6:$AY$1005="Direkomendasikan",ROW($6:$1005)-5),188)+5)&amp;":O"&amp;(SMALL(IF(checklistPesertaKemenkeu!$AY$6:$AY$1005="Direkomendasikan",ROW($6:$1005)-5),188)+5)),INDEX(checklistPesertaKemenkeu!$L$6:$L$1005,SMALL(IF(checklistPesertaKemenkeu!$AY$6:$AY$1005="Direkomendasikan",ROW($6:$1005)-5),188)))=1),IFERROR(VLOOKUP(INDEX(checklistPesertaKemenkeu!$L$6:$L$1005,SMALL(IF(checklistPesertaKemenkeu!$AY$6:$AY$1005="Direkomendasikan",ROW($6:$1005)-5),188)),KotaKode,2,0),"-"),"")),"")</f>
        <v/>
      </c>
      <c r="I189" t="str">
        <f t="array" aca="1" ref="I189" ca="1">IFERROR(IF(OR(INDEX(checklistPesertaKemenkeu!$M$6:$M$1005,SMALL(IF(checklistPesertaKemenkeu!$AY$6:$AY$1005="Direkomendasikan",ROW($6:$1005)-5),188))="",INDEX(checklistPesertaKemenkeu!$J$6:$J$1005,SMALL(IF(checklistPesertaKemenkeu!$AY$6:$AY$1005="Direkomendasikan",ROW($6:$1005)-5),188))=""),"",IF(AND(COUNTIF(INDIRECT("K_"&amp;MATCH(INDEX(checklistPesertaKemenkeu!$J$6:$J$1005,SMALL(IF(checklistPesertaKemenkeu!$AY$6:$AY$1005="Direkomendasikan",ROW($6:$1005)-5),188)),BidangList,0)),INDEX(checklistPesertaKemenkeu!$M$6:$M$1005,SMALL(IF(checklistPesertaKemenkeu!$AY$6:$AY$1005="Direkomendasikan",ROW($6:$1005)-5),188)))&gt;0,COUNTIF(INDIRECT("'KERTAS KERJA'!K"&amp;(SMALL(IF(checklistPesertaKemenkeu!$AY$6:$AY$1005="Direkomendasikan",ROW($6:$1005)-5),188)+5)&amp;":O"&amp;(SMALL(IF(checklistPesertaKemenkeu!$AY$6:$AY$1005="Direkomendasikan",ROW($6:$1005)-5),188)+5)),INDEX(checklistPesertaKemenkeu!$M$6:$M$1005,SMALL(IF(checklistPesertaKemenkeu!$AY$6:$AY$1005="Direkomendasikan",ROW($6:$1005)-5),188)))=1),IFERROR(VLOOKUP(INDEX(checklistPesertaKemenkeu!$M$6:$M$1005,SMALL(IF(checklistPesertaKemenkeu!$AY$6:$AY$1005="Direkomendasikan",ROW($6:$1005)-5),188)),KotaKode,2,0),"-"),"")),"")</f>
        <v/>
      </c>
      <c r="J189" t="str">
        <f t="array" aca="1" ref="J189" ca="1">IFERROR(IF(OR(INDEX(checklistPesertaKemenkeu!$N$6:$N$1005,SMALL(IF(checklistPesertaKemenkeu!$AY$6:$AY$1005="Direkomendasikan",ROW($6:$1005)-5),188))="",INDEX(checklistPesertaKemenkeu!$J$6:$J$1005,SMALL(IF(checklistPesertaKemenkeu!$AY$6:$AY$1005="Direkomendasikan",ROW($6:$1005)-5),188))=""),"",IF(AND(COUNTIF(INDIRECT("K_"&amp;MATCH(INDEX(checklistPesertaKemenkeu!$J$6:$J$1005,SMALL(IF(checklistPesertaKemenkeu!$AY$6:$AY$1005="Direkomendasikan",ROW($6:$1005)-5),188)),BidangList,0)),INDEX(checklistPesertaKemenkeu!$N$6:$N$1005,SMALL(IF(checklistPesertaKemenkeu!$AY$6:$AY$1005="Direkomendasikan",ROW($6:$1005)-5),188)))&gt;0,COUNTIF(INDIRECT("'KERTAS KERJA'!K"&amp;(SMALL(IF(checklistPesertaKemenkeu!$AY$6:$AY$1005="Direkomendasikan",ROW($6:$1005)-5),188)+5)&amp;":O"&amp;(SMALL(IF(checklistPesertaKemenkeu!$AY$6:$AY$1005="Direkomendasikan",ROW($6:$1005)-5),188)+5)),INDEX(checklistPesertaKemenkeu!$N$6:$N$1005,SMALL(IF(checklistPesertaKemenkeu!$AY$6:$AY$1005="Direkomendasikan",ROW($6:$1005)-5),188)))=1),IFERROR(VLOOKUP(INDEX(checklistPesertaKemenkeu!$N$6:$N$1005,SMALL(IF(checklistPesertaKemenkeu!$AY$6:$AY$1005="Direkomendasikan",ROW($6:$1005)-5),188)),KotaKode,2,0),"-"),"")),"")</f>
        <v/>
      </c>
      <c r="K189" t="str">
        <f t="array" aca="1" ref="K189" ca="1">IFERROR(IF(OR(INDEX(checklistPesertaKemenkeu!$O$6:$O$1005,SMALL(IF(checklistPesertaKemenkeu!$AY$6:$AY$1005="Direkomendasikan",ROW($6:$1005)-5),188))="",INDEX(checklistPesertaKemenkeu!$J$6:$J$1005,SMALL(IF(checklistPesertaKemenkeu!$AY$6:$AY$1005="Direkomendasikan",ROW($6:$1005)-5),188))=""),"",IF(AND(COUNTIF(INDIRECT("K_"&amp;MATCH(INDEX(checklistPesertaKemenkeu!$J$6:$J$1005,SMALL(IF(checklistPesertaKemenkeu!$AY$6:$AY$1005="Direkomendasikan",ROW($6:$1005)-5),188)),BidangList,0)),INDEX(checklistPesertaKemenkeu!$O$6:$O$1005,SMALL(IF(checklistPesertaKemenkeu!$AY$6:$AY$1005="Direkomendasikan",ROW($6:$1005)-5),188)))&gt;0,COUNTIF(INDIRECT("'KERTAS KERJA'!K"&amp;(SMALL(IF(checklistPesertaKemenkeu!$AY$6:$AY$1005="Direkomendasikan",ROW($6:$1005)-5),188)+5)&amp;":O"&amp;(SMALL(IF(checklistPesertaKemenkeu!$AY$6:$AY$1005="Direkomendasikan",ROW($6:$1005)-5),188)+5)),INDEX(checklistPesertaKemenkeu!$O$6:$O$1005,SMALL(IF(checklistPesertaKemenkeu!$AY$6:$AY$1005="Direkomendasikan",ROW($6:$1005)-5),188)))=1),IFERROR(VLOOKUP(INDEX(checklistPesertaKemenkeu!$O$6:$O$1005,SMALL(IF(checklistPesertaKemenkeu!$AY$6:$AY$1005="Direkomendasikan",ROW($6:$1005)-5),188)),KotaKode,2,0),"-"),"")),"")</f>
        <v/>
      </c>
      <c r="L189" t="str">
        <f t="array" aca="1" ref="L189" ca="1">IFERROR(IF(OR(INDEX(checklistPesertaKemenkeu!$P$6:$P$1005,SMALL(IF(checklistPesertaKemenkeu!$AY$6:$AY$1005="Direkomendasikan",ROW($6:$1005)-5),188))="",INDEX(checklistPesertaKemenkeu!$J$6:$J$1005,SMALL(IF(checklistPesertaKemenkeu!$AY$6:$AY$1005="Direkomendasikan",ROW($6:$1005)-5),188))=""),"",IF(AND(COUNTIF(INDIRECT("K_"&amp;MATCH(INDEX(checklistPesertaKemenkeu!$J$6:$J$1005,SMALL(IF(checklistPesertaKemenkeu!$AY$6:$AY$1005="Direkomendasikan",ROW($6:$1005)-5),188)),BidangList,0)),INDEX(checklistPesertaKemenkeu!$P$6:$P$1005,SMALL(IF(checklistPesertaKemenkeu!$AY$6:$AY$1005="Direkomendasikan",ROW($6:$1005)-5),188)))&gt;0,COUNTIF(INDIRECT("'KERTAS KERJA'!K"&amp;(SMALL(IF(checklistPesertaKemenkeu!$AY$6:$AY$1005="Direkomendasikan",ROW($6:$1005)-5),188)+5)&amp;":O"&amp;(SMALL(IF(checklistPesertaKemenkeu!$AY$6:$AY$1005="Direkomendasikan",ROW($6:$1005)-5),188)+5)),INDEX(checklistPesertaKemenkeu!$P$6:$P$1005,SMALL(IF(checklistPesertaKemenkeu!$AY$6:$AY$1005="Direkomendasikan",ROW($6:$1005)-5),188)))=1),IFERROR(VLOOKUP(INDEX(checklistPesertaKemenkeu!$P$6:$P$1005,SMALL(IF(checklistPesertaKemenkeu!$AY$6:$AY$1005="Direkomendasikan",ROW($6:$1005)-5),188)),KotaKode,2,0),"-"),"")),"")</f>
        <v/>
      </c>
    </row>
    <row r="190" spans="1:12" ht="15" customHeight="1" x14ac:dyDescent="0.2">
      <c r="A190" t="str">
        <f t="shared" si="2"/>
        <v/>
      </c>
      <c r="B190" t="str">
        <v/>
      </c>
      <c r="C190" s="40" t="str">
        <f t="array" ref="C190">IFERROR(INDEX(checklistPesertaKemenkeu!$F$6:$F$1005,SMALL(IF(checklistPesertaKemenkeu!$AY$6:$AY$1005="Direkomendasikan",ROW($6:$1005)-5),189)),"")</f>
        <v/>
      </c>
      <c r="D190" t="str">
        <f t="array" ref="D190">IFERROR(INDEX(checklistPesertaKemenkeu!$G$6:$G$1005,SMALL(IF(checklistPesertaKemenkeu!$AY$6:$AY$1005="Direkomendasikan",ROW($6:$1005)-5),189)),"")</f>
        <v/>
      </c>
      <c r="E190" t="str">
        <f t="array" ref="E190">IFERROR(INDEX(checklistPesertaKemenkeu!$H$6:$H$1005,SMALL(IF(checklistPesertaKemenkeu!$AY$6:$AY$1005="Direkomendasikan",ROW($6:$1005)-5),189)),"")</f>
        <v/>
      </c>
      <c r="F190" t="str">
        <f t="array" ref="F190">IFERROR(INDEX(checklistPesertaKemenkeu!$I$6:$I$1005,SMALL(IF(checklistPesertaKemenkeu!$AY$6:$AY$1005="Direkomendasikan",ROW($6:$1005)-5),189)),"")</f>
        <v/>
      </c>
      <c r="G190" t="str">
        <f t="array" ref="G190">IFERROR(INDEX(checklistPesertaKemenkeu!$J$6:$J$1005,SMALL(IF(checklistPesertaKemenkeu!$AY$6:$AY$1005="Direkomendasikan",ROW($6:$1005)-5),189)),"")</f>
        <v/>
      </c>
      <c r="H190" t="str">
        <f t="array" aca="1" ref="H190" ca="1">IFERROR(IF(OR(INDEX(checklistPesertaKemenkeu!$L$6:$L$1005,SMALL(IF(checklistPesertaKemenkeu!$AY$6:$AY$1005="Direkomendasikan",ROW($6:$1005)-5),189))="",INDEX(checklistPesertaKemenkeu!$J$6:$J$1005,SMALL(IF(checklistPesertaKemenkeu!$AY$6:$AY$1005="Direkomendasikan",ROW($6:$1005)-5),189))=""),"",IF(AND(COUNTIF(INDIRECT("K_"&amp;MATCH(INDEX(checklistPesertaKemenkeu!$J$6:$J$1005,SMALL(IF(checklistPesertaKemenkeu!$AY$6:$AY$1005="Direkomendasikan",ROW($6:$1005)-5),189)),BidangList,0)),INDEX(checklistPesertaKemenkeu!$L$6:$L$1005,SMALL(IF(checklistPesertaKemenkeu!$AY$6:$AY$1005="Direkomendasikan",ROW($6:$1005)-5),189)))&gt;0,COUNTIF(INDIRECT("'KERTAS KERJA'!K"&amp;(SMALL(IF(checklistPesertaKemenkeu!$AY$6:$AY$1005="Direkomendasikan",ROW($6:$1005)-5),189)+5)&amp;":O"&amp;(SMALL(IF(checklistPesertaKemenkeu!$AY$6:$AY$1005="Direkomendasikan",ROW($6:$1005)-5),189)+5)),INDEX(checklistPesertaKemenkeu!$L$6:$L$1005,SMALL(IF(checklistPesertaKemenkeu!$AY$6:$AY$1005="Direkomendasikan",ROW($6:$1005)-5),189)))=1),IFERROR(VLOOKUP(INDEX(checklistPesertaKemenkeu!$L$6:$L$1005,SMALL(IF(checklistPesertaKemenkeu!$AY$6:$AY$1005="Direkomendasikan",ROW($6:$1005)-5),189)),KotaKode,2,0),"-"),"")),"")</f>
        <v/>
      </c>
      <c r="I190" t="str">
        <f t="array" aca="1" ref="I190" ca="1">IFERROR(IF(OR(INDEX(checklistPesertaKemenkeu!$M$6:$M$1005,SMALL(IF(checklistPesertaKemenkeu!$AY$6:$AY$1005="Direkomendasikan",ROW($6:$1005)-5),189))="",INDEX(checklistPesertaKemenkeu!$J$6:$J$1005,SMALL(IF(checklistPesertaKemenkeu!$AY$6:$AY$1005="Direkomendasikan",ROW($6:$1005)-5),189))=""),"",IF(AND(COUNTIF(INDIRECT("K_"&amp;MATCH(INDEX(checklistPesertaKemenkeu!$J$6:$J$1005,SMALL(IF(checklistPesertaKemenkeu!$AY$6:$AY$1005="Direkomendasikan",ROW($6:$1005)-5),189)),BidangList,0)),INDEX(checklistPesertaKemenkeu!$M$6:$M$1005,SMALL(IF(checklistPesertaKemenkeu!$AY$6:$AY$1005="Direkomendasikan",ROW($6:$1005)-5),189)))&gt;0,COUNTIF(INDIRECT("'KERTAS KERJA'!K"&amp;(SMALL(IF(checklistPesertaKemenkeu!$AY$6:$AY$1005="Direkomendasikan",ROW($6:$1005)-5),189)+5)&amp;":O"&amp;(SMALL(IF(checklistPesertaKemenkeu!$AY$6:$AY$1005="Direkomendasikan",ROW($6:$1005)-5),189)+5)),INDEX(checklistPesertaKemenkeu!$M$6:$M$1005,SMALL(IF(checklistPesertaKemenkeu!$AY$6:$AY$1005="Direkomendasikan",ROW($6:$1005)-5),189)))=1),IFERROR(VLOOKUP(INDEX(checklistPesertaKemenkeu!$M$6:$M$1005,SMALL(IF(checklistPesertaKemenkeu!$AY$6:$AY$1005="Direkomendasikan",ROW($6:$1005)-5),189)),KotaKode,2,0),"-"),"")),"")</f>
        <v/>
      </c>
      <c r="J190" t="str">
        <f t="array" aca="1" ref="J190" ca="1">IFERROR(IF(OR(INDEX(checklistPesertaKemenkeu!$N$6:$N$1005,SMALL(IF(checklistPesertaKemenkeu!$AY$6:$AY$1005="Direkomendasikan",ROW($6:$1005)-5),189))="",INDEX(checklistPesertaKemenkeu!$J$6:$J$1005,SMALL(IF(checklistPesertaKemenkeu!$AY$6:$AY$1005="Direkomendasikan",ROW($6:$1005)-5),189))=""),"",IF(AND(COUNTIF(INDIRECT("K_"&amp;MATCH(INDEX(checklistPesertaKemenkeu!$J$6:$J$1005,SMALL(IF(checklistPesertaKemenkeu!$AY$6:$AY$1005="Direkomendasikan",ROW($6:$1005)-5),189)),BidangList,0)),INDEX(checklistPesertaKemenkeu!$N$6:$N$1005,SMALL(IF(checklistPesertaKemenkeu!$AY$6:$AY$1005="Direkomendasikan",ROW($6:$1005)-5),189)))&gt;0,COUNTIF(INDIRECT("'KERTAS KERJA'!K"&amp;(SMALL(IF(checklistPesertaKemenkeu!$AY$6:$AY$1005="Direkomendasikan",ROW($6:$1005)-5),189)+5)&amp;":O"&amp;(SMALL(IF(checklistPesertaKemenkeu!$AY$6:$AY$1005="Direkomendasikan",ROW($6:$1005)-5),189)+5)),INDEX(checklistPesertaKemenkeu!$N$6:$N$1005,SMALL(IF(checklistPesertaKemenkeu!$AY$6:$AY$1005="Direkomendasikan",ROW($6:$1005)-5),189)))=1),IFERROR(VLOOKUP(INDEX(checklistPesertaKemenkeu!$N$6:$N$1005,SMALL(IF(checklistPesertaKemenkeu!$AY$6:$AY$1005="Direkomendasikan",ROW($6:$1005)-5),189)),KotaKode,2,0),"-"),"")),"")</f>
        <v/>
      </c>
      <c r="K190" t="str">
        <f t="array" aca="1" ref="K190" ca="1">IFERROR(IF(OR(INDEX(checklistPesertaKemenkeu!$O$6:$O$1005,SMALL(IF(checklistPesertaKemenkeu!$AY$6:$AY$1005="Direkomendasikan",ROW($6:$1005)-5),189))="",INDEX(checklistPesertaKemenkeu!$J$6:$J$1005,SMALL(IF(checklistPesertaKemenkeu!$AY$6:$AY$1005="Direkomendasikan",ROW($6:$1005)-5),189))=""),"",IF(AND(COUNTIF(INDIRECT("K_"&amp;MATCH(INDEX(checklistPesertaKemenkeu!$J$6:$J$1005,SMALL(IF(checklistPesertaKemenkeu!$AY$6:$AY$1005="Direkomendasikan",ROW($6:$1005)-5),189)),BidangList,0)),INDEX(checklistPesertaKemenkeu!$O$6:$O$1005,SMALL(IF(checklistPesertaKemenkeu!$AY$6:$AY$1005="Direkomendasikan",ROW($6:$1005)-5),189)))&gt;0,COUNTIF(INDIRECT("'KERTAS KERJA'!K"&amp;(SMALL(IF(checklistPesertaKemenkeu!$AY$6:$AY$1005="Direkomendasikan",ROW($6:$1005)-5),189)+5)&amp;":O"&amp;(SMALL(IF(checklistPesertaKemenkeu!$AY$6:$AY$1005="Direkomendasikan",ROW($6:$1005)-5),189)+5)),INDEX(checklistPesertaKemenkeu!$O$6:$O$1005,SMALL(IF(checklistPesertaKemenkeu!$AY$6:$AY$1005="Direkomendasikan",ROW($6:$1005)-5),189)))=1),IFERROR(VLOOKUP(INDEX(checklistPesertaKemenkeu!$O$6:$O$1005,SMALL(IF(checklistPesertaKemenkeu!$AY$6:$AY$1005="Direkomendasikan",ROW($6:$1005)-5),189)),KotaKode,2,0),"-"),"")),"")</f>
        <v/>
      </c>
      <c r="L190" t="str">
        <f t="array" aca="1" ref="L190" ca="1">IFERROR(IF(OR(INDEX(checklistPesertaKemenkeu!$P$6:$P$1005,SMALL(IF(checklistPesertaKemenkeu!$AY$6:$AY$1005="Direkomendasikan",ROW($6:$1005)-5),189))="",INDEX(checklistPesertaKemenkeu!$J$6:$J$1005,SMALL(IF(checklistPesertaKemenkeu!$AY$6:$AY$1005="Direkomendasikan",ROW($6:$1005)-5),189))=""),"",IF(AND(COUNTIF(INDIRECT("K_"&amp;MATCH(INDEX(checklistPesertaKemenkeu!$J$6:$J$1005,SMALL(IF(checklistPesertaKemenkeu!$AY$6:$AY$1005="Direkomendasikan",ROW($6:$1005)-5),189)),BidangList,0)),INDEX(checklistPesertaKemenkeu!$P$6:$P$1005,SMALL(IF(checklistPesertaKemenkeu!$AY$6:$AY$1005="Direkomendasikan",ROW($6:$1005)-5),189)))&gt;0,COUNTIF(INDIRECT("'KERTAS KERJA'!K"&amp;(SMALL(IF(checklistPesertaKemenkeu!$AY$6:$AY$1005="Direkomendasikan",ROW($6:$1005)-5),189)+5)&amp;":O"&amp;(SMALL(IF(checklistPesertaKemenkeu!$AY$6:$AY$1005="Direkomendasikan",ROW($6:$1005)-5),189)+5)),INDEX(checklistPesertaKemenkeu!$P$6:$P$1005,SMALL(IF(checklistPesertaKemenkeu!$AY$6:$AY$1005="Direkomendasikan",ROW($6:$1005)-5),189)))=1),IFERROR(VLOOKUP(INDEX(checklistPesertaKemenkeu!$P$6:$P$1005,SMALL(IF(checklistPesertaKemenkeu!$AY$6:$AY$1005="Direkomendasikan",ROW($6:$1005)-5),189)),KotaKode,2,0),"-"),"")),"")</f>
        <v/>
      </c>
    </row>
    <row r="191" spans="1:12" ht="15" customHeight="1" x14ac:dyDescent="0.2">
      <c r="A191" t="str">
        <f t="shared" si="2"/>
        <v/>
      </c>
      <c r="B191" t="str">
        <v/>
      </c>
      <c r="C191" s="40" t="str">
        <f t="array" ref="C191">IFERROR(INDEX(checklistPesertaKemenkeu!$F$6:$F$1005,SMALL(IF(checklistPesertaKemenkeu!$AY$6:$AY$1005="Direkomendasikan",ROW($6:$1005)-5),190)),"")</f>
        <v/>
      </c>
      <c r="D191" t="str">
        <f t="array" ref="D191">IFERROR(INDEX(checklistPesertaKemenkeu!$G$6:$G$1005,SMALL(IF(checklistPesertaKemenkeu!$AY$6:$AY$1005="Direkomendasikan",ROW($6:$1005)-5),190)),"")</f>
        <v/>
      </c>
      <c r="E191" t="str">
        <f t="array" ref="E191">IFERROR(INDEX(checklistPesertaKemenkeu!$H$6:$H$1005,SMALL(IF(checklistPesertaKemenkeu!$AY$6:$AY$1005="Direkomendasikan",ROW($6:$1005)-5),190)),"")</f>
        <v/>
      </c>
      <c r="F191" t="str">
        <f t="array" ref="F191">IFERROR(INDEX(checklistPesertaKemenkeu!$I$6:$I$1005,SMALL(IF(checklistPesertaKemenkeu!$AY$6:$AY$1005="Direkomendasikan",ROW($6:$1005)-5),190)),"")</f>
        <v/>
      </c>
      <c r="G191" t="str">
        <f t="array" ref="G191">IFERROR(INDEX(checklistPesertaKemenkeu!$J$6:$J$1005,SMALL(IF(checklistPesertaKemenkeu!$AY$6:$AY$1005="Direkomendasikan",ROW($6:$1005)-5),190)),"")</f>
        <v/>
      </c>
      <c r="H191" t="str">
        <f t="array" aca="1" ref="H191" ca="1">IFERROR(IF(OR(INDEX(checklistPesertaKemenkeu!$L$6:$L$1005,SMALL(IF(checklistPesertaKemenkeu!$AY$6:$AY$1005="Direkomendasikan",ROW($6:$1005)-5),190))="",INDEX(checklistPesertaKemenkeu!$J$6:$J$1005,SMALL(IF(checklistPesertaKemenkeu!$AY$6:$AY$1005="Direkomendasikan",ROW($6:$1005)-5),190))=""),"",IF(AND(COUNTIF(INDIRECT("K_"&amp;MATCH(INDEX(checklistPesertaKemenkeu!$J$6:$J$1005,SMALL(IF(checklistPesertaKemenkeu!$AY$6:$AY$1005="Direkomendasikan",ROW($6:$1005)-5),190)),BidangList,0)),INDEX(checklistPesertaKemenkeu!$L$6:$L$1005,SMALL(IF(checklistPesertaKemenkeu!$AY$6:$AY$1005="Direkomendasikan",ROW($6:$1005)-5),190)))&gt;0,COUNTIF(INDIRECT("'KERTAS KERJA'!K"&amp;(SMALL(IF(checklistPesertaKemenkeu!$AY$6:$AY$1005="Direkomendasikan",ROW($6:$1005)-5),190)+5)&amp;":O"&amp;(SMALL(IF(checklistPesertaKemenkeu!$AY$6:$AY$1005="Direkomendasikan",ROW($6:$1005)-5),190)+5)),INDEX(checklistPesertaKemenkeu!$L$6:$L$1005,SMALL(IF(checklistPesertaKemenkeu!$AY$6:$AY$1005="Direkomendasikan",ROW($6:$1005)-5),190)))=1),IFERROR(VLOOKUP(INDEX(checklistPesertaKemenkeu!$L$6:$L$1005,SMALL(IF(checklistPesertaKemenkeu!$AY$6:$AY$1005="Direkomendasikan",ROW($6:$1005)-5),190)),KotaKode,2,0),"-"),"")),"")</f>
        <v/>
      </c>
      <c r="I191" t="str">
        <f t="array" aca="1" ref="I191" ca="1">IFERROR(IF(OR(INDEX(checklistPesertaKemenkeu!$M$6:$M$1005,SMALL(IF(checklistPesertaKemenkeu!$AY$6:$AY$1005="Direkomendasikan",ROW($6:$1005)-5),190))="",INDEX(checklistPesertaKemenkeu!$J$6:$J$1005,SMALL(IF(checklistPesertaKemenkeu!$AY$6:$AY$1005="Direkomendasikan",ROW($6:$1005)-5),190))=""),"",IF(AND(COUNTIF(INDIRECT("K_"&amp;MATCH(INDEX(checklistPesertaKemenkeu!$J$6:$J$1005,SMALL(IF(checklistPesertaKemenkeu!$AY$6:$AY$1005="Direkomendasikan",ROW($6:$1005)-5),190)),BidangList,0)),INDEX(checklistPesertaKemenkeu!$M$6:$M$1005,SMALL(IF(checklistPesertaKemenkeu!$AY$6:$AY$1005="Direkomendasikan",ROW($6:$1005)-5),190)))&gt;0,COUNTIF(INDIRECT("'KERTAS KERJA'!K"&amp;(SMALL(IF(checklistPesertaKemenkeu!$AY$6:$AY$1005="Direkomendasikan",ROW($6:$1005)-5),190)+5)&amp;":O"&amp;(SMALL(IF(checklistPesertaKemenkeu!$AY$6:$AY$1005="Direkomendasikan",ROW($6:$1005)-5),190)+5)),INDEX(checklistPesertaKemenkeu!$M$6:$M$1005,SMALL(IF(checklistPesertaKemenkeu!$AY$6:$AY$1005="Direkomendasikan",ROW($6:$1005)-5),190)))=1),IFERROR(VLOOKUP(INDEX(checklistPesertaKemenkeu!$M$6:$M$1005,SMALL(IF(checklistPesertaKemenkeu!$AY$6:$AY$1005="Direkomendasikan",ROW($6:$1005)-5),190)),KotaKode,2,0),"-"),"")),"")</f>
        <v/>
      </c>
      <c r="J191" t="str">
        <f t="array" aca="1" ref="J191" ca="1">IFERROR(IF(OR(INDEX(checklistPesertaKemenkeu!$N$6:$N$1005,SMALL(IF(checklistPesertaKemenkeu!$AY$6:$AY$1005="Direkomendasikan",ROW($6:$1005)-5),190))="",INDEX(checklistPesertaKemenkeu!$J$6:$J$1005,SMALL(IF(checklistPesertaKemenkeu!$AY$6:$AY$1005="Direkomendasikan",ROW($6:$1005)-5),190))=""),"",IF(AND(COUNTIF(INDIRECT("K_"&amp;MATCH(INDEX(checklistPesertaKemenkeu!$J$6:$J$1005,SMALL(IF(checklistPesertaKemenkeu!$AY$6:$AY$1005="Direkomendasikan",ROW($6:$1005)-5),190)),BidangList,0)),INDEX(checklistPesertaKemenkeu!$N$6:$N$1005,SMALL(IF(checklistPesertaKemenkeu!$AY$6:$AY$1005="Direkomendasikan",ROW($6:$1005)-5),190)))&gt;0,COUNTIF(INDIRECT("'KERTAS KERJA'!K"&amp;(SMALL(IF(checklistPesertaKemenkeu!$AY$6:$AY$1005="Direkomendasikan",ROW($6:$1005)-5),190)+5)&amp;":O"&amp;(SMALL(IF(checklistPesertaKemenkeu!$AY$6:$AY$1005="Direkomendasikan",ROW($6:$1005)-5),190)+5)),INDEX(checklistPesertaKemenkeu!$N$6:$N$1005,SMALL(IF(checklistPesertaKemenkeu!$AY$6:$AY$1005="Direkomendasikan",ROW($6:$1005)-5),190)))=1),IFERROR(VLOOKUP(INDEX(checklistPesertaKemenkeu!$N$6:$N$1005,SMALL(IF(checklistPesertaKemenkeu!$AY$6:$AY$1005="Direkomendasikan",ROW($6:$1005)-5),190)),KotaKode,2,0),"-"),"")),"")</f>
        <v/>
      </c>
      <c r="K191" t="str">
        <f t="array" aca="1" ref="K191" ca="1">IFERROR(IF(OR(INDEX(checklistPesertaKemenkeu!$O$6:$O$1005,SMALL(IF(checklistPesertaKemenkeu!$AY$6:$AY$1005="Direkomendasikan",ROW($6:$1005)-5),190))="",INDEX(checklistPesertaKemenkeu!$J$6:$J$1005,SMALL(IF(checklistPesertaKemenkeu!$AY$6:$AY$1005="Direkomendasikan",ROW($6:$1005)-5),190))=""),"",IF(AND(COUNTIF(INDIRECT("K_"&amp;MATCH(INDEX(checklistPesertaKemenkeu!$J$6:$J$1005,SMALL(IF(checklistPesertaKemenkeu!$AY$6:$AY$1005="Direkomendasikan",ROW($6:$1005)-5),190)),BidangList,0)),INDEX(checklistPesertaKemenkeu!$O$6:$O$1005,SMALL(IF(checklistPesertaKemenkeu!$AY$6:$AY$1005="Direkomendasikan",ROW($6:$1005)-5),190)))&gt;0,COUNTIF(INDIRECT("'KERTAS KERJA'!K"&amp;(SMALL(IF(checklistPesertaKemenkeu!$AY$6:$AY$1005="Direkomendasikan",ROW($6:$1005)-5),190)+5)&amp;":O"&amp;(SMALL(IF(checklistPesertaKemenkeu!$AY$6:$AY$1005="Direkomendasikan",ROW($6:$1005)-5),190)+5)),INDEX(checklistPesertaKemenkeu!$O$6:$O$1005,SMALL(IF(checklistPesertaKemenkeu!$AY$6:$AY$1005="Direkomendasikan",ROW($6:$1005)-5),190)))=1),IFERROR(VLOOKUP(INDEX(checklistPesertaKemenkeu!$O$6:$O$1005,SMALL(IF(checklistPesertaKemenkeu!$AY$6:$AY$1005="Direkomendasikan",ROW($6:$1005)-5),190)),KotaKode,2,0),"-"),"")),"")</f>
        <v/>
      </c>
      <c r="L191" t="str">
        <f t="array" aca="1" ref="L191" ca="1">IFERROR(IF(OR(INDEX(checklistPesertaKemenkeu!$P$6:$P$1005,SMALL(IF(checklistPesertaKemenkeu!$AY$6:$AY$1005="Direkomendasikan",ROW($6:$1005)-5),190))="",INDEX(checklistPesertaKemenkeu!$J$6:$J$1005,SMALL(IF(checklistPesertaKemenkeu!$AY$6:$AY$1005="Direkomendasikan",ROW($6:$1005)-5),190))=""),"",IF(AND(COUNTIF(INDIRECT("K_"&amp;MATCH(INDEX(checklistPesertaKemenkeu!$J$6:$J$1005,SMALL(IF(checklistPesertaKemenkeu!$AY$6:$AY$1005="Direkomendasikan",ROW($6:$1005)-5),190)),BidangList,0)),INDEX(checklistPesertaKemenkeu!$P$6:$P$1005,SMALL(IF(checklistPesertaKemenkeu!$AY$6:$AY$1005="Direkomendasikan",ROW($6:$1005)-5),190)))&gt;0,COUNTIF(INDIRECT("'KERTAS KERJA'!K"&amp;(SMALL(IF(checklistPesertaKemenkeu!$AY$6:$AY$1005="Direkomendasikan",ROW($6:$1005)-5),190)+5)&amp;":O"&amp;(SMALL(IF(checklistPesertaKemenkeu!$AY$6:$AY$1005="Direkomendasikan",ROW($6:$1005)-5),190)+5)),INDEX(checklistPesertaKemenkeu!$P$6:$P$1005,SMALL(IF(checklistPesertaKemenkeu!$AY$6:$AY$1005="Direkomendasikan",ROW($6:$1005)-5),190)))=1),IFERROR(VLOOKUP(INDEX(checklistPesertaKemenkeu!$P$6:$P$1005,SMALL(IF(checklistPesertaKemenkeu!$AY$6:$AY$1005="Direkomendasikan",ROW($6:$1005)-5),190)),KotaKode,2,0),"-"),"")),"")</f>
        <v/>
      </c>
    </row>
    <row r="192" spans="1:12" ht="15" customHeight="1" x14ac:dyDescent="0.2">
      <c r="A192" t="str">
        <f t="shared" si="2"/>
        <v/>
      </c>
      <c r="B192" t="str">
        <v/>
      </c>
      <c r="C192" s="40" t="str">
        <f t="array" ref="C192">IFERROR(INDEX(checklistPesertaKemenkeu!$F$6:$F$1005,SMALL(IF(checklistPesertaKemenkeu!$AY$6:$AY$1005="Direkomendasikan",ROW($6:$1005)-5),191)),"")</f>
        <v/>
      </c>
      <c r="D192" t="str">
        <f t="array" ref="D192">IFERROR(INDEX(checklistPesertaKemenkeu!$G$6:$G$1005,SMALL(IF(checklistPesertaKemenkeu!$AY$6:$AY$1005="Direkomendasikan",ROW($6:$1005)-5),191)),"")</f>
        <v/>
      </c>
      <c r="E192" t="str">
        <f t="array" ref="E192">IFERROR(INDEX(checklistPesertaKemenkeu!$H$6:$H$1005,SMALL(IF(checklistPesertaKemenkeu!$AY$6:$AY$1005="Direkomendasikan",ROW($6:$1005)-5),191)),"")</f>
        <v/>
      </c>
      <c r="F192" t="str">
        <f t="array" ref="F192">IFERROR(INDEX(checklistPesertaKemenkeu!$I$6:$I$1005,SMALL(IF(checklistPesertaKemenkeu!$AY$6:$AY$1005="Direkomendasikan",ROW($6:$1005)-5),191)),"")</f>
        <v/>
      </c>
      <c r="G192" t="str">
        <f t="array" ref="G192">IFERROR(INDEX(checklistPesertaKemenkeu!$J$6:$J$1005,SMALL(IF(checklistPesertaKemenkeu!$AY$6:$AY$1005="Direkomendasikan",ROW($6:$1005)-5),191)),"")</f>
        <v/>
      </c>
      <c r="H192" t="str">
        <f t="array" aca="1" ref="H192" ca="1">IFERROR(IF(OR(INDEX(checklistPesertaKemenkeu!$L$6:$L$1005,SMALL(IF(checklistPesertaKemenkeu!$AY$6:$AY$1005="Direkomendasikan",ROW($6:$1005)-5),191))="",INDEX(checklistPesertaKemenkeu!$J$6:$J$1005,SMALL(IF(checklistPesertaKemenkeu!$AY$6:$AY$1005="Direkomendasikan",ROW($6:$1005)-5),191))=""),"",IF(AND(COUNTIF(INDIRECT("K_"&amp;MATCH(INDEX(checklistPesertaKemenkeu!$J$6:$J$1005,SMALL(IF(checklistPesertaKemenkeu!$AY$6:$AY$1005="Direkomendasikan",ROW($6:$1005)-5),191)),BidangList,0)),INDEX(checklistPesertaKemenkeu!$L$6:$L$1005,SMALL(IF(checklistPesertaKemenkeu!$AY$6:$AY$1005="Direkomendasikan",ROW($6:$1005)-5),191)))&gt;0,COUNTIF(INDIRECT("'KERTAS KERJA'!K"&amp;(SMALL(IF(checklistPesertaKemenkeu!$AY$6:$AY$1005="Direkomendasikan",ROW($6:$1005)-5),191)+5)&amp;":O"&amp;(SMALL(IF(checklistPesertaKemenkeu!$AY$6:$AY$1005="Direkomendasikan",ROW($6:$1005)-5),191)+5)),INDEX(checklistPesertaKemenkeu!$L$6:$L$1005,SMALL(IF(checklistPesertaKemenkeu!$AY$6:$AY$1005="Direkomendasikan",ROW($6:$1005)-5),191)))=1),IFERROR(VLOOKUP(INDEX(checklistPesertaKemenkeu!$L$6:$L$1005,SMALL(IF(checklistPesertaKemenkeu!$AY$6:$AY$1005="Direkomendasikan",ROW($6:$1005)-5),191)),KotaKode,2,0),"-"),"")),"")</f>
        <v/>
      </c>
      <c r="I192" t="str">
        <f t="array" aca="1" ref="I192" ca="1">IFERROR(IF(OR(INDEX(checklistPesertaKemenkeu!$M$6:$M$1005,SMALL(IF(checklistPesertaKemenkeu!$AY$6:$AY$1005="Direkomendasikan",ROW($6:$1005)-5),191))="",INDEX(checklistPesertaKemenkeu!$J$6:$J$1005,SMALL(IF(checklistPesertaKemenkeu!$AY$6:$AY$1005="Direkomendasikan",ROW($6:$1005)-5),191))=""),"",IF(AND(COUNTIF(INDIRECT("K_"&amp;MATCH(INDEX(checklistPesertaKemenkeu!$J$6:$J$1005,SMALL(IF(checklistPesertaKemenkeu!$AY$6:$AY$1005="Direkomendasikan",ROW($6:$1005)-5),191)),BidangList,0)),INDEX(checklistPesertaKemenkeu!$M$6:$M$1005,SMALL(IF(checklistPesertaKemenkeu!$AY$6:$AY$1005="Direkomendasikan",ROW($6:$1005)-5),191)))&gt;0,COUNTIF(INDIRECT("'KERTAS KERJA'!K"&amp;(SMALL(IF(checklistPesertaKemenkeu!$AY$6:$AY$1005="Direkomendasikan",ROW($6:$1005)-5),191)+5)&amp;":O"&amp;(SMALL(IF(checklistPesertaKemenkeu!$AY$6:$AY$1005="Direkomendasikan",ROW($6:$1005)-5),191)+5)),INDEX(checklistPesertaKemenkeu!$M$6:$M$1005,SMALL(IF(checklistPesertaKemenkeu!$AY$6:$AY$1005="Direkomendasikan",ROW($6:$1005)-5),191)))=1),IFERROR(VLOOKUP(INDEX(checklistPesertaKemenkeu!$M$6:$M$1005,SMALL(IF(checklistPesertaKemenkeu!$AY$6:$AY$1005="Direkomendasikan",ROW($6:$1005)-5),191)),KotaKode,2,0),"-"),"")),"")</f>
        <v/>
      </c>
      <c r="J192" t="str">
        <f t="array" aca="1" ref="J192" ca="1">IFERROR(IF(OR(INDEX(checklistPesertaKemenkeu!$N$6:$N$1005,SMALL(IF(checklistPesertaKemenkeu!$AY$6:$AY$1005="Direkomendasikan",ROW($6:$1005)-5),191))="",INDEX(checklistPesertaKemenkeu!$J$6:$J$1005,SMALL(IF(checklistPesertaKemenkeu!$AY$6:$AY$1005="Direkomendasikan",ROW($6:$1005)-5),191))=""),"",IF(AND(COUNTIF(INDIRECT("K_"&amp;MATCH(INDEX(checklistPesertaKemenkeu!$J$6:$J$1005,SMALL(IF(checklistPesertaKemenkeu!$AY$6:$AY$1005="Direkomendasikan",ROW($6:$1005)-5),191)),BidangList,0)),INDEX(checklistPesertaKemenkeu!$N$6:$N$1005,SMALL(IF(checklistPesertaKemenkeu!$AY$6:$AY$1005="Direkomendasikan",ROW($6:$1005)-5),191)))&gt;0,COUNTIF(INDIRECT("'KERTAS KERJA'!K"&amp;(SMALL(IF(checklistPesertaKemenkeu!$AY$6:$AY$1005="Direkomendasikan",ROW($6:$1005)-5),191)+5)&amp;":O"&amp;(SMALL(IF(checklistPesertaKemenkeu!$AY$6:$AY$1005="Direkomendasikan",ROW($6:$1005)-5),191)+5)),INDEX(checklistPesertaKemenkeu!$N$6:$N$1005,SMALL(IF(checklistPesertaKemenkeu!$AY$6:$AY$1005="Direkomendasikan",ROW($6:$1005)-5),191)))=1),IFERROR(VLOOKUP(INDEX(checklistPesertaKemenkeu!$N$6:$N$1005,SMALL(IF(checklistPesertaKemenkeu!$AY$6:$AY$1005="Direkomendasikan",ROW($6:$1005)-5),191)),KotaKode,2,0),"-"),"")),"")</f>
        <v/>
      </c>
      <c r="K192" t="str">
        <f t="array" aca="1" ref="K192" ca="1">IFERROR(IF(OR(INDEX(checklistPesertaKemenkeu!$O$6:$O$1005,SMALL(IF(checklistPesertaKemenkeu!$AY$6:$AY$1005="Direkomendasikan",ROW($6:$1005)-5),191))="",INDEX(checklistPesertaKemenkeu!$J$6:$J$1005,SMALL(IF(checklistPesertaKemenkeu!$AY$6:$AY$1005="Direkomendasikan",ROW($6:$1005)-5),191))=""),"",IF(AND(COUNTIF(INDIRECT("K_"&amp;MATCH(INDEX(checklistPesertaKemenkeu!$J$6:$J$1005,SMALL(IF(checklistPesertaKemenkeu!$AY$6:$AY$1005="Direkomendasikan",ROW($6:$1005)-5),191)),BidangList,0)),INDEX(checklistPesertaKemenkeu!$O$6:$O$1005,SMALL(IF(checklistPesertaKemenkeu!$AY$6:$AY$1005="Direkomendasikan",ROW($6:$1005)-5),191)))&gt;0,COUNTIF(INDIRECT("'KERTAS KERJA'!K"&amp;(SMALL(IF(checklistPesertaKemenkeu!$AY$6:$AY$1005="Direkomendasikan",ROW($6:$1005)-5),191)+5)&amp;":O"&amp;(SMALL(IF(checklistPesertaKemenkeu!$AY$6:$AY$1005="Direkomendasikan",ROW($6:$1005)-5),191)+5)),INDEX(checklistPesertaKemenkeu!$O$6:$O$1005,SMALL(IF(checklistPesertaKemenkeu!$AY$6:$AY$1005="Direkomendasikan",ROW($6:$1005)-5),191)))=1),IFERROR(VLOOKUP(INDEX(checklistPesertaKemenkeu!$O$6:$O$1005,SMALL(IF(checklistPesertaKemenkeu!$AY$6:$AY$1005="Direkomendasikan",ROW($6:$1005)-5),191)),KotaKode,2,0),"-"),"")),"")</f>
        <v/>
      </c>
      <c r="L192" t="str">
        <f t="array" aca="1" ref="L192" ca="1">IFERROR(IF(OR(INDEX(checklistPesertaKemenkeu!$P$6:$P$1005,SMALL(IF(checklistPesertaKemenkeu!$AY$6:$AY$1005="Direkomendasikan",ROW($6:$1005)-5),191))="",INDEX(checklistPesertaKemenkeu!$J$6:$J$1005,SMALL(IF(checklistPesertaKemenkeu!$AY$6:$AY$1005="Direkomendasikan",ROW($6:$1005)-5),191))=""),"",IF(AND(COUNTIF(INDIRECT("K_"&amp;MATCH(INDEX(checklistPesertaKemenkeu!$J$6:$J$1005,SMALL(IF(checklistPesertaKemenkeu!$AY$6:$AY$1005="Direkomendasikan",ROW($6:$1005)-5),191)),BidangList,0)),INDEX(checklistPesertaKemenkeu!$P$6:$P$1005,SMALL(IF(checklistPesertaKemenkeu!$AY$6:$AY$1005="Direkomendasikan",ROW($6:$1005)-5),191)))&gt;0,COUNTIF(INDIRECT("'KERTAS KERJA'!K"&amp;(SMALL(IF(checklistPesertaKemenkeu!$AY$6:$AY$1005="Direkomendasikan",ROW($6:$1005)-5),191)+5)&amp;":O"&amp;(SMALL(IF(checklistPesertaKemenkeu!$AY$6:$AY$1005="Direkomendasikan",ROW($6:$1005)-5),191)+5)),INDEX(checklistPesertaKemenkeu!$P$6:$P$1005,SMALL(IF(checklistPesertaKemenkeu!$AY$6:$AY$1005="Direkomendasikan",ROW($6:$1005)-5),191)))=1),IFERROR(VLOOKUP(INDEX(checklistPesertaKemenkeu!$P$6:$P$1005,SMALL(IF(checklistPesertaKemenkeu!$AY$6:$AY$1005="Direkomendasikan",ROW($6:$1005)-5),191)),KotaKode,2,0),"-"),"")),"")</f>
        <v/>
      </c>
    </row>
    <row r="193" spans="1:12" ht="15" customHeight="1" x14ac:dyDescent="0.2">
      <c r="A193" t="str">
        <f t="shared" si="2"/>
        <v/>
      </c>
      <c r="B193" t="str">
        <v/>
      </c>
      <c r="C193" s="40" t="str">
        <f t="array" ref="C193">IFERROR(INDEX(checklistPesertaKemenkeu!$F$6:$F$1005,SMALL(IF(checklistPesertaKemenkeu!$AY$6:$AY$1005="Direkomendasikan",ROW($6:$1005)-5),192)),"")</f>
        <v/>
      </c>
      <c r="D193" t="str">
        <f t="array" ref="D193">IFERROR(INDEX(checklistPesertaKemenkeu!$G$6:$G$1005,SMALL(IF(checklistPesertaKemenkeu!$AY$6:$AY$1005="Direkomendasikan",ROW($6:$1005)-5),192)),"")</f>
        <v/>
      </c>
      <c r="E193" t="str">
        <f t="array" ref="E193">IFERROR(INDEX(checklistPesertaKemenkeu!$H$6:$H$1005,SMALL(IF(checklistPesertaKemenkeu!$AY$6:$AY$1005="Direkomendasikan",ROW($6:$1005)-5),192)),"")</f>
        <v/>
      </c>
      <c r="F193" t="str">
        <f t="array" ref="F193">IFERROR(INDEX(checklistPesertaKemenkeu!$I$6:$I$1005,SMALL(IF(checklistPesertaKemenkeu!$AY$6:$AY$1005="Direkomendasikan",ROW($6:$1005)-5),192)),"")</f>
        <v/>
      </c>
      <c r="G193" t="str">
        <f t="array" ref="G193">IFERROR(INDEX(checklistPesertaKemenkeu!$J$6:$J$1005,SMALL(IF(checklistPesertaKemenkeu!$AY$6:$AY$1005="Direkomendasikan",ROW($6:$1005)-5),192)),"")</f>
        <v/>
      </c>
      <c r="H193" t="str">
        <f t="array" aca="1" ref="H193" ca="1">IFERROR(IF(OR(INDEX(checklistPesertaKemenkeu!$L$6:$L$1005,SMALL(IF(checklistPesertaKemenkeu!$AY$6:$AY$1005="Direkomendasikan",ROW($6:$1005)-5),192))="",INDEX(checklistPesertaKemenkeu!$J$6:$J$1005,SMALL(IF(checklistPesertaKemenkeu!$AY$6:$AY$1005="Direkomendasikan",ROW($6:$1005)-5),192))=""),"",IF(AND(COUNTIF(INDIRECT("K_"&amp;MATCH(INDEX(checklistPesertaKemenkeu!$J$6:$J$1005,SMALL(IF(checklistPesertaKemenkeu!$AY$6:$AY$1005="Direkomendasikan",ROW($6:$1005)-5),192)),BidangList,0)),INDEX(checklistPesertaKemenkeu!$L$6:$L$1005,SMALL(IF(checklistPesertaKemenkeu!$AY$6:$AY$1005="Direkomendasikan",ROW($6:$1005)-5),192)))&gt;0,COUNTIF(INDIRECT("'KERTAS KERJA'!K"&amp;(SMALL(IF(checklistPesertaKemenkeu!$AY$6:$AY$1005="Direkomendasikan",ROW($6:$1005)-5),192)+5)&amp;":O"&amp;(SMALL(IF(checklistPesertaKemenkeu!$AY$6:$AY$1005="Direkomendasikan",ROW($6:$1005)-5),192)+5)),INDEX(checklistPesertaKemenkeu!$L$6:$L$1005,SMALL(IF(checklistPesertaKemenkeu!$AY$6:$AY$1005="Direkomendasikan",ROW($6:$1005)-5),192)))=1),IFERROR(VLOOKUP(INDEX(checklistPesertaKemenkeu!$L$6:$L$1005,SMALL(IF(checklistPesertaKemenkeu!$AY$6:$AY$1005="Direkomendasikan",ROW($6:$1005)-5),192)),KotaKode,2,0),"-"),"")),"")</f>
        <v/>
      </c>
      <c r="I193" t="str">
        <f t="array" aca="1" ref="I193" ca="1">IFERROR(IF(OR(INDEX(checklistPesertaKemenkeu!$M$6:$M$1005,SMALL(IF(checklistPesertaKemenkeu!$AY$6:$AY$1005="Direkomendasikan",ROW($6:$1005)-5),192))="",INDEX(checklistPesertaKemenkeu!$J$6:$J$1005,SMALL(IF(checklistPesertaKemenkeu!$AY$6:$AY$1005="Direkomendasikan",ROW($6:$1005)-5),192))=""),"",IF(AND(COUNTIF(INDIRECT("K_"&amp;MATCH(INDEX(checklistPesertaKemenkeu!$J$6:$J$1005,SMALL(IF(checklistPesertaKemenkeu!$AY$6:$AY$1005="Direkomendasikan",ROW($6:$1005)-5),192)),BidangList,0)),INDEX(checklistPesertaKemenkeu!$M$6:$M$1005,SMALL(IF(checklistPesertaKemenkeu!$AY$6:$AY$1005="Direkomendasikan",ROW($6:$1005)-5),192)))&gt;0,COUNTIF(INDIRECT("'KERTAS KERJA'!K"&amp;(SMALL(IF(checklistPesertaKemenkeu!$AY$6:$AY$1005="Direkomendasikan",ROW($6:$1005)-5),192)+5)&amp;":O"&amp;(SMALL(IF(checklistPesertaKemenkeu!$AY$6:$AY$1005="Direkomendasikan",ROW($6:$1005)-5),192)+5)),INDEX(checklistPesertaKemenkeu!$M$6:$M$1005,SMALL(IF(checklistPesertaKemenkeu!$AY$6:$AY$1005="Direkomendasikan",ROW($6:$1005)-5),192)))=1),IFERROR(VLOOKUP(INDEX(checklistPesertaKemenkeu!$M$6:$M$1005,SMALL(IF(checklistPesertaKemenkeu!$AY$6:$AY$1005="Direkomendasikan",ROW($6:$1005)-5),192)),KotaKode,2,0),"-"),"")),"")</f>
        <v/>
      </c>
      <c r="J193" t="str">
        <f t="array" aca="1" ref="J193" ca="1">IFERROR(IF(OR(INDEX(checklistPesertaKemenkeu!$N$6:$N$1005,SMALL(IF(checklistPesertaKemenkeu!$AY$6:$AY$1005="Direkomendasikan",ROW($6:$1005)-5),192))="",INDEX(checklistPesertaKemenkeu!$J$6:$J$1005,SMALL(IF(checklistPesertaKemenkeu!$AY$6:$AY$1005="Direkomendasikan",ROW($6:$1005)-5),192))=""),"",IF(AND(COUNTIF(INDIRECT("K_"&amp;MATCH(INDEX(checklistPesertaKemenkeu!$J$6:$J$1005,SMALL(IF(checklistPesertaKemenkeu!$AY$6:$AY$1005="Direkomendasikan",ROW($6:$1005)-5),192)),BidangList,0)),INDEX(checklistPesertaKemenkeu!$N$6:$N$1005,SMALL(IF(checklistPesertaKemenkeu!$AY$6:$AY$1005="Direkomendasikan",ROW($6:$1005)-5),192)))&gt;0,COUNTIF(INDIRECT("'KERTAS KERJA'!K"&amp;(SMALL(IF(checklistPesertaKemenkeu!$AY$6:$AY$1005="Direkomendasikan",ROW($6:$1005)-5),192)+5)&amp;":O"&amp;(SMALL(IF(checklistPesertaKemenkeu!$AY$6:$AY$1005="Direkomendasikan",ROW($6:$1005)-5),192)+5)),INDEX(checklistPesertaKemenkeu!$N$6:$N$1005,SMALL(IF(checklistPesertaKemenkeu!$AY$6:$AY$1005="Direkomendasikan",ROW($6:$1005)-5),192)))=1),IFERROR(VLOOKUP(INDEX(checklistPesertaKemenkeu!$N$6:$N$1005,SMALL(IF(checklistPesertaKemenkeu!$AY$6:$AY$1005="Direkomendasikan",ROW($6:$1005)-5),192)),KotaKode,2,0),"-"),"")),"")</f>
        <v/>
      </c>
      <c r="K193" t="str">
        <f t="array" aca="1" ref="K193" ca="1">IFERROR(IF(OR(INDEX(checklistPesertaKemenkeu!$O$6:$O$1005,SMALL(IF(checklistPesertaKemenkeu!$AY$6:$AY$1005="Direkomendasikan",ROW($6:$1005)-5),192))="",INDEX(checklistPesertaKemenkeu!$J$6:$J$1005,SMALL(IF(checklistPesertaKemenkeu!$AY$6:$AY$1005="Direkomendasikan",ROW($6:$1005)-5),192))=""),"",IF(AND(COUNTIF(INDIRECT("K_"&amp;MATCH(INDEX(checklistPesertaKemenkeu!$J$6:$J$1005,SMALL(IF(checklistPesertaKemenkeu!$AY$6:$AY$1005="Direkomendasikan",ROW($6:$1005)-5),192)),BidangList,0)),INDEX(checklistPesertaKemenkeu!$O$6:$O$1005,SMALL(IF(checklistPesertaKemenkeu!$AY$6:$AY$1005="Direkomendasikan",ROW($6:$1005)-5),192)))&gt;0,COUNTIF(INDIRECT("'KERTAS KERJA'!K"&amp;(SMALL(IF(checklistPesertaKemenkeu!$AY$6:$AY$1005="Direkomendasikan",ROW($6:$1005)-5),192)+5)&amp;":O"&amp;(SMALL(IF(checklistPesertaKemenkeu!$AY$6:$AY$1005="Direkomendasikan",ROW($6:$1005)-5),192)+5)),INDEX(checklistPesertaKemenkeu!$O$6:$O$1005,SMALL(IF(checklistPesertaKemenkeu!$AY$6:$AY$1005="Direkomendasikan",ROW($6:$1005)-5),192)))=1),IFERROR(VLOOKUP(INDEX(checklistPesertaKemenkeu!$O$6:$O$1005,SMALL(IF(checklistPesertaKemenkeu!$AY$6:$AY$1005="Direkomendasikan",ROW($6:$1005)-5),192)),KotaKode,2,0),"-"),"")),"")</f>
        <v/>
      </c>
      <c r="L193" t="str">
        <f t="array" aca="1" ref="L193" ca="1">IFERROR(IF(OR(INDEX(checklistPesertaKemenkeu!$P$6:$P$1005,SMALL(IF(checklistPesertaKemenkeu!$AY$6:$AY$1005="Direkomendasikan",ROW($6:$1005)-5),192))="",INDEX(checklistPesertaKemenkeu!$J$6:$J$1005,SMALL(IF(checklistPesertaKemenkeu!$AY$6:$AY$1005="Direkomendasikan",ROW($6:$1005)-5),192))=""),"",IF(AND(COUNTIF(INDIRECT("K_"&amp;MATCH(INDEX(checklistPesertaKemenkeu!$J$6:$J$1005,SMALL(IF(checklistPesertaKemenkeu!$AY$6:$AY$1005="Direkomendasikan",ROW($6:$1005)-5),192)),BidangList,0)),INDEX(checklistPesertaKemenkeu!$P$6:$P$1005,SMALL(IF(checklistPesertaKemenkeu!$AY$6:$AY$1005="Direkomendasikan",ROW($6:$1005)-5),192)))&gt;0,COUNTIF(INDIRECT("'KERTAS KERJA'!K"&amp;(SMALL(IF(checklistPesertaKemenkeu!$AY$6:$AY$1005="Direkomendasikan",ROW($6:$1005)-5),192)+5)&amp;":O"&amp;(SMALL(IF(checklistPesertaKemenkeu!$AY$6:$AY$1005="Direkomendasikan",ROW($6:$1005)-5),192)+5)),INDEX(checklistPesertaKemenkeu!$P$6:$P$1005,SMALL(IF(checklistPesertaKemenkeu!$AY$6:$AY$1005="Direkomendasikan",ROW($6:$1005)-5),192)))=1),IFERROR(VLOOKUP(INDEX(checklistPesertaKemenkeu!$P$6:$P$1005,SMALL(IF(checklistPesertaKemenkeu!$AY$6:$AY$1005="Direkomendasikan",ROW($6:$1005)-5),192)),KotaKode,2,0),"-"),"")),"")</f>
        <v/>
      </c>
    </row>
    <row r="194" spans="1:12" ht="15" customHeight="1" x14ac:dyDescent="0.2">
      <c r="A194" t="str">
        <f t="shared" ref="A194:A257" si="3">IF(C194="","",ROW()-1)</f>
        <v/>
      </c>
      <c r="B194" t="str">
        <v/>
      </c>
      <c r="C194" s="40" t="str">
        <f t="array" ref="C194">IFERROR(INDEX(checklistPesertaKemenkeu!$F$6:$F$1005,SMALL(IF(checklistPesertaKemenkeu!$AY$6:$AY$1005="Direkomendasikan",ROW($6:$1005)-5),193)),"")</f>
        <v/>
      </c>
      <c r="D194" t="str">
        <f t="array" ref="D194">IFERROR(INDEX(checklistPesertaKemenkeu!$G$6:$G$1005,SMALL(IF(checklistPesertaKemenkeu!$AY$6:$AY$1005="Direkomendasikan",ROW($6:$1005)-5),193)),"")</f>
        <v/>
      </c>
      <c r="E194" t="str">
        <f t="array" ref="E194">IFERROR(INDEX(checklistPesertaKemenkeu!$H$6:$H$1005,SMALL(IF(checklistPesertaKemenkeu!$AY$6:$AY$1005="Direkomendasikan",ROW($6:$1005)-5),193)),"")</f>
        <v/>
      </c>
      <c r="F194" t="str">
        <f t="array" ref="F194">IFERROR(INDEX(checklistPesertaKemenkeu!$I$6:$I$1005,SMALL(IF(checklistPesertaKemenkeu!$AY$6:$AY$1005="Direkomendasikan",ROW($6:$1005)-5),193)),"")</f>
        <v/>
      </c>
      <c r="G194" t="str">
        <f t="array" ref="G194">IFERROR(INDEX(checklistPesertaKemenkeu!$J$6:$J$1005,SMALL(IF(checklistPesertaKemenkeu!$AY$6:$AY$1005="Direkomendasikan",ROW($6:$1005)-5),193)),"")</f>
        <v/>
      </c>
      <c r="H194" t="str">
        <f t="array" aca="1" ref="H194" ca="1">IFERROR(IF(OR(INDEX(checklistPesertaKemenkeu!$L$6:$L$1005,SMALL(IF(checklistPesertaKemenkeu!$AY$6:$AY$1005="Direkomendasikan",ROW($6:$1005)-5),193))="",INDEX(checklistPesertaKemenkeu!$J$6:$J$1005,SMALL(IF(checklistPesertaKemenkeu!$AY$6:$AY$1005="Direkomendasikan",ROW($6:$1005)-5),193))=""),"",IF(AND(COUNTIF(INDIRECT("K_"&amp;MATCH(INDEX(checklistPesertaKemenkeu!$J$6:$J$1005,SMALL(IF(checklistPesertaKemenkeu!$AY$6:$AY$1005="Direkomendasikan",ROW($6:$1005)-5),193)),BidangList,0)),INDEX(checklistPesertaKemenkeu!$L$6:$L$1005,SMALL(IF(checklistPesertaKemenkeu!$AY$6:$AY$1005="Direkomendasikan",ROW($6:$1005)-5),193)))&gt;0,COUNTIF(INDIRECT("'KERTAS KERJA'!K"&amp;(SMALL(IF(checklistPesertaKemenkeu!$AY$6:$AY$1005="Direkomendasikan",ROW($6:$1005)-5),193)+5)&amp;":O"&amp;(SMALL(IF(checklistPesertaKemenkeu!$AY$6:$AY$1005="Direkomendasikan",ROW($6:$1005)-5),193)+5)),INDEX(checklistPesertaKemenkeu!$L$6:$L$1005,SMALL(IF(checklistPesertaKemenkeu!$AY$6:$AY$1005="Direkomendasikan",ROW($6:$1005)-5),193)))=1),IFERROR(VLOOKUP(INDEX(checklistPesertaKemenkeu!$L$6:$L$1005,SMALL(IF(checklistPesertaKemenkeu!$AY$6:$AY$1005="Direkomendasikan",ROW($6:$1005)-5),193)),KotaKode,2,0),"-"),"")),"")</f>
        <v/>
      </c>
      <c r="I194" t="str">
        <f t="array" aca="1" ref="I194" ca="1">IFERROR(IF(OR(INDEX(checklistPesertaKemenkeu!$M$6:$M$1005,SMALL(IF(checklistPesertaKemenkeu!$AY$6:$AY$1005="Direkomendasikan",ROW($6:$1005)-5),193))="",INDEX(checklistPesertaKemenkeu!$J$6:$J$1005,SMALL(IF(checklistPesertaKemenkeu!$AY$6:$AY$1005="Direkomendasikan",ROW($6:$1005)-5),193))=""),"",IF(AND(COUNTIF(INDIRECT("K_"&amp;MATCH(INDEX(checklistPesertaKemenkeu!$J$6:$J$1005,SMALL(IF(checklistPesertaKemenkeu!$AY$6:$AY$1005="Direkomendasikan",ROW($6:$1005)-5),193)),BidangList,0)),INDEX(checklistPesertaKemenkeu!$M$6:$M$1005,SMALL(IF(checklistPesertaKemenkeu!$AY$6:$AY$1005="Direkomendasikan",ROW($6:$1005)-5),193)))&gt;0,COUNTIF(INDIRECT("'KERTAS KERJA'!K"&amp;(SMALL(IF(checklistPesertaKemenkeu!$AY$6:$AY$1005="Direkomendasikan",ROW($6:$1005)-5),193)+5)&amp;":O"&amp;(SMALL(IF(checklistPesertaKemenkeu!$AY$6:$AY$1005="Direkomendasikan",ROW($6:$1005)-5),193)+5)),INDEX(checklistPesertaKemenkeu!$M$6:$M$1005,SMALL(IF(checklistPesertaKemenkeu!$AY$6:$AY$1005="Direkomendasikan",ROW($6:$1005)-5),193)))=1),IFERROR(VLOOKUP(INDEX(checklistPesertaKemenkeu!$M$6:$M$1005,SMALL(IF(checklistPesertaKemenkeu!$AY$6:$AY$1005="Direkomendasikan",ROW($6:$1005)-5),193)),KotaKode,2,0),"-"),"")),"")</f>
        <v/>
      </c>
      <c r="J194" t="str">
        <f t="array" aca="1" ref="J194" ca="1">IFERROR(IF(OR(INDEX(checklistPesertaKemenkeu!$N$6:$N$1005,SMALL(IF(checklistPesertaKemenkeu!$AY$6:$AY$1005="Direkomendasikan",ROW($6:$1005)-5),193))="",INDEX(checklistPesertaKemenkeu!$J$6:$J$1005,SMALL(IF(checklistPesertaKemenkeu!$AY$6:$AY$1005="Direkomendasikan",ROW($6:$1005)-5),193))=""),"",IF(AND(COUNTIF(INDIRECT("K_"&amp;MATCH(INDEX(checklistPesertaKemenkeu!$J$6:$J$1005,SMALL(IF(checklistPesertaKemenkeu!$AY$6:$AY$1005="Direkomendasikan",ROW($6:$1005)-5),193)),BidangList,0)),INDEX(checklistPesertaKemenkeu!$N$6:$N$1005,SMALL(IF(checklistPesertaKemenkeu!$AY$6:$AY$1005="Direkomendasikan",ROW($6:$1005)-5),193)))&gt;0,COUNTIF(INDIRECT("'KERTAS KERJA'!K"&amp;(SMALL(IF(checklistPesertaKemenkeu!$AY$6:$AY$1005="Direkomendasikan",ROW($6:$1005)-5),193)+5)&amp;":O"&amp;(SMALL(IF(checklistPesertaKemenkeu!$AY$6:$AY$1005="Direkomendasikan",ROW($6:$1005)-5),193)+5)),INDEX(checklistPesertaKemenkeu!$N$6:$N$1005,SMALL(IF(checklistPesertaKemenkeu!$AY$6:$AY$1005="Direkomendasikan",ROW($6:$1005)-5),193)))=1),IFERROR(VLOOKUP(INDEX(checklistPesertaKemenkeu!$N$6:$N$1005,SMALL(IF(checklistPesertaKemenkeu!$AY$6:$AY$1005="Direkomendasikan",ROW($6:$1005)-5),193)),KotaKode,2,0),"-"),"")),"")</f>
        <v/>
      </c>
      <c r="K194" t="str">
        <f t="array" aca="1" ref="K194" ca="1">IFERROR(IF(OR(INDEX(checklistPesertaKemenkeu!$O$6:$O$1005,SMALL(IF(checklistPesertaKemenkeu!$AY$6:$AY$1005="Direkomendasikan",ROW($6:$1005)-5),193))="",INDEX(checklistPesertaKemenkeu!$J$6:$J$1005,SMALL(IF(checklistPesertaKemenkeu!$AY$6:$AY$1005="Direkomendasikan",ROW($6:$1005)-5),193))=""),"",IF(AND(COUNTIF(INDIRECT("K_"&amp;MATCH(INDEX(checklistPesertaKemenkeu!$J$6:$J$1005,SMALL(IF(checklistPesertaKemenkeu!$AY$6:$AY$1005="Direkomendasikan",ROW($6:$1005)-5),193)),BidangList,0)),INDEX(checklistPesertaKemenkeu!$O$6:$O$1005,SMALL(IF(checklistPesertaKemenkeu!$AY$6:$AY$1005="Direkomendasikan",ROW($6:$1005)-5),193)))&gt;0,COUNTIF(INDIRECT("'KERTAS KERJA'!K"&amp;(SMALL(IF(checklistPesertaKemenkeu!$AY$6:$AY$1005="Direkomendasikan",ROW($6:$1005)-5),193)+5)&amp;":O"&amp;(SMALL(IF(checklistPesertaKemenkeu!$AY$6:$AY$1005="Direkomendasikan",ROW($6:$1005)-5),193)+5)),INDEX(checklistPesertaKemenkeu!$O$6:$O$1005,SMALL(IF(checklistPesertaKemenkeu!$AY$6:$AY$1005="Direkomendasikan",ROW($6:$1005)-5),193)))=1),IFERROR(VLOOKUP(INDEX(checklistPesertaKemenkeu!$O$6:$O$1005,SMALL(IF(checklistPesertaKemenkeu!$AY$6:$AY$1005="Direkomendasikan",ROW($6:$1005)-5),193)),KotaKode,2,0),"-"),"")),"")</f>
        <v/>
      </c>
      <c r="L194" t="str">
        <f t="array" aca="1" ref="L194" ca="1">IFERROR(IF(OR(INDEX(checklistPesertaKemenkeu!$P$6:$P$1005,SMALL(IF(checklistPesertaKemenkeu!$AY$6:$AY$1005="Direkomendasikan",ROW($6:$1005)-5),193))="",INDEX(checklistPesertaKemenkeu!$J$6:$J$1005,SMALL(IF(checklistPesertaKemenkeu!$AY$6:$AY$1005="Direkomendasikan",ROW($6:$1005)-5),193))=""),"",IF(AND(COUNTIF(INDIRECT("K_"&amp;MATCH(INDEX(checklistPesertaKemenkeu!$J$6:$J$1005,SMALL(IF(checklistPesertaKemenkeu!$AY$6:$AY$1005="Direkomendasikan",ROW($6:$1005)-5),193)),BidangList,0)),INDEX(checklistPesertaKemenkeu!$P$6:$P$1005,SMALL(IF(checklistPesertaKemenkeu!$AY$6:$AY$1005="Direkomendasikan",ROW($6:$1005)-5),193)))&gt;0,COUNTIF(INDIRECT("'KERTAS KERJA'!K"&amp;(SMALL(IF(checklistPesertaKemenkeu!$AY$6:$AY$1005="Direkomendasikan",ROW($6:$1005)-5),193)+5)&amp;":O"&amp;(SMALL(IF(checklistPesertaKemenkeu!$AY$6:$AY$1005="Direkomendasikan",ROW($6:$1005)-5),193)+5)),INDEX(checklistPesertaKemenkeu!$P$6:$P$1005,SMALL(IF(checklistPesertaKemenkeu!$AY$6:$AY$1005="Direkomendasikan",ROW($6:$1005)-5),193)))=1),IFERROR(VLOOKUP(INDEX(checklistPesertaKemenkeu!$P$6:$P$1005,SMALL(IF(checklistPesertaKemenkeu!$AY$6:$AY$1005="Direkomendasikan",ROW($6:$1005)-5),193)),KotaKode,2,0),"-"),"")),"")</f>
        <v/>
      </c>
    </row>
    <row r="195" spans="1:12" ht="15" customHeight="1" x14ac:dyDescent="0.2">
      <c r="A195" t="str">
        <f t="shared" si="3"/>
        <v/>
      </c>
      <c r="B195" t="str">
        <v/>
      </c>
      <c r="C195" s="40" t="str">
        <f t="array" ref="C195">IFERROR(INDEX(checklistPesertaKemenkeu!$F$6:$F$1005,SMALL(IF(checklistPesertaKemenkeu!$AY$6:$AY$1005="Direkomendasikan",ROW($6:$1005)-5),194)),"")</f>
        <v/>
      </c>
      <c r="D195" t="str">
        <f t="array" ref="D195">IFERROR(INDEX(checklistPesertaKemenkeu!$G$6:$G$1005,SMALL(IF(checklistPesertaKemenkeu!$AY$6:$AY$1005="Direkomendasikan",ROW($6:$1005)-5),194)),"")</f>
        <v/>
      </c>
      <c r="E195" t="str">
        <f t="array" ref="E195">IFERROR(INDEX(checklistPesertaKemenkeu!$H$6:$H$1005,SMALL(IF(checklistPesertaKemenkeu!$AY$6:$AY$1005="Direkomendasikan",ROW($6:$1005)-5),194)),"")</f>
        <v/>
      </c>
      <c r="F195" t="str">
        <f t="array" ref="F195">IFERROR(INDEX(checklistPesertaKemenkeu!$I$6:$I$1005,SMALL(IF(checklistPesertaKemenkeu!$AY$6:$AY$1005="Direkomendasikan",ROW($6:$1005)-5),194)),"")</f>
        <v/>
      </c>
      <c r="G195" t="str">
        <f t="array" ref="G195">IFERROR(INDEX(checklistPesertaKemenkeu!$J$6:$J$1005,SMALL(IF(checklistPesertaKemenkeu!$AY$6:$AY$1005="Direkomendasikan",ROW($6:$1005)-5),194)),"")</f>
        <v/>
      </c>
      <c r="H195" t="str">
        <f t="array" aca="1" ref="H195" ca="1">IFERROR(IF(OR(INDEX(checklistPesertaKemenkeu!$L$6:$L$1005,SMALL(IF(checklistPesertaKemenkeu!$AY$6:$AY$1005="Direkomendasikan",ROW($6:$1005)-5),194))="",INDEX(checklistPesertaKemenkeu!$J$6:$J$1005,SMALL(IF(checklistPesertaKemenkeu!$AY$6:$AY$1005="Direkomendasikan",ROW($6:$1005)-5),194))=""),"",IF(AND(COUNTIF(INDIRECT("K_"&amp;MATCH(INDEX(checklistPesertaKemenkeu!$J$6:$J$1005,SMALL(IF(checklistPesertaKemenkeu!$AY$6:$AY$1005="Direkomendasikan",ROW($6:$1005)-5),194)),BidangList,0)),INDEX(checklistPesertaKemenkeu!$L$6:$L$1005,SMALL(IF(checklistPesertaKemenkeu!$AY$6:$AY$1005="Direkomendasikan",ROW($6:$1005)-5),194)))&gt;0,COUNTIF(INDIRECT("'KERTAS KERJA'!K"&amp;(SMALL(IF(checklistPesertaKemenkeu!$AY$6:$AY$1005="Direkomendasikan",ROW($6:$1005)-5),194)+5)&amp;":O"&amp;(SMALL(IF(checklistPesertaKemenkeu!$AY$6:$AY$1005="Direkomendasikan",ROW($6:$1005)-5),194)+5)),INDEX(checklistPesertaKemenkeu!$L$6:$L$1005,SMALL(IF(checklistPesertaKemenkeu!$AY$6:$AY$1005="Direkomendasikan",ROW($6:$1005)-5),194)))=1),IFERROR(VLOOKUP(INDEX(checklistPesertaKemenkeu!$L$6:$L$1005,SMALL(IF(checklistPesertaKemenkeu!$AY$6:$AY$1005="Direkomendasikan",ROW($6:$1005)-5),194)),KotaKode,2,0),"-"),"")),"")</f>
        <v/>
      </c>
      <c r="I195" t="str">
        <f t="array" aca="1" ref="I195" ca="1">IFERROR(IF(OR(INDEX(checklistPesertaKemenkeu!$M$6:$M$1005,SMALL(IF(checklistPesertaKemenkeu!$AY$6:$AY$1005="Direkomendasikan",ROW($6:$1005)-5),194))="",INDEX(checklistPesertaKemenkeu!$J$6:$J$1005,SMALL(IF(checklistPesertaKemenkeu!$AY$6:$AY$1005="Direkomendasikan",ROW($6:$1005)-5),194))=""),"",IF(AND(COUNTIF(INDIRECT("K_"&amp;MATCH(INDEX(checklistPesertaKemenkeu!$J$6:$J$1005,SMALL(IF(checklistPesertaKemenkeu!$AY$6:$AY$1005="Direkomendasikan",ROW($6:$1005)-5),194)),BidangList,0)),INDEX(checklistPesertaKemenkeu!$M$6:$M$1005,SMALL(IF(checklistPesertaKemenkeu!$AY$6:$AY$1005="Direkomendasikan",ROW($6:$1005)-5),194)))&gt;0,COUNTIF(INDIRECT("'KERTAS KERJA'!K"&amp;(SMALL(IF(checklistPesertaKemenkeu!$AY$6:$AY$1005="Direkomendasikan",ROW($6:$1005)-5),194)+5)&amp;":O"&amp;(SMALL(IF(checklistPesertaKemenkeu!$AY$6:$AY$1005="Direkomendasikan",ROW($6:$1005)-5),194)+5)),INDEX(checklistPesertaKemenkeu!$M$6:$M$1005,SMALL(IF(checklistPesertaKemenkeu!$AY$6:$AY$1005="Direkomendasikan",ROW($6:$1005)-5),194)))=1),IFERROR(VLOOKUP(INDEX(checklistPesertaKemenkeu!$M$6:$M$1005,SMALL(IF(checklistPesertaKemenkeu!$AY$6:$AY$1005="Direkomendasikan",ROW($6:$1005)-5),194)),KotaKode,2,0),"-"),"")),"")</f>
        <v/>
      </c>
      <c r="J195" t="str">
        <f t="array" aca="1" ref="J195" ca="1">IFERROR(IF(OR(INDEX(checklistPesertaKemenkeu!$N$6:$N$1005,SMALL(IF(checklistPesertaKemenkeu!$AY$6:$AY$1005="Direkomendasikan",ROW($6:$1005)-5),194))="",INDEX(checklistPesertaKemenkeu!$J$6:$J$1005,SMALL(IF(checklistPesertaKemenkeu!$AY$6:$AY$1005="Direkomendasikan",ROW($6:$1005)-5),194))=""),"",IF(AND(COUNTIF(INDIRECT("K_"&amp;MATCH(INDEX(checklistPesertaKemenkeu!$J$6:$J$1005,SMALL(IF(checklistPesertaKemenkeu!$AY$6:$AY$1005="Direkomendasikan",ROW($6:$1005)-5),194)),BidangList,0)),INDEX(checklistPesertaKemenkeu!$N$6:$N$1005,SMALL(IF(checklistPesertaKemenkeu!$AY$6:$AY$1005="Direkomendasikan",ROW($6:$1005)-5),194)))&gt;0,COUNTIF(INDIRECT("'KERTAS KERJA'!K"&amp;(SMALL(IF(checklistPesertaKemenkeu!$AY$6:$AY$1005="Direkomendasikan",ROW($6:$1005)-5),194)+5)&amp;":O"&amp;(SMALL(IF(checklistPesertaKemenkeu!$AY$6:$AY$1005="Direkomendasikan",ROW($6:$1005)-5),194)+5)),INDEX(checklistPesertaKemenkeu!$N$6:$N$1005,SMALL(IF(checklistPesertaKemenkeu!$AY$6:$AY$1005="Direkomendasikan",ROW($6:$1005)-5),194)))=1),IFERROR(VLOOKUP(INDEX(checklistPesertaKemenkeu!$N$6:$N$1005,SMALL(IF(checklistPesertaKemenkeu!$AY$6:$AY$1005="Direkomendasikan",ROW($6:$1005)-5),194)),KotaKode,2,0),"-"),"")),"")</f>
        <v/>
      </c>
      <c r="K195" t="str">
        <f t="array" aca="1" ref="K195" ca="1">IFERROR(IF(OR(INDEX(checklistPesertaKemenkeu!$O$6:$O$1005,SMALL(IF(checklistPesertaKemenkeu!$AY$6:$AY$1005="Direkomendasikan",ROW($6:$1005)-5),194))="",INDEX(checklistPesertaKemenkeu!$J$6:$J$1005,SMALL(IF(checklistPesertaKemenkeu!$AY$6:$AY$1005="Direkomendasikan",ROW($6:$1005)-5),194))=""),"",IF(AND(COUNTIF(INDIRECT("K_"&amp;MATCH(INDEX(checklistPesertaKemenkeu!$J$6:$J$1005,SMALL(IF(checklistPesertaKemenkeu!$AY$6:$AY$1005="Direkomendasikan",ROW($6:$1005)-5),194)),BidangList,0)),INDEX(checklistPesertaKemenkeu!$O$6:$O$1005,SMALL(IF(checklistPesertaKemenkeu!$AY$6:$AY$1005="Direkomendasikan",ROW($6:$1005)-5),194)))&gt;0,COUNTIF(INDIRECT("'KERTAS KERJA'!K"&amp;(SMALL(IF(checklistPesertaKemenkeu!$AY$6:$AY$1005="Direkomendasikan",ROW($6:$1005)-5),194)+5)&amp;":O"&amp;(SMALL(IF(checklistPesertaKemenkeu!$AY$6:$AY$1005="Direkomendasikan",ROW($6:$1005)-5),194)+5)),INDEX(checklistPesertaKemenkeu!$O$6:$O$1005,SMALL(IF(checklistPesertaKemenkeu!$AY$6:$AY$1005="Direkomendasikan",ROW($6:$1005)-5),194)))=1),IFERROR(VLOOKUP(INDEX(checklistPesertaKemenkeu!$O$6:$O$1005,SMALL(IF(checklistPesertaKemenkeu!$AY$6:$AY$1005="Direkomendasikan",ROW($6:$1005)-5),194)),KotaKode,2,0),"-"),"")),"")</f>
        <v/>
      </c>
      <c r="L195" t="str">
        <f t="array" aca="1" ref="L195" ca="1">IFERROR(IF(OR(INDEX(checklistPesertaKemenkeu!$P$6:$P$1005,SMALL(IF(checklistPesertaKemenkeu!$AY$6:$AY$1005="Direkomendasikan",ROW($6:$1005)-5),194))="",INDEX(checklistPesertaKemenkeu!$J$6:$J$1005,SMALL(IF(checklistPesertaKemenkeu!$AY$6:$AY$1005="Direkomendasikan",ROW($6:$1005)-5),194))=""),"",IF(AND(COUNTIF(INDIRECT("K_"&amp;MATCH(INDEX(checklistPesertaKemenkeu!$J$6:$J$1005,SMALL(IF(checklistPesertaKemenkeu!$AY$6:$AY$1005="Direkomendasikan",ROW($6:$1005)-5),194)),BidangList,0)),INDEX(checklistPesertaKemenkeu!$P$6:$P$1005,SMALL(IF(checklistPesertaKemenkeu!$AY$6:$AY$1005="Direkomendasikan",ROW($6:$1005)-5),194)))&gt;0,COUNTIF(INDIRECT("'KERTAS KERJA'!K"&amp;(SMALL(IF(checklistPesertaKemenkeu!$AY$6:$AY$1005="Direkomendasikan",ROW($6:$1005)-5),194)+5)&amp;":O"&amp;(SMALL(IF(checklistPesertaKemenkeu!$AY$6:$AY$1005="Direkomendasikan",ROW($6:$1005)-5),194)+5)),INDEX(checklistPesertaKemenkeu!$P$6:$P$1005,SMALL(IF(checklistPesertaKemenkeu!$AY$6:$AY$1005="Direkomendasikan",ROW($6:$1005)-5),194)))=1),IFERROR(VLOOKUP(INDEX(checklistPesertaKemenkeu!$P$6:$P$1005,SMALL(IF(checklistPesertaKemenkeu!$AY$6:$AY$1005="Direkomendasikan",ROW($6:$1005)-5),194)),KotaKode,2,0),"-"),"")),"")</f>
        <v/>
      </c>
    </row>
    <row r="196" spans="1:12" ht="15" customHeight="1" x14ac:dyDescent="0.2">
      <c r="A196" t="str">
        <f t="shared" si="3"/>
        <v/>
      </c>
      <c r="B196" t="str">
        <v/>
      </c>
      <c r="C196" s="40" t="str">
        <f t="array" ref="C196">IFERROR(INDEX(checklistPesertaKemenkeu!$F$6:$F$1005,SMALL(IF(checklistPesertaKemenkeu!$AY$6:$AY$1005="Direkomendasikan",ROW($6:$1005)-5),195)),"")</f>
        <v/>
      </c>
      <c r="D196" t="str">
        <f t="array" ref="D196">IFERROR(INDEX(checklistPesertaKemenkeu!$G$6:$G$1005,SMALL(IF(checklistPesertaKemenkeu!$AY$6:$AY$1005="Direkomendasikan",ROW($6:$1005)-5),195)),"")</f>
        <v/>
      </c>
      <c r="E196" t="str">
        <f t="array" ref="E196">IFERROR(INDEX(checklistPesertaKemenkeu!$H$6:$H$1005,SMALL(IF(checklistPesertaKemenkeu!$AY$6:$AY$1005="Direkomendasikan",ROW($6:$1005)-5),195)),"")</f>
        <v/>
      </c>
      <c r="F196" t="str">
        <f t="array" ref="F196">IFERROR(INDEX(checklistPesertaKemenkeu!$I$6:$I$1005,SMALL(IF(checklistPesertaKemenkeu!$AY$6:$AY$1005="Direkomendasikan",ROW($6:$1005)-5),195)),"")</f>
        <v/>
      </c>
      <c r="G196" t="str">
        <f t="array" ref="G196">IFERROR(INDEX(checklistPesertaKemenkeu!$J$6:$J$1005,SMALL(IF(checklistPesertaKemenkeu!$AY$6:$AY$1005="Direkomendasikan",ROW($6:$1005)-5),195)),"")</f>
        <v/>
      </c>
      <c r="H196" t="str">
        <f t="array" aca="1" ref="H196" ca="1">IFERROR(IF(OR(INDEX(checklistPesertaKemenkeu!$L$6:$L$1005,SMALL(IF(checklistPesertaKemenkeu!$AY$6:$AY$1005="Direkomendasikan",ROW($6:$1005)-5),195))="",INDEX(checklistPesertaKemenkeu!$J$6:$J$1005,SMALL(IF(checklistPesertaKemenkeu!$AY$6:$AY$1005="Direkomendasikan",ROW($6:$1005)-5),195))=""),"",IF(AND(COUNTIF(INDIRECT("K_"&amp;MATCH(INDEX(checklistPesertaKemenkeu!$J$6:$J$1005,SMALL(IF(checklistPesertaKemenkeu!$AY$6:$AY$1005="Direkomendasikan",ROW($6:$1005)-5),195)),BidangList,0)),INDEX(checklistPesertaKemenkeu!$L$6:$L$1005,SMALL(IF(checklistPesertaKemenkeu!$AY$6:$AY$1005="Direkomendasikan",ROW($6:$1005)-5),195)))&gt;0,COUNTIF(INDIRECT("'KERTAS KERJA'!K"&amp;(SMALL(IF(checklistPesertaKemenkeu!$AY$6:$AY$1005="Direkomendasikan",ROW($6:$1005)-5),195)+5)&amp;":O"&amp;(SMALL(IF(checklistPesertaKemenkeu!$AY$6:$AY$1005="Direkomendasikan",ROW($6:$1005)-5),195)+5)),INDEX(checklistPesertaKemenkeu!$L$6:$L$1005,SMALL(IF(checklistPesertaKemenkeu!$AY$6:$AY$1005="Direkomendasikan",ROW($6:$1005)-5),195)))=1),IFERROR(VLOOKUP(INDEX(checklistPesertaKemenkeu!$L$6:$L$1005,SMALL(IF(checklistPesertaKemenkeu!$AY$6:$AY$1005="Direkomendasikan",ROW($6:$1005)-5),195)),KotaKode,2,0),"-"),"")),"")</f>
        <v/>
      </c>
      <c r="I196" t="str">
        <f t="array" aca="1" ref="I196" ca="1">IFERROR(IF(OR(INDEX(checklistPesertaKemenkeu!$M$6:$M$1005,SMALL(IF(checklistPesertaKemenkeu!$AY$6:$AY$1005="Direkomendasikan",ROW($6:$1005)-5),195))="",INDEX(checklistPesertaKemenkeu!$J$6:$J$1005,SMALL(IF(checklistPesertaKemenkeu!$AY$6:$AY$1005="Direkomendasikan",ROW($6:$1005)-5),195))=""),"",IF(AND(COUNTIF(INDIRECT("K_"&amp;MATCH(INDEX(checklistPesertaKemenkeu!$J$6:$J$1005,SMALL(IF(checklistPesertaKemenkeu!$AY$6:$AY$1005="Direkomendasikan",ROW($6:$1005)-5),195)),BidangList,0)),INDEX(checklistPesertaKemenkeu!$M$6:$M$1005,SMALL(IF(checklistPesertaKemenkeu!$AY$6:$AY$1005="Direkomendasikan",ROW($6:$1005)-5),195)))&gt;0,COUNTIF(INDIRECT("'KERTAS KERJA'!K"&amp;(SMALL(IF(checklistPesertaKemenkeu!$AY$6:$AY$1005="Direkomendasikan",ROW($6:$1005)-5),195)+5)&amp;":O"&amp;(SMALL(IF(checklistPesertaKemenkeu!$AY$6:$AY$1005="Direkomendasikan",ROW($6:$1005)-5),195)+5)),INDEX(checklistPesertaKemenkeu!$M$6:$M$1005,SMALL(IF(checklistPesertaKemenkeu!$AY$6:$AY$1005="Direkomendasikan",ROW($6:$1005)-5),195)))=1),IFERROR(VLOOKUP(INDEX(checklistPesertaKemenkeu!$M$6:$M$1005,SMALL(IF(checklistPesertaKemenkeu!$AY$6:$AY$1005="Direkomendasikan",ROW($6:$1005)-5),195)),KotaKode,2,0),"-"),"")),"")</f>
        <v/>
      </c>
      <c r="J196" t="str">
        <f t="array" aca="1" ref="J196" ca="1">IFERROR(IF(OR(INDEX(checklistPesertaKemenkeu!$N$6:$N$1005,SMALL(IF(checklistPesertaKemenkeu!$AY$6:$AY$1005="Direkomendasikan",ROW($6:$1005)-5),195))="",INDEX(checklistPesertaKemenkeu!$J$6:$J$1005,SMALL(IF(checklistPesertaKemenkeu!$AY$6:$AY$1005="Direkomendasikan",ROW($6:$1005)-5),195))=""),"",IF(AND(COUNTIF(INDIRECT("K_"&amp;MATCH(INDEX(checklistPesertaKemenkeu!$J$6:$J$1005,SMALL(IF(checklistPesertaKemenkeu!$AY$6:$AY$1005="Direkomendasikan",ROW($6:$1005)-5),195)),BidangList,0)),INDEX(checklistPesertaKemenkeu!$N$6:$N$1005,SMALL(IF(checklistPesertaKemenkeu!$AY$6:$AY$1005="Direkomendasikan",ROW($6:$1005)-5),195)))&gt;0,COUNTIF(INDIRECT("'KERTAS KERJA'!K"&amp;(SMALL(IF(checklistPesertaKemenkeu!$AY$6:$AY$1005="Direkomendasikan",ROW($6:$1005)-5),195)+5)&amp;":O"&amp;(SMALL(IF(checklistPesertaKemenkeu!$AY$6:$AY$1005="Direkomendasikan",ROW($6:$1005)-5),195)+5)),INDEX(checklistPesertaKemenkeu!$N$6:$N$1005,SMALL(IF(checklistPesertaKemenkeu!$AY$6:$AY$1005="Direkomendasikan",ROW($6:$1005)-5),195)))=1),IFERROR(VLOOKUP(INDEX(checklistPesertaKemenkeu!$N$6:$N$1005,SMALL(IF(checklistPesertaKemenkeu!$AY$6:$AY$1005="Direkomendasikan",ROW($6:$1005)-5),195)),KotaKode,2,0),"-"),"")),"")</f>
        <v/>
      </c>
      <c r="K196" t="str">
        <f t="array" aca="1" ref="K196" ca="1">IFERROR(IF(OR(INDEX(checklistPesertaKemenkeu!$O$6:$O$1005,SMALL(IF(checklistPesertaKemenkeu!$AY$6:$AY$1005="Direkomendasikan",ROW($6:$1005)-5),195))="",INDEX(checklistPesertaKemenkeu!$J$6:$J$1005,SMALL(IF(checklistPesertaKemenkeu!$AY$6:$AY$1005="Direkomendasikan",ROW($6:$1005)-5),195))=""),"",IF(AND(COUNTIF(INDIRECT("K_"&amp;MATCH(INDEX(checklistPesertaKemenkeu!$J$6:$J$1005,SMALL(IF(checklistPesertaKemenkeu!$AY$6:$AY$1005="Direkomendasikan",ROW($6:$1005)-5),195)),BidangList,0)),INDEX(checklistPesertaKemenkeu!$O$6:$O$1005,SMALL(IF(checklistPesertaKemenkeu!$AY$6:$AY$1005="Direkomendasikan",ROW($6:$1005)-5),195)))&gt;0,COUNTIF(INDIRECT("'KERTAS KERJA'!K"&amp;(SMALL(IF(checklistPesertaKemenkeu!$AY$6:$AY$1005="Direkomendasikan",ROW($6:$1005)-5),195)+5)&amp;":O"&amp;(SMALL(IF(checklistPesertaKemenkeu!$AY$6:$AY$1005="Direkomendasikan",ROW($6:$1005)-5),195)+5)),INDEX(checklistPesertaKemenkeu!$O$6:$O$1005,SMALL(IF(checklistPesertaKemenkeu!$AY$6:$AY$1005="Direkomendasikan",ROW($6:$1005)-5),195)))=1),IFERROR(VLOOKUP(INDEX(checklistPesertaKemenkeu!$O$6:$O$1005,SMALL(IF(checklistPesertaKemenkeu!$AY$6:$AY$1005="Direkomendasikan",ROW($6:$1005)-5),195)),KotaKode,2,0),"-"),"")),"")</f>
        <v/>
      </c>
      <c r="L196" t="str">
        <f t="array" aca="1" ref="L196" ca="1">IFERROR(IF(OR(INDEX(checklistPesertaKemenkeu!$P$6:$P$1005,SMALL(IF(checklistPesertaKemenkeu!$AY$6:$AY$1005="Direkomendasikan",ROW($6:$1005)-5),195))="",INDEX(checklistPesertaKemenkeu!$J$6:$J$1005,SMALL(IF(checklistPesertaKemenkeu!$AY$6:$AY$1005="Direkomendasikan",ROW($6:$1005)-5),195))=""),"",IF(AND(COUNTIF(INDIRECT("K_"&amp;MATCH(INDEX(checklistPesertaKemenkeu!$J$6:$J$1005,SMALL(IF(checklistPesertaKemenkeu!$AY$6:$AY$1005="Direkomendasikan",ROW($6:$1005)-5),195)),BidangList,0)),INDEX(checklistPesertaKemenkeu!$P$6:$P$1005,SMALL(IF(checklistPesertaKemenkeu!$AY$6:$AY$1005="Direkomendasikan",ROW($6:$1005)-5),195)))&gt;0,COUNTIF(INDIRECT("'KERTAS KERJA'!K"&amp;(SMALL(IF(checklistPesertaKemenkeu!$AY$6:$AY$1005="Direkomendasikan",ROW($6:$1005)-5),195)+5)&amp;":O"&amp;(SMALL(IF(checklistPesertaKemenkeu!$AY$6:$AY$1005="Direkomendasikan",ROW($6:$1005)-5),195)+5)),INDEX(checklistPesertaKemenkeu!$P$6:$P$1005,SMALL(IF(checklistPesertaKemenkeu!$AY$6:$AY$1005="Direkomendasikan",ROW($6:$1005)-5),195)))=1),IFERROR(VLOOKUP(INDEX(checklistPesertaKemenkeu!$P$6:$P$1005,SMALL(IF(checklistPesertaKemenkeu!$AY$6:$AY$1005="Direkomendasikan",ROW($6:$1005)-5),195)),KotaKode,2,0),"-"),"")),"")</f>
        <v/>
      </c>
    </row>
    <row r="197" spans="1:12" ht="15" customHeight="1" x14ac:dyDescent="0.2">
      <c r="A197" t="str">
        <f t="shared" si="3"/>
        <v/>
      </c>
      <c r="B197" t="str">
        <v/>
      </c>
      <c r="C197" s="40" t="str">
        <f t="array" ref="C197">IFERROR(INDEX(checklistPesertaKemenkeu!$F$6:$F$1005,SMALL(IF(checklistPesertaKemenkeu!$AY$6:$AY$1005="Direkomendasikan",ROW($6:$1005)-5),196)),"")</f>
        <v/>
      </c>
      <c r="D197" t="str">
        <f t="array" ref="D197">IFERROR(INDEX(checklistPesertaKemenkeu!$G$6:$G$1005,SMALL(IF(checklistPesertaKemenkeu!$AY$6:$AY$1005="Direkomendasikan",ROW($6:$1005)-5),196)),"")</f>
        <v/>
      </c>
      <c r="E197" t="str">
        <f t="array" ref="E197">IFERROR(INDEX(checklistPesertaKemenkeu!$H$6:$H$1005,SMALL(IF(checklistPesertaKemenkeu!$AY$6:$AY$1005="Direkomendasikan",ROW($6:$1005)-5),196)),"")</f>
        <v/>
      </c>
      <c r="F197" t="str">
        <f t="array" ref="F197">IFERROR(INDEX(checklistPesertaKemenkeu!$I$6:$I$1005,SMALL(IF(checklistPesertaKemenkeu!$AY$6:$AY$1005="Direkomendasikan",ROW($6:$1005)-5),196)),"")</f>
        <v/>
      </c>
      <c r="G197" t="str">
        <f t="array" ref="G197">IFERROR(INDEX(checklistPesertaKemenkeu!$J$6:$J$1005,SMALL(IF(checklistPesertaKemenkeu!$AY$6:$AY$1005="Direkomendasikan",ROW($6:$1005)-5),196)),"")</f>
        <v/>
      </c>
      <c r="H197" t="str">
        <f t="array" aca="1" ref="H197" ca="1">IFERROR(IF(OR(INDEX(checklistPesertaKemenkeu!$L$6:$L$1005,SMALL(IF(checklistPesertaKemenkeu!$AY$6:$AY$1005="Direkomendasikan",ROW($6:$1005)-5),196))="",INDEX(checklistPesertaKemenkeu!$J$6:$J$1005,SMALL(IF(checklistPesertaKemenkeu!$AY$6:$AY$1005="Direkomendasikan",ROW($6:$1005)-5),196))=""),"",IF(AND(COUNTIF(INDIRECT("K_"&amp;MATCH(INDEX(checklistPesertaKemenkeu!$J$6:$J$1005,SMALL(IF(checklistPesertaKemenkeu!$AY$6:$AY$1005="Direkomendasikan",ROW($6:$1005)-5),196)),BidangList,0)),INDEX(checklistPesertaKemenkeu!$L$6:$L$1005,SMALL(IF(checklistPesertaKemenkeu!$AY$6:$AY$1005="Direkomendasikan",ROW($6:$1005)-5),196)))&gt;0,COUNTIF(INDIRECT("'KERTAS KERJA'!K"&amp;(SMALL(IF(checklistPesertaKemenkeu!$AY$6:$AY$1005="Direkomendasikan",ROW($6:$1005)-5),196)+5)&amp;":O"&amp;(SMALL(IF(checklistPesertaKemenkeu!$AY$6:$AY$1005="Direkomendasikan",ROW($6:$1005)-5),196)+5)),INDEX(checklistPesertaKemenkeu!$L$6:$L$1005,SMALL(IF(checklistPesertaKemenkeu!$AY$6:$AY$1005="Direkomendasikan",ROW($6:$1005)-5),196)))=1),IFERROR(VLOOKUP(INDEX(checklistPesertaKemenkeu!$L$6:$L$1005,SMALL(IF(checklistPesertaKemenkeu!$AY$6:$AY$1005="Direkomendasikan",ROW($6:$1005)-5),196)),KotaKode,2,0),"-"),"")),"")</f>
        <v/>
      </c>
      <c r="I197" t="str">
        <f t="array" aca="1" ref="I197" ca="1">IFERROR(IF(OR(INDEX(checklistPesertaKemenkeu!$M$6:$M$1005,SMALL(IF(checklistPesertaKemenkeu!$AY$6:$AY$1005="Direkomendasikan",ROW($6:$1005)-5),196))="",INDEX(checklistPesertaKemenkeu!$J$6:$J$1005,SMALL(IF(checklistPesertaKemenkeu!$AY$6:$AY$1005="Direkomendasikan",ROW($6:$1005)-5),196))=""),"",IF(AND(COUNTIF(INDIRECT("K_"&amp;MATCH(INDEX(checklistPesertaKemenkeu!$J$6:$J$1005,SMALL(IF(checklistPesertaKemenkeu!$AY$6:$AY$1005="Direkomendasikan",ROW($6:$1005)-5),196)),BidangList,0)),INDEX(checklistPesertaKemenkeu!$M$6:$M$1005,SMALL(IF(checklistPesertaKemenkeu!$AY$6:$AY$1005="Direkomendasikan",ROW($6:$1005)-5),196)))&gt;0,COUNTIF(INDIRECT("'KERTAS KERJA'!K"&amp;(SMALL(IF(checklistPesertaKemenkeu!$AY$6:$AY$1005="Direkomendasikan",ROW($6:$1005)-5),196)+5)&amp;":O"&amp;(SMALL(IF(checklistPesertaKemenkeu!$AY$6:$AY$1005="Direkomendasikan",ROW($6:$1005)-5),196)+5)),INDEX(checklistPesertaKemenkeu!$M$6:$M$1005,SMALL(IF(checklistPesertaKemenkeu!$AY$6:$AY$1005="Direkomendasikan",ROW($6:$1005)-5),196)))=1),IFERROR(VLOOKUP(INDEX(checklistPesertaKemenkeu!$M$6:$M$1005,SMALL(IF(checklistPesertaKemenkeu!$AY$6:$AY$1005="Direkomendasikan",ROW($6:$1005)-5),196)),KotaKode,2,0),"-"),"")),"")</f>
        <v/>
      </c>
      <c r="J197" t="str">
        <f t="array" aca="1" ref="J197" ca="1">IFERROR(IF(OR(INDEX(checklistPesertaKemenkeu!$N$6:$N$1005,SMALL(IF(checklistPesertaKemenkeu!$AY$6:$AY$1005="Direkomendasikan",ROW($6:$1005)-5),196))="",INDEX(checklistPesertaKemenkeu!$J$6:$J$1005,SMALL(IF(checklistPesertaKemenkeu!$AY$6:$AY$1005="Direkomendasikan",ROW($6:$1005)-5),196))=""),"",IF(AND(COUNTIF(INDIRECT("K_"&amp;MATCH(INDEX(checklistPesertaKemenkeu!$J$6:$J$1005,SMALL(IF(checklistPesertaKemenkeu!$AY$6:$AY$1005="Direkomendasikan",ROW($6:$1005)-5),196)),BidangList,0)),INDEX(checklistPesertaKemenkeu!$N$6:$N$1005,SMALL(IF(checklistPesertaKemenkeu!$AY$6:$AY$1005="Direkomendasikan",ROW($6:$1005)-5),196)))&gt;0,COUNTIF(INDIRECT("'KERTAS KERJA'!K"&amp;(SMALL(IF(checklistPesertaKemenkeu!$AY$6:$AY$1005="Direkomendasikan",ROW($6:$1005)-5),196)+5)&amp;":O"&amp;(SMALL(IF(checklistPesertaKemenkeu!$AY$6:$AY$1005="Direkomendasikan",ROW($6:$1005)-5),196)+5)),INDEX(checklistPesertaKemenkeu!$N$6:$N$1005,SMALL(IF(checklistPesertaKemenkeu!$AY$6:$AY$1005="Direkomendasikan",ROW($6:$1005)-5),196)))=1),IFERROR(VLOOKUP(INDEX(checklistPesertaKemenkeu!$N$6:$N$1005,SMALL(IF(checklistPesertaKemenkeu!$AY$6:$AY$1005="Direkomendasikan",ROW($6:$1005)-5),196)),KotaKode,2,0),"-"),"")),"")</f>
        <v/>
      </c>
      <c r="K197" t="str">
        <f t="array" aca="1" ref="K197" ca="1">IFERROR(IF(OR(INDEX(checklistPesertaKemenkeu!$O$6:$O$1005,SMALL(IF(checklistPesertaKemenkeu!$AY$6:$AY$1005="Direkomendasikan",ROW($6:$1005)-5),196))="",INDEX(checklistPesertaKemenkeu!$J$6:$J$1005,SMALL(IF(checklistPesertaKemenkeu!$AY$6:$AY$1005="Direkomendasikan",ROW($6:$1005)-5),196))=""),"",IF(AND(COUNTIF(INDIRECT("K_"&amp;MATCH(INDEX(checklistPesertaKemenkeu!$J$6:$J$1005,SMALL(IF(checklistPesertaKemenkeu!$AY$6:$AY$1005="Direkomendasikan",ROW($6:$1005)-5),196)),BidangList,0)),INDEX(checklistPesertaKemenkeu!$O$6:$O$1005,SMALL(IF(checklistPesertaKemenkeu!$AY$6:$AY$1005="Direkomendasikan",ROW($6:$1005)-5),196)))&gt;0,COUNTIF(INDIRECT("'KERTAS KERJA'!K"&amp;(SMALL(IF(checklistPesertaKemenkeu!$AY$6:$AY$1005="Direkomendasikan",ROW($6:$1005)-5),196)+5)&amp;":O"&amp;(SMALL(IF(checklistPesertaKemenkeu!$AY$6:$AY$1005="Direkomendasikan",ROW($6:$1005)-5),196)+5)),INDEX(checklistPesertaKemenkeu!$O$6:$O$1005,SMALL(IF(checklistPesertaKemenkeu!$AY$6:$AY$1005="Direkomendasikan",ROW($6:$1005)-5),196)))=1),IFERROR(VLOOKUP(INDEX(checklistPesertaKemenkeu!$O$6:$O$1005,SMALL(IF(checklistPesertaKemenkeu!$AY$6:$AY$1005="Direkomendasikan",ROW($6:$1005)-5),196)),KotaKode,2,0),"-"),"")),"")</f>
        <v/>
      </c>
      <c r="L197" t="str">
        <f t="array" aca="1" ref="L197" ca="1">IFERROR(IF(OR(INDEX(checklistPesertaKemenkeu!$P$6:$P$1005,SMALL(IF(checklistPesertaKemenkeu!$AY$6:$AY$1005="Direkomendasikan",ROW($6:$1005)-5),196))="",INDEX(checklistPesertaKemenkeu!$J$6:$J$1005,SMALL(IF(checklistPesertaKemenkeu!$AY$6:$AY$1005="Direkomendasikan",ROW($6:$1005)-5),196))=""),"",IF(AND(COUNTIF(INDIRECT("K_"&amp;MATCH(INDEX(checklistPesertaKemenkeu!$J$6:$J$1005,SMALL(IF(checklistPesertaKemenkeu!$AY$6:$AY$1005="Direkomendasikan",ROW($6:$1005)-5),196)),BidangList,0)),INDEX(checklistPesertaKemenkeu!$P$6:$P$1005,SMALL(IF(checklistPesertaKemenkeu!$AY$6:$AY$1005="Direkomendasikan",ROW($6:$1005)-5),196)))&gt;0,COUNTIF(INDIRECT("'KERTAS KERJA'!K"&amp;(SMALL(IF(checklistPesertaKemenkeu!$AY$6:$AY$1005="Direkomendasikan",ROW($6:$1005)-5),196)+5)&amp;":O"&amp;(SMALL(IF(checklistPesertaKemenkeu!$AY$6:$AY$1005="Direkomendasikan",ROW($6:$1005)-5),196)+5)),INDEX(checklistPesertaKemenkeu!$P$6:$P$1005,SMALL(IF(checklistPesertaKemenkeu!$AY$6:$AY$1005="Direkomendasikan",ROW($6:$1005)-5),196)))=1),IFERROR(VLOOKUP(INDEX(checklistPesertaKemenkeu!$P$6:$P$1005,SMALL(IF(checklistPesertaKemenkeu!$AY$6:$AY$1005="Direkomendasikan",ROW($6:$1005)-5),196)),KotaKode,2,0),"-"),"")),"")</f>
        <v/>
      </c>
    </row>
    <row r="198" spans="1:12" ht="15" customHeight="1" x14ac:dyDescent="0.2">
      <c r="A198" t="str">
        <f t="shared" si="3"/>
        <v/>
      </c>
      <c r="B198" t="str">
        <v/>
      </c>
      <c r="C198" s="40" t="str">
        <f t="array" ref="C198">IFERROR(INDEX(checklistPesertaKemenkeu!$F$6:$F$1005,SMALL(IF(checklistPesertaKemenkeu!$AY$6:$AY$1005="Direkomendasikan",ROW($6:$1005)-5),197)),"")</f>
        <v/>
      </c>
      <c r="D198" t="str">
        <f t="array" ref="D198">IFERROR(INDEX(checklistPesertaKemenkeu!$G$6:$G$1005,SMALL(IF(checklistPesertaKemenkeu!$AY$6:$AY$1005="Direkomendasikan",ROW($6:$1005)-5),197)),"")</f>
        <v/>
      </c>
      <c r="E198" t="str">
        <f t="array" ref="E198">IFERROR(INDEX(checklistPesertaKemenkeu!$H$6:$H$1005,SMALL(IF(checklistPesertaKemenkeu!$AY$6:$AY$1005="Direkomendasikan",ROW($6:$1005)-5),197)),"")</f>
        <v/>
      </c>
      <c r="F198" t="str">
        <f t="array" ref="F198">IFERROR(INDEX(checklistPesertaKemenkeu!$I$6:$I$1005,SMALL(IF(checklistPesertaKemenkeu!$AY$6:$AY$1005="Direkomendasikan",ROW($6:$1005)-5),197)),"")</f>
        <v/>
      </c>
      <c r="G198" t="str">
        <f t="array" ref="G198">IFERROR(INDEX(checklistPesertaKemenkeu!$J$6:$J$1005,SMALL(IF(checklistPesertaKemenkeu!$AY$6:$AY$1005="Direkomendasikan",ROW($6:$1005)-5),197)),"")</f>
        <v/>
      </c>
      <c r="H198" t="str">
        <f t="array" aca="1" ref="H198" ca="1">IFERROR(IF(OR(INDEX(checklistPesertaKemenkeu!$L$6:$L$1005,SMALL(IF(checklistPesertaKemenkeu!$AY$6:$AY$1005="Direkomendasikan",ROW($6:$1005)-5),197))="",INDEX(checklistPesertaKemenkeu!$J$6:$J$1005,SMALL(IF(checklistPesertaKemenkeu!$AY$6:$AY$1005="Direkomendasikan",ROW($6:$1005)-5),197))=""),"",IF(AND(COUNTIF(INDIRECT("K_"&amp;MATCH(INDEX(checklistPesertaKemenkeu!$J$6:$J$1005,SMALL(IF(checklistPesertaKemenkeu!$AY$6:$AY$1005="Direkomendasikan",ROW($6:$1005)-5),197)),BidangList,0)),INDEX(checklistPesertaKemenkeu!$L$6:$L$1005,SMALL(IF(checklistPesertaKemenkeu!$AY$6:$AY$1005="Direkomendasikan",ROW($6:$1005)-5),197)))&gt;0,COUNTIF(INDIRECT("'KERTAS KERJA'!K"&amp;(SMALL(IF(checklistPesertaKemenkeu!$AY$6:$AY$1005="Direkomendasikan",ROW($6:$1005)-5),197)+5)&amp;":O"&amp;(SMALL(IF(checklistPesertaKemenkeu!$AY$6:$AY$1005="Direkomendasikan",ROW($6:$1005)-5),197)+5)),INDEX(checklistPesertaKemenkeu!$L$6:$L$1005,SMALL(IF(checklistPesertaKemenkeu!$AY$6:$AY$1005="Direkomendasikan",ROW($6:$1005)-5),197)))=1),IFERROR(VLOOKUP(INDEX(checklistPesertaKemenkeu!$L$6:$L$1005,SMALL(IF(checklistPesertaKemenkeu!$AY$6:$AY$1005="Direkomendasikan",ROW($6:$1005)-5),197)),KotaKode,2,0),"-"),"")),"")</f>
        <v/>
      </c>
      <c r="I198" t="str">
        <f t="array" aca="1" ref="I198" ca="1">IFERROR(IF(OR(INDEX(checklistPesertaKemenkeu!$M$6:$M$1005,SMALL(IF(checklistPesertaKemenkeu!$AY$6:$AY$1005="Direkomendasikan",ROW($6:$1005)-5),197))="",INDEX(checklistPesertaKemenkeu!$J$6:$J$1005,SMALL(IF(checklistPesertaKemenkeu!$AY$6:$AY$1005="Direkomendasikan",ROW($6:$1005)-5),197))=""),"",IF(AND(COUNTIF(INDIRECT("K_"&amp;MATCH(INDEX(checklistPesertaKemenkeu!$J$6:$J$1005,SMALL(IF(checklistPesertaKemenkeu!$AY$6:$AY$1005="Direkomendasikan",ROW($6:$1005)-5),197)),BidangList,0)),INDEX(checklistPesertaKemenkeu!$M$6:$M$1005,SMALL(IF(checklistPesertaKemenkeu!$AY$6:$AY$1005="Direkomendasikan",ROW($6:$1005)-5),197)))&gt;0,COUNTIF(INDIRECT("'KERTAS KERJA'!K"&amp;(SMALL(IF(checklistPesertaKemenkeu!$AY$6:$AY$1005="Direkomendasikan",ROW($6:$1005)-5),197)+5)&amp;":O"&amp;(SMALL(IF(checklistPesertaKemenkeu!$AY$6:$AY$1005="Direkomendasikan",ROW($6:$1005)-5),197)+5)),INDEX(checklistPesertaKemenkeu!$M$6:$M$1005,SMALL(IF(checklistPesertaKemenkeu!$AY$6:$AY$1005="Direkomendasikan",ROW($6:$1005)-5),197)))=1),IFERROR(VLOOKUP(INDEX(checklistPesertaKemenkeu!$M$6:$M$1005,SMALL(IF(checklistPesertaKemenkeu!$AY$6:$AY$1005="Direkomendasikan",ROW($6:$1005)-5),197)),KotaKode,2,0),"-"),"")),"")</f>
        <v/>
      </c>
      <c r="J198" t="str">
        <f t="array" aca="1" ref="J198" ca="1">IFERROR(IF(OR(INDEX(checklistPesertaKemenkeu!$N$6:$N$1005,SMALL(IF(checklistPesertaKemenkeu!$AY$6:$AY$1005="Direkomendasikan",ROW($6:$1005)-5),197))="",INDEX(checklistPesertaKemenkeu!$J$6:$J$1005,SMALL(IF(checklistPesertaKemenkeu!$AY$6:$AY$1005="Direkomendasikan",ROW($6:$1005)-5),197))=""),"",IF(AND(COUNTIF(INDIRECT("K_"&amp;MATCH(INDEX(checklistPesertaKemenkeu!$J$6:$J$1005,SMALL(IF(checklistPesertaKemenkeu!$AY$6:$AY$1005="Direkomendasikan",ROW($6:$1005)-5),197)),BidangList,0)),INDEX(checklistPesertaKemenkeu!$N$6:$N$1005,SMALL(IF(checklistPesertaKemenkeu!$AY$6:$AY$1005="Direkomendasikan",ROW($6:$1005)-5),197)))&gt;0,COUNTIF(INDIRECT("'KERTAS KERJA'!K"&amp;(SMALL(IF(checklistPesertaKemenkeu!$AY$6:$AY$1005="Direkomendasikan",ROW($6:$1005)-5),197)+5)&amp;":O"&amp;(SMALL(IF(checklistPesertaKemenkeu!$AY$6:$AY$1005="Direkomendasikan",ROW($6:$1005)-5),197)+5)),INDEX(checklistPesertaKemenkeu!$N$6:$N$1005,SMALL(IF(checklistPesertaKemenkeu!$AY$6:$AY$1005="Direkomendasikan",ROW($6:$1005)-5),197)))=1),IFERROR(VLOOKUP(INDEX(checklistPesertaKemenkeu!$N$6:$N$1005,SMALL(IF(checklistPesertaKemenkeu!$AY$6:$AY$1005="Direkomendasikan",ROW($6:$1005)-5),197)),KotaKode,2,0),"-"),"")),"")</f>
        <v/>
      </c>
      <c r="K198" t="str">
        <f t="array" aca="1" ref="K198" ca="1">IFERROR(IF(OR(INDEX(checklistPesertaKemenkeu!$O$6:$O$1005,SMALL(IF(checklistPesertaKemenkeu!$AY$6:$AY$1005="Direkomendasikan",ROW($6:$1005)-5),197))="",INDEX(checklistPesertaKemenkeu!$J$6:$J$1005,SMALL(IF(checklistPesertaKemenkeu!$AY$6:$AY$1005="Direkomendasikan",ROW($6:$1005)-5),197))=""),"",IF(AND(COUNTIF(INDIRECT("K_"&amp;MATCH(INDEX(checklistPesertaKemenkeu!$J$6:$J$1005,SMALL(IF(checklistPesertaKemenkeu!$AY$6:$AY$1005="Direkomendasikan",ROW($6:$1005)-5),197)),BidangList,0)),INDEX(checklistPesertaKemenkeu!$O$6:$O$1005,SMALL(IF(checklistPesertaKemenkeu!$AY$6:$AY$1005="Direkomendasikan",ROW($6:$1005)-5),197)))&gt;0,COUNTIF(INDIRECT("'KERTAS KERJA'!K"&amp;(SMALL(IF(checklistPesertaKemenkeu!$AY$6:$AY$1005="Direkomendasikan",ROW($6:$1005)-5),197)+5)&amp;":O"&amp;(SMALL(IF(checklistPesertaKemenkeu!$AY$6:$AY$1005="Direkomendasikan",ROW($6:$1005)-5),197)+5)),INDEX(checklistPesertaKemenkeu!$O$6:$O$1005,SMALL(IF(checklistPesertaKemenkeu!$AY$6:$AY$1005="Direkomendasikan",ROW($6:$1005)-5),197)))=1),IFERROR(VLOOKUP(INDEX(checklistPesertaKemenkeu!$O$6:$O$1005,SMALL(IF(checklistPesertaKemenkeu!$AY$6:$AY$1005="Direkomendasikan",ROW($6:$1005)-5),197)),KotaKode,2,0),"-"),"")),"")</f>
        <v/>
      </c>
      <c r="L198" t="str">
        <f t="array" aca="1" ref="L198" ca="1">IFERROR(IF(OR(INDEX(checklistPesertaKemenkeu!$P$6:$P$1005,SMALL(IF(checklistPesertaKemenkeu!$AY$6:$AY$1005="Direkomendasikan",ROW($6:$1005)-5),197))="",INDEX(checklistPesertaKemenkeu!$J$6:$J$1005,SMALL(IF(checklistPesertaKemenkeu!$AY$6:$AY$1005="Direkomendasikan",ROW($6:$1005)-5),197))=""),"",IF(AND(COUNTIF(INDIRECT("K_"&amp;MATCH(INDEX(checklistPesertaKemenkeu!$J$6:$J$1005,SMALL(IF(checklistPesertaKemenkeu!$AY$6:$AY$1005="Direkomendasikan",ROW($6:$1005)-5),197)),BidangList,0)),INDEX(checklistPesertaKemenkeu!$P$6:$P$1005,SMALL(IF(checklistPesertaKemenkeu!$AY$6:$AY$1005="Direkomendasikan",ROW($6:$1005)-5),197)))&gt;0,COUNTIF(INDIRECT("'KERTAS KERJA'!K"&amp;(SMALL(IF(checklistPesertaKemenkeu!$AY$6:$AY$1005="Direkomendasikan",ROW($6:$1005)-5),197)+5)&amp;":O"&amp;(SMALL(IF(checklistPesertaKemenkeu!$AY$6:$AY$1005="Direkomendasikan",ROW($6:$1005)-5),197)+5)),INDEX(checklistPesertaKemenkeu!$P$6:$P$1005,SMALL(IF(checklistPesertaKemenkeu!$AY$6:$AY$1005="Direkomendasikan",ROW($6:$1005)-5),197)))=1),IFERROR(VLOOKUP(INDEX(checklistPesertaKemenkeu!$P$6:$P$1005,SMALL(IF(checklistPesertaKemenkeu!$AY$6:$AY$1005="Direkomendasikan",ROW($6:$1005)-5),197)),KotaKode,2,0),"-"),"")),"")</f>
        <v/>
      </c>
    </row>
    <row r="199" spans="1:12" ht="15" customHeight="1" x14ac:dyDescent="0.2">
      <c r="A199" t="str">
        <f t="shared" si="3"/>
        <v/>
      </c>
      <c r="B199" t="str">
        <v/>
      </c>
      <c r="C199" s="40" t="str">
        <f t="array" ref="C199">IFERROR(INDEX(checklistPesertaKemenkeu!$F$6:$F$1005,SMALL(IF(checklistPesertaKemenkeu!$AY$6:$AY$1005="Direkomendasikan",ROW($6:$1005)-5),198)),"")</f>
        <v/>
      </c>
      <c r="D199" t="str">
        <f t="array" ref="D199">IFERROR(INDEX(checklistPesertaKemenkeu!$G$6:$G$1005,SMALL(IF(checklistPesertaKemenkeu!$AY$6:$AY$1005="Direkomendasikan",ROW($6:$1005)-5),198)),"")</f>
        <v/>
      </c>
      <c r="E199" t="str">
        <f t="array" ref="E199">IFERROR(INDEX(checklistPesertaKemenkeu!$H$6:$H$1005,SMALL(IF(checklistPesertaKemenkeu!$AY$6:$AY$1005="Direkomendasikan",ROW($6:$1005)-5),198)),"")</f>
        <v/>
      </c>
      <c r="F199" t="str">
        <f t="array" ref="F199">IFERROR(INDEX(checklistPesertaKemenkeu!$I$6:$I$1005,SMALL(IF(checklistPesertaKemenkeu!$AY$6:$AY$1005="Direkomendasikan",ROW($6:$1005)-5),198)),"")</f>
        <v/>
      </c>
      <c r="G199" t="str">
        <f t="array" ref="G199">IFERROR(INDEX(checklistPesertaKemenkeu!$J$6:$J$1005,SMALL(IF(checklistPesertaKemenkeu!$AY$6:$AY$1005="Direkomendasikan",ROW($6:$1005)-5),198)),"")</f>
        <v/>
      </c>
      <c r="H199" t="str">
        <f t="array" aca="1" ref="H199" ca="1">IFERROR(IF(OR(INDEX(checklistPesertaKemenkeu!$L$6:$L$1005,SMALL(IF(checklistPesertaKemenkeu!$AY$6:$AY$1005="Direkomendasikan",ROW($6:$1005)-5),198))="",INDEX(checklistPesertaKemenkeu!$J$6:$J$1005,SMALL(IF(checklistPesertaKemenkeu!$AY$6:$AY$1005="Direkomendasikan",ROW($6:$1005)-5),198))=""),"",IF(AND(COUNTIF(INDIRECT("K_"&amp;MATCH(INDEX(checklistPesertaKemenkeu!$J$6:$J$1005,SMALL(IF(checklistPesertaKemenkeu!$AY$6:$AY$1005="Direkomendasikan",ROW($6:$1005)-5),198)),BidangList,0)),INDEX(checklistPesertaKemenkeu!$L$6:$L$1005,SMALL(IF(checklistPesertaKemenkeu!$AY$6:$AY$1005="Direkomendasikan",ROW($6:$1005)-5),198)))&gt;0,COUNTIF(INDIRECT("'KERTAS KERJA'!K"&amp;(SMALL(IF(checklistPesertaKemenkeu!$AY$6:$AY$1005="Direkomendasikan",ROW($6:$1005)-5),198)+5)&amp;":O"&amp;(SMALL(IF(checklistPesertaKemenkeu!$AY$6:$AY$1005="Direkomendasikan",ROW($6:$1005)-5),198)+5)),INDEX(checklistPesertaKemenkeu!$L$6:$L$1005,SMALL(IF(checklistPesertaKemenkeu!$AY$6:$AY$1005="Direkomendasikan",ROW($6:$1005)-5),198)))=1),IFERROR(VLOOKUP(INDEX(checklistPesertaKemenkeu!$L$6:$L$1005,SMALL(IF(checklistPesertaKemenkeu!$AY$6:$AY$1005="Direkomendasikan",ROW($6:$1005)-5),198)),KotaKode,2,0),"-"),"")),"")</f>
        <v/>
      </c>
      <c r="I199" t="str">
        <f t="array" aca="1" ref="I199" ca="1">IFERROR(IF(OR(INDEX(checklistPesertaKemenkeu!$M$6:$M$1005,SMALL(IF(checklistPesertaKemenkeu!$AY$6:$AY$1005="Direkomendasikan",ROW($6:$1005)-5),198))="",INDEX(checklistPesertaKemenkeu!$J$6:$J$1005,SMALL(IF(checklistPesertaKemenkeu!$AY$6:$AY$1005="Direkomendasikan",ROW($6:$1005)-5),198))=""),"",IF(AND(COUNTIF(INDIRECT("K_"&amp;MATCH(INDEX(checklistPesertaKemenkeu!$J$6:$J$1005,SMALL(IF(checklistPesertaKemenkeu!$AY$6:$AY$1005="Direkomendasikan",ROW($6:$1005)-5),198)),BidangList,0)),INDEX(checklistPesertaKemenkeu!$M$6:$M$1005,SMALL(IF(checklistPesertaKemenkeu!$AY$6:$AY$1005="Direkomendasikan",ROW($6:$1005)-5),198)))&gt;0,COUNTIF(INDIRECT("'KERTAS KERJA'!K"&amp;(SMALL(IF(checklistPesertaKemenkeu!$AY$6:$AY$1005="Direkomendasikan",ROW($6:$1005)-5),198)+5)&amp;":O"&amp;(SMALL(IF(checklistPesertaKemenkeu!$AY$6:$AY$1005="Direkomendasikan",ROW($6:$1005)-5),198)+5)),INDEX(checklistPesertaKemenkeu!$M$6:$M$1005,SMALL(IF(checklistPesertaKemenkeu!$AY$6:$AY$1005="Direkomendasikan",ROW($6:$1005)-5),198)))=1),IFERROR(VLOOKUP(INDEX(checklistPesertaKemenkeu!$M$6:$M$1005,SMALL(IF(checklistPesertaKemenkeu!$AY$6:$AY$1005="Direkomendasikan",ROW($6:$1005)-5),198)),KotaKode,2,0),"-"),"")),"")</f>
        <v/>
      </c>
      <c r="J199" t="str">
        <f t="array" aca="1" ref="J199" ca="1">IFERROR(IF(OR(INDEX(checklistPesertaKemenkeu!$N$6:$N$1005,SMALL(IF(checklistPesertaKemenkeu!$AY$6:$AY$1005="Direkomendasikan",ROW($6:$1005)-5),198))="",INDEX(checklistPesertaKemenkeu!$J$6:$J$1005,SMALL(IF(checklistPesertaKemenkeu!$AY$6:$AY$1005="Direkomendasikan",ROW($6:$1005)-5),198))=""),"",IF(AND(COUNTIF(INDIRECT("K_"&amp;MATCH(INDEX(checklistPesertaKemenkeu!$J$6:$J$1005,SMALL(IF(checklistPesertaKemenkeu!$AY$6:$AY$1005="Direkomendasikan",ROW($6:$1005)-5),198)),BidangList,0)),INDEX(checklistPesertaKemenkeu!$N$6:$N$1005,SMALL(IF(checklistPesertaKemenkeu!$AY$6:$AY$1005="Direkomendasikan",ROW($6:$1005)-5),198)))&gt;0,COUNTIF(INDIRECT("'KERTAS KERJA'!K"&amp;(SMALL(IF(checklistPesertaKemenkeu!$AY$6:$AY$1005="Direkomendasikan",ROW($6:$1005)-5),198)+5)&amp;":O"&amp;(SMALL(IF(checklistPesertaKemenkeu!$AY$6:$AY$1005="Direkomendasikan",ROW($6:$1005)-5),198)+5)),INDEX(checklistPesertaKemenkeu!$N$6:$N$1005,SMALL(IF(checklistPesertaKemenkeu!$AY$6:$AY$1005="Direkomendasikan",ROW($6:$1005)-5),198)))=1),IFERROR(VLOOKUP(INDEX(checklistPesertaKemenkeu!$N$6:$N$1005,SMALL(IF(checklistPesertaKemenkeu!$AY$6:$AY$1005="Direkomendasikan",ROW($6:$1005)-5),198)),KotaKode,2,0),"-"),"")),"")</f>
        <v/>
      </c>
      <c r="K199" t="str">
        <f t="array" aca="1" ref="K199" ca="1">IFERROR(IF(OR(INDEX(checklistPesertaKemenkeu!$O$6:$O$1005,SMALL(IF(checklistPesertaKemenkeu!$AY$6:$AY$1005="Direkomendasikan",ROW($6:$1005)-5),198))="",INDEX(checklistPesertaKemenkeu!$J$6:$J$1005,SMALL(IF(checklistPesertaKemenkeu!$AY$6:$AY$1005="Direkomendasikan",ROW($6:$1005)-5),198))=""),"",IF(AND(COUNTIF(INDIRECT("K_"&amp;MATCH(INDEX(checklistPesertaKemenkeu!$J$6:$J$1005,SMALL(IF(checklistPesertaKemenkeu!$AY$6:$AY$1005="Direkomendasikan",ROW($6:$1005)-5),198)),BidangList,0)),INDEX(checklistPesertaKemenkeu!$O$6:$O$1005,SMALL(IF(checklistPesertaKemenkeu!$AY$6:$AY$1005="Direkomendasikan",ROW($6:$1005)-5),198)))&gt;0,COUNTIF(INDIRECT("'KERTAS KERJA'!K"&amp;(SMALL(IF(checklistPesertaKemenkeu!$AY$6:$AY$1005="Direkomendasikan",ROW($6:$1005)-5),198)+5)&amp;":O"&amp;(SMALL(IF(checklistPesertaKemenkeu!$AY$6:$AY$1005="Direkomendasikan",ROW($6:$1005)-5),198)+5)),INDEX(checklistPesertaKemenkeu!$O$6:$O$1005,SMALL(IF(checklistPesertaKemenkeu!$AY$6:$AY$1005="Direkomendasikan",ROW($6:$1005)-5),198)))=1),IFERROR(VLOOKUP(INDEX(checklistPesertaKemenkeu!$O$6:$O$1005,SMALL(IF(checklistPesertaKemenkeu!$AY$6:$AY$1005="Direkomendasikan",ROW($6:$1005)-5),198)),KotaKode,2,0),"-"),"")),"")</f>
        <v/>
      </c>
      <c r="L199" t="str">
        <f t="array" aca="1" ref="L199" ca="1">IFERROR(IF(OR(INDEX(checklistPesertaKemenkeu!$P$6:$P$1005,SMALL(IF(checklistPesertaKemenkeu!$AY$6:$AY$1005="Direkomendasikan",ROW($6:$1005)-5),198))="",INDEX(checklistPesertaKemenkeu!$J$6:$J$1005,SMALL(IF(checklistPesertaKemenkeu!$AY$6:$AY$1005="Direkomendasikan",ROW($6:$1005)-5),198))=""),"",IF(AND(COUNTIF(INDIRECT("K_"&amp;MATCH(INDEX(checklistPesertaKemenkeu!$J$6:$J$1005,SMALL(IF(checklistPesertaKemenkeu!$AY$6:$AY$1005="Direkomendasikan",ROW($6:$1005)-5),198)),BidangList,0)),INDEX(checklistPesertaKemenkeu!$P$6:$P$1005,SMALL(IF(checklistPesertaKemenkeu!$AY$6:$AY$1005="Direkomendasikan",ROW($6:$1005)-5),198)))&gt;0,COUNTIF(INDIRECT("'KERTAS KERJA'!K"&amp;(SMALL(IF(checklistPesertaKemenkeu!$AY$6:$AY$1005="Direkomendasikan",ROW($6:$1005)-5),198)+5)&amp;":O"&amp;(SMALL(IF(checklistPesertaKemenkeu!$AY$6:$AY$1005="Direkomendasikan",ROW($6:$1005)-5),198)+5)),INDEX(checklistPesertaKemenkeu!$P$6:$P$1005,SMALL(IF(checklistPesertaKemenkeu!$AY$6:$AY$1005="Direkomendasikan",ROW($6:$1005)-5),198)))=1),IFERROR(VLOOKUP(INDEX(checklistPesertaKemenkeu!$P$6:$P$1005,SMALL(IF(checklistPesertaKemenkeu!$AY$6:$AY$1005="Direkomendasikan",ROW($6:$1005)-5),198)),KotaKode,2,0),"-"),"")),"")</f>
        <v/>
      </c>
    </row>
    <row r="200" spans="1:12" ht="15" customHeight="1" x14ac:dyDescent="0.2">
      <c r="A200" t="str">
        <f t="shared" si="3"/>
        <v/>
      </c>
      <c r="B200" t="str">
        <v/>
      </c>
      <c r="C200" s="40" t="str">
        <f t="array" ref="C200">IFERROR(INDEX(checklistPesertaKemenkeu!$F$6:$F$1005,SMALL(IF(checklistPesertaKemenkeu!$AY$6:$AY$1005="Direkomendasikan",ROW($6:$1005)-5),199)),"")</f>
        <v/>
      </c>
      <c r="D200" t="str">
        <f t="array" ref="D200">IFERROR(INDEX(checklistPesertaKemenkeu!$G$6:$G$1005,SMALL(IF(checklistPesertaKemenkeu!$AY$6:$AY$1005="Direkomendasikan",ROW($6:$1005)-5),199)),"")</f>
        <v/>
      </c>
      <c r="E200" t="str">
        <f t="array" ref="E200">IFERROR(INDEX(checklistPesertaKemenkeu!$H$6:$H$1005,SMALL(IF(checklistPesertaKemenkeu!$AY$6:$AY$1005="Direkomendasikan",ROW($6:$1005)-5),199)),"")</f>
        <v/>
      </c>
      <c r="F200" t="str">
        <f t="array" ref="F200">IFERROR(INDEX(checklistPesertaKemenkeu!$I$6:$I$1005,SMALL(IF(checklistPesertaKemenkeu!$AY$6:$AY$1005="Direkomendasikan",ROW($6:$1005)-5),199)),"")</f>
        <v/>
      </c>
      <c r="G200" t="str">
        <f t="array" ref="G200">IFERROR(INDEX(checklistPesertaKemenkeu!$J$6:$J$1005,SMALL(IF(checklistPesertaKemenkeu!$AY$6:$AY$1005="Direkomendasikan",ROW($6:$1005)-5),199)),"")</f>
        <v/>
      </c>
      <c r="H200" t="str">
        <f t="array" aca="1" ref="H200" ca="1">IFERROR(IF(OR(INDEX(checklistPesertaKemenkeu!$L$6:$L$1005,SMALL(IF(checklistPesertaKemenkeu!$AY$6:$AY$1005="Direkomendasikan",ROW($6:$1005)-5),199))="",INDEX(checklistPesertaKemenkeu!$J$6:$J$1005,SMALL(IF(checklistPesertaKemenkeu!$AY$6:$AY$1005="Direkomendasikan",ROW($6:$1005)-5),199))=""),"",IF(AND(COUNTIF(INDIRECT("K_"&amp;MATCH(INDEX(checklistPesertaKemenkeu!$J$6:$J$1005,SMALL(IF(checklistPesertaKemenkeu!$AY$6:$AY$1005="Direkomendasikan",ROW($6:$1005)-5),199)),BidangList,0)),INDEX(checklistPesertaKemenkeu!$L$6:$L$1005,SMALL(IF(checklistPesertaKemenkeu!$AY$6:$AY$1005="Direkomendasikan",ROW($6:$1005)-5),199)))&gt;0,COUNTIF(INDIRECT("'KERTAS KERJA'!K"&amp;(SMALL(IF(checklistPesertaKemenkeu!$AY$6:$AY$1005="Direkomendasikan",ROW($6:$1005)-5),199)+5)&amp;":O"&amp;(SMALL(IF(checklistPesertaKemenkeu!$AY$6:$AY$1005="Direkomendasikan",ROW($6:$1005)-5),199)+5)),INDEX(checklistPesertaKemenkeu!$L$6:$L$1005,SMALL(IF(checklistPesertaKemenkeu!$AY$6:$AY$1005="Direkomendasikan",ROW($6:$1005)-5),199)))=1),IFERROR(VLOOKUP(INDEX(checklistPesertaKemenkeu!$L$6:$L$1005,SMALL(IF(checklistPesertaKemenkeu!$AY$6:$AY$1005="Direkomendasikan",ROW($6:$1005)-5),199)),KotaKode,2,0),"-"),"")),"")</f>
        <v/>
      </c>
      <c r="I200" t="str">
        <f t="array" aca="1" ref="I200" ca="1">IFERROR(IF(OR(INDEX(checklistPesertaKemenkeu!$M$6:$M$1005,SMALL(IF(checklistPesertaKemenkeu!$AY$6:$AY$1005="Direkomendasikan",ROW($6:$1005)-5),199))="",INDEX(checklistPesertaKemenkeu!$J$6:$J$1005,SMALL(IF(checklistPesertaKemenkeu!$AY$6:$AY$1005="Direkomendasikan",ROW($6:$1005)-5),199))=""),"",IF(AND(COUNTIF(INDIRECT("K_"&amp;MATCH(INDEX(checklistPesertaKemenkeu!$J$6:$J$1005,SMALL(IF(checklistPesertaKemenkeu!$AY$6:$AY$1005="Direkomendasikan",ROW($6:$1005)-5),199)),BidangList,0)),INDEX(checklistPesertaKemenkeu!$M$6:$M$1005,SMALL(IF(checklistPesertaKemenkeu!$AY$6:$AY$1005="Direkomendasikan",ROW($6:$1005)-5),199)))&gt;0,COUNTIF(INDIRECT("'KERTAS KERJA'!K"&amp;(SMALL(IF(checklistPesertaKemenkeu!$AY$6:$AY$1005="Direkomendasikan",ROW($6:$1005)-5),199)+5)&amp;":O"&amp;(SMALL(IF(checklistPesertaKemenkeu!$AY$6:$AY$1005="Direkomendasikan",ROW($6:$1005)-5),199)+5)),INDEX(checklistPesertaKemenkeu!$M$6:$M$1005,SMALL(IF(checklistPesertaKemenkeu!$AY$6:$AY$1005="Direkomendasikan",ROW($6:$1005)-5),199)))=1),IFERROR(VLOOKUP(INDEX(checklistPesertaKemenkeu!$M$6:$M$1005,SMALL(IF(checklistPesertaKemenkeu!$AY$6:$AY$1005="Direkomendasikan",ROW($6:$1005)-5),199)),KotaKode,2,0),"-"),"")),"")</f>
        <v/>
      </c>
      <c r="J200" t="str">
        <f t="array" aca="1" ref="J200" ca="1">IFERROR(IF(OR(INDEX(checklistPesertaKemenkeu!$N$6:$N$1005,SMALL(IF(checklistPesertaKemenkeu!$AY$6:$AY$1005="Direkomendasikan",ROW($6:$1005)-5),199))="",INDEX(checklistPesertaKemenkeu!$J$6:$J$1005,SMALL(IF(checklistPesertaKemenkeu!$AY$6:$AY$1005="Direkomendasikan",ROW($6:$1005)-5),199))=""),"",IF(AND(COUNTIF(INDIRECT("K_"&amp;MATCH(INDEX(checklistPesertaKemenkeu!$J$6:$J$1005,SMALL(IF(checklistPesertaKemenkeu!$AY$6:$AY$1005="Direkomendasikan",ROW($6:$1005)-5),199)),BidangList,0)),INDEX(checklistPesertaKemenkeu!$N$6:$N$1005,SMALL(IF(checklistPesertaKemenkeu!$AY$6:$AY$1005="Direkomendasikan",ROW($6:$1005)-5),199)))&gt;0,COUNTIF(INDIRECT("'KERTAS KERJA'!K"&amp;(SMALL(IF(checklistPesertaKemenkeu!$AY$6:$AY$1005="Direkomendasikan",ROW($6:$1005)-5),199)+5)&amp;":O"&amp;(SMALL(IF(checklistPesertaKemenkeu!$AY$6:$AY$1005="Direkomendasikan",ROW($6:$1005)-5),199)+5)),INDEX(checklistPesertaKemenkeu!$N$6:$N$1005,SMALL(IF(checklistPesertaKemenkeu!$AY$6:$AY$1005="Direkomendasikan",ROW($6:$1005)-5),199)))=1),IFERROR(VLOOKUP(INDEX(checklistPesertaKemenkeu!$N$6:$N$1005,SMALL(IF(checklistPesertaKemenkeu!$AY$6:$AY$1005="Direkomendasikan",ROW($6:$1005)-5),199)),KotaKode,2,0),"-"),"")),"")</f>
        <v/>
      </c>
      <c r="K200" t="str">
        <f t="array" aca="1" ref="K200" ca="1">IFERROR(IF(OR(INDEX(checklistPesertaKemenkeu!$O$6:$O$1005,SMALL(IF(checklistPesertaKemenkeu!$AY$6:$AY$1005="Direkomendasikan",ROW($6:$1005)-5),199))="",INDEX(checklistPesertaKemenkeu!$J$6:$J$1005,SMALL(IF(checklistPesertaKemenkeu!$AY$6:$AY$1005="Direkomendasikan",ROW($6:$1005)-5),199))=""),"",IF(AND(COUNTIF(INDIRECT("K_"&amp;MATCH(INDEX(checklistPesertaKemenkeu!$J$6:$J$1005,SMALL(IF(checklistPesertaKemenkeu!$AY$6:$AY$1005="Direkomendasikan",ROW($6:$1005)-5),199)),BidangList,0)),INDEX(checklistPesertaKemenkeu!$O$6:$O$1005,SMALL(IF(checklistPesertaKemenkeu!$AY$6:$AY$1005="Direkomendasikan",ROW($6:$1005)-5),199)))&gt;0,COUNTIF(INDIRECT("'KERTAS KERJA'!K"&amp;(SMALL(IF(checklistPesertaKemenkeu!$AY$6:$AY$1005="Direkomendasikan",ROW($6:$1005)-5),199)+5)&amp;":O"&amp;(SMALL(IF(checklistPesertaKemenkeu!$AY$6:$AY$1005="Direkomendasikan",ROW($6:$1005)-5),199)+5)),INDEX(checklistPesertaKemenkeu!$O$6:$O$1005,SMALL(IF(checklistPesertaKemenkeu!$AY$6:$AY$1005="Direkomendasikan",ROW($6:$1005)-5),199)))=1),IFERROR(VLOOKUP(INDEX(checklistPesertaKemenkeu!$O$6:$O$1005,SMALL(IF(checklistPesertaKemenkeu!$AY$6:$AY$1005="Direkomendasikan",ROW($6:$1005)-5),199)),KotaKode,2,0),"-"),"")),"")</f>
        <v/>
      </c>
      <c r="L200" t="str">
        <f t="array" aca="1" ref="L200" ca="1">IFERROR(IF(OR(INDEX(checklistPesertaKemenkeu!$P$6:$P$1005,SMALL(IF(checklistPesertaKemenkeu!$AY$6:$AY$1005="Direkomendasikan",ROW($6:$1005)-5),199))="",INDEX(checklistPesertaKemenkeu!$J$6:$J$1005,SMALL(IF(checklistPesertaKemenkeu!$AY$6:$AY$1005="Direkomendasikan",ROW($6:$1005)-5),199))=""),"",IF(AND(COUNTIF(INDIRECT("K_"&amp;MATCH(INDEX(checklistPesertaKemenkeu!$J$6:$J$1005,SMALL(IF(checklistPesertaKemenkeu!$AY$6:$AY$1005="Direkomendasikan",ROW($6:$1005)-5),199)),BidangList,0)),INDEX(checklistPesertaKemenkeu!$P$6:$P$1005,SMALL(IF(checklistPesertaKemenkeu!$AY$6:$AY$1005="Direkomendasikan",ROW($6:$1005)-5),199)))&gt;0,COUNTIF(INDIRECT("'KERTAS KERJA'!K"&amp;(SMALL(IF(checklistPesertaKemenkeu!$AY$6:$AY$1005="Direkomendasikan",ROW($6:$1005)-5),199)+5)&amp;":O"&amp;(SMALL(IF(checklistPesertaKemenkeu!$AY$6:$AY$1005="Direkomendasikan",ROW($6:$1005)-5),199)+5)),INDEX(checklistPesertaKemenkeu!$P$6:$P$1005,SMALL(IF(checklistPesertaKemenkeu!$AY$6:$AY$1005="Direkomendasikan",ROW($6:$1005)-5),199)))=1),IFERROR(VLOOKUP(INDEX(checklistPesertaKemenkeu!$P$6:$P$1005,SMALL(IF(checklistPesertaKemenkeu!$AY$6:$AY$1005="Direkomendasikan",ROW($6:$1005)-5),199)),KotaKode,2,0),"-"),"")),"")</f>
        <v/>
      </c>
    </row>
    <row r="201" spans="1:12" ht="15" customHeight="1" x14ac:dyDescent="0.2">
      <c r="A201" t="str">
        <f t="shared" si="3"/>
        <v/>
      </c>
      <c r="B201" t="str">
        <v/>
      </c>
      <c r="C201" s="40" t="str">
        <f t="array" ref="C201">IFERROR(INDEX(checklistPesertaKemenkeu!$F$6:$F$1005,SMALL(IF(checklistPesertaKemenkeu!$AY$6:$AY$1005="Direkomendasikan",ROW($6:$1005)-5),200)),"")</f>
        <v/>
      </c>
      <c r="D201" t="str">
        <f t="array" ref="D201">IFERROR(INDEX(checklistPesertaKemenkeu!$G$6:$G$1005,SMALL(IF(checklistPesertaKemenkeu!$AY$6:$AY$1005="Direkomendasikan",ROW($6:$1005)-5),200)),"")</f>
        <v/>
      </c>
      <c r="E201" t="str">
        <f t="array" ref="E201">IFERROR(INDEX(checklistPesertaKemenkeu!$H$6:$H$1005,SMALL(IF(checklistPesertaKemenkeu!$AY$6:$AY$1005="Direkomendasikan",ROW($6:$1005)-5),200)),"")</f>
        <v/>
      </c>
      <c r="F201" t="str">
        <f t="array" ref="F201">IFERROR(INDEX(checklistPesertaKemenkeu!$I$6:$I$1005,SMALL(IF(checklistPesertaKemenkeu!$AY$6:$AY$1005="Direkomendasikan",ROW($6:$1005)-5),200)),"")</f>
        <v/>
      </c>
      <c r="G201" t="str">
        <f t="array" ref="G201">IFERROR(INDEX(checklistPesertaKemenkeu!$J$6:$J$1005,SMALL(IF(checklistPesertaKemenkeu!$AY$6:$AY$1005="Direkomendasikan",ROW($6:$1005)-5),200)),"")</f>
        <v/>
      </c>
      <c r="H201" t="str">
        <f t="array" aca="1" ref="H201" ca="1">IFERROR(IF(OR(INDEX(checklistPesertaKemenkeu!$L$6:$L$1005,SMALL(IF(checklistPesertaKemenkeu!$AY$6:$AY$1005="Direkomendasikan",ROW($6:$1005)-5),200))="",INDEX(checklistPesertaKemenkeu!$J$6:$J$1005,SMALL(IF(checklistPesertaKemenkeu!$AY$6:$AY$1005="Direkomendasikan",ROW($6:$1005)-5),200))=""),"",IF(AND(COUNTIF(INDIRECT("K_"&amp;MATCH(INDEX(checklistPesertaKemenkeu!$J$6:$J$1005,SMALL(IF(checklistPesertaKemenkeu!$AY$6:$AY$1005="Direkomendasikan",ROW($6:$1005)-5),200)),BidangList,0)),INDEX(checklistPesertaKemenkeu!$L$6:$L$1005,SMALL(IF(checklistPesertaKemenkeu!$AY$6:$AY$1005="Direkomendasikan",ROW($6:$1005)-5),200)))&gt;0,COUNTIF(INDIRECT("'KERTAS KERJA'!K"&amp;(SMALL(IF(checklistPesertaKemenkeu!$AY$6:$AY$1005="Direkomendasikan",ROW($6:$1005)-5),200)+5)&amp;":O"&amp;(SMALL(IF(checklistPesertaKemenkeu!$AY$6:$AY$1005="Direkomendasikan",ROW($6:$1005)-5),200)+5)),INDEX(checklistPesertaKemenkeu!$L$6:$L$1005,SMALL(IF(checklistPesertaKemenkeu!$AY$6:$AY$1005="Direkomendasikan",ROW($6:$1005)-5),200)))=1),IFERROR(VLOOKUP(INDEX(checklistPesertaKemenkeu!$L$6:$L$1005,SMALL(IF(checklistPesertaKemenkeu!$AY$6:$AY$1005="Direkomendasikan",ROW($6:$1005)-5),200)),KotaKode,2,0),"-"),"")),"")</f>
        <v/>
      </c>
      <c r="I201" t="str">
        <f t="array" aca="1" ref="I201" ca="1">IFERROR(IF(OR(INDEX(checklistPesertaKemenkeu!$M$6:$M$1005,SMALL(IF(checklistPesertaKemenkeu!$AY$6:$AY$1005="Direkomendasikan",ROW($6:$1005)-5),200))="",INDEX(checklistPesertaKemenkeu!$J$6:$J$1005,SMALL(IF(checklistPesertaKemenkeu!$AY$6:$AY$1005="Direkomendasikan",ROW($6:$1005)-5),200))=""),"",IF(AND(COUNTIF(INDIRECT("K_"&amp;MATCH(INDEX(checklistPesertaKemenkeu!$J$6:$J$1005,SMALL(IF(checklistPesertaKemenkeu!$AY$6:$AY$1005="Direkomendasikan",ROW($6:$1005)-5),200)),BidangList,0)),INDEX(checklistPesertaKemenkeu!$M$6:$M$1005,SMALL(IF(checklistPesertaKemenkeu!$AY$6:$AY$1005="Direkomendasikan",ROW($6:$1005)-5),200)))&gt;0,COUNTIF(INDIRECT("'KERTAS KERJA'!K"&amp;(SMALL(IF(checklistPesertaKemenkeu!$AY$6:$AY$1005="Direkomendasikan",ROW($6:$1005)-5),200)+5)&amp;":O"&amp;(SMALL(IF(checklistPesertaKemenkeu!$AY$6:$AY$1005="Direkomendasikan",ROW($6:$1005)-5),200)+5)),INDEX(checklistPesertaKemenkeu!$M$6:$M$1005,SMALL(IF(checklistPesertaKemenkeu!$AY$6:$AY$1005="Direkomendasikan",ROW($6:$1005)-5),200)))=1),IFERROR(VLOOKUP(INDEX(checklistPesertaKemenkeu!$M$6:$M$1005,SMALL(IF(checklistPesertaKemenkeu!$AY$6:$AY$1005="Direkomendasikan",ROW($6:$1005)-5),200)),KotaKode,2,0),"-"),"")),"")</f>
        <v/>
      </c>
      <c r="J201" t="str">
        <f t="array" aca="1" ref="J201" ca="1">IFERROR(IF(OR(INDEX(checklistPesertaKemenkeu!$N$6:$N$1005,SMALL(IF(checklistPesertaKemenkeu!$AY$6:$AY$1005="Direkomendasikan",ROW($6:$1005)-5),200))="",INDEX(checklistPesertaKemenkeu!$J$6:$J$1005,SMALL(IF(checklistPesertaKemenkeu!$AY$6:$AY$1005="Direkomendasikan",ROW($6:$1005)-5),200))=""),"",IF(AND(COUNTIF(INDIRECT("K_"&amp;MATCH(INDEX(checklistPesertaKemenkeu!$J$6:$J$1005,SMALL(IF(checklistPesertaKemenkeu!$AY$6:$AY$1005="Direkomendasikan",ROW($6:$1005)-5),200)),BidangList,0)),INDEX(checklistPesertaKemenkeu!$N$6:$N$1005,SMALL(IF(checklistPesertaKemenkeu!$AY$6:$AY$1005="Direkomendasikan",ROW($6:$1005)-5),200)))&gt;0,COUNTIF(INDIRECT("'KERTAS KERJA'!K"&amp;(SMALL(IF(checklistPesertaKemenkeu!$AY$6:$AY$1005="Direkomendasikan",ROW($6:$1005)-5),200)+5)&amp;":O"&amp;(SMALL(IF(checklistPesertaKemenkeu!$AY$6:$AY$1005="Direkomendasikan",ROW($6:$1005)-5),200)+5)),INDEX(checklistPesertaKemenkeu!$N$6:$N$1005,SMALL(IF(checklistPesertaKemenkeu!$AY$6:$AY$1005="Direkomendasikan",ROW($6:$1005)-5),200)))=1),IFERROR(VLOOKUP(INDEX(checklistPesertaKemenkeu!$N$6:$N$1005,SMALL(IF(checklistPesertaKemenkeu!$AY$6:$AY$1005="Direkomendasikan",ROW($6:$1005)-5),200)),KotaKode,2,0),"-"),"")),"")</f>
        <v/>
      </c>
      <c r="K201" t="str">
        <f t="array" aca="1" ref="K201" ca="1">IFERROR(IF(OR(INDEX(checklistPesertaKemenkeu!$O$6:$O$1005,SMALL(IF(checklistPesertaKemenkeu!$AY$6:$AY$1005="Direkomendasikan",ROW($6:$1005)-5),200))="",INDEX(checklistPesertaKemenkeu!$J$6:$J$1005,SMALL(IF(checklistPesertaKemenkeu!$AY$6:$AY$1005="Direkomendasikan",ROW($6:$1005)-5),200))=""),"",IF(AND(COUNTIF(INDIRECT("K_"&amp;MATCH(INDEX(checklistPesertaKemenkeu!$J$6:$J$1005,SMALL(IF(checklistPesertaKemenkeu!$AY$6:$AY$1005="Direkomendasikan",ROW($6:$1005)-5),200)),BidangList,0)),INDEX(checklistPesertaKemenkeu!$O$6:$O$1005,SMALL(IF(checklistPesertaKemenkeu!$AY$6:$AY$1005="Direkomendasikan",ROW($6:$1005)-5),200)))&gt;0,COUNTIF(INDIRECT("'KERTAS KERJA'!K"&amp;(SMALL(IF(checklistPesertaKemenkeu!$AY$6:$AY$1005="Direkomendasikan",ROW($6:$1005)-5),200)+5)&amp;":O"&amp;(SMALL(IF(checklistPesertaKemenkeu!$AY$6:$AY$1005="Direkomendasikan",ROW($6:$1005)-5),200)+5)),INDEX(checklistPesertaKemenkeu!$O$6:$O$1005,SMALL(IF(checklistPesertaKemenkeu!$AY$6:$AY$1005="Direkomendasikan",ROW($6:$1005)-5),200)))=1),IFERROR(VLOOKUP(INDEX(checklistPesertaKemenkeu!$O$6:$O$1005,SMALL(IF(checklistPesertaKemenkeu!$AY$6:$AY$1005="Direkomendasikan",ROW($6:$1005)-5),200)),KotaKode,2,0),"-"),"")),"")</f>
        <v/>
      </c>
      <c r="L201" t="str">
        <f t="array" aca="1" ref="L201" ca="1">IFERROR(IF(OR(INDEX(checklistPesertaKemenkeu!$P$6:$P$1005,SMALL(IF(checklistPesertaKemenkeu!$AY$6:$AY$1005="Direkomendasikan",ROW($6:$1005)-5),200))="",INDEX(checklistPesertaKemenkeu!$J$6:$J$1005,SMALL(IF(checklistPesertaKemenkeu!$AY$6:$AY$1005="Direkomendasikan",ROW($6:$1005)-5),200))=""),"",IF(AND(COUNTIF(INDIRECT("K_"&amp;MATCH(INDEX(checklistPesertaKemenkeu!$J$6:$J$1005,SMALL(IF(checklistPesertaKemenkeu!$AY$6:$AY$1005="Direkomendasikan",ROW($6:$1005)-5),200)),BidangList,0)),INDEX(checklistPesertaKemenkeu!$P$6:$P$1005,SMALL(IF(checklistPesertaKemenkeu!$AY$6:$AY$1005="Direkomendasikan",ROW($6:$1005)-5),200)))&gt;0,COUNTIF(INDIRECT("'KERTAS KERJA'!K"&amp;(SMALL(IF(checklistPesertaKemenkeu!$AY$6:$AY$1005="Direkomendasikan",ROW($6:$1005)-5),200)+5)&amp;":O"&amp;(SMALL(IF(checklistPesertaKemenkeu!$AY$6:$AY$1005="Direkomendasikan",ROW($6:$1005)-5),200)+5)),INDEX(checklistPesertaKemenkeu!$P$6:$P$1005,SMALL(IF(checklistPesertaKemenkeu!$AY$6:$AY$1005="Direkomendasikan",ROW($6:$1005)-5),200)))=1),IFERROR(VLOOKUP(INDEX(checklistPesertaKemenkeu!$P$6:$P$1005,SMALL(IF(checklistPesertaKemenkeu!$AY$6:$AY$1005="Direkomendasikan",ROW($6:$1005)-5),200)),KotaKode,2,0),"-"),"")),"")</f>
        <v/>
      </c>
    </row>
    <row r="202" spans="1:12" ht="15" customHeight="1" x14ac:dyDescent="0.2">
      <c r="A202" t="str">
        <f t="shared" si="3"/>
        <v/>
      </c>
      <c r="B202" t="str">
        <v/>
      </c>
      <c r="C202" s="40" t="str">
        <f t="array" ref="C202">IFERROR(INDEX(checklistPesertaKemenkeu!$F$6:$F$1005,SMALL(IF(checklistPesertaKemenkeu!$AY$6:$AY$1005="Direkomendasikan",ROW($6:$1005)-5),201)),"")</f>
        <v/>
      </c>
      <c r="D202" t="str">
        <f t="array" ref="D202">IFERROR(INDEX(checklistPesertaKemenkeu!$G$6:$G$1005,SMALL(IF(checklistPesertaKemenkeu!$AY$6:$AY$1005="Direkomendasikan",ROW($6:$1005)-5),201)),"")</f>
        <v/>
      </c>
      <c r="E202" t="str">
        <f t="array" ref="E202">IFERROR(INDEX(checklistPesertaKemenkeu!$H$6:$H$1005,SMALL(IF(checklistPesertaKemenkeu!$AY$6:$AY$1005="Direkomendasikan",ROW($6:$1005)-5),201)),"")</f>
        <v/>
      </c>
      <c r="F202" t="str">
        <f t="array" ref="F202">IFERROR(INDEX(checklistPesertaKemenkeu!$I$6:$I$1005,SMALL(IF(checklistPesertaKemenkeu!$AY$6:$AY$1005="Direkomendasikan",ROW($6:$1005)-5),201)),"")</f>
        <v/>
      </c>
      <c r="G202" t="str">
        <f t="array" ref="G202">IFERROR(INDEX(checklistPesertaKemenkeu!$J$6:$J$1005,SMALL(IF(checklistPesertaKemenkeu!$AY$6:$AY$1005="Direkomendasikan",ROW($6:$1005)-5),201)),"")</f>
        <v/>
      </c>
      <c r="H202" t="str">
        <f t="array" aca="1" ref="H202" ca="1">IFERROR(IF(OR(INDEX(checklistPesertaKemenkeu!$L$6:$L$1005,SMALL(IF(checklistPesertaKemenkeu!$AY$6:$AY$1005="Direkomendasikan",ROW($6:$1005)-5),201))="",INDEX(checklistPesertaKemenkeu!$J$6:$J$1005,SMALL(IF(checklistPesertaKemenkeu!$AY$6:$AY$1005="Direkomendasikan",ROW($6:$1005)-5),201))=""),"",IF(AND(COUNTIF(INDIRECT("K_"&amp;MATCH(INDEX(checklistPesertaKemenkeu!$J$6:$J$1005,SMALL(IF(checklistPesertaKemenkeu!$AY$6:$AY$1005="Direkomendasikan",ROW($6:$1005)-5),201)),BidangList,0)),INDEX(checklistPesertaKemenkeu!$L$6:$L$1005,SMALL(IF(checklistPesertaKemenkeu!$AY$6:$AY$1005="Direkomendasikan",ROW($6:$1005)-5),201)))&gt;0,COUNTIF(INDIRECT("'KERTAS KERJA'!K"&amp;(SMALL(IF(checklistPesertaKemenkeu!$AY$6:$AY$1005="Direkomendasikan",ROW($6:$1005)-5),201)+5)&amp;":O"&amp;(SMALL(IF(checklistPesertaKemenkeu!$AY$6:$AY$1005="Direkomendasikan",ROW($6:$1005)-5),201)+5)),INDEX(checklistPesertaKemenkeu!$L$6:$L$1005,SMALL(IF(checklistPesertaKemenkeu!$AY$6:$AY$1005="Direkomendasikan",ROW($6:$1005)-5),201)))=1),IFERROR(VLOOKUP(INDEX(checklistPesertaKemenkeu!$L$6:$L$1005,SMALL(IF(checklistPesertaKemenkeu!$AY$6:$AY$1005="Direkomendasikan",ROW($6:$1005)-5),201)),KotaKode,2,0),"-"),"")),"")</f>
        <v/>
      </c>
      <c r="I202" t="str">
        <f t="array" aca="1" ref="I202" ca="1">IFERROR(IF(OR(INDEX(checklistPesertaKemenkeu!$M$6:$M$1005,SMALL(IF(checklistPesertaKemenkeu!$AY$6:$AY$1005="Direkomendasikan",ROW($6:$1005)-5),201))="",INDEX(checklistPesertaKemenkeu!$J$6:$J$1005,SMALL(IF(checklistPesertaKemenkeu!$AY$6:$AY$1005="Direkomendasikan",ROW($6:$1005)-5),201))=""),"",IF(AND(COUNTIF(INDIRECT("K_"&amp;MATCH(INDEX(checklistPesertaKemenkeu!$J$6:$J$1005,SMALL(IF(checklistPesertaKemenkeu!$AY$6:$AY$1005="Direkomendasikan",ROW($6:$1005)-5),201)),BidangList,0)),INDEX(checklistPesertaKemenkeu!$M$6:$M$1005,SMALL(IF(checklistPesertaKemenkeu!$AY$6:$AY$1005="Direkomendasikan",ROW($6:$1005)-5),201)))&gt;0,COUNTIF(INDIRECT("'KERTAS KERJA'!K"&amp;(SMALL(IF(checklistPesertaKemenkeu!$AY$6:$AY$1005="Direkomendasikan",ROW($6:$1005)-5),201)+5)&amp;":O"&amp;(SMALL(IF(checklistPesertaKemenkeu!$AY$6:$AY$1005="Direkomendasikan",ROW($6:$1005)-5),201)+5)),INDEX(checklistPesertaKemenkeu!$M$6:$M$1005,SMALL(IF(checklistPesertaKemenkeu!$AY$6:$AY$1005="Direkomendasikan",ROW($6:$1005)-5),201)))=1),IFERROR(VLOOKUP(INDEX(checklistPesertaKemenkeu!$M$6:$M$1005,SMALL(IF(checklistPesertaKemenkeu!$AY$6:$AY$1005="Direkomendasikan",ROW($6:$1005)-5),201)),KotaKode,2,0),"-"),"")),"")</f>
        <v/>
      </c>
      <c r="J202" t="str">
        <f t="array" aca="1" ref="J202" ca="1">IFERROR(IF(OR(INDEX(checklistPesertaKemenkeu!$N$6:$N$1005,SMALL(IF(checklistPesertaKemenkeu!$AY$6:$AY$1005="Direkomendasikan",ROW($6:$1005)-5),201))="",INDEX(checklistPesertaKemenkeu!$J$6:$J$1005,SMALL(IF(checklistPesertaKemenkeu!$AY$6:$AY$1005="Direkomendasikan",ROW($6:$1005)-5),201))=""),"",IF(AND(COUNTIF(INDIRECT("K_"&amp;MATCH(INDEX(checklistPesertaKemenkeu!$J$6:$J$1005,SMALL(IF(checklistPesertaKemenkeu!$AY$6:$AY$1005="Direkomendasikan",ROW($6:$1005)-5),201)),BidangList,0)),INDEX(checklistPesertaKemenkeu!$N$6:$N$1005,SMALL(IF(checklistPesertaKemenkeu!$AY$6:$AY$1005="Direkomendasikan",ROW($6:$1005)-5),201)))&gt;0,COUNTIF(INDIRECT("'KERTAS KERJA'!K"&amp;(SMALL(IF(checklistPesertaKemenkeu!$AY$6:$AY$1005="Direkomendasikan",ROW($6:$1005)-5),201)+5)&amp;":O"&amp;(SMALL(IF(checklistPesertaKemenkeu!$AY$6:$AY$1005="Direkomendasikan",ROW($6:$1005)-5),201)+5)),INDEX(checklistPesertaKemenkeu!$N$6:$N$1005,SMALL(IF(checklistPesertaKemenkeu!$AY$6:$AY$1005="Direkomendasikan",ROW($6:$1005)-5),201)))=1),IFERROR(VLOOKUP(INDEX(checklistPesertaKemenkeu!$N$6:$N$1005,SMALL(IF(checklistPesertaKemenkeu!$AY$6:$AY$1005="Direkomendasikan",ROW($6:$1005)-5),201)),KotaKode,2,0),"-"),"")),"")</f>
        <v/>
      </c>
      <c r="K202" t="str">
        <f t="array" aca="1" ref="K202" ca="1">IFERROR(IF(OR(INDEX(checklistPesertaKemenkeu!$O$6:$O$1005,SMALL(IF(checklistPesertaKemenkeu!$AY$6:$AY$1005="Direkomendasikan",ROW($6:$1005)-5),201))="",INDEX(checklistPesertaKemenkeu!$J$6:$J$1005,SMALL(IF(checklistPesertaKemenkeu!$AY$6:$AY$1005="Direkomendasikan",ROW($6:$1005)-5),201))=""),"",IF(AND(COUNTIF(INDIRECT("K_"&amp;MATCH(INDEX(checklistPesertaKemenkeu!$J$6:$J$1005,SMALL(IF(checklistPesertaKemenkeu!$AY$6:$AY$1005="Direkomendasikan",ROW($6:$1005)-5),201)),BidangList,0)),INDEX(checklistPesertaKemenkeu!$O$6:$O$1005,SMALL(IF(checklistPesertaKemenkeu!$AY$6:$AY$1005="Direkomendasikan",ROW($6:$1005)-5),201)))&gt;0,COUNTIF(INDIRECT("'KERTAS KERJA'!K"&amp;(SMALL(IF(checklistPesertaKemenkeu!$AY$6:$AY$1005="Direkomendasikan",ROW($6:$1005)-5),201)+5)&amp;":O"&amp;(SMALL(IF(checklistPesertaKemenkeu!$AY$6:$AY$1005="Direkomendasikan",ROW($6:$1005)-5),201)+5)),INDEX(checklistPesertaKemenkeu!$O$6:$O$1005,SMALL(IF(checklistPesertaKemenkeu!$AY$6:$AY$1005="Direkomendasikan",ROW($6:$1005)-5),201)))=1),IFERROR(VLOOKUP(INDEX(checklistPesertaKemenkeu!$O$6:$O$1005,SMALL(IF(checklistPesertaKemenkeu!$AY$6:$AY$1005="Direkomendasikan",ROW($6:$1005)-5),201)),KotaKode,2,0),"-"),"")),"")</f>
        <v/>
      </c>
      <c r="L202" t="str">
        <f t="array" aca="1" ref="L202" ca="1">IFERROR(IF(OR(INDEX(checklistPesertaKemenkeu!$P$6:$P$1005,SMALL(IF(checklistPesertaKemenkeu!$AY$6:$AY$1005="Direkomendasikan",ROW($6:$1005)-5),201))="",INDEX(checklistPesertaKemenkeu!$J$6:$J$1005,SMALL(IF(checklistPesertaKemenkeu!$AY$6:$AY$1005="Direkomendasikan",ROW($6:$1005)-5),201))=""),"",IF(AND(COUNTIF(INDIRECT("K_"&amp;MATCH(INDEX(checklistPesertaKemenkeu!$J$6:$J$1005,SMALL(IF(checklistPesertaKemenkeu!$AY$6:$AY$1005="Direkomendasikan",ROW($6:$1005)-5),201)),BidangList,0)),INDEX(checklistPesertaKemenkeu!$P$6:$P$1005,SMALL(IF(checklistPesertaKemenkeu!$AY$6:$AY$1005="Direkomendasikan",ROW($6:$1005)-5),201)))&gt;0,COUNTIF(INDIRECT("'KERTAS KERJA'!K"&amp;(SMALL(IF(checklistPesertaKemenkeu!$AY$6:$AY$1005="Direkomendasikan",ROW($6:$1005)-5),201)+5)&amp;":O"&amp;(SMALL(IF(checklistPesertaKemenkeu!$AY$6:$AY$1005="Direkomendasikan",ROW($6:$1005)-5),201)+5)),INDEX(checklistPesertaKemenkeu!$P$6:$P$1005,SMALL(IF(checklistPesertaKemenkeu!$AY$6:$AY$1005="Direkomendasikan",ROW($6:$1005)-5),201)))=1),IFERROR(VLOOKUP(INDEX(checklistPesertaKemenkeu!$P$6:$P$1005,SMALL(IF(checklistPesertaKemenkeu!$AY$6:$AY$1005="Direkomendasikan",ROW($6:$1005)-5),201)),KotaKode,2,0),"-"),"")),"")</f>
        <v/>
      </c>
    </row>
    <row r="203" spans="1:12" ht="15" customHeight="1" x14ac:dyDescent="0.2">
      <c r="A203" t="str">
        <f t="shared" si="3"/>
        <v/>
      </c>
      <c r="B203" t="str">
        <v/>
      </c>
      <c r="C203" s="40" t="str">
        <f t="array" ref="C203">IFERROR(INDEX(checklistPesertaKemenkeu!$F$6:$F$1005,SMALL(IF(checklistPesertaKemenkeu!$AY$6:$AY$1005="Direkomendasikan",ROW($6:$1005)-5),202)),"")</f>
        <v/>
      </c>
      <c r="D203" t="str">
        <f t="array" ref="D203">IFERROR(INDEX(checklistPesertaKemenkeu!$G$6:$G$1005,SMALL(IF(checklistPesertaKemenkeu!$AY$6:$AY$1005="Direkomendasikan",ROW($6:$1005)-5),202)),"")</f>
        <v/>
      </c>
      <c r="E203" t="str">
        <f t="array" ref="E203">IFERROR(INDEX(checklistPesertaKemenkeu!$H$6:$H$1005,SMALL(IF(checklistPesertaKemenkeu!$AY$6:$AY$1005="Direkomendasikan",ROW($6:$1005)-5),202)),"")</f>
        <v/>
      </c>
      <c r="F203" t="str">
        <f t="array" ref="F203">IFERROR(INDEX(checklistPesertaKemenkeu!$I$6:$I$1005,SMALL(IF(checklistPesertaKemenkeu!$AY$6:$AY$1005="Direkomendasikan",ROW($6:$1005)-5),202)),"")</f>
        <v/>
      </c>
      <c r="G203" t="str">
        <f t="array" ref="G203">IFERROR(INDEX(checklistPesertaKemenkeu!$J$6:$J$1005,SMALL(IF(checklistPesertaKemenkeu!$AY$6:$AY$1005="Direkomendasikan",ROW($6:$1005)-5),202)),"")</f>
        <v/>
      </c>
      <c r="H203" t="str">
        <f t="array" aca="1" ref="H203" ca="1">IFERROR(IF(OR(INDEX(checklistPesertaKemenkeu!$L$6:$L$1005,SMALL(IF(checklistPesertaKemenkeu!$AY$6:$AY$1005="Direkomendasikan",ROW($6:$1005)-5),202))="",INDEX(checklistPesertaKemenkeu!$J$6:$J$1005,SMALL(IF(checklistPesertaKemenkeu!$AY$6:$AY$1005="Direkomendasikan",ROW($6:$1005)-5),202))=""),"",IF(AND(COUNTIF(INDIRECT("K_"&amp;MATCH(INDEX(checklistPesertaKemenkeu!$J$6:$J$1005,SMALL(IF(checklistPesertaKemenkeu!$AY$6:$AY$1005="Direkomendasikan",ROW($6:$1005)-5),202)),BidangList,0)),INDEX(checklistPesertaKemenkeu!$L$6:$L$1005,SMALL(IF(checklistPesertaKemenkeu!$AY$6:$AY$1005="Direkomendasikan",ROW($6:$1005)-5),202)))&gt;0,COUNTIF(INDIRECT("'KERTAS KERJA'!K"&amp;(SMALL(IF(checklistPesertaKemenkeu!$AY$6:$AY$1005="Direkomendasikan",ROW($6:$1005)-5),202)+5)&amp;":O"&amp;(SMALL(IF(checklistPesertaKemenkeu!$AY$6:$AY$1005="Direkomendasikan",ROW($6:$1005)-5),202)+5)),INDEX(checklistPesertaKemenkeu!$L$6:$L$1005,SMALL(IF(checklistPesertaKemenkeu!$AY$6:$AY$1005="Direkomendasikan",ROW($6:$1005)-5),202)))=1),IFERROR(VLOOKUP(INDEX(checklistPesertaKemenkeu!$L$6:$L$1005,SMALL(IF(checklistPesertaKemenkeu!$AY$6:$AY$1005="Direkomendasikan",ROW($6:$1005)-5),202)),KotaKode,2,0),"-"),"")),"")</f>
        <v/>
      </c>
      <c r="I203" t="str">
        <f t="array" aca="1" ref="I203" ca="1">IFERROR(IF(OR(INDEX(checklistPesertaKemenkeu!$M$6:$M$1005,SMALL(IF(checklistPesertaKemenkeu!$AY$6:$AY$1005="Direkomendasikan",ROW($6:$1005)-5),202))="",INDEX(checklistPesertaKemenkeu!$J$6:$J$1005,SMALL(IF(checklistPesertaKemenkeu!$AY$6:$AY$1005="Direkomendasikan",ROW($6:$1005)-5),202))=""),"",IF(AND(COUNTIF(INDIRECT("K_"&amp;MATCH(INDEX(checklistPesertaKemenkeu!$J$6:$J$1005,SMALL(IF(checklistPesertaKemenkeu!$AY$6:$AY$1005="Direkomendasikan",ROW($6:$1005)-5),202)),BidangList,0)),INDEX(checklistPesertaKemenkeu!$M$6:$M$1005,SMALL(IF(checklistPesertaKemenkeu!$AY$6:$AY$1005="Direkomendasikan",ROW($6:$1005)-5),202)))&gt;0,COUNTIF(INDIRECT("'KERTAS KERJA'!K"&amp;(SMALL(IF(checklistPesertaKemenkeu!$AY$6:$AY$1005="Direkomendasikan",ROW($6:$1005)-5),202)+5)&amp;":O"&amp;(SMALL(IF(checklistPesertaKemenkeu!$AY$6:$AY$1005="Direkomendasikan",ROW($6:$1005)-5),202)+5)),INDEX(checklistPesertaKemenkeu!$M$6:$M$1005,SMALL(IF(checklistPesertaKemenkeu!$AY$6:$AY$1005="Direkomendasikan",ROW($6:$1005)-5),202)))=1),IFERROR(VLOOKUP(INDEX(checklistPesertaKemenkeu!$M$6:$M$1005,SMALL(IF(checklistPesertaKemenkeu!$AY$6:$AY$1005="Direkomendasikan",ROW($6:$1005)-5),202)),KotaKode,2,0),"-"),"")),"")</f>
        <v/>
      </c>
      <c r="J203" t="str">
        <f t="array" aca="1" ref="J203" ca="1">IFERROR(IF(OR(INDEX(checklistPesertaKemenkeu!$N$6:$N$1005,SMALL(IF(checklistPesertaKemenkeu!$AY$6:$AY$1005="Direkomendasikan",ROW($6:$1005)-5),202))="",INDEX(checklistPesertaKemenkeu!$J$6:$J$1005,SMALL(IF(checklistPesertaKemenkeu!$AY$6:$AY$1005="Direkomendasikan",ROW($6:$1005)-5),202))=""),"",IF(AND(COUNTIF(INDIRECT("K_"&amp;MATCH(INDEX(checklistPesertaKemenkeu!$J$6:$J$1005,SMALL(IF(checklistPesertaKemenkeu!$AY$6:$AY$1005="Direkomendasikan",ROW($6:$1005)-5),202)),BidangList,0)),INDEX(checklistPesertaKemenkeu!$N$6:$N$1005,SMALL(IF(checklistPesertaKemenkeu!$AY$6:$AY$1005="Direkomendasikan",ROW($6:$1005)-5),202)))&gt;0,COUNTIF(INDIRECT("'KERTAS KERJA'!K"&amp;(SMALL(IF(checklistPesertaKemenkeu!$AY$6:$AY$1005="Direkomendasikan",ROW($6:$1005)-5),202)+5)&amp;":O"&amp;(SMALL(IF(checklistPesertaKemenkeu!$AY$6:$AY$1005="Direkomendasikan",ROW($6:$1005)-5),202)+5)),INDEX(checklistPesertaKemenkeu!$N$6:$N$1005,SMALL(IF(checklistPesertaKemenkeu!$AY$6:$AY$1005="Direkomendasikan",ROW($6:$1005)-5),202)))=1),IFERROR(VLOOKUP(INDEX(checklistPesertaKemenkeu!$N$6:$N$1005,SMALL(IF(checklistPesertaKemenkeu!$AY$6:$AY$1005="Direkomendasikan",ROW($6:$1005)-5),202)),KotaKode,2,0),"-"),"")),"")</f>
        <v/>
      </c>
      <c r="K203" t="str">
        <f t="array" aca="1" ref="K203" ca="1">IFERROR(IF(OR(INDEX(checklistPesertaKemenkeu!$O$6:$O$1005,SMALL(IF(checklistPesertaKemenkeu!$AY$6:$AY$1005="Direkomendasikan",ROW($6:$1005)-5),202))="",INDEX(checklistPesertaKemenkeu!$J$6:$J$1005,SMALL(IF(checklistPesertaKemenkeu!$AY$6:$AY$1005="Direkomendasikan",ROW($6:$1005)-5),202))=""),"",IF(AND(COUNTIF(INDIRECT("K_"&amp;MATCH(INDEX(checklistPesertaKemenkeu!$J$6:$J$1005,SMALL(IF(checklistPesertaKemenkeu!$AY$6:$AY$1005="Direkomendasikan",ROW($6:$1005)-5),202)),BidangList,0)),INDEX(checklistPesertaKemenkeu!$O$6:$O$1005,SMALL(IF(checklistPesertaKemenkeu!$AY$6:$AY$1005="Direkomendasikan",ROW($6:$1005)-5),202)))&gt;0,COUNTIF(INDIRECT("'KERTAS KERJA'!K"&amp;(SMALL(IF(checklistPesertaKemenkeu!$AY$6:$AY$1005="Direkomendasikan",ROW($6:$1005)-5),202)+5)&amp;":O"&amp;(SMALL(IF(checklistPesertaKemenkeu!$AY$6:$AY$1005="Direkomendasikan",ROW($6:$1005)-5),202)+5)),INDEX(checklistPesertaKemenkeu!$O$6:$O$1005,SMALL(IF(checklistPesertaKemenkeu!$AY$6:$AY$1005="Direkomendasikan",ROW($6:$1005)-5),202)))=1),IFERROR(VLOOKUP(INDEX(checklistPesertaKemenkeu!$O$6:$O$1005,SMALL(IF(checklistPesertaKemenkeu!$AY$6:$AY$1005="Direkomendasikan",ROW($6:$1005)-5),202)),KotaKode,2,0),"-"),"")),"")</f>
        <v/>
      </c>
      <c r="L203" t="str">
        <f t="array" aca="1" ref="L203" ca="1">IFERROR(IF(OR(INDEX(checklistPesertaKemenkeu!$P$6:$P$1005,SMALL(IF(checklistPesertaKemenkeu!$AY$6:$AY$1005="Direkomendasikan",ROW($6:$1005)-5),202))="",INDEX(checklistPesertaKemenkeu!$J$6:$J$1005,SMALL(IF(checklistPesertaKemenkeu!$AY$6:$AY$1005="Direkomendasikan",ROW($6:$1005)-5),202))=""),"",IF(AND(COUNTIF(INDIRECT("K_"&amp;MATCH(INDEX(checklistPesertaKemenkeu!$J$6:$J$1005,SMALL(IF(checklistPesertaKemenkeu!$AY$6:$AY$1005="Direkomendasikan",ROW($6:$1005)-5),202)),BidangList,0)),INDEX(checklistPesertaKemenkeu!$P$6:$P$1005,SMALL(IF(checklistPesertaKemenkeu!$AY$6:$AY$1005="Direkomendasikan",ROW($6:$1005)-5),202)))&gt;0,COUNTIF(INDIRECT("'KERTAS KERJA'!K"&amp;(SMALL(IF(checklistPesertaKemenkeu!$AY$6:$AY$1005="Direkomendasikan",ROW($6:$1005)-5),202)+5)&amp;":O"&amp;(SMALL(IF(checklistPesertaKemenkeu!$AY$6:$AY$1005="Direkomendasikan",ROW($6:$1005)-5),202)+5)),INDEX(checklistPesertaKemenkeu!$P$6:$P$1005,SMALL(IF(checklistPesertaKemenkeu!$AY$6:$AY$1005="Direkomendasikan",ROW($6:$1005)-5),202)))=1),IFERROR(VLOOKUP(INDEX(checklistPesertaKemenkeu!$P$6:$P$1005,SMALL(IF(checklistPesertaKemenkeu!$AY$6:$AY$1005="Direkomendasikan",ROW($6:$1005)-5),202)),KotaKode,2,0),"-"),"")),"")</f>
        <v/>
      </c>
    </row>
    <row r="204" spans="1:12" ht="15" customHeight="1" x14ac:dyDescent="0.2">
      <c r="A204" t="str">
        <f t="shared" si="3"/>
        <v/>
      </c>
      <c r="B204" t="str">
        <v/>
      </c>
      <c r="C204" s="40" t="str">
        <f t="array" ref="C204">IFERROR(INDEX(checklistPesertaKemenkeu!$F$6:$F$1005,SMALL(IF(checklistPesertaKemenkeu!$AY$6:$AY$1005="Direkomendasikan",ROW($6:$1005)-5),203)),"")</f>
        <v/>
      </c>
      <c r="D204" t="str">
        <f t="array" ref="D204">IFERROR(INDEX(checklistPesertaKemenkeu!$G$6:$G$1005,SMALL(IF(checklistPesertaKemenkeu!$AY$6:$AY$1005="Direkomendasikan",ROW($6:$1005)-5),203)),"")</f>
        <v/>
      </c>
      <c r="E204" t="str">
        <f t="array" ref="E204">IFERROR(INDEX(checklistPesertaKemenkeu!$H$6:$H$1005,SMALL(IF(checklistPesertaKemenkeu!$AY$6:$AY$1005="Direkomendasikan",ROW($6:$1005)-5),203)),"")</f>
        <v/>
      </c>
      <c r="F204" t="str">
        <f t="array" ref="F204">IFERROR(INDEX(checklistPesertaKemenkeu!$I$6:$I$1005,SMALL(IF(checklistPesertaKemenkeu!$AY$6:$AY$1005="Direkomendasikan",ROW($6:$1005)-5),203)),"")</f>
        <v/>
      </c>
      <c r="G204" t="str">
        <f t="array" ref="G204">IFERROR(INDEX(checklistPesertaKemenkeu!$J$6:$J$1005,SMALL(IF(checklistPesertaKemenkeu!$AY$6:$AY$1005="Direkomendasikan",ROW($6:$1005)-5),203)),"")</f>
        <v/>
      </c>
      <c r="H204" t="str">
        <f t="array" aca="1" ref="H204" ca="1">IFERROR(IF(OR(INDEX(checklistPesertaKemenkeu!$L$6:$L$1005,SMALL(IF(checklistPesertaKemenkeu!$AY$6:$AY$1005="Direkomendasikan",ROW($6:$1005)-5),203))="",INDEX(checklistPesertaKemenkeu!$J$6:$J$1005,SMALL(IF(checklistPesertaKemenkeu!$AY$6:$AY$1005="Direkomendasikan",ROW($6:$1005)-5),203))=""),"",IF(AND(COUNTIF(INDIRECT("K_"&amp;MATCH(INDEX(checklistPesertaKemenkeu!$J$6:$J$1005,SMALL(IF(checklistPesertaKemenkeu!$AY$6:$AY$1005="Direkomendasikan",ROW($6:$1005)-5),203)),BidangList,0)),INDEX(checklistPesertaKemenkeu!$L$6:$L$1005,SMALL(IF(checklistPesertaKemenkeu!$AY$6:$AY$1005="Direkomendasikan",ROW($6:$1005)-5),203)))&gt;0,COUNTIF(INDIRECT("'KERTAS KERJA'!K"&amp;(SMALL(IF(checklistPesertaKemenkeu!$AY$6:$AY$1005="Direkomendasikan",ROW($6:$1005)-5),203)+5)&amp;":O"&amp;(SMALL(IF(checklistPesertaKemenkeu!$AY$6:$AY$1005="Direkomendasikan",ROW($6:$1005)-5),203)+5)),INDEX(checklistPesertaKemenkeu!$L$6:$L$1005,SMALL(IF(checklistPesertaKemenkeu!$AY$6:$AY$1005="Direkomendasikan",ROW($6:$1005)-5),203)))=1),IFERROR(VLOOKUP(INDEX(checklistPesertaKemenkeu!$L$6:$L$1005,SMALL(IF(checklistPesertaKemenkeu!$AY$6:$AY$1005="Direkomendasikan",ROW($6:$1005)-5),203)),KotaKode,2,0),"-"),"")),"")</f>
        <v/>
      </c>
      <c r="I204" t="str">
        <f t="array" aca="1" ref="I204" ca="1">IFERROR(IF(OR(INDEX(checklistPesertaKemenkeu!$M$6:$M$1005,SMALL(IF(checklistPesertaKemenkeu!$AY$6:$AY$1005="Direkomendasikan",ROW($6:$1005)-5),203))="",INDEX(checklistPesertaKemenkeu!$J$6:$J$1005,SMALL(IF(checklistPesertaKemenkeu!$AY$6:$AY$1005="Direkomendasikan",ROW($6:$1005)-5),203))=""),"",IF(AND(COUNTIF(INDIRECT("K_"&amp;MATCH(INDEX(checklistPesertaKemenkeu!$J$6:$J$1005,SMALL(IF(checklistPesertaKemenkeu!$AY$6:$AY$1005="Direkomendasikan",ROW($6:$1005)-5),203)),BidangList,0)),INDEX(checklistPesertaKemenkeu!$M$6:$M$1005,SMALL(IF(checklistPesertaKemenkeu!$AY$6:$AY$1005="Direkomendasikan",ROW($6:$1005)-5),203)))&gt;0,COUNTIF(INDIRECT("'KERTAS KERJA'!K"&amp;(SMALL(IF(checklistPesertaKemenkeu!$AY$6:$AY$1005="Direkomendasikan",ROW($6:$1005)-5),203)+5)&amp;":O"&amp;(SMALL(IF(checklistPesertaKemenkeu!$AY$6:$AY$1005="Direkomendasikan",ROW($6:$1005)-5),203)+5)),INDEX(checklistPesertaKemenkeu!$M$6:$M$1005,SMALL(IF(checklistPesertaKemenkeu!$AY$6:$AY$1005="Direkomendasikan",ROW($6:$1005)-5),203)))=1),IFERROR(VLOOKUP(INDEX(checklistPesertaKemenkeu!$M$6:$M$1005,SMALL(IF(checklistPesertaKemenkeu!$AY$6:$AY$1005="Direkomendasikan",ROW($6:$1005)-5),203)),KotaKode,2,0),"-"),"")),"")</f>
        <v/>
      </c>
      <c r="J204" t="str">
        <f t="array" aca="1" ref="J204" ca="1">IFERROR(IF(OR(INDEX(checklistPesertaKemenkeu!$N$6:$N$1005,SMALL(IF(checklistPesertaKemenkeu!$AY$6:$AY$1005="Direkomendasikan",ROW($6:$1005)-5),203))="",INDEX(checklistPesertaKemenkeu!$J$6:$J$1005,SMALL(IF(checklistPesertaKemenkeu!$AY$6:$AY$1005="Direkomendasikan",ROW($6:$1005)-5),203))=""),"",IF(AND(COUNTIF(INDIRECT("K_"&amp;MATCH(INDEX(checklistPesertaKemenkeu!$J$6:$J$1005,SMALL(IF(checklistPesertaKemenkeu!$AY$6:$AY$1005="Direkomendasikan",ROW($6:$1005)-5),203)),BidangList,0)),INDEX(checklistPesertaKemenkeu!$N$6:$N$1005,SMALL(IF(checklistPesertaKemenkeu!$AY$6:$AY$1005="Direkomendasikan",ROW($6:$1005)-5),203)))&gt;0,COUNTIF(INDIRECT("'KERTAS KERJA'!K"&amp;(SMALL(IF(checklistPesertaKemenkeu!$AY$6:$AY$1005="Direkomendasikan",ROW($6:$1005)-5),203)+5)&amp;":O"&amp;(SMALL(IF(checklistPesertaKemenkeu!$AY$6:$AY$1005="Direkomendasikan",ROW($6:$1005)-5),203)+5)),INDEX(checklistPesertaKemenkeu!$N$6:$N$1005,SMALL(IF(checklistPesertaKemenkeu!$AY$6:$AY$1005="Direkomendasikan",ROW($6:$1005)-5),203)))=1),IFERROR(VLOOKUP(INDEX(checklistPesertaKemenkeu!$N$6:$N$1005,SMALL(IF(checklistPesertaKemenkeu!$AY$6:$AY$1005="Direkomendasikan",ROW($6:$1005)-5),203)),KotaKode,2,0),"-"),"")),"")</f>
        <v/>
      </c>
      <c r="K204" t="str">
        <f t="array" aca="1" ref="K204" ca="1">IFERROR(IF(OR(INDEX(checklistPesertaKemenkeu!$O$6:$O$1005,SMALL(IF(checklistPesertaKemenkeu!$AY$6:$AY$1005="Direkomendasikan",ROW($6:$1005)-5),203))="",INDEX(checklistPesertaKemenkeu!$J$6:$J$1005,SMALL(IF(checklistPesertaKemenkeu!$AY$6:$AY$1005="Direkomendasikan",ROW($6:$1005)-5),203))=""),"",IF(AND(COUNTIF(INDIRECT("K_"&amp;MATCH(INDEX(checklistPesertaKemenkeu!$J$6:$J$1005,SMALL(IF(checklistPesertaKemenkeu!$AY$6:$AY$1005="Direkomendasikan",ROW($6:$1005)-5),203)),BidangList,0)),INDEX(checklistPesertaKemenkeu!$O$6:$O$1005,SMALL(IF(checklistPesertaKemenkeu!$AY$6:$AY$1005="Direkomendasikan",ROW($6:$1005)-5),203)))&gt;0,COUNTIF(INDIRECT("'KERTAS KERJA'!K"&amp;(SMALL(IF(checklistPesertaKemenkeu!$AY$6:$AY$1005="Direkomendasikan",ROW($6:$1005)-5),203)+5)&amp;":O"&amp;(SMALL(IF(checklistPesertaKemenkeu!$AY$6:$AY$1005="Direkomendasikan",ROW($6:$1005)-5),203)+5)),INDEX(checklistPesertaKemenkeu!$O$6:$O$1005,SMALL(IF(checklistPesertaKemenkeu!$AY$6:$AY$1005="Direkomendasikan",ROW($6:$1005)-5),203)))=1),IFERROR(VLOOKUP(INDEX(checklistPesertaKemenkeu!$O$6:$O$1005,SMALL(IF(checklistPesertaKemenkeu!$AY$6:$AY$1005="Direkomendasikan",ROW($6:$1005)-5),203)),KotaKode,2,0),"-"),"")),"")</f>
        <v/>
      </c>
      <c r="L204" t="str">
        <f t="array" aca="1" ref="L204" ca="1">IFERROR(IF(OR(INDEX(checklistPesertaKemenkeu!$P$6:$P$1005,SMALL(IF(checklistPesertaKemenkeu!$AY$6:$AY$1005="Direkomendasikan",ROW($6:$1005)-5),203))="",INDEX(checklistPesertaKemenkeu!$J$6:$J$1005,SMALL(IF(checklistPesertaKemenkeu!$AY$6:$AY$1005="Direkomendasikan",ROW($6:$1005)-5),203))=""),"",IF(AND(COUNTIF(INDIRECT("K_"&amp;MATCH(INDEX(checklistPesertaKemenkeu!$J$6:$J$1005,SMALL(IF(checklistPesertaKemenkeu!$AY$6:$AY$1005="Direkomendasikan",ROW($6:$1005)-5),203)),BidangList,0)),INDEX(checklistPesertaKemenkeu!$P$6:$P$1005,SMALL(IF(checklistPesertaKemenkeu!$AY$6:$AY$1005="Direkomendasikan",ROW($6:$1005)-5),203)))&gt;0,COUNTIF(INDIRECT("'KERTAS KERJA'!K"&amp;(SMALL(IF(checklistPesertaKemenkeu!$AY$6:$AY$1005="Direkomendasikan",ROW($6:$1005)-5),203)+5)&amp;":O"&amp;(SMALL(IF(checklistPesertaKemenkeu!$AY$6:$AY$1005="Direkomendasikan",ROW($6:$1005)-5),203)+5)),INDEX(checklistPesertaKemenkeu!$P$6:$P$1005,SMALL(IF(checklistPesertaKemenkeu!$AY$6:$AY$1005="Direkomendasikan",ROW($6:$1005)-5),203)))=1),IFERROR(VLOOKUP(INDEX(checklistPesertaKemenkeu!$P$6:$P$1005,SMALL(IF(checklistPesertaKemenkeu!$AY$6:$AY$1005="Direkomendasikan",ROW($6:$1005)-5),203)),KotaKode,2,0),"-"),"")),"")</f>
        <v/>
      </c>
    </row>
    <row r="205" spans="1:12" ht="15" customHeight="1" x14ac:dyDescent="0.2">
      <c r="A205" t="str">
        <f t="shared" si="3"/>
        <v/>
      </c>
      <c r="B205" t="str">
        <v/>
      </c>
      <c r="C205" s="40" t="str">
        <f t="array" ref="C205">IFERROR(INDEX(checklistPesertaKemenkeu!$F$6:$F$1005,SMALL(IF(checklistPesertaKemenkeu!$AY$6:$AY$1005="Direkomendasikan",ROW($6:$1005)-5),204)),"")</f>
        <v/>
      </c>
      <c r="D205" t="str">
        <f t="array" ref="D205">IFERROR(INDEX(checklistPesertaKemenkeu!$G$6:$G$1005,SMALL(IF(checklistPesertaKemenkeu!$AY$6:$AY$1005="Direkomendasikan",ROW($6:$1005)-5),204)),"")</f>
        <v/>
      </c>
      <c r="E205" t="str">
        <f t="array" ref="E205">IFERROR(INDEX(checklistPesertaKemenkeu!$H$6:$H$1005,SMALL(IF(checklistPesertaKemenkeu!$AY$6:$AY$1005="Direkomendasikan",ROW($6:$1005)-5),204)),"")</f>
        <v/>
      </c>
      <c r="F205" t="str">
        <f t="array" ref="F205">IFERROR(INDEX(checklistPesertaKemenkeu!$I$6:$I$1005,SMALL(IF(checklistPesertaKemenkeu!$AY$6:$AY$1005="Direkomendasikan",ROW($6:$1005)-5),204)),"")</f>
        <v/>
      </c>
      <c r="G205" t="str">
        <f t="array" ref="G205">IFERROR(INDEX(checklistPesertaKemenkeu!$J$6:$J$1005,SMALL(IF(checklistPesertaKemenkeu!$AY$6:$AY$1005="Direkomendasikan",ROW($6:$1005)-5),204)),"")</f>
        <v/>
      </c>
      <c r="H205" t="str">
        <f t="array" aca="1" ref="H205" ca="1">IFERROR(IF(OR(INDEX(checklistPesertaKemenkeu!$L$6:$L$1005,SMALL(IF(checklistPesertaKemenkeu!$AY$6:$AY$1005="Direkomendasikan",ROW($6:$1005)-5),204))="",INDEX(checklistPesertaKemenkeu!$J$6:$J$1005,SMALL(IF(checklistPesertaKemenkeu!$AY$6:$AY$1005="Direkomendasikan",ROW($6:$1005)-5),204))=""),"",IF(AND(COUNTIF(INDIRECT("K_"&amp;MATCH(INDEX(checklistPesertaKemenkeu!$J$6:$J$1005,SMALL(IF(checklistPesertaKemenkeu!$AY$6:$AY$1005="Direkomendasikan",ROW($6:$1005)-5),204)),BidangList,0)),INDEX(checklistPesertaKemenkeu!$L$6:$L$1005,SMALL(IF(checklistPesertaKemenkeu!$AY$6:$AY$1005="Direkomendasikan",ROW($6:$1005)-5),204)))&gt;0,COUNTIF(INDIRECT("'KERTAS KERJA'!K"&amp;(SMALL(IF(checklistPesertaKemenkeu!$AY$6:$AY$1005="Direkomendasikan",ROW($6:$1005)-5),204)+5)&amp;":O"&amp;(SMALL(IF(checklistPesertaKemenkeu!$AY$6:$AY$1005="Direkomendasikan",ROW($6:$1005)-5),204)+5)),INDEX(checklistPesertaKemenkeu!$L$6:$L$1005,SMALL(IF(checklistPesertaKemenkeu!$AY$6:$AY$1005="Direkomendasikan",ROW($6:$1005)-5),204)))=1),IFERROR(VLOOKUP(INDEX(checklistPesertaKemenkeu!$L$6:$L$1005,SMALL(IF(checklistPesertaKemenkeu!$AY$6:$AY$1005="Direkomendasikan",ROW($6:$1005)-5),204)),KotaKode,2,0),"-"),"")),"")</f>
        <v/>
      </c>
      <c r="I205" t="str">
        <f t="array" aca="1" ref="I205" ca="1">IFERROR(IF(OR(INDEX(checklistPesertaKemenkeu!$M$6:$M$1005,SMALL(IF(checklistPesertaKemenkeu!$AY$6:$AY$1005="Direkomendasikan",ROW($6:$1005)-5),204))="",INDEX(checklistPesertaKemenkeu!$J$6:$J$1005,SMALL(IF(checklistPesertaKemenkeu!$AY$6:$AY$1005="Direkomendasikan",ROW($6:$1005)-5),204))=""),"",IF(AND(COUNTIF(INDIRECT("K_"&amp;MATCH(INDEX(checklistPesertaKemenkeu!$J$6:$J$1005,SMALL(IF(checklistPesertaKemenkeu!$AY$6:$AY$1005="Direkomendasikan",ROW($6:$1005)-5),204)),BidangList,0)),INDEX(checklistPesertaKemenkeu!$M$6:$M$1005,SMALL(IF(checklistPesertaKemenkeu!$AY$6:$AY$1005="Direkomendasikan",ROW($6:$1005)-5),204)))&gt;0,COUNTIF(INDIRECT("'KERTAS KERJA'!K"&amp;(SMALL(IF(checklistPesertaKemenkeu!$AY$6:$AY$1005="Direkomendasikan",ROW($6:$1005)-5),204)+5)&amp;":O"&amp;(SMALL(IF(checklistPesertaKemenkeu!$AY$6:$AY$1005="Direkomendasikan",ROW($6:$1005)-5),204)+5)),INDEX(checklistPesertaKemenkeu!$M$6:$M$1005,SMALL(IF(checklistPesertaKemenkeu!$AY$6:$AY$1005="Direkomendasikan",ROW($6:$1005)-5),204)))=1),IFERROR(VLOOKUP(INDEX(checklistPesertaKemenkeu!$M$6:$M$1005,SMALL(IF(checklistPesertaKemenkeu!$AY$6:$AY$1005="Direkomendasikan",ROW($6:$1005)-5),204)),KotaKode,2,0),"-"),"")),"")</f>
        <v/>
      </c>
      <c r="J205" t="str">
        <f t="array" aca="1" ref="J205" ca="1">IFERROR(IF(OR(INDEX(checklistPesertaKemenkeu!$N$6:$N$1005,SMALL(IF(checklistPesertaKemenkeu!$AY$6:$AY$1005="Direkomendasikan",ROW($6:$1005)-5),204))="",INDEX(checklistPesertaKemenkeu!$J$6:$J$1005,SMALL(IF(checklistPesertaKemenkeu!$AY$6:$AY$1005="Direkomendasikan",ROW($6:$1005)-5),204))=""),"",IF(AND(COUNTIF(INDIRECT("K_"&amp;MATCH(INDEX(checklistPesertaKemenkeu!$J$6:$J$1005,SMALL(IF(checklistPesertaKemenkeu!$AY$6:$AY$1005="Direkomendasikan",ROW($6:$1005)-5),204)),BidangList,0)),INDEX(checklistPesertaKemenkeu!$N$6:$N$1005,SMALL(IF(checklistPesertaKemenkeu!$AY$6:$AY$1005="Direkomendasikan",ROW($6:$1005)-5),204)))&gt;0,COUNTIF(INDIRECT("'KERTAS KERJA'!K"&amp;(SMALL(IF(checklistPesertaKemenkeu!$AY$6:$AY$1005="Direkomendasikan",ROW($6:$1005)-5),204)+5)&amp;":O"&amp;(SMALL(IF(checklistPesertaKemenkeu!$AY$6:$AY$1005="Direkomendasikan",ROW($6:$1005)-5),204)+5)),INDEX(checklistPesertaKemenkeu!$N$6:$N$1005,SMALL(IF(checklistPesertaKemenkeu!$AY$6:$AY$1005="Direkomendasikan",ROW($6:$1005)-5),204)))=1),IFERROR(VLOOKUP(INDEX(checklistPesertaKemenkeu!$N$6:$N$1005,SMALL(IF(checklistPesertaKemenkeu!$AY$6:$AY$1005="Direkomendasikan",ROW($6:$1005)-5),204)),KotaKode,2,0),"-"),"")),"")</f>
        <v/>
      </c>
      <c r="K205" t="str">
        <f t="array" aca="1" ref="K205" ca="1">IFERROR(IF(OR(INDEX(checklistPesertaKemenkeu!$O$6:$O$1005,SMALL(IF(checklistPesertaKemenkeu!$AY$6:$AY$1005="Direkomendasikan",ROW($6:$1005)-5),204))="",INDEX(checklistPesertaKemenkeu!$J$6:$J$1005,SMALL(IF(checklistPesertaKemenkeu!$AY$6:$AY$1005="Direkomendasikan",ROW($6:$1005)-5),204))=""),"",IF(AND(COUNTIF(INDIRECT("K_"&amp;MATCH(INDEX(checklistPesertaKemenkeu!$J$6:$J$1005,SMALL(IF(checklistPesertaKemenkeu!$AY$6:$AY$1005="Direkomendasikan",ROW($6:$1005)-5),204)),BidangList,0)),INDEX(checklistPesertaKemenkeu!$O$6:$O$1005,SMALL(IF(checklistPesertaKemenkeu!$AY$6:$AY$1005="Direkomendasikan",ROW($6:$1005)-5),204)))&gt;0,COUNTIF(INDIRECT("'KERTAS KERJA'!K"&amp;(SMALL(IF(checklistPesertaKemenkeu!$AY$6:$AY$1005="Direkomendasikan",ROW($6:$1005)-5),204)+5)&amp;":O"&amp;(SMALL(IF(checklistPesertaKemenkeu!$AY$6:$AY$1005="Direkomendasikan",ROW($6:$1005)-5),204)+5)),INDEX(checklistPesertaKemenkeu!$O$6:$O$1005,SMALL(IF(checklistPesertaKemenkeu!$AY$6:$AY$1005="Direkomendasikan",ROW($6:$1005)-5),204)))=1),IFERROR(VLOOKUP(INDEX(checklistPesertaKemenkeu!$O$6:$O$1005,SMALL(IF(checklistPesertaKemenkeu!$AY$6:$AY$1005="Direkomendasikan",ROW($6:$1005)-5),204)),KotaKode,2,0),"-"),"")),"")</f>
        <v/>
      </c>
      <c r="L205" t="str">
        <f t="array" aca="1" ref="L205" ca="1">IFERROR(IF(OR(INDEX(checklistPesertaKemenkeu!$P$6:$P$1005,SMALL(IF(checklistPesertaKemenkeu!$AY$6:$AY$1005="Direkomendasikan",ROW($6:$1005)-5),204))="",INDEX(checklistPesertaKemenkeu!$J$6:$J$1005,SMALL(IF(checklistPesertaKemenkeu!$AY$6:$AY$1005="Direkomendasikan",ROW($6:$1005)-5),204))=""),"",IF(AND(COUNTIF(INDIRECT("K_"&amp;MATCH(INDEX(checklistPesertaKemenkeu!$J$6:$J$1005,SMALL(IF(checklistPesertaKemenkeu!$AY$6:$AY$1005="Direkomendasikan",ROW($6:$1005)-5),204)),BidangList,0)),INDEX(checklistPesertaKemenkeu!$P$6:$P$1005,SMALL(IF(checklistPesertaKemenkeu!$AY$6:$AY$1005="Direkomendasikan",ROW($6:$1005)-5),204)))&gt;0,COUNTIF(INDIRECT("'KERTAS KERJA'!K"&amp;(SMALL(IF(checklistPesertaKemenkeu!$AY$6:$AY$1005="Direkomendasikan",ROW($6:$1005)-5),204)+5)&amp;":O"&amp;(SMALL(IF(checklistPesertaKemenkeu!$AY$6:$AY$1005="Direkomendasikan",ROW($6:$1005)-5),204)+5)),INDEX(checklistPesertaKemenkeu!$P$6:$P$1005,SMALL(IF(checklistPesertaKemenkeu!$AY$6:$AY$1005="Direkomendasikan",ROW($6:$1005)-5),204)))=1),IFERROR(VLOOKUP(INDEX(checklistPesertaKemenkeu!$P$6:$P$1005,SMALL(IF(checklistPesertaKemenkeu!$AY$6:$AY$1005="Direkomendasikan",ROW($6:$1005)-5),204)),KotaKode,2,0),"-"),"")),"")</f>
        <v/>
      </c>
    </row>
    <row r="206" spans="1:12" ht="15" customHeight="1" x14ac:dyDescent="0.2">
      <c r="A206" t="str">
        <f t="shared" si="3"/>
        <v/>
      </c>
      <c r="B206" t="str">
        <v/>
      </c>
      <c r="C206" s="40" t="str">
        <f t="array" ref="C206">IFERROR(INDEX(checklistPesertaKemenkeu!$F$6:$F$1005,SMALL(IF(checklistPesertaKemenkeu!$AY$6:$AY$1005="Direkomendasikan",ROW($6:$1005)-5),205)),"")</f>
        <v/>
      </c>
      <c r="D206" t="str">
        <f t="array" ref="D206">IFERROR(INDEX(checklistPesertaKemenkeu!$G$6:$G$1005,SMALL(IF(checklistPesertaKemenkeu!$AY$6:$AY$1005="Direkomendasikan",ROW($6:$1005)-5),205)),"")</f>
        <v/>
      </c>
      <c r="E206" t="str">
        <f t="array" ref="E206">IFERROR(INDEX(checklistPesertaKemenkeu!$H$6:$H$1005,SMALL(IF(checklistPesertaKemenkeu!$AY$6:$AY$1005="Direkomendasikan",ROW($6:$1005)-5),205)),"")</f>
        <v/>
      </c>
      <c r="F206" t="str">
        <f t="array" ref="F206">IFERROR(INDEX(checklistPesertaKemenkeu!$I$6:$I$1005,SMALL(IF(checklistPesertaKemenkeu!$AY$6:$AY$1005="Direkomendasikan",ROW($6:$1005)-5),205)),"")</f>
        <v/>
      </c>
      <c r="G206" t="str">
        <f t="array" ref="G206">IFERROR(INDEX(checklistPesertaKemenkeu!$J$6:$J$1005,SMALL(IF(checklistPesertaKemenkeu!$AY$6:$AY$1005="Direkomendasikan",ROW($6:$1005)-5),205)),"")</f>
        <v/>
      </c>
      <c r="H206" t="str">
        <f t="array" aca="1" ref="H206" ca="1">IFERROR(IF(OR(INDEX(checklistPesertaKemenkeu!$L$6:$L$1005,SMALL(IF(checklistPesertaKemenkeu!$AY$6:$AY$1005="Direkomendasikan",ROW($6:$1005)-5),205))="",INDEX(checklistPesertaKemenkeu!$J$6:$J$1005,SMALL(IF(checklistPesertaKemenkeu!$AY$6:$AY$1005="Direkomendasikan",ROW($6:$1005)-5),205))=""),"",IF(AND(COUNTIF(INDIRECT("K_"&amp;MATCH(INDEX(checklistPesertaKemenkeu!$J$6:$J$1005,SMALL(IF(checklistPesertaKemenkeu!$AY$6:$AY$1005="Direkomendasikan",ROW($6:$1005)-5),205)),BidangList,0)),INDEX(checklistPesertaKemenkeu!$L$6:$L$1005,SMALL(IF(checklistPesertaKemenkeu!$AY$6:$AY$1005="Direkomendasikan",ROW($6:$1005)-5),205)))&gt;0,COUNTIF(INDIRECT("'KERTAS KERJA'!K"&amp;(SMALL(IF(checklistPesertaKemenkeu!$AY$6:$AY$1005="Direkomendasikan",ROW($6:$1005)-5),205)+5)&amp;":O"&amp;(SMALL(IF(checklistPesertaKemenkeu!$AY$6:$AY$1005="Direkomendasikan",ROW($6:$1005)-5),205)+5)),INDEX(checklistPesertaKemenkeu!$L$6:$L$1005,SMALL(IF(checklistPesertaKemenkeu!$AY$6:$AY$1005="Direkomendasikan",ROW($6:$1005)-5),205)))=1),IFERROR(VLOOKUP(INDEX(checklistPesertaKemenkeu!$L$6:$L$1005,SMALL(IF(checklistPesertaKemenkeu!$AY$6:$AY$1005="Direkomendasikan",ROW($6:$1005)-5),205)),KotaKode,2,0),"-"),"")),"")</f>
        <v/>
      </c>
      <c r="I206" t="str">
        <f t="array" aca="1" ref="I206" ca="1">IFERROR(IF(OR(INDEX(checklistPesertaKemenkeu!$M$6:$M$1005,SMALL(IF(checklistPesertaKemenkeu!$AY$6:$AY$1005="Direkomendasikan",ROW($6:$1005)-5),205))="",INDEX(checklistPesertaKemenkeu!$J$6:$J$1005,SMALL(IF(checklistPesertaKemenkeu!$AY$6:$AY$1005="Direkomendasikan",ROW($6:$1005)-5),205))=""),"",IF(AND(COUNTIF(INDIRECT("K_"&amp;MATCH(INDEX(checklistPesertaKemenkeu!$J$6:$J$1005,SMALL(IF(checklistPesertaKemenkeu!$AY$6:$AY$1005="Direkomendasikan",ROW($6:$1005)-5),205)),BidangList,0)),INDEX(checklistPesertaKemenkeu!$M$6:$M$1005,SMALL(IF(checklistPesertaKemenkeu!$AY$6:$AY$1005="Direkomendasikan",ROW($6:$1005)-5),205)))&gt;0,COUNTIF(INDIRECT("'KERTAS KERJA'!K"&amp;(SMALL(IF(checklistPesertaKemenkeu!$AY$6:$AY$1005="Direkomendasikan",ROW($6:$1005)-5),205)+5)&amp;":O"&amp;(SMALL(IF(checklistPesertaKemenkeu!$AY$6:$AY$1005="Direkomendasikan",ROW($6:$1005)-5),205)+5)),INDEX(checklistPesertaKemenkeu!$M$6:$M$1005,SMALL(IF(checklistPesertaKemenkeu!$AY$6:$AY$1005="Direkomendasikan",ROW($6:$1005)-5),205)))=1),IFERROR(VLOOKUP(INDEX(checklistPesertaKemenkeu!$M$6:$M$1005,SMALL(IF(checklistPesertaKemenkeu!$AY$6:$AY$1005="Direkomendasikan",ROW($6:$1005)-5),205)),KotaKode,2,0),"-"),"")),"")</f>
        <v/>
      </c>
      <c r="J206" t="str">
        <f t="array" aca="1" ref="J206" ca="1">IFERROR(IF(OR(INDEX(checklistPesertaKemenkeu!$N$6:$N$1005,SMALL(IF(checklistPesertaKemenkeu!$AY$6:$AY$1005="Direkomendasikan",ROW($6:$1005)-5),205))="",INDEX(checklistPesertaKemenkeu!$J$6:$J$1005,SMALL(IF(checklistPesertaKemenkeu!$AY$6:$AY$1005="Direkomendasikan",ROW($6:$1005)-5),205))=""),"",IF(AND(COUNTIF(INDIRECT("K_"&amp;MATCH(INDEX(checklistPesertaKemenkeu!$J$6:$J$1005,SMALL(IF(checklistPesertaKemenkeu!$AY$6:$AY$1005="Direkomendasikan",ROW($6:$1005)-5),205)),BidangList,0)),INDEX(checklistPesertaKemenkeu!$N$6:$N$1005,SMALL(IF(checklistPesertaKemenkeu!$AY$6:$AY$1005="Direkomendasikan",ROW($6:$1005)-5),205)))&gt;0,COUNTIF(INDIRECT("'KERTAS KERJA'!K"&amp;(SMALL(IF(checklistPesertaKemenkeu!$AY$6:$AY$1005="Direkomendasikan",ROW($6:$1005)-5),205)+5)&amp;":O"&amp;(SMALL(IF(checklistPesertaKemenkeu!$AY$6:$AY$1005="Direkomendasikan",ROW($6:$1005)-5),205)+5)),INDEX(checklistPesertaKemenkeu!$N$6:$N$1005,SMALL(IF(checklistPesertaKemenkeu!$AY$6:$AY$1005="Direkomendasikan",ROW($6:$1005)-5),205)))=1),IFERROR(VLOOKUP(INDEX(checklistPesertaKemenkeu!$N$6:$N$1005,SMALL(IF(checklistPesertaKemenkeu!$AY$6:$AY$1005="Direkomendasikan",ROW($6:$1005)-5),205)),KotaKode,2,0),"-"),"")),"")</f>
        <v/>
      </c>
      <c r="K206" t="str">
        <f t="array" aca="1" ref="K206" ca="1">IFERROR(IF(OR(INDEX(checklistPesertaKemenkeu!$O$6:$O$1005,SMALL(IF(checklistPesertaKemenkeu!$AY$6:$AY$1005="Direkomendasikan",ROW($6:$1005)-5),205))="",INDEX(checklistPesertaKemenkeu!$J$6:$J$1005,SMALL(IF(checklistPesertaKemenkeu!$AY$6:$AY$1005="Direkomendasikan",ROW($6:$1005)-5),205))=""),"",IF(AND(COUNTIF(INDIRECT("K_"&amp;MATCH(INDEX(checklistPesertaKemenkeu!$J$6:$J$1005,SMALL(IF(checklistPesertaKemenkeu!$AY$6:$AY$1005="Direkomendasikan",ROW($6:$1005)-5),205)),BidangList,0)),INDEX(checklistPesertaKemenkeu!$O$6:$O$1005,SMALL(IF(checklistPesertaKemenkeu!$AY$6:$AY$1005="Direkomendasikan",ROW($6:$1005)-5),205)))&gt;0,COUNTIF(INDIRECT("'KERTAS KERJA'!K"&amp;(SMALL(IF(checklistPesertaKemenkeu!$AY$6:$AY$1005="Direkomendasikan",ROW($6:$1005)-5),205)+5)&amp;":O"&amp;(SMALL(IF(checklistPesertaKemenkeu!$AY$6:$AY$1005="Direkomendasikan",ROW($6:$1005)-5),205)+5)),INDEX(checklistPesertaKemenkeu!$O$6:$O$1005,SMALL(IF(checklistPesertaKemenkeu!$AY$6:$AY$1005="Direkomendasikan",ROW($6:$1005)-5),205)))=1),IFERROR(VLOOKUP(INDEX(checklistPesertaKemenkeu!$O$6:$O$1005,SMALL(IF(checklistPesertaKemenkeu!$AY$6:$AY$1005="Direkomendasikan",ROW($6:$1005)-5),205)),KotaKode,2,0),"-"),"")),"")</f>
        <v/>
      </c>
      <c r="L206" t="str">
        <f t="array" aca="1" ref="L206" ca="1">IFERROR(IF(OR(INDEX(checklistPesertaKemenkeu!$P$6:$P$1005,SMALL(IF(checklistPesertaKemenkeu!$AY$6:$AY$1005="Direkomendasikan",ROW($6:$1005)-5),205))="",INDEX(checklistPesertaKemenkeu!$J$6:$J$1005,SMALL(IF(checklistPesertaKemenkeu!$AY$6:$AY$1005="Direkomendasikan",ROW($6:$1005)-5),205))=""),"",IF(AND(COUNTIF(INDIRECT("K_"&amp;MATCH(INDEX(checklistPesertaKemenkeu!$J$6:$J$1005,SMALL(IF(checklistPesertaKemenkeu!$AY$6:$AY$1005="Direkomendasikan",ROW($6:$1005)-5),205)),BidangList,0)),INDEX(checklistPesertaKemenkeu!$P$6:$P$1005,SMALL(IF(checklistPesertaKemenkeu!$AY$6:$AY$1005="Direkomendasikan",ROW($6:$1005)-5),205)))&gt;0,COUNTIF(INDIRECT("'KERTAS KERJA'!K"&amp;(SMALL(IF(checklistPesertaKemenkeu!$AY$6:$AY$1005="Direkomendasikan",ROW($6:$1005)-5),205)+5)&amp;":O"&amp;(SMALL(IF(checklistPesertaKemenkeu!$AY$6:$AY$1005="Direkomendasikan",ROW($6:$1005)-5),205)+5)),INDEX(checklistPesertaKemenkeu!$P$6:$P$1005,SMALL(IF(checklistPesertaKemenkeu!$AY$6:$AY$1005="Direkomendasikan",ROW($6:$1005)-5),205)))=1),IFERROR(VLOOKUP(INDEX(checklistPesertaKemenkeu!$P$6:$P$1005,SMALL(IF(checklistPesertaKemenkeu!$AY$6:$AY$1005="Direkomendasikan",ROW($6:$1005)-5),205)),KotaKode,2,0),"-"),"")),"")</f>
        <v/>
      </c>
    </row>
    <row r="207" spans="1:12" ht="15" customHeight="1" x14ac:dyDescent="0.2">
      <c r="A207" t="str">
        <f t="shared" si="3"/>
        <v/>
      </c>
      <c r="B207" t="str">
        <v/>
      </c>
      <c r="C207" s="40" t="str">
        <f t="array" ref="C207">IFERROR(INDEX(checklistPesertaKemenkeu!$F$6:$F$1005,SMALL(IF(checklistPesertaKemenkeu!$AY$6:$AY$1005="Direkomendasikan",ROW($6:$1005)-5),206)),"")</f>
        <v/>
      </c>
      <c r="D207" t="str">
        <f t="array" ref="D207">IFERROR(INDEX(checklistPesertaKemenkeu!$G$6:$G$1005,SMALL(IF(checklistPesertaKemenkeu!$AY$6:$AY$1005="Direkomendasikan",ROW($6:$1005)-5),206)),"")</f>
        <v/>
      </c>
      <c r="E207" t="str">
        <f t="array" ref="E207">IFERROR(INDEX(checklistPesertaKemenkeu!$H$6:$H$1005,SMALL(IF(checklistPesertaKemenkeu!$AY$6:$AY$1005="Direkomendasikan",ROW($6:$1005)-5),206)),"")</f>
        <v/>
      </c>
      <c r="F207" t="str">
        <f t="array" ref="F207">IFERROR(INDEX(checklistPesertaKemenkeu!$I$6:$I$1005,SMALL(IF(checklistPesertaKemenkeu!$AY$6:$AY$1005="Direkomendasikan",ROW($6:$1005)-5),206)),"")</f>
        <v/>
      </c>
      <c r="G207" t="str">
        <f t="array" ref="G207">IFERROR(INDEX(checklistPesertaKemenkeu!$J$6:$J$1005,SMALL(IF(checklistPesertaKemenkeu!$AY$6:$AY$1005="Direkomendasikan",ROW($6:$1005)-5),206)),"")</f>
        <v/>
      </c>
      <c r="H207" t="str">
        <f t="array" aca="1" ref="H207" ca="1">IFERROR(IF(OR(INDEX(checklistPesertaKemenkeu!$L$6:$L$1005,SMALL(IF(checklistPesertaKemenkeu!$AY$6:$AY$1005="Direkomendasikan",ROW($6:$1005)-5),206))="",INDEX(checklistPesertaKemenkeu!$J$6:$J$1005,SMALL(IF(checklistPesertaKemenkeu!$AY$6:$AY$1005="Direkomendasikan",ROW($6:$1005)-5),206))=""),"",IF(AND(COUNTIF(INDIRECT("K_"&amp;MATCH(INDEX(checklistPesertaKemenkeu!$J$6:$J$1005,SMALL(IF(checklistPesertaKemenkeu!$AY$6:$AY$1005="Direkomendasikan",ROW($6:$1005)-5),206)),BidangList,0)),INDEX(checklistPesertaKemenkeu!$L$6:$L$1005,SMALL(IF(checklistPesertaKemenkeu!$AY$6:$AY$1005="Direkomendasikan",ROW($6:$1005)-5),206)))&gt;0,COUNTIF(INDIRECT("'KERTAS KERJA'!K"&amp;(SMALL(IF(checklistPesertaKemenkeu!$AY$6:$AY$1005="Direkomendasikan",ROW($6:$1005)-5),206)+5)&amp;":O"&amp;(SMALL(IF(checklistPesertaKemenkeu!$AY$6:$AY$1005="Direkomendasikan",ROW($6:$1005)-5),206)+5)),INDEX(checklistPesertaKemenkeu!$L$6:$L$1005,SMALL(IF(checklistPesertaKemenkeu!$AY$6:$AY$1005="Direkomendasikan",ROW($6:$1005)-5),206)))=1),IFERROR(VLOOKUP(INDEX(checklistPesertaKemenkeu!$L$6:$L$1005,SMALL(IF(checklistPesertaKemenkeu!$AY$6:$AY$1005="Direkomendasikan",ROW($6:$1005)-5),206)),KotaKode,2,0),"-"),"")),"")</f>
        <v/>
      </c>
      <c r="I207" t="str">
        <f t="array" aca="1" ref="I207" ca="1">IFERROR(IF(OR(INDEX(checklistPesertaKemenkeu!$M$6:$M$1005,SMALL(IF(checklistPesertaKemenkeu!$AY$6:$AY$1005="Direkomendasikan",ROW($6:$1005)-5),206))="",INDEX(checklistPesertaKemenkeu!$J$6:$J$1005,SMALL(IF(checklistPesertaKemenkeu!$AY$6:$AY$1005="Direkomendasikan",ROW($6:$1005)-5),206))=""),"",IF(AND(COUNTIF(INDIRECT("K_"&amp;MATCH(INDEX(checklistPesertaKemenkeu!$J$6:$J$1005,SMALL(IF(checklistPesertaKemenkeu!$AY$6:$AY$1005="Direkomendasikan",ROW($6:$1005)-5),206)),BidangList,0)),INDEX(checklistPesertaKemenkeu!$M$6:$M$1005,SMALL(IF(checklistPesertaKemenkeu!$AY$6:$AY$1005="Direkomendasikan",ROW($6:$1005)-5),206)))&gt;0,COUNTIF(INDIRECT("'KERTAS KERJA'!K"&amp;(SMALL(IF(checklistPesertaKemenkeu!$AY$6:$AY$1005="Direkomendasikan",ROW($6:$1005)-5),206)+5)&amp;":O"&amp;(SMALL(IF(checklistPesertaKemenkeu!$AY$6:$AY$1005="Direkomendasikan",ROW($6:$1005)-5),206)+5)),INDEX(checklistPesertaKemenkeu!$M$6:$M$1005,SMALL(IF(checklistPesertaKemenkeu!$AY$6:$AY$1005="Direkomendasikan",ROW($6:$1005)-5),206)))=1),IFERROR(VLOOKUP(INDEX(checklistPesertaKemenkeu!$M$6:$M$1005,SMALL(IF(checklistPesertaKemenkeu!$AY$6:$AY$1005="Direkomendasikan",ROW($6:$1005)-5),206)),KotaKode,2,0),"-"),"")),"")</f>
        <v/>
      </c>
      <c r="J207" t="str">
        <f t="array" aca="1" ref="J207" ca="1">IFERROR(IF(OR(INDEX(checklistPesertaKemenkeu!$N$6:$N$1005,SMALL(IF(checklistPesertaKemenkeu!$AY$6:$AY$1005="Direkomendasikan",ROW($6:$1005)-5),206))="",INDEX(checklistPesertaKemenkeu!$J$6:$J$1005,SMALL(IF(checklistPesertaKemenkeu!$AY$6:$AY$1005="Direkomendasikan",ROW($6:$1005)-5),206))=""),"",IF(AND(COUNTIF(INDIRECT("K_"&amp;MATCH(INDEX(checklistPesertaKemenkeu!$J$6:$J$1005,SMALL(IF(checklistPesertaKemenkeu!$AY$6:$AY$1005="Direkomendasikan",ROW($6:$1005)-5),206)),BidangList,0)),INDEX(checklistPesertaKemenkeu!$N$6:$N$1005,SMALL(IF(checklistPesertaKemenkeu!$AY$6:$AY$1005="Direkomendasikan",ROW($6:$1005)-5),206)))&gt;0,COUNTIF(INDIRECT("'KERTAS KERJA'!K"&amp;(SMALL(IF(checklistPesertaKemenkeu!$AY$6:$AY$1005="Direkomendasikan",ROW($6:$1005)-5),206)+5)&amp;":O"&amp;(SMALL(IF(checklistPesertaKemenkeu!$AY$6:$AY$1005="Direkomendasikan",ROW($6:$1005)-5),206)+5)),INDEX(checklistPesertaKemenkeu!$N$6:$N$1005,SMALL(IF(checklistPesertaKemenkeu!$AY$6:$AY$1005="Direkomendasikan",ROW($6:$1005)-5),206)))=1),IFERROR(VLOOKUP(INDEX(checklistPesertaKemenkeu!$N$6:$N$1005,SMALL(IF(checklistPesertaKemenkeu!$AY$6:$AY$1005="Direkomendasikan",ROW($6:$1005)-5),206)),KotaKode,2,0),"-"),"")),"")</f>
        <v/>
      </c>
      <c r="K207" t="str">
        <f t="array" aca="1" ref="K207" ca="1">IFERROR(IF(OR(INDEX(checklistPesertaKemenkeu!$O$6:$O$1005,SMALL(IF(checklistPesertaKemenkeu!$AY$6:$AY$1005="Direkomendasikan",ROW($6:$1005)-5),206))="",INDEX(checklistPesertaKemenkeu!$J$6:$J$1005,SMALL(IF(checklistPesertaKemenkeu!$AY$6:$AY$1005="Direkomendasikan",ROW($6:$1005)-5),206))=""),"",IF(AND(COUNTIF(INDIRECT("K_"&amp;MATCH(INDEX(checklistPesertaKemenkeu!$J$6:$J$1005,SMALL(IF(checklistPesertaKemenkeu!$AY$6:$AY$1005="Direkomendasikan",ROW($6:$1005)-5),206)),BidangList,0)),INDEX(checklistPesertaKemenkeu!$O$6:$O$1005,SMALL(IF(checklistPesertaKemenkeu!$AY$6:$AY$1005="Direkomendasikan",ROW($6:$1005)-5),206)))&gt;0,COUNTIF(INDIRECT("'KERTAS KERJA'!K"&amp;(SMALL(IF(checklistPesertaKemenkeu!$AY$6:$AY$1005="Direkomendasikan",ROW($6:$1005)-5),206)+5)&amp;":O"&amp;(SMALL(IF(checklistPesertaKemenkeu!$AY$6:$AY$1005="Direkomendasikan",ROW($6:$1005)-5),206)+5)),INDEX(checklistPesertaKemenkeu!$O$6:$O$1005,SMALL(IF(checklistPesertaKemenkeu!$AY$6:$AY$1005="Direkomendasikan",ROW($6:$1005)-5),206)))=1),IFERROR(VLOOKUP(INDEX(checklistPesertaKemenkeu!$O$6:$O$1005,SMALL(IF(checklistPesertaKemenkeu!$AY$6:$AY$1005="Direkomendasikan",ROW($6:$1005)-5),206)),KotaKode,2,0),"-"),"")),"")</f>
        <v/>
      </c>
      <c r="L207" t="str">
        <f t="array" aca="1" ref="L207" ca="1">IFERROR(IF(OR(INDEX(checklistPesertaKemenkeu!$P$6:$P$1005,SMALL(IF(checklistPesertaKemenkeu!$AY$6:$AY$1005="Direkomendasikan",ROW($6:$1005)-5),206))="",INDEX(checklistPesertaKemenkeu!$J$6:$J$1005,SMALL(IF(checklistPesertaKemenkeu!$AY$6:$AY$1005="Direkomendasikan",ROW($6:$1005)-5),206))=""),"",IF(AND(COUNTIF(INDIRECT("K_"&amp;MATCH(INDEX(checklistPesertaKemenkeu!$J$6:$J$1005,SMALL(IF(checklistPesertaKemenkeu!$AY$6:$AY$1005="Direkomendasikan",ROW($6:$1005)-5),206)),BidangList,0)),INDEX(checklistPesertaKemenkeu!$P$6:$P$1005,SMALL(IF(checklistPesertaKemenkeu!$AY$6:$AY$1005="Direkomendasikan",ROW($6:$1005)-5),206)))&gt;0,COUNTIF(INDIRECT("'KERTAS KERJA'!K"&amp;(SMALL(IF(checklistPesertaKemenkeu!$AY$6:$AY$1005="Direkomendasikan",ROW($6:$1005)-5),206)+5)&amp;":O"&amp;(SMALL(IF(checklistPesertaKemenkeu!$AY$6:$AY$1005="Direkomendasikan",ROW($6:$1005)-5),206)+5)),INDEX(checklistPesertaKemenkeu!$P$6:$P$1005,SMALL(IF(checklistPesertaKemenkeu!$AY$6:$AY$1005="Direkomendasikan",ROW($6:$1005)-5),206)))=1),IFERROR(VLOOKUP(INDEX(checklistPesertaKemenkeu!$P$6:$P$1005,SMALL(IF(checklistPesertaKemenkeu!$AY$6:$AY$1005="Direkomendasikan",ROW($6:$1005)-5),206)),KotaKode,2,0),"-"),"")),"")</f>
        <v/>
      </c>
    </row>
    <row r="208" spans="1:12" ht="15" customHeight="1" x14ac:dyDescent="0.2">
      <c r="A208" t="str">
        <f t="shared" si="3"/>
        <v/>
      </c>
      <c r="B208" t="str">
        <v/>
      </c>
      <c r="C208" s="40" t="str">
        <f t="array" ref="C208">IFERROR(INDEX(checklistPesertaKemenkeu!$F$6:$F$1005,SMALL(IF(checklistPesertaKemenkeu!$AY$6:$AY$1005="Direkomendasikan",ROW($6:$1005)-5),207)),"")</f>
        <v/>
      </c>
      <c r="D208" t="str">
        <f t="array" ref="D208">IFERROR(INDEX(checklistPesertaKemenkeu!$G$6:$G$1005,SMALL(IF(checklistPesertaKemenkeu!$AY$6:$AY$1005="Direkomendasikan",ROW($6:$1005)-5),207)),"")</f>
        <v/>
      </c>
      <c r="E208" t="str">
        <f t="array" ref="E208">IFERROR(INDEX(checklistPesertaKemenkeu!$H$6:$H$1005,SMALL(IF(checklistPesertaKemenkeu!$AY$6:$AY$1005="Direkomendasikan",ROW($6:$1005)-5),207)),"")</f>
        <v/>
      </c>
      <c r="F208" t="str">
        <f t="array" ref="F208">IFERROR(INDEX(checklistPesertaKemenkeu!$I$6:$I$1005,SMALL(IF(checklistPesertaKemenkeu!$AY$6:$AY$1005="Direkomendasikan",ROW($6:$1005)-5),207)),"")</f>
        <v/>
      </c>
      <c r="G208" t="str">
        <f t="array" ref="G208">IFERROR(INDEX(checklistPesertaKemenkeu!$J$6:$J$1005,SMALL(IF(checklistPesertaKemenkeu!$AY$6:$AY$1005="Direkomendasikan",ROW($6:$1005)-5),207)),"")</f>
        <v/>
      </c>
      <c r="H208" t="str">
        <f t="array" aca="1" ref="H208" ca="1">IFERROR(IF(OR(INDEX(checklistPesertaKemenkeu!$L$6:$L$1005,SMALL(IF(checklistPesertaKemenkeu!$AY$6:$AY$1005="Direkomendasikan",ROW($6:$1005)-5),207))="",INDEX(checklistPesertaKemenkeu!$J$6:$J$1005,SMALL(IF(checklistPesertaKemenkeu!$AY$6:$AY$1005="Direkomendasikan",ROW($6:$1005)-5),207))=""),"",IF(AND(COUNTIF(INDIRECT("K_"&amp;MATCH(INDEX(checklistPesertaKemenkeu!$J$6:$J$1005,SMALL(IF(checklistPesertaKemenkeu!$AY$6:$AY$1005="Direkomendasikan",ROW($6:$1005)-5),207)),BidangList,0)),INDEX(checklistPesertaKemenkeu!$L$6:$L$1005,SMALL(IF(checklistPesertaKemenkeu!$AY$6:$AY$1005="Direkomendasikan",ROW($6:$1005)-5),207)))&gt;0,COUNTIF(INDIRECT("'KERTAS KERJA'!K"&amp;(SMALL(IF(checklistPesertaKemenkeu!$AY$6:$AY$1005="Direkomendasikan",ROW($6:$1005)-5),207)+5)&amp;":O"&amp;(SMALL(IF(checklistPesertaKemenkeu!$AY$6:$AY$1005="Direkomendasikan",ROW($6:$1005)-5),207)+5)),INDEX(checklistPesertaKemenkeu!$L$6:$L$1005,SMALL(IF(checklistPesertaKemenkeu!$AY$6:$AY$1005="Direkomendasikan",ROW($6:$1005)-5),207)))=1),IFERROR(VLOOKUP(INDEX(checklistPesertaKemenkeu!$L$6:$L$1005,SMALL(IF(checklistPesertaKemenkeu!$AY$6:$AY$1005="Direkomendasikan",ROW($6:$1005)-5),207)),KotaKode,2,0),"-"),"")),"")</f>
        <v/>
      </c>
      <c r="I208" t="str">
        <f t="array" aca="1" ref="I208" ca="1">IFERROR(IF(OR(INDEX(checklistPesertaKemenkeu!$M$6:$M$1005,SMALL(IF(checklistPesertaKemenkeu!$AY$6:$AY$1005="Direkomendasikan",ROW($6:$1005)-5),207))="",INDEX(checklistPesertaKemenkeu!$J$6:$J$1005,SMALL(IF(checklistPesertaKemenkeu!$AY$6:$AY$1005="Direkomendasikan",ROW($6:$1005)-5),207))=""),"",IF(AND(COUNTIF(INDIRECT("K_"&amp;MATCH(INDEX(checklistPesertaKemenkeu!$J$6:$J$1005,SMALL(IF(checklistPesertaKemenkeu!$AY$6:$AY$1005="Direkomendasikan",ROW($6:$1005)-5),207)),BidangList,0)),INDEX(checklistPesertaKemenkeu!$M$6:$M$1005,SMALL(IF(checklistPesertaKemenkeu!$AY$6:$AY$1005="Direkomendasikan",ROW($6:$1005)-5),207)))&gt;0,COUNTIF(INDIRECT("'KERTAS KERJA'!K"&amp;(SMALL(IF(checklistPesertaKemenkeu!$AY$6:$AY$1005="Direkomendasikan",ROW($6:$1005)-5),207)+5)&amp;":O"&amp;(SMALL(IF(checklistPesertaKemenkeu!$AY$6:$AY$1005="Direkomendasikan",ROW($6:$1005)-5),207)+5)),INDEX(checklistPesertaKemenkeu!$M$6:$M$1005,SMALL(IF(checklistPesertaKemenkeu!$AY$6:$AY$1005="Direkomendasikan",ROW($6:$1005)-5),207)))=1),IFERROR(VLOOKUP(INDEX(checklistPesertaKemenkeu!$M$6:$M$1005,SMALL(IF(checklistPesertaKemenkeu!$AY$6:$AY$1005="Direkomendasikan",ROW($6:$1005)-5),207)),KotaKode,2,0),"-"),"")),"")</f>
        <v/>
      </c>
      <c r="J208" t="str">
        <f t="array" aca="1" ref="J208" ca="1">IFERROR(IF(OR(INDEX(checklistPesertaKemenkeu!$N$6:$N$1005,SMALL(IF(checklistPesertaKemenkeu!$AY$6:$AY$1005="Direkomendasikan",ROW($6:$1005)-5),207))="",INDEX(checklistPesertaKemenkeu!$J$6:$J$1005,SMALL(IF(checklistPesertaKemenkeu!$AY$6:$AY$1005="Direkomendasikan",ROW($6:$1005)-5),207))=""),"",IF(AND(COUNTIF(INDIRECT("K_"&amp;MATCH(INDEX(checklistPesertaKemenkeu!$J$6:$J$1005,SMALL(IF(checklistPesertaKemenkeu!$AY$6:$AY$1005="Direkomendasikan",ROW($6:$1005)-5),207)),BidangList,0)),INDEX(checklistPesertaKemenkeu!$N$6:$N$1005,SMALL(IF(checklistPesertaKemenkeu!$AY$6:$AY$1005="Direkomendasikan",ROW($6:$1005)-5),207)))&gt;0,COUNTIF(INDIRECT("'KERTAS KERJA'!K"&amp;(SMALL(IF(checklistPesertaKemenkeu!$AY$6:$AY$1005="Direkomendasikan",ROW($6:$1005)-5),207)+5)&amp;":O"&amp;(SMALL(IF(checklistPesertaKemenkeu!$AY$6:$AY$1005="Direkomendasikan",ROW($6:$1005)-5),207)+5)),INDEX(checklistPesertaKemenkeu!$N$6:$N$1005,SMALL(IF(checklistPesertaKemenkeu!$AY$6:$AY$1005="Direkomendasikan",ROW($6:$1005)-5),207)))=1),IFERROR(VLOOKUP(INDEX(checklistPesertaKemenkeu!$N$6:$N$1005,SMALL(IF(checklistPesertaKemenkeu!$AY$6:$AY$1005="Direkomendasikan",ROW($6:$1005)-5),207)),KotaKode,2,0),"-"),"")),"")</f>
        <v/>
      </c>
      <c r="K208" t="str">
        <f t="array" aca="1" ref="K208" ca="1">IFERROR(IF(OR(INDEX(checklistPesertaKemenkeu!$O$6:$O$1005,SMALL(IF(checklistPesertaKemenkeu!$AY$6:$AY$1005="Direkomendasikan",ROW($6:$1005)-5),207))="",INDEX(checklistPesertaKemenkeu!$J$6:$J$1005,SMALL(IF(checklistPesertaKemenkeu!$AY$6:$AY$1005="Direkomendasikan",ROW($6:$1005)-5),207))=""),"",IF(AND(COUNTIF(INDIRECT("K_"&amp;MATCH(INDEX(checklistPesertaKemenkeu!$J$6:$J$1005,SMALL(IF(checklistPesertaKemenkeu!$AY$6:$AY$1005="Direkomendasikan",ROW($6:$1005)-5),207)),BidangList,0)),INDEX(checklistPesertaKemenkeu!$O$6:$O$1005,SMALL(IF(checklistPesertaKemenkeu!$AY$6:$AY$1005="Direkomendasikan",ROW($6:$1005)-5),207)))&gt;0,COUNTIF(INDIRECT("'KERTAS KERJA'!K"&amp;(SMALL(IF(checklistPesertaKemenkeu!$AY$6:$AY$1005="Direkomendasikan",ROW($6:$1005)-5),207)+5)&amp;":O"&amp;(SMALL(IF(checklistPesertaKemenkeu!$AY$6:$AY$1005="Direkomendasikan",ROW($6:$1005)-5),207)+5)),INDEX(checklistPesertaKemenkeu!$O$6:$O$1005,SMALL(IF(checklistPesertaKemenkeu!$AY$6:$AY$1005="Direkomendasikan",ROW($6:$1005)-5),207)))=1),IFERROR(VLOOKUP(INDEX(checklistPesertaKemenkeu!$O$6:$O$1005,SMALL(IF(checklistPesertaKemenkeu!$AY$6:$AY$1005="Direkomendasikan",ROW($6:$1005)-5),207)),KotaKode,2,0),"-"),"")),"")</f>
        <v/>
      </c>
      <c r="L208" t="str">
        <f t="array" aca="1" ref="L208" ca="1">IFERROR(IF(OR(INDEX(checklistPesertaKemenkeu!$P$6:$P$1005,SMALL(IF(checklistPesertaKemenkeu!$AY$6:$AY$1005="Direkomendasikan",ROW($6:$1005)-5),207))="",INDEX(checklistPesertaKemenkeu!$J$6:$J$1005,SMALL(IF(checklistPesertaKemenkeu!$AY$6:$AY$1005="Direkomendasikan",ROW($6:$1005)-5),207))=""),"",IF(AND(COUNTIF(INDIRECT("K_"&amp;MATCH(INDEX(checklistPesertaKemenkeu!$J$6:$J$1005,SMALL(IF(checklistPesertaKemenkeu!$AY$6:$AY$1005="Direkomendasikan",ROW($6:$1005)-5),207)),BidangList,0)),INDEX(checklistPesertaKemenkeu!$P$6:$P$1005,SMALL(IF(checklistPesertaKemenkeu!$AY$6:$AY$1005="Direkomendasikan",ROW($6:$1005)-5),207)))&gt;0,COUNTIF(INDIRECT("'KERTAS KERJA'!K"&amp;(SMALL(IF(checklistPesertaKemenkeu!$AY$6:$AY$1005="Direkomendasikan",ROW($6:$1005)-5),207)+5)&amp;":O"&amp;(SMALL(IF(checklistPesertaKemenkeu!$AY$6:$AY$1005="Direkomendasikan",ROW($6:$1005)-5),207)+5)),INDEX(checklistPesertaKemenkeu!$P$6:$P$1005,SMALL(IF(checklistPesertaKemenkeu!$AY$6:$AY$1005="Direkomendasikan",ROW($6:$1005)-5),207)))=1),IFERROR(VLOOKUP(INDEX(checklistPesertaKemenkeu!$P$6:$P$1005,SMALL(IF(checklistPesertaKemenkeu!$AY$6:$AY$1005="Direkomendasikan",ROW($6:$1005)-5),207)),KotaKode,2,0),"-"),"")),"")</f>
        <v/>
      </c>
    </row>
    <row r="209" spans="1:12" ht="15" customHeight="1" x14ac:dyDescent="0.2">
      <c r="A209" t="str">
        <f t="shared" si="3"/>
        <v/>
      </c>
      <c r="B209" t="str">
        <v/>
      </c>
      <c r="C209" s="40" t="str">
        <f t="array" ref="C209">IFERROR(INDEX(checklistPesertaKemenkeu!$F$6:$F$1005,SMALL(IF(checklistPesertaKemenkeu!$AY$6:$AY$1005="Direkomendasikan",ROW($6:$1005)-5),208)),"")</f>
        <v/>
      </c>
      <c r="D209" t="str">
        <f t="array" ref="D209">IFERROR(INDEX(checklistPesertaKemenkeu!$G$6:$G$1005,SMALL(IF(checklistPesertaKemenkeu!$AY$6:$AY$1005="Direkomendasikan",ROW($6:$1005)-5),208)),"")</f>
        <v/>
      </c>
      <c r="E209" t="str">
        <f t="array" ref="E209">IFERROR(INDEX(checklistPesertaKemenkeu!$H$6:$H$1005,SMALL(IF(checklistPesertaKemenkeu!$AY$6:$AY$1005="Direkomendasikan",ROW($6:$1005)-5),208)),"")</f>
        <v/>
      </c>
      <c r="F209" t="str">
        <f t="array" ref="F209">IFERROR(INDEX(checklistPesertaKemenkeu!$I$6:$I$1005,SMALL(IF(checklistPesertaKemenkeu!$AY$6:$AY$1005="Direkomendasikan",ROW($6:$1005)-5),208)),"")</f>
        <v/>
      </c>
      <c r="G209" t="str">
        <f t="array" ref="G209">IFERROR(INDEX(checklistPesertaKemenkeu!$J$6:$J$1005,SMALL(IF(checklistPesertaKemenkeu!$AY$6:$AY$1005="Direkomendasikan",ROW($6:$1005)-5),208)),"")</f>
        <v/>
      </c>
      <c r="H209" t="str">
        <f t="array" aca="1" ref="H209" ca="1">IFERROR(IF(OR(INDEX(checklistPesertaKemenkeu!$L$6:$L$1005,SMALL(IF(checklistPesertaKemenkeu!$AY$6:$AY$1005="Direkomendasikan",ROW($6:$1005)-5),208))="",INDEX(checklistPesertaKemenkeu!$J$6:$J$1005,SMALL(IF(checklistPesertaKemenkeu!$AY$6:$AY$1005="Direkomendasikan",ROW($6:$1005)-5),208))=""),"",IF(AND(COUNTIF(INDIRECT("K_"&amp;MATCH(INDEX(checklistPesertaKemenkeu!$J$6:$J$1005,SMALL(IF(checklistPesertaKemenkeu!$AY$6:$AY$1005="Direkomendasikan",ROW($6:$1005)-5),208)),BidangList,0)),INDEX(checklistPesertaKemenkeu!$L$6:$L$1005,SMALL(IF(checklistPesertaKemenkeu!$AY$6:$AY$1005="Direkomendasikan",ROW($6:$1005)-5),208)))&gt;0,COUNTIF(INDIRECT("'KERTAS KERJA'!K"&amp;(SMALL(IF(checklistPesertaKemenkeu!$AY$6:$AY$1005="Direkomendasikan",ROW($6:$1005)-5),208)+5)&amp;":O"&amp;(SMALL(IF(checklistPesertaKemenkeu!$AY$6:$AY$1005="Direkomendasikan",ROW($6:$1005)-5),208)+5)),INDEX(checklistPesertaKemenkeu!$L$6:$L$1005,SMALL(IF(checklistPesertaKemenkeu!$AY$6:$AY$1005="Direkomendasikan",ROW($6:$1005)-5),208)))=1),IFERROR(VLOOKUP(INDEX(checklistPesertaKemenkeu!$L$6:$L$1005,SMALL(IF(checklistPesertaKemenkeu!$AY$6:$AY$1005="Direkomendasikan",ROW($6:$1005)-5),208)),KotaKode,2,0),"-"),"")),"")</f>
        <v/>
      </c>
      <c r="I209" t="str">
        <f t="array" aca="1" ref="I209" ca="1">IFERROR(IF(OR(INDEX(checklistPesertaKemenkeu!$M$6:$M$1005,SMALL(IF(checklistPesertaKemenkeu!$AY$6:$AY$1005="Direkomendasikan",ROW($6:$1005)-5),208))="",INDEX(checklistPesertaKemenkeu!$J$6:$J$1005,SMALL(IF(checklistPesertaKemenkeu!$AY$6:$AY$1005="Direkomendasikan",ROW($6:$1005)-5),208))=""),"",IF(AND(COUNTIF(INDIRECT("K_"&amp;MATCH(INDEX(checklistPesertaKemenkeu!$J$6:$J$1005,SMALL(IF(checklistPesertaKemenkeu!$AY$6:$AY$1005="Direkomendasikan",ROW($6:$1005)-5),208)),BidangList,0)),INDEX(checklistPesertaKemenkeu!$M$6:$M$1005,SMALL(IF(checklistPesertaKemenkeu!$AY$6:$AY$1005="Direkomendasikan",ROW($6:$1005)-5),208)))&gt;0,COUNTIF(INDIRECT("'KERTAS KERJA'!K"&amp;(SMALL(IF(checklistPesertaKemenkeu!$AY$6:$AY$1005="Direkomendasikan",ROW($6:$1005)-5),208)+5)&amp;":O"&amp;(SMALL(IF(checklistPesertaKemenkeu!$AY$6:$AY$1005="Direkomendasikan",ROW($6:$1005)-5),208)+5)),INDEX(checklistPesertaKemenkeu!$M$6:$M$1005,SMALL(IF(checklistPesertaKemenkeu!$AY$6:$AY$1005="Direkomendasikan",ROW($6:$1005)-5),208)))=1),IFERROR(VLOOKUP(INDEX(checklistPesertaKemenkeu!$M$6:$M$1005,SMALL(IF(checklistPesertaKemenkeu!$AY$6:$AY$1005="Direkomendasikan",ROW($6:$1005)-5),208)),KotaKode,2,0),"-"),"")),"")</f>
        <v/>
      </c>
      <c r="J209" t="str">
        <f t="array" aca="1" ref="J209" ca="1">IFERROR(IF(OR(INDEX(checklistPesertaKemenkeu!$N$6:$N$1005,SMALL(IF(checklistPesertaKemenkeu!$AY$6:$AY$1005="Direkomendasikan",ROW($6:$1005)-5),208))="",INDEX(checklistPesertaKemenkeu!$J$6:$J$1005,SMALL(IF(checklistPesertaKemenkeu!$AY$6:$AY$1005="Direkomendasikan",ROW($6:$1005)-5),208))=""),"",IF(AND(COUNTIF(INDIRECT("K_"&amp;MATCH(INDEX(checklistPesertaKemenkeu!$J$6:$J$1005,SMALL(IF(checklistPesertaKemenkeu!$AY$6:$AY$1005="Direkomendasikan",ROW($6:$1005)-5),208)),BidangList,0)),INDEX(checklistPesertaKemenkeu!$N$6:$N$1005,SMALL(IF(checklistPesertaKemenkeu!$AY$6:$AY$1005="Direkomendasikan",ROW($6:$1005)-5),208)))&gt;0,COUNTIF(INDIRECT("'KERTAS KERJA'!K"&amp;(SMALL(IF(checklistPesertaKemenkeu!$AY$6:$AY$1005="Direkomendasikan",ROW($6:$1005)-5),208)+5)&amp;":O"&amp;(SMALL(IF(checklistPesertaKemenkeu!$AY$6:$AY$1005="Direkomendasikan",ROW($6:$1005)-5),208)+5)),INDEX(checklistPesertaKemenkeu!$N$6:$N$1005,SMALL(IF(checklistPesertaKemenkeu!$AY$6:$AY$1005="Direkomendasikan",ROW($6:$1005)-5),208)))=1),IFERROR(VLOOKUP(INDEX(checklistPesertaKemenkeu!$N$6:$N$1005,SMALL(IF(checklistPesertaKemenkeu!$AY$6:$AY$1005="Direkomendasikan",ROW($6:$1005)-5),208)),KotaKode,2,0),"-"),"")),"")</f>
        <v/>
      </c>
      <c r="K209" t="str">
        <f t="array" aca="1" ref="K209" ca="1">IFERROR(IF(OR(INDEX(checklistPesertaKemenkeu!$O$6:$O$1005,SMALL(IF(checklistPesertaKemenkeu!$AY$6:$AY$1005="Direkomendasikan",ROW($6:$1005)-5),208))="",INDEX(checklistPesertaKemenkeu!$J$6:$J$1005,SMALL(IF(checklistPesertaKemenkeu!$AY$6:$AY$1005="Direkomendasikan",ROW($6:$1005)-5),208))=""),"",IF(AND(COUNTIF(INDIRECT("K_"&amp;MATCH(INDEX(checklistPesertaKemenkeu!$J$6:$J$1005,SMALL(IF(checklistPesertaKemenkeu!$AY$6:$AY$1005="Direkomendasikan",ROW($6:$1005)-5),208)),BidangList,0)),INDEX(checklistPesertaKemenkeu!$O$6:$O$1005,SMALL(IF(checklistPesertaKemenkeu!$AY$6:$AY$1005="Direkomendasikan",ROW($6:$1005)-5),208)))&gt;0,COUNTIF(INDIRECT("'KERTAS KERJA'!K"&amp;(SMALL(IF(checklistPesertaKemenkeu!$AY$6:$AY$1005="Direkomendasikan",ROW($6:$1005)-5),208)+5)&amp;":O"&amp;(SMALL(IF(checklistPesertaKemenkeu!$AY$6:$AY$1005="Direkomendasikan",ROW($6:$1005)-5),208)+5)),INDEX(checklistPesertaKemenkeu!$O$6:$O$1005,SMALL(IF(checklistPesertaKemenkeu!$AY$6:$AY$1005="Direkomendasikan",ROW($6:$1005)-5),208)))=1),IFERROR(VLOOKUP(INDEX(checklistPesertaKemenkeu!$O$6:$O$1005,SMALL(IF(checklistPesertaKemenkeu!$AY$6:$AY$1005="Direkomendasikan",ROW($6:$1005)-5),208)),KotaKode,2,0),"-"),"")),"")</f>
        <v/>
      </c>
      <c r="L209" t="str">
        <f t="array" aca="1" ref="L209" ca="1">IFERROR(IF(OR(INDEX(checklistPesertaKemenkeu!$P$6:$P$1005,SMALL(IF(checklistPesertaKemenkeu!$AY$6:$AY$1005="Direkomendasikan",ROW($6:$1005)-5),208))="",INDEX(checklistPesertaKemenkeu!$J$6:$J$1005,SMALL(IF(checklistPesertaKemenkeu!$AY$6:$AY$1005="Direkomendasikan",ROW($6:$1005)-5),208))=""),"",IF(AND(COUNTIF(INDIRECT("K_"&amp;MATCH(INDEX(checklistPesertaKemenkeu!$J$6:$J$1005,SMALL(IF(checklistPesertaKemenkeu!$AY$6:$AY$1005="Direkomendasikan",ROW($6:$1005)-5),208)),BidangList,0)),INDEX(checklistPesertaKemenkeu!$P$6:$P$1005,SMALL(IF(checklistPesertaKemenkeu!$AY$6:$AY$1005="Direkomendasikan",ROW($6:$1005)-5),208)))&gt;0,COUNTIF(INDIRECT("'KERTAS KERJA'!K"&amp;(SMALL(IF(checklistPesertaKemenkeu!$AY$6:$AY$1005="Direkomendasikan",ROW($6:$1005)-5),208)+5)&amp;":O"&amp;(SMALL(IF(checklistPesertaKemenkeu!$AY$6:$AY$1005="Direkomendasikan",ROW($6:$1005)-5),208)+5)),INDEX(checklistPesertaKemenkeu!$P$6:$P$1005,SMALL(IF(checklistPesertaKemenkeu!$AY$6:$AY$1005="Direkomendasikan",ROW($6:$1005)-5),208)))=1),IFERROR(VLOOKUP(INDEX(checklistPesertaKemenkeu!$P$6:$P$1005,SMALL(IF(checklistPesertaKemenkeu!$AY$6:$AY$1005="Direkomendasikan",ROW($6:$1005)-5),208)),KotaKode,2,0),"-"),"")),"")</f>
        <v/>
      </c>
    </row>
    <row r="210" spans="1:12" ht="15" customHeight="1" x14ac:dyDescent="0.2">
      <c r="A210" t="str">
        <f t="shared" si="3"/>
        <v/>
      </c>
      <c r="B210" t="str">
        <v/>
      </c>
      <c r="C210" s="40" t="str">
        <f t="array" ref="C210">IFERROR(INDEX(checklistPesertaKemenkeu!$F$6:$F$1005,SMALL(IF(checklistPesertaKemenkeu!$AY$6:$AY$1005="Direkomendasikan",ROW($6:$1005)-5),209)),"")</f>
        <v/>
      </c>
      <c r="D210" t="str">
        <f t="array" ref="D210">IFERROR(INDEX(checklistPesertaKemenkeu!$G$6:$G$1005,SMALL(IF(checklistPesertaKemenkeu!$AY$6:$AY$1005="Direkomendasikan",ROW($6:$1005)-5),209)),"")</f>
        <v/>
      </c>
      <c r="E210" t="str">
        <f t="array" ref="E210">IFERROR(INDEX(checklistPesertaKemenkeu!$H$6:$H$1005,SMALL(IF(checklistPesertaKemenkeu!$AY$6:$AY$1005="Direkomendasikan",ROW($6:$1005)-5),209)),"")</f>
        <v/>
      </c>
      <c r="F210" t="str">
        <f t="array" ref="F210">IFERROR(INDEX(checklistPesertaKemenkeu!$I$6:$I$1005,SMALL(IF(checklistPesertaKemenkeu!$AY$6:$AY$1005="Direkomendasikan",ROW($6:$1005)-5),209)),"")</f>
        <v/>
      </c>
      <c r="G210" t="str">
        <f t="array" ref="G210">IFERROR(INDEX(checklistPesertaKemenkeu!$J$6:$J$1005,SMALL(IF(checklistPesertaKemenkeu!$AY$6:$AY$1005="Direkomendasikan",ROW($6:$1005)-5),209)),"")</f>
        <v/>
      </c>
      <c r="H210" t="str">
        <f t="array" aca="1" ref="H210" ca="1">IFERROR(IF(OR(INDEX(checklistPesertaKemenkeu!$L$6:$L$1005,SMALL(IF(checklistPesertaKemenkeu!$AY$6:$AY$1005="Direkomendasikan",ROW($6:$1005)-5),209))="",INDEX(checklistPesertaKemenkeu!$J$6:$J$1005,SMALL(IF(checklistPesertaKemenkeu!$AY$6:$AY$1005="Direkomendasikan",ROW($6:$1005)-5),209))=""),"",IF(AND(COUNTIF(INDIRECT("K_"&amp;MATCH(INDEX(checklistPesertaKemenkeu!$J$6:$J$1005,SMALL(IF(checklistPesertaKemenkeu!$AY$6:$AY$1005="Direkomendasikan",ROW($6:$1005)-5),209)),BidangList,0)),INDEX(checklistPesertaKemenkeu!$L$6:$L$1005,SMALL(IF(checklistPesertaKemenkeu!$AY$6:$AY$1005="Direkomendasikan",ROW($6:$1005)-5),209)))&gt;0,COUNTIF(INDIRECT("'KERTAS KERJA'!K"&amp;(SMALL(IF(checklistPesertaKemenkeu!$AY$6:$AY$1005="Direkomendasikan",ROW($6:$1005)-5),209)+5)&amp;":O"&amp;(SMALL(IF(checklistPesertaKemenkeu!$AY$6:$AY$1005="Direkomendasikan",ROW($6:$1005)-5),209)+5)),INDEX(checklistPesertaKemenkeu!$L$6:$L$1005,SMALL(IF(checklistPesertaKemenkeu!$AY$6:$AY$1005="Direkomendasikan",ROW($6:$1005)-5),209)))=1),IFERROR(VLOOKUP(INDEX(checklistPesertaKemenkeu!$L$6:$L$1005,SMALL(IF(checklistPesertaKemenkeu!$AY$6:$AY$1005="Direkomendasikan",ROW($6:$1005)-5),209)),KotaKode,2,0),"-"),"")),"")</f>
        <v/>
      </c>
      <c r="I210" t="str">
        <f t="array" aca="1" ref="I210" ca="1">IFERROR(IF(OR(INDEX(checklistPesertaKemenkeu!$M$6:$M$1005,SMALL(IF(checklistPesertaKemenkeu!$AY$6:$AY$1005="Direkomendasikan",ROW($6:$1005)-5),209))="",INDEX(checklistPesertaKemenkeu!$J$6:$J$1005,SMALL(IF(checklistPesertaKemenkeu!$AY$6:$AY$1005="Direkomendasikan",ROW($6:$1005)-5),209))=""),"",IF(AND(COUNTIF(INDIRECT("K_"&amp;MATCH(INDEX(checklistPesertaKemenkeu!$J$6:$J$1005,SMALL(IF(checklistPesertaKemenkeu!$AY$6:$AY$1005="Direkomendasikan",ROW($6:$1005)-5),209)),BidangList,0)),INDEX(checklistPesertaKemenkeu!$M$6:$M$1005,SMALL(IF(checklistPesertaKemenkeu!$AY$6:$AY$1005="Direkomendasikan",ROW($6:$1005)-5),209)))&gt;0,COUNTIF(INDIRECT("'KERTAS KERJA'!K"&amp;(SMALL(IF(checklistPesertaKemenkeu!$AY$6:$AY$1005="Direkomendasikan",ROW($6:$1005)-5),209)+5)&amp;":O"&amp;(SMALL(IF(checklistPesertaKemenkeu!$AY$6:$AY$1005="Direkomendasikan",ROW($6:$1005)-5),209)+5)),INDEX(checklistPesertaKemenkeu!$M$6:$M$1005,SMALL(IF(checklistPesertaKemenkeu!$AY$6:$AY$1005="Direkomendasikan",ROW($6:$1005)-5),209)))=1),IFERROR(VLOOKUP(INDEX(checklistPesertaKemenkeu!$M$6:$M$1005,SMALL(IF(checklistPesertaKemenkeu!$AY$6:$AY$1005="Direkomendasikan",ROW($6:$1005)-5),209)),KotaKode,2,0),"-"),"")),"")</f>
        <v/>
      </c>
      <c r="J210" t="str">
        <f t="array" aca="1" ref="J210" ca="1">IFERROR(IF(OR(INDEX(checklistPesertaKemenkeu!$N$6:$N$1005,SMALL(IF(checklistPesertaKemenkeu!$AY$6:$AY$1005="Direkomendasikan",ROW($6:$1005)-5),209))="",INDEX(checklistPesertaKemenkeu!$J$6:$J$1005,SMALL(IF(checklistPesertaKemenkeu!$AY$6:$AY$1005="Direkomendasikan",ROW($6:$1005)-5),209))=""),"",IF(AND(COUNTIF(INDIRECT("K_"&amp;MATCH(INDEX(checklistPesertaKemenkeu!$J$6:$J$1005,SMALL(IF(checklistPesertaKemenkeu!$AY$6:$AY$1005="Direkomendasikan",ROW($6:$1005)-5),209)),BidangList,0)),INDEX(checklistPesertaKemenkeu!$N$6:$N$1005,SMALL(IF(checklistPesertaKemenkeu!$AY$6:$AY$1005="Direkomendasikan",ROW($6:$1005)-5),209)))&gt;0,COUNTIF(INDIRECT("'KERTAS KERJA'!K"&amp;(SMALL(IF(checklistPesertaKemenkeu!$AY$6:$AY$1005="Direkomendasikan",ROW($6:$1005)-5),209)+5)&amp;":O"&amp;(SMALL(IF(checklistPesertaKemenkeu!$AY$6:$AY$1005="Direkomendasikan",ROW($6:$1005)-5),209)+5)),INDEX(checklistPesertaKemenkeu!$N$6:$N$1005,SMALL(IF(checklistPesertaKemenkeu!$AY$6:$AY$1005="Direkomendasikan",ROW($6:$1005)-5),209)))=1),IFERROR(VLOOKUP(INDEX(checklistPesertaKemenkeu!$N$6:$N$1005,SMALL(IF(checklistPesertaKemenkeu!$AY$6:$AY$1005="Direkomendasikan",ROW($6:$1005)-5),209)),KotaKode,2,0),"-"),"")),"")</f>
        <v/>
      </c>
      <c r="K210" t="str">
        <f t="array" aca="1" ref="K210" ca="1">IFERROR(IF(OR(INDEX(checklistPesertaKemenkeu!$O$6:$O$1005,SMALL(IF(checklistPesertaKemenkeu!$AY$6:$AY$1005="Direkomendasikan",ROW($6:$1005)-5),209))="",INDEX(checklistPesertaKemenkeu!$J$6:$J$1005,SMALL(IF(checklistPesertaKemenkeu!$AY$6:$AY$1005="Direkomendasikan",ROW($6:$1005)-5),209))=""),"",IF(AND(COUNTIF(INDIRECT("K_"&amp;MATCH(INDEX(checklistPesertaKemenkeu!$J$6:$J$1005,SMALL(IF(checklistPesertaKemenkeu!$AY$6:$AY$1005="Direkomendasikan",ROW($6:$1005)-5),209)),BidangList,0)),INDEX(checklistPesertaKemenkeu!$O$6:$O$1005,SMALL(IF(checklistPesertaKemenkeu!$AY$6:$AY$1005="Direkomendasikan",ROW($6:$1005)-5),209)))&gt;0,COUNTIF(INDIRECT("'KERTAS KERJA'!K"&amp;(SMALL(IF(checklistPesertaKemenkeu!$AY$6:$AY$1005="Direkomendasikan",ROW($6:$1005)-5),209)+5)&amp;":O"&amp;(SMALL(IF(checklistPesertaKemenkeu!$AY$6:$AY$1005="Direkomendasikan",ROW($6:$1005)-5),209)+5)),INDEX(checklistPesertaKemenkeu!$O$6:$O$1005,SMALL(IF(checklistPesertaKemenkeu!$AY$6:$AY$1005="Direkomendasikan",ROW($6:$1005)-5),209)))=1),IFERROR(VLOOKUP(INDEX(checklistPesertaKemenkeu!$O$6:$O$1005,SMALL(IF(checklistPesertaKemenkeu!$AY$6:$AY$1005="Direkomendasikan",ROW($6:$1005)-5),209)),KotaKode,2,0),"-"),"")),"")</f>
        <v/>
      </c>
      <c r="L210" t="str">
        <f t="array" aca="1" ref="L210" ca="1">IFERROR(IF(OR(INDEX(checklistPesertaKemenkeu!$P$6:$P$1005,SMALL(IF(checklistPesertaKemenkeu!$AY$6:$AY$1005="Direkomendasikan",ROW($6:$1005)-5),209))="",INDEX(checklistPesertaKemenkeu!$J$6:$J$1005,SMALL(IF(checklistPesertaKemenkeu!$AY$6:$AY$1005="Direkomendasikan",ROW($6:$1005)-5),209))=""),"",IF(AND(COUNTIF(INDIRECT("K_"&amp;MATCH(INDEX(checklistPesertaKemenkeu!$J$6:$J$1005,SMALL(IF(checklistPesertaKemenkeu!$AY$6:$AY$1005="Direkomendasikan",ROW($6:$1005)-5),209)),BidangList,0)),INDEX(checklistPesertaKemenkeu!$P$6:$P$1005,SMALL(IF(checklistPesertaKemenkeu!$AY$6:$AY$1005="Direkomendasikan",ROW($6:$1005)-5),209)))&gt;0,COUNTIF(INDIRECT("'KERTAS KERJA'!K"&amp;(SMALL(IF(checklistPesertaKemenkeu!$AY$6:$AY$1005="Direkomendasikan",ROW($6:$1005)-5),209)+5)&amp;":O"&amp;(SMALL(IF(checklistPesertaKemenkeu!$AY$6:$AY$1005="Direkomendasikan",ROW($6:$1005)-5),209)+5)),INDEX(checklistPesertaKemenkeu!$P$6:$P$1005,SMALL(IF(checklistPesertaKemenkeu!$AY$6:$AY$1005="Direkomendasikan",ROW($6:$1005)-5),209)))=1),IFERROR(VLOOKUP(INDEX(checklistPesertaKemenkeu!$P$6:$P$1005,SMALL(IF(checklistPesertaKemenkeu!$AY$6:$AY$1005="Direkomendasikan",ROW($6:$1005)-5),209)),KotaKode,2,0),"-"),"")),"")</f>
        <v/>
      </c>
    </row>
    <row r="211" spans="1:12" ht="15" customHeight="1" x14ac:dyDescent="0.2">
      <c r="A211" t="str">
        <f t="shared" si="3"/>
        <v/>
      </c>
      <c r="B211" t="str">
        <v/>
      </c>
      <c r="C211" s="40" t="str">
        <f t="array" ref="C211">IFERROR(INDEX(checklistPesertaKemenkeu!$F$6:$F$1005,SMALL(IF(checklistPesertaKemenkeu!$AY$6:$AY$1005="Direkomendasikan",ROW($6:$1005)-5),210)),"")</f>
        <v/>
      </c>
      <c r="D211" t="str">
        <f t="array" ref="D211">IFERROR(INDEX(checklistPesertaKemenkeu!$G$6:$G$1005,SMALL(IF(checklistPesertaKemenkeu!$AY$6:$AY$1005="Direkomendasikan",ROW($6:$1005)-5),210)),"")</f>
        <v/>
      </c>
      <c r="E211" t="str">
        <f t="array" ref="E211">IFERROR(INDEX(checklistPesertaKemenkeu!$H$6:$H$1005,SMALL(IF(checklistPesertaKemenkeu!$AY$6:$AY$1005="Direkomendasikan",ROW($6:$1005)-5),210)),"")</f>
        <v/>
      </c>
      <c r="F211" t="str">
        <f t="array" ref="F211">IFERROR(INDEX(checklistPesertaKemenkeu!$I$6:$I$1005,SMALL(IF(checklistPesertaKemenkeu!$AY$6:$AY$1005="Direkomendasikan",ROW($6:$1005)-5),210)),"")</f>
        <v/>
      </c>
      <c r="G211" t="str">
        <f t="array" ref="G211">IFERROR(INDEX(checklistPesertaKemenkeu!$J$6:$J$1005,SMALL(IF(checklistPesertaKemenkeu!$AY$6:$AY$1005="Direkomendasikan",ROW($6:$1005)-5),210)),"")</f>
        <v/>
      </c>
      <c r="H211" t="str">
        <f t="array" aca="1" ref="H211" ca="1">IFERROR(IF(OR(INDEX(checklistPesertaKemenkeu!$L$6:$L$1005,SMALL(IF(checklistPesertaKemenkeu!$AY$6:$AY$1005="Direkomendasikan",ROW($6:$1005)-5),210))="",INDEX(checklistPesertaKemenkeu!$J$6:$J$1005,SMALL(IF(checklistPesertaKemenkeu!$AY$6:$AY$1005="Direkomendasikan",ROW($6:$1005)-5),210))=""),"",IF(AND(COUNTIF(INDIRECT("K_"&amp;MATCH(INDEX(checklistPesertaKemenkeu!$J$6:$J$1005,SMALL(IF(checklistPesertaKemenkeu!$AY$6:$AY$1005="Direkomendasikan",ROW($6:$1005)-5),210)),BidangList,0)),INDEX(checklistPesertaKemenkeu!$L$6:$L$1005,SMALL(IF(checklistPesertaKemenkeu!$AY$6:$AY$1005="Direkomendasikan",ROW($6:$1005)-5),210)))&gt;0,COUNTIF(INDIRECT("'KERTAS KERJA'!K"&amp;(SMALL(IF(checklistPesertaKemenkeu!$AY$6:$AY$1005="Direkomendasikan",ROW($6:$1005)-5),210)+5)&amp;":O"&amp;(SMALL(IF(checklistPesertaKemenkeu!$AY$6:$AY$1005="Direkomendasikan",ROW($6:$1005)-5),210)+5)),INDEX(checklistPesertaKemenkeu!$L$6:$L$1005,SMALL(IF(checklistPesertaKemenkeu!$AY$6:$AY$1005="Direkomendasikan",ROW($6:$1005)-5),210)))=1),IFERROR(VLOOKUP(INDEX(checklistPesertaKemenkeu!$L$6:$L$1005,SMALL(IF(checklistPesertaKemenkeu!$AY$6:$AY$1005="Direkomendasikan",ROW($6:$1005)-5),210)),KotaKode,2,0),"-"),"")),"")</f>
        <v/>
      </c>
      <c r="I211" t="str">
        <f t="array" aca="1" ref="I211" ca="1">IFERROR(IF(OR(INDEX(checklistPesertaKemenkeu!$M$6:$M$1005,SMALL(IF(checklistPesertaKemenkeu!$AY$6:$AY$1005="Direkomendasikan",ROW($6:$1005)-5),210))="",INDEX(checklistPesertaKemenkeu!$J$6:$J$1005,SMALL(IF(checklistPesertaKemenkeu!$AY$6:$AY$1005="Direkomendasikan",ROW($6:$1005)-5),210))=""),"",IF(AND(COUNTIF(INDIRECT("K_"&amp;MATCH(INDEX(checklistPesertaKemenkeu!$J$6:$J$1005,SMALL(IF(checklistPesertaKemenkeu!$AY$6:$AY$1005="Direkomendasikan",ROW($6:$1005)-5),210)),BidangList,0)),INDEX(checklistPesertaKemenkeu!$M$6:$M$1005,SMALL(IF(checklistPesertaKemenkeu!$AY$6:$AY$1005="Direkomendasikan",ROW($6:$1005)-5),210)))&gt;0,COUNTIF(INDIRECT("'KERTAS KERJA'!K"&amp;(SMALL(IF(checklistPesertaKemenkeu!$AY$6:$AY$1005="Direkomendasikan",ROW($6:$1005)-5),210)+5)&amp;":O"&amp;(SMALL(IF(checklistPesertaKemenkeu!$AY$6:$AY$1005="Direkomendasikan",ROW($6:$1005)-5),210)+5)),INDEX(checklistPesertaKemenkeu!$M$6:$M$1005,SMALL(IF(checklistPesertaKemenkeu!$AY$6:$AY$1005="Direkomendasikan",ROW($6:$1005)-5),210)))=1),IFERROR(VLOOKUP(INDEX(checklistPesertaKemenkeu!$M$6:$M$1005,SMALL(IF(checklistPesertaKemenkeu!$AY$6:$AY$1005="Direkomendasikan",ROW($6:$1005)-5),210)),KotaKode,2,0),"-"),"")),"")</f>
        <v/>
      </c>
      <c r="J211" t="str">
        <f t="array" aca="1" ref="J211" ca="1">IFERROR(IF(OR(INDEX(checklistPesertaKemenkeu!$N$6:$N$1005,SMALL(IF(checklistPesertaKemenkeu!$AY$6:$AY$1005="Direkomendasikan",ROW($6:$1005)-5),210))="",INDEX(checklistPesertaKemenkeu!$J$6:$J$1005,SMALL(IF(checklistPesertaKemenkeu!$AY$6:$AY$1005="Direkomendasikan",ROW($6:$1005)-5),210))=""),"",IF(AND(COUNTIF(INDIRECT("K_"&amp;MATCH(INDEX(checklistPesertaKemenkeu!$J$6:$J$1005,SMALL(IF(checklistPesertaKemenkeu!$AY$6:$AY$1005="Direkomendasikan",ROW($6:$1005)-5),210)),BidangList,0)),INDEX(checklistPesertaKemenkeu!$N$6:$N$1005,SMALL(IF(checklistPesertaKemenkeu!$AY$6:$AY$1005="Direkomendasikan",ROW($6:$1005)-5),210)))&gt;0,COUNTIF(INDIRECT("'KERTAS KERJA'!K"&amp;(SMALL(IF(checklistPesertaKemenkeu!$AY$6:$AY$1005="Direkomendasikan",ROW($6:$1005)-5),210)+5)&amp;":O"&amp;(SMALL(IF(checklistPesertaKemenkeu!$AY$6:$AY$1005="Direkomendasikan",ROW($6:$1005)-5),210)+5)),INDEX(checklistPesertaKemenkeu!$N$6:$N$1005,SMALL(IF(checklistPesertaKemenkeu!$AY$6:$AY$1005="Direkomendasikan",ROW($6:$1005)-5),210)))=1),IFERROR(VLOOKUP(INDEX(checklistPesertaKemenkeu!$N$6:$N$1005,SMALL(IF(checklistPesertaKemenkeu!$AY$6:$AY$1005="Direkomendasikan",ROW($6:$1005)-5),210)),KotaKode,2,0),"-"),"")),"")</f>
        <v/>
      </c>
      <c r="K211" t="str">
        <f t="array" aca="1" ref="K211" ca="1">IFERROR(IF(OR(INDEX(checklistPesertaKemenkeu!$O$6:$O$1005,SMALL(IF(checklistPesertaKemenkeu!$AY$6:$AY$1005="Direkomendasikan",ROW($6:$1005)-5),210))="",INDEX(checklistPesertaKemenkeu!$J$6:$J$1005,SMALL(IF(checklistPesertaKemenkeu!$AY$6:$AY$1005="Direkomendasikan",ROW($6:$1005)-5),210))=""),"",IF(AND(COUNTIF(INDIRECT("K_"&amp;MATCH(INDEX(checklistPesertaKemenkeu!$J$6:$J$1005,SMALL(IF(checklistPesertaKemenkeu!$AY$6:$AY$1005="Direkomendasikan",ROW($6:$1005)-5),210)),BidangList,0)),INDEX(checklistPesertaKemenkeu!$O$6:$O$1005,SMALL(IF(checklistPesertaKemenkeu!$AY$6:$AY$1005="Direkomendasikan",ROW($6:$1005)-5),210)))&gt;0,COUNTIF(INDIRECT("'KERTAS KERJA'!K"&amp;(SMALL(IF(checklistPesertaKemenkeu!$AY$6:$AY$1005="Direkomendasikan",ROW($6:$1005)-5),210)+5)&amp;":O"&amp;(SMALL(IF(checklistPesertaKemenkeu!$AY$6:$AY$1005="Direkomendasikan",ROW($6:$1005)-5),210)+5)),INDEX(checklistPesertaKemenkeu!$O$6:$O$1005,SMALL(IF(checklistPesertaKemenkeu!$AY$6:$AY$1005="Direkomendasikan",ROW($6:$1005)-5),210)))=1),IFERROR(VLOOKUP(INDEX(checklistPesertaKemenkeu!$O$6:$O$1005,SMALL(IF(checklistPesertaKemenkeu!$AY$6:$AY$1005="Direkomendasikan",ROW($6:$1005)-5),210)),KotaKode,2,0),"-"),"")),"")</f>
        <v/>
      </c>
      <c r="L211" t="str">
        <f t="array" aca="1" ref="L211" ca="1">IFERROR(IF(OR(INDEX(checklistPesertaKemenkeu!$P$6:$P$1005,SMALL(IF(checklistPesertaKemenkeu!$AY$6:$AY$1005="Direkomendasikan",ROW($6:$1005)-5),210))="",INDEX(checklistPesertaKemenkeu!$J$6:$J$1005,SMALL(IF(checklistPesertaKemenkeu!$AY$6:$AY$1005="Direkomendasikan",ROW($6:$1005)-5),210))=""),"",IF(AND(COUNTIF(INDIRECT("K_"&amp;MATCH(INDEX(checklistPesertaKemenkeu!$J$6:$J$1005,SMALL(IF(checklistPesertaKemenkeu!$AY$6:$AY$1005="Direkomendasikan",ROW($6:$1005)-5),210)),BidangList,0)),INDEX(checklistPesertaKemenkeu!$P$6:$P$1005,SMALL(IF(checklistPesertaKemenkeu!$AY$6:$AY$1005="Direkomendasikan",ROW($6:$1005)-5),210)))&gt;0,COUNTIF(INDIRECT("'KERTAS KERJA'!K"&amp;(SMALL(IF(checklistPesertaKemenkeu!$AY$6:$AY$1005="Direkomendasikan",ROW($6:$1005)-5),210)+5)&amp;":O"&amp;(SMALL(IF(checklistPesertaKemenkeu!$AY$6:$AY$1005="Direkomendasikan",ROW($6:$1005)-5),210)+5)),INDEX(checklistPesertaKemenkeu!$P$6:$P$1005,SMALL(IF(checklistPesertaKemenkeu!$AY$6:$AY$1005="Direkomendasikan",ROW($6:$1005)-5),210)))=1),IFERROR(VLOOKUP(INDEX(checklistPesertaKemenkeu!$P$6:$P$1005,SMALL(IF(checklistPesertaKemenkeu!$AY$6:$AY$1005="Direkomendasikan",ROW($6:$1005)-5),210)),KotaKode,2,0),"-"),"")),"")</f>
        <v/>
      </c>
    </row>
    <row r="212" spans="1:12" ht="15" customHeight="1" x14ac:dyDescent="0.2">
      <c r="A212" t="str">
        <f t="shared" si="3"/>
        <v/>
      </c>
      <c r="B212" t="str">
        <v/>
      </c>
      <c r="C212" s="40" t="str">
        <f t="array" ref="C212">IFERROR(INDEX(checklistPesertaKemenkeu!$F$6:$F$1005,SMALL(IF(checklistPesertaKemenkeu!$AY$6:$AY$1005="Direkomendasikan",ROW($6:$1005)-5),211)),"")</f>
        <v/>
      </c>
      <c r="D212" t="str">
        <f t="array" ref="D212">IFERROR(INDEX(checklistPesertaKemenkeu!$G$6:$G$1005,SMALL(IF(checklistPesertaKemenkeu!$AY$6:$AY$1005="Direkomendasikan",ROW($6:$1005)-5),211)),"")</f>
        <v/>
      </c>
      <c r="E212" t="str">
        <f t="array" ref="E212">IFERROR(INDEX(checklistPesertaKemenkeu!$H$6:$H$1005,SMALL(IF(checklistPesertaKemenkeu!$AY$6:$AY$1005="Direkomendasikan",ROW($6:$1005)-5),211)),"")</f>
        <v/>
      </c>
      <c r="F212" t="str">
        <f t="array" ref="F212">IFERROR(INDEX(checklistPesertaKemenkeu!$I$6:$I$1005,SMALL(IF(checklistPesertaKemenkeu!$AY$6:$AY$1005="Direkomendasikan",ROW($6:$1005)-5),211)),"")</f>
        <v/>
      </c>
      <c r="G212" t="str">
        <f t="array" ref="G212">IFERROR(INDEX(checklistPesertaKemenkeu!$J$6:$J$1005,SMALL(IF(checklistPesertaKemenkeu!$AY$6:$AY$1005="Direkomendasikan",ROW($6:$1005)-5),211)),"")</f>
        <v/>
      </c>
      <c r="H212" t="str">
        <f t="array" aca="1" ref="H212" ca="1">IFERROR(IF(OR(INDEX(checklistPesertaKemenkeu!$L$6:$L$1005,SMALL(IF(checklistPesertaKemenkeu!$AY$6:$AY$1005="Direkomendasikan",ROW($6:$1005)-5),211))="",INDEX(checklistPesertaKemenkeu!$J$6:$J$1005,SMALL(IF(checklistPesertaKemenkeu!$AY$6:$AY$1005="Direkomendasikan",ROW($6:$1005)-5),211))=""),"",IF(AND(COUNTIF(INDIRECT("K_"&amp;MATCH(INDEX(checklistPesertaKemenkeu!$J$6:$J$1005,SMALL(IF(checklistPesertaKemenkeu!$AY$6:$AY$1005="Direkomendasikan",ROW($6:$1005)-5),211)),BidangList,0)),INDEX(checklistPesertaKemenkeu!$L$6:$L$1005,SMALL(IF(checklistPesertaKemenkeu!$AY$6:$AY$1005="Direkomendasikan",ROW($6:$1005)-5),211)))&gt;0,COUNTIF(INDIRECT("'KERTAS KERJA'!K"&amp;(SMALL(IF(checklistPesertaKemenkeu!$AY$6:$AY$1005="Direkomendasikan",ROW($6:$1005)-5),211)+5)&amp;":O"&amp;(SMALL(IF(checklistPesertaKemenkeu!$AY$6:$AY$1005="Direkomendasikan",ROW($6:$1005)-5),211)+5)),INDEX(checklistPesertaKemenkeu!$L$6:$L$1005,SMALL(IF(checklistPesertaKemenkeu!$AY$6:$AY$1005="Direkomendasikan",ROW($6:$1005)-5),211)))=1),IFERROR(VLOOKUP(INDEX(checklistPesertaKemenkeu!$L$6:$L$1005,SMALL(IF(checklistPesertaKemenkeu!$AY$6:$AY$1005="Direkomendasikan",ROW($6:$1005)-5),211)),KotaKode,2,0),"-"),"")),"")</f>
        <v/>
      </c>
      <c r="I212" t="str">
        <f t="array" aca="1" ref="I212" ca="1">IFERROR(IF(OR(INDEX(checklistPesertaKemenkeu!$M$6:$M$1005,SMALL(IF(checklistPesertaKemenkeu!$AY$6:$AY$1005="Direkomendasikan",ROW($6:$1005)-5),211))="",INDEX(checklistPesertaKemenkeu!$J$6:$J$1005,SMALL(IF(checklistPesertaKemenkeu!$AY$6:$AY$1005="Direkomendasikan",ROW($6:$1005)-5),211))=""),"",IF(AND(COUNTIF(INDIRECT("K_"&amp;MATCH(INDEX(checklistPesertaKemenkeu!$J$6:$J$1005,SMALL(IF(checklistPesertaKemenkeu!$AY$6:$AY$1005="Direkomendasikan",ROW($6:$1005)-5),211)),BidangList,0)),INDEX(checklistPesertaKemenkeu!$M$6:$M$1005,SMALL(IF(checklistPesertaKemenkeu!$AY$6:$AY$1005="Direkomendasikan",ROW($6:$1005)-5),211)))&gt;0,COUNTIF(INDIRECT("'KERTAS KERJA'!K"&amp;(SMALL(IF(checklistPesertaKemenkeu!$AY$6:$AY$1005="Direkomendasikan",ROW($6:$1005)-5),211)+5)&amp;":O"&amp;(SMALL(IF(checklistPesertaKemenkeu!$AY$6:$AY$1005="Direkomendasikan",ROW($6:$1005)-5),211)+5)),INDEX(checklistPesertaKemenkeu!$M$6:$M$1005,SMALL(IF(checklistPesertaKemenkeu!$AY$6:$AY$1005="Direkomendasikan",ROW($6:$1005)-5),211)))=1),IFERROR(VLOOKUP(INDEX(checklistPesertaKemenkeu!$M$6:$M$1005,SMALL(IF(checklistPesertaKemenkeu!$AY$6:$AY$1005="Direkomendasikan",ROW($6:$1005)-5),211)),KotaKode,2,0),"-"),"")),"")</f>
        <v/>
      </c>
      <c r="J212" t="str">
        <f t="array" aca="1" ref="J212" ca="1">IFERROR(IF(OR(INDEX(checklistPesertaKemenkeu!$N$6:$N$1005,SMALL(IF(checklistPesertaKemenkeu!$AY$6:$AY$1005="Direkomendasikan",ROW($6:$1005)-5),211))="",INDEX(checklistPesertaKemenkeu!$J$6:$J$1005,SMALL(IF(checklistPesertaKemenkeu!$AY$6:$AY$1005="Direkomendasikan",ROW($6:$1005)-5),211))=""),"",IF(AND(COUNTIF(INDIRECT("K_"&amp;MATCH(INDEX(checklistPesertaKemenkeu!$J$6:$J$1005,SMALL(IF(checklistPesertaKemenkeu!$AY$6:$AY$1005="Direkomendasikan",ROW($6:$1005)-5),211)),BidangList,0)),INDEX(checklistPesertaKemenkeu!$N$6:$N$1005,SMALL(IF(checklistPesertaKemenkeu!$AY$6:$AY$1005="Direkomendasikan",ROW($6:$1005)-5),211)))&gt;0,COUNTIF(INDIRECT("'KERTAS KERJA'!K"&amp;(SMALL(IF(checklistPesertaKemenkeu!$AY$6:$AY$1005="Direkomendasikan",ROW($6:$1005)-5),211)+5)&amp;":O"&amp;(SMALL(IF(checklistPesertaKemenkeu!$AY$6:$AY$1005="Direkomendasikan",ROW($6:$1005)-5),211)+5)),INDEX(checklistPesertaKemenkeu!$N$6:$N$1005,SMALL(IF(checklistPesertaKemenkeu!$AY$6:$AY$1005="Direkomendasikan",ROW($6:$1005)-5),211)))=1),IFERROR(VLOOKUP(INDEX(checklistPesertaKemenkeu!$N$6:$N$1005,SMALL(IF(checklistPesertaKemenkeu!$AY$6:$AY$1005="Direkomendasikan",ROW($6:$1005)-5),211)),KotaKode,2,0),"-"),"")),"")</f>
        <v/>
      </c>
      <c r="K212" t="str">
        <f t="array" aca="1" ref="K212" ca="1">IFERROR(IF(OR(INDEX(checklistPesertaKemenkeu!$O$6:$O$1005,SMALL(IF(checklistPesertaKemenkeu!$AY$6:$AY$1005="Direkomendasikan",ROW($6:$1005)-5),211))="",INDEX(checklistPesertaKemenkeu!$J$6:$J$1005,SMALL(IF(checklistPesertaKemenkeu!$AY$6:$AY$1005="Direkomendasikan",ROW($6:$1005)-5),211))=""),"",IF(AND(COUNTIF(INDIRECT("K_"&amp;MATCH(INDEX(checklistPesertaKemenkeu!$J$6:$J$1005,SMALL(IF(checklistPesertaKemenkeu!$AY$6:$AY$1005="Direkomendasikan",ROW($6:$1005)-5),211)),BidangList,0)),INDEX(checklistPesertaKemenkeu!$O$6:$O$1005,SMALL(IF(checklistPesertaKemenkeu!$AY$6:$AY$1005="Direkomendasikan",ROW($6:$1005)-5),211)))&gt;0,COUNTIF(INDIRECT("'KERTAS KERJA'!K"&amp;(SMALL(IF(checklistPesertaKemenkeu!$AY$6:$AY$1005="Direkomendasikan",ROW($6:$1005)-5),211)+5)&amp;":O"&amp;(SMALL(IF(checklistPesertaKemenkeu!$AY$6:$AY$1005="Direkomendasikan",ROW($6:$1005)-5),211)+5)),INDEX(checklistPesertaKemenkeu!$O$6:$O$1005,SMALL(IF(checklistPesertaKemenkeu!$AY$6:$AY$1005="Direkomendasikan",ROW($6:$1005)-5),211)))=1),IFERROR(VLOOKUP(INDEX(checklistPesertaKemenkeu!$O$6:$O$1005,SMALL(IF(checklistPesertaKemenkeu!$AY$6:$AY$1005="Direkomendasikan",ROW($6:$1005)-5),211)),KotaKode,2,0),"-"),"")),"")</f>
        <v/>
      </c>
      <c r="L212" t="str">
        <f t="array" aca="1" ref="L212" ca="1">IFERROR(IF(OR(INDEX(checklistPesertaKemenkeu!$P$6:$P$1005,SMALL(IF(checklistPesertaKemenkeu!$AY$6:$AY$1005="Direkomendasikan",ROW($6:$1005)-5),211))="",INDEX(checklistPesertaKemenkeu!$J$6:$J$1005,SMALL(IF(checklistPesertaKemenkeu!$AY$6:$AY$1005="Direkomendasikan",ROW($6:$1005)-5),211))=""),"",IF(AND(COUNTIF(INDIRECT("K_"&amp;MATCH(INDEX(checklistPesertaKemenkeu!$J$6:$J$1005,SMALL(IF(checklistPesertaKemenkeu!$AY$6:$AY$1005="Direkomendasikan",ROW($6:$1005)-5),211)),BidangList,0)),INDEX(checklistPesertaKemenkeu!$P$6:$P$1005,SMALL(IF(checklistPesertaKemenkeu!$AY$6:$AY$1005="Direkomendasikan",ROW($6:$1005)-5),211)))&gt;0,COUNTIF(INDIRECT("'KERTAS KERJA'!K"&amp;(SMALL(IF(checklistPesertaKemenkeu!$AY$6:$AY$1005="Direkomendasikan",ROW($6:$1005)-5),211)+5)&amp;":O"&amp;(SMALL(IF(checklistPesertaKemenkeu!$AY$6:$AY$1005="Direkomendasikan",ROW($6:$1005)-5),211)+5)),INDEX(checklistPesertaKemenkeu!$P$6:$P$1005,SMALL(IF(checklistPesertaKemenkeu!$AY$6:$AY$1005="Direkomendasikan",ROW($6:$1005)-5),211)))=1),IFERROR(VLOOKUP(INDEX(checklistPesertaKemenkeu!$P$6:$P$1005,SMALL(IF(checklistPesertaKemenkeu!$AY$6:$AY$1005="Direkomendasikan",ROW($6:$1005)-5),211)),KotaKode,2,0),"-"),"")),"")</f>
        <v/>
      </c>
    </row>
    <row r="213" spans="1:12" ht="15" customHeight="1" x14ac:dyDescent="0.2">
      <c r="A213" t="str">
        <f t="shared" si="3"/>
        <v/>
      </c>
      <c r="B213" t="str">
        <v/>
      </c>
      <c r="C213" s="40" t="str">
        <f t="array" ref="C213">IFERROR(INDEX(checklistPesertaKemenkeu!$F$6:$F$1005,SMALL(IF(checklistPesertaKemenkeu!$AY$6:$AY$1005="Direkomendasikan",ROW($6:$1005)-5),212)),"")</f>
        <v/>
      </c>
      <c r="D213" t="str">
        <f t="array" ref="D213">IFERROR(INDEX(checklistPesertaKemenkeu!$G$6:$G$1005,SMALL(IF(checklistPesertaKemenkeu!$AY$6:$AY$1005="Direkomendasikan",ROW($6:$1005)-5),212)),"")</f>
        <v/>
      </c>
      <c r="E213" t="str">
        <f t="array" ref="E213">IFERROR(INDEX(checklistPesertaKemenkeu!$H$6:$H$1005,SMALL(IF(checklistPesertaKemenkeu!$AY$6:$AY$1005="Direkomendasikan",ROW($6:$1005)-5),212)),"")</f>
        <v/>
      </c>
      <c r="F213" t="str">
        <f t="array" ref="F213">IFERROR(INDEX(checklistPesertaKemenkeu!$I$6:$I$1005,SMALL(IF(checklistPesertaKemenkeu!$AY$6:$AY$1005="Direkomendasikan",ROW($6:$1005)-5),212)),"")</f>
        <v/>
      </c>
      <c r="G213" t="str">
        <f t="array" ref="G213">IFERROR(INDEX(checklistPesertaKemenkeu!$J$6:$J$1005,SMALL(IF(checklistPesertaKemenkeu!$AY$6:$AY$1005="Direkomendasikan",ROW($6:$1005)-5),212)),"")</f>
        <v/>
      </c>
      <c r="H213" t="str">
        <f t="array" aca="1" ref="H213" ca="1">IFERROR(IF(OR(INDEX(checklistPesertaKemenkeu!$L$6:$L$1005,SMALL(IF(checklistPesertaKemenkeu!$AY$6:$AY$1005="Direkomendasikan",ROW($6:$1005)-5),212))="",INDEX(checklistPesertaKemenkeu!$J$6:$J$1005,SMALL(IF(checklistPesertaKemenkeu!$AY$6:$AY$1005="Direkomendasikan",ROW($6:$1005)-5),212))=""),"",IF(AND(COUNTIF(INDIRECT("K_"&amp;MATCH(INDEX(checklistPesertaKemenkeu!$J$6:$J$1005,SMALL(IF(checklistPesertaKemenkeu!$AY$6:$AY$1005="Direkomendasikan",ROW($6:$1005)-5),212)),BidangList,0)),INDEX(checklistPesertaKemenkeu!$L$6:$L$1005,SMALL(IF(checklistPesertaKemenkeu!$AY$6:$AY$1005="Direkomendasikan",ROW($6:$1005)-5),212)))&gt;0,COUNTIF(INDIRECT("'KERTAS KERJA'!K"&amp;(SMALL(IF(checklistPesertaKemenkeu!$AY$6:$AY$1005="Direkomendasikan",ROW($6:$1005)-5),212)+5)&amp;":O"&amp;(SMALL(IF(checklistPesertaKemenkeu!$AY$6:$AY$1005="Direkomendasikan",ROW($6:$1005)-5),212)+5)),INDEX(checklistPesertaKemenkeu!$L$6:$L$1005,SMALL(IF(checklistPesertaKemenkeu!$AY$6:$AY$1005="Direkomendasikan",ROW($6:$1005)-5),212)))=1),IFERROR(VLOOKUP(INDEX(checklistPesertaKemenkeu!$L$6:$L$1005,SMALL(IF(checklistPesertaKemenkeu!$AY$6:$AY$1005="Direkomendasikan",ROW($6:$1005)-5),212)),KotaKode,2,0),"-"),"")),"")</f>
        <v/>
      </c>
      <c r="I213" t="str">
        <f t="array" aca="1" ref="I213" ca="1">IFERROR(IF(OR(INDEX(checklistPesertaKemenkeu!$M$6:$M$1005,SMALL(IF(checklistPesertaKemenkeu!$AY$6:$AY$1005="Direkomendasikan",ROW($6:$1005)-5),212))="",INDEX(checklistPesertaKemenkeu!$J$6:$J$1005,SMALL(IF(checklistPesertaKemenkeu!$AY$6:$AY$1005="Direkomendasikan",ROW($6:$1005)-5),212))=""),"",IF(AND(COUNTIF(INDIRECT("K_"&amp;MATCH(INDEX(checklistPesertaKemenkeu!$J$6:$J$1005,SMALL(IF(checklistPesertaKemenkeu!$AY$6:$AY$1005="Direkomendasikan",ROW($6:$1005)-5),212)),BidangList,0)),INDEX(checklistPesertaKemenkeu!$M$6:$M$1005,SMALL(IF(checklistPesertaKemenkeu!$AY$6:$AY$1005="Direkomendasikan",ROW($6:$1005)-5),212)))&gt;0,COUNTIF(INDIRECT("'KERTAS KERJA'!K"&amp;(SMALL(IF(checklistPesertaKemenkeu!$AY$6:$AY$1005="Direkomendasikan",ROW($6:$1005)-5),212)+5)&amp;":O"&amp;(SMALL(IF(checklistPesertaKemenkeu!$AY$6:$AY$1005="Direkomendasikan",ROW($6:$1005)-5),212)+5)),INDEX(checklistPesertaKemenkeu!$M$6:$M$1005,SMALL(IF(checklistPesertaKemenkeu!$AY$6:$AY$1005="Direkomendasikan",ROW($6:$1005)-5),212)))=1),IFERROR(VLOOKUP(INDEX(checklistPesertaKemenkeu!$M$6:$M$1005,SMALL(IF(checklistPesertaKemenkeu!$AY$6:$AY$1005="Direkomendasikan",ROW($6:$1005)-5),212)),KotaKode,2,0),"-"),"")),"")</f>
        <v/>
      </c>
      <c r="J213" t="str">
        <f t="array" aca="1" ref="J213" ca="1">IFERROR(IF(OR(INDEX(checklistPesertaKemenkeu!$N$6:$N$1005,SMALL(IF(checklistPesertaKemenkeu!$AY$6:$AY$1005="Direkomendasikan",ROW($6:$1005)-5),212))="",INDEX(checklistPesertaKemenkeu!$J$6:$J$1005,SMALL(IF(checklistPesertaKemenkeu!$AY$6:$AY$1005="Direkomendasikan",ROW($6:$1005)-5),212))=""),"",IF(AND(COUNTIF(INDIRECT("K_"&amp;MATCH(INDEX(checklistPesertaKemenkeu!$J$6:$J$1005,SMALL(IF(checklistPesertaKemenkeu!$AY$6:$AY$1005="Direkomendasikan",ROW($6:$1005)-5),212)),BidangList,0)),INDEX(checklistPesertaKemenkeu!$N$6:$N$1005,SMALL(IF(checklistPesertaKemenkeu!$AY$6:$AY$1005="Direkomendasikan",ROW($6:$1005)-5),212)))&gt;0,COUNTIF(INDIRECT("'KERTAS KERJA'!K"&amp;(SMALL(IF(checklistPesertaKemenkeu!$AY$6:$AY$1005="Direkomendasikan",ROW($6:$1005)-5),212)+5)&amp;":O"&amp;(SMALL(IF(checklistPesertaKemenkeu!$AY$6:$AY$1005="Direkomendasikan",ROW($6:$1005)-5),212)+5)),INDEX(checklistPesertaKemenkeu!$N$6:$N$1005,SMALL(IF(checklistPesertaKemenkeu!$AY$6:$AY$1005="Direkomendasikan",ROW($6:$1005)-5),212)))=1),IFERROR(VLOOKUP(INDEX(checklistPesertaKemenkeu!$N$6:$N$1005,SMALL(IF(checklistPesertaKemenkeu!$AY$6:$AY$1005="Direkomendasikan",ROW($6:$1005)-5),212)),KotaKode,2,0),"-"),"")),"")</f>
        <v/>
      </c>
      <c r="K213" t="str">
        <f t="array" aca="1" ref="K213" ca="1">IFERROR(IF(OR(INDEX(checklistPesertaKemenkeu!$O$6:$O$1005,SMALL(IF(checklistPesertaKemenkeu!$AY$6:$AY$1005="Direkomendasikan",ROW($6:$1005)-5),212))="",INDEX(checklistPesertaKemenkeu!$J$6:$J$1005,SMALL(IF(checklistPesertaKemenkeu!$AY$6:$AY$1005="Direkomendasikan",ROW($6:$1005)-5),212))=""),"",IF(AND(COUNTIF(INDIRECT("K_"&amp;MATCH(INDEX(checklistPesertaKemenkeu!$J$6:$J$1005,SMALL(IF(checklistPesertaKemenkeu!$AY$6:$AY$1005="Direkomendasikan",ROW($6:$1005)-5),212)),BidangList,0)),INDEX(checklistPesertaKemenkeu!$O$6:$O$1005,SMALL(IF(checklistPesertaKemenkeu!$AY$6:$AY$1005="Direkomendasikan",ROW($6:$1005)-5),212)))&gt;0,COUNTIF(INDIRECT("'KERTAS KERJA'!K"&amp;(SMALL(IF(checklistPesertaKemenkeu!$AY$6:$AY$1005="Direkomendasikan",ROW($6:$1005)-5),212)+5)&amp;":O"&amp;(SMALL(IF(checklistPesertaKemenkeu!$AY$6:$AY$1005="Direkomendasikan",ROW($6:$1005)-5),212)+5)),INDEX(checklistPesertaKemenkeu!$O$6:$O$1005,SMALL(IF(checklistPesertaKemenkeu!$AY$6:$AY$1005="Direkomendasikan",ROW($6:$1005)-5),212)))=1),IFERROR(VLOOKUP(INDEX(checklistPesertaKemenkeu!$O$6:$O$1005,SMALL(IF(checklistPesertaKemenkeu!$AY$6:$AY$1005="Direkomendasikan",ROW($6:$1005)-5),212)),KotaKode,2,0),"-"),"")),"")</f>
        <v/>
      </c>
      <c r="L213" t="str">
        <f t="array" aca="1" ref="L213" ca="1">IFERROR(IF(OR(INDEX(checklistPesertaKemenkeu!$P$6:$P$1005,SMALL(IF(checklistPesertaKemenkeu!$AY$6:$AY$1005="Direkomendasikan",ROW($6:$1005)-5),212))="",INDEX(checklistPesertaKemenkeu!$J$6:$J$1005,SMALL(IF(checklistPesertaKemenkeu!$AY$6:$AY$1005="Direkomendasikan",ROW($6:$1005)-5),212))=""),"",IF(AND(COUNTIF(INDIRECT("K_"&amp;MATCH(INDEX(checklistPesertaKemenkeu!$J$6:$J$1005,SMALL(IF(checklistPesertaKemenkeu!$AY$6:$AY$1005="Direkomendasikan",ROW($6:$1005)-5),212)),BidangList,0)),INDEX(checklistPesertaKemenkeu!$P$6:$P$1005,SMALL(IF(checklistPesertaKemenkeu!$AY$6:$AY$1005="Direkomendasikan",ROW($6:$1005)-5),212)))&gt;0,COUNTIF(INDIRECT("'KERTAS KERJA'!K"&amp;(SMALL(IF(checklistPesertaKemenkeu!$AY$6:$AY$1005="Direkomendasikan",ROW($6:$1005)-5),212)+5)&amp;":O"&amp;(SMALL(IF(checklistPesertaKemenkeu!$AY$6:$AY$1005="Direkomendasikan",ROW($6:$1005)-5),212)+5)),INDEX(checklistPesertaKemenkeu!$P$6:$P$1005,SMALL(IF(checklistPesertaKemenkeu!$AY$6:$AY$1005="Direkomendasikan",ROW($6:$1005)-5),212)))=1),IFERROR(VLOOKUP(INDEX(checklistPesertaKemenkeu!$P$6:$P$1005,SMALL(IF(checklistPesertaKemenkeu!$AY$6:$AY$1005="Direkomendasikan",ROW($6:$1005)-5),212)),KotaKode,2,0),"-"),"")),"")</f>
        <v/>
      </c>
    </row>
    <row r="214" spans="1:12" ht="15" customHeight="1" x14ac:dyDescent="0.2">
      <c r="A214" t="str">
        <f t="shared" si="3"/>
        <v/>
      </c>
      <c r="B214" t="str">
        <v/>
      </c>
      <c r="C214" s="40" t="str">
        <f t="array" ref="C214">IFERROR(INDEX(checklistPesertaKemenkeu!$F$6:$F$1005,SMALL(IF(checklistPesertaKemenkeu!$AY$6:$AY$1005="Direkomendasikan",ROW($6:$1005)-5),213)),"")</f>
        <v/>
      </c>
      <c r="D214" t="str">
        <f t="array" ref="D214">IFERROR(INDEX(checklistPesertaKemenkeu!$G$6:$G$1005,SMALL(IF(checklistPesertaKemenkeu!$AY$6:$AY$1005="Direkomendasikan",ROW($6:$1005)-5),213)),"")</f>
        <v/>
      </c>
      <c r="E214" t="str">
        <f t="array" ref="E214">IFERROR(INDEX(checklistPesertaKemenkeu!$H$6:$H$1005,SMALL(IF(checklistPesertaKemenkeu!$AY$6:$AY$1005="Direkomendasikan",ROW($6:$1005)-5),213)),"")</f>
        <v/>
      </c>
      <c r="F214" t="str">
        <f t="array" ref="F214">IFERROR(INDEX(checklistPesertaKemenkeu!$I$6:$I$1005,SMALL(IF(checklistPesertaKemenkeu!$AY$6:$AY$1005="Direkomendasikan",ROW($6:$1005)-5),213)),"")</f>
        <v/>
      </c>
      <c r="G214" t="str">
        <f t="array" ref="G214">IFERROR(INDEX(checklistPesertaKemenkeu!$J$6:$J$1005,SMALL(IF(checklistPesertaKemenkeu!$AY$6:$AY$1005="Direkomendasikan",ROW($6:$1005)-5),213)),"")</f>
        <v/>
      </c>
      <c r="H214" t="str">
        <f t="array" aca="1" ref="H214" ca="1">IFERROR(IF(OR(INDEX(checklistPesertaKemenkeu!$L$6:$L$1005,SMALL(IF(checklistPesertaKemenkeu!$AY$6:$AY$1005="Direkomendasikan",ROW($6:$1005)-5),213))="",INDEX(checklistPesertaKemenkeu!$J$6:$J$1005,SMALL(IF(checklistPesertaKemenkeu!$AY$6:$AY$1005="Direkomendasikan",ROW($6:$1005)-5),213))=""),"",IF(AND(COUNTIF(INDIRECT("K_"&amp;MATCH(INDEX(checklistPesertaKemenkeu!$J$6:$J$1005,SMALL(IF(checklistPesertaKemenkeu!$AY$6:$AY$1005="Direkomendasikan",ROW($6:$1005)-5),213)),BidangList,0)),INDEX(checklistPesertaKemenkeu!$L$6:$L$1005,SMALL(IF(checklistPesertaKemenkeu!$AY$6:$AY$1005="Direkomendasikan",ROW($6:$1005)-5),213)))&gt;0,COUNTIF(INDIRECT("'KERTAS KERJA'!K"&amp;(SMALL(IF(checklistPesertaKemenkeu!$AY$6:$AY$1005="Direkomendasikan",ROW($6:$1005)-5),213)+5)&amp;":O"&amp;(SMALL(IF(checklistPesertaKemenkeu!$AY$6:$AY$1005="Direkomendasikan",ROW($6:$1005)-5),213)+5)),INDEX(checklistPesertaKemenkeu!$L$6:$L$1005,SMALL(IF(checklistPesertaKemenkeu!$AY$6:$AY$1005="Direkomendasikan",ROW($6:$1005)-5),213)))=1),IFERROR(VLOOKUP(INDEX(checklistPesertaKemenkeu!$L$6:$L$1005,SMALL(IF(checklistPesertaKemenkeu!$AY$6:$AY$1005="Direkomendasikan",ROW($6:$1005)-5),213)),KotaKode,2,0),"-"),"")),"")</f>
        <v/>
      </c>
      <c r="I214" t="str">
        <f t="array" aca="1" ref="I214" ca="1">IFERROR(IF(OR(INDEX(checklistPesertaKemenkeu!$M$6:$M$1005,SMALL(IF(checklistPesertaKemenkeu!$AY$6:$AY$1005="Direkomendasikan",ROW($6:$1005)-5),213))="",INDEX(checklistPesertaKemenkeu!$J$6:$J$1005,SMALL(IF(checklistPesertaKemenkeu!$AY$6:$AY$1005="Direkomendasikan",ROW($6:$1005)-5),213))=""),"",IF(AND(COUNTIF(INDIRECT("K_"&amp;MATCH(INDEX(checklistPesertaKemenkeu!$J$6:$J$1005,SMALL(IF(checklistPesertaKemenkeu!$AY$6:$AY$1005="Direkomendasikan",ROW($6:$1005)-5),213)),BidangList,0)),INDEX(checklistPesertaKemenkeu!$M$6:$M$1005,SMALL(IF(checklistPesertaKemenkeu!$AY$6:$AY$1005="Direkomendasikan",ROW($6:$1005)-5),213)))&gt;0,COUNTIF(INDIRECT("'KERTAS KERJA'!K"&amp;(SMALL(IF(checklistPesertaKemenkeu!$AY$6:$AY$1005="Direkomendasikan",ROW($6:$1005)-5),213)+5)&amp;":O"&amp;(SMALL(IF(checklistPesertaKemenkeu!$AY$6:$AY$1005="Direkomendasikan",ROW($6:$1005)-5),213)+5)),INDEX(checklistPesertaKemenkeu!$M$6:$M$1005,SMALL(IF(checklistPesertaKemenkeu!$AY$6:$AY$1005="Direkomendasikan",ROW($6:$1005)-5),213)))=1),IFERROR(VLOOKUP(INDEX(checklistPesertaKemenkeu!$M$6:$M$1005,SMALL(IF(checklistPesertaKemenkeu!$AY$6:$AY$1005="Direkomendasikan",ROW($6:$1005)-5),213)),KotaKode,2,0),"-"),"")),"")</f>
        <v/>
      </c>
      <c r="J214" t="str">
        <f t="array" aca="1" ref="J214" ca="1">IFERROR(IF(OR(INDEX(checklistPesertaKemenkeu!$N$6:$N$1005,SMALL(IF(checklistPesertaKemenkeu!$AY$6:$AY$1005="Direkomendasikan",ROW($6:$1005)-5),213))="",INDEX(checklistPesertaKemenkeu!$J$6:$J$1005,SMALL(IF(checklistPesertaKemenkeu!$AY$6:$AY$1005="Direkomendasikan",ROW($6:$1005)-5),213))=""),"",IF(AND(COUNTIF(INDIRECT("K_"&amp;MATCH(INDEX(checklistPesertaKemenkeu!$J$6:$J$1005,SMALL(IF(checklistPesertaKemenkeu!$AY$6:$AY$1005="Direkomendasikan",ROW($6:$1005)-5),213)),BidangList,0)),INDEX(checklistPesertaKemenkeu!$N$6:$N$1005,SMALL(IF(checklistPesertaKemenkeu!$AY$6:$AY$1005="Direkomendasikan",ROW($6:$1005)-5),213)))&gt;0,COUNTIF(INDIRECT("'KERTAS KERJA'!K"&amp;(SMALL(IF(checklistPesertaKemenkeu!$AY$6:$AY$1005="Direkomendasikan",ROW($6:$1005)-5),213)+5)&amp;":O"&amp;(SMALL(IF(checklistPesertaKemenkeu!$AY$6:$AY$1005="Direkomendasikan",ROW($6:$1005)-5),213)+5)),INDEX(checklistPesertaKemenkeu!$N$6:$N$1005,SMALL(IF(checklistPesertaKemenkeu!$AY$6:$AY$1005="Direkomendasikan",ROW($6:$1005)-5),213)))=1),IFERROR(VLOOKUP(INDEX(checklistPesertaKemenkeu!$N$6:$N$1005,SMALL(IF(checklistPesertaKemenkeu!$AY$6:$AY$1005="Direkomendasikan",ROW($6:$1005)-5),213)),KotaKode,2,0),"-"),"")),"")</f>
        <v/>
      </c>
      <c r="K214" t="str">
        <f t="array" aca="1" ref="K214" ca="1">IFERROR(IF(OR(INDEX(checklistPesertaKemenkeu!$O$6:$O$1005,SMALL(IF(checklistPesertaKemenkeu!$AY$6:$AY$1005="Direkomendasikan",ROW($6:$1005)-5),213))="",INDEX(checklistPesertaKemenkeu!$J$6:$J$1005,SMALL(IF(checklistPesertaKemenkeu!$AY$6:$AY$1005="Direkomendasikan",ROW($6:$1005)-5),213))=""),"",IF(AND(COUNTIF(INDIRECT("K_"&amp;MATCH(INDEX(checklistPesertaKemenkeu!$J$6:$J$1005,SMALL(IF(checklistPesertaKemenkeu!$AY$6:$AY$1005="Direkomendasikan",ROW($6:$1005)-5),213)),BidangList,0)),INDEX(checklistPesertaKemenkeu!$O$6:$O$1005,SMALL(IF(checklistPesertaKemenkeu!$AY$6:$AY$1005="Direkomendasikan",ROW($6:$1005)-5),213)))&gt;0,COUNTIF(INDIRECT("'KERTAS KERJA'!K"&amp;(SMALL(IF(checklistPesertaKemenkeu!$AY$6:$AY$1005="Direkomendasikan",ROW($6:$1005)-5),213)+5)&amp;":O"&amp;(SMALL(IF(checklistPesertaKemenkeu!$AY$6:$AY$1005="Direkomendasikan",ROW($6:$1005)-5),213)+5)),INDEX(checklistPesertaKemenkeu!$O$6:$O$1005,SMALL(IF(checklistPesertaKemenkeu!$AY$6:$AY$1005="Direkomendasikan",ROW($6:$1005)-5),213)))=1),IFERROR(VLOOKUP(INDEX(checklistPesertaKemenkeu!$O$6:$O$1005,SMALL(IF(checklistPesertaKemenkeu!$AY$6:$AY$1005="Direkomendasikan",ROW($6:$1005)-5),213)),KotaKode,2,0),"-"),"")),"")</f>
        <v/>
      </c>
      <c r="L214" t="str">
        <f t="array" aca="1" ref="L214" ca="1">IFERROR(IF(OR(INDEX(checklistPesertaKemenkeu!$P$6:$P$1005,SMALL(IF(checklistPesertaKemenkeu!$AY$6:$AY$1005="Direkomendasikan",ROW($6:$1005)-5),213))="",INDEX(checklistPesertaKemenkeu!$J$6:$J$1005,SMALL(IF(checklistPesertaKemenkeu!$AY$6:$AY$1005="Direkomendasikan",ROW($6:$1005)-5),213))=""),"",IF(AND(COUNTIF(INDIRECT("K_"&amp;MATCH(INDEX(checklistPesertaKemenkeu!$J$6:$J$1005,SMALL(IF(checklistPesertaKemenkeu!$AY$6:$AY$1005="Direkomendasikan",ROW($6:$1005)-5),213)),BidangList,0)),INDEX(checklistPesertaKemenkeu!$P$6:$P$1005,SMALL(IF(checklistPesertaKemenkeu!$AY$6:$AY$1005="Direkomendasikan",ROW($6:$1005)-5),213)))&gt;0,COUNTIF(INDIRECT("'KERTAS KERJA'!K"&amp;(SMALL(IF(checklistPesertaKemenkeu!$AY$6:$AY$1005="Direkomendasikan",ROW($6:$1005)-5),213)+5)&amp;":O"&amp;(SMALL(IF(checklistPesertaKemenkeu!$AY$6:$AY$1005="Direkomendasikan",ROW($6:$1005)-5),213)+5)),INDEX(checklistPesertaKemenkeu!$P$6:$P$1005,SMALL(IF(checklistPesertaKemenkeu!$AY$6:$AY$1005="Direkomendasikan",ROW($6:$1005)-5),213)))=1),IFERROR(VLOOKUP(INDEX(checklistPesertaKemenkeu!$P$6:$P$1005,SMALL(IF(checklistPesertaKemenkeu!$AY$6:$AY$1005="Direkomendasikan",ROW($6:$1005)-5),213)),KotaKode,2,0),"-"),"")),"")</f>
        <v/>
      </c>
    </row>
    <row r="215" spans="1:12" ht="15" customHeight="1" x14ac:dyDescent="0.2">
      <c r="A215" t="str">
        <f t="shared" si="3"/>
        <v/>
      </c>
      <c r="B215" t="str">
        <v/>
      </c>
      <c r="C215" s="40" t="str">
        <f t="array" ref="C215">IFERROR(INDEX(checklistPesertaKemenkeu!$F$6:$F$1005,SMALL(IF(checklistPesertaKemenkeu!$AY$6:$AY$1005="Direkomendasikan",ROW($6:$1005)-5),214)),"")</f>
        <v/>
      </c>
      <c r="D215" t="str">
        <f t="array" ref="D215">IFERROR(INDEX(checklistPesertaKemenkeu!$G$6:$G$1005,SMALL(IF(checklistPesertaKemenkeu!$AY$6:$AY$1005="Direkomendasikan",ROW($6:$1005)-5),214)),"")</f>
        <v/>
      </c>
      <c r="E215" t="str">
        <f t="array" ref="E215">IFERROR(INDEX(checklistPesertaKemenkeu!$H$6:$H$1005,SMALL(IF(checklistPesertaKemenkeu!$AY$6:$AY$1005="Direkomendasikan",ROW($6:$1005)-5),214)),"")</f>
        <v/>
      </c>
      <c r="F215" t="str">
        <f t="array" ref="F215">IFERROR(INDEX(checklistPesertaKemenkeu!$I$6:$I$1005,SMALL(IF(checklistPesertaKemenkeu!$AY$6:$AY$1005="Direkomendasikan",ROW($6:$1005)-5),214)),"")</f>
        <v/>
      </c>
      <c r="G215" t="str">
        <f t="array" ref="G215">IFERROR(INDEX(checklistPesertaKemenkeu!$J$6:$J$1005,SMALL(IF(checklistPesertaKemenkeu!$AY$6:$AY$1005="Direkomendasikan",ROW($6:$1005)-5),214)),"")</f>
        <v/>
      </c>
      <c r="H215" t="str">
        <f t="array" aca="1" ref="H215" ca="1">IFERROR(IF(OR(INDEX(checklistPesertaKemenkeu!$L$6:$L$1005,SMALL(IF(checklistPesertaKemenkeu!$AY$6:$AY$1005="Direkomendasikan",ROW($6:$1005)-5),214))="",INDEX(checklistPesertaKemenkeu!$J$6:$J$1005,SMALL(IF(checklistPesertaKemenkeu!$AY$6:$AY$1005="Direkomendasikan",ROW($6:$1005)-5),214))=""),"",IF(AND(COUNTIF(INDIRECT("K_"&amp;MATCH(INDEX(checklistPesertaKemenkeu!$J$6:$J$1005,SMALL(IF(checklistPesertaKemenkeu!$AY$6:$AY$1005="Direkomendasikan",ROW($6:$1005)-5),214)),BidangList,0)),INDEX(checklistPesertaKemenkeu!$L$6:$L$1005,SMALL(IF(checklistPesertaKemenkeu!$AY$6:$AY$1005="Direkomendasikan",ROW($6:$1005)-5),214)))&gt;0,COUNTIF(INDIRECT("'KERTAS KERJA'!K"&amp;(SMALL(IF(checklistPesertaKemenkeu!$AY$6:$AY$1005="Direkomendasikan",ROW($6:$1005)-5),214)+5)&amp;":O"&amp;(SMALL(IF(checklistPesertaKemenkeu!$AY$6:$AY$1005="Direkomendasikan",ROW($6:$1005)-5),214)+5)),INDEX(checklistPesertaKemenkeu!$L$6:$L$1005,SMALL(IF(checklistPesertaKemenkeu!$AY$6:$AY$1005="Direkomendasikan",ROW($6:$1005)-5),214)))=1),IFERROR(VLOOKUP(INDEX(checklistPesertaKemenkeu!$L$6:$L$1005,SMALL(IF(checklistPesertaKemenkeu!$AY$6:$AY$1005="Direkomendasikan",ROW($6:$1005)-5),214)),KotaKode,2,0),"-"),"")),"")</f>
        <v/>
      </c>
      <c r="I215" t="str">
        <f t="array" aca="1" ref="I215" ca="1">IFERROR(IF(OR(INDEX(checklistPesertaKemenkeu!$M$6:$M$1005,SMALL(IF(checklistPesertaKemenkeu!$AY$6:$AY$1005="Direkomendasikan",ROW($6:$1005)-5),214))="",INDEX(checklistPesertaKemenkeu!$J$6:$J$1005,SMALL(IF(checklistPesertaKemenkeu!$AY$6:$AY$1005="Direkomendasikan",ROW($6:$1005)-5),214))=""),"",IF(AND(COUNTIF(INDIRECT("K_"&amp;MATCH(INDEX(checklistPesertaKemenkeu!$J$6:$J$1005,SMALL(IF(checklistPesertaKemenkeu!$AY$6:$AY$1005="Direkomendasikan",ROW($6:$1005)-5),214)),BidangList,0)),INDEX(checklistPesertaKemenkeu!$M$6:$M$1005,SMALL(IF(checklistPesertaKemenkeu!$AY$6:$AY$1005="Direkomendasikan",ROW($6:$1005)-5),214)))&gt;0,COUNTIF(INDIRECT("'KERTAS KERJA'!K"&amp;(SMALL(IF(checklistPesertaKemenkeu!$AY$6:$AY$1005="Direkomendasikan",ROW($6:$1005)-5),214)+5)&amp;":O"&amp;(SMALL(IF(checklistPesertaKemenkeu!$AY$6:$AY$1005="Direkomendasikan",ROW($6:$1005)-5),214)+5)),INDEX(checklistPesertaKemenkeu!$M$6:$M$1005,SMALL(IF(checklistPesertaKemenkeu!$AY$6:$AY$1005="Direkomendasikan",ROW($6:$1005)-5),214)))=1),IFERROR(VLOOKUP(INDEX(checklistPesertaKemenkeu!$M$6:$M$1005,SMALL(IF(checklistPesertaKemenkeu!$AY$6:$AY$1005="Direkomendasikan",ROW($6:$1005)-5),214)),KotaKode,2,0),"-"),"")),"")</f>
        <v/>
      </c>
      <c r="J215" t="str">
        <f t="array" aca="1" ref="J215" ca="1">IFERROR(IF(OR(INDEX(checklistPesertaKemenkeu!$N$6:$N$1005,SMALL(IF(checklistPesertaKemenkeu!$AY$6:$AY$1005="Direkomendasikan",ROW($6:$1005)-5),214))="",INDEX(checklistPesertaKemenkeu!$J$6:$J$1005,SMALL(IF(checklistPesertaKemenkeu!$AY$6:$AY$1005="Direkomendasikan",ROW($6:$1005)-5),214))=""),"",IF(AND(COUNTIF(INDIRECT("K_"&amp;MATCH(INDEX(checklistPesertaKemenkeu!$J$6:$J$1005,SMALL(IF(checklistPesertaKemenkeu!$AY$6:$AY$1005="Direkomendasikan",ROW($6:$1005)-5),214)),BidangList,0)),INDEX(checklistPesertaKemenkeu!$N$6:$N$1005,SMALL(IF(checklistPesertaKemenkeu!$AY$6:$AY$1005="Direkomendasikan",ROW($6:$1005)-5),214)))&gt;0,COUNTIF(INDIRECT("'KERTAS KERJA'!K"&amp;(SMALL(IF(checklistPesertaKemenkeu!$AY$6:$AY$1005="Direkomendasikan",ROW($6:$1005)-5),214)+5)&amp;":O"&amp;(SMALL(IF(checklistPesertaKemenkeu!$AY$6:$AY$1005="Direkomendasikan",ROW($6:$1005)-5),214)+5)),INDEX(checklistPesertaKemenkeu!$N$6:$N$1005,SMALL(IF(checklistPesertaKemenkeu!$AY$6:$AY$1005="Direkomendasikan",ROW($6:$1005)-5),214)))=1),IFERROR(VLOOKUP(INDEX(checklistPesertaKemenkeu!$N$6:$N$1005,SMALL(IF(checklistPesertaKemenkeu!$AY$6:$AY$1005="Direkomendasikan",ROW($6:$1005)-5),214)),KotaKode,2,0),"-"),"")),"")</f>
        <v/>
      </c>
      <c r="K215" t="str">
        <f t="array" aca="1" ref="K215" ca="1">IFERROR(IF(OR(INDEX(checklistPesertaKemenkeu!$O$6:$O$1005,SMALL(IF(checklistPesertaKemenkeu!$AY$6:$AY$1005="Direkomendasikan",ROW($6:$1005)-5),214))="",INDEX(checklistPesertaKemenkeu!$J$6:$J$1005,SMALL(IF(checklistPesertaKemenkeu!$AY$6:$AY$1005="Direkomendasikan",ROW($6:$1005)-5),214))=""),"",IF(AND(COUNTIF(INDIRECT("K_"&amp;MATCH(INDEX(checklistPesertaKemenkeu!$J$6:$J$1005,SMALL(IF(checklistPesertaKemenkeu!$AY$6:$AY$1005="Direkomendasikan",ROW($6:$1005)-5),214)),BidangList,0)),INDEX(checklistPesertaKemenkeu!$O$6:$O$1005,SMALL(IF(checklistPesertaKemenkeu!$AY$6:$AY$1005="Direkomendasikan",ROW($6:$1005)-5),214)))&gt;0,COUNTIF(INDIRECT("'KERTAS KERJA'!K"&amp;(SMALL(IF(checklistPesertaKemenkeu!$AY$6:$AY$1005="Direkomendasikan",ROW($6:$1005)-5),214)+5)&amp;":O"&amp;(SMALL(IF(checklistPesertaKemenkeu!$AY$6:$AY$1005="Direkomendasikan",ROW($6:$1005)-5),214)+5)),INDEX(checklistPesertaKemenkeu!$O$6:$O$1005,SMALL(IF(checklistPesertaKemenkeu!$AY$6:$AY$1005="Direkomendasikan",ROW($6:$1005)-5),214)))=1),IFERROR(VLOOKUP(INDEX(checklistPesertaKemenkeu!$O$6:$O$1005,SMALL(IF(checklistPesertaKemenkeu!$AY$6:$AY$1005="Direkomendasikan",ROW($6:$1005)-5),214)),KotaKode,2,0),"-"),"")),"")</f>
        <v/>
      </c>
      <c r="L215" t="str">
        <f t="array" aca="1" ref="L215" ca="1">IFERROR(IF(OR(INDEX(checklistPesertaKemenkeu!$P$6:$P$1005,SMALL(IF(checklistPesertaKemenkeu!$AY$6:$AY$1005="Direkomendasikan",ROW($6:$1005)-5),214))="",INDEX(checklistPesertaKemenkeu!$J$6:$J$1005,SMALL(IF(checklistPesertaKemenkeu!$AY$6:$AY$1005="Direkomendasikan",ROW($6:$1005)-5),214))=""),"",IF(AND(COUNTIF(INDIRECT("K_"&amp;MATCH(INDEX(checklistPesertaKemenkeu!$J$6:$J$1005,SMALL(IF(checklistPesertaKemenkeu!$AY$6:$AY$1005="Direkomendasikan",ROW($6:$1005)-5),214)),BidangList,0)),INDEX(checklistPesertaKemenkeu!$P$6:$P$1005,SMALL(IF(checklistPesertaKemenkeu!$AY$6:$AY$1005="Direkomendasikan",ROW($6:$1005)-5),214)))&gt;0,COUNTIF(INDIRECT("'KERTAS KERJA'!K"&amp;(SMALL(IF(checklistPesertaKemenkeu!$AY$6:$AY$1005="Direkomendasikan",ROW($6:$1005)-5),214)+5)&amp;":O"&amp;(SMALL(IF(checklistPesertaKemenkeu!$AY$6:$AY$1005="Direkomendasikan",ROW($6:$1005)-5),214)+5)),INDEX(checklistPesertaKemenkeu!$P$6:$P$1005,SMALL(IF(checklistPesertaKemenkeu!$AY$6:$AY$1005="Direkomendasikan",ROW($6:$1005)-5),214)))=1),IFERROR(VLOOKUP(INDEX(checklistPesertaKemenkeu!$P$6:$P$1005,SMALL(IF(checklistPesertaKemenkeu!$AY$6:$AY$1005="Direkomendasikan",ROW($6:$1005)-5),214)),KotaKode,2,0),"-"),"")),"")</f>
        <v/>
      </c>
    </row>
    <row r="216" spans="1:12" ht="15" customHeight="1" x14ac:dyDescent="0.2">
      <c r="A216" t="str">
        <f t="shared" si="3"/>
        <v/>
      </c>
      <c r="B216" t="str">
        <v/>
      </c>
      <c r="C216" s="40" t="str">
        <f t="array" ref="C216">IFERROR(INDEX(checklistPesertaKemenkeu!$F$6:$F$1005,SMALL(IF(checklistPesertaKemenkeu!$AY$6:$AY$1005="Direkomendasikan",ROW($6:$1005)-5),215)),"")</f>
        <v/>
      </c>
      <c r="D216" t="str">
        <f t="array" ref="D216">IFERROR(INDEX(checklistPesertaKemenkeu!$G$6:$G$1005,SMALL(IF(checklistPesertaKemenkeu!$AY$6:$AY$1005="Direkomendasikan",ROW($6:$1005)-5),215)),"")</f>
        <v/>
      </c>
      <c r="E216" t="str">
        <f t="array" ref="E216">IFERROR(INDEX(checklistPesertaKemenkeu!$H$6:$H$1005,SMALL(IF(checklistPesertaKemenkeu!$AY$6:$AY$1005="Direkomendasikan",ROW($6:$1005)-5),215)),"")</f>
        <v/>
      </c>
      <c r="F216" t="str">
        <f t="array" ref="F216">IFERROR(INDEX(checklistPesertaKemenkeu!$I$6:$I$1005,SMALL(IF(checklistPesertaKemenkeu!$AY$6:$AY$1005="Direkomendasikan",ROW($6:$1005)-5),215)),"")</f>
        <v/>
      </c>
      <c r="G216" t="str">
        <f t="array" ref="G216">IFERROR(INDEX(checklistPesertaKemenkeu!$J$6:$J$1005,SMALL(IF(checklistPesertaKemenkeu!$AY$6:$AY$1005="Direkomendasikan",ROW($6:$1005)-5),215)),"")</f>
        <v/>
      </c>
      <c r="H216" t="str">
        <f t="array" aca="1" ref="H216" ca="1">IFERROR(IF(OR(INDEX(checklistPesertaKemenkeu!$L$6:$L$1005,SMALL(IF(checklistPesertaKemenkeu!$AY$6:$AY$1005="Direkomendasikan",ROW($6:$1005)-5),215))="",INDEX(checklistPesertaKemenkeu!$J$6:$J$1005,SMALL(IF(checklistPesertaKemenkeu!$AY$6:$AY$1005="Direkomendasikan",ROW($6:$1005)-5),215))=""),"",IF(AND(COUNTIF(INDIRECT("K_"&amp;MATCH(INDEX(checklistPesertaKemenkeu!$J$6:$J$1005,SMALL(IF(checklistPesertaKemenkeu!$AY$6:$AY$1005="Direkomendasikan",ROW($6:$1005)-5),215)),BidangList,0)),INDEX(checklistPesertaKemenkeu!$L$6:$L$1005,SMALL(IF(checklistPesertaKemenkeu!$AY$6:$AY$1005="Direkomendasikan",ROW($6:$1005)-5),215)))&gt;0,COUNTIF(INDIRECT("'KERTAS KERJA'!K"&amp;(SMALL(IF(checklistPesertaKemenkeu!$AY$6:$AY$1005="Direkomendasikan",ROW($6:$1005)-5),215)+5)&amp;":O"&amp;(SMALL(IF(checklistPesertaKemenkeu!$AY$6:$AY$1005="Direkomendasikan",ROW($6:$1005)-5),215)+5)),INDEX(checklistPesertaKemenkeu!$L$6:$L$1005,SMALL(IF(checklistPesertaKemenkeu!$AY$6:$AY$1005="Direkomendasikan",ROW($6:$1005)-5),215)))=1),IFERROR(VLOOKUP(INDEX(checklistPesertaKemenkeu!$L$6:$L$1005,SMALL(IF(checklistPesertaKemenkeu!$AY$6:$AY$1005="Direkomendasikan",ROW($6:$1005)-5),215)),KotaKode,2,0),"-"),"")),"")</f>
        <v/>
      </c>
      <c r="I216" t="str">
        <f t="array" aca="1" ref="I216" ca="1">IFERROR(IF(OR(INDEX(checklistPesertaKemenkeu!$M$6:$M$1005,SMALL(IF(checklistPesertaKemenkeu!$AY$6:$AY$1005="Direkomendasikan",ROW($6:$1005)-5),215))="",INDEX(checklistPesertaKemenkeu!$J$6:$J$1005,SMALL(IF(checklistPesertaKemenkeu!$AY$6:$AY$1005="Direkomendasikan",ROW($6:$1005)-5),215))=""),"",IF(AND(COUNTIF(INDIRECT("K_"&amp;MATCH(INDEX(checklistPesertaKemenkeu!$J$6:$J$1005,SMALL(IF(checklistPesertaKemenkeu!$AY$6:$AY$1005="Direkomendasikan",ROW($6:$1005)-5),215)),BidangList,0)),INDEX(checklistPesertaKemenkeu!$M$6:$M$1005,SMALL(IF(checklistPesertaKemenkeu!$AY$6:$AY$1005="Direkomendasikan",ROW($6:$1005)-5),215)))&gt;0,COUNTIF(INDIRECT("'KERTAS KERJA'!K"&amp;(SMALL(IF(checklistPesertaKemenkeu!$AY$6:$AY$1005="Direkomendasikan",ROW($6:$1005)-5),215)+5)&amp;":O"&amp;(SMALL(IF(checklistPesertaKemenkeu!$AY$6:$AY$1005="Direkomendasikan",ROW($6:$1005)-5),215)+5)),INDEX(checklistPesertaKemenkeu!$M$6:$M$1005,SMALL(IF(checklistPesertaKemenkeu!$AY$6:$AY$1005="Direkomendasikan",ROW($6:$1005)-5),215)))=1),IFERROR(VLOOKUP(INDEX(checklistPesertaKemenkeu!$M$6:$M$1005,SMALL(IF(checklistPesertaKemenkeu!$AY$6:$AY$1005="Direkomendasikan",ROW($6:$1005)-5),215)),KotaKode,2,0),"-"),"")),"")</f>
        <v/>
      </c>
      <c r="J216" t="str">
        <f t="array" aca="1" ref="J216" ca="1">IFERROR(IF(OR(INDEX(checklistPesertaKemenkeu!$N$6:$N$1005,SMALL(IF(checklistPesertaKemenkeu!$AY$6:$AY$1005="Direkomendasikan",ROW($6:$1005)-5),215))="",INDEX(checklistPesertaKemenkeu!$J$6:$J$1005,SMALL(IF(checklistPesertaKemenkeu!$AY$6:$AY$1005="Direkomendasikan",ROW($6:$1005)-5),215))=""),"",IF(AND(COUNTIF(INDIRECT("K_"&amp;MATCH(INDEX(checklistPesertaKemenkeu!$J$6:$J$1005,SMALL(IF(checklistPesertaKemenkeu!$AY$6:$AY$1005="Direkomendasikan",ROW($6:$1005)-5),215)),BidangList,0)),INDEX(checklistPesertaKemenkeu!$N$6:$N$1005,SMALL(IF(checklistPesertaKemenkeu!$AY$6:$AY$1005="Direkomendasikan",ROW($6:$1005)-5),215)))&gt;0,COUNTIF(INDIRECT("'KERTAS KERJA'!K"&amp;(SMALL(IF(checklistPesertaKemenkeu!$AY$6:$AY$1005="Direkomendasikan",ROW($6:$1005)-5),215)+5)&amp;":O"&amp;(SMALL(IF(checklistPesertaKemenkeu!$AY$6:$AY$1005="Direkomendasikan",ROW($6:$1005)-5),215)+5)),INDEX(checklistPesertaKemenkeu!$N$6:$N$1005,SMALL(IF(checklistPesertaKemenkeu!$AY$6:$AY$1005="Direkomendasikan",ROW($6:$1005)-5),215)))=1),IFERROR(VLOOKUP(INDEX(checklistPesertaKemenkeu!$N$6:$N$1005,SMALL(IF(checklistPesertaKemenkeu!$AY$6:$AY$1005="Direkomendasikan",ROW($6:$1005)-5),215)),KotaKode,2,0),"-"),"")),"")</f>
        <v/>
      </c>
      <c r="K216" t="str">
        <f t="array" aca="1" ref="K216" ca="1">IFERROR(IF(OR(INDEX(checklistPesertaKemenkeu!$O$6:$O$1005,SMALL(IF(checklistPesertaKemenkeu!$AY$6:$AY$1005="Direkomendasikan",ROW($6:$1005)-5),215))="",INDEX(checklistPesertaKemenkeu!$J$6:$J$1005,SMALL(IF(checklistPesertaKemenkeu!$AY$6:$AY$1005="Direkomendasikan",ROW($6:$1005)-5),215))=""),"",IF(AND(COUNTIF(INDIRECT("K_"&amp;MATCH(INDEX(checklistPesertaKemenkeu!$J$6:$J$1005,SMALL(IF(checklistPesertaKemenkeu!$AY$6:$AY$1005="Direkomendasikan",ROW($6:$1005)-5),215)),BidangList,0)),INDEX(checklistPesertaKemenkeu!$O$6:$O$1005,SMALL(IF(checklistPesertaKemenkeu!$AY$6:$AY$1005="Direkomendasikan",ROW($6:$1005)-5),215)))&gt;0,COUNTIF(INDIRECT("'KERTAS KERJA'!K"&amp;(SMALL(IF(checklistPesertaKemenkeu!$AY$6:$AY$1005="Direkomendasikan",ROW($6:$1005)-5),215)+5)&amp;":O"&amp;(SMALL(IF(checklistPesertaKemenkeu!$AY$6:$AY$1005="Direkomendasikan",ROW($6:$1005)-5),215)+5)),INDEX(checklistPesertaKemenkeu!$O$6:$O$1005,SMALL(IF(checklistPesertaKemenkeu!$AY$6:$AY$1005="Direkomendasikan",ROW($6:$1005)-5),215)))=1),IFERROR(VLOOKUP(INDEX(checklistPesertaKemenkeu!$O$6:$O$1005,SMALL(IF(checklistPesertaKemenkeu!$AY$6:$AY$1005="Direkomendasikan",ROW($6:$1005)-5),215)),KotaKode,2,0),"-"),"")),"")</f>
        <v/>
      </c>
      <c r="L216" t="str">
        <f t="array" aca="1" ref="L216" ca="1">IFERROR(IF(OR(INDEX(checklistPesertaKemenkeu!$P$6:$P$1005,SMALL(IF(checklistPesertaKemenkeu!$AY$6:$AY$1005="Direkomendasikan",ROW($6:$1005)-5),215))="",INDEX(checklistPesertaKemenkeu!$J$6:$J$1005,SMALL(IF(checklistPesertaKemenkeu!$AY$6:$AY$1005="Direkomendasikan",ROW($6:$1005)-5),215))=""),"",IF(AND(COUNTIF(INDIRECT("K_"&amp;MATCH(INDEX(checklistPesertaKemenkeu!$J$6:$J$1005,SMALL(IF(checklistPesertaKemenkeu!$AY$6:$AY$1005="Direkomendasikan",ROW($6:$1005)-5),215)),BidangList,0)),INDEX(checklistPesertaKemenkeu!$P$6:$P$1005,SMALL(IF(checklistPesertaKemenkeu!$AY$6:$AY$1005="Direkomendasikan",ROW($6:$1005)-5),215)))&gt;0,COUNTIF(INDIRECT("'KERTAS KERJA'!K"&amp;(SMALL(IF(checklistPesertaKemenkeu!$AY$6:$AY$1005="Direkomendasikan",ROW($6:$1005)-5),215)+5)&amp;":O"&amp;(SMALL(IF(checklistPesertaKemenkeu!$AY$6:$AY$1005="Direkomendasikan",ROW($6:$1005)-5),215)+5)),INDEX(checklistPesertaKemenkeu!$P$6:$P$1005,SMALL(IF(checklistPesertaKemenkeu!$AY$6:$AY$1005="Direkomendasikan",ROW($6:$1005)-5),215)))=1),IFERROR(VLOOKUP(INDEX(checklistPesertaKemenkeu!$P$6:$P$1005,SMALL(IF(checklistPesertaKemenkeu!$AY$6:$AY$1005="Direkomendasikan",ROW($6:$1005)-5),215)),KotaKode,2,0),"-"),"")),"")</f>
        <v/>
      </c>
    </row>
    <row r="217" spans="1:12" ht="15" customHeight="1" x14ac:dyDescent="0.2">
      <c r="A217" t="str">
        <f t="shared" si="3"/>
        <v/>
      </c>
      <c r="B217" t="str">
        <v/>
      </c>
      <c r="C217" s="40" t="str">
        <f t="array" ref="C217">IFERROR(INDEX(checklistPesertaKemenkeu!$F$6:$F$1005,SMALL(IF(checklistPesertaKemenkeu!$AY$6:$AY$1005="Direkomendasikan",ROW($6:$1005)-5),216)),"")</f>
        <v/>
      </c>
      <c r="D217" t="str">
        <f t="array" ref="D217">IFERROR(INDEX(checklistPesertaKemenkeu!$G$6:$G$1005,SMALL(IF(checklistPesertaKemenkeu!$AY$6:$AY$1005="Direkomendasikan",ROW($6:$1005)-5),216)),"")</f>
        <v/>
      </c>
      <c r="E217" t="str">
        <f t="array" ref="E217">IFERROR(INDEX(checklistPesertaKemenkeu!$H$6:$H$1005,SMALL(IF(checklistPesertaKemenkeu!$AY$6:$AY$1005="Direkomendasikan",ROW($6:$1005)-5),216)),"")</f>
        <v/>
      </c>
      <c r="F217" t="str">
        <f t="array" ref="F217">IFERROR(INDEX(checklistPesertaKemenkeu!$I$6:$I$1005,SMALL(IF(checklistPesertaKemenkeu!$AY$6:$AY$1005="Direkomendasikan",ROW($6:$1005)-5),216)),"")</f>
        <v/>
      </c>
      <c r="G217" t="str">
        <f t="array" ref="G217">IFERROR(INDEX(checklistPesertaKemenkeu!$J$6:$J$1005,SMALL(IF(checklistPesertaKemenkeu!$AY$6:$AY$1005="Direkomendasikan",ROW($6:$1005)-5),216)),"")</f>
        <v/>
      </c>
      <c r="H217" t="str">
        <f t="array" aca="1" ref="H217" ca="1">IFERROR(IF(OR(INDEX(checklistPesertaKemenkeu!$L$6:$L$1005,SMALL(IF(checklistPesertaKemenkeu!$AY$6:$AY$1005="Direkomendasikan",ROW($6:$1005)-5),216))="",INDEX(checklistPesertaKemenkeu!$J$6:$J$1005,SMALL(IF(checklistPesertaKemenkeu!$AY$6:$AY$1005="Direkomendasikan",ROW($6:$1005)-5),216))=""),"",IF(AND(COUNTIF(INDIRECT("K_"&amp;MATCH(INDEX(checklistPesertaKemenkeu!$J$6:$J$1005,SMALL(IF(checklistPesertaKemenkeu!$AY$6:$AY$1005="Direkomendasikan",ROW($6:$1005)-5),216)),BidangList,0)),INDEX(checklistPesertaKemenkeu!$L$6:$L$1005,SMALL(IF(checklistPesertaKemenkeu!$AY$6:$AY$1005="Direkomendasikan",ROW($6:$1005)-5),216)))&gt;0,COUNTIF(INDIRECT("'KERTAS KERJA'!K"&amp;(SMALL(IF(checklistPesertaKemenkeu!$AY$6:$AY$1005="Direkomendasikan",ROW($6:$1005)-5),216)+5)&amp;":O"&amp;(SMALL(IF(checklistPesertaKemenkeu!$AY$6:$AY$1005="Direkomendasikan",ROW($6:$1005)-5),216)+5)),INDEX(checklistPesertaKemenkeu!$L$6:$L$1005,SMALL(IF(checklistPesertaKemenkeu!$AY$6:$AY$1005="Direkomendasikan",ROW($6:$1005)-5),216)))=1),IFERROR(VLOOKUP(INDEX(checklistPesertaKemenkeu!$L$6:$L$1005,SMALL(IF(checklistPesertaKemenkeu!$AY$6:$AY$1005="Direkomendasikan",ROW($6:$1005)-5),216)),KotaKode,2,0),"-"),"")),"")</f>
        <v/>
      </c>
      <c r="I217" t="str">
        <f t="array" aca="1" ref="I217" ca="1">IFERROR(IF(OR(INDEX(checklistPesertaKemenkeu!$M$6:$M$1005,SMALL(IF(checklistPesertaKemenkeu!$AY$6:$AY$1005="Direkomendasikan",ROW($6:$1005)-5),216))="",INDEX(checklistPesertaKemenkeu!$J$6:$J$1005,SMALL(IF(checklistPesertaKemenkeu!$AY$6:$AY$1005="Direkomendasikan",ROW($6:$1005)-5),216))=""),"",IF(AND(COUNTIF(INDIRECT("K_"&amp;MATCH(INDEX(checklistPesertaKemenkeu!$J$6:$J$1005,SMALL(IF(checklistPesertaKemenkeu!$AY$6:$AY$1005="Direkomendasikan",ROW($6:$1005)-5),216)),BidangList,0)),INDEX(checklistPesertaKemenkeu!$M$6:$M$1005,SMALL(IF(checklistPesertaKemenkeu!$AY$6:$AY$1005="Direkomendasikan",ROW($6:$1005)-5),216)))&gt;0,COUNTIF(INDIRECT("'KERTAS KERJA'!K"&amp;(SMALL(IF(checklistPesertaKemenkeu!$AY$6:$AY$1005="Direkomendasikan",ROW($6:$1005)-5),216)+5)&amp;":O"&amp;(SMALL(IF(checklistPesertaKemenkeu!$AY$6:$AY$1005="Direkomendasikan",ROW($6:$1005)-5),216)+5)),INDEX(checklistPesertaKemenkeu!$M$6:$M$1005,SMALL(IF(checklistPesertaKemenkeu!$AY$6:$AY$1005="Direkomendasikan",ROW($6:$1005)-5),216)))=1),IFERROR(VLOOKUP(INDEX(checklistPesertaKemenkeu!$M$6:$M$1005,SMALL(IF(checklistPesertaKemenkeu!$AY$6:$AY$1005="Direkomendasikan",ROW($6:$1005)-5),216)),KotaKode,2,0),"-"),"")),"")</f>
        <v/>
      </c>
      <c r="J217" t="str">
        <f t="array" aca="1" ref="J217" ca="1">IFERROR(IF(OR(INDEX(checklistPesertaKemenkeu!$N$6:$N$1005,SMALL(IF(checklistPesertaKemenkeu!$AY$6:$AY$1005="Direkomendasikan",ROW($6:$1005)-5),216))="",INDEX(checklistPesertaKemenkeu!$J$6:$J$1005,SMALL(IF(checklistPesertaKemenkeu!$AY$6:$AY$1005="Direkomendasikan",ROW($6:$1005)-5),216))=""),"",IF(AND(COUNTIF(INDIRECT("K_"&amp;MATCH(INDEX(checklistPesertaKemenkeu!$J$6:$J$1005,SMALL(IF(checklistPesertaKemenkeu!$AY$6:$AY$1005="Direkomendasikan",ROW($6:$1005)-5),216)),BidangList,0)),INDEX(checklistPesertaKemenkeu!$N$6:$N$1005,SMALL(IF(checklistPesertaKemenkeu!$AY$6:$AY$1005="Direkomendasikan",ROW($6:$1005)-5),216)))&gt;0,COUNTIF(INDIRECT("'KERTAS KERJA'!K"&amp;(SMALL(IF(checklistPesertaKemenkeu!$AY$6:$AY$1005="Direkomendasikan",ROW($6:$1005)-5),216)+5)&amp;":O"&amp;(SMALL(IF(checklistPesertaKemenkeu!$AY$6:$AY$1005="Direkomendasikan",ROW($6:$1005)-5),216)+5)),INDEX(checklistPesertaKemenkeu!$N$6:$N$1005,SMALL(IF(checklistPesertaKemenkeu!$AY$6:$AY$1005="Direkomendasikan",ROW($6:$1005)-5),216)))=1),IFERROR(VLOOKUP(INDEX(checklistPesertaKemenkeu!$N$6:$N$1005,SMALL(IF(checklistPesertaKemenkeu!$AY$6:$AY$1005="Direkomendasikan",ROW($6:$1005)-5),216)),KotaKode,2,0),"-"),"")),"")</f>
        <v/>
      </c>
      <c r="K217" t="str">
        <f t="array" aca="1" ref="K217" ca="1">IFERROR(IF(OR(INDEX(checklistPesertaKemenkeu!$O$6:$O$1005,SMALL(IF(checklistPesertaKemenkeu!$AY$6:$AY$1005="Direkomendasikan",ROW($6:$1005)-5),216))="",INDEX(checklistPesertaKemenkeu!$J$6:$J$1005,SMALL(IF(checklistPesertaKemenkeu!$AY$6:$AY$1005="Direkomendasikan",ROW($6:$1005)-5),216))=""),"",IF(AND(COUNTIF(INDIRECT("K_"&amp;MATCH(INDEX(checklistPesertaKemenkeu!$J$6:$J$1005,SMALL(IF(checklistPesertaKemenkeu!$AY$6:$AY$1005="Direkomendasikan",ROW($6:$1005)-5),216)),BidangList,0)),INDEX(checklistPesertaKemenkeu!$O$6:$O$1005,SMALL(IF(checklistPesertaKemenkeu!$AY$6:$AY$1005="Direkomendasikan",ROW($6:$1005)-5),216)))&gt;0,COUNTIF(INDIRECT("'KERTAS KERJA'!K"&amp;(SMALL(IF(checklistPesertaKemenkeu!$AY$6:$AY$1005="Direkomendasikan",ROW($6:$1005)-5),216)+5)&amp;":O"&amp;(SMALL(IF(checklistPesertaKemenkeu!$AY$6:$AY$1005="Direkomendasikan",ROW($6:$1005)-5),216)+5)),INDEX(checklistPesertaKemenkeu!$O$6:$O$1005,SMALL(IF(checklistPesertaKemenkeu!$AY$6:$AY$1005="Direkomendasikan",ROW($6:$1005)-5),216)))=1),IFERROR(VLOOKUP(INDEX(checklistPesertaKemenkeu!$O$6:$O$1005,SMALL(IF(checklistPesertaKemenkeu!$AY$6:$AY$1005="Direkomendasikan",ROW($6:$1005)-5),216)),KotaKode,2,0),"-"),"")),"")</f>
        <v/>
      </c>
      <c r="L217" t="str">
        <f t="array" aca="1" ref="L217" ca="1">IFERROR(IF(OR(INDEX(checklistPesertaKemenkeu!$P$6:$P$1005,SMALL(IF(checklistPesertaKemenkeu!$AY$6:$AY$1005="Direkomendasikan",ROW($6:$1005)-5),216))="",INDEX(checklistPesertaKemenkeu!$J$6:$J$1005,SMALL(IF(checklistPesertaKemenkeu!$AY$6:$AY$1005="Direkomendasikan",ROW($6:$1005)-5),216))=""),"",IF(AND(COUNTIF(INDIRECT("K_"&amp;MATCH(INDEX(checklistPesertaKemenkeu!$J$6:$J$1005,SMALL(IF(checklistPesertaKemenkeu!$AY$6:$AY$1005="Direkomendasikan",ROW($6:$1005)-5),216)),BidangList,0)),INDEX(checklistPesertaKemenkeu!$P$6:$P$1005,SMALL(IF(checklistPesertaKemenkeu!$AY$6:$AY$1005="Direkomendasikan",ROW($6:$1005)-5),216)))&gt;0,COUNTIF(INDIRECT("'KERTAS KERJA'!K"&amp;(SMALL(IF(checklistPesertaKemenkeu!$AY$6:$AY$1005="Direkomendasikan",ROW($6:$1005)-5),216)+5)&amp;":O"&amp;(SMALL(IF(checklistPesertaKemenkeu!$AY$6:$AY$1005="Direkomendasikan",ROW($6:$1005)-5),216)+5)),INDEX(checklistPesertaKemenkeu!$P$6:$P$1005,SMALL(IF(checklistPesertaKemenkeu!$AY$6:$AY$1005="Direkomendasikan",ROW($6:$1005)-5),216)))=1),IFERROR(VLOOKUP(INDEX(checklistPesertaKemenkeu!$P$6:$P$1005,SMALL(IF(checklistPesertaKemenkeu!$AY$6:$AY$1005="Direkomendasikan",ROW($6:$1005)-5),216)),KotaKode,2,0),"-"),"")),"")</f>
        <v/>
      </c>
    </row>
    <row r="218" spans="1:12" ht="15" customHeight="1" x14ac:dyDescent="0.2">
      <c r="A218" t="str">
        <f t="shared" si="3"/>
        <v/>
      </c>
      <c r="B218" t="str">
        <v/>
      </c>
      <c r="C218" s="40" t="str">
        <f t="array" ref="C218">IFERROR(INDEX(checklistPesertaKemenkeu!$F$6:$F$1005,SMALL(IF(checklistPesertaKemenkeu!$AY$6:$AY$1005="Direkomendasikan",ROW($6:$1005)-5),217)),"")</f>
        <v/>
      </c>
      <c r="D218" t="str">
        <f t="array" ref="D218">IFERROR(INDEX(checklistPesertaKemenkeu!$G$6:$G$1005,SMALL(IF(checklistPesertaKemenkeu!$AY$6:$AY$1005="Direkomendasikan",ROW($6:$1005)-5),217)),"")</f>
        <v/>
      </c>
      <c r="E218" t="str">
        <f t="array" ref="E218">IFERROR(INDEX(checklistPesertaKemenkeu!$H$6:$H$1005,SMALL(IF(checklistPesertaKemenkeu!$AY$6:$AY$1005="Direkomendasikan",ROW($6:$1005)-5),217)),"")</f>
        <v/>
      </c>
      <c r="F218" t="str">
        <f t="array" ref="F218">IFERROR(INDEX(checklistPesertaKemenkeu!$I$6:$I$1005,SMALL(IF(checklistPesertaKemenkeu!$AY$6:$AY$1005="Direkomendasikan",ROW($6:$1005)-5),217)),"")</f>
        <v/>
      </c>
      <c r="G218" t="str">
        <f t="array" ref="G218">IFERROR(INDEX(checklistPesertaKemenkeu!$J$6:$J$1005,SMALL(IF(checklistPesertaKemenkeu!$AY$6:$AY$1005="Direkomendasikan",ROW($6:$1005)-5),217)),"")</f>
        <v/>
      </c>
      <c r="H218" t="str">
        <f t="array" aca="1" ref="H218" ca="1">IFERROR(IF(OR(INDEX(checklistPesertaKemenkeu!$L$6:$L$1005,SMALL(IF(checklistPesertaKemenkeu!$AY$6:$AY$1005="Direkomendasikan",ROW($6:$1005)-5),217))="",INDEX(checklistPesertaKemenkeu!$J$6:$J$1005,SMALL(IF(checklistPesertaKemenkeu!$AY$6:$AY$1005="Direkomendasikan",ROW($6:$1005)-5),217))=""),"",IF(AND(COUNTIF(INDIRECT("K_"&amp;MATCH(INDEX(checklistPesertaKemenkeu!$J$6:$J$1005,SMALL(IF(checklistPesertaKemenkeu!$AY$6:$AY$1005="Direkomendasikan",ROW($6:$1005)-5),217)),BidangList,0)),INDEX(checklistPesertaKemenkeu!$L$6:$L$1005,SMALL(IF(checklistPesertaKemenkeu!$AY$6:$AY$1005="Direkomendasikan",ROW($6:$1005)-5),217)))&gt;0,COUNTIF(INDIRECT("'KERTAS KERJA'!K"&amp;(SMALL(IF(checklistPesertaKemenkeu!$AY$6:$AY$1005="Direkomendasikan",ROW($6:$1005)-5),217)+5)&amp;":O"&amp;(SMALL(IF(checklistPesertaKemenkeu!$AY$6:$AY$1005="Direkomendasikan",ROW($6:$1005)-5),217)+5)),INDEX(checklistPesertaKemenkeu!$L$6:$L$1005,SMALL(IF(checklistPesertaKemenkeu!$AY$6:$AY$1005="Direkomendasikan",ROW($6:$1005)-5),217)))=1),IFERROR(VLOOKUP(INDEX(checklistPesertaKemenkeu!$L$6:$L$1005,SMALL(IF(checklistPesertaKemenkeu!$AY$6:$AY$1005="Direkomendasikan",ROW($6:$1005)-5),217)),KotaKode,2,0),"-"),"")),"")</f>
        <v/>
      </c>
      <c r="I218" t="str">
        <f t="array" aca="1" ref="I218" ca="1">IFERROR(IF(OR(INDEX(checklistPesertaKemenkeu!$M$6:$M$1005,SMALL(IF(checklistPesertaKemenkeu!$AY$6:$AY$1005="Direkomendasikan",ROW($6:$1005)-5),217))="",INDEX(checklistPesertaKemenkeu!$J$6:$J$1005,SMALL(IF(checklistPesertaKemenkeu!$AY$6:$AY$1005="Direkomendasikan",ROW($6:$1005)-5),217))=""),"",IF(AND(COUNTIF(INDIRECT("K_"&amp;MATCH(INDEX(checklistPesertaKemenkeu!$J$6:$J$1005,SMALL(IF(checklistPesertaKemenkeu!$AY$6:$AY$1005="Direkomendasikan",ROW($6:$1005)-5),217)),BidangList,0)),INDEX(checklistPesertaKemenkeu!$M$6:$M$1005,SMALL(IF(checklistPesertaKemenkeu!$AY$6:$AY$1005="Direkomendasikan",ROW($6:$1005)-5),217)))&gt;0,COUNTIF(INDIRECT("'KERTAS KERJA'!K"&amp;(SMALL(IF(checklistPesertaKemenkeu!$AY$6:$AY$1005="Direkomendasikan",ROW($6:$1005)-5),217)+5)&amp;":O"&amp;(SMALL(IF(checklistPesertaKemenkeu!$AY$6:$AY$1005="Direkomendasikan",ROW($6:$1005)-5),217)+5)),INDEX(checklistPesertaKemenkeu!$M$6:$M$1005,SMALL(IF(checklistPesertaKemenkeu!$AY$6:$AY$1005="Direkomendasikan",ROW($6:$1005)-5),217)))=1),IFERROR(VLOOKUP(INDEX(checklistPesertaKemenkeu!$M$6:$M$1005,SMALL(IF(checklistPesertaKemenkeu!$AY$6:$AY$1005="Direkomendasikan",ROW($6:$1005)-5),217)),KotaKode,2,0),"-"),"")),"")</f>
        <v/>
      </c>
      <c r="J218" t="str">
        <f t="array" aca="1" ref="J218" ca="1">IFERROR(IF(OR(INDEX(checklistPesertaKemenkeu!$N$6:$N$1005,SMALL(IF(checklistPesertaKemenkeu!$AY$6:$AY$1005="Direkomendasikan",ROW($6:$1005)-5),217))="",INDEX(checklistPesertaKemenkeu!$J$6:$J$1005,SMALL(IF(checklistPesertaKemenkeu!$AY$6:$AY$1005="Direkomendasikan",ROW($6:$1005)-5),217))=""),"",IF(AND(COUNTIF(INDIRECT("K_"&amp;MATCH(INDEX(checklistPesertaKemenkeu!$J$6:$J$1005,SMALL(IF(checklistPesertaKemenkeu!$AY$6:$AY$1005="Direkomendasikan",ROW($6:$1005)-5),217)),BidangList,0)),INDEX(checklistPesertaKemenkeu!$N$6:$N$1005,SMALL(IF(checklistPesertaKemenkeu!$AY$6:$AY$1005="Direkomendasikan",ROW($6:$1005)-5),217)))&gt;0,COUNTIF(INDIRECT("'KERTAS KERJA'!K"&amp;(SMALL(IF(checklistPesertaKemenkeu!$AY$6:$AY$1005="Direkomendasikan",ROW($6:$1005)-5),217)+5)&amp;":O"&amp;(SMALL(IF(checklistPesertaKemenkeu!$AY$6:$AY$1005="Direkomendasikan",ROW($6:$1005)-5),217)+5)),INDEX(checklistPesertaKemenkeu!$N$6:$N$1005,SMALL(IF(checklistPesertaKemenkeu!$AY$6:$AY$1005="Direkomendasikan",ROW($6:$1005)-5),217)))=1),IFERROR(VLOOKUP(INDEX(checklistPesertaKemenkeu!$N$6:$N$1005,SMALL(IF(checklistPesertaKemenkeu!$AY$6:$AY$1005="Direkomendasikan",ROW($6:$1005)-5),217)),KotaKode,2,0),"-"),"")),"")</f>
        <v/>
      </c>
      <c r="K218" t="str">
        <f t="array" aca="1" ref="K218" ca="1">IFERROR(IF(OR(INDEX(checklistPesertaKemenkeu!$O$6:$O$1005,SMALL(IF(checklistPesertaKemenkeu!$AY$6:$AY$1005="Direkomendasikan",ROW($6:$1005)-5),217))="",INDEX(checklistPesertaKemenkeu!$J$6:$J$1005,SMALL(IF(checklistPesertaKemenkeu!$AY$6:$AY$1005="Direkomendasikan",ROW($6:$1005)-5),217))=""),"",IF(AND(COUNTIF(INDIRECT("K_"&amp;MATCH(INDEX(checklistPesertaKemenkeu!$J$6:$J$1005,SMALL(IF(checklistPesertaKemenkeu!$AY$6:$AY$1005="Direkomendasikan",ROW($6:$1005)-5),217)),BidangList,0)),INDEX(checklistPesertaKemenkeu!$O$6:$O$1005,SMALL(IF(checklistPesertaKemenkeu!$AY$6:$AY$1005="Direkomendasikan",ROW($6:$1005)-5),217)))&gt;0,COUNTIF(INDIRECT("'KERTAS KERJA'!K"&amp;(SMALL(IF(checklistPesertaKemenkeu!$AY$6:$AY$1005="Direkomendasikan",ROW($6:$1005)-5),217)+5)&amp;":O"&amp;(SMALL(IF(checklistPesertaKemenkeu!$AY$6:$AY$1005="Direkomendasikan",ROW($6:$1005)-5),217)+5)),INDEX(checklistPesertaKemenkeu!$O$6:$O$1005,SMALL(IF(checklistPesertaKemenkeu!$AY$6:$AY$1005="Direkomendasikan",ROW($6:$1005)-5),217)))=1),IFERROR(VLOOKUP(INDEX(checklistPesertaKemenkeu!$O$6:$O$1005,SMALL(IF(checklistPesertaKemenkeu!$AY$6:$AY$1005="Direkomendasikan",ROW($6:$1005)-5),217)),KotaKode,2,0),"-"),"")),"")</f>
        <v/>
      </c>
      <c r="L218" t="str">
        <f t="array" aca="1" ref="L218" ca="1">IFERROR(IF(OR(INDEX(checklistPesertaKemenkeu!$P$6:$P$1005,SMALL(IF(checklistPesertaKemenkeu!$AY$6:$AY$1005="Direkomendasikan",ROW($6:$1005)-5),217))="",INDEX(checklistPesertaKemenkeu!$J$6:$J$1005,SMALL(IF(checklistPesertaKemenkeu!$AY$6:$AY$1005="Direkomendasikan",ROW($6:$1005)-5),217))=""),"",IF(AND(COUNTIF(INDIRECT("K_"&amp;MATCH(INDEX(checklistPesertaKemenkeu!$J$6:$J$1005,SMALL(IF(checklistPesertaKemenkeu!$AY$6:$AY$1005="Direkomendasikan",ROW($6:$1005)-5),217)),BidangList,0)),INDEX(checklistPesertaKemenkeu!$P$6:$P$1005,SMALL(IF(checklistPesertaKemenkeu!$AY$6:$AY$1005="Direkomendasikan",ROW($6:$1005)-5),217)))&gt;0,COUNTIF(INDIRECT("'KERTAS KERJA'!K"&amp;(SMALL(IF(checklistPesertaKemenkeu!$AY$6:$AY$1005="Direkomendasikan",ROW($6:$1005)-5),217)+5)&amp;":O"&amp;(SMALL(IF(checklistPesertaKemenkeu!$AY$6:$AY$1005="Direkomendasikan",ROW($6:$1005)-5),217)+5)),INDEX(checklistPesertaKemenkeu!$P$6:$P$1005,SMALL(IF(checklistPesertaKemenkeu!$AY$6:$AY$1005="Direkomendasikan",ROW($6:$1005)-5),217)))=1),IFERROR(VLOOKUP(INDEX(checklistPesertaKemenkeu!$P$6:$P$1005,SMALL(IF(checklistPesertaKemenkeu!$AY$6:$AY$1005="Direkomendasikan",ROW($6:$1005)-5),217)),KotaKode,2,0),"-"),"")),"")</f>
        <v/>
      </c>
    </row>
    <row r="219" spans="1:12" ht="15" customHeight="1" x14ac:dyDescent="0.2">
      <c r="A219" t="str">
        <f t="shared" si="3"/>
        <v/>
      </c>
      <c r="B219" t="str">
        <v/>
      </c>
      <c r="C219" s="40" t="str">
        <f t="array" ref="C219">IFERROR(INDEX(checklistPesertaKemenkeu!$F$6:$F$1005,SMALL(IF(checklistPesertaKemenkeu!$AY$6:$AY$1005="Direkomendasikan",ROW($6:$1005)-5),218)),"")</f>
        <v/>
      </c>
      <c r="D219" t="str">
        <f t="array" ref="D219">IFERROR(INDEX(checklistPesertaKemenkeu!$G$6:$G$1005,SMALL(IF(checklistPesertaKemenkeu!$AY$6:$AY$1005="Direkomendasikan",ROW($6:$1005)-5),218)),"")</f>
        <v/>
      </c>
      <c r="E219" t="str">
        <f t="array" ref="E219">IFERROR(INDEX(checklistPesertaKemenkeu!$H$6:$H$1005,SMALL(IF(checklistPesertaKemenkeu!$AY$6:$AY$1005="Direkomendasikan",ROW($6:$1005)-5),218)),"")</f>
        <v/>
      </c>
      <c r="F219" t="str">
        <f t="array" ref="F219">IFERROR(INDEX(checklistPesertaKemenkeu!$I$6:$I$1005,SMALL(IF(checklistPesertaKemenkeu!$AY$6:$AY$1005="Direkomendasikan",ROW($6:$1005)-5),218)),"")</f>
        <v/>
      </c>
      <c r="G219" t="str">
        <f t="array" ref="G219">IFERROR(INDEX(checklistPesertaKemenkeu!$J$6:$J$1005,SMALL(IF(checklistPesertaKemenkeu!$AY$6:$AY$1005="Direkomendasikan",ROW($6:$1005)-5),218)),"")</f>
        <v/>
      </c>
      <c r="H219" t="str">
        <f t="array" aca="1" ref="H219" ca="1">IFERROR(IF(OR(INDEX(checklistPesertaKemenkeu!$L$6:$L$1005,SMALL(IF(checklistPesertaKemenkeu!$AY$6:$AY$1005="Direkomendasikan",ROW($6:$1005)-5),218))="",INDEX(checklistPesertaKemenkeu!$J$6:$J$1005,SMALL(IF(checklistPesertaKemenkeu!$AY$6:$AY$1005="Direkomendasikan",ROW($6:$1005)-5),218))=""),"",IF(AND(COUNTIF(INDIRECT("K_"&amp;MATCH(INDEX(checklistPesertaKemenkeu!$J$6:$J$1005,SMALL(IF(checklistPesertaKemenkeu!$AY$6:$AY$1005="Direkomendasikan",ROW($6:$1005)-5),218)),BidangList,0)),INDEX(checklistPesertaKemenkeu!$L$6:$L$1005,SMALL(IF(checklistPesertaKemenkeu!$AY$6:$AY$1005="Direkomendasikan",ROW($6:$1005)-5),218)))&gt;0,COUNTIF(INDIRECT("'KERTAS KERJA'!K"&amp;(SMALL(IF(checklistPesertaKemenkeu!$AY$6:$AY$1005="Direkomendasikan",ROW($6:$1005)-5),218)+5)&amp;":O"&amp;(SMALL(IF(checklistPesertaKemenkeu!$AY$6:$AY$1005="Direkomendasikan",ROW($6:$1005)-5),218)+5)),INDEX(checklistPesertaKemenkeu!$L$6:$L$1005,SMALL(IF(checklistPesertaKemenkeu!$AY$6:$AY$1005="Direkomendasikan",ROW($6:$1005)-5),218)))=1),IFERROR(VLOOKUP(INDEX(checklistPesertaKemenkeu!$L$6:$L$1005,SMALL(IF(checklistPesertaKemenkeu!$AY$6:$AY$1005="Direkomendasikan",ROW($6:$1005)-5),218)),KotaKode,2,0),"-"),"")),"")</f>
        <v/>
      </c>
      <c r="I219" t="str">
        <f t="array" aca="1" ref="I219" ca="1">IFERROR(IF(OR(INDEX(checklistPesertaKemenkeu!$M$6:$M$1005,SMALL(IF(checklistPesertaKemenkeu!$AY$6:$AY$1005="Direkomendasikan",ROW($6:$1005)-5),218))="",INDEX(checklistPesertaKemenkeu!$J$6:$J$1005,SMALL(IF(checklistPesertaKemenkeu!$AY$6:$AY$1005="Direkomendasikan",ROW($6:$1005)-5),218))=""),"",IF(AND(COUNTIF(INDIRECT("K_"&amp;MATCH(INDEX(checklistPesertaKemenkeu!$J$6:$J$1005,SMALL(IF(checklistPesertaKemenkeu!$AY$6:$AY$1005="Direkomendasikan",ROW($6:$1005)-5),218)),BidangList,0)),INDEX(checklistPesertaKemenkeu!$M$6:$M$1005,SMALL(IF(checklistPesertaKemenkeu!$AY$6:$AY$1005="Direkomendasikan",ROW($6:$1005)-5),218)))&gt;0,COUNTIF(INDIRECT("'KERTAS KERJA'!K"&amp;(SMALL(IF(checklistPesertaKemenkeu!$AY$6:$AY$1005="Direkomendasikan",ROW($6:$1005)-5),218)+5)&amp;":O"&amp;(SMALL(IF(checklistPesertaKemenkeu!$AY$6:$AY$1005="Direkomendasikan",ROW($6:$1005)-5),218)+5)),INDEX(checklistPesertaKemenkeu!$M$6:$M$1005,SMALL(IF(checklistPesertaKemenkeu!$AY$6:$AY$1005="Direkomendasikan",ROW($6:$1005)-5),218)))=1),IFERROR(VLOOKUP(INDEX(checklistPesertaKemenkeu!$M$6:$M$1005,SMALL(IF(checklistPesertaKemenkeu!$AY$6:$AY$1005="Direkomendasikan",ROW($6:$1005)-5),218)),KotaKode,2,0),"-"),"")),"")</f>
        <v/>
      </c>
      <c r="J219" t="str">
        <f t="array" aca="1" ref="J219" ca="1">IFERROR(IF(OR(INDEX(checklistPesertaKemenkeu!$N$6:$N$1005,SMALL(IF(checklistPesertaKemenkeu!$AY$6:$AY$1005="Direkomendasikan",ROW($6:$1005)-5),218))="",INDEX(checklistPesertaKemenkeu!$J$6:$J$1005,SMALL(IF(checklistPesertaKemenkeu!$AY$6:$AY$1005="Direkomendasikan",ROW($6:$1005)-5),218))=""),"",IF(AND(COUNTIF(INDIRECT("K_"&amp;MATCH(INDEX(checklistPesertaKemenkeu!$J$6:$J$1005,SMALL(IF(checklistPesertaKemenkeu!$AY$6:$AY$1005="Direkomendasikan",ROW($6:$1005)-5),218)),BidangList,0)),INDEX(checklistPesertaKemenkeu!$N$6:$N$1005,SMALL(IF(checklistPesertaKemenkeu!$AY$6:$AY$1005="Direkomendasikan",ROW($6:$1005)-5),218)))&gt;0,COUNTIF(INDIRECT("'KERTAS KERJA'!K"&amp;(SMALL(IF(checklistPesertaKemenkeu!$AY$6:$AY$1005="Direkomendasikan",ROW($6:$1005)-5),218)+5)&amp;":O"&amp;(SMALL(IF(checklistPesertaKemenkeu!$AY$6:$AY$1005="Direkomendasikan",ROW($6:$1005)-5),218)+5)),INDEX(checklistPesertaKemenkeu!$N$6:$N$1005,SMALL(IF(checklistPesertaKemenkeu!$AY$6:$AY$1005="Direkomendasikan",ROW($6:$1005)-5),218)))=1),IFERROR(VLOOKUP(INDEX(checklistPesertaKemenkeu!$N$6:$N$1005,SMALL(IF(checklistPesertaKemenkeu!$AY$6:$AY$1005="Direkomendasikan",ROW($6:$1005)-5),218)),KotaKode,2,0),"-"),"")),"")</f>
        <v/>
      </c>
      <c r="K219" t="str">
        <f t="array" aca="1" ref="K219" ca="1">IFERROR(IF(OR(INDEX(checklistPesertaKemenkeu!$O$6:$O$1005,SMALL(IF(checklistPesertaKemenkeu!$AY$6:$AY$1005="Direkomendasikan",ROW($6:$1005)-5),218))="",INDEX(checklistPesertaKemenkeu!$J$6:$J$1005,SMALL(IF(checklistPesertaKemenkeu!$AY$6:$AY$1005="Direkomendasikan",ROW($6:$1005)-5),218))=""),"",IF(AND(COUNTIF(INDIRECT("K_"&amp;MATCH(INDEX(checklistPesertaKemenkeu!$J$6:$J$1005,SMALL(IF(checklistPesertaKemenkeu!$AY$6:$AY$1005="Direkomendasikan",ROW($6:$1005)-5),218)),BidangList,0)),INDEX(checklistPesertaKemenkeu!$O$6:$O$1005,SMALL(IF(checklistPesertaKemenkeu!$AY$6:$AY$1005="Direkomendasikan",ROW($6:$1005)-5),218)))&gt;0,COUNTIF(INDIRECT("'KERTAS KERJA'!K"&amp;(SMALL(IF(checklistPesertaKemenkeu!$AY$6:$AY$1005="Direkomendasikan",ROW($6:$1005)-5),218)+5)&amp;":O"&amp;(SMALL(IF(checklistPesertaKemenkeu!$AY$6:$AY$1005="Direkomendasikan",ROW($6:$1005)-5),218)+5)),INDEX(checklistPesertaKemenkeu!$O$6:$O$1005,SMALL(IF(checklistPesertaKemenkeu!$AY$6:$AY$1005="Direkomendasikan",ROW($6:$1005)-5),218)))=1),IFERROR(VLOOKUP(INDEX(checklistPesertaKemenkeu!$O$6:$O$1005,SMALL(IF(checklistPesertaKemenkeu!$AY$6:$AY$1005="Direkomendasikan",ROW($6:$1005)-5),218)),KotaKode,2,0),"-"),"")),"")</f>
        <v/>
      </c>
      <c r="L219" t="str">
        <f t="array" aca="1" ref="L219" ca="1">IFERROR(IF(OR(INDEX(checklistPesertaKemenkeu!$P$6:$P$1005,SMALL(IF(checklistPesertaKemenkeu!$AY$6:$AY$1005="Direkomendasikan",ROW($6:$1005)-5),218))="",INDEX(checklistPesertaKemenkeu!$J$6:$J$1005,SMALL(IF(checklistPesertaKemenkeu!$AY$6:$AY$1005="Direkomendasikan",ROW($6:$1005)-5),218))=""),"",IF(AND(COUNTIF(INDIRECT("K_"&amp;MATCH(INDEX(checklistPesertaKemenkeu!$J$6:$J$1005,SMALL(IF(checklistPesertaKemenkeu!$AY$6:$AY$1005="Direkomendasikan",ROW($6:$1005)-5),218)),BidangList,0)),INDEX(checklistPesertaKemenkeu!$P$6:$P$1005,SMALL(IF(checklistPesertaKemenkeu!$AY$6:$AY$1005="Direkomendasikan",ROW($6:$1005)-5),218)))&gt;0,COUNTIF(INDIRECT("'KERTAS KERJA'!K"&amp;(SMALL(IF(checklistPesertaKemenkeu!$AY$6:$AY$1005="Direkomendasikan",ROW($6:$1005)-5),218)+5)&amp;":O"&amp;(SMALL(IF(checklistPesertaKemenkeu!$AY$6:$AY$1005="Direkomendasikan",ROW($6:$1005)-5),218)+5)),INDEX(checklistPesertaKemenkeu!$P$6:$P$1005,SMALL(IF(checklistPesertaKemenkeu!$AY$6:$AY$1005="Direkomendasikan",ROW($6:$1005)-5),218)))=1),IFERROR(VLOOKUP(INDEX(checklistPesertaKemenkeu!$P$6:$P$1005,SMALL(IF(checklistPesertaKemenkeu!$AY$6:$AY$1005="Direkomendasikan",ROW($6:$1005)-5),218)),KotaKode,2,0),"-"),"")),"")</f>
        <v/>
      </c>
    </row>
    <row r="220" spans="1:12" ht="15" customHeight="1" x14ac:dyDescent="0.2">
      <c r="A220" t="str">
        <f t="shared" si="3"/>
        <v/>
      </c>
      <c r="B220" t="str">
        <v/>
      </c>
      <c r="C220" s="40" t="str">
        <f t="array" ref="C220">IFERROR(INDEX(checklistPesertaKemenkeu!$F$6:$F$1005,SMALL(IF(checklistPesertaKemenkeu!$AY$6:$AY$1005="Direkomendasikan",ROW($6:$1005)-5),219)),"")</f>
        <v/>
      </c>
      <c r="D220" t="str">
        <f t="array" ref="D220">IFERROR(INDEX(checklistPesertaKemenkeu!$G$6:$G$1005,SMALL(IF(checklistPesertaKemenkeu!$AY$6:$AY$1005="Direkomendasikan",ROW($6:$1005)-5),219)),"")</f>
        <v/>
      </c>
      <c r="E220" t="str">
        <f t="array" ref="E220">IFERROR(INDEX(checklistPesertaKemenkeu!$H$6:$H$1005,SMALL(IF(checklistPesertaKemenkeu!$AY$6:$AY$1005="Direkomendasikan",ROW($6:$1005)-5),219)),"")</f>
        <v/>
      </c>
      <c r="F220" t="str">
        <f t="array" ref="F220">IFERROR(INDEX(checklistPesertaKemenkeu!$I$6:$I$1005,SMALL(IF(checklistPesertaKemenkeu!$AY$6:$AY$1005="Direkomendasikan",ROW($6:$1005)-5),219)),"")</f>
        <v/>
      </c>
      <c r="G220" t="str">
        <f t="array" ref="G220">IFERROR(INDEX(checklistPesertaKemenkeu!$J$6:$J$1005,SMALL(IF(checklistPesertaKemenkeu!$AY$6:$AY$1005="Direkomendasikan",ROW($6:$1005)-5),219)),"")</f>
        <v/>
      </c>
      <c r="H220" t="str">
        <f t="array" aca="1" ref="H220" ca="1">IFERROR(IF(OR(INDEX(checklistPesertaKemenkeu!$L$6:$L$1005,SMALL(IF(checklistPesertaKemenkeu!$AY$6:$AY$1005="Direkomendasikan",ROW($6:$1005)-5),219))="",INDEX(checklistPesertaKemenkeu!$J$6:$J$1005,SMALL(IF(checklistPesertaKemenkeu!$AY$6:$AY$1005="Direkomendasikan",ROW($6:$1005)-5),219))=""),"",IF(AND(COUNTIF(INDIRECT("K_"&amp;MATCH(INDEX(checklistPesertaKemenkeu!$J$6:$J$1005,SMALL(IF(checklistPesertaKemenkeu!$AY$6:$AY$1005="Direkomendasikan",ROW($6:$1005)-5),219)),BidangList,0)),INDEX(checklistPesertaKemenkeu!$L$6:$L$1005,SMALL(IF(checklistPesertaKemenkeu!$AY$6:$AY$1005="Direkomendasikan",ROW($6:$1005)-5),219)))&gt;0,COUNTIF(INDIRECT("'KERTAS KERJA'!K"&amp;(SMALL(IF(checklistPesertaKemenkeu!$AY$6:$AY$1005="Direkomendasikan",ROW($6:$1005)-5),219)+5)&amp;":O"&amp;(SMALL(IF(checklistPesertaKemenkeu!$AY$6:$AY$1005="Direkomendasikan",ROW($6:$1005)-5),219)+5)),INDEX(checklistPesertaKemenkeu!$L$6:$L$1005,SMALL(IF(checklistPesertaKemenkeu!$AY$6:$AY$1005="Direkomendasikan",ROW($6:$1005)-5),219)))=1),IFERROR(VLOOKUP(INDEX(checklistPesertaKemenkeu!$L$6:$L$1005,SMALL(IF(checklistPesertaKemenkeu!$AY$6:$AY$1005="Direkomendasikan",ROW($6:$1005)-5),219)),KotaKode,2,0),"-"),"")),"")</f>
        <v/>
      </c>
      <c r="I220" t="str">
        <f t="array" aca="1" ref="I220" ca="1">IFERROR(IF(OR(INDEX(checklistPesertaKemenkeu!$M$6:$M$1005,SMALL(IF(checklistPesertaKemenkeu!$AY$6:$AY$1005="Direkomendasikan",ROW($6:$1005)-5),219))="",INDEX(checklistPesertaKemenkeu!$J$6:$J$1005,SMALL(IF(checklistPesertaKemenkeu!$AY$6:$AY$1005="Direkomendasikan",ROW($6:$1005)-5),219))=""),"",IF(AND(COUNTIF(INDIRECT("K_"&amp;MATCH(INDEX(checklistPesertaKemenkeu!$J$6:$J$1005,SMALL(IF(checklistPesertaKemenkeu!$AY$6:$AY$1005="Direkomendasikan",ROW($6:$1005)-5),219)),BidangList,0)),INDEX(checklistPesertaKemenkeu!$M$6:$M$1005,SMALL(IF(checklistPesertaKemenkeu!$AY$6:$AY$1005="Direkomendasikan",ROW($6:$1005)-5),219)))&gt;0,COUNTIF(INDIRECT("'KERTAS KERJA'!K"&amp;(SMALL(IF(checklistPesertaKemenkeu!$AY$6:$AY$1005="Direkomendasikan",ROW($6:$1005)-5),219)+5)&amp;":O"&amp;(SMALL(IF(checklistPesertaKemenkeu!$AY$6:$AY$1005="Direkomendasikan",ROW($6:$1005)-5),219)+5)),INDEX(checklistPesertaKemenkeu!$M$6:$M$1005,SMALL(IF(checklistPesertaKemenkeu!$AY$6:$AY$1005="Direkomendasikan",ROW($6:$1005)-5),219)))=1),IFERROR(VLOOKUP(INDEX(checklistPesertaKemenkeu!$M$6:$M$1005,SMALL(IF(checklistPesertaKemenkeu!$AY$6:$AY$1005="Direkomendasikan",ROW($6:$1005)-5),219)),KotaKode,2,0),"-"),"")),"")</f>
        <v/>
      </c>
      <c r="J220" t="str">
        <f t="array" aca="1" ref="J220" ca="1">IFERROR(IF(OR(INDEX(checklistPesertaKemenkeu!$N$6:$N$1005,SMALL(IF(checklistPesertaKemenkeu!$AY$6:$AY$1005="Direkomendasikan",ROW($6:$1005)-5),219))="",INDEX(checklistPesertaKemenkeu!$J$6:$J$1005,SMALL(IF(checklistPesertaKemenkeu!$AY$6:$AY$1005="Direkomendasikan",ROW($6:$1005)-5),219))=""),"",IF(AND(COUNTIF(INDIRECT("K_"&amp;MATCH(INDEX(checklistPesertaKemenkeu!$J$6:$J$1005,SMALL(IF(checklistPesertaKemenkeu!$AY$6:$AY$1005="Direkomendasikan",ROW($6:$1005)-5),219)),BidangList,0)),INDEX(checklistPesertaKemenkeu!$N$6:$N$1005,SMALL(IF(checklistPesertaKemenkeu!$AY$6:$AY$1005="Direkomendasikan",ROW($6:$1005)-5),219)))&gt;0,COUNTIF(INDIRECT("'KERTAS KERJA'!K"&amp;(SMALL(IF(checklistPesertaKemenkeu!$AY$6:$AY$1005="Direkomendasikan",ROW($6:$1005)-5),219)+5)&amp;":O"&amp;(SMALL(IF(checklistPesertaKemenkeu!$AY$6:$AY$1005="Direkomendasikan",ROW($6:$1005)-5),219)+5)),INDEX(checklistPesertaKemenkeu!$N$6:$N$1005,SMALL(IF(checklistPesertaKemenkeu!$AY$6:$AY$1005="Direkomendasikan",ROW($6:$1005)-5),219)))=1),IFERROR(VLOOKUP(INDEX(checklistPesertaKemenkeu!$N$6:$N$1005,SMALL(IF(checklistPesertaKemenkeu!$AY$6:$AY$1005="Direkomendasikan",ROW($6:$1005)-5),219)),KotaKode,2,0),"-"),"")),"")</f>
        <v/>
      </c>
      <c r="K220" t="str">
        <f t="array" aca="1" ref="K220" ca="1">IFERROR(IF(OR(INDEX(checklistPesertaKemenkeu!$O$6:$O$1005,SMALL(IF(checklistPesertaKemenkeu!$AY$6:$AY$1005="Direkomendasikan",ROW($6:$1005)-5),219))="",INDEX(checklistPesertaKemenkeu!$J$6:$J$1005,SMALL(IF(checklistPesertaKemenkeu!$AY$6:$AY$1005="Direkomendasikan",ROW($6:$1005)-5),219))=""),"",IF(AND(COUNTIF(INDIRECT("K_"&amp;MATCH(INDEX(checklistPesertaKemenkeu!$J$6:$J$1005,SMALL(IF(checklistPesertaKemenkeu!$AY$6:$AY$1005="Direkomendasikan",ROW($6:$1005)-5),219)),BidangList,0)),INDEX(checklistPesertaKemenkeu!$O$6:$O$1005,SMALL(IF(checklistPesertaKemenkeu!$AY$6:$AY$1005="Direkomendasikan",ROW($6:$1005)-5),219)))&gt;0,COUNTIF(INDIRECT("'KERTAS KERJA'!K"&amp;(SMALL(IF(checklistPesertaKemenkeu!$AY$6:$AY$1005="Direkomendasikan",ROW($6:$1005)-5),219)+5)&amp;":O"&amp;(SMALL(IF(checklistPesertaKemenkeu!$AY$6:$AY$1005="Direkomendasikan",ROW($6:$1005)-5),219)+5)),INDEX(checklistPesertaKemenkeu!$O$6:$O$1005,SMALL(IF(checklistPesertaKemenkeu!$AY$6:$AY$1005="Direkomendasikan",ROW($6:$1005)-5),219)))=1),IFERROR(VLOOKUP(INDEX(checklistPesertaKemenkeu!$O$6:$O$1005,SMALL(IF(checklistPesertaKemenkeu!$AY$6:$AY$1005="Direkomendasikan",ROW($6:$1005)-5),219)),KotaKode,2,0),"-"),"")),"")</f>
        <v/>
      </c>
      <c r="L220" t="str">
        <f t="array" aca="1" ref="L220" ca="1">IFERROR(IF(OR(INDEX(checklistPesertaKemenkeu!$P$6:$P$1005,SMALL(IF(checklistPesertaKemenkeu!$AY$6:$AY$1005="Direkomendasikan",ROW($6:$1005)-5),219))="",INDEX(checklistPesertaKemenkeu!$J$6:$J$1005,SMALL(IF(checklistPesertaKemenkeu!$AY$6:$AY$1005="Direkomendasikan",ROW($6:$1005)-5),219))=""),"",IF(AND(COUNTIF(INDIRECT("K_"&amp;MATCH(INDEX(checklistPesertaKemenkeu!$J$6:$J$1005,SMALL(IF(checklistPesertaKemenkeu!$AY$6:$AY$1005="Direkomendasikan",ROW($6:$1005)-5),219)),BidangList,0)),INDEX(checklistPesertaKemenkeu!$P$6:$P$1005,SMALL(IF(checklistPesertaKemenkeu!$AY$6:$AY$1005="Direkomendasikan",ROW($6:$1005)-5),219)))&gt;0,COUNTIF(INDIRECT("'KERTAS KERJA'!K"&amp;(SMALL(IF(checklistPesertaKemenkeu!$AY$6:$AY$1005="Direkomendasikan",ROW($6:$1005)-5),219)+5)&amp;":O"&amp;(SMALL(IF(checklistPesertaKemenkeu!$AY$6:$AY$1005="Direkomendasikan",ROW($6:$1005)-5),219)+5)),INDEX(checklistPesertaKemenkeu!$P$6:$P$1005,SMALL(IF(checklistPesertaKemenkeu!$AY$6:$AY$1005="Direkomendasikan",ROW($6:$1005)-5),219)))=1),IFERROR(VLOOKUP(INDEX(checklistPesertaKemenkeu!$P$6:$P$1005,SMALL(IF(checklistPesertaKemenkeu!$AY$6:$AY$1005="Direkomendasikan",ROW($6:$1005)-5),219)),KotaKode,2,0),"-"),"")),"")</f>
        <v/>
      </c>
    </row>
    <row r="221" spans="1:12" ht="15" customHeight="1" x14ac:dyDescent="0.2">
      <c r="A221" t="str">
        <f t="shared" si="3"/>
        <v/>
      </c>
      <c r="B221" t="str">
        <v/>
      </c>
      <c r="C221" s="40" t="str">
        <f t="array" ref="C221">IFERROR(INDEX(checklistPesertaKemenkeu!$F$6:$F$1005,SMALL(IF(checklistPesertaKemenkeu!$AY$6:$AY$1005="Direkomendasikan",ROW($6:$1005)-5),220)),"")</f>
        <v/>
      </c>
      <c r="D221" t="str">
        <f t="array" ref="D221">IFERROR(INDEX(checklistPesertaKemenkeu!$G$6:$G$1005,SMALL(IF(checklistPesertaKemenkeu!$AY$6:$AY$1005="Direkomendasikan",ROW($6:$1005)-5),220)),"")</f>
        <v/>
      </c>
      <c r="E221" t="str">
        <f t="array" ref="E221">IFERROR(INDEX(checklistPesertaKemenkeu!$H$6:$H$1005,SMALL(IF(checklistPesertaKemenkeu!$AY$6:$AY$1005="Direkomendasikan",ROW($6:$1005)-5),220)),"")</f>
        <v/>
      </c>
      <c r="F221" t="str">
        <f t="array" ref="F221">IFERROR(INDEX(checklistPesertaKemenkeu!$I$6:$I$1005,SMALL(IF(checklistPesertaKemenkeu!$AY$6:$AY$1005="Direkomendasikan",ROW($6:$1005)-5),220)),"")</f>
        <v/>
      </c>
      <c r="G221" t="str">
        <f t="array" ref="G221">IFERROR(INDEX(checklistPesertaKemenkeu!$J$6:$J$1005,SMALL(IF(checklistPesertaKemenkeu!$AY$6:$AY$1005="Direkomendasikan",ROW($6:$1005)-5),220)),"")</f>
        <v/>
      </c>
      <c r="H221" t="str">
        <f t="array" aca="1" ref="H221" ca="1">IFERROR(IF(OR(INDEX(checklistPesertaKemenkeu!$L$6:$L$1005,SMALL(IF(checklistPesertaKemenkeu!$AY$6:$AY$1005="Direkomendasikan",ROW($6:$1005)-5),220))="",INDEX(checklistPesertaKemenkeu!$J$6:$J$1005,SMALL(IF(checklistPesertaKemenkeu!$AY$6:$AY$1005="Direkomendasikan",ROW($6:$1005)-5),220))=""),"",IF(AND(COUNTIF(INDIRECT("K_"&amp;MATCH(INDEX(checklistPesertaKemenkeu!$J$6:$J$1005,SMALL(IF(checklistPesertaKemenkeu!$AY$6:$AY$1005="Direkomendasikan",ROW($6:$1005)-5),220)),BidangList,0)),INDEX(checklistPesertaKemenkeu!$L$6:$L$1005,SMALL(IF(checklistPesertaKemenkeu!$AY$6:$AY$1005="Direkomendasikan",ROW($6:$1005)-5),220)))&gt;0,COUNTIF(INDIRECT("'KERTAS KERJA'!K"&amp;(SMALL(IF(checklistPesertaKemenkeu!$AY$6:$AY$1005="Direkomendasikan",ROW($6:$1005)-5),220)+5)&amp;":O"&amp;(SMALL(IF(checklistPesertaKemenkeu!$AY$6:$AY$1005="Direkomendasikan",ROW($6:$1005)-5),220)+5)),INDEX(checklistPesertaKemenkeu!$L$6:$L$1005,SMALL(IF(checklistPesertaKemenkeu!$AY$6:$AY$1005="Direkomendasikan",ROW($6:$1005)-5),220)))=1),IFERROR(VLOOKUP(INDEX(checklistPesertaKemenkeu!$L$6:$L$1005,SMALL(IF(checklistPesertaKemenkeu!$AY$6:$AY$1005="Direkomendasikan",ROW($6:$1005)-5),220)),KotaKode,2,0),"-"),"")),"")</f>
        <v/>
      </c>
      <c r="I221" t="str">
        <f t="array" aca="1" ref="I221" ca="1">IFERROR(IF(OR(INDEX(checklistPesertaKemenkeu!$M$6:$M$1005,SMALL(IF(checklistPesertaKemenkeu!$AY$6:$AY$1005="Direkomendasikan",ROW($6:$1005)-5),220))="",INDEX(checklistPesertaKemenkeu!$J$6:$J$1005,SMALL(IF(checklistPesertaKemenkeu!$AY$6:$AY$1005="Direkomendasikan",ROW($6:$1005)-5),220))=""),"",IF(AND(COUNTIF(INDIRECT("K_"&amp;MATCH(INDEX(checklistPesertaKemenkeu!$J$6:$J$1005,SMALL(IF(checklistPesertaKemenkeu!$AY$6:$AY$1005="Direkomendasikan",ROW($6:$1005)-5),220)),BidangList,0)),INDEX(checklistPesertaKemenkeu!$M$6:$M$1005,SMALL(IF(checklistPesertaKemenkeu!$AY$6:$AY$1005="Direkomendasikan",ROW($6:$1005)-5),220)))&gt;0,COUNTIF(INDIRECT("'KERTAS KERJA'!K"&amp;(SMALL(IF(checklistPesertaKemenkeu!$AY$6:$AY$1005="Direkomendasikan",ROW($6:$1005)-5),220)+5)&amp;":O"&amp;(SMALL(IF(checklistPesertaKemenkeu!$AY$6:$AY$1005="Direkomendasikan",ROW($6:$1005)-5),220)+5)),INDEX(checklistPesertaKemenkeu!$M$6:$M$1005,SMALL(IF(checklistPesertaKemenkeu!$AY$6:$AY$1005="Direkomendasikan",ROW($6:$1005)-5),220)))=1),IFERROR(VLOOKUP(INDEX(checklistPesertaKemenkeu!$M$6:$M$1005,SMALL(IF(checklistPesertaKemenkeu!$AY$6:$AY$1005="Direkomendasikan",ROW($6:$1005)-5),220)),KotaKode,2,0),"-"),"")),"")</f>
        <v/>
      </c>
      <c r="J221" t="str">
        <f t="array" aca="1" ref="J221" ca="1">IFERROR(IF(OR(INDEX(checklistPesertaKemenkeu!$N$6:$N$1005,SMALL(IF(checklistPesertaKemenkeu!$AY$6:$AY$1005="Direkomendasikan",ROW($6:$1005)-5),220))="",INDEX(checklistPesertaKemenkeu!$J$6:$J$1005,SMALL(IF(checklistPesertaKemenkeu!$AY$6:$AY$1005="Direkomendasikan",ROW($6:$1005)-5),220))=""),"",IF(AND(COUNTIF(INDIRECT("K_"&amp;MATCH(INDEX(checklistPesertaKemenkeu!$J$6:$J$1005,SMALL(IF(checklistPesertaKemenkeu!$AY$6:$AY$1005="Direkomendasikan",ROW($6:$1005)-5),220)),BidangList,0)),INDEX(checklistPesertaKemenkeu!$N$6:$N$1005,SMALL(IF(checklistPesertaKemenkeu!$AY$6:$AY$1005="Direkomendasikan",ROW($6:$1005)-5),220)))&gt;0,COUNTIF(INDIRECT("'KERTAS KERJA'!K"&amp;(SMALL(IF(checklistPesertaKemenkeu!$AY$6:$AY$1005="Direkomendasikan",ROW($6:$1005)-5),220)+5)&amp;":O"&amp;(SMALL(IF(checklistPesertaKemenkeu!$AY$6:$AY$1005="Direkomendasikan",ROW($6:$1005)-5),220)+5)),INDEX(checklistPesertaKemenkeu!$N$6:$N$1005,SMALL(IF(checklistPesertaKemenkeu!$AY$6:$AY$1005="Direkomendasikan",ROW($6:$1005)-5),220)))=1),IFERROR(VLOOKUP(INDEX(checklistPesertaKemenkeu!$N$6:$N$1005,SMALL(IF(checklistPesertaKemenkeu!$AY$6:$AY$1005="Direkomendasikan",ROW($6:$1005)-5),220)),KotaKode,2,0),"-"),"")),"")</f>
        <v/>
      </c>
      <c r="K221" t="str">
        <f t="array" aca="1" ref="K221" ca="1">IFERROR(IF(OR(INDEX(checklistPesertaKemenkeu!$O$6:$O$1005,SMALL(IF(checklistPesertaKemenkeu!$AY$6:$AY$1005="Direkomendasikan",ROW($6:$1005)-5),220))="",INDEX(checklistPesertaKemenkeu!$J$6:$J$1005,SMALL(IF(checklistPesertaKemenkeu!$AY$6:$AY$1005="Direkomendasikan",ROW($6:$1005)-5),220))=""),"",IF(AND(COUNTIF(INDIRECT("K_"&amp;MATCH(INDEX(checklistPesertaKemenkeu!$J$6:$J$1005,SMALL(IF(checklistPesertaKemenkeu!$AY$6:$AY$1005="Direkomendasikan",ROW($6:$1005)-5),220)),BidangList,0)),INDEX(checklistPesertaKemenkeu!$O$6:$O$1005,SMALL(IF(checklistPesertaKemenkeu!$AY$6:$AY$1005="Direkomendasikan",ROW($6:$1005)-5),220)))&gt;0,COUNTIF(INDIRECT("'KERTAS KERJA'!K"&amp;(SMALL(IF(checklistPesertaKemenkeu!$AY$6:$AY$1005="Direkomendasikan",ROW($6:$1005)-5),220)+5)&amp;":O"&amp;(SMALL(IF(checklistPesertaKemenkeu!$AY$6:$AY$1005="Direkomendasikan",ROW($6:$1005)-5),220)+5)),INDEX(checklistPesertaKemenkeu!$O$6:$O$1005,SMALL(IF(checklistPesertaKemenkeu!$AY$6:$AY$1005="Direkomendasikan",ROW($6:$1005)-5),220)))=1),IFERROR(VLOOKUP(INDEX(checklistPesertaKemenkeu!$O$6:$O$1005,SMALL(IF(checklistPesertaKemenkeu!$AY$6:$AY$1005="Direkomendasikan",ROW($6:$1005)-5),220)),KotaKode,2,0),"-"),"")),"")</f>
        <v/>
      </c>
      <c r="L221" t="str">
        <f t="array" aca="1" ref="L221" ca="1">IFERROR(IF(OR(INDEX(checklistPesertaKemenkeu!$P$6:$P$1005,SMALL(IF(checklistPesertaKemenkeu!$AY$6:$AY$1005="Direkomendasikan",ROW($6:$1005)-5),220))="",INDEX(checklistPesertaKemenkeu!$J$6:$J$1005,SMALL(IF(checklistPesertaKemenkeu!$AY$6:$AY$1005="Direkomendasikan",ROW($6:$1005)-5),220))=""),"",IF(AND(COUNTIF(INDIRECT("K_"&amp;MATCH(INDEX(checklistPesertaKemenkeu!$J$6:$J$1005,SMALL(IF(checklistPesertaKemenkeu!$AY$6:$AY$1005="Direkomendasikan",ROW($6:$1005)-5),220)),BidangList,0)),INDEX(checklistPesertaKemenkeu!$P$6:$P$1005,SMALL(IF(checklistPesertaKemenkeu!$AY$6:$AY$1005="Direkomendasikan",ROW($6:$1005)-5),220)))&gt;0,COUNTIF(INDIRECT("'KERTAS KERJA'!K"&amp;(SMALL(IF(checklistPesertaKemenkeu!$AY$6:$AY$1005="Direkomendasikan",ROW($6:$1005)-5),220)+5)&amp;":O"&amp;(SMALL(IF(checklistPesertaKemenkeu!$AY$6:$AY$1005="Direkomendasikan",ROW($6:$1005)-5),220)+5)),INDEX(checklistPesertaKemenkeu!$P$6:$P$1005,SMALL(IF(checklistPesertaKemenkeu!$AY$6:$AY$1005="Direkomendasikan",ROW($6:$1005)-5),220)))=1),IFERROR(VLOOKUP(INDEX(checklistPesertaKemenkeu!$P$6:$P$1005,SMALL(IF(checklistPesertaKemenkeu!$AY$6:$AY$1005="Direkomendasikan",ROW($6:$1005)-5),220)),KotaKode,2,0),"-"),"")),"")</f>
        <v/>
      </c>
    </row>
    <row r="222" spans="1:12" ht="15" customHeight="1" x14ac:dyDescent="0.2">
      <c r="A222" t="str">
        <f t="shared" si="3"/>
        <v/>
      </c>
      <c r="B222" t="str">
        <v/>
      </c>
      <c r="C222" s="40" t="str">
        <f t="array" ref="C222">IFERROR(INDEX(checklistPesertaKemenkeu!$F$6:$F$1005,SMALL(IF(checklistPesertaKemenkeu!$AY$6:$AY$1005="Direkomendasikan",ROW($6:$1005)-5),221)),"")</f>
        <v/>
      </c>
      <c r="D222" t="str">
        <f t="array" ref="D222">IFERROR(INDEX(checklistPesertaKemenkeu!$G$6:$G$1005,SMALL(IF(checklistPesertaKemenkeu!$AY$6:$AY$1005="Direkomendasikan",ROW($6:$1005)-5),221)),"")</f>
        <v/>
      </c>
      <c r="E222" t="str">
        <f t="array" ref="E222">IFERROR(INDEX(checklistPesertaKemenkeu!$H$6:$H$1005,SMALL(IF(checklistPesertaKemenkeu!$AY$6:$AY$1005="Direkomendasikan",ROW($6:$1005)-5),221)),"")</f>
        <v/>
      </c>
      <c r="F222" t="str">
        <f t="array" ref="F222">IFERROR(INDEX(checklistPesertaKemenkeu!$I$6:$I$1005,SMALL(IF(checklistPesertaKemenkeu!$AY$6:$AY$1005="Direkomendasikan",ROW($6:$1005)-5),221)),"")</f>
        <v/>
      </c>
      <c r="G222" t="str">
        <f t="array" ref="G222">IFERROR(INDEX(checklistPesertaKemenkeu!$J$6:$J$1005,SMALL(IF(checklistPesertaKemenkeu!$AY$6:$AY$1005="Direkomendasikan",ROW($6:$1005)-5),221)),"")</f>
        <v/>
      </c>
      <c r="H222" t="str">
        <f t="array" aca="1" ref="H222" ca="1">IFERROR(IF(OR(INDEX(checklistPesertaKemenkeu!$L$6:$L$1005,SMALL(IF(checklistPesertaKemenkeu!$AY$6:$AY$1005="Direkomendasikan",ROW($6:$1005)-5),221))="",INDEX(checklistPesertaKemenkeu!$J$6:$J$1005,SMALL(IF(checklistPesertaKemenkeu!$AY$6:$AY$1005="Direkomendasikan",ROW($6:$1005)-5),221))=""),"",IF(AND(COUNTIF(INDIRECT("K_"&amp;MATCH(INDEX(checklistPesertaKemenkeu!$J$6:$J$1005,SMALL(IF(checklistPesertaKemenkeu!$AY$6:$AY$1005="Direkomendasikan",ROW($6:$1005)-5),221)),BidangList,0)),INDEX(checklistPesertaKemenkeu!$L$6:$L$1005,SMALL(IF(checklistPesertaKemenkeu!$AY$6:$AY$1005="Direkomendasikan",ROW($6:$1005)-5),221)))&gt;0,COUNTIF(INDIRECT("'KERTAS KERJA'!K"&amp;(SMALL(IF(checklistPesertaKemenkeu!$AY$6:$AY$1005="Direkomendasikan",ROW($6:$1005)-5),221)+5)&amp;":O"&amp;(SMALL(IF(checklistPesertaKemenkeu!$AY$6:$AY$1005="Direkomendasikan",ROW($6:$1005)-5),221)+5)),INDEX(checklistPesertaKemenkeu!$L$6:$L$1005,SMALL(IF(checklistPesertaKemenkeu!$AY$6:$AY$1005="Direkomendasikan",ROW($6:$1005)-5),221)))=1),IFERROR(VLOOKUP(INDEX(checklistPesertaKemenkeu!$L$6:$L$1005,SMALL(IF(checklistPesertaKemenkeu!$AY$6:$AY$1005="Direkomendasikan",ROW($6:$1005)-5),221)),KotaKode,2,0),"-"),"")),"")</f>
        <v/>
      </c>
      <c r="I222" t="str">
        <f t="array" aca="1" ref="I222" ca="1">IFERROR(IF(OR(INDEX(checklistPesertaKemenkeu!$M$6:$M$1005,SMALL(IF(checklistPesertaKemenkeu!$AY$6:$AY$1005="Direkomendasikan",ROW($6:$1005)-5),221))="",INDEX(checklistPesertaKemenkeu!$J$6:$J$1005,SMALL(IF(checklistPesertaKemenkeu!$AY$6:$AY$1005="Direkomendasikan",ROW($6:$1005)-5),221))=""),"",IF(AND(COUNTIF(INDIRECT("K_"&amp;MATCH(INDEX(checklistPesertaKemenkeu!$J$6:$J$1005,SMALL(IF(checklistPesertaKemenkeu!$AY$6:$AY$1005="Direkomendasikan",ROW($6:$1005)-5),221)),BidangList,0)),INDEX(checklistPesertaKemenkeu!$M$6:$M$1005,SMALL(IF(checklistPesertaKemenkeu!$AY$6:$AY$1005="Direkomendasikan",ROW($6:$1005)-5),221)))&gt;0,COUNTIF(INDIRECT("'KERTAS KERJA'!K"&amp;(SMALL(IF(checklistPesertaKemenkeu!$AY$6:$AY$1005="Direkomendasikan",ROW($6:$1005)-5),221)+5)&amp;":O"&amp;(SMALL(IF(checklistPesertaKemenkeu!$AY$6:$AY$1005="Direkomendasikan",ROW($6:$1005)-5),221)+5)),INDEX(checklistPesertaKemenkeu!$M$6:$M$1005,SMALL(IF(checklistPesertaKemenkeu!$AY$6:$AY$1005="Direkomendasikan",ROW($6:$1005)-5),221)))=1),IFERROR(VLOOKUP(INDEX(checklistPesertaKemenkeu!$M$6:$M$1005,SMALL(IF(checklistPesertaKemenkeu!$AY$6:$AY$1005="Direkomendasikan",ROW($6:$1005)-5),221)),KotaKode,2,0),"-"),"")),"")</f>
        <v/>
      </c>
      <c r="J222" t="str">
        <f t="array" aca="1" ref="J222" ca="1">IFERROR(IF(OR(INDEX(checklistPesertaKemenkeu!$N$6:$N$1005,SMALL(IF(checklistPesertaKemenkeu!$AY$6:$AY$1005="Direkomendasikan",ROW($6:$1005)-5),221))="",INDEX(checklistPesertaKemenkeu!$J$6:$J$1005,SMALL(IF(checklistPesertaKemenkeu!$AY$6:$AY$1005="Direkomendasikan",ROW($6:$1005)-5),221))=""),"",IF(AND(COUNTIF(INDIRECT("K_"&amp;MATCH(INDEX(checklistPesertaKemenkeu!$J$6:$J$1005,SMALL(IF(checklistPesertaKemenkeu!$AY$6:$AY$1005="Direkomendasikan",ROW($6:$1005)-5),221)),BidangList,0)),INDEX(checklistPesertaKemenkeu!$N$6:$N$1005,SMALL(IF(checklistPesertaKemenkeu!$AY$6:$AY$1005="Direkomendasikan",ROW($6:$1005)-5),221)))&gt;0,COUNTIF(INDIRECT("'KERTAS KERJA'!K"&amp;(SMALL(IF(checklistPesertaKemenkeu!$AY$6:$AY$1005="Direkomendasikan",ROW($6:$1005)-5),221)+5)&amp;":O"&amp;(SMALL(IF(checklistPesertaKemenkeu!$AY$6:$AY$1005="Direkomendasikan",ROW($6:$1005)-5),221)+5)),INDEX(checklistPesertaKemenkeu!$N$6:$N$1005,SMALL(IF(checklistPesertaKemenkeu!$AY$6:$AY$1005="Direkomendasikan",ROW($6:$1005)-5),221)))=1),IFERROR(VLOOKUP(INDEX(checklistPesertaKemenkeu!$N$6:$N$1005,SMALL(IF(checklistPesertaKemenkeu!$AY$6:$AY$1005="Direkomendasikan",ROW($6:$1005)-5),221)),KotaKode,2,0),"-"),"")),"")</f>
        <v/>
      </c>
      <c r="K222" t="str">
        <f t="array" aca="1" ref="K222" ca="1">IFERROR(IF(OR(INDEX(checklistPesertaKemenkeu!$O$6:$O$1005,SMALL(IF(checklistPesertaKemenkeu!$AY$6:$AY$1005="Direkomendasikan",ROW($6:$1005)-5),221))="",INDEX(checklistPesertaKemenkeu!$J$6:$J$1005,SMALL(IF(checklistPesertaKemenkeu!$AY$6:$AY$1005="Direkomendasikan",ROW($6:$1005)-5),221))=""),"",IF(AND(COUNTIF(INDIRECT("K_"&amp;MATCH(INDEX(checklistPesertaKemenkeu!$J$6:$J$1005,SMALL(IF(checklistPesertaKemenkeu!$AY$6:$AY$1005="Direkomendasikan",ROW($6:$1005)-5),221)),BidangList,0)),INDEX(checklistPesertaKemenkeu!$O$6:$O$1005,SMALL(IF(checklistPesertaKemenkeu!$AY$6:$AY$1005="Direkomendasikan",ROW($6:$1005)-5),221)))&gt;0,COUNTIF(INDIRECT("'KERTAS KERJA'!K"&amp;(SMALL(IF(checklistPesertaKemenkeu!$AY$6:$AY$1005="Direkomendasikan",ROW($6:$1005)-5),221)+5)&amp;":O"&amp;(SMALL(IF(checklistPesertaKemenkeu!$AY$6:$AY$1005="Direkomendasikan",ROW($6:$1005)-5),221)+5)),INDEX(checklistPesertaKemenkeu!$O$6:$O$1005,SMALL(IF(checklistPesertaKemenkeu!$AY$6:$AY$1005="Direkomendasikan",ROW($6:$1005)-5),221)))=1),IFERROR(VLOOKUP(INDEX(checklistPesertaKemenkeu!$O$6:$O$1005,SMALL(IF(checklistPesertaKemenkeu!$AY$6:$AY$1005="Direkomendasikan",ROW($6:$1005)-5),221)),KotaKode,2,0),"-"),"")),"")</f>
        <v/>
      </c>
      <c r="L222" t="str">
        <f t="array" aca="1" ref="L222" ca="1">IFERROR(IF(OR(INDEX(checklistPesertaKemenkeu!$P$6:$P$1005,SMALL(IF(checklistPesertaKemenkeu!$AY$6:$AY$1005="Direkomendasikan",ROW($6:$1005)-5),221))="",INDEX(checklistPesertaKemenkeu!$J$6:$J$1005,SMALL(IF(checklistPesertaKemenkeu!$AY$6:$AY$1005="Direkomendasikan",ROW($6:$1005)-5),221))=""),"",IF(AND(COUNTIF(INDIRECT("K_"&amp;MATCH(INDEX(checklistPesertaKemenkeu!$J$6:$J$1005,SMALL(IF(checklistPesertaKemenkeu!$AY$6:$AY$1005="Direkomendasikan",ROW($6:$1005)-5),221)),BidangList,0)),INDEX(checklistPesertaKemenkeu!$P$6:$P$1005,SMALL(IF(checklistPesertaKemenkeu!$AY$6:$AY$1005="Direkomendasikan",ROW($6:$1005)-5),221)))&gt;0,COUNTIF(INDIRECT("'KERTAS KERJA'!K"&amp;(SMALL(IF(checklistPesertaKemenkeu!$AY$6:$AY$1005="Direkomendasikan",ROW($6:$1005)-5),221)+5)&amp;":O"&amp;(SMALL(IF(checklistPesertaKemenkeu!$AY$6:$AY$1005="Direkomendasikan",ROW($6:$1005)-5),221)+5)),INDEX(checklistPesertaKemenkeu!$P$6:$P$1005,SMALL(IF(checklistPesertaKemenkeu!$AY$6:$AY$1005="Direkomendasikan",ROW($6:$1005)-5),221)))=1),IFERROR(VLOOKUP(INDEX(checklistPesertaKemenkeu!$P$6:$P$1005,SMALL(IF(checklistPesertaKemenkeu!$AY$6:$AY$1005="Direkomendasikan",ROW($6:$1005)-5),221)),KotaKode,2,0),"-"),"")),"")</f>
        <v/>
      </c>
    </row>
    <row r="223" spans="1:12" ht="15" customHeight="1" x14ac:dyDescent="0.2">
      <c r="A223" t="str">
        <f t="shared" si="3"/>
        <v/>
      </c>
      <c r="B223" t="str">
        <v/>
      </c>
      <c r="C223" s="40" t="str">
        <f t="array" ref="C223">IFERROR(INDEX(checklistPesertaKemenkeu!$F$6:$F$1005,SMALL(IF(checklistPesertaKemenkeu!$AY$6:$AY$1005="Direkomendasikan",ROW($6:$1005)-5),222)),"")</f>
        <v/>
      </c>
      <c r="D223" t="str">
        <f t="array" ref="D223">IFERROR(INDEX(checklistPesertaKemenkeu!$G$6:$G$1005,SMALL(IF(checklistPesertaKemenkeu!$AY$6:$AY$1005="Direkomendasikan",ROW($6:$1005)-5),222)),"")</f>
        <v/>
      </c>
      <c r="E223" t="str">
        <f t="array" ref="E223">IFERROR(INDEX(checklistPesertaKemenkeu!$H$6:$H$1005,SMALL(IF(checklistPesertaKemenkeu!$AY$6:$AY$1005="Direkomendasikan",ROW($6:$1005)-5),222)),"")</f>
        <v/>
      </c>
      <c r="F223" t="str">
        <f t="array" ref="F223">IFERROR(INDEX(checklistPesertaKemenkeu!$I$6:$I$1005,SMALL(IF(checklistPesertaKemenkeu!$AY$6:$AY$1005="Direkomendasikan",ROW($6:$1005)-5),222)),"")</f>
        <v/>
      </c>
      <c r="G223" t="str">
        <f t="array" ref="G223">IFERROR(INDEX(checklistPesertaKemenkeu!$J$6:$J$1005,SMALL(IF(checklistPesertaKemenkeu!$AY$6:$AY$1005="Direkomendasikan",ROW($6:$1005)-5),222)),"")</f>
        <v/>
      </c>
      <c r="H223" t="str">
        <f t="array" aca="1" ref="H223" ca="1">IFERROR(IF(OR(INDEX(checklistPesertaKemenkeu!$L$6:$L$1005,SMALL(IF(checklistPesertaKemenkeu!$AY$6:$AY$1005="Direkomendasikan",ROW($6:$1005)-5),222))="",INDEX(checklistPesertaKemenkeu!$J$6:$J$1005,SMALL(IF(checklistPesertaKemenkeu!$AY$6:$AY$1005="Direkomendasikan",ROW($6:$1005)-5),222))=""),"",IF(AND(COUNTIF(INDIRECT("K_"&amp;MATCH(INDEX(checklistPesertaKemenkeu!$J$6:$J$1005,SMALL(IF(checklistPesertaKemenkeu!$AY$6:$AY$1005="Direkomendasikan",ROW($6:$1005)-5),222)),BidangList,0)),INDEX(checklistPesertaKemenkeu!$L$6:$L$1005,SMALL(IF(checklistPesertaKemenkeu!$AY$6:$AY$1005="Direkomendasikan",ROW($6:$1005)-5),222)))&gt;0,COUNTIF(INDIRECT("'KERTAS KERJA'!K"&amp;(SMALL(IF(checklistPesertaKemenkeu!$AY$6:$AY$1005="Direkomendasikan",ROW($6:$1005)-5),222)+5)&amp;":O"&amp;(SMALL(IF(checklistPesertaKemenkeu!$AY$6:$AY$1005="Direkomendasikan",ROW($6:$1005)-5),222)+5)),INDEX(checklistPesertaKemenkeu!$L$6:$L$1005,SMALL(IF(checklistPesertaKemenkeu!$AY$6:$AY$1005="Direkomendasikan",ROW($6:$1005)-5),222)))=1),IFERROR(VLOOKUP(INDEX(checklistPesertaKemenkeu!$L$6:$L$1005,SMALL(IF(checklistPesertaKemenkeu!$AY$6:$AY$1005="Direkomendasikan",ROW($6:$1005)-5),222)),KotaKode,2,0),"-"),"")),"")</f>
        <v/>
      </c>
      <c r="I223" t="str">
        <f t="array" aca="1" ref="I223" ca="1">IFERROR(IF(OR(INDEX(checklistPesertaKemenkeu!$M$6:$M$1005,SMALL(IF(checklistPesertaKemenkeu!$AY$6:$AY$1005="Direkomendasikan",ROW($6:$1005)-5),222))="",INDEX(checklistPesertaKemenkeu!$J$6:$J$1005,SMALL(IF(checklistPesertaKemenkeu!$AY$6:$AY$1005="Direkomendasikan",ROW($6:$1005)-5),222))=""),"",IF(AND(COUNTIF(INDIRECT("K_"&amp;MATCH(INDEX(checklistPesertaKemenkeu!$J$6:$J$1005,SMALL(IF(checklistPesertaKemenkeu!$AY$6:$AY$1005="Direkomendasikan",ROW($6:$1005)-5),222)),BidangList,0)),INDEX(checklistPesertaKemenkeu!$M$6:$M$1005,SMALL(IF(checklistPesertaKemenkeu!$AY$6:$AY$1005="Direkomendasikan",ROW($6:$1005)-5),222)))&gt;0,COUNTIF(INDIRECT("'KERTAS KERJA'!K"&amp;(SMALL(IF(checklistPesertaKemenkeu!$AY$6:$AY$1005="Direkomendasikan",ROW($6:$1005)-5),222)+5)&amp;":O"&amp;(SMALL(IF(checklistPesertaKemenkeu!$AY$6:$AY$1005="Direkomendasikan",ROW($6:$1005)-5),222)+5)),INDEX(checklistPesertaKemenkeu!$M$6:$M$1005,SMALL(IF(checklistPesertaKemenkeu!$AY$6:$AY$1005="Direkomendasikan",ROW($6:$1005)-5),222)))=1),IFERROR(VLOOKUP(INDEX(checklistPesertaKemenkeu!$M$6:$M$1005,SMALL(IF(checklistPesertaKemenkeu!$AY$6:$AY$1005="Direkomendasikan",ROW($6:$1005)-5),222)),KotaKode,2,0),"-"),"")),"")</f>
        <v/>
      </c>
      <c r="J223" t="str">
        <f t="array" aca="1" ref="J223" ca="1">IFERROR(IF(OR(INDEX(checklistPesertaKemenkeu!$N$6:$N$1005,SMALL(IF(checklistPesertaKemenkeu!$AY$6:$AY$1005="Direkomendasikan",ROW($6:$1005)-5),222))="",INDEX(checklistPesertaKemenkeu!$J$6:$J$1005,SMALL(IF(checklistPesertaKemenkeu!$AY$6:$AY$1005="Direkomendasikan",ROW($6:$1005)-5),222))=""),"",IF(AND(COUNTIF(INDIRECT("K_"&amp;MATCH(INDEX(checklistPesertaKemenkeu!$J$6:$J$1005,SMALL(IF(checklistPesertaKemenkeu!$AY$6:$AY$1005="Direkomendasikan",ROW($6:$1005)-5),222)),BidangList,0)),INDEX(checklistPesertaKemenkeu!$N$6:$N$1005,SMALL(IF(checklistPesertaKemenkeu!$AY$6:$AY$1005="Direkomendasikan",ROW($6:$1005)-5),222)))&gt;0,COUNTIF(INDIRECT("'KERTAS KERJA'!K"&amp;(SMALL(IF(checklistPesertaKemenkeu!$AY$6:$AY$1005="Direkomendasikan",ROW($6:$1005)-5),222)+5)&amp;":O"&amp;(SMALL(IF(checklistPesertaKemenkeu!$AY$6:$AY$1005="Direkomendasikan",ROW($6:$1005)-5),222)+5)),INDEX(checklistPesertaKemenkeu!$N$6:$N$1005,SMALL(IF(checklistPesertaKemenkeu!$AY$6:$AY$1005="Direkomendasikan",ROW($6:$1005)-5),222)))=1),IFERROR(VLOOKUP(INDEX(checklistPesertaKemenkeu!$N$6:$N$1005,SMALL(IF(checklistPesertaKemenkeu!$AY$6:$AY$1005="Direkomendasikan",ROW($6:$1005)-5),222)),KotaKode,2,0),"-"),"")),"")</f>
        <v/>
      </c>
      <c r="K223" t="str">
        <f t="array" aca="1" ref="K223" ca="1">IFERROR(IF(OR(INDEX(checklistPesertaKemenkeu!$O$6:$O$1005,SMALL(IF(checklistPesertaKemenkeu!$AY$6:$AY$1005="Direkomendasikan",ROW($6:$1005)-5),222))="",INDEX(checklistPesertaKemenkeu!$J$6:$J$1005,SMALL(IF(checklistPesertaKemenkeu!$AY$6:$AY$1005="Direkomendasikan",ROW($6:$1005)-5),222))=""),"",IF(AND(COUNTIF(INDIRECT("K_"&amp;MATCH(INDEX(checklistPesertaKemenkeu!$J$6:$J$1005,SMALL(IF(checklistPesertaKemenkeu!$AY$6:$AY$1005="Direkomendasikan",ROW($6:$1005)-5),222)),BidangList,0)),INDEX(checklistPesertaKemenkeu!$O$6:$O$1005,SMALL(IF(checklistPesertaKemenkeu!$AY$6:$AY$1005="Direkomendasikan",ROW($6:$1005)-5),222)))&gt;0,COUNTIF(INDIRECT("'KERTAS KERJA'!K"&amp;(SMALL(IF(checklistPesertaKemenkeu!$AY$6:$AY$1005="Direkomendasikan",ROW($6:$1005)-5),222)+5)&amp;":O"&amp;(SMALL(IF(checklistPesertaKemenkeu!$AY$6:$AY$1005="Direkomendasikan",ROW($6:$1005)-5),222)+5)),INDEX(checklistPesertaKemenkeu!$O$6:$O$1005,SMALL(IF(checklistPesertaKemenkeu!$AY$6:$AY$1005="Direkomendasikan",ROW($6:$1005)-5),222)))=1),IFERROR(VLOOKUP(INDEX(checklistPesertaKemenkeu!$O$6:$O$1005,SMALL(IF(checklistPesertaKemenkeu!$AY$6:$AY$1005="Direkomendasikan",ROW($6:$1005)-5),222)),KotaKode,2,0),"-"),"")),"")</f>
        <v/>
      </c>
      <c r="L223" t="str">
        <f t="array" aca="1" ref="L223" ca="1">IFERROR(IF(OR(INDEX(checklistPesertaKemenkeu!$P$6:$P$1005,SMALL(IF(checklistPesertaKemenkeu!$AY$6:$AY$1005="Direkomendasikan",ROW($6:$1005)-5),222))="",INDEX(checklistPesertaKemenkeu!$J$6:$J$1005,SMALL(IF(checklistPesertaKemenkeu!$AY$6:$AY$1005="Direkomendasikan",ROW($6:$1005)-5),222))=""),"",IF(AND(COUNTIF(INDIRECT("K_"&amp;MATCH(INDEX(checklistPesertaKemenkeu!$J$6:$J$1005,SMALL(IF(checklistPesertaKemenkeu!$AY$6:$AY$1005="Direkomendasikan",ROW($6:$1005)-5),222)),BidangList,0)),INDEX(checklistPesertaKemenkeu!$P$6:$P$1005,SMALL(IF(checklistPesertaKemenkeu!$AY$6:$AY$1005="Direkomendasikan",ROW($6:$1005)-5),222)))&gt;0,COUNTIF(INDIRECT("'KERTAS KERJA'!K"&amp;(SMALL(IF(checklistPesertaKemenkeu!$AY$6:$AY$1005="Direkomendasikan",ROW($6:$1005)-5),222)+5)&amp;":O"&amp;(SMALL(IF(checklistPesertaKemenkeu!$AY$6:$AY$1005="Direkomendasikan",ROW($6:$1005)-5),222)+5)),INDEX(checklistPesertaKemenkeu!$P$6:$P$1005,SMALL(IF(checklistPesertaKemenkeu!$AY$6:$AY$1005="Direkomendasikan",ROW($6:$1005)-5),222)))=1),IFERROR(VLOOKUP(INDEX(checklistPesertaKemenkeu!$P$6:$P$1005,SMALL(IF(checklistPesertaKemenkeu!$AY$6:$AY$1005="Direkomendasikan",ROW($6:$1005)-5),222)),KotaKode,2,0),"-"),"")),"")</f>
        <v/>
      </c>
    </row>
    <row r="224" spans="1:12" ht="15" customHeight="1" x14ac:dyDescent="0.2">
      <c r="A224" t="str">
        <f t="shared" si="3"/>
        <v/>
      </c>
      <c r="B224" t="str">
        <v/>
      </c>
      <c r="C224" s="40" t="str">
        <f t="array" ref="C224">IFERROR(INDEX(checklistPesertaKemenkeu!$F$6:$F$1005,SMALL(IF(checklistPesertaKemenkeu!$AY$6:$AY$1005="Direkomendasikan",ROW($6:$1005)-5),223)),"")</f>
        <v/>
      </c>
      <c r="D224" t="str">
        <f t="array" ref="D224">IFERROR(INDEX(checklistPesertaKemenkeu!$G$6:$G$1005,SMALL(IF(checklistPesertaKemenkeu!$AY$6:$AY$1005="Direkomendasikan",ROW($6:$1005)-5),223)),"")</f>
        <v/>
      </c>
      <c r="E224" t="str">
        <f t="array" ref="E224">IFERROR(INDEX(checklistPesertaKemenkeu!$H$6:$H$1005,SMALL(IF(checklistPesertaKemenkeu!$AY$6:$AY$1005="Direkomendasikan",ROW($6:$1005)-5),223)),"")</f>
        <v/>
      </c>
      <c r="F224" t="str">
        <f t="array" ref="F224">IFERROR(INDEX(checklistPesertaKemenkeu!$I$6:$I$1005,SMALL(IF(checklistPesertaKemenkeu!$AY$6:$AY$1005="Direkomendasikan",ROW($6:$1005)-5),223)),"")</f>
        <v/>
      </c>
      <c r="G224" t="str">
        <f t="array" ref="G224">IFERROR(INDEX(checklistPesertaKemenkeu!$J$6:$J$1005,SMALL(IF(checklistPesertaKemenkeu!$AY$6:$AY$1005="Direkomendasikan",ROW($6:$1005)-5),223)),"")</f>
        <v/>
      </c>
      <c r="H224" t="str">
        <f t="array" aca="1" ref="H224" ca="1">IFERROR(IF(OR(INDEX(checklistPesertaKemenkeu!$L$6:$L$1005,SMALL(IF(checklistPesertaKemenkeu!$AY$6:$AY$1005="Direkomendasikan",ROW($6:$1005)-5),223))="",INDEX(checklistPesertaKemenkeu!$J$6:$J$1005,SMALL(IF(checklistPesertaKemenkeu!$AY$6:$AY$1005="Direkomendasikan",ROW($6:$1005)-5),223))=""),"",IF(AND(COUNTIF(INDIRECT("K_"&amp;MATCH(INDEX(checklistPesertaKemenkeu!$J$6:$J$1005,SMALL(IF(checklistPesertaKemenkeu!$AY$6:$AY$1005="Direkomendasikan",ROW($6:$1005)-5),223)),BidangList,0)),INDEX(checklistPesertaKemenkeu!$L$6:$L$1005,SMALL(IF(checklistPesertaKemenkeu!$AY$6:$AY$1005="Direkomendasikan",ROW($6:$1005)-5),223)))&gt;0,COUNTIF(INDIRECT("'KERTAS KERJA'!K"&amp;(SMALL(IF(checklistPesertaKemenkeu!$AY$6:$AY$1005="Direkomendasikan",ROW($6:$1005)-5),223)+5)&amp;":O"&amp;(SMALL(IF(checklistPesertaKemenkeu!$AY$6:$AY$1005="Direkomendasikan",ROW($6:$1005)-5),223)+5)),INDEX(checklistPesertaKemenkeu!$L$6:$L$1005,SMALL(IF(checklistPesertaKemenkeu!$AY$6:$AY$1005="Direkomendasikan",ROW($6:$1005)-5),223)))=1),IFERROR(VLOOKUP(INDEX(checklistPesertaKemenkeu!$L$6:$L$1005,SMALL(IF(checklistPesertaKemenkeu!$AY$6:$AY$1005="Direkomendasikan",ROW($6:$1005)-5),223)),KotaKode,2,0),"-"),"")),"")</f>
        <v/>
      </c>
      <c r="I224" t="str">
        <f t="array" aca="1" ref="I224" ca="1">IFERROR(IF(OR(INDEX(checklistPesertaKemenkeu!$M$6:$M$1005,SMALL(IF(checklistPesertaKemenkeu!$AY$6:$AY$1005="Direkomendasikan",ROW($6:$1005)-5),223))="",INDEX(checklistPesertaKemenkeu!$J$6:$J$1005,SMALL(IF(checklistPesertaKemenkeu!$AY$6:$AY$1005="Direkomendasikan",ROW($6:$1005)-5),223))=""),"",IF(AND(COUNTIF(INDIRECT("K_"&amp;MATCH(INDEX(checklistPesertaKemenkeu!$J$6:$J$1005,SMALL(IF(checklistPesertaKemenkeu!$AY$6:$AY$1005="Direkomendasikan",ROW($6:$1005)-5),223)),BidangList,0)),INDEX(checklistPesertaKemenkeu!$M$6:$M$1005,SMALL(IF(checklistPesertaKemenkeu!$AY$6:$AY$1005="Direkomendasikan",ROW($6:$1005)-5),223)))&gt;0,COUNTIF(INDIRECT("'KERTAS KERJA'!K"&amp;(SMALL(IF(checklistPesertaKemenkeu!$AY$6:$AY$1005="Direkomendasikan",ROW($6:$1005)-5),223)+5)&amp;":O"&amp;(SMALL(IF(checklistPesertaKemenkeu!$AY$6:$AY$1005="Direkomendasikan",ROW($6:$1005)-5),223)+5)),INDEX(checklistPesertaKemenkeu!$M$6:$M$1005,SMALL(IF(checklistPesertaKemenkeu!$AY$6:$AY$1005="Direkomendasikan",ROW($6:$1005)-5),223)))=1),IFERROR(VLOOKUP(INDEX(checklistPesertaKemenkeu!$M$6:$M$1005,SMALL(IF(checklistPesertaKemenkeu!$AY$6:$AY$1005="Direkomendasikan",ROW($6:$1005)-5),223)),KotaKode,2,0),"-"),"")),"")</f>
        <v/>
      </c>
      <c r="J224" t="str">
        <f t="array" aca="1" ref="J224" ca="1">IFERROR(IF(OR(INDEX(checklistPesertaKemenkeu!$N$6:$N$1005,SMALL(IF(checklistPesertaKemenkeu!$AY$6:$AY$1005="Direkomendasikan",ROW($6:$1005)-5),223))="",INDEX(checklistPesertaKemenkeu!$J$6:$J$1005,SMALL(IF(checklistPesertaKemenkeu!$AY$6:$AY$1005="Direkomendasikan",ROW($6:$1005)-5),223))=""),"",IF(AND(COUNTIF(INDIRECT("K_"&amp;MATCH(INDEX(checklistPesertaKemenkeu!$J$6:$J$1005,SMALL(IF(checklistPesertaKemenkeu!$AY$6:$AY$1005="Direkomendasikan",ROW($6:$1005)-5),223)),BidangList,0)),INDEX(checklistPesertaKemenkeu!$N$6:$N$1005,SMALL(IF(checklistPesertaKemenkeu!$AY$6:$AY$1005="Direkomendasikan",ROW($6:$1005)-5),223)))&gt;0,COUNTIF(INDIRECT("'KERTAS KERJA'!K"&amp;(SMALL(IF(checklistPesertaKemenkeu!$AY$6:$AY$1005="Direkomendasikan",ROW($6:$1005)-5),223)+5)&amp;":O"&amp;(SMALL(IF(checklistPesertaKemenkeu!$AY$6:$AY$1005="Direkomendasikan",ROW($6:$1005)-5),223)+5)),INDEX(checklistPesertaKemenkeu!$N$6:$N$1005,SMALL(IF(checklistPesertaKemenkeu!$AY$6:$AY$1005="Direkomendasikan",ROW($6:$1005)-5),223)))=1),IFERROR(VLOOKUP(INDEX(checklistPesertaKemenkeu!$N$6:$N$1005,SMALL(IF(checklistPesertaKemenkeu!$AY$6:$AY$1005="Direkomendasikan",ROW($6:$1005)-5),223)),KotaKode,2,0),"-"),"")),"")</f>
        <v/>
      </c>
      <c r="K224" t="str">
        <f t="array" aca="1" ref="K224" ca="1">IFERROR(IF(OR(INDEX(checklistPesertaKemenkeu!$O$6:$O$1005,SMALL(IF(checklistPesertaKemenkeu!$AY$6:$AY$1005="Direkomendasikan",ROW($6:$1005)-5),223))="",INDEX(checklistPesertaKemenkeu!$J$6:$J$1005,SMALL(IF(checklistPesertaKemenkeu!$AY$6:$AY$1005="Direkomendasikan",ROW($6:$1005)-5),223))=""),"",IF(AND(COUNTIF(INDIRECT("K_"&amp;MATCH(INDEX(checklistPesertaKemenkeu!$J$6:$J$1005,SMALL(IF(checklistPesertaKemenkeu!$AY$6:$AY$1005="Direkomendasikan",ROW($6:$1005)-5),223)),BidangList,0)),INDEX(checklistPesertaKemenkeu!$O$6:$O$1005,SMALL(IF(checklistPesertaKemenkeu!$AY$6:$AY$1005="Direkomendasikan",ROW($6:$1005)-5),223)))&gt;0,COUNTIF(INDIRECT("'KERTAS KERJA'!K"&amp;(SMALL(IF(checklistPesertaKemenkeu!$AY$6:$AY$1005="Direkomendasikan",ROW($6:$1005)-5),223)+5)&amp;":O"&amp;(SMALL(IF(checklistPesertaKemenkeu!$AY$6:$AY$1005="Direkomendasikan",ROW($6:$1005)-5),223)+5)),INDEX(checklistPesertaKemenkeu!$O$6:$O$1005,SMALL(IF(checklistPesertaKemenkeu!$AY$6:$AY$1005="Direkomendasikan",ROW($6:$1005)-5),223)))=1),IFERROR(VLOOKUP(INDEX(checklistPesertaKemenkeu!$O$6:$O$1005,SMALL(IF(checklistPesertaKemenkeu!$AY$6:$AY$1005="Direkomendasikan",ROW($6:$1005)-5),223)),KotaKode,2,0),"-"),"")),"")</f>
        <v/>
      </c>
      <c r="L224" t="str">
        <f t="array" aca="1" ref="L224" ca="1">IFERROR(IF(OR(INDEX(checklistPesertaKemenkeu!$P$6:$P$1005,SMALL(IF(checklistPesertaKemenkeu!$AY$6:$AY$1005="Direkomendasikan",ROW($6:$1005)-5),223))="",INDEX(checklistPesertaKemenkeu!$J$6:$J$1005,SMALL(IF(checklistPesertaKemenkeu!$AY$6:$AY$1005="Direkomendasikan",ROW($6:$1005)-5),223))=""),"",IF(AND(COUNTIF(INDIRECT("K_"&amp;MATCH(INDEX(checklistPesertaKemenkeu!$J$6:$J$1005,SMALL(IF(checklistPesertaKemenkeu!$AY$6:$AY$1005="Direkomendasikan",ROW($6:$1005)-5),223)),BidangList,0)),INDEX(checklistPesertaKemenkeu!$P$6:$P$1005,SMALL(IF(checklistPesertaKemenkeu!$AY$6:$AY$1005="Direkomendasikan",ROW($6:$1005)-5),223)))&gt;0,COUNTIF(INDIRECT("'KERTAS KERJA'!K"&amp;(SMALL(IF(checklistPesertaKemenkeu!$AY$6:$AY$1005="Direkomendasikan",ROW($6:$1005)-5),223)+5)&amp;":O"&amp;(SMALL(IF(checklistPesertaKemenkeu!$AY$6:$AY$1005="Direkomendasikan",ROW($6:$1005)-5),223)+5)),INDEX(checklistPesertaKemenkeu!$P$6:$P$1005,SMALL(IF(checklistPesertaKemenkeu!$AY$6:$AY$1005="Direkomendasikan",ROW($6:$1005)-5),223)))=1),IFERROR(VLOOKUP(INDEX(checklistPesertaKemenkeu!$P$6:$P$1005,SMALL(IF(checklistPesertaKemenkeu!$AY$6:$AY$1005="Direkomendasikan",ROW($6:$1005)-5),223)),KotaKode,2,0),"-"),"")),"")</f>
        <v/>
      </c>
    </row>
    <row r="225" spans="1:12" ht="15" customHeight="1" x14ac:dyDescent="0.2">
      <c r="A225" t="str">
        <f t="shared" si="3"/>
        <v/>
      </c>
      <c r="B225" t="str">
        <v/>
      </c>
      <c r="C225" s="40" t="str">
        <f t="array" ref="C225">IFERROR(INDEX(checklistPesertaKemenkeu!$F$6:$F$1005,SMALL(IF(checklistPesertaKemenkeu!$AY$6:$AY$1005="Direkomendasikan",ROW($6:$1005)-5),224)),"")</f>
        <v/>
      </c>
      <c r="D225" t="str">
        <f t="array" ref="D225">IFERROR(INDEX(checklistPesertaKemenkeu!$G$6:$G$1005,SMALL(IF(checklistPesertaKemenkeu!$AY$6:$AY$1005="Direkomendasikan",ROW($6:$1005)-5),224)),"")</f>
        <v/>
      </c>
      <c r="E225" t="str">
        <f t="array" ref="E225">IFERROR(INDEX(checklistPesertaKemenkeu!$H$6:$H$1005,SMALL(IF(checklistPesertaKemenkeu!$AY$6:$AY$1005="Direkomendasikan",ROW($6:$1005)-5),224)),"")</f>
        <v/>
      </c>
      <c r="F225" t="str">
        <f t="array" ref="F225">IFERROR(INDEX(checklistPesertaKemenkeu!$I$6:$I$1005,SMALL(IF(checklistPesertaKemenkeu!$AY$6:$AY$1005="Direkomendasikan",ROW($6:$1005)-5),224)),"")</f>
        <v/>
      </c>
      <c r="G225" t="str">
        <f t="array" ref="G225">IFERROR(INDEX(checklistPesertaKemenkeu!$J$6:$J$1005,SMALL(IF(checklistPesertaKemenkeu!$AY$6:$AY$1005="Direkomendasikan",ROW($6:$1005)-5),224)),"")</f>
        <v/>
      </c>
      <c r="H225" t="str">
        <f t="array" aca="1" ref="H225" ca="1">IFERROR(IF(OR(INDEX(checklistPesertaKemenkeu!$L$6:$L$1005,SMALL(IF(checklistPesertaKemenkeu!$AY$6:$AY$1005="Direkomendasikan",ROW($6:$1005)-5),224))="",INDEX(checklistPesertaKemenkeu!$J$6:$J$1005,SMALL(IF(checklistPesertaKemenkeu!$AY$6:$AY$1005="Direkomendasikan",ROW($6:$1005)-5),224))=""),"",IF(AND(COUNTIF(INDIRECT("K_"&amp;MATCH(INDEX(checklistPesertaKemenkeu!$J$6:$J$1005,SMALL(IF(checklistPesertaKemenkeu!$AY$6:$AY$1005="Direkomendasikan",ROW($6:$1005)-5),224)),BidangList,0)),INDEX(checklistPesertaKemenkeu!$L$6:$L$1005,SMALL(IF(checklistPesertaKemenkeu!$AY$6:$AY$1005="Direkomendasikan",ROW($6:$1005)-5),224)))&gt;0,COUNTIF(INDIRECT("'KERTAS KERJA'!K"&amp;(SMALL(IF(checklistPesertaKemenkeu!$AY$6:$AY$1005="Direkomendasikan",ROW($6:$1005)-5),224)+5)&amp;":O"&amp;(SMALL(IF(checklistPesertaKemenkeu!$AY$6:$AY$1005="Direkomendasikan",ROW($6:$1005)-5),224)+5)),INDEX(checklistPesertaKemenkeu!$L$6:$L$1005,SMALL(IF(checklistPesertaKemenkeu!$AY$6:$AY$1005="Direkomendasikan",ROW($6:$1005)-5),224)))=1),IFERROR(VLOOKUP(INDEX(checklistPesertaKemenkeu!$L$6:$L$1005,SMALL(IF(checklistPesertaKemenkeu!$AY$6:$AY$1005="Direkomendasikan",ROW($6:$1005)-5),224)),KotaKode,2,0),"-"),"")),"")</f>
        <v/>
      </c>
      <c r="I225" t="str">
        <f t="array" aca="1" ref="I225" ca="1">IFERROR(IF(OR(INDEX(checklistPesertaKemenkeu!$M$6:$M$1005,SMALL(IF(checklistPesertaKemenkeu!$AY$6:$AY$1005="Direkomendasikan",ROW($6:$1005)-5),224))="",INDEX(checklistPesertaKemenkeu!$J$6:$J$1005,SMALL(IF(checklistPesertaKemenkeu!$AY$6:$AY$1005="Direkomendasikan",ROW($6:$1005)-5),224))=""),"",IF(AND(COUNTIF(INDIRECT("K_"&amp;MATCH(INDEX(checklistPesertaKemenkeu!$J$6:$J$1005,SMALL(IF(checklistPesertaKemenkeu!$AY$6:$AY$1005="Direkomendasikan",ROW($6:$1005)-5),224)),BidangList,0)),INDEX(checklistPesertaKemenkeu!$M$6:$M$1005,SMALL(IF(checklistPesertaKemenkeu!$AY$6:$AY$1005="Direkomendasikan",ROW($6:$1005)-5),224)))&gt;0,COUNTIF(INDIRECT("'KERTAS KERJA'!K"&amp;(SMALL(IF(checklistPesertaKemenkeu!$AY$6:$AY$1005="Direkomendasikan",ROW($6:$1005)-5),224)+5)&amp;":O"&amp;(SMALL(IF(checklistPesertaKemenkeu!$AY$6:$AY$1005="Direkomendasikan",ROW($6:$1005)-5),224)+5)),INDEX(checklistPesertaKemenkeu!$M$6:$M$1005,SMALL(IF(checklistPesertaKemenkeu!$AY$6:$AY$1005="Direkomendasikan",ROW($6:$1005)-5),224)))=1),IFERROR(VLOOKUP(INDEX(checklistPesertaKemenkeu!$M$6:$M$1005,SMALL(IF(checklistPesertaKemenkeu!$AY$6:$AY$1005="Direkomendasikan",ROW($6:$1005)-5),224)),KotaKode,2,0),"-"),"")),"")</f>
        <v/>
      </c>
      <c r="J225" t="str">
        <f t="array" aca="1" ref="J225" ca="1">IFERROR(IF(OR(INDEX(checklistPesertaKemenkeu!$N$6:$N$1005,SMALL(IF(checklistPesertaKemenkeu!$AY$6:$AY$1005="Direkomendasikan",ROW($6:$1005)-5),224))="",INDEX(checklistPesertaKemenkeu!$J$6:$J$1005,SMALL(IF(checklistPesertaKemenkeu!$AY$6:$AY$1005="Direkomendasikan",ROW($6:$1005)-5),224))=""),"",IF(AND(COUNTIF(INDIRECT("K_"&amp;MATCH(INDEX(checklistPesertaKemenkeu!$J$6:$J$1005,SMALL(IF(checklistPesertaKemenkeu!$AY$6:$AY$1005="Direkomendasikan",ROW($6:$1005)-5),224)),BidangList,0)),INDEX(checklistPesertaKemenkeu!$N$6:$N$1005,SMALL(IF(checklistPesertaKemenkeu!$AY$6:$AY$1005="Direkomendasikan",ROW($6:$1005)-5),224)))&gt;0,COUNTIF(INDIRECT("'KERTAS KERJA'!K"&amp;(SMALL(IF(checklistPesertaKemenkeu!$AY$6:$AY$1005="Direkomendasikan",ROW($6:$1005)-5),224)+5)&amp;":O"&amp;(SMALL(IF(checklistPesertaKemenkeu!$AY$6:$AY$1005="Direkomendasikan",ROW($6:$1005)-5),224)+5)),INDEX(checklistPesertaKemenkeu!$N$6:$N$1005,SMALL(IF(checklistPesertaKemenkeu!$AY$6:$AY$1005="Direkomendasikan",ROW($6:$1005)-5),224)))=1),IFERROR(VLOOKUP(INDEX(checklistPesertaKemenkeu!$N$6:$N$1005,SMALL(IF(checklistPesertaKemenkeu!$AY$6:$AY$1005="Direkomendasikan",ROW($6:$1005)-5),224)),KotaKode,2,0),"-"),"")),"")</f>
        <v/>
      </c>
      <c r="K225" t="str">
        <f t="array" aca="1" ref="K225" ca="1">IFERROR(IF(OR(INDEX(checklistPesertaKemenkeu!$O$6:$O$1005,SMALL(IF(checklistPesertaKemenkeu!$AY$6:$AY$1005="Direkomendasikan",ROW($6:$1005)-5),224))="",INDEX(checklistPesertaKemenkeu!$J$6:$J$1005,SMALL(IF(checklistPesertaKemenkeu!$AY$6:$AY$1005="Direkomendasikan",ROW($6:$1005)-5),224))=""),"",IF(AND(COUNTIF(INDIRECT("K_"&amp;MATCH(INDEX(checklistPesertaKemenkeu!$J$6:$J$1005,SMALL(IF(checklistPesertaKemenkeu!$AY$6:$AY$1005="Direkomendasikan",ROW($6:$1005)-5),224)),BidangList,0)),INDEX(checklistPesertaKemenkeu!$O$6:$O$1005,SMALL(IF(checklistPesertaKemenkeu!$AY$6:$AY$1005="Direkomendasikan",ROW($6:$1005)-5),224)))&gt;0,COUNTIF(INDIRECT("'KERTAS KERJA'!K"&amp;(SMALL(IF(checklistPesertaKemenkeu!$AY$6:$AY$1005="Direkomendasikan",ROW($6:$1005)-5),224)+5)&amp;":O"&amp;(SMALL(IF(checklistPesertaKemenkeu!$AY$6:$AY$1005="Direkomendasikan",ROW($6:$1005)-5),224)+5)),INDEX(checklistPesertaKemenkeu!$O$6:$O$1005,SMALL(IF(checklistPesertaKemenkeu!$AY$6:$AY$1005="Direkomendasikan",ROW($6:$1005)-5),224)))=1),IFERROR(VLOOKUP(INDEX(checklistPesertaKemenkeu!$O$6:$O$1005,SMALL(IF(checklistPesertaKemenkeu!$AY$6:$AY$1005="Direkomendasikan",ROW($6:$1005)-5),224)),KotaKode,2,0),"-"),"")),"")</f>
        <v/>
      </c>
      <c r="L225" t="str">
        <f t="array" aca="1" ref="L225" ca="1">IFERROR(IF(OR(INDEX(checklistPesertaKemenkeu!$P$6:$P$1005,SMALL(IF(checklistPesertaKemenkeu!$AY$6:$AY$1005="Direkomendasikan",ROW($6:$1005)-5),224))="",INDEX(checklistPesertaKemenkeu!$J$6:$J$1005,SMALL(IF(checklistPesertaKemenkeu!$AY$6:$AY$1005="Direkomendasikan",ROW($6:$1005)-5),224))=""),"",IF(AND(COUNTIF(INDIRECT("K_"&amp;MATCH(INDEX(checklistPesertaKemenkeu!$J$6:$J$1005,SMALL(IF(checklistPesertaKemenkeu!$AY$6:$AY$1005="Direkomendasikan",ROW($6:$1005)-5),224)),BidangList,0)),INDEX(checklistPesertaKemenkeu!$P$6:$P$1005,SMALL(IF(checklistPesertaKemenkeu!$AY$6:$AY$1005="Direkomendasikan",ROW($6:$1005)-5),224)))&gt;0,COUNTIF(INDIRECT("'KERTAS KERJA'!K"&amp;(SMALL(IF(checklistPesertaKemenkeu!$AY$6:$AY$1005="Direkomendasikan",ROW($6:$1005)-5),224)+5)&amp;":O"&amp;(SMALL(IF(checklistPesertaKemenkeu!$AY$6:$AY$1005="Direkomendasikan",ROW($6:$1005)-5),224)+5)),INDEX(checklistPesertaKemenkeu!$P$6:$P$1005,SMALL(IF(checklistPesertaKemenkeu!$AY$6:$AY$1005="Direkomendasikan",ROW($6:$1005)-5),224)))=1),IFERROR(VLOOKUP(INDEX(checklistPesertaKemenkeu!$P$6:$P$1005,SMALL(IF(checklistPesertaKemenkeu!$AY$6:$AY$1005="Direkomendasikan",ROW($6:$1005)-5),224)),KotaKode,2,0),"-"),"")),"")</f>
        <v/>
      </c>
    </row>
    <row r="226" spans="1:12" ht="15" customHeight="1" x14ac:dyDescent="0.2">
      <c r="A226" t="str">
        <f t="shared" si="3"/>
        <v/>
      </c>
      <c r="B226" t="str">
        <v/>
      </c>
      <c r="C226" s="40" t="str">
        <f t="array" ref="C226">IFERROR(INDEX(checklistPesertaKemenkeu!$F$6:$F$1005,SMALL(IF(checklistPesertaKemenkeu!$AY$6:$AY$1005="Direkomendasikan",ROW($6:$1005)-5),225)),"")</f>
        <v/>
      </c>
      <c r="D226" t="str">
        <f t="array" ref="D226">IFERROR(INDEX(checklistPesertaKemenkeu!$G$6:$G$1005,SMALL(IF(checklistPesertaKemenkeu!$AY$6:$AY$1005="Direkomendasikan",ROW($6:$1005)-5),225)),"")</f>
        <v/>
      </c>
      <c r="E226" t="str">
        <f t="array" ref="E226">IFERROR(INDEX(checklistPesertaKemenkeu!$H$6:$H$1005,SMALL(IF(checklistPesertaKemenkeu!$AY$6:$AY$1005="Direkomendasikan",ROW($6:$1005)-5),225)),"")</f>
        <v/>
      </c>
      <c r="F226" t="str">
        <f t="array" ref="F226">IFERROR(INDEX(checklistPesertaKemenkeu!$I$6:$I$1005,SMALL(IF(checklistPesertaKemenkeu!$AY$6:$AY$1005="Direkomendasikan",ROW($6:$1005)-5),225)),"")</f>
        <v/>
      </c>
      <c r="G226" t="str">
        <f t="array" ref="G226">IFERROR(INDEX(checklistPesertaKemenkeu!$J$6:$J$1005,SMALL(IF(checklistPesertaKemenkeu!$AY$6:$AY$1005="Direkomendasikan",ROW($6:$1005)-5),225)),"")</f>
        <v/>
      </c>
      <c r="H226" t="str">
        <f t="array" aca="1" ref="H226" ca="1">IFERROR(IF(OR(INDEX(checklistPesertaKemenkeu!$L$6:$L$1005,SMALL(IF(checklistPesertaKemenkeu!$AY$6:$AY$1005="Direkomendasikan",ROW($6:$1005)-5),225))="",INDEX(checklistPesertaKemenkeu!$J$6:$J$1005,SMALL(IF(checklistPesertaKemenkeu!$AY$6:$AY$1005="Direkomendasikan",ROW($6:$1005)-5),225))=""),"",IF(AND(COUNTIF(INDIRECT("K_"&amp;MATCH(INDEX(checklistPesertaKemenkeu!$J$6:$J$1005,SMALL(IF(checklistPesertaKemenkeu!$AY$6:$AY$1005="Direkomendasikan",ROW($6:$1005)-5),225)),BidangList,0)),INDEX(checklistPesertaKemenkeu!$L$6:$L$1005,SMALL(IF(checklistPesertaKemenkeu!$AY$6:$AY$1005="Direkomendasikan",ROW($6:$1005)-5),225)))&gt;0,COUNTIF(INDIRECT("'KERTAS KERJA'!K"&amp;(SMALL(IF(checklistPesertaKemenkeu!$AY$6:$AY$1005="Direkomendasikan",ROW($6:$1005)-5),225)+5)&amp;":O"&amp;(SMALL(IF(checklistPesertaKemenkeu!$AY$6:$AY$1005="Direkomendasikan",ROW($6:$1005)-5),225)+5)),INDEX(checklistPesertaKemenkeu!$L$6:$L$1005,SMALL(IF(checklistPesertaKemenkeu!$AY$6:$AY$1005="Direkomendasikan",ROW($6:$1005)-5),225)))=1),IFERROR(VLOOKUP(INDEX(checklistPesertaKemenkeu!$L$6:$L$1005,SMALL(IF(checklistPesertaKemenkeu!$AY$6:$AY$1005="Direkomendasikan",ROW($6:$1005)-5),225)),KotaKode,2,0),"-"),"")),"")</f>
        <v/>
      </c>
      <c r="I226" t="str">
        <f t="array" aca="1" ref="I226" ca="1">IFERROR(IF(OR(INDEX(checklistPesertaKemenkeu!$M$6:$M$1005,SMALL(IF(checklistPesertaKemenkeu!$AY$6:$AY$1005="Direkomendasikan",ROW($6:$1005)-5),225))="",INDEX(checklistPesertaKemenkeu!$J$6:$J$1005,SMALL(IF(checklistPesertaKemenkeu!$AY$6:$AY$1005="Direkomendasikan",ROW($6:$1005)-5),225))=""),"",IF(AND(COUNTIF(INDIRECT("K_"&amp;MATCH(INDEX(checklistPesertaKemenkeu!$J$6:$J$1005,SMALL(IF(checklistPesertaKemenkeu!$AY$6:$AY$1005="Direkomendasikan",ROW($6:$1005)-5),225)),BidangList,0)),INDEX(checklistPesertaKemenkeu!$M$6:$M$1005,SMALL(IF(checklistPesertaKemenkeu!$AY$6:$AY$1005="Direkomendasikan",ROW($6:$1005)-5),225)))&gt;0,COUNTIF(INDIRECT("'KERTAS KERJA'!K"&amp;(SMALL(IF(checklistPesertaKemenkeu!$AY$6:$AY$1005="Direkomendasikan",ROW($6:$1005)-5),225)+5)&amp;":O"&amp;(SMALL(IF(checklistPesertaKemenkeu!$AY$6:$AY$1005="Direkomendasikan",ROW($6:$1005)-5),225)+5)),INDEX(checklistPesertaKemenkeu!$M$6:$M$1005,SMALL(IF(checklistPesertaKemenkeu!$AY$6:$AY$1005="Direkomendasikan",ROW($6:$1005)-5),225)))=1),IFERROR(VLOOKUP(INDEX(checklistPesertaKemenkeu!$M$6:$M$1005,SMALL(IF(checklistPesertaKemenkeu!$AY$6:$AY$1005="Direkomendasikan",ROW($6:$1005)-5),225)),KotaKode,2,0),"-"),"")),"")</f>
        <v/>
      </c>
      <c r="J226" t="str">
        <f t="array" aca="1" ref="J226" ca="1">IFERROR(IF(OR(INDEX(checklistPesertaKemenkeu!$N$6:$N$1005,SMALL(IF(checklistPesertaKemenkeu!$AY$6:$AY$1005="Direkomendasikan",ROW($6:$1005)-5),225))="",INDEX(checklistPesertaKemenkeu!$J$6:$J$1005,SMALL(IF(checklistPesertaKemenkeu!$AY$6:$AY$1005="Direkomendasikan",ROW($6:$1005)-5),225))=""),"",IF(AND(COUNTIF(INDIRECT("K_"&amp;MATCH(INDEX(checklistPesertaKemenkeu!$J$6:$J$1005,SMALL(IF(checklistPesertaKemenkeu!$AY$6:$AY$1005="Direkomendasikan",ROW($6:$1005)-5),225)),BidangList,0)),INDEX(checklistPesertaKemenkeu!$N$6:$N$1005,SMALL(IF(checklistPesertaKemenkeu!$AY$6:$AY$1005="Direkomendasikan",ROW($6:$1005)-5),225)))&gt;0,COUNTIF(INDIRECT("'KERTAS KERJA'!K"&amp;(SMALL(IF(checklistPesertaKemenkeu!$AY$6:$AY$1005="Direkomendasikan",ROW($6:$1005)-5),225)+5)&amp;":O"&amp;(SMALL(IF(checklistPesertaKemenkeu!$AY$6:$AY$1005="Direkomendasikan",ROW($6:$1005)-5),225)+5)),INDEX(checklistPesertaKemenkeu!$N$6:$N$1005,SMALL(IF(checklistPesertaKemenkeu!$AY$6:$AY$1005="Direkomendasikan",ROW($6:$1005)-5),225)))=1),IFERROR(VLOOKUP(INDEX(checklistPesertaKemenkeu!$N$6:$N$1005,SMALL(IF(checklistPesertaKemenkeu!$AY$6:$AY$1005="Direkomendasikan",ROW($6:$1005)-5),225)),KotaKode,2,0),"-"),"")),"")</f>
        <v/>
      </c>
      <c r="K226" t="str">
        <f t="array" aca="1" ref="K226" ca="1">IFERROR(IF(OR(INDEX(checklistPesertaKemenkeu!$O$6:$O$1005,SMALL(IF(checklistPesertaKemenkeu!$AY$6:$AY$1005="Direkomendasikan",ROW($6:$1005)-5),225))="",INDEX(checklistPesertaKemenkeu!$J$6:$J$1005,SMALL(IF(checklistPesertaKemenkeu!$AY$6:$AY$1005="Direkomendasikan",ROW($6:$1005)-5),225))=""),"",IF(AND(COUNTIF(INDIRECT("K_"&amp;MATCH(INDEX(checklistPesertaKemenkeu!$J$6:$J$1005,SMALL(IF(checklistPesertaKemenkeu!$AY$6:$AY$1005="Direkomendasikan",ROW($6:$1005)-5),225)),BidangList,0)),INDEX(checklistPesertaKemenkeu!$O$6:$O$1005,SMALL(IF(checklistPesertaKemenkeu!$AY$6:$AY$1005="Direkomendasikan",ROW($6:$1005)-5),225)))&gt;0,COUNTIF(INDIRECT("'KERTAS KERJA'!K"&amp;(SMALL(IF(checklistPesertaKemenkeu!$AY$6:$AY$1005="Direkomendasikan",ROW($6:$1005)-5),225)+5)&amp;":O"&amp;(SMALL(IF(checklistPesertaKemenkeu!$AY$6:$AY$1005="Direkomendasikan",ROW($6:$1005)-5),225)+5)),INDEX(checklistPesertaKemenkeu!$O$6:$O$1005,SMALL(IF(checklistPesertaKemenkeu!$AY$6:$AY$1005="Direkomendasikan",ROW($6:$1005)-5),225)))=1),IFERROR(VLOOKUP(INDEX(checklistPesertaKemenkeu!$O$6:$O$1005,SMALL(IF(checklistPesertaKemenkeu!$AY$6:$AY$1005="Direkomendasikan",ROW($6:$1005)-5),225)),KotaKode,2,0),"-"),"")),"")</f>
        <v/>
      </c>
      <c r="L226" t="str">
        <f t="array" aca="1" ref="L226" ca="1">IFERROR(IF(OR(INDEX(checklistPesertaKemenkeu!$P$6:$P$1005,SMALL(IF(checklistPesertaKemenkeu!$AY$6:$AY$1005="Direkomendasikan",ROW($6:$1005)-5),225))="",INDEX(checklistPesertaKemenkeu!$J$6:$J$1005,SMALL(IF(checklistPesertaKemenkeu!$AY$6:$AY$1005="Direkomendasikan",ROW($6:$1005)-5),225))=""),"",IF(AND(COUNTIF(INDIRECT("K_"&amp;MATCH(INDEX(checklistPesertaKemenkeu!$J$6:$J$1005,SMALL(IF(checklistPesertaKemenkeu!$AY$6:$AY$1005="Direkomendasikan",ROW($6:$1005)-5),225)),BidangList,0)),INDEX(checklistPesertaKemenkeu!$P$6:$P$1005,SMALL(IF(checklistPesertaKemenkeu!$AY$6:$AY$1005="Direkomendasikan",ROW($6:$1005)-5),225)))&gt;0,COUNTIF(INDIRECT("'KERTAS KERJA'!K"&amp;(SMALL(IF(checklistPesertaKemenkeu!$AY$6:$AY$1005="Direkomendasikan",ROW($6:$1005)-5),225)+5)&amp;":O"&amp;(SMALL(IF(checklistPesertaKemenkeu!$AY$6:$AY$1005="Direkomendasikan",ROW($6:$1005)-5),225)+5)),INDEX(checklistPesertaKemenkeu!$P$6:$P$1005,SMALL(IF(checklistPesertaKemenkeu!$AY$6:$AY$1005="Direkomendasikan",ROW($6:$1005)-5),225)))=1),IFERROR(VLOOKUP(INDEX(checklistPesertaKemenkeu!$P$6:$P$1005,SMALL(IF(checklistPesertaKemenkeu!$AY$6:$AY$1005="Direkomendasikan",ROW($6:$1005)-5),225)),KotaKode,2,0),"-"),"")),"")</f>
        <v/>
      </c>
    </row>
    <row r="227" spans="1:12" ht="15" customHeight="1" x14ac:dyDescent="0.2">
      <c r="A227" t="str">
        <f t="shared" si="3"/>
        <v/>
      </c>
      <c r="B227" t="str">
        <v/>
      </c>
      <c r="C227" s="40" t="str">
        <f t="array" ref="C227">IFERROR(INDEX(checklistPesertaKemenkeu!$F$6:$F$1005,SMALL(IF(checklistPesertaKemenkeu!$AY$6:$AY$1005="Direkomendasikan",ROW($6:$1005)-5),226)),"")</f>
        <v/>
      </c>
      <c r="D227" t="str">
        <f t="array" ref="D227">IFERROR(INDEX(checklistPesertaKemenkeu!$G$6:$G$1005,SMALL(IF(checklistPesertaKemenkeu!$AY$6:$AY$1005="Direkomendasikan",ROW($6:$1005)-5),226)),"")</f>
        <v/>
      </c>
      <c r="E227" t="str">
        <f t="array" ref="E227">IFERROR(INDEX(checklistPesertaKemenkeu!$H$6:$H$1005,SMALL(IF(checklistPesertaKemenkeu!$AY$6:$AY$1005="Direkomendasikan",ROW($6:$1005)-5),226)),"")</f>
        <v/>
      </c>
      <c r="F227" t="str">
        <f t="array" ref="F227">IFERROR(INDEX(checklistPesertaKemenkeu!$I$6:$I$1005,SMALL(IF(checklistPesertaKemenkeu!$AY$6:$AY$1005="Direkomendasikan",ROW($6:$1005)-5),226)),"")</f>
        <v/>
      </c>
      <c r="G227" t="str">
        <f t="array" ref="G227">IFERROR(INDEX(checklistPesertaKemenkeu!$J$6:$J$1005,SMALL(IF(checklistPesertaKemenkeu!$AY$6:$AY$1005="Direkomendasikan",ROW($6:$1005)-5),226)),"")</f>
        <v/>
      </c>
      <c r="H227" t="str">
        <f t="array" aca="1" ref="H227" ca="1">IFERROR(IF(OR(INDEX(checklistPesertaKemenkeu!$L$6:$L$1005,SMALL(IF(checklistPesertaKemenkeu!$AY$6:$AY$1005="Direkomendasikan",ROW($6:$1005)-5),226))="",INDEX(checklistPesertaKemenkeu!$J$6:$J$1005,SMALL(IF(checklistPesertaKemenkeu!$AY$6:$AY$1005="Direkomendasikan",ROW($6:$1005)-5),226))=""),"",IF(AND(COUNTIF(INDIRECT("K_"&amp;MATCH(INDEX(checklistPesertaKemenkeu!$J$6:$J$1005,SMALL(IF(checklistPesertaKemenkeu!$AY$6:$AY$1005="Direkomendasikan",ROW($6:$1005)-5),226)),BidangList,0)),INDEX(checklistPesertaKemenkeu!$L$6:$L$1005,SMALL(IF(checklistPesertaKemenkeu!$AY$6:$AY$1005="Direkomendasikan",ROW($6:$1005)-5),226)))&gt;0,COUNTIF(INDIRECT("'KERTAS KERJA'!K"&amp;(SMALL(IF(checklistPesertaKemenkeu!$AY$6:$AY$1005="Direkomendasikan",ROW($6:$1005)-5),226)+5)&amp;":O"&amp;(SMALL(IF(checklistPesertaKemenkeu!$AY$6:$AY$1005="Direkomendasikan",ROW($6:$1005)-5),226)+5)),INDEX(checklistPesertaKemenkeu!$L$6:$L$1005,SMALL(IF(checklistPesertaKemenkeu!$AY$6:$AY$1005="Direkomendasikan",ROW($6:$1005)-5),226)))=1),IFERROR(VLOOKUP(INDEX(checklistPesertaKemenkeu!$L$6:$L$1005,SMALL(IF(checklistPesertaKemenkeu!$AY$6:$AY$1005="Direkomendasikan",ROW($6:$1005)-5),226)),KotaKode,2,0),"-"),"")),"")</f>
        <v/>
      </c>
      <c r="I227" t="str">
        <f t="array" aca="1" ref="I227" ca="1">IFERROR(IF(OR(INDEX(checklistPesertaKemenkeu!$M$6:$M$1005,SMALL(IF(checklistPesertaKemenkeu!$AY$6:$AY$1005="Direkomendasikan",ROW($6:$1005)-5),226))="",INDEX(checklistPesertaKemenkeu!$J$6:$J$1005,SMALL(IF(checklistPesertaKemenkeu!$AY$6:$AY$1005="Direkomendasikan",ROW($6:$1005)-5),226))=""),"",IF(AND(COUNTIF(INDIRECT("K_"&amp;MATCH(INDEX(checklistPesertaKemenkeu!$J$6:$J$1005,SMALL(IF(checklistPesertaKemenkeu!$AY$6:$AY$1005="Direkomendasikan",ROW($6:$1005)-5),226)),BidangList,0)),INDEX(checklistPesertaKemenkeu!$M$6:$M$1005,SMALL(IF(checklistPesertaKemenkeu!$AY$6:$AY$1005="Direkomendasikan",ROW($6:$1005)-5),226)))&gt;0,COUNTIF(INDIRECT("'KERTAS KERJA'!K"&amp;(SMALL(IF(checklistPesertaKemenkeu!$AY$6:$AY$1005="Direkomendasikan",ROW($6:$1005)-5),226)+5)&amp;":O"&amp;(SMALL(IF(checklistPesertaKemenkeu!$AY$6:$AY$1005="Direkomendasikan",ROW($6:$1005)-5),226)+5)),INDEX(checklistPesertaKemenkeu!$M$6:$M$1005,SMALL(IF(checklistPesertaKemenkeu!$AY$6:$AY$1005="Direkomendasikan",ROW($6:$1005)-5),226)))=1),IFERROR(VLOOKUP(INDEX(checklistPesertaKemenkeu!$M$6:$M$1005,SMALL(IF(checklistPesertaKemenkeu!$AY$6:$AY$1005="Direkomendasikan",ROW($6:$1005)-5),226)),KotaKode,2,0),"-"),"")),"")</f>
        <v/>
      </c>
      <c r="J227" t="str">
        <f t="array" aca="1" ref="J227" ca="1">IFERROR(IF(OR(INDEX(checklistPesertaKemenkeu!$N$6:$N$1005,SMALL(IF(checklistPesertaKemenkeu!$AY$6:$AY$1005="Direkomendasikan",ROW($6:$1005)-5),226))="",INDEX(checklistPesertaKemenkeu!$J$6:$J$1005,SMALL(IF(checklistPesertaKemenkeu!$AY$6:$AY$1005="Direkomendasikan",ROW($6:$1005)-5),226))=""),"",IF(AND(COUNTIF(INDIRECT("K_"&amp;MATCH(INDEX(checklistPesertaKemenkeu!$J$6:$J$1005,SMALL(IF(checklistPesertaKemenkeu!$AY$6:$AY$1005="Direkomendasikan",ROW($6:$1005)-5),226)),BidangList,0)),INDEX(checklistPesertaKemenkeu!$N$6:$N$1005,SMALL(IF(checklistPesertaKemenkeu!$AY$6:$AY$1005="Direkomendasikan",ROW($6:$1005)-5),226)))&gt;0,COUNTIF(INDIRECT("'KERTAS KERJA'!K"&amp;(SMALL(IF(checklistPesertaKemenkeu!$AY$6:$AY$1005="Direkomendasikan",ROW($6:$1005)-5),226)+5)&amp;":O"&amp;(SMALL(IF(checklistPesertaKemenkeu!$AY$6:$AY$1005="Direkomendasikan",ROW($6:$1005)-5),226)+5)),INDEX(checklistPesertaKemenkeu!$N$6:$N$1005,SMALL(IF(checklistPesertaKemenkeu!$AY$6:$AY$1005="Direkomendasikan",ROW($6:$1005)-5),226)))=1),IFERROR(VLOOKUP(INDEX(checklistPesertaKemenkeu!$N$6:$N$1005,SMALL(IF(checklistPesertaKemenkeu!$AY$6:$AY$1005="Direkomendasikan",ROW($6:$1005)-5),226)),KotaKode,2,0),"-"),"")),"")</f>
        <v/>
      </c>
      <c r="K227" t="str">
        <f t="array" aca="1" ref="K227" ca="1">IFERROR(IF(OR(INDEX(checklistPesertaKemenkeu!$O$6:$O$1005,SMALL(IF(checklistPesertaKemenkeu!$AY$6:$AY$1005="Direkomendasikan",ROW($6:$1005)-5),226))="",INDEX(checklistPesertaKemenkeu!$J$6:$J$1005,SMALL(IF(checklistPesertaKemenkeu!$AY$6:$AY$1005="Direkomendasikan",ROW($6:$1005)-5),226))=""),"",IF(AND(COUNTIF(INDIRECT("K_"&amp;MATCH(INDEX(checklistPesertaKemenkeu!$J$6:$J$1005,SMALL(IF(checklistPesertaKemenkeu!$AY$6:$AY$1005="Direkomendasikan",ROW($6:$1005)-5),226)),BidangList,0)),INDEX(checklistPesertaKemenkeu!$O$6:$O$1005,SMALL(IF(checklistPesertaKemenkeu!$AY$6:$AY$1005="Direkomendasikan",ROW($6:$1005)-5),226)))&gt;0,COUNTIF(INDIRECT("'KERTAS KERJA'!K"&amp;(SMALL(IF(checklistPesertaKemenkeu!$AY$6:$AY$1005="Direkomendasikan",ROW($6:$1005)-5),226)+5)&amp;":O"&amp;(SMALL(IF(checklistPesertaKemenkeu!$AY$6:$AY$1005="Direkomendasikan",ROW($6:$1005)-5),226)+5)),INDEX(checklistPesertaKemenkeu!$O$6:$O$1005,SMALL(IF(checklistPesertaKemenkeu!$AY$6:$AY$1005="Direkomendasikan",ROW($6:$1005)-5),226)))=1),IFERROR(VLOOKUP(INDEX(checklistPesertaKemenkeu!$O$6:$O$1005,SMALL(IF(checklistPesertaKemenkeu!$AY$6:$AY$1005="Direkomendasikan",ROW($6:$1005)-5),226)),KotaKode,2,0),"-"),"")),"")</f>
        <v/>
      </c>
      <c r="L227" t="str">
        <f t="array" aca="1" ref="L227" ca="1">IFERROR(IF(OR(INDEX(checklistPesertaKemenkeu!$P$6:$P$1005,SMALL(IF(checklistPesertaKemenkeu!$AY$6:$AY$1005="Direkomendasikan",ROW($6:$1005)-5),226))="",INDEX(checklistPesertaKemenkeu!$J$6:$J$1005,SMALL(IF(checklistPesertaKemenkeu!$AY$6:$AY$1005="Direkomendasikan",ROW($6:$1005)-5),226))=""),"",IF(AND(COUNTIF(INDIRECT("K_"&amp;MATCH(INDEX(checklistPesertaKemenkeu!$J$6:$J$1005,SMALL(IF(checklistPesertaKemenkeu!$AY$6:$AY$1005="Direkomendasikan",ROW($6:$1005)-5),226)),BidangList,0)),INDEX(checklistPesertaKemenkeu!$P$6:$P$1005,SMALL(IF(checklistPesertaKemenkeu!$AY$6:$AY$1005="Direkomendasikan",ROW($6:$1005)-5),226)))&gt;0,COUNTIF(INDIRECT("'KERTAS KERJA'!K"&amp;(SMALL(IF(checklistPesertaKemenkeu!$AY$6:$AY$1005="Direkomendasikan",ROW($6:$1005)-5),226)+5)&amp;":O"&amp;(SMALL(IF(checklistPesertaKemenkeu!$AY$6:$AY$1005="Direkomendasikan",ROW($6:$1005)-5),226)+5)),INDEX(checklistPesertaKemenkeu!$P$6:$P$1005,SMALL(IF(checklistPesertaKemenkeu!$AY$6:$AY$1005="Direkomendasikan",ROW($6:$1005)-5),226)))=1),IFERROR(VLOOKUP(INDEX(checklistPesertaKemenkeu!$P$6:$P$1005,SMALL(IF(checklistPesertaKemenkeu!$AY$6:$AY$1005="Direkomendasikan",ROW($6:$1005)-5),226)),KotaKode,2,0),"-"),"")),"")</f>
        <v/>
      </c>
    </row>
    <row r="228" spans="1:12" ht="15" customHeight="1" x14ac:dyDescent="0.2">
      <c r="A228" t="str">
        <f t="shared" si="3"/>
        <v/>
      </c>
      <c r="B228" t="str">
        <v/>
      </c>
      <c r="C228" s="40" t="str">
        <f t="array" ref="C228">IFERROR(INDEX(checklistPesertaKemenkeu!$F$6:$F$1005,SMALL(IF(checklistPesertaKemenkeu!$AY$6:$AY$1005="Direkomendasikan",ROW($6:$1005)-5),227)),"")</f>
        <v/>
      </c>
      <c r="D228" t="str">
        <f t="array" ref="D228">IFERROR(INDEX(checklistPesertaKemenkeu!$G$6:$G$1005,SMALL(IF(checklistPesertaKemenkeu!$AY$6:$AY$1005="Direkomendasikan",ROW($6:$1005)-5),227)),"")</f>
        <v/>
      </c>
      <c r="E228" t="str">
        <f t="array" ref="E228">IFERROR(INDEX(checklistPesertaKemenkeu!$H$6:$H$1005,SMALL(IF(checklistPesertaKemenkeu!$AY$6:$AY$1005="Direkomendasikan",ROW($6:$1005)-5),227)),"")</f>
        <v/>
      </c>
      <c r="F228" t="str">
        <f t="array" ref="F228">IFERROR(INDEX(checklistPesertaKemenkeu!$I$6:$I$1005,SMALL(IF(checklistPesertaKemenkeu!$AY$6:$AY$1005="Direkomendasikan",ROW($6:$1005)-5),227)),"")</f>
        <v/>
      </c>
      <c r="G228" t="str">
        <f t="array" ref="G228">IFERROR(INDEX(checklistPesertaKemenkeu!$J$6:$J$1005,SMALL(IF(checklistPesertaKemenkeu!$AY$6:$AY$1005="Direkomendasikan",ROW($6:$1005)-5),227)),"")</f>
        <v/>
      </c>
      <c r="H228" t="str">
        <f t="array" aca="1" ref="H228" ca="1">IFERROR(IF(OR(INDEX(checklistPesertaKemenkeu!$L$6:$L$1005,SMALL(IF(checklistPesertaKemenkeu!$AY$6:$AY$1005="Direkomendasikan",ROW($6:$1005)-5),227))="",INDEX(checklistPesertaKemenkeu!$J$6:$J$1005,SMALL(IF(checklistPesertaKemenkeu!$AY$6:$AY$1005="Direkomendasikan",ROW($6:$1005)-5),227))=""),"",IF(AND(COUNTIF(INDIRECT("K_"&amp;MATCH(INDEX(checklistPesertaKemenkeu!$J$6:$J$1005,SMALL(IF(checklistPesertaKemenkeu!$AY$6:$AY$1005="Direkomendasikan",ROW($6:$1005)-5),227)),BidangList,0)),INDEX(checklistPesertaKemenkeu!$L$6:$L$1005,SMALL(IF(checklistPesertaKemenkeu!$AY$6:$AY$1005="Direkomendasikan",ROW($6:$1005)-5),227)))&gt;0,COUNTIF(INDIRECT("'KERTAS KERJA'!K"&amp;(SMALL(IF(checklistPesertaKemenkeu!$AY$6:$AY$1005="Direkomendasikan",ROW($6:$1005)-5),227)+5)&amp;":O"&amp;(SMALL(IF(checklistPesertaKemenkeu!$AY$6:$AY$1005="Direkomendasikan",ROW($6:$1005)-5),227)+5)),INDEX(checklistPesertaKemenkeu!$L$6:$L$1005,SMALL(IF(checklistPesertaKemenkeu!$AY$6:$AY$1005="Direkomendasikan",ROW($6:$1005)-5),227)))=1),IFERROR(VLOOKUP(INDEX(checklistPesertaKemenkeu!$L$6:$L$1005,SMALL(IF(checklistPesertaKemenkeu!$AY$6:$AY$1005="Direkomendasikan",ROW($6:$1005)-5),227)),KotaKode,2,0),"-"),"")),"")</f>
        <v/>
      </c>
      <c r="I228" t="str">
        <f t="array" aca="1" ref="I228" ca="1">IFERROR(IF(OR(INDEX(checklistPesertaKemenkeu!$M$6:$M$1005,SMALL(IF(checklistPesertaKemenkeu!$AY$6:$AY$1005="Direkomendasikan",ROW($6:$1005)-5),227))="",INDEX(checklistPesertaKemenkeu!$J$6:$J$1005,SMALL(IF(checklistPesertaKemenkeu!$AY$6:$AY$1005="Direkomendasikan",ROW($6:$1005)-5),227))=""),"",IF(AND(COUNTIF(INDIRECT("K_"&amp;MATCH(INDEX(checklistPesertaKemenkeu!$J$6:$J$1005,SMALL(IF(checklistPesertaKemenkeu!$AY$6:$AY$1005="Direkomendasikan",ROW($6:$1005)-5),227)),BidangList,0)),INDEX(checklistPesertaKemenkeu!$M$6:$M$1005,SMALL(IF(checklistPesertaKemenkeu!$AY$6:$AY$1005="Direkomendasikan",ROW($6:$1005)-5),227)))&gt;0,COUNTIF(INDIRECT("'KERTAS KERJA'!K"&amp;(SMALL(IF(checklistPesertaKemenkeu!$AY$6:$AY$1005="Direkomendasikan",ROW($6:$1005)-5),227)+5)&amp;":O"&amp;(SMALL(IF(checklistPesertaKemenkeu!$AY$6:$AY$1005="Direkomendasikan",ROW($6:$1005)-5),227)+5)),INDEX(checklistPesertaKemenkeu!$M$6:$M$1005,SMALL(IF(checklistPesertaKemenkeu!$AY$6:$AY$1005="Direkomendasikan",ROW($6:$1005)-5),227)))=1),IFERROR(VLOOKUP(INDEX(checklistPesertaKemenkeu!$M$6:$M$1005,SMALL(IF(checklistPesertaKemenkeu!$AY$6:$AY$1005="Direkomendasikan",ROW($6:$1005)-5),227)),KotaKode,2,0),"-"),"")),"")</f>
        <v/>
      </c>
      <c r="J228" t="str">
        <f t="array" aca="1" ref="J228" ca="1">IFERROR(IF(OR(INDEX(checklistPesertaKemenkeu!$N$6:$N$1005,SMALL(IF(checklistPesertaKemenkeu!$AY$6:$AY$1005="Direkomendasikan",ROW($6:$1005)-5),227))="",INDEX(checklistPesertaKemenkeu!$J$6:$J$1005,SMALL(IF(checklistPesertaKemenkeu!$AY$6:$AY$1005="Direkomendasikan",ROW($6:$1005)-5),227))=""),"",IF(AND(COUNTIF(INDIRECT("K_"&amp;MATCH(INDEX(checklistPesertaKemenkeu!$J$6:$J$1005,SMALL(IF(checklistPesertaKemenkeu!$AY$6:$AY$1005="Direkomendasikan",ROW($6:$1005)-5),227)),BidangList,0)),INDEX(checklistPesertaKemenkeu!$N$6:$N$1005,SMALL(IF(checklistPesertaKemenkeu!$AY$6:$AY$1005="Direkomendasikan",ROW($6:$1005)-5),227)))&gt;0,COUNTIF(INDIRECT("'KERTAS KERJA'!K"&amp;(SMALL(IF(checklistPesertaKemenkeu!$AY$6:$AY$1005="Direkomendasikan",ROW($6:$1005)-5),227)+5)&amp;":O"&amp;(SMALL(IF(checklistPesertaKemenkeu!$AY$6:$AY$1005="Direkomendasikan",ROW($6:$1005)-5),227)+5)),INDEX(checklistPesertaKemenkeu!$N$6:$N$1005,SMALL(IF(checklistPesertaKemenkeu!$AY$6:$AY$1005="Direkomendasikan",ROW($6:$1005)-5),227)))=1),IFERROR(VLOOKUP(INDEX(checklistPesertaKemenkeu!$N$6:$N$1005,SMALL(IF(checklistPesertaKemenkeu!$AY$6:$AY$1005="Direkomendasikan",ROW($6:$1005)-5),227)),KotaKode,2,0),"-"),"")),"")</f>
        <v/>
      </c>
      <c r="K228" t="str">
        <f t="array" aca="1" ref="K228" ca="1">IFERROR(IF(OR(INDEX(checklistPesertaKemenkeu!$O$6:$O$1005,SMALL(IF(checklistPesertaKemenkeu!$AY$6:$AY$1005="Direkomendasikan",ROW($6:$1005)-5),227))="",INDEX(checklistPesertaKemenkeu!$J$6:$J$1005,SMALL(IF(checklistPesertaKemenkeu!$AY$6:$AY$1005="Direkomendasikan",ROW($6:$1005)-5),227))=""),"",IF(AND(COUNTIF(INDIRECT("K_"&amp;MATCH(INDEX(checklistPesertaKemenkeu!$J$6:$J$1005,SMALL(IF(checklistPesertaKemenkeu!$AY$6:$AY$1005="Direkomendasikan",ROW($6:$1005)-5),227)),BidangList,0)),INDEX(checklistPesertaKemenkeu!$O$6:$O$1005,SMALL(IF(checklistPesertaKemenkeu!$AY$6:$AY$1005="Direkomendasikan",ROW($6:$1005)-5),227)))&gt;0,COUNTIF(INDIRECT("'KERTAS KERJA'!K"&amp;(SMALL(IF(checklistPesertaKemenkeu!$AY$6:$AY$1005="Direkomendasikan",ROW($6:$1005)-5),227)+5)&amp;":O"&amp;(SMALL(IF(checklistPesertaKemenkeu!$AY$6:$AY$1005="Direkomendasikan",ROW($6:$1005)-5),227)+5)),INDEX(checklistPesertaKemenkeu!$O$6:$O$1005,SMALL(IF(checklistPesertaKemenkeu!$AY$6:$AY$1005="Direkomendasikan",ROW($6:$1005)-5),227)))=1),IFERROR(VLOOKUP(INDEX(checklistPesertaKemenkeu!$O$6:$O$1005,SMALL(IF(checklistPesertaKemenkeu!$AY$6:$AY$1005="Direkomendasikan",ROW($6:$1005)-5),227)),KotaKode,2,0),"-"),"")),"")</f>
        <v/>
      </c>
      <c r="L228" t="str">
        <f t="array" aca="1" ref="L228" ca="1">IFERROR(IF(OR(INDEX(checklistPesertaKemenkeu!$P$6:$P$1005,SMALL(IF(checklistPesertaKemenkeu!$AY$6:$AY$1005="Direkomendasikan",ROW($6:$1005)-5),227))="",INDEX(checklistPesertaKemenkeu!$J$6:$J$1005,SMALL(IF(checklistPesertaKemenkeu!$AY$6:$AY$1005="Direkomendasikan",ROW($6:$1005)-5),227))=""),"",IF(AND(COUNTIF(INDIRECT("K_"&amp;MATCH(INDEX(checklistPesertaKemenkeu!$J$6:$J$1005,SMALL(IF(checklistPesertaKemenkeu!$AY$6:$AY$1005="Direkomendasikan",ROW($6:$1005)-5),227)),BidangList,0)),INDEX(checklistPesertaKemenkeu!$P$6:$P$1005,SMALL(IF(checklistPesertaKemenkeu!$AY$6:$AY$1005="Direkomendasikan",ROW($6:$1005)-5),227)))&gt;0,COUNTIF(INDIRECT("'KERTAS KERJA'!K"&amp;(SMALL(IF(checklistPesertaKemenkeu!$AY$6:$AY$1005="Direkomendasikan",ROW($6:$1005)-5),227)+5)&amp;":O"&amp;(SMALL(IF(checklistPesertaKemenkeu!$AY$6:$AY$1005="Direkomendasikan",ROW($6:$1005)-5),227)+5)),INDEX(checklistPesertaKemenkeu!$P$6:$P$1005,SMALL(IF(checklistPesertaKemenkeu!$AY$6:$AY$1005="Direkomendasikan",ROW($6:$1005)-5),227)))=1),IFERROR(VLOOKUP(INDEX(checklistPesertaKemenkeu!$P$6:$P$1005,SMALL(IF(checklistPesertaKemenkeu!$AY$6:$AY$1005="Direkomendasikan",ROW($6:$1005)-5),227)),KotaKode,2,0),"-"),"")),"")</f>
        <v/>
      </c>
    </row>
    <row r="229" spans="1:12" ht="15" customHeight="1" x14ac:dyDescent="0.2">
      <c r="A229" t="str">
        <f t="shared" si="3"/>
        <v/>
      </c>
      <c r="B229" t="str">
        <v/>
      </c>
      <c r="C229" s="40" t="str">
        <f t="array" ref="C229">IFERROR(INDEX(checklistPesertaKemenkeu!$F$6:$F$1005,SMALL(IF(checklistPesertaKemenkeu!$AY$6:$AY$1005="Direkomendasikan",ROW($6:$1005)-5),228)),"")</f>
        <v/>
      </c>
      <c r="D229" t="str">
        <f t="array" ref="D229">IFERROR(INDEX(checklistPesertaKemenkeu!$G$6:$G$1005,SMALL(IF(checklistPesertaKemenkeu!$AY$6:$AY$1005="Direkomendasikan",ROW($6:$1005)-5),228)),"")</f>
        <v/>
      </c>
      <c r="E229" t="str">
        <f t="array" ref="E229">IFERROR(INDEX(checklistPesertaKemenkeu!$H$6:$H$1005,SMALL(IF(checklistPesertaKemenkeu!$AY$6:$AY$1005="Direkomendasikan",ROW($6:$1005)-5),228)),"")</f>
        <v/>
      </c>
      <c r="F229" t="str">
        <f t="array" ref="F229">IFERROR(INDEX(checklistPesertaKemenkeu!$I$6:$I$1005,SMALL(IF(checklistPesertaKemenkeu!$AY$6:$AY$1005="Direkomendasikan",ROW($6:$1005)-5),228)),"")</f>
        <v/>
      </c>
      <c r="G229" t="str">
        <f t="array" ref="G229">IFERROR(INDEX(checklistPesertaKemenkeu!$J$6:$J$1005,SMALL(IF(checklistPesertaKemenkeu!$AY$6:$AY$1005="Direkomendasikan",ROW($6:$1005)-5),228)),"")</f>
        <v/>
      </c>
      <c r="H229" t="str">
        <f t="array" aca="1" ref="H229" ca="1">IFERROR(IF(OR(INDEX(checklistPesertaKemenkeu!$L$6:$L$1005,SMALL(IF(checklistPesertaKemenkeu!$AY$6:$AY$1005="Direkomendasikan",ROW($6:$1005)-5),228))="",INDEX(checklistPesertaKemenkeu!$J$6:$J$1005,SMALL(IF(checklistPesertaKemenkeu!$AY$6:$AY$1005="Direkomendasikan",ROW($6:$1005)-5),228))=""),"",IF(AND(COUNTIF(INDIRECT("K_"&amp;MATCH(INDEX(checklistPesertaKemenkeu!$J$6:$J$1005,SMALL(IF(checklistPesertaKemenkeu!$AY$6:$AY$1005="Direkomendasikan",ROW($6:$1005)-5),228)),BidangList,0)),INDEX(checklistPesertaKemenkeu!$L$6:$L$1005,SMALL(IF(checklistPesertaKemenkeu!$AY$6:$AY$1005="Direkomendasikan",ROW($6:$1005)-5),228)))&gt;0,COUNTIF(INDIRECT("'KERTAS KERJA'!K"&amp;(SMALL(IF(checklistPesertaKemenkeu!$AY$6:$AY$1005="Direkomendasikan",ROW($6:$1005)-5),228)+5)&amp;":O"&amp;(SMALL(IF(checklistPesertaKemenkeu!$AY$6:$AY$1005="Direkomendasikan",ROW($6:$1005)-5),228)+5)),INDEX(checklistPesertaKemenkeu!$L$6:$L$1005,SMALL(IF(checklistPesertaKemenkeu!$AY$6:$AY$1005="Direkomendasikan",ROW($6:$1005)-5),228)))=1),IFERROR(VLOOKUP(INDEX(checklistPesertaKemenkeu!$L$6:$L$1005,SMALL(IF(checklistPesertaKemenkeu!$AY$6:$AY$1005="Direkomendasikan",ROW($6:$1005)-5),228)),KotaKode,2,0),"-"),"")),"")</f>
        <v/>
      </c>
      <c r="I229" t="str">
        <f t="array" aca="1" ref="I229" ca="1">IFERROR(IF(OR(INDEX(checklistPesertaKemenkeu!$M$6:$M$1005,SMALL(IF(checklistPesertaKemenkeu!$AY$6:$AY$1005="Direkomendasikan",ROW($6:$1005)-5),228))="",INDEX(checklistPesertaKemenkeu!$J$6:$J$1005,SMALL(IF(checklistPesertaKemenkeu!$AY$6:$AY$1005="Direkomendasikan",ROW($6:$1005)-5),228))=""),"",IF(AND(COUNTIF(INDIRECT("K_"&amp;MATCH(INDEX(checklistPesertaKemenkeu!$J$6:$J$1005,SMALL(IF(checklistPesertaKemenkeu!$AY$6:$AY$1005="Direkomendasikan",ROW($6:$1005)-5),228)),BidangList,0)),INDEX(checklistPesertaKemenkeu!$M$6:$M$1005,SMALL(IF(checklistPesertaKemenkeu!$AY$6:$AY$1005="Direkomendasikan",ROW($6:$1005)-5),228)))&gt;0,COUNTIF(INDIRECT("'KERTAS KERJA'!K"&amp;(SMALL(IF(checklistPesertaKemenkeu!$AY$6:$AY$1005="Direkomendasikan",ROW($6:$1005)-5),228)+5)&amp;":O"&amp;(SMALL(IF(checklistPesertaKemenkeu!$AY$6:$AY$1005="Direkomendasikan",ROW($6:$1005)-5),228)+5)),INDEX(checklistPesertaKemenkeu!$M$6:$M$1005,SMALL(IF(checklistPesertaKemenkeu!$AY$6:$AY$1005="Direkomendasikan",ROW($6:$1005)-5),228)))=1),IFERROR(VLOOKUP(INDEX(checklistPesertaKemenkeu!$M$6:$M$1005,SMALL(IF(checklistPesertaKemenkeu!$AY$6:$AY$1005="Direkomendasikan",ROW($6:$1005)-5),228)),KotaKode,2,0),"-"),"")),"")</f>
        <v/>
      </c>
      <c r="J229" t="str">
        <f t="array" aca="1" ref="J229" ca="1">IFERROR(IF(OR(INDEX(checklistPesertaKemenkeu!$N$6:$N$1005,SMALL(IF(checklistPesertaKemenkeu!$AY$6:$AY$1005="Direkomendasikan",ROW($6:$1005)-5),228))="",INDEX(checklistPesertaKemenkeu!$J$6:$J$1005,SMALL(IF(checklistPesertaKemenkeu!$AY$6:$AY$1005="Direkomendasikan",ROW($6:$1005)-5),228))=""),"",IF(AND(COUNTIF(INDIRECT("K_"&amp;MATCH(INDEX(checklistPesertaKemenkeu!$J$6:$J$1005,SMALL(IF(checklistPesertaKemenkeu!$AY$6:$AY$1005="Direkomendasikan",ROW($6:$1005)-5),228)),BidangList,0)),INDEX(checklistPesertaKemenkeu!$N$6:$N$1005,SMALL(IF(checklistPesertaKemenkeu!$AY$6:$AY$1005="Direkomendasikan",ROW($6:$1005)-5),228)))&gt;0,COUNTIF(INDIRECT("'KERTAS KERJA'!K"&amp;(SMALL(IF(checklistPesertaKemenkeu!$AY$6:$AY$1005="Direkomendasikan",ROW($6:$1005)-5),228)+5)&amp;":O"&amp;(SMALL(IF(checklistPesertaKemenkeu!$AY$6:$AY$1005="Direkomendasikan",ROW($6:$1005)-5),228)+5)),INDEX(checklistPesertaKemenkeu!$N$6:$N$1005,SMALL(IF(checklistPesertaKemenkeu!$AY$6:$AY$1005="Direkomendasikan",ROW($6:$1005)-5),228)))=1),IFERROR(VLOOKUP(INDEX(checklistPesertaKemenkeu!$N$6:$N$1005,SMALL(IF(checklistPesertaKemenkeu!$AY$6:$AY$1005="Direkomendasikan",ROW($6:$1005)-5),228)),KotaKode,2,0),"-"),"")),"")</f>
        <v/>
      </c>
      <c r="K229" t="str">
        <f t="array" aca="1" ref="K229" ca="1">IFERROR(IF(OR(INDEX(checklistPesertaKemenkeu!$O$6:$O$1005,SMALL(IF(checklistPesertaKemenkeu!$AY$6:$AY$1005="Direkomendasikan",ROW($6:$1005)-5),228))="",INDEX(checklistPesertaKemenkeu!$J$6:$J$1005,SMALL(IF(checklistPesertaKemenkeu!$AY$6:$AY$1005="Direkomendasikan",ROW($6:$1005)-5),228))=""),"",IF(AND(COUNTIF(INDIRECT("K_"&amp;MATCH(INDEX(checklistPesertaKemenkeu!$J$6:$J$1005,SMALL(IF(checklistPesertaKemenkeu!$AY$6:$AY$1005="Direkomendasikan",ROW($6:$1005)-5),228)),BidangList,0)),INDEX(checklistPesertaKemenkeu!$O$6:$O$1005,SMALL(IF(checklistPesertaKemenkeu!$AY$6:$AY$1005="Direkomendasikan",ROW($6:$1005)-5),228)))&gt;0,COUNTIF(INDIRECT("'KERTAS KERJA'!K"&amp;(SMALL(IF(checklistPesertaKemenkeu!$AY$6:$AY$1005="Direkomendasikan",ROW($6:$1005)-5),228)+5)&amp;":O"&amp;(SMALL(IF(checklistPesertaKemenkeu!$AY$6:$AY$1005="Direkomendasikan",ROW($6:$1005)-5),228)+5)),INDEX(checklistPesertaKemenkeu!$O$6:$O$1005,SMALL(IF(checklistPesertaKemenkeu!$AY$6:$AY$1005="Direkomendasikan",ROW($6:$1005)-5),228)))=1),IFERROR(VLOOKUP(INDEX(checklistPesertaKemenkeu!$O$6:$O$1005,SMALL(IF(checklistPesertaKemenkeu!$AY$6:$AY$1005="Direkomendasikan",ROW($6:$1005)-5),228)),KotaKode,2,0),"-"),"")),"")</f>
        <v/>
      </c>
      <c r="L229" t="str">
        <f t="array" aca="1" ref="L229" ca="1">IFERROR(IF(OR(INDEX(checklistPesertaKemenkeu!$P$6:$P$1005,SMALL(IF(checklistPesertaKemenkeu!$AY$6:$AY$1005="Direkomendasikan",ROW($6:$1005)-5),228))="",INDEX(checklistPesertaKemenkeu!$J$6:$J$1005,SMALL(IF(checklistPesertaKemenkeu!$AY$6:$AY$1005="Direkomendasikan",ROW($6:$1005)-5),228))=""),"",IF(AND(COUNTIF(INDIRECT("K_"&amp;MATCH(INDEX(checklistPesertaKemenkeu!$J$6:$J$1005,SMALL(IF(checklistPesertaKemenkeu!$AY$6:$AY$1005="Direkomendasikan",ROW($6:$1005)-5),228)),BidangList,0)),INDEX(checklistPesertaKemenkeu!$P$6:$P$1005,SMALL(IF(checklistPesertaKemenkeu!$AY$6:$AY$1005="Direkomendasikan",ROW($6:$1005)-5),228)))&gt;0,COUNTIF(INDIRECT("'KERTAS KERJA'!K"&amp;(SMALL(IF(checklistPesertaKemenkeu!$AY$6:$AY$1005="Direkomendasikan",ROW($6:$1005)-5),228)+5)&amp;":O"&amp;(SMALL(IF(checklistPesertaKemenkeu!$AY$6:$AY$1005="Direkomendasikan",ROW($6:$1005)-5),228)+5)),INDEX(checklistPesertaKemenkeu!$P$6:$P$1005,SMALL(IF(checklistPesertaKemenkeu!$AY$6:$AY$1005="Direkomendasikan",ROW($6:$1005)-5),228)))=1),IFERROR(VLOOKUP(INDEX(checklistPesertaKemenkeu!$P$6:$P$1005,SMALL(IF(checklistPesertaKemenkeu!$AY$6:$AY$1005="Direkomendasikan",ROW($6:$1005)-5),228)),KotaKode,2,0),"-"),"")),"")</f>
        <v/>
      </c>
    </row>
    <row r="230" spans="1:12" ht="15" customHeight="1" x14ac:dyDescent="0.2">
      <c r="A230" t="str">
        <f t="shared" si="3"/>
        <v/>
      </c>
      <c r="B230" t="str">
        <v/>
      </c>
      <c r="C230" s="40" t="str">
        <f t="array" ref="C230">IFERROR(INDEX(checklistPesertaKemenkeu!$F$6:$F$1005,SMALL(IF(checklistPesertaKemenkeu!$AY$6:$AY$1005="Direkomendasikan",ROW($6:$1005)-5),229)),"")</f>
        <v/>
      </c>
      <c r="D230" t="str">
        <f t="array" ref="D230">IFERROR(INDEX(checklistPesertaKemenkeu!$G$6:$G$1005,SMALL(IF(checklistPesertaKemenkeu!$AY$6:$AY$1005="Direkomendasikan",ROW($6:$1005)-5),229)),"")</f>
        <v/>
      </c>
      <c r="E230" t="str">
        <f t="array" ref="E230">IFERROR(INDEX(checklistPesertaKemenkeu!$H$6:$H$1005,SMALL(IF(checklistPesertaKemenkeu!$AY$6:$AY$1005="Direkomendasikan",ROW($6:$1005)-5),229)),"")</f>
        <v/>
      </c>
      <c r="F230" t="str">
        <f t="array" ref="F230">IFERROR(INDEX(checklistPesertaKemenkeu!$I$6:$I$1005,SMALL(IF(checklistPesertaKemenkeu!$AY$6:$AY$1005="Direkomendasikan",ROW($6:$1005)-5),229)),"")</f>
        <v/>
      </c>
      <c r="G230" t="str">
        <f t="array" ref="G230">IFERROR(INDEX(checklistPesertaKemenkeu!$J$6:$J$1005,SMALL(IF(checklistPesertaKemenkeu!$AY$6:$AY$1005="Direkomendasikan",ROW($6:$1005)-5),229)),"")</f>
        <v/>
      </c>
      <c r="H230" t="str">
        <f t="array" aca="1" ref="H230" ca="1">IFERROR(IF(OR(INDEX(checklistPesertaKemenkeu!$L$6:$L$1005,SMALL(IF(checklistPesertaKemenkeu!$AY$6:$AY$1005="Direkomendasikan",ROW($6:$1005)-5),229))="",INDEX(checklistPesertaKemenkeu!$J$6:$J$1005,SMALL(IF(checklistPesertaKemenkeu!$AY$6:$AY$1005="Direkomendasikan",ROW($6:$1005)-5),229))=""),"",IF(AND(COUNTIF(INDIRECT("K_"&amp;MATCH(INDEX(checklistPesertaKemenkeu!$J$6:$J$1005,SMALL(IF(checklistPesertaKemenkeu!$AY$6:$AY$1005="Direkomendasikan",ROW($6:$1005)-5),229)),BidangList,0)),INDEX(checklistPesertaKemenkeu!$L$6:$L$1005,SMALL(IF(checklistPesertaKemenkeu!$AY$6:$AY$1005="Direkomendasikan",ROW($6:$1005)-5),229)))&gt;0,COUNTIF(INDIRECT("'KERTAS KERJA'!K"&amp;(SMALL(IF(checklistPesertaKemenkeu!$AY$6:$AY$1005="Direkomendasikan",ROW($6:$1005)-5),229)+5)&amp;":O"&amp;(SMALL(IF(checklistPesertaKemenkeu!$AY$6:$AY$1005="Direkomendasikan",ROW($6:$1005)-5),229)+5)),INDEX(checklistPesertaKemenkeu!$L$6:$L$1005,SMALL(IF(checklistPesertaKemenkeu!$AY$6:$AY$1005="Direkomendasikan",ROW($6:$1005)-5),229)))=1),IFERROR(VLOOKUP(INDEX(checklistPesertaKemenkeu!$L$6:$L$1005,SMALL(IF(checklistPesertaKemenkeu!$AY$6:$AY$1005="Direkomendasikan",ROW($6:$1005)-5),229)),KotaKode,2,0),"-"),"")),"")</f>
        <v/>
      </c>
      <c r="I230" t="str">
        <f t="array" aca="1" ref="I230" ca="1">IFERROR(IF(OR(INDEX(checklistPesertaKemenkeu!$M$6:$M$1005,SMALL(IF(checklistPesertaKemenkeu!$AY$6:$AY$1005="Direkomendasikan",ROW($6:$1005)-5),229))="",INDEX(checklistPesertaKemenkeu!$J$6:$J$1005,SMALL(IF(checklistPesertaKemenkeu!$AY$6:$AY$1005="Direkomendasikan",ROW($6:$1005)-5),229))=""),"",IF(AND(COUNTIF(INDIRECT("K_"&amp;MATCH(INDEX(checklistPesertaKemenkeu!$J$6:$J$1005,SMALL(IF(checklistPesertaKemenkeu!$AY$6:$AY$1005="Direkomendasikan",ROW($6:$1005)-5),229)),BidangList,0)),INDEX(checklistPesertaKemenkeu!$M$6:$M$1005,SMALL(IF(checklistPesertaKemenkeu!$AY$6:$AY$1005="Direkomendasikan",ROW($6:$1005)-5),229)))&gt;0,COUNTIF(INDIRECT("'KERTAS KERJA'!K"&amp;(SMALL(IF(checklistPesertaKemenkeu!$AY$6:$AY$1005="Direkomendasikan",ROW($6:$1005)-5),229)+5)&amp;":O"&amp;(SMALL(IF(checklistPesertaKemenkeu!$AY$6:$AY$1005="Direkomendasikan",ROW($6:$1005)-5),229)+5)),INDEX(checklistPesertaKemenkeu!$M$6:$M$1005,SMALL(IF(checklistPesertaKemenkeu!$AY$6:$AY$1005="Direkomendasikan",ROW($6:$1005)-5),229)))=1),IFERROR(VLOOKUP(INDEX(checklistPesertaKemenkeu!$M$6:$M$1005,SMALL(IF(checklistPesertaKemenkeu!$AY$6:$AY$1005="Direkomendasikan",ROW($6:$1005)-5),229)),KotaKode,2,0),"-"),"")),"")</f>
        <v/>
      </c>
      <c r="J230" t="str">
        <f t="array" aca="1" ref="J230" ca="1">IFERROR(IF(OR(INDEX(checklistPesertaKemenkeu!$N$6:$N$1005,SMALL(IF(checklistPesertaKemenkeu!$AY$6:$AY$1005="Direkomendasikan",ROW($6:$1005)-5),229))="",INDEX(checklistPesertaKemenkeu!$J$6:$J$1005,SMALL(IF(checklistPesertaKemenkeu!$AY$6:$AY$1005="Direkomendasikan",ROW($6:$1005)-5),229))=""),"",IF(AND(COUNTIF(INDIRECT("K_"&amp;MATCH(INDEX(checklistPesertaKemenkeu!$J$6:$J$1005,SMALL(IF(checklistPesertaKemenkeu!$AY$6:$AY$1005="Direkomendasikan",ROW($6:$1005)-5),229)),BidangList,0)),INDEX(checklistPesertaKemenkeu!$N$6:$N$1005,SMALL(IF(checklistPesertaKemenkeu!$AY$6:$AY$1005="Direkomendasikan",ROW($6:$1005)-5),229)))&gt;0,COUNTIF(INDIRECT("'KERTAS KERJA'!K"&amp;(SMALL(IF(checklistPesertaKemenkeu!$AY$6:$AY$1005="Direkomendasikan",ROW($6:$1005)-5),229)+5)&amp;":O"&amp;(SMALL(IF(checklistPesertaKemenkeu!$AY$6:$AY$1005="Direkomendasikan",ROW($6:$1005)-5),229)+5)),INDEX(checklistPesertaKemenkeu!$N$6:$N$1005,SMALL(IF(checklistPesertaKemenkeu!$AY$6:$AY$1005="Direkomendasikan",ROW($6:$1005)-5),229)))=1),IFERROR(VLOOKUP(INDEX(checklistPesertaKemenkeu!$N$6:$N$1005,SMALL(IF(checklistPesertaKemenkeu!$AY$6:$AY$1005="Direkomendasikan",ROW($6:$1005)-5),229)),KotaKode,2,0),"-"),"")),"")</f>
        <v/>
      </c>
      <c r="K230" t="str">
        <f t="array" aca="1" ref="K230" ca="1">IFERROR(IF(OR(INDEX(checklistPesertaKemenkeu!$O$6:$O$1005,SMALL(IF(checklistPesertaKemenkeu!$AY$6:$AY$1005="Direkomendasikan",ROW($6:$1005)-5),229))="",INDEX(checklistPesertaKemenkeu!$J$6:$J$1005,SMALL(IF(checklistPesertaKemenkeu!$AY$6:$AY$1005="Direkomendasikan",ROW($6:$1005)-5),229))=""),"",IF(AND(COUNTIF(INDIRECT("K_"&amp;MATCH(INDEX(checklistPesertaKemenkeu!$J$6:$J$1005,SMALL(IF(checklistPesertaKemenkeu!$AY$6:$AY$1005="Direkomendasikan",ROW($6:$1005)-5),229)),BidangList,0)),INDEX(checklistPesertaKemenkeu!$O$6:$O$1005,SMALL(IF(checklistPesertaKemenkeu!$AY$6:$AY$1005="Direkomendasikan",ROW($6:$1005)-5),229)))&gt;0,COUNTIF(INDIRECT("'KERTAS KERJA'!K"&amp;(SMALL(IF(checklistPesertaKemenkeu!$AY$6:$AY$1005="Direkomendasikan",ROW($6:$1005)-5),229)+5)&amp;":O"&amp;(SMALL(IF(checklistPesertaKemenkeu!$AY$6:$AY$1005="Direkomendasikan",ROW($6:$1005)-5),229)+5)),INDEX(checklistPesertaKemenkeu!$O$6:$O$1005,SMALL(IF(checklistPesertaKemenkeu!$AY$6:$AY$1005="Direkomendasikan",ROW($6:$1005)-5),229)))=1),IFERROR(VLOOKUP(INDEX(checklistPesertaKemenkeu!$O$6:$O$1005,SMALL(IF(checklistPesertaKemenkeu!$AY$6:$AY$1005="Direkomendasikan",ROW($6:$1005)-5),229)),KotaKode,2,0),"-"),"")),"")</f>
        <v/>
      </c>
      <c r="L230" t="str">
        <f t="array" aca="1" ref="L230" ca="1">IFERROR(IF(OR(INDEX(checklistPesertaKemenkeu!$P$6:$P$1005,SMALL(IF(checklistPesertaKemenkeu!$AY$6:$AY$1005="Direkomendasikan",ROW($6:$1005)-5),229))="",INDEX(checklistPesertaKemenkeu!$J$6:$J$1005,SMALL(IF(checklistPesertaKemenkeu!$AY$6:$AY$1005="Direkomendasikan",ROW($6:$1005)-5),229))=""),"",IF(AND(COUNTIF(INDIRECT("K_"&amp;MATCH(INDEX(checklistPesertaKemenkeu!$J$6:$J$1005,SMALL(IF(checklistPesertaKemenkeu!$AY$6:$AY$1005="Direkomendasikan",ROW($6:$1005)-5),229)),BidangList,0)),INDEX(checklistPesertaKemenkeu!$P$6:$P$1005,SMALL(IF(checklistPesertaKemenkeu!$AY$6:$AY$1005="Direkomendasikan",ROW($6:$1005)-5),229)))&gt;0,COUNTIF(INDIRECT("'KERTAS KERJA'!K"&amp;(SMALL(IF(checklistPesertaKemenkeu!$AY$6:$AY$1005="Direkomendasikan",ROW($6:$1005)-5),229)+5)&amp;":O"&amp;(SMALL(IF(checklistPesertaKemenkeu!$AY$6:$AY$1005="Direkomendasikan",ROW($6:$1005)-5),229)+5)),INDEX(checklistPesertaKemenkeu!$P$6:$P$1005,SMALL(IF(checklistPesertaKemenkeu!$AY$6:$AY$1005="Direkomendasikan",ROW($6:$1005)-5),229)))=1),IFERROR(VLOOKUP(INDEX(checklistPesertaKemenkeu!$P$6:$P$1005,SMALL(IF(checklistPesertaKemenkeu!$AY$6:$AY$1005="Direkomendasikan",ROW($6:$1005)-5),229)),KotaKode,2,0),"-"),"")),"")</f>
        <v/>
      </c>
    </row>
    <row r="231" spans="1:12" ht="15" customHeight="1" x14ac:dyDescent="0.2">
      <c r="A231" t="str">
        <f t="shared" si="3"/>
        <v/>
      </c>
      <c r="B231" t="str">
        <v/>
      </c>
      <c r="C231" s="40" t="str">
        <f t="array" ref="C231">IFERROR(INDEX(checklistPesertaKemenkeu!$F$6:$F$1005,SMALL(IF(checklistPesertaKemenkeu!$AY$6:$AY$1005="Direkomendasikan",ROW($6:$1005)-5),230)),"")</f>
        <v/>
      </c>
      <c r="D231" t="str">
        <f t="array" ref="D231">IFERROR(INDEX(checklistPesertaKemenkeu!$G$6:$G$1005,SMALL(IF(checklistPesertaKemenkeu!$AY$6:$AY$1005="Direkomendasikan",ROW($6:$1005)-5),230)),"")</f>
        <v/>
      </c>
      <c r="E231" t="str">
        <f t="array" ref="E231">IFERROR(INDEX(checklistPesertaKemenkeu!$H$6:$H$1005,SMALL(IF(checklistPesertaKemenkeu!$AY$6:$AY$1005="Direkomendasikan",ROW($6:$1005)-5),230)),"")</f>
        <v/>
      </c>
      <c r="F231" t="str">
        <f t="array" ref="F231">IFERROR(INDEX(checklistPesertaKemenkeu!$I$6:$I$1005,SMALL(IF(checklistPesertaKemenkeu!$AY$6:$AY$1005="Direkomendasikan",ROW($6:$1005)-5),230)),"")</f>
        <v/>
      </c>
      <c r="G231" t="str">
        <f t="array" ref="G231">IFERROR(INDEX(checklistPesertaKemenkeu!$J$6:$J$1005,SMALL(IF(checklistPesertaKemenkeu!$AY$6:$AY$1005="Direkomendasikan",ROW($6:$1005)-5),230)),"")</f>
        <v/>
      </c>
      <c r="H231" t="str">
        <f t="array" aca="1" ref="H231" ca="1">IFERROR(IF(OR(INDEX(checklistPesertaKemenkeu!$L$6:$L$1005,SMALL(IF(checklistPesertaKemenkeu!$AY$6:$AY$1005="Direkomendasikan",ROW($6:$1005)-5),230))="",INDEX(checklistPesertaKemenkeu!$J$6:$J$1005,SMALL(IF(checklistPesertaKemenkeu!$AY$6:$AY$1005="Direkomendasikan",ROW($6:$1005)-5),230))=""),"",IF(AND(COUNTIF(INDIRECT("K_"&amp;MATCH(INDEX(checklistPesertaKemenkeu!$J$6:$J$1005,SMALL(IF(checklistPesertaKemenkeu!$AY$6:$AY$1005="Direkomendasikan",ROW($6:$1005)-5),230)),BidangList,0)),INDEX(checklistPesertaKemenkeu!$L$6:$L$1005,SMALL(IF(checklistPesertaKemenkeu!$AY$6:$AY$1005="Direkomendasikan",ROW($6:$1005)-5),230)))&gt;0,COUNTIF(INDIRECT("'KERTAS KERJA'!K"&amp;(SMALL(IF(checklistPesertaKemenkeu!$AY$6:$AY$1005="Direkomendasikan",ROW($6:$1005)-5),230)+5)&amp;":O"&amp;(SMALL(IF(checklistPesertaKemenkeu!$AY$6:$AY$1005="Direkomendasikan",ROW($6:$1005)-5),230)+5)),INDEX(checklistPesertaKemenkeu!$L$6:$L$1005,SMALL(IF(checklistPesertaKemenkeu!$AY$6:$AY$1005="Direkomendasikan",ROW($6:$1005)-5),230)))=1),IFERROR(VLOOKUP(INDEX(checklistPesertaKemenkeu!$L$6:$L$1005,SMALL(IF(checklistPesertaKemenkeu!$AY$6:$AY$1005="Direkomendasikan",ROW($6:$1005)-5),230)),KotaKode,2,0),"-"),"")),"")</f>
        <v/>
      </c>
      <c r="I231" t="str">
        <f t="array" aca="1" ref="I231" ca="1">IFERROR(IF(OR(INDEX(checklistPesertaKemenkeu!$M$6:$M$1005,SMALL(IF(checklistPesertaKemenkeu!$AY$6:$AY$1005="Direkomendasikan",ROW($6:$1005)-5),230))="",INDEX(checklistPesertaKemenkeu!$J$6:$J$1005,SMALL(IF(checklistPesertaKemenkeu!$AY$6:$AY$1005="Direkomendasikan",ROW($6:$1005)-5),230))=""),"",IF(AND(COUNTIF(INDIRECT("K_"&amp;MATCH(INDEX(checklistPesertaKemenkeu!$J$6:$J$1005,SMALL(IF(checklistPesertaKemenkeu!$AY$6:$AY$1005="Direkomendasikan",ROW($6:$1005)-5),230)),BidangList,0)),INDEX(checklistPesertaKemenkeu!$M$6:$M$1005,SMALL(IF(checklistPesertaKemenkeu!$AY$6:$AY$1005="Direkomendasikan",ROW($6:$1005)-5),230)))&gt;0,COUNTIF(INDIRECT("'KERTAS KERJA'!K"&amp;(SMALL(IF(checklistPesertaKemenkeu!$AY$6:$AY$1005="Direkomendasikan",ROW($6:$1005)-5),230)+5)&amp;":O"&amp;(SMALL(IF(checklistPesertaKemenkeu!$AY$6:$AY$1005="Direkomendasikan",ROW($6:$1005)-5),230)+5)),INDEX(checklistPesertaKemenkeu!$M$6:$M$1005,SMALL(IF(checklistPesertaKemenkeu!$AY$6:$AY$1005="Direkomendasikan",ROW($6:$1005)-5),230)))=1),IFERROR(VLOOKUP(INDEX(checklistPesertaKemenkeu!$M$6:$M$1005,SMALL(IF(checklistPesertaKemenkeu!$AY$6:$AY$1005="Direkomendasikan",ROW($6:$1005)-5),230)),KotaKode,2,0),"-"),"")),"")</f>
        <v/>
      </c>
      <c r="J231" t="str">
        <f t="array" aca="1" ref="J231" ca="1">IFERROR(IF(OR(INDEX(checklistPesertaKemenkeu!$N$6:$N$1005,SMALL(IF(checklistPesertaKemenkeu!$AY$6:$AY$1005="Direkomendasikan",ROW($6:$1005)-5),230))="",INDEX(checklistPesertaKemenkeu!$J$6:$J$1005,SMALL(IF(checklistPesertaKemenkeu!$AY$6:$AY$1005="Direkomendasikan",ROW($6:$1005)-5),230))=""),"",IF(AND(COUNTIF(INDIRECT("K_"&amp;MATCH(INDEX(checklistPesertaKemenkeu!$J$6:$J$1005,SMALL(IF(checklistPesertaKemenkeu!$AY$6:$AY$1005="Direkomendasikan",ROW($6:$1005)-5),230)),BidangList,0)),INDEX(checklistPesertaKemenkeu!$N$6:$N$1005,SMALL(IF(checklistPesertaKemenkeu!$AY$6:$AY$1005="Direkomendasikan",ROW($6:$1005)-5),230)))&gt;0,COUNTIF(INDIRECT("'KERTAS KERJA'!K"&amp;(SMALL(IF(checklistPesertaKemenkeu!$AY$6:$AY$1005="Direkomendasikan",ROW($6:$1005)-5),230)+5)&amp;":O"&amp;(SMALL(IF(checklistPesertaKemenkeu!$AY$6:$AY$1005="Direkomendasikan",ROW($6:$1005)-5),230)+5)),INDEX(checklistPesertaKemenkeu!$N$6:$N$1005,SMALL(IF(checklistPesertaKemenkeu!$AY$6:$AY$1005="Direkomendasikan",ROW($6:$1005)-5),230)))=1),IFERROR(VLOOKUP(INDEX(checklistPesertaKemenkeu!$N$6:$N$1005,SMALL(IF(checklistPesertaKemenkeu!$AY$6:$AY$1005="Direkomendasikan",ROW($6:$1005)-5),230)),KotaKode,2,0),"-"),"")),"")</f>
        <v/>
      </c>
      <c r="K231" t="str">
        <f t="array" aca="1" ref="K231" ca="1">IFERROR(IF(OR(INDEX(checklistPesertaKemenkeu!$O$6:$O$1005,SMALL(IF(checklistPesertaKemenkeu!$AY$6:$AY$1005="Direkomendasikan",ROW($6:$1005)-5),230))="",INDEX(checklistPesertaKemenkeu!$J$6:$J$1005,SMALL(IF(checklistPesertaKemenkeu!$AY$6:$AY$1005="Direkomendasikan",ROW($6:$1005)-5),230))=""),"",IF(AND(COUNTIF(INDIRECT("K_"&amp;MATCH(INDEX(checklistPesertaKemenkeu!$J$6:$J$1005,SMALL(IF(checklistPesertaKemenkeu!$AY$6:$AY$1005="Direkomendasikan",ROW($6:$1005)-5),230)),BidangList,0)),INDEX(checklistPesertaKemenkeu!$O$6:$O$1005,SMALL(IF(checklistPesertaKemenkeu!$AY$6:$AY$1005="Direkomendasikan",ROW($6:$1005)-5),230)))&gt;0,COUNTIF(INDIRECT("'KERTAS KERJA'!K"&amp;(SMALL(IF(checklistPesertaKemenkeu!$AY$6:$AY$1005="Direkomendasikan",ROW($6:$1005)-5),230)+5)&amp;":O"&amp;(SMALL(IF(checklistPesertaKemenkeu!$AY$6:$AY$1005="Direkomendasikan",ROW($6:$1005)-5),230)+5)),INDEX(checklistPesertaKemenkeu!$O$6:$O$1005,SMALL(IF(checklistPesertaKemenkeu!$AY$6:$AY$1005="Direkomendasikan",ROW($6:$1005)-5),230)))=1),IFERROR(VLOOKUP(INDEX(checklistPesertaKemenkeu!$O$6:$O$1005,SMALL(IF(checklistPesertaKemenkeu!$AY$6:$AY$1005="Direkomendasikan",ROW($6:$1005)-5),230)),KotaKode,2,0),"-"),"")),"")</f>
        <v/>
      </c>
      <c r="L231" t="str">
        <f t="array" aca="1" ref="L231" ca="1">IFERROR(IF(OR(INDEX(checklistPesertaKemenkeu!$P$6:$P$1005,SMALL(IF(checklistPesertaKemenkeu!$AY$6:$AY$1005="Direkomendasikan",ROW($6:$1005)-5),230))="",INDEX(checklistPesertaKemenkeu!$J$6:$J$1005,SMALL(IF(checklistPesertaKemenkeu!$AY$6:$AY$1005="Direkomendasikan",ROW($6:$1005)-5),230))=""),"",IF(AND(COUNTIF(INDIRECT("K_"&amp;MATCH(INDEX(checklistPesertaKemenkeu!$J$6:$J$1005,SMALL(IF(checklistPesertaKemenkeu!$AY$6:$AY$1005="Direkomendasikan",ROW($6:$1005)-5),230)),BidangList,0)),INDEX(checklistPesertaKemenkeu!$P$6:$P$1005,SMALL(IF(checklistPesertaKemenkeu!$AY$6:$AY$1005="Direkomendasikan",ROW($6:$1005)-5),230)))&gt;0,COUNTIF(INDIRECT("'KERTAS KERJA'!K"&amp;(SMALL(IF(checklistPesertaKemenkeu!$AY$6:$AY$1005="Direkomendasikan",ROW($6:$1005)-5),230)+5)&amp;":O"&amp;(SMALL(IF(checklistPesertaKemenkeu!$AY$6:$AY$1005="Direkomendasikan",ROW($6:$1005)-5),230)+5)),INDEX(checklistPesertaKemenkeu!$P$6:$P$1005,SMALL(IF(checklistPesertaKemenkeu!$AY$6:$AY$1005="Direkomendasikan",ROW($6:$1005)-5),230)))=1),IFERROR(VLOOKUP(INDEX(checklistPesertaKemenkeu!$P$6:$P$1005,SMALL(IF(checklistPesertaKemenkeu!$AY$6:$AY$1005="Direkomendasikan",ROW($6:$1005)-5),230)),KotaKode,2,0),"-"),"")),"")</f>
        <v/>
      </c>
    </row>
    <row r="232" spans="1:12" ht="15" customHeight="1" x14ac:dyDescent="0.2">
      <c r="A232" t="str">
        <f t="shared" si="3"/>
        <v/>
      </c>
      <c r="B232" t="str">
        <v/>
      </c>
      <c r="C232" s="40" t="str">
        <f t="array" ref="C232">IFERROR(INDEX(checklistPesertaKemenkeu!$F$6:$F$1005,SMALL(IF(checklistPesertaKemenkeu!$AY$6:$AY$1005="Direkomendasikan",ROW($6:$1005)-5),231)),"")</f>
        <v/>
      </c>
      <c r="D232" t="str">
        <f t="array" ref="D232">IFERROR(INDEX(checklistPesertaKemenkeu!$G$6:$G$1005,SMALL(IF(checklistPesertaKemenkeu!$AY$6:$AY$1005="Direkomendasikan",ROW($6:$1005)-5),231)),"")</f>
        <v/>
      </c>
      <c r="E232" t="str">
        <f t="array" ref="E232">IFERROR(INDEX(checklistPesertaKemenkeu!$H$6:$H$1005,SMALL(IF(checklistPesertaKemenkeu!$AY$6:$AY$1005="Direkomendasikan",ROW($6:$1005)-5),231)),"")</f>
        <v/>
      </c>
      <c r="F232" t="str">
        <f t="array" ref="F232">IFERROR(INDEX(checklistPesertaKemenkeu!$I$6:$I$1005,SMALL(IF(checklistPesertaKemenkeu!$AY$6:$AY$1005="Direkomendasikan",ROW($6:$1005)-5),231)),"")</f>
        <v/>
      </c>
      <c r="G232" t="str">
        <f t="array" ref="G232">IFERROR(INDEX(checklistPesertaKemenkeu!$J$6:$J$1005,SMALL(IF(checklistPesertaKemenkeu!$AY$6:$AY$1005="Direkomendasikan",ROW($6:$1005)-5),231)),"")</f>
        <v/>
      </c>
      <c r="H232" t="str">
        <f t="array" aca="1" ref="H232" ca="1">IFERROR(IF(OR(INDEX(checklistPesertaKemenkeu!$L$6:$L$1005,SMALL(IF(checklistPesertaKemenkeu!$AY$6:$AY$1005="Direkomendasikan",ROW($6:$1005)-5),231))="",INDEX(checklistPesertaKemenkeu!$J$6:$J$1005,SMALL(IF(checklistPesertaKemenkeu!$AY$6:$AY$1005="Direkomendasikan",ROW($6:$1005)-5),231))=""),"",IF(AND(COUNTIF(INDIRECT("K_"&amp;MATCH(INDEX(checklistPesertaKemenkeu!$J$6:$J$1005,SMALL(IF(checklistPesertaKemenkeu!$AY$6:$AY$1005="Direkomendasikan",ROW($6:$1005)-5),231)),BidangList,0)),INDEX(checklistPesertaKemenkeu!$L$6:$L$1005,SMALL(IF(checklistPesertaKemenkeu!$AY$6:$AY$1005="Direkomendasikan",ROW($6:$1005)-5),231)))&gt;0,COUNTIF(INDIRECT("'KERTAS KERJA'!K"&amp;(SMALL(IF(checklistPesertaKemenkeu!$AY$6:$AY$1005="Direkomendasikan",ROW($6:$1005)-5),231)+5)&amp;":O"&amp;(SMALL(IF(checklistPesertaKemenkeu!$AY$6:$AY$1005="Direkomendasikan",ROW($6:$1005)-5),231)+5)),INDEX(checklistPesertaKemenkeu!$L$6:$L$1005,SMALL(IF(checklistPesertaKemenkeu!$AY$6:$AY$1005="Direkomendasikan",ROW($6:$1005)-5),231)))=1),IFERROR(VLOOKUP(INDEX(checklistPesertaKemenkeu!$L$6:$L$1005,SMALL(IF(checklistPesertaKemenkeu!$AY$6:$AY$1005="Direkomendasikan",ROW($6:$1005)-5),231)),KotaKode,2,0),"-"),"")),"")</f>
        <v/>
      </c>
      <c r="I232" t="str">
        <f t="array" aca="1" ref="I232" ca="1">IFERROR(IF(OR(INDEX(checklistPesertaKemenkeu!$M$6:$M$1005,SMALL(IF(checklistPesertaKemenkeu!$AY$6:$AY$1005="Direkomendasikan",ROW($6:$1005)-5),231))="",INDEX(checklistPesertaKemenkeu!$J$6:$J$1005,SMALL(IF(checklistPesertaKemenkeu!$AY$6:$AY$1005="Direkomendasikan",ROW($6:$1005)-5),231))=""),"",IF(AND(COUNTIF(INDIRECT("K_"&amp;MATCH(INDEX(checklistPesertaKemenkeu!$J$6:$J$1005,SMALL(IF(checklistPesertaKemenkeu!$AY$6:$AY$1005="Direkomendasikan",ROW($6:$1005)-5),231)),BidangList,0)),INDEX(checklistPesertaKemenkeu!$M$6:$M$1005,SMALL(IF(checklistPesertaKemenkeu!$AY$6:$AY$1005="Direkomendasikan",ROW($6:$1005)-5),231)))&gt;0,COUNTIF(INDIRECT("'KERTAS KERJA'!K"&amp;(SMALL(IF(checklistPesertaKemenkeu!$AY$6:$AY$1005="Direkomendasikan",ROW($6:$1005)-5),231)+5)&amp;":O"&amp;(SMALL(IF(checklistPesertaKemenkeu!$AY$6:$AY$1005="Direkomendasikan",ROW($6:$1005)-5),231)+5)),INDEX(checklistPesertaKemenkeu!$M$6:$M$1005,SMALL(IF(checklistPesertaKemenkeu!$AY$6:$AY$1005="Direkomendasikan",ROW($6:$1005)-5),231)))=1),IFERROR(VLOOKUP(INDEX(checklistPesertaKemenkeu!$M$6:$M$1005,SMALL(IF(checklistPesertaKemenkeu!$AY$6:$AY$1005="Direkomendasikan",ROW($6:$1005)-5),231)),KotaKode,2,0),"-"),"")),"")</f>
        <v/>
      </c>
      <c r="J232" t="str">
        <f t="array" aca="1" ref="J232" ca="1">IFERROR(IF(OR(INDEX(checklistPesertaKemenkeu!$N$6:$N$1005,SMALL(IF(checklistPesertaKemenkeu!$AY$6:$AY$1005="Direkomendasikan",ROW($6:$1005)-5),231))="",INDEX(checklistPesertaKemenkeu!$J$6:$J$1005,SMALL(IF(checklistPesertaKemenkeu!$AY$6:$AY$1005="Direkomendasikan",ROW($6:$1005)-5),231))=""),"",IF(AND(COUNTIF(INDIRECT("K_"&amp;MATCH(INDEX(checklistPesertaKemenkeu!$J$6:$J$1005,SMALL(IF(checklistPesertaKemenkeu!$AY$6:$AY$1005="Direkomendasikan",ROW($6:$1005)-5),231)),BidangList,0)),INDEX(checklistPesertaKemenkeu!$N$6:$N$1005,SMALL(IF(checklistPesertaKemenkeu!$AY$6:$AY$1005="Direkomendasikan",ROW($6:$1005)-5),231)))&gt;0,COUNTIF(INDIRECT("'KERTAS KERJA'!K"&amp;(SMALL(IF(checklistPesertaKemenkeu!$AY$6:$AY$1005="Direkomendasikan",ROW($6:$1005)-5),231)+5)&amp;":O"&amp;(SMALL(IF(checklistPesertaKemenkeu!$AY$6:$AY$1005="Direkomendasikan",ROW($6:$1005)-5),231)+5)),INDEX(checklistPesertaKemenkeu!$N$6:$N$1005,SMALL(IF(checklistPesertaKemenkeu!$AY$6:$AY$1005="Direkomendasikan",ROW($6:$1005)-5),231)))=1),IFERROR(VLOOKUP(INDEX(checklistPesertaKemenkeu!$N$6:$N$1005,SMALL(IF(checklistPesertaKemenkeu!$AY$6:$AY$1005="Direkomendasikan",ROW($6:$1005)-5),231)),KotaKode,2,0),"-"),"")),"")</f>
        <v/>
      </c>
      <c r="K232" t="str">
        <f t="array" aca="1" ref="K232" ca="1">IFERROR(IF(OR(INDEX(checklistPesertaKemenkeu!$O$6:$O$1005,SMALL(IF(checklistPesertaKemenkeu!$AY$6:$AY$1005="Direkomendasikan",ROW($6:$1005)-5),231))="",INDEX(checklistPesertaKemenkeu!$J$6:$J$1005,SMALL(IF(checklistPesertaKemenkeu!$AY$6:$AY$1005="Direkomendasikan",ROW($6:$1005)-5),231))=""),"",IF(AND(COUNTIF(INDIRECT("K_"&amp;MATCH(INDEX(checklistPesertaKemenkeu!$J$6:$J$1005,SMALL(IF(checklistPesertaKemenkeu!$AY$6:$AY$1005="Direkomendasikan",ROW($6:$1005)-5),231)),BidangList,0)),INDEX(checklistPesertaKemenkeu!$O$6:$O$1005,SMALL(IF(checklistPesertaKemenkeu!$AY$6:$AY$1005="Direkomendasikan",ROW($6:$1005)-5),231)))&gt;0,COUNTIF(INDIRECT("'KERTAS KERJA'!K"&amp;(SMALL(IF(checklistPesertaKemenkeu!$AY$6:$AY$1005="Direkomendasikan",ROW($6:$1005)-5),231)+5)&amp;":O"&amp;(SMALL(IF(checklistPesertaKemenkeu!$AY$6:$AY$1005="Direkomendasikan",ROW($6:$1005)-5),231)+5)),INDEX(checklistPesertaKemenkeu!$O$6:$O$1005,SMALL(IF(checklistPesertaKemenkeu!$AY$6:$AY$1005="Direkomendasikan",ROW($6:$1005)-5),231)))=1),IFERROR(VLOOKUP(INDEX(checklistPesertaKemenkeu!$O$6:$O$1005,SMALL(IF(checklistPesertaKemenkeu!$AY$6:$AY$1005="Direkomendasikan",ROW($6:$1005)-5),231)),KotaKode,2,0),"-"),"")),"")</f>
        <v/>
      </c>
      <c r="L232" t="str">
        <f t="array" aca="1" ref="L232" ca="1">IFERROR(IF(OR(INDEX(checklistPesertaKemenkeu!$P$6:$P$1005,SMALL(IF(checklistPesertaKemenkeu!$AY$6:$AY$1005="Direkomendasikan",ROW($6:$1005)-5),231))="",INDEX(checklistPesertaKemenkeu!$J$6:$J$1005,SMALL(IF(checklistPesertaKemenkeu!$AY$6:$AY$1005="Direkomendasikan",ROW($6:$1005)-5),231))=""),"",IF(AND(COUNTIF(INDIRECT("K_"&amp;MATCH(INDEX(checklistPesertaKemenkeu!$J$6:$J$1005,SMALL(IF(checklistPesertaKemenkeu!$AY$6:$AY$1005="Direkomendasikan",ROW($6:$1005)-5),231)),BidangList,0)),INDEX(checklistPesertaKemenkeu!$P$6:$P$1005,SMALL(IF(checklistPesertaKemenkeu!$AY$6:$AY$1005="Direkomendasikan",ROW($6:$1005)-5),231)))&gt;0,COUNTIF(INDIRECT("'KERTAS KERJA'!K"&amp;(SMALL(IF(checklistPesertaKemenkeu!$AY$6:$AY$1005="Direkomendasikan",ROW($6:$1005)-5),231)+5)&amp;":O"&amp;(SMALL(IF(checklistPesertaKemenkeu!$AY$6:$AY$1005="Direkomendasikan",ROW($6:$1005)-5),231)+5)),INDEX(checklistPesertaKemenkeu!$P$6:$P$1005,SMALL(IF(checklistPesertaKemenkeu!$AY$6:$AY$1005="Direkomendasikan",ROW($6:$1005)-5),231)))=1),IFERROR(VLOOKUP(INDEX(checklistPesertaKemenkeu!$P$6:$P$1005,SMALL(IF(checklistPesertaKemenkeu!$AY$6:$AY$1005="Direkomendasikan",ROW($6:$1005)-5),231)),KotaKode,2,0),"-"),"")),"")</f>
        <v/>
      </c>
    </row>
    <row r="233" spans="1:12" ht="15" customHeight="1" x14ac:dyDescent="0.2">
      <c r="A233" t="str">
        <f t="shared" si="3"/>
        <v/>
      </c>
      <c r="B233" t="str">
        <v/>
      </c>
      <c r="C233" s="40" t="str">
        <f t="array" ref="C233">IFERROR(INDEX(checklistPesertaKemenkeu!$F$6:$F$1005,SMALL(IF(checklistPesertaKemenkeu!$AY$6:$AY$1005="Direkomendasikan",ROW($6:$1005)-5),232)),"")</f>
        <v/>
      </c>
      <c r="D233" t="str">
        <f t="array" ref="D233">IFERROR(INDEX(checklistPesertaKemenkeu!$G$6:$G$1005,SMALL(IF(checklistPesertaKemenkeu!$AY$6:$AY$1005="Direkomendasikan",ROW($6:$1005)-5),232)),"")</f>
        <v/>
      </c>
      <c r="E233" t="str">
        <f t="array" ref="E233">IFERROR(INDEX(checklistPesertaKemenkeu!$H$6:$H$1005,SMALL(IF(checklistPesertaKemenkeu!$AY$6:$AY$1005="Direkomendasikan",ROW($6:$1005)-5),232)),"")</f>
        <v/>
      </c>
      <c r="F233" t="str">
        <f t="array" ref="F233">IFERROR(INDEX(checklistPesertaKemenkeu!$I$6:$I$1005,SMALL(IF(checklistPesertaKemenkeu!$AY$6:$AY$1005="Direkomendasikan",ROW($6:$1005)-5),232)),"")</f>
        <v/>
      </c>
      <c r="G233" t="str">
        <f t="array" ref="G233">IFERROR(INDEX(checklistPesertaKemenkeu!$J$6:$J$1005,SMALL(IF(checklistPesertaKemenkeu!$AY$6:$AY$1005="Direkomendasikan",ROW($6:$1005)-5),232)),"")</f>
        <v/>
      </c>
      <c r="H233" t="str">
        <f t="array" aca="1" ref="H233" ca="1">IFERROR(IF(OR(INDEX(checklistPesertaKemenkeu!$L$6:$L$1005,SMALL(IF(checklistPesertaKemenkeu!$AY$6:$AY$1005="Direkomendasikan",ROW($6:$1005)-5),232))="",INDEX(checklistPesertaKemenkeu!$J$6:$J$1005,SMALL(IF(checklistPesertaKemenkeu!$AY$6:$AY$1005="Direkomendasikan",ROW($6:$1005)-5),232))=""),"",IF(AND(COUNTIF(INDIRECT("K_"&amp;MATCH(INDEX(checklistPesertaKemenkeu!$J$6:$J$1005,SMALL(IF(checklistPesertaKemenkeu!$AY$6:$AY$1005="Direkomendasikan",ROW($6:$1005)-5),232)),BidangList,0)),INDEX(checklistPesertaKemenkeu!$L$6:$L$1005,SMALL(IF(checklistPesertaKemenkeu!$AY$6:$AY$1005="Direkomendasikan",ROW($6:$1005)-5),232)))&gt;0,COUNTIF(INDIRECT("'KERTAS KERJA'!K"&amp;(SMALL(IF(checklistPesertaKemenkeu!$AY$6:$AY$1005="Direkomendasikan",ROW($6:$1005)-5),232)+5)&amp;":O"&amp;(SMALL(IF(checklistPesertaKemenkeu!$AY$6:$AY$1005="Direkomendasikan",ROW($6:$1005)-5),232)+5)),INDEX(checklistPesertaKemenkeu!$L$6:$L$1005,SMALL(IF(checklistPesertaKemenkeu!$AY$6:$AY$1005="Direkomendasikan",ROW($6:$1005)-5),232)))=1),IFERROR(VLOOKUP(INDEX(checklistPesertaKemenkeu!$L$6:$L$1005,SMALL(IF(checklistPesertaKemenkeu!$AY$6:$AY$1005="Direkomendasikan",ROW($6:$1005)-5),232)),KotaKode,2,0),"-"),"")),"")</f>
        <v/>
      </c>
      <c r="I233" t="str">
        <f t="array" aca="1" ref="I233" ca="1">IFERROR(IF(OR(INDEX(checklistPesertaKemenkeu!$M$6:$M$1005,SMALL(IF(checklistPesertaKemenkeu!$AY$6:$AY$1005="Direkomendasikan",ROW($6:$1005)-5),232))="",INDEX(checklistPesertaKemenkeu!$J$6:$J$1005,SMALL(IF(checklistPesertaKemenkeu!$AY$6:$AY$1005="Direkomendasikan",ROW($6:$1005)-5),232))=""),"",IF(AND(COUNTIF(INDIRECT("K_"&amp;MATCH(INDEX(checklistPesertaKemenkeu!$J$6:$J$1005,SMALL(IF(checklistPesertaKemenkeu!$AY$6:$AY$1005="Direkomendasikan",ROW($6:$1005)-5),232)),BidangList,0)),INDEX(checklistPesertaKemenkeu!$M$6:$M$1005,SMALL(IF(checklistPesertaKemenkeu!$AY$6:$AY$1005="Direkomendasikan",ROW($6:$1005)-5),232)))&gt;0,COUNTIF(INDIRECT("'KERTAS KERJA'!K"&amp;(SMALL(IF(checklistPesertaKemenkeu!$AY$6:$AY$1005="Direkomendasikan",ROW($6:$1005)-5),232)+5)&amp;":O"&amp;(SMALL(IF(checklistPesertaKemenkeu!$AY$6:$AY$1005="Direkomendasikan",ROW($6:$1005)-5),232)+5)),INDEX(checklistPesertaKemenkeu!$M$6:$M$1005,SMALL(IF(checklistPesertaKemenkeu!$AY$6:$AY$1005="Direkomendasikan",ROW($6:$1005)-5),232)))=1),IFERROR(VLOOKUP(INDEX(checklistPesertaKemenkeu!$M$6:$M$1005,SMALL(IF(checklistPesertaKemenkeu!$AY$6:$AY$1005="Direkomendasikan",ROW($6:$1005)-5),232)),KotaKode,2,0),"-"),"")),"")</f>
        <v/>
      </c>
      <c r="J233" t="str">
        <f t="array" aca="1" ref="J233" ca="1">IFERROR(IF(OR(INDEX(checklistPesertaKemenkeu!$N$6:$N$1005,SMALL(IF(checklistPesertaKemenkeu!$AY$6:$AY$1005="Direkomendasikan",ROW($6:$1005)-5),232))="",INDEX(checklistPesertaKemenkeu!$J$6:$J$1005,SMALL(IF(checklistPesertaKemenkeu!$AY$6:$AY$1005="Direkomendasikan",ROW($6:$1005)-5),232))=""),"",IF(AND(COUNTIF(INDIRECT("K_"&amp;MATCH(INDEX(checklistPesertaKemenkeu!$J$6:$J$1005,SMALL(IF(checklistPesertaKemenkeu!$AY$6:$AY$1005="Direkomendasikan",ROW($6:$1005)-5),232)),BidangList,0)),INDEX(checklistPesertaKemenkeu!$N$6:$N$1005,SMALL(IF(checklistPesertaKemenkeu!$AY$6:$AY$1005="Direkomendasikan",ROW($6:$1005)-5),232)))&gt;0,COUNTIF(INDIRECT("'KERTAS KERJA'!K"&amp;(SMALL(IF(checklistPesertaKemenkeu!$AY$6:$AY$1005="Direkomendasikan",ROW($6:$1005)-5),232)+5)&amp;":O"&amp;(SMALL(IF(checklistPesertaKemenkeu!$AY$6:$AY$1005="Direkomendasikan",ROW($6:$1005)-5),232)+5)),INDEX(checklistPesertaKemenkeu!$N$6:$N$1005,SMALL(IF(checklistPesertaKemenkeu!$AY$6:$AY$1005="Direkomendasikan",ROW($6:$1005)-5),232)))=1),IFERROR(VLOOKUP(INDEX(checklistPesertaKemenkeu!$N$6:$N$1005,SMALL(IF(checklistPesertaKemenkeu!$AY$6:$AY$1005="Direkomendasikan",ROW($6:$1005)-5),232)),KotaKode,2,0),"-"),"")),"")</f>
        <v/>
      </c>
      <c r="K233" t="str">
        <f t="array" aca="1" ref="K233" ca="1">IFERROR(IF(OR(INDEX(checklistPesertaKemenkeu!$O$6:$O$1005,SMALL(IF(checklistPesertaKemenkeu!$AY$6:$AY$1005="Direkomendasikan",ROW($6:$1005)-5),232))="",INDEX(checklistPesertaKemenkeu!$J$6:$J$1005,SMALL(IF(checklistPesertaKemenkeu!$AY$6:$AY$1005="Direkomendasikan",ROW($6:$1005)-5),232))=""),"",IF(AND(COUNTIF(INDIRECT("K_"&amp;MATCH(INDEX(checklistPesertaKemenkeu!$J$6:$J$1005,SMALL(IF(checklistPesertaKemenkeu!$AY$6:$AY$1005="Direkomendasikan",ROW($6:$1005)-5),232)),BidangList,0)),INDEX(checklistPesertaKemenkeu!$O$6:$O$1005,SMALL(IF(checklistPesertaKemenkeu!$AY$6:$AY$1005="Direkomendasikan",ROW($6:$1005)-5),232)))&gt;0,COUNTIF(INDIRECT("'KERTAS KERJA'!K"&amp;(SMALL(IF(checklistPesertaKemenkeu!$AY$6:$AY$1005="Direkomendasikan",ROW($6:$1005)-5),232)+5)&amp;":O"&amp;(SMALL(IF(checklistPesertaKemenkeu!$AY$6:$AY$1005="Direkomendasikan",ROW($6:$1005)-5),232)+5)),INDEX(checklistPesertaKemenkeu!$O$6:$O$1005,SMALL(IF(checklistPesertaKemenkeu!$AY$6:$AY$1005="Direkomendasikan",ROW($6:$1005)-5),232)))=1),IFERROR(VLOOKUP(INDEX(checklistPesertaKemenkeu!$O$6:$O$1005,SMALL(IF(checklistPesertaKemenkeu!$AY$6:$AY$1005="Direkomendasikan",ROW($6:$1005)-5),232)),KotaKode,2,0),"-"),"")),"")</f>
        <v/>
      </c>
      <c r="L233" t="str">
        <f t="array" aca="1" ref="L233" ca="1">IFERROR(IF(OR(INDEX(checklistPesertaKemenkeu!$P$6:$P$1005,SMALL(IF(checklistPesertaKemenkeu!$AY$6:$AY$1005="Direkomendasikan",ROW($6:$1005)-5),232))="",INDEX(checklistPesertaKemenkeu!$J$6:$J$1005,SMALL(IF(checklistPesertaKemenkeu!$AY$6:$AY$1005="Direkomendasikan",ROW($6:$1005)-5),232))=""),"",IF(AND(COUNTIF(INDIRECT("K_"&amp;MATCH(INDEX(checklistPesertaKemenkeu!$J$6:$J$1005,SMALL(IF(checklistPesertaKemenkeu!$AY$6:$AY$1005="Direkomendasikan",ROW($6:$1005)-5),232)),BidangList,0)),INDEX(checklistPesertaKemenkeu!$P$6:$P$1005,SMALL(IF(checklistPesertaKemenkeu!$AY$6:$AY$1005="Direkomendasikan",ROW($6:$1005)-5),232)))&gt;0,COUNTIF(INDIRECT("'KERTAS KERJA'!K"&amp;(SMALL(IF(checklistPesertaKemenkeu!$AY$6:$AY$1005="Direkomendasikan",ROW($6:$1005)-5),232)+5)&amp;":O"&amp;(SMALL(IF(checklistPesertaKemenkeu!$AY$6:$AY$1005="Direkomendasikan",ROW($6:$1005)-5),232)+5)),INDEX(checklistPesertaKemenkeu!$P$6:$P$1005,SMALL(IF(checklistPesertaKemenkeu!$AY$6:$AY$1005="Direkomendasikan",ROW($6:$1005)-5),232)))=1),IFERROR(VLOOKUP(INDEX(checklistPesertaKemenkeu!$P$6:$P$1005,SMALL(IF(checklistPesertaKemenkeu!$AY$6:$AY$1005="Direkomendasikan",ROW($6:$1005)-5),232)),KotaKode,2,0),"-"),"")),"")</f>
        <v/>
      </c>
    </row>
    <row r="234" spans="1:12" ht="15" customHeight="1" x14ac:dyDescent="0.2">
      <c r="A234" t="str">
        <f t="shared" si="3"/>
        <v/>
      </c>
      <c r="B234" t="str">
        <v/>
      </c>
      <c r="C234" s="40" t="str">
        <f t="array" ref="C234">IFERROR(INDEX(checklistPesertaKemenkeu!$F$6:$F$1005,SMALL(IF(checklistPesertaKemenkeu!$AY$6:$AY$1005="Direkomendasikan",ROW($6:$1005)-5),233)),"")</f>
        <v/>
      </c>
      <c r="D234" t="str">
        <f t="array" ref="D234">IFERROR(INDEX(checklistPesertaKemenkeu!$G$6:$G$1005,SMALL(IF(checklistPesertaKemenkeu!$AY$6:$AY$1005="Direkomendasikan",ROW($6:$1005)-5),233)),"")</f>
        <v/>
      </c>
      <c r="E234" t="str">
        <f t="array" ref="E234">IFERROR(INDEX(checklistPesertaKemenkeu!$H$6:$H$1005,SMALL(IF(checklistPesertaKemenkeu!$AY$6:$AY$1005="Direkomendasikan",ROW($6:$1005)-5),233)),"")</f>
        <v/>
      </c>
      <c r="F234" t="str">
        <f t="array" ref="F234">IFERROR(INDEX(checklistPesertaKemenkeu!$I$6:$I$1005,SMALL(IF(checklistPesertaKemenkeu!$AY$6:$AY$1005="Direkomendasikan",ROW($6:$1005)-5),233)),"")</f>
        <v/>
      </c>
      <c r="G234" t="str">
        <f t="array" ref="G234">IFERROR(INDEX(checklistPesertaKemenkeu!$J$6:$J$1005,SMALL(IF(checklistPesertaKemenkeu!$AY$6:$AY$1005="Direkomendasikan",ROW($6:$1005)-5),233)),"")</f>
        <v/>
      </c>
      <c r="H234" t="str">
        <f t="array" aca="1" ref="H234" ca="1">IFERROR(IF(OR(INDEX(checklistPesertaKemenkeu!$L$6:$L$1005,SMALL(IF(checklistPesertaKemenkeu!$AY$6:$AY$1005="Direkomendasikan",ROW($6:$1005)-5),233))="",INDEX(checklistPesertaKemenkeu!$J$6:$J$1005,SMALL(IF(checklistPesertaKemenkeu!$AY$6:$AY$1005="Direkomendasikan",ROW($6:$1005)-5),233))=""),"",IF(AND(COUNTIF(INDIRECT("K_"&amp;MATCH(INDEX(checklistPesertaKemenkeu!$J$6:$J$1005,SMALL(IF(checklistPesertaKemenkeu!$AY$6:$AY$1005="Direkomendasikan",ROW($6:$1005)-5),233)),BidangList,0)),INDEX(checklistPesertaKemenkeu!$L$6:$L$1005,SMALL(IF(checklistPesertaKemenkeu!$AY$6:$AY$1005="Direkomendasikan",ROW($6:$1005)-5),233)))&gt;0,COUNTIF(INDIRECT("'KERTAS KERJA'!K"&amp;(SMALL(IF(checklistPesertaKemenkeu!$AY$6:$AY$1005="Direkomendasikan",ROW($6:$1005)-5),233)+5)&amp;":O"&amp;(SMALL(IF(checklistPesertaKemenkeu!$AY$6:$AY$1005="Direkomendasikan",ROW($6:$1005)-5),233)+5)),INDEX(checklistPesertaKemenkeu!$L$6:$L$1005,SMALL(IF(checklistPesertaKemenkeu!$AY$6:$AY$1005="Direkomendasikan",ROW($6:$1005)-5),233)))=1),IFERROR(VLOOKUP(INDEX(checklistPesertaKemenkeu!$L$6:$L$1005,SMALL(IF(checklistPesertaKemenkeu!$AY$6:$AY$1005="Direkomendasikan",ROW($6:$1005)-5),233)),KotaKode,2,0),"-"),"")),"")</f>
        <v/>
      </c>
      <c r="I234" t="str">
        <f t="array" aca="1" ref="I234" ca="1">IFERROR(IF(OR(INDEX(checklistPesertaKemenkeu!$M$6:$M$1005,SMALL(IF(checklistPesertaKemenkeu!$AY$6:$AY$1005="Direkomendasikan",ROW($6:$1005)-5),233))="",INDEX(checklistPesertaKemenkeu!$J$6:$J$1005,SMALL(IF(checklistPesertaKemenkeu!$AY$6:$AY$1005="Direkomendasikan",ROW($6:$1005)-5),233))=""),"",IF(AND(COUNTIF(INDIRECT("K_"&amp;MATCH(INDEX(checklistPesertaKemenkeu!$J$6:$J$1005,SMALL(IF(checklistPesertaKemenkeu!$AY$6:$AY$1005="Direkomendasikan",ROW($6:$1005)-5),233)),BidangList,0)),INDEX(checklistPesertaKemenkeu!$M$6:$M$1005,SMALL(IF(checklistPesertaKemenkeu!$AY$6:$AY$1005="Direkomendasikan",ROW($6:$1005)-5),233)))&gt;0,COUNTIF(INDIRECT("'KERTAS KERJA'!K"&amp;(SMALL(IF(checklistPesertaKemenkeu!$AY$6:$AY$1005="Direkomendasikan",ROW($6:$1005)-5),233)+5)&amp;":O"&amp;(SMALL(IF(checklistPesertaKemenkeu!$AY$6:$AY$1005="Direkomendasikan",ROW($6:$1005)-5),233)+5)),INDEX(checklistPesertaKemenkeu!$M$6:$M$1005,SMALL(IF(checklistPesertaKemenkeu!$AY$6:$AY$1005="Direkomendasikan",ROW($6:$1005)-5),233)))=1),IFERROR(VLOOKUP(INDEX(checklistPesertaKemenkeu!$M$6:$M$1005,SMALL(IF(checklistPesertaKemenkeu!$AY$6:$AY$1005="Direkomendasikan",ROW($6:$1005)-5),233)),KotaKode,2,0),"-"),"")),"")</f>
        <v/>
      </c>
      <c r="J234" t="str">
        <f t="array" aca="1" ref="J234" ca="1">IFERROR(IF(OR(INDEX(checklistPesertaKemenkeu!$N$6:$N$1005,SMALL(IF(checklistPesertaKemenkeu!$AY$6:$AY$1005="Direkomendasikan",ROW($6:$1005)-5),233))="",INDEX(checklistPesertaKemenkeu!$J$6:$J$1005,SMALL(IF(checklistPesertaKemenkeu!$AY$6:$AY$1005="Direkomendasikan",ROW($6:$1005)-5),233))=""),"",IF(AND(COUNTIF(INDIRECT("K_"&amp;MATCH(INDEX(checklistPesertaKemenkeu!$J$6:$J$1005,SMALL(IF(checklistPesertaKemenkeu!$AY$6:$AY$1005="Direkomendasikan",ROW($6:$1005)-5),233)),BidangList,0)),INDEX(checklistPesertaKemenkeu!$N$6:$N$1005,SMALL(IF(checklistPesertaKemenkeu!$AY$6:$AY$1005="Direkomendasikan",ROW($6:$1005)-5),233)))&gt;0,COUNTIF(INDIRECT("'KERTAS KERJA'!K"&amp;(SMALL(IF(checklistPesertaKemenkeu!$AY$6:$AY$1005="Direkomendasikan",ROW($6:$1005)-5),233)+5)&amp;":O"&amp;(SMALL(IF(checklistPesertaKemenkeu!$AY$6:$AY$1005="Direkomendasikan",ROW($6:$1005)-5),233)+5)),INDEX(checklistPesertaKemenkeu!$N$6:$N$1005,SMALL(IF(checklistPesertaKemenkeu!$AY$6:$AY$1005="Direkomendasikan",ROW($6:$1005)-5),233)))=1),IFERROR(VLOOKUP(INDEX(checklistPesertaKemenkeu!$N$6:$N$1005,SMALL(IF(checklistPesertaKemenkeu!$AY$6:$AY$1005="Direkomendasikan",ROW($6:$1005)-5),233)),KotaKode,2,0),"-"),"")),"")</f>
        <v/>
      </c>
      <c r="K234" t="str">
        <f t="array" aca="1" ref="K234" ca="1">IFERROR(IF(OR(INDEX(checklistPesertaKemenkeu!$O$6:$O$1005,SMALL(IF(checklistPesertaKemenkeu!$AY$6:$AY$1005="Direkomendasikan",ROW($6:$1005)-5),233))="",INDEX(checklistPesertaKemenkeu!$J$6:$J$1005,SMALL(IF(checklistPesertaKemenkeu!$AY$6:$AY$1005="Direkomendasikan",ROW($6:$1005)-5),233))=""),"",IF(AND(COUNTIF(INDIRECT("K_"&amp;MATCH(INDEX(checklistPesertaKemenkeu!$J$6:$J$1005,SMALL(IF(checklistPesertaKemenkeu!$AY$6:$AY$1005="Direkomendasikan",ROW($6:$1005)-5),233)),BidangList,0)),INDEX(checklistPesertaKemenkeu!$O$6:$O$1005,SMALL(IF(checklistPesertaKemenkeu!$AY$6:$AY$1005="Direkomendasikan",ROW($6:$1005)-5),233)))&gt;0,COUNTIF(INDIRECT("'KERTAS KERJA'!K"&amp;(SMALL(IF(checklistPesertaKemenkeu!$AY$6:$AY$1005="Direkomendasikan",ROW($6:$1005)-5),233)+5)&amp;":O"&amp;(SMALL(IF(checklistPesertaKemenkeu!$AY$6:$AY$1005="Direkomendasikan",ROW($6:$1005)-5),233)+5)),INDEX(checklistPesertaKemenkeu!$O$6:$O$1005,SMALL(IF(checklistPesertaKemenkeu!$AY$6:$AY$1005="Direkomendasikan",ROW($6:$1005)-5),233)))=1),IFERROR(VLOOKUP(INDEX(checklistPesertaKemenkeu!$O$6:$O$1005,SMALL(IF(checklistPesertaKemenkeu!$AY$6:$AY$1005="Direkomendasikan",ROW($6:$1005)-5),233)),KotaKode,2,0),"-"),"")),"")</f>
        <v/>
      </c>
      <c r="L234" t="str">
        <f t="array" aca="1" ref="L234" ca="1">IFERROR(IF(OR(INDEX(checklistPesertaKemenkeu!$P$6:$P$1005,SMALL(IF(checklistPesertaKemenkeu!$AY$6:$AY$1005="Direkomendasikan",ROW($6:$1005)-5),233))="",INDEX(checklistPesertaKemenkeu!$J$6:$J$1005,SMALL(IF(checklistPesertaKemenkeu!$AY$6:$AY$1005="Direkomendasikan",ROW($6:$1005)-5),233))=""),"",IF(AND(COUNTIF(INDIRECT("K_"&amp;MATCH(INDEX(checklistPesertaKemenkeu!$J$6:$J$1005,SMALL(IF(checklistPesertaKemenkeu!$AY$6:$AY$1005="Direkomendasikan",ROW($6:$1005)-5),233)),BidangList,0)),INDEX(checklistPesertaKemenkeu!$P$6:$P$1005,SMALL(IF(checklistPesertaKemenkeu!$AY$6:$AY$1005="Direkomendasikan",ROW($6:$1005)-5),233)))&gt;0,COUNTIF(INDIRECT("'KERTAS KERJA'!K"&amp;(SMALL(IF(checklistPesertaKemenkeu!$AY$6:$AY$1005="Direkomendasikan",ROW($6:$1005)-5),233)+5)&amp;":O"&amp;(SMALL(IF(checklistPesertaKemenkeu!$AY$6:$AY$1005="Direkomendasikan",ROW($6:$1005)-5),233)+5)),INDEX(checklistPesertaKemenkeu!$P$6:$P$1005,SMALL(IF(checklistPesertaKemenkeu!$AY$6:$AY$1005="Direkomendasikan",ROW($6:$1005)-5),233)))=1),IFERROR(VLOOKUP(INDEX(checklistPesertaKemenkeu!$P$6:$P$1005,SMALL(IF(checklistPesertaKemenkeu!$AY$6:$AY$1005="Direkomendasikan",ROW($6:$1005)-5),233)),KotaKode,2,0),"-"),"")),"")</f>
        <v/>
      </c>
    </row>
    <row r="235" spans="1:12" ht="15" customHeight="1" x14ac:dyDescent="0.2">
      <c r="A235" t="str">
        <f t="shared" si="3"/>
        <v/>
      </c>
      <c r="B235" t="str">
        <v/>
      </c>
      <c r="C235" s="40" t="str">
        <f t="array" ref="C235">IFERROR(INDEX(checklistPesertaKemenkeu!$F$6:$F$1005,SMALL(IF(checklistPesertaKemenkeu!$AY$6:$AY$1005="Direkomendasikan",ROW($6:$1005)-5),234)),"")</f>
        <v/>
      </c>
      <c r="D235" t="str">
        <f t="array" ref="D235">IFERROR(INDEX(checklistPesertaKemenkeu!$G$6:$G$1005,SMALL(IF(checklistPesertaKemenkeu!$AY$6:$AY$1005="Direkomendasikan",ROW($6:$1005)-5),234)),"")</f>
        <v/>
      </c>
      <c r="E235" t="str">
        <f t="array" ref="E235">IFERROR(INDEX(checklistPesertaKemenkeu!$H$6:$H$1005,SMALL(IF(checklistPesertaKemenkeu!$AY$6:$AY$1005="Direkomendasikan",ROW($6:$1005)-5),234)),"")</f>
        <v/>
      </c>
      <c r="F235" t="str">
        <f t="array" ref="F235">IFERROR(INDEX(checklistPesertaKemenkeu!$I$6:$I$1005,SMALL(IF(checklistPesertaKemenkeu!$AY$6:$AY$1005="Direkomendasikan",ROW($6:$1005)-5),234)),"")</f>
        <v/>
      </c>
      <c r="G235" t="str">
        <f t="array" ref="G235">IFERROR(INDEX(checklistPesertaKemenkeu!$J$6:$J$1005,SMALL(IF(checklistPesertaKemenkeu!$AY$6:$AY$1005="Direkomendasikan",ROW($6:$1005)-5),234)),"")</f>
        <v/>
      </c>
      <c r="H235" t="str">
        <f t="array" aca="1" ref="H235" ca="1">IFERROR(IF(OR(INDEX(checklistPesertaKemenkeu!$L$6:$L$1005,SMALL(IF(checklistPesertaKemenkeu!$AY$6:$AY$1005="Direkomendasikan",ROW($6:$1005)-5),234))="",INDEX(checklistPesertaKemenkeu!$J$6:$J$1005,SMALL(IF(checklistPesertaKemenkeu!$AY$6:$AY$1005="Direkomendasikan",ROW($6:$1005)-5),234))=""),"",IF(AND(COUNTIF(INDIRECT("K_"&amp;MATCH(INDEX(checklistPesertaKemenkeu!$J$6:$J$1005,SMALL(IF(checklistPesertaKemenkeu!$AY$6:$AY$1005="Direkomendasikan",ROW($6:$1005)-5),234)),BidangList,0)),INDEX(checklistPesertaKemenkeu!$L$6:$L$1005,SMALL(IF(checklistPesertaKemenkeu!$AY$6:$AY$1005="Direkomendasikan",ROW($6:$1005)-5),234)))&gt;0,COUNTIF(INDIRECT("'KERTAS KERJA'!K"&amp;(SMALL(IF(checklistPesertaKemenkeu!$AY$6:$AY$1005="Direkomendasikan",ROW($6:$1005)-5),234)+5)&amp;":O"&amp;(SMALL(IF(checklistPesertaKemenkeu!$AY$6:$AY$1005="Direkomendasikan",ROW($6:$1005)-5),234)+5)),INDEX(checklistPesertaKemenkeu!$L$6:$L$1005,SMALL(IF(checklistPesertaKemenkeu!$AY$6:$AY$1005="Direkomendasikan",ROW($6:$1005)-5),234)))=1),IFERROR(VLOOKUP(INDEX(checklistPesertaKemenkeu!$L$6:$L$1005,SMALL(IF(checklistPesertaKemenkeu!$AY$6:$AY$1005="Direkomendasikan",ROW($6:$1005)-5),234)),KotaKode,2,0),"-"),"")),"")</f>
        <v/>
      </c>
      <c r="I235" t="str">
        <f t="array" aca="1" ref="I235" ca="1">IFERROR(IF(OR(INDEX(checklistPesertaKemenkeu!$M$6:$M$1005,SMALL(IF(checklistPesertaKemenkeu!$AY$6:$AY$1005="Direkomendasikan",ROW($6:$1005)-5),234))="",INDEX(checklistPesertaKemenkeu!$J$6:$J$1005,SMALL(IF(checklistPesertaKemenkeu!$AY$6:$AY$1005="Direkomendasikan",ROW($6:$1005)-5),234))=""),"",IF(AND(COUNTIF(INDIRECT("K_"&amp;MATCH(INDEX(checklistPesertaKemenkeu!$J$6:$J$1005,SMALL(IF(checklistPesertaKemenkeu!$AY$6:$AY$1005="Direkomendasikan",ROW($6:$1005)-5),234)),BidangList,0)),INDEX(checklistPesertaKemenkeu!$M$6:$M$1005,SMALL(IF(checklistPesertaKemenkeu!$AY$6:$AY$1005="Direkomendasikan",ROW($6:$1005)-5),234)))&gt;0,COUNTIF(INDIRECT("'KERTAS KERJA'!K"&amp;(SMALL(IF(checklistPesertaKemenkeu!$AY$6:$AY$1005="Direkomendasikan",ROW($6:$1005)-5),234)+5)&amp;":O"&amp;(SMALL(IF(checklistPesertaKemenkeu!$AY$6:$AY$1005="Direkomendasikan",ROW($6:$1005)-5),234)+5)),INDEX(checklistPesertaKemenkeu!$M$6:$M$1005,SMALL(IF(checklistPesertaKemenkeu!$AY$6:$AY$1005="Direkomendasikan",ROW($6:$1005)-5),234)))=1),IFERROR(VLOOKUP(INDEX(checklistPesertaKemenkeu!$M$6:$M$1005,SMALL(IF(checklistPesertaKemenkeu!$AY$6:$AY$1005="Direkomendasikan",ROW($6:$1005)-5),234)),KotaKode,2,0),"-"),"")),"")</f>
        <v/>
      </c>
      <c r="J235" t="str">
        <f t="array" aca="1" ref="J235" ca="1">IFERROR(IF(OR(INDEX(checklistPesertaKemenkeu!$N$6:$N$1005,SMALL(IF(checklistPesertaKemenkeu!$AY$6:$AY$1005="Direkomendasikan",ROW($6:$1005)-5),234))="",INDEX(checklistPesertaKemenkeu!$J$6:$J$1005,SMALL(IF(checklistPesertaKemenkeu!$AY$6:$AY$1005="Direkomendasikan",ROW($6:$1005)-5),234))=""),"",IF(AND(COUNTIF(INDIRECT("K_"&amp;MATCH(INDEX(checklistPesertaKemenkeu!$J$6:$J$1005,SMALL(IF(checklistPesertaKemenkeu!$AY$6:$AY$1005="Direkomendasikan",ROW($6:$1005)-5),234)),BidangList,0)),INDEX(checklistPesertaKemenkeu!$N$6:$N$1005,SMALL(IF(checklistPesertaKemenkeu!$AY$6:$AY$1005="Direkomendasikan",ROW($6:$1005)-5),234)))&gt;0,COUNTIF(INDIRECT("'KERTAS KERJA'!K"&amp;(SMALL(IF(checklistPesertaKemenkeu!$AY$6:$AY$1005="Direkomendasikan",ROW($6:$1005)-5),234)+5)&amp;":O"&amp;(SMALL(IF(checklistPesertaKemenkeu!$AY$6:$AY$1005="Direkomendasikan",ROW($6:$1005)-5),234)+5)),INDEX(checklistPesertaKemenkeu!$N$6:$N$1005,SMALL(IF(checklistPesertaKemenkeu!$AY$6:$AY$1005="Direkomendasikan",ROW($6:$1005)-5),234)))=1),IFERROR(VLOOKUP(INDEX(checklistPesertaKemenkeu!$N$6:$N$1005,SMALL(IF(checklistPesertaKemenkeu!$AY$6:$AY$1005="Direkomendasikan",ROW($6:$1005)-5),234)),KotaKode,2,0),"-"),"")),"")</f>
        <v/>
      </c>
      <c r="K235" t="str">
        <f t="array" aca="1" ref="K235" ca="1">IFERROR(IF(OR(INDEX(checklistPesertaKemenkeu!$O$6:$O$1005,SMALL(IF(checklistPesertaKemenkeu!$AY$6:$AY$1005="Direkomendasikan",ROW($6:$1005)-5),234))="",INDEX(checklistPesertaKemenkeu!$J$6:$J$1005,SMALL(IF(checklistPesertaKemenkeu!$AY$6:$AY$1005="Direkomendasikan",ROW($6:$1005)-5),234))=""),"",IF(AND(COUNTIF(INDIRECT("K_"&amp;MATCH(INDEX(checklistPesertaKemenkeu!$J$6:$J$1005,SMALL(IF(checklistPesertaKemenkeu!$AY$6:$AY$1005="Direkomendasikan",ROW($6:$1005)-5),234)),BidangList,0)),INDEX(checklistPesertaKemenkeu!$O$6:$O$1005,SMALL(IF(checklistPesertaKemenkeu!$AY$6:$AY$1005="Direkomendasikan",ROW($6:$1005)-5),234)))&gt;0,COUNTIF(INDIRECT("'KERTAS KERJA'!K"&amp;(SMALL(IF(checklistPesertaKemenkeu!$AY$6:$AY$1005="Direkomendasikan",ROW($6:$1005)-5),234)+5)&amp;":O"&amp;(SMALL(IF(checklistPesertaKemenkeu!$AY$6:$AY$1005="Direkomendasikan",ROW($6:$1005)-5),234)+5)),INDEX(checklistPesertaKemenkeu!$O$6:$O$1005,SMALL(IF(checklistPesertaKemenkeu!$AY$6:$AY$1005="Direkomendasikan",ROW($6:$1005)-5),234)))=1),IFERROR(VLOOKUP(INDEX(checklistPesertaKemenkeu!$O$6:$O$1005,SMALL(IF(checklistPesertaKemenkeu!$AY$6:$AY$1005="Direkomendasikan",ROW($6:$1005)-5),234)),KotaKode,2,0),"-"),"")),"")</f>
        <v/>
      </c>
      <c r="L235" t="str">
        <f t="array" aca="1" ref="L235" ca="1">IFERROR(IF(OR(INDEX(checklistPesertaKemenkeu!$P$6:$P$1005,SMALL(IF(checklistPesertaKemenkeu!$AY$6:$AY$1005="Direkomendasikan",ROW($6:$1005)-5),234))="",INDEX(checklistPesertaKemenkeu!$J$6:$J$1005,SMALL(IF(checklistPesertaKemenkeu!$AY$6:$AY$1005="Direkomendasikan",ROW($6:$1005)-5),234))=""),"",IF(AND(COUNTIF(INDIRECT("K_"&amp;MATCH(INDEX(checklistPesertaKemenkeu!$J$6:$J$1005,SMALL(IF(checklistPesertaKemenkeu!$AY$6:$AY$1005="Direkomendasikan",ROW($6:$1005)-5),234)),BidangList,0)),INDEX(checklistPesertaKemenkeu!$P$6:$P$1005,SMALL(IF(checklistPesertaKemenkeu!$AY$6:$AY$1005="Direkomendasikan",ROW($6:$1005)-5),234)))&gt;0,COUNTIF(INDIRECT("'KERTAS KERJA'!K"&amp;(SMALL(IF(checklistPesertaKemenkeu!$AY$6:$AY$1005="Direkomendasikan",ROW($6:$1005)-5),234)+5)&amp;":O"&amp;(SMALL(IF(checklistPesertaKemenkeu!$AY$6:$AY$1005="Direkomendasikan",ROW($6:$1005)-5),234)+5)),INDEX(checklistPesertaKemenkeu!$P$6:$P$1005,SMALL(IF(checklistPesertaKemenkeu!$AY$6:$AY$1005="Direkomendasikan",ROW($6:$1005)-5),234)))=1),IFERROR(VLOOKUP(INDEX(checklistPesertaKemenkeu!$P$6:$P$1005,SMALL(IF(checklistPesertaKemenkeu!$AY$6:$AY$1005="Direkomendasikan",ROW($6:$1005)-5),234)),KotaKode,2,0),"-"),"")),"")</f>
        <v/>
      </c>
    </row>
    <row r="236" spans="1:12" ht="15" customHeight="1" x14ac:dyDescent="0.2">
      <c r="A236" t="str">
        <f t="shared" si="3"/>
        <v/>
      </c>
      <c r="B236" t="str">
        <v/>
      </c>
      <c r="C236" s="40" t="str">
        <f t="array" ref="C236">IFERROR(INDEX(checklistPesertaKemenkeu!$F$6:$F$1005,SMALL(IF(checklistPesertaKemenkeu!$AY$6:$AY$1005="Direkomendasikan",ROW($6:$1005)-5),235)),"")</f>
        <v/>
      </c>
      <c r="D236" t="str">
        <f t="array" ref="D236">IFERROR(INDEX(checklistPesertaKemenkeu!$G$6:$G$1005,SMALL(IF(checklistPesertaKemenkeu!$AY$6:$AY$1005="Direkomendasikan",ROW($6:$1005)-5),235)),"")</f>
        <v/>
      </c>
      <c r="E236" t="str">
        <f t="array" ref="E236">IFERROR(INDEX(checklistPesertaKemenkeu!$H$6:$H$1005,SMALL(IF(checklistPesertaKemenkeu!$AY$6:$AY$1005="Direkomendasikan",ROW($6:$1005)-5),235)),"")</f>
        <v/>
      </c>
      <c r="F236" t="str">
        <f t="array" ref="F236">IFERROR(INDEX(checklistPesertaKemenkeu!$I$6:$I$1005,SMALL(IF(checklistPesertaKemenkeu!$AY$6:$AY$1005="Direkomendasikan",ROW($6:$1005)-5),235)),"")</f>
        <v/>
      </c>
      <c r="G236" t="str">
        <f t="array" ref="G236">IFERROR(INDEX(checklistPesertaKemenkeu!$J$6:$J$1005,SMALL(IF(checklistPesertaKemenkeu!$AY$6:$AY$1005="Direkomendasikan",ROW($6:$1005)-5),235)),"")</f>
        <v/>
      </c>
      <c r="H236" t="str">
        <f t="array" aca="1" ref="H236" ca="1">IFERROR(IF(OR(INDEX(checklistPesertaKemenkeu!$L$6:$L$1005,SMALL(IF(checklistPesertaKemenkeu!$AY$6:$AY$1005="Direkomendasikan",ROW($6:$1005)-5),235))="",INDEX(checklistPesertaKemenkeu!$J$6:$J$1005,SMALL(IF(checklistPesertaKemenkeu!$AY$6:$AY$1005="Direkomendasikan",ROW($6:$1005)-5),235))=""),"",IF(AND(COUNTIF(INDIRECT("K_"&amp;MATCH(INDEX(checklistPesertaKemenkeu!$J$6:$J$1005,SMALL(IF(checklistPesertaKemenkeu!$AY$6:$AY$1005="Direkomendasikan",ROW($6:$1005)-5),235)),BidangList,0)),INDEX(checklistPesertaKemenkeu!$L$6:$L$1005,SMALL(IF(checklistPesertaKemenkeu!$AY$6:$AY$1005="Direkomendasikan",ROW($6:$1005)-5),235)))&gt;0,COUNTIF(INDIRECT("'KERTAS KERJA'!K"&amp;(SMALL(IF(checklistPesertaKemenkeu!$AY$6:$AY$1005="Direkomendasikan",ROW($6:$1005)-5),235)+5)&amp;":O"&amp;(SMALL(IF(checklistPesertaKemenkeu!$AY$6:$AY$1005="Direkomendasikan",ROW($6:$1005)-5),235)+5)),INDEX(checklistPesertaKemenkeu!$L$6:$L$1005,SMALL(IF(checklistPesertaKemenkeu!$AY$6:$AY$1005="Direkomendasikan",ROW($6:$1005)-5),235)))=1),IFERROR(VLOOKUP(INDEX(checklistPesertaKemenkeu!$L$6:$L$1005,SMALL(IF(checklistPesertaKemenkeu!$AY$6:$AY$1005="Direkomendasikan",ROW($6:$1005)-5),235)),KotaKode,2,0),"-"),"")),"")</f>
        <v/>
      </c>
      <c r="I236" t="str">
        <f t="array" aca="1" ref="I236" ca="1">IFERROR(IF(OR(INDEX(checklistPesertaKemenkeu!$M$6:$M$1005,SMALL(IF(checklistPesertaKemenkeu!$AY$6:$AY$1005="Direkomendasikan",ROW($6:$1005)-5),235))="",INDEX(checklistPesertaKemenkeu!$J$6:$J$1005,SMALL(IF(checklistPesertaKemenkeu!$AY$6:$AY$1005="Direkomendasikan",ROW($6:$1005)-5),235))=""),"",IF(AND(COUNTIF(INDIRECT("K_"&amp;MATCH(INDEX(checklistPesertaKemenkeu!$J$6:$J$1005,SMALL(IF(checklistPesertaKemenkeu!$AY$6:$AY$1005="Direkomendasikan",ROW($6:$1005)-5),235)),BidangList,0)),INDEX(checklistPesertaKemenkeu!$M$6:$M$1005,SMALL(IF(checklistPesertaKemenkeu!$AY$6:$AY$1005="Direkomendasikan",ROW($6:$1005)-5),235)))&gt;0,COUNTIF(INDIRECT("'KERTAS KERJA'!K"&amp;(SMALL(IF(checklistPesertaKemenkeu!$AY$6:$AY$1005="Direkomendasikan",ROW($6:$1005)-5),235)+5)&amp;":O"&amp;(SMALL(IF(checklistPesertaKemenkeu!$AY$6:$AY$1005="Direkomendasikan",ROW($6:$1005)-5),235)+5)),INDEX(checklistPesertaKemenkeu!$M$6:$M$1005,SMALL(IF(checklistPesertaKemenkeu!$AY$6:$AY$1005="Direkomendasikan",ROW($6:$1005)-5),235)))=1),IFERROR(VLOOKUP(INDEX(checklistPesertaKemenkeu!$M$6:$M$1005,SMALL(IF(checklistPesertaKemenkeu!$AY$6:$AY$1005="Direkomendasikan",ROW($6:$1005)-5),235)),KotaKode,2,0),"-"),"")),"")</f>
        <v/>
      </c>
      <c r="J236" t="str">
        <f t="array" aca="1" ref="J236" ca="1">IFERROR(IF(OR(INDEX(checklistPesertaKemenkeu!$N$6:$N$1005,SMALL(IF(checklistPesertaKemenkeu!$AY$6:$AY$1005="Direkomendasikan",ROW($6:$1005)-5),235))="",INDEX(checklistPesertaKemenkeu!$J$6:$J$1005,SMALL(IF(checklistPesertaKemenkeu!$AY$6:$AY$1005="Direkomendasikan",ROW($6:$1005)-5),235))=""),"",IF(AND(COUNTIF(INDIRECT("K_"&amp;MATCH(INDEX(checklistPesertaKemenkeu!$J$6:$J$1005,SMALL(IF(checklistPesertaKemenkeu!$AY$6:$AY$1005="Direkomendasikan",ROW($6:$1005)-5),235)),BidangList,0)),INDEX(checklistPesertaKemenkeu!$N$6:$N$1005,SMALL(IF(checklistPesertaKemenkeu!$AY$6:$AY$1005="Direkomendasikan",ROW($6:$1005)-5),235)))&gt;0,COUNTIF(INDIRECT("'KERTAS KERJA'!K"&amp;(SMALL(IF(checklistPesertaKemenkeu!$AY$6:$AY$1005="Direkomendasikan",ROW($6:$1005)-5),235)+5)&amp;":O"&amp;(SMALL(IF(checklistPesertaKemenkeu!$AY$6:$AY$1005="Direkomendasikan",ROW($6:$1005)-5),235)+5)),INDEX(checklistPesertaKemenkeu!$N$6:$N$1005,SMALL(IF(checklistPesertaKemenkeu!$AY$6:$AY$1005="Direkomendasikan",ROW($6:$1005)-5),235)))=1),IFERROR(VLOOKUP(INDEX(checklistPesertaKemenkeu!$N$6:$N$1005,SMALL(IF(checklistPesertaKemenkeu!$AY$6:$AY$1005="Direkomendasikan",ROW($6:$1005)-5),235)),KotaKode,2,0),"-"),"")),"")</f>
        <v/>
      </c>
      <c r="K236" t="str">
        <f t="array" aca="1" ref="K236" ca="1">IFERROR(IF(OR(INDEX(checklistPesertaKemenkeu!$O$6:$O$1005,SMALL(IF(checklistPesertaKemenkeu!$AY$6:$AY$1005="Direkomendasikan",ROW($6:$1005)-5),235))="",INDEX(checklistPesertaKemenkeu!$J$6:$J$1005,SMALL(IF(checklistPesertaKemenkeu!$AY$6:$AY$1005="Direkomendasikan",ROW($6:$1005)-5),235))=""),"",IF(AND(COUNTIF(INDIRECT("K_"&amp;MATCH(INDEX(checklistPesertaKemenkeu!$J$6:$J$1005,SMALL(IF(checklistPesertaKemenkeu!$AY$6:$AY$1005="Direkomendasikan",ROW($6:$1005)-5),235)),BidangList,0)),INDEX(checklistPesertaKemenkeu!$O$6:$O$1005,SMALL(IF(checklistPesertaKemenkeu!$AY$6:$AY$1005="Direkomendasikan",ROW($6:$1005)-5),235)))&gt;0,COUNTIF(INDIRECT("'KERTAS KERJA'!K"&amp;(SMALL(IF(checklistPesertaKemenkeu!$AY$6:$AY$1005="Direkomendasikan",ROW($6:$1005)-5),235)+5)&amp;":O"&amp;(SMALL(IF(checklistPesertaKemenkeu!$AY$6:$AY$1005="Direkomendasikan",ROW($6:$1005)-5),235)+5)),INDEX(checklistPesertaKemenkeu!$O$6:$O$1005,SMALL(IF(checklistPesertaKemenkeu!$AY$6:$AY$1005="Direkomendasikan",ROW($6:$1005)-5),235)))=1),IFERROR(VLOOKUP(INDEX(checklistPesertaKemenkeu!$O$6:$O$1005,SMALL(IF(checklistPesertaKemenkeu!$AY$6:$AY$1005="Direkomendasikan",ROW($6:$1005)-5),235)),KotaKode,2,0),"-"),"")),"")</f>
        <v/>
      </c>
      <c r="L236" t="str">
        <f t="array" aca="1" ref="L236" ca="1">IFERROR(IF(OR(INDEX(checklistPesertaKemenkeu!$P$6:$P$1005,SMALL(IF(checklistPesertaKemenkeu!$AY$6:$AY$1005="Direkomendasikan",ROW($6:$1005)-5),235))="",INDEX(checklistPesertaKemenkeu!$J$6:$J$1005,SMALL(IF(checklistPesertaKemenkeu!$AY$6:$AY$1005="Direkomendasikan",ROW($6:$1005)-5),235))=""),"",IF(AND(COUNTIF(INDIRECT("K_"&amp;MATCH(INDEX(checklistPesertaKemenkeu!$J$6:$J$1005,SMALL(IF(checklistPesertaKemenkeu!$AY$6:$AY$1005="Direkomendasikan",ROW($6:$1005)-5),235)),BidangList,0)),INDEX(checklistPesertaKemenkeu!$P$6:$P$1005,SMALL(IF(checklistPesertaKemenkeu!$AY$6:$AY$1005="Direkomendasikan",ROW($6:$1005)-5),235)))&gt;0,COUNTIF(INDIRECT("'KERTAS KERJA'!K"&amp;(SMALL(IF(checklistPesertaKemenkeu!$AY$6:$AY$1005="Direkomendasikan",ROW($6:$1005)-5),235)+5)&amp;":O"&amp;(SMALL(IF(checklistPesertaKemenkeu!$AY$6:$AY$1005="Direkomendasikan",ROW($6:$1005)-5),235)+5)),INDEX(checklistPesertaKemenkeu!$P$6:$P$1005,SMALL(IF(checklistPesertaKemenkeu!$AY$6:$AY$1005="Direkomendasikan",ROW($6:$1005)-5),235)))=1),IFERROR(VLOOKUP(INDEX(checklistPesertaKemenkeu!$P$6:$P$1005,SMALL(IF(checklistPesertaKemenkeu!$AY$6:$AY$1005="Direkomendasikan",ROW($6:$1005)-5),235)),KotaKode,2,0),"-"),"")),"")</f>
        <v/>
      </c>
    </row>
    <row r="237" spans="1:12" ht="15" customHeight="1" x14ac:dyDescent="0.2">
      <c r="A237" t="str">
        <f t="shared" si="3"/>
        <v/>
      </c>
      <c r="B237" t="str">
        <v/>
      </c>
      <c r="C237" s="40" t="str">
        <f t="array" ref="C237">IFERROR(INDEX(checklistPesertaKemenkeu!$F$6:$F$1005,SMALL(IF(checklistPesertaKemenkeu!$AY$6:$AY$1005="Direkomendasikan",ROW($6:$1005)-5),236)),"")</f>
        <v/>
      </c>
      <c r="D237" t="str">
        <f t="array" ref="D237">IFERROR(INDEX(checklistPesertaKemenkeu!$G$6:$G$1005,SMALL(IF(checklistPesertaKemenkeu!$AY$6:$AY$1005="Direkomendasikan",ROW($6:$1005)-5),236)),"")</f>
        <v/>
      </c>
      <c r="E237" t="str">
        <f t="array" ref="E237">IFERROR(INDEX(checklistPesertaKemenkeu!$H$6:$H$1005,SMALL(IF(checklistPesertaKemenkeu!$AY$6:$AY$1005="Direkomendasikan",ROW($6:$1005)-5),236)),"")</f>
        <v/>
      </c>
      <c r="F237" t="str">
        <f t="array" ref="F237">IFERROR(INDEX(checklistPesertaKemenkeu!$I$6:$I$1005,SMALL(IF(checklistPesertaKemenkeu!$AY$6:$AY$1005="Direkomendasikan",ROW($6:$1005)-5),236)),"")</f>
        <v/>
      </c>
      <c r="G237" t="str">
        <f t="array" ref="G237">IFERROR(INDEX(checklistPesertaKemenkeu!$J$6:$J$1005,SMALL(IF(checklistPesertaKemenkeu!$AY$6:$AY$1005="Direkomendasikan",ROW($6:$1005)-5),236)),"")</f>
        <v/>
      </c>
      <c r="H237" t="str">
        <f t="array" aca="1" ref="H237" ca="1">IFERROR(IF(OR(INDEX(checklistPesertaKemenkeu!$L$6:$L$1005,SMALL(IF(checklistPesertaKemenkeu!$AY$6:$AY$1005="Direkomendasikan",ROW($6:$1005)-5),236))="",INDEX(checklistPesertaKemenkeu!$J$6:$J$1005,SMALL(IF(checklistPesertaKemenkeu!$AY$6:$AY$1005="Direkomendasikan",ROW($6:$1005)-5),236))=""),"",IF(AND(COUNTIF(INDIRECT("K_"&amp;MATCH(INDEX(checklistPesertaKemenkeu!$J$6:$J$1005,SMALL(IF(checklistPesertaKemenkeu!$AY$6:$AY$1005="Direkomendasikan",ROW($6:$1005)-5),236)),BidangList,0)),INDEX(checklistPesertaKemenkeu!$L$6:$L$1005,SMALL(IF(checklistPesertaKemenkeu!$AY$6:$AY$1005="Direkomendasikan",ROW($6:$1005)-5),236)))&gt;0,COUNTIF(INDIRECT("'KERTAS KERJA'!K"&amp;(SMALL(IF(checklistPesertaKemenkeu!$AY$6:$AY$1005="Direkomendasikan",ROW($6:$1005)-5),236)+5)&amp;":O"&amp;(SMALL(IF(checklistPesertaKemenkeu!$AY$6:$AY$1005="Direkomendasikan",ROW($6:$1005)-5),236)+5)),INDEX(checklistPesertaKemenkeu!$L$6:$L$1005,SMALL(IF(checklistPesertaKemenkeu!$AY$6:$AY$1005="Direkomendasikan",ROW($6:$1005)-5),236)))=1),IFERROR(VLOOKUP(INDEX(checklistPesertaKemenkeu!$L$6:$L$1005,SMALL(IF(checklistPesertaKemenkeu!$AY$6:$AY$1005="Direkomendasikan",ROW($6:$1005)-5),236)),KotaKode,2,0),"-"),"")),"")</f>
        <v/>
      </c>
      <c r="I237" t="str">
        <f t="array" aca="1" ref="I237" ca="1">IFERROR(IF(OR(INDEX(checklistPesertaKemenkeu!$M$6:$M$1005,SMALL(IF(checklistPesertaKemenkeu!$AY$6:$AY$1005="Direkomendasikan",ROW($6:$1005)-5),236))="",INDEX(checklistPesertaKemenkeu!$J$6:$J$1005,SMALL(IF(checklistPesertaKemenkeu!$AY$6:$AY$1005="Direkomendasikan",ROW($6:$1005)-5),236))=""),"",IF(AND(COUNTIF(INDIRECT("K_"&amp;MATCH(INDEX(checklistPesertaKemenkeu!$J$6:$J$1005,SMALL(IF(checklistPesertaKemenkeu!$AY$6:$AY$1005="Direkomendasikan",ROW($6:$1005)-5),236)),BidangList,0)),INDEX(checklistPesertaKemenkeu!$M$6:$M$1005,SMALL(IF(checklistPesertaKemenkeu!$AY$6:$AY$1005="Direkomendasikan",ROW($6:$1005)-5),236)))&gt;0,COUNTIF(INDIRECT("'KERTAS KERJA'!K"&amp;(SMALL(IF(checklistPesertaKemenkeu!$AY$6:$AY$1005="Direkomendasikan",ROW($6:$1005)-5),236)+5)&amp;":O"&amp;(SMALL(IF(checklistPesertaKemenkeu!$AY$6:$AY$1005="Direkomendasikan",ROW($6:$1005)-5),236)+5)),INDEX(checklistPesertaKemenkeu!$M$6:$M$1005,SMALL(IF(checklistPesertaKemenkeu!$AY$6:$AY$1005="Direkomendasikan",ROW($6:$1005)-5),236)))=1),IFERROR(VLOOKUP(INDEX(checklistPesertaKemenkeu!$M$6:$M$1005,SMALL(IF(checklistPesertaKemenkeu!$AY$6:$AY$1005="Direkomendasikan",ROW($6:$1005)-5),236)),KotaKode,2,0),"-"),"")),"")</f>
        <v/>
      </c>
      <c r="J237" t="str">
        <f t="array" aca="1" ref="J237" ca="1">IFERROR(IF(OR(INDEX(checklistPesertaKemenkeu!$N$6:$N$1005,SMALL(IF(checklistPesertaKemenkeu!$AY$6:$AY$1005="Direkomendasikan",ROW($6:$1005)-5),236))="",INDEX(checklistPesertaKemenkeu!$J$6:$J$1005,SMALL(IF(checklistPesertaKemenkeu!$AY$6:$AY$1005="Direkomendasikan",ROW($6:$1005)-5),236))=""),"",IF(AND(COUNTIF(INDIRECT("K_"&amp;MATCH(INDEX(checklistPesertaKemenkeu!$J$6:$J$1005,SMALL(IF(checklistPesertaKemenkeu!$AY$6:$AY$1005="Direkomendasikan",ROW($6:$1005)-5),236)),BidangList,0)),INDEX(checklistPesertaKemenkeu!$N$6:$N$1005,SMALL(IF(checklistPesertaKemenkeu!$AY$6:$AY$1005="Direkomendasikan",ROW($6:$1005)-5),236)))&gt;0,COUNTIF(INDIRECT("'KERTAS KERJA'!K"&amp;(SMALL(IF(checklistPesertaKemenkeu!$AY$6:$AY$1005="Direkomendasikan",ROW($6:$1005)-5),236)+5)&amp;":O"&amp;(SMALL(IF(checklistPesertaKemenkeu!$AY$6:$AY$1005="Direkomendasikan",ROW($6:$1005)-5),236)+5)),INDEX(checklistPesertaKemenkeu!$N$6:$N$1005,SMALL(IF(checklistPesertaKemenkeu!$AY$6:$AY$1005="Direkomendasikan",ROW($6:$1005)-5),236)))=1),IFERROR(VLOOKUP(INDEX(checklistPesertaKemenkeu!$N$6:$N$1005,SMALL(IF(checklistPesertaKemenkeu!$AY$6:$AY$1005="Direkomendasikan",ROW($6:$1005)-5),236)),KotaKode,2,0),"-"),"")),"")</f>
        <v/>
      </c>
      <c r="K237" t="str">
        <f t="array" aca="1" ref="K237" ca="1">IFERROR(IF(OR(INDEX(checklistPesertaKemenkeu!$O$6:$O$1005,SMALL(IF(checklistPesertaKemenkeu!$AY$6:$AY$1005="Direkomendasikan",ROW($6:$1005)-5),236))="",INDEX(checklistPesertaKemenkeu!$J$6:$J$1005,SMALL(IF(checklistPesertaKemenkeu!$AY$6:$AY$1005="Direkomendasikan",ROW($6:$1005)-5),236))=""),"",IF(AND(COUNTIF(INDIRECT("K_"&amp;MATCH(INDEX(checklistPesertaKemenkeu!$J$6:$J$1005,SMALL(IF(checklistPesertaKemenkeu!$AY$6:$AY$1005="Direkomendasikan",ROW($6:$1005)-5),236)),BidangList,0)),INDEX(checklistPesertaKemenkeu!$O$6:$O$1005,SMALL(IF(checklistPesertaKemenkeu!$AY$6:$AY$1005="Direkomendasikan",ROW($6:$1005)-5),236)))&gt;0,COUNTIF(INDIRECT("'KERTAS KERJA'!K"&amp;(SMALL(IF(checklistPesertaKemenkeu!$AY$6:$AY$1005="Direkomendasikan",ROW($6:$1005)-5),236)+5)&amp;":O"&amp;(SMALL(IF(checklistPesertaKemenkeu!$AY$6:$AY$1005="Direkomendasikan",ROW($6:$1005)-5),236)+5)),INDEX(checklistPesertaKemenkeu!$O$6:$O$1005,SMALL(IF(checklistPesertaKemenkeu!$AY$6:$AY$1005="Direkomendasikan",ROW($6:$1005)-5),236)))=1),IFERROR(VLOOKUP(INDEX(checklistPesertaKemenkeu!$O$6:$O$1005,SMALL(IF(checklistPesertaKemenkeu!$AY$6:$AY$1005="Direkomendasikan",ROW($6:$1005)-5),236)),KotaKode,2,0),"-"),"")),"")</f>
        <v/>
      </c>
      <c r="L237" t="str">
        <f t="array" aca="1" ref="L237" ca="1">IFERROR(IF(OR(INDEX(checklistPesertaKemenkeu!$P$6:$P$1005,SMALL(IF(checklistPesertaKemenkeu!$AY$6:$AY$1005="Direkomendasikan",ROW($6:$1005)-5),236))="",INDEX(checklistPesertaKemenkeu!$J$6:$J$1005,SMALL(IF(checklistPesertaKemenkeu!$AY$6:$AY$1005="Direkomendasikan",ROW($6:$1005)-5),236))=""),"",IF(AND(COUNTIF(INDIRECT("K_"&amp;MATCH(INDEX(checklistPesertaKemenkeu!$J$6:$J$1005,SMALL(IF(checklistPesertaKemenkeu!$AY$6:$AY$1005="Direkomendasikan",ROW($6:$1005)-5),236)),BidangList,0)),INDEX(checklistPesertaKemenkeu!$P$6:$P$1005,SMALL(IF(checklistPesertaKemenkeu!$AY$6:$AY$1005="Direkomendasikan",ROW($6:$1005)-5),236)))&gt;0,COUNTIF(INDIRECT("'KERTAS KERJA'!K"&amp;(SMALL(IF(checklistPesertaKemenkeu!$AY$6:$AY$1005="Direkomendasikan",ROW($6:$1005)-5),236)+5)&amp;":O"&amp;(SMALL(IF(checklistPesertaKemenkeu!$AY$6:$AY$1005="Direkomendasikan",ROW($6:$1005)-5),236)+5)),INDEX(checklistPesertaKemenkeu!$P$6:$P$1005,SMALL(IF(checklistPesertaKemenkeu!$AY$6:$AY$1005="Direkomendasikan",ROW($6:$1005)-5),236)))=1),IFERROR(VLOOKUP(INDEX(checklistPesertaKemenkeu!$P$6:$P$1005,SMALL(IF(checklistPesertaKemenkeu!$AY$6:$AY$1005="Direkomendasikan",ROW($6:$1005)-5),236)),KotaKode,2,0),"-"),"")),"")</f>
        <v/>
      </c>
    </row>
    <row r="238" spans="1:12" ht="15" customHeight="1" x14ac:dyDescent="0.2">
      <c r="A238" t="str">
        <f t="shared" si="3"/>
        <v/>
      </c>
      <c r="B238" t="str">
        <v/>
      </c>
      <c r="C238" s="40" t="str">
        <f t="array" ref="C238">IFERROR(INDEX(checklistPesertaKemenkeu!$F$6:$F$1005,SMALL(IF(checklistPesertaKemenkeu!$AY$6:$AY$1005="Direkomendasikan",ROW($6:$1005)-5),237)),"")</f>
        <v/>
      </c>
      <c r="D238" t="str">
        <f t="array" ref="D238">IFERROR(INDEX(checklistPesertaKemenkeu!$G$6:$G$1005,SMALL(IF(checklistPesertaKemenkeu!$AY$6:$AY$1005="Direkomendasikan",ROW($6:$1005)-5),237)),"")</f>
        <v/>
      </c>
      <c r="E238" t="str">
        <f t="array" ref="E238">IFERROR(INDEX(checklistPesertaKemenkeu!$H$6:$H$1005,SMALL(IF(checklistPesertaKemenkeu!$AY$6:$AY$1005="Direkomendasikan",ROW($6:$1005)-5),237)),"")</f>
        <v/>
      </c>
      <c r="F238" t="str">
        <f t="array" ref="F238">IFERROR(INDEX(checklistPesertaKemenkeu!$I$6:$I$1005,SMALL(IF(checklistPesertaKemenkeu!$AY$6:$AY$1005="Direkomendasikan",ROW($6:$1005)-5),237)),"")</f>
        <v/>
      </c>
      <c r="G238" t="str">
        <f t="array" ref="G238">IFERROR(INDEX(checklistPesertaKemenkeu!$J$6:$J$1005,SMALL(IF(checklistPesertaKemenkeu!$AY$6:$AY$1005="Direkomendasikan",ROW($6:$1005)-5),237)),"")</f>
        <v/>
      </c>
      <c r="H238" t="str">
        <f t="array" aca="1" ref="H238" ca="1">IFERROR(IF(OR(INDEX(checklistPesertaKemenkeu!$L$6:$L$1005,SMALL(IF(checklistPesertaKemenkeu!$AY$6:$AY$1005="Direkomendasikan",ROW($6:$1005)-5),237))="",INDEX(checklistPesertaKemenkeu!$J$6:$J$1005,SMALL(IF(checklistPesertaKemenkeu!$AY$6:$AY$1005="Direkomendasikan",ROW($6:$1005)-5),237))=""),"",IF(AND(COUNTIF(INDIRECT("K_"&amp;MATCH(INDEX(checklistPesertaKemenkeu!$J$6:$J$1005,SMALL(IF(checklistPesertaKemenkeu!$AY$6:$AY$1005="Direkomendasikan",ROW($6:$1005)-5),237)),BidangList,0)),INDEX(checklistPesertaKemenkeu!$L$6:$L$1005,SMALL(IF(checklistPesertaKemenkeu!$AY$6:$AY$1005="Direkomendasikan",ROW($6:$1005)-5),237)))&gt;0,COUNTIF(INDIRECT("'KERTAS KERJA'!K"&amp;(SMALL(IF(checklistPesertaKemenkeu!$AY$6:$AY$1005="Direkomendasikan",ROW($6:$1005)-5),237)+5)&amp;":O"&amp;(SMALL(IF(checklistPesertaKemenkeu!$AY$6:$AY$1005="Direkomendasikan",ROW($6:$1005)-5),237)+5)),INDEX(checklistPesertaKemenkeu!$L$6:$L$1005,SMALL(IF(checklistPesertaKemenkeu!$AY$6:$AY$1005="Direkomendasikan",ROW($6:$1005)-5),237)))=1),IFERROR(VLOOKUP(INDEX(checklistPesertaKemenkeu!$L$6:$L$1005,SMALL(IF(checklistPesertaKemenkeu!$AY$6:$AY$1005="Direkomendasikan",ROW($6:$1005)-5),237)),KotaKode,2,0),"-"),"")),"")</f>
        <v/>
      </c>
      <c r="I238" t="str">
        <f t="array" aca="1" ref="I238" ca="1">IFERROR(IF(OR(INDEX(checklistPesertaKemenkeu!$M$6:$M$1005,SMALL(IF(checklistPesertaKemenkeu!$AY$6:$AY$1005="Direkomendasikan",ROW($6:$1005)-5),237))="",INDEX(checklistPesertaKemenkeu!$J$6:$J$1005,SMALL(IF(checklistPesertaKemenkeu!$AY$6:$AY$1005="Direkomendasikan",ROW($6:$1005)-5),237))=""),"",IF(AND(COUNTIF(INDIRECT("K_"&amp;MATCH(INDEX(checklistPesertaKemenkeu!$J$6:$J$1005,SMALL(IF(checklistPesertaKemenkeu!$AY$6:$AY$1005="Direkomendasikan",ROW($6:$1005)-5),237)),BidangList,0)),INDEX(checklistPesertaKemenkeu!$M$6:$M$1005,SMALL(IF(checklistPesertaKemenkeu!$AY$6:$AY$1005="Direkomendasikan",ROW($6:$1005)-5),237)))&gt;0,COUNTIF(INDIRECT("'KERTAS KERJA'!K"&amp;(SMALL(IF(checklistPesertaKemenkeu!$AY$6:$AY$1005="Direkomendasikan",ROW($6:$1005)-5),237)+5)&amp;":O"&amp;(SMALL(IF(checklistPesertaKemenkeu!$AY$6:$AY$1005="Direkomendasikan",ROW($6:$1005)-5),237)+5)),INDEX(checklistPesertaKemenkeu!$M$6:$M$1005,SMALL(IF(checklistPesertaKemenkeu!$AY$6:$AY$1005="Direkomendasikan",ROW($6:$1005)-5),237)))=1),IFERROR(VLOOKUP(INDEX(checklistPesertaKemenkeu!$M$6:$M$1005,SMALL(IF(checklistPesertaKemenkeu!$AY$6:$AY$1005="Direkomendasikan",ROW($6:$1005)-5),237)),KotaKode,2,0),"-"),"")),"")</f>
        <v/>
      </c>
      <c r="J238" t="str">
        <f t="array" aca="1" ref="J238" ca="1">IFERROR(IF(OR(INDEX(checklistPesertaKemenkeu!$N$6:$N$1005,SMALL(IF(checklistPesertaKemenkeu!$AY$6:$AY$1005="Direkomendasikan",ROW($6:$1005)-5),237))="",INDEX(checklistPesertaKemenkeu!$J$6:$J$1005,SMALL(IF(checklistPesertaKemenkeu!$AY$6:$AY$1005="Direkomendasikan",ROW($6:$1005)-5),237))=""),"",IF(AND(COUNTIF(INDIRECT("K_"&amp;MATCH(INDEX(checklistPesertaKemenkeu!$J$6:$J$1005,SMALL(IF(checklistPesertaKemenkeu!$AY$6:$AY$1005="Direkomendasikan",ROW($6:$1005)-5),237)),BidangList,0)),INDEX(checklistPesertaKemenkeu!$N$6:$N$1005,SMALL(IF(checklistPesertaKemenkeu!$AY$6:$AY$1005="Direkomendasikan",ROW($6:$1005)-5),237)))&gt;0,COUNTIF(INDIRECT("'KERTAS KERJA'!K"&amp;(SMALL(IF(checklistPesertaKemenkeu!$AY$6:$AY$1005="Direkomendasikan",ROW($6:$1005)-5),237)+5)&amp;":O"&amp;(SMALL(IF(checklistPesertaKemenkeu!$AY$6:$AY$1005="Direkomendasikan",ROW($6:$1005)-5),237)+5)),INDEX(checklistPesertaKemenkeu!$N$6:$N$1005,SMALL(IF(checklistPesertaKemenkeu!$AY$6:$AY$1005="Direkomendasikan",ROW($6:$1005)-5),237)))=1),IFERROR(VLOOKUP(INDEX(checklistPesertaKemenkeu!$N$6:$N$1005,SMALL(IF(checklistPesertaKemenkeu!$AY$6:$AY$1005="Direkomendasikan",ROW($6:$1005)-5),237)),KotaKode,2,0),"-"),"")),"")</f>
        <v/>
      </c>
      <c r="K238" t="str">
        <f t="array" aca="1" ref="K238" ca="1">IFERROR(IF(OR(INDEX(checklistPesertaKemenkeu!$O$6:$O$1005,SMALL(IF(checklistPesertaKemenkeu!$AY$6:$AY$1005="Direkomendasikan",ROW($6:$1005)-5),237))="",INDEX(checklistPesertaKemenkeu!$J$6:$J$1005,SMALL(IF(checklistPesertaKemenkeu!$AY$6:$AY$1005="Direkomendasikan",ROW($6:$1005)-5),237))=""),"",IF(AND(COUNTIF(INDIRECT("K_"&amp;MATCH(INDEX(checklistPesertaKemenkeu!$J$6:$J$1005,SMALL(IF(checklistPesertaKemenkeu!$AY$6:$AY$1005="Direkomendasikan",ROW($6:$1005)-5),237)),BidangList,0)),INDEX(checklistPesertaKemenkeu!$O$6:$O$1005,SMALL(IF(checklistPesertaKemenkeu!$AY$6:$AY$1005="Direkomendasikan",ROW($6:$1005)-5),237)))&gt;0,COUNTIF(INDIRECT("'KERTAS KERJA'!K"&amp;(SMALL(IF(checklistPesertaKemenkeu!$AY$6:$AY$1005="Direkomendasikan",ROW($6:$1005)-5),237)+5)&amp;":O"&amp;(SMALL(IF(checklistPesertaKemenkeu!$AY$6:$AY$1005="Direkomendasikan",ROW($6:$1005)-5),237)+5)),INDEX(checklistPesertaKemenkeu!$O$6:$O$1005,SMALL(IF(checklistPesertaKemenkeu!$AY$6:$AY$1005="Direkomendasikan",ROW($6:$1005)-5),237)))=1),IFERROR(VLOOKUP(INDEX(checklistPesertaKemenkeu!$O$6:$O$1005,SMALL(IF(checklistPesertaKemenkeu!$AY$6:$AY$1005="Direkomendasikan",ROW($6:$1005)-5),237)),KotaKode,2,0),"-"),"")),"")</f>
        <v/>
      </c>
      <c r="L238" t="str">
        <f t="array" aca="1" ref="L238" ca="1">IFERROR(IF(OR(INDEX(checklistPesertaKemenkeu!$P$6:$P$1005,SMALL(IF(checklistPesertaKemenkeu!$AY$6:$AY$1005="Direkomendasikan",ROW($6:$1005)-5),237))="",INDEX(checklistPesertaKemenkeu!$J$6:$J$1005,SMALL(IF(checklistPesertaKemenkeu!$AY$6:$AY$1005="Direkomendasikan",ROW($6:$1005)-5),237))=""),"",IF(AND(COUNTIF(INDIRECT("K_"&amp;MATCH(INDEX(checklistPesertaKemenkeu!$J$6:$J$1005,SMALL(IF(checklistPesertaKemenkeu!$AY$6:$AY$1005="Direkomendasikan",ROW($6:$1005)-5),237)),BidangList,0)),INDEX(checklistPesertaKemenkeu!$P$6:$P$1005,SMALL(IF(checklistPesertaKemenkeu!$AY$6:$AY$1005="Direkomendasikan",ROW($6:$1005)-5),237)))&gt;0,COUNTIF(INDIRECT("'KERTAS KERJA'!K"&amp;(SMALL(IF(checklistPesertaKemenkeu!$AY$6:$AY$1005="Direkomendasikan",ROW($6:$1005)-5),237)+5)&amp;":O"&amp;(SMALL(IF(checklistPesertaKemenkeu!$AY$6:$AY$1005="Direkomendasikan",ROW($6:$1005)-5),237)+5)),INDEX(checklistPesertaKemenkeu!$P$6:$P$1005,SMALL(IF(checklistPesertaKemenkeu!$AY$6:$AY$1005="Direkomendasikan",ROW($6:$1005)-5),237)))=1),IFERROR(VLOOKUP(INDEX(checklistPesertaKemenkeu!$P$6:$P$1005,SMALL(IF(checklistPesertaKemenkeu!$AY$6:$AY$1005="Direkomendasikan",ROW($6:$1005)-5),237)),KotaKode,2,0),"-"),"")),"")</f>
        <v/>
      </c>
    </row>
    <row r="239" spans="1:12" ht="15" customHeight="1" x14ac:dyDescent="0.2">
      <c r="A239" t="str">
        <f t="shared" si="3"/>
        <v/>
      </c>
      <c r="B239" t="str">
        <v/>
      </c>
      <c r="C239" s="40" t="str">
        <f t="array" ref="C239">IFERROR(INDEX(checklistPesertaKemenkeu!$F$6:$F$1005,SMALL(IF(checklistPesertaKemenkeu!$AY$6:$AY$1005="Direkomendasikan",ROW($6:$1005)-5),238)),"")</f>
        <v/>
      </c>
      <c r="D239" t="str">
        <f t="array" ref="D239">IFERROR(INDEX(checklistPesertaKemenkeu!$G$6:$G$1005,SMALL(IF(checklistPesertaKemenkeu!$AY$6:$AY$1005="Direkomendasikan",ROW($6:$1005)-5),238)),"")</f>
        <v/>
      </c>
      <c r="E239" t="str">
        <f t="array" ref="E239">IFERROR(INDEX(checklistPesertaKemenkeu!$H$6:$H$1005,SMALL(IF(checklistPesertaKemenkeu!$AY$6:$AY$1005="Direkomendasikan",ROW($6:$1005)-5),238)),"")</f>
        <v/>
      </c>
      <c r="F239" t="str">
        <f t="array" ref="F239">IFERROR(INDEX(checklistPesertaKemenkeu!$I$6:$I$1005,SMALL(IF(checklistPesertaKemenkeu!$AY$6:$AY$1005="Direkomendasikan",ROW($6:$1005)-5),238)),"")</f>
        <v/>
      </c>
      <c r="G239" t="str">
        <f t="array" ref="G239">IFERROR(INDEX(checklistPesertaKemenkeu!$J$6:$J$1005,SMALL(IF(checklistPesertaKemenkeu!$AY$6:$AY$1005="Direkomendasikan",ROW($6:$1005)-5),238)),"")</f>
        <v/>
      </c>
      <c r="H239" t="str">
        <f t="array" aca="1" ref="H239" ca="1">IFERROR(IF(OR(INDEX(checklistPesertaKemenkeu!$L$6:$L$1005,SMALL(IF(checklistPesertaKemenkeu!$AY$6:$AY$1005="Direkomendasikan",ROW($6:$1005)-5),238))="",INDEX(checklistPesertaKemenkeu!$J$6:$J$1005,SMALL(IF(checklistPesertaKemenkeu!$AY$6:$AY$1005="Direkomendasikan",ROW($6:$1005)-5),238))=""),"",IF(AND(COUNTIF(INDIRECT("K_"&amp;MATCH(INDEX(checklistPesertaKemenkeu!$J$6:$J$1005,SMALL(IF(checklistPesertaKemenkeu!$AY$6:$AY$1005="Direkomendasikan",ROW($6:$1005)-5),238)),BidangList,0)),INDEX(checklistPesertaKemenkeu!$L$6:$L$1005,SMALL(IF(checklistPesertaKemenkeu!$AY$6:$AY$1005="Direkomendasikan",ROW($6:$1005)-5),238)))&gt;0,COUNTIF(INDIRECT("'KERTAS KERJA'!K"&amp;(SMALL(IF(checklistPesertaKemenkeu!$AY$6:$AY$1005="Direkomendasikan",ROW($6:$1005)-5),238)+5)&amp;":O"&amp;(SMALL(IF(checklistPesertaKemenkeu!$AY$6:$AY$1005="Direkomendasikan",ROW($6:$1005)-5),238)+5)),INDEX(checklistPesertaKemenkeu!$L$6:$L$1005,SMALL(IF(checklistPesertaKemenkeu!$AY$6:$AY$1005="Direkomendasikan",ROW($6:$1005)-5),238)))=1),IFERROR(VLOOKUP(INDEX(checklistPesertaKemenkeu!$L$6:$L$1005,SMALL(IF(checklistPesertaKemenkeu!$AY$6:$AY$1005="Direkomendasikan",ROW($6:$1005)-5),238)),KotaKode,2,0),"-"),"")),"")</f>
        <v/>
      </c>
      <c r="I239" t="str">
        <f t="array" aca="1" ref="I239" ca="1">IFERROR(IF(OR(INDEX(checklistPesertaKemenkeu!$M$6:$M$1005,SMALL(IF(checklistPesertaKemenkeu!$AY$6:$AY$1005="Direkomendasikan",ROW($6:$1005)-5),238))="",INDEX(checklistPesertaKemenkeu!$J$6:$J$1005,SMALL(IF(checklistPesertaKemenkeu!$AY$6:$AY$1005="Direkomendasikan",ROW($6:$1005)-5),238))=""),"",IF(AND(COUNTIF(INDIRECT("K_"&amp;MATCH(INDEX(checklistPesertaKemenkeu!$J$6:$J$1005,SMALL(IF(checklistPesertaKemenkeu!$AY$6:$AY$1005="Direkomendasikan",ROW($6:$1005)-5),238)),BidangList,0)),INDEX(checklistPesertaKemenkeu!$M$6:$M$1005,SMALL(IF(checklistPesertaKemenkeu!$AY$6:$AY$1005="Direkomendasikan",ROW($6:$1005)-5),238)))&gt;0,COUNTIF(INDIRECT("'KERTAS KERJA'!K"&amp;(SMALL(IF(checklistPesertaKemenkeu!$AY$6:$AY$1005="Direkomendasikan",ROW($6:$1005)-5),238)+5)&amp;":O"&amp;(SMALL(IF(checklistPesertaKemenkeu!$AY$6:$AY$1005="Direkomendasikan",ROW($6:$1005)-5),238)+5)),INDEX(checklistPesertaKemenkeu!$M$6:$M$1005,SMALL(IF(checklistPesertaKemenkeu!$AY$6:$AY$1005="Direkomendasikan",ROW($6:$1005)-5),238)))=1),IFERROR(VLOOKUP(INDEX(checklistPesertaKemenkeu!$M$6:$M$1005,SMALL(IF(checklistPesertaKemenkeu!$AY$6:$AY$1005="Direkomendasikan",ROW($6:$1005)-5),238)),KotaKode,2,0),"-"),"")),"")</f>
        <v/>
      </c>
      <c r="J239" t="str">
        <f t="array" aca="1" ref="J239" ca="1">IFERROR(IF(OR(INDEX(checklistPesertaKemenkeu!$N$6:$N$1005,SMALL(IF(checklistPesertaKemenkeu!$AY$6:$AY$1005="Direkomendasikan",ROW($6:$1005)-5),238))="",INDEX(checklistPesertaKemenkeu!$J$6:$J$1005,SMALL(IF(checklistPesertaKemenkeu!$AY$6:$AY$1005="Direkomendasikan",ROW($6:$1005)-5),238))=""),"",IF(AND(COUNTIF(INDIRECT("K_"&amp;MATCH(INDEX(checklistPesertaKemenkeu!$J$6:$J$1005,SMALL(IF(checklistPesertaKemenkeu!$AY$6:$AY$1005="Direkomendasikan",ROW($6:$1005)-5),238)),BidangList,0)),INDEX(checklistPesertaKemenkeu!$N$6:$N$1005,SMALL(IF(checklistPesertaKemenkeu!$AY$6:$AY$1005="Direkomendasikan",ROW($6:$1005)-5),238)))&gt;0,COUNTIF(INDIRECT("'KERTAS KERJA'!K"&amp;(SMALL(IF(checklistPesertaKemenkeu!$AY$6:$AY$1005="Direkomendasikan",ROW($6:$1005)-5),238)+5)&amp;":O"&amp;(SMALL(IF(checklistPesertaKemenkeu!$AY$6:$AY$1005="Direkomendasikan",ROW($6:$1005)-5),238)+5)),INDEX(checklistPesertaKemenkeu!$N$6:$N$1005,SMALL(IF(checklistPesertaKemenkeu!$AY$6:$AY$1005="Direkomendasikan",ROW($6:$1005)-5),238)))=1),IFERROR(VLOOKUP(INDEX(checklistPesertaKemenkeu!$N$6:$N$1005,SMALL(IF(checklistPesertaKemenkeu!$AY$6:$AY$1005="Direkomendasikan",ROW($6:$1005)-5),238)),KotaKode,2,0),"-"),"")),"")</f>
        <v/>
      </c>
      <c r="K239" t="str">
        <f t="array" aca="1" ref="K239" ca="1">IFERROR(IF(OR(INDEX(checklistPesertaKemenkeu!$O$6:$O$1005,SMALL(IF(checklistPesertaKemenkeu!$AY$6:$AY$1005="Direkomendasikan",ROW($6:$1005)-5),238))="",INDEX(checklistPesertaKemenkeu!$J$6:$J$1005,SMALL(IF(checklistPesertaKemenkeu!$AY$6:$AY$1005="Direkomendasikan",ROW($6:$1005)-5),238))=""),"",IF(AND(COUNTIF(INDIRECT("K_"&amp;MATCH(INDEX(checklistPesertaKemenkeu!$J$6:$J$1005,SMALL(IF(checklistPesertaKemenkeu!$AY$6:$AY$1005="Direkomendasikan",ROW($6:$1005)-5),238)),BidangList,0)),INDEX(checklistPesertaKemenkeu!$O$6:$O$1005,SMALL(IF(checklistPesertaKemenkeu!$AY$6:$AY$1005="Direkomendasikan",ROW($6:$1005)-5),238)))&gt;0,COUNTIF(INDIRECT("'KERTAS KERJA'!K"&amp;(SMALL(IF(checklistPesertaKemenkeu!$AY$6:$AY$1005="Direkomendasikan",ROW($6:$1005)-5),238)+5)&amp;":O"&amp;(SMALL(IF(checklistPesertaKemenkeu!$AY$6:$AY$1005="Direkomendasikan",ROW($6:$1005)-5),238)+5)),INDEX(checklistPesertaKemenkeu!$O$6:$O$1005,SMALL(IF(checklistPesertaKemenkeu!$AY$6:$AY$1005="Direkomendasikan",ROW($6:$1005)-5),238)))=1),IFERROR(VLOOKUP(INDEX(checklistPesertaKemenkeu!$O$6:$O$1005,SMALL(IF(checklistPesertaKemenkeu!$AY$6:$AY$1005="Direkomendasikan",ROW($6:$1005)-5),238)),KotaKode,2,0),"-"),"")),"")</f>
        <v/>
      </c>
      <c r="L239" t="str">
        <f t="array" aca="1" ref="L239" ca="1">IFERROR(IF(OR(INDEX(checklistPesertaKemenkeu!$P$6:$P$1005,SMALL(IF(checklistPesertaKemenkeu!$AY$6:$AY$1005="Direkomendasikan",ROW($6:$1005)-5),238))="",INDEX(checklistPesertaKemenkeu!$J$6:$J$1005,SMALL(IF(checklistPesertaKemenkeu!$AY$6:$AY$1005="Direkomendasikan",ROW($6:$1005)-5),238))=""),"",IF(AND(COUNTIF(INDIRECT("K_"&amp;MATCH(INDEX(checklistPesertaKemenkeu!$J$6:$J$1005,SMALL(IF(checklistPesertaKemenkeu!$AY$6:$AY$1005="Direkomendasikan",ROW($6:$1005)-5),238)),BidangList,0)),INDEX(checklistPesertaKemenkeu!$P$6:$P$1005,SMALL(IF(checklistPesertaKemenkeu!$AY$6:$AY$1005="Direkomendasikan",ROW($6:$1005)-5),238)))&gt;0,COUNTIF(INDIRECT("'KERTAS KERJA'!K"&amp;(SMALL(IF(checklistPesertaKemenkeu!$AY$6:$AY$1005="Direkomendasikan",ROW($6:$1005)-5),238)+5)&amp;":O"&amp;(SMALL(IF(checklistPesertaKemenkeu!$AY$6:$AY$1005="Direkomendasikan",ROW($6:$1005)-5),238)+5)),INDEX(checklistPesertaKemenkeu!$P$6:$P$1005,SMALL(IF(checklistPesertaKemenkeu!$AY$6:$AY$1005="Direkomendasikan",ROW($6:$1005)-5),238)))=1),IFERROR(VLOOKUP(INDEX(checklistPesertaKemenkeu!$P$6:$P$1005,SMALL(IF(checklistPesertaKemenkeu!$AY$6:$AY$1005="Direkomendasikan",ROW($6:$1005)-5),238)),KotaKode,2,0),"-"),"")),"")</f>
        <v/>
      </c>
    </row>
    <row r="240" spans="1:12" ht="15" customHeight="1" x14ac:dyDescent="0.2">
      <c r="A240" t="str">
        <f t="shared" si="3"/>
        <v/>
      </c>
      <c r="B240" t="str">
        <v/>
      </c>
      <c r="C240" s="40" t="str">
        <f t="array" ref="C240">IFERROR(INDEX(checklistPesertaKemenkeu!$F$6:$F$1005,SMALL(IF(checklistPesertaKemenkeu!$AY$6:$AY$1005="Direkomendasikan",ROW($6:$1005)-5),239)),"")</f>
        <v/>
      </c>
      <c r="D240" t="str">
        <f t="array" ref="D240">IFERROR(INDEX(checklistPesertaKemenkeu!$G$6:$G$1005,SMALL(IF(checklistPesertaKemenkeu!$AY$6:$AY$1005="Direkomendasikan",ROW($6:$1005)-5),239)),"")</f>
        <v/>
      </c>
      <c r="E240" t="str">
        <f t="array" ref="E240">IFERROR(INDEX(checklistPesertaKemenkeu!$H$6:$H$1005,SMALL(IF(checklistPesertaKemenkeu!$AY$6:$AY$1005="Direkomendasikan",ROW($6:$1005)-5),239)),"")</f>
        <v/>
      </c>
      <c r="F240" t="str">
        <f t="array" ref="F240">IFERROR(INDEX(checklistPesertaKemenkeu!$I$6:$I$1005,SMALL(IF(checklistPesertaKemenkeu!$AY$6:$AY$1005="Direkomendasikan",ROW($6:$1005)-5),239)),"")</f>
        <v/>
      </c>
      <c r="G240" t="str">
        <f t="array" ref="G240">IFERROR(INDEX(checklistPesertaKemenkeu!$J$6:$J$1005,SMALL(IF(checklistPesertaKemenkeu!$AY$6:$AY$1005="Direkomendasikan",ROW($6:$1005)-5),239)),"")</f>
        <v/>
      </c>
      <c r="H240" t="str">
        <f t="array" aca="1" ref="H240" ca="1">IFERROR(IF(OR(INDEX(checklistPesertaKemenkeu!$L$6:$L$1005,SMALL(IF(checklistPesertaKemenkeu!$AY$6:$AY$1005="Direkomendasikan",ROW($6:$1005)-5),239))="",INDEX(checklistPesertaKemenkeu!$J$6:$J$1005,SMALL(IF(checklistPesertaKemenkeu!$AY$6:$AY$1005="Direkomendasikan",ROW($6:$1005)-5),239))=""),"",IF(AND(COUNTIF(INDIRECT("K_"&amp;MATCH(INDEX(checklistPesertaKemenkeu!$J$6:$J$1005,SMALL(IF(checklistPesertaKemenkeu!$AY$6:$AY$1005="Direkomendasikan",ROW($6:$1005)-5),239)),BidangList,0)),INDEX(checklistPesertaKemenkeu!$L$6:$L$1005,SMALL(IF(checklistPesertaKemenkeu!$AY$6:$AY$1005="Direkomendasikan",ROW($6:$1005)-5),239)))&gt;0,COUNTIF(INDIRECT("'KERTAS KERJA'!K"&amp;(SMALL(IF(checklistPesertaKemenkeu!$AY$6:$AY$1005="Direkomendasikan",ROW($6:$1005)-5),239)+5)&amp;":O"&amp;(SMALL(IF(checklistPesertaKemenkeu!$AY$6:$AY$1005="Direkomendasikan",ROW($6:$1005)-5),239)+5)),INDEX(checklistPesertaKemenkeu!$L$6:$L$1005,SMALL(IF(checklistPesertaKemenkeu!$AY$6:$AY$1005="Direkomendasikan",ROW($6:$1005)-5),239)))=1),IFERROR(VLOOKUP(INDEX(checklistPesertaKemenkeu!$L$6:$L$1005,SMALL(IF(checklistPesertaKemenkeu!$AY$6:$AY$1005="Direkomendasikan",ROW($6:$1005)-5),239)),KotaKode,2,0),"-"),"")),"")</f>
        <v/>
      </c>
      <c r="I240" t="str">
        <f t="array" aca="1" ref="I240" ca="1">IFERROR(IF(OR(INDEX(checklistPesertaKemenkeu!$M$6:$M$1005,SMALL(IF(checklistPesertaKemenkeu!$AY$6:$AY$1005="Direkomendasikan",ROW($6:$1005)-5),239))="",INDEX(checklistPesertaKemenkeu!$J$6:$J$1005,SMALL(IF(checklistPesertaKemenkeu!$AY$6:$AY$1005="Direkomendasikan",ROW($6:$1005)-5),239))=""),"",IF(AND(COUNTIF(INDIRECT("K_"&amp;MATCH(INDEX(checklistPesertaKemenkeu!$J$6:$J$1005,SMALL(IF(checklistPesertaKemenkeu!$AY$6:$AY$1005="Direkomendasikan",ROW($6:$1005)-5),239)),BidangList,0)),INDEX(checklistPesertaKemenkeu!$M$6:$M$1005,SMALL(IF(checklistPesertaKemenkeu!$AY$6:$AY$1005="Direkomendasikan",ROW($6:$1005)-5),239)))&gt;0,COUNTIF(INDIRECT("'KERTAS KERJA'!K"&amp;(SMALL(IF(checklistPesertaKemenkeu!$AY$6:$AY$1005="Direkomendasikan",ROW($6:$1005)-5),239)+5)&amp;":O"&amp;(SMALL(IF(checklistPesertaKemenkeu!$AY$6:$AY$1005="Direkomendasikan",ROW($6:$1005)-5),239)+5)),INDEX(checklistPesertaKemenkeu!$M$6:$M$1005,SMALL(IF(checklistPesertaKemenkeu!$AY$6:$AY$1005="Direkomendasikan",ROW($6:$1005)-5),239)))=1),IFERROR(VLOOKUP(INDEX(checklistPesertaKemenkeu!$M$6:$M$1005,SMALL(IF(checklistPesertaKemenkeu!$AY$6:$AY$1005="Direkomendasikan",ROW($6:$1005)-5),239)),KotaKode,2,0),"-"),"")),"")</f>
        <v/>
      </c>
      <c r="J240" t="str">
        <f t="array" aca="1" ref="J240" ca="1">IFERROR(IF(OR(INDEX(checklistPesertaKemenkeu!$N$6:$N$1005,SMALL(IF(checklistPesertaKemenkeu!$AY$6:$AY$1005="Direkomendasikan",ROW($6:$1005)-5),239))="",INDEX(checklistPesertaKemenkeu!$J$6:$J$1005,SMALL(IF(checklistPesertaKemenkeu!$AY$6:$AY$1005="Direkomendasikan",ROW($6:$1005)-5),239))=""),"",IF(AND(COUNTIF(INDIRECT("K_"&amp;MATCH(INDEX(checklistPesertaKemenkeu!$J$6:$J$1005,SMALL(IF(checklistPesertaKemenkeu!$AY$6:$AY$1005="Direkomendasikan",ROW($6:$1005)-5),239)),BidangList,0)),INDEX(checklistPesertaKemenkeu!$N$6:$N$1005,SMALL(IF(checklistPesertaKemenkeu!$AY$6:$AY$1005="Direkomendasikan",ROW($6:$1005)-5),239)))&gt;0,COUNTIF(INDIRECT("'KERTAS KERJA'!K"&amp;(SMALL(IF(checklistPesertaKemenkeu!$AY$6:$AY$1005="Direkomendasikan",ROW($6:$1005)-5),239)+5)&amp;":O"&amp;(SMALL(IF(checklistPesertaKemenkeu!$AY$6:$AY$1005="Direkomendasikan",ROW($6:$1005)-5),239)+5)),INDEX(checklistPesertaKemenkeu!$N$6:$N$1005,SMALL(IF(checklistPesertaKemenkeu!$AY$6:$AY$1005="Direkomendasikan",ROW($6:$1005)-5),239)))=1),IFERROR(VLOOKUP(INDEX(checklistPesertaKemenkeu!$N$6:$N$1005,SMALL(IF(checklistPesertaKemenkeu!$AY$6:$AY$1005="Direkomendasikan",ROW($6:$1005)-5),239)),KotaKode,2,0),"-"),"")),"")</f>
        <v/>
      </c>
      <c r="K240" t="str">
        <f t="array" aca="1" ref="K240" ca="1">IFERROR(IF(OR(INDEX(checklistPesertaKemenkeu!$O$6:$O$1005,SMALL(IF(checklistPesertaKemenkeu!$AY$6:$AY$1005="Direkomendasikan",ROW($6:$1005)-5),239))="",INDEX(checklistPesertaKemenkeu!$J$6:$J$1005,SMALL(IF(checklistPesertaKemenkeu!$AY$6:$AY$1005="Direkomendasikan",ROW($6:$1005)-5),239))=""),"",IF(AND(COUNTIF(INDIRECT("K_"&amp;MATCH(INDEX(checklistPesertaKemenkeu!$J$6:$J$1005,SMALL(IF(checklistPesertaKemenkeu!$AY$6:$AY$1005="Direkomendasikan",ROW($6:$1005)-5),239)),BidangList,0)),INDEX(checklistPesertaKemenkeu!$O$6:$O$1005,SMALL(IF(checklistPesertaKemenkeu!$AY$6:$AY$1005="Direkomendasikan",ROW($6:$1005)-5),239)))&gt;0,COUNTIF(INDIRECT("'KERTAS KERJA'!K"&amp;(SMALL(IF(checklistPesertaKemenkeu!$AY$6:$AY$1005="Direkomendasikan",ROW($6:$1005)-5),239)+5)&amp;":O"&amp;(SMALL(IF(checklistPesertaKemenkeu!$AY$6:$AY$1005="Direkomendasikan",ROW($6:$1005)-5),239)+5)),INDEX(checklistPesertaKemenkeu!$O$6:$O$1005,SMALL(IF(checklistPesertaKemenkeu!$AY$6:$AY$1005="Direkomendasikan",ROW($6:$1005)-5),239)))=1),IFERROR(VLOOKUP(INDEX(checklistPesertaKemenkeu!$O$6:$O$1005,SMALL(IF(checklistPesertaKemenkeu!$AY$6:$AY$1005="Direkomendasikan",ROW($6:$1005)-5),239)),KotaKode,2,0),"-"),"")),"")</f>
        <v/>
      </c>
      <c r="L240" t="str">
        <f t="array" aca="1" ref="L240" ca="1">IFERROR(IF(OR(INDEX(checklistPesertaKemenkeu!$P$6:$P$1005,SMALL(IF(checklistPesertaKemenkeu!$AY$6:$AY$1005="Direkomendasikan",ROW($6:$1005)-5),239))="",INDEX(checklistPesertaKemenkeu!$J$6:$J$1005,SMALL(IF(checklistPesertaKemenkeu!$AY$6:$AY$1005="Direkomendasikan",ROW($6:$1005)-5),239))=""),"",IF(AND(COUNTIF(INDIRECT("K_"&amp;MATCH(INDEX(checklistPesertaKemenkeu!$J$6:$J$1005,SMALL(IF(checklistPesertaKemenkeu!$AY$6:$AY$1005="Direkomendasikan",ROW($6:$1005)-5),239)),BidangList,0)),INDEX(checklistPesertaKemenkeu!$P$6:$P$1005,SMALL(IF(checklistPesertaKemenkeu!$AY$6:$AY$1005="Direkomendasikan",ROW($6:$1005)-5),239)))&gt;0,COUNTIF(INDIRECT("'KERTAS KERJA'!K"&amp;(SMALL(IF(checklistPesertaKemenkeu!$AY$6:$AY$1005="Direkomendasikan",ROW($6:$1005)-5),239)+5)&amp;":O"&amp;(SMALL(IF(checklistPesertaKemenkeu!$AY$6:$AY$1005="Direkomendasikan",ROW($6:$1005)-5),239)+5)),INDEX(checklistPesertaKemenkeu!$P$6:$P$1005,SMALL(IF(checklistPesertaKemenkeu!$AY$6:$AY$1005="Direkomendasikan",ROW($6:$1005)-5),239)))=1),IFERROR(VLOOKUP(INDEX(checklistPesertaKemenkeu!$P$6:$P$1005,SMALL(IF(checklistPesertaKemenkeu!$AY$6:$AY$1005="Direkomendasikan",ROW($6:$1005)-5),239)),KotaKode,2,0),"-"),"")),"")</f>
        <v/>
      </c>
    </row>
    <row r="241" spans="1:12" ht="15" customHeight="1" x14ac:dyDescent="0.2">
      <c r="A241" t="str">
        <f t="shared" si="3"/>
        <v/>
      </c>
      <c r="B241" t="str">
        <v/>
      </c>
      <c r="C241" s="40" t="str">
        <f t="array" ref="C241">IFERROR(INDEX(checklistPesertaKemenkeu!$F$6:$F$1005,SMALL(IF(checklistPesertaKemenkeu!$AY$6:$AY$1005="Direkomendasikan",ROW($6:$1005)-5),240)),"")</f>
        <v/>
      </c>
      <c r="D241" t="str">
        <f t="array" ref="D241">IFERROR(INDEX(checklistPesertaKemenkeu!$G$6:$G$1005,SMALL(IF(checklistPesertaKemenkeu!$AY$6:$AY$1005="Direkomendasikan",ROW($6:$1005)-5),240)),"")</f>
        <v/>
      </c>
      <c r="E241" t="str">
        <f t="array" ref="E241">IFERROR(INDEX(checklistPesertaKemenkeu!$H$6:$H$1005,SMALL(IF(checklistPesertaKemenkeu!$AY$6:$AY$1005="Direkomendasikan",ROW($6:$1005)-5),240)),"")</f>
        <v/>
      </c>
      <c r="F241" t="str">
        <f t="array" ref="F241">IFERROR(INDEX(checklistPesertaKemenkeu!$I$6:$I$1005,SMALL(IF(checklistPesertaKemenkeu!$AY$6:$AY$1005="Direkomendasikan",ROW($6:$1005)-5),240)),"")</f>
        <v/>
      </c>
      <c r="G241" t="str">
        <f t="array" ref="G241">IFERROR(INDEX(checklistPesertaKemenkeu!$J$6:$J$1005,SMALL(IF(checklistPesertaKemenkeu!$AY$6:$AY$1005="Direkomendasikan",ROW($6:$1005)-5),240)),"")</f>
        <v/>
      </c>
      <c r="H241" t="str">
        <f t="array" aca="1" ref="H241" ca="1">IFERROR(IF(OR(INDEX(checklistPesertaKemenkeu!$L$6:$L$1005,SMALL(IF(checklistPesertaKemenkeu!$AY$6:$AY$1005="Direkomendasikan",ROW($6:$1005)-5),240))="",INDEX(checklistPesertaKemenkeu!$J$6:$J$1005,SMALL(IF(checklistPesertaKemenkeu!$AY$6:$AY$1005="Direkomendasikan",ROW($6:$1005)-5),240))=""),"",IF(AND(COUNTIF(INDIRECT("K_"&amp;MATCH(INDEX(checklistPesertaKemenkeu!$J$6:$J$1005,SMALL(IF(checklistPesertaKemenkeu!$AY$6:$AY$1005="Direkomendasikan",ROW($6:$1005)-5),240)),BidangList,0)),INDEX(checklistPesertaKemenkeu!$L$6:$L$1005,SMALL(IF(checklistPesertaKemenkeu!$AY$6:$AY$1005="Direkomendasikan",ROW($6:$1005)-5),240)))&gt;0,COUNTIF(INDIRECT("'KERTAS KERJA'!K"&amp;(SMALL(IF(checklistPesertaKemenkeu!$AY$6:$AY$1005="Direkomendasikan",ROW($6:$1005)-5),240)+5)&amp;":O"&amp;(SMALL(IF(checklistPesertaKemenkeu!$AY$6:$AY$1005="Direkomendasikan",ROW($6:$1005)-5),240)+5)),INDEX(checklistPesertaKemenkeu!$L$6:$L$1005,SMALL(IF(checklistPesertaKemenkeu!$AY$6:$AY$1005="Direkomendasikan",ROW($6:$1005)-5),240)))=1),IFERROR(VLOOKUP(INDEX(checklistPesertaKemenkeu!$L$6:$L$1005,SMALL(IF(checklistPesertaKemenkeu!$AY$6:$AY$1005="Direkomendasikan",ROW($6:$1005)-5),240)),KotaKode,2,0),"-"),"")),"")</f>
        <v/>
      </c>
      <c r="I241" t="str">
        <f t="array" aca="1" ref="I241" ca="1">IFERROR(IF(OR(INDEX(checklistPesertaKemenkeu!$M$6:$M$1005,SMALL(IF(checklistPesertaKemenkeu!$AY$6:$AY$1005="Direkomendasikan",ROW($6:$1005)-5),240))="",INDEX(checklistPesertaKemenkeu!$J$6:$J$1005,SMALL(IF(checklistPesertaKemenkeu!$AY$6:$AY$1005="Direkomendasikan",ROW($6:$1005)-5),240))=""),"",IF(AND(COUNTIF(INDIRECT("K_"&amp;MATCH(INDEX(checklistPesertaKemenkeu!$J$6:$J$1005,SMALL(IF(checklistPesertaKemenkeu!$AY$6:$AY$1005="Direkomendasikan",ROW($6:$1005)-5),240)),BidangList,0)),INDEX(checklistPesertaKemenkeu!$M$6:$M$1005,SMALL(IF(checklistPesertaKemenkeu!$AY$6:$AY$1005="Direkomendasikan",ROW($6:$1005)-5),240)))&gt;0,COUNTIF(INDIRECT("'KERTAS KERJA'!K"&amp;(SMALL(IF(checklistPesertaKemenkeu!$AY$6:$AY$1005="Direkomendasikan",ROW($6:$1005)-5),240)+5)&amp;":O"&amp;(SMALL(IF(checklistPesertaKemenkeu!$AY$6:$AY$1005="Direkomendasikan",ROW($6:$1005)-5),240)+5)),INDEX(checklistPesertaKemenkeu!$M$6:$M$1005,SMALL(IF(checklistPesertaKemenkeu!$AY$6:$AY$1005="Direkomendasikan",ROW($6:$1005)-5),240)))=1),IFERROR(VLOOKUP(INDEX(checklistPesertaKemenkeu!$M$6:$M$1005,SMALL(IF(checklistPesertaKemenkeu!$AY$6:$AY$1005="Direkomendasikan",ROW($6:$1005)-5),240)),KotaKode,2,0),"-"),"")),"")</f>
        <v/>
      </c>
      <c r="J241" t="str">
        <f t="array" aca="1" ref="J241" ca="1">IFERROR(IF(OR(INDEX(checklistPesertaKemenkeu!$N$6:$N$1005,SMALL(IF(checklistPesertaKemenkeu!$AY$6:$AY$1005="Direkomendasikan",ROW($6:$1005)-5),240))="",INDEX(checklistPesertaKemenkeu!$J$6:$J$1005,SMALL(IF(checklistPesertaKemenkeu!$AY$6:$AY$1005="Direkomendasikan",ROW($6:$1005)-5),240))=""),"",IF(AND(COUNTIF(INDIRECT("K_"&amp;MATCH(INDEX(checklistPesertaKemenkeu!$J$6:$J$1005,SMALL(IF(checklistPesertaKemenkeu!$AY$6:$AY$1005="Direkomendasikan",ROW($6:$1005)-5),240)),BidangList,0)),INDEX(checklistPesertaKemenkeu!$N$6:$N$1005,SMALL(IF(checklistPesertaKemenkeu!$AY$6:$AY$1005="Direkomendasikan",ROW($6:$1005)-5),240)))&gt;0,COUNTIF(INDIRECT("'KERTAS KERJA'!K"&amp;(SMALL(IF(checklistPesertaKemenkeu!$AY$6:$AY$1005="Direkomendasikan",ROW($6:$1005)-5),240)+5)&amp;":O"&amp;(SMALL(IF(checklistPesertaKemenkeu!$AY$6:$AY$1005="Direkomendasikan",ROW($6:$1005)-5),240)+5)),INDEX(checklistPesertaKemenkeu!$N$6:$N$1005,SMALL(IF(checklistPesertaKemenkeu!$AY$6:$AY$1005="Direkomendasikan",ROW($6:$1005)-5),240)))=1),IFERROR(VLOOKUP(INDEX(checklistPesertaKemenkeu!$N$6:$N$1005,SMALL(IF(checklistPesertaKemenkeu!$AY$6:$AY$1005="Direkomendasikan",ROW($6:$1005)-5),240)),KotaKode,2,0),"-"),"")),"")</f>
        <v/>
      </c>
      <c r="K241" t="str">
        <f t="array" aca="1" ref="K241" ca="1">IFERROR(IF(OR(INDEX(checklistPesertaKemenkeu!$O$6:$O$1005,SMALL(IF(checklistPesertaKemenkeu!$AY$6:$AY$1005="Direkomendasikan",ROW($6:$1005)-5),240))="",INDEX(checklistPesertaKemenkeu!$J$6:$J$1005,SMALL(IF(checklistPesertaKemenkeu!$AY$6:$AY$1005="Direkomendasikan",ROW($6:$1005)-5),240))=""),"",IF(AND(COUNTIF(INDIRECT("K_"&amp;MATCH(INDEX(checklistPesertaKemenkeu!$J$6:$J$1005,SMALL(IF(checklistPesertaKemenkeu!$AY$6:$AY$1005="Direkomendasikan",ROW($6:$1005)-5),240)),BidangList,0)),INDEX(checklistPesertaKemenkeu!$O$6:$O$1005,SMALL(IF(checklistPesertaKemenkeu!$AY$6:$AY$1005="Direkomendasikan",ROW($6:$1005)-5),240)))&gt;0,COUNTIF(INDIRECT("'KERTAS KERJA'!K"&amp;(SMALL(IF(checklistPesertaKemenkeu!$AY$6:$AY$1005="Direkomendasikan",ROW($6:$1005)-5),240)+5)&amp;":O"&amp;(SMALL(IF(checklistPesertaKemenkeu!$AY$6:$AY$1005="Direkomendasikan",ROW($6:$1005)-5),240)+5)),INDEX(checklistPesertaKemenkeu!$O$6:$O$1005,SMALL(IF(checklistPesertaKemenkeu!$AY$6:$AY$1005="Direkomendasikan",ROW($6:$1005)-5),240)))=1),IFERROR(VLOOKUP(INDEX(checklistPesertaKemenkeu!$O$6:$O$1005,SMALL(IF(checklistPesertaKemenkeu!$AY$6:$AY$1005="Direkomendasikan",ROW($6:$1005)-5),240)),KotaKode,2,0),"-"),"")),"")</f>
        <v/>
      </c>
      <c r="L241" t="str">
        <f t="array" aca="1" ref="L241" ca="1">IFERROR(IF(OR(INDEX(checklistPesertaKemenkeu!$P$6:$P$1005,SMALL(IF(checklistPesertaKemenkeu!$AY$6:$AY$1005="Direkomendasikan",ROW($6:$1005)-5),240))="",INDEX(checklistPesertaKemenkeu!$J$6:$J$1005,SMALL(IF(checklistPesertaKemenkeu!$AY$6:$AY$1005="Direkomendasikan",ROW($6:$1005)-5),240))=""),"",IF(AND(COUNTIF(INDIRECT("K_"&amp;MATCH(INDEX(checklistPesertaKemenkeu!$J$6:$J$1005,SMALL(IF(checklistPesertaKemenkeu!$AY$6:$AY$1005="Direkomendasikan",ROW($6:$1005)-5),240)),BidangList,0)),INDEX(checklistPesertaKemenkeu!$P$6:$P$1005,SMALL(IF(checklistPesertaKemenkeu!$AY$6:$AY$1005="Direkomendasikan",ROW($6:$1005)-5),240)))&gt;0,COUNTIF(INDIRECT("'KERTAS KERJA'!K"&amp;(SMALL(IF(checklistPesertaKemenkeu!$AY$6:$AY$1005="Direkomendasikan",ROW($6:$1005)-5),240)+5)&amp;":O"&amp;(SMALL(IF(checklistPesertaKemenkeu!$AY$6:$AY$1005="Direkomendasikan",ROW($6:$1005)-5),240)+5)),INDEX(checklistPesertaKemenkeu!$P$6:$P$1005,SMALL(IF(checklistPesertaKemenkeu!$AY$6:$AY$1005="Direkomendasikan",ROW($6:$1005)-5),240)))=1),IFERROR(VLOOKUP(INDEX(checklistPesertaKemenkeu!$P$6:$P$1005,SMALL(IF(checklistPesertaKemenkeu!$AY$6:$AY$1005="Direkomendasikan",ROW($6:$1005)-5),240)),KotaKode,2,0),"-"),"")),"")</f>
        <v/>
      </c>
    </row>
    <row r="242" spans="1:12" ht="15" customHeight="1" x14ac:dyDescent="0.2">
      <c r="A242" t="str">
        <f t="shared" si="3"/>
        <v/>
      </c>
      <c r="B242" t="str">
        <v/>
      </c>
      <c r="C242" s="40" t="str">
        <f t="array" ref="C242">IFERROR(INDEX(checklistPesertaKemenkeu!$F$6:$F$1005,SMALL(IF(checklistPesertaKemenkeu!$AY$6:$AY$1005="Direkomendasikan",ROW($6:$1005)-5),241)),"")</f>
        <v/>
      </c>
      <c r="D242" t="str">
        <f t="array" ref="D242">IFERROR(INDEX(checklistPesertaKemenkeu!$G$6:$G$1005,SMALL(IF(checklistPesertaKemenkeu!$AY$6:$AY$1005="Direkomendasikan",ROW($6:$1005)-5),241)),"")</f>
        <v/>
      </c>
      <c r="E242" t="str">
        <f t="array" ref="E242">IFERROR(INDEX(checklistPesertaKemenkeu!$H$6:$H$1005,SMALL(IF(checklistPesertaKemenkeu!$AY$6:$AY$1005="Direkomendasikan",ROW($6:$1005)-5),241)),"")</f>
        <v/>
      </c>
      <c r="F242" t="str">
        <f t="array" ref="F242">IFERROR(INDEX(checklistPesertaKemenkeu!$I$6:$I$1005,SMALL(IF(checklistPesertaKemenkeu!$AY$6:$AY$1005="Direkomendasikan",ROW($6:$1005)-5),241)),"")</f>
        <v/>
      </c>
      <c r="G242" t="str">
        <f t="array" ref="G242">IFERROR(INDEX(checklistPesertaKemenkeu!$J$6:$J$1005,SMALL(IF(checklistPesertaKemenkeu!$AY$6:$AY$1005="Direkomendasikan",ROW($6:$1005)-5),241)),"")</f>
        <v/>
      </c>
      <c r="H242" t="str">
        <f t="array" aca="1" ref="H242" ca="1">IFERROR(IF(OR(INDEX(checklistPesertaKemenkeu!$L$6:$L$1005,SMALL(IF(checklistPesertaKemenkeu!$AY$6:$AY$1005="Direkomendasikan",ROW($6:$1005)-5),241))="",INDEX(checklistPesertaKemenkeu!$J$6:$J$1005,SMALL(IF(checklistPesertaKemenkeu!$AY$6:$AY$1005="Direkomendasikan",ROW($6:$1005)-5),241))=""),"",IF(AND(COUNTIF(INDIRECT("K_"&amp;MATCH(INDEX(checklistPesertaKemenkeu!$J$6:$J$1005,SMALL(IF(checklistPesertaKemenkeu!$AY$6:$AY$1005="Direkomendasikan",ROW($6:$1005)-5),241)),BidangList,0)),INDEX(checklistPesertaKemenkeu!$L$6:$L$1005,SMALL(IF(checklistPesertaKemenkeu!$AY$6:$AY$1005="Direkomendasikan",ROW($6:$1005)-5),241)))&gt;0,COUNTIF(INDIRECT("'KERTAS KERJA'!K"&amp;(SMALL(IF(checklistPesertaKemenkeu!$AY$6:$AY$1005="Direkomendasikan",ROW($6:$1005)-5),241)+5)&amp;":O"&amp;(SMALL(IF(checklistPesertaKemenkeu!$AY$6:$AY$1005="Direkomendasikan",ROW($6:$1005)-5),241)+5)),INDEX(checklistPesertaKemenkeu!$L$6:$L$1005,SMALL(IF(checklistPesertaKemenkeu!$AY$6:$AY$1005="Direkomendasikan",ROW($6:$1005)-5),241)))=1),IFERROR(VLOOKUP(INDEX(checklistPesertaKemenkeu!$L$6:$L$1005,SMALL(IF(checklistPesertaKemenkeu!$AY$6:$AY$1005="Direkomendasikan",ROW($6:$1005)-5),241)),KotaKode,2,0),"-"),"")),"")</f>
        <v/>
      </c>
      <c r="I242" t="str">
        <f t="array" aca="1" ref="I242" ca="1">IFERROR(IF(OR(INDEX(checklistPesertaKemenkeu!$M$6:$M$1005,SMALL(IF(checklistPesertaKemenkeu!$AY$6:$AY$1005="Direkomendasikan",ROW($6:$1005)-5),241))="",INDEX(checklistPesertaKemenkeu!$J$6:$J$1005,SMALL(IF(checklistPesertaKemenkeu!$AY$6:$AY$1005="Direkomendasikan",ROW($6:$1005)-5),241))=""),"",IF(AND(COUNTIF(INDIRECT("K_"&amp;MATCH(INDEX(checklistPesertaKemenkeu!$J$6:$J$1005,SMALL(IF(checklistPesertaKemenkeu!$AY$6:$AY$1005="Direkomendasikan",ROW($6:$1005)-5),241)),BidangList,0)),INDEX(checklistPesertaKemenkeu!$M$6:$M$1005,SMALL(IF(checklistPesertaKemenkeu!$AY$6:$AY$1005="Direkomendasikan",ROW($6:$1005)-5),241)))&gt;0,COUNTIF(INDIRECT("'KERTAS KERJA'!K"&amp;(SMALL(IF(checklistPesertaKemenkeu!$AY$6:$AY$1005="Direkomendasikan",ROW($6:$1005)-5),241)+5)&amp;":O"&amp;(SMALL(IF(checklistPesertaKemenkeu!$AY$6:$AY$1005="Direkomendasikan",ROW($6:$1005)-5),241)+5)),INDEX(checklistPesertaKemenkeu!$M$6:$M$1005,SMALL(IF(checklistPesertaKemenkeu!$AY$6:$AY$1005="Direkomendasikan",ROW($6:$1005)-5),241)))=1),IFERROR(VLOOKUP(INDEX(checklistPesertaKemenkeu!$M$6:$M$1005,SMALL(IF(checklistPesertaKemenkeu!$AY$6:$AY$1005="Direkomendasikan",ROW($6:$1005)-5),241)),KotaKode,2,0),"-"),"")),"")</f>
        <v/>
      </c>
      <c r="J242" t="str">
        <f t="array" aca="1" ref="J242" ca="1">IFERROR(IF(OR(INDEX(checklistPesertaKemenkeu!$N$6:$N$1005,SMALL(IF(checklistPesertaKemenkeu!$AY$6:$AY$1005="Direkomendasikan",ROW($6:$1005)-5),241))="",INDEX(checklistPesertaKemenkeu!$J$6:$J$1005,SMALL(IF(checklistPesertaKemenkeu!$AY$6:$AY$1005="Direkomendasikan",ROW($6:$1005)-5),241))=""),"",IF(AND(COUNTIF(INDIRECT("K_"&amp;MATCH(INDEX(checklistPesertaKemenkeu!$J$6:$J$1005,SMALL(IF(checklistPesertaKemenkeu!$AY$6:$AY$1005="Direkomendasikan",ROW($6:$1005)-5),241)),BidangList,0)),INDEX(checklistPesertaKemenkeu!$N$6:$N$1005,SMALL(IF(checklistPesertaKemenkeu!$AY$6:$AY$1005="Direkomendasikan",ROW($6:$1005)-5),241)))&gt;0,COUNTIF(INDIRECT("'KERTAS KERJA'!K"&amp;(SMALL(IF(checklistPesertaKemenkeu!$AY$6:$AY$1005="Direkomendasikan",ROW($6:$1005)-5),241)+5)&amp;":O"&amp;(SMALL(IF(checklistPesertaKemenkeu!$AY$6:$AY$1005="Direkomendasikan",ROW($6:$1005)-5),241)+5)),INDEX(checklistPesertaKemenkeu!$N$6:$N$1005,SMALL(IF(checklistPesertaKemenkeu!$AY$6:$AY$1005="Direkomendasikan",ROW($6:$1005)-5),241)))=1),IFERROR(VLOOKUP(INDEX(checklistPesertaKemenkeu!$N$6:$N$1005,SMALL(IF(checklistPesertaKemenkeu!$AY$6:$AY$1005="Direkomendasikan",ROW($6:$1005)-5),241)),KotaKode,2,0),"-"),"")),"")</f>
        <v/>
      </c>
      <c r="K242" t="str">
        <f t="array" aca="1" ref="K242" ca="1">IFERROR(IF(OR(INDEX(checklistPesertaKemenkeu!$O$6:$O$1005,SMALL(IF(checklistPesertaKemenkeu!$AY$6:$AY$1005="Direkomendasikan",ROW($6:$1005)-5),241))="",INDEX(checklistPesertaKemenkeu!$J$6:$J$1005,SMALL(IF(checklistPesertaKemenkeu!$AY$6:$AY$1005="Direkomendasikan",ROW($6:$1005)-5),241))=""),"",IF(AND(COUNTIF(INDIRECT("K_"&amp;MATCH(INDEX(checklistPesertaKemenkeu!$J$6:$J$1005,SMALL(IF(checklistPesertaKemenkeu!$AY$6:$AY$1005="Direkomendasikan",ROW($6:$1005)-5),241)),BidangList,0)),INDEX(checklistPesertaKemenkeu!$O$6:$O$1005,SMALL(IF(checklistPesertaKemenkeu!$AY$6:$AY$1005="Direkomendasikan",ROW($6:$1005)-5),241)))&gt;0,COUNTIF(INDIRECT("'KERTAS KERJA'!K"&amp;(SMALL(IF(checklistPesertaKemenkeu!$AY$6:$AY$1005="Direkomendasikan",ROW($6:$1005)-5),241)+5)&amp;":O"&amp;(SMALL(IF(checklistPesertaKemenkeu!$AY$6:$AY$1005="Direkomendasikan",ROW($6:$1005)-5),241)+5)),INDEX(checklistPesertaKemenkeu!$O$6:$O$1005,SMALL(IF(checklistPesertaKemenkeu!$AY$6:$AY$1005="Direkomendasikan",ROW($6:$1005)-5),241)))=1),IFERROR(VLOOKUP(INDEX(checklistPesertaKemenkeu!$O$6:$O$1005,SMALL(IF(checklistPesertaKemenkeu!$AY$6:$AY$1005="Direkomendasikan",ROW($6:$1005)-5),241)),KotaKode,2,0),"-"),"")),"")</f>
        <v/>
      </c>
      <c r="L242" t="str">
        <f t="array" aca="1" ref="L242" ca="1">IFERROR(IF(OR(INDEX(checklistPesertaKemenkeu!$P$6:$P$1005,SMALL(IF(checklistPesertaKemenkeu!$AY$6:$AY$1005="Direkomendasikan",ROW($6:$1005)-5),241))="",INDEX(checklistPesertaKemenkeu!$J$6:$J$1005,SMALL(IF(checklistPesertaKemenkeu!$AY$6:$AY$1005="Direkomendasikan",ROW($6:$1005)-5),241))=""),"",IF(AND(COUNTIF(INDIRECT("K_"&amp;MATCH(INDEX(checklistPesertaKemenkeu!$J$6:$J$1005,SMALL(IF(checklistPesertaKemenkeu!$AY$6:$AY$1005="Direkomendasikan",ROW($6:$1005)-5),241)),BidangList,0)),INDEX(checklistPesertaKemenkeu!$P$6:$P$1005,SMALL(IF(checklistPesertaKemenkeu!$AY$6:$AY$1005="Direkomendasikan",ROW($6:$1005)-5),241)))&gt;0,COUNTIF(INDIRECT("'KERTAS KERJA'!K"&amp;(SMALL(IF(checklistPesertaKemenkeu!$AY$6:$AY$1005="Direkomendasikan",ROW($6:$1005)-5),241)+5)&amp;":O"&amp;(SMALL(IF(checklistPesertaKemenkeu!$AY$6:$AY$1005="Direkomendasikan",ROW($6:$1005)-5),241)+5)),INDEX(checklistPesertaKemenkeu!$P$6:$P$1005,SMALL(IF(checklistPesertaKemenkeu!$AY$6:$AY$1005="Direkomendasikan",ROW($6:$1005)-5),241)))=1),IFERROR(VLOOKUP(INDEX(checklistPesertaKemenkeu!$P$6:$P$1005,SMALL(IF(checklistPesertaKemenkeu!$AY$6:$AY$1005="Direkomendasikan",ROW($6:$1005)-5),241)),KotaKode,2,0),"-"),"")),"")</f>
        <v/>
      </c>
    </row>
    <row r="243" spans="1:12" ht="15" customHeight="1" x14ac:dyDescent="0.2">
      <c r="A243" t="str">
        <f t="shared" si="3"/>
        <v/>
      </c>
      <c r="B243" t="str">
        <v/>
      </c>
      <c r="C243" s="40" t="str">
        <f t="array" ref="C243">IFERROR(INDEX(checklistPesertaKemenkeu!$F$6:$F$1005,SMALL(IF(checklistPesertaKemenkeu!$AY$6:$AY$1005="Direkomendasikan",ROW($6:$1005)-5),242)),"")</f>
        <v/>
      </c>
      <c r="D243" t="str">
        <f t="array" ref="D243">IFERROR(INDEX(checklistPesertaKemenkeu!$G$6:$G$1005,SMALL(IF(checklistPesertaKemenkeu!$AY$6:$AY$1005="Direkomendasikan",ROW($6:$1005)-5),242)),"")</f>
        <v/>
      </c>
      <c r="E243" t="str">
        <f t="array" ref="E243">IFERROR(INDEX(checklistPesertaKemenkeu!$H$6:$H$1005,SMALL(IF(checklistPesertaKemenkeu!$AY$6:$AY$1005="Direkomendasikan",ROW($6:$1005)-5),242)),"")</f>
        <v/>
      </c>
      <c r="F243" t="str">
        <f t="array" ref="F243">IFERROR(INDEX(checklistPesertaKemenkeu!$I$6:$I$1005,SMALL(IF(checklistPesertaKemenkeu!$AY$6:$AY$1005="Direkomendasikan",ROW($6:$1005)-5),242)),"")</f>
        <v/>
      </c>
      <c r="G243" t="str">
        <f t="array" ref="G243">IFERROR(INDEX(checklistPesertaKemenkeu!$J$6:$J$1005,SMALL(IF(checklistPesertaKemenkeu!$AY$6:$AY$1005="Direkomendasikan",ROW($6:$1005)-5),242)),"")</f>
        <v/>
      </c>
      <c r="H243" t="str">
        <f t="array" aca="1" ref="H243" ca="1">IFERROR(IF(OR(INDEX(checklistPesertaKemenkeu!$L$6:$L$1005,SMALL(IF(checklistPesertaKemenkeu!$AY$6:$AY$1005="Direkomendasikan",ROW($6:$1005)-5),242))="",INDEX(checklistPesertaKemenkeu!$J$6:$J$1005,SMALL(IF(checklistPesertaKemenkeu!$AY$6:$AY$1005="Direkomendasikan",ROW($6:$1005)-5),242))=""),"",IF(AND(COUNTIF(INDIRECT("K_"&amp;MATCH(INDEX(checklistPesertaKemenkeu!$J$6:$J$1005,SMALL(IF(checklistPesertaKemenkeu!$AY$6:$AY$1005="Direkomendasikan",ROW($6:$1005)-5),242)),BidangList,0)),INDEX(checklistPesertaKemenkeu!$L$6:$L$1005,SMALL(IF(checklistPesertaKemenkeu!$AY$6:$AY$1005="Direkomendasikan",ROW($6:$1005)-5),242)))&gt;0,COUNTIF(INDIRECT("'KERTAS KERJA'!K"&amp;(SMALL(IF(checklistPesertaKemenkeu!$AY$6:$AY$1005="Direkomendasikan",ROW($6:$1005)-5),242)+5)&amp;":O"&amp;(SMALL(IF(checklistPesertaKemenkeu!$AY$6:$AY$1005="Direkomendasikan",ROW($6:$1005)-5),242)+5)),INDEX(checklistPesertaKemenkeu!$L$6:$L$1005,SMALL(IF(checklistPesertaKemenkeu!$AY$6:$AY$1005="Direkomendasikan",ROW($6:$1005)-5),242)))=1),IFERROR(VLOOKUP(INDEX(checklistPesertaKemenkeu!$L$6:$L$1005,SMALL(IF(checklistPesertaKemenkeu!$AY$6:$AY$1005="Direkomendasikan",ROW($6:$1005)-5),242)),KotaKode,2,0),"-"),"")),"")</f>
        <v/>
      </c>
      <c r="I243" t="str">
        <f t="array" aca="1" ref="I243" ca="1">IFERROR(IF(OR(INDEX(checklistPesertaKemenkeu!$M$6:$M$1005,SMALL(IF(checklistPesertaKemenkeu!$AY$6:$AY$1005="Direkomendasikan",ROW($6:$1005)-5),242))="",INDEX(checklistPesertaKemenkeu!$J$6:$J$1005,SMALL(IF(checklistPesertaKemenkeu!$AY$6:$AY$1005="Direkomendasikan",ROW($6:$1005)-5),242))=""),"",IF(AND(COUNTIF(INDIRECT("K_"&amp;MATCH(INDEX(checklistPesertaKemenkeu!$J$6:$J$1005,SMALL(IF(checklistPesertaKemenkeu!$AY$6:$AY$1005="Direkomendasikan",ROW($6:$1005)-5),242)),BidangList,0)),INDEX(checklistPesertaKemenkeu!$M$6:$M$1005,SMALL(IF(checklistPesertaKemenkeu!$AY$6:$AY$1005="Direkomendasikan",ROW($6:$1005)-5),242)))&gt;0,COUNTIF(INDIRECT("'KERTAS KERJA'!K"&amp;(SMALL(IF(checklistPesertaKemenkeu!$AY$6:$AY$1005="Direkomendasikan",ROW($6:$1005)-5),242)+5)&amp;":O"&amp;(SMALL(IF(checklistPesertaKemenkeu!$AY$6:$AY$1005="Direkomendasikan",ROW($6:$1005)-5),242)+5)),INDEX(checklistPesertaKemenkeu!$M$6:$M$1005,SMALL(IF(checklistPesertaKemenkeu!$AY$6:$AY$1005="Direkomendasikan",ROW($6:$1005)-5),242)))=1),IFERROR(VLOOKUP(INDEX(checklistPesertaKemenkeu!$M$6:$M$1005,SMALL(IF(checklistPesertaKemenkeu!$AY$6:$AY$1005="Direkomendasikan",ROW($6:$1005)-5),242)),KotaKode,2,0),"-"),"")),"")</f>
        <v/>
      </c>
      <c r="J243" t="str">
        <f t="array" aca="1" ref="J243" ca="1">IFERROR(IF(OR(INDEX(checklistPesertaKemenkeu!$N$6:$N$1005,SMALL(IF(checklistPesertaKemenkeu!$AY$6:$AY$1005="Direkomendasikan",ROW($6:$1005)-5),242))="",INDEX(checklistPesertaKemenkeu!$J$6:$J$1005,SMALL(IF(checklistPesertaKemenkeu!$AY$6:$AY$1005="Direkomendasikan",ROW($6:$1005)-5),242))=""),"",IF(AND(COUNTIF(INDIRECT("K_"&amp;MATCH(INDEX(checklistPesertaKemenkeu!$J$6:$J$1005,SMALL(IF(checklistPesertaKemenkeu!$AY$6:$AY$1005="Direkomendasikan",ROW($6:$1005)-5),242)),BidangList,0)),INDEX(checklistPesertaKemenkeu!$N$6:$N$1005,SMALL(IF(checklistPesertaKemenkeu!$AY$6:$AY$1005="Direkomendasikan",ROW($6:$1005)-5),242)))&gt;0,COUNTIF(INDIRECT("'KERTAS KERJA'!K"&amp;(SMALL(IF(checklistPesertaKemenkeu!$AY$6:$AY$1005="Direkomendasikan",ROW($6:$1005)-5),242)+5)&amp;":O"&amp;(SMALL(IF(checklistPesertaKemenkeu!$AY$6:$AY$1005="Direkomendasikan",ROW($6:$1005)-5),242)+5)),INDEX(checklistPesertaKemenkeu!$N$6:$N$1005,SMALL(IF(checklistPesertaKemenkeu!$AY$6:$AY$1005="Direkomendasikan",ROW($6:$1005)-5),242)))=1),IFERROR(VLOOKUP(INDEX(checklistPesertaKemenkeu!$N$6:$N$1005,SMALL(IF(checklistPesertaKemenkeu!$AY$6:$AY$1005="Direkomendasikan",ROW($6:$1005)-5),242)),KotaKode,2,0),"-"),"")),"")</f>
        <v/>
      </c>
      <c r="K243" t="str">
        <f t="array" aca="1" ref="K243" ca="1">IFERROR(IF(OR(INDEX(checklistPesertaKemenkeu!$O$6:$O$1005,SMALL(IF(checklistPesertaKemenkeu!$AY$6:$AY$1005="Direkomendasikan",ROW($6:$1005)-5),242))="",INDEX(checklistPesertaKemenkeu!$J$6:$J$1005,SMALL(IF(checklistPesertaKemenkeu!$AY$6:$AY$1005="Direkomendasikan",ROW($6:$1005)-5),242))=""),"",IF(AND(COUNTIF(INDIRECT("K_"&amp;MATCH(INDEX(checklistPesertaKemenkeu!$J$6:$J$1005,SMALL(IF(checklistPesertaKemenkeu!$AY$6:$AY$1005="Direkomendasikan",ROW($6:$1005)-5),242)),BidangList,0)),INDEX(checklistPesertaKemenkeu!$O$6:$O$1005,SMALL(IF(checklistPesertaKemenkeu!$AY$6:$AY$1005="Direkomendasikan",ROW($6:$1005)-5),242)))&gt;0,COUNTIF(INDIRECT("'KERTAS KERJA'!K"&amp;(SMALL(IF(checklistPesertaKemenkeu!$AY$6:$AY$1005="Direkomendasikan",ROW($6:$1005)-5),242)+5)&amp;":O"&amp;(SMALL(IF(checklistPesertaKemenkeu!$AY$6:$AY$1005="Direkomendasikan",ROW($6:$1005)-5),242)+5)),INDEX(checklistPesertaKemenkeu!$O$6:$O$1005,SMALL(IF(checklistPesertaKemenkeu!$AY$6:$AY$1005="Direkomendasikan",ROW($6:$1005)-5),242)))=1),IFERROR(VLOOKUP(INDEX(checklistPesertaKemenkeu!$O$6:$O$1005,SMALL(IF(checklistPesertaKemenkeu!$AY$6:$AY$1005="Direkomendasikan",ROW($6:$1005)-5),242)),KotaKode,2,0),"-"),"")),"")</f>
        <v/>
      </c>
      <c r="L243" t="str">
        <f t="array" aca="1" ref="L243" ca="1">IFERROR(IF(OR(INDEX(checklistPesertaKemenkeu!$P$6:$P$1005,SMALL(IF(checklistPesertaKemenkeu!$AY$6:$AY$1005="Direkomendasikan",ROW($6:$1005)-5),242))="",INDEX(checklistPesertaKemenkeu!$J$6:$J$1005,SMALL(IF(checklistPesertaKemenkeu!$AY$6:$AY$1005="Direkomendasikan",ROW($6:$1005)-5),242))=""),"",IF(AND(COUNTIF(INDIRECT("K_"&amp;MATCH(INDEX(checklistPesertaKemenkeu!$J$6:$J$1005,SMALL(IF(checklistPesertaKemenkeu!$AY$6:$AY$1005="Direkomendasikan",ROW($6:$1005)-5),242)),BidangList,0)),INDEX(checklistPesertaKemenkeu!$P$6:$P$1005,SMALL(IF(checklistPesertaKemenkeu!$AY$6:$AY$1005="Direkomendasikan",ROW($6:$1005)-5),242)))&gt;0,COUNTIF(INDIRECT("'KERTAS KERJA'!K"&amp;(SMALL(IF(checklistPesertaKemenkeu!$AY$6:$AY$1005="Direkomendasikan",ROW($6:$1005)-5),242)+5)&amp;":O"&amp;(SMALL(IF(checklistPesertaKemenkeu!$AY$6:$AY$1005="Direkomendasikan",ROW($6:$1005)-5),242)+5)),INDEX(checklistPesertaKemenkeu!$P$6:$P$1005,SMALL(IF(checklistPesertaKemenkeu!$AY$6:$AY$1005="Direkomendasikan",ROW($6:$1005)-5),242)))=1),IFERROR(VLOOKUP(INDEX(checklistPesertaKemenkeu!$P$6:$P$1005,SMALL(IF(checklistPesertaKemenkeu!$AY$6:$AY$1005="Direkomendasikan",ROW($6:$1005)-5),242)),KotaKode,2,0),"-"),"")),"")</f>
        <v/>
      </c>
    </row>
    <row r="244" spans="1:12" ht="15" customHeight="1" x14ac:dyDescent="0.2">
      <c r="A244" t="str">
        <f t="shared" si="3"/>
        <v/>
      </c>
      <c r="B244" t="str">
        <v/>
      </c>
      <c r="C244" s="40" t="str">
        <f t="array" ref="C244">IFERROR(INDEX(checklistPesertaKemenkeu!$F$6:$F$1005,SMALL(IF(checklistPesertaKemenkeu!$AY$6:$AY$1005="Direkomendasikan",ROW($6:$1005)-5),243)),"")</f>
        <v/>
      </c>
      <c r="D244" t="str">
        <f t="array" ref="D244">IFERROR(INDEX(checklistPesertaKemenkeu!$G$6:$G$1005,SMALL(IF(checklistPesertaKemenkeu!$AY$6:$AY$1005="Direkomendasikan",ROW($6:$1005)-5),243)),"")</f>
        <v/>
      </c>
      <c r="E244" t="str">
        <f t="array" ref="E244">IFERROR(INDEX(checklistPesertaKemenkeu!$H$6:$H$1005,SMALL(IF(checklistPesertaKemenkeu!$AY$6:$AY$1005="Direkomendasikan",ROW($6:$1005)-5),243)),"")</f>
        <v/>
      </c>
      <c r="F244" t="str">
        <f t="array" ref="F244">IFERROR(INDEX(checklistPesertaKemenkeu!$I$6:$I$1005,SMALL(IF(checklistPesertaKemenkeu!$AY$6:$AY$1005="Direkomendasikan",ROW($6:$1005)-5),243)),"")</f>
        <v/>
      </c>
      <c r="G244" t="str">
        <f t="array" ref="G244">IFERROR(INDEX(checklistPesertaKemenkeu!$J$6:$J$1005,SMALL(IF(checklistPesertaKemenkeu!$AY$6:$AY$1005="Direkomendasikan",ROW($6:$1005)-5),243)),"")</f>
        <v/>
      </c>
      <c r="H244" t="str">
        <f t="array" aca="1" ref="H244" ca="1">IFERROR(IF(OR(INDEX(checklistPesertaKemenkeu!$L$6:$L$1005,SMALL(IF(checklistPesertaKemenkeu!$AY$6:$AY$1005="Direkomendasikan",ROW($6:$1005)-5),243))="",INDEX(checklistPesertaKemenkeu!$J$6:$J$1005,SMALL(IF(checklistPesertaKemenkeu!$AY$6:$AY$1005="Direkomendasikan",ROW($6:$1005)-5),243))=""),"",IF(AND(COUNTIF(INDIRECT("K_"&amp;MATCH(INDEX(checklistPesertaKemenkeu!$J$6:$J$1005,SMALL(IF(checklistPesertaKemenkeu!$AY$6:$AY$1005="Direkomendasikan",ROW($6:$1005)-5),243)),BidangList,0)),INDEX(checklistPesertaKemenkeu!$L$6:$L$1005,SMALL(IF(checklistPesertaKemenkeu!$AY$6:$AY$1005="Direkomendasikan",ROW($6:$1005)-5),243)))&gt;0,COUNTIF(INDIRECT("'KERTAS KERJA'!K"&amp;(SMALL(IF(checklistPesertaKemenkeu!$AY$6:$AY$1005="Direkomendasikan",ROW($6:$1005)-5),243)+5)&amp;":O"&amp;(SMALL(IF(checklistPesertaKemenkeu!$AY$6:$AY$1005="Direkomendasikan",ROW($6:$1005)-5),243)+5)),INDEX(checklistPesertaKemenkeu!$L$6:$L$1005,SMALL(IF(checklistPesertaKemenkeu!$AY$6:$AY$1005="Direkomendasikan",ROW($6:$1005)-5),243)))=1),IFERROR(VLOOKUP(INDEX(checklistPesertaKemenkeu!$L$6:$L$1005,SMALL(IF(checklistPesertaKemenkeu!$AY$6:$AY$1005="Direkomendasikan",ROW($6:$1005)-5),243)),KotaKode,2,0),"-"),"")),"")</f>
        <v/>
      </c>
      <c r="I244" t="str">
        <f t="array" aca="1" ref="I244" ca="1">IFERROR(IF(OR(INDEX(checklistPesertaKemenkeu!$M$6:$M$1005,SMALL(IF(checklistPesertaKemenkeu!$AY$6:$AY$1005="Direkomendasikan",ROW($6:$1005)-5),243))="",INDEX(checklistPesertaKemenkeu!$J$6:$J$1005,SMALL(IF(checklistPesertaKemenkeu!$AY$6:$AY$1005="Direkomendasikan",ROW($6:$1005)-5),243))=""),"",IF(AND(COUNTIF(INDIRECT("K_"&amp;MATCH(INDEX(checklistPesertaKemenkeu!$J$6:$J$1005,SMALL(IF(checklistPesertaKemenkeu!$AY$6:$AY$1005="Direkomendasikan",ROW($6:$1005)-5),243)),BidangList,0)),INDEX(checklistPesertaKemenkeu!$M$6:$M$1005,SMALL(IF(checklistPesertaKemenkeu!$AY$6:$AY$1005="Direkomendasikan",ROW($6:$1005)-5),243)))&gt;0,COUNTIF(INDIRECT("'KERTAS KERJA'!K"&amp;(SMALL(IF(checklistPesertaKemenkeu!$AY$6:$AY$1005="Direkomendasikan",ROW($6:$1005)-5),243)+5)&amp;":O"&amp;(SMALL(IF(checklistPesertaKemenkeu!$AY$6:$AY$1005="Direkomendasikan",ROW($6:$1005)-5),243)+5)),INDEX(checklistPesertaKemenkeu!$M$6:$M$1005,SMALL(IF(checklistPesertaKemenkeu!$AY$6:$AY$1005="Direkomendasikan",ROW($6:$1005)-5),243)))=1),IFERROR(VLOOKUP(INDEX(checklistPesertaKemenkeu!$M$6:$M$1005,SMALL(IF(checklistPesertaKemenkeu!$AY$6:$AY$1005="Direkomendasikan",ROW($6:$1005)-5),243)),KotaKode,2,0),"-"),"")),"")</f>
        <v/>
      </c>
      <c r="J244" t="str">
        <f t="array" aca="1" ref="J244" ca="1">IFERROR(IF(OR(INDEX(checklistPesertaKemenkeu!$N$6:$N$1005,SMALL(IF(checklistPesertaKemenkeu!$AY$6:$AY$1005="Direkomendasikan",ROW($6:$1005)-5),243))="",INDEX(checklistPesertaKemenkeu!$J$6:$J$1005,SMALL(IF(checklistPesertaKemenkeu!$AY$6:$AY$1005="Direkomendasikan",ROW($6:$1005)-5),243))=""),"",IF(AND(COUNTIF(INDIRECT("K_"&amp;MATCH(INDEX(checklistPesertaKemenkeu!$J$6:$J$1005,SMALL(IF(checklistPesertaKemenkeu!$AY$6:$AY$1005="Direkomendasikan",ROW($6:$1005)-5),243)),BidangList,0)),INDEX(checklistPesertaKemenkeu!$N$6:$N$1005,SMALL(IF(checklistPesertaKemenkeu!$AY$6:$AY$1005="Direkomendasikan",ROW($6:$1005)-5),243)))&gt;0,COUNTIF(INDIRECT("'KERTAS KERJA'!K"&amp;(SMALL(IF(checklistPesertaKemenkeu!$AY$6:$AY$1005="Direkomendasikan",ROW($6:$1005)-5),243)+5)&amp;":O"&amp;(SMALL(IF(checklistPesertaKemenkeu!$AY$6:$AY$1005="Direkomendasikan",ROW($6:$1005)-5),243)+5)),INDEX(checklistPesertaKemenkeu!$N$6:$N$1005,SMALL(IF(checklistPesertaKemenkeu!$AY$6:$AY$1005="Direkomendasikan",ROW($6:$1005)-5),243)))=1),IFERROR(VLOOKUP(INDEX(checklistPesertaKemenkeu!$N$6:$N$1005,SMALL(IF(checklistPesertaKemenkeu!$AY$6:$AY$1005="Direkomendasikan",ROW($6:$1005)-5),243)),KotaKode,2,0),"-"),"")),"")</f>
        <v/>
      </c>
      <c r="K244" t="str">
        <f t="array" aca="1" ref="K244" ca="1">IFERROR(IF(OR(INDEX(checklistPesertaKemenkeu!$O$6:$O$1005,SMALL(IF(checklistPesertaKemenkeu!$AY$6:$AY$1005="Direkomendasikan",ROW($6:$1005)-5),243))="",INDEX(checklistPesertaKemenkeu!$J$6:$J$1005,SMALL(IF(checklistPesertaKemenkeu!$AY$6:$AY$1005="Direkomendasikan",ROW($6:$1005)-5),243))=""),"",IF(AND(COUNTIF(INDIRECT("K_"&amp;MATCH(INDEX(checklistPesertaKemenkeu!$J$6:$J$1005,SMALL(IF(checklistPesertaKemenkeu!$AY$6:$AY$1005="Direkomendasikan",ROW($6:$1005)-5),243)),BidangList,0)),INDEX(checklistPesertaKemenkeu!$O$6:$O$1005,SMALL(IF(checklistPesertaKemenkeu!$AY$6:$AY$1005="Direkomendasikan",ROW($6:$1005)-5),243)))&gt;0,COUNTIF(INDIRECT("'KERTAS KERJA'!K"&amp;(SMALL(IF(checklistPesertaKemenkeu!$AY$6:$AY$1005="Direkomendasikan",ROW($6:$1005)-5),243)+5)&amp;":O"&amp;(SMALL(IF(checklistPesertaKemenkeu!$AY$6:$AY$1005="Direkomendasikan",ROW($6:$1005)-5),243)+5)),INDEX(checklistPesertaKemenkeu!$O$6:$O$1005,SMALL(IF(checklistPesertaKemenkeu!$AY$6:$AY$1005="Direkomendasikan",ROW($6:$1005)-5),243)))=1),IFERROR(VLOOKUP(INDEX(checklistPesertaKemenkeu!$O$6:$O$1005,SMALL(IF(checklistPesertaKemenkeu!$AY$6:$AY$1005="Direkomendasikan",ROW($6:$1005)-5),243)),KotaKode,2,0),"-"),"")),"")</f>
        <v/>
      </c>
      <c r="L244" t="str">
        <f t="array" aca="1" ref="L244" ca="1">IFERROR(IF(OR(INDEX(checklistPesertaKemenkeu!$P$6:$P$1005,SMALL(IF(checklistPesertaKemenkeu!$AY$6:$AY$1005="Direkomendasikan",ROW($6:$1005)-5),243))="",INDEX(checklistPesertaKemenkeu!$J$6:$J$1005,SMALL(IF(checklistPesertaKemenkeu!$AY$6:$AY$1005="Direkomendasikan",ROW($6:$1005)-5),243))=""),"",IF(AND(COUNTIF(INDIRECT("K_"&amp;MATCH(INDEX(checklistPesertaKemenkeu!$J$6:$J$1005,SMALL(IF(checklistPesertaKemenkeu!$AY$6:$AY$1005="Direkomendasikan",ROW($6:$1005)-5),243)),BidangList,0)),INDEX(checklistPesertaKemenkeu!$P$6:$P$1005,SMALL(IF(checklistPesertaKemenkeu!$AY$6:$AY$1005="Direkomendasikan",ROW($6:$1005)-5),243)))&gt;0,COUNTIF(INDIRECT("'KERTAS KERJA'!K"&amp;(SMALL(IF(checklistPesertaKemenkeu!$AY$6:$AY$1005="Direkomendasikan",ROW($6:$1005)-5),243)+5)&amp;":O"&amp;(SMALL(IF(checklistPesertaKemenkeu!$AY$6:$AY$1005="Direkomendasikan",ROW($6:$1005)-5),243)+5)),INDEX(checklistPesertaKemenkeu!$P$6:$P$1005,SMALL(IF(checklistPesertaKemenkeu!$AY$6:$AY$1005="Direkomendasikan",ROW($6:$1005)-5),243)))=1),IFERROR(VLOOKUP(INDEX(checklistPesertaKemenkeu!$P$6:$P$1005,SMALL(IF(checklistPesertaKemenkeu!$AY$6:$AY$1005="Direkomendasikan",ROW($6:$1005)-5),243)),KotaKode,2,0),"-"),"")),"")</f>
        <v/>
      </c>
    </row>
    <row r="245" spans="1:12" ht="15" customHeight="1" x14ac:dyDescent="0.2">
      <c r="A245" t="str">
        <f t="shared" si="3"/>
        <v/>
      </c>
      <c r="B245" t="str">
        <v/>
      </c>
      <c r="C245" s="40" t="str">
        <f t="array" ref="C245">IFERROR(INDEX(checklistPesertaKemenkeu!$F$6:$F$1005,SMALL(IF(checklistPesertaKemenkeu!$AY$6:$AY$1005="Direkomendasikan",ROW($6:$1005)-5),244)),"")</f>
        <v/>
      </c>
      <c r="D245" t="str">
        <f t="array" ref="D245">IFERROR(INDEX(checklistPesertaKemenkeu!$G$6:$G$1005,SMALL(IF(checklistPesertaKemenkeu!$AY$6:$AY$1005="Direkomendasikan",ROW($6:$1005)-5),244)),"")</f>
        <v/>
      </c>
      <c r="E245" t="str">
        <f t="array" ref="E245">IFERROR(INDEX(checklistPesertaKemenkeu!$H$6:$H$1005,SMALL(IF(checklistPesertaKemenkeu!$AY$6:$AY$1005="Direkomendasikan",ROW($6:$1005)-5),244)),"")</f>
        <v/>
      </c>
      <c r="F245" t="str">
        <f t="array" ref="F245">IFERROR(INDEX(checklistPesertaKemenkeu!$I$6:$I$1005,SMALL(IF(checklistPesertaKemenkeu!$AY$6:$AY$1005="Direkomendasikan",ROW($6:$1005)-5),244)),"")</f>
        <v/>
      </c>
      <c r="G245" t="str">
        <f t="array" ref="G245">IFERROR(INDEX(checklistPesertaKemenkeu!$J$6:$J$1005,SMALL(IF(checklistPesertaKemenkeu!$AY$6:$AY$1005="Direkomendasikan",ROW($6:$1005)-5),244)),"")</f>
        <v/>
      </c>
      <c r="H245" t="str">
        <f t="array" aca="1" ref="H245" ca="1">IFERROR(IF(OR(INDEX(checklistPesertaKemenkeu!$L$6:$L$1005,SMALL(IF(checklistPesertaKemenkeu!$AY$6:$AY$1005="Direkomendasikan",ROW($6:$1005)-5),244))="",INDEX(checklistPesertaKemenkeu!$J$6:$J$1005,SMALL(IF(checklistPesertaKemenkeu!$AY$6:$AY$1005="Direkomendasikan",ROW($6:$1005)-5),244))=""),"",IF(AND(COUNTIF(INDIRECT("K_"&amp;MATCH(INDEX(checklistPesertaKemenkeu!$J$6:$J$1005,SMALL(IF(checklistPesertaKemenkeu!$AY$6:$AY$1005="Direkomendasikan",ROW($6:$1005)-5),244)),BidangList,0)),INDEX(checklistPesertaKemenkeu!$L$6:$L$1005,SMALL(IF(checklistPesertaKemenkeu!$AY$6:$AY$1005="Direkomendasikan",ROW($6:$1005)-5),244)))&gt;0,COUNTIF(INDIRECT("'KERTAS KERJA'!K"&amp;(SMALL(IF(checklistPesertaKemenkeu!$AY$6:$AY$1005="Direkomendasikan",ROW($6:$1005)-5),244)+5)&amp;":O"&amp;(SMALL(IF(checklistPesertaKemenkeu!$AY$6:$AY$1005="Direkomendasikan",ROW($6:$1005)-5),244)+5)),INDEX(checklistPesertaKemenkeu!$L$6:$L$1005,SMALL(IF(checklistPesertaKemenkeu!$AY$6:$AY$1005="Direkomendasikan",ROW($6:$1005)-5),244)))=1),IFERROR(VLOOKUP(INDEX(checklistPesertaKemenkeu!$L$6:$L$1005,SMALL(IF(checklistPesertaKemenkeu!$AY$6:$AY$1005="Direkomendasikan",ROW($6:$1005)-5),244)),KotaKode,2,0),"-"),"")),"")</f>
        <v/>
      </c>
      <c r="I245" t="str">
        <f t="array" aca="1" ref="I245" ca="1">IFERROR(IF(OR(INDEX(checklistPesertaKemenkeu!$M$6:$M$1005,SMALL(IF(checklistPesertaKemenkeu!$AY$6:$AY$1005="Direkomendasikan",ROW($6:$1005)-5),244))="",INDEX(checklistPesertaKemenkeu!$J$6:$J$1005,SMALL(IF(checklistPesertaKemenkeu!$AY$6:$AY$1005="Direkomendasikan",ROW($6:$1005)-5),244))=""),"",IF(AND(COUNTIF(INDIRECT("K_"&amp;MATCH(INDEX(checklistPesertaKemenkeu!$J$6:$J$1005,SMALL(IF(checklistPesertaKemenkeu!$AY$6:$AY$1005="Direkomendasikan",ROW($6:$1005)-5),244)),BidangList,0)),INDEX(checklistPesertaKemenkeu!$M$6:$M$1005,SMALL(IF(checklistPesertaKemenkeu!$AY$6:$AY$1005="Direkomendasikan",ROW($6:$1005)-5),244)))&gt;0,COUNTIF(INDIRECT("'KERTAS KERJA'!K"&amp;(SMALL(IF(checklistPesertaKemenkeu!$AY$6:$AY$1005="Direkomendasikan",ROW($6:$1005)-5),244)+5)&amp;":O"&amp;(SMALL(IF(checklistPesertaKemenkeu!$AY$6:$AY$1005="Direkomendasikan",ROW($6:$1005)-5),244)+5)),INDEX(checklistPesertaKemenkeu!$M$6:$M$1005,SMALL(IF(checklistPesertaKemenkeu!$AY$6:$AY$1005="Direkomendasikan",ROW($6:$1005)-5),244)))=1),IFERROR(VLOOKUP(INDEX(checklistPesertaKemenkeu!$M$6:$M$1005,SMALL(IF(checklistPesertaKemenkeu!$AY$6:$AY$1005="Direkomendasikan",ROW($6:$1005)-5),244)),KotaKode,2,0),"-"),"")),"")</f>
        <v/>
      </c>
      <c r="J245" t="str">
        <f t="array" aca="1" ref="J245" ca="1">IFERROR(IF(OR(INDEX(checklistPesertaKemenkeu!$N$6:$N$1005,SMALL(IF(checklistPesertaKemenkeu!$AY$6:$AY$1005="Direkomendasikan",ROW($6:$1005)-5),244))="",INDEX(checklistPesertaKemenkeu!$J$6:$J$1005,SMALL(IF(checklistPesertaKemenkeu!$AY$6:$AY$1005="Direkomendasikan",ROW($6:$1005)-5),244))=""),"",IF(AND(COUNTIF(INDIRECT("K_"&amp;MATCH(INDEX(checklistPesertaKemenkeu!$J$6:$J$1005,SMALL(IF(checklistPesertaKemenkeu!$AY$6:$AY$1005="Direkomendasikan",ROW($6:$1005)-5),244)),BidangList,0)),INDEX(checklistPesertaKemenkeu!$N$6:$N$1005,SMALL(IF(checklistPesertaKemenkeu!$AY$6:$AY$1005="Direkomendasikan",ROW($6:$1005)-5),244)))&gt;0,COUNTIF(INDIRECT("'KERTAS KERJA'!K"&amp;(SMALL(IF(checklistPesertaKemenkeu!$AY$6:$AY$1005="Direkomendasikan",ROW($6:$1005)-5),244)+5)&amp;":O"&amp;(SMALL(IF(checklistPesertaKemenkeu!$AY$6:$AY$1005="Direkomendasikan",ROW($6:$1005)-5),244)+5)),INDEX(checklistPesertaKemenkeu!$N$6:$N$1005,SMALL(IF(checklistPesertaKemenkeu!$AY$6:$AY$1005="Direkomendasikan",ROW($6:$1005)-5),244)))=1),IFERROR(VLOOKUP(INDEX(checklistPesertaKemenkeu!$N$6:$N$1005,SMALL(IF(checklistPesertaKemenkeu!$AY$6:$AY$1005="Direkomendasikan",ROW($6:$1005)-5),244)),KotaKode,2,0),"-"),"")),"")</f>
        <v/>
      </c>
      <c r="K245" t="str">
        <f t="array" aca="1" ref="K245" ca="1">IFERROR(IF(OR(INDEX(checklistPesertaKemenkeu!$O$6:$O$1005,SMALL(IF(checklistPesertaKemenkeu!$AY$6:$AY$1005="Direkomendasikan",ROW($6:$1005)-5),244))="",INDEX(checklistPesertaKemenkeu!$J$6:$J$1005,SMALL(IF(checklistPesertaKemenkeu!$AY$6:$AY$1005="Direkomendasikan",ROW($6:$1005)-5),244))=""),"",IF(AND(COUNTIF(INDIRECT("K_"&amp;MATCH(INDEX(checklistPesertaKemenkeu!$J$6:$J$1005,SMALL(IF(checklistPesertaKemenkeu!$AY$6:$AY$1005="Direkomendasikan",ROW($6:$1005)-5),244)),BidangList,0)),INDEX(checklistPesertaKemenkeu!$O$6:$O$1005,SMALL(IF(checklistPesertaKemenkeu!$AY$6:$AY$1005="Direkomendasikan",ROW($6:$1005)-5),244)))&gt;0,COUNTIF(INDIRECT("'KERTAS KERJA'!K"&amp;(SMALL(IF(checklistPesertaKemenkeu!$AY$6:$AY$1005="Direkomendasikan",ROW($6:$1005)-5),244)+5)&amp;":O"&amp;(SMALL(IF(checklistPesertaKemenkeu!$AY$6:$AY$1005="Direkomendasikan",ROW($6:$1005)-5),244)+5)),INDEX(checklistPesertaKemenkeu!$O$6:$O$1005,SMALL(IF(checklistPesertaKemenkeu!$AY$6:$AY$1005="Direkomendasikan",ROW($6:$1005)-5),244)))=1),IFERROR(VLOOKUP(INDEX(checklistPesertaKemenkeu!$O$6:$O$1005,SMALL(IF(checklistPesertaKemenkeu!$AY$6:$AY$1005="Direkomendasikan",ROW($6:$1005)-5),244)),KotaKode,2,0),"-"),"")),"")</f>
        <v/>
      </c>
      <c r="L245" t="str">
        <f t="array" aca="1" ref="L245" ca="1">IFERROR(IF(OR(INDEX(checklistPesertaKemenkeu!$P$6:$P$1005,SMALL(IF(checklistPesertaKemenkeu!$AY$6:$AY$1005="Direkomendasikan",ROW($6:$1005)-5),244))="",INDEX(checklistPesertaKemenkeu!$J$6:$J$1005,SMALL(IF(checklistPesertaKemenkeu!$AY$6:$AY$1005="Direkomendasikan",ROW($6:$1005)-5),244))=""),"",IF(AND(COUNTIF(INDIRECT("K_"&amp;MATCH(INDEX(checklistPesertaKemenkeu!$J$6:$J$1005,SMALL(IF(checklistPesertaKemenkeu!$AY$6:$AY$1005="Direkomendasikan",ROW($6:$1005)-5),244)),BidangList,0)),INDEX(checklistPesertaKemenkeu!$P$6:$P$1005,SMALL(IF(checklistPesertaKemenkeu!$AY$6:$AY$1005="Direkomendasikan",ROW($6:$1005)-5),244)))&gt;0,COUNTIF(INDIRECT("'KERTAS KERJA'!K"&amp;(SMALL(IF(checklistPesertaKemenkeu!$AY$6:$AY$1005="Direkomendasikan",ROW($6:$1005)-5),244)+5)&amp;":O"&amp;(SMALL(IF(checklistPesertaKemenkeu!$AY$6:$AY$1005="Direkomendasikan",ROW($6:$1005)-5),244)+5)),INDEX(checklistPesertaKemenkeu!$P$6:$P$1005,SMALL(IF(checklistPesertaKemenkeu!$AY$6:$AY$1005="Direkomendasikan",ROW($6:$1005)-5),244)))=1),IFERROR(VLOOKUP(INDEX(checklistPesertaKemenkeu!$P$6:$P$1005,SMALL(IF(checklistPesertaKemenkeu!$AY$6:$AY$1005="Direkomendasikan",ROW($6:$1005)-5),244)),KotaKode,2,0),"-"),"")),"")</f>
        <v/>
      </c>
    </row>
    <row r="246" spans="1:12" ht="15" customHeight="1" x14ac:dyDescent="0.2">
      <c r="A246" t="str">
        <f t="shared" si="3"/>
        <v/>
      </c>
      <c r="B246" t="str">
        <v/>
      </c>
      <c r="C246" s="40" t="str">
        <f t="array" ref="C246">IFERROR(INDEX(checklistPesertaKemenkeu!$F$6:$F$1005,SMALL(IF(checklistPesertaKemenkeu!$AY$6:$AY$1005="Direkomendasikan",ROW($6:$1005)-5),245)),"")</f>
        <v/>
      </c>
      <c r="D246" t="str">
        <f t="array" ref="D246">IFERROR(INDEX(checklistPesertaKemenkeu!$G$6:$G$1005,SMALL(IF(checklistPesertaKemenkeu!$AY$6:$AY$1005="Direkomendasikan",ROW($6:$1005)-5),245)),"")</f>
        <v/>
      </c>
      <c r="E246" t="str">
        <f t="array" ref="E246">IFERROR(INDEX(checklistPesertaKemenkeu!$H$6:$H$1005,SMALL(IF(checklistPesertaKemenkeu!$AY$6:$AY$1005="Direkomendasikan",ROW($6:$1005)-5),245)),"")</f>
        <v/>
      </c>
      <c r="F246" t="str">
        <f t="array" ref="F246">IFERROR(INDEX(checklistPesertaKemenkeu!$I$6:$I$1005,SMALL(IF(checklistPesertaKemenkeu!$AY$6:$AY$1005="Direkomendasikan",ROW($6:$1005)-5),245)),"")</f>
        <v/>
      </c>
      <c r="G246" t="str">
        <f t="array" ref="G246">IFERROR(INDEX(checklistPesertaKemenkeu!$J$6:$J$1005,SMALL(IF(checklistPesertaKemenkeu!$AY$6:$AY$1005="Direkomendasikan",ROW($6:$1005)-5),245)),"")</f>
        <v/>
      </c>
      <c r="H246" t="str">
        <f t="array" aca="1" ref="H246" ca="1">IFERROR(IF(OR(INDEX(checklistPesertaKemenkeu!$L$6:$L$1005,SMALL(IF(checklistPesertaKemenkeu!$AY$6:$AY$1005="Direkomendasikan",ROW($6:$1005)-5),245))="",INDEX(checklistPesertaKemenkeu!$J$6:$J$1005,SMALL(IF(checklistPesertaKemenkeu!$AY$6:$AY$1005="Direkomendasikan",ROW($6:$1005)-5),245))=""),"",IF(AND(COUNTIF(INDIRECT("K_"&amp;MATCH(INDEX(checklistPesertaKemenkeu!$J$6:$J$1005,SMALL(IF(checklistPesertaKemenkeu!$AY$6:$AY$1005="Direkomendasikan",ROW($6:$1005)-5),245)),BidangList,0)),INDEX(checklistPesertaKemenkeu!$L$6:$L$1005,SMALL(IF(checklistPesertaKemenkeu!$AY$6:$AY$1005="Direkomendasikan",ROW($6:$1005)-5),245)))&gt;0,COUNTIF(INDIRECT("'KERTAS KERJA'!K"&amp;(SMALL(IF(checklistPesertaKemenkeu!$AY$6:$AY$1005="Direkomendasikan",ROW($6:$1005)-5),245)+5)&amp;":O"&amp;(SMALL(IF(checklistPesertaKemenkeu!$AY$6:$AY$1005="Direkomendasikan",ROW($6:$1005)-5),245)+5)),INDEX(checklistPesertaKemenkeu!$L$6:$L$1005,SMALL(IF(checklistPesertaKemenkeu!$AY$6:$AY$1005="Direkomendasikan",ROW($6:$1005)-5),245)))=1),IFERROR(VLOOKUP(INDEX(checklistPesertaKemenkeu!$L$6:$L$1005,SMALL(IF(checklistPesertaKemenkeu!$AY$6:$AY$1005="Direkomendasikan",ROW($6:$1005)-5),245)),KotaKode,2,0),"-"),"")),"")</f>
        <v/>
      </c>
      <c r="I246" t="str">
        <f t="array" aca="1" ref="I246" ca="1">IFERROR(IF(OR(INDEX(checklistPesertaKemenkeu!$M$6:$M$1005,SMALL(IF(checklistPesertaKemenkeu!$AY$6:$AY$1005="Direkomendasikan",ROW($6:$1005)-5),245))="",INDEX(checklistPesertaKemenkeu!$J$6:$J$1005,SMALL(IF(checklistPesertaKemenkeu!$AY$6:$AY$1005="Direkomendasikan",ROW($6:$1005)-5),245))=""),"",IF(AND(COUNTIF(INDIRECT("K_"&amp;MATCH(INDEX(checklistPesertaKemenkeu!$J$6:$J$1005,SMALL(IF(checklistPesertaKemenkeu!$AY$6:$AY$1005="Direkomendasikan",ROW($6:$1005)-5),245)),BidangList,0)),INDEX(checklistPesertaKemenkeu!$M$6:$M$1005,SMALL(IF(checklistPesertaKemenkeu!$AY$6:$AY$1005="Direkomendasikan",ROW($6:$1005)-5),245)))&gt;0,COUNTIF(INDIRECT("'KERTAS KERJA'!K"&amp;(SMALL(IF(checklistPesertaKemenkeu!$AY$6:$AY$1005="Direkomendasikan",ROW($6:$1005)-5),245)+5)&amp;":O"&amp;(SMALL(IF(checklistPesertaKemenkeu!$AY$6:$AY$1005="Direkomendasikan",ROW($6:$1005)-5),245)+5)),INDEX(checklistPesertaKemenkeu!$M$6:$M$1005,SMALL(IF(checklistPesertaKemenkeu!$AY$6:$AY$1005="Direkomendasikan",ROW($6:$1005)-5),245)))=1),IFERROR(VLOOKUP(INDEX(checklistPesertaKemenkeu!$M$6:$M$1005,SMALL(IF(checklistPesertaKemenkeu!$AY$6:$AY$1005="Direkomendasikan",ROW($6:$1005)-5),245)),KotaKode,2,0),"-"),"")),"")</f>
        <v/>
      </c>
      <c r="J246" t="str">
        <f t="array" aca="1" ref="J246" ca="1">IFERROR(IF(OR(INDEX(checklistPesertaKemenkeu!$N$6:$N$1005,SMALL(IF(checklistPesertaKemenkeu!$AY$6:$AY$1005="Direkomendasikan",ROW($6:$1005)-5),245))="",INDEX(checklistPesertaKemenkeu!$J$6:$J$1005,SMALL(IF(checklistPesertaKemenkeu!$AY$6:$AY$1005="Direkomendasikan",ROW($6:$1005)-5),245))=""),"",IF(AND(COUNTIF(INDIRECT("K_"&amp;MATCH(INDEX(checklistPesertaKemenkeu!$J$6:$J$1005,SMALL(IF(checklistPesertaKemenkeu!$AY$6:$AY$1005="Direkomendasikan",ROW($6:$1005)-5),245)),BidangList,0)),INDEX(checklistPesertaKemenkeu!$N$6:$N$1005,SMALL(IF(checklistPesertaKemenkeu!$AY$6:$AY$1005="Direkomendasikan",ROW($6:$1005)-5),245)))&gt;0,COUNTIF(INDIRECT("'KERTAS KERJA'!K"&amp;(SMALL(IF(checklistPesertaKemenkeu!$AY$6:$AY$1005="Direkomendasikan",ROW($6:$1005)-5),245)+5)&amp;":O"&amp;(SMALL(IF(checklistPesertaKemenkeu!$AY$6:$AY$1005="Direkomendasikan",ROW($6:$1005)-5),245)+5)),INDEX(checklistPesertaKemenkeu!$N$6:$N$1005,SMALL(IF(checklistPesertaKemenkeu!$AY$6:$AY$1005="Direkomendasikan",ROW($6:$1005)-5),245)))=1),IFERROR(VLOOKUP(INDEX(checklistPesertaKemenkeu!$N$6:$N$1005,SMALL(IF(checklistPesertaKemenkeu!$AY$6:$AY$1005="Direkomendasikan",ROW($6:$1005)-5),245)),KotaKode,2,0),"-"),"")),"")</f>
        <v/>
      </c>
      <c r="K246" t="str">
        <f t="array" aca="1" ref="K246" ca="1">IFERROR(IF(OR(INDEX(checklistPesertaKemenkeu!$O$6:$O$1005,SMALL(IF(checklistPesertaKemenkeu!$AY$6:$AY$1005="Direkomendasikan",ROW($6:$1005)-5),245))="",INDEX(checklistPesertaKemenkeu!$J$6:$J$1005,SMALL(IF(checklistPesertaKemenkeu!$AY$6:$AY$1005="Direkomendasikan",ROW($6:$1005)-5),245))=""),"",IF(AND(COUNTIF(INDIRECT("K_"&amp;MATCH(INDEX(checklistPesertaKemenkeu!$J$6:$J$1005,SMALL(IF(checklistPesertaKemenkeu!$AY$6:$AY$1005="Direkomendasikan",ROW($6:$1005)-5),245)),BidangList,0)),INDEX(checklistPesertaKemenkeu!$O$6:$O$1005,SMALL(IF(checklistPesertaKemenkeu!$AY$6:$AY$1005="Direkomendasikan",ROW($6:$1005)-5),245)))&gt;0,COUNTIF(INDIRECT("'KERTAS KERJA'!K"&amp;(SMALL(IF(checklistPesertaKemenkeu!$AY$6:$AY$1005="Direkomendasikan",ROW($6:$1005)-5),245)+5)&amp;":O"&amp;(SMALL(IF(checklistPesertaKemenkeu!$AY$6:$AY$1005="Direkomendasikan",ROW($6:$1005)-5),245)+5)),INDEX(checklistPesertaKemenkeu!$O$6:$O$1005,SMALL(IF(checklistPesertaKemenkeu!$AY$6:$AY$1005="Direkomendasikan",ROW($6:$1005)-5),245)))=1),IFERROR(VLOOKUP(INDEX(checklistPesertaKemenkeu!$O$6:$O$1005,SMALL(IF(checklistPesertaKemenkeu!$AY$6:$AY$1005="Direkomendasikan",ROW($6:$1005)-5),245)),KotaKode,2,0),"-"),"")),"")</f>
        <v/>
      </c>
      <c r="L246" t="str">
        <f t="array" aca="1" ref="L246" ca="1">IFERROR(IF(OR(INDEX(checklistPesertaKemenkeu!$P$6:$P$1005,SMALL(IF(checklistPesertaKemenkeu!$AY$6:$AY$1005="Direkomendasikan",ROW($6:$1005)-5),245))="",INDEX(checklistPesertaKemenkeu!$J$6:$J$1005,SMALL(IF(checklistPesertaKemenkeu!$AY$6:$AY$1005="Direkomendasikan",ROW($6:$1005)-5),245))=""),"",IF(AND(COUNTIF(INDIRECT("K_"&amp;MATCH(INDEX(checklistPesertaKemenkeu!$J$6:$J$1005,SMALL(IF(checklistPesertaKemenkeu!$AY$6:$AY$1005="Direkomendasikan",ROW($6:$1005)-5),245)),BidangList,0)),INDEX(checklistPesertaKemenkeu!$P$6:$P$1005,SMALL(IF(checklistPesertaKemenkeu!$AY$6:$AY$1005="Direkomendasikan",ROW($6:$1005)-5),245)))&gt;0,COUNTIF(INDIRECT("'KERTAS KERJA'!K"&amp;(SMALL(IF(checklistPesertaKemenkeu!$AY$6:$AY$1005="Direkomendasikan",ROW($6:$1005)-5),245)+5)&amp;":O"&amp;(SMALL(IF(checklistPesertaKemenkeu!$AY$6:$AY$1005="Direkomendasikan",ROW($6:$1005)-5),245)+5)),INDEX(checklistPesertaKemenkeu!$P$6:$P$1005,SMALL(IF(checklistPesertaKemenkeu!$AY$6:$AY$1005="Direkomendasikan",ROW($6:$1005)-5),245)))=1),IFERROR(VLOOKUP(INDEX(checklistPesertaKemenkeu!$P$6:$P$1005,SMALL(IF(checklistPesertaKemenkeu!$AY$6:$AY$1005="Direkomendasikan",ROW($6:$1005)-5),245)),KotaKode,2,0),"-"),"")),"")</f>
        <v/>
      </c>
    </row>
    <row r="247" spans="1:12" ht="15" customHeight="1" x14ac:dyDescent="0.2">
      <c r="A247" t="str">
        <f t="shared" si="3"/>
        <v/>
      </c>
      <c r="B247" t="str">
        <v/>
      </c>
      <c r="C247" s="40" t="str">
        <f t="array" ref="C247">IFERROR(INDEX(checklistPesertaKemenkeu!$F$6:$F$1005,SMALL(IF(checklistPesertaKemenkeu!$AY$6:$AY$1005="Direkomendasikan",ROW($6:$1005)-5),246)),"")</f>
        <v/>
      </c>
      <c r="D247" t="str">
        <f t="array" ref="D247">IFERROR(INDEX(checklistPesertaKemenkeu!$G$6:$G$1005,SMALL(IF(checklistPesertaKemenkeu!$AY$6:$AY$1005="Direkomendasikan",ROW($6:$1005)-5),246)),"")</f>
        <v/>
      </c>
      <c r="E247" t="str">
        <f t="array" ref="E247">IFERROR(INDEX(checklistPesertaKemenkeu!$H$6:$H$1005,SMALL(IF(checklistPesertaKemenkeu!$AY$6:$AY$1005="Direkomendasikan",ROW($6:$1005)-5),246)),"")</f>
        <v/>
      </c>
      <c r="F247" t="str">
        <f t="array" ref="F247">IFERROR(INDEX(checklistPesertaKemenkeu!$I$6:$I$1005,SMALL(IF(checklistPesertaKemenkeu!$AY$6:$AY$1005="Direkomendasikan",ROW($6:$1005)-5),246)),"")</f>
        <v/>
      </c>
      <c r="G247" t="str">
        <f t="array" ref="G247">IFERROR(INDEX(checklistPesertaKemenkeu!$J$6:$J$1005,SMALL(IF(checklistPesertaKemenkeu!$AY$6:$AY$1005="Direkomendasikan",ROW($6:$1005)-5),246)),"")</f>
        <v/>
      </c>
      <c r="H247" t="str">
        <f t="array" aca="1" ref="H247" ca="1">IFERROR(IF(OR(INDEX(checklistPesertaKemenkeu!$L$6:$L$1005,SMALL(IF(checklistPesertaKemenkeu!$AY$6:$AY$1005="Direkomendasikan",ROW($6:$1005)-5),246))="",INDEX(checklistPesertaKemenkeu!$J$6:$J$1005,SMALL(IF(checklistPesertaKemenkeu!$AY$6:$AY$1005="Direkomendasikan",ROW($6:$1005)-5),246))=""),"",IF(AND(COUNTIF(INDIRECT("K_"&amp;MATCH(INDEX(checklistPesertaKemenkeu!$J$6:$J$1005,SMALL(IF(checklistPesertaKemenkeu!$AY$6:$AY$1005="Direkomendasikan",ROW($6:$1005)-5),246)),BidangList,0)),INDEX(checklistPesertaKemenkeu!$L$6:$L$1005,SMALL(IF(checklistPesertaKemenkeu!$AY$6:$AY$1005="Direkomendasikan",ROW($6:$1005)-5),246)))&gt;0,COUNTIF(INDIRECT("'KERTAS KERJA'!K"&amp;(SMALL(IF(checklistPesertaKemenkeu!$AY$6:$AY$1005="Direkomendasikan",ROW($6:$1005)-5),246)+5)&amp;":O"&amp;(SMALL(IF(checklistPesertaKemenkeu!$AY$6:$AY$1005="Direkomendasikan",ROW($6:$1005)-5),246)+5)),INDEX(checklistPesertaKemenkeu!$L$6:$L$1005,SMALL(IF(checklistPesertaKemenkeu!$AY$6:$AY$1005="Direkomendasikan",ROW($6:$1005)-5),246)))=1),IFERROR(VLOOKUP(INDEX(checklistPesertaKemenkeu!$L$6:$L$1005,SMALL(IF(checklistPesertaKemenkeu!$AY$6:$AY$1005="Direkomendasikan",ROW($6:$1005)-5),246)),KotaKode,2,0),"-"),"")),"")</f>
        <v/>
      </c>
      <c r="I247" t="str">
        <f t="array" aca="1" ref="I247" ca="1">IFERROR(IF(OR(INDEX(checklistPesertaKemenkeu!$M$6:$M$1005,SMALL(IF(checklistPesertaKemenkeu!$AY$6:$AY$1005="Direkomendasikan",ROW($6:$1005)-5),246))="",INDEX(checklistPesertaKemenkeu!$J$6:$J$1005,SMALL(IF(checklistPesertaKemenkeu!$AY$6:$AY$1005="Direkomendasikan",ROW($6:$1005)-5),246))=""),"",IF(AND(COUNTIF(INDIRECT("K_"&amp;MATCH(INDEX(checklistPesertaKemenkeu!$J$6:$J$1005,SMALL(IF(checklistPesertaKemenkeu!$AY$6:$AY$1005="Direkomendasikan",ROW($6:$1005)-5),246)),BidangList,0)),INDEX(checklistPesertaKemenkeu!$M$6:$M$1005,SMALL(IF(checklistPesertaKemenkeu!$AY$6:$AY$1005="Direkomendasikan",ROW($6:$1005)-5),246)))&gt;0,COUNTIF(INDIRECT("'KERTAS KERJA'!K"&amp;(SMALL(IF(checklistPesertaKemenkeu!$AY$6:$AY$1005="Direkomendasikan",ROW($6:$1005)-5),246)+5)&amp;":O"&amp;(SMALL(IF(checklistPesertaKemenkeu!$AY$6:$AY$1005="Direkomendasikan",ROW($6:$1005)-5),246)+5)),INDEX(checklistPesertaKemenkeu!$M$6:$M$1005,SMALL(IF(checklistPesertaKemenkeu!$AY$6:$AY$1005="Direkomendasikan",ROW($6:$1005)-5),246)))=1),IFERROR(VLOOKUP(INDEX(checklistPesertaKemenkeu!$M$6:$M$1005,SMALL(IF(checklistPesertaKemenkeu!$AY$6:$AY$1005="Direkomendasikan",ROW($6:$1005)-5),246)),KotaKode,2,0),"-"),"")),"")</f>
        <v/>
      </c>
      <c r="J247" t="str">
        <f t="array" aca="1" ref="J247" ca="1">IFERROR(IF(OR(INDEX(checklistPesertaKemenkeu!$N$6:$N$1005,SMALL(IF(checklistPesertaKemenkeu!$AY$6:$AY$1005="Direkomendasikan",ROW($6:$1005)-5),246))="",INDEX(checklistPesertaKemenkeu!$J$6:$J$1005,SMALL(IF(checklistPesertaKemenkeu!$AY$6:$AY$1005="Direkomendasikan",ROW($6:$1005)-5),246))=""),"",IF(AND(COUNTIF(INDIRECT("K_"&amp;MATCH(INDEX(checklistPesertaKemenkeu!$J$6:$J$1005,SMALL(IF(checklistPesertaKemenkeu!$AY$6:$AY$1005="Direkomendasikan",ROW($6:$1005)-5),246)),BidangList,0)),INDEX(checklistPesertaKemenkeu!$N$6:$N$1005,SMALL(IF(checklistPesertaKemenkeu!$AY$6:$AY$1005="Direkomendasikan",ROW($6:$1005)-5),246)))&gt;0,COUNTIF(INDIRECT("'KERTAS KERJA'!K"&amp;(SMALL(IF(checklistPesertaKemenkeu!$AY$6:$AY$1005="Direkomendasikan",ROW($6:$1005)-5),246)+5)&amp;":O"&amp;(SMALL(IF(checklistPesertaKemenkeu!$AY$6:$AY$1005="Direkomendasikan",ROW($6:$1005)-5),246)+5)),INDEX(checklistPesertaKemenkeu!$N$6:$N$1005,SMALL(IF(checklistPesertaKemenkeu!$AY$6:$AY$1005="Direkomendasikan",ROW($6:$1005)-5),246)))=1),IFERROR(VLOOKUP(INDEX(checklistPesertaKemenkeu!$N$6:$N$1005,SMALL(IF(checklistPesertaKemenkeu!$AY$6:$AY$1005="Direkomendasikan",ROW($6:$1005)-5),246)),KotaKode,2,0),"-"),"")),"")</f>
        <v/>
      </c>
      <c r="K247" t="str">
        <f t="array" aca="1" ref="K247" ca="1">IFERROR(IF(OR(INDEX(checklistPesertaKemenkeu!$O$6:$O$1005,SMALL(IF(checklistPesertaKemenkeu!$AY$6:$AY$1005="Direkomendasikan",ROW($6:$1005)-5),246))="",INDEX(checklistPesertaKemenkeu!$J$6:$J$1005,SMALL(IF(checklistPesertaKemenkeu!$AY$6:$AY$1005="Direkomendasikan",ROW($6:$1005)-5),246))=""),"",IF(AND(COUNTIF(INDIRECT("K_"&amp;MATCH(INDEX(checklistPesertaKemenkeu!$J$6:$J$1005,SMALL(IF(checklistPesertaKemenkeu!$AY$6:$AY$1005="Direkomendasikan",ROW($6:$1005)-5),246)),BidangList,0)),INDEX(checklistPesertaKemenkeu!$O$6:$O$1005,SMALL(IF(checklistPesertaKemenkeu!$AY$6:$AY$1005="Direkomendasikan",ROW($6:$1005)-5),246)))&gt;0,COUNTIF(INDIRECT("'KERTAS KERJA'!K"&amp;(SMALL(IF(checklistPesertaKemenkeu!$AY$6:$AY$1005="Direkomendasikan",ROW($6:$1005)-5),246)+5)&amp;":O"&amp;(SMALL(IF(checklistPesertaKemenkeu!$AY$6:$AY$1005="Direkomendasikan",ROW($6:$1005)-5),246)+5)),INDEX(checklistPesertaKemenkeu!$O$6:$O$1005,SMALL(IF(checklistPesertaKemenkeu!$AY$6:$AY$1005="Direkomendasikan",ROW($6:$1005)-5),246)))=1),IFERROR(VLOOKUP(INDEX(checklistPesertaKemenkeu!$O$6:$O$1005,SMALL(IF(checklistPesertaKemenkeu!$AY$6:$AY$1005="Direkomendasikan",ROW($6:$1005)-5),246)),KotaKode,2,0),"-"),"")),"")</f>
        <v/>
      </c>
      <c r="L247" t="str">
        <f t="array" aca="1" ref="L247" ca="1">IFERROR(IF(OR(INDEX(checklistPesertaKemenkeu!$P$6:$P$1005,SMALL(IF(checklistPesertaKemenkeu!$AY$6:$AY$1005="Direkomendasikan",ROW($6:$1005)-5),246))="",INDEX(checklistPesertaKemenkeu!$J$6:$J$1005,SMALL(IF(checklistPesertaKemenkeu!$AY$6:$AY$1005="Direkomendasikan",ROW($6:$1005)-5),246))=""),"",IF(AND(COUNTIF(INDIRECT("K_"&amp;MATCH(INDEX(checklistPesertaKemenkeu!$J$6:$J$1005,SMALL(IF(checklistPesertaKemenkeu!$AY$6:$AY$1005="Direkomendasikan",ROW($6:$1005)-5),246)),BidangList,0)),INDEX(checklistPesertaKemenkeu!$P$6:$P$1005,SMALL(IF(checklistPesertaKemenkeu!$AY$6:$AY$1005="Direkomendasikan",ROW($6:$1005)-5),246)))&gt;0,COUNTIF(INDIRECT("'KERTAS KERJA'!K"&amp;(SMALL(IF(checklistPesertaKemenkeu!$AY$6:$AY$1005="Direkomendasikan",ROW($6:$1005)-5),246)+5)&amp;":O"&amp;(SMALL(IF(checklistPesertaKemenkeu!$AY$6:$AY$1005="Direkomendasikan",ROW($6:$1005)-5),246)+5)),INDEX(checklistPesertaKemenkeu!$P$6:$P$1005,SMALL(IF(checklistPesertaKemenkeu!$AY$6:$AY$1005="Direkomendasikan",ROW($6:$1005)-5),246)))=1),IFERROR(VLOOKUP(INDEX(checklistPesertaKemenkeu!$P$6:$P$1005,SMALL(IF(checklistPesertaKemenkeu!$AY$6:$AY$1005="Direkomendasikan",ROW($6:$1005)-5),246)),KotaKode,2,0),"-"),"")),"")</f>
        <v/>
      </c>
    </row>
    <row r="248" spans="1:12" ht="15" customHeight="1" x14ac:dyDescent="0.2">
      <c r="A248" t="str">
        <f t="shared" si="3"/>
        <v/>
      </c>
      <c r="B248" t="str">
        <v/>
      </c>
      <c r="C248" s="40" t="str">
        <f t="array" ref="C248">IFERROR(INDEX(checklistPesertaKemenkeu!$F$6:$F$1005,SMALL(IF(checklistPesertaKemenkeu!$AY$6:$AY$1005="Direkomendasikan",ROW($6:$1005)-5),247)),"")</f>
        <v/>
      </c>
      <c r="D248" t="str">
        <f t="array" ref="D248">IFERROR(INDEX(checklistPesertaKemenkeu!$G$6:$G$1005,SMALL(IF(checklistPesertaKemenkeu!$AY$6:$AY$1005="Direkomendasikan",ROW($6:$1005)-5),247)),"")</f>
        <v/>
      </c>
      <c r="E248" t="str">
        <f t="array" ref="E248">IFERROR(INDEX(checklistPesertaKemenkeu!$H$6:$H$1005,SMALL(IF(checklistPesertaKemenkeu!$AY$6:$AY$1005="Direkomendasikan",ROW($6:$1005)-5),247)),"")</f>
        <v/>
      </c>
      <c r="F248" t="str">
        <f t="array" ref="F248">IFERROR(INDEX(checklistPesertaKemenkeu!$I$6:$I$1005,SMALL(IF(checklistPesertaKemenkeu!$AY$6:$AY$1005="Direkomendasikan",ROW($6:$1005)-5),247)),"")</f>
        <v/>
      </c>
      <c r="G248" t="str">
        <f t="array" ref="G248">IFERROR(INDEX(checklistPesertaKemenkeu!$J$6:$J$1005,SMALL(IF(checklistPesertaKemenkeu!$AY$6:$AY$1005="Direkomendasikan",ROW($6:$1005)-5),247)),"")</f>
        <v/>
      </c>
      <c r="H248" t="str">
        <f t="array" aca="1" ref="H248" ca="1">IFERROR(IF(OR(INDEX(checklistPesertaKemenkeu!$L$6:$L$1005,SMALL(IF(checklistPesertaKemenkeu!$AY$6:$AY$1005="Direkomendasikan",ROW($6:$1005)-5),247))="",INDEX(checklistPesertaKemenkeu!$J$6:$J$1005,SMALL(IF(checklistPesertaKemenkeu!$AY$6:$AY$1005="Direkomendasikan",ROW($6:$1005)-5),247))=""),"",IF(AND(COUNTIF(INDIRECT("K_"&amp;MATCH(INDEX(checklistPesertaKemenkeu!$J$6:$J$1005,SMALL(IF(checklistPesertaKemenkeu!$AY$6:$AY$1005="Direkomendasikan",ROW($6:$1005)-5),247)),BidangList,0)),INDEX(checklistPesertaKemenkeu!$L$6:$L$1005,SMALL(IF(checklistPesertaKemenkeu!$AY$6:$AY$1005="Direkomendasikan",ROW($6:$1005)-5),247)))&gt;0,COUNTIF(INDIRECT("'KERTAS KERJA'!K"&amp;(SMALL(IF(checklistPesertaKemenkeu!$AY$6:$AY$1005="Direkomendasikan",ROW($6:$1005)-5),247)+5)&amp;":O"&amp;(SMALL(IF(checklistPesertaKemenkeu!$AY$6:$AY$1005="Direkomendasikan",ROW($6:$1005)-5),247)+5)),INDEX(checklistPesertaKemenkeu!$L$6:$L$1005,SMALL(IF(checklistPesertaKemenkeu!$AY$6:$AY$1005="Direkomendasikan",ROW($6:$1005)-5),247)))=1),IFERROR(VLOOKUP(INDEX(checklistPesertaKemenkeu!$L$6:$L$1005,SMALL(IF(checklistPesertaKemenkeu!$AY$6:$AY$1005="Direkomendasikan",ROW($6:$1005)-5),247)),KotaKode,2,0),"-"),"")),"")</f>
        <v/>
      </c>
      <c r="I248" t="str">
        <f t="array" aca="1" ref="I248" ca="1">IFERROR(IF(OR(INDEX(checklistPesertaKemenkeu!$M$6:$M$1005,SMALL(IF(checklistPesertaKemenkeu!$AY$6:$AY$1005="Direkomendasikan",ROW($6:$1005)-5),247))="",INDEX(checklistPesertaKemenkeu!$J$6:$J$1005,SMALL(IF(checklistPesertaKemenkeu!$AY$6:$AY$1005="Direkomendasikan",ROW($6:$1005)-5),247))=""),"",IF(AND(COUNTIF(INDIRECT("K_"&amp;MATCH(INDEX(checklistPesertaKemenkeu!$J$6:$J$1005,SMALL(IF(checklistPesertaKemenkeu!$AY$6:$AY$1005="Direkomendasikan",ROW($6:$1005)-5),247)),BidangList,0)),INDEX(checklistPesertaKemenkeu!$M$6:$M$1005,SMALL(IF(checklistPesertaKemenkeu!$AY$6:$AY$1005="Direkomendasikan",ROW($6:$1005)-5),247)))&gt;0,COUNTIF(INDIRECT("'KERTAS KERJA'!K"&amp;(SMALL(IF(checklistPesertaKemenkeu!$AY$6:$AY$1005="Direkomendasikan",ROW($6:$1005)-5),247)+5)&amp;":O"&amp;(SMALL(IF(checklistPesertaKemenkeu!$AY$6:$AY$1005="Direkomendasikan",ROW($6:$1005)-5),247)+5)),INDEX(checklistPesertaKemenkeu!$M$6:$M$1005,SMALL(IF(checklistPesertaKemenkeu!$AY$6:$AY$1005="Direkomendasikan",ROW($6:$1005)-5),247)))=1),IFERROR(VLOOKUP(INDEX(checklistPesertaKemenkeu!$M$6:$M$1005,SMALL(IF(checklistPesertaKemenkeu!$AY$6:$AY$1005="Direkomendasikan",ROW($6:$1005)-5),247)),KotaKode,2,0),"-"),"")),"")</f>
        <v/>
      </c>
      <c r="J248" t="str">
        <f t="array" aca="1" ref="J248" ca="1">IFERROR(IF(OR(INDEX(checklistPesertaKemenkeu!$N$6:$N$1005,SMALL(IF(checklistPesertaKemenkeu!$AY$6:$AY$1005="Direkomendasikan",ROW($6:$1005)-5),247))="",INDEX(checklistPesertaKemenkeu!$J$6:$J$1005,SMALL(IF(checklistPesertaKemenkeu!$AY$6:$AY$1005="Direkomendasikan",ROW($6:$1005)-5),247))=""),"",IF(AND(COUNTIF(INDIRECT("K_"&amp;MATCH(INDEX(checklistPesertaKemenkeu!$J$6:$J$1005,SMALL(IF(checklistPesertaKemenkeu!$AY$6:$AY$1005="Direkomendasikan",ROW($6:$1005)-5),247)),BidangList,0)),INDEX(checklistPesertaKemenkeu!$N$6:$N$1005,SMALL(IF(checklistPesertaKemenkeu!$AY$6:$AY$1005="Direkomendasikan",ROW($6:$1005)-5),247)))&gt;0,COUNTIF(INDIRECT("'KERTAS KERJA'!K"&amp;(SMALL(IF(checklistPesertaKemenkeu!$AY$6:$AY$1005="Direkomendasikan",ROW($6:$1005)-5),247)+5)&amp;":O"&amp;(SMALL(IF(checklistPesertaKemenkeu!$AY$6:$AY$1005="Direkomendasikan",ROW($6:$1005)-5),247)+5)),INDEX(checklistPesertaKemenkeu!$N$6:$N$1005,SMALL(IF(checklistPesertaKemenkeu!$AY$6:$AY$1005="Direkomendasikan",ROW($6:$1005)-5),247)))=1),IFERROR(VLOOKUP(INDEX(checklistPesertaKemenkeu!$N$6:$N$1005,SMALL(IF(checklistPesertaKemenkeu!$AY$6:$AY$1005="Direkomendasikan",ROW($6:$1005)-5),247)),KotaKode,2,0),"-"),"")),"")</f>
        <v/>
      </c>
      <c r="K248" t="str">
        <f t="array" aca="1" ref="K248" ca="1">IFERROR(IF(OR(INDEX(checklistPesertaKemenkeu!$O$6:$O$1005,SMALL(IF(checklistPesertaKemenkeu!$AY$6:$AY$1005="Direkomendasikan",ROW($6:$1005)-5),247))="",INDEX(checklistPesertaKemenkeu!$J$6:$J$1005,SMALL(IF(checklistPesertaKemenkeu!$AY$6:$AY$1005="Direkomendasikan",ROW($6:$1005)-5),247))=""),"",IF(AND(COUNTIF(INDIRECT("K_"&amp;MATCH(INDEX(checklistPesertaKemenkeu!$J$6:$J$1005,SMALL(IF(checklistPesertaKemenkeu!$AY$6:$AY$1005="Direkomendasikan",ROW($6:$1005)-5),247)),BidangList,0)),INDEX(checklistPesertaKemenkeu!$O$6:$O$1005,SMALL(IF(checklistPesertaKemenkeu!$AY$6:$AY$1005="Direkomendasikan",ROW($6:$1005)-5),247)))&gt;0,COUNTIF(INDIRECT("'KERTAS KERJA'!K"&amp;(SMALL(IF(checklistPesertaKemenkeu!$AY$6:$AY$1005="Direkomendasikan",ROW($6:$1005)-5),247)+5)&amp;":O"&amp;(SMALL(IF(checklistPesertaKemenkeu!$AY$6:$AY$1005="Direkomendasikan",ROW($6:$1005)-5),247)+5)),INDEX(checklistPesertaKemenkeu!$O$6:$O$1005,SMALL(IF(checklistPesertaKemenkeu!$AY$6:$AY$1005="Direkomendasikan",ROW($6:$1005)-5),247)))=1),IFERROR(VLOOKUP(INDEX(checklistPesertaKemenkeu!$O$6:$O$1005,SMALL(IF(checklistPesertaKemenkeu!$AY$6:$AY$1005="Direkomendasikan",ROW($6:$1005)-5),247)),KotaKode,2,0),"-"),"")),"")</f>
        <v/>
      </c>
      <c r="L248" t="str">
        <f t="array" aca="1" ref="L248" ca="1">IFERROR(IF(OR(INDEX(checklistPesertaKemenkeu!$P$6:$P$1005,SMALL(IF(checklistPesertaKemenkeu!$AY$6:$AY$1005="Direkomendasikan",ROW($6:$1005)-5),247))="",INDEX(checklistPesertaKemenkeu!$J$6:$J$1005,SMALL(IF(checklistPesertaKemenkeu!$AY$6:$AY$1005="Direkomendasikan",ROW($6:$1005)-5),247))=""),"",IF(AND(COUNTIF(INDIRECT("K_"&amp;MATCH(INDEX(checklistPesertaKemenkeu!$J$6:$J$1005,SMALL(IF(checklistPesertaKemenkeu!$AY$6:$AY$1005="Direkomendasikan",ROW($6:$1005)-5),247)),BidangList,0)),INDEX(checklistPesertaKemenkeu!$P$6:$P$1005,SMALL(IF(checklistPesertaKemenkeu!$AY$6:$AY$1005="Direkomendasikan",ROW($6:$1005)-5),247)))&gt;0,COUNTIF(INDIRECT("'KERTAS KERJA'!K"&amp;(SMALL(IF(checklistPesertaKemenkeu!$AY$6:$AY$1005="Direkomendasikan",ROW($6:$1005)-5),247)+5)&amp;":O"&amp;(SMALL(IF(checklistPesertaKemenkeu!$AY$6:$AY$1005="Direkomendasikan",ROW($6:$1005)-5),247)+5)),INDEX(checklistPesertaKemenkeu!$P$6:$P$1005,SMALL(IF(checklistPesertaKemenkeu!$AY$6:$AY$1005="Direkomendasikan",ROW($6:$1005)-5),247)))=1),IFERROR(VLOOKUP(INDEX(checklistPesertaKemenkeu!$P$6:$P$1005,SMALL(IF(checklistPesertaKemenkeu!$AY$6:$AY$1005="Direkomendasikan",ROW($6:$1005)-5),247)),KotaKode,2,0),"-"),"")),"")</f>
        <v/>
      </c>
    </row>
    <row r="249" spans="1:12" ht="15" customHeight="1" x14ac:dyDescent="0.2">
      <c r="A249" t="str">
        <f t="shared" si="3"/>
        <v/>
      </c>
      <c r="B249" t="str">
        <v/>
      </c>
      <c r="C249" s="40" t="str">
        <f t="array" ref="C249">IFERROR(INDEX(checklistPesertaKemenkeu!$F$6:$F$1005,SMALL(IF(checklistPesertaKemenkeu!$AY$6:$AY$1005="Direkomendasikan",ROW($6:$1005)-5),248)),"")</f>
        <v/>
      </c>
      <c r="D249" t="str">
        <f t="array" ref="D249">IFERROR(INDEX(checklistPesertaKemenkeu!$G$6:$G$1005,SMALL(IF(checklistPesertaKemenkeu!$AY$6:$AY$1005="Direkomendasikan",ROW($6:$1005)-5),248)),"")</f>
        <v/>
      </c>
      <c r="E249" t="str">
        <f t="array" ref="E249">IFERROR(INDEX(checklistPesertaKemenkeu!$H$6:$H$1005,SMALL(IF(checklistPesertaKemenkeu!$AY$6:$AY$1005="Direkomendasikan",ROW($6:$1005)-5),248)),"")</f>
        <v/>
      </c>
      <c r="F249" t="str">
        <f t="array" ref="F249">IFERROR(INDEX(checklistPesertaKemenkeu!$I$6:$I$1005,SMALL(IF(checklistPesertaKemenkeu!$AY$6:$AY$1005="Direkomendasikan",ROW($6:$1005)-5),248)),"")</f>
        <v/>
      </c>
      <c r="G249" t="str">
        <f t="array" ref="G249">IFERROR(INDEX(checklistPesertaKemenkeu!$J$6:$J$1005,SMALL(IF(checklistPesertaKemenkeu!$AY$6:$AY$1005="Direkomendasikan",ROW($6:$1005)-5),248)),"")</f>
        <v/>
      </c>
      <c r="H249" t="str">
        <f t="array" aca="1" ref="H249" ca="1">IFERROR(IF(OR(INDEX(checklistPesertaKemenkeu!$L$6:$L$1005,SMALL(IF(checklistPesertaKemenkeu!$AY$6:$AY$1005="Direkomendasikan",ROW($6:$1005)-5),248))="",INDEX(checklistPesertaKemenkeu!$J$6:$J$1005,SMALL(IF(checklistPesertaKemenkeu!$AY$6:$AY$1005="Direkomendasikan",ROW($6:$1005)-5),248))=""),"",IF(AND(COUNTIF(INDIRECT("K_"&amp;MATCH(INDEX(checklistPesertaKemenkeu!$J$6:$J$1005,SMALL(IF(checklistPesertaKemenkeu!$AY$6:$AY$1005="Direkomendasikan",ROW($6:$1005)-5),248)),BidangList,0)),INDEX(checklistPesertaKemenkeu!$L$6:$L$1005,SMALL(IF(checklistPesertaKemenkeu!$AY$6:$AY$1005="Direkomendasikan",ROW($6:$1005)-5),248)))&gt;0,COUNTIF(INDIRECT("'KERTAS KERJA'!K"&amp;(SMALL(IF(checklistPesertaKemenkeu!$AY$6:$AY$1005="Direkomendasikan",ROW($6:$1005)-5),248)+5)&amp;":O"&amp;(SMALL(IF(checklistPesertaKemenkeu!$AY$6:$AY$1005="Direkomendasikan",ROW($6:$1005)-5),248)+5)),INDEX(checklistPesertaKemenkeu!$L$6:$L$1005,SMALL(IF(checklistPesertaKemenkeu!$AY$6:$AY$1005="Direkomendasikan",ROW($6:$1005)-5),248)))=1),IFERROR(VLOOKUP(INDEX(checklistPesertaKemenkeu!$L$6:$L$1005,SMALL(IF(checklistPesertaKemenkeu!$AY$6:$AY$1005="Direkomendasikan",ROW($6:$1005)-5),248)),KotaKode,2,0),"-"),"")),"")</f>
        <v/>
      </c>
      <c r="I249" t="str">
        <f t="array" aca="1" ref="I249" ca="1">IFERROR(IF(OR(INDEX(checklistPesertaKemenkeu!$M$6:$M$1005,SMALL(IF(checklistPesertaKemenkeu!$AY$6:$AY$1005="Direkomendasikan",ROW($6:$1005)-5),248))="",INDEX(checklistPesertaKemenkeu!$J$6:$J$1005,SMALL(IF(checklistPesertaKemenkeu!$AY$6:$AY$1005="Direkomendasikan",ROW($6:$1005)-5),248))=""),"",IF(AND(COUNTIF(INDIRECT("K_"&amp;MATCH(INDEX(checklistPesertaKemenkeu!$J$6:$J$1005,SMALL(IF(checklistPesertaKemenkeu!$AY$6:$AY$1005="Direkomendasikan",ROW($6:$1005)-5),248)),BidangList,0)),INDEX(checklistPesertaKemenkeu!$M$6:$M$1005,SMALL(IF(checklistPesertaKemenkeu!$AY$6:$AY$1005="Direkomendasikan",ROW($6:$1005)-5),248)))&gt;0,COUNTIF(INDIRECT("'KERTAS KERJA'!K"&amp;(SMALL(IF(checklistPesertaKemenkeu!$AY$6:$AY$1005="Direkomendasikan",ROW($6:$1005)-5),248)+5)&amp;":O"&amp;(SMALL(IF(checklistPesertaKemenkeu!$AY$6:$AY$1005="Direkomendasikan",ROW($6:$1005)-5),248)+5)),INDEX(checklistPesertaKemenkeu!$M$6:$M$1005,SMALL(IF(checklistPesertaKemenkeu!$AY$6:$AY$1005="Direkomendasikan",ROW($6:$1005)-5),248)))=1),IFERROR(VLOOKUP(INDEX(checklistPesertaKemenkeu!$M$6:$M$1005,SMALL(IF(checklistPesertaKemenkeu!$AY$6:$AY$1005="Direkomendasikan",ROW($6:$1005)-5),248)),KotaKode,2,0),"-"),"")),"")</f>
        <v/>
      </c>
      <c r="J249" t="str">
        <f t="array" aca="1" ref="J249" ca="1">IFERROR(IF(OR(INDEX(checklistPesertaKemenkeu!$N$6:$N$1005,SMALL(IF(checklistPesertaKemenkeu!$AY$6:$AY$1005="Direkomendasikan",ROW($6:$1005)-5),248))="",INDEX(checklistPesertaKemenkeu!$J$6:$J$1005,SMALL(IF(checklistPesertaKemenkeu!$AY$6:$AY$1005="Direkomendasikan",ROW($6:$1005)-5),248))=""),"",IF(AND(COUNTIF(INDIRECT("K_"&amp;MATCH(INDEX(checklistPesertaKemenkeu!$J$6:$J$1005,SMALL(IF(checklistPesertaKemenkeu!$AY$6:$AY$1005="Direkomendasikan",ROW($6:$1005)-5),248)),BidangList,0)),INDEX(checklistPesertaKemenkeu!$N$6:$N$1005,SMALL(IF(checklistPesertaKemenkeu!$AY$6:$AY$1005="Direkomendasikan",ROW($6:$1005)-5),248)))&gt;0,COUNTIF(INDIRECT("'KERTAS KERJA'!K"&amp;(SMALL(IF(checklistPesertaKemenkeu!$AY$6:$AY$1005="Direkomendasikan",ROW($6:$1005)-5),248)+5)&amp;":O"&amp;(SMALL(IF(checklistPesertaKemenkeu!$AY$6:$AY$1005="Direkomendasikan",ROW($6:$1005)-5),248)+5)),INDEX(checklistPesertaKemenkeu!$N$6:$N$1005,SMALL(IF(checklistPesertaKemenkeu!$AY$6:$AY$1005="Direkomendasikan",ROW($6:$1005)-5),248)))=1),IFERROR(VLOOKUP(INDEX(checklistPesertaKemenkeu!$N$6:$N$1005,SMALL(IF(checklistPesertaKemenkeu!$AY$6:$AY$1005="Direkomendasikan",ROW($6:$1005)-5),248)),KotaKode,2,0),"-"),"")),"")</f>
        <v/>
      </c>
      <c r="K249" t="str">
        <f t="array" aca="1" ref="K249" ca="1">IFERROR(IF(OR(INDEX(checklistPesertaKemenkeu!$O$6:$O$1005,SMALL(IF(checklistPesertaKemenkeu!$AY$6:$AY$1005="Direkomendasikan",ROW($6:$1005)-5),248))="",INDEX(checklistPesertaKemenkeu!$J$6:$J$1005,SMALL(IF(checklistPesertaKemenkeu!$AY$6:$AY$1005="Direkomendasikan",ROW($6:$1005)-5),248))=""),"",IF(AND(COUNTIF(INDIRECT("K_"&amp;MATCH(INDEX(checklistPesertaKemenkeu!$J$6:$J$1005,SMALL(IF(checklistPesertaKemenkeu!$AY$6:$AY$1005="Direkomendasikan",ROW($6:$1005)-5),248)),BidangList,0)),INDEX(checklistPesertaKemenkeu!$O$6:$O$1005,SMALL(IF(checklistPesertaKemenkeu!$AY$6:$AY$1005="Direkomendasikan",ROW($6:$1005)-5),248)))&gt;0,COUNTIF(INDIRECT("'KERTAS KERJA'!K"&amp;(SMALL(IF(checklistPesertaKemenkeu!$AY$6:$AY$1005="Direkomendasikan",ROW($6:$1005)-5),248)+5)&amp;":O"&amp;(SMALL(IF(checklistPesertaKemenkeu!$AY$6:$AY$1005="Direkomendasikan",ROW($6:$1005)-5),248)+5)),INDEX(checklistPesertaKemenkeu!$O$6:$O$1005,SMALL(IF(checklistPesertaKemenkeu!$AY$6:$AY$1005="Direkomendasikan",ROW($6:$1005)-5),248)))=1),IFERROR(VLOOKUP(INDEX(checklistPesertaKemenkeu!$O$6:$O$1005,SMALL(IF(checklistPesertaKemenkeu!$AY$6:$AY$1005="Direkomendasikan",ROW($6:$1005)-5),248)),KotaKode,2,0),"-"),"")),"")</f>
        <v/>
      </c>
      <c r="L249" t="str">
        <f t="array" aca="1" ref="L249" ca="1">IFERROR(IF(OR(INDEX(checklistPesertaKemenkeu!$P$6:$P$1005,SMALL(IF(checklistPesertaKemenkeu!$AY$6:$AY$1005="Direkomendasikan",ROW($6:$1005)-5),248))="",INDEX(checklistPesertaKemenkeu!$J$6:$J$1005,SMALL(IF(checklistPesertaKemenkeu!$AY$6:$AY$1005="Direkomendasikan",ROW($6:$1005)-5),248))=""),"",IF(AND(COUNTIF(INDIRECT("K_"&amp;MATCH(INDEX(checklistPesertaKemenkeu!$J$6:$J$1005,SMALL(IF(checklistPesertaKemenkeu!$AY$6:$AY$1005="Direkomendasikan",ROW($6:$1005)-5),248)),BidangList,0)),INDEX(checklistPesertaKemenkeu!$P$6:$P$1005,SMALL(IF(checklistPesertaKemenkeu!$AY$6:$AY$1005="Direkomendasikan",ROW($6:$1005)-5),248)))&gt;0,COUNTIF(INDIRECT("'KERTAS KERJA'!K"&amp;(SMALL(IF(checklistPesertaKemenkeu!$AY$6:$AY$1005="Direkomendasikan",ROW($6:$1005)-5),248)+5)&amp;":O"&amp;(SMALL(IF(checklistPesertaKemenkeu!$AY$6:$AY$1005="Direkomendasikan",ROW($6:$1005)-5),248)+5)),INDEX(checklistPesertaKemenkeu!$P$6:$P$1005,SMALL(IF(checklistPesertaKemenkeu!$AY$6:$AY$1005="Direkomendasikan",ROW($6:$1005)-5),248)))=1),IFERROR(VLOOKUP(INDEX(checklistPesertaKemenkeu!$P$6:$P$1005,SMALL(IF(checklistPesertaKemenkeu!$AY$6:$AY$1005="Direkomendasikan",ROW($6:$1005)-5),248)),KotaKode,2,0),"-"),"")),"")</f>
        <v/>
      </c>
    </row>
    <row r="250" spans="1:12" ht="15" customHeight="1" x14ac:dyDescent="0.2">
      <c r="A250" t="str">
        <f t="shared" si="3"/>
        <v/>
      </c>
      <c r="B250" t="str">
        <v/>
      </c>
      <c r="C250" s="40" t="str">
        <f t="array" ref="C250">IFERROR(INDEX(checklistPesertaKemenkeu!$F$6:$F$1005,SMALL(IF(checklistPesertaKemenkeu!$AY$6:$AY$1005="Direkomendasikan",ROW($6:$1005)-5),249)),"")</f>
        <v/>
      </c>
      <c r="D250" t="str">
        <f t="array" ref="D250">IFERROR(INDEX(checklistPesertaKemenkeu!$G$6:$G$1005,SMALL(IF(checklistPesertaKemenkeu!$AY$6:$AY$1005="Direkomendasikan",ROW($6:$1005)-5),249)),"")</f>
        <v/>
      </c>
      <c r="E250" t="str">
        <f t="array" ref="E250">IFERROR(INDEX(checklistPesertaKemenkeu!$H$6:$H$1005,SMALL(IF(checklistPesertaKemenkeu!$AY$6:$AY$1005="Direkomendasikan",ROW($6:$1005)-5),249)),"")</f>
        <v/>
      </c>
      <c r="F250" t="str">
        <f t="array" ref="F250">IFERROR(INDEX(checklistPesertaKemenkeu!$I$6:$I$1005,SMALL(IF(checklistPesertaKemenkeu!$AY$6:$AY$1005="Direkomendasikan",ROW($6:$1005)-5),249)),"")</f>
        <v/>
      </c>
      <c r="G250" t="str">
        <f t="array" ref="G250">IFERROR(INDEX(checklistPesertaKemenkeu!$J$6:$J$1005,SMALL(IF(checklistPesertaKemenkeu!$AY$6:$AY$1005="Direkomendasikan",ROW($6:$1005)-5),249)),"")</f>
        <v/>
      </c>
      <c r="H250" t="str">
        <f t="array" aca="1" ref="H250" ca="1">IFERROR(IF(OR(INDEX(checklistPesertaKemenkeu!$L$6:$L$1005,SMALL(IF(checklistPesertaKemenkeu!$AY$6:$AY$1005="Direkomendasikan",ROW($6:$1005)-5),249))="",INDEX(checklistPesertaKemenkeu!$J$6:$J$1005,SMALL(IF(checklistPesertaKemenkeu!$AY$6:$AY$1005="Direkomendasikan",ROW($6:$1005)-5),249))=""),"",IF(AND(COUNTIF(INDIRECT("K_"&amp;MATCH(INDEX(checklistPesertaKemenkeu!$J$6:$J$1005,SMALL(IF(checklistPesertaKemenkeu!$AY$6:$AY$1005="Direkomendasikan",ROW($6:$1005)-5),249)),BidangList,0)),INDEX(checklistPesertaKemenkeu!$L$6:$L$1005,SMALL(IF(checklistPesertaKemenkeu!$AY$6:$AY$1005="Direkomendasikan",ROW($6:$1005)-5),249)))&gt;0,COUNTIF(INDIRECT("'KERTAS KERJA'!K"&amp;(SMALL(IF(checklistPesertaKemenkeu!$AY$6:$AY$1005="Direkomendasikan",ROW($6:$1005)-5),249)+5)&amp;":O"&amp;(SMALL(IF(checklistPesertaKemenkeu!$AY$6:$AY$1005="Direkomendasikan",ROW($6:$1005)-5),249)+5)),INDEX(checklistPesertaKemenkeu!$L$6:$L$1005,SMALL(IF(checklistPesertaKemenkeu!$AY$6:$AY$1005="Direkomendasikan",ROW($6:$1005)-5),249)))=1),IFERROR(VLOOKUP(INDEX(checklistPesertaKemenkeu!$L$6:$L$1005,SMALL(IF(checklistPesertaKemenkeu!$AY$6:$AY$1005="Direkomendasikan",ROW($6:$1005)-5),249)),KotaKode,2,0),"-"),"")),"")</f>
        <v/>
      </c>
      <c r="I250" t="str">
        <f t="array" aca="1" ref="I250" ca="1">IFERROR(IF(OR(INDEX(checklistPesertaKemenkeu!$M$6:$M$1005,SMALL(IF(checklistPesertaKemenkeu!$AY$6:$AY$1005="Direkomendasikan",ROW($6:$1005)-5),249))="",INDEX(checklistPesertaKemenkeu!$J$6:$J$1005,SMALL(IF(checklistPesertaKemenkeu!$AY$6:$AY$1005="Direkomendasikan",ROW($6:$1005)-5),249))=""),"",IF(AND(COUNTIF(INDIRECT("K_"&amp;MATCH(INDEX(checklistPesertaKemenkeu!$J$6:$J$1005,SMALL(IF(checklistPesertaKemenkeu!$AY$6:$AY$1005="Direkomendasikan",ROW($6:$1005)-5),249)),BidangList,0)),INDEX(checklistPesertaKemenkeu!$M$6:$M$1005,SMALL(IF(checklistPesertaKemenkeu!$AY$6:$AY$1005="Direkomendasikan",ROW($6:$1005)-5),249)))&gt;0,COUNTIF(INDIRECT("'KERTAS KERJA'!K"&amp;(SMALL(IF(checklistPesertaKemenkeu!$AY$6:$AY$1005="Direkomendasikan",ROW($6:$1005)-5),249)+5)&amp;":O"&amp;(SMALL(IF(checklistPesertaKemenkeu!$AY$6:$AY$1005="Direkomendasikan",ROW($6:$1005)-5),249)+5)),INDEX(checklistPesertaKemenkeu!$M$6:$M$1005,SMALL(IF(checklistPesertaKemenkeu!$AY$6:$AY$1005="Direkomendasikan",ROW($6:$1005)-5),249)))=1),IFERROR(VLOOKUP(INDEX(checklistPesertaKemenkeu!$M$6:$M$1005,SMALL(IF(checklistPesertaKemenkeu!$AY$6:$AY$1005="Direkomendasikan",ROW($6:$1005)-5),249)),KotaKode,2,0),"-"),"")),"")</f>
        <v/>
      </c>
      <c r="J250" t="str">
        <f t="array" aca="1" ref="J250" ca="1">IFERROR(IF(OR(INDEX(checklistPesertaKemenkeu!$N$6:$N$1005,SMALL(IF(checklistPesertaKemenkeu!$AY$6:$AY$1005="Direkomendasikan",ROW($6:$1005)-5),249))="",INDEX(checklistPesertaKemenkeu!$J$6:$J$1005,SMALL(IF(checklistPesertaKemenkeu!$AY$6:$AY$1005="Direkomendasikan",ROW($6:$1005)-5),249))=""),"",IF(AND(COUNTIF(INDIRECT("K_"&amp;MATCH(INDEX(checklistPesertaKemenkeu!$J$6:$J$1005,SMALL(IF(checklistPesertaKemenkeu!$AY$6:$AY$1005="Direkomendasikan",ROW($6:$1005)-5),249)),BidangList,0)),INDEX(checklistPesertaKemenkeu!$N$6:$N$1005,SMALL(IF(checklistPesertaKemenkeu!$AY$6:$AY$1005="Direkomendasikan",ROW($6:$1005)-5),249)))&gt;0,COUNTIF(INDIRECT("'KERTAS KERJA'!K"&amp;(SMALL(IF(checklistPesertaKemenkeu!$AY$6:$AY$1005="Direkomendasikan",ROW($6:$1005)-5),249)+5)&amp;":O"&amp;(SMALL(IF(checklistPesertaKemenkeu!$AY$6:$AY$1005="Direkomendasikan",ROW($6:$1005)-5),249)+5)),INDEX(checklistPesertaKemenkeu!$N$6:$N$1005,SMALL(IF(checklistPesertaKemenkeu!$AY$6:$AY$1005="Direkomendasikan",ROW($6:$1005)-5),249)))=1),IFERROR(VLOOKUP(INDEX(checklistPesertaKemenkeu!$N$6:$N$1005,SMALL(IF(checklistPesertaKemenkeu!$AY$6:$AY$1005="Direkomendasikan",ROW($6:$1005)-5),249)),KotaKode,2,0),"-"),"")),"")</f>
        <v/>
      </c>
      <c r="K250" t="str">
        <f t="array" aca="1" ref="K250" ca="1">IFERROR(IF(OR(INDEX(checklistPesertaKemenkeu!$O$6:$O$1005,SMALL(IF(checklistPesertaKemenkeu!$AY$6:$AY$1005="Direkomendasikan",ROW($6:$1005)-5),249))="",INDEX(checklistPesertaKemenkeu!$J$6:$J$1005,SMALL(IF(checklistPesertaKemenkeu!$AY$6:$AY$1005="Direkomendasikan",ROW($6:$1005)-5),249))=""),"",IF(AND(COUNTIF(INDIRECT("K_"&amp;MATCH(INDEX(checklistPesertaKemenkeu!$J$6:$J$1005,SMALL(IF(checklistPesertaKemenkeu!$AY$6:$AY$1005="Direkomendasikan",ROW($6:$1005)-5),249)),BidangList,0)),INDEX(checklistPesertaKemenkeu!$O$6:$O$1005,SMALL(IF(checklistPesertaKemenkeu!$AY$6:$AY$1005="Direkomendasikan",ROW($6:$1005)-5),249)))&gt;0,COUNTIF(INDIRECT("'KERTAS KERJA'!K"&amp;(SMALL(IF(checklistPesertaKemenkeu!$AY$6:$AY$1005="Direkomendasikan",ROW($6:$1005)-5),249)+5)&amp;":O"&amp;(SMALL(IF(checklistPesertaKemenkeu!$AY$6:$AY$1005="Direkomendasikan",ROW($6:$1005)-5),249)+5)),INDEX(checklistPesertaKemenkeu!$O$6:$O$1005,SMALL(IF(checklistPesertaKemenkeu!$AY$6:$AY$1005="Direkomendasikan",ROW($6:$1005)-5),249)))=1),IFERROR(VLOOKUP(INDEX(checklistPesertaKemenkeu!$O$6:$O$1005,SMALL(IF(checklistPesertaKemenkeu!$AY$6:$AY$1005="Direkomendasikan",ROW($6:$1005)-5),249)),KotaKode,2,0),"-"),"")),"")</f>
        <v/>
      </c>
      <c r="L250" t="str">
        <f t="array" aca="1" ref="L250" ca="1">IFERROR(IF(OR(INDEX(checklistPesertaKemenkeu!$P$6:$P$1005,SMALL(IF(checklistPesertaKemenkeu!$AY$6:$AY$1005="Direkomendasikan",ROW($6:$1005)-5),249))="",INDEX(checklistPesertaKemenkeu!$J$6:$J$1005,SMALL(IF(checklistPesertaKemenkeu!$AY$6:$AY$1005="Direkomendasikan",ROW($6:$1005)-5),249))=""),"",IF(AND(COUNTIF(INDIRECT("K_"&amp;MATCH(INDEX(checklistPesertaKemenkeu!$J$6:$J$1005,SMALL(IF(checklistPesertaKemenkeu!$AY$6:$AY$1005="Direkomendasikan",ROW($6:$1005)-5),249)),BidangList,0)),INDEX(checklistPesertaKemenkeu!$P$6:$P$1005,SMALL(IF(checklistPesertaKemenkeu!$AY$6:$AY$1005="Direkomendasikan",ROW($6:$1005)-5),249)))&gt;0,COUNTIF(INDIRECT("'KERTAS KERJA'!K"&amp;(SMALL(IF(checklistPesertaKemenkeu!$AY$6:$AY$1005="Direkomendasikan",ROW($6:$1005)-5),249)+5)&amp;":O"&amp;(SMALL(IF(checklistPesertaKemenkeu!$AY$6:$AY$1005="Direkomendasikan",ROW($6:$1005)-5),249)+5)),INDEX(checklistPesertaKemenkeu!$P$6:$P$1005,SMALL(IF(checklistPesertaKemenkeu!$AY$6:$AY$1005="Direkomendasikan",ROW($6:$1005)-5),249)))=1),IFERROR(VLOOKUP(INDEX(checklistPesertaKemenkeu!$P$6:$P$1005,SMALL(IF(checklistPesertaKemenkeu!$AY$6:$AY$1005="Direkomendasikan",ROW($6:$1005)-5),249)),KotaKode,2,0),"-"),"")),"")</f>
        <v/>
      </c>
    </row>
    <row r="251" spans="1:12" ht="15" customHeight="1" x14ac:dyDescent="0.2">
      <c r="A251" t="str">
        <f t="shared" si="3"/>
        <v/>
      </c>
      <c r="B251" t="str">
        <v/>
      </c>
      <c r="C251" s="40" t="str">
        <f t="array" ref="C251">IFERROR(INDEX(checklistPesertaKemenkeu!$F$6:$F$1005,SMALL(IF(checklistPesertaKemenkeu!$AY$6:$AY$1005="Direkomendasikan",ROW($6:$1005)-5),250)),"")</f>
        <v/>
      </c>
      <c r="D251" t="str">
        <f t="array" ref="D251">IFERROR(INDEX(checklistPesertaKemenkeu!$G$6:$G$1005,SMALL(IF(checklistPesertaKemenkeu!$AY$6:$AY$1005="Direkomendasikan",ROW($6:$1005)-5),250)),"")</f>
        <v/>
      </c>
      <c r="E251" t="str">
        <f t="array" ref="E251">IFERROR(INDEX(checklistPesertaKemenkeu!$H$6:$H$1005,SMALL(IF(checklistPesertaKemenkeu!$AY$6:$AY$1005="Direkomendasikan",ROW($6:$1005)-5),250)),"")</f>
        <v/>
      </c>
      <c r="F251" t="str">
        <f t="array" ref="F251">IFERROR(INDEX(checklistPesertaKemenkeu!$I$6:$I$1005,SMALL(IF(checklistPesertaKemenkeu!$AY$6:$AY$1005="Direkomendasikan",ROW($6:$1005)-5),250)),"")</f>
        <v/>
      </c>
      <c r="G251" t="str">
        <f t="array" ref="G251">IFERROR(INDEX(checklistPesertaKemenkeu!$J$6:$J$1005,SMALL(IF(checklistPesertaKemenkeu!$AY$6:$AY$1005="Direkomendasikan",ROW($6:$1005)-5),250)),"")</f>
        <v/>
      </c>
      <c r="H251" t="str">
        <f t="array" aca="1" ref="H251" ca="1">IFERROR(IF(OR(INDEX(checklistPesertaKemenkeu!$L$6:$L$1005,SMALL(IF(checklistPesertaKemenkeu!$AY$6:$AY$1005="Direkomendasikan",ROW($6:$1005)-5),250))="",INDEX(checklistPesertaKemenkeu!$J$6:$J$1005,SMALL(IF(checklistPesertaKemenkeu!$AY$6:$AY$1005="Direkomendasikan",ROW($6:$1005)-5),250))=""),"",IF(AND(COUNTIF(INDIRECT("K_"&amp;MATCH(INDEX(checklistPesertaKemenkeu!$J$6:$J$1005,SMALL(IF(checklistPesertaKemenkeu!$AY$6:$AY$1005="Direkomendasikan",ROW($6:$1005)-5),250)),BidangList,0)),INDEX(checklistPesertaKemenkeu!$L$6:$L$1005,SMALL(IF(checklistPesertaKemenkeu!$AY$6:$AY$1005="Direkomendasikan",ROW($6:$1005)-5),250)))&gt;0,COUNTIF(INDIRECT("'KERTAS KERJA'!K"&amp;(SMALL(IF(checklistPesertaKemenkeu!$AY$6:$AY$1005="Direkomendasikan",ROW($6:$1005)-5),250)+5)&amp;":O"&amp;(SMALL(IF(checklistPesertaKemenkeu!$AY$6:$AY$1005="Direkomendasikan",ROW($6:$1005)-5),250)+5)),INDEX(checklistPesertaKemenkeu!$L$6:$L$1005,SMALL(IF(checklistPesertaKemenkeu!$AY$6:$AY$1005="Direkomendasikan",ROW($6:$1005)-5),250)))=1),IFERROR(VLOOKUP(INDEX(checklistPesertaKemenkeu!$L$6:$L$1005,SMALL(IF(checklistPesertaKemenkeu!$AY$6:$AY$1005="Direkomendasikan",ROW($6:$1005)-5),250)),KotaKode,2,0),"-"),"")),"")</f>
        <v/>
      </c>
      <c r="I251" t="str">
        <f t="array" aca="1" ref="I251" ca="1">IFERROR(IF(OR(INDEX(checklistPesertaKemenkeu!$M$6:$M$1005,SMALL(IF(checklistPesertaKemenkeu!$AY$6:$AY$1005="Direkomendasikan",ROW($6:$1005)-5),250))="",INDEX(checklistPesertaKemenkeu!$J$6:$J$1005,SMALL(IF(checklistPesertaKemenkeu!$AY$6:$AY$1005="Direkomendasikan",ROW($6:$1005)-5),250))=""),"",IF(AND(COUNTIF(INDIRECT("K_"&amp;MATCH(INDEX(checklistPesertaKemenkeu!$J$6:$J$1005,SMALL(IF(checklistPesertaKemenkeu!$AY$6:$AY$1005="Direkomendasikan",ROW($6:$1005)-5),250)),BidangList,0)),INDEX(checklistPesertaKemenkeu!$M$6:$M$1005,SMALL(IF(checklistPesertaKemenkeu!$AY$6:$AY$1005="Direkomendasikan",ROW($6:$1005)-5),250)))&gt;0,COUNTIF(INDIRECT("'KERTAS KERJA'!K"&amp;(SMALL(IF(checklistPesertaKemenkeu!$AY$6:$AY$1005="Direkomendasikan",ROW($6:$1005)-5),250)+5)&amp;":O"&amp;(SMALL(IF(checklistPesertaKemenkeu!$AY$6:$AY$1005="Direkomendasikan",ROW($6:$1005)-5),250)+5)),INDEX(checklistPesertaKemenkeu!$M$6:$M$1005,SMALL(IF(checklistPesertaKemenkeu!$AY$6:$AY$1005="Direkomendasikan",ROW($6:$1005)-5),250)))=1),IFERROR(VLOOKUP(INDEX(checklistPesertaKemenkeu!$M$6:$M$1005,SMALL(IF(checklistPesertaKemenkeu!$AY$6:$AY$1005="Direkomendasikan",ROW($6:$1005)-5),250)),KotaKode,2,0),"-"),"")),"")</f>
        <v/>
      </c>
      <c r="J251" t="str">
        <f t="array" aca="1" ref="J251" ca="1">IFERROR(IF(OR(INDEX(checklistPesertaKemenkeu!$N$6:$N$1005,SMALL(IF(checklistPesertaKemenkeu!$AY$6:$AY$1005="Direkomendasikan",ROW($6:$1005)-5),250))="",INDEX(checklistPesertaKemenkeu!$J$6:$J$1005,SMALL(IF(checklistPesertaKemenkeu!$AY$6:$AY$1005="Direkomendasikan",ROW($6:$1005)-5),250))=""),"",IF(AND(COUNTIF(INDIRECT("K_"&amp;MATCH(INDEX(checklistPesertaKemenkeu!$J$6:$J$1005,SMALL(IF(checklistPesertaKemenkeu!$AY$6:$AY$1005="Direkomendasikan",ROW($6:$1005)-5),250)),BidangList,0)),INDEX(checklistPesertaKemenkeu!$N$6:$N$1005,SMALL(IF(checklistPesertaKemenkeu!$AY$6:$AY$1005="Direkomendasikan",ROW($6:$1005)-5),250)))&gt;0,COUNTIF(INDIRECT("'KERTAS KERJA'!K"&amp;(SMALL(IF(checklistPesertaKemenkeu!$AY$6:$AY$1005="Direkomendasikan",ROW($6:$1005)-5),250)+5)&amp;":O"&amp;(SMALL(IF(checklistPesertaKemenkeu!$AY$6:$AY$1005="Direkomendasikan",ROW($6:$1005)-5),250)+5)),INDEX(checklistPesertaKemenkeu!$N$6:$N$1005,SMALL(IF(checklistPesertaKemenkeu!$AY$6:$AY$1005="Direkomendasikan",ROW($6:$1005)-5),250)))=1),IFERROR(VLOOKUP(INDEX(checklistPesertaKemenkeu!$N$6:$N$1005,SMALL(IF(checklistPesertaKemenkeu!$AY$6:$AY$1005="Direkomendasikan",ROW($6:$1005)-5),250)),KotaKode,2,0),"-"),"")),"")</f>
        <v/>
      </c>
      <c r="K251" t="str">
        <f t="array" aca="1" ref="K251" ca="1">IFERROR(IF(OR(INDEX(checklistPesertaKemenkeu!$O$6:$O$1005,SMALL(IF(checklistPesertaKemenkeu!$AY$6:$AY$1005="Direkomendasikan",ROW($6:$1005)-5),250))="",INDEX(checklistPesertaKemenkeu!$J$6:$J$1005,SMALL(IF(checklistPesertaKemenkeu!$AY$6:$AY$1005="Direkomendasikan",ROW($6:$1005)-5),250))=""),"",IF(AND(COUNTIF(INDIRECT("K_"&amp;MATCH(INDEX(checklistPesertaKemenkeu!$J$6:$J$1005,SMALL(IF(checklistPesertaKemenkeu!$AY$6:$AY$1005="Direkomendasikan",ROW($6:$1005)-5),250)),BidangList,0)),INDEX(checklistPesertaKemenkeu!$O$6:$O$1005,SMALL(IF(checklistPesertaKemenkeu!$AY$6:$AY$1005="Direkomendasikan",ROW($6:$1005)-5),250)))&gt;0,COUNTIF(INDIRECT("'KERTAS KERJA'!K"&amp;(SMALL(IF(checklistPesertaKemenkeu!$AY$6:$AY$1005="Direkomendasikan",ROW($6:$1005)-5),250)+5)&amp;":O"&amp;(SMALL(IF(checklistPesertaKemenkeu!$AY$6:$AY$1005="Direkomendasikan",ROW($6:$1005)-5),250)+5)),INDEX(checklistPesertaKemenkeu!$O$6:$O$1005,SMALL(IF(checklistPesertaKemenkeu!$AY$6:$AY$1005="Direkomendasikan",ROW($6:$1005)-5),250)))=1),IFERROR(VLOOKUP(INDEX(checklistPesertaKemenkeu!$O$6:$O$1005,SMALL(IF(checklistPesertaKemenkeu!$AY$6:$AY$1005="Direkomendasikan",ROW($6:$1005)-5),250)),KotaKode,2,0),"-"),"")),"")</f>
        <v/>
      </c>
      <c r="L251" t="str">
        <f t="array" aca="1" ref="L251" ca="1">IFERROR(IF(OR(INDEX(checklistPesertaKemenkeu!$P$6:$P$1005,SMALL(IF(checklistPesertaKemenkeu!$AY$6:$AY$1005="Direkomendasikan",ROW($6:$1005)-5),250))="",INDEX(checklistPesertaKemenkeu!$J$6:$J$1005,SMALL(IF(checklistPesertaKemenkeu!$AY$6:$AY$1005="Direkomendasikan",ROW($6:$1005)-5),250))=""),"",IF(AND(COUNTIF(INDIRECT("K_"&amp;MATCH(INDEX(checklistPesertaKemenkeu!$J$6:$J$1005,SMALL(IF(checklistPesertaKemenkeu!$AY$6:$AY$1005="Direkomendasikan",ROW($6:$1005)-5),250)),BidangList,0)),INDEX(checklistPesertaKemenkeu!$P$6:$P$1005,SMALL(IF(checklistPesertaKemenkeu!$AY$6:$AY$1005="Direkomendasikan",ROW($6:$1005)-5),250)))&gt;0,COUNTIF(INDIRECT("'KERTAS KERJA'!K"&amp;(SMALL(IF(checklistPesertaKemenkeu!$AY$6:$AY$1005="Direkomendasikan",ROW($6:$1005)-5),250)+5)&amp;":O"&amp;(SMALL(IF(checklistPesertaKemenkeu!$AY$6:$AY$1005="Direkomendasikan",ROW($6:$1005)-5),250)+5)),INDEX(checklistPesertaKemenkeu!$P$6:$P$1005,SMALL(IF(checklistPesertaKemenkeu!$AY$6:$AY$1005="Direkomendasikan",ROW($6:$1005)-5),250)))=1),IFERROR(VLOOKUP(INDEX(checklistPesertaKemenkeu!$P$6:$P$1005,SMALL(IF(checklistPesertaKemenkeu!$AY$6:$AY$1005="Direkomendasikan",ROW($6:$1005)-5),250)),KotaKode,2,0),"-"),"")),"")</f>
        <v/>
      </c>
    </row>
    <row r="252" spans="1:12" ht="15" customHeight="1" x14ac:dyDescent="0.2">
      <c r="A252" t="str">
        <f t="shared" si="3"/>
        <v/>
      </c>
      <c r="B252" t="str">
        <v/>
      </c>
      <c r="C252" s="40" t="str">
        <f t="array" ref="C252">IFERROR(INDEX(checklistPesertaKemenkeu!$F$6:$F$1005,SMALL(IF(checklistPesertaKemenkeu!$AY$6:$AY$1005="Direkomendasikan",ROW($6:$1005)-5),251)),"")</f>
        <v/>
      </c>
      <c r="D252" t="str">
        <f t="array" ref="D252">IFERROR(INDEX(checklistPesertaKemenkeu!$G$6:$G$1005,SMALL(IF(checklistPesertaKemenkeu!$AY$6:$AY$1005="Direkomendasikan",ROW($6:$1005)-5),251)),"")</f>
        <v/>
      </c>
      <c r="E252" t="str">
        <f t="array" ref="E252">IFERROR(INDEX(checklistPesertaKemenkeu!$H$6:$H$1005,SMALL(IF(checklistPesertaKemenkeu!$AY$6:$AY$1005="Direkomendasikan",ROW($6:$1005)-5),251)),"")</f>
        <v/>
      </c>
      <c r="F252" t="str">
        <f t="array" ref="F252">IFERROR(INDEX(checklistPesertaKemenkeu!$I$6:$I$1005,SMALL(IF(checklistPesertaKemenkeu!$AY$6:$AY$1005="Direkomendasikan",ROW($6:$1005)-5),251)),"")</f>
        <v/>
      </c>
      <c r="G252" t="str">
        <f t="array" ref="G252">IFERROR(INDEX(checklistPesertaKemenkeu!$J$6:$J$1005,SMALL(IF(checklistPesertaKemenkeu!$AY$6:$AY$1005="Direkomendasikan",ROW($6:$1005)-5),251)),"")</f>
        <v/>
      </c>
      <c r="H252" t="str">
        <f t="array" aca="1" ref="H252" ca="1">IFERROR(IF(OR(INDEX(checklistPesertaKemenkeu!$L$6:$L$1005,SMALL(IF(checklistPesertaKemenkeu!$AY$6:$AY$1005="Direkomendasikan",ROW($6:$1005)-5),251))="",INDEX(checklistPesertaKemenkeu!$J$6:$J$1005,SMALL(IF(checklistPesertaKemenkeu!$AY$6:$AY$1005="Direkomendasikan",ROW($6:$1005)-5),251))=""),"",IF(AND(COUNTIF(INDIRECT("K_"&amp;MATCH(INDEX(checklistPesertaKemenkeu!$J$6:$J$1005,SMALL(IF(checklistPesertaKemenkeu!$AY$6:$AY$1005="Direkomendasikan",ROW($6:$1005)-5),251)),BidangList,0)),INDEX(checklistPesertaKemenkeu!$L$6:$L$1005,SMALL(IF(checklistPesertaKemenkeu!$AY$6:$AY$1005="Direkomendasikan",ROW($6:$1005)-5),251)))&gt;0,COUNTIF(INDIRECT("'KERTAS KERJA'!K"&amp;(SMALL(IF(checklistPesertaKemenkeu!$AY$6:$AY$1005="Direkomendasikan",ROW($6:$1005)-5),251)+5)&amp;":O"&amp;(SMALL(IF(checklistPesertaKemenkeu!$AY$6:$AY$1005="Direkomendasikan",ROW($6:$1005)-5),251)+5)),INDEX(checklistPesertaKemenkeu!$L$6:$L$1005,SMALL(IF(checklistPesertaKemenkeu!$AY$6:$AY$1005="Direkomendasikan",ROW($6:$1005)-5),251)))=1),IFERROR(VLOOKUP(INDEX(checklistPesertaKemenkeu!$L$6:$L$1005,SMALL(IF(checklistPesertaKemenkeu!$AY$6:$AY$1005="Direkomendasikan",ROW($6:$1005)-5),251)),KotaKode,2,0),"-"),"")),"")</f>
        <v/>
      </c>
      <c r="I252" t="str">
        <f t="array" aca="1" ref="I252" ca="1">IFERROR(IF(OR(INDEX(checklistPesertaKemenkeu!$M$6:$M$1005,SMALL(IF(checklistPesertaKemenkeu!$AY$6:$AY$1005="Direkomendasikan",ROW($6:$1005)-5),251))="",INDEX(checklistPesertaKemenkeu!$J$6:$J$1005,SMALL(IF(checklistPesertaKemenkeu!$AY$6:$AY$1005="Direkomendasikan",ROW($6:$1005)-5),251))=""),"",IF(AND(COUNTIF(INDIRECT("K_"&amp;MATCH(INDEX(checklistPesertaKemenkeu!$J$6:$J$1005,SMALL(IF(checklistPesertaKemenkeu!$AY$6:$AY$1005="Direkomendasikan",ROW($6:$1005)-5),251)),BidangList,0)),INDEX(checklistPesertaKemenkeu!$M$6:$M$1005,SMALL(IF(checklistPesertaKemenkeu!$AY$6:$AY$1005="Direkomendasikan",ROW($6:$1005)-5),251)))&gt;0,COUNTIF(INDIRECT("'KERTAS KERJA'!K"&amp;(SMALL(IF(checklistPesertaKemenkeu!$AY$6:$AY$1005="Direkomendasikan",ROW($6:$1005)-5),251)+5)&amp;":O"&amp;(SMALL(IF(checklistPesertaKemenkeu!$AY$6:$AY$1005="Direkomendasikan",ROW($6:$1005)-5),251)+5)),INDEX(checklistPesertaKemenkeu!$M$6:$M$1005,SMALL(IF(checklistPesertaKemenkeu!$AY$6:$AY$1005="Direkomendasikan",ROW($6:$1005)-5),251)))=1),IFERROR(VLOOKUP(INDEX(checklistPesertaKemenkeu!$M$6:$M$1005,SMALL(IF(checklistPesertaKemenkeu!$AY$6:$AY$1005="Direkomendasikan",ROW($6:$1005)-5),251)),KotaKode,2,0),"-"),"")),"")</f>
        <v/>
      </c>
      <c r="J252" t="str">
        <f t="array" aca="1" ref="J252" ca="1">IFERROR(IF(OR(INDEX(checklistPesertaKemenkeu!$N$6:$N$1005,SMALL(IF(checklistPesertaKemenkeu!$AY$6:$AY$1005="Direkomendasikan",ROW($6:$1005)-5),251))="",INDEX(checklistPesertaKemenkeu!$J$6:$J$1005,SMALL(IF(checklistPesertaKemenkeu!$AY$6:$AY$1005="Direkomendasikan",ROW($6:$1005)-5),251))=""),"",IF(AND(COUNTIF(INDIRECT("K_"&amp;MATCH(INDEX(checklistPesertaKemenkeu!$J$6:$J$1005,SMALL(IF(checklistPesertaKemenkeu!$AY$6:$AY$1005="Direkomendasikan",ROW($6:$1005)-5),251)),BidangList,0)),INDEX(checklistPesertaKemenkeu!$N$6:$N$1005,SMALL(IF(checklistPesertaKemenkeu!$AY$6:$AY$1005="Direkomendasikan",ROW($6:$1005)-5),251)))&gt;0,COUNTIF(INDIRECT("'KERTAS KERJA'!K"&amp;(SMALL(IF(checklistPesertaKemenkeu!$AY$6:$AY$1005="Direkomendasikan",ROW($6:$1005)-5),251)+5)&amp;":O"&amp;(SMALL(IF(checklistPesertaKemenkeu!$AY$6:$AY$1005="Direkomendasikan",ROW($6:$1005)-5),251)+5)),INDEX(checklistPesertaKemenkeu!$N$6:$N$1005,SMALL(IF(checklistPesertaKemenkeu!$AY$6:$AY$1005="Direkomendasikan",ROW($6:$1005)-5),251)))=1),IFERROR(VLOOKUP(INDEX(checklistPesertaKemenkeu!$N$6:$N$1005,SMALL(IF(checklistPesertaKemenkeu!$AY$6:$AY$1005="Direkomendasikan",ROW($6:$1005)-5),251)),KotaKode,2,0),"-"),"")),"")</f>
        <v/>
      </c>
      <c r="K252" t="str">
        <f t="array" aca="1" ref="K252" ca="1">IFERROR(IF(OR(INDEX(checklistPesertaKemenkeu!$O$6:$O$1005,SMALL(IF(checklistPesertaKemenkeu!$AY$6:$AY$1005="Direkomendasikan",ROW($6:$1005)-5),251))="",INDEX(checklistPesertaKemenkeu!$J$6:$J$1005,SMALL(IF(checklistPesertaKemenkeu!$AY$6:$AY$1005="Direkomendasikan",ROW($6:$1005)-5),251))=""),"",IF(AND(COUNTIF(INDIRECT("K_"&amp;MATCH(INDEX(checklistPesertaKemenkeu!$J$6:$J$1005,SMALL(IF(checklistPesertaKemenkeu!$AY$6:$AY$1005="Direkomendasikan",ROW($6:$1005)-5),251)),BidangList,0)),INDEX(checklistPesertaKemenkeu!$O$6:$O$1005,SMALL(IF(checklistPesertaKemenkeu!$AY$6:$AY$1005="Direkomendasikan",ROW($6:$1005)-5),251)))&gt;0,COUNTIF(INDIRECT("'KERTAS KERJA'!K"&amp;(SMALL(IF(checklistPesertaKemenkeu!$AY$6:$AY$1005="Direkomendasikan",ROW($6:$1005)-5),251)+5)&amp;":O"&amp;(SMALL(IF(checklistPesertaKemenkeu!$AY$6:$AY$1005="Direkomendasikan",ROW($6:$1005)-5),251)+5)),INDEX(checklistPesertaKemenkeu!$O$6:$O$1005,SMALL(IF(checklistPesertaKemenkeu!$AY$6:$AY$1005="Direkomendasikan",ROW($6:$1005)-5),251)))=1),IFERROR(VLOOKUP(INDEX(checklistPesertaKemenkeu!$O$6:$O$1005,SMALL(IF(checklistPesertaKemenkeu!$AY$6:$AY$1005="Direkomendasikan",ROW($6:$1005)-5),251)),KotaKode,2,0),"-"),"")),"")</f>
        <v/>
      </c>
      <c r="L252" t="str">
        <f t="array" aca="1" ref="L252" ca="1">IFERROR(IF(OR(INDEX(checklistPesertaKemenkeu!$P$6:$P$1005,SMALL(IF(checklistPesertaKemenkeu!$AY$6:$AY$1005="Direkomendasikan",ROW($6:$1005)-5),251))="",INDEX(checklistPesertaKemenkeu!$J$6:$J$1005,SMALL(IF(checklistPesertaKemenkeu!$AY$6:$AY$1005="Direkomendasikan",ROW($6:$1005)-5),251))=""),"",IF(AND(COUNTIF(INDIRECT("K_"&amp;MATCH(INDEX(checklistPesertaKemenkeu!$J$6:$J$1005,SMALL(IF(checklistPesertaKemenkeu!$AY$6:$AY$1005="Direkomendasikan",ROW($6:$1005)-5),251)),BidangList,0)),INDEX(checklistPesertaKemenkeu!$P$6:$P$1005,SMALL(IF(checklistPesertaKemenkeu!$AY$6:$AY$1005="Direkomendasikan",ROW($6:$1005)-5),251)))&gt;0,COUNTIF(INDIRECT("'KERTAS KERJA'!K"&amp;(SMALL(IF(checklistPesertaKemenkeu!$AY$6:$AY$1005="Direkomendasikan",ROW($6:$1005)-5),251)+5)&amp;":O"&amp;(SMALL(IF(checklistPesertaKemenkeu!$AY$6:$AY$1005="Direkomendasikan",ROW($6:$1005)-5),251)+5)),INDEX(checklistPesertaKemenkeu!$P$6:$P$1005,SMALL(IF(checklistPesertaKemenkeu!$AY$6:$AY$1005="Direkomendasikan",ROW($6:$1005)-5),251)))=1),IFERROR(VLOOKUP(INDEX(checklistPesertaKemenkeu!$P$6:$P$1005,SMALL(IF(checklistPesertaKemenkeu!$AY$6:$AY$1005="Direkomendasikan",ROW($6:$1005)-5),251)),KotaKode,2,0),"-"),"")),"")</f>
        <v/>
      </c>
    </row>
    <row r="253" spans="1:12" ht="15" customHeight="1" x14ac:dyDescent="0.2">
      <c r="A253" t="str">
        <f t="shared" si="3"/>
        <v/>
      </c>
      <c r="B253" t="str">
        <v/>
      </c>
      <c r="C253" s="40" t="str">
        <f t="array" ref="C253">IFERROR(INDEX(checklistPesertaKemenkeu!$F$6:$F$1005,SMALL(IF(checklistPesertaKemenkeu!$AY$6:$AY$1005="Direkomendasikan",ROW($6:$1005)-5),252)),"")</f>
        <v/>
      </c>
      <c r="D253" t="str">
        <f t="array" ref="D253">IFERROR(INDEX(checklistPesertaKemenkeu!$G$6:$G$1005,SMALL(IF(checklistPesertaKemenkeu!$AY$6:$AY$1005="Direkomendasikan",ROW($6:$1005)-5),252)),"")</f>
        <v/>
      </c>
      <c r="E253" t="str">
        <f t="array" ref="E253">IFERROR(INDEX(checklistPesertaKemenkeu!$H$6:$H$1005,SMALL(IF(checklistPesertaKemenkeu!$AY$6:$AY$1005="Direkomendasikan",ROW($6:$1005)-5),252)),"")</f>
        <v/>
      </c>
      <c r="F253" t="str">
        <f t="array" ref="F253">IFERROR(INDEX(checklistPesertaKemenkeu!$I$6:$I$1005,SMALL(IF(checklistPesertaKemenkeu!$AY$6:$AY$1005="Direkomendasikan",ROW($6:$1005)-5),252)),"")</f>
        <v/>
      </c>
      <c r="G253" t="str">
        <f t="array" ref="G253">IFERROR(INDEX(checklistPesertaKemenkeu!$J$6:$J$1005,SMALL(IF(checklistPesertaKemenkeu!$AY$6:$AY$1005="Direkomendasikan",ROW($6:$1005)-5),252)),"")</f>
        <v/>
      </c>
      <c r="H253" t="str">
        <f t="array" aca="1" ref="H253" ca="1">IFERROR(IF(OR(INDEX(checklistPesertaKemenkeu!$L$6:$L$1005,SMALL(IF(checklistPesertaKemenkeu!$AY$6:$AY$1005="Direkomendasikan",ROW($6:$1005)-5),252))="",INDEX(checklistPesertaKemenkeu!$J$6:$J$1005,SMALL(IF(checklistPesertaKemenkeu!$AY$6:$AY$1005="Direkomendasikan",ROW($6:$1005)-5),252))=""),"",IF(AND(COUNTIF(INDIRECT("K_"&amp;MATCH(INDEX(checklistPesertaKemenkeu!$J$6:$J$1005,SMALL(IF(checklistPesertaKemenkeu!$AY$6:$AY$1005="Direkomendasikan",ROW($6:$1005)-5),252)),BidangList,0)),INDEX(checklistPesertaKemenkeu!$L$6:$L$1005,SMALL(IF(checklistPesertaKemenkeu!$AY$6:$AY$1005="Direkomendasikan",ROW($6:$1005)-5),252)))&gt;0,COUNTIF(INDIRECT("'KERTAS KERJA'!K"&amp;(SMALL(IF(checklistPesertaKemenkeu!$AY$6:$AY$1005="Direkomendasikan",ROW($6:$1005)-5),252)+5)&amp;":O"&amp;(SMALL(IF(checklistPesertaKemenkeu!$AY$6:$AY$1005="Direkomendasikan",ROW($6:$1005)-5),252)+5)),INDEX(checklistPesertaKemenkeu!$L$6:$L$1005,SMALL(IF(checklistPesertaKemenkeu!$AY$6:$AY$1005="Direkomendasikan",ROW($6:$1005)-5),252)))=1),IFERROR(VLOOKUP(INDEX(checklistPesertaKemenkeu!$L$6:$L$1005,SMALL(IF(checklistPesertaKemenkeu!$AY$6:$AY$1005="Direkomendasikan",ROW($6:$1005)-5),252)),KotaKode,2,0),"-"),"")),"")</f>
        <v/>
      </c>
      <c r="I253" t="str">
        <f t="array" aca="1" ref="I253" ca="1">IFERROR(IF(OR(INDEX(checklistPesertaKemenkeu!$M$6:$M$1005,SMALL(IF(checklistPesertaKemenkeu!$AY$6:$AY$1005="Direkomendasikan",ROW($6:$1005)-5),252))="",INDEX(checklistPesertaKemenkeu!$J$6:$J$1005,SMALL(IF(checklistPesertaKemenkeu!$AY$6:$AY$1005="Direkomendasikan",ROW($6:$1005)-5),252))=""),"",IF(AND(COUNTIF(INDIRECT("K_"&amp;MATCH(INDEX(checklistPesertaKemenkeu!$J$6:$J$1005,SMALL(IF(checklistPesertaKemenkeu!$AY$6:$AY$1005="Direkomendasikan",ROW($6:$1005)-5),252)),BidangList,0)),INDEX(checklistPesertaKemenkeu!$M$6:$M$1005,SMALL(IF(checklistPesertaKemenkeu!$AY$6:$AY$1005="Direkomendasikan",ROW($6:$1005)-5),252)))&gt;0,COUNTIF(INDIRECT("'KERTAS KERJA'!K"&amp;(SMALL(IF(checklistPesertaKemenkeu!$AY$6:$AY$1005="Direkomendasikan",ROW($6:$1005)-5),252)+5)&amp;":O"&amp;(SMALL(IF(checklistPesertaKemenkeu!$AY$6:$AY$1005="Direkomendasikan",ROW($6:$1005)-5),252)+5)),INDEX(checklistPesertaKemenkeu!$M$6:$M$1005,SMALL(IF(checklistPesertaKemenkeu!$AY$6:$AY$1005="Direkomendasikan",ROW($6:$1005)-5),252)))=1),IFERROR(VLOOKUP(INDEX(checklistPesertaKemenkeu!$M$6:$M$1005,SMALL(IF(checklistPesertaKemenkeu!$AY$6:$AY$1005="Direkomendasikan",ROW($6:$1005)-5),252)),KotaKode,2,0),"-"),"")),"")</f>
        <v/>
      </c>
      <c r="J253" t="str">
        <f t="array" aca="1" ref="J253" ca="1">IFERROR(IF(OR(INDEX(checklistPesertaKemenkeu!$N$6:$N$1005,SMALL(IF(checklistPesertaKemenkeu!$AY$6:$AY$1005="Direkomendasikan",ROW($6:$1005)-5),252))="",INDEX(checklistPesertaKemenkeu!$J$6:$J$1005,SMALL(IF(checklistPesertaKemenkeu!$AY$6:$AY$1005="Direkomendasikan",ROW($6:$1005)-5),252))=""),"",IF(AND(COUNTIF(INDIRECT("K_"&amp;MATCH(INDEX(checklistPesertaKemenkeu!$J$6:$J$1005,SMALL(IF(checklistPesertaKemenkeu!$AY$6:$AY$1005="Direkomendasikan",ROW($6:$1005)-5),252)),BidangList,0)),INDEX(checklistPesertaKemenkeu!$N$6:$N$1005,SMALL(IF(checklistPesertaKemenkeu!$AY$6:$AY$1005="Direkomendasikan",ROW($6:$1005)-5),252)))&gt;0,COUNTIF(INDIRECT("'KERTAS KERJA'!K"&amp;(SMALL(IF(checklistPesertaKemenkeu!$AY$6:$AY$1005="Direkomendasikan",ROW($6:$1005)-5),252)+5)&amp;":O"&amp;(SMALL(IF(checklistPesertaKemenkeu!$AY$6:$AY$1005="Direkomendasikan",ROW($6:$1005)-5),252)+5)),INDEX(checklistPesertaKemenkeu!$N$6:$N$1005,SMALL(IF(checklistPesertaKemenkeu!$AY$6:$AY$1005="Direkomendasikan",ROW($6:$1005)-5),252)))=1),IFERROR(VLOOKUP(INDEX(checklistPesertaKemenkeu!$N$6:$N$1005,SMALL(IF(checklistPesertaKemenkeu!$AY$6:$AY$1005="Direkomendasikan",ROW($6:$1005)-5),252)),KotaKode,2,0),"-"),"")),"")</f>
        <v/>
      </c>
      <c r="K253" t="str">
        <f t="array" aca="1" ref="K253" ca="1">IFERROR(IF(OR(INDEX(checklistPesertaKemenkeu!$O$6:$O$1005,SMALL(IF(checklistPesertaKemenkeu!$AY$6:$AY$1005="Direkomendasikan",ROW($6:$1005)-5),252))="",INDEX(checklistPesertaKemenkeu!$J$6:$J$1005,SMALL(IF(checklistPesertaKemenkeu!$AY$6:$AY$1005="Direkomendasikan",ROW($6:$1005)-5),252))=""),"",IF(AND(COUNTIF(INDIRECT("K_"&amp;MATCH(INDEX(checklistPesertaKemenkeu!$J$6:$J$1005,SMALL(IF(checklistPesertaKemenkeu!$AY$6:$AY$1005="Direkomendasikan",ROW($6:$1005)-5),252)),BidangList,0)),INDEX(checklistPesertaKemenkeu!$O$6:$O$1005,SMALL(IF(checklistPesertaKemenkeu!$AY$6:$AY$1005="Direkomendasikan",ROW($6:$1005)-5),252)))&gt;0,COUNTIF(INDIRECT("'KERTAS KERJA'!K"&amp;(SMALL(IF(checklistPesertaKemenkeu!$AY$6:$AY$1005="Direkomendasikan",ROW($6:$1005)-5),252)+5)&amp;":O"&amp;(SMALL(IF(checklistPesertaKemenkeu!$AY$6:$AY$1005="Direkomendasikan",ROW($6:$1005)-5),252)+5)),INDEX(checklistPesertaKemenkeu!$O$6:$O$1005,SMALL(IF(checklistPesertaKemenkeu!$AY$6:$AY$1005="Direkomendasikan",ROW($6:$1005)-5),252)))=1),IFERROR(VLOOKUP(INDEX(checklistPesertaKemenkeu!$O$6:$O$1005,SMALL(IF(checklistPesertaKemenkeu!$AY$6:$AY$1005="Direkomendasikan",ROW($6:$1005)-5),252)),KotaKode,2,0),"-"),"")),"")</f>
        <v/>
      </c>
      <c r="L253" t="str">
        <f t="array" aca="1" ref="L253" ca="1">IFERROR(IF(OR(INDEX(checklistPesertaKemenkeu!$P$6:$P$1005,SMALL(IF(checklistPesertaKemenkeu!$AY$6:$AY$1005="Direkomendasikan",ROW($6:$1005)-5),252))="",INDEX(checklistPesertaKemenkeu!$J$6:$J$1005,SMALL(IF(checklistPesertaKemenkeu!$AY$6:$AY$1005="Direkomendasikan",ROW($6:$1005)-5),252))=""),"",IF(AND(COUNTIF(INDIRECT("K_"&amp;MATCH(INDEX(checklistPesertaKemenkeu!$J$6:$J$1005,SMALL(IF(checklistPesertaKemenkeu!$AY$6:$AY$1005="Direkomendasikan",ROW($6:$1005)-5),252)),BidangList,0)),INDEX(checklistPesertaKemenkeu!$P$6:$P$1005,SMALL(IF(checklistPesertaKemenkeu!$AY$6:$AY$1005="Direkomendasikan",ROW($6:$1005)-5),252)))&gt;0,COUNTIF(INDIRECT("'KERTAS KERJA'!K"&amp;(SMALL(IF(checklistPesertaKemenkeu!$AY$6:$AY$1005="Direkomendasikan",ROW($6:$1005)-5),252)+5)&amp;":O"&amp;(SMALL(IF(checklistPesertaKemenkeu!$AY$6:$AY$1005="Direkomendasikan",ROW($6:$1005)-5),252)+5)),INDEX(checklistPesertaKemenkeu!$P$6:$P$1005,SMALL(IF(checklistPesertaKemenkeu!$AY$6:$AY$1005="Direkomendasikan",ROW($6:$1005)-5),252)))=1),IFERROR(VLOOKUP(INDEX(checklistPesertaKemenkeu!$P$6:$P$1005,SMALL(IF(checklistPesertaKemenkeu!$AY$6:$AY$1005="Direkomendasikan",ROW($6:$1005)-5),252)),KotaKode,2,0),"-"),"")),"")</f>
        <v/>
      </c>
    </row>
    <row r="254" spans="1:12" ht="15" customHeight="1" x14ac:dyDescent="0.2">
      <c r="A254" t="str">
        <f t="shared" si="3"/>
        <v/>
      </c>
      <c r="B254" t="str">
        <v/>
      </c>
      <c r="C254" s="40" t="str">
        <f t="array" ref="C254">IFERROR(INDEX(checklistPesertaKemenkeu!$F$6:$F$1005,SMALL(IF(checklistPesertaKemenkeu!$AY$6:$AY$1005="Direkomendasikan",ROW($6:$1005)-5),253)),"")</f>
        <v/>
      </c>
      <c r="D254" t="str">
        <f t="array" ref="D254">IFERROR(INDEX(checklistPesertaKemenkeu!$G$6:$G$1005,SMALL(IF(checklistPesertaKemenkeu!$AY$6:$AY$1005="Direkomendasikan",ROW($6:$1005)-5),253)),"")</f>
        <v/>
      </c>
      <c r="E254" t="str">
        <f t="array" ref="E254">IFERROR(INDEX(checklistPesertaKemenkeu!$H$6:$H$1005,SMALL(IF(checklistPesertaKemenkeu!$AY$6:$AY$1005="Direkomendasikan",ROW($6:$1005)-5),253)),"")</f>
        <v/>
      </c>
      <c r="F254" t="str">
        <f t="array" ref="F254">IFERROR(INDEX(checklistPesertaKemenkeu!$I$6:$I$1005,SMALL(IF(checklistPesertaKemenkeu!$AY$6:$AY$1005="Direkomendasikan",ROW($6:$1005)-5),253)),"")</f>
        <v/>
      </c>
      <c r="G254" t="str">
        <f t="array" ref="G254">IFERROR(INDEX(checklistPesertaKemenkeu!$J$6:$J$1005,SMALL(IF(checklistPesertaKemenkeu!$AY$6:$AY$1005="Direkomendasikan",ROW($6:$1005)-5),253)),"")</f>
        <v/>
      </c>
      <c r="H254" t="str">
        <f t="array" aca="1" ref="H254" ca="1">IFERROR(IF(OR(INDEX(checklistPesertaKemenkeu!$L$6:$L$1005,SMALL(IF(checklistPesertaKemenkeu!$AY$6:$AY$1005="Direkomendasikan",ROW($6:$1005)-5),253))="",INDEX(checklistPesertaKemenkeu!$J$6:$J$1005,SMALL(IF(checklistPesertaKemenkeu!$AY$6:$AY$1005="Direkomendasikan",ROW($6:$1005)-5),253))=""),"",IF(AND(COUNTIF(INDIRECT("K_"&amp;MATCH(INDEX(checklistPesertaKemenkeu!$J$6:$J$1005,SMALL(IF(checklistPesertaKemenkeu!$AY$6:$AY$1005="Direkomendasikan",ROW($6:$1005)-5),253)),BidangList,0)),INDEX(checklistPesertaKemenkeu!$L$6:$L$1005,SMALL(IF(checklistPesertaKemenkeu!$AY$6:$AY$1005="Direkomendasikan",ROW($6:$1005)-5),253)))&gt;0,COUNTIF(INDIRECT("'KERTAS KERJA'!K"&amp;(SMALL(IF(checklistPesertaKemenkeu!$AY$6:$AY$1005="Direkomendasikan",ROW($6:$1005)-5),253)+5)&amp;":O"&amp;(SMALL(IF(checklistPesertaKemenkeu!$AY$6:$AY$1005="Direkomendasikan",ROW($6:$1005)-5),253)+5)),INDEX(checklistPesertaKemenkeu!$L$6:$L$1005,SMALL(IF(checklistPesertaKemenkeu!$AY$6:$AY$1005="Direkomendasikan",ROW($6:$1005)-5),253)))=1),IFERROR(VLOOKUP(INDEX(checklistPesertaKemenkeu!$L$6:$L$1005,SMALL(IF(checklistPesertaKemenkeu!$AY$6:$AY$1005="Direkomendasikan",ROW($6:$1005)-5),253)),KotaKode,2,0),"-"),"")),"")</f>
        <v/>
      </c>
      <c r="I254" t="str">
        <f t="array" aca="1" ref="I254" ca="1">IFERROR(IF(OR(INDEX(checklistPesertaKemenkeu!$M$6:$M$1005,SMALL(IF(checklistPesertaKemenkeu!$AY$6:$AY$1005="Direkomendasikan",ROW($6:$1005)-5),253))="",INDEX(checklistPesertaKemenkeu!$J$6:$J$1005,SMALL(IF(checklistPesertaKemenkeu!$AY$6:$AY$1005="Direkomendasikan",ROW($6:$1005)-5),253))=""),"",IF(AND(COUNTIF(INDIRECT("K_"&amp;MATCH(INDEX(checklistPesertaKemenkeu!$J$6:$J$1005,SMALL(IF(checklistPesertaKemenkeu!$AY$6:$AY$1005="Direkomendasikan",ROW($6:$1005)-5),253)),BidangList,0)),INDEX(checklistPesertaKemenkeu!$M$6:$M$1005,SMALL(IF(checklistPesertaKemenkeu!$AY$6:$AY$1005="Direkomendasikan",ROW($6:$1005)-5),253)))&gt;0,COUNTIF(INDIRECT("'KERTAS KERJA'!K"&amp;(SMALL(IF(checklistPesertaKemenkeu!$AY$6:$AY$1005="Direkomendasikan",ROW($6:$1005)-5),253)+5)&amp;":O"&amp;(SMALL(IF(checklistPesertaKemenkeu!$AY$6:$AY$1005="Direkomendasikan",ROW($6:$1005)-5),253)+5)),INDEX(checklistPesertaKemenkeu!$M$6:$M$1005,SMALL(IF(checklistPesertaKemenkeu!$AY$6:$AY$1005="Direkomendasikan",ROW($6:$1005)-5),253)))=1),IFERROR(VLOOKUP(INDEX(checklistPesertaKemenkeu!$M$6:$M$1005,SMALL(IF(checklistPesertaKemenkeu!$AY$6:$AY$1005="Direkomendasikan",ROW($6:$1005)-5),253)),KotaKode,2,0),"-"),"")),"")</f>
        <v/>
      </c>
      <c r="J254" t="str">
        <f t="array" aca="1" ref="J254" ca="1">IFERROR(IF(OR(INDEX(checklistPesertaKemenkeu!$N$6:$N$1005,SMALL(IF(checklistPesertaKemenkeu!$AY$6:$AY$1005="Direkomendasikan",ROW($6:$1005)-5),253))="",INDEX(checklistPesertaKemenkeu!$J$6:$J$1005,SMALL(IF(checklistPesertaKemenkeu!$AY$6:$AY$1005="Direkomendasikan",ROW($6:$1005)-5),253))=""),"",IF(AND(COUNTIF(INDIRECT("K_"&amp;MATCH(INDEX(checklistPesertaKemenkeu!$J$6:$J$1005,SMALL(IF(checklistPesertaKemenkeu!$AY$6:$AY$1005="Direkomendasikan",ROW($6:$1005)-5),253)),BidangList,0)),INDEX(checklistPesertaKemenkeu!$N$6:$N$1005,SMALL(IF(checklistPesertaKemenkeu!$AY$6:$AY$1005="Direkomendasikan",ROW($6:$1005)-5),253)))&gt;0,COUNTIF(INDIRECT("'KERTAS KERJA'!K"&amp;(SMALL(IF(checklistPesertaKemenkeu!$AY$6:$AY$1005="Direkomendasikan",ROW($6:$1005)-5),253)+5)&amp;":O"&amp;(SMALL(IF(checklistPesertaKemenkeu!$AY$6:$AY$1005="Direkomendasikan",ROW($6:$1005)-5),253)+5)),INDEX(checklistPesertaKemenkeu!$N$6:$N$1005,SMALL(IF(checklistPesertaKemenkeu!$AY$6:$AY$1005="Direkomendasikan",ROW($6:$1005)-5),253)))=1),IFERROR(VLOOKUP(INDEX(checklistPesertaKemenkeu!$N$6:$N$1005,SMALL(IF(checklistPesertaKemenkeu!$AY$6:$AY$1005="Direkomendasikan",ROW($6:$1005)-5),253)),KotaKode,2,0),"-"),"")),"")</f>
        <v/>
      </c>
      <c r="K254" t="str">
        <f t="array" aca="1" ref="K254" ca="1">IFERROR(IF(OR(INDEX(checklistPesertaKemenkeu!$O$6:$O$1005,SMALL(IF(checklistPesertaKemenkeu!$AY$6:$AY$1005="Direkomendasikan",ROW($6:$1005)-5),253))="",INDEX(checklistPesertaKemenkeu!$J$6:$J$1005,SMALL(IF(checklistPesertaKemenkeu!$AY$6:$AY$1005="Direkomendasikan",ROW($6:$1005)-5),253))=""),"",IF(AND(COUNTIF(INDIRECT("K_"&amp;MATCH(INDEX(checklistPesertaKemenkeu!$J$6:$J$1005,SMALL(IF(checklistPesertaKemenkeu!$AY$6:$AY$1005="Direkomendasikan",ROW($6:$1005)-5),253)),BidangList,0)),INDEX(checklistPesertaKemenkeu!$O$6:$O$1005,SMALL(IF(checklistPesertaKemenkeu!$AY$6:$AY$1005="Direkomendasikan",ROW($6:$1005)-5),253)))&gt;0,COUNTIF(INDIRECT("'KERTAS KERJA'!K"&amp;(SMALL(IF(checklistPesertaKemenkeu!$AY$6:$AY$1005="Direkomendasikan",ROW($6:$1005)-5),253)+5)&amp;":O"&amp;(SMALL(IF(checklistPesertaKemenkeu!$AY$6:$AY$1005="Direkomendasikan",ROW($6:$1005)-5),253)+5)),INDEX(checklistPesertaKemenkeu!$O$6:$O$1005,SMALL(IF(checklistPesertaKemenkeu!$AY$6:$AY$1005="Direkomendasikan",ROW($6:$1005)-5),253)))=1),IFERROR(VLOOKUP(INDEX(checklistPesertaKemenkeu!$O$6:$O$1005,SMALL(IF(checklistPesertaKemenkeu!$AY$6:$AY$1005="Direkomendasikan",ROW($6:$1005)-5),253)),KotaKode,2,0),"-"),"")),"")</f>
        <v/>
      </c>
      <c r="L254" t="str">
        <f t="array" aca="1" ref="L254" ca="1">IFERROR(IF(OR(INDEX(checklistPesertaKemenkeu!$P$6:$P$1005,SMALL(IF(checklistPesertaKemenkeu!$AY$6:$AY$1005="Direkomendasikan",ROW($6:$1005)-5),253))="",INDEX(checklistPesertaKemenkeu!$J$6:$J$1005,SMALL(IF(checklistPesertaKemenkeu!$AY$6:$AY$1005="Direkomendasikan",ROW($6:$1005)-5),253))=""),"",IF(AND(COUNTIF(INDIRECT("K_"&amp;MATCH(INDEX(checklistPesertaKemenkeu!$J$6:$J$1005,SMALL(IF(checklistPesertaKemenkeu!$AY$6:$AY$1005="Direkomendasikan",ROW($6:$1005)-5),253)),BidangList,0)),INDEX(checklistPesertaKemenkeu!$P$6:$P$1005,SMALL(IF(checklistPesertaKemenkeu!$AY$6:$AY$1005="Direkomendasikan",ROW($6:$1005)-5),253)))&gt;0,COUNTIF(INDIRECT("'KERTAS KERJA'!K"&amp;(SMALL(IF(checklistPesertaKemenkeu!$AY$6:$AY$1005="Direkomendasikan",ROW($6:$1005)-5),253)+5)&amp;":O"&amp;(SMALL(IF(checklistPesertaKemenkeu!$AY$6:$AY$1005="Direkomendasikan",ROW($6:$1005)-5),253)+5)),INDEX(checklistPesertaKemenkeu!$P$6:$P$1005,SMALL(IF(checklistPesertaKemenkeu!$AY$6:$AY$1005="Direkomendasikan",ROW($6:$1005)-5),253)))=1),IFERROR(VLOOKUP(INDEX(checklistPesertaKemenkeu!$P$6:$P$1005,SMALL(IF(checklistPesertaKemenkeu!$AY$6:$AY$1005="Direkomendasikan",ROW($6:$1005)-5),253)),KotaKode,2,0),"-"),"")),"")</f>
        <v/>
      </c>
    </row>
    <row r="255" spans="1:12" ht="15" customHeight="1" x14ac:dyDescent="0.2">
      <c r="A255" t="str">
        <f t="shared" si="3"/>
        <v/>
      </c>
      <c r="B255" t="str">
        <v/>
      </c>
      <c r="C255" s="40" t="str">
        <f t="array" ref="C255">IFERROR(INDEX(checklistPesertaKemenkeu!$F$6:$F$1005,SMALL(IF(checklistPesertaKemenkeu!$AY$6:$AY$1005="Direkomendasikan",ROW($6:$1005)-5),254)),"")</f>
        <v/>
      </c>
      <c r="D255" t="str">
        <f t="array" ref="D255">IFERROR(INDEX(checklistPesertaKemenkeu!$G$6:$G$1005,SMALL(IF(checklistPesertaKemenkeu!$AY$6:$AY$1005="Direkomendasikan",ROW($6:$1005)-5),254)),"")</f>
        <v/>
      </c>
      <c r="E255" t="str">
        <f t="array" ref="E255">IFERROR(INDEX(checklistPesertaKemenkeu!$H$6:$H$1005,SMALL(IF(checklistPesertaKemenkeu!$AY$6:$AY$1005="Direkomendasikan",ROW($6:$1005)-5),254)),"")</f>
        <v/>
      </c>
      <c r="F255" t="str">
        <f t="array" ref="F255">IFERROR(INDEX(checklistPesertaKemenkeu!$I$6:$I$1005,SMALL(IF(checklistPesertaKemenkeu!$AY$6:$AY$1005="Direkomendasikan",ROW($6:$1005)-5),254)),"")</f>
        <v/>
      </c>
      <c r="G255" t="str">
        <f t="array" ref="G255">IFERROR(INDEX(checklistPesertaKemenkeu!$J$6:$J$1005,SMALL(IF(checklistPesertaKemenkeu!$AY$6:$AY$1005="Direkomendasikan",ROW($6:$1005)-5),254)),"")</f>
        <v/>
      </c>
      <c r="H255" t="str">
        <f t="array" aca="1" ref="H255" ca="1">IFERROR(IF(OR(INDEX(checklistPesertaKemenkeu!$L$6:$L$1005,SMALL(IF(checklistPesertaKemenkeu!$AY$6:$AY$1005="Direkomendasikan",ROW($6:$1005)-5),254))="",INDEX(checklistPesertaKemenkeu!$J$6:$J$1005,SMALL(IF(checklistPesertaKemenkeu!$AY$6:$AY$1005="Direkomendasikan",ROW($6:$1005)-5),254))=""),"",IF(AND(COUNTIF(INDIRECT("K_"&amp;MATCH(INDEX(checklistPesertaKemenkeu!$J$6:$J$1005,SMALL(IF(checklistPesertaKemenkeu!$AY$6:$AY$1005="Direkomendasikan",ROW($6:$1005)-5),254)),BidangList,0)),INDEX(checklistPesertaKemenkeu!$L$6:$L$1005,SMALL(IF(checklistPesertaKemenkeu!$AY$6:$AY$1005="Direkomendasikan",ROW($6:$1005)-5),254)))&gt;0,COUNTIF(INDIRECT("'KERTAS KERJA'!K"&amp;(SMALL(IF(checklistPesertaKemenkeu!$AY$6:$AY$1005="Direkomendasikan",ROW($6:$1005)-5),254)+5)&amp;":O"&amp;(SMALL(IF(checklistPesertaKemenkeu!$AY$6:$AY$1005="Direkomendasikan",ROW($6:$1005)-5),254)+5)),INDEX(checklistPesertaKemenkeu!$L$6:$L$1005,SMALL(IF(checklistPesertaKemenkeu!$AY$6:$AY$1005="Direkomendasikan",ROW($6:$1005)-5),254)))=1),IFERROR(VLOOKUP(INDEX(checklistPesertaKemenkeu!$L$6:$L$1005,SMALL(IF(checklistPesertaKemenkeu!$AY$6:$AY$1005="Direkomendasikan",ROW($6:$1005)-5),254)),KotaKode,2,0),"-"),"")),"")</f>
        <v/>
      </c>
      <c r="I255" t="str">
        <f t="array" aca="1" ref="I255" ca="1">IFERROR(IF(OR(INDEX(checklistPesertaKemenkeu!$M$6:$M$1005,SMALL(IF(checklistPesertaKemenkeu!$AY$6:$AY$1005="Direkomendasikan",ROW($6:$1005)-5),254))="",INDEX(checklistPesertaKemenkeu!$J$6:$J$1005,SMALL(IF(checklistPesertaKemenkeu!$AY$6:$AY$1005="Direkomendasikan",ROW($6:$1005)-5),254))=""),"",IF(AND(COUNTIF(INDIRECT("K_"&amp;MATCH(INDEX(checklistPesertaKemenkeu!$J$6:$J$1005,SMALL(IF(checklistPesertaKemenkeu!$AY$6:$AY$1005="Direkomendasikan",ROW($6:$1005)-5),254)),BidangList,0)),INDEX(checklistPesertaKemenkeu!$M$6:$M$1005,SMALL(IF(checklistPesertaKemenkeu!$AY$6:$AY$1005="Direkomendasikan",ROW($6:$1005)-5),254)))&gt;0,COUNTIF(INDIRECT("'KERTAS KERJA'!K"&amp;(SMALL(IF(checklistPesertaKemenkeu!$AY$6:$AY$1005="Direkomendasikan",ROW($6:$1005)-5),254)+5)&amp;":O"&amp;(SMALL(IF(checklistPesertaKemenkeu!$AY$6:$AY$1005="Direkomendasikan",ROW($6:$1005)-5),254)+5)),INDEX(checklistPesertaKemenkeu!$M$6:$M$1005,SMALL(IF(checklistPesertaKemenkeu!$AY$6:$AY$1005="Direkomendasikan",ROW($6:$1005)-5),254)))=1),IFERROR(VLOOKUP(INDEX(checklistPesertaKemenkeu!$M$6:$M$1005,SMALL(IF(checklistPesertaKemenkeu!$AY$6:$AY$1005="Direkomendasikan",ROW($6:$1005)-5),254)),KotaKode,2,0),"-"),"")),"")</f>
        <v/>
      </c>
      <c r="J255" t="str">
        <f t="array" aca="1" ref="J255" ca="1">IFERROR(IF(OR(INDEX(checklistPesertaKemenkeu!$N$6:$N$1005,SMALL(IF(checklistPesertaKemenkeu!$AY$6:$AY$1005="Direkomendasikan",ROW($6:$1005)-5),254))="",INDEX(checklistPesertaKemenkeu!$J$6:$J$1005,SMALL(IF(checklistPesertaKemenkeu!$AY$6:$AY$1005="Direkomendasikan",ROW($6:$1005)-5),254))=""),"",IF(AND(COUNTIF(INDIRECT("K_"&amp;MATCH(INDEX(checklistPesertaKemenkeu!$J$6:$J$1005,SMALL(IF(checklistPesertaKemenkeu!$AY$6:$AY$1005="Direkomendasikan",ROW($6:$1005)-5),254)),BidangList,0)),INDEX(checklistPesertaKemenkeu!$N$6:$N$1005,SMALL(IF(checklistPesertaKemenkeu!$AY$6:$AY$1005="Direkomendasikan",ROW($6:$1005)-5),254)))&gt;0,COUNTIF(INDIRECT("'KERTAS KERJA'!K"&amp;(SMALL(IF(checklistPesertaKemenkeu!$AY$6:$AY$1005="Direkomendasikan",ROW($6:$1005)-5),254)+5)&amp;":O"&amp;(SMALL(IF(checklistPesertaKemenkeu!$AY$6:$AY$1005="Direkomendasikan",ROW($6:$1005)-5),254)+5)),INDEX(checklistPesertaKemenkeu!$N$6:$N$1005,SMALL(IF(checklistPesertaKemenkeu!$AY$6:$AY$1005="Direkomendasikan",ROW($6:$1005)-5),254)))=1),IFERROR(VLOOKUP(INDEX(checklistPesertaKemenkeu!$N$6:$N$1005,SMALL(IF(checklistPesertaKemenkeu!$AY$6:$AY$1005="Direkomendasikan",ROW($6:$1005)-5),254)),KotaKode,2,0),"-"),"")),"")</f>
        <v/>
      </c>
      <c r="K255" t="str">
        <f t="array" aca="1" ref="K255" ca="1">IFERROR(IF(OR(INDEX(checklistPesertaKemenkeu!$O$6:$O$1005,SMALL(IF(checklistPesertaKemenkeu!$AY$6:$AY$1005="Direkomendasikan",ROW($6:$1005)-5),254))="",INDEX(checklistPesertaKemenkeu!$J$6:$J$1005,SMALL(IF(checklistPesertaKemenkeu!$AY$6:$AY$1005="Direkomendasikan",ROW($6:$1005)-5),254))=""),"",IF(AND(COUNTIF(INDIRECT("K_"&amp;MATCH(INDEX(checklistPesertaKemenkeu!$J$6:$J$1005,SMALL(IF(checklistPesertaKemenkeu!$AY$6:$AY$1005="Direkomendasikan",ROW($6:$1005)-5),254)),BidangList,0)),INDEX(checklistPesertaKemenkeu!$O$6:$O$1005,SMALL(IF(checklistPesertaKemenkeu!$AY$6:$AY$1005="Direkomendasikan",ROW($6:$1005)-5),254)))&gt;0,COUNTIF(INDIRECT("'KERTAS KERJA'!K"&amp;(SMALL(IF(checklistPesertaKemenkeu!$AY$6:$AY$1005="Direkomendasikan",ROW($6:$1005)-5),254)+5)&amp;":O"&amp;(SMALL(IF(checklistPesertaKemenkeu!$AY$6:$AY$1005="Direkomendasikan",ROW($6:$1005)-5),254)+5)),INDEX(checklistPesertaKemenkeu!$O$6:$O$1005,SMALL(IF(checklistPesertaKemenkeu!$AY$6:$AY$1005="Direkomendasikan",ROW($6:$1005)-5),254)))=1),IFERROR(VLOOKUP(INDEX(checklistPesertaKemenkeu!$O$6:$O$1005,SMALL(IF(checklistPesertaKemenkeu!$AY$6:$AY$1005="Direkomendasikan",ROW($6:$1005)-5),254)),KotaKode,2,0),"-"),"")),"")</f>
        <v/>
      </c>
      <c r="L255" t="str">
        <f t="array" aca="1" ref="L255" ca="1">IFERROR(IF(OR(INDEX(checklistPesertaKemenkeu!$P$6:$P$1005,SMALL(IF(checklistPesertaKemenkeu!$AY$6:$AY$1005="Direkomendasikan",ROW($6:$1005)-5),254))="",INDEX(checklistPesertaKemenkeu!$J$6:$J$1005,SMALL(IF(checklistPesertaKemenkeu!$AY$6:$AY$1005="Direkomendasikan",ROW($6:$1005)-5),254))=""),"",IF(AND(COUNTIF(INDIRECT("K_"&amp;MATCH(INDEX(checklistPesertaKemenkeu!$J$6:$J$1005,SMALL(IF(checklistPesertaKemenkeu!$AY$6:$AY$1005="Direkomendasikan",ROW($6:$1005)-5),254)),BidangList,0)),INDEX(checklistPesertaKemenkeu!$P$6:$P$1005,SMALL(IF(checklistPesertaKemenkeu!$AY$6:$AY$1005="Direkomendasikan",ROW($6:$1005)-5),254)))&gt;0,COUNTIF(INDIRECT("'KERTAS KERJA'!K"&amp;(SMALL(IF(checklistPesertaKemenkeu!$AY$6:$AY$1005="Direkomendasikan",ROW($6:$1005)-5),254)+5)&amp;":O"&amp;(SMALL(IF(checklistPesertaKemenkeu!$AY$6:$AY$1005="Direkomendasikan",ROW($6:$1005)-5),254)+5)),INDEX(checklistPesertaKemenkeu!$P$6:$P$1005,SMALL(IF(checklistPesertaKemenkeu!$AY$6:$AY$1005="Direkomendasikan",ROW($6:$1005)-5),254)))=1),IFERROR(VLOOKUP(INDEX(checklistPesertaKemenkeu!$P$6:$P$1005,SMALL(IF(checklistPesertaKemenkeu!$AY$6:$AY$1005="Direkomendasikan",ROW($6:$1005)-5),254)),KotaKode,2,0),"-"),"")),"")</f>
        <v/>
      </c>
    </row>
    <row r="256" spans="1:12" ht="15" customHeight="1" x14ac:dyDescent="0.2">
      <c r="A256" t="str">
        <f t="shared" si="3"/>
        <v/>
      </c>
      <c r="B256" t="str">
        <v/>
      </c>
      <c r="C256" s="40" t="str">
        <f t="array" ref="C256">IFERROR(INDEX(checklistPesertaKemenkeu!$F$6:$F$1005,SMALL(IF(checklistPesertaKemenkeu!$AY$6:$AY$1005="Direkomendasikan",ROW($6:$1005)-5),255)),"")</f>
        <v/>
      </c>
      <c r="D256" t="str">
        <f t="array" ref="D256">IFERROR(INDEX(checklistPesertaKemenkeu!$G$6:$G$1005,SMALL(IF(checklistPesertaKemenkeu!$AY$6:$AY$1005="Direkomendasikan",ROW($6:$1005)-5),255)),"")</f>
        <v/>
      </c>
      <c r="E256" t="str">
        <f t="array" ref="E256">IFERROR(INDEX(checklistPesertaKemenkeu!$H$6:$H$1005,SMALL(IF(checklistPesertaKemenkeu!$AY$6:$AY$1005="Direkomendasikan",ROW($6:$1005)-5),255)),"")</f>
        <v/>
      </c>
      <c r="F256" t="str">
        <f t="array" ref="F256">IFERROR(INDEX(checklistPesertaKemenkeu!$I$6:$I$1005,SMALL(IF(checklistPesertaKemenkeu!$AY$6:$AY$1005="Direkomendasikan",ROW($6:$1005)-5),255)),"")</f>
        <v/>
      </c>
      <c r="G256" t="str">
        <f t="array" ref="G256">IFERROR(INDEX(checklistPesertaKemenkeu!$J$6:$J$1005,SMALL(IF(checklistPesertaKemenkeu!$AY$6:$AY$1005="Direkomendasikan",ROW($6:$1005)-5),255)),"")</f>
        <v/>
      </c>
      <c r="H256" t="str">
        <f t="array" aca="1" ref="H256" ca="1">IFERROR(IF(OR(INDEX(checklistPesertaKemenkeu!$L$6:$L$1005,SMALL(IF(checklistPesertaKemenkeu!$AY$6:$AY$1005="Direkomendasikan",ROW($6:$1005)-5),255))="",INDEX(checklistPesertaKemenkeu!$J$6:$J$1005,SMALL(IF(checklistPesertaKemenkeu!$AY$6:$AY$1005="Direkomendasikan",ROW($6:$1005)-5),255))=""),"",IF(AND(COUNTIF(INDIRECT("K_"&amp;MATCH(INDEX(checklistPesertaKemenkeu!$J$6:$J$1005,SMALL(IF(checklistPesertaKemenkeu!$AY$6:$AY$1005="Direkomendasikan",ROW($6:$1005)-5),255)),BidangList,0)),INDEX(checklistPesertaKemenkeu!$L$6:$L$1005,SMALL(IF(checklistPesertaKemenkeu!$AY$6:$AY$1005="Direkomendasikan",ROW($6:$1005)-5),255)))&gt;0,COUNTIF(INDIRECT("'KERTAS KERJA'!K"&amp;(SMALL(IF(checklistPesertaKemenkeu!$AY$6:$AY$1005="Direkomendasikan",ROW($6:$1005)-5),255)+5)&amp;":O"&amp;(SMALL(IF(checklistPesertaKemenkeu!$AY$6:$AY$1005="Direkomendasikan",ROW($6:$1005)-5),255)+5)),INDEX(checklistPesertaKemenkeu!$L$6:$L$1005,SMALL(IF(checklistPesertaKemenkeu!$AY$6:$AY$1005="Direkomendasikan",ROW($6:$1005)-5),255)))=1),IFERROR(VLOOKUP(INDEX(checklistPesertaKemenkeu!$L$6:$L$1005,SMALL(IF(checklistPesertaKemenkeu!$AY$6:$AY$1005="Direkomendasikan",ROW($6:$1005)-5),255)),KotaKode,2,0),"-"),"")),"")</f>
        <v/>
      </c>
      <c r="I256" t="str">
        <f t="array" aca="1" ref="I256" ca="1">IFERROR(IF(OR(INDEX(checklistPesertaKemenkeu!$M$6:$M$1005,SMALL(IF(checklistPesertaKemenkeu!$AY$6:$AY$1005="Direkomendasikan",ROW($6:$1005)-5),255))="",INDEX(checklistPesertaKemenkeu!$J$6:$J$1005,SMALL(IF(checklistPesertaKemenkeu!$AY$6:$AY$1005="Direkomendasikan",ROW($6:$1005)-5),255))=""),"",IF(AND(COUNTIF(INDIRECT("K_"&amp;MATCH(INDEX(checklistPesertaKemenkeu!$J$6:$J$1005,SMALL(IF(checklistPesertaKemenkeu!$AY$6:$AY$1005="Direkomendasikan",ROW($6:$1005)-5),255)),BidangList,0)),INDEX(checklistPesertaKemenkeu!$M$6:$M$1005,SMALL(IF(checklistPesertaKemenkeu!$AY$6:$AY$1005="Direkomendasikan",ROW($6:$1005)-5),255)))&gt;0,COUNTIF(INDIRECT("'KERTAS KERJA'!K"&amp;(SMALL(IF(checklistPesertaKemenkeu!$AY$6:$AY$1005="Direkomendasikan",ROW($6:$1005)-5),255)+5)&amp;":O"&amp;(SMALL(IF(checklistPesertaKemenkeu!$AY$6:$AY$1005="Direkomendasikan",ROW($6:$1005)-5),255)+5)),INDEX(checklistPesertaKemenkeu!$M$6:$M$1005,SMALL(IF(checklistPesertaKemenkeu!$AY$6:$AY$1005="Direkomendasikan",ROW($6:$1005)-5),255)))=1),IFERROR(VLOOKUP(INDEX(checklistPesertaKemenkeu!$M$6:$M$1005,SMALL(IF(checklistPesertaKemenkeu!$AY$6:$AY$1005="Direkomendasikan",ROW($6:$1005)-5),255)),KotaKode,2,0),"-"),"")),"")</f>
        <v/>
      </c>
      <c r="J256" t="str">
        <f t="array" aca="1" ref="J256" ca="1">IFERROR(IF(OR(INDEX(checklistPesertaKemenkeu!$N$6:$N$1005,SMALL(IF(checklistPesertaKemenkeu!$AY$6:$AY$1005="Direkomendasikan",ROW($6:$1005)-5),255))="",INDEX(checklistPesertaKemenkeu!$J$6:$J$1005,SMALL(IF(checklistPesertaKemenkeu!$AY$6:$AY$1005="Direkomendasikan",ROW($6:$1005)-5),255))=""),"",IF(AND(COUNTIF(INDIRECT("K_"&amp;MATCH(INDEX(checklistPesertaKemenkeu!$J$6:$J$1005,SMALL(IF(checklistPesertaKemenkeu!$AY$6:$AY$1005="Direkomendasikan",ROW($6:$1005)-5),255)),BidangList,0)),INDEX(checklistPesertaKemenkeu!$N$6:$N$1005,SMALL(IF(checklistPesertaKemenkeu!$AY$6:$AY$1005="Direkomendasikan",ROW($6:$1005)-5),255)))&gt;0,COUNTIF(INDIRECT("'KERTAS KERJA'!K"&amp;(SMALL(IF(checklistPesertaKemenkeu!$AY$6:$AY$1005="Direkomendasikan",ROW($6:$1005)-5),255)+5)&amp;":O"&amp;(SMALL(IF(checklistPesertaKemenkeu!$AY$6:$AY$1005="Direkomendasikan",ROW($6:$1005)-5),255)+5)),INDEX(checklistPesertaKemenkeu!$N$6:$N$1005,SMALL(IF(checklistPesertaKemenkeu!$AY$6:$AY$1005="Direkomendasikan",ROW($6:$1005)-5),255)))=1),IFERROR(VLOOKUP(INDEX(checklistPesertaKemenkeu!$N$6:$N$1005,SMALL(IF(checklistPesertaKemenkeu!$AY$6:$AY$1005="Direkomendasikan",ROW($6:$1005)-5),255)),KotaKode,2,0),"-"),"")),"")</f>
        <v/>
      </c>
      <c r="K256" t="str">
        <f t="array" aca="1" ref="K256" ca="1">IFERROR(IF(OR(INDEX(checklistPesertaKemenkeu!$O$6:$O$1005,SMALL(IF(checklistPesertaKemenkeu!$AY$6:$AY$1005="Direkomendasikan",ROW($6:$1005)-5),255))="",INDEX(checklistPesertaKemenkeu!$J$6:$J$1005,SMALL(IF(checklistPesertaKemenkeu!$AY$6:$AY$1005="Direkomendasikan",ROW($6:$1005)-5),255))=""),"",IF(AND(COUNTIF(INDIRECT("K_"&amp;MATCH(INDEX(checklistPesertaKemenkeu!$J$6:$J$1005,SMALL(IF(checklistPesertaKemenkeu!$AY$6:$AY$1005="Direkomendasikan",ROW($6:$1005)-5),255)),BidangList,0)),INDEX(checklistPesertaKemenkeu!$O$6:$O$1005,SMALL(IF(checklistPesertaKemenkeu!$AY$6:$AY$1005="Direkomendasikan",ROW($6:$1005)-5),255)))&gt;0,COUNTIF(INDIRECT("'KERTAS KERJA'!K"&amp;(SMALL(IF(checklistPesertaKemenkeu!$AY$6:$AY$1005="Direkomendasikan",ROW($6:$1005)-5),255)+5)&amp;":O"&amp;(SMALL(IF(checklistPesertaKemenkeu!$AY$6:$AY$1005="Direkomendasikan",ROW($6:$1005)-5),255)+5)),INDEX(checklistPesertaKemenkeu!$O$6:$O$1005,SMALL(IF(checklistPesertaKemenkeu!$AY$6:$AY$1005="Direkomendasikan",ROW($6:$1005)-5),255)))=1),IFERROR(VLOOKUP(INDEX(checklistPesertaKemenkeu!$O$6:$O$1005,SMALL(IF(checklistPesertaKemenkeu!$AY$6:$AY$1005="Direkomendasikan",ROW($6:$1005)-5),255)),KotaKode,2,0),"-"),"")),"")</f>
        <v/>
      </c>
      <c r="L256" t="str">
        <f t="array" aca="1" ref="L256" ca="1">IFERROR(IF(OR(INDEX(checklistPesertaKemenkeu!$P$6:$P$1005,SMALL(IF(checklistPesertaKemenkeu!$AY$6:$AY$1005="Direkomendasikan",ROW($6:$1005)-5),255))="",INDEX(checklistPesertaKemenkeu!$J$6:$J$1005,SMALL(IF(checklistPesertaKemenkeu!$AY$6:$AY$1005="Direkomendasikan",ROW($6:$1005)-5),255))=""),"",IF(AND(COUNTIF(INDIRECT("K_"&amp;MATCH(INDEX(checklistPesertaKemenkeu!$J$6:$J$1005,SMALL(IF(checklistPesertaKemenkeu!$AY$6:$AY$1005="Direkomendasikan",ROW($6:$1005)-5),255)),BidangList,0)),INDEX(checklistPesertaKemenkeu!$P$6:$P$1005,SMALL(IF(checklistPesertaKemenkeu!$AY$6:$AY$1005="Direkomendasikan",ROW($6:$1005)-5),255)))&gt;0,COUNTIF(INDIRECT("'KERTAS KERJA'!K"&amp;(SMALL(IF(checklistPesertaKemenkeu!$AY$6:$AY$1005="Direkomendasikan",ROW($6:$1005)-5),255)+5)&amp;":O"&amp;(SMALL(IF(checklistPesertaKemenkeu!$AY$6:$AY$1005="Direkomendasikan",ROW($6:$1005)-5),255)+5)),INDEX(checklistPesertaKemenkeu!$P$6:$P$1005,SMALL(IF(checklistPesertaKemenkeu!$AY$6:$AY$1005="Direkomendasikan",ROW($6:$1005)-5),255)))=1),IFERROR(VLOOKUP(INDEX(checklistPesertaKemenkeu!$P$6:$P$1005,SMALL(IF(checklistPesertaKemenkeu!$AY$6:$AY$1005="Direkomendasikan",ROW($6:$1005)-5),255)),KotaKode,2,0),"-"),"")),"")</f>
        <v/>
      </c>
    </row>
    <row r="257" spans="1:12" ht="15" customHeight="1" x14ac:dyDescent="0.2">
      <c r="A257" t="str">
        <f t="shared" si="3"/>
        <v/>
      </c>
      <c r="B257" t="str">
        <v/>
      </c>
      <c r="C257" s="40" t="str">
        <f t="array" ref="C257">IFERROR(INDEX(checklistPesertaKemenkeu!$F$6:$F$1005,SMALL(IF(checklistPesertaKemenkeu!$AY$6:$AY$1005="Direkomendasikan",ROW($6:$1005)-5),256)),"")</f>
        <v/>
      </c>
      <c r="D257" t="str">
        <f t="array" ref="D257">IFERROR(INDEX(checklistPesertaKemenkeu!$G$6:$G$1005,SMALL(IF(checklistPesertaKemenkeu!$AY$6:$AY$1005="Direkomendasikan",ROW($6:$1005)-5),256)),"")</f>
        <v/>
      </c>
      <c r="E257" t="str">
        <f t="array" ref="E257">IFERROR(INDEX(checklistPesertaKemenkeu!$H$6:$H$1005,SMALL(IF(checklistPesertaKemenkeu!$AY$6:$AY$1005="Direkomendasikan",ROW($6:$1005)-5),256)),"")</f>
        <v/>
      </c>
      <c r="F257" t="str">
        <f t="array" ref="F257">IFERROR(INDEX(checklistPesertaKemenkeu!$I$6:$I$1005,SMALL(IF(checklistPesertaKemenkeu!$AY$6:$AY$1005="Direkomendasikan",ROW($6:$1005)-5),256)),"")</f>
        <v/>
      </c>
      <c r="G257" t="str">
        <f t="array" ref="G257">IFERROR(INDEX(checklistPesertaKemenkeu!$J$6:$J$1005,SMALL(IF(checklistPesertaKemenkeu!$AY$6:$AY$1005="Direkomendasikan",ROW($6:$1005)-5),256)),"")</f>
        <v/>
      </c>
      <c r="H257" t="str">
        <f t="array" aca="1" ref="H257" ca="1">IFERROR(IF(OR(INDEX(checklistPesertaKemenkeu!$L$6:$L$1005,SMALL(IF(checklistPesertaKemenkeu!$AY$6:$AY$1005="Direkomendasikan",ROW($6:$1005)-5),256))="",INDEX(checklistPesertaKemenkeu!$J$6:$J$1005,SMALL(IF(checklistPesertaKemenkeu!$AY$6:$AY$1005="Direkomendasikan",ROW($6:$1005)-5),256))=""),"",IF(AND(COUNTIF(INDIRECT("K_"&amp;MATCH(INDEX(checklistPesertaKemenkeu!$J$6:$J$1005,SMALL(IF(checklistPesertaKemenkeu!$AY$6:$AY$1005="Direkomendasikan",ROW($6:$1005)-5),256)),BidangList,0)),INDEX(checklistPesertaKemenkeu!$L$6:$L$1005,SMALL(IF(checklistPesertaKemenkeu!$AY$6:$AY$1005="Direkomendasikan",ROW($6:$1005)-5),256)))&gt;0,COUNTIF(INDIRECT("'KERTAS KERJA'!K"&amp;(SMALL(IF(checklistPesertaKemenkeu!$AY$6:$AY$1005="Direkomendasikan",ROW($6:$1005)-5),256)+5)&amp;":O"&amp;(SMALL(IF(checklistPesertaKemenkeu!$AY$6:$AY$1005="Direkomendasikan",ROW($6:$1005)-5),256)+5)),INDEX(checklistPesertaKemenkeu!$L$6:$L$1005,SMALL(IF(checklistPesertaKemenkeu!$AY$6:$AY$1005="Direkomendasikan",ROW($6:$1005)-5),256)))=1),IFERROR(VLOOKUP(INDEX(checklistPesertaKemenkeu!$L$6:$L$1005,SMALL(IF(checklistPesertaKemenkeu!$AY$6:$AY$1005="Direkomendasikan",ROW($6:$1005)-5),256)),KotaKode,2,0),"-"),"")),"")</f>
        <v/>
      </c>
      <c r="I257" t="str">
        <f t="array" aca="1" ref="I257" ca="1">IFERROR(IF(OR(INDEX(checklistPesertaKemenkeu!$M$6:$M$1005,SMALL(IF(checklistPesertaKemenkeu!$AY$6:$AY$1005="Direkomendasikan",ROW($6:$1005)-5),256))="",INDEX(checklistPesertaKemenkeu!$J$6:$J$1005,SMALL(IF(checklistPesertaKemenkeu!$AY$6:$AY$1005="Direkomendasikan",ROW($6:$1005)-5),256))=""),"",IF(AND(COUNTIF(INDIRECT("K_"&amp;MATCH(INDEX(checklistPesertaKemenkeu!$J$6:$J$1005,SMALL(IF(checklistPesertaKemenkeu!$AY$6:$AY$1005="Direkomendasikan",ROW($6:$1005)-5),256)),BidangList,0)),INDEX(checklistPesertaKemenkeu!$M$6:$M$1005,SMALL(IF(checklistPesertaKemenkeu!$AY$6:$AY$1005="Direkomendasikan",ROW($6:$1005)-5),256)))&gt;0,COUNTIF(INDIRECT("'KERTAS KERJA'!K"&amp;(SMALL(IF(checklistPesertaKemenkeu!$AY$6:$AY$1005="Direkomendasikan",ROW($6:$1005)-5),256)+5)&amp;":O"&amp;(SMALL(IF(checklistPesertaKemenkeu!$AY$6:$AY$1005="Direkomendasikan",ROW($6:$1005)-5),256)+5)),INDEX(checklistPesertaKemenkeu!$M$6:$M$1005,SMALL(IF(checklistPesertaKemenkeu!$AY$6:$AY$1005="Direkomendasikan",ROW($6:$1005)-5),256)))=1),IFERROR(VLOOKUP(INDEX(checklistPesertaKemenkeu!$M$6:$M$1005,SMALL(IF(checklistPesertaKemenkeu!$AY$6:$AY$1005="Direkomendasikan",ROW($6:$1005)-5),256)),KotaKode,2,0),"-"),"")),"")</f>
        <v/>
      </c>
      <c r="J257" t="str">
        <f t="array" aca="1" ref="J257" ca="1">IFERROR(IF(OR(INDEX(checklistPesertaKemenkeu!$N$6:$N$1005,SMALL(IF(checklistPesertaKemenkeu!$AY$6:$AY$1005="Direkomendasikan",ROW($6:$1005)-5),256))="",INDEX(checklistPesertaKemenkeu!$J$6:$J$1005,SMALL(IF(checklistPesertaKemenkeu!$AY$6:$AY$1005="Direkomendasikan",ROW($6:$1005)-5),256))=""),"",IF(AND(COUNTIF(INDIRECT("K_"&amp;MATCH(INDEX(checklistPesertaKemenkeu!$J$6:$J$1005,SMALL(IF(checklistPesertaKemenkeu!$AY$6:$AY$1005="Direkomendasikan",ROW($6:$1005)-5),256)),BidangList,0)),INDEX(checklistPesertaKemenkeu!$N$6:$N$1005,SMALL(IF(checklistPesertaKemenkeu!$AY$6:$AY$1005="Direkomendasikan",ROW($6:$1005)-5),256)))&gt;0,COUNTIF(INDIRECT("'KERTAS KERJA'!K"&amp;(SMALL(IF(checklistPesertaKemenkeu!$AY$6:$AY$1005="Direkomendasikan",ROW($6:$1005)-5),256)+5)&amp;":O"&amp;(SMALL(IF(checklistPesertaKemenkeu!$AY$6:$AY$1005="Direkomendasikan",ROW($6:$1005)-5),256)+5)),INDEX(checklistPesertaKemenkeu!$N$6:$N$1005,SMALL(IF(checklistPesertaKemenkeu!$AY$6:$AY$1005="Direkomendasikan",ROW($6:$1005)-5),256)))=1),IFERROR(VLOOKUP(INDEX(checklistPesertaKemenkeu!$N$6:$N$1005,SMALL(IF(checklistPesertaKemenkeu!$AY$6:$AY$1005="Direkomendasikan",ROW($6:$1005)-5),256)),KotaKode,2,0),"-"),"")),"")</f>
        <v/>
      </c>
      <c r="K257" t="str">
        <f t="array" aca="1" ref="K257" ca="1">IFERROR(IF(OR(INDEX(checklistPesertaKemenkeu!$O$6:$O$1005,SMALL(IF(checklistPesertaKemenkeu!$AY$6:$AY$1005="Direkomendasikan",ROW($6:$1005)-5),256))="",INDEX(checklistPesertaKemenkeu!$J$6:$J$1005,SMALL(IF(checklistPesertaKemenkeu!$AY$6:$AY$1005="Direkomendasikan",ROW($6:$1005)-5),256))=""),"",IF(AND(COUNTIF(INDIRECT("K_"&amp;MATCH(INDEX(checklistPesertaKemenkeu!$J$6:$J$1005,SMALL(IF(checklistPesertaKemenkeu!$AY$6:$AY$1005="Direkomendasikan",ROW($6:$1005)-5),256)),BidangList,0)),INDEX(checklistPesertaKemenkeu!$O$6:$O$1005,SMALL(IF(checklistPesertaKemenkeu!$AY$6:$AY$1005="Direkomendasikan",ROW($6:$1005)-5),256)))&gt;0,COUNTIF(INDIRECT("'KERTAS KERJA'!K"&amp;(SMALL(IF(checklistPesertaKemenkeu!$AY$6:$AY$1005="Direkomendasikan",ROW($6:$1005)-5),256)+5)&amp;":O"&amp;(SMALL(IF(checklistPesertaKemenkeu!$AY$6:$AY$1005="Direkomendasikan",ROW($6:$1005)-5),256)+5)),INDEX(checklistPesertaKemenkeu!$O$6:$O$1005,SMALL(IF(checklistPesertaKemenkeu!$AY$6:$AY$1005="Direkomendasikan",ROW($6:$1005)-5),256)))=1),IFERROR(VLOOKUP(INDEX(checklistPesertaKemenkeu!$O$6:$O$1005,SMALL(IF(checklistPesertaKemenkeu!$AY$6:$AY$1005="Direkomendasikan",ROW($6:$1005)-5),256)),KotaKode,2,0),"-"),"")),"")</f>
        <v/>
      </c>
      <c r="L257" t="str">
        <f t="array" aca="1" ref="L257" ca="1">IFERROR(IF(OR(INDEX(checklistPesertaKemenkeu!$P$6:$P$1005,SMALL(IF(checklistPesertaKemenkeu!$AY$6:$AY$1005="Direkomendasikan",ROW($6:$1005)-5),256))="",INDEX(checklistPesertaKemenkeu!$J$6:$J$1005,SMALL(IF(checklistPesertaKemenkeu!$AY$6:$AY$1005="Direkomendasikan",ROW($6:$1005)-5),256))=""),"",IF(AND(COUNTIF(INDIRECT("K_"&amp;MATCH(INDEX(checklistPesertaKemenkeu!$J$6:$J$1005,SMALL(IF(checklistPesertaKemenkeu!$AY$6:$AY$1005="Direkomendasikan",ROW($6:$1005)-5),256)),BidangList,0)),INDEX(checklistPesertaKemenkeu!$P$6:$P$1005,SMALL(IF(checklistPesertaKemenkeu!$AY$6:$AY$1005="Direkomendasikan",ROW($6:$1005)-5),256)))&gt;0,COUNTIF(INDIRECT("'KERTAS KERJA'!K"&amp;(SMALL(IF(checklistPesertaKemenkeu!$AY$6:$AY$1005="Direkomendasikan",ROW($6:$1005)-5),256)+5)&amp;":O"&amp;(SMALL(IF(checklistPesertaKemenkeu!$AY$6:$AY$1005="Direkomendasikan",ROW($6:$1005)-5),256)+5)),INDEX(checklistPesertaKemenkeu!$P$6:$P$1005,SMALL(IF(checklistPesertaKemenkeu!$AY$6:$AY$1005="Direkomendasikan",ROW($6:$1005)-5),256)))=1),IFERROR(VLOOKUP(INDEX(checklistPesertaKemenkeu!$P$6:$P$1005,SMALL(IF(checklistPesertaKemenkeu!$AY$6:$AY$1005="Direkomendasikan",ROW($6:$1005)-5),256)),KotaKode,2,0),"-"),"")),"")</f>
        <v/>
      </c>
    </row>
    <row r="258" spans="1:12" ht="15" customHeight="1" x14ac:dyDescent="0.2">
      <c r="A258" t="str">
        <f t="shared" ref="A258:A321" si="4">IF(C258="","",ROW()-1)</f>
        <v/>
      </c>
      <c r="B258" t="str">
        <v/>
      </c>
      <c r="C258" s="40" t="str">
        <f t="array" ref="C258">IFERROR(INDEX(checklistPesertaKemenkeu!$F$6:$F$1005,SMALL(IF(checklistPesertaKemenkeu!$AY$6:$AY$1005="Direkomendasikan",ROW($6:$1005)-5),257)),"")</f>
        <v/>
      </c>
      <c r="D258" t="str">
        <f t="array" ref="D258">IFERROR(INDEX(checklistPesertaKemenkeu!$G$6:$G$1005,SMALL(IF(checklistPesertaKemenkeu!$AY$6:$AY$1005="Direkomendasikan",ROW($6:$1005)-5),257)),"")</f>
        <v/>
      </c>
      <c r="E258" t="str">
        <f t="array" ref="E258">IFERROR(INDEX(checklistPesertaKemenkeu!$H$6:$H$1005,SMALL(IF(checklistPesertaKemenkeu!$AY$6:$AY$1005="Direkomendasikan",ROW($6:$1005)-5),257)),"")</f>
        <v/>
      </c>
      <c r="F258" t="str">
        <f t="array" ref="F258">IFERROR(INDEX(checklistPesertaKemenkeu!$I$6:$I$1005,SMALL(IF(checklistPesertaKemenkeu!$AY$6:$AY$1005="Direkomendasikan",ROW($6:$1005)-5),257)),"")</f>
        <v/>
      </c>
      <c r="G258" t="str">
        <f t="array" ref="G258">IFERROR(INDEX(checklistPesertaKemenkeu!$J$6:$J$1005,SMALL(IF(checklistPesertaKemenkeu!$AY$6:$AY$1005="Direkomendasikan",ROW($6:$1005)-5),257)),"")</f>
        <v/>
      </c>
      <c r="H258" t="str">
        <f t="array" aca="1" ref="H258" ca="1">IFERROR(IF(OR(INDEX(checklistPesertaKemenkeu!$L$6:$L$1005,SMALL(IF(checklistPesertaKemenkeu!$AY$6:$AY$1005="Direkomendasikan",ROW($6:$1005)-5),257))="",INDEX(checklistPesertaKemenkeu!$J$6:$J$1005,SMALL(IF(checklistPesertaKemenkeu!$AY$6:$AY$1005="Direkomendasikan",ROW($6:$1005)-5),257))=""),"",IF(AND(COUNTIF(INDIRECT("K_"&amp;MATCH(INDEX(checklistPesertaKemenkeu!$J$6:$J$1005,SMALL(IF(checklistPesertaKemenkeu!$AY$6:$AY$1005="Direkomendasikan",ROW($6:$1005)-5),257)),BidangList,0)),INDEX(checklistPesertaKemenkeu!$L$6:$L$1005,SMALL(IF(checklistPesertaKemenkeu!$AY$6:$AY$1005="Direkomendasikan",ROW($6:$1005)-5),257)))&gt;0,COUNTIF(INDIRECT("'KERTAS KERJA'!K"&amp;(SMALL(IF(checklistPesertaKemenkeu!$AY$6:$AY$1005="Direkomendasikan",ROW($6:$1005)-5),257)+5)&amp;":O"&amp;(SMALL(IF(checklistPesertaKemenkeu!$AY$6:$AY$1005="Direkomendasikan",ROW($6:$1005)-5),257)+5)),INDEX(checklistPesertaKemenkeu!$L$6:$L$1005,SMALL(IF(checklistPesertaKemenkeu!$AY$6:$AY$1005="Direkomendasikan",ROW($6:$1005)-5),257)))=1),IFERROR(VLOOKUP(INDEX(checklistPesertaKemenkeu!$L$6:$L$1005,SMALL(IF(checklistPesertaKemenkeu!$AY$6:$AY$1005="Direkomendasikan",ROW($6:$1005)-5),257)),KotaKode,2,0),"-"),"")),"")</f>
        <v/>
      </c>
      <c r="I258" t="str">
        <f t="array" aca="1" ref="I258" ca="1">IFERROR(IF(OR(INDEX(checklistPesertaKemenkeu!$M$6:$M$1005,SMALL(IF(checklistPesertaKemenkeu!$AY$6:$AY$1005="Direkomendasikan",ROW($6:$1005)-5),257))="",INDEX(checklistPesertaKemenkeu!$J$6:$J$1005,SMALL(IF(checklistPesertaKemenkeu!$AY$6:$AY$1005="Direkomendasikan",ROW($6:$1005)-5),257))=""),"",IF(AND(COUNTIF(INDIRECT("K_"&amp;MATCH(INDEX(checklistPesertaKemenkeu!$J$6:$J$1005,SMALL(IF(checklistPesertaKemenkeu!$AY$6:$AY$1005="Direkomendasikan",ROW($6:$1005)-5),257)),BidangList,0)),INDEX(checklistPesertaKemenkeu!$M$6:$M$1005,SMALL(IF(checklistPesertaKemenkeu!$AY$6:$AY$1005="Direkomendasikan",ROW($6:$1005)-5),257)))&gt;0,COUNTIF(INDIRECT("'KERTAS KERJA'!K"&amp;(SMALL(IF(checklistPesertaKemenkeu!$AY$6:$AY$1005="Direkomendasikan",ROW($6:$1005)-5),257)+5)&amp;":O"&amp;(SMALL(IF(checklistPesertaKemenkeu!$AY$6:$AY$1005="Direkomendasikan",ROW($6:$1005)-5),257)+5)),INDEX(checklistPesertaKemenkeu!$M$6:$M$1005,SMALL(IF(checklistPesertaKemenkeu!$AY$6:$AY$1005="Direkomendasikan",ROW($6:$1005)-5),257)))=1),IFERROR(VLOOKUP(INDEX(checklistPesertaKemenkeu!$M$6:$M$1005,SMALL(IF(checklistPesertaKemenkeu!$AY$6:$AY$1005="Direkomendasikan",ROW($6:$1005)-5),257)),KotaKode,2,0),"-"),"")),"")</f>
        <v/>
      </c>
      <c r="J258" t="str">
        <f t="array" aca="1" ref="J258" ca="1">IFERROR(IF(OR(INDEX(checklistPesertaKemenkeu!$N$6:$N$1005,SMALL(IF(checklistPesertaKemenkeu!$AY$6:$AY$1005="Direkomendasikan",ROW($6:$1005)-5),257))="",INDEX(checklistPesertaKemenkeu!$J$6:$J$1005,SMALL(IF(checklistPesertaKemenkeu!$AY$6:$AY$1005="Direkomendasikan",ROW($6:$1005)-5),257))=""),"",IF(AND(COUNTIF(INDIRECT("K_"&amp;MATCH(INDEX(checklistPesertaKemenkeu!$J$6:$J$1005,SMALL(IF(checklistPesertaKemenkeu!$AY$6:$AY$1005="Direkomendasikan",ROW($6:$1005)-5),257)),BidangList,0)),INDEX(checklistPesertaKemenkeu!$N$6:$N$1005,SMALL(IF(checklistPesertaKemenkeu!$AY$6:$AY$1005="Direkomendasikan",ROW($6:$1005)-5),257)))&gt;0,COUNTIF(INDIRECT("'KERTAS KERJA'!K"&amp;(SMALL(IF(checklistPesertaKemenkeu!$AY$6:$AY$1005="Direkomendasikan",ROW($6:$1005)-5),257)+5)&amp;":O"&amp;(SMALL(IF(checklistPesertaKemenkeu!$AY$6:$AY$1005="Direkomendasikan",ROW($6:$1005)-5),257)+5)),INDEX(checklistPesertaKemenkeu!$N$6:$N$1005,SMALL(IF(checklistPesertaKemenkeu!$AY$6:$AY$1005="Direkomendasikan",ROW($6:$1005)-5),257)))=1),IFERROR(VLOOKUP(INDEX(checklistPesertaKemenkeu!$N$6:$N$1005,SMALL(IF(checklistPesertaKemenkeu!$AY$6:$AY$1005="Direkomendasikan",ROW($6:$1005)-5),257)),KotaKode,2,0),"-"),"")),"")</f>
        <v/>
      </c>
      <c r="K258" t="str">
        <f t="array" aca="1" ref="K258" ca="1">IFERROR(IF(OR(INDEX(checklistPesertaKemenkeu!$O$6:$O$1005,SMALL(IF(checklistPesertaKemenkeu!$AY$6:$AY$1005="Direkomendasikan",ROW($6:$1005)-5),257))="",INDEX(checklistPesertaKemenkeu!$J$6:$J$1005,SMALL(IF(checklistPesertaKemenkeu!$AY$6:$AY$1005="Direkomendasikan",ROW($6:$1005)-5),257))=""),"",IF(AND(COUNTIF(INDIRECT("K_"&amp;MATCH(INDEX(checklistPesertaKemenkeu!$J$6:$J$1005,SMALL(IF(checklistPesertaKemenkeu!$AY$6:$AY$1005="Direkomendasikan",ROW($6:$1005)-5),257)),BidangList,0)),INDEX(checklistPesertaKemenkeu!$O$6:$O$1005,SMALL(IF(checklistPesertaKemenkeu!$AY$6:$AY$1005="Direkomendasikan",ROW($6:$1005)-5),257)))&gt;0,COUNTIF(INDIRECT("'KERTAS KERJA'!K"&amp;(SMALL(IF(checklistPesertaKemenkeu!$AY$6:$AY$1005="Direkomendasikan",ROW($6:$1005)-5),257)+5)&amp;":O"&amp;(SMALL(IF(checklistPesertaKemenkeu!$AY$6:$AY$1005="Direkomendasikan",ROW($6:$1005)-5),257)+5)),INDEX(checklistPesertaKemenkeu!$O$6:$O$1005,SMALL(IF(checklistPesertaKemenkeu!$AY$6:$AY$1005="Direkomendasikan",ROW($6:$1005)-5),257)))=1),IFERROR(VLOOKUP(INDEX(checklistPesertaKemenkeu!$O$6:$O$1005,SMALL(IF(checklistPesertaKemenkeu!$AY$6:$AY$1005="Direkomendasikan",ROW($6:$1005)-5),257)),KotaKode,2,0),"-"),"")),"")</f>
        <v/>
      </c>
      <c r="L258" t="str">
        <f t="array" aca="1" ref="L258" ca="1">IFERROR(IF(OR(INDEX(checklistPesertaKemenkeu!$P$6:$P$1005,SMALL(IF(checklistPesertaKemenkeu!$AY$6:$AY$1005="Direkomendasikan",ROW($6:$1005)-5),257))="",INDEX(checklistPesertaKemenkeu!$J$6:$J$1005,SMALL(IF(checklistPesertaKemenkeu!$AY$6:$AY$1005="Direkomendasikan",ROW($6:$1005)-5),257))=""),"",IF(AND(COUNTIF(INDIRECT("K_"&amp;MATCH(INDEX(checklistPesertaKemenkeu!$J$6:$J$1005,SMALL(IF(checklistPesertaKemenkeu!$AY$6:$AY$1005="Direkomendasikan",ROW($6:$1005)-5),257)),BidangList,0)),INDEX(checklistPesertaKemenkeu!$P$6:$P$1005,SMALL(IF(checklistPesertaKemenkeu!$AY$6:$AY$1005="Direkomendasikan",ROW($6:$1005)-5),257)))&gt;0,COUNTIF(INDIRECT("'KERTAS KERJA'!K"&amp;(SMALL(IF(checklistPesertaKemenkeu!$AY$6:$AY$1005="Direkomendasikan",ROW($6:$1005)-5),257)+5)&amp;":O"&amp;(SMALL(IF(checklistPesertaKemenkeu!$AY$6:$AY$1005="Direkomendasikan",ROW($6:$1005)-5),257)+5)),INDEX(checklistPesertaKemenkeu!$P$6:$P$1005,SMALL(IF(checklistPesertaKemenkeu!$AY$6:$AY$1005="Direkomendasikan",ROW($6:$1005)-5),257)))=1),IFERROR(VLOOKUP(INDEX(checklistPesertaKemenkeu!$P$6:$P$1005,SMALL(IF(checklistPesertaKemenkeu!$AY$6:$AY$1005="Direkomendasikan",ROW($6:$1005)-5),257)),KotaKode,2,0),"-"),"")),"")</f>
        <v/>
      </c>
    </row>
    <row r="259" spans="1:12" ht="15" customHeight="1" x14ac:dyDescent="0.2">
      <c r="A259" t="str">
        <f t="shared" si="4"/>
        <v/>
      </c>
      <c r="B259" t="str">
        <v/>
      </c>
      <c r="C259" s="40" t="str">
        <f t="array" ref="C259">IFERROR(INDEX(checklistPesertaKemenkeu!$F$6:$F$1005,SMALL(IF(checklistPesertaKemenkeu!$AY$6:$AY$1005="Direkomendasikan",ROW($6:$1005)-5),258)),"")</f>
        <v/>
      </c>
      <c r="D259" t="str">
        <f t="array" ref="D259">IFERROR(INDEX(checklistPesertaKemenkeu!$G$6:$G$1005,SMALL(IF(checklistPesertaKemenkeu!$AY$6:$AY$1005="Direkomendasikan",ROW($6:$1005)-5),258)),"")</f>
        <v/>
      </c>
      <c r="E259" t="str">
        <f t="array" ref="E259">IFERROR(INDEX(checklistPesertaKemenkeu!$H$6:$H$1005,SMALL(IF(checklistPesertaKemenkeu!$AY$6:$AY$1005="Direkomendasikan",ROW($6:$1005)-5),258)),"")</f>
        <v/>
      </c>
      <c r="F259" t="str">
        <f t="array" ref="F259">IFERROR(INDEX(checklistPesertaKemenkeu!$I$6:$I$1005,SMALL(IF(checklistPesertaKemenkeu!$AY$6:$AY$1005="Direkomendasikan",ROW($6:$1005)-5),258)),"")</f>
        <v/>
      </c>
      <c r="G259" t="str">
        <f t="array" ref="G259">IFERROR(INDEX(checklistPesertaKemenkeu!$J$6:$J$1005,SMALL(IF(checklistPesertaKemenkeu!$AY$6:$AY$1005="Direkomendasikan",ROW($6:$1005)-5),258)),"")</f>
        <v/>
      </c>
      <c r="H259" t="str">
        <f t="array" aca="1" ref="H259" ca="1">IFERROR(IF(OR(INDEX(checklistPesertaKemenkeu!$L$6:$L$1005,SMALL(IF(checklistPesertaKemenkeu!$AY$6:$AY$1005="Direkomendasikan",ROW($6:$1005)-5),258))="",INDEX(checklistPesertaKemenkeu!$J$6:$J$1005,SMALL(IF(checklistPesertaKemenkeu!$AY$6:$AY$1005="Direkomendasikan",ROW($6:$1005)-5),258))=""),"",IF(AND(COUNTIF(INDIRECT("K_"&amp;MATCH(INDEX(checklistPesertaKemenkeu!$J$6:$J$1005,SMALL(IF(checklistPesertaKemenkeu!$AY$6:$AY$1005="Direkomendasikan",ROW($6:$1005)-5),258)),BidangList,0)),INDEX(checklistPesertaKemenkeu!$L$6:$L$1005,SMALL(IF(checklistPesertaKemenkeu!$AY$6:$AY$1005="Direkomendasikan",ROW($6:$1005)-5),258)))&gt;0,COUNTIF(INDIRECT("'KERTAS KERJA'!K"&amp;(SMALL(IF(checklistPesertaKemenkeu!$AY$6:$AY$1005="Direkomendasikan",ROW($6:$1005)-5),258)+5)&amp;":O"&amp;(SMALL(IF(checklistPesertaKemenkeu!$AY$6:$AY$1005="Direkomendasikan",ROW($6:$1005)-5),258)+5)),INDEX(checklistPesertaKemenkeu!$L$6:$L$1005,SMALL(IF(checklistPesertaKemenkeu!$AY$6:$AY$1005="Direkomendasikan",ROW($6:$1005)-5),258)))=1),IFERROR(VLOOKUP(INDEX(checklistPesertaKemenkeu!$L$6:$L$1005,SMALL(IF(checklistPesertaKemenkeu!$AY$6:$AY$1005="Direkomendasikan",ROW($6:$1005)-5),258)),KotaKode,2,0),"-"),"")),"")</f>
        <v/>
      </c>
      <c r="I259" t="str">
        <f t="array" aca="1" ref="I259" ca="1">IFERROR(IF(OR(INDEX(checklistPesertaKemenkeu!$M$6:$M$1005,SMALL(IF(checklistPesertaKemenkeu!$AY$6:$AY$1005="Direkomendasikan",ROW($6:$1005)-5),258))="",INDEX(checklistPesertaKemenkeu!$J$6:$J$1005,SMALL(IF(checklistPesertaKemenkeu!$AY$6:$AY$1005="Direkomendasikan",ROW($6:$1005)-5),258))=""),"",IF(AND(COUNTIF(INDIRECT("K_"&amp;MATCH(INDEX(checklistPesertaKemenkeu!$J$6:$J$1005,SMALL(IF(checklistPesertaKemenkeu!$AY$6:$AY$1005="Direkomendasikan",ROW($6:$1005)-5),258)),BidangList,0)),INDEX(checklistPesertaKemenkeu!$M$6:$M$1005,SMALL(IF(checklistPesertaKemenkeu!$AY$6:$AY$1005="Direkomendasikan",ROW($6:$1005)-5),258)))&gt;0,COUNTIF(INDIRECT("'KERTAS KERJA'!K"&amp;(SMALL(IF(checklistPesertaKemenkeu!$AY$6:$AY$1005="Direkomendasikan",ROW($6:$1005)-5),258)+5)&amp;":O"&amp;(SMALL(IF(checklistPesertaKemenkeu!$AY$6:$AY$1005="Direkomendasikan",ROW($6:$1005)-5),258)+5)),INDEX(checklistPesertaKemenkeu!$M$6:$M$1005,SMALL(IF(checklistPesertaKemenkeu!$AY$6:$AY$1005="Direkomendasikan",ROW($6:$1005)-5),258)))=1),IFERROR(VLOOKUP(INDEX(checklistPesertaKemenkeu!$M$6:$M$1005,SMALL(IF(checklistPesertaKemenkeu!$AY$6:$AY$1005="Direkomendasikan",ROW($6:$1005)-5),258)),KotaKode,2,0),"-"),"")),"")</f>
        <v/>
      </c>
      <c r="J259" t="str">
        <f t="array" aca="1" ref="J259" ca="1">IFERROR(IF(OR(INDEX(checklistPesertaKemenkeu!$N$6:$N$1005,SMALL(IF(checklistPesertaKemenkeu!$AY$6:$AY$1005="Direkomendasikan",ROW($6:$1005)-5),258))="",INDEX(checklistPesertaKemenkeu!$J$6:$J$1005,SMALL(IF(checklistPesertaKemenkeu!$AY$6:$AY$1005="Direkomendasikan",ROW($6:$1005)-5),258))=""),"",IF(AND(COUNTIF(INDIRECT("K_"&amp;MATCH(INDEX(checklistPesertaKemenkeu!$J$6:$J$1005,SMALL(IF(checklistPesertaKemenkeu!$AY$6:$AY$1005="Direkomendasikan",ROW($6:$1005)-5),258)),BidangList,0)),INDEX(checklistPesertaKemenkeu!$N$6:$N$1005,SMALL(IF(checklistPesertaKemenkeu!$AY$6:$AY$1005="Direkomendasikan",ROW($6:$1005)-5),258)))&gt;0,COUNTIF(INDIRECT("'KERTAS KERJA'!K"&amp;(SMALL(IF(checklistPesertaKemenkeu!$AY$6:$AY$1005="Direkomendasikan",ROW($6:$1005)-5),258)+5)&amp;":O"&amp;(SMALL(IF(checklistPesertaKemenkeu!$AY$6:$AY$1005="Direkomendasikan",ROW($6:$1005)-5),258)+5)),INDEX(checklistPesertaKemenkeu!$N$6:$N$1005,SMALL(IF(checklistPesertaKemenkeu!$AY$6:$AY$1005="Direkomendasikan",ROW($6:$1005)-5),258)))=1),IFERROR(VLOOKUP(INDEX(checklistPesertaKemenkeu!$N$6:$N$1005,SMALL(IF(checklistPesertaKemenkeu!$AY$6:$AY$1005="Direkomendasikan",ROW($6:$1005)-5),258)),KotaKode,2,0),"-"),"")),"")</f>
        <v/>
      </c>
      <c r="K259" t="str">
        <f t="array" aca="1" ref="K259" ca="1">IFERROR(IF(OR(INDEX(checklistPesertaKemenkeu!$O$6:$O$1005,SMALL(IF(checklistPesertaKemenkeu!$AY$6:$AY$1005="Direkomendasikan",ROW($6:$1005)-5),258))="",INDEX(checklistPesertaKemenkeu!$J$6:$J$1005,SMALL(IF(checklistPesertaKemenkeu!$AY$6:$AY$1005="Direkomendasikan",ROW($6:$1005)-5),258))=""),"",IF(AND(COUNTIF(INDIRECT("K_"&amp;MATCH(INDEX(checklistPesertaKemenkeu!$J$6:$J$1005,SMALL(IF(checklistPesertaKemenkeu!$AY$6:$AY$1005="Direkomendasikan",ROW($6:$1005)-5),258)),BidangList,0)),INDEX(checklistPesertaKemenkeu!$O$6:$O$1005,SMALL(IF(checklistPesertaKemenkeu!$AY$6:$AY$1005="Direkomendasikan",ROW($6:$1005)-5),258)))&gt;0,COUNTIF(INDIRECT("'KERTAS KERJA'!K"&amp;(SMALL(IF(checklistPesertaKemenkeu!$AY$6:$AY$1005="Direkomendasikan",ROW($6:$1005)-5),258)+5)&amp;":O"&amp;(SMALL(IF(checklistPesertaKemenkeu!$AY$6:$AY$1005="Direkomendasikan",ROW($6:$1005)-5),258)+5)),INDEX(checklistPesertaKemenkeu!$O$6:$O$1005,SMALL(IF(checklistPesertaKemenkeu!$AY$6:$AY$1005="Direkomendasikan",ROW($6:$1005)-5),258)))=1),IFERROR(VLOOKUP(INDEX(checklistPesertaKemenkeu!$O$6:$O$1005,SMALL(IF(checklistPesertaKemenkeu!$AY$6:$AY$1005="Direkomendasikan",ROW($6:$1005)-5),258)),KotaKode,2,0),"-"),"")),"")</f>
        <v/>
      </c>
      <c r="L259" t="str">
        <f t="array" aca="1" ref="L259" ca="1">IFERROR(IF(OR(INDEX(checklistPesertaKemenkeu!$P$6:$P$1005,SMALL(IF(checklistPesertaKemenkeu!$AY$6:$AY$1005="Direkomendasikan",ROW($6:$1005)-5),258))="",INDEX(checklistPesertaKemenkeu!$J$6:$J$1005,SMALL(IF(checklistPesertaKemenkeu!$AY$6:$AY$1005="Direkomendasikan",ROW($6:$1005)-5),258))=""),"",IF(AND(COUNTIF(INDIRECT("K_"&amp;MATCH(INDEX(checklistPesertaKemenkeu!$J$6:$J$1005,SMALL(IF(checklistPesertaKemenkeu!$AY$6:$AY$1005="Direkomendasikan",ROW($6:$1005)-5),258)),BidangList,0)),INDEX(checklistPesertaKemenkeu!$P$6:$P$1005,SMALL(IF(checklistPesertaKemenkeu!$AY$6:$AY$1005="Direkomendasikan",ROW($6:$1005)-5),258)))&gt;0,COUNTIF(INDIRECT("'KERTAS KERJA'!K"&amp;(SMALL(IF(checklistPesertaKemenkeu!$AY$6:$AY$1005="Direkomendasikan",ROW($6:$1005)-5),258)+5)&amp;":O"&amp;(SMALL(IF(checklistPesertaKemenkeu!$AY$6:$AY$1005="Direkomendasikan",ROW($6:$1005)-5),258)+5)),INDEX(checklistPesertaKemenkeu!$P$6:$P$1005,SMALL(IF(checklistPesertaKemenkeu!$AY$6:$AY$1005="Direkomendasikan",ROW($6:$1005)-5),258)))=1),IFERROR(VLOOKUP(INDEX(checklistPesertaKemenkeu!$P$6:$P$1005,SMALL(IF(checklistPesertaKemenkeu!$AY$6:$AY$1005="Direkomendasikan",ROW($6:$1005)-5),258)),KotaKode,2,0),"-"),"")),"")</f>
        <v/>
      </c>
    </row>
    <row r="260" spans="1:12" ht="15" customHeight="1" x14ac:dyDescent="0.2">
      <c r="A260" t="str">
        <f t="shared" si="4"/>
        <v/>
      </c>
      <c r="B260" t="str">
        <v/>
      </c>
      <c r="C260" s="40" t="str">
        <f t="array" ref="C260">IFERROR(INDEX(checklistPesertaKemenkeu!$F$6:$F$1005,SMALL(IF(checklistPesertaKemenkeu!$AY$6:$AY$1005="Direkomendasikan",ROW($6:$1005)-5),259)),"")</f>
        <v/>
      </c>
      <c r="D260" t="str">
        <f t="array" ref="D260">IFERROR(INDEX(checklistPesertaKemenkeu!$G$6:$G$1005,SMALL(IF(checklistPesertaKemenkeu!$AY$6:$AY$1005="Direkomendasikan",ROW($6:$1005)-5),259)),"")</f>
        <v/>
      </c>
      <c r="E260" t="str">
        <f t="array" ref="E260">IFERROR(INDEX(checklistPesertaKemenkeu!$H$6:$H$1005,SMALL(IF(checklistPesertaKemenkeu!$AY$6:$AY$1005="Direkomendasikan",ROW($6:$1005)-5),259)),"")</f>
        <v/>
      </c>
      <c r="F260" t="str">
        <f t="array" ref="F260">IFERROR(INDEX(checklistPesertaKemenkeu!$I$6:$I$1005,SMALL(IF(checklistPesertaKemenkeu!$AY$6:$AY$1005="Direkomendasikan",ROW($6:$1005)-5),259)),"")</f>
        <v/>
      </c>
      <c r="G260" t="str">
        <f t="array" ref="G260">IFERROR(INDEX(checklistPesertaKemenkeu!$J$6:$J$1005,SMALL(IF(checklistPesertaKemenkeu!$AY$6:$AY$1005="Direkomendasikan",ROW($6:$1005)-5),259)),"")</f>
        <v/>
      </c>
      <c r="H260" t="str">
        <f t="array" aca="1" ref="H260" ca="1">IFERROR(IF(OR(INDEX(checklistPesertaKemenkeu!$L$6:$L$1005,SMALL(IF(checklistPesertaKemenkeu!$AY$6:$AY$1005="Direkomendasikan",ROW($6:$1005)-5),259))="",INDEX(checklistPesertaKemenkeu!$J$6:$J$1005,SMALL(IF(checklistPesertaKemenkeu!$AY$6:$AY$1005="Direkomendasikan",ROW($6:$1005)-5),259))=""),"",IF(AND(COUNTIF(INDIRECT("K_"&amp;MATCH(INDEX(checklistPesertaKemenkeu!$J$6:$J$1005,SMALL(IF(checklistPesertaKemenkeu!$AY$6:$AY$1005="Direkomendasikan",ROW($6:$1005)-5),259)),BidangList,0)),INDEX(checklistPesertaKemenkeu!$L$6:$L$1005,SMALL(IF(checklistPesertaKemenkeu!$AY$6:$AY$1005="Direkomendasikan",ROW($6:$1005)-5),259)))&gt;0,COUNTIF(INDIRECT("'KERTAS KERJA'!K"&amp;(SMALL(IF(checklistPesertaKemenkeu!$AY$6:$AY$1005="Direkomendasikan",ROW($6:$1005)-5),259)+5)&amp;":O"&amp;(SMALL(IF(checklistPesertaKemenkeu!$AY$6:$AY$1005="Direkomendasikan",ROW($6:$1005)-5),259)+5)),INDEX(checklistPesertaKemenkeu!$L$6:$L$1005,SMALL(IF(checklistPesertaKemenkeu!$AY$6:$AY$1005="Direkomendasikan",ROW($6:$1005)-5),259)))=1),IFERROR(VLOOKUP(INDEX(checklistPesertaKemenkeu!$L$6:$L$1005,SMALL(IF(checklistPesertaKemenkeu!$AY$6:$AY$1005="Direkomendasikan",ROW($6:$1005)-5),259)),KotaKode,2,0),"-"),"")),"")</f>
        <v/>
      </c>
      <c r="I260" t="str">
        <f t="array" aca="1" ref="I260" ca="1">IFERROR(IF(OR(INDEX(checklistPesertaKemenkeu!$M$6:$M$1005,SMALL(IF(checklistPesertaKemenkeu!$AY$6:$AY$1005="Direkomendasikan",ROW($6:$1005)-5),259))="",INDEX(checklistPesertaKemenkeu!$J$6:$J$1005,SMALL(IF(checklistPesertaKemenkeu!$AY$6:$AY$1005="Direkomendasikan",ROW($6:$1005)-5),259))=""),"",IF(AND(COUNTIF(INDIRECT("K_"&amp;MATCH(INDEX(checklistPesertaKemenkeu!$J$6:$J$1005,SMALL(IF(checklistPesertaKemenkeu!$AY$6:$AY$1005="Direkomendasikan",ROW($6:$1005)-5),259)),BidangList,0)),INDEX(checklistPesertaKemenkeu!$M$6:$M$1005,SMALL(IF(checklistPesertaKemenkeu!$AY$6:$AY$1005="Direkomendasikan",ROW($6:$1005)-5),259)))&gt;0,COUNTIF(INDIRECT("'KERTAS KERJA'!K"&amp;(SMALL(IF(checklistPesertaKemenkeu!$AY$6:$AY$1005="Direkomendasikan",ROW($6:$1005)-5),259)+5)&amp;":O"&amp;(SMALL(IF(checklistPesertaKemenkeu!$AY$6:$AY$1005="Direkomendasikan",ROW($6:$1005)-5),259)+5)),INDEX(checklistPesertaKemenkeu!$M$6:$M$1005,SMALL(IF(checklistPesertaKemenkeu!$AY$6:$AY$1005="Direkomendasikan",ROW($6:$1005)-5),259)))=1),IFERROR(VLOOKUP(INDEX(checklistPesertaKemenkeu!$M$6:$M$1005,SMALL(IF(checklistPesertaKemenkeu!$AY$6:$AY$1005="Direkomendasikan",ROW($6:$1005)-5),259)),KotaKode,2,0),"-"),"")),"")</f>
        <v/>
      </c>
      <c r="J260" t="str">
        <f t="array" aca="1" ref="J260" ca="1">IFERROR(IF(OR(INDEX(checklistPesertaKemenkeu!$N$6:$N$1005,SMALL(IF(checklistPesertaKemenkeu!$AY$6:$AY$1005="Direkomendasikan",ROW($6:$1005)-5),259))="",INDEX(checklistPesertaKemenkeu!$J$6:$J$1005,SMALL(IF(checklistPesertaKemenkeu!$AY$6:$AY$1005="Direkomendasikan",ROW($6:$1005)-5),259))=""),"",IF(AND(COUNTIF(INDIRECT("K_"&amp;MATCH(INDEX(checklistPesertaKemenkeu!$J$6:$J$1005,SMALL(IF(checklistPesertaKemenkeu!$AY$6:$AY$1005="Direkomendasikan",ROW($6:$1005)-5),259)),BidangList,0)),INDEX(checklistPesertaKemenkeu!$N$6:$N$1005,SMALL(IF(checklistPesertaKemenkeu!$AY$6:$AY$1005="Direkomendasikan",ROW($6:$1005)-5),259)))&gt;0,COUNTIF(INDIRECT("'KERTAS KERJA'!K"&amp;(SMALL(IF(checklistPesertaKemenkeu!$AY$6:$AY$1005="Direkomendasikan",ROW($6:$1005)-5),259)+5)&amp;":O"&amp;(SMALL(IF(checklistPesertaKemenkeu!$AY$6:$AY$1005="Direkomendasikan",ROW($6:$1005)-5),259)+5)),INDEX(checklistPesertaKemenkeu!$N$6:$N$1005,SMALL(IF(checklistPesertaKemenkeu!$AY$6:$AY$1005="Direkomendasikan",ROW($6:$1005)-5),259)))=1),IFERROR(VLOOKUP(INDEX(checklistPesertaKemenkeu!$N$6:$N$1005,SMALL(IF(checklistPesertaKemenkeu!$AY$6:$AY$1005="Direkomendasikan",ROW($6:$1005)-5),259)),KotaKode,2,0),"-"),"")),"")</f>
        <v/>
      </c>
      <c r="K260" t="str">
        <f t="array" aca="1" ref="K260" ca="1">IFERROR(IF(OR(INDEX(checklistPesertaKemenkeu!$O$6:$O$1005,SMALL(IF(checklistPesertaKemenkeu!$AY$6:$AY$1005="Direkomendasikan",ROW($6:$1005)-5),259))="",INDEX(checklistPesertaKemenkeu!$J$6:$J$1005,SMALL(IF(checklistPesertaKemenkeu!$AY$6:$AY$1005="Direkomendasikan",ROW($6:$1005)-5),259))=""),"",IF(AND(COUNTIF(INDIRECT("K_"&amp;MATCH(INDEX(checklistPesertaKemenkeu!$J$6:$J$1005,SMALL(IF(checklistPesertaKemenkeu!$AY$6:$AY$1005="Direkomendasikan",ROW($6:$1005)-5),259)),BidangList,0)),INDEX(checklistPesertaKemenkeu!$O$6:$O$1005,SMALL(IF(checklistPesertaKemenkeu!$AY$6:$AY$1005="Direkomendasikan",ROW($6:$1005)-5),259)))&gt;0,COUNTIF(INDIRECT("'KERTAS KERJA'!K"&amp;(SMALL(IF(checklistPesertaKemenkeu!$AY$6:$AY$1005="Direkomendasikan",ROW($6:$1005)-5),259)+5)&amp;":O"&amp;(SMALL(IF(checklistPesertaKemenkeu!$AY$6:$AY$1005="Direkomendasikan",ROW($6:$1005)-5),259)+5)),INDEX(checklistPesertaKemenkeu!$O$6:$O$1005,SMALL(IF(checklistPesertaKemenkeu!$AY$6:$AY$1005="Direkomendasikan",ROW($6:$1005)-5),259)))=1),IFERROR(VLOOKUP(INDEX(checklistPesertaKemenkeu!$O$6:$O$1005,SMALL(IF(checklistPesertaKemenkeu!$AY$6:$AY$1005="Direkomendasikan",ROW($6:$1005)-5),259)),KotaKode,2,0),"-"),"")),"")</f>
        <v/>
      </c>
      <c r="L260" t="str">
        <f t="array" aca="1" ref="L260" ca="1">IFERROR(IF(OR(INDEX(checklistPesertaKemenkeu!$P$6:$P$1005,SMALL(IF(checklistPesertaKemenkeu!$AY$6:$AY$1005="Direkomendasikan",ROW($6:$1005)-5),259))="",INDEX(checklistPesertaKemenkeu!$J$6:$J$1005,SMALL(IF(checklistPesertaKemenkeu!$AY$6:$AY$1005="Direkomendasikan",ROW($6:$1005)-5),259))=""),"",IF(AND(COUNTIF(INDIRECT("K_"&amp;MATCH(INDEX(checklistPesertaKemenkeu!$J$6:$J$1005,SMALL(IF(checklistPesertaKemenkeu!$AY$6:$AY$1005="Direkomendasikan",ROW($6:$1005)-5),259)),BidangList,0)),INDEX(checklistPesertaKemenkeu!$P$6:$P$1005,SMALL(IF(checklistPesertaKemenkeu!$AY$6:$AY$1005="Direkomendasikan",ROW($6:$1005)-5),259)))&gt;0,COUNTIF(INDIRECT("'KERTAS KERJA'!K"&amp;(SMALL(IF(checklistPesertaKemenkeu!$AY$6:$AY$1005="Direkomendasikan",ROW($6:$1005)-5),259)+5)&amp;":O"&amp;(SMALL(IF(checklistPesertaKemenkeu!$AY$6:$AY$1005="Direkomendasikan",ROW($6:$1005)-5),259)+5)),INDEX(checklistPesertaKemenkeu!$P$6:$P$1005,SMALL(IF(checklistPesertaKemenkeu!$AY$6:$AY$1005="Direkomendasikan",ROW($6:$1005)-5),259)))=1),IFERROR(VLOOKUP(INDEX(checklistPesertaKemenkeu!$P$6:$P$1005,SMALL(IF(checklistPesertaKemenkeu!$AY$6:$AY$1005="Direkomendasikan",ROW($6:$1005)-5),259)),KotaKode,2,0),"-"),"")),"")</f>
        <v/>
      </c>
    </row>
    <row r="261" spans="1:12" ht="15" customHeight="1" x14ac:dyDescent="0.2">
      <c r="A261" t="str">
        <f t="shared" si="4"/>
        <v/>
      </c>
      <c r="B261" t="str">
        <v/>
      </c>
      <c r="C261" s="40" t="str">
        <f t="array" ref="C261">IFERROR(INDEX(checklistPesertaKemenkeu!$F$6:$F$1005,SMALL(IF(checklistPesertaKemenkeu!$AY$6:$AY$1005="Direkomendasikan",ROW($6:$1005)-5),260)),"")</f>
        <v/>
      </c>
      <c r="D261" t="str">
        <f t="array" ref="D261">IFERROR(INDEX(checklistPesertaKemenkeu!$G$6:$G$1005,SMALL(IF(checklistPesertaKemenkeu!$AY$6:$AY$1005="Direkomendasikan",ROW($6:$1005)-5),260)),"")</f>
        <v/>
      </c>
      <c r="E261" t="str">
        <f t="array" ref="E261">IFERROR(INDEX(checklistPesertaKemenkeu!$H$6:$H$1005,SMALL(IF(checklistPesertaKemenkeu!$AY$6:$AY$1005="Direkomendasikan",ROW($6:$1005)-5),260)),"")</f>
        <v/>
      </c>
      <c r="F261" t="str">
        <f t="array" ref="F261">IFERROR(INDEX(checklistPesertaKemenkeu!$I$6:$I$1005,SMALL(IF(checklistPesertaKemenkeu!$AY$6:$AY$1005="Direkomendasikan",ROW($6:$1005)-5),260)),"")</f>
        <v/>
      </c>
      <c r="G261" t="str">
        <f t="array" ref="G261">IFERROR(INDEX(checklistPesertaKemenkeu!$J$6:$J$1005,SMALL(IF(checklistPesertaKemenkeu!$AY$6:$AY$1005="Direkomendasikan",ROW($6:$1005)-5),260)),"")</f>
        <v/>
      </c>
      <c r="H261" t="str">
        <f t="array" aca="1" ref="H261" ca="1">IFERROR(IF(OR(INDEX(checklistPesertaKemenkeu!$L$6:$L$1005,SMALL(IF(checklistPesertaKemenkeu!$AY$6:$AY$1005="Direkomendasikan",ROW($6:$1005)-5),260))="",INDEX(checklistPesertaKemenkeu!$J$6:$J$1005,SMALL(IF(checklistPesertaKemenkeu!$AY$6:$AY$1005="Direkomendasikan",ROW($6:$1005)-5),260))=""),"",IF(AND(COUNTIF(INDIRECT("K_"&amp;MATCH(INDEX(checklistPesertaKemenkeu!$J$6:$J$1005,SMALL(IF(checklistPesertaKemenkeu!$AY$6:$AY$1005="Direkomendasikan",ROW($6:$1005)-5),260)),BidangList,0)),INDEX(checklistPesertaKemenkeu!$L$6:$L$1005,SMALL(IF(checklistPesertaKemenkeu!$AY$6:$AY$1005="Direkomendasikan",ROW($6:$1005)-5),260)))&gt;0,COUNTIF(INDIRECT("'KERTAS KERJA'!K"&amp;(SMALL(IF(checklistPesertaKemenkeu!$AY$6:$AY$1005="Direkomendasikan",ROW($6:$1005)-5),260)+5)&amp;":O"&amp;(SMALL(IF(checklistPesertaKemenkeu!$AY$6:$AY$1005="Direkomendasikan",ROW($6:$1005)-5),260)+5)),INDEX(checklistPesertaKemenkeu!$L$6:$L$1005,SMALL(IF(checklistPesertaKemenkeu!$AY$6:$AY$1005="Direkomendasikan",ROW($6:$1005)-5),260)))=1),IFERROR(VLOOKUP(INDEX(checklistPesertaKemenkeu!$L$6:$L$1005,SMALL(IF(checklistPesertaKemenkeu!$AY$6:$AY$1005="Direkomendasikan",ROW($6:$1005)-5),260)),KotaKode,2,0),"-"),"")),"")</f>
        <v/>
      </c>
      <c r="I261" t="str">
        <f t="array" aca="1" ref="I261" ca="1">IFERROR(IF(OR(INDEX(checklistPesertaKemenkeu!$M$6:$M$1005,SMALL(IF(checklistPesertaKemenkeu!$AY$6:$AY$1005="Direkomendasikan",ROW($6:$1005)-5),260))="",INDEX(checklistPesertaKemenkeu!$J$6:$J$1005,SMALL(IF(checklistPesertaKemenkeu!$AY$6:$AY$1005="Direkomendasikan",ROW($6:$1005)-5),260))=""),"",IF(AND(COUNTIF(INDIRECT("K_"&amp;MATCH(INDEX(checklistPesertaKemenkeu!$J$6:$J$1005,SMALL(IF(checklistPesertaKemenkeu!$AY$6:$AY$1005="Direkomendasikan",ROW($6:$1005)-5),260)),BidangList,0)),INDEX(checklistPesertaKemenkeu!$M$6:$M$1005,SMALL(IF(checklistPesertaKemenkeu!$AY$6:$AY$1005="Direkomendasikan",ROW($6:$1005)-5),260)))&gt;0,COUNTIF(INDIRECT("'KERTAS KERJA'!K"&amp;(SMALL(IF(checklistPesertaKemenkeu!$AY$6:$AY$1005="Direkomendasikan",ROW($6:$1005)-5),260)+5)&amp;":O"&amp;(SMALL(IF(checklistPesertaKemenkeu!$AY$6:$AY$1005="Direkomendasikan",ROW($6:$1005)-5),260)+5)),INDEX(checklistPesertaKemenkeu!$M$6:$M$1005,SMALL(IF(checklistPesertaKemenkeu!$AY$6:$AY$1005="Direkomendasikan",ROW($6:$1005)-5),260)))=1),IFERROR(VLOOKUP(INDEX(checklistPesertaKemenkeu!$M$6:$M$1005,SMALL(IF(checklistPesertaKemenkeu!$AY$6:$AY$1005="Direkomendasikan",ROW($6:$1005)-5),260)),KotaKode,2,0),"-"),"")),"")</f>
        <v/>
      </c>
      <c r="J261" t="str">
        <f t="array" aca="1" ref="J261" ca="1">IFERROR(IF(OR(INDEX(checklistPesertaKemenkeu!$N$6:$N$1005,SMALL(IF(checklistPesertaKemenkeu!$AY$6:$AY$1005="Direkomendasikan",ROW($6:$1005)-5),260))="",INDEX(checklistPesertaKemenkeu!$J$6:$J$1005,SMALL(IF(checklistPesertaKemenkeu!$AY$6:$AY$1005="Direkomendasikan",ROW($6:$1005)-5),260))=""),"",IF(AND(COUNTIF(INDIRECT("K_"&amp;MATCH(INDEX(checklistPesertaKemenkeu!$J$6:$J$1005,SMALL(IF(checklistPesertaKemenkeu!$AY$6:$AY$1005="Direkomendasikan",ROW($6:$1005)-5),260)),BidangList,0)),INDEX(checklistPesertaKemenkeu!$N$6:$N$1005,SMALL(IF(checklistPesertaKemenkeu!$AY$6:$AY$1005="Direkomendasikan",ROW($6:$1005)-5),260)))&gt;0,COUNTIF(INDIRECT("'KERTAS KERJA'!K"&amp;(SMALL(IF(checklistPesertaKemenkeu!$AY$6:$AY$1005="Direkomendasikan",ROW($6:$1005)-5),260)+5)&amp;":O"&amp;(SMALL(IF(checklistPesertaKemenkeu!$AY$6:$AY$1005="Direkomendasikan",ROW($6:$1005)-5),260)+5)),INDEX(checklistPesertaKemenkeu!$N$6:$N$1005,SMALL(IF(checklistPesertaKemenkeu!$AY$6:$AY$1005="Direkomendasikan",ROW($6:$1005)-5),260)))=1),IFERROR(VLOOKUP(INDEX(checklistPesertaKemenkeu!$N$6:$N$1005,SMALL(IF(checklistPesertaKemenkeu!$AY$6:$AY$1005="Direkomendasikan",ROW($6:$1005)-5),260)),KotaKode,2,0),"-"),"")),"")</f>
        <v/>
      </c>
      <c r="K261" t="str">
        <f t="array" aca="1" ref="K261" ca="1">IFERROR(IF(OR(INDEX(checklistPesertaKemenkeu!$O$6:$O$1005,SMALL(IF(checklistPesertaKemenkeu!$AY$6:$AY$1005="Direkomendasikan",ROW($6:$1005)-5),260))="",INDEX(checklistPesertaKemenkeu!$J$6:$J$1005,SMALL(IF(checklistPesertaKemenkeu!$AY$6:$AY$1005="Direkomendasikan",ROW($6:$1005)-5),260))=""),"",IF(AND(COUNTIF(INDIRECT("K_"&amp;MATCH(INDEX(checklistPesertaKemenkeu!$J$6:$J$1005,SMALL(IF(checklistPesertaKemenkeu!$AY$6:$AY$1005="Direkomendasikan",ROW($6:$1005)-5),260)),BidangList,0)),INDEX(checklistPesertaKemenkeu!$O$6:$O$1005,SMALL(IF(checklistPesertaKemenkeu!$AY$6:$AY$1005="Direkomendasikan",ROW($6:$1005)-5),260)))&gt;0,COUNTIF(INDIRECT("'KERTAS KERJA'!K"&amp;(SMALL(IF(checklistPesertaKemenkeu!$AY$6:$AY$1005="Direkomendasikan",ROW($6:$1005)-5),260)+5)&amp;":O"&amp;(SMALL(IF(checklistPesertaKemenkeu!$AY$6:$AY$1005="Direkomendasikan",ROW($6:$1005)-5),260)+5)),INDEX(checklistPesertaKemenkeu!$O$6:$O$1005,SMALL(IF(checklistPesertaKemenkeu!$AY$6:$AY$1005="Direkomendasikan",ROW($6:$1005)-5),260)))=1),IFERROR(VLOOKUP(INDEX(checklistPesertaKemenkeu!$O$6:$O$1005,SMALL(IF(checklistPesertaKemenkeu!$AY$6:$AY$1005="Direkomendasikan",ROW($6:$1005)-5),260)),KotaKode,2,0),"-"),"")),"")</f>
        <v/>
      </c>
      <c r="L261" t="str">
        <f t="array" aca="1" ref="L261" ca="1">IFERROR(IF(OR(INDEX(checklistPesertaKemenkeu!$P$6:$P$1005,SMALL(IF(checklistPesertaKemenkeu!$AY$6:$AY$1005="Direkomendasikan",ROW($6:$1005)-5),260))="",INDEX(checklistPesertaKemenkeu!$J$6:$J$1005,SMALL(IF(checklistPesertaKemenkeu!$AY$6:$AY$1005="Direkomendasikan",ROW($6:$1005)-5),260))=""),"",IF(AND(COUNTIF(INDIRECT("K_"&amp;MATCH(INDEX(checklistPesertaKemenkeu!$J$6:$J$1005,SMALL(IF(checklistPesertaKemenkeu!$AY$6:$AY$1005="Direkomendasikan",ROW($6:$1005)-5),260)),BidangList,0)),INDEX(checklistPesertaKemenkeu!$P$6:$P$1005,SMALL(IF(checklistPesertaKemenkeu!$AY$6:$AY$1005="Direkomendasikan",ROW($6:$1005)-5),260)))&gt;0,COUNTIF(INDIRECT("'KERTAS KERJA'!K"&amp;(SMALL(IF(checklistPesertaKemenkeu!$AY$6:$AY$1005="Direkomendasikan",ROW($6:$1005)-5),260)+5)&amp;":O"&amp;(SMALL(IF(checklistPesertaKemenkeu!$AY$6:$AY$1005="Direkomendasikan",ROW($6:$1005)-5),260)+5)),INDEX(checklistPesertaKemenkeu!$P$6:$P$1005,SMALL(IF(checklistPesertaKemenkeu!$AY$6:$AY$1005="Direkomendasikan",ROW($6:$1005)-5),260)))=1),IFERROR(VLOOKUP(INDEX(checklistPesertaKemenkeu!$P$6:$P$1005,SMALL(IF(checklistPesertaKemenkeu!$AY$6:$AY$1005="Direkomendasikan",ROW($6:$1005)-5),260)),KotaKode,2,0),"-"),"")),"")</f>
        <v/>
      </c>
    </row>
    <row r="262" spans="1:12" ht="15" customHeight="1" x14ac:dyDescent="0.2">
      <c r="A262" t="str">
        <f t="shared" si="4"/>
        <v/>
      </c>
      <c r="B262" t="str">
        <v/>
      </c>
      <c r="C262" s="40" t="str">
        <f t="array" ref="C262">IFERROR(INDEX(checklistPesertaKemenkeu!$F$6:$F$1005,SMALL(IF(checklistPesertaKemenkeu!$AY$6:$AY$1005="Direkomendasikan",ROW($6:$1005)-5),261)),"")</f>
        <v/>
      </c>
      <c r="D262" t="str">
        <f t="array" ref="D262">IFERROR(INDEX(checklistPesertaKemenkeu!$G$6:$G$1005,SMALL(IF(checklistPesertaKemenkeu!$AY$6:$AY$1005="Direkomendasikan",ROW($6:$1005)-5),261)),"")</f>
        <v/>
      </c>
      <c r="E262" t="str">
        <f t="array" ref="E262">IFERROR(INDEX(checklistPesertaKemenkeu!$H$6:$H$1005,SMALL(IF(checklistPesertaKemenkeu!$AY$6:$AY$1005="Direkomendasikan",ROW($6:$1005)-5),261)),"")</f>
        <v/>
      </c>
      <c r="F262" t="str">
        <f t="array" ref="F262">IFERROR(INDEX(checklistPesertaKemenkeu!$I$6:$I$1005,SMALL(IF(checklistPesertaKemenkeu!$AY$6:$AY$1005="Direkomendasikan",ROW($6:$1005)-5),261)),"")</f>
        <v/>
      </c>
      <c r="G262" t="str">
        <f t="array" ref="G262">IFERROR(INDEX(checklistPesertaKemenkeu!$J$6:$J$1005,SMALL(IF(checklistPesertaKemenkeu!$AY$6:$AY$1005="Direkomendasikan",ROW($6:$1005)-5),261)),"")</f>
        <v/>
      </c>
      <c r="H262" t="str">
        <f t="array" aca="1" ref="H262" ca="1">IFERROR(IF(OR(INDEX(checklistPesertaKemenkeu!$L$6:$L$1005,SMALL(IF(checklistPesertaKemenkeu!$AY$6:$AY$1005="Direkomendasikan",ROW($6:$1005)-5),261))="",INDEX(checklistPesertaKemenkeu!$J$6:$J$1005,SMALL(IF(checklistPesertaKemenkeu!$AY$6:$AY$1005="Direkomendasikan",ROW($6:$1005)-5),261))=""),"",IF(AND(COUNTIF(INDIRECT("K_"&amp;MATCH(INDEX(checklistPesertaKemenkeu!$J$6:$J$1005,SMALL(IF(checklistPesertaKemenkeu!$AY$6:$AY$1005="Direkomendasikan",ROW($6:$1005)-5),261)),BidangList,0)),INDEX(checklistPesertaKemenkeu!$L$6:$L$1005,SMALL(IF(checklistPesertaKemenkeu!$AY$6:$AY$1005="Direkomendasikan",ROW($6:$1005)-5),261)))&gt;0,COUNTIF(INDIRECT("'KERTAS KERJA'!K"&amp;(SMALL(IF(checklistPesertaKemenkeu!$AY$6:$AY$1005="Direkomendasikan",ROW($6:$1005)-5),261)+5)&amp;":O"&amp;(SMALL(IF(checklistPesertaKemenkeu!$AY$6:$AY$1005="Direkomendasikan",ROW($6:$1005)-5),261)+5)),INDEX(checklistPesertaKemenkeu!$L$6:$L$1005,SMALL(IF(checklistPesertaKemenkeu!$AY$6:$AY$1005="Direkomendasikan",ROW($6:$1005)-5),261)))=1),IFERROR(VLOOKUP(INDEX(checklistPesertaKemenkeu!$L$6:$L$1005,SMALL(IF(checklistPesertaKemenkeu!$AY$6:$AY$1005="Direkomendasikan",ROW($6:$1005)-5),261)),KotaKode,2,0),"-"),"")),"")</f>
        <v/>
      </c>
      <c r="I262" t="str">
        <f t="array" aca="1" ref="I262" ca="1">IFERROR(IF(OR(INDEX(checklistPesertaKemenkeu!$M$6:$M$1005,SMALL(IF(checklistPesertaKemenkeu!$AY$6:$AY$1005="Direkomendasikan",ROW($6:$1005)-5),261))="",INDEX(checklistPesertaKemenkeu!$J$6:$J$1005,SMALL(IF(checklistPesertaKemenkeu!$AY$6:$AY$1005="Direkomendasikan",ROW($6:$1005)-5),261))=""),"",IF(AND(COUNTIF(INDIRECT("K_"&amp;MATCH(INDEX(checklistPesertaKemenkeu!$J$6:$J$1005,SMALL(IF(checklistPesertaKemenkeu!$AY$6:$AY$1005="Direkomendasikan",ROW($6:$1005)-5),261)),BidangList,0)),INDEX(checklistPesertaKemenkeu!$M$6:$M$1005,SMALL(IF(checklistPesertaKemenkeu!$AY$6:$AY$1005="Direkomendasikan",ROW($6:$1005)-5),261)))&gt;0,COUNTIF(INDIRECT("'KERTAS KERJA'!K"&amp;(SMALL(IF(checklistPesertaKemenkeu!$AY$6:$AY$1005="Direkomendasikan",ROW($6:$1005)-5),261)+5)&amp;":O"&amp;(SMALL(IF(checklistPesertaKemenkeu!$AY$6:$AY$1005="Direkomendasikan",ROW($6:$1005)-5),261)+5)),INDEX(checklistPesertaKemenkeu!$M$6:$M$1005,SMALL(IF(checklistPesertaKemenkeu!$AY$6:$AY$1005="Direkomendasikan",ROW($6:$1005)-5),261)))=1),IFERROR(VLOOKUP(INDEX(checklistPesertaKemenkeu!$M$6:$M$1005,SMALL(IF(checklistPesertaKemenkeu!$AY$6:$AY$1005="Direkomendasikan",ROW($6:$1005)-5),261)),KotaKode,2,0),"-"),"")),"")</f>
        <v/>
      </c>
      <c r="J262" t="str">
        <f t="array" aca="1" ref="J262" ca="1">IFERROR(IF(OR(INDEX(checklistPesertaKemenkeu!$N$6:$N$1005,SMALL(IF(checklistPesertaKemenkeu!$AY$6:$AY$1005="Direkomendasikan",ROW($6:$1005)-5),261))="",INDEX(checklistPesertaKemenkeu!$J$6:$J$1005,SMALL(IF(checklistPesertaKemenkeu!$AY$6:$AY$1005="Direkomendasikan",ROW($6:$1005)-5),261))=""),"",IF(AND(COUNTIF(INDIRECT("K_"&amp;MATCH(INDEX(checklistPesertaKemenkeu!$J$6:$J$1005,SMALL(IF(checklistPesertaKemenkeu!$AY$6:$AY$1005="Direkomendasikan",ROW($6:$1005)-5),261)),BidangList,0)),INDEX(checklistPesertaKemenkeu!$N$6:$N$1005,SMALL(IF(checklistPesertaKemenkeu!$AY$6:$AY$1005="Direkomendasikan",ROW($6:$1005)-5),261)))&gt;0,COUNTIF(INDIRECT("'KERTAS KERJA'!K"&amp;(SMALL(IF(checklistPesertaKemenkeu!$AY$6:$AY$1005="Direkomendasikan",ROW($6:$1005)-5),261)+5)&amp;":O"&amp;(SMALL(IF(checklistPesertaKemenkeu!$AY$6:$AY$1005="Direkomendasikan",ROW($6:$1005)-5),261)+5)),INDEX(checklistPesertaKemenkeu!$N$6:$N$1005,SMALL(IF(checklistPesertaKemenkeu!$AY$6:$AY$1005="Direkomendasikan",ROW($6:$1005)-5),261)))=1),IFERROR(VLOOKUP(INDEX(checklistPesertaKemenkeu!$N$6:$N$1005,SMALL(IF(checklistPesertaKemenkeu!$AY$6:$AY$1005="Direkomendasikan",ROW($6:$1005)-5),261)),KotaKode,2,0),"-"),"")),"")</f>
        <v/>
      </c>
      <c r="K262" t="str">
        <f t="array" aca="1" ref="K262" ca="1">IFERROR(IF(OR(INDEX(checklistPesertaKemenkeu!$O$6:$O$1005,SMALL(IF(checklistPesertaKemenkeu!$AY$6:$AY$1005="Direkomendasikan",ROW($6:$1005)-5),261))="",INDEX(checklistPesertaKemenkeu!$J$6:$J$1005,SMALL(IF(checklistPesertaKemenkeu!$AY$6:$AY$1005="Direkomendasikan",ROW($6:$1005)-5),261))=""),"",IF(AND(COUNTIF(INDIRECT("K_"&amp;MATCH(INDEX(checklistPesertaKemenkeu!$J$6:$J$1005,SMALL(IF(checklistPesertaKemenkeu!$AY$6:$AY$1005="Direkomendasikan",ROW($6:$1005)-5),261)),BidangList,0)),INDEX(checklistPesertaKemenkeu!$O$6:$O$1005,SMALL(IF(checklistPesertaKemenkeu!$AY$6:$AY$1005="Direkomendasikan",ROW($6:$1005)-5),261)))&gt;0,COUNTIF(INDIRECT("'KERTAS KERJA'!K"&amp;(SMALL(IF(checklistPesertaKemenkeu!$AY$6:$AY$1005="Direkomendasikan",ROW($6:$1005)-5),261)+5)&amp;":O"&amp;(SMALL(IF(checklistPesertaKemenkeu!$AY$6:$AY$1005="Direkomendasikan",ROW($6:$1005)-5),261)+5)),INDEX(checklistPesertaKemenkeu!$O$6:$O$1005,SMALL(IF(checklistPesertaKemenkeu!$AY$6:$AY$1005="Direkomendasikan",ROW($6:$1005)-5),261)))=1),IFERROR(VLOOKUP(INDEX(checklistPesertaKemenkeu!$O$6:$O$1005,SMALL(IF(checklistPesertaKemenkeu!$AY$6:$AY$1005="Direkomendasikan",ROW($6:$1005)-5),261)),KotaKode,2,0),"-"),"")),"")</f>
        <v/>
      </c>
      <c r="L262" t="str">
        <f t="array" aca="1" ref="L262" ca="1">IFERROR(IF(OR(INDEX(checklistPesertaKemenkeu!$P$6:$P$1005,SMALL(IF(checklistPesertaKemenkeu!$AY$6:$AY$1005="Direkomendasikan",ROW($6:$1005)-5),261))="",INDEX(checklistPesertaKemenkeu!$J$6:$J$1005,SMALL(IF(checklistPesertaKemenkeu!$AY$6:$AY$1005="Direkomendasikan",ROW($6:$1005)-5),261))=""),"",IF(AND(COUNTIF(INDIRECT("K_"&amp;MATCH(INDEX(checklistPesertaKemenkeu!$J$6:$J$1005,SMALL(IF(checklistPesertaKemenkeu!$AY$6:$AY$1005="Direkomendasikan",ROW($6:$1005)-5),261)),BidangList,0)),INDEX(checklistPesertaKemenkeu!$P$6:$P$1005,SMALL(IF(checklistPesertaKemenkeu!$AY$6:$AY$1005="Direkomendasikan",ROW($6:$1005)-5),261)))&gt;0,COUNTIF(INDIRECT("'KERTAS KERJA'!K"&amp;(SMALL(IF(checklistPesertaKemenkeu!$AY$6:$AY$1005="Direkomendasikan",ROW($6:$1005)-5),261)+5)&amp;":O"&amp;(SMALL(IF(checklistPesertaKemenkeu!$AY$6:$AY$1005="Direkomendasikan",ROW($6:$1005)-5),261)+5)),INDEX(checklistPesertaKemenkeu!$P$6:$P$1005,SMALL(IF(checklistPesertaKemenkeu!$AY$6:$AY$1005="Direkomendasikan",ROW($6:$1005)-5),261)))=1),IFERROR(VLOOKUP(INDEX(checklistPesertaKemenkeu!$P$6:$P$1005,SMALL(IF(checklistPesertaKemenkeu!$AY$6:$AY$1005="Direkomendasikan",ROW($6:$1005)-5),261)),KotaKode,2,0),"-"),"")),"")</f>
        <v/>
      </c>
    </row>
    <row r="263" spans="1:12" ht="15" customHeight="1" x14ac:dyDescent="0.2">
      <c r="A263" t="str">
        <f t="shared" si="4"/>
        <v/>
      </c>
      <c r="B263" t="str">
        <v/>
      </c>
      <c r="C263" s="40" t="str">
        <f t="array" ref="C263">IFERROR(INDEX(checklistPesertaKemenkeu!$F$6:$F$1005,SMALL(IF(checklistPesertaKemenkeu!$AY$6:$AY$1005="Direkomendasikan",ROW($6:$1005)-5),262)),"")</f>
        <v/>
      </c>
      <c r="D263" t="str">
        <f t="array" ref="D263">IFERROR(INDEX(checklistPesertaKemenkeu!$G$6:$G$1005,SMALL(IF(checklistPesertaKemenkeu!$AY$6:$AY$1005="Direkomendasikan",ROW($6:$1005)-5),262)),"")</f>
        <v/>
      </c>
      <c r="E263" t="str">
        <f t="array" ref="E263">IFERROR(INDEX(checklistPesertaKemenkeu!$H$6:$H$1005,SMALL(IF(checklistPesertaKemenkeu!$AY$6:$AY$1005="Direkomendasikan",ROW($6:$1005)-5),262)),"")</f>
        <v/>
      </c>
      <c r="F263" t="str">
        <f t="array" ref="F263">IFERROR(INDEX(checklistPesertaKemenkeu!$I$6:$I$1005,SMALL(IF(checklistPesertaKemenkeu!$AY$6:$AY$1005="Direkomendasikan",ROW($6:$1005)-5),262)),"")</f>
        <v/>
      </c>
      <c r="G263" t="str">
        <f t="array" ref="G263">IFERROR(INDEX(checklistPesertaKemenkeu!$J$6:$J$1005,SMALL(IF(checklistPesertaKemenkeu!$AY$6:$AY$1005="Direkomendasikan",ROW($6:$1005)-5),262)),"")</f>
        <v/>
      </c>
      <c r="H263" t="str">
        <f t="array" aca="1" ref="H263" ca="1">IFERROR(IF(OR(INDEX(checklistPesertaKemenkeu!$L$6:$L$1005,SMALL(IF(checklistPesertaKemenkeu!$AY$6:$AY$1005="Direkomendasikan",ROW($6:$1005)-5),262))="",INDEX(checklistPesertaKemenkeu!$J$6:$J$1005,SMALL(IF(checklistPesertaKemenkeu!$AY$6:$AY$1005="Direkomendasikan",ROW($6:$1005)-5),262))=""),"",IF(AND(COUNTIF(INDIRECT("K_"&amp;MATCH(INDEX(checklistPesertaKemenkeu!$J$6:$J$1005,SMALL(IF(checklistPesertaKemenkeu!$AY$6:$AY$1005="Direkomendasikan",ROW($6:$1005)-5),262)),BidangList,0)),INDEX(checklistPesertaKemenkeu!$L$6:$L$1005,SMALL(IF(checklistPesertaKemenkeu!$AY$6:$AY$1005="Direkomendasikan",ROW($6:$1005)-5),262)))&gt;0,COUNTIF(INDIRECT("'KERTAS KERJA'!K"&amp;(SMALL(IF(checklistPesertaKemenkeu!$AY$6:$AY$1005="Direkomendasikan",ROW($6:$1005)-5),262)+5)&amp;":O"&amp;(SMALL(IF(checklistPesertaKemenkeu!$AY$6:$AY$1005="Direkomendasikan",ROW($6:$1005)-5),262)+5)),INDEX(checklistPesertaKemenkeu!$L$6:$L$1005,SMALL(IF(checklistPesertaKemenkeu!$AY$6:$AY$1005="Direkomendasikan",ROW($6:$1005)-5),262)))=1),IFERROR(VLOOKUP(INDEX(checklistPesertaKemenkeu!$L$6:$L$1005,SMALL(IF(checklistPesertaKemenkeu!$AY$6:$AY$1005="Direkomendasikan",ROW($6:$1005)-5),262)),KotaKode,2,0),"-"),"")),"")</f>
        <v/>
      </c>
      <c r="I263" t="str">
        <f t="array" aca="1" ref="I263" ca="1">IFERROR(IF(OR(INDEX(checklistPesertaKemenkeu!$M$6:$M$1005,SMALL(IF(checklistPesertaKemenkeu!$AY$6:$AY$1005="Direkomendasikan",ROW($6:$1005)-5),262))="",INDEX(checklistPesertaKemenkeu!$J$6:$J$1005,SMALL(IF(checklistPesertaKemenkeu!$AY$6:$AY$1005="Direkomendasikan",ROW($6:$1005)-5),262))=""),"",IF(AND(COUNTIF(INDIRECT("K_"&amp;MATCH(INDEX(checklistPesertaKemenkeu!$J$6:$J$1005,SMALL(IF(checklistPesertaKemenkeu!$AY$6:$AY$1005="Direkomendasikan",ROW($6:$1005)-5),262)),BidangList,0)),INDEX(checklistPesertaKemenkeu!$M$6:$M$1005,SMALL(IF(checklistPesertaKemenkeu!$AY$6:$AY$1005="Direkomendasikan",ROW($6:$1005)-5),262)))&gt;0,COUNTIF(INDIRECT("'KERTAS KERJA'!K"&amp;(SMALL(IF(checklistPesertaKemenkeu!$AY$6:$AY$1005="Direkomendasikan",ROW($6:$1005)-5),262)+5)&amp;":O"&amp;(SMALL(IF(checklistPesertaKemenkeu!$AY$6:$AY$1005="Direkomendasikan",ROW($6:$1005)-5),262)+5)),INDEX(checklistPesertaKemenkeu!$M$6:$M$1005,SMALL(IF(checklistPesertaKemenkeu!$AY$6:$AY$1005="Direkomendasikan",ROW($6:$1005)-5),262)))=1),IFERROR(VLOOKUP(INDEX(checklistPesertaKemenkeu!$M$6:$M$1005,SMALL(IF(checklistPesertaKemenkeu!$AY$6:$AY$1005="Direkomendasikan",ROW($6:$1005)-5),262)),KotaKode,2,0),"-"),"")),"")</f>
        <v/>
      </c>
      <c r="J263" t="str">
        <f t="array" aca="1" ref="J263" ca="1">IFERROR(IF(OR(INDEX(checklistPesertaKemenkeu!$N$6:$N$1005,SMALL(IF(checklistPesertaKemenkeu!$AY$6:$AY$1005="Direkomendasikan",ROW($6:$1005)-5),262))="",INDEX(checklistPesertaKemenkeu!$J$6:$J$1005,SMALL(IF(checklistPesertaKemenkeu!$AY$6:$AY$1005="Direkomendasikan",ROW($6:$1005)-5),262))=""),"",IF(AND(COUNTIF(INDIRECT("K_"&amp;MATCH(INDEX(checklistPesertaKemenkeu!$J$6:$J$1005,SMALL(IF(checklistPesertaKemenkeu!$AY$6:$AY$1005="Direkomendasikan",ROW($6:$1005)-5),262)),BidangList,0)),INDEX(checklistPesertaKemenkeu!$N$6:$N$1005,SMALL(IF(checklistPesertaKemenkeu!$AY$6:$AY$1005="Direkomendasikan",ROW($6:$1005)-5),262)))&gt;0,COUNTIF(INDIRECT("'KERTAS KERJA'!K"&amp;(SMALL(IF(checklistPesertaKemenkeu!$AY$6:$AY$1005="Direkomendasikan",ROW($6:$1005)-5),262)+5)&amp;":O"&amp;(SMALL(IF(checklistPesertaKemenkeu!$AY$6:$AY$1005="Direkomendasikan",ROW($6:$1005)-5),262)+5)),INDEX(checklistPesertaKemenkeu!$N$6:$N$1005,SMALL(IF(checklistPesertaKemenkeu!$AY$6:$AY$1005="Direkomendasikan",ROW($6:$1005)-5),262)))=1),IFERROR(VLOOKUP(INDEX(checklistPesertaKemenkeu!$N$6:$N$1005,SMALL(IF(checklistPesertaKemenkeu!$AY$6:$AY$1005="Direkomendasikan",ROW($6:$1005)-5),262)),KotaKode,2,0),"-"),"")),"")</f>
        <v/>
      </c>
      <c r="K263" t="str">
        <f t="array" aca="1" ref="K263" ca="1">IFERROR(IF(OR(INDEX(checklistPesertaKemenkeu!$O$6:$O$1005,SMALL(IF(checklistPesertaKemenkeu!$AY$6:$AY$1005="Direkomendasikan",ROW($6:$1005)-5),262))="",INDEX(checklistPesertaKemenkeu!$J$6:$J$1005,SMALL(IF(checklistPesertaKemenkeu!$AY$6:$AY$1005="Direkomendasikan",ROW($6:$1005)-5),262))=""),"",IF(AND(COUNTIF(INDIRECT("K_"&amp;MATCH(INDEX(checklistPesertaKemenkeu!$J$6:$J$1005,SMALL(IF(checklistPesertaKemenkeu!$AY$6:$AY$1005="Direkomendasikan",ROW($6:$1005)-5),262)),BidangList,0)),INDEX(checklistPesertaKemenkeu!$O$6:$O$1005,SMALL(IF(checklistPesertaKemenkeu!$AY$6:$AY$1005="Direkomendasikan",ROW($6:$1005)-5),262)))&gt;0,COUNTIF(INDIRECT("'KERTAS KERJA'!K"&amp;(SMALL(IF(checklistPesertaKemenkeu!$AY$6:$AY$1005="Direkomendasikan",ROW($6:$1005)-5),262)+5)&amp;":O"&amp;(SMALL(IF(checklistPesertaKemenkeu!$AY$6:$AY$1005="Direkomendasikan",ROW($6:$1005)-5),262)+5)),INDEX(checklistPesertaKemenkeu!$O$6:$O$1005,SMALL(IF(checklistPesertaKemenkeu!$AY$6:$AY$1005="Direkomendasikan",ROW($6:$1005)-5),262)))=1),IFERROR(VLOOKUP(INDEX(checklistPesertaKemenkeu!$O$6:$O$1005,SMALL(IF(checklistPesertaKemenkeu!$AY$6:$AY$1005="Direkomendasikan",ROW($6:$1005)-5),262)),KotaKode,2,0),"-"),"")),"")</f>
        <v/>
      </c>
      <c r="L263" t="str">
        <f t="array" aca="1" ref="L263" ca="1">IFERROR(IF(OR(INDEX(checklistPesertaKemenkeu!$P$6:$P$1005,SMALL(IF(checklistPesertaKemenkeu!$AY$6:$AY$1005="Direkomendasikan",ROW($6:$1005)-5),262))="",INDEX(checklistPesertaKemenkeu!$J$6:$J$1005,SMALL(IF(checklistPesertaKemenkeu!$AY$6:$AY$1005="Direkomendasikan",ROW($6:$1005)-5),262))=""),"",IF(AND(COUNTIF(INDIRECT("K_"&amp;MATCH(INDEX(checklistPesertaKemenkeu!$J$6:$J$1005,SMALL(IF(checklistPesertaKemenkeu!$AY$6:$AY$1005="Direkomendasikan",ROW($6:$1005)-5),262)),BidangList,0)),INDEX(checklistPesertaKemenkeu!$P$6:$P$1005,SMALL(IF(checklistPesertaKemenkeu!$AY$6:$AY$1005="Direkomendasikan",ROW($6:$1005)-5),262)))&gt;0,COUNTIF(INDIRECT("'KERTAS KERJA'!K"&amp;(SMALL(IF(checklistPesertaKemenkeu!$AY$6:$AY$1005="Direkomendasikan",ROW($6:$1005)-5),262)+5)&amp;":O"&amp;(SMALL(IF(checklistPesertaKemenkeu!$AY$6:$AY$1005="Direkomendasikan",ROW($6:$1005)-5),262)+5)),INDEX(checklistPesertaKemenkeu!$P$6:$P$1005,SMALL(IF(checklistPesertaKemenkeu!$AY$6:$AY$1005="Direkomendasikan",ROW($6:$1005)-5),262)))=1),IFERROR(VLOOKUP(INDEX(checklistPesertaKemenkeu!$P$6:$P$1005,SMALL(IF(checklistPesertaKemenkeu!$AY$6:$AY$1005="Direkomendasikan",ROW($6:$1005)-5),262)),KotaKode,2,0),"-"),"")),"")</f>
        <v/>
      </c>
    </row>
    <row r="264" spans="1:12" ht="15" customHeight="1" x14ac:dyDescent="0.2">
      <c r="A264" t="str">
        <f t="shared" si="4"/>
        <v/>
      </c>
      <c r="B264" t="str">
        <v/>
      </c>
      <c r="C264" s="40" t="str">
        <f t="array" ref="C264">IFERROR(INDEX(checklistPesertaKemenkeu!$F$6:$F$1005,SMALL(IF(checklistPesertaKemenkeu!$AY$6:$AY$1005="Direkomendasikan",ROW($6:$1005)-5),263)),"")</f>
        <v/>
      </c>
      <c r="D264" t="str">
        <f t="array" ref="D264">IFERROR(INDEX(checklistPesertaKemenkeu!$G$6:$G$1005,SMALL(IF(checklistPesertaKemenkeu!$AY$6:$AY$1005="Direkomendasikan",ROW($6:$1005)-5),263)),"")</f>
        <v/>
      </c>
      <c r="E264" t="str">
        <f t="array" ref="E264">IFERROR(INDEX(checklistPesertaKemenkeu!$H$6:$H$1005,SMALL(IF(checklistPesertaKemenkeu!$AY$6:$AY$1005="Direkomendasikan",ROW($6:$1005)-5),263)),"")</f>
        <v/>
      </c>
      <c r="F264" t="str">
        <f t="array" ref="F264">IFERROR(INDEX(checklistPesertaKemenkeu!$I$6:$I$1005,SMALL(IF(checklistPesertaKemenkeu!$AY$6:$AY$1005="Direkomendasikan",ROW($6:$1005)-5),263)),"")</f>
        <v/>
      </c>
      <c r="G264" t="str">
        <f t="array" ref="G264">IFERROR(INDEX(checklistPesertaKemenkeu!$J$6:$J$1005,SMALL(IF(checklistPesertaKemenkeu!$AY$6:$AY$1005="Direkomendasikan",ROW($6:$1005)-5),263)),"")</f>
        <v/>
      </c>
      <c r="H264" t="str">
        <f t="array" aca="1" ref="H264" ca="1">IFERROR(IF(OR(INDEX(checklistPesertaKemenkeu!$L$6:$L$1005,SMALL(IF(checklistPesertaKemenkeu!$AY$6:$AY$1005="Direkomendasikan",ROW($6:$1005)-5),263))="",INDEX(checklistPesertaKemenkeu!$J$6:$J$1005,SMALL(IF(checklistPesertaKemenkeu!$AY$6:$AY$1005="Direkomendasikan",ROW($6:$1005)-5),263))=""),"",IF(AND(COUNTIF(INDIRECT("K_"&amp;MATCH(INDEX(checklistPesertaKemenkeu!$J$6:$J$1005,SMALL(IF(checklistPesertaKemenkeu!$AY$6:$AY$1005="Direkomendasikan",ROW($6:$1005)-5),263)),BidangList,0)),INDEX(checklistPesertaKemenkeu!$L$6:$L$1005,SMALL(IF(checklistPesertaKemenkeu!$AY$6:$AY$1005="Direkomendasikan",ROW($6:$1005)-5),263)))&gt;0,COUNTIF(INDIRECT("'KERTAS KERJA'!K"&amp;(SMALL(IF(checklistPesertaKemenkeu!$AY$6:$AY$1005="Direkomendasikan",ROW($6:$1005)-5),263)+5)&amp;":O"&amp;(SMALL(IF(checklistPesertaKemenkeu!$AY$6:$AY$1005="Direkomendasikan",ROW($6:$1005)-5),263)+5)),INDEX(checklistPesertaKemenkeu!$L$6:$L$1005,SMALL(IF(checklistPesertaKemenkeu!$AY$6:$AY$1005="Direkomendasikan",ROW($6:$1005)-5),263)))=1),IFERROR(VLOOKUP(INDEX(checklistPesertaKemenkeu!$L$6:$L$1005,SMALL(IF(checklistPesertaKemenkeu!$AY$6:$AY$1005="Direkomendasikan",ROW($6:$1005)-5),263)),KotaKode,2,0),"-"),"")),"")</f>
        <v/>
      </c>
      <c r="I264" t="str">
        <f t="array" aca="1" ref="I264" ca="1">IFERROR(IF(OR(INDEX(checklistPesertaKemenkeu!$M$6:$M$1005,SMALL(IF(checklistPesertaKemenkeu!$AY$6:$AY$1005="Direkomendasikan",ROW($6:$1005)-5),263))="",INDEX(checklistPesertaKemenkeu!$J$6:$J$1005,SMALL(IF(checklistPesertaKemenkeu!$AY$6:$AY$1005="Direkomendasikan",ROW($6:$1005)-5),263))=""),"",IF(AND(COUNTIF(INDIRECT("K_"&amp;MATCH(INDEX(checklistPesertaKemenkeu!$J$6:$J$1005,SMALL(IF(checklistPesertaKemenkeu!$AY$6:$AY$1005="Direkomendasikan",ROW($6:$1005)-5),263)),BidangList,0)),INDEX(checklistPesertaKemenkeu!$M$6:$M$1005,SMALL(IF(checklistPesertaKemenkeu!$AY$6:$AY$1005="Direkomendasikan",ROW($6:$1005)-5),263)))&gt;0,COUNTIF(INDIRECT("'KERTAS KERJA'!K"&amp;(SMALL(IF(checklistPesertaKemenkeu!$AY$6:$AY$1005="Direkomendasikan",ROW($6:$1005)-5),263)+5)&amp;":O"&amp;(SMALL(IF(checklistPesertaKemenkeu!$AY$6:$AY$1005="Direkomendasikan",ROW($6:$1005)-5),263)+5)),INDEX(checklistPesertaKemenkeu!$M$6:$M$1005,SMALL(IF(checklistPesertaKemenkeu!$AY$6:$AY$1005="Direkomendasikan",ROW($6:$1005)-5),263)))=1),IFERROR(VLOOKUP(INDEX(checklistPesertaKemenkeu!$M$6:$M$1005,SMALL(IF(checklistPesertaKemenkeu!$AY$6:$AY$1005="Direkomendasikan",ROW($6:$1005)-5),263)),KotaKode,2,0),"-"),"")),"")</f>
        <v/>
      </c>
      <c r="J264" t="str">
        <f t="array" aca="1" ref="J264" ca="1">IFERROR(IF(OR(INDEX(checklistPesertaKemenkeu!$N$6:$N$1005,SMALL(IF(checklistPesertaKemenkeu!$AY$6:$AY$1005="Direkomendasikan",ROW($6:$1005)-5),263))="",INDEX(checklistPesertaKemenkeu!$J$6:$J$1005,SMALL(IF(checklistPesertaKemenkeu!$AY$6:$AY$1005="Direkomendasikan",ROW($6:$1005)-5),263))=""),"",IF(AND(COUNTIF(INDIRECT("K_"&amp;MATCH(INDEX(checklistPesertaKemenkeu!$J$6:$J$1005,SMALL(IF(checklistPesertaKemenkeu!$AY$6:$AY$1005="Direkomendasikan",ROW($6:$1005)-5),263)),BidangList,0)),INDEX(checklistPesertaKemenkeu!$N$6:$N$1005,SMALL(IF(checklistPesertaKemenkeu!$AY$6:$AY$1005="Direkomendasikan",ROW($6:$1005)-5),263)))&gt;0,COUNTIF(INDIRECT("'KERTAS KERJA'!K"&amp;(SMALL(IF(checklistPesertaKemenkeu!$AY$6:$AY$1005="Direkomendasikan",ROW($6:$1005)-5),263)+5)&amp;":O"&amp;(SMALL(IF(checklistPesertaKemenkeu!$AY$6:$AY$1005="Direkomendasikan",ROW($6:$1005)-5),263)+5)),INDEX(checklistPesertaKemenkeu!$N$6:$N$1005,SMALL(IF(checklistPesertaKemenkeu!$AY$6:$AY$1005="Direkomendasikan",ROW($6:$1005)-5),263)))=1),IFERROR(VLOOKUP(INDEX(checklistPesertaKemenkeu!$N$6:$N$1005,SMALL(IF(checklistPesertaKemenkeu!$AY$6:$AY$1005="Direkomendasikan",ROW($6:$1005)-5),263)),KotaKode,2,0),"-"),"")),"")</f>
        <v/>
      </c>
      <c r="K264" t="str">
        <f t="array" aca="1" ref="K264" ca="1">IFERROR(IF(OR(INDEX(checklistPesertaKemenkeu!$O$6:$O$1005,SMALL(IF(checklistPesertaKemenkeu!$AY$6:$AY$1005="Direkomendasikan",ROW($6:$1005)-5),263))="",INDEX(checklistPesertaKemenkeu!$J$6:$J$1005,SMALL(IF(checklistPesertaKemenkeu!$AY$6:$AY$1005="Direkomendasikan",ROW($6:$1005)-5),263))=""),"",IF(AND(COUNTIF(INDIRECT("K_"&amp;MATCH(INDEX(checklistPesertaKemenkeu!$J$6:$J$1005,SMALL(IF(checklistPesertaKemenkeu!$AY$6:$AY$1005="Direkomendasikan",ROW($6:$1005)-5),263)),BidangList,0)),INDEX(checklistPesertaKemenkeu!$O$6:$O$1005,SMALL(IF(checklistPesertaKemenkeu!$AY$6:$AY$1005="Direkomendasikan",ROW($6:$1005)-5),263)))&gt;0,COUNTIF(INDIRECT("'KERTAS KERJA'!K"&amp;(SMALL(IF(checklistPesertaKemenkeu!$AY$6:$AY$1005="Direkomendasikan",ROW($6:$1005)-5),263)+5)&amp;":O"&amp;(SMALL(IF(checklistPesertaKemenkeu!$AY$6:$AY$1005="Direkomendasikan",ROW($6:$1005)-5),263)+5)),INDEX(checklistPesertaKemenkeu!$O$6:$O$1005,SMALL(IF(checklistPesertaKemenkeu!$AY$6:$AY$1005="Direkomendasikan",ROW($6:$1005)-5),263)))=1),IFERROR(VLOOKUP(INDEX(checklistPesertaKemenkeu!$O$6:$O$1005,SMALL(IF(checklistPesertaKemenkeu!$AY$6:$AY$1005="Direkomendasikan",ROW($6:$1005)-5),263)),KotaKode,2,0),"-"),"")),"")</f>
        <v/>
      </c>
      <c r="L264" t="str">
        <f t="array" aca="1" ref="L264" ca="1">IFERROR(IF(OR(INDEX(checklistPesertaKemenkeu!$P$6:$P$1005,SMALL(IF(checklistPesertaKemenkeu!$AY$6:$AY$1005="Direkomendasikan",ROW($6:$1005)-5),263))="",INDEX(checklistPesertaKemenkeu!$J$6:$J$1005,SMALL(IF(checklistPesertaKemenkeu!$AY$6:$AY$1005="Direkomendasikan",ROW($6:$1005)-5),263))=""),"",IF(AND(COUNTIF(INDIRECT("K_"&amp;MATCH(INDEX(checklistPesertaKemenkeu!$J$6:$J$1005,SMALL(IF(checklistPesertaKemenkeu!$AY$6:$AY$1005="Direkomendasikan",ROW($6:$1005)-5),263)),BidangList,0)),INDEX(checklistPesertaKemenkeu!$P$6:$P$1005,SMALL(IF(checklistPesertaKemenkeu!$AY$6:$AY$1005="Direkomendasikan",ROW($6:$1005)-5),263)))&gt;0,COUNTIF(INDIRECT("'KERTAS KERJA'!K"&amp;(SMALL(IF(checklistPesertaKemenkeu!$AY$6:$AY$1005="Direkomendasikan",ROW($6:$1005)-5),263)+5)&amp;":O"&amp;(SMALL(IF(checklistPesertaKemenkeu!$AY$6:$AY$1005="Direkomendasikan",ROW($6:$1005)-5),263)+5)),INDEX(checklistPesertaKemenkeu!$P$6:$P$1005,SMALL(IF(checklistPesertaKemenkeu!$AY$6:$AY$1005="Direkomendasikan",ROW($6:$1005)-5),263)))=1),IFERROR(VLOOKUP(INDEX(checklistPesertaKemenkeu!$P$6:$P$1005,SMALL(IF(checklistPesertaKemenkeu!$AY$6:$AY$1005="Direkomendasikan",ROW($6:$1005)-5),263)),KotaKode,2,0),"-"),"")),"")</f>
        <v/>
      </c>
    </row>
    <row r="265" spans="1:12" ht="15" customHeight="1" x14ac:dyDescent="0.2">
      <c r="A265" t="str">
        <f t="shared" si="4"/>
        <v/>
      </c>
      <c r="B265" t="str">
        <v/>
      </c>
      <c r="C265" s="40" t="str">
        <f t="array" ref="C265">IFERROR(INDEX(checklistPesertaKemenkeu!$F$6:$F$1005,SMALL(IF(checklistPesertaKemenkeu!$AY$6:$AY$1005="Direkomendasikan",ROW($6:$1005)-5),264)),"")</f>
        <v/>
      </c>
      <c r="D265" t="str">
        <f t="array" ref="D265">IFERROR(INDEX(checklistPesertaKemenkeu!$G$6:$G$1005,SMALL(IF(checklistPesertaKemenkeu!$AY$6:$AY$1005="Direkomendasikan",ROW($6:$1005)-5),264)),"")</f>
        <v/>
      </c>
      <c r="E265" t="str">
        <f t="array" ref="E265">IFERROR(INDEX(checklistPesertaKemenkeu!$H$6:$H$1005,SMALL(IF(checklistPesertaKemenkeu!$AY$6:$AY$1005="Direkomendasikan",ROW($6:$1005)-5),264)),"")</f>
        <v/>
      </c>
      <c r="F265" t="str">
        <f t="array" ref="F265">IFERROR(INDEX(checklistPesertaKemenkeu!$I$6:$I$1005,SMALL(IF(checklistPesertaKemenkeu!$AY$6:$AY$1005="Direkomendasikan",ROW($6:$1005)-5),264)),"")</f>
        <v/>
      </c>
      <c r="G265" t="str">
        <f t="array" ref="G265">IFERROR(INDEX(checklistPesertaKemenkeu!$J$6:$J$1005,SMALL(IF(checklistPesertaKemenkeu!$AY$6:$AY$1005="Direkomendasikan",ROW($6:$1005)-5),264)),"")</f>
        <v/>
      </c>
      <c r="H265" t="str">
        <f t="array" aca="1" ref="H265" ca="1">IFERROR(IF(OR(INDEX(checklistPesertaKemenkeu!$L$6:$L$1005,SMALL(IF(checklistPesertaKemenkeu!$AY$6:$AY$1005="Direkomendasikan",ROW($6:$1005)-5),264))="",INDEX(checklistPesertaKemenkeu!$J$6:$J$1005,SMALL(IF(checklistPesertaKemenkeu!$AY$6:$AY$1005="Direkomendasikan",ROW($6:$1005)-5),264))=""),"",IF(AND(COUNTIF(INDIRECT("K_"&amp;MATCH(INDEX(checklistPesertaKemenkeu!$J$6:$J$1005,SMALL(IF(checklistPesertaKemenkeu!$AY$6:$AY$1005="Direkomendasikan",ROW($6:$1005)-5),264)),BidangList,0)),INDEX(checklistPesertaKemenkeu!$L$6:$L$1005,SMALL(IF(checklistPesertaKemenkeu!$AY$6:$AY$1005="Direkomendasikan",ROW($6:$1005)-5),264)))&gt;0,COUNTIF(INDIRECT("'KERTAS KERJA'!K"&amp;(SMALL(IF(checklistPesertaKemenkeu!$AY$6:$AY$1005="Direkomendasikan",ROW($6:$1005)-5),264)+5)&amp;":O"&amp;(SMALL(IF(checklistPesertaKemenkeu!$AY$6:$AY$1005="Direkomendasikan",ROW($6:$1005)-5),264)+5)),INDEX(checklistPesertaKemenkeu!$L$6:$L$1005,SMALL(IF(checklistPesertaKemenkeu!$AY$6:$AY$1005="Direkomendasikan",ROW($6:$1005)-5),264)))=1),IFERROR(VLOOKUP(INDEX(checklistPesertaKemenkeu!$L$6:$L$1005,SMALL(IF(checklistPesertaKemenkeu!$AY$6:$AY$1005="Direkomendasikan",ROW($6:$1005)-5),264)),KotaKode,2,0),"-"),"")),"")</f>
        <v/>
      </c>
      <c r="I265" t="str">
        <f t="array" aca="1" ref="I265" ca="1">IFERROR(IF(OR(INDEX(checklistPesertaKemenkeu!$M$6:$M$1005,SMALL(IF(checklistPesertaKemenkeu!$AY$6:$AY$1005="Direkomendasikan",ROW($6:$1005)-5),264))="",INDEX(checklistPesertaKemenkeu!$J$6:$J$1005,SMALL(IF(checklistPesertaKemenkeu!$AY$6:$AY$1005="Direkomendasikan",ROW($6:$1005)-5),264))=""),"",IF(AND(COUNTIF(INDIRECT("K_"&amp;MATCH(INDEX(checklistPesertaKemenkeu!$J$6:$J$1005,SMALL(IF(checklistPesertaKemenkeu!$AY$6:$AY$1005="Direkomendasikan",ROW($6:$1005)-5),264)),BidangList,0)),INDEX(checklistPesertaKemenkeu!$M$6:$M$1005,SMALL(IF(checklistPesertaKemenkeu!$AY$6:$AY$1005="Direkomendasikan",ROW($6:$1005)-5),264)))&gt;0,COUNTIF(INDIRECT("'KERTAS KERJA'!K"&amp;(SMALL(IF(checklistPesertaKemenkeu!$AY$6:$AY$1005="Direkomendasikan",ROW($6:$1005)-5),264)+5)&amp;":O"&amp;(SMALL(IF(checklistPesertaKemenkeu!$AY$6:$AY$1005="Direkomendasikan",ROW($6:$1005)-5),264)+5)),INDEX(checklistPesertaKemenkeu!$M$6:$M$1005,SMALL(IF(checklistPesertaKemenkeu!$AY$6:$AY$1005="Direkomendasikan",ROW($6:$1005)-5),264)))=1),IFERROR(VLOOKUP(INDEX(checklistPesertaKemenkeu!$M$6:$M$1005,SMALL(IF(checklistPesertaKemenkeu!$AY$6:$AY$1005="Direkomendasikan",ROW($6:$1005)-5),264)),KotaKode,2,0),"-"),"")),"")</f>
        <v/>
      </c>
      <c r="J265" t="str">
        <f t="array" aca="1" ref="J265" ca="1">IFERROR(IF(OR(INDEX(checklistPesertaKemenkeu!$N$6:$N$1005,SMALL(IF(checklistPesertaKemenkeu!$AY$6:$AY$1005="Direkomendasikan",ROW($6:$1005)-5),264))="",INDEX(checklistPesertaKemenkeu!$J$6:$J$1005,SMALL(IF(checklistPesertaKemenkeu!$AY$6:$AY$1005="Direkomendasikan",ROW($6:$1005)-5),264))=""),"",IF(AND(COUNTIF(INDIRECT("K_"&amp;MATCH(INDEX(checklistPesertaKemenkeu!$J$6:$J$1005,SMALL(IF(checklistPesertaKemenkeu!$AY$6:$AY$1005="Direkomendasikan",ROW($6:$1005)-5),264)),BidangList,0)),INDEX(checklistPesertaKemenkeu!$N$6:$N$1005,SMALL(IF(checklistPesertaKemenkeu!$AY$6:$AY$1005="Direkomendasikan",ROW($6:$1005)-5),264)))&gt;0,COUNTIF(INDIRECT("'KERTAS KERJA'!K"&amp;(SMALL(IF(checklistPesertaKemenkeu!$AY$6:$AY$1005="Direkomendasikan",ROW($6:$1005)-5),264)+5)&amp;":O"&amp;(SMALL(IF(checklistPesertaKemenkeu!$AY$6:$AY$1005="Direkomendasikan",ROW($6:$1005)-5),264)+5)),INDEX(checklistPesertaKemenkeu!$N$6:$N$1005,SMALL(IF(checklistPesertaKemenkeu!$AY$6:$AY$1005="Direkomendasikan",ROW($6:$1005)-5),264)))=1),IFERROR(VLOOKUP(INDEX(checklistPesertaKemenkeu!$N$6:$N$1005,SMALL(IF(checklistPesertaKemenkeu!$AY$6:$AY$1005="Direkomendasikan",ROW($6:$1005)-5),264)),KotaKode,2,0),"-"),"")),"")</f>
        <v/>
      </c>
      <c r="K265" t="str">
        <f t="array" aca="1" ref="K265" ca="1">IFERROR(IF(OR(INDEX(checklistPesertaKemenkeu!$O$6:$O$1005,SMALL(IF(checklistPesertaKemenkeu!$AY$6:$AY$1005="Direkomendasikan",ROW($6:$1005)-5),264))="",INDEX(checklistPesertaKemenkeu!$J$6:$J$1005,SMALL(IF(checklistPesertaKemenkeu!$AY$6:$AY$1005="Direkomendasikan",ROW($6:$1005)-5),264))=""),"",IF(AND(COUNTIF(INDIRECT("K_"&amp;MATCH(INDEX(checklistPesertaKemenkeu!$J$6:$J$1005,SMALL(IF(checklistPesertaKemenkeu!$AY$6:$AY$1005="Direkomendasikan",ROW($6:$1005)-5),264)),BidangList,0)),INDEX(checklistPesertaKemenkeu!$O$6:$O$1005,SMALL(IF(checklistPesertaKemenkeu!$AY$6:$AY$1005="Direkomendasikan",ROW($6:$1005)-5),264)))&gt;0,COUNTIF(INDIRECT("'KERTAS KERJA'!K"&amp;(SMALL(IF(checklistPesertaKemenkeu!$AY$6:$AY$1005="Direkomendasikan",ROW($6:$1005)-5),264)+5)&amp;":O"&amp;(SMALL(IF(checklistPesertaKemenkeu!$AY$6:$AY$1005="Direkomendasikan",ROW($6:$1005)-5),264)+5)),INDEX(checklistPesertaKemenkeu!$O$6:$O$1005,SMALL(IF(checklistPesertaKemenkeu!$AY$6:$AY$1005="Direkomendasikan",ROW($6:$1005)-5),264)))=1),IFERROR(VLOOKUP(INDEX(checklistPesertaKemenkeu!$O$6:$O$1005,SMALL(IF(checklistPesertaKemenkeu!$AY$6:$AY$1005="Direkomendasikan",ROW($6:$1005)-5),264)),KotaKode,2,0),"-"),"")),"")</f>
        <v/>
      </c>
      <c r="L265" t="str">
        <f t="array" aca="1" ref="L265" ca="1">IFERROR(IF(OR(INDEX(checklistPesertaKemenkeu!$P$6:$P$1005,SMALL(IF(checklistPesertaKemenkeu!$AY$6:$AY$1005="Direkomendasikan",ROW($6:$1005)-5),264))="",INDEX(checklistPesertaKemenkeu!$J$6:$J$1005,SMALL(IF(checklistPesertaKemenkeu!$AY$6:$AY$1005="Direkomendasikan",ROW($6:$1005)-5),264))=""),"",IF(AND(COUNTIF(INDIRECT("K_"&amp;MATCH(INDEX(checklistPesertaKemenkeu!$J$6:$J$1005,SMALL(IF(checklistPesertaKemenkeu!$AY$6:$AY$1005="Direkomendasikan",ROW($6:$1005)-5),264)),BidangList,0)),INDEX(checklistPesertaKemenkeu!$P$6:$P$1005,SMALL(IF(checklistPesertaKemenkeu!$AY$6:$AY$1005="Direkomendasikan",ROW($6:$1005)-5),264)))&gt;0,COUNTIF(INDIRECT("'KERTAS KERJA'!K"&amp;(SMALL(IF(checklistPesertaKemenkeu!$AY$6:$AY$1005="Direkomendasikan",ROW($6:$1005)-5),264)+5)&amp;":O"&amp;(SMALL(IF(checklistPesertaKemenkeu!$AY$6:$AY$1005="Direkomendasikan",ROW($6:$1005)-5),264)+5)),INDEX(checklistPesertaKemenkeu!$P$6:$P$1005,SMALL(IF(checklistPesertaKemenkeu!$AY$6:$AY$1005="Direkomendasikan",ROW($6:$1005)-5),264)))=1),IFERROR(VLOOKUP(INDEX(checklistPesertaKemenkeu!$P$6:$P$1005,SMALL(IF(checklistPesertaKemenkeu!$AY$6:$AY$1005="Direkomendasikan",ROW($6:$1005)-5),264)),KotaKode,2,0),"-"),"")),"")</f>
        <v/>
      </c>
    </row>
    <row r="266" spans="1:12" ht="15" customHeight="1" x14ac:dyDescent="0.2">
      <c r="A266" t="str">
        <f t="shared" si="4"/>
        <v/>
      </c>
      <c r="B266" t="str">
        <v/>
      </c>
      <c r="C266" s="40" t="str">
        <f t="array" ref="C266">IFERROR(INDEX(checklistPesertaKemenkeu!$F$6:$F$1005,SMALL(IF(checklistPesertaKemenkeu!$AY$6:$AY$1005="Direkomendasikan",ROW($6:$1005)-5),265)),"")</f>
        <v/>
      </c>
      <c r="D266" t="str">
        <f t="array" ref="D266">IFERROR(INDEX(checklistPesertaKemenkeu!$G$6:$G$1005,SMALL(IF(checklistPesertaKemenkeu!$AY$6:$AY$1005="Direkomendasikan",ROW($6:$1005)-5),265)),"")</f>
        <v/>
      </c>
      <c r="E266" t="str">
        <f t="array" ref="E266">IFERROR(INDEX(checklistPesertaKemenkeu!$H$6:$H$1005,SMALL(IF(checklistPesertaKemenkeu!$AY$6:$AY$1005="Direkomendasikan",ROW($6:$1005)-5),265)),"")</f>
        <v/>
      </c>
      <c r="F266" t="str">
        <f t="array" ref="F266">IFERROR(INDEX(checklistPesertaKemenkeu!$I$6:$I$1005,SMALL(IF(checklistPesertaKemenkeu!$AY$6:$AY$1005="Direkomendasikan",ROW($6:$1005)-5),265)),"")</f>
        <v/>
      </c>
      <c r="G266" t="str">
        <f t="array" ref="G266">IFERROR(INDEX(checklistPesertaKemenkeu!$J$6:$J$1005,SMALL(IF(checklistPesertaKemenkeu!$AY$6:$AY$1005="Direkomendasikan",ROW($6:$1005)-5),265)),"")</f>
        <v/>
      </c>
      <c r="H266" t="str">
        <f t="array" aca="1" ref="H266" ca="1">IFERROR(IF(OR(INDEX(checklistPesertaKemenkeu!$L$6:$L$1005,SMALL(IF(checklistPesertaKemenkeu!$AY$6:$AY$1005="Direkomendasikan",ROW($6:$1005)-5),265))="",INDEX(checklistPesertaKemenkeu!$J$6:$J$1005,SMALL(IF(checklistPesertaKemenkeu!$AY$6:$AY$1005="Direkomendasikan",ROW($6:$1005)-5),265))=""),"",IF(AND(COUNTIF(INDIRECT("K_"&amp;MATCH(INDEX(checklistPesertaKemenkeu!$J$6:$J$1005,SMALL(IF(checklistPesertaKemenkeu!$AY$6:$AY$1005="Direkomendasikan",ROW($6:$1005)-5),265)),BidangList,0)),INDEX(checklistPesertaKemenkeu!$L$6:$L$1005,SMALL(IF(checklistPesertaKemenkeu!$AY$6:$AY$1005="Direkomendasikan",ROW($6:$1005)-5),265)))&gt;0,COUNTIF(INDIRECT("'KERTAS KERJA'!K"&amp;(SMALL(IF(checklistPesertaKemenkeu!$AY$6:$AY$1005="Direkomendasikan",ROW($6:$1005)-5),265)+5)&amp;":O"&amp;(SMALL(IF(checklistPesertaKemenkeu!$AY$6:$AY$1005="Direkomendasikan",ROW($6:$1005)-5),265)+5)),INDEX(checklistPesertaKemenkeu!$L$6:$L$1005,SMALL(IF(checklistPesertaKemenkeu!$AY$6:$AY$1005="Direkomendasikan",ROW($6:$1005)-5),265)))=1),IFERROR(VLOOKUP(INDEX(checklistPesertaKemenkeu!$L$6:$L$1005,SMALL(IF(checklistPesertaKemenkeu!$AY$6:$AY$1005="Direkomendasikan",ROW($6:$1005)-5),265)),KotaKode,2,0),"-"),"")),"")</f>
        <v/>
      </c>
      <c r="I266" t="str">
        <f t="array" aca="1" ref="I266" ca="1">IFERROR(IF(OR(INDEX(checklistPesertaKemenkeu!$M$6:$M$1005,SMALL(IF(checklistPesertaKemenkeu!$AY$6:$AY$1005="Direkomendasikan",ROW($6:$1005)-5),265))="",INDEX(checklistPesertaKemenkeu!$J$6:$J$1005,SMALL(IF(checklistPesertaKemenkeu!$AY$6:$AY$1005="Direkomendasikan",ROW($6:$1005)-5),265))=""),"",IF(AND(COUNTIF(INDIRECT("K_"&amp;MATCH(INDEX(checklistPesertaKemenkeu!$J$6:$J$1005,SMALL(IF(checklistPesertaKemenkeu!$AY$6:$AY$1005="Direkomendasikan",ROW($6:$1005)-5),265)),BidangList,0)),INDEX(checklistPesertaKemenkeu!$M$6:$M$1005,SMALL(IF(checklistPesertaKemenkeu!$AY$6:$AY$1005="Direkomendasikan",ROW($6:$1005)-5),265)))&gt;0,COUNTIF(INDIRECT("'KERTAS KERJA'!K"&amp;(SMALL(IF(checklistPesertaKemenkeu!$AY$6:$AY$1005="Direkomendasikan",ROW($6:$1005)-5),265)+5)&amp;":O"&amp;(SMALL(IF(checklistPesertaKemenkeu!$AY$6:$AY$1005="Direkomendasikan",ROW($6:$1005)-5),265)+5)),INDEX(checklistPesertaKemenkeu!$M$6:$M$1005,SMALL(IF(checklistPesertaKemenkeu!$AY$6:$AY$1005="Direkomendasikan",ROW($6:$1005)-5),265)))=1),IFERROR(VLOOKUP(INDEX(checklistPesertaKemenkeu!$M$6:$M$1005,SMALL(IF(checklistPesertaKemenkeu!$AY$6:$AY$1005="Direkomendasikan",ROW($6:$1005)-5),265)),KotaKode,2,0),"-"),"")),"")</f>
        <v/>
      </c>
      <c r="J266" t="str">
        <f t="array" aca="1" ref="J266" ca="1">IFERROR(IF(OR(INDEX(checklistPesertaKemenkeu!$N$6:$N$1005,SMALL(IF(checklistPesertaKemenkeu!$AY$6:$AY$1005="Direkomendasikan",ROW($6:$1005)-5),265))="",INDEX(checklistPesertaKemenkeu!$J$6:$J$1005,SMALL(IF(checklistPesertaKemenkeu!$AY$6:$AY$1005="Direkomendasikan",ROW($6:$1005)-5),265))=""),"",IF(AND(COUNTIF(INDIRECT("K_"&amp;MATCH(INDEX(checklistPesertaKemenkeu!$J$6:$J$1005,SMALL(IF(checklistPesertaKemenkeu!$AY$6:$AY$1005="Direkomendasikan",ROW($6:$1005)-5),265)),BidangList,0)),INDEX(checklistPesertaKemenkeu!$N$6:$N$1005,SMALL(IF(checklistPesertaKemenkeu!$AY$6:$AY$1005="Direkomendasikan",ROW($6:$1005)-5),265)))&gt;0,COUNTIF(INDIRECT("'KERTAS KERJA'!K"&amp;(SMALL(IF(checklistPesertaKemenkeu!$AY$6:$AY$1005="Direkomendasikan",ROW($6:$1005)-5),265)+5)&amp;":O"&amp;(SMALL(IF(checklistPesertaKemenkeu!$AY$6:$AY$1005="Direkomendasikan",ROW($6:$1005)-5),265)+5)),INDEX(checklistPesertaKemenkeu!$N$6:$N$1005,SMALL(IF(checklistPesertaKemenkeu!$AY$6:$AY$1005="Direkomendasikan",ROW($6:$1005)-5),265)))=1),IFERROR(VLOOKUP(INDEX(checklistPesertaKemenkeu!$N$6:$N$1005,SMALL(IF(checklistPesertaKemenkeu!$AY$6:$AY$1005="Direkomendasikan",ROW($6:$1005)-5),265)),KotaKode,2,0),"-"),"")),"")</f>
        <v/>
      </c>
      <c r="K266" t="str">
        <f t="array" aca="1" ref="K266" ca="1">IFERROR(IF(OR(INDEX(checklistPesertaKemenkeu!$O$6:$O$1005,SMALL(IF(checklistPesertaKemenkeu!$AY$6:$AY$1005="Direkomendasikan",ROW($6:$1005)-5),265))="",INDEX(checklistPesertaKemenkeu!$J$6:$J$1005,SMALL(IF(checklistPesertaKemenkeu!$AY$6:$AY$1005="Direkomendasikan",ROW($6:$1005)-5),265))=""),"",IF(AND(COUNTIF(INDIRECT("K_"&amp;MATCH(INDEX(checklistPesertaKemenkeu!$J$6:$J$1005,SMALL(IF(checklistPesertaKemenkeu!$AY$6:$AY$1005="Direkomendasikan",ROW($6:$1005)-5),265)),BidangList,0)),INDEX(checklistPesertaKemenkeu!$O$6:$O$1005,SMALL(IF(checklistPesertaKemenkeu!$AY$6:$AY$1005="Direkomendasikan",ROW($6:$1005)-5),265)))&gt;0,COUNTIF(INDIRECT("'KERTAS KERJA'!K"&amp;(SMALL(IF(checklistPesertaKemenkeu!$AY$6:$AY$1005="Direkomendasikan",ROW($6:$1005)-5),265)+5)&amp;":O"&amp;(SMALL(IF(checklistPesertaKemenkeu!$AY$6:$AY$1005="Direkomendasikan",ROW($6:$1005)-5),265)+5)),INDEX(checklistPesertaKemenkeu!$O$6:$O$1005,SMALL(IF(checklistPesertaKemenkeu!$AY$6:$AY$1005="Direkomendasikan",ROW($6:$1005)-5),265)))=1),IFERROR(VLOOKUP(INDEX(checklistPesertaKemenkeu!$O$6:$O$1005,SMALL(IF(checklistPesertaKemenkeu!$AY$6:$AY$1005="Direkomendasikan",ROW($6:$1005)-5),265)),KotaKode,2,0),"-"),"")),"")</f>
        <v/>
      </c>
      <c r="L266" t="str">
        <f t="array" aca="1" ref="L266" ca="1">IFERROR(IF(OR(INDEX(checklistPesertaKemenkeu!$P$6:$P$1005,SMALL(IF(checklistPesertaKemenkeu!$AY$6:$AY$1005="Direkomendasikan",ROW($6:$1005)-5),265))="",INDEX(checklistPesertaKemenkeu!$J$6:$J$1005,SMALL(IF(checklistPesertaKemenkeu!$AY$6:$AY$1005="Direkomendasikan",ROW($6:$1005)-5),265))=""),"",IF(AND(COUNTIF(INDIRECT("K_"&amp;MATCH(INDEX(checklistPesertaKemenkeu!$J$6:$J$1005,SMALL(IF(checklistPesertaKemenkeu!$AY$6:$AY$1005="Direkomendasikan",ROW($6:$1005)-5),265)),BidangList,0)),INDEX(checklistPesertaKemenkeu!$P$6:$P$1005,SMALL(IF(checklistPesertaKemenkeu!$AY$6:$AY$1005="Direkomendasikan",ROW($6:$1005)-5),265)))&gt;0,COUNTIF(INDIRECT("'KERTAS KERJA'!K"&amp;(SMALL(IF(checklistPesertaKemenkeu!$AY$6:$AY$1005="Direkomendasikan",ROW($6:$1005)-5),265)+5)&amp;":O"&amp;(SMALL(IF(checklistPesertaKemenkeu!$AY$6:$AY$1005="Direkomendasikan",ROW($6:$1005)-5),265)+5)),INDEX(checklistPesertaKemenkeu!$P$6:$P$1005,SMALL(IF(checklistPesertaKemenkeu!$AY$6:$AY$1005="Direkomendasikan",ROW($6:$1005)-5),265)))=1),IFERROR(VLOOKUP(INDEX(checklistPesertaKemenkeu!$P$6:$P$1005,SMALL(IF(checklistPesertaKemenkeu!$AY$6:$AY$1005="Direkomendasikan",ROW($6:$1005)-5),265)),KotaKode,2,0),"-"),"")),"")</f>
        <v/>
      </c>
    </row>
    <row r="267" spans="1:12" ht="15" customHeight="1" x14ac:dyDescent="0.2">
      <c r="A267" t="str">
        <f t="shared" si="4"/>
        <v/>
      </c>
      <c r="B267" t="str">
        <v/>
      </c>
      <c r="C267" s="40" t="str">
        <f t="array" ref="C267">IFERROR(INDEX(checklistPesertaKemenkeu!$F$6:$F$1005,SMALL(IF(checklistPesertaKemenkeu!$AY$6:$AY$1005="Direkomendasikan",ROW($6:$1005)-5),266)),"")</f>
        <v/>
      </c>
      <c r="D267" t="str">
        <f t="array" ref="D267">IFERROR(INDEX(checklistPesertaKemenkeu!$G$6:$G$1005,SMALL(IF(checklistPesertaKemenkeu!$AY$6:$AY$1005="Direkomendasikan",ROW($6:$1005)-5),266)),"")</f>
        <v/>
      </c>
      <c r="E267" t="str">
        <f t="array" ref="E267">IFERROR(INDEX(checklistPesertaKemenkeu!$H$6:$H$1005,SMALL(IF(checklistPesertaKemenkeu!$AY$6:$AY$1005="Direkomendasikan",ROW($6:$1005)-5),266)),"")</f>
        <v/>
      </c>
      <c r="F267" t="str">
        <f t="array" ref="F267">IFERROR(INDEX(checklistPesertaKemenkeu!$I$6:$I$1005,SMALL(IF(checklistPesertaKemenkeu!$AY$6:$AY$1005="Direkomendasikan",ROW($6:$1005)-5),266)),"")</f>
        <v/>
      </c>
      <c r="G267" t="str">
        <f t="array" ref="G267">IFERROR(INDEX(checklistPesertaKemenkeu!$J$6:$J$1005,SMALL(IF(checklistPesertaKemenkeu!$AY$6:$AY$1005="Direkomendasikan",ROW($6:$1005)-5),266)),"")</f>
        <v/>
      </c>
      <c r="H267" t="str">
        <f t="array" aca="1" ref="H267" ca="1">IFERROR(IF(OR(INDEX(checklistPesertaKemenkeu!$L$6:$L$1005,SMALL(IF(checklistPesertaKemenkeu!$AY$6:$AY$1005="Direkomendasikan",ROW($6:$1005)-5),266))="",INDEX(checklistPesertaKemenkeu!$J$6:$J$1005,SMALL(IF(checklistPesertaKemenkeu!$AY$6:$AY$1005="Direkomendasikan",ROW($6:$1005)-5),266))=""),"",IF(AND(COUNTIF(INDIRECT("K_"&amp;MATCH(INDEX(checklistPesertaKemenkeu!$J$6:$J$1005,SMALL(IF(checklistPesertaKemenkeu!$AY$6:$AY$1005="Direkomendasikan",ROW($6:$1005)-5),266)),BidangList,0)),INDEX(checklistPesertaKemenkeu!$L$6:$L$1005,SMALL(IF(checklistPesertaKemenkeu!$AY$6:$AY$1005="Direkomendasikan",ROW($6:$1005)-5),266)))&gt;0,COUNTIF(INDIRECT("'KERTAS KERJA'!K"&amp;(SMALL(IF(checklistPesertaKemenkeu!$AY$6:$AY$1005="Direkomendasikan",ROW($6:$1005)-5),266)+5)&amp;":O"&amp;(SMALL(IF(checklistPesertaKemenkeu!$AY$6:$AY$1005="Direkomendasikan",ROW($6:$1005)-5),266)+5)),INDEX(checklistPesertaKemenkeu!$L$6:$L$1005,SMALL(IF(checklistPesertaKemenkeu!$AY$6:$AY$1005="Direkomendasikan",ROW($6:$1005)-5),266)))=1),IFERROR(VLOOKUP(INDEX(checklistPesertaKemenkeu!$L$6:$L$1005,SMALL(IF(checklistPesertaKemenkeu!$AY$6:$AY$1005="Direkomendasikan",ROW($6:$1005)-5),266)),KotaKode,2,0),"-"),"")),"")</f>
        <v/>
      </c>
      <c r="I267" t="str">
        <f t="array" aca="1" ref="I267" ca="1">IFERROR(IF(OR(INDEX(checklistPesertaKemenkeu!$M$6:$M$1005,SMALL(IF(checklistPesertaKemenkeu!$AY$6:$AY$1005="Direkomendasikan",ROW($6:$1005)-5),266))="",INDEX(checklistPesertaKemenkeu!$J$6:$J$1005,SMALL(IF(checklistPesertaKemenkeu!$AY$6:$AY$1005="Direkomendasikan",ROW($6:$1005)-5),266))=""),"",IF(AND(COUNTIF(INDIRECT("K_"&amp;MATCH(INDEX(checklistPesertaKemenkeu!$J$6:$J$1005,SMALL(IF(checklistPesertaKemenkeu!$AY$6:$AY$1005="Direkomendasikan",ROW($6:$1005)-5),266)),BidangList,0)),INDEX(checklistPesertaKemenkeu!$M$6:$M$1005,SMALL(IF(checklistPesertaKemenkeu!$AY$6:$AY$1005="Direkomendasikan",ROW($6:$1005)-5),266)))&gt;0,COUNTIF(INDIRECT("'KERTAS KERJA'!K"&amp;(SMALL(IF(checklistPesertaKemenkeu!$AY$6:$AY$1005="Direkomendasikan",ROW($6:$1005)-5),266)+5)&amp;":O"&amp;(SMALL(IF(checklistPesertaKemenkeu!$AY$6:$AY$1005="Direkomendasikan",ROW($6:$1005)-5),266)+5)),INDEX(checklistPesertaKemenkeu!$M$6:$M$1005,SMALL(IF(checklistPesertaKemenkeu!$AY$6:$AY$1005="Direkomendasikan",ROW($6:$1005)-5),266)))=1),IFERROR(VLOOKUP(INDEX(checklistPesertaKemenkeu!$M$6:$M$1005,SMALL(IF(checklistPesertaKemenkeu!$AY$6:$AY$1005="Direkomendasikan",ROW($6:$1005)-5),266)),KotaKode,2,0),"-"),"")),"")</f>
        <v/>
      </c>
      <c r="J267" t="str">
        <f t="array" aca="1" ref="J267" ca="1">IFERROR(IF(OR(INDEX(checklistPesertaKemenkeu!$N$6:$N$1005,SMALL(IF(checklistPesertaKemenkeu!$AY$6:$AY$1005="Direkomendasikan",ROW($6:$1005)-5),266))="",INDEX(checklistPesertaKemenkeu!$J$6:$J$1005,SMALL(IF(checklistPesertaKemenkeu!$AY$6:$AY$1005="Direkomendasikan",ROW($6:$1005)-5),266))=""),"",IF(AND(COUNTIF(INDIRECT("K_"&amp;MATCH(INDEX(checklistPesertaKemenkeu!$J$6:$J$1005,SMALL(IF(checklistPesertaKemenkeu!$AY$6:$AY$1005="Direkomendasikan",ROW($6:$1005)-5),266)),BidangList,0)),INDEX(checklistPesertaKemenkeu!$N$6:$N$1005,SMALL(IF(checklistPesertaKemenkeu!$AY$6:$AY$1005="Direkomendasikan",ROW($6:$1005)-5),266)))&gt;0,COUNTIF(INDIRECT("'KERTAS KERJA'!K"&amp;(SMALL(IF(checklistPesertaKemenkeu!$AY$6:$AY$1005="Direkomendasikan",ROW($6:$1005)-5),266)+5)&amp;":O"&amp;(SMALL(IF(checklistPesertaKemenkeu!$AY$6:$AY$1005="Direkomendasikan",ROW($6:$1005)-5),266)+5)),INDEX(checklistPesertaKemenkeu!$N$6:$N$1005,SMALL(IF(checklistPesertaKemenkeu!$AY$6:$AY$1005="Direkomendasikan",ROW($6:$1005)-5),266)))=1),IFERROR(VLOOKUP(INDEX(checklistPesertaKemenkeu!$N$6:$N$1005,SMALL(IF(checklistPesertaKemenkeu!$AY$6:$AY$1005="Direkomendasikan",ROW($6:$1005)-5),266)),KotaKode,2,0),"-"),"")),"")</f>
        <v/>
      </c>
      <c r="K267" t="str">
        <f t="array" aca="1" ref="K267" ca="1">IFERROR(IF(OR(INDEX(checklistPesertaKemenkeu!$O$6:$O$1005,SMALL(IF(checklistPesertaKemenkeu!$AY$6:$AY$1005="Direkomendasikan",ROW($6:$1005)-5),266))="",INDEX(checklistPesertaKemenkeu!$J$6:$J$1005,SMALL(IF(checklistPesertaKemenkeu!$AY$6:$AY$1005="Direkomendasikan",ROW($6:$1005)-5),266))=""),"",IF(AND(COUNTIF(INDIRECT("K_"&amp;MATCH(INDEX(checklistPesertaKemenkeu!$J$6:$J$1005,SMALL(IF(checklistPesertaKemenkeu!$AY$6:$AY$1005="Direkomendasikan",ROW($6:$1005)-5),266)),BidangList,0)),INDEX(checklistPesertaKemenkeu!$O$6:$O$1005,SMALL(IF(checklistPesertaKemenkeu!$AY$6:$AY$1005="Direkomendasikan",ROW($6:$1005)-5),266)))&gt;0,COUNTIF(INDIRECT("'KERTAS KERJA'!K"&amp;(SMALL(IF(checklistPesertaKemenkeu!$AY$6:$AY$1005="Direkomendasikan",ROW($6:$1005)-5),266)+5)&amp;":O"&amp;(SMALL(IF(checklistPesertaKemenkeu!$AY$6:$AY$1005="Direkomendasikan",ROW($6:$1005)-5),266)+5)),INDEX(checklistPesertaKemenkeu!$O$6:$O$1005,SMALL(IF(checklistPesertaKemenkeu!$AY$6:$AY$1005="Direkomendasikan",ROW($6:$1005)-5),266)))=1),IFERROR(VLOOKUP(INDEX(checklistPesertaKemenkeu!$O$6:$O$1005,SMALL(IF(checklistPesertaKemenkeu!$AY$6:$AY$1005="Direkomendasikan",ROW($6:$1005)-5),266)),KotaKode,2,0),"-"),"")),"")</f>
        <v/>
      </c>
      <c r="L267" t="str">
        <f t="array" aca="1" ref="L267" ca="1">IFERROR(IF(OR(INDEX(checklistPesertaKemenkeu!$P$6:$P$1005,SMALL(IF(checklistPesertaKemenkeu!$AY$6:$AY$1005="Direkomendasikan",ROW($6:$1005)-5),266))="",INDEX(checklistPesertaKemenkeu!$J$6:$J$1005,SMALL(IF(checklistPesertaKemenkeu!$AY$6:$AY$1005="Direkomendasikan",ROW($6:$1005)-5),266))=""),"",IF(AND(COUNTIF(INDIRECT("K_"&amp;MATCH(INDEX(checklistPesertaKemenkeu!$J$6:$J$1005,SMALL(IF(checklistPesertaKemenkeu!$AY$6:$AY$1005="Direkomendasikan",ROW($6:$1005)-5),266)),BidangList,0)),INDEX(checklistPesertaKemenkeu!$P$6:$P$1005,SMALL(IF(checklistPesertaKemenkeu!$AY$6:$AY$1005="Direkomendasikan",ROW($6:$1005)-5),266)))&gt;0,COUNTIF(INDIRECT("'KERTAS KERJA'!K"&amp;(SMALL(IF(checklistPesertaKemenkeu!$AY$6:$AY$1005="Direkomendasikan",ROW($6:$1005)-5),266)+5)&amp;":O"&amp;(SMALL(IF(checklistPesertaKemenkeu!$AY$6:$AY$1005="Direkomendasikan",ROW($6:$1005)-5),266)+5)),INDEX(checklistPesertaKemenkeu!$P$6:$P$1005,SMALL(IF(checklistPesertaKemenkeu!$AY$6:$AY$1005="Direkomendasikan",ROW($6:$1005)-5),266)))=1),IFERROR(VLOOKUP(INDEX(checklistPesertaKemenkeu!$P$6:$P$1005,SMALL(IF(checklistPesertaKemenkeu!$AY$6:$AY$1005="Direkomendasikan",ROW($6:$1005)-5),266)),KotaKode,2,0),"-"),"")),"")</f>
        <v/>
      </c>
    </row>
    <row r="268" spans="1:12" ht="15" customHeight="1" x14ac:dyDescent="0.2">
      <c r="A268" t="str">
        <f t="shared" si="4"/>
        <v/>
      </c>
      <c r="B268" t="str">
        <v/>
      </c>
      <c r="C268" s="40" t="str">
        <f t="array" ref="C268">IFERROR(INDEX(checklistPesertaKemenkeu!$F$6:$F$1005,SMALL(IF(checklistPesertaKemenkeu!$AY$6:$AY$1005="Direkomendasikan",ROW($6:$1005)-5),267)),"")</f>
        <v/>
      </c>
      <c r="D268" t="str">
        <f t="array" ref="D268">IFERROR(INDEX(checklistPesertaKemenkeu!$G$6:$G$1005,SMALL(IF(checklistPesertaKemenkeu!$AY$6:$AY$1005="Direkomendasikan",ROW($6:$1005)-5),267)),"")</f>
        <v/>
      </c>
      <c r="E268" t="str">
        <f t="array" ref="E268">IFERROR(INDEX(checklistPesertaKemenkeu!$H$6:$H$1005,SMALL(IF(checklistPesertaKemenkeu!$AY$6:$AY$1005="Direkomendasikan",ROW($6:$1005)-5),267)),"")</f>
        <v/>
      </c>
      <c r="F268" t="str">
        <f t="array" ref="F268">IFERROR(INDEX(checklistPesertaKemenkeu!$I$6:$I$1005,SMALL(IF(checklistPesertaKemenkeu!$AY$6:$AY$1005="Direkomendasikan",ROW($6:$1005)-5),267)),"")</f>
        <v/>
      </c>
      <c r="G268" t="str">
        <f t="array" ref="G268">IFERROR(INDEX(checklistPesertaKemenkeu!$J$6:$J$1005,SMALL(IF(checklistPesertaKemenkeu!$AY$6:$AY$1005="Direkomendasikan",ROW($6:$1005)-5),267)),"")</f>
        <v/>
      </c>
      <c r="H268" t="str">
        <f t="array" aca="1" ref="H268" ca="1">IFERROR(IF(OR(INDEX(checklistPesertaKemenkeu!$L$6:$L$1005,SMALL(IF(checklistPesertaKemenkeu!$AY$6:$AY$1005="Direkomendasikan",ROW($6:$1005)-5),267))="",INDEX(checklistPesertaKemenkeu!$J$6:$J$1005,SMALL(IF(checklistPesertaKemenkeu!$AY$6:$AY$1005="Direkomendasikan",ROW($6:$1005)-5),267))=""),"",IF(AND(COUNTIF(INDIRECT("K_"&amp;MATCH(INDEX(checklistPesertaKemenkeu!$J$6:$J$1005,SMALL(IF(checklistPesertaKemenkeu!$AY$6:$AY$1005="Direkomendasikan",ROW($6:$1005)-5),267)),BidangList,0)),INDEX(checklistPesertaKemenkeu!$L$6:$L$1005,SMALL(IF(checklistPesertaKemenkeu!$AY$6:$AY$1005="Direkomendasikan",ROW($6:$1005)-5),267)))&gt;0,COUNTIF(INDIRECT("'KERTAS KERJA'!K"&amp;(SMALL(IF(checklistPesertaKemenkeu!$AY$6:$AY$1005="Direkomendasikan",ROW($6:$1005)-5),267)+5)&amp;":O"&amp;(SMALL(IF(checklistPesertaKemenkeu!$AY$6:$AY$1005="Direkomendasikan",ROW($6:$1005)-5),267)+5)),INDEX(checklistPesertaKemenkeu!$L$6:$L$1005,SMALL(IF(checklistPesertaKemenkeu!$AY$6:$AY$1005="Direkomendasikan",ROW($6:$1005)-5),267)))=1),IFERROR(VLOOKUP(INDEX(checklistPesertaKemenkeu!$L$6:$L$1005,SMALL(IF(checklistPesertaKemenkeu!$AY$6:$AY$1005="Direkomendasikan",ROW($6:$1005)-5),267)),KotaKode,2,0),"-"),"")),"")</f>
        <v/>
      </c>
      <c r="I268" t="str">
        <f t="array" aca="1" ref="I268" ca="1">IFERROR(IF(OR(INDEX(checklistPesertaKemenkeu!$M$6:$M$1005,SMALL(IF(checklistPesertaKemenkeu!$AY$6:$AY$1005="Direkomendasikan",ROW($6:$1005)-5),267))="",INDEX(checklistPesertaKemenkeu!$J$6:$J$1005,SMALL(IF(checklistPesertaKemenkeu!$AY$6:$AY$1005="Direkomendasikan",ROW($6:$1005)-5),267))=""),"",IF(AND(COUNTIF(INDIRECT("K_"&amp;MATCH(INDEX(checklistPesertaKemenkeu!$J$6:$J$1005,SMALL(IF(checklistPesertaKemenkeu!$AY$6:$AY$1005="Direkomendasikan",ROW($6:$1005)-5),267)),BidangList,0)),INDEX(checklistPesertaKemenkeu!$M$6:$M$1005,SMALL(IF(checklistPesertaKemenkeu!$AY$6:$AY$1005="Direkomendasikan",ROW($6:$1005)-5),267)))&gt;0,COUNTIF(INDIRECT("'KERTAS KERJA'!K"&amp;(SMALL(IF(checklistPesertaKemenkeu!$AY$6:$AY$1005="Direkomendasikan",ROW($6:$1005)-5),267)+5)&amp;":O"&amp;(SMALL(IF(checklistPesertaKemenkeu!$AY$6:$AY$1005="Direkomendasikan",ROW($6:$1005)-5),267)+5)),INDEX(checklistPesertaKemenkeu!$M$6:$M$1005,SMALL(IF(checklistPesertaKemenkeu!$AY$6:$AY$1005="Direkomendasikan",ROW($6:$1005)-5),267)))=1),IFERROR(VLOOKUP(INDEX(checklistPesertaKemenkeu!$M$6:$M$1005,SMALL(IF(checklistPesertaKemenkeu!$AY$6:$AY$1005="Direkomendasikan",ROW($6:$1005)-5),267)),KotaKode,2,0),"-"),"")),"")</f>
        <v/>
      </c>
      <c r="J268" t="str">
        <f t="array" aca="1" ref="J268" ca="1">IFERROR(IF(OR(INDEX(checklistPesertaKemenkeu!$N$6:$N$1005,SMALL(IF(checklistPesertaKemenkeu!$AY$6:$AY$1005="Direkomendasikan",ROW($6:$1005)-5),267))="",INDEX(checklistPesertaKemenkeu!$J$6:$J$1005,SMALL(IF(checklistPesertaKemenkeu!$AY$6:$AY$1005="Direkomendasikan",ROW($6:$1005)-5),267))=""),"",IF(AND(COUNTIF(INDIRECT("K_"&amp;MATCH(INDEX(checklistPesertaKemenkeu!$J$6:$J$1005,SMALL(IF(checklistPesertaKemenkeu!$AY$6:$AY$1005="Direkomendasikan",ROW($6:$1005)-5),267)),BidangList,0)),INDEX(checklistPesertaKemenkeu!$N$6:$N$1005,SMALL(IF(checklistPesertaKemenkeu!$AY$6:$AY$1005="Direkomendasikan",ROW($6:$1005)-5),267)))&gt;0,COUNTIF(INDIRECT("'KERTAS KERJA'!K"&amp;(SMALL(IF(checklistPesertaKemenkeu!$AY$6:$AY$1005="Direkomendasikan",ROW($6:$1005)-5),267)+5)&amp;":O"&amp;(SMALL(IF(checklistPesertaKemenkeu!$AY$6:$AY$1005="Direkomendasikan",ROW($6:$1005)-5),267)+5)),INDEX(checklistPesertaKemenkeu!$N$6:$N$1005,SMALL(IF(checklistPesertaKemenkeu!$AY$6:$AY$1005="Direkomendasikan",ROW($6:$1005)-5),267)))=1),IFERROR(VLOOKUP(INDEX(checklistPesertaKemenkeu!$N$6:$N$1005,SMALL(IF(checklistPesertaKemenkeu!$AY$6:$AY$1005="Direkomendasikan",ROW($6:$1005)-5),267)),KotaKode,2,0),"-"),"")),"")</f>
        <v/>
      </c>
      <c r="K268" t="str">
        <f t="array" aca="1" ref="K268" ca="1">IFERROR(IF(OR(INDEX(checklistPesertaKemenkeu!$O$6:$O$1005,SMALL(IF(checklistPesertaKemenkeu!$AY$6:$AY$1005="Direkomendasikan",ROW($6:$1005)-5),267))="",INDEX(checklistPesertaKemenkeu!$J$6:$J$1005,SMALL(IF(checklistPesertaKemenkeu!$AY$6:$AY$1005="Direkomendasikan",ROW($6:$1005)-5),267))=""),"",IF(AND(COUNTIF(INDIRECT("K_"&amp;MATCH(INDEX(checklistPesertaKemenkeu!$J$6:$J$1005,SMALL(IF(checklistPesertaKemenkeu!$AY$6:$AY$1005="Direkomendasikan",ROW($6:$1005)-5),267)),BidangList,0)),INDEX(checklistPesertaKemenkeu!$O$6:$O$1005,SMALL(IF(checklistPesertaKemenkeu!$AY$6:$AY$1005="Direkomendasikan",ROW($6:$1005)-5),267)))&gt;0,COUNTIF(INDIRECT("'KERTAS KERJA'!K"&amp;(SMALL(IF(checklistPesertaKemenkeu!$AY$6:$AY$1005="Direkomendasikan",ROW($6:$1005)-5),267)+5)&amp;":O"&amp;(SMALL(IF(checklistPesertaKemenkeu!$AY$6:$AY$1005="Direkomendasikan",ROW($6:$1005)-5),267)+5)),INDEX(checklistPesertaKemenkeu!$O$6:$O$1005,SMALL(IF(checklistPesertaKemenkeu!$AY$6:$AY$1005="Direkomendasikan",ROW($6:$1005)-5),267)))=1),IFERROR(VLOOKUP(INDEX(checklistPesertaKemenkeu!$O$6:$O$1005,SMALL(IF(checklistPesertaKemenkeu!$AY$6:$AY$1005="Direkomendasikan",ROW($6:$1005)-5),267)),KotaKode,2,0),"-"),"")),"")</f>
        <v/>
      </c>
      <c r="L268" t="str">
        <f t="array" aca="1" ref="L268" ca="1">IFERROR(IF(OR(INDEX(checklistPesertaKemenkeu!$P$6:$P$1005,SMALL(IF(checklistPesertaKemenkeu!$AY$6:$AY$1005="Direkomendasikan",ROW($6:$1005)-5),267))="",INDEX(checklistPesertaKemenkeu!$J$6:$J$1005,SMALL(IF(checklistPesertaKemenkeu!$AY$6:$AY$1005="Direkomendasikan",ROW($6:$1005)-5),267))=""),"",IF(AND(COUNTIF(INDIRECT("K_"&amp;MATCH(INDEX(checklistPesertaKemenkeu!$J$6:$J$1005,SMALL(IF(checklistPesertaKemenkeu!$AY$6:$AY$1005="Direkomendasikan",ROW($6:$1005)-5),267)),BidangList,0)),INDEX(checklistPesertaKemenkeu!$P$6:$P$1005,SMALL(IF(checklistPesertaKemenkeu!$AY$6:$AY$1005="Direkomendasikan",ROW($6:$1005)-5),267)))&gt;0,COUNTIF(INDIRECT("'KERTAS KERJA'!K"&amp;(SMALL(IF(checklistPesertaKemenkeu!$AY$6:$AY$1005="Direkomendasikan",ROW($6:$1005)-5),267)+5)&amp;":O"&amp;(SMALL(IF(checklistPesertaKemenkeu!$AY$6:$AY$1005="Direkomendasikan",ROW($6:$1005)-5),267)+5)),INDEX(checklistPesertaKemenkeu!$P$6:$P$1005,SMALL(IF(checklistPesertaKemenkeu!$AY$6:$AY$1005="Direkomendasikan",ROW($6:$1005)-5),267)))=1),IFERROR(VLOOKUP(INDEX(checklistPesertaKemenkeu!$P$6:$P$1005,SMALL(IF(checklistPesertaKemenkeu!$AY$6:$AY$1005="Direkomendasikan",ROW($6:$1005)-5),267)),KotaKode,2,0),"-"),"")),"")</f>
        <v/>
      </c>
    </row>
    <row r="269" spans="1:12" ht="15" customHeight="1" x14ac:dyDescent="0.2">
      <c r="A269" t="str">
        <f t="shared" si="4"/>
        <v/>
      </c>
      <c r="B269" t="str">
        <v/>
      </c>
      <c r="C269" s="40" t="str">
        <f t="array" ref="C269">IFERROR(INDEX(checklistPesertaKemenkeu!$F$6:$F$1005,SMALL(IF(checklistPesertaKemenkeu!$AY$6:$AY$1005="Direkomendasikan",ROW($6:$1005)-5),268)),"")</f>
        <v/>
      </c>
      <c r="D269" t="str">
        <f t="array" ref="D269">IFERROR(INDEX(checklistPesertaKemenkeu!$G$6:$G$1005,SMALL(IF(checklistPesertaKemenkeu!$AY$6:$AY$1005="Direkomendasikan",ROW($6:$1005)-5),268)),"")</f>
        <v/>
      </c>
      <c r="E269" t="str">
        <f t="array" ref="E269">IFERROR(INDEX(checklistPesertaKemenkeu!$H$6:$H$1005,SMALL(IF(checklistPesertaKemenkeu!$AY$6:$AY$1005="Direkomendasikan",ROW($6:$1005)-5),268)),"")</f>
        <v/>
      </c>
      <c r="F269" t="str">
        <f t="array" ref="F269">IFERROR(INDEX(checklistPesertaKemenkeu!$I$6:$I$1005,SMALL(IF(checklistPesertaKemenkeu!$AY$6:$AY$1005="Direkomendasikan",ROW($6:$1005)-5),268)),"")</f>
        <v/>
      </c>
      <c r="G269" t="str">
        <f t="array" ref="G269">IFERROR(INDEX(checklistPesertaKemenkeu!$J$6:$J$1005,SMALL(IF(checklistPesertaKemenkeu!$AY$6:$AY$1005="Direkomendasikan",ROW($6:$1005)-5),268)),"")</f>
        <v/>
      </c>
      <c r="H269" t="str">
        <f t="array" aca="1" ref="H269" ca="1">IFERROR(IF(OR(INDEX(checklistPesertaKemenkeu!$L$6:$L$1005,SMALL(IF(checklistPesertaKemenkeu!$AY$6:$AY$1005="Direkomendasikan",ROW($6:$1005)-5),268))="",INDEX(checklistPesertaKemenkeu!$J$6:$J$1005,SMALL(IF(checklistPesertaKemenkeu!$AY$6:$AY$1005="Direkomendasikan",ROW($6:$1005)-5),268))=""),"",IF(AND(COUNTIF(INDIRECT("K_"&amp;MATCH(INDEX(checklistPesertaKemenkeu!$J$6:$J$1005,SMALL(IF(checklistPesertaKemenkeu!$AY$6:$AY$1005="Direkomendasikan",ROW($6:$1005)-5),268)),BidangList,0)),INDEX(checklistPesertaKemenkeu!$L$6:$L$1005,SMALL(IF(checklistPesertaKemenkeu!$AY$6:$AY$1005="Direkomendasikan",ROW($6:$1005)-5),268)))&gt;0,COUNTIF(INDIRECT("'KERTAS KERJA'!K"&amp;(SMALL(IF(checklistPesertaKemenkeu!$AY$6:$AY$1005="Direkomendasikan",ROW($6:$1005)-5),268)+5)&amp;":O"&amp;(SMALL(IF(checklistPesertaKemenkeu!$AY$6:$AY$1005="Direkomendasikan",ROW($6:$1005)-5),268)+5)),INDEX(checklistPesertaKemenkeu!$L$6:$L$1005,SMALL(IF(checklistPesertaKemenkeu!$AY$6:$AY$1005="Direkomendasikan",ROW($6:$1005)-5),268)))=1),IFERROR(VLOOKUP(INDEX(checklistPesertaKemenkeu!$L$6:$L$1005,SMALL(IF(checklistPesertaKemenkeu!$AY$6:$AY$1005="Direkomendasikan",ROW($6:$1005)-5),268)),KotaKode,2,0),"-"),"")),"")</f>
        <v/>
      </c>
      <c r="I269" t="str">
        <f t="array" aca="1" ref="I269" ca="1">IFERROR(IF(OR(INDEX(checklistPesertaKemenkeu!$M$6:$M$1005,SMALL(IF(checklistPesertaKemenkeu!$AY$6:$AY$1005="Direkomendasikan",ROW($6:$1005)-5),268))="",INDEX(checklistPesertaKemenkeu!$J$6:$J$1005,SMALL(IF(checklistPesertaKemenkeu!$AY$6:$AY$1005="Direkomendasikan",ROW($6:$1005)-5),268))=""),"",IF(AND(COUNTIF(INDIRECT("K_"&amp;MATCH(INDEX(checklistPesertaKemenkeu!$J$6:$J$1005,SMALL(IF(checklistPesertaKemenkeu!$AY$6:$AY$1005="Direkomendasikan",ROW($6:$1005)-5),268)),BidangList,0)),INDEX(checklistPesertaKemenkeu!$M$6:$M$1005,SMALL(IF(checklistPesertaKemenkeu!$AY$6:$AY$1005="Direkomendasikan",ROW($6:$1005)-5),268)))&gt;0,COUNTIF(INDIRECT("'KERTAS KERJA'!K"&amp;(SMALL(IF(checklistPesertaKemenkeu!$AY$6:$AY$1005="Direkomendasikan",ROW($6:$1005)-5),268)+5)&amp;":O"&amp;(SMALL(IF(checklistPesertaKemenkeu!$AY$6:$AY$1005="Direkomendasikan",ROW($6:$1005)-5),268)+5)),INDEX(checklistPesertaKemenkeu!$M$6:$M$1005,SMALL(IF(checklistPesertaKemenkeu!$AY$6:$AY$1005="Direkomendasikan",ROW($6:$1005)-5),268)))=1),IFERROR(VLOOKUP(INDEX(checklistPesertaKemenkeu!$M$6:$M$1005,SMALL(IF(checklistPesertaKemenkeu!$AY$6:$AY$1005="Direkomendasikan",ROW($6:$1005)-5),268)),KotaKode,2,0),"-"),"")),"")</f>
        <v/>
      </c>
      <c r="J269" t="str">
        <f t="array" aca="1" ref="J269" ca="1">IFERROR(IF(OR(INDEX(checklistPesertaKemenkeu!$N$6:$N$1005,SMALL(IF(checklistPesertaKemenkeu!$AY$6:$AY$1005="Direkomendasikan",ROW($6:$1005)-5),268))="",INDEX(checklistPesertaKemenkeu!$J$6:$J$1005,SMALL(IF(checklistPesertaKemenkeu!$AY$6:$AY$1005="Direkomendasikan",ROW($6:$1005)-5),268))=""),"",IF(AND(COUNTIF(INDIRECT("K_"&amp;MATCH(INDEX(checklistPesertaKemenkeu!$J$6:$J$1005,SMALL(IF(checklistPesertaKemenkeu!$AY$6:$AY$1005="Direkomendasikan",ROW($6:$1005)-5),268)),BidangList,0)),INDEX(checklistPesertaKemenkeu!$N$6:$N$1005,SMALL(IF(checklistPesertaKemenkeu!$AY$6:$AY$1005="Direkomendasikan",ROW($6:$1005)-5),268)))&gt;0,COUNTIF(INDIRECT("'KERTAS KERJA'!K"&amp;(SMALL(IF(checklistPesertaKemenkeu!$AY$6:$AY$1005="Direkomendasikan",ROW($6:$1005)-5),268)+5)&amp;":O"&amp;(SMALL(IF(checklistPesertaKemenkeu!$AY$6:$AY$1005="Direkomendasikan",ROW($6:$1005)-5),268)+5)),INDEX(checklistPesertaKemenkeu!$N$6:$N$1005,SMALL(IF(checklistPesertaKemenkeu!$AY$6:$AY$1005="Direkomendasikan",ROW($6:$1005)-5),268)))=1),IFERROR(VLOOKUP(INDEX(checklistPesertaKemenkeu!$N$6:$N$1005,SMALL(IF(checklistPesertaKemenkeu!$AY$6:$AY$1005="Direkomendasikan",ROW($6:$1005)-5),268)),KotaKode,2,0),"-"),"")),"")</f>
        <v/>
      </c>
      <c r="K269" t="str">
        <f t="array" aca="1" ref="K269" ca="1">IFERROR(IF(OR(INDEX(checklistPesertaKemenkeu!$O$6:$O$1005,SMALL(IF(checklistPesertaKemenkeu!$AY$6:$AY$1005="Direkomendasikan",ROW($6:$1005)-5),268))="",INDEX(checklistPesertaKemenkeu!$J$6:$J$1005,SMALL(IF(checklistPesertaKemenkeu!$AY$6:$AY$1005="Direkomendasikan",ROW($6:$1005)-5),268))=""),"",IF(AND(COUNTIF(INDIRECT("K_"&amp;MATCH(INDEX(checklistPesertaKemenkeu!$J$6:$J$1005,SMALL(IF(checklistPesertaKemenkeu!$AY$6:$AY$1005="Direkomendasikan",ROW($6:$1005)-5),268)),BidangList,0)),INDEX(checklistPesertaKemenkeu!$O$6:$O$1005,SMALL(IF(checklistPesertaKemenkeu!$AY$6:$AY$1005="Direkomendasikan",ROW($6:$1005)-5),268)))&gt;0,COUNTIF(INDIRECT("'KERTAS KERJA'!K"&amp;(SMALL(IF(checklistPesertaKemenkeu!$AY$6:$AY$1005="Direkomendasikan",ROW($6:$1005)-5),268)+5)&amp;":O"&amp;(SMALL(IF(checklistPesertaKemenkeu!$AY$6:$AY$1005="Direkomendasikan",ROW($6:$1005)-5),268)+5)),INDEX(checklistPesertaKemenkeu!$O$6:$O$1005,SMALL(IF(checklistPesertaKemenkeu!$AY$6:$AY$1005="Direkomendasikan",ROW($6:$1005)-5),268)))=1),IFERROR(VLOOKUP(INDEX(checklistPesertaKemenkeu!$O$6:$O$1005,SMALL(IF(checklistPesertaKemenkeu!$AY$6:$AY$1005="Direkomendasikan",ROW($6:$1005)-5),268)),KotaKode,2,0),"-"),"")),"")</f>
        <v/>
      </c>
      <c r="L269" t="str">
        <f t="array" aca="1" ref="L269" ca="1">IFERROR(IF(OR(INDEX(checklistPesertaKemenkeu!$P$6:$P$1005,SMALL(IF(checklistPesertaKemenkeu!$AY$6:$AY$1005="Direkomendasikan",ROW($6:$1005)-5),268))="",INDEX(checklistPesertaKemenkeu!$J$6:$J$1005,SMALL(IF(checklistPesertaKemenkeu!$AY$6:$AY$1005="Direkomendasikan",ROW($6:$1005)-5),268))=""),"",IF(AND(COUNTIF(INDIRECT("K_"&amp;MATCH(INDEX(checklistPesertaKemenkeu!$J$6:$J$1005,SMALL(IF(checklistPesertaKemenkeu!$AY$6:$AY$1005="Direkomendasikan",ROW($6:$1005)-5),268)),BidangList,0)),INDEX(checklistPesertaKemenkeu!$P$6:$P$1005,SMALL(IF(checklistPesertaKemenkeu!$AY$6:$AY$1005="Direkomendasikan",ROW($6:$1005)-5),268)))&gt;0,COUNTIF(INDIRECT("'KERTAS KERJA'!K"&amp;(SMALL(IF(checklistPesertaKemenkeu!$AY$6:$AY$1005="Direkomendasikan",ROW($6:$1005)-5),268)+5)&amp;":O"&amp;(SMALL(IF(checklistPesertaKemenkeu!$AY$6:$AY$1005="Direkomendasikan",ROW($6:$1005)-5),268)+5)),INDEX(checklistPesertaKemenkeu!$P$6:$P$1005,SMALL(IF(checklistPesertaKemenkeu!$AY$6:$AY$1005="Direkomendasikan",ROW($6:$1005)-5),268)))=1),IFERROR(VLOOKUP(INDEX(checklistPesertaKemenkeu!$P$6:$P$1005,SMALL(IF(checklistPesertaKemenkeu!$AY$6:$AY$1005="Direkomendasikan",ROW($6:$1005)-5),268)),KotaKode,2,0),"-"),"")),"")</f>
        <v/>
      </c>
    </row>
    <row r="270" spans="1:12" ht="15" customHeight="1" x14ac:dyDescent="0.2">
      <c r="A270" t="str">
        <f t="shared" si="4"/>
        <v/>
      </c>
      <c r="B270" t="str">
        <v/>
      </c>
      <c r="C270" s="40" t="str">
        <f t="array" ref="C270">IFERROR(INDEX(checklistPesertaKemenkeu!$F$6:$F$1005,SMALL(IF(checklistPesertaKemenkeu!$AY$6:$AY$1005="Direkomendasikan",ROW($6:$1005)-5),269)),"")</f>
        <v/>
      </c>
      <c r="D270" t="str">
        <f t="array" ref="D270">IFERROR(INDEX(checklistPesertaKemenkeu!$G$6:$G$1005,SMALL(IF(checklistPesertaKemenkeu!$AY$6:$AY$1005="Direkomendasikan",ROW($6:$1005)-5),269)),"")</f>
        <v/>
      </c>
      <c r="E270" t="str">
        <f t="array" ref="E270">IFERROR(INDEX(checklistPesertaKemenkeu!$H$6:$H$1005,SMALL(IF(checklistPesertaKemenkeu!$AY$6:$AY$1005="Direkomendasikan",ROW($6:$1005)-5),269)),"")</f>
        <v/>
      </c>
      <c r="F270" t="str">
        <f t="array" ref="F270">IFERROR(INDEX(checklistPesertaKemenkeu!$I$6:$I$1005,SMALL(IF(checklistPesertaKemenkeu!$AY$6:$AY$1005="Direkomendasikan",ROW($6:$1005)-5),269)),"")</f>
        <v/>
      </c>
      <c r="G270" t="str">
        <f t="array" ref="G270">IFERROR(INDEX(checklistPesertaKemenkeu!$J$6:$J$1005,SMALL(IF(checklistPesertaKemenkeu!$AY$6:$AY$1005="Direkomendasikan",ROW($6:$1005)-5),269)),"")</f>
        <v/>
      </c>
      <c r="H270" t="str">
        <f t="array" aca="1" ref="H270" ca="1">IFERROR(IF(OR(INDEX(checklistPesertaKemenkeu!$L$6:$L$1005,SMALL(IF(checklistPesertaKemenkeu!$AY$6:$AY$1005="Direkomendasikan",ROW($6:$1005)-5),269))="",INDEX(checklistPesertaKemenkeu!$J$6:$J$1005,SMALL(IF(checklistPesertaKemenkeu!$AY$6:$AY$1005="Direkomendasikan",ROW($6:$1005)-5),269))=""),"",IF(AND(COUNTIF(INDIRECT("K_"&amp;MATCH(INDEX(checklistPesertaKemenkeu!$J$6:$J$1005,SMALL(IF(checklistPesertaKemenkeu!$AY$6:$AY$1005="Direkomendasikan",ROW($6:$1005)-5),269)),BidangList,0)),INDEX(checklistPesertaKemenkeu!$L$6:$L$1005,SMALL(IF(checklistPesertaKemenkeu!$AY$6:$AY$1005="Direkomendasikan",ROW($6:$1005)-5),269)))&gt;0,COUNTIF(INDIRECT("'KERTAS KERJA'!K"&amp;(SMALL(IF(checklistPesertaKemenkeu!$AY$6:$AY$1005="Direkomendasikan",ROW($6:$1005)-5),269)+5)&amp;":O"&amp;(SMALL(IF(checklistPesertaKemenkeu!$AY$6:$AY$1005="Direkomendasikan",ROW($6:$1005)-5),269)+5)),INDEX(checklistPesertaKemenkeu!$L$6:$L$1005,SMALL(IF(checklistPesertaKemenkeu!$AY$6:$AY$1005="Direkomendasikan",ROW($6:$1005)-5),269)))=1),IFERROR(VLOOKUP(INDEX(checklistPesertaKemenkeu!$L$6:$L$1005,SMALL(IF(checklistPesertaKemenkeu!$AY$6:$AY$1005="Direkomendasikan",ROW($6:$1005)-5),269)),KotaKode,2,0),"-"),"")),"")</f>
        <v/>
      </c>
      <c r="I270" t="str">
        <f t="array" aca="1" ref="I270" ca="1">IFERROR(IF(OR(INDEX(checklistPesertaKemenkeu!$M$6:$M$1005,SMALL(IF(checklistPesertaKemenkeu!$AY$6:$AY$1005="Direkomendasikan",ROW($6:$1005)-5),269))="",INDEX(checklistPesertaKemenkeu!$J$6:$J$1005,SMALL(IF(checklistPesertaKemenkeu!$AY$6:$AY$1005="Direkomendasikan",ROW($6:$1005)-5),269))=""),"",IF(AND(COUNTIF(INDIRECT("K_"&amp;MATCH(INDEX(checklistPesertaKemenkeu!$J$6:$J$1005,SMALL(IF(checklistPesertaKemenkeu!$AY$6:$AY$1005="Direkomendasikan",ROW($6:$1005)-5),269)),BidangList,0)),INDEX(checklistPesertaKemenkeu!$M$6:$M$1005,SMALL(IF(checklistPesertaKemenkeu!$AY$6:$AY$1005="Direkomendasikan",ROW($6:$1005)-5),269)))&gt;0,COUNTIF(INDIRECT("'KERTAS KERJA'!K"&amp;(SMALL(IF(checklistPesertaKemenkeu!$AY$6:$AY$1005="Direkomendasikan",ROW($6:$1005)-5),269)+5)&amp;":O"&amp;(SMALL(IF(checklistPesertaKemenkeu!$AY$6:$AY$1005="Direkomendasikan",ROW($6:$1005)-5),269)+5)),INDEX(checklistPesertaKemenkeu!$M$6:$M$1005,SMALL(IF(checklistPesertaKemenkeu!$AY$6:$AY$1005="Direkomendasikan",ROW($6:$1005)-5),269)))=1),IFERROR(VLOOKUP(INDEX(checklistPesertaKemenkeu!$M$6:$M$1005,SMALL(IF(checklistPesertaKemenkeu!$AY$6:$AY$1005="Direkomendasikan",ROW($6:$1005)-5),269)),KotaKode,2,0),"-"),"")),"")</f>
        <v/>
      </c>
      <c r="J270" t="str">
        <f t="array" aca="1" ref="J270" ca="1">IFERROR(IF(OR(INDEX(checklistPesertaKemenkeu!$N$6:$N$1005,SMALL(IF(checklistPesertaKemenkeu!$AY$6:$AY$1005="Direkomendasikan",ROW($6:$1005)-5),269))="",INDEX(checklistPesertaKemenkeu!$J$6:$J$1005,SMALL(IF(checklistPesertaKemenkeu!$AY$6:$AY$1005="Direkomendasikan",ROW($6:$1005)-5),269))=""),"",IF(AND(COUNTIF(INDIRECT("K_"&amp;MATCH(INDEX(checklistPesertaKemenkeu!$J$6:$J$1005,SMALL(IF(checklistPesertaKemenkeu!$AY$6:$AY$1005="Direkomendasikan",ROW($6:$1005)-5),269)),BidangList,0)),INDEX(checklistPesertaKemenkeu!$N$6:$N$1005,SMALL(IF(checklistPesertaKemenkeu!$AY$6:$AY$1005="Direkomendasikan",ROW($6:$1005)-5),269)))&gt;0,COUNTIF(INDIRECT("'KERTAS KERJA'!K"&amp;(SMALL(IF(checklistPesertaKemenkeu!$AY$6:$AY$1005="Direkomendasikan",ROW($6:$1005)-5),269)+5)&amp;":O"&amp;(SMALL(IF(checklistPesertaKemenkeu!$AY$6:$AY$1005="Direkomendasikan",ROW($6:$1005)-5),269)+5)),INDEX(checklistPesertaKemenkeu!$N$6:$N$1005,SMALL(IF(checklistPesertaKemenkeu!$AY$6:$AY$1005="Direkomendasikan",ROW($6:$1005)-5),269)))=1),IFERROR(VLOOKUP(INDEX(checklistPesertaKemenkeu!$N$6:$N$1005,SMALL(IF(checklistPesertaKemenkeu!$AY$6:$AY$1005="Direkomendasikan",ROW($6:$1005)-5),269)),KotaKode,2,0),"-"),"")),"")</f>
        <v/>
      </c>
      <c r="K270" t="str">
        <f t="array" aca="1" ref="K270" ca="1">IFERROR(IF(OR(INDEX(checklistPesertaKemenkeu!$O$6:$O$1005,SMALL(IF(checklistPesertaKemenkeu!$AY$6:$AY$1005="Direkomendasikan",ROW($6:$1005)-5),269))="",INDEX(checklistPesertaKemenkeu!$J$6:$J$1005,SMALL(IF(checklistPesertaKemenkeu!$AY$6:$AY$1005="Direkomendasikan",ROW($6:$1005)-5),269))=""),"",IF(AND(COUNTIF(INDIRECT("K_"&amp;MATCH(INDEX(checklistPesertaKemenkeu!$J$6:$J$1005,SMALL(IF(checklistPesertaKemenkeu!$AY$6:$AY$1005="Direkomendasikan",ROW($6:$1005)-5),269)),BidangList,0)),INDEX(checklistPesertaKemenkeu!$O$6:$O$1005,SMALL(IF(checklistPesertaKemenkeu!$AY$6:$AY$1005="Direkomendasikan",ROW($6:$1005)-5),269)))&gt;0,COUNTIF(INDIRECT("'KERTAS KERJA'!K"&amp;(SMALL(IF(checklistPesertaKemenkeu!$AY$6:$AY$1005="Direkomendasikan",ROW($6:$1005)-5),269)+5)&amp;":O"&amp;(SMALL(IF(checklistPesertaKemenkeu!$AY$6:$AY$1005="Direkomendasikan",ROW($6:$1005)-5),269)+5)),INDEX(checklistPesertaKemenkeu!$O$6:$O$1005,SMALL(IF(checklistPesertaKemenkeu!$AY$6:$AY$1005="Direkomendasikan",ROW($6:$1005)-5),269)))=1),IFERROR(VLOOKUP(INDEX(checklistPesertaKemenkeu!$O$6:$O$1005,SMALL(IF(checklistPesertaKemenkeu!$AY$6:$AY$1005="Direkomendasikan",ROW($6:$1005)-5),269)),KotaKode,2,0),"-"),"")),"")</f>
        <v/>
      </c>
      <c r="L270" t="str">
        <f t="array" aca="1" ref="L270" ca="1">IFERROR(IF(OR(INDEX(checklistPesertaKemenkeu!$P$6:$P$1005,SMALL(IF(checklistPesertaKemenkeu!$AY$6:$AY$1005="Direkomendasikan",ROW($6:$1005)-5),269))="",INDEX(checklistPesertaKemenkeu!$J$6:$J$1005,SMALL(IF(checklistPesertaKemenkeu!$AY$6:$AY$1005="Direkomendasikan",ROW($6:$1005)-5),269))=""),"",IF(AND(COUNTIF(INDIRECT("K_"&amp;MATCH(INDEX(checklistPesertaKemenkeu!$J$6:$J$1005,SMALL(IF(checklistPesertaKemenkeu!$AY$6:$AY$1005="Direkomendasikan",ROW($6:$1005)-5),269)),BidangList,0)),INDEX(checklistPesertaKemenkeu!$P$6:$P$1005,SMALL(IF(checklistPesertaKemenkeu!$AY$6:$AY$1005="Direkomendasikan",ROW($6:$1005)-5),269)))&gt;0,COUNTIF(INDIRECT("'KERTAS KERJA'!K"&amp;(SMALL(IF(checklistPesertaKemenkeu!$AY$6:$AY$1005="Direkomendasikan",ROW($6:$1005)-5),269)+5)&amp;":O"&amp;(SMALL(IF(checklistPesertaKemenkeu!$AY$6:$AY$1005="Direkomendasikan",ROW($6:$1005)-5),269)+5)),INDEX(checklistPesertaKemenkeu!$P$6:$P$1005,SMALL(IF(checklistPesertaKemenkeu!$AY$6:$AY$1005="Direkomendasikan",ROW($6:$1005)-5),269)))=1),IFERROR(VLOOKUP(INDEX(checklistPesertaKemenkeu!$P$6:$P$1005,SMALL(IF(checklistPesertaKemenkeu!$AY$6:$AY$1005="Direkomendasikan",ROW($6:$1005)-5),269)),KotaKode,2,0),"-"),"")),"")</f>
        <v/>
      </c>
    </row>
    <row r="271" spans="1:12" ht="15" customHeight="1" x14ac:dyDescent="0.2">
      <c r="A271" t="str">
        <f t="shared" si="4"/>
        <v/>
      </c>
      <c r="B271" t="str">
        <v/>
      </c>
      <c r="C271" s="40" t="str">
        <f t="array" ref="C271">IFERROR(INDEX(checklistPesertaKemenkeu!$F$6:$F$1005,SMALL(IF(checklistPesertaKemenkeu!$AY$6:$AY$1005="Direkomendasikan",ROW($6:$1005)-5),270)),"")</f>
        <v/>
      </c>
      <c r="D271" t="str">
        <f t="array" ref="D271">IFERROR(INDEX(checklistPesertaKemenkeu!$G$6:$G$1005,SMALL(IF(checklistPesertaKemenkeu!$AY$6:$AY$1005="Direkomendasikan",ROW($6:$1005)-5),270)),"")</f>
        <v/>
      </c>
      <c r="E271" t="str">
        <f t="array" ref="E271">IFERROR(INDEX(checklistPesertaKemenkeu!$H$6:$H$1005,SMALL(IF(checklistPesertaKemenkeu!$AY$6:$AY$1005="Direkomendasikan",ROW($6:$1005)-5),270)),"")</f>
        <v/>
      </c>
      <c r="F271" t="str">
        <f t="array" ref="F271">IFERROR(INDEX(checklistPesertaKemenkeu!$I$6:$I$1005,SMALL(IF(checklistPesertaKemenkeu!$AY$6:$AY$1005="Direkomendasikan",ROW($6:$1005)-5),270)),"")</f>
        <v/>
      </c>
      <c r="G271" t="str">
        <f t="array" ref="G271">IFERROR(INDEX(checklistPesertaKemenkeu!$J$6:$J$1005,SMALL(IF(checklistPesertaKemenkeu!$AY$6:$AY$1005="Direkomendasikan",ROW($6:$1005)-5),270)),"")</f>
        <v/>
      </c>
      <c r="H271" t="str">
        <f t="array" aca="1" ref="H271" ca="1">IFERROR(IF(OR(INDEX(checklistPesertaKemenkeu!$L$6:$L$1005,SMALL(IF(checklistPesertaKemenkeu!$AY$6:$AY$1005="Direkomendasikan",ROW($6:$1005)-5),270))="",INDEX(checklistPesertaKemenkeu!$J$6:$J$1005,SMALL(IF(checklistPesertaKemenkeu!$AY$6:$AY$1005="Direkomendasikan",ROW($6:$1005)-5),270))=""),"",IF(AND(COUNTIF(INDIRECT("K_"&amp;MATCH(INDEX(checklistPesertaKemenkeu!$J$6:$J$1005,SMALL(IF(checklistPesertaKemenkeu!$AY$6:$AY$1005="Direkomendasikan",ROW($6:$1005)-5),270)),BidangList,0)),INDEX(checklistPesertaKemenkeu!$L$6:$L$1005,SMALL(IF(checklistPesertaKemenkeu!$AY$6:$AY$1005="Direkomendasikan",ROW($6:$1005)-5),270)))&gt;0,COUNTIF(INDIRECT("'KERTAS KERJA'!K"&amp;(SMALL(IF(checklistPesertaKemenkeu!$AY$6:$AY$1005="Direkomendasikan",ROW($6:$1005)-5),270)+5)&amp;":O"&amp;(SMALL(IF(checklistPesertaKemenkeu!$AY$6:$AY$1005="Direkomendasikan",ROW($6:$1005)-5),270)+5)),INDEX(checklistPesertaKemenkeu!$L$6:$L$1005,SMALL(IF(checklistPesertaKemenkeu!$AY$6:$AY$1005="Direkomendasikan",ROW($6:$1005)-5),270)))=1),IFERROR(VLOOKUP(INDEX(checklistPesertaKemenkeu!$L$6:$L$1005,SMALL(IF(checklistPesertaKemenkeu!$AY$6:$AY$1005="Direkomendasikan",ROW($6:$1005)-5),270)),KotaKode,2,0),"-"),"")),"")</f>
        <v/>
      </c>
      <c r="I271" t="str">
        <f t="array" aca="1" ref="I271" ca="1">IFERROR(IF(OR(INDEX(checklistPesertaKemenkeu!$M$6:$M$1005,SMALL(IF(checklistPesertaKemenkeu!$AY$6:$AY$1005="Direkomendasikan",ROW($6:$1005)-5),270))="",INDEX(checklistPesertaKemenkeu!$J$6:$J$1005,SMALL(IF(checklistPesertaKemenkeu!$AY$6:$AY$1005="Direkomendasikan",ROW($6:$1005)-5),270))=""),"",IF(AND(COUNTIF(INDIRECT("K_"&amp;MATCH(INDEX(checklistPesertaKemenkeu!$J$6:$J$1005,SMALL(IF(checklistPesertaKemenkeu!$AY$6:$AY$1005="Direkomendasikan",ROW($6:$1005)-5),270)),BidangList,0)),INDEX(checklistPesertaKemenkeu!$M$6:$M$1005,SMALL(IF(checklistPesertaKemenkeu!$AY$6:$AY$1005="Direkomendasikan",ROW($6:$1005)-5),270)))&gt;0,COUNTIF(INDIRECT("'KERTAS KERJA'!K"&amp;(SMALL(IF(checklistPesertaKemenkeu!$AY$6:$AY$1005="Direkomendasikan",ROW($6:$1005)-5),270)+5)&amp;":O"&amp;(SMALL(IF(checklistPesertaKemenkeu!$AY$6:$AY$1005="Direkomendasikan",ROW($6:$1005)-5),270)+5)),INDEX(checklistPesertaKemenkeu!$M$6:$M$1005,SMALL(IF(checklistPesertaKemenkeu!$AY$6:$AY$1005="Direkomendasikan",ROW($6:$1005)-5),270)))=1),IFERROR(VLOOKUP(INDEX(checklistPesertaKemenkeu!$M$6:$M$1005,SMALL(IF(checklistPesertaKemenkeu!$AY$6:$AY$1005="Direkomendasikan",ROW($6:$1005)-5),270)),KotaKode,2,0),"-"),"")),"")</f>
        <v/>
      </c>
      <c r="J271" t="str">
        <f t="array" aca="1" ref="J271" ca="1">IFERROR(IF(OR(INDEX(checklistPesertaKemenkeu!$N$6:$N$1005,SMALL(IF(checklistPesertaKemenkeu!$AY$6:$AY$1005="Direkomendasikan",ROW($6:$1005)-5),270))="",INDEX(checklistPesertaKemenkeu!$J$6:$J$1005,SMALL(IF(checklistPesertaKemenkeu!$AY$6:$AY$1005="Direkomendasikan",ROW($6:$1005)-5),270))=""),"",IF(AND(COUNTIF(INDIRECT("K_"&amp;MATCH(INDEX(checklistPesertaKemenkeu!$J$6:$J$1005,SMALL(IF(checklistPesertaKemenkeu!$AY$6:$AY$1005="Direkomendasikan",ROW($6:$1005)-5),270)),BidangList,0)),INDEX(checklistPesertaKemenkeu!$N$6:$N$1005,SMALL(IF(checklistPesertaKemenkeu!$AY$6:$AY$1005="Direkomendasikan",ROW($6:$1005)-5),270)))&gt;0,COUNTIF(INDIRECT("'KERTAS KERJA'!K"&amp;(SMALL(IF(checklistPesertaKemenkeu!$AY$6:$AY$1005="Direkomendasikan",ROW($6:$1005)-5),270)+5)&amp;":O"&amp;(SMALL(IF(checklistPesertaKemenkeu!$AY$6:$AY$1005="Direkomendasikan",ROW($6:$1005)-5),270)+5)),INDEX(checklistPesertaKemenkeu!$N$6:$N$1005,SMALL(IF(checklistPesertaKemenkeu!$AY$6:$AY$1005="Direkomendasikan",ROW($6:$1005)-5),270)))=1),IFERROR(VLOOKUP(INDEX(checklistPesertaKemenkeu!$N$6:$N$1005,SMALL(IF(checklistPesertaKemenkeu!$AY$6:$AY$1005="Direkomendasikan",ROW($6:$1005)-5),270)),KotaKode,2,0),"-"),"")),"")</f>
        <v/>
      </c>
      <c r="K271" t="str">
        <f t="array" aca="1" ref="K271" ca="1">IFERROR(IF(OR(INDEX(checklistPesertaKemenkeu!$O$6:$O$1005,SMALL(IF(checklistPesertaKemenkeu!$AY$6:$AY$1005="Direkomendasikan",ROW($6:$1005)-5),270))="",INDEX(checklistPesertaKemenkeu!$J$6:$J$1005,SMALL(IF(checklistPesertaKemenkeu!$AY$6:$AY$1005="Direkomendasikan",ROW($6:$1005)-5),270))=""),"",IF(AND(COUNTIF(INDIRECT("K_"&amp;MATCH(INDEX(checklistPesertaKemenkeu!$J$6:$J$1005,SMALL(IF(checklistPesertaKemenkeu!$AY$6:$AY$1005="Direkomendasikan",ROW($6:$1005)-5),270)),BidangList,0)),INDEX(checklistPesertaKemenkeu!$O$6:$O$1005,SMALL(IF(checklistPesertaKemenkeu!$AY$6:$AY$1005="Direkomendasikan",ROW($6:$1005)-5),270)))&gt;0,COUNTIF(INDIRECT("'KERTAS KERJA'!K"&amp;(SMALL(IF(checklistPesertaKemenkeu!$AY$6:$AY$1005="Direkomendasikan",ROW($6:$1005)-5),270)+5)&amp;":O"&amp;(SMALL(IF(checklistPesertaKemenkeu!$AY$6:$AY$1005="Direkomendasikan",ROW($6:$1005)-5),270)+5)),INDEX(checklistPesertaKemenkeu!$O$6:$O$1005,SMALL(IF(checklistPesertaKemenkeu!$AY$6:$AY$1005="Direkomendasikan",ROW($6:$1005)-5),270)))=1),IFERROR(VLOOKUP(INDEX(checklistPesertaKemenkeu!$O$6:$O$1005,SMALL(IF(checklistPesertaKemenkeu!$AY$6:$AY$1005="Direkomendasikan",ROW($6:$1005)-5),270)),KotaKode,2,0),"-"),"")),"")</f>
        <v/>
      </c>
      <c r="L271" t="str">
        <f t="array" aca="1" ref="L271" ca="1">IFERROR(IF(OR(INDEX(checklistPesertaKemenkeu!$P$6:$P$1005,SMALL(IF(checklistPesertaKemenkeu!$AY$6:$AY$1005="Direkomendasikan",ROW($6:$1005)-5),270))="",INDEX(checklistPesertaKemenkeu!$J$6:$J$1005,SMALL(IF(checklistPesertaKemenkeu!$AY$6:$AY$1005="Direkomendasikan",ROW($6:$1005)-5),270))=""),"",IF(AND(COUNTIF(INDIRECT("K_"&amp;MATCH(INDEX(checklistPesertaKemenkeu!$J$6:$J$1005,SMALL(IF(checklistPesertaKemenkeu!$AY$6:$AY$1005="Direkomendasikan",ROW($6:$1005)-5),270)),BidangList,0)),INDEX(checklistPesertaKemenkeu!$P$6:$P$1005,SMALL(IF(checklistPesertaKemenkeu!$AY$6:$AY$1005="Direkomendasikan",ROW($6:$1005)-5),270)))&gt;0,COUNTIF(INDIRECT("'KERTAS KERJA'!K"&amp;(SMALL(IF(checklistPesertaKemenkeu!$AY$6:$AY$1005="Direkomendasikan",ROW($6:$1005)-5),270)+5)&amp;":O"&amp;(SMALL(IF(checklistPesertaKemenkeu!$AY$6:$AY$1005="Direkomendasikan",ROW($6:$1005)-5),270)+5)),INDEX(checklistPesertaKemenkeu!$P$6:$P$1005,SMALL(IF(checklistPesertaKemenkeu!$AY$6:$AY$1005="Direkomendasikan",ROW($6:$1005)-5),270)))=1),IFERROR(VLOOKUP(INDEX(checklistPesertaKemenkeu!$P$6:$P$1005,SMALL(IF(checklistPesertaKemenkeu!$AY$6:$AY$1005="Direkomendasikan",ROW($6:$1005)-5),270)),KotaKode,2,0),"-"),"")),"")</f>
        <v/>
      </c>
    </row>
    <row r="272" spans="1:12" ht="15" customHeight="1" x14ac:dyDescent="0.2">
      <c r="A272" t="str">
        <f t="shared" si="4"/>
        <v/>
      </c>
      <c r="B272" t="str">
        <v/>
      </c>
      <c r="C272" s="40" t="str">
        <f t="array" ref="C272">IFERROR(INDEX(checklistPesertaKemenkeu!$F$6:$F$1005,SMALL(IF(checklistPesertaKemenkeu!$AY$6:$AY$1005="Direkomendasikan",ROW($6:$1005)-5),271)),"")</f>
        <v/>
      </c>
      <c r="D272" t="str">
        <f t="array" ref="D272">IFERROR(INDEX(checklistPesertaKemenkeu!$G$6:$G$1005,SMALL(IF(checklistPesertaKemenkeu!$AY$6:$AY$1005="Direkomendasikan",ROW($6:$1005)-5),271)),"")</f>
        <v/>
      </c>
      <c r="E272" t="str">
        <f t="array" ref="E272">IFERROR(INDEX(checklistPesertaKemenkeu!$H$6:$H$1005,SMALL(IF(checklistPesertaKemenkeu!$AY$6:$AY$1005="Direkomendasikan",ROW($6:$1005)-5),271)),"")</f>
        <v/>
      </c>
      <c r="F272" t="str">
        <f t="array" ref="F272">IFERROR(INDEX(checklistPesertaKemenkeu!$I$6:$I$1005,SMALL(IF(checklistPesertaKemenkeu!$AY$6:$AY$1005="Direkomendasikan",ROW($6:$1005)-5),271)),"")</f>
        <v/>
      </c>
      <c r="G272" t="str">
        <f t="array" ref="G272">IFERROR(INDEX(checklistPesertaKemenkeu!$J$6:$J$1005,SMALL(IF(checklistPesertaKemenkeu!$AY$6:$AY$1005="Direkomendasikan",ROW($6:$1005)-5),271)),"")</f>
        <v/>
      </c>
      <c r="H272" t="str">
        <f t="array" aca="1" ref="H272" ca="1">IFERROR(IF(OR(INDEX(checklistPesertaKemenkeu!$L$6:$L$1005,SMALL(IF(checklistPesertaKemenkeu!$AY$6:$AY$1005="Direkomendasikan",ROW($6:$1005)-5),271))="",INDEX(checklistPesertaKemenkeu!$J$6:$J$1005,SMALL(IF(checklistPesertaKemenkeu!$AY$6:$AY$1005="Direkomendasikan",ROW($6:$1005)-5),271))=""),"",IF(AND(COUNTIF(INDIRECT("K_"&amp;MATCH(INDEX(checklistPesertaKemenkeu!$J$6:$J$1005,SMALL(IF(checklistPesertaKemenkeu!$AY$6:$AY$1005="Direkomendasikan",ROW($6:$1005)-5),271)),BidangList,0)),INDEX(checklistPesertaKemenkeu!$L$6:$L$1005,SMALL(IF(checklistPesertaKemenkeu!$AY$6:$AY$1005="Direkomendasikan",ROW($6:$1005)-5),271)))&gt;0,COUNTIF(INDIRECT("'KERTAS KERJA'!K"&amp;(SMALL(IF(checklistPesertaKemenkeu!$AY$6:$AY$1005="Direkomendasikan",ROW($6:$1005)-5),271)+5)&amp;":O"&amp;(SMALL(IF(checklistPesertaKemenkeu!$AY$6:$AY$1005="Direkomendasikan",ROW($6:$1005)-5),271)+5)),INDEX(checklistPesertaKemenkeu!$L$6:$L$1005,SMALL(IF(checklistPesertaKemenkeu!$AY$6:$AY$1005="Direkomendasikan",ROW($6:$1005)-5),271)))=1),IFERROR(VLOOKUP(INDEX(checklistPesertaKemenkeu!$L$6:$L$1005,SMALL(IF(checklistPesertaKemenkeu!$AY$6:$AY$1005="Direkomendasikan",ROW($6:$1005)-5),271)),KotaKode,2,0),"-"),"")),"")</f>
        <v/>
      </c>
      <c r="I272" t="str">
        <f t="array" aca="1" ref="I272" ca="1">IFERROR(IF(OR(INDEX(checklistPesertaKemenkeu!$M$6:$M$1005,SMALL(IF(checklistPesertaKemenkeu!$AY$6:$AY$1005="Direkomendasikan",ROW($6:$1005)-5),271))="",INDEX(checklistPesertaKemenkeu!$J$6:$J$1005,SMALL(IF(checklistPesertaKemenkeu!$AY$6:$AY$1005="Direkomendasikan",ROW($6:$1005)-5),271))=""),"",IF(AND(COUNTIF(INDIRECT("K_"&amp;MATCH(INDEX(checklistPesertaKemenkeu!$J$6:$J$1005,SMALL(IF(checklistPesertaKemenkeu!$AY$6:$AY$1005="Direkomendasikan",ROW($6:$1005)-5),271)),BidangList,0)),INDEX(checklistPesertaKemenkeu!$M$6:$M$1005,SMALL(IF(checklistPesertaKemenkeu!$AY$6:$AY$1005="Direkomendasikan",ROW($6:$1005)-5),271)))&gt;0,COUNTIF(INDIRECT("'KERTAS KERJA'!K"&amp;(SMALL(IF(checklistPesertaKemenkeu!$AY$6:$AY$1005="Direkomendasikan",ROW($6:$1005)-5),271)+5)&amp;":O"&amp;(SMALL(IF(checklistPesertaKemenkeu!$AY$6:$AY$1005="Direkomendasikan",ROW($6:$1005)-5),271)+5)),INDEX(checklistPesertaKemenkeu!$M$6:$M$1005,SMALL(IF(checklistPesertaKemenkeu!$AY$6:$AY$1005="Direkomendasikan",ROW($6:$1005)-5),271)))=1),IFERROR(VLOOKUP(INDEX(checklistPesertaKemenkeu!$M$6:$M$1005,SMALL(IF(checklistPesertaKemenkeu!$AY$6:$AY$1005="Direkomendasikan",ROW($6:$1005)-5),271)),KotaKode,2,0),"-"),"")),"")</f>
        <v/>
      </c>
      <c r="J272" t="str">
        <f t="array" aca="1" ref="J272" ca="1">IFERROR(IF(OR(INDEX(checklistPesertaKemenkeu!$N$6:$N$1005,SMALL(IF(checklistPesertaKemenkeu!$AY$6:$AY$1005="Direkomendasikan",ROW($6:$1005)-5),271))="",INDEX(checklistPesertaKemenkeu!$J$6:$J$1005,SMALL(IF(checklistPesertaKemenkeu!$AY$6:$AY$1005="Direkomendasikan",ROW($6:$1005)-5),271))=""),"",IF(AND(COUNTIF(INDIRECT("K_"&amp;MATCH(INDEX(checklistPesertaKemenkeu!$J$6:$J$1005,SMALL(IF(checklistPesertaKemenkeu!$AY$6:$AY$1005="Direkomendasikan",ROW($6:$1005)-5),271)),BidangList,0)),INDEX(checklistPesertaKemenkeu!$N$6:$N$1005,SMALL(IF(checklistPesertaKemenkeu!$AY$6:$AY$1005="Direkomendasikan",ROW($6:$1005)-5),271)))&gt;0,COUNTIF(INDIRECT("'KERTAS KERJA'!K"&amp;(SMALL(IF(checklistPesertaKemenkeu!$AY$6:$AY$1005="Direkomendasikan",ROW($6:$1005)-5),271)+5)&amp;":O"&amp;(SMALL(IF(checklistPesertaKemenkeu!$AY$6:$AY$1005="Direkomendasikan",ROW($6:$1005)-5),271)+5)),INDEX(checklistPesertaKemenkeu!$N$6:$N$1005,SMALL(IF(checklistPesertaKemenkeu!$AY$6:$AY$1005="Direkomendasikan",ROW($6:$1005)-5),271)))=1),IFERROR(VLOOKUP(INDEX(checklistPesertaKemenkeu!$N$6:$N$1005,SMALL(IF(checklistPesertaKemenkeu!$AY$6:$AY$1005="Direkomendasikan",ROW($6:$1005)-5),271)),KotaKode,2,0),"-"),"")),"")</f>
        <v/>
      </c>
      <c r="K272" t="str">
        <f t="array" aca="1" ref="K272" ca="1">IFERROR(IF(OR(INDEX(checklistPesertaKemenkeu!$O$6:$O$1005,SMALL(IF(checklistPesertaKemenkeu!$AY$6:$AY$1005="Direkomendasikan",ROW($6:$1005)-5),271))="",INDEX(checklistPesertaKemenkeu!$J$6:$J$1005,SMALL(IF(checklistPesertaKemenkeu!$AY$6:$AY$1005="Direkomendasikan",ROW($6:$1005)-5),271))=""),"",IF(AND(COUNTIF(INDIRECT("K_"&amp;MATCH(INDEX(checklistPesertaKemenkeu!$J$6:$J$1005,SMALL(IF(checklistPesertaKemenkeu!$AY$6:$AY$1005="Direkomendasikan",ROW($6:$1005)-5),271)),BidangList,0)),INDEX(checklistPesertaKemenkeu!$O$6:$O$1005,SMALL(IF(checklistPesertaKemenkeu!$AY$6:$AY$1005="Direkomendasikan",ROW($6:$1005)-5),271)))&gt;0,COUNTIF(INDIRECT("'KERTAS KERJA'!K"&amp;(SMALL(IF(checklistPesertaKemenkeu!$AY$6:$AY$1005="Direkomendasikan",ROW($6:$1005)-5),271)+5)&amp;":O"&amp;(SMALL(IF(checklistPesertaKemenkeu!$AY$6:$AY$1005="Direkomendasikan",ROW($6:$1005)-5),271)+5)),INDEX(checklistPesertaKemenkeu!$O$6:$O$1005,SMALL(IF(checklistPesertaKemenkeu!$AY$6:$AY$1005="Direkomendasikan",ROW($6:$1005)-5),271)))=1),IFERROR(VLOOKUP(INDEX(checklistPesertaKemenkeu!$O$6:$O$1005,SMALL(IF(checklistPesertaKemenkeu!$AY$6:$AY$1005="Direkomendasikan",ROW($6:$1005)-5),271)),KotaKode,2,0),"-"),"")),"")</f>
        <v/>
      </c>
      <c r="L272" t="str">
        <f t="array" aca="1" ref="L272" ca="1">IFERROR(IF(OR(INDEX(checklistPesertaKemenkeu!$P$6:$P$1005,SMALL(IF(checklistPesertaKemenkeu!$AY$6:$AY$1005="Direkomendasikan",ROW($6:$1005)-5),271))="",INDEX(checklistPesertaKemenkeu!$J$6:$J$1005,SMALL(IF(checklistPesertaKemenkeu!$AY$6:$AY$1005="Direkomendasikan",ROW($6:$1005)-5),271))=""),"",IF(AND(COUNTIF(INDIRECT("K_"&amp;MATCH(INDEX(checklistPesertaKemenkeu!$J$6:$J$1005,SMALL(IF(checklistPesertaKemenkeu!$AY$6:$AY$1005="Direkomendasikan",ROW($6:$1005)-5),271)),BidangList,0)),INDEX(checklistPesertaKemenkeu!$P$6:$P$1005,SMALL(IF(checklistPesertaKemenkeu!$AY$6:$AY$1005="Direkomendasikan",ROW($6:$1005)-5),271)))&gt;0,COUNTIF(INDIRECT("'KERTAS KERJA'!K"&amp;(SMALL(IF(checklistPesertaKemenkeu!$AY$6:$AY$1005="Direkomendasikan",ROW($6:$1005)-5),271)+5)&amp;":O"&amp;(SMALL(IF(checklistPesertaKemenkeu!$AY$6:$AY$1005="Direkomendasikan",ROW($6:$1005)-5),271)+5)),INDEX(checklistPesertaKemenkeu!$P$6:$P$1005,SMALL(IF(checklistPesertaKemenkeu!$AY$6:$AY$1005="Direkomendasikan",ROW($6:$1005)-5),271)))=1),IFERROR(VLOOKUP(INDEX(checklistPesertaKemenkeu!$P$6:$P$1005,SMALL(IF(checklistPesertaKemenkeu!$AY$6:$AY$1005="Direkomendasikan",ROW($6:$1005)-5),271)),KotaKode,2,0),"-"),"")),"")</f>
        <v/>
      </c>
    </row>
    <row r="273" spans="1:12" ht="15" customHeight="1" x14ac:dyDescent="0.2">
      <c r="A273" t="str">
        <f t="shared" si="4"/>
        <v/>
      </c>
      <c r="B273" t="str">
        <v/>
      </c>
      <c r="C273" s="40" t="str">
        <f t="array" ref="C273">IFERROR(INDEX(checklistPesertaKemenkeu!$F$6:$F$1005,SMALL(IF(checklistPesertaKemenkeu!$AY$6:$AY$1005="Direkomendasikan",ROW($6:$1005)-5),272)),"")</f>
        <v/>
      </c>
      <c r="D273" t="str">
        <f t="array" ref="D273">IFERROR(INDEX(checklistPesertaKemenkeu!$G$6:$G$1005,SMALL(IF(checklistPesertaKemenkeu!$AY$6:$AY$1005="Direkomendasikan",ROW($6:$1005)-5),272)),"")</f>
        <v/>
      </c>
      <c r="E273" t="str">
        <f t="array" ref="E273">IFERROR(INDEX(checklistPesertaKemenkeu!$H$6:$H$1005,SMALL(IF(checklistPesertaKemenkeu!$AY$6:$AY$1005="Direkomendasikan",ROW($6:$1005)-5),272)),"")</f>
        <v/>
      </c>
      <c r="F273" t="str">
        <f t="array" ref="F273">IFERROR(INDEX(checklistPesertaKemenkeu!$I$6:$I$1005,SMALL(IF(checklistPesertaKemenkeu!$AY$6:$AY$1005="Direkomendasikan",ROW($6:$1005)-5),272)),"")</f>
        <v/>
      </c>
      <c r="G273" t="str">
        <f t="array" ref="G273">IFERROR(INDEX(checklistPesertaKemenkeu!$J$6:$J$1005,SMALL(IF(checklistPesertaKemenkeu!$AY$6:$AY$1005="Direkomendasikan",ROW($6:$1005)-5),272)),"")</f>
        <v/>
      </c>
      <c r="H273" t="str">
        <f t="array" aca="1" ref="H273" ca="1">IFERROR(IF(OR(INDEX(checklistPesertaKemenkeu!$L$6:$L$1005,SMALL(IF(checklistPesertaKemenkeu!$AY$6:$AY$1005="Direkomendasikan",ROW($6:$1005)-5),272))="",INDEX(checklistPesertaKemenkeu!$J$6:$J$1005,SMALL(IF(checklistPesertaKemenkeu!$AY$6:$AY$1005="Direkomendasikan",ROW($6:$1005)-5),272))=""),"",IF(AND(COUNTIF(INDIRECT("K_"&amp;MATCH(INDEX(checklistPesertaKemenkeu!$J$6:$J$1005,SMALL(IF(checklistPesertaKemenkeu!$AY$6:$AY$1005="Direkomendasikan",ROW($6:$1005)-5),272)),BidangList,0)),INDEX(checklistPesertaKemenkeu!$L$6:$L$1005,SMALL(IF(checklistPesertaKemenkeu!$AY$6:$AY$1005="Direkomendasikan",ROW($6:$1005)-5),272)))&gt;0,COUNTIF(INDIRECT("'KERTAS KERJA'!K"&amp;(SMALL(IF(checklistPesertaKemenkeu!$AY$6:$AY$1005="Direkomendasikan",ROW($6:$1005)-5),272)+5)&amp;":O"&amp;(SMALL(IF(checklistPesertaKemenkeu!$AY$6:$AY$1005="Direkomendasikan",ROW($6:$1005)-5),272)+5)),INDEX(checklistPesertaKemenkeu!$L$6:$L$1005,SMALL(IF(checklistPesertaKemenkeu!$AY$6:$AY$1005="Direkomendasikan",ROW($6:$1005)-5),272)))=1),IFERROR(VLOOKUP(INDEX(checklistPesertaKemenkeu!$L$6:$L$1005,SMALL(IF(checklistPesertaKemenkeu!$AY$6:$AY$1005="Direkomendasikan",ROW($6:$1005)-5),272)),KotaKode,2,0),"-"),"")),"")</f>
        <v/>
      </c>
      <c r="I273" t="str">
        <f t="array" aca="1" ref="I273" ca="1">IFERROR(IF(OR(INDEX(checklistPesertaKemenkeu!$M$6:$M$1005,SMALL(IF(checklistPesertaKemenkeu!$AY$6:$AY$1005="Direkomendasikan",ROW($6:$1005)-5),272))="",INDEX(checklistPesertaKemenkeu!$J$6:$J$1005,SMALL(IF(checklistPesertaKemenkeu!$AY$6:$AY$1005="Direkomendasikan",ROW($6:$1005)-5),272))=""),"",IF(AND(COUNTIF(INDIRECT("K_"&amp;MATCH(INDEX(checklistPesertaKemenkeu!$J$6:$J$1005,SMALL(IF(checklistPesertaKemenkeu!$AY$6:$AY$1005="Direkomendasikan",ROW($6:$1005)-5),272)),BidangList,0)),INDEX(checklistPesertaKemenkeu!$M$6:$M$1005,SMALL(IF(checklistPesertaKemenkeu!$AY$6:$AY$1005="Direkomendasikan",ROW($6:$1005)-5),272)))&gt;0,COUNTIF(INDIRECT("'KERTAS KERJA'!K"&amp;(SMALL(IF(checklistPesertaKemenkeu!$AY$6:$AY$1005="Direkomendasikan",ROW($6:$1005)-5),272)+5)&amp;":O"&amp;(SMALL(IF(checklistPesertaKemenkeu!$AY$6:$AY$1005="Direkomendasikan",ROW($6:$1005)-5),272)+5)),INDEX(checklistPesertaKemenkeu!$M$6:$M$1005,SMALL(IF(checklistPesertaKemenkeu!$AY$6:$AY$1005="Direkomendasikan",ROW($6:$1005)-5),272)))=1),IFERROR(VLOOKUP(INDEX(checklistPesertaKemenkeu!$M$6:$M$1005,SMALL(IF(checklistPesertaKemenkeu!$AY$6:$AY$1005="Direkomendasikan",ROW($6:$1005)-5),272)),KotaKode,2,0),"-"),"")),"")</f>
        <v/>
      </c>
      <c r="J273" t="str">
        <f t="array" aca="1" ref="J273" ca="1">IFERROR(IF(OR(INDEX(checklistPesertaKemenkeu!$N$6:$N$1005,SMALL(IF(checklistPesertaKemenkeu!$AY$6:$AY$1005="Direkomendasikan",ROW($6:$1005)-5),272))="",INDEX(checklistPesertaKemenkeu!$J$6:$J$1005,SMALL(IF(checklistPesertaKemenkeu!$AY$6:$AY$1005="Direkomendasikan",ROW($6:$1005)-5),272))=""),"",IF(AND(COUNTIF(INDIRECT("K_"&amp;MATCH(INDEX(checklistPesertaKemenkeu!$J$6:$J$1005,SMALL(IF(checklistPesertaKemenkeu!$AY$6:$AY$1005="Direkomendasikan",ROW($6:$1005)-5),272)),BidangList,0)),INDEX(checklistPesertaKemenkeu!$N$6:$N$1005,SMALL(IF(checklistPesertaKemenkeu!$AY$6:$AY$1005="Direkomendasikan",ROW($6:$1005)-5),272)))&gt;0,COUNTIF(INDIRECT("'KERTAS KERJA'!K"&amp;(SMALL(IF(checklistPesertaKemenkeu!$AY$6:$AY$1005="Direkomendasikan",ROW($6:$1005)-5),272)+5)&amp;":O"&amp;(SMALL(IF(checklistPesertaKemenkeu!$AY$6:$AY$1005="Direkomendasikan",ROW($6:$1005)-5),272)+5)),INDEX(checklistPesertaKemenkeu!$N$6:$N$1005,SMALL(IF(checklistPesertaKemenkeu!$AY$6:$AY$1005="Direkomendasikan",ROW($6:$1005)-5),272)))=1),IFERROR(VLOOKUP(INDEX(checklistPesertaKemenkeu!$N$6:$N$1005,SMALL(IF(checklistPesertaKemenkeu!$AY$6:$AY$1005="Direkomendasikan",ROW($6:$1005)-5),272)),KotaKode,2,0),"-"),"")),"")</f>
        <v/>
      </c>
      <c r="K273" t="str">
        <f t="array" aca="1" ref="K273" ca="1">IFERROR(IF(OR(INDEX(checklistPesertaKemenkeu!$O$6:$O$1005,SMALL(IF(checklistPesertaKemenkeu!$AY$6:$AY$1005="Direkomendasikan",ROW($6:$1005)-5),272))="",INDEX(checklistPesertaKemenkeu!$J$6:$J$1005,SMALL(IF(checklistPesertaKemenkeu!$AY$6:$AY$1005="Direkomendasikan",ROW($6:$1005)-5),272))=""),"",IF(AND(COUNTIF(INDIRECT("K_"&amp;MATCH(INDEX(checklistPesertaKemenkeu!$J$6:$J$1005,SMALL(IF(checklistPesertaKemenkeu!$AY$6:$AY$1005="Direkomendasikan",ROW($6:$1005)-5),272)),BidangList,0)),INDEX(checklistPesertaKemenkeu!$O$6:$O$1005,SMALL(IF(checklistPesertaKemenkeu!$AY$6:$AY$1005="Direkomendasikan",ROW($6:$1005)-5),272)))&gt;0,COUNTIF(INDIRECT("'KERTAS KERJA'!K"&amp;(SMALL(IF(checklistPesertaKemenkeu!$AY$6:$AY$1005="Direkomendasikan",ROW($6:$1005)-5),272)+5)&amp;":O"&amp;(SMALL(IF(checklistPesertaKemenkeu!$AY$6:$AY$1005="Direkomendasikan",ROW($6:$1005)-5),272)+5)),INDEX(checklistPesertaKemenkeu!$O$6:$O$1005,SMALL(IF(checklistPesertaKemenkeu!$AY$6:$AY$1005="Direkomendasikan",ROW($6:$1005)-5),272)))=1),IFERROR(VLOOKUP(INDEX(checklistPesertaKemenkeu!$O$6:$O$1005,SMALL(IF(checklistPesertaKemenkeu!$AY$6:$AY$1005="Direkomendasikan",ROW($6:$1005)-5),272)),KotaKode,2,0),"-"),"")),"")</f>
        <v/>
      </c>
      <c r="L273" t="str">
        <f t="array" aca="1" ref="L273" ca="1">IFERROR(IF(OR(INDEX(checklistPesertaKemenkeu!$P$6:$P$1005,SMALL(IF(checklistPesertaKemenkeu!$AY$6:$AY$1005="Direkomendasikan",ROW($6:$1005)-5),272))="",INDEX(checklistPesertaKemenkeu!$J$6:$J$1005,SMALL(IF(checklistPesertaKemenkeu!$AY$6:$AY$1005="Direkomendasikan",ROW($6:$1005)-5),272))=""),"",IF(AND(COUNTIF(INDIRECT("K_"&amp;MATCH(INDEX(checklistPesertaKemenkeu!$J$6:$J$1005,SMALL(IF(checklistPesertaKemenkeu!$AY$6:$AY$1005="Direkomendasikan",ROW($6:$1005)-5),272)),BidangList,0)),INDEX(checklistPesertaKemenkeu!$P$6:$P$1005,SMALL(IF(checklistPesertaKemenkeu!$AY$6:$AY$1005="Direkomendasikan",ROW($6:$1005)-5),272)))&gt;0,COUNTIF(INDIRECT("'KERTAS KERJA'!K"&amp;(SMALL(IF(checklistPesertaKemenkeu!$AY$6:$AY$1005="Direkomendasikan",ROW($6:$1005)-5),272)+5)&amp;":O"&amp;(SMALL(IF(checklistPesertaKemenkeu!$AY$6:$AY$1005="Direkomendasikan",ROW($6:$1005)-5),272)+5)),INDEX(checklistPesertaKemenkeu!$P$6:$P$1005,SMALL(IF(checklistPesertaKemenkeu!$AY$6:$AY$1005="Direkomendasikan",ROW($6:$1005)-5),272)))=1),IFERROR(VLOOKUP(INDEX(checklistPesertaKemenkeu!$P$6:$P$1005,SMALL(IF(checklistPesertaKemenkeu!$AY$6:$AY$1005="Direkomendasikan",ROW($6:$1005)-5),272)),KotaKode,2,0),"-"),"")),"")</f>
        <v/>
      </c>
    </row>
    <row r="274" spans="1:12" ht="15" customHeight="1" x14ac:dyDescent="0.2">
      <c r="A274" t="str">
        <f t="shared" si="4"/>
        <v/>
      </c>
      <c r="B274" t="str">
        <v/>
      </c>
      <c r="C274" s="40" t="str">
        <f t="array" ref="C274">IFERROR(INDEX(checklistPesertaKemenkeu!$F$6:$F$1005,SMALL(IF(checklistPesertaKemenkeu!$AY$6:$AY$1005="Direkomendasikan",ROW($6:$1005)-5),273)),"")</f>
        <v/>
      </c>
      <c r="D274" t="str">
        <f t="array" ref="D274">IFERROR(INDEX(checklistPesertaKemenkeu!$G$6:$G$1005,SMALL(IF(checklistPesertaKemenkeu!$AY$6:$AY$1005="Direkomendasikan",ROW($6:$1005)-5),273)),"")</f>
        <v/>
      </c>
      <c r="E274" t="str">
        <f t="array" ref="E274">IFERROR(INDEX(checklistPesertaKemenkeu!$H$6:$H$1005,SMALL(IF(checklistPesertaKemenkeu!$AY$6:$AY$1005="Direkomendasikan",ROW($6:$1005)-5),273)),"")</f>
        <v/>
      </c>
      <c r="F274" t="str">
        <f t="array" ref="F274">IFERROR(INDEX(checklistPesertaKemenkeu!$I$6:$I$1005,SMALL(IF(checklistPesertaKemenkeu!$AY$6:$AY$1005="Direkomendasikan",ROW($6:$1005)-5),273)),"")</f>
        <v/>
      </c>
      <c r="G274" t="str">
        <f t="array" ref="G274">IFERROR(INDEX(checklistPesertaKemenkeu!$J$6:$J$1005,SMALL(IF(checklistPesertaKemenkeu!$AY$6:$AY$1005="Direkomendasikan",ROW($6:$1005)-5),273)),"")</f>
        <v/>
      </c>
      <c r="H274" t="str">
        <f t="array" aca="1" ref="H274" ca="1">IFERROR(IF(OR(INDEX(checklistPesertaKemenkeu!$L$6:$L$1005,SMALL(IF(checklistPesertaKemenkeu!$AY$6:$AY$1005="Direkomendasikan",ROW($6:$1005)-5),273))="",INDEX(checklistPesertaKemenkeu!$J$6:$J$1005,SMALL(IF(checklistPesertaKemenkeu!$AY$6:$AY$1005="Direkomendasikan",ROW($6:$1005)-5),273))=""),"",IF(AND(COUNTIF(INDIRECT("K_"&amp;MATCH(INDEX(checklistPesertaKemenkeu!$J$6:$J$1005,SMALL(IF(checklistPesertaKemenkeu!$AY$6:$AY$1005="Direkomendasikan",ROW($6:$1005)-5),273)),BidangList,0)),INDEX(checklistPesertaKemenkeu!$L$6:$L$1005,SMALL(IF(checklistPesertaKemenkeu!$AY$6:$AY$1005="Direkomendasikan",ROW($6:$1005)-5),273)))&gt;0,COUNTIF(INDIRECT("'KERTAS KERJA'!K"&amp;(SMALL(IF(checklistPesertaKemenkeu!$AY$6:$AY$1005="Direkomendasikan",ROW($6:$1005)-5),273)+5)&amp;":O"&amp;(SMALL(IF(checklistPesertaKemenkeu!$AY$6:$AY$1005="Direkomendasikan",ROW($6:$1005)-5),273)+5)),INDEX(checklistPesertaKemenkeu!$L$6:$L$1005,SMALL(IF(checklistPesertaKemenkeu!$AY$6:$AY$1005="Direkomendasikan",ROW($6:$1005)-5),273)))=1),IFERROR(VLOOKUP(INDEX(checklistPesertaKemenkeu!$L$6:$L$1005,SMALL(IF(checklistPesertaKemenkeu!$AY$6:$AY$1005="Direkomendasikan",ROW($6:$1005)-5),273)),KotaKode,2,0),"-"),"")),"")</f>
        <v/>
      </c>
      <c r="I274" t="str">
        <f t="array" aca="1" ref="I274" ca="1">IFERROR(IF(OR(INDEX(checklistPesertaKemenkeu!$M$6:$M$1005,SMALL(IF(checklistPesertaKemenkeu!$AY$6:$AY$1005="Direkomendasikan",ROW($6:$1005)-5),273))="",INDEX(checklistPesertaKemenkeu!$J$6:$J$1005,SMALL(IF(checklistPesertaKemenkeu!$AY$6:$AY$1005="Direkomendasikan",ROW($6:$1005)-5),273))=""),"",IF(AND(COUNTIF(INDIRECT("K_"&amp;MATCH(INDEX(checklistPesertaKemenkeu!$J$6:$J$1005,SMALL(IF(checklistPesertaKemenkeu!$AY$6:$AY$1005="Direkomendasikan",ROW($6:$1005)-5),273)),BidangList,0)),INDEX(checklistPesertaKemenkeu!$M$6:$M$1005,SMALL(IF(checklistPesertaKemenkeu!$AY$6:$AY$1005="Direkomendasikan",ROW($6:$1005)-5),273)))&gt;0,COUNTIF(INDIRECT("'KERTAS KERJA'!K"&amp;(SMALL(IF(checklistPesertaKemenkeu!$AY$6:$AY$1005="Direkomendasikan",ROW($6:$1005)-5),273)+5)&amp;":O"&amp;(SMALL(IF(checklistPesertaKemenkeu!$AY$6:$AY$1005="Direkomendasikan",ROW($6:$1005)-5),273)+5)),INDEX(checklistPesertaKemenkeu!$M$6:$M$1005,SMALL(IF(checklistPesertaKemenkeu!$AY$6:$AY$1005="Direkomendasikan",ROW($6:$1005)-5),273)))=1),IFERROR(VLOOKUP(INDEX(checklistPesertaKemenkeu!$M$6:$M$1005,SMALL(IF(checklistPesertaKemenkeu!$AY$6:$AY$1005="Direkomendasikan",ROW($6:$1005)-5),273)),KotaKode,2,0),"-"),"")),"")</f>
        <v/>
      </c>
      <c r="J274" t="str">
        <f t="array" aca="1" ref="J274" ca="1">IFERROR(IF(OR(INDEX(checklistPesertaKemenkeu!$N$6:$N$1005,SMALL(IF(checklistPesertaKemenkeu!$AY$6:$AY$1005="Direkomendasikan",ROW($6:$1005)-5),273))="",INDEX(checklistPesertaKemenkeu!$J$6:$J$1005,SMALL(IF(checklistPesertaKemenkeu!$AY$6:$AY$1005="Direkomendasikan",ROW($6:$1005)-5),273))=""),"",IF(AND(COUNTIF(INDIRECT("K_"&amp;MATCH(INDEX(checklistPesertaKemenkeu!$J$6:$J$1005,SMALL(IF(checklistPesertaKemenkeu!$AY$6:$AY$1005="Direkomendasikan",ROW($6:$1005)-5),273)),BidangList,0)),INDEX(checklistPesertaKemenkeu!$N$6:$N$1005,SMALL(IF(checklistPesertaKemenkeu!$AY$6:$AY$1005="Direkomendasikan",ROW($6:$1005)-5),273)))&gt;0,COUNTIF(INDIRECT("'KERTAS KERJA'!K"&amp;(SMALL(IF(checklistPesertaKemenkeu!$AY$6:$AY$1005="Direkomendasikan",ROW($6:$1005)-5),273)+5)&amp;":O"&amp;(SMALL(IF(checklistPesertaKemenkeu!$AY$6:$AY$1005="Direkomendasikan",ROW($6:$1005)-5),273)+5)),INDEX(checklistPesertaKemenkeu!$N$6:$N$1005,SMALL(IF(checklistPesertaKemenkeu!$AY$6:$AY$1005="Direkomendasikan",ROW($6:$1005)-5),273)))=1),IFERROR(VLOOKUP(INDEX(checklistPesertaKemenkeu!$N$6:$N$1005,SMALL(IF(checklistPesertaKemenkeu!$AY$6:$AY$1005="Direkomendasikan",ROW($6:$1005)-5),273)),KotaKode,2,0),"-"),"")),"")</f>
        <v/>
      </c>
      <c r="K274" t="str">
        <f t="array" aca="1" ref="K274" ca="1">IFERROR(IF(OR(INDEX(checklistPesertaKemenkeu!$O$6:$O$1005,SMALL(IF(checklistPesertaKemenkeu!$AY$6:$AY$1005="Direkomendasikan",ROW($6:$1005)-5),273))="",INDEX(checklistPesertaKemenkeu!$J$6:$J$1005,SMALL(IF(checklistPesertaKemenkeu!$AY$6:$AY$1005="Direkomendasikan",ROW($6:$1005)-5),273))=""),"",IF(AND(COUNTIF(INDIRECT("K_"&amp;MATCH(INDEX(checklistPesertaKemenkeu!$J$6:$J$1005,SMALL(IF(checklistPesertaKemenkeu!$AY$6:$AY$1005="Direkomendasikan",ROW($6:$1005)-5),273)),BidangList,0)),INDEX(checklistPesertaKemenkeu!$O$6:$O$1005,SMALL(IF(checklistPesertaKemenkeu!$AY$6:$AY$1005="Direkomendasikan",ROW($6:$1005)-5),273)))&gt;0,COUNTIF(INDIRECT("'KERTAS KERJA'!K"&amp;(SMALL(IF(checklistPesertaKemenkeu!$AY$6:$AY$1005="Direkomendasikan",ROW($6:$1005)-5),273)+5)&amp;":O"&amp;(SMALL(IF(checklistPesertaKemenkeu!$AY$6:$AY$1005="Direkomendasikan",ROW($6:$1005)-5),273)+5)),INDEX(checklistPesertaKemenkeu!$O$6:$O$1005,SMALL(IF(checklistPesertaKemenkeu!$AY$6:$AY$1005="Direkomendasikan",ROW($6:$1005)-5),273)))=1),IFERROR(VLOOKUP(INDEX(checklistPesertaKemenkeu!$O$6:$O$1005,SMALL(IF(checklistPesertaKemenkeu!$AY$6:$AY$1005="Direkomendasikan",ROW($6:$1005)-5),273)),KotaKode,2,0),"-"),"")),"")</f>
        <v/>
      </c>
      <c r="L274" t="str">
        <f t="array" aca="1" ref="L274" ca="1">IFERROR(IF(OR(INDEX(checklistPesertaKemenkeu!$P$6:$P$1005,SMALL(IF(checklistPesertaKemenkeu!$AY$6:$AY$1005="Direkomendasikan",ROW($6:$1005)-5),273))="",INDEX(checklistPesertaKemenkeu!$J$6:$J$1005,SMALL(IF(checklistPesertaKemenkeu!$AY$6:$AY$1005="Direkomendasikan",ROW($6:$1005)-5),273))=""),"",IF(AND(COUNTIF(INDIRECT("K_"&amp;MATCH(INDEX(checklistPesertaKemenkeu!$J$6:$J$1005,SMALL(IF(checklistPesertaKemenkeu!$AY$6:$AY$1005="Direkomendasikan",ROW($6:$1005)-5),273)),BidangList,0)),INDEX(checklistPesertaKemenkeu!$P$6:$P$1005,SMALL(IF(checklistPesertaKemenkeu!$AY$6:$AY$1005="Direkomendasikan",ROW($6:$1005)-5),273)))&gt;0,COUNTIF(INDIRECT("'KERTAS KERJA'!K"&amp;(SMALL(IF(checklistPesertaKemenkeu!$AY$6:$AY$1005="Direkomendasikan",ROW($6:$1005)-5),273)+5)&amp;":O"&amp;(SMALL(IF(checklistPesertaKemenkeu!$AY$6:$AY$1005="Direkomendasikan",ROW($6:$1005)-5),273)+5)),INDEX(checklistPesertaKemenkeu!$P$6:$P$1005,SMALL(IF(checklistPesertaKemenkeu!$AY$6:$AY$1005="Direkomendasikan",ROW($6:$1005)-5),273)))=1),IFERROR(VLOOKUP(INDEX(checklistPesertaKemenkeu!$P$6:$P$1005,SMALL(IF(checklistPesertaKemenkeu!$AY$6:$AY$1005="Direkomendasikan",ROW($6:$1005)-5),273)),KotaKode,2,0),"-"),"")),"")</f>
        <v/>
      </c>
    </row>
    <row r="275" spans="1:12" ht="15" customHeight="1" x14ac:dyDescent="0.2">
      <c r="A275" t="str">
        <f t="shared" si="4"/>
        <v/>
      </c>
      <c r="B275" t="str">
        <v/>
      </c>
      <c r="C275" s="40" t="str">
        <f t="array" ref="C275">IFERROR(INDEX(checklistPesertaKemenkeu!$F$6:$F$1005,SMALL(IF(checklistPesertaKemenkeu!$AY$6:$AY$1005="Direkomendasikan",ROW($6:$1005)-5),274)),"")</f>
        <v/>
      </c>
      <c r="D275" t="str">
        <f t="array" ref="D275">IFERROR(INDEX(checklistPesertaKemenkeu!$G$6:$G$1005,SMALL(IF(checklistPesertaKemenkeu!$AY$6:$AY$1005="Direkomendasikan",ROW($6:$1005)-5),274)),"")</f>
        <v/>
      </c>
      <c r="E275" t="str">
        <f t="array" ref="E275">IFERROR(INDEX(checklistPesertaKemenkeu!$H$6:$H$1005,SMALL(IF(checklistPesertaKemenkeu!$AY$6:$AY$1005="Direkomendasikan",ROW($6:$1005)-5),274)),"")</f>
        <v/>
      </c>
      <c r="F275" t="str">
        <f t="array" ref="F275">IFERROR(INDEX(checklistPesertaKemenkeu!$I$6:$I$1005,SMALL(IF(checklistPesertaKemenkeu!$AY$6:$AY$1005="Direkomendasikan",ROW($6:$1005)-5),274)),"")</f>
        <v/>
      </c>
      <c r="G275" t="str">
        <f t="array" ref="G275">IFERROR(INDEX(checklistPesertaKemenkeu!$J$6:$J$1005,SMALL(IF(checklistPesertaKemenkeu!$AY$6:$AY$1005="Direkomendasikan",ROW($6:$1005)-5),274)),"")</f>
        <v/>
      </c>
      <c r="H275" t="str">
        <f t="array" aca="1" ref="H275" ca="1">IFERROR(IF(OR(INDEX(checklistPesertaKemenkeu!$L$6:$L$1005,SMALL(IF(checklistPesertaKemenkeu!$AY$6:$AY$1005="Direkomendasikan",ROW($6:$1005)-5),274))="",INDEX(checklistPesertaKemenkeu!$J$6:$J$1005,SMALL(IF(checklistPesertaKemenkeu!$AY$6:$AY$1005="Direkomendasikan",ROW($6:$1005)-5),274))=""),"",IF(AND(COUNTIF(INDIRECT("K_"&amp;MATCH(INDEX(checklistPesertaKemenkeu!$J$6:$J$1005,SMALL(IF(checklistPesertaKemenkeu!$AY$6:$AY$1005="Direkomendasikan",ROW($6:$1005)-5),274)),BidangList,0)),INDEX(checklistPesertaKemenkeu!$L$6:$L$1005,SMALL(IF(checklistPesertaKemenkeu!$AY$6:$AY$1005="Direkomendasikan",ROW($6:$1005)-5),274)))&gt;0,COUNTIF(INDIRECT("'KERTAS KERJA'!K"&amp;(SMALL(IF(checklistPesertaKemenkeu!$AY$6:$AY$1005="Direkomendasikan",ROW($6:$1005)-5),274)+5)&amp;":O"&amp;(SMALL(IF(checklistPesertaKemenkeu!$AY$6:$AY$1005="Direkomendasikan",ROW($6:$1005)-5),274)+5)),INDEX(checklistPesertaKemenkeu!$L$6:$L$1005,SMALL(IF(checklistPesertaKemenkeu!$AY$6:$AY$1005="Direkomendasikan",ROW($6:$1005)-5),274)))=1),IFERROR(VLOOKUP(INDEX(checklistPesertaKemenkeu!$L$6:$L$1005,SMALL(IF(checklistPesertaKemenkeu!$AY$6:$AY$1005="Direkomendasikan",ROW($6:$1005)-5),274)),KotaKode,2,0),"-"),"")),"")</f>
        <v/>
      </c>
      <c r="I275" t="str">
        <f t="array" aca="1" ref="I275" ca="1">IFERROR(IF(OR(INDEX(checklistPesertaKemenkeu!$M$6:$M$1005,SMALL(IF(checklistPesertaKemenkeu!$AY$6:$AY$1005="Direkomendasikan",ROW($6:$1005)-5),274))="",INDEX(checklistPesertaKemenkeu!$J$6:$J$1005,SMALL(IF(checklistPesertaKemenkeu!$AY$6:$AY$1005="Direkomendasikan",ROW($6:$1005)-5),274))=""),"",IF(AND(COUNTIF(INDIRECT("K_"&amp;MATCH(INDEX(checklistPesertaKemenkeu!$J$6:$J$1005,SMALL(IF(checklistPesertaKemenkeu!$AY$6:$AY$1005="Direkomendasikan",ROW($6:$1005)-5),274)),BidangList,0)),INDEX(checklistPesertaKemenkeu!$M$6:$M$1005,SMALL(IF(checklistPesertaKemenkeu!$AY$6:$AY$1005="Direkomendasikan",ROW($6:$1005)-5),274)))&gt;0,COUNTIF(INDIRECT("'KERTAS KERJA'!K"&amp;(SMALL(IF(checklistPesertaKemenkeu!$AY$6:$AY$1005="Direkomendasikan",ROW($6:$1005)-5),274)+5)&amp;":O"&amp;(SMALL(IF(checklistPesertaKemenkeu!$AY$6:$AY$1005="Direkomendasikan",ROW($6:$1005)-5),274)+5)),INDEX(checklistPesertaKemenkeu!$M$6:$M$1005,SMALL(IF(checklistPesertaKemenkeu!$AY$6:$AY$1005="Direkomendasikan",ROW($6:$1005)-5),274)))=1),IFERROR(VLOOKUP(INDEX(checklistPesertaKemenkeu!$M$6:$M$1005,SMALL(IF(checklistPesertaKemenkeu!$AY$6:$AY$1005="Direkomendasikan",ROW($6:$1005)-5),274)),KotaKode,2,0),"-"),"")),"")</f>
        <v/>
      </c>
      <c r="J275" t="str">
        <f t="array" aca="1" ref="J275" ca="1">IFERROR(IF(OR(INDEX(checklistPesertaKemenkeu!$N$6:$N$1005,SMALL(IF(checklistPesertaKemenkeu!$AY$6:$AY$1005="Direkomendasikan",ROW($6:$1005)-5),274))="",INDEX(checklistPesertaKemenkeu!$J$6:$J$1005,SMALL(IF(checklistPesertaKemenkeu!$AY$6:$AY$1005="Direkomendasikan",ROW($6:$1005)-5),274))=""),"",IF(AND(COUNTIF(INDIRECT("K_"&amp;MATCH(INDEX(checklistPesertaKemenkeu!$J$6:$J$1005,SMALL(IF(checklistPesertaKemenkeu!$AY$6:$AY$1005="Direkomendasikan",ROW($6:$1005)-5),274)),BidangList,0)),INDEX(checklistPesertaKemenkeu!$N$6:$N$1005,SMALL(IF(checklistPesertaKemenkeu!$AY$6:$AY$1005="Direkomendasikan",ROW($6:$1005)-5),274)))&gt;0,COUNTIF(INDIRECT("'KERTAS KERJA'!K"&amp;(SMALL(IF(checklistPesertaKemenkeu!$AY$6:$AY$1005="Direkomendasikan",ROW($6:$1005)-5),274)+5)&amp;":O"&amp;(SMALL(IF(checklistPesertaKemenkeu!$AY$6:$AY$1005="Direkomendasikan",ROW($6:$1005)-5),274)+5)),INDEX(checklistPesertaKemenkeu!$N$6:$N$1005,SMALL(IF(checklistPesertaKemenkeu!$AY$6:$AY$1005="Direkomendasikan",ROW($6:$1005)-5),274)))=1),IFERROR(VLOOKUP(INDEX(checklistPesertaKemenkeu!$N$6:$N$1005,SMALL(IF(checklistPesertaKemenkeu!$AY$6:$AY$1005="Direkomendasikan",ROW($6:$1005)-5),274)),KotaKode,2,0),"-"),"")),"")</f>
        <v/>
      </c>
      <c r="K275" t="str">
        <f t="array" aca="1" ref="K275" ca="1">IFERROR(IF(OR(INDEX(checklistPesertaKemenkeu!$O$6:$O$1005,SMALL(IF(checklistPesertaKemenkeu!$AY$6:$AY$1005="Direkomendasikan",ROW($6:$1005)-5),274))="",INDEX(checklistPesertaKemenkeu!$J$6:$J$1005,SMALL(IF(checklistPesertaKemenkeu!$AY$6:$AY$1005="Direkomendasikan",ROW($6:$1005)-5),274))=""),"",IF(AND(COUNTIF(INDIRECT("K_"&amp;MATCH(INDEX(checklistPesertaKemenkeu!$J$6:$J$1005,SMALL(IF(checklistPesertaKemenkeu!$AY$6:$AY$1005="Direkomendasikan",ROW($6:$1005)-5),274)),BidangList,0)),INDEX(checklistPesertaKemenkeu!$O$6:$O$1005,SMALL(IF(checklistPesertaKemenkeu!$AY$6:$AY$1005="Direkomendasikan",ROW($6:$1005)-5),274)))&gt;0,COUNTIF(INDIRECT("'KERTAS KERJA'!K"&amp;(SMALL(IF(checklistPesertaKemenkeu!$AY$6:$AY$1005="Direkomendasikan",ROW($6:$1005)-5),274)+5)&amp;":O"&amp;(SMALL(IF(checklistPesertaKemenkeu!$AY$6:$AY$1005="Direkomendasikan",ROW($6:$1005)-5),274)+5)),INDEX(checklistPesertaKemenkeu!$O$6:$O$1005,SMALL(IF(checklistPesertaKemenkeu!$AY$6:$AY$1005="Direkomendasikan",ROW($6:$1005)-5),274)))=1),IFERROR(VLOOKUP(INDEX(checklistPesertaKemenkeu!$O$6:$O$1005,SMALL(IF(checklistPesertaKemenkeu!$AY$6:$AY$1005="Direkomendasikan",ROW($6:$1005)-5),274)),KotaKode,2,0),"-"),"")),"")</f>
        <v/>
      </c>
      <c r="L275" t="str">
        <f t="array" aca="1" ref="L275" ca="1">IFERROR(IF(OR(INDEX(checklistPesertaKemenkeu!$P$6:$P$1005,SMALL(IF(checklistPesertaKemenkeu!$AY$6:$AY$1005="Direkomendasikan",ROW($6:$1005)-5),274))="",INDEX(checklistPesertaKemenkeu!$J$6:$J$1005,SMALL(IF(checklistPesertaKemenkeu!$AY$6:$AY$1005="Direkomendasikan",ROW($6:$1005)-5),274))=""),"",IF(AND(COUNTIF(INDIRECT("K_"&amp;MATCH(INDEX(checklistPesertaKemenkeu!$J$6:$J$1005,SMALL(IF(checklistPesertaKemenkeu!$AY$6:$AY$1005="Direkomendasikan",ROW($6:$1005)-5),274)),BidangList,0)),INDEX(checklistPesertaKemenkeu!$P$6:$P$1005,SMALL(IF(checklistPesertaKemenkeu!$AY$6:$AY$1005="Direkomendasikan",ROW($6:$1005)-5),274)))&gt;0,COUNTIF(INDIRECT("'KERTAS KERJA'!K"&amp;(SMALL(IF(checklistPesertaKemenkeu!$AY$6:$AY$1005="Direkomendasikan",ROW($6:$1005)-5),274)+5)&amp;":O"&amp;(SMALL(IF(checklistPesertaKemenkeu!$AY$6:$AY$1005="Direkomendasikan",ROW($6:$1005)-5),274)+5)),INDEX(checklistPesertaKemenkeu!$P$6:$P$1005,SMALL(IF(checklistPesertaKemenkeu!$AY$6:$AY$1005="Direkomendasikan",ROW($6:$1005)-5),274)))=1),IFERROR(VLOOKUP(INDEX(checklistPesertaKemenkeu!$P$6:$P$1005,SMALL(IF(checklistPesertaKemenkeu!$AY$6:$AY$1005="Direkomendasikan",ROW($6:$1005)-5),274)),KotaKode,2,0),"-"),"")),"")</f>
        <v/>
      </c>
    </row>
    <row r="276" spans="1:12" ht="15" customHeight="1" x14ac:dyDescent="0.2">
      <c r="A276" t="str">
        <f t="shared" si="4"/>
        <v/>
      </c>
      <c r="B276" t="str">
        <v/>
      </c>
      <c r="C276" s="40" t="str">
        <f t="array" ref="C276">IFERROR(INDEX(checklistPesertaKemenkeu!$F$6:$F$1005,SMALL(IF(checklistPesertaKemenkeu!$AY$6:$AY$1005="Direkomendasikan",ROW($6:$1005)-5),275)),"")</f>
        <v/>
      </c>
      <c r="D276" t="str">
        <f t="array" ref="D276">IFERROR(INDEX(checklistPesertaKemenkeu!$G$6:$G$1005,SMALL(IF(checklistPesertaKemenkeu!$AY$6:$AY$1005="Direkomendasikan",ROW($6:$1005)-5),275)),"")</f>
        <v/>
      </c>
      <c r="E276" t="str">
        <f t="array" ref="E276">IFERROR(INDEX(checklistPesertaKemenkeu!$H$6:$H$1005,SMALL(IF(checklistPesertaKemenkeu!$AY$6:$AY$1005="Direkomendasikan",ROW($6:$1005)-5),275)),"")</f>
        <v/>
      </c>
      <c r="F276" t="str">
        <f t="array" ref="F276">IFERROR(INDEX(checklistPesertaKemenkeu!$I$6:$I$1005,SMALL(IF(checklistPesertaKemenkeu!$AY$6:$AY$1005="Direkomendasikan",ROW($6:$1005)-5),275)),"")</f>
        <v/>
      </c>
      <c r="G276" t="str">
        <f t="array" ref="G276">IFERROR(INDEX(checklistPesertaKemenkeu!$J$6:$J$1005,SMALL(IF(checklistPesertaKemenkeu!$AY$6:$AY$1005="Direkomendasikan",ROW($6:$1005)-5),275)),"")</f>
        <v/>
      </c>
      <c r="H276" t="str">
        <f t="array" aca="1" ref="H276" ca="1">IFERROR(IF(OR(INDEX(checklistPesertaKemenkeu!$L$6:$L$1005,SMALL(IF(checklistPesertaKemenkeu!$AY$6:$AY$1005="Direkomendasikan",ROW($6:$1005)-5),275))="",INDEX(checklistPesertaKemenkeu!$J$6:$J$1005,SMALL(IF(checklistPesertaKemenkeu!$AY$6:$AY$1005="Direkomendasikan",ROW($6:$1005)-5),275))=""),"",IF(AND(COUNTIF(INDIRECT("K_"&amp;MATCH(INDEX(checklistPesertaKemenkeu!$J$6:$J$1005,SMALL(IF(checklistPesertaKemenkeu!$AY$6:$AY$1005="Direkomendasikan",ROW($6:$1005)-5),275)),BidangList,0)),INDEX(checklistPesertaKemenkeu!$L$6:$L$1005,SMALL(IF(checklistPesertaKemenkeu!$AY$6:$AY$1005="Direkomendasikan",ROW($6:$1005)-5),275)))&gt;0,COUNTIF(INDIRECT("'KERTAS KERJA'!K"&amp;(SMALL(IF(checklistPesertaKemenkeu!$AY$6:$AY$1005="Direkomendasikan",ROW($6:$1005)-5),275)+5)&amp;":O"&amp;(SMALL(IF(checklistPesertaKemenkeu!$AY$6:$AY$1005="Direkomendasikan",ROW($6:$1005)-5),275)+5)),INDEX(checklistPesertaKemenkeu!$L$6:$L$1005,SMALL(IF(checklistPesertaKemenkeu!$AY$6:$AY$1005="Direkomendasikan",ROW($6:$1005)-5),275)))=1),IFERROR(VLOOKUP(INDEX(checklistPesertaKemenkeu!$L$6:$L$1005,SMALL(IF(checklistPesertaKemenkeu!$AY$6:$AY$1005="Direkomendasikan",ROW($6:$1005)-5),275)),KotaKode,2,0),"-"),"")),"")</f>
        <v/>
      </c>
      <c r="I276" t="str">
        <f t="array" aca="1" ref="I276" ca="1">IFERROR(IF(OR(INDEX(checklistPesertaKemenkeu!$M$6:$M$1005,SMALL(IF(checklistPesertaKemenkeu!$AY$6:$AY$1005="Direkomendasikan",ROW($6:$1005)-5),275))="",INDEX(checklistPesertaKemenkeu!$J$6:$J$1005,SMALL(IF(checklistPesertaKemenkeu!$AY$6:$AY$1005="Direkomendasikan",ROW($6:$1005)-5),275))=""),"",IF(AND(COUNTIF(INDIRECT("K_"&amp;MATCH(INDEX(checklistPesertaKemenkeu!$J$6:$J$1005,SMALL(IF(checklistPesertaKemenkeu!$AY$6:$AY$1005="Direkomendasikan",ROW($6:$1005)-5),275)),BidangList,0)),INDEX(checklistPesertaKemenkeu!$M$6:$M$1005,SMALL(IF(checklistPesertaKemenkeu!$AY$6:$AY$1005="Direkomendasikan",ROW($6:$1005)-5),275)))&gt;0,COUNTIF(INDIRECT("'KERTAS KERJA'!K"&amp;(SMALL(IF(checklistPesertaKemenkeu!$AY$6:$AY$1005="Direkomendasikan",ROW($6:$1005)-5),275)+5)&amp;":O"&amp;(SMALL(IF(checklistPesertaKemenkeu!$AY$6:$AY$1005="Direkomendasikan",ROW($6:$1005)-5),275)+5)),INDEX(checklistPesertaKemenkeu!$M$6:$M$1005,SMALL(IF(checklistPesertaKemenkeu!$AY$6:$AY$1005="Direkomendasikan",ROW($6:$1005)-5),275)))=1),IFERROR(VLOOKUP(INDEX(checklistPesertaKemenkeu!$M$6:$M$1005,SMALL(IF(checklistPesertaKemenkeu!$AY$6:$AY$1005="Direkomendasikan",ROW($6:$1005)-5),275)),KotaKode,2,0),"-"),"")),"")</f>
        <v/>
      </c>
      <c r="J276" t="str">
        <f t="array" aca="1" ref="J276" ca="1">IFERROR(IF(OR(INDEX(checklistPesertaKemenkeu!$N$6:$N$1005,SMALL(IF(checklistPesertaKemenkeu!$AY$6:$AY$1005="Direkomendasikan",ROW($6:$1005)-5),275))="",INDEX(checklistPesertaKemenkeu!$J$6:$J$1005,SMALL(IF(checklistPesertaKemenkeu!$AY$6:$AY$1005="Direkomendasikan",ROW($6:$1005)-5),275))=""),"",IF(AND(COUNTIF(INDIRECT("K_"&amp;MATCH(INDEX(checklistPesertaKemenkeu!$J$6:$J$1005,SMALL(IF(checklistPesertaKemenkeu!$AY$6:$AY$1005="Direkomendasikan",ROW($6:$1005)-5),275)),BidangList,0)),INDEX(checklistPesertaKemenkeu!$N$6:$N$1005,SMALL(IF(checklistPesertaKemenkeu!$AY$6:$AY$1005="Direkomendasikan",ROW($6:$1005)-5),275)))&gt;0,COUNTIF(INDIRECT("'KERTAS KERJA'!K"&amp;(SMALL(IF(checklistPesertaKemenkeu!$AY$6:$AY$1005="Direkomendasikan",ROW($6:$1005)-5),275)+5)&amp;":O"&amp;(SMALL(IF(checklistPesertaKemenkeu!$AY$6:$AY$1005="Direkomendasikan",ROW($6:$1005)-5),275)+5)),INDEX(checklistPesertaKemenkeu!$N$6:$N$1005,SMALL(IF(checklistPesertaKemenkeu!$AY$6:$AY$1005="Direkomendasikan",ROW($6:$1005)-5),275)))=1),IFERROR(VLOOKUP(INDEX(checklistPesertaKemenkeu!$N$6:$N$1005,SMALL(IF(checklistPesertaKemenkeu!$AY$6:$AY$1005="Direkomendasikan",ROW($6:$1005)-5),275)),KotaKode,2,0),"-"),"")),"")</f>
        <v/>
      </c>
      <c r="K276" t="str">
        <f t="array" aca="1" ref="K276" ca="1">IFERROR(IF(OR(INDEX(checklistPesertaKemenkeu!$O$6:$O$1005,SMALL(IF(checklistPesertaKemenkeu!$AY$6:$AY$1005="Direkomendasikan",ROW($6:$1005)-5),275))="",INDEX(checklistPesertaKemenkeu!$J$6:$J$1005,SMALL(IF(checklistPesertaKemenkeu!$AY$6:$AY$1005="Direkomendasikan",ROW($6:$1005)-5),275))=""),"",IF(AND(COUNTIF(INDIRECT("K_"&amp;MATCH(INDEX(checklistPesertaKemenkeu!$J$6:$J$1005,SMALL(IF(checklistPesertaKemenkeu!$AY$6:$AY$1005="Direkomendasikan",ROW($6:$1005)-5),275)),BidangList,0)),INDEX(checklistPesertaKemenkeu!$O$6:$O$1005,SMALL(IF(checklistPesertaKemenkeu!$AY$6:$AY$1005="Direkomendasikan",ROW($6:$1005)-5),275)))&gt;0,COUNTIF(INDIRECT("'KERTAS KERJA'!K"&amp;(SMALL(IF(checklistPesertaKemenkeu!$AY$6:$AY$1005="Direkomendasikan",ROW($6:$1005)-5),275)+5)&amp;":O"&amp;(SMALL(IF(checklistPesertaKemenkeu!$AY$6:$AY$1005="Direkomendasikan",ROW($6:$1005)-5),275)+5)),INDEX(checklistPesertaKemenkeu!$O$6:$O$1005,SMALL(IF(checklistPesertaKemenkeu!$AY$6:$AY$1005="Direkomendasikan",ROW($6:$1005)-5),275)))=1),IFERROR(VLOOKUP(INDEX(checklistPesertaKemenkeu!$O$6:$O$1005,SMALL(IF(checklistPesertaKemenkeu!$AY$6:$AY$1005="Direkomendasikan",ROW($6:$1005)-5),275)),KotaKode,2,0),"-"),"")),"")</f>
        <v/>
      </c>
      <c r="L276" t="str">
        <f t="array" aca="1" ref="L276" ca="1">IFERROR(IF(OR(INDEX(checklistPesertaKemenkeu!$P$6:$P$1005,SMALL(IF(checklistPesertaKemenkeu!$AY$6:$AY$1005="Direkomendasikan",ROW($6:$1005)-5),275))="",INDEX(checklistPesertaKemenkeu!$J$6:$J$1005,SMALL(IF(checklistPesertaKemenkeu!$AY$6:$AY$1005="Direkomendasikan",ROW($6:$1005)-5),275))=""),"",IF(AND(COUNTIF(INDIRECT("K_"&amp;MATCH(INDEX(checklistPesertaKemenkeu!$J$6:$J$1005,SMALL(IF(checklistPesertaKemenkeu!$AY$6:$AY$1005="Direkomendasikan",ROW($6:$1005)-5),275)),BidangList,0)),INDEX(checklistPesertaKemenkeu!$P$6:$P$1005,SMALL(IF(checklistPesertaKemenkeu!$AY$6:$AY$1005="Direkomendasikan",ROW($6:$1005)-5),275)))&gt;0,COUNTIF(INDIRECT("'KERTAS KERJA'!K"&amp;(SMALL(IF(checklistPesertaKemenkeu!$AY$6:$AY$1005="Direkomendasikan",ROW($6:$1005)-5),275)+5)&amp;":O"&amp;(SMALL(IF(checklistPesertaKemenkeu!$AY$6:$AY$1005="Direkomendasikan",ROW($6:$1005)-5),275)+5)),INDEX(checklistPesertaKemenkeu!$P$6:$P$1005,SMALL(IF(checklistPesertaKemenkeu!$AY$6:$AY$1005="Direkomendasikan",ROW($6:$1005)-5),275)))=1),IFERROR(VLOOKUP(INDEX(checklistPesertaKemenkeu!$P$6:$P$1005,SMALL(IF(checklistPesertaKemenkeu!$AY$6:$AY$1005="Direkomendasikan",ROW($6:$1005)-5),275)),KotaKode,2,0),"-"),"")),"")</f>
        <v/>
      </c>
    </row>
    <row r="277" spans="1:12" ht="15" customHeight="1" x14ac:dyDescent="0.2">
      <c r="A277" t="str">
        <f t="shared" si="4"/>
        <v/>
      </c>
      <c r="B277" t="str">
        <v/>
      </c>
      <c r="C277" s="40" t="str">
        <f t="array" ref="C277">IFERROR(INDEX(checklistPesertaKemenkeu!$F$6:$F$1005,SMALL(IF(checklistPesertaKemenkeu!$AY$6:$AY$1005="Direkomendasikan",ROW($6:$1005)-5),276)),"")</f>
        <v/>
      </c>
      <c r="D277" t="str">
        <f t="array" ref="D277">IFERROR(INDEX(checklistPesertaKemenkeu!$G$6:$G$1005,SMALL(IF(checklistPesertaKemenkeu!$AY$6:$AY$1005="Direkomendasikan",ROW($6:$1005)-5),276)),"")</f>
        <v/>
      </c>
      <c r="E277" t="str">
        <f t="array" ref="E277">IFERROR(INDEX(checklistPesertaKemenkeu!$H$6:$H$1005,SMALL(IF(checklistPesertaKemenkeu!$AY$6:$AY$1005="Direkomendasikan",ROW($6:$1005)-5),276)),"")</f>
        <v/>
      </c>
      <c r="F277" t="str">
        <f t="array" ref="F277">IFERROR(INDEX(checklistPesertaKemenkeu!$I$6:$I$1005,SMALL(IF(checklistPesertaKemenkeu!$AY$6:$AY$1005="Direkomendasikan",ROW($6:$1005)-5),276)),"")</f>
        <v/>
      </c>
      <c r="G277" t="str">
        <f t="array" ref="G277">IFERROR(INDEX(checklistPesertaKemenkeu!$J$6:$J$1005,SMALL(IF(checklistPesertaKemenkeu!$AY$6:$AY$1005="Direkomendasikan",ROW($6:$1005)-5),276)),"")</f>
        <v/>
      </c>
      <c r="H277" t="str">
        <f t="array" aca="1" ref="H277" ca="1">IFERROR(IF(OR(INDEX(checklistPesertaKemenkeu!$L$6:$L$1005,SMALL(IF(checklistPesertaKemenkeu!$AY$6:$AY$1005="Direkomendasikan",ROW($6:$1005)-5),276))="",INDEX(checklistPesertaKemenkeu!$J$6:$J$1005,SMALL(IF(checklistPesertaKemenkeu!$AY$6:$AY$1005="Direkomendasikan",ROW($6:$1005)-5),276))=""),"",IF(AND(COUNTIF(INDIRECT("K_"&amp;MATCH(INDEX(checklistPesertaKemenkeu!$J$6:$J$1005,SMALL(IF(checklistPesertaKemenkeu!$AY$6:$AY$1005="Direkomendasikan",ROW($6:$1005)-5),276)),BidangList,0)),INDEX(checklistPesertaKemenkeu!$L$6:$L$1005,SMALL(IF(checklistPesertaKemenkeu!$AY$6:$AY$1005="Direkomendasikan",ROW($6:$1005)-5),276)))&gt;0,COUNTIF(INDIRECT("'KERTAS KERJA'!K"&amp;(SMALL(IF(checklistPesertaKemenkeu!$AY$6:$AY$1005="Direkomendasikan",ROW($6:$1005)-5),276)+5)&amp;":O"&amp;(SMALL(IF(checklistPesertaKemenkeu!$AY$6:$AY$1005="Direkomendasikan",ROW($6:$1005)-5),276)+5)),INDEX(checklistPesertaKemenkeu!$L$6:$L$1005,SMALL(IF(checklistPesertaKemenkeu!$AY$6:$AY$1005="Direkomendasikan",ROW($6:$1005)-5),276)))=1),IFERROR(VLOOKUP(INDEX(checklistPesertaKemenkeu!$L$6:$L$1005,SMALL(IF(checklistPesertaKemenkeu!$AY$6:$AY$1005="Direkomendasikan",ROW($6:$1005)-5),276)),KotaKode,2,0),"-"),"")),"")</f>
        <v/>
      </c>
      <c r="I277" t="str">
        <f t="array" aca="1" ref="I277" ca="1">IFERROR(IF(OR(INDEX(checklistPesertaKemenkeu!$M$6:$M$1005,SMALL(IF(checklistPesertaKemenkeu!$AY$6:$AY$1005="Direkomendasikan",ROW($6:$1005)-5),276))="",INDEX(checklistPesertaKemenkeu!$J$6:$J$1005,SMALL(IF(checklistPesertaKemenkeu!$AY$6:$AY$1005="Direkomendasikan",ROW($6:$1005)-5),276))=""),"",IF(AND(COUNTIF(INDIRECT("K_"&amp;MATCH(INDEX(checklistPesertaKemenkeu!$J$6:$J$1005,SMALL(IF(checklistPesertaKemenkeu!$AY$6:$AY$1005="Direkomendasikan",ROW($6:$1005)-5),276)),BidangList,0)),INDEX(checklistPesertaKemenkeu!$M$6:$M$1005,SMALL(IF(checklistPesertaKemenkeu!$AY$6:$AY$1005="Direkomendasikan",ROW($6:$1005)-5),276)))&gt;0,COUNTIF(INDIRECT("'KERTAS KERJA'!K"&amp;(SMALL(IF(checklistPesertaKemenkeu!$AY$6:$AY$1005="Direkomendasikan",ROW($6:$1005)-5),276)+5)&amp;":O"&amp;(SMALL(IF(checklistPesertaKemenkeu!$AY$6:$AY$1005="Direkomendasikan",ROW($6:$1005)-5),276)+5)),INDEX(checklistPesertaKemenkeu!$M$6:$M$1005,SMALL(IF(checklistPesertaKemenkeu!$AY$6:$AY$1005="Direkomendasikan",ROW($6:$1005)-5),276)))=1),IFERROR(VLOOKUP(INDEX(checklistPesertaKemenkeu!$M$6:$M$1005,SMALL(IF(checklistPesertaKemenkeu!$AY$6:$AY$1005="Direkomendasikan",ROW($6:$1005)-5),276)),KotaKode,2,0),"-"),"")),"")</f>
        <v/>
      </c>
      <c r="J277" t="str">
        <f t="array" aca="1" ref="J277" ca="1">IFERROR(IF(OR(INDEX(checklistPesertaKemenkeu!$N$6:$N$1005,SMALL(IF(checklistPesertaKemenkeu!$AY$6:$AY$1005="Direkomendasikan",ROW($6:$1005)-5),276))="",INDEX(checklistPesertaKemenkeu!$J$6:$J$1005,SMALL(IF(checklistPesertaKemenkeu!$AY$6:$AY$1005="Direkomendasikan",ROW($6:$1005)-5),276))=""),"",IF(AND(COUNTIF(INDIRECT("K_"&amp;MATCH(INDEX(checklistPesertaKemenkeu!$J$6:$J$1005,SMALL(IF(checklistPesertaKemenkeu!$AY$6:$AY$1005="Direkomendasikan",ROW($6:$1005)-5),276)),BidangList,0)),INDEX(checklistPesertaKemenkeu!$N$6:$N$1005,SMALL(IF(checklistPesertaKemenkeu!$AY$6:$AY$1005="Direkomendasikan",ROW($6:$1005)-5),276)))&gt;0,COUNTIF(INDIRECT("'KERTAS KERJA'!K"&amp;(SMALL(IF(checklistPesertaKemenkeu!$AY$6:$AY$1005="Direkomendasikan",ROW($6:$1005)-5),276)+5)&amp;":O"&amp;(SMALL(IF(checklistPesertaKemenkeu!$AY$6:$AY$1005="Direkomendasikan",ROW($6:$1005)-5),276)+5)),INDEX(checklistPesertaKemenkeu!$N$6:$N$1005,SMALL(IF(checklistPesertaKemenkeu!$AY$6:$AY$1005="Direkomendasikan",ROW($6:$1005)-5),276)))=1),IFERROR(VLOOKUP(INDEX(checklistPesertaKemenkeu!$N$6:$N$1005,SMALL(IF(checklistPesertaKemenkeu!$AY$6:$AY$1005="Direkomendasikan",ROW($6:$1005)-5),276)),KotaKode,2,0),"-"),"")),"")</f>
        <v/>
      </c>
      <c r="K277" t="str">
        <f t="array" aca="1" ref="K277" ca="1">IFERROR(IF(OR(INDEX(checklistPesertaKemenkeu!$O$6:$O$1005,SMALL(IF(checklistPesertaKemenkeu!$AY$6:$AY$1005="Direkomendasikan",ROW($6:$1005)-5),276))="",INDEX(checklistPesertaKemenkeu!$J$6:$J$1005,SMALL(IF(checklistPesertaKemenkeu!$AY$6:$AY$1005="Direkomendasikan",ROW($6:$1005)-5),276))=""),"",IF(AND(COUNTIF(INDIRECT("K_"&amp;MATCH(INDEX(checklistPesertaKemenkeu!$J$6:$J$1005,SMALL(IF(checklistPesertaKemenkeu!$AY$6:$AY$1005="Direkomendasikan",ROW($6:$1005)-5),276)),BidangList,0)),INDEX(checklistPesertaKemenkeu!$O$6:$O$1005,SMALL(IF(checklistPesertaKemenkeu!$AY$6:$AY$1005="Direkomendasikan",ROW($6:$1005)-5),276)))&gt;0,COUNTIF(INDIRECT("'KERTAS KERJA'!K"&amp;(SMALL(IF(checklistPesertaKemenkeu!$AY$6:$AY$1005="Direkomendasikan",ROW($6:$1005)-5),276)+5)&amp;":O"&amp;(SMALL(IF(checklistPesertaKemenkeu!$AY$6:$AY$1005="Direkomendasikan",ROW($6:$1005)-5),276)+5)),INDEX(checklistPesertaKemenkeu!$O$6:$O$1005,SMALL(IF(checklistPesertaKemenkeu!$AY$6:$AY$1005="Direkomendasikan",ROW($6:$1005)-5),276)))=1),IFERROR(VLOOKUP(INDEX(checklistPesertaKemenkeu!$O$6:$O$1005,SMALL(IF(checklistPesertaKemenkeu!$AY$6:$AY$1005="Direkomendasikan",ROW($6:$1005)-5),276)),KotaKode,2,0),"-"),"")),"")</f>
        <v/>
      </c>
      <c r="L277" t="str">
        <f t="array" aca="1" ref="L277" ca="1">IFERROR(IF(OR(INDEX(checklistPesertaKemenkeu!$P$6:$P$1005,SMALL(IF(checklistPesertaKemenkeu!$AY$6:$AY$1005="Direkomendasikan",ROW($6:$1005)-5),276))="",INDEX(checklistPesertaKemenkeu!$J$6:$J$1005,SMALL(IF(checklistPesertaKemenkeu!$AY$6:$AY$1005="Direkomendasikan",ROW($6:$1005)-5),276))=""),"",IF(AND(COUNTIF(INDIRECT("K_"&amp;MATCH(INDEX(checklistPesertaKemenkeu!$J$6:$J$1005,SMALL(IF(checklistPesertaKemenkeu!$AY$6:$AY$1005="Direkomendasikan",ROW($6:$1005)-5),276)),BidangList,0)),INDEX(checklistPesertaKemenkeu!$P$6:$P$1005,SMALL(IF(checklistPesertaKemenkeu!$AY$6:$AY$1005="Direkomendasikan",ROW($6:$1005)-5),276)))&gt;0,COUNTIF(INDIRECT("'KERTAS KERJA'!K"&amp;(SMALL(IF(checklistPesertaKemenkeu!$AY$6:$AY$1005="Direkomendasikan",ROW($6:$1005)-5),276)+5)&amp;":O"&amp;(SMALL(IF(checklistPesertaKemenkeu!$AY$6:$AY$1005="Direkomendasikan",ROW($6:$1005)-5),276)+5)),INDEX(checklistPesertaKemenkeu!$P$6:$P$1005,SMALL(IF(checklistPesertaKemenkeu!$AY$6:$AY$1005="Direkomendasikan",ROW($6:$1005)-5),276)))=1),IFERROR(VLOOKUP(INDEX(checklistPesertaKemenkeu!$P$6:$P$1005,SMALL(IF(checklistPesertaKemenkeu!$AY$6:$AY$1005="Direkomendasikan",ROW($6:$1005)-5),276)),KotaKode,2,0),"-"),"")),"")</f>
        <v/>
      </c>
    </row>
    <row r="278" spans="1:12" ht="15" customHeight="1" x14ac:dyDescent="0.2">
      <c r="A278" t="str">
        <f t="shared" si="4"/>
        <v/>
      </c>
      <c r="B278" t="str">
        <v/>
      </c>
      <c r="C278" s="40" t="str">
        <f t="array" ref="C278">IFERROR(INDEX(checklistPesertaKemenkeu!$F$6:$F$1005,SMALL(IF(checklistPesertaKemenkeu!$AY$6:$AY$1005="Direkomendasikan",ROW($6:$1005)-5),277)),"")</f>
        <v/>
      </c>
      <c r="D278" t="str">
        <f t="array" ref="D278">IFERROR(INDEX(checklistPesertaKemenkeu!$G$6:$G$1005,SMALL(IF(checklistPesertaKemenkeu!$AY$6:$AY$1005="Direkomendasikan",ROW($6:$1005)-5),277)),"")</f>
        <v/>
      </c>
      <c r="E278" t="str">
        <f t="array" ref="E278">IFERROR(INDEX(checklistPesertaKemenkeu!$H$6:$H$1005,SMALL(IF(checklistPesertaKemenkeu!$AY$6:$AY$1005="Direkomendasikan",ROW($6:$1005)-5),277)),"")</f>
        <v/>
      </c>
      <c r="F278" t="str">
        <f t="array" ref="F278">IFERROR(INDEX(checklistPesertaKemenkeu!$I$6:$I$1005,SMALL(IF(checklistPesertaKemenkeu!$AY$6:$AY$1005="Direkomendasikan",ROW($6:$1005)-5),277)),"")</f>
        <v/>
      </c>
      <c r="G278" t="str">
        <f t="array" ref="G278">IFERROR(INDEX(checklistPesertaKemenkeu!$J$6:$J$1005,SMALL(IF(checklistPesertaKemenkeu!$AY$6:$AY$1005="Direkomendasikan",ROW($6:$1005)-5),277)),"")</f>
        <v/>
      </c>
      <c r="H278" t="str">
        <f t="array" aca="1" ref="H278" ca="1">IFERROR(IF(OR(INDEX(checklistPesertaKemenkeu!$L$6:$L$1005,SMALL(IF(checklistPesertaKemenkeu!$AY$6:$AY$1005="Direkomendasikan",ROW($6:$1005)-5),277))="",INDEX(checklistPesertaKemenkeu!$J$6:$J$1005,SMALL(IF(checklistPesertaKemenkeu!$AY$6:$AY$1005="Direkomendasikan",ROW($6:$1005)-5),277))=""),"",IF(AND(COUNTIF(INDIRECT("K_"&amp;MATCH(INDEX(checklistPesertaKemenkeu!$J$6:$J$1005,SMALL(IF(checklistPesertaKemenkeu!$AY$6:$AY$1005="Direkomendasikan",ROW($6:$1005)-5),277)),BidangList,0)),INDEX(checklistPesertaKemenkeu!$L$6:$L$1005,SMALL(IF(checklistPesertaKemenkeu!$AY$6:$AY$1005="Direkomendasikan",ROW($6:$1005)-5),277)))&gt;0,COUNTIF(INDIRECT("'KERTAS KERJA'!K"&amp;(SMALL(IF(checklistPesertaKemenkeu!$AY$6:$AY$1005="Direkomendasikan",ROW($6:$1005)-5),277)+5)&amp;":O"&amp;(SMALL(IF(checklistPesertaKemenkeu!$AY$6:$AY$1005="Direkomendasikan",ROW($6:$1005)-5),277)+5)),INDEX(checklistPesertaKemenkeu!$L$6:$L$1005,SMALL(IF(checklistPesertaKemenkeu!$AY$6:$AY$1005="Direkomendasikan",ROW($6:$1005)-5),277)))=1),IFERROR(VLOOKUP(INDEX(checklistPesertaKemenkeu!$L$6:$L$1005,SMALL(IF(checklistPesertaKemenkeu!$AY$6:$AY$1005="Direkomendasikan",ROW($6:$1005)-5),277)),KotaKode,2,0),"-"),"")),"")</f>
        <v/>
      </c>
      <c r="I278" t="str">
        <f t="array" aca="1" ref="I278" ca="1">IFERROR(IF(OR(INDEX(checklistPesertaKemenkeu!$M$6:$M$1005,SMALL(IF(checklistPesertaKemenkeu!$AY$6:$AY$1005="Direkomendasikan",ROW($6:$1005)-5),277))="",INDEX(checklistPesertaKemenkeu!$J$6:$J$1005,SMALL(IF(checklistPesertaKemenkeu!$AY$6:$AY$1005="Direkomendasikan",ROW($6:$1005)-5),277))=""),"",IF(AND(COUNTIF(INDIRECT("K_"&amp;MATCH(INDEX(checklistPesertaKemenkeu!$J$6:$J$1005,SMALL(IF(checklistPesertaKemenkeu!$AY$6:$AY$1005="Direkomendasikan",ROW($6:$1005)-5),277)),BidangList,0)),INDEX(checklistPesertaKemenkeu!$M$6:$M$1005,SMALL(IF(checklistPesertaKemenkeu!$AY$6:$AY$1005="Direkomendasikan",ROW($6:$1005)-5),277)))&gt;0,COUNTIF(INDIRECT("'KERTAS KERJA'!K"&amp;(SMALL(IF(checklistPesertaKemenkeu!$AY$6:$AY$1005="Direkomendasikan",ROW($6:$1005)-5),277)+5)&amp;":O"&amp;(SMALL(IF(checklistPesertaKemenkeu!$AY$6:$AY$1005="Direkomendasikan",ROW($6:$1005)-5),277)+5)),INDEX(checklistPesertaKemenkeu!$M$6:$M$1005,SMALL(IF(checklistPesertaKemenkeu!$AY$6:$AY$1005="Direkomendasikan",ROW($6:$1005)-5),277)))=1),IFERROR(VLOOKUP(INDEX(checklistPesertaKemenkeu!$M$6:$M$1005,SMALL(IF(checklistPesertaKemenkeu!$AY$6:$AY$1005="Direkomendasikan",ROW($6:$1005)-5),277)),KotaKode,2,0),"-"),"")),"")</f>
        <v/>
      </c>
      <c r="J278" t="str">
        <f t="array" aca="1" ref="J278" ca="1">IFERROR(IF(OR(INDEX(checklistPesertaKemenkeu!$N$6:$N$1005,SMALL(IF(checklistPesertaKemenkeu!$AY$6:$AY$1005="Direkomendasikan",ROW($6:$1005)-5),277))="",INDEX(checklistPesertaKemenkeu!$J$6:$J$1005,SMALL(IF(checklistPesertaKemenkeu!$AY$6:$AY$1005="Direkomendasikan",ROW($6:$1005)-5),277))=""),"",IF(AND(COUNTIF(INDIRECT("K_"&amp;MATCH(INDEX(checklistPesertaKemenkeu!$J$6:$J$1005,SMALL(IF(checklistPesertaKemenkeu!$AY$6:$AY$1005="Direkomendasikan",ROW($6:$1005)-5),277)),BidangList,0)),INDEX(checklistPesertaKemenkeu!$N$6:$N$1005,SMALL(IF(checklistPesertaKemenkeu!$AY$6:$AY$1005="Direkomendasikan",ROW($6:$1005)-5),277)))&gt;0,COUNTIF(INDIRECT("'KERTAS KERJA'!K"&amp;(SMALL(IF(checklistPesertaKemenkeu!$AY$6:$AY$1005="Direkomendasikan",ROW($6:$1005)-5),277)+5)&amp;":O"&amp;(SMALL(IF(checklistPesertaKemenkeu!$AY$6:$AY$1005="Direkomendasikan",ROW($6:$1005)-5),277)+5)),INDEX(checklistPesertaKemenkeu!$N$6:$N$1005,SMALL(IF(checklistPesertaKemenkeu!$AY$6:$AY$1005="Direkomendasikan",ROW($6:$1005)-5),277)))=1),IFERROR(VLOOKUP(INDEX(checklistPesertaKemenkeu!$N$6:$N$1005,SMALL(IF(checklistPesertaKemenkeu!$AY$6:$AY$1005="Direkomendasikan",ROW($6:$1005)-5),277)),KotaKode,2,0),"-"),"")),"")</f>
        <v/>
      </c>
      <c r="K278" t="str">
        <f t="array" aca="1" ref="K278" ca="1">IFERROR(IF(OR(INDEX(checklistPesertaKemenkeu!$O$6:$O$1005,SMALL(IF(checklistPesertaKemenkeu!$AY$6:$AY$1005="Direkomendasikan",ROW($6:$1005)-5),277))="",INDEX(checklistPesertaKemenkeu!$J$6:$J$1005,SMALL(IF(checklistPesertaKemenkeu!$AY$6:$AY$1005="Direkomendasikan",ROW($6:$1005)-5),277))=""),"",IF(AND(COUNTIF(INDIRECT("K_"&amp;MATCH(INDEX(checklistPesertaKemenkeu!$J$6:$J$1005,SMALL(IF(checklistPesertaKemenkeu!$AY$6:$AY$1005="Direkomendasikan",ROW($6:$1005)-5),277)),BidangList,0)),INDEX(checklistPesertaKemenkeu!$O$6:$O$1005,SMALL(IF(checklistPesertaKemenkeu!$AY$6:$AY$1005="Direkomendasikan",ROW($6:$1005)-5),277)))&gt;0,COUNTIF(INDIRECT("'KERTAS KERJA'!K"&amp;(SMALL(IF(checklistPesertaKemenkeu!$AY$6:$AY$1005="Direkomendasikan",ROW($6:$1005)-5),277)+5)&amp;":O"&amp;(SMALL(IF(checklistPesertaKemenkeu!$AY$6:$AY$1005="Direkomendasikan",ROW($6:$1005)-5),277)+5)),INDEX(checklistPesertaKemenkeu!$O$6:$O$1005,SMALL(IF(checklistPesertaKemenkeu!$AY$6:$AY$1005="Direkomendasikan",ROW($6:$1005)-5),277)))=1),IFERROR(VLOOKUP(INDEX(checklistPesertaKemenkeu!$O$6:$O$1005,SMALL(IF(checklistPesertaKemenkeu!$AY$6:$AY$1005="Direkomendasikan",ROW($6:$1005)-5),277)),KotaKode,2,0),"-"),"")),"")</f>
        <v/>
      </c>
      <c r="L278" t="str">
        <f t="array" aca="1" ref="L278" ca="1">IFERROR(IF(OR(INDEX(checklistPesertaKemenkeu!$P$6:$P$1005,SMALL(IF(checklistPesertaKemenkeu!$AY$6:$AY$1005="Direkomendasikan",ROW($6:$1005)-5),277))="",INDEX(checklistPesertaKemenkeu!$J$6:$J$1005,SMALL(IF(checklistPesertaKemenkeu!$AY$6:$AY$1005="Direkomendasikan",ROW($6:$1005)-5),277))=""),"",IF(AND(COUNTIF(INDIRECT("K_"&amp;MATCH(INDEX(checklistPesertaKemenkeu!$J$6:$J$1005,SMALL(IF(checklistPesertaKemenkeu!$AY$6:$AY$1005="Direkomendasikan",ROW($6:$1005)-5),277)),BidangList,0)),INDEX(checklistPesertaKemenkeu!$P$6:$P$1005,SMALL(IF(checklistPesertaKemenkeu!$AY$6:$AY$1005="Direkomendasikan",ROW($6:$1005)-5),277)))&gt;0,COUNTIF(INDIRECT("'KERTAS KERJA'!K"&amp;(SMALL(IF(checklistPesertaKemenkeu!$AY$6:$AY$1005="Direkomendasikan",ROW($6:$1005)-5),277)+5)&amp;":O"&amp;(SMALL(IF(checklistPesertaKemenkeu!$AY$6:$AY$1005="Direkomendasikan",ROW($6:$1005)-5),277)+5)),INDEX(checklistPesertaKemenkeu!$P$6:$P$1005,SMALL(IF(checklistPesertaKemenkeu!$AY$6:$AY$1005="Direkomendasikan",ROW($6:$1005)-5),277)))=1),IFERROR(VLOOKUP(INDEX(checklistPesertaKemenkeu!$P$6:$P$1005,SMALL(IF(checklistPesertaKemenkeu!$AY$6:$AY$1005="Direkomendasikan",ROW($6:$1005)-5),277)),KotaKode,2,0),"-"),"")),"")</f>
        <v/>
      </c>
    </row>
    <row r="279" spans="1:12" ht="15" customHeight="1" x14ac:dyDescent="0.2">
      <c r="A279" t="str">
        <f t="shared" si="4"/>
        <v/>
      </c>
      <c r="B279" t="str">
        <v/>
      </c>
      <c r="C279" s="40" t="str">
        <f t="array" ref="C279">IFERROR(INDEX(checklistPesertaKemenkeu!$F$6:$F$1005,SMALL(IF(checklistPesertaKemenkeu!$AY$6:$AY$1005="Direkomendasikan",ROW($6:$1005)-5),278)),"")</f>
        <v/>
      </c>
      <c r="D279" t="str">
        <f t="array" ref="D279">IFERROR(INDEX(checklistPesertaKemenkeu!$G$6:$G$1005,SMALL(IF(checklistPesertaKemenkeu!$AY$6:$AY$1005="Direkomendasikan",ROW($6:$1005)-5),278)),"")</f>
        <v/>
      </c>
      <c r="E279" t="str">
        <f t="array" ref="E279">IFERROR(INDEX(checklistPesertaKemenkeu!$H$6:$H$1005,SMALL(IF(checklistPesertaKemenkeu!$AY$6:$AY$1005="Direkomendasikan",ROW($6:$1005)-5),278)),"")</f>
        <v/>
      </c>
      <c r="F279" t="str">
        <f t="array" ref="F279">IFERROR(INDEX(checklistPesertaKemenkeu!$I$6:$I$1005,SMALL(IF(checklistPesertaKemenkeu!$AY$6:$AY$1005="Direkomendasikan",ROW($6:$1005)-5),278)),"")</f>
        <v/>
      </c>
      <c r="G279" t="str">
        <f t="array" ref="G279">IFERROR(INDEX(checklistPesertaKemenkeu!$J$6:$J$1005,SMALL(IF(checklistPesertaKemenkeu!$AY$6:$AY$1005="Direkomendasikan",ROW($6:$1005)-5),278)),"")</f>
        <v/>
      </c>
      <c r="H279" t="str">
        <f t="array" aca="1" ref="H279" ca="1">IFERROR(IF(OR(INDEX(checklistPesertaKemenkeu!$L$6:$L$1005,SMALL(IF(checklistPesertaKemenkeu!$AY$6:$AY$1005="Direkomendasikan",ROW($6:$1005)-5),278))="",INDEX(checklistPesertaKemenkeu!$J$6:$J$1005,SMALL(IF(checklistPesertaKemenkeu!$AY$6:$AY$1005="Direkomendasikan",ROW($6:$1005)-5),278))=""),"",IF(AND(COUNTIF(INDIRECT("K_"&amp;MATCH(INDEX(checklistPesertaKemenkeu!$J$6:$J$1005,SMALL(IF(checklistPesertaKemenkeu!$AY$6:$AY$1005="Direkomendasikan",ROW($6:$1005)-5),278)),BidangList,0)),INDEX(checklistPesertaKemenkeu!$L$6:$L$1005,SMALL(IF(checklistPesertaKemenkeu!$AY$6:$AY$1005="Direkomendasikan",ROW($6:$1005)-5),278)))&gt;0,COUNTIF(INDIRECT("'KERTAS KERJA'!K"&amp;(SMALL(IF(checklistPesertaKemenkeu!$AY$6:$AY$1005="Direkomendasikan",ROW($6:$1005)-5),278)+5)&amp;":O"&amp;(SMALL(IF(checklistPesertaKemenkeu!$AY$6:$AY$1005="Direkomendasikan",ROW($6:$1005)-5),278)+5)),INDEX(checklistPesertaKemenkeu!$L$6:$L$1005,SMALL(IF(checklistPesertaKemenkeu!$AY$6:$AY$1005="Direkomendasikan",ROW($6:$1005)-5),278)))=1),IFERROR(VLOOKUP(INDEX(checklistPesertaKemenkeu!$L$6:$L$1005,SMALL(IF(checklistPesertaKemenkeu!$AY$6:$AY$1005="Direkomendasikan",ROW($6:$1005)-5),278)),KotaKode,2,0),"-"),"")),"")</f>
        <v/>
      </c>
      <c r="I279" t="str">
        <f t="array" aca="1" ref="I279" ca="1">IFERROR(IF(OR(INDEX(checklistPesertaKemenkeu!$M$6:$M$1005,SMALL(IF(checklistPesertaKemenkeu!$AY$6:$AY$1005="Direkomendasikan",ROW($6:$1005)-5),278))="",INDEX(checklistPesertaKemenkeu!$J$6:$J$1005,SMALL(IF(checklistPesertaKemenkeu!$AY$6:$AY$1005="Direkomendasikan",ROW($6:$1005)-5),278))=""),"",IF(AND(COUNTIF(INDIRECT("K_"&amp;MATCH(INDEX(checklistPesertaKemenkeu!$J$6:$J$1005,SMALL(IF(checklistPesertaKemenkeu!$AY$6:$AY$1005="Direkomendasikan",ROW($6:$1005)-5),278)),BidangList,0)),INDEX(checklistPesertaKemenkeu!$M$6:$M$1005,SMALL(IF(checklistPesertaKemenkeu!$AY$6:$AY$1005="Direkomendasikan",ROW($6:$1005)-5),278)))&gt;0,COUNTIF(INDIRECT("'KERTAS KERJA'!K"&amp;(SMALL(IF(checklistPesertaKemenkeu!$AY$6:$AY$1005="Direkomendasikan",ROW($6:$1005)-5),278)+5)&amp;":O"&amp;(SMALL(IF(checklistPesertaKemenkeu!$AY$6:$AY$1005="Direkomendasikan",ROW($6:$1005)-5),278)+5)),INDEX(checklistPesertaKemenkeu!$M$6:$M$1005,SMALL(IF(checklistPesertaKemenkeu!$AY$6:$AY$1005="Direkomendasikan",ROW($6:$1005)-5),278)))=1),IFERROR(VLOOKUP(INDEX(checklistPesertaKemenkeu!$M$6:$M$1005,SMALL(IF(checklistPesertaKemenkeu!$AY$6:$AY$1005="Direkomendasikan",ROW($6:$1005)-5),278)),KotaKode,2,0),"-"),"")),"")</f>
        <v/>
      </c>
      <c r="J279" t="str">
        <f t="array" aca="1" ref="J279" ca="1">IFERROR(IF(OR(INDEX(checklistPesertaKemenkeu!$N$6:$N$1005,SMALL(IF(checklistPesertaKemenkeu!$AY$6:$AY$1005="Direkomendasikan",ROW($6:$1005)-5),278))="",INDEX(checklistPesertaKemenkeu!$J$6:$J$1005,SMALL(IF(checklistPesertaKemenkeu!$AY$6:$AY$1005="Direkomendasikan",ROW($6:$1005)-5),278))=""),"",IF(AND(COUNTIF(INDIRECT("K_"&amp;MATCH(INDEX(checklistPesertaKemenkeu!$J$6:$J$1005,SMALL(IF(checklistPesertaKemenkeu!$AY$6:$AY$1005="Direkomendasikan",ROW($6:$1005)-5),278)),BidangList,0)),INDEX(checklistPesertaKemenkeu!$N$6:$N$1005,SMALL(IF(checklistPesertaKemenkeu!$AY$6:$AY$1005="Direkomendasikan",ROW($6:$1005)-5),278)))&gt;0,COUNTIF(INDIRECT("'KERTAS KERJA'!K"&amp;(SMALL(IF(checklistPesertaKemenkeu!$AY$6:$AY$1005="Direkomendasikan",ROW($6:$1005)-5),278)+5)&amp;":O"&amp;(SMALL(IF(checklistPesertaKemenkeu!$AY$6:$AY$1005="Direkomendasikan",ROW($6:$1005)-5),278)+5)),INDEX(checklistPesertaKemenkeu!$N$6:$N$1005,SMALL(IF(checklistPesertaKemenkeu!$AY$6:$AY$1005="Direkomendasikan",ROW($6:$1005)-5),278)))=1),IFERROR(VLOOKUP(INDEX(checklistPesertaKemenkeu!$N$6:$N$1005,SMALL(IF(checklistPesertaKemenkeu!$AY$6:$AY$1005="Direkomendasikan",ROW($6:$1005)-5),278)),KotaKode,2,0),"-"),"")),"")</f>
        <v/>
      </c>
      <c r="K279" t="str">
        <f t="array" aca="1" ref="K279" ca="1">IFERROR(IF(OR(INDEX(checklistPesertaKemenkeu!$O$6:$O$1005,SMALL(IF(checklistPesertaKemenkeu!$AY$6:$AY$1005="Direkomendasikan",ROW($6:$1005)-5),278))="",INDEX(checklistPesertaKemenkeu!$J$6:$J$1005,SMALL(IF(checklistPesertaKemenkeu!$AY$6:$AY$1005="Direkomendasikan",ROW($6:$1005)-5),278))=""),"",IF(AND(COUNTIF(INDIRECT("K_"&amp;MATCH(INDEX(checklistPesertaKemenkeu!$J$6:$J$1005,SMALL(IF(checklistPesertaKemenkeu!$AY$6:$AY$1005="Direkomendasikan",ROW($6:$1005)-5),278)),BidangList,0)),INDEX(checklistPesertaKemenkeu!$O$6:$O$1005,SMALL(IF(checklistPesertaKemenkeu!$AY$6:$AY$1005="Direkomendasikan",ROW($6:$1005)-5),278)))&gt;0,COUNTIF(INDIRECT("'KERTAS KERJA'!K"&amp;(SMALL(IF(checklistPesertaKemenkeu!$AY$6:$AY$1005="Direkomendasikan",ROW($6:$1005)-5),278)+5)&amp;":O"&amp;(SMALL(IF(checklistPesertaKemenkeu!$AY$6:$AY$1005="Direkomendasikan",ROW($6:$1005)-5),278)+5)),INDEX(checklistPesertaKemenkeu!$O$6:$O$1005,SMALL(IF(checklistPesertaKemenkeu!$AY$6:$AY$1005="Direkomendasikan",ROW($6:$1005)-5),278)))=1),IFERROR(VLOOKUP(INDEX(checklistPesertaKemenkeu!$O$6:$O$1005,SMALL(IF(checklistPesertaKemenkeu!$AY$6:$AY$1005="Direkomendasikan",ROW($6:$1005)-5),278)),KotaKode,2,0),"-"),"")),"")</f>
        <v/>
      </c>
      <c r="L279" t="str">
        <f t="array" aca="1" ref="L279" ca="1">IFERROR(IF(OR(INDEX(checklistPesertaKemenkeu!$P$6:$P$1005,SMALL(IF(checklistPesertaKemenkeu!$AY$6:$AY$1005="Direkomendasikan",ROW($6:$1005)-5),278))="",INDEX(checklistPesertaKemenkeu!$J$6:$J$1005,SMALL(IF(checklistPesertaKemenkeu!$AY$6:$AY$1005="Direkomendasikan",ROW($6:$1005)-5),278))=""),"",IF(AND(COUNTIF(INDIRECT("K_"&amp;MATCH(INDEX(checklistPesertaKemenkeu!$J$6:$J$1005,SMALL(IF(checklistPesertaKemenkeu!$AY$6:$AY$1005="Direkomendasikan",ROW($6:$1005)-5),278)),BidangList,0)),INDEX(checklistPesertaKemenkeu!$P$6:$P$1005,SMALL(IF(checklistPesertaKemenkeu!$AY$6:$AY$1005="Direkomendasikan",ROW($6:$1005)-5),278)))&gt;0,COUNTIF(INDIRECT("'KERTAS KERJA'!K"&amp;(SMALL(IF(checklistPesertaKemenkeu!$AY$6:$AY$1005="Direkomendasikan",ROW($6:$1005)-5),278)+5)&amp;":O"&amp;(SMALL(IF(checklistPesertaKemenkeu!$AY$6:$AY$1005="Direkomendasikan",ROW($6:$1005)-5),278)+5)),INDEX(checklistPesertaKemenkeu!$P$6:$P$1005,SMALL(IF(checklistPesertaKemenkeu!$AY$6:$AY$1005="Direkomendasikan",ROW($6:$1005)-5),278)))=1),IFERROR(VLOOKUP(INDEX(checklistPesertaKemenkeu!$P$6:$P$1005,SMALL(IF(checklistPesertaKemenkeu!$AY$6:$AY$1005="Direkomendasikan",ROW($6:$1005)-5),278)),KotaKode,2,0),"-"),"")),"")</f>
        <v/>
      </c>
    </row>
    <row r="280" spans="1:12" ht="15" customHeight="1" x14ac:dyDescent="0.2">
      <c r="A280" t="str">
        <f t="shared" si="4"/>
        <v/>
      </c>
      <c r="B280" t="str">
        <v/>
      </c>
      <c r="C280" s="40" t="str">
        <f t="array" ref="C280">IFERROR(INDEX(checklistPesertaKemenkeu!$F$6:$F$1005,SMALL(IF(checklistPesertaKemenkeu!$AY$6:$AY$1005="Direkomendasikan",ROW($6:$1005)-5),279)),"")</f>
        <v/>
      </c>
      <c r="D280" t="str">
        <f t="array" ref="D280">IFERROR(INDEX(checklistPesertaKemenkeu!$G$6:$G$1005,SMALL(IF(checklistPesertaKemenkeu!$AY$6:$AY$1005="Direkomendasikan",ROW($6:$1005)-5),279)),"")</f>
        <v/>
      </c>
      <c r="E280" t="str">
        <f t="array" ref="E280">IFERROR(INDEX(checklistPesertaKemenkeu!$H$6:$H$1005,SMALL(IF(checklistPesertaKemenkeu!$AY$6:$AY$1005="Direkomendasikan",ROW($6:$1005)-5),279)),"")</f>
        <v/>
      </c>
      <c r="F280" t="str">
        <f t="array" ref="F280">IFERROR(INDEX(checklistPesertaKemenkeu!$I$6:$I$1005,SMALL(IF(checklistPesertaKemenkeu!$AY$6:$AY$1005="Direkomendasikan",ROW($6:$1005)-5),279)),"")</f>
        <v/>
      </c>
      <c r="G280" t="str">
        <f t="array" ref="G280">IFERROR(INDEX(checklistPesertaKemenkeu!$J$6:$J$1005,SMALL(IF(checklistPesertaKemenkeu!$AY$6:$AY$1005="Direkomendasikan",ROW($6:$1005)-5),279)),"")</f>
        <v/>
      </c>
      <c r="H280" t="str">
        <f t="array" aca="1" ref="H280" ca="1">IFERROR(IF(OR(INDEX(checklistPesertaKemenkeu!$L$6:$L$1005,SMALL(IF(checklistPesertaKemenkeu!$AY$6:$AY$1005="Direkomendasikan",ROW($6:$1005)-5),279))="",INDEX(checklistPesertaKemenkeu!$J$6:$J$1005,SMALL(IF(checklistPesertaKemenkeu!$AY$6:$AY$1005="Direkomendasikan",ROW($6:$1005)-5),279))=""),"",IF(AND(COUNTIF(INDIRECT("K_"&amp;MATCH(INDEX(checklistPesertaKemenkeu!$J$6:$J$1005,SMALL(IF(checklistPesertaKemenkeu!$AY$6:$AY$1005="Direkomendasikan",ROW($6:$1005)-5),279)),BidangList,0)),INDEX(checklistPesertaKemenkeu!$L$6:$L$1005,SMALL(IF(checklistPesertaKemenkeu!$AY$6:$AY$1005="Direkomendasikan",ROW($6:$1005)-5),279)))&gt;0,COUNTIF(INDIRECT("'KERTAS KERJA'!K"&amp;(SMALL(IF(checklistPesertaKemenkeu!$AY$6:$AY$1005="Direkomendasikan",ROW($6:$1005)-5),279)+5)&amp;":O"&amp;(SMALL(IF(checklistPesertaKemenkeu!$AY$6:$AY$1005="Direkomendasikan",ROW($6:$1005)-5),279)+5)),INDEX(checklistPesertaKemenkeu!$L$6:$L$1005,SMALL(IF(checklistPesertaKemenkeu!$AY$6:$AY$1005="Direkomendasikan",ROW($6:$1005)-5),279)))=1),IFERROR(VLOOKUP(INDEX(checklistPesertaKemenkeu!$L$6:$L$1005,SMALL(IF(checklistPesertaKemenkeu!$AY$6:$AY$1005="Direkomendasikan",ROW($6:$1005)-5),279)),KotaKode,2,0),"-"),"")),"")</f>
        <v/>
      </c>
      <c r="I280" t="str">
        <f t="array" aca="1" ref="I280" ca="1">IFERROR(IF(OR(INDEX(checklistPesertaKemenkeu!$M$6:$M$1005,SMALL(IF(checklistPesertaKemenkeu!$AY$6:$AY$1005="Direkomendasikan",ROW($6:$1005)-5),279))="",INDEX(checklistPesertaKemenkeu!$J$6:$J$1005,SMALL(IF(checklistPesertaKemenkeu!$AY$6:$AY$1005="Direkomendasikan",ROW($6:$1005)-5),279))=""),"",IF(AND(COUNTIF(INDIRECT("K_"&amp;MATCH(INDEX(checklistPesertaKemenkeu!$J$6:$J$1005,SMALL(IF(checklistPesertaKemenkeu!$AY$6:$AY$1005="Direkomendasikan",ROW($6:$1005)-5),279)),BidangList,0)),INDEX(checklistPesertaKemenkeu!$M$6:$M$1005,SMALL(IF(checklistPesertaKemenkeu!$AY$6:$AY$1005="Direkomendasikan",ROW($6:$1005)-5),279)))&gt;0,COUNTIF(INDIRECT("'KERTAS KERJA'!K"&amp;(SMALL(IF(checklistPesertaKemenkeu!$AY$6:$AY$1005="Direkomendasikan",ROW($6:$1005)-5),279)+5)&amp;":O"&amp;(SMALL(IF(checklistPesertaKemenkeu!$AY$6:$AY$1005="Direkomendasikan",ROW($6:$1005)-5),279)+5)),INDEX(checklistPesertaKemenkeu!$M$6:$M$1005,SMALL(IF(checklistPesertaKemenkeu!$AY$6:$AY$1005="Direkomendasikan",ROW($6:$1005)-5),279)))=1),IFERROR(VLOOKUP(INDEX(checklistPesertaKemenkeu!$M$6:$M$1005,SMALL(IF(checklistPesertaKemenkeu!$AY$6:$AY$1005="Direkomendasikan",ROW($6:$1005)-5),279)),KotaKode,2,0),"-"),"")),"")</f>
        <v/>
      </c>
      <c r="J280" t="str">
        <f t="array" aca="1" ref="J280" ca="1">IFERROR(IF(OR(INDEX(checklistPesertaKemenkeu!$N$6:$N$1005,SMALL(IF(checklistPesertaKemenkeu!$AY$6:$AY$1005="Direkomendasikan",ROW($6:$1005)-5),279))="",INDEX(checklistPesertaKemenkeu!$J$6:$J$1005,SMALL(IF(checklistPesertaKemenkeu!$AY$6:$AY$1005="Direkomendasikan",ROW($6:$1005)-5),279))=""),"",IF(AND(COUNTIF(INDIRECT("K_"&amp;MATCH(INDEX(checklistPesertaKemenkeu!$J$6:$J$1005,SMALL(IF(checklistPesertaKemenkeu!$AY$6:$AY$1005="Direkomendasikan",ROW($6:$1005)-5),279)),BidangList,0)),INDEX(checklistPesertaKemenkeu!$N$6:$N$1005,SMALL(IF(checklistPesertaKemenkeu!$AY$6:$AY$1005="Direkomendasikan",ROW($6:$1005)-5),279)))&gt;0,COUNTIF(INDIRECT("'KERTAS KERJA'!K"&amp;(SMALL(IF(checklistPesertaKemenkeu!$AY$6:$AY$1005="Direkomendasikan",ROW($6:$1005)-5),279)+5)&amp;":O"&amp;(SMALL(IF(checklistPesertaKemenkeu!$AY$6:$AY$1005="Direkomendasikan",ROW($6:$1005)-5),279)+5)),INDEX(checklistPesertaKemenkeu!$N$6:$N$1005,SMALL(IF(checklistPesertaKemenkeu!$AY$6:$AY$1005="Direkomendasikan",ROW($6:$1005)-5),279)))=1),IFERROR(VLOOKUP(INDEX(checklistPesertaKemenkeu!$N$6:$N$1005,SMALL(IF(checklistPesertaKemenkeu!$AY$6:$AY$1005="Direkomendasikan",ROW($6:$1005)-5),279)),KotaKode,2,0),"-"),"")),"")</f>
        <v/>
      </c>
      <c r="K280" t="str">
        <f t="array" aca="1" ref="K280" ca="1">IFERROR(IF(OR(INDEX(checklistPesertaKemenkeu!$O$6:$O$1005,SMALL(IF(checklistPesertaKemenkeu!$AY$6:$AY$1005="Direkomendasikan",ROW($6:$1005)-5),279))="",INDEX(checklistPesertaKemenkeu!$J$6:$J$1005,SMALL(IF(checklistPesertaKemenkeu!$AY$6:$AY$1005="Direkomendasikan",ROW($6:$1005)-5),279))=""),"",IF(AND(COUNTIF(INDIRECT("K_"&amp;MATCH(INDEX(checklistPesertaKemenkeu!$J$6:$J$1005,SMALL(IF(checklistPesertaKemenkeu!$AY$6:$AY$1005="Direkomendasikan",ROW($6:$1005)-5),279)),BidangList,0)),INDEX(checklistPesertaKemenkeu!$O$6:$O$1005,SMALL(IF(checklistPesertaKemenkeu!$AY$6:$AY$1005="Direkomendasikan",ROW($6:$1005)-5),279)))&gt;0,COUNTIF(INDIRECT("'KERTAS KERJA'!K"&amp;(SMALL(IF(checklistPesertaKemenkeu!$AY$6:$AY$1005="Direkomendasikan",ROW($6:$1005)-5),279)+5)&amp;":O"&amp;(SMALL(IF(checklistPesertaKemenkeu!$AY$6:$AY$1005="Direkomendasikan",ROW($6:$1005)-5),279)+5)),INDEX(checklistPesertaKemenkeu!$O$6:$O$1005,SMALL(IF(checklistPesertaKemenkeu!$AY$6:$AY$1005="Direkomendasikan",ROW($6:$1005)-5),279)))=1),IFERROR(VLOOKUP(INDEX(checklistPesertaKemenkeu!$O$6:$O$1005,SMALL(IF(checklistPesertaKemenkeu!$AY$6:$AY$1005="Direkomendasikan",ROW($6:$1005)-5),279)),KotaKode,2,0),"-"),"")),"")</f>
        <v/>
      </c>
      <c r="L280" t="str">
        <f t="array" aca="1" ref="L280" ca="1">IFERROR(IF(OR(INDEX(checklistPesertaKemenkeu!$P$6:$P$1005,SMALL(IF(checklistPesertaKemenkeu!$AY$6:$AY$1005="Direkomendasikan",ROW($6:$1005)-5),279))="",INDEX(checklistPesertaKemenkeu!$J$6:$J$1005,SMALL(IF(checklistPesertaKemenkeu!$AY$6:$AY$1005="Direkomendasikan",ROW($6:$1005)-5),279))=""),"",IF(AND(COUNTIF(INDIRECT("K_"&amp;MATCH(INDEX(checklistPesertaKemenkeu!$J$6:$J$1005,SMALL(IF(checklistPesertaKemenkeu!$AY$6:$AY$1005="Direkomendasikan",ROW($6:$1005)-5),279)),BidangList,0)),INDEX(checklistPesertaKemenkeu!$P$6:$P$1005,SMALL(IF(checklistPesertaKemenkeu!$AY$6:$AY$1005="Direkomendasikan",ROW($6:$1005)-5),279)))&gt;0,COUNTIF(INDIRECT("'KERTAS KERJA'!K"&amp;(SMALL(IF(checklistPesertaKemenkeu!$AY$6:$AY$1005="Direkomendasikan",ROW($6:$1005)-5),279)+5)&amp;":O"&amp;(SMALL(IF(checklistPesertaKemenkeu!$AY$6:$AY$1005="Direkomendasikan",ROW($6:$1005)-5),279)+5)),INDEX(checklistPesertaKemenkeu!$P$6:$P$1005,SMALL(IF(checklistPesertaKemenkeu!$AY$6:$AY$1005="Direkomendasikan",ROW($6:$1005)-5),279)))=1),IFERROR(VLOOKUP(INDEX(checklistPesertaKemenkeu!$P$6:$P$1005,SMALL(IF(checklistPesertaKemenkeu!$AY$6:$AY$1005="Direkomendasikan",ROW($6:$1005)-5),279)),KotaKode,2,0),"-"),"")),"")</f>
        <v/>
      </c>
    </row>
    <row r="281" spans="1:12" ht="15" customHeight="1" x14ac:dyDescent="0.2">
      <c r="A281" t="str">
        <f t="shared" si="4"/>
        <v/>
      </c>
      <c r="B281" t="str">
        <v/>
      </c>
      <c r="C281" s="40" t="str">
        <f t="array" ref="C281">IFERROR(INDEX(checklistPesertaKemenkeu!$F$6:$F$1005,SMALL(IF(checklistPesertaKemenkeu!$AY$6:$AY$1005="Direkomendasikan",ROW($6:$1005)-5),280)),"")</f>
        <v/>
      </c>
      <c r="D281" t="str">
        <f t="array" ref="D281">IFERROR(INDEX(checklistPesertaKemenkeu!$G$6:$G$1005,SMALL(IF(checklistPesertaKemenkeu!$AY$6:$AY$1005="Direkomendasikan",ROW($6:$1005)-5),280)),"")</f>
        <v/>
      </c>
      <c r="E281" t="str">
        <f t="array" ref="E281">IFERROR(INDEX(checklistPesertaKemenkeu!$H$6:$H$1005,SMALL(IF(checklistPesertaKemenkeu!$AY$6:$AY$1005="Direkomendasikan",ROW($6:$1005)-5),280)),"")</f>
        <v/>
      </c>
      <c r="F281" t="str">
        <f t="array" ref="F281">IFERROR(INDEX(checklistPesertaKemenkeu!$I$6:$I$1005,SMALL(IF(checklistPesertaKemenkeu!$AY$6:$AY$1005="Direkomendasikan",ROW($6:$1005)-5),280)),"")</f>
        <v/>
      </c>
      <c r="G281" t="str">
        <f t="array" ref="G281">IFERROR(INDEX(checklistPesertaKemenkeu!$J$6:$J$1005,SMALL(IF(checklistPesertaKemenkeu!$AY$6:$AY$1005="Direkomendasikan",ROW($6:$1005)-5),280)),"")</f>
        <v/>
      </c>
      <c r="H281" t="str">
        <f t="array" aca="1" ref="H281" ca="1">IFERROR(IF(OR(INDEX(checklistPesertaKemenkeu!$L$6:$L$1005,SMALL(IF(checklistPesertaKemenkeu!$AY$6:$AY$1005="Direkomendasikan",ROW($6:$1005)-5),280))="",INDEX(checklistPesertaKemenkeu!$J$6:$J$1005,SMALL(IF(checklistPesertaKemenkeu!$AY$6:$AY$1005="Direkomendasikan",ROW($6:$1005)-5),280))=""),"",IF(AND(COUNTIF(INDIRECT("K_"&amp;MATCH(INDEX(checklistPesertaKemenkeu!$J$6:$J$1005,SMALL(IF(checklistPesertaKemenkeu!$AY$6:$AY$1005="Direkomendasikan",ROW($6:$1005)-5),280)),BidangList,0)),INDEX(checklistPesertaKemenkeu!$L$6:$L$1005,SMALL(IF(checklistPesertaKemenkeu!$AY$6:$AY$1005="Direkomendasikan",ROW($6:$1005)-5),280)))&gt;0,COUNTIF(INDIRECT("'KERTAS KERJA'!K"&amp;(SMALL(IF(checklistPesertaKemenkeu!$AY$6:$AY$1005="Direkomendasikan",ROW($6:$1005)-5),280)+5)&amp;":O"&amp;(SMALL(IF(checklistPesertaKemenkeu!$AY$6:$AY$1005="Direkomendasikan",ROW($6:$1005)-5),280)+5)),INDEX(checklistPesertaKemenkeu!$L$6:$L$1005,SMALL(IF(checklistPesertaKemenkeu!$AY$6:$AY$1005="Direkomendasikan",ROW($6:$1005)-5),280)))=1),IFERROR(VLOOKUP(INDEX(checklistPesertaKemenkeu!$L$6:$L$1005,SMALL(IF(checklistPesertaKemenkeu!$AY$6:$AY$1005="Direkomendasikan",ROW($6:$1005)-5),280)),KotaKode,2,0),"-"),"")),"")</f>
        <v/>
      </c>
      <c r="I281" t="str">
        <f t="array" aca="1" ref="I281" ca="1">IFERROR(IF(OR(INDEX(checklistPesertaKemenkeu!$M$6:$M$1005,SMALL(IF(checklistPesertaKemenkeu!$AY$6:$AY$1005="Direkomendasikan",ROW($6:$1005)-5),280))="",INDEX(checklistPesertaKemenkeu!$J$6:$J$1005,SMALL(IF(checklistPesertaKemenkeu!$AY$6:$AY$1005="Direkomendasikan",ROW($6:$1005)-5),280))=""),"",IF(AND(COUNTIF(INDIRECT("K_"&amp;MATCH(INDEX(checklistPesertaKemenkeu!$J$6:$J$1005,SMALL(IF(checklistPesertaKemenkeu!$AY$6:$AY$1005="Direkomendasikan",ROW($6:$1005)-5),280)),BidangList,0)),INDEX(checklistPesertaKemenkeu!$M$6:$M$1005,SMALL(IF(checklistPesertaKemenkeu!$AY$6:$AY$1005="Direkomendasikan",ROW($6:$1005)-5),280)))&gt;0,COUNTIF(INDIRECT("'KERTAS KERJA'!K"&amp;(SMALL(IF(checklistPesertaKemenkeu!$AY$6:$AY$1005="Direkomendasikan",ROW($6:$1005)-5),280)+5)&amp;":O"&amp;(SMALL(IF(checklistPesertaKemenkeu!$AY$6:$AY$1005="Direkomendasikan",ROW($6:$1005)-5),280)+5)),INDEX(checklistPesertaKemenkeu!$M$6:$M$1005,SMALL(IF(checklistPesertaKemenkeu!$AY$6:$AY$1005="Direkomendasikan",ROW($6:$1005)-5),280)))=1),IFERROR(VLOOKUP(INDEX(checklistPesertaKemenkeu!$M$6:$M$1005,SMALL(IF(checklistPesertaKemenkeu!$AY$6:$AY$1005="Direkomendasikan",ROW($6:$1005)-5),280)),KotaKode,2,0),"-"),"")),"")</f>
        <v/>
      </c>
      <c r="J281" t="str">
        <f t="array" aca="1" ref="J281" ca="1">IFERROR(IF(OR(INDEX(checklistPesertaKemenkeu!$N$6:$N$1005,SMALL(IF(checklistPesertaKemenkeu!$AY$6:$AY$1005="Direkomendasikan",ROW($6:$1005)-5),280))="",INDEX(checklistPesertaKemenkeu!$J$6:$J$1005,SMALL(IF(checklistPesertaKemenkeu!$AY$6:$AY$1005="Direkomendasikan",ROW($6:$1005)-5),280))=""),"",IF(AND(COUNTIF(INDIRECT("K_"&amp;MATCH(INDEX(checklistPesertaKemenkeu!$J$6:$J$1005,SMALL(IF(checklistPesertaKemenkeu!$AY$6:$AY$1005="Direkomendasikan",ROW($6:$1005)-5),280)),BidangList,0)),INDEX(checklistPesertaKemenkeu!$N$6:$N$1005,SMALL(IF(checklistPesertaKemenkeu!$AY$6:$AY$1005="Direkomendasikan",ROW($6:$1005)-5),280)))&gt;0,COUNTIF(INDIRECT("'KERTAS KERJA'!K"&amp;(SMALL(IF(checklistPesertaKemenkeu!$AY$6:$AY$1005="Direkomendasikan",ROW($6:$1005)-5),280)+5)&amp;":O"&amp;(SMALL(IF(checklistPesertaKemenkeu!$AY$6:$AY$1005="Direkomendasikan",ROW($6:$1005)-5),280)+5)),INDEX(checklistPesertaKemenkeu!$N$6:$N$1005,SMALL(IF(checklistPesertaKemenkeu!$AY$6:$AY$1005="Direkomendasikan",ROW($6:$1005)-5),280)))=1),IFERROR(VLOOKUP(INDEX(checklistPesertaKemenkeu!$N$6:$N$1005,SMALL(IF(checklistPesertaKemenkeu!$AY$6:$AY$1005="Direkomendasikan",ROW($6:$1005)-5),280)),KotaKode,2,0),"-"),"")),"")</f>
        <v/>
      </c>
      <c r="K281" t="str">
        <f t="array" aca="1" ref="K281" ca="1">IFERROR(IF(OR(INDEX(checklistPesertaKemenkeu!$O$6:$O$1005,SMALL(IF(checklistPesertaKemenkeu!$AY$6:$AY$1005="Direkomendasikan",ROW($6:$1005)-5),280))="",INDEX(checklistPesertaKemenkeu!$J$6:$J$1005,SMALL(IF(checklistPesertaKemenkeu!$AY$6:$AY$1005="Direkomendasikan",ROW($6:$1005)-5),280))=""),"",IF(AND(COUNTIF(INDIRECT("K_"&amp;MATCH(INDEX(checklistPesertaKemenkeu!$J$6:$J$1005,SMALL(IF(checklistPesertaKemenkeu!$AY$6:$AY$1005="Direkomendasikan",ROW($6:$1005)-5),280)),BidangList,0)),INDEX(checklistPesertaKemenkeu!$O$6:$O$1005,SMALL(IF(checklistPesertaKemenkeu!$AY$6:$AY$1005="Direkomendasikan",ROW($6:$1005)-5),280)))&gt;0,COUNTIF(INDIRECT("'KERTAS KERJA'!K"&amp;(SMALL(IF(checklistPesertaKemenkeu!$AY$6:$AY$1005="Direkomendasikan",ROW($6:$1005)-5),280)+5)&amp;":O"&amp;(SMALL(IF(checklistPesertaKemenkeu!$AY$6:$AY$1005="Direkomendasikan",ROW($6:$1005)-5),280)+5)),INDEX(checklistPesertaKemenkeu!$O$6:$O$1005,SMALL(IF(checklistPesertaKemenkeu!$AY$6:$AY$1005="Direkomendasikan",ROW($6:$1005)-5),280)))=1),IFERROR(VLOOKUP(INDEX(checklistPesertaKemenkeu!$O$6:$O$1005,SMALL(IF(checklistPesertaKemenkeu!$AY$6:$AY$1005="Direkomendasikan",ROW($6:$1005)-5),280)),KotaKode,2,0),"-"),"")),"")</f>
        <v/>
      </c>
      <c r="L281" t="str">
        <f t="array" aca="1" ref="L281" ca="1">IFERROR(IF(OR(INDEX(checklistPesertaKemenkeu!$P$6:$P$1005,SMALL(IF(checklistPesertaKemenkeu!$AY$6:$AY$1005="Direkomendasikan",ROW($6:$1005)-5),280))="",INDEX(checklistPesertaKemenkeu!$J$6:$J$1005,SMALL(IF(checklistPesertaKemenkeu!$AY$6:$AY$1005="Direkomendasikan",ROW($6:$1005)-5),280))=""),"",IF(AND(COUNTIF(INDIRECT("K_"&amp;MATCH(INDEX(checklistPesertaKemenkeu!$J$6:$J$1005,SMALL(IF(checklistPesertaKemenkeu!$AY$6:$AY$1005="Direkomendasikan",ROW($6:$1005)-5),280)),BidangList,0)),INDEX(checklistPesertaKemenkeu!$P$6:$P$1005,SMALL(IF(checklistPesertaKemenkeu!$AY$6:$AY$1005="Direkomendasikan",ROW($6:$1005)-5),280)))&gt;0,COUNTIF(INDIRECT("'KERTAS KERJA'!K"&amp;(SMALL(IF(checklistPesertaKemenkeu!$AY$6:$AY$1005="Direkomendasikan",ROW($6:$1005)-5),280)+5)&amp;":O"&amp;(SMALL(IF(checklistPesertaKemenkeu!$AY$6:$AY$1005="Direkomendasikan",ROW($6:$1005)-5),280)+5)),INDEX(checklistPesertaKemenkeu!$P$6:$P$1005,SMALL(IF(checklistPesertaKemenkeu!$AY$6:$AY$1005="Direkomendasikan",ROW($6:$1005)-5),280)))=1),IFERROR(VLOOKUP(INDEX(checklistPesertaKemenkeu!$P$6:$P$1005,SMALL(IF(checklistPesertaKemenkeu!$AY$6:$AY$1005="Direkomendasikan",ROW($6:$1005)-5),280)),KotaKode,2,0),"-"),"")),"")</f>
        <v/>
      </c>
    </row>
    <row r="282" spans="1:12" ht="15" customHeight="1" x14ac:dyDescent="0.2">
      <c r="A282" t="str">
        <f t="shared" si="4"/>
        <v/>
      </c>
      <c r="B282" t="str">
        <v/>
      </c>
      <c r="C282" s="40" t="str">
        <f t="array" ref="C282">IFERROR(INDEX(checklistPesertaKemenkeu!$F$6:$F$1005,SMALL(IF(checklistPesertaKemenkeu!$AY$6:$AY$1005="Direkomendasikan",ROW($6:$1005)-5),281)),"")</f>
        <v/>
      </c>
      <c r="D282" t="str">
        <f t="array" ref="D282">IFERROR(INDEX(checklistPesertaKemenkeu!$G$6:$G$1005,SMALL(IF(checklistPesertaKemenkeu!$AY$6:$AY$1005="Direkomendasikan",ROW($6:$1005)-5),281)),"")</f>
        <v/>
      </c>
      <c r="E282" t="str">
        <f t="array" ref="E282">IFERROR(INDEX(checklistPesertaKemenkeu!$H$6:$H$1005,SMALL(IF(checklistPesertaKemenkeu!$AY$6:$AY$1005="Direkomendasikan",ROW($6:$1005)-5),281)),"")</f>
        <v/>
      </c>
      <c r="F282" t="str">
        <f t="array" ref="F282">IFERROR(INDEX(checklistPesertaKemenkeu!$I$6:$I$1005,SMALL(IF(checklistPesertaKemenkeu!$AY$6:$AY$1005="Direkomendasikan",ROW($6:$1005)-5),281)),"")</f>
        <v/>
      </c>
      <c r="G282" t="str">
        <f t="array" ref="G282">IFERROR(INDEX(checklistPesertaKemenkeu!$J$6:$J$1005,SMALL(IF(checklistPesertaKemenkeu!$AY$6:$AY$1005="Direkomendasikan",ROW($6:$1005)-5),281)),"")</f>
        <v/>
      </c>
      <c r="H282" t="str">
        <f t="array" aca="1" ref="H282" ca="1">IFERROR(IF(OR(INDEX(checklistPesertaKemenkeu!$L$6:$L$1005,SMALL(IF(checklistPesertaKemenkeu!$AY$6:$AY$1005="Direkomendasikan",ROW($6:$1005)-5),281))="",INDEX(checklistPesertaKemenkeu!$J$6:$J$1005,SMALL(IF(checklistPesertaKemenkeu!$AY$6:$AY$1005="Direkomendasikan",ROW($6:$1005)-5),281))=""),"",IF(AND(COUNTIF(INDIRECT("K_"&amp;MATCH(INDEX(checklistPesertaKemenkeu!$J$6:$J$1005,SMALL(IF(checklistPesertaKemenkeu!$AY$6:$AY$1005="Direkomendasikan",ROW($6:$1005)-5),281)),BidangList,0)),INDEX(checklistPesertaKemenkeu!$L$6:$L$1005,SMALL(IF(checklistPesertaKemenkeu!$AY$6:$AY$1005="Direkomendasikan",ROW($6:$1005)-5),281)))&gt;0,COUNTIF(INDIRECT("'KERTAS KERJA'!K"&amp;(SMALL(IF(checklistPesertaKemenkeu!$AY$6:$AY$1005="Direkomendasikan",ROW($6:$1005)-5),281)+5)&amp;":O"&amp;(SMALL(IF(checklistPesertaKemenkeu!$AY$6:$AY$1005="Direkomendasikan",ROW($6:$1005)-5),281)+5)),INDEX(checklistPesertaKemenkeu!$L$6:$L$1005,SMALL(IF(checklistPesertaKemenkeu!$AY$6:$AY$1005="Direkomendasikan",ROW($6:$1005)-5),281)))=1),IFERROR(VLOOKUP(INDEX(checklistPesertaKemenkeu!$L$6:$L$1005,SMALL(IF(checklistPesertaKemenkeu!$AY$6:$AY$1005="Direkomendasikan",ROW($6:$1005)-5),281)),KotaKode,2,0),"-"),"")),"")</f>
        <v/>
      </c>
      <c r="I282" t="str">
        <f t="array" aca="1" ref="I282" ca="1">IFERROR(IF(OR(INDEX(checklistPesertaKemenkeu!$M$6:$M$1005,SMALL(IF(checklistPesertaKemenkeu!$AY$6:$AY$1005="Direkomendasikan",ROW($6:$1005)-5),281))="",INDEX(checklistPesertaKemenkeu!$J$6:$J$1005,SMALL(IF(checklistPesertaKemenkeu!$AY$6:$AY$1005="Direkomendasikan",ROW($6:$1005)-5),281))=""),"",IF(AND(COUNTIF(INDIRECT("K_"&amp;MATCH(INDEX(checklistPesertaKemenkeu!$J$6:$J$1005,SMALL(IF(checklistPesertaKemenkeu!$AY$6:$AY$1005="Direkomendasikan",ROW($6:$1005)-5),281)),BidangList,0)),INDEX(checklistPesertaKemenkeu!$M$6:$M$1005,SMALL(IF(checklistPesertaKemenkeu!$AY$6:$AY$1005="Direkomendasikan",ROW($6:$1005)-5),281)))&gt;0,COUNTIF(INDIRECT("'KERTAS KERJA'!K"&amp;(SMALL(IF(checklistPesertaKemenkeu!$AY$6:$AY$1005="Direkomendasikan",ROW($6:$1005)-5),281)+5)&amp;":O"&amp;(SMALL(IF(checklistPesertaKemenkeu!$AY$6:$AY$1005="Direkomendasikan",ROW($6:$1005)-5),281)+5)),INDEX(checklistPesertaKemenkeu!$M$6:$M$1005,SMALL(IF(checklistPesertaKemenkeu!$AY$6:$AY$1005="Direkomendasikan",ROW($6:$1005)-5),281)))=1),IFERROR(VLOOKUP(INDEX(checklistPesertaKemenkeu!$M$6:$M$1005,SMALL(IF(checklistPesertaKemenkeu!$AY$6:$AY$1005="Direkomendasikan",ROW($6:$1005)-5),281)),KotaKode,2,0),"-"),"")),"")</f>
        <v/>
      </c>
      <c r="J282" t="str">
        <f t="array" aca="1" ref="J282" ca="1">IFERROR(IF(OR(INDEX(checklistPesertaKemenkeu!$N$6:$N$1005,SMALL(IF(checklistPesertaKemenkeu!$AY$6:$AY$1005="Direkomendasikan",ROW($6:$1005)-5),281))="",INDEX(checklistPesertaKemenkeu!$J$6:$J$1005,SMALL(IF(checklistPesertaKemenkeu!$AY$6:$AY$1005="Direkomendasikan",ROW($6:$1005)-5),281))=""),"",IF(AND(COUNTIF(INDIRECT("K_"&amp;MATCH(INDEX(checklistPesertaKemenkeu!$J$6:$J$1005,SMALL(IF(checklistPesertaKemenkeu!$AY$6:$AY$1005="Direkomendasikan",ROW($6:$1005)-5),281)),BidangList,0)),INDEX(checklistPesertaKemenkeu!$N$6:$N$1005,SMALL(IF(checklistPesertaKemenkeu!$AY$6:$AY$1005="Direkomendasikan",ROW($6:$1005)-5),281)))&gt;0,COUNTIF(INDIRECT("'KERTAS KERJA'!K"&amp;(SMALL(IF(checklistPesertaKemenkeu!$AY$6:$AY$1005="Direkomendasikan",ROW($6:$1005)-5),281)+5)&amp;":O"&amp;(SMALL(IF(checklistPesertaKemenkeu!$AY$6:$AY$1005="Direkomendasikan",ROW($6:$1005)-5),281)+5)),INDEX(checklistPesertaKemenkeu!$N$6:$N$1005,SMALL(IF(checklistPesertaKemenkeu!$AY$6:$AY$1005="Direkomendasikan",ROW($6:$1005)-5),281)))=1),IFERROR(VLOOKUP(INDEX(checklistPesertaKemenkeu!$N$6:$N$1005,SMALL(IF(checklistPesertaKemenkeu!$AY$6:$AY$1005="Direkomendasikan",ROW($6:$1005)-5),281)),KotaKode,2,0),"-"),"")),"")</f>
        <v/>
      </c>
      <c r="K282" t="str">
        <f t="array" aca="1" ref="K282" ca="1">IFERROR(IF(OR(INDEX(checklistPesertaKemenkeu!$O$6:$O$1005,SMALL(IF(checklistPesertaKemenkeu!$AY$6:$AY$1005="Direkomendasikan",ROW($6:$1005)-5),281))="",INDEX(checklistPesertaKemenkeu!$J$6:$J$1005,SMALL(IF(checklistPesertaKemenkeu!$AY$6:$AY$1005="Direkomendasikan",ROW($6:$1005)-5),281))=""),"",IF(AND(COUNTIF(INDIRECT("K_"&amp;MATCH(INDEX(checklistPesertaKemenkeu!$J$6:$J$1005,SMALL(IF(checklistPesertaKemenkeu!$AY$6:$AY$1005="Direkomendasikan",ROW($6:$1005)-5),281)),BidangList,0)),INDEX(checklistPesertaKemenkeu!$O$6:$O$1005,SMALL(IF(checklistPesertaKemenkeu!$AY$6:$AY$1005="Direkomendasikan",ROW($6:$1005)-5),281)))&gt;0,COUNTIF(INDIRECT("'KERTAS KERJA'!K"&amp;(SMALL(IF(checklistPesertaKemenkeu!$AY$6:$AY$1005="Direkomendasikan",ROW($6:$1005)-5),281)+5)&amp;":O"&amp;(SMALL(IF(checklistPesertaKemenkeu!$AY$6:$AY$1005="Direkomendasikan",ROW($6:$1005)-5),281)+5)),INDEX(checklistPesertaKemenkeu!$O$6:$O$1005,SMALL(IF(checklistPesertaKemenkeu!$AY$6:$AY$1005="Direkomendasikan",ROW($6:$1005)-5),281)))=1),IFERROR(VLOOKUP(INDEX(checklistPesertaKemenkeu!$O$6:$O$1005,SMALL(IF(checklistPesertaKemenkeu!$AY$6:$AY$1005="Direkomendasikan",ROW($6:$1005)-5),281)),KotaKode,2,0),"-"),"")),"")</f>
        <v/>
      </c>
      <c r="L282" t="str">
        <f t="array" aca="1" ref="L282" ca="1">IFERROR(IF(OR(INDEX(checklistPesertaKemenkeu!$P$6:$P$1005,SMALL(IF(checklistPesertaKemenkeu!$AY$6:$AY$1005="Direkomendasikan",ROW($6:$1005)-5),281))="",INDEX(checklistPesertaKemenkeu!$J$6:$J$1005,SMALL(IF(checklistPesertaKemenkeu!$AY$6:$AY$1005="Direkomendasikan",ROW($6:$1005)-5),281))=""),"",IF(AND(COUNTIF(INDIRECT("K_"&amp;MATCH(INDEX(checklistPesertaKemenkeu!$J$6:$J$1005,SMALL(IF(checklistPesertaKemenkeu!$AY$6:$AY$1005="Direkomendasikan",ROW($6:$1005)-5),281)),BidangList,0)),INDEX(checklistPesertaKemenkeu!$P$6:$P$1005,SMALL(IF(checklistPesertaKemenkeu!$AY$6:$AY$1005="Direkomendasikan",ROW($6:$1005)-5),281)))&gt;0,COUNTIF(INDIRECT("'KERTAS KERJA'!K"&amp;(SMALL(IF(checklistPesertaKemenkeu!$AY$6:$AY$1005="Direkomendasikan",ROW($6:$1005)-5),281)+5)&amp;":O"&amp;(SMALL(IF(checklistPesertaKemenkeu!$AY$6:$AY$1005="Direkomendasikan",ROW($6:$1005)-5),281)+5)),INDEX(checklistPesertaKemenkeu!$P$6:$P$1005,SMALL(IF(checklistPesertaKemenkeu!$AY$6:$AY$1005="Direkomendasikan",ROW($6:$1005)-5),281)))=1),IFERROR(VLOOKUP(INDEX(checklistPesertaKemenkeu!$P$6:$P$1005,SMALL(IF(checklistPesertaKemenkeu!$AY$6:$AY$1005="Direkomendasikan",ROW($6:$1005)-5),281)),KotaKode,2,0),"-"),"")),"")</f>
        <v/>
      </c>
    </row>
    <row r="283" spans="1:12" ht="15" customHeight="1" x14ac:dyDescent="0.2">
      <c r="A283" t="str">
        <f t="shared" si="4"/>
        <v/>
      </c>
      <c r="B283" t="str">
        <v/>
      </c>
      <c r="C283" s="40" t="str">
        <f t="array" ref="C283">IFERROR(INDEX(checklistPesertaKemenkeu!$F$6:$F$1005,SMALL(IF(checklistPesertaKemenkeu!$AY$6:$AY$1005="Direkomendasikan",ROW($6:$1005)-5),282)),"")</f>
        <v/>
      </c>
      <c r="D283" t="str">
        <f t="array" ref="D283">IFERROR(INDEX(checklistPesertaKemenkeu!$G$6:$G$1005,SMALL(IF(checklistPesertaKemenkeu!$AY$6:$AY$1005="Direkomendasikan",ROW($6:$1005)-5),282)),"")</f>
        <v/>
      </c>
      <c r="E283" t="str">
        <f t="array" ref="E283">IFERROR(INDEX(checklistPesertaKemenkeu!$H$6:$H$1005,SMALL(IF(checklistPesertaKemenkeu!$AY$6:$AY$1005="Direkomendasikan",ROW($6:$1005)-5),282)),"")</f>
        <v/>
      </c>
      <c r="F283" t="str">
        <f t="array" ref="F283">IFERROR(INDEX(checklistPesertaKemenkeu!$I$6:$I$1005,SMALL(IF(checklistPesertaKemenkeu!$AY$6:$AY$1005="Direkomendasikan",ROW($6:$1005)-5),282)),"")</f>
        <v/>
      </c>
      <c r="G283" t="str">
        <f t="array" ref="G283">IFERROR(INDEX(checklistPesertaKemenkeu!$J$6:$J$1005,SMALL(IF(checklistPesertaKemenkeu!$AY$6:$AY$1005="Direkomendasikan",ROW($6:$1005)-5),282)),"")</f>
        <v/>
      </c>
      <c r="H283" t="str">
        <f t="array" aca="1" ref="H283" ca="1">IFERROR(IF(OR(INDEX(checklistPesertaKemenkeu!$L$6:$L$1005,SMALL(IF(checklistPesertaKemenkeu!$AY$6:$AY$1005="Direkomendasikan",ROW($6:$1005)-5),282))="",INDEX(checklistPesertaKemenkeu!$J$6:$J$1005,SMALL(IF(checklistPesertaKemenkeu!$AY$6:$AY$1005="Direkomendasikan",ROW($6:$1005)-5),282))=""),"",IF(AND(COUNTIF(INDIRECT("K_"&amp;MATCH(INDEX(checklistPesertaKemenkeu!$J$6:$J$1005,SMALL(IF(checklistPesertaKemenkeu!$AY$6:$AY$1005="Direkomendasikan",ROW($6:$1005)-5),282)),BidangList,0)),INDEX(checklistPesertaKemenkeu!$L$6:$L$1005,SMALL(IF(checklistPesertaKemenkeu!$AY$6:$AY$1005="Direkomendasikan",ROW($6:$1005)-5),282)))&gt;0,COUNTIF(INDIRECT("'KERTAS KERJA'!K"&amp;(SMALL(IF(checklistPesertaKemenkeu!$AY$6:$AY$1005="Direkomendasikan",ROW($6:$1005)-5),282)+5)&amp;":O"&amp;(SMALL(IF(checklistPesertaKemenkeu!$AY$6:$AY$1005="Direkomendasikan",ROW($6:$1005)-5),282)+5)),INDEX(checklistPesertaKemenkeu!$L$6:$L$1005,SMALL(IF(checklistPesertaKemenkeu!$AY$6:$AY$1005="Direkomendasikan",ROW($6:$1005)-5),282)))=1),IFERROR(VLOOKUP(INDEX(checklistPesertaKemenkeu!$L$6:$L$1005,SMALL(IF(checklistPesertaKemenkeu!$AY$6:$AY$1005="Direkomendasikan",ROW($6:$1005)-5),282)),KotaKode,2,0),"-"),"")),"")</f>
        <v/>
      </c>
      <c r="I283" t="str">
        <f t="array" aca="1" ref="I283" ca="1">IFERROR(IF(OR(INDEX(checklistPesertaKemenkeu!$M$6:$M$1005,SMALL(IF(checklistPesertaKemenkeu!$AY$6:$AY$1005="Direkomendasikan",ROW($6:$1005)-5),282))="",INDEX(checklistPesertaKemenkeu!$J$6:$J$1005,SMALL(IF(checklistPesertaKemenkeu!$AY$6:$AY$1005="Direkomendasikan",ROW($6:$1005)-5),282))=""),"",IF(AND(COUNTIF(INDIRECT("K_"&amp;MATCH(INDEX(checklistPesertaKemenkeu!$J$6:$J$1005,SMALL(IF(checklistPesertaKemenkeu!$AY$6:$AY$1005="Direkomendasikan",ROW($6:$1005)-5),282)),BidangList,0)),INDEX(checklistPesertaKemenkeu!$M$6:$M$1005,SMALL(IF(checklistPesertaKemenkeu!$AY$6:$AY$1005="Direkomendasikan",ROW($6:$1005)-5),282)))&gt;0,COUNTIF(INDIRECT("'KERTAS KERJA'!K"&amp;(SMALL(IF(checklistPesertaKemenkeu!$AY$6:$AY$1005="Direkomendasikan",ROW($6:$1005)-5),282)+5)&amp;":O"&amp;(SMALL(IF(checklistPesertaKemenkeu!$AY$6:$AY$1005="Direkomendasikan",ROW($6:$1005)-5),282)+5)),INDEX(checklistPesertaKemenkeu!$M$6:$M$1005,SMALL(IF(checklistPesertaKemenkeu!$AY$6:$AY$1005="Direkomendasikan",ROW($6:$1005)-5),282)))=1),IFERROR(VLOOKUP(INDEX(checklistPesertaKemenkeu!$M$6:$M$1005,SMALL(IF(checklistPesertaKemenkeu!$AY$6:$AY$1005="Direkomendasikan",ROW($6:$1005)-5),282)),KotaKode,2,0),"-"),"")),"")</f>
        <v/>
      </c>
      <c r="J283" t="str">
        <f t="array" aca="1" ref="J283" ca="1">IFERROR(IF(OR(INDEX(checklistPesertaKemenkeu!$N$6:$N$1005,SMALL(IF(checklistPesertaKemenkeu!$AY$6:$AY$1005="Direkomendasikan",ROW($6:$1005)-5),282))="",INDEX(checklistPesertaKemenkeu!$J$6:$J$1005,SMALL(IF(checklistPesertaKemenkeu!$AY$6:$AY$1005="Direkomendasikan",ROW($6:$1005)-5),282))=""),"",IF(AND(COUNTIF(INDIRECT("K_"&amp;MATCH(INDEX(checklistPesertaKemenkeu!$J$6:$J$1005,SMALL(IF(checklistPesertaKemenkeu!$AY$6:$AY$1005="Direkomendasikan",ROW($6:$1005)-5),282)),BidangList,0)),INDEX(checklistPesertaKemenkeu!$N$6:$N$1005,SMALL(IF(checklistPesertaKemenkeu!$AY$6:$AY$1005="Direkomendasikan",ROW($6:$1005)-5),282)))&gt;0,COUNTIF(INDIRECT("'KERTAS KERJA'!K"&amp;(SMALL(IF(checklistPesertaKemenkeu!$AY$6:$AY$1005="Direkomendasikan",ROW($6:$1005)-5),282)+5)&amp;":O"&amp;(SMALL(IF(checklistPesertaKemenkeu!$AY$6:$AY$1005="Direkomendasikan",ROW($6:$1005)-5),282)+5)),INDEX(checklistPesertaKemenkeu!$N$6:$N$1005,SMALL(IF(checklistPesertaKemenkeu!$AY$6:$AY$1005="Direkomendasikan",ROW($6:$1005)-5),282)))=1),IFERROR(VLOOKUP(INDEX(checklistPesertaKemenkeu!$N$6:$N$1005,SMALL(IF(checklistPesertaKemenkeu!$AY$6:$AY$1005="Direkomendasikan",ROW($6:$1005)-5),282)),KotaKode,2,0),"-"),"")),"")</f>
        <v/>
      </c>
      <c r="K283" t="str">
        <f t="array" aca="1" ref="K283" ca="1">IFERROR(IF(OR(INDEX(checklistPesertaKemenkeu!$O$6:$O$1005,SMALL(IF(checklistPesertaKemenkeu!$AY$6:$AY$1005="Direkomendasikan",ROW($6:$1005)-5),282))="",INDEX(checklistPesertaKemenkeu!$J$6:$J$1005,SMALL(IF(checklistPesertaKemenkeu!$AY$6:$AY$1005="Direkomendasikan",ROW($6:$1005)-5),282))=""),"",IF(AND(COUNTIF(INDIRECT("K_"&amp;MATCH(INDEX(checklistPesertaKemenkeu!$J$6:$J$1005,SMALL(IF(checklistPesertaKemenkeu!$AY$6:$AY$1005="Direkomendasikan",ROW($6:$1005)-5),282)),BidangList,0)),INDEX(checklistPesertaKemenkeu!$O$6:$O$1005,SMALL(IF(checklistPesertaKemenkeu!$AY$6:$AY$1005="Direkomendasikan",ROW($6:$1005)-5),282)))&gt;0,COUNTIF(INDIRECT("'KERTAS KERJA'!K"&amp;(SMALL(IF(checklistPesertaKemenkeu!$AY$6:$AY$1005="Direkomendasikan",ROW($6:$1005)-5),282)+5)&amp;":O"&amp;(SMALL(IF(checklistPesertaKemenkeu!$AY$6:$AY$1005="Direkomendasikan",ROW($6:$1005)-5),282)+5)),INDEX(checklistPesertaKemenkeu!$O$6:$O$1005,SMALL(IF(checklistPesertaKemenkeu!$AY$6:$AY$1005="Direkomendasikan",ROW($6:$1005)-5),282)))=1),IFERROR(VLOOKUP(INDEX(checklistPesertaKemenkeu!$O$6:$O$1005,SMALL(IF(checklistPesertaKemenkeu!$AY$6:$AY$1005="Direkomendasikan",ROW($6:$1005)-5),282)),KotaKode,2,0),"-"),"")),"")</f>
        <v/>
      </c>
      <c r="L283" t="str">
        <f t="array" aca="1" ref="L283" ca="1">IFERROR(IF(OR(INDEX(checklistPesertaKemenkeu!$P$6:$P$1005,SMALL(IF(checklistPesertaKemenkeu!$AY$6:$AY$1005="Direkomendasikan",ROW($6:$1005)-5),282))="",INDEX(checklistPesertaKemenkeu!$J$6:$J$1005,SMALL(IF(checklistPesertaKemenkeu!$AY$6:$AY$1005="Direkomendasikan",ROW($6:$1005)-5),282))=""),"",IF(AND(COUNTIF(INDIRECT("K_"&amp;MATCH(INDEX(checklistPesertaKemenkeu!$J$6:$J$1005,SMALL(IF(checklistPesertaKemenkeu!$AY$6:$AY$1005="Direkomendasikan",ROW($6:$1005)-5),282)),BidangList,0)),INDEX(checklistPesertaKemenkeu!$P$6:$P$1005,SMALL(IF(checklistPesertaKemenkeu!$AY$6:$AY$1005="Direkomendasikan",ROW($6:$1005)-5),282)))&gt;0,COUNTIF(INDIRECT("'KERTAS KERJA'!K"&amp;(SMALL(IF(checklistPesertaKemenkeu!$AY$6:$AY$1005="Direkomendasikan",ROW($6:$1005)-5),282)+5)&amp;":O"&amp;(SMALL(IF(checklistPesertaKemenkeu!$AY$6:$AY$1005="Direkomendasikan",ROW($6:$1005)-5),282)+5)),INDEX(checklistPesertaKemenkeu!$P$6:$P$1005,SMALL(IF(checklistPesertaKemenkeu!$AY$6:$AY$1005="Direkomendasikan",ROW($6:$1005)-5),282)))=1),IFERROR(VLOOKUP(INDEX(checklistPesertaKemenkeu!$P$6:$P$1005,SMALL(IF(checklistPesertaKemenkeu!$AY$6:$AY$1005="Direkomendasikan",ROW($6:$1005)-5),282)),KotaKode,2,0),"-"),"")),"")</f>
        <v/>
      </c>
    </row>
    <row r="284" spans="1:12" ht="15" customHeight="1" x14ac:dyDescent="0.2">
      <c r="A284" t="str">
        <f t="shared" si="4"/>
        <v/>
      </c>
      <c r="B284" t="str">
        <v/>
      </c>
      <c r="C284" s="40" t="str">
        <f t="array" ref="C284">IFERROR(INDEX(checklistPesertaKemenkeu!$F$6:$F$1005,SMALL(IF(checklistPesertaKemenkeu!$AY$6:$AY$1005="Direkomendasikan",ROW($6:$1005)-5),283)),"")</f>
        <v/>
      </c>
      <c r="D284" t="str">
        <f t="array" ref="D284">IFERROR(INDEX(checklistPesertaKemenkeu!$G$6:$G$1005,SMALL(IF(checklistPesertaKemenkeu!$AY$6:$AY$1005="Direkomendasikan",ROW($6:$1005)-5),283)),"")</f>
        <v/>
      </c>
      <c r="E284" t="str">
        <f t="array" ref="E284">IFERROR(INDEX(checklistPesertaKemenkeu!$H$6:$H$1005,SMALL(IF(checklistPesertaKemenkeu!$AY$6:$AY$1005="Direkomendasikan",ROW($6:$1005)-5),283)),"")</f>
        <v/>
      </c>
      <c r="F284" t="str">
        <f t="array" ref="F284">IFERROR(INDEX(checklistPesertaKemenkeu!$I$6:$I$1005,SMALL(IF(checklistPesertaKemenkeu!$AY$6:$AY$1005="Direkomendasikan",ROW($6:$1005)-5),283)),"")</f>
        <v/>
      </c>
      <c r="G284" t="str">
        <f t="array" ref="G284">IFERROR(INDEX(checklistPesertaKemenkeu!$J$6:$J$1005,SMALL(IF(checklistPesertaKemenkeu!$AY$6:$AY$1005="Direkomendasikan",ROW($6:$1005)-5),283)),"")</f>
        <v/>
      </c>
      <c r="H284" t="str">
        <f t="array" aca="1" ref="H284" ca="1">IFERROR(IF(OR(INDEX(checklistPesertaKemenkeu!$L$6:$L$1005,SMALL(IF(checklistPesertaKemenkeu!$AY$6:$AY$1005="Direkomendasikan",ROW($6:$1005)-5),283))="",INDEX(checklistPesertaKemenkeu!$J$6:$J$1005,SMALL(IF(checklistPesertaKemenkeu!$AY$6:$AY$1005="Direkomendasikan",ROW($6:$1005)-5),283))=""),"",IF(AND(COUNTIF(INDIRECT("K_"&amp;MATCH(INDEX(checklistPesertaKemenkeu!$J$6:$J$1005,SMALL(IF(checklistPesertaKemenkeu!$AY$6:$AY$1005="Direkomendasikan",ROW($6:$1005)-5),283)),BidangList,0)),INDEX(checklistPesertaKemenkeu!$L$6:$L$1005,SMALL(IF(checklistPesertaKemenkeu!$AY$6:$AY$1005="Direkomendasikan",ROW($6:$1005)-5),283)))&gt;0,COUNTIF(INDIRECT("'KERTAS KERJA'!K"&amp;(SMALL(IF(checklistPesertaKemenkeu!$AY$6:$AY$1005="Direkomendasikan",ROW($6:$1005)-5),283)+5)&amp;":O"&amp;(SMALL(IF(checklistPesertaKemenkeu!$AY$6:$AY$1005="Direkomendasikan",ROW($6:$1005)-5),283)+5)),INDEX(checklistPesertaKemenkeu!$L$6:$L$1005,SMALL(IF(checklistPesertaKemenkeu!$AY$6:$AY$1005="Direkomendasikan",ROW($6:$1005)-5),283)))=1),IFERROR(VLOOKUP(INDEX(checklistPesertaKemenkeu!$L$6:$L$1005,SMALL(IF(checklistPesertaKemenkeu!$AY$6:$AY$1005="Direkomendasikan",ROW($6:$1005)-5),283)),KotaKode,2,0),"-"),"")),"")</f>
        <v/>
      </c>
      <c r="I284" t="str">
        <f t="array" aca="1" ref="I284" ca="1">IFERROR(IF(OR(INDEX(checklistPesertaKemenkeu!$M$6:$M$1005,SMALL(IF(checklistPesertaKemenkeu!$AY$6:$AY$1005="Direkomendasikan",ROW($6:$1005)-5),283))="",INDEX(checklistPesertaKemenkeu!$J$6:$J$1005,SMALL(IF(checklistPesertaKemenkeu!$AY$6:$AY$1005="Direkomendasikan",ROW($6:$1005)-5),283))=""),"",IF(AND(COUNTIF(INDIRECT("K_"&amp;MATCH(INDEX(checklistPesertaKemenkeu!$J$6:$J$1005,SMALL(IF(checklistPesertaKemenkeu!$AY$6:$AY$1005="Direkomendasikan",ROW($6:$1005)-5),283)),BidangList,0)),INDEX(checklistPesertaKemenkeu!$M$6:$M$1005,SMALL(IF(checklistPesertaKemenkeu!$AY$6:$AY$1005="Direkomendasikan",ROW($6:$1005)-5),283)))&gt;0,COUNTIF(INDIRECT("'KERTAS KERJA'!K"&amp;(SMALL(IF(checklistPesertaKemenkeu!$AY$6:$AY$1005="Direkomendasikan",ROW($6:$1005)-5),283)+5)&amp;":O"&amp;(SMALL(IF(checklistPesertaKemenkeu!$AY$6:$AY$1005="Direkomendasikan",ROW($6:$1005)-5),283)+5)),INDEX(checklistPesertaKemenkeu!$M$6:$M$1005,SMALL(IF(checklistPesertaKemenkeu!$AY$6:$AY$1005="Direkomendasikan",ROW($6:$1005)-5),283)))=1),IFERROR(VLOOKUP(INDEX(checklistPesertaKemenkeu!$M$6:$M$1005,SMALL(IF(checklistPesertaKemenkeu!$AY$6:$AY$1005="Direkomendasikan",ROW($6:$1005)-5),283)),KotaKode,2,0),"-"),"")),"")</f>
        <v/>
      </c>
      <c r="J284" t="str">
        <f t="array" aca="1" ref="J284" ca="1">IFERROR(IF(OR(INDEX(checklistPesertaKemenkeu!$N$6:$N$1005,SMALL(IF(checklistPesertaKemenkeu!$AY$6:$AY$1005="Direkomendasikan",ROW($6:$1005)-5),283))="",INDEX(checklistPesertaKemenkeu!$J$6:$J$1005,SMALL(IF(checklistPesertaKemenkeu!$AY$6:$AY$1005="Direkomendasikan",ROW($6:$1005)-5),283))=""),"",IF(AND(COUNTIF(INDIRECT("K_"&amp;MATCH(INDEX(checklistPesertaKemenkeu!$J$6:$J$1005,SMALL(IF(checklistPesertaKemenkeu!$AY$6:$AY$1005="Direkomendasikan",ROW($6:$1005)-5),283)),BidangList,0)),INDEX(checklistPesertaKemenkeu!$N$6:$N$1005,SMALL(IF(checklistPesertaKemenkeu!$AY$6:$AY$1005="Direkomendasikan",ROW($6:$1005)-5),283)))&gt;0,COUNTIF(INDIRECT("'KERTAS KERJA'!K"&amp;(SMALL(IF(checklistPesertaKemenkeu!$AY$6:$AY$1005="Direkomendasikan",ROW($6:$1005)-5),283)+5)&amp;":O"&amp;(SMALL(IF(checklistPesertaKemenkeu!$AY$6:$AY$1005="Direkomendasikan",ROW($6:$1005)-5),283)+5)),INDEX(checklistPesertaKemenkeu!$N$6:$N$1005,SMALL(IF(checklistPesertaKemenkeu!$AY$6:$AY$1005="Direkomendasikan",ROW($6:$1005)-5),283)))=1),IFERROR(VLOOKUP(INDEX(checklistPesertaKemenkeu!$N$6:$N$1005,SMALL(IF(checklistPesertaKemenkeu!$AY$6:$AY$1005="Direkomendasikan",ROW($6:$1005)-5),283)),KotaKode,2,0),"-"),"")),"")</f>
        <v/>
      </c>
      <c r="K284" t="str">
        <f t="array" aca="1" ref="K284" ca="1">IFERROR(IF(OR(INDEX(checklistPesertaKemenkeu!$O$6:$O$1005,SMALL(IF(checklistPesertaKemenkeu!$AY$6:$AY$1005="Direkomendasikan",ROW($6:$1005)-5),283))="",INDEX(checklistPesertaKemenkeu!$J$6:$J$1005,SMALL(IF(checklistPesertaKemenkeu!$AY$6:$AY$1005="Direkomendasikan",ROW($6:$1005)-5),283))=""),"",IF(AND(COUNTIF(INDIRECT("K_"&amp;MATCH(INDEX(checklistPesertaKemenkeu!$J$6:$J$1005,SMALL(IF(checklistPesertaKemenkeu!$AY$6:$AY$1005="Direkomendasikan",ROW($6:$1005)-5),283)),BidangList,0)),INDEX(checklistPesertaKemenkeu!$O$6:$O$1005,SMALL(IF(checklistPesertaKemenkeu!$AY$6:$AY$1005="Direkomendasikan",ROW($6:$1005)-5),283)))&gt;0,COUNTIF(INDIRECT("'KERTAS KERJA'!K"&amp;(SMALL(IF(checklistPesertaKemenkeu!$AY$6:$AY$1005="Direkomendasikan",ROW($6:$1005)-5),283)+5)&amp;":O"&amp;(SMALL(IF(checklistPesertaKemenkeu!$AY$6:$AY$1005="Direkomendasikan",ROW($6:$1005)-5),283)+5)),INDEX(checklistPesertaKemenkeu!$O$6:$O$1005,SMALL(IF(checklistPesertaKemenkeu!$AY$6:$AY$1005="Direkomendasikan",ROW($6:$1005)-5),283)))=1),IFERROR(VLOOKUP(INDEX(checklistPesertaKemenkeu!$O$6:$O$1005,SMALL(IF(checklistPesertaKemenkeu!$AY$6:$AY$1005="Direkomendasikan",ROW($6:$1005)-5),283)),KotaKode,2,0),"-"),"")),"")</f>
        <v/>
      </c>
      <c r="L284" t="str">
        <f t="array" aca="1" ref="L284" ca="1">IFERROR(IF(OR(INDEX(checklistPesertaKemenkeu!$P$6:$P$1005,SMALL(IF(checklistPesertaKemenkeu!$AY$6:$AY$1005="Direkomendasikan",ROW($6:$1005)-5),283))="",INDEX(checklistPesertaKemenkeu!$J$6:$J$1005,SMALL(IF(checklistPesertaKemenkeu!$AY$6:$AY$1005="Direkomendasikan",ROW($6:$1005)-5),283))=""),"",IF(AND(COUNTIF(INDIRECT("K_"&amp;MATCH(INDEX(checklistPesertaKemenkeu!$J$6:$J$1005,SMALL(IF(checklistPesertaKemenkeu!$AY$6:$AY$1005="Direkomendasikan",ROW($6:$1005)-5),283)),BidangList,0)),INDEX(checklistPesertaKemenkeu!$P$6:$P$1005,SMALL(IF(checklistPesertaKemenkeu!$AY$6:$AY$1005="Direkomendasikan",ROW($6:$1005)-5),283)))&gt;0,COUNTIF(INDIRECT("'KERTAS KERJA'!K"&amp;(SMALL(IF(checklistPesertaKemenkeu!$AY$6:$AY$1005="Direkomendasikan",ROW($6:$1005)-5),283)+5)&amp;":O"&amp;(SMALL(IF(checklistPesertaKemenkeu!$AY$6:$AY$1005="Direkomendasikan",ROW($6:$1005)-5),283)+5)),INDEX(checklistPesertaKemenkeu!$P$6:$P$1005,SMALL(IF(checklistPesertaKemenkeu!$AY$6:$AY$1005="Direkomendasikan",ROW($6:$1005)-5),283)))=1),IFERROR(VLOOKUP(INDEX(checklistPesertaKemenkeu!$P$6:$P$1005,SMALL(IF(checklistPesertaKemenkeu!$AY$6:$AY$1005="Direkomendasikan",ROW($6:$1005)-5),283)),KotaKode,2,0),"-"),"")),"")</f>
        <v/>
      </c>
    </row>
    <row r="285" spans="1:12" ht="15" customHeight="1" x14ac:dyDescent="0.2">
      <c r="A285" t="str">
        <f t="shared" si="4"/>
        <v/>
      </c>
      <c r="B285" t="str">
        <v/>
      </c>
      <c r="C285" s="40" t="str">
        <f t="array" ref="C285">IFERROR(INDEX(checklistPesertaKemenkeu!$F$6:$F$1005,SMALL(IF(checklistPesertaKemenkeu!$AY$6:$AY$1005="Direkomendasikan",ROW($6:$1005)-5),284)),"")</f>
        <v/>
      </c>
      <c r="D285" t="str">
        <f t="array" ref="D285">IFERROR(INDEX(checklistPesertaKemenkeu!$G$6:$G$1005,SMALL(IF(checklistPesertaKemenkeu!$AY$6:$AY$1005="Direkomendasikan",ROW($6:$1005)-5),284)),"")</f>
        <v/>
      </c>
      <c r="E285" t="str">
        <f t="array" ref="E285">IFERROR(INDEX(checklistPesertaKemenkeu!$H$6:$H$1005,SMALL(IF(checklistPesertaKemenkeu!$AY$6:$AY$1005="Direkomendasikan",ROW($6:$1005)-5),284)),"")</f>
        <v/>
      </c>
      <c r="F285" t="str">
        <f t="array" ref="F285">IFERROR(INDEX(checklistPesertaKemenkeu!$I$6:$I$1005,SMALL(IF(checklistPesertaKemenkeu!$AY$6:$AY$1005="Direkomendasikan",ROW($6:$1005)-5),284)),"")</f>
        <v/>
      </c>
      <c r="G285" t="str">
        <f t="array" ref="G285">IFERROR(INDEX(checklistPesertaKemenkeu!$J$6:$J$1005,SMALL(IF(checklistPesertaKemenkeu!$AY$6:$AY$1005="Direkomendasikan",ROW($6:$1005)-5),284)),"")</f>
        <v/>
      </c>
      <c r="H285" t="str">
        <f t="array" aca="1" ref="H285" ca="1">IFERROR(IF(OR(INDEX(checklistPesertaKemenkeu!$L$6:$L$1005,SMALL(IF(checklistPesertaKemenkeu!$AY$6:$AY$1005="Direkomendasikan",ROW($6:$1005)-5),284))="",INDEX(checklistPesertaKemenkeu!$J$6:$J$1005,SMALL(IF(checklistPesertaKemenkeu!$AY$6:$AY$1005="Direkomendasikan",ROW($6:$1005)-5),284))=""),"",IF(AND(COUNTIF(INDIRECT("K_"&amp;MATCH(INDEX(checklistPesertaKemenkeu!$J$6:$J$1005,SMALL(IF(checklistPesertaKemenkeu!$AY$6:$AY$1005="Direkomendasikan",ROW($6:$1005)-5),284)),BidangList,0)),INDEX(checklistPesertaKemenkeu!$L$6:$L$1005,SMALL(IF(checklistPesertaKemenkeu!$AY$6:$AY$1005="Direkomendasikan",ROW($6:$1005)-5),284)))&gt;0,COUNTIF(INDIRECT("'KERTAS KERJA'!K"&amp;(SMALL(IF(checklistPesertaKemenkeu!$AY$6:$AY$1005="Direkomendasikan",ROW($6:$1005)-5),284)+5)&amp;":O"&amp;(SMALL(IF(checklistPesertaKemenkeu!$AY$6:$AY$1005="Direkomendasikan",ROW($6:$1005)-5),284)+5)),INDEX(checklistPesertaKemenkeu!$L$6:$L$1005,SMALL(IF(checklistPesertaKemenkeu!$AY$6:$AY$1005="Direkomendasikan",ROW($6:$1005)-5),284)))=1),IFERROR(VLOOKUP(INDEX(checklistPesertaKemenkeu!$L$6:$L$1005,SMALL(IF(checklistPesertaKemenkeu!$AY$6:$AY$1005="Direkomendasikan",ROW($6:$1005)-5),284)),KotaKode,2,0),"-"),"")),"")</f>
        <v/>
      </c>
      <c r="I285" t="str">
        <f t="array" aca="1" ref="I285" ca="1">IFERROR(IF(OR(INDEX(checklistPesertaKemenkeu!$M$6:$M$1005,SMALL(IF(checklistPesertaKemenkeu!$AY$6:$AY$1005="Direkomendasikan",ROW($6:$1005)-5),284))="",INDEX(checklistPesertaKemenkeu!$J$6:$J$1005,SMALL(IF(checklistPesertaKemenkeu!$AY$6:$AY$1005="Direkomendasikan",ROW($6:$1005)-5),284))=""),"",IF(AND(COUNTIF(INDIRECT("K_"&amp;MATCH(INDEX(checklistPesertaKemenkeu!$J$6:$J$1005,SMALL(IF(checklistPesertaKemenkeu!$AY$6:$AY$1005="Direkomendasikan",ROW($6:$1005)-5),284)),BidangList,0)),INDEX(checklistPesertaKemenkeu!$M$6:$M$1005,SMALL(IF(checklistPesertaKemenkeu!$AY$6:$AY$1005="Direkomendasikan",ROW($6:$1005)-5),284)))&gt;0,COUNTIF(INDIRECT("'KERTAS KERJA'!K"&amp;(SMALL(IF(checklistPesertaKemenkeu!$AY$6:$AY$1005="Direkomendasikan",ROW($6:$1005)-5),284)+5)&amp;":O"&amp;(SMALL(IF(checklistPesertaKemenkeu!$AY$6:$AY$1005="Direkomendasikan",ROW($6:$1005)-5),284)+5)),INDEX(checklistPesertaKemenkeu!$M$6:$M$1005,SMALL(IF(checklistPesertaKemenkeu!$AY$6:$AY$1005="Direkomendasikan",ROW($6:$1005)-5),284)))=1),IFERROR(VLOOKUP(INDEX(checklistPesertaKemenkeu!$M$6:$M$1005,SMALL(IF(checklistPesertaKemenkeu!$AY$6:$AY$1005="Direkomendasikan",ROW($6:$1005)-5),284)),KotaKode,2,0),"-"),"")),"")</f>
        <v/>
      </c>
      <c r="J285" t="str">
        <f t="array" aca="1" ref="J285" ca="1">IFERROR(IF(OR(INDEX(checklistPesertaKemenkeu!$N$6:$N$1005,SMALL(IF(checklistPesertaKemenkeu!$AY$6:$AY$1005="Direkomendasikan",ROW($6:$1005)-5),284))="",INDEX(checklistPesertaKemenkeu!$J$6:$J$1005,SMALL(IF(checklistPesertaKemenkeu!$AY$6:$AY$1005="Direkomendasikan",ROW($6:$1005)-5),284))=""),"",IF(AND(COUNTIF(INDIRECT("K_"&amp;MATCH(INDEX(checklistPesertaKemenkeu!$J$6:$J$1005,SMALL(IF(checklistPesertaKemenkeu!$AY$6:$AY$1005="Direkomendasikan",ROW($6:$1005)-5),284)),BidangList,0)),INDEX(checklistPesertaKemenkeu!$N$6:$N$1005,SMALL(IF(checklistPesertaKemenkeu!$AY$6:$AY$1005="Direkomendasikan",ROW($6:$1005)-5),284)))&gt;0,COUNTIF(INDIRECT("'KERTAS KERJA'!K"&amp;(SMALL(IF(checklistPesertaKemenkeu!$AY$6:$AY$1005="Direkomendasikan",ROW($6:$1005)-5),284)+5)&amp;":O"&amp;(SMALL(IF(checklistPesertaKemenkeu!$AY$6:$AY$1005="Direkomendasikan",ROW($6:$1005)-5),284)+5)),INDEX(checklistPesertaKemenkeu!$N$6:$N$1005,SMALL(IF(checklistPesertaKemenkeu!$AY$6:$AY$1005="Direkomendasikan",ROW($6:$1005)-5),284)))=1),IFERROR(VLOOKUP(INDEX(checklistPesertaKemenkeu!$N$6:$N$1005,SMALL(IF(checklistPesertaKemenkeu!$AY$6:$AY$1005="Direkomendasikan",ROW($6:$1005)-5),284)),KotaKode,2,0),"-"),"")),"")</f>
        <v/>
      </c>
      <c r="K285" t="str">
        <f t="array" aca="1" ref="K285" ca="1">IFERROR(IF(OR(INDEX(checklistPesertaKemenkeu!$O$6:$O$1005,SMALL(IF(checklistPesertaKemenkeu!$AY$6:$AY$1005="Direkomendasikan",ROW($6:$1005)-5),284))="",INDEX(checklistPesertaKemenkeu!$J$6:$J$1005,SMALL(IF(checklistPesertaKemenkeu!$AY$6:$AY$1005="Direkomendasikan",ROW($6:$1005)-5),284))=""),"",IF(AND(COUNTIF(INDIRECT("K_"&amp;MATCH(INDEX(checklistPesertaKemenkeu!$J$6:$J$1005,SMALL(IF(checklistPesertaKemenkeu!$AY$6:$AY$1005="Direkomendasikan",ROW($6:$1005)-5),284)),BidangList,0)),INDEX(checklistPesertaKemenkeu!$O$6:$O$1005,SMALL(IF(checklistPesertaKemenkeu!$AY$6:$AY$1005="Direkomendasikan",ROW($6:$1005)-5),284)))&gt;0,COUNTIF(INDIRECT("'KERTAS KERJA'!K"&amp;(SMALL(IF(checklistPesertaKemenkeu!$AY$6:$AY$1005="Direkomendasikan",ROW($6:$1005)-5),284)+5)&amp;":O"&amp;(SMALL(IF(checklistPesertaKemenkeu!$AY$6:$AY$1005="Direkomendasikan",ROW($6:$1005)-5),284)+5)),INDEX(checklistPesertaKemenkeu!$O$6:$O$1005,SMALL(IF(checklistPesertaKemenkeu!$AY$6:$AY$1005="Direkomendasikan",ROW($6:$1005)-5),284)))=1),IFERROR(VLOOKUP(INDEX(checklistPesertaKemenkeu!$O$6:$O$1005,SMALL(IF(checklistPesertaKemenkeu!$AY$6:$AY$1005="Direkomendasikan",ROW($6:$1005)-5),284)),KotaKode,2,0),"-"),"")),"")</f>
        <v/>
      </c>
      <c r="L285" t="str">
        <f t="array" aca="1" ref="L285" ca="1">IFERROR(IF(OR(INDEX(checklistPesertaKemenkeu!$P$6:$P$1005,SMALL(IF(checklistPesertaKemenkeu!$AY$6:$AY$1005="Direkomendasikan",ROW($6:$1005)-5),284))="",INDEX(checklistPesertaKemenkeu!$J$6:$J$1005,SMALL(IF(checklistPesertaKemenkeu!$AY$6:$AY$1005="Direkomendasikan",ROW($6:$1005)-5),284))=""),"",IF(AND(COUNTIF(INDIRECT("K_"&amp;MATCH(INDEX(checklistPesertaKemenkeu!$J$6:$J$1005,SMALL(IF(checklistPesertaKemenkeu!$AY$6:$AY$1005="Direkomendasikan",ROW($6:$1005)-5),284)),BidangList,0)),INDEX(checklistPesertaKemenkeu!$P$6:$P$1005,SMALL(IF(checklistPesertaKemenkeu!$AY$6:$AY$1005="Direkomendasikan",ROW($6:$1005)-5),284)))&gt;0,COUNTIF(INDIRECT("'KERTAS KERJA'!K"&amp;(SMALL(IF(checklistPesertaKemenkeu!$AY$6:$AY$1005="Direkomendasikan",ROW($6:$1005)-5),284)+5)&amp;":O"&amp;(SMALL(IF(checklistPesertaKemenkeu!$AY$6:$AY$1005="Direkomendasikan",ROW($6:$1005)-5),284)+5)),INDEX(checklistPesertaKemenkeu!$P$6:$P$1005,SMALL(IF(checklistPesertaKemenkeu!$AY$6:$AY$1005="Direkomendasikan",ROW($6:$1005)-5),284)))=1),IFERROR(VLOOKUP(INDEX(checklistPesertaKemenkeu!$P$6:$P$1005,SMALL(IF(checklistPesertaKemenkeu!$AY$6:$AY$1005="Direkomendasikan",ROW($6:$1005)-5),284)),KotaKode,2,0),"-"),"")),"")</f>
        <v/>
      </c>
    </row>
    <row r="286" spans="1:12" ht="15" customHeight="1" x14ac:dyDescent="0.2">
      <c r="A286" t="str">
        <f t="shared" si="4"/>
        <v/>
      </c>
      <c r="B286" t="str">
        <v/>
      </c>
      <c r="C286" s="40" t="str">
        <f t="array" ref="C286">IFERROR(INDEX(checklistPesertaKemenkeu!$F$6:$F$1005,SMALL(IF(checklistPesertaKemenkeu!$AY$6:$AY$1005="Direkomendasikan",ROW($6:$1005)-5),285)),"")</f>
        <v/>
      </c>
      <c r="D286" t="str">
        <f t="array" ref="D286">IFERROR(INDEX(checklistPesertaKemenkeu!$G$6:$G$1005,SMALL(IF(checklistPesertaKemenkeu!$AY$6:$AY$1005="Direkomendasikan",ROW($6:$1005)-5),285)),"")</f>
        <v/>
      </c>
      <c r="E286" t="str">
        <f t="array" ref="E286">IFERROR(INDEX(checklistPesertaKemenkeu!$H$6:$H$1005,SMALL(IF(checklistPesertaKemenkeu!$AY$6:$AY$1005="Direkomendasikan",ROW($6:$1005)-5),285)),"")</f>
        <v/>
      </c>
      <c r="F286" t="str">
        <f t="array" ref="F286">IFERROR(INDEX(checklistPesertaKemenkeu!$I$6:$I$1005,SMALL(IF(checklistPesertaKemenkeu!$AY$6:$AY$1005="Direkomendasikan",ROW($6:$1005)-5),285)),"")</f>
        <v/>
      </c>
      <c r="G286" t="str">
        <f t="array" ref="G286">IFERROR(INDEX(checklistPesertaKemenkeu!$J$6:$J$1005,SMALL(IF(checklistPesertaKemenkeu!$AY$6:$AY$1005="Direkomendasikan",ROW($6:$1005)-5),285)),"")</f>
        <v/>
      </c>
      <c r="H286" t="str">
        <f t="array" aca="1" ref="H286" ca="1">IFERROR(IF(OR(INDEX(checklistPesertaKemenkeu!$L$6:$L$1005,SMALL(IF(checklistPesertaKemenkeu!$AY$6:$AY$1005="Direkomendasikan",ROW($6:$1005)-5),285))="",INDEX(checklistPesertaKemenkeu!$J$6:$J$1005,SMALL(IF(checklistPesertaKemenkeu!$AY$6:$AY$1005="Direkomendasikan",ROW($6:$1005)-5),285))=""),"",IF(AND(COUNTIF(INDIRECT("K_"&amp;MATCH(INDEX(checklistPesertaKemenkeu!$J$6:$J$1005,SMALL(IF(checklistPesertaKemenkeu!$AY$6:$AY$1005="Direkomendasikan",ROW($6:$1005)-5),285)),BidangList,0)),INDEX(checklistPesertaKemenkeu!$L$6:$L$1005,SMALL(IF(checklistPesertaKemenkeu!$AY$6:$AY$1005="Direkomendasikan",ROW($6:$1005)-5),285)))&gt;0,COUNTIF(INDIRECT("'KERTAS KERJA'!K"&amp;(SMALL(IF(checklistPesertaKemenkeu!$AY$6:$AY$1005="Direkomendasikan",ROW($6:$1005)-5),285)+5)&amp;":O"&amp;(SMALL(IF(checklistPesertaKemenkeu!$AY$6:$AY$1005="Direkomendasikan",ROW($6:$1005)-5),285)+5)),INDEX(checklistPesertaKemenkeu!$L$6:$L$1005,SMALL(IF(checklistPesertaKemenkeu!$AY$6:$AY$1005="Direkomendasikan",ROW($6:$1005)-5),285)))=1),IFERROR(VLOOKUP(INDEX(checklistPesertaKemenkeu!$L$6:$L$1005,SMALL(IF(checklistPesertaKemenkeu!$AY$6:$AY$1005="Direkomendasikan",ROW($6:$1005)-5),285)),KotaKode,2,0),"-"),"")),"")</f>
        <v/>
      </c>
      <c r="I286" t="str">
        <f t="array" aca="1" ref="I286" ca="1">IFERROR(IF(OR(INDEX(checklistPesertaKemenkeu!$M$6:$M$1005,SMALL(IF(checklistPesertaKemenkeu!$AY$6:$AY$1005="Direkomendasikan",ROW($6:$1005)-5),285))="",INDEX(checklistPesertaKemenkeu!$J$6:$J$1005,SMALL(IF(checklistPesertaKemenkeu!$AY$6:$AY$1005="Direkomendasikan",ROW($6:$1005)-5),285))=""),"",IF(AND(COUNTIF(INDIRECT("K_"&amp;MATCH(INDEX(checklistPesertaKemenkeu!$J$6:$J$1005,SMALL(IF(checklistPesertaKemenkeu!$AY$6:$AY$1005="Direkomendasikan",ROW($6:$1005)-5),285)),BidangList,0)),INDEX(checklistPesertaKemenkeu!$M$6:$M$1005,SMALL(IF(checklistPesertaKemenkeu!$AY$6:$AY$1005="Direkomendasikan",ROW($6:$1005)-5),285)))&gt;0,COUNTIF(INDIRECT("'KERTAS KERJA'!K"&amp;(SMALL(IF(checklistPesertaKemenkeu!$AY$6:$AY$1005="Direkomendasikan",ROW($6:$1005)-5),285)+5)&amp;":O"&amp;(SMALL(IF(checklistPesertaKemenkeu!$AY$6:$AY$1005="Direkomendasikan",ROW($6:$1005)-5),285)+5)),INDEX(checklistPesertaKemenkeu!$M$6:$M$1005,SMALL(IF(checklistPesertaKemenkeu!$AY$6:$AY$1005="Direkomendasikan",ROW($6:$1005)-5),285)))=1),IFERROR(VLOOKUP(INDEX(checklistPesertaKemenkeu!$M$6:$M$1005,SMALL(IF(checklistPesertaKemenkeu!$AY$6:$AY$1005="Direkomendasikan",ROW($6:$1005)-5),285)),KotaKode,2,0),"-"),"")),"")</f>
        <v/>
      </c>
      <c r="J286" t="str">
        <f t="array" aca="1" ref="J286" ca="1">IFERROR(IF(OR(INDEX(checklistPesertaKemenkeu!$N$6:$N$1005,SMALL(IF(checklistPesertaKemenkeu!$AY$6:$AY$1005="Direkomendasikan",ROW($6:$1005)-5),285))="",INDEX(checklistPesertaKemenkeu!$J$6:$J$1005,SMALL(IF(checklistPesertaKemenkeu!$AY$6:$AY$1005="Direkomendasikan",ROW($6:$1005)-5),285))=""),"",IF(AND(COUNTIF(INDIRECT("K_"&amp;MATCH(INDEX(checklistPesertaKemenkeu!$J$6:$J$1005,SMALL(IF(checklistPesertaKemenkeu!$AY$6:$AY$1005="Direkomendasikan",ROW($6:$1005)-5),285)),BidangList,0)),INDEX(checklistPesertaKemenkeu!$N$6:$N$1005,SMALL(IF(checklistPesertaKemenkeu!$AY$6:$AY$1005="Direkomendasikan",ROW($6:$1005)-5),285)))&gt;0,COUNTIF(INDIRECT("'KERTAS KERJA'!K"&amp;(SMALL(IF(checklistPesertaKemenkeu!$AY$6:$AY$1005="Direkomendasikan",ROW($6:$1005)-5),285)+5)&amp;":O"&amp;(SMALL(IF(checklistPesertaKemenkeu!$AY$6:$AY$1005="Direkomendasikan",ROW($6:$1005)-5),285)+5)),INDEX(checklistPesertaKemenkeu!$N$6:$N$1005,SMALL(IF(checklistPesertaKemenkeu!$AY$6:$AY$1005="Direkomendasikan",ROW($6:$1005)-5),285)))=1),IFERROR(VLOOKUP(INDEX(checklistPesertaKemenkeu!$N$6:$N$1005,SMALL(IF(checklistPesertaKemenkeu!$AY$6:$AY$1005="Direkomendasikan",ROW($6:$1005)-5),285)),KotaKode,2,0),"-"),"")),"")</f>
        <v/>
      </c>
      <c r="K286" t="str">
        <f t="array" aca="1" ref="K286" ca="1">IFERROR(IF(OR(INDEX(checklistPesertaKemenkeu!$O$6:$O$1005,SMALL(IF(checklistPesertaKemenkeu!$AY$6:$AY$1005="Direkomendasikan",ROW($6:$1005)-5),285))="",INDEX(checklistPesertaKemenkeu!$J$6:$J$1005,SMALL(IF(checklistPesertaKemenkeu!$AY$6:$AY$1005="Direkomendasikan",ROW($6:$1005)-5),285))=""),"",IF(AND(COUNTIF(INDIRECT("K_"&amp;MATCH(INDEX(checklistPesertaKemenkeu!$J$6:$J$1005,SMALL(IF(checklistPesertaKemenkeu!$AY$6:$AY$1005="Direkomendasikan",ROW($6:$1005)-5),285)),BidangList,0)),INDEX(checklistPesertaKemenkeu!$O$6:$O$1005,SMALL(IF(checklistPesertaKemenkeu!$AY$6:$AY$1005="Direkomendasikan",ROW($6:$1005)-5),285)))&gt;0,COUNTIF(INDIRECT("'KERTAS KERJA'!K"&amp;(SMALL(IF(checklistPesertaKemenkeu!$AY$6:$AY$1005="Direkomendasikan",ROW($6:$1005)-5),285)+5)&amp;":O"&amp;(SMALL(IF(checklistPesertaKemenkeu!$AY$6:$AY$1005="Direkomendasikan",ROW($6:$1005)-5),285)+5)),INDEX(checklistPesertaKemenkeu!$O$6:$O$1005,SMALL(IF(checklistPesertaKemenkeu!$AY$6:$AY$1005="Direkomendasikan",ROW($6:$1005)-5),285)))=1),IFERROR(VLOOKUP(INDEX(checklistPesertaKemenkeu!$O$6:$O$1005,SMALL(IF(checklistPesertaKemenkeu!$AY$6:$AY$1005="Direkomendasikan",ROW($6:$1005)-5),285)),KotaKode,2,0),"-"),"")),"")</f>
        <v/>
      </c>
      <c r="L286" t="str">
        <f t="array" aca="1" ref="L286" ca="1">IFERROR(IF(OR(INDEX(checklistPesertaKemenkeu!$P$6:$P$1005,SMALL(IF(checklistPesertaKemenkeu!$AY$6:$AY$1005="Direkomendasikan",ROW($6:$1005)-5),285))="",INDEX(checklistPesertaKemenkeu!$J$6:$J$1005,SMALL(IF(checklistPesertaKemenkeu!$AY$6:$AY$1005="Direkomendasikan",ROW($6:$1005)-5),285))=""),"",IF(AND(COUNTIF(INDIRECT("K_"&amp;MATCH(INDEX(checklistPesertaKemenkeu!$J$6:$J$1005,SMALL(IF(checklistPesertaKemenkeu!$AY$6:$AY$1005="Direkomendasikan",ROW($6:$1005)-5),285)),BidangList,0)),INDEX(checklistPesertaKemenkeu!$P$6:$P$1005,SMALL(IF(checklistPesertaKemenkeu!$AY$6:$AY$1005="Direkomendasikan",ROW($6:$1005)-5),285)))&gt;0,COUNTIF(INDIRECT("'KERTAS KERJA'!K"&amp;(SMALL(IF(checklistPesertaKemenkeu!$AY$6:$AY$1005="Direkomendasikan",ROW($6:$1005)-5),285)+5)&amp;":O"&amp;(SMALL(IF(checklistPesertaKemenkeu!$AY$6:$AY$1005="Direkomendasikan",ROW($6:$1005)-5),285)+5)),INDEX(checklistPesertaKemenkeu!$P$6:$P$1005,SMALL(IF(checklistPesertaKemenkeu!$AY$6:$AY$1005="Direkomendasikan",ROW($6:$1005)-5),285)))=1),IFERROR(VLOOKUP(INDEX(checklistPesertaKemenkeu!$P$6:$P$1005,SMALL(IF(checklistPesertaKemenkeu!$AY$6:$AY$1005="Direkomendasikan",ROW($6:$1005)-5),285)),KotaKode,2,0),"-"),"")),"")</f>
        <v/>
      </c>
    </row>
    <row r="287" spans="1:12" ht="15" customHeight="1" x14ac:dyDescent="0.2">
      <c r="A287" t="str">
        <f t="shared" si="4"/>
        <v/>
      </c>
      <c r="B287" t="str">
        <v/>
      </c>
      <c r="C287" s="40" t="str">
        <f t="array" ref="C287">IFERROR(INDEX(checklistPesertaKemenkeu!$F$6:$F$1005,SMALL(IF(checklistPesertaKemenkeu!$AY$6:$AY$1005="Direkomendasikan",ROW($6:$1005)-5),286)),"")</f>
        <v/>
      </c>
      <c r="D287" t="str">
        <f t="array" ref="D287">IFERROR(INDEX(checklistPesertaKemenkeu!$G$6:$G$1005,SMALL(IF(checklistPesertaKemenkeu!$AY$6:$AY$1005="Direkomendasikan",ROW($6:$1005)-5),286)),"")</f>
        <v/>
      </c>
      <c r="E287" t="str">
        <f t="array" ref="E287">IFERROR(INDEX(checklistPesertaKemenkeu!$H$6:$H$1005,SMALL(IF(checklistPesertaKemenkeu!$AY$6:$AY$1005="Direkomendasikan",ROW($6:$1005)-5),286)),"")</f>
        <v/>
      </c>
      <c r="F287" t="str">
        <f t="array" ref="F287">IFERROR(INDEX(checklistPesertaKemenkeu!$I$6:$I$1005,SMALL(IF(checklistPesertaKemenkeu!$AY$6:$AY$1005="Direkomendasikan",ROW($6:$1005)-5),286)),"")</f>
        <v/>
      </c>
      <c r="G287" t="str">
        <f t="array" ref="G287">IFERROR(INDEX(checklistPesertaKemenkeu!$J$6:$J$1005,SMALL(IF(checklistPesertaKemenkeu!$AY$6:$AY$1005="Direkomendasikan",ROW($6:$1005)-5),286)),"")</f>
        <v/>
      </c>
      <c r="H287" t="str">
        <f t="array" aca="1" ref="H287" ca="1">IFERROR(IF(OR(INDEX(checklistPesertaKemenkeu!$L$6:$L$1005,SMALL(IF(checklistPesertaKemenkeu!$AY$6:$AY$1005="Direkomendasikan",ROW($6:$1005)-5),286))="",INDEX(checklistPesertaKemenkeu!$J$6:$J$1005,SMALL(IF(checklistPesertaKemenkeu!$AY$6:$AY$1005="Direkomendasikan",ROW($6:$1005)-5),286))=""),"",IF(AND(COUNTIF(INDIRECT("K_"&amp;MATCH(INDEX(checklistPesertaKemenkeu!$J$6:$J$1005,SMALL(IF(checklistPesertaKemenkeu!$AY$6:$AY$1005="Direkomendasikan",ROW($6:$1005)-5),286)),BidangList,0)),INDEX(checklistPesertaKemenkeu!$L$6:$L$1005,SMALL(IF(checklistPesertaKemenkeu!$AY$6:$AY$1005="Direkomendasikan",ROW($6:$1005)-5),286)))&gt;0,COUNTIF(INDIRECT("'KERTAS KERJA'!K"&amp;(SMALL(IF(checklistPesertaKemenkeu!$AY$6:$AY$1005="Direkomendasikan",ROW($6:$1005)-5),286)+5)&amp;":O"&amp;(SMALL(IF(checklistPesertaKemenkeu!$AY$6:$AY$1005="Direkomendasikan",ROW($6:$1005)-5),286)+5)),INDEX(checklistPesertaKemenkeu!$L$6:$L$1005,SMALL(IF(checklistPesertaKemenkeu!$AY$6:$AY$1005="Direkomendasikan",ROW($6:$1005)-5),286)))=1),IFERROR(VLOOKUP(INDEX(checklistPesertaKemenkeu!$L$6:$L$1005,SMALL(IF(checklistPesertaKemenkeu!$AY$6:$AY$1005="Direkomendasikan",ROW($6:$1005)-5),286)),KotaKode,2,0),"-"),"")),"")</f>
        <v/>
      </c>
      <c r="I287" t="str">
        <f t="array" aca="1" ref="I287" ca="1">IFERROR(IF(OR(INDEX(checklistPesertaKemenkeu!$M$6:$M$1005,SMALL(IF(checklistPesertaKemenkeu!$AY$6:$AY$1005="Direkomendasikan",ROW($6:$1005)-5),286))="",INDEX(checklistPesertaKemenkeu!$J$6:$J$1005,SMALL(IF(checklistPesertaKemenkeu!$AY$6:$AY$1005="Direkomendasikan",ROW($6:$1005)-5),286))=""),"",IF(AND(COUNTIF(INDIRECT("K_"&amp;MATCH(INDEX(checklistPesertaKemenkeu!$J$6:$J$1005,SMALL(IF(checklistPesertaKemenkeu!$AY$6:$AY$1005="Direkomendasikan",ROW($6:$1005)-5),286)),BidangList,0)),INDEX(checklistPesertaKemenkeu!$M$6:$M$1005,SMALL(IF(checklistPesertaKemenkeu!$AY$6:$AY$1005="Direkomendasikan",ROW($6:$1005)-5),286)))&gt;0,COUNTIF(INDIRECT("'KERTAS KERJA'!K"&amp;(SMALL(IF(checklistPesertaKemenkeu!$AY$6:$AY$1005="Direkomendasikan",ROW($6:$1005)-5),286)+5)&amp;":O"&amp;(SMALL(IF(checklistPesertaKemenkeu!$AY$6:$AY$1005="Direkomendasikan",ROW($6:$1005)-5),286)+5)),INDEX(checklistPesertaKemenkeu!$M$6:$M$1005,SMALL(IF(checklistPesertaKemenkeu!$AY$6:$AY$1005="Direkomendasikan",ROW($6:$1005)-5),286)))=1),IFERROR(VLOOKUP(INDEX(checklistPesertaKemenkeu!$M$6:$M$1005,SMALL(IF(checklistPesertaKemenkeu!$AY$6:$AY$1005="Direkomendasikan",ROW($6:$1005)-5),286)),KotaKode,2,0),"-"),"")),"")</f>
        <v/>
      </c>
      <c r="J287" t="str">
        <f t="array" aca="1" ref="J287" ca="1">IFERROR(IF(OR(INDEX(checklistPesertaKemenkeu!$N$6:$N$1005,SMALL(IF(checklistPesertaKemenkeu!$AY$6:$AY$1005="Direkomendasikan",ROW($6:$1005)-5),286))="",INDEX(checklistPesertaKemenkeu!$J$6:$J$1005,SMALL(IF(checklistPesertaKemenkeu!$AY$6:$AY$1005="Direkomendasikan",ROW($6:$1005)-5),286))=""),"",IF(AND(COUNTIF(INDIRECT("K_"&amp;MATCH(INDEX(checklistPesertaKemenkeu!$J$6:$J$1005,SMALL(IF(checklistPesertaKemenkeu!$AY$6:$AY$1005="Direkomendasikan",ROW($6:$1005)-5),286)),BidangList,0)),INDEX(checklistPesertaKemenkeu!$N$6:$N$1005,SMALL(IF(checklistPesertaKemenkeu!$AY$6:$AY$1005="Direkomendasikan",ROW($6:$1005)-5),286)))&gt;0,COUNTIF(INDIRECT("'KERTAS KERJA'!K"&amp;(SMALL(IF(checklistPesertaKemenkeu!$AY$6:$AY$1005="Direkomendasikan",ROW($6:$1005)-5),286)+5)&amp;":O"&amp;(SMALL(IF(checklistPesertaKemenkeu!$AY$6:$AY$1005="Direkomendasikan",ROW($6:$1005)-5),286)+5)),INDEX(checklistPesertaKemenkeu!$N$6:$N$1005,SMALL(IF(checklistPesertaKemenkeu!$AY$6:$AY$1005="Direkomendasikan",ROW($6:$1005)-5),286)))=1),IFERROR(VLOOKUP(INDEX(checklistPesertaKemenkeu!$N$6:$N$1005,SMALL(IF(checklistPesertaKemenkeu!$AY$6:$AY$1005="Direkomendasikan",ROW($6:$1005)-5),286)),KotaKode,2,0),"-"),"")),"")</f>
        <v/>
      </c>
      <c r="K287" t="str">
        <f t="array" aca="1" ref="K287" ca="1">IFERROR(IF(OR(INDEX(checklistPesertaKemenkeu!$O$6:$O$1005,SMALL(IF(checklistPesertaKemenkeu!$AY$6:$AY$1005="Direkomendasikan",ROW($6:$1005)-5),286))="",INDEX(checklistPesertaKemenkeu!$J$6:$J$1005,SMALL(IF(checklistPesertaKemenkeu!$AY$6:$AY$1005="Direkomendasikan",ROW($6:$1005)-5),286))=""),"",IF(AND(COUNTIF(INDIRECT("K_"&amp;MATCH(INDEX(checklistPesertaKemenkeu!$J$6:$J$1005,SMALL(IF(checklistPesertaKemenkeu!$AY$6:$AY$1005="Direkomendasikan",ROW($6:$1005)-5),286)),BidangList,0)),INDEX(checklistPesertaKemenkeu!$O$6:$O$1005,SMALL(IF(checklistPesertaKemenkeu!$AY$6:$AY$1005="Direkomendasikan",ROW($6:$1005)-5),286)))&gt;0,COUNTIF(INDIRECT("'KERTAS KERJA'!K"&amp;(SMALL(IF(checklistPesertaKemenkeu!$AY$6:$AY$1005="Direkomendasikan",ROW($6:$1005)-5),286)+5)&amp;":O"&amp;(SMALL(IF(checklistPesertaKemenkeu!$AY$6:$AY$1005="Direkomendasikan",ROW($6:$1005)-5),286)+5)),INDEX(checklistPesertaKemenkeu!$O$6:$O$1005,SMALL(IF(checklistPesertaKemenkeu!$AY$6:$AY$1005="Direkomendasikan",ROW($6:$1005)-5),286)))=1),IFERROR(VLOOKUP(INDEX(checklistPesertaKemenkeu!$O$6:$O$1005,SMALL(IF(checklistPesertaKemenkeu!$AY$6:$AY$1005="Direkomendasikan",ROW($6:$1005)-5),286)),KotaKode,2,0),"-"),"")),"")</f>
        <v/>
      </c>
      <c r="L287" t="str">
        <f t="array" aca="1" ref="L287" ca="1">IFERROR(IF(OR(INDEX(checklistPesertaKemenkeu!$P$6:$P$1005,SMALL(IF(checklistPesertaKemenkeu!$AY$6:$AY$1005="Direkomendasikan",ROW($6:$1005)-5),286))="",INDEX(checklistPesertaKemenkeu!$J$6:$J$1005,SMALL(IF(checklistPesertaKemenkeu!$AY$6:$AY$1005="Direkomendasikan",ROW($6:$1005)-5),286))=""),"",IF(AND(COUNTIF(INDIRECT("K_"&amp;MATCH(INDEX(checklistPesertaKemenkeu!$J$6:$J$1005,SMALL(IF(checklistPesertaKemenkeu!$AY$6:$AY$1005="Direkomendasikan",ROW($6:$1005)-5),286)),BidangList,0)),INDEX(checklistPesertaKemenkeu!$P$6:$P$1005,SMALL(IF(checklistPesertaKemenkeu!$AY$6:$AY$1005="Direkomendasikan",ROW($6:$1005)-5),286)))&gt;0,COUNTIF(INDIRECT("'KERTAS KERJA'!K"&amp;(SMALL(IF(checklistPesertaKemenkeu!$AY$6:$AY$1005="Direkomendasikan",ROW($6:$1005)-5),286)+5)&amp;":O"&amp;(SMALL(IF(checklistPesertaKemenkeu!$AY$6:$AY$1005="Direkomendasikan",ROW($6:$1005)-5),286)+5)),INDEX(checklistPesertaKemenkeu!$P$6:$P$1005,SMALL(IF(checklistPesertaKemenkeu!$AY$6:$AY$1005="Direkomendasikan",ROW($6:$1005)-5),286)))=1),IFERROR(VLOOKUP(INDEX(checklistPesertaKemenkeu!$P$6:$P$1005,SMALL(IF(checklistPesertaKemenkeu!$AY$6:$AY$1005="Direkomendasikan",ROW($6:$1005)-5),286)),KotaKode,2,0),"-"),"")),"")</f>
        <v/>
      </c>
    </row>
    <row r="288" spans="1:12" ht="15" customHeight="1" x14ac:dyDescent="0.2">
      <c r="A288" t="str">
        <f t="shared" si="4"/>
        <v/>
      </c>
      <c r="B288" t="str">
        <v/>
      </c>
      <c r="C288" s="40" t="str">
        <f t="array" ref="C288">IFERROR(INDEX(checklistPesertaKemenkeu!$F$6:$F$1005,SMALL(IF(checklistPesertaKemenkeu!$AY$6:$AY$1005="Direkomendasikan",ROW($6:$1005)-5),287)),"")</f>
        <v/>
      </c>
      <c r="D288" t="str">
        <f t="array" ref="D288">IFERROR(INDEX(checklistPesertaKemenkeu!$G$6:$G$1005,SMALL(IF(checklistPesertaKemenkeu!$AY$6:$AY$1005="Direkomendasikan",ROW($6:$1005)-5),287)),"")</f>
        <v/>
      </c>
      <c r="E288" t="str">
        <f t="array" ref="E288">IFERROR(INDEX(checklistPesertaKemenkeu!$H$6:$H$1005,SMALL(IF(checklistPesertaKemenkeu!$AY$6:$AY$1005="Direkomendasikan",ROW($6:$1005)-5),287)),"")</f>
        <v/>
      </c>
      <c r="F288" t="str">
        <f t="array" ref="F288">IFERROR(INDEX(checklistPesertaKemenkeu!$I$6:$I$1005,SMALL(IF(checklistPesertaKemenkeu!$AY$6:$AY$1005="Direkomendasikan",ROW($6:$1005)-5),287)),"")</f>
        <v/>
      </c>
      <c r="G288" t="str">
        <f t="array" ref="G288">IFERROR(INDEX(checklistPesertaKemenkeu!$J$6:$J$1005,SMALL(IF(checklistPesertaKemenkeu!$AY$6:$AY$1005="Direkomendasikan",ROW($6:$1005)-5),287)),"")</f>
        <v/>
      </c>
      <c r="H288" t="str">
        <f t="array" aca="1" ref="H288" ca="1">IFERROR(IF(OR(INDEX(checklistPesertaKemenkeu!$L$6:$L$1005,SMALL(IF(checklistPesertaKemenkeu!$AY$6:$AY$1005="Direkomendasikan",ROW($6:$1005)-5),287))="",INDEX(checklistPesertaKemenkeu!$J$6:$J$1005,SMALL(IF(checklistPesertaKemenkeu!$AY$6:$AY$1005="Direkomendasikan",ROW($6:$1005)-5),287))=""),"",IF(AND(COUNTIF(INDIRECT("K_"&amp;MATCH(INDEX(checklistPesertaKemenkeu!$J$6:$J$1005,SMALL(IF(checklistPesertaKemenkeu!$AY$6:$AY$1005="Direkomendasikan",ROW($6:$1005)-5),287)),BidangList,0)),INDEX(checklistPesertaKemenkeu!$L$6:$L$1005,SMALL(IF(checklistPesertaKemenkeu!$AY$6:$AY$1005="Direkomendasikan",ROW($6:$1005)-5),287)))&gt;0,COUNTIF(INDIRECT("'KERTAS KERJA'!K"&amp;(SMALL(IF(checklistPesertaKemenkeu!$AY$6:$AY$1005="Direkomendasikan",ROW($6:$1005)-5),287)+5)&amp;":O"&amp;(SMALL(IF(checklistPesertaKemenkeu!$AY$6:$AY$1005="Direkomendasikan",ROW($6:$1005)-5),287)+5)),INDEX(checklistPesertaKemenkeu!$L$6:$L$1005,SMALL(IF(checklistPesertaKemenkeu!$AY$6:$AY$1005="Direkomendasikan",ROW($6:$1005)-5),287)))=1),IFERROR(VLOOKUP(INDEX(checklistPesertaKemenkeu!$L$6:$L$1005,SMALL(IF(checklistPesertaKemenkeu!$AY$6:$AY$1005="Direkomendasikan",ROW($6:$1005)-5),287)),KotaKode,2,0),"-"),"")),"")</f>
        <v/>
      </c>
      <c r="I288" t="str">
        <f t="array" aca="1" ref="I288" ca="1">IFERROR(IF(OR(INDEX(checklistPesertaKemenkeu!$M$6:$M$1005,SMALL(IF(checklistPesertaKemenkeu!$AY$6:$AY$1005="Direkomendasikan",ROW($6:$1005)-5),287))="",INDEX(checklistPesertaKemenkeu!$J$6:$J$1005,SMALL(IF(checklistPesertaKemenkeu!$AY$6:$AY$1005="Direkomendasikan",ROW($6:$1005)-5),287))=""),"",IF(AND(COUNTIF(INDIRECT("K_"&amp;MATCH(INDEX(checklistPesertaKemenkeu!$J$6:$J$1005,SMALL(IF(checklistPesertaKemenkeu!$AY$6:$AY$1005="Direkomendasikan",ROW($6:$1005)-5),287)),BidangList,0)),INDEX(checklistPesertaKemenkeu!$M$6:$M$1005,SMALL(IF(checklistPesertaKemenkeu!$AY$6:$AY$1005="Direkomendasikan",ROW($6:$1005)-5),287)))&gt;0,COUNTIF(INDIRECT("'KERTAS KERJA'!K"&amp;(SMALL(IF(checklistPesertaKemenkeu!$AY$6:$AY$1005="Direkomendasikan",ROW($6:$1005)-5),287)+5)&amp;":O"&amp;(SMALL(IF(checklistPesertaKemenkeu!$AY$6:$AY$1005="Direkomendasikan",ROW($6:$1005)-5),287)+5)),INDEX(checklistPesertaKemenkeu!$M$6:$M$1005,SMALL(IF(checklistPesertaKemenkeu!$AY$6:$AY$1005="Direkomendasikan",ROW($6:$1005)-5),287)))=1),IFERROR(VLOOKUP(INDEX(checklistPesertaKemenkeu!$M$6:$M$1005,SMALL(IF(checklistPesertaKemenkeu!$AY$6:$AY$1005="Direkomendasikan",ROW($6:$1005)-5),287)),KotaKode,2,0),"-"),"")),"")</f>
        <v/>
      </c>
      <c r="J288" t="str">
        <f t="array" aca="1" ref="J288" ca="1">IFERROR(IF(OR(INDEX(checklistPesertaKemenkeu!$N$6:$N$1005,SMALL(IF(checklistPesertaKemenkeu!$AY$6:$AY$1005="Direkomendasikan",ROW($6:$1005)-5),287))="",INDEX(checklistPesertaKemenkeu!$J$6:$J$1005,SMALL(IF(checklistPesertaKemenkeu!$AY$6:$AY$1005="Direkomendasikan",ROW($6:$1005)-5),287))=""),"",IF(AND(COUNTIF(INDIRECT("K_"&amp;MATCH(INDEX(checklistPesertaKemenkeu!$J$6:$J$1005,SMALL(IF(checklistPesertaKemenkeu!$AY$6:$AY$1005="Direkomendasikan",ROW($6:$1005)-5),287)),BidangList,0)),INDEX(checklistPesertaKemenkeu!$N$6:$N$1005,SMALL(IF(checklistPesertaKemenkeu!$AY$6:$AY$1005="Direkomendasikan",ROW($6:$1005)-5),287)))&gt;0,COUNTIF(INDIRECT("'KERTAS KERJA'!K"&amp;(SMALL(IF(checklistPesertaKemenkeu!$AY$6:$AY$1005="Direkomendasikan",ROW($6:$1005)-5),287)+5)&amp;":O"&amp;(SMALL(IF(checklistPesertaKemenkeu!$AY$6:$AY$1005="Direkomendasikan",ROW($6:$1005)-5),287)+5)),INDEX(checklistPesertaKemenkeu!$N$6:$N$1005,SMALL(IF(checklistPesertaKemenkeu!$AY$6:$AY$1005="Direkomendasikan",ROW($6:$1005)-5),287)))=1),IFERROR(VLOOKUP(INDEX(checklistPesertaKemenkeu!$N$6:$N$1005,SMALL(IF(checklistPesertaKemenkeu!$AY$6:$AY$1005="Direkomendasikan",ROW($6:$1005)-5),287)),KotaKode,2,0),"-"),"")),"")</f>
        <v/>
      </c>
      <c r="K288" t="str">
        <f t="array" aca="1" ref="K288" ca="1">IFERROR(IF(OR(INDEX(checklistPesertaKemenkeu!$O$6:$O$1005,SMALL(IF(checklistPesertaKemenkeu!$AY$6:$AY$1005="Direkomendasikan",ROW($6:$1005)-5),287))="",INDEX(checklistPesertaKemenkeu!$J$6:$J$1005,SMALL(IF(checklistPesertaKemenkeu!$AY$6:$AY$1005="Direkomendasikan",ROW($6:$1005)-5),287))=""),"",IF(AND(COUNTIF(INDIRECT("K_"&amp;MATCH(INDEX(checklistPesertaKemenkeu!$J$6:$J$1005,SMALL(IF(checklistPesertaKemenkeu!$AY$6:$AY$1005="Direkomendasikan",ROW($6:$1005)-5),287)),BidangList,0)),INDEX(checklistPesertaKemenkeu!$O$6:$O$1005,SMALL(IF(checklistPesertaKemenkeu!$AY$6:$AY$1005="Direkomendasikan",ROW($6:$1005)-5),287)))&gt;0,COUNTIF(INDIRECT("'KERTAS KERJA'!K"&amp;(SMALL(IF(checklistPesertaKemenkeu!$AY$6:$AY$1005="Direkomendasikan",ROW($6:$1005)-5),287)+5)&amp;":O"&amp;(SMALL(IF(checklistPesertaKemenkeu!$AY$6:$AY$1005="Direkomendasikan",ROW($6:$1005)-5),287)+5)),INDEX(checklistPesertaKemenkeu!$O$6:$O$1005,SMALL(IF(checklistPesertaKemenkeu!$AY$6:$AY$1005="Direkomendasikan",ROW($6:$1005)-5),287)))=1),IFERROR(VLOOKUP(INDEX(checklistPesertaKemenkeu!$O$6:$O$1005,SMALL(IF(checklistPesertaKemenkeu!$AY$6:$AY$1005="Direkomendasikan",ROW($6:$1005)-5),287)),KotaKode,2,0),"-"),"")),"")</f>
        <v/>
      </c>
      <c r="L288" t="str">
        <f t="array" aca="1" ref="L288" ca="1">IFERROR(IF(OR(INDEX(checklistPesertaKemenkeu!$P$6:$P$1005,SMALL(IF(checklistPesertaKemenkeu!$AY$6:$AY$1005="Direkomendasikan",ROW($6:$1005)-5),287))="",INDEX(checklistPesertaKemenkeu!$J$6:$J$1005,SMALL(IF(checklistPesertaKemenkeu!$AY$6:$AY$1005="Direkomendasikan",ROW($6:$1005)-5),287))=""),"",IF(AND(COUNTIF(INDIRECT("K_"&amp;MATCH(INDEX(checklistPesertaKemenkeu!$J$6:$J$1005,SMALL(IF(checklistPesertaKemenkeu!$AY$6:$AY$1005="Direkomendasikan",ROW($6:$1005)-5),287)),BidangList,0)),INDEX(checklistPesertaKemenkeu!$P$6:$P$1005,SMALL(IF(checklistPesertaKemenkeu!$AY$6:$AY$1005="Direkomendasikan",ROW($6:$1005)-5),287)))&gt;0,COUNTIF(INDIRECT("'KERTAS KERJA'!K"&amp;(SMALL(IF(checklistPesertaKemenkeu!$AY$6:$AY$1005="Direkomendasikan",ROW($6:$1005)-5),287)+5)&amp;":O"&amp;(SMALL(IF(checklistPesertaKemenkeu!$AY$6:$AY$1005="Direkomendasikan",ROW($6:$1005)-5),287)+5)),INDEX(checklistPesertaKemenkeu!$P$6:$P$1005,SMALL(IF(checklistPesertaKemenkeu!$AY$6:$AY$1005="Direkomendasikan",ROW($6:$1005)-5),287)))=1),IFERROR(VLOOKUP(INDEX(checklistPesertaKemenkeu!$P$6:$P$1005,SMALL(IF(checklistPesertaKemenkeu!$AY$6:$AY$1005="Direkomendasikan",ROW($6:$1005)-5),287)),KotaKode,2,0),"-"),"")),"")</f>
        <v/>
      </c>
    </row>
    <row r="289" spans="1:12" ht="15" customHeight="1" x14ac:dyDescent="0.2">
      <c r="A289" t="str">
        <f t="shared" si="4"/>
        <v/>
      </c>
      <c r="B289" t="str">
        <v/>
      </c>
      <c r="C289" s="40" t="str">
        <f t="array" ref="C289">IFERROR(INDEX(checklistPesertaKemenkeu!$F$6:$F$1005,SMALL(IF(checklistPesertaKemenkeu!$AY$6:$AY$1005="Direkomendasikan",ROW($6:$1005)-5),288)),"")</f>
        <v/>
      </c>
      <c r="D289" t="str">
        <f t="array" ref="D289">IFERROR(INDEX(checklistPesertaKemenkeu!$G$6:$G$1005,SMALL(IF(checklistPesertaKemenkeu!$AY$6:$AY$1005="Direkomendasikan",ROW($6:$1005)-5),288)),"")</f>
        <v/>
      </c>
      <c r="E289" t="str">
        <f t="array" ref="E289">IFERROR(INDEX(checklistPesertaKemenkeu!$H$6:$H$1005,SMALL(IF(checklistPesertaKemenkeu!$AY$6:$AY$1005="Direkomendasikan",ROW($6:$1005)-5),288)),"")</f>
        <v/>
      </c>
      <c r="F289" t="str">
        <f t="array" ref="F289">IFERROR(INDEX(checklistPesertaKemenkeu!$I$6:$I$1005,SMALL(IF(checklistPesertaKemenkeu!$AY$6:$AY$1005="Direkomendasikan",ROW($6:$1005)-5),288)),"")</f>
        <v/>
      </c>
      <c r="G289" t="str">
        <f t="array" ref="G289">IFERROR(INDEX(checklistPesertaKemenkeu!$J$6:$J$1005,SMALL(IF(checklistPesertaKemenkeu!$AY$6:$AY$1005="Direkomendasikan",ROW($6:$1005)-5),288)),"")</f>
        <v/>
      </c>
      <c r="H289" t="str">
        <f t="array" aca="1" ref="H289" ca="1">IFERROR(IF(OR(INDEX(checklistPesertaKemenkeu!$L$6:$L$1005,SMALL(IF(checklistPesertaKemenkeu!$AY$6:$AY$1005="Direkomendasikan",ROW($6:$1005)-5),288))="",INDEX(checklistPesertaKemenkeu!$J$6:$J$1005,SMALL(IF(checklistPesertaKemenkeu!$AY$6:$AY$1005="Direkomendasikan",ROW($6:$1005)-5),288))=""),"",IF(AND(COUNTIF(INDIRECT("K_"&amp;MATCH(INDEX(checklistPesertaKemenkeu!$J$6:$J$1005,SMALL(IF(checklistPesertaKemenkeu!$AY$6:$AY$1005="Direkomendasikan",ROW($6:$1005)-5),288)),BidangList,0)),INDEX(checklistPesertaKemenkeu!$L$6:$L$1005,SMALL(IF(checklistPesertaKemenkeu!$AY$6:$AY$1005="Direkomendasikan",ROW($6:$1005)-5),288)))&gt;0,COUNTIF(INDIRECT("'KERTAS KERJA'!K"&amp;(SMALL(IF(checklistPesertaKemenkeu!$AY$6:$AY$1005="Direkomendasikan",ROW($6:$1005)-5),288)+5)&amp;":O"&amp;(SMALL(IF(checklistPesertaKemenkeu!$AY$6:$AY$1005="Direkomendasikan",ROW($6:$1005)-5),288)+5)),INDEX(checklistPesertaKemenkeu!$L$6:$L$1005,SMALL(IF(checklistPesertaKemenkeu!$AY$6:$AY$1005="Direkomendasikan",ROW($6:$1005)-5),288)))=1),IFERROR(VLOOKUP(INDEX(checklistPesertaKemenkeu!$L$6:$L$1005,SMALL(IF(checklistPesertaKemenkeu!$AY$6:$AY$1005="Direkomendasikan",ROW($6:$1005)-5),288)),KotaKode,2,0),"-"),"")),"")</f>
        <v/>
      </c>
      <c r="I289" t="str">
        <f t="array" aca="1" ref="I289" ca="1">IFERROR(IF(OR(INDEX(checklistPesertaKemenkeu!$M$6:$M$1005,SMALL(IF(checklistPesertaKemenkeu!$AY$6:$AY$1005="Direkomendasikan",ROW($6:$1005)-5),288))="",INDEX(checklistPesertaKemenkeu!$J$6:$J$1005,SMALL(IF(checklistPesertaKemenkeu!$AY$6:$AY$1005="Direkomendasikan",ROW($6:$1005)-5),288))=""),"",IF(AND(COUNTIF(INDIRECT("K_"&amp;MATCH(INDEX(checklistPesertaKemenkeu!$J$6:$J$1005,SMALL(IF(checklistPesertaKemenkeu!$AY$6:$AY$1005="Direkomendasikan",ROW($6:$1005)-5),288)),BidangList,0)),INDEX(checklistPesertaKemenkeu!$M$6:$M$1005,SMALL(IF(checklistPesertaKemenkeu!$AY$6:$AY$1005="Direkomendasikan",ROW($6:$1005)-5),288)))&gt;0,COUNTIF(INDIRECT("'KERTAS KERJA'!K"&amp;(SMALL(IF(checklistPesertaKemenkeu!$AY$6:$AY$1005="Direkomendasikan",ROW($6:$1005)-5),288)+5)&amp;":O"&amp;(SMALL(IF(checklistPesertaKemenkeu!$AY$6:$AY$1005="Direkomendasikan",ROW($6:$1005)-5),288)+5)),INDEX(checklistPesertaKemenkeu!$M$6:$M$1005,SMALL(IF(checklistPesertaKemenkeu!$AY$6:$AY$1005="Direkomendasikan",ROW($6:$1005)-5),288)))=1),IFERROR(VLOOKUP(INDEX(checklistPesertaKemenkeu!$M$6:$M$1005,SMALL(IF(checklistPesertaKemenkeu!$AY$6:$AY$1005="Direkomendasikan",ROW($6:$1005)-5),288)),KotaKode,2,0),"-"),"")),"")</f>
        <v/>
      </c>
      <c r="J289" t="str">
        <f t="array" aca="1" ref="J289" ca="1">IFERROR(IF(OR(INDEX(checklistPesertaKemenkeu!$N$6:$N$1005,SMALL(IF(checklistPesertaKemenkeu!$AY$6:$AY$1005="Direkomendasikan",ROW($6:$1005)-5),288))="",INDEX(checklistPesertaKemenkeu!$J$6:$J$1005,SMALL(IF(checklistPesertaKemenkeu!$AY$6:$AY$1005="Direkomendasikan",ROW($6:$1005)-5),288))=""),"",IF(AND(COUNTIF(INDIRECT("K_"&amp;MATCH(INDEX(checklistPesertaKemenkeu!$J$6:$J$1005,SMALL(IF(checklistPesertaKemenkeu!$AY$6:$AY$1005="Direkomendasikan",ROW($6:$1005)-5),288)),BidangList,0)),INDEX(checklistPesertaKemenkeu!$N$6:$N$1005,SMALL(IF(checklistPesertaKemenkeu!$AY$6:$AY$1005="Direkomendasikan",ROW($6:$1005)-5),288)))&gt;0,COUNTIF(INDIRECT("'KERTAS KERJA'!K"&amp;(SMALL(IF(checklistPesertaKemenkeu!$AY$6:$AY$1005="Direkomendasikan",ROW($6:$1005)-5),288)+5)&amp;":O"&amp;(SMALL(IF(checklistPesertaKemenkeu!$AY$6:$AY$1005="Direkomendasikan",ROW($6:$1005)-5),288)+5)),INDEX(checklistPesertaKemenkeu!$N$6:$N$1005,SMALL(IF(checklistPesertaKemenkeu!$AY$6:$AY$1005="Direkomendasikan",ROW($6:$1005)-5),288)))=1),IFERROR(VLOOKUP(INDEX(checklistPesertaKemenkeu!$N$6:$N$1005,SMALL(IF(checklistPesertaKemenkeu!$AY$6:$AY$1005="Direkomendasikan",ROW($6:$1005)-5),288)),KotaKode,2,0),"-"),"")),"")</f>
        <v/>
      </c>
      <c r="K289" t="str">
        <f t="array" aca="1" ref="K289" ca="1">IFERROR(IF(OR(INDEX(checklistPesertaKemenkeu!$O$6:$O$1005,SMALL(IF(checklistPesertaKemenkeu!$AY$6:$AY$1005="Direkomendasikan",ROW($6:$1005)-5),288))="",INDEX(checklistPesertaKemenkeu!$J$6:$J$1005,SMALL(IF(checklistPesertaKemenkeu!$AY$6:$AY$1005="Direkomendasikan",ROW($6:$1005)-5),288))=""),"",IF(AND(COUNTIF(INDIRECT("K_"&amp;MATCH(INDEX(checklistPesertaKemenkeu!$J$6:$J$1005,SMALL(IF(checklistPesertaKemenkeu!$AY$6:$AY$1005="Direkomendasikan",ROW($6:$1005)-5),288)),BidangList,0)),INDEX(checklistPesertaKemenkeu!$O$6:$O$1005,SMALL(IF(checklistPesertaKemenkeu!$AY$6:$AY$1005="Direkomendasikan",ROW($6:$1005)-5),288)))&gt;0,COUNTIF(INDIRECT("'KERTAS KERJA'!K"&amp;(SMALL(IF(checklistPesertaKemenkeu!$AY$6:$AY$1005="Direkomendasikan",ROW($6:$1005)-5),288)+5)&amp;":O"&amp;(SMALL(IF(checklistPesertaKemenkeu!$AY$6:$AY$1005="Direkomendasikan",ROW($6:$1005)-5),288)+5)),INDEX(checklistPesertaKemenkeu!$O$6:$O$1005,SMALL(IF(checklistPesertaKemenkeu!$AY$6:$AY$1005="Direkomendasikan",ROW($6:$1005)-5),288)))=1),IFERROR(VLOOKUP(INDEX(checklistPesertaKemenkeu!$O$6:$O$1005,SMALL(IF(checklistPesertaKemenkeu!$AY$6:$AY$1005="Direkomendasikan",ROW($6:$1005)-5),288)),KotaKode,2,0),"-"),"")),"")</f>
        <v/>
      </c>
      <c r="L289" t="str">
        <f t="array" aca="1" ref="L289" ca="1">IFERROR(IF(OR(INDEX(checklistPesertaKemenkeu!$P$6:$P$1005,SMALL(IF(checklistPesertaKemenkeu!$AY$6:$AY$1005="Direkomendasikan",ROW($6:$1005)-5),288))="",INDEX(checklistPesertaKemenkeu!$J$6:$J$1005,SMALL(IF(checklistPesertaKemenkeu!$AY$6:$AY$1005="Direkomendasikan",ROW($6:$1005)-5),288))=""),"",IF(AND(COUNTIF(INDIRECT("K_"&amp;MATCH(INDEX(checklistPesertaKemenkeu!$J$6:$J$1005,SMALL(IF(checklistPesertaKemenkeu!$AY$6:$AY$1005="Direkomendasikan",ROW($6:$1005)-5),288)),BidangList,0)),INDEX(checklistPesertaKemenkeu!$P$6:$P$1005,SMALL(IF(checklistPesertaKemenkeu!$AY$6:$AY$1005="Direkomendasikan",ROW($6:$1005)-5),288)))&gt;0,COUNTIF(INDIRECT("'KERTAS KERJA'!K"&amp;(SMALL(IF(checklistPesertaKemenkeu!$AY$6:$AY$1005="Direkomendasikan",ROW($6:$1005)-5),288)+5)&amp;":O"&amp;(SMALL(IF(checklistPesertaKemenkeu!$AY$6:$AY$1005="Direkomendasikan",ROW($6:$1005)-5),288)+5)),INDEX(checklistPesertaKemenkeu!$P$6:$P$1005,SMALL(IF(checklistPesertaKemenkeu!$AY$6:$AY$1005="Direkomendasikan",ROW($6:$1005)-5),288)))=1),IFERROR(VLOOKUP(INDEX(checklistPesertaKemenkeu!$P$6:$P$1005,SMALL(IF(checklistPesertaKemenkeu!$AY$6:$AY$1005="Direkomendasikan",ROW($6:$1005)-5),288)),KotaKode,2,0),"-"),"")),"")</f>
        <v/>
      </c>
    </row>
    <row r="290" spans="1:12" ht="15" customHeight="1" x14ac:dyDescent="0.2">
      <c r="A290" t="str">
        <f t="shared" si="4"/>
        <v/>
      </c>
      <c r="B290" t="str">
        <v/>
      </c>
      <c r="C290" s="40" t="str">
        <f t="array" ref="C290">IFERROR(INDEX(checklistPesertaKemenkeu!$F$6:$F$1005,SMALL(IF(checklistPesertaKemenkeu!$AY$6:$AY$1005="Direkomendasikan",ROW($6:$1005)-5),289)),"")</f>
        <v/>
      </c>
      <c r="D290" t="str">
        <f t="array" ref="D290">IFERROR(INDEX(checklistPesertaKemenkeu!$G$6:$G$1005,SMALL(IF(checklistPesertaKemenkeu!$AY$6:$AY$1005="Direkomendasikan",ROW($6:$1005)-5),289)),"")</f>
        <v/>
      </c>
      <c r="E290" t="str">
        <f t="array" ref="E290">IFERROR(INDEX(checklistPesertaKemenkeu!$H$6:$H$1005,SMALL(IF(checklistPesertaKemenkeu!$AY$6:$AY$1005="Direkomendasikan",ROW($6:$1005)-5),289)),"")</f>
        <v/>
      </c>
      <c r="F290" t="str">
        <f t="array" ref="F290">IFERROR(INDEX(checklistPesertaKemenkeu!$I$6:$I$1005,SMALL(IF(checklistPesertaKemenkeu!$AY$6:$AY$1005="Direkomendasikan",ROW($6:$1005)-5),289)),"")</f>
        <v/>
      </c>
      <c r="G290" t="str">
        <f t="array" ref="G290">IFERROR(INDEX(checklistPesertaKemenkeu!$J$6:$J$1005,SMALL(IF(checklistPesertaKemenkeu!$AY$6:$AY$1005="Direkomendasikan",ROW($6:$1005)-5),289)),"")</f>
        <v/>
      </c>
      <c r="H290" t="str">
        <f t="array" aca="1" ref="H290" ca="1">IFERROR(IF(OR(INDEX(checklistPesertaKemenkeu!$L$6:$L$1005,SMALL(IF(checklistPesertaKemenkeu!$AY$6:$AY$1005="Direkomendasikan",ROW($6:$1005)-5),289))="",INDEX(checklistPesertaKemenkeu!$J$6:$J$1005,SMALL(IF(checklistPesertaKemenkeu!$AY$6:$AY$1005="Direkomendasikan",ROW($6:$1005)-5),289))=""),"",IF(AND(COUNTIF(INDIRECT("K_"&amp;MATCH(INDEX(checklistPesertaKemenkeu!$J$6:$J$1005,SMALL(IF(checklistPesertaKemenkeu!$AY$6:$AY$1005="Direkomendasikan",ROW($6:$1005)-5),289)),BidangList,0)),INDEX(checklistPesertaKemenkeu!$L$6:$L$1005,SMALL(IF(checklistPesertaKemenkeu!$AY$6:$AY$1005="Direkomendasikan",ROW($6:$1005)-5),289)))&gt;0,COUNTIF(INDIRECT("'KERTAS KERJA'!K"&amp;(SMALL(IF(checklistPesertaKemenkeu!$AY$6:$AY$1005="Direkomendasikan",ROW($6:$1005)-5),289)+5)&amp;":O"&amp;(SMALL(IF(checklistPesertaKemenkeu!$AY$6:$AY$1005="Direkomendasikan",ROW($6:$1005)-5),289)+5)),INDEX(checklistPesertaKemenkeu!$L$6:$L$1005,SMALL(IF(checklistPesertaKemenkeu!$AY$6:$AY$1005="Direkomendasikan",ROW($6:$1005)-5),289)))=1),IFERROR(VLOOKUP(INDEX(checklistPesertaKemenkeu!$L$6:$L$1005,SMALL(IF(checklistPesertaKemenkeu!$AY$6:$AY$1005="Direkomendasikan",ROW($6:$1005)-5),289)),KotaKode,2,0),"-"),"")),"")</f>
        <v/>
      </c>
      <c r="I290" t="str">
        <f t="array" aca="1" ref="I290" ca="1">IFERROR(IF(OR(INDEX(checklistPesertaKemenkeu!$M$6:$M$1005,SMALL(IF(checklistPesertaKemenkeu!$AY$6:$AY$1005="Direkomendasikan",ROW($6:$1005)-5),289))="",INDEX(checklistPesertaKemenkeu!$J$6:$J$1005,SMALL(IF(checklistPesertaKemenkeu!$AY$6:$AY$1005="Direkomendasikan",ROW($6:$1005)-5),289))=""),"",IF(AND(COUNTIF(INDIRECT("K_"&amp;MATCH(INDEX(checklistPesertaKemenkeu!$J$6:$J$1005,SMALL(IF(checklistPesertaKemenkeu!$AY$6:$AY$1005="Direkomendasikan",ROW($6:$1005)-5),289)),BidangList,0)),INDEX(checklistPesertaKemenkeu!$M$6:$M$1005,SMALL(IF(checklistPesertaKemenkeu!$AY$6:$AY$1005="Direkomendasikan",ROW($6:$1005)-5),289)))&gt;0,COUNTIF(INDIRECT("'KERTAS KERJA'!K"&amp;(SMALL(IF(checklistPesertaKemenkeu!$AY$6:$AY$1005="Direkomendasikan",ROW($6:$1005)-5),289)+5)&amp;":O"&amp;(SMALL(IF(checklistPesertaKemenkeu!$AY$6:$AY$1005="Direkomendasikan",ROW($6:$1005)-5),289)+5)),INDEX(checklistPesertaKemenkeu!$M$6:$M$1005,SMALL(IF(checklistPesertaKemenkeu!$AY$6:$AY$1005="Direkomendasikan",ROW($6:$1005)-5),289)))=1),IFERROR(VLOOKUP(INDEX(checklistPesertaKemenkeu!$M$6:$M$1005,SMALL(IF(checklistPesertaKemenkeu!$AY$6:$AY$1005="Direkomendasikan",ROW($6:$1005)-5),289)),KotaKode,2,0),"-"),"")),"")</f>
        <v/>
      </c>
      <c r="J290" t="str">
        <f t="array" aca="1" ref="J290" ca="1">IFERROR(IF(OR(INDEX(checklistPesertaKemenkeu!$N$6:$N$1005,SMALL(IF(checklistPesertaKemenkeu!$AY$6:$AY$1005="Direkomendasikan",ROW($6:$1005)-5),289))="",INDEX(checklistPesertaKemenkeu!$J$6:$J$1005,SMALL(IF(checklistPesertaKemenkeu!$AY$6:$AY$1005="Direkomendasikan",ROW($6:$1005)-5),289))=""),"",IF(AND(COUNTIF(INDIRECT("K_"&amp;MATCH(INDEX(checklistPesertaKemenkeu!$J$6:$J$1005,SMALL(IF(checklistPesertaKemenkeu!$AY$6:$AY$1005="Direkomendasikan",ROW($6:$1005)-5),289)),BidangList,0)),INDEX(checklistPesertaKemenkeu!$N$6:$N$1005,SMALL(IF(checklistPesertaKemenkeu!$AY$6:$AY$1005="Direkomendasikan",ROW($6:$1005)-5),289)))&gt;0,COUNTIF(INDIRECT("'KERTAS KERJA'!K"&amp;(SMALL(IF(checklistPesertaKemenkeu!$AY$6:$AY$1005="Direkomendasikan",ROW($6:$1005)-5),289)+5)&amp;":O"&amp;(SMALL(IF(checklistPesertaKemenkeu!$AY$6:$AY$1005="Direkomendasikan",ROW($6:$1005)-5),289)+5)),INDEX(checklistPesertaKemenkeu!$N$6:$N$1005,SMALL(IF(checklistPesertaKemenkeu!$AY$6:$AY$1005="Direkomendasikan",ROW($6:$1005)-5),289)))=1),IFERROR(VLOOKUP(INDEX(checklistPesertaKemenkeu!$N$6:$N$1005,SMALL(IF(checklistPesertaKemenkeu!$AY$6:$AY$1005="Direkomendasikan",ROW($6:$1005)-5),289)),KotaKode,2,0),"-"),"")),"")</f>
        <v/>
      </c>
      <c r="K290" t="str">
        <f t="array" aca="1" ref="K290" ca="1">IFERROR(IF(OR(INDEX(checklistPesertaKemenkeu!$O$6:$O$1005,SMALL(IF(checklistPesertaKemenkeu!$AY$6:$AY$1005="Direkomendasikan",ROW($6:$1005)-5),289))="",INDEX(checklistPesertaKemenkeu!$J$6:$J$1005,SMALL(IF(checklistPesertaKemenkeu!$AY$6:$AY$1005="Direkomendasikan",ROW($6:$1005)-5),289))=""),"",IF(AND(COUNTIF(INDIRECT("K_"&amp;MATCH(INDEX(checklistPesertaKemenkeu!$J$6:$J$1005,SMALL(IF(checklistPesertaKemenkeu!$AY$6:$AY$1005="Direkomendasikan",ROW($6:$1005)-5),289)),BidangList,0)),INDEX(checklistPesertaKemenkeu!$O$6:$O$1005,SMALL(IF(checklistPesertaKemenkeu!$AY$6:$AY$1005="Direkomendasikan",ROW($6:$1005)-5),289)))&gt;0,COUNTIF(INDIRECT("'KERTAS KERJA'!K"&amp;(SMALL(IF(checklistPesertaKemenkeu!$AY$6:$AY$1005="Direkomendasikan",ROW($6:$1005)-5),289)+5)&amp;":O"&amp;(SMALL(IF(checklistPesertaKemenkeu!$AY$6:$AY$1005="Direkomendasikan",ROW($6:$1005)-5),289)+5)),INDEX(checklistPesertaKemenkeu!$O$6:$O$1005,SMALL(IF(checklistPesertaKemenkeu!$AY$6:$AY$1005="Direkomendasikan",ROW($6:$1005)-5),289)))=1),IFERROR(VLOOKUP(INDEX(checklistPesertaKemenkeu!$O$6:$O$1005,SMALL(IF(checklistPesertaKemenkeu!$AY$6:$AY$1005="Direkomendasikan",ROW($6:$1005)-5),289)),KotaKode,2,0),"-"),"")),"")</f>
        <v/>
      </c>
      <c r="L290" t="str">
        <f t="array" aca="1" ref="L290" ca="1">IFERROR(IF(OR(INDEX(checklistPesertaKemenkeu!$P$6:$P$1005,SMALL(IF(checklistPesertaKemenkeu!$AY$6:$AY$1005="Direkomendasikan",ROW($6:$1005)-5),289))="",INDEX(checklistPesertaKemenkeu!$J$6:$J$1005,SMALL(IF(checklistPesertaKemenkeu!$AY$6:$AY$1005="Direkomendasikan",ROW($6:$1005)-5),289))=""),"",IF(AND(COUNTIF(INDIRECT("K_"&amp;MATCH(INDEX(checklistPesertaKemenkeu!$J$6:$J$1005,SMALL(IF(checklistPesertaKemenkeu!$AY$6:$AY$1005="Direkomendasikan",ROW($6:$1005)-5),289)),BidangList,0)),INDEX(checklistPesertaKemenkeu!$P$6:$P$1005,SMALL(IF(checklistPesertaKemenkeu!$AY$6:$AY$1005="Direkomendasikan",ROW($6:$1005)-5),289)))&gt;0,COUNTIF(INDIRECT("'KERTAS KERJA'!K"&amp;(SMALL(IF(checklistPesertaKemenkeu!$AY$6:$AY$1005="Direkomendasikan",ROW($6:$1005)-5),289)+5)&amp;":O"&amp;(SMALL(IF(checklistPesertaKemenkeu!$AY$6:$AY$1005="Direkomendasikan",ROW($6:$1005)-5),289)+5)),INDEX(checklistPesertaKemenkeu!$P$6:$P$1005,SMALL(IF(checklistPesertaKemenkeu!$AY$6:$AY$1005="Direkomendasikan",ROW($6:$1005)-5),289)))=1),IFERROR(VLOOKUP(INDEX(checklistPesertaKemenkeu!$P$6:$P$1005,SMALL(IF(checklistPesertaKemenkeu!$AY$6:$AY$1005="Direkomendasikan",ROW($6:$1005)-5),289)),KotaKode,2,0),"-"),"")),"")</f>
        <v/>
      </c>
    </row>
    <row r="291" spans="1:12" ht="15" customHeight="1" x14ac:dyDescent="0.2">
      <c r="A291" t="str">
        <f t="shared" si="4"/>
        <v/>
      </c>
      <c r="B291" t="str">
        <v/>
      </c>
      <c r="C291" s="40" t="str">
        <f t="array" ref="C291">IFERROR(INDEX(checklistPesertaKemenkeu!$F$6:$F$1005,SMALL(IF(checklistPesertaKemenkeu!$AY$6:$AY$1005="Direkomendasikan",ROW($6:$1005)-5),290)),"")</f>
        <v/>
      </c>
      <c r="D291" t="str">
        <f t="array" ref="D291">IFERROR(INDEX(checklistPesertaKemenkeu!$G$6:$G$1005,SMALL(IF(checklistPesertaKemenkeu!$AY$6:$AY$1005="Direkomendasikan",ROW($6:$1005)-5),290)),"")</f>
        <v/>
      </c>
      <c r="E291" t="str">
        <f t="array" ref="E291">IFERROR(INDEX(checklistPesertaKemenkeu!$H$6:$H$1005,SMALL(IF(checklistPesertaKemenkeu!$AY$6:$AY$1005="Direkomendasikan",ROW($6:$1005)-5),290)),"")</f>
        <v/>
      </c>
      <c r="F291" t="str">
        <f t="array" ref="F291">IFERROR(INDEX(checklistPesertaKemenkeu!$I$6:$I$1005,SMALL(IF(checklistPesertaKemenkeu!$AY$6:$AY$1005="Direkomendasikan",ROW($6:$1005)-5),290)),"")</f>
        <v/>
      </c>
      <c r="G291" t="str">
        <f t="array" ref="G291">IFERROR(INDEX(checklistPesertaKemenkeu!$J$6:$J$1005,SMALL(IF(checklistPesertaKemenkeu!$AY$6:$AY$1005="Direkomendasikan",ROW($6:$1005)-5),290)),"")</f>
        <v/>
      </c>
      <c r="H291" t="str">
        <f t="array" aca="1" ref="H291" ca="1">IFERROR(IF(OR(INDEX(checklistPesertaKemenkeu!$L$6:$L$1005,SMALL(IF(checklistPesertaKemenkeu!$AY$6:$AY$1005="Direkomendasikan",ROW($6:$1005)-5),290))="",INDEX(checklistPesertaKemenkeu!$J$6:$J$1005,SMALL(IF(checklistPesertaKemenkeu!$AY$6:$AY$1005="Direkomendasikan",ROW($6:$1005)-5),290))=""),"",IF(AND(COUNTIF(INDIRECT("K_"&amp;MATCH(INDEX(checklistPesertaKemenkeu!$J$6:$J$1005,SMALL(IF(checklistPesertaKemenkeu!$AY$6:$AY$1005="Direkomendasikan",ROW($6:$1005)-5),290)),BidangList,0)),INDEX(checklistPesertaKemenkeu!$L$6:$L$1005,SMALL(IF(checklistPesertaKemenkeu!$AY$6:$AY$1005="Direkomendasikan",ROW($6:$1005)-5),290)))&gt;0,COUNTIF(INDIRECT("'KERTAS KERJA'!K"&amp;(SMALL(IF(checklistPesertaKemenkeu!$AY$6:$AY$1005="Direkomendasikan",ROW($6:$1005)-5),290)+5)&amp;":O"&amp;(SMALL(IF(checklistPesertaKemenkeu!$AY$6:$AY$1005="Direkomendasikan",ROW($6:$1005)-5),290)+5)),INDEX(checklistPesertaKemenkeu!$L$6:$L$1005,SMALL(IF(checklistPesertaKemenkeu!$AY$6:$AY$1005="Direkomendasikan",ROW($6:$1005)-5),290)))=1),IFERROR(VLOOKUP(INDEX(checklistPesertaKemenkeu!$L$6:$L$1005,SMALL(IF(checklistPesertaKemenkeu!$AY$6:$AY$1005="Direkomendasikan",ROW($6:$1005)-5),290)),KotaKode,2,0),"-"),"")),"")</f>
        <v/>
      </c>
      <c r="I291" t="str">
        <f t="array" aca="1" ref="I291" ca="1">IFERROR(IF(OR(INDEX(checklistPesertaKemenkeu!$M$6:$M$1005,SMALL(IF(checklistPesertaKemenkeu!$AY$6:$AY$1005="Direkomendasikan",ROW($6:$1005)-5),290))="",INDEX(checklistPesertaKemenkeu!$J$6:$J$1005,SMALL(IF(checklistPesertaKemenkeu!$AY$6:$AY$1005="Direkomendasikan",ROW($6:$1005)-5),290))=""),"",IF(AND(COUNTIF(INDIRECT("K_"&amp;MATCH(INDEX(checklistPesertaKemenkeu!$J$6:$J$1005,SMALL(IF(checklistPesertaKemenkeu!$AY$6:$AY$1005="Direkomendasikan",ROW($6:$1005)-5),290)),BidangList,0)),INDEX(checklistPesertaKemenkeu!$M$6:$M$1005,SMALL(IF(checklistPesertaKemenkeu!$AY$6:$AY$1005="Direkomendasikan",ROW($6:$1005)-5),290)))&gt;0,COUNTIF(INDIRECT("'KERTAS KERJA'!K"&amp;(SMALL(IF(checklistPesertaKemenkeu!$AY$6:$AY$1005="Direkomendasikan",ROW($6:$1005)-5),290)+5)&amp;":O"&amp;(SMALL(IF(checklistPesertaKemenkeu!$AY$6:$AY$1005="Direkomendasikan",ROW($6:$1005)-5),290)+5)),INDEX(checklistPesertaKemenkeu!$M$6:$M$1005,SMALL(IF(checklistPesertaKemenkeu!$AY$6:$AY$1005="Direkomendasikan",ROW($6:$1005)-5),290)))=1),IFERROR(VLOOKUP(INDEX(checklistPesertaKemenkeu!$M$6:$M$1005,SMALL(IF(checklistPesertaKemenkeu!$AY$6:$AY$1005="Direkomendasikan",ROW($6:$1005)-5),290)),KotaKode,2,0),"-"),"")),"")</f>
        <v/>
      </c>
      <c r="J291" t="str">
        <f t="array" aca="1" ref="J291" ca="1">IFERROR(IF(OR(INDEX(checklistPesertaKemenkeu!$N$6:$N$1005,SMALL(IF(checklistPesertaKemenkeu!$AY$6:$AY$1005="Direkomendasikan",ROW($6:$1005)-5),290))="",INDEX(checklistPesertaKemenkeu!$J$6:$J$1005,SMALL(IF(checklistPesertaKemenkeu!$AY$6:$AY$1005="Direkomendasikan",ROW($6:$1005)-5),290))=""),"",IF(AND(COUNTIF(INDIRECT("K_"&amp;MATCH(INDEX(checklistPesertaKemenkeu!$J$6:$J$1005,SMALL(IF(checklistPesertaKemenkeu!$AY$6:$AY$1005="Direkomendasikan",ROW($6:$1005)-5),290)),BidangList,0)),INDEX(checklistPesertaKemenkeu!$N$6:$N$1005,SMALL(IF(checklistPesertaKemenkeu!$AY$6:$AY$1005="Direkomendasikan",ROW($6:$1005)-5),290)))&gt;0,COUNTIF(INDIRECT("'KERTAS KERJA'!K"&amp;(SMALL(IF(checklistPesertaKemenkeu!$AY$6:$AY$1005="Direkomendasikan",ROW($6:$1005)-5),290)+5)&amp;":O"&amp;(SMALL(IF(checklistPesertaKemenkeu!$AY$6:$AY$1005="Direkomendasikan",ROW($6:$1005)-5),290)+5)),INDEX(checklistPesertaKemenkeu!$N$6:$N$1005,SMALL(IF(checklistPesertaKemenkeu!$AY$6:$AY$1005="Direkomendasikan",ROW($6:$1005)-5),290)))=1),IFERROR(VLOOKUP(INDEX(checklistPesertaKemenkeu!$N$6:$N$1005,SMALL(IF(checklistPesertaKemenkeu!$AY$6:$AY$1005="Direkomendasikan",ROW($6:$1005)-5),290)),KotaKode,2,0),"-"),"")),"")</f>
        <v/>
      </c>
      <c r="K291" t="str">
        <f t="array" aca="1" ref="K291" ca="1">IFERROR(IF(OR(INDEX(checklistPesertaKemenkeu!$O$6:$O$1005,SMALL(IF(checklistPesertaKemenkeu!$AY$6:$AY$1005="Direkomendasikan",ROW($6:$1005)-5),290))="",INDEX(checklistPesertaKemenkeu!$J$6:$J$1005,SMALL(IF(checklistPesertaKemenkeu!$AY$6:$AY$1005="Direkomendasikan",ROW($6:$1005)-5),290))=""),"",IF(AND(COUNTIF(INDIRECT("K_"&amp;MATCH(INDEX(checklistPesertaKemenkeu!$J$6:$J$1005,SMALL(IF(checklistPesertaKemenkeu!$AY$6:$AY$1005="Direkomendasikan",ROW($6:$1005)-5),290)),BidangList,0)),INDEX(checklistPesertaKemenkeu!$O$6:$O$1005,SMALL(IF(checklistPesertaKemenkeu!$AY$6:$AY$1005="Direkomendasikan",ROW($6:$1005)-5),290)))&gt;0,COUNTIF(INDIRECT("'KERTAS KERJA'!K"&amp;(SMALL(IF(checklistPesertaKemenkeu!$AY$6:$AY$1005="Direkomendasikan",ROW($6:$1005)-5),290)+5)&amp;":O"&amp;(SMALL(IF(checklistPesertaKemenkeu!$AY$6:$AY$1005="Direkomendasikan",ROW($6:$1005)-5),290)+5)),INDEX(checklistPesertaKemenkeu!$O$6:$O$1005,SMALL(IF(checklistPesertaKemenkeu!$AY$6:$AY$1005="Direkomendasikan",ROW($6:$1005)-5),290)))=1),IFERROR(VLOOKUP(INDEX(checklistPesertaKemenkeu!$O$6:$O$1005,SMALL(IF(checklistPesertaKemenkeu!$AY$6:$AY$1005="Direkomendasikan",ROW($6:$1005)-5),290)),KotaKode,2,0),"-"),"")),"")</f>
        <v/>
      </c>
      <c r="L291" t="str">
        <f t="array" aca="1" ref="L291" ca="1">IFERROR(IF(OR(INDEX(checklistPesertaKemenkeu!$P$6:$P$1005,SMALL(IF(checklistPesertaKemenkeu!$AY$6:$AY$1005="Direkomendasikan",ROW($6:$1005)-5),290))="",INDEX(checklistPesertaKemenkeu!$J$6:$J$1005,SMALL(IF(checklistPesertaKemenkeu!$AY$6:$AY$1005="Direkomendasikan",ROW($6:$1005)-5),290))=""),"",IF(AND(COUNTIF(INDIRECT("K_"&amp;MATCH(INDEX(checklistPesertaKemenkeu!$J$6:$J$1005,SMALL(IF(checklistPesertaKemenkeu!$AY$6:$AY$1005="Direkomendasikan",ROW($6:$1005)-5),290)),BidangList,0)),INDEX(checklistPesertaKemenkeu!$P$6:$P$1005,SMALL(IF(checklistPesertaKemenkeu!$AY$6:$AY$1005="Direkomendasikan",ROW($6:$1005)-5),290)))&gt;0,COUNTIF(INDIRECT("'KERTAS KERJA'!K"&amp;(SMALL(IF(checklistPesertaKemenkeu!$AY$6:$AY$1005="Direkomendasikan",ROW($6:$1005)-5),290)+5)&amp;":O"&amp;(SMALL(IF(checklistPesertaKemenkeu!$AY$6:$AY$1005="Direkomendasikan",ROW($6:$1005)-5),290)+5)),INDEX(checklistPesertaKemenkeu!$P$6:$P$1005,SMALL(IF(checklistPesertaKemenkeu!$AY$6:$AY$1005="Direkomendasikan",ROW($6:$1005)-5),290)))=1),IFERROR(VLOOKUP(INDEX(checklistPesertaKemenkeu!$P$6:$P$1005,SMALL(IF(checklistPesertaKemenkeu!$AY$6:$AY$1005="Direkomendasikan",ROW($6:$1005)-5),290)),KotaKode,2,0),"-"),"")),"")</f>
        <v/>
      </c>
    </row>
    <row r="292" spans="1:12" ht="15" customHeight="1" x14ac:dyDescent="0.2">
      <c r="A292" t="str">
        <f t="shared" si="4"/>
        <v/>
      </c>
      <c r="B292" t="str">
        <v/>
      </c>
      <c r="C292" s="40" t="str">
        <f t="array" ref="C292">IFERROR(INDEX(checklistPesertaKemenkeu!$F$6:$F$1005,SMALL(IF(checklistPesertaKemenkeu!$AY$6:$AY$1005="Direkomendasikan",ROW($6:$1005)-5),291)),"")</f>
        <v/>
      </c>
      <c r="D292" t="str">
        <f t="array" ref="D292">IFERROR(INDEX(checklistPesertaKemenkeu!$G$6:$G$1005,SMALL(IF(checklistPesertaKemenkeu!$AY$6:$AY$1005="Direkomendasikan",ROW($6:$1005)-5),291)),"")</f>
        <v/>
      </c>
      <c r="E292" t="str">
        <f t="array" ref="E292">IFERROR(INDEX(checklistPesertaKemenkeu!$H$6:$H$1005,SMALL(IF(checklistPesertaKemenkeu!$AY$6:$AY$1005="Direkomendasikan",ROW($6:$1005)-5),291)),"")</f>
        <v/>
      </c>
      <c r="F292" t="str">
        <f t="array" ref="F292">IFERROR(INDEX(checklistPesertaKemenkeu!$I$6:$I$1005,SMALL(IF(checklistPesertaKemenkeu!$AY$6:$AY$1005="Direkomendasikan",ROW($6:$1005)-5),291)),"")</f>
        <v/>
      </c>
      <c r="G292" t="str">
        <f t="array" ref="G292">IFERROR(INDEX(checklistPesertaKemenkeu!$J$6:$J$1005,SMALL(IF(checklistPesertaKemenkeu!$AY$6:$AY$1005="Direkomendasikan",ROW($6:$1005)-5),291)),"")</f>
        <v/>
      </c>
      <c r="H292" t="str">
        <f t="array" aca="1" ref="H292" ca="1">IFERROR(IF(OR(INDEX(checklistPesertaKemenkeu!$L$6:$L$1005,SMALL(IF(checklistPesertaKemenkeu!$AY$6:$AY$1005="Direkomendasikan",ROW($6:$1005)-5),291))="",INDEX(checklistPesertaKemenkeu!$J$6:$J$1005,SMALL(IF(checklistPesertaKemenkeu!$AY$6:$AY$1005="Direkomendasikan",ROW($6:$1005)-5),291))=""),"",IF(AND(COUNTIF(INDIRECT("K_"&amp;MATCH(INDEX(checklistPesertaKemenkeu!$J$6:$J$1005,SMALL(IF(checklistPesertaKemenkeu!$AY$6:$AY$1005="Direkomendasikan",ROW($6:$1005)-5),291)),BidangList,0)),INDEX(checklistPesertaKemenkeu!$L$6:$L$1005,SMALL(IF(checklistPesertaKemenkeu!$AY$6:$AY$1005="Direkomendasikan",ROW($6:$1005)-5),291)))&gt;0,COUNTIF(INDIRECT("'KERTAS KERJA'!K"&amp;(SMALL(IF(checklistPesertaKemenkeu!$AY$6:$AY$1005="Direkomendasikan",ROW($6:$1005)-5),291)+5)&amp;":O"&amp;(SMALL(IF(checklistPesertaKemenkeu!$AY$6:$AY$1005="Direkomendasikan",ROW($6:$1005)-5),291)+5)),INDEX(checklistPesertaKemenkeu!$L$6:$L$1005,SMALL(IF(checklistPesertaKemenkeu!$AY$6:$AY$1005="Direkomendasikan",ROW($6:$1005)-5),291)))=1),IFERROR(VLOOKUP(INDEX(checklistPesertaKemenkeu!$L$6:$L$1005,SMALL(IF(checklistPesertaKemenkeu!$AY$6:$AY$1005="Direkomendasikan",ROW($6:$1005)-5),291)),KotaKode,2,0),"-"),"")),"")</f>
        <v/>
      </c>
      <c r="I292" t="str">
        <f t="array" aca="1" ref="I292" ca="1">IFERROR(IF(OR(INDEX(checklistPesertaKemenkeu!$M$6:$M$1005,SMALL(IF(checklistPesertaKemenkeu!$AY$6:$AY$1005="Direkomendasikan",ROW($6:$1005)-5),291))="",INDEX(checklistPesertaKemenkeu!$J$6:$J$1005,SMALL(IF(checklistPesertaKemenkeu!$AY$6:$AY$1005="Direkomendasikan",ROW($6:$1005)-5),291))=""),"",IF(AND(COUNTIF(INDIRECT("K_"&amp;MATCH(INDEX(checklistPesertaKemenkeu!$J$6:$J$1005,SMALL(IF(checklistPesertaKemenkeu!$AY$6:$AY$1005="Direkomendasikan",ROW($6:$1005)-5),291)),BidangList,0)),INDEX(checklistPesertaKemenkeu!$M$6:$M$1005,SMALL(IF(checklistPesertaKemenkeu!$AY$6:$AY$1005="Direkomendasikan",ROW($6:$1005)-5),291)))&gt;0,COUNTIF(INDIRECT("'KERTAS KERJA'!K"&amp;(SMALL(IF(checklistPesertaKemenkeu!$AY$6:$AY$1005="Direkomendasikan",ROW($6:$1005)-5),291)+5)&amp;":O"&amp;(SMALL(IF(checklistPesertaKemenkeu!$AY$6:$AY$1005="Direkomendasikan",ROW($6:$1005)-5),291)+5)),INDEX(checklistPesertaKemenkeu!$M$6:$M$1005,SMALL(IF(checklistPesertaKemenkeu!$AY$6:$AY$1005="Direkomendasikan",ROW($6:$1005)-5),291)))=1),IFERROR(VLOOKUP(INDEX(checklistPesertaKemenkeu!$M$6:$M$1005,SMALL(IF(checklistPesertaKemenkeu!$AY$6:$AY$1005="Direkomendasikan",ROW($6:$1005)-5),291)),KotaKode,2,0),"-"),"")),"")</f>
        <v/>
      </c>
      <c r="J292" t="str">
        <f t="array" aca="1" ref="J292" ca="1">IFERROR(IF(OR(INDEX(checklistPesertaKemenkeu!$N$6:$N$1005,SMALL(IF(checklistPesertaKemenkeu!$AY$6:$AY$1005="Direkomendasikan",ROW($6:$1005)-5),291))="",INDEX(checklistPesertaKemenkeu!$J$6:$J$1005,SMALL(IF(checklistPesertaKemenkeu!$AY$6:$AY$1005="Direkomendasikan",ROW($6:$1005)-5),291))=""),"",IF(AND(COUNTIF(INDIRECT("K_"&amp;MATCH(INDEX(checklistPesertaKemenkeu!$J$6:$J$1005,SMALL(IF(checklistPesertaKemenkeu!$AY$6:$AY$1005="Direkomendasikan",ROW($6:$1005)-5),291)),BidangList,0)),INDEX(checklistPesertaKemenkeu!$N$6:$N$1005,SMALL(IF(checklistPesertaKemenkeu!$AY$6:$AY$1005="Direkomendasikan",ROW($6:$1005)-5),291)))&gt;0,COUNTIF(INDIRECT("'KERTAS KERJA'!K"&amp;(SMALL(IF(checklistPesertaKemenkeu!$AY$6:$AY$1005="Direkomendasikan",ROW($6:$1005)-5),291)+5)&amp;":O"&amp;(SMALL(IF(checklistPesertaKemenkeu!$AY$6:$AY$1005="Direkomendasikan",ROW($6:$1005)-5),291)+5)),INDEX(checklistPesertaKemenkeu!$N$6:$N$1005,SMALL(IF(checklistPesertaKemenkeu!$AY$6:$AY$1005="Direkomendasikan",ROW($6:$1005)-5),291)))=1),IFERROR(VLOOKUP(INDEX(checklistPesertaKemenkeu!$N$6:$N$1005,SMALL(IF(checklistPesertaKemenkeu!$AY$6:$AY$1005="Direkomendasikan",ROW($6:$1005)-5),291)),KotaKode,2,0),"-"),"")),"")</f>
        <v/>
      </c>
      <c r="K292" t="str">
        <f t="array" aca="1" ref="K292" ca="1">IFERROR(IF(OR(INDEX(checklistPesertaKemenkeu!$O$6:$O$1005,SMALL(IF(checklistPesertaKemenkeu!$AY$6:$AY$1005="Direkomendasikan",ROW($6:$1005)-5),291))="",INDEX(checklistPesertaKemenkeu!$J$6:$J$1005,SMALL(IF(checklistPesertaKemenkeu!$AY$6:$AY$1005="Direkomendasikan",ROW($6:$1005)-5),291))=""),"",IF(AND(COUNTIF(INDIRECT("K_"&amp;MATCH(INDEX(checklistPesertaKemenkeu!$J$6:$J$1005,SMALL(IF(checklistPesertaKemenkeu!$AY$6:$AY$1005="Direkomendasikan",ROW($6:$1005)-5),291)),BidangList,0)),INDEX(checklistPesertaKemenkeu!$O$6:$O$1005,SMALL(IF(checklistPesertaKemenkeu!$AY$6:$AY$1005="Direkomendasikan",ROW($6:$1005)-5),291)))&gt;0,COUNTIF(INDIRECT("'KERTAS KERJA'!K"&amp;(SMALL(IF(checklistPesertaKemenkeu!$AY$6:$AY$1005="Direkomendasikan",ROW($6:$1005)-5),291)+5)&amp;":O"&amp;(SMALL(IF(checklistPesertaKemenkeu!$AY$6:$AY$1005="Direkomendasikan",ROW($6:$1005)-5),291)+5)),INDEX(checklistPesertaKemenkeu!$O$6:$O$1005,SMALL(IF(checklistPesertaKemenkeu!$AY$6:$AY$1005="Direkomendasikan",ROW($6:$1005)-5),291)))=1),IFERROR(VLOOKUP(INDEX(checklistPesertaKemenkeu!$O$6:$O$1005,SMALL(IF(checklistPesertaKemenkeu!$AY$6:$AY$1005="Direkomendasikan",ROW($6:$1005)-5),291)),KotaKode,2,0),"-"),"")),"")</f>
        <v/>
      </c>
      <c r="L292" t="str">
        <f t="array" aca="1" ref="L292" ca="1">IFERROR(IF(OR(INDEX(checklistPesertaKemenkeu!$P$6:$P$1005,SMALL(IF(checklistPesertaKemenkeu!$AY$6:$AY$1005="Direkomendasikan",ROW($6:$1005)-5),291))="",INDEX(checklistPesertaKemenkeu!$J$6:$J$1005,SMALL(IF(checklistPesertaKemenkeu!$AY$6:$AY$1005="Direkomendasikan",ROW($6:$1005)-5),291))=""),"",IF(AND(COUNTIF(INDIRECT("K_"&amp;MATCH(INDEX(checklistPesertaKemenkeu!$J$6:$J$1005,SMALL(IF(checklistPesertaKemenkeu!$AY$6:$AY$1005="Direkomendasikan",ROW($6:$1005)-5),291)),BidangList,0)),INDEX(checklistPesertaKemenkeu!$P$6:$P$1005,SMALL(IF(checklistPesertaKemenkeu!$AY$6:$AY$1005="Direkomendasikan",ROW($6:$1005)-5),291)))&gt;0,COUNTIF(INDIRECT("'KERTAS KERJA'!K"&amp;(SMALL(IF(checklistPesertaKemenkeu!$AY$6:$AY$1005="Direkomendasikan",ROW($6:$1005)-5),291)+5)&amp;":O"&amp;(SMALL(IF(checklistPesertaKemenkeu!$AY$6:$AY$1005="Direkomendasikan",ROW($6:$1005)-5),291)+5)),INDEX(checklistPesertaKemenkeu!$P$6:$P$1005,SMALL(IF(checklistPesertaKemenkeu!$AY$6:$AY$1005="Direkomendasikan",ROW($6:$1005)-5),291)))=1),IFERROR(VLOOKUP(INDEX(checklistPesertaKemenkeu!$P$6:$P$1005,SMALL(IF(checklistPesertaKemenkeu!$AY$6:$AY$1005="Direkomendasikan",ROW($6:$1005)-5),291)),KotaKode,2,0),"-"),"")),"")</f>
        <v/>
      </c>
    </row>
    <row r="293" spans="1:12" ht="15" customHeight="1" x14ac:dyDescent="0.2">
      <c r="A293" t="str">
        <f t="shared" si="4"/>
        <v/>
      </c>
      <c r="B293" t="str">
        <v/>
      </c>
      <c r="C293" s="40" t="str">
        <f t="array" ref="C293">IFERROR(INDEX(checklistPesertaKemenkeu!$F$6:$F$1005,SMALL(IF(checklistPesertaKemenkeu!$AY$6:$AY$1005="Direkomendasikan",ROW($6:$1005)-5),292)),"")</f>
        <v/>
      </c>
      <c r="D293" t="str">
        <f t="array" ref="D293">IFERROR(INDEX(checklistPesertaKemenkeu!$G$6:$G$1005,SMALL(IF(checklistPesertaKemenkeu!$AY$6:$AY$1005="Direkomendasikan",ROW($6:$1005)-5),292)),"")</f>
        <v/>
      </c>
      <c r="E293" t="str">
        <f t="array" ref="E293">IFERROR(INDEX(checklistPesertaKemenkeu!$H$6:$H$1005,SMALL(IF(checklistPesertaKemenkeu!$AY$6:$AY$1005="Direkomendasikan",ROW($6:$1005)-5),292)),"")</f>
        <v/>
      </c>
      <c r="F293" t="str">
        <f t="array" ref="F293">IFERROR(INDEX(checklistPesertaKemenkeu!$I$6:$I$1005,SMALL(IF(checklistPesertaKemenkeu!$AY$6:$AY$1005="Direkomendasikan",ROW($6:$1005)-5),292)),"")</f>
        <v/>
      </c>
      <c r="G293" t="str">
        <f t="array" ref="G293">IFERROR(INDEX(checklistPesertaKemenkeu!$J$6:$J$1005,SMALL(IF(checklistPesertaKemenkeu!$AY$6:$AY$1005="Direkomendasikan",ROW($6:$1005)-5),292)),"")</f>
        <v/>
      </c>
      <c r="H293" t="str">
        <f t="array" aca="1" ref="H293" ca="1">IFERROR(IF(OR(INDEX(checklistPesertaKemenkeu!$L$6:$L$1005,SMALL(IF(checklistPesertaKemenkeu!$AY$6:$AY$1005="Direkomendasikan",ROW($6:$1005)-5),292))="",INDEX(checklistPesertaKemenkeu!$J$6:$J$1005,SMALL(IF(checklistPesertaKemenkeu!$AY$6:$AY$1005="Direkomendasikan",ROW($6:$1005)-5),292))=""),"",IF(AND(COUNTIF(INDIRECT("K_"&amp;MATCH(INDEX(checklistPesertaKemenkeu!$J$6:$J$1005,SMALL(IF(checklistPesertaKemenkeu!$AY$6:$AY$1005="Direkomendasikan",ROW($6:$1005)-5),292)),BidangList,0)),INDEX(checklistPesertaKemenkeu!$L$6:$L$1005,SMALL(IF(checklistPesertaKemenkeu!$AY$6:$AY$1005="Direkomendasikan",ROW($6:$1005)-5),292)))&gt;0,COUNTIF(INDIRECT("'KERTAS KERJA'!K"&amp;(SMALL(IF(checklistPesertaKemenkeu!$AY$6:$AY$1005="Direkomendasikan",ROW($6:$1005)-5),292)+5)&amp;":O"&amp;(SMALL(IF(checklistPesertaKemenkeu!$AY$6:$AY$1005="Direkomendasikan",ROW($6:$1005)-5),292)+5)),INDEX(checklistPesertaKemenkeu!$L$6:$L$1005,SMALL(IF(checklistPesertaKemenkeu!$AY$6:$AY$1005="Direkomendasikan",ROW($6:$1005)-5),292)))=1),IFERROR(VLOOKUP(INDEX(checklistPesertaKemenkeu!$L$6:$L$1005,SMALL(IF(checklistPesertaKemenkeu!$AY$6:$AY$1005="Direkomendasikan",ROW($6:$1005)-5),292)),KotaKode,2,0),"-"),"")),"")</f>
        <v/>
      </c>
      <c r="I293" t="str">
        <f t="array" aca="1" ref="I293" ca="1">IFERROR(IF(OR(INDEX(checklistPesertaKemenkeu!$M$6:$M$1005,SMALL(IF(checklistPesertaKemenkeu!$AY$6:$AY$1005="Direkomendasikan",ROW($6:$1005)-5),292))="",INDEX(checklistPesertaKemenkeu!$J$6:$J$1005,SMALL(IF(checklistPesertaKemenkeu!$AY$6:$AY$1005="Direkomendasikan",ROW($6:$1005)-5),292))=""),"",IF(AND(COUNTIF(INDIRECT("K_"&amp;MATCH(INDEX(checklistPesertaKemenkeu!$J$6:$J$1005,SMALL(IF(checklistPesertaKemenkeu!$AY$6:$AY$1005="Direkomendasikan",ROW($6:$1005)-5),292)),BidangList,0)),INDEX(checklistPesertaKemenkeu!$M$6:$M$1005,SMALL(IF(checklistPesertaKemenkeu!$AY$6:$AY$1005="Direkomendasikan",ROW($6:$1005)-5),292)))&gt;0,COUNTIF(INDIRECT("'KERTAS KERJA'!K"&amp;(SMALL(IF(checklistPesertaKemenkeu!$AY$6:$AY$1005="Direkomendasikan",ROW($6:$1005)-5),292)+5)&amp;":O"&amp;(SMALL(IF(checklistPesertaKemenkeu!$AY$6:$AY$1005="Direkomendasikan",ROW($6:$1005)-5),292)+5)),INDEX(checklistPesertaKemenkeu!$M$6:$M$1005,SMALL(IF(checklistPesertaKemenkeu!$AY$6:$AY$1005="Direkomendasikan",ROW($6:$1005)-5),292)))=1),IFERROR(VLOOKUP(INDEX(checklistPesertaKemenkeu!$M$6:$M$1005,SMALL(IF(checklistPesertaKemenkeu!$AY$6:$AY$1005="Direkomendasikan",ROW($6:$1005)-5),292)),KotaKode,2,0),"-"),"")),"")</f>
        <v/>
      </c>
      <c r="J293" t="str">
        <f t="array" aca="1" ref="J293" ca="1">IFERROR(IF(OR(INDEX(checklistPesertaKemenkeu!$N$6:$N$1005,SMALL(IF(checklistPesertaKemenkeu!$AY$6:$AY$1005="Direkomendasikan",ROW($6:$1005)-5),292))="",INDEX(checklistPesertaKemenkeu!$J$6:$J$1005,SMALL(IF(checklistPesertaKemenkeu!$AY$6:$AY$1005="Direkomendasikan",ROW($6:$1005)-5),292))=""),"",IF(AND(COUNTIF(INDIRECT("K_"&amp;MATCH(INDEX(checklistPesertaKemenkeu!$J$6:$J$1005,SMALL(IF(checklistPesertaKemenkeu!$AY$6:$AY$1005="Direkomendasikan",ROW($6:$1005)-5),292)),BidangList,0)),INDEX(checklistPesertaKemenkeu!$N$6:$N$1005,SMALL(IF(checklistPesertaKemenkeu!$AY$6:$AY$1005="Direkomendasikan",ROW($6:$1005)-5),292)))&gt;0,COUNTIF(INDIRECT("'KERTAS KERJA'!K"&amp;(SMALL(IF(checklistPesertaKemenkeu!$AY$6:$AY$1005="Direkomendasikan",ROW($6:$1005)-5),292)+5)&amp;":O"&amp;(SMALL(IF(checklistPesertaKemenkeu!$AY$6:$AY$1005="Direkomendasikan",ROW($6:$1005)-5),292)+5)),INDEX(checklistPesertaKemenkeu!$N$6:$N$1005,SMALL(IF(checklistPesertaKemenkeu!$AY$6:$AY$1005="Direkomendasikan",ROW($6:$1005)-5),292)))=1),IFERROR(VLOOKUP(INDEX(checklistPesertaKemenkeu!$N$6:$N$1005,SMALL(IF(checklistPesertaKemenkeu!$AY$6:$AY$1005="Direkomendasikan",ROW($6:$1005)-5),292)),KotaKode,2,0),"-"),"")),"")</f>
        <v/>
      </c>
      <c r="K293" t="str">
        <f t="array" aca="1" ref="K293" ca="1">IFERROR(IF(OR(INDEX(checklistPesertaKemenkeu!$O$6:$O$1005,SMALL(IF(checklistPesertaKemenkeu!$AY$6:$AY$1005="Direkomendasikan",ROW($6:$1005)-5),292))="",INDEX(checklistPesertaKemenkeu!$J$6:$J$1005,SMALL(IF(checklistPesertaKemenkeu!$AY$6:$AY$1005="Direkomendasikan",ROW($6:$1005)-5),292))=""),"",IF(AND(COUNTIF(INDIRECT("K_"&amp;MATCH(INDEX(checklistPesertaKemenkeu!$J$6:$J$1005,SMALL(IF(checklistPesertaKemenkeu!$AY$6:$AY$1005="Direkomendasikan",ROW($6:$1005)-5),292)),BidangList,0)),INDEX(checklistPesertaKemenkeu!$O$6:$O$1005,SMALL(IF(checklistPesertaKemenkeu!$AY$6:$AY$1005="Direkomendasikan",ROW($6:$1005)-5),292)))&gt;0,COUNTIF(INDIRECT("'KERTAS KERJA'!K"&amp;(SMALL(IF(checklistPesertaKemenkeu!$AY$6:$AY$1005="Direkomendasikan",ROW($6:$1005)-5),292)+5)&amp;":O"&amp;(SMALL(IF(checklistPesertaKemenkeu!$AY$6:$AY$1005="Direkomendasikan",ROW($6:$1005)-5),292)+5)),INDEX(checklistPesertaKemenkeu!$O$6:$O$1005,SMALL(IF(checklistPesertaKemenkeu!$AY$6:$AY$1005="Direkomendasikan",ROW($6:$1005)-5),292)))=1),IFERROR(VLOOKUP(INDEX(checklistPesertaKemenkeu!$O$6:$O$1005,SMALL(IF(checklistPesertaKemenkeu!$AY$6:$AY$1005="Direkomendasikan",ROW($6:$1005)-5),292)),KotaKode,2,0),"-"),"")),"")</f>
        <v/>
      </c>
      <c r="L293" t="str">
        <f t="array" aca="1" ref="L293" ca="1">IFERROR(IF(OR(INDEX(checklistPesertaKemenkeu!$P$6:$P$1005,SMALL(IF(checklistPesertaKemenkeu!$AY$6:$AY$1005="Direkomendasikan",ROW($6:$1005)-5),292))="",INDEX(checklistPesertaKemenkeu!$J$6:$J$1005,SMALL(IF(checklistPesertaKemenkeu!$AY$6:$AY$1005="Direkomendasikan",ROW($6:$1005)-5),292))=""),"",IF(AND(COUNTIF(INDIRECT("K_"&amp;MATCH(INDEX(checklistPesertaKemenkeu!$J$6:$J$1005,SMALL(IF(checklistPesertaKemenkeu!$AY$6:$AY$1005="Direkomendasikan",ROW($6:$1005)-5),292)),BidangList,0)),INDEX(checklistPesertaKemenkeu!$P$6:$P$1005,SMALL(IF(checklistPesertaKemenkeu!$AY$6:$AY$1005="Direkomendasikan",ROW($6:$1005)-5),292)))&gt;0,COUNTIF(INDIRECT("'KERTAS KERJA'!K"&amp;(SMALL(IF(checklistPesertaKemenkeu!$AY$6:$AY$1005="Direkomendasikan",ROW($6:$1005)-5),292)+5)&amp;":O"&amp;(SMALL(IF(checklistPesertaKemenkeu!$AY$6:$AY$1005="Direkomendasikan",ROW($6:$1005)-5),292)+5)),INDEX(checklistPesertaKemenkeu!$P$6:$P$1005,SMALL(IF(checklistPesertaKemenkeu!$AY$6:$AY$1005="Direkomendasikan",ROW($6:$1005)-5),292)))=1),IFERROR(VLOOKUP(INDEX(checklistPesertaKemenkeu!$P$6:$P$1005,SMALL(IF(checklistPesertaKemenkeu!$AY$6:$AY$1005="Direkomendasikan",ROW($6:$1005)-5),292)),KotaKode,2,0),"-"),"")),"")</f>
        <v/>
      </c>
    </row>
    <row r="294" spans="1:12" ht="15" customHeight="1" x14ac:dyDescent="0.2">
      <c r="A294" t="str">
        <f t="shared" si="4"/>
        <v/>
      </c>
      <c r="B294" t="str">
        <v/>
      </c>
      <c r="C294" s="40" t="str">
        <f t="array" ref="C294">IFERROR(INDEX(checklistPesertaKemenkeu!$F$6:$F$1005,SMALL(IF(checklistPesertaKemenkeu!$AY$6:$AY$1005="Direkomendasikan",ROW($6:$1005)-5),293)),"")</f>
        <v/>
      </c>
      <c r="D294" t="str">
        <f t="array" ref="D294">IFERROR(INDEX(checklistPesertaKemenkeu!$G$6:$G$1005,SMALL(IF(checklistPesertaKemenkeu!$AY$6:$AY$1005="Direkomendasikan",ROW($6:$1005)-5),293)),"")</f>
        <v/>
      </c>
      <c r="E294" t="str">
        <f t="array" ref="E294">IFERROR(INDEX(checklistPesertaKemenkeu!$H$6:$H$1005,SMALL(IF(checklistPesertaKemenkeu!$AY$6:$AY$1005="Direkomendasikan",ROW($6:$1005)-5),293)),"")</f>
        <v/>
      </c>
      <c r="F294" t="str">
        <f t="array" ref="F294">IFERROR(INDEX(checklistPesertaKemenkeu!$I$6:$I$1005,SMALL(IF(checklistPesertaKemenkeu!$AY$6:$AY$1005="Direkomendasikan",ROW($6:$1005)-5),293)),"")</f>
        <v/>
      </c>
      <c r="G294" t="str">
        <f t="array" ref="G294">IFERROR(INDEX(checklistPesertaKemenkeu!$J$6:$J$1005,SMALL(IF(checklistPesertaKemenkeu!$AY$6:$AY$1005="Direkomendasikan",ROW($6:$1005)-5),293)),"")</f>
        <v/>
      </c>
      <c r="H294" t="str">
        <f t="array" aca="1" ref="H294" ca="1">IFERROR(IF(OR(INDEX(checklistPesertaKemenkeu!$L$6:$L$1005,SMALL(IF(checklistPesertaKemenkeu!$AY$6:$AY$1005="Direkomendasikan",ROW($6:$1005)-5),293))="",INDEX(checklistPesertaKemenkeu!$J$6:$J$1005,SMALL(IF(checklistPesertaKemenkeu!$AY$6:$AY$1005="Direkomendasikan",ROW($6:$1005)-5),293))=""),"",IF(AND(COUNTIF(INDIRECT("K_"&amp;MATCH(INDEX(checklistPesertaKemenkeu!$J$6:$J$1005,SMALL(IF(checklistPesertaKemenkeu!$AY$6:$AY$1005="Direkomendasikan",ROW($6:$1005)-5),293)),BidangList,0)),INDEX(checklistPesertaKemenkeu!$L$6:$L$1005,SMALL(IF(checklistPesertaKemenkeu!$AY$6:$AY$1005="Direkomendasikan",ROW($6:$1005)-5),293)))&gt;0,COUNTIF(INDIRECT("'KERTAS KERJA'!K"&amp;(SMALL(IF(checklistPesertaKemenkeu!$AY$6:$AY$1005="Direkomendasikan",ROW($6:$1005)-5),293)+5)&amp;":O"&amp;(SMALL(IF(checklistPesertaKemenkeu!$AY$6:$AY$1005="Direkomendasikan",ROW($6:$1005)-5),293)+5)),INDEX(checklistPesertaKemenkeu!$L$6:$L$1005,SMALL(IF(checklistPesertaKemenkeu!$AY$6:$AY$1005="Direkomendasikan",ROW($6:$1005)-5),293)))=1),IFERROR(VLOOKUP(INDEX(checklistPesertaKemenkeu!$L$6:$L$1005,SMALL(IF(checklistPesertaKemenkeu!$AY$6:$AY$1005="Direkomendasikan",ROW($6:$1005)-5),293)),KotaKode,2,0),"-"),"")),"")</f>
        <v/>
      </c>
      <c r="I294" t="str">
        <f t="array" aca="1" ref="I294" ca="1">IFERROR(IF(OR(INDEX(checklistPesertaKemenkeu!$M$6:$M$1005,SMALL(IF(checklistPesertaKemenkeu!$AY$6:$AY$1005="Direkomendasikan",ROW($6:$1005)-5),293))="",INDEX(checklistPesertaKemenkeu!$J$6:$J$1005,SMALL(IF(checklistPesertaKemenkeu!$AY$6:$AY$1005="Direkomendasikan",ROW($6:$1005)-5),293))=""),"",IF(AND(COUNTIF(INDIRECT("K_"&amp;MATCH(INDEX(checklistPesertaKemenkeu!$J$6:$J$1005,SMALL(IF(checklistPesertaKemenkeu!$AY$6:$AY$1005="Direkomendasikan",ROW($6:$1005)-5),293)),BidangList,0)),INDEX(checklistPesertaKemenkeu!$M$6:$M$1005,SMALL(IF(checklistPesertaKemenkeu!$AY$6:$AY$1005="Direkomendasikan",ROW($6:$1005)-5),293)))&gt;0,COUNTIF(INDIRECT("'KERTAS KERJA'!K"&amp;(SMALL(IF(checklistPesertaKemenkeu!$AY$6:$AY$1005="Direkomendasikan",ROW($6:$1005)-5),293)+5)&amp;":O"&amp;(SMALL(IF(checklistPesertaKemenkeu!$AY$6:$AY$1005="Direkomendasikan",ROW($6:$1005)-5),293)+5)),INDEX(checklistPesertaKemenkeu!$M$6:$M$1005,SMALL(IF(checklistPesertaKemenkeu!$AY$6:$AY$1005="Direkomendasikan",ROW($6:$1005)-5),293)))=1),IFERROR(VLOOKUP(INDEX(checklistPesertaKemenkeu!$M$6:$M$1005,SMALL(IF(checklistPesertaKemenkeu!$AY$6:$AY$1005="Direkomendasikan",ROW($6:$1005)-5),293)),KotaKode,2,0),"-"),"")),"")</f>
        <v/>
      </c>
      <c r="J294" t="str">
        <f t="array" aca="1" ref="J294" ca="1">IFERROR(IF(OR(INDEX(checklistPesertaKemenkeu!$N$6:$N$1005,SMALL(IF(checklistPesertaKemenkeu!$AY$6:$AY$1005="Direkomendasikan",ROW($6:$1005)-5),293))="",INDEX(checklistPesertaKemenkeu!$J$6:$J$1005,SMALL(IF(checklistPesertaKemenkeu!$AY$6:$AY$1005="Direkomendasikan",ROW($6:$1005)-5),293))=""),"",IF(AND(COUNTIF(INDIRECT("K_"&amp;MATCH(INDEX(checklistPesertaKemenkeu!$J$6:$J$1005,SMALL(IF(checklistPesertaKemenkeu!$AY$6:$AY$1005="Direkomendasikan",ROW($6:$1005)-5),293)),BidangList,0)),INDEX(checklistPesertaKemenkeu!$N$6:$N$1005,SMALL(IF(checklistPesertaKemenkeu!$AY$6:$AY$1005="Direkomendasikan",ROW($6:$1005)-5),293)))&gt;0,COUNTIF(INDIRECT("'KERTAS KERJA'!K"&amp;(SMALL(IF(checklistPesertaKemenkeu!$AY$6:$AY$1005="Direkomendasikan",ROW($6:$1005)-5),293)+5)&amp;":O"&amp;(SMALL(IF(checklistPesertaKemenkeu!$AY$6:$AY$1005="Direkomendasikan",ROW($6:$1005)-5),293)+5)),INDEX(checklistPesertaKemenkeu!$N$6:$N$1005,SMALL(IF(checklistPesertaKemenkeu!$AY$6:$AY$1005="Direkomendasikan",ROW($6:$1005)-5),293)))=1),IFERROR(VLOOKUP(INDEX(checklistPesertaKemenkeu!$N$6:$N$1005,SMALL(IF(checklistPesertaKemenkeu!$AY$6:$AY$1005="Direkomendasikan",ROW($6:$1005)-5),293)),KotaKode,2,0),"-"),"")),"")</f>
        <v/>
      </c>
      <c r="K294" t="str">
        <f t="array" aca="1" ref="K294" ca="1">IFERROR(IF(OR(INDEX(checklistPesertaKemenkeu!$O$6:$O$1005,SMALL(IF(checklistPesertaKemenkeu!$AY$6:$AY$1005="Direkomendasikan",ROW($6:$1005)-5),293))="",INDEX(checklistPesertaKemenkeu!$J$6:$J$1005,SMALL(IF(checklistPesertaKemenkeu!$AY$6:$AY$1005="Direkomendasikan",ROW($6:$1005)-5),293))=""),"",IF(AND(COUNTIF(INDIRECT("K_"&amp;MATCH(INDEX(checklistPesertaKemenkeu!$J$6:$J$1005,SMALL(IF(checklistPesertaKemenkeu!$AY$6:$AY$1005="Direkomendasikan",ROW($6:$1005)-5),293)),BidangList,0)),INDEX(checklistPesertaKemenkeu!$O$6:$O$1005,SMALL(IF(checklistPesertaKemenkeu!$AY$6:$AY$1005="Direkomendasikan",ROW($6:$1005)-5),293)))&gt;0,COUNTIF(INDIRECT("'KERTAS KERJA'!K"&amp;(SMALL(IF(checklistPesertaKemenkeu!$AY$6:$AY$1005="Direkomendasikan",ROW($6:$1005)-5),293)+5)&amp;":O"&amp;(SMALL(IF(checklistPesertaKemenkeu!$AY$6:$AY$1005="Direkomendasikan",ROW($6:$1005)-5),293)+5)),INDEX(checklistPesertaKemenkeu!$O$6:$O$1005,SMALL(IF(checklistPesertaKemenkeu!$AY$6:$AY$1005="Direkomendasikan",ROW($6:$1005)-5),293)))=1),IFERROR(VLOOKUP(INDEX(checklistPesertaKemenkeu!$O$6:$O$1005,SMALL(IF(checklistPesertaKemenkeu!$AY$6:$AY$1005="Direkomendasikan",ROW($6:$1005)-5),293)),KotaKode,2,0),"-"),"")),"")</f>
        <v/>
      </c>
      <c r="L294" t="str">
        <f t="array" aca="1" ref="L294" ca="1">IFERROR(IF(OR(INDEX(checklistPesertaKemenkeu!$P$6:$P$1005,SMALL(IF(checklistPesertaKemenkeu!$AY$6:$AY$1005="Direkomendasikan",ROW($6:$1005)-5),293))="",INDEX(checklistPesertaKemenkeu!$J$6:$J$1005,SMALL(IF(checklistPesertaKemenkeu!$AY$6:$AY$1005="Direkomendasikan",ROW($6:$1005)-5),293))=""),"",IF(AND(COUNTIF(INDIRECT("K_"&amp;MATCH(INDEX(checklistPesertaKemenkeu!$J$6:$J$1005,SMALL(IF(checklistPesertaKemenkeu!$AY$6:$AY$1005="Direkomendasikan",ROW($6:$1005)-5),293)),BidangList,0)),INDEX(checklistPesertaKemenkeu!$P$6:$P$1005,SMALL(IF(checklistPesertaKemenkeu!$AY$6:$AY$1005="Direkomendasikan",ROW($6:$1005)-5),293)))&gt;0,COUNTIF(INDIRECT("'KERTAS KERJA'!K"&amp;(SMALL(IF(checklistPesertaKemenkeu!$AY$6:$AY$1005="Direkomendasikan",ROW($6:$1005)-5),293)+5)&amp;":O"&amp;(SMALL(IF(checklistPesertaKemenkeu!$AY$6:$AY$1005="Direkomendasikan",ROW($6:$1005)-5),293)+5)),INDEX(checklistPesertaKemenkeu!$P$6:$P$1005,SMALL(IF(checklistPesertaKemenkeu!$AY$6:$AY$1005="Direkomendasikan",ROW($6:$1005)-5),293)))=1),IFERROR(VLOOKUP(INDEX(checklistPesertaKemenkeu!$P$6:$P$1005,SMALL(IF(checklistPesertaKemenkeu!$AY$6:$AY$1005="Direkomendasikan",ROW($6:$1005)-5),293)),KotaKode,2,0),"-"),"")),"")</f>
        <v/>
      </c>
    </row>
    <row r="295" spans="1:12" ht="15" customHeight="1" x14ac:dyDescent="0.2">
      <c r="A295" t="str">
        <f t="shared" si="4"/>
        <v/>
      </c>
      <c r="B295" t="str">
        <v/>
      </c>
      <c r="C295" s="40" t="str">
        <f t="array" ref="C295">IFERROR(INDEX(checklistPesertaKemenkeu!$F$6:$F$1005,SMALL(IF(checklistPesertaKemenkeu!$AY$6:$AY$1005="Direkomendasikan",ROW($6:$1005)-5),294)),"")</f>
        <v/>
      </c>
      <c r="D295" t="str">
        <f t="array" ref="D295">IFERROR(INDEX(checklistPesertaKemenkeu!$G$6:$G$1005,SMALL(IF(checklistPesertaKemenkeu!$AY$6:$AY$1005="Direkomendasikan",ROW($6:$1005)-5),294)),"")</f>
        <v/>
      </c>
      <c r="E295" t="str">
        <f t="array" ref="E295">IFERROR(INDEX(checklistPesertaKemenkeu!$H$6:$H$1005,SMALL(IF(checklistPesertaKemenkeu!$AY$6:$AY$1005="Direkomendasikan",ROW($6:$1005)-5),294)),"")</f>
        <v/>
      </c>
      <c r="F295" t="str">
        <f t="array" ref="F295">IFERROR(INDEX(checklistPesertaKemenkeu!$I$6:$I$1005,SMALL(IF(checklistPesertaKemenkeu!$AY$6:$AY$1005="Direkomendasikan",ROW($6:$1005)-5),294)),"")</f>
        <v/>
      </c>
      <c r="G295" t="str">
        <f t="array" ref="G295">IFERROR(INDEX(checklistPesertaKemenkeu!$J$6:$J$1005,SMALL(IF(checklistPesertaKemenkeu!$AY$6:$AY$1005="Direkomendasikan",ROW($6:$1005)-5),294)),"")</f>
        <v/>
      </c>
      <c r="H295" t="str">
        <f t="array" aca="1" ref="H295" ca="1">IFERROR(IF(OR(INDEX(checklistPesertaKemenkeu!$L$6:$L$1005,SMALL(IF(checklistPesertaKemenkeu!$AY$6:$AY$1005="Direkomendasikan",ROW($6:$1005)-5),294))="",INDEX(checklistPesertaKemenkeu!$J$6:$J$1005,SMALL(IF(checklistPesertaKemenkeu!$AY$6:$AY$1005="Direkomendasikan",ROW($6:$1005)-5),294))=""),"",IF(AND(COUNTIF(INDIRECT("K_"&amp;MATCH(INDEX(checklistPesertaKemenkeu!$J$6:$J$1005,SMALL(IF(checklistPesertaKemenkeu!$AY$6:$AY$1005="Direkomendasikan",ROW($6:$1005)-5),294)),BidangList,0)),INDEX(checklistPesertaKemenkeu!$L$6:$L$1005,SMALL(IF(checklistPesertaKemenkeu!$AY$6:$AY$1005="Direkomendasikan",ROW($6:$1005)-5),294)))&gt;0,COUNTIF(INDIRECT("'KERTAS KERJA'!K"&amp;(SMALL(IF(checklistPesertaKemenkeu!$AY$6:$AY$1005="Direkomendasikan",ROW($6:$1005)-5),294)+5)&amp;":O"&amp;(SMALL(IF(checklistPesertaKemenkeu!$AY$6:$AY$1005="Direkomendasikan",ROW($6:$1005)-5),294)+5)),INDEX(checklistPesertaKemenkeu!$L$6:$L$1005,SMALL(IF(checklistPesertaKemenkeu!$AY$6:$AY$1005="Direkomendasikan",ROW($6:$1005)-5),294)))=1),IFERROR(VLOOKUP(INDEX(checklistPesertaKemenkeu!$L$6:$L$1005,SMALL(IF(checklistPesertaKemenkeu!$AY$6:$AY$1005="Direkomendasikan",ROW($6:$1005)-5),294)),KotaKode,2,0),"-"),"")),"")</f>
        <v/>
      </c>
      <c r="I295" t="str">
        <f t="array" aca="1" ref="I295" ca="1">IFERROR(IF(OR(INDEX(checklistPesertaKemenkeu!$M$6:$M$1005,SMALL(IF(checklistPesertaKemenkeu!$AY$6:$AY$1005="Direkomendasikan",ROW($6:$1005)-5),294))="",INDEX(checklistPesertaKemenkeu!$J$6:$J$1005,SMALL(IF(checklistPesertaKemenkeu!$AY$6:$AY$1005="Direkomendasikan",ROW($6:$1005)-5),294))=""),"",IF(AND(COUNTIF(INDIRECT("K_"&amp;MATCH(INDEX(checklistPesertaKemenkeu!$J$6:$J$1005,SMALL(IF(checklistPesertaKemenkeu!$AY$6:$AY$1005="Direkomendasikan",ROW($6:$1005)-5),294)),BidangList,0)),INDEX(checklistPesertaKemenkeu!$M$6:$M$1005,SMALL(IF(checklistPesertaKemenkeu!$AY$6:$AY$1005="Direkomendasikan",ROW($6:$1005)-5),294)))&gt;0,COUNTIF(INDIRECT("'KERTAS KERJA'!K"&amp;(SMALL(IF(checklistPesertaKemenkeu!$AY$6:$AY$1005="Direkomendasikan",ROW($6:$1005)-5),294)+5)&amp;":O"&amp;(SMALL(IF(checklistPesertaKemenkeu!$AY$6:$AY$1005="Direkomendasikan",ROW($6:$1005)-5),294)+5)),INDEX(checklistPesertaKemenkeu!$M$6:$M$1005,SMALL(IF(checklistPesertaKemenkeu!$AY$6:$AY$1005="Direkomendasikan",ROW($6:$1005)-5),294)))=1),IFERROR(VLOOKUP(INDEX(checklistPesertaKemenkeu!$M$6:$M$1005,SMALL(IF(checklistPesertaKemenkeu!$AY$6:$AY$1005="Direkomendasikan",ROW($6:$1005)-5),294)),KotaKode,2,0),"-"),"")),"")</f>
        <v/>
      </c>
      <c r="J295" t="str">
        <f t="array" aca="1" ref="J295" ca="1">IFERROR(IF(OR(INDEX(checklistPesertaKemenkeu!$N$6:$N$1005,SMALL(IF(checklistPesertaKemenkeu!$AY$6:$AY$1005="Direkomendasikan",ROW($6:$1005)-5),294))="",INDEX(checklistPesertaKemenkeu!$J$6:$J$1005,SMALL(IF(checklistPesertaKemenkeu!$AY$6:$AY$1005="Direkomendasikan",ROW($6:$1005)-5),294))=""),"",IF(AND(COUNTIF(INDIRECT("K_"&amp;MATCH(INDEX(checklistPesertaKemenkeu!$J$6:$J$1005,SMALL(IF(checklistPesertaKemenkeu!$AY$6:$AY$1005="Direkomendasikan",ROW($6:$1005)-5),294)),BidangList,0)),INDEX(checklistPesertaKemenkeu!$N$6:$N$1005,SMALL(IF(checklistPesertaKemenkeu!$AY$6:$AY$1005="Direkomendasikan",ROW($6:$1005)-5),294)))&gt;0,COUNTIF(INDIRECT("'KERTAS KERJA'!K"&amp;(SMALL(IF(checklistPesertaKemenkeu!$AY$6:$AY$1005="Direkomendasikan",ROW($6:$1005)-5),294)+5)&amp;":O"&amp;(SMALL(IF(checklistPesertaKemenkeu!$AY$6:$AY$1005="Direkomendasikan",ROW($6:$1005)-5),294)+5)),INDEX(checklistPesertaKemenkeu!$N$6:$N$1005,SMALL(IF(checklistPesertaKemenkeu!$AY$6:$AY$1005="Direkomendasikan",ROW($6:$1005)-5),294)))=1),IFERROR(VLOOKUP(INDEX(checklistPesertaKemenkeu!$N$6:$N$1005,SMALL(IF(checklistPesertaKemenkeu!$AY$6:$AY$1005="Direkomendasikan",ROW($6:$1005)-5),294)),KotaKode,2,0),"-"),"")),"")</f>
        <v/>
      </c>
      <c r="K295" t="str">
        <f t="array" aca="1" ref="K295" ca="1">IFERROR(IF(OR(INDEX(checklistPesertaKemenkeu!$O$6:$O$1005,SMALL(IF(checklistPesertaKemenkeu!$AY$6:$AY$1005="Direkomendasikan",ROW($6:$1005)-5),294))="",INDEX(checklistPesertaKemenkeu!$J$6:$J$1005,SMALL(IF(checklistPesertaKemenkeu!$AY$6:$AY$1005="Direkomendasikan",ROW($6:$1005)-5),294))=""),"",IF(AND(COUNTIF(INDIRECT("K_"&amp;MATCH(INDEX(checklistPesertaKemenkeu!$J$6:$J$1005,SMALL(IF(checklistPesertaKemenkeu!$AY$6:$AY$1005="Direkomendasikan",ROW($6:$1005)-5),294)),BidangList,0)),INDEX(checklistPesertaKemenkeu!$O$6:$O$1005,SMALL(IF(checklistPesertaKemenkeu!$AY$6:$AY$1005="Direkomendasikan",ROW($6:$1005)-5),294)))&gt;0,COUNTIF(INDIRECT("'KERTAS KERJA'!K"&amp;(SMALL(IF(checklistPesertaKemenkeu!$AY$6:$AY$1005="Direkomendasikan",ROW($6:$1005)-5),294)+5)&amp;":O"&amp;(SMALL(IF(checklistPesertaKemenkeu!$AY$6:$AY$1005="Direkomendasikan",ROW($6:$1005)-5),294)+5)),INDEX(checklistPesertaKemenkeu!$O$6:$O$1005,SMALL(IF(checklistPesertaKemenkeu!$AY$6:$AY$1005="Direkomendasikan",ROW($6:$1005)-5),294)))=1),IFERROR(VLOOKUP(INDEX(checklistPesertaKemenkeu!$O$6:$O$1005,SMALL(IF(checklistPesertaKemenkeu!$AY$6:$AY$1005="Direkomendasikan",ROW($6:$1005)-5),294)),KotaKode,2,0),"-"),"")),"")</f>
        <v/>
      </c>
      <c r="L295" t="str">
        <f t="array" aca="1" ref="L295" ca="1">IFERROR(IF(OR(INDEX(checklistPesertaKemenkeu!$P$6:$P$1005,SMALL(IF(checklistPesertaKemenkeu!$AY$6:$AY$1005="Direkomendasikan",ROW($6:$1005)-5),294))="",INDEX(checklistPesertaKemenkeu!$J$6:$J$1005,SMALL(IF(checklistPesertaKemenkeu!$AY$6:$AY$1005="Direkomendasikan",ROW($6:$1005)-5),294))=""),"",IF(AND(COUNTIF(INDIRECT("K_"&amp;MATCH(INDEX(checklistPesertaKemenkeu!$J$6:$J$1005,SMALL(IF(checklistPesertaKemenkeu!$AY$6:$AY$1005="Direkomendasikan",ROW($6:$1005)-5),294)),BidangList,0)),INDEX(checklistPesertaKemenkeu!$P$6:$P$1005,SMALL(IF(checklistPesertaKemenkeu!$AY$6:$AY$1005="Direkomendasikan",ROW($6:$1005)-5),294)))&gt;0,COUNTIF(INDIRECT("'KERTAS KERJA'!K"&amp;(SMALL(IF(checklistPesertaKemenkeu!$AY$6:$AY$1005="Direkomendasikan",ROW($6:$1005)-5),294)+5)&amp;":O"&amp;(SMALL(IF(checklistPesertaKemenkeu!$AY$6:$AY$1005="Direkomendasikan",ROW($6:$1005)-5),294)+5)),INDEX(checklistPesertaKemenkeu!$P$6:$P$1005,SMALL(IF(checklistPesertaKemenkeu!$AY$6:$AY$1005="Direkomendasikan",ROW($6:$1005)-5),294)))=1),IFERROR(VLOOKUP(INDEX(checklistPesertaKemenkeu!$P$6:$P$1005,SMALL(IF(checklistPesertaKemenkeu!$AY$6:$AY$1005="Direkomendasikan",ROW($6:$1005)-5),294)),KotaKode,2,0),"-"),"")),"")</f>
        <v/>
      </c>
    </row>
    <row r="296" spans="1:12" ht="15" customHeight="1" x14ac:dyDescent="0.2">
      <c r="A296" t="str">
        <f t="shared" si="4"/>
        <v/>
      </c>
      <c r="B296" t="str">
        <v/>
      </c>
      <c r="C296" s="40" t="str">
        <f t="array" ref="C296">IFERROR(INDEX(checklistPesertaKemenkeu!$F$6:$F$1005,SMALL(IF(checklistPesertaKemenkeu!$AY$6:$AY$1005="Direkomendasikan",ROW($6:$1005)-5),295)),"")</f>
        <v/>
      </c>
      <c r="D296" t="str">
        <f t="array" ref="D296">IFERROR(INDEX(checklistPesertaKemenkeu!$G$6:$G$1005,SMALL(IF(checklistPesertaKemenkeu!$AY$6:$AY$1005="Direkomendasikan",ROW($6:$1005)-5),295)),"")</f>
        <v/>
      </c>
      <c r="E296" t="str">
        <f t="array" ref="E296">IFERROR(INDEX(checklistPesertaKemenkeu!$H$6:$H$1005,SMALL(IF(checklistPesertaKemenkeu!$AY$6:$AY$1005="Direkomendasikan",ROW($6:$1005)-5),295)),"")</f>
        <v/>
      </c>
      <c r="F296" t="str">
        <f t="array" ref="F296">IFERROR(INDEX(checklistPesertaKemenkeu!$I$6:$I$1005,SMALL(IF(checklistPesertaKemenkeu!$AY$6:$AY$1005="Direkomendasikan",ROW($6:$1005)-5),295)),"")</f>
        <v/>
      </c>
      <c r="G296" t="str">
        <f t="array" ref="G296">IFERROR(INDEX(checklistPesertaKemenkeu!$J$6:$J$1005,SMALL(IF(checklistPesertaKemenkeu!$AY$6:$AY$1005="Direkomendasikan",ROW($6:$1005)-5),295)),"")</f>
        <v/>
      </c>
      <c r="H296" t="str">
        <f t="array" aca="1" ref="H296" ca="1">IFERROR(IF(OR(INDEX(checklistPesertaKemenkeu!$L$6:$L$1005,SMALL(IF(checklistPesertaKemenkeu!$AY$6:$AY$1005="Direkomendasikan",ROW($6:$1005)-5),295))="",INDEX(checklistPesertaKemenkeu!$J$6:$J$1005,SMALL(IF(checklistPesertaKemenkeu!$AY$6:$AY$1005="Direkomendasikan",ROW($6:$1005)-5),295))=""),"",IF(AND(COUNTIF(INDIRECT("K_"&amp;MATCH(INDEX(checklistPesertaKemenkeu!$J$6:$J$1005,SMALL(IF(checklistPesertaKemenkeu!$AY$6:$AY$1005="Direkomendasikan",ROW($6:$1005)-5),295)),BidangList,0)),INDEX(checklistPesertaKemenkeu!$L$6:$L$1005,SMALL(IF(checklistPesertaKemenkeu!$AY$6:$AY$1005="Direkomendasikan",ROW($6:$1005)-5),295)))&gt;0,COUNTIF(INDIRECT("'KERTAS KERJA'!K"&amp;(SMALL(IF(checklistPesertaKemenkeu!$AY$6:$AY$1005="Direkomendasikan",ROW($6:$1005)-5),295)+5)&amp;":O"&amp;(SMALL(IF(checklistPesertaKemenkeu!$AY$6:$AY$1005="Direkomendasikan",ROW($6:$1005)-5),295)+5)),INDEX(checklistPesertaKemenkeu!$L$6:$L$1005,SMALL(IF(checklistPesertaKemenkeu!$AY$6:$AY$1005="Direkomendasikan",ROW($6:$1005)-5),295)))=1),IFERROR(VLOOKUP(INDEX(checklistPesertaKemenkeu!$L$6:$L$1005,SMALL(IF(checklistPesertaKemenkeu!$AY$6:$AY$1005="Direkomendasikan",ROW($6:$1005)-5),295)),KotaKode,2,0),"-"),"")),"")</f>
        <v/>
      </c>
      <c r="I296" t="str">
        <f t="array" aca="1" ref="I296" ca="1">IFERROR(IF(OR(INDEX(checklistPesertaKemenkeu!$M$6:$M$1005,SMALL(IF(checklistPesertaKemenkeu!$AY$6:$AY$1005="Direkomendasikan",ROW($6:$1005)-5),295))="",INDEX(checklistPesertaKemenkeu!$J$6:$J$1005,SMALL(IF(checklistPesertaKemenkeu!$AY$6:$AY$1005="Direkomendasikan",ROW($6:$1005)-5),295))=""),"",IF(AND(COUNTIF(INDIRECT("K_"&amp;MATCH(INDEX(checklistPesertaKemenkeu!$J$6:$J$1005,SMALL(IF(checklistPesertaKemenkeu!$AY$6:$AY$1005="Direkomendasikan",ROW($6:$1005)-5),295)),BidangList,0)),INDEX(checklistPesertaKemenkeu!$M$6:$M$1005,SMALL(IF(checklistPesertaKemenkeu!$AY$6:$AY$1005="Direkomendasikan",ROW($6:$1005)-5),295)))&gt;0,COUNTIF(INDIRECT("'KERTAS KERJA'!K"&amp;(SMALL(IF(checklistPesertaKemenkeu!$AY$6:$AY$1005="Direkomendasikan",ROW($6:$1005)-5),295)+5)&amp;":O"&amp;(SMALL(IF(checklistPesertaKemenkeu!$AY$6:$AY$1005="Direkomendasikan",ROW($6:$1005)-5),295)+5)),INDEX(checklistPesertaKemenkeu!$M$6:$M$1005,SMALL(IF(checklistPesertaKemenkeu!$AY$6:$AY$1005="Direkomendasikan",ROW($6:$1005)-5),295)))=1),IFERROR(VLOOKUP(INDEX(checklistPesertaKemenkeu!$M$6:$M$1005,SMALL(IF(checklistPesertaKemenkeu!$AY$6:$AY$1005="Direkomendasikan",ROW($6:$1005)-5),295)),KotaKode,2,0),"-"),"")),"")</f>
        <v/>
      </c>
      <c r="J296" t="str">
        <f t="array" aca="1" ref="J296" ca="1">IFERROR(IF(OR(INDEX(checklistPesertaKemenkeu!$N$6:$N$1005,SMALL(IF(checklistPesertaKemenkeu!$AY$6:$AY$1005="Direkomendasikan",ROW($6:$1005)-5),295))="",INDEX(checklistPesertaKemenkeu!$J$6:$J$1005,SMALL(IF(checklistPesertaKemenkeu!$AY$6:$AY$1005="Direkomendasikan",ROW($6:$1005)-5),295))=""),"",IF(AND(COUNTIF(INDIRECT("K_"&amp;MATCH(INDEX(checklistPesertaKemenkeu!$J$6:$J$1005,SMALL(IF(checklistPesertaKemenkeu!$AY$6:$AY$1005="Direkomendasikan",ROW($6:$1005)-5),295)),BidangList,0)),INDEX(checklistPesertaKemenkeu!$N$6:$N$1005,SMALL(IF(checklistPesertaKemenkeu!$AY$6:$AY$1005="Direkomendasikan",ROW($6:$1005)-5),295)))&gt;0,COUNTIF(INDIRECT("'KERTAS KERJA'!K"&amp;(SMALL(IF(checklistPesertaKemenkeu!$AY$6:$AY$1005="Direkomendasikan",ROW($6:$1005)-5),295)+5)&amp;":O"&amp;(SMALL(IF(checklistPesertaKemenkeu!$AY$6:$AY$1005="Direkomendasikan",ROW($6:$1005)-5),295)+5)),INDEX(checklistPesertaKemenkeu!$N$6:$N$1005,SMALL(IF(checklistPesertaKemenkeu!$AY$6:$AY$1005="Direkomendasikan",ROW($6:$1005)-5),295)))=1),IFERROR(VLOOKUP(INDEX(checklistPesertaKemenkeu!$N$6:$N$1005,SMALL(IF(checklistPesertaKemenkeu!$AY$6:$AY$1005="Direkomendasikan",ROW($6:$1005)-5),295)),KotaKode,2,0),"-"),"")),"")</f>
        <v/>
      </c>
      <c r="K296" t="str">
        <f t="array" aca="1" ref="K296" ca="1">IFERROR(IF(OR(INDEX(checklistPesertaKemenkeu!$O$6:$O$1005,SMALL(IF(checklistPesertaKemenkeu!$AY$6:$AY$1005="Direkomendasikan",ROW($6:$1005)-5),295))="",INDEX(checklistPesertaKemenkeu!$J$6:$J$1005,SMALL(IF(checklistPesertaKemenkeu!$AY$6:$AY$1005="Direkomendasikan",ROW($6:$1005)-5),295))=""),"",IF(AND(COUNTIF(INDIRECT("K_"&amp;MATCH(INDEX(checklistPesertaKemenkeu!$J$6:$J$1005,SMALL(IF(checklistPesertaKemenkeu!$AY$6:$AY$1005="Direkomendasikan",ROW($6:$1005)-5),295)),BidangList,0)),INDEX(checklistPesertaKemenkeu!$O$6:$O$1005,SMALL(IF(checklistPesertaKemenkeu!$AY$6:$AY$1005="Direkomendasikan",ROW($6:$1005)-5),295)))&gt;0,COUNTIF(INDIRECT("'KERTAS KERJA'!K"&amp;(SMALL(IF(checklistPesertaKemenkeu!$AY$6:$AY$1005="Direkomendasikan",ROW($6:$1005)-5),295)+5)&amp;":O"&amp;(SMALL(IF(checklistPesertaKemenkeu!$AY$6:$AY$1005="Direkomendasikan",ROW($6:$1005)-5),295)+5)),INDEX(checklistPesertaKemenkeu!$O$6:$O$1005,SMALL(IF(checklistPesertaKemenkeu!$AY$6:$AY$1005="Direkomendasikan",ROW($6:$1005)-5),295)))=1),IFERROR(VLOOKUP(INDEX(checklistPesertaKemenkeu!$O$6:$O$1005,SMALL(IF(checklistPesertaKemenkeu!$AY$6:$AY$1005="Direkomendasikan",ROW($6:$1005)-5),295)),KotaKode,2,0),"-"),"")),"")</f>
        <v/>
      </c>
      <c r="L296" t="str">
        <f t="array" aca="1" ref="L296" ca="1">IFERROR(IF(OR(INDEX(checklistPesertaKemenkeu!$P$6:$P$1005,SMALL(IF(checklistPesertaKemenkeu!$AY$6:$AY$1005="Direkomendasikan",ROW($6:$1005)-5),295))="",INDEX(checklistPesertaKemenkeu!$J$6:$J$1005,SMALL(IF(checklistPesertaKemenkeu!$AY$6:$AY$1005="Direkomendasikan",ROW($6:$1005)-5),295))=""),"",IF(AND(COUNTIF(INDIRECT("K_"&amp;MATCH(INDEX(checklistPesertaKemenkeu!$J$6:$J$1005,SMALL(IF(checklistPesertaKemenkeu!$AY$6:$AY$1005="Direkomendasikan",ROW($6:$1005)-5),295)),BidangList,0)),INDEX(checklistPesertaKemenkeu!$P$6:$P$1005,SMALL(IF(checklistPesertaKemenkeu!$AY$6:$AY$1005="Direkomendasikan",ROW($6:$1005)-5),295)))&gt;0,COUNTIF(INDIRECT("'KERTAS KERJA'!K"&amp;(SMALL(IF(checklistPesertaKemenkeu!$AY$6:$AY$1005="Direkomendasikan",ROW($6:$1005)-5),295)+5)&amp;":O"&amp;(SMALL(IF(checklistPesertaKemenkeu!$AY$6:$AY$1005="Direkomendasikan",ROW($6:$1005)-5),295)+5)),INDEX(checklistPesertaKemenkeu!$P$6:$P$1005,SMALL(IF(checklistPesertaKemenkeu!$AY$6:$AY$1005="Direkomendasikan",ROW($6:$1005)-5),295)))=1),IFERROR(VLOOKUP(INDEX(checklistPesertaKemenkeu!$P$6:$P$1005,SMALL(IF(checklistPesertaKemenkeu!$AY$6:$AY$1005="Direkomendasikan",ROW($6:$1005)-5),295)),KotaKode,2,0),"-"),"")),"")</f>
        <v/>
      </c>
    </row>
    <row r="297" spans="1:12" ht="15" customHeight="1" x14ac:dyDescent="0.2">
      <c r="A297" t="str">
        <f t="shared" si="4"/>
        <v/>
      </c>
      <c r="B297" t="str">
        <v/>
      </c>
      <c r="C297" s="40" t="str">
        <f t="array" ref="C297">IFERROR(INDEX(checklistPesertaKemenkeu!$F$6:$F$1005,SMALL(IF(checklistPesertaKemenkeu!$AY$6:$AY$1005="Direkomendasikan",ROW($6:$1005)-5),296)),"")</f>
        <v/>
      </c>
      <c r="D297" t="str">
        <f t="array" ref="D297">IFERROR(INDEX(checklistPesertaKemenkeu!$G$6:$G$1005,SMALL(IF(checklistPesertaKemenkeu!$AY$6:$AY$1005="Direkomendasikan",ROW($6:$1005)-5),296)),"")</f>
        <v/>
      </c>
      <c r="E297" t="str">
        <f t="array" ref="E297">IFERROR(INDEX(checklistPesertaKemenkeu!$H$6:$H$1005,SMALL(IF(checklistPesertaKemenkeu!$AY$6:$AY$1005="Direkomendasikan",ROW($6:$1005)-5),296)),"")</f>
        <v/>
      </c>
      <c r="F297" t="str">
        <f t="array" ref="F297">IFERROR(INDEX(checklistPesertaKemenkeu!$I$6:$I$1005,SMALL(IF(checklistPesertaKemenkeu!$AY$6:$AY$1005="Direkomendasikan",ROW($6:$1005)-5),296)),"")</f>
        <v/>
      </c>
      <c r="G297" t="str">
        <f t="array" ref="G297">IFERROR(INDEX(checklistPesertaKemenkeu!$J$6:$J$1005,SMALL(IF(checklistPesertaKemenkeu!$AY$6:$AY$1005="Direkomendasikan",ROW($6:$1005)-5),296)),"")</f>
        <v/>
      </c>
      <c r="H297" t="str">
        <f t="array" aca="1" ref="H297" ca="1">IFERROR(IF(OR(INDEX(checklistPesertaKemenkeu!$L$6:$L$1005,SMALL(IF(checklistPesertaKemenkeu!$AY$6:$AY$1005="Direkomendasikan",ROW($6:$1005)-5),296))="",INDEX(checklistPesertaKemenkeu!$J$6:$J$1005,SMALL(IF(checklistPesertaKemenkeu!$AY$6:$AY$1005="Direkomendasikan",ROW($6:$1005)-5),296))=""),"",IF(AND(COUNTIF(INDIRECT("K_"&amp;MATCH(INDEX(checklistPesertaKemenkeu!$J$6:$J$1005,SMALL(IF(checklistPesertaKemenkeu!$AY$6:$AY$1005="Direkomendasikan",ROW($6:$1005)-5),296)),BidangList,0)),INDEX(checklistPesertaKemenkeu!$L$6:$L$1005,SMALL(IF(checklistPesertaKemenkeu!$AY$6:$AY$1005="Direkomendasikan",ROW($6:$1005)-5),296)))&gt;0,COUNTIF(INDIRECT("'KERTAS KERJA'!K"&amp;(SMALL(IF(checklistPesertaKemenkeu!$AY$6:$AY$1005="Direkomendasikan",ROW($6:$1005)-5),296)+5)&amp;":O"&amp;(SMALL(IF(checklistPesertaKemenkeu!$AY$6:$AY$1005="Direkomendasikan",ROW($6:$1005)-5),296)+5)),INDEX(checklistPesertaKemenkeu!$L$6:$L$1005,SMALL(IF(checklistPesertaKemenkeu!$AY$6:$AY$1005="Direkomendasikan",ROW($6:$1005)-5),296)))=1),IFERROR(VLOOKUP(INDEX(checklistPesertaKemenkeu!$L$6:$L$1005,SMALL(IF(checklistPesertaKemenkeu!$AY$6:$AY$1005="Direkomendasikan",ROW($6:$1005)-5),296)),KotaKode,2,0),"-"),"")),"")</f>
        <v/>
      </c>
      <c r="I297" t="str">
        <f t="array" aca="1" ref="I297" ca="1">IFERROR(IF(OR(INDEX(checklistPesertaKemenkeu!$M$6:$M$1005,SMALL(IF(checklistPesertaKemenkeu!$AY$6:$AY$1005="Direkomendasikan",ROW($6:$1005)-5),296))="",INDEX(checklistPesertaKemenkeu!$J$6:$J$1005,SMALL(IF(checklistPesertaKemenkeu!$AY$6:$AY$1005="Direkomendasikan",ROW($6:$1005)-5),296))=""),"",IF(AND(COUNTIF(INDIRECT("K_"&amp;MATCH(INDEX(checklistPesertaKemenkeu!$J$6:$J$1005,SMALL(IF(checklistPesertaKemenkeu!$AY$6:$AY$1005="Direkomendasikan",ROW($6:$1005)-5),296)),BidangList,0)),INDEX(checklistPesertaKemenkeu!$M$6:$M$1005,SMALL(IF(checklistPesertaKemenkeu!$AY$6:$AY$1005="Direkomendasikan",ROW($6:$1005)-5),296)))&gt;0,COUNTIF(INDIRECT("'KERTAS KERJA'!K"&amp;(SMALL(IF(checklistPesertaKemenkeu!$AY$6:$AY$1005="Direkomendasikan",ROW($6:$1005)-5),296)+5)&amp;":O"&amp;(SMALL(IF(checklistPesertaKemenkeu!$AY$6:$AY$1005="Direkomendasikan",ROW($6:$1005)-5),296)+5)),INDEX(checklistPesertaKemenkeu!$M$6:$M$1005,SMALL(IF(checklistPesertaKemenkeu!$AY$6:$AY$1005="Direkomendasikan",ROW($6:$1005)-5),296)))=1),IFERROR(VLOOKUP(INDEX(checklistPesertaKemenkeu!$M$6:$M$1005,SMALL(IF(checklistPesertaKemenkeu!$AY$6:$AY$1005="Direkomendasikan",ROW($6:$1005)-5),296)),KotaKode,2,0),"-"),"")),"")</f>
        <v/>
      </c>
      <c r="J297" t="str">
        <f t="array" aca="1" ref="J297" ca="1">IFERROR(IF(OR(INDEX(checklistPesertaKemenkeu!$N$6:$N$1005,SMALL(IF(checklistPesertaKemenkeu!$AY$6:$AY$1005="Direkomendasikan",ROW($6:$1005)-5),296))="",INDEX(checklistPesertaKemenkeu!$J$6:$J$1005,SMALL(IF(checklistPesertaKemenkeu!$AY$6:$AY$1005="Direkomendasikan",ROW($6:$1005)-5),296))=""),"",IF(AND(COUNTIF(INDIRECT("K_"&amp;MATCH(INDEX(checklistPesertaKemenkeu!$J$6:$J$1005,SMALL(IF(checklistPesertaKemenkeu!$AY$6:$AY$1005="Direkomendasikan",ROW($6:$1005)-5),296)),BidangList,0)),INDEX(checklistPesertaKemenkeu!$N$6:$N$1005,SMALL(IF(checklistPesertaKemenkeu!$AY$6:$AY$1005="Direkomendasikan",ROW($6:$1005)-5),296)))&gt;0,COUNTIF(INDIRECT("'KERTAS KERJA'!K"&amp;(SMALL(IF(checklistPesertaKemenkeu!$AY$6:$AY$1005="Direkomendasikan",ROW($6:$1005)-5),296)+5)&amp;":O"&amp;(SMALL(IF(checklistPesertaKemenkeu!$AY$6:$AY$1005="Direkomendasikan",ROW($6:$1005)-5),296)+5)),INDEX(checklistPesertaKemenkeu!$N$6:$N$1005,SMALL(IF(checklistPesertaKemenkeu!$AY$6:$AY$1005="Direkomendasikan",ROW($6:$1005)-5),296)))=1),IFERROR(VLOOKUP(INDEX(checklistPesertaKemenkeu!$N$6:$N$1005,SMALL(IF(checklistPesertaKemenkeu!$AY$6:$AY$1005="Direkomendasikan",ROW($6:$1005)-5),296)),KotaKode,2,0),"-"),"")),"")</f>
        <v/>
      </c>
      <c r="K297" t="str">
        <f t="array" aca="1" ref="K297" ca="1">IFERROR(IF(OR(INDEX(checklistPesertaKemenkeu!$O$6:$O$1005,SMALL(IF(checklistPesertaKemenkeu!$AY$6:$AY$1005="Direkomendasikan",ROW($6:$1005)-5),296))="",INDEX(checklistPesertaKemenkeu!$J$6:$J$1005,SMALL(IF(checklistPesertaKemenkeu!$AY$6:$AY$1005="Direkomendasikan",ROW($6:$1005)-5),296))=""),"",IF(AND(COUNTIF(INDIRECT("K_"&amp;MATCH(INDEX(checklistPesertaKemenkeu!$J$6:$J$1005,SMALL(IF(checklistPesertaKemenkeu!$AY$6:$AY$1005="Direkomendasikan",ROW($6:$1005)-5),296)),BidangList,0)),INDEX(checklistPesertaKemenkeu!$O$6:$O$1005,SMALL(IF(checklistPesertaKemenkeu!$AY$6:$AY$1005="Direkomendasikan",ROW($6:$1005)-5),296)))&gt;0,COUNTIF(INDIRECT("'KERTAS KERJA'!K"&amp;(SMALL(IF(checklistPesertaKemenkeu!$AY$6:$AY$1005="Direkomendasikan",ROW($6:$1005)-5),296)+5)&amp;":O"&amp;(SMALL(IF(checklistPesertaKemenkeu!$AY$6:$AY$1005="Direkomendasikan",ROW($6:$1005)-5),296)+5)),INDEX(checklistPesertaKemenkeu!$O$6:$O$1005,SMALL(IF(checklistPesertaKemenkeu!$AY$6:$AY$1005="Direkomendasikan",ROW($6:$1005)-5),296)))=1),IFERROR(VLOOKUP(INDEX(checklistPesertaKemenkeu!$O$6:$O$1005,SMALL(IF(checklistPesertaKemenkeu!$AY$6:$AY$1005="Direkomendasikan",ROW($6:$1005)-5),296)),KotaKode,2,0),"-"),"")),"")</f>
        <v/>
      </c>
      <c r="L297" t="str">
        <f t="array" aca="1" ref="L297" ca="1">IFERROR(IF(OR(INDEX(checklistPesertaKemenkeu!$P$6:$P$1005,SMALL(IF(checklistPesertaKemenkeu!$AY$6:$AY$1005="Direkomendasikan",ROW($6:$1005)-5),296))="",INDEX(checklistPesertaKemenkeu!$J$6:$J$1005,SMALL(IF(checklistPesertaKemenkeu!$AY$6:$AY$1005="Direkomendasikan",ROW($6:$1005)-5),296))=""),"",IF(AND(COUNTIF(INDIRECT("K_"&amp;MATCH(INDEX(checklistPesertaKemenkeu!$J$6:$J$1005,SMALL(IF(checklistPesertaKemenkeu!$AY$6:$AY$1005="Direkomendasikan",ROW($6:$1005)-5),296)),BidangList,0)),INDEX(checklistPesertaKemenkeu!$P$6:$P$1005,SMALL(IF(checklistPesertaKemenkeu!$AY$6:$AY$1005="Direkomendasikan",ROW($6:$1005)-5),296)))&gt;0,COUNTIF(INDIRECT("'KERTAS KERJA'!K"&amp;(SMALL(IF(checklistPesertaKemenkeu!$AY$6:$AY$1005="Direkomendasikan",ROW($6:$1005)-5),296)+5)&amp;":O"&amp;(SMALL(IF(checklistPesertaKemenkeu!$AY$6:$AY$1005="Direkomendasikan",ROW($6:$1005)-5),296)+5)),INDEX(checklistPesertaKemenkeu!$P$6:$P$1005,SMALL(IF(checklistPesertaKemenkeu!$AY$6:$AY$1005="Direkomendasikan",ROW($6:$1005)-5),296)))=1),IFERROR(VLOOKUP(INDEX(checklistPesertaKemenkeu!$P$6:$P$1005,SMALL(IF(checklistPesertaKemenkeu!$AY$6:$AY$1005="Direkomendasikan",ROW($6:$1005)-5),296)),KotaKode,2,0),"-"),"")),"")</f>
        <v/>
      </c>
    </row>
    <row r="298" spans="1:12" ht="15" customHeight="1" x14ac:dyDescent="0.2">
      <c r="A298" t="str">
        <f t="shared" si="4"/>
        <v/>
      </c>
      <c r="B298" t="str">
        <v/>
      </c>
      <c r="C298" s="40" t="str">
        <f t="array" ref="C298">IFERROR(INDEX(checklistPesertaKemenkeu!$F$6:$F$1005,SMALL(IF(checklistPesertaKemenkeu!$AY$6:$AY$1005="Direkomendasikan",ROW($6:$1005)-5),297)),"")</f>
        <v/>
      </c>
      <c r="D298" t="str">
        <f t="array" ref="D298">IFERROR(INDEX(checklistPesertaKemenkeu!$G$6:$G$1005,SMALL(IF(checklistPesertaKemenkeu!$AY$6:$AY$1005="Direkomendasikan",ROW($6:$1005)-5),297)),"")</f>
        <v/>
      </c>
      <c r="E298" t="str">
        <f t="array" ref="E298">IFERROR(INDEX(checklistPesertaKemenkeu!$H$6:$H$1005,SMALL(IF(checklistPesertaKemenkeu!$AY$6:$AY$1005="Direkomendasikan",ROW($6:$1005)-5),297)),"")</f>
        <v/>
      </c>
      <c r="F298" t="str">
        <f t="array" ref="F298">IFERROR(INDEX(checklistPesertaKemenkeu!$I$6:$I$1005,SMALL(IF(checklistPesertaKemenkeu!$AY$6:$AY$1005="Direkomendasikan",ROW($6:$1005)-5),297)),"")</f>
        <v/>
      </c>
      <c r="G298" t="str">
        <f t="array" ref="G298">IFERROR(INDEX(checklistPesertaKemenkeu!$J$6:$J$1005,SMALL(IF(checklistPesertaKemenkeu!$AY$6:$AY$1005="Direkomendasikan",ROW($6:$1005)-5),297)),"")</f>
        <v/>
      </c>
      <c r="H298" t="str">
        <f t="array" aca="1" ref="H298" ca="1">IFERROR(IF(OR(INDEX(checklistPesertaKemenkeu!$L$6:$L$1005,SMALL(IF(checklistPesertaKemenkeu!$AY$6:$AY$1005="Direkomendasikan",ROW($6:$1005)-5),297))="",INDEX(checklistPesertaKemenkeu!$J$6:$J$1005,SMALL(IF(checklistPesertaKemenkeu!$AY$6:$AY$1005="Direkomendasikan",ROW($6:$1005)-5),297))=""),"",IF(AND(COUNTIF(INDIRECT("K_"&amp;MATCH(INDEX(checklistPesertaKemenkeu!$J$6:$J$1005,SMALL(IF(checklistPesertaKemenkeu!$AY$6:$AY$1005="Direkomendasikan",ROW($6:$1005)-5),297)),BidangList,0)),INDEX(checklistPesertaKemenkeu!$L$6:$L$1005,SMALL(IF(checklistPesertaKemenkeu!$AY$6:$AY$1005="Direkomendasikan",ROW($6:$1005)-5),297)))&gt;0,COUNTIF(INDIRECT("'KERTAS KERJA'!K"&amp;(SMALL(IF(checklistPesertaKemenkeu!$AY$6:$AY$1005="Direkomendasikan",ROW($6:$1005)-5),297)+5)&amp;":O"&amp;(SMALL(IF(checklistPesertaKemenkeu!$AY$6:$AY$1005="Direkomendasikan",ROW($6:$1005)-5),297)+5)),INDEX(checklistPesertaKemenkeu!$L$6:$L$1005,SMALL(IF(checklistPesertaKemenkeu!$AY$6:$AY$1005="Direkomendasikan",ROW($6:$1005)-5),297)))=1),IFERROR(VLOOKUP(INDEX(checklistPesertaKemenkeu!$L$6:$L$1005,SMALL(IF(checklistPesertaKemenkeu!$AY$6:$AY$1005="Direkomendasikan",ROW($6:$1005)-5),297)),KotaKode,2,0),"-"),"")),"")</f>
        <v/>
      </c>
      <c r="I298" t="str">
        <f t="array" aca="1" ref="I298" ca="1">IFERROR(IF(OR(INDEX(checklistPesertaKemenkeu!$M$6:$M$1005,SMALL(IF(checklistPesertaKemenkeu!$AY$6:$AY$1005="Direkomendasikan",ROW($6:$1005)-5),297))="",INDEX(checklistPesertaKemenkeu!$J$6:$J$1005,SMALL(IF(checklistPesertaKemenkeu!$AY$6:$AY$1005="Direkomendasikan",ROW($6:$1005)-5),297))=""),"",IF(AND(COUNTIF(INDIRECT("K_"&amp;MATCH(INDEX(checklistPesertaKemenkeu!$J$6:$J$1005,SMALL(IF(checklistPesertaKemenkeu!$AY$6:$AY$1005="Direkomendasikan",ROW($6:$1005)-5),297)),BidangList,0)),INDEX(checklistPesertaKemenkeu!$M$6:$M$1005,SMALL(IF(checklistPesertaKemenkeu!$AY$6:$AY$1005="Direkomendasikan",ROW($6:$1005)-5),297)))&gt;0,COUNTIF(INDIRECT("'KERTAS KERJA'!K"&amp;(SMALL(IF(checklistPesertaKemenkeu!$AY$6:$AY$1005="Direkomendasikan",ROW($6:$1005)-5),297)+5)&amp;":O"&amp;(SMALL(IF(checklistPesertaKemenkeu!$AY$6:$AY$1005="Direkomendasikan",ROW($6:$1005)-5),297)+5)),INDEX(checklistPesertaKemenkeu!$M$6:$M$1005,SMALL(IF(checklistPesertaKemenkeu!$AY$6:$AY$1005="Direkomendasikan",ROW($6:$1005)-5),297)))=1),IFERROR(VLOOKUP(INDEX(checklistPesertaKemenkeu!$M$6:$M$1005,SMALL(IF(checklistPesertaKemenkeu!$AY$6:$AY$1005="Direkomendasikan",ROW($6:$1005)-5),297)),KotaKode,2,0),"-"),"")),"")</f>
        <v/>
      </c>
      <c r="J298" t="str">
        <f t="array" aca="1" ref="J298" ca="1">IFERROR(IF(OR(INDEX(checklistPesertaKemenkeu!$N$6:$N$1005,SMALL(IF(checklistPesertaKemenkeu!$AY$6:$AY$1005="Direkomendasikan",ROW($6:$1005)-5),297))="",INDEX(checklistPesertaKemenkeu!$J$6:$J$1005,SMALL(IF(checklistPesertaKemenkeu!$AY$6:$AY$1005="Direkomendasikan",ROW($6:$1005)-5),297))=""),"",IF(AND(COUNTIF(INDIRECT("K_"&amp;MATCH(INDEX(checklistPesertaKemenkeu!$J$6:$J$1005,SMALL(IF(checklistPesertaKemenkeu!$AY$6:$AY$1005="Direkomendasikan",ROW($6:$1005)-5),297)),BidangList,0)),INDEX(checklistPesertaKemenkeu!$N$6:$N$1005,SMALL(IF(checklistPesertaKemenkeu!$AY$6:$AY$1005="Direkomendasikan",ROW($6:$1005)-5),297)))&gt;0,COUNTIF(INDIRECT("'KERTAS KERJA'!K"&amp;(SMALL(IF(checklistPesertaKemenkeu!$AY$6:$AY$1005="Direkomendasikan",ROW($6:$1005)-5),297)+5)&amp;":O"&amp;(SMALL(IF(checklistPesertaKemenkeu!$AY$6:$AY$1005="Direkomendasikan",ROW($6:$1005)-5),297)+5)),INDEX(checklistPesertaKemenkeu!$N$6:$N$1005,SMALL(IF(checklistPesertaKemenkeu!$AY$6:$AY$1005="Direkomendasikan",ROW($6:$1005)-5),297)))=1),IFERROR(VLOOKUP(INDEX(checklistPesertaKemenkeu!$N$6:$N$1005,SMALL(IF(checklistPesertaKemenkeu!$AY$6:$AY$1005="Direkomendasikan",ROW($6:$1005)-5),297)),KotaKode,2,0),"-"),"")),"")</f>
        <v/>
      </c>
      <c r="K298" t="str">
        <f t="array" aca="1" ref="K298" ca="1">IFERROR(IF(OR(INDEX(checklistPesertaKemenkeu!$O$6:$O$1005,SMALL(IF(checklistPesertaKemenkeu!$AY$6:$AY$1005="Direkomendasikan",ROW($6:$1005)-5),297))="",INDEX(checklistPesertaKemenkeu!$J$6:$J$1005,SMALL(IF(checklistPesertaKemenkeu!$AY$6:$AY$1005="Direkomendasikan",ROW($6:$1005)-5),297))=""),"",IF(AND(COUNTIF(INDIRECT("K_"&amp;MATCH(INDEX(checklistPesertaKemenkeu!$J$6:$J$1005,SMALL(IF(checklistPesertaKemenkeu!$AY$6:$AY$1005="Direkomendasikan",ROW($6:$1005)-5),297)),BidangList,0)),INDEX(checklistPesertaKemenkeu!$O$6:$O$1005,SMALL(IF(checklistPesertaKemenkeu!$AY$6:$AY$1005="Direkomendasikan",ROW($6:$1005)-5),297)))&gt;0,COUNTIF(INDIRECT("'KERTAS KERJA'!K"&amp;(SMALL(IF(checklistPesertaKemenkeu!$AY$6:$AY$1005="Direkomendasikan",ROW($6:$1005)-5),297)+5)&amp;":O"&amp;(SMALL(IF(checklistPesertaKemenkeu!$AY$6:$AY$1005="Direkomendasikan",ROW($6:$1005)-5),297)+5)),INDEX(checklistPesertaKemenkeu!$O$6:$O$1005,SMALL(IF(checklistPesertaKemenkeu!$AY$6:$AY$1005="Direkomendasikan",ROW($6:$1005)-5),297)))=1),IFERROR(VLOOKUP(INDEX(checklistPesertaKemenkeu!$O$6:$O$1005,SMALL(IF(checklistPesertaKemenkeu!$AY$6:$AY$1005="Direkomendasikan",ROW($6:$1005)-5),297)),KotaKode,2,0),"-"),"")),"")</f>
        <v/>
      </c>
      <c r="L298" t="str">
        <f t="array" aca="1" ref="L298" ca="1">IFERROR(IF(OR(INDEX(checklistPesertaKemenkeu!$P$6:$P$1005,SMALL(IF(checklistPesertaKemenkeu!$AY$6:$AY$1005="Direkomendasikan",ROW($6:$1005)-5),297))="",INDEX(checklistPesertaKemenkeu!$J$6:$J$1005,SMALL(IF(checklistPesertaKemenkeu!$AY$6:$AY$1005="Direkomendasikan",ROW($6:$1005)-5),297))=""),"",IF(AND(COUNTIF(INDIRECT("K_"&amp;MATCH(INDEX(checklistPesertaKemenkeu!$J$6:$J$1005,SMALL(IF(checklistPesertaKemenkeu!$AY$6:$AY$1005="Direkomendasikan",ROW($6:$1005)-5),297)),BidangList,0)),INDEX(checklistPesertaKemenkeu!$P$6:$P$1005,SMALL(IF(checklistPesertaKemenkeu!$AY$6:$AY$1005="Direkomendasikan",ROW($6:$1005)-5),297)))&gt;0,COUNTIF(INDIRECT("'KERTAS KERJA'!K"&amp;(SMALL(IF(checklistPesertaKemenkeu!$AY$6:$AY$1005="Direkomendasikan",ROW($6:$1005)-5),297)+5)&amp;":O"&amp;(SMALL(IF(checklistPesertaKemenkeu!$AY$6:$AY$1005="Direkomendasikan",ROW($6:$1005)-5),297)+5)),INDEX(checklistPesertaKemenkeu!$P$6:$P$1005,SMALL(IF(checklistPesertaKemenkeu!$AY$6:$AY$1005="Direkomendasikan",ROW($6:$1005)-5),297)))=1),IFERROR(VLOOKUP(INDEX(checklistPesertaKemenkeu!$P$6:$P$1005,SMALL(IF(checklistPesertaKemenkeu!$AY$6:$AY$1005="Direkomendasikan",ROW($6:$1005)-5),297)),KotaKode,2,0),"-"),"")),"")</f>
        <v/>
      </c>
    </row>
    <row r="299" spans="1:12" ht="15" customHeight="1" x14ac:dyDescent="0.2">
      <c r="A299" t="str">
        <f t="shared" si="4"/>
        <v/>
      </c>
      <c r="B299" t="str">
        <v/>
      </c>
      <c r="C299" s="40" t="str">
        <f t="array" ref="C299">IFERROR(INDEX(checklistPesertaKemenkeu!$F$6:$F$1005,SMALL(IF(checklistPesertaKemenkeu!$AY$6:$AY$1005="Direkomendasikan",ROW($6:$1005)-5),298)),"")</f>
        <v/>
      </c>
      <c r="D299" t="str">
        <f t="array" ref="D299">IFERROR(INDEX(checklistPesertaKemenkeu!$G$6:$G$1005,SMALL(IF(checklistPesertaKemenkeu!$AY$6:$AY$1005="Direkomendasikan",ROW($6:$1005)-5),298)),"")</f>
        <v/>
      </c>
      <c r="E299" t="str">
        <f t="array" ref="E299">IFERROR(INDEX(checklistPesertaKemenkeu!$H$6:$H$1005,SMALL(IF(checklistPesertaKemenkeu!$AY$6:$AY$1005="Direkomendasikan",ROW($6:$1005)-5),298)),"")</f>
        <v/>
      </c>
      <c r="F299" t="str">
        <f t="array" ref="F299">IFERROR(INDEX(checklistPesertaKemenkeu!$I$6:$I$1005,SMALL(IF(checklistPesertaKemenkeu!$AY$6:$AY$1005="Direkomendasikan",ROW($6:$1005)-5),298)),"")</f>
        <v/>
      </c>
      <c r="G299" t="str">
        <f t="array" ref="G299">IFERROR(INDEX(checklistPesertaKemenkeu!$J$6:$J$1005,SMALL(IF(checklistPesertaKemenkeu!$AY$6:$AY$1005="Direkomendasikan",ROW($6:$1005)-5),298)),"")</f>
        <v/>
      </c>
      <c r="H299" t="str">
        <f t="array" aca="1" ref="H299" ca="1">IFERROR(IF(OR(INDEX(checklistPesertaKemenkeu!$L$6:$L$1005,SMALL(IF(checklistPesertaKemenkeu!$AY$6:$AY$1005="Direkomendasikan",ROW($6:$1005)-5),298))="",INDEX(checklistPesertaKemenkeu!$J$6:$J$1005,SMALL(IF(checklistPesertaKemenkeu!$AY$6:$AY$1005="Direkomendasikan",ROW($6:$1005)-5),298))=""),"",IF(AND(COUNTIF(INDIRECT("K_"&amp;MATCH(INDEX(checklistPesertaKemenkeu!$J$6:$J$1005,SMALL(IF(checklistPesertaKemenkeu!$AY$6:$AY$1005="Direkomendasikan",ROW($6:$1005)-5),298)),BidangList,0)),INDEX(checklistPesertaKemenkeu!$L$6:$L$1005,SMALL(IF(checklistPesertaKemenkeu!$AY$6:$AY$1005="Direkomendasikan",ROW($6:$1005)-5),298)))&gt;0,COUNTIF(INDIRECT("'KERTAS KERJA'!K"&amp;(SMALL(IF(checklistPesertaKemenkeu!$AY$6:$AY$1005="Direkomendasikan",ROW($6:$1005)-5),298)+5)&amp;":O"&amp;(SMALL(IF(checklistPesertaKemenkeu!$AY$6:$AY$1005="Direkomendasikan",ROW($6:$1005)-5),298)+5)),INDEX(checklistPesertaKemenkeu!$L$6:$L$1005,SMALL(IF(checklistPesertaKemenkeu!$AY$6:$AY$1005="Direkomendasikan",ROW($6:$1005)-5),298)))=1),IFERROR(VLOOKUP(INDEX(checklistPesertaKemenkeu!$L$6:$L$1005,SMALL(IF(checklistPesertaKemenkeu!$AY$6:$AY$1005="Direkomendasikan",ROW($6:$1005)-5),298)),KotaKode,2,0),"-"),"")),"")</f>
        <v/>
      </c>
      <c r="I299" t="str">
        <f t="array" aca="1" ref="I299" ca="1">IFERROR(IF(OR(INDEX(checklistPesertaKemenkeu!$M$6:$M$1005,SMALL(IF(checklistPesertaKemenkeu!$AY$6:$AY$1005="Direkomendasikan",ROW($6:$1005)-5),298))="",INDEX(checklistPesertaKemenkeu!$J$6:$J$1005,SMALL(IF(checklistPesertaKemenkeu!$AY$6:$AY$1005="Direkomendasikan",ROW($6:$1005)-5),298))=""),"",IF(AND(COUNTIF(INDIRECT("K_"&amp;MATCH(INDEX(checklistPesertaKemenkeu!$J$6:$J$1005,SMALL(IF(checklistPesertaKemenkeu!$AY$6:$AY$1005="Direkomendasikan",ROW($6:$1005)-5),298)),BidangList,0)),INDEX(checklistPesertaKemenkeu!$M$6:$M$1005,SMALL(IF(checklistPesertaKemenkeu!$AY$6:$AY$1005="Direkomendasikan",ROW($6:$1005)-5),298)))&gt;0,COUNTIF(INDIRECT("'KERTAS KERJA'!K"&amp;(SMALL(IF(checklistPesertaKemenkeu!$AY$6:$AY$1005="Direkomendasikan",ROW($6:$1005)-5),298)+5)&amp;":O"&amp;(SMALL(IF(checklistPesertaKemenkeu!$AY$6:$AY$1005="Direkomendasikan",ROW($6:$1005)-5),298)+5)),INDEX(checklistPesertaKemenkeu!$M$6:$M$1005,SMALL(IF(checklistPesertaKemenkeu!$AY$6:$AY$1005="Direkomendasikan",ROW($6:$1005)-5),298)))=1),IFERROR(VLOOKUP(INDEX(checklistPesertaKemenkeu!$M$6:$M$1005,SMALL(IF(checklistPesertaKemenkeu!$AY$6:$AY$1005="Direkomendasikan",ROW($6:$1005)-5),298)),KotaKode,2,0),"-"),"")),"")</f>
        <v/>
      </c>
      <c r="J299" t="str">
        <f t="array" aca="1" ref="J299" ca="1">IFERROR(IF(OR(INDEX(checklistPesertaKemenkeu!$N$6:$N$1005,SMALL(IF(checklistPesertaKemenkeu!$AY$6:$AY$1005="Direkomendasikan",ROW($6:$1005)-5),298))="",INDEX(checklistPesertaKemenkeu!$J$6:$J$1005,SMALL(IF(checklistPesertaKemenkeu!$AY$6:$AY$1005="Direkomendasikan",ROW($6:$1005)-5),298))=""),"",IF(AND(COUNTIF(INDIRECT("K_"&amp;MATCH(INDEX(checklistPesertaKemenkeu!$J$6:$J$1005,SMALL(IF(checklistPesertaKemenkeu!$AY$6:$AY$1005="Direkomendasikan",ROW($6:$1005)-5),298)),BidangList,0)),INDEX(checklistPesertaKemenkeu!$N$6:$N$1005,SMALL(IF(checklistPesertaKemenkeu!$AY$6:$AY$1005="Direkomendasikan",ROW($6:$1005)-5),298)))&gt;0,COUNTIF(INDIRECT("'KERTAS KERJA'!K"&amp;(SMALL(IF(checklistPesertaKemenkeu!$AY$6:$AY$1005="Direkomendasikan",ROW($6:$1005)-5),298)+5)&amp;":O"&amp;(SMALL(IF(checklistPesertaKemenkeu!$AY$6:$AY$1005="Direkomendasikan",ROW($6:$1005)-5),298)+5)),INDEX(checklistPesertaKemenkeu!$N$6:$N$1005,SMALL(IF(checklistPesertaKemenkeu!$AY$6:$AY$1005="Direkomendasikan",ROW($6:$1005)-5),298)))=1),IFERROR(VLOOKUP(INDEX(checklistPesertaKemenkeu!$N$6:$N$1005,SMALL(IF(checklistPesertaKemenkeu!$AY$6:$AY$1005="Direkomendasikan",ROW($6:$1005)-5),298)),KotaKode,2,0),"-"),"")),"")</f>
        <v/>
      </c>
      <c r="K299" t="str">
        <f t="array" aca="1" ref="K299" ca="1">IFERROR(IF(OR(INDEX(checklistPesertaKemenkeu!$O$6:$O$1005,SMALL(IF(checklistPesertaKemenkeu!$AY$6:$AY$1005="Direkomendasikan",ROW($6:$1005)-5),298))="",INDEX(checklistPesertaKemenkeu!$J$6:$J$1005,SMALL(IF(checklistPesertaKemenkeu!$AY$6:$AY$1005="Direkomendasikan",ROW($6:$1005)-5),298))=""),"",IF(AND(COUNTIF(INDIRECT("K_"&amp;MATCH(INDEX(checklistPesertaKemenkeu!$J$6:$J$1005,SMALL(IF(checklistPesertaKemenkeu!$AY$6:$AY$1005="Direkomendasikan",ROW($6:$1005)-5),298)),BidangList,0)),INDEX(checklistPesertaKemenkeu!$O$6:$O$1005,SMALL(IF(checklistPesertaKemenkeu!$AY$6:$AY$1005="Direkomendasikan",ROW($6:$1005)-5),298)))&gt;0,COUNTIF(INDIRECT("'KERTAS KERJA'!K"&amp;(SMALL(IF(checklistPesertaKemenkeu!$AY$6:$AY$1005="Direkomendasikan",ROW($6:$1005)-5),298)+5)&amp;":O"&amp;(SMALL(IF(checklistPesertaKemenkeu!$AY$6:$AY$1005="Direkomendasikan",ROW($6:$1005)-5),298)+5)),INDEX(checklistPesertaKemenkeu!$O$6:$O$1005,SMALL(IF(checklistPesertaKemenkeu!$AY$6:$AY$1005="Direkomendasikan",ROW($6:$1005)-5),298)))=1),IFERROR(VLOOKUP(INDEX(checklistPesertaKemenkeu!$O$6:$O$1005,SMALL(IF(checklistPesertaKemenkeu!$AY$6:$AY$1005="Direkomendasikan",ROW($6:$1005)-5),298)),KotaKode,2,0),"-"),"")),"")</f>
        <v/>
      </c>
      <c r="L299" t="str">
        <f t="array" aca="1" ref="L299" ca="1">IFERROR(IF(OR(INDEX(checklistPesertaKemenkeu!$P$6:$P$1005,SMALL(IF(checklistPesertaKemenkeu!$AY$6:$AY$1005="Direkomendasikan",ROW($6:$1005)-5),298))="",INDEX(checklistPesertaKemenkeu!$J$6:$J$1005,SMALL(IF(checklistPesertaKemenkeu!$AY$6:$AY$1005="Direkomendasikan",ROW($6:$1005)-5),298))=""),"",IF(AND(COUNTIF(INDIRECT("K_"&amp;MATCH(INDEX(checklistPesertaKemenkeu!$J$6:$J$1005,SMALL(IF(checklistPesertaKemenkeu!$AY$6:$AY$1005="Direkomendasikan",ROW($6:$1005)-5),298)),BidangList,0)),INDEX(checklistPesertaKemenkeu!$P$6:$P$1005,SMALL(IF(checklistPesertaKemenkeu!$AY$6:$AY$1005="Direkomendasikan",ROW($6:$1005)-5),298)))&gt;0,COUNTIF(INDIRECT("'KERTAS KERJA'!K"&amp;(SMALL(IF(checklistPesertaKemenkeu!$AY$6:$AY$1005="Direkomendasikan",ROW($6:$1005)-5),298)+5)&amp;":O"&amp;(SMALL(IF(checklistPesertaKemenkeu!$AY$6:$AY$1005="Direkomendasikan",ROW($6:$1005)-5),298)+5)),INDEX(checklistPesertaKemenkeu!$P$6:$P$1005,SMALL(IF(checklistPesertaKemenkeu!$AY$6:$AY$1005="Direkomendasikan",ROW($6:$1005)-5),298)))=1),IFERROR(VLOOKUP(INDEX(checklistPesertaKemenkeu!$P$6:$P$1005,SMALL(IF(checklistPesertaKemenkeu!$AY$6:$AY$1005="Direkomendasikan",ROW($6:$1005)-5),298)),KotaKode,2,0),"-"),"")),"")</f>
        <v/>
      </c>
    </row>
    <row r="300" spans="1:12" ht="15" customHeight="1" x14ac:dyDescent="0.2">
      <c r="A300" t="str">
        <f t="shared" si="4"/>
        <v/>
      </c>
      <c r="B300" t="str">
        <v/>
      </c>
      <c r="C300" s="40" t="str">
        <f t="array" ref="C300">IFERROR(INDEX(checklistPesertaKemenkeu!$F$6:$F$1005,SMALL(IF(checklistPesertaKemenkeu!$AY$6:$AY$1005="Direkomendasikan",ROW($6:$1005)-5),299)),"")</f>
        <v/>
      </c>
      <c r="D300" t="str">
        <f t="array" ref="D300">IFERROR(INDEX(checklistPesertaKemenkeu!$G$6:$G$1005,SMALL(IF(checklistPesertaKemenkeu!$AY$6:$AY$1005="Direkomendasikan",ROW($6:$1005)-5),299)),"")</f>
        <v/>
      </c>
      <c r="E300" t="str">
        <f t="array" ref="E300">IFERROR(INDEX(checklistPesertaKemenkeu!$H$6:$H$1005,SMALL(IF(checklistPesertaKemenkeu!$AY$6:$AY$1005="Direkomendasikan",ROW($6:$1005)-5),299)),"")</f>
        <v/>
      </c>
      <c r="F300" t="str">
        <f t="array" ref="F300">IFERROR(INDEX(checklistPesertaKemenkeu!$I$6:$I$1005,SMALL(IF(checklistPesertaKemenkeu!$AY$6:$AY$1005="Direkomendasikan",ROW($6:$1005)-5),299)),"")</f>
        <v/>
      </c>
      <c r="G300" t="str">
        <f t="array" ref="G300">IFERROR(INDEX(checklistPesertaKemenkeu!$J$6:$J$1005,SMALL(IF(checklistPesertaKemenkeu!$AY$6:$AY$1005="Direkomendasikan",ROW($6:$1005)-5),299)),"")</f>
        <v/>
      </c>
      <c r="H300" t="str">
        <f t="array" aca="1" ref="H300" ca="1">IFERROR(IF(OR(INDEX(checklistPesertaKemenkeu!$L$6:$L$1005,SMALL(IF(checklistPesertaKemenkeu!$AY$6:$AY$1005="Direkomendasikan",ROW($6:$1005)-5),299))="",INDEX(checklistPesertaKemenkeu!$J$6:$J$1005,SMALL(IF(checklistPesertaKemenkeu!$AY$6:$AY$1005="Direkomendasikan",ROW($6:$1005)-5),299))=""),"",IF(AND(COUNTIF(INDIRECT("K_"&amp;MATCH(INDEX(checklistPesertaKemenkeu!$J$6:$J$1005,SMALL(IF(checklistPesertaKemenkeu!$AY$6:$AY$1005="Direkomendasikan",ROW($6:$1005)-5),299)),BidangList,0)),INDEX(checklistPesertaKemenkeu!$L$6:$L$1005,SMALL(IF(checklistPesertaKemenkeu!$AY$6:$AY$1005="Direkomendasikan",ROW($6:$1005)-5),299)))&gt;0,COUNTIF(INDIRECT("'KERTAS KERJA'!K"&amp;(SMALL(IF(checklistPesertaKemenkeu!$AY$6:$AY$1005="Direkomendasikan",ROW($6:$1005)-5),299)+5)&amp;":O"&amp;(SMALL(IF(checklistPesertaKemenkeu!$AY$6:$AY$1005="Direkomendasikan",ROW($6:$1005)-5),299)+5)),INDEX(checklistPesertaKemenkeu!$L$6:$L$1005,SMALL(IF(checklistPesertaKemenkeu!$AY$6:$AY$1005="Direkomendasikan",ROW($6:$1005)-5),299)))=1),IFERROR(VLOOKUP(INDEX(checklistPesertaKemenkeu!$L$6:$L$1005,SMALL(IF(checklistPesertaKemenkeu!$AY$6:$AY$1005="Direkomendasikan",ROW($6:$1005)-5),299)),KotaKode,2,0),"-"),"")),"")</f>
        <v/>
      </c>
      <c r="I300" t="str">
        <f t="array" aca="1" ref="I300" ca="1">IFERROR(IF(OR(INDEX(checklistPesertaKemenkeu!$M$6:$M$1005,SMALL(IF(checklistPesertaKemenkeu!$AY$6:$AY$1005="Direkomendasikan",ROW($6:$1005)-5),299))="",INDEX(checklistPesertaKemenkeu!$J$6:$J$1005,SMALL(IF(checklistPesertaKemenkeu!$AY$6:$AY$1005="Direkomendasikan",ROW($6:$1005)-5),299))=""),"",IF(AND(COUNTIF(INDIRECT("K_"&amp;MATCH(INDEX(checklistPesertaKemenkeu!$J$6:$J$1005,SMALL(IF(checklistPesertaKemenkeu!$AY$6:$AY$1005="Direkomendasikan",ROW($6:$1005)-5),299)),BidangList,0)),INDEX(checklistPesertaKemenkeu!$M$6:$M$1005,SMALL(IF(checklistPesertaKemenkeu!$AY$6:$AY$1005="Direkomendasikan",ROW($6:$1005)-5),299)))&gt;0,COUNTIF(INDIRECT("'KERTAS KERJA'!K"&amp;(SMALL(IF(checklistPesertaKemenkeu!$AY$6:$AY$1005="Direkomendasikan",ROW($6:$1005)-5),299)+5)&amp;":O"&amp;(SMALL(IF(checklistPesertaKemenkeu!$AY$6:$AY$1005="Direkomendasikan",ROW($6:$1005)-5),299)+5)),INDEX(checklistPesertaKemenkeu!$M$6:$M$1005,SMALL(IF(checklistPesertaKemenkeu!$AY$6:$AY$1005="Direkomendasikan",ROW($6:$1005)-5),299)))=1),IFERROR(VLOOKUP(INDEX(checklistPesertaKemenkeu!$M$6:$M$1005,SMALL(IF(checklistPesertaKemenkeu!$AY$6:$AY$1005="Direkomendasikan",ROW($6:$1005)-5),299)),KotaKode,2,0),"-"),"")),"")</f>
        <v/>
      </c>
      <c r="J300" t="str">
        <f t="array" aca="1" ref="J300" ca="1">IFERROR(IF(OR(INDEX(checklistPesertaKemenkeu!$N$6:$N$1005,SMALL(IF(checklistPesertaKemenkeu!$AY$6:$AY$1005="Direkomendasikan",ROW($6:$1005)-5),299))="",INDEX(checklistPesertaKemenkeu!$J$6:$J$1005,SMALL(IF(checklistPesertaKemenkeu!$AY$6:$AY$1005="Direkomendasikan",ROW($6:$1005)-5),299))=""),"",IF(AND(COUNTIF(INDIRECT("K_"&amp;MATCH(INDEX(checklistPesertaKemenkeu!$J$6:$J$1005,SMALL(IF(checklistPesertaKemenkeu!$AY$6:$AY$1005="Direkomendasikan",ROW($6:$1005)-5),299)),BidangList,0)),INDEX(checklistPesertaKemenkeu!$N$6:$N$1005,SMALL(IF(checklistPesertaKemenkeu!$AY$6:$AY$1005="Direkomendasikan",ROW($6:$1005)-5),299)))&gt;0,COUNTIF(INDIRECT("'KERTAS KERJA'!K"&amp;(SMALL(IF(checklistPesertaKemenkeu!$AY$6:$AY$1005="Direkomendasikan",ROW($6:$1005)-5),299)+5)&amp;":O"&amp;(SMALL(IF(checklistPesertaKemenkeu!$AY$6:$AY$1005="Direkomendasikan",ROW($6:$1005)-5),299)+5)),INDEX(checklistPesertaKemenkeu!$N$6:$N$1005,SMALL(IF(checklistPesertaKemenkeu!$AY$6:$AY$1005="Direkomendasikan",ROW($6:$1005)-5),299)))=1),IFERROR(VLOOKUP(INDEX(checklistPesertaKemenkeu!$N$6:$N$1005,SMALL(IF(checklistPesertaKemenkeu!$AY$6:$AY$1005="Direkomendasikan",ROW($6:$1005)-5),299)),KotaKode,2,0),"-"),"")),"")</f>
        <v/>
      </c>
      <c r="K300" t="str">
        <f t="array" aca="1" ref="K300" ca="1">IFERROR(IF(OR(INDEX(checklistPesertaKemenkeu!$O$6:$O$1005,SMALL(IF(checklistPesertaKemenkeu!$AY$6:$AY$1005="Direkomendasikan",ROW($6:$1005)-5),299))="",INDEX(checklistPesertaKemenkeu!$J$6:$J$1005,SMALL(IF(checklistPesertaKemenkeu!$AY$6:$AY$1005="Direkomendasikan",ROW($6:$1005)-5),299))=""),"",IF(AND(COUNTIF(INDIRECT("K_"&amp;MATCH(INDEX(checklistPesertaKemenkeu!$J$6:$J$1005,SMALL(IF(checklistPesertaKemenkeu!$AY$6:$AY$1005="Direkomendasikan",ROW($6:$1005)-5),299)),BidangList,0)),INDEX(checklistPesertaKemenkeu!$O$6:$O$1005,SMALL(IF(checklistPesertaKemenkeu!$AY$6:$AY$1005="Direkomendasikan",ROW($6:$1005)-5),299)))&gt;0,COUNTIF(INDIRECT("'KERTAS KERJA'!K"&amp;(SMALL(IF(checklistPesertaKemenkeu!$AY$6:$AY$1005="Direkomendasikan",ROW($6:$1005)-5),299)+5)&amp;":O"&amp;(SMALL(IF(checklistPesertaKemenkeu!$AY$6:$AY$1005="Direkomendasikan",ROW($6:$1005)-5),299)+5)),INDEX(checklistPesertaKemenkeu!$O$6:$O$1005,SMALL(IF(checklistPesertaKemenkeu!$AY$6:$AY$1005="Direkomendasikan",ROW($6:$1005)-5),299)))=1),IFERROR(VLOOKUP(INDEX(checklistPesertaKemenkeu!$O$6:$O$1005,SMALL(IF(checklistPesertaKemenkeu!$AY$6:$AY$1005="Direkomendasikan",ROW($6:$1005)-5),299)),KotaKode,2,0),"-"),"")),"")</f>
        <v/>
      </c>
      <c r="L300" t="str">
        <f t="array" aca="1" ref="L300" ca="1">IFERROR(IF(OR(INDEX(checklistPesertaKemenkeu!$P$6:$P$1005,SMALL(IF(checklistPesertaKemenkeu!$AY$6:$AY$1005="Direkomendasikan",ROW($6:$1005)-5),299))="",INDEX(checklistPesertaKemenkeu!$J$6:$J$1005,SMALL(IF(checklistPesertaKemenkeu!$AY$6:$AY$1005="Direkomendasikan",ROW($6:$1005)-5),299))=""),"",IF(AND(COUNTIF(INDIRECT("K_"&amp;MATCH(INDEX(checklistPesertaKemenkeu!$J$6:$J$1005,SMALL(IF(checklistPesertaKemenkeu!$AY$6:$AY$1005="Direkomendasikan",ROW($6:$1005)-5),299)),BidangList,0)),INDEX(checklistPesertaKemenkeu!$P$6:$P$1005,SMALL(IF(checklistPesertaKemenkeu!$AY$6:$AY$1005="Direkomendasikan",ROW($6:$1005)-5),299)))&gt;0,COUNTIF(INDIRECT("'KERTAS KERJA'!K"&amp;(SMALL(IF(checklistPesertaKemenkeu!$AY$6:$AY$1005="Direkomendasikan",ROW($6:$1005)-5),299)+5)&amp;":O"&amp;(SMALL(IF(checklistPesertaKemenkeu!$AY$6:$AY$1005="Direkomendasikan",ROW($6:$1005)-5),299)+5)),INDEX(checklistPesertaKemenkeu!$P$6:$P$1005,SMALL(IF(checklistPesertaKemenkeu!$AY$6:$AY$1005="Direkomendasikan",ROW($6:$1005)-5),299)))=1),IFERROR(VLOOKUP(INDEX(checklistPesertaKemenkeu!$P$6:$P$1005,SMALL(IF(checklistPesertaKemenkeu!$AY$6:$AY$1005="Direkomendasikan",ROW($6:$1005)-5),299)),KotaKode,2,0),"-"),"")),"")</f>
        <v/>
      </c>
    </row>
    <row r="301" spans="1:12" ht="15" customHeight="1" x14ac:dyDescent="0.2">
      <c r="A301" t="str">
        <f t="shared" si="4"/>
        <v/>
      </c>
      <c r="B301" t="str">
        <v/>
      </c>
      <c r="C301" s="40" t="str">
        <f t="array" ref="C301">IFERROR(INDEX(checklistPesertaKemenkeu!$F$6:$F$1005,SMALL(IF(checklistPesertaKemenkeu!$AY$6:$AY$1005="Direkomendasikan",ROW($6:$1005)-5),300)),"")</f>
        <v/>
      </c>
      <c r="D301" t="str">
        <f t="array" ref="D301">IFERROR(INDEX(checklistPesertaKemenkeu!$G$6:$G$1005,SMALL(IF(checklistPesertaKemenkeu!$AY$6:$AY$1005="Direkomendasikan",ROW($6:$1005)-5),300)),"")</f>
        <v/>
      </c>
      <c r="E301" t="str">
        <f t="array" ref="E301">IFERROR(INDEX(checklistPesertaKemenkeu!$H$6:$H$1005,SMALL(IF(checklistPesertaKemenkeu!$AY$6:$AY$1005="Direkomendasikan",ROW($6:$1005)-5),300)),"")</f>
        <v/>
      </c>
      <c r="F301" t="str">
        <f t="array" ref="F301">IFERROR(INDEX(checklistPesertaKemenkeu!$I$6:$I$1005,SMALL(IF(checklistPesertaKemenkeu!$AY$6:$AY$1005="Direkomendasikan",ROW($6:$1005)-5),300)),"")</f>
        <v/>
      </c>
      <c r="G301" t="str">
        <f t="array" ref="G301">IFERROR(INDEX(checklistPesertaKemenkeu!$J$6:$J$1005,SMALL(IF(checklistPesertaKemenkeu!$AY$6:$AY$1005="Direkomendasikan",ROW($6:$1005)-5),300)),"")</f>
        <v/>
      </c>
      <c r="H301" t="str">
        <f t="array" aca="1" ref="H301" ca="1">IFERROR(IF(OR(INDEX(checklistPesertaKemenkeu!$L$6:$L$1005,SMALL(IF(checklistPesertaKemenkeu!$AY$6:$AY$1005="Direkomendasikan",ROW($6:$1005)-5),300))="",INDEX(checklistPesertaKemenkeu!$J$6:$J$1005,SMALL(IF(checklistPesertaKemenkeu!$AY$6:$AY$1005="Direkomendasikan",ROW($6:$1005)-5),300))=""),"",IF(AND(COUNTIF(INDIRECT("K_"&amp;MATCH(INDEX(checklistPesertaKemenkeu!$J$6:$J$1005,SMALL(IF(checklistPesertaKemenkeu!$AY$6:$AY$1005="Direkomendasikan",ROW($6:$1005)-5),300)),BidangList,0)),INDEX(checklistPesertaKemenkeu!$L$6:$L$1005,SMALL(IF(checklistPesertaKemenkeu!$AY$6:$AY$1005="Direkomendasikan",ROW($6:$1005)-5),300)))&gt;0,COUNTIF(INDIRECT("'KERTAS KERJA'!K"&amp;(SMALL(IF(checklistPesertaKemenkeu!$AY$6:$AY$1005="Direkomendasikan",ROW($6:$1005)-5),300)+5)&amp;":O"&amp;(SMALL(IF(checklistPesertaKemenkeu!$AY$6:$AY$1005="Direkomendasikan",ROW($6:$1005)-5),300)+5)),INDEX(checklistPesertaKemenkeu!$L$6:$L$1005,SMALL(IF(checklistPesertaKemenkeu!$AY$6:$AY$1005="Direkomendasikan",ROW($6:$1005)-5),300)))=1),IFERROR(VLOOKUP(INDEX(checklistPesertaKemenkeu!$L$6:$L$1005,SMALL(IF(checklistPesertaKemenkeu!$AY$6:$AY$1005="Direkomendasikan",ROW($6:$1005)-5),300)),KotaKode,2,0),"-"),"")),"")</f>
        <v/>
      </c>
      <c r="I301" t="str">
        <f t="array" aca="1" ref="I301" ca="1">IFERROR(IF(OR(INDEX(checklistPesertaKemenkeu!$M$6:$M$1005,SMALL(IF(checklistPesertaKemenkeu!$AY$6:$AY$1005="Direkomendasikan",ROW($6:$1005)-5),300))="",INDEX(checklistPesertaKemenkeu!$J$6:$J$1005,SMALL(IF(checklistPesertaKemenkeu!$AY$6:$AY$1005="Direkomendasikan",ROW($6:$1005)-5),300))=""),"",IF(AND(COUNTIF(INDIRECT("K_"&amp;MATCH(INDEX(checklistPesertaKemenkeu!$J$6:$J$1005,SMALL(IF(checklistPesertaKemenkeu!$AY$6:$AY$1005="Direkomendasikan",ROW($6:$1005)-5),300)),BidangList,0)),INDEX(checklistPesertaKemenkeu!$M$6:$M$1005,SMALL(IF(checklistPesertaKemenkeu!$AY$6:$AY$1005="Direkomendasikan",ROW($6:$1005)-5),300)))&gt;0,COUNTIF(INDIRECT("'KERTAS KERJA'!K"&amp;(SMALL(IF(checklistPesertaKemenkeu!$AY$6:$AY$1005="Direkomendasikan",ROW($6:$1005)-5),300)+5)&amp;":O"&amp;(SMALL(IF(checklistPesertaKemenkeu!$AY$6:$AY$1005="Direkomendasikan",ROW($6:$1005)-5),300)+5)),INDEX(checklistPesertaKemenkeu!$M$6:$M$1005,SMALL(IF(checklistPesertaKemenkeu!$AY$6:$AY$1005="Direkomendasikan",ROW($6:$1005)-5),300)))=1),IFERROR(VLOOKUP(INDEX(checklistPesertaKemenkeu!$M$6:$M$1005,SMALL(IF(checklistPesertaKemenkeu!$AY$6:$AY$1005="Direkomendasikan",ROW($6:$1005)-5),300)),KotaKode,2,0),"-"),"")),"")</f>
        <v/>
      </c>
      <c r="J301" t="str">
        <f t="array" aca="1" ref="J301" ca="1">IFERROR(IF(OR(INDEX(checklistPesertaKemenkeu!$N$6:$N$1005,SMALL(IF(checklistPesertaKemenkeu!$AY$6:$AY$1005="Direkomendasikan",ROW($6:$1005)-5),300))="",INDEX(checklistPesertaKemenkeu!$J$6:$J$1005,SMALL(IF(checklistPesertaKemenkeu!$AY$6:$AY$1005="Direkomendasikan",ROW($6:$1005)-5),300))=""),"",IF(AND(COUNTIF(INDIRECT("K_"&amp;MATCH(INDEX(checklistPesertaKemenkeu!$J$6:$J$1005,SMALL(IF(checklistPesertaKemenkeu!$AY$6:$AY$1005="Direkomendasikan",ROW($6:$1005)-5),300)),BidangList,0)),INDEX(checklistPesertaKemenkeu!$N$6:$N$1005,SMALL(IF(checklistPesertaKemenkeu!$AY$6:$AY$1005="Direkomendasikan",ROW($6:$1005)-5),300)))&gt;0,COUNTIF(INDIRECT("'KERTAS KERJA'!K"&amp;(SMALL(IF(checklistPesertaKemenkeu!$AY$6:$AY$1005="Direkomendasikan",ROW($6:$1005)-5),300)+5)&amp;":O"&amp;(SMALL(IF(checklistPesertaKemenkeu!$AY$6:$AY$1005="Direkomendasikan",ROW($6:$1005)-5),300)+5)),INDEX(checklistPesertaKemenkeu!$N$6:$N$1005,SMALL(IF(checklistPesertaKemenkeu!$AY$6:$AY$1005="Direkomendasikan",ROW($6:$1005)-5),300)))=1),IFERROR(VLOOKUP(INDEX(checklistPesertaKemenkeu!$N$6:$N$1005,SMALL(IF(checklistPesertaKemenkeu!$AY$6:$AY$1005="Direkomendasikan",ROW($6:$1005)-5),300)),KotaKode,2,0),"-"),"")),"")</f>
        <v/>
      </c>
      <c r="K301" t="str">
        <f t="array" aca="1" ref="K301" ca="1">IFERROR(IF(OR(INDEX(checklistPesertaKemenkeu!$O$6:$O$1005,SMALL(IF(checklistPesertaKemenkeu!$AY$6:$AY$1005="Direkomendasikan",ROW($6:$1005)-5),300))="",INDEX(checklistPesertaKemenkeu!$J$6:$J$1005,SMALL(IF(checklistPesertaKemenkeu!$AY$6:$AY$1005="Direkomendasikan",ROW($6:$1005)-5),300))=""),"",IF(AND(COUNTIF(INDIRECT("K_"&amp;MATCH(INDEX(checklistPesertaKemenkeu!$J$6:$J$1005,SMALL(IF(checklistPesertaKemenkeu!$AY$6:$AY$1005="Direkomendasikan",ROW($6:$1005)-5),300)),BidangList,0)),INDEX(checklistPesertaKemenkeu!$O$6:$O$1005,SMALL(IF(checklistPesertaKemenkeu!$AY$6:$AY$1005="Direkomendasikan",ROW($6:$1005)-5),300)))&gt;0,COUNTIF(INDIRECT("'KERTAS KERJA'!K"&amp;(SMALL(IF(checklistPesertaKemenkeu!$AY$6:$AY$1005="Direkomendasikan",ROW($6:$1005)-5),300)+5)&amp;":O"&amp;(SMALL(IF(checklistPesertaKemenkeu!$AY$6:$AY$1005="Direkomendasikan",ROW($6:$1005)-5),300)+5)),INDEX(checklistPesertaKemenkeu!$O$6:$O$1005,SMALL(IF(checklistPesertaKemenkeu!$AY$6:$AY$1005="Direkomendasikan",ROW($6:$1005)-5),300)))=1),IFERROR(VLOOKUP(INDEX(checklistPesertaKemenkeu!$O$6:$O$1005,SMALL(IF(checklistPesertaKemenkeu!$AY$6:$AY$1005="Direkomendasikan",ROW($6:$1005)-5),300)),KotaKode,2,0),"-"),"")),"")</f>
        <v/>
      </c>
      <c r="L301" t="str">
        <f t="array" aca="1" ref="L301" ca="1">IFERROR(IF(OR(INDEX(checklistPesertaKemenkeu!$P$6:$P$1005,SMALL(IF(checklistPesertaKemenkeu!$AY$6:$AY$1005="Direkomendasikan",ROW($6:$1005)-5),300))="",INDEX(checklistPesertaKemenkeu!$J$6:$J$1005,SMALL(IF(checklistPesertaKemenkeu!$AY$6:$AY$1005="Direkomendasikan",ROW($6:$1005)-5),300))=""),"",IF(AND(COUNTIF(INDIRECT("K_"&amp;MATCH(INDEX(checklistPesertaKemenkeu!$J$6:$J$1005,SMALL(IF(checklistPesertaKemenkeu!$AY$6:$AY$1005="Direkomendasikan",ROW($6:$1005)-5),300)),BidangList,0)),INDEX(checklistPesertaKemenkeu!$P$6:$P$1005,SMALL(IF(checklistPesertaKemenkeu!$AY$6:$AY$1005="Direkomendasikan",ROW($6:$1005)-5),300)))&gt;0,COUNTIF(INDIRECT("'KERTAS KERJA'!K"&amp;(SMALL(IF(checklistPesertaKemenkeu!$AY$6:$AY$1005="Direkomendasikan",ROW($6:$1005)-5),300)+5)&amp;":O"&amp;(SMALL(IF(checklistPesertaKemenkeu!$AY$6:$AY$1005="Direkomendasikan",ROW($6:$1005)-5),300)+5)),INDEX(checklistPesertaKemenkeu!$P$6:$P$1005,SMALL(IF(checklistPesertaKemenkeu!$AY$6:$AY$1005="Direkomendasikan",ROW($6:$1005)-5),300)))=1),IFERROR(VLOOKUP(INDEX(checklistPesertaKemenkeu!$P$6:$P$1005,SMALL(IF(checklistPesertaKemenkeu!$AY$6:$AY$1005="Direkomendasikan",ROW($6:$1005)-5),300)),KotaKode,2,0),"-"),"")),"")</f>
        <v/>
      </c>
    </row>
    <row r="302" spans="1:12" ht="15" customHeight="1" x14ac:dyDescent="0.2">
      <c r="A302" t="str">
        <f t="shared" si="4"/>
        <v/>
      </c>
      <c r="B302" t="str">
        <v/>
      </c>
      <c r="C302" s="40" t="str">
        <f t="array" ref="C302">IFERROR(INDEX(checklistPesertaKemenkeu!$F$6:$F$1005,SMALL(IF(checklistPesertaKemenkeu!$AY$6:$AY$1005="Direkomendasikan",ROW($6:$1005)-5),301)),"")</f>
        <v/>
      </c>
      <c r="D302" t="str">
        <f t="array" ref="D302">IFERROR(INDEX(checklistPesertaKemenkeu!$G$6:$G$1005,SMALL(IF(checklistPesertaKemenkeu!$AY$6:$AY$1005="Direkomendasikan",ROW($6:$1005)-5),301)),"")</f>
        <v/>
      </c>
      <c r="E302" t="str">
        <f t="array" ref="E302">IFERROR(INDEX(checklistPesertaKemenkeu!$H$6:$H$1005,SMALL(IF(checklistPesertaKemenkeu!$AY$6:$AY$1005="Direkomendasikan",ROW($6:$1005)-5),301)),"")</f>
        <v/>
      </c>
      <c r="F302" t="str">
        <f t="array" ref="F302">IFERROR(INDEX(checklistPesertaKemenkeu!$I$6:$I$1005,SMALL(IF(checklistPesertaKemenkeu!$AY$6:$AY$1005="Direkomendasikan",ROW($6:$1005)-5),301)),"")</f>
        <v/>
      </c>
      <c r="G302" t="str">
        <f t="array" ref="G302">IFERROR(INDEX(checklistPesertaKemenkeu!$J$6:$J$1005,SMALL(IF(checklistPesertaKemenkeu!$AY$6:$AY$1005="Direkomendasikan",ROW($6:$1005)-5),301)),"")</f>
        <v/>
      </c>
      <c r="H302" t="str">
        <f t="array" aca="1" ref="H302" ca="1">IFERROR(IF(OR(INDEX(checklistPesertaKemenkeu!$L$6:$L$1005,SMALL(IF(checklistPesertaKemenkeu!$AY$6:$AY$1005="Direkomendasikan",ROW($6:$1005)-5),301))="",INDEX(checklistPesertaKemenkeu!$J$6:$J$1005,SMALL(IF(checklistPesertaKemenkeu!$AY$6:$AY$1005="Direkomendasikan",ROW($6:$1005)-5),301))=""),"",IF(AND(COUNTIF(INDIRECT("K_"&amp;MATCH(INDEX(checklistPesertaKemenkeu!$J$6:$J$1005,SMALL(IF(checklistPesertaKemenkeu!$AY$6:$AY$1005="Direkomendasikan",ROW($6:$1005)-5),301)),BidangList,0)),INDEX(checklistPesertaKemenkeu!$L$6:$L$1005,SMALL(IF(checklistPesertaKemenkeu!$AY$6:$AY$1005="Direkomendasikan",ROW($6:$1005)-5),301)))&gt;0,COUNTIF(INDIRECT("'KERTAS KERJA'!K"&amp;(SMALL(IF(checklistPesertaKemenkeu!$AY$6:$AY$1005="Direkomendasikan",ROW($6:$1005)-5),301)+5)&amp;":O"&amp;(SMALL(IF(checklistPesertaKemenkeu!$AY$6:$AY$1005="Direkomendasikan",ROW($6:$1005)-5),301)+5)),INDEX(checklistPesertaKemenkeu!$L$6:$L$1005,SMALL(IF(checklistPesertaKemenkeu!$AY$6:$AY$1005="Direkomendasikan",ROW($6:$1005)-5),301)))=1),IFERROR(VLOOKUP(INDEX(checklistPesertaKemenkeu!$L$6:$L$1005,SMALL(IF(checklistPesertaKemenkeu!$AY$6:$AY$1005="Direkomendasikan",ROW($6:$1005)-5),301)),KotaKode,2,0),"-"),"")),"")</f>
        <v/>
      </c>
      <c r="I302" t="str">
        <f t="array" aca="1" ref="I302" ca="1">IFERROR(IF(OR(INDEX(checklistPesertaKemenkeu!$M$6:$M$1005,SMALL(IF(checklistPesertaKemenkeu!$AY$6:$AY$1005="Direkomendasikan",ROW($6:$1005)-5),301))="",INDEX(checklistPesertaKemenkeu!$J$6:$J$1005,SMALL(IF(checklistPesertaKemenkeu!$AY$6:$AY$1005="Direkomendasikan",ROW($6:$1005)-5),301))=""),"",IF(AND(COUNTIF(INDIRECT("K_"&amp;MATCH(INDEX(checklistPesertaKemenkeu!$J$6:$J$1005,SMALL(IF(checklistPesertaKemenkeu!$AY$6:$AY$1005="Direkomendasikan",ROW($6:$1005)-5),301)),BidangList,0)),INDEX(checklistPesertaKemenkeu!$M$6:$M$1005,SMALL(IF(checklistPesertaKemenkeu!$AY$6:$AY$1005="Direkomendasikan",ROW($6:$1005)-5),301)))&gt;0,COUNTIF(INDIRECT("'KERTAS KERJA'!K"&amp;(SMALL(IF(checklistPesertaKemenkeu!$AY$6:$AY$1005="Direkomendasikan",ROW($6:$1005)-5),301)+5)&amp;":O"&amp;(SMALL(IF(checklistPesertaKemenkeu!$AY$6:$AY$1005="Direkomendasikan",ROW($6:$1005)-5),301)+5)),INDEX(checklistPesertaKemenkeu!$M$6:$M$1005,SMALL(IF(checklistPesertaKemenkeu!$AY$6:$AY$1005="Direkomendasikan",ROW($6:$1005)-5),301)))=1),IFERROR(VLOOKUP(INDEX(checklistPesertaKemenkeu!$M$6:$M$1005,SMALL(IF(checklistPesertaKemenkeu!$AY$6:$AY$1005="Direkomendasikan",ROW($6:$1005)-5),301)),KotaKode,2,0),"-"),"")),"")</f>
        <v/>
      </c>
      <c r="J302" t="str">
        <f t="array" aca="1" ref="J302" ca="1">IFERROR(IF(OR(INDEX(checklistPesertaKemenkeu!$N$6:$N$1005,SMALL(IF(checklistPesertaKemenkeu!$AY$6:$AY$1005="Direkomendasikan",ROW($6:$1005)-5),301))="",INDEX(checklistPesertaKemenkeu!$J$6:$J$1005,SMALL(IF(checklistPesertaKemenkeu!$AY$6:$AY$1005="Direkomendasikan",ROW($6:$1005)-5),301))=""),"",IF(AND(COUNTIF(INDIRECT("K_"&amp;MATCH(INDEX(checklistPesertaKemenkeu!$J$6:$J$1005,SMALL(IF(checklistPesertaKemenkeu!$AY$6:$AY$1005="Direkomendasikan",ROW($6:$1005)-5),301)),BidangList,0)),INDEX(checklistPesertaKemenkeu!$N$6:$N$1005,SMALL(IF(checklistPesertaKemenkeu!$AY$6:$AY$1005="Direkomendasikan",ROW($6:$1005)-5),301)))&gt;0,COUNTIF(INDIRECT("'KERTAS KERJA'!K"&amp;(SMALL(IF(checklistPesertaKemenkeu!$AY$6:$AY$1005="Direkomendasikan",ROW($6:$1005)-5),301)+5)&amp;":O"&amp;(SMALL(IF(checklistPesertaKemenkeu!$AY$6:$AY$1005="Direkomendasikan",ROW($6:$1005)-5),301)+5)),INDEX(checklistPesertaKemenkeu!$N$6:$N$1005,SMALL(IF(checklistPesertaKemenkeu!$AY$6:$AY$1005="Direkomendasikan",ROW($6:$1005)-5),301)))=1),IFERROR(VLOOKUP(INDEX(checklistPesertaKemenkeu!$N$6:$N$1005,SMALL(IF(checklistPesertaKemenkeu!$AY$6:$AY$1005="Direkomendasikan",ROW($6:$1005)-5),301)),KotaKode,2,0),"-"),"")),"")</f>
        <v/>
      </c>
      <c r="K302" t="str">
        <f t="array" aca="1" ref="K302" ca="1">IFERROR(IF(OR(INDEX(checklistPesertaKemenkeu!$O$6:$O$1005,SMALL(IF(checklistPesertaKemenkeu!$AY$6:$AY$1005="Direkomendasikan",ROW($6:$1005)-5),301))="",INDEX(checklistPesertaKemenkeu!$J$6:$J$1005,SMALL(IF(checklistPesertaKemenkeu!$AY$6:$AY$1005="Direkomendasikan",ROW($6:$1005)-5),301))=""),"",IF(AND(COUNTIF(INDIRECT("K_"&amp;MATCH(INDEX(checklistPesertaKemenkeu!$J$6:$J$1005,SMALL(IF(checklistPesertaKemenkeu!$AY$6:$AY$1005="Direkomendasikan",ROW($6:$1005)-5),301)),BidangList,0)),INDEX(checklistPesertaKemenkeu!$O$6:$O$1005,SMALL(IF(checklistPesertaKemenkeu!$AY$6:$AY$1005="Direkomendasikan",ROW($6:$1005)-5),301)))&gt;0,COUNTIF(INDIRECT("'KERTAS KERJA'!K"&amp;(SMALL(IF(checklistPesertaKemenkeu!$AY$6:$AY$1005="Direkomendasikan",ROW($6:$1005)-5),301)+5)&amp;":O"&amp;(SMALL(IF(checklistPesertaKemenkeu!$AY$6:$AY$1005="Direkomendasikan",ROW($6:$1005)-5),301)+5)),INDEX(checklistPesertaKemenkeu!$O$6:$O$1005,SMALL(IF(checklistPesertaKemenkeu!$AY$6:$AY$1005="Direkomendasikan",ROW($6:$1005)-5),301)))=1),IFERROR(VLOOKUP(INDEX(checklistPesertaKemenkeu!$O$6:$O$1005,SMALL(IF(checklistPesertaKemenkeu!$AY$6:$AY$1005="Direkomendasikan",ROW($6:$1005)-5),301)),KotaKode,2,0),"-"),"")),"")</f>
        <v/>
      </c>
      <c r="L302" t="str">
        <f t="array" aca="1" ref="L302" ca="1">IFERROR(IF(OR(INDEX(checklistPesertaKemenkeu!$P$6:$P$1005,SMALL(IF(checklistPesertaKemenkeu!$AY$6:$AY$1005="Direkomendasikan",ROW($6:$1005)-5),301))="",INDEX(checklistPesertaKemenkeu!$J$6:$J$1005,SMALL(IF(checklistPesertaKemenkeu!$AY$6:$AY$1005="Direkomendasikan",ROW($6:$1005)-5),301))=""),"",IF(AND(COUNTIF(INDIRECT("K_"&amp;MATCH(INDEX(checklistPesertaKemenkeu!$J$6:$J$1005,SMALL(IF(checklistPesertaKemenkeu!$AY$6:$AY$1005="Direkomendasikan",ROW($6:$1005)-5),301)),BidangList,0)),INDEX(checklistPesertaKemenkeu!$P$6:$P$1005,SMALL(IF(checklistPesertaKemenkeu!$AY$6:$AY$1005="Direkomendasikan",ROW($6:$1005)-5),301)))&gt;0,COUNTIF(INDIRECT("'KERTAS KERJA'!K"&amp;(SMALL(IF(checklistPesertaKemenkeu!$AY$6:$AY$1005="Direkomendasikan",ROW($6:$1005)-5),301)+5)&amp;":O"&amp;(SMALL(IF(checklistPesertaKemenkeu!$AY$6:$AY$1005="Direkomendasikan",ROW($6:$1005)-5),301)+5)),INDEX(checklistPesertaKemenkeu!$P$6:$P$1005,SMALL(IF(checklistPesertaKemenkeu!$AY$6:$AY$1005="Direkomendasikan",ROW($6:$1005)-5),301)))=1),IFERROR(VLOOKUP(INDEX(checklistPesertaKemenkeu!$P$6:$P$1005,SMALL(IF(checklistPesertaKemenkeu!$AY$6:$AY$1005="Direkomendasikan",ROW($6:$1005)-5),301)),KotaKode,2,0),"-"),"")),"")</f>
        <v/>
      </c>
    </row>
    <row r="303" spans="1:12" ht="15" customHeight="1" x14ac:dyDescent="0.2">
      <c r="A303" t="str">
        <f t="shared" si="4"/>
        <v/>
      </c>
      <c r="B303" t="str">
        <v/>
      </c>
      <c r="C303" s="40" t="str">
        <f t="array" ref="C303">IFERROR(INDEX(checklistPesertaKemenkeu!$F$6:$F$1005,SMALL(IF(checklistPesertaKemenkeu!$AY$6:$AY$1005="Direkomendasikan",ROW($6:$1005)-5),302)),"")</f>
        <v/>
      </c>
      <c r="D303" t="str">
        <f t="array" ref="D303">IFERROR(INDEX(checklistPesertaKemenkeu!$G$6:$G$1005,SMALL(IF(checklistPesertaKemenkeu!$AY$6:$AY$1005="Direkomendasikan",ROW($6:$1005)-5),302)),"")</f>
        <v/>
      </c>
      <c r="E303" t="str">
        <f t="array" ref="E303">IFERROR(INDEX(checklistPesertaKemenkeu!$H$6:$H$1005,SMALL(IF(checklistPesertaKemenkeu!$AY$6:$AY$1005="Direkomendasikan",ROW($6:$1005)-5),302)),"")</f>
        <v/>
      </c>
      <c r="F303" t="str">
        <f t="array" ref="F303">IFERROR(INDEX(checklistPesertaKemenkeu!$I$6:$I$1005,SMALL(IF(checklistPesertaKemenkeu!$AY$6:$AY$1005="Direkomendasikan",ROW($6:$1005)-5),302)),"")</f>
        <v/>
      </c>
      <c r="G303" t="str">
        <f t="array" ref="G303">IFERROR(INDEX(checklistPesertaKemenkeu!$J$6:$J$1005,SMALL(IF(checklistPesertaKemenkeu!$AY$6:$AY$1005="Direkomendasikan",ROW($6:$1005)-5),302)),"")</f>
        <v/>
      </c>
      <c r="H303" t="str">
        <f t="array" aca="1" ref="H303" ca="1">IFERROR(IF(OR(INDEX(checklistPesertaKemenkeu!$L$6:$L$1005,SMALL(IF(checklistPesertaKemenkeu!$AY$6:$AY$1005="Direkomendasikan",ROW($6:$1005)-5),302))="",INDEX(checklistPesertaKemenkeu!$J$6:$J$1005,SMALL(IF(checklistPesertaKemenkeu!$AY$6:$AY$1005="Direkomendasikan",ROW($6:$1005)-5),302))=""),"",IF(AND(COUNTIF(INDIRECT("K_"&amp;MATCH(INDEX(checklistPesertaKemenkeu!$J$6:$J$1005,SMALL(IF(checklistPesertaKemenkeu!$AY$6:$AY$1005="Direkomendasikan",ROW($6:$1005)-5),302)),BidangList,0)),INDEX(checklistPesertaKemenkeu!$L$6:$L$1005,SMALL(IF(checklistPesertaKemenkeu!$AY$6:$AY$1005="Direkomendasikan",ROW($6:$1005)-5),302)))&gt;0,COUNTIF(INDIRECT("'KERTAS KERJA'!K"&amp;(SMALL(IF(checklistPesertaKemenkeu!$AY$6:$AY$1005="Direkomendasikan",ROW($6:$1005)-5),302)+5)&amp;":O"&amp;(SMALL(IF(checklistPesertaKemenkeu!$AY$6:$AY$1005="Direkomendasikan",ROW($6:$1005)-5),302)+5)),INDEX(checklistPesertaKemenkeu!$L$6:$L$1005,SMALL(IF(checklistPesertaKemenkeu!$AY$6:$AY$1005="Direkomendasikan",ROW($6:$1005)-5),302)))=1),IFERROR(VLOOKUP(INDEX(checklistPesertaKemenkeu!$L$6:$L$1005,SMALL(IF(checklistPesertaKemenkeu!$AY$6:$AY$1005="Direkomendasikan",ROW($6:$1005)-5),302)),KotaKode,2,0),"-"),"")),"")</f>
        <v/>
      </c>
      <c r="I303" t="str">
        <f t="array" aca="1" ref="I303" ca="1">IFERROR(IF(OR(INDEX(checklistPesertaKemenkeu!$M$6:$M$1005,SMALL(IF(checklistPesertaKemenkeu!$AY$6:$AY$1005="Direkomendasikan",ROW($6:$1005)-5),302))="",INDEX(checklistPesertaKemenkeu!$J$6:$J$1005,SMALL(IF(checklistPesertaKemenkeu!$AY$6:$AY$1005="Direkomendasikan",ROW($6:$1005)-5),302))=""),"",IF(AND(COUNTIF(INDIRECT("K_"&amp;MATCH(INDEX(checklistPesertaKemenkeu!$J$6:$J$1005,SMALL(IF(checklistPesertaKemenkeu!$AY$6:$AY$1005="Direkomendasikan",ROW($6:$1005)-5),302)),BidangList,0)),INDEX(checklistPesertaKemenkeu!$M$6:$M$1005,SMALL(IF(checklistPesertaKemenkeu!$AY$6:$AY$1005="Direkomendasikan",ROW($6:$1005)-5),302)))&gt;0,COUNTIF(INDIRECT("'KERTAS KERJA'!K"&amp;(SMALL(IF(checklistPesertaKemenkeu!$AY$6:$AY$1005="Direkomendasikan",ROW($6:$1005)-5),302)+5)&amp;":O"&amp;(SMALL(IF(checklistPesertaKemenkeu!$AY$6:$AY$1005="Direkomendasikan",ROW($6:$1005)-5),302)+5)),INDEX(checklistPesertaKemenkeu!$M$6:$M$1005,SMALL(IF(checklistPesertaKemenkeu!$AY$6:$AY$1005="Direkomendasikan",ROW($6:$1005)-5),302)))=1),IFERROR(VLOOKUP(INDEX(checklistPesertaKemenkeu!$M$6:$M$1005,SMALL(IF(checklistPesertaKemenkeu!$AY$6:$AY$1005="Direkomendasikan",ROW($6:$1005)-5),302)),KotaKode,2,0),"-"),"")),"")</f>
        <v/>
      </c>
      <c r="J303" t="str">
        <f t="array" aca="1" ref="J303" ca="1">IFERROR(IF(OR(INDEX(checklistPesertaKemenkeu!$N$6:$N$1005,SMALL(IF(checklistPesertaKemenkeu!$AY$6:$AY$1005="Direkomendasikan",ROW($6:$1005)-5),302))="",INDEX(checklistPesertaKemenkeu!$J$6:$J$1005,SMALL(IF(checklistPesertaKemenkeu!$AY$6:$AY$1005="Direkomendasikan",ROW($6:$1005)-5),302))=""),"",IF(AND(COUNTIF(INDIRECT("K_"&amp;MATCH(INDEX(checklistPesertaKemenkeu!$J$6:$J$1005,SMALL(IF(checklistPesertaKemenkeu!$AY$6:$AY$1005="Direkomendasikan",ROW($6:$1005)-5),302)),BidangList,0)),INDEX(checklistPesertaKemenkeu!$N$6:$N$1005,SMALL(IF(checklistPesertaKemenkeu!$AY$6:$AY$1005="Direkomendasikan",ROW($6:$1005)-5),302)))&gt;0,COUNTIF(INDIRECT("'KERTAS KERJA'!K"&amp;(SMALL(IF(checklistPesertaKemenkeu!$AY$6:$AY$1005="Direkomendasikan",ROW($6:$1005)-5),302)+5)&amp;":O"&amp;(SMALL(IF(checklistPesertaKemenkeu!$AY$6:$AY$1005="Direkomendasikan",ROW($6:$1005)-5),302)+5)),INDEX(checklistPesertaKemenkeu!$N$6:$N$1005,SMALL(IF(checklistPesertaKemenkeu!$AY$6:$AY$1005="Direkomendasikan",ROW($6:$1005)-5),302)))=1),IFERROR(VLOOKUP(INDEX(checklistPesertaKemenkeu!$N$6:$N$1005,SMALL(IF(checklistPesertaKemenkeu!$AY$6:$AY$1005="Direkomendasikan",ROW($6:$1005)-5),302)),KotaKode,2,0),"-"),"")),"")</f>
        <v/>
      </c>
      <c r="K303" t="str">
        <f t="array" aca="1" ref="K303" ca="1">IFERROR(IF(OR(INDEX(checklistPesertaKemenkeu!$O$6:$O$1005,SMALL(IF(checklistPesertaKemenkeu!$AY$6:$AY$1005="Direkomendasikan",ROW($6:$1005)-5),302))="",INDEX(checklistPesertaKemenkeu!$J$6:$J$1005,SMALL(IF(checklistPesertaKemenkeu!$AY$6:$AY$1005="Direkomendasikan",ROW($6:$1005)-5),302))=""),"",IF(AND(COUNTIF(INDIRECT("K_"&amp;MATCH(INDEX(checklistPesertaKemenkeu!$J$6:$J$1005,SMALL(IF(checklistPesertaKemenkeu!$AY$6:$AY$1005="Direkomendasikan",ROW($6:$1005)-5),302)),BidangList,0)),INDEX(checklistPesertaKemenkeu!$O$6:$O$1005,SMALL(IF(checklistPesertaKemenkeu!$AY$6:$AY$1005="Direkomendasikan",ROW($6:$1005)-5),302)))&gt;0,COUNTIF(INDIRECT("'KERTAS KERJA'!K"&amp;(SMALL(IF(checklistPesertaKemenkeu!$AY$6:$AY$1005="Direkomendasikan",ROW($6:$1005)-5),302)+5)&amp;":O"&amp;(SMALL(IF(checklistPesertaKemenkeu!$AY$6:$AY$1005="Direkomendasikan",ROW($6:$1005)-5),302)+5)),INDEX(checklistPesertaKemenkeu!$O$6:$O$1005,SMALL(IF(checklistPesertaKemenkeu!$AY$6:$AY$1005="Direkomendasikan",ROW($6:$1005)-5),302)))=1),IFERROR(VLOOKUP(INDEX(checklistPesertaKemenkeu!$O$6:$O$1005,SMALL(IF(checklistPesertaKemenkeu!$AY$6:$AY$1005="Direkomendasikan",ROW($6:$1005)-5),302)),KotaKode,2,0),"-"),"")),"")</f>
        <v/>
      </c>
      <c r="L303" t="str">
        <f t="array" aca="1" ref="L303" ca="1">IFERROR(IF(OR(INDEX(checklistPesertaKemenkeu!$P$6:$P$1005,SMALL(IF(checklistPesertaKemenkeu!$AY$6:$AY$1005="Direkomendasikan",ROW($6:$1005)-5),302))="",INDEX(checklistPesertaKemenkeu!$J$6:$J$1005,SMALL(IF(checklistPesertaKemenkeu!$AY$6:$AY$1005="Direkomendasikan",ROW($6:$1005)-5),302))=""),"",IF(AND(COUNTIF(INDIRECT("K_"&amp;MATCH(INDEX(checklistPesertaKemenkeu!$J$6:$J$1005,SMALL(IF(checklistPesertaKemenkeu!$AY$6:$AY$1005="Direkomendasikan",ROW($6:$1005)-5),302)),BidangList,0)),INDEX(checklistPesertaKemenkeu!$P$6:$P$1005,SMALL(IF(checklistPesertaKemenkeu!$AY$6:$AY$1005="Direkomendasikan",ROW($6:$1005)-5),302)))&gt;0,COUNTIF(INDIRECT("'KERTAS KERJA'!K"&amp;(SMALL(IF(checklistPesertaKemenkeu!$AY$6:$AY$1005="Direkomendasikan",ROW($6:$1005)-5),302)+5)&amp;":O"&amp;(SMALL(IF(checklistPesertaKemenkeu!$AY$6:$AY$1005="Direkomendasikan",ROW($6:$1005)-5),302)+5)),INDEX(checklistPesertaKemenkeu!$P$6:$P$1005,SMALL(IF(checklistPesertaKemenkeu!$AY$6:$AY$1005="Direkomendasikan",ROW($6:$1005)-5),302)))=1),IFERROR(VLOOKUP(INDEX(checklistPesertaKemenkeu!$P$6:$P$1005,SMALL(IF(checklistPesertaKemenkeu!$AY$6:$AY$1005="Direkomendasikan",ROW($6:$1005)-5),302)),KotaKode,2,0),"-"),"")),"")</f>
        <v/>
      </c>
    </row>
    <row r="304" spans="1:12" ht="15" customHeight="1" x14ac:dyDescent="0.2">
      <c r="A304" t="str">
        <f t="shared" si="4"/>
        <v/>
      </c>
      <c r="B304" t="str">
        <v/>
      </c>
      <c r="C304" s="40" t="str">
        <f t="array" ref="C304">IFERROR(INDEX(checklistPesertaKemenkeu!$F$6:$F$1005,SMALL(IF(checklistPesertaKemenkeu!$AY$6:$AY$1005="Direkomendasikan",ROW($6:$1005)-5),303)),"")</f>
        <v/>
      </c>
      <c r="D304" t="str">
        <f t="array" ref="D304">IFERROR(INDEX(checklistPesertaKemenkeu!$G$6:$G$1005,SMALL(IF(checklistPesertaKemenkeu!$AY$6:$AY$1005="Direkomendasikan",ROW($6:$1005)-5),303)),"")</f>
        <v/>
      </c>
      <c r="E304" t="str">
        <f t="array" ref="E304">IFERROR(INDEX(checklistPesertaKemenkeu!$H$6:$H$1005,SMALL(IF(checklistPesertaKemenkeu!$AY$6:$AY$1005="Direkomendasikan",ROW($6:$1005)-5),303)),"")</f>
        <v/>
      </c>
      <c r="F304" t="str">
        <f t="array" ref="F304">IFERROR(INDEX(checklistPesertaKemenkeu!$I$6:$I$1005,SMALL(IF(checklistPesertaKemenkeu!$AY$6:$AY$1005="Direkomendasikan",ROW($6:$1005)-5),303)),"")</f>
        <v/>
      </c>
      <c r="G304" t="str">
        <f t="array" ref="G304">IFERROR(INDEX(checklistPesertaKemenkeu!$J$6:$J$1005,SMALL(IF(checklistPesertaKemenkeu!$AY$6:$AY$1005="Direkomendasikan",ROW($6:$1005)-5),303)),"")</f>
        <v/>
      </c>
      <c r="H304" t="str">
        <f t="array" aca="1" ref="H304" ca="1">IFERROR(IF(OR(INDEX(checklistPesertaKemenkeu!$L$6:$L$1005,SMALL(IF(checklistPesertaKemenkeu!$AY$6:$AY$1005="Direkomendasikan",ROW($6:$1005)-5),303))="",INDEX(checklistPesertaKemenkeu!$J$6:$J$1005,SMALL(IF(checklistPesertaKemenkeu!$AY$6:$AY$1005="Direkomendasikan",ROW($6:$1005)-5),303))=""),"",IF(AND(COUNTIF(INDIRECT("K_"&amp;MATCH(INDEX(checklistPesertaKemenkeu!$J$6:$J$1005,SMALL(IF(checklistPesertaKemenkeu!$AY$6:$AY$1005="Direkomendasikan",ROW($6:$1005)-5),303)),BidangList,0)),INDEX(checklistPesertaKemenkeu!$L$6:$L$1005,SMALL(IF(checklistPesertaKemenkeu!$AY$6:$AY$1005="Direkomendasikan",ROW($6:$1005)-5),303)))&gt;0,COUNTIF(INDIRECT("'KERTAS KERJA'!K"&amp;(SMALL(IF(checklistPesertaKemenkeu!$AY$6:$AY$1005="Direkomendasikan",ROW($6:$1005)-5),303)+5)&amp;":O"&amp;(SMALL(IF(checklistPesertaKemenkeu!$AY$6:$AY$1005="Direkomendasikan",ROW($6:$1005)-5),303)+5)),INDEX(checklistPesertaKemenkeu!$L$6:$L$1005,SMALL(IF(checklistPesertaKemenkeu!$AY$6:$AY$1005="Direkomendasikan",ROW($6:$1005)-5),303)))=1),IFERROR(VLOOKUP(INDEX(checklistPesertaKemenkeu!$L$6:$L$1005,SMALL(IF(checklistPesertaKemenkeu!$AY$6:$AY$1005="Direkomendasikan",ROW($6:$1005)-5),303)),KotaKode,2,0),"-"),"")),"")</f>
        <v/>
      </c>
      <c r="I304" t="str">
        <f t="array" aca="1" ref="I304" ca="1">IFERROR(IF(OR(INDEX(checklistPesertaKemenkeu!$M$6:$M$1005,SMALL(IF(checklistPesertaKemenkeu!$AY$6:$AY$1005="Direkomendasikan",ROW($6:$1005)-5),303))="",INDEX(checklistPesertaKemenkeu!$J$6:$J$1005,SMALL(IF(checklistPesertaKemenkeu!$AY$6:$AY$1005="Direkomendasikan",ROW($6:$1005)-5),303))=""),"",IF(AND(COUNTIF(INDIRECT("K_"&amp;MATCH(INDEX(checklistPesertaKemenkeu!$J$6:$J$1005,SMALL(IF(checklistPesertaKemenkeu!$AY$6:$AY$1005="Direkomendasikan",ROW($6:$1005)-5),303)),BidangList,0)),INDEX(checklistPesertaKemenkeu!$M$6:$M$1005,SMALL(IF(checklistPesertaKemenkeu!$AY$6:$AY$1005="Direkomendasikan",ROW($6:$1005)-5),303)))&gt;0,COUNTIF(INDIRECT("'KERTAS KERJA'!K"&amp;(SMALL(IF(checklistPesertaKemenkeu!$AY$6:$AY$1005="Direkomendasikan",ROW($6:$1005)-5),303)+5)&amp;":O"&amp;(SMALL(IF(checklistPesertaKemenkeu!$AY$6:$AY$1005="Direkomendasikan",ROW($6:$1005)-5),303)+5)),INDEX(checklistPesertaKemenkeu!$M$6:$M$1005,SMALL(IF(checklistPesertaKemenkeu!$AY$6:$AY$1005="Direkomendasikan",ROW($6:$1005)-5),303)))=1),IFERROR(VLOOKUP(INDEX(checklistPesertaKemenkeu!$M$6:$M$1005,SMALL(IF(checklistPesertaKemenkeu!$AY$6:$AY$1005="Direkomendasikan",ROW($6:$1005)-5),303)),KotaKode,2,0),"-"),"")),"")</f>
        <v/>
      </c>
      <c r="J304" t="str">
        <f t="array" aca="1" ref="J304" ca="1">IFERROR(IF(OR(INDEX(checklistPesertaKemenkeu!$N$6:$N$1005,SMALL(IF(checklistPesertaKemenkeu!$AY$6:$AY$1005="Direkomendasikan",ROW($6:$1005)-5),303))="",INDEX(checklistPesertaKemenkeu!$J$6:$J$1005,SMALL(IF(checklistPesertaKemenkeu!$AY$6:$AY$1005="Direkomendasikan",ROW($6:$1005)-5),303))=""),"",IF(AND(COUNTIF(INDIRECT("K_"&amp;MATCH(INDEX(checklistPesertaKemenkeu!$J$6:$J$1005,SMALL(IF(checklistPesertaKemenkeu!$AY$6:$AY$1005="Direkomendasikan",ROW($6:$1005)-5),303)),BidangList,0)),INDEX(checklistPesertaKemenkeu!$N$6:$N$1005,SMALL(IF(checklistPesertaKemenkeu!$AY$6:$AY$1005="Direkomendasikan",ROW($6:$1005)-5),303)))&gt;0,COUNTIF(INDIRECT("'KERTAS KERJA'!K"&amp;(SMALL(IF(checklistPesertaKemenkeu!$AY$6:$AY$1005="Direkomendasikan",ROW($6:$1005)-5),303)+5)&amp;":O"&amp;(SMALL(IF(checklistPesertaKemenkeu!$AY$6:$AY$1005="Direkomendasikan",ROW($6:$1005)-5),303)+5)),INDEX(checklistPesertaKemenkeu!$N$6:$N$1005,SMALL(IF(checklistPesertaKemenkeu!$AY$6:$AY$1005="Direkomendasikan",ROW($6:$1005)-5),303)))=1),IFERROR(VLOOKUP(INDEX(checklistPesertaKemenkeu!$N$6:$N$1005,SMALL(IF(checklistPesertaKemenkeu!$AY$6:$AY$1005="Direkomendasikan",ROW($6:$1005)-5),303)),KotaKode,2,0),"-"),"")),"")</f>
        <v/>
      </c>
      <c r="K304" t="str">
        <f t="array" aca="1" ref="K304" ca="1">IFERROR(IF(OR(INDEX(checklistPesertaKemenkeu!$O$6:$O$1005,SMALL(IF(checklistPesertaKemenkeu!$AY$6:$AY$1005="Direkomendasikan",ROW($6:$1005)-5),303))="",INDEX(checklistPesertaKemenkeu!$J$6:$J$1005,SMALL(IF(checklistPesertaKemenkeu!$AY$6:$AY$1005="Direkomendasikan",ROW($6:$1005)-5),303))=""),"",IF(AND(COUNTIF(INDIRECT("K_"&amp;MATCH(INDEX(checklistPesertaKemenkeu!$J$6:$J$1005,SMALL(IF(checklistPesertaKemenkeu!$AY$6:$AY$1005="Direkomendasikan",ROW($6:$1005)-5),303)),BidangList,0)),INDEX(checklistPesertaKemenkeu!$O$6:$O$1005,SMALL(IF(checklistPesertaKemenkeu!$AY$6:$AY$1005="Direkomendasikan",ROW($6:$1005)-5),303)))&gt;0,COUNTIF(INDIRECT("'KERTAS KERJA'!K"&amp;(SMALL(IF(checklistPesertaKemenkeu!$AY$6:$AY$1005="Direkomendasikan",ROW($6:$1005)-5),303)+5)&amp;":O"&amp;(SMALL(IF(checklistPesertaKemenkeu!$AY$6:$AY$1005="Direkomendasikan",ROW($6:$1005)-5),303)+5)),INDEX(checklistPesertaKemenkeu!$O$6:$O$1005,SMALL(IF(checklistPesertaKemenkeu!$AY$6:$AY$1005="Direkomendasikan",ROW($6:$1005)-5),303)))=1),IFERROR(VLOOKUP(INDEX(checklistPesertaKemenkeu!$O$6:$O$1005,SMALL(IF(checklistPesertaKemenkeu!$AY$6:$AY$1005="Direkomendasikan",ROW($6:$1005)-5),303)),KotaKode,2,0),"-"),"")),"")</f>
        <v/>
      </c>
      <c r="L304" t="str">
        <f t="array" aca="1" ref="L304" ca="1">IFERROR(IF(OR(INDEX(checklistPesertaKemenkeu!$P$6:$P$1005,SMALL(IF(checklistPesertaKemenkeu!$AY$6:$AY$1005="Direkomendasikan",ROW($6:$1005)-5),303))="",INDEX(checklistPesertaKemenkeu!$J$6:$J$1005,SMALL(IF(checklistPesertaKemenkeu!$AY$6:$AY$1005="Direkomendasikan",ROW($6:$1005)-5),303))=""),"",IF(AND(COUNTIF(INDIRECT("K_"&amp;MATCH(INDEX(checklistPesertaKemenkeu!$J$6:$J$1005,SMALL(IF(checklistPesertaKemenkeu!$AY$6:$AY$1005="Direkomendasikan",ROW($6:$1005)-5),303)),BidangList,0)),INDEX(checklistPesertaKemenkeu!$P$6:$P$1005,SMALL(IF(checklistPesertaKemenkeu!$AY$6:$AY$1005="Direkomendasikan",ROW($6:$1005)-5),303)))&gt;0,COUNTIF(INDIRECT("'KERTAS KERJA'!K"&amp;(SMALL(IF(checklistPesertaKemenkeu!$AY$6:$AY$1005="Direkomendasikan",ROW($6:$1005)-5),303)+5)&amp;":O"&amp;(SMALL(IF(checklistPesertaKemenkeu!$AY$6:$AY$1005="Direkomendasikan",ROW($6:$1005)-5),303)+5)),INDEX(checklistPesertaKemenkeu!$P$6:$P$1005,SMALL(IF(checklistPesertaKemenkeu!$AY$6:$AY$1005="Direkomendasikan",ROW($6:$1005)-5),303)))=1),IFERROR(VLOOKUP(INDEX(checklistPesertaKemenkeu!$P$6:$P$1005,SMALL(IF(checklistPesertaKemenkeu!$AY$6:$AY$1005="Direkomendasikan",ROW($6:$1005)-5),303)),KotaKode,2,0),"-"),"")),"")</f>
        <v/>
      </c>
    </row>
    <row r="305" spans="1:12" ht="15" customHeight="1" x14ac:dyDescent="0.2">
      <c r="A305" t="str">
        <f t="shared" si="4"/>
        <v/>
      </c>
      <c r="B305" t="str">
        <v/>
      </c>
      <c r="C305" s="40" t="str">
        <f t="array" ref="C305">IFERROR(INDEX(checklistPesertaKemenkeu!$F$6:$F$1005,SMALL(IF(checklistPesertaKemenkeu!$AY$6:$AY$1005="Direkomendasikan",ROW($6:$1005)-5),304)),"")</f>
        <v/>
      </c>
      <c r="D305" t="str">
        <f t="array" ref="D305">IFERROR(INDEX(checklistPesertaKemenkeu!$G$6:$G$1005,SMALL(IF(checklistPesertaKemenkeu!$AY$6:$AY$1005="Direkomendasikan",ROW($6:$1005)-5),304)),"")</f>
        <v/>
      </c>
      <c r="E305" t="str">
        <f t="array" ref="E305">IFERROR(INDEX(checklistPesertaKemenkeu!$H$6:$H$1005,SMALL(IF(checklistPesertaKemenkeu!$AY$6:$AY$1005="Direkomendasikan",ROW($6:$1005)-5),304)),"")</f>
        <v/>
      </c>
      <c r="F305" t="str">
        <f t="array" ref="F305">IFERROR(INDEX(checklistPesertaKemenkeu!$I$6:$I$1005,SMALL(IF(checklistPesertaKemenkeu!$AY$6:$AY$1005="Direkomendasikan",ROW($6:$1005)-5),304)),"")</f>
        <v/>
      </c>
      <c r="G305" t="str">
        <f t="array" ref="G305">IFERROR(INDEX(checklistPesertaKemenkeu!$J$6:$J$1005,SMALL(IF(checklistPesertaKemenkeu!$AY$6:$AY$1005="Direkomendasikan",ROW($6:$1005)-5),304)),"")</f>
        <v/>
      </c>
      <c r="H305" t="str">
        <f t="array" aca="1" ref="H305" ca="1">IFERROR(IF(OR(INDEX(checklistPesertaKemenkeu!$L$6:$L$1005,SMALL(IF(checklistPesertaKemenkeu!$AY$6:$AY$1005="Direkomendasikan",ROW($6:$1005)-5),304))="",INDEX(checklistPesertaKemenkeu!$J$6:$J$1005,SMALL(IF(checklistPesertaKemenkeu!$AY$6:$AY$1005="Direkomendasikan",ROW($6:$1005)-5),304))=""),"",IF(AND(COUNTIF(INDIRECT("K_"&amp;MATCH(INDEX(checklistPesertaKemenkeu!$J$6:$J$1005,SMALL(IF(checklistPesertaKemenkeu!$AY$6:$AY$1005="Direkomendasikan",ROW($6:$1005)-5),304)),BidangList,0)),INDEX(checklistPesertaKemenkeu!$L$6:$L$1005,SMALL(IF(checklistPesertaKemenkeu!$AY$6:$AY$1005="Direkomendasikan",ROW($6:$1005)-5),304)))&gt;0,COUNTIF(INDIRECT("'KERTAS KERJA'!K"&amp;(SMALL(IF(checklistPesertaKemenkeu!$AY$6:$AY$1005="Direkomendasikan",ROW($6:$1005)-5),304)+5)&amp;":O"&amp;(SMALL(IF(checklistPesertaKemenkeu!$AY$6:$AY$1005="Direkomendasikan",ROW($6:$1005)-5),304)+5)),INDEX(checklistPesertaKemenkeu!$L$6:$L$1005,SMALL(IF(checklistPesertaKemenkeu!$AY$6:$AY$1005="Direkomendasikan",ROW($6:$1005)-5),304)))=1),IFERROR(VLOOKUP(INDEX(checklistPesertaKemenkeu!$L$6:$L$1005,SMALL(IF(checklistPesertaKemenkeu!$AY$6:$AY$1005="Direkomendasikan",ROW($6:$1005)-5),304)),KotaKode,2,0),"-"),"")),"")</f>
        <v/>
      </c>
      <c r="I305" t="str">
        <f t="array" aca="1" ref="I305" ca="1">IFERROR(IF(OR(INDEX(checklistPesertaKemenkeu!$M$6:$M$1005,SMALL(IF(checklistPesertaKemenkeu!$AY$6:$AY$1005="Direkomendasikan",ROW($6:$1005)-5),304))="",INDEX(checklistPesertaKemenkeu!$J$6:$J$1005,SMALL(IF(checklistPesertaKemenkeu!$AY$6:$AY$1005="Direkomendasikan",ROW($6:$1005)-5),304))=""),"",IF(AND(COUNTIF(INDIRECT("K_"&amp;MATCH(INDEX(checklistPesertaKemenkeu!$J$6:$J$1005,SMALL(IF(checklistPesertaKemenkeu!$AY$6:$AY$1005="Direkomendasikan",ROW($6:$1005)-5),304)),BidangList,0)),INDEX(checklistPesertaKemenkeu!$M$6:$M$1005,SMALL(IF(checklistPesertaKemenkeu!$AY$6:$AY$1005="Direkomendasikan",ROW($6:$1005)-5),304)))&gt;0,COUNTIF(INDIRECT("'KERTAS KERJA'!K"&amp;(SMALL(IF(checklistPesertaKemenkeu!$AY$6:$AY$1005="Direkomendasikan",ROW($6:$1005)-5),304)+5)&amp;":O"&amp;(SMALL(IF(checklistPesertaKemenkeu!$AY$6:$AY$1005="Direkomendasikan",ROW($6:$1005)-5),304)+5)),INDEX(checklistPesertaKemenkeu!$M$6:$M$1005,SMALL(IF(checklistPesertaKemenkeu!$AY$6:$AY$1005="Direkomendasikan",ROW($6:$1005)-5),304)))=1),IFERROR(VLOOKUP(INDEX(checklistPesertaKemenkeu!$M$6:$M$1005,SMALL(IF(checklistPesertaKemenkeu!$AY$6:$AY$1005="Direkomendasikan",ROW($6:$1005)-5),304)),KotaKode,2,0),"-"),"")),"")</f>
        <v/>
      </c>
      <c r="J305" t="str">
        <f t="array" aca="1" ref="J305" ca="1">IFERROR(IF(OR(INDEX(checklistPesertaKemenkeu!$N$6:$N$1005,SMALL(IF(checklistPesertaKemenkeu!$AY$6:$AY$1005="Direkomendasikan",ROW($6:$1005)-5),304))="",INDEX(checklistPesertaKemenkeu!$J$6:$J$1005,SMALL(IF(checklistPesertaKemenkeu!$AY$6:$AY$1005="Direkomendasikan",ROW($6:$1005)-5),304))=""),"",IF(AND(COUNTIF(INDIRECT("K_"&amp;MATCH(INDEX(checklistPesertaKemenkeu!$J$6:$J$1005,SMALL(IF(checklistPesertaKemenkeu!$AY$6:$AY$1005="Direkomendasikan",ROW($6:$1005)-5),304)),BidangList,0)),INDEX(checklistPesertaKemenkeu!$N$6:$N$1005,SMALL(IF(checklistPesertaKemenkeu!$AY$6:$AY$1005="Direkomendasikan",ROW($6:$1005)-5),304)))&gt;0,COUNTIF(INDIRECT("'KERTAS KERJA'!K"&amp;(SMALL(IF(checklistPesertaKemenkeu!$AY$6:$AY$1005="Direkomendasikan",ROW($6:$1005)-5),304)+5)&amp;":O"&amp;(SMALL(IF(checklistPesertaKemenkeu!$AY$6:$AY$1005="Direkomendasikan",ROW($6:$1005)-5),304)+5)),INDEX(checklistPesertaKemenkeu!$N$6:$N$1005,SMALL(IF(checklistPesertaKemenkeu!$AY$6:$AY$1005="Direkomendasikan",ROW($6:$1005)-5),304)))=1),IFERROR(VLOOKUP(INDEX(checklistPesertaKemenkeu!$N$6:$N$1005,SMALL(IF(checklistPesertaKemenkeu!$AY$6:$AY$1005="Direkomendasikan",ROW($6:$1005)-5),304)),KotaKode,2,0),"-"),"")),"")</f>
        <v/>
      </c>
      <c r="K305" t="str">
        <f t="array" aca="1" ref="K305" ca="1">IFERROR(IF(OR(INDEX(checklistPesertaKemenkeu!$O$6:$O$1005,SMALL(IF(checklistPesertaKemenkeu!$AY$6:$AY$1005="Direkomendasikan",ROW($6:$1005)-5),304))="",INDEX(checklistPesertaKemenkeu!$J$6:$J$1005,SMALL(IF(checklistPesertaKemenkeu!$AY$6:$AY$1005="Direkomendasikan",ROW($6:$1005)-5),304))=""),"",IF(AND(COUNTIF(INDIRECT("K_"&amp;MATCH(INDEX(checklistPesertaKemenkeu!$J$6:$J$1005,SMALL(IF(checklistPesertaKemenkeu!$AY$6:$AY$1005="Direkomendasikan",ROW($6:$1005)-5),304)),BidangList,0)),INDEX(checklistPesertaKemenkeu!$O$6:$O$1005,SMALL(IF(checklistPesertaKemenkeu!$AY$6:$AY$1005="Direkomendasikan",ROW($6:$1005)-5),304)))&gt;0,COUNTIF(INDIRECT("'KERTAS KERJA'!K"&amp;(SMALL(IF(checklistPesertaKemenkeu!$AY$6:$AY$1005="Direkomendasikan",ROW($6:$1005)-5),304)+5)&amp;":O"&amp;(SMALL(IF(checklistPesertaKemenkeu!$AY$6:$AY$1005="Direkomendasikan",ROW($6:$1005)-5),304)+5)),INDEX(checklistPesertaKemenkeu!$O$6:$O$1005,SMALL(IF(checklistPesertaKemenkeu!$AY$6:$AY$1005="Direkomendasikan",ROW($6:$1005)-5),304)))=1),IFERROR(VLOOKUP(INDEX(checklistPesertaKemenkeu!$O$6:$O$1005,SMALL(IF(checklistPesertaKemenkeu!$AY$6:$AY$1005="Direkomendasikan",ROW($6:$1005)-5),304)),KotaKode,2,0),"-"),"")),"")</f>
        <v/>
      </c>
      <c r="L305" t="str">
        <f t="array" aca="1" ref="L305" ca="1">IFERROR(IF(OR(INDEX(checklistPesertaKemenkeu!$P$6:$P$1005,SMALL(IF(checklistPesertaKemenkeu!$AY$6:$AY$1005="Direkomendasikan",ROW($6:$1005)-5),304))="",INDEX(checklistPesertaKemenkeu!$J$6:$J$1005,SMALL(IF(checklistPesertaKemenkeu!$AY$6:$AY$1005="Direkomendasikan",ROW($6:$1005)-5),304))=""),"",IF(AND(COUNTIF(INDIRECT("K_"&amp;MATCH(INDEX(checklistPesertaKemenkeu!$J$6:$J$1005,SMALL(IF(checklistPesertaKemenkeu!$AY$6:$AY$1005="Direkomendasikan",ROW($6:$1005)-5),304)),BidangList,0)),INDEX(checklistPesertaKemenkeu!$P$6:$P$1005,SMALL(IF(checklistPesertaKemenkeu!$AY$6:$AY$1005="Direkomendasikan",ROW($6:$1005)-5),304)))&gt;0,COUNTIF(INDIRECT("'KERTAS KERJA'!K"&amp;(SMALL(IF(checklistPesertaKemenkeu!$AY$6:$AY$1005="Direkomendasikan",ROW($6:$1005)-5),304)+5)&amp;":O"&amp;(SMALL(IF(checklistPesertaKemenkeu!$AY$6:$AY$1005="Direkomendasikan",ROW($6:$1005)-5),304)+5)),INDEX(checklistPesertaKemenkeu!$P$6:$P$1005,SMALL(IF(checklistPesertaKemenkeu!$AY$6:$AY$1005="Direkomendasikan",ROW($6:$1005)-5),304)))=1),IFERROR(VLOOKUP(INDEX(checklistPesertaKemenkeu!$P$6:$P$1005,SMALL(IF(checklistPesertaKemenkeu!$AY$6:$AY$1005="Direkomendasikan",ROW($6:$1005)-5),304)),KotaKode,2,0),"-"),"")),"")</f>
        <v/>
      </c>
    </row>
    <row r="306" spans="1:12" ht="15" customHeight="1" x14ac:dyDescent="0.2">
      <c r="A306" t="str">
        <f t="shared" si="4"/>
        <v/>
      </c>
      <c r="B306" t="str">
        <v/>
      </c>
      <c r="C306" s="40" t="str">
        <f t="array" ref="C306">IFERROR(INDEX(checklistPesertaKemenkeu!$F$6:$F$1005,SMALL(IF(checklistPesertaKemenkeu!$AY$6:$AY$1005="Direkomendasikan",ROW($6:$1005)-5),305)),"")</f>
        <v/>
      </c>
      <c r="D306" t="str">
        <f t="array" ref="D306">IFERROR(INDEX(checklistPesertaKemenkeu!$G$6:$G$1005,SMALL(IF(checklistPesertaKemenkeu!$AY$6:$AY$1005="Direkomendasikan",ROW($6:$1005)-5),305)),"")</f>
        <v/>
      </c>
      <c r="E306" t="str">
        <f t="array" ref="E306">IFERROR(INDEX(checklistPesertaKemenkeu!$H$6:$H$1005,SMALL(IF(checklistPesertaKemenkeu!$AY$6:$AY$1005="Direkomendasikan",ROW($6:$1005)-5),305)),"")</f>
        <v/>
      </c>
      <c r="F306" t="str">
        <f t="array" ref="F306">IFERROR(INDEX(checklistPesertaKemenkeu!$I$6:$I$1005,SMALL(IF(checklistPesertaKemenkeu!$AY$6:$AY$1005="Direkomendasikan",ROW($6:$1005)-5),305)),"")</f>
        <v/>
      </c>
      <c r="G306" t="str">
        <f t="array" ref="G306">IFERROR(INDEX(checklistPesertaKemenkeu!$J$6:$J$1005,SMALL(IF(checklistPesertaKemenkeu!$AY$6:$AY$1005="Direkomendasikan",ROW($6:$1005)-5),305)),"")</f>
        <v/>
      </c>
      <c r="H306" t="str">
        <f t="array" aca="1" ref="H306" ca="1">IFERROR(IF(OR(INDEX(checklistPesertaKemenkeu!$L$6:$L$1005,SMALL(IF(checklistPesertaKemenkeu!$AY$6:$AY$1005="Direkomendasikan",ROW($6:$1005)-5),305))="",INDEX(checklistPesertaKemenkeu!$J$6:$J$1005,SMALL(IF(checklistPesertaKemenkeu!$AY$6:$AY$1005="Direkomendasikan",ROW($6:$1005)-5),305))=""),"",IF(AND(COUNTIF(INDIRECT("K_"&amp;MATCH(INDEX(checklistPesertaKemenkeu!$J$6:$J$1005,SMALL(IF(checklistPesertaKemenkeu!$AY$6:$AY$1005="Direkomendasikan",ROW($6:$1005)-5),305)),BidangList,0)),INDEX(checklistPesertaKemenkeu!$L$6:$L$1005,SMALL(IF(checklistPesertaKemenkeu!$AY$6:$AY$1005="Direkomendasikan",ROW($6:$1005)-5),305)))&gt;0,COUNTIF(INDIRECT("'KERTAS KERJA'!K"&amp;(SMALL(IF(checklistPesertaKemenkeu!$AY$6:$AY$1005="Direkomendasikan",ROW($6:$1005)-5),305)+5)&amp;":O"&amp;(SMALL(IF(checklistPesertaKemenkeu!$AY$6:$AY$1005="Direkomendasikan",ROW($6:$1005)-5),305)+5)),INDEX(checklistPesertaKemenkeu!$L$6:$L$1005,SMALL(IF(checklistPesertaKemenkeu!$AY$6:$AY$1005="Direkomendasikan",ROW($6:$1005)-5),305)))=1),IFERROR(VLOOKUP(INDEX(checklistPesertaKemenkeu!$L$6:$L$1005,SMALL(IF(checklistPesertaKemenkeu!$AY$6:$AY$1005="Direkomendasikan",ROW($6:$1005)-5),305)),KotaKode,2,0),"-"),"")),"")</f>
        <v/>
      </c>
      <c r="I306" t="str">
        <f t="array" aca="1" ref="I306" ca="1">IFERROR(IF(OR(INDEX(checklistPesertaKemenkeu!$M$6:$M$1005,SMALL(IF(checklistPesertaKemenkeu!$AY$6:$AY$1005="Direkomendasikan",ROW($6:$1005)-5),305))="",INDEX(checklistPesertaKemenkeu!$J$6:$J$1005,SMALL(IF(checklistPesertaKemenkeu!$AY$6:$AY$1005="Direkomendasikan",ROW($6:$1005)-5),305))=""),"",IF(AND(COUNTIF(INDIRECT("K_"&amp;MATCH(INDEX(checklistPesertaKemenkeu!$J$6:$J$1005,SMALL(IF(checklistPesertaKemenkeu!$AY$6:$AY$1005="Direkomendasikan",ROW($6:$1005)-5),305)),BidangList,0)),INDEX(checklistPesertaKemenkeu!$M$6:$M$1005,SMALL(IF(checklistPesertaKemenkeu!$AY$6:$AY$1005="Direkomendasikan",ROW($6:$1005)-5),305)))&gt;0,COUNTIF(INDIRECT("'KERTAS KERJA'!K"&amp;(SMALL(IF(checklistPesertaKemenkeu!$AY$6:$AY$1005="Direkomendasikan",ROW($6:$1005)-5),305)+5)&amp;":O"&amp;(SMALL(IF(checklistPesertaKemenkeu!$AY$6:$AY$1005="Direkomendasikan",ROW($6:$1005)-5),305)+5)),INDEX(checklistPesertaKemenkeu!$M$6:$M$1005,SMALL(IF(checklistPesertaKemenkeu!$AY$6:$AY$1005="Direkomendasikan",ROW($6:$1005)-5),305)))=1),IFERROR(VLOOKUP(INDEX(checklistPesertaKemenkeu!$M$6:$M$1005,SMALL(IF(checklistPesertaKemenkeu!$AY$6:$AY$1005="Direkomendasikan",ROW($6:$1005)-5),305)),KotaKode,2,0),"-"),"")),"")</f>
        <v/>
      </c>
      <c r="J306" t="str">
        <f t="array" aca="1" ref="J306" ca="1">IFERROR(IF(OR(INDEX(checklistPesertaKemenkeu!$N$6:$N$1005,SMALL(IF(checklistPesertaKemenkeu!$AY$6:$AY$1005="Direkomendasikan",ROW($6:$1005)-5),305))="",INDEX(checklistPesertaKemenkeu!$J$6:$J$1005,SMALL(IF(checklistPesertaKemenkeu!$AY$6:$AY$1005="Direkomendasikan",ROW($6:$1005)-5),305))=""),"",IF(AND(COUNTIF(INDIRECT("K_"&amp;MATCH(INDEX(checklistPesertaKemenkeu!$J$6:$J$1005,SMALL(IF(checklistPesertaKemenkeu!$AY$6:$AY$1005="Direkomendasikan",ROW($6:$1005)-5),305)),BidangList,0)),INDEX(checklistPesertaKemenkeu!$N$6:$N$1005,SMALL(IF(checklistPesertaKemenkeu!$AY$6:$AY$1005="Direkomendasikan",ROW($6:$1005)-5),305)))&gt;0,COUNTIF(INDIRECT("'KERTAS KERJA'!K"&amp;(SMALL(IF(checklistPesertaKemenkeu!$AY$6:$AY$1005="Direkomendasikan",ROW($6:$1005)-5),305)+5)&amp;":O"&amp;(SMALL(IF(checklistPesertaKemenkeu!$AY$6:$AY$1005="Direkomendasikan",ROW($6:$1005)-5),305)+5)),INDEX(checklistPesertaKemenkeu!$N$6:$N$1005,SMALL(IF(checklistPesertaKemenkeu!$AY$6:$AY$1005="Direkomendasikan",ROW($6:$1005)-5),305)))=1),IFERROR(VLOOKUP(INDEX(checklistPesertaKemenkeu!$N$6:$N$1005,SMALL(IF(checklistPesertaKemenkeu!$AY$6:$AY$1005="Direkomendasikan",ROW($6:$1005)-5),305)),KotaKode,2,0),"-"),"")),"")</f>
        <v/>
      </c>
      <c r="K306" t="str">
        <f t="array" aca="1" ref="K306" ca="1">IFERROR(IF(OR(INDEX(checklistPesertaKemenkeu!$O$6:$O$1005,SMALL(IF(checklistPesertaKemenkeu!$AY$6:$AY$1005="Direkomendasikan",ROW($6:$1005)-5),305))="",INDEX(checklistPesertaKemenkeu!$J$6:$J$1005,SMALL(IF(checklistPesertaKemenkeu!$AY$6:$AY$1005="Direkomendasikan",ROW($6:$1005)-5),305))=""),"",IF(AND(COUNTIF(INDIRECT("K_"&amp;MATCH(INDEX(checklistPesertaKemenkeu!$J$6:$J$1005,SMALL(IF(checklistPesertaKemenkeu!$AY$6:$AY$1005="Direkomendasikan",ROW($6:$1005)-5),305)),BidangList,0)),INDEX(checklistPesertaKemenkeu!$O$6:$O$1005,SMALL(IF(checklistPesertaKemenkeu!$AY$6:$AY$1005="Direkomendasikan",ROW($6:$1005)-5),305)))&gt;0,COUNTIF(INDIRECT("'KERTAS KERJA'!K"&amp;(SMALL(IF(checklistPesertaKemenkeu!$AY$6:$AY$1005="Direkomendasikan",ROW($6:$1005)-5),305)+5)&amp;":O"&amp;(SMALL(IF(checklistPesertaKemenkeu!$AY$6:$AY$1005="Direkomendasikan",ROW($6:$1005)-5),305)+5)),INDEX(checklistPesertaKemenkeu!$O$6:$O$1005,SMALL(IF(checklistPesertaKemenkeu!$AY$6:$AY$1005="Direkomendasikan",ROW($6:$1005)-5),305)))=1),IFERROR(VLOOKUP(INDEX(checklistPesertaKemenkeu!$O$6:$O$1005,SMALL(IF(checklistPesertaKemenkeu!$AY$6:$AY$1005="Direkomendasikan",ROW($6:$1005)-5),305)),KotaKode,2,0),"-"),"")),"")</f>
        <v/>
      </c>
      <c r="L306" t="str">
        <f t="array" aca="1" ref="L306" ca="1">IFERROR(IF(OR(INDEX(checklistPesertaKemenkeu!$P$6:$P$1005,SMALL(IF(checklistPesertaKemenkeu!$AY$6:$AY$1005="Direkomendasikan",ROW($6:$1005)-5),305))="",INDEX(checklistPesertaKemenkeu!$J$6:$J$1005,SMALL(IF(checklistPesertaKemenkeu!$AY$6:$AY$1005="Direkomendasikan",ROW($6:$1005)-5),305))=""),"",IF(AND(COUNTIF(INDIRECT("K_"&amp;MATCH(INDEX(checklistPesertaKemenkeu!$J$6:$J$1005,SMALL(IF(checklistPesertaKemenkeu!$AY$6:$AY$1005="Direkomendasikan",ROW($6:$1005)-5),305)),BidangList,0)),INDEX(checklistPesertaKemenkeu!$P$6:$P$1005,SMALL(IF(checklistPesertaKemenkeu!$AY$6:$AY$1005="Direkomendasikan",ROW($6:$1005)-5),305)))&gt;0,COUNTIF(INDIRECT("'KERTAS KERJA'!K"&amp;(SMALL(IF(checklistPesertaKemenkeu!$AY$6:$AY$1005="Direkomendasikan",ROW($6:$1005)-5),305)+5)&amp;":O"&amp;(SMALL(IF(checklistPesertaKemenkeu!$AY$6:$AY$1005="Direkomendasikan",ROW($6:$1005)-5),305)+5)),INDEX(checklistPesertaKemenkeu!$P$6:$P$1005,SMALL(IF(checklistPesertaKemenkeu!$AY$6:$AY$1005="Direkomendasikan",ROW($6:$1005)-5),305)))=1),IFERROR(VLOOKUP(INDEX(checklistPesertaKemenkeu!$P$6:$P$1005,SMALL(IF(checklistPesertaKemenkeu!$AY$6:$AY$1005="Direkomendasikan",ROW($6:$1005)-5),305)),KotaKode,2,0),"-"),"")),"")</f>
        <v/>
      </c>
    </row>
    <row r="307" spans="1:12" ht="15" customHeight="1" x14ac:dyDescent="0.2">
      <c r="A307" t="str">
        <f t="shared" si="4"/>
        <v/>
      </c>
      <c r="B307" t="str">
        <v/>
      </c>
      <c r="C307" s="40" t="str">
        <f t="array" ref="C307">IFERROR(INDEX(checklistPesertaKemenkeu!$F$6:$F$1005,SMALL(IF(checklistPesertaKemenkeu!$AY$6:$AY$1005="Direkomendasikan",ROW($6:$1005)-5),306)),"")</f>
        <v/>
      </c>
      <c r="D307" t="str">
        <f t="array" ref="D307">IFERROR(INDEX(checklistPesertaKemenkeu!$G$6:$G$1005,SMALL(IF(checklistPesertaKemenkeu!$AY$6:$AY$1005="Direkomendasikan",ROW($6:$1005)-5),306)),"")</f>
        <v/>
      </c>
      <c r="E307" t="str">
        <f t="array" ref="E307">IFERROR(INDEX(checklistPesertaKemenkeu!$H$6:$H$1005,SMALL(IF(checklistPesertaKemenkeu!$AY$6:$AY$1005="Direkomendasikan",ROW($6:$1005)-5),306)),"")</f>
        <v/>
      </c>
      <c r="F307" t="str">
        <f t="array" ref="F307">IFERROR(INDEX(checklistPesertaKemenkeu!$I$6:$I$1005,SMALL(IF(checklistPesertaKemenkeu!$AY$6:$AY$1005="Direkomendasikan",ROW($6:$1005)-5),306)),"")</f>
        <v/>
      </c>
      <c r="G307" t="str">
        <f t="array" ref="G307">IFERROR(INDEX(checklistPesertaKemenkeu!$J$6:$J$1005,SMALL(IF(checklistPesertaKemenkeu!$AY$6:$AY$1005="Direkomendasikan",ROW($6:$1005)-5),306)),"")</f>
        <v/>
      </c>
      <c r="H307" t="str">
        <f t="array" aca="1" ref="H307" ca="1">IFERROR(IF(OR(INDEX(checklistPesertaKemenkeu!$L$6:$L$1005,SMALL(IF(checklistPesertaKemenkeu!$AY$6:$AY$1005="Direkomendasikan",ROW($6:$1005)-5),306))="",INDEX(checklistPesertaKemenkeu!$J$6:$J$1005,SMALL(IF(checklistPesertaKemenkeu!$AY$6:$AY$1005="Direkomendasikan",ROW($6:$1005)-5),306))=""),"",IF(AND(COUNTIF(INDIRECT("K_"&amp;MATCH(INDEX(checklistPesertaKemenkeu!$J$6:$J$1005,SMALL(IF(checklistPesertaKemenkeu!$AY$6:$AY$1005="Direkomendasikan",ROW($6:$1005)-5),306)),BidangList,0)),INDEX(checklistPesertaKemenkeu!$L$6:$L$1005,SMALL(IF(checklistPesertaKemenkeu!$AY$6:$AY$1005="Direkomendasikan",ROW($6:$1005)-5),306)))&gt;0,COUNTIF(INDIRECT("'KERTAS KERJA'!K"&amp;(SMALL(IF(checklistPesertaKemenkeu!$AY$6:$AY$1005="Direkomendasikan",ROW($6:$1005)-5),306)+5)&amp;":O"&amp;(SMALL(IF(checklistPesertaKemenkeu!$AY$6:$AY$1005="Direkomendasikan",ROW($6:$1005)-5),306)+5)),INDEX(checklistPesertaKemenkeu!$L$6:$L$1005,SMALL(IF(checklistPesertaKemenkeu!$AY$6:$AY$1005="Direkomendasikan",ROW($6:$1005)-5),306)))=1),IFERROR(VLOOKUP(INDEX(checklistPesertaKemenkeu!$L$6:$L$1005,SMALL(IF(checklistPesertaKemenkeu!$AY$6:$AY$1005="Direkomendasikan",ROW($6:$1005)-5),306)),KotaKode,2,0),"-"),"")),"")</f>
        <v/>
      </c>
      <c r="I307" t="str">
        <f t="array" aca="1" ref="I307" ca="1">IFERROR(IF(OR(INDEX(checklistPesertaKemenkeu!$M$6:$M$1005,SMALL(IF(checklistPesertaKemenkeu!$AY$6:$AY$1005="Direkomendasikan",ROW($6:$1005)-5),306))="",INDEX(checklistPesertaKemenkeu!$J$6:$J$1005,SMALL(IF(checklistPesertaKemenkeu!$AY$6:$AY$1005="Direkomendasikan",ROW($6:$1005)-5),306))=""),"",IF(AND(COUNTIF(INDIRECT("K_"&amp;MATCH(INDEX(checklistPesertaKemenkeu!$J$6:$J$1005,SMALL(IF(checklistPesertaKemenkeu!$AY$6:$AY$1005="Direkomendasikan",ROW($6:$1005)-5),306)),BidangList,0)),INDEX(checklistPesertaKemenkeu!$M$6:$M$1005,SMALL(IF(checklistPesertaKemenkeu!$AY$6:$AY$1005="Direkomendasikan",ROW($6:$1005)-5),306)))&gt;0,COUNTIF(INDIRECT("'KERTAS KERJA'!K"&amp;(SMALL(IF(checklistPesertaKemenkeu!$AY$6:$AY$1005="Direkomendasikan",ROW($6:$1005)-5),306)+5)&amp;":O"&amp;(SMALL(IF(checklistPesertaKemenkeu!$AY$6:$AY$1005="Direkomendasikan",ROW($6:$1005)-5),306)+5)),INDEX(checklistPesertaKemenkeu!$M$6:$M$1005,SMALL(IF(checklistPesertaKemenkeu!$AY$6:$AY$1005="Direkomendasikan",ROW($6:$1005)-5),306)))=1),IFERROR(VLOOKUP(INDEX(checklistPesertaKemenkeu!$M$6:$M$1005,SMALL(IF(checklistPesertaKemenkeu!$AY$6:$AY$1005="Direkomendasikan",ROW($6:$1005)-5),306)),KotaKode,2,0),"-"),"")),"")</f>
        <v/>
      </c>
      <c r="J307" t="str">
        <f t="array" aca="1" ref="J307" ca="1">IFERROR(IF(OR(INDEX(checklistPesertaKemenkeu!$N$6:$N$1005,SMALL(IF(checklistPesertaKemenkeu!$AY$6:$AY$1005="Direkomendasikan",ROW($6:$1005)-5),306))="",INDEX(checklistPesertaKemenkeu!$J$6:$J$1005,SMALL(IF(checklistPesertaKemenkeu!$AY$6:$AY$1005="Direkomendasikan",ROW($6:$1005)-5),306))=""),"",IF(AND(COUNTIF(INDIRECT("K_"&amp;MATCH(INDEX(checklistPesertaKemenkeu!$J$6:$J$1005,SMALL(IF(checklistPesertaKemenkeu!$AY$6:$AY$1005="Direkomendasikan",ROW($6:$1005)-5),306)),BidangList,0)),INDEX(checklistPesertaKemenkeu!$N$6:$N$1005,SMALL(IF(checklistPesertaKemenkeu!$AY$6:$AY$1005="Direkomendasikan",ROW($6:$1005)-5),306)))&gt;0,COUNTIF(INDIRECT("'KERTAS KERJA'!K"&amp;(SMALL(IF(checklistPesertaKemenkeu!$AY$6:$AY$1005="Direkomendasikan",ROW($6:$1005)-5),306)+5)&amp;":O"&amp;(SMALL(IF(checklistPesertaKemenkeu!$AY$6:$AY$1005="Direkomendasikan",ROW($6:$1005)-5),306)+5)),INDEX(checklistPesertaKemenkeu!$N$6:$N$1005,SMALL(IF(checklistPesertaKemenkeu!$AY$6:$AY$1005="Direkomendasikan",ROW($6:$1005)-5),306)))=1),IFERROR(VLOOKUP(INDEX(checklistPesertaKemenkeu!$N$6:$N$1005,SMALL(IF(checklistPesertaKemenkeu!$AY$6:$AY$1005="Direkomendasikan",ROW($6:$1005)-5),306)),KotaKode,2,0),"-"),"")),"")</f>
        <v/>
      </c>
      <c r="K307" t="str">
        <f t="array" aca="1" ref="K307" ca="1">IFERROR(IF(OR(INDEX(checklistPesertaKemenkeu!$O$6:$O$1005,SMALL(IF(checklistPesertaKemenkeu!$AY$6:$AY$1005="Direkomendasikan",ROW($6:$1005)-5),306))="",INDEX(checklistPesertaKemenkeu!$J$6:$J$1005,SMALL(IF(checklistPesertaKemenkeu!$AY$6:$AY$1005="Direkomendasikan",ROW($6:$1005)-5),306))=""),"",IF(AND(COUNTIF(INDIRECT("K_"&amp;MATCH(INDEX(checklistPesertaKemenkeu!$J$6:$J$1005,SMALL(IF(checklistPesertaKemenkeu!$AY$6:$AY$1005="Direkomendasikan",ROW($6:$1005)-5),306)),BidangList,0)),INDEX(checklistPesertaKemenkeu!$O$6:$O$1005,SMALL(IF(checklistPesertaKemenkeu!$AY$6:$AY$1005="Direkomendasikan",ROW($6:$1005)-5),306)))&gt;0,COUNTIF(INDIRECT("'KERTAS KERJA'!K"&amp;(SMALL(IF(checklistPesertaKemenkeu!$AY$6:$AY$1005="Direkomendasikan",ROW($6:$1005)-5),306)+5)&amp;":O"&amp;(SMALL(IF(checklistPesertaKemenkeu!$AY$6:$AY$1005="Direkomendasikan",ROW($6:$1005)-5),306)+5)),INDEX(checklistPesertaKemenkeu!$O$6:$O$1005,SMALL(IF(checklistPesertaKemenkeu!$AY$6:$AY$1005="Direkomendasikan",ROW($6:$1005)-5),306)))=1),IFERROR(VLOOKUP(INDEX(checklistPesertaKemenkeu!$O$6:$O$1005,SMALL(IF(checklistPesertaKemenkeu!$AY$6:$AY$1005="Direkomendasikan",ROW($6:$1005)-5),306)),KotaKode,2,0),"-"),"")),"")</f>
        <v/>
      </c>
      <c r="L307" t="str">
        <f t="array" aca="1" ref="L307" ca="1">IFERROR(IF(OR(INDEX(checklistPesertaKemenkeu!$P$6:$P$1005,SMALL(IF(checklistPesertaKemenkeu!$AY$6:$AY$1005="Direkomendasikan",ROW($6:$1005)-5),306))="",INDEX(checklistPesertaKemenkeu!$J$6:$J$1005,SMALL(IF(checklistPesertaKemenkeu!$AY$6:$AY$1005="Direkomendasikan",ROW($6:$1005)-5),306))=""),"",IF(AND(COUNTIF(INDIRECT("K_"&amp;MATCH(INDEX(checklistPesertaKemenkeu!$J$6:$J$1005,SMALL(IF(checklistPesertaKemenkeu!$AY$6:$AY$1005="Direkomendasikan",ROW($6:$1005)-5),306)),BidangList,0)),INDEX(checklistPesertaKemenkeu!$P$6:$P$1005,SMALL(IF(checklistPesertaKemenkeu!$AY$6:$AY$1005="Direkomendasikan",ROW($6:$1005)-5),306)))&gt;0,COUNTIF(INDIRECT("'KERTAS KERJA'!K"&amp;(SMALL(IF(checklistPesertaKemenkeu!$AY$6:$AY$1005="Direkomendasikan",ROW($6:$1005)-5),306)+5)&amp;":O"&amp;(SMALL(IF(checklistPesertaKemenkeu!$AY$6:$AY$1005="Direkomendasikan",ROW($6:$1005)-5),306)+5)),INDEX(checklistPesertaKemenkeu!$P$6:$P$1005,SMALL(IF(checklistPesertaKemenkeu!$AY$6:$AY$1005="Direkomendasikan",ROW($6:$1005)-5),306)))=1),IFERROR(VLOOKUP(INDEX(checklistPesertaKemenkeu!$P$6:$P$1005,SMALL(IF(checklistPesertaKemenkeu!$AY$6:$AY$1005="Direkomendasikan",ROW($6:$1005)-5),306)),KotaKode,2,0),"-"),"")),"")</f>
        <v/>
      </c>
    </row>
    <row r="308" spans="1:12" ht="15" customHeight="1" x14ac:dyDescent="0.2">
      <c r="A308" t="str">
        <f t="shared" si="4"/>
        <v/>
      </c>
      <c r="B308" t="str">
        <v/>
      </c>
      <c r="C308" s="40" t="str">
        <f t="array" ref="C308">IFERROR(INDEX(checklistPesertaKemenkeu!$F$6:$F$1005,SMALL(IF(checklistPesertaKemenkeu!$AY$6:$AY$1005="Direkomendasikan",ROW($6:$1005)-5),307)),"")</f>
        <v/>
      </c>
      <c r="D308" t="str">
        <f t="array" ref="D308">IFERROR(INDEX(checklistPesertaKemenkeu!$G$6:$G$1005,SMALL(IF(checklistPesertaKemenkeu!$AY$6:$AY$1005="Direkomendasikan",ROW($6:$1005)-5),307)),"")</f>
        <v/>
      </c>
      <c r="E308" t="str">
        <f t="array" ref="E308">IFERROR(INDEX(checklistPesertaKemenkeu!$H$6:$H$1005,SMALL(IF(checklistPesertaKemenkeu!$AY$6:$AY$1005="Direkomendasikan",ROW($6:$1005)-5),307)),"")</f>
        <v/>
      </c>
      <c r="F308" t="str">
        <f t="array" ref="F308">IFERROR(INDEX(checklistPesertaKemenkeu!$I$6:$I$1005,SMALL(IF(checklistPesertaKemenkeu!$AY$6:$AY$1005="Direkomendasikan",ROW($6:$1005)-5),307)),"")</f>
        <v/>
      </c>
      <c r="G308" t="str">
        <f t="array" ref="G308">IFERROR(INDEX(checklistPesertaKemenkeu!$J$6:$J$1005,SMALL(IF(checklistPesertaKemenkeu!$AY$6:$AY$1005="Direkomendasikan",ROW($6:$1005)-5),307)),"")</f>
        <v/>
      </c>
      <c r="H308" t="str">
        <f t="array" aca="1" ref="H308" ca="1">IFERROR(IF(OR(INDEX(checklistPesertaKemenkeu!$L$6:$L$1005,SMALL(IF(checklistPesertaKemenkeu!$AY$6:$AY$1005="Direkomendasikan",ROW($6:$1005)-5),307))="",INDEX(checklistPesertaKemenkeu!$J$6:$J$1005,SMALL(IF(checklistPesertaKemenkeu!$AY$6:$AY$1005="Direkomendasikan",ROW($6:$1005)-5),307))=""),"",IF(AND(COUNTIF(INDIRECT("K_"&amp;MATCH(INDEX(checklistPesertaKemenkeu!$J$6:$J$1005,SMALL(IF(checklistPesertaKemenkeu!$AY$6:$AY$1005="Direkomendasikan",ROW($6:$1005)-5),307)),BidangList,0)),INDEX(checklistPesertaKemenkeu!$L$6:$L$1005,SMALL(IF(checklistPesertaKemenkeu!$AY$6:$AY$1005="Direkomendasikan",ROW($6:$1005)-5),307)))&gt;0,COUNTIF(INDIRECT("'KERTAS KERJA'!K"&amp;(SMALL(IF(checklistPesertaKemenkeu!$AY$6:$AY$1005="Direkomendasikan",ROW($6:$1005)-5),307)+5)&amp;":O"&amp;(SMALL(IF(checklistPesertaKemenkeu!$AY$6:$AY$1005="Direkomendasikan",ROW($6:$1005)-5),307)+5)),INDEX(checklistPesertaKemenkeu!$L$6:$L$1005,SMALL(IF(checklistPesertaKemenkeu!$AY$6:$AY$1005="Direkomendasikan",ROW($6:$1005)-5),307)))=1),IFERROR(VLOOKUP(INDEX(checklistPesertaKemenkeu!$L$6:$L$1005,SMALL(IF(checklistPesertaKemenkeu!$AY$6:$AY$1005="Direkomendasikan",ROW($6:$1005)-5),307)),KotaKode,2,0),"-"),"")),"")</f>
        <v/>
      </c>
      <c r="I308" t="str">
        <f t="array" aca="1" ref="I308" ca="1">IFERROR(IF(OR(INDEX(checklistPesertaKemenkeu!$M$6:$M$1005,SMALL(IF(checklistPesertaKemenkeu!$AY$6:$AY$1005="Direkomendasikan",ROW($6:$1005)-5),307))="",INDEX(checklistPesertaKemenkeu!$J$6:$J$1005,SMALL(IF(checklistPesertaKemenkeu!$AY$6:$AY$1005="Direkomendasikan",ROW($6:$1005)-5),307))=""),"",IF(AND(COUNTIF(INDIRECT("K_"&amp;MATCH(INDEX(checklistPesertaKemenkeu!$J$6:$J$1005,SMALL(IF(checklistPesertaKemenkeu!$AY$6:$AY$1005="Direkomendasikan",ROW($6:$1005)-5),307)),BidangList,0)),INDEX(checklistPesertaKemenkeu!$M$6:$M$1005,SMALL(IF(checklistPesertaKemenkeu!$AY$6:$AY$1005="Direkomendasikan",ROW($6:$1005)-5),307)))&gt;0,COUNTIF(INDIRECT("'KERTAS KERJA'!K"&amp;(SMALL(IF(checklistPesertaKemenkeu!$AY$6:$AY$1005="Direkomendasikan",ROW($6:$1005)-5),307)+5)&amp;":O"&amp;(SMALL(IF(checklistPesertaKemenkeu!$AY$6:$AY$1005="Direkomendasikan",ROW($6:$1005)-5),307)+5)),INDEX(checklistPesertaKemenkeu!$M$6:$M$1005,SMALL(IF(checklistPesertaKemenkeu!$AY$6:$AY$1005="Direkomendasikan",ROW($6:$1005)-5),307)))=1),IFERROR(VLOOKUP(INDEX(checklistPesertaKemenkeu!$M$6:$M$1005,SMALL(IF(checklistPesertaKemenkeu!$AY$6:$AY$1005="Direkomendasikan",ROW($6:$1005)-5),307)),KotaKode,2,0),"-"),"")),"")</f>
        <v/>
      </c>
      <c r="J308" t="str">
        <f t="array" aca="1" ref="J308" ca="1">IFERROR(IF(OR(INDEX(checklistPesertaKemenkeu!$N$6:$N$1005,SMALL(IF(checklistPesertaKemenkeu!$AY$6:$AY$1005="Direkomendasikan",ROW($6:$1005)-5),307))="",INDEX(checklistPesertaKemenkeu!$J$6:$J$1005,SMALL(IF(checklistPesertaKemenkeu!$AY$6:$AY$1005="Direkomendasikan",ROW($6:$1005)-5),307))=""),"",IF(AND(COUNTIF(INDIRECT("K_"&amp;MATCH(INDEX(checklistPesertaKemenkeu!$J$6:$J$1005,SMALL(IF(checklistPesertaKemenkeu!$AY$6:$AY$1005="Direkomendasikan",ROW($6:$1005)-5),307)),BidangList,0)),INDEX(checklistPesertaKemenkeu!$N$6:$N$1005,SMALL(IF(checklistPesertaKemenkeu!$AY$6:$AY$1005="Direkomendasikan",ROW($6:$1005)-5),307)))&gt;0,COUNTIF(INDIRECT("'KERTAS KERJA'!K"&amp;(SMALL(IF(checklistPesertaKemenkeu!$AY$6:$AY$1005="Direkomendasikan",ROW($6:$1005)-5),307)+5)&amp;":O"&amp;(SMALL(IF(checklistPesertaKemenkeu!$AY$6:$AY$1005="Direkomendasikan",ROW($6:$1005)-5),307)+5)),INDEX(checklistPesertaKemenkeu!$N$6:$N$1005,SMALL(IF(checklistPesertaKemenkeu!$AY$6:$AY$1005="Direkomendasikan",ROW($6:$1005)-5),307)))=1),IFERROR(VLOOKUP(INDEX(checklistPesertaKemenkeu!$N$6:$N$1005,SMALL(IF(checklistPesertaKemenkeu!$AY$6:$AY$1005="Direkomendasikan",ROW($6:$1005)-5),307)),KotaKode,2,0),"-"),"")),"")</f>
        <v/>
      </c>
      <c r="K308" t="str">
        <f t="array" aca="1" ref="K308" ca="1">IFERROR(IF(OR(INDEX(checklistPesertaKemenkeu!$O$6:$O$1005,SMALL(IF(checklistPesertaKemenkeu!$AY$6:$AY$1005="Direkomendasikan",ROW($6:$1005)-5),307))="",INDEX(checklistPesertaKemenkeu!$J$6:$J$1005,SMALL(IF(checklistPesertaKemenkeu!$AY$6:$AY$1005="Direkomendasikan",ROW($6:$1005)-5),307))=""),"",IF(AND(COUNTIF(INDIRECT("K_"&amp;MATCH(INDEX(checklistPesertaKemenkeu!$J$6:$J$1005,SMALL(IF(checklistPesertaKemenkeu!$AY$6:$AY$1005="Direkomendasikan",ROW($6:$1005)-5),307)),BidangList,0)),INDEX(checklistPesertaKemenkeu!$O$6:$O$1005,SMALL(IF(checklistPesertaKemenkeu!$AY$6:$AY$1005="Direkomendasikan",ROW($6:$1005)-5),307)))&gt;0,COUNTIF(INDIRECT("'KERTAS KERJA'!K"&amp;(SMALL(IF(checklistPesertaKemenkeu!$AY$6:$AY$1005="Direkomendasikan",ROW($6:$1005)-5),307)+5)&amp;":O"&amp;(SMALL(IF(checklistPesertaKemenkeu!$AY$6:$AY$1005="Direkomendasikan",ROW($6:$1005)-5),307)+5)),INDEX(checklistPesertaKemenkeu!$O$6:$O$1005,SMALL(IF(checklistPesertaKemenkeu!$AY$6:$AY$1005="Direkomendasikan",ROW($6:$1005)-5),307)))=1),IFERROR(VLOOKUP(INDEX(checklistPesertaKemenkeu!$O$6:$O$1005,SMALL(IF(checklistPesertaKemenkeu!$AY$6:$AY$1005="Direkomendasikan",ROW($6:$1005)-5),307)),KotaKode,2,0),"-"),"")),"")</f>
        <v/>
      </c>
      <c r="L308" t="str">
        <f t="array" aca="1" ref="L308" ca="1">IFERROR(IF(OR(INDEX(checklistPesertaKemenkeu!$P$6:$P$1005,SMALL(IF(checklistPesertaKemenkeu!$AY$6:$AY$1005="Direkomendasikan",ROW($6:$1005)-5),307))="",INDEX(checklistPesertaKemenkeu!$J$6:$J$1005,SMALL(IF(checklistPesertaKemenkeu!$AY$6:$AY$1005="Direkomendasikan",ROW($6:$1005)-5),307))=""),"",IF(AND(COUNTIF(INDIRECT("K_"&amp;MATCH(INDEX(checklistPesertaKemenkeu!$J$6:$J$1005,SMALL(IF(checklistPesertaKemenkeu!$AY$6:$AY$1005="Direkomendasikan",ROW($6:$1005)-5),307)),BidangList,0)),INDEX(checklistPesertaKemenkeu!$P$6:$P$1005,SMALL(IF(checklistPesertaKemenkeu!$AY$6:$AY$1005="Direkomendasikan",ROW($6:$1005)-5),307)))&gt;0,COUNTIF(INDIRECT("'KERTAS KERJA'!K"&amp;(SMALL(IF(checklistPesertaKemenkeu!$AY$6:$AY$1005="Direkomendasikan",ROW($6:$1005)-5),307)+5)&amp;":O"&amp;(SMALL(IF(checklistPesertaKemenkeu!$AY$6:$AY$1005="Direkomendasikan",ROW($6:$1005)-5),307)+5)),INDEX(checklistPesertaKemenkeu!$P$6:$P$1005,SMALL(IF(checklistPesertaKemenkeu!$AY$6:$AY$1005="Direkomendasikan",ROW($6:$1005)-5),307)))=1),IFERROR(VLOOKUP(INDEX(checklistPesertaKemenkeu!$P$6:$P$1005,SMALL(IF(checklistPesertaKemenkeu!$AY$6:$AY$1005="Direkomendasikan",ROW($6:$1005)-5),307)),KotaKode,2,0),"-"),"")),"")</f>
        <v/>
      </c>
    </row>
    <row r="309" spans="1:12" ht="15" customHeight="1" x14ac:dyDescent="0.2">
      <c r="A309" t="str">
        <f t="shared" si="4"/>
        <v/>
      </c>
      <c r="B309" t="str">
        <v/>
      </c>
      <c r="C309" s="40" t="str">
        <f t="array" ref="C309">IFERROR(INDEX(checklistPesertaKemenkeu!$F$6:$F$1005,SMALL(IF(checklistPesertaKemenkeu!$AY$6:$AY$1005="Direkomendasikan",ROW($6:$1005)-5),308)),"")</f>
        <v/>
      </c>
      <c r="D309" t="str">
        <f t="array" ref="D309">IFERROR(INDEX(checklistPesertaKemenkeu!$G$6:$G$1005,SMALL(IF(checklistPesertaKemenkeu!$AY$6:$AY$1005="Direkomendasikan",ROW($6:$1005)-5),308)),"")</f>
        <v/>
      </c>
      <c r="E309" t="str">
        <f t="array" ref="E309">IFERROR(INDEX(checklistPesertaKemenkeu!$H$6:$H$1005,SMALL(IF(checklistPesertaKemenkeu!$AY$6:$AY$1005="Direkomendasikan",ROW($6:$1005)-5),308)),"")</f>
        <v/>
      </c>
      <c r="F309" t="str">
        <f t="array" ref="F309">IFERROR(INDEX(checklistPesertaKemenkeu!$I$6:$I$1005,SMALL(IF(checklistPesertaKemenkeu!$AY$6:$AY$1005="Direkomendasikan",ROW($6:$1005)-5),308)),"")</f>
        <v/>
      </c>
      <c r="G309" t="str">
        <f t="array" ref="G309">IFERROR(INDEX(checklistPesertaKemenkeu!$J$6:$J$1005,SMALL(IF(checklistPesertaKemenkeu!$AY$6:$AY$1005="Direkomendasikan",ROW($6:$1005)-5),308)),"")</f>
        <v/>
      </c>
      <c r="H309" t="str">
        <f t="array" aca="1" ref="H309" ca="1">IFERROR(IF(OR(INDEX(checklistPesertaKemenkeu!$L$6:$L$1005,SMALL(IF(checklistPesertaKemenkeu!$AY$6:$AY$1005="Direkomendasikan",ROW($6:$1005)-5),308))="",INDEX(checklistPesertaKemenkeu!$J$6:$J$1005,SMALL(IF(checklistPesertaKemenkeu!$AY$6:$AY$1005="Direkomendasikan",ROW($6:$1005)-5),308))=""),"",IF(AND(COUNTIF(INDIRECT("K_"&amp;MATCH(INDEX(checklistPesertaKemenkeu!$J$6:$J$1005,SMALL(IF(checklistPesertaKemenkeu!$AY$6:$AY$1005="Direkomendasikan",ROW($6:$1005)-5),308)),BidangList,0)),INDEX(checklistPesertaKemenkeu!$L$6:$L$1005,SMALL(IF(checklistPesertaKemenkeu!$AY$6:$AY$1005="Direkomendasikan",ROW($6:$1005)-5),308)))&gt;0,COUNTIF(INDIRECT("'KERTAS KERJA'!K"&amp;(SMALL(IF(checklistPesertaKemenkeu!$AY$6:$AY$1005="Direkomendasikan",ROW($6:$1005)-5),308)+5)&amp;":O"&amp;(SMALL(IF(checklistPesertaKemenkeu!$AY$6:$AY$1005="Direkomendasikan",ROW($6:$1005)-5),308)+5)),INDEX(checklistPesertaKemenkeu!$L$6:$L$1005,SMALL(IF(checklistPesertaKemenkeu!$AY$6:$AY$1005="Direkomendasikan",ROW($6:$1005)-5),308)))=1),IFERROR(VLOOKUP(INDEX(checklistPesertaKemenkeu!$L$6:$L$1005,SMALL(IF(checklistPesertaKemenkeu!$AY$6:$AY$1005="Direkomendasikan",ROW($6:$1005)-5),308)),KotaKode,2,0),"-"),"")),"")</f>
        <v/>
      </c>
      <c r="I309" t="str">
        <f t="array" aca="1" ref="I309" ca="1">IFERROR(IF(OR(INDEX(checklistPesertaKemenkeu!$M$6:$M$1005,SMALL(IF(checklistPesertaKemenkeu!$AY$6:$AY$1005="Direkomendasikan",ROW($6:$1005)-5),308))="",INDEX(checklistPesertaKemenkeu!$J$6:$J$1005,SMALL(IF(checklistPesertaKemenkeu!$AY$6:$AY$1005="Direkomendasikan",ROW($6:$1005)-5),308))=""),"",IF(AND(COUNTIF(INDIRECT("K_"&amp;MATCH(INDEX(checklistPesertaKemenkeu!$J$6:$J$1005,SMALL(IF(checklistPesertaKemenkeu!$AY$6:$AY$1005="Direkomendasikan",ROW($6:$1005)-5),308)),BidangList,0)),INDEX(checklistPesertaKemenkeu!$M$6:$M$1005,SMALL(IF(checklistPesertaKemenkeu!$AY$6:$AY$1005="Direkomendasikan",ROW($6:$1005)-5),308)))&gt;0,COUNTIF(INDIRECT("'KERTAS KERJA'!K"&amp;(SMALL(IF(checklistPesertaKemenkeu!$AY$6:$AY$1005="Direkomendasikan",ROW($6:$1005)-5),308)+5)&amp;":O"&amp;(SMALL(IF(checklistPesertaKemenkeu!$AY$6:$AY$1005="Direkomendasikan",ROW($6:$1005)-5),308)+5)),INDEX(checklistPesertaKemenkeu!$M$6:$M$1005,SMALL(IF(checklistPesertaKemenkeu!$AY$6:$AY$1005="Direkomendasikan",ROW($6:$1005)-5),308)))=1),IFERROR(VLOOKUP(INDEX(checklistPesertaKemenkeu!$M$6:$M$1005,SMALL(IF(checklistPesertaKemenkeu!$AY$6:$AY$1005="Direkomendasikan",ROW($6:$1005)-5),308)),KotaKode,2,0),"-"),"")),"")</f>
        <v/>
      </c>
      <c r="J309" t="str">
        <f t="array" aca="1" ref="J309" ca="1">IFERROR(IF(OR(INDEX(checklistPesertaKemenkeu!$N$6:$N$1005,SMALL(IF(checklistPesertaKemenkeu!$AY$6:$AY$1005="Direkomendasikan",ROW($6:$1005)-5),308))="",INDEX(checklistPesertaKemenkeu!$J$6:$J$1005,SMALL(IF(checklistPesertaKemenkeu!$AY$6:$AY$1005="Direkomendasikan",ROW($6:$1005)-5),308))=""),"",IF(AND(COUNTIF(INDIRECT("K_"&amp;MATCH(INDEX(checklistPesertaKemenkeu!$J$6:$J$1005,SMALL(IF(checklistPesertaKemenkeu!$AY$6:$AY$1005="Direkomendasikan",ROW($6:$1005)-5),308)),BidangList,0)),INDEX(checklistPesertaKemenkeu!$N$6:$N$1005,SMALL(IF(checklistPesertaKemenkeu!$AY$6:$AY$1005="Direkomendasikan",ROW($6:$1005)-5),308)))&gt;0,COUNTIF(INDIRECT("'KERTAS KERJA'!K"&amp;(SMALL(IF(checklistPesertaKemenkeu!$AY$6:$AY$1005="Direkomendasikan",ROW($6:$1005)-5),308)+5)&amp;":O"&amp;(SMALL(IF(checklistPesertaKemenkeu!$AY$6:$AY$1005="Direkomendasikan",ROW($6:$1005)-5),308)+5)),INDEX(checklistPesertaKemenkeu!$N$6:$N$1005,SMALL(IF(checklistPesertaKemenkeu!$AY$6:$AY$1005="Direkomendasikan",ROW($6:$1005)-5),308)))=1),IFERROR(VLOOKUP(INDEX(checklistPesertaKemenkeu!$N$6:$N$1005,SMALL(IF(checklistPesertaKemenkeu!$AY$6:$AY$1005="Direkomendasikan",ROW($6:$1005)-5),308)),KotaKode,2,0),"-"),"")),"")</f>
        <v/>
      </c>
      <c r="K309" t="str">
        <f t="array" aca="1" ref="K309" ca="1">IFERROR(IF(OR(INDEX(checklistPesertaKemenkeu!$O$6:$O$1005,SMALL(IF(checklistPesertaKemenkeu!$AY$6:$AY$1005="Direkomendasikan",ROW($6:$1005)-5),308))="",INDEX(checklistPesertaKemenkeu!$J$6:$J$1005,SMALL(IF(checklistPesertaKemenkeu!$AY$6:$AY$1005="Direkomendasikan",ROW($6:$1005)-5),308))=""),"",IF(AND(COUNTIF(INDIRECT("K_"&amp;MATCH(INDEX(checklistPesertaKemenkeu!$J$6:$J$1005,SMALL(IF(checklistPesertaKemenkeu!$AY$6:$AY$1005="Direkomendasikan",ROW($6:$1005)-5),308)),BidangList,0)),INDEX(checklistPesertaKemenkeu!$O$6:$O$1005,SMALL(IF(checklistPesertaKemenkeu!$AY$6:$AY$1005="Direkomendasikan",ROW($6:$1005)-5),308)))&gt;0,COUNTIF(INDIRECT("'KERTAS KERJA'!K"&amp;(SMALL(IF(checklistPesertaKemenkeu!$AY$6:$AY$1005="Direkomendasikan",ROW($6:$1005)-5),308)+5)&amp;":O"&amp;(SMALL(IF(checklistPesertaKemenkeu!$AY$6:$AY$1005="Direkomendasikan",ROW($6:$1005)-5),308)+5)),INDEX(checklistPesertaKemenkeu!$O$6:$O$1005,SMALL(IF(checklistPesertaKemenkeu!$AY$6:$AY$1005="Direkomendasikan",ROW($6:$1005)-5),308)))=1),IFERROR(VLOOKUP(INDEX(checklistPesertaKemenkeu!$O$6:$O$1005,SMALL(IF(checklistPesertaKemenkeu!$AY$6:$AY$1005="Direkomendasikan",ROW($6:$1005)-5),308)),KotaKode,2,0),"-"),"")),"")</f>
        <v/>
      </c>
      <c r="L309" t="str">
        <f t="array" aca="1" ref="L309" ca="1">IFERROR(IF(OR(INDEX(checklistPesertaKemenkeu!$P$6:$P$1005,SMALL(IF(checklistPesertaKemenkeu!$AY$6:$AY$1005="Direkomendasikan",ROW($6:$1005)-5),308))="",INDEX(checklistPesertaKemenkeu!$J$6:$J$1005,SMALL(IF(checklistPesertaKemenkeu!$AY$6:$AY$1005="Direkomendasikan",ROW($6:$1005)-5),308))=""),"",IF(AND(COUNTIF(INDIRECT("K_"&amp;MATCH(INDEX(checklistPesertaKemenkeu!$J$6:$J$1005,SMALL(IF(checklistPesertaKemenkeu!$AY$6:$AY$1005="Direkomendasikan",ROW($6:$1005)-5),308)),BidangList,0)),INDEX(checklistPesertaKemenkeu!$P$6:$P$1005,SMALL(IF(checklistPesertaKemenkeu!$AY$6:$AY$1005="Direkomendasikan",ROW($6:$1005)-5),308)))&gt;0,COUNTIF(INDIRECT("'KERTAS KERJA'!K"&amp;(SMALL(IF(checklistPesertaKemenkeu!$AY$6:$AY$1005="Direkomendasikan",ROW($6:$1005)-5),308)+5)&amp;":O"&amp;(SMALL(IF(checklistPesertaKemenkeu!$AY$6:$AY$1005="Direkomendasikan",ROW($6:$1005)-5),308)+5)),INDEX(checklistPesertaKemenkeu!$P$6:$P$1005,SMALL(IF(checklistPesertaKemenkeu!$AY$6:$AY$1005="Direkomendasikan",ROW($6:$1005)-5),308)))=1),IFERROR(VLOOKUP(INDEX(checklistPesertaKemenkeu!$P$6:$P$1005,SMALL(IF(checklistPesertaKemenkeu!$AY$6:$AY$1005="Direkomendasikan",ROW($6:$1005)-5),308)),KotaKode,2,0),"-"),"")),"")</f>
        <v/>
      </c>
    </row>
    <row r="310" spans="1:12" ht="15" customHeight="1" x14ac:dyDescent="0.2">
      <c r="A310" t="str">
        <f t="shared" si="4"/>
        <v/>
      </c>
      <c r="B310" t="str">
        <v/>
      </c>
      <c r="C310" s="40" t="str">
        <f t="array" ref="C310">IFERROR(INDEX(checklistPesertaKemenkeu!$F$6:$F$1005,SMALL(IF(checklistPesertaKemenkeu!$AY$6:$AY$1005="Direkomendasikan",ROW($6:$1005)-5),309)),"")</f>
        <v/>
      </c>
      <c r="D310" t="str">
        <f t="array" ref="D310">IFERROR(INDEX(checklistPesertaKemenkeu!$G$6:$G$1005,SMALL(IF(checklistPesertaKemenkeu!$AY$6:$AY$1005="Direkomendasikan",ROW($6:$1005)-5),309)),"")</f>
        <v/>
      </c>
      <c r="E310" t="str">
        <f t="array" ref="E310">IFERROR(INDEX(checklistPesertaKemenkeu!$H$6:$H$1005,SMALL(IF(checklistPesertaKemenkeu!$AY$6:$AY$1005="Direkomendasikan",ROW($6:$1005)-5),309)),"")</f>
        <v/>
      </c>
      <c r="F310" t="str">
        <f t="array" ref="F310">IFERROR(INDEX(checklistPesertaKemenkeu!$I$6:$I$1005,SMALL(IF(checklistPesertaKemenkeu!$AY$6:$AY$1005="Direkomendasikan",ROW($6:$1005)-5),309)),"")</f>
        <v/>
      </c>
      <c r="G310" t="str">
        <f t="array" ref="G310">IFERROR(INDEX(checklistPesertaKemenkeu!$J$6:$J$1005,SMALL(IF(checklistPesertaKemenkeu!$AY$6:$AY$1005="Direkomendasikan",ROW($6:$1005)-5),309)),"")</f>
        <v/>
      </c>
      <c r="H310" t="str">
        <f t="array" aca="1" ref="H310" ca="1">IFERROR(IF(OR(INDEX(checklistPesertaKemenkeu!$L$6:$L$1005,SMALL(IF(checklistPesertaKemenkeu!$AY$6:$AY$1005="Direkomendasikan",ROW($6:$1005)-5),309))="",INDEX(checklistPesertaKemenkeu!$J$6:$J$1005,SMALL(IF(checklistPesertaKemenkeu!$AY$6:$AY$1005="Direkomendasikan",ROW($6:$1005)-5),309))=""),"",IF(AND(COUNTIF(INDIRECT("K_"&amp;MATCH(INDEX(checklistPesertaKemenkeu!$J$6:$J$1005,SMALL(IF(checklistPesertaKemenkeu!$AY$6:$AY$1005="Direkomendasikan",ROW($6:$1005)-5),309)),BidangList,0)),INDEX(checklistPesertaKemenkeu!$L$6:$L$1005,SMALL(IF(checklistPesertaKemenkeu!$AY$6:$AY$1005="Direkomendasikan",ROW($6:$1005)-5),309)))&gt;0,COUNTIF(INDIRECT("'KERTAS KERJA'!K"&amp;(SMALL(IF(checklistPesertaKemenkeu!$AY$6:$AY$1005="Direkomendasikan",ROW($6:$1005)-5),309)+5)&amp;":O"&amp;(SMALL(IF(checklistPesertaKemenkeu!$AY$6:$AY$1005="Direkomendasikan",ROW($6:$1005)-5),309)+5)),INDEX(checklistPesertaKemenkeu!$L$6:$L$1005,SMALL(IF(checklistPesertaKemenkeu!$AY$6:$AY$1005="Direkomendasikan",ROW($6:$1005)-5),309)))=1),IFERROR(VLOOKUP(INDEX(checklistPesertaKemenkeu!$L$6:$L$1005,SMALL(IF(checklistPesertaKemenkeu!$AY$6:$AY$1005="Direkomendasikan",ROW($6:$1005)-5),309)),KotaKode,2,0),"-"),"")),"")</f>
        <v/>
      </c>
      <c r="I310" t="str">
        <f t="array" aca="1" ref="I310" ca="1">IFERROR(IF(OR(INDEX(checklistPesertaKemenkeu!$M$6:$M$1005,SMALL(IF(checklistPesertaKemenkeu!$AY$6:$AY$1005="Direkomendasikan",ROW($6:$1005)-5),309))="",INDEX(checklistPesertaKemenkeu!$J$6:$J$1005,SMALL(IF(checklistPesertaKemenkeu!$AY$6:$AY$1005="Direkomendasikan",ROW($6:$1005)-5),309))=""),"",IF(AND(COUNTIF(INDIRECT("K_"&amp;MATCH(INDEX(checklistPesertaKemenkeu!$J$6:$J$1005,SMALL(IF(checklistPesertaKemenkeu!$AY$6:$AY$1005="Direkomendasikan",ROW($6:$1005)-5),309)),BidangList,0)),INDEX(checklistPesertaKemenkeu!$M$6:$M$1005,SMALL(IF(checklistPesertaKemenkeu!$AY$6:$AY$1005="Direkomendasikan",ROW($6:$1005)-5),309)))&gt;0,COUNTIF(INDIRECT("'KERTAS KERJA'!K"&amp;(SMALL(IF(checklistPesertaKemenkeu!$AY$6:$AY$1005="Direkomendasikan",ROW($6:$1005)-5),309)+5)&amp;":O"&amp;(SMALL(IF(checklistPesertaKemenkeu!$AY$6:$AY$1005="Direkomendasikan",ROW($6:$1005)-5),309)+5)),INDEX(checklistPesertaKemenkeu!$M$6:$M$1005,SMALL(IF(checklistPesertaKemenkeu!$AY$6:$AY$1005="Direkomendasikan",ROW($6:$1005)-5),309)))=1),IFERROR(VLOOKUP(INDEX(checklistPesertaKemenkeu!$M$6:$M$1005,SMALL(IF(checklistPesertaKemenkeu!$AY$6:$AY$1005="Direkomendasikan",ROW($6:$1005)-5),309)),KotaKode,2,0),"-"),"")),"")</f>
        <v/>
      </c>
      <c r="J310" t="str">
        <f t="array" aca="1" ref="J310" ca="1">IFERROR(IF(OR(INDEX(checklistPesertaKemenkeu!$N$6:$N$1005,SMALL(IF(checklistPesertaKemenkeu!$AY$6:$AY$1005="Direkomendasikan",ROW($6:$1005)-5),309))="",INDEX(checklistPesertaKemenkeu!$J$6:$J$1005,SMALL(IF(checklistPesertaKemenkeu!$AY$6:$AY$1005="Direkomendasikan",ROW($6:$1005)-5),309))=""),"",IF(AND(COUNTIF(INDIRECT("K_"&amp;MATCH(INDEX(checklistPesertaKemenkeu!$J$6:$J$1005,SMALL(IF(checklistPesertaKemenkeu!$AY$6:$AY$1005="Direkomendasikan",ROW($6:$1005)-5),309)),BidangList,0)),INDEX(checklistPesertaKemenkeu!$N$6:$N$1005,SMALL(IF(checklistPesertaKemenkeu!$AY$6:$AY$1005="Direkomendasikan",ROW($6:$1005)-5),309)))&gt;0,COUNTIF(INDIRECT("'KERTAS KERJA'!K"&amp;(SMALL(IF(checklistPesertaKemenkeu!$AY$6:$AY$1005="Direkomendasikan",ROW($6:$1005)-5),309)+5)&amp;":O"&amp;(SMALL(IF(checklistPesertaKemenkeu!$AY$6:$AY$1005="Direkomendasikan",ROW($6:$1005)-5),309)+5)),INDEX(checklistPesertaKemenkeu!$N$6:$N$1005,SMALL(IF(checklistPesertaKemenkeu!$AY$6:$AY$1005="Direkomendasikan",ROW($6:$1005)-5),309)))=1),IFERROR(VLOOKUP(INDEX(checklistPesertaKemenkeu!$N$6:$N$1005,SMALL(IF(checklistPesertaKemenkeu!$AY$6:$AY$1005="Direkomendasikan",ROW($6:$1005)-5),309)),KotaKode,2,0),"-"),"")),"")</f>
        <v/>
      </c>
      <c r="K310" t="str">
        <f t="array" aca="1" ref="K310" ca="1">IFERROR(IF(OR(INDEX(checklistPesertaKemenkeu!$O$6:$O$1005,SMALL(IF(checklistPesertaKemenkeu!$AY$6:$AY$1005="Direkomendasikan",ROW($6:$1005)-5),309))="",INDEX(checklistPesertaKemenkeu!$J$6:$J$1005,SMALL(IF(checklistPesertaKemenkeu!$AY$6:$AY$1005="Direkomendasikan",ROW($6:$1005)-5),309))=""),"",IF(AND(COUNTIF(INDIRECT("K_"&amp;MATCH(INDEX(checklistPesertaKemenkeu!$J$6:$J$1005,SMALL(IF(checklistPesertaKemenkeu!$AY$6:$AY$1005="Direkomendasikan",ROW($6:$1005)-5),309)),BidangList,0)),INDEX(checklistPesertaKemenkeu!$O$6:$O$1005,SMALL(IF(checklistPesertaKemenkeu!$AY$6:$AY$1005="Direkomendasikan",ROW($6:$1005)-5),309)))&gt;0,COUNTIF(INDIRECT("'KERTAS KERJA'!K"&amp;(SMALL(IF(checklistPesertaKemenkeu!$AY$6:$AY$1005="Direkomendasikan",ROW($6:$1005)-5),309)+5)&amp;":O"&amp;(SMALL(IF(checklistPesertaKemenkeu!$AY$6:$AY$1005="Direkomendasikan",ROW($6:$1005)-5),309)+5)),INDEX(checklistPesertaKemenkeu!$O$6:$O$1005,SMALL(IF(checklistPesertaKemenkeu!$AY$6:$AY$1005="Direkomendasikan",ROW($6:$1005)-5),309)))=1),IFERROR(VLOOKUP(INDEX(checklistPesertaKemenkeu!$O$6:$O$1005,SMALL(IF(checklistPesertaKemenkeu!$AY$6:$AY$1005="Direkomendasikan",ROW($6:$1005)-5),309)),KotaKode,2,0),"-"),"")),"")</f>
        <v/>
      </c>
      <c r="L310" t="str">
        <f t="array" aca="1" ref="L310" ca="1">IFERROR(IF(OR(INDEX(checklistPesertaKemenkeu!$P$6:$P$1005,SMALL(IF(checklistPesertaKemenkeu!$AY$6:$AY$1005="Direkomendasikan",ROW($6:$1005)-5),309))="",INDEX(checklistPesertaKemenkeu!$J$6:$J$1005,SMALL(IF(checklistPesertaKemenkeu!$AY$6:$AY$1005="Direkomendasikan",ROW($6:$1005)-5),309))=""),"",IF(AND(COUNTIF(INDIRECT("K_"&amp;MATCH(INDEX(checklistPesertaKemenkeu!$J$6:$J$1005,SMALL(IF(checklistPesertaKemenkeu!$AY$6:$AY$1005="Direkomendasikan",ROW($6:$1005)-5),309)),BidangList,0)),INDEX(checklistPesertaKemenkeu!$P$6:$P$1005,SMALL(IF(checklistPesertaKemenkeu!$AY$6:$AY$1005="Direkomendasikan",ROW($6:$1005)-5),309)))&gt;0,COUNTIF(INDIRECT("'KERTAS KERJA'!K"&amp;(SMALL(IF(checklistPesertaKemenkeu!$AY$6:$AY$1005="Direkomendasikan",ROW($6:$1005)-5),309)+5)&amp;":O"&amp;(SMALL(IF(checklistPesertaKemenkeu!$AY$6:$AY$1005="Direkomendasikan",ROW($6:$1005)-5),309)+5)),INDEX(checklistPesertaKemenkeu!$P$6:$P$1005,SMALL(IF(checklistPesertaKemenkeu!$AY$6:$AY$1005="Direkomendasikan",ROW($6:$1005)-5),309)))=1),IFERROR(VLOOKUP(INDEX(checklistPesertaKemenkeu!$P$6:$P$1005,SMALL(IF(checklistPesertaKemenkeu!$AY$6:$AY$1005="Direkomendasikan",ROW($6:$1005)-5),309)),KotaKode,2,0),"-"),"")),"")</f>
        <v/>
      </c>
    </row>
    <row r="311" spans="1:12" ht="15" customHeight="1" x14ac:dyDescent="0.2">
      <c r="A311" t="str">
        <f t="shared" si="4"/>
        <v/>
      </c>
      <c r="B311" t="str">
        <v/>
      </c>
      <c r="C311" s="40" t="str">
        <f t="array" ref="C311">IFERROR(INDEX(checklistPesertaKemenkeu!$F$6:$F$1005,SMALL(IF(checklistPesertaKemenkeu!$AY$6:$AY$1005="Direkomendasikan",ROW($6:$1005)-5),310)),"")</f>
        <v/>
      </c>
      <c r="D311" t="str">
        <f t="array" ref="D311">IFERROR(INDEX(checklistPesertaKemenkeu!$G$6:$G$1005,SMALL(IF(checklistPesertaKemenkeu!$AY$6:$AY$1005="Direkomendasikan",ROW($6:$1005)-5),310)),"")</f>
        <v/>
      </c>
      <c r="E311" t="str">
        <f t="array" ref="E311">IFERROR(INDEX(checklistPesertaKemenkeu!$H$6:$H$1005,SMALL(IF(checklistPesertaKemenkeu!$AY$6:$AY$1005="Direkomendasikan",ROW($6:$1005)-5),310)),"")</f>
        <v/>
      </c>
      <c r="F311" t="str">
        <f t="array" ref="F311">IFERROR(INDEX(checklistPesertaKemenkeu!$I$6:$I$1005,SMALL(IF(checklistPesertaKemenkeu!$AY$6:$AY$1005="Direkomendasikan",ROW($6:$1005)-5),310)),"")</f>
        <v/>
      </c>
      <c r="G311" t="str">
        <f t="array" ref="G311">IFERROR(INDEX(checklistPesertaKemenkeu!$J$6:$J$1005,SMALL(IF(checklistPesertaKemenkeu!$AY$6:$AY$1005="Direkomendasikan",ROW($6:$1005)-5),310)),"")</f>
        <v/>
      </c>
      <c r="H311" t="str">
        <f t="array" aca="1" ref="H311" ca="1">IFERROR(IF(OR(INDEX(checklistPesertaKemenkeu!$L$6:$L$1005,SMALL(IF(checklistPesertaKemenkeu!$AY$6:$AY$1005="Direkomendasikan",ROW($6:$1005)-5),310))="",INDEX(checklistPesertaKemenkeu!$J$6:$J$1005,SMALL(IF(checklistPesertaKemenkeu!$AY$6:$AY$1005="Direkomendasikan",ROW($6:$1005)-5),310))=""),"",IF(AND(COUNTIF(INDIRECT("K_"&amp;MATCH(INDEX(checklistPesertaKemenkeu!$J$6:$J$1005,SMALL(IF(checklistPesertaKemenkeu!$AY$6:$AY$1005="Direkomendasikan",ROW($6:$1005)-5),310)),BidangList,0)),INDEX(checklistPesertaKemenkeu!$L$6:$L$1005,SMALL(IF(checklistPesertaKemenkeu!$AY$6:$AY$1005="Direkomendasikan",ROW($6:$1005)-5),310)))&gt;0,COUNTIF(INDIRECT("'KERTAS KERJA'!K"&amp;(SMALL(IF(checklistPesertaKemenkeu!$AY$6:$AY$1005="Direkomendasikan",ROW($6:$1005)-5),310)+5)&amp;":O"&amp;(SMALL(IF(checklistPesertaKemenkeu!$AY$6:$AY$1005="Direkomendasikan",ROW($6:$1005)-5),310)+5)),INDEX(checklistPesertaKemenkeu!$L$6:$L$1005,SMALL(IF(checklistPesertaKemenkeu!$AY$6:$AY$1005="Direkomendasikan",ROW($6:$1005)-5),310)))=1),IFERROR(VLOOKUP(INDEX(checklistPesertaKemenkeu!$L$6:$L$1005,SMALL(IF(checklistPesertaKemenkeu!$AY$6:$AY$1005="Direkomendasikan",ROW($6:$1005)-5),310)),KotaKode,2,0),"-"),"")),"")</f>
        <v/>
      </c>
      <c r="I311" t="str">
        <f t="array" aca="1" ref="I311" ca="1">IFERROR(IF(OR(INDEX(checklistPesertaKemenkeu!$M$6:$M$1005,SMALL(IF(checklistPesertaKemenkeu!$AY$6:$AY$1005="Direkomendasikan",ROW($6:$1005)-5),310))="",INDEX(checklistPesertaKemenkeu!$J$6:$J$1005,SMALL(IF(checklistPesertaKemenkeu!$AY$6:$AY$1005="Direkomendasikan",ROW($6:$1005)-5),310))=""),"",IF(AND(COUNTIF(INDIRECT("K_"&amp;MATCH(INDEX(checklistPesertaKemenkeu!$J$6:$J$1005,SMALL(IF(checklistPesertaKemenkeu!$AY$6:$AY$1005="Direkomendasikan",ROW($6:$1005)-5),310)),BidangList,0)),INDEX(checklistPesertaKemenkeu!$M$6:$M$1005,SMALL(IF(checklistPesertaKemenkeu!$AY$6:$AY$1005="Direkomendasikan",ROW($6:$1005)-5),310)))&gt;0,COUNTIF(INDIRECT("'KERTAS KERJA'!K"&amp;(SMALL(IF(checklistPesertaKemenkeu!$AY$6:$AY$1005="Direkomendasikan",ROW($6:$1005)-5),310)+5)&amp;":O"&amp;(SMALL(IF(checklistPesertaKemenkeu!$AY$6:$AY$1005="Direkomendasikan",ROW($6:$1005)-5),310)+5)),INDEX(checklistPesertaKemenkeu!$M$6:$M$1005,SMALL(IF(checklistPesertaKemenkeu!$AY$6:$AY$1005="Direkomendasikan",ROW($6:$1005)-5),310)))=1),IFERROR(VLOOKUP(INDEX(checklistPesertaKemenkeu!$M$6:$M$1005,SMALL(IF(checklistPesertaKemenkeu!$AY$6:$AY$1005="Direkomendasikan",ROW($6:$1005)-5),310)),KotaKode,2,0),"-"),"")),"")</f>
        <v/>
      </c>
      <c r="J311" t="str">
        <f t="array" aca="1" ref="J311" ca="1">IFERROR(IF(OR(INDEX(checklistPesertaKemenkeu!$N$6:$N$1005,SMALL(IF(checklistPesertaKemenkeu!$AY$6:$AY$1005="Direkomendasikan",ROW($6:$1005)-5),310))="",INDEX(checklistPesertaKemenkeu!$J$6:$J$1005,SMALL(IF(checklistPesertaKemenkeu!$AY$6:$AY$1005="Direkomendasikan",ROW($6:$1005)-5),310))=""),"",IF(AND(COUNTIF(INDIRECT("K_"&amp;MATCH(INDEX(checklistPesertaKemenkeu!$J$6:$J$1005,SMALL(IF(checklistPesertaKemenkeu!$AY$6:$AY$1005="Direkomendasikan",ROW($6:$1005)-5),310)),BidangList,0)),INDEX(checklistPesertaKemenkeu!$N$6:$N$1005,SMALL(IF(checklistPesertaKemenkeu!$AY$6:$AY$1005="Direkomendasikan",ROW($6:$1005)-5),310)))&gt;0,COUNTIF(INDIRECT("'KERTAS KERJA'!K"&amp;(SMALL(IF(checklistPesertaKemenkeu!$AY$6:$AY$1005="Direkomendasikan",ROW($6:$1005)-5),310)+5)&amp;":O"&amp;(SMALL(IF(checklistPesertaKemenkeu!$AY$6:$AY$1005="Direkomendasikan",ROW($6:$1005)-5),310)+5)),INDEX(checklistPesertaKemenkeu!$N$6:$N$1005,SMALL(IF(checklistPesertaKemenkeu!$AY$6:$AY$1005="Direkomendasikan",ROW($6:$1005)-5),310)))=1),IFERROR(VLOOKUP(INDEX(checklistPesertaKemenkeu!$N$6:$N$1005,SMALL(IF(checklistPesertaKemenkeu!$AY$6:$AY$1005="Direkomendasikan",ROW($6:$1005)-5),310)),KotaKode,2,0),"-"),"")),"")</f>
        <v/>
      </c>
      <c r="K311" t="str">
        <f t="array" aca="1" ref="K311" ca="1">IFERROR(IF(OR(INDEX(checklistPesertaKemenkeu!$O$6:$O$1005,SMALL(IF(checklistPesertaKemenkeu!$AY$6:$AY$1005="Direkomendasikan",ROW($6:$1005)-5),310))="",INDEX(checklistPesertaKemenkeu!$J$6:$J$1005,SMALL(IF(checklistPesertaKemenkeu!$AY$6:$AY$1005="Direkomendasikan",ROW($6:$1005)-5),310))=""),"",IF(AND(COUNTIF(INDIRECT("K_"&amp;MATCH(INDEX(checklistPesertaKemenkeu!$J$6:$J$1005,SMALL(IF(checklistPesertaKemenkeu!$AY$6:$AY$1005="Direkomendasikan",ROW($6:$1005)-5),310)),BidangList,0)),INDEX(checklistPesertaKemenkeu!$O$6:$O$1005,SMALL(IF(checklistPesertaKemenkeu!$AY$6:$AY$1005="Direkomendasikan",ROW($6:$1005)-5),310)))&gt;0,COUNTIF(INDIRECT("'KERTAS KERJA'!K"&amp;(SMALL(IF(checklistPesertaKemenkeu!$AY$6:$AY$1005="Direkomendasikan",ROW($6:$1005)-5),310)+5)&amp;":O"&amp;(SMALL(IF(checklistPesertaKemenkeu!$AY$6:$AY$1005="Direkomendasikan",ROW($6:$1005)-5),310)+5)),INDEX(checklistPesertaKemenkeu!$O$6:$O$1005,SMALL(IF(checklistPesertaKemenkeu!$AY$6:$AY$1005="Direkomendasikan",ROW($6:$1005)-5),310)))=1),IFERROR(VLOOKUP(INDEX(checklistPesertaKemenkeu!$O$6:$O$1005,SMALL(IF(checklistPesertaKemenkeu!$AY$6:$AY$1005="Direkomendasikan",ROW($6:$1005)-5),310)),KotaKode,2,0),"-"),"")),"")</f>
        <v/>
      </c>
      <c r="L311" t="str">
        <f t="array" aca="1" ref="L311" ca="1">IFERROR(IF(OR(INDEX(checklistPesertaKemenkeu!$P$6:$P$1005,SMALL(IF(checklistPesertaKemenkeu!$AY$6:$AY$1005="Direkomendasikan",ROW($6:$1005)-5),310))="",INDEX(checklistPesertaKemenkeu!$J$6:$J$1005,SMALL(IF(checklistPesertaKemenkeu!$AY$6:$AY$1005="Direkomendasikan",ROW($6:$1005)-5),310))=""),"",IF(AND(COUNTIF(INDIRECT("K_"&amp;MATCH(INDEX(checklistPesertaKemenkeu!$J$6:$J$1005,SMALL(IF(checklistPesertaKemenkeu!$AY$6:$AY$1005="Direkomendasikan",ROW($6:$1005)-5),310)),BidangList,0)),INDEX(checklistPesertaKemenkeu!$P$6:$P$1005,SMALL(IF(checklistPesertaKemenkeu!$AY$6:$AY$1005="Direkomendasikan",ROW($6:$1005)-5),310)))&gt;0,COUNTIF(INDIRECT("'KERTAS KERJA'!K"&amp;(SMALL(IF(checklistPesertaKemenkeu!$AY$6:$AY$1005="Direkomendasikan",ROW($6:$1005)-5),310)+5)&amp;":O"&amp;(SMALL(IF(checklistPesertaKemenkeu!$AY$6:$AY$1005="Direkomendasikan",ROW($6:$1005)-5),310)+5)),INDEX(checklistPesertaKemenkeu!$P$6:$P$1005,SMALL(IF(checklistPesertaKemenkeu!$AY$6:$AY$1005="Direkomendasikan",ROW($6:$1005)-5),310)))=1),IFERROR(VLOOKUP(INDEX(checklistPesertaKemenkeu!$P$6:$P$1005,SMALL(IF(checklistPesertaKemenkeu!$AY$6:$AY$1005="Direkomendasikan",ROW($6:$1005)-5),310)),KotaKode,2,0),"-"),"")),"")</f>
        <v/>
      </c>
    </row>
    <row r="312" spans="1:12" ht="15" customHeight="1" x14ac:dyDescent="0.2">
      <c r="A312" t="str">
        <f t="shared" si="4"/>
        <v/>
      </c>
      <c r="B312" t="str">
        <v/>
      </c>
      <c r="C312" s="40" t="str">
        <f t="array" ref="C312">IFERROR(INDEX(checklistPesertaKemenkeu!$F$6:$F$1005,SMALL(IF(checklistPesertaKemenkeu!$AY$6:$AY$1005="Direkomendasikan",ROW($6:$1005)-5),311)),"")</f>
        <v/>
      </c>
      <c r="D312" t="str">
        <f t="array" ref="D312">IFERROR(INDEX(checklistPesertaKemenkeu!$G$6:$G$1005,SMALL(IF(checklistPesertaKemenkeu!$AY$6:$AY$1005="Direkomendasikan",ROW($6:$1005)-5),311)),"")</f>
        <v/>
      </c>
      <c r="E312" t="str">
        <f t="array" ref="E312">IFERROR(INDEX(checklistPesertaKemenkeu!$H$6:$H$1005,SMALL(IF(checklistPesertaKemenkeu!$AY$6:$AY$1005="Direkomendasikan",ROW($6:$1005)-5),311)),"")</f>
        <v/>
      </c>
      <c r="F312" t="str">
        <f t="array" ref="F312">IFERROR(INDEX(checklistPesertaKemenkeu!$I$6:$I$1005,SMALL(IF(checklistPesertaKemenkeu!$AY$6:$AY$1005="Direkomendasikan",ROW($6:$1005)-5),311)),"")</f>
        <v/>
      </c>
      <c r="G312" t="str">
        <f t="array" ref="G312">IFERROR(INDEX(checklistPesertaKemenkeu!$J$6:$J$1005,SMALL(IF(checklistPesertaKemenkeu!$AY$6:$AY$1005="Direkomendasikan",ROW($6:$1005)-5),311)),"")</f>
        <v/>
      </c>
      <c r="H312" t="str">
        <f t="array" aca="1" ref="H312" ca="1">IFERROR(IF(OR(INDEX(checklistPesertaKemenkeu!$L$6:$L$1005,SMALL(IF(checklistPesertaKemenkeu!$AY$6:$AY$1005="Direkomendasikan",ROW($6:$1005)-5),311))="",INDEX(checklistPesertaKemenkeu!$J$6:$J$1005,SMALL(IF(checklistPesertaKemenkeu!$AY$6:$AY$1005="Direkomendasikan",ROW($6:$1005)-5),311))=""),"",IF(AND(COUNTIF(INDIRECT("K_"&amp;MATCH(INDEX(checklistPesertaKemenkeu!$J$6:$J$1005,SMALL(IF(checklistPesertaKemenkeu!$AY$6:$AY$1005="Direkomendasikan",ROW($6:$1005)-5),311)),BidangList,0)),INDEX(checklistPesertaKemenkeu!$L$6:$L$1005,SMALL(IF(checklistPesertaKemenkeu!$AY$6:$AY$1005="Direkomendasikan",ROW($6:$1005)-5),311)))&gt;0,COUNTIF(INDIRECT("'KERTAS KERJA'!K"&amp;(SMALL(IF(checklistPesertaKemenkeu!$AY$6:$AY$1005="Direkomendasikan",ROW($6:$1005)-5),311)+5)&amp;":O"&amp;(SMALL(IF(checklistPesertaKemenkeu!$AY$6:$AY$1005="Direkomendasikan",ROW($6:$1005)-5),311)+5)),INDEX(checklistPesertaKemenkeu!$L$6:$L$1005,SMALL(IF(checklistPesertaKemenkeu!$AY$6:$AY$1005="Direkomendasikan",ROW($6:$1005)-5),311)))=1),IFERROR(VLOOKUP(INDEX(checklistPesertaKemenkeu!$L$6:$L$1005,SMALL(IF(checklistPesertaKemenkeu!$AY$6:$AY$1005="Direkomendasikan",ROW($6:$1005)-5),311)),KotaKode,2,0),"-"),"")),"")</f>
        <v/>
      </c>
      <c r="I312" t="str">
        <f t="array" aca="1" ref="I312" ca="1">IFERROR(IF(OR(INDEX(checklistPesertaKemenkeu!$M$6:$M$1005,SMALL(IF(checklistPesertaKemenkeu!$AY$6:$AY$1005="Direkomendasikan",ROW($6:$1005)-5),311))="",INDEX(checklistPesertaKemenkeu!$J$6:$J$1005,SMALL(IF(checklistPesertaKemenkeu!$AY$6:$AY$1005="Direkomendasikan",ROW($6:$1005)-5),311))=""),"",IF(AND(COUNTIF(INDIRECT("K_"&amp;MATCH(INDEX(checklistPesertaKemenkeu!$J$6:$J$1005,SMALL(IF(checklistPesertaKemenkeu!$AY$6:$AY$1005="Direkomendasikan",ROW($6:$1005)-5),311)),BidangList,0)),INDEX(checklistPesertaKemenkeu!$M$6:$M$1005,SMALL(IF(checklistPesertaKemenkeu!$AY$6:$AY$1005="Direkomendasikan",ROW($6:$1005)-5),311)))&gt;0,COUNTIF(INDIRECT("'KERTAS KERJA'!K"&amp;(SMALL(IF(checklistPesertaKemenkeu!$AY$6:$AY$1005="Direkomendasikan",ROW($6:$1005)-5),311)+5)&amp;":O"&amp;(SMALL(IF(checklistPesertaKemenkeu!$AY$6:$AY$1005="Direkomendasikan",ROW($6:$1005)-5),311)+5)),INDEX(checklistPesertaKemenkeu!$M$6:$M$1005,SMALL(IF(checklistPesertaKemenkeu!$AY$6:$AY$1005="Direkomendasikan",ROW($6:$1005)-5),311)))=1),IFERROR(VLOOKUP(INDEX(checklistPesertaKemenkeu!$M$6:$M$1005,SMALL(IF(checklistPesertaKemenkeu!$AY$6:$AY$1005="Direkomendasikan",ROW($6:$1005)-5),311)),KotaKode,2,0),"-"),"")),"")</f>
        <v/>
      </c>
      <c r="J312" t="str">
        <f t="array" aca="1" ref="J312" ca="1">IFERROR(IF(OR(INDEX(checklistPesertaKemenkeu!$N$6:$N$1005,SMALL(IF(checklistPesertaKemenkeu!$AY$6:$AY$1005="Direkomendasikan",ROW($6:$1005)-5),311))="",INDEX(checklistPesertaKemenkeu!$J$6:$J$1005,SMALL(IF(checklistPesertaKemenkeu!$AY$6:$AY$1005="Direkomendasikan",ROW($6:$1005)-5),311))=""),"",IF(AND(COUNTIF(INDIRECT("K_"&amp;MATCH(INDEX(checklistPesertaKemenkeu!$J$6:$J$1005,SMALL(IF(checklistPesertaKemenkeu!$AY$6:$AY$1005="Direkomendasikan",ROW($6:$1005)-5),311)),BidangList,0)),INDEX(checklistPesertaKemenkeu!$N$6:$N$1005,SMALL(IF(checklistPesertaKemenkeu!$AY$6:$AY$1005="Direkomendasikan",ROW($6:$1005)-5),311)))&gt;0,COUNTIF(INDIRECT("'KERTAS KERJA'!K"&amp;(SMALL(IF(checklistPesertaKemenkeu!$AY$6:$AY$1005="Direkomendasikan",ROW($6:$1005)-5),311)+5)&amp;":O"&amp;(SMALL(IF(checklistPesertaKemenkeu!$AY$6:$AY$1005="Direkomendasikan",ROW($6:$1005)-5),311)+5)),INDEX(checklistPesertaKemenkeu!$N$6:$N$1005,SMALL(IF(checklistPesertaKemenkeu!$AY$6:$AY$1005="Direkomendasikan",ROW($6:$1005)-5),311)))=1),IFERROR(VLOOKUP(INDEX(checklistPesertaKemenkeu!$N$6:$N$1005,SMALL(IF(checklistPesertaKemenkeu!$AY$6:$AY$1005="Direkomendasikan",ROW($6:$1005)-5),311)),KotaKode,2,0),"-"),"")),"")</f>
        <v/>
      </c>
      <c r="K312" t="str">
        <f t="array" aca="1" ref="K312" ca="1">IFERROR(IF(OR(INDEX(checklistPesertaKemenkeu!$O$6:$O$1005,SMALL(IF(checklistPesertaKemenkeu!$AY$6:$AY$1005="Direkomendasikan",ROW($6:$1005)-5),311))="",INDEX(checklistPesertaKemenkeu!$J$6:$J$1005,SMALL(IF(checklistPesertaKemenkeu!$AY$6:$AY$1005="Direkomendasikan",ROW($6:$1005)-5),311))=""),"",IF(AND(COUNTIF(INDIRECT("K_"&amp;MATCH(INDEX(checklistPesertaKemenkeu!$J$6:$J$1005,SMALL(IF(checklistPesertaKemenkeu!$AY$6:$AY$1005="Direkomendasikan",ROW($6:$1005)-5),311)),BidangList,0)),INDEX(checklistPesertaKemenkeu!$O$6:$O$1005,SMALL(IF(checklistPesertaKemenkeu!$AY$6:$AY$1005="Direkomendasikan",ROW($6:$1005)-5),311)))&gt;0,COUNTIF(INDIRECT("'KERTAS KERJA'!K"&amp;(SMALL(IF(checklistPesertaKemenkeu!$AY$6:$AY$1005="Direkomendasikan",ROW($6:$1005)-5),311)+5)&amp;":O"&amp;(SMALL(IF(checklistPesertaKemenkeu!$AY$6:$AY$1005="Direkomendasikan",ROW($6:$1005)-5),311)+5)),INDEX(checklistPesertaKemenkeu!$O$6:$O$1005,SMALL(IF(checklistPesertaKemenkeu!$AY$6:$AY$1005="Direkomendasikan",ROW($6:$1005)-5),311)))=1),IFERROR(VLOOKUP(INDEX(checklistPesertaKemenkeu!$O$6:$O$1005,SMALL(IF(checklistPesertaKemenkeu!$AY$6:$AY$1005="Direkomendasikan",ROW($6:$1005)-5),311)),KotaKode,2,0),"-"),"")),"")</f>
        <v/>
      </c>
      <c r="L312" t="str">
        <f t="array" aca="1" ref="L312" ca="1">IFERROR(IF(OR(INDEX(checklistPesertaKemenkeu!$P$6:$P$1005,SMALL(IF(checklistPesertaKemenkeu!$AY$6:$AY$1005="Direkomendasikan",ROW($6:$1005)-5),311))="",INDEX(checklistPesertaKemenkeu!$J$6:$J$1005,SMALL(IF(checklistPesertaKemenkeu!$AY$6:$AY$1005="Direkomendasikan",ROW($6:$1005)-5),311))=""),"",IF(AND(COUNTIF(INDIRECT("K_"&amp;MATCH(INDEX(checklistPesertaKemenkeu!$J$6:$J$1005,SMALL(IF(checklistPesertaKemenkeu!$AY$6:$AY$1005="Direkomendasikan",ROW($6:$1005)-5),311)),BidangList,0)),INDEX(checklistPesertaKemenkeu!$P$6:$P$1005,SMALL(IF(checklistPesertaKemenkeu!$AY$6:$AY$1005="Direkomendasikan",ROW($6:$1005)-5),311)))&gt;0,COUNTIF(INDIRECT("'KERTAS KERJA'!K"&amp;(SMALL(IF(checklistPesertaKemenkeu!$AY$6:$AY$1005="Direkomendasikan",ROW($6:$1005)-5),311)+5)&amp;":O"&amp;(SMALL(IF(checklistPesertaKemenkeu!$AY$6:$AY$1005="Direkomendasikan",ROW($6:$1005)-5),311)+5)),INDEX(checklistPesertaKemenkeu!$P$6:$P$1005,SMALL(IF(checklistPesertaKemenkeu!$AY$6:$AY$1005="Direkomendasikan",ROW($6:$1005)-5),311)))=1),IFERROR(VLOOKUP(INDEX(checklistPesertaKemenkeu!$P$6:$P$1005,SMALL(IF(checklistPesertaKemenkeu!$AY$6:$AY$1005="Direkomendasikan",ROW($6:$1005)-5),311)),KotaKode,2,0),"-"),"")),"")</f>
        <v/>
      </c>
    </row>
    <row r="313" spans="1:12" ht="15" customHeight="1" x14ac:dyDescent="0.2">
      <c r="A313" t="str">
        <f t="shared" si="4"/>
        <v/>
      </c>
      <c r="B313" t="str">
        <v/>
      </c>
      <c r="C313" s="40" t="str">
        <f t="array" ref="C313">IFERROR(INDEX(checklistPesertaKemenkeu!$F$6:$F$1005,SMALL(IF(checklistPesertaKemenkeu!$AY$6:$AY$1005="Direkomendasikan",ROW($6:$1005)-5),312)),"")</f>
        <v/>
      </c>
      <c r="D313" t="str">
        <f t="array" ref="D313">IFERROR(INDEX(checklistPesertaKemenkeu!$G$6:$G$1005,SMALL(IF(checklistPesertaKemenkeu!$AY$6:$AY$1005="Direkomendasikan",ROW($6:$1005)-5),312)),"")</f>
        <v/>
      </c>
      <c r="E313" t="str">
        <f t="array" ref="E313">IFERROR(INDEX(checklistPesertaKemenkeu!$H$6:$H$1005,SMALL(IF(checklistPesertaKemenkeu!$AY$6:$AY$1005="Direkomendasikan",ROW($6:$1005)-5),312)),"")</f>
        <v/>
      </c>
      <c r="F313" t="str">
        <f t="array" ref="F313">IFERROR(INDEX(checklistPesertaKemenkeu!$I$6:$I$1005,SMALL(IF(checklistPesertaKemenkeu!$AY$6:$AY$1005="Direkomendasikan",ROW($6:$1005)-5),312)),"")</f>
        <v/>
      </c>
      <c r="G313" t="str">
        <f t="array" ref="G313">IFERROR(INDEX(checklistPesertaKemenkeu!$J$6:$J$1005,SMALL(IF(checklistPesertaKemenkeu!$AY$6:$AY$1005="Direkomendasikan",ROW($6:$1005)-5),312)),"")</f>
        <v/>
      </c>
      <c r="H313" t="str">
        <f t="array" aca="1" ref="H313" ca="1">IFERROR(IF(OR(INDEX(checklistPesertaKemenkeu!$L$6:$L$1005,SMALL(IF(checklistPesertaKemenkeu!$AY$6:$AY$1005="Direkomendasikan",ROW($6:$1005)-5),312))="",INDEX(checklistPesertaKemenkeu!$J$6:$J$1005,SMALL(IF(checklistPesertaKemenkeu!$AY$6:$AY$1005="Direkomendasikan",ROW($6:$1005)-5),312))=""),"",IF(AND(COUNTIF(INDIRECT("K_"&amp;MATCH(INDEX(checklistPesertaKemenkeu!$J$6:$J$1005,SMALL(IF(checklistPesertaKemenkeu!$AY$6:$AY$1005="Direkomendasikan",ROW($6:$1005)-5),312)),BidangList,0)),INDEX(checklistPesertaKemenkeu!$L$6:$L$1005,SMALL(IF(checklistPesertaKemenkeu!$AY$6:$AY$1005="Direkomendasikan",ROW($6:$1005)-5),312)))&gt;0,COUNTIF(INDIRECT("'KERTAS KERJA'!K"&amp;(SMALL(IF(checklistPesertaKemenkeu!$AY$6:$AY$1005="Direkomendasikan",ROW($6:$1005)-5),312)+5)&amp;":O"&amp;(SMALL(IF(checklistPesertaKemenkeu!$AY$6:$AY$1005="Direkomendasikan",ROW($6:$1005)-5),312)+5)),INDEX(checklistPesertaKemenkeu!$L$6:$L$1005,SMALL(IF(checklistPesertaKemenkeu!$AY$6:$AY$1005="Direkomendasikan",ROW($6:$1005)-5),312)))=1),IFERROR(VLOOKUP(INDEX(checklistPesertaKemenkeu!$L$6:$L$1005,SMALL(IF(checklistPesertaKemenkeu!$AY$6:$AY$1005="Direkomendasikan",ROW($6:$1005)-5),312)),KotaKode,2,0),"-"),"")),"")</f>
        <v/>
      </c>
      <c r="I313" t="str">
        <f t="array" aca="1" ref="I313" ca="1">IFERROR(IF(OR(INDEX(checklistPesertaKemenkeu!$M$6:$M$1005,SMALL(IF(checklistPesertaKemenkeu!$AY$6:$AY$1005="Direkomendasikan",ROW($6:$1005)-5),312))="",INDEX(checklistPesertaKemenkeu!$J$6:$J$1005,SMALL(IF(checklistPesertaKemenkeu!$AY$6:$AY$1005="Direkomendasikan",ROW($6:$1005)-5),312))=""),"",IF(AND(COUNTIF(INDIRECT("K_"&amp;MATCH(INDEX(checklistPesertaKemenkeu!$J$6:$J$1005,SMALL(IF(checklistPesertaKemenkeu!$AY$6:$AY$1005="Direkomendasikan",ROW($6:$1005)-5),312)),BidangList,0)),INDEX(checklistPesertaKemenkeu!$M$6:$M$1005,SMALL(IF(checklistPesertaKemenkeu!$AY$6:$AY$1005="Direkomendasikan",ROW($6:$1005)-5),312)))&gt;0,COUNTIF(INDIRECT("'KERTAS KERJA'!K"&amp;(SMALL(IF(checklistPesertaKemenkeu!$AY$6:$AY$1005="Direkomendasikan",ROW($6:$1005)-5),312)+5)&amp;":O"&amp;(SMALL(IF(checklistPesertaKemenkeu!$AY$6:$AY$1005="Direkomendasikan",ROW($6:$1005)-5),312)+5)),INDEX(checklistPesertaKemenkeu!$M$6:$M$1005,SMALL(IF(checklistPesertaKemenkeu!$AY$6:$AY$1005="Direkomendasikan",ROW($6:$1005)-5),312)))=1),IFERROR(VLOOKUP(INDEX(checklistPesertaKemenkeu!$M$6:$M$1005,SMALL(IF(checklistPesertaKemenkeu!$AY$6:$AY$1005="Direkomendasikan",ROW($6:$1005)-5),312)),KotaKode,2,0),"-"),"")),"")</f>
        <v/>
      </c>
      <c r="J313" t="str">
        <f t="array" aca="1" ref="J313" ca="1">IFERROR(IF(OR(INDEX(checklistPesertaKemenkeu!$N$6:$N$1005,SMALL(IF(checklistPesertaKemenkeu!$AY$6:$AY$1005="Direkomendasikan",ROW($6:$1005)-5),312))="",INDEX(checklistPesertaKemenkeu!$J$6:$J$1005,SMALL(IF(checklistPesertaKemenkeu!$AY$6:$AY$1005="Direkomendasikan",ROW($6:$1005)-5),312))=""),"",IF(AND(COUNTIF(INDIRECT("K_"&amp;MATCH(INDEX(checklistPesertaKemenkeu!$J$6:$J$1005,SMALL(IF(checklistPesertaKemenkeu!$AY$6:$AY$1005="Direkomendasikan",ROW($6:$1005)-5),312)),BidangList,0)),INDEX(checklistPesertaKemenkeu!$N$6:$N$1005,SMALL(IF(checklistPesertaKemenkeu!$AY$6:$AY$1005="Direkomendasikan",ROW($6:$1005)-5),312)))&gt;0,COUNTIF(INDIRECT("'KERTAS KERJA'!K"&amp;(SMALL(IF(checklistPesertaKemenkeu!$AY$6:$AY$1005="Direkomendasikan",ROW($6:$1005)-5),312)+5)&amp;":O"&amp;(SMALL(IF(checklistPesertaKemenkeu!$AY$6:$AY$1005="Direkomendasikan",ROW($6:$1005)-5),312)+5)),INDEX(checklistPesertaKemenkeu!$N$6:$N$1005,SMALL(IF(checklistPesertaKemenkeu!$AY$6:$AY$1005="Direkomendasikan",ROW($6:$1005)-5),312)))=1),IFERROR(VLOOKUP(INDEX(checklistPesertaKemenkeu!$N$6:$N$1005,SMALL(IF(checklistPesertaKemenkeu!$AY$6:$AY$1005="Direkomendasikan",ROW($6:$1005)-5),312)),KotaKode,2,0),"-"),"")),"")</f>
        <v/>
      </c>
      <c r="K313" t="str">
        <f t="array" aca="1" ref="K313" ca="1">IFERROR(IF(OR(INDEX(checklistPesertaKemenkeu!$O$6:$O$1005,SMALL(IF(checklistPesertaKemenkeu!$AY$6:$AY$1005="Direkomendasikan",ROW($6:$1005)-5),312))="",INDEX(checklistPesertaKemenkeu!$J$6:$J$1005,SMALL(IF(checklistPesertaKemenkeu!$AY$6:$AY$1005="Direkomendasikan",ROW($6:$1005)-5),312))=""),"",IF(AND(COUNTIF(INDIRECT("K_"&amp;MATCH(INDEX(checklistPesertaKemenkeu!$J$6:$J$1005,SMALL(IF(checklistPesertaKemenkeu!$AY$6:$AY$1005="Direkomendasikan",ROW($6:$1005)-5),312)),BidangList,0)),INDEX(checklistPesertaKemenkeu!$O$6:$O$1005,SMALL(IF(checklistPesertaKemenkeu!$AY$6:$AY$1005="Direkomendasikan",ROW($6:$1005)-5),312)))&gt;0,COUNTIF(INDIRECT("'KERTAS KERJA'!K"&amp;(SMALL(IF(checklistPesertaKemenkeu!$AY$6:$AY$1005="Direkomendasikan",ROW($6:$1005)-5),312)+5)&amp;":O"&amp;(SMALL(IF(checklistPesertaKemenkeu!$AY$6:$AY$1005="Direkomendasikan",ROW($6:$1005)-5),312)+5)),INDEX(checklistPesertaKemenkeu!$O$6:$O$1005,SMALL(IF(checklistPesertaKemenkeu!$AY$6:$AY$1005="Direkomendasikan",ROW($6:$1005)-5),312)))=1),IFERROR(VLOOKUP(INDEX(checklistPesertaKemenkeu!$O$6:$O$1005,SMALL(IF(checklistPesertaKemenkeu!$AY$6:$AY$1005="Direkomendasikan",ROW($6:$1005)-5),312)),KotaKode,2,0),"-"),"")),"")</f>
        <v/>
      </c>
      <c r="L313" t="str">
        <f t="array" aca="1" ref="L313" ca="1">IFERROR(IF(OR(INDEX(checklistPesertaKemenkeu!$P$6:$P$1005,SMALL(IF(checklistPesertaKemenkeu!$AY$6:$AY$1005="Direkomendasikan",ROW($6:$1005)-5),312))="",INDEX(checklistPesertaKemenkeu!$J$6:$J$1005,SMALL(IF(checklistPesertaKemenkeu!$AY$6:$AY$1005="Direkomendasikan",ROW($6:$1005)-5),312))=""),"",IF(AND(COUNTIF(INDIRECT("K_"&amp;MATCH(INDEX(checklistPesertaKemenkeu!$J$6:$J$1005,SMALL(IF(checklistPesertaKemenkeu!$AY$6:$AY$1005="Direkomendasikan",ROW($6:$1005)-5),312)),BidangList,0)),INDEX(checklistPesertaKemenkeu!$P$6:$P$1005,SMALL(IF(checklistPesertaKemenkeu!$AY$6:$AY$1005="Direkomendasikan",ROW($6:$1005)-5),312)))&gt;0,COUNTIF(INDIRECT("'KERTAS KERJA'!K"&amp;(SMALL(IF(checklistPesertaKemenkeu!$AY$6:$AY$1005="Direkomendasikan",ROW($6:$1005)-5),312)+5)&amp;":O"&amp;(SMALL(IF(checklistPesertaKemenkeu!$AY$6:$AY$1005="Direkomendasikan",ROW($6:$1005)-5),312)+5)),INDEX(checklistPesertaKemenkeu!$P$6:$P$1005,SMALL(IF(checklistPesertaKemenkeu!$AY$6:$AY$1005="Direkomendasikan",ROW($6:$1005)-5),312)))=1),IFERROR(VLOOKUP(INDEX(checklistPesertaKemenkeu!$P$6:$P$1005,SMALL(IF(checklistPesertaKemenkeu!$AY$6:$AY$1005="Direkomendasikan",ROW($6:$1005)-5),312)),KotaKode,2,0),"-"),"")),"")</f>
        <v/>
      </c>
    </row>
    <row r="314" spans="1:12" ht="15" customHeight="1" x14ac:dyDescent="0.2">
      <c r="A314" t="str">
        <f t="shared" si="4"/>
        <v/>
      </c>
      <c r="B314" t="str">
        <v/>
      </c>
      <c r="C314" s="40" t="str">
        <f t="array" ref="C314">IFERROR(INDEX(checklistPesertaKemenkeu!$F$6:$F$1005,SMALL(IF(checklistPesertaKemenkeu!$AY$6:$AY$1005="Direkomendasikan",ROW($6:$1005)-5),313)),"")</f>
        <v/>
      </c>
      <c r="D314" t="str">
        <f t="array" ref="D314">IFERROR(INDEX(checklistPesertaKemenkeu!$G$6:$G$1005,SMALL(IF(checklistPesertaKemenkeu!$AY$6:$AY$1005="Direkomendasikan",ROW($6:$1005)-5),313)),"")</f>
        <v/>
      </c>
      <c r="E314" t="str">
        <f t="array" ref="E314">IFERROR(INDEX(checklistPesertaKemenkeu!$H$6:$H$1005,SMALL(IF(checklistPesertaKemenkeu!$AY$6:$AY$1005="Direkomendasikan",ROW($6:$1005)-5),313)),"")</f>
        <v/>
      </c>
      <c r="F314" t="str">
        <f t="array" ref="F314">IFERROR(INDEX(checklistPesertaKemenkeu!$I$6:$I$1005,SMALL(IF(checklistPesertaKemenkeu!$AY$6:$AY$1005="Direkomendasikan",ROW($6:$1005)-5),313)),"")</f>
        <v/>
      </c>
      <c r="G314" t="str">
        <f t="array" ref="G314">IFERROR(INDEX(checklistPesertaKemenkeu!$J$6:$J$1005,SMALL(IF(checklistPesertaKemenkeu!$AY$6:$AY$1005="Direkomendasikan",ROW($6:$1005)-5),313)),"")</f>
        <v/>
      </c>
      <c r="H314" t="str">
        <f t="array" aca="1" ref="H314" ca="1">IFERROR(IF(OR(INDEX(checklistPesertaKemenkeu!$L$6:$L$1005,SMALL(IF(checklistPesertaKemenkeu!$AY$6:$AY$1005="Direkomendasikan",ROW($6:$1005)-5),313))="",INDEX(checklistPesertaKemenkeu!$J$6:$J$1005,SMALL(IF(checklistPesertaKemenkeu!$AY$6:$AY$1005="Direkomendasikan",ROW($6:$1005)-5),313))=""),"",IF(AND(COUNTIF(INDIRECT("K_"&amp;MATCH(INDEX(checklistPesertaKemenkeu!$J$6:$J$1005,SMALL(IF(checklistPesertaKemenkeu!$AY$6:$AY$1005="Direkomendasikan",ROW($6:$1005)-5),313)),BidangList,0)),INDEX(checklistPesertaKemenkeu!$L$6:$L$1005,SMALL(IF(checklistPesertaKemenkeu!$AY$6:$AY$1005="Direkomendasikan",ROW($6:$1005)-5),313)))&gt;0,COUNTIF(INDIRECT("'KERTAS KERJA'!K"&amp;(SMALL(IF(checklistPesertaKemenkeu!$AY$6:$AY$1005="Direkomendasikan",ROW($6:$1005)-5),313)+5)&amp;":O"&amp;(SMALL(IF(checklistPesertaKemenkeu!$AY$6:$AY$1005="Direkomendasikan",ROW($6:$1005)-5),313)+5)),INDEX(checklistPesertaKemenkeu!$L$6:$L$1005,SMALL(IF(checklistPesertaKemenkeu!$AY$6:$AY$1005="Direkomendasikan",ROW($6:$1005)-5),313)))=1),IFERROR(VLOOKUP(INDEX(checklistPesertaKemenkeu!$L$6:$L$1005,SMALL(IF(checklistPesertaKemenkeu!$AY$6:$AY$1005="Direkomendasikan",ROW($6:$1005)-5),313)),KotaKode,2,0),"-"),"")),"")</f>
        <v/>
      </c>
      <c r="I314" t="str">
        <f t="array" aca="1" ref="I314" ca="1">IFERROR(IF(OR(INDEX(checklistPesertaKemenkeu!$M$6:$M$1005,SMALL(IF(checklistPesertaKemenkeu!$AY$6:$AY$1005="Direkomendasikan",ROW($6:$1005)-5),313))="",INDEX(checklistPesertaKemenkeu!$J$6:$J$1005,SMALL(IF(checklistPesertaKemenkeu!$AY$6:$AY$1005="Direkomendasikan",ROW($6:$1005)-5),313))=""),"",IF(AND(COUNTIF(INDIRECT("K_"&amp;MATCH(INDEX(checklistPesertaKemenkeu!$J$6:$J$1005,SMALL(IF(checklistPesertaKemenkeu!$AY$6:$AY$1005="Direkomendasikan",ROW($6:$1005)-5),313)),BidangList,0)),INDEX(checklistPesertaKemenkeu!$M$6:$M$1005,SMALL(IF(checklistPesertaKemenkeu!$AY$6:$AY$1005="Direkomendasikan",ROW($6:$1005)-5),313)))&gt;0,COUNTIF(INDIRECT("'KERTAS KERJA'!K"&amp;(SMALL(IF(checklistPesertaKemenkeu!$AY$6:$AY$1005="Direkomendasikan",ROW($6:$1005)-5),313)+5)&amp;":O"&amp;(SMALL(IF(checklistPesertaKemenkeu!$AY$6:$AY$1005="Direkomendasikan",ROW($6:$1005)-5),313)+5)),INDEX(checklistPesertaKemenkeu!$M$6:$M$1005,SMALL(IF(checklistPesertaKemenkeu!$AY$6:$AY$1005="Direkomendasikan",ROW($6:$1005)-5),313)))=1),IFERROR(VLOOKUP(INDEX(checklistPesertaKemenkeu!$M$6:$M$1005,SMALL(IF(checklistPesertaKemenkeu!$AY$6:$AY$1005="Direkomendasikan",ROW($6:$1005)-5),313)),KotaKode,2,0),"-"),"")),"")</f>
        <v/>
      </c>
      <c r="J314" t="str">
        <f t="array" aca="1" ref="J314" ca="1">IFERROR(IF(OR(INDEX(checklistPesertaKemenkeu!$N$6:$N$1005,SMALL(IF(checklistPesertaKemenkeu!$AY$6:$AY$1005="Direkomendasikan",ROW($6:$1005)-5),313))="",INDEX(checklistPesertaKemenkeu!$J$6:$J$1005,SMALL(IF(checklistPesertaKemenkeu!$AY$6:$AY$1005="Direkomendasikan",ROW($6:$1005)-5),313))=""),"",IF(AND(COUNTIF(INDIRECT("K_"&amp;MATCH(INDEX(checklistPesertaKemenkeu!$J$6:$J$1005,SMALL(IF(checklistPesertaKemenkeu!$AY$6:$AY$1005="Direkomendasikan",ROW($6:$1005)-5),313)),BidangList,0)),INDEX(checklistPesertaKemenkeu!$N$6:$N$1005,SMALL(IF(checklistPesertaKemenkeu!$AY$6:$AY$1005="Direkomendasikan",ROW($6:$1005)-5),313)))&gt;0,COUNTIF(INDIRECT("'KERTAS KERJA'!K"&amp;(SMALL(IF(checklistPesertaKemenkeu!$AY$6:$AY$1005="Direkomendasikan",ROW($6:$1005)-5),313)+5)&amp;":O"&amp;(SMALL(IF(checklistPesertaKemenkeu!$AY$6:$AY$1005="Direkomendasikan",ROW($6:$1005)-5),313)+5)),INDEX(checklistPesertaKemenkeu!$N$6:$N$1005,SMALL(IF(checklistPesertaKemenkeu!$AY$6:$AY$1005="Direkomendasikan",ROW($6:$1005)-5),313)))=1),IFERROR(VLOOKUP(INDEX(checklistPesertaKemenkeu!$N$6:$N$1005,SMALL(IF(checklistPesertaKemenkeu!$AY$6:$AY$1005="Direkomendasikan",ROW($6:$1005)-5),313)),KotaKode,2,0),"-"),"")),"")</f>
        <v/>
      </c>
      <c r="K314" t="str">
        <f t="array" aca="1" ref="K314" ca="1">IFERROR(IF(OR(INDEX(checklistPesertaKemenkeu!$O$6:$O$1005,SMALL(IF(checklistPesertaKemenkeu!$AY$6:$AY$1005="Direkomendasikan",ROW($6:$1005)-5),313))="",INDEX(checklistPesertaKemenkeu!$J$6:$J$1005,SMALL(IF(checklistPesertaKemenkeu!$AY$6:$AY$1005="Direkomendasikan",ROW($6:$1005)-5),313))=""),"",IF(AND(COUNTIF(INDIRECT("K_"&amp;MATCH(INDEX(checklistPesertaKemenkeu!$J$6:$J$1005,SMALL(IF(checklistPesertaKemenkeu!$AY$6:$AY$1005="Direkomendasikan",ROW($6:$1005)-5),313)),BidangList,0)),INDEX(checklistPesertaKemenkeu!$O$6:$O$1005,SMALL(IF(checklistPesertaKemenkeu!$AY$6:$AY$1005="Direkomendasikan",ROW($6:$1005)-5),313)))&gt;0,COUNTIF(INDIRECT("'KERTAS KERJA'!K"&amp;(SMALL(IF(checklistPesertaKemenkeu!$AY$6:$AY$1005="Direkomendasikan",ROW($6:$1005)-5),313)+5)&amp;":O"&amp;(SMALL(IF(checklistPesertaKemenkeu!$AY$6:$AY$1005="Direkomendasikan",ROW($6:$1005)-5),313)+5)),INDEX(checklistPesertaKemenkeu!$O$6:$O$1005,SMALL(IF(checklistPesertaKemenkeu!$AY$6:$AY$1005="Direkomendasikan",ROW($6:$1005)-5),313)))=1),IFERROR(VLOOKUP(INDEX(checklistPesertaKemenkeu!$O$6:$O$1005,SMALL(IF(checklistPesertaKemenkeu!$AY$6:$AY$1005="Direkomendasikan",ROW($6:$1005)-5),313)),KotaKode,2,0),"-"),"")),"")</f>
        <v/>
      </c>
      <c r="L314" t="str">
        <f t="array" aca="1" ref="L314" ca="1">IFERROR(IF(OR(INDEX(checklistPesertaKemenkeu!$P$6:$P$1005,SMALL(IF(checklistPesertaKemenkeu!$AY$6:$AY$1005="Direkomendasikan",ROW($6:$1005)-5),313))="",INDEX(checklistPesertaKemenkeu!$J$6:$J$1005,SMALL(IF(checklistPesertaKemenkeu!$AY$6:$AY$1005="Direkomendasikan",ROW($6:$1005)-5),313))=""),"",IF(AND(COUNTIF(INDIRECT("K_"&amp;MATCH(INDEX(checklistPesertaKemenkeu!$J$6:$J$1005,SMALL(IF(checklistPesertaKemenkeu!$AY$6:$AY$1005="Direkomendasikan",ROW($6:$1005)-5),313)),BidangList,0)),INDEX(checklistPesertaKemenkeu!$P$6:$P$1005,SMALL(IF(checklistPesertaKemenkeu!$AY$6:$AY$1005="Direkomendasikan",ROW($6:$1005)-5),313)))&gt;0,COUNTIF(INDIRECT("'KERTAS KERJA'!K"&amp;(SMALL(IF(checklistPesertaKemenkeu!$AY$6:$AY$1005="Direkomendasikan",ROW($6:$1005)-5),313)+5)&amp;":O"&amp;(SMALL(IF(checklistPesertaKemenkeu!$AY$6:$AY$1005="Direkomendasikan",ROW($6:$1005)-5),313)+5)),INDEX(checklistPesertaKemenkeu!$P$6:$P$1005,SMALL(IF(checklistPesertaKemenkeu!$AY$6:$AY$1005="Direkomendasikan",ROW($6:$1005)-5),313)))=1),IFERROR(VLOOKUP(INDEX(checklistPesertaKemenkeu!$P$6:$P$1005,SMALL(IF(checklistPesertaKemenkeu!$AY$6:$AY$1005="Direkomendasikan",ROW($6:$1005)-5),313)),KotaKode,2,0),"-"),"")),"")</f>
        <v/>
      </c>
    </row>
    <row r="315" spans="1:12" ht="15" customHeight="1" x14ac:dyDescent="0.2">
      <c r="A315" t="str">
        <f t="shared" si="4"/>
        <v/>
      </c>
      <c r="B315" t="str">
        <v/>
      </c>
      <c r="C315" s="40" t="str">
        <f t="array" ref="C315">IFERROR(INDEX(checklistPesertaKemenkeu!$F$6:$F$1005,SMALL(IF(checklistPesertaKemenkeu!$AY$6:$AY$1005="Direkomendasikan",ROW($6:$1005)-5),314)),"")</f>
        <v/>
      </c>
      <c r="D315" t="str">
        <f t="array" ref="D315">IFERROR(INDEX(checklistPesertaKemenkeu!$G$6:$G$1005,SMALL(IF(checklistPesertaKemenkeu!$AY$6:$AY$1005="Direkomendasikan",ROW($6:$1005)-5),314)),"")</f>
        <v/>
      </c>
      <c r="E315" t="str">
        <f t="array" ref="E315">IFERROR(INDEX(checklistPesertaKemenkeu!$H$6:$H$1005,SMALL(IF(checklistPesertaKemenkeu!$AY$6:$AY$1005="Direkomendasikan",ROW($6:$1005)-5),314)),"")</f>
        <v/>
      </c>
      <c r="F315" t="str">
        <f t="array" ref="F315">IFERROR(INDEX(checklistPesertaKemenkeu!$I$6:$I$1005,SMALL(IF(checklistPesertaKemenkeu!$AY$6:$AY$1005="Direkomendasikan",ROW($6:$1005)-5),314)),"")</f>
        <v/>
      </c>
      <c r="G315" t="str">
        <f t="array" ref="G315">IFERROR(INDEX(checklistPesertaKemenkeu!$J$6:$J$1005,SMALL(IF(checklistPesertaKemenkeu!$AY$6:$AY$1005="Direkomendasikan",ROW($6:$1005)-5),314)),"")</f>
        <v/>
      </c>
      <c r="H315" t="str">
        <f t="array" aca="1" ref="H315" ca="1">IFERROR(IF(OR(INDEX(checklistPesertaKemenkeu!$L$6:$L$1005,SMALL(IF(checklistPesertaKemenkeu!$AY$6:$AY$1005="Direkomendasikan",ROW($6:$1005)-5),314))="",INDEX(checklistPesertaKemenkeu!$J$6:$J$1005,SMALL(IF(checklistPesertaKemenkeu!$AY$6:$AY$1005="Direkomendasikan",ROW($6:$1005)-5),314))=""),"",IF(AND(COUNTIF(INDIRECT("K_"&amp;MATCH(INDEX(checklistPesertaKemenkeu!$J$6:$J$1005,SMALL(IF(checklistPesertaKemenkeu!$AY$6:$AY$1005="Direkomendasikan",ROW($6:$1005)-5),314)),BidangList,0)),INDEX(checklistPesertaKemenkeu!$L$6:$L$1005,SMALL(IF(checklistPesertaKemenkeu!$AY$6:$AY$1005="Direkomendasikan",ROW($6:$1005)-5),314)))&gt;0,COUNTIF(INDIRECT("'KERTAS KERJA'!K"&amp;(SMALL(IF(checklistPesertaKemenkeu!$AY$6:$AY$1005="Direkomendasikan",ROW($6:$1005)-5),314)+5)&amp;":O"&amp;(SMALL(IF(checklistPesertaKemenkeu!$AY$6:$AY$1005="Direkomendasikan",ROW($6:$1005)-5),314)+5)),INDEX(checklistPesertaKemenkeu!$L$6:$L$1005,SMALL(IF(checklistPesertaKemenkeu!$AY$6:$AY$1005="Direkomendasikan",ROW($6:$1005)-5),314)))=1),IFERROR(VLOOKUP(INDEX(checklistPesertaKemenkeu!$L$6:$L$1005,SMALL(IF(checklistPesertaKemenkeu!$AY$6:$AY$1005="Direkomendasikan",ROW($6:$1005)-5),314)),KotaKode,2,0),"-"),"")),"")</f>
        <v/>
      </c>
      <c r="I315" t="str">
        <f t="array" aca="1" ref="I315" ca="1">IFERROR(IF(OR(INDEX(checklistPesertaKemenkeu!$M$6:$M$1005,SMALL(IF(checklistPesertaKemenkeu!$AY$6:$AY$1005="Direkomendasikan",ROW($6:$1005)-5),314))="",INDEX(checklistPesertaKemenkeu!$J$6:$J$1005,SMALL(IF(checklistPesertaKemenkeu!$AY$6:$AY$1005="Direkomendasikan",ROW($6:$1005)-5),314))=""),"",IF(AND(COUNTIF(INDIRECT("K_"&amp;MATCH(INDEX(checklistPesertaKemenkeu!$J$6:$J$1005,SMALL(IF(checklistPesertaKemenkeu!$AY$6:$AY$1005="Direkomendasikan",ROW($6:$1005)-5),314)),BidangList,0)),INDEX(checklistPesertaKemenkeu!$M$6:$M$1005,SMALL(IF(checklistPesertaKemenkeu!$AY$6:$AY$1005="Direkomendasikan",ROW($6:$1005)-5),314)))&gt;0,COUNTIF(INDIRECT("'KERTAS KERJA'!K"&amp;(SMALL(IF(checklistPesertaKemenkeu!$AY$6:$AY$1005="Direkomendasikan",ROW($6:$1005)-5),314)+5)&amp;":O"&amp;(SMALL(IF(checklistPesertaKemenkeu!$AY$6:$AY$1005="Direkomendasikan",ROW($6:$1005)-5),314)+5)),INDEX(checklistPesertaKemenkeu!$M$6:$M$1005,SMALL(IF(checklistPesertaKemenkeu!$AY$6:$AY$1005="Direkomendasikan",ROW($6:$1005)-5),314)))=1),IFERROR(VLOOKUP(INDEX(checklistPesertaKemenkeu!$M$6:$M$1005,SMALL(IF(checklistPesertaKemenkeu!$AY$6:$AY$1005="Direkomendasikan",ROW($6:$1005)-5),314)),KotaKode,2,0),"-"),"")),"")</f>
        <v/>
      </c>
      <c r="J315" t="str">
        <f t="array" aca="1" ref="J315" ca="1">IFERROR(IF(OR(INDEX(checklistPesertaKemenkeu!$N$6:$N$1005,SMALL(IF(checklistPesertaKemenkeu!$AY$6:$AY$1005="Direkomendasikan",ROW($6:$1005)-5),314))="",INDEX(checklistPesertaKemenkeu!$J$6:$J$1005,SMALL(IF(checklistPesertaKemenkeu!$AY$6:$AY$1005="Direkomendasikan",ROW($6:$1005)-5),314))=""),"",IF(AND(COUNTIF(INDIRECT("K_"&amp;MATCH(INDEX(checklistPesertaKemenkeu!$J$6:$J$1005,SMALL(IF(checklistPesertaKemenkeu!$AY$6:$AY$1005="Direkomendasikan",ROW($6:$1005)-5),314)),BidangList,0)),INDEX(checklistPesertaKemenkeu!$N$6:$N$1005,SMALL(IF(checklistPesertaKemenkeu!$AY$6:$AY$1005="Direkomendasikan",ROW($6:$1005)-5),314)))&gt;0,COUNTIF(INDIRECT("'KERTAS KERJA'!K"&amp;(SMALL(IF(checklistPesertaKemenkeu!$AY$6:$AY$1005="Direkomendasikan",ROW($6:$1005)-5),314)+5)&amp;":O"&amp;(SMALL(IF(checklistPesertaKemenkeu!$AY$6:$AY$1005="Direkomendasikan",ROW($6:$1005)-5),314)+5)),INDEX(checklistPesertaKemenkeu!$N$6:$N$1005,SMALL(IF(checklistPesertaKemenkeu!$AY$6:$AY$1005="Direkomendasikan",ROW($6:$1005)-5),314)))=1),IFERROR(VLOOKUP(INDEX(checklistPesertaKemenkeu!$N$6:$N$1005,SMALL(IF(checklistPesertaKemenkeu!$AY$6:$AY$1005="Direkomendasikan",ROW($6:$1005)-5),314)),KotaKode,2,0),"-"),"")),"")</f>
        <v/>
      </c>
      <c r="K315" t="str">
        <f t="array" aca="1" ref="K315" ca="1">IFERROR(IF(OR(INDEX(checklistPesertaKemenkeu!$O$6:$O$1005,SMALL(IF(checklistPesertaKemenkeu!$AY$6:$AY$1005="Direkomendasikan",ROW($6:$1005)-5),314))="",INDEX(checklistPesertaKemenkeu!$J$6:$J$1005,SMALL(IF(checklistPesertaKemenkeu!$AY$6:$AY$1005="Direkomendasikan",ROW($6:$1005)-5),314))=""),"",IF(AND(COUNTIF(INDIRECT("K_"&amp;MATCH(INDEX(checklistPesertaKemenkeu!$J$6:$J$1005,SMALL(IF(checklistPesertaKemenkeu!$AY$6:$AY$1005="Direkomendasikan",ROW($6:$1005)-5),314)),BidangList,0)),INDEX(checklistPesertaKemenkeu!$O$6:$O$1005,SMALL(IF(checklistPesertaKemenkeu!$AY$6:$AY$1005="Direkomendasikan",ROW($6:$1005)-5),314)))&gt;0,COUNTIF(INDIRECT("'KERTAS KERJA'!K"&amp;(SMALL(IF(checklistPesertaKemenkeu!$AY$6:$AY$1005="Direkomendasikan",ROW($6:$1005)-5),314)+5)&amp;":O"&amp;(SMALL(IF(checklistPesertaKemenkeu!$AY$6:$AY$1005="Direkomendasikan",ROW($6:$1005)-5),314)+5)),INDEX(checklistPesertaKemenkeu!$O$6:$O$1005,SMALL(IF(checklistPesertaKemenkeu!$AY$6:$AY$1005="Direkomendasikan",ROW($6:$1005)-5),314)))=1),IFERROR(VLOOKUP(INDEX(checklistPesertaKemenkeu!$O$6:$O$1005,SMALL(IF(checklistPesertaKemenkeu!$AY$6:$AY$1005="Direkomendasikan",ROW($6:$1005)-5),314)),KotaKode,2,0),"-"),"")),"")</f>
        <v/>
      </c>
      <c r="L315" t="str">
        <f t="array" aca="1" ref="L315" ca="1">IFERROR(IF(OR(INDEX(checklistPesertaKemenkeu!$P$6:$P$1005,SMALL(IF(checklistPesertaKemenkeu!$AY$6:$AY$1005="Direkomendasikan",ROW($6:$1005)-5),314))="",INDEX(checklistPesertaKemenkeu!$J$6:$J$1005,SMALL(IF(checklistPesertaKemenkeu!$AY$6:$AY$1005="Direkomendasikan",ROW($6:$1005)-5),314))=""),"",IF(AND(COUNTIF(INDIRECT("K_"&amp;MATCH(INDEX(checklistPesertaKemenkeu!$J$6:$J$1005,SMALL(IF(checklistPesertaKemenkeu!$AY$6:$AY$1005="Direkomendasikan",ROW($6:$1005)-5),314)),BidangList,0)),INDEX(checklistPesertaKemenkeu!$P$6:$P$1005,SMALL(IF(checklistPesertaKemenkeu!$AY$6:$AY$1005="Direkomendasikan",ROW($6:$1005)-5),314)))&gt;0,COUNTIF(INDIRECT("'KERTAS KERJA'!K"&amp;(SMALL(IF(checklistPesertaKemenkeu!$AY$6:$AY$1005="Direkomendasikan",ROW($6:$1005)-5),314)+5)&amp;":O"&amp;(SMALL(IF(checklistPesertaKemenkeu!$AY$6:$AY$1005="Direkomendasikan",ROW($6:$1005)-5),314)+5)),INDEX(checklistPesertaKemenkeu!$P$6:$P$1005,SMALL(IF(checklistPesertaKemenkeu!$AY$6:$AY$1005="Direkomendasikan",ROW($6:$1005)-5),314)))=1),IFERROR(VLOOKUP(INDEX(checklistPesertaKemenkeu!$P$6:$P$1005,SMALL(IF(checklistPesertaKemenkeu!$AY$6:$AY$1005="Direkomendasikan",ROW($6:$1005)-5),314)),KotaKode,2,0),"-"),"")),"")</f>
        <v/>
      </c>
    </row>
    <row r="316" spans="1:12" ht="15" customHeight="1" x14ac:dyDescent="0.2">
      <c r="A316" t="str">
        <f t="shared" si="4"/>
        <v/>
      </c>
      <c r="B316" t="str">
        <v/>
      </c>
      <c r="C316" s="40" t="str">
        <f t="array" ref="C316">IFERROR(INDEX(checklistPesertaKemenkeu!$F$6:$F$1005,SMALL(IF(checklistPesertaKemenkeu!$AY$6:$AY$1005="Direkomendasikan",ROW($6:$1005)-5),315)),"")</f>
        <v/>
      </c>
      <c r="D316" t="str">
        <f t="array" ref="D316">IFERROR(INDEX(checklistPesertaKemenkeu!$G$6:$G$1005,SMALL(IF(checklistPesertaKemenkeu!$AY$6:$AY$1005="Direkomendasikan",ROW($6:$1005)-5),315)),"")</f>
        <v/>
      </c>
      <c r="E316" t="str">
        <f t="array" ref="E316">IFERROR(INDEX(checklistPesertaKemenkeu!$H$6:$H$1005,SMALL(IF(checklistPesertaKemenkeu!$AY$6:$AY$1005="Direkomendasikan",ROW($6:$1005)-5),315)),"")</f>
        <v/>
      </c>
      <c r="F316" t="str">
        <f t="array" ref="F316">IFERROR(INDEX(checklistPesertaKemenkeu!$I$6:$I$1005,SMALL(IF(checklistPesertaKemenkeu!$AY$6:$AY$1005="Direkomendasikan",ROW($6:$1005)-5),315)),"")</f>
        <v/>
      </c>
      <c r="G316" t="str">
        <f t="array" ref="G316">IFERROR(INDEX(checklistPesertaKemenkeu!$J$6:$J$1005,SMALL(IF(checklistPesertaKemenkeu!$AY$6:$AY$1005="Direkomendasikan",ROW($6:$1005)-5),315)),"")</f>
        <v/>
      </c>
      <c r="H316" t="str">
        <f t="array" aca="1" ref="H316" ca="1">IFERROR(IF(OR(INDEX(checklistPesertaKemenkeu!$L$6:$L$1005,SMALL(IF(checklistPesertaKemenkeu!$AY$6:$AY$1005="Direkomendasikan",ROW($6:$1005)-5),315))="",INDEX(checklistPesertaKemenkeu!$J$6:$J$1005,SMALL(IF(checklistPesertaKemenkeu!$AY$6:$AY$1005="Direkomendasikan",ROW($6:$1005)-5),315))=""),"",IF(AND(COUNTIF(INDIRECT("K_"&amp;MATCH(INDEX(checklistPesertaKemenkeu!$J$6:$J$1005,SMALL(IF(checklistPesertaKemenkeu!$AY$6:$AY$1005="Direkomendasikan",ROW($6:$1005)-5),315)),BidangList,0)),INDEX(checklistPesertaKemenkeu!$L$6:$L$1005,SMALL(IF(checklistPesertaKemenkeu!$AY$6:$AY$1005="Direkomendasikan",ROW($6:$1005)-5),315)))&gt;0,COUNTIF(INDIRECT("'KERTAS KERJA'!K"&amp;(SMALL(IF(checklistPesertaKemenkeu!$AY$6:$AY$1005="Direkomendasikan",ROW($6:$1005)-5),315)+5)&amp;":O"&amp;(SMALL(IF(checklistPesertaKemenkeu!$AY$6:$AY$1005="Direkomendasikan",ROW($6:$1005)-5),315)+5)),INDEX(checklistPesertaKemenkeu!$L$6:$L$1005,SMALL(IF(checklistPesertaKemenkeu!$AY$6:$AY$1005="Direkomendasikan",ROW($6:$1005)-5),315)))=1),IFERROR(VLOOKUP(INDEX(checklistPesertaKemenkeu!$L$6:$L$1005,SMALL(IF(checklistPesertaKemenkeu!$AY$6:$AY$1005="Direkomendasikan",ROW($6:$1005)-5),315)),KotaKode,2,0),"-"),"")),"")</f>
        <v/>
      </c>
      <c r="I316" t="str">
        <f t="array" aca="1" ref="I316" ca="1">IFERROR(IF(OR(INDEX(checklistPesertaKemenkeu!$M$6:$M$1005,SMALL(IF(checklistPesertaKemenkeu!$AY$6:$AY$1005="Direkomendasikan",ROW($6:$1005)-5),315))="",INDEX(checklistPesertaKemenkeu!$J$6:$J$1005,SMALL(IF(checklistPesertaKemenkeu!$AY$6:$AY$1005="Direkomendasikan",ROW($6:$1005)-5),315))=""),"",IF(AND(COUNTIF(INDIRECT("K_"&amp;MATCH(INDEX(checklistPesertaKemenkeu!$J$6:$J$1005,SMALL(IF(checklistPesertaKemenkeu!$AY$6:$AY$1005="Direkomendasikan",ROW($6:$1005)-5),315)),BidangList,0)),INDEX(checklistPesertaKemenkeu!$M$6:$M$1005,SMALL(IF(checklistPesertaKemenkeu!$AY$6:$AY$1005="Direkomendasikan",ROW($6:$1005)-5),315)))&gt;0,COUNTIF(INDIRECT("'KERTAS KERJA'!K"&amp;(SMALL(IF(checklistPesertaKemenkeu!$AY$6:$AY$1005="Direkomendasikan",ROW($6:$1005)-5),315)+5)&amp;":O"&amp;(SMALL(IF(checklistPesertaKemenkeu!$AY$6:$AY$1005="Direkomendasikan",ROW($6:$1005)-5),315)+5)),INDEX(checklistPesertaKemenkeu!$M$6:$M$1005,SMALL(IF(checklistPesertaKemenkeu!$AY$6:$AY$1005="Direkomendasikan",ROW($6:$1005)-5),315)))=1),IFERROR(VLOOKUP(INDEX(checklistPesertaKemenkeu!$M$6:$M$1005,SMALL(IF(checklistPesertaKemenkeu!$AY$6:$AY$1005="Direkomendasikan",ROW($6:$1005)-5),315)),KotaKode,2,0),"-"),"")),"")</f>
        <v/>
      </c>
      <c r="J316" t="str">
        <f t="array" aca="1" ref="J316" ca="1">IFERROR(IF(OR(INDEX(checklistPesertaKemenkeu!$N$6:$N$1005,SMALL(IF(checklistPesertaKemenkeu!$AY$6:$AY$1005="Direkomendasikan",ROW($6:$1005)-5),315))="",INDEX(checklistPesertaKemenkeu!$J$6:$J$1005,SMALL(IF(checklistPesertaKemenkeu!$AY$6:$AY$1005="Direkomendasikan",ROW($6:$1005)-5),315))=""),"",IF(AND(COUNTIF(INDIRECT("K_"&amp;MATCH(INDEX(checklistPesertaKemenkeu!$J$6:$J$1005,SMALL(IF(checklistPesertaKemenkeu!$AY$6:$AY$1005="Direkomendasikan",ROW($6:$1005)-5),315)),BidangList,0)),INDEX(checklistPesertaKemenkeu!$N$6:$N$1005,SMALL(IF(checklistPesertaKemenkeu!$AY$6:$AY$1005="Direkomendasikan",ROW($6:$1005)-5),315)))&gt;0,COUNTIF(INDIRECT("'KERTAS KERJA'!K"&amp;(SMALL(IF(checklistPesertaKemenkeu!$AY$6:$AY$1005="Direkomendasikan",ROW($6:$1005)-5),315)+5)&amp;":O"&amp;(SMALL(IF(checklistPesertaKemenkeu!$AY$6:$AY$1005="Direkomendasikan",ROW($6:$1005)-5),315)+5)),INDEX(checklistPesertaKemenkeu!$N$6:$N$1005,SMALL(IF(checklistPesertaKemenkeu!$AY$6:$AY$1005="Direkomendasikan",ROW($6:$1005)-5),315)))=1),IFERROR(VLOOKUP(INDEX(checklistPesertaKemenkeu!$N$6:$N$1005,SMALL(IF(checklistPesertaKemenkeu!$AY$6:$AY$1005="Direkomendasikan",ROW($6:$1005)-5),315)),KotaKode,2,0),"-"),"")),"")</f>
        <v/>
      </c>
      <c r="K316" t="str">
        <f t="array" aca="1" ref="K316" ca="1">IFERROR(IF(OR(INDEX(checklistPesertaKemenkeu!$O$6:$O$1005,SMALL(IF(checklistPesertaKemenkeu!$AY$6:$AY$1005="Direkomendasikan",ROW($6:$1005)-5),315))="",INDEX(checklistPesertaKemenkeu!$J$6:$J$1005,SMALL(IF(checklistPesertaKemenkeu!$AY$6:$AY$1005="Direkomendasikan",ROW($6:$1005)-5),315))=""),"",IF(AND(COUNTIF(INDIRECT("K_"&amp;MATCH(INDEX(checklistPesertaKemenkeu!$J$6:$J$1005,SMALL(IF(checklistPesertaKemenkeu!$AY$6:$AY$1005="Direkomendasikan",ROW($6:$1005)-5),315)),BidangList,0)),INDEX(checklistPesertaKemenkeu!$O$6:$O$1005,SMALL(IF(checklistPesertaKemenkeu!$AY$6:$AY$1005="Direkomendasikan",ROW($6:$1005)-5),315)))&gt;0,COUNTIF(INDIRECT("'KERTAS KERJA'!K"&amp;(SMALL(IF(checklistPesertaKemenkeu!$AY$6:$AY$1005="Direkomendasikan",ROW($6:$1005)-5),315)+5)&amp;":O"&amp;(SMALL(IF(checklistPesertaKemenkeu!$AY$6:$AY$1005="Direkomendasikan",ROW($6:$1005)-5),315)+5)),INDEX(checklistPesertaKemenkeu!$O$6:$O$1005,SMALL(IF(checklistPesertaKemenkeu!$AY$6:$AY$1005="Direkomendasikan",ROW($6:$1005)-5),315)))=1),IFERROR(VLOOKUP(INDEX(checklistPesertaKemenkeu!$O$6:$O$1005,SMALL(IF(checklistPesertaKemenkeu!$AY$6:$AY$1005="Direkomendasikan",ROW($6:$1005)-5),315)),KotaKode,2,0),"-"),"")),"")</f>
        <v/>
      </c>
      <c r="L316" t="str">
        <f t="array" aca="1" ref="L316" ca="1">IFERROR(IF(OR(INDEX(checklistPesertaKemenkeu!$P$6:$P$1005,SMALL(IF(checklistPesertaKemenkeu!$AY$6:$AY$1005="Direkomendasikan",ROW($6:$1005)-5),315))="",INDEX(checklistPesertaKemenkeu!$J$6:$J$1005,SMALL(IF(checklistPesertaKemenkeu!$AY$6:$AY$1005="Direkomendasikan",ROW($6:$1005)-5),315))=""),"",IF(AND(COUNTIF(INDIRECT("K_"&amp;MATCH(INDEX(checklistPesertaKemenkeu!$J$6:$J$1005,SMALL(IF(checklistPesertaKemenkeu!$AY$6:$AY$1005="Direkomendasikan",ROW($6:$1005)-5),315)),BidangList,0)),INDEX(checklistPesertaKemenkeu!$P$6:$P$1005,SMALL(IF(checklistPesertaKemenkeu!$AY$6:$AY$1005="Direkomendasikan",ROW($6:$1005)-5),315)))&gt;0,COUNTIF(INDIRECT("'KERTAS KERJA'!K"&amp;(SMALL(IF(checklistPesertaKemenkeu!$AY$6:$AY$1005="Direkomendasikan",ROW($6:$1005)-5),315)+5)&amp;":O"&amp;(SMALL(IF(checklistPesertaKemenkeu!$AY$6:$AY$1005="Direkomendasikan",ROW($6:$1005)-5),315)+5)),INDEX(checklistPesertaKemenkeu!$P$6:$P$1005,SMALL(IF(checklistPesertaKemenkeu!$AY$6:$AY$1005="Direkomendasikan",ROW($6:$1005)-5),315)))=1),IFERROR(VLOOKUP(INDEX(checklistPesertaKemenkeu!$P$6:$P$1005,SMALL(IF(checklistPesertaKemenkeu!$AY$6:$AY$1005="Direkomendasikan",ROW($6:$1005)-5),315)),KotaKode,2,0),"-"),"")),"")</f>
        <v/>
      </c>
    </row>
    <row r="317" spans="1:12" ht="15" customHeight="1" x14ac:dyDescent="0.2">
      <c r="A317" t="str">
        <f t="shared" si="4"/>
        <v/>
      </c>
      <c r="B317" t="str">
        <v/>
      </c>
      <c r="C317" s="40" t="str">
        <f t="array" ref="C317">IFERROR(INDEX(checklistPesertaKemenkeu!$F$6:$F$1005,SMALL(IF(checklistPesertaKemenkeu!$AY$6:$AY$1005="Direkomendasikan",ROW($6:$1005)-5),316)),"")</f>
        <v/>
      </c>
      <c r="D317" t="str">
        <f t="array" ref="D317">IFERROR(INDEX(checklistPesertaKemenkeu!$G$6:$G$1005,SMALL(IF(checklistPesertaKemenkeu!$AY$6:$AY$1005="Direkomendasikan",ROW($6:$1005)-5),316)),"")</f>
        <v/>
      </c>
      <c r="E317" t="str">
        <f t="array" ref="E317">IFERROR(INDEX(checklistPesertaKemenkeu!$H$6:$H$1005,SMALL(IF(checklistPesertaKemenkeu!$AY$6:$AY$1005="Direkomendasikan",ROW($6:$1005)-5),316)),"")</f>
        <v/>
      </c>
      <c r="F317" t="str">
        <f t="array" ref="F317">IFERROR(INDEX(checklistPesertaKemenkeu!$I$6:$I$1005,SMALL(IF(checklistPesertaKemenkeu!$AY$6:$AY$1005="Direkomendasikan",ROW($6:$1005)-5),316)),"")</f>
        <v/>
      </c>
      <c r="G317" t="str">
        <f t="array" ref="G317">IFERROR(INDEX(checklistPesertaKemenkeu!$J$6:$J$1005,SMALL(IF(checklistPesertaKemenkeu!$AY$6:$AY$1005="Direkomendasikan",ROW($6:$1005)-5),316)),"")</f>
        <v/>
      </c>
      <c r="H317" t="str">
        <f t="array" aca="1" ref="H317" ca="1">IFERROR(IF(OR(INDEX(checklistPesertaKemenkeu!$L$6:$L$1005,SMALL(IF(checklistPesertaKemenkeu!$AY$6:$AY$1005="Direkomendasikan",ROW($6:$1005)-5),316))="",INDEX(checklistPesertaKemenkeu!$J$6:$J$1005,SMALL(IF(checklistPesertaKemenkeu!$AY$6:$AY$1005="Direkomendasikan",ROW($6:$1005)-5),316))=""),"",IF(AND(COUNTIF(INDIRECT("K_"&amp;MATCH(INDEX(checklistPesertaKemenkeu!$J$6:$J$1005,SMALL(IF(checklistPesertaKemenkeu!$AY$6:$AY$1005="Direkomendasikan",ROW($6:$1005)-5),316)),BidangList,0)),INDEX(checklistPesertaKemenkeu!$L$6:$L$1005,SMALL(IF(checklistPesertaKemenkeu!$AY$6:$AY$1005="Direkomendasikan",ROW($6:$1005)-5),316)))&gt;0,COUNTIF(INDIRECT("'KERTAS KERJA'!K"&amp;(SMALL(IF(checklistPesertaKemenkeu!$AY$6:$AY$1005="Direkomendasikan",ROW($6:$1005)-5),316)+5)&amp;":O"&amp;(SMALL(IF(checklistPesertaKemenkeu!$AY$6:$AY$1005="Direkomendasikan",ROW($6:$1005)-5),316)+5)),INDEX(checklistPesertaKemenkeu!$L$6:$L$1005,SMALL(IF(checklistPesertaKemenkeu!$AY$6:$AY$1005="Direkomendasikan",ROW($6:$1005)-5),316)))=1),IFERROR(VLOOKUP(INDEX(checklistPesertaKemenkeu!$L$6:$L$1005,SMALL(IF(checklistPesertaKemenkeu!$AY$6:$AY$1005="Direkomendasikan",ROW($6:$1005)-5),316)),KotaKode,2,0),"-"),"")),"")</f>
        <v/>
      </c>
      <c r="I317" t="str">
        <f t="array" aca="1" ref="I317" ca="1">IFERROR(IF(OR(INDEX(checklistPesertaKemenkeu!$M$6:$M$1005,SMALL(IF(checklistPesertaKemenkeu!$AY$6:$AY$1005="Direkomendasikan",ROW($6:$1005)-5),316))="",INDEX(checklistPesertaKemenkeu!$J$6:$J$1005,SMALL(IF(checklistPesertaKemenkeu!$AY$6:$AY$1005="Direkomendasikan",ROW($6:$1005)-5),316))=""),"",IF(AND(COUNTIF(INDIRECT("K_"&amp;MATCH(INDEX(checklistPesertaKemenkeu!$J$6:$J$1005,SMALL(IF(checklistPesertaKemenkeu!$AY$6:$AY$1005="Direkomendasikan",ROW($6:$1005)-5),316)),BidangList,0)),INDEX(checklistPesertaKemenkeu!$M$6:$M$1005,SMALL(IF(checklistPesertaKemenkeu!$AY$6:$AY$1005="Direkomendasikan",ROW($6:$1005)-5),316)))&gt;0,COUNTIF(INDIRECT("'KERTAS KERJA'!K"&amp;(SMALL(IF(checklistPesertaKemenkeu!$AY$6:$AY$1005="Direkomendasikan",ROW($6:$1005)-5),316)+5)&amp;":O"&amp;(SMALL(IF(checklistPesertaKemenkeu!$AY$6:$AY$1005="Direkomendasikan",ROW($6:$1005)-5),316)+5)),INDEX(checklistPesertaKemenkeu!$M$6:$M$1005,SMALL(IF(checklistPesertaKemenkeu!$AY$6:$AY$1005="Direkomendasikan",ROW($6:$1005)-5),316)))=1),IFERROR(VLOOKUP(INDEX(checklistPesertaKemenkeu!$M$6:$M$1005,SMALL(IF(checklistPesertaKemenkeu!$AY$6:$AY$1005="Direkomendasikan",ROW($6:$1005)-5),316)),KotaKode,2,0),"-"),"")),"")</f>
        <v/>
      </c>
      <c r="J317" t="str">
        <f t="array" aca="1" ref="J317" ca="1">IFERROR(IF(OR(INDEX(checklistPesertaKemenkeu!$N$6:$N$1005,SMALL(IF(checklistPesertaKemenkeu!$AY$6:$AY$1005="Direkomendasikan",ROW($6:$1005)-5),316))="",INDEX(checklistPesertaKemenkeu!$J$6:$J$1005,SMALL(IF(checklistPesertaKemenkeu!$AY$6:$AY$1005="Direkomendasikan",ROW($6:$1005)-5),316))=""),"",IF(AND(COUNTIF(INDIRECT("K_"&amp;MATCH(INDEX(checklistPesertaKemenkeu!$J$6:$J$1005,SMALL(IF(checklistPesertaKemenkeu!$AY$6:$AY$1005="Direkomendasikan",ROW($6:$1005)-5),316)),BidangList,0)),INDEX(checklistPesertaKemenkeu!$N$6:$N$1005,SMALL(IF(checklistPesertaKemenkeu!$AY$6:$AY$1005="Direkomendasikan",ROW($6:$1005)-5),316)))&gt;0,COUNTIF(INDIRECT("'KERTAS KERJA'!K"&amp;(SMALL(IF(checklistPesertaKemenkeu!$AY$6:$AY$1005="Direkomendasikan",ROW($6:$1005)-5),316)+5)&amp;":O"&amp;(SMALL(IF(checklistPesertaKemenkeu!$AY$6:$AY$1005="Direkomendasikan",ROW($6:$1005)-5),316)+5)),INDEX(checklistPesertaKemenkeu!$N$6:$N$1005,SMALL(IF(checklistPesertaKemenkeu!$AY$6:$AY$1005="Direkomendasikan",ROW($6:$1005)-5),316)))=1),IFERROR(VLOOKUP(INDEX(checklistPesertaKemenkeu!$N$6:$N$1005,SMALL(IF(checklistPesertaKemenkeu!$AY$6:$AY$1005="Direkomendasikan",ROW($6:$1005)-5),316)),KotaKode,2,0),"-"),"")),"")</f>
        <v/>
      </c>
      <c r="K317" t="str">
        <f t="array" aca="1" ref="K317" ca="1">IFERROR(IF(OR(INDEX(checklistPesertaKemenkeu!$O$6:$O$1005,SMALL(IF(checklistPesertaKemenkeu!$AY$6:$AY$1005="Direkomendasikan",ROW($6:$1005)-5),316))="",INDEX(checklistPesertaKemenkeu!$J$6:$J$1005,SMALL(IF(checklistPesertaKemenkeu!$AY$6:$AY$1005="Direkomendasikan",ROW($6:$1005)-5),316))=""),"",IF(AND(COUNTIF(INDIRECT("K_"&amp;MATCH(INDEX(checklistPesertaKemenkeu!$J$6:$J$1005,SMALL(IF(checklistPesertaKemenkeu!$AY$6:$AY$1005="Direkomendasikan",ROW($6:$1005)-5),316)),BidangList,0)),INDEX(checklistPesertaKemenkeu!$O$6:$O$1005,SMALL(IF(checklistPesertaKemenkeu!$AY$6:$AY$1005="Direkomendasikan",ROW($6:$1005)-5),316)))&gt;0,COUNTIF(INDIRECT("'KERTAS KERJA'!K"&amp;(SMALL(IF(checklistPesertaKemenkeu!$AY$6:$AY$1005="Direkomendasikan",ROW($6:$1005)-5),316)+5)&amp;":O"&amp;(SMALL(IF(checklistPesertaKemenkeu!$AY$6:$AY$1005="Direkomendasikan",ROW($6:$1005)-5),316)+5)),INDEX(checklistPesertaKemenkeu!$O$6:$O$1005,SMALL(IF(checklistPesertaKemenkeu!$AY$6:$AY$1005="Direkomendasikan",ROW($6:$1005)-5),316)))=1),IFERROR(VLOOKUP(INDEX(checklistPesertaKemenkeu!$O$6:$O$1005,SMALL(IF(checklistPesertaKemenkeu!$AY$6:$AY$1005="Direkomendasikan",ROW($6:$1005)-5),316)),KotaKode,2,0),"-"),"")),"")</f>
        <v/>
      </c>
      <c r="L317" t="str">
        <f t="array" aca="1" ref="L317" ca="1">IFERROR(IF(OR(INDEX(checklistPesertaKemenkeu!$P$6:$P$1005,SMALL(IF(checklistPesertaKemenkeu!$AY$6:$AY$1005="Direkomendasikan",ROW($6:$1005)-5),316))="",INDEX(checklistPesertaKemenkeu!$J$6:$J$1005,SMALL(IF(checklistPesertaKemenkeu!$AY$6:$AY$1005="Direkomendasikan",ROW($6:$1005)-5),316))=""),"",IF(AND(COUNTIF(INDIRECT("K_"&amp;MATCH(INDEX(checklistPesertaKemenkeu!$J$6:$J$1005,SMALL(IF(checklistPesertaKemenkeu!$AY$6:$AY$1005="Direkomendasikan",ROW($6:$1005)-5),316)),BidangList,0)),INDEX(checklistPesertaKemenkeu!$P$6:$P$1005,SMALL(IF(checklistPesertaKemenkeu!$AY$6:$AY$1005="Direkomendasikan",ROW($6:$1005)-5),316)))&gt;0,COUNTIF(INDIRECT("'KERTAS KERJA'!K"&amp;(SMALL(IF(checklistPesertaKemenkeu!$AY$6:$AY$1005="Direkomendasikan",ROW($6:$1005)-5),316)+5)&amp;":O"&amp;(SMALL(IF(checklistPesertaKemenkeu!$AY$6:$AY$1005="Direkomendasikan",ROW($6:$1005)-5),316)+5)),INDEX(checklistPesertaKemenkeu!$P$6:$P$1005,SMALL(IF(checklistPesertaKemenkeu!$AY$6:$AY$1005="Direkomendasikan",ROW($6:$1005)-5),316)))=1),IFERROR(VLOOKUP(INDEX(checklistPesertaKemenkeu!$P$6:$P$1005,SMALL(IF(checklistPesertaKemenkeu!$AY$6:$AY$1005="Direkomendasikan",ROW($6:$1005)-5),316)),KotaKode,2,0),"-"),"")),"")</f>
        <v/>
      </c>
    </row>
    <row r="318" spans="1:12" ht="15" customHeight="1" x14ac:dyDescent="0.2">
      <c r="A318" t="str">
        <f t="shared" si="4"/>
        <v/>
      </c>
      <c r="B318" t="str">
        <v/>
      </c>
      <c r="C318" s="40" t="str">
        <f t="array" ref="C318">IFERROR(INDEX(checklistPesertaKemenkeu!$F$6:$F$1005,SMALL(IF(checklistPesertaKemenkeu!$AY$6:$AY$1005="Direkomendasikan",ROW($6:$1005)-5),317)),"")</f>
        <v/>
      </c>
      <c r="D318" t="str">
        <f t="array" ref="D318">IFERROR(INDEX(checklistPesertaKemenkeu!$G$6:$G$1005,SMALL(IF(checklistPesertaKemenkeu!$AY$6:$AY$1005="Direkomendasikan",ROW($6:$1005)-5),317)),"")</f>
        <v/>
      </c>
      <c r="E318" t="str">
        <f t="array" ref="E318">IFERROR(INDEX(checklistPesertaKemenkeu!$H$6:$H$1005,SMALL(IF(checklistPesertaKemenkeu!$AY$6:$AY$1005="Direkomendasikan",ROW($6:$1005)-5),317)),"")</f>
        <v/>
      </c>
      <c r="F318" t="str">
        <f t="array" ref="F318">IFERROR(INDEX(checklistPesertaKemenkeu!$I$6:$I$1005,SMALL(IF(checklistPesertaKemenkeu!$AY$6:$AY$1005="Direkomendasikan",ROW($6:$1005)-5),317)),"")</f>
        <v/>
      </c>
      <c r="G318" t="str">
        <f t="array" ref="G318">IFERROR(INDEX(checklistPesertaKemenkeu!$J$6:$J$1005,SMALL(IF(checklistPesertaKemenkeu!$AY$6:$AY$1005="Direkomendasikan",ROW($6:$1005)-5),317)),"")</f>
        <v/>
      </c>
      <c r="H318" t="str">
        <f t="array" aca="1" ref="H318" ca="1">IFERROR(IF(OR(INDEX(checklistPesertaKemenkeu!$L$6:$L$1005,SMALL(IF(checklistPesertaKemenkeu!$AY$6:$AY$1005="Direkomendasikan",ROW($6:$1005)-5),317))="",INDEX(checklistPesertaKemenkeu!$J$6:$J$1005,SMALL(IF(checklistPesertaKemenkeu!$AY$6:$AY$1005="Direkomendasikan",ROW($6:$1005)-5),317))=""),"",IF(AND(COUNTIF(INDIRECT("K_"&amp;MATCH(INDEX(checklistPesertaKemenkeu!$J$6:$J$1005,SMALL(IF(checklistPesertaKemenkeu!$AY$6:$AY$1005="Direkomendasikan",ROW($6:$1005)-5),317)),BidangList,0)),INDEX(checklistPesertaKemenkeu!$L$6:$L$1005,SMALL(IF(checklistPesertaKemenkeu!$AY$6:$AY$1005="Direkomendasikan",ROW($6:$1005)-5),317)))&gt;0,COUNTIF(INDIRECT("'KERTAS KERJA'!K"&amp;(SMALL(IF(checklistPesertaKemenkeu!$AY$6:$AY$1005="Direkomendasikan",ROW($6:$1005)-5),317)+5)&amp;":O"&amp;(SMALL(IF(checklistPesertaKemenkeu!$AY$6:$AY$1005="Direkomendasikan",ROW($6:$1005)-5),317)+5)),INDEX(checklistPesertaKemenkeu!$L$6:$L$1005,SMALL(IF(checklistPesertaKemenkeu!$AY$6:$AY$1005="Direkomendasikan",ROW($6:$1005)-5),317)))=1),IFERROR(VLOOKUP(INDEX(checklistPesertaKemenkeu!$L$6:$L$1005,SMALL(IF(checklistPesertaKemenkeu!$AY$6:$AY$1005="Direkomendasikan",ROW($6:$1005)-5),317)),KotaKode,2,0),"-"),"")),"")</f>
        <v/>
      </c>
      <c r="I318" t="str">
        <f t="array" aca="1" ref="I318" ca="1">IFERROR(IF(OR(INDEX(checklistPesertaKemenkeu!$M$6:$M$1005,SMALL(IF(checklistPesertaKemenkeu!$AY$6:$AY$1005="Direkomendasikan",ROW($6:$1005)-5),317))="",INDEX(checklistPesertaKemenkeu!$J$6:$J$1005,SMALL(IF(checklistPesertaKemenkeu!$AY$6:$AY$1005="Direkomendasikan",ROW($6:$1005)-5),317))=""),"",IF(AND(COUNTIF(INDIRECT("K_"&amp;MATCH(INDEX(checklistPesertaKemenkeu!$J$6:$J$1005,SMALL(IF(checklistPesertaKemenkeu!$AY$6:$AY$1005="Direkomendasikan",ROW($6:$1005)-5),317)),BidangList,0)),INDEX(checklistPesertaKemenkeu!$M$6:$M$1005,SMALL(IF(checklistPesertaKemenkeu!$AY$6:$AY$1005="Direkomendasikan",ROW($6:$1005)-5),317)))&gt;0,COUNTIF(INDIRECT("'KERTAS KERJA'!K"&amp;(SMALL(IF(checklistPesertaKemenkeu!$AY$6:$AY$1005="Direkomendasikan",ROW($6:$1005)-5),317)+5)&amp;":O"&amp;(SMALL(IF(checklistPesertaKemenkeu!$AY$6:$AY$1005="Direkomendasikan",ROW($6:$1005)-5),317)+5)),INDEX(checklistPesertaKemenkeu!$M$6:$M$1005,SMALL(IF(checklistPesertaKemenkeu!$AY$6:$AY$1005="Direkomendasikan",ROW($6:$1005)-5),317)))=1),IFERROR(VLOOKUP(INDEX(checklistPesertaKemenkeu!$M$6:$M$1005,SMALL(IF(checklistPesertaKemenkeu!$AY$6:$AY$1005="Direkomendasikan",ROW($6:$1005)-5),317)),KotaKode,2,0),"-"),"")),"")</f>
        <v/>
      </c>
      <c r="J318" t="str">
        <f t="array" aca="1" ref="J318" ca="1">IFERROR(IF(OR(INDEX(checklistPesertaKemenkeu!$N$6:$N$1005,SMALL(IF(checklistPesertaKemenkeu!$AY$6:$AY$1005="Direkomendasikan",ROW($6:$1005)-5),317))="",INDEX(checklistPesertaKemenkeu!$J$6:$J$1005,SMALL(IF(checklistPesertaKemenkeu!$AY$6:$AY$1005="Direkomendasikan",ROW($6:$1005)-5),317))=""),"",IF(AND(COUNTIF(INDIRECT("K_"&amp;MATCH(INDEX(checklistPesertaKemenkeu!$J$6:$J$1005,SMALL(IF(checklistPesertaKemenkeu!$AY$6:$AY$1005="Direkomendasikan",ROW($6:$1005)-5),317)),BidangList,0)),INDEX(checklistPesertaKemenkeu!$N$6:$N$1005,SMALL(IF(checklistPesertaKemenkeu!$AY$6:$AY$1005="Direkomendasikan",ROW($6:$1005)-5),317)))&gt;0,COUNTIF(INDIRECT("'KERTAS KERJA'!K"&amp;(SMALL(IF(checklistPesertaKemenkeu!$AY$6:$AY$1005="Direkomendasikan",ROW($6:$1005)-5),317)+5)&amp;":O"&amp;(SMALL(IF(checklistPesertaKemenkeu!$AY$6:$AY$1005="Direkomendasikan",ROW($6:$1005)-5),317)+5)),INDEX(checklistPesertaKemenkeu!$N$6:$N$1005,SMALL(IF(checklistPesertaKemenkeu!$AY$6:$AY$1005="Direkomendasikan",ROW($6:$1005)-5),317)))=1),IFERROR(VLOOKUP(INDEX(checklistPesertaKemenkeu!$N$6:$N$1005,SMALL(IF(checklistPesertaKemenkeu!$AY$6:$AY$1005="Direkomendasikan",ROW($6:$1005)-5),317)),KotaKode,2,0),"-"),"")),"")</f>
        <v/>
      </c>
      <c r="K318" t="str">
        <f t="array" aca="1" ref="K318" ca="1">IFERROR(IF(OR(INDEX(checklistPesertaKemenkeu!$O$6:$O$1005,SMALL(IF(checklistPesertaKemenkeu!$AY$6:$AY$1005="Direkomendasikan",ROW($6:$1005)-5),317))="",INDEX(checklistPesertaKemenkeu!$J$6:$J$1005,SMALL(IF(checklistPesertaKemenkeu!$AY$6:$AY$1005="Direkomendasikan",ROW($6:$1005)-5),317))=""),"",IF(AND(COUNTIF(INDIRECT("K_"&amp;MATCH(INDEX(checklistPesertaKemenkeu!$J$6:$J$1005,SMALL(IF(checklistPesertaKemenkeu!$AY$6:$AY$1005="Direkomendasikan",ROW($6:$1005)-5),317)),BidangList,0)),INDEX(checklistPesertaKemenkeu!$O$6:$O$1005,SMALL(IF(checklistPesertaKemenkeu!$AY$6:$AY$1005="Direkomendasikan",ROW($6:$1005)-5),317)))&gt;0,COUNTIF(INDIRECT("'KERTAS KERJA'!K"&amp;(SMALL(IF(checklistPesertaKemenkeu!$AY$6:$AY$1005="Direkomendasikan",ROW($6:$1005)-5),317)+5)&amp;":O"&amp;(SMALL(IF(checklistPesertaKemenkeu!$AY$6:$AY$1005="Direkomendasikan",ROW($6:$1005)-5),317)+5)),INDEX(checklistPesertaKemenkeu!$O$6:$O$1005,SMALL(IF(checklistPesertaKemenkeu!$AY$6:$AY$1005="Direkomendasikan",ROW($6:$1005)-5),317)))=1),IFERROR(VLOOKUP(INDEX(checklistPesertaKemenkeu!$O$6:$O$1005,SMALL(IF(checklistPesertaKemenkeu!$AY$6:$AY$1005="Direkomendasikan",ROW($6:$1005)-5),317)),KotaKode,2,0),"-"),"")),"")</f>
        <v/>
      </c>
      <c r="L318" t="str">
        <f t="array" aca="1" ref="L318" ca="1">IFERROR(IF(OR(INDEX(checklistPesertaKemenkeu!$P$6:$P$1005,SMALL(IF(checklistPesertaKemenkeu!$AY$6:$AY$1005="Direkomendasikan",ROW($6:$1005)-5),317))="",INDEX(checklistPesertaKemenkeu!$J$6:$J$1005,SMALL(IF(checklistPesertaKemenkeu!$AY$6:$AY$1005="Direkomendasikan",ROW($6:$1005)-5),317))=""),"",IF(AND(COUNTIF(INDIRECT("K_"&amp;MATCH(INDEX(checklistPesertaKemenkeu!$J$6:$J$1005,SMALL(IF(checklistPesertaKemenkeu!$AY$6:$AY$1005="Direkomendasikan",ROW($6:$1005)-5),317)),BidangList,0)),INDEX(checklistPesertaKemenkeu!$P$6:$P$1005,SMALL(IF(checklistPesertaKemenkeu!$AY$6:$AY$1005="Direkomendasikan",ROW($6:$1005)-5),317)))&gt;0,COUNTIF(INDIRECT("'KERTAS KERJA'!K"&amp;(SMALL(IF(checklistPesertaKemenkeu!$AY$6:$AY$1005="Direkomendasikan",ROW($6:$1005)-5),317)+5)&amp;":O"&amp;(SMALL(IF(checklistPesertaKemenkeu!$AY$6:$AY$1005="Direkomendasikan",ROW($6:$1005)-5),317)+5)),INDEX(checklistPesertaKemenkeu!$P$6:$P$1005,SMALL(IF(checklistPesertaKemenkeu!$AY$6:$AY$1005="Direkomendasikan",ROW($6:$1005)-5),317)))=1),IFERROR(VLOOKUP(INDEX(checklistPesertaKemenkeu!$P$6:$P$1005,SMALL(IF(checklistPesertaKemenkeu!$AY$6:$AY$1005="Direkomendasikan",ROW($6:$1005)-5),317)),KotaKode,2,0),"-"),"")),"")</f>
        <v/>
      </c>
    </row>
    <row r="319" spans="1:12" ht="15" customHeight="1" x14ac:dyDescent="0.2">
      <c r="A319" t="str">
        <f t="shared" si="4"/>
        <v/>
      </c>
      <c r="B319" t="str">
        <v/>
      </c>
      <c r="C319" s="40" t="str">
        <f t="array" ref="C319">IFERROR(INDEX(checklistPesertaKemenkeu!$F$6:$F$1005,SMALL(IF(checklistPesertaKemenkeu!$AY$6:$AY$1005="Direkomendasikan",ROW($6:$1005)-5),318)),"")</f>
        <v/>
      </c>
      <c r="D319" t="str">
        <f t="array" ref="D319">IFERROR(INDEX(checklistPesertaKemenkeu!$G$6:$G$1005,SMALL(IF(checklistPesertaKemenkeu!$AY$6:$AY$1005="Direkomendasikan",ROW($6:$1005)-5),318)),"")</f>
        <v/>
      </c>
      <c r="E319" t="str">
        <f t="array" ref="E319">IFERROR(INDEX(checklistPesertaKemenkeu!$H$6:$H$1005,SMALL(IF(checklistPesertaKemenkeu!$AY$6:$AY$1005="Direkomendasikan",ROW($6:$1005)-5),318)),"")</f>
        <v/>
      </c>
      <c r="F319" t="str">
        <f t="array" ref="F319">IFERROR(INDEX(checklistPesertaKemenkeu!$I$6:$I$1005,SMALL(IF(checklistPesertaKemenkeu!$AY$6:$AY$1005="Direkomendasikan",ROW($6:$1005)-5),318)),"")</f>
        <v/>
      </c>
      <c r="G319" t="str">
        <f t="array" ref="G319">IFERROR(INDEX(checklistPesertaKemenkeu!$J$6:$J$1005,SMALL(IF(checklistPesertaKemenkeu!$AY$6:$AY$1005="Direkomendasikan",ROW($6:$1005)-5),318)),"")</f>
        <v/>
      </c>
      <c r="H319" t="str">
        <f t="array" aca="1" ref="H319" ca="1">IFERROR(IF(OR(INDEX(checklistPesertaKemenkeu!$L$6:$L$1005,SMALL(IF(checklistPesertaKemenkeu!$AY$6:$AY$1005="Direkomendasikan",ROW($6:$1005)-5),318))="",INDEX(checklistPesertaKemenkeu!$J$6:$J$1005,SMALL(IF(checklistPesertaKemenkeu!$AY$6:$AY$1005="Direkomendasikan",ROW($6:$1005)-5),318))=""),"",IF(AND(COUNTIF(INDIRECT("K_"&amp;MATCH(INDEX(checklistPesertaKemenkeu!$J$6:$J$1005,SMALL(IF(checklistPesertaKemenkeu!$AY$6:$AY$1005="Direkomendasikan",ROW($6:$1005)-5),318)),BidangList,0)),INDEX(checklistPesertaKemenkeu!$L$6:$L$1005,SMALL(IF(checklistPesertaKemenkeu!$AY$6:$AY$1005="Direkomendasikan",ROW($6:$1005)-5),318)))&gt;0,COUNTIF(INDIRECT("'KERTAS KERJA'!K"&amp;(SMALL(IF(checklistPesertaKemenkeu!$AY$6:$AY$1005="Direkomendasikan",ROW($6:$1005)-5),318)+5)&amp;":O"&amp;(SMALL(IF(checklistPesertaKemenkeu!$AY$6:$AY$1005="Direkomendasikan",ROW($6:$1005)-5),318)+5)),INDEX(checklistPesertaKemenkeu!$L$6:$L$1005,SMALL(IF(checklistPesertaKemenkeu!$AY$6:$AY$1005="Direkomendasikan",ROW($6:$1005)-5),318)))=1),IFERROR(VLOOKUP(INDEX(checklistPesertaKemenkeu!$L$6:$L$1005,SMALL(IF(checklistPesertaKemenkeu!$AY$6:$AY$1005="Direkomendasikan",ROW($6:$1005)-5),318)),KotaKode,2,0),"-"),"")),"")</f>
        <v/>
      </c>
      <c r="I319" t="str">
        <f t="array" aca="1" ref="I319" ca="1">IFERROR(IF(OR(INDEX(checklistPesertaKemenkeu!$M$6:$M$1005,SMALL(IF(checklistPesertaKemenkeu!$AY$6:$AY$1005="Direkomendasikan",ROW($6:$1005)-5),318))="",INDEX(checklistPesertaKemenkeu!$J$6:$J$1005,SMALL(IF(checklistPesertaKemenkeu!$AY$6:$AY$1005="Direkomendasikan",ROW($6:$1005)-5),318))=""),"",IF(AND(COUNTIF(INDIRECT("K_"&amp;MATCH(INDEX(checklistPesertaKemenkeu!$J$6:$J$1005,SMALL(IF(checklistPesertaKemenkeu!$AY$6:$AY$1005="Direkomendasikan",ROW($6:$1005)-5),318)),BidangList,0)),INDEX(checklistPesertaKemenkeu!$M$6:$M$1005,SMALL(IF(checklistPesertaKemenkeu!$AY$6:$AY$1005="Direkomendasikan",ROW($6:$1005)-5),318)))&gt;0,COUNTIF(INDIRECT("'KERTAS KERJA'!K"&amp;(SMALL(IF(checklistPesertaKemenkeu!$AY$6:$AY$1005="Direkomendasikan",ROW($6:$1005)-5),318)+5)&amp;":O"&amp;(SMALL(IF(checklistPesertaKemenkeu!$AY$6:$AY$1005="Direkomendasikan",ROW($6:$1005)-5),318)+5)),INDEX(checklistPesertaKemenkeu!$M$6:$M$1005,SMALL(IF(checklistPesertaKemenkeu!$AY$6:$AY$1005="Direkomendasikan",ROW($6:$1005)-5),318)))=1),IFERROR(VLOOKUP(INDEX(checklistPesertaKemenkeu!$M$6:$M$1005,SMALL(IF(checklistPesertaKemenkeu!$AY$6:$AY$1005="Direkomendasikan",ROW($6:$1005)-5),318)),KotaKode,2,0),"-"),"")),"")</f>
        <v/>
      </c>
      <c r="J319" t="str">
        <f t="array" aca="1" ref="J319" ca="1">IFERROR(IF(OR(INDEX(checklistPesertaKemenkeu!$N$6:$N$1005,SMALL(IF(checklistPesertaKemenkeu!$AY$6:$AY$1005="Direkomendasikan",ROW($6:$1005)-5),318))="",INDEX(checklistPesertaKemenkeu!$J$6:$J$1005,SMALL(IF(checklistPesertaKemenkeu!$AY$6:$AY$1005="Direkomendasikan",ROW($6:$1005)-5),318))=""),"",IF(AND(COUNTIF(INDIRECT("K_"&amp;MATCH(INDEX(checklistPesertaKemenkeu!$J$6:$J$1005,SMALL(IF(checklistPesertaKemenkeu!$AY$6:$AY$1005="Direkomendasikan",ROW($6:$1005)-5),318)),BidangList,0)),INDEX(checklistPesertaKemenkeu!$N$6:$N$1005,SMALL(IF(checklistPesertaKemenkeu!$AY$6:$AY$1005="Direkomendasikan",ROW($6:$1005)-5),318)))&gt;0,COUNTIF(INDIRECT("'KERTAS KERJA'!K"&amp;(SMALL(IF(checklistPesertaKemenkeu!$AY$6:$AY$1005="Direkomendasikan",ROW($6:$1005)-5),318)+5)&amp;":O"&amp;(SMALL(IF(checklistPesertaKemenkeu!$AY$6:$AY$1005="Direkomendasikan",ROW($6:$1005)-5),318)+5)),INDEX(checklistPesertaKemenkeu!$N$6:$N$1005,SMALL(IF(checklistPesertaKemenkeu!$AY$6:$AY$1005="Direkomendasikan",ROW($6:$1005)-5),318)))=1),IFERROR(VLOOKUP(INDEX(checklistPesertaKemenkeu!$N$6:$N$1005,SMALL(IF(checklistPesertaKemenkeu!$AY$6:$AY$1005="Direkomendasikan",ROW($6:$1005)-5),318)),KotaKode,2,0),"-"),"")),"")</f>
        <v/>
      </c>
      <c r="K319" t="str">
        <f t="array" aca="1" ref="K319" ca="1">IFERROR(IF(OR(INDEX(checklistPesertaKemenkeu!$O$6:$O$1005,SMALL(IF(checklistPesertaKemenkeu!$AY$6:$AY$1005="Direkomendasikan",ROW($6:$1005)-5),318))="",INDEX(checklistPesertaKemenkeu!$J$6:$J$1005,SMALL(IF(checklistPesertaKemenkeu!$AY$6:$AY$1005="Direkomendasikan",ROW($6:$1005)-5),318))=""),"",IF(AND(COUNTIF(INDIRECT("K_"&amp;MATCH(INDEX(checklistPesertaKemenkeu!$J$6:$J$1005,SMALL(IF(checklistPesertaKemenkeu!$AY$6:$AY$1005="Direkomendasikan",ROW($6:$1005)-5),318)),BidangList,0)),INDEX(checklistPesertaKemenkeu!$O$6:$O$1005,SMALL(IF(checklistPesertaKemenkeu!$AY$6:$AY$1005="Direkomendasikan",ROW($6:$1005)-5),318)))&gt;0,COUNTIF(INDIRECT("'KERTAS KERJA'!K"&amp;(SMALL(IF(checklistPesertaKemenkeu!$AY$6:$AY$1005="Direkomendasikan",ROW($6:$1005)-5),318)+5)&amp;":O"&amp;(SMALL(IF(checklistPesertaKemenkeu!$AY$6:$AY$1005="Direkomendasikan",ROW($6:$1005)-5),318)+5)),INDEX(checklistPesertaKemenkeu!$O$6:$O$1005,SMALL(IF(checklistPesertaKemenkeu!$AY$6:$AY$1005="Direkomendasikan",ROW($6:$1005)-5),318)))=1),IFERROR(VLOOKUP(INDEX(checklistPesertaKemenkeu!$O$6:$O$1005,SMALL(IF(checklistPesertaKemenkeu!$AY$6:$AY$1005="Direkomendasikan",ROW($6:$1005)-5),318)),KotaKode,2,0),"-"),"")),"")</f>
        <v/>
      </c>
      <c r="L319" t="str">
        <f t="array" aca="1" ref="L319" ca="1">IFERROR(IF(OR(INDEX(checklistPesertaKemenkeu!$P$6:$P$1005,SMALL(IF(checklistPesertaKemenkeu!$AY$6:$AY$1005="Direkomendasikan",ROW($6:$1005)-5),318))="",INDEX(checklistPesertaKemenkeu!$J$6:$J$1005,SMALL(IF(checklistPesertaKemenkeu!$AY$6:$AY$1005="Direkomendasikan",ROW($6:$1005)-5),318))=""),"",IF(AND(COUNTIF(INDIRECT("K_"&amp;MATCH(INDEX(checklistPesertaKemenkeu!$J$6:$J$1005,SMALL(IF(checklistPesertaKemenkeu!$AY$6:$AY$1005="Direkomendasikan",ROW($6:$1005)-5),318)),BidangList,0)),INDEX(checklistPesertaKemenkeu!$P$6:$P$1005,SMALL(IF(checklistPesertaKemenkeu!$AY$6:$AY$1005="Direkomendasikan",ROW($6:$1005)-5),318)))&gt;0,COUNTIF(INDIRECT("'KERTAS KERJA'!K"&amp;(SMALL(IF(checklistPesertaKemenkeu!$AY$6:$AY$1005="Direkomendasikan",ROW($6:$1005)-5),318)+5)&amp;":O"&amp;(SMALL(IF(checklistPesertaKemenkeu!$AY$6:$AY$1005="Direkomendasikan",ROW($6:$1005)-5),318)+5)),INDEX(checklistPesertaKemenkeu!$P$6:$P$1005,SMALL(IF(checklistPesertaKemenkeu!$AY$6:$AY$1005="Direkomendasikan",ROW($6:$1005)-5),318)))=1),IFERROR(VLOOKUP(INDEX(checklistPesertaKemenkeu!$P$6:$P$1005,SMALL(IF(checklistPesertaKemenkeu!$AY$6:$AY$1005="Direkomendasikan",ROW($6:$1005)-5),318)),KotaKode,2,0),"-"),"")),"")</f>
        <v/>
      </c>
    </row>
    <row r="320" spans="1:12" ht="15" customHeight="1" x14ac:dyDescent="0.2">
      <c r="A320" t="str">
        <f t="shared" si="4"/>
        <v/>
      </c>
      <c r="B320" t="str">
        <v/>
      </c>
      <c r="C320" s="40" t="str">
        <f t="array" ref="C320">IFERROR(INDEX(checklistPesertaKemenkeu!$F$6:$F$1005,SMALL(IF(checklistPesertaKemenkeu!$AY$6:$AY$1005="Direkomendasikan",ROW($6:$1005)-5),319)),"")</f>
        <v/>
      </c>
      <c r="D320" t="str">
        <f t="array" ref="D320">IFERROR(INDEX(checklistPesertaKemenkeu!$G$6:$G$1005,SMALL(IF(checklistPesertaKemenkeu!$AY$6:$AY$1005="Direkomendasikan",ROW($6:$1005)-5),319)),"")</f>
        <v/>
      </c>
      <c r="E320" t="str">
        <f t="array" ref="E320">IFERROR(INDEX(checklistPesertaKemenkeu!$H$6:$H$1005,SMALL(IF(checklistPesertaKemenkeu!$AY$6:$AY$1005="Direkomendasikan",ROW($6:$1005)-5),319)),"")</f>
        <v/>
      </c>
      <c r="F320" t="str">
        <f t="array" ref="F320">IFERROR(INDEX(checklistPesertaKemenkeu!$I$6:$I$1005,SMALL(IF(checklistPesertaKemenkeu!$AY$6:$AY$1005="Direkomendasikan",ROW($6:$1005)-5),319)),"")</f>
        <v/>
      </c>
      <c r="G320" t="str">
        <f t="array" ref="G320">IFERROR(INDEX(checklistPesertaKemenkeu!$J$6:$J$1005,SMALL(IF(checklistPesertaKemenkeu!$AY$6:$AY$1005="Direkomendasikan",ROW($6:$1005)-5),319)),"")</f>
        <v/>
      </c>
      <c r="H320" t="str">
        <f t="array" aca="1" ref="H320" ca="1">IFERROR(IF(OR(INDEX(checklistPesertaKemenkeu!$L$6:$L$1005,SMALL(IF(checklistPesertaKemenkeu!$AY$6:$AY$1005="Direkomendasikan",ROW($6:$1005)-5),319))="",INDEX(checklistPesertaKemenkeu!$J$6:$J$1005,SMALL(IF(checklistPesertaKemenkeu!$AY$6:$AY$1005="Direkomendasikan",ROW($6:$1005)-5),319))=""),"",IF(AND(COUNTIF(INDIRECT("K_"&amp;MATCH(INDEX(checklistPesertaKemenkeu!$J$6:$J$1005,SMALL(IF(checklistPesertaKemenkeu!$AY$6:$AY$1005="Direkomendasikan",ROW($6:$1005)-5),319)),BidangList,0)),INDEX(checklistPesertaKemenkeu!$L$6:$L$1005,SMALL(IF(checklistPesertaKemenkeu!$AY$6:$AY$1005="Direkomendasikan",ROW($6:$1005)-5),319)))&gt;0,COUNTIF(INDIRECT("'KERTAS KERJA'!K"&amp;(SMALL(IF(checklistPesertaKemenkeu!$AY$6:$AY$1005="Direkomendasikan",ROW($6:$1005)-5),319)+5)&amp;":O"&amp;(SMALL(IF(checklistPesertaKemenkeu!$AY$6:$AY$1005="Direkomendasikan",ROW($6:$1005)-5),319)+5)),INDEX(checklistPesertaKemenkeu!$L$6:$L$1005,SMALL(IF(checklistPesertaKemenkeu!$AY$6:$AY$1005="Direkomendasikan",ROW($6:$1005)-5),319)))=1),IFERROR(VLOOKUP(INDEX(checklistPesertaKemenkeu!$L$6:$L$1005,SMALL(IF(checklistPesertaKemenkeu!$AY$6:$AY$1005="Direkomendasikan",ROW($6:$1005)-5),319)),KotaKode,2,0),"-"),"")),"")</f>
        <v/>
      </c>
      <c r="I320" t="str">
        <f t="array" aca="1" ref="I320" ca="1">IFERROR(IF(OR(INDEX(checklistPesertaKemenkeu!$M$6:$M$1005,SMALL(IF(checklistPesertaKemenkeu!$AY$6:$AY$1005="Direkomendasikan",ROW($6:$1005)-5),319))="",INDEX(checklistPesertaKemenkeu!$J$6:$J$1005,SMALL(IF(checklistPesertaKemenkeu!$AY$6:$AY$1005="Direkomendasikan",ROW($6:$1005)-5),319))=""),"",IF(AND(COUNTIF(INDIRECT("K_"&amp;MATCH(INDEX(checklistPesertaKemenkeu!$J$6:$J$1005,SMALL(IF(checklistPesertaKemenkeu!$AY$6:$AY$1005="Direkomendasikan",ROW($6:$1005)-5),319)),BidangList,0)),INDEX(checklistPesertaKemenkeu!$M$6:$M$1005,SMALL(IF(checklistPesertaKemenkeu!$AY$6:$AY$1005="Direkomendasikan",ROW($6:$1005)-5),319)))&gt;0,COUNTIF(INDIRECT("'KERTAS KERJA'!K"&amp;(SMALL(IF(checklistPesertaKemenkeu!$AY$6:$AY$1005="Direkomendasikan",ROW($6:$1005)-5),319)+5)&amp;":O"&amp;(SMALL(IF(checklistPesertaKemenkeu!$AY$6:$AY$1005="Direkomendasikan",ROW($6:$1005)-5),319)+5)),INDEX(checklistPesertaKemenkeu!$M$6:$M$1005,SMALL(IF(checklistPesertaKemenkeu!$AY$6:$AY$1005="Direkomendasikan",ROW($6:$1005)-5),319)))=1),IFERROR(VLOOKUP(INDEX(checklistPesertaKemenkeu!$M$6:$M$1005,SMALL(IF(checklistPesertaKemenkeu!$AY$6:$AY$1005="Direkomendasikan",ROW($6:$1005)-5),319)),KotaKode,2,0),"-"),"")),"")</f>
        <v/>
      </c>
      <c r="J320" t="str">
        <f t="array" aca="1" ref="J320" ca="1">IFERROR(IF(OR(INDEX(checklistPesertaKemenkeu!$N$6:$N$1005,SMALL(IF(checklistPesertaKemenkeu!$AY$6:$AY$1005="Direkomendasikan",ROW($6:$1005)-5),319))="",INDEX(checklistPesertaKemenkeu!$J$6:$J$1005,SMALL(IF(checklistPesertaKemenkeu!$AY$6:$AY$1005="Direkomendasikan",ROW($6:$1005)-5),319))=""),"",IF(AND(COUNTIF(INDIRECT("K_"&amp;MATCH(INDEX(checklistPesertaKemenkeu!$J$6:$J$1005,SMALL(IF(checklistPesertaKemenkeu!$AY$6:$AY$1005="Direkomendasikan",ROW($6:$1005)-5),319)),BidangList,0)),INDEX(checklistPesertaKemenkeu!$N$6:$N$1005,SMALL(IF(checklistPesertaKemenkeu!$AY$6:$AY$1005="Direkomendasikan",ROW($6:$1005)-5),319)))&gt;0,COUNTIF(INDIRECT("'KERTAS KERJA'!K"&amp;(SMALL(IF(checklistPesertaKemenkeu!$AY$6:$AY$1005="Direkomendasikan",ROW($6:$1005)-5),319)+5)&amp;":O"&amp;(SMALL(IF(checklistPesertaKemenkeu!$AY$6:$AY$1005="Direkomendasikan",ROW($6:$1005)-5),319)+5)),INDEX(checklistPesertaKemenkeu!$N$6:$N$1005,SMALL(IF(checklistPesertaKemenkeu!$AY$6:$AY$1005="Direkomendasikan",ROW($6:$1005)-5),319)))=1),IFERROR(VLOOKUP(INDEX(checklistPesertaKemenkeu!$N$6:$N$1005,SMALL(IF(checklistPesertaKemenkeu!$AY$6:$AY$1005="Direkomendasikan",ROW($6:$1005)-5),319)),KotaKode,2,0),"-"),"")),"")</f>
        <v/>
      </c>
      <c r="K320" t="str">
        <f t="array" aca="1" ref="K320" ca="1">IFERROR(IF(OR(INDEX(checklistPesertaKemenkeu!$O$6:$O$1005,SMALL(IF(checklistPesertaKemenkeu!$AY$6:$AY$1005="Direkomendasikan",ROW($6:$1005)-5),319))="",INDEX(checklistPesertaKemenkeu!$J$6:$J$1005,SMALL(IF(checklistPesertaKemenkeu!$AY$6:$AY$1005="Direkomendasikan",ROW($6:$1005)-5),319))=""),"",IF(AND(COUNTIF(INDIRECT("K_"&amp;MATCH(INDEX(checklistPesertaKemenkeu!$J$6:$J$1005,SMALL(IF(checklistPesertaKemenkeu!$AY$6:$AY$1005="Direkomendasikan",ROW($6:$1005)-5),319)),BidangList,0)),INDEX(checklistPesertaKemenkeu!$O$6:$O$1005,SMALL(IF(checklistPesertaKemenkeu!$AY$6:$AY$1005="Direkomendasikan",ROW($6:$1005)-5),319)))&gt;0,COUNTIF(INDIRECT("'KERTAS KERJA'!K"&amp;(SMALL(IF(checklistPesertaKemenkeu!$AY$6:$AY$1005="Direkomendasikan",ROW($6:$1005)-5),319)+5)&amp;":O"&amp;(SMALL(IF(checklistPesertaKemenkeu!$AY$6:$AY$1005="Direkomendasikan",ROW($6:$1005)-5),319)+5)),INDEX(checklistPesertaKemenkeu!$O$6:$O$1005,SMALL(IF(checklistPesertaKemenkeu!$AY$6:$AY$1005="Direkomendasikan",ROW($6:$1005)-5),319)))=1),IFERROR(VLOOKUP(INDEX(checklistPesertaKemenkeu!$O$6:$O$1005,SMALL(IF(checklistPesertaKemenkeu!$AY$6:$AY$1005="Direkomendasikan",ROW($6:$1005)-5),319)),KotaKode,2,0),"-"),"")),"")</f>
        <v/>
      </c>
      <c r="L320" t="str">
        <f t="array" aca="1" ref="L320" ca="1">IFERROR(IF(OR(INDEX(checklistPesertaKemenkeu!$P$6:$P$1005,SMALL(IF(checklistPesertaKemenkeu!$AY$6:$AY$1005="Direkomendasikan",ROW($6:$1005)-5),319))="",INDEX(checklistPesertaKemenkeu!$J$6:$J$1005,SMALL(IF(checklistPesertaKemenkeu!$AY$6:$AY$1005="Direkomendasikan",ROW($6:$1005)-5),319))=""),"",IF(AND(COUNTIF(INDIRECT("K_"&amp;MATCH(INDEX(checklistPesertaKemenkeu!$J$6:$J$1005,SMALL(IF(checklistPesertaKemenkeu!$AY$6:$AY$1005="Direkomendasikan",ROW($6:$1005)-5),319)),BidangList,0)),INDEX(checklistPesertaKemenkeu!$P$6:$P$1005,SMALL(IF(checklistPesertaKemenkeu!$AY$6:$AY$1005="Direkomendasikan",ROW($6:$1005)-5),319)))&gt;0,COUNTIF(INDIRECT("'KERTAS KERJA'!K"&amp;(SMALL(IF(checklistPesertaKemenkeu!$AY$6:$AY$1005="Direkomendasikan",ROW($6:$1005)-5),319)+5)&amp;":O"&amp;(SMALL(IF(checklistPesertaKemenkeu!$AY$6:$AY$1005="Direkomendasikan",ROW($6:$1005)-5),319)+5)),INDEX(checklistPesertaKemenkeu!$P$6:$P$1005,SMALL(IF(checklistPesertaKemenkeu!$AY$6:$AY$1005="Direkomendasikan",ROW($6:$1005)-5),319)))=1),IFERROR(VLOOKUP(INDEX(checklistPesertaKemenkeu!$P$6:$P$1005,SMALL(IF(checklistPesertaKemenkeu!$AY$6:$AY$1005="Direkomendasikan",ROW($6:$1005)-5),319)),KotaKode,2,0),"-"),"")),"")</f>
        <v/>
      </c>
    </row>
    <row r="321" spans="1:12" ht="15" customHeight="1" x14ac:dyDescent="0.2">
      <c r="A321" t="str">
        <f t="shared" si="4"/>
        <v/>
      </c>
      <c r="B321" t="str">
        <v/>
      </c>
      <c r="C321" s="40" t="str">
        <f t="array" ref="C321">IFERROR(INDEX(checklistPesertaKemenkeu!$F$6:$F$1005,SMALL(IF(checklistPesertaKemenkeu!$AY$6:$AY$1005="Direkomendasikan",ROW($6:$1005)-5),320)),"")</f>
        <v/>
      </c>
      <c r="D321" t="str">
        <f t="array" ref="D321">IFERROR(INDEX(checklistPesertaKemenkeu!$G$6:$G$1005,SMALL(IF(checklistPesertaKemenkeu!$AY$6:$AY$1005="Direkomendasikan",ROW($6:$1005)-5),320)),"")</f>
        <v/>
      </c>
      <c r="E321" t="str">
        <f t="array" ref="E321">IFERROR(INDEX(checklistPesertaKemenkeu!$H$6:$H$1005,SMALL(IF(checklistPesertaKemenkeu!$AY$6:$AY$1005="Direkomendasikan",ROW($6:$1005)-5),320)),"")</f>
        <v/>
      </c>
      <c r="F321" t="str">
        <f t="array" ref="F321">IFERROR(INDEX(checklistPesertaKemenkeu!$I$6:$I$1005,SMALL(IF(checklistPesertaKemenkeu!$AY$6:$AY$1005="Direkomendasikan",ROW($6:$1005)-5),320)),"")</f>
        <v/>
      </c>
      <c r="G321" t="str">
        <f t="array" ref="G321">IFERROR(INDEX(checklistPesertaKemenkeu!$J$6:$J$1005,SMALL(IF(checklistPesertaKemenkeu!$AY$6:$AY$1005="Direkomendasikan",ROW($6:$1005)-5),320)),"")</f>
        <v/>
      </c>
      <c r="H321" t="str">
        <f t="array" aca="1" ref="H321" ca="1">IFERROR(IF(OR(INDEX(checklistPesertaKemenkeu!$L$6:$L$1005,SMALL(IF(checklistPesertaKemenkeu!$AY$6:$AY$1005="Direkomendasikan",ROW($6:$1005)-5),320))="",INDEX(checklistPesertaKemenkeu!$J$6:$J$1005,SMALL(IF(checklistPesertaKemenkeu!$AY$6:$AY$1005="Direkomendasikan",ROW($6:$1005)-5),320))=""),"",IF(AND(COUNTIF(INDIRECT("K_"&amp;MATCH(INDEX(checklistPesertaKemenkeu!$J$6:$J$1005,SMALL(IF(checklistPesertaKemenkeu!$AY$6:$AY$1005="Direkomendasikan",ROW($6:$1005)-5),320)),BidangList,0)),INDEX(checklistPesertaKemenkeu!$L$6:$L$1005,SMALL(IF(checklistPesertaKemenkeu!$AY$6:$AY$1005="Direkomendasikan",ROW($6:$1005)-5),320)))&gt;0,COUNTIF(INDIRECT("'KERTAS KERJA'!K"&amp;(SMALL(IF(checklistPesertaKemenkeu!$AY$6:$AY$1005="Direkomendasikan",ROW($6:$1005)-5),320)+5)&amp;":O"&amp;(SMALL(IF(checklistPesertaKemenkeu!$AY$6:$AY$1005="Direkomendasikan",ROW($6:$1005)-5),320)+5)),INDEX(checklistPesertaKemenkeu!$L$6:$L$1005,SMALL(IF(checklistPesertaKemenkeu!$AY$6:$AY$1005="Direkomendasikan",ROW($6:$1005)-5),320)))=1),IFERROR(VLOOKUP(INDEX(checklistPesertaKemenkeu!$L$6:$L$1005,SMALL(IF(checklistPesertaKemenkeu!$AY$6:$AY$1005="Direkomendasikan",ROW($6:$1005)-5),320)),KotaKode,2,0),"-"),"")),"")</f>
        <v/>
      </c>
      <c r="I321" t="str">
        <f t="array" aca="1" ref="I321" ca="1">IFERROR(IF(OR(INDEX(checklistPesertaKemenkeu!$M$6:$M$1005,SMALL(IF(checklistPesertaKemenkeu!$AY$6:$AY$1005="Direkomendasikan",ROW($6:$1005)-5),320))="",INDEX(checklistPesertaKemenkeu!$J$6:$J$1005,SMALL(IF(checklistPesertaKemenkeu!$AY$6:$AY$1005="Direkomendasikan",ROW($6:$1005)-5),320))=""),"",IF(AND(COUNTIF(INDIRECT("K_"&amp;MATCH(INDEX(checklistPesertaKemenkeu!$J$6:$J$1005,SMALL(IF(checklistPesertaKemenkeu!$AY$6:$AY$1005="Direkomendasikan",ROW($6:$1005)-5),320)),BidangList,0)),INDEX(checklistPesertaKemenkeu!$M$6:$M$1005,SMALL(IF(checklistPesertaKemenkeu!$AY$6:$AY$1005="Direkomendasikan",ROW($6:$1005)-5),320)))&gt;0,COUNTIF(INDIRECT("'KERTAS KERJA'!K"&amp;(SMALL(IF(checklistPesertaKemenkeu!$AY$6:$AY$1005="Direkomendasikan",ROW($6:$1005)-5),320)+5)&amp;":O"&amp;(SMALL(IF(checklistPesertaKemenkeu!$AY$6:$AY$1005="Direkomendasikan",ROW($6:$1005)-5),320)+5)),INDEX(checklistPesertaKemenkeu!$M$6:$M$1005,SMALL(IF(checklistPesertaKemenkeu!$AY$6:$AY$1005="Direkomendasikan",ROW($6:$1005)-5),320)))=1),IFERROR(VLOOKUP(INDEX(checklistPesertaKemenkeu!$M$6:$M$1005,SMALL(IF(checklistPesertaKemenkeu!$AY$6:$AY$1005="Direkomendasikan",ROW($6:$1005)-5),320)),KotaKode,2,0),"-"),"")),"")</f>
        <v/>
      </c>
      <c r="J321" t="str">
        <f t="array" aca="1" ref="J321" ca="1">IFERROR(IF(OR(INDEX(checklistPesertaKemenkeu!$N$6:$N$1005,SMALL(IF(checklistPesertaKemenkeu!$AY$6:$AY$1005="Direkomendasikan",ROW($6:$1005)-5),320))="",INDEX(checklistPesertaKemenkeu!$J$6:$J$1005,SMALL(IF(checklistPesertaKemenkeu!$AY$6:$AY$1005="Direkomendasikan",ROW($6:$1005)-5),320))=""),"",IF(AND(COUNTIF(INDIRECT("K_"&amp;MATCH(INDEX(checklistPesertaKemenkeu!$J$6:$J$1005,SMALL(IF(checklistPesertaKemenkeu!$AY$6:$AY$1005="Direkomendasikan",ROW($6:$1005)-5),320)),BidangList,0)),INDEX(checklistPesertaKemenkeu!$N$6:$N$1005,SMALL(IF(checklistPesertaKemenkeu!$AY$6:$AY$1005="Direkomendasikan",ROW($6:$1005)-5),320)))&gt;0,COUNTIF(INDIRECT("'KERTAS KERJA'!K"&amp;(SMALL(IF(checklistPesertaKemenkeu!$AY$6:$AY$1005="Direkomendasikan",ROW($6:$1005)-5),320)+5)&amp;":O"&amp;(SMALL(IF(checklistPesertaKemenkeu!$AY$6:$AY$1005="Direkomendasikan",ROW($6:$1005)-5),320)+5)),INDEX(checklistPesertaKemenkeu!$N$6:$N$1005,SMALL(IF(checklistPesertaKemenkeu!$AY$6:$AY$1005="Direkomendasikan",ROW($6:$1005)-5),320)))=1),IFERROR(VLOOKUP(INDEX(checklistPesertaKemenkeu!$N$6:$N$1005,SMALL(IF(checklistPesertaKemenkeu!$AY$6:$AY$1005="Direkomendasikan",ROW($6:$1005)-5),320)),KotaKode,2,0),"-"),"")),"")</f>
        <v/>
      </c>
      <c r="K321" t="str">
        <f t="array" aca="1" ref="K321" ca="1">IFERROR(IF(OR(INDEX(checklistPesertaKemenkeu!$O$6:$O$1005,SMALL(IF(checklistPesertaKemenkeu!$AY$6:$AY$1005="Direkomendasikan",ROW($6:$1005)-5),320))="",INDEX(checklistPesertaKemenkeu!$J$6:$J$1005,SMALL(IF(checklistPesertaKemenkeu!$AY$6:$AY$1005="Direkomendasikan",ROW($6:$1005)-5),320))=""),"",IF(AND(COUNTIF(INDIRECT("K_"&amp;MATCH(INDEX(checklistPesertaKemenkeu!$J$6:$J$1005,SMALL(IF(checklistPesertaKemenkeu!$AY$6:$AY$1005="Direkomendasikan",ROW($6:$1005)-5),320)),BidangList,0)),INDEX(checklistPesertaKemenkeu!$O$6:$O$1005,SMALL(IF(checklistPesertaKemenkeu!$AY$6:$AY$1005="Direkomendasikan",ROW($6:$1005)-5),320)))&gt;0,COUNTIF(INDIRECT("'KERTAS KERJA'!K"&amp;(SMALL(IF(checklistPesertaKemenkeu!$AY$6:$AY$1005="Direkomendasikan",ROW($6:$1005)-5),320)+5)&amp;":O"&amp;(SMALL(IF(checklistPesertaKemenkeu!$AY$6:$AY$1005="Direkomendasikan",ROW($6:$1005)-5),320)+5)),INDEX(checklistPesertaKemenkeu!$O$6:$O$1005,SMALL(IF(checklistPesertaKemenkeu!$AY$6:$AY$1005="Direkomendasikan",ROW($6:$1005)-5),320)))=1),IFERROR(VLOOKUP(INDEX(checklistPesertaKemenkeu!$O$6:$O$1005,SMALL(IF(checklistPesertaKemenkeu!$AY$6:$AY$1005="Direkomendasikan",ROW($6:$1005)-5),320)),KotaKode,2,0),"-"),"")),"")</f>
        <v/>
      </c>
      <c r="L321" t="str">
        <f t="array" aca="1" ref="L321" ca="1">IFERROR(IF(OR(INDEX(checklistPesertaKemenkeu!$P$6:$P$1005,SMALL(IF(checklistPesertaKemenkeu!$AY$6:$AY$1005="Direkomendasikan",ROW($6:$1005)-5),320))="",INDEX(checklistPesertaKemenkeu!$J$6:$J$1005,SMALL(IF(checklistPesertaKemenkeu!$AY$6:$AY$1005="Direkomendasikan",ROW($6:$1005)-5),320))=""),"",IF(AND(COUNTIF(INDIRECT("K_"&amp;MATCH(INDEX(checklistPesertaKemenkeu!$J$6:$J$1005,SMALL(IF(checklistPesertaKemenkeu!$AY$6:$AY$1005="Direkomendasikan",ROW($6:$1005)-5),320)),BidangList,0)),INDEX(checklistPesertaKemenkeu!$P$6:$P$1005,SMALL(IF(checklistPesertaKemenkeu!$AY$6:$AY$1005="Direkomendasikan",ROW($6:$1005)-5),320)))&gt;0,COUNTIF(INDIRECT("'KERTAS KERJA'!K"&amp;(SMALL(IF(checklistPesertaKemenkeu!$AY$6:$AY$1005="Direkomendasikan",ROW($6:$1005)-5),320)+5)&amp;":O"&amp;(SMALL(IF(checklistPesertaKemenkeu!$AY$6:$AY$1005="Direkomendasikan",ROW($6:$1005)-5),320)+5)),INDEX(checklistPesertaKemenkeu!$P$6:$P$1005,SMALL(IF(checklistPesertaKemenkeu!$AY$6:$AY$1005="Direkomendasikan",ROW($6:$1005)-5),320)))=1),IFERROR(VLOOKUP(INDEX(checklistPesertaKemenkeu!$P$6:$P$1005,SMALL(IF(checklistPesertaKemenkeu!$AY$6:$AY$1005="Direkomendasikan",ROW($6:$1005)-5),320)),KotaKode,2,0),"-"),"")),"")</f>
        <v/>
      </c>
    </row>
    <row r="322" spans="1:12" ht="15" customHeight="1" x14ac:dyDescent="0.2">
      <c r="A322" t="str">
        <f t="shared" ref="A322:A385" si="5">IF(C322="","",ROW()-1)</f>
        <v/>
      </c>
      <c r="B322" t="str">
        <v/>
      </c>
      <c r="C322" s="40" t="str">
        <f t="array" ref="C322">IFERROR(INDEX(checklistPesertaKemenkeu!$F$6:$F$1005,SMALL(IF(checklistPesertaKemenkeu!$AY$6:$AY$1005="Direkomendasikan",ROW($6:$1005)-5),321)),"")</f>
        <v/>
      </c>
      <c r="D322" t="str">
        <f t="array" ref="D322">IFERROR(INDEX(checklistPesertaKemenkeu!$G$6:$G$1005,SMALL(IF(checklistPesertaKemenkeu!$AY$6:$AY$1005="Direkomendasikan",ROW($6:$1005)-5),321)),"")</f>
        <v/>
      </c>
      <c r="E322" t="str">
        <f t="array" ref="E322">IFERROR(INDEX(checklistPesertaKemenkeu!$H$6:$H$1005,SMALL(IF(checklistPesertaKemenkeu!$AY$6:$AY$1005="Direkomendasikan",ROW($6:$1005)-5),321)),"")</f>
        <v/>
      </c>
      <c r="F322" t="str">
        <f t="array" ref="F322">IFERROR(INDEX(checklistPesertaKemenkeu!$I$6:$I$1005,SMALL(IF(checklistPesertaKemenkeu!$AY$6:$AY$1005="Direkomendasikan",ROW($6:$1005)-5),321)),"")</f>
        <v/>
      </c>
      <c r="G322" t="str">
        <f t="array" ref="G322">IFERROR(INDEX(checklistPesertaKemenkeu!$J$6:$J$1005,SMALL(IF(checklistPesertaKemenkeu!$AY$6:$AY$1005="Direkomendasikan",ROW($6:$1005)-5),321)),"")</f>
        <v/>
      </c>
      <c r="H322" t="str">
        <f t="array" aca="1" ref="H322" ca="1">IFERROR(IF(OR(INDEX(checklistPesertaKemenkeu!$L$6:$L$1005,SMALL(IF(checklistPesertaKemenkeu!$AY$6:$AY$1005="Direkomendasikan",ROW($6:$1005)-5),321))="",INDEX(checklistPesertaKemenkeu!$J$6:$J$1005,SMALL(IF(checklistPesertaKemenkeu!$AY$6:$AY$1005="Direkomendasikan",ROW($6:$1005)-5),321))=""),"",IF(AND(COUNTIF(INDIRECT("K_"&amp;MATCH(INDEX(checklistPesertaKemenkeu!$J$6:$J$1005,SMALL(IF(checklistPesertaKemenkeu!$AY$6:$AY$1005="Direkomendasikan",ROW($6:$1005)-5),321)),BidangList,0)),INDEX(checklistPesertaKemenkeu!$L$6:$L$1005,SMALL(IF(checklistPesertaKemenkeu!$AY$6:$AY$1005="Direkomendasikan",ROW($6:$1005)-5),321)))&gt;0,COUNTIF(INDIRECT("'KERTAS KERJA'!K"&amp;(SMALL(IF(checklistPesertaKemenkeu!$AY$6:$AY$1005="Direkomendasikan",ROW($6:$1005)-5),321)+5)&amp;":O"&amp;(SMALL(IF(checklistPesertaKemenkeu!$AY$6:$AY$1005="Direkomendasikan",ROW($6:$1005)-5),321)+5)),INDEX(checklistPesertaKemenkeu!$L$6:$L$1005,SMALL(IF(checklistPesertaKemenkeu!$AY$6:$AY$1005="Direkomendasikan",ROW($6:$1005)-5),321)))=1),IFERROR(VLOOKUP(INDEX(checklistPesertaKemenkeu!$L$6:$L$1005,SMALL(IF(checklistPesertaKemenkeu!$AY$6:$AY$1005="Direkomendasikan",ROW($6:$1005)-5),321)),KotaKode,2,0),"-"),"")),"")</f>
        <v/>
      </c>
      <c r="I322" t="str">
        <f t="array" aca="1" ref="I322" ca="1">IFERROR(IF(OR(INDEX(checklistPesertaKemenkeu!$M$6:$M$1005,SMALL(IF(checklistPesertaKemenkeu!$AY$6:$AY$1005="Direkomendasikan",ROW($6:$1005)-5),321))="",INDEX(checklistPesertaKemenkeu!$J$6:$J$1005,SMALL(IF(checklistPesertaKemenkeu!$AY$6:$AY$1005="Direkomendasikan",ROW($6:$1005)-5),321))=""),"",IF(AND(COUNTIF(INDIRECT("K_"&amp;MATCH(INDEX(checklistPesertaKemenkeu!$J$6:$J$1005,SMALL(IF(checklistPesertaKemenkeu!$AY$6:$AY$1005="Direkomendasikan",ROW($6:$1005)-5),321)),BidangList,0)),INDEX(checklistPesertaKemenkeu!$M$6:$M$1005,SMALL(IF(checklistPesertaKemenkeu!$AY$6:$AY$1005="Direkomendasikan",ROW($6:$1005)-5),321)))&gt;0,COUNTIF(INDIRECT("'KERTAS KERJA'!K"&amp;(SMALL(IF(checklistPesertaKemenkeu!$AY$6:$AY$1005="Direkomendasikan",ROW($6:$1005)-5),321)+5)&amp;":O"&amp;(SMALL(IF(checklistPesertaKemenkeu!$AY$6:$AY$1005="Direkomendasikan",ROW($6:$1005)-5),321)+5)),INDEX(checklistPesertaKemenkeu!$M$6:$M$1005,SMALL(IF(checklistPesertaKemenkeu!$AY$6:$AY$1005="Direkomendasikan",ROW($6:$1005)-5),321)))=1),IFERROR(VLOOKUP(INDEX(checklistPesertaKemenkeu!$M$6:$M$1005,SMALL(IF(checklistPesertaKemenkeu!$AY$6:$AY$1005="Direkomendasikan",ROW($6:$1005)-5),321)),KotaKode,2,0),"-"),"")),"")</f>
        <v/>
      </c>
      <c r="J322" t="str">
        <f t="array" aca="1" ref="J322" ca="1">IFERROR(IF(OR(INDEX(checklistPesertaKemenkeu!$N$6:$N$1005,SMALL(IF(checklistPesertaKemenkeu!$AY$6:$AY$1005="Direkomendasikan",ROW($6:$1005)-5),321))="",INDEX(checklistPesertaKemenkeu!$J$6:$J$1005,SMALL(IF(checklistPesertaKemenkeu!$AY$6:$AY$1005="Direkomendasikan",ROW($6:$1005)-5),321))=""),"",IF(AND(COUNTIF(INDIRECT("K_"&amp;MATCH(INDEX(checklistPesertaKemenkeu!$J$6:$J$1005,SMALL(IF(checklistPesertaKemenkeu!$AY$6:$AY$1005="Direkomendasikan",ROW($6:$1005)-5),321)),BidangList,0)),INDEX(checklistPesertaKemenkeu!$N$6:$N$1005,SMALL(IF(checklistPesertaKemenkeu!$AY$6:$AY$1005="Direkomendasikan",ROW($6:$1005)-5),321)))&gt;0,COUNTIF(INDIRECT("'KERTAS KERJA'!K"&amp;(SMALL(IF(checklistPesertaKemenkeu!$AY$6:$AY$1005="Direkomendasikan",ROW($6:$1005)-5),321)+5)&amp;":O"&amp;(SMALL(IF(checklistPesertaKemenkeu!$AY$6:$AY$1005="Direkomendasikan",ROW($6:$1005)-5),321)+5)),INDEX(checklistPesertaKemenkeu!$N$6:$N$1005,SMALL(IF(checklistPesertaKemenkeu!$AY$6:$AY$1005="Direkomendasikan",ROW($6:$1005)-5),321)))=1),IFERROR(VLOOKUP(INDEX(checklistPesertaKemenkeu!$N$6:$N$1005,SMALL(IF(checklistPesertaKemenkeu!$AY$6:$AY$1005="Direkomendasikan",ROW($6:$1005)-5),321)),KotaKode,2,0),"-"),"")),"")</f>
        <v/>
      </c>
      <c r="K322" t="str">
        <f t="array" aca="1" ref="K322" ca="1">IFERROR(IF(OR(INDEX(checklistPesertaKemenkeu!$O$6:$O$1005,SMALL(IF(checklistPesertaKemenkeu!$AY$6:$AY$1005="Direkomendasikan",ROW($6:$1005)-5),321))="",INDEX(checklistPesertaKemenkeu!$J$6:$J$1005,SMALL(IF(checklistPesertaKemenkeu!$AY$6:$AY$1005="Direkomendasikan",ROW($6:$1005)-5),321))=""),"",IF(AND(COUNTIF(INDIRECT("K_"&amp;MATCH(INDEX(checklistPesertaKemenkeu!$J$6:$J$1005,SMALL(IF(checklistPesertaKemenkeu!$AY$6:$AY$1005="Direkomendasikan",ROW($6:$1005)-5),321)),BidangList,0)),INDEX(checklistPesertaKemenkeu!$O$6:$O$1005,SMALL(IF(checklistPesertaKemenkeu!$AY$6:$AY$1005="Direkomendasikan",ROW($6:$1005)-5),321)))&gt;0,COUNTIF(INDIRECT("'KERTAS KERJA'!K"&amp;(SMALL(IF(checklistPesertaKemenkeu!$AY$6:$AY$1005="Direkomendasikan",ROW($6:$1005)-5),321)+5)&amp;":O"&amp;(SMALL(IF(checklistPesertaKemenkeu!$AY$6:$AY$1005="Direkomendasikan",ROW($6:$1005)-5),321)+5)),INDEX(checklistPesertaKemenkeu!$O$6:$O$1005,SMALL(IF(checklistPesertaKemenkeu!$AY$6:$AY$1005="Direkomendasikan",ROW($6:$1005)-5),321)))=1),IFERROR(VLOOKUP(INDEX(checklistPesertaKemenkeu!$O$6:$O$1005,SMALL(IF(checklistPesertaKemenkeu!$AY$6:$AY$1005="Direkomendasikan",ROW($6:$1005)-5),321)),KotaKode,2,0),"-"),"")),"")</f>
        <v/>
      </c>
      <c r="L322" t="str">
        <f t="array" aca="1" ref="L322" ca="1">IFERROR(IF(OR(INDEX(checklistPesertaKemenkeu!$P$6:$P$1005,SMALL(IF(checklistPesertaKemenkeu!$AY$6:$AY$1005="Direkomendasikan",ROW($6:$1005)-5),321))="",INDEX(checklistPesertaKemenkeu!$J$6:$J$1005,SMALL(IF(checklistPesertaKemenkeu!$AY$6:$AY$1005="Direkomendasikan",ROW($6:$1005)-5),321))=""),"",IF(AND(COUNTIF(INDIRECT("K_"&amp;MATCH(INDEX(checklistPesertaKemenkeu!$J$6:$J$1005,SMALL(IF(checklistPesertaKemenkeu!$AY$6:$AY$1005="Direkomendasikan",ROW($6:$1005)-5),321)),BidangList,0)),INDEX(checklistPesertaKemenkeu!$P$6:$P$1005,SMALL(IF(checklistPesertaKemenkeu!$AY$6:$AY$1005="Direkomendasikan",ROW($6:$1005)-5),321)))&gt;0,COUNTIF(INDIRECT("'KERTAS KERJA'!K"&amp;(SMALL(IF(checklistPesertaKemenkeu!$AY$6:$AY$1005="Direkomendasikan",ROW($6:$1005)-5),321)+5)&amp;":O"&amp;(SMALL(IF(checklistPesertaKemenkeu!$AY$6:$AY$1005="Direkomendasikan",ROW($6:$1005)-5),321)+5)),INDEX(checklistPesertaKemenkeu!$P$6:$P$1005,SMALL(IF(checklistPesertaKemenkeu!$AY$6:$AY$1005="Direkomendasikan",ROW($6:$1005)-5),321)))=1),IFERROR(VLOOKUP(INDEX(checklistPesertaKemenkeu!$P$6:$P$1005,SMALL(IF(checklistPesertaKemenkeu!$AY$6:$AY$1005="Direkomendasikan",ROW($6:$1005)-5),321)),KotaKode,2,0),"-"),"")),"")</f>
        <v/>
      </c>
    </row>
    <row r="323" spans="1:12" ht="15" customHeight="1" x14ac:dyDescent="0.2">
      <c r="A323" t="str">
        <f t="shared" si="5"/>
        <v/>
      </c>
      <c r="B323" t="str">
        <v/>
      </c>
      <c r="C323" s="40" t="str">
        <f t="array" ref="C323">IFERROR(INDEX(checklistPesertaKemenkeu!$F$6:$F$1005,SMALL(IF(checklistPesertaKemenkeu!$AY$6:$AY$1005="Direkomendasikan",ROW($6:$1005)-5),322)),"")</f>
        <v/>
      </c>
      <c r="D323" t="str">
        <f t="array" ref="D323">IFERROR(INDEX(checklistPesertaKemenkeu!$G$6:$G$1005,SMALL(IF(checklistPesertaKemenkeu!$AY$6:$AY$1005="Direkomendasikan",ROW($6:$1005)-5),322)),"")</f>
        <v/>
      </c>
      <c r="E323" t="str">
        <f t="array" ref="E323">IFERROR(INDEX(checklistPesertaKemenkeu!$H$6:$H$1005,SMALL(IF(checklistPesertaKemenkeu!$AY$6:$AY$1005="Direkomendasikan",ROW($6:$1005)-5),322)),"")</f>
        <v/>
      </c>
      <c r="F323" t="str">
        <f t="array" ref="F323">IFERROR(INDEX(checklistPesertaKemenkeu!$I$6:$I$1005,SMALL(IF(checklistPesertaKemenkeu!$AY$6:$AY$1005="Direkomendasikan",ROW($6:$1005)-5),322)),"")</f>
        <v/>
      </c>
      <c r="G323" t="str">
        <f t="array" ref="G323">IFERROR(INDEX(checklistPesertaKemenkeu!$J$6:$J$1005,SMALL(IF(checklistPesertaKemenkeu!$AY$6:$AY$1005="Direkomendasikan",ROW($6:$1005)-5),322)),"")</f>
        <v/>
      </c>
      <c r="H323" t="str">
        <f t="array" aca="1" ref="H323" ca="1">IFERROR(IF(OR(INDEX(checklistPesertaKemenkeu!$L$6:$L$1005,SMALL(IF(checklistPesertaKemenkeu!$AY$6:$AY$1005="Direkomendasikan",ROW($6:$1005)-5),322))="",INDEX(checklistPesertaKemenkeu!$J$6:$J$1005,SMALL(IF(checklistPesertaKemenkeu!$AY$6:$AY$1005="Direkomendasikan",ROW($6:$1005)-5),322))=""),"",IF(AND(COUNTIF(INDIRECT("K_"&amp;MATCH(INDEX(checklistPesertaKemenkeu!$J$6:$J$1005,SMALL(IF(checklistPesertaKemenkeu!$AY$6:$AY$1005="Direkomendasikan",ROW($6:$1005)-5),322)),BidangList,0)),INDEX(checklistPesertaKemenkeu!$L$6:$L$1005,SMALL(IF(checklistPesertaKemenkeu!$AY$6:$AY$1005="Direkomendasikan",ROW($6:$1005)-5),322)))&gt;0,COUNTIF(INDIRECT("'KERTAS KERJA'!K"&amp;(SMALL(IF(checklistPesertaKemenkeu!$AY$6:$AY$1005="Direkomendasikan",ROW($6:$1005)-5),322)+5)&amp;":O"&amp;(SMALL(IF(checklistPesertaKemenkeu!$AY$6:$AY$1005="Direkomendasikan",ROW($6:$1005)-5),322)+5)),INDEX(checklistPesertaKemenkeu!$L$6:$L$1005,SMALL(IF(checklistPesertaKemenkeu!$AY$6:$AY$1005="Direkomendasikan",ROW($6:$1005)-5),322)))=1),IFERROR(VLOOKUP(INDEX(checklistPesertaKemenkeu!$L$6:$L$1005,SMALL(IF(checklistPesertaKemenkeu!$AY$6:$AY$1005="Direkomendasikan",ROW($6:$1005)-5),322)),KotaKode,2,0),"-"),"")),"")</f>
        <v/>
      </c>
      <c r="I323" t="str">
        <f t="array" aca="1" ref="I323" ca="1">IFERROR(IF(OR(INDEX(checklistPesertaKemenkeu!$M$6:$M$1005,SMALL(IF(checklistPesertaKemenkeu!$AY$6:$AY$1005="Direkomendasikan",ROW($6:$1005)-5),322))="",INDEX(checklistPesertaKemenkeu!$J$6:$J$1005,SMALL(IF(checklistPesertaKemenkeu!$AY$6:$AY$1005="Direkomendasikan",ROW($6:$1005)-5),322))=""),"",IF(AND(COUNTIF(INDIRECT("K_"&amp;MATCH(INDEX(checklistPesertaKemenkeu!$J$6:$J$1005,SMALL(IF(checklistPesertaKemenkeu!$AY$6:$AY$1005="Direkomendasikan",ROW($6:$1005)-5),322)),BidangList,0)),INDEX(checklistPesertaKemenkeu!$M$6:$M$1005,SMALL(IF(checklistPesertaKemenkeu!$AY$6:$AY$1005="Direkomendasikan",ROW($6:$1005)-5),322)))&gt;0,COUNTIF(INDIRECT("'KERTAS KERJA'!K"&amp;(SMALL(IF(checklistPesertaKemenkeu!$AY$6:$AY$1005="Direkomendasikan",ROW($6:$1005)-5),322)+5)&amp;":O"&amp;(SMALL(IF(checklistPesertaKemenkeu!$AY$6:$AY$1005="Direkomendasikan",ROW($6:$1005)-5),322)+5)),INDEX(checklistPesertaKemenkeu!$M$6:$M$1005,SMALL(IF(checklistPesertaKemenkeu!$AY$6:$AY$1005="Direkomendasikan",ROW($6:$1005)-5),322)))=1),IFERROR(VLOOKUP(INDEX(checklistPesertaKemenkeu!$M$6:$M$1005,SMALL(IF(checklistPesertaKemenkeu!$AY$6:$AY$1005="Direkomendasikan",ROW($6:$1005)-5),322)),KotaKode,2,0),"-"),"")),"")</f>
        <v/>
      </c>
      <c r="J323" t="str">
        <f t="array" aca="1" ref="J323" ca="1">IFERROR(IF(OR(INDEX(checklistPesertaKemenkeu!$N$6:$N$1005,SMALL(IF(checklistPesertaKemenkeu!$AY$6:$AY$1005="Direkomendasikan",ROW($6:$1005)-5),322))="",INDEX(checklistPesertaKemenkeu!$J$6:$J$1005,SMALL(IF(checklistPesertaKemenkeu!$AY$6:$AY$1005="Direkomendasikan",ROW($6:$1005)-5),322))=""),"",IF(AND(COUNTIF(INDIRECT("K_"&amp;MATCH(INDEX(checklistPesertaKemenkeu!$J$6:$J$1005,SMALL(IF(checklistPesertaKemenkeu!$AY$6:$AY$1005="Direkomendasikan",ROW($6:$1005)-5),322)),BidangList,0)),INDEX(checklistPesertaKemenkeu!$N$6:$N$1005,SMALL(IF(checklistPesertaKemenkeu!$AY$6:$AY$1005="Direkomendasikan",ROW($6:$1005)-5),322)))&gt;0,COUNTIF(INDIRECT("'KERTAS KERJA'!K"&amp;(SMALL(IF(checklistPesertaKemenkeu!$AY$6:$AY$1005="Direkomendasikan",ROW($6:$1005)-5),322)+5)&amp;":O"&amp;(SMALL(IF(checklistPesertaKemenkeu!$AY$6:$AY$1005="Direkomendasikan",ROW($6:$1005)-5),322)+5)),INDEX(checklistPesertaKemenkeu!$N$6:$N$1005,SMALL(IF(checklistPesertaKemenkeu!$AY$6:$AY$1005="Direkomendasikan",ROW($6:$1005)-5),322)))=1),IFERROR(VLOOKUP(INDEX(checklistPesertaKemenkeu!$N$6:$N$1005,SMALL(IF(checklistPesertaKemenkeu!$AY$6:$AY$1005="Direkomendasikan",ROW($6:$1005)-5),322)),KotaKode,2,0),"-"),"")),"")</f>
        <v/>
      </c>
      <c r="K323" t="str">
        <f t="array" aca="1" ref="K323" ca="1">IFERROR(IF(OR(INDEX(checklistPesertaKemenkeu!$O$6:$O$1005,SMALL(IF(checklistPesertaKemenkeu!$AY$6:$AY$1005="Direkomendasikan",ROW($6:$1005)-5),322))="",INDEX(checklistPesertaKemenkeu!$J$6:$J$1005,SMALL(IF(checklistPesertaKemenkeu!$AY$6:$AY$1005="Direkomendasikan",ROW($6:$1005)-5),322))=""),"",IF(AND(COUNTIF(INDIRECT("K_"&amp;MATCH(INDEX(checklistPesertaKemenkeu!$J$6:$J$1005,SMALL(IF(checklistPesertaKemenkeu!$AY$6:$AY$1005="Direkomendasikan",ROW($6:$1005)-5),322)),BidangList,0)),INDEX(checklistPesertaKemenkeu!$O$6:$O$1005,SMALL(IF(checklistPesertaKemenkeu!$AY$6:$AY$1005="Direkomendasikan",ROW($6:$1005)-5),322)))&gt;0,COUNTIF(INDIRECT("'KERTAS KERJA'!K"&amp;(SMALL(IF(checklistPesertaKemenkeu!$AY$6:$AY$1005="Direkomendasikan",ROW($6:$1005)-5),322)+5)&amp;":O"&amp;(SMALL(IF(checklistPesertaKemenkeu!$AY$6:$AY$1005="Direkomendasikan",ROW($6:$1005)-5),322)+5)),INDEX(checklistPesertaKemenkeu!$O$6:$O$1005,SMALL(IF(checklistPesertaKemenkeu!$AY$6:$AY$1005="Direkomendasikan",ROW($6:$1005)-5),322)))=1),IFERROR(VLOOKUP(INDEX(checklistPesertaKemenkeu!$O$6:$O$1005,SMALL(IF(checklistPesertaKemenkeu!$AY$6:$AY$1005="Direkomendasikan",ROW($6:$1005)-5),322)),KotaKode,2,0),"-"),"")),"")</f>
        <v/>
      </c>
      <c r="L323" t="str">
        <f t="array" aca="1" ref="L323" ca="1">IFERROR(IF(OR(INDEX(checklistPesertaKemenkeu!$P$6:$P$1005,SMALL(IF(checklistPesertaKemenkeu!$AY$6:$AY$1005="Direkomendasikan",ROW($6:$1005)-5),322))="",INDEX(checklistPesertaKemenkeu!$J$6:$J$1005,SMALL(IF(checklistPesertaKemenkeu!$AY$6:$AY$1005="Direkomendasikan",ROW($6:$1005)-5),322))=""),"",IF(AND(COUNTIF(INDIRECT("K_"&amp;MATCH(INDEX(checklistPesertaKemenkeu!$J$6:$J$1005,SMALL(IF(checklistPesertaKemenkeu!$AY$6:$AY$1005="Direkomendasikan",ROW($6:$1005)-5),322)),BidangList,0)),INDEX(checklistPesertaKemenkeu!$P$6:$P$1005,SMALL(IF(checklistPesertaKemenkeu!$AY$6:$AY$1005="Direkomendasikan",ROW($6:$1005)-5),322)))&gt;0,COUNTIF(INDIRECT("'KERTAS KERJA'!K"&amp;(SMALL(IF(checklistPesertaKemenkeu!$AY$6:$AY$1005="Direkomendasikan",ROW($6:$1005)-5),322)+5)&amp;":O"&amp;(SMALL(IF(checklistPesertaKemenkeu!$AY$6:$AY$1005="Direkomendasikan",ROW($6:$1005)-5),322)+5)),INDEX(checklistPesertaKemenkeu!$P$6:$P$1005,SMALL(IF(checklistPesertaKemenkeu!$AY$6:$AY$1005="Direkomendasikan",ROW($6:$1005)-5),322)))=1),IFERROR(VLOOKUP(INDEX(checklistPesertaKemenkeu!$P$6:$P$1005,SMALL(IF(checklistPesertaKemenkeu!$AY$6:$AY$1005="Direkomendasikan",ROW($6:$1005)-5),322)),KotaKode,2,0),"-"),"")),"")</f>
        <v/>
      </c>
    </row>
    <row r="324" spans="1:12" ht="15" customHeight="1" x14ac:dyDescent="0.2">
      <c r="A324" t="str">
        <f t="shared" si="5"/>
        <v/>
      </c>
      <c r="B324" t="str">
        <v/>
      </c>
      <c r="C324" s="40" t="str">
        <f t="array" ref="C324">IFERROR(INDEX(checklistPesertaKemenkeu!$F$6:$F$1005,SMALL(IF(checklistPesertaKemenkeu!$AY$6:$AY$1005="Direkomendasikan",ROW($6:$1005)-5),323)),"")</f>
        <v/>
      </c>
      <c r="D324" t="str">
        <f t="array" ref="D324">IFERROR(INDEX(checklistPesertaKemenkeu!$G$6:$G$1005,SMALL(IF(checklistPesertaKemenkeu!$AY$6:$AY$1005="Direkomendasikan",ROW($6:$1005)-5),323)),"")</f>
        <v/>
      </c>
      <c r="E324" t="str">
        <f t="array" ref="E324">IFERROR(INDEX(checklistPesertaKemenkeu!$H$6:$H$1005,SMALL(IF(checklistPesertaKemenkeu!$AY$6:$AY$1005="Direkomendasikan",ROW($6:$1005)-5),323)),"")</f>
        <v/>
      </c>
      <c r="F324" t="str">
        <f t="array" ref="F324">IFERROR(INDEX(checklistPesertaKemenkeu!$I$6:$I$1005,SMALL(IF(checklistPesertaKemenkeu!$AY$6:$AY$1005="Direkomendasikan",ROW($6:$1005)-5),323)),"")</f>
        <v/>
      </c>
      <c r="G324" t="str">
        <f t="array" ref="G324">IFERROR(INDEX(checklistPesertaKemenkeu!$J$6:$J$1005,SMALL(IF(checklistPesertaKemenkeu!$AY$6:$AY$1005="Direkomendasikan",ROW($6:$1005)-5),323)),"")</f>
        <v/>
      </c>
      <c r="H324" t="str">
        <f t="array" aca="1" ref="H324" ca="1">IFERROR(IF(OR(INDEX(checklistPesertaKemenkeu!$L$6:$L$1005,SMALL(IF(checklistPesertaKemenkeu!$AY$6:$AY$1005="Direkomendasikan",ROW($6:$1005)-5),323))="",INDEX(checklistPesertaKemenkeu!$J$6:$J$1005,SMALL(IF(checklistPesertaKemenkeu!$AY$6:$AY$1005="Direkomendasikan",ROW($6:$1005)-5),323))=""),"",IF(AND(COUNTIF(INDIRECT("K_"&amp;MATCH(INDEX(checklistPesertaKemenkeu!$J$6:$J$1005,SMALL(IF(checklistPesertaKemenkeu!$AY$6:$AY$1005="Direkomendasikan",ROW($6:$1005)-5),323)),BidangList,0)),INDEX(checklistPesertaKemenkeu!$L$6:$L$1005,SMALL(IF(checklistPesertaKemenkeu!$AY$6:$AY$1005="Direkomendasikan",ROW($6:$1005)-5),323)))&gt;0,COUNTIF(INDIRECT("'KERTAS KERJA'!K"&amp;(SMALL(IF(checklistPesertaKemenkeu!$AY$6:$AY$1005="Direkomendasikan",ROW($6:$1005)-5),323)+5)&amp;":O"&amp;(SMALL(IF(checklistPesertaKemenkeu!$AY$6:$AY$1005="Direkomendasikan",ROW($6:$1005)-5),323)+5)),INDEX(checklistPesertaKemenkeu!$L$6:$L$1005,SMALL(IF(checklistPesertaKemenkeu!$AY$6:$AY$1005="Direkomendasikan",ROW($6:$1005)-5),323)))=1),IFERROR(VLOOKUP(INDEX(checklistPesertaKemenkeu!$L$6:$L$1005,SMALL(IF(checklistPesertaKemenkeu!$AY$6:$AY$1005="Direkomendasikan",ROW($6:$1005)-5),323)),KotaKode,2,0),"-"),"")),"")</f>
        <v/>
      </c>
      <c r="I324" t="str">
        <f t="array" aca="1" ref="I324" ca="1">IFERROR(IF(OR(INDEX(checklistPesertaKemenkeu!$M$6:$M$1005,SMALL(IF(checklistPesertaKemenkeu!$AY$6:$AY$1005="Direkomendasikan",ROW($6:$1005)-5),323))="",INDEX(checklistPesertaKemenkeu!$J$6:$J$1005,SMALL(IF(checklistPesertaKemenkeu!$AY$6:$AY$1005="Direkomendasikan",ROW($6:$1005)-5),323))=""),"",IF(AND(COUNTIF(INDIRECT("K_"&amp;MATCH(INDEX(checklistPesertaKemenkeu!$J$6:$J$1005,SMALL(IF(checklistPesertaKemenkeu!$AY$6:$AY$1005="Direkomendasikan",ROW($6:$1005)-5),323)),BidangList,0)),INDEX(checklistPesertaKemenkeu!$M$6:$M$1005,SMALL(IF(checklistPesertaKemenkeu!$AY$6:$AY$1005="Direkomendasikan",ROW($6:$1005)-5),323)))&gt;0,COUNTIF(INDIRECT("'KERTAS KERJA'!K"&amp;(SMALL(IF(checklistPesertaKemenkeu!$AY$6:$AY$1005="Direkomendasikan",ROW($6:$1005)-5),323)+5)&amp;":O"&amp;(SMALL(IF(checklistPesertaKemenkeu!$AY$6:$AY$1005="Direkomendasikan",ROW($6:$1005)-5),323)+5)),INDEX(checklistPesertaKemenkeu!$M$6:$M$1005,SMALL(IF(checklistPesertaKemenkeu!$AY$6:$AY$1005="Direkomendasikan",ROW($6:$1005)-5),323)))=1),IFERROR(VLOOKUP(INDEX(checklistPesertaKemenkeu!$M$6:$M$1005,SMALL(IF(checklistPesertaKemenkeu!$AY$6:$AY$1005="Direkomendasikan",ROW($6:$1005)-5),323)),KotaKode,2,0),"-"),"")),"")</f>
        <v/>
      </c>
      <c r="J324" t="str">
        <f t="array" aca="1" ref="J324" ca="1">IFERROR(IF(OR(INDEX(checklistPesertaKemenkeu!$N$6:$N$1005,SMALL(IF(checklistPesertaKemenkeu!$AY$6:$AY$1005="Direkomendasikan",ROW($6:$1005)-5),323))="",INDEX(checklistPesertaKemenkeu!$J$6:$J$1005,SMALL(IF(checklistPesertaKemenkeu!$AY$6:$AY$1005="Direkomendasikan",ROW($6:$1005)-5),323))=""),"",IF(AND(COUNTIF(INDIRECT("K_"&amp;MATCH(INDEX(checklistPesertaKemenkeu!$J$6:$J$1005,SMALL(IF(checklistPesertaKemenkeu!$AY$6:$AY$1005="Direkomendasikan",ROW($6:$1005)-5),323)),BidangList,0)),INDEX(checklistPesertaKemenkeu!$N$6:$N$1005,SMALL(IF(checklistPesertaKemenkeu!$AY$6:$AY$1005="Direkomendasikan",ROW($6:$1005)-5),323)))&gt;0,COUNTIF(INDIRECT("'KERTAS KERJA'!K"&amp;(SMALL(IF(checklistPesertaKemenkeu!$AY$6:$AY$1005="Direkomendasikan",ROW($6:$1005)-5),323)+5)&amp;":O"&amp;(SMALL(IF(checklistPesertaKemenkeu!$AY$6:$AY$1005="Direkomendasikan",ROW($6:$1005)-5),323)+5)),INDEX(checklistPesertaKemenkeu!$N$6:$N$1005,SMALL(IF(checklistPesertaKemenkeu!$AY$6:$AY$1005="Direkomendasikan",ROW($6:$1005)-5),323)))=1),IFERROR(VLOOKUP(INDEX(checklistPesertaKemenkeu!$N$6:$N$1005,SMALL(IF(checklistPesertaKemenkeu!$AY$6:$AY$1005="Direkomendasikan",ROW($6:$1005)-5),323)),KotaKode,2,0),"-"),"")),"")</f>
        <v/>
      </c>
      <c r="K324" t="str">
        <f t="array" aca="1" ref="K324" ca="1">IFERROR(IF(OR(INDEX(checklistPesertaKemenkeu!$O$6:$O$1005,SMALL(IF(checklistPesertaKemenkeu!$AY$6:$AY$1005="Direkomendasikan",ROW($6:$1005)-5),323))="",INDEX(checklistPesertaKemenkeu!$J$6:$J$1005,SMALL(IF(checklistPesertaKemenkeu!$AY$6:$AY$1005="Direkomendasikan",ROW($6:$1005)-5),323))=""),"",IF(AND(COUNTIF(INDIRECT("K_"&amp;MATCH(INDEX(checklistPesertaKemenkeu!$J$6:$J$1005,SMALL(IF(checklistPesertaKemenkeu!$AY$6:$AY$1005="Direkomendasikan",ROW($6:$1005)-5),323)),BidangList,0)),INDEX(checklistPesertaKemenkeu!$O$6:$O$1005,SMALL(IF(checklistPesertaKemenkeu!$AY$6:$AY$1005="Direkomendasikan",ROW($6:$1005)-5),323)))&gt;0,COUNTIF(INDIRECT("'KERTAS KERJA'!K"&amp;(SMALL(IF(checklistPesertaKemenkeu!$AY$6:$AY$1005="Direkomendasikan",ROW($6:$1005)-5),323)+5)&amp;":O"&amp;(SMALL(IF(checklistPesertaKemenkeu!$AY$6:$AY$1005="Direkomendasikan",ROW($6:$1005)-5),323)+5)),INDEX(checklistPesertaKemenkeu!$O$6:$O$1005,SMALL(IF(checklistPesertaKemenkeu!$AY$6:$AY$1005="Direkomendasikan",ROW($6:$1005)-5),323)))=1),IFERROR(VLOOKUP(INDEX(checklistPesertaKemenkeu!$O$6:$O$1005,SMALL(IF(checklistPesertaKemenkeu!$AY$6:$AY$1005="Direkomendasikan",ROW($6:$1005)-5),323)),KotaKode,2,0),"-"),"")),"")</f>
        <v/>
      </c>
      <c r="L324" t="str">
        <f t="array" aca="1" ref="L324" ca="1">IFERROR(IF(OR(INDEX(checklistPesertaKemenkeu!$P$6:$P$1005,SMALL(IF(checklistPesertaKemenkeu!$AY$6:$AY$1005="Direkomendasikan",ROW($6:$1005)-5),323))="",INDEX(checklistPesertaKemenkeu!$J$6:$J$1005,SMALL(IF(checklistPesertaKemenkeu!$AY$6:$AY$1005="Direkomendasikan",ROW($6:$1005)-5),323))=""),"",IF(AND(COUNTIF(INDIRECT("K_"&amp;MATCH(INDEX(checklistPesertaKemenkeu!$J$6:$J$1005,SMALL(IF(checklistPesertaKemenkeu!$AY$6:$AY$1005="Direkomendasikan",ROW($6:$1005)-5),323)),BidangList,0)),INDEX(checklistPesertaKemenkeu!$P$6:$P$1005,SMALL(IF(checklistPesertaKemenkeu!$AY$6:$AY$1005="Direkomendasikan",ROW($6:$1005)-5),323)))&gt;0,COUNTIF(INDIRECT("'KERTAS KERJA'!K"&amp;(SMALL(IF(checklistPesertaKemenkeu!$AY$6:$AY$1005="Direkomendasikan",ROW($6:$1005)-5),323)+5)&amp;":O"&amp;(SMALL(IF(checklistPesertaKemenkeu!$AY$6:$AY$1005="Direkomendasikan",ROW($6:$1005)-5),323)+5)),INDEX(checklistPesertaKemenkeu!$P$6:$P$1005,SMALL(IF(checklistPesertaKemenkeu!$AY$6:$AY$1005="Direkomendasikan",ROW($6:$1005)-5),323)))=1),IFERROR(VLOOKUP(INDEX(checklistPesertaKemenkeu!$P$6:$P$1005,SMALL(IF(checklistPesertaKemenkeu!$AY$6:$AY$1005="Direkomendasikan",ROW($6:$1005)-5),323)),KotaKode,2,0),"-"),"")),"")</f>
        <v/>
      </c>
    </row>
    <row r="325" spans="1:12" ht="15" customHeight="1" x14ac:dyDescent="0.2">
      <c r="A325" t="str">
        <f t="shared" si="5"/>
        <v/>
      </c>
      <c r="B325" t="str">
        <v/>
      </c>
      <c r="C325" s="40" t="str">
        <f t="array" ref="C325">IFERROR(INDEX(checklistPesertaKemenkeu!$F$6:$F$1005,SMALL(IF(checklistPesertaKemenkeu!$AY$6:$AY$1005="Direkomendasikan",ROW($6:$1005)-5),324)),"")</f>
        <v/>
      </c>
      <c r="D325" t="str">
        <f t="array" ref="D325">IFERROR(INDEX(checklistPesertaKemenkeu!$G$6:$G$1005,SMALL(IF(checklistPesertaKemenkeu!$AY$6:$AY$1005="Direkomendasikan",ROW($6:$1005)-5),324)),"")</f>
        <v/>
      </c>
      <c r="E325" t="str">
        <f t="array" ref="E325">IFERROR(INDEX(checklistPesertaKemenkeu!$H$6:$H$1005,SMALL(IF(checklistPesertaKemenkeu!$AY$6:$AY$1005="Direkomendasikan",ROW($6:$1005)-5),324)),"")</f>
        <v/>
      </c>
      <c r="F325" t="str">
        <f t="array" ref="F325">IFERROR(INDEX(checklistPesertaKemenkeu!$I$6:$I$1005,SMALL(IF(checklistPesertaKemenkeu!$AY$6:$AY$1005="Direkomendasikan",ROW($6:$1005)-5),324)),"")</f>
        <v/>
      </c>
      <c r="G325" t="str">
        <f t="array" ref="G325">IFERROR(INDEX(checklistPesertaKemenkeu!$J$6:$J$1005,SMALL(IF(checklistPesertaKemenkeu!$AY$6:$AY$1005="Direkomendasikan",ROW($6:$1005)-5),324)),"")</f>
        <v/>
      </c>
      <c r="H325" t="str">
        <f t="array" aca="1" ref="H325" ca="1">IFERROR(IF(OR(INDEX(checklistPesertaKemenkeu!$L$6:$L$1005,SMALL(IF(checklistPesertaKemenkeu!$AY$6:$AY$1005="Direkomendasikan",ROW($6:$1005)-5),324))="",INDEX(checklistPesertaKemenkeu!$J$6:$J$1005,SMALL(IF(checklistPesertaKemenkeu!$AY$6:$AY$1005="Direkomendasikan",ROW($6:$1005)-5),324))=""),"",IF(AND(COUNTIF(INDIRECT("K_"&amp;MATCH(INDEX(checklistPesertaKemenkeu!$J$6:$J$1005,SMALL(IF(checklistPesertaKemenkeu!$AY$6:$AY$1005="Direkomendasikan",ROW($6:$1005)-5),324)),BidangList,0)),INDEX(checklistPesertaKemenkeu!$L$6:$L$1005,SMALL(IF(checklistPesertaKemenkeu!$AY$6:$AY$1005="Direkomendasikan",ROW($6:$1005)-5),324)))&gt;0,COUNTIF(INDIRECT("'KERTAS KERJA'!K"&amp;(SMALL(IF(checklistPesertaKemenkeu!$AY$6:$AY$1005="Direkomendasikan",ROW($6:$1005)-5),324)+5)&amp;":O"&amp;(SMALL(IF(checklistPesertaKemenkeu!$AY$6:$AY$1005="Direkomendasikan",ROW($6:$1005)-5),324)+5)),INDEX(checklistPesertaKemenkeu!$L$6:$L$1005,SMALL(IF(checklistPesertaKemenkeu!$AY$6:$AY$1005="Direkomendasikan",ROW($6:$1005)-5),324)))=1),IFERROR(VLOOKUP(INDEX(checklistPesertaKemenkeu!$L$6:$L$1005,SMALL(IF(checklistPesertaKemenkeu!$AY$6:$AY$1005="Direkomendasikan",ROW($6:$1005)-5),324)),KotaKode,2,0),"-"),"")),"")</f>
        <v/>
      </c>
      <c r="I325" t="str">
        <f t="array" aca="1" ref="I325" ca="1">IFERROR(IF(OR(INDEX(checklistPesertaKemenkeu!$M$6:$M$1005,SMALL(IF(checklistPesertaKemenkeu!$AY$6:$AY$1005="Direkomendasikan",ROW($6:$1005)-5),324))="",INDEX(checklistPesertaKemenkeu!$J$6:$J$1005,SMALL(IF(checklistPesertaKemenkeu!$AY$6:$AY$1005="Direkomendasikan",ROW($6:$1005)-5),324))=""),"",IF(AND(COUNTIF(INDIRECT("K_"&amp;MATCH(INDEX(checklistPesertaKemenkeu!$J$6:$J$1005,SMALL(IF(checklistPesertaKemenkeu!$AY$6:$AY$1005="Direkomendasikan",ROW($6:$1005)-5),324)),BidangList,0)),INDEX(checklistPesertaKemenkeu!$M$6:$M$1005,SMALL(IF(checklistPesertaKemenkeu!$AY$6:$AY$1005="Direkomendasikan",ROW($6:$1005)-5),324)))&gt;0,COUNTIF(INDIRECT("'KERTAS KERJA'!K"&amp;(SMALL(IF(checklistPesertaKemenkeu!$AY$6:$AY$1005="Direkomendasikan",ROW($6:$1005)-5),324)+5)&amp;":O"&amp;(SMALL(IF(checklistPesertaKemenkeu!$AY$6:$AY$1005="Direkomendasikan",ROW($6:$1005)-5),324)+5)),INDEX(checklistPesertaKemenkeu!$M$6:$M$1005,SMALL(IF(checklistPesertaKemenkeu!$AY$6:$AY$1005="Direkomendasikan",ROW($6:$1005)-5),324)))=1),IFERROR(VLOOKUP(INDEX(checklistPesertaKemenkeu!$M$6:$M$1005,SMALL(IF(checklistPesertaKemenkeu!$AY$6:$AY$1005="Direkomendasikan",ROW($6:$1005)-5),324)),KotaKode,2,0),"-"),"")),"")</f>
        <v/>
      </c>
      <c r="J325" t="str">
        <f t="array" aca="1" ref="J325" ca="1">IFERROR(IF(OR(INDEX(checklistPesertaKemenkeu!$N$6:$N$1005,SMALL(IF(checklistPesertaKemenkeu!$AY$6:$AY$1005="Direkomendasikan",ROW($6:$1005)-5),324))="",INDEX(checklistPesertaKemenkeu!$J$6:$J$1005,SMALL(IF(checklistPesertaKemenkeu!$AY$6:$AY$1005="Direkomendasikan",ROW($6:$1005)-5),324))=""),"",IF(AND(COUNTIF(INDIRECT("K_"&amp;MATCH(INDEX(checklistPesertaKemenkeu!$J$6:$J$1005,SMALL(IF(checklistPesertaKemenkeu!$AY$6:$AY$1005="Direkomendasikan",ROW($6:$1005)-5),324)),BidangList,0)),INDEX(checklistPesertaKemenkeu!$N$6:$N$1005,SMALL(IF(checklistPesertaKemenkeu!$AY$6:$AY$1005="Direkomendasikan",ROW($6:$1005)-5),324)))&gt;0,COUNTIF(INDIRECT("'KERTAS KERJA'!K"&amp;(SMALL(IF(checklistPesertaKemenkeu!$AY$6:$AY$1005="Direkomendasikan",ROW($6:$1005)-5),324)+5)&amp;":O"&amp;(SMALL(IF(checklistPesertaKemenkeu!$AY$6:$AY$1005="Direkomendasikan",ROW($6:$1005)-5),324)+5)),INDEX(checklistPesertaKemenkeu!$N$6:$N$1005,SMALL(IF(checklistPesertaKemenkeu!$AY$6:$AY$1005="Direkomendasikan",ROW($6:$1005)-5),324)))=1),IFERROR(VLOOKUP(INDEX(checklistPesertaKemenkeu!$N$6:$N$1005,SMALL(IF(checklistPesertaKemenkeu!$AY$6:$AY$1005="Direkomendasikan",ROW($6:$1005)-5),324)),KotaKode,2,0),"-"),"")),"")</f>
        <v/>
      </c>
      <c r="K325" t="str">
        <f t="array" aca="1" ref="K325" ca="1">IFERROR(IF(OR(INDEX(checklistPesertaKemenkeu!$O$6:$O$1005,SMALL(IF(checklistPesertaKemenkeu!$AY$6:$AY$1005="Direkomendasikan",ROW($6:$1005)-5),324))="",INDEX(checklistPesertaKemenkeu!$J$6:$J$1005,SMALL(IF(checklistPesertaKemenkeu!$AY$6:$AY$1005="Direkomendasikan",ROW($6:$1005)-5),324))=""),"",IF(AND(COUNTIF(INDIRECT("K_"&amp;MATCH(INDEX(checklistPesertaKemenkeu!$J$6:$J$1005,SMALL(IF(checklistPesertaKemenkeu!$AY$6:$AY$1005="Direkomendasikan",ROW($6:$1005)-5),324)),BidangList,0)),INDEX(checklistPesertaKemenkeu!$O$6:$O$1005,SMALL(IF(checklistPesertaKemenkeu!$AY$6:$AY$1005="Direkomendasikan",ROW($6:$1005)-5),324)))&gt;0,COUNTIF(INDIRECT("'KERTAS KERJA'!K"&amp;(SMALL(IF(checklistPesertaKemenkeu!$AY$6:$AY$1005="Direkomendasikan",ROW($6:$1005)-5),324)+5)&amp;":O"&amp;(SMALL(IF(checklistPesertaKemenkeu!$AY$6:$AY$1005="Direkomendasikan",ROW($6:$1005)-5),324)+5)),INDEX(checklistPesertaKemenkeu!$O$6:$O$1005,SMALL(IF(checklistPesertaKemenkeu!$AY$6:$AY$1005="Direkomendasikan",ROW($6:$1005)-5),324)))=1),IFERROR(VLOOKUP(INDEX(checklistPesertaKemenkeu!$O$6:$O$1005,SMALL(IF(checklistPesertaKemenkeu!$AY$6:$AY$1005="Direkomendasikan",ROW($6:$1005)-5),324)),KotaKode,2,0),"-"),"")),"")</f>
        <v/>
      </c>
      <c r="L325" t="str">
        <f t="array" aca="1" ref="L325" ca="1">IFERROR(IF(OR(INDEX(checklistPesertaKemenkeu!$P$6:$P$1005,SMALL(IF(checklistPesertaKemenkeu!$AY$6:$AY$1005="Direkomendasikan",ROW($6:$1005)-5),324))="",INDEX(checklistPesertaKemenkeu!$J$6:$J$1005,SMALL(IF(checklistPesertaKemenkeu!$AY$6:$AY$1005="Direkomendasikan",ROW($6:$1005)-5),324))=""),"",IF(AND(COUNTIF(INDIRECT("K_"&amp;MATCH(INDEX(checklistPesertaKemenkeu!$J$6:$J$1005,SMALL(IF(checklistPesertaKemenkeu!$AY$6:$AY$1005="Direkomendasikan",ROW($6:$1005)-5),324)),BidangList,0)),INDEX(checklistPesertaKemenkeu!$P$6:$P$1005,SMALL(IF(checklistPesertaKemenkeu!$AY$6:$AY$1005="Direkomendasikan",ROW($6:$1005)-5),324)))&gt;0,COUNTIF(INDIRECT("'KERTAS KERJA'!K"&amp;(SMALL(IF(checklistPesertaKemenkeu!$AY$6:$AY$1005="Direkomendasikan",ROW($6:$1005)-5),324)+5)&amp;":O"&amp;(SMALL(IF(checklistPesertaKemenkeu!$AY$6:$AY$1005="Direkomendasikan",ROW($6:$1005)-5),324)+5)),INDEX(checklistPesertaKemenkeu!$P$6:$P$1005,SMALL(IF(checklistPesertaKemenkeu!$AY$6:$AY$1005="Direkomendasikan",ROW($6:$1005)-5),324)))=1),IFERROR(VLOOKUP(INDEX(checklistPesertaKemenkeu!$P$6:$P$1005,SMALL(IF(checklistPesertaKemenkeu!$AY$6:$AY$1005="Direkomendasikan",ROW($6:$1005)-5),324)),KotaKode,2,0),"-"),"")),"")</f>
        <v/>
      </c>
    </row>
    <row r="326" spans="1:12" ht="15" customHeight="1" x14ac:dyDescent="0.2">
      <c r="A326" t="str">
        <f t="shared" si="5"/>
        <v/>
      </c>
      <c r="B326" t="str">
        <v/>
      </c>
      <c r="C326" s="40" t="str">
        <f t="array" ref="C326">IFERROR(INDEX(checklistPesertaKemenkeu!$F$6:$F$1005,SMALL(IF(checklistPesertaKemenkeu!$AY$6:$AY$1005="Direkomendasikan",ROW($6:$1005)-5),325)),"")</f>
        <v/>
      </c>
      <c r="D326" t="str">
        <f t="array" ref="D326">IFERROR(INDEX(checklistPesertaKemenkeu!$G$6:$G$1005,SMALL(IF(checklistPesertaKemenkeu!$AY$6:$AY$1005="Direkomendasikan",ROW($6:$1005)-5),325)),"")</f>
        <v/>
      </c>
      <c r="E326" t="str">
        <f t="array" ref="E326">IFERROR(INDEX(checklistPesertaKemenkeu!$H$6:$H$1005,SMALL(IF(checklistPesertaKemenkeu!$AY$6:$AY$1005="Direkomendasikan",ROW($6:$1005)-5),325)),"")</f>
        <v/>
      </c>
      <c r="F326" t="str">
        <f t="array" ref="F326">IFERROR(INDEX(checklistPesertaKemenkeu!$I$6:$I$1005,SMALL(IF(checklistPesertaKemenkeu!$AY$6:$AY$1005="Direkomendasikan",ROW($6:$1005)-5),325)),"")</f>
        <v/>
      </c>
      <c r="G326" t="str">
        <f t="array" ref="G326">IFERROR(INDEX(checklistPesertaKemenkeu!$J$6:$J$1005,SMALL(IF(checklistPesertaKemenkeu!$AY$6:$AY$1005="Direkomendasikan",ROW($6:$1005)-5),325)),"")</f>
        <v/>
      </c>
      <c r="H326" t="str">
        <f t="array" aca="1" ref="H326" ca="1">IFERROR(IF(OR(INDEX(checklistPesertaKemenkeu!$L$6:$L$1005,SMALL(IF(checklistPesertaKemenkeu!$AY$6:$AY$1005="Direkomendasikan",ROW($6:$1005)-5),325))="",INDEX(checklistPesertaKemenkeu!$J$6:$J$1005,SMALL(IF(checklistPesertaKemenkeu!$AY$6:$AY$1005="Direkomendasikan",ROW($6:$1005)-5),325))=""),"",IF(AND(COUNTIF(INDIRECT("K_"&amp;MATCH(INDEX(checklistPesertaKemenkeu!$J$6:$J$1005,SMALL(IF(checklistPesertaKemenkeu!$AY$6:$AY$1005="Direkomendasikan",ROW($6:$1005)-5),325)),BidangList,0)),INDEX(checklistPesertaKemenkeu!$L$6:$L$1005,SMALL(IF(checklistPesertaKemenkeu!$AY$6:$AY$1005="Direkomendasikan",ROW($6:$1005)-5),325)))&gt;0,COUNTIF(INDIRECT("'KERTAS KERJA'!K"&amp;(SMALL(IF(checklistPesertaKemenkeu!$AY$6:$AY$1005="Direkomendasikan",ROW($6:$1005)-5),325)+5)&amp;":O"&amp;(SMALL(IF(checklistPesertaKemenkeu!$AY$6:$AY$1005="Direkomendasikan",ROW($6:$1005)-5),325)+5)),INDEX(checklistPesertaKemenkeu!$L$6:$L$1005,SMALL(IF(checklistPesertaKemenkeu!$AY$6:$AY$1005="Direkomendasikan",ROW($6:$1005)-5),325)))=1),IFERROR(VLOOKUP(INDEX(checklistPesertaKemenkeu!$L$6:$L$1005,SMALL(IF(checklistPesertaKemenkeu!$AY$6:$AY$1005="Direkomendasikan",ROW($6:$1005)-5),325)),KotaKode,2,0),"-"),"")),"")</f>
        <v/>
      </c>
      <c r="I326" t="str">
        <f t="array" aca="1" ref="I326" ca="1">IFERROR(IF(OR(INDEX(checklistPesertaKemenkeu!$M$6:$M$1005,SMALL(IF(checklistPesertaKemenkeu!$AY$6:$AY$1005="Direkomendasikan",ROW($6:$1005)-5),325))="",INDEX(checklistPesertaKemenkeu!$J$6:$J$1005,SMALL(IF(checklistPesertaKemenkeu!$AY$6:$AY$1005="Direkomendasikan",ROW($6:$1005)-5),325))=""),"",IF(AND(COUNTIF(INDIRECT("K_"&amp;MATCH(INDEX(checklistPesertaKemenkeu!$J$6:$J$1005,SMALL(IF(checklistPesertaKemenkeu!$AY$6:$AY$1005="Direkomendasikan",ROW($6:$1005)-5),325)),BidangList,0)),INDEX(checklistPesertaKemenkeu!$M$6:$M$1005,SMALL(IF(checklistPesertaKemenkeu!$AY$6:$AY$1005="Direkomendasikan",ROW($6:$1005)-5),325)))&gt;0,COUNTIF(INDIRECT("'KERTAS KERJA'!K"&amp;(SMALL(IF(checklistPesertaKemenkeu!$AY$6:$AY$1005="Direkomendasikan",ROW($6:$1005)-5),325)+5)&amp;":O"&amp;(SMALL(IF(checklistPesertaKemenkeu!$AY$6:$AY$1005="Direkomendasikan",ROW($6:$1005)-5),325)+5)),INDEX(checklistPesertaKemenkeu!$M$6:$M$1005,SMALL(IF(checklistPesertaKemenkeu!$AY$6:$AY$1005="Direkomendasikan",ROW($6:$1005)-5),325)))=1),IFERROR(VLOOKUP(INDEX(checklistPesertaKemenkeu!$M$6:$M$1005,SMALL(IF(checklistPesertaKemenkeu!$AY$6:$AY$1005="Direkomendasikan",ROW($6:$1005)-5),325)),KotaKode,2,0),"-"),"")),"")</f>
        <v/>
      </c>
      <c r="J326" t="str">
        <f t="array" aca="1" ref="J326" ca="1">IFERROR(IF(OR(INDEX(checklistPesertaKemenkeu!$N$6:$N$1005,SMALL(IF(checklistPesertaKemenkeu!$AY$6:$AY$1005="Direkomendasikan",ROW($6:$1005)-5),325))="",INDEX(checklistPesertaKemenkeu!$J$6:$J$1005,SMALL(IF(checklistPesertaKemenkeu!$AY$6:$AY$1005="Direkomendasikan",ROW($6:$1005)-5),325))=""),"",IF(AND(COUNTIF(INDIRECT("K_"&amp;MATCH(INDEX(checklistPesertaKemenkeu!$J$6:$J$1005,SMALL(IF(checklistPesertaKemenkeu!$AY$6:$AY$1005="Direkomendasikan",ROW($6:$1005)-5),325)),BidangList,0)),INDEX(checklistPesertaKemenkeu!$N$6:$N$1005,SMALL(IF(checklistPesertaKemenkeu!$AY$6:$AY$1005="Direkomendasikan",ROW($6:$1005)-5),325)))&gt;0,COUNTIF(INDIRECT("'KERTAS KERJA'!K"&amp;(SMALL(IF(checklistPesertaKemenkeu!$AY$6:$AY$1005="Direkomendasikan",ROW($6:$1005)-5),325)+5)&amp;":O"&amp;(SMALL(IF(checklistPesertaKemenkeu!$AY$6:$AY$1005="Direkomendasikan",ROW($6:$1005)-5),325)+5)),INDEX(checklistPesertaKemenkeu!$N$6:$N$1005,SMALL(IF(checklistPesertaKemenkeu!$AY$6:$AY$1005="Direkomendasikan",ROW($6:$1005)-5),325)))=1),IFERROR(VLOOKUP(INDEX(checklistPesertaKemenkeu!$N$6:$N$1005,SMALL(IF(checklistPesertaKemenkeu!$AY$6:$AY$1005="Direkomendasikan",ROW($6:$1005)-5),325)),KotaKode,2,0),"-"),"")),"")</f>
        <v/>
      </c>
      <c r="K326" t="str">
        <f t="array" aca="1" ref="K326" ca="1">IFERROR(IF(OR(INDEX(checklistPesertaKemenkeu!$O$6:$O$1005,SMALL(IF(checklistPesertaKemenkeu!$AY$6:$AY$1005="Direkomendasikan",ROW($6:$1005)-5),325))="",INDEX(checklistPesertaKemenkeu!$J$6:$J$1005,SMALL(IF(checklistPesertaKemenkeu!$AY$6:$AY$1005="Direkomendasikan",ROW($6:$1005)-5),325))=""),"",IF(AND(COUNTIF(INDIRECT("K_"&amp;MATCH(INDEX(checklistPesertaKemenkeu!$J$6:$J$1005,SMALL(IF(checklistPesertaKemenkeu!$AY$6:$AY$1005="Direkomendasikan",ROW($6:$1005)-5),325)),BidangList,0)),INDEX(checklistPesertaKemenkeu!$O$6:$O$1005,SMALL(IF(checklistPesertaKemenkeu!$AY$6:$AY$1005="Direkomendasikan",ROW($6:$1005)-5),325)))&gt;0,COUNTIF(INDIRECT("'KERTAS KERJA'!K"&amp;(SMALL(IF(checklistPesertaKemenkeu!$AY$6:$AY$1005="Direkomendasikan",ROW($6:$1005)-5),325)+5)&amp;":O"&amp;(SMALL(IF(checklistPesertaKemenkeu!$AY$6:$AY$1005="Direkomendasikan",ROW($6:$1005)-5),325)+5)),INDEX(checklistPesertaKemenkeu!$O$6:$O$1005,SMALL(IF(checklistPesertaKemenkeu!$AY$6:$AY$1005="Direkomendasikan",ROW($6:$1005)-5),325)))=1),IFERROR(VLOOKUP(INDEX(checklistPesertaKemenkeu!$O$6:$O$1005,SMALL(IF(checklistPesertaKemenkeu!$AY$6:$AY$1005="Direkomendasikan",ROW($6:$1005)-5),325)),KotaKode,2,0),"-"),"")),"")</f>
        <v/>
      </c>
      <c r="L326" t="str">
        <f t="array" aca="1" ref="L326" ca="1">IFERROR(IF(OR(INDEX(checklistPesertaKemenkeu!$P$6:$P$1005,SMALL(IF(checklistPesertaKemenkeu!$AY$6:$AY$1005="Direkomendasikan",ROW($6:$1005)-5),325))="",INDEX(checklistPesertaKemenkeu!$J$6:$J$1005,SMALL(IF(checklistPesertaKemenkeu!$AY$6:$AY$1005="Direkomendasikan",ROW($6:$1005)-5),325))=""),"",IF(AND(COUNTIF(INDIRECT("K_"&amp;MATCH(INDEX(checklistPesertaKemenkeu!$J$6:$J$1005,SMALL(IF(checklistPesertaKemenkeu!$AY$6:$AY$1005="Direkomendasikan",ROW($6:$1005)-5),325)),BidangList,0)),INDEX(checklistPesertaKemenkeu!$P$6:$P$1005,SMALL(IF(checklistPesertaKemenkeu!$AY$6:$AY$1005="Direkomendasikan",ROW($6:$1005)-5),325)))&gt;0,COUNTIF(INDIRECT("'KERTAS KERJA'!K"&amp;(SMALL(IF(checklistPesertaKemenkeu!$AY$6:$AY$1005="Direkomendasikan",ROW($6:$1005)-5),325)+5)&amp;":O"&amp;(SMALL(IF(checklistPesertaKemenkeu!$AY$6:$AY$1005="Direkomendasikan",ROW($6:$1005)-5),325)+5)),INDEX(checklistPesertaKemenkeu!$P$6:$P$1005,SMALL(IF(checklistPesertaKemenkeu!$AY$6:$AY$1005="Direkomendasikan",ROW($6:$1005)-5),325)))=1),IFERROR(VLOOKUP(INDEX(checklistPesertaKemenkeu!$P$6:$P$1005,SMALL(IF(checklistPesertaKemenkeu!$AY$6:$AY$1005="Direkomendasikan",ROW($6:$1005)-5),325)),KotaKode,2,0),"-"),"")),"")</f>
        <v/>
      </c>
    </row>
    <row r="327" spans="1:12" ht="15" customHeight="1" x14ac:dyDescent="0.2">
      <c r="A327" t="str">
        <f t="shared" si="5"/>
        <v/>
      </c>
      <c r="B327" t="str">
        <v/>
      </c>
      <c r="C327" s="40" t="str">
        <f t="array" ref="C327">IFERROR(INDEX(checklistPesertaKemenkeu!$F$6:$F$1005,SMALL(IF(checklistPesertaKemenkeu!$AY$6:$AY$1005="Direkomendasikan",ROW($6:$1005)-5),326)),"")</f>
        <v/>
      </c>
      <c r="D327" t="str">
        <f t="array" ref="D327">IFERROR(INDEX(checklistPesertaKemenkeu!$G$6:$G$1005,SMALL(IF(checklistPesertaKemenkeu!$AY$6:$AY$1005="Direkomendasikan",ROW($6:$1005)-5),326)),"")</f>
        <v/>
      </c>
      <c r="E327" t="str">
        <f t="array" ref="E327">IFERROR(INDEX(checklistPesertaKemenkeu!$H$6:$H$1005,SMALL(IF(checklistPesertaKemenkeu!$AY$6:$AY$1005="Direkomendasikan",ROW($6:$1005)-5),326)),"")</f>
        <v/>
      </c>
      <c r="F327" t="str">
        <f t="array" ref="F327">IFERROR(INDEX(checklistPesertaKemenkeu!$I$6:$I$1005,SMALL(IF(checklistPesertaKemenkeu!$AY$6:$AY$1005="Direkomendasikan",ROW($6:$1005)-5),326)),"")</f>
        <v/>
      </c>
      <c r="G327" t="str">
        <f t="array" ref="G327">IFERROR(INDEX(checklistPesertaKemenkeu!$J$6:$J$1005,SMALL(IF(checklistPesertaKemenkeu!$AY$6:$AY$1005="Direkomendasikan",ROW($6:$1005)-5),326)),"")</f>
        <v/>
      </c>
      <c r="H327" t="str">
        <f t="array" aca="1" ref="H327" ca="1">IFERROR(IF(OR(INDEX(checklistPesertaKemenkeu!$L$6:$L$1005,SMALL(IF(checklistPesertaKemenkeu!$AY$6:$AY$1005="Direkomendasikan",ROW($6:$1005)-5),326))="",INDEX(checklistPesertaKemenkeu!$J$6:$J$1005,SMALL(IF(checklistPesertaKemenkeu!$AY$6:$AY$1005="Direkomendasikan",ROW($6:$1005)-5),326))=""),"",IF(AND(COUNTIF(INDIRECT("K_"&amp;MATCH(INDEX(checklistPesertaKemenkeu!$J$6:$J$1005,SMALL(IF(checklistPesertaKemenkeu!$AY$6:$AY$1005="Direkomendasikan",ROW($6:$1005)-5),326)),BidangList,0)),INDEX(checklistPesertaKemenkeu!$L$6:$L$1005,SMALL(IF(checklistPesertaKemenkeu!$AY$6:$AY$1005="Direkomendasikan",ROW($6:$1005)-5),326)))&gt;0,COUNTIF(INDIRECT("'KERTAS KERJA'!K"&amp;(SMALL(IF(checklistPesertaKemenkeu!$AY$6:$AY$1005="Direkomendasikan",ROW($6:$1005)-5),326)+5)&amp;":O"&amp;(SMALL(IF(checklistPesertaKemenkeu!$AY$6:$AY$1005="Direkomendasikan",ROW($6:$1005)-5),326)+5)),INDEX(checklistPesertaKemenkeu!$L$6:$L$1005,SMALL(IF(checklistPesertaKemenkeu!$AY$6:$AY$1005="Direkomendasikan",ROW($6:$1005)-5),326)))=1),IFERROR(VLOOKUP(INDEX(checklistPesertaKemenkeu!$L$6:$L$1005,SMALL(IF(checklistPesertaKemenkeu!$AY$6:$AY$1005="Direkomendasikan",ROW($6:$1005)-5),326)),KotaKode,2,0),"-"),"")),"")</f>
        <v/>
      </c>
      <c r="I327" t="str">
        <f t="array" aca="1" ref="I327" ca="1">IFERROR(IF(OR(INDEX(checklistPesertaKemenkeu!$M$6:$M$1005,SMALL(IF(checklistPesertaKemenkeu!$AY$6:$AY$1005="Direkomendasikan",ROW($6:$1005)-5),326))="",INDEX(checklistPesertaKemenkeu!$J$6:$J$1005,SMALL(IF(checklistPesertaKemenkeu!$AY$6:$AY$1005="Direkomendasikan",ROW($6:$1005)-5),326))=""),"",IF(AND(COUNTIF(INDIRECT("K_"&amp;MATCH(INDEX(checklistPesertaKemenkeu!$J$6:$J$1005,SMALL(IF(checklistPesertaKemenkeu!$AY$6:$AY$1005="Direkomendasikan",ROW($6:$1005)-5),326)),BidangList,0)),INDEX(checklistPesertaKemenkeu!$M$6:$M$1005,SMALL(IF(checklistPesertaKemenkeu!$AY$6:$AY$1005="Direkomendasikan",ROW($6:$1005)-5),326)))&gt;0,COUNTIF(INDIRECT("'KERTAS KERJA'!K"&amp;(SMALL(IF(checklistPesertaKemenkeu!$AY$6:$AY$1005="Direkomendasikan",ROW($6:$1005)-5),326)+5)&amp;":O"&amp;(SMALL(IF(checklistPesertaKemenkeu!$AY$6:$AY$1005="Direkomendasikan",ROW($6:$1005)-5),326)+5)),INDEX(checklistPesertaKemenkeu!$M$6:$M$1005,SMALL(IF(checklistPesertaKemenkeu!$AY$6:$AY$1005="Direkomendasikan",ROW($6:$1005)-5),326)))=1),IFERROR(VLOOKUP(INDEX(checklistPesertaKemenkeu!$M$6:$M$1005,SMALL(IF(checklistPesertaKemenkeu!$AY$6:$AY$1005="Direkomendasikan",ROW($6:$1005)-5),326)),KotaKode,2,0),"-"),"")),"")</f>
        <v/>
      </c>
      <c r="J327" t="str">
        <f t="array" aca="1" ref="J327" ca="1">IFERROR(IF(OR(INDEX(checklistPesertaKemenkeu!$N$6:$N$1005,SMALL(IF(checklistPesertaKemenkeu!$AY$6:$AY$1005="Direkomendasikan",ROW($6:$1005)-5),326))="",INDEX(checklistPesertaKemenkeu!$J$6:$J$1005,SMALL(IF(checklistPesertaKemenkeu!$AY$6:$AY$1005="Direkomendasikan",ROW($6:$1005)-5),326))=""),"",IF(AND(COUNTIF(INDIRECT("K_"&amp;MATCH(INDEX(checklistPesertaKemenkeu!$J$6:$J$1005,SMALL(IF(checklistPesertaKemenkeu!$AY$6:$AY$1005="Direkomendasikan",ROW($6:$1005)-5),326)),BidangList,0)),INDEX(checklistPesertaKemenkeu!$N$6:$N$1005,SMALL(IF(checklistPesertaKemenkeu!$AY$6:$AY$1005="Direkomendasikan",ROW($6:$1005)-5),326)))&gt;0,COUNTIF(INDIRECT("'KERTAS KERJA'!K"&amp;(SMALL(IF(checklistPesertaKemenkeu!$AY$6:$AY$1005="Direkomendasikan",ROW($6:$1005)-5),326)+5)&amp;":O"&amp;(SMALL(IF(checklistPesertaKemenkeu!$AY$6:$AY$1005="Direkomendasikan",ROW($6:$1005)-5),326)+5)),INDEX(checklistPesertaKemenkeu!$N$6:$N$1005,SMALL(IF(checklistPesertaKemenkeu!$AY$6:$AY$1005="Direkomendasikan",ROW($6:$1005)-5),326)))=1),IFERROR(VLOOKUP(INDEX(checklistPesertaKemenkeu!$N$6:$N$1005,SMALL(IF(checklistPesertaKemenkeu!$AY$6:$AY$1005="Direkomendasikan",ROW($6:$1005)-5),326)),KotaKode,2,0),"-"),"")),"")</f>
        <v/>
      </c>
      <c r="K327" t="str">
        <f t="array" aca="1" ref="K327" ca="1">IFERROR(IF(OR(INDEX(checklistPesertaKemenkeu!$O$6:$O$1005,SMALL(IF(checklistPesertaKemenkeu!$AY$6:$AY$1005="Direkomendasikan",ROW($6:$1005)-5),326))="",INDEX(checklistPesertaKemenkeu!$J$6:$J$1005,SMALL(IF(checklistPesertaKemenkeu!$AY$6:$AY$1005="Direkomendasikan",ROW($6:$1005)-5),326))=""),"",IF(AND(COUNTIF(INDIRECT("K_"&amp;MATCH(INDEX(checklistPesertaKemenkeu!$J$6:$J$1005,SMALL(IF(checklistPesertaKemenkeu!$AY$6:$AY$1005="Direkomendasikan",ROW($6:$1005)-5),326)),BidangList,0)),INDEX(checklistPesertaKemenkeu!$O$6:$O$1005,SMALL(IF(checklistPesertaKemenkeu!$AY$6:$AY$1005="Direkomendasikan",ROW($6:$1005)-5),326)))&gt;0,COUNTIF(INDIRECT("'KERTAS KERJA'!K"&amp;(SMALL(IF(checklistPesertaKemenkeu!$AY$6:$AY$1005="Direkomendasikan",ROW($6:$1005)-5),326)+5)&amp;":O"&amp;(SMALL(IF(checklistPesertaKemenkeu!$AY$6:$AY$1005="Direkomendasikan",ROW($6:$1005)-5),326)+5)),INDEX(checklistPesertaKemenkeu!$O$6:$O$1005,SMALL(IF(checklistPesertaKemenkeu!$AY$6:$AY$1005="Direkomendasikan",ROW($6:$1005)-5),326)))=1),IFERROR(VLOOKUP(INDEX(checklistPesertaKemenkeu!$O$6:$O$1005,SMALL(IF(checklistPesertaKemenkeu!$AY$6:$AY$1005="Direkomendasikan",ROW($6:$1005)-5),326)),KotaKode,2,0),"-"),"")),"")</f>
        <v/>
      </c>
      <c r="L327" t="str">
        <f t="array" aca="1" ref="L327" ca="1">IFERROR(IF(OR(INDEX(checklistPesertaKemenkeu!$P$6:$P$1005,SMALL(IF(checklistPesertaKemenkeu!$AY$6:$AY$1005="Direkomendasikan",ROW($6:$1005)-5),326))="",INDEX(checklistPesertaKemenkeu!$J$6:$J$1005,SMALL(IF(checklistPesertaKemenkeu!$AY$6:$AY$1005="Direkomendasikan",ROW($6:$1005)-5),326))=""),"",IF(AND(COUNTIF(INDIRECT("K_"&amp;MATCH(INDEX(checklistPesertaKemenkeu!$J$6:$J$1005,SMALL(IF(checklistPesertaKemenkeu!$AY$6:$AY$1005="Direkomendasikan",ROW($6:$1005)-5),326)),BidangList,0)),INDEX(checklistPesertaKemenkeu!$P$6:$P$1005,SMALL(IF(checklistPesertaKemenkeu!$AY$6:$AY$1005="Direkomendasikan",ROW($6:$1005)-5),326)))&gt;0,COUNTIF(INDIRECT("'KERTAS KERJA'!K"&amp;(SMALL(IF(checklistPesertaKemenkeu!$AY$6:$AY$1005="Direkomendasikan",ROW($6:$1005)-5),326)+5)&amp;":O"&amp;(SMALL(IF(checklistPesertaKemenkeu!$AY$6:$AY$1005="Direkomendasikan",ROW($6:$1005)-5),326)+5)),INDEX(checklistPesertaKemenkeu!$P$6:$P$1005,SMALL(IF(checklistPesertaKemenkeu!$AY$6:$AY$1005="Direkomendasikan",ROW($6:$1005)-5),326)))=1),IFERROR(VLOOKUP(INDEX(checklistPesertaKemenkeu!$P$6:$P$1005,SMALL(IF(checklistPesertaKemenkeu!$AY$6:$AY$1005="Direkomendasikan",ROW($6:$1005)-5),326)),KotaKode,2,0),"-"),"")),"")</f>
        <v/>
      </c>
    </row>
    <row r="328" spans="1:12" ht="15" customHeight="1" x14ac:dyDescent="0.2">
      <c r="A328" t="str">
        <f t="shared" si="5"/>
        <v/>
      </c>
      <c r="B328" t="str">
        <v/>
      </c>
      <c r="C328" s="40" t="str">
        <f t="array" ref="C328">IFERROR(INDEX(checklistPesertaKemenkeu!$F$6:$F$1005,SMALL(IF(checklistPesertaKemenkeu!$AY$6:$AY$1005="Direkomendasikan",ROW($6:$1005)-5),327)),"")</f>
        <v/>
      </c>
      <c r="D328" t="str">
        <f t="array" ref="D328">IFERROR(INDEX(checklistPesertaKemenkeu!$G$6:$G$1005,SMALL(IF(checklistPesertaKemenkeu!$AY$6:$AY$1005="Direkomendasikan",ROW($6:$1005)-5),327)),"")</f>
        <v/>
      </c>
      <c r="E328" t="str">
        <f t="array" ref="E328">IFERROR(INDEX(checklistPesertaKemenkeu!$H$6:$H$1005,SMALL(IF(checklistPesertaKemenkeu!$AY$6:$AY$1005="Direkomendasikan",ROW($6:$1005)-5),327)),"")</f>
        <v/>
      </c>
      <c r="F328" t="str">
        <f t="array" ref="F328">IFERROR(INDEX(checklistPesertaKemenkeu!$I$6:$I$1005,SMALL(IF(checklistPesertaKemenkeu!$AY$6:$AY$1005="Direkomendasikan",ROW($6:$1005)-5),327)),"")</f>
        <v/>
      </c>
      <c r="G328" t="str">
        <f t="array" ref="G328">IFERROR(INDEX(checklistPesertaKemenkeu!$J$6:$J$1005,SMALL(IF(checklistPesertaKemenkeu!$AY$6:$AY$1005="Direkomendasikan",ROW($6:$1005)-5),327)),"")</f>
        <v/>
      </c>
      <c r="H328" t="str">
        <f t="array" aca="1" ref="H328" ca="1">IFERROR(IF(OR(INDEX(checklistPesertaKemenkeu!$L$6:$L$1005,SMALL(IF(checklistPesertaKemenkeu!$AY$6:$AY$1005="Direkomendasikan",ROW($6:$1005)-5),327))="",INDEX(checklistPesertaKemenkeu!$J$6:$J$1005,SMALL(IF(checklistPesertaKemenkeu!$AY$6:$AY$1005="Direkomendasikan",ROW($6:$1005)-5),327))=""),"",IF(AND(COUNTIF(INDIRECT("K_"&amp;MATCH(INDEX(checklistPesertaKemenkeu!$J$6:$J$1005,SMALL(IF(checklistPesertaKemenkeu!$AY$6:$AY$1005="Direkomendasikan",ROW($6:$1005)-5),327)),BidangList,0)),INDEX(checklistPesertaKemenkeu!$L$6:$L$1005,SMALL(IF(checklistPesertaKemenkeu!$AY$6:$AY$1005="Direkomendasikan",ROW($6:$1005)-5),327)))&gt;0,COUNTIF(INDIRECT("'KERTAS KERJA'!K"&amp;(SMALL(IF(checklistPesertaKemenkeu!$AY$6:$AY$1005="Direkomendasikan",ROW($6:$1005)-5),327)+5)&amp;":O"&amp;(SMALL(IF(checklistPesertaKemenkeu!$AY$6:$AY$1005="Direkomendasikan",ROW($6:$1005)-5),327)+5)),INDEX(checklistPesertaKemenkeu!$L$6:$L$1005,SMALL(IF(checklistPesertaKemenkeu!$AY$6:$AY$1005="Direkomendasikan",ROW($6:$1005)-5),327)))=1),IFERROR(VLOOKUP(INDEX(checklistPesertaKemenkeu!$L$6:$L$1005,SMALL(IF(checklistPesertaKemenkeu!$AY$6:$AY$1005="Direkomendasikan",ROW($6:$1005)-5),327)),KotaKode,2,0),"-"),"")),"")</f>
        <v/>
      </c>
      <c r="I328" t="str">
        <f t="array" aca="1" ref="I328" ca="1">IFERROR(IF(OR(INDEX(checklistPesertaKemenkeu!$M$6:$M$1005,SMALL(IF(checklistPesertaKemenkeu!$AY$6:$AY$1005="Direkomendasikan",ROW($6:$1005)-5),327))="",INDEX(checklistPesertaKemenkeu!$J$6:$J$1005,SMALL(IF(checklistPesertaKemenkeu!$AY$6:$AY$1005="Direkomendasikan",ROW($6:$1005)-5),327))=""),"",IF(AND(COUNTIF(INDIRECT("K_"&amp;MATCH(INDEX(checklistPesertaKemenkeu!$J$6:$J$1005,SMALL(IF(checklistPesertaKemenkeu!$AY$6:$AY$1005="Direkomendasikan",ROW($6:$1005)-5),327)),BidangList,0)),INDEX(checklistPesertaKemenkeu!$M$6:$M$1005,SMALL(IF(checklistPesertaKemenkeu!$AY$6:$AY$1005="Direkomendasikan",ROW($6:$1005)-5),327)))&gt;0,COUNTIF(INDIRECT("'KERTAS KERJA'!K"&amp;(SMALL(IF(checklistPesertaKemenkeu!$AY$6:$AY$1005="Direkomendasikan",ROW($6:$1005)-5),327)+5)&amp;":O"&amp;(SMALL(IF(checklistPesertaKemenkeu!$AY$6:$AY$1005="Direkomendasikan",ROW($6:$1005)-5),327)+5)),INDEX(checklistPesertaKemenkeu!$M$6:$M$1005,SMALL(IF(checklistPesertaKemenkeu!$AY$6:$AY$1005="Direkomendasikan",ROW($6:$1005)-5),327)))=1),IFERROR(VLOOKUP(INDEX(checklistPesertaKemenkeu!$M$6:$M$1005,SMALL(IF(checklistPesertaKemenkeu!$AY$6:$AY$1005="Direkomendasikan",ROW($6:$1005)-5),327)),KotaKode,2,0),"-"),"")),"")</f>
        <v/>
      </c>
      <c r="J328" t="str">
        <f t="array" aca="1" ref="J328" ca="1">IFERROR(IF(OR(INDEX(checklistPesertaKemenkeu!$N$6:$N$1005,SMALL(IF(checklistPesertaKemenkeu!$AY$6:$AY$1005="Direkomendasikan",ROW($6:$1005)-5),327))="",INDEX(checklistPesertaKemenkeu!$J$6:$J$1005,SMALL(IF(checklistPesertaKemenkeu!$AY$6:$AY$1005="Direkomendasikan",ROW($6:$1005)-5),327))=""),"",IF(AND(COUNTIF(INDIRECT("K_"&amp;MATCH(INDEX(checklistPesertaKemenkeu!$J$6:$J$1005,SMALL(IF(checklistPesertaKemenkeu!$AY$6:$AY$1005="Direkomendasikan",ROW($6:$1005)-5),327)),BidangList,0)),INDEX(checklistPesertaKemenkeu!$N$6:$N$1005,SMALL(IF(checklistPesertaKemenkeu!$AY$6:$AY$1005="Direkomendasikan",ROW($6:$1005)-5),327)))&gt;0,COUNTIF(INDIRECT("'KERTAS KERJA'!K"&amp;(SMALL(IF(checklistPesertaKemenkeu!$AY$6:$AY$1005="Direkomendasikan",ROW($6:$1005)-5),327)+5)&amp;":O"&amp;(SMALL(IF(checklistPesertaKemenkeu!$AY$6:$AY$1005="Direkomendasikan",ROW($6:$1005)-5),327)+5)),INDEX(checklistPesertaKemenkeu!$N$6:$N$1005,SMALL(IF(checklistPesertaKemenkeu!$AY$6:$AY$1005="Direkomendasikan",ROW($6:$1005)-5),327)))=1),IFERROR(VLOOKUP(INDEX(checklistPesertaKemenkeu!$N$6:$N$1005,SMALL(IF(checklistPesertaKemenkeu!$AY$6:$AY$1005="Direkomendasikan",ROW($6:$1005)-5),327)),KotaKode,2,0),"-"),"")),"")</f>
        <v/>
      </c>
      <c r="K328" t="str">
        <f t="array" aca="1" ref="K328" ca="1">IFERROR(IF(OR(INDEX(checklistPesertaKemenkeu!$O$6:$O$1005,SMALL(IF(checklistPesertaKemenkeu!$AY$6:$AY$1005="Direkomendasikan",ROW($6:$1005)-5),327))="",INDEX(checklistPesertaKemenkeu!$J$6:$J$1005,SMALL(IF(checklistPesertaKemenkeu!$AY$6:$AY$1005="Direkomendasikan",ROW($6:$1005)-5),327))=""),"",IF(AND(COUNTIF(INDIRECT("K_"&amp;MATCH(INDEX(checklistPesertaKemenkeu!$J$6:$J$1005,SMALL(IF(checklistPesertaKemenkeu!$AY$6:$AY$1005="Direkomendasikan",ROW($6:$1005)-5),327)),BidangList,0)),INDEX(checklistPesertaKemenkeu!$O$6:$O$1005,SMALL(IF(checklistPesertaKemenkeu!$AY$6:$AY$1005="Direkomendasikan",ROW($6:$1005)-5),327)))&gt;0,COUNTIF(INDIRECT("'KERTAS KERJA'!K"&amp;(SMALL(IF(checklistPesertaKemenkeu!$AY$6:$AY$1005="Direkomendasikan",ROW($6:$1005)-5),327)+5)&amp;":O"&amp;(SMALL(IF(checklistPesertaKemenkeu!$AY$6:$AY$1005="Direkomendasikan",ROW($6:$1005)-5),327)+5)),INDEX(checklistPesertaKemenkeu!$O$6:$O$1005,SMALL(IF(checklistPesertaKemenkeu!$AY$6:$AY$1005="Direkomendasikan",ROW($6:$1005)-5),327)))=1),IFERROR(VLOOKUP(INDEX(checklistPesertaKemenkeu!$O$6:$O$1005,SMALL(IF(checklistPesertaKemenkeu!$AY$6:$AY$1005="Direkomendasikan",ROW($6:$1005)-5),327)),KotaKode,2,0),"-"),"")),"")</f>
        <v/>
      </c>
      <c r="L328" t="str">
        <f t="array" aca="1" ref="L328" ca="1">IFERROR(IF(OR(INDEX(checklistPesertaKemenkeu!$P$6:$P$1005,SMALL(IF(checklistPesertaKemenkeu!$AY$6:$AY$1005="Direkomendasikan",ROW($6:$1005)-5),327))="",INDEX(checklistPesertaKemenkeu!$J$6:$J$1005,SMALL(IF(checklistPesertaKemenkeu!$AY$6:$AY$1005="Direkomendasikan",ROW($6:$1005)-5),327))=""),"",IF(AND(COUNTIF(INDIRECT("K_"&amp;MATCH(INDEX(checklistPesertaKemenkeu!$J$6:$J$1005,SMALL(IF(checklistPesertaKemenkeu!$AY$6:$AY$1005="Direkomendasikan",ROW($6:$1005)-5),327)),BidangList,0)),INDEX(checklistPesertaKemenkeu!$P$6:$P$1005,SMALL(IF(checklistPesertaKemenkeu!$AY$6:$AY$1005="Direkomendasikan",ROW($6:$1005)-5),327)))&gt;0,COUNTIF(INDIRECT("'KERTAS KERJA'!K"&amp;(SMALL(IF(checklistPesertaKemenkeu!$AY$6:$AY$1005="Direkomendasikan",ROW($6:$1005)-5),327)+5)&amp;":O"&amp;(SMALL(IF(checklistPesertaKemenkeu!$AY$6:$AY$1005="Direkomendasikan",ROW($6:$1005)-5),327)+5)),INDEX(checklistPesertaKemenkeu!$P$6:$P$1005,SMALL(IF(checklistPesertaKemenkeu!$AY$6:$AY$1005="Direkomendasikan",ROW($6:$1005)-5),327)))=1),IFERROR(VLOOKUP(INDEX(checklistPesertaKemenkeu!$P$6:$P$1005,SMALL(IF(checklistPesertaKemenkeu!$AY$6:$AY$1005="Direkomendasikan",ROW($6:$1005)-5),327)),KotaKode,2,0),"-"),"")),"")</f>
        <v/>
      </c>
    </row>
    <row r="329" spans="1:12" ht="15" customHeight="1" x14ac:dyDescent="0.2">
      <c r="A329" t="str">
        <f t="shared" si="5"/>
        <v/>
      </c>
      <c r="B329" t="str">
        <v/>
      </c>
      <c r="C329" s="40" t="str">
        <f t="array" ref="C329">IFERROR(INDEX(checklistPesertaKemenkeu!$F$6:$F$1005,SMALL(IF(checklistPesertaKemenkeu!$AY$6:$AY$1005="Direkomendasikan",ROW($6:$1005)-5),328)),"")</f>
        <v/>
      </c>
      <c r="D329" t="str">
        <f t="array" ref="D329">IFERROR(INDEX(checklistPesertaKemenkeu!$G$6:$G$1005,SMALL(IF(checklistPesertaKemenkeu!$AY$6:$AY$1005="Direkomendasikan",ROW($6:$1005)-5),328)),"")</f>
        <v/>
      </c>
      <c r="E329" t="str">
        <f t="array" ref="E329">IFERROR(INDEX(checklistPesertaKemenkeu!$H$6:$H$1005,SMALL(IF(checklistPesertaKemenkeu!$AY$6:$AY$1005="Direkomendasikan",ROW($6:$1005)-5),328)),"")</f>
        <v/>
      </c>
      <c r="F329" t="str">
        <f t="array" ref="F329">IFERROR(INDEX(checklistPesertaKemenkeu!$I$6:$I$1005,SMALL(IF(checklistPesertaKemenkeu!$AY$6:$AY$1005="Direkomendasikan",ROW($6:$1005)-5),328)),"")</f>
        <v/>
      </c>
      <c r="G329" t="str">
        <f t="array" ref="G329">IFERROR(INDEX(checklistPesertaKemenkeu!$J$6:$J$1005,SMALL(IF(checklistPesertaKemenkeu!$AY$6:$AY$1005="Direkomendasikan",ROW($6:$1005)-5),328)),"")</f>
        <v/>
      </c>
      <c r="H329" t="str">
        <f t="array" aca="1" ref="H329" ca="1">IFERROR(IF(OR(INDEX(checklistPesertaKemenkeu!$L$6:$L$1005,SMALL(IF(checklistPesertaKemenkeu!$AY$6:$AY$1005="Direkomendasikan",ROW($6:$1005)-5),328))="",INDEX(checklistPesertaKemenkeu!$J$6:$J$1005,SMALL(IF(checklistPesertaKemenkeu!$AY$6:$AY$1005="Direkomendasikan",ROW($6:$1005)-5),328))=""),"",IF(AND(COUNTIF(INDIRECT("K_"&amp;MATCH(INDEX(checklistPesertaKemenkeu!$J$6:$J$1005,SMALL(IF(checklistPesertaKemenkeu!$AY$6:$AY$1005="Direkomendasikan",ROW($6:$1005)-5),328)),BidangList,0)),INDEX(checklistPesertaKemenkeu!$L$6:$L$1005,SMALL(IF(checklistPesertaKemenkeu!$AY$6:$AY$1005="Direkomendasikan",ROW($6:$1005)-5),328)))&gt;0,COUNTIF(INDIRECT("'KERTAS KERJA'!K"&amp;(SMALL(IF(checklistPesertaKemenkeu!$AY$6:$AY$1005="Direkomendasikan",ROW($6:$1005)-5),328)+5)&amp;":O"&amp;(SMALL(IF(checklistPesertaKemenkeu!$AY$6:$AY$1005="Direkomendasikan",ROW($6:$1005)-5),328)+5)),INDEX(checklistPesertaKemenkeu!$L$6:$L$1005,SMALL(IF(checklistPesertaKemenkeu!$AY$6:$AY$1005="Direkomendasikan",ROW($6:$1005)-5),328)))=1),IFERROR(VLOOKUP(INDEX(checklistPesertaKemenkeu!$L$6:$L$1005,SMALL(IF(checklistPesertaKemenkeu!$AY$6:$AY$1005="Direkomendasikan",ROW($6:$1005)-5),328)),KotaKode,2,0),"-"),"")),"")</f>
        <v/>
      </c>
      <c r="I329" t="str">
        <f t="array" aca="1" ref="I329" ca="1">IFERROR(IF(OR(INDEX(checklistPesertaKemenkeu!$M$6:$M$1005,SMALL(IF(checklistPesertaKemenkeu!$AY$6:$AY$1005="Direkomendasikan",ROW($6:$1005)-5),328))="",INDEX(checklistPesertaKemenkeu!$J$6:$J$1005,SMALL(IF(checklistPesertaKemenkeu!$AY$6:$AY$1005="Direkomendasikan",ROW($6:$1005)-5),328))=""),"",IF(AND(COUNTIF(INDIRECT("K_"&amp;MATCH(INDEX(checklistPesertaKemenkeu!$J$6:$J$1005,SMALL(IF(checklistPesertaKemenkeu!$AY$6:$AY$1005="Direkomendasikan",ROW($6:$1005)-5),328)),BidangList,0)),INDEX(checklistPesertaKemenkeu!$M$6:$M$1005,SMALL(IF(checklistPesertaKemenkeu!$AY$6:$AY$1005="Direkomendasikan",ROW($6:$1005)-5),328)))&gt;0,COUNTIF(INDIRECT("'KERTAS KERJA'!K"&amp;(SMALL(IF(checklistPesertaKemenkeu!$AY$6:$AY$1005="Direkomendasikan",ROW($6:$1005)-5),328)+5)&amp;":O"&amp;(SMALL(IF(checklistPesertaKemenkeu!$AY$6:$AY$1005="Direkomendasikan",ROW($6:$1005)-5),328)+5)),INDEX(checklistPesertaKemenkeu!$M$6:$M$1005,SMALL(IF(checklistPesertaKemenkeu!$AY$6:$AY$1005="Direkomendasikan",ROW($6:$1005)-5),328)))=1),IFERROR(VLOOKUP(INDEX(checklistPesertaKemenkeu!$M$6:$M$1005,SMALL(IF(checklistPesertaKemenkeu!$AY$6:$AY$1005="Direkomendasikan",ROW($6:$1005)-5),328)),KotaKode,2,0),"-"),"")),"")</f>
        <v/>
      </c>
      <c r="J329" t="str">
        <f t="array" aca="1" ref="J329" ca="1">IFERROR(IF(OR(INDEX(checklistPesertaKemenkeu!$N$6:$N$1005,SMALL(IF(checklistPesertaKemenkeu!$AY$6:$AY$1005="Direkomendasikan",ROW($6:$1005)-5),328))="",INDEX(checklistPesertaKemenkeu!$J$6:$J$1005,SMALL(IF(checklistPesertaKemenkeu!$AY$6:$AY$1005="Direkomendasikan",ROW($6:$1005)-5),328))=""),"",IF(AND(COUNTIF(INDIRECT("K_"&amp;MATCH(INDEX(checklistPesertaKemenkeu!$J$6:$J$1005,SMALL(IF(checklistPesertaKemenkeu!$AY$6:$AY$1005="Direkomendasikan",ROW($6:$1005)-5),328)),BidangList,0)),INDEX(checklistPesertaKemenkeu!$N$6:$N$1005,SMALL(IF(checklistPesertaKemenkeu!$AY$6:$AY$1005="Direkomendasikan",ROW($6:$1005)-5),328)))&gt;0,COUNTIF(INDIRECT("'KERTAS KERJA'!K"&amp;(SMALL(IF(checklistPesertaKemenkeu!$AY$6:$AY$1005="Direkomendasikan",ROW($6:$1005)-5),328)+5)&amp;":O"&amp;(SMALL(IF(checklistPesertaKemenkeu!$AY$6:$AY$1005="Direkomendasikan",ROW($6:$1005)-5),328)+5)),INDEX(checklistPesertaKemenkeu!$N$6:$N$1005,SMALL(IF(checklistPesertaKemenkeu!$AY$6:$AY$1005="Direkomendasikan",ROW($6:$1005)-5),328)))=1),IFERROR(VLOOKUP(INDEX(checklistPesertaKemenkeu!$N$6:$N$1005,SMALL(IF(checklistPesertaKemenkeu!$AY$6:$AY$1005="Direkomendasikan",ROW($6:$1005)-5),328)),KotaKode,2,0),"-"),"")),"")</f>
        <v/>
      </c>
      <c r="K329" t="str">
        <f t="array" aca="1" ref="K329" ca="1">IFERROR(IF(OR(INDEX(checklistPesertaKemenkeu!$O$6:$O$1005,SMALL(IF(checklistPesertaKemenkeu!$AY$6:$AY$1005="Direkomendasikan",ROW($6:$1005)-5),328))="",INDEX(checklistPesertaKemenkeu!$J$6:$J$1005,SMALL(IF(checklistPesertaKemenkeu!$AY$6:$AY$1005="Direkomendasikan",ROW($6:$1005)-5),328))=""),"",IF(AND(COUNTIF(INDIRECT("K_"&amp;MATCH(INDEX(checklistPesertaKemenkeu!$J$6:$J$1005,SMALL(IF(checklistPesertaKemenkeu!$AY$6:$AY$1005="Direkomendasikan",ROW($6:$1005)-5),328)),BidangList,0)),INDEX(checklistPesertaKemenkeu!$O$6:$O$1005,SMALL(IF(checklistPesertaKemenkeu!$AY$6:$AY$1005="Direkomendasikan",ROW($6:$1005)-5),328)))&gt;0,COUNTIF(INDIRECT("'KERTAS KERJA'!K"&amp;(SMALL(IF(checklistPesertaKemenkeu!$AY$6:$AY$1005="Direkomendasikan",ROW($6:$1005)-5),328)+5)&amp;":O"&amp;(SMALL(IF(checklistPesertaKemenkeu!$AY$6:$AY$1005="Direkomendasikan",ROW($6:$1005)-5),328)+5)),INDEX(checklistPesertaKemenkeu!$O$6:$O$1005,SMALL(IF(checklistPesertaKemenkeu!$AY$6:$AY$1005="Direkomendasikan",ROW($6:$1005)-5),328)))=1),IFERROR(VLOOKUP(INDEX(checklistPesertaKemenkeu!$O$6:$O$1005,SMALL(IF(checklistPesertaKemenkeu!$AY$6:$AY$1005="Direkomendasikan",ROW($6:$1005)-5),328)),KotaKode,2,0),"-"),"")),"")</f>
        <v/>
      </c>
      <c r="L329" t="str">
        <f t="array" aca="1" ref="L329" ca="1">IFERROR(IF(OR(INDEX(checklistPesertaKemenkeu!$P$6:$P$1005,SMALL(IF(checklistPesertaKemenkeu!$AY$6:$AY$1005="Direkomendasikan",ROW($6:$1005)-5),328))="",INDEX(checklistPesertaKemenkeu!$J$6:$J$1005,SMALL(IF(checklistPesertaKemenkeu!$AY$6:$AY$1005="Direkomendasikan",ROW($6:$1005)-5),328))=""),"",IF(AND(COUNTIF(INDIRECT("K_"&amp;MATCH(INDEX(checklistPesertaKemenkeu!$J$6:$J$1005,SMALL(IF(checklistPesertaKemenkeu!$AY$6:$AY$1005="Direkomendasikan",ROW($6:$1005)-5),328)),BidangList,0)),INDEX(checklistPesertaKemenkeu!$P$6:$P$1005,SMALL(IF(checklistPesertaKemenkeu!$AY$6:$AY$1005="Direkomendasikan",ROW($6:$1005)-5),328)))&gt;0,COUNTIF(INDIRECT("'KERTAS KERJA'!K"&amp;(SMALL(IF(checklistPesertaKemenkeu!$AY$6:$AY$1005="Direkomendasikan",ROW($6:$1005)-5),328)+5)&amp;":O"&amp;(SMALL(IF(checklistPesertaKemenkeu!$AY$6:$AY$1005="Direkomendasikan",ROW($6:$1005)-5),328)+5)),INDEX(checklistPesertaKemenkeu!$P$6:$P$1005,SMALL(IF(checklistPesertaKemenkeu!$AY$6:$AY$1005="Direkomendasikan",ROW($6:$1005)-5),328)))=1),IFERROR(VLOOKUP(INDEX(checklistPesertaKemenkeu!$P$6:$P$1005,SMALL(IF(checklistPesertaKemenkeu!$AY$6:$AY$1005="Direkomendasikan",ROW($6:$1005)-5),328)),KotaKode,2,0),"-"),"")),"")</f>
        <v/>
      </c>
    </row>
    <row r="330" spans="1:12" ht="15" customHeight="1" x14ac:dyDescent="0.2">
      <c r="A330" t="str">
        <f t="shared" si="5"/>
        <v/>
      </c>
      <c r="B330" t="str">
        <v/>
      </c>
      <c r="C330" s="40" t="str">
        <f t="array" ref="C330">IFERROR(INDEX(checklistPesertaKemenkeu!$F$6:$F$1005,SMALL(IF(checklistPesertaKemenkeu!$AY$6:$AY$1005="Direkomendasikan",ROW($6:$1005)-5),329)),"")</f>
        <v/>
      </c>
      <c r="D330" t="str">
        <f t="array" ref="D330">IFERROR(INDEX(checklistPesertaKemenkeu!$G$6:$G$1005,SMALL(IF(checklistPesertaKemenkeu!$AY$6:$AY$1005="Direkomendasikan",ROW($6:$1005)-5),329)),"")</f>
        <v/>
      </c>
      <c r="E330" t="str">
        <f t="array" ref="E330">IFERROR(INDEX(checklistPesertaKemenkeu!$H$6:$H$1005,SMALL(IF(checklistPesertaKemenkeu!$AY$6:$AY$1005="Direkomendasikan",ROW($6:$1005)-5),329)),"")</f>
        <v/>
      </c>
      <c r="F330" t="str">
        <f t="array" ref="F330">IFERROR(INDEX(checklistPesertaKemenkeu!$I$6:$I$1005,SMALL(IF(checklistPesertaKemenkeu!$AY$6:$AY$1005="Direkomendasikan",ROW($6:$1005)-5),329)),"")</f>
        <v/>
      </c>
      <c r="G330" t="str">
        <f t="array" ref="G330">IFERROR(INDEX(checklistPesertaKemenkeu!$J$6:$J$1005,SMALL(IF(checklistPesertaKemenkeu!$AY$6:$AY$1005="Direkomendasikan",ROW($6:$1005)-5),329)),"")</f>
        <v/>
      </c>
      <c r="H330" t="str">
        <f t="array" aca="1" ref="H330" ca="1">IFERROR(IF(OR(INDEX(checklistPesertaKemenkeu!$L$6:$L$1005,SMALL(IF(checklistPesertaKemenkeu!$AY$6:$AY$1005="Direkomendasikan",ROW($6:$1005)-5),329))="",INDEX(checklistPesertaKemenkeu!$J$6:$J$1005,SMALL(IF(checklistPesertaKemenkeu!$AY$6:$AY$1005="Direkomendasikan",ROW($6:$1005)-5),329))=""),"",IF(AND(COUNTIF(INDIRECT("K_"&amp;MATCH(INDEX(checklistPesertaKemenkeu!$J$6:$J$1005,SMALL(IF(checklistPesertaKemenkeu!$AY$6:$AY$1005="Direkomendasikan",ROW($6:$1005)-5),329)),BidangList,0)),INDEX(checklistPesertaKemenkeu!$L$6:$L$1005,SMALL(IF(checklistPesertaKemenkeu!$AY$6:$AY$1005="Direkomendasikan",ROW($6:$1005)-5),329)))&gt;0,COUNTIF(INDIRECT("'KERTAS KERJA'!K"&amp;(SMALL(IF(checklistPesertaKemenkeu!$AY$6:$AY$1005="Direkomendasikan",ROW($6:$1005)-5),329)+5)&amp;":O"&amp;(SMALL(IF(checklistPesertaKemenkeu!$AY$6:$AY$1005="Direkomendasikan",ROW($6:$1005)-5),329)+5)),INDEX(checklistPesertaKemenkeu!$L$6:$L$1005,SMALL(IF(checklistPesertaKemenkeu!$AY$6:$AY$1005="Direkomendasikan",ROW($6:$1005)-5),329)))=1),IFERROR(VLOOKUP(INDEX(checklistPesertaKemenkeu!$L$6:$L$1005,SMALL(IF(checklistPesertaKemenkeu!$AY$6:$AY$1005="Direkomendasikan",ROW($6:$1005)-5),329)),KotaKode,2,0),"-"),"")),"")</f>
        <v/>
      </c>
      <c r="I330" t="str">
        <f t="array" aca="1" ref="I330" ca="1">IFERROR(IF(OR(INDEX(checklistPesertaKemenkeu!$M$6:$M$1005,SMALL(IF(checklistPesertaKemenkeu!$AY$6:$AY$1005="Direkomendasikan",ROW($6:$1005)-5),329))="",INDEX(checklistPesertaKemenkeu!$J$6:$J$1005,SMALL(IF(checklistPesertaKemenkeu!$AY$6:$AY$1005="Direkomendasikan",ROW($6:$1005)-5),329))=""),"",IF(AND(COUNTIF(INDIRECT("K_"&amp;MATCH(INDEX(checklistPesertaKemenkeu!$J$6:$J$1005,SMALL(IF(checklistPesertaKemenkeu!$AY$6:$AY$1005="Direkomendasikan",ROW($6:$1005)-5),329)),BidangList,0)),INDEX(checklistPesertaKemenkeu!$M$6:$M$1005,SMALL(IF(checklistPesertaKemenkeu!$AY$6:$AY$1005="Direkomendasikan",ROW($6:$1005)-5),329)))&gt;0,COUNTIF(INDIRECT("'KERTAS KERJA'!K"&amp;(SMALL(IF(checklistPesertaKemenkeu!$AY$6:$AY$1005="Direkomendasikan",ROW($6:$1005)-5),329)+5)&amp;":O"&amp;(SMALL(IF(checklistPesertaKemenkeu!$AY$6:$AY$1005="Direkomendasikan",ROW($6:$1005)-5),329)+5)),INDEX(checklistPesertaKemenkeu!$M$6:$M$1005,SMALL(IF(checklistPesertaKemenkeu!$AY$6:$AY$1005="Direkomendasikan",ROW($6:$1005)-5),329)))=1),IFERROR(VLOOKUP(INDEX(checklistPesertaKemenkeu!$M$6:$M$1005,SMALL(IF(checklistPesertaKemenkeu!$AY$6:$AY$1005="Direkomendasikan",ROW($6:$1005)-5),329)),KotaKode,2,0),"-"),"")),"")</f>
        <v/>
      </c>
      <c r="J330" t="str">
        <f t="array" aca="1" ref="J330" ca="1">IFERROR(IF(OR(INDEX(checklistPesertaKemenkeu!$N$6:$N$1005,SMALL(IF(checklistPesertaKemenkeu!$AY$6:$AY$1005="Direkomendasikan",ROW($6:$1005)-5),329))="",INDEX(checklistPesertaKemenkeu!$J$6:$J$1005,SMALL(IF(checklistPesertaKemenkeu!$AY$6:$AY$1005="Direkomendasikan",ROW($6:$1005)-5),329))=""),"",IF(AND(COUNTIF(INDIRECT("K_"&amp;MATCH(INDEX(checklistPesertaKemenkeu!$J$6:$J$1005,SMALL(IF(checklistPesertaKemenkeu!$AY$6:$AY$1005="Direkomendasikan",ROW($6:$1005)-5),329)),BidangList,0)),INDEX(checklistPesertaKemenkeu!$N$6:$N$1005,SMALL(IF(checklistPesertaKemenkeu!$AY$6:$AY$1005="Direkomendasikan",ROW($6:$1005)-5),329)))&gt;0,COUNTIF(INDIRECT("'KERTAS KERJA'!K"&amp;(SMALL(IF(checklistPesertaKemenkeu!$AY$6:$AY$1005="Direkomendasikan",ROW($6:$1005)-5),329)+5)&amp;":O"&amp;(SMALL(IF(checklistPesertaKemenkeu!$AY$6:$AY$1005="Direkomendasikan",ROW($6:$1005)-5),329)+5)),INDEX(checklistPesertaKemenkeu!$N$6:$N$1005,SMALL(IF(checklistPesertaKemenkeu!$AY$6:$AY$1005="Direkomendasikan",ROW($6:$1005)-5),329)))=1),IFERROR(VLOOKUP(INDEX(checklistPesertaKemenkeu!$N$6:$N$1005,SMALL(IF(checklistPesertaKemenkeu!$AY$6:$AY$1005="Direkomendasikan",ROW($6:$1005)-5),329)),KotaKode,2,0),"-"),"")),"")</f>
        <v/>
      </c>
      <c r="K330" t="str">
        <f t="array" aca="1" ref="K330" ca="1">IFERROR(IF(OR(INDEX(checklistPesertaKemenkeu!$O$6:$O$1005,SMALL(IF(checklistPesertaKemenkeu!$AY$6:$AY$1005="Direkomendasikan",ROW($6:$1005)-5),329))="",INDEX(checklistPesertaKemenkeu!$J$6:$J$1005,SMALL(IF(checklistPesertaKemenkeu!$AY$6:$AY$1005="Direkomendasikan",ROW($6:$1005)-5),329))=""),"",IF(AND(COUNTIF(INDIRECT("K_"&amp;MATCH(INDEX(checklistPesertaKemenkeu!$J$6:$J$1005,SMALL(IF(checklistPesertaKemenkeu!$AY$6:$AY$1005="Direkomendasikan",ROW($6:$1005)-5),329)),BidangList,0)),INDEX(checklistPesertaKemenkeu!$O$6:$O$1005,SMALL(IF(checklistPesertaKemenkeu!$AY$6:$AY$1005="Direkomendasikan",ROW($6:$1005)-5),329)))&gt;0,COUNTIF(INDIRECT("'KERTAS KERJA'!K"&amp;(SMALL(IF(checklistPesertaKemenkeu!$AY$6:$AY$1005="Direkomendasikan",ROW($6:$1005)-5),329)+5)&amp;":O"&amp;(SMALL(IF(checklistPesertaKemenkeu!$AY$6:$AY$1005="Direkomendasikan",ROW($6:$1005)-5),329)+5)),INDEX(checklistPesertaKemenkeu!$O$6:$O$1005,SMALL(IF(checklistPesertaKemenkeu!$AY$6:$AY$1005="Direkomendasikan",ROW($6:$1005)-5),329)))=1),IFERROR(VLOOKUP(INDEX(checklistPesertaKemenkeu!$O$6:$O$1005,SMALL(IF(checklistPesertaKemenkeu!$AY$6:$AY$1005="Direkomendasikan",ROW($6:$1005)-5),329)),KotaKode,2,0),"-"),"")),"")</f>
        <v/>
      </c>
      <c r="L330" t="str">
        <f t="array" aca="1" ref="L330" ca="1">IFERROR(IF(OR(INDEX(checklistPesertaKemenkeu!$P$6:$P$1005,SMALL(IF(checklistPesertaKemenkeu!$AY$6:$AY$1005="Direkomendasikan",ROW($6:$1005)-5),329))="",INDEX(checklistPesertaKemenkeu!$J$6:$J$1005,SMALL(IF(checklistPesertaKemenkeu!$AY$6:$AY$1005="Direkomendasikan",ROW($6:$1005)-5),329))=""),"",IF(AND(COUNTIF(INDIRECT("K_"&amp;MATCH(INDEX(checklistPesertaKemenkeu!$J$6:$J$1005,SMALL(IF(checklistPesertaKemenkeu!$AY$6:$AY$1005="Direkomendasikan",ROW($6:$1005)-5),329)),BidangList,0)),INDEX(checklistPesertaKemenkeu!$P$6:$P$1005,SMALL(IF(checklistPesertaKemenkeu!$AY$6:$AY$1005="Direkomendasikan",ROW($6:$1005)-5),329)))&gt;0,COUNTIF(INDIRECT("'KERTAS KERJA'!K"&amp;(SMALL(IF(checklistPesertaKemenkeu!$AY$6:$AY$1005="Direkomendasikan",ROW($6:$1005)-5),329)+5)&amp;":O"&amp;(SMALL(IF(checklistPesertaKemenkeu!$AY$6:$AY$1005="Direkomendasikan",ROW($6:$1005)-5),329)+5)),INDEX(checklistPesertaKemenkeu!$P$6:$P$1005,SMALL(IF(checklistPesertaKemenkeu!$AY$6:$AY$1005="Direkomendasikan",ROW($6:$1005)-5),329)))=1),IFERROR(VLOOKUP(INDEX(checklistPesertaKemenkeu!$P$6:$P$1005,SMALL(IF(checklistPesertaKemenkeu!$AY$6:$AY$1005="Direkomendasikan",ROW($6:$1005)-5),329)),KotaKode,2,0),"-"),"")),"")</f>
        <v/>
      </c>
    </row>
    <row r="331" spans="1:12" ht="15" customHeight="1" x14ac:dyDescent="0.2">
      <c r="A331" t="str">
        <f t="shared" si="5"/>
        <v/>
      </c>
      <c r="B331" t="str">
        <v/>
      </c>
      <c r="C331" s="40" t="str">
        <f t="array" ref="C331">IFERROR(INDEX(checklistPesertaKemenkeu!$F$6:$F$1005,SMALL(IF(checklistPesertaKemenkeu!$AY$6:$AY$1005="Direkomendasikan",ROW($6:$1005)-5),330)),"")</f>
        <v/>
      </c>
      <c r="D331" t="str">
        <f t="array" ref="D331">IFERROR(INDEX(checklistPesertaKemenkeu!$G$6:$G$1005,SMALL(IF(checklistPesertaKemenkeu!$AY$6:$AY$1005="Direkomendasikan",ROW($6:$1005)-5),330)),"")</f>
        <v/>
      </c>
      <c r="E331" t="str">
        <f t="array" ref="E331">IFERROR(INDEX(checklistPesertaKemenkeu!$H$6:$H$1005,SMALL(IF(checklistPesertaKemenkeu!$AY$6:$AY$1005="Direkomendasikan",ROW($6:$1005)-5),330)),"")</f>
        <v/>
      </c>
      <c r="F331" t="str">
        <f t="array" ref="F331">IFERROR(INDEX(checklistPesertaKemenkeu!$I$6:$I$1005,SMALL(IF(checklistPesertaKemenkeu!$AY$6:$AY$1005="Direkomendasikan",ROW($6:$1005)-5),330)),"")</f>
        <v/>
      </c>
      <c r="G331" t="str">
        <f t="array" ref="G331">IFERROR(INDEX(checklistPesertaKemenkeu!$J$6:$J$1005,SMALL(IF(checklistPesertaKemenkeu!$AY$6:$AY$1005="Direkomendasikan",ROW($6:$1005)-5),330)),"")</f>
        <v/>
      </c>
      <c r="H331" t="str">
        <f t="array" aca="1" ref="H331" ca="1">IFERROR(IF(OR(INDEX(checklistPesertaKemenkeu!$L$6:$L$1005,SMALL(IF(checklistPesertaKemenkeu!$AY$6:$AY$1005="Direkomendasikan",ROW($6:$1005)-5),330))="",INDEX(checklistPesertaKemenkeu!$J$6:$J$1005,SMALL(IF(checklistPesertaKemenkeu!$AY$6:$AY$1005="Direkomendasikan",ROW($6:$1005)-5),330))=""),"",IF(AND(COUNTIF(INDIRECT("K_"&amp;MATCH(INDEX(checklistPesertaKemenkeu!$J$6:$J$1005,SMALL(IF(checklistPesertaKemenkeu!$AY$6:$AY$1005="Direkomendasikan",ROW($6:$1005)-5),330)),BidangList,0)),INDEX(checklistPesertaKemenkeu!$L$6:$L$1005,SMALL(IF(checklistPesertaKemenkeu!$AY$6:$AY$1005="Direkomendasikan",ROW($6:$1005)-5),330)))&gt;0,COUNTIF(INDIRECT("'KERTAS KERJA'!K"&amp;(SMALL(IF(checklistPesertaKemenkeu!$AY$6:$AY$1005="Direkomendasikan",ROW($6:$1005)-5),330)+5)&amp;":O"&amp;(SMALL(IF(checklistPesertaKemenkeu!$AY$6:$AY$1005="Direkomendasikan",ROW($6:$1005)-5),330)+5)),INDEX(checklistPesertaKemenkeu!$L$6:$L$1005,SMALL(IF(checklistPesertaKemenkeu!$AY$6:$AY$1005="Direkomendasikan",ROW($6:$1005)-5),330)))=1),IFERROR(VLOOKUP(INDEX(checklistPesertaKemenkeu!$L$6:$L$1005,SMALL(IF(checklistPesertaKemenkeu!$AY$6:$AY$1005="Direkomendasikan",ROW($6:$1005)-5),330)),KotaKode,2,0),"-"),"")),"")</f>
        <v/>
      </c>
      <c r="I331" t="str">
        <f t="array" aca="1" ref="I331" ca="1">IFERROR(IF(OR(INDEX(checklistPesertaKemenkeu!$M$6:$M$1005,SMALL(IF(checklistPesertaKemenkeu!$AY$6:$AY$1005="Direkomendasikan",ROW($6:$1005)-5),330))="",INDEX(checklistPesertaKemenkeu!$J$6:$J$1005,SMALL(IF(checklistPesertaKemenkeu!$AY$6:$AY$1005="Direkomendasikan",ROW($6:$1005)-5),330))=""),"",IF(AND(COUNTIF(INDIRECT("K_"&amp;MATCH(INDEX(checklistPesertaKemenkeu!$J$6:$J$1005,SMALL(IF(checklistPesertaKemenkeu!$AY$6:$AY$1005="Direkomendasikan",ROW($6:$1005)-5),330)),BidangList,0)),INDEX(checklistPesertaKemenkeu!$M$6:$M$1005,SMALL(IF(checklistPesertaKemenkeu!$AY$6:$AY$1005="Direkomendasikan",ROW($6:$1005)-5),330)))&gt;0,COUNTIF(INDIRECT("'KERTAS KERJA'!K"&amp;(SMALL(IF(checklistPesertaKemenkeu!$AY$6:$AY$1005="Direkomendasikan",ROW($6:$1005)-5),330)+5)&amp;":O"&amp;(SMALL(IF(checklistPesertaKemenkeu!$AY$6:$AY$1005="Direkomendasikan",ROW($6:$1005)-5),330)+5)),INDEX(checklistPesertaKemenkeu!$M$6:$M$1005,SMALL(IF(checklistPesertaKemenkeu!$AY$6:$AY$1005="Direkomendasikan",ROW($6:$1005)-5),330)))=1),IFERROR(VLOOKUP(INDEX(checklistPesertaKemenkeu!$M$6:$M$1005,SMALL(IF(checklistPesertaKemenkeu!$AY$6:$AY$1005="Direkomendasikan",ROW($6:$1005)-5),330)),KotaKode,2,0),"-"),"")),"")</f>
        <v/>
      </c>
      <c r="J331" t="str">
        <f t="array" aca="1" ref="J331" ca="1">IFERROR(IF(OR(INDEX(checklistPesertaKemenkeu!$N$6:$N$1005,SMALL(IF(checklistPesertaKemenkeu!$AY$6:$AY$1005="Direkomendasikan",ROW($6:$1005)-5),330))="",INDEX(checklistPesertaKemenkeu!$J$6:$J$1005,SMALL(IF(checklistPesertaKemenkeu!$AY$6:$AY$1005="Direkomendasikan",ROW($6:$1005)-5),330))=""),"",IF(AND(COUNTIF(INDIRECT("K_"&amp;MATCH(INDEX(checklistPesertaKemenkeu!$J$6:$J$1005,SMALL(IF(checklistPesertaKemenkeu!$AY$6:$AY$1005="Direkomendasikan",ROW($6:$1005)-5),330)),BidangList,0)),INDEX(checklistPesertaKemenkeu!$N$6:$N$1005,SMALL(IF(checklistPesertaKemenkeu!$AY$6:$AY$1005="Direkomendasikan",ROW($6:$1005)-5),330)))&gt;0,COUNTIF(INDIRECT("'KERTAS KERJA'!K"&amp;(SMALL(IF(checklistPesertaKemenkeu!$AY$6:$AY$1005="Direkomendasikan",ROW($6:$1005)-5),330)+5)&amp;":O"&amp;(SMALL(IF(checklistPesertaKemenkeu!$AY$6:$AY$1005="Direkomendasikan",ROW($6:$1005)-5),330)+5)),INDEX(checklistPesertaKemenkeu!$N$6:$N$1005,SMALL(IF(checklistPesertaKemenkeu!$AY$6:$AY$1005="Direkomendasikan",ROW($6:$1005)-5),330)))=1),IFERROR(VLOOKUP(INDEX(checklistPesertaKemenkeu!$N$6:$N$1005,SMALL(IF(checklistPesertaKemenkeu!$AY$6:$AY$1005="Direkomendasikan",ROW($6:$1005)-5),330)),KotaKode,2,0),"-"),"")),"")</f>
        <v/>
      </c>
      <c r="K331" t="str">
        <f t="array" aca="1" ref="K331" ca="1">IFERROR(IF(OR(INDEX(checklistPesertaKemenkeu!$O$6:$O$1005,SMALL(IF(checklistPesertaKemenkeu!$AY$6:$AY$1005="Direkomendasikan",ROW($6:$1005)-5),330))="",INDEX(checklistPesertaKemenkeu!$J$6:$J$1005,SMALL(IF(checklistPesertaKemenkeu!$AY$6:$AY$1005="Direkomendasikan",ROW($6:$1005)-5),330))=""),"",IF(AND(COUNTIF(INDIRECT("K_"&amp;MATCH(INDEX(checklistPesertaKemenkeu!$J$6:$J$1005,SMALL(IF(checklistPesertaKemenkeu!$AY$6:$AY$1005="Direkomendasikan",ROW($6:$1005)-5),330)),BidangList,0)),INDEX(checklistPesertaKemenkeu!$O$6:$O$1005,SMALL(IF(checklistPesertaKemenkeu!$AY$6:$AY$1005="Direkomendasikan",ROW($6:$1005)-5),330)))&gt;0,COUNTIF(INDIRECT("'KERTAS KERJA'!K"&amp;(SMALL(IF(checklistPesertaKemenkeu!$AY$6:$AY$1005="Direkomendasikan",ROW($6:$1005)-5),330)+5)&amp;":O"&amp;(SMALL(IF(checklistPesertaKemenkeu!$AY$6:$AY$1005="Direkomendasikan",ROW($6:$1005)-5),330)+5)),INDEX(checklistPesertaKemenkeu!$O$6:$O$1005,SMALL(IF(checklistPesertaKemenkeu!$AY$6:$AY$1005="Direkomendasikan",ROW($6:$1005)-5),330)))=1),IFERROR(VLOOKUP(INDEX(checklistPesertaKemenkeu!$O$6:$O$1005,SMALL(IF(checklistPesertaKemenkeu!$AY$6:$AY$1005="Direkomendasikan",ROW($6:$1005)-5),330)),KotaKode,2,0),"-"),"")),"")</f>
        <v/>
      </c>
      <c r="L331" t="str">
        <f t="array" aca="1" ref="L331" ca="1">IFERROR(IF(OR(INDEX(checklistPesertaKemenkeu!$P$6:$P$1005,SMALL(IF(checklistPesertaKemenkeu!$AY$6:$AY$1005="Direkomendasikan",ROW($6:$1005)-5),330))="",INDEX(checklistPesertaKemenkeu!$J$6:$J$1005,SMALL(IF(checklistPesertaKemenkeu!$AY$6:$AY$1005="Direkomendasikan",ROW($6:$1005)-5),330))=""),"",IF(AND(COUNTIF(INDIRECT("K_"&amp;MATCH(INDEX(checklistPesertaKemenkeu!$J$6:$J$1005,SMALL(IF(checklistPesertaKemenkeu!$AY$6:$AY$1005="Direkomendasikan",ROW($6:$1005)-5),330)),BidangList,0)),INDEX(checklistPesertaKemenkeu!$P$6:$P$1005,SMALL(IF(checklistPesertaKemenkeu!$AY$6:$AY$1005="Direkomendasikan",ROW($6:$1005)-5),330)))&gt;0,COUNTIF(INDIRECT("'KERTAS KERJA'!K"&amp;(SMALL(IF(checklistPesertaKemenkeu!$AY$6:$AY$1005="Direkomendasikan",ROW($6:$1005)-5),330)+5)&amp;":O"&amp;(SMALL(IF(checklistPesertaKemenkeu!$AY$6:$AY$1005="Direkomendasikan",ROW($6:$1005)-5),330)+5)),INDEX(checklistPesertaKemenkeu!$P$6:$P$1005,SMALL(IF(checklistPesertaKemenkeu!$AY$6:$AY$1005="Direkomendasikan",ROW($6:$1005)-5),330)))=1),IFERROR(VLOOKUP(INDEX(checklistPesertaKemenkeu!$P$6:$P$1005,SMALL(IF(checklistPesertaKemenkeu!$AY$6:$AY$1005="Direkomendasikan",ROW($6:$1005)-5),330)),KotaKode,2,0),"-"),"")),"")</f>
        <v/>
      </c>
    </row>
    <row r="332" spans="1:12" ht="15" customHeight="1" x14ac:dyDescent="0.2">
      <c r="A332" t="str">
        <f t="shared" si="5"/>
        <v/>
      </c>
      <c r="B332" t="str">
        <v/>
      </c>
      <c r="C332" s="40" t="str">
        <f t="array" ref="C332">IFERROR(INDEX(checklistPesertaKemenkeu!$F$6:$F$1005,SMALL(IF(checklistPesertaKemenkeu!$AY$6:$AY$1005="Direkomendasikan",ROW($6:$1005)-5),331)),"")</f>
        <v/>
      </c>
      <c r="D332" t="str">
        <f t="array" ref="D332">IFERROR(INDEX(checklistPesertaKemenkeu!$G$6:$G$1005,SMALL(IF(checklistPesertaKemenkeu!$AY$6:$AY$1005="Direkomendasikan",ROW($6:$1005)-5),331)),"")</f>
        <v/>
      </c>
      <c r="E332" t="str">
        <f t="array" ref="E332">IFERROR(INDEX(checklistPesertaKemenkeu!$H$6:$H$1005,SMALL(IF(checklistPesertaKemenkeu!$AY$6:$AY$1005="Direkomendasikan",ROW($6:$1005)-5),331)),"")</f>
        <v/>
      </c>
      <c r="F332" t="str">
        <f t="array" ref="F332">IFERROR(INDEX(checklistPesertaKemenkeu!$I$6:$I$1005,SMALL(IF(checklistPesertaKemenkeu!$AY$6:$AY$1005="Direkomendasikan",ROW($6:$1005)-5),331)),"")</f>
        <v/>
      </c>
      <c r="G332" t="str">
        <f t="array" ref="G332">IFERROR(INDEX(checklistPesertaKemenkeu!$J$6:$J$1005,SMALL(IF(checklistPesertaKemenkeu!$AY$6:$AY$1005="Direkomendasikan",ROW($6:$1005)-5),331)),"")</f>
        <v/>
      </c>
      <c r="H332" t="str">
        <f t="array" aca="1" ref="H332" ca="1">IFERROR(IF(OR(INDEX(checklistPesertaKemenkeu!$L$6:$L$1005,SMALL(IF(checklistPesertaKemenkeu!$AY$6:$AY$1005="Direkomendasikan",ROW($6:$1005)-5),331))="",INDEX(checklistPesertaKemenkeu!$J$6:$J$1005,SMALL(IF(checklistPesertaKemenkeu!$AY$6:$AY$1005="Direkomendasikan",ROW($6:$1005)-5),331))=""),"",IF(AND(COUNTIF(INDIRECT("K_"&amp;MATCH(INDEX(checklistPesertaKemenkeu!$J$6:$J$1005,SMALL(IF(checklistPesertaKemenkeu!$AY$6:$AY$1005="Direkomendasikan",ROW($6:$1005)-5),331)),BidangList,0)),INDEX(checklistPesertaKemenkeu!$L$6:$L$1005,SMALL(IF(checklistPesertaKemenkeu!$AY$6:$AY$1005="Direkomendasikan",ROW($6:$1005)-5),331)))&gt;0,COUNTIF(INDIRECT("'KERTAS KERJA'!K"&amp;(SMALL(IF(checklistPesertaKemenkeu!$AY$6:$AY$1005="Direkomendasikan",ROW($6:$1005)-5),331)+5)&amp;":O"&amp;(SMALL(IF(checklistPesertaKemenkeu!$AY$6:$AY$1005="Direkomendasikan",ROW($6:$1005)-5),331)+5)),INDEX(checklistPesertaKemenkeu!$L$6:$L$1005,SMALL(IF(checklistPesertaKemenkeu!$AY$6:$AY$1005="Direkomendasikan",ROW($6:$1005)-5),331)))=1),IFERROR(VLOOKUP(INDEX(checklistPesertaKemenkeu!$L$6:$L$1005,SMALL(IF(checklistPesertaKemenkeu!$AY$6:$AY$1005="Direkomendasikan",ROW($6:$1005)-5),331)),KotaKode,2,0),"-"),"")),"")</f>
        <v/>
      </c>
      <c r="I332" t="str">
        <f t="array" aca="1" ref="I332" ca="1">IFERROR(IF(OR(INDEX(checklistPesertaKemenkeu!$M$6:$M$1005,SMALL(IF(checklistPesertaKemenkeu!$AY$6:$AY$1005="Direkomendasikan",ROW($6:$1005)-5),331))="",INDEX(checklistPesertaKemenkeu!$J$6:$J$1005,SMALL(IF(checklistPesertaKemenkeu!$AY$6:$AY$1005="Direkomendasikan",ROW($6:$1005)-5),331))=""),"",IF(AND(COUNTIF(INDIRECT("K_"&amp;MATCH(INDEX(checklistPesertaKemenkeu!$J$6:$J$1005,SMALL(IF(checklistPesertaKemenkeu!$AY$6:$AY$1005="Direkomendasikan",ROW($6:$1005)-5),331)),BidangList,0)),INDEX(checklistPesertaKemenkeu!$M$6:$M$1005,SMALL(IF(checklistPesertaKemenkeu!$AY$6:$AY$1005="Direkomendasikan",ROW($6:$1005)-5),331)))&gt;0,COUNTIF(INDIRECT("'KERTAS KERJA'!K"&amp;(SMALL(IF(checklistPesertaKemenkeu!$AY$6:$AY$1005="Direkomendasikan",ROW($6:$1005)-5),331)+5)&amp;":O"&amp;(SMALL(IF(checklistPesertaKemenkeu!$AY$6:$AY$1005="Direkomendasikan",ROW($6:$1005)-5),331)+5)),INDEX(checklistPesertaKemenkeu!$M$6:$M$1005,SMALL(IF(checklistPesertaKemenkeu!$AY$6:$AY$1005="Direkomendasikan",ROW($6:$1005)-5),331)))=1),IFERROR(VLOOKUP(INDEX(checklistPesertaKemenkeu!$M$6:$M$1005,SMALL(IF(checklistPesertaKemenkeu!$AY$6:$AY$1005="Direkomendasikan",ROW($6:$1005)-5),331)),KotaKode,2,0),"-"),"")),"")</f>
        <v/>
      </c>
      <c r="J332" t="str">
        <f t="array" aca="1" ref="J332" ca="1">IFERROR(IF(OR(INDEX(checklistPesertaKemenkeu!$N$6:$N$1005,SMALL(IF(checklistPesertaKemenkeu!$AY$6:$AY$1005="Direkomendasikan",ROW($6:$1005)-5),331))="",INDEX(checklistPesertaKemenkeu!$J$6:$J$1005,SMALL(IF(checklistPesertaKemenkeu!$AY$6:$AY$1005="Direkomendasikan",ROW($6:$1005)-5),331))=""),"",IF(AND(COUNTIF(INDIRECT("K_"&amp;MATCH(INDEX(checklistPesertaKemenkeu!$J$6:$J$1005,SMALL(IF(checklistPesertaKemenkeu!$AY$6:$AY$1005="Direkomendasikan",ROW($6:$1005)-5),331)),BidangList,0)),INDEX(checklistPesertaKemenkeu!$N$6:$N$1005,SMALL(IF(checklistPesertaKemenkeu!$AY$6:$AY$1005="Direkomendasikan",ROW($6:$1005)-5),331)))&gt;0,COUNTIF(INDIRECT("'KERTAS KERJA'!K"&amp;(SMALL(IF(checklistPesertaKemenkeu!$AY$6:$AY$1005="Direkomendasikan",ROW($6:$1005)-5),331)+5)&amp;":O"&amp;(SMALL(IF(checklistPesertaKemenkeu!$AY$6:$AY$1005="Direkomendasikan",ROW($6:$1005)-5),331)+5)),INDEX(checklistPesertaKemenkeu!$N$6:$N$1005,SMALL(IF(checklistPesertaKemenkeu!$AY$6:$AY$1005="Direkomendasikan",ROW($6:$1005)-5),331)))=1),IFERROR(VLOOKUP(INDEX(checklistPesertaKemenkeu!$N$6:$N$1005,SMALL(IF(checklistPesertaKemenkeu!$AY$6:$AY$1005="Direkomendasikan",ROW($6:$1005)-5),331)),KotaKode,2,0),"-"),"")),"")</f>
        <v/>
      </c>
      <c r="K332" t="str">
        <f t="array" aca="1" ref="K332" ca="1">IFERROR(IF(OR(INDEX(checklistPesertaKemenkeu!$O$6:$O$1005,SMALL(IF(checklistPesertaKemenkeu!$AY$6:$AY$1005="Direkomendasikan",ROW($6:$1005)-5),331))="",INDEX(checklistPesertaKemenkeu!$J$6:$J$1005,SMALL(IF(checklistPesertaKemenkeu!$AY$6:$AY$1005="Direkomendasikan",ROW($6:$1005)-5),331))=""),"",IF(AND(COUNTIF(INDIRECT("K_"&amp;MATCH(INDEX(checklistPesertaKemenkeu!$J$6:$J$1005,SMALL(IF(checklistPesertaKemenkeu!$AY$6:$AY$1005="Direkomendasikan",ROW($6:$1005)-5),331)),BidangList,0)),INDEX(checklistPesertaKemenkeu!$O$6:$O$1005,SMALL(IF(checklistPesertaKemenkeu!$AY$6:$AY$1005="Direkomendasikan",ROW($6:$1005)-5),331)))&gt;0,COUNTIF(INDIRECT("'KERTAS KERJA'!K"&amp;(SMALL(IF(checklistPesertaKemenkeu!$AY$6:$AY$1005="Direkomendasikan",ROW($6:$1005)-5),331)+5)&amp;":O"&amp;(SMALL(IF(checklistPesertaKemenkeu!$AY$6:$AY$1005="Direkomendasikan",ROW($6:$1005)-5),331)+5)),INDEX(checklistPesertaKemenkeu!$O$6:$O$1005,SMALL(IF(checklistPesertaKemenkeu!$AY$6:$AY$1005="Direkomendasikan",ROW($6:$1005)-5),331)))=1),IFERROR(VLOOKUP(INDEX(checklistPesertaKemenkeu!$O$6:$O$1005,SMALL(IF(checklistPesertaKemenkeu!$AY$6:$AY$1005="Direkomendasikan",ROW($6:$1005)-5),331)),KotaKode,2,0),"-"),"")),"")</f>
        <v/>
      </c>
      <c r="L332" t="str">
        <f t="array" aca="1" ref="L332" ca="1">IFERROR(IF(OR(INDEX(checklistPesertaKemenkeu!$P$6:$P$1005,SMALL(IF(checklistPesertaKemenkeu!$AY$6:$AY$1005="Direkomendasikan",ROW($6:$1005)-5),331))="",INDEX(checklistPesertaKemenkeu!$J$6:$J$1005,SMALL(IF(checklistPesertaKemenkeu!$AY$6:$AY$1005="Direkomendasikan",ROW($6:$1005)-5),331))=""),"",IF(AND(COUNTIF(INDIRECT("K_"&amp;MATCH(INDEX(checklistPesertaKemenkeu!$J$6:$J$1005,SMALL(IF(checklistPesertaKemenkeu!$AY$6:$AY$1005="Direkomendasikan",ROW($6:$1005)-5),331)),BidangList,0)),INDEX(checklistPesertaKemenkeu!$P$6:$P$1005,SMALL(IF(checklistPesertaKemenkeu!$AY$6:$AY$1005="Direkomendasikan",ROW($6:$1005)-5),331)))&gt;0,COUNTIF(INDIRECT("'KERTAS KERJA'!K"&amp;(SMALL(IF(checklistPesertaKemenkeu!$AY$6:$AY$1005="Direkomendasikan",ROW($6:$1005)-5),331)+5)&amp;":O"&amp;(SMALL(IF(checklistPesertaKemenkeu!$AY$6:$AY$1005="Direkomendasikan",ROW($6:$1005)-5),331)+5)),INDEX(checklistPesertaKemenkeu!$P$6:$P$1005,SMALL(IF(checklistPesertaKemenkeu!$AY$6:$AY$1005="Direkomendasikan",ROW($6:$1005)-5),331)))=1),IFERROR(VLOOKUP(INDEX(checklistPesertaKemenkeu!$P$6:$P$1005,SMALL(IF(checklistPesertaKemenkeu!$AY$6:$AY$1005="Direkomendasikan",ROW($6:$1005)-5),331)),KotaKode,2,0),"-"),"")),"")</f>
        <v/>
      </c>
    </row>
    <row r="333" spans="1:12" ht="15" customHeight="1" x14ac:dyDescent="0.2">
      <c r="A333" t="str">
        <f t="shared" si="5"/>
        <v/>
      </c>
      <c r="B333" t="str">
        <v/>
      </c>
      <c r="C333" s="40" t="str">
        <f t="array" ref="C333">IFERROR(INDEX(checklistPesertaKemenkeu!$F$6:$F$1005,SMALL(IF(checklistPesertaKemenkeu!$AY$6:$AY$1005="Direkomendasikan",ROW($6:$1005)-5),332)),"")</f>
        <v/>
      </c>
      <c r="D333" t="str">
        <f t="array" ref="D333">IFERROR(INDEX(checklistPesertaKemenkeu!$G$6:$G$1005,SMALL(IF(checklistPesertaKemenkeu!$AY$6:$AY$1005="Direkomendasikan",ROW($6:$1005)-5),332)),"")</f>
        <v/>
      </c>
      <c r="E333" t="str">
        <f t="array" ref="E333">IFERROR(INDEX(checklistPesertaKemenkeu!$H$6:$H$1005,SMALL(IF(checklistPesertaKemenkeu!$AY$6:$AY$1005="Direkomendasikan",ROW($6:$1005)-5),332)),"")</f>
        <v/>
      </c>
      <c r="F333" t="str">
        <f t="array" ref="F333">IFERROR(INDEX(checklistPesertaKemenkeu!$I$6:$I$1005,SMALL(IF(checklistPesertaKemenkeu!$AY$6:$AY$1005="Direkomendasikan",ROW($6:$1005)-5),332)),"")</f>
        <v/>
      </c>
      <c r="G333" t="str">
        <f t="array" ref="G333">IFERROR(INDEX(checklistPesertaKemenkeu!$J$6:$J$1005,SMALL(IF(checklistPesertaKemenkeu!$AY$6:$AY$1005="Direkomendasikan",ROW($6:$1005)-5),332)),"")</f>
        <v/>
      </c>
      <c r="H333" t="str">
        <f t="array" aca="1" ref="H333" ca="1">IFERROR(IF(OR(INDEX(checklistPesertaKemenkeu!$L$6:$L$1005,SMALL(IF(checklistPesertaKemenkeu!$AY$6:$AY$1005="Direkomendasikan",ROW($6:$1005)-5),332))="",INDEX(checklistPesertaKemenkeu!$J$6:$J$1005,SMALL(IF(checklistPesertaKemenkeu!$AY$6:$AY$1005="Direkomendasikan",ROW($6:$1005)-5),332))=""),"",IF(AND(COUNTIF(INDIRECT("K_"&amp;MATCH(INDEX(checklistPesertaKemenkeu!$J$6:$J$1005,SMALL(IF(checklistPesertaKemenkeu!$AY$6:$AY$1005="Direkomendasikan",ROW($6:$1005)-5),332)),BidangList,0)),INDEX(checklistPesertaKemenkeu!$L$6:$L$1005,SMALL(IF(checklistPesertaKemenkeu!$AY$6:$AY$1005="Direkomendasikan",ROW($6:$1005)-5),332)))&gt;0,COUNTIF(INDIRECT("'KERTAS KERJA'!K"&amp;(SMALL(IF(checklistPesertaKemenkeu!$AY$6:$AY$1005="Direkomendasikan",ROW($6:$1005)-5),332)+5)&amp;":O"&amp;(SMALL(IF(checklistPesertaKemenkeu!$AY$6:$AY$1005="Direkomendasikan",ROW($6:$1005)-5),332)+5)),INDEX(checklistPesertaKemenkeu!$L$6:$L$1005,SMALL(IF(checklistPesertaKemenkeu!$AY$6:$AY$1005="Direkomendasikan",ROW($6:$1005)-5),332)))=1),IFERROR(VLOOKUP(INDEX(checklistPesertaKemenkeu!$L$6:$L$1005,SMALL(IF(checklistPesertaKemenkeu!$AY$6:$AY$1005="Direkomendasikan",ROW($6:$1005)-5),332)),KotaKode,2,0),"-"),"")),"")</f>
        <v/>
      </c>
      <c r="I333" t="str">
        <f t="array" aca="1" ref="I333" ca="1">IFERROR(IF(OR(INDEX(checklistPesertaKemenkeu!$M$6:$M$1005,SMALL(IF(checklistPesertaKemenkeu!$AY$6:$AY$1005="Direkomendasikan",ROW($6:$1005)-5),332))="",INDEX(checklistPesertaKemenkeu!$J$6:$J$1005,SMALL(IF(checklistPesertaKemenkeu!$AY$6:$AY$1005="Direkomendasikan",ROW($6:$1005)-5),332))=""),"",IF(AND(COUNTIF(INDIRECT("K_"&amp;MATCH(INDEX(checklistPesertaKemenkeu!$J$6:$J$1005,SMALL(IF(checklistPesertaKemenkeu!$AY$6:$AY$1005="Direkomendasikan",ROW($6:$1005)-5),332)),BidangList,0)),INDEX(checklistPesertaKemenkeu!$M$6:$M$1005,SMALL(IF(checklistPesertaKemenkeu!$AY$6:$AY$1005="Direkomendasikan",ROW($6:$1005)-5),332)))&gt;0,COUNTIF(INDIRECT("'KERTAS KERJA'!K"&amp;(SMALL(IF(checklistPesertaKemenkeu!$AY$6:$AY$1005="Direkomendasikan",ROW($6:$1005)-5),332)+5)&amp;":O"&amp;(SMALL(IF(checklistPesertaKemenkeu!$AY$6:$AY$1005="Direkomendasikan",ROW($6:$1005)-5),332)+5)),INDEX(checklistPesertaKemenkeu!$M$6:$M$1005,SMALL(IF(checklistPesertaKemenkeu!$AY$6:$AY$1005="Direkomendasikan",ROW($6:$1005)-5),332)))=1),IFERROR(VLOOKUP(INDEX(checklistPesertaKemenkeu!$M$6:$M$1005,SMALL(IF(checklistPesertaKemenkeu!$AY$6:$AY$1005="Direkomendasikan",ROW($6:$1005)-5),332)),KotaKode,2,0),"-"),"")),"")</f>
        <v/>
      </c>
      <c r="J333" t="str">
        <f t="array" aca="1" ref="J333" ca="1">IFERROR(IF(OR(INDEX(checklistPesertaKemenkeu!$N$6:$N$1005,SMALL(IF(checklistPesertaKemenkeu!$AY$6:$AY$1005="Direkomendasikan",ROW($6:$1005)-5),332))="",INDEX(checklistPesertaKemenkeu!$J$6:$J$1005,SMALL(IF(checklistPesertaKemenkeu!$AY$6:$AY$1005="Direkomendasikan",ROW($6:$1005)-5),332))=""),"",IF(AND(COUNTIF(INDIRECT("K_"&amp;MATCH(INDEX(checklistPesertaKemenkeu!$J$6:$J$1005,SMALL(IF(checklistPesertaKemenkeu!$AY$6:$AY$1005="Direkomendasikan",ROW($6:$1005)-5),332)),BidangList,0)),INDEX(checklistPesertaKemenkeu!$N$6:$N$1005,SMALL(IF(checklistPesertaKemenkeu!$AY$6:$AY$1005="Direkomendasikan",ROW($6:$1005)-5),332)))&gt;0,COUNTIF(INDIRECT("'KERTAS KERJA'!K"&amp;(SMALL(IF(checklistPesertaKemenkeu!$AY$6:$AY$1005="Direkomendasikan",ROW($6:$1005)-5),332)+5)&amp;":O"&amp;(SMALL(IF(checklistPesertaKemenkeu!$AY$6:$AY$1005="Direkomendasikan",ROW($6:$1005)-5),332)+5)),INDEX(checklistPesertaKemenkeu!$N$6:$N$1005,SMALL(IF(checklistPesertaKemenkeu!$AY$6:$AY$1005="Direkomendasikan",ROW($6:$1005)-5),332)))=1),IFERROR(VLOOKUP(INDEX(checklistPesertaKemenkeu!$N$6:$N$1005,SMALL(IF(checklistPesertaKemenkeu!$AY$6:$AY$1005="Direkomendasikan",ROW($6:$1005)-5),332)),KotaKode,2,0),"-"),"")),"")</f>
        <v/>
      </c>
      <c r="K333" t="str">
        <f t="array" aca="1" ref="K333" ca="1">IFERROR(IF(OR(INDEX(checklistPesertaKemenkeu!$O$6:$O$1005,SMALL(IF(checklistPesertaKemenkeu!$AY$6:$AY$1005="Direkomendasikan",ROW($6:$1005)-5),332))="",INDEX(checklistPesertaKemenkeu!$J$6:$J$1005,SMALL(IF(checklistPesertaKemenkeu!$AY$6:$AY$1005="Direkomendasikan",ROW($6:$1005)-5),332))=""),"",IF(AND(COUNTIF(INDIRECT("K_"&amp;MATCH(INDEX(checklistPesertaKemenkeu!$J$6:$J$1005,SMALL(IF(checklistPesertaKemenkeu!$AY$6:$AY$1005="Direkomendasikan",ROW($6:$1005)-5),332)),BidangList,0)),INDEX(checklistPesertaKemenkeu!$O$6:$O$1005,SMALL(IF(checklistPesertaKemenkeu!$AY$6:$AY$1005="Direkomendasikan",ROW($6:$1005)-5),332)))&gt;0,COUNTIF(INDIRECT("'KERTAS KERJA'!K"&amp;(SMALL(IF(checklistPesertaKemenkeu!$AY$6:$AY$1005="Direkomendasikan",ROW($6:$1005)-5),332)+5)&amp;":O"&amp;(SMALL(IF(checklistPesertaKemenkeu!$AY$6:$AY$1005="Direkomendasikan",ROW($6:$1005)-5),332)+5)),INDEX(checklistPesertaKemenkeu!$O$6:$O$1005,SMALL(IF(checklistPesertaKemenkeu!$AY$6:$AY$1005="Direkomendasikan",ROW($6:$1005)-5),332)))=1),IFERROR(VLOOKUP(INDEX(checklistPesertaKemenkeu!$O$6:$O$1005,SMALL(IF(checklistPesertaKemenkeu!$AY$6:$AY$1005="Direkomendasikan",ROW($6:$1005)-5),332)),KotaKode,2,0),"-"),"")),"")</f>
        <v/>
      </c>
      <c r="L333" t="str">
        <f t="array" aca="1" ref="L333" ca="1">IFERROR(IF(OR(INDEX(checklistPesertaKemenkeu!$P$6:$P$1005,SMALL(IF(checklistPesertaKemenkeu!$AY$6:$AY$1005="Direkomendasikan",ROW($6:$1005)-5),332))="",INDEX(checklistPesertaKemenkeu!$J$6:$J$1005,SMALL(IF(checklistPesertaKemenkeu!$AY$6:$AY$1005="Direkomendasikan",ROW($6:$1005)-5),332))=""),"",IF(AND(COUNTIF(INDIRECT("K_"&amp;MATCH(INDEX(checklistPesertaKemenkeu!$J$6:$J$1005,SMALL(IF(checklistPesertaKemenkeu!$AY$6:$AY$1005="Direkomendasikan",ROW($6:$1005)-5),332)),BidangList,0)),INDEX(checklistPesertaKemenkeu!$P$6:$P$1005,SMALL(IF(checklistPesertaKemenkeu!$AY$6:$AY$1005="Direkomendasikan",ROW($6:$1005)-5),332)))&gt;0,COUNTIF(INDIRECT("'KERTAS KERJA'!K"&amp;(SMALL(IF(checklistPesertaKemenkeu!$AY$6:$AY$1005="Direkomendasikan",ROW($6:$1005)-5),332)+5)&amp;":O"&amp;(SMALL(IF(checklistPesertaKemenkeu!$AY$6:$AY$1005="Direkomendasikan",ROW($6:$1005)-5),332)+5)),INDEX(checklistPesertaKemenkeu!$P$6:$P$1005,SMALL(IF(checklistPesertaKemenkeu!$AY$6:$AY$1005="Direkomendasikan",ROW($6:$1005)-5),332)))=1),IFERROR(VLOOKUP(INDEX(checklistPesertaKemenkeu!$P$6:$P$1005,SMALL(IF(checklistPesertaKemenkeu!$AY$6:$AY$1005="Direkomendasikan",ROW($6:$1005)-5),332)),KotaKode,2,0),"-"),"")),"")</f>
        <v/>
      </c>
    </row>
    <row r="334" spans="1:12" ht="15" customHeight="1" x14ac:dyDescent="0.2">
      <c r="A334" t="str">
        <f t="shared" si="5"/>
        <v/>
      </c>
      <c r="B334" t="str">
        <v/>
      </c>
      <c r="C334" s="40" t="str">
        <f t="array" ref="C334">IFERROR(INDEX(checklistPesertaKemenkeu!$F$6:$F$1005,SMALL(IF(checklistPesertaKemenkeu!$AY$6:$AY$1005="Direkomendasikan",ROW($6:$1005)-5),333)),"")</f>
        <v/>
      </c>
      <c r="D334" t="str">
        <f t="array" ref="D334">IFERROR(INDEX(checklistPesertaKemenkeu!$G$6:$G$1005,SMALL(IF(checklistPesertaKemenkeu!$AY$6:$AY$1005="Direkomendasikan",ROW($6:$1005)-5),333)),"")</f>
        <v/>
      </c>
      <c r="E334" t="str">
        <f t="array" ref="E334">IFERROR(INDEX(checklistPesertaKemenkeu!$H$6:$H$1005,SMALL(IF(checklistPesertaKemenkeu!$AY$6:$AY$1005="Direkomendasikan",ROW($6:$1005)-5),333)),"")</f>
        <v/>
      </c>
      <c r="F334" t="str">
        <f t="array" ref="F334">IFERROR(INDEX(checklistPesertaKemenkeu!$I$6:$I$1005,SMALL(IF(checklistPesertaKemenkeu!$AY$6:$AY$1005="Direkomendasikan",ROW($6:$1005)-5),333)),"")</f>
        <v/>
      </c>
      <c r="G334" t="str">
        <f t="array" ref="G334">IFERROR(INDEX(checklistPesertaKemenkeu!$J$6:$J$1005,SMALL(IF(checklistPesertaKemenkeu!$AY$6:$AY$1005="Direkomendasikan",ROW($6:$1005)-5),333)),"")</f>
        <v/>
      </c>
      <c r="H334" t="str">
        <f t="array" aca="1" ref="H334" ca="1">IFERROR(IF(OR(INDEX(checklistPesertaKemenkeu!$L$6:$L$1005,SMALL(IF(checklistPesertaKemenkeu!$AY$6:$AY$1005="Direkomendasikan",ROW($6:$1005)-5),333))="",INDEX(checklistPesertaKemenkeu!$J$6:$J$1005,SMALL(IF(checklistPesertaKemenkeu!$AY$6:$AY$1005="Direkomendasikan",ROW($6:$1005)-5),333))=""),"",IF(AND(COUNTIF(INDIRECT("K_"&amp;MATCH(INDEX(checklistPesertaKemenkeu!$J$6:$J$1005,SMALL(IF(checklistPesertaKemenkeu!$AY$6:$AY$1005="Direkomendasikan",ROW($6:$1005)-5),333)),BidangList,0)),INDEX(checklistPesertaKemenkeu!$L$6:$L$1005,SMALL(IF(checklistPesertaKemenkeu!$AY$6:$AY$1005="Direkomendasikan",ROW($6:$1005)-5),333)))&gt;0,COUNTIF(INDIRECT("'KERTAS KERJA'!K"&amp;(SMALL(IF(checklistPesertaKemenkeu!$AY$6:$AY$1005="Direkomendasikan",ROW($6:$1005)-5),333)+5)&amp;":O"&amp;(SMALL(IF(checklistPesertaKemenkeu!$AY$6:$AY$1005="Direkomendasikan",ROW($6:$1005)-5),333)+5)),INDEX(checklistPesertaKemenkeu!$L$6:$L$1005,SMALL(IF(checklistPesertaKemenkeu!$AY$6:$AY$1005="Direkomendasikan",ROW($6:$1005)-5),333)))=1),IFERROR(VLOOKUP(INDEX(checklistPesertaKemenkeu!$L$6:$L$1005,SMALL(IF(checklistPesertaKemenkeu!$AY$6:$AY$1005="Direkomendasikan",ROW($6:$1005)-5),333)),KotaKode,2,0),"-"),"")),"")</f>
        <v/>
      </c>
      <c r="I334" t="str">
        <f t="array" aca="1" ref="I334" ca="1">IFERROR(IF(OR(INDEX(checklistPesertaKemenkeu!$M$6:$M$1005,SMALL(IF(checklistPesertaKemenkeu!$AY$6:$AY$1005="Direkomendasikan",ROW($6:$1005)-5),333))="",INDEX(checklistPesertaKemenkeu!$J$6:$J$1005,SMALL(IF(checklistPesertaKemenkeu!$AY$6:$AY$1005="Direkomendasikan",ROW($6:$1005)-5),333))=""),"",IF(AND(COUNTIF(INDIRECT("K_"&amp;MATCH(INDEX(checklistPesertaKemenkeu!$J$6:$J$1005,SMALL(IF(checklistPesertaKemenkeu!$AY$6:$AY$1005="Direkomendasikan",ROW($6:$1005)-5),333)),BidangList,0)),INDEX(checklistPesertaKemenkeu!$M$6:$M$1005,SMALL(IF(checklistPesertaKemenkeu!$AY$6:$AY$1005="Direkomendasikan",ROW($6:$1005)-5),333)))&gt;0,COUNTIF(INDIRECT("'KERTAS KERJA'!K"&amp;(SMALL(IF(checklistPesertaKemenkeu!$AY$6:$AY$1005="Direkomendasikan",ROW($6:$1005)-5),333)+5)&amp;":O"&amp;(SMALL(IF(checklistPesertaKemenkeu!$AY$6:$AY$1005="Direkomendasikan",ROW($6:$1005)-5),333)+5)),INDEX(checklistPesertaKemenkeu!$M$6:$M$1005,SMALL(IF(checklistPesertaKemenkeu!$AY$6:$AY$1005="Direkomendasikan",ROW($6:$1005)-5),333)))=1),IFERROR(VLOOKUP(INDEX(checklistPesertaKemenkeu!$M$6:$M$1005,SMALL(IF(checklistPesertaKemenkeu!$AY$6:$AY$1005="Direkomendasikan",ROW($6:$1005)-5),333)),KotaKode,2,0),"-"),"")),"")</f>
        <v/>
      </c>
      <c r="J334" t="str">
        <f t="array" aca="1" ref="J334" ca="1">IFERROR(IF(OR(INDEX(checklistPesertaKemenkeu!$N$6:$N$1005,SMALL(IF(checklistPesertaKemenkeu!$AY$6:$AY$1005="Direkomendasikan",ROW($6:$1005)-5),333))="",INDEX(checklistPesertaKemenkeu!$J$6:$J$1005,SMALL(IF(checklistPesertaKemenkeu!$AY$6:$AY$1005="Direkomendasikan",ROW($6:$1005)-5),333))=""),"",IF(AND(COUNTIF(INDIRECT("K_"&amp;MATCH(INDEX(checklistPesertaKemenkeu!$J$6:$J$1005,SMALL(IF(checklistPesertaKemenkeu!$AY$6:$AY$1005="Direkomendasikan",ROW($6:$1005)-5),333)),BidangList,0)),INDEX(checklistPesertaKemenkeu!$N$6:$N$1005,SMALL(IF(checklistPesertaKemenkeu!$AY$6:$AY$1005="Direkomendasikan",ROW($6:$1005)-5),333)))&gt;0,COUNTIF(INDIRECT("'KERTAS KERJA'!K"&amp;(SMALL(IF(checklistPesertaKemenkeu!$AY$6:$AY$1005="Direkomendasikan",ROW($6:$1005)-5),333)+5)&amp;":O"&amp;(SMALL(IF(checklistPesertaKemenkeu!$AY$6:$AY$1005="Direkomendasikan",ROW($6:$1005)-5),333)+5)),INDEX(checklistPesertaKemenkeu!$N$6:$N$1005,SMALL(IF(checklistPesertaKemenkeu!$AY$6:$AY$1005="Direkomendasikan",ROW($6:$1005)-5),333)))=1),IFERROR(VLOOKUP(INDEX(checklistPesertaKemenkeu!$N$6:$N$1005,SMALL(IF(checklistPesertaKemenkeu!$AY$6:$AY$1005="Direkomendasikan",ROW($6:$1005)-5),333)),KotaKode,2,0),"-"),"")),"")</f>
        <v/>
      </c>
      <c r="K334" t="str">
        <f t="array" aca="1" ref="K334" ca="1">IFERROR(IF(OR(INDEX(checklistPesertaKemenkeu!$O$6:$O$1005,SMALL(IF(checklistPesertaKemenkeu!$AY$6:$AY$1005="Direkomendasikan",ROW($6:$1005)-5),333))="",INDEX(checklistPesertaKemenkeu!$J$6:$J$1005,SMALL(IF(checklistPesertaKemenkeu!$AY$6:$AY$1005="Direkomendasikan",ROW($6:$1005)-5),333))=""),"",IF(AND(COUNTIF(INDIRECT("K_"&amp;MATCH(INDEX(checklistPesertaKemenkeu!$J$6:$J$1005,SMALL(IF(checklistPesertaKemenkeu!$AY$6:$AY$1005="Direkomendasikan",ROW($6:$1005)-5),333)),BidangList,0)),INDEX(checklistPesertaKemenkeu!$O$6:$O$1005,SMALL(IF(checklistPesertaKemenkeu!$AY$6:$AY$1005="Direkomendasikan",ROW($6:$1005)-5),333)))&gt;0,COUNTIF(INDIRECT("'KERTAS KERJA'!K"&amp;(SMALL(IF(checklistPesertaKemenkeu!$AY$6:$AY$1005="Direkomendasikan",ROW($6:$1005)-5),333)+5)&amp;":O"&amp;(SMALL(IF(checklistPesertaKemenkeu!$AY$6:$AY$1005="Direkomendasikan",ROW($6:$1005)-5),333)+5)),INDEX(checklistPesertaKemenkeu!$O$6:$O$1005,SMALL(IF(checklistPesertaKemenkeu!$AY$6:$AY$1005="Direkomendasikan",ROW($6:$1005)-5),333)))=1),IFERROR(VLOOKUP(INDEX(checklistPesertaKemenkeu!$O$6:$O$1005,SMALL(IF(checklistPesertaKemenkeu!$AY$6:$AY$1005="Direkomendasikan",ROW($6:$1005)-5),333)),KotaKode,2,0),"-"),"")),"")</f>
        <v/>
      </c>
      <c r="L334" t="str">
        <f t="array" aca="1" ref="L334" ca="1">IFERROR(IF(OR(INDEX(checklistPesertaKemenkeu!$P$6:$P$1005,SMALL(IF(checklistPesertaKemenkeu!$AY$6:$AY$1005="Direkomendasikan",ROW($6:$1005)-5),333))="",INDEX(checklistPesertaKemenkeu!$J$6:$J$1005,SMALL(IF(checklistPesertaKemenkeu!$AY$6:$AY$1005="Direkomendasikan",ROW($6:$1005)-5),333))=""),"",IF(AND(COUNTIF(INDIRECT("K_"&amp;MATCH(INDEX(checklistPesertaKemenkeu!$J$6:$J$1005,SMALL(IF(checklistPesertaKemenkeu!$AY$6:$AY$1005="Direkomendasikan",ROW($6:$1005)-5),333)),BidangList,0)),INDEX(checklistPesertaKemenkeu!$P$6:$P$1005,SMALL(IF(checklistPesertaKemenkeu!$AY$6:$AY$1005="Direkomendasikan",ROW($6:$1005)-5),333)))&gt;0,COUNTIF(INDIRECT("'KERTAS KERJA'!K"&amp;(SMALL(IF(checklistPesertaKemenkeu!$AY$6:$AY$1005="Direkomendasikan",ROW($6:$1005)-5),333)+5)&amp;":O"&amp;(SMALL(IF(checklistPesertaKemenkeu!$AY$6:$AY$1005="Direkomendasikan",ROW($6:$1005)-5),333)+5)),INDEX(checklistPesertaKemenkeu!$P$6:$P$1005,SMALL(IF(checklistPesertaKemenkeu!$AY$6:$AY$1005="Direkomendasikan",ROW($6:$1005)-5),333)))=1),IFERROR(VLOOKUP(INDEX(checklistPesertaKemenkeu!$P$6:$P$1005,SMALL(IF(checklistPesertaKemenkeu!$AY$6:$AY$1005="Direkomendasikan",ROW($6:$1005)-5),333)),KotaKode,2,0),"-"),"")),"")</f>
        <v/>
      </c>
    </row>
    <row r="335" spans="1:12" ht="15" customHeight="1" x14ac:dyDescent="0.2">
      <c r="A335" t="str">
        <f t="shared" si="5"/>
        <v/>
      </c>
      <c r="B335" t="str">
        <v/>
      </c>
      <c r="C335" s="40" t="str">
        <f t="array" ref="C335">IFERROR(INDEX(checklistPesertaKemenkeu!$F$6:$F$1005,SMALL(IF(checklistPesertaKemenkeu!$AY$6:$AY$1005="Direkomendasikan",ROW($6:$1005)-5),334)),"")</f>
        <v/>
      </c>
      <c r="D335" t="str">
        <f t="array" ref="D335">IFERROR(INDEX(checklistPesertaKemenkeu!$G$6:$G$1005,SMALL(IF(checklistPesertaKemenkeu!$AY$6:$AY$1005="Direkomendasikan",ROW($6:$1005)-5),334)),"")</f>
        <v/>
      </c>
      <c r="E335" t="str">
        <f t="array" ref="E335">IFERROR(INDEX(checklistPesertaKemenkeu!$H$6:$H$1005,SMALL(IF(checklistPesertaKemenkeu!$AY$6:$AY$1005="Direkomendasikan",ROW($6:$1005)-5),334)),"")</f>
        <v/>
      </c>
      <c r="F335" t="str">
        <f t="array" ref="F335">IFERROR(INDEX(checklistPesertaKemenkeu!$I$6:$I$1005,SMALL(IF(checklistPesertaKemenkeu!$AY$6:$AY$1005="Direkomendasikan",ROW($6:$1005)-5),334)),"")</f>
        <v/>
      </c>
      <c r="G335" t="str">
        <f t="array" ref="G335">IFERROR(INDEX(checklistPesertaKemenkeu!$J$6:$J$1005,SMALL(IF(checklistPesertaKemenkeu!$AY$6:$AY$1005="Direkomendasikan",ROW($6:$1005)-5),334)),"")</f>
        <v/>
      </c>
      <c r="H335" t="str">
        <f t="array" aca="1" ref="H335" ca="1">IFERROR(IF(OR(INDEX(checklistPesertaKemenkeu!$L$6:$L$1005,SMALL(IF(checklistPesertaKemenkeu!$AY$6:$AY$1005="Direkomendasikan",ROW($6:$1005)-5),334))="",INDEX(checklistPesertaKemenkeu!$J$6:$J$1005,SMALL(IF(checklistPesertaKemenkeu!$AY$6:$AY$1005="Direkomendasikan",ROW($6:$1005)-5),334))=""),"",IF(AND(COUNTIF(INDIRECT("K_"&amp;MATCH(INDEX(checklistPesertaKemenkeu!$J$6:$J$1005,SMALL(IF(checklistPesertaKemenkeu!$AY$6:$AY$1005="Direkomendasikan",ROW($6:$1005)-5),334)),BidangList,0)),INDEX(checklistPesertaKemenkeu!$L$6:$L$1005,SMALL(IF(checklistPesertaKemenkeu!$AY$6:$AY$1005="Direkomendasikan",ROW($6:$1005)-5),334)))&gt;0,COUNTIF(INDIRECT("'KERTAS KERJA'!K"&amp;(SMALL(IF(checklistPesertaKemenkeu!$AY$6:$AY$1005="Direkomendasikan",ROW($6:$1005)-5),334)+5)&amp;":O"&amp;(SMALL(IF(checklistPesertaKemenkeu!$AY$6:$AY$1005="Direkomendasikan",ROW($6:$1005)-5),334)+5)),INDEX(checklistPesertaKemenkeu!$L$6:$L$1005,SMALL(IF(checklistPesertaKemenkeu!$AY$6:$AY$1005="Direkomendasikan",ROW($6:$1005)-5),334)))=1),IFERROR(VLOOKUP(INDEX(checklistPesertaKemenkeu!$L$6:$L$1005,SMALL(IF(checklistPesertaKemenkeu!$AY$6:$AY$1005="Direkomendasikan",ROW($6:$1005)-5),334)),KotaKode,2,0),"-"),"")),"")</f>
        <v/>
      </c>
      <c r="I335" t="str">
        <f t="array" aca="1" ref="I335" ca="1">IFERROR(IF(OR(INDEX(checklistPesertaKemenkeu!$M$6:$M$1005,SMALL(IF(checklistPesertaKemenkeu!$AY$6:$AY$1005="Direkomendasikan",ROW($6:$1005)-5),334))="",INDEX(checklistPesertaKemenkeu!$J$6:$J$1005,SMALL(IF(checklistPesertaKemenkeu!$AY$6:$AY$1005="Direkomendasikan",ROW($6:$1005)-5),334))=""),"",IF(AND(COUNTIF(INDIRECT("K_"&amp;MATCH(INDEX(checklistPesertaKemenkeu!$J$6:$J$1005,SMALL(IF(checklistPesertaKemenkeu!$AY$6:$AY$1005="Direkomendasikan",ROW($6:$1005)-5),334)),BidangList,0)),INDEX(checklistPesertaKemenkeu!$M$6:$M$1005,SMALL(IF(checklistPesertaKemenkeu!$AY$6:$AY$1005="Direkomendasikan",ROW($6:$1005)-5),334)))&gt;0,COUNTIF(INDIRECT("'KERTAS KERJA'!K"&amp;(SMALL(IF(checklistPesertaKemenkeu!$AY$6:$AY$1005="Direkomendasikan",ROW($6:$1005)-5),334)+5)&amp;":O"&amp;(SMALL(IF(checklistPesertaKemenkeu!$AY$6:$AY$1005="Direkomendasikan",ROW($6:$1005)-5),334)+5)),INDEX(checklistPesertaKemenkeu!$M$6:$M$1005,SMALL(IF(checklistPesertaKemenkeu!$AY$6:$AY$1005="Direkomendasikan",ROW($6:$1005)-5),334)))=1),IFERROR(VLOOKUP(INDEX(checklistPesertaKemenkeu!$M$6:$M$1005,SMALL(IF(checklistPesertaKemenkeu!$AY$6:$AY$1005="Direkomendasikan",ROW($6:$1005)-5),334)),KotaKode,2,0),"-"),"")),"")</f>
        <v/>
      </c>
      <c r="J335" t="str">
        <f t="array" aca="1" ref="J335" ca="1">IFERROR(IF(OR(INDEX(checklistPesertaKemenkeu!$N$6:$N$1005,SMALL(IF(checklistPesertaKemenkeu!$AY$6:$AY$1005="Direkomendasikan",ROW($6:$1005)-5),334))="",INDEX(checklistPesertaKemenkeu!$J$6:$J$1005,SMALL(IF(checklistPesertaKemenkeu!$AY$6:$AY$1005="Direkomendasikan",ROW($6:$1005)-5),334))=""),"",IF(AND(COUNTIF(INDIRECT("K_"&amp;MATCH(INDEX(checklistPesertaKemenkeu!$J$6:$J$1005,SMALL(IF(checklistPesertaKemenkeu!$AY$6:$AY$1005="Direkomendasikan",ROW($6:$1005)-5),334)),BidangList,0)),INDEX(checklistPesertaKemenkeu!$N$6:$N$1005,SMALL(IF(checklistPesertaKemenkeu!$AY$6:$AY$1005="Direkomendasikan",ROW($6:$1005)-5),334)))&gt;0,COUNTIF(INDIRECT("'KERTAS KERJA'!K"&amp;(SMALL(IF(checklistPesertaKemenkeu!$AY$6:$AY$1005="Direkomendasikan",ROW($6:$1005)-5),334)+5)&amp;":O"&amp;(SMALL(IF(checklistPesertaKemenkeu!$AY$6:$AY$1005="Direkomendasikan",ROW($6:$1005)-5),334)+5)),INDEX(checklistPesertaKemenkeu!$N$6:$N$1005,SMALL(IF(checklistPesertaKemenkeu!$AY$6:$AY$1005="Direkomendasikan",ROW($6:$1005)-5),334)))=1),IFERROR(VLOOKUP(INDEX(checklistPesertaKemenkeu!$N$6:$N$1005,SMALL(IF(checklistPesertaKemenkeu!$AY$6:$AY$1005="Direkomendasikan",ROW($6:$1005)-5),334)),KotaKode,2,0),"-"),"")),"")</f>
        <v/>
      </c>
      <c r="K335" t="str">
        <f t="array" aca="1" ref="K335" ca="1">IFERROR(IF(OR(INDEX(checklistPesertaKemenkeu!$O$6:$O$1005,SMALL(IF(checklistPesertaKemenkeu!$AY$6:$AY$1005="Direkomendasikan",ROW($6:$1005)-5),334))="",INDEX(checklistPesertaKemenkeu!$J$6:$J$1005,SMALL(IF(checklistPesertaKemenkeu!$AY$6:$AY$1005="Direkomendasikan",ROW($6:$1005)-5),334))=""),"",IF(AND(COUNTIF(INDIRECT("K_"&amp;MATCH(INDEX(checklistPesertaKemenkeu!$J$6:$J$1005,SMALL(IF(checklistPesertaKemenkeu!$AY$6:$AY$1005="Direkomendasikan",ROW($6:$1005)-5),334)),BidangList,0)),INDEX(checklistPesertaKemenkeu!$O$6:$O$1005,SMALL(IF(checklistPesertaKemenkeu!$AY$6:$AY$1005="Direkomendasikan",ROW($6:$1005)-5),334)))&gt;0,COUNTIF(INDIRECT("'KERTAS KERJA'!K"&amp;(SMALL(IF(checklistPesertaKemenkeu!$AY$6:$AY$1005="Direkomendasikan",ROW($6:$1005)-5),334)+5)&amp;":O"&amp;(SMALL(IF(checklistPesertaKemenkeu!$AY$6:$AY$1005="Direkomendasikan",ROW($6:$1005)-5),334)+5)),INDEX(checklistPesertaKemenkeu!$O$6:$O$1005,SMALL(IF(checklistPesertaKemenkeu!$AY$6:$AY$1005="Direkomendasikan",ROW($6:$1005)-5),334)))=1),IFERROR(VLOOKUP(INDEX(checklistPesertaKemenkeu!$O$6:$O$1005,SMALL(IF(checklistPesertaKemenkeu!$AY$6:$AY$1005="Direkomendasikan",ROW($6:$1005)-5),334)),KotaKode,2,0),"-"),"")),"")</f>
        <v/>
      </c>
      <c r="L335" t="str">
        <f t="array" aca="1" ref="L335" ca="1">IFERROR(IF(OR(INDEX(checklistPesertaKemenkeu!$P$6:$P$1005,SMALL(IF(checklistPesertaKemenkeu!$AY$6:$AY$1005="Direkomendasikan",ROW($6:$1005)-5),334))="",INDEX(checklistPesertaKemenkeu!$J$6:$J$1005,SMALL(IF(checklistPesertaKemenkeu!$AY$6:$AY$1005="Direkomendasikan",ROW($6:$1005)-5),334))=""),"",IF(AND(COUNTIF(INDIRECT("K_"&amp;MATCH(INDEX(checklistPesertaKemenkeu!$J$6:$J$1005,SMALL(IF(checklistPesertaKemenkeu!$AY$6:$AY$1005="Direkomendasikan",ROW($6:$1005)-5),334)),BidangList,0)),INDEX(checklistPesertaKemenkeu!$P$6:$P$1005,SMALL(IF(checklistPesertaKemenkeu!$AY$6:$AY$1005="Direkomendasikan",ROW($6:$1005)-5),334)))&gt;0,COUNTIF(INDIRECT("'KERTAS KERJA'!K"&amp;(SMALL(IF(checklistPesertaKemenkeu!$AY$6:$AY$1005="Direkomendasikan",ROW($6:$1005)-5),334)+5)&amp;":O"&amp;(SMALL(IF(checklistPesertaKemenkeu!$AY$6:$AY$1005="Direkomendasikan",ROW($6:$1005)-5),334)+5)),INDEX(checklistPesertaKemenkeu!$P$6:$P$1005,SMALL(IF(checklistPesertaKemenkeu!$AY$6:$AY$1005="Direkomendasikan",ROW($6:$1005)-5),334)))=1),IFERROR(VLOOKUP(INDEX(checklistPesertaKemenkeu!$P$6:$P$1005,SMALL(IF(checklistPesertaKemenkeu!$AY$6:$AY$1005="Direkomendasikan",ROW($6:$1005)-5),334)),KotaKode,2,0),"-"),"")),"")</f>
        <v/>
      </c>
    </row>
    <row r="336" spans="1:12" ht="15" customHeight="1" x14ac:dyDescent="0.2">
      <c r="A336" t="str">
        <f t="shared" si="5"/>
        <v/>
      </c>
      <c r="B336" t="str">
        <v/>
      </c>
      <c r="C336" s="40" t="str">
        <f t="array" ref="C336">IFERROR(INDEX(checklistPesertaKemenkeu!$F$6:$F$1005,SMALL(IF(checklistPesertaKemenkeu!$AY$6:$AY$1005="Direkomendasikan",ROW($6:$1005)-5),335)),"")</f>
        <v/>
      </c>
      <c r="D336" t="str">
        <f t="array" ref="D336">IFERROR(INDEX(checklistPesertaKemenkeu!$G$6:$G$1005,SMALL(IF(checklistPesertaKemenkeu!$AY$6:$AY$1005="Direkomendasikan",ROW($6:$1005)-5),335)),"")</f>
        <v/>
      </c>
      <c r="E336" t="str">
        <f t="array" ref="E336">IFERROR(INDEX(checklistPesertaKemenkeu!$H$6:$H$1005,SMALL(IF(checklistPesertaKemenkeu!$AY$6:$AY$1005="Direkomendasikan",ROW($6:$1005)-5),335)),"")</f>
        <v/>
      </c>
      <c r="F336" t="str">
        <f t="array" ref="F336">IFERROR(INDEX(checklistPesertaKemenkeu!$I$6:$I$1005,SMALL(IF(checklistPesertaKemenkeu!$AY$6:$AY$1005="Direkomendasikan",ROW($6:$1005)-5),335)),"")</f>
        <v/>
      </c>
      <c r="G336" t="str">
        <f t="array" ref="G336">IFERROR(INDEX(checklistPesertaKemenkeu!$J$6:$J$1005,SMALL(IF(checklistPesertaKemenkeu!$AY$6:$AY$1005="Direkomendasikan",ROW($6:$1005)-5),335)),"")</f>
        <v/>
      </c>
      <c r="H336" t="str">
        <f t="array" aca="1" ref="H336" ca="1">IFERROR(IF(OR(INDEX(checklistPesertaKemenkeu!$L$6:$L$1005,SMALL(IF(checklistPesertaKemenkeu!$AY$6:$AY$1005="Direkomendasikan",ROW($6:$1005)-5),335))="",INDEX(checklistPesertaKemenkeu!$J$6:$J$1005,SMALL(IF(checklistPesertaKemenkeu!$AY$6:$AY$1005="Direkomendasikan",ROW($6:$1005)-5),335))=""),"",IF(AND(COUNTIF(INDIRECT("K_"&amp;MATCH(INDEX(checklistPesertaKemenkeu!$J$6:$J$1005,SMALL(IF(checklistPesertaKemenkeu!$AY$6:$AY$1005="Direkomendasikan",ROW($6:$1005)-5),335)),BidangList,0)),INDEX(checklistPesertaKemenkeu!$L$6:$L$1005,SMALL(IF(checklistPesertaKemenkeu!$AY$6:$AY$1005="Direkomendasikan",ROW($6:$1005)-5),335)))&gt;0,COUNTIF(INDIRECT("'KERTAS KERJA'!K"&amp;(SMALL(IF(checklistPesertaKemenkeu!$AY$6:$AY$1005="Direkomendasikan",ROW($6:$1005)-5),335)+5)&amp;":O"&amp;(SMALL(IF(checklistPesertaKemenkeu!$AY$6:$AY$1005="Direkomendasikan",ROW($6:$1005)-5),335)+5)),INDEX(checklistPesertaKemenkeu!$L$6:$L$1005,SMALL(IF(checklistPesertaKemenkeu!$AY$6:$AY$1005="Direkomendasikan",ROW($6:$1005)-5),335)))=1),IFERROR(VLOOKUP(INDEX(checklistPesertaKemenkeu!$L$6:$L$1005,SMALL(IF(checklistPesertaKemenkeu!$AY$6:$AY$1005="Direkomendasikan",ROW($6:$1005)-5),335)),KotaKode,2,0),"-"),"")),"")</f>
        <v/>
      </c>
      <c r="I336" t="str">
        <f t="array" aca="1" ref="I336" ca="1">IFERROR(IF(OR(INDEX(checklistPesertaKemenkeu!$M$6:$M$1005,SMALL(IF(checklistPesertaKemenkeu!$AY$6:$AY$1005="Direkomendasikan",ROW($6:$1005)-5),335))="",INDEX(checklistPesertaKemenkeu!$J$6:$J$1005,SMALL(IF(checklistPesertaKemenkeu!$AY$6:$AY$1005="Direkomendasikan",ROW($6:$1005)-5),335))=""),"",IF(AND(COUNTIF(INDIRECT("K_"&amp;MATCH(INDEX(checklistPesertaKemenkeu!$J$6:$J$1005,SMALL(IF(checklistPesertaKemenkeu!$AY$6:$AY$1005="Direkomendasikan",ROW($6:$1005)-5),335)),BidangList,0)),INDEX(checklistPesertaKemenkeu!$M$6:$M$1005,SMALL(IF(checklistPesertaKemenkeu!$AY$6:$AY$1005="Direkomendasikan",ROW($6:$1005)-5),335)))&gt;0,COUNTIF(INDIRECT("'KERTAS KERJA'!K"&amp;(SMALL(IF(checklistPesertaKemenkeu!$AY$6:$AY$1005="Direkomendasikan",ROW($6:$1005)-5),335)+5)&amp;":O"&amp;(SMALL(IF(checklistPesertaKemenkeu!$AY$6:$AY$1005="Direkomendasikan",ROW($6:$1005)-5),335)+5)),INDEX(checklistPesertaKemenkeu!$M$6:$M$1005,SMALL(IF(checklistPesertaKemenkeu!$AY$6:$AY$1005="Direkomendasikan",ROW($6:$1005)-5),335)))=1),IFERROR(VLOOKUP(INDEX(checklistPesertaKemenkeu!$M$6:$M$1005,SMALL(IF(checklistPesertaKemenkeu!$AY$6:$AY$1005="Direkomendasikan",ROW($6:$1005)-5),335)),KotaKode,2,0),"-"),"")),"")</f>
        <v/>
      </c>
      <c r="J336" t="str">
        <f t="array" aca="1" ref="J336" ca="1">IFERROR(IF(OR(INDEX(checklistPesertaKemenkeu!$N$6:$N$1005,SMALL(IF(checklistPesertaKemenkeu!$AY$6:$AY$1005="Direkomendasikan",ROW($6:$1005)-5),335))="",INDEX(checklistPesertaKemenkeu!$J$6:$J$1005,SMALL(IF(checklistPesertaKemenkeu!$AY$6:$AY$1005="Direkomendasikan",ROW($6:$1005)-5),335))=""),"",IF(AND(COUNTIF(INDIRECT("K_"&amp;MATCH(INDEX(checklistPesertaKemenkeu!$J$6:$J$1005,SMALL(IF(checklistPesertaKemenkeu!$AY$6:$AY$1005="Direkomendasikan",ROW($6:$1005)-5),335)),BidangList,0)),INDEX(checklistPesertaKemenkeu!$N$6:$N$1005,SMALL(IF(checklistPesertaKemenkeu!$AY$6:$AY$1005="Direkomendasikan",ROW($6:$1005)-5),335)))&gt;0,COUNTIF(INDIRECT("'KERTAS KERJA'!K"&amp;(SMALL(IF(checklistPesertaKemenkeu!$AY$6:$AY$1005="Direkomendasikan",ROW($6:$1005)-5),335)+5)&amp;":O"&amp;(SMALL(IF(checklistPesertaKemenkeu!$AY$6:$AY$1005="Direkomendasikan",ROW($6:$1005)-5),335)+5)),INDEX(checklistPesertaKemenkeu!$N$6:$N$1005,SMALL(IF(checklistPesertaKemenkeu!$AY$6:$AY$1005="Direkomendasikan",ROW($6:$1005)-5),335)))=1),IFERROR(VLOOKUP(INDEX(checklistPesertaKemenkeu!$N$6:$N$1005,SMALL(IF(checklistPesertaKemenkeu!$AY$6:$AY$1005="Direkomendasikan",ROW($6:$1005)-5),335)),KotaKode,2,0),"-"),"")),"")</f>
        <v/>
      </c>
      <c r="K336" t="str">
        <f t="array" aca="1" ref="K336" ca="1">IFERROR(IF(OR(INDEX(checklistPesertaKemenkeu!$O$6:$O$1005,SMALL(IF(checklistPesertaKemenkeu!$AY$6:$AY$1005="Direkomendasikan",ROW($6:$1005)-5),335))="",INDEX(checklistPesertaKemenkeu!$J$6:$J$1005,SMALL(IF(checklistPesertaKemenkeu!$AY$6:$AY$1005="Direkomendasikan",ROW($6:$1005)-5),335))=""),"",IF(AND(COUNTIF(INDIRECT("K_"&amp;MATCH(INDEX(checklistPesertaKemenkeu!$J$6:$J$1005,SMALL(IF(checklistPesertaKemenkeu!$AY$6:$AY$1005="Direkomendasikan",ROW($6:$1005)-5),335)),BidangList,0)),INDEX(checklistPesertaKemenkeu!$O$6:$O$1005,SMALL(IF(checklistPesertaKemenkeu!$AY$6:$AY$1005="Direkomendasikan",ROW($6:$1005)-5),335)))&gt;0,COUNTIF(INDIRECT("'KERTAS KERJA'!K"&amp;(SMALL(IF(checklistPesertaKemenkeu!$AY$6:$AY$1005="Direkomendasikan",ROW($6:$1005)-5),335)+5)&amp;":O"&amp;(SMALL(IF(checklistPesertaKemenkeu!$AY$6:$AY$1005="Direkomendasikan",ROW($6:$1005)-5),335)+5)),INDEX(checklistPesertaKemenkeu!$O$6:$O$1005,SMALL(IF(checklistPesertaKemenkeu!$AY$6:$AY$1005="Direkomendasikan",ROW($6:$1005)-5),335)))=1),IFERROR(VLOOKUP(INDEX(checklistPesertaKemenkeu!$O$6:$O$1005,SMALL(IF(checklistPesertaKemenkeu!$AY$6:$AY$1005="Direkomendasikan",ROW($6:$1005)-5),335)),KotaKode,2,0),"-"),"")),"")</f>
        <v/>
      </c>
      <c r="L336" t="str">
        <f t="array" aca="1" ref="L336" ca="1">IFERROR(IF(OR(INDEX(checklistPesertaKemenkeu!$P$6:$P$1005,SMALL(IF(checklistPesertaKemenkeu!$AY$6:$AY$1005="Direkomendasikan",ROW($6:$1005)-5),335))="",INDEX(checklistPesertaKemenkeu!$J$6:$J$1005,SMALL(IF(checklistPesertaKemenkeu!$AY$6:$AY$1005="Direkomendasikan",ROW($6:$1005)-5),335))=""),"",IF(AND(COUNTIF(INDIRECT("K_"&amp;MATCH(INDEX(checklistPesertaKemenkeu!$J$6:$J$1005,SMALL(IF(checklistPesertaKemenkeu!$AY$6:$AY$1005="Direkomendasikan",ROW($6:$1005)-5),335)),BidangList,0)),INDEX(checklistPesertaKemenkeu!$P$6:$P$1005,SMALL(IF(checklistPesertaKemenkeu!$AY$6:$AY$1005="Direkomendasikan",ROW($6:$1005)-5),335)))&gt;0,COUNTIF(INDIRECT("'KERTAS KERJA'!K"&amp;(SMALL(IF(checklistPesertaKemenkeu!$AY$6:$AY$1005="Direkomendasikan",ROW($6:$1005)-5),335)+5)&amp;":O"&amp;(SMALL(IF(checklistPesertaKemenkeu!$AY$6:$AY$1005="Direkomendasikan",ROW($6:$1005)-5),335)+5)),INDEX(checklistPesertaKemenkeu!$P$6:$P$1005,SMALL(IF(checklistPesertaKemenkeu!$AY$6:$AY$1005="Direkomendasikan",ROW($6:$1005)-5),335)))=1),IFERROR(VLOOKUP(INDEX(checklistPesertaKemenkeu!$P$6:$P$1005,SMALL(IF(checklistPesertaKemenkeu!$AY$6:$AY$1005="Direkomendasikan",ROW($6:$1005)-5),335)),KotaKode,2,0),"-"),"")),"")</f>
        <v/>
      </c>
    </row>
    <row r="337" spans="1:12" ht="15" customHeight="1" x14ac:dyDescent="0.2">
      <c r="A337" t="str">
        <f t="shared" si="5"/>
        <v/>
      </c>
      <c r="B337" t="str">
        <v/>
      </c>
      <c r="C337" s="40" t="str">
        <f t="array" ref="C337">IFERROR(INDEX(checklistPesertaKemenkeu!$F$6:$F$1005,SMALL(IF(checklistPesertaKemenkeu!$AY$6:$AY$1005="Direkomendasikan",ROW($6:$1005)-5),336)),"")</f>
        <v/>
      </c>
      <c r="D337" t="str">
        <f t="array" ref="D337">IFERROR(INDEX(checklistPesertaKemenkeu!$G$6:$G$1005,SMALL(IF(checklistPesertaKemenkeu!$AY$6:$AY$1005="Direkomendasikan",ROW($6:$1005)-5),336)),"")</f>
        <v/>
      </c>
      <c r="E337" t="str">
        <f t="array" ref="E337">IFERROR(INDEX(checklistPesertaKemenkeu!$H$6:$H$1005,SMALL(IF(checklistPesertaKemenkeu!$AY$6:$AY$1005="Direkomendasikan",ROW($6:$1005)-5),336)),"")</f>
        <v/>
      </c>
      <c r="F337" t="str">
        <f t="array" ref="F337">IFERROR(INDEX(checklistPesertaKemenkeu!$I$6:$I$1005,SMALL(IF(checklistPesertaKemenkeu!$AY$6:$AY$1005="Direkomendasikan",ROW($6:$1005)-5),336)),"")</f>
        <v/>
      </c>
      <c r="G337" t="str">
        <f t="array" ref="G337">IFERROR(INDEX(checklistPesertaKemenkeu!$J$6:$J$1005,SMALL(IF(checklistPesertaKemenkeu!$AY$6:$AY$1005="Direkomendasikan",ROW($6:$1005)-5),336)),"")</f>
        <v/>
      </c>
      <c r="H337" t="str">
        <f t="array" aca="1" ref="H337" ca="1">IFERROR(IF(OR(INDEX(checklistPesertaKemenkeu!$L$6:$L$1005,SMALL(IF(checklistPesertaKemenkeu!$AY$6:$AY$1005="Direkomendasikan",ROW($6:$1005)-5),336))="",INDEX(checklistPesertaKemenkeu!$J$6:$J$1005,SMALL(IF(checklistPesertaKemenkeu!$AY$6:$AY$1005="Direkomendasikan",ROW($6:$1005)-5),336))=""),"",IF(AND(COUNTIF(INDIRECT("K_"&amp;MATCH(INDEX(checklistPesertaKemenkeu!$J$6:$J$1005,SMALL(IF(checklistPesertaKemenkeu!$AY$6:$AY$1005="Direkomendasikan",ROW($6:$1005)-5),336)),BidangList,0)),INDEX(checklistPesertaKemenkeu!$L$6:$L$1005,SMALL(IF(checklistPesertaKemenkeu!$AY$6:$AY$1005="Direkomendasikan",ROW($6:$1005)-5),336)))&gt;0,COUNTIF(INDIRECT("'KERTAS KERJA'!K"&amp;(SMALL(IF(checklistPesertaKemenkeu!$AY$6:$AY$1005="Direkomendasikan",ROW($6:$1005)-5),336)+5)&amp;":O"&amp;(SMALL(IF(checklistPesertaKemenkeu!$AY$6:$AY$1005="Direkomendasikan",ROW($6:$1005)-5),336)+5)),INDEX(checklistPesertaKemenkeu!$L$6:$L$1005,SMALL(IF(checklistPesertaKemenkeu!$AY$6:$AY$1005="Direkomendasikan",ROW($6:$1005)-5),336)))=1),IFERROR(VLOOKUP(INDEX(checklistPesertaKemenkeu!$L$6:$L$1005,SMALL(IF(checklistPesertaKemenkeu!$AY$6:$AY$1005="Direkomendasikan",ROW($6:$1005)-5),336)),KotaKode,2,0),"-"),"")),"")</f>
        <v/>
      </c>
      <c r="I337" t="str">
        <f t="array" aca="1" ref="I337" ca="1">IFERROR(IF(OR(INDEX(checklistPesertaKemenkeu!$M$6:$M$1005,SMALL(IF(checklistPesertaKemenkeu!$AY$6:$AY$1005="Direkomendasikan",ROW($6:$1005)-5),336))="",INDEX(checklistPesertaKemenkeu!$J$6:$J$1005,SMALL(IF(checklistPesertaKemenkeu!$AY$6:$AY$1005="Direkomendasikan",ROW($6:$1005)-5),336))=""),"",IF(AND(COUNTIF(INDIRECT("K_"&amp;MATCH(INDEX(checklistPesertaKemenkeu!$J$6:$J$1005,SMALL(IF(checklistPesertaKemenkeu!$AY$6:$AY$1005="Direkomendasikan",ROW($6:$1005)-5),336)),BidangList,0)),INDEX(checklistPesertaKemenkeu!$M$6:$M$1005,SMALL(IF(checklistPesertaKemenkeu!$AY$6:$AY$1005="Direkomendasikan",ROW($6:$1005)-5),336)))&gt;0,COUNTIF(INDIRECT("'KERTAS KERJA'!K"&amp;(SMALL(IF(checklistPesertaKemenkeu!$AY$6:$AY$1005="Direkomendasikan",ROW($6:$1005)-5),336)+5)&amp;":O"&amp;(SMALL(IF(checklistPesertaKemenkeu!$AY$6:$AY$1005="Direkomendasikan",ROW($6:$1005)-5),336)+5)),INDEX(checklistPesertaKemenkeu!$M$6:$M$1005,SMALL(IF(checklistPesertaKemenkeu!$AY$6:$AY$1005="Direkomendasikan",ROW($6:$1005)-5),336)))=1),IFERROR(VLOOKUP(INDEX(checklistPesertaKemenkeu!$M$6:$M$1005,SMALL(IF(checklistPesertaKemenkeu!$AY$6:$AY$1005="Direkomendasikan",ROW($6:$1005)-5),336)),KotaKode,2,0),"-"),"")),"")</f>
        <v/>
      </c>
      <c r="J337" t="str">
        <f t="array" aca="1" ref="J337" ca="1">IFERROR(IF(OR(INDEX(checklistPesertaKemenkeu!$N$6:$N$1005,SMALL(IF(checklistPesertaKemenkeu!$AY$6:$AY$1005="Direkomendasikan",ROW($6:$1005)-5),336))="",INDEX(checklistPesertaKemenkeu!$J$6:$J$1005,SMALL(IF(checklistPesertaKemenkeu!$AY$6:$AY$1005="Direkomendasikan",ROW($6:$1005)-5),336))=""),"",IF(AND(COUNTIF(INDIRECT("K_"&amp;MATCH(INDEX(checklistPesertaKemenkeu!$J$6:$J$1005,SMALL(IF(checklistPesertaKemenkeu!$AY$6:$AY$1005="Direkomendasikan",ROW($6:$1005)-5),336)),BidangList,0)),INDEX(checklistPesertaKemenkeu!$N$6:$N$1005,SMALL(IF(checklistPesertaKemenkeu!$AY$6:$AY$1005="Direkomendasikan",ROW($6:$1005)-5),336)))&gt;0,COUNTIF(INDIRECT("'KERTAS KERJA'!K"&amp;(SMALL(IF(checklistPesertaKemenkeu!$AY$6:$AY$1005="Direkomendasikan",ROW($6:$1005)-5),336)+5)&amp;":O"&amp;(SMALL(IF(checklistPesertaKemenkeu!$AY$6:$AY$1005="Direkomendasikan",ROW($6:$1005)-5),336)+5)),INDEX(checklistPesertaKemenkeu!$N$6:$N$1005,SMALL(IF(checklistPesertaKemenkeu!$AY$6:$AY$1005="Direkomendasikan",ROW($6:$1005)-5),336)))=1),IFERROR(VLOOKUP(INDEX(checklistPesertaKemenkeu!$N$6:$N$1005,SMALL(IF(checklistPesertaKemenkeu!$AY$6:$AY$1005="Direkomendasikan",ROW($6:$1005)-5),336)),KotaKode,2,0),"-"),"")),"")</f>
        <v/>
      </c>
      <c r="K337" t="str">
        <f t="array" aca="1" ref="K337" ca="1">IFERROR(IF(OR(INDEX(checklistPesertaKemenkeu!$O$6:$O$1005,SMALL(IF(checklistPesertaKemenkeu!$AY$6:$AY$1005="Direkomendasikan",ROW($6:$1005)-5),336))="",INDEX(checklistPesertaKemenkeu!$J$6:$J$1005,SMALL(IF(checklistPesertaKemenkeu!$AY$6:$AY$1005="Direkomendasikan",ROW($6:$1005)-5),336))=""),"",IF(AND(COUNTIF(INDIRECT("K_"&amp;MATCH(INDEX(checklistPesertaKemenkeu!$J$6:$J$1005,SMALL(IF(checklistPesertaKemenkeu!$AY$6:$AY$1005="Direkomendasikan",ROW($6:$1005)-5),336)),BidangList,0)),INDEX(checklistPesertaKemenkeu!$O$6:$O$1005,SMALL(IF(checklistPesertaKemenkeu!$AY$6:$AY$1005="Direkomendasikan",ROW($6:$1005)-5),336)))&gt;0,COUNTIF(INDIRECT("'KERTAS KERJA'!K"&amp;(SMALL(IF(checklistPesertaKemenkeu!$AY$6:$AY$1005="Direkomendasikan",ROW($6:$1005)-5),336)+5)&amp;":O"&amp;(SMALL(IF(checklistPesertaKemenkeu!$AY$6:$AY$1005="Direkomendasikan",ROW($6:$1005)-5),336)+5)),INDEX(checklistPesertaKemenkeu!$O$6:$O$1005,SMALL(IF(checklistPesertaKemenkeu!$AY$6:$AY$1005="Direkomendasikan",ROW($6:$1005)-5),336)))=1),IFERROR(VLOOKUP(INDEX(checklistPesertaKemenkeu!$O$6:$O$1005,SMALL(IF(checklistPesertaKemenkeu!$AY$6:$AY$1005="Direkomendasikan",ROW($6:$1005)-5),336)),KotaKode,2,0),"-"),"")),"")</f>
        <v/>
      </c>
      <c r="L337" t="str">
        <f t="array" aca="1" ref="L337" ca="1">IFERROR(IF(OR(INDEX(checklistPesertaKemenkeu!$P$6:$P$1005,SMALL(IF(checklistPesertaKemenkeu!$AY$6:$AY$1005="Direkomendasikan",ROW($6:$1005)-5),336))="",INDEX(checklistPesertaKemenkeu!$J$6:$J$1005,SMALL(IF(checklistPesertaKemenkeu!$AY$6:$AY$1005="Direkomendasikan",ROW($6:$1005)-5),336))=""),"",IF(AND(COUNTIF(INDIRECT("K_"&amp;MATCH(INDEX(checklistPesertaKemenkeu!$J$6:$J$1005,SMALL(IF(checklistPesertaKemenkeu!$AY$6:$AY$1005="Direkomendasikan",ROW($6:$1005)-5),336)),BidangList,0)),INDEX(checklistPesertaKemenkeu!$P$6:$P$1005,SMALL(IF(checklistPesertaKemenkeu!$AY$6:$AY$1005="Direkomendasikan",ROW($6:$1005)-5),336)))&gt;0,COUNTIF(INDIRECT("'KERTAS KERJA'!K"&amp;(SMALL(IF(checklistPesertaKemenkeu!$AY$6:$AY$1005="Direkomendasikan",ROW($6:$1005)-5),336)+5)&amp;":O"&amp;(SMALL(IF(checklistPesertaKemenkeu!$AY$6:$AY$1005="Direkomendasikan",ROW($6:$1005)-5),336)+5)),INDEX(checklistPesertaKemenkeu!$P$6:$P$1005,SMALL(IF(checklistPesertaKemenkeu!$AY$6:$AY$1005="Direkomendasikan",ROW($6:$1005)-5),336)))=1),IFERROR(VLOOKUP(INDEX(checklistPesertaKemenkeu!$P$6:$P$1005,SMALL(IF(checklistPesertaKemenkeu!$AY$6:$AY$1005="Direkomendasikan",ROW($6:$1005)-5),336)),KotaKode,2,0),"-"),"")),"")</f>
        <v/>
      </c>
    </row>
    <row r="338" spans="1:12" ht="15" customHeight="1" x14ac:dyDescent="0.2">
      <c r="A338" t="str">
        <f t="shared" si="5"/>
        <v/>
      </c>
      <c r="B338" t="str">
        <v/>
      </c>
      <c r="C338" s="40" t="str">
        <f t="array" ref="C338">IFERROR(INDEX(checklistPesertaKemenkeu!$F$6:$F$1005,SMALL(IF(checklistPesertaKemenkeu!$AY$6:$AY$1005="Direkomendasikan",ROW($6:$1005)-5),337)),"")</f>
        <v/>
      </c>
      <c r="D338" t="str">
        <f t="array" ref="D338">IFERROR(INDEX(checklistPesertaKemenkeu!$G$6:$G$1005,SMALL(IF(checklistPesertaKemenkeu!$AY$6:$AY$1005="Direkomendasikan",ROW($6:$1005)-5),337)),"")</f>
        <v/>
      </c>
      <c r="E338" t="str">
        <f t="array" ref="E338">IFERROR(INDEX(checklistPesertaKemenkeu!$H$6:$H$1005,SMALL(IF(checklistPesertaKemenkeu!$AY$6:$AY$1005="Direkomendasikan",ROW($6:$1005)-5),337)),"")</f>
        <v/>
      </c>
      <c r="F338" t="str">
        <f t="array" ref="F338">IFERROR(INDEX(checklistPesertaKemenkeu!$I$6:$I$1005,SMALL(IF(checklistPesertaKemenkeu!$AY$6:$AY$1005="Direkomendasikan",ROW($6:$1005)-5),337)),"")</f>
        <v/>
      </c>
      <c r="G338" t="str">
        <f t="array" ref="G338">IFERROR(INDEX(checklistPesertaKemenkeu!$J$6:$J$1005,SMALL(IF(checklistPesertaKemenkeu!$AY$6:$AY$1005="Direkomendasikan",ROW($6:$1005)-5),337)),"")</f>
        <v/>
      </c>
      <c r="H338" t="str">
        <f t="array" aca="1" ref="H338" ca="1">IFERROR(IF(OR(INDEX(checklistPesertaKemenkeu!$L$6:$L$1005,SMALL(IF(checklistPesertaKemenkeu!$AY$6:$AY$1005="Direkomendasikan",ROW($6:$1005)-5),337))="",INDEX(checklistPesertaKemenkeu!$J$6:$J$1005,SMALL(IF(checklistPesertaKemenkeu!$AY$6:$AY$1005="Direkomendasikan",ROW($6:$1005)-5),337))=""),"",IF(AND(COUNTIF(INDIRECT("K_"&amp;MATCH(INDEX(checklistPesertaKemenkeu!$J$6:$J$1005,SMALL(IF(checklistPesertaKemenkeu!$AY$6:$AY$1005="Direkomendasikan",ROW($6:$1005)-5),337)),BidangList,0)),INDEX(checklistPesertaKemenkeu!$L$6:$L$1005,SMALL(IF(checklistPesertaKemenkeu!$AY$6:$AY$1005="Direkomendasikan",ROW($6:$1005)-5),337)))&gt;0,COUNTIF(INDIRECT("'KERTAS KERJA'!K"&amp;(SMALL(IF(checklistPesertaKemenkeu!$AY$6:$AY$1005="Direkomendasikan",ROW($6:$1005)-5),337)+5)&amp;":O"&amp;(SMALL(IF(checklistPesertaKemenkeu!$AY$6:$AY$1005="Direkomendasikan",ROW($6:$1005)-5),337)+5)),INDEX(checklistPesertaKemenkeu!$L$6:$L$1005,SMALL(IF(checklistPesertaKemenkeu!$AY$6:$AY$1005="Direkomendasikan",ROW($6:$1005)-5),337)))=1),IFERROR(VLOOKUP(INDEX(checklistPesertaKemenkeu!$L$6:$L$1005,SMALL(IF(checklistPesertaKemenkeu!$AY$6:$AY$1005="Direkomendasikan",ROW($6:$1005)-5),337)),KotaKode,2,0),"-"),"")),"")</f>
        <v/>
      </c>
      <c r="I338" t="str">
        <f t="array" aca="1" ref="I338" ca="1">IFERROR(IF(OR(INDEX(checklistPesertaKemenkeu!$M$6:$M$1005,SMALL(IF(checklistPesertaKemenkeu!$AY$6:$AY$1005="Direkomendasikan",ROW($6:$1005)-5),337))="",INDEX(checklistPesertaKemenkeu!$J$6:$J$1005,SMALL(IF(checklistPesertaKemenkeu!$AY$6:$AY$1005="Direkomendasikan",ROW($6:$1005)-5),337))=""),"",IF(AND(COUNTIF(INDIRECT("K_"&amp;MATCH(INDEX(checklistPesertaKemenkeu!$J$6:$J$1005,SMALL(IF(checklistPesertaKemenkeu!$AY$6:$AY$1005="Direkomendasikan",ROW($6:$1005)-5),337)),BidangList,0)),INDEX(checklistPesertaKemenkeu!$M$6:$M$1005,SMALL(IF(checklistPesertaKemenkeu!$AY$6:$AY$1005="Direkomendasikan",ROW($6:$1005)-5),337)))&gt;0,COUNTIF(INDIRECT("'KERTAS KERJA'!K"&amp;(SMALL(IF(checklistPesertaKemenkeu!$AY$6:$AY$1005="Direkomendasikan",ROW($6:$1005)-5),337)+5)&amp;":O"&amp;(SMALL(IF(checklistPesertaKemenkeu!$AY$6:$AY$1005="Direkomendasikan",ROW($6:$1005)-5),337)+5)),INDEX(checklistPesertaKemenkeu!$M$6:$M$1005,SMALL(IF(checklistPesertaKemenkeu!$AY$6:$AY$1005="Direkomendasikan",ROW($6:$1005)-5),337)))=1),IFERROR(VLOOKUP(INDEX(checklistPesertaKemenkeu!$M$6:$M$1005,SMALL(IF(checklistPesertaKemenkeu!$AY$6:$AY$1005="Direkomendasikan",ROW($6:$1005)-5),337)),KotaKode,2,0),"-"),"")),"")</f>
        <v/>
      </c>
      <c r="J338" t="str">
        <f t="array" aca="1" ref="J338" ca="1">IFERROR(IF(OR(INDEX(checklistPesertaKemenkeu!$N$6:$N$1005,SMALL(IF(checklistPesertaKemenkeu!$AY$6:$AY$1005="Direkomendasikan",ROW($6:$1005)-5),337))="",INDEX(checklistPesertaKemenkeu!$J$6:$J$1005,SMALL(IF(checklistPesertaKemenkeu!$AY$6:$AY$1005="Direkomendasikan",ROW($6:$1005)-5),337))=""),"",IF(AND(COUNTIF(INDIRECT("K_"&amp;MATCH(INDEX(checklistPesertaKemenkeu!$J$6:$J$1005,SMALL(IF(checklistPesertaKemenkeu!$AY$6:$AY$1005="Direkomendasikan",ROW($6:$1005)-5),337)),BidangList,0)),INDEX(checklistPesertaKemenkeu!$N$6:$N$1005,SMALL(IF(checklistPesertaKemenkeu!$AY$6:$AY$1005="Direkomendasikan",ROW($6:$1005)-5),337)))&gt;0,COUNTIF(INDIRECT("'KERTAS KERJA'!K"&amp;(SMALL(IF(checklistPesertaKemenkeu!$AY$6:$AY$1005="Direkomendasikan",ROW($6:$1005)-5),337)+5)&amp;":O"&amp;(SMALL(IF(checklistPesertaKemenkeu!$AY$6:$AY$1005="Direkomendasikan",ROW($6:$1005)-5),337)+5)),INDEX(checklistPesertaKemenkeu!$N$6:$N$1005,SMALL(IF(checklistPesertaKemenkeu!$AY$6:$AY$1005="Direkomendasikan",ROW($6:$1005)-5),337)))=1),IFERROR(VLOOKUP(INDEX(checklistPesertaKemenkeu!$N$6:$N$1005,SMALL(IF(checklistPesertaKemenkeu!$AY$6:$AY$1005="Direkomendasikan",ROW($6:$1005)-5),337)),KotaKode,2,0),"-"),"")),"")</f>
        <v/>
      </c>
      <c r="K338" t="str">
        <f t="array" aca="1" ref="K338" ca="1">IFERROR(IF(OR(INDEX(checklistPesertaKemenkeu!$O$6:$O$1005,SMALL(IF(checklistPesertaKemenkeu!$AY$6:$AY$1005="Direkomendasikan",ROW($6:$1005)-5),337))="",INDEX(checklistPesertaKemenkeu!$J$6:$J$1005,SMALL(IF(checklistPesertaKemenkeu!$AY$6:$AY$1005="Direkomendasikan",ROW($6:$1005)-5),337))=""),"",IF(AND(COUNTIF(INDIRECT("K_"&amp;MATCH(INDEX(checklistPesertaKemenkeu!$J$6:$J$1005,SMALL(IF(checklistPesertaKemenkeu!$AY$6:$AY$1005="Direkomendasikan",ROW($6:$1005)-5),337)),BidangList,0)),INDEX(checklistPesertaKemenkeu!$O$6:$O$1005,SMALL(IF(checklistPesertaKemenkeu!$AY$6:$AY$1005="Direkomendasikan",ROW($6:$1005)-5),337)))&gt;0,COUNTIF(INDIRECT("'KERTAS KERJA'!K"&amp;(SMALL(IF(checklistPesertaKemenkeu!$AY$6:$AY$1005="Direkomendasikan",ROW($6:$1005)-5),337)+5)&amp;":O"&amp;(SMALL(IF(checklistPesertaKemenkeu!$AY$6:$AY$1005="Direkomendasikan",ROW($6:$1005)-5),337)+5)),INDEX(checklistPesertaKemenkeu!$O$6:$O$1005,SMALL(IF(checklistPesertaKemenkeu!$AY$6:$AY$1005="Direkomendasikan",ROW($6:$1005)-5),337)))=1),IFERROR(VLOOKUP(INDEX(checklistPesertaKemenkeu!$O$6:$O$1005,SMALL(IF(checklistPesertaKemenkeu!$AY$6:$AY$1005="Direkomendasikan",ROW($6:$1005)-5),337)),KotaKode,2,0),"-"),"")),"")</f>
        <v/>
      </c>
      <c r="L338" t="str">
        <f t="array" aca="1" ref="L338" ca="1">IFERROR(IF(OR(INDEX(checklistPesertaKemenkeu!$P$6:$P$1005,SMALL(IF(checklistPesertaKemenkeu!$AY$6:$AY$1005="Direkomendasikan",ROW($6:$1005)-5),337))="",INDEX(checklistPesertaKemenkeu!$J$6:$J$1005,SMALL(IF(checklistPesertaKemenkeu!$AY$6:$AY$1005="Direkomendasikan",ROW($6:$1005)-5),337))=""),"",IF(AND(COUNTIF(INDIRECT("K_"&amp;MATCH(INDEX(checklistPesertaKemenkeu!$J$6:$J$1005,SMALL(IF(checklistPesertaKemenkeu!$AY$6:$AY$1005="Direkomendasikan",ROW($6:$1005)-5),337)),BidangList,0)),INDEX(checklistPesertaKemenkeu!$P$6:$P$1005,SMALL(IF(checklistPesertaKemenkeu!$AY$6:$AY$1005="Direkomendasikan",ROW($6:$1005)-5),337)))&gt;0,COUNTIF(INDIRECT("'KERTAS KERJA'!K"&amp;(SMALL(IF(checklistPesertaKemenkeu!$AY$6:$AY$1005="Direkomendasikan",ROW($6:$1005)-5),337)+5)&amp;":O"&amp;(SMALL(IF(checklistPesertaKemenkeu!$AY$6:$AY$1005="Direkomendasikan",ROW($6:$1005)-5),337)+5)),INDEX(checklistPesertaKemenkeu!$P$6:$P$1005,SMALL(IF(checklistPesertaKemenkeu!$AY$6:$AY$1005="Direkomendasikan",ROW($6:$1005)-5),337)))=1),IFERROR(VLOOKUP(INDEX(checklistPesertaKemenkeu!$P$6:$P$1005,SMALL(IF(checklistPesertaKemenkeu!$AY$6:$AY$1005="Direkomendasikan",ROW($6:$1005)-5),337)),KotaKode,2,0),"-"),"")),"")</f>
        <v/>
      </c>
    </row>
    <row r="339" spans="1:12" ht="15" customHeight="1" x14ac:dyDescent="0.2">
      <c r="A339" t="str">
        <f t="shared" si="5"/>
        <v/>
      </c>
      <c r="B339" t="str">
        <v/>
      </c>
      <c r="C339" s="40" t="str">
        <f t="array" ref="C339">IFERROR(INDEX(checklistPesertaKemenkeu!$F$6:$F$1005,SMALL(IF(checklistPesertaKemenkeu!$AY$6:$AY$1005="Direkomendasikan",ROW($6:$1005)-5),338)),"")</f>
        <v/>
      </c>
      <c r="D339" t="str">
        <f t="array" ref="D339">IFERROR(INDEX(checklistPesertaKemenkeu!$G$6:$G$1005,SMALL(IF(checklistPesertaKemenkeu!$AY$6:$AY$1005="Direkomendasikan",ROW($6:$1005)-5),338)),"")</f>
        <v/>
      </c>
      <c r="E339" t="str">
        <f t="array" ref="E339">IFERROR(INDEX(checklistPesertaKemenkeu!$H$6:$H$1005,SMALL(IF(checklistPesertaKemenkeu!$AY$6:$AY$1005="Direkomendasikan",ROW($6:$1005)-5),338)),"")</f>
        <v/>
      </c>
      <c r="F339" t="str">
        <f t="array" ref="F339">IFERROR(INDEX(checklistPesertaKemenkeu!$I$6:$I$1005,SMALL(IF(checklistPesertaKemenkeu!$AY$6:$AY$1005="Direkomendasikan",ROW($6:$1005)-5),338)),"")</f>
        <v/>
      </c>
      <c r="G339" t="str">
        <f t="array" ref="G339">IFERROR(INDEX(checklistPesertaKemenkeu!$J$6:$J$1005,SMALL(IF(checklistPesertaKemenkeu!$AY$6:$AY$1005="Direkomendasikan",ROW($6:$1005)-5),338)),"")</f>
        <v/>
      </c>
      <c r="H339" t="str">
        <f t="array" aca="1" ref="H339" ca="1">IFERROR(IF(OR(INDEX(checklistPesertaKemenkeu!$L$6:$L$1005,SMALL(IF(checklistPesertaKemenkeu!$AY$6:$AY$1005="Direkomendasikan",ROW($6:$1005)-5),338))="",INDEX(checklistPesertaKemenkeu!$J$6:$J$1005,SMALL(IF(checklistPesertaKemenkeu!$AY$6:$AY$1005="Direkomendasikan",ROW($6:$1005)-5),338))=""),"",IF(AND(COUNTIF(INDIRECT("K_"&amp;MATCH(INDEX(checklistPesertaKemenkeu!$J$6:$J$1005,SMALL(IF(checklistPesertaKemenkeu!$AY$6:$AY$1005="Direkomendasikan",ROW($6:$1005)-5),338)),BidangList,0)),INDEX(checklistPesertaKemenkeu!$L$6:$L$1005,SMALL(IF(checklistPesertaKemenkeu!$AY$6:$AY$1005="Direkomendasikan",ROW($6:$1005)-5),338)))&gt;0,COUNTIF(INDIRECT("'KERTAS KERJA'!K"&amp;(SMALL(IF(checklistPesertaKemenkeu!$AY$6:$AY$1005="Direkomendasikan",ROW($6:$1005)-5),338)+5)&amp;":O"&amp;(SMALL(IF(checklistPesertaKemenkeu!$AY$6:$AY$1005="Direkomendasikan",ROW($6:$1005)-5),338)+5)),INDEX(checklistPesertaKemenkeu!$L$6:$L$1005,SMALL(IF(checklistPesertaKemenkeu!$AY$6:$AY$1005="Direkomendasikan",ROW($6:$1005)-5),338)))=1),IFERROR(VLOOKUP(INDEX(checklistPesertaKemenkeu!$L$6:$L$1005,SMALL(IF(checklistPesertaKemenkeu!$AY$6:$AY$1005="Direkomendasikan",ROW($6:$1005)-5),338)),KotaKode,2,0),"-"),"")),"")</f>
        <v/>
      </c>
      <c r="I339" t="str">
        <f t="array" aca="1" ref="I339" ca="1">IFERROR(IF(OR(INDEX(checklistPesertaKemenkeu!$M$6:$M$1005,SMALL(IF(checklistPesertaKemenkeu!$AY$6:$AY$1005="Direkomendasikan",ROW($6:$1005)-5),338))="",INDEX(checklistPesertaKemenkeu!$J$6:$J$1005,SMALL(IF(checklistPesertaKemenkeu!$AY$6:$AY$1005="Direkomendasikan",ROW($6:$1005)-5),338))=""),"",IF(AND(COUNTIF(INDIRECT("K_"&amp;MATCH(INDEX(checklistPesertaKemenkeu!$J$6:$J$1005,SMALL(IF(checklistPesertaKemenkeu!$AY$6:$AY$1005="Direkomendasikan",ROW($6:$1005)-5),338)),BidangList,0)),INDEX(checklistPesertaKemenkeu!$M$6:$M$1005,SMALL(IF(checklistPesertaKemenkeu!$AY$6:$AY$1005="Direkomendasikan",ROW($6:$1005)-5),338)))&gt;0,COUNTIF(INDIRECT("'KERTAS KERJA'!K"&amp;(SMALL(IF(checklistPesertaKemenkeu!$AY$6:$AY$1005="Direkomendasikan",ROW($6:$1005)-5),338)+5)&amp;":O"&amp;(SMALL(IF(checklistPesertaKemenkeu!$AY$6:$AY$1005="Direkomendasikan",ROW($6:$1005)-5),338)+5)),INDEX(checklistPesertaKemenkeu!$M$6:$M$1005,SMALL(IF(checklistPesertaKemenkeu!$AY$6:$AY$1005="Direkomendasikan",ROW($6:$1005)-5),338)))=1),IFERROR(VLOOKUP(INDEX(checklistPesertaKemenkeu!$M$6:$M$1005,SMALL(IF(checklistPesertaKemenkeu!$AY$6:$AY$1005="Direkomendasikan",ROW($6:$1005)-5),338)),KotaKode,2,0),"-"),"")),"")</f>
        <v/>
      </c>
      <c r="J339" t="str">
        <f t="array" aca="1" ref="J339" ca="1">IFERROR(IF(OR(INDEX(checklistPesertaKemenkeu!$N$6:$N$1005,SMALL(IF(checklistPesertaKemenkeu!$AY$6:$AY$1005="Direkomendasikan",ROW($6:$1005)-5),338))="",INDEX(checklistPesertaKemenkeu!$J$6:$J$1005,SMALL(IF(checklistPesertaKemenkeu!$AY$6:$AY$1005="Direkomendasikan",ROW($6:$1005)-5),338))=""),"",IF(AND(COUNTIF(INDIRECT("K_"&amp;MATCH(INDEX(checklistPesertaKemenkeu!$J$6:$J$1005,SMALL(IF(checklistPesertaKemenkeu!$AY$6:$AY$1005="Direkomendasikan",ROW($6:$1005)-5),338)),BidangList,0)),INDEX(checklistPesertaKemenkeu!$N$6:$N$1005,SMALL(IF(checklistPesertaKemenkeu!$AY$6:$AY$1005="Direkomendasikan",ROW($6:$1005)-5),338)))&gt;0,COUNTIF(INDIRECT("'KERTAS KERJA'!K"&amp;(SMALL(IF(checklistPesertaKemenkeu!$AY$6:$AY$1005="Direkomendasikan",ROW($6:$1005)-5),338)+5)&amp;":O"&amp;(SMALL(IF(checklistPesertaKemenkeu!$AY$6:$AY$1005="Direkomendasikan",ROW($6:$1005)-5),338)+5)),INDEX(checklistPesertaKemenkeu!$N$6:$N$1005,SMALL(IF(checklistPesertaKemenkeu!$AY$6:$AY$1005="Direkomendasikan",ROW($6:$1005)-5),338)))=1),IFERROR(VLOOKUP(INDEX(checklistPesertaKemenkeu!$N$6:$N$1005,SMALL(IF(checklistPesertaKemenkeu!$AY$6:$AY$1005="Direkomendasikan",ROW($6:$1005)-5),338)),KotaKode,2,0),"-"),"")),"")</f>
        <v/>
      </c>
      <c r="K339" t="str">
        <f t="array" aca="1" ref="K339" ca="1">IFERROR(IF(OR(INDEX(checklistPesertaKemenkeu!$O$6:$O$1005,SMALL(IF(checklistPesertaKemenkeu!$AY$6:$AY$1005="Direkomendasikan",ROW($6:$1005)-5),338))="",INDEX(checklistPesertaKemenkeu!$J$6:$J$1005,SMALL(IF(checklistPesertaKemenkeu!$AY$6:$AY$1005="Direkomendasikan",ROW($6:$1005)-5),338))=""),"",IF(AND(COUNTIF(INDIRECT("K_"&amp;MATCH(INDEX(checklistPesertaKemenkeu!$J$6:$J$1005,SMALL(IF(checklistPesertaKemenkeu!$AY$6:$AY$1005="Direkomendasikan",ROW($6:$1005)-5),338)),BidangList,0)),INDEX(checklistPesertaKemenkeu!$O$6:$O$1005,SMALL(IF(checklistPesertaKemenkeu!$AY$6:$AY$1005="Direkomendasikan",ROW($6:$1005)-5),338)))&gt;0,COUNTIF(INDIRECT("'KERTAS KERJA'!K"&amp;(SMALL(IF(checklistPesertaKemenkeu!$AY$6:$AY$1005="Direkomendasikan",ROW($6:$1005)-5),338)+5)&amp;":O"&amp;(SMALL(IF(checklistPesertaKemenkeu!$AY$6:$AY$1005="Direkomendasikan",ROW($6:$1005)-5),338)+5)),INDEX(checklistPesertaKemenkeu!$O$6:$O$1005,SMALL(IF(checklistPesertaKemenkeu!$AY$6:$AY$1005="Direkomendasikan",ROW($6:$1005)-5),338)))=1),IFERROR(VLOOKUP(INDEX(checklistPesertaKemenkeu!$O$6:$O$1005,SMALL(IF(checklistPesertaKemenkeu!$AY$6:$AY$1005="Direkomendasikan",ROW($6:$1005)-5),338)),KotaKode,2,0),"-"),"")),"")</f>
        <v/>
      </c>
      <c r="L339" t="str">
        <f t="array" aca="1" ref="L339" ca="1">IFERROR(IF(OR(INDEX(checklistPesertaKemenkeu!$P$6:$P$1005,SMALL(IF(checklistPesertaKemenkeu!$AY$6:$AY$1005="Direkomendasikan",ROW($6:$1005)-5),338))="",INDEX(checklistPesertaKemenkeu!$J$6:$J$1005,SMALL(IF(checklistPesertaKemenkeu!$AY$6:$AY$1005="Direkomendasikan",ROW($6:$1005)-5),338))=""),"",IF(AND(COUNTIF(INDIRECT("K_"&amp;MATCH(INDEX(checklistPesertaKemenkeu!$J$6:$J$1005,SMALL(IF(checklistPesertaKemenkeu!$AY$6:$AY$1005="Direkomendasikan",ROW($6:$1005)-5),338)),BidangList,0)),INDEX(checklistPesertaKemenkeu!$P$6:$P$1005,SMALL(IF(checklistPesertaKemenkeu!$AY$6:$AY$1005="Direkomendasikan",ROW($6:$1005)-5),338)))&gt;0,COUNTIF(INDIRECT("'KERTAS KERJA'!K"&amp;(SMALL(IF(checklistPesertaKemenkeu!$AY$6:$AY$1005="Direkomendasikan",ROW($6:$1005)-5),338)+5)&amp;":O"&amp;(SMALL(IF(checklistPesertaKemenkeu!$AY$6:$AY$1005="Direkomendasikan",ROW($6:$1005)-5),338)+5)),INDEX(checklistPesertaKemenkeu!$P$6:$P$1005,SMALL(IF(checklistPesertaKemenkeu!$AY$6:$AY$1005="Direkomendasikan",ROW($6:$1005)-5),338)))=1),IFERROR(VLOOKUP(INDEX(checklistPesertaKemenkeu!$P$6:$P$1005,SMALL(IF(checklistPesertaKemenkeu!$AY$6:$AY$1005="Direkomendasikan",ROW($6:$1005)-5),338)),KotaKode,2,0),"-"),"")),"")</f>
        <v/>
      </c>
    </row>
    <row r="340" spans="1:12" ht="15" customHeight="1" x14ac:dyDescent="0.2">
      <c r="A340" t="str">
        <f t="shared" si="5"/>
        <v/>
      </c>
      <c r="B340" t="str">
        <v/>
      </c>
      <c r="C340" s="40" t="str">
        <f t="array" ref="C340">IFERROR(INDEX(checklistPesertaKemenkeu!$F$6:$F$1005,SMALL(IF(checklistPesertaKemenkeu!$AY$6:$AY$1005="Direkomendasikan",ROW($6:$1005)-5),339)),"")</f>
        <v/>
      </c>
      <c r="D340" t="str">
        <f t="array" ref="D340">IFERROR(INDEX(checklistPesertaKemenkeu!$G$6:$G$1005,SMALL(IF(checklistPesertaKemenkeu!$AY$6:$AY$1005="Direkomendasikan",ROW($6:$1005)-5),339)),"")</f>
        <v/>
      </c>
      <c r="E340" t="str">
        <f t="array" ref="E340">IFERROR(INDEX(checklistPesertaKemenkeu!$H$6:$H$1005,SMALL(IF(checklistPesertaKemenkeu!$AY$6:$AY$1005="Direkomendasikan",ROW($6:$1005)-5),339)),"")</f>
        <v/>
      </c>
      <c r="F340" t="str">
        <f t="array" ref="F340">IFERROR(INDEX(checklistPesertaKemenkeu!$I$6:$I$1005,SMALL(IF(checklistPesertaKemenkeu!$AY$6:$AY$1005="Direkomendasikan",ROW($6:$1005)-5),339)),"")</f>
        <v/>
      </c>
      <c r="G340" t="str">
        <f t="array" ref="G340">IFERROR(INDEX(checklistPesertaKemenkeu!$J$6:$J$1005,SMALL(IF(checklistPesertaKemenkeu!$AY$6:$AY$1005="Direkomendasikan",ROW($6:$1005)-5),339)),"")</f>
        <v/>
      </c>
      <c r="H340" t="str">
        <f t="array" aca="1" ref="H340" ca="1">IFERROR(IF(OR(INDEX(checklistPesertaKemenkeu!$L$6:$L$1005,SMALL(IF(checklistPesertaKemenkeu!$AY$6:$AY$1005="Direkomendasikan",ROW($6:$1005)-5),339))="",INDEX(checklistPesertaKemenkeu!$J$6:$J$1005,SMALL(IF(checklistPesertaKemenkeu!$AY$6:$AY$1005="Direkomendasikan",ROW($6:$1005)-5),339))=""),"",IF(AND(COUNTIF(INDIRECT("K_"&amp;MATCH(INDEX(checklistPesertaKemenkeu!$J$6:$J$1005,SMALL(IF(checklistPesertaKemenkeu!$AY$6:$AY$1005="Direkomendasikan",ROW($6:$1005)-5),339)),BidangList,0)),INDEX(checklistPesertaKemenkeu!$L$6:$L$1005,SMALL(IF(checklistPesertaKemenkeu!$AY$6:$AY$1005="Direkomendasikan",ROW($6:$1005)-5),339)))&gt;0,COUNTIF(INDIRECT("'KERTAS KERJA'!K"&amp;(SMALL(IF(checklistPesertaKemenkeu!$AY$6:$AY$1005="Direkomendasikan",ROW($6:$1005)-5),339)+5)&amp;":O"&amp;(SMALL(IF(checklistPesertaKemenkeu!$AY$6:$AY$1005="Direkomendasikan",ROW($6:$1005)-5),339)+5)),INDEX(checklistPesertaKemenkeu!$L$6:$L$1005,SMALL(IF(checklistPesertaKemenkeu!$AY$6:$AY$1005="Direkomendasikan",ROW($6:$1005)-5),339)))=1),IFERROR(VLOOKUP(INDEX(checklistPesertaKemenkeu!$L$6:$L$1005,SMALL(IF(checklistPesertaKemenkeu!$AY$6:$AY$1005="Direkomendasikan",ROW($6:$1005)-5),339)),KotaKode,2,0),"-"),"")),"")</f>
        <v/>
      </c>
      <c r="I340" t="str">
        <f t="array" aca="1" ref="I340" ca="1">IFERROR(IF(OR(INDEX(checklistPesertaKemenkeu!$M$6:$M$1005,SMALL(IF(checklistPesertaKemenkeu!$AY$6:$AY$1005="Direkomendasikan",ROW($6:$1005)-5),339))="",INDEX(checklistPesertaKemenkeu!$J$6:$J$1005,SMALL(IF(checklistPesertaKemenkeu!$AY$6:$AY$1005="Direkomendasikan",ROW($6:$1005)-5),339))=""),"",IF(AND(COUNTIF(INDIRECT("K_"&amp;MATCH(INDEX(checklistPesertaKemenkeu!$J$6:$J$1005,SMALL(IF(checklistPesertaKemenkeu!$AY$6:$AY$1005="Direkomendasikan",ROW($6:$1005)-5),339)),BidangList,0)),INDEX(checklistPesertaKemenkeu!$M$6:$M$1005,SMALL(IF(checklistPesertaKemenkeu!$AY$6:$AY$1005="Direkomendasikan",ROW($6:$1005)-5),339)))&gt;0,COUNTIF(INDIRECT("'KERTAS KERJA'!K"&amp;(SMALL(IF(checklistPesertaKemenkeu!$AY$6:$AY$1005="Direkomendasikan",ROW($6:$1005)-5),339)+5)&amp;":O"&amp;(SMALL(IF(checklistPesertaKemenkeu!$AY$6:$AY$1005="Direkomendasikan",ROW($6:$1005)-5),339)+5)),INDEX(checklistPesertaKemenkeu!$M$6:$M$1005,SMALL(IF(checklistPesertaKemenkeu!$AY$6:$AY$1005="Direkomendasikan",ROW($6:$1005)-5),339)))=1),IFERROR(VLOOKUP(INDEX(checklistPesertaKemenkeu!$M$6:$M$1005,SMALL(IF(checklistPesertaKemenkeu!$AY$6:$AY$1005="Direkomendasikan",ROW($6:$1005)-5),339)),KotaKode,2,0),"-"),"")),"")</f>
        <v/>
      </c>
      <c r="J340" t="str">
        <f t="array" aca="1" ref="J340" ca="1">IFERROR(IF(OR(INDEX(checklistPesertaKemenkeu!$N$6:$N$1005,SMALL(IF(checklistPesertaKemenkeu!$AY$6:$AY$1005="Direkomendasikan",ROW($6:$1005)-5),339))="",INDEX(checklistPesertaKemenkeu!$J$6:$J$1005,SMALL(IF(checklistPesertaKemenkeu!$AY$6:$AY$1005="Direkomendasikan",ROW($6:$1005)-5),339))=""),"",IF(AND(COUNTIF(INDIRECT("K_"&amp;MATCH(INDEX(checklistPesertaKemenkeu!$J$6:$J$1005,SMALL(IF(checklistPesertaKemenkeu!$AY$6:$AY$1005="Direkomendasikan",ROW($6:$1005)-5),339)),BidangList,0)),INDEX(checklistPesertaKemenkeu!$N$6:$N$1005,SMALL(IF(checklistPesertaKemenkeu!$AY$6:$AY$1005="Direkomendasikan",ROW($6:$1005)-5),339)))&gt;0,COUNTIF(INDIRECT("'KERTAS KERJA'!K"&amp;(SMALL(IF(checklistPesertaKemenkeu!$AY$6:$AY$1005="Direkomendasikan",ROW($6:$1005)-5),339)+5)&amp;":O"&amp;(SMALL(IF(checklistPesertaKemenkeu!$AY$6:$AY$1005="Direkomendasikan",ROW($6:$1005)-5),339)+5)),INDEX(checklistPesertaKemenkeu!$N$6:$N$1005,SMALL(IF(checklistPesertaKemenkeu!$AY$6:$AY$1005="Direkomendasikan",ROW($6:$1005)-5),339)))=1),IFERROR(VLOOKUP(INDEX(checklistPesertaKemenkeu!$N$6:$N$1005,SMALL(IF(checklistPesertaKemenkeu!$AY$6:$AY$1005="Direkomendasikan",ROW($6:$1005)-5),339)),KotaKode,2,0),"-"),"")),"")</f>
        <v/>
      </c>
      <c r="K340" t="str">
        <f t="array" aca="1" ref="K340" ca="1">IFERROR(IF(OR(INDEX(checklistPesertaKemenkeu!$O$6:$O$1005,SMALL(IF(checklistPesertaKemenkeu!$AY$6:$AY$1005="Direkomendasikan",ROW($6:$1005)-5),339))="",INDEX(checklistPesertaKemenkeu!$J$6:$J$1005,SMALL(IF(checklistPesertaKemenkeu!$AY$6:$AY$1005="Direkomendasikan",ROW($6:$1005)-5),339))=""),"",IF(AND(COUNTIF(INDIRECT("K_"&amp;MATCH(INDEX(checklistPesertaKemenkeu!$J$6:$J$1005,SMALL(IF(checklistPesertaKemenkeu!$AY$6:$AY$1005="Direkomendasikan",ROW($6:$1005)-5),339)),BidangList,0)),INDEX(checklistPesertaKemenkeu!$O$6:$O$1005,SMALL(IF(checklistPesertaKemenkeu!$AY$6:$AY$1005="Direkomendasikan",ROW($6:$1005)-5),339)))&gt;0,COUNTIF(INDIRECT("'KERTAS KERJA'!K"&amp;(SMALL(IF(checklistPesertaKemenkeu!$AY$6:$AY$1005="Direkomendasikan",ROW($6:$1005)-5),339)+5)&amp;":O"&amp;(SMALL(IF(checklistPesertaKemenkeu!$AY$6:$AY$1005="Direkomendasikan",ROW($6:$1005)-5),339)+5)),INDEX(checklistPesertaKemenkeu!$O$6:$O$1005,SMALL(IF(checklistPesertaKemenkeu!$AY$6:$AY$1005="Direkomendasikan",ROW($6:$1005)-5),339)))=1),IFERROR(VLOOKUP(INDEX(checklistPesertaKemenkeu!$O$6:$O$1005,SMALL(IF(checklistPesertaKemenkeu!$AY$6:$AY$1005="Direkomendasikan",ROW($6:$1005)-5),339)),KotaKode,2,0),"-"),"")),"")</f>
        <v/>
      </c>
      <c r="L340" t="str">
        <f t="array" aca="1" ref="L340" ca="1">IFERROR(IF(OR(INDEX(checklistPesertaKemenkeu!$P$6:$P$1005,SMALL(IF(checklistPesertaKemenkeu!$AY$6:$AY$1005="Direkomendasikan",ROW($6:$1005)-5),339))="",INDEX(checklistPesertaKemenkeu!$J$6:$J$1005,SMALL(IF(checklistPesertaKemenkeu!$AY$6:$AY$1005="Direkomendasikan",ROW($6:$1005)-5),339))=""),"",IF(AND(COUNTIF(INDIRECT("K_"&amp;MATCH(INDEX(checklistPesertaKemenkeu!$J$6:$J$1005,SMALL(IF(checklistPesertaKemenkeu!$AY$6:$AY$1005="Direkomendasikan",ROW($6:$1005)-5),339)),BidangList,0)),INDEX(checklistPesertaKemenkeu!$P$6:$P$1005,SMALL(IF(checklistPesertaKemenkeu!$AY$6:$AY$1005="Direkomendasikan",ROW($6:$1005)-5),339)))&gt;0,COUNTIF(INDIRECT("'KERTAS KERJA'!K"&amp;(SMALL(IF(checklistPesertaKemenkeu!$AY$6:$AY$1005="Direkomendasikan",ROW($6:$1005)-5),339)+5)&amp;":O"&amp;(SMALL(IF(checklistPesertaKemenkeu!$AY$6:$AY$1005="Direkomendasikan",ROW($6:$1005)-5),339)+5)),INDEX(checklistPesertaKemenkeu!$P$6:$P$1005,SMALL(IF(checklistPesertaKemenkeu!$AY$6:$AY$1005="Direkomendasikan",ROW($6:$1005)-5),339)))=1),IFERROR(VLOOKUP(INDEX(checklistPesertaKemenkeu!$P$6:$P$1005,SMALL(IF(checklistPesertaKemenkeu!$AY$6:$AY$1005="Direkomendasikan",ROW($6:$1005)-5),339)),KotaKode,2,0),"-"),"")),"")</f>
        <v/>
      </c>
    </row>
    <row r="341" spans="1:12" ht="15" customHeight="1" x14ac:dyDescent="0.2">
      <c r="A341" t="str">
        <f t="shared" si="5"/>
        <v/>
      </c>
      <c r="B341" t="str">
        <v/>
      </c>
      <c r="C341" s="40" t="str">
        <f t="array" ref="C341">IFERROR(INDEX(checklistPesertaKemenkeu!$F$6:$F$1005,SMALL(IF(checklistPesertaKemenkeu!$AY$6:$AY$1005="Direkomendasikan",ROW($6:$1005)-5),340)),"")</f>
        <v/>
      </c>
      <c r="D341" t="str">
        <f t="array" ref="D341">IFERROR(INDEX(checklistPesertaKemenkeu!$G$6:$G$1005,SMALL(IF(checklistPesertaKemenkeu!$AY$6:$AY$1005="Direkomendasikan",ROW($6:$1005)-5),340)),"")</f>
        <v/>
      </c>
      <c r="E341" t="str">
        <f t="array" ref="E341">IFERROR(INDEX(checklistPesertaKemenkeu!$H$6:$H$1005,SMALL(IF(checklistPesertaKemenkeu!$AY$6:$AY$1005="Direkomendasikan",ROW($6:$1005)-5),340)),"")</f>
        <v/>
      </c>
      <c r="F341" t="str">
        <f t="array" ref="F341">IFERROR(INDEX(checklistPesertaKemenkeu!$I$6:$I$1005,SMALL(IF(checklistPesertaKemenkeu!$AY$6:$AY$1005="Direkomendasikan",ROW($6:$1005)-5),340)),"")</f>
        <v/>
      </c>
      <c r="G341" t="str">
        <f t="array" ref="G341">IFERROR(INDEX(checklistPesertaKemenkeu!$J$6:$J$1005,SMALL(IF(checklistPesertaKemenkeu!$AY$6:$AY$1005="Direkomendasikan",ROW($6:$1005)-5),340)),"")</f>
        <v/>
      </c>
      <c r="H341" t="str">
        <f t="array" aca="1" ref="H341" ca="1">IFERROR(IF(OR(INDEX(checklistPesertaKemenkeu!$L$6:$L$1005,SMALL(IF(checklistPesertaKemenkeu!$AY$6:$AY$1005="Direkomendasikan",ROW($6:$1005)-5),340))="",INDEX(checklistPesertaKemenkeu!$J$6:$J$1005,SMALL(IF(checklistPesertaKemenkeu!$AY$6:$AY$1005="Direkomendasikan",ROW($6:$1005)-5),340))=""),"",IF(AND(COUNTIF(INDIRECT("K_"&amp;MATCH(INDEX(checklistPesertaKemenkeu!$J$6:$J$1005,SMALL(IF(checklistPesertaKemenkeu!$AY$6:$AY$1005="Direkomendasikan",ROW($6:$1005)-5),340)),BidangList,0)),INDEX(checklistPesertaKemenkeu!$L$6:$L$1005,SMALL(IF(checklistPesertaKemenkeu!$AY$6:$AY$1005="Direkomendasikan",ROW($6:$1005)-5),340)))&gt;0,COUNTIF(INDIRECT("'KERTAS KERJA'!K"&amp;(SMALL(IF(checklistPesertaKemenkeu!$AY$6:$AY$1005="Direkomendasikan",ROW($6:$1005)-5),340)+5)&amp;":O"&amp;(SMALL(IF(checklistPesertaKemenkeu!$AY$6:$AY$1005="Direkomendasikan",ROW($6:$1005)-5),340)+5)),INDEX(checklistPesertaKemenkeu!$L$6:$L$1005,SMALL(IF(checklistPesertaKemenkeu!$AY$6:$AY$1005="Direkomendasikan",ROW($6:$1005)-5),340)))=1),IFERROR(VLOOKUP(INDEX(checklistPesertaKemenkeu!$L$6:$L$1005,SMALL(IF(checklistPesertaKemenkeu!$AY$6:$AY$1005="Direkomendasikan",ROW($6:$1005)-5),340)),KotaKode,2,0),"-"),"")),"")</f>
        <v/>
      </c>
      <c r="I341" t="str">
        <f t="array" aca="1" ref="I341" ca="1">IFERROR(IF(OR(INDEX(checklistPesertaKemenkeu!$M$6:$M$1005,SMALL(IF(checklistPesertaKemenkeu!$AY$6:$AY$1005="Direkomendasikan",ROW($6:$1005)-5),340))="",INDEX(checklistPesertaKemenkeu!$J$6:$J$1005,SMALL(IF(checklistPesertaKemenkeu!$AY$6:$AY$1005="Direkomendasikan",ROW($6:$1005)-5),340))=""),"",IF(AND(COUNTIF(INDIRECT("K_"&amp;MATCH(INDEX(checklistPesertaKemenkeu!$J$6:$J$1005,SMALL(IF(checklistPesertaKemenkeu!$AY$6:$AY$1005="Direkomendasikan",ROW($6:$1005)-5),340)),BidangList,0)),INDEX(checklistPesertaKemenkeu!$M$6:$M$1005,SMALL(IF(checklistPesertaKemenkeu!$AY$6:$AY$1005="Direkomendasikan",ROW($6:$1005)-5),340)))&gt;0,COUNTIF(INDIRECT("'KERTAS KERJA'!K"&amp;(SMALL(IF(checklistPesertaKemenkeu!$AY$6:$AY$1005="Direkomendasikan",ROW($6:$1005)-5),340)+5)&amp;":O"&amp;(SMALL(IF(checklistPesertaKemenkeu!$AY$6:$AY$1005="Direkomendasikan",ROW($6:$1005)-5),340)+5)),INDEX(checklistPesertaKemenkeu!$M$6:$M$1005,SMALL(IF(checklistPesertaKemenkeu!$AY$6:$AY$1005="Direkomendasikan",ROW($6:$1005)-5),340)))=1),IFERROR(VLOOKUP(INDEX(checklistPesertaKemenkeu!$M$6:$M$1005,SMALL(IF(checklistPesertaKemenkeu!$AY$6:$AY$1005="Direkomendasikan",ROW($6:$1005)-5),340)),KotaKode,2,0),"-"),"")),"")</f>
        <v/>
      </c>
      <c r="J341" t="str">
        <f t="array" aca="1" ref="J341" ca="1">IFERROR(IF(OR(INDEX(checklistPesertaKemenkeu!$N$6:$N$1005,SMALL(IF(checklistPesertaKemenkeu!$AY$6:$AY$1005="Direkomendasikan",ROW($6:$1005)-5),340))="",INDEX(checklistPesertaKemenkeu!$J$6:$J$1005,SMALL(IF(checklistPesertaKemenkeu!$AY$6:$AY$1005="Direkomendasikan",ROW($6:$1005)-5),340))=""),"",IF(AND(COUNTIF(INDIRECT("K_"&amp;MATCH(INDEX(checklistPesertaKemenkeu!$J$6:$J$1005,SMALL(IF(checklistPesertaKemenkeu!$AY$6:$AY$1005="Direkomendasikan",ROW($6:$1005)-5),340)),BidangList,0)),INDEX(checklistPesertaKemenkeu!$N$6:$N$1005,SMALL(IF(checklistPesertaKemenkeu!$AY$6:$AY$1005="Direkomendasikan",ROW($6:$1005)-5),340)))&gt;0,COUNTIF(INDIRECT("'KERTAS KERJA'!K"&amp;(SMALL(IF(checklistPesertaKemenkeu!$AY$6:$AY$1005="Direkomendasikan",ROW($6:$1005)-5),340)+5)&amp;":O"&amp;(SMALL(IF(checklistPesertaKemenkeu!$AY$6:$AY$1005="Direkomendasikan",ROW($6:$1005)-5),340)+5)),INDEX(checklistPesertaKemenkeu!$N$6:$N$1005,SMALL(IF(checklistPesertaKemenkeu!$AY$6:$AY$1005="Direkomendasikan",ROW($6:$1005)-5),340)))=1),IFERROR(VLOOKUP(INDEX(checklistPesertaKemenkeu!$N$6:$N$1005,SMALL(IF(checklistPesertaKemenkeu!$AY$6:$AY$1005="Direkomendasikan",ROW($6:$1005)-5),340)),KotaKode,2,0),"-"),"")),"")</f>
        <v/>
      </c>
      <c r="K341" t="str">
        <f t="array" aca="1" ref="K341" ca="1">IFERROR(IF(OR(INDEX(checklistPesertaKemenkeu!$O$6:$O$1005,SMALL(IF(checklistPesertaKemenkeu!$AY$6:$AY$1005="Direkomendasikan",ROW($6:$1005)-5),340))="",INDEX(checklistPesertaKemenkeu!$J$6:$J$1005,SMALL(IF(checklistPesertaKemenkeu!$AY$6:$AY$1005="Direkomendasikan",ROW($6:$1005)-5),340))=""),"",IF(AND(COUNTIF(INDIRECT("K_"&amp;MATCH(INDEX(checklistPesertaKemenkeu!$J$6:$J$1005,SMALL(IF(checklistPesertaKemenkeu!$AY$6:$AY$1005="Direkomendasikan",ROW($6:$1005)-5),340)),BidangList,0)),INDEX(checklistPesertaKemenkeu!$O$6:$O$1005,SMALL(IF(checklistPesertaKemenkeu!$AY$6:$AY$1005="Direkomendasikan",ROW($6:$1005)-5),340)))&gt;0,COUNTIF(INDIRECT("'KERTAS KERJA'!K"&amp;(SMALL(IF(checklistPesertaKemenkeu!$AY$6:$AY$1005="Direkomendasikan",ROW($6:$1005)-5),340)+5)&amp;":O"&amp;(SMALL(IF(checklistPesertaKemenkeu!$AY$6:$AY$1005="Direkomendasikan",ROW($6:$1005)-5),340)+5)),INDEX(checklistPesertaKemenkeu!$O$6:$O$1005,SMALL(IF(checklistPesertaKemenkeu!$AY$6:$AY$1005="Direkomendasikan",ROW($6:$1005)-5),340)))=1),IFERROR(VLOOKUP(INDEX(checklistPesertaKemenkeu!$O$6:$O$1005,SMALL(IF(checklistPesertaKemenkeu!$AY$6:$AY$1005="Direkomendasikan",ROW($6:$1005)-5),340)),KotaKode,2,0),"-"),"")),"")</f>
        <v/>
      </c>
      <c r="L341" t="str">
        <f t="array" aca="1" ref="L341" ca="1">IFERROR(IF(OR(INDEX(checklistPesertaKemenkeu!$P$6:$P$1005,SMALL(IF(checklistPesertaKemenkeu!$AY$6:$AY$1005="Direkomendasikan",ROW($6:$1005)-5),340))="",INDEX(checklistPesertaKemenkeu!$J$6:$J$1005,SMALL(IF(checklistPesertaKemenkeu!$AY$6:$AY$1005="Direkomendasikan",ROW($6:$1005)-5),340))=""),"",IF(AND(COUNTIF(INDIRECT("K_"&amp;MATCH(INDEX(checklistPesertaKemenkeu!$J$6:$J$1005,SMALL(IF(checklistPesertaKemenkeu!$AY$6:$AY$1005="Direkomendasikan",ROW($6:$1005)-5),340)),BidangList,0)),INDEX(checklistPesertaKemenkeu!$P$6:$P$1005,SMALL(IF(checklistPesertaKemenkeu!$AY$6:$AY$1005="Direkomendasikan",ROW($6:$1005)-5),340)))&gt;0,COUNTIF(INDIRECT("'KERTAS KERJA'!K"&amp;(SMALL(IF(checklistPesertaKemenkeu!$AY$6:$AY$1005="Direkomendasikan",ROW($6:$1005)-5),340)+5)&amp;":O"&amp;(SMALL(IF(checklistPesertaKemenkeu!$AY$6:$AY$1005="Direkomendasikan",ROW($6:$1005)-5),340)+5)),INDEX(checklistPesertaKemenkeu!$P$6:$P$1005,SMALL(IF(checklistPesertaKemenkeu!$AY$6:$AY$1005="Direkomendasikan",ROW($6:$1005)-5),340)))=1),IFERROR(VLOOKUP(INDEX(checklistPesertaKemenkeu!$P$6:$P$1005,SMALL(IF(checklistPesertaKemenkeu!$AY$6:$AY$1005="Direkomendasikan",ROW($6:$1005)-5),340)),KotaKode,2,0),"-"),"")),"")</f>
        <v/>
      </c>
    </row>
    <row r="342" spans="1:12" ht="15" customHeight="1" x14ac:dyDescent="0.2">
      <c r="A342" t="str">
        <f t="shared" si="5"/>
        <v/>
      </c>
      <c r="B342" t="str">
        <v/>
      </c>
      <c r="C342" s="40" t="str">
        <f t="array" ref="C342">IFERROR(INDEX(checklistPesertaKemenkeu!$F$6:$F$1005,SMALL(IF(checklistPesertaKemenkeu!$AY$6:$AY$1005="Direkomendasikan",ROW($6:$1005)-5),341)),"")</f>
        <v/>
      </c>
      <c r="D342" t="str">
        <f t="array" ref="D342">IFERROR(INDEX(checklistPesertaKemenkeu!$G$6:$G$1005,SMALL(IF(checklistPesertaKemenkeu!$AY$6:$AY$1005="Direkomendasikan",ROW($6:$1005)-5),341)),"")</f>
        <v/>
      </c>
      <c r="E342" t="str">
        <f t="array" ref="E342">IFERROR(INDEX(checklistPesertaKemenkeu!$H$6:$H$1005,SMALL(IF(checklistPesertaKemenkeu!$AY$6:$AY$1005="Direkomendasikan",ROW($6:$1005)-5),341)),"")</f>
        <v/>
      </c>
      <c r="F342" t="str">
        <f t="array" ref="F342">IFERROR(INDEX(checklistPesertaKemenkeu!$I$6:$I$1005,SMALL(IF(checklistPesertaKemenkeu!$AY$6:$AY$1005="Direkomendasikan",ROW($6:$1005)-5),341)),"")</f>
        <v/>
      </c>
      <c r="G342" t="str">
        <f t="array" ref="G342">IFERROR(INDEX(checklistPesertaKemenkeu!$J$6:$J$1005,SMALL(IF(checklistPesertaKemenkeu!$AY$6:$AY$1005="Direkomendasikan",ROW($6:$1005)-5),341)),"")</f>
        <v/>
      </c>
      <c r="H342" t="str">
        <f t="array" aca="1" ref="H342" ca="1">IFERROR(IF(OR(INDEX(checklistPesertaKemenkeu!$L$6:$L$1005,SMALL(IF(checklistPesertaKemenkeu!$AY$6:$AY$1005="Direkomendasikan",ROW($6:$1005)-5),341))="",INDEX(checklistPesertaKemenkeu!$J$6:$J$1005,SMALL(IF(checklistPesertaKemenkeu!$AY$6:$AY$1005="Direkomendasikan",ROW($6:$1005)-5),341))=""),"",IF(AND(COUNTIF(INDIRECT("K_"&amp;MATCH(INDEX(checklistPesertaKemenkeu!$J$6:$J$1005,SMALL(IF(checklistPesertaKemenkeu!$AY$6:$AY$1005="Direkomendasikan",ROW($6:$1005)-5),341)),BidangList,0)),INDEX(checklistPesertaKemenkeu!$L$6:$L$1005,SMALL(IF(checklistPesertaKemenkeu!$AY$6:$AY$1005="Direkomendasikan",ROW($6:$1005)-5),341)))&gt;0,COUNTIF(INDIRECT("'KERTAS KERJA'!K"&amp;(SMALL(IF(checklistPesertaKemenkeu!$AY$6:$AY$1005="Direkomendasikan",ROW($6:$1005)-5),341)+5)&amp;":O"&amp;(SMALL(IF(checklistPesertaKemenkeu!$AY$6:$AY$1005="Direkomendasikan",ROW($6:$1005)-5),341)+5)),INDEX(checklistPesertaKemenkeu!$L$6:$L$1005,SMALL(IF(checklistPesertaKemenkeu!$AY$6:$AY$1005="Direkomendasikan",ROW($6:$1005)-5),341)))=1),IFERROR(VLOOKUP(INDEX(checklistPesertaKemenkeu!$L$6:$L$1005,SMALL(IF(checklistPesertaKemenkeu!$AY$6:$AY$1005="Direkomendasikan",ROW($6:$1005)-5),341)),KotaKode,2,0),"-"),"")),"")</f>
        <v/>
      </c>
      <c r="I342" t="str">
        <f t="array" aca="1" ref="I342" ca="1">IFERROR(IF(OR(INDEX(checklistPesertaKemenkeu!$M$6:$M$1005,SMALL(IF(checklistPesertaKemenkeu!$AY$6:$AY$1005="Direkomendasikan",ROW($6:$1005)-5),341))="",INDEX(checklistPesertaKemenkeu!$J$6:$J$1005,SMALL(IF(checklistPesertaKemenkeu!$AY$6:$AY$1005="Direkomendasikan",ROW($6:$1005)-5),341))=""),"",IF(AND(COUNTIF(INDIRECT("K_"&amp;MATCH(INDEX(checklistPesertaKemenkeu!$J$6:$J$1005,SMALL(IF(checklistPesertaKemenkeu!$AY$6:$AY$1005="Direkomendasikan",ROW($6:$1005)-5),341)),BidangList,0)),INDEX(checklistPesertaKemenkeu!$M$6:$M$1005,SMALL(IF(checklistPesertaKemenkeu!$AY$6:$AY$1005="Direkomendasikan",ROW($6:$1005)-5),341)))&gt;0,COUNTIF(INDIRECT("'KERTAS KERJA'!K"&amp;(SMALL(IF(checklistPesertaKemenkeu!$AY$6:$AY$1005="Direkomendasikan",ROW($6:$1005)-5),341)+5)&amp;":O"&amp;(SMALL(IF(checklistPesertaKemenkeu!$AY$6:$AY$1005="Direkomendasikan",ROW($6:$1005)-5),341)+5)),INDEX(checklistPesertaKemenkeu!$M$6:$M$1005,SMALL(IF(checklistPesertaKemenkeu!$AY$6:$AY$1005="Direkomendasikan",ROW($6:$1005)-5),341)))=1),IFERROR(VLOOKUP(INDEX(checklistPesertaKemenkeu!$M$6:$M$1005,SMALL(IF(checklistPesertaKemenkeu!$AY$6:$AY$1005="Direkomendasikan",ROW($6:$1005)-5),341)),KotaKode,2,0),"-"),"")),"")</f>
        <v/>
      </c>
      <c r="J342" t="str">
        <f t="array" aca="1" ref="J342" ca="1">IFERROR(IF(OR(INDEX(checklistPesertaKemenkeu!$N$6:$N$1005,SMALL(IF(checklistPesertaKemenkeu!$AY$6:$AY$1005="Direkomendasikan",ROW($6:$1005)-5),341))="",INDEX(checklistPesertaKemenkeu!$J$6:$J$1005,SMALL(IF(checklistPesertaKemenkeu!$AY$6:$AY$1005="Direkomendasikan",ROW($6:$1005)-5),341))=""),"",IF(AND(COUNTIF(INDIRECT("K_"&amp;MATCH(INDEX(checklistPesertaKemenkeu!$J$6:$J$1005,SMALL(IF(checklistPesertaKemenkeu!$AY$6:$AY$1005="Direkomendasikan",ROW($6:$1005)-5),341)),BidangList,0)),INDEX(checklistPesertaKemenkeu!$N$6:$N$1005,SMALL(IF(checklistPesertaKemenkeu!$AY$6:$AY$1005="Direkomendasikan",ROW($6:$1005)-5),341)))&gt;0,COUNTIF(INDIRECT("'KERTAS KERJA'!K"&amp;(SMALL(IF(checklistPesertaKemenkeu!$AY$6:$AY$1005="Direkomendasikan",ROW($6:$1005)-5),341)+5)&amp;":O"&amp;(SMALL(IF(checklistPesertaKemenkeu!$AY$6:$AY$1005="Direkomendasikan",ROW($6:$1005)-5),341)+5)),INDEX(checklistPesertaKemenkeu!$N$6:$N$1005,SMALL(IF(checklistPesertaKemenkeu!$AY$6:$AY$1005="Direkomendasikan",ROW($6:$1005)-5),341)))=1),IFERROR(VLOOKUP(INDEX(checklistPesertaKemenkeu!$N$6:$N$1005,SMALL(IF(checklistPesertaKemenkeu!$AY$6:$AY$1005="Direkomendasikan",ROW($6:$1005)-5),341)),KotaKode,2,0),"-"),"")),"")</f>
        <v/>
      </c>
      <c r="K342" t="str">
        <f t="array" aca="1" ref="K342" ca="1">IFERROR(IF(OR(INDEX(checklistPesertaKemenkeu!$O$6:$O$1005,SMALL(IF(checklistPesertaKemenkeu!$AY$6:$AY$1005="Direkomendasikan",ROW($6:$1005)-5),341))="",INDEX(checklistPesertaKemenkeu!$J$6:$J$1005,SMALL(IF(checklistPesertaKemenkeu!$AY$6:$AY$1005="Direkomendasikan",ROW($6:$1005)-5),341))=""),"",IF(AND(COUNTIF(INDIRECT("K_"&amp;MATCH(INDEX(checklistPesertaKemenkeu!$J$6:$J$1005,SMALL(IF(checklistPesertaKemenkeu!$AY$6:$AY$1005="Direkomendasikan",ROW($6:$1005)-5),341)),BidangList,0)),INDEX(checklistPesertaKemenkeu!$O$6:$O$1005,SMALL(IF(checklistPesertaKemenkeu!$AY$6:$AY$1005="Direkomendasikan",ROW($6:$1005)-5),341)))&gt;0,COUNTIF(INDIRECT("'KERTAS KERJA'!K"&amp;(SMALL(IF(checklistPesertaKemenkeu!$AY$6:$AY$1005="Direkomendasikan",ROW($6:$1005)-5),341)+5)&amp;":O"&amp;(SMALL(IF(checklistPesertaKemenkeu!$AY$6:$AY$1005="Direkomendasikan",ROW($6:$1005)-5),341)+5)),INDEX(checklistPesertaKemenkeu!$O$6:$O$1005,SMALL(IF(checklistPesertaKemenkeu!$AY$6:$AY$1005="Direkomendasikan",ROW($6:$1005)-5),341)))=1),IFERROR(VLOOKUP(INDEX(checklistPesertaKemenkeu!$O$6:$O$1005,SMALL(IF(checklistPesertaKemenkeu!$AY$6:$AY$1005="Direkomendasikan",ROW($6:$1005)-5),341)),KotaKode,2,0),"-"),"")),"")</f>
        <v/>
      </c>
      <c r="L342" t="str">
        <f t="array" aca="1" ref="L342" ca="1">IFERROR(IF(OR(INDEX(checklistPesertaKemenkeu!$P$6:$P$1005,SMALL(IF(checklistPesertaKemenkeu!$AY$6:$AY$1005="Direkomendasikan",ROW($6:$1005)-5),341))="",INDEX(checklistPesertaKemenkeu!$J$6:$J$1005,SMALL(IF(checklistPesertaKemenkeu!$AY$6:$AY$1005="Direkomendasikan",ROW($6:$1005)-5),341))=""),"",IF(AND(COUNTIF(INDIRECT("K_"&amp;MATCH(INDEX(checklistPesertaKemenkeu!$J$6:$J$1005,SMALL(IF(checklistPesertaKemenkeu!$AY$6:$AY$1005="Direkomendasikan",ROW($6:$1005)-5),341)),BidangList,0)),INDEX(checklistPesertaKemenkeu!$P$6:$P$1005,SMALL(IF(checklistPesertaKemenkeu!$AY$6:$AY$1005="Direkomendasikan",ROW($6:$1005)-5),341)))&gt;0,COUNTIF(INDIRECT("'KERTAS KERJA'!K"&amp;(SMALL(IF(checklistPesertaKemenkeu!$AY$6:$AY$1005="Direkomendasikan",ROW($6:$1005)-5),341)+5)&amp;":O"&amp;(SMALL(IF(checklistPesertaKemenkeu!$AY$6:$AY$1005="Direkomendasikan",ROW($6:$1005)-5),341)+5)),INDEX(checklistPesertaKemenkeu!$P$6:$P$1005,SMALL(IF(checklistPesertaKemenkeu!$AY$6:$AY$1005="Direkomendasikan",ROW($6:$1005)-5),341)))=1),IFERROR(VLOOKUP(INDEX(checklistPesertaKemenkeu!$P$6:$P$1005,SMALL(IF(checklistPesertaKemenkeu!$AY$6:$AY$1005="Direkomendasikan",ROW($6:$1005)-5),341)),KotaKode,2,0),"-"),"")),"")</f>
        <v/>
      </c>
    </row>
    <row r="343" spans="1:12" ht="15" customHeight="1" x14ac:dyDescent="0.2">
      <c r="A343" t="str">
        <f t="shared" si="5"/>
        <v/>
      </c>
      <c r="B343" t="str">
        <v/>
      </c>
      <c r="C343" s="40" t="str">
        <f t="array" ref="C343">IFERROR(INDEX(checklistPesertaKemenkeu!$F$6:$F$1005,SMALL(IF(checklistPesertaKemenkeu!$AY$6:$AY$1005="Direkomendasikan",ROW($6:$1005)-5),342)),"")</f>
        <v/>
      </c>
      <c r="D343" t="str">
        <f t="array" ref="D343">IFERROR(INDEX(checklistPesertaKemenkeu!$G$6:$G$1005,SMALL(IF(checklistPesertaKemenkeu!$AY$6:$AY$1005="Direkomendasikan",ROW($6:$1005)-5),342)),"")</f>
        <v/>
      </c>
      <c r="E343" t="str">
        <f t="array" ref="E343">IFERROR(INDEX(checklistPesertaKemenkeu!$H$6:$H$1005,SMALL(IF(checklistPesertaKemenkeu!$AY$6:$AY$1005="Direkomendasikan",ROW($6:$1005)-5),342)),"")</f>
        <v/>
      </c>
      <c r="F343" t="str">
        <f t="array" ref="F343">IFERROR(INDEX(checklistPesertaKemenkeu!$I$6:$I$1005,SMALL(IF(checklistPesertaKemenkeu!$AY$6:$AY$1005="Direkomendasikan",ROW($6:$1005)-5),342)),"")</f>
        <v/>
      </c>
      <c r="G343" t="str">
        <f t="array" ref="G343">IFERROR(INDEX(checklistPesertaKemenkeu!$J$6:$J$1005,SMALL(IF(checklistPesertaKemenkeu!$AY$6:$AY$1005="Direkomendasikan",ROW($6:$1005)-5),342)),"")</f>
        <v/>
      </c>
      <c r="H343" t="str">
        <f t="array" aca="1" ref="H343" ca="1">IFERROR(IF(OR(INDEX(checklistPesertaKemenkeu!$L$6:$L$1005,SMALL(IF(checklistPesertaKemenkeu!$AY$6:$AY$1005="Direkomendasikan",ROW($6:$1005)-5),342))="",INDEX(checklistPesertaKemenkeu!$J$6:$J$1005,SMALL(IF(checklistPesertaKemenkeu!$AY$6:$AY$1005="Direkomendasikan",ROW($6:$1005)-5),342))=""),"",IF(AND(COUNTIF(INDIRECT("K_"&amp;MATCH(INDEX(checklistPesertaKemenkeu!$J$6:$J$1005,SMALL(IF(checklistPesertaKemenkeu!$AY$6:$AY$1005="Direkomendasikan",ROW($6:$1005)-5),342)),BidangList,0)),INDEX(checklistPesertaKemenkeu!$L$6:$L$1005,SMALL(IF(checklistPesertaKemenkeu!$AY$6:$AY$1005="Direkomendasikan",ROW($6:$1005)-5),342)))&gt;0,COUNTIF(INDIRECT("'KERTAS KERJA'!K"&amp;(SMALL(IF(checklistPesertaKemenkeu!$AY$6:$AY$1005="Direkomendasikan",ROW($6:$1005)-5),342)+5)&amp;":O"&amp;(SMALL(IF(checklistPesertaKemenkeu!$AY$6:$AY$1005="Direkomendasikan",ROW($6:$1005)-5),342)+5)),INDEX(checklistPesertaKemenkeu!$L$6:$L$1005,SMALL(IF(checklistPesertaKemenkeu!$AY$6:$AY$1005="Direkomendasikan",ROW($6:$1005)-5),342)))=1),IFERROR(VLOOKUP(INDEX(checklistPesertaKemenkeu!$L$6:$L$1005,SMALL(IF(checklistPesertaKemenkeu!$AY$6:$AY$1005="Direkomendasikan",ROW($6:$1005)-5),342)),KotaKode,2,0),"-"),"")),"")</f>
        <v/>
      </c>
      <c r="I343" t="str">
        <f t="array" aca="1" ref="I343" ca="1">IFERROR(IF(OR(INDEX(checklistPesertaKemenkeu!$M$6:$M$1005,SMALL(IF(checklistPesertaKemenkeu!$AY$6:$AY$1005="Direkomendasikan",ROW($6:$1005)-5),342))="",INDEX(checklistPesertaKemenkeu!$J$6:$J$1005,SMALL(IF(checklistPesertaKemenkeu!$AY$6:$AY$1005="Direkomendasikan",ROW($6:$1005)-5),342))=""),"",IF(AND(COUNTIF(INDIRECT("K_"&amp;MATCH(INDEX(checklistPesertaKemenkeu!$J$6:$J$1005,SMALL(IF(checklistPesertaKemenkeu!$AY$6:$AY$1005="Direkomendasikan",ROW($6:$1005)-5),342)),BidangList,0)),INDEX(checklistPesertaKemenkeu!$M$6:$M$1005,SMALL(IF(checklistPesertaKemenkeu!$AY$6:$AY$1005="Direkomendasikan",ROW($6:$1005)-5),342)))&gt;0,COUNTIF(INDIRECT("'KERTAS KERJA'!K"&amp;(SMALL(IF(checklistPesertaKemenkeu!$AY$6:$AY$1005="Direkomendasikan",ROW($6:$1005)-5),342)+5)&amp;":O"&amp;(SMALL(IF(checklistPesertaKemenkeu!$AY$6:$AY$1005="Direkomendasikan",ROW($6:$1005)-5),342)+5)),INDEX(checklistPesertaKemenkeu!$M$6:$M$1005,SMALL(IF(checklistPesertaKemenkeu!$AY$6:$AY$1005="Direkomendasikan",ROW($6:$1005)-5),342)))=1),IFERROR(VLOOKUP(INDEX(checklistPesertaKemenkeu!$M$6:$M$1005,SMALL(IF(checklistPesertaKemenkeu!$AY$6:$AY$1005="Direkomendasikan",ROW($6:$1005)-5),342)),KotaKode,2,0),"-"),"")),"")</f>
        <v/>
      </c>
      <c r="J343" t="str">
        <f t="array" aca="1" ref="J343" ca="1">IFERROR(IF(OR(INDEX(checklistPesertaKemenkeu!$N$6:$N$1005,SMALL(IF(checklistPesertaKemenkeu!$AY$6:$AY$1005="Direkomendasikan",ROW($6:$1005)-5),342))="",INDEX(checklistPesertaKemenkeu!$J$6:$J$1005,SMALL(IF(checklistPesertaKemenkeu!$AY$6:$AY$1005="Direkomendasikan",ROW($6:$1005)-5),342))=""),"",IF(AND(COUNTIF(INDIRECT("K_"&amp;MATCH(INDEX(checklistPesertaKemenkeu!$J$6:$J$1005,SMALL(IF(checklistPesertaKemenkeu!$AY$6:$AY$1005="Direkomendasikan",ROW($6:$1005)-5),342)),BidangList,0)),INDEX(checklistPesertaKemenkeu!$N$6:$N$1005,SMALL(IF(checklistPesertaKemenkeu!$AY$6:$AY$1005="Direkomendasikan",ROW($6:$1005)-5),342)))&gt;0,COUNTIF(INDIRECT("'KERTAS KERJA'!K"&amp;(SMALL(IF(checklistPesertaKemenkeu!$AY$6:$AY$1005="Direkomendasikan",ROW($6:$1005)-5),342)+5)&amp;":O"&amp;(SMALL(IF(checklistPesertaKemenkeu!$AY$6:$AY$1005="Direkomendasikan",ROW($6:$1005)-5),342)+5)),INDEX(checklistPesertaKemenkeu!$N$6:$N$1005,SMALL(IF(checklistPesertaKemenkeu!$AY$6:$AY$1005="Direkomendasikan",ROW($6:$1005)-5),342)))=1),IFERROR(VLOOKUP(INDEX(checklistPesertaKemenkeu!$N$6:$N$1005,SMALL(IF(checklistPesertaKemenkeu!$AY$6:$AY$1005="Direkomendasikan",ROW($6:$1005)-5),342)),KotaKode,2,0),"-"),"")),"")</f>
        <v/>
      </c>
      <c r="K343" t="str">
        <f t="array" aca="1" ref="K343" ca="1">IFERROR(IF(OR(INDEX(checklistPesertaKemenkeu!$O$6:$O$1005,SMALL(IF(checklistPesertaKemenkeu!$AY$6:$AY$1005="Direkomendasikan",ROW($6:$1005)-5),342))="",INDEX(checklistPesertaKemenkeu!$J$6:$J$1005,SMALL(IF(checklistPesertaKemenkeu!$AY$6:$AY$1005="Direkomendasikan",ROW($6:$1005)-5),342))=""),"",IF(AND(COUNTIF(INDIRECT("K_"&amp;MATCH(INDEX(checklistPesertaKemenkeu!$J$6:$J$1005,SMALL(IF(checklistPesertaKemenkeu!$AY$6:$AY$1005="Direkomendasikan",ROW($6:$1005)-5),342)),BidangList,0)),INDEX(checklistPesertaKemenkeu!$O$6:$O$1005,SMALL(IF(checklistPesertaKemenkeu!$AY$6:$AY$1005="Direkomendasikan",ROW($6:$1005)-5),342)))&gt;0,COUNTIF(INDIRECT("'KERTAS KERJA'!K"&amp;(SMALL(IF(checklistPesertaKemenkeu!$AY$6:$AY$1005="Direkomendasikan",ROW($6:$1005)-5),342)+5)&amp;":O"&amp;(SMALL(IF(checklistPesertaKemenkeu!$AY$6:$AY$1005="Direkomendasikan",ROW($6:$1005)-5),342)+5)),INDEX(checklistPesertaKemenkeu!$O$6:$O$1005,SMALL(IF(checklistPesertaKemenkeu!$AY$6:$AY$1005="Direkomendasikan",ROW($6:$1005)-5),342)))=1),IFERROR(VLOOKUP(INDEX(checklistPesertaKemenkeu!$O$6:$O$1005,SMALL(IF(checklistPesertaKemenkeu!$AY$6:$AY$1005="Direkomendasikan",ROW($6:$1005)-5),342)),KotaKode,2,0),"-"),"")),"")</f>
        <v/>
      </c>
      <c r="L343" t="str">
        <f t="array" aca="1" ref="L343" ca="1">IFERROR(IF(OR(INDEX(checklistPesertaKemenkeu!$P$6:$P$1005,SMALL(IF(checklistPesertaKemenkeu!$AY$6:$AY$1005="Direkomendasikan",ROW($6:$1005)-5),342))="",INDEX(checklistPesertaKemenkeu!$J$6:$J$1005,SMALL(IF(checklistPesertaKemenkeu!$AY$6:$AY$1005="Direkomendasikan",ROW($6:$1005)-5),342))=""),"",IF(AND(COUNTIF(INDIRECT("K_"&amp;MATCH(INDEX(checklistPesertaKemenkeu!$J$6:$J$1005,SMALL(IF(checklistPesertaKemenkeu!$AY$6:$AY$1005="Direkomendasikan",ROW($6:$1005)-5),342)),BidangList,0)),INDEX(checklistPesertaKemenkeu!$P$6:$P$1005,SMALL(IF(checklistPesertaKemenkeu!$AY$6:$AY$1005="Direkomendasikan",ROW($6:$1005)-5),342)))&gt;0,COUNTIF(INDIRECT("'KERTAS KERJA'!K"&amp;(SMALL(IF(checklistPesertaKemenkeu!$AY$6:$AY$1005="Direkomendasikan",ROW($6:$1005)-5),342)+5)&amp;":O"&amp;(SMALL(IF(checklistPesertaKemenkeu!$AY$6:$AY$1005="Direkomendasikan",ROW($6:$1005)-5),342)+5)),INDEX(checklistPesertaKemenkeu!$P$6:$P$1005,SMALL(IF(checklistPesertaKemenkeu!$AY$6:$AY$1005="Direkomendasikan",ROW($6:$1005)-5),342)))=1),IFERROR(VLOOKUP(INDEX(checklistPesertaKemenkeu!$P$6:$P$1005,SMALL(IF(checklistPesertaKemenkeu!$AY$6:$AY$1005="Direkomendasikan",ROW($6:$1005)-5),342)),KotaKode,2,0),"-"),"")),"")</f>
        <v/>
      </c>
    </row>
    <row r="344" spans="1:12" ht="15" customHeight="1" x14ac:dyDescent="0.2">
      <c r="A344" t="str">
        <f t="shared" si="5"/>
        <v/>
      </c>
      <c r="B344" t="str">
        <v/>
      </c>
      <c r="C344" s="40" t="str">
        <f t="array" ref="C344">IFERROR(INDEX(checklistPesertaKemenkeu!$F$6:$F$1005,SMALL(IF(checklistPesertaKemenkeu!$AY$6:$AY$1005="Direkomendasikan",ROW($6:$1005)-5),343)),"")</f>
        <v/>
      </c>
      <c r="D344" t="str">
        <f t="array" ref="D344">IFERROR(INDEX(checklistPesertaKemenkeu!$G$6:$G$1005,SMALL(IF(checklistPesertaKemenkeu!$AY$6:$AY$1005="Direkomendasikan",ROW($6:$1005)-5),343)),"")</f>
        <v/>
      </c>
      <c r="E344" t="str">
        <f t="array" ref="E344">IFERROR(INDEX(checklistPesertaKemenkeu!$H$6:$H$1005,SMALL(IF(checklistPesertaKemenkeu!$AY$6:$AY$1005="Direkomendasikan",ROW($6:$1005)-5),343)),"")</f>
        <v/>
      </c>
      <c r="F344" t="str">
        <f t="array" ref="F344">IFERROR(INDEX(checklistPesertaKemenkeu!$I$6:$I$1005,SMALL(IF(checklistPesertaKemenkeu!$AY$6:$AY$1005="Direkomendasikan",ROW($6:$1005)-5),343)),"")</f>
        <v/>
      </c>
      <c r="G344" t="str">
        <f t="array" ref="G344">IFERROR(INDEX(checklistPesertaKemenkeu!$J$6:$J$1005,SMALL(IF(checklistPesertaKemenkeu!$AY$6:$AY$1005="Direkomendasikan",ROW($6:$1005)-5),343)),"")</f>
        <v/>
      </c>
      <c r="H344" t="str">
        <f t="array" aca="1" ref="H344" ca="1">IFERROR(IF(OR(INDEX(checklistPesertaKemenkeu!$L$6:$L$1005,SMALL(IF(checklistPesertaKemenkeu!$AY$6:$AY$1005="Direkomendasikan",ROW($6:$1005)-5),343))="",INDEX(checklistPesertaKemenkeu!$J$6:$J$1005,SMALL(IF(checklistPesertaKemenkeu!$AY$6:$AY$1005="Direkomendasikan",ROW($6:$1005)-5),343))=""),"",IF(AND(COUNTIF(INDIRECT("K_"&amp;MATCH(INDEX(checklistPesertaKemenkeu!$J$6:$J$1005,SMALL(IF(checklistPesertaKemenkeu!$AY$6:$AY$1005="Direkomendasikan",ROW($6:$1005)-5),343)),BidangList,0)),INDEX(checklistPesertaKemenkeu!$L$6:$L$1005,SMALL(IF(checklistPesertaKemenkeu!$AY$6:$AY$1005="Direkomendasikan",ROW($6:$1005)-5),343)))&gt;0,COUNTIF(INDIRECT("'KERTAS KERJA'!K"&amp;(SMALL(IF(checklistPesertaKemenkeu!$AY$6:$AY$1005="Direkomendasikan",ROW($6:$1005)-5),343)+5)&amp;":O"&amp;(SMALL(IF(checklistPesertaKemenkeu!$AY$6:$AY$1005="Direkomendasikan",ROW($6:$1005)-5),343)+5)),INDEX(checklistPesertaKemenkeu!$L$6:$L$1005,SMALL(IF(checklistPesertaKemenkeu!$AY$6:$AY$1005="Direkomendasikan",ROW($6:$1005)-5),343)))=1),IFERROR(VLOOKUP(INDEX(checklistPesertaKemenkeu!$L$6:$L$1005,SMALL(IF(checklistPesertaKemenkeu!$AY$6:$AY$1005="Direkomendasikan",ROW($6:$1005)-5),343)),KotaKode,2,0),"-"),"")),"")</f>
        <v/>
      </c>
      <c r="I344" t="str">
        <f t="array" aca="1" ref="I344" ca="1">IFERROR(IF(OR(INDEX(checklistPesertaKemenkeu!$M$6:$M$1005,SMALL(IF(checklistPesertaKemenkeu!$AY$6:$AY$1005="Direkomendasikan",ROW($6:$1005)-5),343))="",INDEX(checklistPesertaKemenkeu!$J$6:$J$1005,SMALL(IF(checklistPesertaKemenkeu!$AY$6:$AY$1005="Direkomendasikan",ROW($6:$1005)-5),343))=""),"",IF(AND(COUNTIF(INDIRECT("K_"&amp;MATCH(INDEX(checklistPesertaKemenkeu!$J$6:$J$1005,SMALL(IF(checklistPesertaKemenkeu!$AY$6:$AY$1005="Direkomendasikan",ROW($6:$1005)-5),343)),BidangList,0)),INDEX(checklistPesertaKemenkeu!$M$6:$M$1005,SMALL(IF(checklistPesertaKemenkeu!$AY$6:$AY$1005="Direkomendasikan",ROW($6:$1005)-5),343)))&gt;0,COUNTIF(INDIRECT("'KERTAS KERJA'!K"&amp;(SMALL(IF(checklistPesertaKemenkeu!$AY$6:$AY$1005="Direkomendasikan",ROW($6:$1005)-5),343)+5)&amp;":O"&amp;(SMALL(IF(checklistPesertaKemenkeu!$AY$6:$AY$1005="Direkomendasikan",ROW($6:$1005)-5),343)+5)),INDEX(checklistPesertaKemenkeu!$M$6:$M$1005,SMALL(IF(checklistPesertaKemenkeu!$AY$6:$AY$1005="Direkomendasikan",ROW($6:$1005)-5),343)))=1),IFERROR(VLOOKUP(INDEX(checklistPesertaKemenkeu!$M$6:$M$1005,SMALL(IF(checklistPesertaKemenkeu!$AY$6:$AY$1005="Direkomendasikan",ROW($6:$1005)-5),343)),KotaKode,2,0),"-"),"")),"")</f>
        <v/>
      </c>
      <c r="J344" t="str">
        <f t="array" aca="1" ref="J344" ca="1">IFERROR(IF(OR(INDEX(checklistPesertaKemenkeu!$N$6:$N$1005,SMALL(IF(checklistPesertaKemenkeu!$AY$6:$AY$1005="Direkomendasikan",ROW($6:$1005)-5),343))="",INDEX(checklistPesertaKemenkeu!$J$6:$J$1005,SMALL(IF(checklistPesertaKemenkeu!$AY$6:$AY$1005="Direkomendasikan",ROW($6:$1005)-5),343))=""),"",IF(AND(COUNTIF(INDIRECT("K_"&amp;MATCH(INDEX(checklistPesertaKemenkeu!$J$6:$J$1005,SMALL(IF(checklistPesertaKemenkeu!$AY$6:$AY$1005="Direkomendasikan",ROW($6:$1005)-5),343)),BidangList,0)),INDEX(checklistPesertaKemenkeu!$N$6:$N$1005,SMALL(IF(checklistPesertaKemenkeu!$AY$6:$AY$1005="Direkomendasikan",ROW($6:$1005)-5),343)))&gt;0,COUNTIF(INDIRECT("'KERTAS KERJA'!K"&amp;(SMALL(IF(checklistPesertaKemenkeu!$AY$6:$AY$1005="Direkomendasikan",ROW($6:$1005)-5),343)+5)&amp;":O"&amp;(SMALL(IF(checklistPesertaKemenkeu!$AY$6:$AY$1005="Direkomendasikan",ROW($6:$1005)-5),343)+5)),INDEX(checklistPesertaKemenkeu!$N$6:$N$1005,SMALL(IF(checklistPesertaKemenkeu!$AY$6:$AY$1005="Direkomendasikan",ROW($6:$1005)-5),343)))=1),IFERROR(VLOOKUP(INDEX(checklistPesertaKemenkeu!$N$6:$N$1005,SMALL(IF(checklistPesertaKemenkeu!$AY$6:$AY$1005="Direkomendasikan",ROW($6:$1005)-5),343)),KotaKode,2,0),"-"),"")),"")</f>
        <v/>
      </c>
      <c r="K344" t="str">
        <f t="array" aca="1" ref="K344" ca="1">IFERROR(IF(OR(INDEX(checklistPesertaKemenkeu!$O$6:$O$1005,SMALL(IF(checklistPesertaKemenkeu!$AY$6:$AY$1005="Direkomendasikan",ROW($6:$1005)-5),343))="",INDEX(checklistPesertaKemenkeu!$J$6:$J$1005,SMALL(IF(checklistPesertaKemenkeu!$AY$6:$AY$1005="Direkomendasikan",ROW($6:$1005)-5),343))=""),"",IF(AND(COUNTIF(INDIRECT("K_"&amp;MATCH(INDEX(checklistPesertaKemenkeu!$J$6:$J$1005,SMALL(IF(checklistPesertaKemenkeu!$AY$6:$AY$1005="Direkomendasikan",ROW($6:$1005)-5),343)),BidangList,0)),INDEX(checklistPesertaKemenkeu!$O$6:$O$1005,SMALL(IF(checklistPesertaKemenkeu!$AY$6:$AY$1005="Direkomendasikan",ROW($6:$1005)-5),343)))&gt;0,COUNTIF(INDIRECT("'KERTAS KERJA'!K"&amp;(SMALL(IF(checklistPesertaKemenkeu!$AY$6:$AY$1005="Direkomendasikan",ROW($6:$1005)-5),343)+5)&amp;":O"&amp;(SMALL(IF(checklistPesertaKemenkeu!$AY$6:$AY$1005="Direkomendasikan",ROW($6:$1005)-5),343)+5)),INDEX(checklistPesertaKemenkeu!$O$6:$O$1005,SMALL(IF(checklistPesertaKemenkeu!$AY$6:$AY$1005="Direkomendasikan",ROW($6:$1005)-5),343)))=1),IFERROR(VLOOKUP(INDEX(checklistPesertaKemenkeu!$O$6:$O$1005,SMALL(IF(checklistPesertaKemenkeu!$AY$6:$AY$1005="Direkomendasikan",ROW($6:$1005)-5),343)),KotaKode,2,0),"-"),"")),"")</f>
        <v/>
      </c>
      <c r="L344" t="str">
        <f t="array" aca="1" ref="L344" ca="1">IFERROR(IF(OR(INDEX(checklistPesertaKemenkeu!$P$6:$P$1005,SMALL(IF(checklistPesertaKemenkeu!$AY$6:$AY$1005="Direkomendasikan",ROW($6:$1005)-5),343))="",INDEX(checklistPesertaKemenkeu!$J$6:$J$1005,SMALL(IF(checklistPesertaKemenkeu!$AY$6:$AY$1005="Direkomendasikan",ROW($6:$1005)-5),343))=""),"",IF(AND(COUNTIF(INDIRECT("K_"&amp;MATCH(INDEX(checklistPesertaKemenkeu!$J$6:$J$1005,SMALL(IF(checklistPesertaKemenkeu!$AY$6:$AY$1005="Direkomendasikan",ROW($6:$1005)-5),343)),BidangList,0)),INDEX(checklistPesertaKemenkeu!$P$6:$P$1005,SMALL(IF(checklistPesertaKemenkeu!$AY$6:$AY$1005="Direkomendasikan",ROW($6:$1005)-5),343)))&gt;0,COUNTIF(INDIRECT("'KERTAS KERJA'!K"&amp;(SMALL(IF(checklistPesertaKemenkeu!$AY$6:$AY$1005="Direkomendasikan",ROW($6:$1005)-5),343)+5)&amp;":O"&amp;(SMALL(IF(checklistPesertaKemenkeu!$AY$6:$AY$1005="Direkomendasikan",ROW($6:$1005)-5),343)+5)),INDEX(checklistPesertaKemenkeu!$P$6:$P$1005,SMALL(IF(checklistPesertaKemenkeu!$AY$6:$AY$1005="Direkomendasikan",ROW($6:$1005)-5),343)))=1),IFERROR(VLOOKUP(INDEX(checklistPesertaKemenkeu!$P$6:$P$1005,SMALL(IF(checklistPesertaKemenkeu!$AY$6:$AY$1005="Direkomendasikan",ROW($6:$1005)-5),343)),KotaKode,2,0),"-"),"")),"")</f>
        <v/>
      </c>
    </row>
    <row r="345" spans="1:12" ht="15" customHeight="1" x14ac:dyDescent="0.2">
      <c r="A345" t="str">
        <f t="shared" si="5"/>
        <v/>
      </c>
      <c r="B345" t="str">
        <v/>
      </c>
      <c r="C345" s="40" t="str">
        <f t="array" ref="C345">IFERROR(INDEX(checklistPesertaKemenkeu!$F$6:$F$1005,SMALL(IF(checklistPesertaKemenkeu!$AY$6:$AY$1005="Direkomendasikan",ROW($6:$1005)-5),344)),"")</f>
        <v/>
      </c>
      <c r="D345" t="str">
        <f t="array" ref="D345">IFERROR(INDEX(checklistPesertaKemenkeu!$G$6:$G$1005,SMALL(IF(checklistPesertaKemenkeu!$AY$6:$AY$1005="Direkomendasikan",ROW($6:$1005)-5),344)),"")</f>
        <v/>
      </c>
      <c r="E345" t="str">
        <f t="array" ref="E345">IFERROR(INDEX(checklistPesertaKemenkeu!$H$6:$H$1005,SMALL(IF(checklistPesertaKemenkeu!$AY$6:$AY$1005="Direkomendasikan",ROW($6:$1005)-5),344)),"")</f>
        <v/>
      </c>
      <c r="F345" t="str">
        <f t="array" ref="F345">IFERROR(INDEX(checklistPesertaKemenkeu!$I$6:$I$1005,SMALL(IF(checklistPesertaKemenkeu!$AY$6:$AY$1005="Direkomendasikan",ROW($6:$1005)-5),344)),"")</f>
        <v/>
      </c>
      <c r="G345" t="str">
        <f t="array" ref="G345">IFERROR(INDEX(checklistPesertaKemenkeu!$J$6:$J$1005,SMALL(IF(checklistPesertaKemenkeu!$AY$6:$AY$1005="Direkomendasikan",ROW($6:$1005)-5),344)),"")</f>
        <v/>
      </c>
      <c r="H345" t="str">
        <f t="array" aca="1" ref="H345" ca="1">IFERROR(IF(OR(INDEX(checklistPesertaKemenkeu!$L$6:$L$1005,SMALL(IF(checklistPesertaKemenkeu!$AY$6:$AY$1005="Direkomendasikan",ROW($6:$1005)-5),344))="",INDEX(checklistPesertaKemenkeu!$J$6:$J$1005,SMALL(IF(checklistPesertaKemenkeu!$AY$6:$AY$1005="Direkomendasikan",ROW($6:$1005)-5),344))=""),"",IF(AND(COUNTIF(INDIRECT("K_"&amp;MATCH(INDEX(checklistPesertaKemenkeu!$J$6:$J$1005,SMALL(IF(checklistPesertaKemenkeu!$AY$6:$AY$1005="Direkomendasikan",ROW($6:$1005)-5),344)),BidangList,0)),INDEX(checklistPesertaKemenkeu!$L$6:$L$1005,SMALL(IF(checklistPesertaKemenkeu!$AY$6:$AY$1005="Direkomendasikan",ROW($6:$1005)-5),344)))&gt;0,COUNTIF(INDIRECT("'KERTAS KERJA'!K"&amp;(SMALL(IF(checklistPesertaKemenkeu!$AY$6:$AY$1005="Direkomendasikan",ROW($6:$1005)-5),344)+5)&amp;":O"&amp;(SMALL(IF(checklistPesertaKemenkeu!$AY$6:$AY$1005="Direkomendasikan",ROW($6:$1005)-5),344)+5)),INDEX(checklistPesertaKemenkeu!$L$6:$L$1005,SMALL(IF(checklistPesertaKemenkeu!$AY$6:$AY$1005="Direkomendasikan",ROW($6:$1005)-5),344)))=1),IFERROR(VLOOKUP(INDEX(checklistPesertaKemenkeu!$L$6:$L$1005,SMALL(IF(checklistPesertaKemenkeu!$AY$6:$AY$1005="Direkomendasikan",ROW($6:$1005)-5),344)),KotaKode,2,0),"-"),"")),"")</f>
        <v/>
      </c>
      <c r="I345" t="str">
        <f t="array" aca="1" ref="I345" ca="1">IFERROR(IF(OR(INDEX(checklistPesertaKemenkeu!$M$6:$M$1005,SMALL(IF(checklistPesertaKemenkeu!$AY$6:$AY$1005="Direkomendasikan",ROW($6:$1005)-5),344))="",INDEX(checklistPesertaKemenkeu!$J$6:$J$1005,SMALL(IF(checklistPesertaKemenkeu!$AY$6:$AY$1005="Direkomendasikan",ROW($6:$1005)-5),344))=""),"",IF(AND(COUNTIF(INDIRECT("K_"&amp;MATCH(INDEX(checklistPesertaKemenkeu!$J$6:$J$1005,SMALL(IF(checklistPesertaKemenkeu!$AY$6:$AY$1005="Direkomendasikan",ROW($6:$1005)-5),344)),BidangList,0)),INDEX(checklistPesertaKemenkeu!$M$6:$M$1005,SMALL(IF(checklistPesertaKemenkeu!$AY$6:$AY$1005="Direkomendasikan",ROW($6:$1005)-5),344)))&gt;0,COUNTIF(INDIRECT("'KERTAS KERJA'!K"&amp;(SMALL(IF(checklistPesertaKemenkeu!$AY$6:$AY$1005="Direkomendasikan",ROW($6:$1005)-5),344)+5)&amp;":O"&amp;(SMALL(IF(checklistPesertaKemenkeu!$AY$6:$AY$1005="Direkomendasikan",ROW($6:$1005)-5),344)+5)),INDEX(checklistPesertaKemenkeu!$M$6:$M$1005,SMALL(IF(checklistPesertaKemenkeu!$AY$6:$AY$1005="Direkomendasikan",ROW($6:$1005)-5),344)))=1),IFERROR(VLOOKUP(INDEX(checklistPesertaKemenkeu!$M$6:$M$1005,SMALL(IF(checklistPesertaKemenkeu!$AY$6:$AY$1005="Direkomendasikan",ROW($6:$1005)-5),344)),KotaKode,2,0),"-"),"")),"")</f>
        <v/>
      </c>
      <c r="J345" t="str">
        <f t="array" aca="1" ref="J345" ca="1">IFERROR(IF(OR(INDEX(checklistPesertaKemenkeu!$N$6:$N$1005,SMALL(IF(checklistPesertaKemenkeu!$AY$6:$AY$1005="Direkomendasikan",ROW($6:$1005)-5),344))="",INDEX(checklistPesertaKemenkeu!$J$6:$J$1005,SMALL(IF(checklistPesertaKemenkeu!$AY$6:$AY$1005="Direkomendasikan",ROW($6:$1005)-5),344))=""),"",IF(AND(COUNTIF(INDIRECT("K_"&amp;MATCH(INDEX(checklistPesertaKemenkeu!$J$6:$J$1005,SMALL(IF(checklistPesertaKemenkeu!$AY$6:$AY$1005="Direkomendasikan",ROW($6:$1005)-5),344)),BidangList,0)),INDEX(checklistPesertaKemenkeu!$N$6:$N$1005,SMALL(IF(checklistPesertaKemenkeu!$AY$6:$AY$1005="Direkomendasikan",ROW($6:$1005)-5),344)))&gt;0,COUNTIF(INDIRECT("'KERTAS KERJA'!K"&amp;(SMALL(IF(checklistPesertaKemenkeu!$AY$6:$AY$1005="Direkomendasikan",ROW($6:$1005)-5),344)+5)&amp;":O"&amp;(SMALL(IF(checklistPesertaKemenkeu!$AY$6:$AY$1005="Direkomendasikan",ROW($6:$1005)-5),344)+5)),INDEX(checklistPesertaKemenkeu!$N$6:$N$1005,SMALL(IF(checklistPesertaKemenkeu!$AY$6:$AY$1005="Direkomendasikan",ROW($6:$1005)-5),344)))=1),IFERROR(VLOOKUP(INDEX(checklistPesertaKemenkeu!$N$6:$N$1005,SMALL(IF(checklistPesertaKemenkeu!$AY$6:$AY$1005="Direkomendasikan",ROW($6:$1005)-5),344)),KotaKode,2,0),"-"),"")),"")</f>
        <v/>
      </c>
      <c r="K345" t="str">
        <f t="array" aca="1" ref="K345" ca="1">IFERROR(IF(OR(INDEX(checklistPesertaKemenkeu!$O$6:$O$1005,SMALL(IF(checklistPesertaKemenkeu!$AY$6:$AY$1005="Direkomendasikan",ROW($6:$1005)-5),344))="",INDEX(checklistPesertaKemenkeu!$J$6:$J$1005,SMALL(IF(checklistPesertaKemenkeu!$AY$6:$AY$1005="Direkomendasikan",ROW($6:$1005)-5),344))=""),"",IF(AND(COUNTIF(INDIRECT("K_"&amp;MATCH(INDEX(checklistPesertaKemenkeu!$J$6:$J$1005,SMALL(IF(checklistPesertaKemenkeu!$AY$6:$AY$1005="Direkomendasikan",ROW($6:$1005)-5),344)),BidangList,0)),INDEX(checklistPesertaKemenkeu!$O$6:$O$1005,SMALL(IF(checklistPesertaKemenkeu!$AY$6:$AY$1005="Direkomendasikan",ROW($6:$1005)-5),344)))&gt;0,COUNTIF(INDIRECT("'KERTAS KERJA'!K"&amp;(SMALL(IF(checklistPesertaKemenkeu!$AY$6:$AY$1005="Direkomendasikan",ROW($6:$1005)-5),344)+5)&amp;":O"&amp;(SMALL(IF(checklistPesertaKemenkeu!$AY$6:$AY$1005="Direkomendasikan",ROW($6:$1005)-5),344)+5)),INDEX(checklistPesertaKemenkeu!$O$6:$O$1005,SMALL(IF(checklistPesertaKemenkeu!$AY$6:$AY$1005="Direkomendasikan",ROW($6:$1005)-5),344)))=1),IFERROR(VLOOKUP(INDEX(checklistPesertaKemenkeu!$O$6:$O$1005,SMALL(IF(checklistPesertaKemenkeu!$AY$6:$AY$1005="Direkomendasikan",ROW($6:$1005)-5),344)),KotaKode,2,0),"-"),"")),"")</f>
        <v/>
      </c>
      <c r="L345" t="str">
        <f t="array" aca="1" ref="L345" ca="1">IFERROR(IF(OR(INDEX(checklistPesertaKemenkeu!$P$6:$P$1005,SMALL(IF(checklistPesertaKemenkeu!$AY$6:$AY$1005="Direkomendasikan",ROW($6:$1005)-5),344))="",INDEX(checklistPesertaKemenkeu!$J$6:$J$1005,SMALL(IF(checklistPesertaKemenkeu!$AY$6:$AY$1005="Direkomendasikan",ROW($6:$1005)-5),344))=""),"",IF(AND(COUNTIF(INDIRECT("K_"&amp;MATCH(INDEX(checklistPesertaKemenkeu!$J$6:$J$1005,SMALL(IF(checklistPesertaKemenkeu!$AY$6:$AY$1005="Direkomendasikan",ROW($6:$1005)-5),344)),BidangList,0)),INDEX(checklistPesertaKemenkeu!$P$6:$P$1005,SMALL(IF(checklistPesertaKemenkeu!$AY$6:$AY$1005="Direkomendasikan",ROW($6:$1005)-5),344)))&gt;0,COUNTIF(INDIRECT("'KERTAS KERJA'!K"&amp;(SMALL(IF(checklistPesertaKemenkeu!$AY$6:$AY$1005="Direkomendasikan",ROW($6:$1005)-5),344)+5)&amp;":O"&amp;(SMALL(IF(checklistPesertaKemenkeu!$AY$6:$AY$1005="Direkomendasikan",ROW($6:$1005)-5),344)+5)),INDEX(checklistPesertaKemenkeu!$P$6:$P$1005,SMALL(IF(checklistPesertaKemenkeu!$AY$6:$AY$1005="Direkomendasikan",ROW($6:$1005)-5),344)))=1),IFERROR(VLOOKUP(INDEX(checklistPesertaKemenkeu!$P$6:$P$1005,SMALL(IF(checklistPesertaKemenkeu!$AY$6:$AY$1005="Direkomendasikan",ROW($6:$1005)-5),344)),KotaKode,2,0),"-"),"")),"")</f>
        <v/>
      </c>
    </row>
    <row r="346" spans="1:12" ht="15" customHeight="1" x14ac:dyDescent="0.2">
      <c r="A346" t="str">
        <f t="shared" si="5"/>
        <v/>
      </c>
      <c r="B346" t="str">
        <v/>
      </c>
      <c r="C346" s="40" t="str">
        <f t="array" ref="C346">IFERROR(INDEX(checklistPesertaKemenkeu!$F$6:$F$1005,SMALL(IF(checklistPesertaKemenkeu!$AY$6:$AY$1005="Direkomendasikan",ROW($6:$1005)-5),345)),"")</f>
        <v/>
      </c>
      <c r="D346" t="str">
        <f t="array" ref="D346">IFERROR(INDEX(checklistPesertaKemenkeu!$G$6:$G$1005,SMALL(IF(checklistPesertaKemenkeu!$AY$6:$AY$1005="Direkomendasikan",ROW($6:$1005)-5),345)),"")</f>
        <v/>
      </c>
      <c r="E346" t="str">
        <f t="array" ref="E346">IFERROR(INDEX(checklistPesertaKemenkeu!$H$6:$H$1005,SMALL(IF(checklistPesertaKemenkeu!$AY$6:$AY$1005="Direkomendasikan",ROW($6:$1005)-5),345)),"")</f>
        <v/>
      </c>
      <c r="F346" t="str">
        <f t="array" ref="F346">IFERROR(INDEX(checklistPesertaKemenkeu!$I$6:$I$1005,SMALL(IF(checklistPesertaKemenkeu!$AY$6:$AY$1005="Direkomendasikan",ROW($6:$1005)-5),345)),"")</f>
        <v/>
      </c>
      <c r="G346" t="str">
        <f t="array" ref="G346">IFERROR(INDEX(checklistPesertaKemenkeu!$J$6:$J$1005,SMALL(IF(checklistPesertaKemenkeu!$AY$6:$AY$1005="Direkomendasikan",ROW($6:$1005)-5),345)),"")</f>
        <v/>
      </c>
      <c r="H346" t="str">
        <f t="array" aca="1" ref="H346" ca="1">IFERROR(IF(OR(INDEX(checklistPesertaKemenkeu!$L$6:$L$1005,SMALL(IF(checklistPesertaKemenkeu!$AY$6:$AY$1005="Direkomendasikan",ROW($6:$1005)-5),345))="",INDEX(checklistPesertaKemenkeu!$J$6:$J$1005,SMALL(IF(checklistPesertaKemenkeu!$AY$6:$AY$1005="Direkomendasikan",ROW($6:$1005)-5),345))=""),"",IF(AND(COUNTIF(INDIRECT("K_"&amp;MATCH(INDEX(checklistPesertaKemenkeu!$J$6:$J$1005,SMALL(IF(checklistPesertaKemenkeu!$AY$6:$AY$1005="Direkomendasikan",ROW($6:$1005)-5),345)),BidangList,0)),INDEX(checklistPesertaKemenkeu!$L$6:$L$1005,SMALL(IF(checklistPesertaKemenkeu!$AY$6:$AY$1005="Direkomendasikan",ROW($6:$1005)-5),345)))&gt;0,COUNTIF(INDIRECT("'KERTAS KERJA'!K"&amp;(SMALL(IF(checklistPesertaKemenkeu!$AY$6:$AY$1005="Direkomendasikan",ROW($6:$1005)-5),345)+5)&amp;":O"&amp;(SMALL(IF(checklistPesertaKemenkeu!$AY$6:$AY$1005="Direkomendasikan",ROW($6:$1005)-5),345)+5)),INDEX(checklistPesertaKemenkeu!$L$6:$L$1005,SMALL(IF(checklistPesertaKemenkeu!$AY$6:$AY$1005="Direkomendasikan",ROW($6:$1005)-5),345)))=1),IFERROR(VLOOKUP(INDEX(checklistPesertaKemenkeu!$L$6:$L$1005,SMALL(IF(checklistPesertaKemenkeu!$AY$6:$AY$1005="Direkomendasikan",ROW($6:$1005)-5),345)),KotaKode,2,0),"-"),"")),"")</f>
        <v/>
      </c>
      <c r="I346" t="str">
        <f t="array" aca="1" ref="I346" ca="1">IFERROR(IF(OR(INDEX(checklistPesertaKemenkeu!$M$6:$M$1005,SMALL(IF(checklistPesertaKemenkeu!$AY$6:$AY$1005="Direkomendasikan",ROW($6:$1005)-5),345))="",INDEX(checklistPesertaKemenkeu!$J$6:$J$1005,SMALL(IF(checklistPesertaKemenkeu!$AY$6:$AY$1005="Direkomendasikan",ROW($6:$1005)-5),345))=""),"",IF(AND(COUNTIF(INDIRECT("K_"&amp;MATCH(INDEX(checklistPesertaKemenkeu!$J$6:$J$1005,SMALL(IF(checklistPesertaKemenkeu!$AY$6:$AY$1005="Direkomendasikan",ROW($6:$1005)-5),345)),BidangList,0)),INDEX(checklistPesertaKemenkeu!$M$6:$M$1005,SMALL(IF(checklistPesertaKemenkeu!$AY$6:$AY$1005="Direkomendasikan",ROW($6:$1005)-5),345)))&gt;0,COUNTIF(INDIRECT("'KERTAS KERJA'!K"&amp;(SMALL(IF(checklistPesertaKemenkeu!$AY$6:$AY$1005="Direkomendasikan",ROW($6:$1005)-5),345)+5)&amp;":O"&amp;(SMALL(IF(checklistPesertaKemenkeu!$AY$6:$AY$1005="Direkomendasikan",ROW($6:$1005)-5),345)+5)),INDEX(checklistPesertaKemenkeu!$M$6:$M$1005,SMALL(IF(checklistPesertaKemenkeu!$AY$6:$AY$1005="Direkomendasikan",ROW($6:$1005)-5),345)))=1),IFERROR(VLOOKUP(INDEX(checklistPesertaKemenkeu!$M$6:$M$1005,SMALL(IF(checklistPesertaKemenkeu!$AY$6:$AY$1005="Direkomendasikan",ROW($6:$1005)-5),345)),KotaKode,2,0),"-"),"")),"")</f>
        <v/>
      </c>
      <c r="J346" t="str">
        <f t="array" aca="1" ref="J346" ca="1">IFERROR(IF(OR(INDEX(checklistPesertaKemenkeu!$N$6:$N$1005,SMALL(IF(checklistPesertaKemenkeu!$AY$6:$AY$1005="Direkomendasikan",ROW($6:$1005)-5),345))="",INDEX(checklistPesertaKemenkeu!$J$6:$J$1005,SMALL(IF(checklistPesertaKemenkeu!$AY$6:$AY$1005="Direkomendasikan",ROW($6:$1005)-5),345))=""),"",IF(AND(COUNTIF(INDIRECT("K_"&amp;MATCH(INDEX(checklistPesertaKemenkeu!$J$6:$J$1005,SMALL(IF(checklistPesertaKemenkeu!$AY$6:$AY$1005="Direkomendasikan",ROW($6:$1005)-5),345)),BidangList,0)),INDEX(checklistPesertaKemenkeu!$N$6:$N$1005,SMALL(IF(checklistPesertaKemenkeu!$AY$6:$AY$1005="Direkomendasikan",ROW($6:$1005)-5),345)))&gt;0,COUNTIF(INDIRECT("'KERTAS KERJA'!K"&amp;(SMALL(IF(checklistPesertaKemenkeu!$AY$6:$AY$1005="Direkomendasikan",ROW($6:$1005)-5),345)+5)&amp;":O"&amp;(SMALL(IF(checklistPesertaKemenkeu!$AY$6:$AY$1005="Direkomendasikan",ROW($6:$1005)-5),345)+5)),INDEX(checklistPesertaKemenkeu!$N$6:$N$1005,SMALL(IF(checklistPesertaKemenkeu!$AY$6:$AY$1005="Direkomendasikan",ROW($6:$1005)-5),345)))=1),IFERROR(VLOOKUP(INDEX(checklistPesertaKemenkeu!$N$6:$N$1005,SMALL(IF(checklistPesertaKemenkeu!$AY$6:$AY$1005="Direkomendasikan",ROW($6:$1005)-5),345)),KotaKode,2,0),"-"),"")),"")</f>
        <v/>
      </c>
      <c r="K346" t="str">
        <f t="array" aca="1" ref="K346" ca="1">IFERROR(IF(OR(INDEX(checklistPesertaKemenkeu!$O$6:$O$1005,SMALL(IF(checklistPesertaKemenkeu!$AY$6:$AY$1005="Direkomendasikan",ROW($6:$1005)-5),345))="",INDEX(checklistPesertaKemenkeu!$J$6:$J$1005,SMALL(IF(checklistPesertaKemenkeu!$AY$6:$AY$1005="Direkomendasikan",ROW($6:$1005)-5),345))=""),"",IF(AND(COUNTIF(INDIRECT("K_"&amp;MATCH(INDEX(checklistPesertaKemenkeu!$J$6:$J$1005,SMALL(IF(checklistPesertaKemenkeu!$AY$6:$AY$1005="Direkomendasikan",ROW($6:$1005)-5),345)),BidangList,0)),INDEX(checklistPesertaKemenkeu!$O$6:$O$1005,SMALL(IF(checklistPesertaKemenkeu!$AY$6:$AY$1005="Direkomendasikan",ROW($6:$1005)-5),345)))&gt;0,COUNTIF(INDIRECT("'KERTAS KERJA'!K"&amp;(SMALL(IF(checklistPesertaKemenkeu!$AY$6:$AY$1005="Direkomendasikan",ROW($6:$1005)-5),345)+5)&amp;":O"&amp;(SMALL(IF(checklistPesertaKemenkeu!$AY$6:$AY$1005="Direkomendasikan",ROW($6:$1005)-5),345)+5)),INDEX(checklistPesertaKemenkeu!$O$6:$O$1005,SMALL(IF(checklistPesertaKemenkeu!$AY$6:$AY$1005="Direkomendasikan",ROW($6:$1005)-5),345)))=1),IFERROR(VLOOKUP(INDEX(checklistPesertaKemenkeu!$O$6:$O$1005,SMALL(IF(checklistPesertaKemenkeu!$AY$6:$AY$1005="Direkomendasikan",ROW($6:$1005)-5),345)),KotaKode,2,0),"-"),"")),"")</f>
        <v/>
      </c>
      <c r="L346" t="str">
        <f t="array" aca="1" ref="L346" ca="1">IFERROR(IF(OR(INDEX(checklistPesertaKemenkeu!$P$6:$P$1005,SMALL(IF(checklistPesertaKemenkeu!$AY$6:$AY$1005="Direkomendasikan",ROW($6:$1005)-5),345))="",INDEX(checklistPesertaKemenkeu!$J$6:$J$1005,SMALL(IF(checklistPesertaKemenkeu!$AY$6:$AY$1005="Direkomendasikan",ROW($6:$1005)-5),345))=""),"",IF(AND(COUNTIF(INDIRECT("K_"&amp;MATCH(INDEX(checklistPesertaKemenkeu!$J$6:$J$1005,SMALL(IF(checklistPesertaKemenkeu!$AY$6:$AY$1005="Direkomendasikan",ROW($6:$1005)-5),345)),BidangList,0)),INDEX(checklistPesertaKemenkeu!$P$6:$P$1005,SMALL(IF(checklistPesertaKemenkeu!$AY$6:$AY$1005="Direkomendasikan",ROW($6:$1005)-5),345)))&gt;0,COUNTIF(INDIRECT("'KERTAS KERJA'!K"&amp;(SMALL(IF(checklistPesertaKemenkeu!$AY$6:$AY$1005="Direkomendasikan",ROW($6:$1005)-5),345)+5)&amp;":O"&amp;(SMALL(IF(checklistPesertaKemenkeu!$AY$6:$AY$1005="Direkomendasikan",ROW($6:$1005)-5),345)+5)),INDEX(checklistPesertaKemenkeu!$P$6:$P$1005,SMALL(IF(checklistPesertaKemenkeu!$AY$6:$AY$1005="Direkomendasikan",ROW($6:$1005)-5),345)))=1),IFERROR(VLOOKUP(INDEX(checklistPesertaKemenkeu!$P$6:$P$1005,SMALL(IF(checklistPesertaKemenkeu!$AY$6:$AY$1005="Direkomendasikan",ROW($6:$1005)-5),345)),KotaKode,2,0),"-"),"")),"")</f>
        <v/>
      </c>
    </row>
    <row r="347" spans="1:12" ht="15" customHeight="1" x14ac:dyDescent="0.2">
      <c r="A347" t="str">
        <f t="shared" si="5"/>
        <v/>
      </c>
      <c r="B347" t="str">
        <v/>
      </c>
      <c r="C347" s="40" t="str">
        <f t="array" ref="C347">IFERROR(INDEX(checklistPesertaKemenkeu!$F$6:$F$1005,SMALL(IF(checklistPesertaKemenkeu!$AY$6:$AY$1005="Direkomendasikan",ROW($6:$1005)-5),346)),"")</f>
        <v/>
      </c>
      <c r="D347" t="str">
        <f t="array" ref="D347">IFERROR(INDEX(checklistPesertaKemenkeu!$G$6:$G$1005,SMALL(IF(checklistPesertaKemenkeu!$AY$6:$AY$1005="Direkomendasikan",ROW($6:$1005)-5),346)),"")</f>
        <v/>
      </c>
      <c r="E347" t="str">
        <f t="array" ref="E347">IFERROR(INDEX(checklistPesertaKemenkeu!$H$6:$H$1005,SMALL(IF(checklistPesertaKemenkeu!$AY$6:$AY$1005="Direkomendasikan",ROW($6:$1005)-5),346)),"")</f>
        <v/>
      </c>
      <c r="F347" t="str">
        <f t="array" ref="F347">IFERROR(INDEX(checklistPesertaKemenkeu!$I$6:$I$1005,SMALL(IF(checklistPesertaKemenkeu!$AY$6:$AY$1005="Direkomendasikan",ROW($6:$1005)-5),346)),"")</f>
        <v/>
      </c>
      <c r="G347" t="str">
        <f t="array" ref="G347">IFERROR(INDEX(checklistPesertaKemenkeu!$J$6:$J$1005,SMALL(IF(checklistPesertaKemenkeu!$AY$6:$AY$1005="Direkomendasikan",ROW($6:$1005)-5),346)),"")</f>
        <v/>
      </c>
      <c r="H347" t="str">
        <f t="array" aca="1" ref="H347" ca="1">IFERROR(IF(OR(INDEX(checklistPesertaKemenkeu!$L$6:$L$1005,SMALL(IF(checklistPesertaKemenkeu!$AY$6:$AY$1005="Direkomendasikan",ROW($6:$1005)-5),346))="",INDEX(checklistPesertaKemenkeu!$J$6:$J$1005,SMALL(IF(checklistPesertaKemenkeu!$AY$6:$AY$1005="Direkomendasikan",ROW($6:$1005)-5),346))=""),"",IF(AND(COUNTIF(INDIRECT("K_"&amp;MATCH(INDEX(checklistPesertaKemenkeu!$J$6:$J$1005,SMALL(IF(checklistPesertaKemenkeu!$AY$6:$AY$1005="Direkomendasikan",ROW($6:$1005)-5),346)),BidangList,0)),INDEX(checklistPesertaKemenkeu!$L$6:$L$1005,SMALL(IF(checklistPesertaKemenkeu!$AY$6:$AY$1005="Direkomendasikan",ROW($6:$1005)-5),346)))&gt;0,COUNTIF(INDIRECT("'KERTAS KERJA'!K"&amp;(SMALL(IF(checklistPesertaKemenkeu!$AY$6:$AY$1005="Direkomendasikan",ROW($6:$1005)-5),346)+5)&amp;":O"&amp;(SMALL(IF(checklistPesertaKemenkeu!$AY$6:$AY$1005="Direkomendasikan",ROW($6:$1005)-5),346)+5)),INDEX(checklistPesertaKemenkeu!$L$6:$L$1005,SMALL(IF(checklistPesertaKemenkeu!$AY$6:$AY$1005="Direkomendasikan",ROW($6:$1005)-5),346)))=1),IFERROR(VLOOKUP(INDEX(checklistPesertaKemenkeu!$L$6:$L$1005,SMALL(IF(checklistPesertaKemenkeu!$AY$6:$AY$1005="Direkomendasikan",ROW($6:$1005)-5),346)),KotaKode,2,0),"-"),"")),"")</f>
        <v/>
      </c>
      <c r="I347" t="str">
        <f t="array" aca="1" ref="I347" ca="1">IFERROR(IF(OR(INDEX(checklistPesertaKemenkeu!$M$6:$M$1005,SMALL(IF(checklistPesertaKemenkeu!$AY$6:$AY$1005="Direkomendasikan",ROW($6:$1005)-5),346))="",INDEX(checklistPesertaKemenkeu!$J$6:$J$1005,SMALL(IF(checklistPesertaKemenkeu!$AY$6:$AY$1005="Direkomendasikan",ROW($6:$1005)-5),346))=""),"",IF(AND(COUNTIF(INDIRECT("K_"&amp;MATCH(INDEX(checklistPesertaKemenkeu!$J$6:$J$1005,SMALL(IF(checklistPesertaKemenkeu!$AY$6:$AY$1005="Direkomendasikan",ROW($6:$1005)-5),346)),BidangList,0)),INDEX(checklistPesertaKemenkeu!$M$6:$M$1005,SMALL(IF(checklistPesertaKemenkeu!$AY$6:$AY$1005="Direkomendasikan",ROW($6:$1005)-5),346)))&gt;0,COUNTIF(INDIRECT("'KERTAS KERJA'!K"&amp;(SMALL(IF(checklistPesertaKemenkeu!$AY$6:$AY$1005="Direkomendasikan",ROW($6:$1005)-5),346)+5)&amp;":O"&amp;(SMALL(IF(checklistPesertaKemenkeu!$AY$6:$AY$1005="Direkomendasikan",ROW($6:$1005)-5),346)+5)),INDEX(checklistPesertaKemenkeu!$M$6:$M$1005,SMALL(IF(checklistPesertaKemenkeu!$AY$6:$AY$1005="Direkomendasikan",ROW($6:$1005)-5),346)))=1),IFERROR(VLOOKUP(INDEX(checklistPesertaKemenkeu!$M$6:$M$1005,SMALL(IF(checklistPesertaKemenkeu!$AY$6:$AY$1005="Direkomendasikan",ROW($6:$1005)-5),346)),KotaKode,2,0),"-"),"")),"")</f>
        <v/>
      </c>
      <c r="J347" t="str">
        <f t="array" aca="1" ref="J347" ca="1">IFERROR(IF(OR(INDEX(checklistPesertaKemenkeu!$N$6:$N$1005,SMALL(IF(checklistPesertaKemenkeu!$AY$6:$AY$1005="Direkomendasikan",ROW($6:$1005)-5),346))="",INDEX(checklistPesertaKemenkeu!$J$6:$J$1005,SMALL(IF(checklistPesertaKemenkeu!$AY$6:$AY$1005="Direkomendasikan",ROW($6:$1005)-5),346))=""),"",IF(AND(COUNTIF(INDIRECT("K_"&amp;MATCH(INDEX(checklistPesertaKemenkeu!$J$6:$J$1005,SMALL(IF(checklistPesertaKemenkeu!$AY$6:$AY$1005="Direkomendasikan",ROW($6:$1005)-5),346)),BidangList,0)),INDEX(checklistPesertaKemenkeu!$N$6:$N$1005,SMALL(IF(checklistPesertaKemenkeu!$AY$6:$AY$1005="Direkomendasikan",ROW($6:$1005)-5),346)))&gt;0,COUNTIF(INDIRECT("'KERTAS KERJA'!K"&amp;(SMALL(IF(checklistPesertaKemenkeu!$AY$6:$AY$1005="Direkomendasikan",ROW($6:$1005)-5),346)+5)&amp;":O"&amp;(SMALL(IF(checklistPesertaKemenkeu!$AY$6:$AY$1005="Direkomendasikan",ROW($6:$1005)-5),346)+5)),INDEX(checklistPesertaKemenkeu!$N$6:$N$1005,SMALL(IF(checklistPesertaKemenkeu!$AY$6:$AY$1005="Direkomendasikan",ROW($6:$1005)-5),346)))=1),IFERROR(VLOOKUP(INDEX(checklistPesertaKemenkeu!$N$6:$N$1005,SMALL(IF(checklistPesertaKemenkeu!$AY$6:$AY$1005="Direkomendasikan",ROW($6:$1005)-5),346)),KotaKode,2,0),"-"),"")),"")</f>
        <v/>
      </c>
      <c r="K347" t="str">
        <f t="array" aca="1" ref="K347" ca="1">IFERROR(IF(OR(INDEX(checklistPesertaKemenkeu!$O$6:$O$1005,SMALL(IF(checklistPesertaKemenkeu!$AY$6:$AY$1005="Direkomendasikan",ROW($6:$1005)-5),346))="",INDEX(checklistPesertaKemenkeu!$J$6:$J$1005,SMALL(IF(checklistPesertaKemenkeu!$AY$6:$AY$1005="Direkomendasikan",ROW($6:$1005)-5),346))=""),"",IF(AND(COUNTIF(INDIRECT("K_"&amp;MATCH(INDEX(checklistPesertaKemenkeu!$J$6:$J$1005,SMALL(IF(checklistPesertaKemenkeu!$AY$6:$AY$1005="Direkomendasikan",ROW($6:$1005)-5),346)),BidangList,0)),INDEX(checklistPesertaKemenkeu!$O$6:$O$1005,SMALL(IF(checklistPesertaKemenkeu!$AY$6:$AY$1005="Direkomendasikan",ROW($6:$1005)-5),346)))&gt;0,COUNTIF(INDIRECT("'KERTAS KERJA'!K"&amp;(SMALL(IF(checklistPesertaKemenkeu!$AY$6:$AY$1005="Direkomendasikan",ROW($6:$1005)-5),346)+5)&amp;":O"&amp;(SMALL(IF(checklistPesertaKemenkeu!$AY$6:$AY$1005="Direkomendasikan",ROW($6:$1005)-5),346)+5)),INDEX(checklistPesertaKemenkeu!$O$6:$O$1005,SMALL(IF(checklistPesertaKemenkeu!$AY$6:$AY$1005="Direkomendasikan",ROW($6:$1005)-5),346)))=1),IFERROR(VLOOKUP(INDEX(checklistPesertaKemenkeu!$O$6:$O$1005,SMALL(IF(checklistPesertaKemenkeu!$AY$6:$AY$1005="Direkomendasikan",ROW($6:$1005)-5),346)),KotaKode,2,0),"-"),"")),"")</f>
        <v/>
      </c>
      <c r="L347" t="str">
        <f t="array" aca="1" ref="L347" ca="1">IFERROR(IF(OR(INDEX(checklistPesertaKemenkeu!$P$6:$P$1005,SMALL(IF(checklistPesertaKemenkeu!$AY$6:$AY$1005="Direkomendasikan",ROW($6:$1005)-5),346))="",INDEX(checklistPesertaKemenkeu!$J$6:$J$1005,SMALL(IF(checklistPesertaKemenkeu!$AY$6:$AY$1005="Direkomendasikan",ROW($6:$1005)-5),346))=""),"",IF(AND(COUNTIF(INDIRECT("K_"&amp;MATCH(INDEX(checklistPesertaKemenkeu!$J$6:$J$1005,SMALL(IF(checklistPesertaKemenkeu!$AY$6:$AY$1005="Direkomendasikan",ROW($6:$1005)-5),346)),BidangList,0)),INDEX(checklistPesertaKemenkeu!$P$6:$P$1005,SMALL(IF(checklistPesertaKemenkeu!$AY$6:$AY$1005="Direkomendasikan",ROW($6:$1005)-5),346)))&gt;0,COUNTIF(INDIRECT("'KERTAS KERJA'!K"&amp;(SMALL(IF(checklistPesertaKemenkeu!$AY$6:$AY$1005="Direkomendasikan",ROW($6:$1005)-5),346)+5)&amp;":O"&amp;(SMALL(IF(checklistPesertaKemenkeu!$AY$6:$AY$1005="Direkomendasikan",ROW($6:$1005)-5),346)+5)),INDEX(checklistPesertaKemenkeu!$P$6:$P$1005,SMALL(IF(checklistPesertaKemenkeu!$AY$6:$AY$1005="Direkomendasikan",ROW($6:$1005)-5),346)))=1),IFERROR(VLOOKUP(INDEX(checklistPesertaKemenkeu!$P$6:$P$1005,SMALL(IF(checklistPesertaKemenkeu!$AY$6:$AY$1005="Direkomendasikan",ROW($6:$1005)-5),346)),KotaKode,2,0),"-"),"")),"")</f>
        <v/>
      </c>
    </row>
    <row r="348" spans="1:12" ht="15" customHeight="1" x14ac:dyDescent="0.2">
      <c r="A348" t="str">
        <f t="shared" si="5"/>
        <v/>
      </c>
      <c r="B348" t="str">
        <v/>
      </c>
      <c r="C348" s="40" t="str">
        <f t="array" ref="C348">IFERROR(INDEX(checklistPesertaKemenkeu!$F$6:$F$1005,SMALL(IF(checklistPesertaKemenkeu!$AY$6:$AY$1005="Direkomendasikan",ROW($6:$1005)-5),347)),"")</f>
        <v/>
      </c>
      <c r="D348" t="str">
        <f t="array" ref="D348">IFERROR(INDEX(checklistPesertaKemenkeu!$G$6:$G$1005,SMALL(IF(checklistPesertaKemenkeu!$AY$6:$AY$1005="Direkomendasikan",ROW($6:$1005)-5),347)),"")</f>
        <v/>
      </c>
      <c r="E348" t="str">
        <f t="array" ref="E348">IFERROR(INDEX(checklistPesertaKemenkeu!$H$6:$H$1005,SMALL(IF(checklistPesertaKemenkeu!$AY$6:$AY$1005="Direkomendasikan",ROW($6:$1005)-5),347)),"")</f>
        <v/>
      </c>
      <c r="F348" t="str">
        <f t="array" ref="F348">IFERROR(INDEX(checklistPesertaKemenkeu!$I$6:$I$1005,SMALL(IF(checklistPesertaKemenkeu!$AY$6:$AY$1005="Direkomendasikan",ROW($6:$1005)-5),347)),"")</f>
        <v/>
      </c>
      <c r="G348" t="str">
        <f t="array" ref="G348">IFERROR(INDEX(checklistPesertaKemenkeu!$J$6:$J$1005,SMALL(IF(checklistPesertaKemenkeu!$AY$6:$AY$1005="Direkomendasikan",ROW($6:$1005)-5),347)),"")</f>
        <v/>
      </c>
      <c r="H348" t="str">
        <f t="array" aca="1" ref="H348" ca="1">IFERROR(IF(OR(INDEX(checklistPesertaKemenkeu!$L$6:$L$1005,SMALL(IF(checklistPesertaKemenkeu!$AY$6:$AY$1005="Direkomendasikan",ROW($6:$1005)-5),347))="",INDEX(checklistPesertaKemenkeu!$J$6:$J$1005,SMALL(IF(checklistPesertaKemenkeu!$AY$6:$AY$1005="Direkomendasikan",ROW($6:$1005)-5),347))=""),"",IF(AND(COUNTIF(INDIRECT("K_"&amp;MATCH(INDEX(checklistPesertaKemenkeu!$J$6:$J$1005,SMALL(IF(checklistPesertaKemenkeu!$AY$6:$AY$1005="Direkomendasikan",ROW($6:$1005)-5),347)),BidangList,0)),INDEX(checklistPesertaKemenkeu!$L$6:$L$1005,SMALL(IF(checklistPesertaKemenkeu!$AY$6:$AY$1005="Direkomendasikan",ROW($6:$1005)-5),347)))&gt;0,COUNTIF(INDIRECT("'KERTAS KERJA'!K"&amp;(SMALL(IF(checklistPesertaKemenkeu!$AY$6:$AY$1005="Direkomendasikan",ROW($6:$1005)-5),347)+5)&amp;":O"&amp;(SMALL(IF(checklistPesertaKemenkeu!$AY$6:$AY$1005="Direkomendasikan",ROW($6:$1005)-5),347)+5)),INDEX(checklistPesertaKemenkeu!$L$6:$L$1005,SMALL(IF(checklistPesertaKemenkeu!$AY$6:$AY$1005="Direkomendasikan",ROW($6:$1005)-5),347)))=1),IFERROR(VLOOKUP(INDEX(checklistPesertaKemenkeu!$L$6:$L$1005,SMALL(IF(checklistPesertaKemenkeu!$AY$6:$AY$1005="Direkomendasikan",ROW($6:$1005)-5),347)),KotaKode,2,0),"-"),"")),"")</f>
        <v/>
      </c>
      <c r="I348" t="str">
        <f t="array" aca="1" ref="I348" ca="1">IFERROR(IF(OR(INDEX(checklistPesertaKemenkeu!$M$6:$M$1005,SMALL(IF(checklistPesertaKemenkeu!$AY$6:$AY$1005="Direkomendasikan",ROW($6:$1005)-5),347))="",INDEX(checklistPesertaKemenkeu!$J$6:$J$1005,SMALL(IF(checklistPesertaKemenkeu!$AY$6:$AY$1005="Direkomendasikan",ROW($6:$1005)-5),347))=""),"",IF(AND(COUNTIF(INDIRECT("K_"&amp;MATCH(INDEX(checklistPesertaKemenkeu!$J$6:$J$1005,SMALL(IF(checklistPesertaKemenkeu!$AY$6:$AY$1005="Direkomendasikan",ROW($6:$1005)-5),347)),BidangList,0)),INDEX(checklistPesertaKemenkeu!$M$6:$M$1005,SMALL(IF(checklistPesertaKemenkeu!$AY$6:$AY$1005="Direkomendasikan",ROW($6:$1005)-5),347)))&gt;0,COUNTIF(INDIRECT("'KERTAS KERJA'!K"&amp;(SMALL(IF(checklistPesertaKemenkeu!$AY$6:$AY$1005="Direkomendasikan",ROW($6:$1005)-5),347)+5)&amp;":O"&amp;(SMALL(IF(checklistPesertaKemenkeu!$AY$6:$AY$1005="Direkomendasikan",ROW($6:$1005)-5),347)+5)),INDEX(checklistPesertaKemenkeu!$M$6:$M$1005,SMALL(IF(checklistPesertaKemenkeu!$AY$6:$AY$1005="Direkomendasikan",ROW($6:$1005)-5),347)))=1),IFERROR(VLOOKUP(INDEX(checklistPesertaKemenkeu!$M$6:$M$1005,SMALL(IF(checklistPesertaKemenkeu!$AY$6:$AY$1005="Direkomendasikan",ROW($6:$1005)-5),347)),KotaKode,2,0),"-"),"")),"")</f>
        <v/>
      </c>
      <c r="J348" t="str">
        <f t="array" aca="1" ref="J348" ca="1">IFERROR(IF(OR(INDEX(checklistPesertaKemenkeu!$N$6:$N$1005,SMALL(IF(checklistPesertaKemenkeu!$AY$6:$AY$1005="Direkomendasikan",ROW($6:$1005)-5),347))="",INDEX(checklistPesertaKemenkeu!$J$6:$J$1005,SMALL(IF(checklistPesertaKemenkeu!$AY$6:$AY$1005="Direkomendasikan",ROW($6:$1005)-5),347))=""),"",IF(AND(COUNTIF(INDIRECT("K_"&amp;MATCH(INDEX(checklistPesertaKemenkeu!$J$6:$J$1005,SMALL(IF(checklistPesertaKemenkeu!$AY$6:$AY$1005="Direkomendasikan",ROW($6:$1005)-5),347)),BidangList,0)),INDEX(checklistPesertaKemenkeu!$N$6:$N$1005,SMALL(IF(checklistPesertaKemenkeu!$AY$6:$AY$1005="Direkomendasikan",ROW($6:$1005)-5),347)))&gt;0,COUNTIF(INDIRECT("'KERTAS KERJA'!K"&amp;(SMALL(IF(checklistPesertaKemenkeu!$AY$6:$AY$1005="Direkomendasikan",ROW($6:$1005)-5),347)+5)&amp;":O"&amp;(SMALL(IF(checklistPesertaKemenkeu!$AY$6:$AY$1005="Direkomendasikan",ROW($6:$1005)-5),347)+5)),INDEX(checklistPesertaKemenkeu!$N$6:$N$1005,SMALL(IF(checklistPesertaKemenkeu!$AY$6:$AY$1005="Direkomendasikan",ROW($6:$1005)-5),347)))=1),IFERROR(VLOOKUP(INDEX(checklistPesertaKemenkeu!$N$6:$N$1005,SMALL(IF(checklistPesertaKemenkeu!$AY$6:$AY$1005="Direkomendasikan",ROW($6:$1005)-5),347)),KotaKode,2,0),"-"),"")),"")</f>
        <v/>
      </c>
      <c r="K348" t="str">
        <f t="array" aca="1" ref="K348" ca="1">IFERROR(IF(OR(INDEX(checklistPesertaKemenkeu!$O$6:$O$1005,SMALL(IF(checklistPesertaKemenkeu!$AY$6:$AY$1005="Direkomendasikan",ROW($6:$1005)-5),347))="",INDEX(checklistPesertaKemenkeu!$J$6:$J$1005,SMALL(IF(checklistPesertaKemenkeu!$AY$6:$AY$1005="Direkomendasikan",ROW($6:$1005)-5),347))=""),"",IF(AND(COUNTIF(INDIRECT("K_"&amp;MATCH(INDEX(checklistPesertaKemenkeu!$J$6:$J$1005,SMALL(IF(checklistPesertaKemenkeu!$AY$6:$AY$1005="Direkomendasikan",ROW($6:$1005)-5),347)),BidangList,0)),INDEX(checklistPesertaKemenkeu!$O$6:$O$1005,SMALL(IF(checklistPesertaKemenkeu!$AY$6:$AY$1005="Direkomendasikan",ROW($6:$1005)-5),347)))&gt;0,COUNTIF(INDIRECT("'KERTAS KERJA'!K"&amp;(SMALL(IF(checklistPesertaKemenkeu!$AY$6:$AY$1005="Direkomendasikan",ROW($6:$1005)-5),347)+5)&amp;":O"&amp;(SMALL(IF(checklistPesertaKemenkeu!$AY$6:$AY$1005="Direkomendasikan",ROW($6:$1005)-5),347)+5)),INDEX(checklistPesertaKemenkeu!$O$6:$O$1005,SMALL(IF(checklistPesertaKemenkeu!$AY$6:$AY$1005="Direkomendasikan",ROW($6:$1005)-5),347)))=1),IFERROR(VLOOKUP(INDEX(checklistPesertaKemenkeu!$O$6:$O$1005,SMALL(IF(checklistPesertaKemenkeu!$AY$6:$AY$1005="Direkomendasikan",ROW($6:$1005)-5),347)),KotaKode,2,0),"-"),"")),"")</f>
        <v/>
      </c>
      <c r="L348" t="str">
        <f t="array" aca="1" ref="L348" ca="1">IFERROR(IF(OR(INDEX(checklistPesertaKemenkeu!$P$6:$P$1005,SMALL(IF(checklistPesertaKemenkeu!$AY$6:$AY$1005="Direkomendasikan",ROW($6:$1005)-5),347))="",INDEX(checklistPesertaKemenkeu!$J$6:$J$1005,SMALL(IF(checklistPesertaKemenkeu!$AY$6:$AY$1005="Direkomendasikan",ROW($6:$1005)-5),347))=""),"",IF(AND(COUNTIF(INDIRECT("K_"&amp;MATCH(INDEX(checklistPesertaKemenkeu!$J$6:$J$1005,SMALL(IF(checklistPesertaKemenkeu!$AY$6:$AY$1005="Direkomendasikan",ROW($6:$1005)-5),347)),BidangList,0)),INDEX(checklistPesertaKemenkeu!$P$6:$P$1005,SMALL(IF(checklistPesertaKemenkeu!$AY$6:$AY$1005="Direkomendasikan",ROW($6:$1005)-5),347)))&gt;0,COUNTIF(INDIRECT("'KERTAS KERJA'!K"&amp;(SMALL(IF(checklistPesertaKemenkeu!$AY$6:$AY$1005="Direkomendasikan",ROW($6:$1005)-5),347)+5)&amp;":O"&amp;(SMALL(IF(checklistPesertaKemenkeu!$AY$6:$AY$1005="Direkomendasikan",ROW($6:$1005)-5),347)+5)),INDEX(checklistPesertaKemenkeu!$P$6:$P$1005,SMALL(IF(checklistPesertaKemenkeu!$AY$6:$AY$1005="Direkomendasikan",ROW($6:$1005)-5),347)))=1),IFERROR(VLOOKUP(INDEX(checklistPesertaKemenkeu!$P$6:$P$1005,SMALL(IF(checklistPesertaKemenkeu!$AY$6:$AY$1005="Direkomendasikan",ROW($6:$1005)-5),347)),KotaKode,2,0),"-"),"")),"")</f>
        <v/>
      </c>
    </row>
    <row r="349" spans="1:12" ht="15" customHeight="1" x14ac:dyDescent="0.2">
      <c r="A349" t="str">
        <f t="shared" si="5"/>
        <v/>
      </c>
      <c r="B349" t="str">
        <v/>
      </c>
      <c r="C349" s="40" t="str">
        <f t="array" ref="C349">IFERROR(INDEX(checklistPesertaKemenkeu!$F$6:$F$1005,SMALL(IF(checklistPesertaKemenkeu!$AY$6:$AY$1005="Direkomendasikan",ROW($6:$1005)-5),348)),"")</f>
        <v/>
      </c>
      <c r="D349" t="str">
        <f t="array" ref="D349">IFERROR(INDEX(checklistPesertaKemenkeu!$G$6:$G$1005,SMALL(IF(checklistPesertaKemenkeu!$AY$6:$AY$1005="Direkomendasikan",ROW($6:$1005)-5),348)),"")</f>
        <v/>
      </c>
      <c r="E349" t="str">
        <f t="array" ref="E349">IFERROR(INDEX(checklistPesertaKemenkeu!$H$6:$H$1005,SMALL(IF(checklistPesertaKemenkeu!$AY$6:$AY$1005="Direkomendasikan",ROW($6:$1005)-5),348)),"")</f>
        <v/>
      </c>
      <c r="F349" t="str">
        <f t="array" ref="F349">IFERROR(INDEX(checklistPesertaKemenkeu!$I$6:$I$1005,SMALL(IF(checklistPesertaKemenkeu!$AY$6:$AY$1005="Direkomendasikan",ROW($6:$1005)-5),348)),"")</f>
        <v/>
      </c>
      <c r="G349" t="str">
        <f t="array" ref="G349">IFERROR(INDEX(checklistPesertaKemenkeu!$J$6:$J$1005,SMALL(IF(checklistPesertaKemenkeu!$AY$6:$AY$1005="Direkomendasikan",ROW($6:$1005)-5),348)),"")</f>
        <v/>
      </c>
      <c r="H349" t="str">
        <f t="array" aca="1" ref="H349" ca="1">IFERROR(IF(OR(INDEX(checklistPesertaKemenkeu!$L$6:$L$1005,SMALL(IF(checklistPesertaKemenkeu!$AY$6:$AY$1005="Direkomendasikan",ROW($6:$1005)-5),348))="",INDEX(checklistPesertaKemenkeu!$J$6:$J$1005,SMALL(IF(checklistPesertaKemenkeu!$AY$6:$AY$1005="Direkomendasikan",ROW($6:$1005)-5),348))=""),"",IF(AND(COUNTIF(INDIRECT("K_"&amp;MATCH(INDEX(checklistPesertaKemenkeu!$J$6:$J$1005,SMALL(IF(checklistPesertaKemenkeu!$AY$6:$AY$1005="Direkomendasikan",ROW($6:$1005)-5),348)),BidangList,0)),INDEX(checklistPesertaKemenkeu!$L$6:$L$1005,SMALL(IF(checklistPesertaKemenkeu!$AY$6:$AY$1005="Direkomendasikan",ROW($6:$1005)-5),348)))&gt;0,COUNTIF(INDIRECT("'KERTAS KERJA'!K"&amp;(SMALL(IF(checklistPesertaKemenkeu!$AY$6:$AY$1005="Direkomendasikan",ROW($6:$1005)-5),348)+5)&amp;":O"&amp;(SMALL(IF(checklistPesertaKemenkeu!$AY$6:$AY$1005="Direkomendasikan",ROW($6:$1005)-5),348)+5)),INDEX(checklistPesertaKemenkeu!$L$6:$L$1005,SMALL(IF(checklistPesertaKemenkeu!$AY$6:$AY$1005="Direkomendasikan",ROW($6:$1005)-5),348)))=1),IFERROR(VLOOKUP(INDEX(checklistPesertaKemenkeu!$L$6:$L$1005,SMALL(IF(checklistPesertaKemenkeu!$AY$6:$AY$1005="Direkomendasikan",ROW($6:$1005)-5),348)),KotaKode,2,0),"-"),"")),"")</f>
        <v/>
      </c>
      <c r="I349" t="str">
        <f t="array" aca="1" ref="I349" ca="1">IFERROR(IF(OR(INDEX(checklistPesertaKemenkeu!$M$6:$M$1005,SMALL(IF(checklistPesertaKemenkeu!$AY$6:$AY$1005="Direkomendasikan",ROW($6:$1005)-5),348))="",INDEX(checklistPesertaKemenkeu!$J$6:$J$1005,SMALL(IF(checklistPesertaKemenkeu!$AY$6:$AY$1005="Direkomendasikan",ROW($6:$1005)-5),348))=""),"",IF(AND(COUNTIF(INDIRECT("K_"&amp;MATCH(INDEX(checklistPesertaKemenkeu!$J$6:$J$1005,SMALL(IF(checklistPesertaKemenkeu!$AY$6:$AY$1005="Direkomendasikan",ROW($6:$1005)-5),348)),BidangList,0)),INDEX(checklistPesertaKemenkeu!$M$6:$M$1005,SMALL(IF(checklistPesertaKemenkeu!$AY$6:$AY$1005="Direkomendasikan",ROW($6:$1005)-5),348)))&gt;0,COUNTIF(INDIRECT("'KERTAS KERJA'!K"&amp;(SMALL(IF(checklistPesertaKemenkeu!$AY$6:$AY$1005="Direkomendasikan",ROW($6:$1005)-5),348)+5)&amp;":O"&amp;(SMALL(IF(checklistPesertaKemenkeu!$AY$6:$AY$1005="Direkomendasikan",ROW($6:$1005)-5),348)+5)),INDEX(checklistPesertaKemenkeu!$M$6:$M$1005,SMALL(IF(checklistPesertaKemenkeu!$AY$6:$AY$1005="Direkomendasikan",ROW($6:$1005)-5),348)))=1),IFERROR(VLOOKUP(INDEX(checklistPesertaKemenkeu!$M$6:$M$1005,SMALL(IF(checklistPesertaKemenkeu!$AY$6:$AY$1005="Direkomendasikan",ROW($6:$1005)-5),348)),KotaKode,2,0),"-"),"")),"")</f>
        <v/>
      </c>
      <c r="J349" t="str">
        <f t="array" aca="1" ref="J349" ca="1">IFERROR(IF(OR(INDEX(checklistPesertaKemenkeu!$N$6:$N$1005,SMALL(IF(checklistPesertaKemenkeu!$AY$6:$AY$1005="Direkomendasikan",ROW($6:$1005)-5),348))="",INDEX(checklistPesertaKemenkeu!$J$6:$J$1005,SMALL(IF(checklistPesertaKemenkeu!$AY$6:$AY$1005="Direkomendasikan",ROW($6:$1005)-5),348))=""),"",IF(AND(COUNTIF(INDIRECT("K_"&amp;MATCH(INDEX(checklistPesertaKemenkeu!$J$6:$J$1005,SMALL(IF(checklistPesertaKemenkeu!$AY$6:$AY$1005="Direkomendasikan",ROW($6:$1005)-5),348)),BidangList,0)),INDEX(checklistPesertaKemenkeu!$N$6:$N$1005,SMALL(IF(checklistPesertaKemenkeu!$AY$6:$AY$1005="Direkomendasikan",ROW($6:$1005)-5),348)))&gt;0,COUNTIF(INDIRECT("'KERTAS KERJA'!K"&amp;(SMALL(IF(checklistPesertaKemenkeu!$AY$6:$AY$1005="Direkomendasikan",ROW($6:$1005)-5),348)+5)&amp;":O"&amp;(SMALL(IF(checklistPesertaKemenkeu!$AY$6:$AY$1005="Direkomendasikan",ROW($6:$1005)-5),348)+5)),INDEX(checklistPesertaKemenkeu!$N$6:$N$1005,SMALL(IF(checklistPesertaKemenkeu!$AY$6:$AY$1005="Direkomendasikan",ROW($6:$1005)-5),348)))=1),IFERROR(VLOOKUP(INDEX(checklistPesertaKemenkeu!$N$6:$N$1005,SMALL(IF(checklistPesertaKemenkeu!$AY$6:$AY$1005="Direkomendasikan",ROW($6:$1005)-5),348)),KotaKode,2,0),"-"),"")),"")</f>
        <v/>
      </c>
      <c r="K349" t="str">
        <f t="array" aca="1" ref="K349" ca="1">IFERROR(IF(OR(INDEX(checklistPesertaKemenkeu!$O$6:$O$1005,SMALL(IF(checklistPesertaKemenkeu!$AY$6:$AY$1005="Direkomendasikan",ROW($6:$1005)-5),348))="",INDEX(checklistPesertaKemenkeu!$J$6:$J$1005,SMALL(IF(checklistPesertaKemenkeu!$AY$6:$AY$1005="Direkomendasikan",ROW($6:$1005)-5),348))=""),"",IF(AND(COUNTIF(INDIRECT("K_"&amp;MATCH(INDEX(checklistPesertaKemenkeu!$J$6:$J$1005,SMALL(IF(checklistPesertaKemenkeu!$AY$6:$AY$1005="Direkomendasikan",ROW($6:$1005)-5),348)),BidangList,0)),INDEX(checklistPesertaKemenkeu!$O$6:$O$1005,SMALL(IF(checklistPesertaKemenkeu!$AY$6:$AY$1005="Direkomendasikan",ROW($6:$1005)-5),348)))&gt;0,COUNTIF(INDIRECT("'KERTAS KERJA'!K"&amp;(SMALL(IF(checklistPesertaKemenkeu!$AY$6:$AY$1005="Direkomendasikan",ROW($6:$1005)-5),348)+5)&amp;":O"&amp;(SMALL(IF(checklistPesertaKemenkeu!$AY$6:$AY$1005="Direkomendasikan",ROW($6:$1005)-5),348)+5)),INDEX(checklistPesertaKemenkeu!$O$6:$O$1005,SMALL(IF(checklistPesertaKemenkeu!$AY$6:$AY$1005="Direkomendasikan",ROW($6:$1005)-5),348)))=1),IFERROR(VLOOKUP(INDEX(checklistPesertaKemenkeu!$O$6:$O$1005,SMALL(IF(checklistPesertaKemenkeu!$AY$6:$AY$1005="Direkomendasikan",ROW($6:$1005)-5),348)),KotaKode,2,0),"-"),"")),"")</f>
        <v/>
      </c>
      <c r="L349" t="str">
        <f t="array" aca="1" ref="L349" ca="1">IFERROR(IF(OR(INDEX(checklistPesertaKemenkeu!$P$6:$P$1005,SMALL(IF(checklistPesertaKemenkeu!$AY$6:$AY$1005="Direkomendasikan",ROW($6:$1005)-5),348))="",INDEX(checklistPesertaKemenkeu!$J$6:$J$1005,SMALL(IF(checklistPesertaKemenkeu!$AY$6:$AY$1005="Direkomendasikan",ROW($6:$1005)-5),348))=""),"",IF(AND(COUNTIF(INDIRECT("K_"&amp;MATCH(INDEX(checklistPesertaKemenkeu!$J$6:$J$1005,SMALL(IF(checklistPesertaKemenkeu!$AY$6:$AY$1005="Direkomendasikan",ROW($6:$1005)-5),348)),BidangList,0)),INDEX(checklistPesertaKemenkeu!$P$6:$P$1005,SMALL(IF(checklistPesertaKemenkeu!$AY$6:$AY$1005="Direkomendasikan",ROW($6:$1005)-5),348)))&gt;0,COUNTIF(INDIRECT("'KERTAS KERJA'!K"&amp;(SMALL(IF(checklistPesertaKemenkeu!$AY$6:$AY$1005="Direkomendasikan",ROW($6:$1005)-5),348)+5)&amp;":O"&amp;(SMALL(IF(checklistPesertaKemenkeu!$AY$6:$AY$1005="Direkomendasikan",ROW($6:$1005)-5),348)+5)),INDEX(checklistPesertaKemenkeu!$P$6:$P$1005,SMALL(IF(checklistPesertaKemenkeu!$AY$6:$AY$1005="Direkomendasikan",ROW($6:$1005)-5),348)))=1),IFERROR(VLOOKUP(INDEX(checklistPesertaKemenkeu!$P$6:$P$1005,SMALL(IF(checklistPesertaKemenkeu!$AY$6:$AY$1005="Direkomendasikan",ROW($6:$1005)-5),348)),KotaKode,2,0),"-"),"")),"")</f>
        <v/>
      </c>
    </row>
    <row r="350" spans="1:12" ht="15" customHeight="1" x14ac:dyDescent="0.2">
      <c r="A350" t="str">
        <f t="shared" si="5"/>
        <v/>
      </c>
      <c r="B350" t="str">
        <v/>
      </c>
      <c r="C350" s="40" t="str">
        <f t="array" ref="C350">IFERROR(INDEX(checklistPesertaKemenkeu!$F$6:$F$1005,SMALL(IF(checklistPesertaKemenkeu!$AY$6:$AY$1005="Direkomendasikan",ROW($6:$1005)-5),349)),"")</f>
        <v/>
      </c>
      <c r="D350" t="str">
        <f t="array" ref="D350">IFERROR(INDEX(checklistPesertaKemenkeu!$G$6:$G$1005,SMALL(IF(checklistPesertaKemenkeu!$AY$6:$AY$1005="Direkomendasikan",ROW($6:$1005)-5),349)),"")</f>
        <v/>
      </c>
      <c r="E350" t="str">
        <f t="array" ref="E350">IFERROR(INDEX(checklistPesertaKemenkeu!$H$6:$H$1005,SMALL(IF(checklistPesertaKemenkeu!$AY$6:$AY$1005="Direkomendasikan",ROW($6:$1005)-5),349)),"")</f>
        <v/>
      </c>
      <c r="F350" t="str">
        <f t="array" ref="F350">IFERROR(INDEX(checklistPesertaKemenkeu!$I$6:$I$1005,SMALL(IF(checklistPesertaKemenkeu!$AY$6:$AY$1005="Direkomendasikan",ROW($6:$1005)-5),349)),"")</f>
        <v/>
      </c>
      <c r="G350" t="str">
        <f t="array" ref="G350">IFERROR(INDEX(checklistPesertaKemenkeu!$J$6:$J$1005,SMALL(IF(checklistPesertaKemenkeu!$AY$6:$AY$1005="Direkomendasikan",ROW($6:$1005)-5),349)),"")</f>
        <v/>
      </c>
      <c r="H350" t="str">
        <f t="array" aca="1" ref="H350" ca="1">IFERROR(IF(OR(INDEX(checklistPesertaKemenkeu!$L$6:$L$1005,SMALL(IF(checklistPesertaKemenkeu!$AY$6:$AY$1005="Direkomendasikan",ROW($6:$1005)-5),349))="",INDEX(checklistPesertaKemenkeu!$J$6:$J$1005,SMALL(IF(checklistPesertaKemenkeu!$AY$6:$AY$1005="Direkomendasikan",ROW($6:$1005)-5),349))=""),"",IF(AND(COUNTIF(INDIRECT("K_"&amp;MATCH(INDEX(checklistPesertaKemenkeu!$J$6:$J$1005,SMALL(IF(checklistPesertaKemenkeu!$AY$6:$AY$1005="Direkomendasikan",ROW($6:$1005)-5),349)),BidangList,0)),INDEX(checklistPesertaKemenkeu!$L$6:$L$1005,SMALL(IF(checklistPesertaKemenkeu!$AY$6:$AY$1005="Direkomendasikan",ROW($6:$1005)-5),349)))&gt;0,COUNTIF(INDIRECT("'KERTAS KERJA'!K"&amp;(SMALL(IF(checklistPesertaKemenkeu!$AY$6:$AY$1005="Direkomendasikan",ROW($6:$1005)-5),349)+5)&amp;":O"&amp;(SMALL(IF(checklistPesertaKemenkeu!$AY$6:$AY$1005="Direkomendasikan",ROW($6:$1005)-5),349)+5)),INDEX(checklistPesertaKemenkeu!$L$6:$L$1005,SMALL(IF(checklistPesertaKemenkeu!$AY$6:$AY$1005="Direkomendasikan",ROW($6:$1005)-5),349)))=1),IFERROR(VLOOKUP(INDEX(checklistPesertaKemenkeu!$L$6:$L$1005,SMALL(IF(checklistPesertaKemenkeu!$AY$6:$AY$1005="Direkomendasikan",ROW($6:$1005)-5),349)),KotaKode,2,0),"-"),"")),"")</f>
        <v/>
      </c>
      <c r="I350" t="str">
        <f t="array" aca="1" ref="I350" ca="1">IFERROR(IF(OR(INDEX(checklistPesertaKemenkeu!$M$6:$M$1005,SMALL(IF(checklistPesertaKemenkeu!$AY$6:$AY$1005="Direkomendasikan",ROW($6:$1005)-5),349))="",INDEX(checklistPesertaKemenkeu!$J$6:$J$1005,SMALL(IF(checklistPesertaKemenkeu!$AY$6:$AY$1005="Direkomendasikan",ROW($6:$1005)-5),349))=""),"",IF(AND(COUNTIF(INDIRECT("K_"&amp;MATCH(INDEX(checklistPesertaKemenkeu!$J$6:$J$1005,SMALL(IF(checklistPesertaKemenkeu!$AY$6:$AY$1005="Direkomendasikan",ROW($6:$1005)-5),349)),BidangList,0)),INDEX(checklistPesertaKemenkeu!$M$6:$M$1005,SMALL(IF(checklistPesertaKemenkeu!$AY$6:$AY$1005="Direkomendasikan",ROW($6:$1005)-5),349)))&gt;0,COUNTIF(INDIRECT("'KERTAS KERJA'!K"&amp;(SMALL(IF(checklistPesertaKemenkeu!$AY$6:$AY$1005="Direkomendasikan",ROW($6:$1005)-5),349)+5)&amp;":O"&amp;(SMALL(IF(checklistPesertaKemenkeu!$AY$6:$AY$1005="Direkomendasikan",ROW($6:$1005)-5),349)+5)),INDEX(checklistPesertaKemenkeu!$M$6:$M$1005,SMALL(IF(checklistPesertaKemenkeu!$AY$6:$AY$1005="Direkomendasikan",ROW($6:$1005)-5),349)))=1),IFERROR(VLOOKUP(INDEX(checklistPesertaKemenkeu!$M$6:$M$1005,SMALL(IF(checklistPesertaKemenkeu!$AY$6:$AY$1005="Direkomendasikan",ROW($6:$1005)-5),349)),KotaKode,2,0),"-"),"")),"")</f>
        <v/>
      </c>
      <c r="J350" t="str">
        <f t="array" aca="1" ref="J350" ca="1">IFERROR(IF(OR(INDEX(checklistPesertaKemenkeu!$N$6:$N$1005,SMALL(IF(checklistPesertaKemenkeu!$AY$6:$AY$1005="Direkomendasikan",ROW($6:$1005)-5),349))="",INDEX(checklistPesertaKemenkeu!$J$6:$J$1005,SMALL(IF(checklistPesertaKemenkeu!$AY$6:$AY$1005="Direkomendasikan",ROW($6:$1005)-5),349))=""),"",IF(AND(COUNTIF(INDIRECT("K_"&amp;MATCH(INDEX(checklistPesertaKemenkeu!$J$6:$J$1005,SMALL(IF(checklistPesertaKemenkeu!$AY$6:$AY$1005="Direkomendasikan",ROW($6:$1005)-5),349)),BidangList,0)),INDEX(checklistPesertaKemenkeu!$N$6:$N$1005,SMALL(IF(checklistPesertaKemenkeu!$AY$6:$AY$1005="Direkomendasikan",ROW($6:$1005)-5),349)))&gt;0,COUNTIF(INDIRECT("'KERTAS KERJA'!K"&amp;(SMALL(IF(checklistPesertaKemenkeu!$AY$6:$AY$1005="Direkomendasikan",ROW($6:$1005)-5),349)+5)&amp;":O"&amp;(SMALL(IF(checklistPesertaKemenkeu!$AY$6:$AY$1005="Direkomendasikan",ROW($6:$1005)-5),349)+5)),INDEX(checklistPesertaKemenkeu!$N$6:$N$1005,SMALL(IF(checklistPesertaKemenkeu!$AY$6:$AY$1005="Direkomendasikan",ROW($6:$1005)-5),349)))=1),IFERROR(VLOOKUP(INDEX(checklistPesertaKemenkeu!$N$6:$N$1005,SMALL(IF(checklistPesertaKemenkeu!$AY$6:$AY$1005="Direkomendasikan",ROW($6:$1005)-5),349)),KotaKode,2,0),"-"),"")),"")</f>
        <v/>
      </c>
      <c r="K350" t="str">
        <f t="array" aca="1" ref="K350" ca="1">IFERROR(IF(OR(INDEX(checklistPesertaKemenkeu!$O$6:$O$1005,SMALL(IF(checklistPesertaKemenkeu!$AY$6:$AY$1005="Direkomendasikan",ROW($6:$1005)-5),349))="",INDEX(checklistPesertaKemenkeu!$J$6:$J$1005,SMALL(IF(checklistPesertaKemenkeu!$AY$6:$AY$1005="Direkomendasikan",ROW($6:$1005)-5),349))=""),"",IF(AND(COUNTIF(INDIRECT("K_"&amp;MATCH(INDEX(checklistPesertaKemenkeu!$J$6:$J$1005,SMALL(IF(checklistPesertaKemenkeu!$AY$6:$AY$1005="Direkomendasikan",ROW($6:$1005)-5),349)),BidangList,0)),INDEX(checklistPesertaKemenkeu!$O$6:$O$1005,SMALL(IF(checklistPesertaKemenkeu!$AY$6:$AY$1005="Direkomendasikan",ROW($6:$1005)-5),349)))&gt;0,COUNTIF(INDIRECT("'KERTAS KERJA'!K"&amp;(SMALL(IF(checklistPesertaKemenkeu!$AY$6:$AY$1005="Direkomendasikan",ROW($6:$1005)-5),349)+5)&amp;":O"&amp;(SMALL(IF(checklistPesertaKemenkeu!$AY$6:$AY$1005="Direkomendasikan",ROW($6:$1005)-5),349)+5)),INDEX(checklistPesertaKemenkeu!$O$6:$O$1005,SMALL(IF(checklistPesertaKemenkeu!$AY$6:$AY$1005="Direkomendasikan",ROW($6:$1005)-5),349)))=1),IFERROR(VLOOKUP(INDEX(checklistPesertaKemenkeu!$O$6:$O$1005,SMALL(IF(checklistPesertaKemenkeu!$AY$6:$AY$1005="Direkomendasikan",ROW($6:$1005)-5),349)),KotaKode,2,0),"-"),"")),"")</f>
        <v/>
      </c>
      <c r="L350" t="str">
        <f t="array" aca="1" ref="L350" ca="1">IFERROR(IF(OR(INDEX(checklistPesertaKemenkeu!$P$6:$P$1005,SMALL(IF(checklistPesertaKemenkeu!$AY$6:$AY$1005="Direkomendasikan",ROW($6:$1005)-5),349))="",INDEX(checklistPesertaKemenkeu!$J$6:$J$1005,SMALL(IF(checklistPesertaKemenkeu!$AY$6:$AY$1005="Direkomendasikan",ROW($6:$1005)-5),349))=""),"",IF(AND(COUNTIF(INDIRECT("K_"&amp;MATCH(INDEX(checklistPesertaKemenkeu!$J$6:$J$1005,SMALL(IF(checklistPesertaKemenkeu!$AY$6:$AY$1005="Direkomendasikan",ROW($6:$1005)-5),349)),BidangList,0)),INDEX(checklistPesertaKemenkeu!$P$6:$P$1005,SMALL(IF(checklistPesertaKemenkeu!$AY$6:$AY$1005="Direkomendasikan",ROW($6:$1005)-5),349)))&gt;0,COUNTIF(INDIRECT("'KERTAS KERJA'!K"&amp;(SMALL(IF(checklistPesertaKemenkeu!$AY$6:$AY$1005="Direkomendasikan",ROW($6:$1005)-5),349)+5)&amp;":O"&amp;(SMALL(IF(checklistPesertaKemenkeu!$AY$6:$AY$1005="Direkomendasikan",ROW($6:$1005)-5),349)+5)),INDEX(checklistPesertaKemenkeu!$P$6:$P$1005,SMALL(IF(checklistPesertaKemenkeu!$AY$6:$AY$1005="Direkomendasikan",ROW($6:$1005)-5),349)))=1),IFERROR(VLOOKUP(INDEX(checklistPesertaKemenkeu!$P$6:$P$1005,SMALL(IF(checklistPesertaKemenkeu!$AY$6:$AY$1005="Direkomendasikan",ROW($6:$1005)-5),349)),KotaKode,2,0),"-"),"")),"")</f>
        <v/>
      </c>
    </row>
    <row r="351" spans="1:12" ht="15" customHeight="1" x14ac:dyDescent="0.2">
      <c r="A351" t="str">
        <f t="shared" si="5"/>
        <v/>
      </c>
      <c r="B351" t="str">
        <v/>
      </c>
      <c r="C351" s="40" t="str">
        <f t="array" ref="C351">IFERROR(INDEX(checklistPesertaKemenkeu!$F$6:$F$1005,SMALL(IF(checklistPesertaKemenkeu!$AY$6:$AY$1005="Direkomendasikan",ROW($6:$1005)-5),350)),"")</f>
        <v/>
      </c>
      <c r="D351" t="str">
        <f t="array" ref="D351">IFERROR(INDEX(checklistPesertaKemenkeu!$G$6:$G$1005,SMALL(IF(checklistPesertaKemenkeu!$AY$6:$AY$1005="Direkomendasikan",ROW($6:$1005)-5),350)),"")</f>
        <v/>
      </c>
      <c r="E351" t="str">
        <f t="array" ref="E351">IFERROR(INDEX(checklistPesertaKemenkeu!$H$6:$H$1005,SMALL(IF(checklistPesertaKemenkeu!$AY$6:$AY$1005="Direkomendasikan",ROW($6:$1005)-5),350)),"")</f>
        <v/>
      </c>
      <c r="F351" t="str">
        <f t="array" ref="F351">IFERROR(INDEX(checklistPesertaKemenkeu!$I$6:$I$1005,SMALL(IF(checklistPesertaKemenkeu!$AY$6:$AY$1005="Direkomendasikan",ROW($6:$1005)-5),350)),"")</f>
        <v/>
      </c>
      <c r="G351" t="str">
        <f t="array" ref="G351">IFERROR(INDEX(checklistPesertaKemenkeu!$J$6:$J$1005,SMALL(IF(checklistPesertaKemenkeu!$AY$6:$AY$1005="Direkomendasikan",ROW($6:$1005)-5),350)),"")</f>
        <v/>
      </c>
      <c r="H351" t="str">
        <f t="array" aca="1" ref="H351" ca="1">IFERROR(IF(OR(INDEX(checklistPesertaKemenkeu!$L$6:$L$1005,SMALL(IF(checklistPesertaKemenkeu!$AY$6:$AY$1005="Direkomendasikan",ROW($6:$1005)-5),350))="",INDEX(checklistPesertaKemenkeu!$J$6:$J$1005,SMALL(IF(checklistPesertaKemenkeu!$AY$6:$AY$1005="Direkomendasikan",ROW($6:$1005)-5),350))=""),"",IF(AND(COUNTIF(INDIRECT("K_"&amp;MATCH(INDEX(checklistPesertaKemenkeu!$J$6:$J$1005,SMALL(IF(checklistPesertaKemenkeu!$AY$6:$AY$1005="Direkomendasikan",ROW($6:$1005)-5),350)),BidangList,0)),INDEX(checklistPesertaKemenkeu!$L$6:$L$1005,SMALL(IF(checklistPesertaKemenkeu!$AY$6:$AY$1005="Direkomendasikan",ROW($6:$1005)-5),350)))&gt;0,COUNTIF(INDIRECT("'KERTAS KERJA'!K"&amp;(SMALL(IF(checklistPesertaKemenkeu!$AY$6:$AY$1005="Direkomendasikan",ROW($6:$1005)-5),350)+5)&amp;":O"&amp;(SMALL(IF(checklistPesertaKemenkeu!$AY$6:$AY$1005="Direkomendasikan",ROW($6:$1005)-5),350)+5)),INDEX(checklistPesertaKemenkeu!$L$6:$L$1005,SMALL(IF(checklistPesertaKemenkeu!$AY$6:$AY$1005="Direkomendasikan",ROW($6:$1005)-5),350)))=1),IFERROR(VLOOKUP(INDEX(checklistPesertaKemenkeu!$L$6:$L$1005,SMALL(IF(checklistPesertaKemenkeu!$AY$6:$AY$1005="Direkomendasikan",ROW($6:$1005)-5),350)),KotaKode,2,0),"-"),"")),"")</f>
        <v/>
      </c>
      <c r="I351" t="str">
        <f t="array" aca="1" ref="I351" ca="1">IFERROR(IF(OR(INDEX(checklistPesertaKemenkeu!$M$6:$M$1005,SMALL(IF(checklistPesertaKemenkeu!$AY$6:$AY$1005="Direkomendasikan",ROW($6:$1005)-5),350))="",INDEX(checklistPesertaKemenkeu!$J$6:$J$1005,SMALL(IF(checklistPesertaKemenkeu!$AY$6:$AY$1005="Direkomendasikan",ROW($6:$1005)-5),350))=""),"",IF(AND(COUNTIF(INDIRECT("K_"&amp;MATCH(INDEX(checklistPesertaKemenkeu!$J$6:$J$1005,SMALL(IF(checklistPesertaKemenkeu!$AY$6:$AY$1005="Direkomendasikan",ROW($6:$1005)-5),350)),BidangList,0)),INDEX(checklistPesertaKemenkeu!$M$6:$M$1005,SMALL(IF(checklistPesertaKemenkeu!$AY$6:$AY$1005="Direkomendasikan",ROW($6:$1005)-5),350)))&gt;0,COUNTIF(INDIRECT("'KERTAS KERJA'!K"&amp;(SMALL(IF(checklistPesertaKemenkeu!$AY$6:$AY$1005="Direkomendasikan",ROW($6:$1005)-5),350)+5)&amp;":O"&amp;(SMALL(IF(checklistPesertaKemenkeu!$AY$6:$AY$1005="Direkomendasikan",ROW($6:$1005)-5),350)+5)),INDEX(checklistPesertaKemenkeu!$M$6:$M$1005,SMALL(IF(checklistPesertaKemenkeu!$AY$6:$AY$1005="Direkomendasikan",ROW($6:$1005)-5),350)))=1),IFERROR(VLOOKUP(INDEX(checklistPesertaKemenkeu!$M$6:$M$1005,SMALL(IF(checklistPesertaKemenkeu!$AY$6:$AY$1005="Direkomendasikan",ROW($6:$1005)-5),350)),KotaKode,2,0),"-"),"")),"")</f>
        <v/>
      </c>
      <c r="J351" t="str">
        <f t="array" aca="1" ref="J351" ca="1">IFERROR(IF(OR(INDEX(checklistPesertaKemenkeu!$N$6:$N$1005,SMALL(IF(checklistPesertaKemenkeu!$AY$6:$AY$1005="Direkomendasikan",ROW($6:$1005)-5),350))="",INDEX(checklistPesertaKemenkeu!$J$6:$J$1005,SMALL(IF(checklistPesertaKemenkeu!$AY$6:$AY$1005="Direkomendasikan",ROW($6:$1005)-5),350))=""),"",IF(AND(COUNTIF(INDIRECT("K_"&amp;MATCH(INDEX(checklistPesertaKemenkeu!$J$6:$J$1005,SMALL(IF(checklistPesertaKemenkeu!$AY$6:$AY$1005="Direkomendasikan",ROW($6:$1005)-5),350)),BidangList,0)),INDEX(checklistPesertaKemenkeu!$N$6:$N$1005,SMALL(IF(checklistPesertaKemenkeu!$AY$6:$AY$1005="Direkomendasikan",ROW($6:$1005)-5),350)))&gt;0,COUNTIF(INDIRECT("'KERTAS KERJA'!K"&amp;(SMALL(IF(checklistPesertaKemenkeu!$AY$6:$AY$1005="Direkomendasikan",ROW($6:$1005)-5),350)+5)&amp;":O"&amp;(SMALL(IF(checklistPesertaKemenkeu!$AY$6:$AY$1005="Direkomendasikan",ROW($6:$1005)-5),350)+5)),INDEX(checklistPesertaKemenkeu!$N$6:$N$1005,SMALL(IF(checklistPesertaKemenkeu!$AY$6:$AY$1005="Direkomendasikan",ROW($6:$1005)-5),350)))=1),IFERROR(VLOOKUP(INDEX(checklistPesertaKemenkeu!$N$6:$N$1005,SMALL(IF(checklistPesertaKemenkeu!$AY$6:$AY$1005="Direkomendasikan",ROW($6:$1005)-5),350)),KotaKode,2,0),"-"),"")),"")</f>
        <v/>
      </c>
      <c r="K351" t="str">
        <f t="array" aca="1" ref="K351" ca="1">IFERROR(IF(OR(INDEX(checklistPesertaKemenkeu!$O$6:$O$1005,SMALL(IF(checklistPesertaKemenkeu!$AY$6:$AY$1005="Direkomendasikan",ROW($6:$1005)-5),350))="",INDEX(checklistPesertaKemenkeu!$J$6:$J$1005,SMALL(IF(checklistPesertaKemenkeu!$AY$6:$AY$1005="Direkomendasikan",ROW($6:$1005)-5),350))=""),"",IF(AND(COUNTIF(INDIRECT("K_"&amp;MATCH(INDEX(checklistPesertaKemenkeu!$J$6:$J$1005,SMALL(IF(checklistPesertaKemenkeu!$AY$6:$AY$1005="Direkomendasikan",ROW($6:$1005)-5),350)),BidangList,0)),INDEX(checklistPesertaKemenkeu!$O$6:$O$1005,SMALL(IF(checklistPesertaKemenkeu!$AY$6:$AY$1005="Direkomendasikan",ROW($6:$1005)-5),350)))&gt;0,COUNTIF(INDIRECT("'KERTAS KERJA'!K"&amp;(SMALL(IF(checklistPesertaKemenkeu!$AY$6:$AY$1005="Direkomendasikan",ROW($6:$1005)-5),350)+5)&amp;":O"&amp;(SMALL(IF(checklistPesertaKemenkeu!$AY$6:$AY$1005="Direkomendasikan",ROW($6:$1005)-5),350)+5)),INDEX(checklistPesertaKemenkeu!$O$6:$O$1005,SMALL(IF(checklistPesertaKemenkeu!$AY$6:$AY$1005="Direkomendasikan",ROW($6:$1005)-5),350)))=1),IFERROR(VLOOKUP(INDEX(checklistPesertaKemenkeu!$O$6:$O$1005,SMALL(IF(checklistPesertaKemenkeu!$AY$6:$AY$1005="Direkomendasikan",ROW($6:$1005)-5),350)),KotaKode,2,0),"-"),"")),"")</f>
        <v/>
      </c>
      <c r="L351" t="str">
        <f t="array" aca="1" ref="L351" ca="1">IFERROR(IF(OR(INDEX(checklistPesertaKemenkeu!$P$6:$P$1005,SMALL(IF(checklistPesertaKemenkeu!$AY$6:$AY$1005="Direkomendasikan",ROW($6:$1005)-5),350))="",INDEX(checklistPesertaKemenkeu!$J$6:$J$1005,SMALL(IF(checklistPesertaKemenkeu!$AY$6:$AY$1005="Direkomendasikan",ROW($6:$1005)-5),350))=""),"",IF(AND(COUNTIF(INDIRECT("K_"&amp;MATCH(INDEX(checklistPesertaKemenkeu!$J$6:$J$1005,SMALL(IF(checklistPesertaKemenkeu!$AY$6:$AY$1005="Direkomendasikan",ROW($6:$1005)-5),350)),BidangList,0)),INDEX(checklistPesertaKemenkeu!$P$6:$P$1005,SMALL(IF(checklistPesertaKemenkeu!$AY$6:$AY$1005="Direkomendasikan",ROW($6:$1005)-5),350)))&gt;0,COUNTIF(INDIRECT("'KERTAS KERJA'!K"&amp;(SMALL(IF(checklistPesertaKemenkeu!$AY$6:$AY$1005="Direkomendasikan",ROW($6:$1005)-5),350)+5)&amp;":O"&amp;(SMALL(IF(checklistPesertaKemenkeu!$AY$6:$AY$1005="Direkomendasikan",ROW($6:$1005)-5),350)+5)),INDEX(checklistPesertaKemenkeu!$P$6:$P$1005,SMALL(IF(checklistPesertaKemenkeu!$AY$6:$AY$1005="Direkomendasikan",ROW($6:$1005)-5),350)))=1),IFERROR(VLOOKUP(INDEX(checklistPesertaKemenkeu!$P$6:$P$1005,SMALL(IF(checklistPesertaKemenkeu!$AY$6:$AY$1005="Direkomendasikan",ROW($6:$1005)-5),350)),KotaKode,2,0),"-"),"")),"")</f>
        <v/>
      </c>
    </row>
    <row r="352" spans="1:12" ht="15" customHeight="1" x14ac:dyDescent="0.2">
      <c r="A352" t="str">
        <f t="shared" si="5"/>
        <v/>
      </c>
      <c r="B352" t="str">
        <v/>
      </c>
      <c r="C352" s="40" t="str">
        <f t="array" ref="C352">IFERROR(INDEX(checklistPesertaKemenkeu!$F$6:$F$1005,SMALL(IF(checklistPesertaKemenkeu!$AY$6:$AY$1005="Direkomendasikan",ROW($6:$1005)-5),351)),"")</f>
        <v/>
      </c>
      <c r="D352" t="str">
        <f t="array" ref="D352">IFERROR(INDEX(checklistPesertaKemenkeu!$G$6:$G$1005,SMALL(IF(checklistPesertaKemenkeu!$AY$6:$AY$1005="Direkomendasikan",ROW($6:$1005)-5),351)),"")</f>
        <v/>
      </c>
      <c r="E352" t="str">
        <f t="array" ref="E352">IFERROR(INDEX(checklistPesertaKemenkeu!$H$6:$H$1005,SMALL(IF(checklistPesertaKemenkeu!$AY$6:$AY$1005="Direkomendasikan",ROW($6:$1005)-5),351)),"")</f>
        <v/>
      </c>
      <c r="F352" t="str">
        <f t="array" ref="F352">IFERROR(INDEX(checklistPesertaKemenkeu!$I$6:$I$1005,SMALL(IF(checklistPesertaKemenkeu!$AY$6:$AY$1005="Direkomendasikan",ROW($6:$1005)-5),351)),"")</f>
        <v/>
      </c>
      <c r="G352" t="str">
        <f t="array" ref="G352">IFERROR(INDEX(checklistPesertaKemenkeu!$J$6:$J$1005,SMALL(IF(checklistPesertaKemenkeu!$AY$6:$AY$1005="Direkomendasikan",ROW($6:$1005)-5),351)),"")</f>
        <v/>
      </c>
      <c r="H352" t="str">
        <f t="array" aca="1" ref="H352" ca="1">IFERROR(IF(OR(INDEX(checklistPesertaKemenkeu!$L$6:$L$1005,SMALL(IF(checklistPesertaKemenkeu!$AY$6:$AY$1005="Direkomendasikan",ROW($6:$1005)-5),351))="",INDEX(checklistPesertaKemenkeu!$J$6:$J$1005,SMALL(IF(checklistPesertaKemenkeu!$AY$6:$AY$1005="Direkomendasikan",ROW($6:$1005)-5),351))=""),"",IF(AND(COUNTIF(INDIRECT("K_"&amp;MATCH(INDEX(checklistPesertaKemenkeu!$J$6:$J$1005,SMALL(IF(checklistPesertaKemenkeu!$AY$6:$AY$1005="Direkomendasikan",ROW($6:$1005)-5),351)),BidangList,0)),INDEX(checklistPesertaKemenkeu!$L$6:$L$1005,SMALL(IF(checklistPesertaKemenkeu!$AY$6:$AY$1005="Direkomendasikan",ROW($6:$1005)-5),351)))&gt;0,COUNTIF(INDIRECT("'KERTAS KERJA'!K"&amp;(SMALL(IF(checklistPesertaKemenkeu!$AY$6:$AY$1005="Direkomendasikan",ROW($6:$1005)-5),351)+5)&amp;":O"&amp;(SMALL(IF(checklistPesertaKemenkeu!$AY$6:$AY$1005="Direkomendasikan",ROW($6:$1005)-5),351)+5)),INDEX(checklistPesertaKemenkeu!$L$6:$L$1005,SMALL(IF(checklistPesertaKemenkeu!$AY$6:$AY$1005="Direkomendasikan",ROW($6:$1005)-5),351)))=1),IFERROR(VLOOKUP(INDEX(checklistPesertaKemenkeu!$L$6:$L$1005,SMALL(IF(checklistPesertaKemenkeu!$AY$6:$AY$1005="Direkomendasikan",ROW($6:$1005)-5),351)),KotaKode,2,0),"-"),"")),"")</f>
        <v/>
      </c>
      <c r="I352" t="str">
        <f t="array" aca="1" ref="I352" ca="1">IFERROR(IF(OR(INDEX(checklistPesertaKemenkeu!$M$6:$M$1005,SMALL(IF(checklistPesertaKemenkeu!$AY$6:$AY$1005="Direkomendasikan",ROW($6:$1005)-5),351))="",INDEX(checklistPesertaKemenkeu!$J$6:$J$1005,SMALL(IF(checklistPesertaKemenkeu!$AY$6:$AY$1005="Direkomendasikan",ROW($6:$1005)-5),351))=""),"",IF(AND(COUNTIF(INDIRECT("K_"&amp;MATCH(INDEX(checklistPesertaKemenkeu!$J$6:$J$1005,SMALL(IF(checklistPesertaKemenkeu!$AY$6:$AY$1005="Direkomendasikan",ROW($6:$1005)-5),351)),BidangList,0)),INDEX(checklistPesertaKemenkeu!$M$6:$M$1005,SMALL(IF(checklistPesertaKemenkeu!$AY$6:$AY$1005="Direkomendasikan",ROW($6:$1005)-5),351)))&gt;0,COUNTIF(INDIRECT("'KERTAS KERJA'!K"&amp;(SMALL(IF(checklistPesertaKemenkeu!$AY$6:$AY$1005="Direkomendasikan",ROW($6:$1005)-5),351)+5)&amp;":O"&amp;(SMALL(IF(checklistPesertaKemenkeu!$AY$6:$AY$1005="Direkomendasikan",ROW($6:$1005)-5),351)+5)),INDEX(checklistPesertaKemenkeu!$M$6:$M$1005,SMALL(IF(checklistPesertaKemenkeu!$AY$6:$AY$1005="Direkomendasikan",ROW($6:$1005)-5),351)))=1),IFERROR(VLOOKUP(INDEX(checklistPesertaKemenkeu!$M$6:$M$1005,SMALL(IF(checklistPesertaKemenkeu!$AY$6:$AY$1005="Direkomendasikan",ROW($6:$1005)-5),351)),KotaKode,2,0),"-"),"")),"")</f>
        <v/>
      </c>
      <c r="J352" t="str">
        <f t="array" aca="1" ref="J352" ca="1">IFERROR(IF(OR(INDEX(checklistPesertaKemenkeu!$N$6:$N$1005,SMALL(IF(checklistPesertaKemenkeu!$AY$6:$AY$1005="Direkomendasikan",ROW($6:$1005)-5),351))="",INDEX(checklistPesertaKemenkeu!$J$6:$J$1005,SMALL(IF(checklistPesertaKemenkeu!$AY$6:$AY$1005="Direkomendasikan",ROW($6:$1005)-5),351))=""),"",IF(AND(COUNTIF(INDIRECT("K_"&amp;MATCH(INDEX(checklistPesertaKemenkeu!$J$6:$J$1005,SMALL(IF(checklistPesertaKemenkeu!$AY$6:$AY$1005="Direkomendasikan",ROW($6:$1005)-5),351)),BidangList,0)),INDEX(checklistPesertaKemenkeu!$N$6:$N$1005,SMALL(IF(checklistPesertaKemenkeu!$AY$6:$AY$1005="Direkomendasikan",ROW($6:$1005)-5),351)))&gt;0,COUNTIF(INDIRECT("'KERTAS KERJA'!K"&amp;(SMALL(IF(checklistPesertaKemenkeu!$AY$6:$AY$1005="Direkomendasikan",ROW($6:$1005)-5),351)+5)&amp;":O"&amp;(SMALL(IF(checklistPesertaKemenkeu!$AY$6:$AY$1005="Direkomendasikan",ROW($6:$1005)-5),351)+5)),INDEX(checklistPesertaKemenkeu!$N$6:$N$1005,SMALL(IF(checklistPesertaKemenkeu!$AY$6:$AY$1005="Direkomendasikan",ROW($6:$1005)-5),351)))=1),IFERROR(VLOOKUP(INDEX(checklistPesertaKemenkeu!$N$6:$N$1005,SMALL(IF(checklistPesertaKemenkeu!$AY$6:$AY$1005="Direkomendasikan",ROW($6:$1005)-5),351)),KotaKode,2,0),"-"),"")),"")</f>
        <v/>
      </c>
      <c r="K352" t="str">
        <f t="array" aca="1" ref="K352" ca="1">IFERROR(IF(OR(INDEX(checklistPesertaKemenkeu!$O$6:$O$1005,SMALL(IF(checklistPesertaKemenkeu!$AY$6:$AY$1005="Direkomendasikan",ROW($6:$1005)-5),351))="",INDEX(checklistPesertaKemenkeu!$J$6:$J$1005,SMALL(IF(checklistPesertaKemenkeu!$AY$6:$AY$1005="Direkomendasikan",ROW($6:$1005)-5),351))=""),"",IF(AND(COUNTIF(INDIRECT("K_"&amp;MATCH(INDEX(checklistPesertaKemenkeu!$J$6:$J$1005,SMALL(IF(checklistPesertaKemenkeu!$AY$6:$AY$1005="Direkomendasikan",ROW($6:$1005)-5),351)),BidangList,0)),INDEX(checklistPesertaKemenkeu!$O$6:$O$1005,SMALL(IF(checklistPesertaKemenkeu!$AY$6:$AY$1005="Direkomendasikan",ROW($6:$1005)-5),351)))&gt;0,COUNTIF(INDIRECT("'KERTAS KERJA'!K"&amp;(SMALL(IF(checklistPesertaKemenkeu!$AY$6:$AY$1005="Direkomendasikan",ROW($6:$1005)-5),351)+5)&amp;":O"&amp;(SMALL(IF(checklistPesertaKemenkeu!$AY$6:$AY$1005="Direkomendasikan",ROW($6:$1005)-5),351)+5)),INDEX(checklistPesertaKemenkeu!$O$6:$O$1005,SMALL(IF(checklistPesertaKemenkeu!$AY$6:$AY$1005="Direkomendasikan",ROW($6:$1005)-5),351)))=1),IFERROR(VLOOKUP(INDEX(checklistPesertaKemenkeu!$O$6:$O$1005,SMALL(IF(checklistPesertaKemenkeu!$AY$6:$AY$1005="Direkomendasikan",ROW($6:$1005)-5),351)),KotaKode,2,0),"-"),"")),"")</f>
        <v/>
      </c>
      <c r="L352" t="str">
        <f t="array" aca="1" ref="L352" ca="1">IFERROR(IF(OR(INDEX(checklistPesertaKemenkeu!$P$6:$P$1005,SMALL(IF(checklistPesertaKemenkeu!$AY$6:$AY$1005="Direkomendasikan",ROW($6:$1005)-5),351))="",INDEX(checklistPesertaKemenkeu!$J$6:$J$1005,SMALL(IF(checklistPesertaKemenkeu!$AY$6:$AY$1005="Direkomendasikan",ROW($6:$1005)-5),351))=""),"",IF(AND(COUNTIF(INDIRECT("K_"&amp;MATCH(INDEX(checklistPesertaKemenkeu!$J$6:$J$1005,SMALL(IF(checklistPesertaKemenkeu!$AY$6:$AY$1005="Direkomendasikan",ROW($6:$1005)-5),351)),BidangList,0)),INDEX(checklistPesertaKemenkeu!$P$6:$P$1005,SMALL(IF(checklistPesertaKemenkeu!$AY$6:$AY$1005="Direkomendasikan",ROW($6:$1005)-5),351)))&gt;0,COUNTIF(INDIRECT("'KERTAS KERJA'!K"&amp;(SMALL(IF(checklistPesertaKemenkeu!$AY$6:$AY$1005="Direkomendasikan",ROW($6:$1005)-5),351)+5)&amp;":O"&amp;(SMALL(IF(checklistPesertaKemenkeu!$AY$6:$AY$1005="Direkomendasikan",ROW($6:$1005)-5),351)+5)),INDEX(checklistPesertaKemenkeu!$P$6:$P$1005,SMALL(IF(checklistPesertaKemenkeu!$AY$6:$AY$1005="Direkomendasikan",ROW($6:$1005)-5),351)))=1),IFERROR(VLOOKUP(INDEX(checklistPesertaKemenkeu!$P$6:$P$1005,SMALL(IF(checklistPesertaKemenkeu!$AY$6:$AY$1005="Direkomendasikan",ROW($6:$1005)-5),351)),KotaKode,2,0),"-"),"")),"")</f>
        <v/>
      </c>
    </row>
    <row r="353" spans="1:12" ht="15" customHeight="1" x14ac:dyDescent="0.2">
      <c r="A353" t="str">
        <f t="shared" si="5"/>
        <v/>
      </c>
      <c r="B353" t="str">
        <v/>
      </c>
      <c r="C353" s="40" t="str">
        <f t="array" ref="C353">IFERROR(INDEX(checklistPesertaKemenkeu!$F$6:$F$1005,SMALL(IF(checklistPesertaKemenkeu!$AY$6:$AY$1005="Direkomendasikan",ROW($6:$1005)-5),352)),"")</f>
        <v/>
      </c>
      <c r="D353" t="str">
        <f t="array" ref="D353">IFERROR(INDEX(checklistPesertaKemenkeu!$G$6:$G$1005,SMALL(IF(checklistPesertaKemenkeu!$AY$6:$AY$1005="Direkomendasikan",ROW($6:$1005)-5),352)),"")</f>
        <v/>
      </c>
      <c r="E353" t="str">
        <f t="array" ref="E353">IFERROR(INDEX(checklistPesertaKemenkeu!$H$6:$H$1005,SMALL(IF(checklistPesertaKemenkeu!$AY$6:$AY$1005="Direkomendasikan",ROW($6:$1005)-5),352)),"")</f>
        <v/>
      </c>
      <c r="F353" t="str">
        <f t="array" ref="F353">IFERROR(INDEX(checklistPesertaKemenkeu!$I$6:$I$1005,SMALL(IF(checklistPesertaKemenkeu!$AY$6:$AY$1005="Direkomendasikan",ROW($6:$1005)-5),352)),"")</f>
        <v/>
      </c>
      <c r="G353" t="str">
        <f t="array" ref="G353">IFERROR(INDEX(checklistPesertaKemenkeu!$J$6:$J$1005,SMALL(IF(checklistPesertaKemenkeu!$AY$6:$AY$1005="Direkomendasikan",ROW($6:$1005)-5),352)),"")</f>
        <v/>
      </c>
      <c r="H353" t="str">
        <f t="array" aca="1" ref="H353" ca="1">IFERROR(IF(OR(INDEX(checklistPesertaKemenkeu!$L$6:$L$1005,SMALL(IF(checklistPesertaKemenkeu!$AY$6:$AY$1005="Direkomendasikan",ROW($6:$1005)-5),352))="",INDEX(checklistPesertaKemenkeu!$J$6:$J$1005,SMALL(IF(checklistPesertaKemenkeu!$AY$6:$AY$1005="Direkomendasikan",ROW($6:$1005)-5),352))=""),"",IF(AND(COUNTIF(INDIRECT("K_"&amp;MATCH(INDEX(checklistPesertaKemenkeu!$J$6:$J$1005,SMALL(IF(checklistPesertaKemenkeu!$AY$6:$AY$1005="Direkomendasikan",ROW($6:$1005)-5),352)),BidangList,0)),INDEX(checklistPesertaKemenkeu!$L$6:$L$1005,SMALL(IF(checklistPesertaKemenkeu!$AY$6:$AY$1005="Direkomendasikan",ROW($6:$1005)-5),352)))&gt;0,COUNTIF(INDIRECT("'KERTAS KERJA'!K"&amp;(SMALL(IF(checklistPesertaKemenkeu!$AY$6:$AY$1005="Direkomendasikan",ROW($6:$1005)-5),352)+5)&amp;":O"&amp;(SMALL(IF(checklistPesertaKemenkeu!$AY$6:$AY$1005="Direkomendasikan",ROW($6:$1005)-5),352)+5)),INDEX(checklistPesertaKemenkeu!$L$6:$L$1005,SMALL(IF(checklistPesertaKemenkeu!$AY$6:$AY$1005="Direkomendasikan",ROW($6:$1005)-5),352)))=1),IFERROR(VLOOKUP(INDEX(checklistPesertaKemenkeu!$L$6:$L$1005,SMALL(IF(checklistPesertaKemenkeu!$AY$6:$AY$1005="Direkomendasikan",ROW($6:$1005)-5),352)),KotaKode,2,0),"-"),"")),"")</f>
        <v/>
      </c>
      <c r="I353" t="str">
        <f t="array" aca="1" ref="I353" ca="1">IFERROR(IF(OR(INDEX(checklistPesertaKemenkeu!$M$6:$M$1005,SMALL(IF(checklistPesertaKemenkeu!$AY$6:$AY$1005="Direkomendasikan",ROW($6:$1005)-5),352))="",INDEX(checklistPesertaKemenkeu!$J$6:$J$1005,SMALL(IF(checklistPesertaKemenkeu!$AY$6:$AY$1005="Direkomendasikan",ROW($6:$1005)-5),352))=""),"",IF(AND(COUNTIF(INDIRECT("K_"&amp;MATCH(INDEX(checklistPesertaKemenkeu!$J$6:$J$1005,SMALL(IF(checklistPesertaKemenkeu!$AY$6:$AY$1005="Direkomendasikan",ROW($6:$1005)-5),352)),BidangList,0)),INDEX(checklistPesertaKemenkeu!$M$6:$M$1005,SMALL(IF(checklistPesertaKemenkeu!$AY$6:$AY$1005="Direkomendasikan",ROW($6:$1005)-5),352)))&gt;0,COUNTIF(INDIRECT("'KERTAS KERJA'!K"&amp;(SMALL(IF(checklistPesertaKemenkeu!$AY$6:$AY$1005="Direkomendasikan",ROW($6:$1005)-5),352)+5)&amp;":O"&amp;(SMALL(IF(checklistPesertaKemenkeu!$AY$6:$AY$1005="Direkomendasikan",ROW($6:$1005)-5),352)+5)),INDEX(checklistPesertaKemenkeu!$M$6:$M$1005,SMALL(IF(checklistPesertaKemenkeu!$AY$6:$AY$1005="Direkomendasikan",ROW($6:$1005)-5),352)))=1),IFERROR(VLOOKUP(INDEX(checklistPesertaKemenkeu!$M$6:$M$1005,SMALL(IF(checklistPesertaKemenkeu!$AY$6:$AY$1005="Direkomendasikan",ROW($6:$1005)-5),352)),KotaKode,2,0),"-"),"")),"")</f>
        <v/>
      </c>
      <c r="J353" t="str">
        <f t="array" aca="1" ref="J353" ca="1">IFERROR(IF(OR(INDEX(checklistPesertaKemenkeu!$N$6:$N$1005,SMALL(IF(checklistPesertaKemenkeu!$AY$6:$AY$1005="Direkomendasikan",ROW($6:$1005)-5),352))="",INDEX(checklistPesertaKemenkeu!$J$6:$J$1005,SMALL(IF(checklistPesertaKemenkeu!$AY$6:$AY$1005="Direkomendasikan",ROW($6:$1005)-5),352))=""),"",IF(AND(COUNTIF(INDIRECT("K_"&amp;MATCH(INDEX(checklistPesertaKemenkeu!$J$6:$J$1005,SMALL(IF(checklistPesertaKemenkeu!$AY$6:$AY$1005="Direkomendasikan",ROW($6:$1005)-5),352)),BidangList,0)),INDEX(checklistPesertaKemenkeu!$N$6:$N$1005,SMALL(IF(checklistPesertaKemenkeu!$AY$6:$AY$1005="Direkomendasikan",ROW($6:$1005)-5),352)))&gt;0,COUNTIF(INDIRECT("'KERTAS KERJA'!K"&amp;(SMALL(IF(checklistPesertaKemenkeu!$AY$6:$AY$1005="Direkomendasikan",ROW($6:$1005)-5),352)+5)&amp;":O"&amp;(SMALL(IF(checklistPesertaKemenkeu!$AY$6:$AY$1005="Direkomendasikan",ROW($6:$1005)-5),352)+5)),INDEX(checklistPesertaKemenkeu!$N$6:$N$1005,SMALL(IF(checklistPesertaKemenkeu!$AY$6:$AY$1005="Direkomendasikan",ROW($6:$1005)-5),352)))=1),IFERROR(VLOOKUP(INDEX(checklistPesertaKemenkeu!$N$6:$N$1005,SMALL(IF(checklistPesertaKemenkeu!$AY$6:$AY$1005="Direkomendasikan",ROW($6:$1005)-5),352)),KotaKode,2,0),"-"),"")),"")</f>
        <v/>
      </c>
      <c r="K353" t="str">
        <f t="array" aca="1" ref="K353" ca="1">IFERROR(IF(OR(INDEX(checklistPesertaKemenkeu!$O$6:$O$1005,SMALL(IF(checklistPesertaKemenkeu!$AY$6:$AY$1005="Direkomendasikan",ROW($6:$1005)-5),352))="",INDEX(checklistPesertaKemenkeu!$J$6:$J$1005,SMALL(IF(checklistPesertaKemenkeu!$AY$6:$AY$1005="Direkomendasikan",ROW($6:$1005)-5),352))=""),"",IF(AND(COUNTIF(INDIRECT("K_"&amp;MATCH(INDEX(checklistPesertaKemenkeu!$J$6:$J$1005,SMALL(IF(checklistPesertaKemenkeu!$AY$6:$AY$1005="Direkomendasikan",ROW($6:$1005)-5),352)),BidangList,0)),INDEX(checklistPesertaKemenkeu!$O$6:$O$1005,SMALL(IF(checklistPesertaKemenkeu!$AY$6:$AY$1005="Direkomendasikan",ROW($6:$1005)-5),352)))&gt;0,COUNTIF(INDIRECT("'KERTAS KERJA'!K"&amp;(SMALL(IF(checklistPesertaKemenkeu!$AY$6:$AY$1005="Direkomendasikan",ROW($6:$1005)-5),352)+5)&amp;":O"&amp;(SMALL(IF(checklistPesertaKemenkeu!$AY$6:$AY$1005="Direkomendasikan",ROW($6:$1005)-5),352)+5)),INDEX(checklistPesertaKemenkeu!$O$6:$O$1005,SMALL(IF(checklistPesertaKemenkeu!$AY$6:$AY$1005="Direkomendasikan",ROW($6:$1005)-5),352)))=1),IFERROR(VLOOKUP(INDEX(checklistPesertaKemenkeu!$O$6:$O$1005,SMALL(IF(checklistPesertaKemenkeu!$AY$6:$AY$1005="Direkomendasikan",ROW($6:$1005)-5),352)),KotaKode,2,0),"-"),"")),"")</f>
        <v/>
      </c>
      <c r="L353" t="str">
        <f t="array" aca="1" ref="L353" ca="1">IFERROR(IF(OR(INDEX(checklistPesertaKemenkeu!$P$6:$P$1005,SMALL(IF(checklistPesertaKemenkeu!$AY$6:$AY$1005="Direkomendasikan",ROW($6:$1005)-5),352))="",INDEX(checklistPesertaKemenkeu!$J$6:$J$1005,SMALL(IF(checklistPesertaKemenkeu!$AY$6:$AY$1005="Direkomendasikan",ROW($6:$1005)-5),352))=""),"",IF(AND(COUNTIF(INDIRECT("K_"&amp;MATCH(INDEX(checklistPesertaKemenkeu!$J$6:$J$1005,SMALL(IF(checklistPesertaKemenkeu!$AY$6:$AY$1005="Direkomendasikan",ROW($6:$1005)-5),352)),BidangList,0)),INDEX(checklistPesertaKemenkeu!$P$6:$P$1005,SMALL(IF(checklistPesertaKemenkeu!$AY$6:$AY$1005="Direkomendasikan",ROW($6:$1005)-5),352)))&gt;0,COUNTIF(INDIRECT("'KERTAS KERJA'!K"&amp;(SMALL(IF(checklistPesertaKemenkeu!$AY$6:$AY$1005="Direkomendasikan",ROW($6:$1005)-5),352)+5)&amp;":O"&amp;(SMALL(IF(checklistPesertaKemenkeu!$AY$6:$AY$1005="Direkomendasikan",ROW($6:$1005)-5),352)+5)),INDEX(checklistPesertaKemenkeu!$P$6:$P$1005,SMALL(IF(checklistPesertaKemenkeu!$AY$6:$AY$1005="Direkomendasikan",ROW($6:$1005)-5),352)))=1),IFERROR(VLOOKUP(INDEX(checklistPesertaKemenkeu!$P$6:$P$1005,SMALL(IF(checklistPesertaKemenkeu!$AY$6:$AY$1005="Direkomendasikan",ROW($6:$1005)-5),352)),KotaKode,2,0),"-"),"")),"")</f>
        <v/>
      </c>
    </row>
    <row r="354" spans="1:12" ht="15" customHeight="1" x14ac:dyDescent="0.2">
      <c r="A354" t="str">
        <f t="shared" si="5"/>
        <v/>
      </c>
      <c r="B354" t="str">
        <v/>
      </c>
      <c r="C354" s="40" t="str">
        <f t="array" ref="C354">IFERROR(INDEX(checklistPesertaKemenkeu!$F$6:$F$1005,SMALL(IF(checklistPesertaKemenkeu!$AY$6:$AY$1005="Direkomendasikan",ROW($6:$1005)-5),353)),"")</f>
        <v/>
      </c>
      <c r="D354" t="str">
        <f t="array" ref="D354">IFERROR(INDEX(checklistPesertaKemenkeu!$G$6:$G$1005,SMALL(IF(checklistPesertaKemenkeu!$AY$6:$AY$1005="Direkomendasikan",ROW($6:$1005)-5),353)),"")</f>
        <v/>
      </c>
      <c r="E354" t="str">
        <f t="array" ref="E354">IFERROR(INDEX(checklistPesertaKemenkeu!$H$6:$H$1005,SMALL(IF(checklistPesertaKemenkeu!$AY$6:$AY$1005="Direkomendasikan",ROW($6:$1005)-5),353)),"")</f>
        <v/>
      </c>
      <c r="F354" t="str">
        <f t="array" ref="F354">IFERROR(INDEX(checklistPesertaKemenkeu!$I$6:$I$1005,SMALL(IF(checklistPesertaKemenkeu!$AY$6:$AY$1005="Direkomendasikan",ROW($6:$1005)-5),353)),"")</f>
        <v/>
      </c>
      <c r="G354" t="str">
        <f t="array" ref="G354">IFERROR(INDEX(checklistPesertaKemenkeu!$J$6:$J$1005,SMALL(IF(checklistPesertaKemenkeu!$AY$6:$AY$1005="Direkomendasikan",ROW($6:$1005)-5),353)),"")</f>
        <v/>
      </c>
      <c r="H354" t="str">
        <f t="array" aca="1" ref="H354" ca="1">IFERROR(IF(OR(INDEX(checklistPesertaKemenkeu!$L$6:$L$1005,SMALL(IF(checklistPesertaKemenkeu!$AY$6:$AY$1005="Direkomendasikan",ROW($6:$1005)-5),353))="",INDEX(checklistPesertaKemenkeu!$J$6:$J$1005,SMALL(IF(checklistPesertaKemenkeu!$AY$6:$AY$1005="Direkomendasikan",ROW($6:$1005)-5),353))=""),"",IF(AND(COUNTIF(INDIRECT("K_"&amp;MATCH(INDEX(checklistPesertaKemenkeu!$J$6:$J$1005,SMALL(IF(checklistPesertaKemenkeu!$AY$6:$AY$1005="Direkomendasikan",ROW($6:$1005)-5),353)),BidangList,0)),INDEX(checklistPesertaKemenkeu!$L$6:$L$1005,SMALL(IF(checklistPesertaKemenkeu!$AY$6:$AY$1005="Direkomendasikan",ROW($6:$1005)-5),353)))&gt;0,COUNTIF(INDIRECT("'KERTAS KERJA'!K"&amp;(SMALL(IF(checklistPesertaKemenkeu!$AY$6:$AY$1005="Direkomendasikan",ROW($6:$1005)-5),353)+5)&amp;":O"&amp;(SMALL(IF(checklistPesertaKemenkeu!$AY$6:$AY$1005="Direkomendasikan",ROW($6:$1005)-5),353)+5)),INDEX(checklistPesertaKemenkeu!$L$6:$L$1005,SMALL(IF(checklistPesertaKemenkeu!$AY$6:$AY$1005="Direkomendasikan",ROW($6:$1005)-5),353)))=1),IFERROR(VLOOKUP(INDEX(checklistPesertaKemenkeu!$L$6:$L$1005,SMALL(IF(checklistPesertaKemenkeu!$AY$6:$AY$1005="Direkomendasikan",ROW($6:$1005)-5),353)),KotaKode,2,0),"-"),"")),"")</f>
        <v/>
      </c>
      <c r="I354" t="str">
        <f t="array" aca="1" ref="I354" ca="1">IFERROR(IF(OR(INDEX(checklistPesertaKemenkeu!$M$6:$M$1005,SMALL(IF(checklistPesertaKemenkeu!$AY$6:$AY$1005="Direkomendasikan",ROW($6:$1005)-5),353))="",INDEX(checklistPesertaKemenkeu!$J$6:$J$1005,SMALL(IF(checklistPesertaKemenkeu!$AY$6:$AY$1005="Direkomendasikan",ROW($6:$1005)-5),353))=""),"",IF(AND(COUNTIF(INDIRECT("K_"&amp;MATCH(INDEX(checklistPesertaKemenkeu!$J$6:$J$1005,SMALL(IF(checklistPesertaKemenkeu!$AY$6:$AY$1005="Direkomendasikan",ROW($6:$1005)-5),353)),BidangList,0)),INDEX(checklistPesertaKemenkeu!$M$6:$M$1005,SMALL(IF(checklistPesertaKemenkeu!$AY$6:$AY$1005="Direkomendasikan",ROW($6:$1005)-5),353)))&gt;0,COUNTIF(INDIRECT("'KERTAS KERJA'!K"&amp;(SMALL(IF(checklistPesertaKemenkeu!$AY$6:$AY$1005="Direkomendasikan",ROW($6:$1005)-5),353)+5)&amp;":O"&amp;(SMALL(IF(checklistPesertaKemenkeu!$AY$6:$AY$1005="Direkomendasikan",ROW($6:$1005)-5),353)+5)),INDEX(checklistPesertaKemenkeu!$M$6:$M$1005,SMALL(IF(checklistPesertaKemenkeu!$AY$6:$AY$1005="Direkomendasikan",ROW($6:$1005)-5),353)))=1),IFERROR(VLOOKUP(INDEX(checklistPesertaKemenkeu!$M$6:$M$1005,SMALL(IF(checklistPesertaKemenkeu!$AY$6:$AY$1005="Direkomendasikan",ROW($6:$1005)-5),353)),KotaKode,2,0),"-"),"")),"")</f>
        <v/>
      </c>
      <c r="J354" t="str">
        <f t="array" aca="1" ref="J354" ca="1">IFERROR(IF(OR(INDEX(checklistPesertaKemenkeu!$N$6:$N$1005,SMALL(IF(checklistPesertaKemenkeu!$AY$6:$AY$1005="Direkomendasikan",ROW($6:$1005)-5),353))="",INDEX(checklistPesertaKemenkeu!$J$6:$J$1005,SMALL(IF(checklistPesertaKemenkeu!$AY$6:$AY$1005="Direkomendasikan",ROW($6:$1005)-5),353))=""),"",IF(AND(COUNTIF(INDIRECT("K_"&amp;MATCH(INDEX(checklistPesertaKemenkeu!$J$6:$J$1005,SMALL(IF(checklistPesertaKemenkeu!$AY$6:$AY$1005="Direkomendasikan",ROW($6:$1005)-5),353)),BidangList,0)),INDEX(checklistPesertaKemenkeu!$N$6:$N$1005,SMALL(IF(checklistPesertaKemenkeu!$AY$6:$AY$1005="Direkomendasikan",ROW($6:$1005)-5),353)))&gt;0,COUNTIF(INDIRECT("'KERTAS KERJA'!K"&amp;(SMALL(IF(checklistPesertaKemenkeu!$AY$6:$AY$1005="Direkomendasikan",ROW($6:$1005)-5),353)+5)&amp;":O"&amp;(SMALL(IF(checklistPesertaKemenkeu!$AY$6:$AY$1005="Direkomendasikan",ROW($6:$1005)-5),353)+5)),INDEX(checklistPesertaKemenkeu!$N$6:$N$1005,SMALL(IF(checklistPesertaKemenkeu!$AY$6:$AY$1005="Direkomendasikan",ROW($6:$1005)-5),353)))=1),IFERROR(VLOOKUP(INDEX(checklistPesertaKemenkeu!$N$6:$N$1005,SMALL(IF(checklistPesertaKemenkeu!$AY$6:$AY$1005="Direkomendasikan",ROW($6:$1005)-5),353)),KotaKode,2,0),"-"),"")),"")</f>
        <v/>
      </c>
      <c r="K354" t="str">
        <f t="array" aca="1" ref="K354" ca="1">IFERROR(IF(OR(INDEX(checklistPesertaKemenkeu!$O$6:$O$1005,SMALL(IF(checklistPesertaKemenkeu!$AY$6:$AY$1005="Direkomendasikan",ROW($6:$1005)-5),353))="",INDEX(checklistPesertaKemenkeu!$J$6:$J$1005,SMALL(IF(checklistPesertaKemenkeu!$AY$6:$AY$1005="Direkomendasikan",ROW($6:$1005)-5),353))=""),"",IF(AND(COUNTIF(INDIRECT("K_"&amp;MATCH(INDEX(checklistPesertaKemenkeu!$J$6:$J$1005,SMALL(IF(checklistPesertaKemenkeu!$AY$6:$AY$1005="Direkomendasikan",ROW($6:$1005)-5),353)),BidangList,0)),INDEX(checklistPesertaKemenkeu!$O$6:$O$1005,SMALL(IF(checklistPesertaKemenkeu!$AY$6:$AY$1005="Direkomendasikan",ROW($6:$1005)-5),353)))&gt;0,COUNTIF(INDIRECT("'KERTAS KERJA'!K"&amp;(SMALL(IF(checklistPesertaKemenkeu!$AY$6:$AY$1005="Direkomendasikan",ROW($6:$1005)-5),353)+5)&amp;":O"&amp;(SMALL(IF(checklistPesertaKemenkeu!$AY$6:$AY$1005="Direkomendasikan",ROW($6:$1005)-5),353)+5)),INDEX(checklistPesertaKemenkeu!$O$6:$O$1005,SMALL(IF(checklistPesertaKemenkeu!$AY$6:$AY$1005="Direkomendasikan",ROW($6:$1005)-5),353)))=1),IFERROR(VLOOKUP(INDEX(checklistPesertaKemenkeu!$O$6:$O$1005,SMALL(IF(checklistPesertaKemenkeu!$AY$6:$AY$1005="Direkomendasikan",ROW($6:$1005)-5),353)),KotaKode,2,0),"-"),"")),"")</f>
        <v/>
      </c>
      <c r="L354" t="str">
        <f t="array" aca="1" ref="L354" ca="1">IFERROR(IF(OR(INDEX(checklistPesertaKemenkeu!$P$6:$P$1005,SMALL(IF(checklistPesertaKemenkeu!$AY$6:$AY$1005="Direkomendasikan",ROW($6:$1005)-5),353))="",INDEX(checklistPesertaKemenkeu!$J$6:$J$1005,SMALL(IF(checklistPesertaKemenkeu!$AY$6:$AY$1005="Direkomendasikan",ROW($6:$1005)-5),353))=""),"",IF(AND(COUNTIF(INDIRECT("K_"&amp;MATCH(INDEX(checklistPesertaKemenkeu!$J$6:$J$1005,SMALL(IF(checklistPesertaKemenkeu!$AY$6:$AY$1005="Direkomendasikan",ROW($6:$1005)-5),353)),BidangList,0)),INDEX(checklistPesertaKemenkeu!$P$6:$P$1005,SMALL(IF(checklistPesertaKemenkeu!$AY$6:$AY$1005="Direkomendasikan",ROW($6:$1005)-5),353)))&gt;0,COUNTIF(INDIRECT("'KERTAS KERJA'!K"&amp;(SMALL(IF(checklistPesertaKemenkeu!$AY$6:$AY$1005="Direkomendasikan",ROW($6:$1005)-5),353)+5)&amp;":O"&amp;(SMALL(IF(checklistPesertaKemenkeu!$AY$6:$AY$1005="Direkomendasikan",ROW($6:$1005)-5),353)+5)),INDEX(checklistPesertaKemenkeu!$P$6:$P$1005,SMALL(IF(checklistPesertaKemenkeu!$AY$6:$AY$1005="Direkomendasikan",ROW($6:$1005)-5),353)))=1),IFERROR(VLOOKUP(INDEX(checklistPesertaKemenkeu!$P$6:$P$1005,SMALL(IF(checklistPesertaKemenkeu!$AY$6:$AY$1005="Direkomendasikan",ROW($6:$1005)-5),353)),KotaKode,2,0),"-"),"")),"")</f>
        <v/>
      </c>
    </row>
    <row r="355" spans="1:12" ht="15" customHeight="1" x14ac:dyDescent="0.2">
      <c r="A355" t="str">
        <f t="shared" si="5"/>
        <v/>
      </c>
      <c r="B355" t="str">
        <v/>
      </c>
      <c r="C355" s="40" t="str">
        <f t="array" ref="C355">IFERROR(INDEX(checklistPesertaKemenkeu!$F$6:$F$1005,SMALL(IF(checklistPesertaKemenkeu!$AY$6:$AY$1005="Direkomendasikan",ROW($6:$1005)-5),354)),"")</f>
        <v/>
      </c>
      <c r="D355" t="str">
        <f t="array" ref="D355">IFERROR(INDEX(checklistPesertaKemenkeu!$G$6:$G$1005,SMALL(IF(checklistPesertaKemenkeu!$AY$6:$AY$1005="Direkomendasikan",ROW($6:$1005)-5),354)),"")</f>
        <v/>
      </c>
      <c r="E355" t="str">
        <f t="array" ref="E355">IFERROR(INDEX(checklistPesertaKemenkeu!$H$6:$H$1005,SMALL(IF(checklistPesertaKemenkeu!$AY$6:$AY$1005="Direkomendasikan",ROW($6:$1005)-5),354)),"")</f>
        <v/>
      </c>
      <c r="F355" t="str">
        <f t="array" ref="F355">IFERROR(INDEX(checklistPesertaKemenkeu!$I$6:$I$1005,SMALL(IF(checklistPesertaKemenkeu!$AY$6:$AY$1005="Direkomendasikan",ROW($6:$1005)-5),354)),"")</f>
        <v/>
      </c>
      <c r="G355" t="str">
        <f t="array" ref="G355">IFERROR(INDEX(checklistPesertaKemenkeu!$J$6:$J$1005,SMALL(IF(checklistPesertaKemenkeu!$AY$6:$AY$1005="Direkomendasikan",ROW($6:$1005)-5),354)),"")</f>
        <v/>
      </c>
      <c r="H355" t="str">
        <f t="array" aca="1" ref="H355" ca="1">IFERROR(IF(OR(INDEX(checklistPesertaKemenkeu!$L$6:$L$1005,SMALL(IF(checklistPesertaKemenkeu!$AY$6:$AY$1005="Direkomendasikan",ROW($6:$1005)-5),354))="",INDEX(checklistPesertaKemenkeu!$J$6:$J$1005,SMALL(IF(checklistPesertaKemenkeu!$AY$6:$AY$1005="Direkomendasikan",ROW($6:$1005)-5),354))=""),"",IF(AND(COUNTIF(INDIRECT("K_"&amp;MATCH(INDEX(checklistPesertaKemenkeu!$J$6:$J$1005,SMALL(IF(checklistPesertaKemenkeu!$AY$6:$AY$1005="Direkomendasikan",ROW($6:$1005)-5),354)),BidangList,0)),INDEX(checklistPesertaKemenkeu!$L$6:$L$1005,SMALL(IF(checklistPesertaKemenkeu!$AY$6:$AY$1005="Direkomendasikan",ROW($6:$1005)-5),354)))&gt;0,COUNTIF(INDIRECT("'KERTAS KERJA'!K"&amp;(SMALL(IF(checklistPesertaKemenkeu!$AY$6:$AY$1005="Direkomendasikan",ROW($6:$1005)-5),354)+5)&amp;":O"&amp;(SMALL(IF(checklistPesertaKemenkeu!$AY$6:$AY$1005="Direkomendasikan",ROW($6:$1005)-5),354)+5)),INDEX(checklistPesertaKemenkeu!$L$6:$L$1005,SMALL(IF(checklistPesertaKemenkeu!$AY$6:$AY$1005="Direkomendasikan",ROW($6:$1005)-5),354)))=1),IFERROR(VLOOKUP(INDEX(checklistPesertaKemenkeu!$L$6:$L$1005,SMALL(IF(checklistPesertaKemenkeu!$AY$6:$AY$1005="Direkomendasikan",ROW($6:$1005)-5),354)),KotaKode,2,0),"-"),"")),"")</f>
        <v/>
      </c>
      <c r="I355" t="str">
        <f t="array" aca="1" ref="I355" ca="1">IFERROR(IF(OR(INDEX(checklistPesertaKemenkeu!$M$6:$M$1005,SMALL(IF(checklistPesertaKemenkeu!$AY$6:$AY$1005="Direkomendasikan",ROW($6:$1005)-5),354))="",INDEX(checklistPesertaKemenkeu!$J$6:$J$1005,SMALL(IF(checklistPesertaKemenkeu!$AY$6:$AY$1005="Direkomendasikan",ROW($6:$1005)-5),354))=""),"",IF(AND(COUNTIF(INDIRECT("K_"&amp;MATCH(INDEX(checklistPesertaKemenkeu!$J$6:$J$1005,SMALL(IF(checklistPesertaKemenkeu!$AY$6:$AY$1005="Direkomendasikan",ROW($6:$1005)-5),354)),BidangList,0)),INDEX(checklistPesertaKemenkeu!$M$6:$M$1005,SMALL(IF(checklistPesertaKemenkeu!$AY$6:$AY$1005="Direkomendasikan",ROW($6:$1005)-5),354)))&gt;0,COUNTIF(INDIRECT("'KERTAS KERJA'!K"&amp;(SMALL(IF(checklistPesertaKemenkeu!$AY$6:$AY$1005="Direkomendasikan",ROW($6:$1005)-5),354)+5)&amp;":O"&amp;(SMALL(IF(checklistPesertaKemenkeu!$AY$6:$AY$1005="Direkomendasikan",ROW($6:$1005)-5),354)+5)),INDEX(checklistPesertaKemenkeu!$M$6:$M$1005,SMALL(IF(checklistPesertaKemenkeu!$AY$6:$AY$1005="Direkomendasikan",ROW($6:$1005)-5),354)))=1),IFERROR(VLOOKUP(INDEX(checklistPesertaKemenkeu!$M$6:$M$1005,SMALL(IF(checklistPesertaKemenkeu!$AY$6:$AY$1005="Direkomendasikan",ROW($6:$1005)-5),354)),KotaKode,2,0),"-"),"")),"")</f>
        <v/>
      </c>
      <c r="J355" t="str">
        <f t="array" aca="1" ref="J355" ca="1">IFERROR(IF(OR(INDEX(checklistPesertaKemenkeu!$N$6:$N$1005,SMALL(IF(checklistPesertaKemenkeu!$AY$6:$AY$1005="Direkomendasikan",ROW($6:$1005)-5),354))="",INDEX(checklistPesertaKemenkeu!$J$6:$J$1005,SMALL(IF(checklistPesertaKemenkeu!$AY$6:$AY$1005="Direkomendasikan",ROW($6:$1005)-5),354))=""),"",IF(AND(COUNTIF(INDIRECT("K_"&amp;MATCH(INDEX(checklistPesertaKemenkeu!$J$6:$J$1005,SMALL(IF(checklistPesertaKemenkeu!$AY$6:$AY$1005="Direkomendasikan",ROW($6:$1005)-5),354)),BidangList,0)),INDEX(checklistPesertaKemenkeu!$N$6:$N$1005,SMALL(IF(checklistPesertaKemenkeu!$AY$6:$AY$1005="Direkomendasikan",ROW($6:$1005)-5),354)))&gt;0,COUNTIF(INDIRECT("'KERTAS KERJA'!K"&amp;(SMALL(IF(checklistPesertaKemenkeu!$AY$6:$AY$1005="Direkomendasikan",ROW($6:$1005)-5),354)+5)&amp;":O"&amp;(SMALL(IF(checklistPesertaKemenkeu!$AY$6:$AY$1005="Direkomendasikan",ROW($6:$1005)-5),354)+5)),INDEX(checklistPesertaKemenkeu!$N$6:$N$1005,SMALL(IF(checklistPesertaKemenkeu!$AY$6:$AY$1005="Direkomendasikan",ROW($6:$1005)-5),354)))=1),IFERROR(VLOOKUP(INDEX(checklistPesertaKemenkeu!$N$6:$N$1005,SMALL(IF(checklistPesertaKemenkeu!$AY$6:$AY$1005="Direkomendasikan",ROW($6:$1005)-5),354)),KotaKode,2,0),"-"),"")),"")</f>
        <v/>
      </c>
      <c r="K355" t="str">
        <f t="array" aca="1" ref="K355" ca="1">IFERROR(IF(OR(INDEX(checklistPesertaKemenkeu!$O$6:$O$1005,SMALL(IF(checklistPesertaKemenkeu!$AY$6:$AY$1005="Direkomendasikan",ROW($6:$1005)-5),354))="",INDEX(checklistPesertaKemenkeu!$J$6:$J$1005,SMALL(IF(checklistPesertaKemenkeu!$AY$6:$AY$1005="Direkomendasikan",ROW($6:$1005)-5),354))=""),"",IF(AND(COUNTIF(INDIRECT("K_"&amp;MATCH(INDEX(checklistPesertaKemenkeu!$J$6:$J$1005,SMALL(IF(checklistPesertaKemenkeu!$AY$6:$AY$1005="Direkomendasikan",ROW($6:$1005)-5),354)),BidangList,0)),INDEX(checklistPesertaKemenkeu!$O$6:$O$1005,SMALL(IF(checklistPesertaKemenkeu!$AY$6:$AY$1005="Direkomendasikan",ROW($6:$1005)-5),354)))&gt;0,COUNTIF(INDIRECT("'KERTAS KERJA'!K"&amp;(SMALL(IF(checklistPesertaKemenkeu!$AY$6:$AY$1005="Direkomendasikan",ROW($6:$1005)-5),354)+5)&amp;":O"&amp;(SMALL(IF(checklistPesertaKemenkeu!$AY$6:$AY$1005="Direkomendasikan",ROW($6:$1005)-5),354)+5)),INDEX(checklistPesertaKemenkeu!$O$6:$O$1005,SMALL(IF(checklistPesertaKemenkeu!$AY$6:$AY$1005="Direkomendasikan",ROW($6:$1005)-5),354)))=1),IFERROR(VLOOKUP(INDEX(checklistPesertaKemenkeu!$O$6:$O$1005,SMALL(IF(checklistPesertaKemenkeu!$AY$6:$AY$1005="Direkomendasikan",ROW($6:$1005)-5),354)),KotaKode,2,0),"-"),"")),"")</f>
        <v/>
      </c>
      <c r="L355" t="str">
        <f t="array" aca="1" ref="L355" ca="1">IFERROR(IF(OR(INDEX(checklistPesertaKemenkeu!$P$6:$P$1005,SMALL(IF(checklistPesertaKemenkeu!$AY$6:$AY$1005="Direkomendasikan",ROW($6:$1005)-5),354))="",INDEX(checklistPesertaKemenkeu!$J$6:$J$1005,SMALL(IF(checklistPesertaKemenkeu!$AY$6:$AY$1005="Direkomendasikan",ROW($6:$1005)-5),354))=""),"",IF(AND(COUNTIF(INDIRECT("K_"&amp;MATCH(INDEX(checklistPesertaKemenkeu!$J$6:$J$1005,SMALL(IF(checklistPesertaKemenkeu!$AY$6:$AY$1005="Direkomendasikan",ROW($6:$1005)-5),354)),BidangList,0)),INDEX(checklistPesertaKemenkeu!$P$6:$P$1005,SMALL(IF(checklistPesertaKemenkeu!$AY$6:$AY$1005="Direkomendasikan",ROW($6:$1005)-5),354)))&gt;0,COUNTIF(INDIRECT("'KERTAS KERJA'!K"&amp;(SMALL(IF(checklistPesertaKemenkeu!$AY$6:$AY$1005="Direkomendasikan",ROW($6:$1005)-5),354)+5)&amp;":O"&amp;(SMALL(IF(checklistPesertaKemenkeu!$AY$6:$AY$1005="Direkomendasikan",ROW($6:$1005)-5),354)+5)),INDEX(checklistPesertaKemenkeu!$P$6:$P$1005,SMALL(IF(checklistPesertaKemenkeu!$AY$6:$AY$1005="Direkomendasikan",ROW($6:$1005)-5),354)))=1),IFERROR(VLOOKUP(INDEX(checklistPesertaKemenkeu!$P$6:$P$1005,SMALL(IF(checklistPesertaKemenkeu!$AY$6:$AY$1005="Direkomendasikan",ROW($6:$1005)-5),354)),KotaKode,2,0),"-"),"")),"")</f>
        <v/>
      </c>
    </row>
    <row r="356" spans="1:12" ht="15" customHeight="1" x14ac:dyDescent="0.2">
      <c r="A356" t="str">
        <f t="shared" si="5"/>
        <v/>
      </c>
      <c r="B356" t="str">
        <v/>
      </c>
      <c r="C356" s="40" t="str">
        <f t="array" ref="C356">IFERROR(INDEX(checklistPesertaKemenkeu!$F$6:$F$1005,SMALL(IF(checklistPesertaKemenkeu!$AY$6:$AY$1005="Direkomendasikan",ROW($6:$1005)-5),355)),"")</f>
        <v/>
      </c>
      <c r="D356" t="str">
        <f t="array" ref="D356">IFERROR(INDEX(checklistPesertaKemenkeu!$G$6:$G$1005,SMALL(IF(checklistPesertaKemenkeu!$AY$6:$AY$1005="Direkomendasikan",ROW($6:$1005)-5),355)),"")</f>
        <v/>
      </c>
      <c r="E356" t="str">
        <f t="array" ref="E356">IFERROR(INDEX(checklistPesertaKemenkeu!$H$6:$H$1005,SMALL(IF(checklistPesertaKemenkeu!$AY$6:$AY$1005="Direkomendasikan",ROW($6:$1005)-5),355)),"")</f>
        <v/>
      </c>
      <c r="F356" t="str">
        <f t="array" ref="F356">IFERROR(INDEX(checklistPesertaKemenkeu!$I$6:$I$1005,SMALL(IF(checklistPesertaKemenkeu!$AY$6:$AY$1005="Direkomendasikan",ROW($6:$1005)-5),355)),"")</f>
        <v/>
      </c>
      <c r="G356" t="str">
        <f t="array" ref="G356">IFERROR(INDEX(checklistPesertaKemenkeu!$J$6:$J$1005,SMALL(IF(checklistPesertaKemenkeu!$AY$6:$AY$1005="Direkomendasikan",ROW($6:$1005)-5),355)),"")</f>
        <v/>
      </c>
      <c r="H356" t="str">
        <f t="array" aca="1" ref="H356" ca="1">IFERROR(IF(OR(INDEX(checklistPesertaKemenkeu!$L$6:$L$1005,SMALL(IF(checklistPesertaKemenkeu!$AY$6:$AY$1005="Direkomendasikan",ROW($6:$1005)-5),355))="",INDEX(checklistPesertaKemenkeu!$J$6:$J$1005,SMALL(IF(checklistPesertaKemenkeu!$AY$6:$AY$1005="Direkomendasikan",ROW($6:$1005)-5),355))=""),"",IF(AND(COUNTIF(INDIRECT("K_"&amp;MATCH(INDEX(checklistPesertaKemenkeu!$J$6:$J$1005,SMALL(IF(checklistPesertaKemenkeu!$AY$6:$AY$1005="Direkomendasikan",ROW($6:$1005)-5),355)),BidangList,0)),INDEX(checklistPesertaKemenkeu!$L$6:$L$1005,SMALL(IF(checklistPesertaKemenkeu!$AY$6:$AY$1005="Direkomendasikan",ROW($6:$1005)-5),355)))&gt;0,COUNTIF(INDIRECT("'KERTAS KERJA'!K"&amp;(SMALL(IF(checklistPesertaKemenkeu!$AY$6:$AY$1005="Direkomendasikan",ROW($6:$1005)-5),355)+5)&amp;":O"&amp;(SMALL(IF(checklistPesertaKemenkeu!$AY$6:$AY$1005="Direkomendasikan",ROW($6:$1005)-5),355)+5)),INDEX(checklistPesertaKemenkeu!$L$6:$L$1005,SMALL(IF(checklistPesertaKemenkeu!$AY$6:$AY$1005="Direkomendasikan",ROW($6:$1005)-5),355)))=1),IFERROR(VLOOKUP(INDEX(checklistPesertaKemenkeu!$L$6:$L$1005,SMALL(IF(checklistPesertaKemenkeu!$AY$6:$AY$1005="Direkomendasikan",ROW($6:$1005)-5),355)),KotaKode,2,0),"-"),"")),"")</f>
        <v/>
      </c>
      <c r="I356" t="str">
        <f t="array" aca="1" ref="I356" ca="1">IFERROR(IF(OR(INDEX(checklistPesertaKemenkeu!$M$6:$M$1005,SMALL(IF(checklistPesertaKemenkeu!$AY$6:$AY$1005="Direkomendasikan",ROW($6:$1005)-5),355))="",INDEX(checklistPesertaKemenkeu!$J$6:$J$1005,SMALL(IF(checklistPesertaKemenkeu!$AY$6:$AY$1005="Direkomendasikan",ROW($6:$1005)-5),355))=""),"",IF(AND(COUNTIF(INDIRECT("K_"&amp;MATCH(INDEX(checklistPesertaKemenkeu!$J$6:$J$1005,SMALL(IF(checklistPesertaKemenkeu!$AY$6:$AY$1005="Direkomendasikan",ROW($6:$1005)-5),355)),BidangList,0)),INDEX(checklistPesertaKemenkeu!$M$6:$M$1005,SMALL(IF(checklistPesertaKemenkeu!$AY$6:$AY$1005="Direkomendasikan",ROW($6:$1005)-5),355)))&gt;0,COUNTIF(INDIRECT("'KERTAS KERJA'!K"&amp;(SMALL(IF(checklistPesertaKemenkeu!$AY$6:$AY$1005="Direkomendasikan",ROW($6:$1005)-5),355)+5)&amp;":O"&amp;(SMALL(IF(checklistPesertaKemenkeu!$AY$6:$AY$1005="Direkomendasikan",ROW($6:$1005)-5),355)+5)),INDEX(checklistPesertaKemenkeu!$M$6:$M$1005,SMALL(IF(checklistPesertaKemenkeu!$AY$6:$AY$1005="Direkomendasikan",ROW($6:$1005)-5),355)))=1),IFERROR(VLOOKUP(INDEX(checklistPesertaKemenkeu!$M$6:$M$1005,SMALL(IF(checklistPesertaKemenkeu!$AY$6:$AY$1005="Direkomendasikan",ROW($6:$1005)-5),355)),KotaKode,2,0),"-"),"")),"")</f>
        <v/>
      </c>
      <c r="J356" t="str">
        <f t="array" aca="1" ref="J356" ca="1">IFERROR(IF(OR(INDEX(checklistPesertaKemenkeu!$N$6:$N$1005,SMALL(IF(checklistPesertaKemenkeu!$AY$6:$AY$1005="Direkomendasikan",ROW($6:$1005)-5),355))="",INDEX(checklistPesertaKemenkeu!$J$6:$J$1005,SMALL(IF(checklistPesertaKemenkeu!$AY$6:$AY$1005="Direkomendasikan",ROW($6:$1005)-5),355))=""),"",IF(AND(COUNTIF(INDIRECT("K_"&amp;MATCH(INDEX(checklistPesertaKemenkeu!$J$6:$J$1005,SMALL(IF(checklistPesertaKemenkeu!$AY$6:$AY$1005="Direkomendasikan",ROW($6:$1005)-5),355)),BidangList,0)),INDEX(checklistPesertaKemenkeu!$N$6:$N$1005,SMALL(IF(checklistPesertaKemenkeu!$AY$6:$AY$1005="Direkomendasikan",ROW($6:$1005)-5),355)))&gt;0,COUNTIF(INDIRECT("'KERTAS KERJA'!K"&amp;(SMALL(IF(checklistPesertaKemenkeu!$AY$6:$AY$1005="Direkomendasikan",ROW($6:$1005)-5),355)+5)&amp;":O"&amp;(SMALL(IF(checklistPesertaKemenkeu!$AY$6:$AY$1005="Direkomendasikan",ROW($6:$1005)-5),355)+5)),INDEX(checklistPesertaKemenkeu!$N$6:$N$1005,SMALL(IF(checklistPesertaKemenkeu!$AY$6:$AY$1005="Direkomendasikan",ROW($6:$1005)-5),355)))=1),IFERROR(VLOOKUP(INDEX(checklistPesertaKemenkeu!$N$6:$N$1005,SMALL(IF(checklistPesertaKemenkeu!$AY$6:$AY$1005="Direkomendasikan",ROW($6:$1005)-5),355)),KotaKode,2,0),"-"),"")),"")</f>
        <v/>
      </c>
      <c r="K356" t="str">
        <f t="array" aca="1" ref="K356" ca="1">IFERROR(IF(OR(INDEX(checklistPesertaKemenkeu!$O$6:$O$1005,SMALL(IF(checklistPesertaKemenkeu!$AY$6:$AY$1005="Direkomendasikan",ROW($6:$1005)-5),355))="",INDEX(checklistPesertaKemenkeu!$J$6:$J$1005,SMALL(IF(checklistPesertaKemenkeu!$AY$6:$AY$1005="Direkomendasikan",ROW($6:$1005)-5),355))=""),"",IF(AND(COUNTIF(INDIRECT("K_"&amp;MATCH(INDEX(checklistPesertaKemenkeu!$J$6:$J$1005,SMALL(IF(checklistPesertaKemenkeu!$AY$6:$AY$1005="Direkomendasikan",ROW($6:$1005)-5),355)),BidangList,0)),INDEX(checklistPesertaKemenkeu!$O$6:$O$1005,SMALL(IF(checklistPesertaKemenkeu!$AY$6:$AY$1005="Direkomendasikan",ROW($6:$1005)-5),355)))&gt;0,COUNTIF(INDIRECT("'KERTAS KERJA'!K"&amp;(SMALL(IF(checklistPesertaKemenkeu!$AY$6:$AY$1005="Direkomendasikan",ROW($6:$1005)-5),355)+5)&amp;":O"&amp;(SMALL(IF(checklistPesertaKemenkeu!$AY$6:$AY$1005="Direkomendasikan",ROW($6:$1005)-5),355)+5)),INDEX(checklistPesertaKemenkeu!$O$6:$O$1005,SMALL(IF(checklistPesertaKemenkeu!$AY$6:$AY$1005="Direkomendasikan",ROW($6:$1005)-5),355)))=1),IFERROR(VLOOKUP(INDEX(checklistPesertaKemenkeu!$O$6:$O$1005,SMALL(IF(checklistPesertaKemenkeu!$AY$6:$AY$1005="Direkomendasikan",ROW($6:$1005)-5),355)),KotaKode,2,0),"-"),"")),"")</f>
        <v/>
      </c>
      <c r="L356" t="str">
        <f t="array" aca="1" ref="L356" ca="1">IFERROR(IF(OR(INDEX(checklistPesertaKemenkeu!$P$6:$P$1005,SMALL(IF(checklistPesertaKemenkeu!$AY$6:$AY$1005="Direkomendasikan",ROW($6:$1005)-5),355))="",INDEX(checklistPesertaKemenkeu!$J$6:$J$1005,SMALL(IF(checklistPesertaKemenkeu!$AY$6:$AY$1005="Direkomendasikan",ROW($6:$1005)-5),355))=""),"",IF(AND(COUNTIF(INDIRECT("K_"&amp;MATCH(INDEX(checklistPesertaKemenkeu!$J$6:$J$1005,SMALL(IF(checklistPesertaKemenkeu!$AY$6:$AY$1005="Direkomendasikan",ROW($6:$1005)-5),355)),BidangList,0)),INDEX(checklistPesertaKemenkeu!$P$6:$P$1005,SMALL(IF(checklistPesertaKemenkeu!$AY$6:$AY$1005="Direkomendasikan",ROW($6:$1005)-5),355)))&gt;0,COUNTIF(INDIRECT("'KERTAS KERJA'!K"&amp;(SMALL(IF(checklistPesertaKemenkeu!$AY$6:$AY$1005="Direkomendasikan",ROW($6:$1005)-5),355)+5)&amp;":O"&amp;(SMALL(IF(checklistPesertaKemenkeu!$AY$6:$AY$1005="Direkomendasikan",ROW($6:$1005)-5),355)+5)),INDEX(checklistPesertaKemenkeu!$P$6:$P$1005,SMALL(IF(checklistPesertaKemenkeu!$AY$6:$AY$1005="Direkomendasikan",ROW($6:$1005)-5),355)))=1),IFERROR(VLOOKUP(INDEX(checklistPesertaKemenkeu!$P$6:$P$1005,SMALL(IF(checklistPesertaKemenkeu!$AY$6:$AY$1005="Direkomendasikan",ROW($6:$1005)-5),355)),KotaKode,2,0),"-"),"")),"")</f>
        <v/>
      </c>
    </row>
    <row r="357" spans="1:12" ht="15" customHeight="1" x14ac:dyDescent="0.2">
      <c r="A357" t="str">
        <f t="shared" si="5"/>
        <v/>
      </c>
      <c r="B357" t="str">
        <v/>
      </c>
      <c r="C357" s="40" t="str">
        <f t="array" ref="C357">IFERROR(INDEX(checklistPesertaKemenkeu!$F$6:$F$1005,SMALL(IF(checklistPesertaKemenkeu!$AY$6:$AY$1005="Direkomendasikan",ROW($6:$1005)-5),356)),"")</f>
        <v/>
      </c>
      <c r="D357" t="str">
        <f t="array" ref="D357">IFERROR(INDEX(checklistPesertaKemenkeu!$G$6:$G$1005,SMALL(IF(checklistPesertaKemenkeu!$AY$6:$AY$1005="Direkomendasikan",ROW($6:$1005)-5),356)),"")</f>
        <v/>
      </c>
      <c r="E357" t="str">
        <f t="array" ref="E357">IFERROR(INDEX(checklistPesertaKemenkeu!$H$6:$H$1005,SMALL(IF(checklistPesertaKemenkeu!$AY$6:$AY$1005="Direkomendasikan",ROW($6:$1005)-5),356)),"")</f>
        <v/>
      </c>
      <c r="F357" t="str">
        <f t="array" ref="F357">IFERROR(INDEX(checklistPesertaKemenkeu!$I$6:$I$1005,SMALL(IF(checklistPesertaKemenkeu!$AY$6:$AY$1005="Direkomendasikan",ROW($6:$1005)-5),356)),"")</f>
        <v/>
      </c>
      <c r="G357" t="str">
        <f t="array" ref="G357">IFERROR(INDEX(checklistPesertaKemenkeu!$J$6:$J$1005,SMALL(IF(checklistPesertaKemenkeu!$AY$6:$AY$1005="Direkomendasikan",ROW($6:$1005)-5),356)),"")</f>
        <v/>
      </c>
      <c r="H357" t="str">
        <f t="array" aca="1" ref="H357" ca="1">IFERROR(IF(OR(INDEX(checklistPesertaKemenkeu!$L$6:$L$1005,SMALL(IF(checklistPesertaKemenkeu!$AY$6:$AY$1005="Direkomendasikan",ROW($6:$1005)-5),356))="",INDEX(checklistPesertaKemenkeu!$J$6:$J$1005,SMALL(IF(checklistPesertaKemenkeu!$AY$6:$AY$1005="Direkomendasikan",ROW($6:$1005)-5),356))=""),"",IF(AND(COUNTIF(INDIRECT("K_"&amp;MATCH(INDEX(checklistPesertaKemenkeu!$J$6:$J$1005,SMALL(IF(checklistPesertaKemenkeu!$AY$6:$AY$1005="Direkomendasikan",ROW($6:$1005)-5),356)),BidangList,0)),INDEX(checklistPesertaKemenkeu!$L$6:$L$1005,SMALL(IF(checklistPesertaKemenkeu!$AY$6:$AY$1005="Direkomendasikan",ROW($6:$1005)-5),356)))&gt;0,COUNTIF(INDIRECT("'KERTAS KERJA'!K"&amp;(SMALL(IF(checklistPesertaKemenkeu!$AY$6:$AY$1005="Direkomendasikan",ROW($6:$1005)-5),356)+5)&amp;":O"&amp;(SMALL(IF(checklistPesertaKemenkeu!$AY$6:$AY$1005="Direkomendasikan",ROW($6:$1005)-5),356)+5)),INDEX(checklistPesertaKemenkeu!$L$6:$L$1005,SMALL(IF(checklistPesertaKemenkeu!$AY$6:$AY$1005="Direkomendasikan",ROW($6:$1005)-5),356)))=1),IFERROR(VLOOKUP(INDEX(checklistPesertaKemenkeu!$L$6:$L$1005,SMALL(IF(checklistPesertaKemenkeu!$AY$6:$AY$1005="Direkomendasikan",ROW($6:$1005)-5),356)),KotaKode,2,0),"-"),"")),"")</f>
        <v/>
      </c>
      <c r="I357" t="str">
        <f t="array" aca="1" ref="I357" ca="1">IFERROR(IF(OR(INDEX(checklistPesertaKemenkeu!$M$6:$M$1005,SMALL(IF(checklistPesertaKemenkeu!$AY$6:$AY$1005="Direkomendasikan",ROW($6:$1005)-5),356))="",INDEX(checklistPesertaKemenkeu!$J$6:$J$1005,SMALL(IF(checklistPesertaKemenkeu!$AY$6:$AY$1005="Direkomendasikan",ROW($6:$1005)-5),356))=""),"",IF(AND(COUNTIF(INDIRECT("K_"&amp;MATCH(INDEX(checklistPesertaKemenkeu!$J$6:$J$1005,SMALL(IF(checklistPesertaKemenkeu!$AY$6:$AY$1005="Direkomendasikan",ROW($6:$1005)-5),356)),BidangList,0)),INDEX(checklistPesertaKemenkeu!$M$6:$M$1005,SMALL(IF(checklistPesertaKemenkeu!$AY$6:$AY$1005="Direkomendasikan",ROW($6:$1005)-5),356)))&gt;0,COUNTIF(INDIRECT("'KERTAS KERJA'!K"&amp;(SMALL(IF(checklistPesertaKemenkeu!$AY$6:$AY$1005="Direkomendasikan",ROW($6:$1005)-5),356)+5)&amp;":O"&amp;(SMALL(IF(checklistPesertaKemenkeu!$AY$6:$AY$1005="Direkomendasikan",ROW($6:$1005)-5),356)+5)),INDEX(checklistPesertaKemenkeu!$M$6:$M$1005,SMALL(IF(checklistPesertaKemenkeu!$AY$6:$AY$1005="Direkomendasikan",ROW($6:$1005)-5),356)))=1),IFERROR(VLOOKUP(INDEX(checklistPesertaKemenkeu!$M$6:$M$1005,SMALL(IF(checklistPesertaKemenkeu!$AY$6:$AY$1005="Direkomendasikan",ROW($6:$1005)-5),356)),KotaKode,2,0),"-"),"")),"")</f>
        <v/>
      </c>
      <c r="J357" t="str">
        <f t="array" aca="1" ref="J357" ca="1">IFERROR(IF(OR(INDEX(checklistPesertaKemenkeu!$N$6:$N$1005,SMALL(IF(checklistPesertaKemenkeu!$AY$6:$AY$1005="Direkomendasikan",ROW($6:$1005)-5),356))="",INDEX(checklistPesertaKemenkeu!$J$6:$J$1005,SMALL(IF(checklistPesertaKemenkeu!$AY$6:$AY$1005="Direkomendasikan",ROW($6:$1005)-5),356))=""),"",IF(AND(COUNTIF(INDIRECT("K_"&amp;MATCH(INDEX(checklistPesertaKemenkeu!$J$6:$J$1005,SMALL(IF(checklistPesertaKemenkeu!$AY$6:$AY$1005="Direkomendasikan",ROW($6:$1005)-5),356)),BidangList,0)),INDEX(checklistPesertaKemenkeu!$N$6:$N$1005,SMALL(IF(checklistPesertaKemenkeu!$AY$6:$AY$1005="Direkomendasikan",ROW($6:$1005)-5),356)))&gt;0,COUNTIF(INDIRECT("'KERTAS KERJA'!K"&amp;(SMALL(IF(checklistPesertaKemenkeu!$AY$6:$AY$1005="Direkomendasikan",ROW($6:$1005)-5),356)+5)&amp;":O"&amp;(SMALL(IF(checklistPesertaKemenkeu!$AY$6:$AY$1005="Direkomendasikan",ROW($6:$1005)-5),356)+5)),INDEX(checklistPesertaKemenkeu!$N$6:$N$1005,SMALL(IF(checklistPesertaKemenkeu!$AY$6:$AY$1005="Direkomendasikan",ROW($6:$1005)-5),356)))=1),IFERROR(VLOOKUP(INDEX(checklistPesertaKemenkeu!$N$6:$N$1005,SMALL(IF(checklistPesertaKemenkeu!$AY$6:$AY$1005="Direkomendasikan",ROW($6:$1005)-5),356)),KotaKode,2,0),"-"),"")),"")</f>
        <v/>
      </c>
      <c r="K357" t="str">
        <f t="array" aca="1" ref="K357" ca="1">IFERROR(IF(OR(INDEX(checklistPesertaKemenkeu!$O$6:$O$1005,SMALL(IF(checklistPesertaKemenkeu!$AY$6:$AY$1005="Direkomendasikan",ROW($6:$1005)-5),356))="",INDEX(checklistPesertaKemenkeu!$J$6:$J$1005,SMALL(IF(checklistPesertaKemenkeu!$AY$6:$AY$1005="Direkomendasikan",ROW($6:$1005)-5),356))=""),"",IF(AND(COUNTIF(INDIRECT("K_"&amp;MATCH(INDEX(checklistPesertaKemenkeu!$J$6:$J$1005,SMALL(IF(checklistPesertaKemenkeu!$AY$6:$AY$1005="Direkomendasikan",ROW($6:$1005)-5),356)),BidangList,0)),INDEX(checklistPesertaKemenkeu!$O$6:$O$1005,SMALL(IF(checklistPesertaKemenkeu!$AY$6:$AY$1005="Direkomendasikan",ROW($6:$1005)-5),356)))&gt;0,COUNTIF(INDIRECT("'KERTAS KERJA'!K"&amp;(SMALL(IF(checklistPesertaKemenkeu!$AY$6:$AY$1005="Direkomendasikan",ROW($6:$1005)-5),356)+5)&amp;":O"&amp;(SMALL(IF(checklistPesertaKemenkeu!$AY$6:$AY$1005="Direkomendasikan",ROW($6:$1005)-5),356)+5)),INDEX(checklistPesertaKemenkeu!$O$6:$O$1005,SMALL(IF(checklistPesertaKemenkeu!$AY$6:$AY$1005="Direkomendasikan",ROW($6:$1005)-5),356)))=1),IFERROR(VLOOKUP(INDEX(checklistPesertaKemenkeu!$O$6:$O$1005,SMALL(IF(checklistPesertaKemenkeu!$AY$6:$AY$1005="Direkomendasikan",ROW($6:$1005)-5),356)),KotaKode,2,0),"-"),"")),"")</f>
        <v/>
      </c>
      <c r="L357" t="str">
        <f t="array" aca="1" ref="L357" ca="1">IFERROR(IF(OR(INDEX(checklistPesertaKemenkeu!$P$6:$P$1005,SMALL(IF(checklistPesertaKemenkeu!$AY$6:$AY$1005="Direkomendasikan",ROW($6:$1005)-5),356))="",INDEX(checklistPesertaKemenkeu!$J$6:$J$1005,SMALL(IF(checklistPesertaKemenkeu!$AY$6:$AY$1005="Direkomendasikan",ROW($6:$1005)-5),356))=""),"",IF(AND(COUNTIF(INDIRECT("K_"&amp;MATCH(INDEX(checklistPesertaKemenkeu!$J$6:$J$1005,SMALL(IF(checklistPesertaKemenkeu!$AY$6:$AY$1005="Direkomendasikan",ROW($6:$1005)-5),356)),BidangList,0)),INDEX(checklistPesertaKemenkeu!$P$6:$P$1005,SMALL(IF(checklistPesertaKemenkeu!$AY$6:$AY$1005="Direkomendasikan",ROW($6:$1005)-5),356)))&gt;0,COUNTIF(INDIRECT("'KERTAS KERJA'!K"&amp;(SMALL(IF(checklistPesertaKemenkeu!$AY$6:$AY$1005="Direkomendasikan",ROW($6:$1005)-5),356)+5)&amp;":O"&amp;(SMALL(IF(checklistPesertaKemenkeu!$AY$6:$AY$1005="Direkomendasikan",ROW($6:$1005)-5),356)+5)),INDEX(checklistPesertaKemenkeu!$P$6:$P$1005,SMALL(IF(checklistPesertaKemenkeu!$AY$6:$AY$1005="Direkomendasikan",ROW($6:$1005)-5),356)))=1),IFERROR(VLOOKUP(INDEX(checklistPesertaKemenkeu!$P$6:$P$1005,SMALL(IF(checklistPesertaKemenkeu!$AY$6:$AY$1005="Direkomendasikan",ROW($6:$1005)-5),356)),KotaKode,2,0),"-"),"")),"")</f>
        <v/>
      </c>
    </row>
    <row r="358" spans="1:12" ht="15" customHeight="1" x14ac:dyDescent="0.2">
      <c r="A358" t="str">
        <f t="shared" si="5"/>
        <v/>
      </c>
      <c r="B358" t="str">
        <v/>
      </c>
      <c r="C358" s="40" t="str">
        <f t="array" ref="C358">IFERROR(INDEX(checklistPesertaKemenkeu!$F$6:$F$1005,SMALL(IF(checklistPesertaKemenkeu!$AY$6:$AY$1005="Direkomendasikan",ROW($6:$1005)-5),357)),"")</f>
        <v/>
      </c>
      <c r="D358" t="str">
        <f t="array" ref="D358">IFERROR(INDEX(checklistPesertaKemenkeu!$G$6:$G$1005,SMALL(IF(checklistPesertaKemenkeu!$AY$6:$AY$1005="Direkomendasikan",ROW($6:$1005)-5),357)),"")</f>
        <v/>
      </c>
      <c r="E358" t="str">
        <f t="array" ref="E358">IFERROR(INDEX(checklistPesertaKemenkeu!$H$6:$H$1005,SMALL(IF(checklistPesertaKemenkeu!$AY$6:$AY$1005="Direkomendasikan",ROW($6:$1005)-5),357)),"")</f>
        <v/>
      </c>
      <c r="F358" t="str">
        <f t="array" ref="F358">IFERROR(INDEX(checklistPesertaKemenkeu!$I$6:$I$1005,SMALL(IF(checklistPesertaKemenkeu!$AY$6:$AY$1005="Direkomendasikan",ROW($6:$1005)-5),357)),"")</f>
        <v/>
      </c>
      <c r="G358" t="str">
        <f t="array" ref="G358">IFERROR(INDEX(checklistPesertaKemenkeu!$J$6:$J$1005,SMALL(IF(checklistPesertaKemenkeu!$AY$6:$AY$1005="Direkomendasikan",ROW($6:$1005)-5),357)),"")</f>
        <v/>
      </c>
      <c r="H358" t="str">
        <f t="array" aca="1" ref="H358" ca="1">IFERROR(IF(OR(INDEX(checklistPesertaKemenkeu!$L$6:$L$1005,SMALL(IF(checklistPesertaKemenkeu!$AY$6:$AY$1005="Direkomendasikan",ROW($6:$1005)-5),357))="",INDEX(checklistPesertaKemenkeu!$J$6:$J$1005,SMALL(IF(checklistPesertaKemenkeu!$AY$6:$AY$1005="Direkomendasikan",ROW($6:$1005)-5),357))=""),"",IF(AND(COUNTIF(INDIRECT("K_"&amp;MATCH(INDEX(checklistPesertaKemenkeu!$J$6:$J$1005,SMALL(IF(checklistPesertaKemenkeu!$AY$6:$AY$1005="Direkomendasikan",ROW($6:$1005)-5),357)),BidangList,0)),INDEX(checklistPesertaKemenkeu!$L$6:$L$1005,SMALL(IF(checklistPesertaKemenkeu!$AY$6:$AY$1005="Direkomendasikan",ROW($6:$1005)-5),357)))&gt;0,COUNTIF(INDIRECT("'KERTAS KERJA'!K"&amp;(SMALL(IF(checklistPesertaKemenkeu!$AY$6:$AY$1005="Direkomendasikan",ROW($6:$1005)-5),357)+5)&amp;":O"&amp;(SMALL(IF(checklistPesertaKemenkeu!$AY$6:$AY$1005="Direkomendasikan",ROW($6:$1005)-5),357)+5)),INDEX(checklistPesertaKemenkeu!$L$6:$L$1005,SMALL(IF(checklistPesertaKemenkeu!$AY$6:$AY$1005="Direkomendasikan",ROW($6:$1005)-5),357)))=1),IFERROR(VLOOKUP(INDEX(checklistPesertaKemenkeu!$L$6:$L$1005,SMALL(IF(checklistPesertaKemenkeu!$AY$6:$AY$1005="Direkomendasikan",ROW($6:$1005)-5),357)),KotaKode,2,0),"-"),"")),"")</f>
        <v/>
      </c>
      <c r="I358" t="str">
        <f t="array" aca="1" ref="I358" ca="1">IFERROR(IF(OR(INDEX(checklistPesertaKemenkeu!$M$6:$M$1005,SMALL(IF(checklistPesertaKemenkeu!$AY$6:$AY$1005="Direkomendasikan",ROW($6:$1005)-5),357))="",INDEX(checklistPesertaKemenkeu!$J$6:$J$1005,SMALL(IF(checklistPesertaKemenkeu!$AY$6:$AY$1005="Direkomendasikan",ROW($6:$1005)-5),357))=""),"",IF(AND(COUNTIF(INDIRECT("K_"&amp;MATCH(INDEX(checklistPesertaKemenkeu!$J$6:$J$1005,SMALL(IF(checklistPesertaKemenkeu!$AY$6:$AY$1005="Direkomendasikan",ROW($6:$1005)-5),357)),BidangList,0)),INDEX(checklistPesertaKemenkeu!$M$6:$M$1005,SMALL(IF(checklistPesertaKemenkeu!$AY$6:$AY$1005="Direkomendasikan",ROW($6:$1005)-5),357)))&gt;0,COUNTIF(INDIRECT("'KERTAS KERJA'!K"&amp;(SMALL(IF(checklistPesertaKemenkeu!$AY$6:$AY$1005="Direkomendasikan",ROW($6:$1005)-5),357)+5)&amp;":O"&amp;(SMALL(IF(checklistPesertaKemenkeu!$AY$6:$AY$1005="Direkomendasikan",ROW($6:$1005)-5),357)+5)),INDEX(checklistPesertaKemenkeu!$M$6:$M$1005,SMALL(IF(checklistPesertaKemenkeu!$AY$6:$AY$1005="Direkomendasikan",ROW($6:$1005)-5),357)))=1),IFERROR(VLOOKUP(INDEX(checklistPesertaKemenkeu!$M$6:$M$1005,SMALL(IF(checklistPesertaKemenkeu!$AY$6:$AY$1005="Direkomendasikan",ROW($6:$1005)-5),357)),KotaKode,2,0),"-"),"")),"")</f>
        <v/>
      </c>
      <c r="J358" t="str">
        <f t="array" aca="1" ref="J358" ca="1">IFERROR(IF(OR(INDEX(checklistPesertaKemenkeu!$N$6:$N$1005,SMALL(IF(checklistPesertaKemenkeu!$AY$6:$AY$1005="Direkomendasikan",ROW($6:$1005)-5),357))="",INDEX(checklistPesertaKemenkeu!$J$6:$J$1005,SMALL(IF(checklistPesertaKemenkeu!$AY$6:$AY$1005="Direkomendasikan",ROW($6:$1005)-5),357))=""),"",IF(AND(COUNTIF(INDIRECT("K_"&amp;MATCH(INDEX(checklistPesertaKemenkeu!$J$6:$J$1005,SMALL(IF(checklistPesertaKemenkeu!$AY$6:$AY$1005="Direkomendasikan",ROW($6:$1005)-5),357)),BidangList,0)),INDEX(checklistPesertaKemenkeu!$N$6:$N$1005,SMALL(IF(checklistPesertaKemenkeu!$AY$6:$AY$1005="Direkomendasikan",ROW($6:$1005)-5),357)))&gt;0,COUNTIF(INDIRECT("'KERTAS KERJA'!K"&amp;(SMALL(IF(checklistPesertaKemenkeu!$AY$6:$AY$1005="Direkomendasikan",ROW($6:$1005)-5),357)+5)&amp;":O"&amp;(SMALL(IF(checklistPesertaKemenkeu!$AY$6:$AY$1005="Direkomendasikan",ROW($6:$1005)-5),357)+5)),INDEX(checklistPesertaKemenkeu!$N$6:$N$1005,SMALL(IF(checklistPesertaKemenkeu!$AY$6:$AY$1005="Direkomendasikan",ROW($6:$1005)-5),357)))=1),IFERROR(VLOOKUP(INDEX(checklistPesertaKemenkeu!$N$6:$N$1005,SMALL(IF(checklistPesertaKemenkeu!$AY$6:$AY$1005="Direkomendasikan",ROW($6:$1005)-5),357)),KotaKode,2,0),"-"),"")),"")</f>
        <v/>
      </c>
      <c r="K358" t="str">
        <f t="array" aca="1" ref="K358" ca="1">IFERROR(IF(OR(INDEX(checklistPesertaKemenkeu!$O$6:$O$1005,SMALL(IF(checklistPesertaKemenkeu!$AY$6:$AY$1005="Direkomendasikan",ROW($6:$1005)-5),357))="",INDEX(checklistPesertaKemenkeu!$J$6:$J$1005,SMALL(IF(checklistPesertaKemenkeu!$AY$6:$AY$1005="Direkomendasikan",ROW($6:$1005)-5),357))=""),"",IF(AND(COUNTIF(INDIRECT("K_"&amp;MATCH(INDEX(checklistPesertaKemenkeu!$J$6:$J$1005,SMALL(IF(checklistPesertaKemenkeu!$AY$6:$AY$1005="Direkomendasikan",ROW($6:$1005)-5),357)),BidangList,0)),INDEX(checklistPesertaKemenkeu!$O$6:$O$1005,SMALL(IF(checklistPesertaKemenkeu!$AY$6:$AY$1005="Direkomendasikan",ROW($6:$1005)-5),357)))&gt;0,COUNTIF(INDIRECT("'KERTAS KERJA'!K"&amp;(SMALL(IF(checklistPesertaKemenkeu!$AY$6:$AY$1005="Direkomendasikan",ROW($6:$1005)-5),357)+5)&amp;":O"&amp;(SMALL(IF(checklistPesertaKemenkeu!$AY$6:$AY$1005="Direkomendasikan",ROW($6:$1005)-5),357)+5)),INDEX(checklistPesertaKemenkeu!$O$6:$O$1005,SMALL(IF(checklistPesertaKemenkeu!$AY$6:$AY$1005="Direkomendasikan",ROW($6:$1005)-5),357)))=1),IFERROR(VLOOKUP(INDEX(checklistPesertaKemenkeu!$O$6:$O$1005,SMALL(IF(checklistPesertaKemenkeu!$AY$6:$AY$1005="Direkomendasikan",ROW($6:$1005)-5),357)),KotaKode,2,0),"-"),"")),"")</f>
        <v/>
      </c>
      <c r="L358" t="str">
        <f t="array" aca="1" ref="L358" ca="1">IFERROR(IF(OR(INDEX(checklistPesertaKemenkeu!$P$6:$P$1005,SMALL(IF(checklistPesertaKemenkeu!$AY$6:$AY$1005="Direkomendasikan",ROW($6:$1005)-5),357))="",INDEX(checklistPesertaKemenkeu!$J$6:$J$1005,SMALL(IF(checklistPesertaKemenkeu!$AY$6:$AY$1005="Direkomendasikan",ROW($6:$1005)-5),357))=""),"",IF(AND(COUNTIF(INDIRECT("K_"&amp;MATCH(INDEX(checklistPesertaKemenkeu!$J$6:$J$1005,SMALL(IF(checklistPesertaKemenkeu!$AY$6:$AY$1005="Direkomendasikan",ROW($6:$1005)-5),357)),BidangList,0)),INDEX(checklistPesertaKemenkeu!$P$6:$P$1005,SMALL(IF(checklistPesertaKemenkeu!$AY$6:$AY$1005="Direkomendasikan",ROW($6:$1005)-5),357)))&gt;0,COUNTIF(INDIRECT("'KERTAS KERJA'!K"&amp;(SMALL(IF(checklistPesertaKemenkeu!$AY$6:$AY$1005="Direkomendasikan",ROW($6:$1005)-5),357)+5)&amp;":O"&amp;(SMALL(IF(checklistPesertaKemenkeu!$AY$6:$AY$1005="Direkomendasikan",ROW($6:$1005)-5),357)+5)),INDEX(checklistPesertaKemenkeu!$P$6:$P$1005,SMALL(IF(checklistPesertaKemenkeu!$AY$6:$AY$1005="Direkomendasikan",ROW($6:$1005)-5),357)))=1),IFERROR(VLOOKUP(INDEX(checklistPesertaKemenkeu!$P$6:$P$1005,SMALL(IF(checklistPesertaKemenkeu!$AY$6:$AY$1005="Direkomendasikan",ROW($6:$1005)-5),357)),KotaKode,2,0),"-"),"")),"")</f>
        <v/>
      </c>
    </row>
    <row r="359" spans="1:12" ht="15" customHeight="1" x14ac:dyDescent="0.2">
      <c r="A359" t="str">
        <f t="shared" si="5"/>
        <v/>
      </c>
      <c r="B359" t="str">
        <v/>
      </c>
      <c r="C359" s="40" t="str">
        <f t="array" ref="C359">IFERROR(INDEX(checklistPesertaKemenkeu!$F$6:$F$1005,SMALL(IF(checklistPesertaKemenkeu!$AY$6:$AY$1005="Direkomendasikan",ROW($6:$1005)-5),358)),"")</f>
        <v/>
      </c>
      <c r="D359" t="str">
        <f t="array" ref="D359">IFERROR(INDEX(checklistPesertaKemenkeu!$G$6:$G$1005,SMALL(IF(checklistPesertaKemenkeu!$AY$6:$AY$1005="Direkomendasikan",ROW($6:$1005)-5),358)),"")</f>
        <v/>
      </c>
      <c r="E359" t="str">
        <f t="array" ref="E359">IFERROR(INDEX(checklistPesertaKemenkeu!$H$6:$H$1005,SMALL(IF(checklistPesertaKemenkeu!$AY$6:$AY$1005="Direkomendasikan",ROW($6:$1005)-5),358)),"")</f>
        <v/>
      </c>
      <c r="F359" t="str">
        <f t="array" ref="F359">IFERROR(INDEX(checklistPesertaKemenkeu!$I$6:$I$1005,SMALL(IF(checklistPesertaKemenkeu!$AY$6:$AY$1005="Direkomendasikan",ROW($6:$1005)-5),358)),"")</f>
        <v/>
      </c>
      <c r="G359" t="str">
        <f t="array" ref="G359">IFERROR(INDEX(checklistPesertaKemenkeu!$J$6:$J$1005,SMALL(IF(checklistPesertaKemenkeu!$AY$6:$AY$1005="Direkomendasikan",ROW($6:$1005)-5),358)),"")</f>
        <v/>
      </c>
      <c r="H359" t="str">
        <f t="array" aca="1" ref="H359" ca="1">IFERROR(IF(OR(INDEX(checklistPesertaKemenkeu!$L$6:$L$1005,SMALL(IF(checklistPesertaKemenkeu!$AY$6:$AY$1005="Direkomendasikan",ROW($6:$1005)-5),358))="",INDEX(checklistPesertaKemenkeu!$J$6:$J$1005,SMALL(IF(checklistPesertaKemenkeu!$AY$6:$AY$1005="Direkomendasikan",ROW($6:$1005)-5),358))=""),"",IF(AND(COUNTIF(INDIRECT("K_"&amp;MATCH(INDEX(checklistPesertaKemenkeu!$J$6:$J$1005,SMALL(IF(checklistPesertaKemenkeu!$AY$6:$AY$1005="Direkomendasikan",ROW($6:$1005)-5),358)),BidangList,0)),INDEX(checklistPesertaKemenkeu!$L$6:$L$1005,SMALL(IF(checklistPesertaKemenkeu!$AY$6:$AY$1005="Direkomendasikan",ROW($6:$1005)-5),358)))&gt;0,COUNTIF(INDIRECT("'KERTAS KERJA'!K"&amp;(SMALL(IF(checklistPesertaKemenkeu!$AY$6:$AY$1005="Direkomendasikan",ROW($6:$1005)-5),358)+5)&amp;":O"&amp;(SMALL(IF(checklistPesertaKemenkeu!$AY$6:$AY$1005="Direkomendasikan",ROW($6:$1005)-5),358)+5)),INDEX(checklistPesertaKemenkeu!$L$6:$L$1005,SMALL(IF(checklistPesertaKemenkeu!$AY$6:$AY$1005="Direkomendasikan",ROW($6:$1005)-5),358)))=1),IFERROR(VLOOKUP(INDEX(checklistPesertaKemenkeu!$L$6:$L$1005,SMALL(IF(checklistPesertaKemenkeu!$AY$6:$AY$1005="Direkomendasikan",ROW($6:$1005)-5),358)),KotaKode,2,0),"-"),"")),"")</f>
        <v/>
      </c>
      <c r="I359" t="str">
        <f t="array" aca="1" ref="I359" ca="1">IFERROR(IF(OR(INDEX(checklistPesertaKemenkeu!$M$6:$M$1005,SMALL(IF(checklistPesertaKemenkeu!$AY$6:$AY$1005="Direkomendasikan",ROW($6:$1005)-5),358))="",INDEX(checklistPesertaKemenkeu!$J$6:$J$1005,SMALL(IF(checklistPesertaKemenkeu!$AY$6:$AY$1005="Direkomendasikan",ROW($6:$1005)-5),358))=""),"",IF(AND(COUNTIF(INDIRECT("K_"&amp;MATCH(INDEX(checklistPesertaKemenkeu!$J$6:$J$1005,SMALL(IF(checklistPesertaKemenkeu!$AY$6:$AY$1005="Direkomendasikan",ROW($6:$1005)-5),358)),BidangList,0)),INDEX(checklistPesertaKemenkeu!$M$6:$M$1005,SMALL(IF(checklistPesertaKemenkeu!$AY$6:$AY$1005="Direkomendasikan",ROW($6:$1005)-5),358)))&gt;0,COUNTIF(INDIRECT("'KERTAS KERJA'!K"&amp;(SMALL(IF(checklistPesertaKemenkeu!$AY$6:$AY$1005="Direkomendasikan",ROW($6:$1005)-5),358)+5)&amp;":O"&amp;(SMALL(IF(checklistPesertaKemenkeu!$AY$6:$AY$1005="Direkomendasikan",ROW($6:$1005)-5),358)+5)),INDEX(checklistPesertaKemenkeu!$M$6:$M$1005,SMALL(IF(checklistPesertaKemenkeu!$AY$6:$AY$1005="Direkomendasikan",ROW($6:$1005)-5),358)))=1),IFERROR(VLOOKUP(INDEX(checklistPesertaKemenkeu!$M$6:$M$1005,SMALL(IF(checklistPesertaKemenkeu!$AY$6:$AY$1005="Direkomendasikan",ROW($6:$1005)-5),358)),KotaKode,2,0),"-"),"")),"")</f>
        <v/>
      </c>
      <c r="J359" t="str">
        <f t="array" aca="1" ref="J359" ca="1">IFERROR(IF(OR(INDEX(checklistPesertaKemenkeu!$N$6:$N$1005,SMALL(IF(checklistPesertaKemenkeu!$AY$6:$AY$1005="Direkomendasikan",ROW($6:$1005)-5),358))="",INDEX(checklistPesertaKemenkeu!$J$6:$J$1005,SMALL(IF(checklistPesertaKemenkeu!$AY$6:$AY$1005="Direkomendasikan",ROW($6:$1005)-5),358))=""),"",IF(AND(COUNTIF(INDIRECT("K_"&amp;MATCH(INDEX(checklistPesertaKemenkeu!$J$6:$J$1005,SMALL(IF(checklistPesertaKemenkeu!$AY$6:$AY$1005="Direkomendasikan",ROW($6:$1005)-5),358)),BidangList,0)),INDEX(checklistPesertaKemenkeu!$N$6:$N$1005,SMALL(IF(checklistPesertaKemenkeu!$AY$6:$AY$1005="Direkomendasikan",ROW($6:$1005)-5),358)))&gt;0,COUNTIF(INDIRECT("'KERTAS KERJA'!K"&amp;(SMALL(IF(checklistPesertaKemenkeu!$AY$6:$AY$1005="Direkomendasikan",ROW($6:$1005)-5),358)+5)&amp;":O"&amp;(SMALL(IF(checklistPesertaKemenkeu!$AY$6:$AY$1005="Direkomendasikan",ROW($6:$1005)-5),358)+5)),INDEX(checklistPesertaKemenkeu!$N$6:$N$1005,SMALL(IF(checklistPesertaKemenkeu!$AY$6:$AY$1005="Direkomendasikan",ROW($6:$1005)-5),358)))=1),IFERROR(VLOOKUP(INDEX(checklistPesertaKemenkeu!$N$6:$N$1005,SMALL(IF(checklistPesertaKemenkeu!$AY$6:$AY$1005="Direkomendasikan",ROW($6:$1005)-5),358)),KotaKode,2,0),"-"),"")),"")</f>
        <v/>
      </c>
      <c r="K359" t="str">
        <f t="array" aca="1" ref="K359" ca="1">IFERROR(IF(OR(INDEX(checklistPesertaKemenkeu!$O$6:$O$1005,SMALL(IF(checklistPesertaKemenkeu!$AY$6:$AY$1005="Direkomendasikan",ROW($6:$1005)-5),358))="",INDEX(checklistPesertaKemenkeu!$J$6:$J$1005,SMALL(IF(checklistPesertaKemenkeu!$AY$6:$AY$1005="Direkomendasikan",ROW($6:$1005)-5),358))=""),"",IF(AND(COUNTIF(INDIRECT("K_"&amp;MATCH(INDEX(checklistPesertaKemenkeu!$J$6:$J$1005,SMALL(IF(checklistPesertaKemenkeu!$AY$6:$AY$1005="Direkomendasikan",ROW($6:$1005)-5),358)),BidangList,0)),INDEX(checklistPesertaKemenkeu!$O$6:$O$1005,SMALL(IF(checklistPesertaKemenkeu!$AY$6:$AY$1005="Direkomendasikan",ROW($6:$1005)-5),358)))&gt;0,COUNTIF(INDIRECT("'KERTAS KERJA'!K"&amp;(SMALL(IF(checklistPesertaKemenkeu!$AY$6:$AY$1005="Direkomendasikan",ROW($6:$1005)-5),358)+5)&amp;":O"&amp;(SMALL(IF(checklistPesertaKemenkeu!$AY$6:$AY$1005="Direkomendasikan",ROW($6:$1005)-5),358)+5)),INDEX(checklistPesertaKemenkeu!$O$6:$O$1005,SMALL(IF(checklistPesertaKemenkeu!$AY$6:$AY$1005="Direkomendasikan",ROW($6:$1005)-5),358)))=1),IFERROR(VLOOKUP(INDEX(checklistPesertaKemenkeu!$O$6:$O$1005,SMALL(IF(checklistPesertaKemenkeu!$AY$6:$AY$1005="Direkomendasikan",ROW($6:$1005)-5),358)),KotaKode,2,0),"-"),"")),"")</f>
        <v/>
      </c>
      <c r="L359" t="str">
        <f t="array" aca="1" ref="L359" ca="1">IFERROR(IF(OR(INDEX(checklistPesertaKemenkeu!$P$6:$P$1005,SMALL(IF(checklistPesertaKemenkeu!$AY$6:$AY$1005="Direkomendasikan",ROW($6:$1005)-5),358))="",INDEX(checklistPesertaKemenkeu!$J$6:$J$1005,SMALL(IF(checklistPesertaKemenkeu!$AY$6:$AY$1005="Direkomendasikan",ROW($6:$1005)-5),358))=""),"",IF(AND(COUNTIF(INDIRECT("K_"&amp;MATCH(INDEX(checklistPesertaKemenkeu!$J$6:$J$1005,SMALL(IF(checklistPesertaKemenkeu!$AY$6:$AY$1005="Direkomendasikan",ROW($6:$1005)-5),358)),BidangList,0)),INDEX(checklistPesertaKemenkeu!$P$6:$P$1005,SMALL(IF(checklistPesertaKemenkeu!$AY$6:$AY$1005="Direkomendasikan",ROW($6:$1005)-5),358)))&gt;0,COUNTIF(INDIRECT("'KERTAS KERJA'!K"&amp;(SMALL(IF(checklistPesertaKemenkeu!$AY$6:$AY$1005="Direkomendasikan",ROW($6:$1005)-5),358)+5)&amp;":O"&amp;(SMALL(IF(checklistPesertaKemenkeu!$AY$6:$AY$1005="Direkomendasikan",ROW($6:$1005)-5),358)+5)),INDEX(checklistPesertaKemenkeu!$P$6:$P$1005,SMALL(IF(checklistPesertaKemenkeu!$AY$6:$AY$1005="Direkomendasikan",ROW($6:$1005)-5),358)))=1),IFERROR(VLOOKUP(INDEX(checklistPesertaKemenkeu!$P$6:$P$1005,SMALL(IF(checklistPesertaKemenkeu!$AY$6:$AY$1005="Direkomendasikan",ROW($6:$1005)-5),358)),KotaKode,2,0),"-"),"")),"")</f>
        <v/>
      </c>
    </row>
    <row r="360" spans="1:12" ht="15" customHeight="1" x14ac:dyDescent="0.2">
      <c r="A360" t="str">
        <f t="shared" si="5"/>
        <v/>
      </c>
      <c r="B360" t="str">
        <v/>
      </c>
      <c r="C360" s="40" t="str">
        <f t="array" ref="C360">IFERROR(INDEX(checklistPesertaKemenkeu!$F$6:$F$1005,SMALL(IF(checklistPesertaKemenkeu!$AY$6:$AY$1005="Direkomendasikan",ROW($6:$1005)-5),359)),"")</f>
        <v/>
      </c>
      <c r="D360" t="str">
        <f t="array" ref="D360">IFERROR(INDEX(checklistPesertaKemenkeu!$G$6:$G$1005,SMALL(IF(checklistPesertaKemenkeu!$AY$6:$AY$1005="Direkomendasikan",ROW($6:$1005)-5),359)),"")</f>
        <v/>
      </c>
      <c r="E360" t="str">
        <f t="array" ref="E360">IFERROR(INDEX(checklistPesertaKemenkeu!$H$6:$H$1005,SMALL(IF(checklistPesertaKemenkeu!$AY$6:$AY$1005="Direkomendasikan",ROW($6:$1005)-5),359)),"")</f>
        <v/>
      </c>
      <c r="F360" t="str">
        <f t="array" ref="F360">IFERROR(INDEX(checklistPesertaKemenkeu!$I$6:$I$1005,SMALL(IF(checklistPesertaKemenkeu!$AY$6:$AY$1005="Direkomendasikan",ROW($6:$1005)-5),359)),"")</f>
        <v/>
      </c>
      <c r="G360" t="str">
        <f t="array" ref="G360">IFERROR(INDEX(checklistPesertaKemenkeu!$J$6:$J$1005,SMALL(IF(checklistPesertaKemenkeu!$AY$6:$AY$1005="Direkomendasikan",ROW($6:$1005)-5),359)),"")</f>
        <v/>
      </c>
      <c r="H360" t="str">
        <f t="array" aca="1" ref="H360" ca="1">IFERROR(IF(OR(INDEX(checklistPesertaKemenkeu!$L$6:$L$1005,SMALL(IF(checklistPesertaKemenkeu!$AY$6:$AY$1005="Direkomendasikan",ROW($6:$1005)-5),359))="",INDEX(checklistPesertaKemenkeu!$J$6:$J$1005,SMALL(IF(checklistPesertaKemenkeu!$AY$6:$AY$1005="Direkomendasikan",ROW($6:$1005)-5),359))=""),"",IF(AND(COUNTIF(INDIRECT("K_"&amp;MATCH(INDEX(checklistPesertaKemenkeu!$J$6:$J$1005,SMALL(IF(checklistPesertaKemenkeu!$AY$6:$AY$1005="Direkomendasikan",ROW($6:$1005)-5),359)),BidangList,0)),INDEX(checklistPesertaKemenkeu!$L$6:$L$1005,SMALL(IF(checklistPesertaKemenkeu!$AY$6:$AY$1005="Direkomendasikan",ROW($6:$1005)-5),359)))&gt;0,COUNTIF(INDIRECT("'KERTAS KERJA'!K"&amp;(SMALL(IF(checklistPesertaKemenkeu!$AY$6:$AY$1005="Direkomendasikan",ROW($6:$1005)-5),359)+5)&amp;":O"&amp;(SMALL(IF(checklistPesertaKemenkeu!$AY$6:$AY$1005="Direkomendasikan",ROW($6:$1005)-5),359)+5)),INDEX(checklistPesertaKemenkeu!$L$6:$L$1005,SMALL(IF(checklistPesertaKemenkeu!$AY$6:$AY$1005="Direkomendasikan",ROW($6:$1005)-5),359)))=1),IFERROR(VLOOKUP(INDEX(checklistPesertaKemenkeu!$L$6:$L$1005,SMALL(IF(checklistPesertaKemenkeu!$AY$6:$AY$1005="Direkomendasikan",ROW($6:$1005)-5),359)),KotaKode,2,0),"-"),"")),"")</f>
        <v/>
      </c>
      <c r="I360" t="str">
        <f t="array" aca="1" ref="I360" ca="1">IFERROR(IF(OR(INDEX(checklistPesertaKemenkeu!$M$6:$M$1005,SMALL(IF(checklistPesertaKemenkeu!$AY$6:$AY$1005="Direkomendasikan",ROW($6:$1005)-5),359))="",INDEX(checklistPesertaKemenkeu!$J$6:$J$1005,SMALL(IF(checklistPesertaKemenkeu!$AY$6:$AY$1005="Direkomendasikan",ROW($6:$1005)-5),359))=""),"",IF(AND(COUNTIF(INDIRECT("K_"&amp;MATCH(INDEX(checklistPesertaKemenkeu!$J$6:$J$1005,SMALL(IF(checklistPesertaKemenkeu!$AY$6:$AY$1005="Direkomendasikan",ROW($6:$1005)-5),359)),BidangList,0)),INDEX(checklistPesertaKemenkeu!$M$6:$M$1005,SMALL(IF(checklistPesertaKemenkeu!$AY$6:$AY$1005="Direkomendasikan",ROW($6:$1005)-5),359)))&gt;0,COUNTIF(INDIRECT("'KERTAS KERJA'!K"&amp;(SMALL(IF(checklistPesertaKemenkeu!$AY$6:$AY$1005="Direkomendasikan",ROW($6:$1005)-5),359)+5)&amp;":O"&amp;(SMALL(IF(checklistPesertaKemenkeu!$AY$6:$AY$1005="Direkomendasikan",ROW($6:$1005)-5),359)+5)),INDEX(checklistPesertaKemenkeu!$M$6:$M$1005,SMALL(IF(checklistPesertaKemenkeu!$AY$6:$AY$1005="Direkomendasikan",ROW($6:$1005)-5),359)))=1),IFERROR(VLOOKUP(INDEX(checklistPesertaKemenkeu!$M$6:$M$1005,SMALL(IF(checklistPesertaKemenkeu!$AY$6:$AY$1005="Direkomendasikan",ROW($6:$1005)-5),359)),KotaKode,2,0),"-"),"")),"")</f>
        <v/>
      </c>
      <c r="J360" t="str">
        <f t="array" aca="1" ref="J360" ca="1">IFERROR(IF(OR(INDEX(checklistPesertaKemenkeu!$N$6:$N$1005,SMALL(IF(checklistPesertaKemenkeu!$AY$6:$AY$1005="Direkomendasikan",ROW($6:$1005)-5),359))="",INDEX(checklistPesertaKemenkeu!$J$6:$J$1005,SMALL(IF(checklistPesertaKemenkeu!$AY$6:$AY$1005="Direkomendasikan",ROW($6:$1005)-5),359))=""),"",IF(AND(COUNTIF(INDIRECT("K_"&amp;MATCH(INDEX(checklistPesertaKemenkeu!$J$6:$J$1005,SMALL(IF(checklistPesertaKemenkeu!$AY$6:$AY$1005="Direkomendasikan",ROW($6:$1005)-5),359)),BidangList,0)),INDEX(checklistPesertaKemenkeu!$N$6:$N$1005,SMALL(IF(checklistPesertaKemenkeu!$AY$6:$AY$1005="Direkomendasikan",ROW($6:$1005)-5),359)))&gt;0,COUNTIF(INDIRECT("'KERTAS KERJA'!K"&amp;(SMALL(IF(checklistPesertaKemenkeu!$AY$6:$AY$1005="Direkomendasikan",ROW($6:$1005)-5),359)+5)&amp;":O"&amp;(SMALL(IF(checklistPesertaKemenkeu!$AY$6:$AY$1005="Direkomendasikan",ROW($6:$1005)-5),359)+5)),INDEX(checklistPesertaKemenkeu!$N$6:$N$1005,SMALL(IF(checklistPesertaKemenkeu!$AY$6:$AY$1005="Direkomendasikan",ROW($6:$1005)-5),359)))=1),IFERROR(VLOOKUP(INDEX(checklistPesertaKemenkeu!$N$6:$N$1005,SMALL(IF(checklistPesertaKemenkeu!$AY$6:$AY$1005="Direkomendasikan",ROW($6:$1005)-5),359)),KotaKode,2,0),"-"),"")),"")</f>
        <v/>
      </c>
      <c r="K360" t="str">
        <f t="array" aca="1" ref="K360" ca="1">IFERROR(IF(OR(INDEX(checklistPesertaKemenkeu!$O$6:$O$1005,SMALL(IF(checklistPesertaKemenkeu!$AY$6:$AY$1005="Direkomendasikan",ROW($6:$1005)-5),359))="",INDEX(checklistPesertaKemenkeu!$J$6:$J$1005,SMALL(IF(checklistPesertaKemenkeu!$AY$6:$AY$1005="Direkomendasikan",ROW($6:$1005)-5),359))=""),"",IF(AND(COUNTIF(INDIRECT("K_"&amp;MATCH(INDEX(checklistPesertaKemenkeu!$J$6:$J$1005,SMALL(IF(checklistPesertaKemenkeu!$AY$6:$AY$1005="Direkomendasikan",ROW($6:$1005)-5),359)),BidangList,0)),INDEX(checklistPesertaKemenkeu!$O$6:$O$1005,SMALL(IF(checklistPesertaKemenkeu!$AY$6:$AY$1005="Direkomendasikan",ROW($6:$1005)-5),359)))&gt;0,COUNTIF(INDIRECT("'KERTAS KERJA'!K"&amp;(SMALL(IF(checklistPesertaKemenkeu!$AY$6:$AY$1005="Direkomendasikan",ROW($6:$1005)-5),359)+5)&amp;":O"&amp;(SMALL(IF(checklistPesertaKemenkeu!$AY$6:$AY$1005="Direkomendasikan",ROW($6:$1005)-5),359)+5)),INDEX(checklistPesertaKemenkeu!$O$6:$O$1005,SMALL(IF(checklistPesertaKemenkeu!$AY$6:$AY$1005="Direkomendasikan",ROW($6:$1005)-5),359)))=1),IFERROR(VLOOKUP(INDEX(checklistPesertaKemenkeu!$O$6:$O$1005,SMALL(IF(checklistPesertaKemenkeu!$AY$6:$AY$1005="Direkomendasikan",ROW($6:$1005)-5),359)),KotaKode,2,0),"-"),"")),"")</f>
        <v/>
      </c>
      <c r="L360" t="str">
        <f t="array" aca="1" ref="L360" ca="1">IFERROR(IF(OR(INDEX(checklistPesertaKemenkeu!$P$6:$P$1005,SMALL(IF(checklistPesertaKemenkeu!$AY$6:$AY$1005="Direkomendasikan",ROW($6:$1005)-5),359))="",INDEX(checklistPesertaKemenkeu!$J$6:$J$1005,SMALL(IF(checklistPesertaKemenkeu!$AY$6:$AY$1005="Direkomendasikan",ROW($6:$1005)-5),359))=""),"",IF(AND(COUNTIF(INDIRECT("K_"&amp;MATCH(INDEX(checklistPesertaKemenkeu!$J$6:$J$1005,SMALL(IF(checklistPesertaKemenkeu!$AY$6:$AY$1005="Direkomendasikan",ROW($6:$1005)-5),359)),BidangList,0)),INDEX(checklistPesertaKemenkeu!$P$6:$P$1005,SMALL(IF(checklistPesertaKemenkeu!$AY$6:$AY$1005="Direkomendasikan",ROW($6:$1005)-5),359)))&gt;0,COUNTIF(INDIRECT("'KERTAS KERJA'!K"&amp;(SMALL(IF(checklistPesertaKemenkeu!$AY$6:$AY$1005="Direkomendasikan",ROW($6:$1005)-5),359)+5)&amp;":O"&amp;(SMALL(IF(checklistPesertaKemenkeu!$AY$6:$AY$1005="Direkomendasikan",ROW($6:$1005)-5),359)+5)),INDEX(checklistPesertaKemenkeu!$P$6:$P$1005,SMALL(IF(checklistPesertaKemenkeu!$AY$6:$AY$1005="Direkomendasikan",ROW($6:$1005)-5),359)))=1),IFERROR(VLOOKUP(INDEX(checklistPesertaKemenkeu!$P$6:$P$1005,SMALL(IF(checklistPesertaKemenkeu!$AY$6:$AY$1005="Direkomendasikan",ROW($6:$1005)-5),359)),KotaKode,2,0),"-"),"")),"")</f>
        <v/>
      </c>
    </row>
    <row r="361" spans="1:12" ht="15" customHeight="1" x14ac:dyDescent="0.2">
      <c r="A361" t="str">
        <f t="shared" si="5"/>
        <v/>
      </c>
      <c r="B361" t="str">
        <v/>
      </c>
      <c r="C361" s="40" t="str">
        <f t="array" ref="C361">IFERROR(INDEX(checklistPesertaKemenkeu!$F$6:$F$1005,SMALL(IF(checklistPesertaKemenkeu!$AY$6:$AY$1005="Direkomendasikan",ROW($6:$1005)-5),360)),"")</f>
        <v/>
      </c>
      <c r="D361" t="str">
        <f t="array" ref="D361">IFERROR(INDEX(checklistPesertaKemenkeu!$G$6:$G$1005,SMALL(IF(checklistPesertaKemenkeu!$AY$6:$AY$1005="Direkomendasikan",ROW($6:$1005)-5),360)),"")</f>
        <v/>
      </c>
      <c r="E361" t="str">
        <f t="array" ref="E361">IFERROR(INDEX(checklistPesertaKemenkeu!$H$6:$H$1005,SMALL(IF(checklistPesertaKemenkeu!$AY$6:$AY$1005="Direkomendasikan",ROW($6:$1005)-5),360)),"")</f>
        <v/>
      </c>
      <c r="F361" t="str">
        <f t="array" ref="F361">IFERROR(INDEX(checklistPesertaKemenkeu!$I$6:$I$1005,SMALL(IF(checklistPesertaKemenkeu!$AY$6:$AY$1005="Direkomendasikan",ROW($6:$1005)-5),360)),"")</f>
        <v/>
      </c>
      <c r="G361" t="str">
        <f t="array" ref="G361">IFERROR(INDEX(checklistPesertaKemenkeu!$J$6:$J$1005,SMALL(IF(checklistPesertaKemenkeu!$AY$6:$AY$1005="Direkomendasikan",ROW($6:$1005)-5),360)),"")</f>
        <v/>
      </c>
      <c r="H361" t="str">
        <f t="array" aca="1" ref="H361" ca="1">IFERROR(IF(OR(INDEX(checklistPesertaKemenkeu!$L$6:$L$1005,SMALL(IF(checklistPesertaKemenkeu!$AY$6:$AY$1005="Direkomendasikan",ROW($6:$1005)-5),360))="",INDEX(checklistPesertaKemenkeu!$J$6:$J$1005,SMALL(IF(checklistPesertaKemenkeu!$AY$6:$AY$1005="Direkomendasikan",ROW($6:$1005)-5),360))=""),"",IF(AND(COUNTIF(INDIRECT("K_"&amp;MATCH(INDEX(checklistPesertaKemenkeu!$J$6:$J$1005,SMALL(IF(checklistPesertaKemenkeu!$AY$6:$AY$1005="Direkomendasikan",ROW($6:$1005)-5),360)),BidangList,0)),INDEX(checklistPesertaKemenkeu!$L$6:$L$1005,SMALL(IF(checklistPesertaKemenkeu!$AY$6:$AY$1005="Direkomendasikan",ROW($6:$1005)-5),360)))&gt;0,COUNTIF(INDIRECT("'KERTAS KERJA'!K"&amp;(SMALL(IF(checklistPesertaKemenkeu!$AY$6:$AY$1005="Direkomendasikan",ROW($6:$1005)-5),360)+5)&amp;":O"&amp;(SMALL(IF(checklistPesertaKemenkeu!$AY$6:$AY$1005="Direkomendasikan",ROW($6:$1005)-5),360)+5)),INDEX(checklistPesertaKemenkeu!$L$6:$L$1005,SMALL(IF(checklistPesertaKemenkeu!$AY$6:$AY$1005="Direkomendasikan",ROW($6:$1005)-5),360)))=1),IFERROR(VLOOKUP(INDEX(checklistPesertaKemenkeu!$L$6:$L$1005,SMALL(IF(checklistPesertaKemenkeu!$AY$6:$AY$1005="Direkomendasikan",ROW($6:$1005)-5),360)),KotaKode,2,0),"-"),"")),"")</f>
        <v/>
      </c>
      <c r="I361" t="str">
        <f t="array" aca="1" ref="I361" ca="1">IFERROR(IF(OR(INDEX(checklistPesertaKemenkeu!$M$6:$M$1005,SMALL(IF(checklistPesertaKemenkeu!$AY$6:$AY$1005="Direkomendasikan",ROW($6:$1005)-5),360))="",INDEX(checklistPesertaKemenkeu!$J$6:$J$1005,SMALL(IF(checklistPesertaKemenkeu!$AY$6:$AY$1005="Direkomendasikan",ROW($6:$1005)-5),360))=""),"",IF(AND(COUNTIF(INDIRECT("K_"&amp;MATCH(INDEX(checklistPesertaKemenkeu!$J$6:$J$1005,SMALL(IF(checklistPesertaKemenkeu!$AY$6:$AY$1005="Direkomendasikan",ROW($6:$1005)-5),360)),BidangList,0)),INDEX(checklistPesertaKemenkeu!$M$6:$M$1005,SMALL(IF(checklistPesertaKemenkeu!$AY$6:$AY$1005="Direkomendasikan",ROW($6:$1005)-5),360)))&gt;0,COUNTIF(INDIRECT("'KERTAS KERJA'!K"&amp;(SMALL(IF(checklistPesertaKemenkeu!$AY$6:$AY$1005="Direkomendasikan",ROW($6:$1005)-5),360)+5)&amp;":O"&amp;(SMALL(IF(checklistPesertaKemenkeu!$AY$6:$AY$1005="Direkomendasikan",ROW($6:$1005)-5),360)+5)),INDEX(checklistPesertaKemenkeu!$M$6:$M$1005,SMALL(IF(checklistPesertaKemenkeu!$AY$6:$AY$1005="Direkomendasikan",ROW($6:$1005)-5),360)))=1),IFERROR(VLOOKUP(INDEX(checklistPesertaKemenkeu!$M$6:$M$1005,SMALL(IF(checklistPesertaKemenkeu!$AY$6:$AY$1005="Direkomendasikan",ROW($6:$1005)-5),360)),KotaKode,2,0),"-"),"")),"")</f>
        <v/>
      </c>
      <c r="J361" t="str">
        <f t="array" aca="1" ref="J361" ca="1">IFERROR(IF(OR(INDEX(checklistPesertaKemenkeu!$N$6:$N$1005,SMALL(IF(checklistPesertaKemenkeu!$AY$6:$AY$1005="Direkomendasikan",ROW($6:$1005)-5),360))="",INDEX(checklistPesertaKemenkeu!$J$6:$J$1005,SMALL(IF(checklistPesertaKemenkeu!$AY$6:$AY$1005="Direkomendasikan",ROW($6:$1005)-5),360))=""),"",IF(AND(COUNTIF(INDIRECT("K_"&amp;MATCH(INDEX(checklistPesertaKemenkeu!$J$6:$J$1005,SMALL(IF(checklistPesertaKemenkeu!$AY$6:$AY$1005="Direkomendasikan",ROW($6:$1005)-5),360)),BidangList,0)),INDEX(checklistPesertaKemenkeu!$N$6:$N$1005,SMALL(IF(checklistPesertaKemenkeu!$AY$6:$AY$1005="Direkomendasikan",ROW($6:$1005)-5),360)))&gt;0,COUNTIF(INDIRECT("'KERTAS KERJA'!K"&amp;(SMALL(IF(checklistPesertaKemenkeu!$AY$6:$AY$1005="Direkomendasikan",ROW($6:$1005)-5),360)+5)&amp;":O"&amp;(SMALL(IF(checklistPesertaKemenkeu!$AY$6:$AY$1005="Direkomendasikan",ROW($6:$1005)-5),360)+5)),INDEX(checklistPesertaKemenkeu!$N$6:$N$1005,SMALL(IF(checklistPesertaKemenkeu!$AY$6:$AY$1005="Direkomendasikan",ROW($6:$1005)-5),360)))=1),IFERROR(VLOOKUP(INDEX(checklistPesertaKemenkeu!$N$6:$N$1005,SMALL(IF(checklistPesertaKemenkeu!$AY$6:$AY$1005="Direkomendasikan",ROW($6:$1005)-5),360)),KotaKode,2,0),"-"),"")),"")</f>
        <v/>
      </c>
      <c r="K361" t="str">
        <f t="array" aca="1" ref="K361" ca="1">IFERROR(IF(OR(INDEX(checklistPesertaKemenkeu!$O$6:$O$1005,SMALL(IF(checklistPesertaKemenkeu!$AY$6:$AY$1005="Direkomendasikan",ROW($6:$1005)-5),360))="",INDEX(checklistPesertaKemenkeu!$J$6:$J$1005,SMALL(IF(checklistPesertaKemenkeu!$AY$6:$AY$1005="Direkomendasikan",ROW($6:$1005)-5),360))=""),"",IF(AND(COUNTIF(INDIRECT("K_"&amp;MATCH(INDEX(checklistPesertaKemenkeu!$J$6:$J$1005,SMALL(IF(checklistPesertaKemenkeu!$AY$6:$AY$1005="Direkomendasikan",ROW($6:$1005)-5),360)),BidangList,0)),INDEX(checklistPesertaKemenkeu!$O$6:$O$1005,SMALL(IF(checklistPesertaKemenkeu!$AY$6:$AY$1005="Direkomendasikan",ROW($6:$1005)-5),360)))&gt;0,COUNTIF(INDIRECT("'KERTAS KERJA'!K"&amp;(SMALL(IF(checklistPesertaKemenkeu!$AY$6:$AY$1005="Direkomendasikan",ROW($6:$1005)-5),360)+5)&amp;":O"&amp;(SMALL(IF(checklistPesertaKemenkeu!$AY$6:$AY$1005="Direkomendasikan",ROW($6:$1005)-5),360)+5)),INDEX(checklistPesertaKemenkeu!$O$6:$O$1005,SMALL(IF(checklistPesertaKemenkeu!$AY$6:$AY$1005="Direkomendasikan",ROW($6:$1005)-5),360)))=1),IFERROR(VLOOKUP(INDEX(checklistPesertaKemenkeu!$O$6:$O$1005,SMALL(IF(checklistPesertaKemenkeu!$AY$6:$AY$1005="Direkomendasikan",ROW($6:$1005)-5),360)),KotaKode,2,0),"-"),"")),"")</f>
        <v/>
      </c>
      <c r="L361" t="str">
        <f t="array" aca="1" ref="L361" ca="1">IFERROR(IF(OR(INDEX(checklistPesertaKemenkeu!$P$6:$P$1005,SMALL(IF(checklistPesertaKemenkeu!$AY$6:$AY$1005="Direkomendasikan",ROW($6:$1005)-5),360))="",INDEX(checklistPesertaKemenkeu!$J$6:$J$1005,SMALL(IF(checklistPesertaKemenkeu!$AY$6:$AY$1005="Direkomendasikan",ROW($6:$1005)-5),360))=""),"",IF(AND(COUNTIF(INDIRECT("K_"&amp;MATCH(INDEX(checklistPesertaKemenkeu!$J$6:$J$1005,SMALL(IF(checklistPesertaKemenkeu!$AY$6:$AY$1005="Direkomendasikan",ROW($6:$1005)-5),360)),BidangList,0)),INDEX(checklistPesertaKemenkeu!$P$6:$P$1005,SMALL(IF(checklistPesertaKemenkeu!$AY$6:$AY$1005="Direkomendasikan",ROW($6:$1005)-5),360)))&gt;0,COUNTIF(INDIRECT("'KERTAS KERJA'!K"&amp;(SMALL(IF(checklistPesertaKemenkeu!$AY$6:$AY$1005="Direkomendasikan",ROW($6:$1005)-5),360)+5)&amp;":O"&amp;(SMALL(IF(checklistPesertaKemenkeu!$AY$6:$AY$1005="Direkomendasikan",ROW($6:$1005)-5),360)+5)),INDEX(checklistPesertaKemenkeu!$P$6:$P$1005,SMALL(IF(checklistPesertaKemenkeu!$AY$6:$AY$1005="Direkomendasikan",ROW($6:$1005)-5),360)))=1),IFERROR(VLOOKUP(INDEX(checklistPesertaKemenkeu!$P$6:$P$1005,SMALL(IF(checklistPesertaKemenkeu!$AY$6:$AY$1005="Direkomendasikan",ROW($6:$1005)-5),360)),KotaKode,2,0),"-"),"")),"")</f>
        <v/>
      </c>
    </row>
    <row r="362" spans="1:12" ht="15" customHeight="1" x14ac:dyDescent="0.2">
      <c r="A362" t="str">
        <f t="shared" si="5"/>
        <v/>
      </c>
      <c r="B362" t="str">
        <v/>
      </c>
      <c r="C362" s="40" t="str">
        <f t="array" ref="C362">IFERROR(INDEX(checklistPesertaKemenkeu!$F$6:$F$1005,SMALL(IF(checklistPesertaKemenkeu!$AY$6:$AY$1005="Direkomendasikan",ROW($6:$1005)-5),361)),"")</f>
        <v/>
      </c>
      <c r="D362" t="str">
        <f t="array" ref="D362">IFERROR(INDEX(checklistPesertaKemenkeu!$G$6:$G$1005,SMALL(IF(checklistPesertaKemenkeu!$AY$6:$AY$1005="Direkomendasikan",ROW($6:$1005)-5),361)),"")</f>
        <v/>
      </c>
      <c r="E362" t="str">
        <f t="array" ref="E362">IFERROR(INDEX(checklistPesertaKemenkeu!$H$6:$H$1005,SMALL(IF(checklistPesertaKemenkeu!$AY$6:$AY$1005="Direkomendasikan",ROW($6:$1005)-5),361)),"")</f>
        <v/>
      </c>
      <c r="F362" t="str">
        <f t="array" ref="F362">IFERROR(INDEX(checklistPesertaKemenkeu!$I$6:$I$1005,SMALL(IF(checklistPesertaKemenkeu!$AY$6:$AY$1005="Direkomendasikan",ROW($6:$1005)-5),361)),"")</f>
        <v/>
      </c>
      <c r="G362" t="str">
        <f t="array" ref="G362">IFERROR(INDEX(checklistPesertaKemenkeu!$J$6:$J$1005,SMALL(IF(checklistPesertaKemenkeu!$AY$6:$AY$1005="Direkomendasikan",ROW($6:$1005)-5),361)),"")</f>
        <v/>
      </c>
      <c r="H362" t="str">
        <f t="array" aca="1" ref="H362" ca="1">IFERROR(IF(OR(INDEX(checklistPesertaKemenkeu!$L$6:$L$1005,SMALL(IF(checklistPesertaKemenkeu!$AY$6:$AY$1005="Direkomendasikan",ROW($6:$1005)-5),361))="",INDEX(checklistPesertaKemenkeu!$J$6:$J$1005,SMALL(IF(checklistPesertaKemenkeu!$AY$6:$AY$1005="Direkomendasikan",ROW($6:$1005)-5),361))=""),"",IF(AND(COUNTIF(INDIRECT("K_"&amp;MATCH(INDEX(checklistPesertaKemenkeu!$J$6:$J$1005,SMALL(IF(checklistPesertaKemenkeu!$AY$6:$AY$1005="Direkomendasikan",ROW($6:$1005)-5),361)),BidangList,0)),INDEX(checklistPesertaKemenkeu!$L$6:$L$1005,SMALL(IF(checklistPesertaKemenkeu!$AY$6:$AY$1005="Direkomendasikan",ROW($6:$1005)-5),361)))&gt;0,COUNTIF(INDIRECT("'KERTAS KERJA'!K"&amp;(SMALL(IF(checklistPesertaKemenkeu!$AY$6:$AY$1005="Direkomendasikan",ROW($6:$1005)-5),361)+5)&amp;":O"&amp;(SMALL(IF(checklistPesertaKemenkeu!$AY$6:$AY$1005="Direkomendasikan",ROW($6:$1005)-5),361)+5)),INDEX(checklistPesertaKemenkeu!$L$6:$L$1005,SMALL(IF(checklistPesertaKemenkeu!$AY$6:$AY$1005="Direkomendasikan",ROW($6:$1005)-5),361)))=1),IFERROR(VLOOKUP(INDEX(checklistPesertaKemenkeu!$L$6:$L$1005,SMALL(IF(checklistPesertaKemenkeu!$AY$6:$AY$1005="Direkomendasikan",ROW($6:$1005)-5),361)),KotaKode,2,0),"-"),"")),"")</f>
        <v/>
      </c>
      <c r="I362" t="str">
        <f t="array" aca="1" ref="I362" ca="1">IFERROR(IF(OR(INDEX(checklistPesertaKemenkeu!$M$6:$M$1005,SMALL(IF(checklistPesertaKemenkeu!$AY$6:$AY$1005="Direkomendasikan",ROW($6:$1005)-5),361))="",INDEX(checklistPesertaKemenkeu!$J$6:$J$1005,SMALL(IF(checklistPesertaKemenkeu!$AY$6:$AY$1005="Direkomendasikan",ROW($6:$1005)-5),361))=""),"",IF(AND(COUNTIF(INDIRECT("K_"&amp;MATCH(INDEX(checklistPesertaKemenkeu!$J$6:$J$1005,SMALL(IF(checklistPesertaKemenkeu!$AY$6:$AY$1005="Direkomendasikan",ROW($6:$1005)-5),361)),BidangList,0)),INDEX(checklistPesertaKemenkeu!$M$6:$M$1005,SMALL(IF(checklistPesertaKemenkeu!$AY$6:$AY$1005="Direkomendasikan",ROW($6:$1005)-5),361)))&gt;0,COUNTIF(INDIRECT("'KERTAS KERJA'!K"&amp;(SMALL(IF(checklistPesertaKemenkeu!$AY$6:$AY$1005="Direkomendasikan",ROW($6:$1005)-5),361)+5)&amp;":O"&amp;(SMALL(IF(checklistPesertaKemenkeu!$AY$6:$AY$1005="Direkomendasikan",ROW($6:$1005)-5),361)+5)),INDEX(checklistPesertaKemenkeu!$M$6:$M$1005,SMALL(IF(checklistPesertaKemenkeu!$AY$6:$AY$1005="Direkomendasikan",ROW($6:$1005)-5),361)))=1),IFERROR(VLOOKUP(INDEX(checklistPesertaKemenkeu!$M$6:$M$1005,SMALL(IF(checklistPesertaKemenkeu!$AY$6:$AY$1005="Direkomendasikan",ROW($6:$1005)-5),361)),KotaKode,2,0),"-"),"")),"")</f>
        <v/>
      </c>
      <c r="J362" t="str">
        <f t="array" aca="1" ref="J362" ca="1">IFERROR(IF(OR(INDEX(checklistPesertaKemenkeu!$N$6:$N$1005,SMALL(IF(checklistPesertaKemenkeu!$AY$6:$AY$1005="Direkomendasikan",ROW($6:$1005)-5),361))="",INDEX(checklistPesertaKemenkeu!$J$6:$J$1005,SMALL(IF(checklistPesertaKemenkeu!$AY$6:$AY$1005="Direkomendasikan",ROW($6:$1005)-5),361))=""),"",IF(AND(COUNTIF(INDIRECT("K_"&amp;MATCH(INDEX(checklistPesertaKemenkeu!$J$6:$J$1005,SMALL(IF(checklistPesertaKemenkeu!$AY$6:$AY$1005="Direkomendasikan",ROW($6:$1005)-5),361)),BidangList,0)),INDEX(checklistPesertaKemenkeu!$N$6:$N$1005,SMALL(IF(checklistPesertaKemenkeu!$AY$6:$AY$1005="Direkomendasikan",ROW($6:$1005)-5),361)))&gt;0,COUNTIF(INDIRECT("'KERTAS KERJA'!K"&amp;(SMALL(IF(checklistPesertaKemenkeu!$AY$6:$AY$1005="Direkomendasikan",ROW($6:$1005)-5),361)+5)&amp;":O"&amp;(SMALL(IF(checklistPesertaKemenkeu!$AY$6:$AY$1005="Direkomendasikan",ROW($6:$1005)-5),361)+5)),INDEX(checklistPesertaKemenkeu!$N$6:$N$1005,SMALL(IF(checklistPesertaKemenkeu!$AY$6:$AY$1005="Direkomendasikan",ROW($6:$1005)-5),361)))=1),IFERROR(VLOOKUP(INDEX(checklistPesertaKemenkeu!$N$6:$N$1005,SMALL(IF(checklistPesertaKemenkeu!$AY$6:$AY$1005="Direkomendasikan",ROW($6:$1005)-5),361)),KotaKode,2,0),"-"),"")),"")</f>
        <v/>
      </c>
      <c r="K362" t="str">
        <f t="array" aca="1" ref="K362" ca="1">IFERROR(IF(OR(INDEX(checklistPesertaKemenkeu!$O$6:$O$1005,SMALL(IF(checklistPesertaKemenkeu!$AY$6:$AY$1005="Direkomendasikan",ROW($6:$1005)-5),361))="",INDEX(checklistPesertaKemenkeu!$J$6:$J$1005,SMALL(IF(checklistPesertaKemenkeu!$AY$6:$AY$1005="Direkomendasikan",ROW($6:$1005)-5),361))=""),"",IF(AND(COUNTIF(INDIRECT("K_"&amp;MATCH(INDEX(checklistPesertaKemenkeu!$J$6:$J$1005,SMALL(IF(checklistPesertaKemenkeu!$AY$6:$AY$1005="Direkomendasikan",ROW($6:$1005)-5),361)),BidangList,0)),INDEX(checklistPesertaKemenkeu!$O$6:$O$1005,SMALL(IF(checklistPesertaKemenkeu!$AY$6:$AY$1005="Direkomendasikan",ROW($6:$1005)-5),361)))&gt;0,COUNTIF(INDIRECT("'KERTAS KERJA'!K"&amp;(SMALL(IF(checklistPesertaKemenkeu!$AY$6:$AY$1005="Direkomendasikan",ROW($6:$1005)-5),361)+5)&amp;":O"&amp;(SMALL(IF(checklistPesertaKemenkeu!$AY$6:$AY$1005="Direkomendasikan",ROW($6:$1005)-5),361)+5)),INDEX(checklistPesertaKemenkeu!$O$6:$O$1005,SMALL(IF(checklistPesertaKemenkeu!$AY$6:$AY$1005="Direkomendasikan",ROW($6:$1005)-5),361)))=1),IFERROR(VLOOKUP(INDEX(checklistPesertaKemenkeu!$O$6:$O$1005,SMALL(IF(checklistPesertaKemenkeu!$AY$6:$AY$1005="Direkomendasikan",ROW($6:$1005)-5),361)),KotaKode,2,0),"-"),"")),"")</f>
        <v/>
      </c>
      <c r="L362" t="str">
        <f t="array" aca="1" ref="L362" ca="1">IFERROR(IF(OR(INDEX(checklistPesertaKemenkeu!$P$6:$P$1005,SMALL(IF(checklistPesertaKemenkeu!$AY$6:$AY$1005="Direkomendasikan",ROW($6:$1005)-5),361))="",INDEX(checklistPesertaKemenkeu!$J$6:$J$1005,SMALL(IF(checklistPesertaKemenkeu!$AY$6:$AY$1005="Direkomendasikan",ROW($6:$1005)-5),361))=""),"",IF(AND(COUNTIF(INDIRECT("K_"&amp;MATCH(INDEX(checklistPesertaKemenkeu!$J$6:$J$1005,SMALL(IF(checklistPesertaKemenkeu!$AY$6:$AY$1005="Direkomendasikan",ROW($6:$1005)-5),361)),BidangList,0)),INDEX(checklistPesertaKemenkeu!$P$6:$P$1005,SMALL(IF(checklistPesertaKemenkeu!$AY$6:$AY$1005="Direkomendasikan",ROW($6:$1005)-5),361)))&gt;0,COUNTIF(INDIRECT("'KERTAS KERJA'!K"&amp;(SMALL(IF(checklistPesertaKemenkeu!$AY$6:$AY$1005="Direkomendasikan",ROW($6:$1005)-5),361)+5)&amp;":O"&amp;(SMALL(IF(checklistPesertaKemenkeu!$AY$6:$AY$1005="Direkomendasikan",ROW($6:$1005)-5),361)+5)),INDEX(checklistPesertaKemenkeu!$P$6:$P$1005,SMALL(IF(checklistPesertaKemenkeu!$AY$6:$AY$1005="Direkomendasikan",ROW($6:$1005)-5),361)))=1),IFERROR(VLOOKUP(INDEX(checklistPesertaKemenkeu!$P$6:$P$1005,SMALL(IF(checklistPesertaKemenkeu!$AY$6:$AY$1005="Direkomendasikan",ROW($6:$1005)-5),361)),KotaKode,2,0),"-"),"")),"")</f>
        <v/>
      </c>
    </row>
    <row r="363" spans="1:12" ht="15" customHeight="1" x14ac:dyDescent="0.2">
      <c r="A363" t="str">
        <f t="shared" si="5"/>
        <v/>
      </c>
      <c r="B363" t="str">
        <v/>
      </c>
      <c r="C363" s="40" t="str">
        <f t="array" ref="C363">IFERROR(INDEX(checklistPesertaKemenkeu!$F$6:$F$1005,SMALL(IF(checklistPesertaKemenkeu!$AY$6:$AY$1005="Direkomendasikan",ROW($6:$1005)-5),362)),"")</f>
        <v/>
      </c>
      <c r="D363" t="str">
        <f t="array" ref="D363">IFERROR(INDEX(checklistPesertaKemenkeu!$G$6:$G$1005,SMALL(IF(checklistPesertaKemenkeu!$AY$6:$AY$1005="Direkomendasikan",ROW($6:$1005)-5),362)),"")</f>
        <v/>
      </c>
      <c r="E363" t="str">
        <f t="array" ref="E363">IFERROR(INDEX(checklistPesertaKemenkeu!$H$6:$H$1005,SMALL(IF(checklistPesertaKemenkeu!$AY$6:$AY$1005="Direkomendasikan",ROW($6:$1005)-5),362)),"")</f>
        <v/>
      </c>
      <c r="F363" t="str">
        <f t="array" ref="F363">IFERROR(INDEX(checklistPesertaKemenkeu!$I$6:$I$1005,SMALL(IF(checklistPesertaKemenkeu!$AY$6:$AY$1005="Direkomendasikan",ROW($6:$1005)-5),362)),"")</f>
        <v/>
      </c>
      <c r="G363" t="str">
        <f t="array" ref="G363">IFERROR(INDEX(checklistPesertaKemenkeu!$J$6:$J$1005,SMALL(IF(checklistPesertaKemenkeu!$AY$6:$AY$1005="Direkomendasikan",ROW($6:$1005)-5),362)),"")</f>
        <v/>
      </c>
      <c r="H363" t="str">
        <f t="array" aca="1" ref="H363" ca="1">IFERROR(IF(OR(INDEX(checklistPesertaKemenkeu!$L$6:$L$1005,SMALL(IF(checklistPesertaKemenkeu!$AY$6:$AY$1005="Direkomendasikan",ROW($6:$1005)-5),362))="",INDEX(checklistPesertaKemenkeu!$J$6:$J$1005,SMALL(IF(checklistPesertaKemenkeu!$AY$6:$AY$1005="Direkomendasikan",ROW($6:$1005)-5),362))=""),"",IF(AND(COUNTIF(INDIRECT("K_"&amp;MATCH(INDEX(checklistPesertaKemenkeu!$J$6:$J$1005,SMALL(IF(checklistPesertaKemenkeu!$AY$6:$AY$1005="Direkomendasikan",ROW($6:$1005)-5),362)),BidangList,0)),INDEX(checklistPesertaKemenkeu!$L$6:$L$1005,SMALL(IF(checklistPesertaKemenkeu!$AY$6:$AY$1005="Direkomendasikan",ROW($6:$1005)-5),362)))&gt;0,COUNTIF(INDIRECT("'KERTAS KERJA'!K"&amp;(SMALL(IF(checklistPesertaKemenkeu!$AY$6:$AY$1005="Direkomendasikan",ROW($6:$1005)-5),362)+5)&amp;":O"&amp;(SMALL(IF(checklistPesertaKemenkeu!$AY$6:$AY$1005="Direkomendasikan",ROW($6:$1005)-5),362)+5)),INDEX(checklistPesertaKemenkeu!$L$6:$L$1005,SMALL(IF(checklistPesertaKemenkeu!$AY$6:$AY$1005="Direkomendasikan",ROW($6:$1005)-5),362)))=1),IFERROR(VLOOKUP(INDEX(checklistPesertaKemenkeu!$L$6:$L$1005,SMALL(IF(checklistPesertaKemenkeu!$AY$6:$AY$1005="Direkomendasikan",ROW($6:$1005)-5),362)),KotaKode,2,0),"-"),"")),"")</f>
        <v/>
      </c>
      <c r="I363" t="str">
        <f t="array" aca="1" ref="I363" ca="1">IFERROR(IF(OR(INDEX(checklistPesertaKemenkeu!$M$6:$M$1005,SMALL(IF(checklistPesertaKemenkeu!$AY$6:$AY$1005="Direkomendasikan",ROW($6:$1005)-5),362))="",INDEX(checklistPesertaKemenkeu!$J$6:$J$1005,SMALL(IF(checklistPesertaKemenkeu!$AY$6:$AY$1005="Direkomendasikan",ROW($6:$1005)-5),362))=""),"",IF(AND(COUNTIF(INDIRECT("K_"&amp;MATCH(INDEX(checklistPesertaKemenkeu!$J$6:$J$1005,SMALL(IF(checklistPesertaKemenkeu!$AY$6:$AY$1005="Direkomendasikan",ROW($6:$1005)-5),362)),BidangList,0)),INDEX(checklistPesertaKemenkeu!$M$6:$M$1005,SMALL(IF(checklistPesertaKemenkeu!$AY$6:$AY$1005="Direkomendasikan",ROW($6:$1005)-5),362)))&gt;0,COUNTIF(INDIRECT("'KERTAS KERJA'!K"&amp;(SMALL(IF(checklistPesertaKemenkeu!$AY$6:$AY$1005="Direkomendasikan",ROW($6:$1005)-5),362)+5)&amp;":O"&amp;(SMALL(IF(checklistPesertaKemenkeu!$AY$6:$AY$1005="Direkomendasikan",ROW($6:$1005)-5),362)+5)),INDEX(checklistPesertaKemenkeu!$M$6:$M$1005,SMALL(IF(checklistPesertaKemenkeu!$AY$6:$AY$1005="Direkomendasikan",ROW($6:$1005)-5),362)))=1),IFERROR(VLOOKUP(INDEX(checklistPesertaKemenkeu!$M$6:$M$1005,SMALL(IF(checklistPesertaKemenkeu!$AY$6:$AY$1005="Direkomendasikan",ROW($6:$1005)-5),362)),KotaKode,2,0),"-"),"")),"")</f>
        <v/>
      </c>
      <c r="J363" t="str">
        <f t="array" aca="1" ref="J363" ca="1">IFERROR(IF(OR(INDEX(checklistPesertaKemenkeu!$N$6:$N$1005,SMALL(IF(checklistPesertaKemenkeu!$AY$6:$AY$1005="Direkomendasikan",ROW($6:$1005)-5),362))="",INDEX(checklistPesertaKemenkeu!$J$6:$J$1005,SMALL(IF(checklistPesertaKemenkeu!$AY$6:$AY$1005="Direkomendasikan",ROW($6:$1005)-5),362))=""),"",IF(AND(COUNTIF(INDIRECT("K_"&amp;MATCH(INDEX(checklistPesertaKemenkeu!$J$6:$J$1005,SMALL(IF(checklistPesertaKemenkeu!$AY$6:$AY$1005="Direkomendasikan",ROW($6:$1005)-5),362)),BidangList,0)),INDEX(checklistPesertaKemenkeu!$N$6:$N$1005,SMALL(IF(checklistPesertaKemenkeu!$AY$6:$AY$1005="Direkomendasikan",ROW($6:$1005)-5),362)))&gt;0,COUNTIF(INDIRECT("'KERTAS KERJA'!K"&amp;(SMALL(IF(checklistPesertaKemenkeu!$AY$6:$AY$1005="Direkomendasikan",ROW($6:$1005)-5),362)+5)&amp;":O"&amp;(SMALL(IF(checklistPesertaKemenkeu!$AY$6:$AY$1005="Direkomendasikan",ROW($6:$1005)-5),362)+5)),INDEX(checklistPesertaKemenkeu!$N$6:$N$1005,SMALL(IF(checklistPesertaKemenkeu!$AY$6:$AY$1005="Direkomendasikan",ROW($6:$1005)-5),362)))=1),IFERROR(VLOOKUP(INDEX(checklistPesertaKemenkeu!$N$6:$N$1005,SMALL(IF(checklistPesertaKemenkeu!$AY$6:$AY$1005="Direkomendasikan",ROW($6:$1005)-5),362)),KotaKode,2,0),"-"),"")),"")</f>
        <v/>
      </c>
      <c r="K363" t="str">
        <f t="array" aca="1" ref="K363" ca="1">IFERROR(IF(OR(INDEX(checklistPesertaKemenkeu!$O$6:$O$1005,SMALL(IF(checklistPesertaKemenkeu!$AY$6:$AY$1005="Direkomendasikan",ROW($6:$1005)-5),362))="",INDEX(checklistPesertaKemenkeu!$J$6:$J$1005,SMALL(IF(checklistPesertaKemenkeu!$AY$6:$AY$1005="Direkomendasikan",ROW($6:$1005)-5),362))=""),"",IF(AND(COUNTIF(INDIRECT("K_"&amp;MATCH(INDEX(checklistPesertaKemenkeu!$J$6:$J$1005,SMALL(IF(checklistPesertaKemenkeu!$AY$6:$AY$1005="Direkomendasikan",ROW($6:$1005)-5),362)),BidangList,0)),INDEX(checklistPesertaKemenkeu!$O$6:$O$1005,SMALL(IF(checklistPesertaKemenkeu!$AY$6:$AY$1005="Direkomendasikan",ROW($6:$1005)-5),362)))&gt;0,COUNTIF(INDIRECT("'KERTAS KERJA'!K"&amp;(SMALL(IF(checklistPesertaKemenkeu!$AY$6:$AY$1005="Direkomendasikan",ROW($6:$1005)-5),362)+5)&amp;":O"&amp;(SMALL(IF(checklistPesertaKemenkeu!$AY$6:$AY$1005="Direkomendasikan",ROW($6:$1005)-5),362)+5)),INDEX(checklistPesertaKemenkeu!$O$6:$O$1005,SMALL(IF(checklistPesertaKemenkeu!$AY$6:$AY$1005="Direkomendasikan",ROW($6:$1005)-5),362)))=1),IFERROR(VLOOKUP(INDEX(checklistPesertaKemenkeu!$O$6:$O$1005,SMALL(IF(checklistPesertaKemenkeu!$AY$6:$AY$1005="Direkomendasikan",ROW($6:$1005)-5),362)),KotaKode,2,0),"-"),"")),"")</f>
        <v/>
      </c>
      <c r="L363" t="str">
        <f t="array" aca="1" ref="L363" ca="1">IFERROR(IF(OR(INDEX(checklistPesertaKemenkeu!$P$6:$P$1005,SMALL(IF(checklistPesertaKemenkeu!$AY$6:$AY$1005="Direkomendasikan",ROW($6:$1005)-5),362))="",INDEX(checklistPesertaKemenkeu!$J$6:$J$1005,SMALL(IF(checklistPesertaKemenkeu!$AY$6:$AY$1005="Direkomendasikan",ROW($6:$1005)-5),362))=""),"",IF(AND(COUNTIF(INDIRECT("K_"&amp;MATCH(INDEX(checklistPesertaKemenkeu!$J$6:$J$1005,SMALL(IF(checklistPesertaKemenkeu!$AY$6:$AY$1005="Direkomendasikan",ROW($6:$1005)-5),362)),BidangList,0)),INDEX(checklistPesertaKemenkeu!$P$6:$P$1005,SMALL(IF(checklistPesertaKemenkeu!$AY$6:$AY$1005="Direkomendasikan",ROW($6:$1005)-5),362)))&gt;0,COUNTIF(INDIRECT("'KERTAS KERJA'!K"&amp;(SMALL(IF(checklistPesertaKemenkeu!$AY$6:$AY$1005="Direkomendasikan",ROW($6:$1005)-5),362)+5)&amp;":O"&amp;(SMALL(IF(checklistPesertaKemenkeu!$AY$6:$AY$1005="Direkomendasikan",ROW($6:$1005)-5),362)+5)),INDEX(checklistPesertaKemenkeu!$P$6:$P$1005,SMALL(IF(checklistPesertaKemenkeu!$AY$6:$AY$1005="Direkomendasikan",ROW($6:$1005)-5),362)))=1),IFERROR(VLOOKUP(INDEX(checklistPesertaKemenkeu!$P$6:$P$1005,SMALL(IF(checklistPesertaKemenkeu!$AY$6:$AY$1005="Direkomendasikan",ROW($6:$1005)-5),362)),KotaKode,2,0),"-"),"")),"")</f>
        <v/>
      </c>
    </row>
    <row r="364" spans="1:12" ht="15" customHeight="1" x14ac:dyDescent="0.2">
      <c r="A364" t="str">
        <f t="shared" si="5"/>
        <v/>
      </c>
      <c r="B364" t="str">
        <v/>
      </c>
      <c r="C364" s="40" t="str">
        <f t="array" ref="C364">IFERROR(INDEX(checklistPesertaKemenkeu!$F$6:$F$1005,SMALL(IF(checklistPesertaKemenkeu!$AY$6:$AY$1005="Direkomendasikan",ROW($6:$1005)-5),363)),"")</f>
        <v/>
      </c>
      <c r="D364" t="str">
        <f t="array" ref="D364">IFERROR(INDEX(checklistPesertaKemenkeu!$G$6:$G$1005,SMALL(IF(checklistPesertaKemenkeu!$AY$6:$AY$1005="Direkomendasikan",ROW($6:$1005)-5),363)),"")</f>
        <v/>
      </c>
      <c r="E364" t="str">
        <f t="array" ref="E364">IFERROR(INDEX(checklistPesertaKemenkeu!$H$6:$H$1005,SMALL(IF(checklistPesertaKemenkeu!$AY$6:$AY$1005="Direkomendasikan",ROW($6:$1005)-5),363)),"")</f>
        <v/>
      </c>
      <c r="F364" t="str">
        <f t="array" ref="F364">IFERROR(INDEX(checklistPesertaKemenkeu!$I$6:$I$1005,SMALL(IF(checklistPesertaKemenkeu!$AY$6:$AY$1005="Direkomendasikan",ROW($6:$1005)-5),363)),"")</f>
        <v/>
      </c>
      <c r="G364" t="str">
        <f t="array" ref="G364">IFERROR(INDEX(checklistPesertaKemenkeu!$J$6:$J$1005,SMALL(IF(checklistPesertaKemenkeu!$AY$6:$AY$1005="Direkomendasikan",ROW($6:$1005)-5),363)),"")</f>
        <v/>
      </c>
      <c r="H364" t="str">
        <f t="array" aca="1" ref="H364" ca="1">IFERROR(IF(OR(INDEX(checklistPesertaKemenkeu!$L$6:$L$1005,SMALL(IF(checklistPesertaKemenkeu!$AY$6:$AY$1005="Direkomendasikan",ROW($6:$1005)-5),363))="",INDEX(checklistPesertaKemenkeu!$J$6:$J$1005,SMALL(IF(checklistPesertaKemenkeu!$AY$6:$AY$1005="Direkomendasikan",ROW($6:$1005)-5),363))=""),"",IF(AND(COUNTIF(INDIRECT("K_"&amp;MATCH(INDEX(checklistPesertaKemenkeu!$J$6:$J$1005,SMALL(IF(checklistPesertaKemenkeu!$AY$6:$AY$1005="Direkomendasikan",ROW($6:$1005)-5),363)),BidangList,0)),INDEX(checklistPesertaKemenkeu!$L$6:$L$1005,SMALL(IF(checklistPesertaKemenkeu!$AY$6:$AY$1005="Direkomendasikan",ROW($6:$1005)-5),363)))&gt;0,COUNTIF(INDIRECT("'KERTAS KERJA'!K"&amp;(SMALL(IF(checklistPesertaKemenkeu!$AY$6:$AY$1005="Direkomendasikan",ROW($6:$1005)-5),363)+5)&amp;":O"&amp;(SMALL(IF(checklistPesertaKemenkeu!$AY$6:$AY$1005="Direkomendasikan",ROW($6:$1005)-5),363)+5)),INDEX(checklistPesertaKemenkeu!$L$6:$L$1005,SMALL(IF(checklistPesertaKemenkeu!$AY$6:$AY$1005="Direkomendasikan",ROW($6:$1005)-5),363)))=1),IFERROR(VLOOKUP(INDEX(checklistPesertaKemenkeu!$L$6:$L$1005,SMALL(IF(checklistPesertaKemenkeu!$AY$6:$AY$1005="Direkomendasikan",ROW($6:$1005)-5),363)),KotaKode,2,0),"-"),"")),"")</f>
        <v/>
      </c>
      <c r="I364" t="str">
        <f t="array" aca="1" ref="I364" ca="1">IFERROR(IF(OR(INDEX(checklistPesertaKemenkeu!$M$6:$M$1005,SMALL(IF(checklistPesertaKemenkeu!$AY$6:$AY$1005="Direkomendasikan",ROW($6:$1005)-5),363))="",INDEX(checklistPesertaKemenkeu!$J$6:$J$1005,SMALL(IF(checklistPesertaKemenkeu!$AY$6:$AY$1005="Direkomendasikan",ROW($6:$1005)-5),363))=""),"",IF(AND(COUNTIF(INDIRECT("K_"&amp;MATCH(INDEX(checklistPesertaKemenkeu!$J$6:$J$1005,SMALL(IF(checklistPesertaKemenkeu!$AY$6:$AY$1005="Direkomendasikan",ROW($6:$1005)-5),363)),BidangList,0)),INDEX(checklistPesertaKemenkeu!$M$6:$M$1005,SMALL(IF(checklistPesertaKemenkeu!$AY$6:$AY$1005="Direkomendasikan",ROW($6:$1005)-5),363)))&gt;0,COUNTIF(INDIRECT("'KERTAS KERJA'!K"&amp;(SMALL(IF(checklistPesertaKemenkeu!$AY$6:$AY$1005="Direkomendasikan",ROW($6:$1005)-5),363)+5)&amp;":O"&amp;(SMALL(IF(checklistPesertaKemenkeu!$AY$6:$AY$1005="Direkomendasikan",ROW($6:$1005)-5),363)+5)),INDEX(checklistPesertaKemenkeu!$M$6:$M$1005,SMALL(IF(checklistPesertaKemenkeu!$AY$6:$AY$1005="Direkomendasikan",ROW($6:$1005)-5),363)))=1),IFERROR(VLOOKUP(INDEX(checklistPesertaKemenkeu!$M$6:$M$1005,SMALL(IF(checklistPesertaKemenkeu!$AY$6:$AY$1005="Direkomendasikan",ROW($6:$1005)-5),363)),KotaKode,2,0),"-"),"")),"")</f>
        <v/>
      </c>
      <c r="J364" t="str">
        <f t="array" aca="1" ref="J364" ca="1">IFERROR(IF(OR(INDEX(checklistPesertaKemenkeu!$N$6:$N$1005,SMALL(IF(checklistPesertaKemenkeu!$AY$6:$AY$1005="Direkomendasikan",ROW($6:$1005)-5),363))="",INDEX(checklistPesertaKemenkeu!$J$6:$J$1005,SMALL(IF(checklistPesertaKemenkeu!$AY$6:$AY$1005="Direkomendasikan",ROW($6:$1005)-5),363))=""),"",IF(AND(COUNTIF(INDIRECT("K_"&amp;MATCH(INDEX(checklistPesertaKemenkeu!$J$6:$J$1005,SMALL(IF(checklistPesertaKemenkeu!$AY$6:$AY$1005="Direkomendasikan",ROW($6:$1005)-5),363)),BidangList,0)),INDEX(checklistPesertaKemenkeu!$N$6:$N$1005,SMALL(IF(checklistPesertaKemenkeu!$AY$6:$AY$1005="Direkomendasikan",ROW($6:$1005)-5),363)))&gt;0,COUNTIF(INDIRECT("'KERTAS KERJA'!K"&amp;(SMALL(IF(checklistPesertaKemenkeu!$AY$6:$AY$1005="Direkomendasikan",ROW($6:$1005)-5),363)+5)&amp;":O"&amp;(SMALL(IF(checklistPesertaKemenkeu!$AY$6:$AY$1005="Direkomendasikan",ROW($6:$1005)-5),363)+5)),INDEX(checklistPesertaKemenkeu!$N$6:$N$1005,SMALL(IF(checklistPesertaKemenkeu!$AY$6:$AY$1005="Direkomendasikan",ROW($6:$1005)-5),363)))=1),IFERROR(VLOOKUP(INDEX(checklistPesertaKemenkeu!$N$6:$N$1005,SMALL(IF(checklistPesertaKemenkeu!$AY$6:$AY$1005="Direkomendasikan",ROW($6:$1005)-5),363)),KotaKode,2,0),"-"),"")),"")</f>
        <v/>
      </c>
      <c r="K364" t="str">
        <f t="array" aca="1" ref="K364" ca="1">IFERROR(IF(OR(INDEX(checklistPesertaKemenkeu!$O$6:$O$1005,SMALL(IF(checklistPesertaKemenkeu!$AY$6:$AY$1005="Direkomendasikan",ROW($6:$1005)-5),363))="",INDEX(checklistPesertaKemenkeu!$J$6:$J$1005,SMALL(IF(checklistPesertaKemenkeu!$AY$6:$AY$1005="Direkomendasikan",ROW($6:$1005)-5),363))=""),"",IF(AND(COUNTIF(INDIRECT("K_"&amp;MATCH(INDEX(checklistPesertaKemenkeu!$J$6:$J$1005,SMALL(IF(checklistPesertaKemenkeu!$AY$6:$AY$1005="Direkomendasikan",ROW($6:$1005)-5),363)),BidangList,0)),INDEX(checklistPesertaKemenkeu!$O$6:$O$1005,SMALL(IF(checklistPesertaKemenkeu!$AY$6:$AY$1005="Direkomendasikan",ROW($6:$1005)-5),363)))&gt;0,COUNTIF(INDIRECT("'KERTAS KERJA'!K"&amp;(SMALL(IF(checklistPesertaKemenkeu!$AY$6:$AY$1005="Direkomendasikan",ROW($6:$1005)-5),363)+5)&amp;":O"&amp;(SMALL(IF(checklistPesertaKemenkeu!$AY$6:$AY$1005="Direkomendasikan",ROW($6:$1005)-5),363)+5)),INDEX(checklistPesertaKemenkeu!$O$6:$O$1005,SMALL(IF(checklistPesertaKemenkeu!$AY$6:$AY$1005="Direkomendasikan",ROW($6:$1005)-5),363)))=1),IFERROR(VLOOKUP(INDEX(checklistPesertaKemenkeu!$O$6:$O$1005,SMALL(IF(checklistPesertaKemenkeu!$AY$6:$AY$1005="Direkomendasikan",ROW($6:$1005)-5),363)),KotaKode,2,0),"-"),"")),"")</f>
        <v/>
      </c>
      <c r="L364" t="str">
        <f t="array" aca="1" ref="L364" ca="1">IFERROR(IF(OR(INDEX(checklistPesertaKemenkeu!$P$6:$P$1005,SMALL(IF(checklistPesertaKemenkeu!$AY$6:$AY$1005="Direkomendasikan",ROW($6:$1005)-5),363))="",INDEX(checklistPesertaKemenkeu!$J$6:$J$1005,SMALL(IF(checklistPesertaKemenkeu!$AY$6:$AY$1005="Direkomendasikan",ROW($6:$1005)-5),363))=""),"",IF(AND(COUNTIF(INDIRECT("K_"&amp;MATCH(INDEX(checklistPesertaKemenkeu!$J$6:$J$1005,SMALL(IF(checklistPesertaKemenkeu!$AY$6:$AY$1005="Direkomendasikan",ROW($6:$1005)-5),363)),BidangList,0)),INDEX(checklistPesertaKemenkeu!$P$6:$P$1005,SMALL(IF(checklistPesertaKemenkeu!$AY$6:$AY$1005="Direkomendasikan",ROW($6:$1005)-5),363)))&gt;0,COUNTIF(INDIRECT("'KERTAS KERJA'!K"&amp;(SMALL(IF(checklistPesertaKemenkeu!$AY$6:$AY$1005="Direkomendasikan",ROW($6:$1005)-5),363)+5)&amp;":O"&amp;(SMALL(IF(checklistPesertaKemenkeu!$AY$6:$AY$1005="Direkomendasikan",ROW($6:$1005)-5),363)+5)),INDEX(checklistPesertaKemenkeu!$P$6:$P$1005,SMALL(IF(checklistPesertaKemenkeu!$AY$6:$AY$1005="Direkomendasikan",ROW($6:$1005)-5),363)))=1),IFERROR(VLOOKUP(INDEX(checklistPesertaKemenkeu!$P$6:$P$1005,SMALL(IF(checklistPesertaKemenkeu!$AY$6:$AY$1005="Direkomendasikan",ROW($6:$1005)-5),363)),KotaKode,2,0),"-"),"")),"")</f>
        <v/>
      </c>
    </row>
    <row r="365" spans="1:12" ht="15" customHeight="1" x14ac:dyDescent="0.2">
      <c r="A365" t="str">
        <f t="shared" si="5"/>
        <v/>
      </c>
      <c r="B365" t="str">
        <v/>
      </c>
      <c r="C365" s="40" t="str">
        <f t="array" ref="C365">IFERROR(INDEX(checklistPesertaKemenkeu!$F$6:$F$1005,SMALL(IF(checklistPesertaKemenkeu!$AY$6:$AY$1005="Direkomendasikan",ROW($6:$1005)-5),364)),"")</f>
        <v/>
      </c>
      <c r="D365" t="str">
        <f t="array" ref="D365">IFERROR(INDEX(checklistPesertaKemenkeu!$G$6:$G$1005,SMALL(IF(checklistPesertaKemenkeu!$AY$6:$AY$1005="Direkomendasikan",ROW($6:$1005)-5),364)),"")</f>
        <v/>
      </c>
      <c r="E365" t="str">
        <f t="array" ref="E365">IFERROR(INDEX(checklistPesertaKemenkeu!$H$6:$H$1005,SMALL(IF(checklistPesertaKemenkeu!$AY$6:$AY$1005="Direkomendasikan",ROW($6:$1005)-5),364)),"")</f>
        <v/>
      </c>
      <c r="F365" t="str">
        <f t="array" ref="F365">IFERROR(INDEX(checklistPesertaKemenkeu!$I$6:$I$1005,SMALL(IF(checklistPesertaKemenkeu!$AY$6:$AY$1005="Direkomendasikan",ROW($6:$1005)-5),364)),"")</f>
        <v/>
      </c>
      <c r="G365" t="str">
        <f t="array" ref="G365">IFERROR(INDEX(checklistPesertaKemenkeu!$J$6:$J$1005,SMALL(IF(checklistPesertaKemenkeu!$AY$6:$AY$1005="Direkomendasikan",ROW($6:$1005)-5),364)),"")</f>
        <v/>
      </c>
      <c r="H365" t="str">
        <f t="array" aca="1" ref="H365" ca="1">IFERROR(IF(OR(INDEX(checklistPesertaKemenkeu!$L$6:$L$1005,SMALL(IF(checklistPesertaKemenkeu!$AY$6:$AY$1005="Direkomendasikan",ROW($6:$1005)-5),364))="",INDEX(checklistPesertaKemenkeu!$J$6:$J$1005,SMALL(IF(checklistPesertaKemenkeu!$AY$6:$AY$1005="Direkomendasikan",ROW($6:$1005)-5),364))=""),"",IF(AND(COUNTIF(INDIRECT("K_"&amp;MATCH(INDEX(checklistPesertaKemenkeu!$J$6:$J$1005,SMALL(IF(checklistPesertaKemenkeu!$AY$6:$AY$1005="Direkomendasikan",ROW($6:$1005)-5),364)),BidangList,0)),INDEX(checklistPesertaKemenkeu!$L$6:$L$1005,SMALL(IF(checklistPesertaKemenkeu!$AY$6:$AY$1005="Direkomendasikan",ROW($6:$1005)-5),364)))&gt;0,COUNTIF(INDIRECT("'KERTAS KERJA'!K"&amp;(SMALL(IF(checklistPesertaKemenkeu!$AY$6:$AY$1005="Direkomendasikan",ROW($6:$1005)-5),364)+5)&amp;":O"&amp;(SMALL(IF(checklistPesertaKemenkeu!$AY$6:$AY$1005="Direkomendasikan",ROW($6:$1005)-5),364)+5)),INDEX(checklistPesertaKemenkeu!$L$6:$L$1005,SMALL(IF(checklistPesertaKemenkeu!$AY$6:$AY$1005="Direkomendasikan",ROW($6:$1005)-5),364)))=1),IFERROR(VLOOKUP(INDEX(checklistPesertaKemenkeu!$L$6:$L$1005,SMALL(IF(checklistPesertaKemenkeu!$AY$6:$AY$1005="Direkomendasikan",ROW($6:$1005)-5),364)),KotaKode,2,0),"-"),"")),"")</f>
        <v/>
      </c>
      <c r="I365" t="str">
        <f t="array" aca="1" ref="I365" ca="1">IFERROR(IF(OR(INDEX(checklistPesertaKemenkeu!$M$6:$M$1005,SMALL(IF(checklistPesertaKemenkeu!$AY$6:$AY$1005="Direkomendasikan",ROW($6:$1005)-5),364))="",INDEX(checklistPesertaKemenkeu!$J$6:$J$1005,SMALL(IF(checklistPesertaKemenkeu!$AY$6:$AY$1005="Direkomendasikan",ROW($6:$1005)-5),364))=""),"",IF(AND(COUNTIF(INDIRECT("K_"&amp;MATCH(INDEX(checklistPesertaKemenkeu!$J$6:$J$1005,SMALL(IF(checklistPesertaKemenkeu!$AY$6:$AY$1005="Direkomendasikan",ROW($6:$1005)-5),364)),BidangList,0)),INDEX(checklistPesertaKemenkeu!$M$6:$M$1005,SMALL(IF(checklistPesertaKemenkeu!$AY$6:$AY$1005="Direkomendasikan",ROW($6:$1005)-5),364)))&gt;0,COUNTIF(INDIRECT("'KERTAS KERJA'!K"&amp;(SMALL(IF(checklistPesertaKemenkeu!$AY$6:$AY$1005="Direkomendasikan",ROW($6:$1005)-5),364)+5)&amp;":O"&amp;(SMALL(IF(checklistPesertaKemenkeu!$AY$6:$AY$1005="Direkomendasikan",ROW($6:$1005)-5),364)+5)),INDEX(checklistPesertaKemenkeu!$M$6:$M$1005,SMALL(IF(checklistPesertaKemenkeu!$AY$6:$AY$1005="Direkomendasikan",ROW($6:$1005)-5),364)))=1),IFERROR(VLOOKUP(INDEX(checklistPesertaKemenkeu!$M$6:$M$1005,SMALL(IF(checklistPesertaKemenkeu!$AY$6:$AY$1005="Direkomendasikan",ROW($6:$1005)-5),364)),KotaKode,2,0),"-"),"")),"")</f>
        <v/>
      </c>
      <c r="J365" t="str">
        <f t="array" aca="1" ref="J365" ca="1">IFERROR(IF(OR(INDEX(checklistPesertaKemenkeu!$N$6:$N$1005,SMALL(IF(checklistPesertaKemenkeu!$AY$6:$AY$1005="Direkomendasikan",ROW($6:$1005)-5),364))="",INDEX(checklistPesertaKemenkeu!$J$6:$J$1005,SMALL(IF(checklistPesertaKemenkeu!$AY$6:$AY$1005="Direkomendasikan",ROW($6:$1005)-5),364))=""),"",IF(AND(COUNTIF(INDIRECT("K_"&amp;MATCH(INDEX(checklistPesertaKemenkeu!$J$6:$J$1005,SMALL(IF(checklistPesertaKemenkeu!$AY$6:$AY$1005="Direkomendasikan",ROW($6:$1005)-5),364)),BidangList,0)),INDEX(checklistPesertaKemenkeu!$N$6:$N$1005,SMALL(IF(checklistPesertaKemenkeu!$AY$6:$AY$1005="Direkomendasikan",ROW($6:$1005)-5),364)))&gt;0,COUNTIF(INDIRECT("'KERTAS KERJA'!K"&amp;(SMALL(IF(checklistPesertaKemenkeu!$AY$6:$AY$1005="Direkomendasikan",ROW($6:$1005)-5),364)+5)&amp;":O"&amp;(SMALL(IF(checklistPesertaKemenkeu!$AY$6:$AY$1005="Direkomendasikan",ROW($6:$1005)-5),364)+5)),INDEX(checklistPesertaKemenkeu!$N$6:$N$1005,SMALL(IF(checklistPesertaKemenkeu!$AY$6:$AY$1005="Direkomendasikan",ROW($6:$1005)-5),364)))=1),IFERROR(VLOOKUP(INDEX(checklistPesertaKemenkeu!$N$6:$N$1005,SMALL(IF(checklistPesertaKemenkeu!$AY$6:$AY$1005="Direkomendasikan",ROW($6:$1005)-5),364)),KotaKode,2,0),"-"),"")),"")</f>
        <v/>
      </c>
      <c r="K365" t="str">
        <f t="array" aca="1" ref="K365" ca="1">IFERROR(IF(OR(INDEX(checklistPesertaKemenkeu!$O$6:$O$1005,SMALL(IF(checklistPesertaKemenkeu!$AY$6:$AY$1005="Direkomendasikan",ROW($6:$1005)-5),364))="",INDEX(checklistPesertaKemenkeu!$J$6:$J$1005,SMALL(IF(checklistPesertaKemenkeu!$AY$6:$AY$1005="Direkomendasikan",ROW($6:$1005)-5),364))=""),"",IF(AND(COUNTIF(INDIRECT("K_"&amp;MATCH(INDEX(checklistPesertaKemenkeu!$J$6:$J$1005,SMALL(IF(checklistPesertaKemenkeu!$AY$6:$AY$1005="Direkomendasikan",ROW($6:$1005)-5),364)),BidangList,0)),INDEX(checklistPesertaKemenkeu!$O$6:$O$1005,SMALL(IF(checklistPesertaKemenkeu!$AY$6:$AY$1005="Direkomendasikan",ROW($6:$1005)-5),364)))&gt;0,COUNTIF(INDIRECT("'KERTAS KERJA'!K"&amp;(SMALL(IF(checklistPesertaKemenkeu!$AY$6:$AY$1005="Direkomendasikan",ROW($6:$1005)-5),364)+5)&amp;":O"&amp;(SMALL(IF(checklistPesertaKemenkeu!$AY$6:$AY$1005="Direkomendasikan",ROW($6:$1005)-5),364)+5)),INDEX(checklistPesertaKemenkeu!$O$6:$O$1005,SMALL(IF(checklistPesertaKemenkeu!$AY$6:$AY$1005="Direkomendasikan",ROW($6:$1005)-5),364)))=1),IFERROR(VLOOKUP(INDEX(checklistPesertaKemenkeu!$O$6:$O$1005,SMALL(IF(checklistPesertaKemenkeu!$AY$6:$AY$1005="Direkomendasikan",ROW($6:$1005)-5),364)),KotaKode,2,0),"-"),"")),"")</f>
        <v/>
      </c>
      <c r="L365" t="str">
        <f t="array" aca="1" ref="L365" ca="1">IFERROR(IF(OR(INDEX(checklistPesertaKemenkeu!$P$6:$P$1005,SMALL(IF(checklistPesertaKemenkeu!$AY$6:$AY$1005="Direkomendasikan",ROW($6:$1005)-5),364))="",INDEX(checklistPesertaKemenkeu!$J$6:$J$1005,SMALL(IF(checklistPesertaKemenkeu!$AY$6:$AY$1005="Direkomendasikan",ROW($6:$1005)-5),364))=""),"",IF(AND(COUNTIF(INDIRECT("K_"&amp;MATCH(INDEX(checklistPesertaKemenkeu!$J$6:$J$1005,SMALL(IF(checklistPesertaKemenkeu!$AY$6:$AY$1005="Direkomendasikan",ROW($6:$1005)-5),364)),BidangList,0)),INDEX(checklistPesertaKemenkeu!$P$6:$P$1005,SMALL(IF(checklistPesertaKemenkeu!$AY$6:$AY$1005="Direkomendasikan",ROW($6:$1005)-5),364)))&gt;0,COUNTIF(INDIRECT("'KERTAS KERJA'!K"&amp;(SMALL(IF(checklistPesertaKemenkeu!$AY$6:$AY$1005="Direkomendasikan",ROW($6:$1005)-5),364)+5)&amp;":O"&amp;(SMALL(IF(checklistPesertaKemenkeu!$AY$6:$AY$1005="Direkomendasikan",ROW($6:$1005)-5),364)+5)),INDEX(checklistPesertaKemenkeu!$P$6:$P$1005,SMALL(IF(checklistPesertaKemenkeu!$AY$6:$AY$1005="Direkomendasikan",ROW($6:$1005)-5),364)))=1),IFERROR(VLOOKUP(INDEX(checklistPesertaKemenkeu!$P$6:$P$1005,SMALL(IF(checklistPesertaKemenkeu!$AY$6:$AY$1005="Direkomendasikan",ROW($6:$1005)-5),364)),KotaKode,2,0),"-"),"")),"")</f>
        <v/>
      </c>
    </row>
    <row r="366" spans="1:12" ht="15" customHeight="1" x14ac:dyDescent="0.2">
      <c r="A366" t="str">
        <f t="shared" si="5"/>
        <v/>
      </c>
      <c r="B366" t="str">
        <v/>
      </c>
      <c r="C366" s="40" t="str">
        <f t="array" ref="C366">IFERROR(INDEX(checklistPesertaKemenkeu!$F$6:$F$1005,SMALL(IF(checklistPesertaKemenkeu!$AY$6:$AY$1005="Direkomendasikan",ROW($6:$1005)-5),365)),"")</f>
        <v/>
      </c>
      <c r="D366" t="str">
        <f t="array" ref="D366">IFERROR(INDEX(checklistPesertaKemenkeu!$G$6:$G$1005,SMALL(IF(checklistPesertaKemenkeu!$AY$6:$AY$1005="Direkomendasikan",ROW($6:$1005)-5),365)),"")</f>
        <v/>
      </c>
      <c r="E366" t="str">
        <f t="array" ref="E366">IFERROR(INDEX(checklistPesertaKemenkeu!$H$6:$H$1005,SMALL(IF(checklistPesertaKemenkeu!$AY$6:$AY$1005="Direkomendasikan",ROW($6:$1005)-5),365)),"")</f>
        <v/>
      </c>
      <c r="F366" t="str">
        <f t="array" ref="F366">IFERROR(INDEX(checklistPesertaKemenkeu!$I$6:$I$1005,SMALL(IF(checklistPesertaKemenkeu!$AY$6:$AY$1005="Direkomendasikan",ROW($6:$1005)-5),365)),"")</f>
        <v/>
      </c>
      <c r="G366" t="str">
        <f t="array" ref="G366">IFERROR(INDEX(checklistPesertaKemenkeu!$J$6:$J$1005,SMALL(IF(checklistPesertaKemenkeu!$AY$6:$AY$1005="Direkomendasikan",ROW($6:$1005)-5),365)),"")</f>
        <v/>
      </c>
      <c r="H366" t="str">
        <f t="array" aca="1" ref="H366" ca="1">IFERROR(IF(OR(INDEX(checklistPesertaKemenkeu!$L$6:$L$1005,SMALL(IF(checklistPesertaKemenkeu!$AY$6:$AY$1005="Direkomendasikan",ROW($6:$1005)-5),365))="",INDEX(checklistPesertaKemenkeu!$J$6:$J$1005,SMALL(IF(checklistPesertaKemenkeu!$AY$6:$AY$1005="Direkomendasikan",ROW($6:$1005)-5),365))=""),"",IF(AND(COUNTIF(INDIRECT("K_"&amp;MATCH(INDEX(checklistPesertaKemenkeu!$J$6:$J$1005,SMALL(IF(checklistPesertaKemenkeu!$AY$6:$AY$1005="Direkomendasikan",ROW($6:$1005)-5),365)),BidangList,0)),INDEX(checklistPesertaKemenkeu!$L$6:$L$1005,SMALL(IF(checklistPesertaKemenkeu!$AY$6:$AY$1005="Direkomendasikan",ROW($6:$1005)-5),365)))&gt;0,COUNTIF(INDIRECT("'KERTAS KERJA'!K"&amp;(SMALL(IF(checklistPesertaKemenkeu!$AY$6:$AY$1005="Direkomendasikan",ROW($6:$1005)-5),365)+5)&amp;":O"&amp;(SMALL(IF(checklistPesertaKemenkeu!$AY$6:$AY$1005="Direkomendasikan",ROW($6:$1005)-5),365)+5)),INDEX(checklistPesertaKemenkeu!$L$6:$L$1005,SMALL(IF(checklistPesertaKemenkeu!$AY$6:$AY$1005="Direkomendasikan",ROW($6:$1005)-5),365)))=1),IFERROR(VLOOKUP(INDEX(checklistPesertaKemenkeu!$L$6:$L$1005,SMALL(IF(checklistPesertaKemenkeu!$AY$6:$AY$1005="Direkomendasikan",ROW($6:$1005)-5),365)),KotaKode,2,0),"-"),"")),"")</f>
        <v/>
      </c>
      <c r="I366" t="str">
        <f t="array" aca="1" ref="I366" ca="1">IFERROR(IF(OR(INDEX(checklistPesertaKemenkeu!$M$6:$M$1005,SMALL(IF(checklistPesertaKemenkeu!$AY$6:$AY$1005="Direkomendasikan",ROW($6:$1005)-5),365))="",INDEX(checklistPesertaKemenkeu!$J$6:$J$1005,SMALL(IF(checklistPesertaKemenkeu!$AY$6:$AY$1005="Direkomendasikan",ROW($6:$1005)-5),365))=""),"",IF(AND(COUNTIF(INDIRECT("K_"&amp;MATCH(INDEX(checklistPesertaKemenkeu!$J$6:$J$1005,SMALL(IF(checklistPesertaKemenkeu!$AY$6:$AY$1005="Direkomendasikan",ROW($6:$1005)-5),365)),BidangList,0)),INDEX(checklistPesertaKemenkeu!$M$6:$M$1005,SMALL(IF(checklistPesertaKemenkeu!$AY$6:$AY$1005="Direkomendasikan",ROW($6:$1005)-5),365)))&gt;0,COUNTIF(INDIRECT("'KERTAS KERJA'!K"&amp;(SMALL(IF(checklistPesertaKemenkeu!$AY$6:$AY$1005="Direkomendasikan",ROW($6:$1005)-5),365)+5)&amp;":O"&amp;(SMALL(IF(checklistPesertaKemenkeu!$AY$6:$AY$1005="Direkomendasikan",ROW($6:$1005)-5),365)+5)),INDEX(checklistPesertaKemenkeu!$M$6:$M$1005,SMALL(IF(checklistPesertaKemenkeu!$AY$6:$AY$1005="Direkomendasikan",ROW($6:$1005)-5),365)))=1),IFERROR(VLOOKUP(INDEX(checklistPesertaKemenkeu!$M$6:$M$1005,SMALL(IF(checklistPesertaKemenkeu!$AY$6:$AY$1005="Direkomendasikan",ROW($6:$1005)-5),365)),KotaKode,2,0),"-"),"")),"")</f>
        <v/>
      </c>
      <c r="J366" t="str">
        <f t="array" aca="1" ref="J366" ca="1">IFERROR(IF(OR(INDEX(checklistPesertaKemenkeu!$N$6:$N$1005,SMALL(IF(checklistPesertaKemenkeu!$AY$6:$AY$1005="Direkomendasikan",ROW($6:$1005)-5),365))="",INDEX(checklistPesertaKemenkeu!$J$6:$J$1005,SMALL(IF(checklistPesertaKemenkeu!$AY$6:$AY$1005="Direkomendasikan",ROW($6:$1005)-5),365))=""),"",IF(AND(COUNTIF(INDIRECT("K_"&amp;MATCH(INDEX(checklistPesertaKemenkeu!$J$6:$J$1005,SMALL(IF(checklistPesertaKemenkeu!$AY$6:$AY$1005="Direkomendasikan",ROW($6:$1005)-5),365)),BidangList,0)),INDEX(checklistPesertaKemenkeu!$N$6:$N$1005,SMALL(IF(checklistPesertaKemenkeu!$AY$6:$AY$1005="Direkomendasikan",ROW($6:$1005)-5),365)))&gt;0,COUNTIF(INDIRECT("'KERTAS KERJA'!K"&amp;(SMALL(IF(checklistPesertaKemenkeu!$AY$6:$AY$1005="Direkomendasikan",ROW($6:$1005)-5),365)+5)&amp;":O"&amp;(SMALL(IF(checklistPesertaKemenkeu!$AY$6:$AY$1005="Direkomendasikan",ROW($6:$1005)-5),365)+5)),INDEX(checklistPesertaKemenkeu!$N$6:$N$1005,SMALL(IF(checklistPesertaKemenkeu!$AY$6:$AY$1005="Direkomendasikan",ROW($6:$1005)-5),365)))=1),IFERROR(VLOOKUP(INDEX(checklistPesertaKemenkeu!$N$6:$N$1005,SMALL(IF(checklistPesertaKemenkeu!$AY$6:$AY$1005="Direkomendasikan",ROW($6:$1005)-5),365)),KotaKode,2,0),"-"),"")),"")</f>
        <v/>
      </c>
      <c r="K366" t="str">
        <f t="array" aca="1" ref="K366" ca="1">IFERROR(IF(OR(INDEX(checklistPesertaKemenkeu!$O$6:$O$1005,SMALL(IF(checklistPesertaKemenkeu!$AY$6:$AY$1005="Direkomendasikan",ROW($6:$1005)-5),365))="",INDEX(checklistPesertaKemenkeu!$J$6:$J$1005,SMALL(IF(checklistPesertaKemenkeu!$AY$6:$AY$1005="Direkomendasikan",ROW($6:$1005)-5),365))=""),"",IF(AND(COUNTIF(INDIRECT("K_"&amp;MATCH(INDEX(checklistPesertaKemenkeu!$J$6:$J$1005,SMALL(IF(checklistPesertaKemenkeu!$AY$6:$AY$1005="Direkomendasikan",ROW($6:$1005)-5),365)),BidangList,0)),INDEX(checklistPesertaKemenkeu!$O$6:$O$1005,SMALL(IF(checklistPesertaKemenkeu!$AY$6:$AY$1005="Direkomendasikan",ROW($6:$1005)-5),365)))&gt;0,COUNTIF(INDIRECT("'KERTAS KERJA'!K"&amp;(SMALL(IF(checklistPesertaKemenkeu!$AY$6:$AY$1005="Direkomendasikan",ROW($6:$1005)-5),365)+5)&amp;":O"&amp;(SMALL(IF(checklistPesertaKemenkeu!$AY$6:$AY$1005="Direkomendasikan",ROW($6:$1005)-5),365)+5)),INDEX(checklistPesertaKemenkeu!$O$6:$O$1005,SMALL(IF(checklistPesertaKemenkeu!$AY$6:$AY$1005="Direkomendasikan",ROW($6:$1005)-5),365)))=1),IFERROR(VLOOKUP(INDEX(checklistPesertaKemenkeu!$O$6:$O$1005,SMALL(IF(checklistPesertaKemenkeu!$AY$6:$AY$1005="Direkomendasikan",ROW($6:$1005)-5),365)),KotaKode,2,0),"-"),"")),"")</f>
        <v/>
      </c>
      <c r="L366" t="str">
        <f t="array" aca="1" ref="L366" ca="1">IFERROR(IF(OR(INDEX(checklistPesertaKemenkeu!$P$6:$P$1005,SMALL(IF(checklistPesertaKemenkeu!$AY$6:$AY$1005="Direkomendasikan",ROW($6:$1005)-5),365))="",INDEX(checklistPesertaKemenkeu!$J$6:$J$1005,SMALL(IF(checklistPesertaKemenkeu!$AY$6:$AY$1005="Direkomendasikan",ROW($6:$1005)-5),365))=""),"",IF(AND(COUNTIF(INDIRECT("K_"&amp;MATCH(INDEX(checklistPesertaKemenkeu!$J$6:$J$1005,SMALL(IF(checklistPesertaKemenkeu!$AY$6:$AY$1005="Direkomendasikan",ROW($6:$1005)-5),365)),BidangList,0)),INDEX(checklistPesertaKemenkeu!$P$6:$P$1005,SMALL(IF(checklistPesertaKemenkeu!$AY$6:$AY$1005="Direkomendasikan",ROW($6:$1005)-5),365)))&gt;0,COUNTIF(INDIRECT("'KERTAS KERJA'!K"&amp;(SMALL(IF(checklistPesertaKemenkeu!$AY$6:$AY$1005="Direkomendasikan",ROW($6:$1005)-5),365)+5)&amp;":O"&amp;(SMALL(IF(checklistPesertaKemenkeu!$AY$6:$AY$1005="Direkomendasikan",ROW($6:$1005)-5),365)+5)),INDEX(checklistPesertaKemenkeu!$P$6:$P$1005,SMALL(IF(checklistPesertaKemenkeu!$AY$6:$AY$1005="Direkomendasikan",ROW($6:$1005)-5),365)))=1),IFERROR(VLOOKUP(INDEX(checklistPesertaKemenkeu!$P$6:$P$1005,SMALL(IF(checklistPesertaKemenkeu!$AY$6:$AY$1005="Direkomendasikan",ROW($6:$1005)-5),365)),KotaKode,2,0),"-"),"")),"")</f>
        <v/>
      </c>
    </row>
    <row r="367" spans="1:12" ht="15" customHeight="1" x14ac:dyDescent="0.2">
      <c r="A367" t="str">
        <f t="shared" si="5"/>
        <v/>
      </c>
      <c r="B367" t="str">
        <v/>
      </c>
      <c r="C367" s="40" t="str">
        <f t="array" ref="C367">IFERROR(INDEX(checklistPesertaKemenkeu!$F$6:$F$1005,SMALL(IF(checklistPesertaKemenkeu!$AY$6:$AY$1005="Direkomendasikan",ROW($6:$1005)-5),366)),"")</f>
        <v/>
      </c>
      <c r="D367" t="str">
        <f t="array" ref="D367">IFERROR(INDEX(checklistPesertaKemenkeu!$G$6:$G$1005,SMALL(IF(checklistPesertaKemenkeu!$AY$6:$AY$1005="Direkomendasikan",ROW($6:$1005)-5),366)),"")</f>
        <v/>
      </c>
      <c r="E367" t="str">
        <f t="array" ref="E367">IFERROR(INDEX(checklistPesertaKemenkeu!$H$6:$H$1005,SMALL(IF(checklistPesertaKemenkeu!$AY$6:$AY$1005="Direkomendasikan",ROW($6:$1005)-5),366)),"")</f>
        <v/>
      </c>
      <c r="F367" t="str">
        <f t="array" ref="F367">IFERROR(INDEX(checklistPesertaKemenkeu!$I$6:$I$1005,SMALL(IF(checklistPesertaKemenkeu!$AY$6:$AY$1005="Direkomendasikan",ROW($6:$1005)-5),366)),"")</f>
        <v/>
      </c>
      <c r="G367" t="str">
        <f t="array" ref="G367">IFERROR(INDEX(checklistPesertaKemenkeu!$J$6:$J$1005,SMALL(IF(checklistPesertaKemenkeu!$AY$6:$AY$1005="Direkomendasikan",ROW($6:$1005)-5),366)),"")</f>
        <v/>
      </c>
      <c r="H367" t="str">
        <f t="array" aca="1" ref="H367" ca="1">IFERROR(IF(OR(INDEX(checklistPesertaKemenkeu!$L$6:$L$1005,SMALL(IF(checklistPesertaKemenkeu!$AY$6:$AY$1005="Direkomendasikan",ROW($6:$1005)-5),366))="",INDEX(checklistPesertaKemenkeu!$J$6:$J$1005,SMALL(IF(checklistPesertaKemenkeu!$AY$6:$AY$1005="Direkomendasikan",ROW($6:$1005)-5),366))=""),"",IF(AND(COUNTIF(INDIRECT("K_"&amp;MATCH(INDEX(checklistPesertaKemenkeu!$J$6:$J$1005,SMALL(IF(checklistPesertaKemenkeu!$AY$6:$AY$1005="Direkomendasikan",ROW($6:$1005)-5),366)),BidangList,0)),INDEX(checklistPesertaKemenkeu!$L$6:$L$1005,SMALL(IF(checklistPesertaKemenkeu!$AY$6:$AY$1005="Direkomendasikan",ROW($6:$1005)-5),366)))&gt;0,COUNTIF(INDIRECT("'KERTAS KERJA'!K"&amp;(SMALL(IF(checklistPesertaKemenkeu!$AY$6:$AY$1005="Direkomendasikan",ROW($6:$1005)-5),366)+5)&amp;":O"&amp;(SMALL(IF(checklistPesertaKemenkeu!$AY$6:$AY$1005="Direkomendasikan",ROW($6:$1005)-5),366)+5)),INDEX(checklistPesertaKemenkeu!$L$6:$L$1005,SMALL(IF(checklistPesertaKemenkeu!$AY$6:$AY$1005="Direkomendasikan",ROW($6:$1005)-5),366)))=1),IFERROR(VLOOKUP(INDEX(checklistPesertaKemenkeu!$L$6:$L$1005,SMALL(IF(checklistPesertaKemenkeu!$AY$6:$AY$1005="Direkomendasikan",ROW($6:$1005)-5),366)),KotaKode,2,0),"-"),"")),"")</f>
        <v/>
      </c>
      <c r="I367" t="str">
        <f t="array" aca="1" ref="I367" ca="1">IFERROR(IF(OR(INDEX(checklistPesertaKemenkeu!$M$6:$M$1005,SMALL(IF(checklistPesertaKemenkeu!$AY$6:$AY$1005="Direkomendasikan",ROW($6:$1005)-5),366))="",INDEX(checklistPesertaKemenkeu!$J$6:$J$1005,SMALL(IF(checklistPesertaKemenkeu!$AY$6:$AY$1005="Direkomendasikan",ROW($6:$1005)-5),366))=""),"",IF(AND(COUNTIF(INDIRECT("K_"&amp;MATCH(INDEX(checklistPesertaKemenkeu!$J$6:$J$1005,SMALL(IF(checklistPesertaKemenkeu!$AY$6:$AY$1005="Direkomendasikan",ROW($6:$1005)-5),366)),BidangList,0)),INDEX(checklistPesertaKemenkeu!$M$6:$M$1005,SMALL(IF(checklistPesertaKemenkeu!$AY$6:$AY$1005="Direkomendasikan",ROW($6:$1005)-5),366)))&gt;0,COUNTIF(INDIRECT("'KERTAS KERJA'!K"&amp;(SMALL(IF(checklistPesertaKemenkeu!$AY$6:$AY$1005="Direkomendasikan",ROW($6:$1005)-5),366)+5)&amp;":O"&amp;(SMALL(IF(checklistPesertaKemenkeu!$AY$6:$AY$1005="Direkomendasikan",ROW($6:$1005)-5),366)+5)),INDEX(checklistPesertaKemenkeu!$M$6:$M$1005,SMALL(IF(checklistPesertaKemenkeu!$AY$6:$AY$1005="Direkomendasikan",ROW($6:$1005)-5),366)))=1),IFERROR(VLOOKUP(INDEX(checklistPesertaKemenkeu!$M$6:$M$1005,SMALL(IF(checklistPesertaKemenkeu!$AY$6:$AY$1005="Direkomendasikan",ROW($6:$1005)-5),366)),KotaKode,2,0),"-"),"")),"")</f>
        <v/>
      </c>
      <c r="J367" t="str">
        <f t="array" aca="1" ref="J367" ca="1">IFERROR(IF(OR(INDEX(checklistPesertaKemenkeu!$N$6:$N$1005,SMALL(IF(checklistPesertaKemenkeu!$AY$6:$AY$1005="Direkomendasikan",ROW($6:$1005)-5),366))="",INDEX(checklistPesertaKemenkeu!$J$6:$J$1005,SMALL(IF(checklistPesertaKemenkeu!$AY$6:$AY$1005="Direkomendasikan",ROW($6:$1005)-5),366))=""),"",IF(AND(COUNTIF(INDIRECT("K_"&amp;MATCH(INDEX(checklistPesertaKemenkeu!$J$6:$J$1005,SMALL(IF(checklistPesertaKemenkeu!$AY$6:$AY$1005="Direkomendasikan",ROW($6:$1005)-5),366)),BidangList,0)),INDEX(checklistPesertaKemenkeu!$N$6:$N$1005,SMALL(IF(checklistPesertaKemenkeu!$AY$6:$AY$1005="Direkomendasikan",ROW($6:$1005)-5),366)))&gt;0,COUNTIF(INDIRECT("'KERTAS KERJA'!K"&amp;(SMALL(IF(checklistPesertaKemenkeu!$AY$6:$AY$1005="Direkomendasikan",ROW($6:$1005)-5),366)+5)&amp;":O"&amp;(SMALL(IF(checklistPesertaKemenkeu!$AY$6:$AY$1005="Direkomendasikan",ROW($6:$1005)-5),366)+5)),INDEX(checklistPesertaKemenkeu!$N$6:$N$1005,SMALL(IF(checklistPesertaKemenkeu!$AY$6:$AY$1005="Direkomendasikan",ROW($6:$1005)-5),366)))=1),IFERROR(VLOOKUP(INDEX(checklistPesertaKemenkeu!$N$6:$N$1005,SMALL(IF(checklistPesertaKemenkeu!$AY$6:$AY$1005="Direkomendasikan",ROW($6:$1005)-5),366)),KotaKode,2,0),"-"),"")),"")</f>
        <v/>
      </c>
      <c r="K367" t="str">
        <f t="array" aca="1" ref="K367" ca="1">IFERROR(IF(OR(INDEX(checklistPesertaKemenkeu!$O$6:$O$1005,SMALL(IF(checklistPesertaKemenkeu!$AY$6:$AY$1005="Direkomendasikan",ROW($6:$1005)-5),366))="",INDEX(checklistPesertaKemenkeu!$J$6:$J$1005,SMALL(IF(checklistPesertaKemenkeu!$AY$6:$AY$1005="Direkomendasikan",ROW($6:$1005)-5),366))=""),"",IF(AND(COUNTIF(INDIRECT("K_"&amp;MATCH(INDEX(checklistPesertaKemenkeu!$J$6:$J$1005,SMALL(IF(checklistPesertaKemenkeu!$AY$6:$AY$1005="Direkomendasikan",ROW($6:$1005)-5),366)),BidangList,0)),INDEX(checklistPesertaKemenkeu!$O$6:$O$1005,SMALL(IF(checklistPesertaKemenkeu!$AY$6:$AY$1005="Direkomendasikan",ROW($6:$1005)-5),366)))&gt;0,COUNTIF(INDIRECT("'KERTAS KERJA'!K"&amp;(SMALL(IF(checklistPesertaKemenkeu!$AY$6:$AY$1005="Direkomendasikan",ROW($6:$1005)-5),366)+5)&amp;":O"&amp;(SMALL(IF(checklistPesertaKemenkeu!$AY$6:$AY$1005="Direkomendasikan",ROW($6:$1005)-5),366)+5)),INDEX(checklistPesertaKemenkeu!$O$6:$O$1005,SMALL(IF(checklistPesertaKemenkeu!$AY$6:$AY$1005="Direkomendasikan",ROW($6:$1005)-5),366)))=1),IFERROR(VLOOKUP(INDEX(checklistPesertaKemenkeu!$O$6:$O$1005,SMALL(IF(checklistPesertaKemenkeu!$AY$6:$AY$1005="Direkomendasikan",ROW($6:$1005)-5),366)),KotaKode,2,0),"-"),"")),"")</f>
        <v/>
      </c>
      <c r="L367" t="str">
        <f t="array" aca="1" ref="L367" ca="1">IFERROR(IF(OR(INDEX(checklistPesertaKemenkeu!$P$6:$P$1005,SMALL(IF(checklistPesertaKemenkeu!$AY$6:$AY$1005="Direkomendasikan",ROW($6:$1005)-5),366))="",INDEX(checklistPesertaKemenkeu!$J$6:$J$1005,SMALL(IF(checklistPesertaKemenkeu!$AY$6:$AY$1005="Direkomendasikan",ROW($6:$1005)-5),366))=""),"",IF(AND(COUNTIF(INDIRECT("K_"&amp;MATCH(INDEX(checklistPesertaKemenkeu!$J$6:$J$1005,SMALL(IF(checklistPesertaKemenkeu!$AY$6:$AY$1005="Direkomendasikan",ROW($6:$1005)-5),366)),BidangList,0)),INDEX(checklistPesertaKemenkeu!$P$6:$P$1005,SMALL(IF(checklistPesertaKemenkeu!$AY$6:$AY$1005="Direkomendasikan",ROW($6:$1005)-5),366)))&gt;0,COUNTIF(INDIRECT("'KERTAS KERJA'!K"&amp;(SMALL(IF(checklistPesertaKemenkeu!$AY$6:$AY$1005="Direkomendasikan",ROW($6:$1005)-5),366)+5)&amp;":O"&amp;(SMALL(IF(checklistPesertaKemenkeu!$AY$6:$AY$1005="Direkomendasikan",ROW($6:$1005)-5),366)+5)),INDEX(checklistPesertaKemenkeu!$P$6:$P$1005,SMALL(IF(checklistPesertaKemenkeu!$AY$6:$AY$1005="Direkomendasikan",ROW($6:$1005)-5),366)))=1),IFERROR(VLOOKUP(INDEX(checklistPesertaKemenkeu!$P$6:$P$1005,SMALL(IF(checklistPesertaKemenkeu!$AY$6:$AY$1005="Direkomendasikan",ROW($6:$1005)-5),366)),KotaKode,2,0),"-"),"")),"")</f>
        <v/>
      </c>
    </row>
    <row r="368" spans="1:12" ht="15" customHeight="1" x14ac:dyDescent="0.2">
      <c r="A368" t="str">
        <f t="shared" si="5"/>
        <v/>
      </c>
      <c r="B368" t="str">
        <v/>
      </c>
      <c r="C368" s="40" t="str">
        <f t="array" ref="C368">IFERROR(INDEX(checklistPesertaKemenkeu!$F$6:$F$1005,SMALL(IF(checklistPesertaKemenkeu!$AY$6:$AY$1005="Direkomendasikan",ROW($6:$1005)-5),367)),"")</f>
        <v/>
      </c>
      <c r="D368" t="str">
        <f t="array" ref="D368">IFERROR(INDEX(checklistPesertaKemenkeu!$G$6:$G$1005,SMALL(IF(checklistPesertaKemenkeu!$AY$6:$AY$1005="Direkomendasikan",ROW($6:$1005)-5),367)),"")</f>
        <v/>
      </c>
      <c r="E368" t="str">
        <f t="array" ref="E368">IFERROR(INDEX(checklistPesertaKemenkeu!$H$6:$H$1005,SMALL(IF(checklistPesertaKemenkeu!$AY$6:$AY$1005="Direkomendasikan",ROW($6:$1005)-5),367)),"")</f>
        <v/>
      </c>
      <c r="F368" t="str">
        <f t="array" ref="F368">IFERROR(INDEX(checklistPesertaKemenkeu!$I$6:$I$1005,SMALL(IF(checklistPesertaKemenkeu!$AY$6:$AY$1005="Direkomendasikan",ROW($6:$1005)-5),367)),"")</f>
        <v/>
      </c>
      <c r="G368" t="str">
        <f t="array" ref="G368">IFERROR(INDEX(checklistPesertaKemenkeu!$J$6:$J$1005,SMALL(IF(checklistPesertaKemenkeu!$AY$6:$AY$1005="Direkomendasikan",ROW($6:$1005)-5),367)),"")</f>
        <v/>
      </c>
      <c r="H368" t="str">
        <f t="array" aca="1" ref="H368" ca="1">IFERROR(IF(OR(INDEX(checklistPesertaKemenkeu!$L$6:$L$1005,SMALL(IF(checklistPesertaKemenkeu!$AY$6:$AY$1005="Direkomendasikan",ROW($6:$1005)-5),367))="",INDEX(checklistPesertaKemenkeu!$J$6:$J$1005,SMALL(IF(checklistPesertaKemenkeu!$AY$6:$AY$1005="Direkomendasikan",ROW($6:$1005)-5),367))=""),"",IF(AND(COUNTIF(INDIRECT("K_"&amp;MATCH(INDEX(checklistPesertaKemenkeu!$J$6:$J$1005,SMALL(IF(checklistPesertaKemenkeu!$AY$6:$AY$1005="Direkomendasikan",ROW($6:$1005)-5),367)),BidangList,0)),INDEX(checklistPesertaKemenkeu!$L$6:$L$1005,SMALL(IF(checklistPesertaKemenkeu!$AY$6:$AY$1005="Direkomendasikan",ROW($6:$1005)-5),367)))&gt;0,COUNTIF(INDIRECT("'KERTAS KERJA'!K"&amp;(SMALL(IF(checklistPesertaKemenkeu!$AY$6:$AY$1005="Direkomendasikan",ROW($6:$1005)-5),367)+5)&amp;":O"&amp;(SMALL(IF(checklistPesertaKemenkeu!$AY$6:$AY$1005="Direkomendasikan",ROW($6:$1005)-5),367)+5)),INDEX(checklistPesertaKemenkeu!$L$6:$L$1005,SMALL(IF(checklistPesertaKemenkeu!$AY$6:$AY$1005="Direkomendasikan",ROW($6:$1005)-5),367)))=1),IFERROR(VLOOKUP(INDEX(checklistPesertaKemenkeu!$L$6:$L$1005,SMALL(IF(checklistPesertaKemenkeu!$AY$6:$AY$1005="Direkomendasikan",ROW($6:$1005)-5),367)),KotaKode,2,0),"-"),"")),"")</f>
        <v/>
      </c>
      <c r="I368" t="str">
        <f t="array" aca="1" ref="I368" ca="1">IFERROR(IF(OR(INDEX(checklistPesertaKemenkeu!$M$6:$M$1005,SMALL(IF(checklistPesertaKemenkeu!$AY$6:$AY$1005="Direkomendasikan",ROW($6:$1005)-5),367))="",INDEX(checklistPesertaKemenkeu!$J$6:$J$1005,SMALL(IF(checklistPesertaKemenkeu!$AY$6:$AY$1005="Direkomendasikan",ROW($6:$1005)-5),367))=""),"",IF(AND(COUNTIF(INDIRECT("K_"&amp;MATCH(INDEX(checklistPesertaKemenkeu!$J$6:$J$1005,SMALL(IF(checklistPesertaKemenkeu!$AY$6:$AY$1005="Direkomendasikan",ROW($6:$1005)-5),367)),BidangList,0)),INDEX(checklistPesertaKemenkeu!$M$6:$M$1005,SMALL(IF(checklistPesertaKemenkeu!$AY$6:$AY$1005="Direkomendasikan",ROW($6:$1005)-5),367)))&gt;0,COUNTIF(INDIRECT("'KERTAS KERJA'!K"&amp;(SMALL(IF(checklistPesertaKemenkeu!$AY$6:$AY$1005="Direkomendasikan",ROW($6:$1005)-5),367)+5)&amp;":O"&amp;(SMALL(IF(checklistPesertaKemenkeu!$AY$6:$AY$1005="Direkomendasikan",ROW($6:$1005)-5),367)+5)),INDEX(checklistPesertaKemenkeu!$M$6:$M$1005,SMALL(IF(checklistPesertaKemenkeu!$AY$6:$AY$1005="Direkomendasikan",ROW($6:$1005)-5),367)))=1),IFERROR(VLOOKUP(INDEX(checklistPesertaKemenkeu!$M$6:$M$1005,SMALL(IF(checklistPesertaKemenkeu!$AY$6:$AY$1005="Direkomendasikan",ROW($6:$1005)-5),367)),KotaKode,2,0),"-"),"")),"")</f>
        <v/>
      </c>
      <c r="J368" t="str">
        <f t="array" aca="1" ref="J368" ca="1">IFERROR(IF(OR(INDEX(checklistPesertaKemenkeu!$N$6:$N$1005,SMALL(IF(checklistPesertaKemenkeu!$AY$6:$AY$1005="Direkomendasikan",ROW($6:$1005)-5),367))="",INDEX(checklistPesertaKemenkeu!$J$6:$J$1005,SMALL(IF(checklistPesertaKemenkeu!$AY$6:$AY$1005="Direkomendasikan",ROW($6:$1005)-5),367))=""),"",IF(AND(COUNTIF(INDIRECT("K_"&amp;MATCH(INDEX(checklistPesertaKemenkeu!$J$6:$J$1005,SMALL(IF(checklistPesertaKemenkeu!$AY$6:$AY$1005="Direkomendasikan",ROW($6:$1005)-5),367)),BidangList,0)),INDEX(checklistPesertaKemenkeu!$N$6:$N$1005,SMALL(IF(checklistPesertaKemenkeu!$AY$6:$AY$1005="Direkomendasikan",ROW($6:$1005)-5),367)))&gt;0,COUNTIF(INDIRECT("'KERTAS KERJA'!K"&amp;(SMALL(IF(checklistPesertaKemenkeu!$AY$6:$AY$1005="Direkomendasikan",ROW($6:$1005)-5),367)+5)&amp;":O"&amp;(SMALL(IF(checklistPesertaKemenkeu!$AY$6:$AY$1005="Direkomendasikan",ROW($6:$1005)-5),367)+5)),INDEX(checklistPesertaKemenkeu!$N$6:$N$1005,SMALL(IF(checklistPesertaKemenkeu!$AY$6:$AY$1005="Direkomendasikan",ROW($6:$1005)-5),367)))=1),IFERROR(VLOOKUP(INDEX(checklistPesertaKemenkeu!$N$6:$N$1005,SMALL(IF(checklistPesertaKemenkeu!$AY$6:$AY$1005="Direkomendasikan",ROW($6:$1005)-5),367)),KotaKode,2,0),"-"),"")),"")</f>
        <v/>
      </c>
      <c r="K368" t="str">
        <f t="array" aca="1" ref="K368" ca="1">IFERROR(IF(OR(INDEX(checklistPesertaKemenkeu!$O$6:$O$1005,SMALL(IF(checklistPesertaKemenkeu!$AY$6:$AY$1005="Direkomendasikan",ROW($6:$1005)-5),367))="",INDEX(checklistPesertaKemenkeu!$J$6:$J$1005,SMALL(IF(checklistPesertaKemenkeu!$AY$6:$AY$1005="Direkomendasikan",ROW($6:$1005)-5),367))=""),"",IF(AND(COUNTIF(INDIRECT("K_"&amp;MATCH(INDEX(checklistPesertaKemenkeu!$J$6:$J$1005,SMALL(IF(checklistPesertaKemenkeu!$AY$6:$AY$1005="Direkomendasikan",ROW($6:$1005)-5),367)),BidangList,0)),INDEX(checklistPesertaKemenkeu!$O$6:$O$1005,SMALL(IF(checklistPesertaKemenkeu!$AY$6:$AY$1005="Direkomendasikan",ROW($6:$1005)-5),367)))&gt;0,COUNTIF(INDIRECT("'KERTAS KERJA'!K"&amp;(SMALL(IF(checklistPesertaKemenkeu!$AY$6:$AY$1005="Direkomendasikan",ROW($6:$1005)-5),367)+5)&amp;":O"&amp;(SMALL(IF(checklistPesertaKemenkeu!$AY$6:$AY$1005="Direkomendasikan",ROW($6:$1005)-5),367)+5)),INDEX(checklistPesertaKemenkeu!$O$6:$O$1005,SMALL(IF(checklistPesertaKemenkeu!$AY$6:$AY$1005="Direkomendasikan",ROW($6:$1005)-5),367)))=1),IFERROR(VLOOKUP(INDEX(checklistPesertaKemenkeu!$O$6:$O$1005,SMALL(IF(checklistPesertaKemenkeu!$AY$6:$AY$1005="Direkomendasikan",ROW($6:$1005)-5),367)),KotaKode,2,0),"-"),"")),"")</f>
        <v/>
      </c>
      <c r="L368" t="str">
        <f t="array" aca="1" ref="L368" ca="1">IFERROR(IF(OR(INDEX(checklistPesertaKemenkeu!$P$6:$P$1005,SMALL(IF(checklistPesertaKemenkeu!$AY$6:$AY$1005="Direkomendasikan",ROW($6:$1005)-5),367))="",INDEX(checklistPesertaKemenkeu!$J$6:$J$1005,SMALL(IF(checklistPesertaKemenkeu!$AY$6:$AY$1005="Direkomendasikan",ROW($6:$1005)-5),367))=""),"",IF(AND(COUNTIF(INDIRECT("K_"&amp;MATCH(INDEX(checklistPesertaKemenkeu!$J$6:$J$1005,SMALL(IF(checklistPesertaKemenkeu!$AY$6:$AY$1005="Direkomendasikan",ROW($6:$1005)-5),367)),BidangList,0)),INDEX(checklistPesertaKemenkeu!$P$6:$P$1005,SMALL(IF(checklistPesertaKemenkeu!$AY$6:$AY$1005="Direkomendasikan",ROW($6:$1005)-5),367)))&gt;0,COUNTIF(INDIRECT("'KERTAS KERJA'!K"&amp;(SMALL(IF(checklistPesertaKemenkeu!$AY$6:$AY$1005="Direkomendasikan",ROW($6:$1005)-5),367)+5)&amp;":O"&amp;(SMALL(IF(checklistPesertaKemenkeu!$AY$6:$AY$1005="Direkomendasikan",ROW($6:$1005)-5),367)+5)),INDEX(checklistPesertaKemenkeu!$P$6:$P$1005,SMALL(IF(checklistPesertaKemenkeu!$AY$6:$AY$1005="Direkomendasikan",ROW($6:$1005)-5),367)))=1),IFERROR(VLOOKUP(INDEX(checklistPesertaKemenkeu!$P$6:$P$1005,SMALL(IF(checklistPesertaKemenkeu!$AY$6:$AY$1005="Direkomendasikan",ROW($6:$1005)-5),367)),KotaKode,2,0),"-"),"")),"")</f>
        <v/>
      </c>
    </row>
    <row r="369" spans="1:12" ht="15" customHeight="1" x14ac:dyDescent="0.2">
      <c r="A369" t="str">
        <f t="shared" si="5"/>
        <v/>
      </c>
      <c r="B369" t="str">
        <v/>
      </c>
      <c r="C369" s="40" t="str">
        <f t="array" ref="C369">IFERROR(INDEX(checklistPesertaKemenkeu!$F$6:$F$1005,SMALL(IF(checklistPesertaKemenkeu!$AY$6:$AY$1005="Direkomendasikan",ROW($6:$1005)-5),368)),"")</f>
        <v/>
      </c>
      <c r="D369" t="str">
        <f t="array" ref="D369">IFERROR(INDEX(checklistPesertaKemenkeu!$G$6:$G$1005,SMALL(IF(checklistPesertaKemenkeu!$AY$6:$AY$1005="Direkomendasikan",ROW($6:$1005)-5),368)),"")</f>
        <v/>
      </c>
      <c r="E369" t="str">
        <f t="array" ref="E369">IFERROR(INDEX(checklistPesertaKemenkeu!$H$6:$H$1005,SMALL(IF(checklistPesertaKemenkeu!$AY$6:$AY$1005="Direkomendasikan",ROW($6:$1005)-5),368)),"")</f>
        <v/>
      </c>
      <c r="F369" t="str">
        <f t="array" ref="F369">IFERROR(INDEX(checklistPesertaKemenkeu!$I$6:$I$1005,SMALL(IF(checklistPesertaKemenkeu!$AY$6:$AY$1005="Direkomendasikan",ROW($6:$1005)-5),368)),"")</f>
        <v/>
      </c>
      <c r="G369" t="str">
        <f t="array" ref="G369">IFERROR(INDEX(checklistPesertaKemenkeu!$J$6:$J$1005,SMALL(IF(checklistPesertaKemenkeu!$AY$6:$AY$1005="Direkomendasikan",ROW($6:$1005)-5),368)),"")</f>
        <v/>
      </c>
      <c r="H369" t="str">
        <f t="array" aca="1" ref="H369" ca="1">IFERROR(IF(OR(INDEX(checklistPesertaKemenkeu!$L$6:$L$1005,SMALL(IF(checklistPesertaKemenkeu!$AY$6:$AY$1005="Direkomendasikan",ROW($6:$1005)-5),368))="",INDEX(checklistPesertaKemenkeu!$J$6:$J$1005,SMALL(IF(checklistPesertaKemenkeu!$AY$6:$AY$1005="Direkomendasikan",ROW($6:$1005)-5),368))=""),"",IF(AND(COUNTIF(INDIRECT("K_"&amp;MATCH(INDEX(checklistPesertaKemenkeu!$J$6:$J$1005,SMALL(IF(checklistPesertaKemenkeu!$AY$6:$AY$1005="Direkomendasikan",ROW($6:$1005)-5),368)),BidangList,0)),INDEX(checklistPesertaKemenkeu!$L$6:$L$1005,SMALL(IF(checklistPesertaKemenkeu!$AY$6:$AY$1005="Direkomendasikan",ROW($6:$1005)-5),368)))&gt;0,COUNTIF(INDIRECT("'KERTAS KERJA'!K"&amp;(SMALL(IF(checklistPesertaKemenkeu!$AY$6:$AY$1005="Direkomendasikan",ROW($6:$1005)-5),368)+5)&amp;":O"&amp;(SMALL(IF(checklistPesertaKemenkeu!$AY$6:$AY$1005="Direkomendasikan",ROW($6:$1005)-5),368)+5)),INDEX(checklistPesertaKemenkeu!$L$6:$L$1005,SMALL(IF(checklistPesertaKemenkeu!$AY$6:$AY$1005="Direkomendasikan",ROW($6:$1005)-5),368)))=1),IFERROR(VLOOKUP(INDEX(checklistPesertaKemenkeu!$L$6:$L$1005,SMALL(IF(checklistPesertaKemenkeu!$AY$6:$AY$1005="Direkomendasikan",ROW($6:$1005)-5),368)),KotaKode,2,0),"-"),"")),"")</f>
        <v/>
      </c>
      <c r="I369" t="str">
        <f t="array" aca="1" ref="I369" ca="1">IFERROR(IF(OR(INDEX(checklistPesertaKemenkeu!$M$6:$M$1005,SMALL(IF(checklistPesertaKemenkeu!$AY$6:$AY$1005="Direkomendasikan",ROW($6:$1005)-5),368))="",INDEX(checklistPesertaKemenkeu!$J$6:$J$1005,SMALL(IF(checklistPesertaKemenkeu!$AY$6:$AY$1005="Direkomendasikan",ROW($6:$1005)-5),368))=""),"",IF(AND(COUNTIF(INDIRECT("K_"&amp;MATCH(INDEX(checklistPesertaKemenkeu!$J$6:$J$1005,SMALL(IF(checklistPesertaKemenkeu!$AY$6:$AY$1005="Direkomendasikan",ROW($6:$1005)-5),368)),BidangList,0)),INDEX(checklistPesertaKemenkeu!$M$6:$M$1005,SMALL(IF(checklistPesertaKemenkeu!$AY$6:$AY$1005="Direkomendasikan",ROW($6:$1005)-5),368)))&gt;0,COUNTIF(INDIRECT("'KERTAS KERJA'!K"&amp;(SMALL(IF(checklistPesertaKemenkeu!$AY$6:$AY$1005="Direkomendasikan",ROW($6:$1005)-5),368)+5)&amp;":O"&amp;(SMALL(IF(checklistPesertaKemenkeu!$AY$6:$AY$1005="Direkomendasikan",ROW($6:$1005)-5),368)+5)),INDEX(checklistPesertaKemenkeu!$M$6:$M$1005,SMALL(IF(checklistPesertaKemenkeu!$AY$6:$AY$1005="Direkomendasikan",ROW($6:$1005)-5),368)))=1),IFERROR(VLOOKUP(INDEX(checklistPesertaKemenkeu!$M$6:$M$1005,SMALL(IF(checklistPesertaKemenkeu!$AY$6:$AY$1005="Direkomendasikan",ROW($6:$1005)-5),368)),KotaKode,2,0),"-"),"")),"")</f>
        <v/>
      </c>
      <c r="J369" t="str">
        <f t="array" aca="1" ref="J369" ca="1">IFERROR(IF(OR(INDEX(checklistPesertaKemenkeu!$N$6:$N$1005,SMALL(IF(checklistPesertaKemenkeu!$AY$6:$AY$1005="Direkomendasikan",ROW($6:$1005)-5),368))="",INDEX(checklistPesertaKemenkeu!$J$6:$J$1005,SMALL(IF(checklistPesertaKemenkeu!$AY$6:$AY$1005="Direkomendasikan",ROW($6:$1005)-5),368))=""),"",IF(AND(COUNTIF(INDIRECT("K_"&amp;MATCH(INDEX(checklistPesertaKemenkeu!$J$6:$J$1005,SMALL(IF(checklistPesertaKemenkeu!$AY$6:$AY$1005="Direkomendasikan",ROW($6:$1005)-5),368)),BidangList,0)),INDEX(checklistPesertaKemenkeu!$N$6:$N$1005,SMALL(IF(checklistPesertaKemenkeu!$AY$6:$AY$1005="Direkomendasikan",ROW($6:$1005)-5),368)))&gt;0,COUNTIF(INDIRECT("'KERTAS KERJA'!K"&amp;(SMALL(IF(checklistPesertaKemenkeu!$AY$6:$AY$1005="Direkomendasikan",ROW($6:$1005)-5),368)+5)&amp;":O"&amp;(SMALL(IF(checklistPesertaKemenkeu!$AY$6:$AY$1005="Direkomendasikan",ROW($6:$1005)-5),368)+5)),INDEX(checklistPesertaKemenkeu!$N$6:$N$1005,SMALL(IF(checklistPesertaKemenkeu!$AY$6:$AY$1005="Direkomendasikan",ROW($6:$1005)-5),368)))=1),IFERROR(VLOOKUP(INDEX(checklistPesertaKemenkeu!$N$6:$N$1005,SMALL(IF(checklistPesertaKemenkeu!$AY$6:$AY$1005="Direkomendasikan",ROW($6:$1005)-5),368)),KotaKode,2,0),"-"),"")),"")</f>
        <v/>
      </c>
      <c r="K369" t="str">
        <f t="array" aca="1" ref="K369" ca="1">IFERROR(IF(OR(INDEX(checklistPesertaKemenkeu!$O$6:$O$1005,SMALL(IF(checklistPesertaKemenkeu!$AY$6:$AY$1005="Direkomendasikan",ROW($6:$1005)-5),368))="",INDEX(checklistPesertaKemenkeu!$J$6:$J$1005,SMALL(IF(checklistPesertaKemenkeu!$AY$6:$AY$1005="Direkomendasikan",ROW($6:$1005)-5),368))=""),"",IF(AND(COUNTIF(INDIRECT("K_"&amp;MATCH(INDEX(checklistPesertaKemenkeu!$J$6:$J$1005,SMALL(IF(checklistPesertaKemenkeu!$AY$6:$AY$1005="Direkomendasikan",ROW($6:$1005)-5),368)),BidangList,0)),INDEX(checklistPesertaKemenkeu!$O$6:$O$1005,SMALL(IF(checklistPesertaKemenkeu!$AY$6:$AY$1005="Direkomendasikan",ROW($6:$1005)-5),368)))&gt;0,COUNTIF(INDIRECT("'KERTAS KERJA'!K"&amp;(SMALL(IF(checklistPesertaKemenkeu!$AY$6:$AY$1005="Direkomendasikan",ROW($6:$1005)-5),368)+5)&amp;":O"&amp;(SMALL(IF(checklistPesertaKemenkeu!$AY$6:$AY$1005="Direkomendasikan",ROW($6:$1005)-5),368)+5)),INDEX(checklistPesertaKemenkeu!$O$6:$O$1005,SMALL(IF(checklistPesertaKemenkeu!$AY$6:$AY$1005="Direkomendasikan",ROW($6:$1005)-5),368)))=1),IFERROR(VLOOKUP(INDEX(checklistPesertaKemenkeu!$O$6:$O$1005,SMALL(IF(checklistPesertaKemenkeu!$AY$6:$AY$1005="Direkomendasikan",ROW($6:$1005)-5),368)),KotaKode,2,0),"-"),"")),"")</f>
        <v/>
      </c>
      <c r="L369" t="str">
        <f t="array" aca="1" ref="L369" ca="1">IFERROR(IF(OR(INDEX(checklistPesertaKemenkeu!$P$6:$P$1005,SMALL(IF(checklistPesertaKemenkeu!$AY$6:$AY$1005="Direkomendasikan",ROW($6:$1005)-5),368))="",INDEX(checklistPesertaKemenkeu!$J$6:$J$1005,SMALL(IF(checklistPesertaKemenkeu!$AY$6:$AY$1005="Direkomendasikan",ROW($6:$1005)-5),368))=""),"",IF(AND(COUNTIF(INDIRECT("K_"&amp;MATCH(INDEX(checklistPesertaKemenkeu!$J$6:$J$1005,SMALL(IF(checklistPesertaKemenkeu!$AY$6:$AY$1005="Direkomendasikan",ROW($6:$1005)-5),368)),BidangList,0)),INDEX(checklistPesertaKemenkeu!$P$6:$P$1005,SMALL(IF(checklistPesertaKemenkeu!$AY$6:$AY$1005="Direkomendasikan",ROW($6:$1005)-5),368)))&gt;0,COUNTIF(INDIRECT("'KERTAS KERJA'!K"&amp;(SMALL(IF(checklistPesertaKemenkeu!$AY$6:$AY$1005="Direkomendasikan",ROW($6:$1005)-5),368)+5)&amp;":O"&amp;(SMALL(IF(checklistPesertaKemenkeu!$AY$6:$AY$1005="Direkomendasikan",ROW($6:$1005)-5),368)+5)),INDEX(checklistPesertaKemenkeu!$P$6:$P$1005,SMALL(IF(checklistPesertaKemenkeu!$AY$6:$AY$1005="Direkomendasikan",ROW($6:$1005)-5),368)))=1),IFERROR(VLOOKUP(INDEX(checklistPesertaKemenkeu!$P$6:$P$1005,SMALL(IF(checklistPesertaKemenkeu!$AY$6:$AY$1005="Direkomendasikan",ROW($6:$1005)-5),368)),KotaKode,2,0),"-"),"")),"")</f>
        <v/>
      </c>
    </row>
    <row r="370" spans="1:12" ht="15" customHeight="1" x14ac:dyDescent="0.2">
      <c r="A370" t="str">
        <f t="shared" si="5"/>
        <v/>
      </c>
      <c r="B370" t="str">
        <v/>
      </c>
      <c r="C370" s="40" t="str">
        <f t="array" ref="C370">IFERROR(INDEX(checklistPesertaKemenkeu!$F$6:$F$1005,SMALL(IF(checklistPesertaKemenkeu!$AY$6:$AY$1005="Direkomendasikan",ROW($6:$1005)-5),369)),"")</f>
        <v/>
      </c>
      <c r="D370" t="str">
        <f t="array" ref="D370">IFERROR(INDEX(checklistPesertaKemenkeu!$G$6:$G$1005,SMALL(IF(checklistPesertaKemenkeu!$AY$6:$AY$1005="Direkomendasikan",ROW($6:$1005)-5),369)),"")</f>
        <v/>
      </c>
      <c r="E370" t="str">
        <f t="array" ref="E370">IFERROR(INDEX(checklistPesertaKemenkeu!$H$6:$H$1005,SMALL(IF(checklistPesertaKemenkeu!$AY$6:$AY$1005="Direkomendasikan",ROW($6:$1005)-5),369)),"")</f>
        <v/>
      </c>
      <c r="F370" t="str">
        <f t="array" ref="F370">IFERROR(INDEX(checklistPesertaKemenkeu!$I$6:$I$1005,SMALL(IF(checklistPesertaKemenkeu!$AY$6:$AY$1005="Direkomendasikan",ROW($6:$1005)-5),369)),"")</f>
        <v/>
      </c>
      <c r="G370" t="str">
        <f t="array" ref="G370">IFERROR(INDEX(checklistPesertaKemenkeu!$J$6:$J$1005,SMALL(IF(checklistPesertaKemenkeu!$AY$6:$AY$1005="Direkomendasikan",ROW($6:$1005)-5),369)),"")</f>
        <v/>
      </c>
      <c r="H370" t="str">
        <f t="array" aca="1" ref="H370" ca="1">IFERROR(IF(OR(INDEX(checklistPesertaKemenkeu!$L$6:$L$1005,SMALL(IF(checklistPesertaKemenkeu!$AY$6:$AY$1005="Direkomendasikan",ROW($6:$1005)-5),369))="",INDEX(checklistPesertaKemenkeu!$J$6:$J$1005,SMALL(IF(checklistPesertaKemenkeu!$AY$6:$AY$1005="Direkomendasikan",ROW($6:$1005)-5),369))=""),"",IF(AND(COUNTIF(INDIRECT("K_"&amp;MATCH(INDEX(checklistPesertaKemenkeu!$J$6:$J$1005,SMALL(IF(checklistPesertaKemenkeu!$AY$6:$AY$1005="Direkomendasikan",ROW($6:$1005)-5),369)),BidangList,0)),INDEX(checklistPesertaKemenkeu!$L$6:$L$1005,SMALL(IF(checklistPesertaKemenkeu!$AY$6:$AY$1005="Direkomendasikan",ROW($6:$1005)-5),369)))&gt;0,COUNTIF(INDIRECT("'KERTAS KERJA'!K"&amp;(SMALL(IF(checklistPesertaKemenkeu!$AY$6:$AY$1005="Direkomendasikan",ROW($6:$1005)-5),369)+5)&amp;":O"&amp;(SMALL(IF(checklistPesertaKemenkeu!$AY$6:$AY$1005="Direkomendasikan",ROW($6:$1005)-5),369)+5)),INDEX(checklistPesertaKemenkeu!$L$6:$L$1005,SMALL(IF(checklistPesertaKemenkeu!$AY$6:$AY$1005="Direkomendasikan",ROW($6:$1005)-5),369)))=1),IFERROR(VLOOKUP(INDEX(checklistPesertaKemenkeu!$L$6:$L$1005,SMALL(IF(checklistPesertaKemenkeu!$AY$6:$AY$1005="Direkomendasikan",ROW($6:$1005)-5),369)),KotaKode,2,0),"-"),"")),"")</f>
        <v/>
      </c>
      <c r="I370" t="str">
        <f t="array" aca="1" ref="I370" ca="1">IFERROR(IF(OR(INDEX(checklistPesertaKemenkeu!$M$6:$M$1005,SMALL(IF(checklistPesertaKemenkeu!$AY$6:$AY$1005="Direkomendasikan",ROW($6:$1005)-5),369))="",INDEX(checklistPesertaKemenkeu!$J$6:$J$1005,SMALL(IF(checklistPesertaKemenkeu!$AY$6:$AY$1005="Direkomendasikan",ROW($6:$1005)-5),369))=""),"",IF(AND(COUNTIF(INDIRECT("K_"&amp;MATCH(INDEX(checklistPesertaKemenkeu!$J$6:$J$1005,SMALL(IF(checklistPesertaKemenkeu!$AY$6:$AY$1005="Direkomendasikan",ROW($6:$1005)-5),369)),BidangList,0)),INDEX(checklistPesertaKemenkeu!$M$6:$M$1005,SMALL(IF(checklistPesertaKemenkeu!$AY$6:$AY$1005="Direkomendasikan",ROW($6:$1005)-5),369)))&gt;0,COUNTIF(INDIRECT("'KERTAS KERJA'!K"&amp;(SMALL(IF(checklistPesertaKemenkeu!$AY$6:$AY$1005="Direkomendasikan",ROW($6:$1005)-5),369)+5)&amp;":O"&amp;(SMALL(IF(checklistPesertaKemenkeu!$AY$6:$AY$1005="Direkomendasikan",ROW($6:$1005)-5),369)+5)),INDEX(checklistPesertaKemenkeu!$M$6:$M$1005,SMALL(IF(checklistPesertaKemenkeu!$AY$6:$AY$1005="Direkomendasikan",ROW($6:$1005)-5),369)))=1),IFERROR(VLOOKUP(INDEX(checklistPesertaKemenkeu!$M$6:$M$1005,SMALL(IF(checklistPesertaKemenkeu!$AY$6:$AY$1005="Direkomendasikan",ROW($6:$1005)-5),369)),KotaKode,2,0),"-"),"")),"")</f>
        <v/>
      </c>
      <c r="J370" t="str">
        <f t="array" aca="1" ref="J370" ca="1">IFERROR(IF(OR(INDEX(checklistPesertaKemenkeu!$N$6:$N$1005,SMALL(IF(checklistPesertaKemenkeu!$AY$6:$AY$1005="Direkomendasikan",ROW($6:$1005)-5),369))="",INDEX(checklistPesertaKemenkeu!$J$6:$J$1005,SMALL(IF(checklistPesertaKemenkeu!$AY$6:$AY$1005="Direkomendasikan",ROW($6:$1005)-5),369))=""),"",IF(AND(COUNTIF(INDIRECT("K_"&amp;MATCH(INDEX(checklistPesertaKemenkeu!$J$6:$J$1005,SMALL(IF(checklistPesertaKemenkeu!$AY$6:$AY$1005="Direkomendasikan",ROW($6:$1005)-5),369)),BidangList,0)),INDEX(checklistPesertaKemenkeu!$N$6:$N$1005,SMALL(IF(checklistPesertaKemenkeu!$AY$6:$AY$1005="Direkomendasikan",ROW($6:$1005)-5),369)))&gt;0,COUNTIF(INDIRECT("'KERTAS KERJA'!K"&amp;(SMALL(IF(checklistPesertaKemenkeu!$AY$6:$AY$1005="Direkomendasikan",ROW($6:$1005)-5),369)+5)&amp;":O"&amp;(SMALL(IF(checklistPesertaKemenkeu!$AY$6:$AY$1005="Direkomendasikan",ROW($6:$1005)-5),369)+5)),INDEX(checklistPesertaKemenkeu!$N$6:$N$1005,SMALL(IF(checklistPesertaKemenkeu!$AY$6:$AY$1005="Direkomendasikan",ROW($6:$1005)-5),369)))=1),IFERROR(VLOOKUP(INDEX(checklistPesertaKemenkeu!$N$6:$N$1005,SMALL(IF(checklistPesertaKemenkeu!$AY$6:$AY$1005="Direkomendasikan",ROW($6:$1005)-5),369)),KotaKode,2,0),"-"),"")),"")</f>
        <v/>
      </c>
      <c r="K370" t="str">
        <f t="array" aca="1" ref="K370" ca="1">IFERROR(IF(OR(INDEX(checklistPesertaKemenkeu!$O$6:$O$1005,SMALL(IF(checklistPesertaKemenkeu!$AY$6:$AY$1005="Direkomendasikan",ROW($6:$1005)-5),369))="",INDEX(checklistPesertaKemenkeu!$J$6:$J$1005,SMALL(IF(checklistPesertaKemenkeu!$AY$6:$AY$1005="Direkomendasikan",ROW($6:$1005)-5),369))=""),"",IF(AND(COUNTIF(INDIRECT("K_"&amp;MATCH(INDEX(checklistPesertaKemenkeu!$J$6:$J$1005,SMALL(IF(checklistPesertaKemenkeu!$AY$6:$AY$1005="Direkomendasikan",ROW($6:$1005)-5),369)),BidangList,0)),INDEX(checklistPesertaKemenkeu!$O$6:$O$1005,SMALL(IF(checklistPesertaKemenkeu!$AY$6:$AY$1005="Direkomendasikan",ROW($6:$1005)-5),369)))&gt;0,COUNTIF(INDIRECT("'KERTAS KERJA'!K"&amp;(SMALL(IF(checklistPesertaKemenkeu!$AY$6:$AY$1005="Direkomendasikan",ROW($6:$1005)-5),369)+5)&amp;":O"&amp;(SMALL(IF(checklistPesertaKemenkeu!$AY$6:$AY$1005="Direkomendasikan",ROW($6:$1005)-5),369)+5)),INDEX(checklistPesertaKemenkeu!$O$6:$O$1005,SMALL(IF(checklistPesertaKemenkeu!$AY$6:$AY$1005="Direkomendasikan",ROW($6:$1005)-5),369)))=1),IFERROR(VLOOKUP(INDEX(checklistPesertaKemenkeu!$O$6:$O$1005,SMALL(IF(checklistPesertaKemenkeu!$AY$6:$AY$1005="Direkomendasikan",ROW($6:$1005)-5),369)),KotaKode,2,0),"-"),"")),"")</f>
        <v/>
      </c>
      <c r="L370" t="str">
        <f t="array" aca="1" ref="L370" ca="1">IFERROR(IF(OR(INDEX(checklistPesertaKemenkeu!$P$6:$P$1005,SMALL(IF(checklistPesertaKemenkeu!$AY$6:$AY$1005="Direkomendasikan",ROW($6:$1005)-5),369))="",INDEX(checklistPesertaKemenkeu!$J$6:$J$1005,SMALL(IF(checklistPesertaKemenkeu!$AY$6:$AY$1005="Direkomendasikan",ROW($6:$1005)-5),369))=""),"",IF(AND(COUNTIF(INDIRECT("K_"&amp;MATCH(INDEX(checklistPesertaKemenkeu!$J$6:$J$1005,SMALL(IF(checklistPesertaKemenkeu!$AY$6:$AY$1005="Direkomendasikan",ROW($6:$1005)-5),369)),BidangList,0)),INDEX(checklistPesertaKemenkeu!$P$6:$P$1005,SMALL(IF(checklistPesertaKemenkeu!$AY$6:$AY$1005="Direkomendasikan",ROW($6:$1005)-5),369)))&gt;0,COUNTIF(INDIRECT("'KERTAS KERJA'!K"&amp;(SMALL(IF(checklistPesertaKemenkeu!$AY$6:$AY$1005="Direkomendasikan",ROW($6:$1005)-5),369)+5)&amp;":O"&amp;(SMALL(IF(checklistPesertaKemenkeu!$AY$6:$AY$1005="Direkomendasikan",ROW($6:$1005)-5),369)+5)),INDEX(checklistPesertaKemenkeu!$P$6:$P$1005,SMALL(IF(checklistPesertaKemenkeu!$AY$6:$AY$1005="Direkomendasikan",ROW($6:$1005)-5),369)))=1),IFERROR(VLOOKUP(INDEX(checklistPesertaKemenkeu!$P$6:$P$1005,SMALL(IF(checklistPesertaKemenkeu!$AY$6:$AY$1005="Direkomendasikan",ROW($6:$1005)-5),369)),KotaKode,2,0),"-"),"")),"")</f>
        <v/>
      </c>
    </row>
    <row r="371" spans="1:12" ht="15" customHeight="1" x14ac:dyDescent="0.2">
      <c r="A371" t="str">
        <f t="shared" si="5"/>
        <v/>
      </c>
      <c r="B371" t="str">
        <v/>
      </c>
      <c r="C371" s="40" t="str">
        <f t="array" ref="C371">IFERROR(INDEX(checklistPesertaKemenkeu!$F$6:$F$1005,SMALL(IF(checklistPesertaKemenkeu!$AY$6:$AY$1005="Direkomendasikan",ROW($6:$1005)-5),370)),"")</f>
        <v/>
      </c>
      <c r="D371" t="str">
        <f t="array" ref="D371">IFERROR(INDEX(checklistPesertaKemenkeu!$G$6:$G$1005,SMALL(IF(checklistPesertaKemenkeu!$AY$6:$AY$1005="Direkomendasikan",ROW($6:$1005)-5),370)),"")</f>
        <v/>
      </c>
      <c r="E371" t="str">
        <f t="array" ref="E371">IFERROR(INDEX(checklistPesertaKemenkeu!$H$6:$H$1005,SMALL(IF(checklistPesertaKemenkeu!$AY$6:$AY$1005="Direkomendasikan",ROW($6:$1005)-5),370)),"")</f>
        <v/>
      </c>
      <c r="F371" t="str">
        <f t="array" ref="F371">IFERROR(INDEX(checklistPesertaKemenkeu!$I$6:$I$1005,SMALL(IF(checklistPesertaKemenkeu!$AY$6:$AY$1005="Direkomendasikan",ROW($6:$1005)-5),370)),"")</f>
        <v/>
      </c>
      <c r="G371" t="str">
        <f t="array" ref="G371">IFERROR(INDEX(checklistPesertaKemenkeu!$J$6:$J$1005,SMALL(IF(checklistPesertaKemenkeu!$AY$6:$AY$1005="Direkomendasikan",ROW($6:$1005)-5),370)),"")</f>
        <v/>
      </c>
      <c r="H371" t="str">
        <f t="array" aca="1" ref="H371" ca="1">IFERROR(IF(OR(INDEX(checklistPesertaKemenkeu!$L$6:$L$1005,SMALL(IF(checklistPesertaKemenkeu!$AY$6:$AY$1005="Direkomendasikan",ROW($6:$1005)-5),370))="",INDEX(checklistPesertaKemenkeu!$J$6:$J$1005,SMALL(IF(checklistPesertaKemenkeu!$AY$6:$AY$1005="Direkomendasikan",ROW($6:$1005)-5),370))=""),"",IF(AND(COUNTIF(INDIRECT("K_"&amp;MATCH(INDEX(checklistPesertaKemenkeu!$J$6:$J$1005,SMALL(IF(checklistPesertaKemenkeu!$AY$6:$AY$1005="Direkomendasikan",ROW($6:$1005)-5),370)),BidangList,0)),INDEX(checklistPesertaKemenkeu!$L$6:$L$1005,SMALL(IF(checklistPesertaKemenkeu!$AY$6:$AY$1005="Direkomendasikan",ROW($6:$1005)-5),370)))&gt;0,COUNTIF(INDIRECT("'KERTAS KERJA'!K"&amp;(SMALL(IF(checklistPesertaKemenkeu!$AY$6:$AY$1005="Direkomendasikan",ROW($6:$1005)-5),370)+5)&amp;":O"&amp;(SMALL(IF(checklistPesertaKemenkeu!$AY$6:$AY$1005="Direkomendasikan",ROW($6:$1005)-5),370)+5)),INDEX(checklistPesertaKemenkeu!$L$6:$L$1005,SMALL(IF(checklistPesertaKemenkeu!$AY$6:$AY$1005="Direkomendasikan",ROW($6:$1005)-5),370)))=1),IFERROR(VLOOKUP(INDEX(checklistPesertaKemenkeu!$L$6:$L$1005,SMALL(IF(checklistPesertaKemenkeu!$AY$6:$AY$1005="Direkomendasikan",ROW($6:$1005)-5),370)),KotaKode,2,0),"-"),"")),"")</f>
        <v/>
      </c>
      <c r="I371" t="str">
        <f t="array" aca="1" ref="I371" ca="1">IFERROR(IF(OR(INDEX(checklistPesertaKemenkeu!$M$6:$M$1005,SMALL(IF(checklistPesertaKemenkeu!$AY$6:$AY$1005="Direkomendasikan",ROW($6:$1005)-5),370))="",INDEX(checklistPesertaKemenkeu!$J$6:$J$1005,SMALL(IF(checklistPesertaKemenkeu!$AY$6:$AY$1005="Direkomendasikan",ROW($6:$1005)-5),370))=""),"",IF(AND(COUNTIF(INDIRECT("K_"&amp;MATCH(INDEX(checklistPesertaKemenkeu!$J$6:$J$1005,SMALL(IF(checklistPesertaKemenkeu!$AY$6:$AY$1005="Direkomendasikan",ROW($6:$1005)-5),370)),BidangList,0)),INDEX(checklistPesertaKemenkeu!$M$6:$M$1005,SMALL(IF(checklistPesertaKemenkeu!$AY$6:$AY$1005="Direkomendasikan",ROW($6:$1005)-5),370)))&gt;0,COUNTIF(INDIRECT("'KERTAS KERJA'!K"&amp;(SMALL(IF(checklistPesertaKemenkeu!$AY$6:$AY$1005="Direkomendasikan",ROW($6:$1005)-5),370)+5)&amp;":O"&amp;(SMALL(IF(checklistPesertaKemenkeu!$AY$6:$AY$1005="Direkomendasikan",ROW($6:$1005)-5),370)+5)),INDEX(checklistPesertaKemenkeu!$M$6:$M$1005,SMALL(IF(checklistPesertaKemenkeu!$AY$6:$AY$1005="Direkomendasikan",ROW($6:$1005)-5),370)))=1),IFERROR(VLOOKUP(INDEX(checklistPesertaKemenkeu!$M$6:$M$1005,SMALL(IF(checklistPesertaKemenkeu!$AY$6:$AY$1005="Direkomendasikan",ROW($6:$1005)-5),370)),KotaKode,2,0),"-"),"")),"")</f>
        <v/>
      </c>
      <c r="J371" t="str">
        <f t="array" aca="1" ref="J371" ca="1">IFERROR(IF(OR(INDEX(checklistPesertaKemenkeu!$N$6:$N$1005,SMALL(IF(checklistPesertaKemenkeu!$AY$6:$AY$1005="Direkomendasikan",ROW($6:$1005)-5),370))="",INDEX(checklistPesertaKemenkeu!$J$6:$J$1005,SMALL(IF(checklistPesertaKemenkeu!$AY$6:$AY$1005="Direkomendasikan",ROW($6:$1005)-5),370))=""),"",IF(AND(COUNTIF(INDIRECT("K_"&amp;MATCH(INDEX(checklistPesertaKemenkeu!$J$6:$J$1005,SMALL(IF(checklistPesertaKemenkeu!$AY$6:$AY$1005="Direkomendasikan",ROW($6:$1005)-5),370)),BidangList,0)),INDEX(checklistPesertaKemenkeu!$N$6:$N$1005,SMALL(IF(checklistPesertaKemenkeu!$AY$6:$AY$1005="Direkomendasikan",ROW($6:$1005)-5),370)))&gt;0,COUNTIF(INDIRECT("'KERTAS KERJA'!K"&amp;(SMALL(IF(checklistPesertaKemenkeu!$AY$6:$AY$1005="Direkomendasikan",ROW($6:$1005)-5),370)+5)&amp;":O"&amp;(SMALL(IF(checklistPesertaKemenkeu!$AY$6:$AY$1005="Direkomendasikan",ROW($6:$1005)-5),370)+5)),INDEX(checklistPesertaKemenkeu!$N$6:$N$1005,SMALL(IF(checklistPesertaKemenkeu!$AY$6:$AY$1005="Direkomendasikan",ROW($6:$1005)-5),370)))=1),IFERROR(VLOOKUP(INDEX(checklistPesertaKemenkeu!$N$6:$N$1005,SMALL(IF(checklistPesertaKemenkeu!$AY$6:$AY$1005="Direkomendasikan",ROW($6:$1005)-5),370)),KotaKode,2,0),"-"),"")),"")</f>
        <v/>
      </c>
      <c r="K371" t="str">
        <f t="array" aca="1" ref="K371" ca="1">IFERROR(IF(OR(INDEX(checklistPesertaKemenkeu!$O$6:$O$1005,SMALL(IF(checklistPesertaKemenkeu!$AY$6:$AY$1005="Direkomendasikan",ROW($6:$1005)-5),370))="",INDEX(checklistPesertaKemenkeu!$J$6:$J$1005,SMALL(IF(checklistPesertaKemenkeu!$AY$6:$AY$1005="Direkomendasikan",ROW($6:$1005)-5),370))=""),"",IF(AND(COUNTIF(INDIRECT("K_"&amp;MATCH(INDEX(checklistPesertaKemenkeu!$J$6:$J$1005,SMALL(IF(checklistPesertaKemenkeu!$AY$6:$AY$1005="Direkomendasikan",ROW($6:$1005)-5),370)),BidangList,0)),INDEX(checklistPesertaKemenkeu!$O$6:$O$1005,SMALL(IF(checklistPesertaKemenkeu!$AY$6:$AY$1005="Direkomendasikan",ROW($6:$1005)-5),370)))&gt;0,COUNTIF(INDIRECT("'KERTAS KERJA'!K"&amp;(SMALL(IF(checklistPesertaKemenkeu!$AY$6:$AY$1005="Direkomendasikan",ROW($6:$1005)-5),370)+5)&amp;":O"&amp;(SMALL(IF(checklistPesertaKemenkeu!$AY$6:$AY$1005="Direkomendasikan",ROW($6:$1005)-5),370)+5)),INDEX(checklistPesertaKemenkeu!$O$6:$O$1005,SMALL(IF(checklistPesertaKemenkeu!$AY$6:$AY$1005="Direkomendasikan",ROW($6:$1005)-5),370)))=1),IFERROR(VLOOKUP(INDEX(checklistPesertaKemenkeu!$O$6:$O$1005,SMALL(IF(checklistPesertaKemenkeu!$AY$6:$AY$1005="Direkomendasikan",ROW($6:$1005)-5),370)),KotaKode,2,0),"-"),"")),"")</f>
        <v/>
      </c>
      <c r="L371" t="str">
        <f t="array" aca="1" ref="L371" ca="1">IFERROR(IF(OR(INDEX(checklistPesertaKemenkeu!$P$6:$P$1005,SMALL(IF(checklistPesertaKemenkeu!$AY$6:$AY$1005="Direkomendasikan",ROW($6:$1005)-5),370))="",INDEX(checklistPesertaKemenkeu!$J$6:$J$1005,SMALL(IF(checklistPesertaKemenkeu!$AY$6:$AY$1005="Direkomendasikan",ROW($6:$1005)-5),370))=""),"",IF(AND(COUNTIF(INDIRECT("K_"&amp;MATCH(INDEX(checklistPesertaKemenkeu!$J$6:$J$1005,SMALL(IF(checklistPesertaKemenkeu!$AY$6:$AY$1005="Direkomendasikan",ROW($6:$1005)-5),370)),BidangList,0)),INDEX(checklistPesertaKemenkeu!$P$6:$P$1005,SMALL(IF(checklistPesertaKemenkeu!$AY$6:$AY$1005="Direkomendasikan",ROW($6:$1005)-5),370)))&gt;0,COUNTIF(INDIRECT("'KERTAS KERJA'!K"&amp;(SMALL(IF(checklistPesertaKemenkeu!$AY$6:$AY$1005="Direkomendasikan",ROW($6:$1005)-5),370)+5)&amp;":O"&amp;(SMALL(IF(checklistPesertaKemenkeu!$AY$6:$AY$1005="Direkomendasikan",ROW($6:$1005)-5),370)+5)),INDEX(checklistPesertaKemenkeu!$P$6:$P$1005,SMALL(IF(checklistPesertaKemenkeu!$AY$6:$AY$1005="Direkomendasikan",ROW($6:$1005)-5),370)))=1),IFERROR(VLOOKUP(INDEX(checklistPesertaKemenkeu!$P$6:$P$1005,SMALL(IF(checklistPesertaKemenkeu!$AY$6:$AY$1005="Direkomendasikan",ROW($6:$1005)-5),370)),KotaKode,2,0),"-"),"")),"")</f>
        <v/>
      </c>
    </row>
    <row r="372" spans="1:12" ht="15" customHeight="1" x14ac:dyDescent="0.2">
      <c r="A372" t="str">
        <f t="shared" si="5"/>
        <v/>
      </c>
      <c r="B372" t="str">
        <v/>
      </c>
      <c r="C372" s="40" t="str">
        <f t="array" ref="C372">IFERROR(INDEX(checklistPesertaKemenkeu!$F$6:$F$1005,SMALL(IF(checklistPesertaKemenkeu!$AY$6:$AY$1005="Direkomendasikan",ROW($6:$1005)-5),371)),"")</f>
        <v/>
      </c>
      <c r="D372" t="str">
        <f t="array" ref="D372">IFERROR(INDEX(checklistPesertaKemenkeu!$G$6:$G$1005,SMALL(IF(checklistPesertaKemenkeu!$AY$6:$AY$1005="Direkomendasikan",ROW($6:$1005)-5),371)),"")</f>
        <v/>
      </c>
      <c r="E372" t="str">
        <f t="array" ref="E372">IFERROR(INDEX(checklistPesertaKemenkeu!$H$6:$H$1005,SMALL(IF(checklistPesertaKemenkeu!$AY$6:$AY$1005="Direkomendasikan",ROW($6:$1005)-5),371)),"")</f>
        <v/>
      </c>
      <c r="F372" t="str">
        <f t="array" ref="F372">IFERROR(INDEX(checklistPesertaKemenkeu!$I$6:$I$1005,SMALL(IF(checklistPesertaKemenkeu!$AY$6:$AY$1005="Direkomendasikan",ROW($6:$1005)-5),371)),"")</f>
        <v/>
      </c>
      <c r="G372" t="str">
        <f t="array" ref="G372">IFERROR(INDEX(checklistPesertaKemenkeu!$J$6:$J$1005,SMALL(IF(checklistPesertaKemenkeu!$AY$6:$AY$1005="Direkomendasikan",ROW($6:$1005)-5),371)),"")</f>
        <v/>
      </c>
      <c r="H372" t="str">
        <f t="array" aca="1" ref="H372" ca="1">IFERROR(IF(OR(INDEX(checklistPesertaKemenkeu!$L$6:$L$1005,SMALL(IF(checklistPesertaKemenkeu!$AY$6:$AY$1005="Direkomendasikan",ROW($6:$1005)-5),371))="",INDEX(checklistPesertaKemenkeu!$J$6:$J$1005,SMALL(IF(checklistPesertaKemenkeu!$AY$6:$AY$1005="Direkomendasikan",ROW($6:$1005)-5),371))=""),"",IF(AND(COUNTIF(INDIRECT("K_"&amp;MATCH(INDEX(checklistPesertaKemenkeu!$J$6:$J$1005,SMALL(IF(checklistPesertaKemenkeu!$AY$6:$AY$1005="Direkomendasikan",ROW($6:$1005)-5),371)),BidangList,0)),INDEX(checklistPesertaKemenkeu!$L$6:$L$1005,SMALL(IF(checklistPesertaKemenkeu!$AY$6:$AY$1005="Direkomendasikan",ROW($6:$1005)-5),371)))&gt;0,COUNTIF(INDIRECT("'KERTAS KERJA'!K"&amp;(SMALL(IF(checklistPesertaKemenkeu!$AY$6:$AY$1005="Direkomendasikan",ROW($6:$1005)-5),371)+5)&amp;":O"&amp;(SMALL(IF(checklistPesertaKemenkeu!$AY$6:$AY$1005="Direkomendasikan",ROW($6:$1005)-5),371)+5)),INDEX(checklistPesertaKemenkeu!$L$6:$L$1005,SMALL(IF(checklistPesertaKemenkeu!$AY$6:$AY$1005="Direkomendasikan",ROW($6:$1005)-5),371)))=1),IFERROR(VLOOKUP(INDEX(checklistPesertaKemenkeu!$L$6:$L$1005,SMALL(IF(checklistPesertaKemenkeu!$AY$6:$AY$1005="Direkomendasikan",ROW($6:$1005)-5),371)),KotaKode,2,0),"-"),"")),"")</f>
        <v/>
      </c>
      <c r="I372" t="str">
        <f t="array" aca="1" ref="I372" ca="1">IFERROR(IF(OR(INDEX(checklistPesertaKemenkeu!$M$6:$M$1005,SMALL(IF(checklistPesertaKemenkeu!$AY$6:$AY$1005="Direkomendasikan",ROW($6:$1005)-5),371))="",INDEX(checklistPesertaKemenkeu!$J$6:$J$1005,SMALL(IF(checklistPesertaKemenkeu!$AY$6:$AY$1005="Direkomendasikan",ROW($6:$1005)-5),371))=""),"",IF(AND(COUNTIF(INDIRECT("K_"&amp;MATCH(INDEX(checklistPesertaKemenkeu!$J$6:$J$1005,SMALL(IF(checklistPesertaKemenkeu!$AY$6:$AY$1005="Direkomendasikan",ROW($6:$1005)-5),371)),BidangList,0)),INDEX(checklistPesertaKemenkeu!$M$6:$M$1005,SMALL(IF(checklistPesertaKemenkeu!$AY$6:$AY$1005="Direkomendasikan",ROW($6:$1005)-5),371)))&gt;0,COUNTIF(INDIRECT("'KERTAS KERJA'!K"&amp;(SMALL(IF(checklistPesertaKemenkeu!$AY$6:$AY$1005="Direkomendasikan",ROW($6:$1005)-5),371)+5)&amp;":O"&amp;(SMALL(IF(checklistPesertaKemenkeu!$AY$6:$AY$1005="Direkomendasikan",ROW($6:$1005)-5),371)+5)),INDEX(checklistPesertaKemenkeu!$M$6:$M$1005,SMALL(IF(checklistPesertaKemenkeu!$AY$6:$AY$1005="Direkomendasikan",ROW($6:$1005)-5),371)))=1),IFERROR(VLOOKUP(INDEX(checklistPesertaKemenkeu!$M$6:$M$1005,SMALL(IF(checklistPesertaKemenkeu!$AY$6:$AY$1005="Direkomendasikan",ROW($6:$1005)-5),371)),KotaKode,2,0),"-"),"")),"")</f>
        <v/>
      </c>
      <c r="J372" t="str">
        <f t="array" aca="1" ref="J372" ca="1">IFERROR(IF(OR(INDEX(checklistPesertaKemenkeu!$N$6:$N$1005,SMALL(IF(checklistPesertaKemenkeu!$AY$6:$AY$1005="Direkomendasikan",ROW($6:$1005)-5),371))="",INDEX(checklistPesertaKemenkeu!$J$6:$J$1005,SMALL(IF(checklistPesertaKemenkeu!$AY$6:$AY$1005="Direkomendasikan",ROW($6:$1005)-5),371))=""),"",IF(AND(COUNTIF(INDIRECT("K_"&amp;MATCH(INDEX(checklistPesertaKemenkeu!$J$6:$J$1005,SMALL(IF(checklistPesertaKemenkeu!$AY$6:$AY$1005="Direkomendasikan",ROW($6:$1005)-5),371)),BidangList,0)),INDEX(checklistPesertaKemenkeu!$N$6:$N$1005,SMALL(IF(checklistPesertaKemenkeu!$AY$6:$AY$1005="Direkomendasikan",ROW($6:$1005)-5),371)))&gt;0,COUNTIF(INDIRECT("'KERTAS KERJA'!K"&amp;(SMALL(IF(checklistPesertaKemenkeu!$AY$6:$AY$1005="Direkomendasikan",ROW($6:$1005)-5),371)+5)&amp;":O"&amp;(SMALL(IF(checklistPesertaKemenkeu!$AY$6:$AY$1005="Direkomendasikan",ROW($6:$1005)-5),371)+5)),INDEX(checklistPesertaKemenkeu!$N$6:$N$1005,SMALL(IF(checklistPesertaKemenkeu!$AY$6:$AY$1005="Direkomendasikan",ROW($6:$1005)-5),371)))=1),IFERROR(VLOOKUP(INDEX(checklistPesertaKemenkeu!$N$6:$N$1005,SMALL(IF(checklistPesertaKemenkeu!$AY$6:$AY$1005="Direkomendasikan",ROW($6:$1005)-5),371)),KotaKode,2,0),"-"),"")),"")</f>
        <v/>
      </c>
      <c r="K372" t="str">
        <f t="array" aca="1" ref="K372" ca="1">IFERROR(IF(OR(INDEX(checklistPesertaKemenkeu!$O$6:$O$1005,SMALL(IF(checklistPesertaKemenkeu!$AY$6:$AY$1005="Direkomendasikan",ROW($6:$1005)-5),371))="",INDEX(checklistPesertaKemenkeu!$J$6:$J$1005,SMALL(IF(checklistPesertaKemenkeu!$AY$6:$AY$1005="Direkomendasikan",ROW($6:$1005)-5),371))=""),"",IF(AND(COUNTIF(INDIRECT("K_"&amp;MATCH(INDEX(checklistPesertaKemenkeu!$J$6:$J$1005,SMALL(IF(checklistPesertaKemenkeu!$AY$6:$AY$1005="Direkomendasikan",ROW($6:$1005)-5),371)),BidangList,0)),INDEX(checklistPesertaKemenkeu!$O$6:$O$1005,SMALL(IF(checklistPesertaKemenkeu!$AY$6:$AY$1005="Direkomendasikan",ROW($6:$1005)-5),371)))&gt;0,COUNTIF(INDIRECT("'KERTAS KERJA'!K"&amp;(SMALL(IF(checklistPesertaKemenkeu!$AY$6:$AY$1005="Direkomendasikan",ROW($6:$1005)-5),371)+5)&amp;":O"&amp;(SMALL(IF(checklistPesertaKemenkeu!$AY$6:$AY$1005="Direkomendasikan",ROW($6:$1005)-5),371)+5)),INDEX(checklistPesertaKemenkeu!$O$6:$O$1005,SMALL(IF(checklistPesertaKemenkeu!$AY$6:$AY$1005="Direkomendasikan",ROW($6:$1005)-5),371)))=1),IFERROR(VLOOKUP(INDEX(checklistPesertaKemenkeu!$O$6:$O$1005,SMALL(IF(checklistPesertaKemenkeu!$AY$6:$AY$1005="Direkomendasikan",ROW($6:$1005)-5),371)),KotaKode,2,0),"-"),"")),"")</f>
        <v/>
      </c>
      <c r="L372" t="str">
        <f t="array" aca="1" ref="L372" ca="1">IFERROR(IF(OR(INDEX(checklistPesertaKemenkeu!$P$6:$P$1005,SMALL(IF(checklistPesertaKemenkeu!$AY$6:$AY$1005="Direkomendasikan",ROW($6:$1005)-5),371))="",INDEX(checklistPesertaKemenkeu!$J$6:$J$1005,SMALL(IF(checklistPesertaKemenkeu!$AY$6:$AY$1005="Direkomendasikan",ROW($6:$1005)-5),371))=""),"",IF(AND(COUNTIF(INDIRECT("K_"&amp;MATCH(INDEX(checklistPesertaKemenkeu!$J$6:$J$1005,SMALL(IF(checklistPesertaKemenkeu!$AY$6:$AY$1005="Direkomendasikan",ROW($6:$1005)-5),371)),BidangList,0)),INDEX(checklistPesertaKemenkeu!$P$6:$P$1005,SMALL(IF(checklistPesertaKemenkeu!$AY$6:$AY$1005="Direkomendasikan",ROW($6:$1005)-5),371)))&gt;0,COUNTIF(INDIRECT("'KERTAS KERJA'!K"&amp;(SMALL(IF(checklistPesertaKemenkeu!$AY$6:$AY$1005="Direkomendasikan",ROW($6:$1005)-5),371)+5)&amp;":O"&amp;(SMALL(IF(checklistPesertaKemenkeu!$AY$6:$AY$1005="Direkomendasikan",ROW($6:$1005)-5),371)+5)),INDEX(checklistPesertaKemenkeu!$P$6:$P$1005,SMALL(IF(checklistPesertaKemenkeu!$AY$6:$AY$1005="Direkomendasikan",ROW($6:$1005)-5),371)))=1),IFERROR(VLOOKUP(INDEX(checklistPesertaKemenkeu!$P$6:$P$1005,SMALL(IF(checklistPesertaKemenkeu!$AY$6:$AY$1005="Direkomendasikan",ROW($6:$1005)-5),371)),KotaKode,2,0),"-"),"")),"")</f>
        <v/>
      </c>
    </row>
    <row r="373" spans="1:12" ht="15" customHeight="1" x14ac:dyDescent="0.2">
      <c r="A373" t="str">
        <f t="shared" si="5"/>
        <v/>
      </c>
      <c r="B373" t="str">
        <v/>
      </c>
      <c r="C373" s="40" t="str">
        <f t="array" ref="C373">IFERROR(INDEX(checklistPesertaKemenkeu!$F$6:$F$1005,SMALL(IF(checklistPesertaKemenkeu!$AY$6:$AY$1005="Direkomendasikan",ROW($6:$1005)-5),372)),"")</f>
        <v/>
      </c>
      <c r="D373" t="str">
        <f t="array" ref="D373">IFERROR(INDEX(checklistPesertaKemenkeu!$G$6:$G$1005,SMALL(IF(checklistPesertaKemenkeu!$AY$6:$AY$1005="Direkomendasikan",ROW($6:$1005)-5),372)),"")</f>
        <v/>
      </c>
      <c r="E373" t="str">
        <f t="array" ref="E373">IFERROR(INDEX(checklistPesertaKemenkeu!$H$6:$H$1005,SMALL(IF(checklistPesertaKemenkeu!$AY$6:$AY$1005="Direkomendasikan",ROW($6:$1005)-5),372)),"")</f>
        <v/>
      </c>
      <c r="F373" t="str">
        <f t="array" ref="F373">IFERROR(INDEX(checklistPesertaKemenkeu!$I$6:$I$1005,SMALL(IF(checklistPesertaKemenkeu!$AY$6:$AY$1005="Direkomendasikan",ROW($6:$1005)-5),372)),"")</f>
        <v/>
      </c>
      <c r="G373" t="str">
        <f t="array" ref="G373">IFERROR(INDEX(checklistPesertaKemenkeu!$J$6:$J$1005,SMALL(IF(checklistPesertaKemenkeu!$AY$6:$AY$1005="Direkomendasikan",ROW($6:$1005)-5),372)),"")</f>
        <v/>
      </c>
      <c r="H373" t="str">
        <f t="array" aca="1" ref="H373" ca="1">IFERROR(IF(OR(INDEX(checklistPesertaKemenkeu!$L$6:$L$1005,SMALL(IF(checklistPesertaKemenkeu!$AY$6:$AY$1005="Direkomendasikan",ROW($6:$1005)-5),372))="",INDEX(checklistPesertaKemenkeu!$J$6:$J$1005,SMALL(IF(checklistPesertaKemenkeu!$AY$6:$AY$1005="Direkomendasikan",ROW($6:$1005)-5),372))=""),"",IF(AND(COUNTIF(INDIRECT("K_"&amp;MATCH(INDEX(checklistPesertaKemenkeu!$J$6:$J$1005,SMALL(IF(checklistPesertaKemenkeu!$AY$6:$AY$1005="Direkomendasikan",ROW($6:$1005)-5),372)),BidangList,0)),INDEX(checklistPesertaKemenkeu!$L$6:$L$1005,SMALL(IF(checklistPesertaKemenkeu!$AY$6:$AY$1005="Direkomendasikan",ROW($6:$1005)-5),372)))&gt;0,COUNTIF(INDIRECT("'KERTAS KERJA'!K"&amp;(SMALL(IF(checklistPesertaKemenkeu!$AY$6:$AY$1005="Direkomendasikan",ROW($6:$1005)-5),372)+5)&amp;":O"&amp;(SMALL(IF(checklistPesertaKemenkeu!$AY$6:$AY$1005="Direkomendasikan",ROW($6:$1005)-5),372)+5)),INDEX(checklistPesertaKemenkeu!$L$6:$L$1005,SMALL(IF(checklistPesertaKemenkeu!$AY$6:$AY$1005="Direkomendasikan",ROW($6:$1005)-5),372)))=1),IFERROR(VLOOKUP(INDEX(checklistPesertaKemenkeu!$L$6:$L$1005,SMALL(IF(checklistPesertaKemenkeu!$AY$6:$AY$1005="Direkomendasikan",ROW($6:$1005)-5),372)),KotaKode,2,0),"-"),"")),"")</f>
        <v/>
      </c>
      <c r="I373" t="str">
        <f t="array" aca="1" ref="I373" ca="1">IFERROR(IF(OR(INDEX(checklistPesertaKemenkeu!$M$6:$M$1005,SMALL(IF(checklistPesertaKemenkeu!$AY$6:$AY$1005="Direkomendasikan",ROW($6:$1005)-5),372))="",INDEX(checklistPesertaKemenkeu!$J$6:$J$1005,SMALL(IF(checklistPesertaKemenkeu!$AY$6:$AY$1005="Direkomendasikan",ROW($6:$1005)-5),372))=""),"",IF(AND(COUNTIF(INDIRECT("K_"&amp;MATCH(INDEX(checklistPesertaKemenkeu!$J$6:$J$1005,SMALL(IF(checklistPesertaKemenkeu!$AY$6:$AY$1005="Direkomendasikan",ROW($6:$1005)-5),372)),BidangList,0)),INDEX(checklistPesertaKemenkeu!$M$6:$M$1005,SMALL(IF(checklistPesertaKemenkeu!$AY$6:$AY$1005="Direkomendasikan",ROW($6:$1005)-5),372)))&gt;0,COUNTIF(INDIRECT("'KERTAS KERJA'!K"&amp;(SMALL(IF(checklistPesertaKemenkeu!$AY$6:$AY$1005="Direkomendasikan",ROW($6:$1005)-5),372)+5)&amp;":O"&amp;(SMALL(IF(checklistPesertaKemenkeu!$AY$6:$AY$1005="Direkomendasikan",ROW($6:$1005)-5),372)+5)),INDEX(checklistPesertaKemenkeu!$M$6:$M$1005,SMALL(IF(checklistPesertaKemenkeu!$AY$6:$AY$1005="Direkomendasikan",ROW($6:$1005)-5),372)))=1),IFERROR(VLOOKUP(INDEX(checklistPesertaKemenkeu!$M$6:$M$1005,SMALL(IF(checklistPesertaKemenkeu!$AY$6:$AY$1005="Direkomendasikan",ROW($6:$1005)-5),372)),KotaKode,2,0),"-"),"")),"")</f>
        <v/>
      </c>
      <c r="J373" t="str">
        <f t="array" aca="1" ref="J373" ca="1">IFERROR(IF(OR(INDEX(checklistPesertaKemenkeu!$N$6:$N$1005,SMALL(IF(checklistPesertaKemenkeu!$AY$6:$AY$1005="Direkomendasikan",ROW($6:$1005)-5),372))="",INDEX(checklistPesertaKemenkeu!$J$6:$J$1005,SMALL(IF(checklistPesertaKemenkeu!$AY$6:$AY$1005="Direkomendasikan",ROW($6:$1005)-5),372))=""),"",IF(AND(COUNTIF(INDIRECT("K_"&amp;MATCH(INDEX(checklistPesertaKemenkeu!$J$6:$J$1005,SMALL(IF(checklistPesertaKemenkeu!$AY$6:$AY$1005="Direkomendasikan",ROW($6:$1005)-5),372)),BidangList,0)),INDEX(checklistPesertaKemenkeu!$N$6:$N$1005,SMALL(IF(checklistPesertaKemenkeu!$AY$6:$AY$1005="Direkomendasikan",ROW($6:$1005)-5),372)))&gt;0,COUNTIF(INDIRECT("'KERTAS KERJA'!K"&amp;(SMALL(IF(checklistPesertaKemenkeu!$AY$6:$AY$1005="Direkomendasikan",ROW($6:$1005)-5),372)+5)&amp;":O"&amp;(SMALL(IF(checklistPesertaKemenkeu!$AY$6:$AY$1005="Direkomendasikan",ROW($6:$1005)-5),372)+5)),INDEX(checklistPesertaKemenkeu!$N$6:$N$1005,SMALL(IF(checklistPesertaKemenkeu!$AY$6:$AY$1005="Direkomendasikan",ROW($6:$1005)-5),372)))=1),IFERROR(VLOOKUP(INDEX(checklistPesertaKemenkeu!$N$6:$N$1005,SMALL(IF(checklistPesertaKemenkeu!$AY$6:$AY$1005="Direkomendasikan",ROW($6:$1005)-5),372)),KotaKode,2,0),"-"),"")),"")</f>
        <v/>
      </c>
      <c r="K373" t="str">
        <f t="array" aca="1" ref="K373" ca="1">IFERROR(IF(OR(INDEX(checklistPesertaKemenkeu!$O$6:$O$1005,SMALL(IF(checklistPesertaKemenkeu!$AY$6:$AY$1005="Direkomendasikan",ROW($6:$1005)-5),372))="",INDEX(checklistPesertaKemenkeu!$J$6:$J$1005,SMALL(IF(checklistPesertaKemenkeu!$AY$6:$AY$1005="Direkomendasikan",ROW($6:$1005)-5),372))=""),"",IF(AND(COUNTIF(INDIRECT("K_"&amp;MATCH(INDEX(checklistPesertaKemenkeu!$J$6:$J$1005,SMALL(IF(checklistPesertaKemenkeu!$AY$6:$AY$1005="Direkomendasikan",ROW($6:$1005)-5),372)),BidangList,0)),INDEX(checklistPesertaKemenkeu!$O$6:$O$1005,SMALL(IF(checklistPesertaKemenkeu!$AY$6:$AY$1005="Direkomendasikan",ROW($6:$1005)-5),372)))&gt;0,COUNTIF(INDIRECT("'KERTAS KERJA'!K"&amp;(SMALL(IF(checklistPesertaKemenkeu!$AY$6:$AY$1005="Direkomendasikan",ROW($6:$1005)-5),372)+5)&amp;":O"&amp;(SMALL(IF(checklistPesertaKemenkeu!$AY$6:$AY$1005="Direkomendasikan",ROW($6:$1005)-5),372)+5)),INDEX(checklistPesertaKemenkeu!$O$6:$O$1005,SMALL(IF(checklistPesertaKemenkeu!$AY$6:$AY$1005="Direkomendasikan",ROW($6:$1005)-5),372)))=1),IFERROR(VLOOKUP(INDEX(checklistPesertaKemenkeu!$O$6:$O$1005,SMALL(IF(checklistPesertaKemenkeu!$AY$6:$AY$1005="Direkomendasikan",ROW($6:$1005)-5),372)),KotaKode,2,0),"-"),"")),"")</f>
        <v/>
      </c>
      <c r="L373" t="str">
        <f t="array" aca="1" ref="L373" ca="1">IFERROR(IF(OR(INDEX(checklistPesertaKemenkeu!$P$6:$P$1005,SMALL(IF(checklistPesertaKemenkeu!$AY$6:$AY$1005="Direkomendasikan",ROW($6:$1005)-5),372))="",INDEX(checklistPesertaKemenkeu!$J$6:$J$1005,SMALL(IF(checklistPesertaKemenkeu!$AY$6:$AY$1005="Direkomendasikan",ROW($6:$1005)-5),372))=""),"",IF(AND(COUNTIF(INDIRECT("K_"&amp;MATCH(INDEX(checklistPesertaKemenkeu!$J$6:$J$1005,SMALL(IF(checklistPesertaKemenkeu!$AY$6:$AY$1005="Direkomendasikan",ROW($6:$1005)-5),372)),BidangList,0)),INDEX(checklistPesertaKemenkeu!$P$6:$P$1005,SMALL(IF(checklistPesertaKemenkeu!$AY$6:$AY$1005="Direkomendasikan",ROW($6:$1005)-5),372)))&gt;0,COUNTIF(INDIRECT("'KERTAS KERJA'!K"&amp;(SMALL(IF(checklistPesertaKemenkeu!$AY$6:$AY$1005="Direkomendasikan",ROW($6:$1005)-5),372)+5)&amp;":O"&amp;(SMALL(IF(checklistPesertaKemenkeu!$AY$6:$AY$1005="Direkomendasikan",ROW($6:$1005)-5),372)+5)),INDEX(checklistPesertaKemenkeu!$P$6:$P$1005,SMALL(IF(checklistPesertaKemenkeu!$AY$6:$AY$1005="Direkomendasikan",ROW($6:$1005)-5),372)))=1),IFERROR(VLOOKUP(INDEX(checklistPesertaKemenkeu!$P$6:$P$1005,SMALL(IF(checklistPesertaKemenkeu!$AY$6:$AY$1005="Direkomendasikan",ROW($6:$1005)-5),372)),KotaKode,2,0),"-"),"")),"")</f>
        <v/>
      </c>
    </row>
    <row r="374" spans="1:12" ht="15" customHeight="1" x14ac:dyDescent="0.2">
      <c r="A374" t="str">
        <f t="shared" si="5"/>
        <v/>
      </c>
      <c r="B374" t="str">
        <v/>
      </c>
      <c r="C374" s="40" t="str">
        <f t="array" ref="C374">IFERROR(INDEX(checklistPesertaKemenkeu!$F$6:$F$1005,SMALL(IF(checklistPesertaKemenkeu!$AY$6:$AY$1005="Direkomendasikan",ROW($6:$1005)-5),373)),"")</f>
        <v/>
      </c>
      <c r="D374" t="str">
        <f t="array" ref="D374">IFERROR(INDEX(checklistPesertaKemenkeu!$G$6:$G$1005,SMALL(IF(checklistPesertaKemenkeu!$AY$6:$AY$1005="Direkomendasikan",ROW($6:$1005)-5),373)),"")</f>
        <v/>
      </c>
      <c r="E374" t="str">
        <f t="array" ref="E374">IFERROR(INDEX(checklistPesertaKemenkeu!$H$6:$H$1005,SMALL(IF(checklistPesertaKemenkeu!$AY$6:$AY$1005="Direkomendasikan",ROW($6:$1005)-5),373)),"")</f>
        <v/>
      </c>
      <c r="F374" t="str">
        <f t="array" ref="F374">IFERROR(INDEX(checklistPesertaKemenkeu!$I$6:$I$1005,SMALL(IF(checklistPesertaKemenkeu!$AY$6:$AY$1005="Direkomendasikan",ROW($6:$1005)-5),373)),"")</f>
        <v/>
      </c>
      <c r="G374" t="str">
        <f t="array" ref="G374">IFERROR(INDEX(checklistPesertaKemenkeu!$J$6:$J$1005,SMALL(IF(checklistPesertaKemenkeu!$AY$6:$AY$1005="Direkomendasikan",ROW($6:$1005)-5),373)),"")</f>
        <v/>
      </c>
      <c r="H374" t="str">
        <f t="array" aca="1" ref="H374" ca="1">IFERROR(IF(OR(INDEX(checklistPesertaKemenkeu!$L$6:$L$1005,SMALL(IF(checklistPesertaKemenkeu!$AY$6:$AY$1005="Direkomendasikan",ROW($6:$1005)-5),373))="",INDEX(checklistPesertaKemenkeu!$J$6:$J$1005,SMALL(IF(checklistPesertaKemenkeu!$AY$6:$AY$1005="Direkomendasikan",ROW($6:$1005)-5),373))=""),"",IF(AND(COUNTIF(INDIRECT("K_"&amp;MATCH(INDEX(checklistPesertaKemenkeu!$J$6:$J$1005,SMALL(IF(checklistPesertaKemenkeu!$AY$6:$AY$1005="Direkomendasikan",ROW($6:$1005)-5),373)),BidangList,0)),INDEX(checklistPesertaKemenkeu!$L$6:$L$1005,SMALL(IF(checklistPesertaKemenkeu!$AY$6:$AY$1005="Direkomendasikan",ROW($6:$1005)-5),373)))&gt;0,COUNTIF(INDIRECT("'KERTAS KERJA'!K"&amp;(SMALL(IF(checklistPesertaKemenkeu!$AY$6:$AY$1005="Direkomendasikan",ROW($6:$1005)-5),373)+5)&amp;":O"&amp;(SMALL(IF(checklistPesertaKemenkeu!$AY$6:$AY$1005="Direkomendasikan",ROW($6:$1005)-5),373)+5)),INDEX(checklistPesertaKemenkeu!$L$6:$L$1005,SMALL(IF(checklistPesertaKemenkeu!$AY$6:$AY$1005="Direkomendasikan",ROW($6:$1005)-5),373)))=1),IFERROR(VLOOKUP(INDEX(checklistPesertaKemenkeu!$L$6:$L$1005,SMALL(IF(checklistPesertaKemenkeu!$AY$6:$AY$1005="Direkomendasikan",ROW($6:$1005)-5),373)),KotaKode,2,0),"-"),"")),"")</f>
        <v/>
      </c>
      <c r="I374" t="str">
        <f t="array" aca="1" ref="I374" ca="1">IFERROR(IF(OR(INDEX(checklistPesertaKemenkeu!$M$6:$M$1005,SMALL(IF(checklistPesertaKemenkeu!$AY$6:$AY$1005="Direkomendasikan",ROW($6:$1005)-5),373))="",INDEX(checklistPesertaKemenkeu!$J$6:$J$1005,SMALL(IF(checklistPesertaKemenkeu!$AY$6:$AY$1005="Direkomendasikan",ROW($6:$1005)-5),373))=""),"",IF(AND(COUNTIF(INDIRECT("K_"&amp;MATCH(INDEX(checklistPesertaKemenkeu!$J$6:$J$1005,SMALL(IF(checklistPesertaKemenkeu!$AY$6:$AY$1005="Direkomendasikan",ROW($6:$1005)-5),373)),BidangList,0)),INDEX(checklistPesertaKemenkeu!$M$6:$M$1005,SMALL(IF(checklistPesertaKemenkeu!$AY$6:$AY$1005="Direkomendasikan",ROW($6:$1005)-5),373)))&gt;0,COUNTIF(INDIRECT("'KERTAS KERJA'!K"&amp;(SMALL(IF(checklistPesertaKemenkeu!$AY$6:$AY$1005="Direkomendasikan",ROW($6:$1005)-5),373)+5)&amp;":O"&amp;(SMALL(IF(checklistPesertaKemenkeu!$AY$6:$AY$1005="Direkomendasikan",ROW($6:$1005)-5),373)+5)),INDEX(checklistPesertaKemenkeu!$M$6:$M$1005,SMALL(IF(checklistPesertaKemenkeu!$AY$6:$AY$1005="Direkomendasikan",ROW($6:$1005)-5),373)))=1),IFERROR(VLOOKUP(INDEX(checklistPesertaKemenkeu!$M$6:$M$1005,SMALL(IF(checklistPesertaKemenkeu!$AY$6:$AY$1005="Direkomendasikan",ROW($6:$1005)-5),373)),KotaKode,2,0),"-"),"")),"")</f>
        <v/>
      </c>
      <c r="J374" t="str">
        <f t="array" aca="1" ref="J374" ca="1">IFERROR(IF(OR(INDEX(checklistPesertaKemenkeu!$N$6:$N$1005,SMALL(IF(checklistPesertaKemenkeu!$AY$6:$AY$1005="Direkomendasikan",ROW($6:$1005)-5),373))="",INDEX(checklistPesertaKemenkeu!$J$6:$J$1005,SMALL(IF(checklistPesertaKemenkeu!$AY$6:$AY$1005="Direkomendasikan",ROW($6:$1005)-5),373))=""),"",IF(AND(COUNTIF(INDIRECT("K_"&amp;MATCH(INDEX(checklistPesertaKemenkeu!$J$6:$J$1005,SMALL(IF(checklistPesertaKemenkeu!$AY$6:$AY$1005="Direkomendasikan",ROW($6:$1005)-5),373)),BidangList,0)),INDEX(checklistPesertaKemenkeu!$N$6:$N$1005,SMALL(IF(checklistPesertaKemenkeu!$AY$6:$AY$1005="Direkomendasikan",ROW($6:$1005)-5),373)))&gt;0,COUNTIF(INDIRECT("'KERTAS KERJA'!K"&amp;(SMALL(IF(checklistPesertaKemenkeu!$AY$6:$AY$1005="Direkomendasikan",ROW($6:$1005)-5),373)+5)&amp;":O"&amp;(SMALL(IF(checklistPesertaKemenkeu!$AY$6:$AY$1005="Direkomendasikan",ROW($6:$1005)-5),373)+5)),INDEX(checklistPesertaKemenkeu!$N$6:$N$1005,SMALL(IF(checklistPesertaKemenkeu!$AY$6:$AY$1005="Direkomendasikan",ROW($6:$1005)-5),373)))=1),IFERROR(VLOOKUP(INDEX(checklistPesertaKemenkeu!$N$6:$N$1005,SMALL(IF(checklistPesertaKemenkeu!$AY$6:$AY$1005="Direkomendasikan",ROW($6:$1005)-5),373)),KotaKode,2,0),"-"),"")),"")</f>
        <v/>
      </c>
      <c r="K374" t="str">
        <f t="array" aca="1" ref="K374" ca="1">IFERROR(IF(OR(INDEX(checklistPesertaKemenkeu!$O$6:$O$1005,SMALL(IF(checklistPesertaKemenkeu!$AY$6:$AY$1005="Direkomendasikan",ROW($6:$1005)-5),373))="",INDEX(checklistPesertaKemenkeu!$J$6:$J$1005,SMALL(IF(checklistPesertaKemenkeu!$AY$6:$AY$1005="Direkomendasikan",ROW($6:$1005)-5),373))=""),"",IF(AND(COUNTIF(INDIRECT("K_"&amp;MATCH(INDEX(checklistPesertaKemenkeu!$J$6:$J$1005,SMALL(IF(checklistPesertaKemenkeu!$AY$6:$AY$1005="Direkomendasikan",ROW($6:$1005)-5),373)),BidangList,0)),INDEX(checklistPesertaKemenkeu!$O$6:$O$1005,SMALL(IF(checklistPesertaKemenkeu!$AY$6:$AY$1005="Direkomendasikan",ROW($6:$1005)-5),373)))&gt;0,COUNTIF(INDIRECT("'KERTAS KERJA'!K"&amp;(SMALL(IF(checklistPesertaKemenkeu!$AY$6:$AY$1005="Direkomendasikan",ROW($6:$1005)-5),373)+5)&amp;":O"&amp;(SMALL(IF(checklistPesertaKemenkeu!$AY$6:$AY$1005="Direkomendasikan",ROW($6:$1005)-5),373)+5)),INDEX(checklistPesertaKemenkeu!$O$6:$O$1005,SMALL(IF(checklistPesertaKemenkeu!$AY$6:$AY$1005="Direkomendasikan",ROW($6:$1005)-5),373)))=1),IFERROR(VLOOKUP(INDEX(checklistPesertaKemenkeu!$O$6:$O$1005,SMALL(IF(checklistPesertaKemenkeu!$AY$6:$AY$1005="Direkomendasikan",ROW($6:$1005)-5),373)),KotaKode,2,0),"-"),"")),"")</f>
        <v/>
      </c>
      <c r="L374" t="str">
        <f t="array" aca="1" ref="L374" ca="1">IFERROR(IF(OR(INDEX(checklistPesertaKemenkeu!$P$6:$P$1005,SMALL(IF(checklistPesertaKemenkeu!$AY$6:$AY$1005="Direkomendasikan",ROW($6:$1005)-5),373))="",INDEX(checklistPesertaKemenkeu!$J$6:$J$1005,SMALL(IF(checklistPesertaKemenkeu!$AY$6:$AY$1005="Direkomendasikan",ROW($6:$1005)-5),373))=""),"",IF(AND(COUNTIF(INDIRECT("K_"&amp;MATCH(INDEX(checklistPesertaKemenkeu!$J$6:$J$1005,SMALL(IF(checklistPesertaKemenkeu!$AY$6:$AY$1005="Direkomendasikan",ROW($6:$1005)-5),373)),BidangList,0)),INDEX(checklistPesertaKemenkeu!$P$6:$P$1005,SMALL(IF(checklistPesertaKemenkeu!$AY$6:$AY$1005="Direkomendasikan",ROW($6:$1005)-5),373)))&gt;0,COUNTIF(INDIRECT("'KERTAS KERJA'!K"&amp;(SMALL(IF(checklistPesertaKemenkeu!$AY$6:$AY$1005="Direkomendasikan",ROW($6:$1005)-5),373)+5)&amp;":O"&amp;(SMALL(IF(checklistPesertaKemenkeu!$AY$6:$AY$1005="Direkomendasikan",ROW($6:$1005)-5),373)+5)),INDEX(checklistPesertaKemenkeu!$P$6:$P$1005,SMALL(IF(checklistPesertaKemenkeu!$AY$6:$AY$1005="Direkomendasikan",ROW($6:$1005)-5),373)))=1),IFERROR(VLOOKUP(INDEX(checklistPesertaKemenkeu!$P$6:$P$1005,SMALL(IF(checklistPesertaKemenkeu!$AY$6:$AY$1005="Direkomendasikan",ROW($6:$1005)-5),373)),KotaKode,2,0),"-"),"")),"")</f>
        <v/>
      </c>
    </row>
    <row r="375" spans="1:12" ht="15" customHeight="1" x14ac:dyDescent="0.2">
      <c r="A375" t="str">
        <f t="shared" si="5"/>
        <v/>
      </c>
      <c r="B375" t="str">
        <v/>
      </c>
      <c r="C375" s="40" t="str">
        <f t="array" ref="C375">IFERROR(INDEX(checklistPesertaKemenkeu!$F$6:$F$1005,SMALL(IF(checklistPesertaKemenkeu!$AY$6:$AY$1005="Direkomendasikan",ROW($6:$1005)-5),374)),"")</f>
        <v/>
      </c>
      <c r="D375" t="str">
        <f t="array" ref="D375">IFERROR(INDEX(checklistPesertaKemenkeu!$G$6:$G$1005,SMALL(IF(checklistPesertaKemenkeu!$AY$6:$AY$1005="Direkomendasikan",ROW($6:$1005)-5),374)),"")</f>
        <v/>
      </c>
      <c r="E375" t="str">
        <f t="array" ref="E375">IFERROR(INDEX(checklistPesertaKemenkeu!$H$6:$H$1005,SMALL(IF(checklistPesertaKemenkeu!$AY$6:$AY$1005="Direkomendasikan",ROW($6:$1005)-5),374)),"")</f>
        <v/>
      </c>
      <c r="F375" t="str">
        <f t="array" ref="F375">IFERROR(INDEX(checklistPesertaKemenkeu!$I$6:$I$1005,SMALL(IF(checklistPesertaKemenkeu!$AY$6:$AY$1005="Direkomendasikan",ROW($6:$1005)-5),374)),"")</f>
        <v/>
      </c>
      <c r="G375" t="str">
        <f t="array" ref="G375">IFERROR(INDEX(checklistPesertaKemenkeu!$J$6:$J$1005,SMALL(IF(checklistPesertaKemenkeu!$AY$6:$AY$1005="Direkomendasikan",ROW($6:$1005)-5),374)),"")</f>
        <v/>
      </c>
      <c r="H375" t="str">
        <f t="array" aca="1" ref="H375" ca="1">IFERROR(IF(OR(INDEX(checklistPesertaKemenkeu!$L$6:$L$1005,SMALL(IF(checklistPesertaKemenkeu!$AY$6:$AY$1005="Direkomendasikan",ROW($6:$1005)-5),374))="",INDEX(checklistPesertaKemenkeu!$J$6:$J$1005,SMALL(IF(checklistPesertaKemenkeu!$AY$6:$AY$1005="Direkomendasikan",ROW($6:$1005)-5),374))=""),"",IF(AND(COUNTIF(INDIRECT("K_"&amp;MATCH(INDEX(checklistPesertaKemenkeu!$J$6:$J$1005,SMALL(IF(checklistPesertaKemenkeu!$AY$6:$AY$1005="Direkomendasikan",ROW($6:$1005)-5),374)),BidangList,0)),INDEX(checklistPesertaKemenkeu!$L$6:$L$1005,SMALL(IF(checklistPesertaKemenkeu!$AY$6:$AY$1005="Direkomendasikan",ROW($6:$1005)-5),374)))&gt;0,COUNTIF(INDIRECT("'KERTAS KERJA'!K"&amp;(SMALL(IF(checklistPesertaKemenkeu!$AY$6:$AY$1005="Direkomendasikan",ROW($6:$1005)-5),374)+5)&amp;":O"&amp;(SMALL(IF(checklistPesertaKemenkeu!$AY$6:$AY$1005="Direkomendasikan",ROW($6:$1005)-5),374)+5)),INDEX(checklistPesertaKemenkeu!$L$6:$L$1005,SMALL(IF(checklistPesertaKemenkeu!$AY$6:$AY$1005="Direkomendasikan",ROW($6:$1005)-5),374)))=1),IFERROR(VLOOKUP(INDEX(checklistPesertaKemenkeu!$L$6:$L$1005,SMALL(IF(checklistPesertaKemenkeu!$AY$6:$AY$1005="Direkomendasikan",ROW($6:$1005)-5),374)),KotaKode,2,0),"-"),"")),"")</f>
        <v/>
      </c>
      <c r="I375" t="str">
        <f t="array" aca="1" ref="I375" ca="1">IFERROR(IF(OR(INDEX(checklistPesertaKemenkeu!$M$6:$M$1005,SMALL(IF(checklistPesertaKemenkeu!$AY$6:$AY$1005="Direkomendasikan",ROW($6:$1005)-5),374))="",INDEX(checklistPesertaKemenkeu!$J$6:$J$1005,SMALL(IF(checklistPesertaKemenkeu!$AY$6:$AY$1005="Direkomendasikan",ROW($6:$1005)-5),374))=""),"",IF(AND(COUNTIF(INDIRECT("K_"&amp;MATCH(INDEX(checklistPesertaKemenkeu!$J$6:$J$1005,SMALL(IF(checklistPesertaKemenkeu!$AY$6:$AY$1005="Direkomendasikan",ROW($6:$1005)-5),374)),BidangList,0)),INDEX(checklistPesertaKemenkeu!$M$6:$M$1005,SMALL(IF(checklistPesertaKemenkeu!$AY$6:$AY$1005="Direkomendasikan",ROW($6:$1005)-5),374)))&gt;0,COUNTIF(INDIRECT("'KERTAS KERJA'!K"&amp;(SMALL(IF(checklistPesertaKemenkeu!$AY$6:$AY$1005="Direkomendasikan",ROW($6:$1005)-5),374)+5)&amp;":O"&amp;(SMALL(IF(checklistPesertaKemenkeu!$AY$6:$AY$1005="Direkomendasikan",ROW($6:$1005)-5),374)+5)),INDEX(checklistPesertaKemenkeu!$M$6:$M$1005,SMALL(IF(checklistPesertaKemenkeu!$AY$6:$AY$1005="Direkomendasikan",ROW($6:$1005)-5),374)))=1),IFERROR(VLOOKUP(INDEX(checklistPesertaKemenkeu!$M$6:$M$1005,SMALL(IF(checklistPesertaKemenkeu!$AY$6:$AY$1005="Direkomendasikan",ROW($6:$1005)-5),374)),KotaKode,2,0),"-"),"")),"")</f>
        <v/>
      </c>
      <c r="J375" t="str">
        <f t="array" aca="1" ref="J375" ca="1">IFERROR(IF(OR(INDEX(checklistPesertaKemenkeu!$N$6:$N$1005,SMALL(IF(checklistPesertaKemenkeu!$AY$6:$AY$1005="Direkomendasikan",ROW($6:$1005)-5),374))="",INDEX(checklistPesertaKemenkeu!$J$6:$J$1005,SMALL(IF(checklistPesertaKemenkeu!$AY$6:$AY$1005="Direkomendasikan",ROW($6:$1005)-5),374))=""),"",IF(AND(COUNTIF(INDIRECT("K_"&amp;MATCH(INDEX(checklistPesertaKemenkeu!$J$6:$J$1005,SMALL(IF(checklistPesertaKemenkeu!$AY$6:$AY$1005="Direkomendasikan",ROW($6:$1005)-5),374)),BidangList,0)),INDEX(checklistPesertaKemenkeu!$N$6:$N$1005,SMALL(IF(checklistPesertaKemenkeu!$AY$6:$AY$1005="Direkomendasikan",ROW($6:$1005)-5),374)))&gt;0,COUNTIF(INDIRECT("'KERTAS KERJA'!K"&amp;(SMALL(IF(checklistPesertaKemenkeu!$AY$6:$AY$1005="Direkomendasikan",ROW($6:$1005)-5),374)+5)&amp;":O"&amp;(SMALL(IF(checklistPesertaKemenkeu!$AY$6:$AY$1005="Direkomendasikan",ROW($6:$1005)-5),374)+5)),INDEX(checklistPesertaKemenkeu!$N$6:$N$1005,SMALL(IF(checklistPesertaKemenkeu!$AY$6:$AY$1005="Direkomendasikan",ROW($6:$1005)-5),374)))=1),IFERROR(VLOOKUP(INDEX(checklistPesertaKemenkeu!$N$6:$N$1005,SMALL(IF(checklistPesertaKemenkeu!$AY$6:$AY$1005="Direkomendasikan",ROW($6:$1005)-5),374)),KotaKode,2,0),"-"),"")),"")</f>
        <v/>
      </c>
      <c r="K375" t="str">
        <f t="array" aca="1" ref="K375" ca="1">IFERROR(IF(OR(INDEX(checklistPesertaKemenkeu!$O$6:$O$1005,SMALL(IF(checklistPesertaKemenkeu!$AY$6:$AY$1005="Direkomendasikan",ROW($6:$1005)-5),374))="",INDEX(checklistPesertaKemenkeu!$J$6:$J$1005,SMALL(IF(checklistPesertaKemenkeu!$AY$6:$AY$1005="Direkomendasikan",ROW($6:$1005)-5),374))=""),"",IF(AND(COUNTIF(INDIRECT("K_"&amp;MATCH(INDEX(checklistPesertaKemenkeu!$J$6:$J$1005,SMALL(IF(checklistPesertaKemenkeu!$AY$6:$AY$1005="Direkomendasikan",ROW($6:$1005)-5),374)),BidangList,0)),INDEX(checklistPesertaKemenkeu!$O$6:$O$1005,SMALL(IF(checklistPesertaKemenkeu!$AY$6:$AY$1005="Direkomendasikan",ROW($6:$1005)-5),374)))&gt;0,COUNTIF(INDIRECT("'KERTAS KERJA'!K"&amp;(SMALL(IF(checklistPesertaKemenkeu!$AY$6:$AY$1005="Direkomendasikan",ROW($6:$1005)-5),374)+5)&amp;":O"&amp;(SMALL(IF(checklistPesertaKemenkeu!$AY$6:$AY$1005="Direkomendasikan",ROW($6:$1005)-5),374)+5)),INDEX(checklistPesertaKemenkeu!$O$6:$O$1005,SMALL(IF(checklistPesertaKemenkeu!$AY$6:$AY$1005="Direkomendasikan",ROW($6:$1005)-5),374)))=1),IFERROR(VLOOKUP(INDEX(checklistPesertaKemenkeu!$O$6:$O$1005,SMALL(IF(checklistPesertaKemenkeu!$AY$6:$AY$1005="Direkomendasikan",ROW($6:$1005)-5),374)),KotaKode,2,0),"-"),"")),"")</f>
        <v/>
      </c>
      <c r="L375" t="str">
        <f t="array" aca="1" ref="L375" ca="1">IFERROR(IF(OR(INDEX(checklistPesertaKemenkeu!$P$6:$P$1005,SMALL(IF(checklistPesertaKemenkeu!$AY$6:$AY$1005="Direkomendasikan",ROW($6:$1005)-5),374))="",INDEX(checklistPesertaKemenkeu!$J$6:$J$1005,SMALL(IF(checklistPesertaKemenkeu!$AY$6:$AY$1005="Direkomendasikan",ROW($6:$1005)-5),374))=""),"",IF(AND(COUNTIF(INDIRECT("K_"&amp;MATCH(INDEX(checklistPesertaKemenkeu!$J$6:$J$1005,SMALL(IF(checklistPesertaKemenkeu!$AY$6:$AY$1005="Direkomendasikan",ROW($6:$1005)-5),374)),BidangList,0)),INDEX(checklistPesertaKemenkeu!$P$6:$P$1005,SMALL(IF(checklistPesertaKemenkeu!$AY$6:$AY$1005="Direkomendasikan",ROW($6:$1005)-5),374)))&gt;0,COUNTIF(INDIRECT("'KERTAS KERJA'!K"&amp;(SMALL(IF(checklistPesertaKemenkeu!$AY$6:$AY$1005="Direkomendasikan",ROW($6:$1005)-5),374)+5)&amp;":O"&amp;(SMALL(IF(checklistPesertaKemenkeu!$AY$6:$AY$1005="Direkomendasikan",ROW($6:$1005)-5),374)+5)),INDEX(checklistPesertaKemenkeu!$P$6:$P$1005,SMALL(IF(checklistPesertaKemenkeu!$AY$6:$AY$1005="Direkomendasikan",ROW($6:$1005)-5),374)))=1),IFERROR(VLOOKUP(INDEX(checklistPesertaKemenkeu!$P$6:$P$1005,SMALL(IF(checklistPesertaKemenkeu!$AY$6:$AY$1005="Direkomendasikan",ROW($6:$1005)-5),374)),KotaKode,2,0),"-"),"")),"")</f>
        <v/>
      </c>
    </row>
    <row r="376" spans="1:12" ht="15" customHeight="1" x14ac:dyDescent="0.2">
      <c r="A376" t="str">
        <f t="shared" si="5"/>
        <v/>
      </c>
      <c r="B376" t="str">
        <v/>
      </c>
      <c r="C376" s="40" t="str">
        <f t="array" ref="C376">IFERROR(INDEX(checklistPesertaKemenkeu!$F$6:$F$1005,SMALL(IF(checklistPesertaKemenkeu!$AY$6:$AY$1005="Direkomendasikan",ROW($6:$1005)-5),375)),"")</f>
        <v/>
      </c>
      <c r="D376" t="str">
        <f t="array" ref="D376">IFERROR(INDEX(checklistPesertaKemenkeu!$G$6:$G$1005,SMALL(IF(checklistPesertaKemenkeu!$AY$6:$AY$1005="Direkomendasikan",ROW($6:$1005)-5),375)),"")</f>
        <v/>
      </c>
      <c r="E376" t="str">
        <f t="array" ref="E376">IFERROR(INDEX(checklistPesertaKemenkeu!$H$6:$H$1005,SMALL(IF(checklistPesertaKemenkeu!$AY$6:$AY$1005="Direkomendasikan",ROW($6:$1005)-5),375)),"")</f>
        <v/>
      </c>
      <c r="F376" t="str">
        <f t="array" ref="F376">IFERROR(INDEX(checklistPesertaKemenkeu!$I$6:$I$1005,SMALL(IF(checklistPesertaKemenkeu!$AY$6:$AY$1005="Direkomendasikan",ROW($6:$1005)-5),375)),"")</f>
        <v/>
      </c>
      <c r="G376" t="str">
        <f t="array" ref="G376">IFERROR(INDEX(checklistPesertaKemenkeu!$J$6:$J$1005,SMALL(IF(checklistPesertaKemenkeu!$AY$6:$AY$1005="Direkomendasikan",ROW($6:$1005)-5),375)),"")</f>
        <v/>
      </c>
      <c r="H376" t="str">
        <f t="array" aca="1" ref="H376" ca="1">IFERROR(IF(OR(INDEX(checklistPesertaKemenkeu!$L$6:$L$1005,SMALL(IF(checklistPesertaKemenkeu!$AY$6:$AY$1005="Direkomendasikan",ROW($6:$1005)-5),375))="",INDEX(checklistPesertaKemenkeu!$J$6:$J$1005,SMALL(IF(checklistPesertaKemenkeu!$AY$6:$AY$1005="Direkomendasikan",ROW($6:$1005)-5),375))=""),"",IF(AND(COUNTIF(INDIRECT("K_"&amp;MATCH(INDEX(checklistPesertaKemenkeu!$J$6:$J$1005,SMALL(IF(checklistPesertaKemenkeu!$AY$6:$AY$1005="Direkomendasikan",ROW($6:$1005)-5),375)),BidangList,0)),INDEX(checklistPesertaKemenkeu!$L$6:$L$1005,SMALL(IF(checklistPesertaKemenkeu!$AY$6:$AY$1005="Direkomendasikan",ROW($6:$1005)-5),375)))&gt;0,COUNTIF(INDIRECT("'KERTAS KERJA'!K"&amp;(SMALL(IF(checklistPesertaKemenkeu!$AY$6:$AY$1005="Direkomendasikan",ROW($6:$1005)-5),375)+5)&amp;":O"&amp;(SMALL(IF(checklistPesertaKemenkeu!$AY$6:$AY$1005="Direkomendasikan",ROW($6:$1005)-5),375)+5)),INDEX(checklistPesertaKemenkeu!$L$6:$L$1005,SMALL(IF(checklistPesertaKemenkeu!$AY$6:$AY$1005="Direkomendasikan",ROW($6:$1005)-5),375)))=1),IFERROR(VLOOKUP(INDEX(checklistPesertaKemenkeu!$L$6:$L$1005,SMALL(IF(checklistPesertaKemenkeu!$AY$6:$AY$1005="Direkomendasikan",ROW($6:$1005)-5),375)),KotaKode,2,0),"-"),"")),"")</f>
        <v/>
      </c>
      <c r="I376" t="str">
        <f t="array" aca="1" ref="I376" ca="1">IFERROR(IF(OR(INDEX(checklistPesertaKemenkeu!$M$6:$M$1005,SMALL(IF(checklistPesertaKemenkeu!$AY$6:$AY$1005="Direkomendasikan",ROW($6:$1005)-5),375))="",INDEX(checklistPesertaKemenkeu!$J$6:$J$1005,SMALL(IF(checklistPesertaKemenkeu!$AY$6:$AY$1005="Direkomendasikan",ROW($6:$1005)-5),375))=""),"",IF(AND(COUNTIF(INDIRECT("K_"&amp;MATCH(INDEX(checklistPesertaKemenkeu!$J$6:$J$1005,SMALL(IF(checklistPesertaKemenkeu!$AY$6:$AY$1005="Direkomendasikan",ROW($6:$1005)-5),375)),BidangList,0)),INDEX(checklistPesertaKemenkeu!$M$6:$M$1005,SMALL(IF(checklistPesertaKemenkeu!$AY$6:$AY$1005="Direkomendasikan",ROW($6:$1005)-5),375)))&gt;0,COUNTIF(INDIRECT("'KERTAS KERJA'!K"&amp;(SMALL(IF(checklistPesertaKemenkeu!$AY$6:$AY$1005="Direkomendasikan",ROW($6:$1005)-5),375)+5)&amp;":O"&amp;(SMALL(IF(checklistPesertaKemenkeu!$AY$6:$AY$1005="Direkomendasikan",ROW($6:$1005)-5),375)+5)),INDEX(checklistPesertaKemenkeu!$M$6:$M$1005,SMALL(IF(checklistPesertaKemenkeu!$AY$6:$AY$1005="Direkomendasikan",ROW($6:$1005)-5),375)))=1),IFERROR(VLOOKUP(INDEX(checklistPesertaKemenkeu!$M$6:$M$1005,SMALL(IF(checklistPesertaKemenkeu!$AY$6:$AY$1005="Direkomendasikan",ROW($6:$1005)-5),375)),KotaKode,2,0),"-"),"")),"")</f>
        <v/>
      </c>
      <c r="J376" t="str">
        <f t="array" aca="1" ref="J376" ca="1">IFERROR(IF(OR(INDEX(checklistPesertaKemenkeu!$N$6:$N$1005,SMALL(IF(checklistPesertaKemenkeu!$AY$6:$AY$1005="Direkomendasikan",ROW($6:$1005)-5),375))="",INDEX(checklistPesertaKemenkeu!$J$6:$J$1005,SMALL(IF(checklistPesertaKemenkeu!$AY$6:$AY$1005="Direkomendasikan",ROW($6:$1005)-5),375))=""),"",IF(AND(COUNTIF(INDIRECT("K_"&amp;MATCH(INDEX(checklistPesertaKemenkeu!$J$6:$J$1005,SMALL(IF(checklistPesertaKemenkeu!$AY$6:$AY$1005="Direkomendasikan",ROW($6:$1005)-5),375)),BidangList,0)),INDEX(checklistPesertaKemenkeu!$N$6:$N$1005,SMALL(IF(checklistPesertaKemenkeu!$AY$6:$AY$1005="Direkomendasikan",ROW($6:$1005)-5),375)))&gt;0,COUNTIF(INDIRECT("'KERTAS KERJA'!K"&amp;(SMALL(IF(checklistPesertaKemenkeu!$AY$6:$AY$1005="Direkomendasikan",ROW($6:$1005)-5),375)+5)&amp;":O"&amp;(SMALL(IF(checklistPesertaKemenkeu!$AY$6:$AY$1005="Direkomendasikan",ROW($6:$1005)-5),375)+5)),INDEX(checklistPesertaKemenkeu!$N$6:$N$1005,SMALL(IF(checklistPesertaKemenkeu!$AY$6:$AY$1005="Direkomendasikan",ROW($6:$1005)-5),375)))=1),IFERROR(VLOOKUP(INDEX(checklistPesertaKemenkeu!$N$6:$N$1005,SMALL(IF(checklistPesertaKemenkeu!$AY$6:$AY$1005="Direkomendasikan",ROW($6:$1005)-5),375)),KotaKode,2,0),"-"),"")),"")</f>
        <v/>
      </c>
      <c r="K376" t="str">
        <f t="array" aca="1" ref="K376" ca="1">IFERROR(IF(OR(INDEX(checklistPesertaKemenkeu!$O$6:$O$1005,SMALL(IF(checklistPesertaKemenkeu!$AY$6:$AY$1005="Direkomendasikan",ROW($6:$1005)-5),375))="",INDEX(checklistPesertaKemenkeu!$J$6:$J$1005,SMALL(IF(checklistPesertaKemenkeu!$AY$6:$AY$1005="Direkomendasikan",ROW($6:$1005)-5),375))=""),"",IF(AND(COUNTIF(INDIRECT("K_"&amp;MATCH(INDEX(checklistPesertaKemenkeu!$J$6:$J$1005,SMALL(IF(checklistPesertaKemenkeu!$AY$6:$AY$1005="Direkomendasikan",ROW($6:$1005)-5),375)),BidangList,0)),INDEX(checklistPesertaKemenkeu!$O$6:$O$1005,SMALL(IF(checklistPesertaKemenkeu!$AY$6:$AY$1005="Direkomendasikan",ROW($6:$1005)-5),375)))&gt;0,COUNTIF(INDIRECT("'KERTAS KERJA'!K"&amp;(SMALL(IF(checklistPesertaKemenkeu!$AY$6:$AY$1005="Direkomendasikan",ROW($6:$1005)-5),375)+5)&amp;":O"&amp;(SMALL(IF(checklistPesertaKemenkeu!$AY$6:$AY$1005="Direkomendasikan",ROW($6:$1005)-5),375)+5)),INDEX(checklistPesertaKemenkeu!$O$6:$O$1005,SMALL(IF(checklistPesertaKemenkeu!$AY$6:$AY$1005="Direkomendasikan",ROW($6:$1005)-5),375)))=1),IFERROR(VLOOKUP(INDEX(checklistPesertaKemenkeu!$O$6:$O$1005,SMALL(IF(checklistPesertaKemenkeu!$AY$6:$AY$1005="Direkomendasikan",ROW($6:$1005)-5),375)),KotaKode,2,0),"-"),"")),"")</f>
        <v/>
      </c>
      <c r="L376" t="str">
        <f t="array" aca="1" ref="L376" ca="1">IFERROR(IF(OR(INDEX(checklistPesertaKemenkeu!$P$6:$P$1005,SMALL(IF(checklistPesertaKemenkeu!$AY$6:$AY$1005="Direkomendasikan",ROW($6:$1005)-5),375))="",INDEX(checklistPesertaKemenkeu!$J$6:$J$1005,SMALL(IF(checklistPesertaKemenkeu!$AY$6:$AY$1005="Direkomendasikan",ROW($6:$1005)-5),375))=""),"",IF(AND(COUNTIF(INDIRECT("K_"&amp;MATCH(INDEX(checklistPesertaKemenkeu!$J$6:$J$1005,SMALL(IF(checklistPesertaKemenkeu!$AY$6:$AY$1005="Direkomendasikan",ROW($6:$1005)-5),375)),BidangList,0)),INDEX(checklistPesertaKemenkeu!$P$6:$P$1005,SMALL(IF(checklistPesertaKemenkeu!$AY$6:$AY$1005="Direkomendasikan",ROW($6:$1005)-5),375)))&gt;0,COUNTIF(INDIRECT("'KERTAS KERJA'!K"&amp;(SMALL(IF(checklistPesertaKemenkeu!$AY$6:$AY$1005="Direkomendasikan",ROW($6:$1005)-5),375)+5)&amp;":O"&amp;(SMALL(IF(checklistPesertaKemenkeu!$AY$6:$AY$1005="Direkomendasikan",ROW($6:$1005)-5),375)+5)),INDEX(checklistPesertaKemenkeu!$P$6:$P$1005,SMALL(IF(checklistPesertaKemenkeu!$AY$6:$AY$1005="Direkomendasikan",ROW($6:$1005)-5),375)))=1),IFERROR(VLOOKUP(INDEX(checklistPesertaKemenkeu!$P$6:$P$1005,SMALL(IF(checklistPesertaKemenkeu!$AY$6:$AY$1005="Direkomendasikan",ROW($6:$1005)-5),375)),KotaKode,2,0),"-"),"")),"")</f>
        <v/>
      </c>
    </row>
    <row r="377" spans="1:12" ht="15" customHeight="1" x14ac:dyDescent="0.2">
      <c r="A377" t="str">
        <f t="shared" si="5"/>
        <v/>
      </c>
      <c r="B377" t="str">
        <v/>
      </c>
      <c r="C377" s="40" t="str">
        <f t="array" ref="C377">IFERROR(INDEX(checklistPesertaKemenkeu!$F$6:$F$1005,SMALL(IF(checklistPesertaKemenkeu!$AY$6:$AY$1005="Direkomendasikan",ROW($6:$1005)-5),376)),"")</f>
        <v/>
      </c>
      <c r="D377" t="str">
        <f t="array" ref="D377">IFERROR(INDEX(checklistPesertaKemenkeu!$G$6:$G$1005,SMALL(IF(checklistPesertaKemenkeu!$AY$6:$AY$1005="Direkomendasikan",ROW($6:$1005)-5),376)),"")</f>
        <v/>
      </c>
      <c r="E377" t="str">
        <f t="array" ref="E377">IFERROR(INDEX(checklistPesertaKemenkeu!$H$6:$H$1005,SMALL(IF(checklistPesertaKemenkeu!$AY$6:$AY$1005="Direkomendasikan",ROW($6:$1005)-5),376)),"")</f>
        <v/>
      </c>
      <c r="F377" t="str">
        <f t="array" ref="F377">IFERROR(INDEX(checklistPesertaKemenkeu!$I$6:$I$1005,SMALL(IF(checklistPesertaKemenkeu!$AY$6:$AY$1005="Direkomendasikan",ROW($6:$1005)-5),376)),"")</f>
        <v/>
      </c>
      <c r="G377" t="str">
        <f t="array" ref="G377">IFERROR(INDEX(checklistPesertaKemenkeu!$J$6:$J$1005,SMALL(IF(checklistPesertaKemenkeu!$AY$6:$AY$1005="Direkomendasikan",ROW($6:$1005)-5),376)),"")</f>
        <v/>
      </c>
      <c r="H377" t="str">
        <f t="array" aca="1" ref="H377" ca="1">IFERROR(IF(OR(INDEX(checklistPesertaKemenkeu!$L$6:$L$1005,SMALL(IF(checklistPesertaKemenkeu!$AY$6:$AY$1005="Direkomendasikan",ROW($6:$1005)-5),376))="",INDEX(checklistPesertaKemenkeu!$J$6:$J$1005,SMALL(IF(checklistPesertaKemenkeu!$AY$6:$AY$1005="Direkomendasikan",ROW($6:$1005)-5),376))=""),"",IF(AND(COUNTIF(INDIRECT("K_"&amp;MATCH(INDEX(checklistPesertaKemenkeu!$J$6:$J$1005,SMALL(IF(checklistPesertaKemenkeu!$AY$6:$AY$1005="Direkomendasikan",ROW($6:$1005)-5),376)),BidangList,0)),INDEX(checklistPesertaKemenkeu!$L$6:$L$1005,SMALL(IF(checklistPesertaKemenkeu!$AY$6:$AY$1005="Direkomendasikan",ROW($6:$1005)-5),376)))&gt;0,COUNTIF(INDIRECT("'KERTAS KERJA'!K"&amp;(SMALL(IF(checklistPesertaKemenkeu!$AY$6:$AY$1005="Direkomendasikan",ROW($6:$1005)-5),376)+5)&amp;":O"&amp;(SMALL(IF(checklistPesertaKemenkeu!$AY$6:$AY$1005="Direkomendasikan",ROW($6:$1005)-5),376)+5)),INDEX(checklistPesertaKemenkeu!$L$6:$L$1005,SMALL(IF(checklistPesertaKemenkeu!$AY$6:$AY$1005="Direkomendasikan",ROW($6:$1005)-5),376)))=1),IFERROR(VLOOKUP(INDEX(checklistPesertaKemenkeu!$L$6:$L$1005,SMALL(IF(checklistPesertaKemenkeu!$AY$6:$AY$1005="Direkomendasikan",ROW($6:$1005)-5),376)),KotaKode,2,0),"-"),"")),"")</f>
        <v/>
      </c>
      <c r="I377" t="str">
        <f t="array" aca="1" ref="I377" ca="1">IFERROR(IF(OR(INDEX(checklistPesertaKemenkeu!$M$6:$M$1005,SMALL(IF(checklistPesertaKemenkeu!$AY$6:$AY$1005="Direkomendasikan",ROW($6:$1005)-5),376))="",INDEX(checklistPesertaKemenkeu!$J$6:$J$1005,SMALL(IF(checklistPesertaKemenkeu!$AY$6:$AY$1005="Direkomendasikan",ROW($6:$1005)-5),376))=""),"",IF(AND(COUNTIF(INDIRECT("K_"&amp;MATCH(INDEX(checklistPesertaKemenkeu!$J$6:$J$1005,SMALL(IF(checklistPesertaKemenkeu!$AY$6:$AY$1005="Direkomendasikan",ROW($6:$1005)-5),376)),BidangList,0)),INDEX(checklistPesertaKemenkeu!$M$6:$M$1005,SMALL(IF(checklistPesertaKemenkeu!$AY$6:$AY$1005="Direkomendasikan",ROW($6:$1005)-5),376)))&gt;0,COUNTIF(INDIRECT("'KERTAS KERJA'!K"&amp;(SMALL(IF(checklistPesertaKemenkeu!$AY$6:$AY$1005="Direkomendasikan",ROW($6:$1005)-5),376)+5)&amp;":O"&amp;(SMALL(IF(checklistPesertaKemenkeu!$AY$6:$AY$1005="Direkomendasikan",ROW($6:$1005)-5),376)+5)),INDEX(checklistPesertaKemenkeu!$M$6:$M$1005,SMALL(IF(checklistPesertaKemenkeu!$AY$6:$AY$1005="Direkomendasikan",ROW($6:$1005)-5),376)))=1),IFERROR(VLOOKUP(INDEX(checklistPesertaKemenkeu!$M$6:$M$1005,SMALL(IF(checklistPesertaKemenkeu!$AY$6:$AY$1005="Direkomendasikan",ROW($6:$1005)-5),376)),KotaKode,2,0),"-"),"")),"")</f>
        <v/>
      </c>
      <c r="J377" t="str">
        <f t="array" aca="1" ref="J377" ca="1">IFERROR(IF(OR(INDEX(checklistPesertaKemenkeu!$N$6:$N$1005,SMALL(IF(checklistPesertaKemenkeu!$AY$6:$AY$1005="Direkomendasikan",ROW($6:$1005)-5),376))="",INDEX(checklistPesertaKemenkeu!$J$6:$J$1005,SMALL(IF(checklistPesertaKemenkeu!$AY$6:$AY$1005="Direkomendasikan",ROW($6:$1005)-5),376))=""),"",IF(AND(COUNTIF(INDIRECT("K_"&amp;MATCH(INDEX(checklistPesertaKemenkeu!$J$6:$J$1005,SMALL(IF(checklistPesertaKemenkeu!$AY$6:$AY$1005="Direkomendasikan",ROW($6:$1005)-5),376)),BidangList,0)),INDEX(checklistPesertaKemenkeu!$N$6:$N$1005,SMALL(IF(checklistPesertaKemenkeu!$AY$6:$AY$1005="Direkomendasikan",ROW($6:$1005)-5),376)))&gt;0,COUNTIF(INDIRECT("'KERTAS KERJA'!K"&amp;(SMALL(IF(checklistPesertaKemenkeu!$AY$6:$AY$1005="Direkomendasikan",ROW($6:$1005)-5),376)+5)&amp;":O"&amp;(SMALL(IF(checklistPesertaKemenkeu!$AY$6:$AY$1005="Direkomendasikan",ROW($6:$1005)-5),376)+5)),INDEX(checklistPesertaKemenkeu!$N$6:$N$1005,SMALL(IF(checklistPesertaKemenkeu!$AY$6:$AY$1005="Direkomendasikan",ROW($6:$1005)-5),376)))=1),IFERROR(VLOOKUP(INDEX(checklistPesertaKemenkeu!$N$6:$N$1005,SMALL(IF(checklistPesertaKemenkeu!$AY$6:$AY$1005="Direkomendasikan",ROW($6:$1005)-5),376)),KotaKode,2,0),"-"),"")),"")</f>
        <v/>
      </c>
      <c r="K377" t="str">
        <f t="array" aca="1" ref="K377" ca="1">IFERROR(IF(OR(INDEX(checklistPesertaKemenkeu!$O$6:$O$1005,SMALL(IF(checklistPesertaKemenkeu!$AY$6:$AY$1005="Direkomendasikan",ROW($6:$1005)-5),376))="",INDEX(checklistPesertaKemenkeu!$J$6:$J$1005,SMALL(IF(checklistPesertaKemenkeu!$AY$6:$AY$1005="Direkomendasikan",ROW($6:$1005)-5),376))=""),"",IF(AND(COUNTIF(INDIRECT("K_"&amp;MATCH(INDEX(checklistPesertaKemenkeu!$J$6:$J$1005,SMALL(IF(checklistPesertaKemenkeu!$AY$6:$AY$1005="Direkomendasikan",ROW($6:$1005)-5),376)),BidangList,0)),INDEX(checklistPesertaKemenkeu!$O$6:$O$1005,SMALL(IF(checklistPesertaKemenkeu!$AY$6:$AY$1005="Direkomendasikan",ROW($6:$1005)-5),376)))&gt;0,COUNTIF(INDIRECT("'KERTAS KERJA'!K"&amp;(SMALL(IF(checklistPesertaKemenkeu!$AY$6:$AY$1005="Direkomendasikan",ROW($6:$1005)-5),376)+5)&amp;":O"&amp;(SMALL(IF(checklistPesertaKemenkeu!$AY$6:$AY$1005="Direkomendasikan",ROW($6:$1005)-5),376)+5)),INDEX(checklistPesertaKemenkeu!$O$6:$O$1005,SMALL(IF(checklistPesertaKemenkeu!$AY$6:$AY$1005="Direkomendasikan",ROW($6:$1005)-5),376)))=1),IFERROR(VLOOKUP(INDEX(checklistPesertaKemenkeu!$O$6:$O$1005,SMALL(IF(checklistPesertaKemenkeu!$AY$6:$AY$1005="Direkomendasikan",ROW($6:$1005)-5),376)),KotaKode,2,0),"-"),"")),"")</f>
        <v/>
      </c>
      <c r="L377" t="str">
        <f t="array" aca="1" ref="L377" ca="1">IFERROR(IF(OR(INDEX(checklistPesertaKemenkeu!$P$6:$P$1005,SMALL(IF(checklistPesertaKemenkeu!$AY$6:$AY$1005="Direkomendasikan",ROW($6:$1005)-5),376))="",INDEX(checklistPesertaKemenkeu!$J$6:$J$1005,SMALL(IF(checklistPesertaKemenkeu!$AY$6:$AY$1005="Direkomendasikan",ROW($6:$1005)-5),376))=""),"",IF(AND(COUNTIF(INDIRECT("K_"&amp;MATCH(INDEX(checklistPesertaKemenkeu!$J$6:$J$1005,SMALL(IF(checklistPesertaKemenkeu!$AY$6:$AY$1005="Direkomendasikan",ROW($6:$1005)-5),376)),BidangList,0)),INDEX(checklistPesertaKemenkeu!$P$6:$P$1005,SMALL(IF(checklistPesertaKemenkeu!$AY$6:$AY$1005="Direkomendasikan",ROW($6:$1005)-5),376)))&gt;0,COUNTIF(INDIRECT("'KERTAS KERJA'!K"&amp;(SMALL(IF(checklistPesertaKemenkeu!$AY$6:$AY$1005="Direkomendasikan",ROW($6:$1005)-5),376)+5)&amp;":O"&amp;(SMALL(IF(checklistPesertaKemenkeu!$AY$6:$AY$1005="Direkomendasikan",ROW($6:$1005)-5),376)+5)),INDEX(checklistPesertaKemenkeu!$P$6:$P$1005,SMALL(IF(checklistPesertaKemenkeu!$AY$6:$AY$1005="Direkomendasikan",ROW($6:$1005)-5),376)))=1),IFERROR(VLOOKUP(INDEX(checklistPesertaKemenkeu!$P$6:$P$1005,SMALL(IF(checklistPesertaKemenkeu!$AY$6:$AY$1005="Direkomendasikan",ROW($6:$1005)-5),376)),KotaKode,2,0),"-"),"")),"")</f>
        <v/>
      </c>
    </row>
    <row r="378" spans="1:12" ht="15" customHeight="1" x14ac:dyDescent="0.2">
      <c r="A378" t="str">
        <f t="shared" si="5"/>
        <v/>
      </c>
      <c r="B378" t="str">
        <v/>
      </c>
      <c r="C378" s="40" t="str">
        <f t="array" ref="C378">IFERROR(INDEX(checklistPesertaKemenkeu!$F$6:$F$1005,SMALL(IF(checklistPesertaKemenkeu!$AY$6:$AY$1005="Direkomendasikan",ROW($6:$1005)-5),377)),"")</f>
        <v/>
      </c>
      <c r="D378" t="str">
        <f t="array" ref="D378">IFERROR(INDEX(checklistPesertaKemenkeu!$G$6:$G$1005,SMALL(IF(checklistPesertaKemenkeu!$AY$6:$AY$1005="Direkomendasikan",ROW($6:$1005)-5),377)),"")</f>
        <v/>
      </c>
      <c r="E378" t="str">
        <f t="array" ref="E378">IFERROR(INDEX(checklistPesertaKemenkeu!$H$6:$H$1005,SMALL(IF(checklistPesertaKemenkeu!$AY$6:$AY$1005="Direkomendasikan",ROW($6:$1005)-5),377)),"")</f>
        <v/>
      </c>
      <c r="F378" t="str">
        <f t="array" ref="F378">IFERROR(INDEX(checklistPesertaKemenkeu!$I$6:$I$1005,SMALL(IF(checklistPesertaKemenkeu!$AY$6:$AY$1005="Direkomendasikan",ROW($6:$1005)-5),377)),"")</f>
        <v/>
      </c>
      <c r="G378" t="str">
        <f t="array" ref="G378">IFERROR(INDEX(checklistPesertaKemenkeu!$J$6:$J$1005,SMALL(IF(checklistPesertaKemenkeu!$AY$6:$AY$1005="Direkomendasikan",ROW($6:$1005)-5),377)),"")</f>
        <v/>
      </c>
      <c r="H378" t="str">
        <f t="array" aca="1" ref="H378" ca="1">IFERROR(IF(OR(INDEX(checklistPesertaKemenkeu!$L$6:$L$1005,SMALL(IF(checklistPesertaKemenkeu!$AY$6:$AY$1005="Direkomendasikan",ROW($6:$1005)-5),377))="",INDEX(checklistPesertaKemenkeu!$J$6:$J$1005,SMALL(IF(checklistPesertaKemenkeu!$AY$6:$AY$1005="Direkomendasikan",ROW($6:$1005)-5),377))=""),"",IF(AND(COUNTIF(INDIRECT("K_"&amp;MATCH(INDEX(checklistPesertaKemenkeu!$J$6:$J$1005,SMALL(IF(checklistPesertaKemenkeu!$AY$6:$AY$1005="Direkomendasikan",ROW($6:$1005)-5),377)),BidangList,0)),INDEX(checklistPesertaKemenkeu!$L$6:$L$1005,SMALL(IF(checklistPesertaKemenkeu!$AY$6:$AY$1005="Direkomendasikan",ROW($6:$1005)-5),377)))&gt;0,COUNTIF(INDIRECT("'KERTAS KERJA'!K"&amp;(SMALL(IF(checklistPesertaKemenkeu!$AY$6:$AY$1005="Direkomendasikan",ROW($6:$1005)-5),377)+5)&amp;":O"&amp;(SMALL(IF(checklistPesertaKemenkeu!$AY$6:$AY$1005="Direkomendasikan",ROW($6:$1005)-5),377)+5)),INDEX(checklistPesertaKemenkeu!$L$6:$L$1005,SMALL(IF(checklistPesertaKemenkeu!$AY$6:$AY$1005="Direkomendasikan",ROW($6:$1005)-5),377)))=1),IFERROR(VLOOKUP(INDEX(checklistPesertaKemenkeu!$L$6:$L$1005,SMALL(IF(checklistPesertaKemenkeu!$AY$6:$AY$1005="Direkomendasikan",ROW($6:$1005)-5),377)),KotaKode,2,0),"-"),"")),"")</f>
        <v/>
      </c>
      <c r="I378" t="str">
        <f t="array" aca="1" ref="I378" ca="1">IFERROR(IF(OR(INDEX(checklistPesertaKemenkeu!$M$6:$M$1005,SMALL(IF(checklistPesertaKemenkeu!$AY$6:$AY$1005="Direkomendasikan",ROW($6:$1005)-5),377))="",INDEX(checklistPesertaKemenkeu!$J$6:$J$1005,SMALL(IF(checklistPesertaKemenkeu!$AY$6:$AY$1005="Direkomendasikan",ROW($6:$1005)-5),377))=""),"",IF(AND(COUNTIF(INDIRECT("K_"&amp;MATCH(INDEX(checklistPesertaKemenkeu!$J$6:$J$1005,SMALL(IF(checklistPesertaKemenkeu!$AY$6:$AY$1005="Direkomendasikan",ROW($6:$1005)-5),377)),BidangList,0)),INDEX(checklistPesertaKemenkeu!$M$6:$M$1005,SMALL(IF(checklistPesertaKemenkeu!$AY$6:$AY$1005="Direkomendasikan",ROW($6:$1005)-5),377)))&gt;0,COUNTIF(INDIRECT("'KERTAS KERJA'!K"&amp;(SMALL(IF(checklistPesertaKemenkeu!$AY$6:$AY$1005="Direkomendasikan",ROW($6:$1005)-5),377)+5)&amp;":O"&amp;(SMALL(IF(checklistPesertaKemenkeu!$AY$6:$AY$1005="Direkomendasikan",ROW($6:$1005)-5),377)+5)),INDEX(checklistPesertaKemenkeu!$M$6:$M$1005,SMALL(IF(checklistPesertaKemenkeu!$AY$6:$AY$1005="Direkomendasikan",ROW($6:$1005)-5),377)))=1),IFERROR(VLOOKUP(INDEX(checklistPesertaKemenkeu!$M$6:$M$1005,SMALL(IF(checklistPesertaKemenkeu!$AY$6:$AY$1005="Direkomendasikan",ROW($6:$1005)-5),377)),KotaKode,2,0),"-"),"")),"")</f>
        <v/>
      </c>
      <c r="J378" t="str">
        <f t="array" aca="1" ref="J378" ca="1">IFERROR(IF(OR(INDEX(checklistPesertaKemenkeu!$N$6:$N$1005,SMALL(IF(checklistPesertaKemenkeu!$AY$6:$AY$1005="Direkomendasikan",ROW($6:$1005)-5),377))="",INDEX(checklistPesertaKemenkeu!$J$6:$J$1005,SMALL(IF(checklistPesertaKemenkeu!$AY$6:$AY$1005="Direkomendasikan",ROW($6:$1005)-5),377))=""),"",IF(AND(COUNTIF(INDIRECT("K_"&amp;MATCH(INDEX(checklistPesertaKemenkeu!$J$6:$J$1005,SMALL(IF(checklistPesertaKemenkeu!$AY$6:$AY$1005="Direkomendasikan",ROW($6:$1005)-5),377)),BidangList,0)),INDEX(checklistPesertaKemenkeu!$N$6:$N$1005,SMALL(IF(checklistPesertaKemenkeu!$AY$6:$AY$1005="Direkomendasikan",ROW($6:$1005)-5),377)))&gt;0,COUNTIF(INDIRECT("'KERTAS KERJA'!K"&amp;(SMALL(IF(checklistPesertaKemenkeu!$AY$6:$AY$1005="Direkomendasikan",ROW($6:$1005)-5),377)+5)&amp;":O"&amp;(SMALL(IF(checklistPesertaKemenkeu!$AY$6:$AY$1005="Direkomendasikan",ROW($6:$1005)-5),377)+5)),INDEX(checklistPesertaKemenkeu!$N$6:$N$1005,SMALL(IF(checklistPesertaKemenkeu!$AY$6:$AY$1005="Direkomendasikan",ROW($6:$1005)-5),377)))=1),IFERROR(VLOOKUP(INDEX(checklistPesertaKemenkeu!$N$6:$N$1005,SMALL(IF(checklistPesertaKemenkeu!$AY$6:$AY$1005="Direkomendasikan",ROW($6:$1005)-5),377)),KotaKode,2,0),"-"),"")),"")</f>
        <v/>
      </c>
      <c r="K378" t="str">
        <f t="array" aca="1" ref="K378" ca="1">IFERROR(IF(OR(INDEX(checklistPesertaKemenkeu!$O$6:$O$1005,SMALL(IF(checklistPesertaKemenkeu!$AY$6:$AY$1005="Direkomendasikan",ROW($6:$1005)-5),377))="",INDEX(checklistPesertaKemenkeu!$J$6:$J$1005,SMALL(IF(checklistPesertaKemenkeu!$AY$6:$AY$1005="Direkomendasikan",ROW($6:$1005)-5),377))=""),"",IF(AND(COUNTIF(INDIRECT("K_"&amp;MATCH(INDEX(checklistPesertaKemenkeu!$J$6:$J$1005,SMALL(IF(checklistPesertaKemenkeu!$AY$6:$AY$1005="Direkomendasikan",ROW($6:$1005)-5),377)),BidangList,0)),INDEX(checklistPesertaKemenkeu!$O$6:$O$1005,SMALL(IF(checklistPesertaKemenkeu!$AY$6:$AY$1005="Direkomendasikan",ROW($6:$1005)-5),377)))&gt;0,COUNTIF(INDIRECT("'KERTAS KERJA'!K"&amp;(SMALL(IF(checklistPesertaKemenkeu!$AY$6:$AY$1005="Direkomendasikan",ROW($6:$1005)-5),377)+5)&amp;":O"&amp;(SMALL(IF(checklistPesertaKemenkeu!$AY$6:$AY$1005="Direkomendasikan",ROW($6:$1005)-5),377)+5)),INDEX(checklistPesertaKemenkeu!$O$6:$O$1005,SMALL(IF(checklistPesertaKemenkeu!$AY$6:$AY$1005="Direkomendasikan",ROW($6:$1005)-5),377)))=1),IFERROR(VLOOKUP(INDEX(checklistPesertaKemenkeu!$O$6:$O$1005,SMALL(IF(checklistPesertaKemenkeu!$AY$6:$AY$1005="Direkomendasikan",ROW($6:$1005)-5),377)),KotaKode,2,0),"-"),"")),"")</f>
        <v/>
      </c>
      <c r="L378" t="str">
        <f t="array" aca="1" ref="L378" ca="1">IFERROR(IF(OR(INDEX(checklistPesertaKemenkeu!$P$6:$P$1005,SMALL(IF(checklistPesertaKemenkeu!$AY$6:$AY$1005="Direkomendasikan",ROW($6:$1005)-5),377))="",INDEX(checklistPesertaKemenkeu!$J$6:$J$1005,SMALL(IF(checklistPesertaKemenkeu!$AY$6:$AY$1005="Direkomendasikan",ROW($6:$1005)-5),377))=""),"",IF(AND(COUNTIF(INDIRECT("K_"&amp;MATCH(INDEX(checklistPesertaKemenkeu!$J$6:$J$1005,SMALL(IF(checklistPesertaKemenkeu!$AY$6:$AY$1005="Direkomendasikan",ROW($6:$1005)-5),377)),BidangList,0)),INDEX(checklistPesertaKemenkeu!$P$6:$P$1005,SMALL(IF(checklistPesertaKemenkeu!$AY$6:$AY$1005="Direkomendasikan",ROW($6:$1005)-5),377)))&gt;0,COUNTIF(INDIRECT("'KERTAS KERJA'!K"&amp;(SMALL(IF(checklistPesertaKemenkeu!$AY$6:$AY$1005="Direkomendasikan",ROW($6:$1005)-5),377)+5)&amp;":O"&amp;(SMALL(IF(checklistPesertaKemenkeu!$AY$6:$AY$1005="Direkomendasikan",ROW($6:$1005)-5),377)+5)),INDEX(checklistPesertaKemenkeu!$P$6:$P$1005,SMALL(IF(checklistPesertaKemenkeu!$AY$6:$AY$1005="Direkomendasikan",ROW($6:$1005)-5),377)))=1),IFERROR(VLOOKUP(INDEX(checklistPesertaKemenkeu!$P$6:$P$1005,SMALL(IF(checklistPesertaKemenkeu!$AY$6:$AY$1005="Direkomendasikan",ROW($6:$1005)-5),377)),KotaKode,2,0),"-"),"")),"")</f>
        <v/>
      </c>
    </row>
    <row r="379" spans="1:12" ht="15" customHeight="1" x14ac:dyDescent="0.2">
      <c r="A379" t="str">
        <f t="shared" si="5"/>
        <v/>
      </c>
      <c r="B379" t="str">
        <v/>
      </c>
      <c r="C379" s="40" t="str">
        <f t="array" ref="C379">IFERROR(INDEX(checklistPesertaKemenkeu!$F$6:$F$1005,SMALL(IF(checklistPesertaKemenkeu!$AY$6:$AY$1005="Direkomendasikan",ROW($6:$1005)-5),378)),"")</f>
        <v/>
      </c>
      <c r="D379" t="str">
        <f t="array" ref="D379">IFERROR(INDEX(checklistPesertaKemenkeu!$G$6:$G$1005,SMALL(IF(checklistPesertaKemenkeu!$AY$6:$AY$1005="Direkomendasikan",ROW($6:$1005)-5),378)),"")</f>
        <v/>
      </c>
      <c r="E379" t="str">
        <f t="array" ref="E379">IFERROR(INDEX(checklistPesertaKemenkeu!$H$6:$H$1005,SMALL(IF(checklistPesertaKemenkeu!$AY$6:$AY$1005="Direkomendasikan",ROW($6:$1005)-5),378)),"")</f>
        <v/>
      </c>
      <c r="F379" t="str">
        <f t="array" ref="F379">IFERROR(INDEX(checklistPesertaKemenkeu!$I$6:$I$1005,SMALL(IF(checklistPesertaKemenkeu!$AY$6:$AY$1005="Direkomendasikan",ROW($6:$1005)-5),378)),"")</f>
        <v/>
      </c>
      <c r="G379" t="str">
        <f t="array" ref="G379">IFERROR(INDEX(checklistPesertaKemenkeu!$J$6:$J$1005,SMALL(IF(checklistPesertaKemenkeu!$AY$6:$AY$1005="Direkomendasikan",ROW($6:$1005)-5),378)),"")</f>
        <v/>
      </c>
      <c r="H379" t="str">
        <f t="array" aca="1" ref="H379" ca="1">IFERROR(IF(OR(INDEX(checklistPesertaKemenkeu!$L$6:$L$1005,SMALL(IF(checklistPesertaKemenkeu!$AY$6:$AY$1005="Direkomendasikan",ROW($6:$1005)-5),378))="",INDEX(checklistPesertaKemenkeu!$J$6:$J$1005,SMALL(IF(checklistPesertaKemenkeu!$AY$6:$AY$1005="Direkomendasikan",ROW($6:$1005)-5),378))=""),"",IF(AND(COUNTIF(INDIRECT("K_"&amp;MATCH(INDEX(checklistPesertaKemenkeu!$J$6:$J$1005,SMALL(IF(checklistPesertaKemenkeu!$AY$6:$AY$1005="Direkomendasikan",ROW($6:$1005)-5),378)),BidangList,0)),INDEX(checklistPesertaKemenkeu!$L$6:$L$1005,SMALL(IF(checklistPesertaKemenkeu!$AY$6:$AY$1005="Direkomendasikan",ROW($6:$1005)-5),378)))&gt;0,COUNTIF(INDIRECT("'KERTAS KERJA'!K"&amp;(SMALL(IF(checklistPesertaKemenkeu!$AY$6:$AY$1005="Direkomendasikan",ROW($6:$1005)-5),378)+5)&amp;":O"&amp;(SMALL(IF(checklistPesertaKemenkeu!$AY$6:$AY$1005="Direkomendasikan",ROW($6:$1005)-5),378)+5)),INDEX(checklistPesertaKemenkeu!$L$6:$L$1005,SMALL(IF(checklistPesertaKemenkeu!$AY$6:$AY$1005="Direkomendasikan",ROW($6:$1005)-5),378)))=1),IFERROR(VLOOKUP(INDEX(checklistPesertaKemenkeu!$L$6:$L$1005,SMALL(IF(checklistPesertaKemenkeu!$AY$6:$AY$1005="Direkomendasikan",ROW($6:$1005)-5),378)),KotaKode,2,0),"-"),"")),"")</f>
        <v/>
      </c>
      <c r="I379" t="str">
        <f t="array" aca="1" ref="I379" ca="1">IFERROR(IF(OR(INDEX(checklistPesertaKemenkeu!$M$6:$M$1005,SMALL(IF(checklistPesertaKemenkeu!$AY$6:$AY$1005="Direkomendasikan",ROW($6:$1005)-5),378))="",INDEX(checklistPesertaKemenkeu!$J$6:$J$1005,SMALL(IF(checklistPesertaKemenkeu!$AY$6:$AY$1005="Direkomendasikan",ROW($6:$1005)-5),378))=""),"",IF(AND(COUNTIF(INDIRECT("K_"&amp;MATCH(INDEX(checklistPesertaKemenkeu!$J$6:$J$1005,SMALL(IF(checklistPesertaKemenkeu!$AY$6:$AY$1005="Direkomendasikan",ROW($6:$1005)-5),378)),BidangList,0)),INDEX(checklistPesertaKemenkeu!$M$6:$M$1005,SMALL(IF(checklistPesertaKemenkeu!$AY$6:$AY$1005="Direkomendasikan",ROW($6:$1005)-5),378)))&gt;0,COUNTIF(INDIRECT("'KERTAS KERJA'!K"&amp;(SMALL(IF(checklistPesertaKemenkeu!$AY$6:$AY$1005="Direkomendasikan",ROW($6:$1005)-5),378)+5)&amp;":O"&amp;(SMALL(IF(checklistPesertaKemenkeu!$AY$6:$AY$1005="Direkomendasikan",ROW($6:$1005)-5),378)+5)),INDEX(checklistPesertaKemenkeu!$M$6:$M$1005,SMALL(IF(checklistPesertaKemenkeu!$AY$6:$AY$1005="Direkomendasikan",ROW($6:$1005)-5),378)))=1),IFERROR(VLOOKUP(INDEX(checklistPesertaKemenkeu!$M$6:$M$1005,SMALL(IF(checklistPesertaKemenkeu!$AY$6:$AY$1005="Direkomendasikan",ROW($6:$1005)-5),378)),KotaKode,2,0),"-"),"")),"")</f>
        <v/>
      </c>
      <c r="J379" t="str">
        <f t="array" aca="1" ref="J379" ca="1">IFERROR(IF(OR(INDEX(checklistPesertaKemenkeu!$N$6:$N$1005,SMALL(IF(checklistPesertaKemenkeu!$AY$6:$AY$1005="Direkomendasikan",ROW($6:$1005)-5),378))="",INDEX(checklistPesertaKemenkeu!$J$6:$J$1005,SMALL(IF(checklistPesertaKemenkeu!$AY$6:$AY$1005="Direkomendasikan",ROW($6:$1005)-5),378))=""),"",IF(AND(COUNTIF(INDIRECT("K_"&amp;MATCH(INDEX(checklistPesertaKemenkeu!$J$6:$J$1005,SMALL(IF(checklistPesertaKemenkeu!$AY$6:$AY$1005="Direkomendasikan",ROW($6:$1005)-5),378)),BidangList,0)),INDEX(checklistPesertaKemenkeu!$N$6:$N$1005,SMALL(IF(checklistPesertaKemenkeu!$AY$6:$AY$1005="Direkomendasikan",ROW($6:$1005)-5),378)))&gt;0,COUNTIF(INDIRECT("'KERTAS KERJA'!K"&amp;(SMALL(IF(checklistPesertaKemenkeu!$AY$6:$AY$1005="Direkomendasikan",ROW($6:$1005)-5),378)+5)&amp;":O"&amp;(SMALL(IF(checklistPesertaKemenkeu!$AY$6:$AY$1005="Direkomendasikan",ROW($6:$1005)-5),378)+5)),INDEX(checklistPesertaKemenkeu!$N$6:$N$1005,SMALL(IF(checklistPesertaKemenkeu!$AY$6:$AY$1005="Direkomendasikan",ROW($6:$1005)-5),378)))=1),IFERROR(VLOOKUP(INDEX(checklistPesertaKemenkeu!$N$6:$N$1005,SMALL(IF(checklistPesertaKemenkeu!$AY$6:$AY$1005="Direkomendasikan",ROW($6:$1005)-5),378)),KotaKode,2,0),"-"),"")),"")</f>
        <v/>
      </c>
      <c r="K379" t="str">
        <f t="array" aca="1" ref="K379" ca="1">IFERROR(IF(OR(INDEX(checklistPesertaKemenkeu!$O$6:$O$1005,SMALL(IF(checklistPesertaKemenkeu!$AY$6:$AY$1005="Direkomendasikan",ROW($6:$1005)-5),378))="",INDEX(checklistPesertaKemenkeu!$J$6:$J$1005,SMALL(IF(checklistPesertaKemenkeu!$AY$6:$AY$1005="Direkomendasikan",ROW($6:$1005)-5),378))=""),"",IF(AND(COUNTIF(INDIRECT("K_"&amp;MATCH(INDEX(checklistPesertaKemenkeu!$J$6:$J$1005,SMALL(IF(checklistPesertaKemenkeu!$AY$6:$AY$1005="Direkomendasikan",ROW($6:$1005)-5),378)),BidangList,0)),INDEX(checklistPesertaKemenkeu!$O$6:$O$1005,SMALL(IF(checklistPesertaKemenkeu!$AY$6:$AY$1005="Direkomendasikan",ROW($6:$1005)-5),378)))&gt;0,COUNTIF(INDIRECT("'KERTAS KERJA'!K"&amp;(SMALL(IF(checklistPesertaKemenkeu!$AY$6:$AY$1005="Direkomendasikan",ROW($6:$1005)-5),378)+5)&amp;":O"&amp;(SMALL(IF(checklistPesertaKemenkeu!$AY$6:$AY$1005="Direkomendasikan",ROW($6:$1005)-5),378)+5)),INDEX(checklistPesertaKemenkeu!$O$6:$O$1005,SMALL(IF(checklistPesertaKemenkeu!$AY$6:$AY$1005="Direkomendasikan",ROW($6:$1005)-5),378)))=1),IFERROR(VLOOKUP(INDEX(checklistPesertaKemenkeu!$O$6:$O$1005,SMALL(IF(checklistPesertaKemenkeu!$AY$6:$AY$1005="Direkomendasikan",ROW($6:$1005)-5),378)),KotaKode,2,0),"-"),"")),"")</f>
        <v/>
      </c>
      <c r="L379" t="str">
        <f t="array" aca="1" ref="L379" ca="1">IFERROR(IF(OR(INDEX(checklistPesertaKemenkeu!$P$6:$P$1005,SMALL(IF(checklistPesertaKemenkeu!$AY$6:$AY$1005="Direkomendasikan",ROW($6:$1005)-5),378))="",INDEX(checklistPesertaKemenkeu!$J$6:$J$1005,SMALL(IF(checklistPesertaKemenkeu!$AY$6:$AY$1005="Direkomendasikan",ROW($6:$1005)-5),378))=""),"",IF(AND(COUNTIF(INDIRECT("K_"&amp;MATCH(INDEX(checklistPesertaKemenkeu!$J$6:$J$1005,SMALL(IF(checklistPesertaKemenkeu!$AY$6:$AY$1005="Direkomendasikan",ROW($6:$1005)-5),378)),BidangList,0)),INDEX(checklistPesertaKemenkeu!$P$6:$P$1005,SMALL(IF(checklistPesertaKemenkeu!$AY$6:$AY$1005="Direkomendasikan",ROW($6:$1005)-5),378)))&gt;0,COUNTIF(INDIRECT("'KERTAS KERJA'!K"&amp;(SMALL(IF(checklistPesertaKemenkeu!$AY$6:$AY$1005="Direkomendasikan",ROW($6:$1005)-5),378)+5)&amp;":O"&amp;(SMALL(IF(checklistPesertaKemenkeu!$AY$6:$AY$1005="Direkomendasikan",ROW($6:$1005)-5),378)+5)),INDEX(checklistPesertaKemenkeu!$P$6:$P$1005,SMALL(IF(checklistPesertaKemenkeu!$AY$6:$AY$1005="Direkomendasikan",ROW($6:$1005)-5),378)))=1),IFERROR(VLOOKUP(INDEX(checklistPesertaKemenkeu!$P$6:$P$1005,SMALL(IF(checklistPesertaKemenkeu!$AY$6:$AY$1005="Direkomendasikan",ROW($6:$1005)-5),378)),KotaKode,2,0),"-"),"")),"")</f>
        <v/>
      </c>
    </row>
    <row r="380" spans="1:12" ht="15" customHeight="1" x14ac:dyDescent="0.2">
      <c r="A380" t="str">
        <f t="shared" si="5"/>
        <v/>
      </c>
      <c r="B380" t="str">
        <v/>
      </c>
      <c r="C380" s="40" t="str">
        <f t="array" ref="C380">IFERROR(INDEX(checklistPesertaKemenkeu!$F$6:$F$1005,SMALL(IF(checklistPesertaKemenkeu!$AY$6:$AY$1005="Direkomendasikan",ROW($6:$1005)-5),379)),"")</f>
        <v/>
      </c>
      <c r="D380" t="str">
        <f t="array" ref="D380">IFERROR(INDEX(checklistPesertaKemenkeu!$G$6:$G$1005,SMALL(IF(checklistPesertaKemenkeu!$AY$6:$AY$1005="Direkomendasikan",ROW($6:$1005)-5),379)),"")</f>
        <v/>
      </c>
      <c r="E380" t="str">
        <f t="array" ref="E380">IFERROR(INDEX(checklistPesertaKemenkeu!$H$6:$H$1005,SMALL(IF(checklistPesertaKemenkeu!$AY$6:$AY$1005="Direkomendasikan",ROW($6:$1005)-5),379)),"")</f>
        <v/>
      </c>
      <c r="F380" t="str">
        <f t="array" ref="F380">IFERROR(INDEX(checklistPesertaKemenkeu!$I$6:$I$1005,SMALL(IF(checklistPesertaKemenkeu!$AY$6:$AY$1005="Direkomendasikan",ROW($6:$1005)-5),379)),"")</f>
        <v/>
      </c>
      <c r="G380" t="str">
        <f t="array" ref="G380">IFERROR(INDEX(checklistPesertaKemenkeu!$J$6:$J$1005,SMALL(IF(checklistPesertaKemenkeu!$AY$6:$AY$1005="Direkomendasikan",ROW($6:$1005)-5),379)),"")</f>
        <v/>
      </c>
      <c r="H380" t="str">
        <f t="array" aca="1" ref="H380" ca="1">IFERROR(IF(OR(INDEX(checklistPesertaKemenkeu!$L$6:$L$1005,SMALL(IF(checklistPesertaKemenkeu!$AY$6:$AY$1005="Direkomendasikan",ROW($6:$1005)-5),379))="",INDEX(checklistPesertaKemenkeu!$J$6:$J$1005,SMALL(IF(checklistPesertaKemenkeu!$AY$6:$AY$1005="Direkomendasikan",ROW($6:$1005)-5),379))=""),"",IF(AND(COUNTIF(INDIRECT("K_"&amp;MATCH(INDEX(checklistPesertaKemenkeu!$J$6:$J$1005,SMALL(IF(checklistPesertaKemenkeu!$AY$6:$AY$1005="Direkomendasikan",ROW($6:$1005)-5),379)),BidangList,0)),INDEX(checklistPesertaKemenkeu!$L$6:$L$1005,SMALL(IF(checklistPesertaKemenkeu!$AY$6:$AY$1005="Direkomendasikan",ROW($6:$1005)-5),379)))&gt;0,COUNTIF(INDIRECT("'KERTAS KERJA'!K"&amp;(SMALL(IF(checklistPesertaKemenkeu!$AY$6:$AY$1005="Direkomendasikan",ROW($6:$1005)-5),379)+5)&amp;":O"&amp;(SMALL(IF(checklistPesertaKemenkeu!$AY$6:$AY$1005="Direkomendasikan",ROW($6:$1005)-5),379)+5)),INDEX(checklistPesertaKemenkeu!$L$6:$L$1005,SMALL(IF(checklistPesertaKemenkeu!$AY$6:$AY$1005="Direkomendasikan",ROW($6:$1005)-5),379)))=1),IFERROR(VLOOKUP(INDEX(checklistPesertaKemenkeu!$L$6:$L$1005,SMALL(IF(checklistPesertaKemenkeu!$AY$6:$AY$1005="Direkomendasikan",ROW($6:$1005)-5),379)),KotaKode,2,0),"-"),"")),"")</f>
        <v/>
      </c>
      <c r="I380" t="str">
        <f t="array" aca="1" ref="I380" ca="1">IFERROR(IF(OR(INDEX(checklistPesertaKemenkeu!$M$6:$M$1005,SMALL(IF(checklistPesertaKemenkeu!$AY$6:$AY$1005="Direkomendasikan",ROW($6:$1005)-5),379))="",INDEX(checklistPesertaKemenkeu!$J$6:$J$1005,SMALL(IF(checklistPesertaKemenkeu!$AY$6:$AY$1005="Direkomendasikan",ROW($6:$1005)-5),379))=""),"",IF(AND(COUNTIF(INDIRECT("K_"&amp;MATCH(INDEX(checklistPesertaKemenkeu!$J$6:$J$1005,SMALL(IF(checklistPesertaKemenkeu!$AY$6:$AY$1005="Direkomendasikan",ROW($6:$1005)-5),379)),BidangList,0)),INDEX(checklistPesertaKemenkeu!$M$6:$M$1005,SMALL(IF(checklistPesertaKemenkeu!$AY$6:$AY$1005="Direkomendasikan",ROW($6:$1005)-5),379)))&gt;0,COUNTIF(INDIRECT("'KERTAS KERJA'!K"&amp;(SMALL(IF(checklistPesertaKemenkeu!$AY$6:$AY$1005="Direkomendasikan",ROW($6:$1005)-5),379)+5)&amp;":O"&amp;(SMALL(IF(checklistPesertaKemenkeu!$AY$6:$AY$1005="Direkomendasikan",ROW($6:$1005)-5),379)+5)),INDEX(checklistPesertaKemenkeu!$M$6:$M$1005,SMALL(IF(checklistPesertaKemenkeu!$AY$6:$AY$1005="Direkomendasikan",ROW($6:$1005)-5),379)))=1),IFERROR(VLOOKUP(INDEX(checklistPesertaKemenkeu!$M$6:$M$1005,SMALL(IF(checklistPesertaKemenkeu!$AY$6:$AY$1005="Direkomendasikan",ROW($6:$1005)-5),379)),KotaKode,2,0),"-"),"")),"")</f>
        <v/>
      </c>
      <c r="J380" t="str">
        <f t="array" aca="1" ref="J380" ca="1">IFERROR(IF(OR(INDEX(checklistPesertaKemenkeu!$N$6:$N$1005,SMALL(IF(checklistPesertaKemenkeu!$AY$6:$AY$1005="Direkomendasikan",ROW($6:$1005)-5),379))="",INDEX(checklistPesertaKemenkeu!$J$6:$J$1005,SMALL(IF(checklistPesertaKemenkeu!$AY$6:$AY$1005="Direkomendasikan",ROW($6:$1005)-5),379))=""),"",IF(AND(COUNTIF(INDIRECT("K_"&amp;MATCH(INDEX(checklistPesertaKemenkeu!$J$6:$J$1005,SMALL(IF(checklistPesertaKemenkeu!$AY$6:$AY$1005="Direkomendasikan",ROW($6:$1005)-5),379)),BidangList,0)),INDEX(checklistPesertaKemenkeu!$N$6:$N$1005,SMALL(IF(checklistPesertaKemenkeu!$AY$6:$AY$1005="Direkomendasikan",ROW($6:$1005)-5),379)))&gt;0,COUNTIF(INDIRECT("'KERTAS KERJA'!K"&amp;(SMALL(IF(checklistPesertaKemenkeu!$AY$6:$AY$1005="Direkomendasikan",ROW($6:$1005)-5),379)+5)&amp;":O"&amp;(SMALL(IF(checklistPesertaKemenkeu!$AY$6:$AY$1005="Direkomendasikan",ROW($6:$1005)-5),379)+5)),INDEX(checklistPesertaKemenkeu!$N$6:$N$1005,SMALL(IF(checklistPesertaKemenkeu!$AY$6:$AY$1005="Direkomendasikan",ROW($6:$1005)-5),379)))=1),IFERROR(VLOOKUP(INDEX(checklistPesertaKemenkeu!$N$6:$N$1005,SMALL(IF(checklistPesertaKemenkeu!$AY$6:$AY$1005="Direkomendasikan",ROW($6:$1005)-5),379)),KotaKode,2,0),"-"),"")),"")</f>
        <v/>
      </c>
      <c r="K380" t="str">
        <f t="array" aca="1" ref="K380" ca="1">IFERROR(IF(OR(INDEX(checklistPesertaKemenkeu!$O$6:$O$1005,SMALL(IF(checklistPesertaKemenkeu!$AY$6:$AY$1005="Direkomendasikan",ROW($6:$1005)-5),379))="",INDEX(checklistPesertaKemenkeu!$J$6:$J$1005,SMALL(IF(checklistPesertaKemenkeu!$AY$6:$AY$1005="Direkomendasikan",ROW($6:$1005)-5),379))=""),"",IF(AND(COUNTIF(INDIRECT("K_"&amp;MATCH(INDEX(checklistPesertaKemenkeu!$J$6:$J$1005,SMALL(IF(checklistPesertaKemenkeu!$AY$6:$AY$1005="Direkomendasikan",ROW($6:$1005)-5),379)),BidangList,0)),INDEX(checklistPesertaKemenkeu!$O$6:$O$1005,SMALL(IF(checklistPesertaKemenkeu!$AY$6:$AY$1005="Direkomendasikan",ROW($6:$1005)-5),379)))&gt;0,COUNTIF(INDIRECT("'KERTAS KERJA'!K"&amp;(SMALL(IF(checklistPesertaKemenkeu!$AY$6:$AY$1005="Direkomendasikan",ROW($6:$1005)-5),379)+5)&amp;":O"&amp;(SMALL(IF(checklistPesertaKemenkeu!$AY$6:$AY$1005="Direkomendasikan",ROW($6:$1005)-5),379)+5)),INDEX(checklistPesertaKemenkeu!$O$6:$O$1005,SMALL(IF(checklistPesertaKemenkeu!$AY$6:$AY$1005="Direkomendasikan",ROW($6:$1005)-5),379)))=1),IFERROR(VLOOKUP(INDEX(checklistPesertaKemenkeu!$O$6:$O$1005,SMALL(IF(checklistPesertaKemenkeu!$AY$6:$AY$1005="Direkomendasikan",ROW($6:$1005)-5),379)),KotaKode,2,0),"-"),"")),"")</f>
        <v/>
      </c>
      <c r="L380" t="str">
        <f t="array" aca="1" ref="L380" ca="1">IFERROR(IF(OR(INDEX(checklistPesertaKemenkeu!$P$6:$P$1005,SMALL(IF(checklistPesertaKemenkeu!$AY$6:$AY$1005="Direkomendasikan",ROW($6:$1005)-5),379))="",INDEX(checklistPesertaKemenkeu!$J$6:$J$1005,SMALL(IF(checklistPesertaKemenkeu!$AY$6:$AY$1005="Direkomendasikan",ROW($6:$1005)-5),379))=""),"",IF(AND(COUNTIF(INDIRECT("K_"&amp;MATCH(INDEX(checklistPesertaKemenkeu!$J$6:$J$1005,SMALL(IF(checklistPesertaKemenkeu!$AY$6:$AY$1005="Direkomendasikan",ROW($6:$1005)-5),379)),BidangList,0)),INDEX(checklistPesertaKemenkeu!$P$6:$P$1005,SMALL(IF(checklistPesertaKemenkeu!$AY$6:$AY$1005="Direkomendasikan",ROW($6:$1005)-5),379)))&gt;0,COUNTIF(INDIRECT("'KERTAS KERJA'!K"&amp;(SMALL(IF(checklistPesertaKemenkeu!$AY$6:$AY$1005="Direkomendasikan",ROW($6:$1005)-5),379)+5)&amp;":O"&amp;(SMALL(IF(checklistPesertaKemenkeu!$AY$6:$AY$1005="Direkomendasikan",ROW($6:$1005)-5),379)+5)),INDEX(checklistPesertaKemenkeu!$P$6:$P$1005,SMALL(IF(checklistPesertaKemenkeu!$AY$6:$AY$1005="Direkomendasikan",ROW($6:$1005)-5),379)))=1),IFERROR(VLOOKUP(INDEX(checklistPesertaKemenkeu!$P$6:$P$1005,SMALL(IF(checklistPesertaKemenkeu!$AY$6:$AY$1005="Direkomendasikan",ROW($6:$1005)-5),379)),KotaKode,2,0),"-"),"")),"")</f>
        <v/>
      </c>
    </row>
    <row r="381" spans="1:12" ht="15" customHeight="1" x14ac:dyDescent="0.2">
      <c r="A381" t="str">
        <f t="shared" si="5"/>
        <v/>
      </c>
      <c r="B381" t="str">
        <v/>
      </c>
      <c r="C381" s="40" t="str">
        <f t="array" ref="C381">IFERROR(INDEX(checklistPesertaKemenkeu!$F$6:$F$1005,SMALL(IF(checklistPesertaKemenkeu!$AY$6:$AY$1005="Direkomendasikan",ROW($6:$1005)-5),380)),"")</f>
        <v/>
      </c>
      <c r="D381" t="str">
        <f t="array" ref="D381">IFERROR(INDEX(checklistPesertaKemenkeu!$G$6:$G$1005,SMALL(IF(checklistPesertaKemenkeu!$AY$6:$AY$1005="Direkomendasikan",ROW($6:$1005)-5),380)),"")</f>
        <v/>
      </c>
      <c r="E381" t="str">
        <f t="array" ref="E381">IFERROR(INDEX(checklistPesertaKemenkeu!$H$6:$H$1005,SMALL(IF(checklistPesertaKemenkeu!$AY$6:$AY$1005="Direkomendasikan",ROW($6:$1005)-5),380)),"")</f>
        <v/>
      </c>
      <c r="F381" t="str">
        <f t="array" ref="F381">IFERROR(INDEX(checklistPesertaKemenkeu!$I$6:$I$1005,SMALL(IF(checklistPesertaKemenkeu!$AY$6:$AY$1005="Direkomendasikan",ROW($6:$1005)-5),380)),"")</f>
        <v/>
      </c>
      <c r="G381" t="str">
        <f t="array" ref="G381">IFERROR(INDEX(checklistPesertaKemenkeu!$J$6:$J$1005,SMALL(IF(checklistPesertaKemenkeu!$AY$6:$AY$1005="Direkomendasikan",ROW($6:$1005)-5),380)),"")</f>
        <v/>
      </c>
      <c r="H381" t="str">
        <f t="array" aca="1" ref="H381" ca="1">IFERROR(IF(OR(INDEX(checklistPesertaKemenkeu!$L$6:$L$1005,SMALL(IF(checklistPesertaKemenkeu!$AY$6:$AY$1005="Direkomendasikan",ROW($6:$1005)-5),380))="",INDEX(checklistPesertaKemenkeu!$J$6:$J$1005,SMALL(IF(checklistPesertaKemenkeu!$AY$6:$AY$1005="Direkomendasikan",ROW($6:$1005)-5),380))=""),"",IF(AND(COUNTIF(INDIRECT("K_"&amp;MATCH(INDEX(checklistPesertaKemenkeu!$J$6:$J$1005,SMALL(IF(checklistPesertaKemenkeu!$AY$6:$AY$1005="Direkomendasikan",ROW($6:$1005)-5),380)),BidangList,0)),INDEX(checklistPesertaKemenkeu!$L$6:$L$1005,SMALL(IF(checklistPesertaKemenkeu!$AY$6:$AY$1005="Direkomendasikan",ROW($6:$1005)-5),380)))&gt;0,COUNTIF(INDIRECT("'KERTAS KERJA'!K"&amp;(SMALL(IF(checklistPesertaKemenkeu!$AY$6:$AY$1005="Direkomendasikan",ROW($6:$1005)-5),380)+5)&amp;":O"&amp;(SMALL(IF(checklistPesertaKemenkeu!$AY$6:$AY$1005="Direkomendasikan",ROW($6:$1005)-5),380)+5)),INDEX(checklistPesertaKemenkeu!$L$6:$L$1005,SMALL(IF(checklistPesertaKemenkeu!$AY$6:$AY$1005="Direkomendasikan",ROW($6:$1005)-5),380)))=1),IFERROR(VLOOKUP(INDEX(checklistPesertaKemenkeu!$L$6:$L$1005,SMALL(IF(checklistPesertaKemenkeu!$AY$6:$AY$1005="Direkomendasikan",ROW($6:$1005)-5),380)),KotaKode,2,0),"-"),"")),"")</f>
        <v/>
      </c>
      <c r="I381" t="str">
        <f t="array" aca="1" ref="I381" ca="1">IFERROR(IF(OR(INDEX(checklistPesertaKemenkeu!$M$6:$M$1005,SMALL(IF(checklistPesertaKemenkeu!$AY$6:$AY$1005="Direkomendasikan",ROW($6:$1005)-5),380))="",INDEX(checklistPesertaKemenkeu!$J$6:$J$1005,SMALL(IF(checklistPesertaKemenkeu!$AY$6:$AY$1005="Direkomendasikan",ROW($6:$1005)-5),380))=""),"",IF(AND(COUNTIF(INDIRECT("K_"&amp;MATCH(INDEX(checklistPesertaKemenkeu!$J$6:$J$1005,SMALL(IF(checklistPesertaKemenkeu!$AY$6:$AY$1005="Direkomendasikan",ROW($6:$1005)-5),380)),BidangList,0)),INDEX(checklistPesertaKemenkeu!$M$6:$M$1005,SMALL(IF(checklistPesertaKemenkeu!$AY$6:$AY$1005="Direkomendasikan",ROW($6:$1005)-5),380)))&gt;0,COUNTIF(INDIRECT("'KERTAS KERJA'!K"&amp;(SMALL(IF(checklistPesertaKemenkeu!$AY$6:$AY$1005="Direkomendasikan",ROW($6:$1005)-5),380)+5)&amp;":O"&amp;(SMALL(IF(checklistPesertaKemenkeu!$AY$6:$AY$1005="Direkomendasikan",ROW($6:$1005)-5),380)+5)),INDEX(checklistPesertaKemenkeu!$M$6:$M$1005,SMALL(IF(checklistPesertaKemenkeu!$AY$6:$AY$1005="Direkomendasikan",ROW($6:$1005)-5),380)))=1),IFERROR(VLOOKUP(INDEX(checklistPesertaKemenkeu!$M$6:$M$1005,SMALL(IF(checklistPesertaKemenkeu!$AY$6:$AY$1005="Direkomendasikan",ROW($6:$1005)-5),380)),KotaKode,2,0),"-"),"")),"")</f>
        <v/>
      </c>
      <c r="J381" t="str">
        <f t="array" aca="1" ref="J381" ca="1">IFERROR(IF(OR(INDEX(checklistPesertaKemenkeu!$N$6:$N$1005,SMALL(IF(checklistPesertaKemenkeu!$AY$6:$AY$1005="Direkomendasikan",ROW($6:$1005)-5),380))="",INDEX(checklistPesertaKemenkeu!$J$6:$J$1005,SMALL(IF(checklistPesertaKemenkeu!$AY$6:$AY$1005="Direkomendasikan",ROW($6:$1005)-5),380))=""),"",IF(AND(COUNTIF(INDIRECT("K_"&amp;MATCH(INDEX(checklistPesertaKemenkeu!$J$6:$J$1005,SMALL(IF(checklistPesertaKemenkeu!$AY$6:$AY$1005="Direkomendasikan",ROW($6:$1005)-5),380)),BidangList,0)),INDEX(checklistPesertaKemenkeu!$N$6:$N$1005,SMALL(IF(checklistPesertaKemenkeu!$AY$6:$AY$1005="Direkomendasikan",ROW($6:$1005)-5),380)))&gt;0,COUNTIF(INDIRECT("'KERTAS KERJA'!K"&amp;(SMALL(IF(checklistPesertaKemenkeu!$AY$6:$AY$1005="Direkomendasikan",ROW($6:$1005)-5),380)+5)&amp;":O"&amp;(SMALL(IF(checklistPesertaKemenkeu!$AY$6:$AY$1005="Direkomendasikan",ROW($6:$1005)-5),380)+5)),INDEX(checklistPesertaKemenkeu!$N$6:$N$1005,SMALL(IF(checklistPesertaKemenkeu!$AY$6:$AY$1005="Direkomendasikan",ROW($6:$1005)-5),380)))=1),IFERROR(VLOOKUP(INDEX(checklistPesertaKemenkeu!$N$6:$N$1005,SMALL(IF(checklistPesertaKemenkeu!$AY$6:$AY$1005="Direkomendasikan",ROW($6:$1005)-5),380)),KotaKode,2,0),"-"),"")),"")</f>
        <v/>
      </c>
      <c r="K381" t="str">
        <f t="array" aca="1" ref="K381" ca="1">IFERROR(IF(OR(INDEX(checklistPesertaKemenkeu!$O$6:$O$1005,SMALL(IF(checklistPesertaKemenkeu!$AY$6:$AY$1005="Direkomendasikan",ROW($6:$1005)-5),380))="",INDEX(checklistPesertaKemenkeu!$J$6:$J$1005,SMALL(IF(checklistPesertaKemenkeu!$AY$6:$AY$1005="Direkomendasikan",ROW($6:$1005)-5),380))=""),"",IF(AND(COUNTIF(INDIRECT("K_"&amp;MATCH(INDEX(checklistPesertaKemenkeu!$J$6:$J$1005,SMALL(IF(checklistPesertaKemenkeu!$AY$6:$AY$1005="Direkomendasikan",ROW($6:$1005)-5),380)),BidangList,0)),INDEX(checklistPesertaKemenkeu!$O$6:$O$1005,SMALL(IF(checklistPesertaKemenkeu!$AY$6:$AY$1005="Direkomendasikan",ROW($6:$1005)-5),380)))&gt;0,COUNTIF(INDIRECT("'KERTAS KERJA'!K"&amp;(SMALL(IF(checklistPesertaKemenkeu!$AY$6:$AY$1005="Direkomendasikan",ROW($6:$1005)-5),380)+5)&amp;":O"&amp;(SMALL(IF(checklistPesertaKemenkeu!$AY$6:$AY$1005="Direkomendasikan",ROW($6:$1005)-5),380)+5)),INDEX(checklistPesertaKemenkeu!$O$6:$O$1005,SMALL(IF(checklistPesertaKemenkeu!$AY$6:$AY$1005="Direkomendasikan",ROW($6:$1005)-5),380)))=1),IFERROR(VLOOKUP(INDEX(checklistPesertaKemenkeu!$O$6:$O$1005,SMALL(IF(checklistPesertaKemenkeu!$AY$6:$AY$1005="Direkomendasikan",ROW($6:$1005)-5),380)),KotaKode,2,0),"-"),"")),"")</f>
        <v/>
      </c>
      <c r="L381" t="str">
        <f t="array" aca="1" ref="L381" ca="1">IFERROR(IF(OR(INDEX(checklistPesertaKemenkeu!$P$6:$P$1005,SMALL(IF(checklistPesertaKemenkeu!$AY$6:$AY$1005="Direkomendasikan",ROW($6:$1005)-5),380))="",INDEX(checklistPesertaKemenkeu!$J$6:$J$1005,SMALL(IF(checklistPesertaKemenkeu!$AY$6:$AY$1005="Direkomendasikan",ROW($6:$1005)-5),380))=""),"",IF(AND(COUNTIF(INDIRECT("K_"&amp;MATCH(INDEX(checklistPesertaKemenkeu!$J$6:$J$1005,SMALL(IF(checklistPesertaKemenkeu!$AY$6:$AY$1005="Direkomendasikan",ROW($6:$1005)-5),380)),BidangList,0)),INDEX(checklistPesertaKemenkeu!$P$6:$P$1005,SMALL(IF(checklistPesertaKemenkeu!$AY$6:$AY$1005="Direkomendasikan",ROW($6:$1005)-5),380)))&gt;0,COUNTIF(INDIRECT("'KERTAS KERJA'!K"&amp;(SMALL(IF(checklistPesertaKemenkeu!$AY$6:$AY$1005="Direkomendasikan",ROW($6:$1005)-5),380)+5)&amp;":O"&amp;(SMALL(IF(checklistPesertaKemenkeu!$AY$6:$AY$1005="Direkomendasikan",ROW($6:$1005)-5),380)+5)),INDEX(checklistPesertaKemenkeu!$P$6:$P$1005,SMALL(IF(checklistPesertaKemenkeu!$AY$6:$AY$1005="Direkomendasikan",ROW($6:$1005)-5),380)))=1),IFERROR(VLOOKUP(INDEX(checklistPesertaKemenkeu!$P$6:$P$1005,SMALL(IF(checklistPesertaKemenkeu!$AY$6:$AY$1005="Direkomendasikan",ROW($6:$1005)-5),380)),KotaKode,2,0),"-"),"")),"")</f>
        <v/>
      </c>
    </row>
    <row r="382" spans="1:12" ht="15" customHeight="1" x14ac:dyDescent="0.2">
      <c r="A382" t="str">
        <f t="shared" si="5"/>
        <v/>
      </c>
      <c r="B382" t="str">
        <v/>
      </c>
      <c r="C382" s="40" t="str">
        <f t="array" ref="C382">IFERROR(INDEX(checklistPesertaKemenkeu!$F$6:$F$1005,SMALL(IF(checklistPesertaKemenkeu!$AY$6:$AY$1005="Direkomendasikan",ROW($6:$1005)-5),381)),"")</f>
        <v/>
      </c>
      <c r="D382" t="str">
        <f t="array" ref="D382">IFERROR(INDEX(checklistPesertaKemenkeu!$G$6:$G$1005,SMALL(IF(checklistPesertaKemenkeu!$AY$6:$AY$1005="Direkomendasikan",ROW($6:$1005)-5),381)),"")</f>
        <v/>
      </c>
      <c r="E382" t="str">
        <f t="array" ref="E382">IFERROR(INDEX(checklistPesertaKemenkeu!$H$6:$H$1005,SMALL(IF(checklistPesertaKemenkeu!$AY$6:$AY$1005="Direkomendasikan",ROW($6:$1005)-5),381)),"")</f>
        <v/>
      </c>
      <c r="F382" t="str">
        <f t="array" ref="F382">IFERROR(INDEX(checklistPesertaKemenkeu!$I$6:$I$1005,SMALL(IF(checklistPesertaKemenkeu!$AY$6:$AY$1005="Direkomendasikan",ROW($6:$1005)-5),381)),"")</f>
        <v/>
      </c>
      <c r="G382" t="str">
        <f t="array" ref="G382">IFERROR(INDEX(checklistPesertaKemenkeu!$J$6:$J$1005,SMALL(IF(checklistPesertaKemenkeu!$AY$6:$AY$1005="Direkomendasikan",ROW($6:$1005)-5),381)),"")</f>
        <v/>
      </c>
      <c r="H382" t="str">
        <f t="array" aca="1" ref="H382" ca="1">IFERROR(IF(OR(INDEX(checklistPesertaKemenkeu!$L$6:$L$1005,SMALL(IF(checklistPesertaKemenkeu!$AY$6:$AY$1005="Direkomendasikan",ROW($6:$1005)-5),381))="",INDEX(checklistPesertaKemenkeu!$J$6:$J$1005,SMALL(IF(checklistPesertaKemenkeu!$AY$6:$AY$1005="Direkomendasikan",ROW($6:$1005)-5),381))=""),"",IF(AND(COUNTIF(INDIRECT("K_"&amp;MATCH(INDEX(checklistPesertaKemenkeu!$J$6:$J$1005,SMALL(IF(checklistPesertaKemenkeu!$AY$6:$AY$1005="Direkomendasikan",ROW($6:$1005)-5),381)),BidangList,0)),INDEX(checklistPesertaKemenkeu!$L$6:$L$1005,SMALL(IF(checklistPesertaKemenkeu!$AY$6:$AY$1005="Direkomendasikan",ROW($6:$1005)-5),381)))&gt;0,COUNTIF(INDIRECT("'KERTAS KERJA'!K"&amp;(SMALL(IF(checklistPesertaKemenkeu!$AY$6:$AY$1005="Direkomendasikan",ROW($6:$1005)-5),381)+5)&amp;":O"&amp;(SMALL(IF(checklistPesertaKemenkeu!$AY$6:$AY$1005="Direkomendasikan",ROW($6:$1005)-5),381)+5)),INDEX(checklistPesertaKemenkeu!$L$6:$L$1005,SMALL(IF(checklistPesertaKemenkeu!$AY$6:$AY$1005="Direkomendasikan",ROW($6:$1005)-5),381)))=1),IFERROR(VLOOKUP(INDEX(checklistPesertaKemenkeu!$L$6:$L$1005,SMALL(IF(checklistPesertaKemenkeu!$AY$6:$AY$1005="Direkomendasikan",ROW($6:$1005)-5),381)),KotaKode,2,0),"-"),"")),"")</f>
        <v/>
      </c>
      <c r="I382" t="str">
        <f t="array" aca="1" ref="I382" ca="1">IFERROR(IF(OR(INDEX(checklistPesertaKemenkeu!$M$6:$M$1005,SMALL(IF(checklistPesertaKemenkeu!$AY$6:$AY$1005="Direkomendasikan",ROW($6:$1005)-5),381))="",INDEX(checklistPesertaKemenkeu!$J$6:$J$1005,SMALL(IF(checklistPesertaKemenkeu!$AY$6:$AY$1005="Direkomendasikan",ROW($6:$1005)-5),381))=""),"",IF(AND(COUNTIF(INDIRECT("K_"&amp;MATCH(INDEX(checklistPesertaKemenkeu!$J$6:$J$1005,SMALL(IF(checklistPesertaKemenkeu!$AY$6:$AY$1005="Direkomendasikan",ROW($6:$1005)-5),381)),BidangList,0)),INDEX(checklistPesertaKemenkeu!$M$6:$M$1005,SMALL(IF(checklistPesertaKemenkeu!$AY$6:$AY$1005="Direkomendasikan",ROW($6:$1005)-5),381)))&gt;0,COUNTIF(INDIRECT("'KERTAS KERJA'!K"&amp;(SMALL(IF(checklistPesertaKemenkeu!$AY$6:$AY$1005="Direkomendasikan",ROW($6:$1005)-5),381)+5)&amp;":O"&amp;(SMALL(IF(checklistPesertaKemenkeu!$AY$6:$AY$1005="Direkomendasikan",ROW($6:$1005)-5),381)+5)),INDEX(checklistPesertaKemenkeu!$M$6:$M$1005,SMALL(IF(checklistPesertaKemenkeu!$AY$6:$AY$1005="Direkomendasikan",ROW($6:$1005)-5),381)))=1),IFERROR(VLOOKUP(INDEX(checklistPesertaKemenkeu!$M$6:$M$1005,SMALL(IF(checklistPesertaKemenkeu!$AY$6:$AY$1005="Direkomendasikan",ROW($6:$1005)-5),381)),KotaKode,2,0),"-"),"")),"")</f>
        <v/>
      </c>
      <c r="J382" t="str">
        <f t="array" aca="1" ref="J382" ca="1">IFERROR(IF(OR(INDEX(checklistPesertaKemenkeu!$N$6:$N$1005,SMALL(IF(checklistPesertaKemenkeu!$AY$6:$AY$1005="Direkomendasikan",ROW($6:$1005)-5),381))="",INDEX(checklistPesertaKemenkeu!$J$6:$J$1005,SMALL(IF(checklistPesertaKemenkeu!$AY$6:$AY$1005="Direkomendasikan",ROW($6:$1005)-5),381))=""),"",IF(AND(COUNTIF(INDIRECT("K_"&amp;MATCH(INDEX(checklistPesertaKemenkeu!$J$6:$J$1005,SMALL(IF(checklistPesertaKemenkeu!$AY$6:$AY$1005="Direkomendasikan",ROW($6:$1005)-5),381)),BidangList,0)),INDEX(checklistPesertaKemenkeu!$N$6:$N$1005,SMALL(IF(checklistPesertaKemenkeu!$AY$6:$AY$1005="Direkomendasikan",ROW($6:$1005)-5),381)))&gt;0,COUNTIF(INDIRECT("'KERTAS KERJA'!K"&amp;(SMALL(IF(checklistPesertaKemenkeu!$AY$6:$AY$1005="Direkomendasikan",ROW($6:$1005)-5),381)+5)&amp;":O"&amp;(SMALL(IF(checklistPesertaKemenkeu!$AY$6:$AY$1005="Direkomendasikan",ROW($6:$1005)-5),381)+5)),INDEX(checklistPesertaKemenkeu!$N$6:$N$1005,SMALL(IF(checklistPesertaKemenkeu!$AY$6:$AY$1005="Direkomendasikan",ROW($6:$1005)-5),381)))=1),IFERROR(VLOOKUP(INDEX(checklistPesertaKemenkeu!$N$6:$N$1005,SMALL(IF(checklistPesertaKemenkeu!$AY$6:$AY$1005="Direkomendasikan",ROW($6:$1005)-5),381)),KotaKode,2,0),"-"),"")),"")</f>
        <v/>
      </c>
      <c r="K382" t="str">
        <f t="array" aca="1" ref="K382" ca="1">IFERROR(IF(OR(INDEX(checklistPesertaKemenkeu!$O$6:$O$1005,SMALL(IF(checklistPesertaKemenkeu!$AY$6:$AY$1005="Direkomendasikan",ROW($6:$1005)-5),381))="",INDEX(checklistPesertaKemenkeu!$J$6:$J$1005,SMALL(IF(checklistPesertaKemenkeu!$AY$6:$AY$1005="Direkomendasikan",ROW($6:$1005)-5),381))=""),"",IF(AND(COUNTIF(INDIRECT("K_"&amp;MATCH(INDEX(checklistPesertaKemenkeu!$J$6:$J$1005,SMALL(IF(checklistPesertaKemenkeu!$AY$6:$AY$1005="Direkomendasikan",ROW($6:$1005)-5),381)),BidangList,0)),INDEX(checklistPesertaKemenkeu!$O$6:$O$1005,SMALL(IF(checklistPesertaKemenkeu!$AY$6:$AY$1005="Direkomendasikan",ROW($6:$1005)-5),381)))&gt;0,COUNTIF(INDIRECT("'KERTAS KERJA'!K"&amp;(SMALL(IF(checklistPesertaKemenkeu!$AY$6:$AY$1005="Direkomendasikan",ROW($6:$1005)-5),381)+5)&amp;":O"&amp;(SMALL(IF(checklistPesertaKemenkeu!$AY$6:$AY$1005="Direkomendasikan",ROW($6:$1005)-5),381)+5)),INDEX(checklistPesertaKemenkeu!$O$6:$O$1005,SMALL(IF(checklistPesertaKemenkeu!$AY$6:$AY$1005="Direkomendasikan",ROW($6:$1005)-5),381)))=1),IFERROR(VLOOKUP(INDEX(checklistPesertaKemenkeu!$O$6:$O$1005,SMALL(IF(checklistPesertaKemenkeu!$AY$6:$AY$1005="Direkomendasikan",ROW($6:$1005)-5),381)),KotaKode,2,0),"-"),"")),"")</f>
        <v/>
      </c>
      <c r="L382" t="str">
        <f t="array" aca="1" ref="L382" ca="1">IFERROR(IF(OR(INDEX(checklistPesertaKemenkeu!$P$6:$P$1005,SMALL(IF(checklistPesertaKemenkeu!$AY$6:$AY$1005="Direkomendasikan",ROW($6:$1005)-5),381))="",INDEX(checklistPesertaKemenkeu!$J$6:$J$1005,SMALL(IF(checklistPesertaKemenkeu!$AY$6:$AY$1005="Direkomendasikan",ROW($6:$1005)-5),381))=""),"",IF(AND(COUNTIF(INDIRECT("K_"&amp;MATCH(INDEX(checklistPesertaKemenkeu!$J$6:$J$1005,SMALL(IF(checklistPesertaKemenkeu!$AY$6:$AY$1005="Direkomendasikan",ROW($6:$1005)-5),381)),BidangList,0)),INDEX(checklistPesertaKemenkeu!$P$6:$P$1005,SMALL(IF(checklistPesertaKemenkeu!$AY$6:$AY$1005="Direkomendasikan",ROW($6:$1005)-5),381)))&gt;0,COUNTIF(INDIRECT("'KERTAS KERJA'!K"&amp;(SMALL(IF(checklistPesertaKemenkeu!$AY$6:$AY$1005="Direkomendasikan",ROW($6:$1005)-5),381)+5)&amp;":O"&amp;(SMALL(IF(checklistPesertaKemenkeu!$AY$6:$AY$1005="Direkomendasikan",ROW($6:$1005)-5),381)+5)),INDEX(checklistPesertaKemenkeu!$P$6:$P$1005,SMALL(IF(checklistPesertaKemenkeu!$AY$6:$AY$1005="Direkomendasikan",ROW($6:$1005)-5),381)))=1),IFERROR(VLOOKUP(INDEX(checklistPesertaKemenkeu!$P$6:$P$1005,SMALL(IF(checklistPesertaKemenkeu!$AY$6:$AY$1005="Direkomendasikan",ROW($6:$1005)-5),381)),KotaKode,2,0),"-"),"")),"")</f>
        <v/>
      </c>
    </row>
    <row r="383" spans="1:12" ht="15" customHeight="1" x14ac:dyDescent="0.2">
      <c r="A383" t="str">
        <f t="shared" si="5"/>
        <v/>
      </c>
      <c r="B383" t="str">
        <v/>
      </c>
      <c r="C383" s="40" t="str">
        <f t="array" ref="C383">IFERROR(INDEX(checklistPesertaKemenkeu!$F$6:$F$1005,SMALL(IF(checklistPesertaKemenkeu!$AY$6:$AY$1005="Direkomendasikan",ROW($6:$1005)-5),382)),"")</f>
        <v/>
      </c>
      <c r="D383" t="str">
        <f t="array" ref="D383">IFERROR(INDEX(checklistPesertaKemenkeu!$G$6:$G$1005,SMALL(IF(checklistPesertaKemenkeu!$AY$6:$AY$1005="Direkomendasikan",ROW($6:$1005)-5),382)),"")</f>
        <v/>
      </c>
      <c r="E383" t="str">
        <f t="array" ref="E383">IFERROR(INDEX(checklistPesertaKemenkeu!$H$6:$H$1005,SMALL(IF(checklistPesertaKemenkeu!$AY$6:$AY$1005="Direkomendasikan",ROW($6:$1005)-5),382)),"")</f>
        <v/>
      </c>
      <c r="F383" t="str">
        <f t="array" ref="F383">IFERROR(INDEX(checklistPesertaKemenkeu!$I$6:$I$1005,SMALL(IF(checklistPesertaKemenkeu!$AY$6:$AY$1005="Direkomendasikan",ROW($6:$1005)-5),382)),"")</f>
        <v/>
      </c>
      <c r="G383" t="str">
        <f t="array" ref="G383">IFERROR(INDEX(checklistPesertaKemenkeu!$J$6:$J$1005,SMALL(IF(checklistPesertaKemenkeu!$AY$6:$AY$1005="Direkomendasikan",ROW($6:$1005)-5),382)),"")</f>
        <v/>
      </c>
      <c r="H383" t="str">
        <f t="array" aca="1" ref="H383" ca="1">IFERROR(IF(OR(INDEX(checklistPesertaKemenkeu!$L$6:$L$1005,SMALL(IF(checklistPesertaKemenkeu!$AY$6:$AY$1005="Direkomendasikan",ROW($6:$1005)-5),382))="",INDEX(checklistPesertaKemenkeu!$J$6:$J$1005,SMALL(IF(checklistPesertaKemenkeu!$AY$6:$AY$1005="Direkomendasikan",ROW($6:$1005)-5),382))=""),"",IF(AND(COUNTIF(INDIRECT("K_"&amp;MATCH(INDEX(checklistPesertaKemenkeu!$J$6:$J$1005,SMALL(IF(checklistPesertaKemenkeu!$AY$6:$AY$1005="Direkomendasikan",ROW($6:$1005)-5),382)),BidangList,0)),INDEX(checklistPesertaKemenkeu!$L$6:$L$1005,SMALL(IF(checklistPesertaKemenkeu!$AY$6:$AY$1005="Direkomendasikan",ROW($6:$1005)-5),382)))&gt;0,COUNTIF(INDIRECT("'KERTAS KERJA'!K"&amp;(SMALL(IF(checklistPesertaKemenkeu!$AY$6:$AY$1005="Direkomendasikan",ROW($6:$1005)-5),382)+5)&amp;":O"&amp;(SMALL(IF(checklistPesertaKemenkeu!$AY$6:$AY$1005="Direkomendasikan",ROW($6:$1005)-5),382)+5)),INDEX(checklistPesertaKemenkeu!$L$6:$L$1005,SMALL(IF(checklistPesertaKemenkeu!$AY$6:$AY$1005="Direkomendasikan",ROW($6:$1005)-5),382)))=1),IFERROR(VLOOKUP(INDEX(checklistPesertaKemenkeu!$L$6:$L$1005,SMALL(IF(checklistPesertaKemenkeu!$AY$6:$AY$1005="Direkomendasikan",ROW($6:$1005)-5),382)),KotaKode,2,0),"-"),"")),"")</f>
        <v/>
      </c>
      <c r="I383" t="str">
        <f t="array" aca="1" ref="I383" ca="1">IFERROR(IF(OR(INDEX(checklistPesertaKemenkeu!$M$6:$M$1005,SMALL(IF(checklistPesertaKemenkeu!$AY$6:$AY$1005="Direkomendasikan",ROW($6:$1005)-5),382))="",INDEX(checklistPesertaKemenkeu!$J$6:$J$1005,SMALL(IF(checklistPesertaKemenkeu!$AY$6:$AY$1005="Direkomendasikan",ROW($6:$1005)-5),382))=""),"",IF(AND(COUNTIF(INDIRECT("K_"&amp;MATCH(INDEX(checklistPesertaKemenkeu!$J$6:$J$1005,SMALL(IF(checklistPesertaKemenkeu!$AY$6:$AY$1005="Direkomendasikan",ROW($6:$1005)-5),382)),BidangList,0)),INDEX(checklistPesertaKemenkeu!$M$6:$M$1005,SMALL(IF(checklistPesertaKemenkeu!$AY$6:$AY$1005="Direkomendasikan",ROW($6:$1005)-5),382)))&gt;0,COUNTIF(INDIRECT("'KERTAS KERJA'!K"&amp;(SMALL(IF(checklistPesertaKemenkeu!$AY$6:$AY$1005="Direkomendasikan",ROW($6:$1005)-5),382)+5)&amp;":O"&amp;(SMALL(IF(checklistPesertaKemenkeu!$AY$6:$AY$1005="Direkomendasikan",ROW($6:$1005)-5),382)+5)),INDEX(checklistPesertaKemenkeu!$M$6:$M$1005,SMALL(IF(checklistPesertaKemenkeu!$AY$6:$AY$1005="Direkomendasikan",ROW($6:$1005)-5),382)))=1),IFERROR(VLOOKUP(INDEX(checklistPesertaKemenkeu!$M$6:$M$1005,SMALL(IF(checklistPesertaKemenkeu!$AY$6:$AY$1005="Direkomendasikan",ROW($6:$1005)-5),382)),KotaKode,2,0),"-"),"")),"")</f>
        <v/>
      </c>
      <c r="J383" t="str">
        <f t="array" aca="1" ref="J383" ca="1">IFERROR(IF(OR(INDEX(checklistPesertaKemenkeu!$N$6:$N$1005,SMALL(IF(checklistPesertaKemenkeu!$AY$6:$AY$1005="Direkomendasikan",ROW($6:$1005)-5),382))="",INDEX(checklistPesertaKemenkeu!$J$6:$J$1005,SMALL(IF(checklistPesertaKemenkeu!$AY$6:$AY$1005="Direkomendasikan",ROW($6:$1005)-5),382))=""),"",IF(AND(COUNTIF(INDIRECT("K_"&amp;MATCH(INDEX(checklistPesertaKemenkeu!$J$6:$J$1005,SMALL(IF(checklistPesertaKemenkeu!$AY$6:$AY$1005="Direkomendasikan",ROW($6:$1005)-5),382)),BidangList,0)),INDEX(checklistPesertaKemenkeu!$N$6:$N$1005,SMALL(IF(checklistPesertaKemenkeu!$AY$6:$AY$1005="Direkomendasikan",ROW($6:$1005)-5),382)))&gt;0,COUNTIF(INDIRECT("'KERTAS KERJA'!K"&amp;(SMALL(IF(checklistPesertaKemenkeu!$AY$6:$AY$1005="Direkomendasikan",ROW($6:$1005)-5),382)+5)&amp;":O"&amp;(SMALL(IF(checklistPesertaKemenkeu!$AY$6:$AY$1005="Direkomendasikan",ROW($6:$1005)-5),382)+5)),INDEX(checklistPesertaKemenkeu!$N$6:$N$1005,SMALL(IF(checklistPesertaKemenkeu!$AY$6:$AY$1005="Direkomendasikan",ROW($6:$1005)-5),382)))=1),IFERROR(VLOOKUP(INDEX(checklistPesertaKemenkeu!$N$6:$N$1005,SMALL(IF(checklistPesertaKemenkeu!$AY$6:$AY$1005="Direkomendasikan",ROW($6:$1005)-5),382)),KotaKode,2,0),"-"),"")),"")</f>
        <v/>
      </c>
      <c r="K383" t="str">
        <f t="array" aca="1" ref="K383" ca="1">IFERROR(IF(OR(INDEX(checklistPesertaKemenkeu!$O$6:$O$1005,SMALL(IF(checklistPesertaKemenkeu!$AY$6:$AY$1005="Direkomendasikan",ROW($6:$1005)-5),382))="",INDEX(checklistPesertaKemenkeu!$J$6:$J$1005,SMALL(IF(checklistPesertaKemenkeu!$AY$6:$AY$1005="Direkomendasikan",ROW($6:$1005)-5),382))=""),"",IF(AND(COUNTIF(INDIRECT("K_"&amp;MATCH(INDEX(checklistPesertaKemenkeu!$J$6:$J$1005,SMALL(IF(checklistPesertaKemenkeu!$AY$6:$AY$1005="Direkomendasikan",ROW($6:$1005)-5),382)),BidangList,0)),INDEX(checklistPesertaKemenkeu!$O$6:$O$1005,SMALL(IF(checklistPesertaKemenkeu!$AY$6:$AY$1005="Direkomendasikan",ROW($6:$1005)-5),382)))&gt;0,COUNTIF(INDIRECT("'KERTAS KERJA'!K"&amp;(SMALL(IF(checklistPesertaKemenkeu!$AY$6:$AY$1005="Direkomendasikan",ROW($6:$1005)-5),382)+5)&amp;":O"&amp;(SMALL(IF(checklistPesertaKemenkeu!$AY$6:$AY$1005="Direkomendasikan",ROW($6:$1005)-5),382)+5)),INDEX(checklistPesertaKemenkeu!$O$6:$O$1005,SMALL(IF(checklistPesertaKemenkeu!$AY$6:$AY$1005="Direkomendasikan",ROW($6:$1005)-5),382)))=1),IFERROR(VLOOKUP(INDEX(checklistPesertaKemenkeu!$O$6:$O$1005,SMALL(IF(checklistPesertaKemenkeu!$AY$6:$AY$1005="Direkomendasikan",ROW($6:$1005)-5),382)),KotaKode,2,0),"-"),"")),"")</f>
        <v/>
      </c>
      <c r="L383" t="str">
        <f t="array" aca="1" ref="L383" ca="1">IFERROR(IF(OR(INDEX(checklistPesertaKemenkeu!$P$6:$P$1005,SMALL(IF(checklistPesertaKemenkeu!$AY$6:$AY$1005="Direkomendasikan",ROW($6:$1005)-5),382))="",INDEX(checklistPesertaKemenkeu!$J$6:$J$1005,SMALL(IF(checklistPesertaKemenkeu!$AY$6:$AY$1005="Direkomendasikan",ROW($6:$1005)-5),382))=""),"",IF(AND(COUNTIF(INDIRECT("K_"&amp;MATCH(INDEX(checklistPesertaKemenkeu!$J$6:$J$1005,SMALL(IF(checklistPesertaKemenkeu!$AY$6:$AY$1005="Direkomendasikan",ROW($6:$1005)-5),382)),BidangList,0)),INDEX(checklistPesertaKemenkeu!$P$6:$P$1005,SMALL(IF(checklistPesertaKemenkeu!$AY$6:$AY$1005="Direkomendasikan",ROW($6:$1005)-5),382)))&gt;0,COUNTIF(INDIRECT("'KERTAS KERJA'!K"&amp;(SMALL(IF(checklistPesertaKemenkeu!$AY$6:$AY$1005="Direkomendasikan",ROW($6:$1005)-5),382)+5)&amp;":O"&amp;(SMALL(IF(checklistPesertaKemenkeu!$AY$6:$AY$1005="Direkomendasikan",ROW($6:$1005)-5),382)+5)),INDEX(checklistPesertaKemenkeu!$P$6:$P$1005,SMALL(IF(checklistPesertaKemenkeu!$AY$6:$AY$1005="Direkomendasikan",ROW($6:$1005)-5),382)))=1),IFERROR(VLOOKUP(INDEX(checklistPesertaKemenkeu!$P$6:$P$1005,SMALL(IF(checklistPesertaKemenkeu!$AY$6:$AY$1005="Direkomendasikan",ROW($6:$1005)-5),382)),KotaKode,2,0),"-"),"")),"")</f>
        <v/>
      </c>
    </row>
    <row r="384" spans="1:12" ht="15" customHeight="1" x14ac:dyDescent="0.2">
      <c r="A384" t="str">
        <f t="shared" si="5"/>
        <v/>
      </c>
      <c r="B384" t="str">
        <v/>
      </c>
      <c r="C384" s="40" t="str">
        <f t="array" ref="C384">IFERROR(INDEX(checklistPesertaKemenkeu!$F$6:$F$1005,SMALL(IF(checklistPesertaKemenkeu!$AY$6:$AY$1005="Direkomendasikan",ROW($6:$1005)-5),383)),"")</f>
        <v/>
      </c>
      <c r="D384" t="str">
        <f t="array" ref="D384">IFERROR(INDEX(checklistPesertaKemenkeu!$G$6:$G$1005,SMALL(IF(checklistPesertaKemenkeu!$AY$6:$AY$1005="Direkomendasikan",ROW($6:$1005)-5),383)),"")</f>
        <v/>
      </c>
      <c r="E384" t="str">
        <f t="array" ref="E384">IFERROR(INDEX(checklistPesertaKemenkeu!$H$6:$H$1005,SMALL(IF(checklistPesertaKemenkeu!$AY$6:$AY$1005="Direkomendasikan",ROW($6:$1005)-5),383)),"")</f>
        <v/>
      </c>
      <c r="F384" t="str">
        <f t="array" ref="F384">IFERROR(INDEX(checklistPesertaKemenkeu!$I$6:$I$1005,SMALL(IF(checklistPesertaKemenkeu!$AY$6:$AY$1005="Direkomendasikan",ROW($6:$1005)-5),383)),"")</f>
        <v/>
      </c>
      <c r="G384" t="str">
        <f t="array" ref="G384">IFERROR(INDEX(checklistPesertaKemenkeu!$J$6:$J$1005,SMALL(IF(checklistPesertaKemenkeu!$AY$6:$AY$1005="Direkomendasikan",ROW($6:$1005)-5),383)),"")</f>
        <v/>
      </c>
      <c r="H384" t="str">
        <f t="array" aca="1" ref="H384" ca="1">IFERROR(IF(OR(INDEX(checklistPesertaKemenkeu!$L$6:$L$1005,SMALL(IF(checklistPesertaKemenkeu!$AY$6:$AY$1005="Direkomendasikan",ROW($6:$1005)-5),383))="",INDEX(checklistPesertaKemenkeu!$J$6:$J$1005,SMALL(IF(checklistPesertaKemenkeu!$AY$6:$AY$1005="Direkomendasikan",ROW($6:$1005)-5),383))=""),"",IF(AND(COUNTIF(INDIRECT("K_"&amp;MATCH(INDEX(checklistPesertaKemenkeu!$J$6:$J$1005,SMALL(IF(checklistPesertaKemenkeu!$AY$6:$AY$1005="Direkomendasikan",ROW($6:$1005)-5),383)),BidangList,0)),INDEX(checklistPesertaKemenkeu!$L$6:$L$1005,SMALL(IF(checklistPesertaKemenkeu!$AY$6:$AY$1005="Direkomendasikan",ROW($6:$1005)-5),383)))&gt;0,COUNTIF(INDIRECT("'KERTAS KERJA'!K"&amp;(SMALL(IF(checklistPesertaKemenkeu!$AY$6:$AY$1005="Direkomendasikan",ROW($6:$1005)-5),383)+5)&amp;":O"&amp;(SMALL(IF(checklistPesertaKemenkeu!$AY$6:$AY$1005="Direkomendasikan",ROW($6:$1005)-5),383)+5)),INDEX(checklistPesertaKemenkeu!$L$6:$L$1005,SMALL(IF(checklistPesertaKemenkeu!$AY$6:$AY$1005="Direkomendasikan",ROW($6:$1005)-5),383)))=1),IFERROR(VLOOKUP(INDEX(checklistPesertaKemenkeu!$L$6:$L$1005,SMALL(IF(checklistPesertaKemenkeu!$AY$6:$AY$1005="Direkomendasikan",ROW($6:$1005)-5),383)),KotaKode,2,0),"-"),"")),"")</f>
        <v/>
      </c>
      <c r="I384" t="str">
        <f t="array" aca="1" ref="I384" ca="1">IFERROR(IF(OR(INDEX(checklistPesertaKemenkeu!$M$6:$M$1005,SMALL(IF(checklistPesertaKemenkeu!$AY$6:$AY$1005="Direkomendasikan",ROW($6:$1005)-5),383))="",INDEX(checklistPesertaKemenkeu!$J$6:$J$1005,SMALL(IF(checklistPesertaKemenkeu!$AY$6:$AY$1005="Direkomendasikan",ROW($6:$1005)-5),383))=""),"",IF(AND(COUNTIF(INDIRECT("K_"&amp;MATCH(INDEX(checklistPesertaKemenkeu!$J$6:$J$1005,SMALL(IF(checklistPesertaKemenkeu!$AY$6:$AY$1005="Direkomendasikan",ROW($6:$1005)-5),383)),BidangList,0)),INDEX(checklistPesertaKemenkeu!$M$6:$M$1005,SMALL(IF(checklistPesertaKemenkeu!$AY$6:$AY$1005="Direkomendasikan",ROW($6:$1005)-5),383)))&gt;0,COUNTIF(INDIRECT("'KERTAS KERJA'!K"&amp;(SMALL(IF(checklistPesertaKemenkeu!$AY$6:$AY$1005="Direkomendasikan",ROW($6:$1005)-5),383)+5)&amp;":O"&amp;(SMALL(IF(checklistPesertaKemenkeu!$AY$6:$AY$1005="Direkomendasikan",ROW($6:$1005)-5),383)+5)),INDEX(checklistPesertaKemenkeu!$M$6:$M$1005,SMALL(IF(checklistPesertaKemenkeu!$AY$6:$AY$1005="Direkomendasikan",ROW($6:$1005)-5),383)))=1),IFERROR(VLOOKUP(INDEX(checklistPesertaKemenkeu!$M$6:$M$1005,SMALL(IF(checklistPesertaKemenkeu!$AY$6:$AY$1005="Direkomendasikan",ROW($6:$1005)-5),383)),KotaKode,2,0),"-"),"")),"")</f>
        <v/>
      </c>
      <c r="J384" t="str">
        <f t="array" aca="1" ref="J384" ca="1">IFERROR(IF(OR(INDEX(checklistPesertaKemenkeu!$N$6:$N$1005,SMALL(IF(checklistPesertaKemenkeu!$AY$6:$AY$1005="Direkomendasikan",ROW($6:$1005)-5),383))="",INDEX(checklistPesertaKemenkeu!$J$6:$J$1005,SMALL(IF(checklistPesertaKemenkeu!$AY$6:$AY$1005="Direkomendasikan",ROW($6:$1005)-5),383))=""),"",IF(AND(COUNTIF(INDIRECT("K_"&amp;MATCH(INDEX(checklistPesertaKemenkeu!$J$6:$J$1005,SMALL(IF(checklistPesertaKemenkeu!$AY$6:$AY$1005="Direkomendasikan",ROW($6:$1005)-5),383)),BidangList,0)),INDEX(checklistPesertaKemenkeu!$N$6:$N$1005,SMALL(IF(checklistPesertaKemenkeu!$AY$6:$AY$1005="Direkomendasikan",ROW($6:$1005)-5),383)))&gt;0,COUNTIF(INDIRECT("'KERTAS KERJA'!K"&amp;(SMALL(IF(checklistPesertaKemenkeu!$AY$6:$AY$1005="Direkomendasikan",ROW($6:$1005)-5),383)+5)&amp;":O"&amp;(SMALL(IF(checklistPesertaKemenkeu!$AY$6:$AY$1005="Direkomendasikan",ROW($6:$1005)-5),383)+5)),INDEX(checklistPesertaKemenkeu!$N$6:$N$1005,SMALL(IF(checklistPesertaKemenkeu!$AY$6:$AY$1005="Direkomendasikan",ROW($6:$1005)-5),383)))=1),IFERROR(VLOOKUP(INDEX(checklistPesertaKemenkeu!$N$6:$N$1005,SMALL(IF(checklistPesertaKemenkeu!$AY$6:$AY$1005="Direkomendasikan",ROW($6:$1005)-5),383)),KotaKode,2,0),"-"),"")),"")</f>
        <v/>
      </c>
      <c r="K384" t="str">
        <f t="array" aca="1" ref="K384" ca="1">IFERROR(IF(OR(INDEX(checklistPesertaKemenkeu!$O$6:$O$1005,SMALL(IF(checklistPesertaKemenkeu!$AY$6:$AY$1005="Direkomendasikan",ROW($6:$1005)-5),383))="",INDEX(checklistPesertaKemenkeu!$J$6:$J$1005,SMALL(IF(checklistPesertaKemenkeu!$AY$6:$AY$1005="Direkomendasikan",ROW($6:$1005)-5),383))=""),"",IF(AND(COUNTIF(INDIRECT("K_"&amp;MATCH(INDEX(checklistPesertaKemenkeu!$J$6:$J$1005,SMALL(IF(checklistPesertaKemenkeu!$AY$6:$AY$1005="Direkomendasikan",ROW($6:$1005)-5),383)),BidangList,0)),INDEX(checklistPesertaKemenkeu!$O$6:$O$1005,SMALL(IF(checklistPesertaKemenkeu!$AY$6:$AY$1005="Direkomendasikan",ROW($6:$1005)-5),383)))&gt;0,COUNTIF(INDIRECT("'KERTAS KERJA'!K"&amp;(SMALL(IF(checklistPesertaKemenkeu!$AY$6:$AY$1005="Direkomendasikan",ROW($6:$1005)-5),383)+5)&amp;":O"&amp;(SMALL(IF(checklistPesertaKemenkeu!$AY$6:$AY$1005="Direkomendasikan",ROW($6:$1005)-5),383)+5)),INDEX(checklistPesertaKemenkeu!$O$6:$O$1005,SMALL(IF(checklistPesertaKemenkeu!$AY$6:$AY$1005="Direkomendasikan",ROW($6:$1005)-5),383)))=1),IFERROR(VLOOKUP(INDEX(checklistPesertaKemenkeu!$O$6:$O$1005,SMALL(IF(checklistPesertaKemenkeu!$AY$6:$AY$1005="Direkomendasikan",ROW($6:$1005)-5),383)),KotaKode,2,0),"-"),"")),"")</f>
        <v/>
      </c>
      <c r="L384" t="str">
        <f t="array" aca="1" ref="L384" ca="1">IFERROR(IF(OR(INDEX(checklistPesertaKemenkeu!$P$6:$P$1005,SMALL(IF(checklistPesertaKemenkeu!$AY$6:$AY$1005="Direkomendasikan",ROW($6:$1005)-5),383))="",INDEX(checklistPesertaKemenkeu!$J$6:$J$1005,SMALL(IF(checklistPesertaKemenkeu!$AY$6:$AY$1005="Direkomendasikan",ROW($6:$1005)-5),383))=""),"",IF(AND(COUNTIF(INDIRECT("K_"&amp;MATCH(INDEX(checklistPesertaKemenkeu!$J$6:$J$1005,SMALL(IF(checklistPesertaKemenkeu!$AY$6:$AY$1005="Direkomendasikan",ROW($6:$1005)-5),383)),BidangList,0)),INDEX(checklistPesertaKemenkeu!$P$6:$P$1005,SMALL(IF(checklistPesertaKemenkeu!$AY$6:$AY$1005="Direkomendasikan",ROW($6:$1005)-5),383)))&gt;0,COUNTIF(INDIRECT("'KERTAS KERJA'!K"&amp;(SMALL(IF(checklistPesertaKemenkeu!$AY$6:$AY$1005="Direkomendasikan",ROW($6:$1005)-5),383)+5)&amp;":O"&amp;(SMALL(IF(checklistPesertaKemenkeu!$AY$6:$AY$1005="Direkomendasikan",ROW($6:$1005)-5),383)+5)),INDEX(checklistPesertaKemenkeu!$P$6:$P$1005,SMALL(IF(checklistPesertaKemenkeu!$AY$6:$AY$1005="Direkomendasikan",ROW($6:$1005)-5),383)))=1),IFERROR(VLOOKUP(INDEX(checklistPesertaKemenkeu!$P$6:$P$1005,SMALL(IF(checklistPesertaKemenkeu!$AY$6:$AY$1005="Direkomendasikan",ROW($6:$1005)-5),383)),KotaKode,2,0),"-"),"")),"")</f>
        <v/>
      </c>
    </row>
    <row r="385" spans="1:12" ht="15" customHeight="1" x14ac:dyDescent="0.2">
      <c r="A385" t="str">
        <f t="shared" si="5"/>
        <v/>
      </c>
      <c r="B385" t="str">
        <v/>
      </c>
      <c r="C385" s="40" t="str">
        <f t="array" ref="C385">IFERROR(INDEX(checklistPesertaKemenkeu!$F$6:$F$1005,SMALL(IF(checklistPesertaKemenkeu!$AY$6:$AY$1005="Direkomendasikan",ROW($6:$1005)-5),384)),"")</f>
        <v/>
      </c>
      <c r="D385" t="str">
        <f t="array" ref="D385">IFERROR(INDEX(checklistPesertaKemenkeu!$G$6:$G$1005,SMALL(IF(checklistPesertaKemenkeu!$AY$6:$AY$1005="Direkomendasikan",ROW($6:$1005)-5),384)),"")</f>
        <v/>
      </c>
      <c r="E385" t="str">
        <f t="array" ref="E385">IFERROR(INDEX(checklistPesertaKemenkeu!$H$6:$H$1005,SMALL(IF(checklistPesertaKemenkeu!$AY$6:$AY$1005="Direkomendasikan",ROW($6:$1005)-5),384)),"")</f>
        <v/>
      </c>
      <c r="F385" t="str">
        <f t="array" ref="F385">IFERROR(INDEX(checklistPesertaKemenkeu!$I$6:$I$1005,SMALL(IF(checklistPesertaKemenkeu!$AY$6:$AY$1005="Direkomendasikan",ROW($6:$1005)-5),384)),"")</f>
        <v/>
      </c>
      <c r="G385" t="str">
        <f t="array" ref="G385">IFERROR(INDEX(checklistPesertaKemenkeu!$J$6:$J$1005,SMALL(IF(checklistPesertaKemenkeu!$AY$6:$AY$1005="Direkomendasikan",ROW($6:$1005)-5),384)),"")</f>
        <v/>
      </c>
      <c r="H385" t="str">
        <f t="array" aca="1" ref="H385" ca="1">IFERROR(IF(OR(INDEX(checklistPesertaKemenkeu!$L$6:$L$1005,SMALL(IF(checklistPesertaKemenkeu!$AY$6:$AY$1005="Direkomendasikan",ROW($6:$1005)-5),384))="",INDEX(checklistPesertaKemenkeu!$J$6:$J$1005,SMALL(IF(checklistPesertaKemenkeu!$AY$6:$AY$1005="Direkomendasikan",ROW($6:$1005)-5),384))=""),"",IF(AND(COUNTIF(INDIRECT("K_"&amp;MATCH(INDEX(checklistPesertaKemenkeu!$J$6:$J$1005,SMALL(IF(checklistPesertaKemenkeu!$AY$6:$AY$1005="Direkomendasikan",ROW($6:$1005)-5),384)),BidangList,0)),INDEX(checklistPesertaKemenkeu!$L$6:$L$1005,SMALL(IF(checklistPesertaKemenkeu!$AY$6:$AY$1005="Direkomendasikan",ROW($6:$1005)-5),384)))&gt;0,COUNTIF(INDIRECT("'KERTAS KERJA'!K"&amp;(SMALL(IF(checklistPesertaKemenkeu!$AY$6:$AY$1005="Direkomendasikan",ROW($6:$1005)-5),384)+5)&amp;":O"&amp;(SMALL(IF(checklistPesertaKemenkeu!$AY$6:$AY$1005="Direkomendasikan",ROW($6:$1005)-5),384)+5)),INDEX(checklistPesertaKemenkeu!$L$6:$L$1005,SMALL(IF(checklistPesertaKemenkeu!$AY$6:$AY$1005="Direkomendasikan",ROW($6:$1005)-5),384)))=1),IFERROR(VLOOKUP(INDEX(checklistPesertaKemenkeu!$L$6:$L$1005,SMALL(IF(checklistPesertaKemenkeu!$AY$6:$AY$1005="Direkomendasikan",ROW($6:$1005)-5),384)),KotaKode,2,0),"-"),"")),"")</f>
        <v/>
      </c>
      <c r="I385" t="str">
        <f t="array" aca="1" ref="I385" ca="1">IFERROR(IF(OR(INDEX(checklistPesertaKemenkeu!$M$6:$M$1005,SMALL(IF(checklistPesertaKemenkeu!$AY$6:$AY$1005="Direkomendasikan",ROW($6:$1005)-5),384))="",INDEX(checklistPesertaKemenkeu!$J$6:$J$1005,SMALL(IF(checklistPesertaKemenkeu!$AY$6:$AY$1005="Direkomendasikan",ROW($6:$1005)-5),384))=""),"",IF(AND(COUNTIF(INDIRECT("K_"&amp;MATCH(INDEX(checklistPesertaKemenkeu!$J$6:$J$1005,SMALL(IF(checklistPesertaKemenkeu!$AY$6:$AY$1005="Direkomendasikan",ROW($6:$1005)-5),384)),BidangList,0)),INDEX(checklistPesertaKemenkeu!$M$6:$M$1005,SMALL(IF(checklistPesertaKemenkeu!$AY$6:$AY$1005="Direkomendasikan",ROW($6:$1005)-5),384)))&gt;0,COUNTIF(INDIRECT("'KERTAS KERJA'!K"&amp;(SMALL(IF(checklistPesertaKemenkeu!$AY$6:$AY$1005="Direkomendasikan",ROW($6:$1005)-5),384)+5)&amp;":O"&amp;(SMALL(IF(checklistPesertaKemenkeu!$AY$6:$AY$1005="Direkomendasikan",ROW($6:$1005)-5),384)+5)),INDEX(checklistPesertaKemenkeu!$M$6:$M$1005,SMALL(IF(checklistPesertaKemenkeu!$AY$6:$AY$1005="Direkomendasikan",ROW($6:$1005)-5),384)))=1),IFERROR(VLOOKUP(INDEX(checklistPesertaKemenkeu!$M$6:$M$1005,SMALL(IF(checklistPesertaKemenkeu!$AY$6:$AY$1005="Direkomendasikan",ROW($6:$1005)-5),384)),KotaKode,2,0),"-"),"")),"")</f>
        <v/>
      </c>
      <c r="J385" t="str">
        <f t="array" aca="1" ref="J385" ca="1">IFERROR(IF(OR(INDEX(checklistPesertaKemenkeu!$N$6:$N$1005,SMALL(IF(checklistPesertaKemenkeu!$AY$6:$AY$1005="Direkomendasikan",ROW($6:$1005)-5),384))="",INDEX(checklistPesertaKemenkeu!$J$6:$J$1005,SMALL(IF(checklistPesertaKemenkeu!$AY$6:$AY$1005="Direkomendasikan",ROW($6:$1005)-5),384))=""),"",IF(AND(COUNTIF(INDIRECT("K_"&amp;MATCH(INDEX(checklistPesertaKemenkeu!$J$6:$J$1005,SMALL(IF(checklistPesertaKemenkeu!$AY$6:$AY$1005="Direkomendasikan",ROW($6:$1005)-5),384)),BidangList,0)),INDEX(checklistPesertaKemenkeu!$N$6:$N$1005,SMALL(IF(checklistPesertaKemenkeu!$AY$6:$AY$1005="Direkomendasikan",ROW($6:$1005)-5),384)))&gt;0,COUNTIF(INDIRECT("'KERTAS KERJA'!K"&amp;(SMALL(IF(checklistPesertaKemenkeu!$AY$6:$AY$1005="Direkomendasikan",ROW($6:$1005)-5),384)+5)&amp;":O"&amp;(SMALL(IF(checklistPesertaKemenkeu!$AY$6:$AY$1005="Direkomendasikan",ROW($6:$1005)-5),384)+5)),INDEX(checklistPesertaKemenkeu!$N$6:$N$1005,SMALL(IF(checklistPesertaKemenkeu!$AY$6:$AY$1005="Direkomendasikan",ROW($6:$1005)-5),384)))=1),IFERROR(VLOOKUP(INDEX(checklistPesertaKemenkeu!$N$6:$N$1005,SMALL(IF(checklistPesertaKemenkeu!$AY$6:$AY$1005="Direkomendasikan",ROW($6:$1005)-5),384)),KotaKode,2,0),"-"),"")),"")</f>
        <v/>
      </c>
      <c r="K385" t="str">
        <f t="array" aca="1" ref="K385" ca="1">IFERROR(IF(OR(INDEX(checklistPesertaKemenkeu!$O$6:$O$1005,SMALL(IF(checklistPesertaKemenkeu!$AY$6:$AY$1005="Direkomendasikan",ROW($6:$1005)-5),384))="",INDEX(checklistPesertaKemenkeu!$J$6:$J$1005,SMALL(IF(checklistPesertaKemenkeu!$AY$6:$AY$1005="Direkomendasikan",ROW($6:$1005)-5),384))=""),"",IF(AND(COUNTIF(INDIRECT("K_"&amp;MATCH(INDEX(checklistPesertaKemenkeu!$J$6:$J$1005,SMALL(IF(checklistPesertaKemenkeu!$AY$6:$AY$1005="Direkomendasikan",ROW($6:$1005)-5),384)),BidangList,0)),INDEX(checklistPesertaKemenkeu!$O$6:$O$1005,SMALL(IF(checklistPesertaKemenkeu!$AY$6:$AY$1005="Direkomendasikan",ROW($6:$1005)-5),384)))&gt;0,COUNTIF(INDIRECT("'KERTAS KERJA'!K"&amp;(SMALL(IF(checklistPesertaKemenkeu!$AY$6:$AY$1005="Direkomendasikan",ROW($6:$1005)-5),384)+5)&amp;":O"&amp;(SMALL(IF(checklistPesertaKemenkeu!$AY$6:$AY$1005="Direkomendasikan",ROW($6:$1005)-5),384)+5)),INDEX(checklistPesertaKemenkeu!$O$6:$O$1005,SMALL(IF(checklistPesertaKemenkeu!$AY$6:$AY$1005="Direkomendasikan",ROW($6:$1005)-5),384)))=1),IFERROR(VLOOKUP(INDEX(checklistPesertaKemenkeu!$O$6:$O$1005,SMALL(IF(checklistPesertaKemenkeu!$AY$6:$AY$1005="Direkomendasikan",ROW($6:$1005)-5),384)),KotaKode,2,0),"-"),"")),"")</f>
        <v/>
      </c>
      <c r="L385" t="str">
        <f t="array" aca="1" ref="L385" ca="1">IFERROR(IF(OR(INDEX(checklistPesertaKemenkeu!$P$6:$P$1005,SMALL(IF(checklistPesertaKemenkeu!$AY$6:$AY$1005="Direkomendasikan",ROW($6:$1005)-5),384))="",INDEX(checklistPesertaKemenkeu!$J$6:$J$1005,SMALL(IF(checklistPesertaKemenkeu!$AY$6:$AY$1005="Direkomendasikan",ROW($6:$1005)-5),384))=""),"",IF(AND(COUNTIF(INDIRECT("K_"&amp;MATCH(INDEX(checklistPesertaKemenkeu!$J$6:$J$1005,SMALL(IF(checklistPesertaKemenkeu!$AY$6:$AY$1005="Direkomendasikan",ROW($6:$1005)-5),384)),BidangList,0)),INDEX(checklistPesertaKemenkeu!$P$6:$P$1005,SMALL(IF(checklistPesertaKemenkeu!$AY$6:$AY$1005="Direkomendasikan",ROW($6:$1005)-5),384)))&gt;0,COUNTIF(INDIRECT("'KERTAS KERJA'!K"&amp;(SMALL(IF(checklistPesertaKemenkeu!$AY$6:$AY$1005="Direkomendasikan",ROW($6:$1005)-5),384)+5)&amp;":O"&amp;(SMALL(IF(checklistPesertaKemenkeu!$AY$6:$AY$1005="Direkomendasikan",ROW($6:$1005)-5),384)+5)),INDEX(checklistPesertaKemenkeu!$P$6:$P$1005,SMALL(IF(checklistPesertaKemenkeu!$AY$6:$AY$1005="Direkomendasikan",ROW($6:$1005)-5),384)))=1),IFERROR(VLOOKUP(INDEX(checklistPesertaKemenkeu!$P$6:$P$1005,SMALL(IF(checklistPesertaKemenkeu!$AY$6:$AY$1005="Direkomendasikan",ROW($6:$1005)-5),384)),KotaKode,2,0),"-"),"")),"")</f>
        <v/>
      </c>
    </row>
    <row r="386" spans="1:12" ht="15" customHeight="1" x14ac:dyDescent="0.2">
      <c r="A386" t="str">
        <f t="shared" ref="A386:A449" si="6">IF(C386="","",ROW()-1)</f>
        <v/>
      </c>
      <c r="B386" t="str">
        <v/>
      </c>
      <c r="C386" s="40" t="str">
        <f t="array" ref="C386">IFERROR(INDEX(checklistPesertaKemenkeu!$F$6:$F$1005,SMALL(IF(checklistPesertaKemenkeu!$AY$6:$AY$1005="Direkomendasikan",ROW($6:$1005)-5),385)),"")</f>
        <v/>
      </c>
      <c r="D386" t="str">
        <f t="array" ref="D386">IFERROR(INDEX(checklistPesertaKemenkeu!$G$6:$G$1005,SMALL(IF(checklistPesertaKemenkeu!$AY$6:$AY$1005="Direkomendasikan",ROW($6:$1005)-5),385)),"")</f>
        <v/>
      </c>
      <c r="E386" t="str">
        <f t="array" ref="E386">IFERROR(INDEX(checklistPesertaKemenkeu!$H$6:$H$1005,SMALL(IF(checklistPesertaKemenkeu!$AY$6:$AY$1005="Direkomendasikan",ROW($6:$1005)-5),385)),"")</f>
        <v/>
      </c>
      <c r="F386" t="str">
        <f t="array" ref="F386">IFERROR(INDEX(checklistPesertaKemenkeu!$I$6:$I$1005,SMALL(IF(checklistPesertaKemenkeu!$AY$6:$AY$1005="Direkomendasikan",ROW($6:$1005)-5),385)),"")</f>
        <v/>
      </c>
      <c r="G386" t="str">
        <f t="array" ref="G386">IFERROR(INDEX(checklistPesertaKemenkeu!$J$6:$J$1005,SMALL(IF(checklistPesertaKemenkeu!$AY$6:$AY$1005="Direkomendasikan",ROW($6:$1005)-5),385)),"")</f>
        <v/>
      </c>
      <c r="H386" t="str">
        <f t="array" aca="1" ref="H386" ca="1">IFERROR(IF(OR(INDEX(checklistPesertaKemenkeu!$L$6:$L$1005,SMALL(IF(checklistPesertaKemenkeu!$AY$6:$AY$1005="Direkomendasikan",ROW($6:$1005)-5),385))="",INDEX(checklistPesertaKemenkeu!$J$6:$J$1005,SMALL(IF(checklistPesertaKemenkeu!$AY$6:$AY$1005="Direkomendasikan",ROW($6:$1005)-5),385))=""),"",IF(AND(COUNTIF(INDIRECT("K_"&amp;MATCH(INDEX(checklistPesertaKemenkeu!$J$6:$J$1005,SMALL(IF(checklistPesertaKemenkeu!$AY$6:$AY$1005="Direkomendasikan",ROW($6:$1005)-5),385)),BidangList,0)),INDEX(checklistPesertaKemenkeu!$L$6:$L$1005,SMALL(IF(checklistPesertaKemenkeu!$AY$6:$AY$1005="Direkomendasikan",ROW($6:$1005)-5),385)))&gt;0,COUNTIF(INDIRECT("'KERTAS KERJA'!K"&amp;(SMALL(IF(checklistPesertaKemenkeu!$AY$6:$AY$1005="Direkomendasikan",ROW($6:$1005)-5),385)+5)&amp;":O"&amp;(SMALL(IF(checklistPesertaKemenkeu!$AY$6:$AY$1005="Direkomendasikan",ROW($6:$1005)-5),385)+5)),INDEX(checklistPesertaKemenkeu!$L$6:$L$1005,SMALL(IF(checklistPesertaKemenkeu!$AY$6:$AY$1005="Direkomendasikan",ROW($6:$1005)-5),385)))=1),IFERROR(VLOOKUP(INDEX(checklistPesertaKemenkeu!$L$6:$L$1005,SMALL(IF(checklistPesertaKemenkeu!$AY$6:$AY$1005="Direkomendasikan",ROW($6:$1005)-5),385)),KotaKode,2,0),"-"),"")),"")</f>
        <v/>
      </c>
      <c r="I386" t="str">
        <f t="array" aca="1" ref="I386" ca="1">IFERROR(IF(OR(INDEX(checklistPesertaKemenkeu!$M$6:$M$1005,SMALL(IF(checklistPesertaKemenkeu!$AY$6:$AY$1005="Direkomendasikan",ROW($6:$1005)-5),385))="",INDEX(checklistPesertaKemenkeu!$J$6:$J$1005,SMALL(IF(checklistPesertaKemenkeu!$AY$6:$AY$1005="Direkomendasikan",ROW($6:$1005)-5),385))=""),"",IF(AND(COUNTIF(INDIRECT("K_"&amp;MATCH(INDEX(checklistPesertaKemenkeu!$J$6:$J$1005,SMALL(IF(checklistPesertaKemenkeu!$AY$6:$AY$1005="Direkomendasikan",ROW($6:$1005)-5),385)),BidangList,0)),INDEX(checklistPesertaKemenkeu!$M$6:$M$1005,SMALL(IF(checklistPesertaKemenkeu!$AY$6:$AY$1005="Direkomendasikan",ROW($6:$1005)-5),385)))&gt;0,COUNTIF(INDIRECT("'KERTAS KERJA'!K"&amp;(SMALL(IF(checklistPesertaKemenkeu!$AY$6:$AY$1005="Direkomendasikan",ROW($6:$1005)-5),385)+5)&amp;":O"&amp;(SMALL(IF(checklistPesertaKemenkeu!$AY$6:$AY$1005="Direkomendasikan",ROW($6:$1005)-5),385)+5)),INDEX(checklistPesertaKemenkeu!$M$6:$M$1005,SMALL(IF(checklistPesertaKemenkeu!$AY$6:$AY$1005="Direkomendasikan",ROW($6:$1005)-5),385)))=1),IFERROR(VLOOKUP(INDEX(checklistPesertaKemenkeu!$M$6:$M$1005,SMALL(IF(checklistPesertaKemenkeu!$AY$6:$AY$1005="Direkomendasikan",ROW($6:$1005)-5),385)),KotaKode,2,0),"-"),"")),"")</f>
        <v/>
      </c>
      <c r="J386" t="str">
        <f t="array" aca="1" ref="J386" ca="1">IFERROR(IF(OR(INDEX(checklistPesertaKemenkeu!$N$6:$N$1005,SMALL(IF(checklistPesertaKemenkeu!$AY$6:$AY$1005="Direkomendasikan",ROW($6:$1005)-5),385))="",INDEX(checklistPesertaKemenkeu!$J$6:$J$1005,SMALL(IF(checklistPesertaKemenkeu!$AY$6:$AY$1005="Direkomendasikan",ROW($6:$1005)-5),385))=""),"",IF(AND(COUNTIF(INDIRECT("K_"&amp;MATCH(INDEX(checklistPesertaKemenkeu!$J$6:$J$1005,SMALL(IF(checklistPesertaKemenkeu!$AY$6:$AY$1005="Direkomendasikan",ROW($6:$1005)-5),385)),BidangList,0)),INDEX(checklistPesertaKemenkeu!$N$6:$N$1005,SMALL(IF(checklistPesertaKemenkeu!$AY$6:$AY$1005="Direkomendasikan",ROW($6:$1005)-5),385)))&gt;0,COUNTIF(INDIRECT("'KERTAS KERJA'!K"&amp;(SMALL(IF(checklistPesertaKemenkeu!$AY$6:$AY$1005="Direkomendasikan",ROW($6:$1005)-5),385)+5)&amp;":O"&amp;(SMALL(IF(checklistPesertaKemenkeu!$AY$6:$AY$1005="Direkomendasikan",ROW($6:$1005)-5),385)+5)),INDEX(checklistPesertaKemenkeu!$N$6:$N$1005,SMALL(IF(checklistPesertaKemenkeu!$AY$6:$AY$1005="Direkomendasikan",ROW($6:$1005)-5),385)))=1),IFERROR(VLOOKUP(INDEX(checklistPesertaKemenkeu!$N$6:$N$1005,SMALL(IF(checklistPesertaKemenkeu!$AY$6:$AY$1005="Direkomendasikan",ROW($6:$1005)-5),385)),KotaKode,2,0),"-"),"")),"")</f>
        <v/>
      </c>
      <c r="K386" t="str">
        <f t="array" aca="1" ref="K386" ca="1">IFERROR(IF(OR(INDEX(checklistPesertaKemenkeu!$O$6:$O$1005,SMALL(IF(checklistPesertaKemenkeu!$AY$6:$AY$1005="Direkomendasikan",ROW($6:$1005)-5),385))="",INDEX(checklistPesertaKemenkeu!$J$6:$J$1005,SMALL(IF(checklistPesertaKemenkeu!$AY$6:$AY$1005="Direkomendasikan",ROW($6:$1005)-5),385))=""),"",IF(AND(COUNTIF(INDIRECT("K_"&amp;MATCH(INDEX(checklistPesertaKemenkeu!$J$6:$J$1005,SMALL(IF(checklistPesertaKemenkeu!$AY$6:$AY$1005="Direkomendasikan",ROW($6:$1005)-5),385)),BidangList,0)),INDEX(checklistPesertaKemenkeu!$O$6:$O$1005,SMALL(IF(checklistPesertaKemenkeu!$AY$6:$AY$1005="Direkomendasikan",ROW($6:$1005)-5),385)))&gt;0,COUNTIF(INDIRECT("'KERTAS KERJA'!K"&amp;(SMALL(IF(checklistPesertaKemenkeu!$AY$6:$AY$1005="Direkomendasikan",ROW($6:$1005)-5),385)+5)&amp;":O"&amp;(SMALL(IF(checklistPesertaKemenkeu!$AY$6:$AY$1005="Direkomendasikan",ROW($6:$1005)-5),385)+5)),INDEX(checklistPesertaKemenkeu!$O$6:$O$1005,SMALL(IF(checklistPesertaKemenkeu!$AY$6:$AY$1005="Direkomendasikan",ROW($6:$1005)-5),385)))=1),IFERROR(VLOOKUP(INDEX(checklistPesertaKemenkeu!$O$6:$O$1005,SMALL(IF(checklistPesertaKemenkeu!$AY$6:$AY$1005="Direkomendasikan",ROW($6:$1005)-5),385)),KotaKode,2,0),"-"),"")),"")</f>
        <v/>
      </c>
      <c r="L386" t="str">
        <f t="array" aca="1" ref="L386" ca="1">IFERROR(IF(OR(INDEX(checklistPesertaKemenkeu!$P$6:$P$1005,SMALL(IF(checklistPesertaKemenkeu!$AY$6:$AY$1005="Direkomendasikan",ROW($6:$1005)-5),385))="",INDEX(checklistPesertaKemenkeu!$J$6:$J$1005,SMALL(IF(checklistPesertaKemenkeu!$AY$6:$AY$1005="Direkomendasikan",ROW($6:$1005)-5),385))=""),"",IF(AND(COUNTIF(INDIRECT("K_"&amp;MATCH(INDEX(checklistPesertaKemenkeu!$J$6:$J$1005,SMALL(IF(checklistPesertaKemenkeu!$AY$6:$AY$1005="Direkomendasikan",ROW($6:$1005)-5),385)),BidangList,0)),INDEX(checklistPesertaKemenkeu!$P$6:$P$1005,SMALL(IF(checklistPesertaKemenkeu!$AY$6:$AY$1005="Direkomendasikan",ROW($6:$1005)-5),385)))&gt;0,COUNTIF(INDIRECT("'KERTAS KERJA'!K"&amp;(SMALL(IF(checklistPesertaKemenkeu!$AY$6:$AY$1005="Direkomendasikan",ROW($6:$1005)-5),385)+5)&amp;":O"&amp;(SMALL(IF(checklistPesertaKemenkeu!$AY$6:$AY$1005="Direkomendasikan",ROW($6:$1005)-5),385)+5)),INDEX(checklistPesertaKemenkeu!$P$6:$P$1005,SMALL(IF(checklistPesertaKemenkeu!$AY$6:$AY$1005="Direkomendasikan",ROW($6:$1005)-5),385)))=1),IFERROR(VLOOKUP(INDEX(checklistPesertaKemenkeu!$P$6:$P$1005,SMALL(IF(checklistPesertaKemenkeu!$AY$6:$AY$1005="Direkomendasikan",ROW($6:$1005)-5),385)),KotaKode,2,0),"-"),"")),"")</f>
        <v/>
      </c>
    </row>
    <row r="387" spans="1:12" ht="15" customHeight="1" x14ac:dyDescent="0.2">
      <c r="A387" t="str">
        <f t="shared" si="6"/>
        <v/>
      </c>
      <c r="B387" t="str">
        <v/>
      </c>
      <c r="C387" s="40" t="str">
        <f t="array" ref="C387">IFERROR(INDEX(checklistPesertaKemenkeu!$F$6:$F$1005,SMALL(IF(checklistPesertaKemenkeu!$AY$6:$AY$1005="Direkomendasikan",ROW($6:$1005)-5),386)),"")</f>
        <v/>
      </c>
      <c r="D387" t="str">
        <f t="array" ref="D387">IFERROR(INDEX(checklistPesertaKemenkeu!$G$6:$G$1005,SMALL(IF(checklistPesertaKemenkeu!$AY$6:$AY$1005="Direkomendasikan",ROW($6:$1005)-5),386)),"")</f>
        <v/>
      </c>
      <c r="E387" t="str">
        <f t="array" ref="E387">IFERROR(INDEX(checklistPesertaKemenkeu!$H$6:$H$1005,SMALL(IF(checklistPesertaKemenkeu!$AY$6:$AY$1005="Direkomendasikan",ROW($6:$1005)-5),386)),"")</f>
        <v/>
      </c>
      <c r="F387" t="str">
        <f t="array" ref="F387">IFERROR(INDEX(checklistPesertaKemenkeu!$I$6:$I$1005,SMALL(IF(checklistPesertaKemenkeu!$AY$6:$AY$1005="Direkomendasikan",ROW($6:$1005)-5),386)),"")</f>
        <v/>
      </c>
      <c r="G387" t="str">
        <f t="array" ref="G387">IFERROR(INDEX(checklistPesertaKemenkeu!$J$6:$J$1005,SMALL(IF(checklistPesertaKemenkeu!$AY$6:$AY$1005="Direkomendasikan",ROW($6:$1005)-5),386)),"")</f>
        <v/>
      </c>
      <c r="H387" t="str">
        <f t="array" aca="1" ref="H387" ca="1">IFERROR(IF(OR(INDEX(checklistPesertaKemenkeu!$L$6:$L$1005,SMALL(IF(checklistPesertaKemenkeu!$AY$6:$AY$1005="Direkomendasikan",ROW($6:$1005)-5),386))="",INDEX(checklistPesertaKemenkeu!$J$6:$J$1005,SMALL(IF(checklistPesertaKemenkeu!$AY$6:$AY$1005="Direkomendasikan",ROW($6:$1005)-5),386))=""),"",IF(AND(COUNTIF(INDIRECT("K_"&amp;MATCH(INDEX(checklistPesertaKemenkeu!$J$6:$J$1005,SMALL(IF(checklistPesertaKemenkeu!$AY$6:$AY$1005="Direkomendasikan",ROW($6:$1005)-5),386)),BidangList,0)),INDEX(checklistPesertaKemenkeu!$L$6:$L$1005,SMALL(IF(checklistPesertaKemenkeu!$AY$6:$AY$1005="Direkomendasikan",ROW($6:$1005)-5),386)))&gt;0,COUNTIF(INDIRECT("'KERTAS KERJA'!K"&amp;(SMALL(IF(checklistPesertaKemenkeu!$AY$6:$AY$1005="Direkomendasikan",ROW($6:$1005)-5),386)+5)&amp;":O"&amp;(SMALL(IF(checklistPesertaKemenkeu!$AY$6:$AY$1005="Direkomendasikan",ROW($6:$1005)-5),386)+5)),INDEX(checklistPesertaKemenkeu!$L$6:$L$1005,SMALL(IF(checklistPesertaKemenkeu!$AY$6:$AY$1005="Direkomendasikan",ROW($6:$1005)-5),386)))=1),IFERROR(VLOOKUP(INDEX(checklistPesertaKemenkeu!$L$6:$L$1005,SMALL(IF(checklistPesertaKemenkeu!$AY$6:$AY$1005="Direkomendasikan",ROW($6:$1005)-5),386)),KotaKode,2,0),"-"),"")),"")</f>
        <v/>
      </c>
      <c r="I387" t="str">
        <f t="array" aca="1" ref="I387" ca="1">IFERROR(IF(OR(INDEX(checklistPesertaKemenkeu!$M$6:$M$1005,SMALL(IF(checklistPesertaKemenkeu!$AY$6:$AY$1005="Direkomendasikan",ROW($6:$1005)-5),386))="",INDEX(checklistPesertaKemenkeu!$J$6:$J$1005,SMALL(IF(checklistPesertaKemenkeu!$AY$6:$AY$1005="Direkomendasikan",ROW($6:$1005)-5),386))=""),"",IF(AND(COUNTIF(INDIRECT("K_"&amp;MATCH(INDEX(checklistPesertaKemenkeu!$J$6:$J$1005,SMALL(IF(checklistPesertaKemenkeu!$AY$6:$AY$1005="Direkomendasikan",ROW($6:$1005)-5),386)),BidangList,0)),INDEX(checklistPesertaKemenkeu!$M$6:$M$1005,SMALL(IF(checklistPesertaKemenkeu!$AY$6:$AY$1005="Direkomendasikan",ROW($6:$1005)-5),386)))&gt;0,COUNTIF(INDIRECT("'KERTAS KERJA'!K"&amp;(SMALL(IF(checklistPesertaKemenkeu!$AY$6:$AY$1005="Direkomendasikan",ROW($6:$1005)-5),386)+5)&amp;":O"&amp;(SMALL(IF(checklistPesertaKemenkeu!$AY$6:$AY$1005="Direkomendasikan",ROW($6:$1005)-5),386)+5)),INDEX(checklistPesertaKemenkeu!$M$6:$M$1005,SMALL(IF(checklistPesertaKemenkeu!$AY$6:$AY$1005="Direkomendasikan",ROW($6:$1005)-5),386)))=1),IFERROR(VLOOKUP(INDEX(checklistPesertaKemenkeu!$M$6:$M$1005,SMALL(IF(checklistPesertaKemenkeu!$AY$6:$AY$1005="Direkomendasikan",ROW($6:$1005)-5),386)),KotaKode,2,0),"-"),"")),"")</f>
        <v/>
      </c>
      <c r="J387" t="str">
        <f t="array" aca="1" ref="J387" ca="1">IFERROR(IF(OR(INDEX(checklistPesertaKemenkeu!$N$6:$N$1005,SMALL(IF(checklistPesertaKemenkeu!$AY$6:$AY$1005="Direkomendasikan",ROW($6:$1005)-5),386))="",INDEX(checklistPesertaKemenkeu!$J$6:$J$1005,SMALL(IF(checklistPesertaKemenkeu!$AY$6:$AY$1005="Direkomendasikan",ROW($6:$1005)-5),386))=""),"",IF(AND(COUNTIF(INDIRECT("K_"&amp;MATCH(INDEX(checklistPesertaKemenkeu!$J$6:$J$1005,SMALL(IF(checklistPesertaKemenkeu!$AY$6:$AY$1005="Direkomendasikan",ROW($6:$1005)-5),386)),BidangList,0)),INDEX(checklistPesertaKemenkeu!$N$6:$N$1005,SMALL(IF(checklistPesertaKemenkeu!$AY$6:$AY$1005="Direkomendasikan",ROW($6:$1005)-5),386)))&gt;0,COUNTIF(INDIRECT("'KERTAS KERJA'!K"&amp;(SMALL(IF(checklistPesertaKemenkeu!$AY$6:$AY$1005="Direkomendasikan",ROW($6:$1005)-5),386)+5)&amp;":O"&amp;(SMALL(IF(checklistPesertaKemenkeu!$AY$6:$AY$1005="Direkomendasikan",ROW($6:$1005)-5),386)+5)),INDEX(checklistPesertaKemenkeu!$N$6:$N$1005,SMALL(IF(checklistPesertaKemenkeu!$AY$6:$AY$1005="Direkomendasikan",ROW($6:$1005)-5),386)))=1),IFERROR(VLOOKUP(INDEX(checklistPesertaKemenkeu!$N$6:$N$1005,SMALL(IF(checklistPesertaKemenkeu!$AY$6:$AY$1005="Direkomendasikan",ROW($6:$1005)-5),386)),KotaKode,2,0),"-"),"")),"")</f>
        <v/>
      </c>
      <c r="K387" t="str">
        <f t="array" aca="1" ref="K387" ca="1">IFERROR(IF(OR(INDEX(checklistPesertaKemenkeu!$O$6:$O$1005,SMALL(IF(checklistPesertaKemenkeu!$AY$6:$AY$1005="Direkomendasikan",ROW($6:$1005)-5),386))="",INDEX(checklistPesertaKemenkeu!$J$6:$J$1005,SMALL(IF(checklistPesertaKemenkeu!$AY$6:$AY$1005="Direkomendasikan",ROW($6:$1005)-5),386))=""),"",IF(AND(COUNTIF(INDIRECT("K_"&amp;MATCH(INDEX(checklistPesertaKemenkeu!$J$6:$J$1005,SMALL(IF(checklistPesertaKemenkeu!$AY$6:$AY$1005="Direkomendasikan",ROW($6:$1005)-5),386)),BidangList,0)),INDEX(checklistPesertaKemenkeu!$O$6:$O$1005,SMALL(IF(checklistPesertaKemenkeu!$AY$6:$AY$1005="Direkomendasikan",ROW($6:$1005)-5),386)))&gt;0,COUNTIF(INDIRECT("'KERTAS KERJA'!K"&amp;(SMALL(IF(checklistPesertaKemenkeu!$AY$6:$AY$1005="Direkomendasikan",ROW($6:$1005)-5),386)+5)&amp;":O"&amp;(SMALL(IF(checklistPesertaKemenkeu!$AY$6:$AY$1005="Direkomendasikan",ROW($6:$1005)-5),386)+5)),INDEX(checklistPesertaKemenkeu!$O$6:$O$1005,SMALL(IF(checklistPesertaKemenkeu!$AY$6:$AY$1005="Direkomendasikan",ROW($6:$1005)-5),386)))=1),IFERROR(VLOOKUP(INDEX(checklistPesertaKemenkeu!$O$6:$O$1005,SMALL(IF(checklistPesertaKemenkeu!$AY$6:$AY$1005="Direkomendasikan",ROW($6:$1005)-5),386)),KotaKode,2,0),"-"),"")),"")</f>
        <v/>
      </c>
      <c r="L387" t="str">
        <f t="array" aca="1" ref="L387" ca="1">IFERROR(IF(OR(INDEX(checklistPesertaKemenkeu!$P$6:$P$1005,SMALL(IF(checklistPesertaKemenkeu!$AY$6:$AY$1005="Direkomendasikan",ROW($6:$1005)-5),386))="",INDEX(checklistPesertaKemenkeu!$J$6:$J$1005,SMALL(IF(checklistPesertaKemenkeu!$AY$6:$AY$1005="Direkomendasikan",ROW($6:$1005)-5),386))=""),"",IF(AND(COUNTIF(INDIRECT("K_"&amp;MATCH(INDEX(checklistPesertaKemenkeu!$J$6:$J$1005,SMALL(IF(checklistPesertaKemenkeu!$AY$6:$AY$1005="Direkomendasikan",ROW($6:$1005)-5),386)),BidangList,0)),INDEX(checklistPesertaKemenkeu!$P$6:$P$1005,SMALL(IF(checklistPesertaKemenkeu!$AY$6:$AY$1005="Direkomendasikan",ROW($6:$1005)-5),386)))&gt;0,COUNTIF(INDIRECT("'KERTAS KERJA'!K"&amp;(SMALL(IF(checklistPesertaKemenkeu!$AY$6:$AY$1005="Direkomendasikan",ROW($6:$1005)-5),386)+5)&amp;":O"&amp;(SMALL(IF(checklistPesertaKemenkeu!$AY$6:$AY$1005="Direkomendasikan",ROW($6:$1005)-5),386)+5)),INDEX(checklistPesertaKemenkeu!$P$6:$P$1005,SMALL(IF(checklistPesertaKemenkeu!$AY$6:$AY$1005="Direkomendasikan",ROW($6:$1005)-5),386)))=1),IFERROR(VLOOKUP(INDEX(checklistPesertaKemenkeu!$P$6:$P$1005,SMALL(IF(checklistPesertaKemenkeu!$AY$6:$AY$1005="Direkomendasikan",ROW($6:$1005)-5),386)),KotaKode,2,0),"-"),"")),"")</f>
        <v/>
      </c>
    </row>
    <row r="388" spans="1:12" ht="15" customHeight="1" x14ac:dyDescent="0.2">
      <c r="A388" t="str">
        <f t="shared" si="6"/>
        <v/>
      </c>
      <c r="B388" t="str">
        <v/>
      </c>
      <c r="C388" s="40" t="str">
        <f t="array" ref="C388">IFERROR(INDEX(checklistPesertaKemenkeu!$F$6:$F$1005,SMALL(IF(checklistPesertaKemenkeu!$AY$6:$AY$1005="Direkomendasikan",ROW($6:$1005)-5),387)),"")</f>
        <v/>
      </c>
      <c r="D388" t="str">
        <f t="array" ref="D388">IFERROR(INDEX(checklistPesertaKemenkeu!$G$6:$G$1005,SMALL(IF(checklistPesertaKemenkeu!$AY$6:$AY$1005="Direkomendasikan",ROW($6:$1005)-5),387)),"")</f>
        <v/>
      </c>
      <c r="E388" t="str">
        <f t="array" ref="E388">IFERROR(INDEX(checklistPesertaKemenkeu!$H$6:$H$1005,SMALL(IF(checklistPesertaKemenkeu!$AY$6:$AY$1005="Direkomendasikan",ROW($6:$1005)-5),387)),"")</f>
        <v/>
      </c>
      <c r="F388" t="str">
        <f t="array" ref="F388">IFERROR(INDEX(checklistPesertaKemenkeu!$I$6:$I$1005,SMALL(IF(checklistPesertaKemenkeu!$AY$6:$AY$1005="Direkomendasikan",ROW($6:$1005)-5),387)),"")</f>
        <v/>
      </c>
      <c r="G388" t="str">
        <f t="array" ref="G388">IFERROR(INDEX(checklistPesertaKemenkeu!$J$6:$J$1005,SMALL(IF(checklistPesertaKemenkeu!$AY$6:$AY$1005="Direkomendasikan",ROW($6:$1005)-5),387)),"")</f>
        <v/>
      </c>
      <c r="H388" t="str">
        <f t="array" aca="1" ref="H388" ca="1">IFERROR(IF(OR(INDEX(checklistPesertaKemenkeu!$L$6:$L$1005,SMALL(IF(checklistPesertaKemenkeu!$AY$6:$AY$1005="Direkomendasikan",ROW($6:$1005)-5),387))="",INDEX(checklistPesertaKemenkeu!$J$6:$J$1005,SMALL(IF(checklistPesertaKemenkeu!$AY$6:$AY$1005="Direkomendasikan",ROW($6:$1005)-5),387))=""),"",IF(AND(COUNTIF(INDIRECT("K_"&amp;MATCH(INDEX(checklistPesertaKemenkeu!$J$6:$J$1005,SMALL(IF(checklistPesertaKemenkeu!$AY$6:$AY$1005="Direkomendasikan",ROW($6:$1005)-5),387)),BidangList,0)),INDEX(checklistPesertaKemenkeu!$L$6:$L$1005,SMALL(IF(checklistPesertaKemenkeu!$AY$6:$AY$1005="Direkomendasikan",ROW($6:$1005)-5),387)))&gt;0,COUNTIF(INDIRECT("'KERTAS KERJA'!K"&amp;(SMALL(IF(checklistPesertaKemenkeu!$AY$6:$AY$1005="Direkomendasikan",ROW($6:$1005)-5),387)+5)&amp;":O"&amp;(SMALL(IF(checklistPesertaKemenkeu!$AY$6:$AY$1005="Direkomendasikan",ROW($6:$1005)-5),387)+5)),INDEX(checklistPesertaKemenkeu!$L$6:$L$1005,SMALL(IF(checklistPesertaKemenkeu!$AY$6:$AY$1005="Direkomendasikan",ROW($6:$1005)-5),387)))=1),IFERROR(VLOOKUP(INDEX(checklistPesertaKemenkeu!$L$6:$L$1005,SMALL(IF(checklistPesertaKemenkeu!$AY$6:$AY$1005="Direkomendasikan",ROW($6:$1005)-5),387)),KotaKode,2,0),"-"),"")),"")</f>
        <v/>
      </c>
      <c r="I388" t="str">
        <f t="array" aca="1" ref="I388" ca="1">IFERROR(IF(OR(INDEX(checklistPesertaKemenkeu!$M$6:$M$1005,SMALL(IF(checklistPesertaKemenkeu!$AY$6:$AY$1005="Direkomendasikan",ROW($6:$1005)-5),387))="",INDEX(checklistPesertaKemenkeu!$J$6:$J$1005,SMALL(IF(checklistPesertaKemenkeu!$AY$6:$AY$1005="Direkomendasikan",ROW($6:$1005)-5),387))=""),"",IF(AND(COUNTIF(INDIRECT("K_"&amp;MATCH(INDEX(checklistPesertaKemenkeu!$J$6:$J$1005,SMALL(IF(checklistPesertaKemenkeu!$AY$6:$AY$1005="Direkomendasikan",ROW($6:$1005)-5),387)),BidangList,0)),INDEX(checklistPesertaKemenkeu!$M$6:$M$1005,SMALL(IF(checklistPesertaKemenkeu!$AY$6:$AY$1005="Direkomendasikan",ROW($6:$1005)-5),387)))&gt;0,COUNTIF(INDIRECT("'KERTAS KERJA'!K"&amp;(SMALL(IF(checklistPesertaKemenkeu!$AY$6:$AY$1005="Direkomendasikan",ROW($6:$1005)-5),387)+5)&amp;":O"&amp;(SMALL(IF(checklistPesertaKemenkeu!$AY$6:$AY$1005="Direkomendasikan",ROW($6:$1005)-5),387)+5)),INDEX(checklistPesertaKemenkeu!$M$6:$M$1005,SMALL(IF(checklistPesertaKemenkeu!$AY$6:$AY$1005="Direkomendasikan",ROW($6:$1005)-5),387)))=1),IFERROR(VLOOKUP(INDEX(checklistPesertaKemenkeu!$M$6:$M$1005,SMALL(IF(checklistPesertaKemenkeu!$AY$6:$AY$1005="Direkomendasikan",ROW($6:$1005)-5),387)),KotaKode,2,0),"-"),"")),"")</f>
        <v/>
      </c>
      <c r="J388" t="str">
        <f t="array" aca="1" ref="J388" ca="1">IFERROR(IF(OR(INDEX(checklistPesertaKemenkeu!$N$6:$N$1005,SMALL(IF(checklistPesertaKemenkeu!$AY$6:$AY$1005="Direkomendasikan",ROW($6:$1005)-5),387))="",INDEX(checklistPesertaKemenkeu!$J$6:$J$1005,SMALL(IF(checklistPesertaKemenkeu!$AY$6:$AY$1005="Direkomendasikan",ROW($6:$1005)-5),387))=""),"",IF(AND(COUNTIF(INDIRECT("K_"&amp;MATCH(INDEX(checklistPesertaKemenkeu!$J$6:$J$1005,SMALL(IF(checklistPesertaKemenkeu!$AY$6:$AY$1005="Direkomendasikan",ROW($6:$1005)-5),387)),BidangList,0)),INDEX(checklistPesertaKemenkeu!$N$6:$N$1005,SMALL(IF(checklistPesertaKemenkeu!$AY$6:$AY$1005="Direkomendasikan",ROW($6:$1005)-5),387)))&gt;0,COUNTIF(INDIRECT("'KERTAS KERJA'!K"&amp;(SMALL(IF(checklistPesertaKemenkeu!$AY$6:$AY$1005="Direkomendasikan",ROW($6:$1005)-5),387)+5)&amp;":O"&amp;(SMALL(IF(checklistPesertaKemenkeu!$AY$6:$AY$1005="Direkomendasikan",ROW($6:$1005)-5),387)+5)),INDEX(checklistPesertaKemenkeu!$N$6:$N$1005,SMALL(IF(checklistPesertaKemenkeu!$AY$6:$AY$1005="Direkomendasikan",ROW($6:$1005)-5),387)))=1),IFERROR(VLOOKUP(INDEX(checklistPesertaKemenkeu!$N$6:$N$1005,SMALL(IF(checklistPesertaKemenkeu!$AY$6:$AY$1005="Direkomendasikan",ROW($6:$1005)-5),387)),KotaKode,2,0),"-"),"")),"")</f>
        <v/>
      </c>
      <c r="K388" t="str">
        <f t="array" aca="1" ref="K388" ca="1">IFERROR(IF(OR(INDEX(checklistPesertaKemenkeu!$O$6:$O$1005,SMALL(IF(checklistPesertaKemenkeu!$AY$6:$AY$1005="Direkomendasikan",ROW($6:$1005)-5),387))="",INDEX(checklistPesertaKemenkeu!$J$6:$J$1005,SMALL(IF(checklistPesertaKemenkeu!$AY$6:$AY$1005="Direkomendasikan",ROW($6:$1005)-5),387))=""),"",IF(AND(COUNTIF(INDIRECT("K_"&amp;MATCH(INDEX(checklistPesertaKemenkeu!$J$6:$J$1005,SMALL(IF(checklistPesertaKemenkeu!$AY$6:$AY$1005="Direkomendasikan",ROW($6:$1005)-5),387)),BidangList,0)),INDEX(checklistPesertaKemenkeu!$O$6:$O$1005,SMALL(IF(checklistPesertaKemenkeu!$AY$6:$AY$1005="Direkomendasikan",ROW($6:$1005)-5),387)))&gt;0,COUNTIF(INDIRECT("'KERTAS KERJA'!K"&amp;(SMALL(IF(checklistPesertaKemenkeu!$AY$6:$AY$1005="Direkomendasikan",ROW($6:$1005)-5),387)+5)&amp;":O"&amp;(SMALL(IF(checklistPesertaKemenkeu!$AY$6:$AY$1005="Direkomendasikan",ROW($6:$1005)-5),387)+5)),INDEX(checklistPesertaKemenkeu!$O$6:$O$1005,SMALL(IF(checklistPesertaKemenkeu!$AY$6:$AY$1005="Direkomendasikan",ROW($6:$1005)-5),387)))=1),IFERROR(VLOOKUP(INDEX(checklistPesertaKemenkeu!$O$6:$O$1005,SMALL(IF(checklistPesertaKemenkeu!$AY$6:$AY$1005="Direkomendasikan",ROW($6:$1005)-5),387)),KotaKode,2,0),"-"),"")),"")</f>
        <v/>
      </c>
      <c r="L388" t="str">
        <f t="array" aca="1" ref="L388" ca="1">IFERROR(IF(OR(INDEX(checklistPesertaKemenkeu!$P$6:$P$1005,SMALL(IF(checklistPesertaKemenkeu!$AY$6:$AY$1005="Direkomendasikan",ROW($6:$1005)-5),387))="",INDEX(checklistPesertaKemenkeu!$J$6:$J$1005,SMALL(IF(checklistPesertaKemenkeu!$AY$6:$AY$1005="Direkomendasikan",ROW($6:$1005)-5),387))=""),"",IF(AND(COUNTIF(INDIRECT("K_"&amp;MATCH(INDEX(checklistPesertaKemenkeu!$J$6:$J$1005,SMALL(IF(checklistPesertaKemenkeu!$AY$6:$AY$1005="Direkomendasikan",ROW($6:$1005)-5),387)),BidangList,0)),INDEX(checklistPesertaKemenkeu!$P$6:$P$1005,SMALL(IF(checklistPesertaKemenkeu!$AY$6:$AY$1005="Direkomendasikan",ROW($6:$1005)-5),387)))&gt;0,COUNTIF(INDIRECT("'KERTAS KERJA'!K"&amp;(SMALL(IF(checklistPesertaKemenkeu!$AY$6:$AY$1005="Direkomendasikan",ROW($6:$1005)-5),387)+5)&amp;":O"&amp;(SMALL(IF(checklistPesertaKemenkeu!$AY$6:$AY$1005="Direkomendasikan",ROW($6:$1005)-5),387)+5)),INDEX(checklistPesertaKemenkeu!$P$6:$P$1005,SMALL(IF(checklistPesertaKemenkeu!$AY$6:$AY$1005="Direkomendasikan",ROW($6:$1005)-5),387)))=1),IFERROR(VLOOKUP(INDEX(checklistPesertaKemenkeu!$P$6:$P$1005,SMALL(IF(checklistPesertaKemenkeu!$AY$6:$AY$1005="Direkomendasikan",ROW($6:$1005)-5),387)),KotaKode,2,0),"-"),"")),"")</f>
        <v/>
      </c>
    </row>
    <row r="389" spans="1:12" ht="15" customHeight="1" x14ac:dyDescent="0.2">
      <c r="A389" t="str">
        <f t="shared" si="6"/>
        <v/>
      </c>
      <c r="B389" t="str">
        <v/>
      </c>
      <c r="C389" s="40" t="str">
        <f t="array" ref="C389">IFERROR(INDEX(checklistPesertaKemenkeu!$F$6:$F$1005,SMALL(IF(checklistPesertaKemenkeu!$AY$6:$AY$1005="Direkomendasikan",ROW($6:$1005)-5),388)),"")</f>
        <v/>
      </c>
      <c r="D389" t="str">
        <f t="array" ref="D389">IFERROR(INDEX(checklistPesertaKemenkeu!$G$6:$G$1005,SMALL(IF(checklistPesertaKemenkeu!$AY$6:$AY$1005="Direkomendasikan",ROW($6:$1005)-5),388)),"")</f>
        <v/>
      </c>
      <c r="E389" t="str">
        <f t="array" ref="E389">IFERROR(INDEX(checklistPesertaKemenkeu!$H$6:$H$1005,SMALL(IF(checklistPesertaKemenkeu!$AY$6:$AY$1005="Direkomendasikan",ROW($6:$1005)-5),388)),"")</f>
        <v/>
      </c>
      <c r="F389" t="str">
        <f t="array" ref="F389">IFERROR(INDEX(checklistPesertaKemenkeu!$I$6:$I$1005,SMALL(IF(checklistPesertaKemenkeu!$AY$6:$AY$1005="Direkomendasikan",ROW($6:$1005)-5),388)),"")</f>
        <v/>
      </c>
      <c r="G389" t="str">
        <f t="array" ref="G389">IFERROR(INDEX(checklistPesertaKemenkeu!$J$6:$J$1005,SMALL(IF(checklistPesertaKemenkeu!$AY$6:$AY$1005="Direkomendasikan",ROW($6:$1005)-5),388)),"")</f>
        <v/>
      </c>
      <c r="H389" t="str">
        <f t="array" aca="1" ref="H389" ca="1">IFERROR(IF(OR(INDEX(checklistPesertaKemenkeu!$L$6:$L$1005,SMALL(IF(checklistPesertaKemenkeu!$AY$6:$AY$1005="Direkomendasikan",ROW($6:$1005)-5),388))="",INDEX(checklistPesertaKemenkeu!$J$6:$J$1005,SMALL(IF(checklistPesertaKemenkeu!$AY$6:$AY$1005="Direkomendasikan",ROW($6:$1005)-5),388))=""),"",IF(AND(COUNTIF(INDIRECT("K_"&amp;MATCH(INDEX(checklistPesertaKemenkeu!$J$6:$J$1005,SMALL(IF(checklistPesertaKemenkeu!$AY$6:$AY$1005="Direkomendasikan",ROW($6:$1005)-5),388)),BidangList,0)),INDEX(checklistPesertaKemenkeu!$L$6:$L$1005,SMALL(IF(checklistPesertaKemenkeu!$AY$6:$AY$1005="Direkomendasikan",ROW($6:$1005)-5),388)))&gt;0,COUNTIF(INDIRECT("'KERTAS KERJA'!K"&amp;(SMALL(IF(checklistPesertaKemenkeu!$AY$6:$AY$1005="Direkomendasikan",ROW($6:$1005)-5),388)+5)&amp;":O"&amp;(SMALL(IF(checklistPesertaKemenkeu!$AY$6:$AY$1005="Direkomendasikan",ROW($6:$1005)-5),388)+5)),INDEX(checklistPesertaKemenkeu!$L$6:$L$1005,SMALL(IF(checklistPesertaKemenkeu!$AY$6:$AY$1005="Direkomendasikan",ROW($6:$1005)-5),388)))=1),IFERROR(VLOOKUP(INDEX(checklistPesertaKemenkeu!$L$6:$L$1005,SMALL(IF(checklistPesertaKemenkeu!$AY$6:$AY$1005="Direkomendasikan",ROW($6:$1005)-5),388)),KotaKode,2,0),"-"),"")),"")</f>
        <v/>
      </c>
      <c r="I389" t="str">
        <f t="array" aca="1" ref="I389" ca="1">IFERROR(IF(OR(INDEX(checklistPesertaKemenkeu!$M$6:$M$1005,SMALL(IF(checklistPesertaKemenkeu!$AY$6:$AY$1005="Direkomendasikan",ROW($6:$1005)-5),388))="",INDEX(checklistPesertaKemenkeu!$J$6:$J$1005,SMALL(IF(checklistPesertaKemenkeu!$AY$6:$AY$1005="Direkomendasikan",ROW($6:$1005)-5),388))=""),"",IF(AND(COUNTIF(INDIRECT("K_"&amp;MATCH(INDEX(checklistPesertaKemenkeu!$J$6:$J$1005,SMALL(IF(checklistPesertaKemenkeu!$AY$6:$AY$1005="Direkomendasikan",ROW($6:$1005)-5),388)),BidangList,0)),INDEX(checklistPesertaKemenkeu!$M$6:$M$1005,SMALL(IF(checklistPesertaKemenkeu!$AY$6:$AY$1005="Direkomendasikan",ROW($6:$1005)-5),388)))&gt;0,COUNTIF(INDIRECT("'KERTAS KERJA'!K"&amp;(SMALL(IF(checklistPesertaKemenkeu!$AY$6:$AY$1005="Direkomendasikan",ROW($6:$1005)-5),388)+5)&amp;":O"&amp;(SMALL(IF(checklistPesertaKemenkeu!$AY$6:$AY$1005="Direkomendasikan",ROW($6:$1005)-5),388)+5)),INDEX(checklistPesertaKemenkeu!$M$6:$M$1005,SMALL(IF(checklistPesertaKemenkeu!$AY$6:$AY$1005="Direkomendasikan",ROW($6:$1005)-5),388)))=1),IFERROR(VLOOKUP(INDEX(checklistPesertaKemenkeu!$M$6:$M$1005,SMALL(IF(checklistPesertaKemenkeu!$AY$6:$AY$1005="Direkomendasikan",ROW($6:$1005)-5),388)),KotaKode,2,0),"-"),"")),"")</f>
        <v/>
      </c>
      <c r="J389" t="str">
        <f t="array" aca="1" ref="J389" ca="1">IFERROR(IF(OR(INDEX(checklistPesertaKemenkeu!$N$6:$N$1005,SMALL(IF(checklistPesertaKemenkeu!$AY$6:$AY$1005="Direkomendasikan",ROW($6:$1005)-5),388))="",INDEX(checklistPesertaKemenkeu!$J$6:$J$1005,SMALL(IF(checklistPesertaKemenkeu!$AY$6:$AY$1005="Direkomendasikan",ROW($6:$1005)-5),388))=""),"",IF(AND(COUNTIF(INDIRECT("K_"&amp;MATCH(INDEX(checklistPesertaKemenkeu!$J$6:$J$1005,SMALL(IF(checklistPesertaKemenkeu!$AY$6:$AY$1005="Direkomendasikan",ROW($6:$1005)-5),388)),BidangList,0)),INDEX(checklistPesertaKemenkeu!$N$6:$N$1005,SMALL(IF(checklistPesertaKemenkeu!$AY$6:$AY$1005="Direkomendasikan",ROW($6:$1005)-5),388)))&gt;0,COUNTIF(INDIRECT("'KERTAS KERJA'!K"&amp;(SMALL(IF(checklistPesertaKemenkeu!$AY$6:$AY$1005="Direkomendasikan",ROW($6:$1005)-5),388)+5)&amp;":O"&amp;(SMALL(IF(checklistPesertaKemenkeu!$AY$6:$AY$1005="Direkomendasikan",ROW($6:$1005)-5),388)+5)),INDEX(checklistPesertaKemenkeu!$N$6:$N$1005,SMALL(IF(checklistPesertaKemenkeu!$AY$6:$AY$1005="Direkomendasikan",ROW($6:$1005)-5),388)))=1),IFERROR(VLOOKUP(INDEX(checklistPesertaKemenkeu!$N$6:$N$1005,SMALL(IF(checklistPesertaKemenkeu!$AY$6:$AY$1005="Direkomendasikan",ROW($6:$1005)-5),388)),KotaKode,2,0),"-"),"")),"")</f>
        <v/>
      </c>
      <c r="K389" t="str">
        <f t="array" aca="1" ref="K389" ca="1">IFERROR(IF(OR(INDEX(checklistPesertaKemenkeu!$O$6:$O$1005,SMALL(IF(checklistPesertaKemenkeu!$AY$6:$AY$1005="Direkomendasikan",ROW($6:$1005)-5),388))="",INDEX(checklistPesertaKemenkeu!$J$6:$J$1005,SMALL(IF(checklistPesertaKemenkeu!$AY$6:$AY$1005="Direkomendasikan",ROW($6:$1005)-5),388))=""),"",IF(AND(COUNTIF(INDIRECT("K_"&amp;MATCH(INDEX(checklistPesertaKemenkeu!$J$6:$J$1005,SMALL(IF(checklistPesertaKemenkeu!$AY$6:$AY$1005="Direkomendasikan",ROW($6:$1005)-5),388)),BidangList,0)),INDEX(checklistPesertaKemenkeu!$O$6:$O$1005,SMALL(IF(checklistPesertaKemenkeu!$AY$6:$AY$1005="Direkomendasikan",ROW($6:$1005)-5),388)))&gt;0,COUNTIF(INDIRECT("'KERTAS KERJA'!K"&amp;(SMALL(IF(checklistPesertaKemenkeu!$AY$6:$AY$1005="Direkomendasikan",ROW($6:$1005)-5),388)+5)&amp;":O"&amp;(SMALL(IF(checklistPesertaKemenkeu!$AY$6:$AY$1005="Direkomendasikan",ROW($6:$1005)-5),388)+5)),INDEX(checklistPesertaKemenkeu!$O$6:$O$1005,SMALL(IF(checklistPesertaKemenkeu!$AY$6:$AY$1005="Direkomendasikan",ROW($6:$1005)-5),388)))=1),IFERROR(VLOOKUP(INDEX(checklistPesertaKemenkeu!$O$6:$O$1005,SMALL(IF(checklistPesertaKemenkeu!$AY$6:$AY$1005="Direkomendasikan",ROW($6:$1005)-5),388)),KotaKode,2,0),"-"),"")),"")</f>
        <v/>
      </c>
      <c r="L389" t="str">
        <f t="array" aca="1" ref="L389" ca="1">IFERROR(IF(OR(INDEX(checklistPesertaKemenkeu!$P$6:$P$1005,SMALL(IF(checklistPesertaKemenkeu!$AY$6:$AY$1005="Direkomendasikan",ROW($6:$1005)-5),388))="",INDEX(checklistPesertaKemenkeu!$J$6:$J$1005,SMALL(IF(checklistPesertaKemenkeu!$AY$6:$AY$1005="Direkomendasikan",ROW($6:$1005)-5),388))=""),"",IF(AND(COUNTIF(INDIRECT("K_"&amp;MATCH(INDEX(checklistPesertaKemenkeu!$J$6:$J$1005,SMALL(IF(checklistPesertaKemenkeu!$AY$6:$AY$1005="Direkomendasikan",ROW($6:$1005)-5),388)),BidangList,0)),INDEX(checklistPesertaKemenkeu!$P$6:$P$1005,SMALL(IF(checklistPesertaKemenkeu!$AY$6:$AY$1005="Direkomendasikan",ROW($6:$1005)-5),388)))&gt;0,COUNTIF(INDIRECT("'KERTAS KERJA'!K"&amp;(SMALL(IF(checklistPesertaKemenkeu!$AY$6:$AY$1005="Direkomendasikan",ROW($6:$1005)-5),388)+5)&amp;":O"&amp;(SMALL(IF(checklistPesertaKemenkeu!$AY$6:$AY$1005="Direkomendasikan",ROW($6:$1005)-5),388)+5)),INDEX(checklistPesertaKemenkeu!$P$6:$P$1005,SMALL(IF(checklistPesertaKemenkeu!$AY$6:$AY$1005="Direkomendasikan",ROW($6:$1005)-5),388)))=1),IFERROR(VLOOKUP(INDEX(checklistPesertaKemenkeu!$P$6:$P$1005,SMALL(IF(checklistPesertaKemenkeu!$AY$6:$AY$1005="Direkomendasikan",ROW($6:$1005)-5),388)),KotaKode,2,0),"-"),"")),"")</f>
        <v/>
      </c>
    </row>
    <row r="390" spans="1:12" ht="15" customHeight="1" x14ac:dyDescent="0.2">
      <c r="A390" t="str">
        <f t="shared" si="6"/>
        <v/>
      </c>
      <c r="B390" t="str">
        <v/>
      </c>
      <c r="C390" s="40" t="str">
        <f t="array" ref="C390">IFERROR(INDEX(checklistPesertaKemenkeu!$F$6:$F$1005,SMALL(IF(checklistPesertaKemenkeu!$AY$6:$AY$1005="Direkomendasikan",ROW($6:$1005)-5),389)),"")</f>
        <v/>
      </c>
      <c r="D390" t="str">
        <f t="array" ref="D390">IFERROR(INDEX(checklistPesertaKemenkeu!$G$6:$G$1005,SMALL(IF(checklistPesertaKemenkeu!$AY$6:$AY$1005="Direkomendasikan",ROW($6:$1005)-5),389)),"")</f>
        <v/>
      </c>
      <c r="E390" t="str">
        <f t="array" ref="E390">IFERROR(INDEX(checklistPesertaKemenkeu!$H$6:$H$1005,SMALL(IF(checklistPesertaKemenkeu!$AY$6:$AY$1005="Direkomendasikan",ROW($6:$1005)-5),389)),"")</f>
        <v/>
      </c>
      <c r="F390" t="str">
        <f t="array" ref="F390">IFERROR(INDEX(checklistPesertaKemenkeu!$I$6:$I$1005,SMALL(IF(checklistPesertaKemenkeu!$AY$6:$AY$1005="Direkomendasikan",ROW($6:$1005)-5),389)),"")</f>
        <v/>
      </c>
      <c r="G390" t="str">
        <f t="array" ref="G390">IFERROR(INDEX(checklistPesertaKemenkeu!$J$6:$J$1005,SMALL(IF(checklistPesertaKemenkeu!$AY$6:$AY$1005="Direkomendasikan",ROW($6:$1005)-5),389)),"")</f>
        <v/>
      </c>
      <c r="H390" t="str">
        <f t="array" aca="1" ref="H390" ca="1">IFERROR(IF(OR(INDEX(checklistPesertaKemenkeu!$L$6:$L$1005,SMALL(IF(checklistPesertaKemenkeu!$AY$6:$AY$1005="Direkomendasikan",ROW($6:$1005)-5),389))="",INDEX(checklistPesertaKemenkeu!$J$6:$J$1005,SMALL(IF(checklistPesertaKemenkeu!$AY$6:$AY$1005="Direkomendasikan",ROW($6:$1005)-5),389))=""),"",IF(AND(COUNTIF(INDIRECT("K_"&amp;MATCH(INDEX(checklistPesertaKemenkeu!$J$6:$J$1005,SMALL(IF(checklistPesertaKemenkeu!$AY$6:$AY$1005="Direkomendasikan",ROW($6:$1005)-5),389)),BidangList,0)),INDEX(checklistPesertaKemenkeu!$L$6:$L$1005,SMALL(IF(checklistPesertaKemenkeu!$AY$6:$AY$1005="Direkomendasikan",ROW($6:$1005)-5),389)))&gt;0,COUNTIF(INDIRECT("'KERTAS KERJA'!K"&amp;(SMALL(IF(checklistPesertaKemenkeu!$AY$6:$AY$1005="Direkomendasikan",ROW($6:$1005)-5),389)+5)&amp;":O"&amp;(SMALL(IF(checklistPesertaKemenkeu!$AY$6:$AY$1005="Direkomendasikan",ROW($6:$1005)-5),389)+5)),INDEX(checklistPesertaKemenkeu!$L$6:$L$1005,SMALL(IF(checklistPesertaKemenkeu!$AY$6:$AY$1005="Direkomendasikan",ROW($6:$1005)-5),389)))=1),IFERROR(VLOOKUP(INDEX(checklistPesertaKemenkeu!$L$6:$L$1005,SMALL(IF(checklistPesertaKemenkeu!$AY$6:$AY$1005="Direkomendasikan",ROW($6:$1005)-5),389)),KotaKode,2,0),"-"),"")),"")</f>
        <v/>
      </c>
      <c r="I390" t="str">
        <f t="array" aca="1" ref="I390" ca="1">IFERROR(IF(OR(INDEX(checklistPesertaKemenkeu!$M$6:$M$1005,SMALL(IF(checklistPesertaKemenkeu!$AY$6:$AY$1005="Direkomendasikan",ROW($6:$1005)-5),389))="",INDEX(checklistPesertaKemenkeu!$J$6:$J$1005,SMALL(IF(checklistPesertaKemenkeu!$AY$6:$AY$1005="Direkomendasikan",ROW($6:$1005)-5),389))=""),"",IF(AND(COUNTIF(INDIRECT("K_"&amp;MATCH(INDEX(checklistPesertaKemenkeu!$J$6:$J$1005,SMALL(IF(checklistPesertaKemenkeu!$AY$6:$AY$1005="Direkomendasikan",ROW($6:$1005)-5),389)),BidangList,0)),INDEX(checklistPesertaKemenkeu!$M$6:$M$1005,SMALL(IF(checklistPesertaKemenkeu!$AY$6:$AY$1005="Direkomendasikan",ROW($6:$1005)-5),389)))&gt;0,COUNTIF(INDIRECT("'KERTAS KERJA'!K"&amp;(SMALL(IF(checklistPesertaKemenkeu!$AY$6:$AY$1005="Direkomendasikan",ROW($6:$1005)-5),389)+5)&amp;":O"&amp;(SMALL(IF(checklistPesertaKemenkeu!$AY$6:$AY$1005="Direkomendasikan",ROW($6:$1005)-5),389)+5)),INDEX(checklistPesertaKemenkeu!$M$6:$M$1005,SMALL(IF(checklistPesertaKemenkeu!$AY$6:$AY$1005="Direkomendasikan",ROW($6:$1005)-5),389)))=1),IFERROR(VLOOKUP(INDEX(checklistPesertaKemenkeu!$M$6:$M$1005,SMALL(IF(checklistPesertaKemenkeu!$AY$6:$AY$1005="Direkomendasikan",ROW($6:$1005)-5),389)),KotaKode,2,0),"-"),"")),"")</f>
        <v/>
      </c>
      <c r="J390" t="str">
        <f t="array" aca="1" ref="J390" ca="1">IFERROR(IF(OR(INDEX(checklistPesertaKemenkeu!$N$6:$N$1005,SMALL(IF(checklistPesertaKemenkeu!$AY$6:$AY$1005="Direkomendasikan",ROW($6:$1005)-5),389))="",INDEX(checklistPesertaKemenkeu!$J$6:$J$1005,SMALL(IF(checklistPesertaKemenkeu!$AY$6:$AY$1005="Direkomendasikan",ROW($6:$1005)-5),389))=""),"",IF(AND(COUNTIF(INDIRECT("K_"&amp;MATCH(INDEX(checklistPesertaKemenkeu!$J$6:$J$1005,SMALL(IF(checklistPesertaKemenkeu!$AY$6:$AY$1005="Direkomendasikan",ROW($6:$1005)-5),389)),BidangList,0)),INDEX(checklistPesertaKemenkeu!$N$6:$N$1005,SMALL(IF(checklistPesertaKemenkeu!$AY$6:$AY$1005="Direkomendasikan",ROW($6:$1005)-5),389)))&gt;0,COUNTIF(INDIRECT("'KERTAS KERJA'!K"&amp;(SMALL(IF(checklistPesertaKemenkeu!$AY$6:$AY$1005="Direkomendasikan",ROW($6:$1005)-5),389)+5)&amp;":O"&amp;(SMALL(IF(checklistPesertaKemenkeu!$AY$6:$AY$1005="Direkomendasikan",ROW($6:$1005)-5),389)+5)),INDEX(checklistPesertaKemenkeu!$N$6:$N$1005,SMALL(IF(checklistPesertaKemenkeu!$AY$6:$AY$1005="Direkomendasikan",ROW($6:$1005)-5),389)))=1),IFERROR(VLOOKUP(INDEX(checklistPesertaKemenkeu!$N$6:$N$1005,SMALL(IF(checklistPesertaKemenkeu!$AY$6:$AY$1005="Direkomendasikan",ROW($6:$1005)-5),389)),KotaKode,2,0),"-"),"")),"")</f>
        <v/>
      </c>
      <c r="K390" t="str">
        <f t="array" aca="1" ref="K390" ca="1">IFERROR(IF(OR(INDEX(checklistPesertaKemenkeu!$O$6:$O$1005,SMALL(IF(checklistPesertaKemenkeu!$AY$6:$AY$1005="Direkomendasikan",ROW($6:$1005)-5),389))="",INDEX(checklistPesertaKemenkeu!$J$6:$J$1005,SMALL(IF(checklistPesertaKemenkeu!$AY$6:$AY$1005="Direkomendasikan",ROW($6:$1005)-5),389))=""),"",IF(AND(COUNTIF(INDIRECT("K_"&amp;MATCH(INDEX(checklistPesertaKemenkeu!$J$6:$J$1005,SMALL(IF(checklistPesertaKemenkeu!$AY$6:$AY$1005="Direkomendasikan",ROW($6:$1005)-5),389)),BidangList,0)),INDEX(checklistPesertaKemenkeu!$O$6:$O$1005,SMALL(IF(checklistPesertaKemenkeu!$AY$6:$AY$1005="Direkomendasikan",ROW($6:$1005)-5),389)))&gt;0,COUNTIF(INDIRECT("'KERTAS KERJA'!K"&amp;(SMALL(IF(checklistPesertaKemenkeu!$AY$6:$AY$1005="Direkomendasikan",ROW($6:$1005)-5),389)+5)&amp;":O"&amp;(SMALL(IF(checklistPesertaKemenkeu!$AY$6:$AY$1005="Direkomendasikan",ROW($6:$1005)-5),389)+5)),INDEX(checklistPesertaKemenkeu!$O$6:$O$1005,SMALL(IF(checklistPesertaKemenkeu!$AY$6:$AY$1005="Direkomendasikan",ROW($6:$1005)-5),389)))=1),IFERROR(VLOOKUP(INDEX(checklistPesertaKemenkeu!$O$6:$O$1005,SMALL(IF(checklistPesertaKemenkeu!$AY$6:$AY$1005="Direkomendasikan",ROW($6:$1005)-5),389)),KotaKode,2,0),"-"),"")),"")</f>
        <v/>
      </c>
      <c r="L390" t="str">
        <f t="array" aca="1" ref="L390" ca="1">IFERROR(IF(OR(INDEX(checklistPesertaKemenkeu!$P$6:$P$1005,SMALL(IF(checklistPesertaKemenkeu!$AY$6:$AY$1005="Direkomendasikan",ROW($6:$1005)-5),389))="",INDEX(checklistPesertaKemenkeu!$J$6:$J$1005,SMALL(IF(checklistPesertaKemenkeu!$AY$6:$AY$1005="Direkomendasikan",ROW($6:$1005)-5),389))=""),"",IF(AND(COUNTIF(INDIRECT("K_"&amp;MATCH(INDEX(checklistPesertaKemenkeu!$J$6:$J$1005,SMALL(IF(checklistPesertaKemenkeu!$AY$6:$AY$1005="Direkomendasikan",ROW($6:$1005)-5),389)),BidangList,0)),INDEX(checklistPesertaKemenkeu!$P$6:$P$1005,SMALL(IF(checklistPesertaKemenkeu!$AY$6:$AY$1005="Direkomendasikan",ROW($6:$1005)-5),389)))&gt;0,COUNTIF(INDIRECT("'KERTAS KERJA'!K"&amp;(SMALL(IF(checklistPesertaKemenkeu!$AY$6:$AY$1005="Direkomendasikan",ROW($6:$1005)-5),389)+5)&amp;":O"&amp;(SMALL(IF(checklistPesertaKemenkeu!$AY$6:$AY$1005="Direkomendasikan",ROW($6:$1005)-5),389)+5)),INDEX(checklistPesertaKemenkeu!$P$6:$P$1005,SMALL(IF(checklistPesertaKemenkeu!$AY$6:$AY$1005="Direkomendasikan",ROW($6:$1005)-5),389)))=1),IFERROR(VLOOKUP(INDEX(checklistPesertaKemenkeu!$P$6:$P$1005,SMALL(IF(checklistPesertaKemenkeu!$AY$6:$AY$1005="Direkomendasikan",ROW($6:$1005)-5),389)),KotaKode,2,0),"-"),"")),"")</f>
        <v/>
      </c>
    </row>
    <row r="391" spans="1:12" ht="15" customHeight="1" x14ac:dyDescent="0.2">
      <c r="A391" t="str">
        <f t="shared" si="6"/>
        <v/>
      </c>
      <c r="B391" t="str">
        <v/>
      </c>
      <c r="C391" s="40" t="str">
        <f t="array" ref="C391">IFERROR(INDEX(checklistPesertaKemenkeu!$F$6:$F$1005,SMALL(IF(checklistPesertaKemenkeu!$AY$6:$AY$1005="Direkomendasikan",ROW($6:$1005)-5),390)),"")</f>
        <v/>
      </c>
      <c r="D391" t="str">
        <f t="array" ref="D391">IFERROR(INDEX(checklistPesertaKemenkeu!$G$6:$G$1005,SMALL(IF(checklistPesertaKemenkeu!$AY$6:$AY$1005="Direkomendasikan",ROW($6:$1005)-5),390)),"")</f>
        <v/>
      </c>
      <c r="E391" t="str">
        <f t="array" ref="E391">IFERROR(INDEX(checklistPesertaKemenkeu!$H$6:$H$1005,SMALL(IF(checklistPesertaKemenkeu!$AY$6:$AY$1005="Direkomendasikan",ROW($6:$1005)-5),390)),"")</f>
        <v/>
      </c>
      <c r="F391" t="str">
        <f t="array" ref="F391">IFERROR(INDEX(checklistPesertaKemenkeu!$I$6:$I$1005,SMALL(IF(checklistPesertaKemenkeu!$AY$6:$AY$1005="Direkomendasikan",ROW($6:$1005)-5),390)),"")</f>
        <v/>
      </c>
      <c r="G391" t="str">
        <f t="array" ref="G391">IFERROR(INDEX(checklistPesertaKemenkeu!$J$6:$J$1005,SMALL(IF(checklistPesertaKemenkeu!$AY$6:$AY$1005="Direkomendasikan",ROW($6:$1005)-5),390)),"")</f>
        <v/>
      </c>
      <c r="H391" t="str">
        <f t="array" aca="1" ref="H391" ca="1">IFERROR(IF(OR(INDEX(checklistPesertaKemenkeu!$L$6:$L$1005,SMALL(IF(checklistPesertaKemenkeu!$AY$6:$AY$1005="Direkomendasikan",ROW($6:$1005)-5),390))="",INDEX(checklistPesertaKemenkeu!$J$6:$J$1005,SMALL(IF(checklistPesertaKemenkeu!$AY$6:$AY$1005="Direkomendasikan",ROW($6:$1005)-5),390))=""),"",IF(AND(COUNTIF(INDIRECT("K_"&amp;MATCH(INDEX(checklistPesertaKemenkeu!$J$6:$J$1005,SMALL(IF(checklistPesertaKemenkeu!$AY$6:$AY$1005="Direkomendasikan",ROW($6:$1005)-5),390)),BidangList,0)),INDEX(checklistPesertaKemenkeu!$L$6:$L$1005,SMALL(IF(checklistPesertaKemenkeu!$AY$6:$AY$1005="Direkomendasikan",ROW($6:$1005)-5),390)))&gt;0,COUNTIF(INDIRECT("'KERTAS KERJA'!K"&amp;(SMALL(IF(checklistPesertaKemenkeu!$AY$6:$AY$1005="Direkomendasikan",ROW($6:$1005)-5),390)+5)&amp;":O"&amp;(SMALL(IF(checklistPesertaKemenkeu!$AY$6:$AY$1005="Direkomendasikan",ROW($6:$1005)-5),390)+5)),INDEX(checklistPesertaKemenkeu!$L$6:$L$1005,SMALL(IF(checklistPesertaKemenkeu!$AY$6:$AY$1005="Direkomendasikan",ROW($6:$1005)-5),390)))=1),IFERROR(VLOOKUP(INDEX(checklistPesertaKemenkeu!$L$6:$L$1005,SMALL(IF(checklistPesertaKemenkeu!$AY$6:$AY$1005="Direkomendasikan",ROW($6:$1005)-5),390)),KotaKode,2,0),"-"),"")),"")</f>
        <v/>
      </c>
      <c r="I391" t="str">
        <f t="array" aca="1" ref="I391" ca="1">IFERROR(IF(OR(INDEX(checklistPesertaKemenkeu!$M$6:$M$1005,SMALL(IF(checklistPesertaKemenkeu!$AY$6:$AY$1005="Direkomendasikan",ROW($6:$1005)-5),390))="",INDEX(checklistPesertaKemenkeu!$J$6:$J$1005,SMALL(IF(checklistPesertaKemenkeu!$AY$6:$AY$1005="Direkomendasikan",ROW($6:$1005)-5),390))=""),"",IF(AND(COUNTIF(INDIRECT("K_"&amp;MATCH(INDEX(checklistPesertaKemenkeu!$J$6:$J$1005,SMALL(IF(checklistPesertaKemenkeu!$AY$6:$AY$1005="Direkomendasikan",ROW($6:$1005)-5),390)),BidangList,0)),INDEX(checklistPesertaKemenkeu!$M$6:$M$1005,SMALL(IF(checklistPesertaKemenkeu!$AY$6:$AY$1005="Direkomendasikan",ROW($6:$1005)-5),390)))&gt;0,COUNTIF(INDIRECT("'KERTAS KERJA'!K"&amp;(SMALL(IF(checklistPesertaKemenkeu!$AY$6:$AY$1005="Direkomendasikan",ROW($6:$1005)-5),390)+5)&amp;":O"&amp;(SMALL(IF(checklistPesertaKemenkeu!$AY$6:$AY$1005="Direkomendasikan",ROW($6:$1005)-5),390)+5)),INDEX(checklistPesertaKemenkeu!$M$6:$M$1005,SMALL(IF(checklistPesertaKemenkeu!$AY$6:$AY$1005="Direkomendasikan",ROW($6:$1005)-5),390)))=1),IFERROR(VLOOKUP(INDEX(checklistPesertaKemenkeu!$M$6:$M$1005,SMALL(IF(checklistPesertaKemenkeu!$AY$6:$AY$1005="Direkomendasikan",ROW($6:$1005)-5),390)),KotaKode,2,0),"-"),"")),"")</f>
        <v/>
      </c>
      <c r="J391" t="str">
        <f t="array" aca="1" ref="J391" ca="1">IFERROR(IF(OR(INDEX(checklistPesertaKemenkeu!$N$6:$N$1005,SMALL(IF(checklistPesertaKemenkeu!$AY$6:$AY$1005="Direkomendasikan",ROW($6:$1005)-5),390))="",INDEX(checklistPesertaKemenkeu!$J$6:$J$1005,SMALL(IF(checklistPesertaKemenkeu!$AY$6:$AY$1005="Direkomendasikan",ROW($6:$1005)-5),390))=""),"",IF(AND(COUNTIF(INDIRECT("K_"&amp;MATCH(INDEX(checklistPesertaKemenkeu!$J$6:$J$1005,SMALL(IF(checklistPesertaKemenkeu!$AY$6:$AY$1005="Direkomendasikan",ROW($6:$1005)-5),390)),BidangList,0)),INDEX(checklistPesertaKemenkeu!$N$6:$N$1005,SMALL(IF(checklistPesertaKemenkeu!$AY$6:$AY$1005="Direkomendasikan",ROW($6:$1005)-5),390)))&gt;0,COUNTIF(INDIRECT("'KERTAS KERJA'!K"&amp;(SMALL(IF(checklistPesertaKemenkeu!$AY$6:$AY$1005="Direkomendasikan",ROW($6:$1005)-5),390)+5)&amp;":O"&amp;(SMALL(IF(checklistPesertaKemenkeu!$AY$6:$AY$1005="Direkomendasikan",ROW($6:$1005)-5),390)+5)),INDEX(checklistPesertaKemenkeu!$N$6:$N$1005,SMALL(IF(checklistPesertaKemenkeu!$AY$6:$AY$1005="Direkomendasikan",ROW($6:$1005)-5),390)))=1),IFERROR(VLOOKUP(INDEX(checklistPesertaKemenkeu!$N$6:$N$1005,SMALL(IF(checklistPesertaKemenkeu!$AY$6:$AY$1005="Direkomendasikan",ROW($6:$1005)-5),390)),KotaKode,2,0),"-"),"")),"")</f>
        <v/>
      </c>
      <c r="K391" t="str">
        <f t="array" aca="1" ref="K391" ca="1">IFERROR(IF(OR(INDEX(checklistPesertaKemenkeu!$O$6:$O$1005,SMALL(IF(checklistPesertaKemenkeu!$AY$6:$AY$1005="Direkomendasikan",ROW($6:$1005)-5),390))="",INDEX(checklistPesertaKemenkeu!$J$6:$J$1005,SMALL(IF(checklistPesertaKemenkeu!$AY$6:$AY$1005="Direkomendasikan",ROW($6:$1005)-5),390))=""),"",IF(AND(COUNTIF(INDIRECT("K_"&amp;MATCH(INDEX(checklistPesertaKemenkeu!$J$6:$J$1005,SMALL(IF(checklistPesertaKemenkeu!$AY$6:$AY$1005="Direkomendasikan",ROW($6:$1005)-5),390)),BidangList,0)),INDEX(checklistPesertaKemenkeu!$O$6:$O$1005,SMALL(IF(checklistPesertaKemenkeu!$AY$6:$AY$1005="Direkomendasikan",ROW($6:$1005)-5),390)))&gt;0,COUNTIF(INDIRECT("'KERTAS KERJA'!K"&amp;(SMALL(IF(checklistPesertaKemenkeu!$AY$6:$AY$1005="Direkomendasikan",ROW($6:$1005)-5),390)+5)&amp;":O"&amp;(SMALL(IF(checklistPesertaKemenkeu!$AY$6:$AY$1005="Direkomendasikan",ROW($6:$1005)-5),390)+5)),INDEX(checklistPesertaKemenkeu!$O$6:$O$1005,SMALL(IF(checklistPesertaKemenkeu!$AY$6:$AY$1005="Direkomendasikan",ROW($6:$1005)-5),390)))=1),IFERROR(VLOOKUP(INDEX(checklistPesertaKemenkeu!$O$6:$O$1005,SMALL(IF(checklistPesertaKemenkeu!$AY$6:$AY$1005="Direkomendasikan",ROW($6:$1005)-5),390)),KotaKode,2,0),"-"),"")),"")</f>
        <v/>
      </c>
      <c r="L391" t="str">
        <f t="array" aca="1" ref="L391" ca="1">IFERROR(IF(OR(INDEX(checklistPesertaKemenkeu!$P$6:$P$1005,SMALL(IF(checklistPesertaKemenkeu!$AY$6:$AY$1005="Direkomendasikan",ROW($6:$1005)-5),390))="",INDEX(checklistPesertaKemenkeu!$J$6:$J$1005,SMALL(IF(checklistPesertaKemenkeu!$AY$6:$AY$1005="Direkomendasikan",ROW($6:$1005)-5),390))=""),"",IF(AND(COUNTIF(INDIRECT("K_"&amp;MATCH(INDEX(checklistPesertaKemenkeu!$J$6:$J$1005,SMALL(IF(checklistPesertaKemenkeu!$AY$6:$AY$1005="Direkomendasikan",ROW($6:$1005)-5),390)),BidangList,0)),INDEX(checklistPesertaKemenkeu!$P$6:$P$1005,SMALL(IF(checklistPesertaKemenkeu!$AY$6:$AY$1005="Direkomendasikan",ROW($6:$1005)-5),390)))&gt;0,COUNTIF(INDIRECT("'KERTAS KERJA'!K"&amp;(SMALL(IF(checklistPesertaKemenkeu!$AY$6:$AY$1005="Direkomendasikan",ROW($6:$1005)-5),390)+5)&amp;":O"&amp;(SMALL(IF(checklistPesertaKemenkeu!$AY$6:$AY$1005="Direkomendasikan",ROW($6:$1005)-5),390)+5)),INDEX(checklistPesertaKemenkeu!$P$6:$P$1005,SMALL(IF(checklistPesertaKemenkeu!$AY$6:$AY$1005="Direkomendasikan",ROW($6:$1005)-5),390)))=1),IFERROR(VLOOKUP(INDEX(checklistPesertaKemenkeu!$P$6:$P$1005,SMALL(IF(checklistPesertaKemenkeu!$AY$6:$AY$1005="Direkomendasikan",ROW($6:$1005)-5),390)),KotaKode,2,0),"-"),"")),"")</f>
        <v/>
      </c>
    </row>
    <row r="392" spans="1:12" ht="15" customHeight="1" x14ac:dyDescent="0.2">
      <c r="A392" t="str">
        <f t="shared" si="6"/>
        <v/>
      </c>
      <c r="B392" t="str">
        <v/>
      </c>
      <c r="C392" s="40" t="str">
        <f t="array" ref="C392">IFERROR(INDEX(checklistPesertaKemenkeu!$F$6:$F$1005,SMALL(IF(checklistPesertaKemenkeu!$AY$6:$AY$1005="Direkomendasikan",ROW($6:$1005)-5),391)),"")</f>
        <v/>
      </c>
      <c r="D392" t="str">
        <f t="array" ref="D392">IFERROR(INDEX(checklistPesertaKemenkeu!$G$6:$G$1005,SMALL(IF(checklistPesertaKemenkeu!$AY$6:$AY$1005="Direkomendasikan",ROW($6:$1005)-5),391)),"")</f>
        <v/>
      </c>
      <c r="E392" t="str">
        <f t="array" ref="E392">IFERROR(INDEX(checklistPesertaKemenkeu!$H$6:$H$1005,SMALL(IF(checklistPesertaKemenkeu!$AY$6:$AY$1005="Direkomendasikan",ROW($6:$1005)-5),391)),"")</f>
        <v/>
      </c>
      <c r="F392" t="str">
        <f t="array" ref="F392">IFERROR(INDEX(checklistPesertaKemenkeu!$I$6:$I$1005,SMALL(IF(checklistPesertaKemenkeu!$AY$6:$AY$1005="Direkomendasikan",ROW($6:$1005)-5),391)),"")</f>
        <v/>
      </c>
      <c r="G392" t="str">
        <f t="array" ref="G392">IFERROR(INDEX(checklistPesertaKemenkeu!$J$6:$J$1005,SMALL(IF(checklistPesertaKemenkeu!$AY$6:$AY$1005="Direkomendasikan",ROW($6:$1005)-5),391)),"")</f>
        <v/>
      </c>
      <c r="H392" t="str">
        <f t="array" aca="1" ref="H392" ca="1">IFERROR(IF(OR(INDEX(checklistPesertaKemenkeu!$L$6:$L$1005,SMALL(IF(checklistPesertaKemenkeu!$AY$6:$AY$1005="Direkomendasikan",ROW($6:$1005)-5),391))="",INDEX(checklistPesertaKemenkeu!$J$6:$J$1005,SMALL(IF(checklistPesertaKemenkeu!$AY$6:$AY$1005="Direkomendasikan",ROW($6:$1005)-5),391))=""),"",IF(AND(COUNTIF(INDIRECT("K_"&amp;MATCH(INDEX(checklistPesertaKemenkeu!$J$6:$J$1005,SMALL(IF(checklistPesertaKemenkeu!$AY$6:$AY$1005="Direkomendasikan",ROW($6:$1005)-5),391)),BidangList,0)),INDEX(checklistPesertaKemenkeu!$L$6:$L$1005,SMALL(IF(checklistPesertaKemenkeu!$AY$6:$AY$1005="Direkomendasikan",ROW($6:$1005)-5),391)))&gt;0,COUNTIF(INDIRECT("'KERTAS KERJA'!K"&amp;(SMALL(IF(checklistPesertaKemenkeu!$AY$6:$AY$1005="Direkomendasikan",ROW($6:$1005)-5),391)+5)&amp;":O"&amp;(SMALL(IF(checklistPesertaKemenkeu!$AY$6:$AY$1005="Direkomendasikan",ROW($6:$1005)-5),391)+5)),INDEX(checklistPesertaKemenkeu!$L$6:$L$1005,SMALL(IF(checklistPesertaKemenkeu!$AY$6:$AY$1005="Direkomendasikan",ROW($6:$1005)-5),391)))=1),IFERROR(VLOOKUP(INDEX(checklistPesertaKemenkeu!$L$6:$L$1005,SMALL(IF(checklistPesertaKemenkeu!$AY$6:$AY$1005="Direkomendasikan",ROW($6:$1005)-5),391)),KotaKode,2,0),"-"),"")),"")</f>
        <v/>
      </c>
      <c r="I392" t="str">
        <f t="array" aca="1" ref="I392" ca="1">IFERROR(IF(OR(INDEX(checklistPesertaKemenkeu!$M$6:$M$1005,SMALL(IF(checklistPesertaKemenkeu!$AY$6:$AY$1005="Direkomendasikan",ROW($6:$1005)-5),391))="",INDEX(checklistPesertaKemenkeu!$J$6:$J$1005,SMALL(IF(checklistPesertaKemenkeu!$AY$6:$AY$1005="Direkomendasikan",ROW($6:$1005)-5),391))=""),"",IF(AND(COUNTIF(INDIRECT("K_"&amp;MATCH(INDEX(checklistPesertaKemenkeu!$J$6:$J$1005,SMALL(IF(checklistPesertaKemenkeu!$AY$6:$AY$1005="Direkomendasikan",ROW($6:$1005)-5),391)),BidangList,0)),INDEX(checklistPesertaKemenkeu!$M$6:$M$1005,SMALL(IF(checklistPesertaKemenkeu!$AY$6:$AY$1005="Direkomendasikan",ROW($6:$1005)-5),391)))&gt;0,COUNTIF(INDIRECT("'KERTAS KERJA'!K"&amp;(SMALL(IF(checklistPesertaKemenkeu!$AY$6:$AY$1005="Direkomendasikan",ROW($6:$1005)-5),391)+5)&amp;":O"&amp;(SMALL(IF(checklistPesertaKemenkeu!$AY$6:$AY$1005="Direkomendasikan",ROW($6:$1005)-5),391)+5)),INDEX(checklistPesertaKemenkeu!$M$6:$M$1005,SMALL(IF(checklistPesertaKemenkeu!$AY$6:$AY$1005="Direkomendasikan",ROW($6:$1005)-5),391)))=1),IFERROR(VLOOKUP(INDEX(checklistPesertaKemenkeu!$M$6:$M$1005,SMALL(IF(checklistPesertaKemenkeu!$AY$6:$AY$1005="Direkomendasikan",ROW($6:$1005)-5),391)),KotaKode,2,0),"-"),"")),"")</f>
        <v/>
      </c>
      <c r="J392" t="str">
        <f t="array" aca="1" ref="J392" ca="1">IFERROR(IF(OR(INDEX(checklistPesertaKemenkeu!$N$6:$N$1005,SMALL(IF(checklistPesertaKemenkeu!$AY$6:$AY$1005="Direkomendasikan",ROW($6:$1005)-5),391))="",INDEX(checklistPesertaKemenkeu!$J$6:$J$1005,SMALL(IF(checklistPesertaKemenkeu!$AY$6:$AY$1005="Direkomendasikan",ROW($6:$1005)-5),391))=""),"",IF(AND(COUNTIF(INDIRECT("K_"&amp;MATCH(INDEX(checklistPesertaKemenkeu!$J$6:$J$1005,SMALL(IF(checklistPesertaKemenkeu!$AY$6:$AY$1005="Direkomendasikan",ROW($6:$1005)-5),391)),BidangList,0)),INDEX(checklistPesertaKemenkeu!$N$6:$N$1005,SMALL(IF(checklistPesertaKemenkeu!$AY$6:$AY$1005="Direkomendasikan",ROW($6:$1005)-5),391)))&gt;0,COUNTIF(INDIRECT("'KERTAS KERJA'!K"&amp;(SMALL(IF(checklistPesertaKemenkeu!$AY$6:$AY$1005="Direkomendasikan",ROW($6:$1005)-5),391)+5)&amp;":O"&amp;(SMALL(IF(checklistPesertaKemenkeu!$AY$6:$AY$1005="Direkomendasikan",ROW($6:$1005)-5),391)+5)),INDEX(checklistPesertaKemenkeu!$N$6:$N$1005,SMALL(IF(checklistPesertaKemenkeu!$AY$6:$AY$1005="Direkomendasikan",ROW($6:$1005)-5),391)))=1),IFERROR(VLOOKUP(INDEX(checklistPesertaKemenkeu!$N$6:$N$1005,SMALL(IF(checklistPesertaKemenkeu!$AY$6:$AY$1005="Direkomendasikan",ROW($6:$1005)-5),391)),KotaKode,2,0),"-"),"")),"")</f>
        <v/>
      </c>
      <c r="K392" t="str">
        <f t="array" aca="1" ref="K392" ca="1">IFERROR(IF(OR(INDEX(checklistPesertaKemenkeu!$O$6:$O$1005,SMALL(IF(checklistPesertaKemenkeu!$AY$6:$AY$1005="Direkomendasikan",ROW($6:$1005)-5),391))="",INDEX(checklistPesertaKemenkeu!$J$6:$J$1005,SMALL(IF(checklistPesertaKemenkeu!$AY$6:$AY$1005="Direkomendasikan",ROW($6:$1005)-5),391))=""),"",IF(AND(COUNTIF(INDIRECT("K_"&amp;MATCH(INDEX(checklistPesertaKemenkeu!$J$6:$J$1005,SMALL(IF(checklistPesertaKemenkeu!$AY$6:$AY$1005="Direkomendasikan",ROW($6:$1005)-5),391)),BidangList,0)),INDEX(checklistPesertaKemenkeu!$O$6:$O$1005,SMALL(IF(checklistPesertaKemenkeu!$AY$6:$AY$1005="Direkomendasikan",ROW($6:$1005)-5),391)))&gt;0,COUNTIF(INDIRECT("'KERTAS KERJA'!K"&amp;(SMALL(IF(checklistPesertaKemenkeu!$AY$6:$AY$1005="Direkomendasikan",ROW($6:$1005)-5),391)+5)&amp;":O"&amp;(SMALL(IF(checklistPesertaKemenkeu!$AY$6:$AY$1005="Direkomendasikan",ROW($6:$1005)-5),391)+5)),INDEX(checklistPesertaKemenkeu!$O$6:$O$1005,SMALL(IF(checklistPesertaKemenkeu!$AY$6:$AY$1005="Direkomendasikan",ROW($6:$1005)-5),391)))=1),IFERROR(VLOOKUP(INDEX(checklistPesertaKemenkeu!$O$6:$O$1005,SMALL(IF(checklistPesertaKemenkeu!$AY$6:$AY$1005="Direkomendasikan",ROW($6:$1005)-5),391)),KotaKode,2,0),"-"),"")),"")</f>
        <v/>
      </c>
      <c r="L392" t="str">
        <f t="array" aca="1" ref="L392" ca="1">IFERROR(IF(OR(INDEX(checklistPesertaKemenkeu!$P$6:$P$1005,SMALL(IF(checklistPesertaKemenkeu!$AY$6:$AY$1005="Direkomendasikan",ROW($6:$1005)-5),391))="",INDEX(checklistPesertaKemenkeu!$J$6:$J$1005,SMALL(IF(checklistPesertaKemenkeu!$AY$6:$AY$1005="Direkomendasikan",ROW($6:$1005)-5),391))=""),"",IF(AND(COUNTIF(INDIRECT("K_"&amp;MATCH(INDEX(checklistPesertaKemenkeu!$J$6:$J$1005,SMALL(IF(checklistPesertaKemenkeu!$AY$6:$AY$1005="Direkomendasikan",ROW($6:$1005)-5),391)),BidangList,0)),INDEX(checklistPesertaKemenkeu!$P$6:$P$1005,SMALL(IF(checklistPesertaKemenkeu!$AY$6:$AY$1005="Direkomendasikan",ROW($6:$1005)-5),391)))&gt;0,COUNTIF(INDIRECT("'KERTAS KERJA'!K"&amp;(SMALL(IF(checklistPesertaKemenkeu!$AY$6:$AY$1005="Direkomendasikan",ROW($6:$1005)-5),391)+5)&amp;":O"&amp;(SMALL(IF(checklistPesertaKemenkeu!$AY$6:$AY$1005="Direkomendasikan",ROW($6:$1005)-5),391)+5)),INDEX(checklistPesertaKemenkeu!$P$6:$P$1005,SMALL(IF(checklistPesertaKemenkeu!$AY$6:$AY$1005="Direkomendasikan",ROW($6:$1005)-5),391)))=1),IFERROR(VLOOKUP(INDEX(checklistPesertaKemenkeu!$P$6:$P$1005,SMALL(IF(checklistPesertaKemenkeu!$AY$6:$AY$1005="Direkomendasikan",ROW($6:$1005)-5),391)),KotaKode,2,0),"-"),"")),"")</f>
        <v/>
      </c>
    </row>
    <row r="393" spans="1:12" ht="15" customHeight="1" x14ac:dyDescent="0.2">
      <c r="A393" t="str">
        <f t="shared" si="6"/>
        <v/>
      </c>
      <c r="B393" t="str">
        <v/>
      </c>
      <c r="C393" s="40" t="str">
        <f t="array" ref="C393">IFERROR(INDEX(checklistPesertaKemenkeu!$F$6:$F$1005,SMALL(IF(checklistPesertaKemenkeu!$AY$6:$AY$1005="Direkomendasikan",ROW($6:$1005)-5),392)),"")</f>
        <v/>
      </c>
      <c r="D393" t="str">
        <f t="array" ref="D393">IFERROR(INDEX(checklistPesertaKemenkeu!$G$6:$G$1005,SMALL(IF(checklistPesertaKemenkeu!$AY$6:$AY$1005="Direkomendasikan",ROW($6:$1005)-5),392)),"")</f>
        <v/>
      </c>
      <c r="E393" t="str">
        <f t="array" ref="E393">IFERROR(INDEX(checklistPesertaKemenkeu!$H$6:$H$1005,SMALL(IF(checklistPesertaKemenkeu!$AY$6:$AY$1005="Direkomendasikan",ROW($6:$1005)-5),392)),"")</f>
        <v/>
      </c>
      <c r="F393" t="str">
        <f t="array" ref="F393">IFERROR(INDEX(checklistPesertaKemenkeu!$I$6:$I$1005,SMALL(IF(checklistPesertaKemenkeu!$AY$6:$AY$1005="Direkomendasikan",ROW($6:$1005)-5),392)),"")</f>
        <v/>
      </c>
      <c r="G393" t="str">
        <f t="array" ref="G393">IFERROR(INDEX(checklistPesertaKemenkeu!$J$6:$J$1005,SMALL(IF(checklistPesertaKemenkeu!$AY$6:$AY$1005="Direkomendasikan",ROW($6:$1005)-5),392)),"")</f>
        <v/>
      </c>
      <c r="H393" t="str">
        <f t="array" aca="1" ref="H393" ca="1">IFERROR(IF(OR(INDEX(checklistPesertaKemenkeu!$L$6:$L$1005,SMALL(IF(checklistPesertaKemenkeu!$AY$6:$AY$1005="Direkomendasikan",ROW($6:$1005)-5),392))="",INDEX(checklistPesertaKemenkeu!$J$6:$J$1005,SMALL(IF(checklistPesertaKemenkeu!$AY$6:$AY$1005="Direkomendasikan",ROW($6:$1005)-5),392))=""),"",IF(AND(COUNTIF(INDIRECT("K_"&amp;MATCH(INDEX(checklistPesertaKemenkeu!$J$6:$J$1005,SMALL(IF(checklistPesertaKemenkeu!$AY$6:$AY$1005="Direkomendasikan",ROW($6:$1005)-5),392)),BidangList,0)),INDEX(checklistPesertaKemenkeu!$L$6:$L$1005,SMALL(IF(checklistPesertaKemenkeu!$AY$6:$AY$1005="Direkomendasikan",ROW($6:$1005)-5),392)))&gt;0,COUNTIF(INDIRECT("'KERTAS KERJA'!K"&amp;(SMALL(IF(checklistPesertaKemenkeu!$AY$6:$AY$1005="Direkomendasikan",ROW($6:$1005)-5),392)+5)&amp;":O"&amp;(SMALL(IF(checklistPesertaKemenkeu!$AY$6:$AY$1005="Direkomendasikan",ROW($6:$1005)-5),392)+5)),INDEX(checklistPesertaKemenkeu!$L$6:$L$1005,SMALL(IF(checklistPesertaKemenkeu!$AY$6:$AY$1005="Direkomendasikan",ROW($6:$1005)-5),392)))=1),IFERROR(VLOOKUP(INDEX(checklistPesertaKemenkeu!$L$6:$L$1005,SMALL(IF(checklistPesertaKemenkeu!$AY$6:$AY$1005="Direkomendasikan",ROW($6:$1005)-5),392)),KotaKode,2,0),"-"),"")),"")</f>
        <v/>
      </c>
      <c r="I393" t="str">
        <f t="array" aca="1" ref="I393" ca="1">IFERROR(IF(OR(INDEX(checklistPesertaKemenkeu!$M$6:$M$1005,SMALL(IF(checklistPesertaKemenkeu!$AY$6:$AY$1005="Direkomendasikan",ROW($6:$1005)-5),392))="",INDEX(checklistPesertaKemenkeu!$J$6:$J$1005,SMALL(IF(checklistPesertaKemenkeu!$AY$6:$AY$1005="Direkomendasikan",ROW($6:$1005)-5),392))=""),"",IF(AND(COUNTIF(INDIRECT("K_"&amp;MATCH(INDEX(checklistPesertaKemenkeu!$J$6:$J$1005,SMALL(IF(checklistPesertaKemenkeu!$AY$6:$AY$1005="Direkomendasikan",ROW($6:$1005)-5),392)),BidangList,0)),INDEX(checklistPesertaKemenkeu!$M$6:$M$1005,SMALL(IF(checklistPesertaKemenkeu!$AY$6:$AY$1005="Direkomendasikan",ROW($6:$1005)-5),392)))&gt;0,COUNTIF(INDIRECT("'KERTAS KERJA'!K"&amp;(SMALL(IF(checklistPesertaKemenkeu!$AY$6:$AY$1005="Direkomendasikan",ROW($6:$1005)-5),392)+5)&amp;":O"&amp;(SMALL(IF(checklistPesertaKemenkeu!$AY$6:$AY$1005="Direkomendasikan",ROW($6:$1005)-5),392)+5)),INDEX(checklistPesertaKemenkeu!$M$6:$M$1005,SMALL(IF(checklistPesertaKemenkeu!$AY$6:$AY$1005="Direkomendasikan",ROW($6:$1005)-5),392)))=1),IFERROR(VLOOKUP(INDEX(checklistPesertaKemenkeu!$M$6:$M$1005,SMALL(IF(checklistPesertaKemenkeu!$AY$6:$AY$1005="Direkomendasikan",ROW($6:$1005)-5),392)),KotaKode,2,0),"-"),"")),"")</f>
        <v/>
      </c>
      <c r="J393" t="str">
        <f t="array" aca="1" ref="J393" ca="1">IFERROR(IF(OR(INDEX(checklistPesertaKemenkeu!$N$6:$N$1005,SMALL(IF(checklistPesertaKemenkeu!$AY$6:$AY$1005="Direkomendasikan",ROW($6:$1005)-5),392))="",INDEX(checklistPesertaKemenkeu!$J$6:$J$1005,SMALL(IF(checklistPesertaKemenkeu!$AY$6:$AY$1005="Direkomendasikan",ROW($6:$1005)-5),392))=""),"",IF(AND(COUNTIF(INDIRECT("K_"&amp;MATCH(INDEX(checklistPesertaKemenkeu!$J$6:$J$1005,SMALL(IF(checklistPesertaKemenkeu!$AY$6:$AY$1005="Direkomendasikan",ROW($6:$1005)-5),392)),BidangList,0)),INDEX(checklistPesertaKemenkeu!$N$6:$N$1005,SMALL(IF(checklistPesertaKemenkeu!$AY$6:$AY$1005="Direkomendasikan",ROW($6:$1005)-5),392)))&gt;0,COUNTIF(INDIRECT("'KERTAS KERJA'!K"&amp;(SMALL(IF(checklistPesertaKemenkeu!$AY$6:$AY$1005="Direkomendasikan",ROW($6:$1005)-5),392)+5)&amp;":O"&amp;(SMALL(IF(checklistPesertaKemenkeu!$AY$6:$AY$1005="Direkomendasikan",ROW($6:$1005)-5),392)+5)),INDEX(checklistPesertaKemenkeu!$N$6:$N$1005,SMALL(IF(checklistPesertaKemenkeu!$AY$6:$AY$1005="Direkomendasikan",ROW($6:$1005)-5),392)))=1),IFERROR(VLOOKUP(INDEX(checklistPesertaKemenkeu!$N$6:$N$1005,SMALL(IF(checklistPesertaKemenkeu!$AY$6:$AY$1005="Direkomendasikan",ROW($6:$1005)-5),392)),KotaKode,2,0),"-"),"")),"")</f>
        <v/>
      </c>
      <c r="K393" t="str">
        <f t="array" aca="1" ref="K393" ca="1">IFERROR(IF(OR(INDEX(checklistPesertaKemenkeu!$O$6:$O$1005,SMALL(IF(checklistPesertaKemenkeu!$AY$6:$AY$1005="Direkomendasikan",ROW($6:$1005)-5),392))="",INDEX(checklistPesertaKemenkeu!$J$6:$J$1005,SMALL(IF(checklistPesertaKemenkeu!$AY$6:$AY$1005="Direkomendasikan",ROW($6:$1005)-5),392))=""),"",IF(AND(COUNTIF(INDIRECT("K_"&amp;MATCH(INDEX(checklistPesertaKemenkeu!$J$6:$J$1005,SMALL(IF(checklistPesertaKemenkeu!$AY$6:$AY$1005="Direkomendasikan",ROW($6:$1005)-5),392)),BidangList,0)),INDEX(checklistPesertaKemenkeu!$O$6:$O$1005,SMALL(IF(checklistPesertaKemenkeu!$AY$6:$AY$1005="Direkomendasikan",ROW($6:$1005)-5),392)))&gt;0,COUNTIF(INDIRECT("'KERTAS KERJA'!K"&amp;(SMALL(IF(checklistPesertaKemenkeu!$AY$6:$AY$1005="Direkomendasikan",ROW($6:$1005)-5),392)+5)&amp;":O"&amp;(SMALL(IF(checklistPesertaKemenkeu!$AY$6:$AY$1005="Direkomendasikan",ROW($6:$1005)-5),392)+5)),INDEX(checklistPesertaKemenkeu!$O$6:$O$1005,SMALL(IF(checklistPesertaKemenkeu!$AY$6:$AY$1005="Direkomendasikan",ROW($6:$1005)-5),392)))=1),IFERROR(VLOOKUP(INDEX(checklistPesertaKemenkeu!$O$6:$O$1005,SMALL(IF(checklistPesertaKemenkeu!$AY$6:$AY$1005="Direkomendasikan",ROW($6:$1005)-5),392)),KotaKode,2,0),"-"),"")),"")</f>
        <v/>
      </c>
      <c r="L393" t="str">
        <f t="array" aca="1" ref="L393" ca="1">IFERROR(IF(OR(INDEX(checklistPesertaKemenkeu!$P$6:$P$1005,SMALL(IF(checklistPesertaKemenkeu!$AY$6:$AY$1005="Direkomendasikan",ROW($6:$1005)-5),392))="",INDEX(checklistPesertaKemenkeu!$J$6:$J$1005,SMALL(IF(checklistPesertaKemenkeu!$AY$6:$AY$1005="Direkomendasikan",ROW($6:$1005)-5),392))=""),"",IF(AND(COUNTIF(INDIRECT("K_"&amp;MATCH(INDEX(checklistPesertaKemenkeu!$J$6:$J$1005,SMALL(IF(checklistPesertaKemenkeu!$AY$6:$AY$1005="Direkomendasikan",ROW($6:$1005)-5),392)),BidangList,0)),INDEX(checklistPesertaKemenkeu!$P$6:$P$1005,SMALL(IF(checklistPesertaKemenkeu!$AY$6:$AY$1005="Direkomendasikan",ROW($6:$1005)-5),392)))&gt;0,COUNTIF(INDIRECT("'KERTAS KERJA'!K"&amp;(SMALL(IF(checklistPesertaKemenkeu!$AY$6:$AY$1005="Direkomendasikan",ROW($6:$1005)-5),392)+5)&amp;":O"&amp;(SMALL(IF(checklistPesertaKemenkeu!$AY$6:$AY$1005="Direkomendasikan",ROW($6:$1005)-5),392)+5)),INDEX(checklistPesertaKemenkeu!$P$6:$P$1005,SMALL(IF(checklistPesertaKemenkeu!$AY$6:$AY$1005="Direkomendasikan",ROW($6:$1005)-5),392)))=1),IFERROR(VLOOKUP(INDEX(checklistPesertaKemenkeu!$P$6:$P$1005,SMALL(IF(checklistPesertaKemenkeu!$AY$6:$AY$1005="Direkomendasikan",ROW($6:$1005)-5),392)),KotaKode,2,0),"-"),"")),"")</f>
        <v/>
      </c>
    </row>
    <row r="394" spans="1:12" ht="15" customHeight="1" x14ac:dyDescent="0.2">
      <c r="A394" t="str">
        <f t="shared" si="6"/>
        <v/>
      </c>
      <c r="B394" t="str">
        <v/>
      </c>
      <c r="C394" s="40" t="str">
        <f t="array" ref="C394">IFERROR(INDEX(checklistPesertaKemenkeu!$F$6:$F$1005,SMALL(IF(checklistPesertaKemenkeu!$AY$6:$AY$1005="Direkomendasikan",ROW($6:$1005)-5),393)),"")</f>
        <v/>
      </c>
      <c r="D394" t="str">
        <f t="array" ref="D394">IFERROR(INDEX(checklistPesertaKemenkeu!$G$6:$G$1005,SMALL(IF(checklistPesertaKemenkeu!$AY$6:$AY$1005="Direkomendasikan",ROW($6:$1005)-5),393)),"")</f>
        <v/>
      </c>
      <c r="E394" t="str">
        <f t="array" ref="E394">IFERROR(INDEX(checklistPesertaKemenkeu!$H$6:$H$1005,SMALL(IF(checklistPesertaKemenkeu!$AY$6:$AY$1005="Direkomendasikan",ROW($6:$1005)-5),393)),"")</f>
        <v/>
      </c>
      <c r="F394" t="str">
        <f t="array" ref="F394">IFERROR(INDEX(checklistPesertaKemenkeu!$I$6:$I$1005,SMALL(IF(checklistPesertaKemenkeu!$AY$6:$AY$1005="Direkomendasikan",ROW($6:$1005)-5),393)),"")</f>
        <v/>
      </c>
      <c r="G394" t="str">
        <f t="array" ref="G394">IFERROR(INDEX(checklistPesertaKemenkeu!$J$6:$J$1005,SMALL(IF(checklistPesertaKemenkeu!$AY$6:$AY$1005="Direkomendasikan",ROW($6:$1005)-5),393)),"")</f>
        <v/>
      </c>
      <c r="H394" t="str">
        <f t="array" aca="1" ref="H394" ca="1">IFERROR(IF(OR(INDEX(checklistPesertaKemenkeu!$L$6:$L$1005,SMALL(IF(checklistPesertaKemenkeu!$AY$6:$AY$1005="Direkomendasikan",ROW($6:$1005)-5),393))="",INDEX(checklistPesertaKemenkeu!$J$6:$J$1005,SMALL(IF(checklistPesertaKemenkeu!$AY$6:$AY$1005="Direkomendasikan",ROW($6:$1005)-5),393))=""),"",IF(AND(COUNTIF(INDIRECT("K_"&amp;MATCH(INDEX(checklistPesertaKemenkeu!$J$6:$J$1005,SMALL(IF(checklistPesertaKemenkeu!$AY$6:$AY$1005="Direkomendasikan",ROW($6:$1005)-5),393)),BidangList,0)),INDEX(checklistPesertaKemenkeu!$L$6:$L$1005,SMALL(IF(checklistPesertaKemenkeu!$AY$6:$AY$1005="Direkomendasikan",ROW($6:$1005)-5),393)))&gt;0,COUNTIF(INDIRECT("'KERTAS KERJA'!K"&amp;(SMALL(IF(checklistPesertaKemenkeu!$AY$6:$AY$1005="Direkomendasikan",ROW($6:$1005)-5),393)+5)&amp;":O"&amp;(SMALL(IF(checklistPesertaKemenkeu!$AY$6:$AY$1005="Direkomendasikan",ROW($6:$1005)-5),393)+5)),INDEX(checklistPesertaKemenkeu!$L$6:$L$1005,SMALL(IF(checklistPesertaKemenkeu!$AY$6:$AY$1005="Direkomendasikan",ROW($6:$1005)-5),393)))=1),IFERROR(VLOOKUP(INDEX(checklistPesertaKemenkeu!$L$6:$L$1005,SMALL(IF(checklistPesertaKemenkeu!$AY$6:$AY$1005="Direkomendasikan",ROW($6:$1005)-5),393)),KotaKode,2,0),"-"),"")),"")</f>
        <v/>
      </c>
      <c r="I394" t="str">
        <f t="array" aca="1" ref="I394" ca="1">IFERROR(IF(OR(INDEX(checklistPesertaKemenkeu!$M$6:$M$1005,SMALL(IF(checklistPesertaKemenkeu!$AY$6:$AY$1005="Direkomendasikan",ROW($6:$1005)-5),393))="",INDEX(checklistPesertaKemenkeu!$J$6:$J$1005,SMALL(IF(checklistPesertaKemenkeu!$AY$6:$AY$1005="Direkomendasikan",ROW($6:$1005)-5),393))=""),"",IF(AND(COUNTIF(INDIRECT("K_"&amp;MATCH(INDEX(checklistPesertaKemenkeu!$J$6:$J$1005,SMALL(IF(checklistPesertaKemenkeu!$AY$6:$AY$1005="Direkomendasikan",ROW($6:$1005)-5),393)),BidangList,0)),INDEX(checklistPesertaKemenkeu!$M$6:$M$1005,SMALL(IF(checklistPesertaKemenkeu!$AY$6:$AY$1005="Direkomendasikan",ROW($6:$1005)-5),393)))&gt;0,COUNTIF(INDIRECT("'KERTAS KERJA'!K"&amp;(SMALL(IF(checklistPesertaKemenkeu!$AY$6:$AY$1005="Direkomendasikan",ROW($6:$1005)-5),393)+5)&amp;":O"&amp;(SMALL(IF(checklistPesertaKemenkeu!$AY$6:$AY$1005="Direkomendasikan",ROW($6:$1005)-5),393)+5)),INDEX(checklistPesertaKemenkeu!$M$6:$M$1005,SMALL(IF(checklistPesertaKemenkeu!$AY$6:$AY$1005="Direkomendasikan",ROW($6:$1005)-5),393)))=1),IFERROR(VLOOKUP(INDEX(checklistPesertaKemenkeu!$M$6:$M$1005,SMALL(IF(checklistPesertaKemenkeu!$AY$6:$AY$1005="Direkomendasikan",ROW($6:$1005)-5),393)),KotaKode,2,0),"-"),"")),"")</f>
        <v/>
      </c>
      <c r="J394" t="str">
        <f t="array" aca="1" ref="J394" ca="1">IFERROR(IF(OR(INDEX(checklistPesertaKemenkeu!$N$6:$N$1005,SMALL(IF(checklistPesertaKemenkeu!$AY$6:$AY$1005="Direkomendasikan",ROW($6:$1005)-5),393))="",INDEX(checklistPesertaKemenkeu!$J$6:$J$1005,SMALL(IF(checklistPesertaKemenkeu!$AY$6:$AY$1005="Direkomendasikan",ROW($6:$1005)-5),393))=""),"",IF(AND(COUNTIF(INDIRECT("K_"&amp;MATCH(INDEX(checklistPesertaKemenkeu!$J$6:$J$1005,SMALL(IF(checklistPesertaKemenkeu!$AY$6:$AY$1005="Direkomendasikan",ROW($6:$1005)-5),393)),BidangList,0)),INDEX(checklistPesertaKemenkeu!$N$6:$N$1005,SMALL(IF(checklistPesertaKemenkeu!$AY$6:$AY$1005="Direkomendasikan",ROW($6:$1005)-5),393)))&gt;0,COUNTIF(INDIRECT("'KERTAS KERJA'!K"&amp;(SMALL(IF(checklistPesertaKemenkeu!$AY$6:$AY$1005="Direkomendasikan",ROW($6:$1005)-5),393)+5)&amp;":O"&amp;(SMALL(IF(checklistPesertaKemenkeu!$AY$6:$AY$1005="Direkomendasikan",ROW($6:$1005)-5),393)+5)),INDEX(checklistPesertaKemenkeu!$N$6:$N$1005,SMALL(IF(checklistPesertaKemenkeu!$AY$6:$AY$1005="Direkomendasikan",ROW($6:$1005)-5),393)))=1),IFERROR(VLOOKUP(INDEX(checklistPesertaKemenkeu!$N$6:$N$1005,SMALL(IF(checklistPesertaKemenkeu!$AY$6:$AY$1005="Direkomendasikan",ROW($6:$1005)-5),393)),KotaKode,2,0),"-"),"")),"")</f>
        <v/>
      </c>
      <c r="K394" t="str">
        <f t="array" aca="1" ref="K394" ca="1">IFERROR(IF(OR(INDEX(checklistPesertaKemenkeu!$O$6:$O$1005,SMALL(IF(checklistPesertaKemenkeu!$AY$6:$AY$1005="Direkomendasikan",ROW($6:$1005)-5),393))="",INDEX(checklistPesertaKemenkeu!$J$6:$J$1005,SMALL(IF(checklistPesertaKemenkeu!$AY$6:$AY$1005="Direkomendasikan",ROW($6:$1005)-5),393))=""),"",IF(AND(COUNTIF(INDIRECT("K_"&amp;MATCH(INDEX(checklistPesertaKemenkeu!$J$6:$J$1005,SMALL(IF(checklistPesertaKemenkeu!$AY$6:$AY$1005="Direkomendasikan",ROW($6:$1005)-5),393)),BidangList,0)),INDEX(checklistPesertaKemenkeu!$O$6:$O$1005,SMALL(IF(checklistPesertaKemenkeu!$AY$6:$AY$1005="Direkomendasikan",ROW($6:$1005)-5),393)))&gt;0,COUNTIF(INDIRECT("'KERTAS KERJA'!K"&amp;(SMALL(IF(checklistPesertaKemenkeu!$AY$6:$AY$1005="Direkomendasikan",ROW($6:$1005)-5),393)+5)&amp;":O"&amp;(SMALL(IF(checklistPesertaKemenkeu!$AY$6:$AY$1005="Direkomendasikan",ROW($6:$1005)-5),393)+5)),INDEX(checklistPesertaKemenkeu!$O$6:$O$1005,SMALL(IF(checklistPesertaKemenkeu!$AY$6:$AY$1005="Direkomendasikan",ROW($6:$1005)-5),393)))=1),IFERROR(VLOOKUP(INDEX(checklistPesertaKemenkeu!$O$6:$O$1005,SMALL(IF(checklistPesertaKemenkeu!$AY$6:$AY$1005="Direkomendasikan",ROW($6:$1005)-5),393)),KotaKode,2,0),"-"),"")),"")</f>
        <v/>
      </c>
      <c r="L394" t="str">
        <f t="array" aca="1" ref="L394" ca="1">IFERROR(IF(OR(INDEX(checklistPesertaKemenkeu!$P$6:$P$1005,SMALL(IF(checklistPesertaKemenkeu!$AY$6:$AY$1005="Direkomendasikan",ROW($6:$1005)-5),393))="",INDEX(checklistPesertaKemenkeu!$J$6:$J$1005,SMALL(IF(checklistPesertaKemenkeu!$AY$6:$AY$1005="Direkomendasikan",ROW($6:$1005)-5),393))=""),"",IF(AND(COUNTIF(INDIRECT("K_"&amp;MATCH(INDEX(checklistPesertaKemenkeu!$J$6:$J$1005,SMALL(IF(checklistPesertaKemenkeu!$AY$6:$AY$1005="Direkomendasikan",ROW($6:$1005)-5),393)),BidangList,0)),INDEX(checklistPesertaKemenkeu!$P$6:$P$1005,SMALL(IF(checklistPesertaKemenkeu!$AY$6:$AY$1005="Direkomendasikan",ROW($6:$1005)-5),393)))&gt;0,COUNTIF(INDIRECT("'KERTAS KERJA'!K"&amp;(SMALL(IF(checklistPesertaKemenkeu!$AY$6:$AY$1005="Direkomendasikan",ROW($6:$1005)-5),393)+5)&amp;":O"&amp;(SMALL(IF(checklistPesertaKemenkeu!$AY$6:$AY$1005="Direkomendasikan",ROW($6:$1005)-5),393)+5)),INDEX(checklistPesertaKemenkeu!$P$6:$P$1005,SMALL(IF(checklistPesertaKemenkeu!$AY$6:$AY$1005="Direkomendasikan",ROW($6:$1005)-5),393)))=1),IFERROR(VLOOKUP(INDEX(checklistPesertaKemenkeu!$P$6:$P$1005,SMALL(IF(checklistPesertaKemenkeu!$AY$6:$AY$1005="Direkomendasikan",ROW($6:$1005)-5),393)),KotaKode,2,0),"-"),"")),"")</f>
        <v/>
      </c>
    </row>
    <row r="395" spans="1:12" ht="15" customHeight="1" x14ac:dyDescent="0.2">
      <c r="A395" t="str">
        <f t="shared" si="6"/>
        <v/>
      </c>
      <c r="B395" t="str">
        <v/>
      </c>
      <c r="C395" s="40" t="str">
        <f t="array" ref="C395">IFERROR(INDEX(checklistPesertaKemenkeu!$F$6:$F$1005,SMALL(IF(checklistPesertaKemenkeu!$AY$6:$AY$1005="Direkomendasikan",ROW($6:$1005)-5),394)),"")</f>
        <v/>
      </c>
      <c r="D395" t="str">
        <f t="array" ref="D395">IFERROR(INDEX(checklistPesertaKemenkeu!$G$6:$G$1005,SMALL(IF(checklistPesertaKemenkeu!$AY$6:$AY$1005="Direkomendasikan",ROW($6:$1005)-5),394)),"")</f>
        <v/>
      </c>
      <c r="E395" t="str">
        <f t="array" ref="E395">IFERROR(INDEX(checklistPesertaKemenkeu!$H$6:$H$1005,SMALL(IF(checklistPesertaKemenkeu!$AY$6:$AY$1005="Direkomendasikan",ROW($6:$1005)-5),394)),"")</f>
        <v/>
      </c>
      <c r="F395" t="str">
        <f t="array" ref="F395">IFERROR(INDEX(checklistPesertaKemenkeu!$I$6:$I$1005,SMALL(IF(checklistPesertaKemenkeu!$AY$6:$AY$1005="Direkomendasikan",ROW($6:$1005)-5),394)),"")</f>
        <v/>
      </c>
      <c r="G395" t="str">
        <f t="array" ref="G395">IFERROR(INDEX(checklistPesertaKemenkeu!$J$6:$J$1005,SMALL(IF(checklistPesertaKemenkeu!$AY$6:$AY$1005="Direkomendasikan",ROW($6:$1005)-5),394)),"")</f>
        <v/>
      </c>
      <c r="H395" t="str">
        <f t="array" aca="1" ref="H395" ca="1">IFERROR(IF(OR(INDEX(checklistPesertaKemenkeu!$L$6:$L$1005,SMALL(IF(checklistPesertaKemenkeu!$AY$6:$AY$1005="Direkomendasikan",ROW($6:$1005)-5),394))="",INDEX(checklistPesertaKemenkeu!$J$6:$J$1005,SMALL(IF(checklistPesertaKemenkeu!$AY$6:$AY$1005="Direkomendasikan",ROW($6:$1005)-5),394))=""),"",IF(AND(COUNTIF(INDIRECT("K_"&amp;MATCH(INDEX(checklistPesertaKemenkeu!$J$6:$J$1005,SMALL(IF(checklistPesertaKemenkeu!$AY$6:$AY$1005="Direkomendasikan",ROW($6:$1005)-5),394)),BidangList,0)),INDEX(checklistPesertaKemenkeu!$L$6:$L$1005,SMALL(IF(checklistPesertaKemenkeu!$AY$6:$AY$1005="Direkomendasikan",ROW($6:$1005)-5),394)))&gt;0,COUNTIF(INDIRECT("'KERTAS KERJA'!K"&amp;(SMALL(IF(checklistPesertaKemenkeu!$AY$6:$AY$1005="Direkomendasikan",ROW($6:$1005)-5),394)+5)&amp;":O"&amp;(SMALL(IF(checklistPesertaKemenkeu!$AY$6:$AY$1005="Direkomendasikan",ROW($6:$1005)-5),394)+5)),INDEX(checklistPesertaKemenkeu!$L$6:$L$1005,SMALL(IF(checklistPesertaKemenkeu!$AY$6:$AY$1005="Direkomendasikan",ROW($6:$1005)-5),394)))=1),IFERROR(VLOOKUP(INDEX(checklistPesertaKemenkeu!$L$6:$L$1005,SMALL(IF(checklistPesertaKemenkeu!$AY$6:$AY$1005="Direkomendasikan",ROW($6:$1005)-5),394)),KotaKode,2,0),"-"),"")),"")</f>
        <v/>
      </c>
      <c r="I395" t="str">
        <f t="array" aca="1" ref="I395" ca="1">IFERROR(IF(OR(INDEX(checklistPesertaKemenkeu!$M$6:$M$1005,SMALL(IF(checklistPesertaKemenkeu!$AY$6:$AY$1005="Direkomendasikan",ROW($6:$1005)-5),394))="",INDEX(checklistPesertaKemenkeu!$J$6:$J$1005,SMALL(IF(checklistPesertaKemenkeu!$AY$6:$AY$1005="Direkomendasikan",ROW($6:$1005)-5),394))=""),"",IF(AND(COUNTIF(INDIRECT("K_"&amp;MATCH(INDEX(checklistPesertaKemenkeu!$J$6:$J$1005,SMALL(IF(checklistPesertaKemenkeu!$AY$6:$AY$1005="Direkomendasikan",ROW($6:$1005)-5),394)),BidangList,0)),INDEX(checklistPesertaKemenkeu!$M$6:$M$1005,SMALL(IF(checklistPesertaKemenkeu!$AY$6:$AY$1005="Direkomendasikan",ROW($6:$1005)-5),394)))&gt;0,COUNTIF(INDIRECT("'KERTAS KERJA'!K"&amp;(SMALL(IF(checklistPesertaKemenkeu!$AY$6:$AY$1005="Direkomendasikan",ROW($6:$1005)-5),394)+5)&amp;":O"&amp;(SMALL(IF(checklistPesertaKemenkeu!$AY$6:$AY$1005="Direkomendasikan",ROW($6:$1005)-5),394)+5)),INDEX(checklistPesertaKemenkeu!$M$6:$M$1005,SMALL(IF(checklistPesertaKemenkeu!$AY$6:$AY$1005="Direkomendasikan",ROW($6:$1005)-5),394)))=1),IFERROR(VLOOKUP(INDEX(checklistPesertaKemenkeu!$M$6:$M$1005,SMALL(IF(checklistPesertaKemenkeu!$AY$6:$AY$1005="Direkomendasikan",ROW($6:$1005)-5),394)),KotaKode,2,0),"-"),"")),"")</f>
        <v/>
      </c>
      <c r="J395" t="str">
        <f t="array" aca="1" ref="J395" ca="1">IFERROR(IF(OR(INDEX(checklistPesertaKemenkeu!$N$6:$N$1005,SMALL(IF(checklistPesertaKemenkeu!$AY$6:$AY$1005="Direkomendasikan",ROW($6:$1005)-5),394))="",INDEX(checklistPesertaKemenkeu!$J$6:$J$1005,SMALL(IF(checklistPesertaKemenkeu!$AY$6:$AY$1005="Direkomendasikan",ROW($6:$1005)-5),394))=""),"",IF(AND(COUNTIF(INDIRECT("K_"&amp;MATCH(INDEX(checklistPesertaKemenkeu!$J$6:$J$1005,SMALL(IF(checklistPesertaKemenkeu!$AY$6:$AY$1005="Direkomendasikan",ROW($6:$1005)-5),394)),BidangList,0)),INDEX(checklistPesertaKemenkeu!$N$6:$N$1005,SMALL(IF(checklistPesertaKemenkeu!$AY$6:$AY$1005="Direkomendasikan",ROW($6:$1005)-5),394)))&gt;0,COUNTIF(INDIRECT("'KERTAS KERJA'!K"&amp;(SMALL(IF(checklistPesertaKemenkeu!$AY$6:$AY$1005="Direkomendasikan",ROW($6:$1005)-5),394)+5)&amp;":O"&amp;(SMALL(IF(checklistPesertaKemenkeu!$AY$6:$AY$1005="Direkomendasikan",ROW($6:$1005)-5),394)+5)),INDEX(checklistPesertaKemenkeu!$N$6:$N$1005,SMALL(IF(checklistPesertaKemenkeu!$AY$6:$AY$1005="Direkomendasikan",ROW($6:$1005)-5),394)))=1),IFERROR(VLOOKUP(INDEX(checklistPesertaKemenkeu!$N$6:$N$1005,SMALL(IF(checklistPesertaKemenkeu!$AY$6:$AY$1005="Direkomendasikan",ROW($6:$1005)-5),394)),KotaKode,2,0),"-"),"")),"")</f>
        <v/>
      </c>
      <c r="K395" t="str">
        <f t="array" aca="1" ref="K395" ca="1">IFERROR(IF(OR(INDEX(checklistPesertaKemenkeu!$O$6:$O$1005,SMALL(IF(checklistPesertaKemenkeu!$AY$6:$AY$1005="Direkomendasikan",ROW($6:$1005)-5),394))="",INDEX(checklistPesertaKemenkeu!$J$6:$J$1005,SMALL(IF(checklistPesertaKemenkeu!$AY$6:$AY$1005="Direkomendasikan",ROW($6:$1005)-5),394))=""),"",IF(AND(COUNTIF(INDIRECT("K_"&amp;MATCH(INDEX(checklistPesertaKemenkeu!$J$6:$J$1005,SMALL(IF(checklistPesertaKemenkeu!$AY$6:$AY$1005="Direkomendasikan",ROW($6:$1005)-5),394)),BidangList,0)),INDEX(checklistPesertaKemenkeu!$O$6:$O$1005,SMALL(IF(checklistPesertaKemenkeu!$AY$6:$AY$1005="Direkomendasikan",ROW($6:$1005)-5),394)))&gt;0,COUNTIF(INDIRECT("'KERTAS KERJA'!K"&amp;(SMALL(IF(checklistPesertaKemenkeu!$AY$6:$AY$1005="Direkomendasikan",ROW($6:$1005)-5),394)+5)&amp;":O"&amp;(SMALL(IF(checklistPesertaKemenkeu!$AY$6:$AY$1005="Direkomendasikan",ROW($6:$1005)-5),394)+5)),INDEX(checklistPesertaKemenkeu!$O$6:$O$1005,SMALL(IF(checklistPesertaKemenkeu!$AY$6:$AY$1005="Direkomendasikan",ROW($6:$1005)-5),394)))=1),IFERROR(VLOOKUP(INDEX(checklistPesertaKemenkeu!$O$6:$O$1005,SMALL(IF(checklistPesertaKemenkeu!$AY$6:$AY$1005="Direkomendasikan",ROW($6:$1005)-5),394)),KotaKode,2,0),"-"),"")),"")</f>
        <v/>
      </c>
      <c r="L395" t="str">
        <f t="array" aca="1" ref="L395" ca="1">IFERROR(IF(OR(INDEX(checklistPesertaKemenkeu!$P$6:$P$1005,SMALL(IF(checklistPesertaKemenkeu!$AY$6:$AY$1005="Direkomendasikan",ROW($6:$1005)-5),394))="",INDEX(checklistPesertaKemenkeu!$J$6:$J$1005,SMALL(IF(checklistPesertaKemenkeu!$AY$6:$AY$1005="Direkomendasikan",ROW($6:$1005)-5),394))=""),"",IF(AND(COUNTIF(INDIRECT("K_"&amp;MATCH(INDEX(checklistPesertaKemenkeu!$J$6:$J$1005,SMALL(IF(checklistPesertaKemenkeu!$AY$6:$AY$1005="Direkomendasikan",ROW($6:$1005)-5),394)),BidangList,0)),INDEX(checklistPesertaKemenkeu!$P$6:$P$1005,SMALL(IF(checklistPesertaKemenkeu!$AY$6:$AY$1005="Direkomendasikan",ROW($6:$1005)-5),394)))&gt;0,COUNTIF(INDIRECT("'KERTAS KERJA'!K"&amp;(SMALL(IF(checklistPesertaKemenkeu!$AY$6:$AY$1005="Direkomendasikan",ROW($6:$1005)-5),394)+5)&amp;":O"&amp;(SMALL(IF(checklistPesertaKemenkeu!$AY$6:$AY$1005="Direkomendasikan",ROW($6:$1005)-5),394)+5)),INDEX(checklistPesertaKemenkeu!$P$6:$P$1005,SMALL(IF(checklistPesertaKemenkeu!$AY$6:$AY$1005="Direkomendasikan",ROW($6:$1005)-5),394)))=1),IFERROR(VLOOKUP(INDEX(checklistPesertaKemenkeu!$P$6:$P$1005,SMALL(IF(checklistPesertaKemenkeu!$AY$6:$AY$1005="Direkomendasikan",ROW($6:$1005)-5),394)),KotaKode,2,0),"-"),"")),"")</f>
        <v/>
      </c>
    </row>
    <row r="396" spans="1:12" ht="15" customHeight="1" x14ac:dyDescent="0.2">
      <c r="A396" t="str">
        <f t="shared" si="6"/>
        <v/>
      </c>
      <c r="B396" t="str">
        <v/>
      </c>
      <c r="C396" s="40" t="str">
        <f t="array" ref="C396">IFERROR(INDEX(checklistPesertaKemenkeu!$F$6:$F$1005,SMALL(IF(checklistPesertaKemenkeu!$AY$6:$AY$1005="Direkomendasikan",ROW($6:$1005)-5),395)),"")</f>
        <v/>
      </c>
      <c r="D396" t="str">
        <f t="array" ref="D396">IFERROR(INDEX(checklistPesertaKemenkeu!$G$6:$G$1005,SMALL(IF(checklistPesertaKemenkeu!$AY$6:$AY$1005="Direkomendasikan",ROW($6:$1005)-5),395)),"")</f>
        <v/>
      </c>
      <c r="E396" t="str">
        <f t="array" ref="E396">IFERROR(INDEX(checklistPesertaKemenkeu!$H$6:$H$1005,SMALL(IF(checklistPesertaKemenkeu!$AY$6:$AY$1005="Direkomendasikan",ROW($6:$1005)-5),395)),"")</f>
        <v/>
      </c>
      <c r="F396" t="str">
        <f t="array" ref="F396">IFERROR(INDEX(checklistPesertaKemenkeu!$I$6:$I$1005,SMALL(IF(checklistPesertaKemenkeu!$AY$6:$AY$1005="Direkomendasikan",ROW($6:$1005)-5),395)),"")</f>
        <v/>
      </c>
      <c r="G396" t="str">
        <f t="array" ref="G396">IFERROR(INDEX(checklistPesertaKemenkeu!$J$6:$J$1005,SMALL(IF(checklistPesertaKemenkeu!$AY$6:$AY$1005="Direkomendasikan",ROW($6:$1005)-5),395)),"")</f>
        <v/>
      </c>
      <c r="H396" t="str">
        <f t="array" aca="1" ref="H396" ca="1">IFERROR(IF(OR(INDEX(checklistPesertaKemenkeu!$L$6:$L$1005,SMALL(IF(checklistPesertaKemenkeu!$AY$6:$AY$1005="Direkomendasikan",ROW($6:$1005)-5),395))="",INDEX(checklistPesertaKemenkeu!$J$6:$J$1005,SMALL(IF(checklistPesertaKemenkeu!$AY$6:$AY$1005="Direkomendasikan",ROW($6:$1005)-5),395))=""),"",IF(AND(COUNTIF(INDIRECT("K_"&amp;MATCH(INDEX(checklistPesertaKemenkeu!$J$6:$J$1005,SMALL(IF(checklistPesertaKemenkeu!$AY$6:$AY$1005="Direkomendasikan",ROW($6:$1005)-5),395)),BidangList,0)),INDEX(checklistPesertaKemenkeu!$L$6:$L$1005,SMALL(IF(checklistPesertaKemenkeu!$AY$6:$AY$1005="Direkomendasikan",ROW($6:$1005)-5),395)))&gt;0,COUNTIF(INDIRECT("'KERTAS KERJA'!K"&amp;(SMALL(IF(checklistPesertaKemenkeu!$AY$6:$AY$1005="Direkomendasikan",ROW($6:$1005)-5),395)+5)&amp;":O"&amp;(SMALL(IF(checklistPesertaKemenkeu!$AY$6:$AY$1005="Direkomendasikan",ROW($6:$1005)-5),395)+5)),INDEX(checklistPesertaKemenkeu!$L$6:$L$1005,SMALL(IF(checklistPesertaKemenkeu!$AY$6:$AY$1005="Direkomendasikan",ROW($6:$1005)-5),395)))=1),IFERROR(VLOOKUP(INDEX(checklistPesertaKemenkeu!$L$6:$L$1005,SMALL(IF(checklistPesertaKemenkeu!$AY$6:$AY$1005="Direkomendasikan",ROW($6:$1005)-5),395)),KotaKode,2,0),"-"),"")),"")</f>
        <v/>
      </c>
      <c r="I396" t="str">
        <f t="array" aca="1" ref="I396" ca="1">IFERROR(IF(OR(INDEX(checklistPesertaKemenkeu!$M$6:$M$1005,SMALL(IF(checklistPesertaKemenkeu!$AY$6:$AY$1005="Direkomendasikan",ROW($6:$1005)-5),395))="",INDEX(checklistPesertaKemenkeu!$J$6:$J$1005,SMALL(IF(checklistPesertaKemenkeu!$AY$6:$AY$1005="Direkomendasikan",ROW($6:$1005)-5),395))=""),"",IF(AND(COUNTIF(INDIRECT("K_"&amp;MATCH(INDEX(checklistPesertaKemenkeu!$J$6:$J$1005,SMALL(IF(checklistPesertaKemenkeu!$AY$6:$AY$1005="Direkomendasikan",ROW($6:$1005)-5),395)),BidangList,0)),INDEX(checklistPesertaKemenkeu!$M$6:$M$1005,SMALL(IF(checklistPesertaKemenkeu!$AY$6:$AY$1005="Direkomendasikan",ROW($6:$1005)-5),395)))&gt;0,COUNTIF(INDIRECT("'KERTAS KERJA'!K"&amp;(SMALL(IF(checklistPesertaKemenkeu!$AY$6:$AY$1005="Direkomendasikan",ROW($6:$1005)-5),395)+5)&amp;":O"&amp;(SMALL(IF(checklistPesertaKemenkeu!$AY$6:$AY$1005="Direkomendasikan",ROW($6:$1005)-5),395)+5)),INDEX(checklistPesertaKemenkeu!$M$6:$M$1005,SMALL(IF(checklistPesertaKemenkeu!$AY$6:$AY$1005="Direkomendasikan",ROW($6:$1005)-5),395)))=1),IFERROR(VLOOKUP(INDEX(checklistPesertaKemenkeu!$M$6:$M$1005,SMALL(IF(checklistPesertaKemenkeu!$AY$6:$AY$1005="Direkomendasikan",ROW($6:$1005)-5),395)),KotaKode,2,0),"-"),"")),"")</f>
        <v/>
      </c>
      <c r="J396" t="str">
        <f t="array" aca="1" ref="J396" ca="1">IFERROR(IF(OR(INDEX(checklistPesertaKemenkeu!$N$6:$N$1005,SMALL(IF(checklistPesertaKemenkeu!$AY$6:$AY$1005="Direkomendasikan",ROW($6:$1005)-5),395))="",INDEX(checklistPesertaKemenkeu!$J$6:$J$1005,SMALL(IF(checklistPesertaKemenkeu!$AY$6:$AY$1005="Direkomendasikan",ROW($6:$1005)-5),395))=""),"",IF(AND(COUNTIF(INDIRECT("K_"&amp;MATCH(INDEX(checklistPesertaKemenkeu!$J$6:$J$1005,SMALL(IF(checklistPesertaKemenkeu!$AY$6:$AY$1005="Direkomendasikan",ROW($6:$1005)-5),395)),BidangList,0)),INDEX(checklistPesertaKemenkeu!$N$6:$N$1005,SMALL(IF(checklistPesertaKemenkeu!$AY$6:$AY$1005="Direkomendasikan",ROW($6:$1005)-5),395)))&gt;0,COUNTIF(INDIRECT("'KERTAS KERJA'!K"&amp;(SMALL(IF(checklistPesertaKemenkeu!$AY$6:$AY$1005="Direkomendasikan",ROW($6:$1005)-5),395)+5)&amp;":O"&amp;(SMALL(IF(checklistPesertaKemenkeu!$AY$6:$AY$1005="Direkomendasikan",ROW($6:$1005)-5),395)+5)),INDEX(checklistPesertaKemenkeu!$N$6:$N$1005,SMALL(IF(checklistPesertaKemenkeu!$AY$6:$AY$1005="Direkomendasikan",ROW($6:$1005)-5),395)))=1),IFERROR(VLOOKUP(INDEX(checklistPesertaKemenkeu!$N$6:$N$1005,SMALL(IF(checklistPesertaKemenkeu!$AY$6:$AY$1005="Direkomendasikan",ROW($6:$1005)-5),395)),KotaKode,2,0),"-"),"")),"")</f>
        <v/>
      </c>
      <c r="K396" t="str">
        <f t="array" aca="1" ref="K396" ca="1">IFERROR(IF(OR(INDEX(checklistPesertaKemenkeu!$O$6:$O$1005,SMALL(IF(checklistPesertaKemenkeu!$AY$6:$AY$1005="Direkomendasikan",ROW($6:$1005)-5),395))="",INDEX(checklistPesertaKemenkeu!$J$6:$J$1005,SMALL(IF(checklistPesertaKemenkeu!$AY$6:$AY$1005="Direkomendasikan",ROW($6:$1005)-5),395))=""),"",IF(AND(COUNTIF(INDIRECT("K_"&amp;MATCH(INDEX(checklistPesertaKemenkeu!$J$6:$J$1005,SMALL(IF(checklistPesertaKemenkeu!$AY$6:$AY$1005="Direkomendasikan",ROW($6:$1005)-5),395)),BidangList,0)),INDEX(checklistPesertaKemenkeu!$O$6:$O$1005,SMALL(IF(checklistPesertaKemenkeu!$AY$6:$AY$1005="Direkomendasikan",ROW($6:$1005)-5),395)))&gt;0,COUNTIF(INDIRECT("'KERTAS KERJA'!K"&amp;(SMALL(IF(checklistPesertaKemenkeu!$AY$6:$AY$1005="Direkomendasikan",ROW($6:$1005)-5),395)+5)&amp;":O"&amp;(SMALL(IF(checklistPesertaKemenkeu!$AY$6:$AY$1005="Direkomendasikan",ROW($6:$1005)-5),395)+5)),INDEX(checklistPesertaKemenkeu!$O$6:$O$1005,SMALL(IF(checklistPesertaKemenkeu!$AY$6:$AY$1005="Direkomendasikan",ROW($6:$1005)-5),395)))=1),IFERROR(VLOOKUP(INDEX(checklistPesertaKemenkeu!$O$6:$O$1005,SMALL(IF(checklistPesertaKemenkeu!$AY$6:$AY$1005="Direkomendasikan",ROW($6:$1005)-5),395)),KotaKode,2,0),"-"),"")),"")</f>
        <v/>
      </c>
      <c r="L396" t="str">
        <f t="array" aca="1" ref="L396" ca="1">IFERROR(IF(OR(INDEX(checklistPesertaKemenkeu!$P$6:$P$1005,SMALL(IF(checklistPesertaKemenkeu!$AY$6:$AY$1005="Direkomendasikan",ROW($6:$1005)-5),395))="",INDEX(checklistPesertaKemenkeu!$J$6:$J$1005,SMALL(IF(checklistPesertaKemenkeu!$AY$6:$AY$1005="Direkomendasikan",ROW($6:$1005)-5),395))=""),"",IF(AND(COUNTIF(INDIRECT("K_"&amp;MATCH(INDEX(checklistPesertaKemenkeu!$J$6:$J$1005,SMALL(IF(checklistPesertaKemenkeu!$AY$6:$AY$1005="Direkomendasikan",ROW($6:$1005)-5),395)),BidangList,0)),INDEX(checklistPesertaKemenkeu!$P$6:$P$1005,SMALL(IF(checklistPesertaKemenkeu!$AY$6:$AY$1005="Direkomendasikan",ROW($6:$1005)-5),395)))&gt;0,COUNTIF(INDIRECT("'KERTAS KERJA'!K"&amp;(SMALL(IF(checklistPesertaKemenkeu!$AY$6:$AY$1005="Direkomendasikan",ROW($6:$1005)-5),395)+5)&amp;":O"&amp;(SMALL(IF(checklistPesertaKemenkeu!$AY$6:$AY$1005="Direkomendasikan",ROW($6:$1005)-5),395)+5)),INDEX(checklistPesertaKemenkeu!$P$6:$P$1005,SMALL(IF(checklistPesertaKemenkeu!$AY$6:$AY$1005="Direkomendasikan",ROW($6:$1005)-5),395)))=1),IFERROR(VLOOKUP(INDEX(checklistPesertaKemenkeu!$P$6:$P$1005,SMALL(IF(checklistPesertaKemenkeu!$AY$6:$AY$1005="Direkomendasikan",ROW($6:$1005)-5),395)),KotaKode,2,0),"-"),"")),"")</f>
        <v/>
      </c>
    </row>
    <row r="397" spans="1:12" ht="15" customHeight="1" x14ac:dyDescent="0.2">
      <c r="A397" t="str">
        <f t="shared" si="6"/>
        <v/>
      </c>
      <c r="B397" t="str">
        <v/>
      </c>
      <c r="C397" s="40" t="str">
        <f t="array" ref="C397">IFERROR(INDEX(checklistPesertaKemenkeu!$F$6:$F$1005,SMALL(IF(checklistPesertaKemenkeu!$AY$6:$AY$1005="Direkomendasikan",ROW($6:$1005)-5),396)),"")</f>
        <v/>
      </c>
      <c r="D397" t="str">
        <f t="array" ref="D397">IFERROR(INDEX(checklistPesertaKemenkeu!$G$6:$G$1005,SMALL(IF(checklistPesertaKemenkeu!$AY$6:$AY$1005="Direkomendasikan",ROW($6:$1005)-5),396)),"")</f>
        <v/>
      </c>
      <c r="E397" t="str">
        <f t="array" ref="E397">IFERROR(INDEX(checklistPesertaKemenkeu!$H$6:$H$1005,SMALL(IF(checklistPesertaKemenkeu!$AY$6:$AY$1005="Direkomendasikan",ROW($6:$1005)-5),396)),"")</f>
        <v/>
      </c>
      <c r="F397" t="str">
        <f t="array" ref="F397">IFERROR(INDEX(checklistPesertaKemenkeu!$I$6:$I$1005,SMALL(IF(checklistPesertaKemenkeu!$AY$6:$AY$1005="Direkomendasikan",ROW($6:$1005)-5),396)),"")</f>
        <v/>
      </c>
      <c r="G397" t="str">
        <f t="array" ref="G397">IFERROR(INDEX(checklistPesertaKemenkeu!$J$6:$J$1005,SMALL(IF(checklistPesertaKemenkeu!$AY$6:$AY$1005="Direkomendasikan",ROW($6:$1005)-5),396)),"")</f>
        <v/>
      </c>
      <c r="H397" t="str">
        <f t="array" aca="1" ref="H397" ca="1">IFERROR(IF(OR(INDEX(checklistPesertaKemenkeu!$L$6:$L$1005,SMALL(IF(checklistPesertaKemenkeu!$AY$6:$AY$1005="Direkomendasikan",ROW($6:$1005)-5),396))="",INDEX(checklistPesertaKemenkeu!$J$6:$J$1005,SMALL(IF(checklistPesertaKemenkeu!$AY$6:$AY$1005="Direkomendasikan",ROW($6:$1005)-5),396))=""),"",IF(AND(COUNTIF(INDIRECT("K_"&amp;MATCH(INDEX(checklistPesertaKemenkeu!$J$6:$J$1005,SMALL(IF(checklistPesertaKemenkeu!$AY$6:$AY$1005="Direkomendasikan",ROW($6:$1005)-5),396)),BidangList,0)),INDEX(checklistPesertaKemenkeu!$L$6:$L$1005,SMALL(IF(checklistPesertaKemenkeu!$AY$6:$AY$1005="Direkomendasikan",ROW($6:$1005)-5),396)))&gt;0,COUNTIF(INDIRECT("'KERTAS KERJA'!K"&amp;(SMALL(IF(checklistPesertaKemenkeu!$AY$6:$AY$1005="Direkomendasikan",ROW($6:$1005)-5),396)+5)&amp;":O"&amp;(SMALL(IF(checklistPesertaKemenkeu!$AY$6:$AY$1005="Direkomendasikan",ROW($6:$1005)-5),396)+5)),INDEX(checklistPesertaKemenkeu!$L$6:$L$1005,SMALL(IF(checklistPesertaKemenkeu!$AY$6:$AY$1005="Direkomendasikan",ROW($6:$1005)-5),396)))=1),IFERROR(VLOOKUP(INDEX(checklistPesertaKemenkeu!$L$6:$L$1005,SMALL(IF(checklistPesertaKemenkeu!$AY$6:$AY$1005="Direkomendasikan",ROW($6:$1005)-5),396)),KotaKode,2,0),"-"),"")),"")</f>
        <v/>
      </c>
      <c r="I397" t="str">
        <f t="array" aca="1" ref="I397" ca="1">IFERROR(IF(OR(INDEX(checklistPesertaKemenkeu!$M$6:$M$1005,SMALL(IF(checklistPesertaKemenkeu!$AY$6:$AY$1005="Direkomendasikan",ROW($6:$1005)-5),396))="",INDEX(checklistPesertaKemenkeu!$J$6:$J$1005,SMALL(IF(checklistPesertaKemenkeu!$AY$6:$AY$1005="Direkomendasikan",ROW($6:$1005)-5),396))=""),"",IF(AND(COUNTIF(INDIRECT("K_"&amp;MATCH(INDEX(checklistPesertaKemenkeu!$J$6:$J$1005,SMALL(IF(checklistPesertaKemenkeu!$AY$6:$AY$1005="Direkomendasikan",ROW($6:$1005)-5),396)),BidangList,0)),INDEX(checklistPesertaKemenkeu!$M$6:$M$1005,SMALL(IF(checklistPesertaKemenkeu!$AY$6:$AY$1005="Direkomendasikan",ROW($6:$1005)-5),396)))&gt;0,COUNTIF(INDIRECT("'KERTAS KERJA'!K"&amp;(SMALL(IF(checklistPesertaKemenkeu!$AY$6:$AY$1005="Direkomendasikan",ROW($6:$1005)-5),396)+5)&amp;":O"&amp;(SMALL(IF(checklistPesertaKemenkeu!$AY$6:$AY$1005="Direkomendasikan",ROW($6:$1005)-5),396)+5)),INDEX(checklistPesertaKemenkeu!$M$6:$M$1005,SMALL(IF(checklistPesertaKemenkeu!$AY$6:$AY$1005="Direkomendasikan",ROW($6:$1005)-5),396)))=1),IFERROR(VLOOKUP(INDEX(checklistPesertaKemenkeu!$M$6:$M$1005,SMALL(IF(checklistPesertaKemenkeu!$AY$6:$AY$1005="Direkomendasikan",ROW($6:$1005)-5),396)),KotaKode,2,0),"-"),"")),"")</f>
        <v/>
      </c>
      <c r="J397" t="str">
        <f t="array" aca="1" ref="J397" ca="1">IFERROR(IF(OR(INDEX(checklistPesertaKemenkeu!$N$6:$N$1005,SMALL(IF(checklistPesertaKemenkeu!$AY$6:$AY$1005="Direkomendasikan",ROW($6:$1005)-5),396))="",INDEX(checklistPesertaKemenkeu!$J$6:$J$1005,SMALL(IF(checklistPesertaKemenkeu!$AY$6:$AY$1005="Direkomendasikan",ROW($6:$1005)-5),396))=""),"",IF(AND(COUNTIF(INDIRECT("K_"&amp;MATCH(INDEX(checklistPesertaKemenkeu!$J$6:$J$1005,SMALL(IF(checklistPesertaKemenkeu!$AY$6:$AY$1005="Direkomendasikan",ROW($6:$1005)-5),396)),BidangList,0)),INDEX(checklistPesertaKemenkeu!$N$6:$N$1005,SMALL(IF(checklistPesertaKemenkeu!$AY$6:$AY$1005="Direkomendasikan",ROW($6:$1005)-5),396)))&gt;0,COUNTIF(INDIRECT("'KERTAS KERJA'!K"&amp;(SMALL(IF(checklistPesertaKemenkeu!$AY$6:$AY$1005="Direkomendasikan",ROW($6:$1005)-5),396)+5)&amp;":O"&amp;(SMALL(IF(checklistPesertaKemenkeu!$AY$6:$AY$1005="Direkomendasikan",ROW($6:$1005)-5),396)+5)),INDEX(checklistPesertaKemenkeu!$N$6:$N$1005,SMALL(IF(checklistPesertaKemenkeu!$AY$6:$AY$1005="Direkomendasikan",ROW($6:$1005)-5),396)))=1),IFERROR(VLOOKUP(INDEX(checklistPesertaKemenkeu!$N$6:$N$1005,SMALL(IF(checklistPesertaKemenkeu!$AY$6:$AY$1005="Direkomendasikan",ROW($6:$1005)-5),396)),KotaKode,2,0),"-"),"")),"")</f>
        <v/>
      </c>
      <c r="K397" t="str">
        <f t="array" aca="1" ref="K397" ca="1">IFERROR(IF(OR(INDEX(checklistPesertaKemenkeu!$O$6:$O$1005,SMALL(IF(checklistPesertaKemenkeu!$AY$6:$AY$1005="Direkomendasikan",ROW($6:$1005)-5),396))="",INDEX(checklistPesertaKemenkeu!$J$6:$J$1005,SMALL(IF(checklistPesertaKemenkeu!$AY$6:$AY$1005="Direkomendasikan",ROW($6:$1005)-5),396))=""),"",IF(AND(COUNTIF(INDIRECT("K_"&amp;MATCH(INDEX(checklistPesertaKemenkeu!$J$6:$J$1005,SMALL(IF(checklistPesertaKemenkeu!$AY$6:$AY$1005="Direkomendasikan",ROW($6:$1005)-5),396)),BidangList,0)),INDEX(checklistPesertaKemenkeu!$O$6:$O$1005,SMALL(IF(checklistPesertaKemenkeu!$AY$6:$AY$1005="Direkomendasikan",ROW($6:$1005)-5),396)))&gt;0,COUNTIF(INDIRECT("'KERTAS KERJA'!K"&amp;(SMALL(IF(checklistPesertaKemenkeu!$AY$6:$AY$1005="Direkomendasikan",ROW($6:$1005)-5),396)+5)&amp;":O"&amp;(SMALL(IF(checklistPesertaKemenkeu!$AY$6:$AY$1005="Direkomendasikan",ROW($6:$1005)-5),396)+5)),INDEX(checklistPesertaKemenkeu!$O$6:$O$1005,SMALL(IF(checklistPesertaKemenkeu!$AY$6:$AY$1005="Direkomendasikan",ROW($6:$1005)-5),396)))=1),IFERROR(VLOOKUP(INDEX(checklistPesertaKemenkeu!$O$6:$O$1005,SMALL(IF(checklistPesertaKemenkeu!$AY$6:$AY$1005="Direkomendasikan",ROW($6:$1005)-5),396)),KotaKode,2,0),"-"),"")),"")</f>
        <v/>
      </c>
      <c r="L397" t="str">
        <f t="array" aca="1" ref="L397" ca="1">IFERROR(IF(OR(INDEX(checklistPesertaKemenkeu!$P$6:$P$1005,SMALL(IF(checklistPesertaKemenkeu!$AY$6:$AY$1005="Direkomendasikan",ROW($6:$1005)-5),396))="",INDEX(checklistPesertaKemenkeu!$J$6:$J$1005,SMALL(IF(checklistPesertaKemenkeu!$AY$6:$AY$1005="Direkomendasikan",ROW($6:$1005)-5),396))=""),"",IF(AND(COUNTIF(INDIRECT("K_"&amp;MATCH(INDEX(checklistPesertaKemenkeu!$J$6:$J$1005,SMALL(IF(checklistPesertaKemenkeu!$AY$6:$AY$1005="Direkomendasikan",ROW($6:$1005)-5),396)),BidangList,0)),INDEX(checklistPesertaKemenkeu!$P$6:$P$1005,SMALL(IF(checklistPesertaKemenkeu!$AY$6:$AY$1005="Direkomendasikan",ROW($6:$1005)-5),396)))&gt;0,COUNTIF(INDIRECT("'KERTAS KERJA'!K"&amp;(SMALL(IF(checklistPesertaKemenkeu!$AY$6:$AY$1005="Direkomendasikan",ROW($6:$1005)-5),396)+5)&amp;":O"&amp;(SMALL(IF(checklistPesertaKemenkeu!$AY$6:$AY$1005="Direkomendasikan",ROW($6:$1005)-5),396)+5)),INDEX(checklistPesertaKemenkeu!$P$6:$P$1005,SMALL(IF(checklistPesertaKemenkeu!$AY$6:$AY$1005="Direkomendasikan",ROW($6:$1005)-5),396)))=1),IFERROR(VLOOKUP(INDEX(checklistPesertaKemenkeu!$P$6:$P$1005,SMALL(IF(checklistPesertaKemenkeu!$AY$6:$AY$1005="Direkomendasikan",ROW($6:$1005)-5),396)),KotaKode,2,0),"-"),"")),"")</f>
        <v/>
      </c>
    </row>
    <row r="398" spans="1:12" ht="15" customHeight="1" x14ac:dyDescent="0.2">
      <c r="A398" t="str">
        <f t="shared" si="6"/>
        <v/>
      </c>
      <c r="B398" t="str">
        <v/>
      </c>
      <c r="C398" s="40" t="str">
        <f t="array" ref="C398">IFERROR(INDEX(checklistPesertaKemenkeu!$F$6:$F$1005,SMALL(IF(checklistPesertaKemenkeu!$AY$6:$AY$1005="Direkomendasikan",ROW($6:$1005)-5),397)),"")</f>
        <v/>
      </c>
      <c r="D398" t="str">
        <f t="array" ref="D398">IFERROR(INDEX(checklistPesertaKemenkeu!$G$6:$G$1005,SMALL(IF(checklistPesertaKemenkeu!$AY$6:$AY$1005="Direkomendasikan",ROW($6:$1005)-5),397)),"")</f>
        <v/>
      </c>
      <c r="E398" t="str">
        <f t="array" ref="E398">IFERROR(INDEX(checklistPesertaKemenkeu!$H$6:$H$1005,SMALL(IF(checklistPesertaKemenkeu!$AY$6:$AY$1005="Direkomendasikan",ROW($6:$1005)-5),397)),"")</f>
        <v/>
      </c>
      <c r="F398" t="str">
        <f t="array" ref="F398">IFERROR(INDEX(checklistPesertaKemenkeu!$I$6:$I$1005,SMALL(IF(checklistPesertaKemenkeu!$AY$6:$AY$1005="Direkomendasikan",ROW($6:$1005)-5),397)),"")</f>
        <v/>
      </c>
      <c r="G398" t="str">
        <f t="array" ref="G398">IFERROR(INDEX(checklistPesertaKemenkeu!$J$6:$J$1005,SMALL(IF(checklistPesertaKemenkeu!$AY$6:$AY$1005="Direkomendasikan",ROW($6:$1005)-5),397)),"")</f>
        <v/>
      </c>
      <c r="H398" t="str">
        <f t="array" aca="1" ref="H398" ca="1">IFERROR(IF(OR(INDEX(checklistPesertaKemenkeu!$L$6:$L$1005,SMALL(IF(checklistPesertaKemenkeu!$AY$6:$AY$1005="Direkomendasikan",ROW($6:$1005)-5),397))="",INDEX(checklistPesertaKemenkeu!$J$6:$J$1005,SMALL(IF(checklistPesertaKemenkeu!$AY$6:$AY$1005="Direkomendasikan",ROW($6:$1005)-5),397))=""),"",IF(AND(COUNTIF(INDIRECT("K_"&amp;MATCH(INDEX(checklistPesertaKemenkeu!$J$6:$J$1005,SMALL(IF(checklistPesertaKemenkeu!$AY$6:$AY$1005="Direkomendasikan",ROW($6:$1005)-5),397)),BidangList,0)),INDEX(checklistPesertaKemenkeu!$L$6:$L$1005,SMALL(IF(checklistPesertaKemenkeu!$AY$6:$AY$1005="Direkomendasikan",ROW($6:$1005)-5),397)))&gt;0,COUNTIF(INDIRECT("'KERTAS KERJA'!K"&amp;(SMALL(IF(checklistPesertaKemenkeu!$AY$6:$AY$1005="Direkomendasikan",ROW($6:$1005)-5),397)+5)&amp;":O"&amp;(SMALL(IF(checklistPesertaKemenkeu!$AY$6:$AY$1005="Direkomendasikan",ROW($6:$1005)-5),397)+5)),INDEX(checklistPesertaKemenkeu!$L$6:$L$1005,SMALL(IF(checklistPesertaKemenkeu!$AY$6:$AY$1005="Direkomendasikan",ROW($6:$1005)-5),397)))=1),IFERROR(VLOOKUP(INDEX(checklistPesertaKemenkeu!$L$6:$L$1005,SMALL(IF(checklistPesertaKemenkeu!$AY$6:$AY$1005="Direkomendasikan",ROW($6:$1005)-5),397)),KotaKode,2,0),"-"),"")),"")</f>
        <v/>
      </c>
      <c r="I398" t="str">
        <f t="array" aca="1" ref="I398" ca="1">IFERROR(IF(OR(INDEX(checklistPesertaKemenkeu!$M$6:$M$1005,SMALL(IF(checklistPesertaKemenkeu!$AY$6:$AY$1005="Direkomendasikan",ROW($6:$1005)-5),397))="",INDEX(checklistPesertaKemenkeu!$J$6:$J$1005,SMALL(IF(checklistPesertaKemenkeu!$AY$6:$AY$1005="Direkomendasikan",ROW($6:$1005)-5),397))=""),"",IF(AND(COUNTIF(INDIRECT("K_"&amp;MATCH(INDEX(checklistPesertaKemenkeu!$J$6:$J$1005,SMALL(IF(checklistPesertaKemenkeu!$AY$6:$AY$1005="Direkomendasikan",ROW($6:$1005)-5),397)),BidangList,0)),INDEX(checklistPesertaKemenkeu!$M$6:$M$1005,SMALL(IF(checklistPesertaKemenkeu!$AY$6:$AY$1005="Direkomendasikan",ROW($6:$1005)-5),397)))&gt;0,COUNTIF(INDIRECT("'KERTAS KERJA'!K"&amp;(SMALL(IF(checklistPesertaKemenkeu!$AY$6:$AY$1005="Direkomendasikan",ROW($6:$1005)-5),397)+5)&amp;":O"&amp;(SMALL(IF(checklistPesertaKemenkeu!$AY$6:$AY$1005="Direkomendasikan",ROW($6:$1005)-5),397)+5)),INDEX(checklistPesertaKemenkeu!$M$6:$M$1005,SMALL(IF(checklistPesertaKemenkeu!$AY$6:$AY$1005="Direkomendasikan",ROW($6:$1005)-5),397)))=1),IFERROR(VLOOKUP(INDEX(checklistPesertaKemenkeu!$M$6:$M$1005,SMALL(IF(checklistPesertaKemenkeu!$AY$6:$AY$1005="Direkomendasikan",ROW($6:$1005)-5),397)),KotaKode,2,0),"-"),"")),"")</f>
        <v/>
      </c>
      <c r="J398" t="str">
        <f t="array" aca="1" ref="J398" ca="1">IFERROR(IF(OR(INDEX(checklistPesertaKemenkeu!$N$6:$N$1005,SMALL(IF(checklistPesertaKemenkeu!$AY$6:$AY$1005="Direkomendasikan",ROW($6:$1005)-5),397))="",INDEX(checklistPesertaKemenkeu!$J$6:$J$1005,SMALL(IF(checklistPesertaKemenkeu!$AY$6:$AY$1005="Direkomendasikan",ROW($6:$1005)-5),397))=""),"",IF(AND(COUNTIF(INDIRECT("K_"&amp;MATCH(INDEX(checklistPesertaKemenkeu!$J$6:$J$1005,SMALL(IF(checklistPesertaKemenkeu!$AY$6:$AY$1005="Direkomendasikan",ROW($6:$1005)-5),397)),BidangList,0)),INDEX(checklistPesertaKemenkeu!$N$6:$N$1005,SMALL(IF(checklistPesertaKemenkeu!$AY$6:$AY$1005="Direkomendasikan",ROW($6:$1005)-5),397)))&gt;0,COUNTIF(INDIRECT("'KERTAS KERJA'!K"&amp;(SMALL(IF(checklistPesertaKemenkeu!$AY$6:$AY$1005="Direkomendasikan",ROW($6:$1005)-5),397)+5)&amp;":O"&amp;(SMALL(IF(checklistPesertaKemenkeu!$AY$6:$AY$1005="Direkomendasikan",ROW($6:$1005)-5),397)+5)),INDEX(checklistPesertaKemenkeu!$N$6:$N$1005,SMALL(IF(checklistPesertaKemenkeu!$AY$6:$AY$1005="Direkomendasikan",ROW($6:$1005)-5),397)))=1),IFERROR(VLOOKUP(INDEX(checklistPesertaKemenkeu!$N$6:$N$1005,SMALL(IF(checklistPesertaKemenkeu!$AY$6:$AY$1005="Direkomendasikan",ROW($6:$1005)-5),397)),KotaKode,2,0),"-"),"")),"")</f>
        <v/>
      </c>
      <c r="K398" t="str">
        <f t="array" aca="1" ref="K398" ca="1">IFERROR(IF(OR(INDEX(checklistPesertaKemenkeu!$O$6:$O$1005,SMALL(IF(checklistPesertaKemenkeu!$AY$6:$AY$1005="Direkomendasikan",ROW($6:$1005)-5),397))="",INDEX(checklistPesertaKemenkeu!$J$6:$J$1005,SMALL(IF(checklistPesertaKemenkeu!$AY$6:$AY$1005="Direkomendasikan",ROW($6:$1005)-5),397))=""),"",IF(AND(COUNTIF(INDIRECT("K_"&amp;MATCH(INDEX(checklistPesertaKemenkeu!$J$6:$J$1005,SMALL(IF(checklistPesertaKemenkeu!$AY$6:$AY$1005="Direkomendasikan",ROW($6:$1005)-5),397)),BidangList,0)),INDEX(checklistPesertaKemenkeu!$O$6:$O$1005,SMALL(IF(checklistPesertaKemenkeu!$AY$6:$AY$1005="Direkomendasikan",ROW($6:$1005)-5),397)))&gt;0,COUNTIF(INDIRECT("'KERTAS KERJA'!K"&amp;(SMALL(IF(checklistPesertaKemenkeu!$AY$6:$AY$1005="Direkomendasikan",ROW($6:$1005)-5),397)+5)&amp;":O"&amp;(SMALL(IF(checklistPesertaKemenkeu!$AY$6:$AY$1005="Direkomendasikan",ROW($6:$1005)-5),397)+5)),INDEX(checklistPesertaKemenkeu!$O$6:$O$1005,SMALL(IF(checklistPesertaKemenkeu!$AY$6:$AY$1005="Direkomendasikan",ROW($6:$1005)-5),397)))=1),IFERROR(VLOOKUP(INDEX(checklistPesertaKemenkeu!$O$6:$O$1005,SMALL(IF(checklistPesertaKemenkeu!$AY$6:$AY$1005="Direkomendasikan",ROW($6:$1005)-5),397)),KotaKode,2,0),"-"),"")),"")</f>
        <v/>
      </c>
      <c r="L398" t="str">
        <f t="array" aca="1" ref="L398" ca="1">IFERROR(IF(OR(INDEX(checklistPesertaKemenkeu!$P$6:$P$1005,SMALL(IF(checklistPesertaKemenkeu!$AY$6:$AY$1005="Direkomendasikan",ROW($6:$1005)-5),397))="",INDEX(checklistPesertaKemenkeu!$J$6:$J$1005,SMALL(IF(checklistPesertaKemenkeu!$AY$6:$AY$1005="Direkomendasikan",ROW($6:$1005)-5),397))=""),"",IF(AND(COUNTIF(INDIRECT("K_"&amp;MATCH(INDEX(checklistPesertaKemenkeu!$J$6:$J$1005,SMALL(IF(checklistPesertaKemenkeu!$AY$6:$AY$1005="Direkomendasikan",ROW($6:$1005)-5),397)),BidangList,0)),INDEX(checklistPesertaKemenkeu!$P$6:$P$1005,SMALL(IF(checklistPesertaKemenkeu!$AY$6:$AY$1005="Direkomendasikan",ROW($6:$1005)-5),397)))&gt;0,COUNTIF(INDIRECT("'KERTAS KERJA'!K"&amp;(SMALL(IF(checklistPesertaKemenkeu!$AY$6:$AY$1005="Direkomendasikan",ROW($6:$1005)-5),397)+5)&amp;":O"&amp;(SMALL(IF(checklistPesertaKemenkeu!$AY$6:$AY$1005="Direkomendasikan",ROW($6:$1005)-5),397)+5)),INDEX(checklistPesertaKemenkeu!$P$6:$P$1005,SMALL(IF(checklistPesertaKemenkeu!$AY$6:$AY$1005="Direkomendasikan",ROW($6:$1005)-5),397)))=1),IFERROR(VLOOKUP(INDEX(checklistPesertaKemenkeu!$P$6:$P$1005,SMALL(IF(checklistPesertaKemenkeu!$AY$6:$AY$1005="Direkomendasikan",ROW($6:$1005)-5),397)),KotaKode,2,0),"-"),"")),"")</f>
        <v/>
      </c>
    </row>
    <row r="399" spans="1:12" ht="15" customHeight="1" x14ac:dyDescent="0.2">
      <c r="A399" t="str">
        <f t="shared" si="6"/>
        <v/>
      </c>
      <c r="B399" t="str">
        <v/>
      </c>
      <c r="C399" s="40" t="str">
        <f t="array" ref="C399">IFERROR(INDEX(checklistPesertaKemenkeu!$F$6:$F$1005,SMALL(IF(checklistPesertaKemenkeu!$AY$6:$AY$1005="Direkomendasikan",ROW($6:$1005)-5),398)),"")</f>
        <v/>
      </c>
      <c r="D399" t="str">
        <f t="array" ref="D399">IFERROR(INDEX(checklistPesertaKemenkeu!$G$6:$G$1005,SMALL(IF(checklistPesertaKemenkeu!$AY$6:$AY$1005="Direkomendasikan",ROW($6:$1005)-5),398)),"")</f>
        <v/>
      </c>
      <c r="E399" t="str">
        <f t="array" ref="E399">IFERROR(INDEX(checklistPesertaKemenkeu!$H$6:$H$1005,SMALL(IF(checklistPesertaKemenkeu!$AY$6:$AY$1005="Direkomendasikan",ROW($6:$1005)-5),398)),"")</f>
        <v/>
      </c>
      <c r="F399" t="str">
        <f t="array" ref="F399">IFERROR(INDEX(checklistPesertaKemenkeu!$I$6:$I$1005,SMALL(IF(checklistPesertaKemenkeu!$AY$6:$AY$1005="Direkomendasikan",ROW($6:$1005)-5),398)),"")</f>
        <v/>
      </c>
      <c r="G399" t="str">
        <f t="array" ref="G399">IFERROR(INDEX(checklistPesertaKemenkeu!$J$6:$J$1005,SMALL(IF(checklistPesertaKemenkeu!$AY$6:$AY$1005="Direkomendasikan",ROW($6:$1005)-5),398)),"")</f>
        <v/>
      </c>
      <c r="H399" t="str">
        <f t="array" aca="1" ref="H399" ca="1">IFERROR(IF(OR(INDEX(checklistPesertaKemenkeu!$L$6:$L$1005,SMALL(IF(checklistPesertaKemenkeu!$AY$6:$AY$1005="Direkomendasikan",ROW($6:$1005)-5),398))="",INDEX(checklistPesertaKemenkeu!$J$6:$J$1005,SMALL(IF(checklistPesertaKemenkeu!$AY$6:$AY$1005="Direkomendasikan",ROW($6:$1005)-5),398))=""),"",IF(AND(COUNTIF(INDIRECT("K_"&amp;MATCH(INDEX(checklistPesertaKemenkeu!$J$6:$J$1005,SMALL(IF(checklistPesertaKemenkeu!$AY$6:$AY$1005="Direkomendasikan",ROW($6:$1005)-5),398)),BidangList,0)),INDEX(checklistPesertaKemenkeu!$L$6:$L$1005,SMALL(IF(checklistPesertaKemenkeu!$AY$6:$AY$1005="Direkomendasikan",ROW($6:$1005)-5),398)))&gt;0,COUNTIF(INDIRECT("'KERTAS KERJA'!K"&amp;(SMALL(IF(checklistPesertaKemenkeu!$AY$6:$AY$1005="Direkomendasikan",ROW($6:$1005)-5),398)+5)&amp;":O"&amp;(SMALL(IF(checklistPesertaKemenkeu!$AY$6:$AY$1005="Direkomendasikan",ROW($6:$1005)-5),398)+5)),INDEX(checklistPesertaKemenkeu!$L$6:$L$1005,SMALL(IF(checklistPesertaKemenkeu!$AY$6:$AY$1005="Direkomendasikan",ROW($6:$1005)-5),398)))=1),IFERROR(VLOOKUP(INDEX(checklistPesertaKemenkeu!$L$6:$L$1005,SMALL(IF(checklistPesertaKemenkeu!$AY$6:$AY$1005="Direkomendasikan",ROW($6:$1005)-5),398)),KotaKode,2,0),"-"),"")),"")</f>
        <v/>
      </c>
      <c r="I399" t="str">
        <f t="array" aca="1" ref="I399" ca="1">IFERROR(IF(OR(INDEX(checklistPesertaKemenkeu!$M$6:$M$1005,SMALL(IF(checklistPesertaKemenkeu!$AY$6:$AY$1005="Direkomendasikan",ROW($6:$1005)-5),398))="",INDEX(checklistPesertaKemenkeu!$J$6:$J$1005,SMALL(IF(checklistPesertaKemenkeu!$AY$6:$AY$1005="Direkomendasikan",ROW($6:$1005)-5),398))=""),"",IF(AND(COUNTIF(INDIRECT("K_"&amp;MATCH(INDEX(checklistPesertaKemenkeu!$J$6:$J$1005,SMALL(IF(checklistPesertaKemenkeu!$AY$6:$AY$1005="Direkomendasikan",ROW($6:$1005)-5),398)),BidangList,0)),INDEX(checklistPesertaKemenkeu!$M$6:$M$1005,SMALL(IF(checklistPesertaKemenkeu!$AY$6:$AY$1005="Direkomendasikan",ROW($6:$1005)-5),398)))&gt;0,COUNTIF(INDIRECT("'KERTAS KERJA'!K"&amp;(SMALL(IF(checklistPesertaKemenkeu!$AY$6:$AY$1005="Direkomendasikan",ROW($6:$1005)-5),398)+5)&amp;":O"&amp;(SMALL(IF(checklistPesertaKemenkeu!$AY$6:$AY$1005="Direkomendasikan",ROW($6:$1005)-5),398)+5)),INDEX(checklistPesertaKemenkeu!$M$6:$M$1005,SMALL(IF(checklistPesertaKemenkeu!$AY$6:$AY$1005="Direkomendasikan",ROW($6:$1005)-5),398)))=1),IFERROR(VLOOKUP(INDEX(checklistPesertaKemenkeu!$M$6:$M$1005,SMALL(IF(checklistPesertaKemenkeu!$AY$6:$AY$1005="Direkomendasikan",ROW($6:$1005)-5),398)),KotaKode,2,0),"-"),"")),"")</f>
        <v/>
      </c>
      <c r="J399" t="str">
        <f t="array" aca="1" ref="J399" ca="1">IFERROR(IF(OR(INDEX(checklistPesertaKemenkeu!$N$6:$N$1005,SMALL(IF(checklistPesertaKemenkeu!$AY$6:$AY$1005="Direkomendasikan",ROW($6:$1005)-5),398))="",INDEX(checklistPesertaKemenkeu!$J$6:$J$1005,SMALL(IF(checklistPesertaKemenkeu!$AY$6:$AY$1005="Direkomendasikan",ROW($6:$1005)-5),398))=""),"",IF(AND(COUNTIF(INDIRECT("K_"&amp;MATCH(INDEX(checklistPesertaKemenkeu!$J$6:$J$1005,SMALL(IF(checklistPesertaKemenkeu!$AY$6:$AY$1005="Direkomendasikan",ROW($6:$1005)-5),398)),BidangList,0)),INDEX(checklistPesertaKemenkeu!$N$6:$N$1005,SMALL(IF(checklistPesertaKemenkeu!$AY$6:$AY$1005="Direkomendasikan",ROW($6:$1005)-5),398)))&gt;0,COUNTIF(INDIRECT("'KERTAS KERJA'!K"&amp;(SMALL(IF(checklistPesertaKemenkeu!$AY$6:$AY$1005="Direkomendasikan",ROW($6:$1005)-5),398)+5)&amp;":O"&amp;(SMALL(IF(checklistPesertaKemenkeu!$AY$6:$AY$1005="Direkomendasikan",ROW($6:$1005)-5),398)+5)),INDEX(checklistPesertaKemenkeu!$N$6:$N$1005,SMALL(IF(checklistPesertaKemenkeu!$AY$6:$AY$1005="Direkomendasikan",ROW($6:$1005)-5),398)))=1),IFERROR(VLOOKUP(INDEX(checklistPesertaKemenkeu!$N$6:$N$1005,SMALL(IF(checklistPesertaKemenkeu!$AY$6:$AY$1005="Direkomendasikan",ROW($6:$1005)-5),398)),KotaKode,2,0),"-"),"")),"")</f>
        <v/>
      </c>
      <c r="K399" t="str">
        <f t="array" aca="1" ref="K399" ca="1">IFERROR(IF(OR(INDEX(checklistPesertaKemenkeu!$O$6:$O$1005,SMALL(IF(checklistPesertaKemenkeu!$AY$6:$AY$1005="Direkomendasikan",ROW($6:$1005)-5),398))="",INDEX(checklistPesertaKemenkeu!$J$6:$J$1005,SMALL(IF(checklistPesertaKemenkeu!$AY$6:$AY$1005="Direkomendasikan",ROW($6:$1005)-5),398))=""),"",IF(AND(COUNTIF(INDIRECT("K_"&amp;MATCH(INDEX(checklistPesertaKemenkeu!$J$6:$J$1005,SMALL(IF(checklistPesertaKemenkeu!$AY$6:$AY$1005="Direkomendasikan",ROW($6:$1005)-5),398)),BidangList,0)),INDEX(checklistPesertaKemenkeu!$O$6:$O$1005,SMALL(IF(checklistPesertaKemenkeu!$AY$6:$AY$1005="Direkomendasikan",ROW($6:$1005)-5),398)))&gt;0,COUNTIF(INDIRECT("'KERTAS KERJA'!K"&amp;(SMALL(IF(checklistPesertaKemenkeu!$AY$6:$AY$1005="Direkomendasikan",ROW($6:$1005)-5),398)+5)&amp;":O"&amp;(SMALL(IF(checklistPesertaKemenkeu!$AY$6:$AY$1005="Direkomendasikan",ROW($6:$1005)-5),398)+5)),INDEX(checklistPesertaKemenkeu!$O$6:$O$1005,SMALL(IF(checklistPesertaKemenkeu!$AY$6:$AY$1005="Direkomendasikan",ROW($6:$1005)-5),398)))=1),IFERROR(VLOOKUP(INDEX(checklistPesertaKemenkeu!$O$6:$O$1005,SMALL(IF(checklistPesertaKemenkeu!$AY$6:$AY$1005="Direkomendasikan",ROW($6:$1005)-5),398)),KotaKode,2,0),"-"),"")),"")</f>
        <v/>
      </c>
      <c r="L399" t="str">
        <f t="array" aca="1" ref="L399" ca="1">IFERROR(IF(OR(INDEX(checklistPesertaKemenkeu!$P$6:$P$1005,SMALL(IF(checklistPesertaKemenkeu!$AY$6:$AY$1005="Direkomendasikan",ROW($6:$1005)-5),398))="",INDEX(checklistPesertaKemenkeu!$J$6:$J$1005,SMALL(IF(checklistPesertaKemenkeu!$AY$6:$AY$1005="Direkomendasikan",ROW($6:$1005)-5),398))=""),"",IF(AND(COUNTIF(INDIRECT("K_"&amp;MATCH(INDEX(checklistPesertaKemenkeu!$J$6:$J$1005,SMALL(IF(checklistPesertaKemenkeu!$AY$6:$AY$1005="Direkomendasikan",ROW($6:$1005)-5),398)),BidangList,0)),INDEX(checklistPesertaKemenkeu!$P$6:$P$1005,SMALL(IF(checklistPesertaKemenkeu!$AY$6:$AY$1005="Direkomendasikan",ROW($6:$1005)-5),398)))&gt;0,COUNTIF(INDIRECT("'KERTAS KERJA'!K"&amp;(SMALL(IF(checklistPesertaKemenkeu!$AY$6:$AY$1005="Direkomendasikan",ROW($6:$1005)-5),398)+5)&amp;":O"&amp;(SMALL(IF(checklistPesertaKemenkeu!$AY$6:$AY$1005="Direkomendasikan",ROW($6:$1005)-5),398)+5)),INDEX(checklistPesertaKemenkeu!$P$6:$P$1005,SMALL(IF(checklistPesertaKemenkeu!$AY$6:$AY$1005="Direkomendasikan",ROW($6:$1005)-5),398)))=1),IFERROR(VLOOKUP(INDEX(checklistPesertaKemenkeu!$P$6:$P$1005,SMALL(IF(checklistPesertaKemenkeu!$AY$6:$AY$1005="Direkomendasikan",ROW($6:$1005)-5),398)),KotaKode,2,0),"-"),"")),"")</f>
        <v/>
      </c>
    </row>
    <row r="400" spans="1:12" ht="15" customHeight="1" x14ac:dyDescent="0.2">
      <c r="A400" t="str">
        <f t="shared" si="6"/>
        <v/>
      </c>
      <c r="B400" t="str">
        <v/>
      </c>
      <c r="C400" s="40" t="str">
        <f t="array" ref="C400">IFERROR(INDEX(checklistPesertaKemenkeu!$F$6:$F$1005,SMALL(IF(checklistPesertaKemenkeu!$AY$6:$AY$1005="Direkomendasikan",ROW($6:$1005)-5),399)),"")</f>
        <v/>
      </c>
      <c r="D400" t="str">
        <f t="array" ref="D400">IFERROR(INDEX(checklistPesertaKemenkeu!$G$6:$G$1005,SMALL(IF(checklistPesertaKemenkeu!$AY$6:$AY$1005="Direkomendasikan",ROW($6:$1005)-5),399)),"")</f>
        <v/>
      </c>
      <c r="E400" t="str">
        <f t="array" ref="E400">IFERROR(INDEX(checklistPesertaKemenkeu!$H$6:$H$1005,SMALL(IF(checklistPesertaKemenkeu!$AY$6:$AY$1005="Direkomendasikan",ROW($6:$1005)-5),399)),"")</f>
        <v/>
      </c>
      <c r="F400" t="str">
        <f t="array" ref="F400">IFERROR(INDEX(checklistPesertaKemenkeu!$I$6:$I$1005,SMALL(IF(checklistPesertaKemenkeu!$AY$6:$AY$1005="Direkomendasikan",ROW($6:$1005)-5),399)),"")</f>
        <v/>
      </c>
      <c r="G400" t="str">
        <f t="array" ref="G400">IFERROR(INDEX(checklistPesertaKemenkeu!$J$6:$J$1005,SMALL(IF(checklistPesertaKemenkeu!$AY$6:$AY$1005="Direkomendasikan",ROW($6:$1005)-5),399)),"")</f>
        <v/>
      </c>
      <c r="H400" t="str">
        <f t="array" aca="1" ref="H400" ca="1">IFERROR(IF(OR(INDEX(checklistPesertaKemenkeu!$L$6:$L$1005,SMALL(IF(checklistPesertaKemenkeu!$AY$6:$AY$1005="Direkomendasikan",ROW($6:$1005)-5),399))="",INDEX(checklistPesertaKemenkeu!$J$6:$J$1005,SMALL(IF(checklistPesertaKemenkeu!$AY$6:$AY$1005="Direkomendasikan",ROW($6:$1005)-5),399))=""),"",IF(AND(COUNTIF(INDIRECT("K_"&amp;MATCH(INDEX(checklistPesertaKemenkeu!$J$6:$J$1005,SMALL(IF(checklistPesertaKemenkeu!$AY$6:$AY$1005="Direkomendasikan",ROW($6:$1005)-5),399)),BidangList,0)),INDEX(checklistPesertaKemenkeu!$L$6:$L$1005,SMALL(IF(checklistPesertaKemenkeu!$AY$6:$AY$1005="Direkomendasikan",ROW($6:$1005)-5),399)))&gt;0,COUNTIF(INDIRECT("'KERTAS KERJA'!K"&amp;(SMALL(IF(checklistPesertaKemenkeu!$AY$6:$AY$1005="Direkomendasikan",ROW($6:$1005)-5),399)+5)&amp;":O"&amp;(SMALL(IF(checklistPesertaKemenkeu!$AY$6:$AY$1005="Direkomendasikan",ROW($6:$1005)-5),399)+5)),INDEX(checklistPesertaKemenkeu!$L$6:$L$1005,SMALL(IF(checklistPesertaKemenkeu!$AY$6:$AY$1005="Direkomendasikan",ROW($6:$1005)-5),399)))=1),IFERROR(VLOOKUP(INDEX(checklistPesertaKemenkeu!$L$6:$L$1005,SMALL(IF(checklistPesertaKemenkeu!$AY$6:$AY$1005="Direkomendasikan",ROW($6:$1005)-5),399)),KotaKode,2,0),"-"),"")),"")</f>
        <v/>
      </c>
      <c r="I400" t="str">
        <f t="array" aca="1" ref="I400" ca="1">IFERROR(IF(OR(INDEX(checklistPesertaKemenkeu!$M$6:$M$1005,SMALL(IF(checklistPesertaKemenkeu!$AY$6:$AY$1005="Direkomendasikan",ROW($6:$1005)-5),399))="",INDEX(checklistPesertaKemenkeu!$J$6:$J$1005,SMALL(IF(checklistPesertaKemenkeu!$AY$6:$AY$1005="Direkomendasikan",ROW($6:$1005)-5),399))=""),"",IF(AND(COUNTIF(INDIRECT("K_"&amp;MATCH(INDEX(checklistPesertaKemenkeu!$J$6:$J$1005,SMALL(IF(checklistPesertaKemenkeu!$AY$6:$AY$1005="Direkomendasikan",ROW($6:$1005)-5),399)),BidangList,0)),INDEX(checklistPesertaKemenkeu!$M$6:$M$1005,SMALL(IF(checklistPesertaKemenkeu!$AY$6:$AY$1005="Direkomendasikan",ROW($6:$1005)-5),399)))&gt;0,COUNTIF(INDIRECT("'KERTAS KERJA'!K"&amp;(SMALL(IF(checklistPesertaKemenkeu!$AY$6:$AY$1005="Direkomendasikan",ROW($6:$1005)-5),399)+5)&amp;":O"&amp;(SMALL(IF(checklistPesertaKemenkeu!$AY$6:$AY$1005="Direkomendasikan",ROW($6:$1005)-5),399)+5)),INDEX(checklistPesertaKemenkeu!$M$6:$M$1005,SMALL(IF(checklistPesertaKemenkeu!$AY$6:$AY$1005="Direkomendasikan",ROW($6:$1005)-5),399)))=1),IFERROR(VLOOKUP(INDEX(checklistPesertaKemenkeu!$M$6:$M$1005,SMALL(IF(checklistPesertaKemenkeu!$AY$6:$AY$1005="Direkomendasikan",ROW($6:$1005)-5),399)),KotaKode,2,0),"-"),"")),"")</f>
        <v/>
      </c>
      <c r="J400" t="str">
        <f t="array" aca="1" ref="J400" ca="1">IFERROR(IF(OR(INDEX(checklistPesertaKemenkeu!$N$6:$N$1005,SMALL(IF(checklistPesertaKemenkeu!$AY$6:$AY$1005="Direkomendasikan",ROW($6:$1005)-5),399))="",INDEX(checklistPesertaKemenkeu!$J$6:$J$1005,SMALL(IF(checklistPesertaKemenkeu!$AY$6:$AY$1005="Direkomendasikan",ROW($6:$1005)-5),399))=""),"",IF(AND(COUNTIF(INDIRECT("K_"&amp;MATCH(INDEX(checklistPesertaKemenkeu!$J$6:$J$1005,SMALL(IF(checklistPesertaKemenkeu!$AY$6:$AY$1005="Direkomendasikan",ROW($6:$1005)-5),399)),BidangList,0)),INDEX(checklistPesertaKemenkeu!$N$6:$N$1005,SMALL(IF(checklistPesertaKemenkeu!$AY$6:$AY$1005="Direkomendasikan",ROW($6:$1005)-5),399)))&gt;0,COUNTIF(INDIRECT("'KERTAS KERJA'!K"&amp;(SMALL(IF(checklistPesertaKemenkeu!$AY$6:$AY$1005="Direkomendasikan",ROW($6:$1005)-5),399)+5)&amp;":O"&amp;(SMALL(IF(checklistPesertaKemenkeu!$AY$6:$AY$1005="Direkomendasikan",ROW($6:$1005)-5),399)+5)),INDEX(checklistPesertaKemenkeu!$N$6:$N$1005,SMALL(IF(checklistPesertaKemenkeu!$AY$6:$AY$1005="Direkomendasikan",ROW($6:$1005)-5),399)))=1),IFERROR(VLOOKUP(INDEX(checklistPesertaKemenkeu!$N$6:$N$1005,SMALL(IF(checklistPesertaKemenkeu!$AY$6:$AY$1005="Direkomendasikan",ROW($6:$1005)-5),399)),KotaKode,2,0),"-"),"")),"")</f>
        <v/>
      </c>
      <c r="K400" t="str">
        <f t="array" aca="1" ref="K400" ca="1">IFERROR(IF(OR(INDEX(checklistPesertaKemenkeu!$O$6:$O$1005,SMALL(IF(checklistPesertaKemenkeu!$AY$6:$AY$1005="Direkomendasikan",ROW($6:$1005)-5),399))="",INDEX(checklistPesertaKemenkeu!$J$6:$J$1005,SMALL(IF(checklistPesertaKemenkeu!$AY$6:$AY$1005="Direkomendasikan",ROW($6:$1005)-5),399))=""),"",IF(AND(COUNTIF(INDIRECT("K_"&amp;MATCH(INDEX(checklistPesertaKemenkeu!$J$6:$J$1005,SMALL(IF(checklistPesertaKemenkeu!$AY$6:$AY$1005="Direkomendasikan",ROW($6:$1005)-5),399)),BidangList,0)),INDEX(checklistPesertaKemenkeu!$O$6:$O$1005,SMALL(IF(checklistPesertaKemenkeu!$AY$6:$AY$1005="Direkomendasikan",ROW($6:$1005)-5),399)))&gt;0,COUNTIF(INDIRECT("'KERTAS KERJA'!K"&amp;(SMALL(IF(checklistPesertaKemenkeu!$AY$6:$AY$1005="Direkomendasikan",ROW($6:$1005)-5),399)+5)&amp;":O"&amp;(SMALL(IF(checklistPesertaKemenkeu!$AY$6:$AY$1005="Direkomendasikan",ROW($6:$1005)-5),399)+5)),INDEX(checklistPesertaKemenkeu!$O$6:$O$1005,SMALL(IF(checklistPesertaKemenkeu!$AY$6:$AY$1005="Direkomendasikan",ROW($6:$1005)-5),399)))=1),IFERROR(VLOOKUP(INDEX(checklistPesertaKemenkeu!$O$6:$O$1005,SMALL(IF(checklistPesertaKemenkeu!$AY$6:$AY$1005="Direkomendasikan",ROW($6:$1005)-5),399)),KotaKode,2,0),"-"),"")),"")</f>
        <v/>
      </c>
      <c r="L400" t="str">
        <f t="array" aca="1" ref="L400" ca="1">IFERROR(IF(OR(INDEX(checklistPesertaKemenkeu!$P$6:$P$1005,SMALL(IF(checklistPesertaKemenkeu!$AY$6:$AY$1005="Direkomendasikan",ROW($6:$1005)-5),399))="",INDEX(checklistPesertaKemenkeu!$J$6:$J$1005,SMALL(IF(checklistPesertaKemenkeu!$AY$6:$AY$1005="Direkomendasikan",ROW($6:$1005)-5),399))=""),"",IF(AND(COUNTIF(INDIRECT("K_"&amp;MATCH(INDEX(checklistPesertaKemenkeu!$J$6:$J$1005,SMALL(IF(checklistPesertaKemenkeu!$AY$6:$AY$1005="Direkomendasikan",ROW($6:$1005)-5),399)),BidangList,0)),INDEX(checklistPesertaKemenkeu!$P$6:$P$1005,SMALL(IF(checklistPesertaKemenkeu!$AY$6:$AY$1005="Direkomendasikan",ROW($6:$1005)-5),399)))&gt;0,COUNTIF(INDIRECT("'KERTAS KERJA'!K"&amp;(SMALL(IF(checklistPesertaKemenkeu!$AY$6:$AY$1005="Direkomendasikan",ROW($6:$1005)-5),399)+5)&amp;":O"&amp;(SMALL(IF(checklistPesertaKemenkeu!$AY$6:$AY$1005="Direkomendasikan",ROW($6:$1005)-5),399)+5)),INDEX(checklistPesertaKemenkeu!$P$6:$P$1005,SMALL(IF(checklistPesertaKemenkeu!$AY$6:$AY$1005="Direkomendasikan",ROW($6:$1005)-5),399)))=1),IFERROR(VLOOKUP(INDEX(checklistPesertaKemenkeu!$P$6:$P$1005,SMALL(IF(checklistPesertaKemenkeu!$AY$6:$AY$1005="Direkomendasikan",ROW($6:$1005)-5),399)),KotaKode,2,0),"-"),"")),"")</f>
        <v/>
      </c>
    </row>
    <row r="401" spans="1:12" ht="15" customHeight="1" x14ac:dyDescent="0.2">
      <c r="A401" t="str">
        <f t="shared" si="6"/>
        <v/>
      </c>
      <c r="B401" t="str">
        <v/>
      </c>
      <c r="C401" s="40" t="str">
        <f t="array" ref="C401">IFERROR(INDEX(checklistPesertaKemenkeu!$F$6:$F$1005,SMALL(IF(checklistPesertaKemenkeu!$AY$6:$AY$1005="Direkomendasikan",ROW($6:$1005)-5),400)),"")</f>
        <v/>
      </c>
      <c r="D401" t="str">
        <f t="array" ref="D401">IFERROR(INDEX(checklistPesertaKemenkeu!$G$6:$G$1005,SMALL(IF(checklistPesertaKemenkeu!$AY$6:$AY$1005="Direkomendasikan",ROW($6:$1005)-5),400)),"")</f>
        <v/>
      </c>
      <c r="E401" t="str">
        <f t="array" ref="E401">IFERROR(INDEX(checklistPesertaKemenkeu!$H$6:$H$1005,SMALL(IF(checklistPesertaKemenkeu!$AY$6:$AY$1005="Direkomendasikan",ROW($6:$1005)-5),400)),"")</f>
        <v/>
      </c>
      <c r="F401" t="str">
        <f t="array" ref="F401">IFERROR(INDEX(checklistPesertaKemenkeu!$I$6:$I$1005,SMALL(IF(checklistPesertaKemenkeu!$AY$6:$AY$1005="Direkomendasikan",ROW($6:$1005)-5),400)),"")</f>
        <v/>
      </c>
      <c r="G401" t="str">
        <f t="array" ref="G401">IFERROR(INDEX(checklistPesertaKemenkeu!$J$6:$J$1005,SMALL(IF(checklistPesertaKemenkeu!$AY$6:$AY$1005="Direkomendasikan",ROW($6:$1005)-5),400)),"")</f>
        <v/>
      </c>
      <c r="H401" t="str">
        <f t="array" aca="1" ref="H401" ca="1">IFERROR(IF(OR(INDEX(checklistPesertaKemenkeu!$L$6:$L$1005,SMALL(IF(checklistPesertaKemenkeu!$AY$6:$AY$1005="Direkomendasikan",ROW($6:$1005)-5),400))="",INDEX(checklistPesertaKemenkeu!$J$6:$J$1005,SMALL(IF(checklistPesertaKemenkeu!$AY$6:$AY$1005="Direkomendasikan",ROW($6:$1005)-5),400))=""),"",IF(AND(COUNTIF(INDIRECT("K_"&amp;MATCH(INDEX(checklistPesertaKemenkeu!$J$6:$J$1005,SMALL(IF(checklistPesertaKemenkeu!$AY$6:$AY$1005="Direkomendasikan",ROW($6:$1005)-5),400)),BidangList,0)),INDEX(checklistPesertaKemenkeu!$L$6:$L$1005,SMALL(IF(checklistPesertaKemenkeu!$AY$6:$AY$1005="Direkomendasikan",ROW($6:$1005)-5),400)))&gt;0,COUNTIF(INDIRECT("'KERTAS KERJA'!K"&amp;(SMALL(IF(checklistPesertaKemenkeu!$AY$6:$AY$1005="Direkomendasikan",ROW($6:$1005)-5),400)+5)&amp;":O"&amp;(SMALL(IF(checklistPesertaKemenkeu!$AY$6:$AY$1005="Direkomendasikan",ROW($6:$1005)-5),400)+5)),INDEX(checklistPesertaKemenkeu!$L$6:$L$1005,SMALL(IF(checklistPesertaKemenkeu!$AY$6:$AY$1005="Direkomendasikan",ROW($6:$1005)-5),400)))=1),IFERROR(VLOOKUP(INDEX(checklistPesertaKemenkeu!$L$6:$L$1005,SMALL(IF(checklistPesertaKemenkeu!$AY$6:$AY$1005="Direkomendasikan",ROW($6:$1005)-5),400)),KotaKode,2,0),"-"),"")),"")</f>
        <v/>
      </c>
      <c r="I401" t="str">
        <f t="array" aca="1" ref="I401" ca="1">IFERROR(IF(OR(INDEX(checklistPesertaKemenkeu!$M$6:$M$1005,SMALL(IF(checklistPesertaKemenkeu!$AY$6:$AY$1005="Direkomendasikan",ROW($6:$1005)-5),400))="",INDEX(checklistPesertaKemenkeu!$J$6:$J$1005,SMALL(IF(checklistPesertaKemenkeu!$AY$6:$AY$1005="Direkomendasikan",ROW($6:$1005)-5),400))=""),"",IF(AND(COUNTIF(INDIRECT("K_"&amp;MATCH(INDEX(checklistPesertaKemenkeu!$J$6:$J$1005,SMALL(IF(checklistPesertaKemenkeu!$AY$6:$AY$1005="Direkomendasikan",ROW($6:$1005)-5),400)),BidangList,0)),INDEX(checklistPesertaKemenkeu!$M$6:$M$1005,SMALL(IF(checklistPesertaKemenkeu!$AY$6:$AY$1005="Direkomendasikan",ROW($6:$1005)-5),400)))&gt;0,COUNTIF(INDIRECT("'KERTAS KERJA'!K"&amp;(SMALL(IF(checklistPesertaKemenkeu!$AY$6:$AY$1005="Direkomendasikan",ROW($6:$1005)-5),400)+5)&amp;":O"&amp;(SMALL(IF(checklistPesertaKemenkeu!$AY$6:$AY$1005="Direkomendasikan",ROW($6:$1005)-5),400)+5)),INDEX(checklistPesertaKemenkeu!$M$6:$M$1005,SMALL(IF(checklistPesertaKemenkeu!$AY$6:$AY$1005="Direkomendasikan",ROW($6:$1005)-5),400)))=1),IFERROR(VLOOKUP(INDEX(checklistPesertaKemenkeu!$M$6:$M$1005,SMALL(IF(checklistPesertaKemenkeu!$AY$6:$AY$1005="Direkomendasikan",ROW($6:$1005)-5),400)),KotaKode,2,0),"-"),"")),"")</f>
        <v/>
      </c>
      <c r="J401" t="str">
        <f t="array" aca="1" ref="J401" ca="1">IFERROR(IF(OR(INDEX(checklistPesertaKemenkeu!$N$6:$N$1005,SMALL(IF(checklistPesertaKemenkeu!$AY$6:$AY$1005="Direkomendasikan",ROW($6:$1005)-5),400))="",INDEX(checklistPesertaKemenkeu!$J$6:$J$1005,SMALL(IF(checklistPesertaKemenkeu!$AY$6:$AY$1005="Direkomendasikan",ROW($6:$1005)-5),400))=""),"",IF(AND(COUNTIF(INDIRECT("K_"&amp;MATCH(INDEX(checklistPesertaKemenkeu!$J$6:$J$1005,SMALL(IF(checklistPesertaKemenkeu!$AY$6:$AY$1005="Direkomendasikan",ROW($6:$1005)-5),400)),BidangList,0)),INDEX(checklistPesertaKemenkeu!$N$6:$N$1005,SMALL(IF(checklistPesertaKemenkeu!$AY$6:$AY$1005="Direkomendasikan",ROW($6:$1005)-5),400)))&gt;0,COUNTIF(INDIRECT("'KERTAS KERJA'!K"&amp;(SMALL(IF(checklistPesertaKemenkeu!$AY$6:$AY$1005="Direkomendasikan",ROW($6:$1005)-5),400)+5)&amp;":O"&amp;(SMALL(IF(checklistPesertaKemenkeu!$AY$6:$AY$1005="Direkomendasikan",ROW($6:$1005)-5),400)+5)),INDEX(checklistPesertaKemenkeu!$N$6:$N$1005,SMALL(IF(checklistPesertaKemenkeu!$AY$6:$AY$1005="Direkomendasikan",ROW($6:$1005)-5),400)))=1),IFERROR(VLOOKUP(INDEX(checklistPesertaKemenkeu!$N$6:$N$1005,SMALL(IF(checklistPesertaKemenkeu!$AY$6:$AY$1005="Direkomendasikan",ROW($6:$1005)-5),400)),KotaKode,2,0),"-"),"")),"")</f>
        <v/>
      </c>
      <c r="K401" t="str">
        <f t="array" aca="1" ref="K401" ca="1">IFERROR(IF(OR(INDEX(checklistPesertaKemenkeu!$O$6:$O$1005,SMALL(IF(checklistPesertaKemenkeu!$AY$6:$AY$1005="Direkomendasikan",ROW($6:$1005)-5),400))="",INDEX(checklistPesertaKemenkeu!$J$6:$J$1005,SMALL(IF(checklistPesertaKemenkeu!$AY$6:$AY$1005="Direkomendasikan",ROW($6:$1005)-5),400))=""),"",IF(AND(COUNTIF(INDIRECT("K_"&amp;MATCH(INDEX(checklistPesertaKemenkeu!$J$6:$J$1005,SMALL(IF(checklistPesertaKemenkeu!$AY$6:$AY$1005="Direkomendasikan",ROW($6:$1005)-5),400)),BidangList,0)),INDEX(checklistPesertaKemenkeu!$O$6:$O$1005,SMALL(IF(checklistPesertaKemenkeu!$AY$6:$AY$1005="Direkomendasikan",ROW($6:$1005)-5),400)))&gt;0,COUNTIF(INDIRECT("'KERTAS KERJA'!K"&amp;(SMALL(IF(checklistPesertaKemenkeu!$AY$6:$AY$1005="Direkomendasikan",ROW($6:$1005)-5),400)+5)&amp;":O"&amp;(SMALL(IF(checklistPesertaKemenkeu!$AY$6:$AY$1005="Direkomendasikan",ROW($6:$1005)-5),400)+5)),INDEX(checklistPesertaKemenkeu!$O$6:$O$1005,SMALL(IF(checklistPesertaKemenkeu!$AY$6:$AY$1005="Direkomendasikan",ROW($6:$1005)-5),400)))=1),IFERROR(VLOOKUP(INDEX(checklistPesertaKemenkeu!$O$6:$O$1005,SMALL(IF(checklistPesertaKemenkeu!$AY$6:$AY$1005="Direkomendasikan",ROW($6:$1005)-5),400)),KotaKode,2,0),"-"),"")),"")</f>
        <v/>
      </c>
      <c r="L401" t="str">
        <f t="array" aca="1" ref="L401" ca="1">IFERROR(IF(OR(INDEX(checklistPesertaKemenkeu!$P$6:$P$1005,SMALL(IF(checklistPesertaKemenkeu!$AY$6:$AY$1005="Direkomendasikan",ROW($6:$1005)-5),400))="",INDEX(checklistPesertaKemenkeu!$J$6:$J$1005,SMALL(IF(checklistPesertaKemenkeu!$AY$6:$AY$1005="Direkomendasikan",ROW($6:$1005)-5),400))=""),"",IF(AND(COUNTIF(INDIRECT("K_"&amp;MATCH(INDEX(checklistPesertaKemenkeu!$J$6:$J$1005,SMALL(IF(checklistPesertaKemenkeu!$AY$6:$AY$1005="Direkomendasikan",ROW($6:$1005)-5),400)),BidangList,0)),INDEX(checklistPesertaKemenkeu!$P$6:$P$1005,SMALL(IF(checklistPesertaKemenkeu!$AY$6:$AY$1005="Direkomendasikan",ROW($6:$1005)-5),400)))&gt;0,COUNTIF(INDIRECT("'KERTAS KERJA'!K"&amp;(SMALL(IF(checklistPesertaKemenkeu!$AY$6:$AY$1005="Direkomendasikan",ROW($6:$1005)-5),400)+5)&amp;":O"&amp;(SMALL(IF(checklistPesertaKemenkeu!$AY$6:$AY$1005="Direkomendasikan",ROW($6:$1005)-5),400)+5)),INDEX(checklistPesertaKemenkeu!$P$6:$P$1005,SMALL(IF(checklistPesertaKemenkeu!$AY$6:$AY$1005="Direkomendasikan",ROW($6:$1005)-5),400)))=1),IFERROR(VLOOKUP(INDEX(checklistPesertaKemenkeu!$P$6:$P$1005,SMALL(IF(checklistPesertaKemenkeu!$AY$6:$AY$1005="Direkomendasikan",ROW($6:$1005)-5),400)),KotaKode,2,0),"-"),"")),"")</f>
        <v/>
      </c>
    </row>
    <row r="402" spans="1:12" ht="15" customHeight="1" x14ac:dyDescent="0.2">
      <c r="A402" t="str">
        <f t="shared" si="6"/>
        <v/>
      </c>
      <c r="B402" t="str">
        <v/>
      </c>
      <c r="C402" s="40" t="str">
        <f t="array" ref="C402">IFERROR(INDEX(checklistPesertaKemenkeu!$F$6:$F$1005,SMALL(IF(checklistPesertaKemenkeu!$AY$6:$AY$1005="Direkomendasikan",ROW($6:$1005)-5),401)),"")</f>
        <v/>
      </c>
      <c r="D402" t="str">
        <f t="array" ref="D402">IFERROR(INDEX(checklistPesertaKemenkeu!$G$6:$G$1005,SMALL(IF(checklistPesertaKemenkeu!$AY$6:$AY$1005="Direkomendasikan",ROW($6:$1005)-5),401)),"")</f>
        <v/>
      </c>
      <c r="E402" t="str">
        <f t="array" ref="E402">IFERROR(INDEX(checklistPesertaKemenkeu!$H$6:$H$1005,SMALL(IF(checklistPesertaKemenkeu!$AY$6:$AY$1005="Direkomendasikan",ROW($6:$1005)-5),401)),"")</f>
        <v/>
      </c>
      <c r="F402" t="str">
        <f t="array" ref="F402">IFERROR(INDEX(checklistPesertaKemenkeu!$I$6:$I$1005,SMALL(IF(checklistPesertaKemenkeu!$AY$6:$AY$1005="Direkomendasikan",ROW($6:$1005)-5),401)),"")</f>
        <v/>
      </c>
      <c r="G402" t="str">
        <f t="array" ref="G402">IFERROR(INDEX(checklistPesertaKemenkeu!$J$6:$J$1005,SMALL(IF(checklistPesertaKemenkeu!$AY$6:$AY$1005="Direkomendasikan",ROW($6:$1005)-5),401)),"")</f>
        <v/>
      </c>
      <c r="H402" t="str">
        <f t="array" aca="1" ref="H402" ca="1">IFERROR(IF(OR(INDEX(checklistPesertaKemenkeu!$L$6:$L$1005,SMALL(IF(checklistPesertaKemenkeu!$AY$6:$AY$1005="Direkomendasikan",ROW($6:$1005)-5),401))="",INDEX(checklistPesertaKemenkeu!$J$6:$J$1005,SMALL(IF(checklistPesertaKemenkeu!$AY$6:$AY$1005="Direkomendasikan",ROW($6:$1005)-5),401))=""),"",IF(AND(COUNTIF(INDIRECT("K_"&amp;MATCH(INDEX(checklistPesertaKemenkeu!$J$6:$J$1005,SMALL(IF(checklistPesertaKemenkeu!$AY$6:$AY$1005="Direkomendasikan",ROW($6:$1005)-5),401)),BidangList,0)),INDEX(checklistPesertaKemenkeu!$L$6:$L$1005,SMALL(IF(checklistPesertaKemenkeu!$AY$6:$AY$1005="Direkomendasikan",ROW($6:$1005)-5),401)))&gt;0,COUNTIF(INDIRECT("'KERTAS KERJA'!K"&amp;(SMALL(IF(checklistPesertaKemenkeu!$AY$6:$AY$1005="Direkomendasikan",ROW($6:$1005)-5),401)+5)&amp;":O"&amp;(SMALL(IF(checklistPesertaKemenkeu!$AY$6:$AY$1005="Direkomendasikan",ROW($6:$1005)-5),401)+5)),INDEX(checklistPesertaKemenkeu!$L$6:$L$1005,SMALL(IF(checklistPesertaKemenkeu!$AY$6:$AY$1005="Direkomendasikan",ROW($6:$1005)-5),401)))=1),IFERROR(VLOOKUP(INDEX(checklistPesertaKemenkeu!$L$6:$L$1005,SMALL(IF(checklistPesertaKemenkeu!$AY$6:$AY$1005="Direkomendasikan",ROW($6:$1005)-5),401)),KotaKode,2,0),"-"),"")),"")</f>
        <v/>
      </c>
      <c r="I402" t="str">
        <f t="array" aca="1" ref="I402" ca="1">IFERROR(IF(OR(INDEX(checklistPesertaKemenkeu!$M$6:$M$1005,SMALL(IF(checklistPesertaKemenkeu!$AY$6:$AY$1005="Direkomendasikan",ROW($6:$1005)-5),401))="",INDEX(checklistPesertaKemenkeu!$J$6:$J$1005,SMALL(IF(checklistPesertaKemenkeu!$AY$6:$AY$1005="Direkomendasikan",ROW($6:$1005)-5),401))=""),"",IF(AND(COUNTIF(INDIRECT("K_"&amp;MATCH(INDEX(checklistPesertaKemenkeu!$J$6:$J$1005,SMALL(IF(checklistPesertaKemenkeu!$AY$6:$AY$1005="Direkomendasikan",ROW($6:$1005)-5),401)),BidangList,0)),INDEX(checklistPesertaKemenkeu!$M$6:$M$1005,SMALL(IF(checklistPesertaKemenkeu!$AY$6:$AY$1005="Direkomendasikan",ROW($6:$1005)-5),401)))&gt;0,COUNTIF(INDIRECT("'KERTAS KERJA'!K"&amp;(SMALL(IF(checklistPesertaKemenkeu!$AY$6:$AY$1005="Direkomendasikan",ROW($6:$1005)-5),401)+5)&amp;":O"&amp;(SMALL(IF(checklistPesertaKemenkeu!$AY$6:$AY$1005="Direkomendasikan",ROW($6:$1005)-5),401)+5)),INDEX(checklistPesertaKemenkeu!$M$6:$M$1005,SMALL(IF(checklistPesertaKemenkeu!$AY$6:$AY$1005="Direkomendasikan",ROW($6:$1005)-5),401)))=1),IFERROR(VLOOKUP(INDEX(checklistPesertaKemenkeu!$M$6:$M$1005,SMALL(IF(checklistPesertaKemenkeu!$AY$6:$AY$1005="Direkomendasikan",ROW($6:$1005)-5),401)),KotaKode,2,0),"-"),"")),"")</f>
        <v/>
      </c>
      <c r="J402" t="str">
        <f t="array" aca="1" ref="J402" ca="1">IFERROR(IF(OR(INDEX(checklistPesertaKemenkeu!$N$6:$N$1005,SMALL(IF(checklistPesertaKemenkeu!$AY$6:$AY$1005="Direkomendasikan",ROW($6:$1005)-5),401))="",INDEX(checklistPesertaKemenkeu!$J$6:$J$1005,SMALL(IF(checklistPesertaKemenkeu!$AY$6:$AY$1005="Direkomendasikan",ROW($6:$1005)-5),401))=""),"",IF(AND(COUNTIF(INDIRECT("K_"&amp;MATCH(INDEX(checklistPesertaKemenkeu!$J$6:$J$1005,SMALL(IF(checklistPesertaKemenkeu!$AY$6:$AY$1005="Direkomendasikan",ROW($6:$1005)-5),401)),BidangList,0)),INDEX(checklistPesertaKemenkeu!$N$6:$N$1005,SMALL(IF(checklistPesertaKemenkeu!$AY$6:$AY$1005="Direkomendasikan",ROW($6:$1005)-5),401)))&gt;0,COUNTIF(INDIRECT("'KERTAS KERJA'!K"&amp;(SMALL(IF(checklistPesertaKemenkeu!$AY$6:$AY$1005="Direkomendasikan",ROW($6:$1005)-5),401)+5)&amp;":O"&amp;(SMALL(IF(checklistPesertaKemenkeu!$AY$6:$AY$1005="Direkomendasikan",ROW($6:$1005)-5),401)+5)),INDEX(checklistPesertaKemenkeu!$N$6:$N$1005,SMALL(IF(checklistPesertaKemenkeu!$AY$6:$AY$1005="Direkomendasikan",ROW($6:$1005)-5),401)))=1),IFERROR(VLOOKUP(INDEX(checklistPesertaKemenkeu!$N$6:$N$1005,SMALL(IF(checklistPesertaKemenkeu!$AY$6:$AY$1005="Direkomendasikan",ROW($6:$1005)-5),401)),KotaKode,2,0),"-"),"")),"")</f>
        <v/>
      </c>
      <c r="K402" t="str">
        <f t="array" aca="1" ref="K402" ca="1">IFERROR(IF(OR(INDEX(checklistPesertaKemenkeu!$O$6:$O$1005,SMALL(IF(checklistPesertaKemenkeu!$AY$6:$AY$1005="Direkomendasikan",ROW($6:$1005)-5),401))="",INDEX(checklistPesertaKemenkeu!$J$6:$J$1005,SMALL(IF(checklistPesertaKemenkeu!$AY$6:$AY$1005="Direkomendasikan",ROW($6:$1005)-5),401))=""),"",IF(AND(COUNTIF(INDIRECT("K_"&amp;MATCH(INDEX(checklistPesertaKemenkeu!$J$6:$J$1005,SMALL(IF(checklistPesertaKemenkeu!$AY$6:$AY$1005="Direkomendasikan",ROW($6:$1005)-5),401)),BidangList,0)),INDEX(checklistPesertaKemenkeu!$O$6:$O$1005,SMALL(IF(checklistPesertaKemenkeu!$AY$6:$AY$1005="Direkomendasikan",ROW($6:$1005)-5),401)))&gt;0,COUNTIF(INDIRECT("'KERTAS KERJA'!K"&amp;(SMALL(IF(checklistPesertaKemenkeu!$AY$6:$AY$1005="Direkomendasikan",ROW($6:$1005)-5),401)+5)&amp;":O"&amp;(SMALL(IF(checklistPesertaKemenkeu!$AY$6:$AY$1005="Direkomendasikan",ROW($6:$1005)-5),401)+5)),INDEX(checklistPesertaKemenkeu!$O$6:$O$1005,SMALL(IF(checklistPesertaKemenkeu!$AY$6:$AY$1005="Direkomendasikan",ROW($6:$1005)-5),401)))=1),IFERROR(VLOOKUP(INDEX(checklistPesertaKemenkeu!$O$6:$O$1005,SMALL(IF(checklistPesertaKemenkeu!$AY$6:$AY$1005="Direkomendasikan",ROW($6:$1005)-5),401)),KotaKode,2,0),"-"),"")),"")</f>
        <v/>
      </c>
      <c r="L402" t="str">
        <f t="array" aca="1" ref="L402" ca="1">IFERROR(IF(OR(INDEX(checklistPesertaKemenkeu!$P$6:$P$1005,SMALL(IF(checklistPesertaKemenkeu!$AY$6:$AY$1005="Direkomendasikan",ROW($6:$1005)-5),401))="",INDEX(checklistPesertaKemenkeu!$J$6:$J$1005,SMALL(IF(checklistPesertaKemenkeu!$AY$6:$AY$1005="Direkomendasikan",ROW($6:$1005)-5),401))=""),"",IF(AND(COUNTIF(INDIRECT("K_"&amp;MATCH(INDEX(checklistPesertaKemenkeu!$J$6:$J$1005,SMALL(IF(checklistPesertaKemenkeu!$AY$6:$AY$1005="Direkomendasikan",ROW($6:$1005)-5),401)),BidangList,0)),INDEX(checklistPesertaKemenkeu!$P$6:$P$1005,SMALL(IF(checklistPesertaKemenkeu!$AY$6:$AY$1005="Direkomendasikan",ROW($6:$1005)-5),401)))&gt;0,COUNTIF(INDIRECT("'KERTAS KERJA'!K"&amp;(SMALL(IF(checklistPesertaKemenkeu!$AY$6:$AY$1005="Direkomendasikan",ROW($6:$1005)-5),401)+5)&amp;":O"&amp;(SMALL(IF(checklistPesertaKemenkeu!$AY$6:$AY$1005="Direkomendasikan",ROW($6:$1005)-5),401)+5)),INDEX(checklistPesertaKemenkeu!$P$6:$P$1005,SMALL(IF(checklistPesertaKemenkeu!$AY$6:$AY$1005="Direkomendasikan",ROW($6:$1005)-5),401)))=1),IFERROR(VLOOKUP(INDEX(checklistPesertaKemenkeu!$P$6:$P$1005,SMALL(IF(checklistPesertaKemenkeu!$AY$6:$AY$1005="Direkomendasikan",ROW($6:$1005)-5),401)),KotaKode,2,0),"-"),"")),"")</f>
        <v/>
      </c>
    </row>
    <row r="403" spans="1:12" ht="15" customHeight="1" x14ac:dyDescent="0.2">
      <c r="A403" t="str">
        <f t="shared" si="6"/>
        <v/>
      </c>
      <c r="B403" t="str">
        <v/>
      </c>
      <c r="C403" s="40" t="str">
        <f t="array" ref="C403">IFERROR(INDEX(checklistPesertaKemenkeu!$F$6:$F$1005,SMALL(IF(checklistPesertaKemenkeu!$AY$6:$AY$1005="Direkomendasikan",ROW($6:$1005)-5),402)),"")</f>
        <v/>
      </c>
      <c r="D403" t="str">
        <f t="array" ref="D403">IFERROR(INDEX(checklistPesertaKemenkeu!$G$6:$G$1005,SMALL(IF(checklistPesertaKemenkeu!$AY$6:$AY$1005="Direkomendasikan",ROW($6:$1005)-5),402)),"")</f>
        <v/>
      </c>
      <c r="E403" t="str">
        <f t="array" ref="E403">IFERROR(INDEX(checklistPesertaKemenkeu!$H$6:$H$1005,SMALL(IF(checklistPesertaKemenkeu!$AY$6:$AY$1005="Direkomendasikan",ROW($6:$1005)-5),402)),"")</f>
        <v/>
      </c>
      <c r="F403" t="str">
        <f t="array" ref="F403">IFERROR(INDEX(checklistPesertaKemenkeu!$I$6:$I$1005,SMALL(IF(checklistPesertaKemenkeu!$AY$6:$AY$1005="Direkomendasikan",ROW($6:$1005)-5),402)),"")</f>
        <v/>
      </c>
      <c r="G403" t="str">
        <f t="array" ref="G403">IFERROR(INDEX(checklistPesertaKemenkeu!$J$6:$J$1005,SMALL(IF(checklistPesertaKemenkeu!$AY$6:$AY$1005="Direkomendasikan",ROW($6:$1005)-5),402)),"")</f>
        <v/>
      </c>
      <c r="H403" t="str">
        <f t="array" aca="1" ref="H403" ca="1">IFERROR(IF(OR(INDEX(checklistPesertaKemenkeu!$L$6:$L$1005,SMALL(IF(checklistPesertaKemenkeu!$AY$6:$AY$1005="Direkomendasikan",ROW($6:$1005)-5),402))="",INDEX(checklistPesertaKemenkeu!$J$6:$J$1005,SMALL(IF(checklistPesertaKemenkeu!$AY$6:$AY$1005="Direkomendasikan",ROW($6:$1005)-5),402))=""),"",IF(AND(COUNTIF(INDIRECT("K_"&amp;MATCH(INDEX(checklistPesertaKemenkeu!$J$6:$J$1005,SMALL(IF(checklistPesertaKemenkeu!$AY$6:$AY$1005="Direkomendasikan",ROW($6:$1005)-5),402)),BidangList,0)),INDEX(checklistPesertaKemenkeu!$L$6:$L$1005,SMALL(IF(checklistPesertaKemenkeu!$AY$6:$AY$1005="Direkomendasikan",ROW($6:$1005)-5),402)))&gt;0,COUNTIF(INDIRECT("'KERTAS KERJA'!K"&amp;(SMALL(IF(checklistPesertaKemenkeu!$AY$6:$AY$1005="Direkomendasikan",ROW($6:$1005)-5),402)+5)&amp;":O"&amp;(SMALL(IF(checklistPesertaKemenkeu!$AY$6:$AY$1005="Direkomendasikan",ROW($6:$1005)-5),402)+5)),INDEX(checklistPesertaKemenkeu!$L$6:$L$1005,SMALL(IF(checklistPesertaKemenkeu!$AY$6:$AY$1005="Direkomendasikan",ROW($6:$1005)-5),402)))=1),IFERROR(VLOOKUP(INDEX(checklistPesertaKemenkeu!$L$6:$L$1005,SMALL(IF(checklistPesertaKemenkeu!$AY$6:$AY$1005="Direkomendasikan",ROW($6:$1005)-5),402)),KotaKode,2,0),"-"),"")),"")</f>
        <v/>
      </c>
      <c r="I403" t="str">
        <f t="array" aca="1" ref="I403" ca="1">IFERROR(IF(OR(INDEX(checklistPesertaKemenkeu!$M$6:$M$1005,SMALL(IF(checklistPesertaKemenkeu!$AY$6:$AY$1005="Direkomendasikan",ROW($6:$1005)-5),402))="",INDEX(checklistPesertaKemenkeu!$J$6:$J$1005,SMALL(IF(checklistPesertaKemenkeu!$AY$6:$AY$1005="Direkomendasikan",ROW($6:$1005)-5),402))=""),"",IF(AND(COUNTIF(INDIRECT("K_"&amp;MATCH(INDEX(checklistPesertaKemenkeu!$J$6:$J$1005,SMALL(IF(checklistPesertaKemenkeu!$AY$6:$AY$1005="Direkomendasikan",ROW($6:$1005)-5),402)),BidangList,0)),INDEX(checklistPesertaKemenkeu!$M$6:$M$1005,SMALL(IF(checklistPesertaKemenkeu!$AY$6:$AY$1005="Direkomendasikan",ROW($6:$1005)-5),402)))&gt;0,COUNTIF(INDIRECT("'KERTAS KERJA'!K"&amp;(SMALL(IF(checklistPesertaKemenkeu!$AY$6:$AY$1005="Direkomendasikan",ROW($6:$1005)-5),402)+5)&amp;":O"&amp;(SMALL(IF(checklistPesertaKemenkeu!$AY$6:$AY$1005="Direkomendasikan",ROW($6:$1005)-5),402)+5)),INDEX(checklistPesertaKemenkeu!$M$6:$M$1005,SMALL(IF(checklistPesertaKemenkeu!$AY$6:$AY$1005="Direkomendasikan",ROW($6:$1005)-5),402)))=1),IFERROR(VLOOKUP(INDEX(checklistPesertaKemenkeu!$M$6:$M$1005,SMALL(IF(checklistPesertaKemenkeu!$AY$6:$AY$1005="Direkomendasikan",ROW($6:$1005)-5),402)),KotaKode,2,0),"-"),"")),"")</f>
        <v/>
      </c>
      <c r="J403" t="str">
        <f t="array" aca="1" ref="J403" ca="1">IFERROR(IF(OR(INDEX(checklistPesertaKemenkeu!$N$6:$N$1005,SMALL(IF(checklistPesertaKemenkeu!$AY$6:$AY$1005="Direkomendasikan",ROW($6:$1005)-5),402))="",INDEX(checklistPesertaKemenkeu!$J$6:$J$1005,SMALL(IF(checklistPesertaKemenkeu!$AY$6:$AY$1005="Direkomendasikan",ROW($6:$1005)-5),402))=""),"",IF(AND(COUNTIF(INDIRECT("K_"&amp;MATCH(INDEX(checklistPesertaKemenkeu!$J$6:$J$1005,SMALL(IF(checklistPesertaKemenkeu!$AY$6:$AY$1005="Direkomendasikan",ROW($6:$1005)-5),402)),BidangList,0)),INDEX(checklistPesertaKemenkeu!$N$6:$N$1005,SMALL(IF(checklistPesertaKemenkeu!$AY$6:$AY$1005="Direkomendasikan",ROW($6:$1005)-5),402)))&gt;0,COUNTIF(INDIRECT("'KERTAS KERJA'!K"&amp;(SMALL(IF(checklistPesertaKemenkeu!$AY$6:$AY$1005="Direkomendasikan",ROW($6:$1005)-5),402)+5)&amp;":O"&amp;(SMALL(IF(checklistPesertaKemenkeu!$AY$6:$AY$1005="Direkomendasikan",ROW($6:$1005)-5),402)+5)),INDEX(checklistPesertaKemenkeu!$N$6:$N$1005,SMALL(IF(checklistPesertaKemenkeu!$AY$6:$AY$1005="Direkomendasikan",ROW($6:$1005)-5),402)))=1),IFERROR(VLOOKUP(INDEX(checklistPesertaKemenkeu!$N$6:$N$1005,SMALL(IF(checklistPesertaKemenkeu!$AY$6:$AY$1005="Direkomendasikan",ROW($6:$1005)-5),402)),KotaKode,2,0),"-"),"")),"")</f>
        <v/>
      </c>
      <c r="K403" t="str">
        <f t="array" aca="1" ref="K403" ca="1">IFERROR(IF(OR(INDEX(checklistPesertaKemenkeu!$O$6:$O$1005,SMALL(IF(checklistPesertaKemenkeu!$AY$6:$AY$1005="Direkomendasikan",ROW($6:$1005)-5),402))="",INDEX(checklistPesertaKemenkeu!$J$6:$J$1005,SMALL(IF(checklistPesertaKemenkeu!$AY$6:$AY$1005="Direkomendasikan",ROW($6:$1005)-5),402))=""),"",IF(AND(COUNTIF(INDIRECT("K_"&amp;MATCH(INDEX(checklistPesertaKemenkeu!$J$6:$J$1005,SMALL(IF(checklistPesertaKemenkeu!$AY$6:$AY$1005="Direkomendasikan",ROW($6:$1005)-5),402)),BidangList,0)),INDEX(checklistPesertaKemenkeu!$O$6:$O$1005,SMALL(IF(checklistPesertaKemenkeu!$AY$6:$AY$1005="Direkomendasikan",ROW($6:$1005)-5),402)))&gt;0,COUNTIF(INDIRECT("'KERTAS KERJA'!K"&amp;(SMALL(IF(checklistPesertaKemenkeu!$AY$6:$AY$1005="Direkomendasikan",ROW($6:$1005)-5),402)+5)&amp;":O"&amp;(SMALL(IF(checklistPesertaKemenkeu!$AY$6:$AY$1005="Direkomendasikan",ROW($6:$1005)-5),402)+5)),INDEX(checklistPesertaKemenkeu!$O$6:$O$1005,SMALL(IF(checklistPesertaKemenkeu!$AY$6:$AY$1005="Direkomendasikan",ROW($6:$1005)-5),402)))=1),IFERROR(VLOOKUP(INDEX(checklistPesertaKemenkeu!$O$6:$O$1005,SMALL(IF(checklistPesertaKemenkeu!$AY$6:$AY$1005="Direkomendasikan",ROW($6:$1005)-5),402)),KotaKode,2,0),"-"),"")),"")</f>
        <v/>
      </c>
      <c r="L403" t="str">
        <f t="array" aca="1" ref="L403" ca="1">IFERROR(IF(OR(INDEX(checklistPesertaKemenkeu!$P$6:$P$1005,SMALL(IF(checklistPesertaKemenkeu!$AY$6:$AY$1005="Direkomendasikan",ROW($6:$1005)-5),402))="",INDEX(checklistPesertaKemenkeu!$J$6:$J$1005,SMALL(IF(checklistPesertaKemenkeu!$AY$6:$AY$1005="Direkomendasikan",ROW($6:$1005)-5),402))=""),"",IF(AND(COUNTIF(INDIRECT("K_"&amp;MATCH(INDEX(checklistPesertaKemenkeu!$J$6:$J$1005,SMALL(IF(checklistPesertaKemenkeu!$AY$6:$AY$1005="Direkomendasikan",ROW($6:$1005)-5),402)),BidangList,0)),INDEX(checklistPesertaKemenkeu!$P$6:$P$1005,SMALL(IF(checklistPesertaKemenkeu!$AY$6:$AY$1005="Direkomendasikan",ROW($6:$1005)-5),402)))&gt;0,COUNTIF(INDIRECT("'KERTAS KERJA'!K"&amp;(SMALL(IF(checklistPesertaKemenkeu!$AY$6:$AY$1005="Direkomendasikan",ROW($6:$1005)-5),402)+5)&amp;":O"&amp;(SMALL(IF(checklistPesertaKemenkeu!$AY$6:$AY$1005="Direkomendasikan",ROW($6:$1005)-5),402)+5)),INDEX(checklistPesertaKemenkeu!$P$6:$P$1005,SMALL(IF(checklistPesertaKemenkeu!$AY$6:$AY$1005="Direkomendasikan",ROW($6:$1005)-5),402)))=1),IFERROR(VLOOKUP(INDEX(checklistPesertaKemenkeu!$P$6:$P$1005,SMALL(IF(checklistPesertaKemenkeu!$AY$6:$AY$1005="Direkomendasikan",ROW($6:$1005)-5),402)),KotaKode,2,0),"-"),"")),"")</f>
        <v/>
      </c>
    </row>
    <row r="404" spans="1:12" ht="15" customHeight="1" x14ac:dyDescent="0.2">
      <c r="A404" t="str">
        <f t="shared" si="6"/>
        <v/>
      </c>
      <c r="B404" t="str">
        <v/>
      </c>
      <c r="C404" s="40" t="str">
        <f t="array" ref="C404">IFERROR(INDEX(checklistPesertaKemenkeu!$F$6:$F$1005,SMALL(IF(checklistPesertaKemenkeu!$AY$6:$AY$1005="Direkomendasikan",ROW($6:$1005)-5),403)),"")</f>
        <v/>
      </c>
      <c r="D404" t="str">
        <f t="array" ref="D404">IFERROR(INDEX(checklistPesertaKemenkeu!$G$6:$G$1005,SMALL(IF(checklistPesertaKemenkeu!$AY$6:$AY$1005="Direkomendasikan",ROW($6:$1005)-5),403)),"")</f>
        <v/>
      </c>
      <c r="E404" t="str">
        <f t="array" ref="E404">IFERROR(INDEX(checklistPesertaKemenkeu!$H$6:$H$1005,SMALL(IF(checklistPesertaKemenkeu!$AY$6:$AY$1005="Direkomendasikan",ROW($6:$1005)-5),403)),"")</f>
        <v/>
      </c>
      <c r="F404" t="str">
        <f t="array" ref="F404">IFERROR(INDEX(checklistPesertaKemenkeu!$I$6:$I$1005,SMALL(IF(checklistPesertaKemenkeu!$AY$6:$AY$1005="Direkomendasikan",ROW($6:$1005)-5),403)),"")</f>
        <v/>
      </c>
      <c r="G404" t="str">
        <f t="array" ref="G404">IFERROR(INDEX(checklistPesertaKemenkeu!$J$6:$J$1005,SMALL(IF(checklistPesertaKemenkeu!$AY$6:$AY$1005="Direkomendasikan",ROW($6:$1005)-5),403)),"")</f>
        <v/>
      </c>
      <c r="H404" t="str">
        <f t="array" aca="1" ref="H404" ca="1">IFERROR(IF(OR(INDEX(checklistPesertaKemenkeu!$L$6:$L$1005,SMALL(IF(checklistPesertaKemenkeu!$AY$6:$AY$1005="Direkomendasikan",ROW($6:$1005)-5),403))="",INDEX(checklistPesertaKemenkeu!$J$6:$J$1005,SMALL(IF(checklistPesertaKemenkeu!$AY$6:$AY$1005="Direkomendasikan",ROW($6:$1005)-5),403))=""),"",IF(AND(COUNTIF(INDIRECT("K_"&amp;MATCH(INDEX(checklistPesertaKemenkeu!$J$6:$J$1005,SMALL(IF(checklistPesertaKemenkeu!$AY$6:$AY$1005="Direkomendasikan",ROW($6:$1005)-5),403)),BidangList,0)),INDEX(checklistPesertaKemenkeu!$L$6:$L$1005,SMALL(IF(checklistPesertaKemenkeu!$AY$6:$AY$1005="Direkomendasikan",ROW($6:$1005)-5),403)))&gt;0,COUNTIF(INDIRECT("'KERTAS KERJA'!K"&amp;(SMALL(IF(checklistPesertaKemenkeu!$AY$6:$AY$1005="Direkomendasikan",ROW($6:$1005)-5),403)+5)&amp;":O"&amp;(SMALL(IF(checklistPesertaKemenkeu!$AY$6:$AY$1005="Direkomendasikan",ROW($6:$1005)-5),403)+5)),INDEX(checklistPesertaKemenkeu!$L$6:$L$1005,SMALL(IF(checklistPesertaKemenkeu!$AY$6:$AY$1005="Direkomendasikan",ROW($6:$1005)-5),403)))=1),IFERROR(VLOOKUP(INDEX(checklistPesertaKemenkeu!$L$6:$L$1005,SMALL(IF(checklistPesertaKemenkeu!$AY$6:$AY$1005="Direkomendasikan",ROW($6:$1005)-5),403)),KotaKode,2,0),"-"),"")),"")</f>
        <v/>
      </c>
      <c r="I404" t="str">
        <f t="array" aca="1" ref="I404" ca="1">IFERROR(IF(OR(INDEX(checklistPesertaKemenkeu!$M$6:$M$1005,SMALL(IF(checklistPesertaKemenkeu!$AY$6:$AY$1005="Direkomendasikan",ROW($6:$1005)-5),403))="",INDEX(checklistPesertaKemenkeu!$J$6:$J$1005,SMALL(IF(checklistPesertaKemenkeu!$AY$6:$AY$1005="Direkomendasikan",ROW($6:$1005)-5),403))=""),"",IF(AND(COUNTIF(INDIRECT("K_"&amp;MATCH(INDEX(checklistPesertaKemenkeu!$J$6:$J$1005,SMALL(IF(checklistPesertaKemenkeu!$AY$6:$AY$1005="Direkomendasikan",ROW($6:$1005)-5),403)),BidangList,0)),INDEX(checklistPesertaKemenkeu!$M$6:$M$1005,SMALL(IF(checklistPesertaKemenkeu!$AY$6:$AY$1005="Direkomendasikan",ROW($6:$1005)-5),403)))&gt;0,COUNTIF(INDIRECT("'KERTAS KERJA'!K"&amp;(SMALL(IF(checklistPesertaKemenkeu!$AY$6:$AY$1005="Direkomendasikan",ROW($6:$1005)-5),403)+5)&amp;":O"&amp;(SMALL(IF(checklistPesertaKemenkeu!$AY$6:$AY$1005="Direkomendasikan",ROW($6:$1005)-5),403)+5)),INDEX(checklistPesertaKemenkeu!$M$6:$M$1005,SMALL(IF(checklistPesertaKemenkeu!$AY$6:$AY$1005="Direkomendasikan",ROW($6:$1005)-5),403)))=1),IFERROR(VLOOKUP(INDEX(checklistPesertaKemenkeu!$M$6:$M$1005,SMALL(IF(checklistPesertaKemenkeu!$AY$6:$AY$1005="Direkomendasikan",ROW($6:$1005)-5),403)),KotaKode,2,0),"-"),"")),"")</f>
        <v/>
      </c>
      <c r="J404" t="str">
        <f t="array" aca="1" ref="J404" ca="1">IFERROR(IF(OR(INDEX(checklistPesertaKemenkeu!$N$6:$N$1005,SMALL(IF(checklistPesertaKemenkeu!$AY$6:$AY$1005="Direkomendasikan",ROW($6:$1005)-5),403))="",INDEX(checklistPesertaKemenkeu!$J$6:$J$1005,SMALL(IF(checklistPesertaKemenkeu!$AY$6:$AY$1005="Direkomendasikan",ROW($6:$1005)-5),403))=""),"",IF(AND(COUNTIF(INDIRECT("K_"&amp;MATCH(INDEX(checklistPesertaKemenkeu!$J$6:$J$1005,SMALL(IF(checklistPesertaKemenkeu!$AY$6:$AY$1005="Direkomendasikan",ROW($6:$1005)-5),403)),BidangList,0)),INDEX(checklistPesertaKemenkeu!$N$6:$N$1005,SMALL(IF(checklistPesertaKemenkeu!$AY$6:$AY$1005="Direkomendasikan",ROW($6:$1005)-5),403)))&gt;0,COUNTIF(INDIRECT("'KERTAS KERJA'!K"&amp;(SMALL(IF(checklistPesertaKemenkeu!$AY$6:$AY$1005="Direkomendasikan",ROW($6:$1005)-5),403)+5)&amp;":O"&amp;(SMALL(IF(checklistPesertaKemenkeu!$AY$6:$AY$1005="Direkomendasikan",ROW($6:$1005)-5),403)+5)),INDEX(checklistPesertaKemenkeu!$N$6:$N$1005,SMALL(IF(checklistPesertaKemenkeu!$AY$6:$AY$1005="Direkomendasikan",ROW($6:$1005)-5),403)))=1),IFERROR(VLOOKUP(INDEX(checklistPesertaKemenkeu!$N$6:$N$1005,SMALL(IF(checklistPesertaKemenkeu!$AY$6:$AY$1005="Direkomendasikan",ROW($6:$1005)-5),403)),KotaKode,2,0),"-"),"")),"")</f>
        <v/>
      </c>
      <c r="K404" t="str">
        <f t="array" aca="1" ref="K404" ca="1">IFERROR(IF(OR(INDEX(checklistPesertaKemenkeu!$O$6:$O$1005,SMALL(IF(checklistPesertaKemenkeu!$AY$6:$AY$1005="Direkomendasikan",ROW($6:$1005)-5),403))="",INDEX(checklistPesertaKemenkeu!$J$6:$J$1005,SMALL(IF(checklistPesertaKemenkeu!$AY$6:$AY$1005="Direkomendasikan",ROW($6:$1005)-5),403))=""),"",IF(AND(COUNTIF(INDIRECT("K_"&amp;MATCH(INDEX(checklistPesertaKemenkeu!$J$6:$J$1005,SMALL(IF(checklistPesertaKemenkeu!$AY$6:$AY$1005="Direkomendasikan",ROW($6:$1005)-5),403)),BidangList,0)),INDEX(checklistPesertaKemenkeu!$O$6:$O$1005,SMALL(IF(checklistPesertaKemenkeu!$AY$6:$AY$1005="Direkomendasikan",ROW($6:$1005)-5),403)))&gt;0,COUNTIF(INDIRECT("'KERTAS KERJA'!K"&amp;(SMALL(IF(checklistPesertaKemenkeu!$AY$6:$AY$1005="Direkomendasikan",ROW($6:$1005)-5),403)+5)&amp;":O"&amp;(SMALL(IF(checklistPesertaKemenkeu!$AY$6:$AY$1005="Direkomendasikan",ROW($6:$1005)-5),403)+5)),INDEX(checklistPesertaKemenkeu!$O$6:$O$1005,SMALL(IF(checklistPesertaKemenkeu!$AY$6:$AY$1005="Direkomendasikan",ROW($6:$1005)-5),403)))=1),IFERROR(VLOOKUP(INDEX(checklistPesertaKemenkeu!$O$6:$O$1005,SMALL(IF(checklistPesertaKemenkeu!$AY$6:$AY$1005="Direkomendasikan",ROW($6:$1005)-5),403)),KotaKode,2,0),"-"),"")),"")</f>
        <v/>
      </c>
      <c r="L404" t="str">
        <f t="array" aca="1" ref="L404" ca="1">IFERROR(IF(OR(INDEX(checklistPesertaKemenkeu!$P$6:$P$1005,SMALL(IF(checklistPesertaKemenkeu!$AY$6:$AY$1005="Direkomendasikan",ROW($6:$1005)-5),403))="",INDEX(checklistPesertaKemenkeu!$J$6:$J$1005,SMALL(IF(checklistPesertaKemenkeu!$AY$6:$AY$1005="Direkomendasikan",ROW($6:$1005)-5),403))=""),"",IF(AND(COUNTIF(INDIRECT("K_"&amp;MATCH(INDEX(checklistPesertaKemenkeu!$J$6:$J$1005,SMALL(IF(checklistPesertaKemenkeu!$AY$6:$AY$1005="Direkomendasikan",ROW($6:$1005)-5),403)),BidangList,0)),INDEX(checklistPesertaKemenkeu!$P$6:$P$1005,SMALL(IF(checklistPesertaKemenkeu!$AY$6:$AY$1005="Direkomendasikan",ROW($6:$1005)-5),403)))&gt;0,COUNTIF(INDIRECT("'KERTAS KERJA'!K"&amp;(SMALL(IF(checklistPesertaKemenkeu!$AY$6:$AY$1005="Direkomendasikan",ROW($6:$1005)-5),403)+5)&amp;":O"&amp;(SMALL(IF(checklistPesertaKemenkeu!$AY$6:$AY$1005="Direkomendasikan",ROW($6:$1005)-5),403)+5)),INDEX(checklistPesertaKemenkeu!$P$6:$P$1005,SMALL(IF(checklistPesertaKemenkeu!$AY$6:$AY$1005="Direkomendasikan",ROW($6:$1005)-5),403)))=1),IFERROR(VLOOKUP(INDEX(checklistPesertaKemenkeu!$P$6:$P$1005,SMALL(IF(checklistPesertaKemenkeu!$AY$6:$AY$1005="Direkomendasikan",ROW($6:$1005)-5),403)),KotaKode,2,0),"-"),"")),"")</f>
        <v/>
      </c>
    </row>
    <row r="405" spans="1:12" ht="15" customHeight="1" x14ac:dyDescent="0.2">
      <c r="A405" t="str">
        <f t="shared" si="6"/>
        <v/>
      </c>
      <c r="B405" t="str">
        <v/>
      </c>
      <c r="C405" s="40" t="str">
        <f t="array" ref="C405">IFERROR(INDEX(checklistPesertaKemenkeu!$F$6:$F$1005,SMALL(IF(checklistPesertaKemenkeu!$AY$6:$AY$1005="Direkomendasikan",ROW($6:$1005)-5),404)),"")</f>
        <v/>
      </c>
      <c r="D405" t="str">
        <f t="array" ref="D405">IFERROR(INDEX(checklistPesertaKemenkeu!$G$6:$G$1005,SMALL(IF(checklistPesertaKemenkeu!$AY$6:$AY$1005="Direkomendasikan",ROW($6:$1005)-5),404)),"")</f>
        <v/>
      </c>
      <c r="E405" t="str">
        <f t="array" ref="E405">IFERROR(INDEX(checklistPesertaKemenkeu!$H$6:$H$1005,SMALL(IF(checklistPesertaKemenkeu!$AY$6:$AY$1005="Direkomendasikan",ROW($6:$1005)-5),404)),"")</f>
        <v/>
      </c>
      <c r="F405" t="str">
        <f t="array" ref="F405">IFERROR(INDEX(checklistPesertaKemenkeu!$I$6:$I$1005,SMALL(IF(checklistPesertaKemenkeu!$AY$6:$AY$1005="Direkomendasikan",ROW($6:$1005)-5),404)),"")</f>
        <v/>
      </c>
      <c r="G405" t="str">
        <f t="array" ref="G405">IFERROR(INDEX(checklistPesertaKemenkeu!$J$6:$J$1005,SMALL(IF(checklistPesertaKemenkeu!$AY$6:$AY$1005="Direkomendasikan",ROW($6:$1005)-5),404)),"")</f>
        <v/>
      </c>
      <c r="H405" t="str">
        <f t="array" aca="1" ref="H405" ca="1">IFERROR(IF(OR(INDEX(checklistPesertaKemenkeu!$L$6:$L$1005,SMALL(IF(checklistPesertaKemenkeu!$AY$6:$AY$1005="Direkomendasikan",ROW($6:$1005)-5),404))="",INDEX(checklistPesertaKemenkeu!$J$6:$J$1005,SMALL(IF(checklistPesertaKemenkeu!$AY$6:$AY$1005="Direkomendasikan",ROW($6:$1005)-5),404))=""),"",IF(AND(COUNTIF(INDIRECT("K_"&amp;MATCH(INDEX(checklistPesertaKemenkeu!$J$6:$J$1005,SMALL(IF(checklistPesertaKemenkeu!$AY$6:$AY$1005="Direkomendasikan",ROW($6:$1005)-5),404)),BidangList,0)),INDEX(checklistPesertaKemenkeu!$L$6:$L$1005,SMALL(IF(checklistPesertaKemenkeu!$AY$6:$AY$1005="Direkomendasikan",ROW($6:$1005)-5),404)))&gt;0,COUNTIF(INDIRECT("'KERTAS KERJA'!K"&amp;(SMALL(IF(checklistPesertaKemenkeu!$AY$6:$AY$1005="Direkomendasikan",ROW($6:$1005)-5),404)+5)&amp;":O"&amp;(SMALL(IF(checklistPesertaKemenkeu!$AY$6:$AY$1005="Direkomendasikan",ROW($6:$1005)-5),404)+5)),INDEX(checklistPesertaKemenkeu!$L$6:$L$1005,SMALL(IF(checklistPesertaKemenkeu!$AY$6:$AY$1005="Direkomendasikan",ROW($6:$1005)-5),404)))=1),IFERROR(VLOOKUP(INDEX(checklistPesertaKemenkeu!$L$6:$L$1005,SMALL(IF(checklistPesertaKemenkeu!$AY$6:$AY$1005="Direkomendasikan",ROW($6:$1005)-5),404)),KotaKode,2,0),"-"),"")),"")</f>
        <v/>
      </c>
      <c r="I405" t="str">
        <f t="array" aca="1" ref="I405" ca="1">IFERROR(IF(OR(INDEX(checklistPesertaKemenkeu!$M$6:$M$1005,SMALL(IF(checklistPesertaKemenkeu!$AY$6:$AY$1005="Direkomendasikan",ROW($6:$1005)-5),404))="",INDEX(checklistPesertaKemenkeu!$J$6:$J$1005,SMALL(IF(checklistPesertaKemenkeu!$AY$6:$AY$1005="Direkomendasikan",ROW($6:$1005)-5),404))=""),"",IF(AND(COUNTIF(INDIRECT("K_"&amp;MATCH(INDEX(checklistPesertaKemenkeu!$J$6:$J$1005,SMALL(IF(checklistPesertaKemenkeu!$AY$6:$AY$1005="Direkomendasikan",ROW($6:$1005)-5),404)),BidangList,0)),INDEX(checklistPesertaKemenkeu!$M$6:$M$1005,SMALL(IF(checklistPesertaKemenkeu!$AY$6:$AY$1005="Direkomendasikan",ROW($6:$1005)-5),404)))&gt;0,COUNTIF(INDIRECT("'KERTAS KERJA'!K"&amp;(SMALL(IF(checklistPesertaKemenkeu!$AY$6:$AY$1005="Direkomendasikan",ROW($6:$1005)-5),404)+5)&amp;":O"&amp;(SMALL(IF(checklistPesertaKemenkeu!$AY$6:$AY$1005="Direkomendasikan",ROW($6:$1005)-5),404)+5)),INDEX(checklistPesertaKemenkeu!$M$6:$M$1005,SMALL(IF(checklistPesertaKemenkeu!$AY$6:$AY$1005="Direkomendasikan",ROW($6:$1005)-5),404)))=1),IFERROR(VLOOKUP(INDEX(checklistPesertaKemenkeu!$M$6:$M$1005,SMALL(IF(checklistPesertaKemenkeu!$AY$6:$AY$1005="Direkomendasikan",ROW($6:$1005)-5),404)),KotaKode,2,0),"-"),"")),"")</f>
        <v/>
      </c>
      <c r="J405" t="str">
        <f t="array" aca="1" ref="J405" ca="1">IFERROR(IF(OR(INDEX(checklistPesertaKemenkeu!$N$6:$N$1005,SMALL(IF(checklistPesertaKemenkeu!$AY$6:$AY$1005="Direkomendasikan",ROW($6:$1005)-5),404))="",INDEX(checklistPesertaKemenkeu!$J$6:$J$1005,SMALL(IF(checklistPesertaKemenkeu!$AY$6:$AY$1005="Direkomendasikan",ROW($6:$1005)-5),404))=""),"",IF(AND(COUNTIF(INDIRECT("K_"&amp;MATCH(INDEX(checklistPesertaKemenkeu!$J$6:$J$1005,SMALL(IF(checklistPesertaKemenkeu!$AY$6:$AY$1005="Direkomendasikan",ROW($6:$1005)-5),404)),BidangList,0)),INDEX(checklistPesertaKemenkeu!$N$6:$N$1005,SMALL(IF(checklistPesertaKemenkeu!$AY$6:$AY$1005="Direkomendasikan",ROW($6:$1005)-5),404)))&gt;0,COUNTIF(INDIRECT("'KERTAS KERJA'!K"&amp;(SMALL(IF(checklistPesertaKemenkeu!$AY$6:$AY$1005="Direkomendasikan",ROW($6:$1005)-5),404)+5)&amp;":O"&amp;(SMALL(IF(checklistPesertaKemenkeu!$AY$6:$AY$1005="Direkomendasikan",ROW($6:$1005)-5),404)+5)),INDEX(checklistPesertaKemenkeu!$N$6:$N$1005,SMALL(IF(checklistPesertaKemenkeu!$AY$6:$AY$1005="Direkomendasikan",ROW($6:$1005)-5),404)))=1),IFERROR(VLOOKUP(INDEX(checklistPesertaKemenkeu!$N$6:$N$1005,SMALL(IF(checklistPesertaKemenkeu!$AY$6:$AY$1005="Direkomendasikan",ROW($6:$1005)-5),404)),KotaKode,2,0),"-"),"")),"")</f>
        <v/>
      </c>
      <c r="K405" t="str">
        <f t="array" aca="1" ref="K405" ca="1">IFERROR(IF(OR(INDEX(checklistPesertaKemenkeu!$O$6:$O$1005,SMALL(IF(checklistPesertaKemenkeu!$AY$6:$AY$1005="Direkomendasikan",ROW($6:$1005)-5),404))="",INDEX(checklistPesertaKemenkeu!$J$6:$J$1005,SMALL(IF(checklistPesertaKemenkeu!$AY$6:$AY$1005="Direkomendasikan",ROW($6:$1005)-5),404))=""),"",IF(AND(COUNTIF(INDIRECT("K_"&amp;MATCH(INDEX(checklistPesertaKemenkeu!$J$6:$J$1005,SMALL(IF(checklistPesertaKemenkeu!$AY$6:$AY$1005="Direkomendasikan",ROW($6:$1005)-5),404)),BidangList,0)),INDEX(checklistPesertaKemenkeu!$O$6:$O$1005,SMALL(IF(checklistPesertaKemenkeu!$AY$6:$AY$1005="Direkomendasikan",ROW($6:$1005)-5),404)))&gt;0,COUNTIF(INDIRECT("'KERTAS KERJA'!K"&amp;(SMALL(IF(checklistPesertaKemenkeu!$AY$6:$AY$1005="Direkomendasikan",ROW($6:$1005)-5),404)+5)&amp;":O"&amp;(SMALL(IF(checklistPesertaKemenkeu!$AY$6:$AY$1005="Direkomendasikan",ROW($6:$1005)-5),404)+5)),INDEX(checklistPesertaKemenkeu!$O$6:$O$1005,SMALL(IF(checklistPesertaKemenkeu!$AY$6:$AY$1005="Direkomendasikan",ROW($6:$1005)-5),404)))=1),IFERROR(VLOOKUP(INDEX(checklistPesertaKemenkeu!$O$6:$O$1005,SMALL(IF(checklistPesertaKemenkeu!$AY$6:$AY$1005="Direkomendasikan",ROW($6:$1005)-5),404)),KotaKode,2,0),"-"),"")),"")</f>
        <v/>
      </c>
      <c r="L405" t="str">
        <f t="array" aca="1" ref="L405" ca="1">IFERROR(IF(OR(INDEX(checklistPesertaKemenkeu!$P$6:$P$1005,SMALL(IF(checklistPesertaKemenkeu!$AY$6:$AY$1005="Direkomendasikan",ROW($6:$1005)-5),404))="",INDEX(checklistPesertaKemenkeu!$J$6:$J$1005,SMALL(IF(checklistPesertaKemenkeu!$AY$6:$AY$1005="Direkomendasikan",ROW($6:$1005)-5),404))=""),"",IF(AND(COUNTIF(INDIRECT("K_"&amp;MATCH(INDEX(checklistPesertaKemenkeu!$J$6:$J$1005,SMALL(IF(checklistPesertaKemenkeu!$AY$6:$AY$1005="Direkomendasikan",ROW($6:$1005)-5),404)),BidangList,0)),INDEX(checklistPesertaKemenkeu!$P$6:$P$1005,SMALL(IF(checklistPesertaKemenkeu!$AY$6:$AY$1005="Direkomendasikan",ROW($6:$1005)-5),404)))&gt;0,COUNTIF(INDIRECT("'KERTAS KERJA'!K"&amp;(SMALL(IF(checklistPesertaKemenkeu!$AY$6:$AY$1005="Direkomendasikan",ROW($6:$1005)-5),404)+5)&amp;":O"&amp;(SMALL(IF(checklistPesertaKemenkeu!$AY$6:$AY$1005="Direkomendasikan",ROW($6:$1005)-5),404)+5)),INDEX(checklistPesertaKemenkeu!$P$6:$P$1005,SMALL(IF(checklistPesertaKemenkeu!$AY$6:$AY$1005="Direkomendasikan",ROW($6:$1005)-5),404)))=1),IFERROR(VLOOKUP(INDEX(checklistPesertaKemenkeu!$P$6:$P$1005,SMALL(IF(checklistPesertaKemenkeu!$AY$6:$AY$1005="Direkomendasikan",ROW($6:$1005)-5),404)),KotaKode,2,0),"-"),"")),"")</f>
        <v/>
      </c>
    </row>
    <row r="406" spans="1:12" ht="15" customHeight="1" x14ac:dyDescent="0.2">
      <c r="A406" t="str">
        <f t="shared" si="6"/>
        <v/>
      </c>
      <c r="B406" t="str">
        <v/>
      </c>
      <c r="C406" s="40" t="str">
        <f t="array" ref="C406">IFERROR(INDEX(checklistPesertaKemenkeu!$F$6:$F$1005,SMALL(IF(checklistPesertaKemenkeu!$AY$6:$AY$1005="Direkomendasikan",ROW($6:$1005)-5),405)),"")</f>
        <v/>
      </c>
      <c r="D406" t="str">
        <f t="array" ref="D406">IFERROR(INDEX(checklistPesertaKemenkeu!$G$6:$G$1005,SMALL(IF(checklistPesertaKemenkeu!$AY$6:$AY$1005="Direkomendasikan",ROW($6:$1005)-5),405)),"")</f>
        <v/>
      </c>
      <c r="E406" t="str">
        <f t="array" ref="E406">IFERROR(INDEX(checklistPesertaKemenkeu!$H$6:$H$1005,SMALL(IF(checklistPesertaKemenkeu!$AY$6:$AY$1005="Direkomendasikan",ROW($6:$1005)-5),405)),"")</f>
        <v/>
      </c>
      <c r="F406" t="str">
        <f t="array" ref="F406">IFERROR(INDEX(checklistPesertaKemenkeu!$I$6:$I$1005,SMALL(IF(checklistPesertaKemenkeu!$AY$6:$AY$1005="Direkomendasikan",ROW($6:$1005)-5),405)),"")</f>
        <v/>
      </c>
      <c r="G406" t="str">
        <f t="array" ref="G406">IFERROR(INDEX(checklistPesertaKemenkeu!$J$6:$J$1005,SMALL(IF(checklistPesertaKemenkeu!$AY$6:$AY$1005="Direkomendasikan",ROW($6:$1005)-5),405)),"")</f>
        <v/>
      </c>
      <c r="H406" t="str">
        <f t="array" aca="1" ref="H406" ca="1">IFERROR(IF(OR(INDEX(checklistPesertaKemenkeu!$L$6:$L$1005,SMALL(IF(checklistPesertaKemenkeu!$AY$6:$AY$1005="Direkomendasikan",ROW($6:$1005)-5),405))="",INDEX(checklistPesertaKemenkeu!$J$6:$J$1005,SMALL(IF(checklistPesertaKemenkeu!$AY$6:$AY$1005="Direkomendasikan",ROW($6:$1005)-5),405))=""),"",IF(AND(COUNTIF(INDIRECT("K_"&amp;MATCH(INDEX(checklistPesertaKemenkeu!$J$6:$J$1005,SMALL(IF(checklistPesertaKemenkeu!$AY$6:$AY$1005="Direkomendasikan",ROW($6:$1005)-5),405)),BidangList,0)),INDEX(checklistPesertaKemenkeu!$L$6:$L$1005,SMALL(IF(checklistPesertaKemenkeu!$AY$6:$AY$1005="Direkomendasikan",ROW($6:$1005)-5),405)))&gt;0,COUNTIF(INDIRECT("'KERTAS KERJA'!K"&amp;(SMALL(IF(checklistPesertaKemenkeu!$AY$6:$AY$1005="Direkomendasikan",ROW($6:$1005)-5),405)+5)&amp;":O"&amp;(SMALL(IF(checklistPesertaKemenkeu!$AY$6:$AY$1005="Direkomendasikan",ROW($6:$1005)-5),405)+5)),INDEX(checklistPesertaKemenkeu!$L$6:$L$1005,SMALL(IF(checklistPesertaKemenkeu!$AY$6:$AY$1005="Direkomendasikan",ROW($6:$1005)-5),405)))=1),IFERROR(VLOOKUP(INDEX(checklistPesertaKemenkeu!$L$6:$L$1005,SMALL(IF(checklistPesertaKemenkeu!$AY$6:$AY$1005="Direkomendasikan",ROW($6:$1005)-5),405)),KotaKode,2,0),"-"),"")),"")</f>
        <v/>
      </c>
      <c r="I406" t="str">
        <f t="array" aca="1" ref="I406" ca="1">IFERROR(IF(OR(INDEX(checklistPesertaKemenkeu!$M$6:$M$1005,SMALL(IF(checklistPesertaKemenkeu!$AY$6:$AY$1005="Direkomendasikan",ROW($6:$1005)-5),405))="",INDEX(checklistPesertaKemenkeu!$J$6:$J$1005,SMALL(IF(checklistPesertaKemenkeu!$AY$6:$AY$1005="Direkomendasikan",ROW($6:$1005)-5),405))=""),"",IF(AND(COUNTIF(INDIRECT("K_"&amp;MATCH(INDEX(checklistPesertaKemenkeu!$J$6:$J$1005,SMALL(IF(checklistPesertaKemenkeu!$AY$6:$AY$1005="Direkomendasikan",ROW($6:$1005)-5),405)),BidangList,0)),INDEX(checklistPesertaKemenkeu!$M$6:$M$1005,SMALL(IF(checklistPesertaKemenkeu!$AY$6:$AY$1005="Direkomendasikan",ROW($6:$1005)-5),405)))&gt;0,COUNTIF(INDIRECT("'KERTAS KERJA'!K"&amp;(SMALL(IF(checklistPesertaKemenkeu!$AY$6:$AY$1005="Direkomendasikan",ROW($6:$1005)-5),405)+5)&amp;":O"&amp;(SMALL(IF(checklistPesertaKemenkeu!$AY$6:$AY$1005="Direkomendasikan",ROW($6:$1005)-5),405)+5)),INDEX(checklistPesertaKemenkeu!$M$6:$M$1005,SMALL(IF(checklistPesertaKemenkeu!$AY$6:$AY$1005="Direkomendasikan",ROW($6:$1005)-5),405)))=1),IFERROR(VLOOKUP(INDEX(checklistPesertaKemenkeu!$M$6:$M$1005,SMALL(IF(checklistPesertaKemenkeu!$AY$6:$AY$1005="Direkomendasikan",ROW($6:$1005)-5),405)),KotaKode,2,0),"-"),"")),"")</f>
        <v/>
      </c>
      <c r="J406" t="str">
        <f t="array" aca="1" ref="J406" ca="1">IFERROR(IF(OR(INDEX(checklistPesertaKemenkeu!$N$6:$N$1005,SMALL(IF(checklistPesertaKemenkeu!$AY$6:$AY$1005="Direkomendasikan",ROW($6:$1005)-5),405))="",INDEX(checklistPesertaKemenkeu!$J$6:$J$1005,SMALL(IF(checklistPesertaKemenkeu!$AY$6:$AY$1005="Direkomendasikan",ROW($6:$1005)-5),405))=""),"",IF(AND(COUNTIF(INDIRECT("K_"&amp;MATCH(INDEX(checklistPesertaKemenkeu!$J$6:$J$1005,SMALL(IF(checklistPesertaKemenkeu!$AY$6:$AY$1005="Direkomendasikan",ROW($6:$1005)-5),405)),BidangList,0)),INDEX(checklistPesertaKemenkeu!$N$6:$N$1005,SMALL(IF(checklistPesertaKemenkeu!$AY$6:$AY$1005="Direkomendasikan",ROW($6:$1005)-5),405)))&gt;0,COUNTIF(INDIRECT("'KERTAS KERJA'!K"&amp;(SMALL(IF(checklistPesertaKemenkeu!$AY$6:$AY$1005="Direkomendasikan",ROW($6:$1005)-5),405)+5)&amp;":O"&amp;(SMALL(IF(checklistPesertaKemenkeu!$AY$6:$AY$1005="Direkomendasikan",ROW($6:$1005)-5),405)+5)),INDEX(checklistPesertaKemenkeu!$N$6:$N$1005,SMALL(IF(checklistPesertaKemenkeu!$AY$6:$AY$1005="Direkomendasikan",ROW($6:$1005)-5),405)))=1),IFERROR(VLOOKUP(INDEX(checklistPesertaKemenkeu!$N$6:$N$1005,SMALL(IF(checklistPesertaKemenkeu!$AY$6:$AY$1005="Direkomendasikan",ROW($6:$1005)-5),405)),KotaKode,2,0),"-"),"")),"")</f>
        <v/>
      </c>
      <c r="K406" t="str">
        <f t="array" aca="1" ref="K406" ca="1">IFERROR(IF(OR(INDEX(checklistPesertaKemenkeu!$O$6:$O$1005,SMALL(IF(checklistPesertaKemenkeu!$AY$6:$AY$1005="Direkomendasikan",ROW($6:$1005)-5),405))="",INDEX(checklistPesertaKemenkeu!$J$6:$J$1005,SMALL(IF(checklistPesertaKemenkeu!$AY$6:$AY$1005="Direkomendasikan",ROW($6:$1005)-5),405))=""),"",IF(AND(COUNTIF(INDIRECT("K_"&amp;MATCH(INDEX(checklistPesertaKemenkeu!$J$6:$J$1005,SMALL(IF(checklistPesertaKemenkeu!$AY$6:$AY$1005="Direkomendasikan",ROW($6:$1005)-5),405)),BidangList,0)),INDEX(checklistPesertaKemenkeu!$O$6:$O$1005,SMALL(IF(checklistPesertaKemenkeu!$AY$6:$AY$1005="Direkomendasikan",ROW($6:$1005)-5),405)))&gt;0,COUNTIF(INDIRECT("'KERTAS KERJA'!K"&amp;(SMALL(IF(checklistPesertaKemenkeu!$AY$6:$AY$1005="Direkomendasikan",ROW($6:$1005)-5),405)+5)&amp;":O"&amp;(SMALL(IF(checklistPesertaKemenkeu!$AY$6:$AY$1005="Direkomendasikan",ROW($6:$1005)-5),405)+5)),INDEX(checklistPesertaKemenkeu!$O$6:$O$1005,SMALL(IF(checklistPesertaKemenkeu!$AY$6:$AY$1005="Direkomendasikan",ROW($6:$1005)-5),405)))=1),IFERROR(VLOOKUP(INDEX(checklistPesertaKemenkeu!$O$6:$O$1005,SMALL(IF(checklistPesertaKemenkeu!$AY$6:$AY$1005="Direkomendasikan",ROW($6:$1005)-5),405)),KotaKode,2,0),"-"),"")),"")</f>
        <v/>
      </c>
      <c r="L406" t="str">
        <f t="array" aca="1" ref="L406" ca="1">IFERROR(IF(OR(INDEX(checklistPesertaKemenkeu!$P$6:$P$1005,SMALL(IF(checklistPesertaKemenkeu!$AY$6:$AY$1005="Direkomendasikan",ROW($6:$1005)-5),405))="",INDEX(checklistPesertaKemenkeu!$J$6:$J$1005,SMALL(IF(checklistPesertaKemenkeu!$AY$6:$AY$1005="Direkomendasikan",ROW($6:$1005)-5),405))=""),"",IF(AND(COUNTIF(INDIRECT("K_"&amp;MATCH(INDEX(checklistPesertaKemenkeu!$J$6:$J$1005,SMALL(IF(checklistPesertaKemenkeu!$AY$6:$AY$1005="Direkomendasikan",ROW($6:$1005)-5),405)),BidangList,0)),INDEX(checklistPesertaKemenkeu!$P$6:$P$1005,SMALL(IF(checklistPesertaKemenkeu!$AY$6:$AY$1005="Direkomendasikan",ROW($6:$1005)-5),405)))&gt;0,COUNTIF(INDIRECT("'KERTAS KERJA'!K"&amp;(SMALL(IF(checklistPesertaKemenkeu!$AY$6:$AY$1005="Direkomendasikan",ROW($6:$1005)-5),405)+5)&amp;":O"&amp;(SMALL(IF(checklistPesertaKemenkeu!$AY$6:$AY$1005="Direkomendasikan",ROW($6:$1005)-5),405)+5)),INDEX(checklistPesertaKemenkeu!$P$6:$P$1005,SMALL(IF(checklistPesertaKemenkeu!$AY$6:$AY$1005="Direkomendasikan",ROW($6:$1005)-5),405)))=1),IFERROR(VLOOKUP(INDEX(checklistPesertaKemenkeu!$P$6:$P$1005,SMALL(IF(checklistPesertaKemenkeu!$AY$6:$AY$1005="Direkomendasikan",ROW($6:$1005)-5),405)),KotaKode,2,0),"-"),"")),"")</f>
        <v/>
      </c>
    </row>
    <row r="407" spans="1:12" ht="15" customHeight="1" x14ac:dyDescent="0.2">
      <c r="A407" t="str">
        <f t="shared" si="6"/>
        <v/>
      </c>
      <c r="B407" t="str">
        <v/>
      </c>
      <c r="C407" s="40" t="str">
        <f t="array" ref="C407">IFERROR(INDEX(checklistPesertaKemenkeu!$F$6:$F$1005,SMALL(IF(checklistPesertaKemenkeu!$AY$6:$AY$1005="Direkomendasikan",ROW($6:$1005)-5),406)),"")</f>
        <v/>
      </c>
      <c r="D407" t="str">
        <f t="array" ref="D407">IFERROR(INDEX(checklistPesertaKemenkeu!$G$6:$G$1005,SMALL(IF(checklistPesertaKemenkeu!$AY$6:$AY$1005="Direkomendasikan",ROW($6:$1005)-5),406)),"")</f>
        <v/>
      </c>
      <c r="E407" t="str">
        <f t="array" ref="E407">IFERROR(INDEX(checklistPesertaKemenkeu!$H$6:$H$1005,SMALL(IF(checklistPesertaKemenkeu!$AY$6:$AY$1005="Direkomendasikan",ROW($6:$1005)-5),406)),"")</f>
        <v/>
      </c>
      <c r="F407" t="str">
        <f t="array" ref="F407">IFERROR(INDEX(checklistPesertaKemenkeu!$I$6:$I$1005,SMALL(IF(checklistPesertaKemenkeu!$AY$6:$AY$1005="Direkomendasikan",ROW($6:$1005)-5),406)),"")</f>
        <v/>
      </c>
      <c r="G407" t="str">
        <f t="array" ref="G407">IFERROR(INDEX(checklistPesertaKemenkeu!$J$6:$J$1005,SMALL(IF(checklistPesertaKemenkeu!$AY$6:$AY$1005="Direkomendasikan",ROW($6:$1005)-5),406)),"")</f>
        <v/>
      </c>
      <c r="H407" t="str">
        <f t="array" aca="1" ref="H407" ca="1">IFERROR(IF(OR(INDEX(checklistPesertaKemenkeu!$L$6:$L$1005,SMALL(IF(checklistPesertaKemenkeu!$AY$6:$AY$1005="Direkomendasikan",ROW($6:$1005)-5),406))="",INDEX(checklistPesertaKemenkeu!$J$6:$J$1005,SMALL(IF(checklistPesertaKemenkeu!$AY$6:$AY$1005="Direkomendasikan",ROW($6:$1005)-5),406))=""),"",IF(AND(COUNTIF(INDIRECT("K_"&amp;MATCH(INDEX(checklistPesertaKemenkeu!$J$6:$J$1005,SMALL(IF(checklistPesertaKemenkeu!$AY$6:$AY$1005="Direkomendasikan",ROW($6:$1005)-5),406)),BidangList,0)),INDEX(checklistPesertaKemenkeu!$L$6:$L$1005,SMALL(IF(checklistPesertaKemenkeu!$AY$6:$AY$1005="Direkomendasikan",ROW($6:$1005)-5),406)))&gt;0,COUNTIF(INDIRECT("'KERTAS KERJA'!K"&amp;(SMALL(IF(checklistPesertaKemenkeu!$AY$6:$AY$1005="Direkomendasikan",ROW($6:$1005)-5),406)+5)&amp;":O"&amp;(SMALL(IF(checklistPesertaKemenkeu!$AY$6:$AY$1005="Direkomendasikan",ROW($6:$1005)-5),406)+5)),INDEX(checklistPesertaKemenkeu!$L$6:$L$1005,SMALL(IF(checklistPesertaKemenkeu!$AY$6:$AY$1005="Direkomendasikan",ROW($6:$1005)-5),406)))=1),IFERROR(VLOOKUP(INDEX(checklistPesertaKemenkeu!$L$6:$L$1005,SMALL(IF(checklistPesertaKemenkeu!$AY$6:$AY$1005="Direkomendasikan",ROW($6:$1005)-5),406)),KotaKode,2,0),"-"),"")),"")</f>
        <v/>
      </c>
      <c r="I407" t="str">
        <f t="array" aca="1" ref="I407" ca="1">IFERROR(IF(OR(INDEX(checklistPesertaKemenkeu!$M$6:$M$1005,SMALL(IF(checklistPesertaKemenkeu!$AY$6:$AY$1005="Direkomendasikan",ROW($6:$1005)-5),406))="",INDEX(checklistPesertaKemenkeu!$J$6:$J$1005,SMALL(IF(checklistPesertaKemenkeu!$AY$6:$AY$1005="Direkomendasikan",ROW($6:$1005)-5),406))=""),"",IF(AND(COUNTIF(INDIRECT("K_"&amp;MATCH(INDEX(checklistPesertaKemenkeu!$J$6:$J$1005,SMALL(IF(checklistPesertaKemenkeu!$AY$6:$AY$1005="Direkomendasikan",ROW($6:$1005)-5),406)),BidangList,0)),INDEX(checklistPesertaKemenkeu!$M$6:$M$1005,SMALL(IF(checklistPesertaKemenkeu!$AY$6:$AY$1005="Direkomendasikan",ROW($6:$1005)-5),406)))&gt;0,COUNTIF(INDIRECT("'KERTAS KERJA'!K"&amp;(SMALL(IF(checklistPesertaKemenkeu!$AY$6:$AY$1005="Direkomendasikan",ROW($6:$1005)-5),406)+5)&amp;":O"&amp;(SMALL(IF(checklistPesertaKemenkeu!$AY$6:$AY$1005="Direkomendasikan",ROW($6:$1005)-5),406)+5)),INDEX(checklistPesertaKemenkeu!$M$6:$M$1005,SMALL(IF(checklistPesertaKemenkeu!$AY$6:$AY$1005="Direkomendasikan",ROW($6:$1005)-5),406)))=1),IFERROR(VLOOKUP(INDEX(checklistPesertaKemenkeu!$M$6:$M$1005,SMALL(IF(checklistPesertaKemenkeu!$AY$6:$AY$1005="Direkomendasikan",ROW($6:$1005)-5),406)),KotaKode,2,0),"-"),"")),"")</f>
        <v/>
      </c>
      <c r="J407" t="str">
        <f t="array" aca="1" ref="J407" ca="1">IFERROR(IF(OR(INDEX(checklistPesertaKemenkeu!$N$6:$N$1005,SMALL(IF(checklistPesertaKemenkeu!$AY$6:$AY$1005="Direkomendasikan",ROW($6:$1005)-5),406))="",INDEX(checklistPesertaKemenkeu!$J$6:$J$1005,SMALL(IF(checklistPesertaKemenkeu!$AY$6:$AY$1005="Direkomendasikan",ROW($6:$1005)-5),406))=""),"",IF(AND(COUNTIF(INDIRECT("K_"&amp;MATCH(INDEX(checklistPesertaKemenkeu!$J$6:$J$1005,SMALL(IF(checklistPesertaKemenkeu!$AY$6:$AY$1005="Direkomendasikan",ROW($6:$1005)-5),406)),BidangList,0)),INDEX(checklistPesertaKemenkeu!$N$6:$N$1005,SMALL(IF(checklistPesertaKemenkeu!$AY$6:$AY$1005="Direkomendasikan",ROW($6:$1005)-5),406)))&gt;0,COUNTIF(INDIRECT("'KERTAS KERJA'!K"&amp;(SMALL(IF(checklistPesertaKemenkeu!$AY$6:$AY$1005="Direkomendasikan",ROW($6:$1005)-5),406)+5)&amp;":O"&amp;(SMALL(IF(checklistPesertaKemenkeu!$AY$6:$AY$1005="Direkomendasikan",ROW($6:$1005)-5),406)+5)),INDEX(checklistPesertaKemenkeu!$N$6:$N$1005,SMALL(IF(checklistPesertaKemenkeu!$AY$6:$AY$1005="Direkomendasikan",ROW($6:$1005)-5),406)))=1),IFERROR(VLOOKUP(INDEX(checklistPesertaKemenkeu!$N$6:$N$1005,SMALL(IF(checklistPesertaKemenkeu!$AY$6:$AY$1005="Direkomendasikan",ROW($6:$1005)-5),406)),KotaKode,2,0),"-"),"")),"")</f>
        <v/>
      </c>
      <c r="K407" t="str">
        <f t="array" aca="1" ref="K407" ca="1">IFERROR(IF(OR(INDEX(checklistPesertaKemenkeu!$O$6:$O$1005,SMALL(IF(checklistPesertaKemenkeu!$AY$6:$AY$1005="Direkomendasikan",ROW($6:$1005)-5),406))="",INDEX(checklistPesertaKemenkeu!$J$6:$J$1005,SMALL(IF(checklistPesertaKemenkeu!$AY$6:$AY$1005="Direkomendasikan",ROW($6:$1005)-5),406))=""),"",IF(AND(COUNTIF(INDIRECT("K_"&amp;MATCH(INDEX(checklistPesertaKemenkeu!$J$6:$J$1005,SMALL(IF(checklistPesertaKemenkeu!$AY$6:$AY$1005="Direkomendasikan",ROW($6:$1005)-5),406)),BidangList,0)),INDEX(checklistPesertaKemenkeu!$O$6:$O$1005,SMALL(IF(checklistPesertaKemenkeu!$AY$6:$AY$1005="Direkomendasikan",ROW($6:$1005)-5),406)))&gt;0,COUNTIF(INDIRECT("'KERTAS KERJA'!K"&amp;(SMALL(IF(checklistPesertaKemenkeu!$AY$6:$AY$1005="Direkomendasikan",ROW($6:$1005)-5),406)+5)&amp;":O"&amp;(SMALL(IF(checklistPesertaKemenkeu!$AY$6:$AY$1005="Direkomendasikan",ROW($6:$1005)-5),406)+5)),INDEX(checklistPesertaKemenkeu!$O$6:$O$1005,SMALL(IF(checklistPesertaKemenkeu!$AY$6:$AY$1005="Direkomendasikan",ROW($6:$1005)-5),406)))=1),IFERROR(VLOOKUP(INDEX(checklistPesertaKemenkeu!$O$6:$O$1005,SMALL(IF(checklistPesertaKemenkeu!$AY$6:$AY$1005="Direkomendasikan",ROW($6:$1005)-5),406)),KotaKode,2,0),"-"),"")),"")</f>
        <v/>
      </c>
      <c r="L407" t="str">
        <f t="array" aca="1" ref="L407" ca="1">IFERROR(IF(OR(INDEX(checklistPesertaKemenkeu!$P$6:$P$1005,SMALL(IF(checklistPesertaKemenkeu!$AY$6:$AY$1005="Direkomendasikan",ROW($6:$1005)-5),406))="",INDEX(checklistPesertaKemenkeu!$J$6:$J$1005,SMALL(IF(checklistPesertaKemenkeu!$AY$6:$AY$1005="Direkomendasikan",ROW($6:$1005)-5),406))=""),"",IF(AND(COUNTIF(INDIRECT("K_"&amp;MATCH(INDEX(checklistPesertaKemenkeu!$J$6:$J$1005,SMALL(IF(checklistPesertaKemenkeu!$AY$6:$AY$1005="Direkomendasikan",ROW($6:$1005)-5),406)),BidangList,0)),INDEX(checklistPesertaKemenkeu!$P$6:$P$1005,SMALL(IF(checklistPesertaKemenkeu!$AY$6:$AY$1005="Direkomendasikan",ROW($6:$1005)-5),406)))&gt;0,COUNTIF(INDIRECT("'KERTAS KERJA'!K"&amp;(SMALL(IF(checklistPesertaKemenkeu!$AY$6:$AY$1005="Direkomendasikan",ROW($6:$1005)-5),406)+5)&amp;":O"&amp;(SMALL(IF(checklistPesertaKemenkeu!$AY$6:$AY$1005="Direkomendasikan",ROW($6:$1005)-5),406)+5)),INDEX(checklistPesertaKemenkeu!$P$6:$P$1005,SMALL(IF(checklistPesertaKemenkeu!$AY$6:$AY$1005="Direkomendasikan",ROW($6:$1005)-5),406)))=1),IFERROR(VLOOKUP(INDEX(checklistPesertaKemenkeu!$P$6:$P$1005,SMALL(IF(checklistPesertaKemenkeu!$AY$6:$AY$1005="Direkomendasikan",ROW($6:$1005)-5),406)),KotaKode,2,0),"-"),"")),"")</f>
        <v/>
      </c>
    </row>
    <row r="408" spans="1:12" ht="15" customHeight="1" x14ac:dyDescent="0.2">
      <c r="A408" t="str">
        <f t="shared" si="6"/>
        <v/>
      </c>
      <c r="B408" t="str">
        <v/>
      </c>
      <c r="C408" s="40" t="str">
        <f t="array" ref="C408">IFERROR(INDEX(checklistPesertaKemenkeu!$F$6:$F$1005,SMALL(IF(checklistPesertaKemenkeu!$AY$6:$AY$1005="Direkomendasikan",ROW($6:$1005)-5),407)),"")</f>
        <v/>
      </c>
      <c r="D408" t="str">
        <f t="array" ref="D408">IFERROR(INDEX(checklistPesertaKemenkeu!$G$6:$G$1005,SMALL(IF(checklistPesertaKemenkeu!$AY$6:$AY$1005="Direkomendasikan",ROW($6:$1005)-5),407)),"")</f>
        <v/>
      </c>
      <c r="E408" t="str">
        <f t="array" ref="E408">IFERROR(INDEX(checklistPesertaKemenkeu!$H$6:$H$1005,SMALL(IF(checklistPesertaKemenkeu!$AY$6:$AY$1005="Direkomendasikan",ROW($6:$1005)-5),407)),"")</f>
        <v/>
      </c>
      <c r="F408" t="str">
        <f t="array" ref="F408">IFERROR(INDEX(checklistPesertaKemenkeu!$I$6:$I$1005,SMALL(IF(checklistPesertaKemenkeu!$AY$6:$AY$1005="Direkomendasikan",ROW($6:$1005)-5),407)),"")</f>
        <v/>
      </c>
      <c r="G408" t="str">
        <f t="array" ref="G408">IFERROR(INDEX(checklistPesertaKemenkeu!$J$6:$J$1005,SMALL(IF(checklistPesertaKemenkeu!$AY$6:$AY$1005="Direkomendasikan",ROW($6:$1005)-5),407)),"")</f>
        <v/>
      </c>
      <c r="H408" t="str">
        <f t="array" aca="1" ref="H408" ca="1">IFERROR(IF(OR(INDEX(checklistPesertaKemenkeu!$L$6:$L$1005,SMALL(IF(checklistPesertaKemenkeu!$AY$6:$AY$1005="Direkomendasikan",ROW($6:$1005)-5),407))="",INDEX(checklistPesertaKemenkeu!$J$6:$J$1005,SMALL(IF(checklistPesertaKemenkeu!$AY$6:$AY$1005="Direkomendasikan",ROW($6:$1005)-5),407))=""),"",IF(AND(COUNTIF(INDIRECT("K_"&amp;MATCH(INDEX(checklistPesertaKemenkeu!$J$6:$J$1005,SMALL(IF(checklistPesertaKemenkeu!$AY$6:$AY$1005="Direkomendasikan",ROW($6:$1005)-5),407)),BidangList,0)),INDEX(checklistPesertaKemenkeu!$L$6:$L$1005,SMALL(IF(checklistPesertaKemenkeu!$AY$6:$AY$1005="Direkomendasikan",ROW($6:$1005)-5),407)))&gt;0,COUNTIF(INDIRECT("'KERTAS KERJA'!K"&amp;(SMALL(IF(checklistPesertaKemenkeu!$AY$6:$AY$1005="Direkomendasikan",ROW($6:$1005)-5),407)+5)&amp;":O"&amp;(SMALL(IF(checklistPesertaKemenkeu!$AY$6:$AY$1005="Direkomendasikan",ROW($6:$1005)-5),407)+5)),INDEX(checklistPesertaKemenkeu!$L$6:$L$1005,SMALL(IF(checklistPesertaKemenkeu!$AY$6:$AY$1005="Direkomendasikan",ROW($6:$1005)-5),407)))=1),IFERROR(VLOOKUP(INDEX(checklistPesertaKemenkeu!$L$6:$L$1005,SMALL(IF(checklistPesertaKemenkeu!$AY$6:$AY$1005="Direkomendasikan",ROW($6:$1005)-5),407)),KotaKode,2,0),"-"),"")),"")</f>
        <v/>
      </c>
      <c r="I408" t="str">
        <f t="array" aca="1" ref="I408" ca="1">IFERROR(IF(OR(INDEX(checklistPesertaKemenkeu!$M$6:$M$1005,SMALL(IF(checklistPesertaKemenkeu!$AY$6:$AY$1005="Direkomendasikan",ROW($6:$1005)-5),407))="",INDEX(checklistPesertaKemenkeu!$J$6:$J$1005,SMALL(IF(checklistPesertaKemenkeu!$AY$6:$AY$1005="Direkomendasikan",ROW($6:$1005)-5),407))=""),"",IF(AND(COUNTIF(INDIRECT("K_"&amp;MATCH(INDEX(checklistPesertaKemenkeu!$J$6:$J$1005,SMALL(IF(checklistPesertaKemenkeu!$AY$6:$AY$1005="Direkomendasikan",ROW($6:$1005)-5),407)),BidangList,0)),INDEX(checklistPesertaKemenkeu!$M$6:$M$1005,SMALL(IF(checklistPesertaKemenkeu!$AY$6:$AY$1005="Direkomendasikan",ROW($6:$1005)-5),407)))&gt;0,COUNTIF(INDIRECT("'KERTAS KERJA'!K"&amp;(SMALL(IF(checklistPesertaKemenkeu!$AY$6:$AY$1005="Direkomendasikan",ROW($6:$1005)-5),407)+5)&amp;":O"&amp;(SMALL(IF(checklistPesertaKemenkeu!$AY$6:$AY$1005="Direkomendasikan",ROW($6:$1005)-5),407)+5)),INDEX(checklistPesertaKemenkeu!$M$6:$M$1005,SMALL(IF(checklistPesertaKemenkeu!$AY$6:$AY$1005="Direkomendasikan",ROW($6:$1005)-5),407)))=1),IFERROR(VLOOKUP(INDEX(checklistPesertaKemenkeu!$M$6:$M$1005,SMALL(IF(checklistPesertaKemenkeu!$AY$6:$AY$1005="Direkomendasikan",ROW($6:$1005)-5),407)),KotaKode,2,0),"-"),"")),"")</f>
        <v/>
      </c>
      <c r="J408" t="str">
        <f t="array" aca="1" ref="J408" ca="1">IFERROR(IF(OR(INDEX(checklistPesertaKemenkeu!$N$6:$N$1005,SMALL(IF(checklistPesertaKemenkeu!$AY$6:$AY$1005="Direkomendasikan",ROW($6:$1005)-5),407))="",INDEX(checklistPesertaKemenkeu!$J$6:$J$1005,SMALL(IF(checklistPesertaKemenkeu!$AY$6:$AY$1005="Direkomendasikan",ROW($6:$1005)-5),407))=""),"",IF(AND(COUNTIF(INDIRECT("K_"&amp;MATCH(INDEX(checklistPesertaKemenkeu!$J$6:$J$1005,SMALL(IF(checklistPesertaKemenkeu!$AY$6:$AY$1005="Direkomendasikan",ROW($6:$1005)-5),407)),BidangList,0)),INDEX(checklistPesertaKemenkeu!$N$6:$N$1005,SMALL(IF(checklistPesertaKemenkeu!$AY$6:$AY$1005="Direkomendasikan",ROW($6:$1005)-5),407)))&gt;0,COUNTIF(INDIRECT("'KERTAS KERJA'!K"&amp;(SMALL(IF(checklistPesertaKemenkeu!$AY$6:$AY$1005="Direkomendasikan",ROW($6:$1005)-5),407)+5)&amp;":O"&amp;(SMALL(IF(checklistPesertaKemenkeu!$AY$6:$AY$1005="Direkomendasikan",ROW($6:$1005)-5),407)+5)),INDEX(checklistPesertaKemenkeu!$N$6:$N$1005,SMALL(IF(checklistPesertaKemenkeu!$AY$6:$AY$1005="Direkomendasikan",ROW($6:$1005)-5),407)))=1),IFERROR(VLOOKUP(INDEX(checklistPesertaKemenkeu!$N$6:$N$1005,SMALL(IF(checklistPesertaKemenkeu!$AY$6:$AY$1005="Direkomendasikan",ROW($6:$1005)-5),407)),KotaKode,2,0),"-"),"")),"")</f>
        <v/>
      </c>
      <c r="K408" t="str">
        <f t="array" aca="1" ref="K408" ca="1">IFERROR(IF(OR(INDEX(checklistPesertaKemenkeu!$O$6:$O$1005,SMALL(IF(checklistPesertaKemenkeu!$AY$6:$AY$1005="Direkomendasikan",ROW($6:$1005)-5),407))="",INDEX(checklistPesertaKemenkeu!$J$6:$J$1005,SMALL(IF(checklistPesertaKemenkeu!$AY$6:$AY$1005="Direkomendasikan",ROW($6:$1005)-5),407))=""),"",IF(AND(COUNTIF(INDIRECT("K_"&amp;MATCH(INDEX(checklistPesertaKemenkeu!$J$6:$J$1005,SMALL(IF(checklistPesertaKemenkeu!$AY$6:$AY$1005="Direkomendasikan",ROW($6:$1005)-5),407)),BidangList,0)),INDEX(checklistPesertaKemenkeu!$O$6:$O$1005,SMALL(IF(checklistPesertaKemenkeu!$AY$6:$AY$1005="Direkomendasikan",ROW($6:$1005)-5),407)))&gt;0,COUNTIF(INDIRECT("'KERTAS KERJA'!K"&amp;(SMALL(IF(checklistPesertaKemenkeu!$AY$6:$AY$1005="Direkomendasikan",ROW($6:$1005)-5),407)+5)&amp;":O"&amp;(SMALL(IF(checklistPesertaKemenkeu!$AY$6:$AY$1005="Direkomendasikan",ROW($6:$1005)-5),407)+5)),INDEX(checklistPesertaKemenkeu!$O$6:$O$1005,SMALL(IF(checklistPesertaKemenkeu!$AY$6:$AY$1005="Direkomendasikan",ROW($6:$1005)-5),407)))=1),IFERROR(VLOOKUP(INDEX(checklistPesertaKemenkeu!$O$6:$O$1005,SMALL(IF(checklistPesertaKemenkeu!$AY$6:$AY$1005="Direkomendasikan",ROW($6:$1005)-5),407)),KotaKode,2,0),"-"),"")),"")</f>
        <v/>
      </c>
      <c r="L408" t="str">
        <f t="array" aca="1" ref="L408" ca="1">IFERROR(IF(OR(INDEX(checklistPesertaKemenkeu!$P$6:$P$1005,SMALL(IF(checklistPesertaKemenkeu!$AY$6:$AY$1005="Direkomendasikan",ROW($6:$1005)-5),407))="",INDEX(checklistPesertaKemenkeu!$J$6:$J$1005,SMALL(IF(checklistPesertaKemenkeu!$AY$6:$AY$1005="Direkomendasikan",ROW($6:$1005)-5),407))=""),"",IF(AND(COUNTIF(INDIRECT("K_"&amp;MATCH(INDEX(checklistPesertaKemenkeu!$J$6:$J$1005,SMALL(IF(checklistPesertaKemenkeu!$AY$6:$AY$1005="Direkomendasikan",ROW($6:$1005)-5),407)),BidangList,0)),INDEX(checklistPesertaKemenkeu!$P$6:$P$1005,SMALL(IF(checklistPesertaKemenkeu!$AY$6:$AY$1005="Direkomendasikan",ROW($6:$1005)-5),407)))&gt;0,COUNTIF(INDIRECT("'KERTAS KERJA'!K"&amp;(SMALL(IF(checklistPesertaKemenkeu!$AY$6:$AY$1005="Direkomendasikan",ROW($6:$1005)-5),407)+5)&amp;":O"&amp;(SMALL(IF(checklistPesertaKemenkeu!$AY$6:$AY$1005="Direkomendasikan",ROW($6:$1005)-5),407)+5)),INDEX(checklistPesertaKemenkeu!$P$6:$P$1005,SMALL(IF(checklistPesertaKemenkeu!$AY$6:$AY$1005="Direkomendasikan",ROW($6:$1005)-5),407)))=1),IFERROR(VLOOKUP(INDEX(checklistPesertaKemenkeu!$P$6:$P$1005,SMALL(IF(checklistPesertaKemenkeu!$AY$6:$AY$1005="Direkomendasikan",ROW($6:$1005)-5),407)),KotaKode,2,0),"-"),"")),"")</f>
        <v/>
      </c>
    </row>
    <row r="409" spans="1:12" ht="15" customHeight="1" x14ac:dyDescent="0.2">
      <c r="A409" t="str">
        <f t="shared" si="6"/>
        <v/>
      </c>
      <c r="B409" t="str">
        <v/>
      </c>
      <c r="C409" s="40" t="str">
        <f t="array" ref="C409">IFERROR(INDEX(checklistPesertaKemenkeu!$F$6:$F$1005,SMALL(IF(checklistPesertaKemenkeu!$AY$6:$AY$1005="Direkomendasikan",ROW($6:$1005)-5),408)),"")</f>
        <v/>
      </c>
      <c r="D409" t="str">
        <f t="array" ref="D409">IFERROR(INDEX(checklistPesertaKemenkeu!$G$6:$G$1005,SMALL(IF(checklistPesertaKemenkeu!$AY$6:$AY$1005="Direkomendasikan",ROW($6:$1005)-5),408)),"")</f>
        <v/>
      </c>
      <c r="E409" t="str">
        <f t="array" ref="E409">IFERROR(INDEX(checklistPesertaKemenkeu!$H$6:$H$1005,SMALL(IF(checklistPesertaKemenkeu!$AY$6:$AY$1005="Direkomendasikan",ROW($6:$1005)-5),408)),"")</f>
        <v/>
      </c>
      <c r="F409" t="str">
        <f t="array" ref="F409">IFERROR(INDEX(checklistPesertaKemenkeu!$I$6:$I$1005,SMALL(IF(checklistPesertaKemenkeu!$AY$6:$AY$1005="Direkomendasikan",ROW($6:$1005)-5),408)),"")</f>
        <v/>
      </c>
      <c r="G409" t="str">
        <f t="array" ref="G409">IFERROR(INDEX(checklistPesertaKemenkeu!$J$6:$J$1005,SMALL(IF(checklistPesertaKemenkeu!$AY$6:$AY$1005="Direkomendasikan",ROW($6:$1005)-5),408)),"")</f>
        <v/>
      </c>
      <c r="H409" t="str">
        <f t="array" aca="1" ref="H409" ca="1">IFERROR(IF(OR(INDEX(checklistPesertaKemenkeu!$L$6:$L$1005,SMALL(IF(checklistPesertaKemenkeu!$AY$6:$AY$1005="Direkomendasikan",ROW($6:$1005)-5),408))="",INDEX(checklistPesertaKemenkeu!$J$6:$J$1005,SMALL(IF(checklistPesertaKemenkeu!$AY$6:$AY$1005="Direkomendasikan",ROW($6:$1005)-5),408))=""),"",IF(AND(COUNTIF(INDIRECT("K_"&amp;MATCH(INDEX(checklistPesertaKemenkeu!$J$6:$J$1005,SMALL(IF(checklistPesertaKemenkeu!$AY$6:$AY$1005="Direkomendasikan",ROW($6:$1005)-5),408)),BidangList,0)),INDEX(checklistPesertaKemenkeu!$L$6:$L$1005,SMALL(IF(checklistPesertaKemenkeu!$AY$6:$AY$1005="Direkomendasikan",ROW($6:$1005)-5),408)))&gt;0,COUNTIF(INDIRECT("'KERTAS KERJA'!K"&amp;(SMALL(IF(checklistPesertaKemenkeu!$AY$6:$AY$1005="Direkomendasikan",ROW($6:$1005)-5),408)+5)&amp;":O"&amp;(SMALL(IF(checklistPesertaKemenkeu!$AY$6:$AY$1005="Direkomendasikan",ROW($6:$1005)-5),408)+5)),INDEX(checklistPesertaKemenkeu!$L$6:$L$1005,SMALL(IF(checklistPesertaKemenkeu!$AY$6:$AY$1005="Direkomendasikan",ROW($6:$1005)-5),408)))=1),IFERROR(VLOOKUP(INDEX(checklistPesertaKemenkeu!$L$6:$L$1005,SMALL(IF(checklistPesertaKemenkeu!$AY$6:$AY$1005="Direkomendasikan",ROW($6:$1005)-5),408)),KotaKode,2,0),"-"),"")),"")</f>
        <v/>
      </c>
      <c r="I409" t="str">
        <f t="array" aca="1" ref="I409" ca="1">IFERROR(IF(OR(INDEX(checklistPesertaKemenkeu!$M$6:$M$1005,SMALL(IF(checklistPesertaKemenkeu!$AY$6:$AY$1005="Direkomendasikan",ROW($6:$1005)-5),408))="",INDEX(checklistPesertaKemenkeu!$J$6:$J$1005,SMALL(IF(checklistPesertaKemenkeu!$AY$6:$AY$1005="Direkomendasikan",ROW($6:$1005)-5),408))=""),"",IF(AND(COUNTIF(INDIRECT("K_"&amp;MATCH(INDEX(checklistPesertaKemenkeu!$J$6:$J$1005,SMALL(IF(checklistPesertaKemenkeu!$AY$6:$AY$1005="Direkomendasikan",ROW($6:$1005)-5),408)),BidangList,0)),INDEX(checklistPesertaKemenkeu!$M$6:$M$1005,SMALL(IF(checklistPesertaKemenkeu!$AY$6:$AY$1005="Direkomendasikan",ROW($6:$1005)-5),408)))&gt;0,COUNTIF(INDIRECT("'KERTAS KERJA'!K"&amp;(SMALL(IF(checklistPesertaKemenkeu!$AY$6:$AY$1005="Direkomendasikan",ROW($6:$1005)-5),408)+5)&amp;":O"&amp;(SMALL(IF(checklistPesertaKemenkeu!$AY$6:$AY$1005="Direkomendasikan",ROW($6:$1005)-5),408)+5)),INDEX(checklistPesertaKemenkeu!$M$6:$M$1005,SMALL(IF(checklistPesertaKemenkeu!$AY$6:$AY$1005="Direkomendasikan",ROW($6:$1005)-5),408)))=1),IFERROR(VLOOKUP(INDEX(checklistPesertaKemenkeu!$M$6:$M$1005,SMALL(IF(checklistPesertaKemenkeu!$AY$6:$AY$1005="Direkomendasikan",ROW($6:$1005)-5),408)),KotaKode,2,0),"-"),"")),"")</f>
        <v/>
      </c>
      <c r="J409" t="str">
        <f t="array" aca="1" ref="J409" ca="1">IFERROR(IF(OR(INDEX(checklistPesertaKemenkeu!$N$6:$N$1005,SMALL(IF(checklistPesertaKemenkeu!$AY$6:$AY$1005="Direkomendasikan",ROW($6:$1005)-5),408))="",INDEX(checklistPesertaKemenkeu!$J$6:$J$1005,SMALL(IF(checklistPesertaKemenkeu!$AY$6:$AY$1005="Direkomendasikan",ROW($6:$1005)-5),408))=""),"",IF(AND(COUNTIF(INDIRECT("K_"&amp;MATCH(INDEX(checklistPesertaKemenkeu!$J$6:$J$1005,SMALL(IF(checklistPesertaKemenkeu!$AY$6:$AY$1005="Direkomendasikan",ROW($6:$1005)-5),408)),BidangList,0)),INDEX(checklistPesertaKemenkeu!$N$6:$N$1005,SMALL(IF(checklistPesertaKemenkeu!$AY$6:$AY$1005="Direkomendasikan",ROW($6:$1005)-5),408)))&gt;0,COUNTIF(INDIRECT("'KERTAS KERJA'!K"&amp;(SMALL(IF(checklistPesertaKemenkeu!$AY$6:$AY$1005="Direkomendasikan",ROW($6:$1005)-5),408)+5)&amp;":O"&amp;(SMALL(IF(checklistPesertaKemenkeu!$AY$6:$AY$1005="Direkomendasikan",ROW($6:$1005)-5),408)+5)),INDEX(checklistPesertaKemenkeu!$N$6:$N$1005,SMALL(IF(checklistPesertaKemenkeu!$AY$6:$AY$1005="Direkomendasikan",ROW($6:$1005)-5),408)))=1),IFERROR(VLOOKUP(INDEX(checklistPesertaKemenkeu!$N$6:$N$1005,SMALL(IF(checklistPesertaKemenkeu!$AY$6:$AY$1005="Direkomendasikan",ROW($6:$1005)-5),408)),KotaKode,2,0),"-"),"")),"")</f>
        <v/>
      </c>
      <c r="K409" t="str">
        <f t="array" aca="1" ref="K409" ca="1">IFERROR(IF(OR(INDEX(checklistPesertaKemenkeu!$O$6:$O$1005,SMALL(IF(checklistPesertaKemenkeu!$AY$6:$AY$1005="Direkomendasikan",ROW($6:$1005)-5),408))="",INDEX(checklistPesertaKemenkeu!$J$6:$J$1005,SMALL(IF(checklistPesertaKemenkeu!$AY$6:$AY$1005="Direkomendasikan",ROW($6:$1005)-5),408))=""),"",IF(AND(COUNTIF(INDIRECT("K_"&amp;MATCH(INDEX(checklistPesertaKemenkeu!$J$6:$J$1005,SMALL(IF(checklistPesertaKemenkeu!$AY$6:$AY$1005="Direkomendasikan",ROW($6:$1005)-5),408)),BidangList,0)),INDEX(checklistPesertaKemenkeu!$O$6:$O$1005,SMALL(IF(checklistPesertaKemenkeu!$AY$6:$AY$1005="Direkomendasikan",ROW($6:$1005)-5),408)))&gt;0,COUNTIF(INDIRECT("'KERTAS KERJA'!K"&amp;(SMALL(IF(checklistPesertaKemenkeu!$AY$6:$AY$1005="Direkomendasikan",ROW($6:$1005)-5),408)+5)&amp;":O"&amp;(SMALL(IF(checklistPesertaKemenkeu!$AY$6:$AY$1005="Direkomendasikan",ROW($6:$1005)-5),408)+5)),INDEX(checklistPesertaKemenkeu!$O$6:$O$1005,SMALL(IF(checklistPesertaKemenkeu!$AY$6:$AY$1005="Direkomendasikan",ROW($6:$1005)-5),408)))=1),IFERROR(VLOOKUP(INDEX(checklistPesertaKemenkeu!$O$6:$O$1005,SMALL(IF(checklistPesertaKemenkeu!$AY$6:$AY$1005="Direkomendasikan",ROW($6:$1005)-5),408)),KotaKode,2,0),"-"),"")),"")</f>
        <v/>
      </c>
      <c r="L409" t="str">
        <f t="array" aca="1" ref="L409" ca="1">IFERROR(IF(OR(INDEX(checklistPesertaKemenkeu!$P$6:$P$1005,SMALL(IF(checklistPesertaKemenkeu!$AY$6:$AY$1005="Direkomendasikan",ROW($6:$1005)-5),408))="",INDEX(checklistPesertaKemenkeu!$J$6:$J$1005,SMALL(IF(checklistPesertaKemenkeu!$AY$6:$AY$1005="Direkomendasikan",ROW($6:$1005)-5),408))=""),"",IF(AND(COUNTIF(INDIRECT("K_"&amp;MATCH(INDEX(checklistPesertaKemenkeu!$J$6:$J$1005,SMALL(IF(checklistPesertaKemenkeu!$AY$6:$AY$1005="Direkomendasikan",ROW($6:$1005)-5),408)),BidangList,0)),INDEX(checklistPesertaKemenkeu!$P$6:$P$1005,SMALL(IF(checklistPesertaKemenkeu!$AY$6:$AY$1005="Direkomendasikan",ROW($6:$1005)-5),408)))&gt;0,COUNTIF(INDIRECT("'KERTAS KERJA'!K"&amp;(SMALL(IF(checklistPesertaKemenkeu!$AY$6:$AY$1005="Direkomendasikan",ROW($6:$1005)-5),408)+5)&amp;":O"&amp;(SMALL(IF(checklistPesertaKemenkeu!$AY$6:$AY$1005="Direkomendasikan",ROW($6:$1005)-5),408)+5)),INDEX(checklistPesertaKemenkeu!$P$6:$P$1005,SMALL(IF(checklistPesertaKemenkeu!$AY$6:$AY$1005="Direkomendasikan",ROW($6:$1005)-5),408)))=1),IFERROR(VLOOKUP(INDEX(checklistPesertaKemenkeu!$P$6:$P$1005,SMALL(IF(checklistPesertaKemenkeu!$AY$6:$AY$1005="Direkomendasikan",ROW($6:$1005)-5),408)),KotaKode,2,0),"-"),"")),"")</f>
        <v/>
      </c>
    </row>
    <row r="410" spans="1:12" ht="15" customHeight="1" x14ac:dyDescent="0.2">
      <c r="A410" t="str">
        <f t="shared" si="6"/>
        <v/>
      </c>
      <c r="B410" t="str">
        <v/>
      </c>
      <c r="C410" s="40" t="str">
        <f t="array" ref="C410">IFERROR(INDEX(checklistPesertaKemenkeu!$F$6:$F$1005,SMALL(IF(checklistPesertaKemenkeu!$AY$6:$AY$1005="Direkomendasikan",ROW($6:$1005)-5),409)),"")</f>
        <v/>
      </c>
      <c r="D410" t="str">
        <f t="array" ref="D410">IFERROR(INDEX(checklistPesertaKemenkeu!$G$6:$G$1005,SMALL(IF(checklistPesertaKemenkeu!$AY$6:$AY$1005="Direkomendasikan",ROW($6:$1005)-5),409)),"")</f>
        <v/>
      </c>
      <c r="E410" t="str">
        <f t="array" ref="E410">IFERROR(INDEX(checklistPesertaKemenkeu!$H$6:$H$1005,SMALL(IF(checklistPesertaKemenkeu!$AY$6:$AY$1005="Direkomendasikan",ROW($6:$1005)-5),409)),"")</f>
        <v/>
      </c>
      <c r="F410" t="str">
        <f t="array" ref="F410">IFERROR(INDEX(checklistPesertaKemenkeu!$I$6:$I$1005,SMALL(IF(checklistPesertaKemenkeu!$AY$6:$AY$1005="Direkomendasikan",ROW($6:$1005)-5),409)),"")</f>
        <v/>
      </c>
      <c r="G410" t="str">
        <f t="array" ref="G410">IFERROR(INDEX(checklistPesertaKemenkeu!$J$6:$J$1005,SMALL(IF(checklistPesertaKemenkeu!$AY$6:$AY$1005="Direkomendasikan",ROW($6:$1005)-5),409)),"")</f>
        <v/>
      </c>
      <c r="H410" t="str">
        <f t="array" aca="1" ref="H410" ca="1">IFERROR(IF(OR(INDEX(checklistPesertaKemenkeu!$L$6:$L$1005,SMALL(IF(checklistPesertaKemenkeu!$AY$6:$AY$1005="Direkomendasikan",ROW($6:$1005)-5),409))="",INDEX(checklistPesertaKemenkeu!$J$6:$J$1005,SMALL(IF(checklistPesertaKemenkeu!$AY$6:$AY$1005="Direkomendasikan",ROW($6:$1005)-5),409))=""),"",IF(AND(COUNTIF(INDIRECT("K_"&amp;MATCH(INDEX(checklistPesertaKemenkeu!$J$6:$J$1005,SMALL(IF(checklistPesertaKemenkeu!$AY$6:$AY$1005="Direkomendasikan",ROW($6:$1005)-5),409)),BidangList,0)),INDEX(checklistPesertaKemenkeu!$L$6:$L$1005,SMALL(IF(checklistPesertaKemenkeu!$AY$6:$AY$1005="Direkomendasikan",ROW($6:$1005)-5),409)))&gt;0,COUNTIF(INDIRECT("'KERTAS KERJA'!K"&amp;(SMALL(IF(checklistPesertaKemenkeu!$AY$6:$AY$1005="Direkomendasikan",ROW($6:$1005)-5),409)+5)&amp;":O"&amp;(SMALL(IF(checklistPesertaKemenkeu!$AY$6:$AY$1005="Direkomendasikan",ROW($6:$1005)-5),409)+5)),INDEX(checklistPesertaKemenkeu!$L$6:$L$1005,SMALL(IF(checklistPesertaKemenkeu!$AY$6:$AY$1005="Direkomendasikan",ROW($6:$1005)-5),409)))=1),IFERROR(VLOOKUP(INDEX(checklistPesertaKemenkeu!$L$6:$L$1005,SMALL(IF(checklistPesertaKemenkeu!$AY$6:$AY$1005="Direkomendasikan",ROW($6:$1005)-5),409)),KotaKode,2,0),"-"),"")),"")</f>
        <v/>
      </c>
      <c r="I410" t="str">
        <f t="array" aca="1" ref="I410" ca="1">IFERROR(IF(OR(INDEX(checklistPesertaKemenkeu!$M$6:$M$1005,SMALL(IF(checklistPesertaKemenkeu!$AY$6:$AY$1005="Direkomendasikan",ROW($6:$1005)-5),409))="",INDEX(checklistPesertaKemenkeu!$J$6:$J$1005,SMALL(IF(checklistPesertaKemenkeu!$AY$6:$AY$1005="Direkomendasikan",ROW($6:$1005)-5),409))=""),"",IF(AND(COUNTIF(INDIRECT("K_"&amp;MATCH(INDEX(checklistPesertaKemenkeu!$J$6:$J$1005,SMALL(IF(checklistPesertaKemenkeu!$AY$6:$AY$1005="Direkomendasikan",ROW($6:$1005)-5),409)),BidangList,0)),INDEX(checklistPesertaKemenkeu!$M$6:$M$1005,SMALL(IF(checklistPesertaKemenkeu!$AY$6:$AY$1005="Direkomendasikan",ROW($6:$1005)-5),409)))&gt;0,COUNTIF(INDIRECT("'KERTAS KERJA'!K"&amp;(SMALL(IF(checklistPesertaKemenkeu!$AY$6:$AY$1005="Direkomendasikan",ROW($6:$1005)-5),409)+5)&amp;":O"&amp;(SMALL(IF(checklistPesertaKemenkeu!$AY$6:$AY$1005="Direkomendasikan",ROW($6:$1005)-5),409)+5)),INDEX(checklistPesertaKemenkeu!$M$6:$M$1005,SMALL(IF(checklistPesertaKemenkeu!$AY$6:$AY$1005="Direkomendasikan",ROW($6:$1005)-5),409)))=1),IFERROR(VLOOKUP(INDEX(checklistPesertaKemenkeu!$M$6:$M$1005,SMALL(IF(checklistPesertaKemenkeu!$AY$6:$AY$1005="Direkomendasikan",ROW($6:$1005)-5),409)),KotaKode,2,0),"-"),"")),"")</f>
        <v/>
      </c>
      <c r="J410" t="str">
        <f t="array" aca="1" ref="J410" ca="1">IFERROR(IF(OR(INDEX(checklistPesertaKemenkeu!$N$6:$N$1005,SMALL(IF(checklistPesertaKemenkeu!$AY$6:$AY$1005="Direkomendasikan",ROW($6:$1005)-5),409))="",INDEX(checklistPesertaKemenkeu!$J$6:$J$1005,SMALL(IF(checklistPesertaKemenkeu!$AY$6:$AY$1005="Direkomendasikan",ROW($6:$1005)-5),409))=""),"",IF(AND(COUNTIF(INDIRECT("K_"&amp;MATCH(INDEX(checklistPesertaKemenkeu!$J$6:$J$1005,SMALL(IF(checklistPesertaKemenkeu!$AY$6:$AY$1005="Direkomendasikan",ROW($6:$1005)-5),409)),BidangList,0)),INDEX(checklistPesertaKemenkeu!$N$6:$N$1005,SMALL(IF(checklistPesertaKemenkeu!$AY$6:$AY$1005="Direkomendasikan",ROW($6:$1005)-5),409)))&gt;0,COUNTIF(INDIRECT("'KERTAS KERJA'!K"&amp;(SMALL(IF(checklistPesertaKemenkeu!$AY$6:$AY$1005="Direkomendasikan",ROW($6:$1005)-5),409)+5)&amp;":O"&amp;(SMALL(IF(checklistPesertaKemenkeu!$AY$6:$AY$1005="Direkomendasikan",ROW($6:$1005)-5),409)+5)),INDEX(checklistPesertaKemenkeu!$N$6:$N$1005,SMALL(IF(checklistPesertaKemenkeu!$AY$6:$AY$1005="Direkomendasikan",ROW($6:$1005)-5),409)))=1),IFERROR(VLOOKUP(INDEX(checklistPesertaKemenkeu!$N$6:$N$1005,SMALL(IF(checklistPesertaKemenkeu!$AY$6:$AY$1005="Direkomendasikan",ROW($6:$1005)-5),409)),KotaKode,2,0),"-"),"")),"")</f>
        <v/>
      </c>
      <c r="K410" t="str">
        <f t="array" aca="1" ref="K410" ca="1">IFERROR(IF(OR(INDEX(checklistPesertaKemenkeu!$O$6:$O$1005,SMALL(IF(checklistPesertaKemenkeu!$AY$6:$AY$1005="Direkomendasikan",ROW($6:$1005)-5),409))="",INDEX(checklistPesertaKemenkeu!$J$6:$J$1005,SMALL(IF(checklistPesertaKemenkeu!$AY$6:$AY$1005="Direkomendasikan",ROW($6:$1005)-5),409))=""),"",IF(AND(COUNTIF(INDIRECT("K_"&amp;MATCH(INDEX(checklistPesertaKemenkeu!$J$6:$J$1005,SMALL(IF(checklistPesertaKemenkeu!$AY$6:$AY$1005="Direkomendasikan",ROW($6:$1005)-5),409)),BidangList,0)),INDEX(checklistPesertaKemenkeu!$O$6:$O$1005,SMALL(IF(checklistPesertaKemenkeu!$AY$6:$AY$1005="Direkomendasikan",ROW($6:$1005)-5),409)))&gt;0,COUNTIF(INDIRECT("'KERTAS KERJA'!K"&amp;(SMALL(IF(checklistPesertaKemenkeu!$AY$6:$AY$1005="Direkomendasikan",ROW($6:$1005)-5),409)+5)&amp;":O"&amp;(SMALL(IF(checklistPesertaKemenkeu!$AY$6:$AY$1005="Direkomendasikan",ROW($6:$1005)-5),409)+5)),INDEX(checklistPesertaKemenkeu!$O$6:$O$1005,SMALL(IF(checklistPesertaKemenkeu!$AY$6:$AY$1005="Direkomendasikan",ROW($6:$1005)-5),409)))=1),IFERROR(VLOOKUP(INDEX(checklistPesertaKemenkeu!$O$6:$O$1005,SMALL(IF(checklistPesertaKemenkeu!$AY$6:$AY$1005="Direkomendasikan",ROW($6:$1005)-5),409)),KotaKode,2,0),"-"),"")),"")</f>
        <v/>
      </c>
      <c r="L410" t="str">
        <f t="array" aca="1" ref="L410" ca="1">IFERROR(IF(OR(INDEX(checklistPesertaKemenkeu!$P$6:$P$1005,SMALL(IF(checklistPesertaKemenkeu!$AY$6:$AY$1005="Direkomendasikan",ROW($6:$1005)-5),409))="",INDEX(checklistPesertaKemenkeu!$J$6:$J$1005,SMALL(IF(checklistPesertaKemenkeu!$AY$6:$AY$1005="Direkomendasikan",ROW($6:$1005)-5),409))=""),"",IF(AND(COUNTIF(INDIRECT("K_"&amp;MATCH(INDEX(checklistPesertaKemenkeu!$J$6:$J$1005,SMALL(IF(checklistPesertaKemenkeu!$AY$6:$AY$1005="Direkomendasikan",ROW($6:$1005)-5),409)),BidangList,0)),INDEX(checklistPesertaKemenkeu!$P$6:$P$1005,SMALL(IF(checklistPesertaKemenkeu!$AY$6:$AY$1005="Direkomendasikan",ROW($6:$1005)-5),409)))&gt;0,COUNTIF(INDIRECT("'KERTAS KERJA'!K"&amp;(SMALL(IF(checklistPesertaKemenkeu!$AY$6:$AY$1005="Direkomendasikan",ROW($6:$1005)-5),409)+5)&amp;":O"&amp;(SMALL(IF(checklistPesertaKemenkeu!$AY$6:$AY$1005="Direkomendasikan",ROW($6:$1005)-5),409)+5)),INDEX(checklistPesertaKemenkeu!$P$6:$P$1005,SMALL(IF(checklistPesertaKemenkeu!$AY$6:$AY$1005="Direkomendasikan",ROW($6:$1005)-5),409)))=1),IFERROR(VLOOKUP(INDEX(checklistPesertaKemenkeu!$P$6:$P$1005,SMALL(IF(checklistPesertaKemenkeu!$AY$6:$AY$1005="Direkomendasikan",ROW($6:$1005)-5),409)),KotaKode,2,0),"-"),"")),"")</f>
        <v/>
      </c>
    </row>
    <row r="411" spans="1:12" ht="15" customHeight="1" x14ac:dyDescent="0.2">
      <c r="A411" t="str">
        <f t="shared" si="6"/>
        <v/>
      </c>
      <c r="B411" t="str">
        <v/>
      </c>
      <c r="C411" s="40" t="str">
        <f t="array" ref="C411">IFERROR(INDEX(checklistPesertaKemenkeu!$F$6:$F$1005,SMALL(IF(checklistPesertaKemenkeu!$AY$6:$AY$1005="Direkomendasikan",ROW($6:$1005)-5),410)),"")</f>
        <v/>
      </c>
      <c r="D411" t="str">
        <f t="array" ref="D411">IFERROR(INDEX(checklistPesertaKemenkeu!$G$6:$G$1005,SMALL(IF(checklistPesertaKemenkeu!$AY$6:$AY$1005="Direkomendasikan",ROW($6:$1005)-5),410)),"")</f>
        <v/>
      </c>
      <c r="E411" t="str">
        <f t="array" ref="E411">IFERROR(INDEX(checklistPesertaKemenkeu!$H$6:$H$1005,SMALL(IF(checklistPesertaKemenkeu!$AY$6:$AY$1005="Direkomendasikan",ROW($6:$1005)-5),410)),"")</f>
        <v/>
      </c>
      <c r="F411" t="str">
        <f t="array" ref="F411">IFERROR(INDEX(checklistPesertaKemenkeu!$I$6:$I$1005,SMALL(IF(checklistPesertaKemenkeu!$AY$6:$AY$1005="Direkomendasikan",ROW($6:$1005)-5),410)),"")</f>
        <v/>
      </c>
      <c r="G411" t="str">
        <f t="array" ref="G411">IFERROR(INDEX(checklistPesertaKemenkeu!$J$6:$J$1005,SMALL(IF(checklistPesertaKemenkeu!$AY$6:$AY$1005="Direkomendasikan",ROW($6:$1005)-5),410)),"")</f>
        <v/>
      </c>
      <c r="H411" t="str">
        <f t="array" aca="1" ref="H411" ca="1">IFERROR(IF(OR(INDEX(checklistPesertaKemenkeu!$L$6:$L$1005,SMALL(IF(checklistPesertaKemenkeu!$AY$6:$AY$1005="Direkomendasikan",ROW($6:$1005)-5),410))="",INDEX(checklistPesertaKemenkeu!$J$6:$J$1005,SMALL(IF(checklistPesertaKemenkeu!$AY$6:$AY$1005="Direkomendasikan",ROW($6:$1005)-5),410))=""),"",IF(AND(COUNTIF(INDIRECT("K_"&amp;MATCH(INDEX(checklistPesertaKemenkeu!$J$6:$J$1005,SMALL(IF(checklistPesertaKemenkeu!$AY$6:$AY$1005="Direkomendasikan",ROW($6:$1005)-5),410)),BidangList,0)),INDEX(checklistPesertaKemenkeu!$L$6:$L$1005,SMALL(IF(checklistPesertaKemenkeu!$AY$6:$AY$1005="Direkomendasikan",ROW($6:$1005)-5),410)))&gt;0,COUNTIF(INDIRECT("'KERTAS KERJA'!K"&amp;(SMALL(IF(checklistPesertaKemenkeu!$AY$6:$AY$1005="Direkomendasikan",ROW($6:$1005)-5),410)+5)&amp;":O"&amp;(SMALL(IF(checklistPesertaKemenkeu!$AY$6:$AY$1005="Direkomendasikan",ROW($6:$1005)-5),410)+5)),INDEX(checklistPesertaKemenkeu!$L$6:$L$1005,SMALL(IF(checklistPesertaKemenkeu!$AY$6:$AY$1005="Direkomendasikan",ROW($6:$1005)-5),410)))=1),IFERROR(VLOOKUP(INDEX(checklistPesertaKemenkeu!$L$6:$L$1005,SMALL(IF(checklistPesertaKemenkeu!$AY$6:$AY$1005="Direkomendasikan",ROW($6:$1005)-5),410)),KotaKode,2,0),"-"),"")),"")</f>
        <v/>
      </c>
      <c r="I411" t="str">
        <f t="array" aca="1" ref="I411" ca="1">IFERROR(IF(OR(INDEX(checklistPesertaKemenkeu!$M$6:$M$1005,SMALL(IF(checklistPesertaKemenkeu!$AY$6:$AY$1005="Direkomendasikan",ROW($6:$1005)-5),410))="",INDEX(checklistPesertaKemenkeu!$J$6:$J$1005,SMALL(IF(checklistPesertaKemenkeu!$AY$6:$AY$1005="Direkomendasikan",ROW($6:$1005)-5),410))=""),"",IF(AND(COUNTIF(INDIRECT("K_"&amp;MATCH(INDEX(checklistPesertaKemenkeu!$J$6:$J$1005,SMALL(IF(checklistPesertaKemenkeu!$AY$6:$AY$1005="Direkomendasikan",ROW($6:$1005)-5),410)),BidangList,0)),INDEX(checklistPesertaKemenkeu!$M$6:$M$1005,SMALL(IF(checklistPesertaKemenkeu!$AY$6:$AY$1005="Direkomendasikan",ROW($6:$1005)-5),410)))&gt;0,COUNTIF(INDIRECT("'KERTAS KERJA'!K"&amp;(SMALL(IF(checklistPesertaKemenkeu!$AY$6:$AY$1005="Direkomendasikan",ROW($6:$1005)-5),410)+5)&amp;":O"&amp;(SMALL(IF(checklistPesertaKemenkeu!$AY$6:$AY$1005="Direkomendasikan",ROW($6:$1005)-5),410)+5)),INDEX(checklistPesertaKemenkeu!$M$6:$M$1005,SMALL(IF(checklistPesertaKemenkeu!$AY$6:$AY$1005="Direkomendasikan",ROW($6:$1005)-5),410)))=1),IFERROR(VLOOKUP(INDEX(checklistPesertaKemenkeu!$M$6:$M$1005,SMALL(IF(checklistPesertaKemenkeu!$AY$6:$AY$1005="Direkomendasikan",ROW($6:$1005)-5),410)),KotaKode,2,0),"-"),"")),"")</f>
        <v/>
      </c>
      <c r="J411" t="str">
        <f t="array" aca="1" ref="J411" ca="1">IFERROR(IF(OR(INDEX(checklistPesertaKemenkeu!$N$6:$N$1005,SMALL(IF(checklistPesertaKemenkeu!$AY$6:$AY$1005="Direkomendasikan",ROW($6:$1005)-5),410))="",INDEX(checklistPesertaKemenkeu!$J$6:$J$1005,SMALL(IF(checklistPesertaKemenkeu!$AY$6:$AY$1005="Direkomendasikan",ROW($6:$1005)-5),410))=""),"",IF(AND(COUNTIF(INDIRECT("K_"&amp;MATCH(INDEX(checklistPesertaKemenkeu!$J$6:$J$1005,SMALL(IF(checklistPesertaKemenkeu!$AY$6:$AY$1005="Direkomendasikan",ROW($6:$1005)-5),410)),BidangList,0)),INDEX(checklistPesertaKemenkeu!$N$6:$N$1005,SMALL(IF(checklistPesertaKemenkeu!$AY$6:$AY$1005="Direkomendasikan",ROW($6:$1005)-5),410)))&gt;0,COUNTIF(INDIRECT("'KERTAS KERJA'!K"&amp;(SMALL(IF(checklistPesertaKemenkeu!$AY$6:$AY$1005="Direkomendasikan",ROW($6:$1005)-5),410)+5)&amp;":O"&amp;(SMALL(IF(checklistPesertaKemenkeu!$AY$6:$AY$1005="Direkomendasikan",ROW($6:$1005)-5),410)+5)),INDEX(checklistPesertaKemenkeu!$N$6:$N$1005,SMALL(IF(checklistPesertaKemenkeu!$AY$6:$AY$1005="Direkomendasikan",ROW($6:$1005)-5),410)))=1),IFERROR(VLOOKUP(INDEX(checklistPesertaKemenkeu!$N$6:$N$1005,SMALL(IF(checklistPesertaKemenkeu!$AY$6:$AY$1005="Direkomendasikan",ROW($6:$1005)-5),410)),KotaKode,2,0),"-"),"")),"")</f>
        <v/>
      </c>
      <c r="K411" t="str">
        <f t="array" aca="1" ref="K411" ca="1">IFERROR(IF(OR(INDEX(checklistPesertaKemenkeu!$O$6:$O$1005,SMALL(IF(checklistPesertaKemenkeu!$AY$6:$AY$1005="Direkomendasikan",ROW($6:$1005)-5),410))="",INDEX(checklistPesertaKemenkeu!$J$6:$J$1005,SMALL(IF(checklistPesertaKemenkeu!$AY$6:$AY$1005="Direkomendasikan",ROW($6:$1005)-5),410))=""),"",IF(AND(COUNTIF(INDIRECT("K_"&amp;MATCH(INDEX(checklistPesertaKemenkeu!$J$6:$J$1005,SMALL(IF(checklistPesertaKemenkeu!$AY$6:$AY$1005="Direkomendasikan",ROW($6:$1005)-5),410)),BidangList,0)),INDEX(checklistPesertaKemenkeu!$O$6:$O$1005,SMALL(IF(checklistPesertaKemenkeu!$AY$6:$AY$1005="Direkomendasikan",ROW($6:$1005)-5),410)))&gt;0,COUNTIF(INDIRECT("'KERTAS KERJA'!K"&amp;(SMALL(IF(checklistPesertaKemenkeu!$AY$6:$AY$1005="Direkomendasikan",ROW($6:$1005)-5),410)+5)&amp;":O"&amp;(SMALL(IF(checklistPesertaKemenkeu!$AY$6:$AY$1005="Direkomendasikan",ROW($6:$1005)-5),410)+5)),INDEX(checklistPesertaKemenkeu!$O$6:$O$1005,SMALL(IF(checklistPesertaKemenkeu!$AY$6:$AY$1005="Direkomendasikan",ROW($6:$1005)-5),410)))=1),IFERROR(VLOOKUP(INDEX(checklistPesertaKemenkeu!$O$6:$O$1005,SMALL(IF(checklistPesertaKemenkeu!$AY$6:$AY$1005="Direkomendasikan",ROW($6:$1005)-5),410)),KotaKode,2,0),"-"),"")),"")</f>
        <v/>
      </c>
      <c r="L411" t="str">
        <f t="array" aca="1" ref="L411" ca="1">IFERROR(IF(OR(INDEX(checklistPesertaKemenkeu!$P$6:$P$1005,SMALL(IF(checklistPesertaKemenkeu!$AY$6:$AY$1005="Direkomendasikan",ROW($6:$1005)-5),410))="",INDEX(checklistPesertaKemenkeu!$J$6:$J$1005,SMALL(IF(checklistPesertaKemenkeu!$AY$6:$AY$1005="Direkomendasikan",ROW($6:$1005)-5),410))=""),"",IF(AND(COUNTIF(INDIRECT("K_"&amp;MATCH(INDEX(checklistPesertaKemenkeu!$J$6:$J$1005,SMALL(IF(checklistPesertaKemenkeu!$AY$6:$AY$1005="Direkomendasikan",ROW($6:$1005)-5),410)),BidangList,0)),INDEX(checklistPesertaKemenkeu!$P$6:$P$1005,SMALL(IF(checklistPesertaKemenkeu!$AY$6:$AY$1005="Direkomendasikan",ROW($6:$1005)-5),410)))&gt;0,COUNTIF(INDIRECT("'KERTAS KERJA'!K"&amp;(SMALL(IF(checklistPesertaKemenkeu!$AY$6:$AY$1005="Direkomendasikan",ROW($6:$1005)-5),410)+5)&amp;":O"&amp;(SMALL(IF(checklistPesertaKemenkeu!$AY$6:$AY$1005="Direkomendasikan",ROW($6:$1005)-5),410)+5)),INDEX(checklistPesertaKemenkeu!$P$6:$P$1005,SMALL(IF(checklistPesertaKemenkeu!$AY$6:$AY$1005="Direkomendasikan",ROW($6:$1005)-5),410)))=1),IFERROR(VLOOKUP(INDEX(checklistPesertaKemenkeu!$P$6:$P$1005,SMALL(IF(checklistPesertaKemenkeu!$AY$6:$AY$1005="Direkomendasikan",ROW($6:$1005)-5),410)),KotaKode,2,0),"-"),"")),"")</f>
        <v/>
      </c>
    </row>
    <row r="412" spans="1:12" ht="15" customHeight="1" x14ac:dyDescent="0.2">
      <c r="A412" t="str">
        <f t="shared" si="6"/>
        <v/>
      </c>
      <c r="B412" t="str">
        <v/>
      </c>
      <c r="C412" s="40" t="str">
        <f t="array" ref="C412">IFERROR(INDEX(checklistPesertaKemenkeu!$F$6:$F$1005,SMALL(IF(checklistPesertaKemenkeu!$AY$6:$AY$1005="Direkomendasikan",ROW($6:$1005)-5),411)),"")</f>
        <v/>
      </c>
      <c r="D412" t="str">
        <f t="array" ref="D412">IFERROR(INDEX(checklistPesertaKemenkeu!$G$6:$G$1005,SMALL(IF(checklistPesertaKemenkeu!$AY$6:$AY$1005="Direkomendasikan",ROW($6:$1005)-5),411)),"")</f>
        <v/>
      </c>
      <c r="E412" t="str">
        <f t="array" ref="E412">IFERROR(INDEX(checklistPesertaKemenkeu!$H$6:$H$1005,SMALL(IF(checklistPesertaKemenkeu!$AY$6:$AY$1005="Direkomendasikan",ROW($6:$1005)-5),411)),"")</f>
        <v/>
      </c>
      <c r="F412" t="str">
        <f t="array" ref="F412">IFERROR(INDEX(checklistPesertaKemenkeu!$I$6:$I$1005,SMALL(IF(checklistPesertaKemenkeu!$AY$6:$AY$1005="Direkomendasikan",ROW($6:$1005)-5),411)),"")</f>
        <v/>
      </c>
      <c r="G412" t="str">
        <f t="array" ref="G412">IFERROR(INDEX(checklistPesertaKemenkeu!$J$6:$J$1005,SMALL(IF(checklistPesertaKemenkeu!$AY$6:$AY$1005="Direkomendasikan",ROW($6:$1005)-5),411)),"")</f>
        <v/>
      </c>
      <c r="H412" t="str">
        <f t="array" aca="1" ref="H412" ca="1">IFERROR(IF(OR(INDEX(checklistPesertaKemenkeu!$L$6:$L$1005,SMALL(IF(checklistPesertaKemenkeu!$AY$6:$AY$1005="Direkomendasikan",ROW($6:$1005)-5),411))="",INDEX(checklistPesertaKemenkeu!$J$6:$J$1005,SMALL(IF(checklistPesertaKemenkeu!$AY$6:$AY$1005="Direkomendasikan",ROW($6:$1005)-5),411))=""),"",IF(AND(COUNTIF(INDIRECT("K_"&amp;MATCH(INDEX(checklistPesertaKemenkeu!$J$6:$J$1005,SMALL(IF(checklistPesertaKemenkeu!$AY$6:$AY$1005="Direkomendasikan",ROW($6:$1005)-5),411)),BidangList,0)),INDEX(checklistPesertaKemenkeu!$L$6:$L$1005,SMALL(IF(checklistPesertaKemenkeu!$AY$6:$AY$1005="Direkomendasikan",ROW($6:$1005)-5),411)))&gt;0,COUNTIF(INDIRECT("'KERTAS KERJA'!K"&amp;(SMALL(IF(checklistPesertaKemenkeu!$AY$6:$AY$1005="Direkomendasikan",ROW($6:$1005)-5),411)+5)&amp;":O"&amp;(SMALL(IF(checklistPesertaKemenkeu!$AY$6:$AY$1005="Direkomendasikan",ROW($6:$1005)-5),411)+5)),INDEX(checklistPesertaKemenkeu!$L$6:$L$1005,SMALL(IF(checklistPesertaKemenkeu!$AY$6:$AY$1005="Direkomendasikan",ROW($6:$1005)-5),411)))=1),IFERROR(VLOOKUP(INDEX(checklistPesertaKemenkeu!$L$6:$L$1005,SMALL(IF(checklistPesertaKemenkeu!$AY$6:$AY$1005="Direkomendasikan",ROW($6:$1005)-5),411)),KotaKode,2,0),"-"),"")),"")</f>
        <v/>
      </c>
      <c r="I412" t="str">
        <f t="array" aca="1" ref="I412" ca="1">IFERROR(IF(OR(INDEX(checklistPesertaKemenkeu!$M$6:$M$1005,SMALL(IF(checklistPesertaKemenkeu!$AY$6:$AY$1005="Direkomendasikan",ROW($6:$1005)-5),411))="",INDEX(checklistPesertaKemenkeu!$J$6:$J$1005,SMALL(IF(checklistPesertaKemenkeu!$AY$6:$AY$1005="Direkomendasikan",ROW($6:$1005)-5),411))=""),"",IF(AND(COUNTIF(INDIRECT("K_"&amp;MATCH(INDEX(checklistPesertaKemenkeu!$J$6:$J$1005,SMALL(IF(checklistPesertaKemenkeu!$AY$6:$AY$1005="Direkomendasikan",ROW($6:$1005)-5),411)),BidangList,0)),INDEX(checklistPesertaKemenkeu!$M$6:$M$1005,SMALL(IF(checklistPesertaKemenkeu!$AY$6:$AY$1005="Direkomendasikan",ROW($6:$1005)-5),411)))&gt;0,COUNTIF(INDIRECT("'KERTAS KERJA'!K"&amp;(SMALL(IF(checklistPesertaKemenkeu!$AY$6:$AY$1005="Direkomendasikan",ROW($6:$1005)-5),411)+5)&amp;":O"&amp;(SMALL(IF(checklistPesertaKemenkeu!$AY$6:$AY$1005="Direkomendasikan",ROW($6:$1005)-5),411)+5)),INDEX(checklistPesertaKemenkeu!$M$6:$M$1005,SMALL(IF(checklistPesertaKemenkeu!$AY$6:$AY$1005="Direkomendasikan",ROW($6:$1005)-5),411)))=1),IFERROR(VLOOKUP(INDEX(checklistPesertaKemenkeu!$M$6:$M$1005,SMALL(IF(checklistPesertaKemenkeu!$AY$6:$AY$1005="Direkomendasikan",ROW($6:$1005)-5),411)),KotaKode,2,0),"-"),"")),"")</f>
        <v/>
      </c>
      <c r="J412" t="str">
        <f t="array" aca="1" ref="J412" ca="1">IFERROR(IF(OR(INDEX(checklistPesertaKemenkeu!$N$6:$N$1005,SMALL(IF(checklistPesertaKemenkeu!$AY$6:$AY$1005="Direkomendasikan",ROW($6:$1005)-5),411))="",INDEX(checklistPesertaKemenkeu!$J$6:$J$1005,SMALL(IF(checklistPesertaKemenkeu!$AY$6:$AY$1005="Direkomendasikan",ROW($6:$1005)-5),411))=""),"",IF(AND(COUNTIF(INDIRECT("K_"&amp;MATCH(INDEX(checklistPesertaKemenkeu!$J$6:$J$1005,SMALL(IF(checklistPesertaKemenkeu!$AY$6:$AY$1005="Direkomendasikan",ROW($6:$1005)-5),411)),BidangList,0)),INDEX(checklistPesertaKemenkeu!$N$6:$N$1005,SMALL(IF(checklistPesertaKemenkeu!$AY$6:$AY$1005="Direkomendasikan",ROW($6:$1005)-5),411)))&gt;0,COUNTIF(INDIRECT("'KERTAS KERJA'!K"&amp;(SMALL(IF(checklistPesertaKemenkeu!$AY$6:$AY$1005="Direkomendasikan",ROW($6:$1005)-5),411)+5)&amp;":O"&amp;(SMALL(IF(checklistPesertaKemenkeu!$AY$6:$AY$1005="Direkomendasikan",ROW($6:$1005)-5),411)+5)),INDEX(checklistPesertaKemenkeu!$N$6:$N$1005,SMALL(IF(checklistPesertaKemenkeu!$AY$6:$AY$1005="Direkomendasikan",ROW($6:$1005)-5),411)))=1),IFERROR(VLOOKUP(INDEX(checklistPesertaKemenkeu!$N$6:$N$1005,SMALL(IF(checklistPesertaKemenkeu!$AY$6:$AY$1005="Direkomendasikan",ROW($6:$1005)-5),411)),KotaKode,2,0),"-"),"")),"")</f>
        <v/>
      </c>
      <c r="K412" t="str">
        <f t="array" aca="1" ref="K412" ca="1">IFERROR(IF(OR(INDEX(checklistPesertaKemenkeu!$O$6:$O$1005,SMALL(IF(checklistPesertaKemenkeu!$AY$6:$AY$1005="Direkomendasikan",ROW($6:$1005)-5),411))="",INDEX(checklistPesertaKemenkeu!$J$6:$J$1005,SMALL(IF(checklistPesertaKemenkeu!$AY$6:$AY$1005="Direkomendasikan",ROW($6:$1005)-5),411))=""),"",IF(AND(COUNTIF(INDIRECT("K_"&amp;MATCH(INDEX(checklistPesertaKemenkeu!$J$6:$J$1005,SMALL(IF(checklistPesertaKemenkeu!$AY$6:$AY$1005="Direkomendasikan",ROW($6:$1005)-5),411)),BidangList,0)),INDEX(checklistPesertaKemenkeu!$O$6:$O$1005,SMALL(IF(checklistPesertaKemenkeu!$AY$6:$AY$1005="Direkomendasikan",ROW($6:$1005)-5),411)))&gt;0,COUNTIF(INDIRECT("'KERTAS KERJA'!K"&amp;(SMALL(IF(checklistPesertaKemenkeu!$AY$6:$AY$1005="Direkomendasikan",ROW($6:$1005)-5),411)+5)&amp;":O"&amp;(SMALL(IF(checklistPesertaKemenkeu!$AY$6:$AY$1005="Direkomendasikan",ROW($6:$1005)-5),411)+5)),INDEX(checklistPesertaKemenkeu!$O$6:$O$1005,SMALL(IF(checklistPesertaKemenkeu!$AY$6:$AY$1005="Direkomendasikan",ROW($6:$1005)-5),411)))=1),IFERROR(VLOOKUP(INDEX(checklistPesertaKemenkeu!$O$6:$O$1005,SMALL(IF(checklistPesertaKemenkeu!$AY$6:$AY$1005="Direkomendasikan",ROW($6:$1005)-5),411)),KotaKode,2,0),"-"),"")),"")</f>
        <v/>
      </c>
      <c r="L412" t="str">
        <f t="array" aca="1" ref="L412" ca="1">IFERROR(IF(OR(INDEX(checklistPesertaKemenkeu!$P$6:$P$1005,SMALL(IF(checklistPesertaKemenkeu!$AY$6:$AY$1005="Direkomendasikan",ROW($6:$1005)-5),411))="",INDEX(checklistPesertaKemenkeu!$J$6:$J$1005,SMALL(IF(checklistPesertaKemenkeu!$AY$6:$AY$1005="Direkomendasikan",ROW($6:$1005)-5),411))=""),"",IF(AND(COUNTIF(INDIRECT("K_"&amp;MATCH(INDEX(checklistPesertaKemenkeu!$J$6:$J$1005,SMALL(IF(checklistPesertaKemenkeu!$AY$6:$AY$1005="Direkomendasikan",ROW($6:$1005)-5),411)),BidangList,0)),INDEX(checklistPesertaKemenkeu!$P$6:$P$1005,SMALL(IF(checklistPesertaKemenkeu!$AY$6:$AY$1005="Direkomendasikan",ROW($6:$1005)-5),411)))&gt;0,COUNTIF(INDIRECT("'KERTAS KERJA'!K"&amp;(SMALL(IF(checklistPesertaKemenkeu!$AY$6:$AY$1005="Direkomendasikan",ROW($6:$1005)-5),411)+5)&amp;":O"&amp;(SMALL(IF(checklistPesertaKemenkeu!$AY$6:$AY$1005="Direkomendasikan",ROW($6:$1005)-5),411)+5)),INDEX(checklistPesertaKemenkeu!$P$6:$P$1005,SMALL(IF(checklistPesertaKemenkeu!$AY$6:$AY$1005="Direkomendasikan",ROW($6:$1005)-5),411)))=1),IFERROR(VLOOKUP(INDEX(checklistPesertaKemenkeu!$P$6:$P$1005,SMALL(IF(checklistPesertaKemenkeu!$AY$6:$AY$1005="Direkomendasikan",ROW($6:$1005)-5),411)),KotaKode,2,0),"-"),"")),"")</f>
        <v/>
      </c>
    </row>
    <row r="413" spans="1:12" ht="15" customHeight="1" x14ac:dyDescent="0.2">
      <c r="A413" t="str">
        <f t="shared" si="6"/>
        <v/>
      </c>
      <c r="B413" t="str">
        <v/>
      </c>
      <c r="C413" s="40" t="str">
        <f t="array" ref="C413">IFERROR(INDEX(checklistPesertaKemenkeu!$F$6:$F$1005,SMALL(IF(checklistPesertaKemenkeu!$AY$6:$AY$1005="Direkomendasikan",ROW($6:$1005)-5),412)),"")</f>
        <v/>
      </c>
      <c r="D413" t="str">
        <f t="array" ref="D413">IFERROR(INDEX(checklistPesertaKemenkeu!$G$6:$G$1005,SMALL(IF(checklistPesertaKemenkeu!$AY$6:$AY$1005="Direkomendasikan",ROW($6:$1005)-5),412)),"")</f>
        <v/>
      </c>
      <c r="E413" t="str">
        <f t="array" ref="E413">IFERROR(INDEX(checklistPesertaKemenkeu!$H$6:$H$1005,SMALL(IF(checklistPesertaKemenkeu!$AY$6:$AY$1005="Direkomendasikan",ROW($6:$1005)-5),412)),"")</f>
        <v/>
      </c>
      <c r="F413" t="str">
        <f t="array" ref="F413">IFERROR(INDEX(checklistPesertaKemenkeu!$I$6:$I$1005,SMALL(IF(checklistPesertaKemenkeu!$AY$6:$AY$1005="Direkomendasikan",ROW($6:$1005)-5),412)),"")</f>
        <v/>
      </c>
      <c r="G413" t="str">
        <f t="array" ref="G413">IFERROR(INDEX(checklistPesertaKemenkeu!$J$6:$J$1005,SMALL(IF(checklistPesertaKemenkeu!$AY$6:$AY$1005="Direkomendasikan",ROW($6:$1005)-5),412)),"")</f>
        <v/>
      </c>
      <c r="H413" t="str">
        <f t="array" aca="1" ref="H413" ca="1">IFERROR(IF(OR(INDEX(checklistPesertaKemenkeu!$L$6:$L$1005,SMALL(IF(checklistPesertaKemenkeu!$AY$6:$AY$1005="Direkomendasikan",ROW($6:$1005)-5),412))="",INDEX(checklistPesertaKemenkeu!$J$6:$J$1005,SMALL(IF(checklistPesertaKemenkeu!$AY$6:$AY$1005="Direkomendasikan",ROW($6:$1005)-5),412))=""),"",IF(AND(COUNTIF(INDIRECT("K_"&amp;MATCH(INDEX(checklistPesertaKemenkeu!$J$6:$J$1005,SMALL(IF(checklistPesertaKemenkeu!$AY$6:$AY$1005="Direkomendasikan",ROW($6:$1005)-5),412)),BidangList,0)),INDEX(checklistPesertaKemenkeu!$L$6:$L$1005,SMALL(IF(checklistPesertaKemenkeu!$AY$6:$AY$1005="Direkomendasikan",ROW($6:$1005)-5),412)))&gt;0,COUNTIF(INDIRECT("'KERTAS KERJA'!K"&amp;(SMALL(IF(checklistPesertaKemenkeu!$AY$6:$AY$1005="Direkomendasikan",ROW($6:$1005)-5),412)+5)&amp;":O"&amp;(SMALL(IF(checklistPesertaKemenkeu!$AY$6:$AY$1005="Direkomendasikan",ROW($6:$1005)-5),412)+5)),INDEX(checklistPesertaKemenkeu!$L$6:$L$1005,SMALL(IF(checklistPesertaKemenkeu!$AY$6:$AY$1005="Direkomendasikan",ROW($6:$1005)-5),412)))=1),IFERROR(VLOOKUP(INDEX(checklistPesertaKemenkeu!$L$6:$L$1005,SMALL(IF(checklistPesertaKemenkeu!$AY$6:$AY$1005="Direkomendasikan",ROW($6:$1005)-5),412)),KotaKode,2,0),"-"),"")),"")</f>
        <v/>
      </c>
      <c r="I413" t="str">
        <f t="array" aca="1" ref="I413" ca="1">IFERROR(IF(OR(INDEX(checklistPesertaKemenkeu!$M$6:$M$1005,SMALL(IF(checklistPesertaKemenkeu!$AY$6:$AY$1005="Direkomendasikan",ROW($6:$1005)-5),412))="",INDEX(checklistPesertaKemenkeu!$J$6:$J$1005,SMALL(IF(checklistPesertaKemenkeu!$AY$6:$AY$1005="Direkomendasikan",ROW($6:$1005)-5),412))=""),"",IF(AND(COUNTIF(INDIRECT("K_"&amp;MATCH(INDEX(checklistPesertaKemenkeu!$J$6:$J$1005,SMALL(IF(checklistPesertaKemenkeu!$AY$6:$AY$1005="Direkomendasikan",ROW($6:$1005)-5),412)),BidangList,0)),INDEX(checklistPesertaKemenkeu!$M$6:$M$1005,SMALL(IF(checklistPesertaKemenkeu!$AY$6:$AY$1005="Direkomendasikan",ROW($6:$1005)-5),412)))&gt;0,COUNTIF(INDIRECT("'KERTAS KERJA'!K"&amp;(SMALL(IF(checklistPesertaKemenkeu!$AY$6:$AY$1005="Direkomendasikan",ROW($6:$1005)-5),412)+5)&amp;":O"&amp;(SMALL(IF(checklistPesertaKemenkeu!$AY$6:$AY$1005="Direkomendasikan",ROW($6:$1005)-5),412)+5)),INDEX(checklistPesertaKemenkeu!$M$6:$M$1005,SMALL(IF(checklistPesertaKemenkeu!$AY$6:$AY$1005="Direkomendasikan",ROW($6:$1005)-5),412)))=1),IFERROR(VLOOKUP(INDEX(checklistPesertaKemenkeu!$M$6:$M$1005,SMALL(IF(checklistPesertaKemenkeu!$AY$6:$AY$1005="Direkomendasikan",ROW($6:$1005)-5),412)),KotaKode,2,0),"-"),"")),"")</f>
        <v/>
      </c>
      <c r="J413" t="str">
        <f t="array" aca="1" ref="J413" ca="1">IFERROR(IF(OR(INDEX(checklistPesertaKemenkeu!$N$6:$N$1005,SMALL(IF(checklistPesertaKemenkeu!$AY$6:$AY$1005="Direkomendasikan",ROW($6:$1005)-5),412))="",INDEX(checklistPesertaKemenkeu!$J$6:$J$1005,SMALL(IF(checklistPesertaKemenkeu!$AY$6:$AY$1005="Direkomendasikan",ROW($6:$1005)-5),412))=""),"",IF(AND(COUNTIF(INDIRECT("K_"&amp;MATCH(INDEX(checklistPesertaKemenkeu!$J$6:$J$1005,SMALL(IF(checklistPesertaKemenkeu!$AY$6:$AY$1005="Direkomendasikan",ROW($6:$1005)-5),412)),BidangList,0)),INDEX(checklistPesertaKemenkeu!$N$6:$N$1005,SMALL(IF(checklistPesertaKemenkeu!$AY$6:$AY$1005="Direkomendasikan",ROW($6:$1005)-5),412)))&gt;0,COUNTIF(INDIRECT("'KERTAS KERJA'!K"&amp;(SMALL(IF(checklistPesertaKemenkeu!$AY$6:$AY$1005="Direkomendasikan",ROW($6:$1005)-5),412)+5)&amp;":O"&amp;(SMALL(IF(checklistPesertaKemenkeu!$AY$6:$AY$1005="Direkomendasikan",ROW($6:$1005)-5),412)+5)),INDEX(checklistPesertaKemenkeu!$N$6:$N$1005,SMALL(IF(checklistPesertaKemenkeu!$AY$6:$AY$1005="Direkomendasikan",ROW($6:$1005)-5),412)))=1),IFERROR(VLOOKUP(INDEX(checklistPesertaKemenkeu!$N$6:$N$1005,SMALL(IF(checklistPesertaKemenkeu!$AY$6:$AY$1005="Direkomendasikan",ROW($6:$1005)-5),412)),KotaKode,2,0),"-"),"")),"")</f>
        <v/>
      </c>
      <c r="K413" t="str">
        <f t="array" aca="1" ref="K413" ca="1">IFERROR(IF(OR(INDEX(checklistPesertaKemenkeu!$O$6:$O$1005,SMALL(IF(checklistPesertaKemenkeu!$AY$6:$AY$1005="Direkomendasikan",ROW($6:$1005)-5),412))="",INDEX(checklistPesertaKemenkeu!$J$6:$J$1005,SMALL(IF(checklistPesertaKemenkeu!$AY$6:$AY$1005="Direkomendasikan",ROW($6:$1005)-5),412))=""),"",IF(AND(COUNTIF(INDIRECT("K_"&amp;MATCH(INDEX(checklistPesertaKemenkeu!$J$6:$J$1005,SMALL(IF(checklistPesertaKemenkeu!$AY$6:$AY$1005="Direkomendasikan",ROW($6:$1005)-5),412)),BidangList,0)),INDEX(checklistPesertaKemenkeu!$O$6:$O$1005,SMALL(IF(checklistPesertaKemenkeu!$AY$6:$AY$1005="Direkomendasikan",ROW($6:$1005)-5),412)))&gt;0,COUNTIF(INDIRECT("'KERTAS KERJA'!K"&amp;(SMALL(IF(checklistPesertaKemenkeu!$AY$6:$AY$1005="Direkomendasikan",ROW($6:$1005)-5),412)+5)&amp;":O"&amp;(SMALL(IF(checklistPesertaKemenkeu!$AY$6:$AY$1005="Direkomendasikan",ROW($6:$1005)-5),412)+5)),INDEX(checklistPesertaKemenkeu!$O$6:$O$1005,SMALL(IF(checklistPesertaKemenkeu!$AY$6:$AY$1005="Direkomendasikan",ROW($6:$1005)-5),412)))=1),IFERROR(VLOOKUP(INDEX(checklistPesertaKemenkeu!$O$6:$O$1005,SMALL(IF(checklistPesertaKemenkeu!$AY$6:$AY$1005="Direkomendasikan",ROW($6:$1005)-5),412)),KotaKode,2,0),"-"),"")),"")</f>
        <v/>
      </c>
      <c r="L413" t="str">
        <f t="array" aca="1" ref="L413" ca="1">IFERROR(IF(OR(INDEX(checklistPesertaKemenkeu!$P$6:$P$1005,SMALL(IF(checklistPesertaKemenkeu!$AY$6:$AY$1005="Direkomendasikan",ROW($6:$1005)-5),412))="",INDEX(checklistPesertaKemenkeu!$J$6:$J$1005,SMALL(IF(checklistPesertaKemenkeu!$AY$6:$AY$1005="Direkomendasikan",ROW($6:$1005)-5),412))=""),"",IF(AND(COUNTIF(INDIRECT("K_"&amp;MATCH(INDEX(checklistPesertaKemenkeu!$J$6:$J$1005,SMALL(IF(checklistPesertaKemenkeu!$AY$6:$AY$1005="Direkomendasikan",ROW($6:$1005)-5),412)),BidangList,0)),INDEX(checklistPesertaKemenkeu!$P$6:$P$1005,SMALL(IF(checklistPesertaKemenkeu!$AY$6:$AY$1005="Direkomendasikan",ROW($6:$1005)-5),412)))&gt;0,COUNTIF(INDIRECT("'KERTAS KERJA'!K"&amp;(SMALL(IF(checklistPesertaKemenkeu!$AY$6:$AY$1005="Direkomendasikan",ROW($6:$1005)-5),412)+5)&amp;":O"&amp;(SMALL(IF(checklistPesertaKemenkeu!$AY$6:$AY$1005="Direkomendasikan",ROW($6:$1005)-5),412)+5)),INDEX(checklistPesertaKemenkeu!$P$6:$P$1005,SMALL(IF(checklistPesertaKemenkeu!$AY$6:$AY$1005="Direkomendasikan",ROW($6:$1005)-5),412)))=1),IFERROR(VLOOKUP(INDEX(checklistPesertaKemenkeu!$P$6:$P$1005,SMALL(IF(checklistPesertaKemenkeu!$AY$6:$AY$1005="Direkomendasikan",ROW($6:$1005)-5),412)),KotaKode,2,0),"-"),"")),"")</f>
        <v/>
      </c>
    </row>
    <row r="414" spans="1:12" ht="15" customHeight="1" x14ac:dyDescent="0.2">
      <c r="A414" t="str">
        <f t="shared" si="6"/>
        <v/>
      </c>
      <c r="B414" t="str">
        <v/>
      </c>
      <c r="C414" s="40" t="str">
        <f t="array" ref="C414">IFERROR(INDEX(checklistPesertaKemenkeu!$F$6:$F$1005,SMALL(IF(checklistPesertaKemenkeu!$AY$6:$AY$1005="Direkomendasikan",ROW($6:$1005)-5),413)),"")</f>
        <v/>
      </c>
      <c r="D414" t="str">
        <f t="array" ref="D414">IFERROR(INDEX(checklistPesertaKemenkeu!$G$6:$G$1005,SMALL(IF(checklistPesertaKemenkeu!$AY$6:$AY$1005="Direkomendasikan",ROW($6:$1005)-5),413)),"")</f>
        <v/>
      </c>
      <c r="E414" t="str">
        <f t="array" ref="E414">IFERROR(INDEX(checklistPesertaKemenkeu!$H$6:$H$1005,SMALL(IF(checklistPesertaKemenkeu!$AY$6:$AY$1005="Direkomendasikan",ROW($6:$1005)-5),413)),"")</f>
        <v/>
      </c>
      <c r="F414" t="str">
        <f t="array" ref="F414">IFERROR(INDEX(checklistPesertaKemenkeu!$I$6:$I$1005,SMALL(IF(checklistPesertaKemenkeu!$AY$6:$AY$1005="Direkomendasikan",ROW($6:$1005)-5),413)),"")</f>
        <v/>
      </c>
      <c r="G414" t="str">
        <f t="array" ref="G414">IFERROR(INDEX(checklistPesertaKemenkeu!$J$6:$J$1005,SMALL(IF(checklistPesertaKemenkeu!$AY$6:$AY$1005="Direkomendasikan",ROW($6:$1005)-5),413)),"")</f>
        <v/>
      </c>
      <c r="H414" t="str">
        <f t="array" aca="1" ref="H414" ca="1">IFERROR(IF(OR(INDEX(checklistPesertaKemenkeu!$L$6:$L$1005,SMALL(IF(checklistPesertaKemenkeu!$AY$6:$AY$1005="Direkomendasikan",ROW($6:$1005)-5),413))="",INDEX(checklistPesertaKemenkeu!$J$6:$J$1005,SMALL(IF(checklistPesertaKemenkeu!$AY$6:$AY$1005="Direkomendasikan",ROW($6:$1005)-5),413))=""),"",IF(AND(COUNTIF(INDIRECT("K_"&amp;MATCH(INDEX(checklistPesertaKemenkeu!$J$6:$J$1005,SMALL(IF(checklistPesertaKemenkeu!$AY$6:$AY$1005="Direkomendasikan",ROW($6:$1005)-5),413)),BidangList,0)),INDEX(checklistPesertaKemenkeu!$L$6:$L$1005,SMALL(IF(checklistPesertaKemenkeu!$AY$6:$AY$1005="Direkomendasikan",ROW($6:$1005)-5),413)))&gt;0,COUNTIF(INDIRECT("'KERTAS KERJA'!K"&amp;(SMALL(IF(checklistPesertaKemenkeu!$AY$6:$AY$1005="Direkomendasikan",ROW($6:$1005)-5),413)+5)&amp;":O"&amp;(SMALL(IF(checklistPesertaKemenkeu!$AY$6:$AY$1005="Direkomendasikan",ROW($6:$1005)-5),413)+5)),INDEX(checklistPesertaKemenkeu!$L$6:$L$1005,SMALL(IF(checklistPesertaKemenkeu!$AY$6:$AY$1005="Direkomendasikan",ROW($6:$1005)-5),413)))=1),IFERROR(VLOOKUP(INDEX(checklistPesertaKemenkeu!$L$6:$L$1005,SMALL(IF(checklistPesertaKemenkeu!$AY$6:$AY$1005="Direkomendasikan",ROW($6:$1005)-5),413)),KotaKode,2,0),"-"),"")),"")</f>
        <v/>
      </c>
      <c r="I414" t="str">
        <f t="array" aca="1" ref="I414" ca="1">IFERROR(IF(OR(INDEX(checklistPesertaKemenkeu!$M$6:$M$1005,SMALL(IF(checklistPesertaKemenkeu!$AY$6:$AY$1005="Direkomendasikan",ROW($6:$1005)-5),413))="",INDEX(checklistPesertaKemenkeu!$J$6:$J$1005,SMALL(IF(checklistPesertaKemenkeu!$AY$6:$AY$1005="Direkomendasikan",ROW($6:$1005)-5),413))=""),"",IF(AND(COUNTIF(INDIRECT("K_"&amp;MATCH(INDEX(checklistPesertaKemenkeu!$J$6:$J$1005,SMALL(IF(checklistPesertaKemenkeu!$AY$6:$AY$1005="Direkomendasikan",ROW($6:$1005)-5),413)),BidangList,0)),INDEX(checklistPesertaKemenkeu!$M$6:$M$1005,SMALL(IF(checklistPesertaKemenkeu!$AY$6:$AY$1005="Direkomendasikan",ROW($6:$1005)-5),413)))&gt;0,COUNTIF(INDIRECT("'KERTAS KERJA'!K"&amp;(SMALL(IF(checklistPesertaKemenkeu!$AY$6:$AY$1005="Direkomendasikan",ROW($6:$1005)-5),413)+5)&amp;":O"&amp;(SMALL(IF(checklistPesertaKemenkeu!$AY$6:$AY$1005="Direkomendasikan",ROW($6:$1005)-5),413)+5)),INDEX(checklistPesertaKemenkeu!$M$6:$M$1005,SMALL(IF(checklistPesertaKemenkeu!$AY$6:$AY$1005="Direkomendasikan",ROW($6:$1005)-5),413)))=1),IFERROR(VLOOKUP(INDEX(checklistPesertaKemenkeu!$M$6:$M$1005,SMALL(IF(checklistPesertaKemenkeu!$AY$6:$AY$1005="Direkomendasikan",ROW($6:$1005)-5),413)),KotaKode,2,0),"-"),"")),"")</f>
        <v/>
      </c>
      <c r="J414" t="str">
        <f t="array" aca="1" ref="J414" ca="1">IFERROR(IF(OR(INDEX(checklistPesertaKemenkeu!$N$6:$N$1005,SMALL(IF(checklistPesertaKemenkeu!$AY$6:$AY$1005="Direkomendasikan",ROW($6:$1005)-5),413))="",INDEX(checklistPesertaKemenkeu!$J$6:$J$1005,SMALL(IF(checklistPesertaKemenkeu!$AY$6:$AY$1005="Direkomendasikan",ROW($6:$1005)-5),413))=""),"",IF(AND(COUNTIF(INDIRECT("K_"&amp;MATCH(INDEX(checklistPesertaKemenkeu!$J$6:$J$1005,SMALL(IF(checklistPesertaKemenkeu!$AY$6:$AY$1005="Direkomendasikan",ROW($6:$1005)-5),413)),BidangList,0)),INDEX(checklistPesertaKemenkeu!$N$6:$N$1005,SMALL(IF(checklistPesertaKemenkeu!$AY$6:$AY$1005="Direkomendasikan",ROW($6:$1005)-5),413)))&gt;0,COUNTIF(INDIRECT("'KERTAS KERJA'!K"&amp;(SMALL(IF(checklistPesertaKemenkeu!$AY$6:$AY$1005="Direkomendasikan",ROW($6:$1005)-5),413)+5)&amp;":O"&amp;(SMALL(IF(checklistPesertaKemenkeu!$AY$6:$AY$1005="Direkomendasikan",ROW($6:$1005)-5),413)+5)),INDEX(checklistPesertaKemenkeu!$N$6:$N$1005,SMALL(IF(checklistPesertaKemenkeu!$AY$6:$AY$1005="Direkomendasikan",ROW($6:$1005)-5),413)))=1),IFERROR(VLOOKUP(INDEX(checklistPesertaKemenkeu!$N$6:$N$1005,SMALL(IF(checklistPesertaKemenkeu!$AY$6:$AY$1005="Direkomendasikan",ROW($6:$1005)-5),413)),KotaKode,2,0),"-"),"")),"")</f>
        <v/>
      </c>
      <c r="K414" t="str">
        <f t="array" aca="1" ref="K414" ca="1">IFERROR(IF(OR(INDEX(checklistPesertaKemenkeu!$O$6:$O$1005,SMALL(IF(checklistPesertaKemenkeu!$AY$6:$AY$1005="Direkomendasikan",ROW($6:$1005)-5),413))="",INDEX(checklistPesertaKemenkeu!$J$6:$J$1005,SMALL(IF(checklistPesertaKemenkeu!$AY$6:$AY$1005="Direkomendasikan",ROW($6:$1005)-5),413))=""),"",IF(AND(COUNTIF(INDIRECT("K_"&amp;MATCH(INDEX(checklistPesertaKemenkeu!$J$6:$J$1005,SMALL(IF(checklistPesertaKemenkeu!$AY$6:$AY$1005="Direkomendasikan",ROW($6:$1005)-5),413)),BidangList,0)),INDEX(checklistPesertaKemenkeu!$O$6:$O$1005,SMALL(IF(checklistPesertaKemenkeu!$AY$6:$AY$1005="Direkomendasikan",ROW($6:$1005)-5),413)))&gt;0,COUNTIF(INDIRECT("'KERTAS KERJA'!K"&amp;(SMALL(IF(checklistPesertaKemenkeu!$AY$6:$AY$1005="Direkomendasikan",ROW($6:$1005)-5),413)+5)&amp;":O"&amp;(SMALL(IF(checklistPesertaKemenkeu!$AY$6:$AY$1005="Direkomendasikan",ROW($6:$1005)-5),413)+5)),INDEX(checklistPesertaKemenkeu!$O$6:$O$1005,SMALL(IF(checklistPesertaKemenkeu!$AY$6:$AY$1005="Direkomendasikan",ROW($6:$1005)-5),413)))=1),IFERROR(VLOOKUP(INDEX(checklistPesertaKemenkeu!$O$6:$O$1005,SMALL(IF(checklistPesertaKemenkeu!$AY$6:$AY$1005="Direkomendasikan",ROW($6:$1005)-5),413)),KotaKode,2,0),"-"),"")),"")</f>
        <v/>
      </c>
      <c r="L414" t="str">
        <f t="array" aca="1" ref="L414" ca="1">IFERROR(IF(OR(INDEX(checklistPesertaKemenkeu!$P$6:$P$1005,SMALL(IF(checklistPesertaKemenkeu!$AY$6:$AY$1005="Direkomendasikan",ROW($6:$1005)-5),413))="",INDEX(checklistPesertaKemenkeu!$J$6:$J$1005,SMALL(IF(checklistPesertaKemenkeu!$AY$6:$AY$1005="Direkomendasikan",ROW($6:$1005)-5),413))=""),"",IF(AND(COUNTIF(INDIRECT("K_"&amp;MATCH(INDEX(checklistPesertaKemenkeu!$J$6:$J$1005,SMALL(IF(checklistPesertaKemenkeu!$AY$6:$AY$1005="Direkomendasikan",ROW($6:$1005)-5),413)),BidangList,0)),INDEX(checklistPesertaKemenkeu!$P$6:$P$1005,SMALL(IF(checklistPesertaKemenkeu!$AY$6:$AY$1005="Direkomendasikan",ROW($6:$1005)-5),413)))&gt;0,COUNTIF(INDIRECT("'KERTAS KERJA'!K"&amp;(SMALL(IF(checklistPesertaKemenkeu!$AY$6:$AY$1005="Direkomendasikan",ROW($6:$1005)-5),413)+5)&amp;":O"&amp;(SMALL(IF(checklistPesertaKemenkeu!$AY$6:$AY$1005="Direkomendasikan",ROW($6:$1005)-5),413)+5)),INDEX(checklistPesertaKemenkeu!$P$6:$P$1005,SMALL(IF(checklistPesertaKemenkeu!$AY$6:$AY$1005="Direkomendasikan",ROW($6:$1005)-5),413)))=1),IFERROR(VLOOKUP(INDEX(checklistPesertaKemenkeu!$P$6:$P$1005,SMALL(IF(checklistPesertaKemenkeu!$AY$6:$AY$1005="Direkomendasikan",ROW($6:$1005)-5),413)),KotaKode,2,0),"-"),"")),"")</f>
        <v/>
      </c>
    </row>
    <row r="415" spans="1:12" ht="15" customHeight="1" x14ac:dyDescent="0.2">
      <c r="A415" t="str">
        <f t="shared" si="6"/>
        <v/>
      </c>
      <c r="B415" t="str">
        <v/>
      </c>
      <c r="C415" s="40" t="str">
        <f t="array" ref="C415">IFERROR(INDEX(checklistPesertaKemenkeu!$F$6:$F$1005,SMALL(IF(checklistPesertaKemenkeu!$AY$6:$AY$1005="Direkomendasikan",ROW($6:$1005)-5),414)),"")</f>
        <v/>
      </c>
      <c r="D415" t="str">
        <f t="array" ref="D415">IFERROR(INDEX(checklistPesertaKemenkeu!$G$6:$G$1005,SMALL(IF(checklistPesertaKemenkeu!$AY$6:$AY$1005="Direkomendasikan",ROW($6:$1005)-5),414)),"")</f>
        <v/>
      </c>
      <c r="E415" t="str">
        <f t="array" ref="E415">IFERROR(INDEX(checklistPesertaKemenkeu!$H$6:$H$1005,SMALL(IF(checklistPesertaKemenkeu!$AY$6:$AY$1005="Direkomendasikan",ROW($6:$1005)-5),414)),"")</f>
        <v/>
      </c>
      <c r="F415" t="str">
        <f t="array" ref="F415">IFERROR(INDEX(checklistPesertaKemenkeu!$I$6:$I$1005,SMALL(IF(checklistPesertaKemenkeu!$AY$6:$AY$1005="Direkomendasikan",ROW($6:$1005)-5),414)),"")</f>
        <v/>
      </c>
      <c r="G415" t="str">
        <f t="array" ref="G415">IFERROR(INDEX(checklistPesertaKemenkeu!$J$6:$J$1005,SMALL(IF(checklistPesertaKemenkeu!$AY$6:$AY$1005="Direkomendasikan",ROW($6:$1005)-5),414)),"")</f>
        <v/>
      </c>
      <c r="H415" t="str">
        <f t="array" aca="1" ref="H415" ca="1">IFERROR(IF(OR(INDEX(checklistPesertaKemenkeu!$L$6:$L$1005,SMALL(IF(checklistPesertaKemenkeu!$AY$6:$AY$1005="Direkomendasikan",ROW($6:$1005)-5),414))="",INDEX(checklistPesertaKemenkeu!$J$6:$J$1005,SMALL(IF(checklistPesertaKemenkeu!$AY$6:$AY$1005="Direkomendasikan",ROW($6:$1005)-5),414))=""),"",IF(AND(COUNTIF(INDIRECT("K_"&amp;MATCH(INDEX(checklistPesertaKemenkeu!$J$6:$J$1005,SMALL(IF(checklistPesertaKemenkeu!$AY$6:$AY$1005="Direkomendasikan",ROW($6:$1005)-5),414)),BidangList,0)),INDEX(checklistPesertaKemenkeu!$L$6:$L$1005,SMALL(IF(checklistPesertaKemenkeu!$AY$6:$AY$1005="Direkomendasikan",ROW($6:$1005)-5),414)))&gt;0,COUNTIF(INDIRECT("'KERTAS KERJA'!K"&amp;(SMALL(IF(checklistPesertaKemenkeu!$AY$6:$AY$1005="Direkomendasikan",ROW($6:$1005)-5),414)+5)&amp;":O"&amp;(SMALL(IF(checklistPesertaKemenkeu!$AY$6:$AY$1005="Direkomendasikan",ROW($6:$1005)-5),414)+5)),INDEX(checklistPesertaKemenkeu!$L$6:$L$1005,SMALL(IF(checklistPesertaKemenkeu!$AY$6:$AY$1005="Direkomendasikan",ROW($6:$1005)-5),414)))=1),IFERROR(VLOOKUP(INDEX(checklistPesertaKemenkeu!$L$6:$L$1005,SMALL(IF(checklistPesertaKemenkeu!$AY$6:$AY$1005="Direkomendasikan",ROW($6:$1005)-5),414)),KotaKode,2,0),"-"),"")),"")</f>
        <v/>
      </c>
      <c r="I415" t="str">
        <f t="array" aca="1" ref="I415" ca="1">IFERROR(IF(OR(INDEX(checklistPesertaKemenkeu!$M$6:$M$1005,SMALL(IF(checklistPesertaKemenkeu!$AY$6:$AY$1005="Direkomendasikan",ROW($6:$1005)-5),414))="",INDEX(checklistPesertaKemenkeu!$J$6:$J$1005,SMALL(IF(checklistPesertaKemenkeu!$AY$6:$AY$1005="Direkomendasikan",ROW($6:$1005)-5),414))=""),"",IF(AND(COUNTIF(INDIRECT("K_"&amp;MATCH(INDEX(checklistPesertaKemenkeu!$J$6:$J$1005,SMALL(IF(checklistPesertaKemenkeu!$AY$6:$AY$1005="Direkomendasikan",ROW($6:$1005)-5),414)),BidangList,0)),INDEX(checklistPesertaKemenkeu!$M$6:$M$1005,SMALL(IF(checklistPesertaKemenkeu!$AY$6:$AY$1005="Direkomendasikan",ROW($6:$1005)-5),414)))&gt;0,COUNTIF(INDIRECT("'KERTAS KERJA'!K"&amp;(SMALL(IF(checklistPesertaKemenkeu!$AY$6:$AY$1005="Direkomendasikan",ROW($6:$1005)-5),414)+5)&amp;":O"&amp;(SMALL(IF(checklistPesertaKemenkeu!$AY$6:$AY$1005="Direkomendasikan",ROW($6:$1005)-5),414)+5)),INDEX(checklistPesertaKemenkeu!$M$6:$M$1005,SMALL(IF(checklistPesertaKemenkeu!$AY$6:$AY$1005="Direkomendasikan",ROW($6:$1005)-5),414)))=1),IFERROR(VLOOKUP(INDEX(checklistPesertaKemenkeu!$M$6:$M$1005,SMALL(IF(checklistPesertaKemenkeu!$AY$6:$AY$1005="Direkomendasikan",ROW($6:$1005)-5),414)),KotaKode,2,0),"-"),"")),"")</f>
        <v/>
      </c>
      <c r="J415" t="str">
        <f t="array" aca="1" ref="J415" ca="1">IFERROR(IF(OR(INDEX(checklistPesertaKemenkeu!$N$6:$N$1005,SMALL(IF(checklistPesertaKemenkeu!$AY$6:$AY$1005="Direkomendasikan",ROW($6:$1005)-5),414))="",INDEX(checklistPesertaKemenkeu!$J$6:$J$1005,SMALL(IF(checklistPesertaKemenkeu!$AY$6:$AY$1005="Direkomendasikan",ROW($6:$1005)-5),414))=""),"",IF(AND(COUNTIF(INDIRECT("K_"&amp;MATCH(INDEX(checklistPesertaKemenkeu!$J$6:$J$1005,SMALL(IF(checklistPesertaKemenkeu!$AY$6:$AY$1005="Direkomendasikan",ROW($6:$1005)-5),414)),BidangList,0)),INDEX(checklistPesertaKemenkeu!$N$6:$N$1005,SMALL(IF(checklistPesertaKemenkeu!$AY$6:$AY$1005="Direkomendasikan",ROW($6:$1005)-5),414)))&gt;0,COUNTIF(INDIRECT("'KERTAS KERJA'!K"&amp;(SMALL(IF(checklistPesertaKemenkeu!$AY$6:$AY$1005="Direkomendasikan",ROW($6:$1005)-5),414)+5)&amp;":O"&amp;(SMALL(IF(checklistPesertaKemenkeu!$AY$6:$AY$1005="Direkomendasikan",ROW($6:$1005)-5),414)+5)),INDEX(checklistPesertaKemenkeu!$N$6:$N$1005,SMALL(IF(checklistPesertaKemenkeu!$AY$6:$AY$1005="Direkomendasikan",ROW($6:$1005)-5),414)))=1),IFERROR(VLOOKUP(INDEX(checklistPesertaKemenkeu!$N$6:$N$1005,SMALL(IF(checklistPesertaKemenkeu!$AY$6:$AY$1005="Direkomendasikan",ROW($6:$1005)-5),414)),KotaKode,2,0),"-"),"")),"")</f>
        <v/>
      </c>
      <c r="K415" t="str">
        <f t="array" aca="1" ref="K415" ca="1">IFERROR(IF(OR(INDEX(checklistPesertaKemenkeu!$O$6:$O$1005,SMALL(IF(checklistPesertaKemenkeu!$AY$6:$AY$1005="Direkomendasikan",ROW($6:$1005)-5),414))="",INDEX(checklistPesertaKemenkeu!$J$6:$J$1005,SMALL(IF(checklistPesertaKemenkeu!$AY$6:$AY$1005="Direkomendasikan",ROW($6:$1005)-5),414))=""),"",IF(AND(COUNTIF(INDIRECT("K_"&amp;MATCH(INDEX(checklistPesertaKemenkeu!$J$6:$J$1005,SMALL(IF(checklistPesertaKemenkeu!$AY$6:$AY$1005="Direkomendasikan",ROW($6:$1005)-5),414)),BidangList,0)),INDEX(checklistPesertaKemenkeu!$O$6:$O$1005,SMALL(IF(checklistPesertaKemenkeu!$AY$6:$AY$1005="Direkomendasikan",ROW($6:$1005)-5),414)))&gt;0,COUNTIF(INDIRECT("'KERTAS KERJA'!K"&amp;(SMALL(IF(checklistPesertaKemenkeu!$AY$6:$AY$1005="Direkomendasikan",ROW($6:$1005)-5),414)+5)&amp;":O"&amp;(SMALL(IF(checklistPesertaKemenkeu!$AY$6:$AY$1005="Direkomendasikan",ROW($6:$1005)-5),414)+5)),INDEX(checklistPesertaKemenkeu!$O$6:$O$1005,SMALL(IF(checklistPesertaKemenkeu!$AY$6:$AY$1005="Direkomendasikan",ROW($6:$1005)-5),414)))=1),IFERROR(VLOOKUP(INDEX(checklistPesertaKemenkeu!$O$6:$O$1005,SMALL(IF(checklistPesertaKemenkeu!$AY$6:$AY$1005="Direkomendasikan",ROW($6:$1005)-5),414)),KotaKode,2,0),"-"),"")),"")</f>
        <v/>
      </c>
      <c r="L415" t="str">
        <f t="array" aca="1" ref="L415" ca="1">IFERROR(IF(OR(INDEX(checklistPesertaKemenkeu!$P$6:$P$1005,SMALL(IF(checklistPesertaKemenkeu!$AY$6:$AY$1005="Direkomendasikan",ROW($6:$1005)-5),414))="",INDEX(checklistPesertaKemenkeu!$J$6:$J$1005,SMALL(IF(checklistPesertaKemenkeu!$AY$6:$AY$1005="Direkomendasikan",ROW($6:$1005)-5),414))=""),"",IF(AND(COUNTIF(INDIRECT("K_"&amp;MATCH(INDEX(checklistPesertaKemenkeu!$J$6:$J$1005,SMALL(IF(checklistPesertaKemenkeu!$AY$6:$AY$1005="Direkomendasikan",ROW($6:$1005)-5),414)),BidangList,0)),INDEX(checklistPesertaKemenkeu!$P$6:$P$1005,SMALL(IF(checklistPesertaKemenkeu!$AY$6:$AY$1005="Direkomendasikan",ROW($6:$1005)-5),414)))&gt;0,COUNTIF(INDIRECT("'KERTAS KERJA'!K"&amp;(SMALL(IF(checklistPesertaKemenkeu!$AY$6:$AY$1005="Direkomendasikan",ROW($6:$1005)-5),414)+5)&amp;":O"&amp;(SMALL(IF(checklistPesertaKemenkeu!$AY$6:$AY$1005="Direkomendasikan",ROW($6:$1005)-5),414)+5)),INDEX(checklistPesertaKemenkeu!$P$6:$P$1005,SMALL(IF(checklistPesertaKemenkeu!$AY$6:$AY$1005="Direkomendasikan",ROW($6:$1005)-5),414)))=1),IFERROR(VLOOKUP(INDEX(checklistPesertaKemenkeu!$P$6:$P$1005,SMALL(IF(checklistPesertaKemenkeu!$AY$6:$AY$1005="Direkomendasikan",ROW($6:$1005)-5),414)),KotaKode,2,0),"-"),"")),"")</f>
        <v/>
      </c>
    </row>
    <row r="416" spans="1:12" ht="15" customHeight="1" x14ac:dyDescent="0.2">
      <c r="A416" t="str">
        <f t="shared" si="6"/>
        <v/>
      </c>
      <c r="B416" t="str">
        <v/>
      </c>
      <c r="C416" s="40" t="str">
        <f t="array" ref="C416">IFERROR(INDEX(checklistPesertaKemenkeu!$F$6:$F$1005,SMALL(IF(checklistPesertaKemenkeu!$AY$6:$AY$1005="Direkomendasikan",ROW($6:$1005)-5),415)),"")</f>
        <v/>
      </c>
      <c r="D416" t="str">
        <f t="array" ref="D416">IFERROR(INDEX(checklistPesertaKemenkeu!$G$6:$G$1005,SMALL(IF(checklistPesertaKemenkeu!$AY$6:$AY$1005="Direkomendasikan",ROW($6:$1005)-5),415)),"")</f>
        <v/>
      </c>
      <c r="E416" t="str">
        <f t="array" ref="E416">IFERROR(INDEX(checklistPesertaKemenkeu!$H$6:$H$1005,SMALL(IF(checklistPesertaKemenkeu!$AY$6:$AY$1005="Direkomendasikan",ROW($6:$1005)-5),415)),"")</f>
        <v/>
      </c>
      <c r="F416" t="str">
        <f t="array" ref="F416">IFERROR(INDEX(checklistPesertaKemenkeu!$I$6:$I$1005,SMALL(IF(checklistPesertaKemenkeu!$AY$6:$AY$1005="Direkomendasikan",ROW($6:$1005)-5),415)),"")</f>
        <v/>
      </c>
      <c r="G416" t="str">
        <f t="array" ref="G416">IFERROR(INDEX(checklistPesertaKemenkeu!$J$6:$J$1005,SMALL(IF(checklistPesertaKemenkeu!$AY$6:$AY$1005="Direkomendasikan",ROW($6:$1005)-5),415)),"")</f>
        <v/>
      </c>
      <c r="H416" t="str">
        <f t="array" aca="1" ref="H416" ca="1">IFERROR(IF(OR(INDEX(checklistPesertaKemenkeu!$L$6:$L$1005,SMALL(IF(checklistPesertaKemenkeu!$AY$6:$AY$1005="Direkomendasikan",ROW($6:$1005)-5),415))="",INDEX(checklistPesertaKemenkeu!$J$6:$J$1005,SMALL(IF(checklistPesertaKemenkeu!$AY$6:$AY$1005="Direkomendasikan",ROW($6:$1005)-5),415))=""),"",IF(AND(COUNTIF(INDIRECT("K_"&amp;MATCH(INDEX(checklistPesertaKemenkeu!$J$6:$J$1005,SMALL(IF(checklistPesertaKemenkeu!$AY$6:$AY$1005="Direkomendasikan",ROW($6:$1005)-5),415)),BidangList,0)),INDEX(checklistPesertaKemenkeu!$L$6:$L$1005,SMALL(IF(checklistPesertaKemenkeu!$AY$6:$AY$1005="Direkomendasikan",ROW($6:$1005)-5),415)))&gt;0,COUNTIF(INDIRECT("'KERTAS KERJA'!K"&amp;(SMALL(IF(checklistPesertaKemenkeu!$AY$6:$AY$1005="Direkomendasikan",ROW($6:$1005)-5),415)+5)&amp;":O"&amp;(SMALL(IF(checklistPesertaKemenkeu!$AY$6:$AY$1005="Direkomendasikan",ROW($6:$1005)-5),415)+5)),INDEX(checklistPesertaKemenkeu!$L$6:$L$1005,SMALL(IF(checklistPesertaKemenkeu!$AY$6:$AY$1005="Direkomendasikan",ROW($6:$1005)-5),415)))=1),IFERROR(VLOOKUP(INDEX(checklistPesertaKemenkeu!$L$6:$L$1005,SMALL(IF(checklistPesertaKemenkeu!$AY$6:$AY$1005="Direkomendasikan",ROW($6:$1005)-5),415)),KotaKode,2,0),"-"),"")),"")</f>
        <v/>
      </c>
      <c r="I416" t="str">
        <f t="array" aca="1" ref="I416" ca="1">IFERROR(IF(OR(INDEX(checklistPesertaKemenkeu!$M$6:$M$1005,SMALL(IF(checklistPesertaKemenkeu!$AY$6:$AY$1005="Direkomendasikan",ROW($6:$1005)-5),415))="",INDEX(checklistPesertaKemenkeu!$J$6:$J$1005,SMALL(IF(checklistPesertaKemenkeu!$AY$6:$AY$1005="Direkomendasikan",ROW($6:$1005)-5),415))=""),"",IF(AND(COUNTIF(INDIRECT("K_"&amp;MATCH(INDEX(checklistPesertaKemenkeu!$J$6:$J$1005,SMALL(IF(checklistPesertaKemenkeu!$AY$6:$AY$1005="Direkomendasikan",ROW($6:$1005)-5),415)),BidangList,0)),INDEX(checklistPesertaKemenkeu!$M$6:$M$1005,SMALL(IF(checklistPesertaKemenkeu!$AY$6:$AY$1005="Direkomendasikan",ROW($6:$1005)-5),415)))&gt;0,COUNTIF(INDIRECT("'KERTAS KERJA'!K"&amp;(SMALL(IF(checklistPesertaKemenkeu!$AY$6:$AY$1005="Direkomendasikan",ROW($6:$1005)-5),415)+5)&amp;":O"&amp;(SMALL(IF(checklistPesertaKemenkeu!$AY$6:$AY$1005="Direkomendasikan",ROW($6:$1005)-5),415)+5)),INDEX(checklistPesertaKemenkeu!$M$6:$M$1005,SMALL(IF(checklistPesertaKemenkeu!$AY$6:$AY$1005="Direkomendasikan",ROW($6:$1005)-5),415)))=1),IFERROR(VLOOKUP(INDEX(checklistPesertaKemenkeu!$M$6:$M$1005,SMALL(IF(checklistPesertaKemenkeu!$AY$6:$AY$1005="Direkomendasikan",ROW($6:$1005)-5),415)),KotaKode,2,0),"-"),"")),"")</f>
        <v/>
      </c>
      <c r="J416" t="str">
        <f t="array" aca="1" ref="J416" ca="1">IFERROR(IF(OR(INDEX(checklistPesertaKemenkeu!$N$6:$N$1005,SMALL(IF(checklistPesertaKemenkeu!$AY$6:$AY$1005="Direkomendasikan",ROW($6:$1005)-5),415))="",INDEX(checklistPesertaKemenkeu!$J$6:$J$1005,SMALL(IF(checklistPesertaKemenkeu!$AY$6:$AY$1005="Direkomendasikan",ROW($6:$1005)-5),415))=""),"",IF(AND(COUNTIF(INDIRECT("K_"&amp;MATCH(INDEX(checklistPesertaKemenkeu!$J$6:$J$1005,SMALL(IF(checklistPesertaKemenkeu!$AY$6:$AY$1005="Direkomendasikan",ROW($6:$1005)-5),415)),BidangList,0)),INDEX(checklistPesertaKemenkeu!$N$6:$N$1005,SMALL(IF(checklistPesertaKemenkeu!$AY$6:$AY$1005="Direkomendasikan",ROW($6:$1005)-5),415)))&gt;0,COUNTIF(INDIRECT("'KERTAS KERJA'!K"&amp;(SMALL(IF(checklistPesertaKemenkeu!$AY$6:$AY$1005="Direkomendasikan",ROW($6:$1005)-5),415)+5)&amp;":O"&amp;(SMALL(IF(checklistPesertaKemenkeu!$AY$6:$AY$1005="Direkomendasikan",ROW($6:$1005)-5),415)+5)),INDEX(checklistPesertaKemenkeu!$N$6:$N$1005,SMALL(IF(checklistPesertaKemenkeu!$AY$6:$AY$1005="Direkomendasikan",ROW($6:$1005)-5),415)))=1),IFERROR(VLOOKUP(INDEX(checklistPesertaKemenkeu!$N$6:$N$1005,SMALL(IF(checklistPesertaKemenkeu!$AY$6:$AY$1005="Direkomendasikan",ROW($6:$1005)-5),415)),KotaKode,2,0),"-"),"")),"")</f>
        <v/>
      </c>
      <c r="K416" t="str">
        <f t="array" aca="1" ref="K416" ca="1">IFERROR(IF(OR(INDEX(checklistPesertaKemenkeu!$O$6:$O$1005,SMALL(IF(checklistPesertaKemenkeu!$AY$6:$AY$1005="Direkomendasikan",ROW($6:$1005)-5),415))="",INDEX(checklistPesertaKemenkeu!$J$6:$J$1005,SMALL(IF(checklistPesertaKemenkeu!$AY$6:$AY$1005="Direkomendasikan",ROW($6:$1005)-5),415))=""),"",IF(AND(COUNTIF(INDIRECT("K_"&amp;MATCH(INDEX(checklistPesertaKemenkeu!$J$6:$J$1005,SMALL(IF(checklistPesertaKemenkeu!$AY$6:$AY$1005="Direkomendasikan",ROW($6:$1005)-5),415)),BidangList,0)),INDEX(checklistPesertaKemenkeu!$O$6:$O$1005,SMALL(IF(checklistPesertaKemenkeu!$AY$6:$AY$1005="Direkomendasikan",ROW($6:$1005)-5),415)))&gt;0,COUNTIF(INDIRECT("'KERTAS KERJA'!K"&amp;(SMALL(IF(checklistPesertaKemenkeu!$AY$6:$AY$1005="Direkomendasikan",ROW($6:$1005)-5),415)+5)&amp;":O"&amp;(SMALL(IF(checklistPesertaKemenkeu!$AY$6:$AY$1005="Direkomendasikan",ROW($6:$1005)-5),415)+5)),INDEX(checklistPesertaKemenkeu!$O$6:$O$1005,SMALL(IF(checklistPesertaKemenkeu!$AY$6:$AY$1005="Direkomendasikan",ROW($6:$1005)-5),415)))=1),IFERROR(VLOOKUP(INDEX(checklistPesertaKemenkeu!$O$6:$O$1005,SMALL(IF(checklistPesertaKemenkeu!$AY$6:$AY$1005="Direkomendasikan",ROW($6:$1005)-5),415)),KotaKode,2,0),"-"),"")),"")</f>
        <v/>
      </c>
      <c r="L416" t="str">
        <f t="array" aca="1" ref="L416" ca="1">IFERROR(IF(OR(INDEX(checklistPesertaKemenkeu!$P$6:$P$1005,SMALL(IF(checklistPesertaKemenkeu!$AY$6:$AY$1005="Direkomendasikan",ROW($6:$1005)-5),415))="",INDEX(checklistPesertaKemenkeu!$J$6:$J$1005,SMALL(IF(checklistPesertaKemenkeu!$AY$6:$AY$1005="Direkomendasikan",ROW($6:$1005)-5),415))=""),"",IF(AND(COUNTIF(INDIRECT("K_"&amp;MATCH(INDEX(checklistPesertaKemenkeu!$J$6:$J$1005,SMALL(IF(checklistPesertaKemenkeu!$AY$6:$AY$1005="Direkomendasikan",ROW($6:$1005)-5),415)),BidangList,0)),INDEX(checklistPesertaKemenkeu!$P$6:$P$1005,SMALL(IF(checklistPesertaKemenkeu!$AY$6:$AY$1005="Direkomendasikan",ROW($6:$1005)-5),415)))&gt;0,COUNTIF(INDIRECT("'KERTAS KERJA'!K"&amp;(SMALL(IF(checklistPesertaKemenkeu!$AY$6:$AY$1005="Direkomendasikan",ROW($6:$1005)-5),415)+5)&amp;":O"&amp;(SMALL(IF(checklistPesertaKemenkeu!$AY$6:$AY$1005="Direkomendasikan",ROW($6:$1005)-5),415)+5)),INDEX(checklistPesertaKemenkeu!$P$6:$P$1005,SMALL(IF(checklistPesertaKemenkeu!$AY$6:$AY$1005="Direkomendasikan",ROW($6:$1005)-5),415)))=1),IFERROR(VLOOKUP(INDEX(checklistPesertaKemenkeu!$P$6:$P$1005,SMALL(IF(checklistPesertaKemenkeu!$AY$6:$AY$1005="Direkomendasikan",ROW($6:$1005)-5),415)),KotaKode,2,0),"-"),"")),"")</f>
        <v/>
      </c>
    </row>
    <row r="417" spans="1:12" ht="15" customHeight="1" x14ac:dyDescent="0.2">
      <c r="A417" t="str">
        <f t="shared" si="6"/>
        <v/>
      </c>
      <c r="B417" t="str">
        <v/>
      </c>
      <c r="C417" s="40" t="str">
        <f t="array" ref="C417">IFERROR(INDEX(checklistPesertaKemenkeu!$F$6:$F$1005,SMALL(IF(checklistPesertaKemenkeu!$AY$6:$AY$1005="Direkomendasikan",ROW($6:$1005)-5),416)),"")</f>
        <v/>
      </c>
      <c r="D417" t="str">
        <f t="array" ref="D417">IFERROR(INDEX(checklistPesertaKemenkeu!$G$6:$G$1005,SMALL(IF(checklistPesertaKemenkeu!$AY$6:$AY$1005="Direkomendasikan",ROW($6:$1005)-5),416)),"")</f>
        <v/>
      </c>
      <c r="E417" t="str">
        <f t="array" ref="E417">IFERROR(INDEX(checklistPesertaKemenkeu!$H$6:$H$1005,SMALL(IF(checklistPesertaKemenkeu!$AY$6:$AY$1005="Direkomendasikan",ROW($6:$1005)-5),416)),"")</f>
        <v/>
      </c>
      <c r="F417" t="str">
        <f t="array" ref="F417">IFERROR(INDEX(checklistPesertaKemenkeu!$I$6:$I$1005,SMALL(IF(checklistPesertaKemenkeu!$AY$6:$AY$1005="Direkomendasikan",ROW($6:$1005)-5),416)),"")</f>
        <v/>
      </c>
      <c r="G417" t="str">
        <f t="array" ref="G417">IFERROR(INDEX(checklistPesertaKemenkeu!$J$6:$J$1005,SMALL(IF(checklistPesertaKemenkeu!$AY$6:$AY$1005="Direkomendasikan",ROW($6:$1005)-5),416)),"")</f>
        <v/>
      </c>
      <c r="H417" t="str">
        <f t="array" aca="1" ref="H417" ca="1">IFERROR(IF(OR(INDEX(checklistPesertaKemenkeu!$L$6:$L$1005,SMALL(IF(checklistPesertaKemenkeu!$AY$6:$AY$1005="Direkomendasikan",ROW($6:$1005)-5),416))="",INDEX(checklistPesertaKemenkeu!$J$6:$J$1005,SMALL(IF(checklistPesertaKemenkeu!$AY$6:$AY$1005="Direkomendasikan",ROW($6:$1005)-5),416))=""),"",IF(AND(COUNTIF(INDIRECT("K_"&amp;MATCH(INDEX(checklistPesertaKemenkeu!$J$6:$J$1005,SMALL(IF(checklistPesertaKemenkeu!$AY$6:$AY$1005="Direkomendasikan",ROW($6:$1005)-5),416)),BidangList,0)),INDEX(checklistPesertaKemenkeu!$L$6:$L$1005,SMALL(IF(checklistPesertaKemenkeu!$AY$6:$AY$1005="Direkomendasikan",ROW($6:$1005)-5),416)))&gt;0,COUNTIF(INDIRECT("'KERTAS KERJA'!K"&amp;(SMALL(IF(checklistPesertaKemenkeu!$AY$6:$AY$1005="Direkomendasikan",ROW($6:$1005)-5),416)+5)&amp;":O"&amp;(SMALL(IF(checklistPesertaKemenkeu!$AY$6:$AY$1005="Direkomendasikan",ROW($6:$1005)-5),416)+5)),INDEX(checklistPesertaKemenkeu!$L$6:$L$1005,SMALL(IF(checklistPesertaKemenkeu!$AY$6:$AY$1005="Direkomendasikan",ROW($6:$1005)-5),416)))=1),IFERROR(VLOOKUP(INDEX(checklistPesertaKemenkeu!$L$6:$L$1005,SMALL(IF(checklistPesertaKemenkeu!$AY$6:$AY$1005="Direkomendasikan",ROW($6:$1005)-5),416)),KotaKode,2,0),"-"),"")),"")</f>
        <v/>
      </c>
      <c r="I417" t="str">
        <f t="array" aca="1" ref="I417" ca="1">IFERROR(IF(OR(INDEX(checklistPesertaKemenkeu!$M$6:$M$1005,SMALL(IF(checklistPesertaKemenkeu!$AY$6:$AY$1005="Direkomendasikan",ROW($6:$1005)-5),416))="",INDEX(checklistPesertaKemenkeu!$J$6:$J$1005,SMALL(IF(checklistPesertaKemenkeu!$AY$6:$AY$1005="Direkomendasikan",ROW($6:$1005)-5),416))=""),"",IF(AND(COUNTIF(INDIRECT("K_"&amp;MATCH(INDEX(checklistPesertaKemenkeu!$J$6:$J$1005,SMALL(IF(checklistPesertaKemenkeu!$AY$6:$AY$1005="Direkomendasikan",ROW($6:$1005)-5),416)),BidangList,0)),INDEX(checklistPesertaKemenkeu!$M$6:$M$1005,SMALL(IF(checklistPesertaKemenkeu!$AY$6:$AY$1005="Direkomendasikan",ROW($6:$1005)-5),416)))&gt;0,COUNTIF(INDIRECT("'KERTAS KERJA'!K"&amp;(SMALL(IF(checklistPesertaKemenkeu!$AY$6:$AY$1005="Direkomendasikan",ROW($6:$1005)-5),416)+5)&amp;":O"&amp;(SMALL(IF(checklistPesertaKemenkeu!$AY$6:$AY$1005="Direkomendasikan",ROW($6:$1005)-5),416)+5)),INDEX(checklistPesertaKemenkeu!$M$6:$M$1005,SMALL(IF(checklistPesertaKemenkeu!$AY$6:$AY$1005="Direkomendasikan",ROW($6:$1005)-5),416)))=1),IFERROR(VLOOKUP(INDEX(checklistPesertaKemenkeu!$M$6:$M$1005,SMALL(IF(checklistPesertaKemenkeu!$AY$6:$AY$1005="Direkomendasikan",ROW($6:$1005)-5),416)),KotaKode,2,0),"-"),"")),"")</f>
        <v/>
      </c>
      <c r="J417" t="str">
        <f t="array" aca="1" ref="J417" ca="1">IFERROR(IF(OR(INDEX(checklistPesertaKemenkeu!$N$6:$N$1005,SMALL(IF(checklistPesertaKemenkeu!$AY$6:$AY$1005="Direkomendasikan",ROW($6:$1005)-5),416))="",INDEX(checklistPesertaKemenkeu!$J$6:$J$1005,SMALL(IF(checklistPesertaKemenkeu!$AY$6:$AY$1005="Direkomendasikan",ROW($6:$1005)-5),416))=""),"",IF(AND(COUNTIF(INDIRECT("K_"&amp;MATCH(INDEX(checklistPesertaKemenkeu!$J$6:$J$1005,SMALL(IF(checklistPesertaKemenkeu!$AY$6:$AY$1005="Direkomendasikan",ROW($6:$1005)-5),416)),BidangList,0)),INDEX(checklistPesertaKemenkeu!$N$6:$N$1005,SMALL(IF(checklistPesertaKemenkeu!$AY$6:$AY$1005="Direkomendasikan",ROW($6:$1005)-5),416)))&gt;0,COUNTIF(INDIRECT("'KERTAS KERJA'!K"&amp;(SMALL(IF(checklistPesertaKemenkeu!$AY$6:$AY$1005="Direkomendasikan",ROW($6:$1005)-5),416)+5)&amp;":O"&amp;(SMALL(IF(checklistPesertaKemenkeu!$AY$6:$AY$1005="Direkomendasikan",ROW($6:$1005)-5),416)+5)),INDEX(checklistPesertaKemenkeu!$N$6:$N$1005,SMALL(IF(checklistPesertaKemenkeu!$AY$6:$AY$1005="Direkomendasikan",ROW($6:$1005)-5),416)))=1),IFERROR(VLOOKUP(INDEX(checklistPesertaKemenkeu!$N$6:$N$1005,SMALL(IF(checklistPesertaKemenkeu!$AY$6:$AY$1005="Direkomendasikan",ROW($6:$1005)-5),416)),KotaKode,2,0),"-"),"")),"")</f>
        <v/>
      </c>
      <c r="K417" t="str">
        <f t="array" aca="1" ref="K417" ca="1">IFERROR(IF(OR(INDEX(checklistPesertaKemenkeu!$O$6:$O$1005,SMALL(IF(checklistPesertaKemenkeu!$AY$6:$AY$1005="Direkomendasikan",ROW($6:$1005)-5),416))="",INDEX(checklistPesertaKemenkeu!$J$6:$J$1005,SMALL(IF(checklistPesertaKemenkeu!$AY$6:$AY$1005="Direkomendasikan",ROW($6:$1005)-5),416))=""),"",IF(AND(COUNTIF(INDIRECT("K_"&amp;MATCH(INDEX(checklistPesertaKemenkeu!$J$6:$J$1005,SMALL(IF(checklistPesertaKemenkeu!$AY$6:$AY$1005="Direkomendasikan",ROW($6:$1005)-5),416)),BidangList,0)),INDEX(checklistPesertaKemenkeu!$O$6:$O$1005,SMALL(IF(checklistPesertaKemenkeu!$AY$6:$AY$1005="Direkomendasikan",ROW($6:$1005)-5),416)))&gt;0,COUNTIF(INDIRECT("'KERTAS KERJA'!K"&amp;(SMALL(IF(checklistPesertaKemenkeu!$AY$6:$AY$1005="Direkomendasikan",ROW($6:$1005)-5),416)+5)&amp;":O"&amp;(SMALL(IF(checklistPesertaKemenkeu!$AY$6:$AY$1005="Direkomendasikan",ROW($6:$1005)-5),416)+5)),INDEX(checklistPesertaKemenkeu!$O$6:$O$1005,SMALL(IF(checklistPesertaKemenkeu!$AY$6:$AY$1005="Direkomendasikan",ROW($6:$1005)-5),416)))=1),IFERROR(VLOOKUP(INDEX(checklistPesertaKemenkeu!$O$6:$O$1005,SMALL(IF(checklistPesertaKemenkeu!$AY$6:$AY$1005="Direkomendasikan",ROW($6:$1005)-5),416)),KotaKode,2,0),"-"),"")),"")</f>
        <v/>
      </c>
      <c r="L417" t="str">
        <f t="array" aca="1" ref="L417" ca="1">IFERROR(IF(OR(INDEX(checklistPesertaKemenkeu!$P$6:$P$1005,SMALL(IF(checklistPesertaKemenkeu!$AY$6:$AY$1005="Direkomendasikan",ROW($6:$1005)-5),416))="",INDEX(checklistPesertaKemenkeu!$J$6:$J$1005,SMALL(IF(checklistPesertaKemenkeu!$AY$6:$AY$1005="Direkomendasikan",ROW($6:$1005)-5),416))=""),"",IF(AND(COUNTIF(INDIRECT("K_"&amp;MATCH(INDEX(checklistPesertaKemenkeu!$J$6:$J$1005,SMALL(IF(checklistPesertaKemenkeu!$AY$6:$AY$1005="Direkomendasikan",ROW($6:$1005)-5),416)),BidangList,0)),INDEX(checklistPesertaKemenkeu!$P$6:$P$1005,SMALL(IF(checklistPesertaKemenkeu!$AY$6:$AY$1005="Direkomendasikan",ROW($6:$1005)-5),416)))&gt;0,COUNTIF(INDIRECT("'KERTAS KERJA'!K"&amp;(SMALL(IF(checklistPesertaKemenkeu!$AY$6:$AY$1005="Direkomendasikan",ROW($6:$1005)-5),416)+5)&amp;":O"&amp;(SMALL(IF(checklistPesertaKemenkeu!$AY$6:$AY$1005="Direkomendasikan",ROW($6:$1005)-5),416)+5)),INDEX(checklistPesertaKemenkeu!$P$6:$P$1005,SMALL(IF(checklistPesertaKemenkeu!$AY$6:$AY$1005="Direkomendasikan",ROW($6:$1005)-5),416)))=1),IFERROR(VLOOKUP(INDEX(checklistPesertaKemenkeu!$P$6:$P$1005,SMALL(IF(checklistPesertaKemenkeu!$AY$6:$AY$1005="Direkomendasikan",ROW($6:$1005)-5),416)),KotaKode,2,0),"-"),"")),"")</f>
        <v/>
      </c>
    </row>
    <row r="418" spans="1:12" ht="15" customHeight="1" x14ac:dyDescent="0.2">
      <c r="A418" t="str">
        <f t="shared" si="6"/>
        <v/>
      </c>
      <c r="B418" t="str">
        <v/>
      </c>
      <c r="C418" s="40" t="str">
        <f t="array" ref="C418">IFERROR(INDEX(checklistPesertaKemenkeu!$F$6:$F$1005,SMALL(IF(checklistPesertaKemenkeu!$AY$6:$AY$1005="Direkomendasikan",ROW($6:$1005)-5),417)),"")</f>
        <v/>
      </c>
      <c r="D418" t="str">
        <f t="array" ref="D418">IFERROR(INDEX(checklistPesertaKemenkeu!$G$6:$G$1005,SMALL(IF(checklistPesertaKemenkeu!$AY$6:$AY$1005="Direkomendasikan",ROW($6:$1005)-5),417)),"")</f>
        <v/>
      </c>
      <c r="E418" t="str">
        <f t="array" ref="E418">IFERROR(INDEX(checklistPesertaKemenkeu!$H$6:$H$1005,SMALL(IF(checklistPesertaKemenkeu!$AY$6:$AY$1005="Direkomendasikan",ROW($6:$1005)-5),417)),"")</f>
        <v/>
      </c>
      <c r="F418" t="str">
        <f t="array" ref="F418">IFERROR(INDEX(checklistPesertaKemenkeu!$I$6:$I$1005,SMALL(IF(checklistPesertaKemenkeu!$AY$6:$AY$1005="Direkomendasikan",ROW($6:$1005)-5),417)),"")</f>
        <v/>
      </c>
      <c r="G418" t="str">
        <f t="array" ref="G418">IFERROR(INDEX(checklistPesertaKemenkeu!$J$6:$J$1005,SMALL(IF(checklistPesertaKemenkeu!$AY$6:$AY$1005="Direkomendasikan",ROW($6:$1005)-5),417)),"")</f>
        <v/>
      </c>
      <c r="H418" t="str">
        <f t="array" aca="1" ref="H418" ca="1">IFERROR(IF(OR(INDEX(checklistPesertaKemenkeu!$L$6:$L$1005,SMALL(IF(checklistPesertaKemenkeu!$AY$6:$AY$1005="Direkomendasikan",ROW($6:$1005)-5),417))="",INDEX(checklistPesertaKemenkeu!$J$6:$J$1005,SMALL(IF(checklistPesertaKemenkeu!$AY$6:$AY$1005="Direkomendasikan",ROW($6:$1005)-5),417))=""),"",IF(AND(COUNTIF(INDIRECT("K_"&amp;MATCH(INDEX(checklistPesertaKemenkeu!$J$6:$J$1005,SMALL(IF(checklistPesertaKemenkeu!$AY$6:$AY$1005="Direkomendasikan",ROW($6:$1005)-5),417)),BidangList,0)),INDEX(checklistPesertaKemenkeu!$L$6:$L$1005,SMALL(IF(checklistPesertaKemenkeu!$AY$6:$AY$1005="Direkomendasikan",ROW($6:$1005)-5),417)))&gt;0,COUNTIF(INDIRECT("'KERTAS KERJA'!K"&amp;(SMALL(IF(checklistPesertaKemenkeu!$AY$6:$AY$1005="Direkomendasikan",ROW($6:$1005)-5),417)+5)&amp;":O"&amp;(SMALL(IF(checklistPesertaKemenkeu!$AY$6:$AY$1005="Direkomendasikan",ROW($6:$1005)-5),417)+5)),INDEX(checklistPesertaKemenkeu!$L$6:$L$1005,SMALL(IF(checklistPesertaKemenkeu!$AY$6:$AY$1005="Direkomendasikan",ROW($6:$1005)-5),417)))=1),IFERROR(VLOOKUP(INDEX(checklistPesertaKemenkeu!$L$6:$L$1005,SMALL(IF(checklistPesertaKemenkeu!$AY$6:$AY$1005="Direkomendasikan",ROW($6:$1005)-5),417)),KotaKode,2,0),"-"),"")),"")</f>
        <v/>
      </c>
      <c r="I418" t="str">
        <f t="array" aca="1" ref="I418" ca="1">IFERROR(IF(OR(INDEX(checklistPesertaKemenkeu!$M$6:$M$1005,SMALL(IF(checklistPesertaKemenkeu!$AY$6:$AY$1005="Direkomendasikan",ROW($6:$1005)-5),417))="",INDEX(checklistPesertaKemenkeu!$J$6:$J$1005,SMALL(IF(checklistPesertaKemenkeu!$AY$6:$AY$1005="Direkomendasikan",ROW($6:$1005)-5),417))=""),"",IF(AND(COUNTIF(INDIRECT("K_"&amp;MATCH(INDEX(checklistPesertaKemenkeu!$J$6:$J$1005,SMALL(IF(checklistPesertaKemenkeu!$AY$6:$AY$1005="Direkomendasikan",ROW($6:$1005)-5),417)),BidangList,0)),INDEX(checklistPesertaKemenkeu!$M$6:$M$1005,SMALL(IF(checklistPesertaKemenkeu!$AY$6:$AY$1005="Direkomendasikan",ROW($6:$1005)-5),417)))&gt;0,COUNTIF(INDIRECT("'KERTAS KERJA'!K"&amp;(SMALL(IF(checklistPesertaKemenkeu!$AY$6:$AY$1005="Direkomendasikan",ROW($6:$1005)-5),417)+5)&amp;":O"&amp;(SMALL(IF(checklistPesertaKemenkeu!$AY$6:$AY$1005="Direkomendasikan",ROW($6:$1005)-5),417)+5)),INDEX(checklistPesertaKemenkeu!$M$6:$M$1005,SMALL(IF(checklistPesertaKemenkeu!$AY$6:$AY$1005="Direkomendasikan",ROW($6:$1005)-5),417)))=1),IFERROR(VLOOKUP(INDEX(checklistPesertaKemenkeu!$M$6:$M$1005,SMALL(IF(checklistPesertaKemenkeu!$AY$6:$AY$1005="Direkomendasikan",ROW($6:$1005)-5),417)),KotaKode,2,0),"-"),"")),"")</f>
        <v/>
      </c>
      <c r="J418" t="str">
        <f t="array" aca="1" ref="J418" ca="1">IFERROR(IF(OR(INDEX(checklistPesertaKemenkeu!$N$6:$N$1005,SMALL(IF(checklistPesertaKemenkeu!$AY$6:$AY$1005="Direkomendasikan",ROW($6:$1005)-5),417))="",INDEX(checklistPesertaKemenkeu!$J$6:$J$1005,SMALL(IF(checklistPesertaKemenkeu!$AY$6:$AY$1005="Direkomendasikan",ROW($6:$1005)-5),417))=""),"",IF(AND(COUNTIF(INDIRECT("K_"&amp;MATCH(INDEX(checklistPesertaKemenkeu!$J$6:$J$1005,SMALL(IF(checklistPesertaKemenkeu!$AY$6:$AY$1005="Direkomendasikan",ROW($6:$1005)-5),417)),BidangList,0)),INDEX(checklistPesertaKemenkeu!$N$6:$N$1005,SMALL(IF(checklistPesertaKemenkeu!$AY$6:$AY$1005="Direkomendasikan",ROW($6:$1005)-5),417)))&gt;0,COUNTIF(INDIRECT("'KERTAS KERJA'!K"&amp;(SMALL(IF(checklistPesertaKemenkeu!$AY$6:$AY$1005="Direkomendasikan",ROW($6:$1005)-5),417)+5)&amp;":O"&amp;(SMALL(IF(checklistPesertaKemenkeu!$AY$6:$AY$1005="Direkomendasikan",ROW($6:$1005)-5),417)+5)),INDEX(checklistPesertaKemenkeu!$N$6:$N$1005,SMALL(IF(checklistPesertaKemenkeu!$AY$6:$AY$1005="Direkomendasikan",ROW($6:$1005)-5),417)))=1),IFERROR(VLOOKUP(INDEX(checklistPesertaKemenkeu!$N$6:$N$1005,SMALL(IF(checklistPesertaKemenkeu!$AY$6:$AY$1005="Direkomendasikan",ROW($6:$1005)-5),417)),KotaKode,2,0),"-"),"")),"")</f>
        <v/>
      </c>
      <c r="K418" t="str">
        <f t="array" aca="1" ref="K418" ca="1">IFERROR(IF(OR(INDEX(checklistPesertaKemenkeu!$O$6:$O$1005,SMALL(IF(checklistPesertaKemenkeu!$AY$6:$AY$1005="Direkomendasikan",ROW($6:$1005)-5),417))="",INDEX(checklistPesertaKemenkeu!$J$6:$J$1005,SMALL(IF(checklistPesertaKemenkeu!$AY$6:$AY$1005="Direkomendasikan",ROW($6:$1005)-5),417))=""),"",IF(AND(COUNTIF(INDIRECT("K_"&amp;MATCH(INDEX(checklistPesertaKemenkeu!$J$6:$J$1005,SMALL(IF(checklistPesertaKemenkeu!$AY$6:$AY$1005="Direkomendasikan",ROW($6:$1005)-5),417)),BidangList,0)),INDEX(checklistPesertaKemenkeu!$O$6:$O$1005,SMALL(IF(checklistPesertaKemenkeu!$AY$6:$AY$1005="Direkomendasikan",ROW($6:$1005)-5),417)))&gt;0,COUNTIF(INDIRECT("'KERTAS KERJA'!K"&amp;(SMALL(IF(checklistPesertaKemenkeu!$AY$6:$AY$1005="Direkomendasikan",ROW($6:$1005)-5),417)+5)&amp;":O"&amp;(SMALL(IF(checklistPesertaKemenkeu!$AY$6:$AY$1005="Direkomendasikan",ROW($6:$1005)-5),417)+5)),INDEX(checklistPesertaKemenkeu!$O$6:$O$1005,SMALL(IF(checklistPesertaKemenkeu!$AY$6:$AY$1005="Direkomendasikan",ROW($6:$1005)-5),417)))=1),IFERROR(VLOOKUP(INDEX(checklistPesertaKemenkeu!$O$6:$O$1005,SMALL(IF(checklistPesertaKemenkeu!$AY$6:$AY$1005="Direkomendasikan",ROW($6:$1005)-5),417)),KotaKode,2,0),"-"),"")),"")</f>
        <v/>
      </c>
      <c r="L418" t="str">
        <f t="array" aca="1" ref="L418" ca="1">IFERROR(IF(OR(INDEX(checklistPesertaKemenkeu!$P$6:$P$1005,SMALL(IF(checklistPesertaKemenkeu!$AY$6:$AY$1005="Direkomendasikan",ROW($6:$1005)-5),417))="",INDEX(checklistPesertaKemenkeu!$J$6:$J$1005,SMALL(IF(checklistPesertaKemenkeu!$AY$6:$AY$1005="Direkomendasikan",ROW($6:$1005)-5),417))=""),"",IF(AND(COUNTIF(INDIRECT("K_"&amp;MATCH(INDEX(checklistPesertaKemenkeu!$J$6:$J$1005,SMALL(IF(checklistPesertaKemenkeu!$AY$6:$AY$1005="Direkomendasikan",ROW($6:$1005)-5),417)),BidangList,0)),INDEX(checklistPesertaKemenkeu!$P$6:$P$1005,SMALL(IF(checklistPesertaKemenkeu!$AY$6:$AY$1005="Direkomendasikan",ROW($6:$1005)-5),417)))&gt;0,COUNTIF(INDIRECT("'KERTAS KERJA'!K"&amp;(SMALL(IF(checklistPesertaKemenkeu!$AY$6:$AY$1005="Direkomendasikan",ROW($6:$1005)-5),417)+5)&amp;":O"&amp;(SMALL(IF(checklistPesertaKemenkeu!$AY$6:$AY$1005="Direkomendasikan",ROW($6:$1005)-5),417)+5)),INDEX(checklistPesertaKemenkeu!$P$6:$P$1005,SMALL(IF(checklistPesertaKemenkeu!$AY$6:$AY$1005="Direkomendasikan",ROW($6:$1005)-5),417)))=1),IFERROR(VLOOKUP(INDEX(checklistPesertaKemenkeu!$P$6:$P$1005,SMALL(IF(checklistPesertaKemenkeu!$AY$6:$AY$1005="Direkomendasikan",ROW($6:$1005)-5),417)),KotaKode,2,0),"-"),"")),"")</f>
        <v/>
      </c>
    </row>
    <row r="419" spans="1:12" ht="15" customHeight="1" x14ac:dyDescent="0.2">
      <c r="A419" t="str">
        <f t="shared" si="6"/>
        <v/>
      </c>
      <c r="B419" t="str">
        <v/>
      </c>
      <c r="C419" s="40" t="str">
        <f t="array" ref="C419">IFERROR(INDEX(checklistPesertaKemenkeu!$F$6:$F$1005,SMALL(IF(checklistPesertaKemenkeu!$AY$6:$AY$1005="Direkomendasikan",ROW($6:$1005)-5),418)),"")</f>
        <v/>
      </c>
      <c r="D419" t="str">
        <f t="array" ref="D419">IFERROR(INDEX(checklistPesertaKemenkeu!$G$6:$G$1005,SMALL(IF(checklistPesertaKemenkeu!$AY$6:$AY$1005="Direkomendasikan",ROW($6:$1005)-5),418)),"")</f>
        <v/>
      </c>
      <c r="E419" t="str">
        <f t="array" ref="E419">IFERROR(INDEX(checklistPesertaKemenkeu!$H$6:$H$1005,SMALL(IF(checklistPesertaKemenkeu!$AY$6:$AY$1005="Direkomendasikan",ROW($6:$1005)-5),418)),"")</f>
        <v/>
      </c>
      <c r="F419" t="str">
        <f t="array" ref="F419">IFERROR(INDEX(checklistPesertaKemenkeu!$I$6:$I$1005,SMALL(IF(checklistPesertaKemenkeu!$AY$6:$AY$1005="Direkomendasikan",ROW($6:$1005)-5),418)),"")</f>
        <v/>
      </c>
      <c r="G419" t="str">
        <f t="array" ref="G419">IFERROR(INDEX(checklistPesertaKemenkeu!$J$6:$J$1005,SMALL(IF(checklistPesertaKemenkeu!$AY$6:$AY$1005="Direkomendasikan",ROW($6:$1005)-5),418)),"")</f>
        <v/>
      </c>
      <c r="H419" t="str">
        <f t="array" aca="1" ref="H419" ca="1">IFERROR(IF(OR(INDEX(checklistPesertaKemenkeu!$L$6:$L$1005,SMALL(IF(checklistPesertaKemenkeu!$AY$6:$AY$1005="Direkomendasikan",ROW($6:$1005)-5),418))="",INDEX(checklistPesertaKemenkeu!$J$6:$J$1005,SMALL(IF(checklistPesertaKemenkeu!$AY$6:$AY$1005="Direkomendasikan",ROW($6:$1005)-5),418))=""),"",IF(AND(COUNTIF(INDIRECT("K_"&amp;MATCH(INDEX(checklistPesertaKemenkeu!$J$6:$J$1005,SMALL(IF(checklistPesertaKemenkeu!$AY$6:$AY$1005="Direkomendasikan",ROW($6:$1005)-5),418)),BidangList,0)),INDEX(checklistPesertaKemenkeu!$L$6:$L$1005,SMALL(IF(checklistPesertaKemenkeu!$AY$6:$AY$1005="Direkomendasikan",ROW($6:$1005)-5),418)))&gt;0,COUNTIF(INDIRECT("'KERTAS KERJA'!K"&amp;(SMALL(IF(checklistPesertaKemenkeu!$AY$6:$AY$1005="Direkomendasikan",ROW($6:$1005)-5),418)+5)&amp;":O"&amp;(SMALL(IF(checklistPesertaKemenkeu!$AY$6:$AY$1005="Direkomendasikan",ROW($6:$1005)-5),418)+5)),INDEX(checklistPesertaKemenkeu!$L$6:$L$1005,SMALL(IF(checklistPesertaKemenkeu!$AY$6:$AY$1005="Direkomendasikan",ROW($6:$1005)-5),418)))=1),IFERROR(VLOOKUP(INDEX(checklistPesertaKemenkeu!$L$6:$L$1005,SMALL(IF(checklistPesertaKemenkeu!$AY$6:$AY$1005="Direkomendasikan",ROW($6:$1005)-5),418)),KotaKode,2,0),"-"),"")),"")</f>
        <v/>
      </c>
      <c r="I419" t="str">
        <f t="array" aca="1" ref="I419" ca="1">IFERROR(IF(OR(INDEX(checklistPesertaKemenkeu!$M$6:$M$1005,SMALL(IF(checklistPesertaKemenkeu!$AY$6:$AY$1005="Direkomendasikan",ROW($6:$1005)-5),418))="",INDEX(checklistPesertaKemenkeu!$J$6:$J$1005,SMALL(IF(checklistPesertaKemenkeu!$AY$6:$AY$1005="Direkomendasikan",ROW($6:$1005)-5),418))=""),"",IF(AND(COUNTIF(INDIRECT("K_"&amp;MATCH(INDEX(checklistPesertaKemenkeu!$J$6:$J$1005,SMALL(IF(checklistPesertaKemenkeu!$AY$6:$AY$1005="Direkomendasikan",ROW($6:$1005)-5),418)),BidangList,0)),INDEX(checklistPesertaKemenkeu!$M$6:$M$1005,SMALL(IF(checklistPesertaKemenkeu!$AY$6:$AY$1005="Direkomendasikan",ROW($6:$1005)-5),418)))&gt;0,COUNTIF(INDIRECT("'KERTAS KERJA'!K"&amp;(SMALL(IF(checklistPesertaKemenkeu!$AY$6:$AY$1005="Direkomendasikan",ROW($6:$1005)-5),418)+5)&amp;":O"&amp;(SMALL(IF(checklistPesertaKemenkeu!$AY$6:$AY$1005="Direkomendasikan",ROW($6:$1005)-5),418)+5)),INDEX(checklistPesertaKemenkeu!$M$6:$M$1005,SMALL(IF(checklistPesertaKemenkeu!$AY$6:$AY$1005="Direkomendasikan",ROW($6:$1005)-5),418)))=1),IFERROR(VLOOKUP(INDEX(checklistPesertaKemenkeu!$M$6:$M$1005,SMALL(IF(checklistPesertaKemenkeu!$AY$6:$AY$1005="Direkomendasikan",ROW($6:$1005)-5),418)),KotaKode,2,0),"-"),"")),"")</f>
        <v/>
      </c>
      <c r="J419" t="str">
        <f t="array" aca="1" ref="J419" ca="1">IFERROR(IF(OR(INDEX(checklistPesertaKemenkeu!$N$6:$N$1005,SMALL(IF(checklistPesertaKemenkeu!$AY$6:$AY$1005="Direkomendasikan",ROW($6:$1005)-5),418))="",INDEX(checklistPesertaKemenkeu!$J$6:$J$1005,SMALL(IF(checklistPesertaKemenkeu!$AY$6:$AY$1005="Direkomendasikan",ROW($6:$1005)-5),418))=""),"",IF(AND(COUNTIF(INDIRECT("K_"&amp;MATCH(INDEX(checklistPesertaKemenkeu!$J$6:$J$1005,SMALL(IF(checklistPesertaKemenkeu!$AY$6:$AY$1005="Direkomendasikan",ROW($6:$1005)-5),418)),BidangList,0)),INDEX(checklistPesertaKemenkeu!$N$6:$N$1005,SMALL(IF(checklistPesertaKemenkeu!$AY$6:$AY$1005="Direkomendasikan",ROW($6:$1005)-5),418)))&gt;0,COUNTIF(INDIRECT("'KERTAS KERJA'!K"&amp;(SMALL(IF(checklistPesertaKemenkeu!$AY$6:$AY$1005="Direkomendasikan",ROW($6:$1005)-5),418)+5)&amp;":O"&amp;(SMALL(IF(checklistPesertaKemenkeu!$AY$6:$AY$1005="Direkomendasikan",ROW($6:$1005)-5),418)+5)),INDEX(checklistPesertaKemenkeu!$N$6:$N$1005,SMALL(IF(checklistPesertaKemenkeu!$AY$6:$AY$1005="Direkomendasikan",ROW($6:$1005)-5),418)))=1),IFERROR(VLOOKUP(INDEX(checklistPesertaKemenkeu!$N$6:$N$1005,SMALL(IF(checklistPesertaKemenkeu!$AY$6:$AY$1005="Direkomendasikan",ROW($6:$1005)-5),418)),KotaKode,2,0),"-"),"")),"")</f>
        <v/>
      </c>
      <c r="K419" t="str">
        <f t="array" aca="1" ref="K419" ca="1">IFERROR(IF(OR(INDEX(checklistPesertaKemenkeu!$O$6:$O$1005,SMALL(IF(checklistPesertaKemenkeu!$AY$6:$AY$1005="Direkomendasikan",ROW($6:$1005)-5),418))="",INDEX(checklistPesertaKemenkeu!$J$6:$J$1005,SMALL(IF(checklistPesertaKemenkeu!$AY$6:$AY$1005="Direkomendasikan",ROW($6:$1005)-5),418))=""),"",IF(AND(COUNTIF(INDIRECT("K_"&amp;MATCH(INDEX(checklistPesertaKemenkeu!$J$6:$J$1005,SMALL(IF(checklistPesertaKemenkeu!$AY$6:$AY$1005="Direkomendasikan",ROW($6:$1005)-5),418)),BidangList,0)),INDEX(checklistPesertaKemenkeu!$O$6:$O$1005,SMALL(IF(checklistPesertaKemenkeu!$AY$6:$AY$1005="Direkomendasikan",ROW($6:$1005)-5),418)))&gt;0,COUNTIF(INDIRECT("'KERTAS KERJA'!K"&amp;(SMALL(IF(checklistPesertaKemenkeu!$AY$6:$AY$1005="Direkomendasikan",ROW($6:$1005)-5),418)+5)&amp;":O"&amp;(SMALL(IF(checklistPesertaKemenkeu!$AY$6:$AY$1005="Direkomendasikan",ROW($6:$1005)-5),418)+5)),INDEX(checklistPesertaKemenkeu!$O$6:$O$1005,SMALL(IF(checklistPesertaKemenkeu!$AY$6:$AY$1005="Direkomendasikan",ROW($6:$1005)-5),418)))=1),IFERROR(VLOOKUP(INDEX(checklistPesertaKemenkeu!$O$6:$O$1005,SMALL(IF(checklistPesertaKemenkeu!$AY$6:$AY$1005="Direkomendasikan",ROW($6:$1005)-5),418)),KotaKode,2,0),"-"),"")),"")</f>
        <v/>
      </c>
      <c r="L419" t="str">
        <f t="array" aca="1" ref="L419" ca="1">IFERROR(IF(OR(INDEX(checklistPesertaKemenkeu!$P$6:$P$1005,SMALL(IF(checklistPesertaKemenkeu!$AY$6:$AY$1005="Direkomendasikan",ROW($6:$1005)-5),418))="",INDEX(checklistPesertaKemenkeu!$J$6:$J$1005,SMALL(IF(checklistPesertaKemenkeu!$AY$6:$AY$1005="Direkomendasikan",ROW($6:$1005)-5),418))=""),"",IF(AND(COUNTIF(INDIRECT("K_"&amp;MATCH(INDEX(checklistPesertaKemenkeu!$J$6:$J$1005,SMALL(IF(checklistPesertaKemenkeu!$AY$6:$AY$1005="Direkomendasikan",ROW($6:$1005)-5),418)),BidangList,0)),INDEX(checklistPesertaKemenkeu!$P$6:$P$1005,SMALL(IF(checklistPesertaKemenkeu!$AY$6:$AY$1005="Direkomendasikan",ROW($6:$1005)-5),418)))&gt;0,COUNTIF(INDIRECT("'KERTAS KERJA'!K"&amp;(SMALL(IF(checklistPesertaKemenkeu!$AY$6:$AY$1005="Direkomendasikan",ROW($6:$1005)-5),418)+5)&amp;":O"&amp;(SMALL(IF(checklistPesertaKemenkeu!$AY$6:$AY$1005="Direkomendasikan",ROW($6:$1005)-5),418)+5)),INDEX(checklistPesertaKemenkeu!$P$6:$P$1005,SMALL(IF(checklistPesertaKemenkeu!$AY$6:$AY$1005="Direkomendasikan",ROW($6:$1005)-5),418)))=1),IFERROR(VLOOKUP(INDEX(checklistPesertaKemenkeu!$P$6:$P$1005,SMALL(IF(checklistPesertaKemenkeu!$AY$6:$AY$1005="Direkomendasikan",ROW($6:$1005)-5),418)),KotaKode,2,0),"-"),"")),"")</f>
        <v/>
      </c>
    </row>
    <row r="420" spans="1:12" ht="15" customHeight="1" x14ac:dyDescent="0.2">
      <c r="A420" t="str">
        <f t="shared" si="6"/>
        <v/>
      </c>
      <c r="B420" t="str">
        <v/>
      </c>
      <c r="C420" s="40" t="str">
        <f t="array" ref="C420">IFERROR(INDEX(checklistPesertaKemenkeu!$F$6:$F$1005,SMALL(IF(checklistPesertaKemenkeu!$AY$6:$AY$1005="Direkomendasikan",ROW($6:$1005)-5),419)),"")</f>
        <v/>
      </c>
      <c r="D420" t="str">
        <f t="array" ref="D420">IFERROR(INDEX(checklistPesertaKemenkeu!$G$6:$G$1005,SMALL(IF(checklistPesertaKemenkeu!$AY$6:$AY$1005="Direkomendasikan",ROW($6:$1005)-5),419)),"")</f>
        <v/>
      </c>
      <c r="E420" t="str">
        <f t="array" ref="E420">IFERROR(INDEX(checklistPesertaKemenkeu!$H$6:$H$1005,SMALL(IF(checklistPesertaKemenkeu!$AY$6:$AY$1005="Direkomendasikan",ROW($6:$1005)-5),419)),"")</f>
        <v/>
      </c>
      <c r="F420" t="str">
        <f t="array" ref="F420">IFERROR(INDEX(checklistPesertaKemenkeu!$I$6:$I$1005,SMALL(IF(checklistPesertaKemenkeu!$AY$6:$AY$1005="Direkomendasikan",ROW($6:$1005)-5),419)),"")</f>
        <v/>
      </c>
      <c r="G420" t="str">
        <f t="array" ref="G420">IFERROR(INDEX(checklistPesertaKemenkeu!$J$6:$J$1005,SMALL(IF(checklistPesertaKemenkeu!$AY$6:$AY$1005="Direkomendasikan",ROW($6:$1005)-5),419)),"")</f>
        <v/>
      </c>
      <c r="H420" t="str">
        <f t="array" aca="1" ref="H420" ca="1">IFERROR(IF(OR(INDEX(checklistPesertaKemenkeu!$L$6:$L$1005,SMALL(IF(checklistPesertaKemenkeu!$AY$6:$AY$1005="Direkomendasikan",ROW($6:$1005)-5),419))="",INDEX(checklistPesertaKemenkeu!$J$6:$J$1005,SMALL(IF(checklistPesertaKemenkeu!$AY$6:$AY$1005="Direkomendasikan",ROW($6:$1005)-5),419))=""),"",IF(AND(COUNTIF(INDIRECT("K_"&amp;MATCH(INDEX(checklistPesertaKemenkeu!$J$6:$J$1005,SMALL(IF(checklistPesertaKemenkeu!$AY$6:$AY$1005="Direkomendasikan",ROW($6:$1005)-5),419)),BidangList,0)),INDEX(checklistPesertaKemenkeu!$L$6:$L$1005,SMALL(IF(checklistPesertaKemenkeu!$AY$6:$AY$1005="Direkomendasikan",ROW($6:$1005)-5),419)))&gt;0,COUNTIF(INDIRECT("'KERTAS KERJA'!K"&amp;(SMALL(IF(checklistPesertaKemenkeu!$AY$6:$AY$1005="Direkomendasikan",ROW($6:$1005)-5),419)+5)&amp;":O"&amp;(SMALL(IF(checklistPesertaKemenkeu!$AY$6:$AY$1005="Direkomendasikan",ROW($6:$1005)-5),419)+5)),INDEX(checklistPesertaKemenkeu!$L$6:$L$1005,SMALL(IF(checklistPesertaKemenkeu!$AY$6:$AY$1005="Direkomendasikan",ROW($6:$1005)-5),419)))=1),IFERROR(VLOOKUP(INDEX(checklistPesertaKemenkeu!$L$6:$L$1005,SMALL(IF(checklistPesertaKemenkeu!$AY$6:$AY$1005="Direkomendasikan",ROW($6:$1005)-5),419)),KotaKode,2,0),"-"),"")),"")</f>
        <v/>
      </c>
      <c r="I420" t="str">
        <f t="array" aca="1" ref="I420" ca="1">IFERROR(IF(OR(INDEX(checklistPesertaKemenkeu!$M$6:$M$1005,SMALL(IF(checklistPesertaKemenkeu!$AY$6:$AY$1005="Direkomendasikan",ROW($6:$1005)-5),419))="",INDEX(checklistPesertaKemenkeu!$J$6:$J$1005,SMALL(IF(checklistPesertaKemenkeu!$AY$6:$AY$1005="Direkomendasikan",ROW($6:$1005)-5),419))=""),"",IF(AND(COUNTIF(INDIRECT("K_"&amp;MATCH(INDEX(checklistPesertaKemenkeu!$J$6:$J$1005,SMALL(IF(checklistPesertaKemenkeu!$AY$6:$AY$1005="Direkomendasikan",ROW($6:$1005)-5),419)),BidangList,0)),INDEX(checklistPesertaKemenkeu!$M$6:$M$1005,SMALL(IF(checklistPesertaKemenkeu!$AY$6:$AY$1005="Direkomendasikan",ROW($6:$1005)-5),419)))&gt;0,COUNTIF(INDIRECT("'KERTAS KERJA'!K"&amp;(SMALL(IF(checklistPesertaKemenkeu!$AY$6:$AY$1005="Direkomendasikan",ROW($6:$1005)-5),419)+5)&amp;":O"&amp;(SMALL(IF(checklistPesertaKemenkeu!$AY$6:$AY$1005="Direkomendasikan",ROW($6:$1005)-5),419)+5)),INDEX(checklistPesertaKemenkeu!$M$6:$M$1005,SMALL(IF(checklistPesertaKemenkeu!$AY$6:$AY$1005="Direkomendasikan",ROW($6:$1005)-5),419)))=1),IFERROR(VLOOKUP(INDEX(checklistPesertaKemenkeu!$M$6:$M$1005,SMALL(IF(checklistPesertaKemenkeu!$AY$6:$AY$1005="Direkomendasikan",ROW($6:$1005)-5),419)),KotaKode,2,0),"-"),"")),"")</f>
        <v/>
      </c>
      <c r="J420" t="str">
        <f t="array" aca="1" ref="J420" ca="1">IFERROR(IF(OR(INDEX(checklistPesertaKemenkeu!$N$6:$N$1005,SMALL(IF(checklistPesertaKemenkeu!$AY$6:$AY$1005="Direkomendasikan",ROW($6:$1005)-5),419))="",INDEX(checklistPesertaKemenkeu!$J$6:$J$1005,SMALL(IF(checklistPesertaKemenkeu!$AY$6:$AY$1005="Direkomendasikan",ROW($6:$1005)-5),419))=""),"",IF(AND(COUNTIF(INDIRECT("K_"&amp;MATCH(INDEX(checklistPesertaKemenkeu!$J$6:$J$1005,SMALL(IF(checklistPesertaKemenkeu!$AY$6:$AY$1005="Direkomendasikan",ROW($6:$1005)-5),419)),BidangList,0)),INDEX(checklistPesertaKemenkeu!$N$6:$N$1005,SMALL(IF(checklistPesertaKemenkeu!$AY$6:$AY$1005="Direkomendasikan",ROW($6:$1005)-5),419)))&gt;0,COUNTIF(INDIRECT("'KERTAS KERJA'!K"&amp;(SMALL(IF(checklistPesertaKemenkeu!$AY$6:$AY$1005="Direkomendasikan",ROW($6:$1005)-5),419)+5)&amp;":O"&amp;(SMALL(IF(checklistPesertaKemenkeu!$AY$6:$AY$1005="Direkomendasikan",ROW($6:$1005)-5),419)+5)),INDEX(checklistPesertaKemenkeu!$N$6:$N$1005,SMALL(IF(checklistPesertaKemenkeu!$AY$6:$AY$1005="Direkomendasikan",ROW($6:$1005)-5),419)))=1),IFERROR(VLOOKUP(INDEX(checklistPesertaKemenkeu!$N$6:$N$1005,SMALL(IF(checklistPesertaKemenkeu!$AY$6:$AY$1005="Direkomendasikan",ROW($6:$1005)-5),419)),KotaKode,2,0),"-"),"")),"")</f>
        <v/>
      </c>
      <c r="K420" t="str">
        <f t="array" aca="1" ref="K420" ca="1">IFERROR(IF(OR(INDEX(checklistPesertaKemenkeu!$O$6:$O$1005,SMALL(IF(checklistPesertaKemenkeu!$AY$6:$AY$1005="Direkomendasikan",ROW($6:$1005)-5),419))="",INDEX(checklistPesertaKemenkeu!$J$6:$J$1005,SMALL(IF(checklistPesertaKemenkeu!$AY$6:$AY$1005="Direkomendasikan",ROW($6:$1005)-5),419))=""),"",IF(AND(COUNTIF(INDIRECT("K_"&amp;MATCH(INDEX(checklistPesertaKemenkeu!$J$6:$J$1005,SMALL(IF(checklistPesertaKemenkeu!$AY$6:$AY$1005="Direkomendasikan",ROW($6:$1005)-5),419)),BidangList,0)),INDEX(checklistPesertaKemenkeu!$O$6:$O$1005,SMALL(IF(checklistPesertaKemenkeu!$AY$6:$AY$1005="Direkomendasikan",ROW($6:$1005)-5),419)))&gt;0,COUNTIF(INDIRECT("'KERTAS KERJA'!K"&amp;(SMALL(IF(checklistPesertaKemenkeu!$AY$6:$AY$1005="Direkomendasikan",ROW($6:$1005)-5),419)+5)&amp;":O"&amp;(SMALL(IF(checklistPesertaKemenkeu!$AY$6:$AY$1005="Direkomendasikan",ROW($6:$1005)-5),419)+5)),INDEX(checklistPesertaKemenkeu!$O$6:$O$1005,SMALL(IF(checklistPesertaKemenkeu!$AY$6:$AY$1005="Direkomendasikan",ROW($6:$1005)-5),419)))=1),IFERROR(VLOOKUP(INDEX(checklistPesertaKemenkeu!$O$6:$O$1005,SMALL(IF(checklistPesertaKemenkeu!$AY$6:$AY$1005="Direkomendasikan",ROW($6:$1005)-5),419)),KotaKode,2,0),"-"),"")),"")</f>
        <v/>
      </c>
      <c r="L420" t="str">
        <f t="array" aca="1" ref="L420" ca="1">IFERROR(IF(OR(INDEX(checklistPesertaKemenkeu!$P$6:$P$1005,SMALL(IF(checklistPesertaKemenkeu!$AY$6:$AY$1005="Direkomendasikan",ROW($6:$1005)-5),419))="",INDEX(checklistPesertaKemenkeu!$J$6:$J$1005,SMALL(IF(checklistPesertaKemenkeu!$AY$6:$AY$1005="Direkomendasikan",ROW($6:$1005)-5),419))=""),"",IF(AND(COUNTIF(INDIRECT("K_"&amp;MATCH(INDEX(checklistPesertaKemenkeu!$J$6:$J$1005,SMALL(IF(checklistPesertaKemenkeu!$AY$6:$AY$1005="Direkomendasikan",ROW($6:$1005)-5),419)),BidangList,0)),INDEX(checklistPesertaKemenkeu!$P$6:$P$1005,SMALL(IF(checklistPesertaKemenkeu!$AY$6:$AY$1005="Direkomendasikan",ROW($6:$1005)-5),419)))&gt;0,COUNTIF(INDIRECT("'KERTAS KERJA'!K"&amp;(SMALL(IF(checklistPesertaKemenkeu!$AY$6:$AY$1005="Direkomendasikan",ROW($6:$1005)-5),419)+5)&amp;":O"&amp;(SMALL(IF(checklistPesertaKemenkeu!$AY$6:$AY$1005="Direkomendasikan",ROW($6:$1005)-5),419)+5)),INDEX(checklistPesertaKemenkeu!$P$6:$P$1005,SMALL(IF(checklistPesertaKemenkeu!$AY$6:$AY$1005="Direkomendasikan",ROW($6:$1005)-5),419)))=1),IFERROR(VLOOKUP(INDEX(checklistPesertaKemenkeu!$P$6:$P$1005,SMALL(IF(checklistPesertaKemenkeu!$AY$6:$AY$1005="Direkomendasikan",ROW($6:$1005)-5),419)),KotaKode,2,0),"-"),"")),"")</f>
        <v/>
      </c>
    </row>
    <row r="421" spans="1:12" ht="15" customHeight="1" x14ac:dyDescent="0.2">
      <c r="A421" t="str">
        <f t="shared" si="6"/>
        <v/>
      </c>
      <c r="B421" t="str">
        <v/>
      </c>
      <c r="C421" s="40" t="str">
        <f t="array" ref="C421">IFERROR(INDEX(checklistPesertaKemenkeu!$F$6:$F$1005,SMALL(IF(checklistPesertaKemenkeu!$AY$6:$AY$1005="Direkomendasikan",ROW($6:$1005)-5),420)),"")</f>
        <v/>
      </c>
      <c r="D421" t="str">
        <f t="array" ref="D421">IFERROR(INDEX(checklistPesertaKemenkeu!$G$6:$G$1005,SMALL(IF(checklistPesertaKemenkeu!$AY$6:$AY$1005="Direkomendasikan",ROW($6:$1005)-5),420)),"")</f>
        <v/>
      </c>
      <c r="E421" t="str">
        <f t="array" ref="E421">IFERROR(INDEX(checklistPesertaKemenkeu!$H$6:$H$1005,SMALL(IF(checklistPesertaKemenkeu!$AY$6:$AY$1005="Direkomendasikan",ROW($6:$1005)-5),420)),"")</f>
        <v/>
      </c>
      <c r="F421" t="str">
        <f t="array" ref="F421">IFERROR(INDEX(checklistPesertaKemenkeu!$I$6:$I$1005,SMALL(IF(checklistPesertaKemenkeu!$AY$6:$AY$1005="Direkomendasikan",ROW($6:$1005)-5),420)),"")</f>
        <v/>
      </c>
      <c r="G421" t="str">
        <f t="array" ref="G421">IFERROR(INDEX(checklistPesertaKemenkeu!$J$6:$J$1005,SMALL(IF(checklistPesertaKemenkeu!$AY$6:$AY$1005="Direkomendasikan",ROW($6:$1005)-5),420)),"")</f>
        <v/>
      </c>
      <c r="H421" t="str">
        <f t="array" aca="1" ref="H421" ca="1">IFERROR(IF(OR(INDEX(checklistPesertaKemenkeu!$L$6:$L$1005,SMALL(IF(checklistPesertaKemenkeu!$AY$6:$AY$1005="Direkomendasikan",ROW($6:$1005)-5),420))="",INDEX(checklistPesertaKemenkeu!$J$6:$J$1005,SMALL(IF(checklistPesertaKemenkeu!$AY$6:$AY$1005="Direkomendasikan",ROW($6:$1005)-5),420))=""),"",IF(AND(COUNTIF(INDIRECT("K_"&amp;MATCH(INDEX(checklistPesertaKemenkeu!$J$6:$J$1005,SMALL(IF(checklistPesertaKemenkeu!$AY$6:$AY$1005="Direkomendasikan",ROW($6:$1005)-5),420)),BidangList,0)),INDEX(checklistPesertaKemenkeu!$L$6:$L$1005,SMALL(IF(checklistPesertaKemenkeu!$AY$6:$AY$1005="Direkomendasikan",ROW($6:$1005)-5),420)))&gt;0,COUNTIF(INDIRECT("'KERTAS KERJA'!K"&amp;(SMALL(IF(checklistPesertaKemenkeu!$AY$6:$AY$1005="Direkomendasikan",ROW($6:$1005)-5),420)+5)&amp;":O"&amp;(SMALL(IF(checklistPesertaKemenkeu!$AY$6:$AY$1005="Direkomendasikan",ROW($6:$1005)-5),420)+5)),INDEX(checklistPesertaKemenkeu!$L$6:$L$1005,SMALL(IF(checklistPesertaKemenkeu!$AY$6:$AY$1005="Direkomendasikan",ROW($6:$1005)-5),420)))=1),IFERROR(VLOOKUP(INDEX(checklistPesertaKemenkeu!$L$6:$L$1005,SMALL(IF(checklistPesertaKemenkeu!$AY$6:$AY$1005="Direkomendasikan",ROW($6:$1005)-5),420)),KotaKode,2,0),"-"),"")),"")</f>
        <v/>
      </c>
      <c r="I421" t="str">
        <f t="array" aca="1" ref="I421" ca="1">IFERROR(IF(OR(INDEX(checklistPesertaKemenkeu!$M$6:$M$1005,SMALL(IF(checklistPesertaKemenkeu!$AY$6:$AY$1005="Direkomendasikan",ROW($6:$1005)-5),420))="",INDEX(checklistPesertaKemenkeu!$J$6:$J$1005,SMALL(IF(checklistPesertaKemenkeu!$AY$6:$AY$1005="Direkomendasikan",ROW($6:$1005)-5),420))=""),"",IF(AND(COUNTIF(INDIRECT("K_"&amp;MATCH(INDEX(checklistPesertaKemenkeu!$J$6:$J$1005,SMALL(IF(checklistPesertaKemenkeu!$AY$6:$AY$1005="Direkomendasikan",ROW($6:$1005)-5),420)),BidangList,0)),INDEX(checklistPesertaKemenkeu!$M$6:$M$1005,SMALL(IF(checklistPesertaKemenkeu!$AY$6:$AY$1005="Direkomendasikan",ROW($6:$1005)-5),420)))&gt;0,COUNTIF(INDIRECT("'KERTAS KERJA'!K"&amp;(SMALL(IF(checklistPesertaKemenkeu!$AY$6:$AY$1005="Direkomendasikan",ROW($6:$1005)-5),420)+5)&amp;":O"&amp;(SMALL(IF(checklistPesertaKemenkeu!$AY$6:$AY$1005="Direkomendasikan",ROW($6:$1005)-5),420)+5)),INDEX(checklistPesertaKemenkeu!$M$6:$M$1005,SMALL(IF(checklistPesertaKemenkeu!$AY$6:$AY$1005="Direkomendasikan",ROW($6:$1005)-5),420)))=1),IFERROR(VLOOKUP(INDEX(checklistPesertaKemenkeu!$M$6:$M$1005,SMALL(IF(checklistPesertaKemenkeu!$AY$6:$AY$1005="Direkomendasikan",ROW($6:$1005)-5),420)),KotaKode,2,0),"-"),"")),"")</f>
        <v/>
      </c>
      <c r="J421" t="str">
        <f t="array" aca="1" ref="J421" ca="1">IFERROR(IF(OR(INDEX(checklistPesertaKemenkeu!$N$6:$N$1005,SMALL(IF(checklistPesertaKemenkeu!$AY$6:$AY$1005="Direkomendasikan",ROW($6:$1005)-5),420))="",INDEX(checklistPesertaKemenkeu!$J$6:$J$1005,SMALL(IF(checklistPesertaKemenkeu!$AY$6:$AY$1005="Direkomendasikan",ROW($6:$1005)-5),420))=""),"",IF(AND(COUNTIF(INDIRECT("K_"&amp;MATCH(INDEX(checklistPesertaKemenkeu!$J$6:$J$1005,SMALL(IF(checklistPesertaKemenkeu!$AY$6:$AY$1005="Direkomendasikan",ROW($6:$1005)-5),420)),BidangList,0)),INDEX(checklistPesertaKemenkeu!$N$6:$N$1005,SMALL(IF(checklistPesertaKemenkeu!$AY$6:$AY$1005="Direkomendasikan",ROW($6:$1005)-5),420)))&gt;0,COUNTIF(INDIRECT("'KERTAS KERJA'!K"&amp;(SMALL(IF(checklistPesertaKemenkeu!$AY$6:$AY$1005="Direkomendasikan",ROW($6:$1005)-5),420)+5)&amp;":O"&amp;(SMALL(IF(checklistPesertaKemenkeu!$AY$6:$AY$1005="Direkomendasikan",ROW($6:$1005)-5),420)+5)),INDEX(checklistPesertaKemenkeu!$N$6:$N$1005,SMALL(IF(checklistPesertaKemenkeu!$AY$6:$AY$1005="Direkomendasikan",ROW($6:$1005)-5),420)))=1),IFERROR(VLOOKUP(INDEX(checklistPesertaKemenkeu!$N$6:$N$1005,SMALL(IF(checklistPesertaKemenkeu!$AY$6:$AY$1005="Direkomendasikan",ROW($6:$1005)-5),420)),KotaKode,2,0),"-"),"")),"")</f>
        <v/>
      </c>
      <c r="K421" t="str">
        <f t="array" aca="1" ref="K421" ca="1">IFERROR(IF(OR(INDEX(checklistPesertaKemenkeu!$O$6:$O$1005,SMALL(IF(checklistPesertaKemenkeu!$AY$6:$AY$1005="Direkomendasikan",ROW($6:$1005)-5),420))="",INDEX(checklistPesertaKemenkeu!$J$6:$J$1005,SMALL(IF(checklistPesertaKemenkeu!$AY$6:$AY$1005="Direkomendasikan",ROW($6:$1005)-5),420))=""),"",IF(AND(COUNTIF(INDIRECT("K_"&amp;MATCH(INDEX(checklistPesertaKemenkeu!$J$6:$J$1005,SMALL(IF(checklistPesertaKemenkeu!$AY$6:$AY$1005="Direkomendasikan",ROW($6:$1005)-5),420)),BidangList,0)),INDEX(checklistPesertaKemenkeu!$O$6:$O$1005,SMALL(IF(checklistPesertaKemenkeu!$AY$6:$AY$1005="Direkomendasikan",ROW($6:$1005)-5),420)))&gt;0,COUNTIF(INDIRECT("'KERTAS KERJA'!K"&amp;(SMALL(IF(checklistPesertaKemenkeu!$AY$6:$AY$1005="Direkomendasikan",ROW($6:$1005)-5),420)+5)&amp;":O"&amp;(SMALL(IF(checklistPesertaKemenkeu!$AY$6:$AY$1005="Direkomendasikan",ROW($6:$1005)-5),420)+5)),INDEX(checklistPesertaKemenkeu!$O$6:$O$1005,SMALL(IF(checklistPesertaKemenkeu!$AY$6:$AY$1005="Direkomendasikan",ROW($6:$1005)-5),420)))=1),IFERROR(VLOOKUP(INDEX(checklistPesertaKemenkeu!$O$6:$O$1005,SMALL(IF(checklistPesertaKemenkeu!$AY$6:$AY$1005="Direkomendasikan",ROW($6:$1005)-5),420)),KotaKode,2,0),"-"),"")),"")</f>
        <v/>
      </c>
      <c r="L421" t="str">
        <f t="array" aca="1" ref="L421" ca="1">IFERROR(IF(OR(INDEX(checklistPesertaKemenkeu!$P$6:$P$1005,SMALL(IF(checklistPesertaKemenkeu!$AY$6:$AY$1005="Direkomendasikan",ROW($6:$1005)-5),420))="",INDEX(checklistPesertaKemenkeu!$J$6:$J$1005,SMALL(IF(checklistPesertaKemenkeu!$AY$6:$AY$1005="Direkomendasikan",ROW($6:$1005)-5),420))=""),"",IF(AND(COUNTIF(INDIRECT("K_"&amp;MATCH(INDEX(checklistPesertaKemenkeu!$J$6:$J$1005,SMALL(IF(checklistPesertaKemenkeu!$AY$6:$AY$1005="Direkomendasikan",ROW($6:$1005)-5),420)),BidangList,0)),INDEX(checklistPesertaKemenkeu!$P$6:$P$1005,SMALL(IF(checklistPesertaKemenkeu!$AY$6:$AY$1005="Direkomendasikan",ROW($6:$1005)-5),420)))&gt;0,COUNTIF(INDIRECT("'KERTAS KERJA'!K"&amp;(SMALL(IF(checklistPesertaKemenkeu!$AY$6:$AY$1005="Direkomendasikan",ROW($6:$1005)-5),420)+5)&amp;":O"&amp;(SMALL(IF(checklistPesertaKemenkeu!$AY$6:$AY$1005="Direkomendasikan",ROW($6:$1005)-5),420)+5)),INDEX(checklistPesertaKemenkeu!$P$6:$P$1005,SMALL(IF(checklistPesertaKemenkeu!$AY$6:$AY$1005="Direkomendasikan",ROW($6:$1005)-5),420)))=1),IFERROR(VLOOKUP(INDEX(checklistPesertaKemenkeu!$P$6:$P$1005,SMALL(IF(checklistPesertaKemenkeu!$AY$6:$AY$1005="Direkomendasikan",ROW($6:$1005)-5),420)),KotaKode,2,0),"-"),"")),"")</f>
        <v/>
      </c>
    </row>
    <row r="422" spans="1:12" ht="15" customHeight="1" x14ac:dyDescent="0.2">
      <c r="A422" t="str">
        <f t="shared" si="6"/>
        <v/>
      </c>
      <c r="B422" t="str">
        <v/>
      </c>
      <c r="C422" s="40" t="str">
        <f t="array" ref="C422">IFERROR(INDEX(checklistPesertaKemenkeu!$F$6:$F$1005,SMALL(IF(checklistPesertaKemenkeu!$AY$6:$AY$1005="Direkomendasikan",ROW($6:$1005)-5),421)),"")</f>
        <v/>
      </c>
      <c r="D422" t="str">
        <f t="array" ref="D422">IFERROR(INDEX(checklistPesertaKemenkeu!$G$6:$G$1005,SMALL(IF(checklistPesertaKemenkeu!$AY$6:$AY$1005="Direkomendasikan",ROW($6:$1005)-5),421)),"")</f>
        <v/>
      </c>
      <c r="E422" t="str">
        <f t="array" ref="E422">IFERROR(INDEX(checklistPesertaKemenkeu!$H$6:$H$1005,SMALL(IF(checklistPesertaKemenkeu!$AY$6:$AY$1005="Direkomendasikan",ROW($6:$1005)-5),421)),"")</f>
        <v/>
      </c>
      <c r="F422" t="str">
        <f t="array" ref="F422">IFERROR(INDEX(checklistPesertaKemenkeu!$I$6:$I$1005,SMALL(IF(checklistPesertaKemenkeu!$AY$6:$AY$1005="Direkomendasikan",ROW($6:$1005)-5),421)),"")</f>
        <v/>
      </c>
      <c r="G422" t="str">
        <f t="array" ref="G422">IFERROR(INDEX(checklistPesertaKemenkeu!$J$6:$J$1005,SMALL(IF(checklistPesertaKemenkeu!$AY$6:$AY$1005="Direkomendasikan",ROW($6:$1005)-5),421)),"")</f>
        <v/>
      </c>
      <c r="H422" t="str">
        <f t="array" aca="1" ref="H422" ca="1">IFERROR(IF(OR(INDEX(checklistPesertaKemenkeu!$L$6:$L$1005,SMALL(IF(checklistPesertaKemenkeu!$AY$6:$AY$1005="Direkomendasikan",ROW($6:$1005)-5),421))="",INDEX(checklistPesertaKemenkeu!$J$6:$J$1005,SMALL(IF(checklistPesertaKemenkeu!$AY$6:$AY$1005="Direkomendasikan",ROW($6:$1005)-5),421))=""),"",IF(AND(COUNTIF(INDIRECT("K_"&amp;MATCH(INDEX(checklistPesertaKemenkeu!$J$6:$J$1005,SMALL(IF(checklistPesertaKemenkeu!$AY$6:$AY$1005="Direkomendasikan",ROW($6:$1005)-5),421)),BidangList,0)),INDEX(checklistPesertaKemenkeu!$L$6:$L$1005,SMALL(IF(checklistPesertaKemenkeu!$AY$6:$AY$1005="Direkomendasikan",ROW($6:$1005)-5),421)))&gt;0,COUNTIF(INDIRECT("'KERTAS KERJA'!K"&amp;(SMALL(IF(checklistPesertaKemenkeu!$AY$6:$AY$1005="Direkomendasikan",ROW($6:$1005)-5),421)+5)&amp;":O"&amp;(SMALL(IF(checklistPesertaKemenkeu!$AY$6:$AY$1005="Direkomendasikan",ROW($6:$1005)-5),421)+5)),INDEX(checklistPesertaKemenkeu!$L$6:$L$1005,SMALL(IF(checklistPesertaKemenkeu!$AY$6:$AY$1005="Direkomendasikan",ROW($6:$1005)-5),421)))=1),IFERROR(VLOOKUP(INDEX(checklistPesertaKemenkeu!$L$6:$L$1005,SMALL(IF(checklistPesertaKemenkeu!$AY$6:$AY$1005="Direkomendasikan",ROW($6:$1005)-5),421)),KotaKode,2,0),"-"),"")),"")</f>
        <v/>
      </c>
      <c r="I422" t="str">
        <f t="array" aca="1" ref="I422" ca="1">IFERROR(IF(OR(INDEX(checklistPesertaKemenkeu!$M$6:$M$1005,SMALL(IF(checklistPesertaKemenkeu!$AY$6:$AY$1005="Direkomendasikan",ROW($6:$1005)-5),421))="",INDEX(checklistPesertaKemenkeu!$J$6:$J$1005,SMALL(IF(checklistPesertaKemenkeu!$AY$6:$AY$1005="Direkomendasikan",ROW($6:$1005)-5),421))=""),"",IF(AND(COUNTIF(INDIRECT("K_"&amp;MATCH(INDEX(checklistPesertaKemenkeu!$J$6:$J$1005,SMALL(IF(checklistPesertaKemenkeu!$AY$6:$AY$1005="Direkomendasikan",ROW($6:$1005)-5),421)),BidangList,0)),INDEX(checklistPesertaKemenkeu!$M$6:$M$1005,SMALL(IF(checklistPesertaKemenkeu!$AY$6:$AY$1005="Direkomendasikan",ROW($6:$1005)-5),421)))&gt;0,COUNTIF(INDIRECT("'KERTAS KERJA'!K"&amp;(SMALL(IF(checklistPesertaKemenkeu!$AY$6:$AY$1005="Direkomendasikan",ROW($6:$1005)-5),421)+5)&amp;":O"&amp;(SMALL(IF(checklistPesertaKemenkeu!$AY$6:$AY$1005="Direkomendasikan",ROW($6:$1005)-5),421)+5)),INDEX(checklistPesertaKemenkeu!$M$6:$M$1005,SMALL(IF(checklistPesertaKemenkeu!$AY$6:$AY$1005="Direkomendasikan",ROW($6:$1005)-5),421)))=1),IFERROR(VLOOKUP(INDEX(checklistPesertaKemenkeu!$M$6:$M$1005,SMALL(IF(checklistPesertaKemenkeu!$AY$6:$AY$1005="Direkomendasikan",ROW($6:$1005)-5),421)),KotaKode,2,0),"-"),"")),"")</f>
        <v/>
      </c>
      <c r="J422" t="str">
        <f t="array" aca="1" ref="J422" ca="1">IFERROR(IF(OR(INDEX(checklistPesertaKemenkeu!$N$6:$N$1005,SMALL(IF(checklistPesertaKemenkeu!$AY$6:$AY$1005="Direkomendasikan",ROW($6:$1005)-5),421))="",INDEX(checklistPesertaKemenkeu!$J$6:$J$1005,SMALL(IF(checklistPesertaKemenkeu!$AY$6:$AY$1005="Direkomendasikan",ROW($6:$1005)-5),421))=""),"",IF(AND(COUNTIF(INDIRECT("K_"&amp;MATCH(INDEX(checklistPesertaKemenkeu!$J$6:$J$1005,SMALL(IF(checklistPesertaKemenkeu!$AY$6:$AY$1005="Direkomendasikan",ROW($6:$1005)-5),421)),BidangList,0)),INDEX(checklistPesertaKemenkeu!$N$6:$N$1005,SMALL(IF(checklistPesertaKemenkeu!$AY$6:$AY$1005="Direkomendasikan",ROW($6:$1005)-5),421)))&gt;0,COUNTIF(INDIRECT("'KERTAS KERJA'!K"&amp;(SMALL(IF(checklistPesertaKemenkeu!$AY$6:$AY$1005="Direkomendasikan",ROW($6:$1005)-5),421)+5)&amp;":O"&amp;(SMALL(IF(checklistPesertaKemenkeu!$AY$6:$AY$1005="Direkomendasikan",ROW($6:$1005)-5),421)+5)),INDEX(checklistPesertaKemenkeu!$N$6:$N$1005,SMALL(IF(checklistPesertaKemenkeu!$AY$6:$AY$1005="Direkomendasikan",ROW($6:$1005)-5),421)))=1),IFERROR(VLOOKUP(INDEX(checklistPesertaKemenkeu!$N$6:$N$1005,SMALL(IF(checklistPesertaKemenkeu!$AY$6:$AY$1005="Direkomendasikan",ROW($6:$1005)-5),421)),KotaKode,2,0),"-"),"")),"")</f>
        <v/>
      </c>
      <c r="K422" t="str">
        <f t="array" aca="1" ref="K422" ca="1">IFERROR(IF(OR(INDEX(checklistPesertaKemenkeu!$O$6:$O$1005,SMALL(IF(checklistPesertaKemenkeu!$AY$6:$AY$1005="Direkomendasikan",ROW($6:$1005)-5),421))="",INDEX(checklistPesertaKemenkeu!$J$6:$J$1005,SMALL(IF(checklistPesertaKemenkeu!$AY$6:$AY$1005="Direkomendasikan",ROW($6:$1005)-5),421))=""),"",IF(AND(COUNTIF(INDIRECT("K_"&amp;MATCH(INDEX(checklistPesertaKemenkeu!$J$6:$J$1005,SMALL(IF(checklistPesertaKemenkeu!$AY$6:$AY$1005="Direkomendasikan",ROW($6:$1005)-5),421)),BidangList,0)),INDEX(checklistPesertaKemenkeu!$O$6:$O$1005,SMALL(IF(checklistPesertaKemenkeu!$AY$6:$AY$1005="Direkomendasikan",ROW($6:$1005)-5),421)))&gt;0,COUNTIF(INDIRECT("'KERTAS KERJA'!K"&amp;(SMALL(IF(checklistPesertaKemenkeu!$AY$6:$AY$1005="Direkomendasikan",ROW($6:$1005)-5),421)+5)&amp;":O"&amp;(SMALL(IF(checklistPesertaKemenkeu!$AY$6:$AY$1005="Direkomendasikan",ROW($6:$1005)-5),421)+5)),INDEX(checklistPesertaKemenkeu!$O$6:$O$1005,SMALL(IF(checklistPesertaKemenkeu!$AY$6:$AY$1005="Direkomendasikan",ROW($6:$1005)-5),421)))=1),IFERROR(VLOOKUP(INDEX(checklistPesertaKemenkeu!$O$6:$O$1005,SMALL(IF(checklistPesertaKemenkeu!$AY$6:$AY$1005="Direkomendasikan",ROW($6:$1005)-5),421)),KotaKode,2,0),"-"),"")),"")</f>
        <v/>
      </c>
      <c r="L422" t="str">
        <f t="array" aca="1" ref="L422" ca="1">IFERROR(IF(OR(INDEX(checklistPesertaKemenkeu!$P$6:$P$1005,SMALL(IF(checklistPesertaKemenkeu!$AY$6:$AY$1005="Direkomendasikan",ROW($6:$1005)-5),421))="",INDEX(checklistPesertaKemenkeu!$J$6:$J$1005,SMALL(IF(checklistPesertaKemenkeu!$AY$6:$AY$1005="Direkomendasikan",ROW($6:$1005)-5),421))=""),"",IF(AND(COUNTIF(INDIRECT("K_"&amp;MATCH(INDEX(checklistPesertaKemenkeu!$J$6:$J$1005,SMALL(IF(checklistPesertaKemenkeu!$AY$6:$AY$1005="Direkomendasikan",ROW($6:$1005)-5),421)),BidangList,0)),INDEX(checklistPesertaKemenkeu!$P$6:$P$1005,SMALL(IF(checklistPesertaKemenkeu!$AY$6:$AY$1005="Direkomendasikan",ROW($6:$1005)-5),421)))&gt;0,COUNTIF(INDIRECT("'KERTAS KERJA'!K"&amp;(SMALL(IF(checklistPesertaKemenkeu!$AY$6:$AY$1005="Direkomendasikan",ROW($6:$1005)-5),421)+5)&amp;":O"&amp;(SMALL(IF(checklistPesertaKemenkeu!$AY$6:$AY$1005="Direkomendasikan",ROW($6:$1005)-5),421)+5)),INDEX(checklistPesertaKemenkeu!$P$6:$P$1005,SMALL(IF(checklistPesertaKemenkeu!$AY$6:$AY$1005="Direkomendasikan",ROW($6:$1005)-5),421)))=1),IFERROR(VLOOKUP(INDEX(checklistPesertaKemenkeu!$P$6:$P$1005,SMALL(IF(checklistPesertaKemenkeu!$AY$6:$AY$1005="Direkomendasikan",ROW($6:$1005)-5),421)),KotaKode,2,0),"-"),"")),"")</f>
        <v/>
      </c>
    </row>
    <row r="423" spans="1:12" ht="15" customHeight="1" x14ac:dyDescent="0.2">
      <c r="A423" t="str">
        <f t="shared" si="6"/>
        <v/>
      </c>
      <c r="B423" t="str">
        <v/>
      </c>
      <c r="C423" s="40" t="str">
        <f t="array" ref="C423">IFERROR(INDEX(checklistPesertaKemenkeu!$F$6:$F$1005,SMALL(IF(checklistPesertaKemenkeu!$AY$6:$AY$1005="Direkomendasikan",ROW($6:$1005)-5),422)),"")</f>
        <v/>
      </c>
      <c r="D423" t="str">
        <f t="array" ref="D423">IFERROR(INDEX(checklistPesertaKemenkeu!$G$6:$G$1005,SMALL(IF(checklistPesertaKemenkeu!$AY$6:$AY$1005="Direkomendasikan",ROW($6:$1005)-5),422)),"")</f>
        <v/>
      </c>
      <c r="E423" t="str">
        <f t="array" ref="E423">IFERROR(INDEX(checklistPesertaKemenkeu!$H$6:$H$1005,SMALL(IF(checklistPesertaKemenkeu!$AY$6:$AY$1005="Direkomendasikan",ROW($6:$1005)-5),422)),"")</f>
        <v/>
      </c>
      <c r="F423" t="str">
        <f t="array" ref="F423">IFERROR(INDEX(checklistPesertaKemenkeu!$I$6:$I$1005,SMALL(IF(checklistPesertaKemenkeu!$AY$6:$AY$1005="Direkomendasikan",ROW($6:$1005)-5),422)),"")</f>
        <v/>
      </c>
      <c r="G423" t="str">
        <f t="array" ref="G423">IFERROR(INDEX(checklistPesertaKemenkeu!$J$6:$J$1005,SMALL(IF(checklistPesertaKemenkeu!$AY$6:$AY$1005="Direkomendasikan",ROW($6:$1005)-5),422)),"")</f>
        <v/>
      </c>
      <c r="H423" t="str">
        <f t="array" aca="1" ref="H423" ca="1">IFERROR(IF(OR(INDEX(checklistPesertaKemenkeu!$L$6:$L$1005,SMALL(IF(checklistPesertaKemenkeu!$AY$6:$AY$1005="Direkomendasikan",ROW($6:$1005)-5),422))="",INDEX(checklistPesertaKemenkeu!$J$6:$J$1005,SMALL(IF(checklistPesertaKemenkeu!$AY$6:$AY$1005="Direkomendasikan",ROW($6:$1005)-5),422))=""),"",IF(AND(COUNTIF(INDIRECT("K_"&amp;MATCH(INDEX(checklistPesertaKemenkeu!$J$6:$J$1005,SMALL(IF(checklistPesertaKemenkeu!$AY$6:$AY$1005="Direkomendasikan",ROW($6:$1005)-5),422)),BidangList,0)),INDEX(checklistPesertaKemenkeu!$L$6:$L$1005,SMALL(IF(checklistPesertaKemenkeu!$AY$6:$AY$1005="Direkomendasikan",ROW($6:$1005)-5),422)))&gt;0,COUNTIF(INDIRECT("'KERTAS KERJA'!K"&amp;(SMALL(IF(checklistPesertaKemenkeu!$AY$6:$AY$1005="Direkomendasikan",ROW($6:$1005)-5),422)+5)&amp;":O"&amp;(SMALL(IF(checklistPesertaKemenkeu!$AY$6:$AY$1005="Direkomendasikan",ROW($6:$1005)-5),422)+5)),INDEX(checklistPesertaKemenkeu!$L$6:$L$1005,SMALL(IF(checklistPesertaKemenkeu!$AY$6:$AY$1005="Direkomendasikan",ROW($6:$1005)-5),422)))=1),IFERROR(VLOOKUP(INDEX(checklistPesertaKemenkeu!$L$6:$L$1005,SMALL(IF(checklistPesertaKemenkeu!$AY$6:$AY$1005="Direkomendasikan",ROW($6:$1005)-5),422)),KotaKode,2,0),"-"),"")),"")</f>
        <v/>
      </c>
      <c r="I423" t="str">
        <f t="array" aca="1" ref="I423" ca="1">IFERROR(IF(OR(INDEX(checklistPesertaKemenkeu!$M$6:$M$1005,SMALL(IF(checklistPesertaKemenkeu!$AY$6:$AY$1005="Direkomendasikan",ROW($6:$1005)-5),422))="",INDEX(checklistPesertaKemenkeu!$J$6:$J$1005,SMALL(IF(checklistPesertaKemenkeu!$AY$6:$AY$1005="Direkomendasikan",ROW($6:$1005)-5),422))=""),"",IF(AND(COUNTIF(INDIRECT("K_"&amp;MATCH(INDEX(checklistPesertaKemenkeu!$J$6:$J$1005,SMALL(IF(checklistPesertaKemenkeu!$AY$6:$AY$1005="Direkomendasikan",ROW($6:$1005)-5),422)),BidangList,0)),INDEX(checklistPesertaKemenkeu!$M$6:$M$1005,SMALL(IF(checklistPesertaKemenkeu!$AY$6:$AY$1005="Direkomendasikan",ROW($6:$1005)-5),422)))&gt;0,COUNTIF(INDIRECT("'KERTAS KERJA'!K"&amp;(SMALL(IF(checklistPesertaKemenkeu!$AY$6:$AY$1005="Direkomendasikan",ROW($6:$1005)-5),422)+5)&amp;":O"&amp;(SMALL(IF(checklistPesertaKemenkeu!$AY$6:$AY$1005="Direkomendasikan",ROW($6:$1005)-5),422)+5)),INDEX(checklistPesertaKemenkeu!$M$6:$M$1005,SMALL(IF(checklistPesertaKemenkeu!$AY$6:$AY$1005="Direkomendasikan",ROW($6:$1005)-5),422)))=1),IFERROR(VLOOKUP(INDEX(checklistPesertaKemenkeu!$M$6:$M$1005,SMALL(IF(checklistPesertaKemenkeu!$AY$6:$AY$1005="Direkomendasikan",ROW($6:$1005)-5),422)),KotaKode,2,0),"-"),"")),"")</f>
        <v/>
      </c>
      <c r="J423" t="str">
        <f t="array" aca="1" ref="J423" ca="1">IFERROR(IF(OR(INDEX(checklistPesertaKemenkeu!$N$6:$N$1005,SMALL(IF(checklistPesertaKemenkeu!$AY$6:$AY$1005="Direkomendasikan",ROW($6:$1005)-5),422))="",INDEX(checklistPesertaKemenkeu!$J$6:$J$1005,SMALL(IF(checklistPesertaKemenkeu!$AY$6:$AY$1005="Direkomendasikan",ROW($6:$1005)-5),422))=""),"",IF(AND(COUNTIF(INDIRECT("K_"&amp;MATCH(INDEX(checklistPesertaKemenkeu!$J$6:$J$1005,SMALL(IF(checklistPesertaKemenkeu!$AY$6:$AY$1005="Direkomendasikan",ROW($6:$1005)-5),422)),BidangList,0)),INDEX(checklistPesertaKemenkeu!$N$6:$N$1005,SMALL(IF(checklistPesertaKemenkeu!$AY$6:$AY$1005="Direkomendasikan",ROW($6:$1005)-5),422)))&gt;0,COUNTIF(INDIRECT("'KERTAS KERJA'!K"&amp;(SMALL(IF(checklistPesertaKemenkeu!$AY$6:$AY$1005="Direkomendasikan",ROW($6:$1005)-5),422)+5)&amp;":O"&amp;(SMALL(IF(checklistPesertaKemenkeu!$AY$6:$AY$1005="Direkomendasikan",ROW($6:$1005)-5),422)+5)),INDEX(checklistPesertaKemenkeu!$N$6:$N$1005,SMALL(IF(checklistPesertaKemenkeu!$AY$6:$AY$1005="Direkomendasikan",ROW($6:$1005)-5),422)))=1),IFERROR(VLOOKUP(INDEX(checklistPesertaKemenkeu!$N$6:$N$1005,SMALL(IF(checklistPesertaKemenkeu!$AY$6:$AY$1005="Direkomendasikan",ROW($6:$1005)-5),422)),KotaKode,2,0),"-"),"")),"")</f>
        <v/>
      </c>
      <c r="K423" t="str">
        <f t="array" aca="1" ref="K423" ca="1">IFERROR(IF(OR(INDEX(checklistPesertaKemenkeu!$O$6:$O$1005,SMALL(IF(checklistPesertaKemenkeu!$AY$6:$AY$1005="Direkomendasikan",ROW($6:$1005)-5),422))="",INDEX(checklistPesertaKemenkeu!$J$6:$J$1005,SMALL(IF(checklistPesertaKemenkeu!$AY$6:$AY$1005="Direkomendasikan",ROW($6:$1005)-5),422))=""),"",IF(AND(COUNTIF(INDIRECT("K_"&amp;MATCH(INDEX(checklistPesertaKemenkeu!$J$6:$J$1005,SMALL(IF(checklistPesertaKemenkeu!$AY$6:$AY$1005="Direkomendasikan",ROW($6:$1005)-5),422)),BidangList,0)),INDEX(checklistPesertaKemenkeu!$O$6:$O$1005,SMALL(IF(checklistPesertaKemenkeu!$AY$6:$AY$1005="Direkomendasikan",ROW($6:$1005)-5),422)))&gt;0,COUNTIF(INDIRECT("'KERTAS KERJA'!K"&amp;(SMALL(IF(checklistPesertaKemenkeu!$AY$6:$AY$1005="Direkomendasikan",ROW($6:$1005)-5),422)+5)&amp;":O"&amp;(SMALL(IF(checklistPesertaKemenkeu!$AY$6:$AY$1005="Direkomendasikan",ROW($6:$1005)-5),422)+5)),INDEX(checklistPesertaKemenkeu!$O$6:$O$1005,SMALL(IF(checklistPesertaKemenkeu!$AY$6:$AY$1005="Direkomendasikan",ROW($6:$1005)-5),422)))=1),IFERROR(VLOOKUP(INDEX(checklistPesertaKemenkeu!$O$6:$O$1005,SMALL(IF(checklistPesertaKemenkeu!$AY$6:$AY$1005="Direkomendasikan",ROW($6:$1005)-5),422)),KotaKode,2,0),"-"),"")),"")</f>
        <v/>
      </c>
      <c r="L423" t="str">
        <f t="array" aca="1" ref="L423" ca="1">IFERROR(IF(OR(INDEX(checklistPesertaKemenkeu!$P$6:$P$1005,SMALL(IF(checklistPesertaKemenkeu!$AY$6:$AY$1005="Direkomendasikan",ROW($6:$1005)-5),422))="",INDEX(checklistPesertaKemenkeu!$J$6:$J$1005,SMALL(IF(checklistPesertaKemenkeu!$AY$6:$AY$1005="Direkomendasikan",ROW($6:$1005)-5),422))=""),"",IF(AND(COUNTIF(INDIRECT("K_"&amp;MATCH(INDEX(checklistPesertaKemenkeu!$J$6:$J$1005,SMALL(IF(checklistPesertaKemenkeu!$AY$6:$AY$1005="Direkomendasikan",ROW($6:$1005)-5),422)),BidangList,0)),INDEX(checklistPesertaKemenkeu!$P$6:$P$1005,SMALL(IF(checklistPesertaKemenkeu!$AY$6:$AY$1005="Direkomendasikan",ROW($6:$1005)-5),422)))&gt;0,COUNTIF(INDIRECT("'KERTAS KERJA'!K"&amp;(SMALL(IF(checklistPesertaKemenkeu!$AY$6:$AY$1005="Direkomendasikan",ROW($6:$1005)-5),422)+5)&amp;":O"&amp;(SMALL(IF(checklistPesertaKemenkeu!$AY$6:$AY$1005="Direkomendasikan",ROW($6:$1005)-5),422)+5)),INDEX(checklistPesertaKemenkeu!$P$6:$P$1005,SMALL(IF(checklistPesertaKemenkeu!$AY$6:$AY$1005="Direkomendasikan",ROW($6:$1005)-5),422)))=1),IFERROR(VLOOKUP(INDEX(checklistPesertaKemenkeu!$P$6:$P$1005,SMALL(IF(checklistPesertaKemenkeu!$AY$6:$AY$1005="Direkomendasikan",ROW($6:$1005)-5),422)),KotaKode,2,0),"-"),"")),"")</f>
        <v/>
      </c>
    </row>
    <row r="424" spans="1:12" ht="15" customHeight="1" x14ac:dyDescent="0.2">
      <c r="A424" t="str">
        <f t="shared" si="6"/>
        <v/>
      </c>
      <c r="B424" t="str">
        <v/>
      </c>
      <c r="C424" s="40" t="str">
        <f t="array" ref="C424">IFERROR(INDEX(checklistPesertaKemenkeu!$F$6:$F$1005,SMALL(IF(checklistPesertaKemenkeu!$AY$6:$AY$1005="Direkomendasikan",ROW($6:$1005)-5),423)),"")</f>
        <v/>
      </c>
      <c r="D424" t="str">
        <f t="array" ref="D424">IFERROR(INDEX(checklistPesertaKemenkeu!$G$6:$G$1005,SMALL(IF(checklistPesertaKemenkeu!$AY$6:$AY$1005="Direkomendasikan",ROW($6:$1005)-5),423)),"")</f>
        <v/>
      </c>
      <c r="E424" t="str">
        <f t="array" ref="E424">IFERROR(INDEX(checklistPesertaKemenkeu!$H$6:$H$1005,SMALL(IF(checklistPesertaKemenkeu!$AY$6:$AY$1005="Direkomendasikan",ROW($6:$1005)-5),423)),"")</f>
        <v/>
      </c>
      <c r="F424" t="str">
        <f t="array" ref="F424">IFERROR(INDEX(checklistPesertaKemenkeu!$I$6:$I$1005,SMALL(IF(checklistPesertaKemenkeu!$AY$6:$AY$1005="Direkomendasikan",ROW($6:$1005)-5),423)),"")</f>
        <v/>
      </c>
      <c r="G424" t="str">
        <f t="array" ref="G424">IFERROR(INDEX(checklistPesertaKemenkeu!$J$6:$J$1005,SMALL(IF(checklistPesertaKemenkeu!$AY$6:$AY$1005="Direkomendasikan",ROW($6:$1005)-5),423)),"")</f>
        <v/>
      </c>
      <c r="H424" t="str">
        <f t="array" aca="1" ref="H424" ca="1">IFERROR(IF(OR(INDEX(checklistPesertaKemenkeu!$L$6:$L$1005,SMALL(IF(checklistPesertaKemenkeu!$AY$6:$AY$1005="Direkomendasikan",ROW($6:$1005)-5),423))="",INDEX(checklistPesertaKemenkeu!$J$6:$J$1005,SMALL(IF(checklistPesertaKemenkeu!$AY$6:$AY$1005="Direkomendasikan",ROW($6:$1005)-5),423))=""),"",IF(AND(COUNTIF(INDIRECT("K_"&amp;MATCH(INDEX(checklistPesertaKemenkeu!$J$6:$J$1005,SMALL(IF(checklistPesertaKemenkeu!$AY$6:$AY$1005="Direkomendasikan",ROW($6:$1005)-5),423)),BidangList,0)),INDEX(checklistPesertaKemenkeu!$L$6:$L$1005,SMALL(IF(checklistPesertaKemenkeu!$AY$6:$AY$1005="Direkomendasikan",ROW($6:$1005)-5),423)))&gt;0,COUNTIF(INDIRECT("'KERTAS KERJA'!K"&amp;(SMALL(IF(checklistPesertaKemenkeu!$AY$6:$AY$1005="Direkomendasikan",ROW($6:$1005)-5),423)+5)&amp;":O"&amp;(SMALL(IF(checklistPesertaKemenkeu!$AY$6:$AY$1005="Direkomendasikan",ROW($6:$1005)-5),423)+5)),INDEX(checklistPesertaKemenkeu!$L$6:$L$1005,SMALL(IF(checklistPesertaKemenkeu!$AY$6:$AY$1005="Direkomendasikan",ROW($6:$1005)-5),423)))=1),IFERROR(VLOOKUP(INDEX(checklistPesertaKemenkeu!$L$6:$L$1005,SMALL(IF(checklistPesertaKemenkeu!$AY$6:$AY$1005="Direkomendasikan",ROW($6:$1005)-5),423)),KotaKode,2,0),"-"),"")),"")</f>
        <v/>
      </c>
      <c r="I424" t="str">
        <f t="array" aca="1" ref="I424" ca="1">IFERROR(IF(OR(INDEX(checklistPesertaKemenkeu!$M$6:$M$1005,SMALL(IF(checklistPesertaKemenkeu!$AY$6:$AY$1005="Direkomendasikan",ROW($6:$1005)-5),423))="",INDEX(checklistPesertaKemenkeu!$J$6:$J$1005,SMALL(IF(checklistPesertaKemenkeu!$AY$6:$AY$1005="Direkomendasikan",ROW($6:$1005)-5),423))=""),"",IF(AND(COUNTIF(INDIRECT("K_"&amp;MATCH(INDEX(checklistPesertaKemenkeu!$J$6:$J$1005,SMALL(IF(checklistPesertaKemenkeu!$AY$6:$AY$1005="Direkomendasikan",ROW($6:$1005)-5),423)),BidangList,0)),INDEX(checklistPesertaKemenkeu!$M$6:$M$1005,SMALL(IF(checklistPesertaKemenkeu!$AY$6:$AY$1005="Direkomendasikan",ROW($6:$1005)-5),423)))&gt;0,COUNTIF(INDIRECT("'KERTAS KERJA'!K"&amp;(SMALL(IF(checklistPesertaKemenkeu!$AY$6:$AY$1005="Direkomendasikan",ROW($6:$1005)-5),423)+5)&amp;":O"&amp;(SMALL(IF(checklistPesertaKemenkeu!$AY$6:$AY$1005="Direkomendasikan",ROW($6:$1005)-5),423)+5)),INDEX(checklistPesertaKemenkeu!$M$6:$M$1005,SMALL(IF(checklistPesertaKemenkeu!$AY$6:$AY$1005="Direkomendasikan",ROW($6:$1005)-5),423)))=1),IFERROR(VLOOKUP(INDEX(checklistPesertaKemenkeu!$M$6:$M$1005,SMALL(IF(checklistPesertaKemenkeu!$AY$6:$AY$1005="Direkomendasikan",ROW($6:$1005)-5),423)),KotaKode,2,0),"-"),"")),"")</f>
        <v/>
      </c>
      <c r="J424" t="str">
        <f t="array" aca="1" ref="J424" ca="1">IFERROR(IF(OR(INDEX(checklistPesertaKemenkeu!$N$6:$N$1005,SMALL(IF(checklistPesertaKemenkeu!$AY$6:$AY$1005="Direkomendasikan",ROW($6:$1005)-5),423))="",INDEX(checklistPesertaKemenkeu!$J$6:$J$1005,SMALL(IF(checklistPesertaKemenkeu!$AY$6:$AY$1005="Direkomendasikan",ROW($6:$1005)-5),423))=""),"",IF(AND(COUNTIF(INDIRECT("K_"&amp;MATCH(INDEX(checklistPesertaKemenkeu!$J$6:$J$1005,SMALL(IF(checklistPesertaKemenkeu!$AY$6:$AY$1005="Direkomendasikan",ROW($6:$1005)-5),423)),BidangList,0)),INDEX(checklistPesertaKemenkeu!$N$6:$N$1005,SMALL(IF(checklistPesertaKemenkeu!$AY$6:$AY$1005="Direkomendasikan",ROW($6:$1005)-5),423)))&gt;0,COUNTIF(INDIRECT("'KERTAS KERJA'!K"&amp;(SMALL(IF(checklistPesertaKemenkeu!$AY$6:$AY$1005="Direkomendasikan",ROW($6:$1005)-5),423)+5)&amp;":O"&amp;(SMALL(IF(checklistPesertaKemenkeu!$AY$6:$AY$1005="Direkomendasikan",ROW($6:$1005)-5),423)+5)),INDEX(checklistPesertaKemenkeu!$N$6:$N$1005,SMALL(IF(checklistPesertaKemenkeu!$AY$6:$AY$1005="Direkomendasikan",ROW($6:$1005)-5),423)))=1),IFERROR(VLOOKUP(INDEX(checklistPesertaKemenkeu!$N$6:$N$1005,SMALL(IF(checklistPesertaKemenkeu!$AY$6:$AY$1005="Direkomendasikan",ROW($6:$1005)-5),423)),KotaKode,2,0),"-"),"")),"")</f>
        <v/>
      </c>
      <c r="K424" t="str">
        <f t="array" aca="1" ref="K424" ca="1">IFERROR(IF(OR(INDEX(checklistPesertaKemenkeu!$O$6:$O$1005,SMALL(IF(checklistPesertaKemenkeu!$AY$6:$AY$1005="Direkomendasikan",ROW($6:$1005)-5),423))="",INDEX(checklistPesertaKemenkeu!$J$6:$J$1005,SMALL(IF(checklistPesertaKemenkeu!$AY$6:$AY$1005="Direkomendasikan",ROW($6:$1005)-5),423))=""),"",IF(AND(COUNTIF(INDIRECT("K_"&amp;MATCH(INDEX(checklistPesertaKemenkeu!$J$6:$J$1005,SMALL(IF(checklistPesertaKemenkeu!$AY$6:$AY$1005="Direkomendasikan",ROW($6:$1005)-5),423)),BidangList,0)),INDEX(checklistPesertaKemenkeu!$O$6:$O$1005,SMALL(IF(checklistPesertaKemenkeu!$AY$6:$AY$1005="Direkomendasikan",ROW($6:$1005)-5),423)))&gt;0,COUNTIF(INDIRECT("'KERTAS KERJA'!K"&amp;(SMALL(IF(checklistPesertaKemenkeu!$AY$6:$AY$1005="Direkomendasikan",ROW($6:$1005)-5),423)+5)&amp;":O"&amp;(SMALL(IF(checklistPesertaKemenkeu!$AY$6:$AY$1005="Direkomendasikan",ROW($6:$1005)-5),423)+5)),INDEX(checklistPesertaKemenkeu!$O$6:$O$1005,SMALL(IF(checklistPesertaKemenkeu!$AY$6:$AY$1005="Direkomendasikan",ROW($6:$1005)-5),423)))=1),IFERROR(VLOOKUP(INDEX(checklistPesertaKemenkeu!$O$6:$O$1005,SMALL(IF(checklistPesertaKemenkeu!$AY$6:$AY$1005="Direkomendasikan",ROW($6:$1005)-5),423)),KotaKode,2,0),"-"),"")),"")</f>
        <v/>
      </c>
      <c r="L424" t="str">
        <f t="array" aca="1" ref="L424" ca="1">IFERROR(IF(OR(INDEX(checklistPesertaKemenkeu!$P$6:$P$1005,SMALL(IF(checklistPesertaKemenkeu!$AY$6:$AY$1005="Direkomendasikan",ROW($6:$1005)-5),423))="",INDEX(checklistPesertaKemenkeu!$J$6:$J$1005,SMALL(IF(checklistPesertaKemenkeu!$AY$6:$AY$1005="Direkomendasikan",ROW($6:$1005)-5),423))=""),"",IF(AND(COUNTIF(INDIRECT("K_"&amp;MATCH(INDEX(checklistPesertaKemenkeu!$J$6:$J$1005,SMALL(IF(checklistPesertaKemenkeu!$AY$6:$AY$1005="Direkomendasikan",ROW($6:$1005)-5),423)),BidangList,0)),INDEX(checklistPesertaKemenkeu!$P$6:$P$1005,SMALL(IF(checklistPesertaKemenkeu!$AY$6:$AY$1005="Direkomendasikan",ROW($6:$1005)-5),423)))&gt;0,COUNTIF(INDIRECT("'KERTAS KERJA'!K"&amp;(SMALL(IF(checklistPesertaKemenkeu!$AY$6:$AY$1005="Direkomendasikan",ROW($6:$1005)-5),423)+5)&amp;":O"&amp;(SMALL(IF(checklistPesertaKemenkeu!$AY$6:$AY$1005="Direkomendasikan",ROW($6:$1005)-5),423)+5)),INDEX(checklistPesertaKemenkeu!$P$6:$P$1005,SMALL(IF(checklistPesertaKemenkeu!$AY$6:$AY$1005="Direkomendasikan",ROW($6:$1005)-5),423)))=1),IFERROR(VLOOKUP(INDEX(checklistPesertaKemenkeu!$P$6:$P$1005,SMALL(IF(checklistPesertaKemenkeu!$AY$6:$AY$1005="Direkomendasikan",ROW($6:$1005)-5),423)),KotaKode,2,0),"-"),"")),"")</f>
        <v/>
      </c>
    </row>
    <row r="425" spans="1:12" ht="15" customHeight="1" x14ac:dyDescent="0.2">
      <c r="A425" t="str">
        <f t="shared" si="6"/>
        <v/>
      </c>
      <c r="B425" t="str">
        <v/>
      </c>
      <c r="C425" s="40" t="str">
        <f t="array" ref="C425">IFERROR(INDEX(checklistPesertaKemenkeu!$F$6:$F$1005,SMALL(IF(checklistPesertaKemenkeu!$AY$6:$AY$1005="Direkomendasikan",ROW($6:$1005)-5),424)),"")</f>
        <v/>
      </c>
      <c r="D425" t="str">
        <f t="array" ref="D425">IFERROR(INDEX(checklistPesertaKemenkeu!$G$6:$G$1005,SMALL(IF(checklistPesertaKemenkeu!$AY$6:$AY$1005="Direkomendasikan",ROW($6:$1005)-5),424)),"")</f>
        <v/>
      </c>
      <c r="E425" t="str">
        <f t="array" ref="E425">IFERROR(INDEX(checklistPesertaKemenkeu!$H$6:$H$1005,SMALL(IF(checklistPesertaKemenkeu!$AY$6:$AY$1005="Direkomendasikan",ROW($6:$1005)-5),424)),"")</f>
        <v/>
      </c>
      <c r="F425" t="str">
        <f t="array" ref="F425">IFERROR(INDEX(checklistPesertaKemenkeu!$I$6:$I$1005,SMALL(IF(checklistPesertaKemenkeu!$AY$6:$AY$1005="Direkomendasikan",ROW($6:$1005)-5),424)),"")</f>
        <v/>
      </c>
      <c r="G425" t="str">
        <f t="array" ref="G425">IFERROR(INDEX(checklistPesertaKemenkeu!$J$6:$J$1005,SMALL(IF(checklistPesertaKemenkeu!$AY$6:$AY$1005="Direkomendasikan",ROW($6:$1005)-5),424)),"")</f>
        <v/>
      </c>
      <c r="H425" t="str">
        <f t="array" aca="1" ref="H425" ca="1">IFERROR(IF(OR(INDEX(checklistPesertaKemenkeu!$L$6:$L$1005,SMALL(IF(checklistPesertaKemenkeu!$AY$6:$AY$1005="Direkomendasikan",ROW($6:$1005)-5),424))="",INDEX(checklistPesertaKemenkeu!$J$6:$J$1005,SMALL(IF(checklistPesertaKemenkeu!$AY$6:$AY$1005="Direkomendasikan",ROW($6:$1005)-5),424))=""),"",IF(AND(COUNTIF(INDIRECT("K_"&amp;MATCH(INDEX(checklistPesertaKemenkeu!$J$6:$J$1005,SMALL(IF(checklistPesertaKemenkeu!$AY$6:$AY$1005="Direkomendasikan",ROW($6:$1005)-5),424)),BidangList,0)),INDEX(checklistPesertaKemenkeu!$L$6:$L$1005,SMALL(IF(checklistPesertaKemenkeu!$AY$6:$AY$1005="Direkomendasikan",ROW($6:$1005)-5),424)))&gt;0,COUNTIF(INDIRECT("'KERTAS KERJA'!K"&amp;(SMALL(IF(checklistPesertaKemenkeu!$AY$6:$AY$1005="Direkomendasikan",ROW($6:$1005)-5),424)+5)&amp;":O"&amp;(SMALL(IF(checklistPesertaKemenkeu!$AY$6:$AY$1005="Direkomendasikan",ROW($6:$1005)-5),424)+5)),INDEX(checklistPesertaKemenkeu!$L$6:$L$1005,SMALL(IF(checklistPesertaKemenkeu!$AY$6:$AY$1005="Direkomendasikan",ROW($6:$1005)-5),424)))=1),IFERROR(VLOOKUP(INDEX(checklistPesertaKemenkeu!$L$6:$L$1005,SMALL(IF(checklistPesertaKemenkeu!$AY$6:$AY$1005="Direkomendasikan",ROW($6:$1005)-5),424)),KotaKode,2,0),"-"),"")),"")</f>
        <v/>
      </c>
      <c r="I425" t="str">
        <f t="array" aca="1" ref="I425" ca="1">IFERROR(IF(OR(INDEX(checklistPesertaKemenkeu!$M$6:$M$1005,SMALL(IF(checklistPesertaKemenkeu!$AY$6:$AY$1005="Direkomendasikan",ROW($6:$1005)-5),424))="",INDEX(checklistPesertaKemenkeu!$J$6:$J$1005,SMALL(IF(checklistPesertaKemenkeu!$AY$6:$AY$1005="Direkomendasikan",ROW($6:$1005)-5),424))=""),"",IF(AND(COUNTIF(INDIRECT("K_"&amp;MATCH(INDEX(checklistPesertaKemenkeu!$J$6:$J$1005,SMALL(IF(checklistPesertaKemenkeu!$AY$6:$AY$1005="Direkomendasikan",ROW($6:$1005)-5),424)),BidangList,0)),INDEX(checklistPesertaKemenkeu!$M$6:$M$1005,SMALL(IF(checklistPesertaKemenkeu!$AY$6:$AY$1005="Direkomendasikan",ROW($6:$1005)-5),424)))&gt;0,COUNTIF(INDIRECT("'KERTAS KERJA'!K"&amp;(SMALL(IF(checklistPesertaKemenkeu!$AY$6:$AY$1005="Direkomendasikan",ROW($6:$1005)-5),424)+5)&amp;":O"&amp;(SMALL(IF(checklistPesertaKemenkeu!$AY$6:$AY$1005="Direkomendasikan",ROW($6:$1005)-5),424)+5)),INDEX(checklistPesertaKemenkeu!$M$6:$M$1005,SMALL(IF(checklistPesertaKemenkeu!$AY$6:$AY$1005="Direkomendasikan",ROW($6:$1005)-5),424)))=1),IFERROR(VLOOKUP(INDEX(checklistPesertaKemenkeu!$M$6:$M$1005,SMALL(IF(checklistPesertaKemenkeu!$AY$6:$AY$1005="Direkomendasikan",ROW($6:$1005)-5),424)),KotaKode,2,0),"-"),"")),"")</f>
        <v/>
      </c>
      <c r="J425" t="str">
        <f t="array" aca="1" ref="J425" ca="1">IFERROR(IF(OR(INDEX(checklistPesertaKemenkeu!$N$6:$N$1005,SMALL(IF(checklistPesertaKemenkeu!$AY$6:$AY$1005="Direkomendasikan",ROW($6:$1005)-5),424))="",INDEX(checklistPesertaKemenkeu!$J$6:$J$1005,SMALL(IF(checklistPesertaKemenkeu!$AY$6:$AY$1005="Direkomendasikan",ROW($6:$1005)-5),424))=""),"",IF(AND(COUNTIF(INDIRECT("K_"&amp;MATCH(INDEX(checklistPesertaKemenkeu!$J$6:$J$1005,SMALL(IF(checklistPesertaKemenkeu!$AY$6:$AY$1005="Direkomendasikan",ROW($6:$1005)-5),424)),BidangList,0)),INDEX(checklistPesertaKemenkeu!$N$6:$N$1005,SMALL(IF(checklistPesertaKemenkeu!$AY$6:$AY$1005="Direkomendasikan",ROW($6:$1005)-5),424)))&gt;0,COUNTIF(INDIRECT("'KERTAS KERJA'!K"&amp;(SMALL(IF(checklistPesertaKemenkeu!$AY$6:$AY$1005="Direkomendasikan",ROW($6:$1005)-5),424)+5)&amp;":O"&amp;(SMALL(IF(checklistPesertaKemenkeu!$AY$6:$AY$1005="Direkomendasikan",ROW($6:$1005)-5),424)+5)),INDEX(checklistPesertaKemenkeu!$N$6:$N$1005,SMALL(IF(checklistPesertaKemenkeu!$AY$6:$AY$1005="Direkomendasikan",ROW($6:$1005)-5),424)))=1),IFERROR(VLOOKUP(INDEX(checklistPesertaKemenkeu!$N$6:$N$1005,SMALL(IF(checklistPesertaKemenkeu!$AY$6:$AY$1005="Direkomendasikan",ROW($6:$1005)-5),424)),KotaKode,2,0),"-"),"")),"")</f>
        <v/>
      </c>
      <c r="K425" t="str">
        <f t="array" aca="1" ref="K425" ca="1">IFERROR(IF(OR(INDEX(checklistPesertaKemenkeu!$O$6:$O$1005,SMALL(IF(checklistPesertaKemenkeu!$AY$6:$AY$1005="Direkomendasikan",ROW($6:$1005)-5),424))="",INDEX(checklistPesertaKemenkeu!$J$6:$J$1005,SMALL(IF(checklistPesertaKemenkeu!$AY$6:$AY$1005="Direkomendasikan",ROW($6:$1005)-5),424))=""),"",IF(AND(COUNTIF(INDIRECT("K_"&amp;MATCH(INDEX(checklistPesertaKemenkeu!$J$6:$J$1005,SMALL(IF(checklistPesertaKemenkeu!$AY$6:$AY$1005="Direkomendasikan",ROW($6:$1005)-5),424)),BidangList,0)),INDEX(checklistPesertaKemenkeu!$O$6:$O$1005,SMALL(IF(checklistPesertaKemenkeu!$AY$6:$AY$1005="Direkomendasikan",ROW($6:$1005)-5),424)))&gt;0,COUNTIF(INDIRECT("'KERTAS KERJA'!K"&amp;(SMALL(IF(checklistPesertaKemenkeu!$AY$6:$AY$1005="Direkomendasikan",ROW($6:$1005)-5),424)+5)&amp;":O"&amp;(SMALL(IF(checklistPesertaKemenkeu!$AY$6:$AY$1005="Direkomendasikan",ROW($6:$1005)-5),424)+5)),INDEX(checklistPesertaKemenkeu!$O$6:$O$1005,SMALL(IF(checklistPesertaKemenkeu!$AY$6:$AY$1005="Direkomendasikan",ROW($6:$1005)-5),424)))=1),IFERROR(VLOOKUP(INDEX(checklistPesertaKemenkeu!$O$6:$O$1005,SMALL(IF(checklistPesertaKemenkeu!$AY$6:$AY$1005="Direkomendasikan",ROW($6:$1005)-5),424)),KotaKode,2,0),"-"),"")),"")</f>
        <v/>
      </c>
      <c r="L425" t="str">
        <f t="array" aca="1" ref="L425" ca="1">IFERROR(IF(OR(INDEX(checklistPesertaKemenkeu!$P$6:$P$1005,SMALL(IF(checklistPesertaKemenkeu!$AY$6:$AY$1005="Direkomendasikan",ROW($6:$1005)-5),424))="",INDEX(checklistPesertaKemenkeu!$J$6:$J$1005,SMALL(IF(checklistPesertaKemenkeu!$AY$6:$AY$1005="Direkomendasikan",ROW($6:$1005)-5),424))=""),"",IF(AND(COUNTIF(INDIRECT("K_"&amp;MATCH(INDEX(checklistPesertaKemenkeu!$J$6:$J$1005,SMALL(IF(checklistPesertaKemenkeu!$AY$6:$AY$1005="Direkomendasikan",ROW($6:$1005)-5),424)),BidangList,0)),INDEX(checklistPesertaKemenkeu!$P$6:$P$1005,SMALL(IF(checklistPesertaKemenkeu!$AY$6:$AY$1005="Direkomendasikan",ROW($6:$1005)-5),424)))&gt;0,COUNTIF(INDIRECT("'KERTAS KERJA'!K"&amp;(SMALL(IF(checklistPesertaKemenkeu!$AY$6:$AY$1005="Direkomendasikan",ROW($6:$1005)-5),424)+5)&amp;":O"&amp;(SMALL(IF(checklistPesertaKemenkeu!$AY$6:$AY$1005="Direkomendasikan",ROW($6:$1005)-5),424)+5)),INDEX(checklistPesertaKemenkeu!$P$6:$P$1005,SMALL(IF(checklistPesertaKemenkeu!$AY$6:$AY$1005="Direkomendasikan",ROW($6:$1005)-5),424)))=1),IFERROR(VLOOKUP(INDEX(checklistPesertaKemenkeu!$P$6:$P$1005,SMALL(IF(checklistPesertaKemenkeu!$AY$6:$AY$1005="Direkomendasikan",ROW($6:$1005)-5),424)),KotaKode,2,0),"-"),"")),"")</f>
        <v/>
      </c>
    </row>
    <row r="426" spans="1:12" ht="15" customHeight="1" x14ac:dyDescent="0.2">
      <c r="A426" t="str">
        <f t="shared" si="6"/>
        <v/>
      </c>
      <c r="B426" t="str">
        <v/>
      </c>
      <c r="C426" s="40" t="str">
        <f t="array" ref="C426">IFERROR(INDEX(checklistPesertaKemenkeu!$F$6:$F$1005,SMALL(IF(checklistPesertaKemenkeu!$AY$6:$AY$1005="Direkomendasikan",ROW($6:$1005)-5),425)),"")</f>
        <v/>
      </c>
      <c r="D426" t="str">
        <f t="array" ref="D426">IFERROR(INDEX(checklistPesertaKemenkeu!$G$6:$G$1005,SMALL(IF(checklistPesertaKemenkeu!$AY$6:$AY$1005="Direkomendasikan",ROW($6:$1005)-5),425)),"")</f>
        <v/>
      </c>
      <c r="E426" t="str">
        <f t="array" ref="E426">IFERROR(INDEX(checklistPesertaKemenkeu!$H$6:$H$1005,SMALL(IF(checklistPesertaKemenkeu!$AY$6:$AY$1005="Direkomendasikan",ROW($6:$1005)-5),425)),"")</f>
        <v/>
      </c>
      <c r="F426" t="str">
        <f t="array" ref="F426">IFERROR(INDEX(checklistPesertaKemenkeu!$I$6:$I$1005,SMALL(IF(checklistPesertaKemenkeu!$AY$6:$AY$1005="Direkomendasikan",ROW($6:$1005)-5),425)),"")</f>
        <v/>
      </c>
      <c r="G426" t="str">
        <f t="array" ref="G426">IFERROR(INDEX(checklistPesertaKemenkeu!$J$6:$J$1005,SMALL(IF(checklistPesertaKemenkeu!$AY$6:$AY$1005="Direkomendasikan",ROW($6:$1005)-5),425)),"")</f>
        <v/>
      </c>
      <c r="H426" t="str">
        <f t="array" aca="1" ref="H426" ca="1">IFERROR(IF(OR(INDEX(checklistPesertaKemenkeu!$L$6:$L$1005,SMALL(IF(checklistPesertaKemenkeu!$AY$6:$AY$1005="Direkomendasikan",ROW($6:$1005)-5),425))="",INDEX(checklistPesertaKemenkeu!$J$6:$J$1005,SMALL(IF(checklistPesertaKemenkeu!$AY$6:$AY$1005="Direkomendasikan",ROW($6:$1005)-5),425))=""),"",IF(AND(COUNTIF(INDIRECT("K_"&amp;MATCH(INDEX(checklistPesertaKemenkeu!$J$6:$J$1005,SMALL(IF(checklistPesertaKemenkeu!$AY$6:$AY$1005="Direkomendasikan",ROW($6:$1005)-5),425)),BidangList,0)),INDEX(checklistPesertaKemenkeu!$L$6:$L$1005,SMALL(IF(checklistPesertaKemenkeu!$AY$6:$AY$1005="Direkomendasikan",ROW($6:$1005)-5),425)))&gt;0,COUNTIF(INDIRECT("'KERTAS KERJA'!K"&amp;(SMALL(IF(checklistPesertaKemenkeu!$AY$6:$AY$1005="Direkomendasikan",ROW($6:$1005)-5),425)+5)&amp;":O"&amp;(SMALL(IF(checklistPesertaKemenkeu!$AY$6:$AY$1005="Direkomendasikan",ROW($6:$1005)-5),425)+5)),INDEX(checklistPesertaKemenkeu!$L$6:$L$1005,SMALL(IF(checklistPesertaKemenkeu!$AY$6:$AY$1005="Direkomendasikan",ROW($6:$1005)-5),425)))=1),IFERROR(VLOOKUP(INDEX(checklistPesertaKemenkeu!$L$6:$L$1005,SMALL(IF(checklistPesertaKemenkeu!$AY$6:$AY$1005="Direkomendasikan",ROW($6:$1005)-5),425)),KotaKode,2,0),"-"),"")),"")</f>
        <v/>
      </c>
      <c r="I426" t="str">
        <f t="array" aca="1" ref="I426" ca="1">IFERROR(IF(OR(INDEX(checklistPesertaKemenkeu!$M$6:$M$1005,SMALL(IF(checklistPesertaKemenkeu!$AY$6:$AY$1005="Direkomendasikan",ROW($6:$1005)-5),425))="",INDEX(checklistPesertaKemenkeu!$J$6:$J$1005,SMALL(IF(checklistPesertaKemenkeu!$AY$6:$AY$1005="Direkomendasikan",ROW($6:$1005)-5),425))=""),"",IF(AND(COUNTIF(INDIRECT("K_"&amp;MATCH(INDEX(checklistPesertaKemenkeu!$J$6:$J$1005,SMALL(IF(checklistPesertaKemenkeu!$AY$6:$AY$1005="Direkomendasikan",ROW($6:$1005)-5),425)),BidangList,0)),INDEX(checklistPesertaKemenkeu!$M$6:$M$1005,SMALL(IF(checklistPesertaKemenkeu!$AY$6:$AY$1005="Direkomendasikan",ROW($6:$1005)-5),425)))&gt;0,COUNTIF(INDIRECT("'KERTAS KERJA'!K"&amp;(SMALL(IF(checklistPesertaKemenkeu!$AY$6:$AY$1005="Direkomendasikan",ROW($6:$1005)-5),425)+5)&amp;":O"&amp;(SMALL(IF(checklistPesertaKemenkeu!$AY$6:$AY$1005="Direkomendasikan",ROW($6:$1005)-5),425)+5)),INDEX(checklistPesertaKemenkeu!$M$6:$M$1005,SMALL(IF(checklistPesertaKemenkeu!$AY$6:$AY$1005="Direkomendasikan",ROW($6:$1005)-5),425)))=1),IFERROR(VLOOKUP(INDEX(checklistPesertaKemenkeu!$M$6:$M$1005,SMALL(IF(checklistPesertaKemenkeu!$AY$6:$AY$1005="Direkomendasikan",ROW($6:$1005)-5),425)),KotaKode,2,0),"-"),"")),"")</f>
        <v/>
      </c>
      <c r="J426" t="str">
        <f t="array" aca="1" ref="J426" ca="1">IFERROR(IF(OR(INDEX(checklistPesertaKemenkeu!$N$6:$N$1005,SMALL(IF(checklistPesertaKemenkeu!$AY$6:$AY$1005="Direkomendasikan",ROW($6:$1005)-5),425))="",INDEX(checklistPesertaKemenkeu!$J$6:$J$1005,SMALL(IF(checklistPesertaKemenkeu!$AY$6:$AY$1005="Direkomendasikan",ROW($6:$1005)-5),425))=""),"",IF(AND(COUNTIF(INDIRECT("K_"&amp;MATCH(INDEX(checklistPesertaKemenkeu!$J$6:$J$1005,SMALL(IF(checklistPesertaKemenkeu!$AY$6:$AY$1005="Direkomendasikan",ROW($6:$1005)-5),425)),BidangList,0)),INDEX(checklistPesertaKemenkeu!$N$6:$N$1005,SMALL(IF(checklistPesertaKemenkeu!$AY$6:$AY$1005="Direkomendasikan",ROW($6:$1005)-5),425)))&gt;0,COUNTIF(INDIRECT("'KERTAS KERJA'!K"&amp;(SMALL(IF(checklistPesertaKemenkeu!$AY$6:$AY$1005="Direkomendasikan",ROW($6:$1005)-5),425)+5)&amp;":O"&amp;(SMALL(IF(checklistPesertaKemenkeu!$AY$6:$AY$1005="Direkomendasikan",ROW($6:$1005)-5),425)+5)),INDEX(checklistPesertaKemenkeu!$N$6:$N$1005,SMALL(IF(checklistPesertaKemenkeu!$AY$6:$AY$1005="Direkomendasikan",ROW($6:$1005)-5),425)))=1),IFERROR(VLOOKUP(INDEX(checklistPesertaKemenkeu!$N$6:$N$1005,SMALL(IF(checklistPesertaKemenkeu!$AY$6:$AY$1005="Direkomendasikan",ROW($6:$1005)-5),425)),KotaKode,2,0),"-"),"")),"")</f>
        <v/>
      </c>
      <c r="K426" t="str">
        <f t="array" aca="1" ref="K426" ca="1">IFERROR(IF(OR(INDEX(checklistPesertaKemenkeu!$O$6:$O$1005,SMALL(IF(checklistPesertaKemenkeu!$AY$6:$AY$1005="Direkomendasikan",ROW($6:$1005)-5),425))="",INDEX(checklistPesertaKemenkeu!$J$6:$J$1005,SMALL(IF(checklistPesertaKemenkeu!$AY$6:$AY$1005="Direkomendasikan",ROW($6:$1005)-5),425))=""),"",IF(AND(COUNTIF(INDIRECT("K_"&amp;MATCH(INDEX(checklistPesertaKemenkeu!$J$6:$J$1005,SMALL(IF(checklistPesertaKemenkeu!$AY$6:$AY$1005="Direkomendasikan",ROW($6:$1005)-5),425)),BidangList,0)),INDEX(checklistPesertaKemenkeu!$O$6:$O$1005,SMALL(IF(checklistPesertaKemenkeu!$AY$6:$AY$1005="Direkomendasikan",ROW($6:$1005)-5),425)))&gt;0,COUNTIF(INDIRECT("'KERTAS KERJA'!K"&amp;(SMALL(IF(checklistPesertaKemenkeu!$AY$6:$AY$1005="Direkomendasikan",ROW($6:$1005)-5),425)+5)&amp;":O"&amp;(SMALL(IF(checklistPesertaKemenkeu!$AY$6:$AY$1005="Direkomendasikan",ROW($6:$1005)-5),425)+5)),INDEX(checklistPesertaKemenkeu!$O$6:$O$1005,SMALL(IF(checklistPesertaKemenkeu!$AY$6:$AY$1005="Direkomendasikan",ROW($6:$1005)-5),425)))=1),IFERROR(VLOOKUP(INDEX(checklistPesertaKemenkeu!$O$6:$O$1005,SMALL(IF(checklistPesertaKemenkeu!$AY$6:$AY$1005="Direkomendasikan",ROW($6:$1005)-5),425)),KotaKode,2,0),"-"),"")),"")</f>
        <v/>
      </c>
      <c r="L426" t="str">
        <f t="array" aca="1" ref="L426" ca="1">IFERROR(IF(OR(INDEX(checklistPesertaKemenkeu!$P$6:$P$1005,SMALL(IF(checklistPesertaKemenkeu!$AY$6:$AY$1005="Direkomendasikan",ROW($6:$1005)-5),425))="",INDEX(checklistPesertaKemenkeu!$J$6:$J$1005,SMALL(IF(checklistPesertaKemenkeu!$AY$6:$AY$1005="Direkomendasikan",ROW($6:$1005)-5),425))=""),"",IF(AND(COUNTIF(INDIRECT("K_"&amp;MATCH(INDEX(checklistPesertaKemenkeu!$J$6:$J$1005,SMALL(IF(checklistPesertaKemenkeu!$AY$6:$AY$1005="Direkomendasikan",ROW($6:$1005)-5),425)),BidangList,0)),INDEX(checklistPesertaKemenkeu!$P$6:$P$1005,SMALL(IF(checklistPesertaKemenkeu!$AY$6:$AY$1005="Direkomendasikan",ROW($6:$1005)-5),425)))&gt;0,COUNTIF(INDIRECT("'KERTAS KERJA'!K"&amp;(SMALL(IF(checklistPesertaKemenkeu!$AY$6:$AY$1005="Direkomendasikan",ROW($6:$1005)-5),425)+5)&amp;":O"&amp;(SMALL(IF(checklistPesertaKemenkeu!$AY$6:$AY$1005="Direkomendasikan",ROW($6:$1005)-5),425)+5)),INDEX(checklistPesertaKemenkeu!$P$6:$P$1005,SMALL(IF(checklistPesertaKemenkeu!$AY$6:$AY$1005="Direkomendasikan",ROW($6:$1005)-5),425)))=1),IFERROR(VLOOKUP(INDEX(checklistPesertaKemenkeu!$P$6:$P$1005,SMALL(IF(checklistPesertaKemenkeu!$AY$6:$AY$1005="Direkomendasikan",ROW($6:$1005)-5),425)),KotaKode,2,0),"-"),"")),"")</f>
        <v/>
      </c>
    </row>
    <row r="427" spans="1:12" ht="15" customHeight="1" x14ac:dyDescent="0.2">
      <c r="A427" t="str">
        <f t="shared" si="6"/>
        <v/>
      </c>
      <c r="B427" t="str">
        <v/>
      </c>
      <c r="C427" s="40" t="str">
        <f t="array" ref="C427">IFERROR(INDEX(checklistPesertaKemenkeu!$F$6:$F$1005,SMALL(IF(checklistPesertaKemenkeu!$AY$6:$AY$1005="Direkomendasikan",ROW($6:$1005)-5),426)),"")</f>
        <v/>
      </c>
      <c r="D427" t="str">
        <f t="array" ref="D427">IFERROR(INDEX(checklistPesertaKemenkeu!$G$6:$G$1005,SMALL(IF(checklistPesertaKemenkeu!$AY$6:$AY$1005="Direkomendasikan",ROW($6:$1005)-5),426)),"")</f>
        <v/>
      </c>
      <c r="E427" t="str">
        <f t="array" ref="E427">IFERROR(INDEX(checklistPesertaKemenkeu!$H$6:$H$1005,SMALL(IF(checklistPesertaKemenkeu!$AY$6:$AY$1005="Direkomendasikan",ROW($6:$1005)-5),426)),"")</f>
        <v/>
      </c>
      <c r="F427" t="str">
        <f t="array" ref="F427">IFERROR(INDEX(checklistPesertaKemenkeu!$I$6:$I$1005,SMALL(IF(checklistPesertaKemenkeu!$AY$6:$AY$1005="Direkomendasikan",ROW($6:$1005)-5),426)),"")</f>
        <v/>
      </c>
      <c r="G427" t="str">
        <f t="array" ref="G427">IFERROR(INDEX(checklistPesertaKemenkeu!$J$6:$J$1005,SMALL(IF(checklistPesertaKemenkeu!$AY$6:$AY$1005="Direkomendasikan",ROW($6:$1005)-5),426)),"")</f>
        <v/>
      </c>
      <c r="H427" t="str">
        <f t="array" aca="1" ref="H427" ca="1">IFERROR(IF(OR(INDEX(checklistPesertaKemenkeu!$L$6:$L$1005,SMALL(IF(checklistPesertaKemenkeu!$AY$6:$AY$1005="Direkomendasikan",ROW($6:$1005)-5),426))="",INDEX(checklistPesertaKemenkeu!$J$6:$J$1005,SMALL(IF(checklistPesertaKemenkeu!$AY$6:$AY$1005="Direkomendasikan",ROW($6:$1005)-5),426))=""),"",IF(AND(COUNTIF(INDIRECT("K_"&amp;MATCH(INDEX(checklistPesertaKemenkeu!$J$6:$J$1005,SMALL(IF(checklistPesertaKemenkeu!$AY$6:$AY$1005="Direkomendasikan",ROW($6:$1005)-5),426)),BidangList,0)),INDEX(checklistPesertaKemenkeu!$L$6:$L$1005,SMALL(IF(checklistPesertaKemenkeu!$AY$6:$AY$1005="Direkomendasikan",ROW($6:$1005)-5),426)))&gt;0,COUNTIF(INDIRECT("'KERTAS KERJA'!K"&amp;(SMALL(IF(checklistPesertaKemenkeu!$AY$6:$AY$1005="Direkomendasikan",ROW($6:$1005)-5),426)+5)&amp;":O"&amp;(SMALL(IF(checklistPesertaKemenkeu!$AY$6:$AY$1005="Direkomendasikan",ROW($6:$1005)-5),426)+5)),INDEX(checklistPesertaKemenkeu!$L$6:$L$1005,SMALL(IF(checklistPesertaKemenkeu!$AY$6:$AY$1005="Direkomendasikan",ROW($6:$1005)-5),426)))=1),IFERROR(VLOOKUP(INDEX(checklistPesertaKemenkeu!$L$6:$L$1005,SMALL(IF(checklistPesertaKemenkeu!$AY$6:$AY$1005="Direkomendasikan",ROW($6:$1005)-5),426)),KotaKode,2,0),"-"),"")),"")</f>
        <v/>
      </c>
      <c r="I427" t="str">
        <f t="array" aca="1" ref="I427" ca="1">IFERROR(IF(OR(INDEX(checklistPesertaKemenkeu!$M$6:$M$1005,SMALL(IF(checklistPesertaKemenkeu!$AY$6:$AY$1005="Direkomendasikan",ROW($6:$1005)-5),426))="",INDEX(checklistPesertaKemenkeu!$J$6:$J$1005,SMALL(IF(checklistPesertaKemenkeu!$AY$6:$AY$1005="Direkomendasikan",ROW($6:$1005)-5),426))=""),"",IF(AND(COUNTIF(INDIRECT("K_"&amp;MATCH(INDEX(checklistPesertaKemenkeu!$J$6:$J$1005,SMALL(IF(checklistPesertaKemenkeu!$AY$6:$AY$1005="Direkomendasikan",ROW($6:$1005)-5),426)),BidangList,0)),INDEX(checklistPesertaKemenkeu!$M$6:$M$1005,SMALL(IF(checklistPesertaKemenkeu!$AY$6:$AY$1005="Direkomendasikan",ROW($6:$1005)-5),426)))&gt;0,COUNTIF(INDIRECT("'KERTAS KERJA'!K"&amp;(SMALL(IF(checklistPesertaKemenkeu!$AY$6:$AY$1005="Direkomendasikan",ROW($6:$1005)-5),426)+5)&amp;":O"&amp;(SMALL(IF(checklistPesertaKemenkeu!$AY$6:$AY$1005="Direkomendasikan",ROW($6:$1005)-5),426)+5)),INDEX(checklistPesertaKemenkeu!$M$6:$M$1005,SMALL(IF(checklistPesertaKemenkeu!$AY$6:$AY$1005="Direkomendasikan",ROW($6:$1005)-5),426)))=1),IFERROR(VLOOKUP(INDEX(checklistPesertaKemenkeu!$M$6:$M$1005,SMALL(IF(checklistPesertaKemenkeu!$AY$6:$AY$1005="Direkomendasikan",ROW($6:$1005)-5),426)),KotaKode,2,0),"-"),"")),"")</f>
        <v/>
      </c>
      <c r="J427" t="str">
        <f t="array" aca="1" ref="J427" ca="1">IFERROR(IF(OR(INDEX(checklistPesertaKemenkeu!$N$6:$N$1005,SMALL(IF(checklistPesertaKemenkeu!$AY$6:$AY$1005="Direkomendasikan",ROW($6:$1005)-5),426))="",INDEX(checklistPesertaKemenkeu!$J$6:$J$1005,SMALL(IF(checklistPesertaKemenkeu!$AY$6:$AY$1005="Direkomendasikan",ROW($6:$1005)-5),426))=""),"",IF(AND(COUNTIF(INDIRECT("K_"&amp;MATCH(INDEX(checklistPesertaKemenkeu!$J$6:$J$1005,SMALL(IF(checklistPesertaKemenkeu!$AY$6:$AY$1005="Direkomendasikan",ROW($6:$1005)-5),426)),BidangList,0)),INDEX(checklistPesertaKemenkeu!$N$6:$N$1005,SMALL(IF(checklistPesertaKemenkeu!$AY$6:$AY$1005="Direkomendasikan",ROW($6:$1005)-5),426)))&gt;0,COUNTIF(INDIRECT("'KERTAS KERJA'!K"&amp;(SMALL(IF(checklistPesertaKemenkeu!$AY$6:$AY$1005="Direkomendasikan",ROW($6:$1005)-5),426)+5)&amp;":O"&amp;(SMALL(IF(checklistPesertaKemenkeu!$AY$6:$AY$1005="Direkomendasikan",ROW($6:$1005)-5),426)+5)),INDEX(checklistPesertaKemenkeu!$N$6:$N$1005,SMALL(IF(checklistPesertaKemenkeu!$AY$6:$AY$1005="Direkomendasikan",ROW($6:$1005)-5),426)))=1),IFERROR(VLOOKUP(INDEX(checklistPesertaKemenkeu!$N$6:$N$1005,SMALL(IF(checklistPesertaKemenkeu!$AY$6:$AY$1005="Direkomendasikan",ROW($6:$1005)-5),426)),KotaKode,2,0),"-"),"")),"")</f>
        <v/>
      </c>
      <c r="K427" t="str">
        <f t="array" aca="1" ref="K427" ca="1">IFERROR(IF(OR(INDEX(checklistPesertaKemenkeu!$O$6:$O$1005,SMALL(IF(checklistPesertaKemenkeu!$AY$6:$AY$1005="Direkomendasikan",ROW($6:$1005)-5),426))="",INDEX(checklistPesertaKemenkeu!$J$6:$J$1005,SMALL(IF(checklistPesertaKemenkeu!$AY$6:$AY$1005="Direkomendasikan",ROW($6:$1005)-5),426))=""),"",IF(AND(COUNTIF(INDIRECT("K_"&amp;MATCH(INDEX(checklistPesertaKemenkeu!$J$6:$J$1005,SMALL(IF(checklistPesertaKemenkeu!$AY$6:$AY$1005="Direkomendasikan",ROW($6:$1005)-5),426)),BidangList,0)),INDEX(checklistPesertaKemenkeu!$O$6:$O$1005,SMALL(IF(checklistPesertaKemenkeu!$AY$6:$AY$1005="Direkomendasikan",ROW($6:$1005)-5),426)))&gt;0,COUNTIF(INDIRECT("'KERTAS KERJA'!K"&amp;(SMALL(IF(checklistPesertaKemenkeu!$AY$6:$AY$1005="Direkomendasikan",ROW($6:$1005)-5),426)+5)&amp;":O"&amp;(SMALL(IF(checklistPesertaKemenkeu!$AY$6:$AY$1005="Direkomendasikan",ROW($6:$1005)-5),426)+5)),INDEX(checklistPesertaKemenkeu!$O$6:$O$1005,SMALL(IF(checklistPesertaKemenkeu!$AY$6:$AY$1005="Direkomendasikan",ROW($6:$1005)-5),426)))=1),IFERROR(VLOOKUP(INDEX(checklistPesertaKemenkeu!$O$6:$O$1005,SMALL(IF(checklistPesertaKemenkeu!$AY$6:$AY$1005="Direkomendasikan",ROW($6:$1005)-5),426)),KotaKode,2,0),"-"),"")),"")</f>
        <v/>
      </c>
      <c r="L427" t="str">
        <f t="array" aca="1" ref="L427" ca="1">IFERROR(IF(OR(INDEX(checklistPesertaKemenkeu!$P$6:$P$1005,SMALL(IF(checklistPesertaKemenkeu!$AY$6:$AY$1005="Direkomendasikan",ROW($6:$1005)-5),426))="",INDEX(checklistPesertaKemenkeu!$J$6:$J$1005,SMALL(IF(checklistPesertaKemenkeu!$AY$6:$AY$1005="Direkomendasikan",ROW($6:$1005)-5),426))=""),"",IF(AND(COUNTIF(INDIRECT("K_"&amp;MATCH(INDEX(checklistPesertaKemenkeu!$J$6:$J$1005,SMALL(IF(checklistPesertaKemenkeu!$AY$6:$AY$1005="Direkomendasikan",ROW($6:$1005)-5),426)),BidangList,0)),INDEX(checklistPesertaKemenkeu!$P$6:$P$1005,SMALL(IF(checklistPesertaKemenkeu!$AY$6:$AY$1005="Direkomendasikan",ROW($6:$1005)-5),426)))&gt;0,COUNTIF(INDIRECT("'KERTAS KERJA'!K"&amp;(SMALL(IF(checklistPesertaKemenkeu!$AY$6:$AY$1005="Direkomendasikan",ROW($6:$1005)-5),426)+5)&amp;":O"&amp;(SMALL(IF(checklistPesertaKemenkeu!$AY$6:$AY$1005="Direkomendasikan",ROW($6:$1005)-5),426)+5)),INDEX(checklistPesertaKemenkeu!$P$6:$P$1005,SMALL(IF(checklistPesertaKemenkeu!$AY$6:$AY$1005="Direkomendasikan",ROW($6:$1005)-5),426)))=1),IFERROR(VLOOKUP(INDEX(checklistPesertaKemenkeu!$P$6:$P$1005,SMALL(IF(checklistPesertaKemenkeu!$AY$6:$AY$1005="Direkomendasikan",ROW($6:$1005)-5),426)),KotaKode,2,0),"-"),"")),"")</f>
        <v/>
      </c>
    </row>
    <row r="428" spans="1:12" ht="15" customHeight="1" x14ac:dyDescent="0.2">
      <c r="A428" t="str">
        <f t="shared" si="6"/>
        <v/>
      </c>
      <c r="B428" t="str">
        <v/>
      </c>
      <c r="C428" s="40" t="str">
        <f t="array" ref="C428">IFERROR(INDEX(checklistPesertaKemenkeu!$F$6:$F$1005,SMALL(IF(checklistPesertaKemenkeu!$AY$6:$AY$1005="Direkomendasikan",ROW($6:$1005)-5),427)),"")</f>
        <v/>
      </c>
      <c r="D428" t="str">
        <f t="array" ref="D428">IFERROR(INDEX(checklistPesertaKemenkeu!$G$6:$G$1005,SMALL(IF(checklistPesertaKemenkeu!$AY$6:$AY$1005="Direkomendasikan",ROW($6:$1005)-5),427)),"")</f>
        <v/>
      </c>
      <c r="E428" t="str">
        <f t="array" ref="E428">IFERROR(INDEX(checklistPesertaKemenkeu!$H$6:$H$1005,SMALL(IF(checklistPesertaKemenkeu!$AY$6:$AY$1005="Direkomendasikan",ROW($6:$1005)-5),427)),"")</f>
        <v/>
      </c>
      <c r="F428" t="str">
        <f t="array" ref="F428">IFERROR(INDEX(checklistPesertaKemenkeu!$I$6:$I$1005,SMALL(IF(checklistPesertaKemenkeu!$AY$6:$AY$1005="Direkomendasikan",ROW($6:$1005)-5),427)),"")</f>
        <v/>
      </c>
      <c r="G428" t="str">
        <f t="array" ref="G428">IFERROR(INDEX(checklistPesertaKemenkeu!$J$6:$J$1005,SMALL(IF(checklistPesertaKemenkeu!$AY$6:$AY$1005="Direkomendasikan",ROW($6:$1005)-5),427)),"")</f>
        <v/>
      </c>
      <c r="H428" t="str">
        <f t="array" aca="1" ref="H428" ca="1">IFERROR(IF(OR(INDEX(checklistPesertaKemenkeu!$L$6:$L$1005,SMALL(IF(checklistPesertaKemenkeu!$AY$6:$AY$1005="Direkomendasikan",ROW($6:$1005)-5),427))="",INDEX(checklistPesertaKemenkeu!$J$6:$J$1005,SMALL(IF(checklistPesertaKemenkeu!$AY$6:$AY$1005="Direkomendasikan",ROW($6:$1005)-5),427))=""),"",IF(AND(COUNTIF(INDIRECT("K_"&amp;MATCH(INDEX(checklistPesertaKemenkeu!$J$6:$J$1005,SMALL(IF(checklistPesertaKemenkeu!$AY$6:$AY$1005="Direkomendasikan",ROW($6:$1005)-5),427)),BidangList,0)),INDEX(checklistPesertaKemenkeu!$L$6:$L$1005,SMALL(IF(checklistPesertaKemenkeu!$AY$6:$AY$1005="Direkomendasikan",ROW($6:$1005)-5),427)))&gt;0,COUNTIF(INDIRECT("'KERTAS KERJA'!K"&amp;(SMALL(IF(checklistPesertaKemenkeu!$AY$6:$AY$1005="Direkomendasikan",ROW($6:$1005)-5),427)+5)&amp;":O"&amp;(SMALL(IF(checklistPesertaKemenkeu!$AY$6:$AY$1005="Direkomendasikan",ROW($6:$1005)-5),427)+5)),INDEX(checklistPesertaKemenkeu!$L$6:$L$1005,SMALL(IF(checklistPesertaKemenkeu!$AY$6:$AY$1005="Direkomendasikan",ROW($6:$1005)-5),427)))=1),IFERROR(VLOOKUP(INDEX(checklistPesertaKemenkeu!$L$6:$L$1005,SMALL(IF(checklistPesertaKemenkeu!$AY$6:$AY$1005="Direkomendasikan",ROW($6:$1005)-5),427)),KotaKode,2,0),"-"),"")),"")</f>
        <v/>
      </c>
      <c r="I428" t="str">
        <f t="array" aca="1" ref="I428" ca="1">IFERROR(IF(OR(INDEX(checklistPesertaKemenkeu!$M$6:$M$1005,SMALL(IF(checklistPesertaKemenkeu!$AY$6:$AY$1005="Direkomendasikan",ROW($6:$1005)-5),427))="",INDEX(checklistPesertaKemenkeu!$J$6:$J$1005,SMALL(IF(checklistPesertaKemenkeu!$AY$6:$AY$1005="Direkomendasikan",ROW($6:$1005)-5),427))=""),"",IF(AND(COUNTIF(INDIRECT("K_"&amp;MATCH(INDEX(checklistPesertaKemenkeu!$J$6:$J$1005,SMALL(IF(checklistPesertaKemenkeu!$AY$6:$AY$1005="Direkomendasikan",ROW($6:$1005)-5),427)),BidangList,0)),INDEX(checklistPesertaKemenkeu!$M$6:$M$1005,SMALL(IF(checklistPesertaKemenkeu!$AY$6:$AY$1005="Direkomendasikan",ROW($6:$1005)-5),427)))&gt;0,COUNTIF(INDIRECT("'KERTAS KERJA'!K"&amp;(SMALL(IF(checklistPesertaKemenkeu!$AY$6:$AY$1005="Direkomendasikan",ROW($6:$1005)-5),427)+5)&amp;":O"&amp;(SMALL(IF(checklistPesertaKemenkeu!$AY$6:$AY$1005="Direkomendasikan",ROW($6:$1005)-5),427)+5)),INDEX(checklistPesertaKemenkeu!$M$6:$M$1005,SMALL(IF(checklistPesertaKemenkeu!$AY$6:$AY$1005="Direkomendasikan",ROW($6:$1005)-5),427)))=1),IFERROR(VLOOKUP(INDEX(checklistPesertaKemenkeu!$M$6:$M$1005,SMALL(IF(checklistPesertaKemenkeu!$AY$6:$AY$1005="Direkomendasikan",ROW($6:$1005)-5),427)),KotaKode,2,0),"-"),"")),"")</f>
        <v/>
      </c>
      <c r="J428" t="str">
        <f t="array" aca="1" ref="J428" ca="1">IFERROR(IF(OR(INDEX(checklistPesertaKemenkeu!$N$6:$N$1005,SMALL(IF(checklistPesertaKemenkeu!$AY$6:$AY$1005="Direkomendasikan",ROW($6:$1005)-5),427))="",INDEX(checklistPesertaKemenkeu!$J$6:$J$1005,SMALL(IF(checklistPesertaKemenkeu!$AY$6:$AY$1005="Direkomendasikan",ROW($6:$1005)-5),427))=""),"",IF(AND(COUNTIF(INDIRECT("K_"&amp;MATCH(INDEX(checklistPesertaKemenkeu!$J$6:$J$1005,SMALL(IF(checklistPesertaKemenkeu!$AY$6:$AY$1005="Direkomendasikan",ROW($6:$1005)-5),427)),BidangList,0)),INDEX(checklistPesertaKemenkeu!$N$6:$N$1005,SMALL(IF(checklistPesertaKemenkeu!$AY$6:$AY$1005="Direkomendasikan",ROW($6:$1005)-5),427)))&gt;0,COUNTIF(INDIRECT("'KERTAS KERJA'!K"&amp;(SMALL(IF(checklistPesertaKemenkeu!$AY$6:$AY$1005="Direkomendasikan",ROW($6:$1005)-5),427)+5)&amp;":O"&amp;(SMALL(IF(checklistPesertaKemenkeu!$AY$6:$AY$1005="Direkomendasikan",ROW($6:$1005)-5),427)+5)),INDEX(checklistPesertaKemenkeu!$N$6:$N$1005,SMALL(IF(checklistPesertaKemenkeu!$AY$6:$AY$1005="Direkomendasikan",ROW($6:$1005)-5),427)))=1),IFERROR(VLOOKUP(INDEX(checklistPesertaKemenkeu!$N$6:$N$1005,SMALL(IF(checklistPesertaKemenkeu!$AY$6:$AY$1005="Direkomendasikan",ROW($6:$1005)-5),427)),KotaKode,2,0),"-"),"")),"")</f>
        <v/>
      </c>
      <c r="K428" t="str">
        <f t="array" aca="1" ref="K428" ca="1">IFERROR(IF(OR(INDEX(checklistPesertaKemenkeu!$O$6:$O$1005,SMALL(IF(checklistPesertaKemenkeu!$AY$6:$AY$1005="Direkomendasikan",ROW($6:$1005)-5),427))="",INDEX(checklistPesertaKemenkeu!$J$6:$J$1005,SMALL(IF(checklistPesertaKemenkeu!$AY$6:$AY$1005="Direkomendasikan",ROW($6:$1005)-5),427))=""),"",IF(AND(COUNTIF(INDIRECT("K_"&amp;MATCH(INDEX(checklistPesertaKemenkeu!$J$6:$J$1005,SMALL(IF(checklistPesertaKemenkeu!$AY$6:$AY$1005="Direkomendasikan",ROW($6:$1005)-5),427)),BidangList,0)),INDEX(checklistPesertaKemenkeu!$O$6:$O$1005,SMALL(IF(checklistPesertaKemenkeu!$AY$6:$AY$1005="Direkomendasikan",ROW($6:$1005)-5),427)))&gt;0,COUNTIF(INDIRECT("'KERTAS KERJA'!K"&amp;(SMALL(IF(checklistPesertaKemenkeu!$AY$6:$AY$1005="Direkomendasikan",ROW($6:$1005)-5),427)+5)&amp;":O"&amp;(SMALL(IF(checklistPesertaKemenkeu!$AY$6:$AY$1005="Direkomendasikan",ROW($6:$1005)-5),427)+5)),INDEX(checklistPesertaKemenkeu!$O$6:$O$1005,SMALL(IF(checklistPesertaKemenkeu!$AY$6:$AY$1005="Direkomendasikan",ROW($6:$1005)-5),427)))=1),IFERROR(VLOOKUP(INDEX(checklistPesertaKemenkeu!$O$6:$O$1005,SMALL(IF(checklistPesertaKemenkeu!$AY$6:$AY$1005="Direkomendasikan",ROW($6:$1005)-5),427)),KotaKode,2,0),"-"),"")),"")</f>
        <v/>
      </c>
      <c r="L428" t="str">
        <f t="array" aca="1" ref="L428" ca="1">IFERROR(IF(OR(INDEX(checklistPesertaKemenkeu!$P$6:$P$1005,SMALL(IF(checklistPesertaKemenkeu!$AY$6:$AY$1005="Direkomendasikan",ROW($6:$1005)-5),427))="",INDEX(checklistPesertaKemenkeu!$J$6:$J$1005,SMALL(IF(checklistPesertaKemenkeu!$AY$6:$AY$1005="Direkomendasikan",ROW($6:$1005)-5),427))=""),"",IF(AND(COUNTIF(INDIRECT("K_"&amp;MATCH(INDEX(checklistPesertaKemenkeu!$J$6:$J$1005,SMALL(IF(checklistPesertaKemenkeu!$AY$6:$AY$1005="Direkomendasikan",ROW($6:$1005)-5),427)),BidangList,0)),INDEX(checklistPesertaKemenkeu!$P$6:$P$1005,SMALL(IF(checklistPesertaKemenkeu!$AY$6:$AY$1005="Direkomendasikan",ROW($6:$1005)-5),427)))&gt;0,COUNTIF(INDIRECT("'KERTAS KERJA'!K"&amp;(SMALL(IF(checklistPesertaKemenkeu!$AY$6:$AY$1005="Direkomendasikan",ROW($6:$1005)-5),427)+5)&amp;":O"&amp;(SMALL(IF(checklistPesertaKemenkeu!$AY$6:$AY$1005="Direkomendasikan",ROW($6:$1005)-5),427)+5)),INDEX(checklistPesertaKemenkeu!$P$6:$P$1005,SMALL(IF(checklistPesertaKemenkeu!$AY$6:$AY$1005="Direkomendasikan",ROW($6:$1005)-5),427)))=1),IFERROR(VLOOKUP(INDEX(checklistPesertaKemenkeu!$P$6:$P$1005,SMALL(IF(checklistPesertaKemenkeu!$AY$6:$AY$1005="Direkomendasikan",ROW($6:$1005)-5),427)),KotaKode,2,0),"-"),"")),"")</f>
        <v/>
      </c>
    </row>
    <row r="429" spans="1:12" ht="15" customHeight="1" x14ac:dyDescent="0.2">
      <c r="A429" t="str">
        <f t="shared" si="6"/>
        <v/>
      </c>
      <c r="B429" t="str">
        <v/>
      </c>
      <c r="C429" s="40" t="str">
        <f t="array" ref="C429">IFERROR(INDEX(checklistPesertaKemenkeu!$F$6:$F$1005,SMALL(IF(checklistPesertaKemenkeu!$AY$6:$AY$1005="Direkomendasikan",ROW($6:$1005)-5),428)),"")</f>
        <v/>
      </c>
      <c r="D429" t="str">
        <f t="array" ref="D429">IFERROR(INDEX(checklistPesertaKemenkeu!$G$6:$G$1005,SMALL(IF(checklistPesertaKemenkeu!$AY$6:$AY$1005="Direkomendasikan",ROW($6:$1005)-5),428)),"")</f>
        <v/>
      </c>
      <c r="E429" t="str">
        <f t="array" ref="E429">IFERROR(INDEX(checklistPesertaKemenkeu!$H$6:$H$1005,SMALL(IF(checklistPesertaKemenkeu!$AY$6:$AY$1005="Direkomendasikan",ROW($6:$1005)-5),428)),"")</f>
        <v/>
      </c>
      <c r="F429" t="str">
        <f t="array" ref="F429">IFERROR(INDEX(checklistPesertaKemenkeu!$I$6:$I$1005,SMALL(IF(checklistPesertaKemenkeu!$AY$6:$AY$1005="Direkomendasikan",ROW($6:$1005)-5),428)),"")</f>
        <v/>
      </c>
      <c r="G429" t="str">
        <f t="array" ref="G429">IFERROR(INDEX(checklistPesertaKemenkeu!$J$6:$J$1005,SMALL(IF(checklistPesertaKemenkeu!$AY$6:$AY$1005="Direkomendasikan",ROW($6:$1005)-5),428)),"")</f>
        <v/>
      </c>
      <c r="H429" t="str">
        <f t="array" aca="1" ref="H429" ca="1">IFERROR(IF(OR(INDEX(checklistPesertaKemenkeu!$L$6:$L$1005,SMALL(IF(checklistPesertaKemenkeu!$AY$6:$AY$1005="Direkomendasikan",ROW($6:$1005)-5),428))="",INDEX(checklistPesertaKemenkeu!$J$6:$J$1005,SMALL(IF(checklistPesertaKemenkeu!$AY$6:$AY$1005="Direkomendasikan",ROW($6:$1005)-5),428))=""),"",IF(AND(COUNTIF(INDIRECT("K_"&amp;MATCH(INDEX(checklistPesertaKemenkeu!$J$6:$J$1005,SMALL(IF(checklistPesertaKemenkeu!$AY$6:$AY$1005="Direkomendasikan",ROW($6:$1005)-5),428)),BidangList,0)),INDEX(checklistPesertaKemenkeu!$L$6:$L$1005,SMALL(IF(checklistPesertaKemenkeu!$AY$6:$AY$1005="Direkomendasikan",ROW($6:$1005)-5),428)))&gt;0,COUNTIF(INDIRECT("'KERTAS KERJA'!K"&amp;(SMALL(IF(checklistPesertaKemenkeu!$AY$6:$AY$1005="Direkomendasikan",ROW($6:$1005)-5),428)+5)&amp;":O"&amp;(SMALL(IF(checklistPesertaKemenkeu!$AY$6:$AY$1005="Direkomendasikan",ROW($6:$1005)-5),428)+5)),INDEX(checklistPesertaKemenkeu!$L$6:$L$1005,SMALL(IF(checklistPesertaKemenkeu!$AY$6:$AY$1005="Direkomendasikan",ROW($6:$1005)-5),428)))=1),IFERROR(VLOOKUP(INDEX(checklistPesertaKemenkeu!$L$6:$L$1005,SMALL(IF(checklistPesertaKemenkeu!$AY$6:$AY$1005="Direkomendasikan",ROW($6:$1005)-5),428)),KotaKode,2,0),"-"),"")),"")</f>
        <v/>
      </c>
      <c r="I429" t="str">
        <f t="array" aca="1" ref="I429" ca="1">IFERROR(IF(OR(INDEX(checklistPesertaKemenkeu!$M$6:$M$1005,SMALL(IF(checklistPesertaKemenkeu!$AY$6:$AY$1005="Direkomendasikan",ROW($6:$1005)-5),428))="",INDEX(checklistPesertaKemenkeu!$J$6:$J$1005,SMALL(IF(checklistPesertaKemenkeu!$AY$6:$AY$1005="Direkomendasikan",ROW($6:$1005)-5),428))=""),"",IF(AND(COUNTIF(INDIRECT("K_"&amp;MATCH(INDEX(checklistPesertaKemenkeu!$J$6:$J$1005,SMALL(IF(checklistPesertaKemenkeu!$AY$6:$AY$1005="Direkomendasikan",ROW($6:$1005)-5),428)),BidangList,0)),INDEX(checklistPesertaKemenkeu!$M$6:$M$1005,SMALL(IF(checklistPesertaKemenkeu!$AY$6:$AY$1005="Direkomendasikan",ROW($6:$1005)-5),428)))&gt;0,COUNTIF(INDIRECT("'KERTAS KERJA'!K"&amp;(SMALL(IF(checklistPesertaKemenkeu!$AY$6:$AY$1005="Direkomendasikan",ROW($6:$1005)-5),428)+5)&amp;":O"&amp;(SMALL(IF(checklistPesertaKemenkeu!$AY$6:$AY$1005="Direkomendasikan",ROW($6:$1005)-5),428)+5)),INDEX(checklistPesertaKemenkeu!$M$6:$M$1005,SMALL(IF(checklistPesertaKemenkeu!$AY$6:$AY$1005="Direkomendasikan",ROW($6:$1005)-5),428)))=1),IFERROR(VLOOKUP(INDEX(checklistPesertaKemenkeu!$M$6:$M$1005,SMALL(IF(checklistPesertaKemenkeu!$AY$6:$AY$1005="Direkomendasikan",ROW($6:$1005)-5),428)),KotaKode,2,0),"-"),"")),"")</f>
        <v/>
      </c>
      <c r="J429" t="str">
        <f t="array" aca="1" ref="J429" ca="1">IFERROR(IF(OR(INDEX(checklistPesertaKemenkeu!$N$6:$N$1005,SMALL(IF(checklistPesertaKemenkeu!$AY$6:$AY$1005="Direkomendasikan",ROW($6:$1005)-5),428))="",INDEX(checklistPesertaKemenkeu!$J$6:$J$1005,SMALL(IF(checklistPesertaKemenkeu!$AY$6:$AY$1005="Direkomendasikan",ROW($6:$1005)-5),428))=""),"",IF(AND(COUNTIF(INDIRECT("K_"&amp;MATCH(INDEX(checklistPesertaKemenkeu!$J$6:$J$1005,SMALL(IF(checklistPesertaKemenkeu!$AY$6:$AY$1005="Direkomendasikan",ROW($6:$1005)-5),428)),BidangList,0)),INDEX(checklistPesertaKemenkeu!$N$6:$N$1005,SMALL(IF(checklistPesertaKemenkeu!$AY$6:$AY$1005="Direkomendasikan",ROW($6:$1005)-5),428)))&gt;0,COUNTIF(INDIRECT("'KERTAS KERJA'!K"&amp;(SMALL(IF(checklistPesertaKemenkeu!$AY$6:$AY$1005="Direkomendasikan",ROW($6:$1005)-5),428)+5)&amp;":O"&amp;(SMALL(IF(checklistPesertaKemenkeu!$AY$6:$AY$1005="Direkomendasikan",ROW($6:$1005)-5),428)+5)),INDEX(checklistPesertaKemenkeu!$N$6:$N$1005,SMALL(IF(checklistPesertaKemenkeu!$AY$6:$AY$1005="Direkomendasikan",ROW($6:$1005)-5),428)))=1),IFERROR(VLOOKUP(INDEX(checklistPesertaKemenkeu!$N$6:$N$1005,SMALL(IF(checklistPesertaKemenkeu!$AY$6:$AY$1005="Direkomendasikan",ROW($6:$1005)-5),428)),KotaKode,2,0),"-"),"")),"")</f>
        <v/>
      </c>
      <c r="K429" t="str">
        <f t="array" aca="1" ref="K429" ca="1">IFERROR(IF(OR(INDEX(checklistPesertaKemenkeu!$O$6:$O$1005,SMALL(IF(checklistPesertaKemenkeu!$AY$6:$AY$1005="Direkomendasikan",ROW($6:$1005)-5),428))="",INDEX(checklistPesertaKemenkeu!$J$6:$J$1005,SMALL(IF(checklistPesertaKemenkeu!$AY$6:$AY$1005="Direkomendasikan",ROW($6:$1005)-5),428))=""),"",IF(AND(COUNTIF(INDIRECT("K_"&amp;MATCH(INDEX(checklistPesertaKemenkeu!$J$6:$J$1005,SMALL(IF(checklistPesertaKemenkeu!$AY$6:$AY$1005="Direkomendasikan",ROW($6:$1005)-5),428)),BidangList,0)),INDEX(checklistPesertaKemenkeu!$O$6:$O$1005,SMALL(IF(checklistPesertaKemenkeu!$AY$6:$AY$1005="Direkomendasikan",ROW($6:$1005)-5),428)))&gt;0,COUNTIF(INDIRECT("'KERTAS KERJA'!K"&amp;(SMALL(IF(checklistPesertaKemenkeu!$AY$6:$AY$1005="Direkomendasikan",ROW($6:$1005)-5),428)+5)&amp;":O"&amp;(SMALL(IF(checklistPesertaKemenkeu!$AY$6:$AY$1005="Direkomendasikan",ROW($6:$1005)-5),428)+5)),INDEX(checklistPesertaKemenkeu!$O$6:$O$1005,SMALL(IF(checklistPesertaKemenkeu!$AY$6:$AY$1005="Direkomendasikan",ROW($6:$1005)-5),428)))=1),IFERROR(VLOOKUP(INDEX(checklistPesertaKemenkeu!$O$6:$O$1005,SMALL(IF(checklistPesertaKemenkeu!$AY$6:$AY$1005="Direkomendasikan",ROW($6:$1005)-5),428)),KotaKode,2,0),"-"),"")),"")</f>
        <v/>
      </c>
      <c r="L429" t="str">
        <f t="array" aca="1" ref="L429" ca="1">IFERROR(IF(OR(INDEX(checklistPesertaKemenkeu!$P$6:$P$1005,SMALL(IF(checklistPesertaKemenkeu!$AY$6:$AY$1005="Direkomendasikan",ROW($6:$1005)-5),428))="",INDEX(checklistPesertaKemenkeu!$J$6:$J$1005,SMALL(IF(checklistPesertaKemenkeu!$AY$6:$AY$1005="Direkomendasikan",ROW($6:$1005)-5),428))=""),"",IF(AND(COUNTIF(INDIRECT("K_"&amp;MATCH(INDEX(checklistPesertaKemenkeu!$J$6:$J$1005,SMALL(IF(checklistPesertaKemenkeu!$AY$6:$AY$1005="Direkomendasikan",ROW($6:$1005)-5),428)),BidangList,0)),INDEX(checklistPesertaKemenkeu!$P$6:$P$1005,SMALL(IF(checklistPesertaKemenkeu!$AY$6:$AY$1005="Direkomendasikan",ROW($6:$1005)-5),428)))&gt;0,COUNTIF(INDIRECT("'KERTAS KERJA'!K"&amp;(SMALL(IF(checklistPesertaKemenkeu!$AY$6:$AY$1005="Direkomendasikan",ROW($6:$1005)-5),428)+5)&amp;":O"&amp;(SMALL(IF(checklistPesertaKemenkeu!$AY$6:$AY$1005="Direkomendasikan",ROW($6:$1005)-5),428)+5)),INDEX(checklistPesertaKemenkeu!$P$6:$P$1005,SMALL(IF(checklistPesertaKemenkeu!$AY$6:$AY$1005="Direkomendasikan",ROW($6:$1005)-5),428)))=1),IFERROR(VLOOKUP(INDEX(checklistPesertaKemenkeu!$P$6:$P$1005,SMALL(IF(checklistPesertaKemenkeu!$AY$6:$AY$1005="Direkomendasikan",ROW($6:$1005)-5),428)),KotaKode,2,0),"-"),"")),"")</f>
        <v/>
      </c>
    </row>
    <row r="430" spans="1:12" ht="15" customHeight="1" x14ac:dyDescent="0.2">
      <c r="A430" t="str">
        <f t="shared" si="6"/>
        <v/>
      </c>
      <c r="B430" t="str">
        <v/>
      </c>
      <c r="C430" s="40" t="str">
        <f t="array" ref="C430">IFERROR(INDEX(checklistPesertaKemenkeu!$F$6:$F$1005,SMALL(IF(checklistPesertaKemenkeu!$AY$6:$AY$1005="Direkomendasikan",ROW($6:$1005)-5),429)),"")</f>
        <v/>
      </c>
      <c r="D430" t="str">
        <f t="array" ref="D430">IFERROR(INDEX(checklistPesertaKemenkeu!$G$6:$G$1005,SMALL(IF(checklistPesertaKemenkeu!$AY$6:$AY$1005="Direkomendasikan",ROW($6:$1005)-5),429)),"")</f>
        <v/>
      </c>
      <c r="E430" t="str">
        <f t="array" ref="E430">IFERROR(INDEX(checklistPesertaKemenkeu!$H$6:$H$1005,SMALL(IF(checklistPesertaKemenkeu!$AY$6:$AY$1005="Direkomendasikan",ROW($6:$1005)-5),429)),"")</f>
        <v/>
      </c>
      <c r="F430" t="str">
        <f t="array" ref="F430">IFERROR(INDEX(checklistPesertaKemenkeu!$I$6:$I$1005,SMALL(IF(checklistPesertaKemenkeu!$AY$6:$AY$1005="Direkomendasikan",ROW($6:$1005)-5),429)),"")</f>
        <v/>
      </c>
      <c r="G430" t="str">
        <f t="array" ref="G430">IFERROR(INDEX(checklistPesertaKemenkeu!$J$6:$J$1005,SMALL(IF(checklistPesertaKemenkeu!$AY$6:$AY$1005="Direkomendasikan",ROW($6:$1005)-5),429)),"")</f>
        <v/>
      </c>
      <c r="H430" t="str">
        <f t="array" aca="1" ref="H430" ca="1">IFERROR(IF(OR(INDEX(checklistPesertaKemenkeu!$L$6:$L$1005,SMALL(IF(checklistPesertaKemenkeu!$AY$6:$AY$1005="Direkomendasikan",ROW($6:$1005)-5),429))="",INDEX(checklistPesertaKemenkeu!$J$6:$J$1005,SMALL(IF(checklistPesertaKemenkeu!$AY$6:$AY$1005="Direkomendasikan",ROW($6:$1005)-5),429))=""),"",IF(AND(COUNTIF(INDIRECT("K_"&amp;MATCH(INDEX(checklistPesertaKemenkeu!$J$6:$J$1005,SMALL(IF(checklistPesertaKemenkeu!$AY$6:$AY$1005="Direkomendasikan",ROW($6:$1005)-5),429)),BidangList,0)),INDEX(checklistPesertaKemenkeu!$L$6:$L$1005,SMALL(IF(checklistPesertaKemenkeu!$AY$6:$AY$1005="Direkomendasikan",ROW($6:$1005)-5),429)))&gt;0,COUNTIF(INDIRECT("'KERTAS KERJA'!K"&amp;(SMALL(IF(checklistPesertaKemenkeu!$AY$6:$AY$1005="Direkomendasikan",ROW($6:$1005)-5),429)+5)&amp;":O"&amp;(SMALL(IF(checklistPesertaKemenkeu!$AY$6:$AY$1005="Direkomendasikan",ROW($6:$1005)-5),429)+5)),INDEX(checklistPesertaKemenkeu!$L$6:$L$1005,SMALL(IF(checklistPesertaKemenkeu!$AY$6:$AY$1005="Direkomendasikan",ROW($6:$1005)-5),429)))=1),IFERROR(VLOOKUP(INDEX(checklistPesertaKemenkeu!$L$6:$L$1005,SMALL(IF(checklistPesertaKemenkeu!$AY$6:$AY$1005="Direkomendasikan",ROW($6:$1005)-5),429)),KotaKode,2,0),"-"),"")),"")</f>
        <v/>
      </c>
      <c r="I430" t="str">
        <f t="array" aca="1" ref="I430" ca="1">IFERROR(IF(OR(INDEX(checklistPesertaKemenkeu!$M$6:$M$1005,SMALL(IF(checklistPesertaKemenkeu!$AY$6:$AY$1005="Direkomendasikan",ROW($6:$1005)-5),429))="",INDEX(checklistPesertaKemenkeu!$J$6:$J$1005,SMALL(IF(checklistPesertaKemenkeu!$AY$6:$AY$1005="Direkomendasikan",ROW($6:$1005)-5),429))=""),"",IF(AND(COUNTIF(INDIRECT("K_"&amp;MATCH(INDEX(checklistPesertaKemenkeu!$J$6:$J$1005,SMALL(IF(checklistPesertaKemenkeu!$AY$6:$AY$1005="Direkomendasikan",ROW($6:$1005)-5),429)),BidangList,0)),INDEX(checklistPesertaKemenkeu!$M$6:$M$1005,SMALL(IF(checklistPesertaKemenkeu!$AY$6:$AY$1005="Direkomendasikan",ROW($6:$1005)-5),429)))&gt;0,COUNTIF(INDIRECT("'KERTAS KERJA'!K"&amp;(SMALL(IF(checklistPesertaKemenkeu!$AY$6:$AY$1005="Direkomendasikan",ROW($6:$1005)-5),429)+5)&amp;":O"&amp;(SMALL(IF(checklistPesertaKemenkeu!$AY$6:$AY$1005="Direkomendasikan",ROW($6:$1005)-5),429)+5)),INDEX(checklistPesertaKemenkeu!$M$6:$M$1005,SMALL(IF(checklistPesertaKemenkeu!$AY$6:$AY$1005="Direkomendasikan",ROW($6:$1005)-5),429)))=1),IFERROR(VLOOKUP(INDEX(checklistPesertaKemenkeu!$M$6:$M$1005,SMALL(IF(checklistPesertaKemenkeu!$AY$6:$AY$1005="Direkomendasikan",ROW($6:$1005)-5),429)),KotaKode,2,0),"-"),"")),"")</f>
        <v/>
      </c>
      <c r="J430" t="str">
        <f t="array" aca="1" ref="J430" ca="1">IFERROR(IF(OR(INDEX(checklistPesertaKemenkeu!$N$6:$N$1005,SMALL(IF(checklistPesertaKemenkeu!$AY$6:$AY$1005="Direkomendasikan",ROW($6:$1005)-5),429))="",INDEX(checklistPesertaKemenkeu!$J$6:$J$1005,SMALL(IF(checklistPesertaKemenkeu!$AY$6:$AY$1005="Direkomendasikan",ROW($6:$1005)-5),429))=""),"",IF(AND(COUNTIF(INDIRECT("K_"&amp;MATCH(INDEX(checklistPesertaKemenkeu!$J$6:$J$1005,SMALL(IF(checklistPesertaKemenkeu!$AY$6:$AY$1005="Direkomendasikan",ROW($6:$1005)-5),429)),BidangList,0)),INDEX(checklistPesertaKemenkeu!$N$6:$N$1005,SMALL(IF(checklistPesertaKemenkeu!$AY$6:$AY$1005="Direkomendasikan",ROW($6:$1005)-5),429)))&gt;0,COUNTIF(INDIRECT("'KERTAS KERJA'!K"&amp;(SMALL(IF(checklistPesertaKemenkeu!$AY$6:$AY$1005="Direkomendasikan",ROW($6:$1005)-5),429)+5)&amp;":O"&amp;(SMALL(IF(checklistPesertaKemenkeu!$AY$6:$AY$1005="Direkomendasikan",ROW($6:$1005)-5),429)+5)),INDEX(checklistPesertaKemenkeu!$N$6:$N$1005,SMALL(IF(checklistPesertaKemenkeu!$AY$6:$AY$1005="Direkomendasikan",ROW($6:$1005)-5),429)))=1),IFERROR(VLOOKUP(INDEX(checklistPesertaKemenkeu!$N$6:$N$1005,SMALL(IF(checklistPesertaKemenkeu!$AY$6:$AY$1005="Direkomendasikan",ROW($6:$1005)-5),429)),KotaKode,2,0),"-"),"")),"")</f>
        <v/>
      </c>
      <c r="K430" t="str">
        <f t="array" aca="1" ref="K430" ca="1">IFERROR(IF(OR(INDEX(checklistPesertaKemenkeu!$O$6:$O$1005,SMALL(IF(checklistPesertaKemenkeu!$AY$6:$AY$1005="Direkomendasikan",ROW($6:$1005)-5),429))="",INDEX(checklistPesertaKemenkeu!$J$6:$J$1005,SMALL(IF(checklistPesertaKemenkeu!$AY$6:$AY$1005="Direkomendasikan",ROW($6:$1005)-5),429))=""),"",IF(AND(COUNTIF(INDIRECT("K_"&amp;MATCH(INDEX(checklistPesertaKemenkeu!$J$6:$J$1005,SMALL(IF(checklistPesertaKemenkeu!$AY$6:$AY$1005="Direkomendasikan",ROW($6:$1005)-5),429)),BidangList,0)),INDEX(checklistPesertaKemenkeu!$O$6:$O$1005,SMALL(IF(checklistPesertaKemenkeu!$AY$6:$AY$1005="Direkomendasikan",ROW($6:$1005)-5),429)))&gt;0,COUNTIF(INDIRECT("'KERTAS KERJA'!K"&amp;(SMALL(IF(checklistPesertaKemenkeu!$AY$6:$AY$1005="Direkomendasikan",ROW($6:$1005)-5),429)+5)&amp;":O"&amp;(SMALL(IF(checklistPesertaKemenkeu!$AY$6:$AY$1005="Direkomendasikan",ROW($6:$1005)-5),429)+5)),INDEX(checklistPesertaKemenkeu!$O$6:$O$1005,SMALL(IF(checklistPesertaKemenkeu!$AY$6:$AY$1005="Direkomendasikan",ROW($6:$1005)-5),429)))=1),IFERROR(VLOOKUP(INDEX(checklistPesertaKemenkeu!$O$6:$O$1005,SMALL(IF(checklistPesertaKemenkeu!$AY$6:$AY$1005="Direkomendasikan",ROW($6:$1005)-5),429)),KotaKode,2,0),"-"),"")),"")</f>
        <v/>
      </c>
      <c r="L430" t="str">
        <f t="array" aca="1" ref="L430" ca="1">IFERROR(IF(OR(INDEX(checklistPesertaKemenkeu!$P$6:$P$1005,SMALL(IF(checklistPesertaKemenkeu!$AY$6:$AY$1005="Direkomendasikan",ROW($6:$1005)-5),429))="",INDEX(checklistPesertaKemenkeu!$J$6:$J$1005,SMALL(IF(checklistPesertaKemenkeu!$AY$6:$AY$1005="Direkomendasikan",ROW($6:$1005)-5),429))=""),"",IF(AND(COUNTIF(INDIRECT("K_"&amp;MATCH(INDEX(checklistPesertaKemenkeu!$J$6:$J$1005,SMALL(IF(checklistPesertaKemenkeu!$AY$6:$AY$1005="Direkomendasikan",ROW($6:$1005)-5),429)),BidangList,0)),INDEX(checklistPesertaKemenkeu!$P$6:$P$1005,SMALL(IF(checklistPesertaKemenkeu!$AY$6:$AY$1005="Direkomendasikan",ROW($6:$1005)-5),429)))&gt;0,COUNTIF(INDIRECT("'KERTAS KERJA'!K"&amp;(SMALL(IF(checklistPesertaKemenkeu!$AY$6:$AY$1005="Direkomendasikan",ROW($6:$1005)-5),429)+5)&amp;":O"&amp;(SMALL(IF(checklistPesertaKemenkeu!$AY$6:$AY$1005="Direkomendasikan",ROW($6:$1005)-5),429)+5)),INDEX(checklistPesertaKemenkeu!$P$6:$P$1005,SMALL(IF(checklistPesertaKemenkeu!$AY$6:$AY$1005="Direkomendasikan",ROW($6:$1005)-5),429)))=1),IFERROR(VLOOKUP(INDEX(checklistPesertaKemenkeu!$P$6:$P$1005,SMALL(IF(checklistPesertaKemenkeu!$AY$6:$AY$1005="Direkomendasikan",ROW($6:$1005)-5),429)),KotaKode,2,0),"-"),"")),"")</f>
        <v/>
      </c>
    </row>
    <row r="431" spans="1:12" ht="15" customHeight="1" x14ac:dyDescent="0.2">
      <c r="A431" t="str">
        <f t="shared" si="6"/>
        <v/>
      </c>
      <c r="B431" t="str">
        <v/>
      </c>
      <c r="C431" s="40" t="str">
        <f t="array" ref="C431">IFERROR(INDEX(checklistPesertaKemenkeu!$F$6:$F$1005,SMALL(IF(checklistPesertaKemenkeu!$AY$6:$AY$1005="Direkomendasikan",ROW($6:$1005)-5),430)),"")</f>
        <v/>
      </c>
      <c r="D431" t="str">
        <f t="array" ref="D431">IFERROR(INDEX(checklistPesertaKemenkeu!$G$6:$G$1005,SMALL(IF(checklistPesertaKemenkeu!$AY$6:$AY$1005="Direkomendasikan",ROW($6:$1005)-5),430)),"")</f>
        <v/>
      </c>
      <c r="E431" t="str">
        <f t="array" ref="E431">IFERROR(INDEX(checklistPesertaKemenkeu!$H$6:$H$1005,SMALL(IF(checklistPesertaKemenkeu!$AY$6:$AY$1005="Direkomendasikan",ROW($6:$1005)-5),430)),"")</f>
        <v/>
      </c>
      <c r="F431" t="str">
        <f t="array" ref="F431">IFERROR(INDEX(checklistPesertaKemenkeu!$I$6:$I$1005,SMALL(IF(checklistPesertaKemenkeu!$AY$6:$AY$1005="Direkomendasikan",ROW($6:$1005)-5),430)),"")</f>
        <v/>
      </c>
      <c r="G431" t="str">
        <f t="array" ref="G431">IFERROR(INDEX(checklistPesertaKemenkeu!$J$6:$J$1005,SMALL(IF(checklistPesertaKemenkeu!$AY$6:$AY$1005="Direkomendasikan",ROW($6:$1005)-5),430)),"")</f>
        <v/>
      </c>
      <c r="H431" t="str">
        <f t="array" aca="1" ref="H431" ca="1">IFERROR(IF(OR(INDEX(checklistPesertaKemenkeu!$L$6:$L$1005,SMALL(IF(checklistPesertaKemenkeu!$AY$6:$AY$1005="Direkomendasikan",ROW($6:$1005)-5),430))="",INDEX(checklistPesertaKemenkeu!$J$6:$J$1005,SMALL(IF(checklistPesertaKemenkeu!$AY$6:$AY$1005="Direkomendasikan",ROW($6:$1005)-5),430))=""),"",IF(AND(COUNTIF(INDIRECT("K_"&amp;MATCH(INDEX(checklistPesertaKemenkeu!$J$6:$J$1005,SMALL(IF(checklistPesertaKemenkeu!$AY$6:$AY$1005="Direkomendasikan",ROW($6:$1005)-5),430)),BidangList,0)),INDEX(checklistPesertaKemenkeu!$L$6:$L$1005,SMALL(IF(checklistPesertaKemenkeu!$AY$6:$AY$1005="Direkomendasikan",ROW($6:$1005)-5),430)))&gt;0,COUNTIF(INDIRECT("'KERTAS KERJA'!K"&amp;(SMALL(IF(checklistPesertaKemenkeu!$AY$6:$AY$1005="Direkomendasikan",ROW($6:$1005)-5),430)+5)&amp;":O"&amp;(SMALL(IF(checklistPesertaKemenkeu!$AY$6:$AY$1005="Direkomendasikan",ROW($6:$1005)-5),430)+5)),INDEX(checklistPesertaKemenkeu!$L$6:$L$1005,SMALL(IF(checklistPesertaKemenkeu!$AY$6:$AY$1005="Direkomendasikan",ROW($6:$1005)-5),430)))=1),IFERROR(VLOOKUP(INDEX(checklistPesertaKemenkeu!$L$6:$L$1005,SMALL(IF(checklistPesertaKemenkeu!$AY$6:$AY$1005="Direkomendasikan",ROW($6:$1005)-5),430)),KotaKode,2,0),"-"),"")),"")</f>
        <v/>
      </c>
      <c r="I431" t="str">
        <f t="array" aca="1" ref="I431" ca="1">IFERROR(IF(OR(INDEX(checklistPesertaKemenkeu!$M$6:$M$1005,SMALL(IF(checklistPesertaKemenkeu!$AY$6:$AY$1005="Direkomendasikan",ROW($6:$1005)-5),430))="",INDEX(checklistPesertaKemenkeu!$J$6:$J$1005,SMALL(IF(checklistPesertaKemenkeu!$AY$6:$AY$1005="Direkomendasikan",ROW($6:$1005)-5),430))=""),"",IF(AND(COUNTIF(INDIRECT("K_"&amp;MATCH(INDEX(checklistPesertaKemenkeu!$J$6:$J$1005,SMALL(IF(checklistPesertaKemenkeu!$AY$6:$AY$1005="Direkomendasikan",ROW($6:$1005)-5),430)),BidangList,0)),INDEX(checklistPesertaKemenkeu!$M$6:$M$1005,SMALL(IF(checklistPesertaKemenkeu!$AY$6:$AY$1005="Direkomendasikan",ROW($6:$1005)-5),430)))&gt;0,COUNTIF(INDIRECT("'KERTAS KERJA'!K"&amp;(SMALL(IF(checklistPesertaKemenkeu!$AY$6:$AY$1005="Direkomendasikan",ROW($6:$1005)-5),430)+5)&amp;":O"&amp;(SMALL(IF(checklistPesertaKemenkeu!$AY$6:$AY$1005="Direkomendasikan",ROW($6:$1005)-5),430)+5)),INDEX(checklistPesertaKemenkeu!$M$6:$M$1005,SMALL(IF(checklistPesertaKemenkeu!$AY$6:$AY$1005="Direkomendasikan",ROW($6:$1005)-5),430)))=1),IFERROR(VLOOKUP(INDEX(checklistPesertaKemenkeu!$M$6:$M$1005,SMALL(IF(checklistPesertaKemenkeu!$AY$6:$AY$1005="Direkomendasikan",ROW($6:$1005)-5),430)),KotaKode,2,0),"-"),"")),"")</f>
        <v/>
      </c>
      <c r="J431" t="str">
        <f t="array" aca="1" ref="J431" ca="1">IFERROR(IF(OR(INDEX(checklistPesertaKemenkeu!$N$6:$N$1005,SMALL(IF(checklistPesertaKemenkeu!$AY$6:$AY$1005="Direkomendasikan",ROW($6:$1005)-5),430))="",INDEX(checklistPesertaKemenkeu!$J$6:$J$1005,SMALL(IF(checklistPesertaKemenkeu!$AY$6:$AY$1005="Direkomendasikan",ROW($6:$1005)-5),430))=""),"",IF(AND(COUNTIF(INDIRECT("K_"&amp;MATCH(INDEX(checklistPesertaKemenkeu!$J$6:$J$1005,SMALL(IF(checklistPesertaKemenkeu!$AY$6:$AY$1005="Direkomendasikan",ROW($6:$1005)-5),430)),BidangList,0)),INDEX(checklistPesertaKemenkeu!$N$6:$N$1005,SMALL(IF(checklistPesertaKemenkeu!$AY$6:$AY$1005="Direkomendasikan",ROW($6:$1005)-5),430)))&gt;0,COUNTIF(INDIRECT("'KERTAS KERJA'!K"&amp;(SMALL(IF(checklistPesertaKemenkeu!$AY$6:$AY$1005="Direkomendasikan",ROW($6:$1005)-5),430)+5)&amp;":O"&amp;(SMALL(IF(checklistPesertaKemenkeu!$AY$6:$AY$1005="Direkomendasikan",ROW($6:$1005)-5),430)+5)),INDEX(checklistPesertaKemenkeu!$N$6:$N$1005,SMALL(IF(checklistPesertaKemenkeu!$AY$6:$AY$1005="Direkomendasikan",ROW($6:$1005)-5),430)))=1),IFERROR(VLOOKUP(INDEX(checklistPesertaKemenkeu!$N$6:$N$1005,SMALL(IF(checklistPesertaKemenkeu!$AY$6:$AY$1005="Direkomendasikan",ROW($6:$1005)-5),430)),KotaKode,2,0),"-"),"")),"")</f>
        <v/>
      </c>
      <c r="K431" t="str">
        <f t="array" aca="1" ref="K431" ca="1">IFERROR(IF(OR(INDEX(checklistPesertaKemenkeu!$O$6:$O$1005,SMALL(IF(checklistPesertaKemenkeu!$AY$6:$AY$1005="Direkomendasikan",ROW($6:$1005)-5),430))="",INDEX(checklistPesertaKemenkeu!$J$6:$J$1005,SMALL(IF(checklistPesertaKemenkeu!$AY$6:$AY$1005="Direkomendasikan",ROW($6:$1005)-5),430))=""),"",IF(AND(COUNTIF(INDIRECT("K_"&amp;MATCH(INDEX(checklistPesertaKemenkeu!$J$6:$J$1005,SMALL(IF(checklistPesertaKemenkeu!$AY$6:$AY$1005="Direkomendasikan",ROW($6:$1005)-5),430)),BidangList,0)),INDEX(checklistPesertaKemenkeu!$O$6:$O$1005,SMALL(IF(checklistPesertaKemenkeu!$AY$6:$AY$1005="Direkomendasikan",ROW($6:$1005)-5),430)))&gt;0,COUNTIF(INDIRECT("'KERTAS KERJA'!K"&amp;(SMALL(IF(checklistPesertaKemenkeu!$AY$6:$AY$1005="Direkomendasikan",ROW($6:$1005)-5),430)+5)&amp;":O"&amp;(SMALL(IF(checklistPesertaKemenkeu!$AY$6:$AY$1005="Direkomendasikan",ROW($6:$1005)-5),430)+5)),INDEX(checklistPesertaKemenkeu!$O$6:$O$1005,SMALL(IF(checklistPesertaKemenkeu!$AY$6:$AY$1005="Direkomendasikan",ROW($6:$1005)-5),430)))=1),IFERROR(VLOOKUP(INDEX(checklistPesertaKemenkeu!$O$6:$O$1005,SMALL(IF(checklistPesertaKemenkeu!$AY$6:$AY$1005="Direkomendasikan",ROW($6:$1005)-5),430)),KotaKode,2,0),"-"),"")),"")</f>
        <v/>
      </c>
      <c r="L431" t="str">
        <f t="array" aca="1" ref="L431" ca="1">IFERROR(IF(OR(INDEX(checklistPesertaKemenkeu!$P$6:$P$1005,SMALL(IF(checklistPesertaKemenkeu!$AY$6:$AY$1005="Direkomendasikan",ROW($6:$1005)-5),430))="",INDEX(checklistPesertaKemenkeu!$J$6:$J$1005,SMALL(IF(checklistPesertaKemenkeu!$AY$6:$AY$1005="Direkomendasikan",ROW($6:$1005)-5),430))=""),"",IF(AND(COUNTIF(INDIRECT("K_"&amp;MATCH(INDEX(checklistPesertaKemenkeu!$J$6:$J$1005,SMALL(IF(checklistPesertaKemenkeu!$AY$6:$AY$1005="Direkomendasikan",ROW($6:$1005)-5),430)),BidangList,0)),INDEX(checklistPesertaKemenkeu!$P$6:$P$1005,SMALL(IF(checklistPesertaKemenkeu!$AY$6:$AY$1005="Direkomendasikan",ROW($6:$1005)-5),430)))&gt;0,COUNTIF(INDIRECT("'KERTAS KERJA'!K"&amp;(SMALL(IF(checklistPesertaKemenkeu!$AY$6:$AY$1005="Direkomendasikan",ROW($6:$1005)-5),430)+5)&amp;":O"&amp;(SMALL(IF(checklistPesertaKemenkeu!$AY$6:$AY$1005="Direkomendasikan",ROW($6:$1005)-5),430)+5)),INDEX(checklistPesertaKemenkeu!$P$6:$P$1005,SMALL(IF(checklistPesertaKemenkeu!$AY$6:$AY$1005="Direkomendasikan",ROW($6:$1005)-5),430)))=1),IFERROR(VLOOKUP(INDEX(checklistPesertaKemenkeu!$P$6:$P$1005,SMALL(IF(checklistPesertaKemenkeu!$AY$6:$AY$1005="Direkomendasikan",ROW($6:$1005)-5),430)),KotaKode,2,0),"-"),"")),"")</f>
        <v/>
      </c>
    </row>
    <row r="432" spans="1:12" ht="15" customHeight="1" x14ac:dyDescent="0.2">
      <c r="A432" t="str">
        <f t="shared" si="6"/>
        <v/>
      </c>
      <c r="B432" t="str">
        <v/>
      </c>
      <c r="C432" s="40" t="str">
        <f t="array" ref="C432">IFERROR(INDEX(checklistPesertaKemenkeu!$F$6:$F$1005,SMALL(IF(checklistPesertaKemenkeu!$AY$6:$AY$1005="Direkomendasikan",ROW($6:$1005)-5),431)),"")</f>
        <v/>
      </c>
      <c r="D432" t="str">
        <f t="array" ref="D432">IFERROR(INDEX(checklistPesertaKemenkeu!$G$6:$G$1005,SMALL(IF(checklistPesertaKemenkeu!$AY$6:$AY$1005="Direkomendasikan",ROW($6:$1005)-5),431)),"")</f>
        <v/>
      </c>
      <c r="E432" t="str">
        <f t="array" ref="E432">IFERROR(INDEX(checklistPesertaKemenkeu!$H$6:$H$1005,SMALL(IF(checklistPesertaKemenkeu!$AY$6:$AY$1005="Direkomendasikan",ROW($6:$1005)-5),431)),"")</f>
        <v/>
      </c>
      <c r="F432" t="str">
        <f t="array" ref="F432">IFERROR(INDEX(checklistPesertaKemenkeu!$I$6:$I$1005,SMALL(IF(checklistPesertaKemenkeu!$AY$6:$AY$1005="Direkomendasikan",ROW($6:$1005)-5),431)),"")</f>
        <v/>
      </c>
      <c r="G432" t="str">
        <f t="array" ref="G432">IFERROR(INDEX(checklistPesertaKemenkeu!$J$6:$J$1005,SMALL(IF(checklistPesertaKemenkeu!$AY$6:$AY$1005="Direkomendasikan",ROW($6:$1005)-5),431)),"")</f>
        <v/>
      </c>
      <c r="H432" t="str">
        <f t="array" aca="1" ref="H432" ca="1">IFERROR(IF(OR(INDEX(checklistPesertaKemenkeu!$L$6:$L$1005,SMALL(IF(checklistPesertaKemenkeu!$AY$6:$AY$1005="Direkomendasikan",ROW($6:$1005)-5),431))="",INDEX(checklistPesertaKemenkeu!$J$6:$J$1005,SMALL(IF(checklistPesertaKemenkeu!$AY$6:$AY$1005="Direkomendasikan",ROW($6:$1005)-5),431))=""),"",IF(AND(COUNTIF(INDIRECT("K_"&amp;MATCH(INDEX(checklistPesertaKemenkeu!$J$6:$J$1005,SMALL(IF(checklistPesertaKemenkeu!$AY$6:$AY$1005="Direkomendasikan",ROW($6:$1005)-5),431)),BidangList,0)),INDEX(checklistPesertaKemenkeu!$L$6:$L$1005,SMALL(IF(checklistPesertaKemenkeu!$AY$6:$AY$1005="Direkomendasikan",ROW($6:$1005)-5),431)))&gt;0,COUNTIF(INDIRECT("'KERTAS KERJA'!K"&amp;(SMALL(IF(checklistPesertaKemenkeu!$AY$6:$AY$1005="Direkomendasikan",ROW($6:$1005)-5),431)+5)&amp;":O"&amp;(SMALL(IF(checklistPesertaKemenkeu!$AY$6:$AY$1005="Direkomendasikan",ROW($6:$1005)-5),431)+5)),INDEX(checklistPesertaKemenkeu!$L$6:$L$1005,SMALL(IF(checklistPesertaKemenkeu!$AY$6:$AY$1005="Direkomendasikan",ROW($6:$1005)-5),431)))=1),IFERROR(VLOOKUP(INDEX(checklistPesertaKemenkeu!$L$6:$L$1005,SMALL(IF(checklistPesertaKemenkeu!$AY$6:$AY$1005="Direkomendasikan",ROW($6:$1005)-5),431)),KotaKode,2,0),"-"),"")),"")</f>
        <v/>
      </c>
      <c r="I432" t="str">
        <f t="array" aca="1" ref="I432" ca="1">IFERROR(IF(OR(INDEX(checklistPesertaKemenkeu!$M$6:$M$1005,SMALL(IF(checklistPesertaKemenkeu!$AY$6:$AY$1005="Direkomendasikan",ROW($6:$1005)-5),431))="",INDEX(checklistPesertaKemenkeu!$J$6:$J$1005,SMALL(IF(checklistPesertaKemenkeu!$AY$6:$AY$1005="Direkomendasikan",ROW($6:$1005)-5),431))=""),"",IF(AND(COUNTIF(INDIRECT("K_"&amp;MATCH(INDEX(checklistPesertaKemenkeu!$J$6:$J$1005,SMALL(IF(checklistPesertaKemenkeu!$AY$6:$AY$1005="Direkomendasikan",ROW($6:$1005)-5),431)),BidangList,0)),INDEX(checklistPesertaKemenkeu!$M$6:$M$1005,SMALL(IF(checklistPesertaKemenkeu!$AY$6:$AY$1005="Direkomendasikan",ROW($6:$1005)-5),431)))&gt;0,COUNTIF(INDIRECT("'KERTAS KERJA'!K"&amp;(SMALL(IF(checklistPesertaKemenkeu!$AY$6:$AY$1005="Direkomendasikan",ROW($6:$1005)-5),431)+5)&amp;":O"&amp;(SMALL(IF(checklistPesertaKemenkeu!$AY$6:$AY$1005="Direkomendasikan",ROW($6:$1005)-5),431)+5)),INDEX(checklistPesertaKemenkeu!$M$6:$M$1005,SMALL(IF(checklistPesertaKemenkeu!$AY$6:$AY$1005="Direkomendasikan",ROW($6:$1005)-5),431)))=1),IFERROR(VLOOKUP(INDEX(checklistPesertaKemenkeu!$M$6:$M$1005,SMALL(IF(checklistPesertaKemenkeu!$AY$6:$AY$1005="Direkomendasikan",ROW($6:$1005)-5),431)),KotaKode,2,0),"-"),"")),"")</f>
        <v/>
      </c>
      <c r="J432" t="str">
        <f t="array" aca="1" ref="J432" ca="1">IFERROR(IF(OR(INDEX(checklistPesertaKemenkeu!$N$6:$N$1005,SMALL(IF(checklistPesertaKemenkeu!$AY$6:$AY$1005="Direkomendasikan",ROW($6:$1005)-5),431))="",INDEX(checklistPesertaKemenkeu!$J$6:$J$1005,SMALL(IF(checklistPesertaKemenkeu!$AY$6:$AY$1005="Direkomendasikan",ROW($6:$1005)-5),431))=""),"",IF(AND(COUNTIF(INDIRECT("K_"&amp;MATCH(INDEX(checklistPesertaKemenkeu!$J$6:$J$1005,SMALL(IF(checklistPesertaKemenkeu!$AY$6:$AY$1005="Direkomendasikan",ROW($6:$1005)-5),431)),BidangList,0)),INDEX(checklistPesertaKemenkeu!$N$6:$N$1005,SMALL(IF(checklistPesertaKemenkeu!$AY$6:$AY$1005="Direkomendasikan",ROW($6:$1005)-5),431)))&gt;0,COUNTIF(INDIRECT("'KERTAS KERJA'!K"&amp;(SMALL(IF(checklistPesertaKemenkeu!$AY$6:$AY$1005="Direkomendasikan",ROW($6:$1005)-5),431)+5)&amp;":O"&amp;(SMALL(IF(checklistPesertaKemenkeu!$AY$6:$AY$1005="Direkomendasikan",ROW($6:$1005)-5),431)+5)),INDEX(checklistPesertaKemenkeu!$N$6:$N$1005,SMALL(IF(checklistPesertaKemenkeu!$AY$6:$AY$1005="Direkomendasikan",ROW($6:$1005)-5),431)))=1),IFERROR(VLOOKUP(INDEX(checklistPesertaKemenkeu!$N$6:$N$1005,SMALL(IF(checklistPesertaKemenkeu!$AY$6:$AY$1005="Direkomendasikan",ROW($6:$1005)-5),431)),KotaKode,2,0),"-"),"")),"")</f>
        <v/>
      </c>
      <c r="K432" t="str">
        <f t="array" aca="1" ref="K432" ca="1">IFERROR(IF(OR(INDEX(checklistPesertaKemenkeu!$O$6:$O$1005,SMALL(IF(checklistPesertaKemenkeu!$AY$6:$AY$1005="Direkomendasikan",ROW($6:$1005)-5),431))="",INDEX(checklistPesertaKemenkeu!$J$6:$J$1005,SMALL(IF(checklistPesertaKemenkeu!$AY$6:$AY$1005="Direkomendasikan",ROW($6:$1005)-5),431))=""),"",IF(AND(COUNTIF(INDIRECT("K_"&amp;MATCH(INDEX(checklistPesertaKemenkeu!$J$6:$J$1005,SMALL(IF(checklistPesertaKemenkeu!$AY$6:$AY$1005="Direkomendasikan",ROW($6:$1005)-5),431)),BidangList,0)),INDEX(checklistPesertaKemenkeu!$O$6:$O$1005,SMALL(IF(checklistPesertaKemenkeu!$AY$6:$AY$1005="Direkomendasikan",ROW($6:$1005)-5),431)))&gt;0,COUNTIF(INDIRECT("'KERTAS KERJA'!K"&amp;(SMALL(IF(checklistPesertaKemenkeu!$AY$6:$AY$1005="Direkomendasikan",ROW($6:$1005)-5),431)+5)&amp;":O"&amp;(SMALL(IF(checklistPesertaKemenkeu!$AY$6:$AY$1005="Direkomendasikan",ROW($6:$1005)-5),431)+5)),INDEX(checklistPesertaKemenkeu!$O$6:$O$1005,SMALL(IF(checklistPesertaKemenkeu!$AY$6:$AY$1005="Direkomendasikan",ROW($6:$1005)-5),431)))=1),IFERROR(VLOOKUP(INDEX(checklistPesertaKemenkeu!$O$6:$O$1005,SMALL(IF(checklistPesertaKemenkeu!$AY$6:$AY$1005="Direkomendasikan",ROW($6:$1005)-5),431)),KotaKode,2,0),"-"),"")),"")</f>
        <v/>
      </c>
      <c r="L432" t="str">
        <f t="array" aca="1" ref="L432" ca="1">IFERROR(IF(OR(INDEX(checklistPesertaKemenkeu!$P$6:$P$1005,SMALL(IF(checklistPesertaKemenkeu!$AY$6:$AY$1005="Direkomendasikan",ROW($6:$1005)-5),431))="",INDEX(checklistPesertaKemenkeu!$J$6:$J$1005,SMALL(IF(checklistPesertaKemenkeu!$AY$6:$AY$1005="Direkomendasikan",ROW($6:$1005)-5),431))=""),"",IF(AND(COUNTIF(INDIRECT("K_"&amp;MATCH(INDEX(checklistPesertaKemenkeu!$J$6:$J$1005,SMALL(IF(checklistPesertaKemenkeu!$AY$6:$AY$1005="Direkomendasikan",ROW($6:$1005)-5),431)),BidangList,0)),INDEX(checklistPesertaKemenkeu!$P$6:$P$1005,SMALL(IF(checklistPesertaKemenkeu!$AY$6:$AY$1005="Direkomendasikan",ROW($6:$1005)-5),431)))&gt;0,COUNTIF(INDIRECT("'KERTAS KERJA'!K"&amp;(SMALL(IF(checklistPesertaKemenkeu!$AY$6:$AY$1005="Direkomendasikan",ROW($6:$1005)-5),431)+5)&amp;":O"&amp;(SMALL(IF(checklistPesertaKemenkeu!$AY$6:$AY$1005="Direkomendasikan",ROW($6:$1005)-5),431)+5)),INDEX(checklistPesertaKemenkeu!$P$6:$P$1005,SMALL(IF(checklistPesertaKemenkeu!$AY$6:$AY$1005="Direkomendasikan",ROW($6:$1005)-5),431)))=1),IFERROR(VLOOKUP(INDEX(checklistPesertaKemenkeu!$P$6:$P$1005,SMALL(IF(checklistPesertaKemenkeu!$AY$6:$AY$1005="Direkomendasikan",ROW($6:$1005)-5),431)),KotaKode,2,0),"-"),"")),"")</f>
        <v/>
      </c>
    </row>
    <row r="433" spans="1:12" ht="15" customHeight="1" x14ac:dyDescent="0.2">
      <c r="A433" t="str">
        <f t="shared" si="6"/>
        <v/>
      </c>
      <c r="B433" t="str">
        <v/>
      </c>
      <c r="C433" s="40" t="str">
        <f t="array" ref="C433">IFERROR(INDEX(checklistPesertaKemenkeu!$F$6:$F$1005,SMALL(IF(checklistPesertaKemenkeu!$AY$6:$AY$1005="Direkomendasikan",ROW($6:$1005)-5),432)),"")</f>
        <v/>
      </c>
      <c r="D433" t="str">
        <f t="array" ref="D433">IFERROR(INDEX(checklistPesertaKemenkeu!$G$6:$G$1005,SMALL(IF(checklistPesertaKemenkeu!$AY$6:$AY$1005="Direkomendasikan",ROW($6:$1005)-5),432)),"")</f>
        <v/>
      </c>
      <c r="E433" t="str">
        <f t="array" ref="E433">IFERROR(INDEX(checklistPesertaKemenkeu!$H$6:$H$1005,SMALL(IF(checklistPesertaKemenkeu!$AY$6:$AY$1005="Direkomendasikan",ROW($6:$1005)-5),432)),"")</f>
        <v/>
      </c>
      <c r="F433" t="str">
        <f t="array" ref="F433">IFERROR(INDEX(checklistPesertaKemenkeu!$I$6:$I$1005,SMALL(IF(checklistPesertaKemenkeu!$AY$6:$AY$1005="Direkomendasikan",ROW($6:$1005)-5),432)),"")</f>
        <v/>
      </c>
      <c r="G433" t="str">
        <f t="array" ref="G433">IFERROR(INDEX(checklistPesertaKemenkeu!$J$6:$J$1005,SMALL(IF(checklistPesertaKemenkeu!$AY$6:$AY$1005="Direkomendasikan",ROW($6:$1005)-5),432)),"")</f>
        <v/>
      </c>
      <c r="H433" t="str">
        <f t="array" aca="1" ref="H433" ca="1">IFERROR(IF(OR(INDEX(checklistPesertaKemenkeu!$L$6:$L$1005,SMALL(IF(checklistPesertaKemenkeu!$AY$6:$AY$1005="Direkomendasikan",ROW($6:$1005)-5),432))="",INDEX(checklistPesertaKemenkeu!$J$6:$J$1005,SMALL(IF(checklistPesertaKemenkeu!$AY$6:$AY$1005="Direkomendasikan",ROW($6:$1005)-5),432))=""),"",IF(AND(COUNTIF(INDIRECT("K_"&amp;MATCH(INDEX(checklistPesertaKemenkeu!$J$6:$J$1005,SMALL(IF(checklistPesertaKemenkeu!$AY$6:$AY$1005="Direkomendasikan",ROW($6:$1005)-5),432)),BidangList,0)),INDEX(checklistPesertaKemenkeu!$L$6:$L$1005,SMALL(IF(checklistPesertaKemenkeu!$AY$6:$AY$1005="Direkomendasikan",ROW($6:$1005)-5),432)))&gt;0,COUNTIF(INDIRECT("'KERTAS KERJA'!K"&amp;(SMALL(IF(checklistPesertaKemenkeu!$AY$6:$AY$1005="Direkomendasikan",ROW($6:$1005)-5),432)+5)&amp;":O"&amp;(SMALL(IF(checklistPesertaKemenkeu!$AY$6:$AY$1005="Direkomendasikan",ROW($6:$1005)-5),432)+5)),INDEX(checklistPesertaKemenkeu!$L$6:$L$1005,SMALL(IF(checklistPesertaKemenkeu!$AY$6:$AY$1005="Direkomendasikan",ROW($6:$1005)-5),432)))=1),IFERROR(VLOOKUP(INDEX(checklistPesertaKemenkeu!$L$6:$L$1005,SMALL(IF(checklistPesertaKemenkeu!$AY$6:$AY$1005="Direkomendasikan",ROW($6:$1005)-5),432)),KotaKode,2,0),"-"),"")),"")</f>
        <v/>
      </c>
      <c r="I433" t="str">
        <f t="array" aca="1" ref="I433" ca="1">IFERROR(IF(OR(INDEX(checklistPesertaKemenkeu!$M$6:$M$1005,SMALL(IF(checklistPesertaKemenkeu!$AY$6:$AY$1005="Direkomendasikan",ROW($6:$1005)-5),432))="",INDEX(checklistPesertaKemenkeu!$J$6:$J$1005,SMALL(IF(checklistPesertaKemenkeu!$AY$6:$AY$1005="Direkomendasikan",ROW($6:$1005)-5),432))=""),"",IF(AND(COUNTIF(INDIRECT("K_"&amp;MATCH(INDEX(checklistPesertaKemenkeu!$J$6:$J$1005,SMALL(IF(checklistPesertaKemenkeu!$AY$6:$AY$1005="Direkomendasikan",ROW($6:$1005)-5),432)),BidangList,0)),INDEX(checklistPesertaKemenkeu!$M$6:$M$1005,SMALL(IF(checklistPesertaKemenkeu!$AY$6:$AY$1005="Direkomendasikan",ROW($6:$1005)-5),432)))&gt;0,COUNTIF(INDIRECT("'KERTAS KERJA'!K"&amp;(SMALL(IF(checklistPesertaKemenkeu!$AY$6:$AY$1005="Direkomendasikan",ROW($6:$1005)-5),432)+5)&amp;":O"&amp;(SMALL(IF(checklistPesertaKemenkeu!$AY$6:$AY$1005="Direkomendasikan",ROW($6:$1005)-5),432)+5)),INDEX(checklistPesertaKemenkeu!$M$6:$M$1005,SMALL(IF(checklistPesertaKemenkeu!$AY$6:$AY$1005="Direkomendasikan",ROW($6:$1005)-5),432)))=1),IFERROR(VLOOKUP(INDEX(checklistPesertaKemenkeu!$M$6:$M$1005,SMALL(IF(checklistPesertaKemenkeu!$AY$6:$AY$1005="Direkomendasikan",ROW($6:$1005)-5),432)),KotaKode,2,0),"-"),"")),"")</f>
        <v/>
      </c>
      <c r="J433" t="str">
        <f t="array" aca="1" ref="J433" ca="1">IFERROR(IF(OR(INDEX(checklistPesertaKemenkeu!$N$6:$N$1005,SMALL(IF(checklistPesertaKemenkeu!$AY$6:$AY$1005="Direkomendasikan",ROW($6:$1005)-5),432))="",INDEX(checklistPesertaKemenkeu!$J$6:$J$1005,SMALL(IF(checklistPesertaKemenkeu!$AY$6:$AY$1005="Direkomendasikan",ROW($6:$1005)-5),432))=""),"",IF(AND(COUNTIF(INDIRECT("K_"&amp;MATCH(INDEX(checklistPesertaKemenkeu!$J$6:$J$1005,SMALL(IF(checklistPesertaKemenkeu!$AY$6:$AY$1005="Direkomendasikan",ROW($6:$1005)-5),432)),BidangList,0)),INDEX(checklistPesertaKemenkeu!$N$6:$N$1005,SMALL(IF(checklistPesertaKemenkeu!$AY$6:$AY$1005="Direkomendasikan",ROW($6:$1005)-5),432)))&gt;0,COUNTIF(INDIRECT("'KERTAS KERJA'!K"&amp;(SMALL(IF(checklistPesertaKemenkeu!$AY$6:$AY$1005="Direkomendasikan",ROW($6:$1005)-5),432)+5)&amp;":O"&amp;(SMALL(IF(checklistPesertaKemenkeu!$AY$6:$AY$1005="Direkomendasikan",ROW($6:$1005)-5),432)+5)),INDEX(checklistPesertaKemenkeu!$N$6:$N$1005,SMALL(IF(checklistPesertaKemenkeu!$AY$6:$AY$1005="Direkomendasikan",ROW($6:$1005)-5),432)))=1),IFERROR(VLOOKUP(INDEX(checklistPesertaKemenkeu!$N$6:$N$1005,SMALL(IF(checklistPesertaKemenkeu!$AY$6:$AY$1005="Direkomendasikan",ROW($6:$1005)-5),432)),KotaKode,2,0),"-"),"")),"")</f>
        <v/>
      </c>
      <c r="K433" t="str">
        <f t="array" aca="1" ref="K433" ca="1">IFERROR(IF(OR(INDEX(checklistPesertaKemenkeu!$O$6:$O$1005,SMALL(IF(checklistPesertaKemenkeu!$AY$6:$AY$1005="Direkomendasikan",ROW($6:$1005)-5),432))="",INDEX(checklistPesertaKemenkeu!$J$6:$J$1005,SMALL(IF(checklistPesertaKemenkeu!$AY$6:$AY$1005="Direkomendasikan",ROW($6:$1005)-5),432))=""),"",IF(AND(COUNTIF(INDIRECT("K_"&amp;MATCH(INDEX(checklistPesertaKemenkeu!$J$6:$J$1005,SMALL(IF(checklistPesertaKemenkeu!$AY$6:$AY$1005="Direkomendasikan",ROW($6:$1005)-5),432)),BidangList,0)),INDEX(checklistPesertaKemenkeu!$O$6:$O$1005,SMALL(IF(checklistPesertaKemenkeu!$AY$6:$AY$1005="Direkomendasikan",ROW($6:$1005)-5),432)))&gt;0,COUNTIF(INDIRECT("'KERTAS KERJA'!K"&amp;(SMALL(IF(checklistPesertaKemenkeu!$AY$6:$AY$1005="Direkomendasikan",ROW($6:$1005)-5),432)+5)&amp;":O"&amp;(SMALL(IF(checklistPesertaKemenkeu!$AY$6:$AY$1005="Direkomendasikan",ROW($6:$1005)-5),432)+5)),INDEX(checklistPesertaKemenkeu!$O$6:$O$1005,SMALL(IF(checklistPesertaKemenkeu!$AY$6:$AY$1005="Direkomendasikan",ROW($6:$1005)-5),432)))=1),IFERROR(VLOOKUP(INDEX(checklistPesertaKemenkeu!$O$6:$O$1005,SMALL(IF(checklistPesertaKemenkeu!$AY$6:$AY$1005="Direkomendasikan",ROW($6:$1005)-5),432)),KotaKode,2,0),"-"),"")),"")</f>
        <v/>
      </c>
      <c r="L433" t="str">
        <f t="array" aca="1" ref="L433" ca="1">IFERROR(IF(OR(INDEX(checklistPesertaKemenkeu!$P$6:$P$1005,SMALL(IF(checklistPesertaKemenkeu!$AY$6:$AY$1005="Direkomendasikan",ROW($6:$1005)-5),432))="",INDEX(checklistPesertaKemenkeu!$J$6:$J$1005,SMALL(IF(checklistPesertaKemenkeu!$AY$6:$AY$1005="Direkomendasikan",ROW($6:$1005)-5),432))=""),"",IF(AND(COUNTIF(INDIRECT("K_"&amp;MATCH(INDEX(checklistPesertaKemenkeu!$J$6:$J$1005,SMALL(IF(checklistPesertaKemenkeu!$AY$6:$AY$1005="Direkomendasikan",ROW($6:$1005)-5),432)),BidangList,0)),INDEX(checklistPesertaKemenkeu!$P$6:$P$1005,SMALL(IF(checklistPesertaKemenkeu!$AY$6:$AY$1005="Direkomendasikan",ROW($6:$1005)-5),432)))&gt;0,COUNTIF(INDIRECT("'KERTAS KERJA'!K"&amp;(SMALL(IF(checklistPesertaKemenkeu!$AY$6:$AY$1005="Direkomendasikan",ROW($6:$1005)-5),432)+5)&amp;":O"&amp;(SMALL(IF(checklistPesertaKemenkeu!$AY$6:$AY$1005="Direkomendasikan",ROW($6:$1005)-5),432)+5)),INDEX(checklistPesertaKemenkeu!$P$6:$P$1005,SMALL(IF(checklistPesertaKemenkeu!$AY$6:$AY$1005="Direkomendasikan",ROW($6:$1005)-5),432)))=1),IFERROR(VLOOKUP(INDEX(checklistPesertaKemenkeu!$P$6:$P$1005,SMALL(IF(checklistPesertaKemenkeu!$AY$6:$AY$1005="Direkomendasikan",ROW($6:$1005)-5),432)),KotaKode,2,0),"-"),"")),"")</f>
        <v/>
      </c>
    </row>
    <row r="434" spans="1:12" ht="15" customHeight="1" x14ac:dyDescent="0.2">
      <c r="A434" t="str">
        <f t="shared" si="6"/>
        <v/>
      </c>
      <c r="B434" t="str">
        <v/>
      </c>
      <c r="C434" s="40" t="str">
        <f t="array" ref="C434">IFERROR(INDEX(checklistPesertaKemenkeu!$F$6:$F$1005,SMALL(IF(checklistPesertaKemenkeu!$AY$6:$AY$1005="Direkomendasikan",ROW($6:$1005)-5),433)),"")</f>
        <v/>
      </c>
      <c r="D434" t="str">
        <f t="array" ref="D434">IFERROR(INDEX(checklistPesertaKemenkeu!$G$6:$G$1005,SMALL(IF(checklistPesertaKemenkeu!$AY$6:$AY$1005="Direkomendasikan",ROW($6:$1005)-5),433)),"")</f>
        <v/>
      </c>
      <c r="E434" t="str">
        <f t="array" ref="E434">IFERROR(INDEX(checklistPesertaKemenkeu!$H$6:$H$1005,SMALL(IF(checklistPesertaKemenkeu!$AY$6:$AY$1005="Direkomendasikan",ROW($6:$1005)-5),433)),"")</f>
        <v/>
      </c>
      <c r="F434" t="str">
        <f t="array" ref="F434">IFERROR(INDEX(checklistPesertaKemenkeu!$I$6:$I$1005,SMALL(IF(checklistPesertaKemenkeu!$AY$6:$AY$1005="Direkomendasikan",ROW($6:$1005)-5),433)),"")</f>
        <v/>
      </c>
      <c r="G434" t="str">
        <f t="array" ref="G434">IFERROR(INDEX(checklistPesertaKemenkeu!$J$6:$J$1005,SMALL(IF(checklistPesertaKemenkeu!$AY$6:$AY$1005="Direkomendasikan",ROW($6:$1005)-5),433)),"")</f>
        <v/>
      </c>
      <c r="H434" t="str">
        <f t="array" aca="1" ref="H434" ca="1">IFERROR(IF(OR(INDEX(checklistPesertaKemenkeu!$L$6:$L$1005,SMALL(IF(checklistPesertaKemenkeu!$AY$6:$AY$1005="Direkomendasikan",ROW($6:$1005)-5),433))="",INDEX(checklistPesertaKemenkeu!$J$6:$J$1005,SMALL(IF(checklistPesertaKemenkeu!$AY$6:$AY$1005="Direkomendasikan",ROW($6:$1005)-5),433))=""),"",IF(AND(COUNTIF(INDIRECT("K_"&amp;MATCH(INDEX(checklistPesertaKemenkeu!$J$6:$J$1005,SMALL(IF(checklistPesertaKemenkeu!$AY$6:$AY$1005="Direkomendasikan",ROW($6:$1005)-5),433)),BidangList,0)),INDEX(checklistPesertaKemenkeu!$L$6:$L$1005,SMALL(IF(checklistPesertaKemenkeu!$AY$6:$AY$1005="Direkomendasikan",ROW($6:$1005)-5),433)))&gt;0,COUNTIF(INDIRECT("'KERTAS KERJA'!K"&amp;(SMALL(IF(checklistPesertaKemenkeu!$AY$6:$AY$1005="Direkomendasikan",ROW($6:$1005)-5),433)+5)&amp;":O"&amp;(SMALL(IF(checklistPesertaKemenkeu!$AY$6:$AY$1005="Direkomendasikan",ROW($6:$1005)-5),433)+5)),INDEX(checklistPesertaKemenkeu!$L$6:$L$1005,SMALL(IF(checklistPesertaKemenkeu!$AY$6:$AY$1005="Direkomendasikan",ROW($6:$1005)-5),433)))=1),IFERROR(VLOOKUP(INDEX(checklistPesertaKemenkeu!$L$6:$L$1005,SMALL(IF(checklistPesertaKemenkeu!$AY$6:$AY$1005="Direkomendasikan",ROW($6:$1005)-5),433)),KotaKode,2,0),"-"),"")),"")</f>
        <v/>
      </c>
      <c r="I434" t="str">
        <f t="array" aca="1" ref="I434" ca="1">IFERROR(IF(OR(INDEX(checklistPesertaKemenkeu!$M$6:$M$1005,SMALL(IF(checklistPesertaKemenkeu!$AY$6:$AY$1005="Direkomendasikan",ROW($6:$1005)-5),433))="",INDEX(checklistPesertaKemenkeu!$J$6:$J$1005,SMALL(IF(checklistPesertaKemenkeu!$AY$6:$AY$1005="Direkomendasikan",ROW($6:$1005)-5),433))=""),"",IF(AND(COUNTIF(INDIRECT("K_"&amp;MATCH(INDEX(checklistPesertaKemenkeu!$J$6:$J$1005,SMALL(IF(checklistPesertaKemenkeu!$AY$6:$AY$1005="Direkomendasikan",ROW($6:$1005)-5),433)),BidangList,0)),INDEX(checklistPesertaKemenkeu!$M$6:$M$1005,SMALL(IF(checklistPesertaKemenkeu!$AY$6:$AY$1005="Direkomendasikan",ROW($6:$1005)-5),433)))&gt;0,COUNTIF(INDIRECT("'KERTAS KERJA'!K"&amp;(SMALL(IF(checklistPesertaKemenkeu!$AY$6:$AY$1005="Direkomendasikan",ROW($6:$1005)-5),433)+5)&amp;":O"&amp;(SMALL(IF(checklistPesertaKemenkeu!$AY$6:$AY$1005="Direkomendasikan",ROW($6:$1005)-5),433)+5)),INDEX(checklistPesertaKemenkeu!$M$6:$M$1005,SMALL(IF(checklistPesertaKemenkeu!$AY$6:$AY$1005="Direkomendasikan",ROW($6:$1005)-5),433)))=1),IFERROR(VLOOKUP(INDEX(checklistPesertaKemenkeu!$M$6:$M$1005,SMALL(IF(checklistPesertaKemenkeu!$AY$6:$AY$1005="Direkomendasikan",ROW($6:$1005)-5),433)),KotaKode,2,0),"-"),"")),"")</f>
        <v/>
      </c>
      <c r="J434" t="str">
        <f t="array" aca="1" ref="J434" ca="1">IFERROR(IF(OR(INDEX(checklistPesertaKemenkeu!$N$6:$N$1005,SMALL(IF(checklistPesertaKemenkeu!$AY$6:$AY$1005="Direkomendasikan",ROW($6:$1005)-5),433))="",INDEX(checklistPesertaKemenkeu!$J$6:$J$1005,SMALL(IF(checklistPesertaKemenkeu!$AY$6:$AY$1005="Direkomendasikan",ROW($6:$1005)-5),433))=""),"",IF(AND(COUNTIF(INDIRECT("K_"&amp;MATCH(INDEX(checklistPesertaKemenkeu!$J$6:$J$1005,SMALL(IF(checklistPesertaKemenkeu!$AY$6:$AY$1005="Direkomendasikan",ROW($6:$1005)-5),433)),BidangList,0)),INDEX(checklistPesertaKemenkeu!$N$6:$N$1005,SMALL(IF(checklistPesertaKemenkeu!$AY$6:$AY$1005="Direkomendasikan",ROW($6:$1005)-5),433)))&gt;0,COUNTIF(INDIRECT("'KERTAS KERJA'!K"&amp;(SMALL(IF(checklistPesertaKemenkeu!$AY$6:$AY$1005="Direkomendasikan",ROW($6:$1005)-5),433)+5)&amp;":O"&amp;(SMALL(IF(checklistPesertaKemenkeu!$AY$6:$AY$1005="Direkomendasikan",ROW($6:$1005)-5),433)+5)),INDEX(checklistPesertaKemenkeu!$N$6:$N$1005,SMALL(IF(checklistPesertaKemenkeu!$AY$6:$AY$1005="Direkomendasikan",ROW($6:$1005)-5),433)))=1),IFERROR(VLOOKUP(INDEX(checklistPesertaKemenkeu!$N$6:$N$1005,SMALL(IF(checklistPesertaKemenkeu!$AY$6:$AY$1005="Direkomendasikan",ROW($6:$1005)-5),433)),KotaKode,2,0),"-"),"")),"")</f>
        <v/>
      </c>
      <c r="K434" t="str">
        <f t="array" aca="1" ref="K434" ca="1">IFERROR(IF(OR(INDEX(checklistPesertaKemenkeu!$O$6:$O$1005,SMALL(IF(checklistPesertaKemenkeu!$AY$6:$AY$1005="Direkomendasikan",ROW($6:$1005)-5),433))="",INDEX(checklistPesertaKemenkeu!$J$6:$J$1005,SMALL(IF(checklistPesertaKemenkeu!$AY$6:$AY$1005="Direkomendasikan",ROW($6:$1005)-5),433))=""),"",IF(AND(COUNTIF(INDIRECT("K_"&amp;MATCH(INDEX(checklistPesertaKemenkeu!$J$6:$J$1005,SMALL(IF(checklistPesertaKemenkeu!$AY$6:$AY$1005="Direkomendasikan",ROW($6:$1005)-5),433)),BidangList,0)),INDEX(checklistPesertaKemenkeu!$O$6:$O$1005,SMALL(IF(checklistPesertaKemenkeu!$AY$6:$AY$1005="Direkomendasikan",ROW($6:$1005)-5),433)))&gt;0,COUNTIF(INDIRECT("'KERTAS KERJA'!K"&amp;(SMALL(IF(checklistPesertaKemenkeu!$AY$6:$AY$1005="Direkomendasikan",ROW($6:$1005)-5),433)+5)&amp;":O"&amp;(SMALL(IF(checklistPesertaKemenkeu!$AY$6:$AY$1005="Direkomendasikan",ROW($6:$1005)-5),433)+5)),INDEX(checklistPesertaKemenkeu!$O$6:$O$1005,SMALL(IF(checklistPesertaKemenkeu!$AY$6:$AY$1005="Direkomendasikan",ROW($6:$1005)-5),433)))=1),IFERROR(VLOOKUP(INDEX(checklistPesertaKemenkeu!$O$6:$O$1005,SMALL(IF(checklistPesertaKemenkeu!$AY$6:$AY$1005="Direkomendasikan",ROW($6:$1005)-5),433)),KotaKode,2,0),"-"),"")),"")</f>
        <v/>
      </c>
      <c r="L434" t="str">
        <f t="array" aca="1" ref="L434" ca="1">IFERROR(IF(OR(INDEX(checklistPesertaKemenkeu!$P$6:$P$1005,SMALL(IF(checklistPesertaKemenkeu!$AY$6:$AY$1005="Direkomendasikan",ROW($6:$1005)-5),433))="",INDEX(checklistPesertaKemenkeu!$J$6:$J$1005,SMALL(IF(checklistPesertaKemenkeu!$AY$6:$AY$1005="Direkomendasikan",ROW($6:$1005)-5),433))=""),"",IF(AND(COUNTIF(INDIRECT("K_"&amp;MATCH(INDEX(checklistPesertaKemenkeu!$J$6:$J$1005,SMALL(IF(checklistPesertaKemenkeu!$AY$6:$AY$1005="Direkomendasikan",ROW($6:$1005)-5),433)),BidangList,0)),INDEX(checklistPesertaKemenkeu!$P$6:$P$1005,SMALL(IF(checklistPesertaKemenkeu!$AY$6:$AY$1005="Direkomendasikan",ROW($6:$1005)-5),433)))&gt;0,COUNTIF(INDIRECT("'KERTAS KERJA'!K"&amp;(SMALL(IF(checklistPesertaKemenkeu!$AY$6:$AY$1005="Direkomendasikan",ROW($6:$1005)-5),433)+5)&amp;":O"&amp;(SMALL(IF(checklistPesertaKemenkeu!$AY$6:$AY$1005="Direkomendasikan",ROW($6:$1005)-5),433)+5)),INDEX(checklistPesertaKemenkeu!$P$6:$P$1005,SMALL(IF(checklistPesertaKemenkeu!$AY$6:$AY$1005="Direkomendasikan",ROW($6:$1005)-5),433)))=1),IFERROR(VLOOKUP(INDEX(checklistPesertaKemenkeu!$P$6:$P$1005,SMALL(IF(checklistPesertaKemenkeu!$AY$6:$AY$1005="Direkomendasikan",ROW($6:$1005)-5),433)),KotaKode,2,0),"-"),"")),"")</f>
        <v/>
      </c>
    </row>
    <row r="435" spans="1:12" ht="15" customHeight="1" x14ac:dyDescent="0.2">
      <c r="A435" t="str">
        <f t="shared" si="6"/>
        <v/>
      </c>
      <c r="B435" t="str">
        <v/>
      </c>
      <c r="C435" s="40" t="str">
        <f t="array" ref="C435">IFERROR(INDEX(checklistPesertaKemenkeu!$F$6:$F$1005,SMALL(IF(checklistPesertaKemenkeu!$AY$6:$AY$1005="Direkomendasikan",ROW($6:$1005)-5),434)),"")</f>
        <v/>
      </c>
      <c r="D435" t="str">
        <f t="array" ref="D435">IFERROR(INDEX(checklistPesertaKemenkeu!$G$6:$G$1005,SMALL(IF(checklistPesertaKemenkeu!$AY$6:$AY$1005="Direkomendasikan",ROW($6:$1005)-5),434)),"")</f>
        <v/>
      </c>
      <c r="E435" t="str">
        <f t="array" ref="E435">IFERROR(INDEX(checklistPesertaKemenkeu!$H$6:$H$1005,SMALL(IF(checklistPesertaKemenkeu!$AY$6:$AY$1005="Direkomendasikan",ROW($6:$1005)-5),434)),"")</f>
        <v/>
      </c>
      <c r="F435" t="str">
        <f t="array" ref="F435">IFERROR(INDEX(checklistPesertaKemenkeu!$I$6:$I$1005,SMALL(IF(checklistPesertaKemenkeu!$AY$6:$AY$1005="Direkomendasikan",ROW($6:$1005)-5),434)),"")</f>
        <v/>
      </c>
      <c r="G435" t="str">
        <f t="array" ref="G435">IFERROR(INDEX(checklistPesertaKemenkeu!$J$6:$J$1005,SMALL(IF(checklistPesertaKemenkeu!$AY$6:$AY$1005="Direkomendasikan",ROW($6:$1005)-5),434)),"")</f>
        <v/>
      </c>
      <c r="H435" t="str">
        <f t="array" aca="1" ref="H435" ca="1">IFERROR(IF(OR(INDEX(checklistPesertaKemenkeu!$L$6:$L$1005,SMALL(IF(checklistPesertaKemenkeu!$AY$6:$AY$1005="Direkomendasikan",ROW($6:$1005)-5),434))="",INDEX(checklistPesertaKemenkeu!$J$6:$J$1005,SMALL(IF(checklistPesertaKemenkeu!$AY$6:$AY$1005="Direkomendasikan",ROW($6:$1005)-5),434))=""),"",IF(AND(COUNTIF(INDIRECT("K_"&amp;MATCH(INDEX(checklistPesertaKemenkeu!$J$6:$J$1005,SMALL(IF(checklistPesertaKemenkeu!$AY$6:$AY$1005="Direkomendasikan",ROW($6:$1005)-5),434)),BidangList,0)),INDEX(checklistPesertaKemenkeu!$L$6:$L$1005,SMALL(IF(checklistPesertaKemenkeu!$AY$6:$AY$1005="Direkomendasikan",ROW($6:$1005)-5),434)))&gt;0,COUNTIF(INDIRECT("'KERTAS KERJA'!K"&amp;(SMALL(IF(checklistPesertaKemenkeu!$AY$6:$AY$1005="Direkomendasikan",ROW($6:$1005)-5),434)+5)&amp;":O"&amp;(SMALL(IF(checklistPesertaKemenkeu!$AY$6:$AY$1005="Direkomendasikan",ROW($6:$1005)-5),434)+5)),INDEX(checklistPesertaKemenkeu!$L$6:$L$1005,SMALL(IF(checklistPesertaKemenkeu!$AY$6:$AY$1005="Direkomendasikan",ROW($6:$1005)-5),434)))=1),IFERROR(VLOOKUP(INDEX(checklistPesertaKemenkeu!$L$6:$L$1005,SMALL(IF(checklistPesertaKemenkeu!$AY$6:$AY$1005="Direkomendasikan",ROW($6:$1005)-5),434)),KotaKode,2,0),"-"),"")),"")</f>
        <v/>
      </c>
      <c r="I435" t="str">
        <f t="array" aca="1" ref="I435" ca="1">IFERROR(IF(OR(INDEX(checklistPesertaKemenkeu!$M$6:$M$1005,SMALL(IF(checklistPesertaKemenkeu!$AY$6:$AY$1005="Direkomendasikan",ROW($6:$1005)-5),434))="",INDEX(checklistPesertaKemenkeu!$J$6:$J$1005,SMALL(IF(checklistPesertaKemenkeu!$AY$6:$AY$1005="Direkomendasikan",ROW($6:$1005)-5),434))=""),"",IF(AND(COUNTIF(INDIRECT("K_"&amp;MATCH(INDEX(checklistPesertaKemenkeu!$J$6:$J$1005,SMALL(IF(checklistPesertaKemenkeu!$AY$6:$AY$1005="Direkomendasikan",ROW($6:$1005)-5),434)),BidangList,0)),INDEX(checklistPesertaKemenkeu!$M$6:$M$1005,SMALL(IF(checklistPesertaKemenkeu!$AY$6:$AY$1005="Direkomendasikan",ROW($6:$1005)-5),434)))&gt;0,COUNTIF(INDIRECT("'KERTAS KERJA'!K"&amp;(SMALL(IF(checklistPesertaKemenkeu!$AY$6:$AY$1005="Direkomendasikan",ROW($6:$1005)-5),434)+5)&amp;":O"&amp;(SMALL(IF(checklistPesertaKemenkeu!$AY$6:$AY$1005="Direkomendasikan",ROW($6:$1005)-5),434)+5)),INDEX(checklistPesertaKemenkeu!$M$6:$M$1005,SMALL(IF(checklistPesertaKemenkeu!$AY$6:$AY$1005="Direkomendasikan",ROW($6:$1005)-5),434)))=1),IFERROR(VLOOKUP(INDEX(checklistPesertaKemenkeu!$M$6:$M$1005,SMALL(IF(checklistPesertaKemenkeu!$AY$6:$AY$1005="Direkomendasikan",ROW($6:$1005)-5),434)),KotaKode,2,0),"-"),"")),"")</f>
        <v/>
      </c>
      <c r="J435" t="str">
        <f t="array" aca="1" ref="J435" ca="1">IFERROR(IF(OR(INDEX(checklistPesertaKemenkeu!$N$6:$N$1005,SMALL(IF(checklistPesertaKemenkeu!$AY$6:$AY$1005="Direkomendasikan",ROW($6:$1005)-5),434))="",INDEX(checklistPesertaKemenkeu!$J$6:$J$1005,SMALL(IF(checklistPesertaKemenkeu!$AY$6:$AY$1005="Direkomendasikan",ROW($6:$1005)-5),434))=""),"",IF(AND(COUNTIF(INDIRECT("K_"&amp;MATCH(INDEX(checklistPesertaKemenkeu!$J$6:$J$1005,SMALL(IF(checklistPesertaKemenkeu!$AY$6:$AY$1005="Direkomendasikan",ROW($6:$1005)-5),434)),BidangList,0)),INDEX(checklistPesertaKemenkeu!$N$6:$N$1005,SMALL(IF(checklistPesertaKemenkeu!$AY$6:$AY$1005="Direkomendasikan",ROW($6:$1005)-5),434)))&gt;0,COUNTIF(INDIRECT("'KERTAS KERJA'!K"&amp;(SMALL(IF(checklistPesertaKemenkeu!$AY$6:$AY$1005="Direkomendasikan",ROW($6:$1005)-5),434)+5)&amp;":O"&amp;(SMALL(IF(checklistPesertaKemenkeu!$AY$6:$AY$1005="Direkomendasikan",ROW($6:$1005)-5),434)+5)),INDEX(checklistPesertaKemenkeu!$N$6:$N$1005,SMALL(IF(checklistPesertaKemenkeu!$AY$6:$AY$1005="Direkomendasikan",ROW($6:$1005)-5),434)))=1),IFERROR(VLOOKUP(INDEX(checklistPesertaKemenkeu!$N$6:$N$1005,SMALL(IF(checklistPesertaKemenkeu!$AY$6:$AY$1005="Direkomendasikan",ROW($6:$1005)-5),434)),KotaKode,2,0),"-"),"")),"")</f>
        <v/>
      </c>
      <c r="K435" t="str">
        <f t="array" aca="1" ref="K435" ca="1">IFERROR(IF(OR(INDEX(checklistPesertaKemenkeu!$O$6:$O$1005,SMALL(IF(checklistPesertaKemenkeu!$AY$6:$AY$1005="Direkomendasikan",ROW($6:$1005)-5),434))="",INDEX(checklistPesertaKemenkeu!$J$6:$J$1005,SMALL(IF(checklistPesertaKemenkeu!$AY$6:$AY$1005="Direkomendasikan",ROW($6:$1005)-5),434))=""),"",IF(AND(COUNTIF(INDIRECT("K_"&amp;MATCH(INDEX(checklistPesertaKemenkeu!$J$6:$J$1005,SMALL(IF(checklistPesertaKemenkeu!$AY$6:$AY$1005="Direkomendasikan",ROW($6:$1005)-5),434)),BidangList,0)),INDEX(checklistPesertaKemenkeu!$O$6:$O$1005,SMALL(IF(checklistPesertaKemenkeu!$AY$6:$AY$1005="Direkomendasikan",ROW($6:$1005)-5),434)))&gt;0,COUNTIF(INDIRECT("'KERTAS KERJA'!K"&amp;(SMALL(IF(checklistPesertaKemenkeu!$AY$6:$AY$1005="Direkomendasikan",ROW($6:$1005)-5),434)+5)&amp;":O"&amp;(SMALL(IF(checklistPesertaKemenkeu!$AY$6:$AY$1005="Direkomendasikan",ROW($6:$1005)-5),434)+5)),INDEX(checklistPesertaKemenkeu!$O$6:$O$1005,SMALL(IF(checklistPesertaKemenkeu!$AY$6:$AY$1005="Direkomendasikan",ROW($6:$1005)-5),434)))=1),IFERROR(VLOOKUP(INDEX(checklistPesertaKemenkeu!$O$6:$O$1005,SMALL(IF(checklistPesertaKemenkeu!$AY$6:$AY$1005="Direkomendasikan",ROW($6:$1005)-5),434)),KotaKode,2,0),"-"),"")),"")</f>
        <v/>
      </c>
      <c r="L435" t="str">
        <f t="array" aca="1" ref="L435" ca="1">IFERROR(IF(OR(INDEX(checklistPesertaKemenkeu!$P$6:$P$1005,SMALL(IF(checklistPesertaKemenkeu!$AY$6:$AY$1005="Direkomendasikan",ROW($6:$1005)-5),434))="",INDEX(checklistPesertaKemenkeu!$J$6:$J$1005,SMALL(IF(checklistPesertaKemenkeu!$AY$6:$AY$1005="Direkomendasikan",ROW($6:$1005)-5),434))=""),"",IF(AND(COUNTIF(INDIRECT("K_"&amp;MATCH(INDEX(checklistPesertaKemenkeu!$J$6:$J$1005,SMALL(IF(checklistPesertaKemenkeu!$AY$6:$AY$1005="Direkomendasikan",ROW($6:$1005)-5),434)),BidangList,0)),INDEX(checklistPesertaKemenkeu!$P$6:$P$1005,SMALL(IF(checklistPesertaKemenkeu!$AY$6:$AY$1005="Direkomendasikan",ROW($6:$1005)-5),434)))&gt;0,COUNTIF(INDIRECT("'KERTAS KERJA'!K"&amp;(SMALL(IF(checklistPesertaKemenkeu!$AY$6:$AY$1005="Direkomendasikan",ROW($6:$1005)-5),434)+5)&amp;":O"&amp;(SMALL(IF(checklistPesertaKemenkeu!$AY$6:$AY$1005="Direkomendasikan",ROW($6:$1005)-5),434)+5)),INDEX(checklistPesertaKemenkeu!$P$6:$P$1005,SMALL(IF(checklistPesertaKemenkeu!$AY$6:$AY$1005="Direkomendasikan",ROW($6:$1005)-5),434)))=1),IFERROR(VLOOKUP(INDEX(checklistPesertaKemenkeu!$P$6:$P$1005,SMALL(IF(checklistPesertaKemenkeu!$AY$6:$AY$1005="Direkomendasikan",ROW($6:$1005)-5),434)),KotaKode,2,0),"-"),"")),"")</f>
        <v/>
      </c>
    </row>
    <row r="436" spans="1:12" ht="15" customHeight="1" x14ac:dyDescent="0.2">
      <c r="A436" t="str">
        <f t="shared" si="6"/>
        <v/>
      </c>
      <c r="B436" t="str">
        <v/>
      </c>
      <c r="C436" s="40" t="str">
        <f t="array" ref="C436">IFERROR(INDEX(checklistPesertaKemenkeu!$F$6:$F$1005,SMALL(IF(checklistPesertaKemenkeu!$AY$6:$AY$1005="Direkomendasikan",ROW($6:$1005)-5),435)),"")</f>
        <v/>
      </c>
      <c r="D436" t="str">
        <f t="array" ref="D436">IFERROR(INDEX(checklistPesertaKemenkeu!$G$6:$G$1005,SMALL(IF(checklistPesertaKemenkeu!$AY$6:$AY$1005="Direkomendasikan",ROW($6:$1005)-5),435)),"")</f>
        <v/>
      </c>
      <c r="E436" t="str">
        <f t="array" ref="E436">IFERROR(INDEX(checklistPesertaKemenkeu!$H$6:$H$1005,SMALL(IF(checklistPesertaKemenkeu!$AY$6:$AY$1005="Direkomendasikan",ROW($6:$1005)-5),435)),"")</f>
        <v/>
      </c>
      <c r="F436" t="str">
        <f t="array" ref="F436">IFERROR(INDEX(checklistPesertaKemenkeu!$I$6:$I$1005,SMALL(IF(checklistPesertaKemenkeu!$AY$6:$AY$1005="Direkomendasikan",ROW($6:$1005)-5),435)),"")</f>
        <v/>
      </c>
      <c r="G436" t="str">
        <f t="array" ref="G436">IFERROR(INDEX(checklistPesertaKemenkeu!$J$6:$J$1005,SMALL(IF(checklistPesertaKemenkeu!$AY$6:$AY$1005="Direkomendasikan",ROW($6:$1005)-5),435)),"")</f>
        <v/>
      </c>
      <c r="H436" t="str">
        <f t="array" aca="1" ref="H436" ca="1">IFERROR(IF(OR(INDEX(checklistPesertaKemenkeu!$L$6:$L$1005,SMALL(IF(checklistPesertaKemenkeu!$AY$6:$AY$1005="Direkomendasikan",ROW($6:$1005)-5),435))="",INDEX(checklistPesertaKemenkeu!$J$6:$J$1005,SMALL(IF(checklistPesertaKemenkeu!$AY$6:$AY$1005="Direkomendasikan",ROW($6:$1005)-5),435))=""),"",IF(AND(COUNTIF(INDIRECT("K_"&amp;MATCH(INDEX(checklistPesertaKemenkeu!$J$6:$J$1005,SMALL(IF(checklistPesertaKemenkeu!$AY$6:$AY$1005="Direkomendasikan",ROW($6:$1005)-5),435)),BidangList,0)),INDEX(checklistPesertaKemenkeu!$L$6:$L$1005,SMALL(IF(checklistPesertaKemenkeu!$AY$6:$AY$1005="Direkomendasikan",ROW($6:$1005)-5),435)))&gt;0,COUNTIF(INDIRECT("'KERTAS KERJA'!K"&amp;(SMALL(IF(checklistPesertaKemenkeu!$AY$6:$AY$1005="Direkomendasikan",ROW($6:$1005)-5),435)+5)&amp;":O"&amp;(SMALL(IF(checklistPesertaKemenkeu!$AY$6:$AY$1005="Direkomendasikan",ROW($6:$1005)-5),435)+5)),INDEX(checklistPesertaKemenkeu!$L$6:$L$1005,SMALL(IF(checklistPesertaKemenkeu!$AY$6:$AY$1005="Direkomendasikan",ROW($6:$1005)-5),435)))=1),IFERROR(VLOOKUP(INDEX(checklistPesertaKemenkeu!$L$6:$L$1005,SMALL(IF(checklistPesertaKemenkeu!$AY$6:$AY$1005="Direkomendasikan",ROW($6:$1005)-5),435)),KotaKode,2,0),"-"),"")),"")</f>
        <v/>
      </c>
      <c r="I436" t="str">
        <f t="array" aca="1" ref="I436" ca="1">IFERROR(IF(OR(INDEX(checklistPesertaKemenkeu!$M$6:$M$1005,SMALL(IF(checklistPesertaKemenkeu!$AY$6:$AY$1005="Direkomendasikan",ROW($6:$1005)-5),435))="",INDEX(checklistPesertaKemenkeu!$J$6:$J$1005,SMALL(IF(checklistPesertaKemenkeu!$AY$6:$AY$1005="Direkomendasikan",ROW($6:$1005)-5),435))=""),"",IF(AND(COUNTIF(INDIRECT("K_"&amp;MATCH(INDEX(checklistPesertaKemenkeu!$J$6:$J$1005,SMALL(IF(checklistPesertaKemenkeu!$AY$6:$AY$1005="Direkomendasikan",ROW($6:$1005)-5),435)),BidangList,0)),INDEX(checklistPesertaKemenkeu!$M$6:$M$1005,SMALL(IF(checklistPesertaKemenkeu!$AY$6:$AY$1005="Direkomendasikan",ROW($6:$1005)-5),435)))&gt;0,COUNTIF(INDIRECT("'KERTAS KERJA'!K"&amp;(SMALL(IF(checklistPesertaKemenkeu!$AY$6:$AY$1005="Direkomendasikan",ROW($6:$1005)-5),435)+5)&amp;":O"&amp;(SMALL(IF(checklistPesertaKemenkeu!$AY$6:$AY$1005="Direkomendasikan",ROW($6:$1005)-5),435)+5)),INDEX(checklistPesertaKemenkeu!$M$6:$M$1005,SMALL(IF(checklistPesertaKemenkeu!$AY$6:$AY$1005="Direkomendasikan",ROW($6:$1005)-5),435)))=1),IFERROR(VLOOKUP(INDEX(checklistPesertaKemenkeu!$M$6:$M$1005,SMALL(IF(checklistPesertaKemenkeu!$AY$6:$AY$1005="Direkomendasikan",ROW($6:$1005)-5),435)),KotaKode,2,0),"-"),"")),"")</f>
        <v/>
      </c>
      <c r="J436" t="str">
        <f t="array" aca="1" ref="J436" ca="1">IFERROR(IF(OR(INDEX(checklistPesertaKemenkeu!$N$6:$N$1005,SMALL(IF(checklistPesertaKemenkeu!$AY$6:$AY$1005="Direkomendasikan",ROW($6:$1005)-5),435))="",INDEX(checklistPesertaKemenkeu!$J$6:$J$1005,SMALL(IF(checklistPesertaKemenkeu!$AY$6:$AY$1005="Direkomendasikan",ROW($6:$1005)-5),435))=""),"",IF(AND(COUNTIF(INDIRECT("K_"&amp;MATCH(INDEX(checklistPesertaKemenkeu!$J$6:$J$1005,SMALL(IF(checklistPesertaKemenkeu!$AY$6:$AY$1005="Direkomendasikan",ROW($6:$1005)-5),435)),BidangList,0)),INDEX(checklistPesertaKemenkeu!$N$6:$N$1005,SMALL(IF(checklistPesertaKemenkeu!$AY$6:$AY$1005="Direkomendasikan",ROW($6:$1005)-5),435)))&gt;0,COUNTIF(INDIRECT("'KERTAS KERJA'!K"&amp;(SMALL(IF(checklistPesertaKemenkeu!$AY$6:$AY$1005="Direkomendasikan",ROW($6:$1005)-5),435)+5)&amp;":O"&amp;(SMALL(IF(checklistPesertaKemenkeu!$AY$6:$AY$1005="Direkomendasikan",ROW($6:$1005)-5),435)+5)),INDEX(checklistPesertaKemenkeu!$N$6:$N$1005,SMALL(IF(checklistPesertaKemenkeu!$AY$6:$AY$1005="Direkomendasikan",ROW($6:$1005)-5),435)))=1),IFERROR(VLOOKUP(INDEX(checklistPesertaKemenkeu!$N$6:$N$1005,SMALL(IF(checklistPesertaKemenkeu!$AY$6:$AY$1005="Direkomendasikan",ROW($6:$1005)-5),435)),KotaKode,2,0),"-"),"")),"")</f>
        <v/>
      </c>
      <c r="K436" t="str">
        <f t="array" aca="1" ref="K436" ca="1">IFERROR(IF(OR(INDEX(checklistPesertaKemenkeu!$O$6:$O$1005,SMALL(IF(checklistPesertaKemenkeu!$AY$6:$AY$1005="Direkomendasikan",ROW($6:$1005)-5),435))="",INDEX(checklistPesertaKemenkeu!$J$6:$J$1005,SMALL(IF(checklistPesertaKemenkeu!$AY$6:$AY$1005="Direkomendasikan",ROW($6:$1005)-5),435))=""),"",IF(AND(COUNTIF(INDIRECT("K_"&amp;MATCH(INDEX(checklistPesertaKemenkeu!$J$6:$J$1005,SMALL(IF(checklistPesertaKemenkeu!$AY$6:$AY$1005="Direkomendasikan",ROW($6:$1005)-5),435)),BidangList,0)),INDEX(checklistPesertaKemenkeu!$O$6:$O$1005,SMALL(IF(checklistPesertaKemenkeu!$AY$6:$AY$1005="Direkomendasikan",ROW($6:$1005)-5),435)))&gt;0,COUNTIF(INDIRECT("'KERTAS KERJA'!K"&amp;(SMALL(IF(checklistPesertaKemenkeu!$AY$6:$AY$1005="Direkomendasikan",ROW($6:$1005)-5),435)+5)&amp;":O"&amp;(SMALL(IF(checklistPesertaKemenkeu!$AY$6:$AY$1005="Direkomendasikan",ROW($6:$1005)-5),435)+5)),INDEX(checklistPesertaKemenkeu!$O$6:$O$1005,SMALL(IF(checklistPesertaKemenkeu!$AY$6:$AY$1005="Direkomendasikan",ROW($6:$1005)-5),435)))=1),IFERROR(VLOOKUP(INDEX(checklistPesertaKemenkeu!$O$6:$O$1005,SMALL(IF(checklistPesertaKemenkeu!$AY$6:$AY$1005="Direkomendasikan",ROW($6:$1005)-5),435)),KotaKode,2,0),"-"),"")),"")</f>
        <v/>
      </c>
      <c r="L436" t="str">
        <f t="array" aca="1" ref="L436" ca="1">IFERROR(IF(OR(INDEX(checklistPesertaKemenkeu!$P$6:$P$1005,SMALL(IF(checklistPesertaKemenkeu!$AY$6:$AY$1005="Direkomendasikan",ROW($6:$1005)-5),435))="",INDEX(checklistPesertaKemenkeu!$J$6:$J$1005,SMALL(IF(checklistPesertaKemenkeu!$AY$6:$AY$1005="Direkomendasikan",ROW($6:$1005)-5),435))=""),"",IF(AND(COUNTIF(INDIRECT("K_"&amp;MATCH(INDEX(checklistPesertaKemenkeu!$J$6:$J$1005,SMALL(IF(checklistPesertaKemenkeu!$AY$6:$AY$1005="Direkomendasikan",ROW($6:$1005)-5),435)),BidangList,0)),INDEX(checklistPesertaKemenkeu!$P$6:$P$1005,SMALL(IF(checklistPesertaKemenkeu!$AY$6:$AY$1005="Direkomendasikan",ROW($6:$1005)-5),435)))&gt;0,COUNTIF(INDIRECT("'KERTAS KERJA'!K"&amp;(SMALL(IF(checklistPesertaKemenkeu!$AY$6:$AY$1005="Direkomendasikan",ROW($6:$1005)-5),435)+5)&amp;":O"&amp;(SMALL(IF(checklistPesertaKemenkeu!$AY$6:$AY$1005="Direkomendasikan",ROW($6:$1005)-5),435)+5)),INDEX(checklistPesertaKemenkeu!$P$6:$P$1005,SMALL(IF(checklistPesertaKemenkeu!$AY$6:$AY$1005="Direkomendasikan",ROW($6:$1005)-5),435)))=1),IFERROR(VLOOKUP(INDEX(checklistPesertaKemenkeu!$P$6:$P$1005,SMALL(IF(checklistPesertaKemenkeu!$AY$6:$AY$1005="Direkomendasikan",ROW($6:$1005)-5),435)),KotaKode,2,0),"-"),"")),"")</f>
        <v/>
      </c>
    </row>
    <row r="437" spans="1:12" ht="15" customHeight="1" x14ac:dyDescent="0.2">
      <c r="A437" t="str">
        <f t="shared" si="6"/>
        <v/>
      </c>
      <c r="B437" t="str">
        <v/>
      </c>
      <c r="C437" s="40" t="str">
        <f t="array" ref="C437">IFERROR(INDEX(checklistPesertaKemenkeu!$F$6:$F$1005,SMALL(IF(checklistPesertaKemenkeu!$AY$6:$AY$1005="Direkomendasikan",ROW($6:$1005)-5),436)),"")</f>
        <v/>
      </c>
      <c r="D437" t="str">
        <f t="array" ref="D437">IFERROR(INDEX(checklistPesertaKemenkeu!$G$6:$G$1005,SMALL(IF(checklistPesertaKemenkeu!$AY$6:$AY$1005="Direkomendasikan",ROW($6:$1005)-5),436)),"")</f>
        <v/>
      </c>
      <c r="E437" t="str">
        <f t="array" ref="E437">IFERROR(INDEX(checklistPesertaKemenkeu!$H$6:$H$1005,SMALL(IF(checklistPesertaKemenkeu!$AY$6:$AY$1005="Direkomendasikan",ROW($6:$1005)-5),436)),"")</f>
        <v/>
      </c>
      <c r="F437" t="str">
        <f t="array" ref="F437">IFERROR(INDEX(checklistPesertaKemenkeu!$I$6:$I$1005,SMALL(IF(checklistPesertaKemenkeu!$AY$6:$AY$1005="Direkomendasikan",ROW($6:$1005)-5),436)),"")</f>
        <v/>
      </c>
      <c r="G437" t="str">
        <f t="array" ref="G437">IFERROR(INDEX(checklistPesertaKemenkeu!$J$6:$J$1005,SMALL(IF(checklistPesertaKemenkeu!$AY$6:$AY$1005="Direkomendasikan",ROW($6:$1005)-5),436)),"")</f>
        <v/>
      </c>
      <c r="H437" t="str">
        <f t="array" aca="1" ref="H437" ca="1">IFERROR(IF(OR(INDEX(checklistPesertaKemenkeu!$L$6:$L$1005,SMALL(IF(checklistPesertaKemenkeu!$AY$6:$AY$1005="Direkomendasikan",ROW($6:$1005)-5),436))="",INDEX(checklistPesertaKemenkeu!$J$6:$J$1005,SMALL(IF(checklistPesertaKemenkeu!$AY$6:$AY$1005="Direkomendasikan",ROW($6:$1005)-5),436))=""),"",IF(AND(COUNTIF(INDIRECT("K_"&amp;MATCH(INDEX(checklistPesertaKemenkeu!$J$6:$J$1005,SMALL(IF(checklistPesertaKemenkeu!$AY$6:$AY$1005="Direkomendasikan",ROW($6:$1005)-5),436)),BidangList,0)),INDEX(checklistPesertaKemenkeu!$L$6:$L$1005,SMALL(IF(checklistPesertaKemenkeu!$AY$6:$AY$1005="Direkomendasikan",ROW($6:$1005)-5),436)))&gt;0,COUNTIF(INDIRECT("'KERTAS KERJA'!K"&amp;(SMALL(IF(checklistPesertaKemenkeu!$AY$6:$AY$1005="Direkomendasikan",ROW($6:$1005)-5),436)+5)&amp;":O"&amp;(SMALL(IF(checklistPesertaKemenkeu!$AY$6:$AY$1005="Direkomendasikan",ROW($6:$1005)-5),436)+5)),INDEX(checklistPesertaKemenkeu!$L$6:$L$1005,SMALL(IF(checklistPesertaKemenkeu!$AY$6:$AY$1005="Direkomendasikan",ROW($6:$1005)-5),436)))=1),IFERROR(VLOOKUP(INDEX(checklistPesertaKemenkeu!$L$6:$L$1005,SMALL(IF(checklistPesertaKemenkeu!$AY$6:$AY$1005="Direkomendasikan",ROW($6:$1005)-5),436)),KotaKode,2,0),"-"),"")),"")</f>
        <v/>
      </c>
      <c r="I437" t="str">
        <f t="array" aca="1" ref="I437" ca="1">IFERROR(IF(OR(INDEX(checklistPesertaKemenkeu!$M$6:$M$1005,SMALL(IF(checklistPesertaKemenkeu!$AY$6:$AY$1005="Direkomendasikan",ROW($6:$1005)-5),436))="",INDEX(checklistPesertaKemenkeu!$J$6:$J$1005,SMALL(IF(checklistPesertaKemenkeu!$AY$6:$AY$1005="Direkomendasikan",ROW($6:$1005)-5),436))=""),"",IF(AND(COUNTIF(INDIRECT("K_"&amp;MATCH(INDEX(checklistPesertaKemenkeu!$J$6:$J$1005,SMALL(IF(checklistPesertaKemenkeu!$AY$6:$AY$1005="Direkomendasikan",ROW($6:$1005)-5),436)),BidangList,0)),INDEX(checklistPesertaKemenkeu!$M$6:$M$1005,SMALL(IF(checklistPesertaKemenkeu!$AY$6:$AY$1005="Direkomendasikan",ROW($6:$1005)-5),436)))&gt;0,COUNTIF(INDIRECT("'KERTAS KERJA'!K"&amp;(SMALL(IF(checklistPesertaKemenkeu!$AY$6:$AY$1005="Direkomendasikan",ROW($6:$1005)-5),436)+5)&amp;":O"&amp;(SMALL(IF(checklistPesertaKemenkeu!$AY$6:$AY$1005="Direkomendasikan",ROW($6:$1005)-5),436)+5)),INDEX(checklistPesertaKemenkeu!$M$6:$M$1005,SMALL(IF(checklistPesertaKemenkeu!$AY$6:$AY$1005="Direkomendasikan",ROW($6:$1005)-5),436)))=1),IFERROR(VLOOKUP(INDEX(checklistPesertaKemenkeu!$M$6:$M$1005,SMALL(IF(checklistPesertaKemenkeu!$AY$6:$AY$1005="Direkomendasikan",ROW($6:$1005)-5),436)),KotaKode,2,0),"-"),"")),"")</f>
        <v/>
      </c>
      <c r="J437" t="str">
        <f t="array" aca="1" ref="J437" ca="1">IFERROR(IF(OR(INDEX(checklistPesertaKemenkeu!$N$6:$N$1005,SMALL(IF(checklistPesertaKemenkeu!$AY$6:$AY$1005="Direkomendasikan",ROW($6:$1005)-5),436))="",INDEX(checklistPesertaKemenkeu!$J$6:$J$1005,SMALL(IF(checklistPesertaKemenkeu!$AY$6:$AY$1005="Direkomendasikan",ROW($6:$1005)-5),436))=""),"",IF(AND(COUNTIF(INDIRECT("K_"&amp;MATCH(INDEX(checklistPesertaKemenkeu!$J$6:$J$1005,SMALL(IF(checklistPesertaKemenkeu!$AY$6:$AY$1005="Direkomendasikan",ROW($6:$1005)-5),436)),BidangList,0)),INDEX(checklistPesertaKemenkeu!$N$6:$N$1005,SMALL(IF(checklistPesertaKemenkeu!$AY$6:$AY$1005="Direkomendasikan",ROW($6:$1005)-5),436)))&gt;0,COUNTIF(INDIRECT("'KERTAS KERJA'!K"&amp;(SMALL(IF(checklistPesertaKemenkeu!$AY$6:$AY$1005="Direkomendasikan",ROW($6:$1005)-5),436)+5)&amp;":O"&amp;(SMALL(IF(checklistPesertaKemenkeu!$AY$6:$AY$1005="Direkomendasikan",ROW($6:$1005)-5),436)+5)),INDEX(checklistPesertaKemenkeu!$N$6:$N$1005,SMALL(IF(checklistPesertaKemenkeu!$AY$6:$AY$1005="Direkomendasikan",ROW($6:$1005)-5),436)))=1),IFERROR(VLOOKUP(INDEX(checklistPesertaKemenkeu!$N$6:$N$1005,SMALL(IF(checklistPesertaKemenkeu!$AY$6:$AY$1005="Direkomendasikan",ROW($6:$1005)-5),436)),KotaKode,2,0),"-"),"")),"")</f>
        <v/>
      </c>
      <c r="K437" t="str">
        <f t="array" aca="1" ref="K437" ca="1">IFERROR(IF(OR(INDEX(checklistPesertaKemenkeu!$O$6:$O$1005,SMALL(IF(checklistPesertaKemenkeu!$AY$6:$AY$1005="Direkomendasikan",ROW($6:$1005)-5),436))="",INDEX(checklistPesertaKemenkeu!$J$6:$J$1005,SMALL(IF(checklistPesertaKemenkeu!$AY$6:$AY$1005="Direkomendasikan",ROW($6:$1005)-5),436))=""),"",IF(AND(COUNTIF(INDIRECT("K_"&amp;MATCH(INDEX(checklistPesertaKemenkeu!$J$6:$J$1005,SMALL(IF(checklistPesertaKemenkeu!$AY$6:$AY$1005="Direkomendasikan",ROW($6:$1005)-5),436)),BidangList,0)),INDEX(checklistPesertaKemenkeu!$O$6:$O$1005,SMALL(IF(checklistPesertaKemenkeu!$AY$6:$AY$1005="Direkomendasikan",ROW($6:$1005)-5),436)))&gt;0,COUNTIF(INDIRECT("'KERTAS KERJA'!K"&amp;(SMALL(IF(checklistPesertaKemenkeu!$AY$6:$AY$1005="Direkomendasikan",ROW($6:$1005)-5),436)+5)&amp;":O"&amp;(SMALL(IF(checklistPesertaKemenkeu!$AY$6:$AY$1005="Direkomendasikan",ROW($6:$1005)-5),436)+5)),INDEX(checklistPesertaKemenkeu!$O$6:$O$1005,SMALL(IF(checklistPesertaKemenkeu!$AY$6:$AY$1005="Direkomendasikan",ROW($6:$1005)-5),436)))=1),IFERROR(VLOOKUP(INDEX(checklistPesertaKemenkeu!$O$6:$O$1005,SMALL(IF(checklistPesertaKemenkeu!$AY$6:$AY$1005="Direkomendasikan",ROW($6:$1005)-5),436)),KotaKode,2,0),"-"),"")),"")</f>
        <v/>
      </c>
      <c r="L437" t="str">
        <f t="array" aca="1" ref="L437" ca="1">IFERROR(IF(OR(INDEX(checklistPesertaKemenkeu!$P$6:$P$1005,SMALL(IF(checklistPesertaKemenkeu!$AY$6:$AY$1005="Direkomendasikan",ROW($6:$1005)-5),436))="",INDEX(checklistPesertaKemenkeu!$J$6:$J$1005,SMALL(IF(checklistPesertaKemenkeu!$AY$6:$AY$1005="Direkomendasikan",ROW($6:$1005)-5),436))=""),"",IF(AND(COUNTIF(INDIRECT("K_"&amp;MATCH(INDEX(checklistPesertaKemenkeu!$J$6:$J$1005,SMALL(IF(checklistPesertaKemenkeu!$AY$6:$AY$1005="Direkomendasikan",ROW($6:$1005)-5),436)),BidangList,0)),INDEX(checklistPesertaKemenkeu!$P$6:$P$1005,SMALL(IF(checklistPesertaKemenkeu!$AY$6:$AY$1005="Direkomendasikan",ROW($6:$1005)-5),436)))&gt;0,COUNTIF(INDIRECT("'KERTAS KERJA'!K"&amp;(SMALL(IF(checklistPesertaKemenkeu!$AY$6:$AY$1005="Direkomendasikan",ROW($6:$1005)-5),436)+5)&amp;":O"&amp;(SMALL(IF(checklistPesertaKemenkeu!$AY$6:$AY$1005="Direkomendasikan",ROW($6:$1005)-5),436)+5)),INDEX(checklistPesertaKemenkeu!$P$6:$P$1005,SMALL(IF(checklistPesertaKemenkeu!$AY$6:$AY$1005="Direkomendasikan",ROW($6:$1005)-5),436)))=1),IFERROR(VLOOKUP(INDEX(checklistPesertaKemenkeu!$P$6:$P$1005,SMALL(IF(checklistPesertaKemenkeu!$AY$6:$AY$1005="Direkomendasikan",ROW($6:$1005)-5),436)),KotaKode,2,0),"-"),"")),"")</f>
        <v/>
      </c>
    </row>
    <row r="438" spans="1:12" ht="15" customHeight="1" x14ac:dyDescent="0.2">
      <c r="A438" t="str">
        <f t="shared" si="6"/>
        <v/>
      </c>
      <c r="B438" t="str">
        <v/>
      </c>
      <c r="C438" s="40" t="str">
        <f t="array" ref="C438">IFERROR(INDEX(checklistPesertaKemenkeu!$F$6:$F$1005,SMALL(IF(checklistPesertaKemenkeu!$AY$6:$AY$1005="Direkomendasikan",ROW($6:$1005)-5),437)),"")</f>
        <v/>
      </c>
      <c r="D438" t="str">
        <f t="array" ref="D438">IFERROR(INDEX(checklistPesertaKemenkeu!$G$6:$G$1005,SMALL(IF(checklistPesertaKemenkeu!$AY$6:$AY$1005="Direkomendasikan",ROW($6:$1005)-5),437)),"")</f>
        <v/>
      </c>
      <c r="E438" t="str">
        <f t="array" ref="E438">IFERROR(INDEX(checklistPesertaKemenkeu!$H$6:$H$1005,SMALL(IF(checklistPesertaKemenkeu!$AY$6:$AY$1005="Direkomendasikan",ROW($6:$1005)-5),437)),"")</f>
        <v/>
      </c>
      <c r="F438" t="str">
        <f t="array" ref="F438">IFERROR(INDEX(checklistPesertaKemenkeu!$I$6:$I$1005,SMALL(IF(checklistPesertaKemenkeu!$AY$6:$AY$1005="Direkomendasikan",ROW($6:$1005)-5),437)),"")</f>
        <v/>
      </c>
      <c r="G438" t="str">
        <f t="array" ref="G438">IFERROR(INDEX(checklistPesertaKemenkeu!$J$6:$J$1005,SMALL(IF(checklistPesertaKemenkeu!$AY$6:$AY$1005="Direkomendasikan",ROW($6:$1005)-5),437)),"")</f>
        <v/>
      </c>
      <c r="H438" t="str">
        <f t="array" aca="1" ref="H438" ca="1">IFERROR(IF(OR(INDEX(checklistPesertaKemenkeu!$L$6:$L$1005,SMALL(IF(checklistPesertaKemenkeu!$AY$6:$AY$1005="Direkomendasikan",ROW($6:$1005)-5),437))="",INDEX(checklistPesertaKemenkeu!$J$6:$J$1005,SMALL(IF(checklistPesertaKemenkeu!$AY$6:$AY$1005="Direkomendasikan",ROW($6:$1005)-5),437))=""),"",IF(AND(COUNTIF(INDIRECT("K_"&amp;MATCH(INDEX(checklistPesertaKemenkeu!$J$6:$J$1005,SMALL(IF(checklistPesertaKemenkeu!$AY$6:$AY$1005="Direkomendasikan",ROW($6:$1005)-5),437)),BidangList,0)),INDEX(checklistPesertaKemenkeu!$L$6:$L$1005,SMALL(IF(checklistPesertaKemenkeu!$AY$6:$AY$1005="Direkomendasikan",ROW($6:$1005)-5),437)))&gt;0,COUNTIF(INDIRECT("'KERTAS KERJA'!K"&amp;(SMALL(IF(checklistPesertaKemenkeu!$AY$6:$AY$1005="Direkomendasikan",ROW($6:$1005)-5),437)+5)&amp;":O"&amp;(SMALL(IF(checklistPesertaKemenkeu!$AY$6:$AY$1005="Direkomendasikan",ROW($6:$1005)-5),437)+5)),INDEX(checklistPesertaKemenkeu!$L$6:$L$1005,SMALL(IF(checklistPesertaKemenkeu!$AY$6:$AY$1005="Direkomendasikan",ROW($6:$1005)-5),437)))=1),IFERROR(VLOOKUP(INDEX(checklistPesertaKemenkeu!$L$6:$L$1005,SMALL(IF(checklistPesertaKemenkeu!$AY$6:$AY$1005="Direkomendasikan",ROW($6:$1005)-5),437)),KotaKode,2,0),"-"),"")),"")</f>
        <v/>
      </c>
      <c r="I438" t="str">
        <f t="array" aca="1" ref="I438" ca="1">IFERROR(IF(OR(INDEX(checklistPesertaKemenkeu!$M$6:$M$1005,SMALL(IF(checklistPesertaKemenkeu!$AY$6:$AY$1005="Direkomendasikan",ROW($6:$1005)-5),437))="",INDEX(checklistPesertaKemenkeu!$J$6:$J$1005,SMALL(IF(checklistPesertaKemenkeu!$AY$6:$AY$1005="Direkomendasikan",ROW($6:$1005)-5),437))=""),"",IF(AND(COUNTIF(INDIRECT("K_"&amp;MATCH(INDEX(checklistPesertaKemenkeu!$J$6:$J$1005,SMALL(IF(checklistPesertaKemenkeu!$AY$6:$AY$1005="Direkomendasikan",ROW($6:$1005)-5),437)),BidangList,0)),INDEX(checklistPesertaKemenkeu!$M$6:$M$1005,SMALL(IF(checklistPesertaKemenkeu!$AY$6:$AY$1005="Direkomendasikan",ROW($6:$1005)-5),437)))&gt;0,COUNTIF(INDIRECT("'KERTAS KERJA'!K"&amp;(SMALL(IF(checklistPesertaKemenkeu!$AY$6:$AY$1005="Direkomendasikan",ROW($6:$1005)-5),437)+5)&amp;":O"&amp;(SMALL(IF(checklistPesertaKemenkeu!$AY$6:$AY$1005="Direkomendasikan",ROW($6:$1005)-5),437)+5)),INDEX(checklistPesertaKemenkeu!$M$6:$M$1005,SMALL(IF(checklistPesertaKemenkeu!$AY$6:$AY$1005="Direkomendasikan",ROW($6:$1005)-5),437)))=1),IFERROR(VLOOKUP(INDEX(checklistPesertaKemenkeu!$M$6:$M$1005,SMALL(IF(checklistPesertaKemenkeu!$AY$6:$AY$1005="Direkomendasikan",ROW($6:$1005)-5),437)),KotaKode,2,0),"-"),"")),"")</f>
        <v/>
      </c>
      <c r="J438" t="str">
        <f t="array" aca="1" ref="J438" ca="1">IFERROR(IF(OR(INDEX(checklistPesertaKemenkeu!$N$6:$N$1005,SMALL(IF(checklistPesertaKemenkeu!$AY$6:$AY$1005="Direkomendasikan",ROW($6:$1005)-5),437))="",INDEX(checklistPesertaKemenkeu!$J$6:$J$1005,SMALL(IF(checklistPesertaKemenkeu!$AY$6:$AY$1005="Direkomendasikan",ROW($6:$1005)-5),437))=""),"",IF(AND(COUNTIF(INDIRECT("K_"&amp;MATCH(INDEX(checklistPesertaKemenkeu!$J$6:$J$1005,SMALL(IF(checklistPesertaKemenkeu!$AY$6:$AY$1005="Direkomendasikan",ROW($6:$1005)-5),437)),BidangList,0)),INDEX(checklistPesertaKemenkeu!$N$6:$N$1005,SMALL(IF(checklistPesertaKemenkeu!$AY$6:$AY$1005="Direkomendasikan",ROW($6:$1005)-5),437)))&gt;0,COUNTIF(INDIRECT("'KERTAS KERJA'!K"&amp;(SMALL(IF(checklistPesertaKemenkeu!$AY$6:$AY$1005="Direkomendasikan",ROW($6:$1005)-5),437)+5)&amp;":O"&amp;(SMALL(IF(checklistPesertaKemenkeu!$AY$6:$AY$1005="Direkomendasikan",ROW($6:$1005)-5),437)+5)),INDEX(checklistPesertaKemenkeu!$N$6:$N$1005,SMALL(IF(checklistPesertaKemenkeu!$AY$6:$AY$1005="Direkomendasikan",ROW($6:$1005)-5),437)))=1),IFERROR(VLOOKUP(INDEX(checklistPesertaKemenkeu!$N$6:$N$1005,SMALL(IF(checklistPesertaKemenkeu!$AY$6:$AY$1005="Direkomendasikan",ROW($6:$1005)-5),437)),KotaKode,2,0),"-"),"")),"")</f>
        <v/>
      </c>
      <c r="K438" t="str">
        <f t="array" aca="1" ref="K438" ca="1">IFERROR(IF(OR(INDEX(checklistPesertaKemenkeu!$O$6:$O$1005,SMALL(IF(checklistPesertaKemenkeu!$AY$6:$AY$1005="Direkomendasikan",ROW($6:$1005)-5),437))="",INDEX(checklistPesertaKemenkeu!$J$6:$J$1005,SMALL(IF(checklistPesertaKemenkeu!$AY$6:$AY$1005="Direkomendasikan",ROW($6:$1005)-5),437))=""),"",IF(AND(COUNTIF(INDIRECT("K_"&amp;MATCH(INDEX(checklistPesertaKemenkeu!$J$6:$J$1005,SMALL(IF(checklistPesertaKemenkeu!$AY$6:$AY$1005="Direkomendasikan",ROW($6:$1005)-5),437)),BidangList,0)),INDEX(checklistPesertaKemenkeu!$O$6:$O$1005,SMALL(IF(checklistPesertaKemenkeu!$AY$6:$AY$1005="Direkomendasikan",ROW($6:$1005)-5),437)))&gt;0,COUNTIF(INDIRECT("'KERTAS KERJA'!K"&amp;(SMALL(IF(checklistPesertaKemenkeu!$AY$6:$AY$1005="Direkomendasikan",ROW($6:$1005)-5),437)+5)&amp;":O"&amp;(SMALL(IF(checklistPesertaKemenkeu!$AY$6:$AY$1005="Direkomendasikan",ROW($6:$1005)-5),437)+5)),INDEX(checklistPesertaKemenkeu!$O$6:$O$1005,SMALL(IF(checklistPesertaKemenkeu!$AY$6:$AY$1005="Direkomendasikan",ROW($6:$1005)-5),437)))=1),IFERROR(VLOOKUP(INDEX(checklistPesertaKemenkeu!$O$6:$O$1005,SMALL(IF(checklistPesertaKemenkeu!$AY$6:$AY$1005="Direkomendasikan",ROW($6:$1005)-5),437)),KotaKode,2,0),"-"),"")),"")</f>
        <v/>
      </c>
      <c r="L438" t="str">
        <f t="array" aca="1" ref="L438" ca="1">IFERROR(IF(OR(INDEX(checklistPesertaKemenkeu!$P$6:$P$1005,SMALL(IF(checklistPesertaKemenkeu!$AY$6:$AY$1005="Direkomendasikan",ROW($6:$1005)-5),437))="",INDEX(checklistPesertaKemenkeu!$J$6:$J$1005,SMALL(IF(checklistPesertaKemenkeu!$AY$6:$AY$1005="Direkomendasikan",ROW($6:$1005)-5),437))=""),"",IF(AND(COUNTIF(INDIRECT("K_"&amp;MATCH(INDEX(checklistPesertaKemenkeu!$J$6:$J$1005,SMALL(IF(checklistPesertaKemenkeu!$AY$6:$AY$1005="Direkomendasikan",ROW($6:$1005)-5),437)),BidangList,0)),INDEX(checklistPesertaKemenkeu!$P$6:$P$1005,SMALL(IF(checklistPesertaKemenkeu!$AY$6:$AY$1005="Direkomendasikan",ROW($6:$1005)-5),437)))&gt;0,COUNTIF(INDIRECT("'KERTAS KERJA'!K"&amp;(SMALL(IF(checklistPesertaKemenkeu!$AY$6:$AY$1005="Direkomendasikan",ROW($6:$1005)-5),437)+5)&amp;":O"&amp;(SMALL(IF(checklistPesertaKemenkeu!$AY$6:$AY$1005="Direkomendasikan",ROW($6:$1005)-5),437)+5)),INDEX(checklistPesertaKemenkeu!$P$6:$P$1005,SMALL(IF(checklistPesertaKemenkeu!$AY$6:$AY$1005="Direkomendasikan",ROW($6:$1005)-5),437)))=1),IFERROR(VLOOKUP(INDEX(checklistPesertaKemenkeu!$P$6:$P$1005,SMALL(IF(checklistPesertaKemenkeu!$AY$6:$AY$1005="Direkomendasikan",ROW($6:$1005)-5),437)),KotaKode,2,0),"-"),"")),"")</f>
        <v/>
      </c>
    </row>
    <row r="439" spans="1:12" ht="15" customHeight="1" x14ac:dyDescent="0.2">
      <c r="A439" t="str">
        <f t="shared" si="6"/>
        <v/>
      </c>
      <c r="B439" t="str">
        <v/>
      </c>
      <c r="C439" s="40" t="str">
        <f t="array" ref="C439">IFERROR(INDEX(checklistPesertaKemenkeu!$F$6:$F$1005,SMALL(IF(checklistPesertaKemenkeu!$AY$6:$AY$1005="Direkomendasikan",ROW($6:$1005)-5),438)),"")</f>
        <v/>
      </c>
      <c r="D439" t="str">
        <f t="array" ref="D439">IFERROR(INDEX(checklistPesertaKemenkeu!$G$6:$G$1005,SMALL(IF(checklistPesertaKemenkeu!$AY$6:$AY$1005="Direkomendasikan",ROW($6:$1005)-5),438)),"")</f>
        <v/>
      </c>
      <c r="E439" t="str">
        <f t="array" ref="E439">IFERROR(INDEX(checklistPesertaKemenkeu!$H$6:$H$1005,SMALL(IF(checklistPesertaKemenkeu!$AY$6:$AY$1005="Direkomendasikan",ROW($6:$1005)-5),438)),"")</f>
        <v/>
      </c>
      <c r="F439" t="str">
        <f t="array" ref="F439">IFERROR(INDEX(checklistPesertaKemenkeu!$I$6:$I$1005,SMALL(IF(checklistPesertaKemenkeu!$AY$6:$AY$1005="Direkomendasikan",ROW($6:$1005)-5),438)),"")</f>
        <v/>
      </c>
      <c r="G439" t="str">
        <f t="array" ref="G439">IFERROR(INDEX(checklistPesertaKemenkeu!$J$6:$J$1005,SMALL(IF(checklistPesertaKemenkeu!$AY$6:$AY$1005="Direkomendasikan",ROW($6:$1005)-5),438)),"")</f>
        <v/>
      </c>
      <c r="H439" t="str">
        <f t="array" aca="1" ref="H439" ca="1">IFERROR(IF(OR(INDEX(checklistPesertaKemenkeu!$L$6:$L$1005,SMALL(IF(checklistPesertaKemenkeu!$AY$6:$AY$1005="Direkomendasikan",ROW($6:$1005)-5),438))="",INDEX(checklistPesertaKemenkeu!$J$6:$J$1005,SMALL(IF(checklistPesertaKemenkeu!$AY$6:$AY$1005="Direkomendasikan",ROW($6:$1005)-5),438))=""),"",IF(AND(COUNTIF(INDIRECT("K_"&amp;MATCH(INDEX(checklistPesertaKemenkeu!$J$6:$J$1005,SMALL(IF(checklistPesertaKemenkeu!$AY$6:$AY$1005="Direkomendasikan",ROW($6:$1005)-5),438)),BidangList,0)),INDEX(checklistPesertaKemenkeu!$L$6:$L$1005,SMALL(IF(checklistPesertaKemenkeu!$AY$6:$AY$1005="Direkomendasikan",ROW($6:$1005)-5),438)))&gt;0,COUNTIF(INDIRECT("'KERTAS KERJA'!K"&amp;(SMALL(IF(checklistPesertaKemenkeu!$AY$6:$AY$1005="Direkomendasikan",ROW($6:$1005)-5),438)+5)&amp;":O"&amp;(SMALL(IF(checklistPesertaKemenkeu!$AY$6:$AY$1005="Direkomendasikan",ROW($6:$1005)-5),438)+5)),INDEX(checklistPesertaKemenkeu!$L$6:$L$1005,SMALL(IF(checklistPesertaKemenkeu!$AY$6:$AY$1005="Direkomendasikan",ROW($6:$1005)-5),438)))=1),IFERROR(VLOOKUP(INDEX(checklistPesertaKemenkeu!$L$6:$L$1005,SMALL(IF(checklistPesertaKemenkeu!$AY$6:$AY$1005="Direkomendasikan",ROW($6:$1005)-5),438)),KotaKode,2,0),"-"),"")),"")</f>
        <v/>
      </c>
      <c r="I439" t="str">
        <f t="array" aca="1" ref="I439" ca="1">IFERROR(IF(OR(INDEX(checklistPesertaKemenkeu!$M$6:$M$1005,SMALL(IF(checklistPesertaKemenkeu!$AY$6:$AY$1005="Direkomendasikan",ROW($6:$1005)-5),438))="",INDEX(checklistPesertaKemenkeu!$J$6:$J$1005,SMALL(IF(checklistPesertaKemenkeu!$AY$6:$AY$1005="Direkomendasikan",ROW($6:$1005)-5),438))=""),"",IF(AND(COUNTIF(INDIRECT("K_"&amp;MATCH(INDEX(checklistPesertaKemenkeu!$J$6:$J$1005,SMALL(IF(checklistPesertaKemenkeu!$AY$6:$AY$1005="Direkomendasikan",ROW($6:$1005)-5),438)),BidangList,0)),INDEX(checklistPesertaKemenkeu!$M$6:$M$1005,SMALL(IF(checklistPesertaKemenkeu!$AY$6:$AY$1005="Direkomendasikan",ROW($6:$1005)-5),438)))&gt;0,COUNTIF(INDIRECT("'KERTAS KERJA'!K"&amp;(SMALL(IF(checklistPesertaKemenkeu!$AY$6:$AY$1005="Direkomendasikan",ROW($6:$1005)-5),438)+5)&amp;":O"&amp;(SMALL(IF(checklistPesertaKemenkeu!$AY$6:$AY$1005="Direkomendasikan",ROW($6:$1005)-5),438)+5)),INDEX(checklistPesertaKemenkeu!$M$6:$M$1005,SMALL(IF(checklistPesertaKemenkeu!$AY$6:$AY$1005="Direkomendasikan",ROW($6:$1005)-5),438)))=1),IFERROR(VLOOKUP(INDEX(checklistPesertaKemenkeu!$M$6:$M$1005,SMALL(IF(checklistPesertaKemenkeu!$AY$6:$AY$1005="Direkomendasikan",ROW($6:$1005)-5),438)),KotaKode,2,0),"-"),"")),"")</f>
        <v/>
      </c>
      <c r="J439" t="str">
        <f t="array" aca="1" ref="J439" ca="1">IFERROR(IF(OR(INDEX(checklistPesertaKemenkeu!$N$6:$N$1005,SMALL(IF(checklistPesertaKemenkeu!$AY$6:$AY$1005="Direkomendasikan",ROW($6:$1005)-5),438))="",INDEX(checklistPesertaKemenkeu!$J$6:$J$1005,SMALL(IF(checklistPesertaKemenkeu!$AY$6:$AY$1005="Direkomendasikan",ROW($6:$1005)-5),438))=""),"",IF(AND(COUNTIF(INDIRECT("K_"&amp;MATCH(INDEX(checklistPesertaKemenkeu!$J$6:$J$1005,SMALL(IF(checklistPesertaKemenkeu!$AY$6:$AY$1005="Direkomendasikan",ROW($6:$1005)-5),438)),BidangList,0)),INDEX(checklistPesertaKemenkeu!$N$6:$N$1005,SMALL(IF(checklistPesertaKemenkeu!$AY$6:$AY$1005="Direkomendasikan",ROW($6:$1005)-5),438)))&gt;0,COUNTIF(INDIRECT("'KERTAS KERJA'!K"&amp;(SMALL(IF(checklistPesertaKemenkeu!$AY$6:$AY$1005="Direkomendasikan",ROW($6:$1005)-5),438)+5)&amp;":O"&amp;(SMALL(IF(checklistPesertaKemenkeu!$AY$6:$AY$1005="Direkomendasikan",ROW($6:$1005)-5),438)+5)),INDEX(checklistPesertaKemenkeu!$N$6:$N$1005,SMALL(IF(checklistPesertaKemenkeu!$AY$6:$AY$1005="Direkomendasikan",ROW($6:$1005)-5),438)))=1),IFERROR(VLOOKUP(INDEX(checklistPesertaKemenkeu!$N$6:$N$1005,SMALL(IF(checklistPesertaKemenkeu!$AY$6:$AY$1005="Direkomendasikan",ROW($6:$1005)-5),438)),KotaKode,2,0),"-"),"")),"")</f>
        <v/>
      </c>
      <c r="K439" t="str">
        <f t="array" aca="1" ref="K439" ca="1">IFERROR(IF(OR(INDEX(checklistPesertaKemenkeu!$O$6:$O$1005,SMALL(IF(checklistPesertaKemenkeu!$AY$6:$AY$1005="Direkomendasikan",ROW($6:$1005)-5),438))="",INDEX(checklistPesertaKemenkeu!$J$6:$J$1005,SMALL(IF(checklistPesertaKemenkeu!$AY$6:$AY$1005="Direkomendasikan",ROW($6:$1005)-5),438))=""),"",IF(AND(COUNTIF(INDIRECT("K_"&amp;MATCH(INDEX(checklistPesertaKemenkeu!$J$6:$J$1005,SMALL(IF(checklistPesertaKemenkeu!$AY$6:$AY$1005="Direkomendasikan",ROW($6:$1005)-5),438)),BidangList,0)),INDEX(checklistPesertaKemenkeu!$O$6:$O$1005,SMALL(IF(checklistPesertaKemenkeu!$AY$6:$AY$1005="Direkomendasikan",ROW($6:$1005)-5),438)))&gt;0,COUNTIF(INDIRECT("'KERTAS KERJA'!K"&amp;(SMALL(IF(checklistPesertaKemenkeu!$AY$6:$AY$1005="Direkomendasikan",ROW($6:$1005)-5),438)+5)&amp;":O"&amp;(SMALL(IF(checklistPesertaKemenkeu!$AY$6:$AY$1005="Direkomendasikan",ROW($6:$1005)-5),438)+5)),INDEX(checklistPesertaKemenkeu!$O$6:$O$1005,SMALL(IF(checklistPesertaKemenkeu!$AY$6:$AY$1005="Direkomendasikan",ROW($6:$1005)-5),438)))=1),IFERROR(VLOOKUP(INDEX(checklistPesertaKemenkeu!$O$6:$O$1005,SMALL(IF(checklistPesertaKemenkeu!$AY$6:$AY$1005="Direkomendasikan",ROW($6:$1005)-5),438)),KotaKode,2,0),"-"),"")),"")</f>
        <v/>
      </c>
      <c r="L439" t="str">
        <f t="array" aca="1" ref="L439" ca="1">IFERROR(IF(OR(INDEX(checklistPesertaKemenkeu!$P$6:$P$1005,SMALL(IF(checklistPesertaKemenkeu!$AY$6:$AY$1005="Direkomendasikan",ROW($6:$1005)-5),438))="",INDEX(checklistPesertaKemenkeu!$J$6:$J$1005,SMALL(IF(checklistPesertaKemenkeu!$AY$6:$AY$1005="Direkomendasikan",ROW($6:$1005)-5),438))=""),"",IF(AND(COUNTIF(INDIRECT("K_"&amp;MATCH(INDEX(checklistPesertaKemenkeu!$J$6:$J$1005,SMALL(IF(checklistPesertaKemenkeu!$AY$6:$AY$1005="Direkomendasikan",ROW($6:$1005)-5),438)),BidangList,0)),INDEX(checklistPesertaKemenkeu!$P$6:$P$1005,SMALL(IF(checklistPesertaKemenkeu!$AY$6:$AY$1005="Direkomendasikan",ROW($6:$1005)-5),438)))&gt;0,COUNTIF(INDIRECT("'KERTAS KERJA'!K"&amp;(SMALL(IF(checklistPesertaKemenkeu!$AY$6:$AY$1005="Direkomendasikan",ROW($6:$1005)-5),438)+5)&amp;":O"&amp;(SMALL(IF(checklistPesertaKemenkeu!$AY$6:$AY$1005="Direkomendasikan",ROW($6:$1005)-5),438)+5)),INDEX(checklistPesertaKemenkeu!$P$6:$P$1005,SMALL(IF(checklistPesertaKemenkeu!$AY$6:$AY$1005="Direkomendasikan",ROW($6:$1005)-5),438)))=1),IFERROR(VLOOKUP(INDEX(checklistPesertaKemenkeu!$P$6:$P$1005,SMALL(IF(checklistPesertaKemenkeu!$AY$6:$AY$1005="Direkomendasikan",ROW($6:$1005)-5),438)),KotaKode,2,0),"-"),"")),"")</f>
        <v/>
      </c>
    </row>
    <row r="440" spans="1:12" ht="15" customHeight="1" x14ac:dyDescent="0.2">
      <c r="A440" t="str">
        <f t="shared" si="6"/>
        <v/>
      </c>
      <c r="B440" t="str">
        <v/>
      </c>
      <c r="C440" s="40" t="str">
        <f t="array" ref="C440">IFERROR(INDEX(checklistPesertaKemenkeu!$F$6:$F$1005,SMALL(IF(checklistPesertaKemenkeu!$AY$6:$AY$1005="Direkomendasikan",ROW($6:$1005)-5),439)),"")</f>
        <v/>
      </c>
      <c r="D440" t="str">
        <f t="array" ref="D440">IFERROR(INDEX(checklistPesertaKemenkeu!$G$6:$G$1005,SMALL(IF(checklistPesertaKemenkeu!$AY$6:$AY$1005="Direkomendasikan",ROW($6:$1005)-5),439)),"")</f>
        <v/>
      </c>
      <c r="E440" t="str">
        <f t="array" ref="E440">IFERROR(INDEX(checklistPesertaKemenkeu!$H$6:$H$1005,SMALL(IF(checklistPesertaKemenkeu!$AY$6:$AY$1005="Direkomendasikan",ROW($6:$1005)-5),439)),"")</f>
        <v/>
      </c>
      <c r="F440" t="str">
        <f t="array" ref="F440">IFERROR(INDEX(checklistPesertaKemenkeu!$I$6:$I$1005,SMALL(IF(checklistPesertaKemenkeu!$AY$6:$AY$1005="Direkomendasikan",ROW($6:$1005)-5),439)),"")</f>
        <v/>
      </c>
      <c r="G440" t="str">
        <f t="array" ref="G440">IFERROR(INDEX(checklistPesertaKemenkeu!$J$6:$J$1005,SMALL(IF(checklistPesertaKemenkeu!$AY$6:$AY$1005="Direkomendasikan",ROW($6:$1005)-5),439)),"")</f>
        <v/>
      </c>
      <c r="H440" t="str">
        <f t="array" aca="1" ref="H440" ca="1">IFERROR(IF(OR(INDEX(checklistPesertaKemenkeu!$L$6:$L$1005,SMALL(IF(checklistPesertaKemenkeu!$AY$6:$AY$1005="Direkomendasikan",ROW($6:$1005)-5),439))="",INDEX(checklistPesertaKemenkeu!$J$6:$J$1005,SMALL(IF(checklistPesertaKemenkeu!$AY$6:$AY$1005="Direkomendasikan",ROW($6:$1005)-5),439))=""),"",IF(AND(COUNTIF(INDIRECT("K_"&amp;MATCH(INDEX(checklistPesertaKemenkeu!$J$6:$J$1005,SMALL(IF(checklistPesertaKemenkeu!$AY$6:$AY$1005="Direkomendasikan",ROW($6:$1005)-5),439)),BidangList,0)),INDEX(checklistPesertaKemenkeu!$L$6:$L$1005,SMALL(IF(checklistPesertaKemenkeu!$AY$6:$AY$1005="Direkomendasikan",ROW($6:$1005)-5),439)))&gt;0,COUNTIF(INDIRECT("'KERTAS KERJA'!K"&amp;(SMALL(IF(checklistPesertaKemenkeu!$AY$6:$AY$1005="Direkomendasikan",ROW($6:$1005)-5),439)+5)&amp;":O"&amp;(SMALL(IF(checklistPesertaKemenkeu!$AY$6:$AY$1005="Direkomendasikan",ROW($6:$1005)-5),439)+5)),INDEX(checklistPesertaKemenkeu!$L$6:$L$1005,SMALL(IF(checklistPesertaKemenkeu!$AY$6:$AY$1005="Direkomendasikan",ROW($6:$1005)-5),439)))=1),IFERROR(VLOOKUP(INDEX(checklistPesertaKemenkeu!$L$6:$L$1005,SMALL(IF(checklistPesertaKemenkeu!$AY$6:$AY$1005="Direkomendasikan",ROW($6:$1005)-5),439)),KotaKode,2,0),"-"),"")),"")</f>
        <v/>
      </c>
      <c r="I440" t="str">
        <f t="array" aca="1" ref="I440" ca="1">IFERROR(IF(OR(INDEX(checklistPesertaKemenkeu!$M$6:$M$1005,SMALL(IF(checklistPesertaKemenkeu!$AY$6:$AY$1005="Direkomendasikan",ROW($6:$1005)-5),439))="",INDEX(checklistPesertaKemenkeu!$J$6:$J$1005,SMALL(IF(checklistPesertaKemenkeu!$AY$6:$AY$1005="Direkomendasikan",ROW($6:$1005)-5),439))=""),"",IF(AND(COUNTIF(INDIRECT("K_"&amp;MATCH(INDEX(checklistPesertaKemenkeu!$J$6:$J$1005,SMALL(IF(checklistPesertaKemenkeu!$AY$6:$AY$1005="Direkomendasikan",ROW($6:$1005)-5),439)),BidangList,0)),INDEX(checklistPesertaKemenkeu!$M$6:$M$1005,SMALL(IF(checklistPesertaKemenkeu!$AY$6:$AY$1005="Direkomendasikan",ROW($6:$1005)-5),439)))&gt;0,COUNTIF(INDIRECT("'KERTAS KERJA'!K"&amp;(SMALL(IF(checklistPesertaKemenkeu!$AY$6:$AY$1005="Direkomendasikan",ROW($6:$1005)-5),439)+5)&amp;":O"&amp;(SMALL(IF(checklistPesertaKemenkeu!$AY$6:$AY$1005="Direkomendasikan",ROW($6:$1005)-5),439)+5)),INDEX(checklistPesertaKemenkeu!$M$6:$M$1005,SMALL(IF(checklistPesertaKemenkeu!$AY$6:$AY$1005="Direkomendasikan",ROW($6:$1005)-5),439)))=1),IFERROR(VLOOKUP(INDEX(checklistPesertaKemenkeu!$M$6:$M$1005,SMALL(IF(checklistPesertaKemenkeu!$AY$6:$AY$1005="Direkomendasikan",ROW($6:$1005)-5),439)),KotaKode,2,0),"-"),"")),"")</f>
        <v/>
      </c>
      <c r="J440" t="str">
        <f t="array" aca="1" ref="J440" ca="1">IFERROR(IF(OR(INDEX(checklistPesertaKemenkeu!$N$6:$N$1005,SMALL(IF(checklistPesertaKemenkeu!$AY$6:$AY$1005="Direkomendasikan",ROW($6:$1005)-5),439))="",INDEX(checklistPesertaKemenkeu!$J$6:$J$1005,SMALL(IF(checklistPesertaKemenkeu!$AY$6:$AY$1005="Direkomendasikan",ROW($6:$1005)-5),439))=""),"",IF(AND(COUNTIF(INDIRECT("K_"&amp;MATCH(INDEX(checklistPesertaKemenkeu!$J$6:$J$1005,SMALL(IF(checklistPesertaKemenkeu!$AY$6:$AY$1005="Direkomendasikan",ROW($6:$1005)-5),439)),BidangList,0)),INDEX(checklistPesertaKemenkeu!$N$6:$N$1005,SMALL(IF(checklistPesertaKemenkeu!$AY$6:$AY$1005="Direkomendasikan",ROW($6:$1005)-5),439)))&gt;0,COUNTIF(INDIRECT("'KERTAS KERJA'!K"&amp;(SMALL(IF(checklistPesertaKemenkeu!$AY$6:$AY$1005="Direkomendasikan",ROW($6:$1005)-5),439)+5)&amp;":O"&amp;(SMALL(IF(checklistPesertaKemenkeu!$AY$6:$AY$1005="Direkomendasikan",ROW($6:$1005)-5),439)+5)),INDEX(checklistPesertaKemenkeu!$N$6:$N$1005,SMALL(IF(checklistPesertaKemenkeu!$AY$6:$AY$1005="Direkomendasikan",ROW($6:$1005)-5),439)))=1),IFERROR(VLOOKUP(INDEX(checklistPesertaKemenkeu!$N$6:$N$1005,SMALL(IF(checklistPesertaKemenkeu!$AY$6:$AY$1005="Direkomendasikan",ROW($6:$1005)-5),439)),KotaKode,2,0),"-"),"")),"")</f>
        <v/>
      </c>
      <c r="K440" t="str">
        <f t="array" aca="1" ref="K440" ca="1">IFERROR(IF(OR(INDEX(checklistPesertaKemenkeu!$O$6:$O$1005,SMALL(IF(checklistPesertaKemenkeu!$AY$6:$AY$1005="Direkomendasikan",ROW($6:$1005)-5),439))="",INDEX(checklistPesertaKemenkeu!$J$6:$J$1005,SMALL(IF(checklistPesertaKemenkeu!$AY$6:$AY$1005="Direkomendasikan",ROW($6:$1005)-5),439))=""),"",IF(AND(COUNTIF(INDIRECT("K_"&amp;MATCH(INDEX(checklistPesertaKemenkeu!$J$6:$J$1005,SMALL(IF(checklistPesertaKemenkeu!$AY$6:$AY$1005="Direkomendasikan",ROW($6:$1005)-5),439)),BidangList,0)),INDEX(checklistPesertaKemenkeu!$O$6:$O$1005,SMALL(IF(checklistPesertaKemenkeu!$AY$6:$AY$1005="Direkomendasikan",ROW($6:$1005)-5),439)))&gt;0,COUNTIF(INDIRECT("'KERTAS KERJA'!K"&amp;(SMALL(IF(checklistPesertaKemenkeu!$AY$6:$AY$1005="Direkomendasikan",ROW($6:$1005)-5),439)+5)&amp;":O"&amp;(SMALL(IF(checklistPesertaKemenkeu!$AY$6:$AY$1005="Direkomendasikan",ROW($6:$1005)-5),439)+5)),INDEX(checklistPesertaKemenkeu!$O$6:$O$1005,SMALL(IF(checklistPesertaKemenkeu!$AY$6:$AY$1005="Direkomendasikan",ROW($6:$1005)-5),439)))=1),IFERROR(VLOOKUP(INDEX(checklistPesertaKemenkeu!$O$6:$O$1005,SMALL(IF(checklistPesertaKemenkeu!$AY$6:$AY$1005="Direkomendasikan",ROW($6:$1005)-5),439)),KotaKode,2,0),"-"),"")),"")</f>
        <v/>
      </c>
      <c r="L440" t="str">
        <f t="array" aca="1" ref="L440" ca="1">IFERROR(IF(OR(INDEX(checklistPesertaKemenkeu!$P$6:$P$1005,SMALL(IF(checklistPesertaKemenkeu!$AY$6:$AY$1005="Direkomendasikan",ROW($6:$1005)-5),439))="",INDEX(checklistPesertaKemenkeu!$J$6:$J$1005,SMALL(IF(checklistPesertaKemenkeu!$AY$6:$AY$1005="Direkomendasikan",ROW($6:$1005)-5),439))=""),"",IF(AND(COUNTIF(INDIRECT("K_"&amp;MATCH(INDEX(checklistPesertaKemenkeu!$J$6:$J$1005,SMALL(IF(checklistPesertaKemenkeu!$AY$6:$AY$1005="Direkomendasikan",ROW($6:$1005)-5),439)),BidangList,0)),INDEX(checklistPesertaKemenkeu!$P$6:$P$1005,SMALL(IF(checklistPesertaKemenkeu!$AY$6:$AY$1005="Direkomendasikan",ROW($6:$1005)-5),439)))&gt;0,COUNTIF(INDIRECT("'KERTAS KERJA'!K"&amp;(SMALL(IF(checklistPesertaKemenkeu!$AY$6:$AY$1005="Direkomendasikan",ROW($6:$1005)-5),439)+5)&amp;":O"&amp;(SMALL(IF(checklistPesertaKemenkeu!$AY$6:$AY$1005="Direkomendasikan",ROW($6:$1005)-5),439)+5)),INDEX(checklistPesertaKemenkeu!$P$6:$P$1005,SMALL(IF(checklistPesertaKemenkeu!$AY$6:$AY$1005="Direkomendasikan",ROW($6:$1005)-5),439)))=1),IFERROR(VLOOKUP(INDEX(checklistPesertaKemenkeu!$P$6:$P$1005,SMALL(IF(checklistPesertaKemenkeu!$AY$6:$AY$1005="Direkomendasikan",ROW($6:$1005)-5),439)),KotaKode,2,0),"-"),"")),"")</f>
        <v/>
      </c>
    </row>
    <row r="441" spans="1:12" ht="15" customHeight="1" x14ac:dyDescent="0.2">
      <c r="A441" t="str">
        <f t="shared" si="6"/>
        <v/>
      </c>
      <c r="B441" t="str">
        <v/>
      </c>
      <c r="C441" s="40" t="str">
        <f t="array" ref="C441">IFERROR(INDEX(checklistPesertaKemenkeu!$F$6:$F$1005,SMALL(IF(checklistPesertaKemenkeu!$AY$6:$AY$1005="Direkomendasikan",ROW($6:$1005)-5),440)),"")</f>
        <v/>
      </c>
      <c r="D441" t="str">
        <f t="array" ref="D441">IFERROR(INDEX(checklistPesertaKemenkeu!$G$6:$G$1005,SMALL(IF(checklistPesertaKemenkeu!$AY$6:$AY$1005="Direkomendasikan",ROW($6:$1005)-5),440)),"")</f>
        <v/>
      </c>
      <c r="E441" t="str">
        <f t="array" ref="E441">IFERROR(INDEX(checklistPesertaKemenkeu!$H$6:$H$1005,SMALL(IF(checklistPesertaKemenkeu!$AY$6:$AY$1005="Direkomendasikan",ROW($6:$1005)-5),440)),"")</f>
        <v/>
      </c>
      <c r="F441" t="str">
        <f t="array" ref="F441">IFERROR(INDEX(checklistPesertaKemenkeu!$I$6:$I$1005,SMALL(IF(checklistPesertaKemenkeu!$AY$6:$AY$1005="Direkomendasikan",ROW($6:$1005)-5),440)),"")</f>
        <v/>
      </c>
      <c r="G441" t="str">
        <f t="array" ref="G441">IFERROR(INDEX(checklistPesertaKemenkeu!$J$6:$J$1005,SMALL(IF(checklistPesertaKemenkeu!$AY$6:$AY$1005="Direkomendasikan",ROW($6:$1005)-5),440)),"")</f>
        <v/>
      </c>
      <c r="H441" t="str">
        <f t="array" aca="1" ref="H441" ca="1">IFERROR(IF(OR(INDEX(checklistPesertaKemenkeu!$L$6:$L$1005,SMALL(IF(checklistPesertaKemenkeu!$AY$6:$AY$1005="Direkomendasikan",ROW($6:$1005)-5),440))="",INDEX(checklistPesertaKemenkeu!$J$6:$J$1005,SMALL(IF(checklistPesertaKemenkeu!$AY$6:$AY$1005="Direkomendasikan",ROW($6:$1005)-5),440))=""),"",IF(AND(COUNTIF(INDIRECT("K_"&amp;MATCH(INDEX(checklistPesertaKemenkeu!$J$6:$J$1005,SMALL(IF(checklistPesertaKemenkeu!$AY$6:$AY$1005="Direkomendasikan",ROW($6:$1005)-5),440)),BidangList,0)),INDEX(checklistPesertaKemenkeu!$L$6:$L$1005,SMALL(IF(checklistPesertaKemenkeu!$AY$6:$AY$1005="Direkomendasikan",ROW($6:$1005)-5),440)))&gt;0,COUNTIF(INDIRECT("'KERTAS KERJA'!K"&amp;(SMALL(IF(checklistPesertaKemenkeu!$AY$6:$AY$1005="Direkomendasikan",ROW($6:$1005)-5),440)+5)&amp;":O"&amp;(SMALL(IF(checklistPesertaKemenkeu!$AY$6:$AY$1005="Direkomendasikan",ROW($6:$1005)-5),440)+5)),INDEX(checklistPesertaKemenkeu!$L$6:$L$1005,SMALL(IF(checklistPesertaKemenkeu!$AY$6:$AY$1005="Direkomendasikan",ROW($6:$1005)-5),440)))=1),IFERROR(VLOOKUP(INDEX(checklistPesertaKemenkeu!$L$6:$L$1005,SMALL(IF(checklistPesertaKemenkeu!$AY$6:$AY$1005="Direkomendasikan",ROW($6:$1005)-5),440)),KotaKode,2,0),"-"),"")),"")</f>
        <v/>
      </c>
      <c r="I441" t="str">
        <f t="array" aca="1" ref="I441" ca="1">IFERROR(IF(OR(INDEX(checklistPesertaKemenkeu!$M$6:$M$1005,SMALL(IF(checklistPesertaKemenkeu!$AY$6:$AY$1005="Direkomendasikan",ROW($6:$1005)-5),440))="",INDEX(checklistPesertaKemenkeu!$J$6:$J$1005,SMALL(IF(checklistPesertaKemenkeu!$AY$6:$AY$1005="Direkomendasikan",ROW($6:$1005)-5),440))=""),"",IF(AND(COUNTIF(INDIRECT("K_"&amp;MATCH(INDEX(checklistPesertaKemenkeu!$J$6:$J$1005,SMALL(IF(checklistPesertaKemenkeu!$AY$6:$AY$1005="Direkomendasikan",ROW($6:$1005)-5),440)),BidangList,0)),INDEX(checklistPesertaKemenkeu!$M$6:$M$1005,SMALL(IF(checklistPesertaKemenkeu!$AY$6:$AY$1005="Direkomendasikan",ROW($6:$1005)-5),440)))&gt;0,COUNTIF(INDIRECT("'KERTAS KERJA'!K"&amp;(SMALL(IF(checklistPesertaKemenkeu!$AY$6:$AY$1005="Direkomendasikan",ROW($6:$1005)-5),440)+5)&amp;":O"&amp;(SMALL(IF(checklistPesertaKemenkeu!$AY$6:$AY$1005="Direkomendasikan",ROW($6:$1005)-5),440)+5)),INDEX(checklistPesertaKemenkeu!$M$6:$M$1005,SMALL(IF(checklistPesertaKemenkeu!$AY$6:$AY$1005="Direkomendasikan",ROW($6:$1005)-5),440)))=1),IFERROR(VLOOKUP(INDEX(checklistPesertaKemenkeu!$M$6:$M$1005,SMALL(IF(checklistPesertaKemenkeu!$AY$6:$AY$1005="Direkomendasikan",ROW($6:$1005)-5),440)),KotaKode,2,0),"-"),"")),"")</f>
        <v/>
      </c>
      <c r="J441" t="str">
        <f t="array" aca="1" ref="J441" ca="1">IFERROR(IF(OR(INDEX(checklistPesertaKemenkeu!$N$6:$N$1005,SMALL(IF(checklistPesertaKemenkeu!$AY$6:$AY$1005="Direkomendasikan",ROW($6:$1005)-5),440))="",INDEX(checklistPesertaKemenkeu!$J$6:$J$1005,SMALL(IF(checklistPesertaKemenkeu!$AY$6:$AY$1005="Direkomendasikan",ROW($6:$1005)-5),440))=""),"",IF(AND(COUNTIF(INDIRECT("K_"&amp;MATCH(INDEX(checklistPesertaKemenkeu!$J$6:$J$1005,SMALL(IF(checklistPesertaKemenkeu!$AY$6:$AY$1005="Direkomendasikan",ROW($6:$1005)-5),440)),BidangList,0)),INDEX(checklistPesertaKemenkeu!$N$6:$N$1005,SMALL(IF(checklistPesertaKemenkeu!$AY$6:$AY$1005="Direkomendasikan",ROW($6:$1005)-5),440)))&gt;0,COUNTIF(INDIRECT("'KERTAS KERJA'!K"&amp;(SMALL(IF(checklistPesertaKemenkeu!$AY$6:$AY$1005="Direkomendasikan",ROW($6:$1005)-5),440)+5)&amp;":O"&amp;(SMALL(IF(checklistPesertaKemenkeu!$AY$6:$AY$1005="Direkomendasikan",ROW($6:$1005)-5),440)+5)),INDEX(checklistPesertaKemenkeu!$N$6:$N$1005,SMALL(IF(checklistPesertaKemenkeu!$AY$6:$AY$1005="Direkomendasikan",ROW($6:$1005)-5),440)))=1),IFERROR(VLOOKUP(INDEX(checklistPesertaKemenkeu!$N$6:$N$1005,SMALL(IF(checklistPesertaKemenkeu!$AY$6:$AY$1005="Direkomendasikan",ROW($6:$1005)-5),440)),KotaKode,2,0),"-"),"")),"")</f>
        <v/>
      </c>
      <c r="K441" t="str">
        <f t="array" aca="1" ref="K441" ca="1">IFERROR(IF(OR(INDEX(checklistPesertaKemenkeu!$O$6:$O$1005,SMALL(IF(checklistPesertaKemenkeu!$AY$6:$AY$1005="Direkomendasikan",ROW($6:$1005)-5),440))="",INDEX(checklistPesertaKemenkeu!$J$6:$J$1005,SMALL(IF(checklistPesertaKemenkeu!$AY$6:$AY$1005="Direkomendasikan",ROW($6:$1005)-5),440))=""),"",IF(AND(COUNTIF(INDIRECT("K_"&amp;MATCH(INDEX(checklistPesertaKemenkeu!$J$6:$J$1005,SMALL(IF(checklistPesertaKemenkeu!$AY$6:$AY$1005="Direkomendasikan",ROW($6:$1005)-5),440)),BidangList,0)),INDEX(checklistPesertaKemenkeu!$O$6:$O$1005,SMALL(IF(checklistPesertaKemenkeu!$AY$6:$AY$1005="Direkomendasikan",ROW($6:$1005)-5),440)))&gt;0,COUNTIF(INDIRECT("'KERTAS KERJA'!K"&amp;(SMALL(IF(checklistPesertaKemenkeu!$AY$6:$AY$1005="Direkomendasikan",ROW($6:$1005)-5),440)+5)&amp;":O"&amp;(SMALL(IF(checklistPesertaKemenkeu!$AY$6:$AY$1005="Direkomendasikan",ROW($6:$1005)-5),440)+5)),INDEX(checklistPesertaKemenkeu!$O$6:$O$1005,SMALL(IF(checklistPesertaKemenkeu!$AY$6:$AY$1005="Direkomendasikan",ROW($6:$1005)-5),440)))=1),IFERROR(VLOOKUP(INDEX(checklistPesertaKemenkeu!$O$6:$O$1005,SMALL(IF(checklistPesertaKemenkeu!$AY$6:$AY$1005="Direkomendasikan",ROW($6:$1005)-5),440)),KotaKode,2,0),"-"),"")),"")</f>
        <v/>
      </c>
      <c r="L441" t="str">
        <f t="array" aca="1" ref="L441" ca="1">IFERROR(IF(OR(INDEX(checklistPesertaKemenkeu!$P$6:$P$1005,SMALL(IF(checklistPesertaKemenkeu!$AY$6:$AY$1005="Direkomendasikan",ROW($6:$1005)-5),440))="",INDEX(checklistPesertaKemenkeu!$J$6:$J$1005,SMALL(IF(checklistPesertaKemenkeu!$AY$6:$AY$1005="Direkomendasikan",ROW($6:$1005)-5),440))=""),"",IF(AND(COUNTIF(INDIRECT("K_"&amp;MATCH(INDEX(checklistPesertaKemenkeu!$J$6:$J$1005,SMALL(IF(checklistPesertaKemenkeu!$AY$6:$AY$1005="Direkomendasikan",ROW($6:$1005)-5),440)),BidangList,0)),INDEX(checklistPesertaKemenkeu!$P$6:$P$1005,SMALL(IF(checklistPesertaKemenkeu!$AY$6:$AY$1005="Direkomendasikan",ROW($6:$1005)-5),440)))&gt;0,COUNTIF(INDIRECT("'KERTAS KERJA'!K"&amp;(SMALL(IF(checklistPesertaKemenkeu!$AY$6:$AY$1005="Direkomendasikan",ROW($6:$1005)-5),440)+5)&amp;":O"&amp;(SMALL(IF(checklistPesertaKemenkeu!$AY$6:$AY$1005="Direkomendasikan",ROW($6:$1005)-5),440)+5)),INDEX(checklistPesertaKemenkeu!$P$6:$P$1005,SMALL(IF(checklistPesertaKemenkeu!$AY$6:$AY$1005="Direkomendasikan",ROW($6:$1005)-5),440)))=1),IFERROR(VLOOKUP(INDEX(checklistPesertaKemenkeu!$P$6:$P$1005,SMALL(IF(checklistPesertaKemenkeu!$AY$6:$AY$1005="Direkomendasikan",ROW($6:$1005)-5),440)),KotaKode,2,0),"-"),"")),"")</f>
        <v/>
      </c>
    </row>
    <row r="442" spans="1:12" ht="15" customHeight="1" x14ac:dyDescent="0.2">
      <c r="A442" t="str">
        <f t="shared" si="6"/>
        <v/>
      </c>
      <c r="B442" t="str">
        <v/>
      </c>
      <c r="C442" s="40" t="str">
        <f t="array" ref="C442">IFERROR(INDEX(checklistPesertaKemenkeu!$F$6:$F$1005,SMALL(IF(checklistPesertaKemenkeu!$AY$6:$AY$1005="Direkomendasikan",ROW($6:$1005)-5),441)),"")</f>
        <v/>
      </c>
      <c r="D442" t="str">
        <f t="array" ref="D442">IFERROR(INDEX(checklistPesertaKemenkeu!$G$6:$G$1005,SMALL(IF(checklistPesertaKemenkeu!$AY$6:$AY$1005="Direkomendasikan",ROW($6:$1005)-5),441)),"")</f>
        <v/>
      </c>
      <c r="E442" t="str">
        <f t="array" ref="E442">IFERROR(INDEX(checklistPesertaKemenkeu!$H$6:$H$1005,SMALL(IF(checklistPesertaKemenkeu!$AY$6:$AY$1005="Direkomendasikan",ROW($6:$1005)-5),441)),"")</f>
        <v/>
      </c>
      <c r="F442" t="str">
        <f t="array" ref="F442">IFERROR(INDEX(checklistPesertaKemenkeu!$I$6:$I$1005,SMALL(IF(checklistPesertaKemenkeu!$AY$6:$AY$1005="Direkomendasikan",ROW($6:$1005)-5),441)),"")</f>
        <v/>
      </c>
      <c r="G442" t="str">
        <f t="array" ref="G442">IFERROR(INDEX(checklistPesertaKemenkeu!$J$6:$J$1005,SMALL(IF(checklistPesertaKemenkeu!$AY$6:$AY$1005="Direkomendasikan",ROW($6:$1005)-5),441)),"")</f>
        <v/>
      </c>
      <c r="H442" t="str">
        <f t="array" aca="1" ref="H442" ca="1">IFERROR(IF(OR(INDEX(checklistPesertaKemenkeu!$L$6:$L$1005,SMALL(IF(checklistPesertaKemenkeu!$AY$6:$AY$1005="Direkomendasikan",ROW($6:$1005)-5),441))="",INDEX(checklistPesertaKemenkeu!$J$6:$J$1005,SMALL(IF(checklistPesertaKemenkeu!$AY$6:$AY$1005="Direkomendasikan",ROW($6:$1005)-5),441))=""),"",IF(AND(COUNTIF(INDIRECT("K_"&amp;MATCH(INDEX(checklistPesertaKemenkeu!$J$6:$J$1005,SMALL(IF(checklistPesertaKemenkeu!$AY$6:$AY$1005="Direkomendasikan",ROW($6:$1005)-5),441)),BidangList,0)),INDEX(checklistPesertaKemenkeu!$L$6:$L$1005,SMALL(IF(checklistPesertaKemenkeu!$AY$6:$AY$1005="Direkomendasikan",ROW($6:$1005)-5),441)))&gt;0,COUNTIF(INDIRECT("'KERTAS KERJA'!K"&amp;(SMALL(IF(checklistPesertaKemenkeu!$AY$6:$AY$1005="Direkomendasikan",ROW($6:$1005)-5),441)+5)&amp;":O"&amp;(SMALL(IF(checklistPesertaKemenkeu!$AY$6:$AY$1005="Direkomendasikan",ROW($6:$1005)-5),441)+5)),INDEX(checklistPesertaKemenkeu!$L$6:$L$1005,SMALL(IF(checklistPesertaKemenkeu!$AY$6:$AY$1005="Direkomendasikan",ROW($6:$1005)-5),441)))=1),IFERROR(VLOOKUP(INDEX(checklistPesertaKemenkeu!$L$6:$L$1005,SMALL(IF(checklistPesertaKemenkeu!$AY$6:$AY$1005="Direkomendasikan",ROW($6:$1005)-5),441)),KotaKode,2,0),"-"),"")),"")</f>
        <v/>
      </c>
      <c r="I442" t="str">
        <f t="array" aca="1" ref="I442" ca="1">IFERROR(IF(OR(INDEX(checklistPesertaKemenkeu!$M$6:$M$1005,SMALL(IF(checklistPesertaKemenkeu!$AY$6:$AY$1005="Direkomendasikan",ROW($6:$1005)-5),441))="",INDEX(checklistPesertaKemenkeu!$J$6:$J$1005,SMALL(IF(checklistPesertaKemenkeu!$AY$6:$AY$1005="Direkomendasikan",ROW($6:$1005)-5),441))=""),"",IF(AND(COUNTIF(INDIRECT("K_"&amp;MATCH(INDEX(checklistPesertaKemenkeu!$J$6:$J$1005,SMALL(IF(checklistPesertaKemenkeu!$AY$6:$AY$1005="Direkomendasikan",ROW($6:$1005)-5),441)),BidangList,0)),INDEX(checklistPesertaKemenkeu!$M$6:$M$1005,SMALL(IF(checklistPesertaKemenkeu!$AY$6:$AY$1005="Direkomendasikan",ROW($6:$1005)-5),441)))&gt;0,COUNTIF(INDIRECT("'KERTAS KERJA'!K"&amp;(SMALL(IF(checklistPesertaKemenkeu!$AY$6:$AY$1005="Direkomendasikan",ROW($6:$1005)-5),441)+5)&amp;":O"&amp;(SMALL(IF(checklistPesertaKemenkeu!$AY$6:$AY$1005="Direkomendasikan",ROW($6:$1005)-5),441)+5)),INDEX(checklistPesertaKemenkeu!$M$6:$M$1005,SMALL(IF(checklistPesertaKemenkeu!$AY$6:$AY$1005="Direkomendasikan",ROW($6:$1005)-5),441)))=1),IFERROR(VLOOKUP(INDEX(checklistPesertaKemenkeu!$M$6:$M$1005,SMALL(IF(checklistPesertaKemenkeu!$AY$6:$AY$1005="Direkomendasikan",ROW($6:$1005)-5),441)),KotaKode,2,0),"-"),"")),"")</f>
        <v/>
      </c>
      <c r="J442" t="str">
        <f t="array" aca="1" ref="J442" ca="1">IFERROR(IF(OR(INDEX(checklistPesertaKemenkeu!$N$6:$N$1005,SMALL(IF(checklistPesertaKemenkeu!$AY$6:$AY$1005="Direkomendasikan",ROW($6:$1005)-5),441))="",INDEX(checklistPesertaKemenkeu!$J$6:$J$1005,SMALL(IF(checklistPesertaKemenkeu!$AY$6:$AY$1005="Direkomendasikan",ROW($6:$1005)-5),441))=""),"",IF(AND(COUNTIF(INDIRECT("K_"&amp;MATCH(INDEX(checklistPesertaKemenkeu!$J$6:$J$1005,SMALL(IF(checklistPesertaKemenkeu!$AY$6:$AY$1005="Direkomendasikan",ROW($6:$1005)-5),441)),BidangList,0)),INDEX(checklistPesertaKemenkeu!$N$6:$N$1005,SMALL(IF(checklistPesertaKemenkeu!$AY$6:$AY$1005="Direkomendasikan",ROW($6:$1005)-5),441)))&gt;0,COUNTIF(INDIRECT("'KERTAS KERJA'!K"&amp;(SMALL(IF(checklistPesertaKemenkeu!$AY$6:$AY$1005="Direkomendasikan",ROW($6:$1005)-5),441)+5)&amp;":O"&amp;(SMALL(IF(checklistPesertaKemenkeu!$AY$6:$AY$1005="Direkomendasikan",ROW($6:$1005)-5),441)+5)),INDEX(checklistPesertaKemenkeu!$N$6:$N$1005,SMALL(IF(checklistPesertaKemenkeu!$AY$6:$AY$1005="Direkomendasikan",ROW($6:$1005)-5),441)))=1),IFERROR(VLOOKUP(INDEX(checklistPesertaKemenkeu!$N$6:$N$1005,SMALL(IF(checklistPesertaKemenkeu!$AY$6:$AY$1005="Direkomendasikan",ROW($6:$1005)-5),441)),KotaKode,2,0),"-"),"")),"")</f>
        <v/>
      </c>
      <c r="K442" t="str">
        <f t="array" aca="1" ref="K442" ca="1">IFERROR(IF(OR(INDEX(checklistPesertaKemenkeu!$O$6:$O$1005,SMALL(IF(checklistPesertaKemenkeu!$AY$6:$AY$1005="Direkomendasikan",ROW($6:$1005)-5),441))="",INDEX(checklistPesertaKemenkeu!$J$6:$J$1005,SMALL(IF(checklistPesertaKemenkeu!$AY$6:$AY$1005="Direkomendasikan",ROW($6:$1005)-5),441))=""),"",IF(AND(COUNTIF(INDIRECT("K_"&amp;MATCH(INDEX(checklistPesertaKemenkeu!$J$6:$J$1005,SMALL(IF(checklistPesertaKemenkeu!$AY$6:$AY$1005="Direkomendasikan",ROW($6:$1005)-5),441)),BidangList,0)),INDEX(checklistPesertaKemenkeu!$O$6:$O$1005,SMALL(IF(checklistPesertaKemenkeu!$AY$6:$AY$1005="Direkomendasikan",ROW($6:$1005)-5),441)))&gt;0,COUNTIF(INDIRECT("'KERTAS KERJA'!K"&amp;(SMALL(IF(checklistPesertaKemenkeu!$AY$6:$AY$1005="Direkomendasikan",ROW($6:$1005)-5),441)+5)&amp;":O"&amp;(SMALL(IF(checklistPesertaKemenkeu!$AY$6:$AY$1005="Direkomendasikan",ROW($6:$1005)-5),441)+5)),INDEX(checklistPesertaKemenkeu!$O$6:$O$1005,SMALL(IF(checklistPesertaKemenkeu!$AY$6:$AY$1005="Direkomendasikan",ROW($6:$1005)-5),441)))=1),IFERROR(VLOOKUP(INDEX(checklistPesertaKemenkeu!$O$6:$O$1005,SMALL(IF(checklistPesertaKemenkeu!$AY$6:$AY$1005="Direkomendasikan",ROW($6:$1005)-5),441)),KotaKode,2,0),"-"),"")),"")</f>
        <v/>
      </c>
      <c r="L442" t="str">
        <f t="array" aca="1" ref="L442" ca="1">IFERROR(IF(OR(INDEX(checklistPesertaKemenkeu!$P$6:$P$1005,SMALL(IF(checklistPesertaKemenkeu!$AY$6:$AY$1005="Direkomendasikan",ROW($6:$1005)-5),441))="",INDEX(checklistPesertaKemenkeu!$J$6:$J$1005,SMALL(IF(checklistPesertaKemenkeu!$AY$6:$AY$1005="Direkomendasikan",ROW($6:$1005)-5),441))=""),"",IF(AND(COUNTIF(INDIRECT("K_"&amp;MATCH(INDEX(checklistPesertaKemenkeu!$J$6:$J$1005,SMALL(IF(checklistPesertaKemenkeu!$AY$6:$AY$1005="Direkomendasikan",ROW($6:$1005)-5),441)),BidangList,0)),INDEX(checklistPesertaKemenkeu!$P$6:$P$1005,SMALL(IF(checklistPesertaKemenkeu!$AY$6:$AY$1005="Direkomendasikan",ROW($6:$1005)-5),441)))&gt;0,COUNTIF(INDIRECT("'KERTAS KERJA'!K"&amp;(SMALL(IF(checklistPesertaKemenkeu!$AY$6:$AY$1005="Direkomendasikan",ROW($6:$1005)-5),441)+5)&amp;":O"&amp;(SMALL(IF(checklistPesertaKemenkeu!$AY$6:$AY$1005="Direkomendasikan",ROW($6:$1005)-5),441)+5)),INDEX(checklistPesertaKemenkeu!$P$6:$P$1005,SMALL(IF(checklistPesertaKemenkeu!$AY$6:$AY$1005="Direkomendasikan",ROW($6:$1005)-5),441)))=1),IFERROR(VLOOKUP(INDEX(checklistPesertaKemenkeu!$P$6:$P$1005,SMALL(IF(checklistPesertaKemenkeu!$AY$6:$AY$1005="Direkomendasikan",ROW($6:$1005)-5),441)),KotaKode,2,0),"-"),"")),"")</f>
        <v/>
      </c>
    </row>
    <row r="443" spans="1:12" ht="15" customHeight="1" x14ac:dyDescent="0.2">
      <c r="A443" t="str">
        <f t="shared" si="6"/>
        <v/>
      </c>
      <c r="B443" t="str">
        <v/>
      </c>
      <c r="C443" s="40" t="str">
        <f t="array" ref="C443">IFERROR(INDEX(checklistPesertaKemenkeu!$F$6:$F$1005,SMALL(IF(checklistPesertaKemenkeu!$AY$6:$AY$1005="Direkomendasikan",ROW($6:$1005)-5),442)),"")</f>
        <v/>
      </c>
      <c r="D443" t="str">
        <f t="array" ref="D443">IFERROR(INDEX(checklistPesertaKemenkeu!$G$6:$G$1005,SMALL(IF(checklistPesertaKemenkeu!$AY$6:$AY$1005="Direkomendasikan",ROW($6:$1005)-5),442)),"")</f>
        <v/>
      </c>
      <c r="E443" t="str">
        <f t="array" ref="E443">IFERROR(INDEX(checklistPesertaKemenkeu!$H$6:$H$1005,SMALL(IF(checklistPesertaKemenkeu!$AY$6:$AY$1005="Direkomendasikan",ROW($6:$1005)-5),442)),"")</f>
        <v/>
      </c>
      <c r="F443" t="str">
        <f t="array" ref="F443">IFERROR(INDEX(checklistPesertaKemenkeu!$I$6:$I$1005,SMALL(IF(checklistPesertaKemenkeu!$AY$6:$AY$1005="Direkomendasikan",ROW($6:$1005)-5),442)),"")</f>
        <v/>
      </c>
      <c r="G443" t="str">
        <f t="array" ref="G443">IFERROR(INDEX(checklistPesertaKemenkeu!$J$6:$J$1005,SMALL(IF(checklistPesertaKemenkeu!$AY$6:$AY$1005="Direkomendasikan",ROW($6:$1005)-5),442)),"")</f>
        <v/>
      </c>
      <c r="H443" t="str">
        <f t="array" aca="1" ref="H443" ca="1">IFERROR(IF(OR(INDEX(checklistPesertaKemenkeu!$L$6:$L$1005,SMALL(IF(checklistPesertaKemenkeu!$AY$6:$AY$1005="Direkomendasikan",ROW($6:$1005)-5),442))="",INDEX(checklistPesertaKemenkeu!$J$6:$J$1005,SMALL(IF(checklistPesertaKemenkeu!$AY$6:$AY$1005="Direkomendasikan",ROW($6:$1005)-5),442))=""),"",IF(AND(COUNTIF(INDIRECT("K_"&amp;MATCH(INDEX(checklistPesertaKemenkeu!$J$6:$J$1005,SMALL(IF(checklistPesertaKemenkeu!$AY$6:$AY$1005="Direkomendasikan",ROW($6:$1005)-5),442)),BidangList,0)),INDEX(checklistPesertaKemenkeu!$L$6:$L$1005,SMALL(IF(checklistPesertaKemenkeu!$AY$6:$AY$1005="Direkomendasikan",ROW($6:$1005)-5),442)))&gt;0,COUNTIF(INDIRECT("'KERTAS KERJA'!K"&amp;(SMALL(IF(checklistPesertaKemenkeu!$AY$6:$AY$1005="Direkomendasikan",ROW($6:$1005)-5),442)+5)&amp;":O"&amp;(SMALL(IF(checklistPesertaKemenkeu!$AY$6:$AY$1005="Direkomendasikan",ROW($6:$1005)-5),442)+5)),INDEX(checklistPesertaKemenkeu!$L$6:$L$1005,SMALL(IF(checklistPesertaKemenkeu!$AY$6:$AY$1005="Direkomendasikan",ROW($6:$1005)-5),442)))=1),IFERROR(VLOOKUP(INDEX(checklistPesertaKemenkeu!$L$6:$L$1005,SMALL(IF(checklistPesertaKemenkeu!$AY$6:$AY$1005="Direkomendasikan",ROW($6:$1005)-5),442)),KotaKode,2,0),"-"),"")),"")</f>
        <v/>
      </c>
      <c r="I443" t="str">
        <f t="array" aca="1" ref="I443" ca="1">IFERROR(IF(OR(INDEX(checklistPesertaKemenkeu!$M$6:$M$1005,SMALL(IF(checklistPesertaKemenkeu!$AY$6:$AY$1005="Direkomendasikan",ROW($6:$1005)-5),442))="",INDEX(checklistPesertaKemenkeu!$J$6:$J$1005,SMALL(IF(checklistPesertaKemenkeu!$AY$6:$AY$1005="Direkomendasikan",ROW($6:$1005)-5),442))=""),"",IF(AND(COUNTIF(INDIRECT("K_"&amp;MATCH(INDEX(checklistPesertaKemenkeu!$J$6:$J$1005,SMALL(IF(checklistPesertaKemenkeu!$AY$6:$AY$1005="Direkomendasikan",ROW($6:$1005)-5),442)),BidangList,0)),INDEX(checklistPesertaKemenkeu!$M$6:$M$1005,SMALL(IF(checklistPesertaKemenkeu!$AY$6:$AY$1005="Direkomendasikan",ROW($6:$1005)-5),442)))&gt;0,COUNTIF(INDIRECT("'KERTAS KERJA'!K"&amp;(SMALL(IF(checklistPesertaKemenkeu!$AY$6:$AY$1005="Direkomendasikan",ROW($6:$1005)-5),442)+5)&amp;":O"&amp;(SMALL(IF(checklistPesertaKemenkeu!$AY$6:$AY$1005="Direkomendasikan",ROW($6:$1005)-5),442)+5)),INDEX(checklistPesertaKemenkeu!$M$6:$M$1005,SMALL(IF(checklistPesertaKemenkeu!$AY$6:$AY$1005="Direkomendasikan",ROW($6:$1005)-5),442)))=1),IFERROR(VLOOKUP(INDEX(checklistPesertaKemenkeu!$M$6:$M$1005,SMALL(IF(checklistPesertaKemenkeu!$AY$6:$AY$1005="Direkomendasikan",ROW($6:$1005)-5),442)),KotaKode,2,0),"-"),"")),"")</f>
        <v/>
      </c>
      <c r="J443" t="str">
        <f t="array" aca="1" ref="J443" ca="1">IFERROR(IF(OR(INDEX(checklistPesertaKemenkeu!$N$6:$N$1005,SMALL(IF(checklistPesertaKemenkeu!$AY$6:$AY$1005="Direkomendasikan",ROW($6:$1005)-5),442))="",INDEX(checklistPesertaKemenkeu!$J$6:$J$1005,SMALL(IF(checklistPesertaKemenkeu!$AY$6:$AY$1005="Direkomendasikan",ROW($6:$1005)-5),442))=""),"",IF(AND(COUNTIF(INDIRECT("K_"&amp;MATCH(INDEX(checklistPesertaKemenkeu!$J$6:$J$1005,SMALL(IF(checklistPesertaKemenkeu!$AY$6:$AY$1005="Direkomendasikan",ROW($6:$1005)-5),442)),BidangList,0)),INDEX(checklistPesertaKemenkeu!$N$6:$N$1005,SMALL(IF(checklistPesertaKemenkeu!$AY$6:$AY$1005="Direkomendasikan",ROW($6:$1005)-5),442)))&gt;0,COUNTIF(INDIRECT("'KERTAS KERJA'!K"&amp;(SMALL(IF(checklistPesertaKemenkeu!$AY$6:$AY$1005="Direkomendasikan",ROW($6:$1005)-5),442)+5)&amp;":O"&amp;(SMALL(IF(checklistPesertaKemenkeu!$AY$6:$AY$1005="Direkomendasikan",ROW($6:$1005)-5),442)+5)),INDEX(checklistPesertaKemenkeu!$N$6:$N$1005,SMALL(IF(checklistPesertaKemenkeu!$AY$6:$AY$1005="Direkomendasikan",ROW($6:$1005)-5),442)))=1),IFERROR(VLOOKUP(INDEX(checklistPesertaKemenkeu!$N$6:$N$1005,SMALL(IF(checklistPesertaKemenkeu!$AY$6:$AY$1005="Direkomendasikan",ROW($6:$1005)-5),442)),KotaKode,2,0),"-"),"")),"")</f>
        <v/>
      </c>
      <c r="K443" t="str">
        <f t="array" aca="1" ref="K443" ca="1">IFERROR(IF(OR(INDEX(checklistPesertaKemenkeu!$O$6:$O$1005,SMALL(IF(checklistPesertaKemenkeu!$AY$6:$AY$1005="Direkomendasikan",ROW($6:$1005)-5),442))="",INDEX(checklistPesertaKemenkeu!$J$6:$J$1005,SMALL(IF(checklistPesertaKemenkeu!$AY$6:$AY$1005="Direkomendasikan",ROW($6:$1005)-5),442))=""),"",IF(AND(COUNTIF(INDIRECT("K_"&amp;MATCH(INDEX(checklistPesertaKemenkeu!$J$6:$J$1005,SMALL(IF(checklistPesertaKemenkeu!$AY$6:$AY$1005="Direkomendasikan",ROW($6:$1005)-5),442)),BidangList,0)),INDEX(checklistPesertaKemenkeu!$O$6:$O$1005,SMALL(IF(checklistPesertaKemenkeu!$AY$6:$AY$1005="Direkomendasikan",ROW($6:$1005)-5),442)))&gt;0,COUNTIF(INDIRECT("'KERTAS KERJA'!K"&amp;(SMALL(IF(checklistPesertaKemenkeu!$AY$6:$AY$1005="Direkomendasikan",ROW($6:$1005)-5),442)+5)&amp;":O"&amp;(SMALL(IF(checklistPesertaKemenkeu!$AY$6:$AY$1005="Direkomendasikan",ROW($6:$1005)-5),442)+5)),INDEX(checklistPesertaKemenkeu!$O$6:$O$1005,SMALL(IF(checklistPesertaKemenkeu!$AY$6:$AY$1005="Direkomendasikan",ROW($6:$1005)-5),442)))=1),IFERROR(VLOOKUP(INDEX(checklistPesertaKemenkeu!$O$6:$O$1005,SMALL(IF(checklistPesertaKemenkeu!$AY$6:$AY$1005="Direkomendasikan",ROW($6:$1005)-5),442)),KotaKode,2,0),"-"),"")),"")</f>
        <v/>
      </c>
      <c r="L443" t="str">
        <f t="array" aca="1" ref="L443" ca="1">IFERROR(IF(OR(INDEX(checklistPesertaKemenkeu!$P$6:$P$1005,SMALL(IF(checklistPesertaKemenkeu!$AY$6:$AY$1005="Direkomendasikan",ROW($6:$1005)-5),442))="",INDEX(checklistPesertaKemenkeu!$J$6:$J$1005,SMALL(IF(checklistPesertaKemenkeu!$AY$6:$AY$1005="Direkomendasikan",ROW($6:$1005)-5),442))=""),"",IF(AND(COUNTIF(INDIRECT("K_"&amp;MATCH(INDEX(checklistPesertaKemenkeu!$J$6:$J$1005,SMALL(IF(checklistPesertaKemenkeu!$AY$6:$AY$1005="Direkomendasikan",ROW($6:$1005)-5),442)),BidangList,0)),INDEX(checklistPesertaKemenkeu!$P$6:$P$1005,SMALL(IF(checklistPesertaKemenkeu!$AY$6:$AY$1005="Direkomendasikan",ROW($6:$1005)-5),442)))&gt;0,COUNTIF(INDIRECT("'KERTAS KERJA'!K"&amp;(SMALL(IF(checklistPesertaKemenkeu!$AY$6:$AY$1005="Direkomendasikan",ROW($6:$1005)-5),442)+5)&amp;":O"&amp;(SMALL(IF(checklistPesertaKemenkeu!$AY$6:$AY$1005="Direkomendasikan",ROW($6:$1005)-5),442)+5)),INDEX(checklistPesertaKemenkeu!$P$6:$P$1005,SMALL(IF(checklistPesertaKemenkeu!$AY$6:$AY$1005="Direkomendasikan",ROW($6:$1005)-5),442)))=1),IFERROR(VLOOKUP(INDEX(checklistPesertaKemenkeu!$P$6:$P$1005,SMALL(IF(checklistPesertaKemenkeu!$AY$6:$AY$1005="Direkomendasikan",ROW($6:$1005)-5),442)),KotaKode,2,0),"-"),"")),"")</f>
        <v/>
      </c>
    </row>
    <row r="444" spans="1:12" ht="15" customHeight="1" x14ac:dyDescent="0.2">
      <c r="A444" t="str">
        <f t="shared" si="6"/>
        <v/>
      </c>
      <c r="B444" t="str">
        <v/>
      </c>
      <c r="C444" s="40" t="str">
        <f t="array" ref="C444">IFERROR(INDEX(checklistPesertaKemenkeu!$F$6:$F$1005,SMALL(IF(checklistPesertaKemenkeu!$AY$6:$AY$1005="Direkomendasikan",ROW($6:$1005)-5),443)),"")</f>
        <v/>
      </c>
      <c r="D444" t="str">
        <f t="array" ref="D444">IFERROR(INDEX(checklistPesertaKemenkeu!$G$6:$G$1005,SMALL(IF(checklistPesertaKemenkeu!$AY$6:$AY$1005="Direkomendasikan",ROW($6:$1005)-5),443)),"")</f>
        <v/>
      </c>
      <c r="E444" t="str">
        <f t="array" ref="E444">IFERROR(INDEX(checklistPesertaKemenkeu!$H$6:$H$1005,SMALL(IF(checklistPesertaKemenkeu!$AY$6:$AY$1005="Direkomendasikan",ROW($6:$1005)-5),443)),"")</f>
        <v/>
      </c>
      <c r="F444" t="str">
        <f t="array" ref="F444">IFERROR(INDEX(checklistPesertaKemenkeu!$I$6:$I$1005,SMALL(IF(checklistPesertaKemenkeu!$AY$6:$AY$1005="Direkomendasikan",ROW($6:$1005)-5),443)),"")</f>
        <v/>
      </c>
      <c r="G444" t="str">
        <f t="array" ref="G444">IFERROR(INDEX(checklistPesertaKemenkeu!$J$6:$J$1005,SMALL(IF(checklistPesertaKemenkeu!$AY$6:$AY$1005="Direkomendasikan",ROW($6:$1005)-5),443)),"")</f>
        <v/>
      </c>
      <c r="H444" t="str">
        <f t="array" aca="1" ref="H444" ca="1">IFERROR(IF(OR(INDEX(checklistPesertaKemenkeu!$L$6:$L$1005,SMALL(IF(checklistPesertaKemenkeu!$AY$6:$AY$1005="Direkomendasikan",ROW($6:$1005)-5),443))="",INDEX(checklistPesertaKemenkeu!$J$6:$J$1005,SMALL(IF(checklistPesertaKemenkeu!$AY$6:$AY$1005="Direkomendasikan",ROW($6:$1005)-5),443))=""),"",IF(AND(COUNTIF(INDIRECT("K_"&amp;MATCH(INDEX(checklistPesertaKemenkeu!$J$6:$J$1005,SMALL(IF(checklistPesertaKemenkeu!$AY$6:$AY$1005="Direkomendasikan",ROW($6:$1005)-5),443)),BidangList,0)),INDEX(checklistPesertaKemenkeu!$L$6:$L$1005,SMALL(IF(checklistPesertaKemenkeu!$AY$6:$AY$1005="Direkomendasikan",ROW($6:$1005)-5),443)))&gt;0,COUNTIF(INDIRECT("'KERTAS KERJA'!K"&amp;(SMALL(IF(checklistPesertaKemenkeu!$AY$6:$AY$1005="Direkomendasikan",ROW($6:$1005)-5),443)+5)&amp;":O"&amp;(SMALL(IF(checklistPesertaKemenkeu!$AY$6:$AY$1005="Direkomendasikan",ROW($6:$1005)-5),443)+5)),INDEX(checklistPesertaKemenkeu!$L$6:$L$1005,SMALL(IF(checklistPesertaKemenkeu!$AY$6:$AY$1005="Direkomendasikan",ROW($6:$1005)-5),443)))=1),IFERROR(VLOOKUP(INDEX(checklistPesertaKemenkeu!$L$6:$L$1005,SMALL(IF(checklistPesertaKemenkeu!$AY$6:$AY$1005="Direkomendasikan",ROW($6:$1005)-5),443)),KotaKode,2,0),"-"),"")),"")</f>
        <v/>
      </c>
      <c r="I444" t="str">
        <f t="array" aca="1" ref="I444" ca="1">IFERROR(IF(OR(INDEX(checklistPesertaKemenkeu!$M$6:$M$1005,SMALL(IF(checklistPesertaKemenkeu!$AY$6:$AY$1005="Direkomendasikan",ROW($6:$1005)-5),443))="",INDEX(checklistPesertaKemenkeu!$J$6:$J$1005,SMALL(IF(checklistPesertaKemenkeu!$AY$6:$AY$1005="Direkomendasikan",ROW($6:$1005)-5),443))=""),"",IF(AND(COUNTIF(INDIRECT("K_"&amp;MATCH(INDEX(checklistPesertaKemenkeu!$J$6:$J$1005,SMALL(IF(checklistPesertaKemenkeu!$AY$6:$AY$1005="Direkomendasikan",ROW($6:$1005)-5),443)),BidangList,0)),INDEX(checklistPesertaKemenkeu!$M$6:$M$1005,SMALL(IF(checklistPesertaKemenkeu!$AY$6:$AY$1005="Direkomendasikan",ROW($6:$1005)-5),443)))&gt;0,COUNTIF(INDIRECT("'KERTAS KERJA'!K"&amp;(SMALL(IF(checklistPesertaKemenkeu!$AY$6:$AY$1005="Direkomendasikan",ROW($6:$1005)-5),443)+5)&amp;":O"&amp;(SMALL(IF(checklistPesertaKemenkeu!$AY$6:$AY$1005="Direkomendasikan",ROW($6:$1005)-5),443)+5)),INDEX(checklistPesertaKemenkeu!$M$6:$M$1005,SMALL(IF(checklistPesertaKemenkeu!$AY$6:$AY$1005="Direkomendasikan",ROW($6:$1005)-5),443)))=1),IFERROR(VLOOKUP(INDEX(checklistPesertaKemenkeu!$M$6:$M$1005,SMALL(IF(checklistPesertaKemenkeu!$AY$6:$AY$1005="Direkomendasikan",ROW($6:$1005)-5),443)),KotaKode,2,0),"-"),"")),"")</f>
        <v/>
      </c>
      <c r="J444" t="str">
        <f t="array" aca="1" ref="J444" ca="1">IFERROR(IF(OR(INDEX(checklistPesertaKemenkeu!$N$6:$N$1005,SMALL(IF(checklistPesertaKemenkeu!$AY$6:$AY$1005="Direkomendasikan",ROW($6:$1005)-5),443))="",INDEX(checklistPesertaKemenkeu!$J$6:$J$1005,SMALL(IF(checklistPesertaKemenkeu!$AY$6:$AY$1005="Direkomendasikan",ROW($6:$1005)-5),443))=""),"",IF(AND(COUNTIF(INDIRECT("K_"&amp;MATCH(INDEX(checklistPesertaKemenkeu!$J$6:$J$1005,SMALL(IF(checklistPesertaKemenkeu!$AY$6:$AY$1005="Direkomendasikan",ROW($6:$1005)-5),443)),BidangList,0)),INDEX(checklistPesertaKemenkeu!$N$6:$N$1005,SMALL(IF(checklistPesertaKemenkeu!$AY$6:$AY$1005="Direkomendasikan",ROW($6:$1005)-5),443)))&gt;0,COUNTIF(INDIRECT("'KERTAS KERJA'!K"&amp;(SMALL(IF(checklistPesertaKemenkeu!$AY$6:$AY$1005="Direkomendasikan",ROW($6:$1005)-5),443)+5)&amp;":O"&amp;(SMALL(IF(checklistPesertaKemenkeu!$AY$6:$AY$1005="Direkomendasikan",ROW($6:$1005)-5),443)+5)),INDEX(checklistPesertaKemenkeu!$N$6:$N$1005,SMALL(IF(checklistPesertaKemenkeu!$AY$6:$AY$1005="Direkomendasikan",ROW($6:$1005)-5),443)))=1),IFERROR(VLOOKUP(INDEX(checklistPesertaKemenkeu!$N$6:$N$1005,SMALL(IF(checklistPesertaKemenkeu!$AY$6:$AY$1005="Direkomendasikan",ROW($6:$1005)-5),443)),KotaKode,2,0),"-"),"")),"")</f>
        <v/>
      </c>
      <c r="K444" t="str">
        <f t="array" aca="1" ref="K444" ca="1">IFERROR(IF(OR(INDEX(checklistPesertaKemenkeu!$O$6:$O$1005,SMALL(IF(checklistPesertaKemenkeu!$AY$6:$AY$1005="Direkomendasikan",ROW($6:$1005)-5),443))="",INDEX(checklistPesertaKemenkeu!$J$6:$J$1005,SMALL(IF(checklistPesertaKemenkeu!$AY$6:$AY$1005="Direkomendasikan",ROW($6:$1005)-5),443))=""),"",IF(AND(COUNTIF(INDIRECT("K_"&amp;MATCH(INDEX(checklistPesertaKemenkeu!$J$6:$J$1005,SMALL(IF(checklistPesertaKemenkeu!$AY$6:$AY$1005="Direkomendasikan",ROW($6:$1005)-5),443)),BidangList,0)),INDEX(checklistPesertaKemenkeu!$O$6:$O$1005,SMALL(IF(checklistPesertaKemenkeu!$AY$6:$AY$1005="Direkomendasikan",ROW($6:$1005)-5),443)))&gt;0,COUNTIF(INDIRECT("'KERTAS KERJA'!K"&amp;(SMALL(IF(checklistPesertaKemenkeu!$AY$6:$AY$1005="Direkomendasikan",ROW($6:$1005)-5),443)+5)&amp;":O"&amp;(SMALL(IF(checklistPesertaKemenkeu!$AY$6:$AY$1005="Direkomendasikan",ROW($6:$1005)-5),443)+5)),INDEX(checklistPesertaKemenkeu!$O$6:$O$1005,SMALL(IF(checklistPesertaKemenkeu!$AY$6:$AY$1005="Direkomendasikan",ROW($6:$1005)-5),443)))=1),IFERROR(VLOOKUP(INDEX(checklistPesertaKemenkeu!$O$6:$O$1005,SMALL(IF(checklistPesertaKemenkeu!$AY$6:$AY$1005="Direkomendasikan",ROW($6:$1005)-5),443)),KotaKode,2,0),"-"),"")),"")</f>
        <v/>
      </c>
      <c r="L444" t="str">
        <f t="array" aca="1" ref="L444" ca="1">IFERROR(IF(OR(INDEX(checklistPesertaKemenkeu!$P$6:$P$1005,SMALL(IF(checklistPesertaKemenkeu!$AY$6:$AY$1005="Direkomendasikan",ROW($6:$1005)-5),443))="",INDEX(checklistPesertaKemenkeu!$J$6:$J$1005,SMALL(IF(checklistPesertaKemenkeu!$AY$6:$AY$1005="Direkomendasikan",ROW($6:$1005)-5),443))=""),"",IF(AND(COUNTIF(INDIRECT("K_"&amp;MATCH(INDEX(checklistPesertaKemenkeu!$J$6:$J$1005,SMALL(IF(checklistPesertaKemenkeu!$AY$6:$AY$1005="Direkomendasikan",ROW($6:$1005)-5),443)),BidangList,0)),INDEX(checklistPesertaKemenkeu!$P$6:$P$1005,SMALL(IF(checklistPesertaKemenkeu!$AY$6:$AY$1005="Direkomendasikan",ROW($6:$1005)-5),443)))&gt;0,COUNTIF(INDIRECT("'KERTAS KERJA'!K"&amp;(SMALL(IF(checklistPesertaKemenkeu!$AY$6:$AY$1005="Direkomendasikan",ROW($6:$1005)-5),443)+5)&amp;":O"&amp;(SMALL(IF(checklistPesertaKemenkeu!$AY$6:$AY$1005="Direkomendasikan",ROW($6:$1005)-5),443)+5)),INDEX(checklistPesertaKemenkeu!$P$6:$P$1005,SMALL(IF(checklistPesertaKemenkeu!$AY$6:$AY$1005="Direkomendasikan",ROW($6:$1005)-5),443)))=1),IFERROR(VLOOKUP(INDEX(checklistPesertaKemenkeu!$P$6:$P$1005,SMALL(IF(checklistPesertaKemenkeu!$AY$6:$AY$1005="Direkomendasikan",ROW($6:$1005)-5),443)),KotaKode,2,0),"-"),"")),"")</f>
        <v/>
      </c>
    </row>
    <row r="445" spans="1:12" ht="15" customHeight="1" x14ac:dyDescent="0.2">
      <c r="A445" t="str">
        <f t="shared" si="6"/>
        <v/>
      </c>
      <c r="B445" t="str">
        <v/>
      </c>
      <c r="C445" s="40" t="str">
        <f t="array" ref="C445">IFERROR(INDEX(checklistPesertaKemenkeu!$F$6:$F$1005,SMALL(IF(checklistPesertaKemenkeu!$AY$6:$AY$1005="Direkomendasikan",ROW($6:$1005)-5),444)),"")</f>
        <v/>
      </c>
      <c r="D445" t="str">
        <f t="array" ref="D445">IFERROR(INDEX(checklistPesertaKemenkeu!$G$6:$G$1005,SMALL(IF(checklistPesertaKemenkeu!$AY$6:$AY$1005="Direkomendasikan",ROW($6:$1005)-5),444)),"")</f>
        <v/>
      </c>
      <c r="E445" t="str">
        <f t="array" ref="E445">IFERROR(INDEX(checklistPesertaKemenkeu!$H$6:$H$1005,SMALL(IF(checklistPesertaKemenkeu!$AY$6:$AY$1005="Direkomendasikan",ROW($6:$1005)-5),444)),"")</f>
        <v/>
      </c>
      <c r="F445" t="str">
        <f t="array" ref="F445">IFERROR(INDEX(checklistPesertaKemenkeu!$I$6:$I$1005,SMALL(IF(checklistPesertaKemenkeu!$AY$6:$AY$1005="Direkomendasikan",ROW($6:$1005)-5),444)),"")</f>
        <v/>
      </c>
      <c r="G445" t="str">
        <f t="array" ref="G445">IFERROR(INDEX(checklistPesertaKemenkeu!$J$6:$J$1005,SMALL(IF(checklistPesertaKemenkeu!$AY$6:$AY$1005="Direkomendasikan",ROW($6:$1005)-5),444)),"")</f>
        <v/>
      </c>
      <c r="H445" t="str">
        <f t="array" aca="1" ref="H445" ca="1">IFERROR(IF(OR(INDEX(checklistPesertaKemenkeu!$L$6:$L$1005,SMALL(IF(checklistPesertaKemenkeu!$AY$6:$AY$1005="Direkomendasikan",ROW($6:$1005)-5),444))="",INDEX(checklistPesertaKemenkeu!$J$6:$J$1005,SMALL(IF(checklistPesertaKemenkeu!$AY$6:$AY$1005="Direkomendasikan",ROW($6:$1005)-5),444))=""),"",IF(AND(COUNTIF(INDIRECT("K_"&amp;MATCH(INDEX(checklistPesertaKemenkeu!$J$6:$J$1005,SMALL(IF(checklistPesertaKemenkeu!$AY$6:$AY$1005="Direkomendasikan",ROW($6:$1005)-5),444)),BidangList,0)),INDEX(checklistPesertaKemenkeu!$L$6:$L$1005,SMALL(IF(checklistPesertaKemenkeu!$AY$6:$AY$1005="Direkomendasikan",ROW($6:$1005)-5),444)))&gt;0,COUNTIF(INDIRECT("'KERTAS KERJA'!K"&amp;(SMALL(IF(checklistPesertaKemenkeu!$AY$6:$AY$1005="Direkomendasikan",ROW($6:$1005)-5),444)+5)&amp;":O"&amp;(SMALL(IF(checklistPesertaKemenkeu!$AY$6:$AY$1005="Direkomendasikan",ROW($6:$1005)-5),444)+5)),INDEX(checklistPesertaKemenkeu!$L$6:$L$1005,SMALL(IF(checklistPesertaKemenkeu!$AY$6:$AY$1005="Direkomendasikan",ROW($6:$1005)-5),444)))=1),IFERROR(VLOOKUP(INDEX(checklistPesertaKemenkeu!$L$6:$L$1005,SMALL(IF(checklistPesertaKemenkeu!$AY$6:$AY$1005="Direkomendasikan",ROW($6:$1005)-5),444)),KotaKode,2,0),"-"),"")),"")</f>
        <v/>
      </c>
      <c r="I445" t="str">
        <f t="array" aca="1" ref="I445" ca="1">IFERROR(IF(OR(INDEX(checklistPesertaKemenkeu!$M$6:$M$1005,SMALL(IF(checklistPesertaKemenkeu!$AY$6:$AY$1005="Direkomendasikan",ROW($6:$1005)-5),444))="",INDEX(checklistPesertaKemenkeu!$J$6:$J$1005,SMALL(IF(checklistPesertaKemenkeu!$AY$6:$AY$1005="Direkomendasikan",ROW($6:$1005)-5),444))=""),"",IF(AND(COUNTIF(INDIRECT("K_"&amp;MATCH(INDEX(checklistPesertaKemenkeu!$J$6:$J$1005,SMALL(IF(checklistPesertaKemenkeu!$AY$6:$AY$1005="Direkomendasikan",ROW($6:$1005)-5),444)),BidangList,0)),INDEX(checklistPesertaKemenkeu!$M$6:$M$1005,SMALL(IF(checklistPesertaKemenkeu!$AY$6:$AY$1005="Direkomendasikan",ROW($6:$1005)-5),444)))&gt;0,COUNTIF(INDIRECT("'KERTAS KERJA'!K"&amp;(SMALL(IF(checklistPesertaKemenkeu!$AY$6:$AY$1005="Direkomendasikan",ROW($6:$1005)-5),444)+5)&amp;":O"&amp;(SMALL(IF(checklistPesertaKemenkeu!$AY$6:$AY$1005="Direkomendasikan",ROW($6:$1005)-5),444)+5)),INDEX(checklistPesertaKemenkeu!$M$6:$M$1005,SMALL(IF(checklistPesertaKemenkeu!$AY$6:$AY$1005="Direkomendasikan",ROW($6:$1005)-5),444)))=1),IFERROR(VLOOKUP(INDEX(checklistPesertaKemenkeu!$M$6:$M$1005,SMALL(IF(checklistPesertaKemenkeu!$AY$6:$AY$1005="Direkomendasikan",ROW($6:$1005)-5),444)),KotaKode,2,0),"-"),"")),"")</f>
        <v/>
      </c>
      <c r="J445" t="str">
        <f t="array" aca="1" ref="J445" ca="1">IFERROR(IF(OR(INDEX(checklistPesertaKemenkeu!$N$6:$N$1005,SMALL(IF(checklistPesertaKemenkeu!$AY$6:$AY$1005="Direkomendasikan",ROW($6:$1005)-5),444))="",INDEX(checklistPesertaKemenkeu!$J$6:$J$1005,SMALL(IF(checklistPesertaKemenkeu!$AY$6:$AY$1005="Direkomendasikan",ROW($6:$1005)-5),444))=""),"",IF(AND(COUNTIF(INDIRECT("K_"&amp;MATCH(INDEX(checklistPesertaKemenkeu!$J$6:$J$1005,SMALL(IF(checklistPesertaKemenkeu!$AY$6:$AY$1005="Direkomendasikan",ROW($6:$1005)-5),444)),BidangList,0)),INDEX(checklistPesertaKemenkeu!$N$6:$N$1005,SMALL(IF(checklistPesertaKemenkeu!$AY$6:$AY$1005="Direkomendasikan",ROW($6:$1005)-5),444)))&gt;0,COUNTIF(INDIRECT("'KERTAS KERJA'!K"&amp;(SMALL(IF(checklistPesertaKemenkeu!$AY$6:$AY$1005="Direkomendasikan",ROW($6:$1005)-5),444)+5)&amp;":O"&amp;(SMALL(IF(checklistPesertaKemenkeu!$AY$6:$AY$1005="Direkomendasikan",ROW($6:$1005)-5),444)+5)),INDEX(checklistPesertaKemenkeu!$N$6:$N$1005,SMALL(IF(checklistPesertaKemenkeu!$AY$6:$AY$1005="Direkomendasikan",ROW($6:$1005)-5),444)))=1),IFERROR(VLOOKUP(INDEX(checklistPesertaKemenkeu!$N$6:$N$1005,SMALL(IF(checklistPesertaKemenkeu!$AY$6:$AY$1005="Direkomendasikan",ROW($6:$1005)-5),444)),KotaKode,2,0),"-"),"")),"")</f>
        <v/>
      </c>
      <c r="K445" t="str">
        <f t="array" aca="1" ref="K445" ca="1">IFERROR(IF(OR(INDEX(checklistPesertaKemenkeu!$O$6:$O$1005,SMALL(IF(checklistPesertaKemenkeu!$AY$6:$AY$1005="Direkomendasikan",ROW($6:$1005)-5),444))="",INDEX(checklistPesertaKemenkeu!$J$6:$J$1005,SMALL(IF(checklistPesertaKemenkeu!$AY$6:$AY$1005="Direkomendasikan",ROW($6:$1005)-5),444))=""),"",IF(AND(COUNTIF(INDIRECT("K_"&amp;MATCH(INDEX(checklistPesertaKemenkeu!$J$6:$J$1005,SMALL(IF(checklistPesertaKemenkeu!$AY$6:$AY$1005="Direkomendasikan",ROW($6:$1005)-5),444)),BidangList,0)),INDEX(checklistPesertaKemenkeu!$O$6:$O$1005,SMALL(IF(checklistPesertaKemenkeu!$AY$6:$AY$1005="Direkomendasikan",ROW($6:$1005)-5),444)))&gt;0,COUNTIF(INDIRECT("'KERTAS KERJA'!K"&amp;(SMALL(IF(checklistPesertaKemenkeu!$AY$6:$AY$1005="Direkomendasikan",ROW($6:$1005)-5),444)+5)&amp;":O"&amp;(SMALL(IF(checklistPesertaKemenkeu!$AY$6:$AY$1005="Direkomendasikan",ROW($6:$1005)-5),444)+5)),INDEX(checklistPesertaKemenkeu!$O$6:$O$1005,SMALL(IF(checklistPesertaKemenkeu!$AY$6:$AY$1005="Direkomendasikan",ROW($6:$1005)-5),444)))=1),IFERROR(VLOOKUP(INDEX(checklistPesertaKemenkeu!$O$6:$O$1005,SMALL(IF(checklistPesertaKemenkeu!$AY$6:$AY$1005="Direkomendasikan",ROW($6:$1005)-5),444)),KotaKode,2,0),"-"),"")),"")</f>
        <v/>
      </c>
      <c r="L445" t="str">
        <f t="array" aca="1" ref="L445" ca="1">IFERROR(IF(OR(INDEX(checklistPesertaKemenkeu!$P$6:$P$1005,SMALL(IF(checklistPesertaKemenkeu!$AY$6:$AY$1005="Direkomendasikan",ROW($6:$1005)-5),444))="",INDEX(checklistPesertaKemenkeu!$J$6:$J$1005,SMALL(IF(checklistPesertaKemenkeu!$AY$6:$AY$1005="Direkomendasikan",ROW($6:$1005)-5),444))=""),"",IF(AND(COUNTIF(INDIRECT("K_"&amp;MATCH(INDEX(checklistPesertaKemenkeu!$J$6:$J$1005,SMALL(IF(checklistPesertaKemenkeu!$AY$6:$AY$1005="Direkomendasikan",ROW($6:$1005)-5),444)),BidangList,0)),INDEX(checklistPesertaKemenkeu!$P$6:$P$1005,SMALL(IF(checklistPesertaKemenkeu!$AY$6:$AY$1005="Direkomendasikan",ROW($6:$1005)-5),444)))&gt;0,COUNTIF(INDIRECT("'KERTAS KERJA'!K"&amp;(SMALL(IF(checklistPesertaKemenkeu!$AY$6:$AY$1005="Direkomendasikan",ROW($6:$1005)-5),444)+5)&amp;":O"&amp;(SMALL(IF(checklistPesertaKemenkeu!$AY$6:$AY$1005="Direkomendasikan",ROW($6:$1005)-5),444)+5)),INDEX(checklistPesertaKemenkeu!$P$6:$P$1005,SMALL(IF(checklistPesertaKemenkeu!$AY$6:$AY$1005="Direkomendasikan",ROW($6:$1005)-5),444)))=1),IFERROR(VLOOKUP(INDEX(checklistPesertaKemenkeu!$P$6:$P$1005,SMALL(IF(checklistPesertaKemenkeu!$AY$6:$AY$1005="Direkomendasikan",ROW($6:$1005)-5),444)),KotaKode,2,0),"-"),"")),"")</f>
        <v/>
      </c>
    </row>
    <row r="446" spans="1:12" ht="15" customHeight="1" x14ac:dyDescent="0.2">
      <c r="A446" t="str">
        <f t="shared" si="6"/>
        <v/>
      </c>
      <c r="B446" t="str">
        <v/>
      </c>
      <c r="C446" s="40" t="str">
        <f t="array" ref="C446">IFERROR(INDEX(checklistPesertaKemenkeu!$F$6:$F$1005,SMALL(IF(checklistPesertaKemenkeu!$AY$6:$AY$1005="Direkomendasikan",ROW($6:$1005)-5),445)),"")</f>
        <v/>
      </c>
      <c r="D446" t="str">
        <f t="array" ref="D446">IFERROR(INDEX(checklistPesertaKemenkeu!$G$6:$G$1005,SMALL(IF(checklistPesertaKemenkeu!$AY$6:$AY$1005="Direkomendasikan",ROW($6:$1005)-5),445)),"")</f>
        <v/>
      </c>
      <c r="E446" t="str">
        <f t="array" ref="E446">IFERROR(INDEX(checklistPesertaKemenkeu!$H$6:$H$1005,SMALL(IF(checklistPesertaKemenkeu!$AY$6:$AY$1005="Direkomendasikan",ROW($6:$1005)-5),445)),"")</f>
        <v/>
      </c>
      <c r="F446" t="str">
        <f t="array" ref="F446">IFERROR(INDEX(checklistPesertaKemenkeu!$I$6:$I$1005,SMALL(IF(checklistPesertaKemenkeu!$AY$6:$AY$1005="Direkomendasikan",ROW($6:$1005)-5),445)),"")</f>
        <v/>
      </c>
      <c r="G446" t="str">
        <f t="array" ref="G446">IFERROR(INDEX(checklistPesertaKemenkeu!$J$6:$J$1005,SMALL(IF(checklistPesertaKemenkeu!$AY$6:$AY$1005="Direkomendasikan",ROW($6:$1005)-5),445)),"")</f>
        <v/>
      </c>
      <c r="H446" t="str">
        <f t="array" aca="1" ref="H446" ca="1">IFERROR(IF(OR(INDEX(checklistPesertaKemenkeu!$L$6:$L$1005,SMALL(IF(checklistPesertaKemenkeu!$AY$6:$AY$1005="Direkomendasikan",ROW($6:$1005)-5),445))="",INDEX(checklistPesertaKemenkeu!$J$6:$J$1005,SMALL(IF(checklistPesertaKemenkeu!$AY$6:$AY$1005="Direkomendasikan",ROW($6:$1005)-5),445))=""),"",IF(AND(COUNTIF(INDIRECT("K_"&amp;MATCH(INDEX(checklistPesertaKemenkeu!$J$6:$J$1005,SMALL(IF(checklistPesertaKemenkeu!$AY$6:$AY$1005="Direkomendasikan",ROW($6:$1005)-5),445)),BidangList,0)),INDEX(checklistPesertaKemenkeu!$L$6:$L$1005,SMALL(IF(checklistPesertaKemenkeu!$AY$6:$AY$1005="Direkomendasikan",ROW($6:$1005)-5),445)))&gt;0,COUNTIF(INDIRECT("'KERTAS KERJA'!K"&amp;(SMALL(IF(checklistPesertaKemenkeu!$AY$6:$AY$1005="Direkomendasikan",ROW($6:$1005)-5),445)+5)&amp;":O"&amp;(SMALL(IF(checklistPesertaKemenkeu!$AY$6:$AY$1005="Direkomendasikan",ROW($6:$1005)-5),445)+5)),INDEX(checklistPesertaKemenkeu!$L$6:$L$1005,SMALL(IF(checklistPesertaKemenkeu!$AY$6:$AY$1005="Direkomendasikan",ROW($6:$1005)-5),445)))=1),IFERROR(VLOOKUP(INDEX(checklistPesertaKemenkeu!$L$6:$L$1005,SMALL(IF(checklistPesertaKemenkeu!$AY$6:$AY$1005="Direkomendasikan",ROW($6:$1005)-5),445)),KotaKode,2,0),"-"),"")),"")</f>
        <v/>
      </c>
      <c r="I446" t="str">
        <f t="array" aca="1" ref="I446" ca="1">IFERROR(IF(OR(INDEX(checklistPesertaKemenkeu!$M$6:$M$1005,SMALL(IF(checklistPesertaKemenkeu!$AY$6:$AY$1005="Direkomendasikan",ROW($6:$1005)-5),445))="",INDEX(checklistPesertaKemenkeu!$J$6:$J$1005,SMALL(IF(checklistPesertaKemenkeu!$AY$6:$AY$1005="Direkomendasikan",ROW($6:$1005)-5),445))=""),"",IF(AND(COUNTIF(INDIRECT("K_"&amp;MATCH(INDEX(checklistPesertaKemenkeu!$J$6:$J$1005,SMALL(IF(checklistPesertaKemenkeu!$AY$6:$AY$1005="Direkomendasikan",ROW($6:$1005)-5),445)),BidangList,0)),INDEX(checklistPesertaKemenkeu!$M$6:$M$1005,SMALL(IF(checklistPesertaKemenkeu!$AY$6:$AY$1005="Direkomendasikan",ROW($6:$1005)-5),445)))&gt;0,COUNTIF(INDIRECT("'KERTAS KERJA'!K"&amp;(SMALL(IF(checklistPesertaKemenkeu!$AY$6:$AY$1005="Direkomendasikan",ROW($6:$1005)-5),445)+5)&amp;":O"&amp;(SMALL(IF(checklistPesertaKemenkeu!$AY$6:$AY$1005="Direkomendasikan",ROW($6:$1005)-5),445)+5)),INDEX(checklistPesertaKemenkeu!$M$6:$M$1005,SMALL(IF(checklistPesertaKemenkeu!$AY$6:$AY$1005="Direkomendasikan",ROW($6:$1005)-5),445)))=1),IFERROR(VLOOKUP(INDEX(checklistPesertaKemenkeu!$M$6:$M$1005,SMALL(IF(checklistPesertaKemenkeu!$AY$6:$AY$1005="Direkomendasikan",ROW($6:$1005)-5),445)),KotaKode,2,0),"-"),"")),"")</f>
        <v/>
      </c>
      <c r="J446" t="str">
        <f t="array" aca="1" ref="J446" ca="1">IFERROR(IF(OR(INDEX(checklistPesertaKemenkeu!$N$6:$N$1005,SMALL(IF(checklistPesertaKemenkeu!$AY$6:$AY$1005="Direkomendasikan",ROW($6:$1005)-5),445))="",INDEX(checklistPesertaKemenkeu!$J$6:$J$1005,SMALL(IF(checklistPesertaKemenkeu!$AY$6:$AY$1005="Direkomendasikan",ROW($6:$1005)-5),445))=""),"",IF(AND(COUNTIF(INDIRECT("K_"&amp;MATCH(INDEX(checklistPesertaKemenkeu!$J$6:$J$1005,SMALL(IF(checklistPesertaKemenkeu!$AY$6:$AY$1005="Direkomendasikan",ROW($6:$1005)-5),445)),BidangList,0)),INDEX(checklistPesertaKemenkeu!$N$6:$N$1005,SMALL(IF(checklistPesertaKemenkeu!$AY$6:$AY$1005="Direkomendasikan",ROW($6:$1005)-5),445)))&gt;0,COUNTIF(INDIRECT("'KERTAS KERJA'!K"&amp;(SMALL(IF(checklistPesertaKemenkeu!$AY$6:$AY$1005="Direkomendasikan",ROW($6:$1005)-5),445)+5)&amp;":O"&amp;(SMALL(IF(checklistPesertaKemenkeu!$AY$6:$AY$1005="Direkomendasikan",ROW($6:$1005)-5),445)+5)),INDEX(checklistPesertaKemenkeu!$N$6:$N$1005,SMALL(IF(checklistPesertaKemenkeu!$AY$6:$AY$1005="Direkomendasikan",ROW($6:$1005)-5),445)))=1),IFERROR(VLOOKUP(INDEX(checklistPesertaKemenkeu!$N$6:$N$1005,SMALL(IF(checklistPesertaKemenkeu!$AY$6:$AY$1005="Direkomendasikan",ROW($6:$1005)-5),445)),KotaKode,2,0),"-"),"")),"")</f>
        <v/>
      </c>
      <c r="K446" t="str">
        <f t="array" aca="1" ref="K446" ca="1">IFERROR(IF(OR(INDEX(checklistPesertaKemenkeu!$O$6:$O$1005,SMALL(IF(checklistPesertaKemenkeu!$AY$6:$AY$1005="Direkomendasikan",ROW($6:$1005)-5),445))="",INDEX(checklistPesertaKemenkeu!$J$6:$J$1005,SMALL(IF(checklistPesertaKemenkeu!$AY$6:$AY$1005="Direkomendasikan",ROW($6:$1005)-5),445))=""),"",IF(AND(COUNTIF(INDIRECT("K_"&amp;MATCH(INDEX(checklistPesertaKemenkeu!$J$6:$J$1005,SMALL(IF(checklistPesertaKemenkeu!$AY$6:$AY$1005="Direkomendasikan",ROW($6:$1005)-5),445)),BidangList,0)),INDEX(checklistPesertaKemenkeu!$O$6:$O$1005,SMALL(IF(checklistPesertaKemenkeu!$AY$6:$AY$1005="Direkomendasikan",ROW($6:$1005)-5),445)))&gt;0,COUNTIF(INDIRECT("'KERTAS KERJA'!K"&amp;(SMALL(IF(checklistPesertaKemenkeu!$AY$6:$AY$1005="Direkomendasikan",ROW($6:$1005)-5),445)+5)&amp;":O"&amp;(SMALL(IF(checklistPesertaKemenkeu!$AY$6:$AY$1005="Direkomendasikan",ROW($6:$1005)-5),445)+5)),INDEX(checklistPesertaKemenkeu!$O$6:$O$1005,SMALL(IF(checklistPesertaKemenkeu!$AY$6:$AY$1005="Direkomendasikan",ROW($6:$1005)-5),445)))=1),IFERROR(VLOOKUP(INDEX(checklistPesertaKemenkeu!$O$6:$O$1005,SMALL(IF(checklistPesertaKemenkeu!$AY$6:$AY$1005="Direkomendasikan",ROW($6:$1005)-5),445)),KotaKode,2,0),"-"),"")),"")</f>
        <v/>
      </c>
      <c r="L446" t="str">
        <f t="array" aca="1" ref="L446" ca="1">IFERROR(IF(OR(INDEX(checklistPesertaKemenkeu!$P$6:$P$1005,SMALL(IF(checklistPesertaKemenkeu!$AY$6:$AY$1005="Direkomendasikan",ROW($6:$1005)-5),445))="",INDEX(checklistPesertaKemenkeu!$J$6:$J$1005,SMALL(IF(checklistPesertaKemenkeu!$AY$6:$AY$1005="Direkomendasikan",ROW($6:$1005)-5),445))=""),"",IF(AND(COUNTIF(INDIRECT("K_"&amp;MATCH(INDEX(checklistPesertaKemenkeu!$J$6:$J$1005,SMALL(IF(checklistPesertaKemenkeu!$AY$6:$AY$1005="Direkomendasikan",ROW($6:$1005)-5),445)),BidangList,0)),INDEX(checklistPesertaKemenkeu!$P$6:$P$1005,SMALL(IF(checklistPesertaKemenkeu!$AY$6:$AY$1005="Direkomendasikan",ROW($6:$1005)-5),445)))&gt;0,COUNTIF(INDIRECT("'KERTAS KERJA'!K"&amp;(SMALL(IF(checklistPesertaKemenkeu!$AY$6:$AY$1005="Direkomendasikan",ROW($6:$1005)-5),445)+5)&amp;":O"&amp;(SMALL(IF(checklistPesertaKemenkeu!$AY$6:$AY$1005="Direkomendasikan",ROW($6:$1005)-5),445)+5)),INDEX(checklistPesertaKemenkeu!$P$6:$P$1005,SMALL(IF(checklistPesertaKemenkeu!$AY$6:$AY$1005="Direkomendasikan",ROW($6:$1005)-5),445)))=1),IFERROR(VLOOKUP(INDEX(checklistPesertaKemenkeu!$P$6:$P$1005,SMALL(IF(checklistPesertaKemenkeu!$AY$6:$AY$1005="Direkomendasikan",ROW($6:$1005)-5),445)),KotaKode,2,0),"-"),"")),"")</f>
        <v/>
      </c>
    </row>
    <row r="447" spans="1:12" ht="15" customHeight="1" x14ac:dyDescent="0.2">
      <c r="A447" t="str">
        <f t="shared" si="6"/>
        <v/>
      </c>
      <c r="B447" t="str">
        <v/>
      </c>
      <c r="C447" s="40" t="str">
        <f t="array" ref="C447">IFERROR(INDEX(checklistPesertaKemenkeu!$F$6:$F$1005,SMALL(IF(checklistPesertaKemenkeu!$AY$6:$AY$1005="Direkomendasikan",ROW($6:$1005)-5),446)),"")</f>
        <v/>
      </c>
      <c r="D447" t="str">
        <f t="array" ref="D447">IFERROR(INDEX(checklistPesertaKemenkeu!$G$6:$G$1005,SMALL(IF(checklistPesertaKemenkeu!$AY$6:$AY$1005="Direkomendasikan",ROW($6:$1005)-5),446)),"")</f>
        <v/>
      </c>
      <c r="E447" t="str">
        <f t="array" ref="E447">IFERROR(INDEX(checklistPesertaKemenkeu!$H$6:$H$1005,SMALL(IF(checklistPesertaKemenkeu!$AY$6:$AY$1005="Direkomendasikan",ROW($6:$1005)-5),446)),"")</f>
        <v/>
      </c>
      <c r="F447" t="str">
        <f t="array" ref="F447">IFERROR(INDEX(checklistPesertaKemenkeu!$I$6:$I$1005,SMALL(IF(checklistPesertaKemenkeu!$AY$6:$AY$1005="Direkomendasikan",ROW($6:$1005)-5),446)),"")</f>
        <v/>
      </c>
      <c r="G447" t="str">
        <f t="array" ref="G447">IFERROR(INDEX(checklistPesertaKemenkeu!$J$6:$J$1005,SMALL(IF(checklistPesertaKemenkeu!$AY$6:$AY$1005="Direkomendasikan",ROW($6:$1005)-5),446)),"")</f>
        <v/>
      </c>
      <c r="H447" t="str">
        <f t="array" aca="1" ref="H447" ca="1">IFERROR(IF(OR(INDEX(checklistPesertaKemenkeu!$L$6:$L$1005,SMALL(IF(checklistPesertaKemenkeu!$AY$6:$AY$1005="Direkomendasikan",ROW($6:$1005)-5),446))="",INDEX(checklistPesertaKemenkeu!$J$6:$J$1005,SMALL(IF(checklistPesertaKemenkeu!$AY$6:$AY$1005="Direkomendasikan",ROW($6:$1005)-5),446))=""),"",IF(AND(COUNTIF(INDIRECT("K_"&amp;MATCH(INDEX(checklistPesertaKemenkeu!$J$6:$J$1005,SMALL(IF(checklistPesertaKemenkeu!$AY$6:$AY$1005="Direkomendasikan",ROW($6:$1005)-5),446)),BidangList,0)),INDEX(checklistPesertaKemenkeu!$L$6:$L$1005,SMALL(IF(checklistPesertaKemenkeu!$AY$6:$AY$1005="Direkomendasikan",ROW($6:$1005)-5),446)))&gt;0,COUNTIF(INDIRECT("'KERTAS KERJA'!K"&amp;(SMALL(IF(checklistPesertaKemenkeu!$AY$6:$AY$1005="Direkomendasikan",ROW($6:$1005)-5),446)+5)&amp;":O"&amp;(SMALL(IF(checklistPesertaKemenkeu!$AY$6:$AY$1005="Direkomendasikan",ROW($6:$1005)-5),446)+5)),INDEX(checklistPesertaKemenkeu!$L$6:$L$1005,SMALL(IF(checklistPesertaKemenkeu!$AY$6:$AY$1005="Direkomendasikan",ROW($6:$1005)-5),446)))=1),IFERROR(VLOOKUP(INDEX(checklistPesertaKemenkeu!$L$6:$L$1005,SMALL(IF(checklistPesertaKemenkeu!$AY$6:$AY$1005="Direkomendasikan",ROW($6:$1005)-5),446)),KotaKode,2,0),"-"),"")),"")</f>
        <v/>
      </c>
      <c r="I447" t="str">
        <f t="array" aca="1" ref="I447" ca="1">IFERROR(IF(OR(INDEX(checklistPesertaKemenkeu!$M$6:$M$1005,SMALL(IF(checklistPesertaKemenkeu!$AY$6:$AY$1005="Direkomendasikan",ROW($6:$1005)-5),446))="",INDEX(checklistPesertaKemenkeu!$J$6:$J$1005,SMALL(IF(checklistPesertaKemenkeu!$AY$6:$AY$1005="Direkomendasikan",ROW($6:$1005)-5),446))=""),"",IF(AND(COUNTIF(INDIRECT("K_"&amp;MATCH(INDEX(checklistPesertaKemenkeu!$J$6:$J$1005,SMALL(IF(checklistPesertaKemenkeu!$AY$6:$AY$1005="Direkomendasikan",ROW($6:$1005)-5),446)),BidangList,0)),INDEX(checklistPesertaKemenkeu!$M$6:$M$1005,SMALL(IF(checklistPesertaKemenkeu!$AY$6:$AY$1005="Direkomendasikan",ROW($6:$1005)-5),446)))&gt;0,COUNTIF(INDIRECT("'KERTAS KERJA'!K"&amp;(SMALL(IF(checklistPesertaKemenkeu!$AY$6:$AY$1005="Direkomendasikan",ROW($6:$1005)-5),446)+5)&amp;":O"&amp;(SMALL(IF(checklistPesertaKemenkeu!$AY$6:$AY$1005="Direkomendasikan",ROW($6:$1005)-5),446)+5)),INDEX(checklistPesertaKemenkeu!$M$6:$M$1005,SMALL(IF(checklistPesertaKemenkeu!$AY$6:$AY$1005="Direkomendasikan",ROW($6:$1005)-5),446)))=1),IFERROR(VLOOKUP(INDEX(checklistPesertaKemenkeu!$M$6:$M$1005,SMALL(IF(checklistPesertaKemenkeu!$AY$6:$AY$1005="Direkomendasikan",ROW($6:$1005)-5),446)),KotaKode,2,0),"-"),"")),"")</f>
        <v/>
      </c>
      <c r="J447" t="str">
        <f t="array" aca="1" ref="J447" ca="1">IFERROR(IF(OR(INDEX(checklistPesertaKemenkeu!$N$6:$N$1005,SMALL(IF(checklistPesertaKemenkeu!$AY$6:$AY$1005="Direkomendasikan",ROW($6:$1005)-5),446))="",INDEX(checklistPesertaKemenkeu!$J$6:$J$1005,SMALL(IF(checklistPesertaKemenkeu!$AY$6:$AY$1005="Direkomendasikan",ROW($6:$1005)-5),446))=""),"",IF(AND(COUNTIF(INDIRECT("K_"&amp;MATCH(INDEX(checklistPesertaKemenkeu!$J$6:$J$1005,SMALL(IF(checklistPesertaKemenkeu!$AY$6:$AY$1005="Direkomendasikan",ROW($6:$1005)-5),446)),BidangList,0)),INDEX(checklistPesertaKemenkeu!$N$6:$N$1005,SMALL(IF(checklistPesertaKemenkeu!$AY$6:$AY$1005="Direkomendasikan",ROW($6:$1005)-5),446)))&gt;0,COUNTIF(INDIRECT("'KERTAS KERJA'!K"&amp;(SMALL(IF(checklistPesertaKemenkeu!$AY$6:$AY$1005="Direkomendasikan",ROW($6:$1005)-5),446)+5)&amp;":O"&amp;(SMALL(IF(checklistPesertaKemenkeu!$AY$6:$AY$1005="Direkomendasikan",ROW($6:$1005)-5),446)+5)),INDEX(checklistPesertaKemenkeu!$N$6:$N$1005,SMALL(IF(checklistPesertaKemenkeu!$AY$6:$AY$1005="Direkomendasikan",ROW($6:$1005)-5),446)))=1),IFERROR(VLOOKUP(INDEX(checklistPesertaKemenkeu!$N$6:$N$1005,SMALL(IF(checklistPesertaKemenkeu!$AY$6:$AY$1005="Direkomendasikan",ROW($6:$1005)-5),446)),KotaKode,2,0),"-"),"")),"")</f>
        <v/>
      </c>
      <c r="K447" t="str">
        <f t="array" aca="1" ref="K447" ca="1">IFERROR(IF(OR(INDEX(checklistPesertaKemenkeu!$O$6:$O$1005,SMALL(IF(checklistPesertaKemenkeu!$AY$6:$AY$1005="Direkomendasikan",ROW($6:$1005)-5),446))="",INDEX(checklistPesertaKemenkeu!$J$6:$J$1005,SMALL(IF(checklistPesertaKemenkeu!$AY$6:$AY$1005="Direkomendasikan",ROW($6:$1005)-5),446))=""),"",IF(AND(COUNTIF(INDIRECT("K_"&amp;MATCH(INDEX(checklistPesertaKemenkeu!$J$6:$J$1005,SMALL(IF(checklistPesertaKemenkeu!$AY$6:$AY$1005="Direkomendasikan",ROW($6:$1005)-5),446)),BidangList,0)),INDEX(checklistPesertaKemenkeu!$O$6:$O$1005,SMALL(IF(checklistPesertaKemenkeu!$AY$6:$AY$1005="Direkomendasikan",ROW($6:$1005)-5),446)))&gt;0,COUNTIF(INDIRECT("'KERTAS KERJA'!K"&amp;(SMALL(IF(checklistPesertaKemenkeu!$AY$6:$AY$1005="Direkomendasikan",ROW($6:$1005)-5),446)+5)&amp;":O"&amp;(SMALL(IF(checklistPesertaKemenkeu!$AY$6:$AY$1005="Direkomendasikan",ROW($6:$1005)-5),446)+5)),INDEX(checklistPesertaKemenkeu!$O$6:$O$1005,SMALL(IF(checklistPesertaKemenkeu!$AY$6:$AY$1005="Direkomendasikan",ROW($6:$1005)-5),446)))=1),IFERROR(VLOOKUP(INDEX(checklistPesertaKemenkeu!$O$6:$O$1005,SMALL(IF(checklistPesertaKemenkeu!$AY$6:$AY$1005="Direkomendasikan",ROW($6:$1005)-5),446)),KotaKode,2,0),"-"),"")),"")</f>
        <v/>
      </c>
      <c r="L447" t="str">
        <f t="array" aca="1" ref="L447" ca="1">IFERROR(IF(OR(INDEX(checklistPesertaKemenkeu!$P$6:$P$1005,SMALL(IF(checklistPesertaKemenkeu!$AY$6:$AY$1005="Direkomendasikan",ROW($6:$1005)-5),446))="",INDEX(checklistPesertaKemenkeu!$J$6:$J$1005,SMALL(IF(checklistPesertaKemenkeu!$AY$6:$AY$1005="Direkomendasikan",ROW($6:$1005)-5),446))=""),"",IF(AND(COUNTIF(INDIRECT("K_"&amp;MATCH(INDEX(checklistPesertaKemenkeu!$J$6:$J$1005,SMALL(IF(checklistPesertaKemenkeu!$AY$6:$AY$1005="Direkomendasikan",ROW($6:$1005)-5),446)),BidangList,0)),INDEX(checklistPesertaKemenkeu!$P$6:$P$1005,SMALL(IF(checklistPesertaKemenkeu!$AY$6:$AY$1005="Direkomendasikan",ROW($6:$1005)-5),446)))&gt;0,COUNTIF(INDIRECT("'KERTAS KERJA'!K"&amp;(SMALL(IF(checklistPesertaKemenkeu!$AY$6:$AY$1005="Direkomendasikan",ROW($6:$1005)-5),446)+5)&amp;":O"&amp;(SMALL(IF(checklistPesertaKemenkeu!$AY$6:$AY$1005="Direkomendasikan",ROW($6:$1005)-5),446)+5)),INDEX(checklistPesertaKemenkeu!$P$6:$P$1005,SMALL(IF(checklistPesertaKemenkeu!$AY$6:$AY$1005="Direkomendasikan",ROW($6:$1005)-5),446)))=1),IFERROR(VLOOKUP(INDEX(checklistPesertaKemenkeu!$P$6:$P$1005,SMALL(IF(checklistPesertaKemenkeu!$AY$6:$AY$1005="Direkomendasikan",ROW($6:$1005)-5),446)),KotaKode,2,0),"-"),"")),"")</f>
        <v/>
      </c>
    </row>
    <row r="448" spans="1:12" ht="15" customHeight="1" x14ac:dyDescent="0.2">
      <c r="A448" t="str">
        <f t="shared" si="6"/>
        <v/>
      </c>
      <c r="B448" t="str">
        <v/>
      </c>
      <c r="C448" s="40" t="str">
        <f t="array" ref="C448">IFERROR(INDEX(checklistPesertaKemenkeu!$F$6:$F$1005,SMALL(IF(checklistPesertaKemenkeu!$AY$6:$AY$1005="Direkomendasikan",ROW($6:$1005)-5),447)),"")</f>
        <v/>
      </c>
      <c r="D448" t="str">
        <f t="array" ref="D448">IFERROR(INDEX(checklistPesertaKemenkeu!$G$6:$G$1005,SMALL(IF(checklistPesertaKemenkeu!$AY$6:$AY$1005="Direkomendasikan",ROW($6:$1005)-5),447)),"")</f>
        <v/>
      </c>
      <c r="E448" t="str">
        <f t="array" ref="E448">IFERROR(INDEX(checklistPesertaKemenkeu!$H$6:$H$1005,SMALL(IF(checklistPesertaKemenkeu!$AY$6:$AY$1005="Direkomendasikan",ROW($6:$1005)-5),447)),"")</f>
        <v/>
      </c>
      <c r="F448" t="str">
        <f t="array" ref="F448">IFERROR(INDEX(checklistPesertaKemenkeu!$I$6:$I$1005,SMALL(IF(checklistPesertaKemenkeu!$AY$6:$AY$1005="Direkomendasikan",ROW($6:$1005)-5),447)),"")</f>
        <v/>
      </c>
      <c r="G448" t="str">
        <f t="array" ref="G448">IFERROR(INDEX(checklistPesertaKemenkeu!$J$6:$J$1005,SMALL(IF(checklistPesertaKemenkeu!$AY$6:$AY$1005="Direkomendasikan",ROW($6:$1005)-5),447)),"")</f>
        <v/>
      </c>
      <c r="H448" t="str">
        <f t="array" aca="1" ref="H448" ca="1">IFERROR(IF(OR(INDEX(checklistPesertaKemenkeu!$L$6:$L$1005,SMALL(IF(checklistPesertaKemenkeu!$AY$6:$AY$1005="Direkomendasikan",ROW($6:$1005)-5),447))="",INDEX(checklistPesertaKemenkeu!$J$6:$J$1005,SMALL(IF(checklistPesertaKemenkeu!$AY$6:$AY$1005="Direkomendasikan",ROW($6:$1005)-5),447))=""),"",IF(AND(COUNTIF(INDIRECT("K_"&amp;MATCH(INDEX(checklistPesertaKemenkeu!$J$6:$J$1005,SMALL(IF(checklistPesertaKemenkeu!$AY$6:$AY$1005="Direkomendasikan",ROW($6:$1005)-5),447)),BidangList,0)),INDEX(checklistPesertaKemenkeu!$L$6:$L$1005,SMALL(IF(checklistPesertaKemenkeu!$AY$6:$AY$1005="Direkomendasikan",ROW($6:$1005)-5),447)))&gt;0,COUNTIF(INDIRECT("'KERTAS KERJA'!K"&amp;(SMALL(IF(checklistPesertaKemenkeu!$AY$6:$AY$1005="Direkomendasikan",ROW($6:$1005)-5),447)+5)&amp;":O"&amp;(SMALL(IF(checklistPesertaKemenkeu!$AY$6:$AY$1005="Direkomendasikan",ROW($6:$1005)-5),447)+5)),INDEX(checklistPesertaKemenkeu!$L$6:$L$1005,SMALL(IF(checklistPesertaKemenkeu!$AY$6:$AY$1005="Direkomendasikan",ROW($6:$1005)-5),447)))=1),IFERROR(VLOOKUP(INDEX(checklistPesertaKemenkeu!$L$6:$L$1005,SMALL(IF(checklistPesertaKemenkeu!$AY$6:$AY$1005="Direkomendasikan",ROW($6:$1005)-5),447)),KotaKode,2,0),"-"),"")),"")</f>
        <v/>
      </c>
      <c r="I448" t="str">
        <f t="array" aca="1" ref="I448" ca="1">IFERROR(IF(OR(INDEX(checklistPesertaKemenkeu!$M$6:$M$1005,SMALL(IF(checklistPesertaKemenkeu!$AY$6:$AY$1005="Direkomendasikan",ROW($6:$1005)-5),447))="",INDEX(checklistPesertaKemenkeu!$J$6:$J$1005,SMALL(IF(checklistPesertaKemenkeu!$AY$6:$AY$1005="Direkomendasikan",ROW($6:$1005)-5),447))=""),"",IF(AND(COUNTIF(INDIRECT("K_"&amp;MATCH(INDEX(checklistPesertaKemenkeu!$J$6:$J$1005,SMALL(IF(checklistPesertaKemenkeu!$AY$6:$AY$1005="Direkomendasikan",ROW($6:$1005)-5),447)),BidangList,0)),INDEX(checklistPesertaKemenkeu!$M$6:$M$1005,SMALL(IF(checklistPesertaKemenkeu!$AY$6:$AY$1005="Direkomendasikan",ROW($6:$1005)-5),447)))&gt;0,COUNTIF(INDIRECT("'KERTAS KERJA'!K"&amp;(SMALL(IF(checklistPesertaKemenkeu!$AY$6:$AY$1005="Direkomendasikan",ROW($6:$1005)-5),447)+5)&amp;":O"&amp;(SMALL(IF(checklistPesertaKemenkeu!$AY$6:$AY$1005="Direkomendasikan",ROW($6:$1005)-5),447)+5)),INDEX(checklistPesertaKemenkeu!$M$6:$M$1005,SMALL(IF(checklistPesertaKemenkeu!$AY$6:$AY$1005="Direkomendasikan",ROW($6:$1005)-5),447)))=1),IFERROR(VLOOKUP(INDEX(checklistPesertaKemenkeu!$M$6:$M$1005,SMALL(IF(checklistPesertaKemenkeu!$AY$6:$AY$1005="Direkomendasikan",ROW($6:$1005)-5),447)),KotaKode,2,0),"-"),"")),"")</f>
        <v/>
      </c>
      <c r="J448" t="str">
        <f t="array" aca="1" ref="J448" ca="1">IFERROR(IF(OR(INDEX(checklistPesertaKemenkeu!$N$6:$N$1005,SMALL(IF(checklistPesertaKemenkeu!$AY$6:$AY$1005="Direkomendasikan",ROW($6:$1005)-5),447))="",INDEX(checklistPesertaKemenkeu!$J$6:$J$1005,SMALL(IF(checklistPesertaKemenkeu!$AY$6:$AY$1005="Direkomendasikan",ROW($6:$1005)-5),447))=""),"",IF(AND(COUNTIF(INDIRECT("K_"&amp;MATCH(INDEX(checklistPesertaKemenkeu!$J$6:$J$1005,SMALL(IF(checklistPesertaKemenkeu!$AY$6:$AY$1005="Direkomendasikan",ROW($6:$1005)-5),447)),BidangList,0)),INDEX(checklistPesertaKemenkeu!$N$6:$N$1005,SMALL(IF(checklistPesertaKemenkeu!$AY$6:$AY$1005="Direkomendasikan",ROW($6:$1005)-5),447)))&gt;0,COUNTIF(INDIRECT("'KERTAS KERJA'!K"&amp;(SMALL(IF(checklistPesertaKemenkeu!$AY$6:$AY$1005="Direkomendasikan",ROW($6:$1005)-5),447)+5)&amp;":O"&amp;(SMALL(IF(checklistPesertaKemenkeu!$AY$6:$AY$1005="Direkomendasikan",ROW($6:$1005)-5),447)+5)),INDEX(checklistPesertaKemenkeu!$N$6:$N$1005,SMALL(IF(checklistPesertaKemenkeu!$AY$6:$AY$1005="Direkomendasikan",ROW($6:$1005)-5),447)))=1),IFERROR(VLOOKUP(INDEX(checklistPesertaKemenkeu!$N$6:$N$1005,SMALL(IF(checklistPesertaKemenkeu!$AY$6:$AY$1005="Direkomendasikan",ROW($6:$1005)-5),447)),KotaKode,2,0),"-"),"")),"")</f>
        <v/>
      </c>
      <c r="K448" t="str">
        <f t="array" aca="1" ref="K448" ca="1">IFERROR(IF(OR(INDEX(checklistPesertaKemenkeu!$O$6:$O$1005,SMALL(IF(checklistPesertaKemenkeu!$AY$6:$AY$1005="Direkomendasikan",ROW($6:$1005)-5),447))="",INDEX(checklistPesertaKemenkeu!$J$6:$J$1005,SMALL(IF(checklistPesertaKemenkeu!$AY$6:$AY$1005="Direkomendasikan",ROW($6:$1005)-5),447))=""),"",IF(AND(COUNTIF(INDIRECT("K_"&amp;MATCH(INDEX(checklistPesertaKemenkeu!$J$6:$J$1005,SMALL(IF(checklistPesertaKemenkeu!$AY$6:$AY$1005="Direkomendasikan",ROW($6:$1005)-5),447)),BidangList,0)),INDEX(checklistPesertaKemenkeu!$O$6:$O$1005,SMALL(IF(checklistPesertaKemenkeu!$AY$6:$AY$1005="Direkomendasikan",ROW($6:$1005)-5),447)))&gt;0,COUNTIF(INDIRECT("'KERTAS KERJA'!K"&amp;(SMALL(IF(checklistPesertaKemenkeu!$AY$6:$AY$1005="Direkomendasikan",ROW($6:$1005)-5),447)+5)&amp;":O"&amp;(SMALL(IF(checklistPesertaKemenkeu!$AY$6:$AY$1005="Direkomendasikan",ROW($6:$1005)-5),447)+5)),INDEX(checklistPesertaKemenkeu!$O$6:$O$1005,SMALL(IF(checklistPesertaKemenkeu!$AY$6:$AY$1005="Direkomendasikan",ROW($6:$1005)-5),447)))=1),IFERROR(VLOOKUP(INDEX(checklistPesertaKemenkeu!$O$6:$O$1005,SMALL(IF(checklistPesertaKemenkeu!$AY$6:$AY$1005="Direkomendasikan",ROW($6:$1005)-5),447)),KotaKode,2,0),"-"),"")),"")</f>
        <v/>
      </c>
      <c r="L448" t="str">
        <f t="array" aca="1" ref="L448" ca="1">IFERROR(IF(OR(INDEX(checklistPesertaKemenkeu!$P$6:$P$1005,SMALL(IF(checklistPesertaKemenkeu!$AY$6:$AY$1005="Direkomendasikan",ROW($6:$1005)-5),447))="",INDEX(checklistPesertaKemenkeu!$J$6:$J$1005,SMALL(IF(checklistPesertaKemenkeu!$AY$6:$AY$1005="Direkomendasikan",ROW($6:$1005)-5),447))=""),"",IF(AND(COUNTIF(INDIRECT("K_"&amp;MATCH(INDEX(checklistPesertaKemenkeu!$J$6:$J$1005,SMALL(IF(checklistPesertaKemenkeu!$AY$6:$AY$1005="Direkomendasikan",ROW($6:$1005)-5),447)),BidangList,0)),INDEX(checklistPesertaKemenkeu!$P$6:$P$1005,SMALL(IF(checklistPesertaKemenkeu!$AY$6:$AY$1005="Direkomendasikan",ROW($6:$1005)-5),447)))&gt;0,COUNTIF(INDIRECT("'KERTAS KERJA'!K"&amp;(SMALL(IF(checklistPesertaKemenkeu!$AY$6:$AY$1005="Direkomendasikan",ROW($6:$1005)-5),447)+5)&amp;":O"&amp;(SMALL(IF(checklistPesertaKemenkeu!$AY$6:$AY$1005="Direkomendasikan",ROW($6:$1005)-5),447)+5)),INDEX(checklistPesertaKemenkeu!$P$6:$P$1005,SMALL(IF(checklistPesertaKemenkeu!$AY$6:$AY$1005="Direkomendasikan",ROW($6:$1005)-5),447)))=1),IFERROR(VLOOKUP(INDEX(checklistPesertaKemenkeu!$P$6:$P$1005,SMALL(IF(checklistPesertaKemenkeu!$AY$6:$AY$1005="Direkomendasikan",ROW($6:$1005)-5),447)),KotaKode,2,0),"-"),"")),"")</f>
        <v/>
      </c>
    </row>
    <row r="449" spans="1:12" ht="15" customHeight="1" x14ac:dyDescent="0.2">
      <c r="A449" t="str">
        <f t="shared" si="6"/>
        <v/>
      </c>
      <c r="B449" t="str">
        <v/>
      </c>
      <c r="C449" s="40" t="str">
        <f t="array" ref="C449">IFERROR(INDEX(checklistPesertaKemenkeu!$F$6:$F$1005,SMALL(IF(checklistPesertaKemenkeu!$AY$6:$AY$1005="Direkomendasikan",ROW($6:$1005)-5),448)),"")</f>
        <v/>
      </c>
      <c r="D449" t="str">
        <f t="array" ref="D449">IFERROR(INDEX(checklistPesertaKemenkeu!$G$6:$G$1005,SMALL(IF(checklistPesertaKemenkeu!$AY$6:$AY$1005="Direkomendasikan",ROW($6:$1005)-5),448)),"")</f>
        <v/>
      </c>
      <c r="E449" t="str">
        <f t="array" ref="E449">IFERROR(INDEX(checklistPesertaKemenkeu!$H$6:$H$1005,SMALL(IF(checklistPesertaKemenkeu!$AY$6:$AY$1005="Direkomendasikan",ROW($6:$1005)-5),448)),"")</f>
        <v/>
      </c>
      <c r="F449" t="str">
        <f t="array" ref="F449">IFERROR(INDEX(checklistPesertaKemenkeu!$I$6:$I$1005,SMALL(IF(checklistPesertaKemenkeu!$AY$6:$AY$1005="Direkomendasikan",ROW($6:$1005)-5),448)),"")</f>
        <v/>
      </c>
      <c r="G449" t="str">
        <f t="array" ref="G449">IFERROR(INDEX(checklistPesertaKemenkeu!$J$6:$J$1005,SMALL(IF(checklistPesertaKemenkeu!$AY$6:$AY$1005="Direkomendasikan",ROW($6:$1005)-5),448)),"")</f>
        <v/>
      </c>
      <c r="H449" t="str">
        <f t="array" aca="1" ref="H449" ca="1">IFERROR(IF(OR(INDEX(checklistPesertaKemenkeu!$L$6:$L$1005,SMALL(IF(checklistPesertaKemenkeu!$AY$6:$AY$1005="Direkomendasikan",ROW($6:$1005)-5),448))="",INDEX(checklistPesertaKemenkeu!$J$6:$J$1005,SMALL(IF(checklistPesertaKemenkeu!$AY$6:$AY$1005="Direkomendasikan",ROW($6:$1005)-5),448))=""),"",IF(AND(COUNTIF(INDIRECT("K_"&amp;MATCH(INDEX(checklistPesertaKemenkeu!$J$6:$J$1005,SMALL(IF(checklistPesertaKemenkeu!$AY$6:$AY$1005="Direkomendasikan",ROW($6:$1005)-5),448)),BidangList,0)),INDEX(checklistPesertaKemenkeu!$L$6:$L$1005,SMALL(IF(checklistPesertaKemenkeu!$AY$6:$AY$1005="Direkomendasikan",ROW($6:$1005)-5),448)))&gt;0,COUNTIF(INDIRECT("'KERTAS KERJA'!K"&amp;(SMALL(IF(checklistPesertaKemenkeu!$AY$6:$AY$1005="Direkomendasikan",ROW($6:$1005)-5),448)+5)&amp;":O"&amp;(SMALL(IF(checklistPesertaKemenkeu!$AY$6:$AY$1005="Direkomendasikan",ROW($6:$1005)-5),448)+5)),INDEX(checklistPesertaKemenkeu!$L$6:$L$1005,SMALL(IF(checklistPesertaKemenkeu!$AY$6:$AY$1005="Direkomendasikan",ROW($6:$1005)-5),448)))=1),IFERROR(VLOOKUP(INDEX(checklistPesertaKemenkeu!$L$6:$L$1005,SMALL(IF(checklistPesertaKemenkeu!$AY$6:$AY$1005="Direkomendasikan",ROW($6:$1005)-5),448)),KotaKode,2,0),"-"),"")),"")</f>
        <v/>
      </c>
      <c r="I449" t="str">
        <f t="array" aca="1" ref="I449" ca="1">IFERROR(IF(OR(INDEX(checklistPesertaKemenkeu!$M$6:$M$1005,SMALL(IF(checklistPesertaKemenkeu!$AY$6:$AY$1005="Direkomendasikan",ROW($6:$1005)-5),448))="",INDEX(checklistPesertaKemenkeu!$J$6:$J$1005,SMALL(IF(checklistPesertaKemenkeu!$AY$6:$AY$1005="Direkomendasikan",ROW($6:$1005)-5),448))=""),"",IF(AND(COUNTIF(INDIRECT("K_"&amp;MATCH(INDEX(checklistPesertaKemenkeu!$J$6:$J$1005,SMALL(IF(checklistPesertaKemenkeu!$AY$6:$AY$1005="Direkomendasikan",ROW($6:$1005)-5),448)),BidangList,0)),INDEX(checklistPesertaKemenkeu!$M$6:$M$1005,SMALL(IF(checklistPesertaKemenkeu!$AY$6:$AY$1005="Direkomendasikan",ROW($6:$1005)-5),448)))&gt;0,COUNTIF(INDIRECT("'KERTAS KERJA'!K"&amp;(SMALL(IF(checklistPesertaKemenkeu!$AY$6:$AY$1005="Direkomendasikan",ROW($6:$1005)-5),448)+5)&amp;":O"&amp;(SMALL(IF(checklistPesertaKemenkeu!$AY$6:$AY$1005="Direkomendasikan",ROW($6:$1005)-5),448)+5)),INDEX(checklistPesertaKemenkeu!$M$6:$M$1005,SMALL(IF(checklistPesertaKemenkeu!$AY$6:$AY$1005="Direkomendasikan",ROW($6:$1005)-5),448)))=1),IFERROR(VLOOKUP(INDEX(checklistPesertaKemenkeu!$M$6:$M$1005,SMALL(IF(checklistPesertaKemenkeu!$AY$6:$AY$1005="Direkomendasikan",ROW($6:$1005)-5),448)),KotaKode,2,0),"-"),"")),"")</f>
        <v/>
      </c>
      <c r="J449" t="str">
        <f t="array" aca="1" ref="J449" ca="1">IFERROR(IF(OR(INDEX(checklistPesertaKemenkeu!$N$6:$N$1005,SMALL(IF(checklistPesertaKemenkeu!$AY$6:$AY$1005="Direkomendasikan",ROW($6:$1005)-5),448))="",INDEX(checklistPesertaKemenkeu!$J$6:$J$1005,SMALL(IF(checklistPesertaKemenkeu!$AY$6:$AY$1005="Direkomendasikan",ROW($6:$1005)-5),448))=""),"",IF(AND(COUNTIF(INDIRECT("K_"&amp;MATCH(INDEX(checklistPesertaKemenkeu!$J$6:$J$1005,SMALL(IF(checklistPesertaKemenkeu!$AY$6:$AY$1005="Direkomendasikan",ROW($6:$1005)-5),448)),BidangList,0)),INDEX(checklistPesertaKemenkeu!$N$6:$N$1005,SMALL(IF(checklistPesertaKemenkeu!$AY$6:$AY$1005="Direkomendasikan",ROW($6:$1005)-5),448)))&gt;0,COUNTIF(INDIRECT("'KERTAS KERJA'!K"&amp;(SMALL(IF(checklistPesertaKemenkeu!$AY$6:$AY$1005="Direkomendasikan",ROW($6:$1005)-5),448)+5)&amp;":O"&amp;(SMALL(IF(checklistPesertaKemenkeu!$AY$6:$AY$1005="Direkomendasikan",ROW($6:$1005)-5),448)+5)),INDEX(checklistPesertaKemenkeu!$N$6:$N$1005,SMALL(IF(checklistPesertaKemenkeu!$AY$6:$AY$1005="Direkomendasikan",ROW($6:$1005)-5),448)))=1),IFERROR(VLOOKUP(INDEX(checklistPesertaKemenkeu!$N$6:$N$1005,SMALL(IF(checklistPesertaKemenkeu!$AY$6:$AY$1005="Direkomendasikan",ROW($6:$1005)-5),448)),KotaKode,2,0),"-"),"")),"")</f>
        <v/>
      </c>
      <c r="K449" t="str">
        <f t="array" aca="1" ref="K449" ca="1">IFERROR(IF(OR(INDEX(checklistPesertaKemenkeu!$O$6:$O$1005,SMALL(IF(checklistPesertaKemenkeu!$AY$6:$AY$1005="Direkomendasikan",ROW($6:$1005)-5),448))="",INDEX(checklistPesertaKemenkeu!$J$6:$J$1005,SMALL(IF(checklistPesertaKemenkeu!$AY$6:$AY$1005="Direkomendasikan",ROW($6:$1005)-5),448))=""),"",IF(AND(COUNTIF(INDIRECT("K_"&amp;MATCH(INDEX(checklistPesertaKemenkeu!$J$6:$J$1005,SMALL(IF(checklistPesertaKemenkeu!$AY$6:$AY$1005="Direkomendasikan",ROW($6:$1005)-5),448)),BidangList,0)),INDEX(checklistPesertaKemenkeu!$O$6:$O$1005,SMALL(IF(checklistPesertaKemenkeu!$AY$6:$AY$1005="Direkomendasikan",ROW($6:$1005)-5),448)))&gt;0,COUNTIF(INDIRECT("'KERTAS KERJA'!K"&amp;(SMALL(IF(checklistPesertaKemenkeu!$AY$6:$AY$1005="Direkomendasikan",ROW($6:$1005)-5),448)+5)&amp;":O"&amp;(SMALL(IF(checklistPesertaKemenkeu!$AY$6:$AY$1005="Direkomendasikan",ROW($6:$1005)-5),448)+5)),INDEX(checklistPesertaKemenkeu!$O$6:$O$1005,SMALL(IF(checklistPesertaKemenkeu!$AY$6:$AY$1005="Direkomendasikan",ROW($6:$1005)-5),448)))=1),IFERROR(VLOOKUP(INDEX(checklistPesertaKemenkeu!$O$6:$O$1005,SMALL(IF(checklistPesertaKemenkeu!$AY$6:$AY$1005="Direkomendasikan",ROW($6:$1005)-5),448)),KotaKode,2,0),"-"),"")),"")</f>
        <v/>
      </c>
      <c r="L449" t="str">
        <f t="array" aca="1" ref="L449" ca="1">IFERROR(IF(OR(INDEX(checklistPesertaKemenkeu!$P$6:$P$1005,SMALL(IF(checklistPesertaKemenkeu!$AY$6:$AY$1005="Direkomendasikan",ROW($6:$1005)-5),448))="",INDEX(checklistPesertaKemenkeu!$J$6:$J$1005,SMALL(IF(checklistPesertaKemenkeu!$AY$6:$AY$1005="Direkomendasikan",ROW($6:$1005)-5),448))=""),"",IF(AND(COUNTIF(INDIRECT("K_"&amp;MATCH(INDEX(checklistPesertaKemenkeu!$J$6:$J$1005,SMALL(IF(checklistPesertaKemenkeu!$AY$6:$AY$1005="Direkomendasikan",ROW($6:$1005)-5),448)),BidangList,0)),INDEX(checklistPesertaKemenkeu!$P$6:$P$1005,SMALL(IF(checklistPesertaKemenkeu!$AY$6:$AY$1005="Direkomendasikan",ROW($6:$1005)-5),448)))&gt;0,COUNTIF(INDIRECT("'KERTAS KERJA'!K"&amp;(SMALL(IF(checklistPesertaKemenkeu!$AY$6:$AY$1005="Direkomendasikan",ROW($6:$1005)-5),448)+5)&amp;":O"&amp;(SMALL(IF(checklistPesertaKemenkeu!$AY$6:$AY$1005="Direkomendasikan",ROW($6:$1005)-5),448)+5)),INDEX(checklistPesertaKemenkeu!$P$6:$P$1005,SMALL(IF(checklistPesertaKemenkeu!$AY$6:$AY$1005="Direkomendasikan",ROW($6:$1005)-5),448)))=1),IFERROR(VLOOKUP(INDEX(checklistPesertaKemenkeu!$P$6:$P$1005,SMALL(IF(checklistPesertaKemenkeu!$AY$6:$AY$1005="Direkomendasikan",ROW($6:$1005)-5),448)),KotaKode,2,0),"-"),"")),"")</f>
        <v/>
      </c>
    </row>
    <row r="450" spans="1:12" ht="15" customHeight="1" x14ac:dyDescent="0.2">
      <c r="A450" t="str">
        <f t="shared" ref="A450:A513" si="7">IF(C450="","",ROW()-1)</f>
        <v/>
      </c>
      <c r="B450" t="str">
        <v/>
      </c>
      <c r="C450" s="40" t="str">
        <f t="array" ref="C450">IFERROR(INDEX(checklistPesertaKemenkeu!$F$6:$F$1005,SMALL(IF(checklistPesertaKemenkeu!$AY$6:$AY$1005="Direkomendasikan",ROW($6:$1005)-5),449)),"")</f>
        <v/>
      </c>
      <c r="D450" t="str">
        <f t="array" ref="D450">IFERROR(INDEX(checklistPesertaKemenkeu!$G$6:$G$1005,SMALL(IF(checklistPesertaKemenkeu!$AY$6:$AY$1005="Direkomendasikan",ROW($6:$1005)-5),449)),"")</f>
        <v/>
      </c>
      <c r="E450" t="str">
        <f t="array" ref="E450">IFERROR(INDEX(checklistPesertaKemenkeu!$H$6:$H$1005,SMALL(IF(checklistPesertaKemenkeu!$AY$6:$AY$1005="Direkomendasikan",ROW($6:$1005)-5),449)),"")</f>
        <v/>
      </c>
      <c r="F450" t="str">
        <f t="array" ref="F450">IFERROR(INDEX(checklistPesertaKemenkeu!$I$6:$I$1005,SMALL(IF(checklistPesertaKemenkeu!$AY$6:$AY$1005="Direkomendasikan",ROW($6:$1005)-5),449)),"")</f>
        <v/>
      </c>
      <c r="G450" t="str">
        <f t="array" ref="G450">IFERROR(INDEX(checklistPesertaKemenkeu!$J$6:$J$1005,SMALL(IF(checklistPesertaKemenkeu!$AY$6:$AY$1005="Direkomendasikan",ROW($6:$1005)-5),449)),"")</f>
        <v/>
      </c>
      <c r="H450" t="str">
        <f t="array" aca="1" ref="H450" ca="1">IFERROR(IF(OR(INDEX(checklistPesertaKemenkeu!$L$6:$L$1005,SMALL(IF(checklistPesertaKemenkeu!$AY$6:$AY$1005="Direkomendasikan",ROW($6:$1005)-5),449))="",INDEX(checklistPesertaKemenkeu!$J$6:$J$1005,SMALL(IF(checklistPesertaKemenkeu!$AY$6:$AY$1005="Direkomendasikan",ROW($6:$1005)-5),449))=""),"",IF(AND(COUNTIF(INDIRECT("K_"&amp;MATCH(INDEX(checklistPesertaKemenkeu!$J$6:$J$1005,SMALL(IF(checklistPesertaKemenkeu!$AY$6:$AY$1005="Direkomendasikan",ROW($6:$1005)-5),449)),BidangList,0)),INDEX(checklistPesertaKemenkeu!$L$6:$L$1005,SMALL(IF(checklistPesertaKemenkeu!$AY$6:$AY$1005="Direkomendasikan",ROW($6:$1005)-5),449)))&gt;0,COUNTIF(INDIRECT("'KERTAS KERJA'!K"&amp;(SMALL(IF(checklistPesertaKemenkeu!$AY$6:$AY$1005="Direkomendasikan",ROW($6:$1005)-5),449)+5)&amp;":O"&amp;(SMALL(IF(checklistPesertaKemenkeu!$AY$6:$AY$1005="Direkomendasikan",ROW($6:$1005)-5),449)+5)),INDEX(checklistPesertaKemenkeu!$L$6:$L$1005,SMALL(IF(checklistPesertaKemenkeu!$AY$6:$AY$1005="Direkomendasikan",ROW($6:$1005)-5),449)))=1),IFERROR(VLOOKUP(INDEX(checklistPesertaKemenkeu!$L$6:$L$1005,SMALL(IF(checklistPesertaKemenkeu!$AY$6:$AY$1005="Direkomendasikan",ROW($6:$1005)-5),449)),KotaKode,2,0),"-"),"")),"")</f>
        <v/>
      </c>
      <c r="I450" t="str">
        <f t="array" aca="1" ref="I450" ca="1">IFERROR(IF(OR(INDEX(checklistPesertaKemenkeu!$M$6:$M$1005,SMALL(IF(checklistPesertaKemenkeu!$AY$6:$AY$1005="Direkomendasikan",ROW($6:$1005)-5),449))="",INDEX(checklistPesertaKemenkeu!$J$6:$J$1005,SMALL(IF(checklistPesertaKemenkeu!$AY$6:$AY$1005="Direkomendasikan",ROW($6:$1005)-5),449))=""),"",IF(AND(COUNTIF(INDIRECT("K_"&amp;MATCH(INDEX(checklistPesertaKemenkeu!$J$6:$J$1005,SMALL(IF(checklistPesertaKemenkeu!$AY$6:$AY$1005="Direkomendasikan",ROW($6:$1005)-5),449)),BidangList,0)),INDEX(checklistPesertaKemenkeu!$M$6:$M$1005,SMALL(IF(checklistPesertaKemenkeu!$AY$6:$AY$1005="Direkomendasikan",ROW($6:$1005)-5),449)))&gt;0,COUNTIF(INDIRECT("'KERTAS KERJA'!K"&amp;(SMALL(IF(checklistPesertaKemenkeu!$AY$6:$AY$1005="Direkomendasikan",ROW($6:$1005)-5),449)+5)&amp;":O"&amp;(SMALL(IF(checklistPesertaKemenkeu!$AY$6:$AY$1005="Direkomendasikan",ROW($6:$1005)-5),449)+5)),INDEX(checklistPesertaKemenkeu!$M$6:$M$1005,SMALL(IF(checklistPesertaKemenkeu!$AY$6:$AY$1005="Direkomendasikan",ROW($6:$1005)-5),449)))=1),IFERROR(VLOOKUP(INDEX(checklistPesertaKemenkeu!$M$6:$M$1005,SMALL(IF(checklistPesertaKemenkeu!$AY$6:$AY$1005="Direkomendasikan",ROW($6:$1005)-5),449)),KotaKode,2,0),"-"),"")),"")</f>
        <v/>
      </c>
      <c r="J450" t="str">
        <f t="array" aca="1" ref="J450" ca="1">IFERROR(IF(OR(INDEX(checklistPesertaKemenkeu!$N$6:$N$1005,SMALL(IF(checklistPesertaKemenkeu!$AY$6:$AY$1005="Direkomendasikan",ROW($6:$1005)-5),449))="",INDEX(checklistPesertaKemenkeu!$J$6:$J$1005,SMALL(IF(checklistPesertaKemenkeu!$AY$6:$AY$1005="Direkomendasikan",ROW($6:$1005)-5),449))=""),"",IF(AND(COUNTIF(INDIRECT("K_"&amp;MATCH(INDEX(checklistPesertaKemenkeu!$J$6:$J$1005,SMALL(IF(checklistPesertaKemenkeu!$AY$6:$AY$1005="Direkomendasikan",ROW($6:$1005)-5),449)),BidangList,0)),INDEX(checklistPesertaKemenkeu!$N$6:$N$1005,SMALL(IF(checklistPesertaKemenkeu!$AY$6:$AY$1005="Direkomendasikan",ROW($6:$1005)-5),449)))&gt;0,COUNTIF(INDIRECT("'KERTAS KERJA'!K"&amp;(SMALL(IF(checklistPesertaKemenkeu!$AY$6:$AY$1005="Direkomendasikan",ROW($6:$1005)-5),449)+5)&amp;":O"&amp;(SMALL(IF(checklistPesertaKemenkeu!$AY$6:$AY$1005="Direkomendasikan",ROW($6:$1005)-5),449)+5)),INDEX(checklistPesertaKemenkeu!$N$6:$N$1005,SMALL(IF(checklistPesertaKemenkeu!$AY$6:$AY$1005="Direkomendasikan",ROW($6:$1005)-5),449)))=1),IFERROR(VLOOKUP(INDEX(checklistPesertaKemenkeu!$N$6:$N$1005,SMALL(IF(checklistPesertaKemenkeu!$AY$6:$AY$1005="Direkomendasikan",ROW($6:$1005)-5),449)),KotaKode,2,0),"-"),"")),"")</f>
        <v/>
      </c>
      <c r="K450" t="str">
        <f t="array" aca="1" ref="K450" ca="1">IFERROR(IF(OR(INDEX(checklistPesertaKemenkeu!$O$6:$O$1005,SMALL(IF(checklistPesertaKemenkeu!$AY$6:$AY$1005="Direkomendasikan",ROW($6:$1005)-5),449))="",INDEX(checklistPesertaKemenkeu!$J$6:$J$1005,SMALL(IF(checklistPesertaKemenkeu!$AY$6:$AY$1005="Direkomendasikan",ROW($6:$1005)-5),449))=""),"",IF(AND(COUNTIF(INDIRECT("K_"&amp;MATCH(INDEX(checklistPesertaKemenkeu!$J$6:$J$1005,SMALL(IF(checklistPesertaKemenkeu!$AY$6:$AY$1005="Direkomendasikan",ROW($6:$1005)-5),449)),BidangList,0)),INDEX(checklistPesertaKemenkeu!$O$6:$O$1005,SMALL(IF(checklistPesertaKemenkeu!$AY$6:$AY$1005="Direkomendasikan",ROW($6:$1005)-5),449)))&gt;0,COUNTIF(INDIRECT("'KERTAS KERJA'!K"&amp;(SMALL(IF(checklistPesertaKemenkeu!$AY$6:$AY$1005="Direkomendasikan",ROW($6:$1005)-5),449)+5)&amp;":O"&amp;(SMALL(IF(checklistPesertaKemenkeu!$AY$6:$AY$1005="Direkomendasikan",ROW($6:$1005)-5),449)+5)),INDEX(checklistPesertaKemenkeu!$O$6:$O$1005,SMALL(IF(checklistPesertaKemenkeu!$AY$6:$AY$1005="Direkomendasikan",ROW($6:$1005)-5),449)))=1),IFERROR(VLOOKUP(INDEX(checklistPesertaKemenkeu!$O$6:$O$1005,SMALL(IF(checklistPesertaKemenkeu!$AY$6:$AY$1005="Direkomendasikan",ROW($6:$1005)-5),449)),KotaKode,2,0),"-"),"")),"")</f>
        <v/>
      </c>
      <c r="L450" t="str">
        <f t="array" aca="1" ref="L450" ca="1">IFERROR(IF(OR(INDEX(checklistPesertaKemenkeu!$P$6:$P$1005,SMALL(IF(checklistPesertaKemenkeu!$AY$6:$AY$1005="Direkomendasikan",ROW($6:$1005)-5),449))="",INDEX(checklistPesertaKemenkeu!$J$6:$J$1005,SMALL(IF(checklistPesertaKemenkeu!$AY$6:$AY$1005="Direkomendasikan",ROW($6:$1005)-5),449))=""),"",IF(AND(COUNTIF(INDIRECT("K_"&amp;MATCH(INDEX(checklistPesertaKemenkeu!$J$6:$J$1005,SMALL(IF(checklistPesertaKemenkeu!$AY$6:$AY$1005="Direkomendasikan",ROW($6:$1005)-5),449)),BidangList,0)),INDEX(checklistPesertaKemenkeu!$P$6:$P$1005,SMALL(IF(checklistPesertaKemenkeu!$AY$6:$AY$1005="Direkomendasikan",ROW($6:$1005)-5),449)))&gt;0,COUNTIF(INDIRECT("'KERTAS KERJA'!K"&amp;(SMALL(IF(checklistPesertaKemenkeu!$AY$6:$AY$1005="Direkomendasikan",ROW($6:$1005)-5),449)+5)&amp;":O"&amp;(SMALL(IF(checklistPesertaKemenkeu!$AY$6:$AY$1005="Direkomendasikan",ROW($6:$1005)-5),449)+5)),INDEX(checklistPesertaKemenkeu!$P$6:$P$1005,SMALL(IF(checklistPesertaKemenkeu!$AY$6:$AY$1005="Direkomendasikan",ROW($6:$1005)-5),449)))=1),IFERROR(VLOOKUP(INDEX(checklistPesertaKemenkeu!$P$6:$P$1005,SMALL(IF(checklistPesertaKemenkeu!$AY$6:$AY$1005="Direkomendasikan",ROW($6:$1005)-5),449)),KotaKode,2,0),"-"),"")),"")</f>
        <v/>
      </c>
    </row>
    <row r="451" spans="1:12" ht="15" customHeight="1" x14ac:dyDescent="0.2">
      <c r="A451" t="str">
        <f t="shared" si="7"/>
        <v/>
      </c>
      <c r="B451" t="str">
        <v/>
      </c>
      <c r="C451" s="40" t="str">
        <f t="array" ref="C451">IFERROR(INDEX(checklistPesertaKemenkeu!$F$6:$F$1005,SMALL(IF(checklistPesertaKemenkeu!$AY$6:$AY$1005="Direkomendasikan",ROW($6:$1005)-5),450)),"")</f>
        <v/>
      </c>
      <c r="D451" t="str">
        <f t="array" ref="D451">IFERROR(INDEX(checklistPesertaKemenkeu!$G$6:$G$1005,SMALL(IF(checklistPesertaKemenkeu!$AY$6:$AY$1005="Direkomendasikan",ROW($6:$1005)-5),450)),"")</f>
        <v/>
      </c>
      <c r="E451" t="str">
        <f t="array" ref="E451">IFERROR(INDEX(checklistPesertaKemenkeu!$H$6:$H$1005,SMALL(IF(checklistPesertaKemenkeu!$AY$6:$AY$1005="Direkomendasikan",ROW($6:$1005)-5),450)),"")</f>
        <v/>
      </c>
      <c r="F451" t="str">
        <f t="array" ref="F451">IFERROR(INDEX(checklistPesertaKemenkeu!$I$6:$I$1005,SMALL(IF(checklistPesertaKemenkeu!$AY$6:$AY$1005="Direkomendasikan",ROW($6:$1005)-5),450)),"")</f>
        <v/>
      </c>
      <c r="G451" t="str">
        <f t="array" ref="G451">IFERROR(INDEX(checklistPesertaKemenkeu!$J$6:$J$1005,SMALL(IF(checklistPesertaKemenkeu!$AY$6:$AY$1005="Direkomendasikan",ROW($6:$1005)-5),450)),"")</f>
        <v/>
      </c>
      <c r="H451" t="str">
        <f t="array" aca="1" ref="H451" ca="1">IFERROR(IF(OR(INDEX(checklistPesertaKemenkeu!$L$6:$L$1005,SMALL(IF(checklistPesertaKemenkeu!$AY$6:$AY$1005="Direkomendasikan",ROW($6:$1005)-5),450))="",INDEX(checklistPesertaKemenkeu!$J$6:$J$1005,SMALL(IF(checklistPesertaKemenkeu!$AY$6:$AY$1005="Direkomendasikan",ROW($6:$1005)-5),450))=""),"",IF(AND(COUNTIF(INDIRECT("K_"&amp;MATCH(INDEX(checklistPesertaKemenkeu!$J$6:$J$1005,SMALL(IF(checklistPesertaKemenkeu!$AY$6:$AY$1005="Direkomendasikan",ROW($6:$1005)-5),450)),BidangList,0)),INDEX(checklistPesertaKemenkeu!$L$6:$L$1005,SMALL(IF(checklistPesertaKemenkeu!$AY$6:$AY$1005="Direkomendasikan",ROW($6:$1005)-5),450)))&gt;0,COUNTIF(INDIRECT("'KERTAS KERJA'!K"&amp;(SMALL(IF(checklistPesertaKemenkeu!$AY$6:$AY$1005="Direkomendasikan",ROW($6:$1005)-5),450)+5)&amp;":O"&amp;(SMALL(IF(checklistPesertaKemenkeu!$AY$6:$AY$1005="Direkomendasikan",ROW($6:$1005)-5),450)+5)),INDEX(checklistPesertaKemenkeu!$L$6:$L$1005,SMALL(IF(checklistPesertaKemenkeu!$AY$6:$AY$1005="Direkomendasikan",ROW($6:$1005)-5),450)))=1),IFERROR(VLOOKUP(INDEX(checklistPesertaKemenkeu!$L$6:$L$1005,SMALL(IF(checklistPesertaKemenkeu!$AY$6:$AY$1005="Direkomendasikan",ROW($6:$1005)-5),450)),KotaKode,2,0),"-"),"")),"")</f>
        <v/>
      </c>
      <c r="I451" t="str">
        <f t="array" aca="1" ref="I451" ca="1">IFERROR(IF(OR(INDEX(checklistPesertaKemenkeu!$M$6:$M$1005,SMALL(IF(checklistPesertaKemenkeu!$AY$6:$AY$1005="Direkomendasikan",ROW($6:$1005)-5),450))="",INDEX(checklistPesertaKemenkeu!$J$6:$J$1005,SMALL(IF(checklistPesertaKemenkeu!$AY$6:$AY$1005="Direkomendasikan",ROW($6:$1005)-5),450))=""),"",IF(AND(COUNTIF(INDIRECT("K_"&amp;MATCH(INDEX(checklistPesertaKemenkeu!$J$6:$J$1005,SMALL(IF(checklistPesertaKemenkeu!$AY$6:$AY$1005="Direkomendasikan",ROW($6:$1005)-5),450)),BidangList,0)),INDEX(checklistPesertaKemenkeu!$M$6:$M$1005,SMALL(IF(checklistPesertaKemenkeu!$AY$6:$AY$1005="Direkomendasikan",ROW($6:$1005)-5),450)))&gt;0,COUNTIF(INDIRECT("'KERTAS KERJA'!K"&amp;(SMALL(IF(checklistPesertaKemenkeu!$AY$6:$AY$1005="Direkomendasikan",ROW($6:$1005)-5),450)+5)&amp;":O"&amp;(SMALL(IF(checklistPesertaKemenkeu!$AY$6:$AY$1005="Direkomendasikan",ROW($6:$1005)-5),450)+5)),INDEX(checklistPesertaKemenkeu!$M$6:$M$1005,SMALL(IF(checklistPesertaKemenkeu!$AY$6:$AY$1005="Direkomendasikan",ROW($6:$1005)-5),450)))=1),IFERROR(VLOOKUP(INDEX(checklistPesertaKemenkeu!$M$6:$M$1005,SMALL(IF(checklistPesertaKemenkeu!$AY$6:$AY$1005="Direkomendasikan",ROW($6:$1005)-5),450)),KotaKode,2,0),"-"),"")),"")</f>
        <v/>
      </c>
      <c r="J451" t="str">
        <f t="array" aca="1" ref="J451" ca="1">IFERROR(IF(OR(INDEX(checklistPesertaKemenkeu!$N$6:$N$1005,SMALL(IF(checklistPesertaKemenkeu!$AY$6:$AY$1005="Direkomendasikan",ROW($6:$1005)-5),450))="",INDEX(checklistPesertaKemenkeu!$J$6:$J$1005,SMALL(IF(checklistPesertaKemenkeu!$AY$6:$AY$1005="Direkomendasikan",ROW($6:$1005)-5),450))=""),"",IF(AND(COUNTIF(INDIRECT("K_"&amp;MATCH(INDEX(checklistPesertaKemenkeu!$J$6:$J$1005,SMALL(IF(checklistPesertaKemenkeu!$AY$6:$AY$1005="Direkomendasikan",ROW($6:$1005)-5),450)),BidangList,0)),INDEX(checklistPesertaKemenkeu!$N$6:$N$1005,SMALL(IF(checklistPesertaKemenkeu!$AY$6:$AY$1005="Direkomendasikan",ROW($6:$1005)-5),450)))&gt;0,COUNTIF(INDIRECT("'KERTAS KERJA'!K"&amp;(SMALL(IF(checklistPesertaKemenkeu!$AY$6:$AY$1005="Direkomendasikan",ROW($6:$1005)-5),450)+5)&amp;":O"&amp;(SMALL(IF(checklistPesertaKemenkeu!$AY$6:$AY$1005="Direkomendasikan",ROW($6:$1005)-5),450)+5)),INDEX(checklistPesertaKemenkeu!$N$6:$N$1005,SMALL(IF(checklistPesertaKemenkeu!$AY$6:$AY$1005="Direkomendasikan",ROW($6:$1005)-5),450)))=1),IFERROR(VLOOKUP(INDEX(checklistPesertaKemenkeu!$N$6:$N$1005,SMALL(IF(checklistPesertaKemenkeu!$AY$6:$AY$1005="Direkomendasikan",ROW($6:$1005)-5),450)),KotaKode,2,0),"-"),"")),"")</f>
        <v/>
      </c>
      <c r="K451" t="str">
        <f t="array" aca="1" ref="K451" ca="1">IFERROR(IF(OR(INDEX(checklistPesertaKemenkeu!$O$6:$O$1005,SMALL(IF(checklistPesertaKemenkeu!$AY$6:$AY$1005="Direkomendasikan",ROW($6:$1005)-5),450))="",INDEX(checklistPesertaKemenkeu!$J$6:$J$1005,SMALL(IF(checklistPesertaKemenkeu!$AY$6:$AY$1005="Direkomendasikan",ROW($6:$1005)-5),450))=""),"",IF(AND(COUNTIF(INDIRECT("K_"&amp;MATCH(INDEX(checklistPesertaKemenkeu!$J$6:$J$1005,SMALL(IF(checklistPesertaKemenkeu!$AY$6:$AY$1005="Direkomendasikan",ROW($6:$1005)-5),450)),BidangList,0)),INDEX(checklistPesertaKemenkeu!$O$6:$O$1005,SMALL(IF(checklistPesertaKemenkeu!$AY$6:$AY$1005="Direkomendasikan",ROW($6:$1005)-5),450)))&gt;0,COUNTIF(INDIRECT("'KERTAS KERJA'!K"&amp;(SMALL(IF(checklistPesertaKemenkeu!$AY$6:$AY$1005="Direkomendasikan",ROW($6:$1005)-5),450)+5)&amp;":O"&amp;(SMALL(IF(checklistPesertaKemenkeu!$AY$6:$AY$1005="Direkomendasikan",ROW($6:$1005)-5),450)+5)),INDEX(checklistPesertaKemenkeu!$O$6:$O$1005,SMALL(IF(checklistPesertaKemenkeu!$AY$6:$AY$1005="Direkomendasikan",ROW($6:$1005)-5),450)))=1),IFERROR(VLOOKUP(INDEX(checklistPesertaKemenkeu!$O$6:$O$1005,SMALL(IF(checklistPesertaKemenkeu!$AY$6:$AY$1005="Direkomendasikan",ROW($6:$1005)-5),450)),KotaKode,2,0),"-"),"")),"")</f>
        <v/>
      </c>
      <c r="L451" t="str">
        <f t="array" aca="1" ref="L451" ca="1">IFERROR(IF(OR(INDEX(checklistPesertaKemenkeu!$P$6:$P$1005,SMALL(IF(checklistPesertaKemenkeu!$AY$6:$AY$1005="Direkomendasikan",ROW($6:$1005)-5),450))="",INDEX(checklistPesertaKemenkeu!$J$6:$J$1005,SMALL(IF(checklistPesertaKemenkeu!$AY$6:$AY$1005="Direkomendasikan",ROW($6:$1005)-5),450))=""),"",IF(AND(COUNTIF(INDIRECT("K_"&amp;MATCH(INDEX(checklistPesertaKemenkeu!$J$6:$J$1005,SMALL(IF(checklistPesertaKemenkeu!$AY$6:$AY$1005="Direkomendasikan",ROW($6:$1005)-5),450)),BidangList,0)),INDEX(checklistPesertaKemenkeu!$P$6:$P$1005,SMALL(IF(checklistPesertaKemenkeu!$AY$6:$AY$1005="Direkomendasikan",ROW($6:$1005)-5),450)))&gt;0,COUNTIF(INDIRECT("'KERTAS KERJA'!K"&amp;(SMALL(IF(checklistPesertaKemenkeu!$AY$6:$AY$1005="Direkomendasikan",ROW($6:$1005)-5),450)+5)&amp;":O"&amp;(SMALL(IF(checklistPesertaKemenkeu!$AY$6:$AY$1005="Direkomendasikan",ROW($6:$1005)-5),450)+5)),INDEX(checklistPesertaKemenkeu!$P$6:$P$1005,SMALL(IF(checklistPesertaKemenkeu!$AY$6:$AY$1005="Direkomendasikan",ROW($6:$1005)-5),450)))=1),IFERROR(VLOOKUP(INDEX(checklistPesertaKemenkeu!$P$6:$P$1005,SMALL(IF(checklistPesertaKemenkeu!$AY$6:$AY$1005="Direkomendasikan",ROW($6:$1005)-5),450)),KotaKode,2,0),"-"),"")),"")</f>
        <v/>
      </c>
    </row>
    <row r="452" spans="1:12" ht="15" customHeight="1" x14ac:dyDescent="0.2">
      <c r="A452" t="str">
        <f t="shared" si="7"/>
        <v/>
      </c>
      <c r="B452" t="str">
        <v/>
      </c>
      <c r="C452" s="40" t="str">
        <f t="array" ref="C452">IFERROR(INDEX(checklistPesertaKemenkeu!$F$6:$F$1005,SMALL(IF(checklistPesertaKemenkeu!$AY$6:$AY$1005="Direkomendasikan",ROW($6:$1005)-5),451)),"")</f>
        <v/>
      </c>
      <c r="D452" t="str">
        <f t="array" ref="D452">IFERROR(INDEX(checklistPesertaKemenkeu!$G$6:$G$1005,SMALL(IF(checklistPesertaKemenkeu!$AY$6:$AY$1005="Direkomendasikan",ROW($6:$1005)-5),451)),"")</f>
        <v/>
      </c>
      <c r="E452" t="str">
        <f t="array" ref="E452">IFERROR(INDEX(checklistPesertaKemenkeu!$H$6:$H$1005,SMALL(IF(checklistPesertaKemenkeu!$AY$6:$AY$1005="Direkomendasikan",ROW($6:$1005)-5),451)),"")</f>
        <v/>
      </c>
      <c r="F452" t="str">
        <f t="array" ref="F452">IFERROR(INDEX(checklistPesertaKemenkeu!$I$6:$I$1005,SMALL(IF(checklistPesertaKemenkeu!$AY$6:$AY$1005="Direkomendasikan",ROW($6:$1005)-5),451)),"")</f>
        <v/>
      </c>
      <c r="G452" t="str">
        <f t="array" ref="G452">IFERROR(INDEX(checklistPesertaKemenkeu!$J$6:$J$1005,SMALL(IF(checklistPesertaKemenkeu!$AY$6:$AY$1005="Direkomendasikan",ROW($6:$1005)-5),451)),"")</f>
        <v/>
      </c>
      <c r="H452" t="str">
        <f t="array" aca="1" ref="H452" ca="1">IFERROR(IF(OR(INDEX(checklistPesertaKemenkeu!$L$6:$L$1005,SMALL(IF(checklistPesertaKemenkeu!$AY$6:$AY$1005="Direkomendasikan",ROW($6:$1005)-5),451))="",INDEX(checklistPesertaKemenkeu!$J$6:$J$1005,SMALL(IF(checklistPesertaKemenkeu!$AY$6:$AY$1005="Direkomendasikan",ROW($6:$1005)-5),451))=""),"",IF(AND(COUNTIF(INDIRECT("K_"&amp;MATCH(INDEX(checklistPesertaKemenkeu!$J$6:$J$1005,SMALL(IF(checklistPesertaKemenkeu!$AY$6:$AY$1005="Direkomendasikan",ROW($6:$1005)-5),451)),BidangList,0)),INDEX(checklistPesertaKemenkeu!$L$6:$L$1005,SMALL(IF(checklistPesertaKemenkeu!$AY$6:$AY$1005="Direkomendasikan",ROW($6:$1005)-5),451)))&gt;0,COUNTIF(INDIRECT("'KERTAS KERJA'!K"&amp;(SMALL(IF(checklistPesertaKemenkeu!$AY$6:$AY$1005="Direkomendasikan",ROW($6:$1005)-5),451)+5)&amp;":O"&amp;(SMALL(IF(checklistPesertaKemenkeu!$AY$6:$AY$1005="Direkomendasikan",ROW($6:$1005)-5),451)+5)),INDEX(checklistPesertaKemenkeu!$L$6:$L$1005,SMALL(IF(checklistPesertaKemenkeu!$AY$6:$AY$1005="Direkomendasikan",ROW($6:$1005)-5),451)))=1),IFERROR(VLOOKUP(INDEX(checklistPesertaKemenkeu!$L$6:$L$1005,SMALL(IF(checklistPesertaKemenkeu!$AY$6:$AY$1005="Direkomendasikan",ROW($6:$1005)-5),451)),KotaKode,2,0),"-"),"")),"")</f>
        <v/>
      </c>
      <c r="I452" t="str">
        <f t="array" aca="1" ref="I452" ca="1">IFERROR(IF(OR(INDEX(checklistPesertaKemenkeu!$M$6:$M$1005,SMALL(IF(checklistPesertaKemenkeu!$AY$6:$AY$1005="Direkomendasikan",ROW($6:$1005)-5),451))="",INDEX(checklistPesertaKemenkeu!$J$6:$J$1005,SMALL(IF(checklistPesertaKemenkeu!$AY$6:$AY$1005="Direkomendasikan",ROW($6:$1005)-5),451))=""),"",IF(AND(COUNTIF(INDIRECT("K_"&amp;MATCH(INDEX(checklistPesertaKemenkeu!$J$6:$J$1005,SMALL(IF(checklistPesertaKemenkeu!$AY$6:$AY$1005="Direkomendasikan",ROW($6:$1005)-5),451)),BidangList,0)),INDEX(checklistPesertaKemenkeu!$M$6:$M$1005,SMALL(IF(checklistPesertaKemenkeu!$AY$6:$AY$1005="Direkomendasikan",ROW($6:$1005)-5),451)))&gt;0,COUNTIF(INDIRECT("'KERTAS KERJA'!K"&amp;(SMALL(IF(checklistPesertaKemenkeu!$AY$6:$AY$1005="Direkomendasikan",ROW($6:$1005)-5),451)+5)&amp;":O"&amp;(SMALL(IF(checklistPesertaKemenkeu!$AY$6:$AY$1005="Direkomendasikan",ROW($6:$1005)-5),451)+5)),INDEX(checklistPesertaKemenkeu!$M$6:$M$1005,SMALL(IF(checklistPesertaKemenkeu!$AY$6:$AY$1005="Direkomendasikan",ROW($6:$1005)-5),451)))=1),IFERROR(VLOOKUP(INDEX(checklistPesertaKemenkeu!$M$6:$M$1005,SMALL(IF(checklistPesertaKemenkeu!$AY$6:$AY$1005="Direkomendasikan",ROW($6:$1005)-5),451)),KotaKode,2,0),"-"),"")),"")</f>
        <v/>
      </c>
      <c r="J452" t="str">
        <f t="array" aca="1" ref="J452" ca="1">IFERROR(IF(OR(INDEX(checklistPesertaKemenkeu!$N$6:$N$1005,SMALL(IF(checklistPesertaKemenkeu!$AY$6:$AY$1005="Direkomendasikan",ROW($6:$1005)-5),451))="",INDEX(checklistPesertaKemenkeu!$J$6:$J$1005,SMALL(IF(checklistPesertaKemenkeu!$AY$6:$AY$1005="Direkomendasikan",ROW($6:$1005)-5),451))=""),"",IF(AND(COUNTIF(INDIRECT("K_"&amp;MATCH(INDEX(checklistPesertaKemenkeu!$J$6:$J$1005,SMALL(IF(checklistPesertaKemenkeu!$AY$6:$AY$1005="Direkomendasikan",ROW($6:$1005)-5),451)),BidangList,0)),INDEX(checklistPesertaKemenkeu!$N$6:$N$1005,SMALL(IF(checklistPesertaKemenkeu!$AY$6:$AY$1005="Direkomendasikan",ROW($6:$1005)-5),451)))&gt;0,COUNTIF(INDIRECT("'KERTAS KERJA'!K"&amp;(SMALL(IF(checklistPesertaKemenkeu!$AY$6:$AY$1005="Direkomendasikan",ROW($6:$1005)-5),451)+5)&amp;":O"&amp;(SMALL(IF(checklistPesertaKemenkeu!$AY$6:$AY$1005="Direkomendasikan",ROW($6:$1005)-5),451)+5)),INDEX(checklistPesertaKemenkeu!$N$6:$N$1005,SMALL(IF(checklistPesertaKemenkeu!$AY$6:$AY$1005="Direkomendasikan",ROW($6:$1005)-5),451)))=1),IFERROR(VLOOKUP(INDEX(checklistPesertaKemenkeu!$N$6:$N$1005,SMALL(IF(checklistPesertaKemenkeu!$AY$6:$AY$1005="Direkomendasikan",ROW($6:$1005)-5),451)),KotaKode,2,0),"-"),"")),"")</f>
        <v/>
      </c>
      <c r="K452" t="str">
        <f t="array" aca="1" ref="K452" ca="1">IFERROR(IF(OR(INDEX(checklistPesertaKemenkeu!$O$6:$O$1005,SMALL(IF(checklistPesertaKemenkeu!$AY$6:$AY$1005="Direkomendasikan",ROW($6:$1005)-5),451))="",INDEX(checklistPesertaKemenkeu!$J$6:$J$1005,SMALL(IF(checklistPesertaKemenkeu!$AY$6:$AY$1005="Direkomendasikan",ROW($6:$1005)-5),451))=""),"",IF(AND(COUNTIF(INDIRECT("K_"&amp;MATCH(INDEX(checklistPesertaKemenkeu!$J$6:$J$1005,SMALL(IF(checklistPesertaKemenkeu!$AY$6:$AY$1005="Direkomendasikan",ROW($6:$1005)-5),451)),BidangList,0)),INDEX(checklistPesertaKemenkeu!$O$6:$O$1005,SMALL(IF(checklistPesertaKemenkeu!$AY$6:$AY$1005="Direkomendasikan",ROW($6:$1005)-5),451)))&gt;0,COUNTIF(INDIRECT("'KERTAS KERJA'!K"&amp;(SMALL(IF(checklistPesertaKemenkeu!$AY$6:$AY$1005="Direkomendasikan",ROW($6:$1005)-5),451)+5)&amp;":O"&amp;(SMALL(IF(checklistPesertaKemenkeu!$AY$6:$AY$1005="Direkomendasikan",ROW($6:$1005)-5),451)+5)),INDEX(checklistPesertaKemenkeu!$O$6:$O$1005,SMALL(IF(checklistPesertaKemenkeu!$AY$6:$AY$1005="Direkomendasikan",ROW($6:$1005)-5),451)))=1),IFERROR(VLOOKUP(INDEX(checklistPesertaKemenkeu!$O$6:$O$1005,SMALL(IF(checklistPesertaKemenkeu!$AY$6:$AY$1005="Direkomendasikan",ROW($6:$1005)-5),451)),KotaKode,2,0),"-"),"")),"")</f>
        <v/>
      </c>
      <c r="L452" t="str">
        <f t="array" aca="1" ref="L452" ca="1">IFERROR(IF(OR(INDEX(checklistPesertaKemenkeu!$P$6:$P$1005,SMALL(IF(checklistPesertaKemenkeu!$AY$6:$AY$1005="Direkomendasikan",ROW($6:$1005)-5),451))="",INDEX(checklistPesertaKemenkeu!$J$6:$J$1005,SMALL(IF(checklistPesertaKemenkeu!$AY$6:$AY$1005="Direkomendasikan",ROW($6:$1005)-5),451))=""),"",IF(AND(COUNTIF(INDIRECT("K_"&amp;MATCH(INDEX(checklistPesertaKemenkeu!$J$6:$J$1005,SMALL(IF(checklistPesertaKemenkeu!$AY$6:$AY$1005="Direkomendasikan",ROW($6:$1005)-5),451)),BidangList,0)),INDEX(checklistPesertaKemenkeu!$P$6:$P$1005,SMALL(IF(checklistPesertaKemenkeu!$AY$6:$AY$1005="Direkomendasikan",ROW($6:$1005)-5),451)))&gt;0,COUNTIF(INDIRECT("'KERTAS KERJA'!K"&amp;(SMALL(IF(checklistPesertaKemenkeu!$AY$6:$AY$1005="Direkomendasikan",ROW($6:$1005)-5),451)+5)&amp;":O"&amp;(SMALL(IF(checklistPesertaKemenkeu!$AY$6:$AY$1005="Direkomendasikan",ROW($6:$1005)-5),451)+5)),INDEX(checklistPesertaKemenkeu!$P$6:$P$1005,SMALL(IF(checklistPesertaKemenkeu!$AY$6:$AY$1005="Direkomendasikan",ROW($6:$1005)-5),451)))=1),IFERROR(VLOOKUP(INDEX(checklistPesertaKemenkeu!$P$6:$P$1005,SMALL(IF(checklistPesertaKemenkeu!$AY$6:$AY$1005="Direkomendasikan",ROW($6:$1005)-5),451)),KotaKode,2,0),"-"),"")),"")</f>
        <v/>
      </c>
    </row>
    <row r="453" spans="1:12" ht="15" customHeight="1" x14ac:dyDescent="0.2">
      <c r="A453" t="str">
        <f t="shared" si="7"/>
        <v/>
      </c>
      <c r="B453" t="str">
        <v/>
      </c>
      <c r="C453" s="40" t="str">
        <f t="array" ref="C453">IFERROR(INDEX(checklistPesertaKemenkeu!$F$6:$F$1005,SMALL(IF(checklistPesertaKemenkeu!$AY$6:$AY$1005="Direkomendasikan",ROW($6:$1005)-5),452)),"")</f>
        <v/>
      </c>
      <c r="D453" t="str">
        <f t="array" ref="D453">IFERROR(INDEX(checklistPesertaKemenkeu!$G$6:$G$1005,SMALL(IF(checklistPesertaKemenkeu!$AY$6:$AY$1005="Direkomendasikan",ROW($6:$1005)-5),452)),"")</f>
        <v/>
      </c>
      <c r="E453" t="str">
        <f t="array" ref="E453">IFERROR(INDEX(checklistPesertaKemenkeu!$H$6:$H$1005,SMALL(IF(checklistPesertaKemenkeu!$AY$6:$AY$1005="Direkomendasikan",ROW($6:$1005)-5),452)),"")</f>
        <v/>
      </c>
      <c r="F453" t="str">
        <f t="array" ref="F453">IFERROR(INDEX(checklistPesertaKemenkeu!$I$6:$I$1005,SMALL(IF(checklistPesertaKemenkeu!$AY$6:$AY$1005="Direkomendasikan",ROW($6:$1005)-5),452)),"")</f>
        <v/>
      </c>
      <c r="G453" t="str">
        <f t="array" ref="G453">IFERROR(INDEX(checklistPesertaKemenkeu!$J$6:$J$1005,SMALL(IF(checklistPesertaKemenkeu!$AY$6:$AY$1005="Direkomendasikan",ROW($6:$1005)-5),452)),"")</f>
        <v/>
      </c>
      <c r="H453" t="str">
        <f t="array" aca="1" ref="H453" ca="1">IFERROR(IF(OR(INDEX(checklistPesertaKemenkeu!$L$6:$L$1005,SMALL(IF(checklistPesertaKemenkeu!$AY$6:$AY$1005="Direkomendasikan",ROW($6:$1005)-5),452))="",INDEX(checklistPesertaKemenkeu!$J$6:$J$1005,SMALL(IF(checklistPesertaKemenkeu!$AY$6:$AY$1005="Direkomendasikan",ROW($6:$1005)-5),452))=""),"",IF(AND(COUNTIF(INDIRECT("K_"&amp;MATCH(INDEX(checklistPesertaKemenkeu!$J$6:$J$1005,SMALL(IF(checklistPesertaKemenkeu!$AY$6:$AY$1005="Direkomendasikan",ROW($6:$1005)-5),452)),BidangList,0)),INDEX(checklistPesertaKemenkeu!$L$6:$L$1005,SMALL(IF(checklistPesertaKemenkeu!$AY$6:$AY$1005="Direkomendasikan",ROW($6:$1005)-5),452)))&gt;0,COUNTIF(INDIRECT("'KERTAS KERJA'!K"&amp;(SMALL(IF(checklistPesertaKemenkeu!$AY$6:$AY$1005="Direkomendasikan",ROW($6:$1005)-5),452)+5)&amp;":O"&amp;(SMALL(IF(checklistPesertaKemenkeu!$AY$6:$AY$1005="Direkomendasikan",ROW($6:$1005)-5),452)+5)),INDEX(checklistPesertaKemenkeu!$L$6:$L$1005,SMALL(IF(checklistPesertaKemenkeu!$AY$6:$AY$1005="Direkomendasikan",ROW($6:$1005)-5),452)))=1),IFERROR(VLOOKUP(INDEX(checklistPesertaKemenkeu!$L$6:$L$1005,SMALL(IF(checklistPesertaKemenkeu!$AY$6:$AY$1005="Direkomendasikan",ROW($6:$1005)-5),452)),KotaKode,2,0),"-"),"")),"")</f>
        <v/>
      </c>
      <c r="I453" t="str">
        <f t="array" aca="1" ref="I453" ca="1">IFERROR(IF(OR(INDEX(checklistPesertaKemenkeu!$M$6:$M$1005,SMALL(IF(checklistPesertaKemenkeu!$AY$6:$AY$1005="Direkomendasikan",ROW($6:$1005)-5),452))="",INDEX(checklistPesertaKemenkeu!$J$6:$J$1005,SMALL(IF(checklistPesertaKemenkeu!$AY$6:$AY$1005="Direkomendasikan",ROW($6:$1005)-5),452))=""),"",IF(AND(COUNTIF(INDIRECT("K_"&amp;MATCH(INDEX(checklistPesertaKemenkeu!$J$6:$J$1005,SMALL(IF(checklistPesertaKemenkeu!$AY$6:$AY$1005="Direkomendasikan",ROW($6:$1005)-5),452)),BidangList,0)),INDEX(checklistPesertaKemenkeu!$M$6:$M$1005,SMALL(IF(checklistPesertaKemenkeu!$AY$6:$AY$1005="Direkomendasikan",ROW($6:$1005)-5),452)))&gt;0,COUNTIF(INDIRECT("'KERTAS KERJA'!K"&amp;(SMALL(IF(checklistPesertaKemenkeu!$AY$6:$AY$1005="Direkomendasikan",ROW($6:$1005)-5),452)+5)&amp;":O"&amp;(SMALL(IF(checklistPesertaKemenkeu!$AY$6:$AY$1005="Direkomendasikan",ROW($6:$1005)-5),452)+5)),INDEX(checklistPesertaKemenkeu!$M$6:$M$1005,SMALL(IF(checklistPesertaKemenkeu!$AY$6:$AY$1005="Direkomendasikan",ROW($6:$1005)-5),452)))=1),IFERROR(VLOOKUP(INDEX(checklistPesertaKemenkeu!$M$6:$M$1005,SMALL(IF(checklistPesertaKemenkeu!$AY$6:$AY$1005="Direkomendasikan",ROW($6:$1005)-5),452)),KotaKode,2,0),"-"),"")),"")</f>
        <v/>
      </c>
      <c r="J453" t="str">
        <f t="array" aca="1" ref="J453" ca="1">IFERROR(IF(OR(INDEX(checklistPesertaKemenkeu!$N$6:$N$1005,SMALL(IF(checklistPesertaKemenkeu!$AY$6:$AY$1005="Direkomendasikan",ROW($6:$1005)-5),452))="",INDEX(checklistPesertaKemenkeu!$J$6:$J$1005,SMALL(IF(checklistPesertaKemenkeu!$AY$6:$AY$1005="Direkomendasikan",ROW($6:$1005)-5),452))=""),"",IF(AND(COUNTIF(INDIRECT("K_"&amp;MATCH(INDEX(checklistPesertaKemenkeu!$J$6:$J$1005,SMALL(IF(checklistPesertaKemenkeu!$AY$6:$AY$1005="Direkomendasikan",ROW($6:$1005)-5),452)),BidangList,0)),INDEX(checklistPesertaKemenkeu!$N$6:$N$1005,SMALL(IF(checklistPesertaKemenkeu!$AY$6:$AY$1005="Direkomendasikan",ROW($6:$1005)-5),452)))&gt;0,COUNTIF(INDIRECT("'KERTAS KERJA'!K"&amp;(SMALL(IF(checklistPesertaKemenkeu!$AY$6:$AY$1005="Direkomendasikan",ROW($6:$1005)-5),452)+5)&amp;":O"&amp;(SMALL(IF(checklistPesertaKemenkeu!$AY$6:$AY$1005="Direkomendasikan",ROW($6:$1005)-5),452)+5)),INDEX(checklistPesertaKemenkeu!$N$6:$N$1005,SMALL(IF(checklistPesertaKemenkeu!$AY$6:$AY$1005="Direkomendasikan",ROW($6:$1005)-5),452)))=1),IFERROR(VLOOKUP(INDEX(checklistPesertaKemenkeu!$N$6:$N$1005,SMALL(IF(checklistPesertaKemenkeu!$AY$6:$AY$1005="Direkomendasikan",ROW($6:$1005)-5),452)),KotaKode,2,0),"-"),"")),"")</f>
        <v/>
      </c>
      <c r="K453" t="str">
        <f t="array" aca="1" ref="K453" ca="1">IFERROR(IF(OR(INDEX(checklistPesertaKemenkeu!$O$6:$O$1005,SMALL(IF(checklistPesertaKemenkeu!$AY$6:$AY$1005="Direkomendasikan",ROW($6:$1005)-5),452))="",INDEX(checklistPesertaKemenkeu!$J$6:$J$1005,SMALL(IF(checklistPesertaKemenkeu!$AY$6:$AY$1005="Direkomendasikan",ROW($6:$1005)-5),452))=""),"",IF(AND(COUNTIF(INDIRECT("K_"&amp;MATCH(INDEX(checklistPesertaKemenkeu!$J$6:$J$1005,SMALL(IF(checklistPesertaKemenkeu!$AY$6:$AY$1005="Direkomendasikan",ROW($6:$1005)-5),452)),BidangList,0)),INDEX(checklistPesertaKemenkeu!$O$6:$O$1005,SMALL(IF(checklistPesertaKemenkeu!$AY$6:$AY$1005="Direkomendasikan",ROW($6:$1005)-5),452)))&gt;0,COUNTIF(INDIRECT("'KERTAS KERJA'!K"&amp;(SMALL(IF(checklistPesertaKemenkeu!$AY$6:$AY$1005="Direkomendasikan",ROW($6:$1005)-5),452)+5)&amp;":O"&amp;(SMALL(IF(checklistPesertaKemenkeu!$AY$6:$AY$1005="Direkomendasikan",ROW($6:$1005)-5),452)+5)),INDEX(checklistPesertaKemenkeu!$O$6:$O$1005,SMALL(IF(checklistPesertaKemenkeu!$AY$6:$AY$1005="Direkomendasikan",ROW($6:$1005)-5),452)))=1),IFERROR(VLOOKUP(INDEX(checklistPesertaKemenkeu!$O$6:$O$1005,SMALL(IF(checklistPesertaKemenkeu!$AY$6:$AY$1005="Direkomendasikan",ROW($6:$1005)-5),452)),KotaKode,2,0),"-"),"")),"")</f>
        <v/>
      </c>
      <c r="L453" t="str">
        <f t="array" aca="1" ref="L453" ca="1">IFERROR(IF(OR(INDEX(checklistPesertaKemenkeu!$P$6:$P$1005,SMALL(IF(checklistPesertaKemenkeu!$AY$6:$AY$1005="Direkomendasikan",ROW($6:$1005)-5),452))="",INDEX(checklistPesertaKemenkeu!$J$6:$J$1005,SMALL(IF(checklistPesertaKemenkeu!$AY$6:$AY$1005="Direkomendasikan",ROW($6:$1005)-5),452))=""),"",IF(AND(COUNTIF(INDIRECT("K_"&amp;MATCH(INDEX(checklistPesertaKemenkeu!$J$6:$J$1005,SMALL(IF(checklistPesertaKemenkeu!$AY$6:$AY$1005="Direkomendasikan",ROW($6:$1005)-5),452)),BidangList,0)),INDEX(checklistPesertaKemenkeu!$P$6:$P$1005,SMALL(IF(checklistPesertaKemenkeu!$AY$6:$AY$1005="Direkomendasikan",ROW($6:$1005)-5),452)))&gt;0,COUNTIF(INDIRECT("'KERTAS KERJA'!K"&amp;(SMALL(IF(checklistPesertaKemenkeu!$AY$6:$AY$1005="Direkomendasikan",ROW($6:$1005)-5),452)+5)&amp;":O"&amp;(SMALL(IF(checklistPesertaKemenkeu!$AY$6:$AY$1005="Direkomendasikan",ROW($6:$1005)-5),452)+5)),INDEX(checklistPesertaKemenkeu!$P$6:$P$1005,SMALL(IF(checklistPesertaKemenkeu!$AY$6:$AY$1005="Direkomendasikan",ROW($6:$1005)-5),452)))=1),IFERROR(VLOOKUP(INDEX(checklistPesertaKemenkeu!$P$6:$P$1005,SMALL(IF(checklistPesertaKemenkeu!$AY$6:$AY$1005="Direkomendasikan",ROW($6:$1005)-5),452)),KotaKode,2,0),"-"),"")),"")</f>
        <v/>
      </c>
    </row>
    <row r="454" spans="1:12" ht="15" customHeight="1" x14ac:dyDescent="0.2">
      <c r="A454" t="str">
        <f t="shared" si="7"/>
        <v/>
      </c>
      <c r="B454" t="str">
        <v/>
      </c>
      <c r="C454" s="40" t="str">
        <f t="array" ref="C454">IFERROR(INDEX(checklistPesertaKemenkeu!$F$6:$F$1005,SMALL(IF(checklistPesertaKemenkeu!$AY$6:$AY$1005="Direkomendasikan",ROW($6:$1005)-5),453)),"")</f>
        <v/>
      </c>
      <c r="D454" t="str">
        <f t="array" ref="D454">IFERROR(INDEX(checklistPesertaKemenkeu!$G$6:$G$1005,SMALL(IF(checklistPesertaKemenkeu!$AY$6:$AY$1005="Direkomendasikan",ROW($6:$1005)-5),453)),"")</f>
        <v/>
      </c>
      <c r="E454" t="str">
        <f t="array" ref="E454">IFERROR(INDEX(checklistPesertaKemenkeu!$H$6:$H$1005,SMALL(IF(checklistPesertaKemenkeu!$AY$6:$AY$1005="Direkomendasikan",ROW($6:$1005)-5),453)),"")</f>
        <v/>
      </c>
      <c r="F454" t="str">
        <f t="array" ref="F454">IFERROR(INDEX(checklistPesertaKemenkeu!$I$6:$I$1005,SMALL(IF(checklistPesertaKemenkeu!$AY$6:$AY$1005="Direkomendasikan",ROW($6:$1005)-5),453)),"")</f>
        <v/>
      </c>
      <c r="G454" t="str">
        <f t="array" ref="G454">IFERROR(INDEX(checklistPesertaKemenkeu!$J$6:$J$1005,SMALL(IF(checklistPesertaKemenkeu!$AY$6:$AY$1005="Direkomendasikan",ROW($6:$1005)-5),453)),"")</f>
        <v/>
      </c>
      <c r="H454" t="str">
        <f t="array" aca="1" ref="H454" ca="1">IFERROR(IF(OR(INDEX(checklistPesertaKemenkeu!$L$6:$L$1005,SMALL(IF(checklistPesertaKemenkeu!$AY$6:$AY$1005="Direkomendasikan",ROW($6:$1005)-5),453))="",INDEX(checklistPesertaKemenkeu!$J$6:$J$1005,SMALL(IF(checklistPesertaKemenkeu!$AY$6:$AY$1005="Direkomendasikan",ROW($6:$1005)-5),453))=""),"",IF(AND(COUNTIF(INDIRECT("K_"&amp;MATCH(INDEX(checklistPesertaKemenkeu!$J$6:$J$1005,SMALL(IF(checklistPesertaKemenkeu!$AY$6:$AY$1005="Direkomendasikan",ROW($6:$1005)-5),453)),BidangList,0)),INDEX(checklistPesertaKemenkeu!$L$6:$L$1005,SMALL(IF(checklistPesertaKemenkeu!$AY$6:$AY$1005="Direkomendasikan",ROW($6:$1005)-5),453)))&gt;0,COUNTIF(INDIRECT("'KERTAS KERJA'!K"&amp;(SMALL(IF(checklistPesertaKemenkeu!$AY$6:$AY$1005="Direkomendasikan",ROW($6:$1005)-5),453)+5)&amp;":O"&amp;(SMALL(IF(checklistPesertaKemenkeu!$AY$6:$AY$1005="Direkomendasikan",ROW($6:$1005)-5),453)+5)),INDEX(checklistPesertaKemenkeu!$L$6:$L$1005,SMALL(IF(checklistPesertaKemenkeu!$AY$6:$AY$1005="Direkomendasikan",ROW($6:$1005)-5),453)))=1),IFERROR(VLOOKUP(INDEX(checklistPesertaKemenkeu!$L$6:$L$1005,SMALL(IF(checklistPesertaKemenkeu!$AY$6:$AY$1005="Direkomendasikan",ROW($6:$1005)-5),453)),KotaKode,2,0),"-"),"")),"")</f>
        <v/>
      </c>
      <c r="I454" t="str">
        <f t="array" aca="1" ref="I454" ca="1">IFERROR(IF(OR(INDEX(checklistPesertaKemenkeu!$M$6:$M$1005,SMALL(IF(checklistPesertaKemenkeu!$AY$6:$AY$1005="Direkomendasikan",ROW($6:$1005)-5),453))="",INDEX(checklistPesertaKemenkeu!$J$6:$J$1005,SMALL(IF(checklistPesertaKemenkeu!$AY$6:$AY$1005="Direkomendasikan",ROW($6:$1005)-5),453))=""),"",IF(AND(COUNTIF(INDIRECT("K_"&amp;MATCH(INDEX(checklistPesertaKemenkeu!$J$6:$J$1005,SMALL(IF(checklistPesertaKemenkeu!$AY$6:$AY$1005="Direkomendasikan",ROW($6:$1005)-5),453)),BidangList,0)),INDEX(checklistPesertaKemenkeu!$M$6:$M$1005,SMALL(IF(checklistPesertaKemenkeu!$AY$6:$AY$1005="Direkomendasikan",ROW($6:$1005)-5),453)))&gt;0,COUNTIF(INDIRECT("'KERTAS KERJA'!K"&amp;(SMALL(IF(checklistPesertaKemenkeu!$AY$6:$AY$1005="Direkomendasikan",ROW($6:$1005)-5),453)+5)&amp;":O"&amp;(SMALL(IF(checklistPesertaKemenkeu!$AY$6:$AY$1005="Direkomendasikan",ROW($6:$1005)-5),453)+5)),INDEX(checklistPesertaKemenkeu!$M$6:$M$1005,SMALL(IF(checklistPesertaKemenkeu!$AY$6:$AY$1005="Direkomendasikan",ROW($6:$1005)-5),453)))=1),IFERROR(VLOOKUP(INDEX(checklistPesertaKemenkeu!$M$6:$M$1005,SMALL(IF(checklistPesertaKemenkeu!$AY$6:$AY$1005="Direkomendasikan",ROW($6:$1005)-5),453)),KotaKode,2,0),"-"),"")),"")</f>
        <v/>
      </c>
      <c r="J454" t="str">
        <f t="array" aca="1" ref="J454" ca="1">IFERROR(IF(OR(INDEX(checklistPesertaKemenkeu!$N$6:$N$1005,SMALL(IF(checklistPesertaKemenkeu!$AY$6:$AY$1005="Direkomendasikan",ROW($6:$1005)-5),453))="",INDEX(checklistPesertaKemenkeu!$J$6:$J$1005,SMALL(IF(checklistPesertaKemenkeu!$AY$6:$AY$1005="Direkomendasikan",ROW($6:$1005)-5),453))=""),"",IF(AND(COUNTIF(INDIRECT("K_"&amp;MATCH(INDEX(checklistPesertaKemenkeu!$J$6:$J$1005,SMALL(IF(checklistPesertaKemenkeu!$AY$6:$AY$1005="Direkomendasikan",ROW($6:$1005)-5),453)),BidangList,0)),INDEX(checklistPesertaKemenkeu!$N$6:$N$1005,SMALL(IF(checklistPesertaKemenkeu!$AY$6:$AY$1005="Direkomendasikan",ROW($6:$1005)-5),453)))&gt;0,COUNTIF(INDIRECT("'KERTAS KERJA'!K"&amp;(SMALL(IF(checklistPesertaKemenkeu!$AY$6:$AY$1005="Direkomendasikan",ROW($6:$1005)-5),453)+5)&amp;":O"&amp;(SMALL(IF(checklistPesertaKemenkeu!$AY$6:$AY$1005="Direkomendasikan",ROW($6:$1005)-5),453)+5)),INDEX(checklistPesertaKemenkeu!$N$6:$N$1005,SMALL(IF(checklistPesertaKemenkeu!$AY$6:$AY$1005="Direkomendasikan",ROW($6:$1005)-5),453)))=1),IFERROR(VLOOKUP(INDEX(checklistPesertaKemenkeu!$N$6:$N$1005,SMALL(IF(checklistPesertaKemenkeu!$AY$6:$AY$1005="Direkomendasikan",ROW($6:$1005)-5),453)),KotaKode,2,0),"-"),"")),"")</f>
        <v/>
      </c>
      <c r="K454" t="str">
        <f t="array" aca="1" ref="K454" ca="1">IFERROR(IF(OR(INDEX(checklistPesertaKemenkeu!$O$6:$O$1005,SMALL(IF(checklistPesertaKemenkeu!$AY$6:$AY$1005="Direkomendasikan",ROW($6:$1005)-5),453))="",INDEX(checklistPesertaKemenkeu!$J$6:$J$1005,SMALL(IF(checklistPesertaKemenkeu!$AY$6:$AY$1005="Direkomendasikan",ROW($6:$1005)-5),453))=""),"",IF(AND(COUNTIF(INDIRECT("K_"&amp;MATCH(INDEX(checklistPesertaKemenkeu!$J$6:$J$1005,SMALL(IF(checklistPesertaKemenkeu!$AY$6:$AY$1005="Direkomendasikan",ROW($6:$1005)-5),453)),BidangList,0)),INDEX(checklistPesertaKemenkeu!$O$6:$O$1005,SMALL(IF(checklistPesertaKemenkeu!$AY$6:$AY$1005="Direkomendasikan",ROW($6:$1005)-5),453)))&gt;0,COUNTIF(INDIRECT("'KERTAS KERJA'!K"&amp;(SMALL(IF(checklistPesertaKemenkeu!$AY$6:$AY$1005="Direkomendasikan",ROW($6:$1005)-5),453)+5)&amp;":O"&amp;(SMALL(IF(checklistPesertaKemenkeu!$AY$6:$AY$1005="Direkomendasikan",ROW($6:$1005)-5),453)+5)),INDEX(checklistPesertaKemenkeu!$O$6:$O$1005,SMALL(IF(checklistPesertaKemenkeu!$AY$6:$AY$1005="Direkomendasikan",ROW($6:$1005)-5),453)))=1),IFERROR(VLOOKUP(INDEX(checklistPesertaKemenkeu!$O$6:$O$1005,SMALL(IF(checklistPesertaKemenkeu!$AY$6:$AY$1005="Direkomendasikan",ROW($6:$1005)-5),453)),KotaKode,2,0),"-"),"")),"")</f>
        <v/>
      </c>
      <c r="L454" t="str">
        <f t="array" aca="1" ref="L454" ca="1">IFERROR(IF(OR(INDEX(checklistPesertaKemenkeu!$P$6:$P$1005,SMALL(IF(checklistPesertaKemenkeu!$AY$6:$AY$1005="Direkomendasikan",ROW($6:$1005)-5),453))="",INDEX(checklistPesertaKemenkeu!$J$6:$J$1005,SMALL(IF(checklistPesertaKemenkeu!$AY$6:$AY$1005="Direkomendasikan",ROW($6:$1005)-5),453))=""),"",IF(AND(COUNTIF(INDIRECT("K_"&amp;MATCH(INDEX(checklistPesertaKemenkeu!$J$6:$J$1005,SMALL(IF(checklistPesertaKemenkeu!$AY$6:$AY$1005="Direkomendasikan",ROW($6:$1005)-5),453)),BidangList,0)),INDEX(checklistPesertaKemenkeu!$P$6:$P$1005,SMALL(IF(checklistPesertaKemenkeu!$AY$6:$AY$1005="Direkomendasikan",ROW($6:$1005)-5),453)))&gt;0,COUNTIF(INDIRECT("'KERTAS KERJA'!K"&amp;(SMALL(IF(checklistPesertaKemenkeu!$AY$6:$AY$1005="Direkomendasikan",ROW($6:$1005)-5),453)+5)&amp;":O"&amp;(SMALL(IF(checklistPesertaKemenkeu!$AY$6:$AY$1005="Direkomendasikan",ROW($6:$1005)-5),453)+5)),INDEX(checklistPesertaKemenkeu!$P$6:$P$1005,SMALL(IF(checklistPesertaKemenkeu!$AY$6:$AY$1005="Direkomendasikan",ROW($6:$1005)-5),453)))=1),IFERROR(VLOOKUP(INDEX(checklistPesertaKemenkeu!$P$6:$P$1005,SMALL(IF(checklistPesertaKemenkeu!$AY$6:$AY$1005="Direkomendasikan",ROW($6:$1005)-5),453)),KotaKode,2,0),"-"),"")),"")</f>
        <v/>
      </c>
    </row>
    <row r="455" spans="1:12" ht="15" customHeight="1" x14ac:dyDescent="0.2">
      <c r="A455" t="str">
        <f t="shared" si="7"/>
        <v/>
      </c>
      <c r="B455" t="str">
        <v/>
      </c>
      <c r="C455" s="40" t="str">
        <f t="array" ref="C455">IFERROR(INDEX(checklistPesertaKemenkeu!$F$6:$F$1005,SMALL(IF(checklistPesertaKemenkeu!$AY$6:$AY$1005="Direkomendasikan",ROW($6:$1005)-5),454)),"")</f>
        <v/>
      </c>
      <c r="D455" t="str">
        <f t="array" ref="D455">IFERROR(INDEX(checklistPesertaKemenkeu!$G$6:$G$1005,SMALL(IF(checklistPesertaKemenkeu!$AY$6:$AY$1005="Direkomendasikan",ROW($6:$1005)-5),454)),"")</f>
        <v/>
      </c>
      <c r="E455" t="str">
        <f t="array" ref="E455">IFERROR(INDEX(checklistPesertaKemenkeu!$H$6:$H$1005,SMALL(IF(checklistPesertaKemenkeu!$AY$6:$AY$1005="Direkomendasikan",ROW($6:$1005)-5),454)),"")</f>
        <v/>
      </c>
      <c r="F455" t="str">
        <f t="array" ref="F455">IFERROR(INDEX(checklistPesertaKemenkeu!$I$6:$I$1005,SMALL(IF(checklistPesertaKemenkeu!$AY$6:$AY$1005="Direkomendasikan",ROW($6:$1005)-5),454)),"")</f>
        <v/>
      </c>
      <c r="G455" t="str">
        <f t="array" ref="G455">IFERROR(INDEX(checklistPesertaKemenkeu!$J$6:$J$1005,SMALL(IF(checklistPesertaKemenkeu!$AY$6:$AY$1005="Direkomendasikan",ROW($6:$1005)-5),454)),"")</f>
        <v/>
      </c>
      <c r="H455" t="str">
        <f t="array" aca="1" ref="H455" ca="1">IFERROR(IF(OR(INDEX(checklistPesertaKemenkeu!$L$6:$L$1005,SMALL(IF(checklistPesertaKemenkeu!$AY$6:$AY$1005="Direkomendasikan",ROW($6:$1005)-5),454))="",INDEX(checklistPesertaKemenkeu!$J$6:$J$1005,SMALL(IF(checklistPesertaKemenkeu!$AY$6:$AY$1005="Direkomendasikan",ROW($6:$1005)-5),454))=""),"",IF(AND(COUNTIF(INDIRECT("K_"&amp;MATCH(INDEX(checklistPesertaKemenkeu!$J$6:$J$1005,SMALL(IF(checklistPesertaKemenkeu!$AY$6:$AY$1005="Direkomendasikan",ROW($6:$1005)-5),454)),BidangList,0)),INDEX(checklistPesertaKemenkeu!$L$6:$L$1005,SMALL(IF(checklistPesertaKemenkeu!$AY$6:$AY$1005="Direkomendasikan",ROW($6:$1005)-5),454)))&gt;0,COUNTIF(INDIRECT("'KERTAS KERJA'!K"&amp;(SMALL(IF(checklistPesertaKemenkeu!$AY$6:$AY$1005="Direkomendasikan",ROW($6:$1005)-5),454)+5)&amp;":O"&amp;(SMALL(IF(checklistPesertaKemenkeu!$AY$6:$AY$1005="Direkomendasikan",ROW($6:$1005)-5),454)+5)),INDEX(checklistPesertaKemenkeu!$L$6:$L$1005,SMALL(IF(checklistPesertaKemenkeu!$AY$6:$AY$1005="Direkomendasikan",ROW($6:$1005)-5),454)))=1),IFERROR(VLOOKUP(INDEX(checklistPesertaKemenkeu!$L$6:$L$1005,SMALL(IF(checklistPesertaKemenkeu!$AY$6:$AY$1005="Direkomendasikan",ROW($6:$1005)-5),454)),KotaKode,2,0),"-"),"")),"")</f>
        <v/>
      </c>
      <c r="I455" t="str">
        <f t="array" aca="1" ref="I455" ca="1">IFERROR(IF(OR(INDEX(checklistPesertaKemenkeu!$M$6:$M$1005,SMALL(IF(checklistPesertaKemenkeu!$AY$6:$AY$1005="Direkomendasikan",ROW($6:$1005)-5),454))="",INDEX(checklistPesertaKemenkeu!$J$6:$J$1005,SMALL(IF(checklistPesertaKemenkeu!$AY$6:$AY$1005="Direkomendasikan",ROW($6:$1005)-5),454))=""),"",IF(AND(COUNTIF(INDIRECT("K_"&amp;MATCH(INDEX(checklistPesertaKemenkeu!$J$6:$J$1005,SMALL(IF(checklistPesertaKemenkeu!$AY$6:$AY$1005="Direkomendasikan",ROW($6:$1005)-5),454)),BidangList,0)),INDEX(checklistPesertaKemenkeu!$M$6:$M$1005,SMALL(IF(checklistPesertaKemenkeu!$AY$6:$AY$1005="Direkomendasikan",ROW($6:$1005)-5),454)))&gt;0,COUNTIF(INDIRECT("'KERTAS KERJA'!K"&amp;(SMALL(IF(checklistPesertaKemenkeu!$AY$6:$AY$1005="Direkomendasikan",ROW($6:$1005)-5),454)+5)&amp;":O"&amp;(SMALL(IF(checklistPesertaKemenkeu!$AY$6:$AY$1005="Direkomendasikan",ROW($6:$1005)-5),454)+5)),INDEX(checklistPesertaKemenkeu!$M$6:$M$1005,SMALL(IF(checklistPesertaKemenkeu!$AY$6:$AY$1005="Direkomendasikan",ROW($6:$1005)-5),454)))=1),IFERROR(VLOOKUP(INDEX(checklistPesertaKemenkeu!$M$6:$M$1005,SMALL(IF(checklistPesertaKemenkeu!$AY$6:$AY$1005="Direkomendasikan",ROW($6:$1005)-5),454)),KotaKode,2,0),"-"),"")),"")</f>
        <v/>
      </c>
      <c r="J455" t="str">
        <f t="array" aca="1" ref="J455" ca="1">IFERROR(IF(OR(INDEX(checklistPesertaKemenkeu!$N$6:$N$1005,SMALL(IF(checklistPesertaKemenkeu!$AY$6:$AY$1005="Direkomendasikan",ROW($6:$1005)-5),454))="",INDEX(checklistPesertaKemenkeu!$J$6:$J$1005,SMALL(IF(checklistPesertaKemenkeu!$AY$6:$AY$1005="Direkomendasikan",ROW($6:$1005)-5),454))=""),"",IF(AND(COUNTIF(INDIRECT("K_"&amp;MATCH(INDEX(checklistPesertaKemenkeu!$J$6:$J$1005,SMALL(IF(checklistPesertaKemenkeu!$AY$6:$AY$1005="Direkomendasikan",ROW($6:$1005)-5),454)),BidangList,0)),INDEX(checklistPesertaKemenkeu!$N$6:$N$1005,SMALL(IF(checklistPesertaKemenkeu!$AY$6:$AY$1005="Direkomendasikan",ROW($6:$1005)-5),454)))&gt;0,COUNTIF(INDIRECT("'KERTAS KERJA'!K"&amp;(SMALL(IF(checklistPesertaKemenkeu!$AY$6:$AY$1005="Direkomendasikan",ROW($6:$1005)-5),454)+5)&amp;":O"&amp;(SMALL(IF(checklistPesertaKemenkeu!$AY$6:$AY$1005="Direkomendasikan",ROW($6:$1005)-5),454)+5)),INDEX(checklistPesertaKemenkeu!$N$6:$N$1005,SMALL(IF(checklistPesertaKemenkeu!$AY$6:$AY$1005="Direkomendasikan",ROW($6:$1005)-5),454)))=1),IFERROR(VLOOKUP(INDEX(checklistPesertaKemenkeu!$N$6:$N$1005,SMALL(IF(checklistPesertaKemenkeu!$AY$6:$AY$1005="Direkomendasikan",ROW($6:$1005)-5),454)),KotaKode,2,0),"-"),"")),"")</f>
        <v/>
      </c>
      <c r="K455" t="str">
        <f t="array" aca="1" ref="K455" ca="1">IFERROR(IF(OR(INDEX(checklistPesertaKemenkeu!$O$6:$O$1005,SMALL(IF(checklistPesertaKemenkeu!$AY$6:$AY$1005="Direkomendasikan",ROW($6:$1005)-5),454))="",INDEX(checklistPesertaKemenkeu!$J$6:$J$1005,SMALL(IF(checklistPesertaKemenkeu!$AY$6:$AY$1005="Direkomendasikan",ROW($6:$1005)-5),454))=""),"",IF(AND(COUNTIF(INDIRECT("K_"&amp;MATCH(INDEX(checklistPesertaKemenkeu!$J$6:$J$1005,SMALL(IF(checklistPesertaKemenkeu!$AY$6:$AY$1005="Direkomendasikan",ROW($6:$1005)-5),454)),BidangList,0)),INDEX(checklistPesertaKemenkeu!$O$6:$O$1005,SMALL(IF(checklistPesertaKemenkeu!$AY$6:$AY$1005="Direkomendasikan",ROW($6:$1005)-5),454)))&gt;0,COUNTIF(INDIRECT("'KERTAS KERJA'!K"&amp;(SMALL(IF(checklistPesertaKemenkeu!$AY$6:$AY$1005="Direkomendasikan",ROW($6:$1005)-5),454)+5)&amp;":O"&amp;(SMALL(IF(checklistPesertaKemenkeu!$AY$6:$AY$1005="Direkomendasikan",ROW($6:$1005)-5),454)+5)),INDEX(checklistPesertaKemenkeu!$O$6:$O$1005,SMALL(IF(checklistPesertaKemenkeu!$AY$6:$AY$1005="Direkomendasikan",ROW($6:$1005)-5),454)))=1),IFERROR(VLOOKUP(INDEX(checklistPesertaKemenkeu!$O$6:$O$1005,SMALL(IF(checklistPesertaKemenkeu!$AY$6:$AY$1005="Direkomendasikan",ROW($6:$1005)-5),454)),KotaKode,2,0),"-"),"")),"")</f>
        <v/>
      </c>
      <c r="L455" t="str">
        <f t="array" aca="1" ref="L455" ca="1">IFERROR(IF(OR(INDEX(checklistPesertaKemenkeu!$P$6:$P$1005,SMALL(IF(checklistPesertaKemenkeu!$AY$6:$AY$1005="Direkomendasikan",ROW($6:$1005)-5),454))="",INDEX(checklistPesertaKemenkeu!$J$6:$J$1005,SMALL(IF(checklistPesertaKemenkeu!$AY$6:$AY$1005="Direkomendasikan",ROW($6:$1005)-5),454))=""),"",IF(AND(COUNTIF(INDIRECT("K_"&amp;MATCH(INDEX(checklistPesertaKemenkeu!$J$6:$J$1005,SMALL(IF(checklistPesertaKemenkeu!$AY$6:$AY$1005="Direkomendasikan",ROW($6:$1005)-5),454)),BidangList,0)),INDEX(checklistPesertaKemenkeu!$P$6:$P$1005,SMALL(IF(checklistPesertaKemenkeu!$AY$6:$AY$1005="Direkomendasikan",ROW($6:$1005)-5),454)))&gt;0,COUNTIF(INDIRECT("'KERTAS KERJA'!K"&amp;(SMALL(IF(checklistPesertaKemenkeu!$AY$6:$AY$1005="Direkomendasikan",ROW($6:$1005)-5),454)+5)&amp;":O"&amp;(SMALL(IF(checklistPesertaKemenkeu!$AY$6:$AY$1005="Direkomendasikan",ROW($6:$1005)-5),454)+5)),INDEX(checklistPesertaKemenkeu!$P$6:$P$1005,SMALL(IF(checklistPesertaKemenkeu!$AY$6:$AY$1005="Direkomendasikan",ROW($6:$1005)-5),454)))=1),IFERROR(VLOOKUP(INDEX(checklistPesertaKemenkeu!$P$6:$P$1005,SMALL(IF(checklistPesertaKemenkeu!$AY$6:$AY$1005="Direkomendasikan",ROW($6:$1005)-5),454)),KotaKode,2,0),"-"),"")),"")</f>
        <v/>
      </c>
    </row>
    <row r="456" spans="1:12" ht="15" customHeight="1" x14ac:dyDescent="0.2">
      <c r="A456" t="str">
        <f t="shared" si="7"/>
        <v/>
      </c>
      <c r="B456" t="str">
        <v/>
      </c>
      <c r="C456" s="40" t="str">
        <f t="array" ref="C456">IFERROR(INDEX(checklistPesertaKemenkeu!$F$6:$F$1005,SMALL(IF(checklistPesertaKemenkeu!$AY$6:$AY$1005="Direkomendasikan",ROW($6:$1005)-5),455)),"")</f>
        <v/>
      </c>
      <c r="D456" t="str">
        <f t="array" ref="D456">IFERROR(INDEX(checklistPesertaKemenkeu!$G$6:$G$1005,SMALL(IF(checklistPesertaKemenkeu!$AY$6:$AY$1005="Direkomendasikan",ROW($6:$1005)-5),455)),"")</f>
        <v/>
      </c>
      <c r="E456" t="str">
        <f t="array" ref="E456">IFERROR(INDEX(checklistPesertaKemenkeu!$H$6:$H$1005,SMALL(IF(checklistPesertaKemenkeu!$AY$6:$AY$1005="Direkomendasikan",ROW($6:$1005)-5),455)),"")</f>
        <v/>
      </c>
      <c r="F456" t="str">
        <f t="array" ref="F456">IFERROR(INDEX(checklistPesertaKemenkeu!$I$6:$I$1005,SMALL(IF(checklistPesertaKemenkeu!$AY$6:$AY$1005="Direkomendasikan",ROW($6:$1005)-5),455)),"")</f>
        <v/>
      </c>
      <c r="G456" t="str">
        <f t="array" ref="G456">IFERROR(INDEX(checklistPesertaKemenkeu!$J$6:$J$1005,SMALL(IF(checklistPesertaKemenkeu!$AY$6:$AY$1005="Direkomendasikan",ROW($6:$1005)-5),455)),"")</f>
        <v/>
      </c>
      <c r="H456" t="str">
        <f t="array" aca="1" ref="H456" ca="1">IFERROR(IF(OR(INDEX(checklistPesertaKemenkeu!$L$6:$L$1005,SMALL(IF(checklistPesertaKemenkeu!$AY$6:$AY$1005="Direkomendasikan",ROW($6:$1005)-5),455))="",INDEX(checklistPesertaKemenkeu!$J$6:$J$1005,SMALL(IF(checklistPesertaKemenkeu!$AY$6:$AY$1005="Direkomendasikan",ROW($6:$1005)-5),455))=""),"",IF(AND(COUNTIF(INDIRECT("K_"&amp;MATCH(INDEX(checklistPesertaKemenkeu!$J$6:$J$1005,SMALL(IF(checklistPesertaKemenkeu!$AY$6:$AY$1005="Direkomendasikan",ROW($6:$1005)-5),455)),BidangList,0)),INDEX(checklistPesertaKemenkeu!$L$6:$L$1005,SMALL(IF(checklistPesertaKemenkeu!$AY$6:$AY$1005="Direkomendasikan",ROW($6:$1005)-5),455)))&gt;0,COUNTIF(INDIRECT("'KERTAS KERJA'!K"&amp;(SMALL(IF(checklistPesertaKemenkeu!$AY$6:$AY$1005="Direkomendasikan",ROW($6:$1005)-5),455)+5)&amp;":O"&amp;(SMALL(IF(checklistPesertaKemenkeu!$AY$6:$AY$1005="Direkomendasikan",ROW($6:$1005)-5),455)+5)),INDEX(checklistPesertaKemenkeu!$L$6:$L$1005,SMALL(IF(checklistPesertaKemenkeu!$AY$6:$AY$1005="Direkomendasikan",ROW($6:$1005)-5),455)))=1),IFERROR(VLOOKUP(INDEX(checklistPesertaKemenkeu!$L$6:$L$1005,SMALL(IF(checklistPesertaKemenkeu!$AY$6:$AY$1005="Direkomendasikan",ROW($6:$1005)-5),455)),KotaKode,2,0),"-"),"")),"")</f>
        <v/>
      </c>
      <c r="I456" t="str">
        <f t="array" aca="1" ref="I456" ca="1">IFERROR(IF(OR(INDEX(checklistPesertaKemenkeu!$M$6:$M$1005,SMALL(IF(checklistPesertaKemenkeu!$AY$6:$AY$1005="Direkomendasikan",ROW($6:$1005)-5),455))="",INDEX(checklistPesertaKemenkeu!$J$6:$J$1005,SMALL(IF(checklistPesertaKemenkeu!$AY$6:$AY$1005="Direkomendasikan",ROW($6:$1005)-5),455))=""),"",IF(AND(COUNTIF(INDIRECT("K_"&amp;MATCH(INDEX(checklistPesertaKemenkeu!$J$6:$J$1005,SMALL(IF(checklistPesertaKemenkeu!$AY$6:$AY$1005="Direkomendasikan",ROW($6:$1005)-5),455)),BidangList,0)),INDEX(checklistPesertaKemenkeu!$M$6:$M$1005,SMALL(IF(checklistPesertaKemenkeu!$AY$6:$AY$1005="Direkomendasikan",ROW($6:$1005)-5),455)))&gt;0,COUNTIF(INDIRECT("'KERTAS KERJA'!K"&amp;(SMALL(IF(checklistPesertaKemenkeu!$AY$6:$AY$1005="Direkomendasikan",ROW($6:$1005)-5),455)+5)&amp;":O"&amp;(SMALL(IF(checklistPesertaKemenkeu!$AY$6:$AY$1005="Direkomendasikan",ROW($6:$1005)-5),455)+5)),INDEX(checklistPesertaKemenkeu!$M$6:$M$1005,SMALL(IF(checklistPesertaKemenkeu!$AY$6:$AY$1005="Direkomendasikan",ROW($6:$1005)-5),455)))=1),IFERROR(VLOOKUP(INDEX(checklistPesertaKemenkeu!$M$6:$M$1005,SMALL(IF(checklistPesertaKemenkeu!$AY$6:$AY$1005="Direkomendasikan",ROW($6:$1005)-5),455)),KotaKode,2,0),"-"),"")),"")</f>
        <v/>
      </c>
      <c r="J456" t="str">
        <f t="array" aca="1" ref="J456" ca="1">IFERROR(IF(OR(INDEX(checklistPesertaKemenkeu!$N$6:$N$1005,SMALL(IF(checklistPesertaKemenkeu!$AY$6:$AY$1005="Direkomendasikan",ROW($6:$1005)-5),455))="",INDEX(checklistPesertaKemenkeu!$J$6:$J$1005,SMALL(IF(checklistPesertaKemenkeu!$AY$6:$AY$1005="Direkomendasikan",ROW($6:$1005)-5),455))=""),"",IF(AND(COUNTIF(INDIRECT("K_"&amp;MATCH(INDEX(checklistPesertaKemenkeu!$J$6:$J$1005,SMALL(IF(checklistPesertaKemenkeu!$AY$6:$AY$1005="Direkomendasikan",ROW($6:$1005)-5),455)),BidangList,0)),INDEX(checklistPesertaKemenkeu!$N$6:$N$1005,SMALL(IF(checklistPesertaKemenkeu!$AY$6:$AY$1005="Direkomendasikan",ROW($6:$1005)-5),455)))&gt;0,COUNTIF(INDIRECT("'KERTAS KERJA'!K"&amp;(SMALL(IF(checklistPesertaKemenkeu!$AY$6:$AY$1005="Direkomendasikan",ROW($6:$1005)-5),455)+5)&amp;":O"&amp;(SMALL(IF(checklistPesertaKemenkeu!$AY$6:$AY$1005="Direkomendasikan",ROW($6:$1005)-5),455)+5)),INDEX(checklistPesertaKemenkeu!$N$6:$N$1005,SMALL(IF(checklistPesertaKemenkeu!$AY$6:$AY$1005="Direkomendasikan",ROW($6:$1005)-5),455)))=1),IFERROR(VLOOKUP(INDEX(checklistPesertaKemenkeu!$N$6:$N$1005,SMALL(IF(checklistPesertaKemenkeu!$AY$6:$AY$1005="Direkomendasikan",ROW($6:$1005)-5),455)),KotaKode,2,0),"-"),"")),"")</f>
        <v/>
      </c>
      <c r="K456" t="str">
        <f t="array" aca="1" ref="K456" ca="1">IFERROR(IF(OR(INDEX(checklistPesertaKemenkeu!$O$6:$O$1005,SMALL(IF(checklistPesertaKemenkeu!$AY$6:$AY$1005="Direkomendasikan",ROW($6:$1005)-5),455))="",INDEX(checklistPesertaKemenkeu!$J$6:$J$1005,SMALL(IF(checklistPesertaKemenkeu!$AY$6:$AY$1005="Direkomendasikan",ROW($6:$1005)-5),455))=""),"",IF(AND(COUNTIF(INDIRECT("K_"&amp;MATCH(INDEX(checklistPesertaKemenkeu!$J$6:$J$1005,SMALL(IF(checklistPesertaKemenkeu!$AY$6:$AY$1005="Direkomendasikan",ROW($6:$1005)-5),455)),BidangList,0)),INDEX(checklistPesertaKemenkeu!$O$6:$O$1005,SMALL(IF(checklistPesertaKemenkeu!$AY$6:$AY$1005="Direkomendasikan",ROW($6:$1005)-5),455)))&gt;0,COUNTIF(INDIRECT("'KERTAS KERJA'!K"&amp;(SMALL(IF(checklistPesertaKemenkeu!$AY$6:$AY$1005="Direkomendasikan",ROW($6:$1005)-5),455)+5)&amp;":O"&amp;(SMALL(IF(checklistPesertaKemenkeu!$AY$6:$AY$1005="Direkomendasikan",ROW($6:$1005)-5),455)+5)),INDEX(checklistPesertaKemenkeu!$O$6:$O$1005,SMALL(IF(checklistPesertaKemenkeu!$AY$6:$AY$1005="Direkomendasikan",ROW($6:$1005)-5),455)))=1),IFERROR(VLOOKUP(INDEX(checklistPesertaKemenkeu!$O$6:$O$1005,SMALL(IF(checklistPesertaKemenkeu!$AY$6:$AY$1005="Direkomendasikan",ROW($6:$1005)-5),455)),KotaKode,2,0),"-"),"")),"")</f>
        <v/>
      </c>
      <c r="L456" t="str">
        <f t="array" aca="1" ref="L456" ca="1">IFERROR(IF(OR(INDEX(checklistPesertaKemenkeu!$P$6:$P$1005,SMALL(IF(checklistPesertaKemenkeu!$AY$6:$AY$1005="Direkomendasikan",ROW($6:$1005)-5),455))="",INDEX(checklistPesertaKemenkeu!$J$6:$J$1005,SMALL(IF(checklistPesertaKemenkeu!$AY$6:$AY$1005="Direkomendasikan",ROW($6:$1005)-5),455))=""),"",IF(AND(COUNTIF(INDIRECT("K_"&amp;MATCH(INDEX(checklistPesertaKemenkeu!$J$6:$J$1005,SMALL(IF(checklistPesertaKemenkeu!$AY$6:$AY$1005="Direkomendasikan",ROW($6:$1005)-5),455)),BidangList,0)),INDEX(checklistPesertaKemenkeu!$P$6:$P$1005,SMALL(IF(checklistPesertaKemenkeu!$AY$6:$AY$1005="Direkomendasikan",ROW($6:$1005)-5),455)))&gt;0,COUNTIF(INDIRECT("'KERTAS KERJA'!K"&amp;(SMALL(IF(checklistPesertaKemenkeu!$AY$6:$AY$1005="Direkomendasikan",ROW($6:$1005)-5),455)+5)&amp;":O"&amp;(SMALL(IF(checklistPesertaKemenkeu!$AY$6:$AY$1005="Direkomendasikan",ROW($6:$1005)-5),455)+5)),INDEX(checklistPesertaKemenkeu!$P$6:$P$1005,SMALL(IF(checklistPesertaKemenkeu!$AY$6:$AY$1005="Direkomendasikan",ROW($6:$1005)-5),455)))=1),IFERROR(VLOOKUP(INDEX(checklistPesertaKemenkeu!$P$6:$P$1005,SMALL(IF(checklistPesertaKemenkeu!$AY$6:$AY$1005="Direkomendasikan",ROW($6:$1005)-5),455)),KotaKode,2,0),"-"),"")),"")</f>
        <v/>
      </c>
    </row>
    <row r="457" spans="1:12" ht="15" customHeight="1" x14ac:dyDescent="0.2">
      <c r="A457" t="str">
        <f t="shared" si="7"/>
        <v/>
      </c>
      <c r="B457" t="str">
        <v/>
      </c>
      <c r="C457" s="40" t="str">
        <f t="array" ref="C457">IFERROR(INDEX(checklistPesertaKemenkeu!$F$6:$F$1005,SMALL(IF(checklistPesertaKemenkeu!$AY$6:$AY$1005="Direkomendasikan",ROW($6:$1005)-5),456)),"")</f>
        <v/>
      </c>
      <c r="D457" t="str">
        <f t="array" ref="D457">IFERROR(INDEX(checklistPesertaKemenkeu!$G$6:$G$1005,SMALL(IF(checklistPesertaKemenkeu!$AY$6:$AY$1005="Direkomendasikan",ROW($6:$1005)-5),456)),"")</f>
        <v/>
      </c>
      <c r="E457" t="str">
        <f t="array" ref="E457">IFERROR(INDEX(checklistPesertaKemenkeu!$H$6:$H$1005,SMALL(IF(checklistPesertaKemenkeu!$AY$6:$AY$1005="Direkomendasikan",ROW($6:$1005)-5),456)),"")</f>
        <v/>
      </c>
      <c r="F457" t="str">
        <f t="array" ref="F457">IFERROR(INDEX(checklistPesertaKemenkeu!$I$6:$I$1005,SMALL(IF(checklistPesertaKemenkeu!$AY$6:$AY$1005="Direkomendasikan",ROW($6:$1005)-5),456)),"")</f>
        <v/>
      </c>
      <c r="G457" t="str">
        <f t="array" ref="G457">IFERROR(INDEX(checklistPesertaKemenkeu!$J$6:$J$1005,SMALL(IF(checklistPesertaKemenkeu!$AY$6:$AY$1005="Direkomendasikan",ROW($6:$1005)-5),456)),"")</f>
        <v/>
      </c>
      <c r="H457" t="str">
        <f t="array" aca="1" ref="H457" ca="1">IFERROR(IF(OR(INDEX(checklistPesertaKemenkeu!$L$6:$L$1005,SMALL(IF(checklistPesertaKemenkeu!$AY$6:$AY$1005="Direkomendasikan",ROW($6:$1005)-5),456))="",INDEX(checklistPesertaKemenkeu!$J$6:$J$1005,SMALL(IF(checklistPesertaKemenkeu!$AY$6:$AY$1005="Direkomendasikan",ROW($6:$1005)-5),456))=""),"",IF(AND(COUNTIF(INDIRECT("K_"&amp;MATCH(INDEX(checklistPesertaKemenkeu!$J$6:$J$1005,SMALL(IF(checklistPesertaKemenkeu!$AY$6:$AY$1005="Direkomendasikan",ROW($6:$1005)-5),456)),BidangList,0)),INDEX(checklistPesertaKemenkeu!$L$6:$L$1005,SMALL(IF(checklistPesertaKemenkeu!$AY$6:$AY$1005="Direkomendasikan",ROW($6:$1005)-5),456)))&gt;0,COUNTIF(INDIRECT("'KERTAS KERJA'!K"&amp;(SMALL(IF(checklistPesertaKemenkeu!$AY$6:$AY$1005="Direkomendasikan",ROW($6:$1005)-5),456)+5)&amp;":O"&amp;(SMALL(IF(checklistPesertaKemenkeu!$AY$6:$AY$1005="Direkomendasikan",ROW($6:$1005)-5),456)+5)),INDEX(checklistPesertaKemenkeu!$L$6:$L$1005,SMALL(IF(checklistPesertaKemenkeu!$AY$6:$AY$1005="Direkomendasikan",ROW($6:$1005)-5),456)))=1),IFERROR(VLOOKUP(INDEX(checklistPesertaKemenkeu!$L$6:$L$1005,SMALL(IF(checklistPesertaKemenkeu!$AY$6:$AY$1005="Direkomendasikan",ROW($6:$1005)-5),456)),KotaKode,2,0),"-"),"")),"")</f>
        <v/>
      </c>
      <c r="I457" t="str">
        <f t="array" aca="1" ref="I457" ca="1">IFERROR(IF(OR(INDEX(checklistPesertaKemenkeu!$M$6:$M$1005,SMALL(IF(checklistPesertaKemenkeu!$AY$6:$AY$1005="Direkomendasikan",ROW($6:$1005)-5),456))="",INDEX(checklistPesertaKemenkeu!$J$6:$J$1005,SMALL(IF(checklistPesertaKemenkeu!$AY$6:$AY$1005="Direkomendasikan",ROW($6:$1005)-5),456))=""),"",IF(AND(COUNTIF(INDIRECT("K_"&amp;MATCH(INDEX(checklistPesertaKemenkeu!$J$6:$J$1005,SMALL(IF(checklistPesertaKemenkeu!$AY$6:$AY$1005="Direkomendasikan",ROW($6:$1005)-5),456)),BidangList,0)),INDEX(checklistPesertaKemenkeu!$M$6:$M$1005,SMALL(IF(checklistPesertaKemenkeu!$AY$6:$AY$1005="Direkomendasikan",ROW($6:$1005)-5),456)))&gt;0,COUNTIF(INDIRECT("'KERTAS KERJA'!K"&amp;(SMALL(IF(checklistPesertaKemenkeu!$AY$6:$AY$1005="Direkomendasikan",ROW($6:$1005)-5),456)+5)&amp;":O"&amp;(SMALL(IF(checklistPesertaKemenkeu!$AY$6:$AY$1005="Direkomendasikan",ROW($6:$1005)-5),456)+5)),INDEX(checklistPesertaKemenkeu!$M$6:$M$1005,SMALL(IF(checklistPesertaKemenkeu!$AY$6:$AY$1005="Direkomendasikan",ROW($6:$1005)-5),456)))=1),IFERROR(VLOOKUP(INDEX(checklistPesertaKemenkeu!$M$6:$M$1005,SMALL(IF(checklistPesertaKemenkeu!$AY$6:$AY$1005="Direkomendasikan",ROW($6:$1005)-5),456)),KotaKode,2,0),"-"),"")),"")</f>
        <v/>
      </c>
      <c r="J457" t="str">
        <f t="array" aca="1" ref="J457" ca="1">IFERROR(IF(OR(INDEX(checklistPesertaKemenkeu!$N$6:$N$1005,SMALL(IF(checklistPesertaKemenkeu!$AY$6:$AY$1005="Direkomendasikan",ROW($6:$1005)-5),456))="",INDEX(checklistPesertaKemenkeu!$J$6:$J$1005,SMALL(IF(checklistPesertaKemenkeu!$AY$6:$AY$1005="Direkomendasikan",ROW($6:$1005)-5),456))=""),"",IF(AND(COUNTIF(INDIRECT("K_"&amp;MATCH(INDEX(checklistPesertaKemenkeu!$J$6:$J$1005,SMALL(IF(checklistPesertaKemenkeu!$AY$6:$AY$1005="Direkomendasikan",ROW($6:$1005)-5),456)),BidangList,0)),INDEX(checklistPesertaKemenkeu!$N$6:$N$1005,SMALL(IF(checklistPesertaKemenkeu!$AY$6:$AY$1005="Direkomendasikan",ROW($6:$1005)-5),456)))&gt;0,COUNTIF(INDIRECT("'KERTAS KERJA'!K"&amp;(SMALL(IF(checklistPesertaKemenkeu!$AY$6:$AY$1005="Direkomendasikan",ROW($6:$1005)-5),456)+5)&amp;":O"&amp;(SMALL(IF(checklistPesertaKemenkeu!$AY$6:$AY$1005="Direkomendasikan",ROW($6:$1005)-5),456)+5)),INDEX(checklistPesertaKemenkeu!$N$6:$N$1005,SMALL(IF(checklistPesertaKemenkeu!$AY$6:$AY$1005="Direkomendasikan",ROW($6:$1005)-5),456)))=1),IFERROR(VLOOKUP(INDEX(checklistPesertaKemenkeu!$N$6:$N$1005,SMALL(IF(checklistPesertaKemenkeu!$AY$6:$AY$1005="Direkomendasikan",ROW($6:$1005)-5),456)),KotaKode,2,0),"-"),"")),"")</f>
        <v/>
      </c>
      <c r="K457" t="str">
        <f t="array" aca="1" ref="K457" ca="1">IFERROR(IF(OR(INDEX(checklistPesertaKemenkeu!$O$6:$O$1005,SMALL(IF(checklistPesertaKemenkeu!$AY$6:$AY$1005="Direkomendasikan",ROW($6:$1005)-5),456))="",INDEX(checklistPesertaKemenkeu!$J$6:$J$1005,SMALL(IF(checklistPesertaKemenkeu!$AY$6:$AY$1005="Direkomendasikan",ROW($6:$1005)-5),456))=""),"",IF(AND(COUNTIF(INDIRECT("K_"&amp;MATCH(INDEX(checklistPesertaKemenkeu!$J$6:$J$1005,SMALL(IF(checklistPesertaKemenkeu!$AY$6:$AY$1005="Direkomendasikan",ROW($6:$1005)-5),456)),BidangList,0)),INDEX(checklistPesertaKemenkeu!$O$6:$O$1005,SMALL(IF(checklistPesertaKemenkeu!$AY$6:$AY$1005="Direkomendasikan",ROW($6:$1005)-5),456)))&gt;0,COUNTIF(INDIRECT("'KERTAS KERJA'!K"&amp;(SMALL(IF(checklistPesertaKemenkeu!$AY$6:$AY$1005="Direkomendasikan",ROW($6:$1005)-5),456)+5)&amp;":O"&amp;(SMALL(IF(checklistPesertaKemenkeu!$AY$6:$AY$1005="Direkomendasikan",ROW($6:$1005)-5),456)+5)),INDEX(checklistPesertaKemenkeu!$O$6:$O$1005,SMALL(IF(checklistPesertaKemenkeu!$AY$6:$AY$1005="Direkomendasikan",ROW($6:$1005)-5),456)))=1),IFERROR(VLOOKUP(INDEX(checklistPesertaKemenkeu!$O$6:$O$1005,SMALL(IF(checklistPesertaKemenkeu!$AY$6:$AY$1005="Direkomendasikan",ROW($6:$1005)-5),456)),KotaKode,2,0),"-"),"")),"")</f>
        <v/>
      </c>
      <c r="L457" t="str">
        <f t="array" aca="1" ref="L457" ca="1">IFERROR(IF(OR(INDEX(checklistPesertaKemenkeu!$P$6:$P$1005,SMALL(IF(checklistPesertaKemenkeu!$AY$6:$AY$1005="Direkomendasikan",ROW($6:$1005)-5),456))="",INDEX(checklistPesertaKemenkeu!$J$6:$J$1005,SMALL(IF(checklistPesertaKemenkeu!$AY$6:$AY$1005="Direkomendasikan",ROW($6:$1005)-5),456))=""),"",IF(AND(COUNTIF(INDIRECT("K_"&amp;MATCH(INDEX(checklistPesertaKemenkeu!$J$6:$J$1005,SMALL(IF(checklistPesertaKemenkeu!$AY$6:$AY$1005="Direkomendasikan",ROW($6:$1005)-5),456)),BidangList,0)),INDEX(checklistPesertaKemenkeu!$P$6:$P$1005,SMALL(IF(checklistPesertaKemenkeu!$AY$6:$AY$1005="Direkomendasikan",ROW($6:$1005)-5),456)))&gt;0,COUNTIF(INDIRECT("'KERTAS KERJA'!K"&amp;(SMALL(IF(checklistPesertaKemenkeu!$AY$6:$AY$1005="Direkomendasikan",ROW($6:$1005)-5),456)+5)&amp;":O"&amp;(SMALL(IF(checklistPesertaKemenkeu!$AY$6:$AY$1005="Direkomendasikan",ROW($6:$1005)-5),456)+5)),INDEX(checklistPesertaKemenkeu!$P$6:$P$1005,SMALL(IF(checklistPesertaKemenkeu!$AY$6:$AY$1005="Direkomendasikan",ROW($6:$1005)-5),456)))=1),IFERROR(VLOOKUP(INDEX(checklistPesertaKemenkeu!$P$6:$P$1005,SMALL(IF(checklistPesertaKemenkeu!$AY$6:$AY$1005="Direkomendasikan",ROW($6:$1005)-5),456)),KotaKode,2,0),"-"),"")),"")</f>
        <v/>
      </c>
    </row>
    <row r="458" spans="1:12" ht="15" customHeight="1" x14ac:dyDescent="0.2">
      <c r="A458" t="str">
        <f t="shared" si="7"/>
        <v/>
      </c>
      <c r="B458" t="str">
        <v/>
      </c>
      <c r="C458" s="40" t="str">
        <f t="array" ref="C458">IFERROR(INDEX(checklistPesertaKemenkeu!$F$6:$F$1005,SMALL(IF(checklistPesertaKemenkeu!$AY$6:$AY$1005="Direkomendasikan",ROW($6:$1005)-5),457)),"")</f>
        <v/>
      </c>
      <c r="D458" t="str">
        <f t="array" ref="D458">IFERROR(INDEX(checklistPesertaKemenkeu!$G$6:$G$1005,SMALL(IF(checklistPesertaKemenkeu!$AY$6:$AY$1005="Direkomendasikan",ROW($6:$1005)-5),457)),"")</f>
        <v/>
      </c>
      <c r="E458" t="str">
        <f t="array" ref="E458">IFERROR(INDEX(checklistPesertaKemenkeu!$H$6:$H$1005,SMALL(IF(checklistPesertaKemenkeu!$AY$6:$AY$1005="Direkomendasikan",ROW($6:$1005)-5),457)),"")</f>
        <v/>
      </c>
      <c r="F458" t="str">
        <f t="array" ref="F458">IFERROR(INDEX(checklistPesertaKemenkeu!$I$6:$I$1005,SMALL(IF(checklistPesertaKemenkeu!$AY$6:$AY$1005="Direkomendasikan",ROW($6:$1005)-5),457)),"")</f>
        <v/>
      </c>
      <c r="G458" t="str">
        <f t="array" ref="G458">IFERROR(INDEX(checklistPesertaKemenkeu!$J$6:$J$1005,SMALL(IF(checklistPesertaKemenkeu!$AY$6:$AY$1005="Direkomendasikan",ROW($6:$1005)-5),457)),"")</f>
        <v/>
      </c>
      <c r="H458" t="str">
        <f t="array" aca="1" ref="H458" ca="1">IFERROR(IF(OR(INDEX(checklistPesertaKemenkeu!$L$6:$L$1005,SMALL(IF(checklistPesertaKemenkeu!$AY$6:$AY$1005="Direkomendasikan",ROW($6:$1005)-5),457))="",INDEX(checklistPesertaKemenkeu!$J$6:$J$1005,SMALL(IF(checklistPesertaKemenkeu!$AY$6:$AY$1005="Direkomendasikan",ROW($6:$1005)-5),457))=""),"",IF(AND(COUNTIF(INDIRECT("K_"&amp;MATCH(INDEX(checklistPesertaKemenkeu!$J$6:$J$1005,SMALL(IF(checklistPesertaKemenkeu!$AY$6:$AY$1005="Direkomendasikan",ROW($6:$1005)-5),457)),BidangList,0)),INDEX(checklistPesertaKemenkeu!$L$6:$L$1005,SMALL(IF(checklistPesertaKemenkeu!$AY$6:$AY$1005="Direkomendasikan",ROW($6:$1005)-5),457)))&gt;0,COUNTIF(INDIRECT("'KERTAS KERJA'!K"&amp;(SMALL(IF(checklistPesertaKemenkeu!$AY$6:$AY$1005="Direkomendasikan",ROW($6:$1005)-5),457)+5)&amp;":O"&amp;(SMALL(IF(checklistPesertaKemenkeu!$AY$6:$AY$1005="Direkomendasikan",ROW($6:$1005)-5),457)+5)),INDEX(checklistPesertaKemenkeu!$L$6:$L$1005,SMALL(IF(checklistPesertaKemenkeu!$AY$6:$AY$1005="Direkomendasikan",ROW($6:$1005)-5),457)))=1),IFERROR(VLOOKUP(INDEX(checklistPesertaKemenkeu!$L$6:$L$1005,SMALL(IF(checklistPesertaKemenkeu!$AY$6:$AY$1005="Direkomendasikan",ROW($6:$1005)-5),457)),KotaKode,2,0),"-"),"")),"")</f>
        <v/>
      </c>
      <c r="I458" t="str">
        <f t="array" aca="1" ref="I458" ca="1">IFERROR(IF(OR(INDEX(checklistPesertaKemenkeu!$M$6:$M$1005,SMALL(IF(checklistPesertaKemenkeu!$AY$6:$AY$1005="Direkomendasikan",ROW($6:$1005)-5),457))="",INDEX(checklistPesertaKemenkeu!$J$6:$J$1005,SMALL(IF(checklistPesertaKemenkeu!$AY$6:$AY$1005="Direkomendasikan",ROW($6:$1005)-5),457))=""),"",IF(AND(COUNTIF(INDIRECT("K_"&amp;MATCH(INDEX(checklistPesertaKemenkeu!$J$6:$J$1005,SMALL(IF(checklistPesertaKemenkeu!$AY$6:$AY$1005="Direkomendasikan",ROW($6:$1005)-5),457)),BidangList,0)),INDEX(checklistPesertaKemenkeu!$M$6:$M$1005,SMALL(IF(checklistPesertaKemenkeu!$AY$6:$AY$1005="Direkomendasikan",ROW($6:$1005)-5),457)))&gt;0,COUNTIF(INDIRECT("'KERTAS KERJA'!K"&amp;(SMALL(IF(checklistPesertaKemenkeu!$AY$6:$AY$1005="Direkomendasikan",ROW($6:$1005)-5),457)+5)&amp;":O"&amp;(SMALL(IF(checklistPesertaKemenkeu!$AY$6:$AY$1005="Direkomendasikan",ROW($6:$1005)-5),457)+5)),INDEX(checklistPesertaKemenkeu!$M$6:$M$1005,SMALL(IF(checklistPesertaKemenkeu!$AY$6:$AY$1005="Direkomendasikan",ROW($6:$1005)-5),457)))=1),IFERROR(VLOOKUP(INDEX(checklistPesertaKemenkeu!$M$6:$M$1005,SMALL(IF(checklistPesertaKemenkeu!$AY$6:$AY$1005="Direkomendasikan",ROW($6:$1005)-5),457)),KotaKode,2,0),"-"),"")),"")</f>
        <v/>
      </c>
      <c r="J458" t="str">
        <f t="array" aca="1" ref="J458" ca="1">IFERROR(IF(OR(INDEX(checklistPesertaKemenkeu!$N$6:$N$1005,SMALL(IF(checklistPesertaKemenkeu!$AY$6:$AY$1005="Direkomendasikan",ROW($6:$1005)-5),457))="",INDEX(checklistPesertaKemenkeu!$J$6:$J$1005,SMALL(IF(checklistPesertaKemenkeu!$AY$6:$AY$1005="Direkomendasikan",ROW($6:$1005)-5),457))=""),"",IF(AND(COUNTIF(INDIRECT("K_"&amp;MATCH(INDEX(checklistPesertaKemenkeu!$J$6:$J$1005,SMALL(IF(checklistPesertaKemenkeu!$AY$6:$AY$1005="Direkomendasikan",ROW($6:$1005)-5),457)),BidangList,0)),INDEX(checklistPesertaKemenkeu!$N$6:$N$1005,SMALL(IF(checklistPesertaKemenkeu!$AY$6:$AY$1005="Direkomendasikan",ROW($6:$1005)-5),457)))&gt;0,COUNTIF(INDIRECT("'KERTAS KERJA'!K"&amp;(SMALL(IF(checklistPesertaKemenkeu!$AY$6:$AY$1005="Direkomendasikan",ROW($6:$1005)-5),457)+5)&amp;":O"&amp;(SMALL(IF(checklistPesertaKemenkeu!$AY$6:$AY$1005="Direkomendasikan",ROW($6:$1005)-5),457)+5)),INDEX(checklistPesertaKemenkeu!$N$6:$N$1005,SMALL(IF(checklistPesertaKemenkeu!$AY$6:$AY$1005="Direkomendasikan",ROW($6:$1005)-5),457)))=1),IFERROR(VLOOKUP(INDEX(checklistPesertaKemenkeu!$N$6:$N$1005,SMALL(IF(checklistPesertaKemenkeu!$AY$6:$AY$1005="Direkomendasikan",ROW($6:$1005)-5),457)),KotaKode,2,0),"-"),"")),"")</f>
        <v/>
      </c>
      <c r="K458" t="str">
        <f t="array" aca="1" ref="K458" ca="1">IFERROR(IF(OR(INDEX(checklistPesertaKemenkeu!$O$6:$O$1005,SMALL(IF(checklistPesertaKemenkeu!$AY$6:$AY$1005="Direkomendasikan",ROW($6:$1005)-5),457))="",INDEX(checklistPesertaKemenkeu!$J$6:$J$1005,SMALL(IF(checklistPesertaKemenkeu!$AY$6:$AY$1005="Direkomendasikan",ROW($6:$1005)-5),457))=""),"",IF(AND(COUNTIF(INDIRECT("K_"&amp;MATCH(INDEX(checklistPesertaKemenkeu!$J$6:$J$1005,SMALL(IF(checklistPesertaKemenkeu!$AY$6:$AY$1005="Direkomendasikan",ROW($6:$1005)-5),457)),BidangList,0)),INDEX(checklistPesertaKemenkeu!$O$6:$O$1005,SMALL(IF(checklistPesertaKemenkeu!$AY$6:$AY$1005="Direkomendasikan",ROW($6:$1005)-5),457)))&gt;0,COUNTIF(INDIRECT("'KERTAS KERJA'!K"&amp;(SMALL(IF(checklistPesertaKemenkeu!$AY$6:$AY$1005="Direkomendasikan",ROW($6:$1005)-5),457)+5)&amp;":O"&amp;(SMALL(IF(checklistPesertaKemenkeu!$AY$6:$AY$1005="Direkomendasikan",ROW($6:$1005)-5),457)+5)),INDEX(checklistPesertaKemenkeu!$O$6:$O$1005,SMALL(IF(checklistPesertaKemenkeu!$AY$6:$AY$1005="Direkomendasikan",ROW($6:$1005)-5),457)))=1),IFERROR(VLOOKUP(INDEX(checklistPesertaKemenkeu!$O$6:$O$1005,SMALL(IF(checklistPesertaKemenkeu!$AY$6:$AY$1005="Direkomendasikan",ROW($6:$1005)-5),457)),KotaKode,2,0),"-"),"")),"")</f>
        <v/>
      </c>
      <c r="L458" t="str">
        <f t="array" aca="1" ref="L458" ca="1">IFERROR(IF(OR(INDEX(checklistPesertaKemenkeu!$P$6:$P$1005,SMALL(IF(checklistPesertaKemenkeu!$AY$6:$AY$1005="Direkomendasikan",ROW($6:$1005)-5),457))="",INDEX(checklistPesertaKemenkeu!$J$6:$J$1005,SMALL(IF(checklistPesertaKemenkeu!$AY$6:$AY$1005="Direkomendasikan",ROW($6:$1005)-5),457))=""),"",IF(AND(COUNTIF(INDIRECT("K_"&amp;MATCH(INDEX(checklistPesertaKemenkeu!$J$6:$J$1005,SMALL(IF(checklistPesertaKemenkeu!$AY$6:$AY$1005="Direkomendasikan",ROW($6:$1005)-5),457)),BidangList,0)),INDEX(checklistPesertaKemenkeu!$P$6:$P$1005,SMALL(IF(checklistPesertaKemenkeu!$AY$6:$AY$1005="Direkomendasikan",ROW($6:$1005)-5),457)))&gt;0,COUNTIF(INDIRECT("'KERTAS KERJA'!K"&amp;(SMALL(IF(checklistPesertaKemenkeu!$AY$6:$AY$1005="Direkomendasikan",ROW($6:$1005)-5),457)+5)&amp;":O"&amp;(SMALL(IF(checklistPesertaKemenkeu!$AY$6:$AY$1005="Direkomendasikan",ROW($6:$1005)-5),457)+5)),INDEX(checklistPesertaKemenkeu!$P$6:$P$1005,SMALL(IF(checklistPesertaKemenkeu!$AY$6:$AY$1005="Direkomendasikan",ROW($6:$1005)-5),457)))=1),IFERROR(VLOOKUP(INDEX(checklistPesertaKemenkeu!$P$6:$P$1005,SMALL(IF(checklistPesertaKemenkeu!$AY$6:$AY$1005="Direkomendasikan",ROW($6:$1005)-5),457)),KotaKode,2,0),"-"),"")),"")</f>
        <v/>
      </c>
    </row>
    <row r="459" spans="1:12" ht="15" customHeight="1" x14ac:dyDescent="0.2">
      <c r="A459" t="str">
        <f t="shared" si="7"/>
        <v/>
      </c>
      <c r="B459" t="str">
        <v/>
      </c>
      <c r="C459" s="40" t="str">
        <f t="array" ref="C459">IFERROR(INDEX(checklistPesertaKemenkeu!$F$6:$F$1005,SMALL(IF(checklistPesertaKemenkeu!$AY$6:$AY$1005="Direkomendasikan",ROW($6:$1005)-5),458)),"")</f>
        <v/>
      </c>
      <c r="D459" t="str">
        <f t="array" ref="D459">IFERROR(INDEX(checklistPesertaKemenkeu!$G$6:$G$1005,SMALL(IF(checklistPesertaKemenkeu!$AY$6:$AY$1005="Direkomendasikan",ROW($6:$1005)-5),458)),"")</f>
        <v/>
      </c>
      <c r="E459" t="str">
        <f t="array" ref="E459">IFERROR(INDEX(checklistPesertaKemenkeu!$H$6:$H$1005,SMALL(IF(checklistPesertaKemenkeu!$AY$6:$AY$1005="Direkomendasikan",ROW($6:$1005)-5),458)),"")</f>
        <v/>
      </c>
      <c r="F459" t="str">
        <f t="array" ref="F459">IFERROR(INDEX(checklistPesertaKemenkeu!$I$6:$I$1005,SMALL(IF(checklistPesertaKemenkeu!$AY$6:$AY$1005="Direkomendasikan",ROW($6:$1005)-5),458)),"")</f>
        <v/>
      </c>
      <c r="G459" t="str">
        <f t="array" ref="G459">IFERROR(INDEX(checklistPesertaKemenkeu!$J$6:$J$1005,SMALL(IF(checklistPesertaKemenkeu!$AY$6:$AY$1005="Direkomendasikan",ROW($6:$1005)-5),458)),"")</f>
        <v/>
      </c>
      <c r="H459" t="str">
        <f t="array" aca="1" ref="H459" ca="1">IFERROR(IF(OR(INDEX(checklistPesertaKemenkeu!$L$6:$L$1005,SMALL(IF(checklistPesertaKemenkeu!$AY$6:$AY$1005="Direkomendasikan",ROW($6:$1005)-5),458))="",INDEX(checklistPesertaKemenkeu!$J$6:$J$1005,SMALL(IF(checklistPesertaKemenkeu!$AY$6:$AY$1005="Direkomendasikan",ROW($6:$1005)-5),458))=""),"",IF(AND(COUNTIF(INDIRECT("K_"&amp;MATCH(INDEX(checklistPesertaKemenkeu!$J$6:$J$1005,SMALL(IF(checklistPesertaKemenkeu!$AY$6:$AY$1005="Direkomendasikan",ROW($6:$1005)-5),458)),BidangList,0)),INDEX(checklistPesertaKemenkeu!$L$6:$L$1005,SMALL(IF(checklistPesertaKemenkeu!$AY$6:$AY$1005="Direkomendasikan",ROW($6:$1005)-5),458)))&gt;0,COUNTIF(INDIRECT("'KERTAS KERJA'!K"&amp;(SMALL(IF(checklistPesertaKemenkeu!$AY$6:$AY$1005="Direkomendasikan",ROW($6:$1005)-5),458)+5)&amp;":O"&amp;(SMALL(IF(checklistPesertaKemenkeu!$AY$6:$AY$1005="Direkomendasikan",ROW($6:$1005)-5),458)+5)),INDEX(checklistPesertaKemenkeu!$L$6:$L$1005,SMALL(IF(checklistPesertaKemenkeu!$AY$6:$AY$1005="Direkomendasikan",ROW($6:$1005)-5),458)))=1),IFERROR(VLOOKUP(INDEX(checklistPesertaKemenkeu!$L$6:$L$1005,SMALL(IF(checklistPesertaKemenkeu!$AY$6:$AY$1005="Direkomendasikan",ROW($6:$1005)-5),458)),KotaKode,2,0),"-"),"")),"")</f>
        <v/>
      </c>
      <c r="I459" t="str">
        <f t="array" aca="1" ref="I459" ca="1">IFERROR(IF(OR(INDEX(checklistPesertaKemenkeu!$M$6:$M$1005,SMALL(IF(checklistPesertaKemenkeu!$AY$6:$AY$1005="Direkomendasikan",ROW($6:$1005)-5),458))="",INDEX(checklistPesertaKemenkeu!$J$6:$J$1005,SMALL(IF(checklistPesertaKemenkeu!$AY$6:$AY$1005="Direkomendasikan",ROW($6:$1005)-5),458))=""),"",IF(AND(COUNTIF(INDIRECT("K_"&amp;MATCH(INDEX(checklistPesertaKemenkeu!$J$6:$J$1005,SMALL(IF(checklistPesertaKemenkeu!$AY$6:$AY$1005="Direkomendasikan",ROW($6:$1005)-5),458)),BidangList,0)),INDEX(checklistPesertaKemenkeu!$M$6:$M$1005,SMALL(IF(checklistPesertaKemenkeu!$AY$6:$AY$1005="Direkomendasikan",ROW($6:$1005)-5),458)))&gt;0,COUNTIF(INDIRECT("'KERTAS KERJA'!K"&amp;(SMALL(IF(checklistPesertaKemenkeu!$AY$6:$AY$1005="Direkomendasikan",ROW($6:$1005)-5),458)+5)&amp;":O"&amp;(SMALL(IF(checklistPesertaKemenkeu!$AY$6:$AY$1005="Direkomendasikan",ROW($6:$1005)-5),458)+5)),INDEX(checklistPesertaKemenkeu!$M$6:$M$1005,SMALL(IF(checklistPesertaKemenkeu!$AY$6:$AY$1005="Direkomendasikan",ROW($6:$1005)-5),458)))=1),IFERROR(VLOOKUP(INDEX(checklistPesertaKemenkeu!$M$6:$M$1005,SMALL(IF(checklistPesertaKemenkeu!$AY$6:$AY$1005="Direkomendasikan",ROW($6:$1005)-5),458)),KotaKode,2,0),"-"),"")),"")</f>
        <v/>
      </c>
      <c r="J459" t="str">
        <f t="array" aca="1" ref="J459" ca="1">IFERROR(IF(OR(INDEX(checklistPesertaKemenkeu!$N$6:$N$1005,SMALL(IF(checklistPesertaKemenkeu!$AY$6:$AY$1005="Direkomendasikan",ROW($6:$1005)-5),458))="",INDEX(checklistPesertaKemenkeu!$J$6:$J$1005,SMALL(IF(checklistPesertaKemenkeu!$AY$6:$AY$1005="Direkomendasikan",ROW($6:$1005)-5),458))=""),"",IF(AND(COUNTIF(INDIRECT("K_"&amp;MATCH(INDEX(checklistPesertaKemenkeu!$J$6:$J$1005,SMALL(IF(checklistPesertaKemenkeu!$AY$6:$AY$1005="Direkomendasikan",ROW($6:$1005)-5),458)),BidangList,0)),INDEX(checklistPesertaKemenkeu!$N$6:$N$1005,SMALL(IF(checklistPesertaKemenkeu!$AY$6:$AY$1005="Direkomendasikan",ROW($6:$1005)-5),458)))&gt;0,COUNTIF(INDIRECT("'KERTAS KERJA'!K"&amp;(SMALL(IF(checklistPesertaKemenkeu!$AY$6:$AY$1005="Direkomendasikan",ROW($6:$1005)-5),458)+5)&amp;":O"&amp;(SMALL(IF(checklistPesertaKemenkeu!$AY$6:$AY$1005="Direkomendasikan",ROW($6:$1005)-5),458)+5)),INDEX(checklistPesertaKemenkeu!$N$6:$N$1005,SMALL(IF(checklistPesertaKemenkeu!$AY$6:$AY$1005="Direkomendasikan",ROW($6:$1005)-5),458)))=1),IFERROR(VLOOKUP(INDEX(checklistPesertaKemenkeu!$N$6:$N$1005,SMALL(IF(checklistPesertaKemenkeu!$AY$6:$AY$1005="Direkomendasikan",ROW($6:$1005)-5),458)),KotaKode,2,0),"-"),"")),"")</f>
        <v/>
      </c>
      <c r="K459" t="str">
        <f t="array" aca="1" ref="K459" ca="1">IFERROR(IF(OR(INDEX(checklistPesertaKemenkeu!$O$6:$O$1005,SMALL(IF(checklistPesertaKemenkeu!$AY$6:$AY$1005="Direkomendasikan",ROW($6:$1005)-5),458))="",INDEX(checklistPesertaKemenkeu!$J$6:$J$1005,SMALL(IF(checklistPesertaKemenkeu!$AY$6:$AY$1005="Direkomendasikan",ROW($6:$1005)-5),458))=""),"",IF(AND(COUNTIF(INDIRECT("K_"&amp;MATCH(INDEX(checklistPesertaKemenkeu!$J$6:$J$1005,SMALL(IF(checklistPesertaKemenkeu!$AY$6:$AY$1005="Direkomendasikan",ROW($6:$1005)-5),458)),BidangList,0)),INDEX(checklistPesertaKemenkeu!$O$6:$O$1005,SMALL(IF(checklistPesertaKemenkeu!$AY$6:$AY$1005="Direkomendasikan",ROW($6:$1005)-5),458)))&gt;0,COUNTIF(INDIRECT("'KERTAS KERJA'!K"&amp;(SMALL(IF(checklistPesertaKemenkeu!$AY$6:$AY$1005="Direkomendasikan",ROW($6:$1005)-5),458)+5)&amp;":O"&amp;(SMALL(IF(checklistPesertaKemenkeu!$AY$6:$AY$1005="Direkomendasikan",ROW($6:$1005)-5),458)+5)),INDEX(checklistPesertaKemenkeu!$O$6:$O$1005,SMALL(IF(checklistPesertaKemenkeu!$AY$6:$AY$1005="Direkomendasikan",ROW($6:$1005)-5),458)))=1),IFERROR(VLOOKUP(INDEX(checklistPesertaKemenkeu!$O$6:$O$1005,SMALL(IF(checklistPesertaKemenkeu!$AY$6:$AY$1005="Direkomendasikan",ROW($6:$1005)-5),458)),KotaKode,2,0),"-"),"")),"")</f>
        <v/>
      </c>
      <c r="L459" t="str">
        <f t="array" aca="1" ref="L459" ca="1">IFERROR(IF(OR(INDEX(checklistPesertaKemenkeu!$P$6:$P$1005,SMALL(IF(checklistPesertaKemenkeu!$AY$6:$AY$1005="Direkomendasikan",ROW($6:$1005)-5),458))="",INDEX(checklistPesertaKemenkeu!$J$6:$J$1005,SMALL(IF(checklistPesertaKemenkeu!$AY$6:$AY$1005="Direkomendasikan",ROW($6:$1005)-5),458))=""),"",IF(AND(COUNTIF(INDIRECT("K_"&amp;MATCH(INDEX(checklistPesertaKemenkeu!$J$6:$J$1005,SMALL(IF(checklistPesertaKemenkeu!$AY$6:$AY$1005="Direkomendasikan",ROW($6:$1005)-5),458)),BidangList,0)),INDEX(checklistPesertaKemenkeu!$P$6:$P$1005,SMALL(IF(checklistPesertaKemenkeu!$AY$6:$AY$1005="Direkomendasikan",ROW($6:$1005)-5),458)))&gt;0,COUNTIF(INDIRECT("'KERTAS KERJA'!K"&amp;(SMALL(IF(checklistPesertaKemenkeu!$AY$6:$AY$1005="Direkomendasikan",ROW($6:$1005)-5),458)+5)&amp;":O"&amp;(SMALL(IF(checklistPesertaKemenkeu!$AY$6:$AY$1005="Direkomendasikan",ROW($6:$1005)-5),458)+5)),INDEX(checklistPesertaKemenkeu!$P$6:$P$1005,SMALL(IF(checklistPesertaKemenkeu!$AY$6:$AY$1005="Direkomendasikan",ROW($6:$1005)-5),458)))=1),IFERROR(VLOOKUP(INDEX(checklistPesertaKemenkeu!$P$6:$P$1005,SMALL(IF(checklistPesertaKemenkeu!$AY$6:$AY$1005="Direkomendasikan",ROW($6:$1005)-5),458)),KotaKode,2,0),"-"),"")),"")</f>
        <v/>
      </c>
    </row>
    <row r="460" spans="1:12" ht="15" customHeight="1" x14ac:dyDescent="0.2">
      <c r="A460" t="str">
        <f t="shared" si="7"/>
        <v/>
      </c>
      <c r="B460" t="str">
        <v/>
      </c>
      <c r="C460" s="40" t="str">
        <f t="array" ref="C460">IFERROR(INDEX(checklistPesertaKemenkeu!$F$6:$F$1005,SMALL(IF(checklistPesertaKemenkeu!$AY$6:$AY$1005="Direkomendasikan",ROW($6:$1005)-5),459)),"")</f>
        <v/>
      </c>
      <c r="D460" t="str">
        <f t="array" ref="D460">IFERROR(INDEX(checklistPesertaKemenkeu!$G$6:$G$1005,SMALL(IF(checklistPesertaKemenkeu!$AY$6:$AY$1005="Direkomendasikan",ROW($6:$1005)-5),459)),"")</f>
        <v/>
      </c>
      <c r="E460" t="str">
        <f t="array" ref="E460">IFERROR(INDEX(checklistPesertaKemenkeu!$H$6:$H$1005,SMALL(IF(checklistPesertaKemenkeu!$AY$6:$AY$1005="Direkomendasikan",ROW($6:$1005)-5),459)),"")</f>
        <v/>
      </c>
      <c r="F460" t="str">
        <f t="array" ref="F460">IFERROR(INDEX(checklistPesertaKemenkeu!$I$6:$I$1005,SMALL(IF(checklistPesertaKemenkeu!$AY$6:$AY$1005="Direkomendasikan",ROW($6:$1005)-5),459)),"")</f>
        <v/>
      </c>
      <c r="G460" t="str">
        <f t="array" ref="G460">IFERROR(INDEX(checklistPesertaKemenkeu!$J$6:$J$1005,SMALL(IF(checklistPesertaKemenkeu!$AY$6:$AY$1005="Direkomendasikan",ROW($6:$1005)-5),459)),"")</f>
        <v/>
      </c>
      <c r="H460" t="str">
        <f t="array" aca="1" ref="H460" ca="1">IFERROR(IF(OR(INDEX(checklistPesertaKemenkeu!$L$6:$L$1005,SMALL(IF(checklistPesertaKemenkeu!$AY$6:$AY$1005="Direkomendasikan",ROW($6:$1005)-5),459))="",INDEX(checklistPesertaKemenkeu!$J$6:$J$1005,SMALL(IF(checklistPesertaKemenkeu!$AY$6:$AY$1005="Direkomendasikan",ROW($6:$1005)-5),459))=""),"",IF(AND(COUNTIF(INDIRECT("K_"&amp;MATCH(INDEX(checklistPesertaKemenkeu!$J$6:$J$1005,SMALL(IF(checklistPesertaKemenkeu!$AY$6:$AY$1005="Direkomendasikan",ROW($6:$1005)-5),459)),BidangList,0)),INDEX(checklistPesertaKemenkeu!$L$6:$L$1005,SMALL(IF(checklistPesertaKemenkeu!$AY$6:$AY$1005="Direkomendasikan",ROW($6:$1005)-5),459)))&gt;0,COUNTIF(INDIRECT("'KERTAS KERJA'!K"&amp;(SMALL(IF(checklistPesertaKemenkeu!$AY$6:$AY$1005="Direkomendasikan",ROW($6:$1005)-5),459)+5)&amp;":O"&amp;(SMALL(IF(checklistPesertaKemenkeu!$AY$6:$AY$1005="Direkomendasikan",ROW($6:$1005)-5),459)+5)),INDEX(checklistPesertaKemenkeu!$L$6:$L$1005,SMALL(IF(checklistPesertaKemenkeu!$AY$6:$AY$1005="Direkomendasikan",ROW($6:$1005)-5),459)))=1),IFERROR(VLOOKUP(INDEX(checklistPesertaKemenkeu!$L$6:$L$1005,SMALL(IF(checklistPesertaKemenkeu!$AY$6:$AY$1005="Direkomendasikan",ROW($6:$1005)-5),459)),KotaKode,2,0),"-"),"")),"")</f>
        <v/>
      </c>
      <c r="I460" t="str">
        <f t="array" aca="1" ref="I460" ca="1">IFERROR(IF(OR(INDEX(checklistPesertaKemenkeu!$M$6:$M$1005,SMALL(IF(checklistPesertaKemenkeu!$AY$6:$AY$1005="Direkomendasikan",ROW($6:$1005)-5),459))="",INDEX(checklistPesertaKemenkeu!$J$6:$J$1005,SMALL(IF(checklistPesertaKemenkeu!$AY$6:$AY$1005="Direkomendasikan",ROW($6:$1005)-5),459))=""),"",IF(AND(COUNTIF(INDIRECT("K_"&amp;MATCH(INDEX(checklistPesertaKemenkeu!$J$6:$J$1005,SMALL(IF(checklistPesertaKemenkeu!$AY$6:$AY$1005="Direkomendasikan",ROW($6:$1005)-5),459)),BidangList,0)),INDEX(checklistPesertaKemenkeu!$M$6:$M$1005,SMALL(IF(checklistPesertaKemenkeu!$AY$6:$AY$1005="Direkomendasikan",ROW($6:$1005)-5),459)))&gt;0,COUNTIF(INDIRECT("'KERTAS KERJA'!K"&amp;(SMALL(IF(checklistPesertaKemenkeu!$AY$6:$AY$1005="Direkomendasikan",ROW($6:$1005)-5),459)+5)&amp;":O"&amp;(SMALL(IF(checklistPesertaKemenkeu!$AY$6:$AY$1005="Direkomendasikan",ROW($6:$1005)-5),459)+5)),INDEX(checklistPesertaKemenkeu!$M$6:$M$1005,SMALL(IF(checklistPesertaKemenkeu!$AY$6:$AY$1005="Direkomendasikan",ROW($6:$1005)-5),459)))=1),IFERROR(VLOOKUP(INDEX(checklistPesertaKemenkeu!$M$6:$M$1005,SMALL(IF(checklistPesertaKemenkeu!$AY$6:$AY$1005="Direkomendasikan",ROW($6:$1005)-5),459)),KotaKode,2,0),"-"),"")),"")</f>
        <v/>
      </c>
      <c r="J460" t="str">
        <f t="array" aca="1" ref="J460" ca="1">IFERROR(IF(OR(INDEX(checklistPesertaKemenkeu!$N$6:$N$1005,SMALL(IF(checklistPesertaKemenkeu!$AY$6:$AY$1005="Direkomendasikan",ROW($6:$1005)-5),459))="",INDEX(checklistPesertaKemenkeu!$J$6:$J$1005,SMALL(IF(checklistPesertaKemenkeu!$AY$6:$AY$1005="Direkomendasikan",ROW($6:$1005)-5),459))=""),"",IF(AND(COUNTIF(INDIRECT("K_"&amp;MATCH(INDEX(checklistPesertaKemenkeu!$J$6:$J$1005,SMALL(IF(checklistPesertaKemenkeu!$AY$6:$AY$1005="Direkomendasikan",ROW($6:$1005)-5),459)),BidangList,0)),INDEX(checklistPesertaKemenkeu!$N$6:$N$1005,SMALL(IF(checklistPesertaKemenkeu!$AY$6:$AY$1005="Direkomendasikan",ROW($6:$1005)-5),459)))&gt;0,COUNTIF(INDIRECT("'KERTAS KERJA'!K"&amp;(SMALL(IF(checklistPesertaKemenkeu!$AY$6:$AY$1005="Direkomendasikan",ROW($6:$1005)-5),459)+5)&amp;":O"&amp;(SMALL(IF(checklistPesertaKemenkeu!$AY$6:$AY$1005="Direkomendasikan",ROW($6:$1005)-5),459)+5)),INDEX(checklistPesertaKemenkeu!$N$6:$N$1005,SMALL(IF(checklistPesertaKemenkeu!$AY$6:$AY$1005="Direkomendasikan",ROW($6:$1005)-5),459)))=1),IFERROR(VLOOKUP(INDEX(checklistPesertaKemenkeu!$N$6:$N$1005,SMALL(IF(checklistPesertaKemenkeu!$AY$6:$AY$1005="Direkomendasikan",ROW($6:$1005)-5),459)),KotaKode,2,0),"-"),"")),"")</f>
        <v/>
      </c>
      <c r="K460" t="str">
        <f t="array" aca="1" ref="K460" ca="1">IFERROR(IF(OR(INDEX(checklistPesertaKemenkeu!$O$6:$O$1005,SMALL(IF(checklistPesertaKemenkeu!$AY$6:$AY$1005="Direkomendasikan",ROW($6:$1005)-5),459))="",INDEX(checklistPesertaKemenkeu!$J$6:$J$1005,SMALL(IF(checklistPesertaKemenkeu!$AY$6:$AY$1005="Direkomendasikan",ROW($6:$1005)-5),459))=""),"",IF(AND(COUNTIF(INDIRECT("K_"&amp;MATCH(INDEX(checklistPesertaKemenkeu!$J$6:$J$1005,SMALL(IF(checklistPesertaKemenkeu!$AY$6:$AY$1005="Direkomendasikan",ROW($6:$1005)-5),459)),BidangList,0)),INDEX(checklistPesertaKemenkeu!$O$6:$O$1005,SMALL(IF(checklistPesertaKemenkeu!$AY$6:$AY$1005="Direkomendasikan",ROW($6:$1005)-5),459)))&gt;0,COUNTIF(INDIRECT("'KERTAS KERJA'!K"&amp;(SMALL(IF(checklistPesertaKemenkeu!$AY$6:$AY$1005="Direkomendasikan",ROW($6:$1005)-5),459)+5)&amp;":O"&amp;(SMALL(IF(checklistPesertaKemenkeu!$AY$6:$AY$1005="Direkomendasikan",ROW($6:$1005)-5),459)+5)),INDEX(checklistPesertaKemenkeu!$O$6:$O$1005,SMALL(IF(checklistPesertaKemenkeu!$AY$6:$AY$1005="Direkomendasikan",ROW($6:$1005)-5),459)))=1),IFERROR(VLOOKUP(INDEX(checklistPesertaKemenkeu!$O$6:$O$1005,SMALL(IF(checklistPesertaKemenkeu!$AY$6:$AY$1005="Direkomendasikan",ROW($6:$1005)-5),459)),KotaKode,2,0),"-"),"")),"")</f>
        <v/>
      </c>
      <c r="L460" t="str">
        <f t="array" aca="1" ref="L460" ca="1">IFERROR(IF(OR(INDEX(checklistPesertaKemenkeu!$P$6:$P$1005,SMALL(IF(checklistPesertaKemenkeu!$AY$6:$AY$1005="Direkomendasikan",ROW($6:$1005)-5),459))="",INDEX(checklistPesertaKemenkeu!$J$6:$J$1005,SMALL(IF(checklistPesertaKemenkeu!$AY$6:$AY$1005="Direkomendasikan",ROW($6:$1005)-5),459))=""),"",IF(AND(COUNTIF(INDIRECT("K_"&amp;MATCH(INDEX(checklistPesertaKemenkeu!$J$6:$J$1005,SMALL(IF(checklistPesertaKemenkeu!$AY$6:$AY$1005="Direkomendasikan",ROW($6:$1005)-5),459)),BidangList,0)),INDEX(checklistPesertaKemenkeu!$P$6:$P$1005,SMALL(IF(checklistPesertaKemenkeu!$AY$6:$AY$1005="Direkomendasikan",ROW($6:$1005)-5),459)))&gt;0,COUNTIF(INDIRECT("'KERTAS KERJA'!K"&amp;(SMALL(IF(checklistPesertaKemenkeu!$AY$6:$AY$1005="Direkomendasikan",ROW($6:$1005)-5),459)+5)&amp;":O"&amp;(SMALL(IF(checklistPesertaKemenkeu!$AY$6:$AY$1005="Direkomendasikan",ROW($6:$1005)-5),459)+5)),INDEX(checklistPesertaKemenkeu!$P$6:$P$1005,SMALL(IF(checklistPesertaKemenkeu!$AY$6:$AY$1005="Direkomendasikan",ROW($6:$1005)-5),459)))=1),IFERROR(VLOOKUP(INDEX(checklistPesertaKemenkeu!$P$6:$P$1005,SMALL(IF(checklistPesertaKemenkeu!$AY$6:$AY$1005="Direkomendasikan",ROW($6:$1005)-5),459)),KotaKode,2,0),"-"),"")),"")</f>
        <v/>
      </c>
    </row>
    <row r="461" spans="1:12" ht="15" customHeight="1" x14ac:dyDescent="0.2">
      <c r="A461" t="str">
        <f t="shared" si="7"/>
        <v/>
      </c>
      <c r="B461" t="str">
        <v/>
      </c>
      <c r="C461" s="40" t="str">
        <f t="array" ref="C461">IFERROR(INDEX(checklistPesertaKemenkeu!$F$6:$F$1005,SMALL(IF(checklistPesertaKemenkeu!$AY$6:$AY$1005="Direkomendasikan",ROW($6:$1005)-5),460)),"")</f>
        <v/>
      </c>
      <c r="D461" t="str">
        <f t="array" ref="D461">IFERROR(INDEX(checklistPesertaKemenkeu!$G$6:$G$1005,SMALL(IF(checklistPesertaKemenkeu!$AY$6:$AY$1005="Direkomendasikan",ROW($6:$1005)-5),460)),"")</f>
        <v/>
      </c>
      <c r="E461" t="str">
        <f t="array" ref="E461">IFERROR(INDEX(checklistPesertaKemenkeu!$H$6:$H$1005,SMALL(IF(checklistPesertaKemenkeu!$AY$6:$AY$1005="Direkomendasikan",ROW($6:$1005)-5),460)),"")</f>
        <v/>
      </c>
      <c r="F461" t="str">
        <f t="array" ref="F461">IFERROR(INDEX(checklistPesertaKemenkeu!$I$6:$I$1005,SMALL(IF(checklistPesertaKemenkeu!$AY$6:$AY$1005="Direkomendasikan",ROW($6:$1005)-5),460)),"")</f>
        <v/>
      </c>
      <c r="G461" t="str">
        <f t="array" ref="G461">IFERROR(INDEX(checklistPesertaKemenkeu!$J$6:$J$1005,SMALL(IF(checklistPesertaKemenkeu!$AY$6:$AY$1005="Direkomendasikan",ROW($6:$1005)-5),460)),"")</f>
        <v/>
      </c>
      <c r="H461" t="str">
        <f t="array" aca="1" ref="H461" ca="1">IFERROR(IF(OR(INDEX(checklistPesertaKemenkeu!$L$6:$L$1005,SMALL(IF(checklistPesertaKemenkeu!$AY$6:$AY$1005="Direkomendasikan",ROW($6:$1005)-5),460))="",INDEX(checklistPesertaKemenkeu!$J$6:$J$1005,SMALL(IF(checklistPesertaKemenkeu!$AY$6:$AY$1005="Direkomendasikan",ROW($6:$1005)-5),460))=""),"",IF(AND(COUNTIF(INDIRECT("K_"&amp;MATCH(INDEX(checklistPesertaKemenkeu!$J$6:$J$1005,SMALL(IF(checklistPesertaKemenkeu!$AY$6:$AY$1005="Direkomendasikan",ROW($6:$1005)-5),460)),BidangList,0)),INDEX(checklistPesertaKemenkeu!$L$6:$L$1005,SMALL(IF(checklistPesertaKemenkeu!$AY$6:$AY$1005="Direkomendasikan",ROW($6:$1005)-5),460)))&gt;0,COUNTIF(INDIRECT("'KERTAS KERJA'!K"&amp;(SMALL(IF(checklistPesertaKemenkeu!$AY$6:$AY$1005="Direkomendasikan",ROW($6:$1005)-5),460)+5)&amp;":O"&amp;(SMALL(IF(checklistPesertaKemenkeu!$AY$6:$AY$1005="Direkomendasikan",ROW($6:$1005)-5),460)+5)),INDEX(checklistPesertaKemenkeu!$L$6:$L$1005,SMALL(IF(checklistPesertaKemenkeu!$AY$6:$AY$1005="Direkomendasikan",ROW($6:$1005)-5),460)))=1),IFERROR(VLOOKUP(INDEX(checklistPesertaKemenkeu!$L$6:$L$1005,SMALL(IF(checklistPesertaKemenkeu!$AY$6:$AY$1005="Direkomendasikan",ROW($6:$1005)-5),460)),KotaKode,2,0),"-"),"")),"")</f>
        <v/>
      </c>
      <c r="I461" t="str">
        <f t="array" aca="1" ref="I461" ca="1">IFERROR(IF(OR(INDEX(checklistPesertaKemenkeu!$M$6:$M$1005,SMALL(IF(checklistPesertaKemenkeu!$AY$6:$AY$1005="Direkomendasikan",ROW($6:$1005)-5),460))="",INDEX(checklistPesertaKemenkeu!$J$6:$J$1005,SMALL(IF(checklistPesertaKemenkeu!$AY$6:$AY$1005="Direkomendasikan",ROW($6:$1005)-5),460))=""),"",IF(AND(COUNTIF(INDIRECT("K_"&amp;MATCH(INDEX(checklistPesertaKemenkeu!$J$6:$J$1005,SMALL(IF(checklistPesertaKemenkeu!$AY$6:$AY$1005="Direkomendasikan",ROW($6:$1005)-5),460)),BidangList,0)),INDEX(checklistPesertaKemenkeu!$M$6:$M$1005,SMALL(IF(checklistPesertaKemenkeu!$AY$6:$AY$1005="Direkomendasikan",ROW($6:$1005)-5),460)))&gt;0,COUNTIF(INDIRECT("'KERTAS KERJA'!K"&amp;(SMALL(IF(checklistPesertaKemenkeu!$AY$6:$AY$1005="Direkomendasikan",ROW($6:$1005)-5),460)+5)&amp;":O"&amp;(SMALL(IF(checklistPesertaKemenkeu!$AY$6:$AY$1005="Direkomendasikan",ROW($6:$1005)-5),460)+5)),INDEX(checklistPesertaKemenkeu!$M$6:$M$1005,SMALL(IF(checklistPesertaKemenkeu!$AY$6:$AY$1005="Direkomendasikan",ROW($6:$1005)-5),460)))=1),IFERROR(VLOOKUP(INDEX(checklistPesertaKemenkeu!$M$6:$M$1005,SMALL(IF(checklistPesertaKemenkeu!$AY$6:$AY$1005="Direkomendasikan",ROW($6:$1005)-5),460)),KotaKode,2,0),"-"),"")),"")</f>
        <v/>
      </c>
      <c r="J461" t="str">
        <f t="array" aca="1" ref="J461" ca="1">IFERROR(IF(OR(INDEX(checklistPesertaKemenkeu!$N$6:$N$1005,SMALL(IF(checklistPesertaKemenkeu!$AY$6:$AY$1005="Direkomendasikan",ROW($6:$1005)-5),460))="",INDEX(checklistPesertaKemenkeu!$J$6:$J$1005,SMALL(IF(checklistPesertaKemenkeu!$AY$6:$AY$1005="Direkomendasikan",ROW($6:$1005)-5),460))=""),"",IF(AND(COUNTIF(INDIRECT("K_"&amp;MATCH(INDEX(checklistPesertaKemenkeu!$J$6:$J$1005,SMALL(IF(checklistPesertaKemenkeu!$AY$6:$AY$1005="Direkomendasikan",ROW($6:$1005)-5),460)),BidangList,0)),INDEX(checklistPesertaKemenkeu!$N$6:$N$1005,SMALL(IF(checklistPesertaKemenkeu!$AY$6:$AY$1005="Direkomendasikan",ROW($6:$1005)-5),460)))&gt;0,COUNTIF(INDIRECT("'KERTAS KERJA'!K"&amp;(SMALL(IF(checklistPesertaKemenkeu!$AY$6:$AY$1005="Direkomendasikan",ROW($6:$1005)-5),460)+5)&amp;":O"&amp;(SMALL(IF(checklistPesertaKemenkeu!$AY$6:$AY$1005="Direkomendasikan",ROW($6:$1005)-5),460)+5)),INDEX(checklistPesertaKemenkeu!$N$6:$N$1005,SMALL(IF(checklistPesertaKemenkeu!$AY$6:$AY$1005="Direkomendasikan",ROW($6:$1005)-5),460)))=1),IFERROR(VLOOKUP(INDEX(checklistPesertaKemenkeu!$N$6:$N$1005,SMALL(IF(checklistPesertaKemenkeu!$AY$6:$AY$1005="Direkomendasikan",ROW($6:$1005)-5),460)),KotaKode,2,0),"-"),"")),"")</f>
        <v/>
      </c>
      <c r="K461" t="str">
        <f t="array" aca="1" ref="K461" ca="1">IFERROR(IF(OR(INDEX(checklistPesertaKemenkeu!$O$6:$O$1005,SMALL(IF(checklistPesertaKemenkeu!$AY$6:$AY$1005="Direkomendasikan",ROW($6:$1005)-5),460))="",INDEX(checklistPesertaKemenkeu!$J$6:$J$1005,SMALL(IF(checklistPesertaKemenkeu!$AY$6:$AY$1005="Direkomendasikan",ROW($6:$1005)-5),460))=""),"",IF(AND(COUNTIF(INDIRECT("K_"&amp;MATCH(INDEX(checklistPesertaKemenkeu!$J$6:$J$1005,SMALL(IF(checklistPesertaKemenkeu!$AY$6:$AY$1005="Direkomendasikan",ROW($6:$1005)-5),460)),BidangList,0)),INDEX(checklistPesertaKemenkeu!$O$6:$O$1005,SMALL(IF(checklistPesertaKemenkeu!$AY$6:$AY$1005="Direkomendasikan",ROW($6:$1005)-5),460)))&gt;0,COUNTIF(INDIRECT("'KERTAS KERJA'!K"&amp;(SMALL(IF(checklistPesertaKemenkeu!$AY$6:$AY$1005="Direkomendasikan",ROW($6:$1005)-5),460)+5)&amp;":O"&amp;(SMALL(IF(checklistPesertaKemenkeu!$AY$6:$AY$1005="Direkomendasikan",ROW($6:$1005)-5),460)+5)),INDEX(checklistPesertaKemenkeu!$O$6:$O$1005,SMALL(IF(checklistPesertaKemenkeu!$AY$6:$AY$1005="Direkomendasikan",ROW($6:$1005)-5),460)))=1),IFERROR(VLOOKUP(INDEX(checklistPesertaKemenkeu!$O$6:$O$1005,SMALL(IF(checklistPesertaKemenkeu!$AY$6:$AY$1005="Direkomendasikan",ROW($6:$1005)-5),460)),KotaKode,2,0),"-"),"")),"")</f>
        <v/>
      </c>
      <c r="L461" t="str">
        <f t="array" aca="1" ref="L461" ca="1">IFERROR(IF(OR(INDEX(checklistPesertaKemenkeu!$P$6:$P$1005,SMALL(IF(checklistPesertaKemenkeu!$AY$6:$AY$1005="Direkomendasikan",ROW($6:$1005)-5),460))="",INDEX(checklistPesertaKemenkeu!$J$6:$J$1005,SMALL(IF(checklistPesertaKemenkeu!$AY$6:$AY$1005="Direkomendasikan",ROW($6:$1005)-5),460))=""),"",IF(AND(COUNTIF(INDIRECT("K_"&amp;MATCH(INDEX(checklistPesertaKemenkeu!$J$6:$J$1005,SMALL(IF(checklistPesertaKemenkeu!$AY$6:$AY$1005="Direkomendasikan",ROW($6:$1005)-5),460)),BidangList,0)),INDEX(checklistPesertaKemenkeu!$P$6:$P$1005,SMALL(IF(checklistPesertaKemenkeu!$AY$6:$AY$1005="Direkomendasikan",ROW($6:$1005)-5),460)))&gt;0,COUNTIF(INDIRECT("'KERTAS KERJA'!K"&amp;(SMALL(IF(checklistPesertaKemenkeu!$AY$6:$AY$1005="Direkomendasikan",ROW($6:$1005)-5),460)+5)&amp;":O"&amp;(SMALL(IF(checklistPesertaKemenkeu!$AY$6:$AY$1005="Direkomendasikan",ROW($6:$1005)-5),460)+5)),INDEX(checklistPesertaKemenkeu!$P$6:$P$1005,SMALL(IF(checklistPesertaKemenkeu!$AY$6:$AY$1005="Direkomendasikan",ROW($6:$1005)-5),460)))=1),IFERROR(VLOOKUP(INDEX(checklistPesertaKemenkeu!$P$6:$P$1005,SMALL(IF(checklistPesertaKemenkeu!$AY$6:$AY$1005="Direkomendasikan",ROW($6:$1005)-5),460)),KotaKode,2,0),"-"),"")),"")</f>
        <v/>
      </c>
    </row>
    <row r="462" spans="1:12" ht="15" customHeight="1" x14ac:dyDescent="0.2">
      <c r="A462" t="str">
        <f t="shared" si="7"/>
        <v/>
      </c>
      <c r="B462" t="str">
        <v/>
      </c>
      <c r="C462" s="40" t="str">
        <f t="array" ref="C462">IFERROR(INDEX(checklistPesertaKemenkeu!$F$6:$F$1005,SMALL(IF(checklistPesertaKemenkeu!$AY$6:$AY$1005="Direkomendasikan",ROW($6:$1005)-5),461)),"")</f>
        <v/>
      </c>
      <c r="D462" t="str">
        <f t="array" ref="D462">IFERROR(INDEX(checklistPesertaKemenkeu!$G$6:$G$1005,SMALL(IF(checklistPesertaKemenkeu!$AY$6:$AY$1005="Direkomendasikan",ROW($6:$1005)-5),461)),"")</f>
        <v/>
      </c>
      <c r="E462" t="str">
        <f t="array" ref="E462">IFERROR(INDEX(checklistPesertaKemenkeu!$H$6:$H$1005,SMALL(IF(checklistPesertaKemenkeu!$AY$6:$AY$1005="Direkomendasikan",ROW($6:$1005)-5),461)),"")</f>
        <v/>
      </c>
      <c r="F462" t="str">
        <f t="array" ref="F462">IFERROR(INDEX(checklistPesertaKemenkeu!$I$6:$I$1005,SMALL(IF(checklistPesertaKemenkeu!$AY$6:$AY$1005="Direkomendasikan",ROW($6:$1005)-5),461)),"")</f>
        <v/>
      </c>
      <c r="G462" t="str">
        <f t="array" ref="G462">IFERROR(INDEX(checklistPesertaKemenkeu!$J$6:$J$1005,SMALL(IF(checklistPesertaKemenkeu!$AY$6:$AY$1005="Direkomendasikan",ROW($6:$1005)-5),461)),"")</f>
        <v/>
      </c>
      <c r="H462" t="str">
        <f t="array" aca="1" ref="H462" ca="1">IFERROR(IF(OR(INDEX(checklistPesertaKemenkeu!$L$6:$L$1005,SMALL(IF(checklistPesertaKemenkeu!$AY$6:$AY$1005="Direkomendasikan",ROW($6:$1005)-5),461))="",INDEX(checklistPesertaKemenkeu!$J$6:$J$1005,SMALL(IF(checklistPesertaKemenkeu!$AY$6:$AY$1005="Direkomendasikan",ROW($6:$1005)-5),461))=""),"",IF(AND(COUNTIF(INDIRECT("K_"&amp;MATCH(INDEX(checklistPesertaKemenkeu!$J$6:$J$1005,SMALL(IF(checklistPesertaKemenkeu!$AY$6:$AY$1005="Direkomendasikan",ROW($6:$1005)-5),461)),BidangList,0)),INDEX(checklistPesertaKemenkeu!$L$6:$L$1005,SMALL(IF(checklistPesertaKemenkeu!$AY$6:$AY$1005="Direkomendasikan",ROW($6:$1005)-5),461)))&gt;0,COUNTIF(INDIRECT("'KERTAS KERJA'!K"&amp;(SMALL(IF(checklistPesertaKemenkeu!$AY$6:$AY$1005="Direkomendasikan",ROW($6:$1005)-5),461)+5)&amp;":O"&amp;(SMALL(IF(checklistPesertaKemenkeu!$AY$6:$AY$1005="Direkomendasikan",ROW($6:$1005)-5),461)+5)),INDEX(checklistPesertaKemenkeu!$L$6:$L$1005,SMALL(IF(checklistPesertaKemenkeu!$AY$6:$AY$1005="Direkomendasikan",ROW($6:$1005)-5),461)))=1),IFERROR(VLOOKUP(INDEX(checklistPesertaKemenkeu!$L$6:$L$1005,SMALL(IF(checklistPesertaKemenkeu!$AY$6:$AY$1005="Direkomendasikan",ROW($6:$1005)-5),461)),KotaKode,2,0),"-"),"")),"")</f>
        <v/>
      </c>
      <c r="I462" t="str">
        <f t="array" aca="1" ref="I462" ca="1">IFERROR(IF(OR(INDEX(checklistPesertaKemenkeu!$M$6:$M$1005,SMALL(IF(checklistPesertaKemenkeu!$AY$6:$AY$1005="Direkomendasikan",ROW($6:$1005)-5),461))="",INDEX(checklistPesertaKemenkeu!$J$6:$J$1005,SMALL(IF(checklistPesertaKemenkeu!$AY$6:$AY$1005="Direkomendasikan",ROW($6:$1005)-5),461))=""),"",IF(AND(COUNTIF(INDIRECT("K_"&amp;MATCH(INDEX(checklistPesertaKemenkeu!$J$6:$J$1005,SMALL(IF(checklistPesertaKemenkeu!$AY$6:$AY$1005="Direkomendasikan",ROW($6:$1005)-5),461)),BidangList,0)),INDEX(checklistPesertaKemenkeu!$M$6:$M$1005,SMALL(IF(checklistPesertaKemenkeu!$AY$6:$AY$1005="Direkomendasikan",ROW($6:$1005)-5),461)))&gt;0,COUNTIF(INDIRECT("'KERTAS KERJA'!K"&amp;(SMALL(IF(checklistPesertaKemenkeu!$AY$6:$AY$1005="Direkomendasikan",ROW($6:$1005)-5),461)+5)&amp;":O"&amp;(SMALL(IF(checklistPesertaKemenkeu!$AY$6:$AY$1005="Direkomendasikan",ROW($6:$1005)-5),461)+5)),INDEX(checklistPesertaKemenkeu!$M$6:$M$1005,SMALL(IF(checklistPesertaKemenkeu!$AY$6:$AY$1005="Direkomendasikan",ROW($6:$1005)-5),461)))=1),IFERROR(VLOOKUP(INDEX(checklistPesertaKemenkeu!$M$6:$M$1005,SMALL(IF(checklistPesertaKemenkeu!$AY$6:$AY$1005="Direkomendasikan",ROW($6:$1005)-5),461)),KotaKode,2,0),"-"),"")),"")</f>
        <v/>
      </c>
      <c r="J462" t="str">
        <f t="array" aca="1" ref="J462" ca="1">IFERROR(IF(OR(INDEX(checklistPesertaKemenkeu!$N$6:$N$1005,SMALL(IF(checklistPesertaKemenkeu!$AY$6:$AY$1005="Direkomendasikan",ROW($6:$1005)-5),461))="",INDEX(checklistPesertaKemenkeu!$J$6:$J$1005,SMALL(IF(checklistPesertaKemenkeu!$AY$6:$AY$1005="Direkomendasikan",ROW($6:$1005)-5),461))=""),"",IF(AND(COUNTIF(INDIRECT("K_"&amp;MATCH(INDEX(checklistPesertaKemenkeu!$J$6:$J$1005,SMALL(IF(checklistPesertaKemenkeu!$AY$6:$AY$1005="Direkomendasikan",ROW($6:$1005)-5),461)),BidangList,0)),INDEX(checklistPesertaKemenkeu!$N$6:$N$1005,SMALL(IF(checklistPesertaKemenkeu!$AY$6:$AY$1005="Direkomendasikan",ROW($6:$1005)-5),461)))&gt;0,COUNTIF(INDIRECT("'KERTAS KERJA'!K"&amp;(SMALL(IF(checklistPesertaKemenkeu!$AY$6:$AY$1005="Direkomendasikan",ROW($6:$1005)-5),461)+5)&amp;":O"&amp;(SMALL(IF(checklistPesertaKemenkeu!$AY$6:$AY$1005="Direkomendasikan",ROW($6:$1005)-5),461)+5)),INDEX(checklistPesertaKemenkeu!$N$6:$N$1005,SMALL(IF(checklistPesertaKemenkeu!$AY$6:$AY$1005="Direkomendasikan",ROW($6:$1005)-5),461)))=1),IFERROR(VLOOKUP(INDEX(checklistPesertaKemenkeu!$N$6:$N$1005,SMALL(IF(checklistPesertaKemenkeu!$AY$6:$AY$1005="Direkomendasikan",ROW($6:$1005)-5),461)),KotaKode,2,0),"-"),"")),"")</f>
        <v/>
      </c>
      <c r="K462" t="str">
        <f t="array" aca="1" ref="K462" ca="1">IFERROR(IF(OR(INDEX(checklistPesertaKemenkeu!$O$6:$O$1005,SMALL(IF(checklistPesertaKemenkeu!$AY$6:$AY$1005="Direkomendasikan",ROW($6:$1005)-5),461))="",INDEX(checklistPesertaKemenkeu!$J$6:$J$1005,SMALL(IF(checklistPesertaKemenkeu!$AY$6:$AY$1005="Direkomendasikan",ROW($6:$1005)-5),461))=""),"",IF(AND(COUNTIF(INDIRECT("K_"&amp;MATCH(INDEX(checklistPesertaKemenkeu!$J$6:$J$1005,SMALL(IF(checklistPesertaKemenkeu!$AY$6:$AY$1005="Direkomendasikan",ROW($6:$1005)-5),461)),BidangList,0)),INDEX(checklistPesertaKemenkeu!$O$6:$O$1005,SMALL(IF(checklistPesertaKemenkeu!$AY$6:$AY$1005="Direkomendasikan",ROW($6:$1005)-5),461)))&gt;0,COUNTIF(INDIRECT("'KERTAS KERJA'!K"&amp;(SMALL(IF(checklistPesertaKemenkeu!$AY$6:$AY$1005="Direkomendasikan",ROW($6:$1005)-5),461)+5)&amp;":O"&amp;(SMALL(IF(checklistPesertaKemenkeu!$AY$6:$AY$1005="Direkomendasikan",ROW($6:$1005)-5),461)+5)),INDEX(checklistPesertaKemenkeu!$O$6:$O$1005,SMALL(IF(checklistPesertaKemenkeu!$AY$6:$AY$1005="Direkomendasikan",ROW($6:$1005)-5),461)))=1),IFERROR(VLOOKUP(INDEX(checklistPesertaKemenkeu!$O$6:$O$1005,SMALL(IF(checklistPesertaKemenkeu!$AY$6:$AY$1005="Direkomendasikan",ROW($6:$1005)-5),461)),KotaKode,2,0),"-"),"")),"")</f>
        <v/>
      </c>
      <c r="L462" t="str">
        <f t="array" aca="1" ref="L462" ca="1">IFERROR(IF(OR(INDEX(checklistPesertaKemenkeu!$P$6:$P$1005,SMALL(IF(checklistPesertaKemenkeu!$AY$6:$AY$1005="Direkomendasikan",ROW($6:$1005)-5),461))="",INDEX(checklistPesertaKemenkeu!$J$6:$J$1005,SMALL(IF(checklistPesertaKemenkeu!$AY$6:$AY$1005="Direkomendasikan",ROW($6:$1005)-5),461))=""),"",IF(AND(COUNTIF(INDIRECT("K_"&amp;MATCH(INDEX(checklistPesertaKemenkeu!$J$6:$J$1005,SMALL(IF(checklistPesertaKemenkeu!$AY$6:$AY$1005="Direkomendasikan",ROW($6:$1005)-5),461)),BidangList,0)),INDEX(checklistPesertaKemenkeu!$P$6:$P$1005,SMALL(IF(checklistPesertaKemenkeu!$AY$6:$AY$1005="Direkomendasikan",ROW($6:$1005)-5),461)))&gt;0,COUNTIF(INDIRECT("'KERTAS KERJA'!K"&amp;(SMALL(IF(checklistPesertaKemenkeu!$AY$6:$AY$1005="Direkomendasikan",ROW($6:$1005)-5),461)+5)&amp;":O"&amp;(SMALL(IF(checklistPesertaKemenkeu!$AY$6:$AY$1005="Direkomendasikan",ROW($6:$1005)-5),461)+5)),INDEX(checklistPesertaKemenkeu!$P$6:$P$1005,SMALL(IF(checklistPesertaKemenkeu!$AY$6:$AY$1005="Direkomendasikan",ROW($6:$1005)-5),461)))=1),IFERROR(VLOOKUP(INDEX(checklistPesertaKemenkeu!$P$6:$P$1005,SMALL(IF(checklistPesertaKemenkeu!$AY$6:$AY$1005="Direkomendasikan",ROW($6:$1005)-5),461)),KotaKode,2,0),"-"),"")),"")</f>
        <v/>
      </c>
    </row>
    <row r="463" spans="1:12" ht="15" customHeight="1" x14ac:dyDescent="0.2">
      <c r="A463" t="str">
        <f t="shared" si="7"/>
        <v/>
      </c>
      <c r="B463" t="str">
        <v/>
      </c>
      <c r="C463" s="40" t="str">
        <f t="array" ref="C463">IFERROR(INDEX(checklistPesertaKemenkeu!$F$6:$F$1005,SMALL(IF(checklistPesertaKemenkeu!$AY$6:$AY$1005="Direkomendasikan",ROW($6:$1005)-5),462)),"")</f>
        <v/>
      </c>
      <c r="D463" t="str">
        <f t="array" ref="D463">IFERROR(INDEX(checklistPesertaKemenkeu!$G$6:$G$1005,SMALL(IF(checklistPesertaKemenkeu!$AY$6:$AY$1005="Direkomendasikan",ROW($6:$1005)-5),462)),"")</f>
        <v/>
      </c>
      <c r="E463" t="str">
        <f t="array" ref="E463">IFERROR(INDEX(checklistPesertaKemenkeu!$H$6:$H$1005,SMALL(IF(checklistPesertaKemenkeu!$AY$6:$AY$1005="Direkomendasikan",ROW($6:$1005)-5),462)),"")</f>
        <v/>
      </c>
      <c r="F463" t="str">
        <f t="array" ref="F463">IFERROR(INDEX(checklistPesertaKemenkeu!$I$6:$I$1005,SMALL(IF(checklistPesertaKemenkeu!$AY$6:$AY$1005="Direkomendasikan",ROW($6:$1005)-5),462)),"")</f>
        <v/>
      </c>
      <c r="G463" t="str">
        <f t="array" ref="G463">IFERROR(INDEX(checklistPesertaKemenkeu!$J$6:$J$1005,SMALL(IF(checklistPesertaKemenkeu!$AY$6:$AY$1005="Direkomendasikan",ROW($6:$1005)-5),462)),"")</f>
        <v/>
      </c>
      <c r="H463" t="str">
        <f t="array" aca="1" ref="H463" ca="1">IFERROR(IF(OR(INDEX(checklistPesertaKemenkeu!$L$6:$L$1005,SMALL(IF(checklistPesertaKemenkeu!$AY$6:$AY$1005="Direkomendasikan",ROW($6:$1005)-5),462))="",INDEX(checklistPesertaKemenkeu!$J$6:$J$1005,SMALL(IF(checklistPesertaKemenkeu!$AY$6:$AY$1005="Direkomendasikan",ROW($6:$1005)-5),462))=""),"",IF(AND(COUNTIF(INDIRECT("K_"&amp;MATCH(INDEX(checklistPesertaKemenkeu!$J$6:$J$1005,SMALL(IF(checklistPesertaKemenkeu!$AY$6:$AY$1005="Direkomendasikan",ROW($6:$1005)-5),462)),BidangList,0)),INDEX(checklistPesertaKemenkeu!$L$6:$L$1005,SMALL(IF(checklistPesertaKemenkeu!$AY$6:$AY$1005="Direkomendasikan",ROW($6:$1005)-5),462)))&gt;0,COUNTIF(INDIRECT("'KERTAS KERJA'!K"&amp;(SMALL(IF(checklistPesertaKemenkeu!$AY$6:$AY$1005="Direkomendasikan",ROW($6:$1005)-5),462)+5)&amp;":O"&amp;(SMALL(IF(checklistPesertaKemenkeu!$AY$6:$AY$1005="Direkomendasikan",ROW($6:$1005)-5),462)+5)),INDEX(checklistPesertaKemenkeu!$L$6:$L$1005,SMALL(IF(checklistPesertaKemenkeu!$AY$6:$AY$1005="Direkomendasikan",ROW($6:$1005)-5),462)))=1),IFERROR(VLOOKUP(INDEX(checklistPesertaKemenkeu!$L$6:$L$1005,SMALL(IF(checklistPesertaKemenkeu!$AY$6:$AY$1005="Direkomendasikan",ROW($6:$1005)-5),462)),KotaKode,2,0),"-"),"")),"")</f>
        <v/>
      </c>
      <c r="I463" t="str">
        <f t="array" aca="1" ref="I463" ca="1">IFERROR(IF(OR(INDEX(checklistPesertaKemenkeu!$M$6:$M$1005,SMALL(IF(checklistPesertaKemenkeu!$AY$6:$AY$1005="Direkomendasikan",ROW($6:$1005)-5),462))="",INDEX(checklistPesertaKemenkeu!$J$6:$J$1005,SMALL(IF(checklistPesertaKemenkeu!$AY$6:$AY$1005="Direkomendasikan",ROW($6:$1005)-5),462))=""),"",IF(AND(COUNTIF(INDIRECT("K_"&amp;MATCH(INDEX(checklistPesertaKemenkeu!$J$6:$J$1005,SMALL(IF(checklistPesertaKemenkeu!$AY$6:$AY$1005="Direkomendasikan",ROW($6:$1005)-5),462)),BidangList,0)),INDEX(checklistPesertaKemenkeu!$M$6:$M$1005,SMALL(IF(checklistPesertaKemenkeu!$AY$6:$AY$1005="Direkomendasikan",ROW($6:$1005)-5),462)))&gt;0,COUNTIF(INDIRECT("'KERTAS KERJA'!K"&amp;(SMALL(IF(checklistPesertaKemenkeu!$AY$6:$AY$1005="Direkomendasikan",ROW($6:$1005)-5),462)+5)&amp;":O"&amp;(SMALL(IF(checklistPesertaKemenkeu!$AY$6:$AY$1005="Direkomendasikan",ROW($6:$1005)-5),462)+5)),INDEX(checklistPesertaKemenkeu!$M$6:$M$1005,SMALL(IF(checklistPesertaKemenkeu!$AY$6:$AY$1005="Direkomendasikan",ROW($6:$1005)-5),462)))=1),IFERROR(VLOOKUP(INDEX(checklistPesertaKemenkeu!$M$6:$M$1005,SMALL(IF(checklistPesertaKemenkeu!$AY$6:$AY$1005="Direkomendasikan",ROW($6:$1005)-5),462)),KotaKode,2,0),"-"),"")),"")</f>
        <v/>
      </c>
      <c r="J463" t="str">
        <f t="array" aca="1" ref="J463" ca="1">IFERROR(IF(OR(INDEX(checklistPesertaKemenkeu!$N$6:$N$1005,SMALL(IF(checklistPesertaKemenkeu!$AY$6:$AY$1005="Direkomendasikan",ROW($6:$1005)-5),462))="",INDEX(checklistPesertaKemenkeu!$J$6:$J$1005,SMALL(IF(checklistPesertaKemenkeu!$AY$6:$AY$1005="Direkomendasikan",ROW($6:$1005)-5),462))=""),"",IF(AND(COUNTIF(INDIRECT("K_"&amp;MATCH(INDEX(checklistPesertaKemenkeu!$J$6:$J$1005,SMALL(IF(checklistPesertaKemenkeu!$AY$6:$AY$1005="Direkomendasikan",ROW($6:$1005)-5),462)),BidangList,0)),INDEX(checklistPesertaKemenkeu!$N$6:$N$1005,SMALL(IF(checklistPesertaKemenkeu!$AY$6:$AY$1005="Direkomendasikan",ROW($6:$1005)-5),462)))&gt;0,COUNTIF(INDIRECT("'KERTAS KERJA'!K"&amp;(SMALL(IF(checklistPesertaKemenkeu!$AY$6:$AY$1005="Direkomendasikan",ROW($6:$1005)-5),462)+5)&amp;":O"&amp;(SMALL(IF(checklistPesertaKemenkeu!$AY$6:$AY$1005="Direkomendasikan",ROW($6:$1005)-5),462)+5)),INDEX(checklistPesertaKemenkeu!$N$6:$N$1005,SMALL(IF(checklistPesertaKemenkeu!$AY$6:$AY$1005="Direkomendasikan",ROW($6:$1005)-5),462)))=1),IFERROR(VLOOKUP(INDEX(checklistPesertaKemenkeu!$N$6:$N$1005,SMALL(IF(checklistPesertaKemenkeu!$AY$6:$AY$1005="Direkomendasikan",ROW($6:$1005)-5),462)),KotaKode,2,0),"-"),"")),"")</f>
        <v/>
      </c>
      <c r="K463" t="str">
        <f t="array" aca="1" ref="K463" ca="1">IFERROR(IF(OR(INDEX(checklistPesertaKemenkeu!$O$6:$O$1005,SMALL(IF(checklistPesertaKemenkeu!$AY$6:$AY$1005="Direkomendasikan",ROW($6:$1005)-5),462))="",INDEX(checklistPesertaKemenkeu!$J$6:$J$1005,SMALL(IF(checklistPesertaKemenkeu!$AY$6:$AY$1005="Direkomendasikan",ROW($6:$1005)-5),462))=""),"",IF(AND(COUNTIF(INDIRECT("K_"&amp;MATCH(INDEX(checklistPesertaKemenkeu!$J$6:$J$1005,SMALL(IF(checklistPesertaKemenkeu!$AY$6:$AY$1005="Direkomendasikan",ROW($6:$1005)-5),462)),BidangList,0)),INDEX(checklistPesertaKemenkeu!$O$6:$O$1005,SMALL(IF(checklistPesertaKemenkeu!$AY$6:$AY$1005="Direkomendasikan",ROW($6:$1005)-5),462)))&gt;0,COUNTIF(INDIRECT("'KERTAS KERJA'!K"&amp;(SMALL(IF(checklistPesertaKemenkeu!$AY$6:$AY$1005="Direkomendasikan",ROW($6:$1005)-5),462)+5)&amp;":O"&amp;(SMALL(IF(checklistPesertaKemenkeu!$AY$6:$AY$1005="Direkomendasikan",ROW($6:$1005)-5),462)+5)),INDEX(checklistPesertaKemenkeu!$O$6:$O$1005,SMALL(IF(checklistPesertaKemenkeu!$AY$6:$AY$1005="Direkomendasikan",ROW($6:$1005)-5),462)))=1),IFERROR(VLOOKUP(INDEX(checklistPesertaKemenkeu!$O$6:$O$1005,SMALL(IF(checklistPesertaKemenkeu!$AY$6:$AY$1005="Direkomendasikan",ROW($6:$1005)-5),462)),KotaKode,2,0),"-"),"")),"")</f>
        <v/>
      </c>
      <c r="L463" t="str">
        <f t="array" aca="1" ref="L463" ca="1">IFERROR(IF(OR(INDEX(checklistPesertaKemenkeu!$P$6:$P$1005,SMALL(IF(checklistPesertaKemenkeu!$AY$6:$AY$1005="Direkomendasikan",ROW($6:$1005)-5),462))="",INDEX(checklistPesertaKemenkeu!$J$6:$J$1005,SMALL(IF(checklistPesertaKemenkeu!$AY$6:$AY$1005="Direkomendasikan",ROW($6:$1005)-5),462))=""),"",IF(AND(COUNTIF(INDIRECT("K_"&amp;MATCH(INDEX(checklistPesertaKemenkeu!$J$6:$J$1005,SMALL(IF(checklistPesertaKemenkeu!$AY$6:$AY$1005="Direkomendasikan",ROW($6:$1005)-5),462)),BidangList,0)),INDEX(checklistPesertaKemenkeu!$P$6:$P$1005,SMALL(IF(checklistPesertaKemenkeu!$AY$6:$AY$1005="Direkomendasikan",ROW($6:$1005)-5),462)))&gt;0,COUNTIF(INDIRECT("'KERTAS KERJA'!K"&amp;(SMALL(IF(checklistPesertaKemenkeu!$AY$6:$AY$1005="Direkomendasikan",ROW($6:$1005)-5),462)+5)&amp;":O"&amp;(SMALL(IF(checklistPesertaKemenkeu!$AY$6:$AY$1005="Direkomendasikan",ROW($6:$1005)-5),462)+5)),INDEX(checklistPesertaKemenkeu!$P$6:$P$1005,SMALL(IF(checklistPesertaKemenkeu!$AY$6:$AY$1005="Direkomendasikan",ROW($6:$1005)-5),462)))=1),IFERROR(VLOOKUP(INDEX(checklistPesertaKemenkeu!$P$6:$P$1005,SMALL(IF(checklistPesertaKemenkeu!$AY$6:$AY$1005="Direkomendasikan",ROW($6:$1005)-5),462)),KotaKode,2,0),"-"),"")),"")</f>
        <v/>
      </c>
    </row>
    <row r="464" spans="1:12" ht="15" customHeight="1" x14ac:dyDescent="0.2">
      <c r="A464" t="str">
        <f t="shared" si="7"/>
        <v/>
      </c>
      <c r="B464" t="str">
        <v/>
      </c>
      <c r="C464" s="40" t="str">
        <f t="array" ref="C464">IFERROR(INDEX(checklistPesertaKemenkeu!$F$6:$F$1005,SMALL(IF(checklistPesertaKemenkeu!$AY$6:$AY$1005="Direkomendasikan",ROW($6:$1005)-5),463)),"")</f>
        <v/>
      </c>
      <c r="D464" t="str">
        <f t="array" ref="D464">IFERROR(INDEX(checklistPesertaKemenkeu!$G$6:$G$1005,SMALL(IF(checklistPesertaKemenkeu!$AY$6:$AY$1005="Direkomendasikan",ROW($6:$1005)-5),463)),"")</f>
        <v/>
      </c>
      <c r="E464" t="str">
        <f t="array" ref="E464">IFERROR(INDEX(checklistPesertaKemenkeu!$H$6:$H$1005,SMALL(IF(checklistPesertaKemenkeu!$AY$6:$AY$1005="Direkomendasikan",ROW($6:$1005)-5),463)),"")</f>
        <v/>
      </c>
      <c r="F464" t="str">
        <f t="array" ref="F464">IFERROR(INDEX(checklistPesertaKemenkeu!$I$6:$I$1005,SMALL(IF(checklistPesertaKemenkeu!$AY$6:$AY$1005="Direkomendasikan",ROW($6:$1005)-5),463)),"")</f>
        <v/>
      </c>
      <c r="G464" t="str">
        <f t="array" ref="G464">IFERROR(INDEX(checklistPesertaKemenkeu!$J$6:$J$1005,SMALL(IF(checklistPesertaKemenkeu!$AY$6:$AY$1005="Direkomendasikan",ROW($6:$1005)-5),463)),"")</f>
        <v/>
      </c>
      <c r="H464" t="str">
        <f t="array" aca="1" ref="H464" ca="1">IFERROR(IF(OR(INDEX(checklistPesertaKemenkeu!$L$6:$L$1005,SMALL(IF(checklistPesertaKemenkeu!$AY$6:$AY$1005="Direkomendasikan",ROW($6:$1005)-5),463))="",INDEX(checklistPesertaKemenkeu!$J$6:$J$1005,SMALL(IF(checklistPesertaKemenkeu!$AY$6:$AY$1005="Direkomendasikan",ROW($6:$1005)-5),463))=""),"",IF(AND(COUNTIF(INDIRECT("K_"&amp;MATCH(INDEX(checklistPesertaKemenkeu!$J$6:$J$1005,SMALL(IF(checklistPesertaKemenkeu!$AY$6:$AY$1005="Direkomendasikan",ROW($6:$1005)-5),463)),BidangList,0)),INDEX(checklistPesertaKemenkeu!$L$6:$L$1005,SMALL(IF(checklistPesertaKemenkeu!$AY$6:$AY$1005="Direkomendasikan",ROW($6:$1005)-5),463)))&gt;0,COUNTIF(INDIRECT("'KERTAS KERJA'!K"&amp;(SMALL(IF(checklistPesertaKemenkeu!$AY$6:$AY$1005="Direkomendasikan",ROW($6:$1005)-5),463)+5)&amp;":O"&amp;(SMALL(IF(checklistPesertaKemenkeu!$AY$6:$AY$1005="Direkomendasikan",ROW($6:$1005)-5),463)+5)),INDEX(checklistPesertaKemenkeu!$L$6:$L$1005,SMALL(IF(checklistPesertaKemenkeu!$AY$6:$AY$1005="Direkomendasikan",ROW($6:$1005)-5),463)))=1),IFERROR(VLOOKUP(INDEX(checklistPesertaKemenkeu!$L$6:$L$1005,SMALL(IF(checklistPesertaKemenkeu!$AY$6:$AY$1005="Direkomendasikan",ROW($6:$1005)-5),463)),KotaKode,2,0),"-"),"")),"")</f>
        <v/>
      </c>
      <c r="I464" t="str">
        <f t="array" aca="1" ref="I464" ca="1">IFERROR(IF(OR(INDEX(checklistPesertaKemenkeu!$M$6:$M$1005,SMALL(IF(checklistPesertaKemenkeu!$AY$6:$AY$1005="Direkomendasikan",ROW($6:$1005)-5),463))="",INDEX(checklistPesertaKemenkeu!$J$6:$J$1005,SMALL(IF(checklistPesertaKemenkeu!$AY$6:$AY$1005="Direkomendasikan",ROW($6:$1005)-5),463))=""),"",IF(AND(COUNTIF(INDIRECT("K_"&amp;MATCH(INDEX(checklistPesertaKemenkeu!$J$6:$J$1005,SMALL(IF(checklistPesertaKemenkeu!$AY$6:$AY$1005="Direkomendasikan",ROW($6:$1005)-5),463)),BidangList,0)),INDEX(checklistPesertaKemenkeu!$M$6:$M$1005,SMALL(IF(checklistPesertaKemenkeu!$AY$6:$AY$1005="Direkomendasikan",ROW($6:$1005)-5),463)))&gt;0,COUNTIF(INDIRECT("'KERTAS KERJA'!K"&amp;(SMALL(IF(checklistPesertaKemenkeu!$AY$6:$AY$1005="Direkomendasikan",ROW($6:$1005)-5),463)+5)&amp;":O"&amp;(SMALL(IF(checklistPesertaKemenkeu!$AY$6:$AY$1005="Direkomendasikan",ROW($6:$1005)-5),463)+5)),INDEX(checklistPesertaKemenkeu!$M$6:$M$1005,SMALL(IF(checklistPesertaKemenkeu!$AY$6:$AY$1005="Direkomendasikan",ROW($6:$1005)-5),463)))=1),IFERROR(VLOOKUP(INDEX(checklistPesertaKemenkeu!$M$6:$M$1005,SMALL(IF(checklistPesertaKemenkeu!$AY$6:$AY$1005="Direkomendasikan",ROW($6:$1005)-5),463)),KotaKode,2,0),"-"),"")),"")</f>
        <v/>
      </c>
      <c r="J464" t="str">
        <f t="array" aca="1" ref="J464" ca="1">IFERROR(IF(OR(INDEX(checklistPesertaKemenkeu!$N$6:$N$1005,SMALL(IF(checklistPesertaKemenkeu!$AY$6:$AY$1005="Direkomendasikan",ROW($6:$1005)-5),463))="",INDEX(checklistPesertaKemenkeu!$J$6:$J$1005,SMALL(IF(checklistPesertaKemenkeu!$AY$6:$AY$1005="Direkomendasikan",ROW($6:$1005)-5),463))=""),"",IF(AND(COUNTIF(INDIRECT("K_"&amp;MATCH(INDEX(checklistPesertaKemenkeu!$J$6:$J$1005,SMALL(IF(checklistPesertaKemenkeu!$AY$6:$AY$1005="Direkomendasikan",ROW($6:$1005)-5),463)),BidangList,0)),INDEX(checklistPesertaKemenkeu!$N$6:$N$1005,SMALL(IF(checklistPesertaKemenkeu!$AY$6:$AY$1005="Direkomendasikan",ROW($6:$1005)-5),463)))&gt;0,COUNTIF(INDIRECT("'KERTAS KERJA'!K"&amp;(SMALL(IF(checklistPesertaKemenkeu!$AY$6:$AY$1005="Direkomendasikan",ROW($6:$1005)-5),463)+5)&amp;":O"&amp;(SMALL(IF(checklistPesertaKemenkeu!$AY$6:$AY$1005="Direkomendasikan",ROW($6:$1005)-5),463)+5)),INDEX(checklistPesertaKemenkeu!$N$6:$N$1005,SMALL(IF(checklistPesertaKemenkeu!$AY$6:$AY$1005="Direkomendasikan",ROW($6:$1005)-5),463)))=1),IFERROR(VLOOKUP(INDEX(checklistPesertaKemenkeu!$N$6:$N$1005,SMALL(IF(checklistPesertaKemenkeu!$AY$6:$AY$1005="Direkomendasikan",ROW($6:$1005)-5),463)),KotaKode,2,0),"-"),"")),"")</f>
        <v/>
      </c>
      <c r="K464" t="str">
        <f t="array" aca="1" ref="K464" ca="1">IFERROR(IF(OR(INDEX(checklistPesertaKemenkeu!$O$6:$O$1005,SMALL(IF(checklistPesertaKemenkeu!$AY$6:$AY$1005="Direkomendasikan",ROW($6:$1005)-5),463))="",INDEX(checklistPesertaKemenkeu!$J$6:$J$1005,SMALL(IF(checklistPesertaKemenkeu!$AY$6:$AY$1005="Direkomendasikan",ROW($6:$1005)-5),463))=""),"",IF(AND(COUNTIF(INDIRECT("K_"&amp;MATCH(INDEX(checklistPesertaKemenkeu!$J$6:$J$1005,SMALL(IF(checklistPesertaKemenkeu!$AY$6:$AY$1005="Direkomendasikan",ROW($6:$1005)-5),463)),BidangList,0)),INDEX(checklistPesertaKemenkeu!$O$6:$O$1005,SMALL(IF(checklistPesertaKemenkeu!$AY$6:$AY$1005="Direkomendasikan",ROW($6:$1005)-5),463)))&gt;0,COUNTIF(INDIRECT("'KERTAS KERJA'!K"&amp;(SMALL(IF(checklistPesertaKemenkeu!$AY$6:$AY$1005="Direkomendasikan",ROW($6:$1005)-5),463)+5)&amp;":O"&amp;(SMALL(IF(checklistPesertaKemenkeu!$AY$6:$AY$1005="Direkomendasikan",ROW($6:$1005)-5),463)+5)),INDEX(checklistPesertaKemenkeu!$O$6:$O$1005,SMALL(IF(checklistPesertaKemenkeu!$AY$6:$AY$1005="Direkomendasikan",ROW($6:$1005)-5),463)))=1),IFERROR(VLOOKUP(INDEX(checklistPesertaKemenkeu!$O$6:$O$1005,SMALL(IF(checklistPesertaKemenkeu!$AY$6:$AY$1005="Direkomendasikan",ROW($6:$1005)-5),463)),KotaKode,2,0),"-"),"")),"")</f>
        <v/>
      </c>
      <c r="L464" t="str">
        <f t="array" aca="1" ref="L464" ca="1">IFERROR(IF(OR(INDEX(checklistPesertaKemenkeu!$P$6:$P$1005,SMALL(IF(checklistPesertaKemenkeu!$AY$6:$AY$1005="Direkomendasikan",ROW($6:$1005)-5),463))="",INDEX(checklistPesertaKemenkeu!$J$6:$J$1005,SMALL(IF(checklistPesertaKemenkeu!$AY$6:$AY$1005="Direkomendasikan",ROW($6:$1005)-5),463))=""),"",IF(AND(COUNTIF(INDIRECT("K_"&amp;MATCH(INDEX(checklistPesertaKemenkeu!$J$6:$J$1005,SMALL(IF(checklistPesertaKemenkeu!$AY$6:$AY$1005="Direkomendasikan",ROW($6:$1005)-5),463)),BidangList,0)),INDEX(checklistPesertaKemenkeu!$P$6:$P$1005,SMALL(IF(checklistPesertaKemenkeu!$AY$6:$AY$1005="Direkomendasikan",ROW($6:$1005)-5),463)))&gt;0,COUNTIF(INDIRECT("'KERTAS KERJA'!K"&amp;(SMALL(IF(checklistPesertaKemenkeu!$AY$6:$AY$1005="Direkomendasikan",ROW($6:$1005)-5),463)+5)&amp;":O"&amp;(SMALL(IF(checklistPesertaKemenkeu!$AY$6:$AY$1005="Direkomendasikan",ROW($6:$1005)-5),463)+5)),INDEX(checklistPesertaKemenkeu!$P$6:$P$1005,SMALL(IF(checklistPesertaKemenkeu!$AY$6:$AY$1005="Direkomendasikan",ROW($6:$1005)-5),463)))=1),IFERROR(VLOOKUP(INDEX(checklistPesertaKemenkeu!$P$6:$P$1005,SMALL(IF(checklistPesertaKemenkeu!$AY$6:$AY$1005="Direkomendasikan",ROW($6:$1005)-5),463)),KotaKode,2,0),"-"),"")),"")</f>
        <v/>
      </c>
    </row>
    <row r="465" spans="1:12" ht="15" customHeight="1" x14ac:dyDescent="0.2">
      <c r="A465" t="str">
        <f t="shared" si="7"/>
        <v/>
      </c>
      <c r="B465" t="str">
        <v/>
      </c>
      <c r="C465" s="40" t="str">
        <f t="array" ref="C465">IFERROR(INDEX(checklistPesertaKemenkeu!$F$6:$F$1005,SMALL(IF(checklistPesertaKemenkeu!$AY$6:$AY$1005="Direkomendasikan",ROW($6:$1005)-5),464)),"")</f>
        <v/>
      </c>
      <c r="D465" t="str">
        <f t="array" ref="D465">IFERROR(INDEX(checklistPesertaKemenkeu!$G$6:$G$1005,SMALL(IF(checklistPesertaKemenkeu!$AY$6:$AY$1005="Direkomendasikan",ROW($6:$1005)-5),464)),"")</f>
        <v/>
      </c>
      <c r="E465" t="str">
        <f t="array" ref="E465">IFERROR(INDEX(checklistPesertaKemenkeu!$H$6:$H$1005,SMALL(IF(checklistPesertaKemenkeu!$AY$6:$AY$1005="Direkomendasikan",ROW($6:$1005)-5),464)),"")</f>
        <v/>
      </c>
      <c r="F465" t="str">
        <f t="array" ref="F465">IFERROR(INDEX(checklistPesertaKemenkeu!$I$6:$I$1005,SMALL(IF(checklistPesertaKemenkeu!$AY$6:$AY$1005="Direkomendasikan",ROW($6:$1005)-5),464)),"")</f>
        <v/>
      </c>
      <c r="G465" t="str">
        <f t="array" ref="G465">IFERROR(INDEX(checklistPesertaKemenkeu!$J$6:$J$1005,SMALL(IF(checklistPesertaKemenkeu!$AY$6:$AY$1005="Direkomendasikan",ROW($6:$1005)-5),464)),"")</f>
        <v/>
      </c>
      <c r="H465" t="str">
        <f t="array" aca="1" ref="H465" ca="1">IFERROR(IF(OR(INDEX(checklistPesertaKemenkeu!$L$6:$L$1005,SMALL(IF(checklistPesertaKemenkeu!$AY$6:$AY$1005="Direkomendasikan",ROW($6:$1005)-5),464))="",INDEX(checklistPesertaKemenkeu!$J$6:$J$1005,SMALL(IF(checklistPesertaKemenkeu!$AY$6:$AY$1005="Direkomendasikan",ROW($6:$1005)-5),464))=""),"",IF(AND(COUNTIF(INDIRECT("K_"&amp;MATCH(INDEX(checklistPesertaKemenkeu!$J$6:$J$1005,SMALL(IF(checklistPesertaKemenkeu!$AY$6:$AY$1005="Direkomendasikan",ROW($6:$1005)-5),464)),BidangList,0)),INDEX(checklistPesertaKemenkeu!$L$6:$L$1005,SMALL(IF(checklistPesertaKemenkeu!$AY$6:$AY$1005="Direkomendasikan",ROW($6:$1005)-5),464)))&gt;0,COUNTIF(INDIRECT("'KERTAS KERJA'!K"&amp;(SMALL(IF(checklistPesertaKemenkeu!$AY$6:$AY$1005="Direkomendasikan",ROW($6:$1005)-5),464)+5)&amp;":O"&amp;(SMALL(IF(checklistPesertaKemenkeu!$AY$6:$AY$1005="Direkomendasikan",ROW($6:$1005)-5),464)+5)),INDEX(checklistPesertaKemenkeu!$L$6:$L$1005,SMALL(IF(checklistPesertaKemenkeu!$AY$6:$AY$1005="Direkomendasikan",ROW($6:$1005)-5),464)))=1),IFERROR(VLOOKUP(INDEX(checklistPesertaKemenkeu!$L$6:$L$1005,SMALL(IF(checklistPesertaKemenkeu!$AY$6:$AY$1005="Direkomendasikan",ROW($6:$1005)-5),464)),KotaKode,2,0),"-"),"")),"")</f>
        <v/>
      </c>
      <c r="I465" t="str">
        <f t="array" aca="1" ref="I465" ca="1">IFERROR(IF(OR(INDEX(checklistPesertaKemenkeu!$M$6:$M$1005,SMALL(IF(checklistPesertaKemenkeu!$AY$6:$AY$1005="Direkomendasikan",ROW($6:$1005)-5),464))="",INDEX(checklistPesertaKemenkeu!$J$6:$J$1005,SMALL(IF(checklistPesertaKemenkeu!$AY$6:$AY$1005="Direkomendasikan",ROW($6:$1005)-5),464))=""),"",IF(AND(COUNTIF(INDIRECT("K_"&amp;MATCH(INDEX(checklistPesertaKemenkeu!$J$6:$J$1005,SMALL(IF(checklistPesertaKemenkeu!$AY$6:$AY$1005="Direkomendasikan",ROW($6:$1005)-5),464)),BidangList,0)),INDEX(checklistPesertaKemenkeu!$M$6:$M$1005,SMALL(IF(checklistPesertaKemenkeu!$AY$6:$AY$1005="Direkomendasikan",ROW($6:$1005)-5),464)))&gt;0,COUNTIF(INDIRECT("'KERTAS KERJA'!K"&amp;(SMALL(IF(checklistPesertaKemenkeu!$AY$6:$AY$1005="Direkomendasikan",ROW($6:$1005)-5),464)+5)&amp;":O"&amp;(SMALL(IF(checklistPesertaKemenkeu!$AY$6:$AY$1005="Direkomendasikan",ROW($6:$1005)-5),464)+5)),INDEX(checklistPesertaKemenkeu!$M$6:$M$1005,SMALL(IF(checklistPesertaKemenkeu!$AY$6:$AY$1005="Direkomendasikan",ROW($6:$1005)-5),464)))=1),IFERROR(VLOOKUP(INDEX(checklistPesertaKemenkeu!$M$6:$M$1005,SMALL(IF(checklistPesertaKemenkeu!$AY$6:$AY$1005="Direkomendasikan",ROW($6:$1005)-5),464)),KotaKode,2,0),"-"),"")),"")</f>
        <v/>
      </c>
      <c r="J465" t="str">
        <f t="array" aca="1" ref="J465" ca="1">IFERROR(IF(OR(INDEX(checklistPesertaKemenkeu!$N$6:$N$1005,SMALL(IF(checklistPesertaKemenkeu!$AY$6:$AY$1005="Direkomendasikan",ROW($6:$1005)-5),464))="",INDEX(checklistPesertaKemenkeu!$J$6:$J$1005,SMALL(IF(checklistPesertaKemenkeu!$AY$6:$AY$1005="Direkomendasikan",ROW($6:$1005)-5),464))=""),"",IF(AND(COUNTIF(INDIRECT("K_"&amp;MATCH(INDEX(checklistPesertaKemenkeu!$J$6:$J$1005,SMALL(IF(checklistPesertaKemenkeu!$AY$6:$AY$1005="Direkomendasikan",ROW($6:$1005)-5),464)),BidangList,0)),INDEX(checklistPesertaKemenkeu!$N$6:$N$1005,SMALL(IF(checklistPesertaKemenkeu!$AY$6:$AY$1005="Direkomendasikan",ROW($6:$1005)-5),464)))&gt;0,COUNTIF(INDIRECT("'KERTAS KERJA'!K"&amp;(SMALL(IF(checklistPesertaKemenkeu!$AY$6:$AY$1005="Direkomendasikan",ROW($6:$1005)-5),464)+5)&amp;":O"&amp;(SMALL(IF(checklistPesertaKemenkeu!$AY$6:$AY$1005="Direkomendasikan",ROW($6:$1005)-5),464)+5)),INDEX(checklistPesertaKemenkeu!$N$6:$N$1005,SMALL(IF(checklistPesertaKemenkeu!$AY$6:$AY$1005="Direkomendasikan",ROW($6:$1005)-5),464)))=1),IFERROR(VLOOKUP(INDEX(checklistPesertaKemenkeu!$N$6:$N$1005,SMALL(IF(checklistPesertaKemenkeu!$AY$6:$AY$1005="Direkomendasikan",ROW($6:$1005)-5),464)),KotaKode,2,0),"-"),"")),"")</f>
        <v/>
      </c>
      <c r="K465" t="str">
        <f t="array" aca="1" ref="K465" ca="1">IFERROR(IF(OR(INDEX(checklistPesertaKemenkeu!$O$6:$O$1005,SMALL(IF(checklistPesertaKemenkeu!$AY$6:$AY$1005="Direkomendasikan",ROW($6:$1005)-5),464))="",INDEX(checklistPesertaKemenkeu!$J$6:$J$1005,SMALL(IF(checklistPesertaKemenkeu!$AY$6:$AY$1005="Direkomendasikan",ROW($6:$1005)-5),464))=""),"",IF(AND(COUNTIF(INDIRECT("K_"&amp;MATCH(INDEX(checklistPesertaKemenkeu!$J$6:$J$1005,SMALL(IF(checklistPesertaKemenkeu!$AY$6:$AY$1005="Direkomendasikan",ROW($6:$1005)-5),464)),BidangList,0)),INDEX(checklistPesertaKemenkeu!$O$6:$O$1005,SMALL(IF(checklistPesertaKemenkeu!$AY$6:$AY$1005="Direkomendasikan",ROW($6:$1005)-5),464)))&gt;0,COUNTIF(INDIRECT("'KERTAS KERJA'!K"&amp;(SMALL(IF(checklistPesertaKemenkeu!$AY$6:$AY$1005="Direkomendasikan",ROW($6:$1005)-5),464)+5)&amp;":O"&amp;(SMALL(IF(checklistPesertaKemenkeu!$AY$6:$AY$1005="Direkomendasikan",ROW($6:$1005)-5),464)+5)),INDEX(checklistPesertaKemenkeu!$O$6:$O$1005,SMALL(IF(checklistPesertaKemenkeu!$AY$6:$AY$1005="Direkomendasikan",ROW($6:$1005)-5),464)))=1),IFERROR(VLOOKUP(INDEX(checklistPesertaKemenkeu!$O$6:$O$1005,SMALL(IF(checklistPesertaKemenkeu!$AY$6:$AY$1005="Direkomendasikan",ROW($6:$1005)-5),464)),KotaKode,2,0),"-"),"")),"")</f>
        <v/>
      </c>
      <c r="L465" t="str">
        <f t="array" aca="1" ref="L465" ca="1">IFERROR(IF(OR(INDEX(checklistPesertaKemenkeu!$P$6:$P$1005,SMALL(IF(checklistPesertaKemenkeu!$AY$6:$AY$1005="Direkomendasikan",ROW($6:$1005)-5),464))="",INDEX(checklistPesertaKemenkeu!$J$6:$J$1005,SMALL(IF(checklistPesertaKemenkeu!$AY$6:$AY$1005="Direkomendasikan",ROW($6:$1005)-5),464))=""),"",IF(AND(COUNTIF(INDIRECT("K_"&amp;MATCH(INDEX(checklistPesertaKemenkeu!$J$6:$J$1005,SMALL(IF(checklistPesertaKemenkeu!$AY$6:$AY$1005="Direkomendasikan",ROW($6:$1005)-5),464)),BidangList,0)),INDEX(checklistPesertaKemenkeu!$P$6:$P$1005,SMALL(IF(checklistPesertaKemenkeu!$AY$6:$AY$1005="Direkomendasikan",ROW($6:$1005)-5),464)))&gt;0,COUNTIF(INDIRECT("'KERTAS KERJA'!K"&amp;(SMALL(IF(checklistPesertaKemenkeu!$AY$6:$AY$1005="Direkomendasikan",ROW($6:$1005)-5),464)+5)&amp;":O"&amp;(SMALL(IF(checklistPesertaKemenkeu!$AY$6:$AY$1005="Direkomendasikan",ROW($6:$1005)-5),464)+5)),INDEX(checklistPesertaKemenkeu!$P$6:$P$1005,SMALL(IF(checklistPesertaKemenkeu!$AY$6:$AY$1005="Direkomendasikan",ROW($6:$1005)-5),464)))=1),IFERROR(VLOOKUP(INDEX(checklistPesertaKemenkeu!$P$6:$P$1005,SMALL(IF(checklistPesertaKemenkeu!$AY$6:$AY$1005="Direkomendasikan",ROW($6:$1005)-5),464)),KotaKode,2,0),"-"),"")),"")</f>
        <v/>
      </c>
    </row>
    <row r="466" spans="1:12" ht="15" customHeight="1" x14ac:dyDescent="0.2">
      <c r="A466" t="str">
        <f t="shared" si="7"/>
        <v/>
      </c>
      <c r="B466" t="str">
        <v/>
      </c>
      <c r="C466" s="40" t="str">
        <f t="array" ref="C466">IFERROR(INDEX(checklistPesertaKemenkeu!$F$6:$F$1005,SMALL(IF(checklistPesertaKemenkeu!$AY$6:$AY$1005="Direkomendasikan",ROW($6:$1005)-5),465)),"")</f>
        <v/>
      </c>
      <c r="D466" t="str">
        <f t="array" ref="D466">IFERROR(INDEX(checklistPesertaKemenkeu!$G$6:$G$1005,SMALL(IF(checklistPesertaKemenkeu!$AY$6:$AY$1005="Direkomendasikan",ROW($6:$1005)-5),465)),"")</f>
        <v/>
      </c>
      <c r="E466" t="str">
        <f t="array" ref="E466">IFERROR(INDEX(checklistPesertaKemenkeu!$H$6:$H$1005,SMALL(IF(checklistPesertaKemenkeu!$AY$6:$AY$1005="Direkomendasikan",ROW($6:$1005)-5),465)),"")</f>
        <v/>
      </c>
      <c r="F466" t="str">
        <f t="array" ref="F466">IFERROR(INDEX(checklistPesertaKemenkeu!$I$6:$I$1005,SMALL(IF(checklistPesertaKemenkeu!$AY$6:$AY$1005="Direkomendasikan",ROW($6:$1005)-5),465)),"")</f>
        <v/>
      </c>
      <c r="G466" t="str">
        <f t="array" ref="G466">IFERROR(INDEX(checklistPesertaKemenkeu!$J$6:$J$1005,SMALL(IF(checklistPesertaKemenkeu!$AY$6:$AY$1005="Direkomendasikan",ROW($6:$1005)-5),465)),"")</f>
        <v/>
      </c>
      <c r="H466" t="str">
        <f t="array" aca="1" ref="H466" ca="1">IFERROR(IF(OR(INDEX(checklistPesertaKemenkeu!$L$6:$L$1005,SMALL(IF(checklistPesertaKemenkeu!$AY$6:$AY$1005="Direkomendasikan",ROW($6:$1005)-5),465))="",INDEX(checklistPesertaKemenkeu!$J$6:$J$1005,SMALL(IF(checklistPesertaKemenkeu!$AY$6:$AY$1005="Direkomendasikan",ROW($6:$1005)-5),465))=""),"",IF(AND(COUNTIF(INDIRECT("K_"&amp;MATCH(INDEX(checklistPesertaKemenkeu!$J$6:$J$1005,SMALL(IF(checklistPesertaKemenkeu!$AY$6:$AY$1005="Direkomendasikan",ROW($6:$1005)-5),465)),BidangList,0)),INDEX(checklistPesertaKemenkeu!$L$6:$L$1005,SMALL(IF(checklistPesertaKemenkeu!$AY$6:$AY$1005="Direkomendasikan",ROW($6:$1005)-5),465)))&gt;0,COUNTIF(INDIRECT("'KERTAS KERJA'!K"&amp;(SMALL(IF(checklistPesertaKemenkeu!$AY$6:$AY$1005="Direkomendasikan",ROW($6:$1005)-5),465)+5)&amp;":O"&amp;(SMALL(IF(checklistPesertaKemenkeu!$AY$6:$AY$1005="Direkomendasikan",ROW($6:$1005)-5),465)+5)),INDEX(checklistPesertaKemenkeu!$L$6:$L$1005,SMALL(IF(checklistPesertaKemenkeu!$AY$6:$AY$1005="Direkomendasikan",ROW($6:$1005)-5),465)))=1),IFERROR(VLOOKUP(INDEX(checklistPesertaKemenkeu!$L$6:$L$1005,SMALL(IF(checklistPesertaKemenkeu!$AY$6:$AY$1005="Direkomendasikan",ROW($6:$1005)-5),465)),KotaKode,2,0),"-"),"")),"")</f>
        <v/>
      </c>
      <c r="I466" t="str">
        <f t="array" aca="1" ref="I466" ca="1">IFERROR(IF(OR(INDEX(checklistPesertaKemenkeu!$M$6:$M$1005,SMALL(IF(checklistPesertaKemenkeu!$AY$6:$AY$1005="Direkomendasikan",ROW($6:$1005)-5),465))="",INDEX(checklistPesertaKemenkeu!$J$6:$J$1005,SMALL(IF(checklistPesertaKemenkeu!$AY$6:$AY$1005="Direkomendasikan",ROW($6:$1005)-5),465))=""),"",IF(AND(COUNTIF(INDIRECT("K_"&amp;MATCH(INDEX(checklistPesertaKemenkeu!$J$6:$J$1005,SMALL(IF(checklistPesertaKemenkeu!$AY$6:$AY$1005="Direkomendasikan",ROW($6:$1005)-5),465)),BidangList,0)),INDEX(checklistPesertaKemenkeu!$M$6:$M$1005,SMALL(IF(checklistPesertaKemenkeu!$AY$6:$AY$1005="Direkomendasikan",ROW($6:$1005)-5),465)))&gt;0,COUNTIF(INDIRECT("'KERTAS KERJA'!K"&amp;(SMALL(IF(checklistPesertaKemenkeu!$AY$6:$AY$1005="Direkomendasikan",ROW($6:$1005)-5),465)+5)&amp;":O"&amp;(SMALL(IF(checklistPesertaKemenkeu!$AY$6:$AY$1005="Direkomendasikan",ROW($6:$1005)-5),465)+5)),INDEX(checklistPesertaKemenkeu!$M$6:$M$1005,SMALL(IF(checklistPesertaKemenkeu!$AY$6:$AY$1005="Direkomendasikan",ROW($6:$1005)-5),465)))=1),IFERROR(VLOOKUP(INDEX(checklistPesertaKemenkeu!$M$6:$M$1005,SMALL(IF(checklistPesertaKemenkeu!$AY$6:$AY$1005="Direkomendasikan",ROW($6:$1005)-5),465)),KotaKode,2,0),"-"),"")),"")</f>
        <v/>
      </c>
      <c r="J466" t="str">
        <f t="array" aca="1" ref="J466" ca="1">IFERROR(IF(OR(INDEX(checklistPesertaKemenkeu!$N$6:$N$1005,SMALL(IF(checklistPesertaKemenkeu!$AY$6:$AY$1005="Direkomendasikan",ROW($6:$1005)-5),465))="",INDEX(checklistPesertaKemenkeu!$J$6:$J$1005,SMALL(IF(checklistPesertaKemenkeu!$AY$6:$AY$1005="Direkomendasikan",ROW($6:$1005)-5),465))=""),"",IF(AND(COUNTIF(INDIRECT("K_"&amp;MATCH(INDEX(checklistPesertaKemenkeu!$J$6:$J$1005,SMALL(IF(checklistPesertaKemenkeu!$AY$6:$AY$1005="Direkomendasikan",ROW($6:$1005)-5),465)),BidangList,0)),INDEX(checklistPesertaKemenkeu!$N$6:$N$1005,SMALL(IF(checklistPesertaKemenkeu!$AY$6:$AY$1005="Direkomendasikan",ROW($6:$1005)-5),465)))&gt;0,COUNTIF(INDIRECT("'KERTAS KERJA'!K"&amp;(SMALL(IF(checklistPesertaKemenkeu!$AY$6:$AY$1005="Direkomendasikan",ROW($6:$1005)-5),465)+5)&amp;":O"&amp;(SMALL(IF(checklistPesertaKemenkeu!$AY$6:$AY$1005="Direkomendasikan",ROW($6:$1005)-5),465)+5)),INDEX(checklistPesertaKemenkeu!$N$6:$N$1005,SMALL(IF(checklistPesertaKemenkeu!$AY$6:$AY$1005="Direkomendasikan",ROW($6:$1005)-5),465)))=1),IFERROR(VLOOKUP(INDEX(checklistPesertaKemenkeu!$N$6:$N$1005,SMALL(IF(checklistPesertaKemenkeu!$AY$6:$AY$1005="Direkomendasikan",ROW($6:$1005)-5),465)),KotaKode,2,0),"-"),"")),"")</f>
        <v/>
      </c>
      <c r="K466" t="str">
        <f t="array" aca="1" ref="K466" ca="1">IFERROR(IF(OR(INDEX(checklistPesertaKemenkeu!$O$6:$O$1005,SMALL(IF(checklistPesertaKemenkeu!$AY$6:$AY$1005="Direkomendasikan",ROW($6:$1005)-5),465))="",INDEX(checklistPesertaKemenkeu!$J$6:$J$1005,SMALL(IF(checklistPesertaKemenkeu!$AY$6:$AY$1005="Direkomendasikan",ROW($6:$1005)-5),465))=""),"",IF(AND(COUNTIF(INDIRECT("K_"&amp;MATCH(INDEX(checklistPesertaKemenkeu!$J$6:$J$1005,SMALL(IF(checklistPesertaKemenkeu!$AY$6:$AY$1005="Direkomendasikan",ROW($6:$1005)-5),465)),BidangList,0)),INDEX(checklistPesertaKemenkeu!$O$6:$O$1005,SMALL(IF(checklistPesertaKemenkeu!$AY$6:$AY$1005="Direkomendasikan",ROW($6:$1005)-5),465)))&gt;0,COUNTIF(INDIRECT("'KERTAS KERJA'!K"&amp;(SMALL(IF(checklistPesertaKemenkeu!$AY$6:$AY$1005="Direkomendasikan",ROW($6:$1005)-5),465)+5)&amp;":O"&amp;(SMALL(IF(checklistPesertaKemenkeu!$AY$6:$AY$1005="Direkomendasikan",ROW($6:$1005)-5),465)+5)),INDEX(checklistPesertaKemenkeu!$O$6:$O$1005,SMALL(IF(checklistPesertaKemenkeu!$AY$6:$AY$1005="Direkomendasikan",ROW($6:$1005)-5),465)))=1),IFERROR(VLOOKUP(INDEX(checklistPesertaKemenkeu!$O$6:$O$1005,SMALL(IF(checklistPesertaKemenkeu!$AY$6:$AY$1005="Direkomendasikan",ROW($6:$1005)-5),465)),KotaKode,2,0),"-"),"")),"")</f>
        <v/>
      </c>
      <c r="L466" t="str">
        <f t="array" aca="1" ref="L466" ca="1">IFERROR(IF(OR(INDEX(checklistPesertaKemenkeu!$P$6:$P$1005,SMALL(IF(checklistPesertaKemenkeu!$AY$6:$AY$1005="Direkomendasikan",ROW($6:$1005)-5),465))="",INDEX(checklistPesertaKemenkeu!$J$6:$J$1005,SMALL(IF(checklistPesertaKemenkeu!$AY$6:$AY$1005="Direkomendasikan",ROW($6:$1005)-5),465))=""),"",IF(AND(COUNTIF(INDIRECT("K_"&amp;MATCH(INDEX(checklistPesertaKemenkeu!$J$6:$J$1005,SMALL(IF(checklistPesertaKemenkeu!$AY$6:$AY$1005="Direkomendasikan",ROW($6:$1005)-5),465)),BidangList,0)),INDEX(checklistPesertaKemenkeu!$P$6:$P$1005,SMALL(IF(checklistPesertaKemenkeu!$AY$6:$AY$1005="Direkomendasikan",ROW($6:$1005)-5),465)))&gt;0,COUNTIF(INDIRECT("'KERTAS KERJA'!K"&amp;(SMALL(IF(checklistPesertaKemenkeu!$AY$6:$AY$1005="Direkomendasikan",ROW($6:$1005)-5),465)+5)&amp;":O"&amp;(SMALL(IF(checklistPesertaKemenkeu!$AY$6:$AY$1005="Direkomendasikan",ROW($6:$1005)-5),465)+5)),INDEX(checklistPesertaKemenkeu!$P$6:$P$1005,SMALL(IF(checklistPesertaKemenkeu!$AY$6:$AY$1005="Direkomendasikan",ROW($6:$1005)-5),465)))=1),IFERROR(VLOOKUP(INDEX(checklistPesertaKemenkeu!$P$6:$P$1005,SMALL(IF(checklistPesertaKemenkeu!$AY$6:$AY$1005="Direkomendasikan",ROW($6:$1005)-5),465)),KotaKode,2,0),"-"),"")),"")</f>
        <v/>
      </c>
    </row>
    <row r="467" spans="1:12" ht="15" customHeight="1" x14ac:dyDescent="0.2">
      <c r="A467" t="str">
        <f t="shared" si="7"/>
        <v/>
      </c>
      <c r="B467" t="str">
        <v/>
      </c>
      <c r="C467" s="40" t="str">
        <f t="array" ref="C467">IFERROR(INDEX(checklistPesertaKemenkeu!$F$6:$F$1005,SMALL(IF(checklistPesertaKemenkeu!$AY$6:$AY$1005="Direkomendasikan",ROW($6:$1005)-5),466)),"")</f>
        <v/>
      </c>
      <c r="D467" t="str">
        <f t="array" ref="D467">IFERROR(INDEX(checklistPesertaKemenkeu!$G$6:$G$1005,SMALL(IF(checklistPesertaKemenkeu!$AY$6:$AY$1005="Direkomendasikan",ROW($6:$1005)-5),466)),"")</f>
        <v/>
      </c>
      <c r="E467" t="str">
        <f t="array" ref="E467">IFERROR(INDEX(checklistPesertaKemenkeu!$H$6:$H$1005,SMALL(IF(checklistPesertaKemenkeu!$AY$6:$AY$1005="Direkomendasikan",ROW($6:$1005)-5),466)),"")</f>
        <v/>
      </c>
      <c r="F467" t="str">
        <f t="array" ref="F467">IFERROR(INDEX(checklistPesertaKemenkeu!$I$6:$I$1005,SMALL(IF(checklistPesertaKemenkeu!$AY$6:$AY$1005="Direkomendasikan",ROW($6:$1005)-5),466)),"")</f>
        <v/>
      </c>
      <c r="G467" t="str">
        <f t="array" ref="G467">IFERROR(INDEX(checklistPesertaKemenkeu!$J$6:$J$1005,SMALL(IF(checklistPesertaKemenkeu!$AY$6:$AY$1005="Direkomendasikan",ROW($6:$1005)-5),466)),"")</f>
        <v/>
      </c>
      <c r="H467" t="str">
        <f t="array" aca="1" ref="H467" ca="1">IFERROR(IF(OR(INDEX(checklistPesertaKemenkeu!$L$6:$L$1005,SMALL(IF(checklistPesertaKemenkeu!$AY$6:$AY$1005="Direkomendasikan",ROW($6:$1005)-5),466))="",INDEX(checklistPesertaKemenkeu!$J$6:$J$1005,SMALL(IF(checklistPesertaKemenkeu!$AY$6:$AY$1005="Direkomendasikan",ROW($6:$1005)-5),466))=""),"",IF(AND(COUNTIF(INDIRECT("K_"&amp;MATCH(INDEX(checklistPesertaKemenkeu!$J$6:$J$1005,SMALL(IF(checklistPesertaKemenkeu!$AY$6:$AY$1005="Direkomendasikan",ROW($6:$1005)-5),466)),BidangList,0)),INDEX(checklistPesertaKemenkeu!$L$6:$L$1005,SMALL(IF(checklistPesertaKemenkeu!$AY$6:$AY$1005="Direkomendasikan",ROW($6:$1005)-5),466)))&gt;0,COUNTIF(INDIRECT("'KERTAS KERJA'!K"&amp;(SMALL(IF(checklistPesertaKemenkeu!$AY$6:$AY$1005="Direkomendasikan",ROW($6:$1005)-5),466)+5)&amp;":O"&amp;(SMALL(IF(checklistPesertaKemenkeu!$AY$6:$AY$1005="Direkomendasikan",ROW($6:$1005)-5),466)+5)),INDEX(checklistPesertaKemenkeu!$L$6:$L$1005,SMALL(IF(checklistPesertaKemenkeu!$AY$6:$AY$1005="Direkomendasikan",ROW($6:$1005)-5),466)))=1),IFERROR(VLOOKUP(INDEX(checklistPesertaKemenkeu!$L$6:$L$1005,SMALL(IF(checklistPesertaKemenkeu!$AY$6:$AY$1005="Direkomendasikan",ROW($6:$1005)-5),466)),KotaKode,2,0),"-"),"")),"")</f>
        <v/>
      </c>
      <c r="I467" t="str">
        <f t="array" aca="1" ref="I467" ca="1">IFERROR(IF(OR(INDEX(checklistPesertaKemenkeu!$M$6:$M$1005,SMALL(IF(checklistPesertaKemenkeu!$AY$6:$AY$1005="Direkomendasikan",ROW($6:$1005)-5),466))="",INDEX(checklistPesertaKemenkeu!$J$6:$J$1005,SMALL(IF(checklistPesertaKemenkeu!$AY$6:$AY$1005="Direkomendasikan",ROW($6:$1005)-5),466))=""),"",IF(AND(COUNTIF(INDIRECT("K_"&amp;MATCH(INDEX(checklistPesertaKemenkeu!$J$6:$J$1005,SMALL(IF(checklistPesertaKemenkeu!$AY$6:$AY$1005="Direkomendasikan",ROW($6:$1005)-5),466)),BidangList,0)),INDEX(checklistPesertaKemenkeu!$M$6:$M$1005,SMALL(IF(checklistPesertaKemenkeu!$AY$6:$AY$1005="Direkomendasikan",ROW($6:$1005)-5),466)))&gt;0,COUNTIF(INDIRECT("'KERTAS KERJA'!K"&amp;(SMALL(IF(checklistPesertaKemenkeu!$AY$6:$AY$1005="Direkomendasikan",ROW($6:$1005)-5),466)+5)&amp;":O"&amp;(SMALL(IF(checklistPesertaKemenkeu!$AY$6:$AY$1005="Direkomendasikan",ROW($6:$1005)-5),466)+5)),INDEX(checklistPesertaKemenkeu!$M$6:$M$1005,SMALL(IF(checklistPesertaKemenkeu!$AY$6:$AY$1005="Direkomendasikan",ROW($6:$1005)-5),466)))=1),IFERROR(VLOOKUP(INDEX(checklistPesertaKemenkeu!$M$6:$M$1005,SMALL(IF(checklistPesertaKemenkeu!$AY$6:$AY$1005="Direkomendasikan",ROW($6:$1005)-5),466)),KotaKode,2,0),"-"),"")),"")</f>
        <v/>
      </c>
      <c r="J467" t="str">
        <f t="array" aca="1" ref="J467" ca="1">IFERROR(IF(OR(INDEX(checklistPesertaKemenkeu!$N$6:$N$1005,SMALL(IF(checklistPesertaKemenkeu!$AY$6:$AY$1005="Direkomendasikan",ROW($6:$1005)-5),466))="",INDEX(checklistPesertaKemenkeu!$J$6:$J$1005,SMALL(IF(checklistPesertaKemenkeu!$AY$6:$AY$1005="Direkomendasikan",ROW($6:$1005)-5),466))=""),"",IF(AND(COUNTIF(INDIRECT("K_"&amp;MATCH(INDEX(checklistPesertaKemenkeu!$J$6:$J$1005,SMALL(IF(checklistPesertaKemenkeu!$AY$6:$AY$1005="Direkomendasikan",ROW($6:$1005)-5),466)),BidangList,0)),INDEX(checklistPesertaKemenkeu!$N$6:$N$1005,SMALL(IF(checklistPesertaKemenkeu!$AY$6:$AY$1005="Direkomendasikan",ROW($6:$1005)-5),466)))&gt;0,COUNTIF(INDIRECT("'KERTAS KERJA'!K"&amp;(SMALL(IF(checklistPesertaKemenkeu!$AY$6:$AY$1005="Direkomendasikan",ROW($6:$1005)-5),466)+5)&amp;":O"&amp;(SMALL(IF(checklistPesertaKemenkeu!$AY$6:$AY$1005="Direkomendasikan",ROW($6:$1005)-5),466)+5)),INDEX(checklistPesertaKemenkeu!$N$6:$N$1005,SMALL(IF(checklistPesertaKemenkeu!$AY$6:$AY$1005="Direkomendasikan",ROW($6:$1005)-5),466)))=1),IFERROR(VLOOKUP(INDEX(checklistPesertaKemenkeu!$N$6:$N$1005,SMALL(IF(checklistPesertaKemenkeu!$AY$6:$AY$1005="Direkomendasikan",ROW($6:$1005)-5),466)),KotaKode,2,0),"-"),"")),"")</f>
        <v/>
      </c>
      <c r="K467" t="str">
        <f t="array" aca="1" ref="K467" ca="1">IFERROR(IF(OR(INDEX(checklistPesertaKemenkeu!$O$6:$O$1005,SMALL(IF(checklistPesertaKemenkeu!$AY$6:$AY$1005="Direkomendasikan",ROW($6:$1005)-5),466))="",INDEX(checklistPesertaKemenkeu!$J$6:$J$1005,SMALL(IF(checklistPesertaKemenkeu!$AY$6:$AY$1005="Direkomendasikan",ROW($6:$1005)-5),466))=""),"",IF(AND(COUNTIF(INDIRECT("K_"&amp;MATCH(INDEX(checklistPesertaKemenkeu!$J$6:$J$1005,SMALL(IF(checklistPesertaKemenkeu!$AY$6:$AY$1005="Direkomendasikan",ROW($6:$1005)-5),466)),BidangList,0)),INDEX(checklistPesertaKemenkeu!$O$6:$O$1005,SMALL(IF(checklistPesertaKemenkeu!$AY$6:$AY$1005="Direkomendasikan",ROW($6:$1005)-5),466)))&gt;0,COUNTIF(INDIRECT("'KERTAS KERJA'!K"&amp;(SMALL(IF(checklistPesertaKemenkeu!$AY$6:$AY$1005="Direkomendasikan",ROW($6:$1005)-5),466)+5)&amp;":O"&amp;(SMALL(IF(checklistPesertaKemenkeu!$AY$6:$AY$1005="Direkomendasikan",ROW($6:$1005)-5),466)+5)),INDEX(checklistPesertaKemenkeu!$O$6:$O$1005,SMALL(IF(checklistPesertaKemenkeu!$AY$6:$AY$1005="Direkomendasikan",ROW($6:$1005)-5),466)))=1),IFERROR(VLOOKUP(INDEX(checklistPesertaKemenkeu!$O$6:$O$1005,SMALL(IF(checklistPesertaKemenkeu!$AY$6:$AY$1005="Direkomendasikan",ROW($6:$1005)-5),466)),KotaKode,2,0),"-"),"")),"")</f>
        <v/>
      </c>
      <c r="L467" t="str">
        <f t="array" aca="1" ref="L467" ca="1">IFERROR(IF(OR(INDEX(checklistPesertaKemenkeu!$P$6:$P$1005,SMALL(IF(checklistPesertaKemenkeu!$AY$6:$AY$1005="Direkomendasikan",ROW($6:$1005)-5),466))="",INDEX(checklistPesertaKemenkeu!$J$6:$J$1005,SMALL(IF(checklistPesertaKemenkeu!$AY$6:$AY$1005="Direkomendasikan",ROW($6:$1005)-5),466))=""),"",IF(AND(COUNTIF(INDIRECT("K_"&amp;MATCH(INDEX(checklistPesertaKemenkeu!$J$6:$J$1005,SMALL(IF(checklistPesertaKemenkeu!$AY$6:$AY$1005="Direkomendasikan",ROW($6:$1005)-5),466)),BidangList,0)),INDEX(checklistPesertaKemenkeu!$P$6:$P$1005,SMALL(IF(checklistPesertaKemenkeu!$AY$6:$AY$1005="Direkomendasikan",ROW($6:$1005)-5),466)))&gt;0,COUNTIF(INDIRECT("'KERTAS KERJA'!K"&amp;(SMALL(IF(checklistPesertaKemenkeu!$AY$6:$AY$1005="Direkomendasikan",ROW($6:$1005)-5),466)+5)&amp;":O"&amp;(SMALL(IF(checklistPesertaKemenkeu!$AY$6:$AY$1005="Direkomendasikan",ROW($6:$1005)-5),466)+5)),INDEX(checklistPesertaKemenkeu!$P$6:$P$1005,SMALL(IF(checklistPesertaKemenkeu!$AY$6:$AY$1005="Direkomendasikan",ROW($6:$1005)-5),466)))=1),IFERROR(VLOOKUP(INDEX(checklistPesertaKemenkeu!$P$6:$P$1005,SMALL(IF(checklistPesertaKemenkeu!$AY$6:$AY$1005="Direkomendasikan",ROW($6:$1005)-5),466)),KotaKode,2,0),"-"),"")),"")</f>
        <v/>
      </c>
    </row>
    <row r="468" spans="1:12" ht="15" customHeight="1" x14ac:dyDescent="0.2">
      <c r="A468" t="str">
        <f t="shared" si="7"/>
        <v/>
      </c>
      <c r="B468" t="str">
        <v/>
      </c>
      <c r="C468" s="40" t="str">
        <f t="array" ref="C468">IFERROR(INDEX(checklistPesertaKemenkeu!$F$6:$F$1005,SMALL(IF(checklistPesertaKemenkeu!$AY$6:$AY$1005="Direkomendasikan",ROW($6:$1005)-5),467)),"")</f>
        <v/>
      </c>
      <c r="D468" t="str">
        <f t="array" ref="D468">IFERROR(INDEX(checklistPesertaKemenkeu!$G$6:$G$1005,SMALL(IF(checklistPesertaKemenkeu!$AY$6:$AY$1005="Direkomendasikan",ROW($6:$1005)-5),467)),"")</f>
        <v/>
      </c>
      <c r="E468" t="str">
        <f t="array" ref="E468">IFERROR(INDEX(checklistPesertaKemenkeu!$H$6:$H$1005,SMALL(IF(checklistPesertaKemenkeu!$AY$6:$AY$1005="Direkomendasikan",ROW($6:$1005)-5),467)),"")</f>
        <v/>
      </c>
      <c r="F468" t="str">
        <f t="array" ref="F468">IFERROR(INDEX(checklistPesertaKemenkeu!$I$6:$I$1005,SMALL(IF(checklistPesertaKemenkeu!$AY$6:$AY$1005="Direkomendasikan",ROW($6:$1005)-5),467)),"")</f>
        <v/>
      </c>
      <c r="G468" t="str">
        <f t="array" ref="G468">IFERROR(INDEX(checklistPesertaKemenkeu!$J$6:$J$1005,SMALL(IF(checklistPesertaKemenkeu!$AY$6:$AY$1005="Direkomendasikan",ROW($6:$1005)-5),467)),"")</f>
        <v/>
      </c>
      <c r="H468" t="str">
        <f t="array" aca="1" ref="H468" ca="1">IFERROR(IF(OR(INDEX(checklistPesertaKemenkeu!$L$6:$L$1005,SMALL(IF(checklistPesertaKemenkeu!$AY$6:$AY$1005="Direkomendasikan",ROW($6:$1005)-5),467))="",INDEX(checklistPesertaKemenkeu!$J$6:$J$1005,SMALL(IF(checklistPesertaKemenkeu!$AY$6:$AY$1005="Direkomendasikan",ROW($6:$1005)-5),467))=""),"",IF(AND(COUNTIF(INDIRECT("K_"&amp;MATCH(INDEX(checklistPesertaKemenkeu!$J$6:$J$1005,SMALL(IF(checklistPesertaKemenkeu!$AY$6:$AY$1005="Direkomendasikan",ROW($6:$1005)-5),467)),BidangList,0)),INDEX(checklistPesertaKemenkeu!$L$6:$L$1005,SMALL(IF(checklistPesertaKemenkeu!$AY$6:$AY$1005="Direkomendasikan",ROW($6:$1005)-5),467)))&gt;0,COUNTIF(INDIRECT("'KERTAS KERJA'!K"&amp;(SMALL(IF(checklistPesertaKemenkeu!$AY$6:$AY$1005="Direkomendasikan",ROW($6:$1005)-5),467)+5)&amp;":O"&amp;(SMALL(IF(checklistPesertaKemenkeu!$AY$6:$AY$1005="Direkomendasikan",ROW($6:$1005)-5),467)+5)),INDEX(checklistPesertaKemenkeu!$L$6:$L$1005,SMALL(IF(checklistPesertaKemenkeu!$AY$6:$AY$1005="Direkomendasikan",ROW($6:$1005)-5),467)))=1),IFERROR(VLOOKUP(INDEX(checklistPesertaKemenkeu!$L$6:$L$1005,SMALL(IF(checklistPesertaKemenkeu!$AY$6:$AY$1005="Direkomendasikan",ROW($6:$1005)-5),467)),KotaKode,2,0),"-"),"")),"")</f>
        <v/>
      </c>
      <c r="I468" t="str">
        <f t="array" aca="1" ref="I468" ca="1">IFERROR(IF(OR(INDEX(checklistPesertaKemenkeu!$M$6:$M$1005,SMALL(IF(checklistPesertaKemenkeu!$AY$6:$AY$1005="Direkomendasikan",ROW($6:$1005)-5),467))="",INDEX(checklistPesertaKemenkeu!$J$6:$J$1005,SMALL(IF(checklistPesertaKemenkeu!$AY$6:$AY$1005="Direkomendasikan",ROW($6:$1005)-5),467))=""),"",IF(AND(COUNTIF(INDIRECT("K_"&amp;MATCH(INDEX(checklistPesertaKemenkeu!$J$6:$J$1005,SMALL(IF(checklistPesertaKemenkeu!$AY$6:$AY$1005="Direkomendasikan",ROW($6:$1005)-5),467)),BidangList,0)),INDEX(checklistPesertaKemenkeu!$M$6:$M$1005,SMALL(IF(checklistPesertaKemenkeu!$AY$6:$AY$1005="Direkomendasikan",ROW($6:$1005)-5),467)))&gt;0,COUNTIF(INDIRECT("'KERTAS KERJA'!K"&amp;(SMALL(IF(checklistPesertaKemenkeu!$AY$6:$AY$1005="Direkomendasikan",ROW($6:$1005)-5),467)+5)&amp;":O"&amp;(SMALL(IF(checklistPesertaKemenkeu!$AY$6:$AY$1005="Direkomendasikan",ROW($6:$1005)-5),467)+5)),INDEX(checklistPesertaKemenkeu!$M$6:$M$1005,SMALL(IF(checklistPesertaKemenkeu!$AY$6:$AY$1005="Direkomendasikan",ROW($6:$1005)-5),467)))=1),IFERROR(VLOOKUP(INDEX(checklistPesertaKemenkeu!$M$6:$M$1005,SMALL(IF(checklistPesertaKemenkeu!$AY$6:$AY$1005="Direkomendasikan",ROW($6:$1005)-5),467)),KotaKode,2,0),"-"),"")),"")</f>
        <v/>
      </c>
      <c r="J468" t="str">
        <f t="array" aca="1" ref="J468" ca="1">IFERROR(IF(OR(INDEX(checklistPesertaKemenkeu!$N$6:$N$1005,SMALL(IF(checklistPesertaKemenkeu!$AY$6:$AY$1005="Direkomendasikan",ROW($6:$1005)-5),467))="",INDEX(checklistPesertaKemenkeu!$J$6:$J$1005,SMALL(IF(checklistPesertaKemenkeu!$AY$6:$AY$1005="Direkomendasikan",ROW($6:$1005)-5),467))=""),"",IF(AND(COUNTIF(INDIRECT("K_"&amp;MATCH(INDEX(checklistPesertaKemenkeu!$J$6:$J$1005,SMALL(IF(checklistPesertaKemenkeu!$AY$6:$AY$1005="Direkomendasikan",ROW($6:$1005)-5),467)),BidangList,0)),INDEX(checklistPesertaKemenkeu!$N$6:$N$1005,SMALL(IF(checklistPesertaKemenkeu!$AY$6:$AY$1005="Direkomendasikan",ROW($6:$1005)-5),467)))&gt;0,COUNTIF(INDIRECT("'KERTAS KERJA'!K"&amp;(SMALL(IF(checklistPesertaKemenkeu!$AY$6:$AY$1005="Direkomendasikan",ROW($6:$1005)-5),467)+5)&amp;":O"&amp;(SMALL(IF(checklistPesertaKemenkeu!$AY$6:$AY$1005="Direkomendasikan",ROW($6:$1005)-5),467)+5)),INDEX(checklistPesertaKemenkeu!$N$6:$N$1005,SMALL(IF(checklistPesertaKemenkeu!$AY$6:$AY$1005="Direkomendasikan",ROW($6:$1005)-5),467)))=1),IFERROR(VLOOKUP(INDEX(checklistPesertaKemenkeu!$N$6:$N$1005,SMALL(IF(checklistPesertaKemenkeu!$AY$6:$AY$1005="Direkomendasikan",ROW($6:$1005)-5),467)),KotaKode,2,0),"-"),"")),"")</f>
        <v/>
      </c>
      <c r="K468" t="str">
        <f t="array" aca="1" ref="K468" ca="1">IFERROR(IF(OR(INDEX(checklistPesertaKemenkeu!$O$6:$O$1005,SMALL(IF(checklistPesertaKemenkeu!$AY$6:$AY$1005="Direkomendasikan",ROW($6:$1005)-5),467))="",INDEX(checklistPesertaKemenkeu!$J$6:$J$1005,SMALL(IF(checklistPesertaKemenkeu!$AY$6:$AY$1005="Direkomendasikan",ROW($6:$1005)-5),467))=""),"",IF(AND(COUNTIF(INDIRECT("K_"&amp;MATCH(INDEX(checklistPesertaKemenkeu!$J$6:$J$1005,SMALL(IF(checklistPesertaKemenkeu!$AY$6:$AY$1005="Direkomendasikan",ROW($6:$1005)-5),467)),BidangList,0)),INDEX(checklistPesertaKemenkeu!$O$6:$O$1005,SMALL(IF(checklistPesertaKemenkeu!$AY$6:$AY$1005="Direkomendasikan",ROW($6:$1005)-5),467)))&gt;0,COUNTIF(INDIRECT("'KERTAS KERJA'!K"&amp;(SMALL(IF(checklistPesertaKemenkeu!$AY$6:$AY$1005="Direkomendasikan",ROW($6:$1005)-5),467)+5)&amp;":O"&amp;(SMALL(IF(checklistPesertaKemenkeu!$AY$6:$AY$1005="Direkomendasikan",ROW($6:$1005)-5),467)+5)),INDEX(checklistPesertaKemenkeu!$O$6:$O$1005,SMALL(IF(checklistPesertaKemenkeu!$AY$6:$AY$1005="Direkomendasikan",ROW($6:$1005)-5),467)))=1),IFERROR(VLOOKUP(INDEX(checklistPesertaKemenkeu!$O$6:$O$1005,SMALL(IF(checklistPesertaKemenkeu!$AY$6:$AY$1005="Direkomendasikan",ROW($6:$1005)-5),467)),KotaKode,2,0),"-"),"")),"")</f>
        <v/>
      </c>
      <c r="L468" t="str">
        <f t="array" aca="1" ref="L468" ca="1">IFERROR(IF(OR(INDEX(checklistPesertaKemenkeu!$P$6:$P$1005,SMALL(IF(checklistPesertaKemenkeu!$AY$6:$AY$1005="Direkomendasikan",ROW($6:$1005)-5),467))="",INDEX(checklistPesertaKemenkeu!$J$6:$J$1005,SMALL(IF(checklistPesertaKemenkeu!$AY$6:$AY$1005="Direkomendasikan",ROW($6:$1005)-5),467))=""),"",IF(AND(COUNTIF(INDIRECT("K_"&amp;MATCH(INDEX(checklistPesertaKemenkeu!$J$6:$J$1005,SMALL(IF(checklistPesertaKemenkeu!$AY$6:$AY$1005="Direkomendasikan",ROW($6:$1005)-5),467)),BidangList,0)),INDEX(checklistPesertaKemenkeu!$P$6:$P$1005,SMALL(IF(checklistPesertaKemenkeu!$AY$6:$AY$1005="Direkomendasikan",ROW($6:$1005)-5),467)))&gt;0,COUNTIF(INDIRECT("'KERTAS KERJA'!K"&amp;(SMALL(IF(checklistPesertaKemenkeu!$AY$6:$AY$1005="Direkomendasikan",ROW($6:$1005)-5),467)+5)&amp;":O"&amp;(SMALL(IF(checklistPesertaKemenkeu!$AY$6:$AY$1005="Direkomendasikan",ROW($6:$1005)-5),467)+5)),INDEX(checklistPesertaKemenkeu!$P$6:$P$1005,SMALL(IF(checklistPesertaKemenkeu!$AY$6:$AY$1005="Direkomendasikan",ROW($6:$1005)-5),467)))=1),IFERROR(VLOOKUP(INDEX(checklistPesertaKemenkeu!$P$6:$P$1005,SMALL(IF(checklistPesertaKemenkeu!$AY$6:$AY$1005="Direkomendasikan",ROW($6:$1005)-5),467)),KotaKode,2,0),"-"),"")),"")</f>
        <v/>
      </c>
    </row>
    <row r="469" spans="1:12" ht="15" customHeight="1" x14ac:dyDescent="0.2">
      <c r="A469" t="str">
        <f t="shared" si="7"/>
        <v/>
      </c>
      <c r="B469" t="str">
        <v/>
      </c>
      <c r="C469" s="40" t="str">
        <f t="array" ref="C469">IFERROR(INDEX(checklistPesertaKemenkeu!$F$6:$F$1005,SMALL(IF(checklistPesertaKemenkeu!$AY$6:$AY$1005="Direkomendasikan",ROW($6:$1005)-5),468)),"")</f>
        <v/>
      </c>
      <c r="D469" t="str">
        <f t="array" ref="D469">IFERROR(INDEX(checklistPesertaKemenkeu!$G$6:$G$1005,SMALL(IF(checklistPesertaKemenkeu!$AY$6:$AY$1005="Direkomendasikan",ROW($6:$1005)-5),468)),"")</f>
        <v/>
      </c>
      <c r="E469" t="str">
        <f t="array" ref="E469">IFERROR(INDEX(checklistPesertaKemenkeu!$H$6:$H$1005,SMALL(IF(checklistPesertaKemenkeu!$AY$6:$AY$1005="Direkomendasikan",ROW($6:$1005)-5),468)),"")</f>
        <v/>
      </c>
      <c r="F469" t="str">
        <f t="array" ref="F469">IFERROR(INDEX(checklistPesertaKemenkeu!$I$6:$I$1005,SMALL(IF(checklistPesertaKemenkeu!$AY$6:$AY$1005="Direkomendasikan",ROW($6:$1005)-5),468)),"")</f>
        <v/>
      </c>
      <c r="G469" t="str">
        <f t="array" ref="G469">IFERROR(INDEX(checklistPesertaKemenkeu!$J$6:$J$1005,SMALL(IF(checklistPesertaKemenkeu!$AY$6:$AY$1005="Direkomendasikan",ROW($6:$1005)-5),468)),"")</f>
        <v/>
      </c>
      <c r="H469" t="str">
        <f t="array" aca="1" ref="H469" ca="1">IFERROR(IF(OR(INDEX(checklistPesertaKemenkeu!$L$6:$L$1005,SMALL(IF(checklistPesertaKemenkeu!$AY$6:$AY$1005="Direkomendasikan",ROW($6:$1005)-5),468))="",INDEX(checklistPesertaKemenkeu!$J$6:$J$1005,SMALL(IF(checklistPesertaKemenkeu!$AY$6:$AY$1005="Direkomendasikan",ROW($6:$1005)-5),468))=""),"",IF(AND(COUNTIF(INDIRECT("K_"&amp;MATCH(INDEX(checklistPesertaKemenkeu!$J$6:$J$1005,SMALL(IF(checklistPesertaKemenkeu!$AY$6:$AY$1005="Direkomendasikan",ROW($6:$1005)-5),468)),BidangList,0)),INDEX(checklistPesertaKemenkeu!$L$6:$L$1005,SMALL(IF(checklistPesertaKemenkeu!$AY$6:$AY$1005="Direkomendasikan",ROW($6:$1005)-5),468)))&gt;0,COUNTIF(INDIRECT("'KERTAS KERJA'!K"&amp;(SMALL(IF(checklistPesertaKemenkeu!$AY$6:$AY$1005="Direkomendasikan",ROW($6:$1005)-5),468)+5)&amp;":O"&amp;(SMALL(IF(checklistPesertaKemenkeu!$AY$6:$AY$1005="Direkomendasikan",ROW($6:$1005)-5),468)+5)),INDEX(checklistPesertaKemenkeu!$L$6:$L$1005,SMALL(IF(checklistPesertaKemenkeu!$AY$6:$AY$1005="Direkomendasikan",ROW($6:$1005)-5),468)))=1),IFERROR(VLOOKUP(INDEX(checklistPesertaKemenkeu!$L$6:$L$1005,SMALL(IF(checklistPesertaKemenkeu!$AY$6:$AY$1005="Direkomendasikan",ROW($6:$1005)-5),468)),KotaKode,2,0),"-"),"")),"")</f>
        <v/>
      </c>
      <c r="I469" t="str">
        <f t="array" aca="1" ref="I469" ca="1">IFERROR(IF(OR(INDEX(checklistPesertaKemenkeu!$M$6:$M$1005,SMALL(IF(checklistPesertaKemenkeu!$AY$6:$AY$1005="Direkomendasikan",ROW($6:$1005)-5),468))="",INDEX(checklistPesertaKemenkeu!$J$6:$J$1005,SMALL(IF(checklistPesertaKemenkeu!$AY$6:$AY$1005="Direkomendasikan",ROW($6:$1005)-5),468))=""),"",IF(AND(COUNTIF(INDIRECT("K_"&amp;MATCH(INDEX(checklistPesertaKemenkeu!$J$6:$J$1005,SMALL(IF(checklistPesertaKemenkeu!$AY$6:$AY$1005="Direkomendasikan",ROW($6:$1005)-5),468)),BidangList,0)),INDEX(checklistPesertaKemenkeu!$M$6:$M$1005,SMALL(IF(checklistPesertaKemenkeu!$AY$6:$AY$1005="Direkomendasikan",ROW($6:$1005)-5),468)))&gt;0,COUNTIF(INDIRECT("'KERTAS KERJA'!K"&amp;(SMALL(IF(checklistPesertaKemenkeu!$AY$6:$AY$1005="Direkomendasikan",ROW($6:$1005)-5),468)+5)&amp;":O"&amp;(SMALL(IF(checklistPesertaKemenkeu!$AY$6:$AY$1005="Direkomendasikan",ROW($6:$1005)-5),468)+5)),INDEX(checklistPesertaKemenkeu!$M$6:$M$1005,SMALL(IF(checklistPesertaKemenkeu!$AY$6:$AY$1005="Direkomendasikan",ROW($6:$1005)-5),468)))=1),IFERROR(VLOOKUP(INDEX(checklistPesertaKemenkeu!$M$6:$M$1005,SMALL(IF(checklistPesertaKemenkeu!$AY$6:$AY$1005="Direkomendasikan",ROW($6:$1005)-5),468)),KotaKode,2,0),"-"),"")),"")</f>
        <v/>
      </c>
      <c r="J469" t="str">
        <f t="array" aca="1" ref="J469" ca="1">IFERROR(IF(OR(INDEX(checklistPesertaKemenkeu!$N$6:$N$1005,SMALL(IF(checklistPesertaKemenkeu!$AY$6:$AY$1005="Direkomendasikan",ROW($6:$1005)-5),468))="",INDEX(checklistPesertaKemenkeu!$J$6:$J$1005,SMALL(IF(checklistPesertaKemenkeu!$AY$6:$AY$1005="Direkomendasikan",ROW($6:$1005)-5),468))=""),"",IF(AND(COUNTIF(INDIRECT("K_"&amp;MATCH(INDEX(checklistPesertaKemenkeu!$J$6:$J$1005,SMALL(IF(checklistPesertaKemenkeu!$AY$6:$AY$1005="Direkomendasikan",ROW($6:$1005)-5),468)),BidangList,0)),INDEX(checklistPesertaKemenkeu!$N$6:$N$1005,SMALL(IF(checklistPesertaKemenkeu!$AY$6:$AY$1005="Direkomendasikan",ROW($6:$1005)-5),468)))&gt;0,COUNTIF(INDIRECT("'KERTAS KERJA'!K"&amp;(SMALL(IF(checklistPesertaKemenkeu!$AY$6:$AY$1005="Direkomendasikan",ROW($6:$1005)-5),468)+5)&amp;":O"&amp;(SMALL(IF(checklistPesertaKemenkeu!$AY$6:$AY$1005="Direkomendasikan",ROW($6:$1005)-5),468)+5)),INDEX(checklistPesertaKemenkeu!$N$6:$N$1005,SMALL(IF(checklistPesertaKemenkeu!$AY$6:$AY$1005="Direkomendasikan",ROW($6:$1005)-5),468)))=1),IFERROR(VLOOKUP(INDEX(checklistPesertaKemenkeu!$N$6:$N$1005,SMALL(IF(checklistPesertaKemenkeu!$AY$6:$AY$1005="Direkomendasikan",ROW($6:$1005)-5),468)),KotaKode,2,0),"-"),"")),"")</f>
        <v/>
      </c>
      <c r="K469" t="str">
        <f t="array" aca="1" ref="K469" ca="1">IFERROR(IF(OR(INDEX(checklistPesertaKemenkeu!$O$6:$O$1005,SMALL(IF(checklistPesertaKemenkeu!$AY$6:$AY$1005="Direkomendasikan",ROW($6:$1005)-5),468))="",INDEX(checklistPesertaKemenkeu!$J$6:$J$1005,SMALL(IF(checklistPesertaKemenkeu!$AY$6:$AY$1005="Direkomendasikan",ROW($6:$1005)-5),468))=""),"",IF(AND(COUNTIF(INDIRECT("K_"&amp;MATCH(INDEX(checklistPesertaKemenkeu!$J$6:$J$1005,SMALL(IF(checklistPesertaKemenkeu!$AY$6:$AY$1005="Direkomendasikan",ROW($6:$1005)-5),468)),BidangList,0)),INDEX(checklistPesertaKemenkeu!$O$6:$O$1005,SMALL(IF(checklistPesertaKemenkeu!$AY$6:$AY$1005="Direkomendasikan",ROW($6:$1005)-5),468)))&gt;0,COUNTIF(INDIRECT("'KERTAS KERJA'!K"&amp;(SMALL(IF(checklistPesertaKemenkeu!$AY$6:$AY$1005="Direkomendasikan",ROW($6:$1005)-5),468)+5)&amp;":O"&amp;(SMALL(IF(checklistPesertaKemenkeu!$AY$6:$AY$1005="Direkomendasikan",ROW($6:$1005)-5),468)+5)),INDEX(checklistPesertaKemenkeu!$O$6:$O$1005,SMALL(IF(checklistPesertaKemenkeu!$AY$6:$AY$1005="Direkomendasikan",ROW($6:$1005)-5),468)))=1),IFERROR(VLOOKUP(INDEX(checklistPesertaKemenkeu!$O$6:$O$1005,SMALL(IF(checklistPesertaKemenkeu!$AY$6:$AY$1005="Direkomendasikan",ROW($6:$1005)-5),468)),KotaKode,2,0),"-"),"")),"")</f>
        <v/>
      </c>
      <c r="L469" t="str">
        <f t="array" aca="1" ref="L469" ca="1">IFERROR(IF(OR(INDEX(checklistPesertaKemenkeu!$P$6:$P$1005,SMALL(IF(checklistPesertaKemenkeu!$AY$6:$AY$1005="Direkomendasikan",ROW($6:$1005)-5),468))="",INDEX(checklistPesertaKemenkeu!$J$6:$J$1005,SMALL(IF(checklistPesertaKemenkeu!$AY$6:$AY$1005="Direkomendasikan",ROW($6:$1005)-5),468))=""),"",IF(AND(COUNTIF(INDIRECT("K_"&amp;MATCH(INDEX(checklistPesertaKemenkeu!$J$6:$J$1005,SMALL(IF(checklistPesertaKemenkeu!$AY$6:$AY$1005="Direkomendasikan",ROW($6:$1005)-5),468)),BidangList,0)),INDEX(checklistPesertaKemenkeu!$P$6:$P$1005,SMALL(IF(checklistPesertaKemenkeu!$AY$6:$AY$1005="Direkomendasikan",ROW($6:$1005)-5),468)))&gt;0,COUNTIF(INDIRECT("'KERTAS KERJA'!K"&amp;(SMALL(IF(checklistPesertaKemenkeu!$AY$6:$AY$1005="Direkomendasikan",ROW($6:$1005)-5),468)+5)&amp;":O"&amp;(SMALL(IF(checklistPesertaKemenkeu!$AY$6:$AY$1005="Direkomendasikan",ROW($6:$1005)-5),468)+5)),INDEX(checklistPesertaKemenkeu!$P$6:$P$1005,SMALL(IF(checklistPesertaKemenkeu!$AY$6:$AY$1005="Direkomendasikan",ROW($6:$1005)-5),468)))=1),IFERROR(VLOOKUP(INDEX(checklistPesertaKemenkeu!$P$6:$P$1005,SMALL(IF(checklistPesertaKemenkeu!$AY$6:$AY$1005="Direkomendasikan",ROW($6:$1005)-5),468)),KotaKode,2,0),"-"),"")),"")</f>
        <v/>
      </c>
    </row>
    <row r="470" spans="1:12" ht="15" customHeight="1" x14ac:dyDescent="0.2">
      <c r="A470" t="str">
        <f t="shared" si="7"/>
        <v/>
      </c>
      <c r="B470" t="str">
        <v/>
      </c>
      <c r="C470" s="40" t="str">
        <f t="array" ref="C470">IFERROR(INDEX(checklistPesertaKemenkeu!$F$6:$F$1005,SMALL(IF(checklistPesertaKemenkeu!$AY$6:$AY$1005="Direkomendasikan",ROW($6:$1005)-5),469)),"")</f>
        <v/>
      </c>
      <c r="D470" t="str">
        <f t="array" ref="D470">IFERROR(INDEX(checklistPesertaKemenkeu!$G$6:$G$1005,SMALL(IF(checklistPesertaKemenkeu!$AY$6:$AY$1005="Direkomendasikan",ROW($6:$1005)-5),469)),"")</f>
        <v/>
      </c>
      <c r="E470" t="str">
        <f t="array" ref="E470">IFERROR(INDEX(checklistPesertaKemenkeu!$H$6:$H$1005,SMALL(IF(checklistPesertaKemenkeu!$AY$6:$AY$1005="Direkomendasikan",ROW($6:$1005)-5),469)),"")</f>
        <v/>
      </c>
      <c r="F470" t="str">
        <f t="array" ref="F470">IFERROR(INDEX(checklistPesertaKemenkeu!$I$6:$I$1005,SMALL(IF(checklistPesertaKemenkeu!$AY$6:$AY$1005="Direkomendasikan",ROW($6:$1005)-5),469)),"")</f>
        <v/>
      </c>
      <c r="G470" t="str">
        <f t="array" ref="G470">IFERROR(INDEX(checklistPesertaKemenkeu!$J$6:$J$1005,SMALL(IF(checklistPesertaKemenkeu!$AY$6:$AY$1005="Direkomendasikan",ROW($6:$1005)-5),469)),"")</f>
        <v/>
      </c>
      <c r="H470" t="str">
        <f t="array" aca="1" ref="H470" ca="1">IFERROR(IF(OR(INDEX(checklistPesertaKemenkeu!$L$6:$L$1005,SMALL(IF(checklistPesertaKemenkeu!$AY$6:$AY$1005="Direkomendasikan",ROW($6:$1005)-5),469))="",INDEX(checklistPesertaKemenkeu!$J$6:$J$1005,SMALL(IF(checklistPesertaKemenkeu!$AY$6:$AY$1005="Direkomendasikan",ROW($6:$1005)-5),469))=""),"",IF(AND(COUNTIF(INDIRECT("K_"&amp;MATCH(INDEX(checklistPesertaKemenkeu!$J$6:$J$1005,SMALL(IF(checklistPesertaKemenkeu!$AY$6:$AY$1005="Direkomendasikan",ROW($6:$1005)-5),469)),BidangList,0)),INDEX(checklistPesertaKemenkeu!$L$6:$L$1005,SMALL(IF(checklistPesertaKemenkeu!$AY$6:$AY$1005="Direkomendasikan",ROW($6:$1005)-5),469)))&gt;0,COUNTIF(INDIRECT("'KERTAS KERJA'!K"&amp;(SMALL(IF(checklistPesertaKemenkeu!$AY$6:$AY$1005="Direkomendasikan",ROW($6:$1005)-5),469)+5)&amp;":O"&amp;(SMALL(IF(checklistPesertaKemenkeu!$AY$6:$AY$1005="Direkomendasikan",ROW($6:$1005)-5),469)+5)),INDEX(checklistPesertaKemenkeu!$L$6:$L$1005,SMALL(IF(checklistPesertaKemenkeu!$AY$6:$AY$1005="Direkomendasikan",ROW($6:$1005)-5),469)))=1),IFERROR(VLOOKUP(INDEX(checklistPesertaKemenkeu!$L$6:$L$1005,SMALL(IF(checklistPesertaKemenkeu!$AY$6:$AY$1005="Direkomendasikan",ROW($6:$1005)-5),469)),KotaKode,2,0),"-"),"")),"")</f>
        <v/>
      </c>
      <c r="I470" t="str">
        <f t="array" aca="1" ref="I470" ca="1">IFERROR(IF(OR(INDEX(checklistPesertaKemenkeu!$M$6:$M$1005,SMALL(IF(checklistPesertaKemenkeu!$AY$6:$AY$1005="Direkomendasikan",ROW($6:$1005)-5),469))="",INDEX(checklistPesertaKemenkeu!$J$6:$J$1005,SMALL(IF(checklistPesertaKemenkeu!$AY$6:$AY$1005="Direkomendasikan",ROW($6:$1005)-5),469))=""),"",IF(AND(COUNTIF(INDIRECT("K_"&amp;MATCH(INDEX(checklistPesertaKemenkeu!$J$6:$J$1005,SMALL(IF(checklistPesertaKemenkeu!$AY$6:$AY$1005="Direkomendasikan",ROW($6:$1005)-5),469)),BidangList,0)),INDEX(checklistPesertaKemenkeu!$M$6:$M$1005,SMALL(IF(checklistPesertaKemenkeu!$AY$6:$AY$1005="Direkomendasikan",ROW($6:$1005)-5),469)))&gt;0,COUNTIF(INDIRECT("'KERTAS KERJA'!K"&amp;(SMALL(IF(checklistPesertaKemenkeu!$AY$6:$AY$1005="Direkomendasikan",ROW($6:$1005)-5),469)+5)&amp;":O"&amp;(SMALL(IF(checklistPesertaKemenkeu!$AY$6:$AY$1005="Direkomendasikan",ROW($6:$1005)-5),469)+5)),INDEX(checklistPesertaKemenkeu!$M$6:$M$1005,SMALL(IF(checklistPesertaKemenkeu!$AY$6:$AY$1005="Direkomendasikan",ROW($6:$1005)-5),469)))=1),IFERROR(VLOOKUP(INDEX(checklistPesertaKemenkeu!$M$6:$M$1005,SMALL(IF(checklistPesertaKemenkeu!$AY$6:$AY$1005="Direkomendasikan",ROW($6:$1005)-5),469)),KotaKode,2,0),"-"),"")),"")</f>
        <v/>
      </c>
      <c r="J470" t="str">
        <f t="array" aca="1" ref="J470" ca="1">IFERROR(IF(OR(INDEX(checklistPesertaKemenkeu!$N$6:$N$1005,SMALL(IF(checklistPesertaKemenkeu!$AY$6:$AY$1005="Direkomendasikan",ROW($6:$1005)-5),469))="",INDEX(checklistPesertaKemenkeu!$J$6:$J$1005,SMALL(IF(checklistPesertaKemenkeu!$AY$6:$AY$1005="Direkomendasikan",ROW($6:$1005)-5),469))=""),"",IF(AND(COUNTIF(INDIRECT("K_"&amp;MATCH(INDEX(checklistPesertaKemenkeu!$J$6:$J$1005,SMALL(IF(checklistPesertaKemenkeu!$AY$6:$AY$1005="Direkomendasikan",ROW($6:$1005)-5),469)),BidangList,0)),INDEX(checklistPesertaKemenkeu!$N$6:$N$1005,SMALL(IF(checklistPesertaKemenkeu!$AY$6:$AY$1005="Direkomendasikan",ROW($6:$1005)-5),469)))&gt;0,COUNTIF(INDIRECT("'KERTAS KERJA'!K"&amp;(SMALL(IF(checklistPesertaKemenkeu!$AY$6:$AY$1005="Direkomendasikan",ROW($6:$1005)-5),469)+5)&amp;":O"&amp;(SMALL(IF(checklistPesertaKemenkeu!$AY$6:$AY$1005="Direkomendasikan",ROW($6:$1005)-5),469)+5)),INDEX(checklistPesertaKemenkeu!$N$6:$N$1005,SMALL(IF(checklistPesertaKemenkeu!$AY$6:$AY$1005="Direkomendasikan",ROW($6:$1005)-5),469)))=1),IFERROR(VLOOKUP(INDEX(checklistPesertaKemenkeu!$N$6:$N$1005,SMALL(IF(checklistPesertaKemenkeu!$AY$6:$AY$1005="Direkomendasikan",ROW($6:$1005)-5),469)),KotaKode,2,0),"-"),"")),"")</f>
        <v/>
      </c>
      <c r="K470" t="str">
        <f t="array" aca="1" ref="K470" ca="1">IFERROR(IF(OR(INDEX(checklistPesertaKemenkeu!$O$6:$O$1005,SMALL(IF(checklistPesertaKemenkeu!$AY$6:$AY$1005="Direkomendasikan",ROW($6:$1005)-5),469))="",INDEX(checklistPesertaKemenkeu!$J$6:$J$1005,SMALL(IF(checklistPesertaKemenkeu!$AY$6:$AY$1005="Direkomendasikan",ROW($6:$1005)-5),469))=""),"",IF(AND(COUNTIF(INDIRECT("K_"&amp;MATCH(INDEX(checklistPesertaKemenkeu!$J$6:$J$1005,SMALL(IF(checklistPesertaKemenkeu!$AY$6:$AY$1005="Direkomendasikan",ROW($6:$1005)-5),469)),BidangList,0)),INDEX(checklistPesertaKemenkeu!$O$6:$O$1005,SMALL(IF(checklistPesertaKemenkeu!$AY$6:$AY$1005="Direkomendasikan",ROW($6:$1005)-5),469)))&gt;0,COUNTIF(INDIRECT("'KERTAS KERJA'!K"&amp;(SMALL(IF(checklistPesertaKemenkeu!$AY$6:$AY$1005="Direkomendasikan",ROW($6:$1005)-5),469)+5)&amp;":O"&amp;(SMALL(IF(checklistPesertaKemenkeu!$AY$6:$AY$1005="Direkomendasikan",ROW($6:$1005)-5),469)+5)),INDEX(checklistPesertaKemenkeu!$O$6:$O$1005,SMALL(IF(checklistPesertaKemenkeu!$AY$6:$AY$1005="Direkomendasikan",ROW($6:$1005)-5),469)))=1),IFERROR(VLOOKUP(INDEX(checklistPesertaKemenkeu!$O$6:$O$1005,SMALL(IF(checklistPesertaKemenkeu!$AY$6:$AY$1005="Direkomendasikan",ROW($6:$1005)-5),469)),KotaKode,2,0),"-"),"")),"")</f>
        <v/>
      </c>
      <c r="L470" t="str">
        <f t="array" aca="1" ref="L470" ca="1">IFERROR(IF(OR(INDEX(checklistPesertaKemenkeu!$P$6:$P$1005,SMALL(IF(checklistPesertaKemenkeu!$AY$6:$AY$1005="Direkomendasikan",ROW($6:$1005)-5),469))="",INDEX(checklistPesertaKemenkeu!$J$6:$J$1005,SMALL(IF(checklistPesertaKemenkeu!$AY$6:$AY$1005="Direkomendasikan",ROW($6:$1005)-5),469))=""),"",IF(AND(COUNTIF(INDIRECT("K_"&amp;MATCH(INDEX(checklistPesertaKemenkeu!$J$6:$J$1005,SMALL(IF(checklistPesertaKemenkeu!$AY$6:$AY$1005="Direkomendasikan",ROW($6:$1005)-5),469)),BidangList,0)),INDEX(checklistPesertaKemenkeu!$P$6:$P$1005,SMALL(IF(checklistPesertaKemenkeu!$AY$6:$AY$1005="Direkomendasikan",ROW($6:$1005)-5),469)))&gt;0,COUNTIF(INDIRECT("'KERTAS KERJA'!K"&amp;(SMALL(IF(checklistPesertaKemenkeu!$AY$6:$AY$1005="Direkomendasikan",ROW($6:$1005)-5),469)+5)&amp;":O"&amp;(SMALL(IF(checklistPesertaKemenkeu!$AY$6:$AY$1005="Direkomendasikan",ROW($6:$1005)-5),469)+5)),INDEX(checklistPesertaKemenkeu!$P$6:$P$1005,SMALL(IF(checklistPesertaKemenkeu!$AY$6:$AY$1005="Direkomendasikan",ROW($6:$1005)-5),469)))=1),IFERROR(VLOOKUP(INDEX(checklistPesertaKemenkeu!$P$6:$P$1005,SMALL(IF(checklistPesertaKemenkeu!$AY$6:$AY$1005="Direkomendasikan",ROW($6:$1005)-5),469)),KotaKode,2,0),"-"),"")),"")</f>
        <v/>
      </c>
    </row>
    <row r="471" spans="1:12" ht="15" customHeight="1" x14ac:dyDescent="0.2">
      <c r="A471" t="str">
        <f t="shared" si="7"/>
        <v/>
      </c>
      <c r="B471" t="str">
        <v/>
      </c>
      <c r="C471" s="40" t="str">
        <f t="array" ref="C471">IFERROR(INDEX(checklistPesertaKemenkeu!$F$6:$F$1005,SMALL(IF(checklistPesertaKemenkeu!$AY$6:$AY$1005="Direkomendasikan",ROW($6:$1005)-5),470)),"")</f>
        <v/>
      </c>
      <c r="D471" t="str">
        <f t="array" ref="D471">IFERROR(INDEX(checklistPesertaKemenkeu!$G$6:$G$1005,SMALL(IF(checklistPesertaKemenkeu!$AY$6:$AY$1005="Direkomendasikan",ROW($6:$1005)-5),470)),"")</f>
        <v/>
      </c>
      <c r="E471" t="str">
        <f t="array" ref="E471">IFERROR(INDEX(checklistPesertaKemenkeu!$H$6:$H$1005,SMALL(IF(checklistPesertaKemenkeu!$AY$6:$AY$1005="Direkomendasikan",ROW($6:$1005)-5),470)),"")</f>
        <v/>
      </c>
      <c r="F471" t="str">
        <f t="array" ref="F471">IFERROR(INDEX(checklistPesertaKemenkeu!$I$6:$I$1005,SMALL(IF(checklistPesertaKemenkeu!$AY$6:$AY$1005="Direkomendasikan",ROW($6:$1005)-5),470)),"")</f>
        <v/>
      </c>
      <c r="G471" t="str">
        <f t="array" ref="G471">IFERROR(INDEX(checklistPesertaKemenkeu!$J$6:$J$1005,SMALL(IF(checklistPesertaKemenkeu!$AY$6:$AY$1005="Direkomendasikan",ROW($6:$1005)-5),470)),"")</f>
        <v/>
      </c>
      <c r="H471" t="str">
        <f t="array" aca="1" ref="H471" ca="1">IFERROR(IF(OR(INDEX(checklistPesertaKemenkeu!$L$6:$L$1005,SMALL(IF(checklistPesertaKemenkeu!$AY$6:$AY$1005="Direkomendasikan",ROW($6:$1005)-5),470))="",INDEX(checklistPesertaKemenkeu!$J$6:$J$1005,SMALL(IF(checklistPesertaKemenkeu!$AY$6:$AY$1005="Direkomendasikan",ROW($6:$1005)-5),470))=""),"",IF(AND(COUNTIF(INDIRECT("K_"&amp;MATCH(INDEX(checklistPesertaKemenkeu!$J$6:$J$1005,SMALL(IF(checklistPesertaKemenkeu!$AY$6:$AY$1005="Direkomendasikan",ROW($6:$1005)-5),470)),BidangList,0)),INDEX(checklistPesertaKemenkeu!$L$6:$L$1005,SMALL(IF(checklistPesertaKemenkeu!$AY$6:$AY$1005="Direkomendasikan",ROW($6:$1005)-5),470)))&gt;0,COUNTIF(INDIRECT("'KERTAS KERJA'!K"&amp;(SMALL(IF(checklistPesertaKemenkeu!$AY$6:$AY$1005="Direkomendasikan",ROW($6:$1005)-5),470)+5)&amp;":O"&amp;(SMALL(IF(checklistPesertaKemenkeu!$AY$6:$AY$1005="Direkomendasikan",ROW($6:$1005)-5),470)+5)),INDEX(checklistPesertaKemenkeu!$L$6:$L$1005,SMALL(IF(checklistPesertaKemenkeu!$AY$6:$AY$1005="Direkomendasikan",ROW($6:$1005)-5),470)))=1),IFERROR(VLOOKUP(INDEX(checklistPesertaKemenkeu!$L$6:$L$1005,SMALL(IF(checklistPesertaKemenkeu!$AY$6:$AY$1005="Direkomendasikan",ROW($6:$1005)-5),470)),KotaKode,2,0),"-"),"")),"")</f>
        <v/>
      </c>
      <c r="I471" t="str">
        <f t="array" aca="1" ref="I471" ca="1">IFERROR(IF(OR(INDEX(checklistPesertaKemenkeu!$M$6:$M$1005,SMALL(IF(checklistPesertaKemenkeu!$AY$6:$AY$1005="Direkomendasikan",ROW($6:$1005)-5),470))="",INDEX(checklistPesertaKemenkeu!$J$6:$J$1005,SMALL(IF(checklistPesertaKemenkeu!$AY$6:$AY$1005="Direkomendasikan",ROW($6:$1005)-5),470))=""),"",IF(AND(COUNTIF(INDIRECT("K_"&amp;MATCH(INDEX(checklistPesertaKemenkeu!$J$6:$J$1005,SMALL(IF(checklistPesertaKemenkeu!$AY$6:$AY$1005="Direkomendasikan",ROW($6:$1005)-5),470)),BidangList,0)),INDEX(checklistPesertaKemenkeu!$M$6:$M$1005,SMALL(IF(checklistPesertaKemenkeu!$AY$6:$AY$1005="Direkomendasikan",ROW($6:$1005)-5),470)))&gt;0,COUNTIF(INDIRECT("'KERTAS KERJA'!K"&amp;(SMALL(IF(checklistPesertaKemenkeu!$AY$6:$AY$1005="Direkomendasikan",ROW($6:$1005)-5),470)+5)&amp;":O"&amp;(SMALL(IF(checklistPesertaKemenkeu!$AY$6:$AY$1005="Direkomendasikan",ROW($6:$1005)-5),470)+5)),INDEX(checklistPesertaKemenkeu!$M$6:$M$1005,SMALL(IF(checklistPesertaKemenkeu!$AY$6:$AY$1005="Direkomendasikan",ROW($6:$1005)-5),470)))=1),IFERROR(VLOOKUP(INDEX(checklistPesertaKemenkeu!$M$6:$M$1005,SMALL(IF(checklistPesertaKemenkeu!$AY$6:$AY$1005="Direkomendasikan",ROW($6:$1005)-5),470)),KotaKode,2,0),"-"),"")),"")</f>
        <v/>
      </c>
      <c r="J471" t="str">
        <f t="array" aca="1" ref="J471" ca="1">IFERROR(IF(OR(INDEX(checklistPesertaKemenkeu!$N$6:$N$1005,SMALL(IF(checklistPesertaKemenkeu!$AY$6:$AY$1005="Direkomendasikan",ROW($6:$1005)-5),470))="",INDEX(checklistPesertaKemenkeu!$J$6:$J$1005,SMALL(IF(checklistPesertaKemenkeu!$AY$6:$AY$1005="Direkomendasikan",ROW($6:$1005)-5),470))=""),"",IF(AND(COUNTIF(INDIRECT("K_"&amp;MATCH(INDEX(checklistPesertaKemenkeu!$J$6:$J$1005,SMALL(IF(checklistPesertaKemenkeu!$AY$6:$AY$1005="Direkomendasikan",ROW($6:$1005)-5),470)),BidangList,0)),INDEX(checklistPesertaKemenkeu!$N$6:$N$1005,SMALL(IF(checklistPesertaKemenkeu!$AY$6:$AY$1005="Direkomendasikan",ROW($6:$1005)-5),470)))&gt;0,COUNTIF(INDIRECT("'KERTAS KERJA'!K"&amp;(SMALL(IF(checklistPesertaKemenkeu!$AY$6:$AY$1005="Direkomendasikan",ROW($6:$1005)-5),470)+5)&amp;":O"&amp;(SMALL(IF(checklistPesertaKemenkeu!$AY$6:$AY$1005="Direkomendasikan",ROW($6:$1005)-5),470)+5)),INDEX(checklistPesertaKemenkeu!$N$6:$N$1005,SMALL(IF(checklistPesertaKemenkeu!$AY$6:$AY$1005="Direkomendasikan",ROW($6:$1005)-5),470)))=1),IFERROR(VLOOKUP(INDEX(checklistPesertaKemenkeu!$N$6:$N$1005,SMALL(IF(checklistPesertaKemenkeu!$AY$6:$AY$1005="Direkomendasikan",ROW($6:$1005)-5),470)),KotaKode,2,0),"-"),"")),"")</f>
        <v/>
      </c>
      <c r="K471" t="str">
        <f t="array" aca="1" ref="K471" ca="1">IFERROR(IF(OR(INDEX(checklistPesertaKemenkeu!$O$6:$O$1005,SMALL(IF(checklistPesertaKemenkeu!$AY$6:$AY$1005="Direkomendasikan",ROW($6:$1005)-5),470))="",INDEX(checklistPesertaKemenkeu!$J$6:$J$1005,SMALL(IF(checklistPesertaKemenkeu!$AY$6:$AY$1005="Direkomendasikan",ROW($6:$1005)-5),470))=""),"",IF(AND(COUNTIF(INDIRECT("K_"&amp;MATCH(INDEX(checklistPesertaKemenkeu!$J$6:$J$1005,SMALL(IF(checklistPesertaKemenkeu!$AY$6:$AY$1005="Direkomendasikan",ROW($6:$1005)-5),470)),BidangList,0)),INDEX(checklistPesertaKemenkeu!$O$6:$O$1005,SMALL(IF(checklistPesertaKemenkeu!$AY$6:$AY$1005="Direkomendasikan",ROW($6:$1005)-5),470)))&gt;0,COUNTIF(INDIRECT("'KERTAS KERJA'!K"&amp;(SMALL(IF(checklistPesertaKemenkeu!$AY$6:$AY$1005="Direkomendasikan",ROW($6:$1005)-5),470)+5)&amp;":O"&amp;(SMALL(IF(checklistPesertaKemenkeu!$AY$6:$AY$1005="Direkomendasikan",ROW($6:$1005)-5),470)+5)),INDEX(checklistPesertaKemenkeu!$O$6:$O$1005,SMALL(IF(checklistPesertaKemenkeu!$AY$6:$AY$1005="Direkomendasikan",ROW($6:$1005)-5),470)))=1),IFERROR(VLOOKUP(INDEX(checklistPesertaKemenkeu!$O$6:$O$1005,SMALL(IF(checklistPesertaKemenkeu!$AY$6:$AY$1005="Direkomendasikan",ROW($6:$1005)-5),470)),KotaKode,2,0),"-"),"")),"")</f>
        <v/>
      </c>
      <c r="L471" t="str">
        <f t="array" aca="1" ref="L471" ca="1">IFERROR(IF(OR(INDEX(checklistPesertaKemenkeu!$P$6:$P$1005,SMALL(IF(checklistPesertaKemenkeu!$AY$6:$AY$1005="Direkomendasikan",ROW($6:$1005)-5),470))="",INDEX(checklistPesertaKemenkeu!$J$6:$J$1005,SMALL(IF(checklistPesertaKemenkeu!$AY$6:$AY$1005="Direkomendasikan",ROW($6:$1005)-5),470))=""),"",IF(AND(COUNTIF(INDIRECT("K_"&amp;MATCH(INDEX(checklistPesertaKemenkeu!$J$6:$J$1005,SMALL(IF(checklistPesertaKemenkeu!$AY$6:$AY$1005="Direkomendasikan",ROW($6:$1005)-5),470)),BidangList,0)),INDEX(checklistPesertaKemenkeu!$P$6:$P$1005,SMALL(IF(checklistPesertaKemenkeu!$AY$6:$AY$1005="Direkomendasikan",ROW($6:$1005)-5),470)))&gt;0,COUNTIF(INDIRECT("'KERTAS KERJA'!K"&amp;(SMALL(IF(checklistPesertaKemenkeu!$AY$6:$AY$1005="Direkomendasikan",ROW($6:$1005)-5),470)+5)&amp;":O"&amp;(SMALL(IF(checklistPesertaKemenkeu!$AY$6:$AY$1005="Direkomendasikan",ROW($6:$1005)-5),470)+5)),INDEX(checklistPesertaKemenkeu!$P$6:$P$1005,SMALL(IF(checklistPesertaKemenkeu!$AY$6:$AY$1005="Direkomendasikan",ROW($6:$1005)-5),470)))=1),IFERROR(VLOOKUP(INDEX(checklistPesertaKemenkeu!$P$6:$P$1005,SMALL(IF(checklistPesertaKemenkeu!$AY$6:$AY$1005="Direkomendasikan",ROW($6:$1005)-5),470)),KotaKode,2,0),"-"),"")),"")</f>
        <v/>
      </c>
    </row>
    <row r="472" spans="1:12" ht="15" customHeight="1" x14ac:dyDescent="0.2">
      <c r="A472" t="str">
        <f t="shared" si="7"/>
        <v/>
      </c>
      <c r="B472" t="str">
        <v/>
      </c>
      <c r="C472" s="40" t="str">
        <f t="array" ref="C472">IFERROR(INDEX(checklistPesertaKemenkeu!$F$6:$F$1005,SMALL(IF(checklistPesertaKemenkeu!$AY$6:$AY$1005="Direkomendasikan",ROW($6:$1005)-5),471)),"")</f>
        <v/>
      </c>
      <c r="D472" t="str">
        <f t="array" ref="D472">IFERROR(INDEX(checklistPesertaKemenkeu!$G$6:$G$1005,SMALL(IF(checklistPesertaKemenkeu!$AY$6:$AY$1005="Direkomendasikan",ROW($6:$1005)-5),471)),"")</f>
        <v/>
      </c>
      <c r="E472" t="str">
        <f t="array" ref="E472">IFERROR(INDEX(checklistPesertaKemenkeu!$H$6:$H$1005,SMALL(IF(checklistPesertaKemenkeu!$AY$6:$AY$1005="Direkomendasikan",ROW($6:$1005)-5),471)),"")</f>
        <v/>
      </c>
      <c r="F472" t="str">
        <f t="array" ref="F472">IFERROR(INDEX(checklistPesertaKemenkeu!$I$6:$I$1005,SMALL(IF(checklistPesertaKemenkeu!$AY$6:$AY$1005="Direkomendasikan",ROW($6:$1005)-5),471)),"")</f>
        <v/>
      </c>
      <c r="G472" t="str">
        <f t="array" ref="G472">IFERROR(INDEX(checklistPesertaKemenkeu!$J$6:$J$1005,SMALL(IF(checklistPesertaKemenkeu!$AY$6:$AY$1005="Direkomendasikan",ROW($6:$1005)-5),471)),"")</f>
        <v/>
      </c>
      <c r="H472" t="str">
        <f t="array" aca="1" ref="H472" ca="1">IFERROR(IF(OR(INDEX(checklistPesertaKemenkeu!$L$6:$L$1005,SMALL(IF(checklistPesertaKemenkeu!$AY$6:$AY$1005="Direkomendasikan",ROW($6:$1005)-5),471))="",INDEX(checklistPesertaKemenkeu!$J$6:$J$1005,SMALL(IF(checklistPesertaKemenkeu!$AY$6:$AY$1005="Direkomendasikan",ROW($6:$1005)-5),471))=""),"",IF(AND(COUNTIF(INDIRECT("K_"&amp;MATCH(INDEX(checklistPesertaKemenkeu!$J$6:$J$1005,SMALL(IF(checklistPesertaKemenkeu!$AY$6:$AY$1005="Direkomendasikan",ROW($6:$1005)-5),471)),BidangList,0)),INDEX(checklistPesertaKemenkeu!$L$6:$L$1005,SMALL(IF(checklistPesertaKemenkeu!$AY$6:$AY$1005="Direkomendasikan",ROW($6:$1005)-5),471)))&gt;0,COUNTIF(INDIRECT("'KERTAS KERJA'!K"&amp;(SMALL(IF(checklistPesertaKemenkeu!$AY$6:$AY$1005="Direkomendasikan",ROW($6:$1005)-5),471)+5)&amp;":O"&amp;(SMALL(IF(checklistPesertaKemenkeu!$AY$6:$AY$1005="Direkomendasikan",ROW($6:$1005)-5),471)+5)),INDEX(checklistPesertaKemenkeu!$L$6:$L$1005,SMALL(IF(checklistPesertaKemenkeu!$AY$6:$AY$1005="Direkomendasikan",ROW($6:$1005)-5),471)))=1),IFERROR(VLOOKUP(INDEX(checklistPesertaKemenkeu!$L$6:$L$1005,SMALL(IF(checklistPesertaKemenkeu!$AY$6:$AY$1005="Direkomendasikan",ROW($6:$1005)-5),471)),KotaKode,2,0),"-"),"")),"")</f>
        <v/>
      </c>
      <c r="I472" t="str">
        <f t="array" aca="1" ref="I472" ca="1">IFERROR(IF(OR(INDEX(checklistPesertaKemenkeu!$M$6:$M$1005,SMALL(IF(checklistPesertaKemenkeu!$AY$6:$AY$1005="Direkomendasikan",ROW($6:$1005)-5),471))="",INDEX(checklistPesertaKemenkeu!$J$6:$J$1005,SMALL(IF(checklistPesertaKemenkeu!$AY$6:$AY$1005="Direkomendasikan",ROW($6:$1005)-5),471))=""),"",IF(AND(COUNTIF(INDIRECT("K_"&amp;MATCH(INDEX(checklistPesertaKemenkeu!$J$6:$J$1005,SMALL(IF(checklistPesertaKemenkeu!$AY$6:$AY$1005="Direkomendasikan",ROW($6:$1005)-5),471)),BidangList,0)),INDEX(checklistPesertaKemenkeu!$M$6:$M$1005,SMALL(IF(checklistPesertaKemenkeu!$AY$6:$AY$1005="Direkomendasikan",ROW($6:$1005)-5),471)))&gt;0,COUNTIF(INDIRECT("'KERTAS KERJA'!K"&amp;(SMALL(IF(checklistPesertaKemenkeu!$AY$6:$AY$1005="Direkomendasikan",ROW($6:$1005)-5),471)+5)&amp;":O"&amp;(SMALL(IF(checklistPesertaKemenkeu!$AY$6:$AY$1005="Direkomendasikan",ROW($6:$1005)-5),471)+5)),INDEX(checklistPesertaKemenkeu!$M$6:$M$1005,SMALL(IF(checklistPesertaKemenkeu!$AY$6:$AY$1005="Direkomendasikan",ROW($6:$1005)-5),471)))=1),IFERROR(VLOOKUP(INDEX(checklistPesertaKemenkeu!$M$6:$M$1005,SMALL(IF(checklistPesertaKemenkeu!$AY$6:$AY$1005="Direkomendasikan",ROW($6:$1005)-5),471)),KotaKode,2,0),"-"),"")),"")</f>
        <v/>
      </c>
      <c r="J472" t="str">
        <f t="array" aca="1" ref="J472" ca="1">IFERROR(IF(OR(INDEX(checklistPesertaKemenkeu!$N$6:$N$1005,SMALL(IF(checklistPesertaKemenkeu!$AY$6:$AY$1005="Direkomendasikan",ROW($6:$1005)-5),471))="",INDEX(checklistPesertaKemenkeu!$J$6:$J$1005,SMALL(IF(checklistPesertaKemenkeu!$AY$6:$AY$1005="Direkomendasikan",ROW($6:$1005)-5),471))=""),"",IF(AND(COUNTIF(INDIRECT("K_"&amp;MATCH(INDEX(checklistPesertaKemenkeu!$J$6:$J$1005,SMALL(IF(checklistPesertaKemenkeu!$AY$6:$AY$1005="Direkomendasikan",ROW($6:$1005)-5),471)),BidangList,0)),INDEX(checklistPesertaKemenkeu!$N$6:$N$1005,SMALL(IF(checklistPesertaKemenkeu!$AY$6:$AY$1005="Direkomendasikan",ROW($6:$1005)-5),471)))&gt;0,COUNTIF(INDIRECT("'KERTAS KERJA'!K"&amp;(SMALL(IF(checklistPesertaKemenkeu!$AY$6:$AY$1005="Direkomendasikan",ROW($6:$1005)-5),471)+5)&amp;":O"&amp;(SMALL(IF(checklistPesertaKemenkeu!$AY$6:$AY$1005="Direkomendasikan",ROW($6:$1005)-5),471)+5)),INDEX(checklistPesertaKemenkeu!$N$6:$N$1005,SMALL(IF(checklistPesertaKemenkeu!$AY$6:$AY$1005="Direkomendasikan",ROW($6:$1005)-5),471)))=1),IFERROR(VLOOKUP(INDEX(checklistPesertaKemenkeu!$N$6:$N$1005,SMALL(IF(checklistPesertaKemenkeu!$AY$6:$AY$1005="Direkomendasikan",ROW($6:$1005)-5),471)),KotaKode,2,0),"-"),"")),"")</f>
        <v/>
      </c>
      <c r="K472" t="str">
        <f t="array" aca="1" ref="K472" ca="1">IFERROR(IF(OR(INDEX(checklistPesertaKemenkeu!$O$6:$O$1005,SMALL(IF(checklistPesertaKemenkeu!$AY$6:$AY$1005="Direkomendasikan",ROW($6:$1005)-5),471))="",INDEX(checklistPesertaKemenkeu!$J$6:$J$1005,SMALL(IF(checklistPesertaKemenkeu!$AY$6:$AY$1005="Direkomendasikan",ROW($6:$1005)-5),471))=""),"",IF(AND(COUNTIF(INDIRECT("K_"&amp;MATCH(INDEX(checklistPesertaKemenkeu!$J$6:$J$1005,SMALL(IF(checklistPesertaKemenkeu!$AY$6:$AY$1005="Direkomendasikan",ROW($6:$1005)-5),471)),BidangList,0)),INDEX(checklistPesertaKemenkeu!$O$6:$O$1005,SMALL(IF(checklistPesertaKemenkeu!$AY$6:$AY$1005="Direkomendasikan",ROW($6:$1005)-5),471)))&gt;0,COUNTIF(INDIRECT("'KERTAS KERJA'!K"&amp;(SMALL(IF(checklistPesertaKemenkeu!$AY$6:$AY$1005="Direkomendasikan",ROW($6:$1005)-5),471)+5)&amp;":O"&amp;(SMALL(IF(checklistPesertaKemenkeu!$AY$6:$AY$1005="Direkomendasikan",ROW($6:$1005)-5),471)+5)),INDEX(checklistPesertaKemenkeu!$O$6:$O$1005,SMALL(IF(checklistPesertaKemenkeu!$AY$6:$AY$1005="Direkomendasikan",ROW($6:$1005)-5),471)))=1),IFERROR(VLOOKUP(INDEX(checklistPesertaKemenkeu!$O$6:$O$1005,SMALL(IF(checklistPesertaKemenkeu!$AY$6:$AY$1005="Direkomendasikan",ROW($6:$1005)-5),471)),KotaKode,2,0),"-"),"")),"")</f>
        <v/>
      </c>
      <c r="L472" t="str">
        <f t="array" aca="1" ref="L472" ca="1">IFERROR(IF(OR(INDEX(checklistPesertaKemenkeu!$P$6:$P$1005,SMALL(IF(checklistPesertaKemenkeu!$AY$6:$AY$1005="Direkomendasikan",ROW($6:$1005)-5),471))="",INDEX(checklistPesertaKemenkeu!$J$6:$J$1005,SMALL(IF(checklistPesertaKemenkeu!$AY$6:$AY$1005="Direkomendasikan",ROW($6:$1005)-5),471))=""),"",IF(AND(COUNTIF(INDIRECT("K_"&amp;MATCH(INDEX(checklistPesertaKemenkeu!$J$6:$J$1005,SMALL(IF(checklistPesertaKemenkeu!$AY$6:$AY$1005="Direkomendasikan",ROW($6:$1005)-5),471)),BidangList,0)),INDEX(checklistPesertaKemenkeu!$P$6:$P$1005,SMALL(IF(checklistPesertaKemenkeu!$AY$6:$AY$1005="Direkomendasikan",ROW($6:$1005)-5),471)))&gt;0,COUNTIF(INDIRECT("'KERTAS KERJA'!K"&amp;(SMALL(IF(checklistPesertaKemenkeu!$AY$6:$AY$1005="Direkomendasikan",ROW($6:$1005)-5),471)+5)&amp;":O"&amp;(SMALL(IF(checklistPesertaKemenkeu!$AY$6:$AY$1005="Direkomendasikan",ROW($6:$1005)-5),471)+5)),INDEX(checklistPesertaKemenkeu!$P$6:$P$1005,SMALL(IF(checklistPesertaKemenkeu!$AY$6:$AY$1005="Direkomendasikan",ROW($6:$1005)-5),471)))=1),IFERROR(VLOOKUP(INDEX(checklistPesertaKemenkeu!$P$6:$P$1005,SMALL(IF(checklistPesertaKemenkeu!$AY$6:$AY$1005="Direkomendasikan",ROW($6:$1005)-5),471)),KotaKode,2,0),"-"),"")),"")</f>
        <v/>
      </c>
    </row>
    <row r="473" spans="1:12" ht="15" customHeight="1" x14ac:dyDescent="0.2">
      <c r="A473" t="str">
        <f t="shared" si="7"/>
        <v/>
      </c>
      <c r="B473" t="str">
        <v/>
      </c>
      <c r="C473" s="40" t="str">
        <f t="array" ref="C473">IFERROR(INDEX(checklistPesertaKemenkeu!$F$6:$F$1005,SMALL(IF(checklistPesertaKemenkeu!$AY$6:$AY$1005="Direkomendasikan",ROW($6:$1005)-5),472)),"")</f>
        <v/>
      </c>
      <c r="D473" t="str">
        <f t="array" ref="D473">IFERROR(INDEX(checklistPesertaKemenkeu!$G$6:$G$1005,SMALL(IF(checklistPesertaKemenkeu!$AY$6:$AY$1005="Direkomendasikan",ROW($6:$1005)-5),472)),"")</f>
        <v/>
      </c>
      <c r="E473" t="str">
        <f t="array" ref="E473">IFERROR(INDEX(checklistPesertaKemenkeu!$H$6:$H$1005,SMALL(IF(checklistPesertaKemenkeu!$AY$6:$AY$1005="Direkomendasikan",ROW($6:$1005)-5),472)),"")</f>
        <v/>
      </c>
      <c r="F473" t="str">
        <f t="array" ref="F473">IFERROR(INDEX(checklistPesertaKemenkeu!$I$6:$I$1005,SMALL(IF(checklistPesertaKemenkeu!$AY$6:$AY$1005="Direkomendasikan",ROW($6:$1005)-5),472)),"")</f>
        <v/>
      </c>
      <c r="G473" t="str">
        <f t="array" ref="G473">IFERROR(INDEX(checklistPesertaKemenkeu!$J$6:$J$1005,SMALL(IF(checklistPesertaKemenkeu!$AY$6:$AY$1005="Direkomendasikan",ROW($6:$1005)-5),472)),"")</f>
        <v/>
      </c>
      <c r="H473" t="str">
        <f t="array" aca="1" ref="H473" ca="1">IFERROR(IF(OR(INDEX(checklistPesertaKemenkeu!$L$6:$L$1005,SMALL(IF(checklistPesertaKemenkeu!$AY$6:$AY$1005="Direkomendasikan",ROW($6:$1005)-5),472))="",INDEX(checklistPesertaKemenkeu!$J$6:$J$1005,SMALL(IF(checklistPesertaKemenkeu!$AY$6:$AY$1005="Direkomendasikan",ROW($6:$1005)-5),472))=""),"",IF(AND(COUNTIF(INDIRECT("K_"&amp;MATCH(INDEX(checklistPesertaKemenkeu!$J$6:$J$1005,SMALL(IF(checklistPesertaKemenkeu!$AY$6:$AY$1005="Direkomendasikan",ROW($6:$1005)-5),472)),BidangList,0)),INDEX(checklistPesertaKemenkeu!$L$6:$L$1005,SMALL(IF(checklistPesertaKemenkeu!$AY$6:$AY$1005="Direkomendasikan",ROW($6:$1005)-5),472)))&gt;0,COUNTIF(INDIRECT("'KERTAS KERJA'!K"&amp;(SMALL(IF(checklistPesertaKemenkeu!$AY$6:$AY$1005="Direkomendasikan",ROW($6:$1005)-5),472)+5)&amp;":O"&amp;(SMALL(IF(checklistPesertaKemenkeu!$AY$6:$AY$1005="Direkomendasikan",ROW($6:$1005)-5),472)+5)),INDEX(checklistPesertaKemenkeu!$L$6:$L$1005,SMALL(IF(checklistPesertaKemenkeu!$AY$6:$AY$1005="Direkomendasikan",ROW($6:$1005)-5),472)))=1),IFERROR(VLOOKUP(INDEX(checklistPesertaKemenkeu!$L$6:$L$1005,SMALL(IF(checklistPesertaKemenkeu!$AY$6:$AY$1005="Direkomendasikan",ROW($6:$1005)-5),472)),KotaKode,2,0),"-"),"")),"")</f>
        <v/>
      </c>
      <c r="I473" t="str">
        <f t="array" aca="1" ref="I473" ca="1">IFERROR(IF(OR(INDEX(checklistPesertaKemenkeu!$M$6:$M$1005,SMALL(IF(checklistPesertaKemenkeu!$AY$6:$AY$1005="Direkomendasikan",ROW($6:$1005)-5),472))="",INDEX(checklistPesertaKemenkeu!$J$6:$J$1005,SMALL(IF(checklistPesertaKemenkeu!$AY$6:$AY$1005="Direkomendasikan",ROW($6:$1005)-5),472))=""),"",IF(AND(COUNTIF(INDIRECT("K_"&amp;MATCH(INDEX(checklistPesertaKemenkeu!$J$6:$J$1005,SMALL(IF(checklistPesertaKemenkeu!$AY$6:$AY$1005="Direkomendasikan",ROW($6:$1005)-5),472)),BidangList,0)),INDEX(checklistPesertaKemenkeu!$M$6:$M$1005,SMALL(IF(checklistPesertaKemenkeu!$AY$6:$AY$1005="Direkomendasikan",ROW($6:$1005)-5),472)))&gt;0,COUNTIF(INDIRECT("'KERTAS KERJA'!K"&amp;(SMALL(IF(checklistPesertaKemenkeu!$AY$6:$AY$1005="Direkomendasikan",ROW($6:$1005)-5),472)+5)&amp;":O"&amp;(SMALL(IF(checklistPesertaKemenkeu!$AY$6:$AY$1005="Direkomendasikan",ROW($6:$1005)-5),472)+5)),INDEX(checklistPesertaKemenkeu!$M$6:$M$1005,SMALL(IF(checklistPesertaKemenkeu!$AY$6:$AY$1005="Direkomendasikan",ROW($6:$1005)-5),472)))=1),IFERROR(VLOOKUP(INDEX(checklistPesertaKemenkeu!$M$6:$M$1005,SMALL(IF(checklistPesertaKemenkeu!$AY$6:$AY$1005="Direkomendasikan",ROW($6:$1005)-5),472)),KotaKode,2,0),"-"),"")),"")</f>
        <v/>
      </c>
      <c r="J473" t="str">
        <f t="array" aca="1" ref="J473" ca="1">IFERROR(IF(OR(INDEX(checklistPesertaKemenkeu!$N$6:$N$1005,SMALL(IF(checklistPesertaKemenkeu!$AY$6:$AY$1005="Direkomendasikan",ROW($6:$1005)-5),472))="",INDEX(checklistPesertaKemenkeu!$J$6:$J$1005,SMALL(IF(checklistPesertaKemenkeu!$AY$6:$AY$1005="Direkomendasikan",ROW($6:$1005)-5),472))=""),"",IF(AND(COUNTIF(INDIRECT("K_"&amp;MATCH(INDEX(checklistPesertaKemenkeu!$J$6:$J$1005,SMALL(IF(checklistPesertaKemenkeu!$AY$6:$AY$1005="Direkomendasikan",ROW($6:$1005)-5),472)),BidangList,0)),INDEX(checklistPesertaKemenkeu!$N$6:$N$1005,SMALL(IF(checklistPesertaKemenkeu!$AY$6:$AY$1005="Direkomendasikan",ROW($6:$1005)-5),472)))&gt;0,COUNTIF(INDIRECT("'KERTAS KERJA'!K"&amp;(SMALL(IF(checklistPesertaKemenkeu!$AY$6:$AY$1005="Direkomendasikan",ROW($6:$1005)-5),472)+5)&amp;":O"&amp;(SMALL(IF(checklistPesertaKemenkeu!$AY$6:$AY$1005="Direkomendasikan",ROW($6:$1005)-5),472)+5)),INDEX(checklistPesertaKemenkeu!$N$6:$N$1005,SMALL(IF(checklistPesertaKemenkeu!$AY$6:$AY$1005="Direkomendasikan",ROW($6:$1005)-5),472)))=1),IFERROR(VLOOKUP(INDEX(checklistPesertaKemenkeu!$N$6:$N$1005,SMALL(IF(checklistPesertaKemenkeu!$AY$6:$AY$1005="Direkomendasikan",ROW($6:$1005)-5),472)),KotaKode,2,0),"-"),"")),"")</f>
        <v/>
      </c>
      <c r="K473" t="str">
        <f t="array" aca="1" ref="K473" ca="1">IFERROR(IF(OR(INDEX(checklistPesertaKemenkeu!$O$6:$O$1005,SMALL(IF(checklistPesertaKemenkeu!$AY$6:$AY$1005="Direkomendasikan",ROW($6:$1005)-5),472))="",INDEX(checklistPesertaKemenkeu!$J$6:$J$1005,SMALL(IF(checklistPesertaKemenkeu!$AY$6:$AY$1005="Direkomendasikan",ROW($6:$1005)-5),472))=""),"",IF(AND(COUNTIF(INDIRECT("K_"&amp;MATCH(INDEX(checklistPesertaKemenkeu!$J$6:$J$1005,SMALL(IF(checklistPesertaKemenkeu!$AY$6:$AY$1005="Direkomendasikan",ROW($6:$1005)-5),472)),BidangList,0)),INDEX(checklistPesertaKemenkeu!$O$6:$O$1005,SMALL(IF(checklistPesertaKemenkeu!$AY$6:$AY$1005="Direkomendasikan",ROW($6:$1005)-5),472)))&gt;0,COUNTIF(INDIRECT("'KERTAS KERJA'!K"&amp;(SMALL(IF(checklistPesertaKemenkeu!$AY$6:$AY$1005="Direkomendasikan",ROW($6:$1005)-5),472)+5)&amp;":O"&amp;(SMALL(IF(checklistPesertaKemenkeu!$AY$6:$AY$1005="Direkomendasikan",ROW($6:$1005)-5),472)+5)),INDEX(checklistPesertaKemenkeu!$O$6:$O$1005,SMALL(IF(checklistPesertaKemenkeu!$AY$6:$AY$1005="Direkomendasikan",ROW($6:$1005)-5),472)))=1),IFERROR(VLOOKUP(INDEX(checklistPesertaKemenkeu!$O$6:$O$1005,SMALL(IF(checklistPesertaKemenkeu!$AY$6:$AY$1005="Direkomendasikan",ROW($6:$1005)-5),472)),KotaKode,2,0),"-"),"")),"")</f>
        <v/>
      </c>
      <c r="L473" t="str">
        <f t="array" aca="1" ref="L473" ca="1">IFERROR(IF(OR(INDEX(checklistPesertaKemenkeu!$P$6:$P$1005,SMALL(IF(checklistPesertaKemenkeu!$AY$6:$AY$1005="Direkomendasikan",ROW($6:$1005)-5),472))="",INDEX(checklistPesertaKemenkeu!$J$6:$J$1005,SMALL(IF(checklistPesertaKemenkeu!$AY$6:$AY$1005="Direkomendasikan",ROW($6:$1005)-5),472))=""),"",IF(AND(COUNTIF(INDIRECT("K_"&amp;MATCH(INDEX(checklistPesertaKemenkeu!$J$6:$J$1005,SMALL(IF(checklistPesertaKemenkeu!$AY$6:$AY$1005="Direkomendasikan",ROW($6:$1005)-5),472)),BidangList,0)),INDEX(checklistPesertaKemenkeu!$P$6:$P$1005,SMALL(IF(checklistPesertaKemenkeu!$AY$6:$AY$1005="Direkomendasikan",ROW($6:$1005)-5),472)))&gt;0,COUNTIF(INDIRECT("'KERTAS KERJA'!K"&amp;(SMALL(IF(checklistPesertaKemenkeu!$AY$6:$AY$1005="Direkomendasikan",ROW($6:$1005)-5),472)+5)&amp;":O"&amp;(SMALL(IF(checklistPesertaKemenkeu!$AY$6:$AY$1005="Direkomendasikan",ROW($6:$1005)-5),472)+5)),INDEX(checklistPesertaKemenkeu!$P$6:$P$1005,SMALL(IF(checklistPesertaKemenkeu!$AY$6:$AY$1005="Direkomendasikan",ROW($6:$1005)-5),472)))=1),IFERROR(VLOOKUP(INDEX(checklistPesertaKemenkeu!$P$6:$P$1005,SMALL(IF(checklistPesertaKemenkeu!$AY$6:$AY$1005="Direkomendasikan",ROW($6:$1005)-5),472)),KotaKode,2,0),"-"),"")),"")</f>
        <v/>
      </c>
    </row>
    <row r="474" spans="1:12" ht="15" customHeight="1" x14ac:dyDescent="0.2">
      <c r="A474" t="str">
        <f t="shared" si="7"/>
        <v/>
      </c>
      <c r="B474" t="str">
        <v/>
      </c>
      <c r="C474" s="40" t="str">
        <f t="array" ref="C474">IFERROR(INDEX(checklistPesertaKemenkeu!$F$6:$F$1005,SMALL(IF(checklistPesertaKemenkeu!$AY$6:$AY$1005="Direkomendasikan",ROW($6:$1005)-5),473)),"")</f>
        <v/>
      </c>
      <c r="D474" t="str">
        <f t="array" ref="D474">IFERROR(INDEX(checklistPesertaKemenkeu!$G$6:$G$1005,SMALL(IF(checklistPesertaKemenkeu!$AY$6:$AY$1005="Direkomendasikan",ROW($6:$1005)-5),473)),"")</f>
        <v/>
      </c>
      <c r="E474" t="str">
        <f t="array" ref="E474">IFERROR(INDEX(checklistPesertaKemenkeu!$H$6:$H$1005,SMALL(IF(checklistPesertaKemenkeu!$AY$6:$AY$1005="Direkomendasikan",ROW($6:$1005)-5),473)),"")</f>
        <v/>
      </c>
      <c r="F474" t="str">
        <f t="array" ref="F474">IFERROR(INDEX(checklistPesertaKemenkeu!$I$6:$I$1005,SMALL(IF(checklistPesertaKemenkeu!$AY$6:$AY$1005="Direkomendasikan",ROW($6:$1005)-5),473)),"")</f>
        <v/>
      </c>
      <c r="G474" t="str">
        <f t="array" ref="G474">IFERROR(INDEX(checklistPesertaKemenkeu!$J$6:$J$1005,SMALL(IF(checklistPesertaKemenkeu!$AY$6:$AY$1005="Direkomendasikan",ROW($6:$1005)-5),473)),"")</f>
        <v/>
      </c>
      <c r="H474" t="str">
        <f t="array" aca="1" ref="H474" ca="1">IFERROR(IF(OR(INDEX(checklistPesertaKemenkeu!$L$6:$L$1005,SMALL(IF(checklistPesertaKemenkeu!$AY$6:$AY$1005="Direkomendasikan",ROW($6:$1005)-5),473))="",INDEX(checklistPesertaKemenkeu!$J$6:$J$1005,SMALL(IF(checklistPesertaKemenkeu!$AY$6:$AY$1005="Direkomendasikan",ROW($6:$1005)-5),473))=""),"",IF(AND(COUNTIF(INDIRECT("K_"&amp;MATCH(INDEX(checklistPesertaKemenkeu!$J$6:$J$1005,SMALL(IF(checklistPesertaKemenkeu!$AY$6:$AY$1005="Direkomendasikan",ROW($6:$1005)-5),473)),BidangList,0)),INDEX(checklistPesertaKemenkeu!$L$6:$L$1005,SMALL(IF(checklistPesertaKemenkeu!$AY$6:$AY$1005="Direkomendasikan",ROW($6:$1005)-5),473)))&gt;0,COUNTIF(INDIRECT("'KERTAS KERJA'!K"&amp;(SMALL(IF(checklistPesertaKemenkeu!$AY$6:$AY$1005="Direkomendasikan",ROW($6:$1005)-5),473)+5)&amp;":O"&amp;(SMALL(IF(checklistPesertaKemenkeu!$AY$6:$AY$1005="Direkomendasikan",ROW($6:$1005)-5),473)+5)),INDEX(checklistPesertaKemenkeu!$L$6:$L$1005,SMALL(IF(checklistPesertaKemenkeu!$AY$6:$AY$1005="Direkomendasikan",ROW($6:$1005)-5),473)))=1),IFERROR(VLOOKUP(INDEX(checklistPesertaKemenkeu!$L$6:$L$1005,SMALL(IF(checklistPesertaKemenkeu!$AY$6:$AY$1005="Direkomendasikan",ROW($6:$1005)-5),473)),KotaKode,2,0),"-"),"")),"")</f>
        <v/>
      </c>
      <c r="I474" t="str">
        <f t="array" aca="1" ref="I474" ca="1">IFERROR(IF(OR(INDEX(checklistPesertaKemenkeu!$M$6:$M$1005,SMALL(IF(checklistPesertaKemenkeu!$AY$6:$AY$1005="Direkomendasikan",ROW($6:$1005)-5),473))="",INDEX(checklistPesertaKemenkeu!$J$6:$J$1005,SMALL(IF(checklistPesertaKemenkeu!$AY$6:$AY$1005="Direkomendasikan",ROW($6:$1005)-5),473))=""),"",IF(AND(COUNTIF(INDIRECT("K_"&amp;MATCH(INDEX(checklistPesertaKemenkeu!$J$6:$J$1005,SMALL(IF(checklistPesertaKemenkeu!$AY$6:$AY$1005="Direkomendasikan",ROW($6:$1005)-5),473)),BidangList,0)),INDEX(checklistPesertaKemenkeu!$M$6:$M$1005,SMALL(IF(checklistPesertaKemenkeu!$AY$6:$AY$1005="Direkomendasikan",ROW($6:$1005)-5),473)))&gt;0,COUNTIF(INDIRECT("'KERTAS KERJA'!K"&amp;(SMALL(IF(checklistPesertaKemenkeu!$AY$6:$AY$1005="Direkomendasikan",ROW($6:$1005)-5),473)+5)&amp;":O"&amp;(SMALL(IF(checklistPesertaKemenkeu!$AY$6:$AY$1005="Direkomendasikan",ROW($6:$1005)-5),473)+5)),INDEX(checklistPesertaKemenkeu!$M$6:$M$1005,SMALL(IF(checklistPesertaKemenkeu!$AY$6:$AY$1005="Direkomendasikan",ROW($6:$1005)-5),473)))=1),IFERROR(VLOOKUP(INDEX(checklistPesertaKemenkeu!$M$6:$M$1005,SMALL(IF(checklistPesertaKemenkeu!$AY$6:$AY$1005="Direkomendasikan",ROW($6:$1005)-5),473)),KotaKode,2,0),"-"),"")),"")</f>
        <v/>
      </c>
      <c r="J474" t="str">
        <f t="array" aca="1" ref="J474" ca="1">IFERROR(IF(OR(INDEX(checklistPesertaKemenkeu!$N$6:$N$1005,SMALL(IF(checklistPesertaKemenkeu!$AY$6:$AY$1005="Direkomendasikan",ROW($6:$1005)-5),473))="",INDEX(checklistPesertaKemenkeu!$J$6:$J$1005,SMALL(IF(checklistPesertaKemenkeu!$AY$6:$AY$1005="Direkomendasikan",ROW($6:$1005)-5),473))=""),"",IF(AND(COUNTIF(INDIRECT("K_"&amp;MATCH(INDEX(checklistPesertaKemenkeu!$J$6:$J$1005,SMALL(IF(checklistPesertaKemenkeu!$AY$6:$AY$1005="Direkomendasikan",ROW($6:$1005)-5),473)),BidangList,0)),INDEX(checklistPesertaKemenkeu!$N$6:$N$1005,SMALL(IF(checklistPesertaKemenkeu!$AY$6:$AY$1005="Direkomendasikan",ROW($6:$1005)-5),473)))&gt;0,COUNTIF(INDIRECT("'KERTAS KERJA'!K"&amp;(SMALL(IF(checklistPesertaKemenkeu!$AY$6:$AY$1005="Direkomendasikan",ROW($6:$1005)-5),473)+5)&amp;":O"&amp;(SMALL(IF(checklistPesertaKemenkeu!$AY$6:$AY$1005="Direkomendasikan",ROW($6:$1005)-5),473)+5)),INDEX(checklistPesertaKemenkeu!$N$6:$N$1005,SMALL(IF(checklistPesertaKemenkeu!$AY$6:$AY$1005="Direkomendasikan",ROW($6:$1005)-5),473)))=1),IFERROR(VLOOKUP(INDEX(checklistPesertaKemenkeu!$N$6:$N$1005,SMALL(IF(checklistPesertaKemenkeu!$AY$6:$AY$1005="Direkomendasikan",ROW($6:$1005)-5),473)),KotaKode,2,0),"-"),"")),"")</f>
        <v/>
      </c>
      <c r="K474" t="str">
        <f t="array" aca="1" ref="K474" ca="1">IFERROR(IF(OR(INDEX(checklistPesertaKemenkeu!$O$6:$O$1005,SMALL(IF(checklistPesertaKemenkeu!$AY$6:$AY$1005="Direkomendasikan",ROW($6:$1005)-5),473))="",INDEX(checklistPesertaKemenkeu!$J$6:$J$1005,SMALL(IF(checklistPesertaKemenkeu!$AY$6:$AY$1005="Direkomendasikan",ROW($6:$1005)-5),473))=""),"",IF(AND(COUNTIF(INDIRECT("K_"&amp;MATCH(INDEX(checklistPesertaKemenkeu!$J$6:$J$1005,SMALL(IF(checklistPesertaKemenkeu!$AY$6:$AY$1005="Direkomendasikan",ROW($6:$1005)-5),473)),BidangList,0)),INDEX(checklistPesertaKemenkeu!$O$6:$O$1005,SMALL(IF(checklistPesertaKemenkeu!$AY$6:$AY$1005="Direkomendasikan",ROW($6:$1005)-5),473)))&gt;0,COUNTIF(INDIRECT("'KERTAS KERJA'!K"&amp;(SMALL(IF(checklistPesertaKemenkeu!$AY$6:$AY$1005="Direkomendasikan",ROW($6:$1005)-5),473)+5)&amp;":O"&amp;(SMALL(IF(checklistPesertaKemenkeu!$AY$6:$AY$1005="Direkomendasikan",ROW($6:$1005)-5),473)+5)),INDEX(checklistPesertaKemenkeu!$O$6:$O$1005,SMALL(IF(checklistPesertaKemenkeu!$AY$6:$AY$1005="Direkomendasikan",ROW($6:$1005)-5),473)))=1),IFERROR(VLOOKUP(INDEX(checklistPesertaKemenkeu!$O$6:$O$1005,SMALL(IF(checklistPesertaKemenkeu!$AY$6:$AY$1005="Direkomendasikan",ROW($6:$1005)-5),473)),KotaKode,2,0),"-"),"")),"")</f>
        <v/>
      </c>
      <c r="L474" t="str">
        <f t="array" aca="1" ref="L474" ca="1">IFERROR(IF(OR(INDEX(checklistPesertaKemenkeu!$P$6:$P$1005,SMALL(IF(checklistPesertaKemenkeu!$AY$6:$AY$1005="Direkomendasikan",ROW($6:$1005)-5),473))="",INDEX(checklistPesertaKemenkeu!$J$6:$J$1005,SMALL(IF(checklistPesertaKemenkeu!$AY$6:$AY$1005="Direkomendasikan",ROW($6:$1005)-5),473))=""),"",IF(AND(COUNTIF(INDIRECT("K_"&amp;MATCH(INDEX(checklistPesertaKemenkeu!$J$6:$J$1005,SMALL(IF(checklistPesertaKemenkeu!$AY$6:$AY$1005="Direkomendasikan",ROW($6:$1005)-5),473)),BidangList,0)),INDEX(checklistPesertaKemenkeu!$P$6:$P$1005,SMALL(IF(checklistPesertaKemenkeu!$AY$6:$AY$1005="Direkomendasikan",ROW($6:$1005)-5),473)))&gt;0,COUNTIF(INDIRECT("'KERTAS KERJA'!K"&amp;(SMALL(IF(checklistPesertaKemenkeu!$AY$6:$AY$1005="Direkomendasikan",ROW($6:$1005)-5),473)+5)&amp;":O"&amp;(SMALL(IF(checklistPesertaKemenkeu!$AY$6:$AY$1005="Direkomendasikan",ROW($6:$1005)-5),473)+5)),INDEX(checklistPesertaKemenkeu!$P$6:$P$1005,SMALL(IF(checklistPesertaKemenkeu!$AY$6:$AY$1005="Direkomendasikan",ROW($6:$1005)-5),473)))=1),IFERROR(VLOOKUP(INDEX(checklistPesertaKemenkeu!$P$6:$P$1005,SMALL(IF(checklistPesertaKemenkeu!$AY$6:$AY$1005="Direkomendasikan",ROW($6:$1005)-5),473)),KotaKode,2,0),"-"),"")),"")</f>
        <v/>
      </c>
    </row>
    <row r="475" spans="1:12" ht="15" customHeight="1" x14ac:dyDescent="0.2">
      <c r="A475" t="str">
        <f t="shared" si="7"/>
        <v/>
      </c>
      <c r="B475" t="str">
        <v/>
      </c>
      <c r="C475" s="40" t="str">
        <f t="array" ref="C475">IFERROR(INDEX(checklistPesertaKemenkeu!$F$6:$F$1005,SMALL(IF(checklistPesertaKemenkeu!$AY$6:$AY$1005="Direkomendasikan",ROW($6:$1005)-5),474)),"")</f>
        <v/>
      </c>
      <c r="D475" t="str">
        <f t="array" ref="D475">IFERROR(INDEX(checklistPesertaKemenkeu!$G$6:$G$1005,SMALL(IF(checklistPesertaKemenkeu!$AY$6:$AY$1005="Direkomendasikan",ROW($6:$1005)-5),474)),"")</f>
        <v/>
      </c>
      <c r="E475" t="str">
        <f t="array" ref="E475">IFERROR(INDEX(checklistPesertaKemenkeu!$H$6:$H$1005,SMALL(IF(checklistPesertaKemenkeu!$AY$6:$AY$1005="Direkomendasikan",ROW($6:$1005)-5),474)),"")</f>
        <v/>
      </c>
      <c r="F475" t="str">
        <f t="array" ref="F475">IFERROR(INDEX(checklistPesertaKemenkeu!$I$6:$I$1005,SMALL(IF(checklistPesertaKemenkeu!$AY$6:$AY$1005="Direkomendasikan",ROW($6:$1005)-5),474)),"")</f>
        <v/>
      </c>
      <c r="G475" t="str">
        <f t="array" ref="G475">IFERROR(INDEX(checklistPesertaKemenkeu!$J$6:$J$1005,SMALL(IF(checklistPesertaKemenkeu!$AY$6:$AY$1005="Direkomendasikan",ROW($6:$1005)-5),474)),"")</f>
        <v/>
      </c>
      <c r="H475" t="str">
        <f t="array" aca="1" ref="H475" ca="1">IFERROR(IF(OR(INDEX(checklistPesertaKemenkeu!$L$6:$L$1005,SMALL(IF(checklistPesertaKemenkeu!$AY$6:$AY$1005="Direkomendasikan",ROW($6:$1005)-5),474))="",INDEX(checklistPesertaKemenkeu!$J$6:$J$1005,SMALL(IF(checklistPesertaKemenkeu!$AY$6:$AY$1005="Direkomendasikan",ROW($6:$1005)-5),474))=""),"",IF(AND(COUNTIF(INDIRECT("K_"&amp;MATCH(INDEX(checklistPesertaKemenkeu!$J$6:$J$1005,SMALL(IF(checklistPesertaKemenkeu!$AY$6:$AY$1005="Direkomendasikan",ROW($6:$1005)-5),474)),BidangList,0)),INDEX(checklistPesertaKemenkeu!$L$6:$L$1005,SMALL(IF(checklistPesertaKemenkeu!$AY$6:$AY$1005="Direkomendasikan",ROW($6:$1005)-5),474)))&gt;0,COUNTIF(INDIRECT("'KERTAS KERJA'!K"&amp;(SMALL(IF(checklistPesertaKemenkeu!$AY$6:$AY$1005="Direkomendasikan",ROW($6:$1005)-5),474)+5)&amp;":O"&amp;(SMALL(IF(checklistPesertaKemenkeu!$AY$6:$AY$1005="Direkomendasikan",ROW($6:$1005)-5),474)+5)),INDEX(checklistPesertaKemenkeu!$L$6:$L$1005,SMALL(IF(checklistPesertaKemenkeu!$AY$6:$AY$1005="Direkomendasikan",ROW($6:$1005)-5),474)))=1),IFERROR(VLOOKUP(INDEX(checklistPesertaKemenkeu!$L$6:$L$1005,SMALL(IF(checklistPesertaKemenkeu!$AY$6:$AY$1005="Direkomendasikan",ROW($6:$1005)-5),474)),KotaKode,2,0),"-"),"")),"")</f>
        <v/>
      </c>
      <c r="I475" t="str">
        <f t="array" aca="1" ref="I475" ca="1">IFERROR(IF(OR(INDEX(checklistPesertaKemenkeu!$M$6:$M$1005,SMALL(IF(checklistPesertaKemenkeu!$AY$6:$AY$1005="Direkomendasikan",ROW($6:$1005)-5),474))="",INDEX(checklistPesertaKemenkeu!$J$6:$J$1005,SMALL(IF(checklistPesertaKemenkeu!$AY$6:$AY$1005="Direkomendasikan",ROW($6:$1005)-5),474))=""),"",IF(AND(COUNTIF(INDIRECT("K_"&amp;MATCH(INDEX(checklistPesertaKemenkeu!$J$6:$J$1005,SMALL(IF(checklistPesertaKemenkeu!$AY$6:$AY$1005="Direkomendasikan",ROW($6:$1005)-5),474)),BidangList,0)),INDEX(checklistPesertaKemenkeu!$M$6:$M$1005,SMALL(IF(checklistPesertaKemenkeu!$AY$6:$AY$1005="Direkomendasikan",ROW($6:$1005)-5),474)))&gt;0,COUNTIF(INDIRECT("'KERTAS KERJA'!K"&amp;(SMALL(IF(checklistPesertaKemenkeu!$AY$6:$AY$1005="Direkomendasikan",ROW($6:$1005)-5),474)+5)&amp;":O"&amp;(SMALL(IF(checklistPesertaKemenkeu!$AY$6:$AY$1005="Direkomendasikan",ROW($6:$1005)-5),474)+5)),INDEX(checklistPesertaKemenkeu!$M$6:$M$1005,SMALL(IF(checklistPesertaKemenkeu!$AY$6:$AY$1005="Direkomendasikan",ROW($6:$1005)-5),474)))=1),IFERROR(VLOOKUP(INDEX(checklistPesertaKemenkeu!$M$6:$M$1005,SMALL(IF(checklistPesertaKemenkeu!$AY$6:$AY$1005="Direkomendasikan",ROW($6:$1005)-5),474)),KotaKode,2,0),"-"),"")),"")</f>
        <v/>
      </c>
      <c r="J475" t="str">
        <f t="array" aca="1" ref="J475" ca="1">IFERROR(IF(OR(INDEX(checklistPesertaKemenkeu!$N$6:$N$1005,SMALL(IF(checklistPesertaKemenkeu!$AY$6:$AY$1005="Direkomendasikan",ROW($6:$1005)-5),474))="",INDEX(checklistPesertaKemenkeu!$J$6:$J$1005,SMALL(IF(checklistPesertaKemenkeu!$AY$6:$AY$1005="Direkomendasikan",ROW($6:$1005)-5),474))=""),"",IF(AND(COUNTIF(INDIRECT("K_"&amp;MATCH(INDEX(checklistPesertaKemenkeu!$J$6:$J$1005,SMALL(IF(checklistPesertaKemenkeu!$AY$6:$AY$1005="Direkomendasikan",ROW($6:$1005)-5),474)),BidangList,0)),INDEX(checklistPesertaKemenkeu!$N$6:$N$1005,SMALL(IF(checklistPesertaKemenkeu!$AY$6:$AY$1005="Direkomendasikan",ROW($6:$1005)-5),474)))&gt;0,COUNTIF(INDIRECT("'KERTAS KERJA'!K"&amp;(SMALL(IF(checklistPesertaKemenkeu!$AY$6:$AY$1005="Direkomendasikan",ROW($6:$1005)-5),474)+5)&amp;":O"&amp;(SMALL(IF(checklistPesertaKemenkeu!$AY$6:$AY$1005="Direkomendasikan",ROW($6:$1005)-5),474)+5)),INDEX(checklistPesertaKemenkeu!$N$6:$N$1005,SMALL(IF(checklistPesertaKemenkeu!$AY$6:$AY$1005="Direkomendasikan",ROW($6:$1005)-5),474)))=1),IFERROR(VLOOKUP(INDEX(checklistPesertaKemenkeu!$N$6:$N$1005,SMALL(IF(checklistPesertaKemenkeu!$AY$6:$AY$1005="Direkomendasikan",ROW($6:$1005)-5),474)),KotaKode,2,0),"-"),"")),"")</f>
        <v/>
      </c>
      <c r="K475" t="str">
        <f t="array" aca="1" ref="K475" ca="1">IFERROR(IF(OR(INDEX(checklistPesertaKemenkeu!$O$6:$O$1005,SMALL(IF(checklistPesertaKemenkeu!$AY$6:$AY$1005="Direkomendasikan",ROW($6:$1005)-5),474))="",INDEX(checklistPesertaKemenkeu!$J$6:$J$1005,SMALL(IF(checklistPesertaKemenkeu!$AY$6:$AY$1005="Direkomendasikan",ROW($6:$1005)-5),474))=""),"",IF(AND(COUNTIF(INDIRECT("K_"&amp;MATCH(INDEX(checklistPesertaKemenkeu!$J$6:$J$1005,SMALL(IF(checklistPesertaKemenkeu!$AY$6:$AY$1005="Direkomendasikan",ROW($6:$1005)-5),474)),BidangList,0)),INDEX(checklistPesertaKemenkeu!$O$6:$O$1005,SMALL(IF(checklistPesertaKemenkeu!$AY$6:$AY$1005="Direkomendasikan",ROW($6:$1005)-5),474)))&gt;0,COUNTIF(INDIRECT("'KERTAS KERJA'!K"&amp;(SMALL(IF(checklistPesertaKemenkeu!$AY$6:$AY$1005="Direkomendasikan",ROW($6:$1005)-5),474)+5)&amp;":O"&amp;(SMALL(IF(checklistPesertaKemenkeu!$AY$6:$AY$1005="Direkomendasikan",ROW($6:$1005)-5),474)+5)),INDEX(checklistPesertaKemenkeu!$O$6:$O$1005,SMALL(IF(checklistPesertaKemenkeu!$AY$6:$AY$1005="Direkomendasikan",ROW($6:$1005)-5),474)))=1),IFERROR(VLOOKUP(INDEX(checklistPesertaKemenkeu!$O$6:$O$1005,SMALL(IF(checklistPesertaKemenkeu!$AY$6:$AY$1005="Direkomendasikan",ROW($6:$1005)-5),474)),KotaKode,2,0),"-"),"")),"")</f>
        <v/>
      </c>
      <c r="L475" t="str">
        <f t="array" aca="1" ref="L475" ca="1">IFERROR(IF(OR(INDEX(checklistPesertaKemenkeu!$P$6:$P$1005,SMALL(IF(checklistPesertaKemenkeu!$AY$6:$AY$1005="Direkomendasikan",ROW($6:$1005)-5),474))="",INDEX(checklistPesertaKemenkeu!$J$6:$J$1005,SMALL(IF(checklistPesertaKemenkeu!$AY$6:$AY$1005="Direkomendasikan",ROW($6:$1005)-5),474))=""),"",IF(AND(COUNTIF(INDIRECT("K_"&amp;MATCH(INDEX(checklistPesertaKemenkeu!$J$6:$J$1005,SMALL(IF(checklistPesertaKemenkeu!$AY$6:$AY$1005="Direkomendasikan",ROW($6:$1005)-5),474)),BidangList,0)),INDEX(checklistPesertaKemenkeu!$P$6:$P$1005,SMALL(IF(checklistPesertaKemenkeu!$AY$6:$AY$1005="Direkomendasikan",ROW($6:$1005)-5),474)))&gt;0,COUNTIF(INDIRECT("'KERTAS KERJA'!K"&amp;(SMALL(IF(checklistPesertaKemenkeu!$AY$6:$AY$1005="Direkomendasikan",ROW($6:$1005)-5),474)+5)&amp;":O"&amp;(SMALL(IF(checklistPesertaKemenkeu!$AY$6:$AY$1005="Direkomendasikan",ROW($6:$1005)-5),474)+5)),INDEX(checklistPesertaKemenkeu!$P$6:$P$1005,SMALL(IF(checklistPesertaKemenkeu!$AY$6:$AY$1005="Direkomendasikan",ROW($6:$1005)-5),474)))=1),IFERROR(VLOOKUP(INDEX(checklistPesertaKemenkeu!$P$6:$P$1005,SMALL(IF(checklistPesertaKemenkeu!$AY$6:$AY$1005="Direkomendasikan",ROW($6:$1005)-5),474)),KotaKode,2,0),"-"),"")),"")</f>
        <v/>
      </c>
    </row>
    <row r="476" spans="1:12" ht="15" customHeight="1" x14ac:dyDescent="0.2">
      <c r="A476" t="str">
        <f t="shared" si="7"/>
        <v/>
      </c>
      <c r="B476" t="str">
        <v/>
      </c>
      <c r="C476" s="40" t="str">
        <f t="array" ref="C476">IFERROR(INDEX(checklistPesertaKemenkeu!$F$6:$F$1005,SMALL(IF(checklistPesertaKemenkeu!$AY$6:$AY$1005="Direkomendasikan",ROW($6:$1005)-5),475)),"")</f>
        <v/>
      </c>
      <c r="D476" t="str">
        <f t="array" ref="D476">IFERROR(INDEX(checklistPesertaKemenkeu!$G$6:$G$1005,SMALL(IF(checklistPesertaKemenkeu!$AY$6:$AY$1005="Direkomendasikan",ROW($6:$1005)-5),475)),"")</f>
        <v/>
      </c>
      <c r="E476" t="str">
        <f t="array" ref="E476">IFERROR(INDEX(checklistPesertaKemenkeu!$H$6:$H$1005,SMALL(IF(checklistPesertaKemenkeu!$AY$6:$AY$1005="Direkomendasikan",ROW($6:$1005)-5),475)),"")</f>
        <v/>
      </c>
      <c r="F476" t="str">
        <f t="array" ref="F476">IFERROR(INDEX(checklistPesertaKemenkeu!$I$6:$I$1005,SMALL(IF(checklistPesertaKemenkeu!$AY$6:$AY$1005="Direkomendasikan",ROW($6:$1005)-5),475)),"")</f>
        <v/>
      </c>
      <c r="G476" t="str">
        <f t="array" ref="G476">IFERROR(INDEX(checklistPesertaKemenkeu!$J$6:$J$1005,SMALL(IF(checklistPesertaKemenkeu!$AY$6:$AY$1005="Direkomendasikan",ROW($6:$1005)-5),475)),"")</f>
        <v/>
      </c>
      <c r="H476" t="str">
        <f t="array" aca="1" ref="H476" ca="1">IFERROR(IF(OR(INDEX(checklistPesertaKemenkeu!$L$6:$L$1005,SMALL(IF(checklistPesertaKemenkeu!$AY$6:$AY$1005="Direkomendasikan",ROW($6:$1005)-5),475))="",INDEX(checklistPesertaKemenkeu!$J$6:$J$1005,SMALL(IF(checklistPesertaKemenkeu!$AY$6:$AY$1005="Direkomendasikan",ROW($6:$1005)-5),475))=""),"",IF(AND(COUNTIF(INDIRECT("K_"&amp;MATCH(INDEX(checklistPesertaKemenkeu!$J$6:$J$1005,SMALL(IF(checklistPesertaKemenkeu!$AY$6:$AY$1005="Direkomendasikan",ROW($6:$1005)-5),475)),BidangList,0)),INDEX(checklistPesertaKemenkeu!$L$6:$L$1005,SMALL(IF(checklistPesertaKemenkeu!$AY$6:$AY$1005="Direkomendasikan",ROW($6:$1005)-5),475)))&gt;0,COUNTIF(INDIRECT("'KERTAS KERJA'!K"&amp;(SMALL(IF(checklistPesertaKemenkeu!$AY$6:$AY$1005="Direkomendasikan",ROW($6:$1005)-5),475)+5)&amp;":O"&amp;(SMALL(IF(checklistPesertaKemenkeu!$AY$6:$AY$1005="Direkomendasikan",ROW($6:$1005)-5),475)+5)),INDEX(checklistPesertaKemenkeu!$L$6:$L$1005,SMALL(IF(checklistPesertaKemenkeu!$AY$6:$AY$1005="Direkomendasikan",ROW($6:$1005)-5),475)))=1),IFERROR(VLOOKUP(INDEX(checklistPesertaKemenkeu!$L$6:$L$1005,SMALL(IF(checklistPesertaKemenkeu!$AY$6:$AY$1005="Direkomendasikan",ROW($6:$1005)-5),475)),KotaKode,2,0),"-"),"")),"")</f>
        <v/>
      </c>
      <c r="I476" t="str">
        <f t="array" aca="1" ref="I476" ca="1">IFERROR(IF(OR(INDEX(checklistPesertaKemenkeu!$M$6:$M$1005,SMALL(IF(checklistPesertaKemenkeu!$AY$6:$AY$1005="Direkomendasikan",ROW($6:$1005)-5),475))="",INDEX(checklistPesertaKemenkeu!$J$6:$J$1005,SMALL(IF(checklistPesertaKemenkeu!$AY$6:$AY$1005="Direkomendasikan",ROW($6:$1005)-5),475))=""),"",IF(AND(COUNTIF(INDIRECT("K_"&amp;MATCH(INDEX(checklistPesertaKemenkeu!$J$6:$J$1005,SMALL(IF(checklistPesertaKemenkeu!$AY$6:$AY$1005="Direkomendasikan",ROW($6:$1005)-5),475)),BidangList,0)),INDEX(checklistPesertaKemenkeu!$M$6:$M$1005,SMALL(IF(checklistPesertaKemenkeu!$AY$6:$AY$1005="Direkomendasikan",ROW($6:$1005)-5),475)))&gt;0,COUNTIF(INDIRECT("'KERTAS KERJA'!K"&amp;(SMALL(IF(checklistPesertaKemenkeu!$AY$6:$AY$1005="Direkomendasikan",ROW($6:$1005)-5),475)+5)&amp;":O"&amp;(SMALL(IF(checklistPesertaKemenkeu!$AY$6:$AY$1005="Direkomendasikan",ROW($6:$1005)-5),475)+5)),INDEX(checklistPesertaKemenkeu!$M$6:$M$1005,SMALL(IF(checklistPesertaKemenkeu!$AY$6:$AY$1005="Direkomendasikan",ROW($6:$1005)-5),475)))=1),IFERROR(VLOOKUP(INDEX(checklistPesertaKemenkeu!$M$6:$M$1005,SMALL(IF(checklistPesertaKemenkeu!$AY$6:$AY$1005="Direkomendasikan",ROW($6:$1005)-5),475)),KotaKode,2,0),"-"),"")),"")</f>
        <v/>
      </c>
      <c r="J476" t="str">
        <f t="array" aca="1" ref="J476" ca="1">IFERROR(IF(OR(INDEX(checklistPesertaKemenkeu!$N$6:$N$1005,SMALL(IF(checklistPesertaKemenkeu!$AY$6:$AY$1005="Direkomendasikan",ROW($6:$1005)-5),475))="",INDEX(checklistPesertaKemenkeu!$J$6:$J$1005,SMALL(IF(checklistPesertaKemenkeu!$AY$6:$AY$1005="Direkomendasikan",ROW($6:$1005)-5),475))=""),"",IF(AND(COUNTIF(INDIRECT("K_"&amp;MATCH(INDEX(checklistPesertaKemenkeu!$J$6:$J$1005,SMALL(IF(checklistPesertaKemenkeu!$AY$6:$AY$1005="Direkomendasikan",ROW($6:$1005)-5),475)),BidangList,0)),INDEX(checklistPesertaKemenkeu!$N$6:$N$1005,SMALL(IF(checklistPesertaKemenkeu!$AY$6:$AY$1005="Direkomendasikan",ROW($6:$1005)-5),475)))&gt;0,COUNTIF(INDIRECT("'KERTAS KERJA'!K"&amp;(SMALL(IF(checklistPesertaKemenkeu!$AY$6:$AY$1005="Direkomendasikan",ROW($6:$1005)-5),475)+5)&amp;":O"&amp;(SMALL(IF(checklistPesertaKemenkeu!$AY$6:$AY$1005="Direkomendasikan",ROW($6:$1005)-5),475)+5)),INDEX(checklistPesertaKemenkeu!$N$6:$N$1005,SMALL(IF(checklistPesertaKemenkeu!$AY$6:$AY$1005="Direkomendasikan",ROW($6:$1005)-5),475)))=1),IFERROR(VLOOKUP(INDEX(checklistPesertaKemenkeu!$N$6:$N$1005,SMALL(IF(checklistPesertaKemenkeu!$AY$6:$AY$1005="Direkomendasikan",ROW($6:$1005)-5),475)),KotaKode,2,0),"-"),"")),"")</f>
        <v/>
      </c>
      <c r="K476" t="str">
        <f t="array" aca="1" ref="K476" ca="1">IFERROR(IF(OR(INDEX(checklistPesertaKemenkeu!$O$6:$O$1005,SMALL(IF(checklistPesertaKemenkeu!$AY$6:$AY$1005="Direkomendasikan",ROW($6:$1005)-5),475))="",INDEX(checklistPesertaKemenkeu!$J$6:$J$1005,SMALL(IF(checklistPesertaKemenkeu!$AY$6:$AY$1005="Direkomendasikan",ROW($6:$1005)-5),475))=""),"",IF(AND(COUNTIF(INDIRECT("K_"&amp;MATCH(INDEX(checklistPesertaKemenkeu!$J$6:$J$1005,SMALL(IF(checklistPesertaKemenkeu!$AY$6:$AY$1005="Direkomendasikan",ROW($6:$1005)-5),475)),BidangList,0)),INDEX(checklistPesertaKemenkeu!$O$6:$O$1005,SMALL(IF(checklistPesertaKemenkeu!$AY$6:$AY$1005="Direkomendasikan",ROW($6:$1005)-5),475)))&gt;0,COUNTIF(INDIRECT("'KERTAS KERJA'!K"&amp;(SMALL(IF(checklistPesertaKemenkeu!$AY$6:$AY$1005="Direkomendasikan",ROW($6:$1005)-5),475)+5)&amp;":O"&amp;(SMALL(IF(checklistPesertaKemenkeu!$AY$6:$AY$1005="Direkomendasikan",ROW($6:$1005)-5),475)+5)),INDEX(checklistPesertaKemenkeu!$O$6:$O$1005,SMALL(IF(checklistPesertaKemenkeu!$AY$6:$AY$1005="Direkomendasikan",ROW($6:$1005)-5),475)))=1),IFERROR(VLOOKUP(INDEX(checklistPesertaKemenkeu!$O$6:$O$1005,SMALL(IF(checklistPesertaKemenkeu!$AY$6:$AY$1005="Direkomendasikan",ROW($6:$1005)-5),475)),KotaKode,2,0),"-"),"")),"")</f>
        <v/>
      </c>
      <c r="L476" t="str">
        <f t="array" aca="1" ref="L476" ca="1">IFERROR(IF(OR(INDEX(checklistPesertaKemenkeu!$P$6:$P$1005,SMALL(IF(checklistPesertaKemenkeu!$AY$6:$AY$1005="Direkomendasikan",ROW($6:$1005)-5),475))="",INDEX(checklistPesertaKemenkeu!$J$6:$J$1005,SMALL(IF(checklistPesertaKemenkeu!$AY$6:$AY$1005="Direkomendasikan",ROW($6:$1005)-5),475))=""),"",IF(AND(COUNTIF(INDIRECT("K_"&amp;MATCH(INDEX(checklistPesertaKemenkeu!$J$6:$J$1005,SMALL(IF(checklistPesertaKemenkeu!$AY$6:$AY$1005="Direkomendasikan",ROW($6:$1005)-5),475)),BidangList,0)),INDEX(checklistPesertaKemenkeu!$P$6:$P$1005,SMALL(IF(checklistPesertaKemenkeu!$AY$6:$AY$1005="Direkomendasikan",ROW($6:$1005)-5),475)))&gt;0,COUNTIF(INDIRECT("'KERTAS KERJA'!K"&amp;(SMALL(IF(checklistPesertaKemenkeu!$AY$6:$AY$1005="Direkomendasikan",ROW($6:$1005)-5),475)+5)&amp;":O"&amp;(SMALL(IF(checklistPesertaKemenkeu!$AY$6:$AY$1005="Direkomendasikan",ROW($6:$1005)-5),475)+5)),INDEX(checklistPesertaKemenkeu!$P$6:$P$1005,SMALL(IF(checklistPesertaKemenkeu!$AY$6:$AY$1005="Direkomendasikan",ROW($6:$1005)-5),475)))=1),IFERROR(VLOOKUP(INDEX(checklistPesertaKemenkeu!$P$6:$P$1005,SMALL(IF(checklistPesertaKemenkeu!$AY$6:$AY$1005="Direkomendasikan",ROW($6:$1005)-5),475)),KotaKode,2,0),"-"),"")),"")</f>
        <v/>
      </c>
    </row>
    <row r="477" spans="1:12" ht="15" customHeight="1" x14ac:dyDescent="0.2">
      <c r="A477" t="str">
        <f t="shared" si="7"/>
        <v/>
      </c>
      <c r="B477" t="str">
        <v/>
      </c>
      <c r="C477" s="40" t="str">
        <f t="array" ref="C477">IFERROR(INDEX(checklistPesertaKemenkeu!$F$6:$F$1005,SMALL(IF(checklistPesertaKemenkeu!$AY$6:$AY$1005="Direkomendasikan",ROW($6:$1005)-5),476)),"")</f>
        <v/>
      </c>
      <c r="D477" t="str">
        <f t="array" ref="D477">IFERROR(INDEX(checklistPesertaKemenkeu!$G$6:$G$1005,SMALL(IF(checklistPesertaKemenkeu!$AY$6:$AY$1005="Direkomendasikan",ROW($6:$1005)-5),476)),"")</f>
        <v/>
      </c>
      <c r="E477" t="str">
        <f t="array" ref="E477">IFERROR(INDEX(checklistPesertaKemenkeu!$H$6:$H$1005,SMALL(IF(checklistPesertaKemenkeu!$AY$6:$AY$1005="Direkomendasikan",ROW($6:$1005)-5),476)),"")</f>
        <v/>
      </c>
      <c r="F477" t="str">
        <f t="array" ref="F477">IFERROR(INDEX(checklistPesertaKemenkeu!$I$6:$I$1005,SMALL(IF(checklistPesertaKemenkeu!$AY$6:$AY$1005="Direkomendasikan",ROW($6:$1005)-5),476)),"")</f>
        <v/>
      </c>
      <c r="G477" t="str">
        <f t="array" ref="G477">IFERROR(INDEX(checklistPesertaKemenkeu!$J$6:$J$1005,SMALL(IF(checklistPesertaKemenkeu!$AY$6:$AY$1005="Direkomendasikan",ROW($6:$1005)-5),476)),"")</f>
        <v/>
      </c>
      <c r="H477" t="str">
        <f t="array" aca="1" ref="H477" ca="1">IFERROR(IF(OR(INDEX(checklistPesertaKemenkeu!$L$6:$L$1005,SMALL(IF(checklistPesertaKemenkeu!$AY$6:$AY$1005="Direkomendasikan",ROW($6:$1005)-5),476))="",INDEX(checklistPesertaKemenkeu!$J$6:$J$1005,SMALL(IF(checklistPesertaKemenkeu!$AY$6:$AY$1005="Direkomendasikan",ROW($6:$1005)-5),476))=""),"",IF(AND(COUNTIF(INDIRECT("K_"&amp;MATCH(INDEX(checklistPesertaKemenkeu!$J$6:$J$1005,SMALL(IF(checklistPesertaKemenkeu!$AY$6:$AY$1005="Direkomendasikan",ROW($6:$1005)-5),476)),BidangList,0)),INDEX(checklistPesertaKemenkeu!$L$6:$L$1005,SMALL(IF(checklistPesertaKemenkeu!$AY$6:$AY$1005="Direkomendasikan",ROW($6:$1005)-5),476)))&gt;0,COUNTIF(INDIRECT("'KERTAS KERJA'!K"&amp;(SMALL(IF(checklistPesertaKemenkeu!$AY$6:$AY$1005="Direkomendasikan",ROW($6:$1005)-5),476)+5)&amp;":O"&amp;(SMALL(IF(checklistPesertaKemenkeu!$AY$6:$AY$1005="Direkomendasikan",ROW($6:$1005)-5),476)+5)),INDEX(checklistPesertaKemenkeu!$L$6:$L$1005,SMALL(IF(checklistPesertaKemenkeu!$AY$6:$AY$1005="Direkomendasikan",ROW($6:$1005)-5),476)))=1),IFERROR(VLOOKUP(INDEX(checklistPesertaKemenkeu!$L$6:$L$1005,SMALL(IF(checklistPesertaKemenkeu!$AY$6:$AY$1005="Direkomendasikan",ROW($6:$1005)-5),476)),KotaKode,2,0),"-"),"")),"")</f>
        <v/>
      </c>
      <c r="I477" t="str">
        <f t="array" aca="1" ref="I477" ca="1">IFERROR(IF(OR(INDEX(checklistPesertaKemenkeu!$M$6:$M$1005,SMALL(IF(checklistPesertaKemenkeu!$AY$6:$AY$1005="Direkomendasikan",ROW($6:$1005)-5),476))="",INDEX(checklistPesertaKemenkeu!$J$6:$J$1005,SMALL(IF(checklistPesertaKemenkeu!$AY$6:$AY$1005="Direkomendasikan",ROW($6:$1005)-5),476))=""),"",IF(AND(COUNTIF(INDIRECT("K_"&amp;MATCH(INDEX(checklistPesertaKemenkeu!$J$6:$J$1005,SMALL(IF(checklistPesertaKemenkeu!$AY$6:$AY$1005="Direkomendasikan",ROW($6:$1005)-5),476)),BidangList,0)),INDEX(checklistPesertaKemenkeu!$M$6:$M$1005,SMALL(IF(checklistPesertaKemenkeu!$AY$6:$AY$1005="Direkomendasikan",ROW($6:$1005)-5),476)))&gt;0,COUNTIF(INDIRECT("'KERTAS KERJA'!K"&amp;(SMALL(IF(checklistPesertaKemenkeu!$AY$6:$AY$1005="Direkomendasikan",ROW($6:$1005)-5),476)+5)&amp;":O"&amp;(SMALL(IF(checklistPesertaKemenkeu!$AY$6:$AY$1005="Direkomendasikan",ROW($6:$1005)-5),476)+5)),INDEX(checklistPesertaKemenkeu!$M$6:$M$1005,SMALL(IF(checklistPesertaKemenkeu!$AY$6:$AY$1005="Direkomendasikan",ROW($6:$1005)-5),476)))=1),IFERROR(VLOOKUP(INDEX(checklistPesertaKemenkeu!$M$6:$M$1005,SMALL(IF(checklistPesertaKemenkeu!$AY$6:$AY$1005="Direkomendasikan",ROW($6:$1005)-5),476)),KotaKode,2,0),"-"),"")),"")</f>
        <v/>
      </c>
      <c r="J477" t="str">
        <f t="array" aca="1" ref="J477" ca="1">IFERROR(IF(OR(INDEX(checklistPesertaKemenkeu!$N$6:$N$1005,SMALL(IF(checklistPesertaKemenkeu!$AY$6:$AY$1005="Direkomendasikan",ROW($6:$1005)-5),476))="",INDEX(checklistPesertaKemenkeu!$J$6:$J$1005,SMALL(IF(checklistPesertaKemenkeu!$AY$6:$AY$1005="Direkomendasikan",ROW($6:$1005)-5),476))=""),"",IF(AND(COUNTIF(INDIRECT("K_"&amp;MATCH(INDEX(checklistPesertaKemenkeu!$J$6:$J$1005,SMALL(IF(checklistPesertaKemenkeu!$AY$6:$AY$1005="Direkomendasikan",ROW($6:$1005)-5),476)),BidangList,0)),INDEX(checklistPesertaKemenkeu!$N$6:$N$1005,SMALL(IF(checklistPesertaKemenkeu!$AY$6:$AY$1005="Direkomendasikan",ROW($6:$1005)-5),476)))&gt;0,COUNTIF(INDIRECT("'KERTAS KERJA'!K"&amp;(SMALL(IF(checklistPesertaKemenkeu!$AY$6:$AY$1005="Direkomendasikan",ROW($6:$1005)-5),476)+5)&amp;":O"&amp;(SMALL(IF(checklistPesertaKemenkeu!$AY$6:$AY$1005="Direkomendasikan",ROW($6:$1005)-5),476)+5)),INDEX(checklistPesertaKemenkeu!$N$6:$N$1005,SMALL(IF(checklistPesertaKemenkeu!$AY$6:$AY$1005="Direkomendasikan",ROW($6:$1005)-5),476)))=1),IFERROR(VLOOKUP(INDEX(checklistPesertaKemenkeu!$N$6:$N$1005,SMALL(IF(checklistPesertaKemenkeu!$AY$6:$AY$1005="Direkomendasikan",ROW($6:$1005)-5),476)),KotaKode,2,0),"-"),"")),"")</f>
        <v/>
      </c>
      <c r="K477" t="str">
        <f t="array" aca="1" ref="K477" ca="1">IFERROR(IF(OR(INDEX(checklistPesertaKemenkeu!$O$6:$O$1005,SMALL(IF(checklistPesertaKemenkeu!$AY$6:$AY$1005="Direkomendasikan",ROW($6:$1005)-5),476))="",INDEX(checklistPesertaKemenkeu!$J$6:$J$1005,SMALL(IF(checklistPesertaKemenkeu!$AY$6:$AY$1005="Direkomendasikan",ROW($6:$1005)-5),476))=""),"",IF(AND(COUNTIF(INDIRECT("K_"&amp;MATCH(INDEX(checklistPesertaKemenkeu!$J$6:$J$1005,SMALL(IF(checklistPesertaKemenkeu!$AY$6:$AY$1005="Direkomendasikan",ROW($6:$1005)-5),476)),BidangList,0)),INDEX(checklistPesertaKemenkeu!$O$6:$O$1005,SMALL(IF(checklistPesertaKemenkeu!$AY$6:$AY$1005="Direkomendasikan",ROW($6:$1005)-5),476)))&gt;0,COUNTIF(INDIRECT("'KERTAS KERJA'!K"&amp;(SMALL(IF(checklistPesertaKemenkeu!$AY$6:$AY$1005="Direkomendasikan",ROW($6:$1005)-5),476)+5)&amp;":O"&amp;(SMALL(IF(checklistPesertaKemenkeu!$AY$6:$AY$1005="Direkomendasikan",ROW($6:$1005)-5),476)+5)),INDEX(checklistPesertaKemenkeu!$O$6:$O$1005,SMALL(IF(checklistPesertaKemenkeu!$AY$6:$AY$1005="Direkomendasikan",ROW($6:$1005)-5),476)))=1),IFERROR(VLOOKUP(INDEX(checklistPesertaKemenkeu!$O$6:$O$1005,SMALL(IF(checklistPesertaKemenkeu!$AY$6:$AY$1005="Direkomendasikan",ROW($6:$1005)-5),476)),KotaKode,2,0),"-"),"")),"")</f>
        <v/>
      </c>
      <c r="L477" t="str">
        <f t="array" aca="1" ref="L477" ca="1">IFERROR(IF(OR(INDEX(checklistPesertaKemenkeu!$P$6:$P$1005,SMALL(IF(checklistPesertaKemenkeu!$AY$6:$AY$1005="Direkomendasikan",ROW($6:$1005)-5),476))="",INDEX(checklistPesertaKemenkeu!$J$6:$J$1005,SMALL(IF(checklistPesertaKemenkeu!$AY$6:$AY$1005="Direkomendasikan",ROW($6:$1005)-5),476))=""),"",IF(AND(COUNTIF(INDIRECT("K_"&amp;MATCH(INDEX(checklistPesertaKemenkeu!$J$6:$J$1005,SMALL(IF(checklistPesertaKemenkeu!$AY$6:$AY$1005="Direkomendasikan",ROW($6:$1005)-5),476)),BidangList,0)),INDEX(checklistPesertaKemenkeu!$P$6:$P$1005,SMALL(IF(checklistPesertaKemenkeu!$AY$6:$AY$1005="Direkomendasikan",ROW($6:$1005)-5),476)))&gt;0,COUNTIF(INDIRECT("'KERTAS KERJA'!K"&amp;(SMALL(IF(checklistPesertaKemenkeu!$AY$6:$AY$1005="Direkomendasikan",ROW($6:$1005)-5),476)+5)&amp;":O"&amp;(SMALL(IF(checklistPesertaKemenkeu!$AY$6:$AY$1005="Direkomendasikan",ROW($6:$1005)-5),476)+5)),INDEX(checklistPesertaKemenkeu!$P$6:$P$1005,SMALL(IF(checklistPesertaKemenkeu!$AY$6:$AY$1005="Direkomendasikan",ROW($6:$1005)-5),476)))=1),IFERROR(VLOOKUP(INDEX(checklistPesertaKemenkeu!$P$6:$P$1005,SMALL(IF(checklistPesertaKemenkeu!$AY$6:$AY$1005="Direkomendasikan",ROW($6:$1005)-5),476)),KotaKode,2,0),"-"),"")),"")</f>
        <v/>
      </c>
    </row>
    <row r="478" spans="1:12" ht="15" customHeight="1" x14ac:dyDescent="0.2">
      <c r="A478" t="str">
        <f t="shared" si="7"/>
        <v/>
      </c>
      <c r="B478" t="str">
        <v/>
      </c>
      <c r="C478" s="40" t="str">
        <f t="array" ref="C478">IFERROR(INDEX(checklistPesertaKemenkeu!$F$6:$F$1005,SMALL(IF(checklistPesertaKemenkeu!$AY$6:$AY$1005="Direkomendasikan",ROW($6:$1005)-5),477)),"")</f>
        <v/>
      </c>
      <c r="D478" t="str">
        <f t="array" ref="D478">IFERROR(INDEX(checklistPesertaKemenkeu!$G$6:$G$1005,SMALL(IF(checklistPesertaKemenkeu!$AY$6:$AY$1005="Direkomendasikan",ROW($6:$1005)-5),477)),"")</f>
        <v/>
      </c>
      <c r="E478" t="str">
        <f t="array" ref="E478">IFERROR(INDEX(checklistPesertaKemenkeu!$H$6:$H$1005,SMALL(IF(checklistPesertaKemenkeu!$AY$6:$AY$1005="Direkomendasikan",ROW($6:$1005)-5),477)),"")</f>
        <v/>
      </c>
      <c r="F478" t="str">
        <f t="array" ref="F478">IFERROR(INDEX(checklistPesertaKemenkeu!$I$6:$I$1005,SMALL(IF(checklistPesertaKemenkeu!$AY$6:$AY$1005="Direkomendasikan",ROW($6:$1005)-5),477)),"")</f>
        <v/>
      </c>
      <c r="G478" t="str">
        <f t="array" ref="G478">IFERROR(INDEX(checklistPesertaKemenkeu!$J$6:$J$1005,SMALL(IF(checklistPesertaKemenkeu!$AY$6:$AY$1005="Direkomendasikan",ROW($6:$1005)-5),477)),"")</f>
        <v/>
      </c>
      <c r="H478" t="str">
        <f t="array" aca="1" ref="H478" ca="1">IFERROR(IF(OR(INDEX(checklistPesertaKemenkeu!$L$6:$L$1005,SMALL(IF(checklistPesertaKemenkeu!$AY$6:$AY$1005="Direkomendasikan",ROW($6:$1005)-5),477))="",INDEX(checklistPesertaKemenkeu!$J$6:$J$1005,SMALL(IF(checklistPesertaKemenkeu!$AY$6:$AY$1005="Direkomendasikan",ROW($6:$1005)-5),477))=""),"",IF(AND(COUNTIF(INDIRECT("K_"&amp;MATCH(INDEX(checklistPesertaKemenkeu!$J$6:$J$1005,SMALL(IF(checklistPesertaKemenkeu!$AY$6:$AY$1005="Direkomendasikan",ROW($6:$1005)-5),477)),BidangList,0)),INDEX(checklistPesertaKemenkeu!$L$6:$L$1005,SMALL(IF(checklistPesertaKemenkeu!$AY$6:$AY$1005="Direkomendasikan",ROW($6:$1005)-5),477)))&gt;0,COUNTIF(INDIRECT("'KERTAS KERJA'!K"&amp;(SMALL(IF(checklistPesertaKemenkeu!$AY$6:$AY$1005="Direkomendasikan",ROW($6:$1005)-5),477)+5)&amp;":O"&amp;(SMALL(IF(checklistPesertaKemenkeu!$AY$6:$AY$1005="Direkomendasikan",ROW($6:$1005)-5),477)+5)),INDEX(checklistPesertaKemenkeu!$L$6:$L$1005,SMALL(IF(checklistPesertaKemenkeu!$AY$6:$AY$1005="Direkomendasikan",ROW($6:$1005)-5),477)))=1),IFERROR(VLOOKUP(INDEX(checklistPesertaKemenkeu!$L$6:$L$1005,SMALL(IF(checklistPesertaKemenkeu!$AY$6:$AY$1005="Direkomendasikan",ROW($6:$1005)-5),477)),KotaKode,2,0),"-"),"")),"")</f>
        <v/>
      </c>
      <c r="I478" t="str">
        <f t="array" aca="1" ref="I478" ca="1">IFERROR(IF(OR(INDEX(checklistPesertaKemenkeu!$M$6:$M$1005,SMALL(IF(checklistPesertaKemenkeu!$AY$6:$AY$1005="Direkomendasikan",ROW($6:$1005)-5),477))="",INDEX(checklistPesertaKemenkeu!$J$6:$J$1005,SMALL(IF(checklistPesertaKemenkeu!$AY$6:$AY$1005="Direkomendasikan",ROW($6:$1005)-5),477))=""),"",IF(AND(COUNTIF(INDIRECT("K_"&amp;MATCH(INDEX(checklistPesertaKemenkeu!$J$6:$J$1005,SMALL(IF(checklistPesertaKemenkeu!$AY$6:$AY$1005="Direkomendasikan",ROW($6:$1005)-5),477)),BidangList,0)),INDEX(checklistPesertaKemenkeu!$M$6:$M$1005,SMALL(IF(checklistPesertaKemenkeu!$AY$6:$AY$1005="Direkomendasikan",ROW($6:$1005)-5),477)))&gt;0,COUNTIF(INDIRECT("'KERTAS KERJA'!K"&amp;(SMALL(IF(checklistPesertaKemenkeu!$AY$6:$AY$1005="Direkomendasikan",ROW($6:$1005)-5),477)+5)&amp;":O"&amp;(SMALL(IF(checklistPesertaKemenkeu!$AY$6:$AY$1005="Direkomendasikan",ROW($6:$1005)-5),477)+5)),INDEX(checklistPesertaKemenkeu!$M$6:$M$1005,SMALL(IF(checklistPesertaKemenkeu!$AY$6:$AY$1005="Direkomendasikan",ROW($6:$1005)-5),477)))=1),IFERROR(VLOOKUP(INDEX(checklistPesertaKemenkeu!$M$6:$M$1005,SMALL(IF(checklistPesertaKemenkeu!$AY$6:$AY$1005="Direkomendasikan",ROW($6:$1005)-5),477)),KotaKode,2,0),"-"),"")),"")</f>
        <v/>
      </c>
      <c r="J478" t="str">
        <f t="array" aca="1" ref="J478" ca="1">IFERROR(IF(OR(INDEX(checklistPesertaKemenkeu!$N$6:$N$1005,SMALL(IF(checklistPesertaKemenkeu!$AY$6:$AY$1005="Direkomendasikan",ROW($6:$1005)-5),477))="",INDEX(checklistPesertaKemenkeu!$J$6:$J$1005,SMALL(IF(checklistPesertaKemenkeu!$AY$6:$AY$1005="Direkomendasikan",ROW($6:$1005)-5),477))=""),"",IF(AND(COUNTIF(INDIRECT("K_"&amp;MATCH(INDEX(checklistPesertaKemenkeu!$J$6:$J$1005,SMALL(IF(checklistPesertaKemenkeu!$AY$6:$AY$1005="Direkomendasikan",ROW($6:$1005)-5),477)),BidangList,0)),INDEX(checklistPesertaKemenkeu!$N$6:$N$1005,SMALL(IF(checklistPesertaKemenkeu!$AY$6:$AY$1005="Direkomendasikan",ROW($6:$1005)-5),477)))&gt;0,COUNTIF(INDIRECT("'KERTAS KERJA'!K"&amp;(SMALL(IF(checklistPesertaKemenkeu!$AY$6:$AY$1005="Direkomendasikan",ROW($6:$1005)-5),477)+5)&amp;":O"&amp;(SMALL(IF(checklistPesertaKemenkeu!$AY$6:$AY$1005="Direkomendasikan",ROW($6:$1005)-5),477)+5)),INDEX(checklistPesertaKemenkeu!$N$6:$N$1005,SMALL(IF(checklistPesertaKemenkeu!$AY$6:$AY$1005="Direkomendasikan",ROW($6:$1005)-5),477)))=1),IFERROR(VLOOKUP(INDEX(checklistPesertaKemenkeu!$N$6:$N$1005,SMALL(IF(checklistPesertaKemenkeu!$AY$6:$AY$1005="Direkomendasikan",ROW($6:$1005)-5),477)),KotaKode,2,0),"-"),"")),"")</f>
        <v/>
      </c>
      <c r="K478" t="str">
        <f t="array" aca="1" ref="K478" ca="1">IFERROR(IF(OR(INDEX(checklistPesertaKemenkeu!$O$6:$O$1005,SMALL(IF(checklistPesertaKemenkeu!$AY$6:$AY$1005="Direkomendasikan",ROW($6:$1005)-5),477))="",INDEX(checklistPesertaKemenkeu!$J$6:$J$1005,SMALL(IF(checklistPesertaKemenkeu!$AY$6:$AY$1005="Direkomendasikan",ROW($6:$1005)-5),477))=""),"",IF(AND(COUNTIF(INDIRECT("K_"&amp;MATCH(INDEX(checklistPesertaKemenkeu!$J$6:$J$1005,SMALL(IF(checklistPesertaKemenkeu!$AY$6:$AY$1005="Direkomendasikan",ROW($6:$1005)-5),477)),BidangList,0)),INDEX(checklistPesertaKemenkeu!$O$6:$O$1005,SMALL(IF(checklistPesertaKemenkeu!$AY$6:$AY$1005="Direkomendasikan",ROW($6:$1005)-5),477)))&gt;0,COUNTIF(INDIRECT("'KERTAS KERJA'!K"&amp;(SMALL(IF(checklistPesertaKemenkeu!$AY$6:$AY$1005="Direkomendasikan",ROW($6:$1005)-5),477)+5)&amp;":O"&amp;(SMALL(IF(checklistPesertaKemenkeu!$AY$6:$AY$1005="Direkomendasikan",ROW($6:$1005)-5),477)+5)),INDEX(checklistPesertaKemenkeu!$O$6:$O$1005,SMALL(IF(checklistPesertaKemenkeu!$AY$6:$AY$1005="Direkomendasikan",ROW($6:$1005)-5),477)))=1),IFERROR(VLOOKUP(INDEX(checklistPesertaKemenkeu!$O$6:$O$1005,SMALL(IF(checklistPesertaKemenkeu!$AY$6:$AY$1005="Direkomendasikan",ROW($6:$1005)-5),477)),KotaKode,2,0),"-"),"")),"")</f>
        <v/>
      </c>
      <c r="L478" t="str">
        <f t="array" aca="1" ref="L478" ca="1">IFERROR(IF(OR(INDEX(checklistPesertaKemenkeu!$P$6:$P$1005,SMALL(IF(checklistPesertaKemenkeu!$AY$6:$AY$1005="Direkomendasikan",ROW($6:$1005)-5),477))="",INDEX(checklistPesertaKemenkeu!$J$6:$J$1005,SMALL(IF(checklistPesertaKemenkeu!$AY$6:$AY$1005="Direkomendasikan",ROW($6:$1005)-5),477))=""),"",IF(AND(COUNTIF(INDIRECT("K_"&amp;MATCH(INDEX(checklistPesertaKemenkeu!$J$6:$J$1005,SMALL(IF(checklistPesertaKemenkeu!$AY$6:$AY$1005="Direkomendasikan",ROW($6:$1005)-5),477)),BidangList,0)),INDEX(checklistPesertaKemenkeu!$P$6:$P$1005,SMALL(IF(checklistPesertaKemenkeu!$AY$6:$AY$1005="Direkomendasikan",ROW($6:$1005)-5),477)))&gt;0,COUNTIF(INDIRECT("'KERTAS KERJA'!K"&amp;(SMALL(IF(checklistPesertaKemenkeu!$AY$6:$AY$1005="Direkomendasikan",ROW($6:$1005)-5),477)+5)&amp;":O"&amp;(SMALL(IF(checklistPesertaKemenkeu!$AY$6:$AY$1005="Direkomendasikan",ROW($6:$1005)-5),477)+5)),INDEX(checklistPesertaKemenkeu!$P$6:$P$1005,SMALL(IF(checklistPesertaKemenkeu!$AY$6:$AY$1005="Direkomendasikan",ROW($6:$1005)-5),477)))=1),IFERROR(VLOOKUP(INDEX(checklistPesertaKemenkeu!$P$6:$P$1005,SMALL(IF(checklistPesertaKemenkeu!$AY$6:$AY$1005="Direkomendasikan",ROW($6:$1005)-5),477)),KotaKode,2,0),"-"),"")),"")</f>
        <v/>
      </c>
    </row>
    <row r="479" spans="1:12" ht="15" customHeight="1" x14ac:dyDescent="0.2">
      <c r="A479" t="str">
        <f t="shared" si="7"/>
        <v/>
      </c>
      <c r="B479" t="str">
        <v/>
      </c>
      <c r="C479" s="40" t="str">
        <f t="array" ref="C479">IFERROR(INDEX(checklistPesertaKemenkeu!$F$6:$F$1005,SMALL(IF(checklistPesertaKemenkeu!$AY$6:$AY$1005="Direkomendasikan",ROW($6:$1005)-5),478)),"")</f>
        <v/>
      </c>
      <c r="D479" t="str">
        <f t="array" ref="D479">IFERROR(INDEX(checklistPesertaKemenkeu!$G$6:$G$1005,SMALL(IF(checklistPesertaKemenkeu!$AY$6:$AY$1005="Direkomendasikan",ROW($6:$1005)-5),478)),"")</f>
        <v/>
      </c>
      <c r="E479" t="str">
        <f t="array" ref="E479">IFERROR(INDEX(checklistPesertaKemenkeu!$H$6:$H$1005,SMALL(IF(checklistPesertaKemenkeu!$AY$6:$AY$1005="Direkomendasikan",ROW($6:$1005)-5),478)),"")</f>
        <v/>
      </c>
      <c r="F479" t="str">
        <f t="array" ref="F479">IFERROR(INDEX(checklistPesertaKemenkeu!$I$6:$I$1005,SMALL(IF(checklistPesertaKemenkeu!$AY$6:$AY$1005="Direkomendasikan",ROW($6:$1005)-5),478)),"")</f>
        <v/>
      </c>
      <c r="G479" t="str">
        <f t="array" ref="G479">IFERROR(INDEX(checklistPesertaKemenkeu!$J$6:$J$1005,SMALL(IF(checklistPesertaKemenkeu!$AY$6:$AY$1005="Direkomendasikan",ROW($6:$1005)-5),478)),"")</f>
        <v/>
      </c>
      <c r="H479" t="str">
        <f t="array" aca="1" ref="H479" ca="1">IFERROR(IF(OR(INDEX(checklistPesertaKemenkeu!$L$6:$L$1005,SMALL(IF(checklistPesertaKemenkeu!$AY$6:$AY$1005="Direkomendasikan",ROW($6:$1005)-5),478))="",INDEX(checklistPesertaKemenkeu!$J$6:$J$1005,SMALL(IF(checklistPesertaKemenkeu!$AY$6:$AY$1005="Direkomendasikan",ROW($6:$1005)-5),478))=""),"",IF(AND(COUNTIF(INDIRECT("K_"&amp;MATCH(INDEX(checklistPesertaKemenkeu!$J$6:$J$1005,SMALL(IF(checklistPesertaKemenkeu!$AY$6:$AY$1005="Direkomendasikan",ROW($6:$1005)-5),478)),BidangList,0)),INDEX(checklistPesertaKemenkeu!$L$6:$L$1005,SMALL(IF(checklistPesertaKemenkeu!$AY$6:$AY$1005="Direkomendasikan",ROW($6:$1005)-5),478)))&gt;0,COUNTIF(INDIRECT("'KERTAS KERJA'!K"&amp;(SMALL(IF(checklistPesertaKemenkeu!$AY$6:$AY$1005="Direkomendasikan",ROW($6:$1005)-5),478)+5)&amp;":O"&amp;(SMALL(IF(checklistPesertaKemenkeu!$AY$6:$AY$1005="Direkomendasikan",ROW($6:$1005)-5),478)+5)),INDEX(checklistPesertaKemenkeu!$L$6:$L$1005,SMALL(IF(checklistPesertaKemenkeu!$AY$6:$AY$1005="Direkomendasikan",ROW($6:$1005)-5),478)))=1),IFERROR(VLOOKUP(INDEX(checklistPesertaKemenkeu!$L$6:$L$1005,SMALL(IF(checklistPesertaKemenkeu!$AY$6:$AY$1005="Direkomendasikan",ROW($6:$1005)-5),478)),KotaKode,2,0),"-"),"")),"")</f>
        <v/>
      </c>
      <c r="I479" t="str">
        <f t="array" aca="1" ref="I479" ca="1">IFERROR(IF(OR(INDEX(checklistPesertaKemenkeu!$M$6:$M$1005,SMALL(IF(checklistPesertaKemenkeu!$AY$6:$AY$1005="Direkomendasikan",ROW($6:$1005)-5),478))="",INDEX(checklistPesertaKemenkeu!$J$6:$J$1005,SMALL(IF(checklistPesertaKemenkeu!$AY$6:$AY$1005="Direkomendasikan",ROW($6:$1005)-5),478))=""),"",IF(AND(COUNTIF(INDIRECT("K_"&amp;MATCH(INDEX(checklistPesertaKemenkeu!$J$6:$J$1005,SMALL(IF(checklistPesertaKemenkeu!$AY$6:$AY$1005="Direkomendasikan",ROW($6:$1005)-5),478)),BidangList,0)),INDEX(checklistPesertaKemenkeu!$M$6:$M$1005,SMALL(IF(checklistPesertaKemenkeu!$AY$6:$AY$1005="Direkomendasikan",ROW($6:$1005)-5),478)))&gt;0,COUNTIF(INDIRECT("'KERTAS KERJA'!K"&amp;(SMALL(IF(checklistPesertaKemenkeu!$AY$6:$AY$1005="Direkomendasikan",ROW($6:$1005)-5),478)+5)&amp;":O"&amp;(SMALL(IF(checklistPesertaKemenkeu!$AY$6:$AY$1005="Direkomendasikan",ROW($6:$1005)-5),478)+5)),INDEX(checklistPesertaKemenkeu!$M$6:$M$1005,SMALL(IF(checklistPesertaKemenkeu!$AY$6:$AY$1005="Direkomendasikan",ROW($6:$1005)-5),478)))=1),IFERROR(VLOOKUP(INDEX(checklistPesertaKemenkeu!$M$6:$M$1005,SMALL(IF(checklistPesertaKemenkeu!$AY$6:$AY$1005="Direkomendasikan",ROW($6:$1005)-5),478)),KotaKode,2,0),"-"),"")),"")</f>
        <v/>
      </c>
      <c r="J479" t="str">
        <f t="array" aca="1" ref="J479" ca="1">IFERROR(IF(OR(INDEX(checklistPesertaKemenkeu!$N$6:$N$1005,SMALL(IF(checklistPesertaKemenkeu!$AY$6:$AY$1005="Direkomendasikan",ROW($6:$1005)-5),478))="",INDEX(checklistPesertaKemenkeu!$J$6:$J$1005,SMALL(IF(checklistPesertaKemenkeu!$AY$6:$AY$1005="Direkomendasikan",ROW($6:$1005)-5),478))=""),"",IF(AND(COUNTIF(INDIRECT("K_"&amp;MATCH(INDEX(checklistPesertaKemenkeu!$J$6:$J$1005,SMALL(IF(checklistPesertaKemenkeu!$AY$6:$AY$1005="Direkomendasikan",ROW($6:$1005)-5),478)),BidangList,0)),INDEX(checklistPesertaKemenkeu!$N$6:$N$1005,SMALL(IF(checklistPesertaKemenkeu!$AY$6:$AY$1005="Direkomendasikan",ROW($6:$1005)-5),478)))&gt;0,COUNTIF(INDIRECT("'KERTAS KERJA'!K"&amp;(SMALL(IF(checklistPesertaKemenkeu!$AY$6:$AY$1005="Direkomendasikan",ROW($6:$1005)-5),478)+5)&amp;":O"&amp;(SMALL(IF(checklistPesertaKemenkeu!$AY$6:$AY$1005="Direkomendasikan",ROW($6:$1005)-5),478)+5)),INDEX(checklistPesertaKemenkeu!$N$6:$N$1005,SMALL(IF(checklistPesertaKemenkeu!$AY$6:$AY$1005="Direkomendasikan",ROW($6:$1005)-5),478)))=1),IFERROR(VLOOKUP(INDEX(checklistPesertaKemenkeu!$N$6:$N$1005,SMALL(IF(checklistPesertaKemenkeu!$AY$6:$AY$1005="Direkomendasikan",ROW($6:$1005)-5),478)),KotaKode,2,0),"-"),"")),"")</f>
        <v/>
      </c>
      <c r="K479" t="str">
        <f t="array" aca="1" ref="K479" ca="1">IFERROR(IF(OR(INDEX(checklistPesertaKemenkeu!$O$6:$O$1005,SMALL(IF(checklistPesertaKemenkeu!$AY$6:$AY$1005="Direkomendasikan",ROW($6:$1005)-5),478))="",INDEX(checklistPesertaKemenkeu!$J$6:$J$1005,SMALL(IF(checklistPesertaKemenkeu!$AY$6:$AY$1005="Direkomendasikan",ROW($6:$1005)-5),478))=""),"",IF(AND(COUNTIF(INDIRECT("K_"&amp;MATCH(INDEX(checklistPesertaKemenkeu!$J$6:$J$1005,SMALL(IF(checklistPesertaKemenkeu!$AY$6:$AY$1005="Direkomendasikan",ROW($6:$1005)-5),478)),BidangList,0)),INDEX(checklistPesertaKemenkeu!$O$6:$O$1005,SMALL(IF(checklistPesertaKemenkeu!$AY$6:$AY$1005="Direkomendasikan",ROW($6:$1005)-5),478)))&gt;0,COUNTIF(INDIRECT("'KERTAS KERJA'!K"&amp;(SMALL(IF(checklistPesertaKemenkeu!$AY$6:$AY$1005="Direkomendasikan",ROW($6:$1005)-5),478)+5)&amp;":O"&amp;(SMALL(IF(checklistPesertaKemenkeu!$AY$6:$AY$1005="Direkomendasikan",ROW($6:$1005)-5),478)+5)),INDEX(checklistPesertaKemenkeu!$O$6:$O$1005,SMALL(IF(checklistPesertaKemenkeu!$AY$6:$AY$1005="Direkomendasikan",ROW($6:$1005)-5),478)))=1),IFERROR(VLOOKUP(INDEX(checklistPesertaKemenkeu!$O$6:$O$1005,SMALL(IF(checklistPesertaKemenkeu!$AY$6:$AY$1005="Direkomendasikan",ROW($6:$1005)-5),478)),KotaKode,2,0),"-"),"")),"")</f>
        <v/>
      </c>
      <c r="L479" t="str">
        <f t="array" aca="1" ref="L479" ca="1">IFERROR(IF(OR(INDEX(checklistPesertaKemenkeu!$P$6:$P$1005,SMALL(IF(checklistPesertaKemenkeu!$AY$6:$AY$1005="Direkomendasikan",ROW($6:$1005)-5),478))="",INDEX(checklistPesertaKemenkeu!$J$6:$J$1005,SMALL(IF(checklistPesertaKemenkeu!$AY$6:$AY$1005="Direkomendasikan",ROW($6:$1005)-5),478))=""),"",IF(AND(COUNTIF(INDIRECT("K_"&amp;MATCH(INDEX(checklistPesertaKemenkeu!$J$6:$J$1005,SMALL(IF(checklistPesertaKemenkeu!$AY$6:$AY$1005="Direkomendasikan",ROW($6:$1005)-5),478)),BidangList,0)),INDEX(checklistPesertaKemenkeu!$P$6:$P$1005,SMALL(IF(checklistPesertaKemenkeu!$AY$6:$AY$1005="Direkomendasikan",ROW($6:$1005)-5),478)))&gt;0,COUNTIF(INDIRECT("'KERTAS KERJA'!K"&amp;(SMALL(IF(checklistPesertaKemenkeu!$AY$6:$AY$1005="Direkomendasikan",ROW($6:$1005)-5),478)+5)&amp;":O"&amp;(SMALL(IF(checklistPesertaKemenkeu!$AY$6:$AY$1005="Direkomendasikan",ROW($6:$1005)-5),478)+5)),INDEX(checklistPesertaKemenkeu!$P$6:$P$1005,SMALL(IF(checklistPesertaKemenkeu!$AY$6:$AY$1005="Direkomendasikan",ROW($6:$1005)-5),478)))=1),IFERROR(VLOOKUP(INDEX(checklistPesertaKemenkeu!$P$6:$P$1005,SMALL(IF(checklistPesertaKemenkeu!$AY$6:$AY$1005="Direkomendasikan",ROW($6:$1005)-5),478)),KotaKode,2,0),"-"),"")),"")</f>
        <v/>
      </c>
    </row>
    <row r="480" spans="1:12" ht="15" customHeight="1" x14ac:dyDescent="0.2">
      <c r="A480" t="str">
        <f t="shared" si="7"/>
        <v/>
      </c>
      <c r="B480" t="str">
        <v/>
      </c>
      <c r="C480" s="40" t="str">
        <f t="array" ref="C480">IFERROR(INDEX(checklistPesertaKemenkeu!$F$6:$F$1005,SMALL(IF(checklistPesertaKemenkeu!$AY$6:$AY$1005="Direkomendasikan",ROW($6:$1005)-5),479)),"")</f>
        <v/>
      </c>
      <c r="D480" t="str">
        <f t="array" ref="D480">IFERROR(INDEX(checklistPesertaKemenkeu!$G$6:$G$1005,SMALL(IF(checklistPesertaKemenkeu!$AY$6:$AY$1005="Direkomendasikan",ROW($6:$1005)-5),479)),"")</f>
        <v/>
      </c>
      <c r="E480" t="str">
        <f t="array" ref="E480">IFERROR(INDEX(checklistPesertaKemenkeu!$H$6:$H$1005,SMALL(IF(checklistPesertaKemenkeu!$AY$6:$AY$1005="Direkomendasikan",ROW($6:$1005)-5),479)),"")</f>
        <v/>
      </c>
      <c r="F480" t="str">
        <f t="array" ref="F480">IFERROR(INDEX(checklistPesertaKemenkeu!$I$6:$I$1005,SMALL(IF(checklistPesertaKemenkeu!$AY$6:$AY$1005="Direkomendasikan",ROW($6:$1005)-5),479)),"")</f>
        <v/>
      </c>
      <c r="G480" t="str">
        <f t="array" ref="G480">IFERROR(INDEX(checklistPesertaKemenkeu!$J$6:$J$1005,SMALL(IF(checklistPesertaKemenkeu!$AY$6:$AY$1005="Direkomendasikan",ROW($6:$1005)-5),479)),"")</f>
        <v/>
      </c>
      <c r="H480" t="str">
        <f t="array" aca="1" ref="H480" ca="1">IFERROR(IF(OR(INDEX(checklistPesertaKemenkeu!$L$6:$L$1005,SMALL(IF(checklistPesertaKemenkeu!$AY$6:$AY$1005="Direkomendasikan",ROW($6:$1005)-5),479))="",INDEX(checklistPesertaKemenkeu!$J$6:$J$1005,SMALL(IF(checklistPesertaKemenkeu!$AY$6:$AY$1005="Direkomendasikan",ROW($6:$1005)-5),479))=""),"",IF(AND(COUNTIF(INDIRECT("K_"&amp;MATCH(INDEX(checklistPesertaKemenkeu!$J$6:$J$1005,SMALL(IF(checklistPesertaKemenkeu!$AY$6:$AY$1005="Direkomendasikan",ROW($6:$1005)-5),479)),BidangList,0)),INDEX(checklistPesertaKemenkeu!$L$6:$L$1005,SMALL(IF(checklistPesertaKemenkeu!$AY$6:$AY$1005="Direkomendasikan",ROW($6:$1005)-5),479)))&gt;0,COUNTIF(INDIRECT("'KERTAS KERJA'!K"&amp;(SMALL(IF(checklistPesertaKemenkeu!$AY$6:$AY$1005="Direkomendasikan",ROW($6:$1005)-5),479)+5)&amp;":O"&amp;(SMALL(IF(checklistPesertaKemenkeu!$AY$6:$AY$1005="Direkomendasikan",ROW($6:$1005)-5),479)+5)),INDEX(checklistPesertaKemenkeu!$L$6:$L$1005,SMALL(IF(checklistPesertaKemenkeu!$AY$6:$AY$1005="Direkomendasikan",ROW($6:$1005)-5),479)))=1),IFERROR(VLOOKUP(INDEX(checklistPesertaKemenkeu!$L$6:$L$1005,SMALL(IF(checklistPesertaKemenkeu!$AY$6:$AY$1005="Direkomendasikan",ROW($6:$1005)-5),479)),KotaKode,2,0),"-"),"")),"")</f>
        <v/>
      </c>
      <c r="I480" t="str">
        <f t="array" aca="1" ref="I480" ca="1">IFERROR(IF(OR(INDEX(checklistPesertaKemenkeu!$M$6:$M$1005,SMALL(IF(checklistPesertaKemenkeu!$AY$6:$AY$1005="Direkomendasikan",ROW($6:$1005)-5),479))="",INDEX(checklistPesertaKemenkeu!$J$6:$J$1005,SMALL(IF(checklistPesertaKemenkeu!$AY$6:$AY$1005="Direkomendasikan",ROW($6:$1005)-5),479))=""),"",IF(AND(COUNTIF(INDIRECT("K_"&amp;MATCH(INDEX(checklistPesertaKemenkeu!$J$6:$J$1005,SMALL(IF(checklistPesertaKemenkeu!$AY$6:$AY$1005="Direkomendasikan",ROW($6:$1005)-5),479)),BidangList,0)),INDEX(checklistPesertaKemenkeu!$M$6:$M$1005,SMALL(IF(checklistPesertaKemenkeu!$AY$6:$AY$1005="Direkomendasikan",ROW($6:$1005)-5),479)))&gt;0,COUNTIF(INDIRECT("'KERTAS KERJA'!K"&amp;(SMALL(IF(checklistPesertaKemenkeu!$AY$6:$AY$1005="Direkomendasikan",ROW($6:$1005)-5),479)+5)&amp;":O"&amp;(SMALL(IF(checklistPesertaKemenkeu!$AY$6:$AY$1005="Direkomendasikan",ROW($6:$1005)-5),479)+5)),INDEX(checklistPesertaKemenkeu!$M$6:$M$1005,SMALL(IF(checklistPesertaKemenkeu!$AY$6:$AY$1005="Direkomendasikan",ROW($6:$1005)-5),479)))=1),IFERROR(VLOOKUP(INDEX(checklistPesertaKemenkeu!$M$6:$M$1005,SMALL(IF(checklistPesertaKemenkeu!$AY$6:$AY$1005="Direkomendasikan",ROW($6:$1005)-5),479)),KotaKode,2,0),"-"),"")),"")</f>
        <v/>
      </c>
      <c r="J480" t="str">
        <f t="array" aca="1" ref="J480" ca="1">IFERROR(IF(OR(INDEX(checklistPesertaKemenkeu!$N$6:$N$1005,SMALL(IF(checklistPesertaKemenkeu!$AY$6:$AY$1005="Direkomendasikan",ROW($6:$1005)-5),479))="",INDEX(checklistPesertaKemenkeu!$J$6:$J$1005,SMALL(IF(checklistPesertaKemenkeu!$AY$6:$AY$1005="Direkomendasikan",ROW($6:$1005)-5),479))=""),"",IF(AND(COUNTIF(INDIRECT("K_"&amp;MATCH(INDEX(checklistPesertaKemenkeu!$J$6:$J$1005,SMALL(IF(checklistPesertaKemenkeu!$AY$6:$AY$1005="Direkomendasikan",ROW($6:$1005)-5),479)),BidangList,0)),INDEX(checklistPesertaKemenkeu!$N$6:$N$1005,SMALL(IF(checklistPesertaKemenkeu!$AY$6:$AY$1005="Direkomendasikan",ROW($6:$1005)-5),479)))&gt;0,COUNTIF(INDIRECT("'KERTAS KERJA'!K"&amp;(SMALL(IF(checklistPesertaKemenkeu!$AY$6:$AY$1005="Direkomendasikan",ROW($6:$1005)-5),479)+5)&amp;":O"&amp;(SMALL(IF(checklistPesertaKemenkeu!$AY$6:$AY$1005="Direkomendasikan",ROW($6:$1005)-5),479)+5)),INDEX(checklistPesertaKemenkeu!$N$6:$N$1005,SMALL(IF(checklistPesertaKemenkeu!$AY$6:$AY$1005="Direkomendasikan",ROW($6:$1005)-5),479)))=1),IFERROR(VLOOKUP(INDEX(checklistPesertaKemenkeu!$N$6:$N$1005,SMALL(IF(checklistPesertaKemenkeu!$AY$6:$AY$1005="Direkomendasikan",ROW($6:$1005)-5),479)),KotaKode,2,0),"-"),"")),"")</f>
        <v/>
      </c>
      <c r="K480" t="str">
        <f t="array" aca="1" ref="K480" ca="1">IFERROR(IF(OR(INDEX(checklistPesertaKemenkeu!$O$6:$O$1005,SMALL(IF(checklistPesertaKemenkeu!$AY$6:$AY$1005="Direkomendasikan",ROW($6:$1005)-5),479))="",INDEX(checklistPesertaKemenkeu!$J$6:$J$1005,SMALL(IF(checklistPesertaKemenkeu!$AY$6:$AY$1005="Direkomendasikan",ROW($6:$1005)-5),479))=""),"",IF(AND(COUNTIF(INDIRECT("K_"&amp;MATCH(INDEX(checklistPesertaKemenkeu!$J$6:$J$1005,SMALL(IF(checklistPesertaKemenkeu!$AY$6:$AY$1005="Direkomendasikan",ROW($6:$1005)-5),479)),BidangList,0)),INDEX(checklistPesertaKemenkeu!$O$6:$O$1005,SMALL(IF(checklistPesertaKemenkeu!$AY$6:$AY$1005="Direkomendasikan",ROW($6:$1005)-5),479)))&gt;0,COUNTIF(INDIRECT("'KERTAS KERJA'!K"&amp;(SMALL(IF(checklistPesertaKemenkeu!$AY$6:$AY$1005="Direkomendasikan",ROW($6:$1005)-5),479)+5)&amp;":O"&amp;(SMALL(IF(checklistPesertaKemenkeu!$AY$6:$AY$1005="Direkomendasikan",ROW($6:$1005)-5),479)+5)),INDEX(checklistPesertaKemenkeu!$O$6:$O$1005,SMALL(IF(checklistPesertaKemenkeu!$AY$6:$AY$1005="Direkomendasikan",ROW($6:$1005)-5),479)))=1),IFERROR(VLOOKUP(INDEX(checklistPesertaKemenkeu!$O$6:$O$1005,SMALL(IF(checklistPesertaKemenkeu!$AY$6:$AY$1005="Direkomendasikan",ROW($6:$1005)-5),479)),KotaKode,2,0),"-"),"")),"")</f>
        <v/>
      </c>
      <c r="L480" t="str">
        <f t="array" aca="1" ref="L480" ca="1">IFERROR(IF(OR(INDEX(checklistPesertaKemenkeu!$P$6:$P$1005,SMALL(IF(checklistPesertaKemenkeu!$AY$6:$AY$1005="Direkomendasikan",ROW($6:$1005)-5),479))="",INDEX(checklistPesertaKemenkeu!$J$6:$J$1005,SMALL(IF(checklistPesertaKemenkeu!$AY$6:$AY$1005="Direkomendasikan",ROW($6:$1005)-5),479))=""),"",IF(AND(COUNTIF(INDIRECT("K_"&amp;MATCH(INDEX(checklistPesertaKemenkeu!$J$6:$J$1005,SMALL(IF(checklistPesertaKemenkeu!$AY$6:$AY$1005="Direkomendasikan",ROW($6:$1005)-5),479)),BidangList,0)),INDEX(checklistPesertaKemenkeu!$P$6:$P$1005,SMALL(IF(checklistPesertaKemenkeu!$AY$6:$AY$1005="Direkomendasikan",ROW($6:$1005)-5),479)))&gt;0,COUNTIF(INDIRECT("'KERTAS KERJA'!K"&amp;(SMALL(IF(checklistPesertaKemenkeu!$AY$6:$AY$1005="Direkomendasikan",ROW($6:$1005)-5),479)+5)&amp;":O"&amp;(SMALL(IF(checklistPesertaKemenkeu!$AY$6:$AY$1005="Direkomendasikan",ROW($6:$1005)-5),479)+5)),INDEX(checklistPesertaKemenkeu!$P$6:$P$1005,SMALL(IF(checklistPesertaKemenkeu!$AY$6:$AY$1005="Direkomendasikan",ROW($6:$1005)-5),479)))=1),IFERROR(VLOOKUP(INDEX(checklistPesertaKemenkeu!$P$6:$P$1005,SMALL(IF(checklistPesertaKemenkeu!$AY$6:$AY$1005="Direkomendasikan",ROW($6:$1005)-5),479)),KotaKode,2,0),"-"),"")),"")</f>
        <v/>
      </c>
    </row>
    <row r="481" spans="1:12" ht="15" customHeight="1" x14ac:dyDescent="0.2">
      <c r="A481" t="str">
        <f t="shared" si="7"/>
        <v/>
      </c>
      <c r="B481" t="str">
        <v/>
      </c>
      <c r="C481" s="40" t="str">
        <f t="array" ref="C481">IFERROR(INDEX(checklistPesertaKemenkeu!$F$6:$F$1005,SMALL(IF(checklistPesertaKemenkeu!$AY$6:$AY$1005="Direkomendasikan",ROW($6:$1005)-5),480)),"")</f>
        <v/>
      </c>
      <c r="D481" t="str">
        <f t="array" ref="D481">IFERROR(INDEX(checklistPesertaKemenkeu!$G$6:$G$1005,SMALL(IF(checklistPesertaKemenkeu!$AY$6:$AY$1005="Direkomendasikan",ROW($6:$1005)-5),480)),"")</f>
        <v/>
      </c>
      <c r="E481" t="str">
        <f t="array" ref="E481">IFERROR(INDEX(checklistPesertaKemenkeu!$H$6:$H$1005,SMALL(IF(checklistPesertaKemenkeu!$AY$6:$AY$1005="Direkomendasikan",ROW($6:$1005)-5),480)),"")</f>
        <v/>
      </c>
      <c r="F481" t="str">
        <f t="array" ref="F481">IFERROR(INDEX(checklistPesertaKemenkeu!$I$6:$I$1005,SMALL(IF(checklistPesertaKemenkeu!$AY$6:$AY$1005="Direkomendasikan",ROW($6:$1005)-5),480)),"")</f>
        <v/>
      </c>
      <c r="G481" t="str">
        <f t="array" ref="G481">IFERROR(INDEX(checklistPesertaKemenkeu!$J$6:$J$1005,SMALL(IF(checklistPesertaKemenkeu!$AY$6:$AY$1005="Direkomendasikan",ROW($6:$1005)-5),480)),"")</f>
        <v/>
      </c>
      <c r="H481" t="str">
        <f t="array" aca="1" ref="H481" ca="1">IFERROR(IF(OR(INDEX(checklistPesertaKemenkeu!$L$6:$L$1005,SMALL(IF(checklistPesertaKemenkeu!$AY$6:$AY$1005="Direkomendasikan",ROW($6:$1005)-5),480))="",INDEX(checklistPesertaKemenkeu!$J$6:$J$1005,SMALL(IF(checklistPesertaKemenkeu!$AY$6:$AY$1005="Direkomendasikan",ROW($6:$1005)-5),480))=""),"",IF(AND(COUNTIF(INDIRECT("K_"&amp;MATCH(INDEX(checklistPesertaKemenkeu!$J$6:$J$1005,SMALL(IF(checklistPesertaKemenkeu!$AY$6:$AY$1005="Direkomendasikan",ROW($6:$1005)-5),480)),BidangList,0)),INDEX(checklistPesertaKemenkeu!$L$6:$L$1005,SMALL(IF(checklistPesertaKemenkeu!$AY$6:$AY$1005="Direkomendasikan",ROW($6:$1005)-5),480)))&gt;0,COUNTIF(INDIRECT("'KERTAS KERJA'!K"&amp;(SMALL(IF(checklistPesertaKemenkeu!$AY$6:$AY$1005="Direkomendasikan",ROW($6:$1005)-5),480)+5)&amp;":O"&amp;(SMALL(IF(checklistPesertaKemenkeu!$AY$6:$AY$1005="Direkomendasikan",ROW($6:$1005)-5),480)+5)),INDEX(checklistPesertaKemenkeu!$L$6:$L$1005,SMALL(IF(checklistPesertaKemenkeu!$AY$6:$AY$1005="Direkomendasikan",ROW($6:$1005)-5),480)))=1),IFERROR(VLOOKUP(INDEX(checklistPesertaKemenkeu!$L$6:$L$1005,SMALL(IF(checklistPesertaKemenkeu!$AY$6:$AY$1005="Direkomendasikan",ROW($6:$1005)-5),480)),KotaKode,2,0),"-"),"")),"")</f>
        <v/>
      </c>
      <c r="I481" t="str">
        <f t="array" aca="1" ref="I481" ca="1">IFERROR(IF(OR(INDEX(checklistPesertaKemenkeu!$M$6:$M$1005,SMALL(IF(checklistPesertaKemenkeu!$AY$6:$AY$1005="Direkomendasikan",ROW($6:$1005)-5),480))="",INDEX(checklistPesertaKemenkeu!$J$6:$J$1005,SMALL(IF(checklistPesertaKemenkeu!$AY$6:$AY$1005="Direkomendasikan",ROW($6:$1005)-5),480))=""),"",IF(AND(COUNTIF(INDIRECT("K_"&amp;MATCH(INDEX(checklistPesertaKemenkeu!$J$6:$J$1005,SMALL(IF(checklistPesertaKemenkeu!$AY$6:$AY$1005="Direkomendasikan",ROW($6:$1005)-5),480)),BidangList,0)),INDEX(checklistPesertaKemenkeu!$M$6:$M$1005,SMALL(IF(checklistPesertaKemenkeu!$AY$6:$AY$1005="Direkomendasikan",ROW($6:$1005)-5),480)))&gt;0,COUNTIF(INDIRECT("'KERTAS KERJA'!K"&amp;(SMALL(IF(checklistPesertaKemenkeu!$AY$6:$AY$1005="Direkomendasikan",ROW($6:$1005)-5),480)+5)&amp;":O"&amp;(SMALL(IF(checklistPesertaKemenkeu!$AY$6:$AY$1005="Direkomendasikan",ROW($6:$1005)-5),480)+5)),INDEX(checklistPesertaKemenkeu!$M$6:$M$1005,SMALL(IF(checklistPesertaKemenkeu!$AY$6:$AY$1005="Direkomendasikan",ROW($6:$1005)-5),480)))=1),IFERROR(VLOOKUP(INDEX(checklistPesertaKemenkeu!$M$6:$M$1005,SMALL(IF(checklistPesertaKemenkeu!$AY$6:$AY$1005="Direkomendasikan",ROW($6:$1005)-5),480)),KotaKode,2,0),"-"),"")),"")</f>
        <v/>
      </c>
      <c r="J481" t="str">
        <f t="array" aca="1" ref="J481" ca="1">IFERROR(IF(OR(INDEX(checklistPesertaKemenkeu!$N$6:$N$1005,SMALL(IF(checklistPesertaKemenkeu!$AY$6:$AY$1005="Direkomendasikan",ROW($6:$1005)-5),480))="",INDEX(checklistPesertaKemenkeu!$J$6:$J$1005,SMALL(IF(checklistPesertaKemenkeu!$AY$6:$AY$1005="Direkomendasikan",ROW($6:$1005)-5),480))=""),"",IF(AND(COUNTIF(INDIRECT("K_"&amp;MATCH(INDEX(checklistPesertaKemenkeu!$J$6:$J$1005,SMALL(IF(checklistPesertaKemenkeu!$AY$6:$AY$1005="Direkomendasikan",ROW($6:$1005)-5),480)),BidangList,0)),INDEX(checklistPesertaKemenkeu!$N$6:$N$1005,SMALL(IF(checklistPesertaKemenkeu!$AY$6:$AY$1005="Direkomendasikan",ROW($6:$1005)-5),480)))&gt;0,COUNTIF(INDIRECT("'KERTAS KERJA'!K"&amp;(SMALL(IF(checklistPesertaKemenkeu!$AY$6:$AY$1005="Direkomendasikan",ROW($6:$1005)-5),480)+5)&amp;":O"&amp;(SMALL(IF(checklistPesertaKemenkeu!$AY$6:$AY$1005="Direkomendasikan",ROW($6:$1005)-5),480)+5)),INDEX(checklistPesertaKemenkeu!$N$6:$N$1005,SMALL(IF(checklistPesertaKemenkeu!$AY$6:$AY$1005="Direkomendasikan",ROW($6:$1005)-5),480)))=1),IFERROR(VLOOKUP(INDEX(checklistPesertaKemenkeu!$N$6:$N$1005,SMALL(IF(checklistPesertaKemenkeu!$AY$6:$AY$1005="Direkomendasikan",ROW($6:$1005)-5),480)),KotaKode,2,0),"-"),"")),"")</f>
        <v/>
      </c>
      <c r="K481" t="str">
        <f t="array" aca="1" ref="K481" ca="1">IFERROR(IF(OR(INDEX(checklistPesertaKemenkeu!$O$6:$O$1005,SMALL(IF(checklistPesertaKemenkeu!$AY$6:$AY$1005="Direkomendasikan",ROW($6:$1005)-5),480))="",INDEX(checklistPesertaKemenkeu!$J$6:$J$1005,SMALL(IF(checklistPesertaKemenkeu!$AY$6:$AY$1005="Direkomendasikan",ROW($6:$1005)-5),480))=""),"",IF(AND(COUNTIF(INDIRECT("K_"&amp;MATCH(INDEX(checklistPesertaKemenkeu!$J$6:$J$1005,SMALL(IF(checklistPesertaKemenkeu!$AY$6:$AY$1005="Direkomendasikan",ROW($6:$1005)-5),480)),BidangList,0)),INDEX(checklistPesertaKemenkeu!$O$6:$O$1005,SMALL(IF(checklistPesertaKemenkeu!$AY$6:$AY$1005="Direkomendasikan",ROW($6:$1005)-5),480)))&gt;0,COUNTIF(INDIRECT("'KERTAS KERJA'!K"&amp;(SMALL(IF(checklistPesertaKemenkeu!$AY$6:$AY$1005="Direkomendasikan",ROW($6:$1005)-5),480)+5)&amp;":O"&amp;(SMALL(IF(checklistPesertaKemenkeu!$AY$6:$AY$1005="Direkomendasikan",ROW($6:$1005)-5),480)+5)),INDEX(checklistPesertaKemenkeu!$O$6:$O$1005,SMALL(IF(checklistPesertaKemenkeu!$AY$6:$AY$1005="Direkomendasikan",ROW($6:$1005)-5),480)))=1),IFERROR(VLOOKUP(INDEX(checklistPesertaKemenkeu!$O$6:$O$1005,SMALL(IF(checklistPesertaKemenkeu!$AY$6:$AY$1005="Direkomendasikan",ROW($6:$1005)-5),480)),KotaKode,2,0),"-"),"")),"")</f>
        <v/>
      </c>
      <c r="L481" t="str">
        <f t="array" aca="1" ref="L481" ca="1">IFERROR(IF(OR(INDEX(checklistPesertaKemenkeu!$P$6:$P$1005,SMALL(IF(checklistPesertaKemenkeu!$AY$6:$AY$1005="Direkomendasikan",ROW($6:$1005)-5),480))="",INDEX(checklistPesertaKemenkeu!$J$6:$J$1005,SMALL(IF(checklistPesertaKemenkeu!$AY$6:$AY$1005="Direkomendasikan",ROW($6:$1005)-5),480))=""),"",IF(AND(COUNTIF(INDIRECT("K_"&amp;MATCH(INDEX(checklistPesertaKemenkeu!$J$6:$J$1005,SMALL(IF(checklistPesertaKemenkeu!$AY$6:$AY$1005="Direkomendasikan",ROW($6:$1005)-5),480)),BidangList,0)),INDEX(checklistPesertaKemenkeu!$P$6:$P$1005,SMALL(IF(checklistPesertaKemenkeu!$AY$6:$AY$1005="Direkomendasikan",ROW($6:$1005)-5),480)))&gt;0,COUNTIF(INDIRECT("'KERTAS KERJA'!K"&amp;(SMALL(IF(checklistPesertaKemenkeu!$AY$6:$AY$1005="Direkomendasikan",ROW($6:$1005)-5),480)+5)&amp;":O"&amp;(SMALL(IF(checklistPesertaKemenkeu!$AY$6:$AY$1005="Direkomendasikan",ROW($6:$1005)-5),480)+5)),INDEX(checklistPesertaKemenkeu!$P$6:$P$1005,SMALL(IF(checklistPesertaKemenkeu!$AY$6:$AY$1005="Direkomendasikan",ROW($6:$1005)-5),480)))=1),IFERROR(VLOOKUP(INDEX(checklistPesertaKemenkeu!$P$6:$P$1005,SMALL(IF(checklistPesertaKemenkeu!$AY$6:$AY$1005="Direkomendasikan",ROW($6:$1005)-5),480)),KotaKode,2,0),"-"),"")),"")</f>
        <v/>
      </c>
    </row>
    <row r="482" spans="1:12" ht="15" customHeight="1" x14ac:dyDescent="0.2">
      <c r="A482" t="str">
        <f t="shared" si="7"/>
        <v/>
      </c>
      <c r="B482" t="str">
        <v/>
      </c>
      <c r="C482" s="40" t="str">
        <f t="array" ref="C482">IFERROR(INDEX(checklistPesertaKemenkeu!$F$6:$F$1005,SMALL(IF(checklistPesertaKemenkeu!$AY$6:$AY$1005="Direkomendasikan",ROW($6:$1005)-5),481)),"")</f>
        <v/>
      </c>
      <c r="D482" t="str">
        <f t="array" ref="D482">IFERROR(INDEX(checklistPesertaKemenkeu!$G$6:$G$1005,SMALL(IF(checklistPesertaKemenkeu!$AY$6:$AY$1005="Direkomendasikan",ROW($6:$1005)-5),481)),"")</f>
        <v/>
      </c>
      <c r="E482" t="str">
        <f t="array" ref="E482">IFERROR(INDEX(checklistPesertaKemenkeu!$H$6:$H$1005,SMALL(IF(checklistPesertaKemenkeu!$AY$6:$AY$1005="Direkomendasikan",ROW($6:$1005)-5),481)),"")</f>
        <v/>
      </c>
      <c r="F482" t="str">
        <f t="array" ref="F482">IFERROR(INDEX(checklistPesertaKemenkeu!$I$6:$I$1005,SMALL(IF(checklistPesertaKemenkeu!$AY$6:$AY$1005="Direkomendasikan",ROW($6:$1005)-5),481)),"")</f>
        <v/>
      </c>
      <c r="G482" t="str">
        <f t="array" ref="G482">IFERROR(INDEX(checklistPesertaKemenkeu!$J$6:$J$1005,SMALL(IF(checklistPesertaKemenkeu!$AY$6:$AY$1005="Direkomendasikan",ROW($6:$1005)-5),481)),"")</f>
        <v/>
      </c>
      <c r="H482" t="str">
        <f t="array" aca="1" ref="H482" ca="1">IFERROR(IF(OR(INDEX(checklistPesertaKemenkeu!$L$6:$L$1005,SMALL(IF(checklistPesertaKemenkeu!$AY$6:$AY$1005="Direkomendasikan",ROW($6:$1005)-5),481))="",INDEX(checklistPesertaKemenkeu!$J$6:$J$1005,SMALL(IF(checklistPesertaKemenkeu!$AY$6:$AY$1005="Direkomendasikan",ROW($6:$1005)-5),481))=""),"",IF(AND(COUNTIF(INDIRECT("K_"&amp;MATCH(INDEX(checklistPesertaKemenkeu!$J$6:$J$1005,SMALL(IF(checklistPesertaKemenkeu!$AY$6:$AY$1005="Direkomendasikan",ROW($6:$1005)-5),481)),BidangList,0)),INDEX(checklistPesertaKemenkeu!$L$6:$L$1005,SMALL(IF(checklistPesertaKemenkeu!$AY$6:$AY$1005="Direkomendasikan",ROW($6:$1005)-5),481)))&gt;0,COUNTIF(INDIRECT("'KERTAS KERJA'!K"&amp;(SMALL(IF(checklistPesertaKemenkeu!$AY$6:$AY$1005="Direkomendasikan",ROW($6:$1005)-5),481)+5)&amp;":O"&amp;(SMALL(IF(checklistPesertaKemenkeu!$AY$6:$AY$1005="Direkomendasikan",ROW($6:$1005)-5),481)+5)),INDEX(checklistPesertaKemenkeu!$L$6:$L$1005,SMALL(IF(checklistPesertaKemenkeu!$AY$6:$AY$1005="Direkomendasikan",ROW($6:$1005)-5),481)))=1),IFERROR(VLOOKUP(INDEX(checklistPesertaKemenkeu!$L$6:$L$1005,SMALL(IF(checklistPesertaKemenkeu!$AY$6:$AY$1005="Direkomendasikan",ROW($6:$1005)-5),481)),KotaKode,2,0),"-"),"")),"")</f>
        <v/>
      </c>
      <c r="I482" t="str">
        <f t="array" aca="1" ref="I482" ca="1">IFERROR(IF(OR(INDEX(checklistPesertaKemenkeu!$M$6:$M$1005,SMALL(IF(checklistPesertaKemenkeu!$AY$6:$AY$1005="Direkomendasikan",ROW($6:$1005)-5),481))="",INDEX(checklistPesertaKemenkeu!$J$6:$J$1005,SMALL(IF(checklistPesertaKemenkeu!$AY$6:$AY$1005="Direkomendasikan",ROW($6:$1005)-5),481))=""),"",IF(AND(COUNTIF(INDIRECT("K_"&amp;MATCH(INDEX(checklistPesertaKemenkeu!$J$6:$J$1005,SMALL(IF(checklistPesertaKemenkeu!$AY$6:$AY$1005="Direkomendasikan",ROW($6:$1005)-5),481)),BidangList,0)),INDEX(checklistPesertaKemenkeu!$M$6:$M$1005,SMALL(IF(checklistPesertaKemenkeu!$AY$6:$AY$1005="Direkomendasikan",ROW($6:$1005)-5),481)))&gt;0,COUNTIF(INDIRECT("'KERTAS KERJA'!K"&amp;(SMALL(IF(checklistPesertaKemenkeu!$AY$6:$AY$1005="Direkomendasikan",ROW($6:$1005)-5),481)+5)&amp;":O"&amp;(SMALL(IF(checklistPesertaKemenkeu!$AY$6:$AY$1005="Direkomendasikan",ROW($6:$1005)-5),481)+5)),INDEX(checklistPesertaKemenkeu!$M$6:$M$1005,SMALL(IF(checklistPesertaKemenkeu!$AY$6:$AY$1005="Direkomendasikan",ROW($6:$1005)-5),481)))=1),IFERROR(VLOOKUP(INDEX(checklistPesertaKemenkeu!$M$6:$M$1005,SMALL(IF(checklistPesertaKemenkeu!$AY$6:$AY$1005="Direkomendasikan",ROW($6:$1005)-5),481)),KotaKode,2,0),"-"),"")),"")</f>
        <v/>
      </c>
      <c r="J482" t="str">
        <f t="array" aca="1" ref="J482" ca="1">IFERROR(IF(OR(INDEX(checklistPesertaKemenkeu!$N$6:$N$1005,SMALL(IF(checklistPesertaKemenkeu!$AY$6:$AY$1005="Direkomendasikan",ROW($6:$1005)-5),481))="",INDEX(checklistPesertaKemenkeu!$J$6:$J$1005,SMALL(IF(checklistPesertaKemenkeu!$AY$6:$AY$1005="Direkomendasikan",ROW($6:$1005)-5),481))=""),"",IF(AND(COUNTIF(INDIRECT("K_"&amp;MATCH(INDEX(checklistPesertaKemenkeu!$J$6:$J$1005,SMALL(IF(checklistPesertaKemenkeu!$AY$6:$AY$1005="Direkomendasikan",ROW($6:$1005)-5),481)),BidangList,0)),INDEX(checklistPesertaKemenkeu!$N$6:$N$1005,SMALL(IF(checklistPesertaKemenkeu!$AY$6:$AY$1005="Direkomendasikan",ROW($6:$1005)-5),481)))&gt;0,COUNTIF(INDIRECT("'KERTAS KERJA'!K"&amp;(SMALL(IF(checklistPesertaKemenkeu!$AY$6:$AY$1005="Direkomendasikan",ROW($6:$1005)-5),481)+5)&amp;":O"&amp;(SMALL(IF(checklistPesertaKemenkeu!$AY$6:$AY$1005="Direkomendasikan",ROW($6:$1005)-5),481)+5)),INDEX(checklistPesertaKemenkeu!$N$6:$N$1005,SMALL(IF(checklistPesertaKemenkeu!$AY$6:$AY$1005="Direkomendasikan",ROW($6:$1005)-5),481)))=1),IFERROR(VLOOKUP(INDEX(checklistPesertaKemenkeu!$N$6:$N$1005,SMALL(IF(checklistPesertaKemenkeu!$AY$6:$AY$1005="Direkomendasikan",ROW($6:$1005)-5),481)),KotaKode,2,0),"-"),"")),"")</f>
        <v/>
      </c>
      <c r="K482" t="str">
        <f t="array" aca="1" ref="K482" ca="1">IFERROR(IF(OR(INDEX(checklistPesertaKemenkeu!$O$6:$O$1005,SMALL(IF(checklistPesertaKemenkeu!$AY$6:$AY$1005="Direkomendasikan",ROW($6:$1005)-5),481))="",INDEX(checklistPesertaKemenkeu!$J$6:$J$1005,SMALL(IF(checklistPesertaKemenkeu!$AY$6:$AY$1005="Direkomendasikan",ROW($6:$1005)-5),481))=""),"",IF(AND(COUNTIF(INDIRECT("K_"&amp;MATCH(INDEX(checklistPesertaKemenkeu!$J$6:$J$1005,SMALL(IF(checklistPesertaKemenkeu!$AY$6:$AY$1005="Direkomendasikan",ROW($6:$1005)-5),481)),BidangList,0)),INDEX(checklistPesertaKemenkeu!$O$6:$O$1005,SMALL(IF(checklistPesertaKemenkeu!$AY$6:$AY$1005="Direkomendasikan",ROW($6:$1005)-5),481)))&gt;0,COUNTIF(INDIRECT("'KERTAS KERJA'!K"&amp;(SMALL(IF(checklistPesertaKemenkeu!$AY$6:$AY$1005="Direkomendasikan",ROW($6:$1005)-5),481)+5)&amp;":O"&amp;(SMALL(IF(checklistPesertaKemenkeu!$AY$6:$AY$1005="Direkomendasikan",ROW($6:$1005)-5),481)+5)),INDEX(checklistPesertaKemenkeu!$O$6:$O$1005,SMALL(IF(checklistPesertaKemenkeu!$AY$6:$AY$1005="Direkomendasikan",ROW($6:$1005)-5),481)))=1),IFERROR(VLOOKUP(INDEX(checklistPesertaKemenkeu!$O$6:$O$1005,SMALL(IF(checklistPesertaKemenkeu!$AY$6:$AY$1005="Direkomendasikan",ROW($6:$1005)-5),481)),KotaKode,2,0),"-"),"")),"")</f>
        <v/>
      </c>
      <c r="L482" t="str">
        <f t="array" aca="1" ref="L482" ca="1">IFERROR(IF(OR(INDEX(checklistPesertaKemenkeu!$P$6:$P$1005,SMALL(IF(checklistPesertaKemenkeu!$AY$6:$AY$1005="Direkomendasikan",ROW($6:$1005)-5),481))="",INDEX(checklistPesertaKemenkeu!$J$6:$J$1005,SMALL(IF(checklistPesertaKemenkeu!$AY$6:$AY$1005="Direkomendasikan",ROW($6:$1005)-5),481))=""),"",IF(AND(COUNTIF(INDIRECT("K_"&amp;MATCH(INDEX(checklistPesertaKemenkeu!$J$6:$J$1005,SMALL(IF(checklistPesertaKemenkeu!$AY$6:$AY$1005="Direkomendasikan",ROW($6:$1005)-5),481)),BidangList,0)),INDEX(checklistPesertaKemenkeu!$P$6:$P$1005,SMALL(IF(checklistPesertaKemenkeu!$AY$6:$AY$1005="Direkomendasikan",ROW($6:$1005)-5),481)))&gt;0,COUNTIF(INDIRECT("'KERTAS KERJA'!K"&amp;(SMALL(IF(checklistPesertaKemenkeu!$AY$6:$AY$1005="Direkomendasikan",ROW($6:$1005)-5),481)+5)&amp;":O"&amp;(SMALL(IF(checklistPesertaKemenkeu!$AY$6:$AY$1005="Direkomendasikan",ROW($6:$1005)-5),481)+5)),INDEX(checklistPesertaKemenkeu!$P$6:$P$1005,SMALL(IF(checklistPesertaKemenkeu!$AY$6:$AY$1005="Direkomendasikan",ROW($6:$1005)-5),481)))=1),IFERROR(VLOOKUP(INDEX(checklistPesertaKemenkeu!$P$6:$P$1005,SMALL(IF(checklistPesertaKemenkeu!$AY$6:$AY$1005="Direkomendasikan",ROW($6:$1005)-5),481)),KotaKode,2,0),"-"),"")),"")</f>
        <v/>
      </c>
    </row>
    <row r="483" spans="1:12" ht="15" customHeight="1" x14ac:dyDescent="0.2">
      <c r="A483" t="str">
        <f t="shared" si="7"/>
        <v/>
      </c>
      <c r="B483" t="str">
        <v/>
      </c>
      <c r="C483" s="40" t="str">
        <f t="array" ref="C483">IFERROR(INDEX(checklistPesertaKemenkeu!$F$6:$F$1005,SMALL(IF(checklistPesertaKemenkeu!$AY$6:$AY$1005="Direkomendasikan",ROW($6:$1005)-5),482)),"")</f>
        <v/>
      </c>
      <c r="D483" t="str">
        <f t="array" ref="D483">IFERROR(INDEX(checklistPesertaKemenkeu!$G$6:$G$1005,SMALL(IF(checklistPesertaKemenkeu!$AY$6:$AY$1005="Direkomendasikan",ROW($6:$1005)-5),482)),"")</f>
        <v/>
      </c>
      <c r="E483" t="str">
        <f t="array" ref="E483">IFERROR(INDEX(checklistPesertaKemenkeu!$H$6:$H$1005,SMALL(IF(checklistPesertaKemenkeu!$AY$6:$AY$1005="Direkomendasikan",ROW($6:$1005)-5),482)),"")</f>
        <v/>
      </c>
      <c r="F483" t="str">
        <f t="array" ref="F483">IFERROR(INDEX(checklistPesertaKemenkeu!$I$6:$I$1005,SMALL(IF(checklistPesertaKemenkeu!$AY$6:$AY$1005="Direkomendasikan",ROW($6:$1005)-5),482)),"")</f>
        <v/>
      </c>
      <c r="G483" t="str">
        <f t="array" ref="G483">IFERROR(INDEX(checklistPesertaKemenkeu!$J$6:$J$1005,SMALL(IF(checklistPesertaKemenkeu!$AY$6:$AY$1005="Direkomendasikan",ROW($6:$1005)-5),482)),"")</f>
        <v/>
      </c>
      <c r="H483" t="str">
        <f t="array" aca="1" ref="H483" ca="1">IFERROR(IF(OR(INDEX(checklistPesertaKemenkeu!$L$6:$L$1005,SMALL(IF(checklistPesertaKemenkeu!$AY$6:$AY$1005="Direkomendasikan",ROW($6:$1005)-5),482))="",INDEX(checklistPesertaKemenkeu!$J$6:$J$1005,SMALL(IF(checklistPesertaKemenkeu!$AY$6:$AY$1005="Direkomendasikan",ROW($6:$1005)-5),482))=""),"",IF(AND(COUNTIF(INDIRECT("K_"&amp;MATCH(INDEX(checklistPesertaKemenkeu!$J$6:$J$1005,SMALL(IF(checklistPesertaKemenkeu!$AY$6:$AY$1005="Direkomendasikan",ROW($6:$1005)-5),482)),BidangList,0)),INDEX(checklistPesertaKemenkeu!$L$6:$L$1005,SMALL(IF(checklistPesertaKemenkeu!$AY$6:$AY$1005="Direkomendasikan",ROW($6:$1005)-5),482)))&gt;0,COUNTIF(INDIRECT("'KERTAS KERJA'!K"&amp;(SMALL(IF(checklistPesertaKemenkeu!$AY$6:$AY$1005="Direkomendasikan",ROW($6:$1005)-5),482)+5)&amp;":O"&amp;(SMALL(IF(checklistPesertaKemenkeu!$AY$6:$AY$1005="Direkomendasikan",ROW($6:$1005)-5),482)+5)),INDEX(checklistPesertaKemenkeu!$L$6:$L$1005,SMALL(IF(checklistPesertaKemenkeu!$AY$6:$AY$1005="Direkomendasikan",ROW($6:$1005)-5),482)))=1),IFERROR(VLOOKUP(INDEX(checklistPesertaKemenkeu!$L$6:$L$1005,SMALL(IF(checklistPesertaKemenkeu!$AY$6:$AY$1005="Direkomendasikan",ROW($6:$1005)-5),482)),KotaKode,2,0),"-"),"")),"")</f>
        <v/>
      </c>
      <c r="I483" t="str">
        <f t="array" aca="1" ref="I483" ca="1">IFERROR(IF(OR(INDEX(checklistPesertaKemenkeu!$M$6:$M$1005,SMALL(IF(checklistPesertaKemenkeu!$AY$6:$AY$1005="Direkomendasikan",ROW($6:$1005)-5),482))="",INDEX(checklistPesertaKemenkeu!$J$6:$J$1005,SMALL(IF(checklistPesertaKemenkeu!$AY$6:$AY$1005="Direkomendasikan",ROW($6:$1005)-5),482))=""),"",IF(AND(COUNTIF(INDIRECT("K_"&amp;MATCH(INDEX(checklistPesertaKemenkeu!$J$6:$J$1005,SMALL(IF(checklistPesertaKemenkeu!$AY$6:$AY$1005="Direkomendasikan",ROW($6:$1005)-5),482)),BidangList,0)),INDEX(checklistPesertaKemenkeu!$M$6:$M$1005,SMALL(IF(checklistPesertaKemenkeu!$AY$6:$AY$1005="Direkomendasikan",ROW($6:$1005)-5),482)))&gt;0,COUNTIF(INDIRECT("'KERTAS KERJA'!K"&amp;(SMALL(IF(checklistPesertaKemenkeu!$AY$6:$AY$1005="Direkomendasikan",ROW($6:$1005)-5),482)+5)&amp;":O"&amp;(SMALL(IF(checklistPesertaKemenkeu!$AY$6:$AY$1005="Direkomendasikan",ROW($6:$1005)-5),482)+5)),INDEX(checklistPesertaKemenkeu!$M$6:$M$1005,SMALL(IF(checklistPesertaKemenkeu!$AY$6:$AY$1005="Direkomendasikan",ROW($6:$1005)-5),482)))=1),IFERROR(VLOOKUP(INDEX(checklistPesertaKemenkeu!$M$6:$M$1005,SMALL(IF(checklistPesertaKemenkeu!$AY$6:$AY$1005="Direkomendasikan",ROW($6:$1005)-5),482)),KotaKode,2,0),"-"),"")),"")</f>
        <v/>
      </c>
      <c r="J483" t="str">
        <f t="array" aca="1" ref="J483" ca="1">IFERROR(IF(OR(INDEX(checklistPesertaKemenkeu!$N$6:$N$1005,SMALL(IF(checklistPesertaKemenkeu!$AY$6:$AY$1005="Direkomendasikan",ROW($6:$1005)-5),482))="",INDEX(checklistPesertaKemenkeu!$J$6:$J$1005,SMALL(IF(checklistPesertaKemenkeu!$AY$6:$AY$1005="Direkomendasikan",ROW($6:$1005)-5),482))=""),"",IF(AND(COUNTIF(INDIRECT("K_"&amp;MATCH(INDEX(checklistPesertaKemenkeu!$J$6:$J$1005,SMALL(IF(checklistPesertaKemenkeu!$AY$6:$AY$1005="Direkomendasikan",ROW($6:$1005)-5),482)),BidangList,0)),INDEX(checklistPesertaKemenkeu!$N$6:$N$1005,SMALL(IF(checklistPesertaKemenkeu!$AY$6:$AY$1005="Direkomendasikan",ROW($6:$1005)-5),482)))&gt;0,COUNTIF(INDIRECT("'KERTAS KERJA'!K"&amp;(SMALL(IF(checklistPesertaKemenkeu!$AY$6:$AY$1005="Direkomendasikan",ROW($6:$1005)-5),482)+5)&amp;":O"&amp;(SMALL(IF(checklistPesertaKemenkeu!$AY$6:$AY$1005="Direkomendasikan",ROW($6:$1005)-5),482)+5)),INDEX(checklistPesertaKemenkeu!$N$6:$N$1005,SMALL(IF(checklistPesertaKemenkeu!$AY$6:$AY$1005="Direkomendasikan",ROW($6:$1005)-5),482)))=1),IFERROR(VLOOKUP(INDEX(checklistPesertaKemenkeu!$N$6:$N$1005,SMALL(IF(checklistPesertaKemenkeu!$AY$6:$AY$1005="Direkomendasikan",ROW($6:$1005)-5),482)),KotaKode,2,0),"-"),"")),"")</f>
        <v/>
      </c>
      <c r="K483" t="str">
        <f t="array" aca="1" ref="K483" ca="1">IFERROR(IF(OR(INDEX(checklistPesertaKemenkeu!$O$6:$O$1005,SMALL(IF(checklistPesertaKemenkeu!$AY$6:$AY$1005="Direkomendasikan",ROW($6:$1005)-5),482))="",INDEX(checklistPesertaKemenkeu!$J$6:$J$1005,SMALL(IF(checklistPesertaKemenkeu!$AY$6:$AY$1005="Direkomendasikan",ROW($6:$1005)-5),482))=""),"",IF(AND(COUNTIF(INDIRECT("K_"&amp;MATCH(INDEX(checklistPesertaKemenkeu!$J$6:$J$1005,SMALL(IF(checklistPesertaKemenkeu!$AY$6:$AY$1005="Direkomendasikan",ROW($6:$1005)-5),482)),BidangList,0)),INDEX(checklistPesertaKemenkeu!$O$6:$O$1005,SMALL(IF(checklistPesertaKemenkeu!$AY$6:$AY$1005="Direkomendasikan",ROW($6:$1005)-5),482)))&gt;0,COUNTIF(INDIRECT("'KERTAS KERJA'!K"&amp;(SMALL(IF(checklistPesertaKemenkeu!$AY$6:$AY$1005="Direkomendasikan",ROW($6:$1005)-5),482)+5)&amp;":O"&amp;(SMALL(IF(checklistPesertaKemenkeu!$AY$6:$AY$1005="Direkomendasikan",ROW($6:$1005)-5),482)+5)),INDEX(checklistPesertaKemenkeu!$O$6:$O$1005,SMALL(IF(checklistPesertaKemenkeu!$AY$6:$AY$1005="Direkomendasikan",ROW($6:$1005)-5),482)))=1),IFERROR(VLOOKUP(INDEX(checklistPesertaKemenkeu!$O$6:$O$1005,SMALL(IF(checklistPesertaKemenkeu!$AY$6:$AY$1005="Direkomendasikan",ROW($6:$1005)-5),482)),KotaKode,2,0),"-"),"")),"")</f>
        <v/>
      </c>
      <c r="L483" t="str">
        <f t="array" aca="1" ref="L483" ca="1">IFERROR(IF(OR(INDEX(checklistPesertaKemenkeu!$P$6:$P$1005,SMALL(IF(checklistPesertaKemenkeu!$AY$6:$AY$1005="Direkomendasikan",ROW($6:$1005)-5),482))="",INDEX(checklistPesertaKemenkeu!$J$6:$J$1005,SMALL(IF(checklistPesertaKemenkeu!$AY$6:$AY$1005="Direkomendasikan",ROW($6:$1005)-5),482))=""),"",IF(AND(COUNTIF(INDIRECT("K_"&amp;MATCH(INDEX(checklistPesertaKemenkeu!$J$6:$J$1005,SMALL(IF(checklistPesertaKemenkeu!$AY$6:$AY$1005="Direkomendasikan",ROW($6:$1005)-5),482)),BidangList,0)),INDEX(checklistPesertaKemenkeu!$P$6:$P$1005,SMALL(IF(checklistPesertaKemenkeu!$AY$6:$AY$1005="Direkomendasikan",ROW($6:$1005)-5),482)))&gt;0,COUNTIF(INDIRECT("'KERTAS KERJA'!K"&amp;(SMALL(IF(checklistPesertaKemenkeu!$AY$6:$AY$1005="Direkomendasikan",ROW($6:$1005)-5),482)+5)&amp;":O"&amp;(SMALL(IF(checklistPesertaKemenkeu!$AY$6:$AY$1005="Direkomendasikan",ROW($6:$1005)-5),482)+5)),INDEX(checklistPesertaKemenkeu!$P$6:$P$1005,SMALL(IF(checklistPesertaKemenkeu!$AY$6:$AY$1005="Direkomendasikan",ROW($6:$1005)-5),482)))=1),IFERROR(VLOOKUP(INDEX(checklistPesertaKemenkeu!$P$6:$P$1005,SMALL(IF(checklistPesertaKemenkeu!$AY$6:$AY$1005="Direkomendasikan",ROW($6:$1005)-5),482)),KotaKode,2,0),"-"),"")),"")</f>
        <v/>
      </c>
    </row>
    <row r="484" spans="1:12" ht="15" customHeight="1" x14ac:dyDescent="0.2">
      <c r="A484" t="str">
        <f t="shared" si="7"/>
        <v/>
      </c>
      <c r="B484" t="str">
        <v/>
      </c>
      <c r="C484" s="40" t="str">
        <f t="array" ref="C484">IFERROR(INDEX(checklistPesertaKemenkeu!$F$6:$F$1005,SMALL(IF(checklistPesertaKemenkeu!$AY$6:$AY$1005="Direkomendasikan",ROW($6:$1005)-5),483)),"")</f>
        <v/>
      </c>
      <c r="D484" t="str">
        <f t="array" ref="D484">IFERROR(INDEX(checklistPesertaKemenkeu!$G$6:$G$1005,SMALL(IF(checklistPesertaKemenkeu!$AY$6:$AY$1005="Direkomendasikan",ROW($6:$1005)-5),483)),"")</f>
        <v/>
      </c>
      <c r="E484" t="str">
        <f t="array" ref="E484">IFERROR(INDEX(checklistPesertaKemenkeu!$H$6:$H$1005,SMALL(IF(checklistPesertaKemenkeu!$AY$6:$AY$1005="Direkomendasikan",ROW($6:$1005)-5),483)),"")</f>
        <v/>
      </c>
      <c r="F484" t="str">
        <f t="array" ref="F484">IFERROR(INDEX(checklistPesertaKemenkeu!$I$6:$I$1005,SMALL(IF(checklistPesertaKemenkeu!$AY$6:$AY$1005="Direkomendasikan",ROW($6:$1005)-5),483)),"")</f>
        <v/>
      </c>
      <c r="G484" t="str">
        <f t="array" ref="G484">IFERROR(INDEX(checklistPesertaKemenkeu!$J$6:$J$1005,SMALL(IF(checklistPesertaKemenkeu!$AY$6:$AY$1005="Direkomendasikan",ROW($6:$1005)-5),483)),"")</f>
        <v/>
      </c>
      <c r="H484" t="str">
        <f t="array" aca="1" ref="H484" ca="1">IFERROR(IF(OR(INDEX(checklistPesertaKemenkeu!$L$6:$L$1005,SMALL(IF(checklistPesertaKemenkeu!$AY$6:$AY$1005="Direkomendasikan",ROW($6:$1005)-5),483))="",INDEX(checklistPesertaKemenkeu!$J$6:$J$1005,SMALL(IF(checklistPesertaKemenkeu!$AY$6:$AY$1005="Direkomendasikan",ROW($6:$1005)-5),483))=""),"",IF(AND(COUNTIF(INDIRECT("K_"&amp;MATCH(INDEX(checklistPesertaKemenkeu!$J$6:$J$1005,SMALL(IF(checklistPesertaKemenkeu!$AY$6:$AY$1005="Direkomendasikan",ROW($6:$1005)-5),483)),BidangList,0)),INDEX(checklistPesertaKemenkeu!$L$6:$L$1005,SMALL(IF(checklistPesertaKemenkeu!$AY$6:$AY$1005="Direkomendasikan",ROW($6:$1005)-5),483)))&gt;0,COUNTIF(INDIRECT("'KERTAS KERJA'!K"&amp;(SMALL(IF(checklistPesertaKemenkeu!$AY$6:$AY$1005="Direkomendasikan",ROW($6:$1005)-5),483)+5)&amp;":O"&amp;(SMALL(IF(checklistPesertaKemenkeu!$AY$6:$AY$1005="Direkomendasikan",ROW($6:$1005)-5),483)+5)),INDEX(checklistPesertaKemenkeu!$L$6:$L$1005,SMALL(IF(checklistPesertaKemenkeu!$AY$6:$AY$1005="Direkomendasikan",ROW($6:$1005)-5),483)))=1),IFERROR(VLOOKUP(INDEX(checklistPesertaKemenkeu!$L$6:$L$1005,SMALL(IF(checklistPesertaKemenkeu!$AY$6:$AY$1005="Direkomendasikan",ROW($6:$1005)-5),483)),KotaKode,2,0),"-"),"")),"")</f>
        <v/>
      </c>
      <c r="I484" t="str">
        <f t="array" aca="1" ref="I484" ca="1">IFERROR(IF(OR(INDEX(checklistPesertaKemenkeu!$M$6:$M$1005,SMALL(IF(checklistPesertaKemenkeu!$AY$6:$AY$1005="Direkomendasikan",ROW($6:$1005)-5),483))="",INDEX(checklistPesertaKemenkeu!$J$6:$J$1005,SMALL(IF(checklistPesertaKemenkeu!$AY$6:$AY$1005="Direkomendasikan",ROW($6:$1005)-5),483))=""),"",IF(AND(COUNTIF(INDIRECT("K_"&amp;MATCH(INDEX(checklistPesertaKemenkeu!$J$6:$J$1005,SMALL(IF(checklistPesertaKemenkeu!$AY$6:$AY$1005="Direkomendasikan",ROW($6:$1005)-5),483)),BidangList,0)),INDEX(checklistPesertaKemenkeu!$M$6:$M$1005,SMALL(IF(checklistPesertaKemenkeu!$AY$6:$AY$1005="Direkomendasikan",ROW($6:$1005)-5),483)))&gt;0,COUNTIF(INDIRECT("'KERTAS KERJA'!K"&amp;(SMALL(IF(checklistPesertaKemenkeu!$AY$6:$AY$1005="Direkomendasikan",ROW($6:$1005)-5),483)+5)&amp;":O"&amp;(SMALL(IF(checklistPesertaKemenkeu!$AY$6:$AY$1005="Direkomendasikan",ROW($6:$1005)-5),483)+5)),INDEX(checklistPesertaKemenkeu!$M$6:$M$1005,SMALL(IF(checklistPesertaKemenkeu!$AY$6:$AY$1005="Direkomendasikan",ROW($6:$1005)-5),483)))=1),IFERROR(VLOOKUP(INDEX(checklistPesertaKemenkeu!$M$6:$M$1005,SMALL(IF(checklistPesertaKemenkeu!$AY$6:$AY$1005="Direkomendasikan",ROW($6:$1005)-5),483)),KotaKode,2,0),"-"),"")),"")</f>
        <v/>
      </c>
      <c r="J484" t="str">
        <f t="array" aca="1" ref="J484" ca="1">IFERROR(IF(OR(INDEX(checklistPesertaKemenkeu!$N$6:$N$1005,SMALL(IF(checklistPesertaKemenkeu!$AY$6:$AY$1005="Direkomendasikan",ROW($6:$1005)-5),483))="",INDEX(checklistPesertaKemenkeu!$J$6:$J$1005,SMALL(IF(checklistPesertaKemenkeu!$AY$6:$AY$1005="Direkomendasikan",ROW($6:$1005)-5),483))=""),"",IF(AND(COUNTIF(INDIRECT("K_"&amp;MATCH(INDEX(checklistPesertaKemenkeu!$J$6:$J$1005,SMALL(IF(checklistPesertaKemenkeu!$AY$6:$AY$1005="Direkomendasikan",ROW($6:$1005)-5),483)),BidangList,0)),INDEX(checklistPesertaKemenkeu!$N$6:$N$1005,SMALL(IF(checklistPesertaKemenkeu!$AY$6:$AY$1005="Direkomendasikan",ROW($6:$1005)-5),483)))&gt;0,COUNTIF(INDIRECT("'KERTAS KERJA'!K"&amp;(SMALL(IF(checklistPesertaKemenkeu!$AY$6:$AY$1005="Direkomendasikan",ROW($6:$1005)-5),483)+5)&amp;":O"&amp;(SMALL(IF(checklistPesertaKemenkeu!$AY$6:$AY$1005="Direkomendasikan",ROW($6:$1005)-5),483)+5)),INDEX(checklistPesertaKemenkeu!$N$6:$N$1005,SMALL(IF(checklistPesertaKemenkeu!$AY$6:$AY$1005="Direkomendasikan",ROW($6:$1005)-5),483)))=1),IFERROR(VLOOKUP(INDEX(checklistPesertaKemenkeu!$N$6:$N$1005,SMALL(IF(checklistPesertaKemenkeu!$AY$6:$AY$1005="Direkomendasikan",ROW($6:$1005)-5),483)),KotaKode,2,0),"-"),"")),"")</f>
        <v/>
      </c>
      <c r="K484" t="str">
        <f t="array" aca="1" ref="K484" ca="1">IFERROR(IF(OR(INDEX(checklistPesertaKemenkeu!$O$6:$O$1005,SMALL(IF(checklistPesertaKemenkeu!$AY$6:$AY$1005="Direkomendasikan",ROW($6:$1005)-5),483))="",INDEX(checklistPesertaKemenkeu!$J$6:$J$1005,SMALL(IF(checklistPesertaKemenkeu!$AY$6:$AY$1005="Direkomendasikan",ROW($6:$1005)-5),483))=""),"",IF(AND(COUNTIF(INDIRECT("K_"&amp;MATCH(INDEX(checklistPesertaKemenkeu!$J$6:$J$1005,SMALL(IF(checklistPesertaKemenkeu!$AY$6:$AY$1005="Direkomendasikan",ROW($6:$1005)-5),483)),BidangList,0)),INDEX(checklistPesertaKemenkeu!$O$6:$O$1005,SMALL(IF(checklistPesertaKemenkeu!$AY$6:$AY$1005="Direkomendasikan",ROW($6:$1005)-5),483)))&gt;0,COUNTIF(INDIRECT("'KERTAS KERJA'!K"&amp;(SMALL(IF(checklistPesertaKemenkeu!$AY$6:$AY$1005="Direkomendasikan",ROW($6:$1005)-5),483)+5)&amp;":O"&amp;(SMALL(IF(checklistPesertaKemenkeu!$AY$6:$AY$1005="Direkomendasikan",ROW($6:$1005)-5),483)+5)),INDEX(checklistPesertaKemenkeu!$O$6:$O$1005,SMALL(IF(checklistPesertaKemenkeu!$AY$6:$AY$1005="Direkomendasikan",ROW($6:$1005)-5),483)))=1),IFERROR(VLOOKUP(INDEX(checklistPesertaKemenkeu!$O$6:$O$1005,SMALL(IF(checklistPesertaKemenkeu!$AY$6:$AY$1005="Direkomendasikan",ROW($6:$1005)-5),483)),KotaKode,2,0),"-"),"")),"")</f>
        <v/>
      </c>
      <c r="L484" t="str">
        <f t="array" aca="1" ref="L484" ca="1">IFERROR(IF(OR(INDEX(checklistPesertaKemenkeu!$P$6:$P$1005,SMALL(IF(checklistPesertaKemenkeu!$AY$6:$AY$1005="Direkomendasikan",ROW($6:$1005)-5),483))="",INDEX(checklistPesertaKemenkeu!$J$6:$J$1005,SMALL(IF(checklistPesertaKemenkeu!$AY$6:$AY$1005="Direkomendasikan",ROW($6:$1005)-5),483))=""),"",IF(AND(COUNTIF(INDIRECT("K_"&amp;MATCH(INDEX(checklistPesertaKemenkeu!$J$6:$J$1005,SMALL(IF(checklistPesertaKemenkeu!$AY$6:$AY$1005="Direkomendasikan",ROW($6:$1005)-5),483)),BidangList,0)),INDEX(checklistPesertaKemenkeu!$P$6:$P$1005,SMALL(IF(checklistPesertaKemenkeu!$AY$6:$AY$1005="Direkomendasikan",ROW($6:$1005)-5),483)))&gt;0,COUNTIF(INDIRECT("'KERTAS KERJA'!K"&amp;(SMALL(IF(checklistPesertaKemenkeu!$AY$6:$AY$1005="Direkomendasikan",ROW($6:$1005)-5),483)+5)&amp;":O"&amp;(SMALL(IF(checklistPesertaKemenkeu!$AY$6:$AY$1005="Direkomendasikan",ROW($6:$1005)-5),483)+5)),INDEX(checklistPesertaKemenkeu!$P$6:$P$1005,SMALL(IF(checklistPesertaKemenkeu!$AY$6:$AY$1005="Direkomendasikan",ROW($6:$1005)-5),483)))=1),IFERROR(VLOOKUP(INDEX(checklistPesertaKemenkeu!$P$6:$P$1005,SMALL(IF(checklistPesertaKemenkeu!$AY$6:$AY$1005="Direkomendasikan",ROW($6:$1005)-5),483)),KotaKode,2,0),"-"),"")),"")</f>
        <v/>
      </c>
    </row>
    <row r="485" spans="1:12" ht="15" customHeight="1" x14ac:dyDescent="0.2">
      <c r="A485" t="str">
        <f t="shared" si="7"/>
        <v/>
      </c>
      <c r="B485" t="str">
        <v/>
      </c>
      <c r="C485" s="40" t="str">
        <f t="array" ref="C485">IFERROR(INDEX(checklistPesertaKemenkeu!$F$6:$F$1005,SMALL(IF(checklistPesertaKemenkeu!$AY$6:$AY$1005="Direkomendasikan",ROW($6:$1005)-5),484)),"")</f>
        <v/>
      </c>
      <c r="D485" t="str">
        <f t="array" ref="D485">IFERROR(INDEX(checklistPesertaKemenkeu!$G$6:$G$1005,SMALL(IF(checklistPesertaKemenkeu!$AY$6:$AY$1005="Direkomendasikan",ROW($6:$1005)-5),484)),"")</f>
        <v/>
      </c>
      <c r="E485" t="str">
        <f t="array" ref="E485">IFERROR(INDEX(checklistPesertaKemenkeu!$H$6:$H$1005,SMALL(IF(checklistPesertaKemenkeu!$AY$6:$AY$1005="Direkomendasikan",ROW($6:$1005)-5),484)),"")</f>
        <v/>
      </c>
      <c r="F485" t="str">
        <f t="array" ref="F485">IFERROR(INDEX(checklistPesertaKemenkeu!$I$6:$I$1005,SMALL(IF(checklistPesertaKemenkeu!$AY$6:$AY$1005="Direkomendasikan",ROW($6:$1005)-5),484)),"")</f>
        <v/>
      </c>
      <c r="G485" t="str">
        <f t="array" ref="G485">IFERROR(INDEX(checklistPesertaKemenkeu!$J$6:$J$1005,SMALL(IF(checklistPesertaKemenkeu!$AY$6:$AY$1005="Direkomendasikan",ROW($6:$1005)-5),484)),"")</f>
        <v/>
      </c>
      <c r="H485" t="str">
        <f t="array" aca="1" ref="H485" ca="1">IFERROR(IF(OR(INDEX(checklistPesertaKemenkeu!$L$6:$L$1005,SMALL(IF(checklistPesertaKemenkeu!$AY$6:$AY$1005="Direkomendasikan",ROW($6:$1005)-5),484))="",INDEX(checklistPesertaKemenkeu!$J$6:$J$1005,SMALL(IF(checklistPesertaKemenkeu!$AY$6:$AY$1005="Direkomendasikan",ROW($6:$1005)-5),484))=""),"",IF(AND(COUNTIF(INDIRECT("K_"&amp;MATCH(INDEX(checklistPesertaKemenkeu!$J$6:$J$1005,SMALL(IF(checklistPesertaKemenkeu!$AY$6:$AY$1005="Direkomendasikan",ROW($6:$1005)-5),484)),BidangList,0)),INDEX(checklistPesertaKemenkeu!$L$6:$L$1005,SMALL(IF(checklistPesertaKemenkeu!$AY$6:$AY$1005="Direkomendasikan",ROW($6:$1005)-5),484)))&gt;0,COUNTIF(INDIRECT("'KERTAS KERJA'!K"&amp;(SMALL(IF(checklistPesertaKemenkeu!$AY$6:$AY$1005="Direkomendasikan",ROW($6:$1005)-5),484)+5)&amp;":O"&amp;(SMALL(IF(checklistPesertaKemenkeu!$AY$6:$AY$1005="Direkomendasikan",ROW($6:$1005)-5),484)+5)),INDEX(checklistPesertaKemenkeu!$L$6:$L$1005,SMALL(IF(checklistPesertaKemenkeu!$AY$6:$AY$1005="Direkomendasikan",ROW($6:$1005)-5),484)))=1),IFERROR(VLOOKUP(INDEX(checklistPesertaKemenkeu!$L$6:$L$1005,SMALL(IF(checklistPesertaKemenkeu!$AY$6:$AY$1005="Direkomendasikan",ROW($6:$1005)-5),484)),KotaKode,2,0),"-"),"")),"")</f>
        <v/>
      </c>
      <c r="I485" t="str">
        <f t="array" aca="1" ref="I485" ca="1">IFERROR(IF(OR(INDEX(checklistPesertaKemenkeu!$M$6:$M$1005,SMALL(IF(checklistPesertaKemenkeu!$AY$6:$AY$1005="Direkomendasikan",ROW($6:$1005)-5),484))="",INDEX(checklistPesertaKemenkeu!$J$6:$J$1005,SMALL(IF(checklistPesertaKemenkeu!$AY$6:$AY$1005="Direkomendasikan",ROW($6:$1005)-5),484))=""),"",IF(AND(COUNTIF(INDIRECT("K_"&amp;MATCH(INDEX(checklistPesertaKemenkeu!$J$6:$J$1005,SMALL(IF(checklistPesertaKemenkeu!$AY$6:$AY$1005="Direkomendasikan",ROW($6:$1005)-5),484)),BidangList,0)),INDEX(checklistPesertaKemenkeu!$M$6:$M$1005,SMALL(IF(checklistPesertaKemenkeu!$AY$6:$AY$1005="Direkomendasikan",ROW($6:$1005)-5),484)))&gt;0,COUNTIF(INDIRECT("'KERTAS KERJA'!K"&amp;(SMALL(IF(checklistPesertaKemenkeu!$AY$6:$AY$1005="Direkomendasikan",ROW($6:$1005)-5),484)+5)&amp;":O"&amp;(SMALL(IF(checklistPesertaKemenkeu!$AY$6:$AY$1005="Direkomendasikan",ROW($6:$1005)-5),484)+5)),INDEX(checklistPesertaKemenkeu!$M$6:$M$1005,SMALL(IF(checklistPesertaKemenkeu!$AY$6:$AY$1005="Direkomendasikan",ROW($6:$1005)-5),484)))=1),IFERROR(VLOOKUP(INDEX(checklistPesertaKemenkeu!$M$6:$M$1005,SMALL(IF(checklistPesertaKemenkeu!$AY$6:$AY$1005="Direkomendasikan",ROW($6:$1005)-5),484)),KotaKode,2,0),"-"),"")),"")</f>
        <v/>
      </c>
      <c r="J485" t="str">
        <f t="array" aca="1" ref="J485" ca="1">IFERROR(IF(OR(INDEX(checklistPesertaKemenkeu!$N$6:$N$1005,SMALL(IF(checklistPesertaKemenkeu!$AY$6:$AY$1005="Direkomendasikan",ROW($6:$1005)-5),484))="",INDEX(checklistPesertaKemenkeu!$J$6:$J$1005,SMALL(IF(checklistPesertaKemenkeu!$AY$6:$AY$1005="Direkomendasikan",ROW($6:$1005)-5),484))=""),"",IF(AND(COUNTIF(INDIRECT("K_"&amp;MATCH(INDEX(checklistPesertaKemenkeu!$J$6:$J$1005,SMALL(IF(checklistPesertaKemenkeu!$AY$6:$AY$1005="Direkomendasikan",ROW($6:$1005)-5),484)),BidangList,0)),INDEX(checklistPesertaKemenkeu!$N$6:$N$1005,SMALL(IF(checklistPesertaKemenkeu!$AY$6:$AY$1005="Direkomendasikan",ROW($6:$1005)-5),484)))&gt;0,COUNTIF(INDIRECT("'KERTAS KERJA'!K"&amp;(SMALL(IF(checklistPesertaKemenkeu!$AY$6:$AY$1005="Direkomendasikan",ROW($6:$1005)-5),484)+5)&amp;":O"&amp;(SMALL(IF(checklistPesertaKemenkeu!$AY$6:$AY$1005="Direkomendasikan",ROW($6:$1005)-5),484)+5)),INDEX(checklistPesertaKemenkeu!$N$6:$N$1005,SMALL(IF(checklistPesertaKemenkeu!$AY$6:$AY$1005="Direkomendasikan",ROW($6:$1005)-5),484)))=1),IFERROR(VLOOKUP(INDEX(checklistPesertaKemenkeu!$N$6:$N$1005,SMALL(IF(checklistPesertaKemenkeu!$AY$6:$AY$1005="Direkomendasikan",ROW($6:$1005)-5),484)),KotaKode,2,0),"-"),"")),"")</f>
        <v/>
      </c>
      <c r="K485" t="str">
        <f t="array" aca="1" ref="K485" ca="1">IFERROR(IF(OR(INDEX(checklistPesertaKemenkeu!$O$6:$O$1005,SMALL(IF(checklistPesertaKemenkeu!$AY$6:$AY$1005="Direkomendasikan",ROW($6:$1005)-5),484))="",INDEX(checklistPesertaKemenkeu!$J$6:$J$1005,SMALL(IF(checklistPesertaKemenkeu!$AY$6:$AY$1005="Direkomendasikan",ROW($6:$1005)-5),484))=""),"",IF(AND(COUNTIF(INDIRECT("K_"&amp;MATCH(INDEX(checklistPesertaKemenkeu!$J$6:$J$1005,SMALL(IF(checklistPesertaKemenkeu!$AY$6:$AY$1005="Direkomendasikan",ROW($6:$1005)-5),484)),BidangList,0)),INDEX(checklistPesertaKemenkeu!$O$6:$O$1005,SMALL(IF(checklistPesertaKemenkeu!$AY$6:$AY$1005="Direkomendasikan",ROW($6:$1005)-5),484)))&gt;0,COUNTIF(INDIRECT("'KERTAS KERJA'!K"&amp;(SMALL(IF(checklistPesertaKemenkeu!$AY$6:$AY$1005="Direkomendasikan",ROW($6:$1005)-5),484)+5)&amp;":O"&amp;(SMALL(IF(checklistPesertaKemenkeu!$AY$6:$AY$1005="Direkomendasikan",ROW($6:$1005)-5),484)+5)),INDEX(checklistPesertaKemenkeu!$O$6:$O$1005,SMALL(IF(checklistPesertaKemenkeu!$AY$6:$AY$1005="Direkomendasikan",ROW($6:$1005)-5),484)))=1),IFERROR(VLOOKUP(INDEX(checklistPesertaKemenkeu!$O$6:$O$1005,SMALL(IF(checklistPesertaKemenkeu!$AY$6:$AY$1005="Direkomendasikan",ROW($6:$1005)-5),484)),KotaKode,2,0),"-"),"")),"")</f>
        <v/>
      </c>
      <c r="L485" t="str">
        <f t="array" aca="1" ref="L485" ca="1">IFERROR(IF(OR(INDEX(checklistPesertaKemenkeu!$P$6:$P$1005,SMALL(IF(checklistPesertaKemenkeu!$AY$6:$AY$1005="Direkomendasikan",ROW($6:$1005)-5),484))="",INDEX(checklistPesertaKemenkeu!$J$6:$J$1005,SMALL(IF(checklistPesertaKemenkeu!$AY$6:$AY$1005="Direkomendasikan",ROW($6:$1005)-5),484))=""),"",IF(AND(COUNTIF(INDIRECT("K_"&amp;MATCH(INDEX(checklistPesertaKemenkeu!$J$6:$J$1005,SMALL(IF(checklistPesertaKemenkeu!$AY$6:$AY$1005="Direkomendasikan",ROW($6:$1005)-5),484)),BidangList,0)),INDEX(checklistPesertaKemenkeu!$P$6:$P$1005,SMALL(IF(checklistPesertaKemenkeu!$AY$6:$AY$1005="Direkomendasikan",ROW($6:$1005)-5),484)))&gt;0,COUNTIF(INDIRECT("'KERTAS KERJA'!K"&amp;(SMALL(IF(checklistPesertaKemenkeu!$AY$6:$AY$1005="Direkomendasikan",ROW($6:$1005)-5),484)+5)&amp;":O"&amp;(SMALL(IF(checklistPesertaKemenkeu!$AY$6:$AY$1005="Direkomendasikan",ROW($6:$1005)-5),484)+5)),INDEX(checklistPesertaKemenkeu!$P$6:$P$1005,SMALL(IF(checklistPesertaKemenkeu!$AY$6:$AY$1005="Direkomendasikan",ROW($6:$1005)-5),484)))=1),IFERROR(VLOOKUP(INDEX(checklistPesertaKemenkeu!$P$6:$P$1005,SMALL(IF(checklistPesertaKemenkeu!$AY$6:$AY$1005="Direkomendasikan",ROW($6:$1005)-5),484)),KotaKode,2,0),"-"),"")),"")</f>
        <v/>
      </c>
    </row>
    <row r="486" spans="1:12" ht="15" customHeight="1" x14ac:dyDescent="0.2">
      <c r="A486" t="str">
        <f t="shared" si="7"/>
        <v/>
      </c>
      <c r="B486" t="str">
        <v/>
      </c>
      <c r="C486" s="40" t="str">
        <f t="array" ref="C486">IFERROR(INDEX(checklistPesertaKemenkeu!$F$6:$F$1005,SMALL(IF(checklistPesertaKemenkeu!$AY$6:$AY$1005="Direkomendasikan",ROW($6:$1005)-5),485)),"")</f>
        <v/>
      </c>
      <c r="D486" t="str">
        <f t="array" ref="D486">IFERROR(INDEX(checklistPesertaKemenkeu!$G$6:$G$1005,SMALL(IF(checklistPesertaKemenkeu!$AY$6:$AY$1005="Direkomendasikan",ROW($6:$1005)-5),485)),"")</f>
        <v/>
      </c>
      <c r="E486" t="str">
        <f t="array" ref="E486">IFERROR(INDEX(checklistPesertaKemenkeu!$H$6:$H$1005,SMALL(IF(checklistPesertaKemenkeu!$AY$6:$AY$1005="Direkomendasikan",ROW($6:$1005)-5),485)),"")</f>
        <v/>
      </c>
      <c r="F486" t="str">
        <f t="array" ref="F486">IFERROR(INDEX(checklistPesertaKemenkeu!$I$6:$I$1005,SMALL(IF(checklistPesertaKemenkeu!$AY$6:$AY$1005="Direkomendasikan",ROW($6:$1005)-5),485)),"")</f>
        <v/>
      </c>
      <c r="G486" t="str">
        <f t="array" ref="G486">IFERROR(INDEX(checklistPesertaKemenkeu!$J$6:$J$1005,SMALL(IF(checklistPesertaKemenkeu!$AY$6:$AY$1005="Direkomendasikan",ROW($6:$1005)-5),485)),"")</f>
        <v/>
      </c>
      <c r="H486" t="str">
        <f t="array" aca="1" ref="H486" ca="1">IFERROR(IF(OR(INDEX(checklistPesertaKemenkeu!$L$6:$L$1005,SMALL(IF(checklistPesertaKemenkeu!$AY$6:$AY$1005="Direkomendasikan",ROW($6:$1005)-5),485))="",INDEX(checklistPesertaKemenkeu!$J$6:$J$1005,SMALL(IF(checklistPesertaKemenkeu!$AY$6:$AY$1005="Direkomendasikan",ROW($6:$1005)-5),485))=""),"",IF(AND(COUNTIF(INDIRECT("K_"&amp;MATCH(INDEX(checklistPesertaKemenkeu!$J$6:$J$1005,SMALL(IF(checklistPesertaKemenkeu!$AY$6:$AY$1005="Direkomendasikan",ROW($6:$1005)-5),485)),BidangList,0)),INDEX(checklistPesertaKemenkeu!$L$6:$L$1005,SMALL(IF(checklistPesertaKemenkeu!$AY$6:$AY$1005="Direkomendasikan",ROW($6:$1005)-5),485)))&gt;0,COUNTIF(INDIRECT("'KERTAS KERJA'!K"&amp;(SMALL(IF(checklistPesertaKemenkeu!$AY$6:$AY$1005="Direkomendasikan",ROW($6:$1005)-5),485)+5)&amp;":O"&amp;(SMALL(IF(checklistPesertaKemenkeu!$AY$6:$AY$1005="Direkomendasikan",ROW($6:$1005)-5),485)+5)),INDEX(checklistPesertaKemenkeu!$L$6:$L$1005,SMALL(IF(checklistPesertaKemenkeu!$AY$6:$AY$1005="Direkomendasikan",ROW($6:$1005)-5),485)))=1),IFERROR(VLOOKUP(INDEX(checklistPesertaKemenkeu!$L$6:$L$1005,SMALL(IF(checklistPesertaKemenkeu!$AY$6:$AY$1005="Direkomendasikan",ROW($6:$1005)-5),485)),KotaKode,2,0),"-"),"")),"")</f>
        <v/>
      </c>
      <c r="I486" t="str">
        <f t="array" aca="1" ref="I486" ca="1">IFERROR(IF(OR(INDEX(checklistPesertaKemenkeu!$M$6:$M$1005,SMALL(IF(checklistPesertaKemenkeu!$AY$6:$AY$1005="Direkomendasikan",ROW($6:$1005)-5),485))="",INDEX(checklistPesertaKemenkeu!$J$6:$J$1005,SMALL(IF(checklistPesertaKemenkeu!$AY$6:$AY$1005="Direkomendasikan",ROW($6:$1005)-5),485))=""),"",IF(AND(COUNTIF(INDIRECT("K_"&amp;MATCH(INDEX(checklistPesertaKemenkeu!$J$6:$J$1005,SMALL(IF(checklistPesertaKemenkeu!$AY$6:$AY$1005="Direkomendasikan",ROW($6:$1005)-5),485)),BidangList,0)),INDEX(checklistPesertaKemenkeu!$M$6:$M$1005,SMALL(IF(checklistPesertaKemenkeu!$AY$6:$AY$1005="Direkomendasikan",ROW($6:$1005)-5),485)))&gt;0,COUNTIF(INDIRECT("'KERTAS KERJA'!K"&amp;(SMALL(IF(checklistPesertaKemenkeu!$AY$6:$AY$1005="Direkomendasikan",ROW($6:$1005)-5),485)+5)&amp;":O"&amp;(SMALL(IF(checklistPesertaKemenkeu!$AY$6:$AY$1005="Direkomendasikan",ROW($6:$1005)-5),485)+5)),INDEX(checklistPesertaKemenkeu!$M$6:$M$1005,SMALL(IF(checklistPesertaKemenkeu!$AY$6:$AY$1005="Direkomendasikan",ROW($6:$1005)-5),485)))=1),IFERROR(VLOOKUP(INDEX(checklistPesertaKemenkeu!$M$6:$M$1005,SMALL(IF(checklistPesertaKemenkeu!$AY$6:$AY$1005="Direkomendasikan",ROW($6:$1005)-5),485)),KotaKode,2,0),"-"),"")),"")</f>
        <v/>
      </c>
      <c r="J486" t="str">
        <f t="array" aca="1" ref="J486" ca="1">IFERROR(IF(OR(INDEX(checklistPesertaKemenkeu!$N$6:$N$1005,SMALL(IF(checklistPesertaKemenkeu!$AY$6:$AY$1005="Direkomendasikan",ROW($6:$1005)-5),485))="",INDEX(checklistPesertaKemenkeu!$J$6:$J$1005,SMALL(IF(checklistPesertaKemenkeu!$AY$6:$AY$1005="Direkomendasikan",ROW($6:$1005)-5),485))=""),"",IF(AND(COUNTIF(INDIRECT("K_"&amp;MATCH(INDEX(checklistPesertaKemenkeu!$J$6:$J$1005,SMALL(IF(checklistPesertaKemenkeu!$AY$6:$AY$1005="Direkomendasikan",ROW($6:$1005)-5),485)),BidangList,0)),INDEX(checklistPesertaKemenkeu!$N$6:$N$1005,SMALL(IF(checklistPesertaKemenkeu!$AY$6:$AY$1005="Direkomendasikan",ROW($6:$1005)-5),485)))&gt;0,COUNTIF(INDIRECT("'KERTAS KERJA'!K"&amp;(SMALL(IF(checklistPesertaKemenkeu!$AY$6:$AY$1005="Direkomendasikan",ROW($6:$1005)-5),485)+5)&amp;":O"&amp;(SMALL(IF(checklistPesertaKemenkeu!$AY$6:$AY$1005="Direkomendasikan",ROW($6:$1005)-5),485)+5)),INDEX(checklistPesertaKemenkeu!$N$6:$N$1005,SMALL(IF(checklistPesertaKemenkeu!$AY$6:$AY$1005="Direkomendasikan",ROW($6:$1005)-5),485)))=1),IFERROR(VLOOKUP(INDEX(checklistPesertaKemenkeu!$N$6:$N$1005,SMALL(IF(checklistPesertaKemenkeu!$AY$6:$AY$1005="Direkomendasikan",ROW($6:$1005)-5),485)),KotaKode,2,0),"-"),"")),"")</f>
        <v/>
      </c>
      <c r="K486" t="str">
        <f t="array" aca="1" ref="K486" ca="1">IFERROR(IF(OR(INDEX(checklistPesertaKemenkeu!$O$6:$O$1005,SMALL(IF(checklistPesertaKemenkeu!$AY$6:$AY$1005="Direkomendasikan",ROW($6:$1005)-5),485))="",INDEX(checklistPesertaKemenkeu!$J$6:$J$1005,SMALL(IF(checklistPesertaKemenkeu!$AY$6:$AY$1005="Direkomendasikan",ROW($6:$1005)-5),485))=""),"",IF(AND(COUNTIF(INDIRECT("K_"&amp;MATCH(INDEX(checklistPesertaKemenkeu!$J$6:$J$1005,SMALL(IF(checklistPesertaKemenkeu!$AY$6:$AY$1005="Direkomendasikan",ROW($6:$1005)-5),485)),BidangList,0)),INDEX(checklistPesertaKemenkeu!$O$6:$O$1005,SMALL(IF(checklistPesertaKemenkeu!$AY$6:$AY$1005="Direkomendasikan",ROW($6:$1005)-5),485)))&gt;0,COUNTIF(INDIRECT("'KERTAS KERJA'!K"&amp;(SMALL(IF(checklistPesertaKemenkeu!$AY$6:$AY$1005="Direkomendasikan",ROW($6:$1005)-5),485)+5)&amp;":O"&amp;(SMALL(IF(checklistPesertaKemenkeu!$AY$6:$AY$1005="Direkomendasikan",ROW($6:$1005)-5),485)+5)),INDEX(checklistPesertaKemenkeu!$O$6:$O$1005,SMALL(IF(checklistPesertaKemenkeu!$AY$6:$AY$1005="Direkomendasikan",ROW($6:$1005)-5),485)))=1),IFERROR(VLOOKUP(INDEX(checklistPesertaKemenkeu!$O$6:$O$1005,SMALL(IF(checklistPesertaKemenkeu!$AY$6:$AY$1005="Direkomendasikan",ROW($6:$1005)-5),485)),KotaKode,2,0),"-"),"")),"")</f>
        <v/>
      </c>
      <c r="L486" t="str">
        <f t="array" aca="1" ref="L486" ca="1">IFERROR(IF(OR(INDEX(checklistPesertaKemenkeu!$P$6:$P$1005,SMALL(IF(checklistPesertaKemenkeu!$AY$6:$AY$1005="Direkomendasikan",ROW($6:$1005)-5),485))="",INDEX(checklistPesertaKemenkeu!$J$6:$J$1005,SMALL(IF(checklistPesertaKemenkeu!$AY$6:$AY$1005="Direkomendasikan",ROW($6:$1005)-5),485))=""),"",IF(AND(COUNTIF(INDIRECT("K_"&amp;MATCH(INDEX(checklistPesertaKemenkeu!$J$6:$J$1005,SMALL(IF(checklistPesertaKemenkeu!$AY$6:$AY$1005="Direkomendasikan",ROW($6:$1005)-5),485)),BidangList,0)),INDEX(checklistPesertaKemenkeu!$P$6:$P$1005,SMALL(IF(checklistPesertaKemenkeu!$AY$6:$AY$1005="Direkomendasikan",ROW($6:$1005)-5),485)))&gt;0,COUNTIF(INDIRECT("'KERTAS KERJA'!K"&amp;(SMALL(IF(checklistPesertaKemenkeu!$AY$6:$AY$1005="Direkomendasikan",ROW($6:$1005)-5),485)+5)&amp;":O"&amp;(SMALL(IF(checklistPesertaKemenkeu!$AY$6:$AY$1005="Direkomendasikan",ROW($6:$1005)-5),485)+5)),INDEX(checklistPesertaKemenkeu!$P$6:$P$1005,SMALL(IF(checklistPesertaKemenkeu!$AY$6:$AY$1005="Direkomendasikan",ROW($6:$1005)-5),485)))=1),IFERROR(VLOOKUP(INDEX(checklistPesertaKemenkeu!$P$6:$P$1005,SMALL(IF(checklistPesertaKemenkeu!$AY$6:$AY$1005="Direkomendasikan",ROW($6:$1005)-5),485)),KotaKode,2,0),"-"),"")),"")</f>
        <v/>
      </c>
    </row>
    <row r="487" spans="1:12" ht="15" customHeight="1" x14ac:dyDescent="0.2">
      <c r="A487" t="str">
        <f t="shared" si="7"/>
        <v/>
      </c>
      <c r="B487" t="str">
        <v/>
      </c>
      <c r="C487" s="40" t="str">
        <f t="array" ref="C487">IFERROR(INDEX(checklistPesertaKemenkeu!$F$6:$F$1005,SMALL(IF(checklistPesertaKemenkeu!$AY$6:$AY$1005="Direkomendasikan",ROW($6:$1005)-5),486)),"")</f>
        <v/>
      </c>
      <c r="D487" t="str">
        <f t="array" ref="D487">IFERROR(INDEX(checklistPesertaKemenkeu!$G$6:$G$1005,SMALL(IF(checklistPesertaKemenkeu!$AY$6:$AY$1005="Direkomendasikan",ROW($6:$1005)-5),486)),"")</f>
        <v/>
      </c>
      <c r="E487" t="str">
        <f t="array" ref="E487">IFERROR(INDEX(checklistPesertaKemenkeu!$H$6:$H$1005,SMALL(IF(checklistPesertaKemenkeu!$AY$6:$AY$1005="Direkomendasikan",ROW($6:$1005)-5),486)),"")</f>
        <v/>
      </c>
      <c r="F487" t="str">
        <f t="array" ref="F487">IFERROR(INDEX(checklistPesertaKemenkeu!$I$6:$I$1005,SMALL(IF(checklistPesertaKemenkeu!$AY$6:$AY$1005="Direkomendasikan",ROW($6:$1005)-5),486)),"")</f>
        <v/>
      </c>
      <c r="G487" t="str">
        <f t="array" ref="G487">IFERROR(INDEX(checklistPesertaKemenkeu!$J$6:$J$1005,SMALL(IF(checklistPesertaKemenkeu!$AY$6:$AY$1005="Direkomendasikan",ROW($6:$1005)-5),486)),"")</f>
        <v/>
      </c>
      <c r="H487" t="str">
        <f t="array" aca="1" ref="H487" ca="1">IFERROR(IF(OR(INDEX(checklistPesertaKemenkeu!$L$6:$L$1005,SMALL(IF(checklistPesertaKemenkeu!$AY$6:$AY$1005="Direkomendasikan",ROW($6:$1005)-5),486))="",INDEX(checklistPesertaKemenkeu!$J$6:$J$1005,SMALL(IF(checklistPesertaKemenkeu!$AY$6:$AY$1005="Direkomendasikan",ROW($6:$1005)-5),486))=""),"",IF(AND(COUNTIF(INDIRECT("K_"&amp;MATCH(INDEX(checklistPesertaKemenkeu!$J$6:$J$1005,SMALL(IF(checklistPesertaKemenkeu!$AY$6:$AY$1005="Direkomendasikan",ROW($6:$1005)-5),486)),BidangList,0)),INDEX(checklistPesertaKemenkeu!$L$6:$L$1005,SMALL(IF(checklistPesertaKemenkeu!$AY$6:$AY$1005="Direkomendasikan",ROW($6:$1005)-5),486)))&gt;0,COUNTIF(INDIRECT("'KERTAS KERJA'!K"&amp;(SMALL(IF(checklistPesertaKemenkeu!$AY$6:$AY$1005="Direkomendasikan",ROW($6:$1005)-5),486)+5)&amp;":O"&amp;(SMALL(IF(checklistPesertaKemenkeu!$AY$6:$AY$1005="Direkomendasikan",ROW($6:$1005)-5),486)+5)),INDEX(checklistPesertaKemenkeu!$L$6:$L$1005,SMALL(IF(checklistPesertaKemenkeu!$AY$6:$AY$1005="Direkomendasikan",ROW($6:$1005)-5),486)))=1),IFERROR(VLOOKUP(INDEX(checklistPesertaKemenkeu!$L$6:$L$1005,SMALL(IF(checklistPesertaKemenkeu!$AY$6:$AY$1005="Direkomendasikan",ROW($6:$1005)-5),486)),KotaKode,2,0),"-"),"")),"")</f>
        <v/>
      </c>
      <c r="I487" t="str">
        <f t="array" aca="1" ref="I487" ca="1">IFERROR(IF(OR(INDEX(checklistPesertaKemenkeu!$M$6:$M$1005,SMALL(IF(checklistPesertaKemenkeu!$AY$6:$AY$1005="Direkomendasikan",ROW($6:$1005)-5),486))="",INDEX(checklistPesertaKemenkeu!$J$6:$J$1005,SMALL(IF(checklistPesertaKemenkeu!$AY$6:$AY$1005="Direkomendasikan",ROW($6:$1005)-5),486))=""),"",IF(AND(COUNTIF(INDIRECT("K_"&amp;MATCH(INDEX(checklistPesertaKemenkeu!$J$6:$J$1005,SMALL(IF(checklistPesertaKemenkeu!$AY$6:$AY$1005="Direkomendasikan",ROW($6:$1005)-5),486)),BidangList,0)),INDEX(checklistPesertaKemenkeu!$M$6:$M$1005,SMALL(IF(checklistPesertaKemenkeu!$AY$6:$AY$1005="Direkomendasikan",ROW($6:$1005)-5),486)))&gt;0,COUNTIF(INDIRECT("'KERTAS KERJA'!K"&amp;(SMALL(IF(checklistPesertaKemenkeu!$AY$6:$AY$1005="Direkomendasikan",ROW($6:$1005)-5),486)+5)&amp;":O"&amp;(SMALL(IF(checklistPesertaKemenkeu!$AY$6:$AY$1005="Direkomendasikan",ROW($6:$1005)-5),486)+5)),INDEX(checklistPesertaKemenkeu!$M$6:$M$1005,SMALL(IF(checklistPesertaKemenkeu!$AY$6:$AY$1005="Direkomendasikan",ROW($6:$1005)-5),486)))=1),IFERROR(VLOOKUP(INDEX(checklistPesertaKemenkeu!$M$6:$M$1005,SMALL(IF(checklistPesertaKemenkeu!$AY$6:$AY$1005="Direkomendasikan",ROW($6:$1005)-5),486)),KotaKode,2,0),"-"),"")),"")</f>
        <v/>
      </c>
      <c r="J487" t="str">
        <f t="array" aca="1" ref="J487" ca="1">IFERROR(IF(OR(INDEX(checklistPesertaKemenkeu!$N$6:$N$1005,SMALL(IF(checklistPesertaKemenkeu!$AY$6:$AY$1005="Direkomendasikan",ROW($6:$1005)-5),486))="",INDEX(checklistPesertaKemenkeu!$J$6:$J$1005,SMALL(IF(checklistPesertaKemenkeu!$AY$6:$AY$1005="Direkomendasikan",ROW($6:$1005)-5),486))=""),"",IF(AND(COUNTIF(INDIRECT("K_"&amp;MATCH(INDEX(checklistPesertaKemenkeu!$J$6:$J$1005,SMALL(IF(checklistPesertaKemenkeu!$AY$6:$AY$1005="Direkomendasikan",ROW($6:$1005)-5),486)),BidangList,0)),INDEX(checklistPesertaKemenkeu!$N$6:$N$1005,SMALL(IF(checklistPesertaKemenkeu!$AY$6:$AY$1005="Direkomendasikan",ROW($6:$1005)-5),486)))&gt;0,COUNTIF(INDIRECT("'KERTAS KERJA'!K"&amp;(SMALL(IF(checklistPesertaKemenkeu!$AY$6:$AY$1005="Direkomendasikan",ROW($6:$1005)-5),486)+5)&amp;":O"&amp;(SMALL(IF(checklistPesertaKemenkeu!$AY$6:$AY$1005="Direkomendasikan",ROW($6:$1005)-5),486)+5)),INDEX(checklistPesertaKemenkeu!$N$6:$N$1005,SMALL(IF(checklistPesertaKemenkeu!$AY$6:$AY$1005="Direkomendasikan",ROW($6:$1005)-5),486)))=1),IFERROR(VLOOKUP(INDEX(checklistPesertaKemenkeu!$N$6:$N$1005,SMALL(IF(checklistPesertaKemenkeu!$AY$6:$AY$1005="Direkomendasikan",ROW($6:$1005)-5),486)),KotaKode,2,0),"-"),"")),"")</f>
        <v/>
      </c>
      <c r="K487" t="str">
        <f t="array" aca="1" ref="K487" ca="1">IFERROR(IF(OR(INDEX(checklistPesertaKemenkeu!$O$6:$O$1005,SMALL(IF(checklistPesertaKemenkeu!$AY$6:$AY$1005="Direkomendasikan",ROW($6:$1005)-5),486))="",INDEX(checklistPesertaKemenkeu!$J$6:$J$1005,SMALL(IF(checklistPesertaKemenkeu!$AY$6:$AY$1005="Direkomendasikan",ROW($6:$1005)-5),486))=""),"",IF(AND(COUNTIF(INDIRECT("K_"&amp;MATCH(INDEX(checklistPesertaKemenkeu!$J$6:$J$1005,SMALL(IF(checklistPesertaKemenkeu!$AY$6:$AY$1005="Direkomendasikan",ROW($6:$1005)-5),486)),BidangList,0)),INDEX(checklistPesertaKemenkeu!$O$6:$O$1005,SMALL(IF(checklistPesertaKemenkeu!$AY$6:$AY$1005="Direkomendasikan",ROW($6:$1005)-5),486)))&gt;0,COUNTIF(INDIRECT("'KERTAS KERJA'!K"&amp;(SMALL(IF(checklistPesertaKemenkeu!$AY$6:$AY$1005="Direkomendasikan",ROW($6:$1005)-5),486)+5)&amp;":O"&amp;(SMALL(IF(checklistPesertaKemenkeu!$AY$6:$AY$1005="Direkomendasikan",ROW($6:$1005)-5),486)+5)),INDEX(checklistPesertaKemenkeu!$O$6:$O$1005,SMALL(IF(checklistPesertaKemenkeu!$AY$6:$AY$1005="Direkomendasikan",ROW($6:$1005)-5),486)))=1),IFERROR(VLOOKUP(INDEX(checklistPesertaKemenkeu!$O$6:$O$1005,SMALL(IF(checklistPesertaKemenkeu!$AY$6:$AY$1005="Direkomendasikan",ROW($6:$1005)-5),486)),KotaKode,2,0),"-"),"")),"")</f>
        <v/>
      </c>
      <c r="L487" t="str">
        <f t="array" aca="1" ref="L487" ca="1">IFERROR(IF(OR(INDEX(checklistPesertaKemenkeu!$P$6:$P$1005,SMALL(IF(checklistPesertaKemenkeu!$AY$6:$AY$1005="Direkomendasikan",ROW($6:$1005)-5),486))="",INDEX(checklistPesertaKemenkeu!$J$6:$J$1005,SMALL(IF(checklistPesertaKemenkeu!$AY$6:$AY$1005="Direkomendasikan",ROW($6:$1005)-5),486))=""),"",IF(AND(COUNTIF(INDIRECT("K_"&amp;MATCH(INDEX(checklistPesertaKemenkeu!$J$6:$J$1005,SMALL(IF(checklistPesertaKemenkeu!$AY$6:$AY$1005="Direkomendasikan",ROW($6:$1005)-5),486)),BidangList,0)),INDEX(checklistPesertaKemenkeu!$P$6:$P$1005,SMALL(IF(checklistPesertaKemenkeu!$AY$6:$AY$1005="Direkomendasikan",ROW($6:$1005)-5),486)))&gt;0,COUNTIF(INDIRECT("'KERTAS KERJA'!K"&amp;(SMALL(IF(checklistPesertaKemenkeu!$AY$6:$AY$1005="Direkomendasikan",ROW($6:$1005)-5),486)+5)&amp;":O"&amp;(SMALL(IF(checklistPesertaKemenkeu!$AY$6:$AY$1005="Direkomendasikan",ROW($6:$1005)-5),486)+5)),INDEX(checklistPesertaKemenkeu!$P$6:$P$1005,SMALL(IF(checklistPesertaKemenkeu!$AY$6:$AY$1005="Direkomendasikan",ROW($6:$1005)-5),486)))=1),IFERROR(VLOOKUP(INDEX(checklistPesertaKemenkeu!$P$6:$P$1005,SMALL(IF(checklistPesertaKemenkeu!$AY$6:$AY$1005="Direkomendasikan",ROW($6:$1005)-5),486)),KotaKode,2,0),"-"),"")),"")</f>
        <v/>
      </c>
    </row>
    <row r="488" spans="1:12" ht="15" customHeight="1" x14ac:dyDescent="0.2">
      <c r="A488" t="str">
        <f t="shared" si="7"/>
        <v/>
      </c>
      <c r="B488" t="str">
        <v/>
      </c>
      <c r="C488" s="40" t="str">
        <f t="array" ref="C488">IFERROR(INDEX(checklistPesertaKemenkeu!$F$6:$F$1005,SMALL(IF(checklistPesertaKemenkeu!$AY$6:$AY$1005="Direkomendasikan",ROW($6:$1005)-5),487)),"")</f>
        <v/>
      </c>
      <c r="D488" t="str">
        <f t="array" ref="D488">IFERROR(INDEX(checklistPesertaKemenkeu!$G$6:$G$1005,SMALL(IF(checklistPesertaKemenkeu!$AY$6:$AY$1005="Direkomendasikan",ROW($6:$1005)-5),487)),"")</f>
        <v/>
      </c>
      <c r="E488" t="str">
        <f t="array" ref="E488">IFERROR(INDEX(checklistPesertaKemenkeu!$H$6:$H$1005,SMALL(IF(checklistPesertaKemenkeu!$AY$6:$AY$1005="Direkomendasikan",ROW($6:$1005)-5),487)),"")</f>
        <v/>
      </c>
      <c r="F488" t="str">
        <f t="array" ref="F488">IFERROR(INDEX(checklistPesertaKemenkeu!$I$6:$I$1005,SMALL(IF(checklistPesertaKemenkeu!$AY$6:$AY$1005="Direkomendasikan",ROW($6:$1005)-5),487)),"")</f>
        <v/>
      </c>
      <c r="G488" t="str">
        <f t="array" ref="G488">IFERROR(INDEX(checklistPesertaKemenkeu!$J$6:$J$1005,SMALL(IF(checklistPesertaKemenkeu!$AY$6:$AY$1005="Direkomendasikan",ROW($6:$1005)-5),487)),"")</f>
        <v/>
      </c>
      <c r="H488" t="str">
        <f t="array" aca="1" ref="H488" ca="1">IFERROR(IF(OR(INDEX(checklistPesertaKemenkeu!$L$6:$L$1005,SMALL(IF(checklistPesertaKemenkeu!$AY$6:$AY$1005="Direkomendasikan",ROW($6:$1005)-5),487))="",INDEX(checklistPesertaKemenkeu!$J$6:$J$1005,SMALL(IF(checklistPesertaKemenkeu!$AY$6:$AY$1005="Direkomendasikan",ROW($6:$1005)-5),487))=""),"",IF(AND(COUNTIF(INDIRECT("K_"&amp;MATCH(INDEX(checklistPesertaKemenkeu!$J$6:$J$1005,SMALL(IF(checklistPesertaKemenkeu!$AY$6:$AY$1005="Direkomendasikan",ROW($6:$1005)-5),487)),BidangList,0)),INDEX(checklistPesertaKemenkeu!$L$6:$L$1005,SMALL(IF(checklistPesertaKemenkeu!$AY$6:$AY$1005="Direkomendasikan",ROW($6:$1005)-5),487)))&gt;0,COUNTIF(INDIRECT("'KERTAS KERJA'!K"&amp;(SMALL(IF(checklistPesertaKemenkeu!$AY$6:$AY$1005="Direkomendasikan",ROW($6:$1005)-5),487)+5)&amp;":O"&amp;(SMALL(IF(checklistPesertaKemenkeu!$AY$6:$AY$1005="Direkomendasikan",ROW($6:$1005)-5),487)+5)),INDEX(checklistPesertaKemenkeu!$L$6:$L$1005,SMALL(IF(checklistPesertaKemenkeu!$AY$6:$AY$1005="Direkomendasikan",ROW($6:$1005)-5),487)))=1),IFERROR(VLOOKUP(INDEX(checklistPesertaKemenkeu!$L$6:$L$1005,SMALL(IF(checklistPesertaKemenkeu!$AY$6:$AY$1005="Direkomendasikan",ROW($6:$1005)-5),487)),KotaKode,2,0),"-"),"")),"")</f>
        <v/>
      </c>
      <c r="I488" t="str">
        <f t="array" aca="1" ref="I488" ca="1">IFERROR(IF(OR(INDEX(checklistPesertaKemenkeu!$M$6:$M$1005,SMALL(IF(checklistPesertaKemenkeu!$AY$6:$AY$1005="Direkomendasikan",ROW($6:$1005)-5),487))="",INDEX(checklistPesertaKemenkeu!$J$6:$J$1005,SMALL(IF(checklistPesertaKemenkeu!$AY$6:$AY$1005="Direkomendasikan",ROW($6:$1005)-5),487))=""),"",IF(AND(COUNTIF(INDIRECT("K_"&amp;MATCH(INDEX(checklistPesertaKemenkeu!$J$6:$J$1005,SMALL(IF(checklistPesertaKemenkeu!$AY$6:$AY$1005="Direkomendasikan",ROW($6:$1005)-5),487)),BidangList,0)),INDEX(checklistPesertaKemenkeu!$M$6:$M$1005,SMALL(IF(checklistPesertaKemenkeu!$AY$6:$AY$1005="Direkomendasikan",ROW($6:$1005)-5),487)))&gt;0,COUNTIF(INDIRECT("'KERTAS KERJA'!K"&amp;(SMALL(IF(checklistPesertaKemenkeu!$AY$6:$AY$1005="Direkomendasikan",ROW($6:$1005)-5),487)+5)&amp;":O"&amp;(SMALL(IF(checklistPesertaKemenkeu!$AY$6:$AY$1005="Direkomendasikan",ROW($6:$1005)-5),487)+5)),INDEX(checklistPesertaKemenkeu!$M$6:$M$1005,SMALL(IF(checklistPesertaKemenkeu!$AY$6:$AY$1005="Direkomendasikan",ROW($6:$1005)-5),487)))=1),IFERROR(VLOOKUP(INDEX(checklistPesertaKemenkeu!$M$6:$M$1005,SMALL(IF(checklistPesertaKemenkeu!$AY$6:$AY$1005="Direkomendasikan",ROW($6:$1005)-5),487)),KotaKode,2,0),"-"),"")),"")</f>
        <v/>
      </c>
      <c r="J488" t="str">
        <f t="array" aca="1" ref="J488" ca="1">IFERROR(IF(OR(INDEX(checklistPesertaKemenkeu!$N$6:$N$1005,SMALL(IF(checklistPesertaKemenkeu!$AY$6:$AY$1005="Direkomendasikan",ROW($6:$1005)-5),487))="",INDEX(checklistPesertaKemenkeu!$J$6:$J$1005,SMALL(IF(checklistPesertaKemenkeu!$AY$6:$AY$1005="Direkomendasikan",ROW($6:$1005)-5),487))=""),"",IF(AND(COUNTIF(INDIRECT("K_"&amp;MATCH(INDEX(checklistPesertaKemenkeu!$J$6:$J$1005,SMALL(IF(checklistPesertaKemenkeu!$AY$6:$AY$1005="Direkomendasikan",ROW($6:$1005)-5),487)),BidangList,0)),INDEX(checklistPesertaKemenkeu!$N$6:$N$1005,SMALL(IF(checklistPesertaKemenkeu!$AY$6:$AY$1005="Direkomendasikan",ROW($6:$1005)-5),487)))&gt;0,COUNTIF(INDIRECT("'KERTAS KERJA'!K"&amp;(SMALL(IF(checklistPesertaKemenkeu!$AY$6:$AY$1005="Direkomendasikan",ROW($6:$1005)-5),487)+5)&amp;":O"&amp;(SMALL(IF(checklistPesertaKemenkeu!$AY$6:$AY$1005="Direkomendasikan",ROW($6:$1005)-5),487)+5)),INDEX(checklistPesertaKemenkeu!$N$6:$N$1005,SMALL(IF(checklistPesertaKemenkeu!$AY$6:$AY$1005="Direkomendasikan",ROW($6:$1005)-5),487)))=1),IFERROR(VLOOKUP(INDEX(checklistPesertaKemenkeu!$N$6:$N$1005,SMALL(IF(checklistPesertaKemenkeu!$AY$6:$AY$1005="Direkomendasikan",ROW($6:$1005)-5),487)),KotaKode,2,0),"-"),"")),"")</f>
        <v/>
      </c>
      <c r="K488" t="str">
        <f t="array" aca="1" ref="K488" ca="1">IFERROR(IF(OR(INDEX(checklistPesertaKemenkeu!$O$6:$O$1005,SMALL(IF(checklistPesertaKemenkeu!$AY$6:$AY$1005="Direkomendasikan",ROW($6:$1005)-5),487))="",INDEX(checklistPesertaKemenkeu!$J$6:$J$1005,SMALL(IF(checklistPesertaKemenkeu!$AY$6:$AY$1005="Direkomendasikan",ROW($6:$1005)-5),487))=""),"",IF(AND(COUNTIF(INDIRECT("K_"&amp;MATCH(INDEX(checklistPesertaKemenkeu!$J$6:$J$1005,SMALL(IF(checklistPesertaKemenkeu!$AY$6:$AY$1005="Direkomendasikan",ROW($6:$1005)-5),487)),BidangList,0)),INDEX(checklistPesertaKemenkeu!$O$6:$O$1005,SMALL(IF(checklistPesertaKemenkeu!$AY$6:$AY$1005="Direkomendasikan",ROW($6:$1005)-5),487)))&gt;0,COUNTIF(INDIRECT("'KERTAS KERJA'!K"&amp;(SMALL(IF(checklistPesertaKemenkeu!$AY$6:$AY$1005="Direkomendasikan",ROW($6:$1005)-5),487)+5)&amp;":O"&amp;(SMALL(IF(checklistPesertaKemenkeu!$AY$6:$AY$1005="Direkomendasikan",ROW($6:$1005)-5),487)+5)),INDEX(checklistPesertaKemenkeu!$O$6:$O$1005,SMALL(IF(checklistPesertaKemenkeu!$AY$6:$AY$1005="Direkomendasikan",ROW($6:$1005)-5),487)))=1),IFERROR(VLOOKUP(INDEX(checklistPesertaKemenkeu!$O$6:$O$1005,SMALL(IF(checklistPesertaKemenkeu!$AY$6:$AY$1005="Direkomendasikan",ROW($6:$1005)-5),487)),KotaKode,2,0),"-"),"")),"")</f>
        <v/>
      </c>
      <c r="L488" t="str">
        <f t="array" aca="1" ref="L488" ca="1">IFERROR(IF(OR(INDEX(checklistPesertaKemenkeu!$P$6:$P$1005,SMALL(IF(checklistPesertaKemenkeu!$AY$6:$AY$1005="Direkomendasikan",ROW($6:$1005)-5),487))="",INDEX(checklistPesertaKemenkeu!$J$6:$J$1005,SMALL(IF(checklistPesertaKemenkeu!$AY$6:$AY$1005="Direkomendasikan",ROW($6:$1005)-5),487))=""),"",IF(AND(COUNTIF(INDIRECT("K_"&amp;MATCH(INDEX(checklistPesertaKemenkeu!$J$6:$J$1005,SMALL(IF(checklistPesertaKemenkeu!$AY$6:$AY$1005="Direkomendasikan",ROW($6:$1005)-5),487)),BidangList,0)),INDEX(checklistPesertaKemenkeu!$P$6:$P$1005,SMALL(IF(checklistPesertaKemenkeu!$AY$6:$AY$1005="Direkomendasikan",ROW($6:$1005)-5),487)))&gt;0,COUNTIF(INDIRECT("'KERTAS KERJA'!K"&amp;(SMALL(IF(checklistPesertaKemenkeu!$AY$6:$AY$1005="Direkomendasikan",ROW($6:$1005)-5),487)+5)&amp;":O"&amp;(SMALL(IF(checklistPesertaKemenkeu!$AY$6:$AY$1005="Direkomendasikan",ROW($6:$1005)-5),487)+5)),INDEX(checklistPesertaKemenkeu!$P$6:$P$1005,SMALL(IF(checklistPesertaKemenkeu!$AY$6:$AY$1005="Direkomendasikan",ROW($6:$1005)-5),487)))=1),IFERROR(VLOOKUP(INDEX(checklistPesertaKemenkeu!$P$6:$P$1005,SMALL(IF(checklistPesertaKemenkeu!$AY$6:$AY$1005="Direkomendasikan",ROW($6:$1005)-5),487)),KotaKode,2,0),"-"),"")),"")</f>
        <v/>
      </c>
    </row>
    <row r="489" spans="1:12" ht="15" customHeight="1" x14ac:dyDescent="0.2">
      <c r="A489" t="str">
        <f t="shared" si="7"/>
        <v/>
      </c>
      <c r="B489" t="str">
        <v/>
      </c>
      <c r="C489" s="40" t="str">
        <f t="array" ref="C489">IFERROR(INDEX(checklistPesertaKemenkeu!$F$6:$F$1005,SMALL(IF(checklistPesertaKemenkeu!$AY$6:$AY$1005="Direkomendasikan",ROW($6:$1005)-5),488)),"")</f>
        <v/>
      </c>
      <c r="D489" t="str">
        <f t="array" ref="D489">IFERROR(INDEX(checklistPesertaKemenkeu!$G$6:$G$1005,SMALL(IF(checklistPesertaKemenkeu!$AY$6:$AY$1005="Direkomendasikan",ROW($6:$1005)-5),488)),"")</f>
        <v/>
      </c>
      <c r="E489" t="str">
        <f t="array" ref="E489">IFERROR(INDEX(checklistPesertaKemenkeu!$H$6:$H$1005,SMALL(IF(checklistPesertaKemenkeu!$AY$6:$AY$1005="Direkomendasikan",ROW($6:$1005)-5),488)),"")</f>
        <v/>
      </c>
      <c r="F489" t="str">
        <f t="array" ref="F489">IFERROR(INDEX(checklistPesertaKemenkeu!$I$6:$I$1005,SMALL(IF(checklistPesertaKemenkeu!$AY$6:$AY$1005="Direkomendasikan",ROW($6:$1005)-5),488)),"")</f>
        <v/>
      </c>
      <c r="G489" t="str">
        <f t="array" ref="G489">IFERROR(INDEX(checklistPesertaKemenkeu!$J$6:$J$1005,SMALL(IF(checklistPesertaKemenkeu!$AY$6:$AY$1005="Direkomendasikan",ROW($6:$1005)-5),488)),"")</f>
        <v/>
      </c>
      <c r="H489" t="str">
        <f t="array" aca="1" ref="H489" ca="1">IFERROR(IF(OR(INDEX(checklistPesertaKemenkeu!$L$6:$L$1005,SMALL(IF(checklistPesertaKemenkeu!$AY$6:$AY$1005="Direkomendasikan",ROW($6:$1005)-5),488))="",INDEX(checklistPesertaKemenkeu!$J$6:$J$1005,SMALL(IF(checklistPesertaKemenkeu!$AY$6:$AY$1005="Direkomendasikan",ROW($6:$1005)-5),488))=""),"",IF(AND(COUNTIF(INDIRECT("K_"&amp;MATCH(INDEX(checklistPesertaKemenkeu!$J$6:$J$1005,SMALL(IF(checklistPesertaKemenkeu!$AY$6:$AY$1005="Direkomendasikan",ROW($6:$1005)-5),488)),BidangList,0)),INDEX(checklistPesertaKemenkeu!$L$6:$L$1005,SMALL(IF(checklistPesertaKemenkeu!$AY$6:$AY$1005="Direkomendasikan",ROW($6:$1005)-5),488)))&gt;0,COUNTIF(INDIRECT("'KERTAS KERJA'!K"&amp;(SMALL(IF(checklistPesertaKemenkeu!$AY$6:$AY$1005="Direkomendasikan",ROW($6:$1005)-5),488)+5)&amp;":O"&amp;(SMALL(IF(checklistPesertaKemenkeu!$AY$6:$AY$1005="Direkomendasikan",ROW($6:$1005)-5),488)+5)),INDEX(checklistPesertaKemenkeu!$L$6:$L$1005,SMALL(IF(checklistPesertaKemenkeu!$AY$6:$AY$1005="Direkomendasikan",ROW($6:$1005)-5),488)))=1),IFERROR(VLOOKUP(INDEX(checklistPesertaKemenkeu!$L$6:$L$1005,SMALL(IF(checklistPesertaKemenkeu!$AY$6:$AY$1005="Direkomendasikan",ROW($6:$1005)-5),488)),KotaKode,2,0),"-"),"")),"")</f>
        <v/>
      </c>
      <c r="I489" t="str">
        <f t="array" aca="1" ref="I489" ca="1">IFERROR(IF(OR(INDEX(checklistPesertaKemenkeu!$M$6:$M$1005,SMALL(IF(checklistPesertaKemenkeu!$AY$6:$AY$1005="Direkomendasikan",ROW($6:$1005)-5),488))="",INDEX(checklistPesertaKemenkeu!$J$6:$J$1005,SMALL(IF(checklistPesertaKemenkeu!$AY$6:$AY$1005="Direkomendasikan",ROW($6:$1005)-5),488))=""),"",IF(AND(COUNTIF(INDIRECT("K_"&amp;MATCH(INDEX(checklistPesertaKemenkeu!$J$6:$J$1005,SMALL(IF(checklistPesertaKemenkeu!$AY$6:$AY$1005="Direkomendasikan",ROW($6:$1005)-5),488)),BidangList,0)),INDEX(checklistPesertaKemenkeu!$M$6:$M$1005,SMALL(IF(checklistPesertaKemenkeu!$AY$6:$AY$1005="Direkomendasikan",ROW($6:$1005)-5),488)))&gt;0,COUNTIF(INDIRECT("'KERTAS KERJA'!K"&amp;(SMALL(IF(checklistPesertaKemenkeu!$AY$6:$AY$1005="Direkomendasikan",ROW($6:$1005)-5),488)+5)&amp;":O"&amp;(SMALL(IF(checklistPesertaKemenkeu!$AY$6:$AY$1005="Direkomendasikan",ROW($6:$1005)-5),488)+5)),INDEX(checklistPesertaKemenkeu!$M$6:$M$1005,SMALL(IF(checklistPesertaKemenkeu!$AY$6:$AY$1005="Direkomendasikan",ROW($6:$1005)-5),488)))=1),IFERROR(VLOOKUP(INDEX(checklistPesertaKemenkeu!$M$6:$M$1005,SMALL(IF(checklistPesertaKemenkeu!$AY$6:$AY$1005="Direkomendasikan",ROW($6:$1005)-5),488)),KotaKode,2,0),"-"),"")),"")</f>
        <v/>
      </c>
      <c r="J489" t="str">
        <f t="array" aca="1" ref="J489" ca="1">IFERROR(IF(OR(INDEX(checklistPesertaKemenkeu!$N$6:$N$1005,SMALL(IF(checklistPesertaKemenkeu!$AY$6:$AY$1005="Direkomendasikan",ROW($6:$1005)-5),488))="",INDEX(checklistPesertaKemenkeu!$J$6:$J$1005,SMALL(IF(checklistPesertaKemenkeu!$AY$6:$AY$1005="Direkomendasikan",ROW($6:$1005)-5),488))=""),"",IF(AND(COUNTIF(INDIRECT("K_"&amp;MATCH(INDEX(checklistPesertaKemenkeu!$J$6:$J$1005,SMALL(IF(checklistPesertaKemenkeu!$AY$6:$AY$1005="Direkomendasikan",ROW($6:$1005)-5),488)),BidangList,0)),INDEX(checklistPesertaKemenkeu!$N$6:$N$1005,SMALL(IF(checklistPesertaKemenkeu!$AY$6:$AY$1005="Direkomendasikan",ROW($6:$1005)-5),488)))&gt;0,COUNTIF(INDIRECT("'KERTAS KERJA'!K"&amp;(SMALL(IF(checklistPesertaKemenkeu!$AY$6:$AY$1005="Direkomendasikan",ROW($6:$1005)-5),488)+5)&amp;":O"&amp;(SMALL(IF(checklistPesertaKemenkeu!$AY$6:$AY$1005="Direkomendasikan",ROW($6:$1005)-5),488)+5)),INDEX(checklistPesertaKemenkeu!$N$6:$N$1005,SMALL(IF(checklistPesertaKemenkeu!$AY$6:$AY$1005="Direkomendasikan",ROW($6:$1005)-5),488)))=1),IFERROR(VLOOKUP(INDEX(checklistPesertaKemenkeu!$N$6:$N$1005,SMALL(IF(checklistPesertaKemenkeu!$AY$6:$AY$1005="Direkomendasikan",ROW($6:$1005)-5),488)),KotaKode,2,0),"-"),"")),"")</f>
        <v/>
      </c>
      <c r="K489" t="str">
        <f t="array" aca="1" ref="K489" ca="1">IFERROR(IF(OR(INDEX(checklistPesertaKemenkeu!$O$6:$O$1005,SMALL(IF(checklistPesertaKemenkeu!$AY$6:$AY$1005="Direkomendasikan",ROW($6:$1005)-5),488))="",INDEX(checklistPesertaKemenkeu!$J$6:$J$1005,SMALL(IF(checklistPesertaKemenkeu!$AY$6:$AY$1005="Direkomendasikan",ROW($6:$1005)-5),488))=""),"",IF(AND(COUNTIF(INDIRECT("K_"&amp;MATCH(INDEX(checklistPesertaKemenkeu!$J$6:$J$1005,SMALL(IF(checklistPesertaKemenkeu!$AY$6:$AY$1005="Direkomendasikan",ROW($6:$1005)-5),488)),BidangList,0)),INDEX(checklistPesertaKemenkeu!$O$6:$O$1005,SMALL(IF(checklistPesertaKemenkeu!$AY$6:$AY$1005="Direkomendasikan",ROW($6:$1005)-5),488)))&gt;0,COUNTIF(INDIRECT("'KERTAS KERJA'!K"&amp;(SMALL(IF(checklistPesertaKemenkeu!$AY$6:$AY$1005="Direkomendasikan",ROW($6:$1005)-5),488)+5)&amp;":O"&amp;(SMALL(IF(checklistPesertaKemenkeu!$AY$6:$AY$1005="Direkomendasikan",ROW($6:$1005)-5),488)+5)),INDEX(checklistPesertaKemenkeu!$O$6:$O$1005,SMALL(IF(checklistPesertaKemenkeu!$AY$6:$AY$1005="Direkomendasikan",ROW($6:$1005)-5),488)))=1),IFERROR(VLOOKUP(INDEX(checklistPesertaKemenkeu!$O$6:$O$1005,SMALL(IF(checklistPesertaKemenkeu!$AY$6:$AY$1005="Direkomendasikan",ROW($6:$1005)-5),488)),KotaKode,2,0),"-"),"")),"")</f>
        <v/>
      </c>
      <c r="L489" t="str">
        <f t="array" aca="1" ref="L489" ca="1">IFERROR(IF(OR(INDEX(checklistPesertaKemenkeu!$P$6:$P$1005,SMALL(IF(checklistPesertaKemenkeu!$AY$6:$AY$1005="Direkomendasikan",ROW($6:$1005)-5),488))="",INDEX(checklistPesertaKemenkeu!$J$6:$J$1005,SMALL(IF(checklistPesertaKemenkeu!$AY$6:$AY$1005="Direkomendasikan",ROW($6:$1005)-5),488))=""),"",IF(AND(COUNTIF(INDIRECT("K_"&amp;MATCH(INDEX(checklistPesertaKemenkeu!$J$6:$J$1005,SMALL(IF(checklistPesertaKemenkeu!$AY$6:$AY$1005="Direkomendasikan",ROW($6:$1005)-5),488)),BidangList,0)),INDEX(checklistPesertaKemenkeu!$P$6:$P$1005,SMALL(IF(checklistPesertaKemenkeu!$AY$6:$AY$1005="Direkomendasikan",ROW($6:$1005)-5),488)))&gt;0,COUNTIF(INDIRECT("'KERTAS KERJA'!K"&amp;(SMALL(IF(checklistPesertaKemenkeu!$AY$6:$AY$1005="Direkomendasikan",ROW($6:$1005)-5),488)+5)&amp;":O"&amp;(SMALL(IF(checklistPesertaKemenkeu!$AY$6:$AY$1005="Direkomendasikan",ROW($6:$1005)-5),488)+5)),INDEX(checklistPesertaKemenkeu!$P$6:$P$1005,SMALL(IF(checklistPesertaKemenkeu!$AY$6:$AY$1005="Direkomendasikan",ROW($6:$1005)-5),488)))=1),IFERROR(VLOOKUP(INDEX(checklistPesertaKemenkeu!$P$6:$P$1005,SMALL(IF(checklistPesertaKemenkeu!$AY$6:$AY$1005="Direkomendasikan",ROW($6:$1005)-5),488)),KotaKode,2,0),"-"),"")),"")</f>
        <v/>
      </c>
    </row>
    <row r="490" spans="1:12" ht="15" customHeight="1" x14ac:dyDescent="0.2">
      <c r="A490" t="str">
        <f t="shared" si="7"/>
        <v/>
      </c>
      <c r="B490" t="str">
        <v/>
      </c>
      <c r="C490" s="40" t="str">
        <f t="array" ref="C490">IFERROR(INDEX(checklistPesertaKemenkeu!$F$6:$F$1005,SMALL(IF(checklistPesertaKemenkeu!$AY$6:$AY$1005="Direkomendasikan",ROW($6:$1005)-5),489)),"")</f>
        <v/>
      </c>
      <c r="D490" t="str">
        <f t="array" ref="D490">IFERROR(INDEX(checklistPesertaKemenkeu!$G$6:$G$1005,SMALL(IF(checklistPesertaKemenkeu!$AY$6:$AY$1005="Direkomendasikan",ROW($6:$1005)-5),489)),"")</f>
        <v/>
      </c>
      <c r="E490" t="str">
        <f t="array" ref="E490">IFERROR(INDEX(checklistPesertaKemenkeu!$H$6:$H$1005,SMALL(IF(checklistPesertaKemenkeu!$AY$6:$AY$1005="Direkomendasikan",ROW($6:$1005)-5),489)),"")</f>
        <v/>
      </c>
      <c r="F490" t="str">
        <f t="array" ref="F490">IFERROR(INDEX(checklistPesertaKemenkeu!$I$6:$I$1005,SMALL(IF(checklistPesertaKemenkeu!$AY$6:$AY$1005="Direkomendasikan",ROW($6:$1005)-5),489)),"")</f>
        <v/>
      </c>
      <c r="G490" t="str">
        <f t="array" ref="G490">IFERROR(INDEX(checklistPesertaKemenkeu!$J$6:$J$1005,SMALL(IF(checklistPesertaKemenkeu!$AY$6:$AY$1005="Direkomendasikan",ROW($6:$1005)-5),489)),"")</f>
        <v/>
      </c>
      <c r="H490" t="str">
        <f t="array" aca="1" ref="H490" ca="1">IFERROR(IF(OR(INDEX(checklistPesertaKemenkeu!$L$6:$L$1005,SMALL(IF(checklistPesertaKemenkeu!$AY$6:$AY$1005="Direkomendasikan",ROW($6:$1005)-5),489))="",INDEX(checklistPesertaKemenkeu!$J$6:$J$1005,SMALL(IF(checklistPesertaKemenkeu!$AY$6:$AY$1005="Direkomendasikan",ROW($6:$1005)-5),489))=""),"",IF(AND(COUNTIF(INDIRECT("K_"&amp;MATCH(INDEX(checklistPesertaKemenkeu!$J$6:$J$1005,SMALL(IF(checklistPesertaKemenkeu!$AY$6:$AY$1005="Direkomendasikan",ROW($6:$1005)-5),489)),BidangList,0)),INDEX(checklistPesertaKemenkeu!$L$6:$L$1005,SMALL(IF(checklistPesertaKemenkeu!$AY$6:$AY$1005="Direkomendasikan",ROW($6:$1005)-5),489)))&gt;0,COUNTIF(INDIRECT("'KERTAS KERJA'!K"&amp;(SMALL(IF(checklistPesertaKemenkeu!$AY$6:$AY$1005="Direkomendasikan",ROW($6:$1005)-5),489)+5)&amp;":O"&amp;(SMALL(IF(checklistPesertaKemenkeu!$AY$6:$AY$1005="Direkomendasikan",ROW($6:$1005)-5),489)+5)),INDEX(checklistPesertaKemenkeu!$L$6:$L$1005,SMALL(IF(checklistPesertaKemenkeu!$AY$6:$AY$1005="Direkomendasikan",ROW($6:$1005)-5),489)))=1),IFERROR(VLOOKUP(INDEX(checklistPesertaKemenkeu!$L$6:$L$1005,SMALL(IF(checklistPesertaKemenkeu!$AY$6:$AY$1005="Direkomendasikan",ROW($6:$1005)-5),489)),KotaKode,2,0),"-"),"")),"")</f>
        <v/>
      </c>
      <c r="I490" t="str">
        <f t="array" aca="1" ref="I490" ca="1">IFERROR(IF(OR(INDEX(checklistPesertaKemenkeu!$M$6:$M$1005,SMALL(IF(checklistPesertaKemenkeu!$AY$6:$AY$1005="Direkomendasikan",ROW($6:$1005)-5),489))="",INDEX(checklistPesertaKemenkeu!$J$6:$J$1005,SMALL(IF(checklistPesertaKemenkeu!$AY$6:$AY$1005="Direkomendasikan",ROW($6:$1005)-5),489))=""),"",IF(AND(COUNTIF(INDIRECT("K_"&amp;MATCH(INDEX(checklistPesertaKemenkeu!$J$6:$J$1005,SMALL(IF(checklistPesertaKemenkeu!$AY$6:$AY$1005="Direkomendasikan",ROW($6:$1005)-5),489)),BidangList,0)),INDEX(checklistPesertaKemenkeu!$M$6:$M$1005,SMALL(IF(checklistPesertaKemenkeu!$AY$6:$AY$1005="Direkomendasikan",ROW($6:$1005)-5),489)))&gt;0,COUNTIF(INDIRECT("'KERTAS KERJA'!K"&amp;(SMALL(IF(checklistPesertaKemenkeu!$AY$6:$AY$1005="Direkomendasikan",ROW($6:$1005)-5),489)+5)&amp;":O"&amp;(SMALL(IF(checklistPesertaKemenkeu!$AY$6:$AY$1005="Direkomendasikan",ROW($6:$1005)-5),489)+5)),INDEX(checklistPesertaKemenkeu!$M$6:$M$1005,SMALL(IF(checklistPesertaKemenkeu!$AY$6:$AY$1005="Direkomendasikan",ROW($6:$1005)-5),489)))=1),IFERROR(VLOOKUP(INDEX(checklistPesertaKemenkeu!$M$6:$M$1005,SMALL(IF(checklistPesertaKemenkeu!$AY$6:$AY$1005="Direkomendasikan",ROW($6:$1005)-5),489)),KotaKode,2,0),"-"),"")),"")</f>
        <v/>
      </c>
      <c r="J490" t="str">
        <f t="array" aca="1" ref="J490" ca="1">IFERROR(IF(OR(INDEX(checklistPesertaKemenkeu!$N$6:$N$1005,SMALL(IF(checklistPesertaKemenkeu!$AY$6:$AY$1005="Direkomendasikan",ROW($6:$1005)-5),489))="",INDEX(checklistPesertaKemenkeu!$J$6:$J$1005,SMALL(IF(checklistPesertaKemenkeu!$AY$6:$AY$1005="Direkomendasikan",ROW($6:$1005)-5),489))=""),"",IF(AND(COUNTIF(INDIRECT("K_"&amp;MATCH(INDEX(checklistPesertaKemenkeu!$J$6:$J$1005,SMALL(IF(checklistPesertaKemenkeu!$AY$6:$AY$1005="Direkomendasikan",ROW($6:$1005)-5),489)),BidangList,0)),INDEX(checklistPesertaKemenkeu!$N$6:$N$1005,SMALL(IF(checklistPesertaKemenkeu!$AY$6:$AY$1005="Direkomendasikan",ROW($6:$1005)-5),489)))&gt;0,COUNTIF(INDIRECT("'KERTAS KERJA'!K"&amp;(SMALL(IF(checklistPesertaKemenkeu!$AY$6:$AY$1005="Direkomendasikan",ROW($6:$1005)-5),489)+5)&amp;":O"&amp;(SMALL(IF(checklistPesertaKemenkeu!$AY$6:$AY$1005="Direkomendasikan",ROW($6:$1005)-5),489)+5)),INDEX(checklistPesertaKemenkeu!$N$6:$N$1005,SMALL(IF(checklistPesertaKemenkeu!$AY$6:$AY$1005="Direkomendasikan",ROW($6:$1005)-5),489)))=1),IFERROR(VLOOKUP(INDEX(checklistPesertaKemenkeu!$N$6:$N$1005,SMALL(IF(checklistPesertaKemenkeu!$AY$6:$AY$1005="Direkomendasikan",ROW($6:$1005)-5),489)),KotaKode,2,0),"-"),"")),"")</f>
        <v/>
      </c>
      <c r="K490" t="str">
        <f t="array" aca="1" ref="K490" ca="1">IFERROR(IF(OR(INDEX(checklistPesertaKemenkeu!$O$6:$O$1005,SMALL(IF(checklistPesertaKemenkeu!$AY$6:$AY$1005="Direkomendasikan",ROW($6:$1005)-5),489))="",INDEX(checklistPesertaKemenkeu!$J$6:$J$1005,SMALL(IF(checklistPesertaKemenkeu!$AY$6:$AY$1005="Direkomendasikan",ROW($6:$1005)-5),489))=""),"",IF(AND(COUNTIF(INDIRECT("K_"&amp;MATCH(INDEX(checklistPesertaKemenkeu!$J$6:$J$1005,SMALL(IF(checklistPesertaKemenkeu!$AY$6:$AY$1005="Direkomendasikan",ROW($6:$1005)-5),489)),BidangList,0)),INDEX(checklistPesertaKemenkeu!$O$6:$O$1005,SMALL(IF(checklistPesertaKemenkeu!$AY$6:$AY$1005="Direkomendasikan",ROW($6:$1005)-5),489)))&gt;0,COUNTIF(INDIRECT("'KERTAS KERJA'!K"&amp;(SMALL(IF(checklistPesertaKemenkeu!$AY$6:$AY$1005="Direkomendasikan",ROW($6:$1005)-5),489)+5)&amp;":O"&amp;(SMALL(IF(checklistPesertaKemenkeu!$AY$6:$AY$1005="Direkomendasikan",ROW($6:$1005)-5),489)+5)),INDEX(checklistPesertaKemenkeu!$O$6:$O$1005,SMALL(IF(checklistPesertaKemenkeu!$AY$6:$AY$1005="Direkomendasikan",ROW($6:$1005)-5),489)))=1),IFERROR(VLOOKUP(INDEX(checklistPesertaKemenkeu!$O$6:$O$1005,SMALL(IF(checklistPesertaKemenkeu!$AY$6:$AY$1005="Direkomendasikan",ROW($6:$1005)-5),489)),KotaKode,2,0),"-"),"")),"")</f>
        <v/>
      </c>
      <c r="L490" t="str">
        <f t="array" aca="1" ref="L490" ca="1">IFERROR(IF(OR(INDEX(checklistPesertaKemenkeu!$P$6:$P$1005,SMALL(IF(checklistPesertaKemenkeu!$AY$6:$AY$1005="Direkomendasikan",ROW($6:$1005)-5),489))="",INDEX(checklistPesertaKemenkeu!$J$6:$J$1005,SMALL(IF(checklistPesertaKemenkeu!$AY$6:$AY$1005="Direkomendasikan",ROW($6:$1005)-5),489))=""),"",IF(AND(COUNTIF(INDIRECT("K_"&amp;MATCH(INDEX(checklistPesertaKemenkeu!$J$6:$J$1005,SMALL(IF(checklistPesertaKemenkeu!$AY$6:$AY$1005="Direkomendasikan",ROW($6:$1005)-5),489)),BidangList,0)),INDEX(checklistPesertaKemenkeu!$P$6:$P$1005,SMALL(IF(checklistPesertaKemenkeu!$AY$6:$AY$1005="Direkomendasikan",ROW($6:$1005)-5),489)))&gt;0,COUNTIF(INDIRECT("'KERTAS KERJA'!K"&amp;(SMALL(IF(checklistPesertaKemenkeu!$AY$6:$AY$1005="Direkomendasikan",ROW($6:$1005)-5),489)+5)&amp;":O"&amp;(SMALL(IF(checklistPesertaKemenkeu!$AY$6:$AY$1005="Direkomendasikan",ROW($6:$1005)-5),489)+5)),INDEX(checklistPesertaKemenkeu!$P$6:$P$1005,SMALL(IF(checklistPesertaKemenkeu!$AY$6:$AY$1005="Direkomendasikan",ROW($6:$1005)-5),489)))=1),IFERROR(VLOOKUP(INDEX(checklistPesertaKemenkeu!$P$6:$P$1005,SMALL(IF(checklistPesertaKemenkeu!$AY$6:$AY$1005="Direkomendasikan",ROW($6:$1005)-5),489)),KotaKode,2,0),"-"),"")),"")</f>
        <v/>
      </c>
    </row>
    <row r="491" spans="1:12" ht="15" customHeight="1" x14ac:dyDescent="0.2">
      <c r="A491" t="str">
        <f t="shared" si="7"/>
        <v/>
      </c>
      <c r="B491" t="str">
        <v/>
      </c>
      <c r="C491" s="40" t="str">
        <f t="array" ref="C491">IFERROR(INDEX(checklistPesertaKemenkeu!$F$6:$F$1005,SMALL(IF(checklistPesertaKemenkeu!$AY$6:$AY$1005="Direkomendasikan",ROW($6:$1005)-5),490)),"")</f>
        <v/>
      </c>
      <c r="D491" t="str">
        <f t="array" ref="D491">IFERROR(INDEX(checklistPesertaKemenkeu!$G$6:$G$1005,SMALL(IF(checklistPesertaKemenkeu!$AY$6:$AY$1005="Direkomendasikan",ROW($6:$1005)-5),490)),"")</f>
        <v/>
      </c>
      <c r="E491" t="str">
        <f t="array" ref="E491">IFERROR(INDEX(checklistPesertaKemenkeu!$H$6:$H$1005,SMALL(IF(checklistPesertaKemenkeu!$AY$6:$AY$1005="Direkomendasikan",ROW($6:$1005)-5),490)),"")</f>
        <v/>
      </c>
      <c r="F491" t="str">
        <f t="array" ref="F491">IFERROR(INDEX(checklistPesertaKemenkeu!$I$6:$I$1005,SMALL(IF(checklistPesertaKemenkeu!$AY$6:$AY$1005="Direkomendasikan",ROW($6:$1005)-5),490)),"")</f>
        <v/>
      </c>
      <c r="G491" t="str">
        <f t="array" ref="G491">IFERROR(INDEX(checklistPesertaKemenkeu!$J$6:$J$1005,SMALL(IF(checklistPesertaKemenkeu!$AY$6:$AY$1005="Direkomendasikan",ROW($6:$1005)-5),490)),"")</f>
        <v/>
      </c>
      <c r="H491" t="str">
        <f t="array" aca="1" ref="H491" ca="1">IFERROR(IF(OR(INDEX(checklistPesertaKemenkeu!$L$6:$L$1005,SMALL(IF(checklistPesertaKemenkeu!$AY$6:$AY$1005="Direkomendasikan",ROW($6:$1005)-5),490))="",INDEX(checklistPesertaKemenkeu!$J$6:$J$1005,SMALL(IF(checklistPesertaKemenkeu!$AY$6:$AY$1005="Direkomendasikan",ROW($6:$1005)-5),490))=""),"",IF(AND(COUNTIF(INDIRECT("K_"&amp;MATCH(INDEX(checklistPesertaKemenkeu!$J$6:$J$1005,SMALL(IF(checklistPesertaKemenkeu!$AY$6:$AY$1005="Direkomendasikan",ROW($6:$1005)-5),490)),BidangList,0)),INDEX(checklistPesertaKemenkeu!$L$6:$L$1005,SMALL(IF(checklistPesertaKemenkeu!$AY$6:$AY$1005="Direkomendasikan",ROW($6:$1005)-5),490)))&gt;0,COUNTIF(INDIRECT("'KERTAS KERJA'!K"&amp;(SMALL(IF(checklistPesertaKemenkeu!$AY$6:$AY$1005="Direkomendasikan",ROW($6:$1005)-5),490)+5)&amp;":O"&amp;(SMALL(IF(checklistPesertaKemenkeu!$AY$6:$AY$1005="Direkomendasikan",ROW($6:$1005)-5),490)+5)),INDEX(checklistPesertaKemenkeu!$L$6:$L$1005,SMALL(IF(checklistPesertaKemenkeu!$AY$6:$AY$1005="Direkomendasikan",ROW($6:$1005)-5),490)))=1),IFERROR(VLOOKUP(INDEX(checklistPesertaKemenkeu!$L$6:$L$1005,SMALL(IF(checklistPesertaKemenkeu!$AY$6:$AY$1005="Direkomendasikan",ROW($6:$1005)-5),490)),KotaKode,2,0),"-"),"")),"")</f>
        <v/>
      </c>
      <c r="I491" t="str">
        <f t="array" aca="1" ref="I491" ca="1">IFERROR(IF(OR(INDEX(checklistPesertaKemenkeu!$M$6:$M$1005,SMALL(IF(checklistPesertaKemenkeu!$AY$6:$AY$1005="Direkomendasikan",ROW($6:$1005)-5),490))="",INDEX(checklistPesertaKemenkeu!$J$6:$J$1005,SMALL(IF(checklistPesertaKemenkeu!$AY$6:$AY$1005="Direkomendasikan",ROW($6:$1005)-5),490))=""),"",IF(AND(COUNTIF(INDIRECT("K_"&amp;MATCH(INDEX(checklistPesertaKemenkeu!$J$6:$J$1005,SMALL(IF(checklistPesertaKemenkeu!$AY$6:$AY$1005="Direkomendasikan",ROW($6:$1005)-5),490)),BidangList,0)),INDEX(checklistPesertaKemenkeu!$M$6:$M$1005,SMALL(IF(checklistPesertaKemenkeu!$AY$6:$AY$1005="Direkomendasikan",ROW($6:$1005)-5),490)))&gt;0,COUNTIF(INDIRECT("'KERTAS KERJA'!K"&amp;(SMALL(IF(checklistPesertaKemenkeu!$AY$6:$AY$1005="Direkomendasikan",ROW($6:$1005)-5),490)+5)&amp;":O"&amp;(SMALL(IF(checklistPesertaKemenkeu!$AY$6:$AY$1005="Direkomendasikan",ROW($6:$1005)-5),490)+5)),INDEX(checklistPesertaKemenkeu!$M$6:$M$1005,SMALL(IF(checklistPesertaKemenkeu!$AY$6:$AY$1005="Direkomendasikan",ROW($6:$1005)-5),490)))=1),IFERROR(VLOOKUP(INDEX(checklistPesertaKemenkeu!$M$6:$M$1005,SMALL(IF(checklistPesertaKemenkeu!$AY$6:$AY$1005="Direkomendasikan",ROW($6:$1005)-5),490)),KotaKode,2,0),"-"),"")),"")</f>
        <v/>
      </c>
      <c r="J491" t="str">
        <f t="array" aca="1" ref="J491" ca="1">IFERROR(IF(OR(INDEX(checklistPesertaKemenkeu!$N$6:$N$1005,SMALL(IF(checklistPesertaKemenkeu!$AY$6:$AY$1005="Direkomendasikan",ROW($6:$1005)-5),490))="",INDEX(checklistPesertaKemenkeu!$J$6:$J$1005,SMALL(IF(checklistPesertaKemenkeu!$AY$6:$AY$1005="Direkomendasikan",ROW($6:$1005)-5),490))=""),"",IF(AND(COUNTIF(INDIRECT("K_"&amp;MATCH(INDEX(checklistPesertaKemenkeu!$J$6:$J$1005,SMALL(IF(checklistPesertaKemenkeu!$AY$6:$AY$1005="Direkomendasikan",ROW($6:$1005)-5),490)),BidangList,0)),INDEX(checklistPesertaKemenkeu!$N$6:$N$1005,SMALL(IF(checklistPesertaKemenkeu!$AY$6:$AY$1005="Direkomendasikan",ROW($6:$1005)-5),490)))&gt;0,COUNTIF(INDIRECT("'KERTAS KERJA'!K"&amp;(SMALL(IF(checklistPesertaKemenkeu!$AY$6:$AY$1005="Direkomendasikan",ROW($6:$1005)-5),490)+5)&amp;":O"&amp;(SMALL(IF(checklistPesertaKemenkeu!$AY$6:$AY$1005="Direkomendasikan",ROW($6:$1005)-5),490)+5)),INDEX(checklistPesertaKemenkeu!$N$6:$N$1005,SMALL(IF(checklistPesertaKemenkeu!$AY$6:$AY$1005="Direkomendasikan",ROW($6:$1005)-5),490)))=1),IFERROR(VLOOKUP(INDEX(checklistPesertaKemenkeu!$N$6:$N$1005,SMALL(IF(checklistPesertaKemenkeu!$AY$6:$AY$1005="Direkomendasikan",ROW($6:$1005)-5),490)),KotaKode,2,0),"-"),"")),"")</f>
        <v/>
      </c>
      <c r="K491" t="str">
        <f t="array" aca="1" ref="K491" ca="1">IFERROR(IF(OR(INDEX(checklistPesertaKemenkeu!$O$6:$O$1005,SMALL(IF(checklistPesertaKemenkeu!$AY$6:$AY$1005="Direkomendasikan",ROW($6:$1005)-5),490))="",INDEX(checklistPesertaKemenkeu!$J$6:$J$1005,SMALL(IF(checklistPesertaKemenkeu!$AY$6:$AY$1005="Direkomendasikan",ROW($6:$1005)-5),490))=""),"",IF(AND(COUNTIF(INDIRECT("K_"&amp;MATCH(INDEX(checklistPesertaKemenkeu!$J$6:$J$1005,SMALL(IF(checklistPesertaKemenkeu!$AY$6:$AY$1005="Direkomendasikan",ROW($6:$1005)-5),490)),BidangList,0)),INDEX(checklistPesertaKemenkeu!$O$6:$O$1005,SMALL(IF(checklistPesertaKemenkeu!$AY$6:$AY$1005="Direkomendasikan",ROW($6:$1005)-5),490)))&gt;0,COUNTIF(INDIRECT("'KERTAS KERJA'!K"&amp;(SMALL(IF(checklistPesertaKemenkeu!$AY$6:$AY$1005="Direkomendasikan",ROW($6:$1005)-5),490)+5)&amp;":O"&amp;(SMALL(IF(checklistPesertaKemenkeu!$AY$6:$AY$1005="Direkomendasikan",ROW($6:$1005)-5),490)+5)),INDEX(checklistPesertaKemenkeu!$O$6:$O$1005,SMALL(IF(checklistPesertaKemenkeu!$AY$6:$AY$1005="Direkomendasikan",ROW($6:$1005)-5),490)))=1),IFERROR(VLOOKUP(INDEX(checklistPesertaKemenkeu!$O$6:$O$1005,SMALL(IF(checklistPesertaKemenkeu!$AY$6:$AY$1005="Direkomendasikan",ROW($6:$1005)-5),490)),KotaKode,2,0),"-"),"")),"")</f>
        <v/>
      </c>
      <c r="L491" t="str">
        <f t="array" aca="1" ref="L491" ca="1">IFERROR(IF(OR(INDEX(checklistPesertaKemenkeu!$P$6:$P$1005,SMALL(IF(checklistPesertaKemenkeu!$AY$6:$AY$1005="Direkomendasikan",ROW($6:$1005)-5),490))="",INDEX(checklistPesertaKemenkeu!$J$6:$J$1005,SMALL(IF(checklistPesertaKemenkeu!$AY$6:$AY$1005="Direkomendasikan",ROW($6:$1005)-5),490))=""),"",IF(AND(COUNTIF(INDIRECT("K_"&amp;MATCH(INDEX(checklistPesertaKemenkeu!$J$6:$J$1005,SMALL(IF(checklistPesertaKemenkeu!$AY$6:$AY$1005="Direkomendasikan",ROW($6:$1005)-5),490)),BidangList,0)),INDEX(checklistPesertaKemenkeu!$P$6:$P$1005,SMALL(IF(checklistPesertaKemenkeu!$AY$6:$AY$1005="Direkomendasikan",ROW($6:$1005)-5),490)))&gt;0,COUNTIF(INDIRECT("'KERTAS KERJA'!K"&amp;(SMALL(IF(checklistPesertaKemenkeu!$AY$6:$AY$1005="Direkomendasikan",ROW($6:$1005)-5),490)+5)&amp;":O"&amp;(SMALL(IF(checklistPesertaKemenkeu!$AY$6:$AY$1005="Direkomendasikan",ROW($6:$1005)-5),490)+5)),INDEX(checklistPesertaKemenkeu!$P$6:$P$1005,SMALL(IF(checklistPesertaKemenkeu!$AY$6:$AY$1005="Direkomendasikan",ROW($6:$1005)-5),490)))=1),IFERROR(VLOOKUP(INDEX(checklistPesertaKemenkeu!$P$6:$P$1005,SMALL(IF(checklistPesertaKemenkeu!$AY$6:$AY$1005="Direkomendasikan",ROW($6:$1005)-5),490)),KotaKode,2,0),"-"),"")),"")</f>
        <v/>
      </c>
    </row>
    <row r="492" spans="1:12" ht="15" customHeight="1" x14ac:dyDescent="0.2">
      <c r="A492" t="str">
        <f t="shared" si="7"/>
        <v/>
      </c>
      <c r="B492" t="str">
        <v/>
      </c>
      <c r="C492" s="40" t="str">
        <f t="array" ref="C492">IFERROR(INDEX(checklistPesertaKemenkeu!$F$6:$F$1005,SMALL(IF(checklistPesertaKemenkeu!$AY$6:$AY$1005="Direkomendasikan",ROW($6:$1005)-5),491)),"")</f>
        <v/>
      </c>
      <c r="D492" t="str">
        <f t="array" ref="D492">IFERROR(INDEX(checklistPesertaKemenkeu!$G$6:$G$1005,SMALL(IF(checklistPesertaKemenkeu!$AY$6:$AY$1005="Direkomendasikan",ROW($6:$1005)-5),491)),"")</f>
        <v/>
      </c>
      <c r="E492" t="str">
        <f t="array" ref="E492">IFERROR(INDEX(checklistPesertaKemenkeu!$H$6:$H$1005,SMALL(IF(checklistPesertaKemenkeu!$AY$6:$AY$1005="Direkomendasikan",ROW($6:$1005)-5),491)),"")</f>
        <v/>
      </c>
      <c r="F492" t="str">
        <f t="array" ref="F492">IFERROR(INDEX(checklistPesertaKemenkeu!$I$6:$I$1005,SMALL(IF(checklistPesertaKemenkeu!$AY$6:$AY$1005="Direkomendasikan",ROW($6:$1005)-5),491)),"")</f>
        <v/>
      </c>
      <c r="G492" t="str">
        <f t="array" ref="G492">IFERROR(INDEX(checklistPesertaKemenkeu!$J$6:$J$1005,SMALL(IF(checklistPesertaKemenkeu!$AY$6:$AY$1005="Direkomendasikan",ROW($6:$1005)-5),491)),"")</f>
        <v/>
      </c>
      <c r="H492" t="str">
        <f t="array" aca="1" ref="H492" ca="1">IFERROR(IF(OR(INDEX(checklistPesertaKemenkeu!$L$6:$L$1005,SMALL(IF(checklistPesertaKemenkeu!$AY$6:$AY$1005="Direkomendasikan",ROW($6:$1005)-5),491))="",INDEX(checklistPesertaKemenkeu!$J$6:$J$1005,SMALL(IF(checklistPesertaKemenkeu!$AY$6:$AY$1005="Direkomendasikan",ROW($6:$1005)-5),491))=""),"",IF(AND(COUNTIF(INDIRECT("K_"&amp;MATCH(INDEX(checklistPesertaKemenkeu!$J$6:$J$1005,SMALL(IF(checklistPesertaKemenkeu!$AY$6:$AY$1005="Direkomendasikan",ROW($6:$1005)-5),491)),BidangList,0)),INDEX(checklistPesertaKemenkeu!$L$6:$L$1005,SMALL(IF(checklistPesertaKemenkeu!$AY$6:$AY$1005="Direkomendasikan",ROW($6:$1005)-5),491)))&gt;0,COUNTIF(INDIRECT("'KERTAS KERJA'!K"&amp;(SMALL(IF(checklistPesertaKemenkeu!$AY$6:$AY$1005="Direkomendasikan",ROW($6:$1005)-5),491)+5)&amp;":O"&amp;(SMALL(IF(checklistPesertaKemenkeu!$AY$6:$AY$1005="Direkomendasikan",ROW($6:$1005)-5),491)+5)),INDEX(checklistPesertaKemenkeu!$L$6:$L$1005,SMALL(IF(checklistPesertaKemenkeu!$AY$6:$AY$1005="Direkomendasikan",ROW($6:$1005)-5),491)))=1),IFERROR(VLOOKUP(INDEX(checklistPesertaKemenkeu!$L$6:$L$1005,SMALL(IF(checklistPesertaKemenkeu!$AY$6:$AY$1005="Direkomendasikan",ROW($6:$1005)-5),491)),KotaKode,2,0),"-"),"")),"")</f>
        <v/>
      </c>
      <c r="I492" t="str">
        <f t="array" aca="1" ref="I492" ca="1">IFERROR(IF(OR(INDEX(checklistPesertaKemenkeu!$M$6:$M$1005,SMALL(IF(checklistPesertaKemenkeu!$AY$6:$AY$1005="Direkomendasikan",ROW($6:$1005)-5),491))="",INDEX(checklistPesertaKemenkeu!$J$6:$J$1005,SMALL(IF(checklistPesertaKemenkeu!$AY$6:$AY$1005="Direkomendasikan",ROW($6:$1005)-5),491))=""),"",IF(AND(COUNTIF(INDIRECT("K_"&amp;MATCH(INDEX(checklistPesertaKemenkeu!$J$6:$J$1005,SMALL(IF(checklistPesertaKemenkeu!$AY$6:$AY$1005="Direkomendasikan",ROW($6:$1005)-5),491)),BidangList,0)),INDEX(checklistPesertaKemenkeu!$M$6:$M$1005,SMALL(IF(checklistPesertaKemenkeu!$AY$6:$AY$1005="Direkomendasikan",ROW($6:$1005)-5),491)))&gt;0,COUNTIF(INDIRECT("'KERTAS KERJA'!K"&amp;(SMALL(IF(checklistPesertaKemenkeu!$AY$6:$AY$1005="Direkomendasikan",ROW($6:$1005)-5),491)+5)&amp;":O"&amp;(SMALL(IF(checklistPesertaKemenkeu!$AY$6:$AY$1005="Direkomendasikan",ROW($6:$1005)-5),491)+5)),INDEX(checklistPesertaKemenkeu!$M$6:$M$1005,SMALL(IF(checklistPesertaKemenkeu!$AY$6:$AY$1005="Direkomendasikan",ROW($6:$1005)-5),491)))=1),IFERROR(VLOOKUP(INDEX(checklistPesertaKemenkeu!$M$6:$M$1005,SMALL(IF(checklistPesertaKemenkeu!$AY$6:$AY$1005="Direkomendasikan",ROW($6:$1005)-5),491)),KotaKode,2,0),"-"),"")),"")</f>
        <v/>
      </c>
      <c r="J492" t="str">
        <f t="array" aca="1" ref="J492" ca="1">IFERROR(IF(OR(INDEX(checklistPesertaKemenkeu!$N$6:$N$1005,SMALL(IF(checklistPesertaKemenkeu!$AY$6:$AY$1005="Direkomendasikan",ROW($6:$1005)-5),491))="",INDEX(checklistPesertaKemenkeu!$J$6:$J$1005,SMALL(IF(checklistPesertaKemenkeu!$AY$6:$AY$1005="Direkomendasikan",ROW($6:$1005)-5),491))=""),"",IF(AND(COUNTIF(INDIRECT("K_"&amp;MATCH(INDEX(checklistPesertaKemenkeu!$J$6:$J$1005,SMALL(IF(checklistPesertaKemenkeu!$AY$6:$AY$1005="Direkomendasikan",ROW($6:$1005)-5),491)),BidangList,0)),INDEX(checklistPesertaKemenkeu!$N$6:$N$1005,SMALL(IF(checklistPesertaKemenkeu!$AY$6:$AY$1005="Direkomendasikan",ROW($6:$1005)-5),491)))&gt;0,COUNTIF(INDIRECT("'KERTAS KERJA'!K"&amp;(SMALL(IF(checklistPesertaKemenkeu!$AY$6:$AY$1005="Direkomendasikan",ROW($6:$1005)-5),491)+5)&amp;":O"&amp;(SMALL(IF(checklistPesertaKemenkeu!$AY$6:$AY$1005="Direkomendasikan",ROW($6:$1005)-5),491)+5)),INDEX(checklistPesertaKemenkeu!$N$6:$N$1005,SMALL(IF(checklistPesertaKemenkeu!$AY$6:$AY$1005="Direkomendasikan",ROW($6:$1005)-5),491)))=1),IFERROR(VLOOKUP(INDEX(checklistPesertaKemenkeu!$N$6:$N$1005,SMALL(IF(checklistPesertaKemenkeu!$AY$6:$AY$1005="Direkomendasikan",ROW($6:$1005)-5),491)),KotaKode,2,0),"-"),"")),"")</f>
        <v/>
      </c>
      <c r="K492" t="str">
        <f t="array" aca="1" ref="K492" ca="1">IFERROR(IF(OR(INDEX(checklistPesertaKemenkeu!$O$6:$O$1005,SMALL(IF(checklistPesertaKemenkeu!$AY$6:$AY$1005="Direkomendasikan",ROW($6:$1005)-5),491))="",INDEX(checklistPesertaKemenkeu!$J$6:$J$1005,SMALL(IF(checklistPesertaKemenkeu!$AY$6:$AY$1005="Direkomendasikan",ROW($6:$1005)-5),491))=""),"",IF(AND(COUNTIF(INDIRECT("K_"&amp;MATCH(INDEX(checklistPesertaKemenkeu!$J$6:$J$1005,SMALL(IF(checklistPesertaKemenkeu!$AY$6:$AY$1005="Direkomendasikan",ROW($6:$1005)-5),491)),BidangList,0)),INDEX(checklistPesertaKemenkeu!$O$6:$O$1005,SMALL(IF(checklistPesertaKemenkeu!$AY$6:$AY$1005="Direkomendasikan",ROW($6:$1005)-5),491)))&gt;0,COUNTIF(INDIRECT("'KERTAS KERJA'!K"&amp;(SMALL(IF(checklistPesertaKemenkeu!$AY$6:$AY$1005="Direkomendasikan",ROW($6:$1005)-5),491)+5)&amp;":O"&amp;(SMALL(IF(checklistPesertaKemenkeu!$AY$6:$AY$1005="Direkomendasikan",ROW($6:$1005)-5),491)+5)),INDEX(checklistPesertaKemenkeu!$O$6:$O$1005,SMALL(IF(checklistPesertaKemenkeu!$AY$6:$AY$1005="Direkomendasikan",ROW($6:$1005)-5),491)))=1),IFERROR(VLOOKUP(INDEX(checklistPesertaKemenkeu!$O$6:$O$1005,SMALL(IF(checklistPesertaKemenkeu!$AY$6:$AY$1005="Direkomendasikan",ROW($6:$1005)-5),491)),KotaKode,2,0),"-"),"")),"")</f>
        <v/>
      </c>
      <c r="L492" t="str">
        <f t="array" aca="1" ref="L492" ca="1">IFERROR(IF(OR(INDEX(checklistPesertaKemenkeu!$P$6:$P$1005,SMALL(IF(checklistPesertaKemenkeu!$AY$6:$AY$1005="Direkomendasikan",ROW($6:$1005)-5),491))="",INDEX(checklistPesertaKemenkeu!$J$6:$J$1005,SMALL(IF(checklistPesertaKemenkeu!$AY$6:$AY$1005="Direkomendasikan",ROW($6:$1005)-5),491))=""),"",IF(AND(COUNTIF(INDIRECT("K_"&amp;MATCH(INDEX(checklistPesertaKemenkeu!$J$6:$J$1005,SMALL(IF(checklistPesertaKemenkeu!$AY$6:$AY$1005="Direkomendasikan",ROW($6:$1005)-5),491)),BidangList,0)),INDEX(checklistPesertaKemenkeu!$P$6:$P$1005,SMALL(IF(checklistPesertaKemenkeu!$AY$6:$AY$1005="Direkomendasikan",ROW($6:$1005)-5),491)))&gt;0,COUNTIF(INDIRECT("'KERTAS KERJA'!K"&amp;(SMALL(IF(checklistPesertaKemenkeu!$AY$6:$AY$1005="Direkomendasikan",ROW($6:$1005)-5),491)+5)&amp;":O"&amp;(SMALL(IF(checklistPesertaKemenkeu!$AY$6:$AY$1005="Direkomendasikan",ROW($6:$1005)-5),491)+5)),INDEX(checklistPesertaKemenkeu!$P$6:$P$1005,SMALL(IF(checklistPesertaKemenkeu!$AY$6:$AY$1005="Direkomendasikan",ROW($6:$1005)-5),491)))=1),IFERROR(VLOOKUP(INDEX(checklistPesertaKemenkeu!$P$6:$P$1005,SMALL(IF(checklistPesertaKemenkeu!$AY$6:$AY$1005="Direkomendasikan",ROW($6:$1005)-5),491)),KotaKode,2,0),"-"),"")),"")</f>
        <v/>
      </c>
    </row>
    <row r="493" spans="1:12" ht="15" customHeight="1" x14ac:dyDescent="0.2">
      <c r="A493" t="str">
        <f t="shared" si="7"/>
        <v/>
      </c>
      <c r="B493" t="str">
        <v/>
      </c>
      <c r="C493" s="40" t="str">
        <f t="array" ref="C493">IFERROR(INDEX(checklistPesertaKemenkeu!$F$6:$F$1005,SMALL(IF(checklistPesertaKemenkeu!$AY$6:$AY$1005="Direkomendasikan",ROW($6:$1005)-5),492)),"")</f>
        <v/>
      </c>
      <c r="D493" t="str">
        <f t="array" ref="D493">IFERROR(INDEX(checklistPesertaKemenkeu!$G$6:$G$1005,SMALL(IF(checklistPesertaKemenkeu!$AY$6:$AY$1005="Direkomendasikan",ROW($6:$1005)-5),492)),"")</f>
        <v/>
      </c>
      <c r="E493" t="str">
        <f t="array" ref="E493">IFERROR(INDEX(checklistPesertaKemenkeu!$H$6:$H$1005,SMALL(IF(checklistPesertaKemenkeu!$AY$6:$AY$1005="Direkomendasikan",ROW($6:$1005)-5),492)),"")</f>
        <v/>
      </c>
      <c r="F493" t="str">
        <f t="array" ref="F493">IFERROR(INDEX(checklistPesertaKemenkeu!$I$6:$I$1005,SMALL(IF(checklistPesertaKemenkeu!$AY$6:$AY$1005="Direkomendasikan",ROW($6:$1005)-5),492)),"")</f>
        <v/>
      </c>
      <c r="G493" t="str">
        <f t="array" ref="G493">IFERROR(INDEX(checklistPesertaKemenkeu!$J$6:$J$1005,SMALL(IF(checklistPesertaKemenkeu!$AY$6:$AY$1005="Direkomendasikan",ROW($6:$1005)-5),492)),"")</f>
        <v/>
      </c>
      <c r="H493" t="str">
        <f t="array" aca="1" ref="H493" ca="1">IFERROR(IF(OR(INDEX(checklistPesertaKemenkeu!$L$6:$L$1005,SMALL(IF(checklistPesertaKemenkeu!$AY$6:$AY$1005="Direkomendasikan",ROW($6:$1005)-5),492))="",INDEX(checklistPesertaKemenkeu!$J$6:$J$1005,SMALL(IF(checklistPesertaKemenkeu!$AY$6:$AY$1005="Direkomendasikan",ROW($6:$1005)-5),492))=""),"",IF(AND(COUNTIF(INDIRECT("K_"&amp;MATCH(INDEX(checklistPesertaKemenkeu!$J$6:$J$1005,SMALL(IF(checklistPesertaKemenkeu!$AY$6:$AY$1005="Direkomendasikan",ROW($6:$1005)-5),492)),BidangList,0)),INDEX(checklistPesertaKemenkeu!$L$6:$L$1005,SMALL(IF(checklistPesertaKemenkeu!$AY$6:$AY$1005="Direkomendasikan",ROW($6:$1005)-5),492)))&gt;0,COUNTIF(INDIRECT("'KERTAS KERJA'!K"&amp;(SMALL(IF(checklistPesertaKemenkeu!$AY$6:$AY$1005="Direkomendasikan",ROW($6:$1005)-5),492)+5)&amp;":O"&amp;(SMALL(IF(checklistPesertaKemenkeu!$AY$6:$AY$1005="Direkomendasikan",ROW($6:$1005)-5),492)+5)),INDEX(checklistPesertaKemenkeu!$L$6:$L$1005,SMALL(IF(checklistPesertaKemenkeu!$AY$6:$AY$1005="Direkomendasikan",ROW($6:$1005)-5),492)))=1),IFERROR(VLOOKUP(INDEX(checklistPesertaKemenkeu!$L$6:$L$1005,SMALL(IF(checklistPesertaKemenkeu!$AY$6:$AY$1005="Direkomendasikan",ROW($6:$1005)-5),492)),KotaKode,2,0),"-"),"")),"")</f>
        <v/>
      </c>
      <c r="I493" t="str">
        <f t="array" aca="1" ref="I493" ca="1">IFERROR(IF(OR(INDEX(checklistPesertaKemenkeu!$M$6:$M$1005,SMALL(IF(checklistPesertaKemenkeu!$AY$6:$AY$1005="Direkomendasikan",ROW($6:$1005)-5),492))="",INDEX(checklistPesertaKemenkeu!$J$6:$J$1005,SMALL(IF(checklistPesertaKemenkeu!$AY$6:$AY$1005="Direkomendasikan",ROW($6:$1005)-5),492))=""),"",IF(AND(COUNTIF(INDIRECT("K_"&amp;MATCH(INDEX(checklistPesertaKemenkeu!$J$6:$J$1005,SMALL(IF(checklistPesertaKemenkeu!$AY$6:$AY$1005="Direkomendasikan",ROW($6:$1005)-5),492)),BidangList,0)),INDEX(checklistPesertaKemenkeu!$M$6:$M$1005,SMALL(IF(checklistPesertaKemenkeu!$AY$6:$AY$1005="Direkomendasikan",ROW($6:$1005)-5),492)))&gt;0,COUNTIF(INDIRECT("'KERTAS KERJA'!K"&amp;(SMALL(IF(checklistPesertaKemenkeu!$AY$6:$AY$1005="Direkomendasikan",ROW($6:$1005)-5),492)+5)&amp;":O"&amp;(SMALL(IF(checklistPesertaKemenkeu!$AY$6:$AY$1005="Direkomendasikan",ROW($6:$1005)-5),492)+5)),INDEX(checklistPesertaKemenkeu!$M$6:$M$1005,SMALL(IF(checklistPesertaKemenkeu!$AY$6:$AY$1005="Direkomendasikan",ROW($6:$1005)-5),492)))=1),IFERROR(VLOOKUP(INDEX(checklistPesertaKemenkeu!$M$6:$M$1005,SMALL(IF(checklistPesertaKemenkeu!$AY$6:$AY$1005="Direkomendasikan",ROW($6:$1005)-5),492)),KotaKode,2,0),"-"),"")),"")</f>
        <v/>
      </c>
      <c r="J493" t="str">
        <f t="array" aca="1" ref="J493" ca="1">IFERROR(IF(OR(INDEX(checklistPesertaKemenkeu!$N$6:$N$1005,SMALL(IF(checklistPesertaKemenkeu!$AY$6:$AY$1005="Direkomendasikan",ROW($6:$1005)-5),492))="",INDEX(checklistPesertaKemenkeu!$J$6:$J$1005,SMALL(IF(checklistPesertaKemenkeu!$AY$6:$AY$1005="Direkomendasikan",ROW($6:$1005)-5),492))=""),"",IF(AND(COUNTIF(INDIRECT("K_"&amp;MATCH(INDEX(checklistPesertaKemenkeu!$J$6:$J$1005,SMALL(IF(checklistPesertaKemenkeu!$AY$6:$AY$1005="Direkomendasikan",ROW($6:$1005)-5),492)),BidangList,0)),INDEX(checklistPesertaKemenkeu!$N$6:$N$1005,SMALL(IF(checklistPesertaKemenkeu!$AY$6:$AY$1005="Direkomendasikan",ROW($6:$1005)-5),492)))&gt;0,COUNTIF(INDIRECT("'KERTAS KERJA'!K"&amp;(SMALL(IF(checklistPesertaKemenkeu!$AY$6:$AY$1005="Direkomendasikan",ROW($6:$1005)-5),492)+5)&amp;":O"&amp;(SMALL(IF(checklistPesertaKemenkeu!$AY$6:$AY$1005="Direkomendasikan",ROW($6:$1005)-5),492)+5)),INDEX(checklistPesertaKemenkeu!$N$6:$N$1005,SMALL(IF(checklistPesertaKemenkeu!$AY$6:$AY$1005="Direkomendasikan",ROW($6:$1005)-5),492)))=1),IFERROR(VLOOKUP(INDEX(checklistPesertaKemenkeu!$N$6:$N$1005,SMALL(IF(checklistPesertaKemenkeu!$AY$6:$AY$1005="Direkomendasikan",ROW($6:$1005)-5),492)),KotaKode,2,0),"-"),"")),"")</f>
        <v/>
      </c>
      <c r="K493" t="str">
        <f t="array" aca="1" ref="K493" ca="1">IFERROR(IF(OR(INDEX(checklistPesertaKemenkeu!$O$6:$O$1005,SMALL(IF(checklistPesertaKemenkeu!$AY$6:$AY$1005="Direkomendasikan",ROW($6:$1005)-5),492))="",INDEX(checklistPesertaKemenkeu!$J$6:$J$1005,SMALL(IF(checklistPesertaKemenkeu!$AY$6:$AY$1005="Direkomendasikan",ROW($6:$1005)-5),492))=""),"",IF(AND(COUNTIF(INDIRECT("K_"&amp;MATCH(INDEX(checklistPesertaKemenkeu!$J$6:$J$1005,SMALL(IF(checklistPesertaKemenkeu!$AY$6:$AY$1005="Direkomendasikan",ROW($6:$1005)-5),492)),BidangList,0)),INDEX(checklistPesertaKemenkeu!$O$6:$O$1005,SMALL(IF(checklistPesertaKemenkeu!$AY$6:$AY$1005="Direkomendasikan",ROW($6:$1005)-5),492)))&gt;0,COUNTIF(INDIRECT("'KERTAS KERJA'!K"&amp;(SMALL(IF(checklistPesertaKemenkeu!$AY$6:$AY$1005="Direkomendasikan",ROW($6:$1005)-5),492)+5)&amp;":O"&amp;(SMALL(IF(checklistPesertaKemenkeu!$AY$6:$AY$1005="Direkomendasikan",ROW($6:$1005)-5),492)+5)),INDEX(checklistPesertaKemenkeu!$O$6:$O$1005,SMALL(IF(checklistPesertaKemenkeu!$AY$6:$AY$1005="Direkomendasikan",ROW($6:$1005)-5),492)))=1),IFERROR(VLOOKUP(INDEX(checklistPesertaKemenkeu!$O$6:$O$1005,SMALL(IF(checklistPesertaKemenkeu!$AY$6:$AY$1005="Direkomendasikan",ROW($6:$1005)-5),492)),KotaKode,2,0),"-"),"")),"")</f>
        <v/>
      </c>
      <c r="L493" t="str">
        <f t="array" aca="1" ref="L493" ca="1">IFERROR(IF(OR(INDEX(checklistPesertaKemenkeu!$P$6:$P$1005,SMALL(IF(checklistPesertaKemenkeu!$AY$6:$AY$1005="Direkomendasikan",ROW($6:$1005)-5),492))="",INDEX(checklistPesertaKemenkeu!$J$6:$J$1005,SMALL(IF(checklistPesertaKemenkeu!$AY$6:$AY$1005="Direkomendasikan",ROW($6:$1005)-5),492))=""),"",IF(AND(COUNTIF(INDIRECT("K_"&amp;MATCH(INDEX(checklistPesertaKemenkeu!$J$6:$J$1005,SMALL(IF(checklistPesertaKemenkeu!$AY$6:$AY$1005="Direkomendasikan",ROW($6:$1005)-5),492)),BidangList,0)),INDEX(checklistPesertaKemenkeu!$P$6:$P$1005,SMALL(IF(checklistPesertaKemenkeu!$AY$6:$AY$1005="Direkomendasikan",ROW($6:$1005)-5),492)))&gt;0,COUNTIF(INDIRECT("'KERTAS KERJA'!K"&amp;(SMALL(IF(checklistPesertaKemenkeu!$AY$6:$AY$1005="Direkomendasikan",ROW($6:$1005)-5),492)+5)&amp;":O"&amp;(SMALL(IF(checklistPesertaKemenkeu!$AY$6:$AY$1005="Direkomendasikan",ROW($6:$1005)-5),492)+5)),INDEX(checklistPesertaKemenkeu!$P$6:$P$1005,SMALL(IF(checklistPesertaKemenkeu!$AY$6:$AY$1005="Direkomendasikan",ROW($6:$1005)-5),492)))=1),IFERROR(VLOOKUP(INDEX(checklistPesertaKemenkeu!$P$6:$P$1005,SMALL(IF(checklistPesertaKemenkeu!$AY$6:$AY$1005="Direkomendasikan",ROW($6:$1005)-5),492)),KotaKode,2,0),"-"),"")),"")</f>
        <v/>
      </c>
    </row>
    <row r="494" spans="1:12" ht="15" customHeight="1" x14ac:dyDescent="0.2">
      <c r="A494" t="str">
        <f t="shared" si="7"/>
        <v/>
      </c>
      <c r="B494" t="str">
        <v/>
      </c>
      <c r="C494" s="40" t="str">
        <f t="array" ref="C494">IFERROR(INDEX(checklistPesertaKemenkeu!$F$6:$F$1005,SMALL(IF(checklistPesertaKemenkeu!$AY$6:$AY$1005="Direkomendasikan",ROW($6:$1005)-5),493)),"")</f>
        <v/>
      </c>
      <c r="D494" t="str">
        <f t="array" ref="D494">IFERROR(INDEX(checklistPesertaKemenkeu!$G$6:$G$1005,SMALL(IF(checklistPesertaKemenkeu!$AY$6:$AY$1005="Direkomendasikan",ROW($6:$1005)-5),493)),"")</f>
        <v/>
      </c>
      <c r="E494" t="str">
        <f t="array" ref="E494">IFERROR(INDEX(checklistPesertaKemenkeu!$H$6:$H$1005,SMALL(IF(checklistPesertaKemenkeu!$AY$6:$AY$1005="Direkomendasikan",ROW($6:$1005)-5),493)),"")</f>
        <v/>
      </c>
      <c r="F494" t="str">
        <f t="array" ref="F494">IFERROR(INDEX(checklistPesertaKemenkeu!$I$6:$I$1005,SMALL(IF(checklistPesertaKemenkeu!$AY$6:$AY$1005="Direkomendasikan",ROW($6:$1005)-5),493)),"")</f>
        <v/>
      </c>
      <c r="G494" t="str">
        <f t="array" ref="G494">IFERROR(INDEX(checklistPesertaKemenkeu!$J$6:$J$1005,SMALL(IF(checklistPesertaKemenkeu!$AY$6:$AY$1005="Direkomendasikan",ROW($6:$1005)-5),493)),"")</f>
        <v/>
      </c>
      <c r="H494" t="str">
        <f t="array" aca="1" ref="H494" ca="1">IFERROR(IF(OR(INDEX(checklistPesertaKemenkeu!$L$6:$L$1005,SMALL(IF(checklistPesertaKemenkeu!$AY$6:$AY$1005="Direkomendasikan",ROW($6:$1005)-5),493))="",INDEX(checklistPesertaKemenkeu!$J$6:$J$1005,SMALL(IF(checklistPesertaKemenkeu!$AY$6:$AY$1005="Direkomendasikan",ROW($6:$1005)-5),493))=""),"",IF(AND(COUNTIF(INDIRECT("K_"&amp;MATCH(INDEX(checklistPesertaKemenkeu!$J$6:$J$1005,SMALL(IF(checklistPesertaKemenkeu!$AY$6:$AY$1005="Direkomendasikan",ROW($6:$1005)-5),493)),BidangList,0)),INDEX(checklistPesertaKemenkeu!$L$6:$L$1005,SMALL(IF(checklistPesertaKemenkeu!$AY$6:$AY$1005="Direkomendasikan",ROW($6:$1005)-5),493)))&gt;0,COUNTIF(INDIRECT("'KERTAS KERJA'!K"&amp;(SMALL(IF(checklistPesertaKemenkeu!$AY$6:$AY$1005="Direkomendasikan",ROW($6:$1005)-5),493)+5)&amp;":O"&amp;(SMALL(IF(checklistPesertaKemenkeu!$AY$6:$AY$1005="Direkomendasikan",ROW($6:$1005)-5),493)+5)),INDEX(checklistPesertaKemenkeu!$L$6:$L$1005,SMALL(IF(checklistPesertaKemenkeu!$AY$6:$AY$1005="Direkomendasikan",ROW($6:$1005)-5),493)))=1),IFERROR(VLOOKUP(INDEX(checklistPesertaKemenkeu!$L$6:$L$1005,SMALL(IF(checklistPesertaKemenkeu!$AY$6:$AY$1005="Direkomendasikan",ROW($6:$1005)-5),493)),KotaKode,2,0),"-"),"")),"")</f>
        <v/>
      </c>
      <c r="I494" t="str">
        <f t="array" aca="1" ref="I494" ca="1">IFERROR(IF(OR(INDEX(checklistPesertaKemenkeu!$M$6:$M$1005,SMALL(IF(checklistPesertaKemenkeu!$AY$6:$AY$1005="Direkomendasikan",ROW($6:$1005)-5),493))="",INDEX(checklistPesertaKemenkeu!$J$6:$J$1005,SMALL(IF(checklistPesertaKemenkeu!$AY$6:$AY$1005="Direkomendasikan",ROW($6:$1005)-5),493))=""),"",IF(AND(COUNTIF(INDIRECT("K_"&amp;MATCH(INDEX(checklistPesertaKemenkeu!$J$6:$J$1005,SMALL(IF(checklistPesertaKemenkeu!$AY$6:$AY$1005="Direkomendasikan",ROW($6:$1005)-5),493)),BidangList,0)),INDEX(checklistPesertaKemenkeu!$M$6:$M$1005,SMALL(IF(checklistPesertaKemenkeu!$AY$6:$AY$1005="Direkomendasikan",ROW($6:$1005)-5),493)))&gt;0,COUNTIF(INDIRECT("'KERTAS KERJA'!K"&amp;(SMALL(IF(checklistPesertaKemenkeu!$AY$6:$AY$1005="Direkomendasikan",ROW($6:$1005)-5),493)+5)&amp;":O"&amp;(SMALL(IF(checklistPesertaKemenkeu!$AY$6:$AY$1005="Direkomendasikan",ROW($6:$1005)-5),493)+5)),INDEX(checklistPesertaKemenkeu!$M$6:$M$1005,SMALL(IF(checklistPesertaKemenkeu!$AY$6:$AY$1005="Direkomendasikan",ROW($6:$1005)-5),493)))=1),IFERROR(VLOOKUP(INDEX(checklistPesertaKemenkeu!$M$6:$M$1005,SMALL(IF(checklistPesertaKemenkeu!$AY$6:$AY$1005="Direkomendasikan",ROW($6:$1005)-5),493)),KotaKode,2,0),"-"),"")),"")</f>
        <v/>
      </c>
      <c r="J494" t="str">
        <f t="array" aca="1" ref="J494" ca="1">IFERROR(IF(OR(INDEX(checklistPesertaKemenkeu!$N$6:$N$1005,SMALL(IF(checklistPesertaKemenkeu!$AY$6:$AY$1005="Direkomendasikan",ROW($6:$1005)-5),493))="",INDEX(checklistPesertaKemenkeu!$J$6:$J$1005,SMALL(IF(checklistPesertaKemenkeu!$AY$6:$AY$1005="Direkomendasikan",ROW($6:$1005)-5),493))=""),"",IF(AND(COUNTIF(INDIRECT("K_"&amp;MATCH(INDEX(checklistPesertaKemenkeu!$J$6:$J$1005,SMALL(IF(checklistPesertaKemenkeu!$AY$6:$AY$1005="Direkomendasikan",ROW($6:$1005)-5),493)),BidangList,0)),INDEX(checklistPesertaKemenkeu!$N$6:$N$1005,SMALL(IF(checklistPesertaKemenkeu!$AY$6:$AY$1005="Direkomendasikan",ROW($6:$1005)-5),493)))&gt;0,COUNTIF(INDIRECT("'KERTAS KERJA'!K"&amp;(SMALL(IF(checklistPesertaKemenkeu!$AY$6:$AY$1005="Direkomendasikan",ROW($6:$1005)-5),493)+5)&amp;":O"&amp;(SMALL(IF(checklistPesertaKemenkeu!$AY$6:$AY$1005="Direkomendasikan",ROW($6:$1005)-5),493)+5)),INDEX(checklistPesertaKemenkeu!$N$6:$N$1005,SMALL(IF(checklistPesertaKemenkeu!$AY$6:$AY$1005="Direkomendasikan",ROW($6:$1005)-5),493)))=1),IFERROR(VLOOKUP(INDEX(checklistPesertaKemenkeu!$N$6:$N$1005,SMALL(IF(checklistPesertaKemenkeu!$AY$6:$AY$1005="Direkomendasikan",ROW($6:$1005)-5),493)),KotaKode,2,0),"-"),"")),"")</f>
        <v/>
      </c>
      <c r="K494" t="str">
        <f t="array" aca="1" ref="K494" ca="1">IFERROR(IF(OR(INDEX(checklistPesertaKemenkeu!$O$6:$O$1005,SMALL(IF(checklistPesertaKemenkeu!$AY$6:$AY$1005="Direkomendasikan",ROW($6:$1005)-5),493))="",INDEX(checklistPesertaKemenkeu!$J$6:$J$1005,SMALL(IF(checklistPesertaKemenkeu!$AY$6:$AY$1005="Direkomendasikan",ROW($6:$1005)-5),493))=""),"",IF(AND(COUNTIF(INDIRECT("K_"&amp;MATCH(INDEX(checklistPesertaKemenkeu!$J$6:$J$1005,SMALL(IF(checklistPesertaKemenkeu!$AY$6:$AY$1005="Direkomendasikan",ROW($6:$1005)-5),493)),BidangList,0)),INDEX(checklistPesertaKemenkeu!$O$6:$O$1005,SMALL(IF(checklistPesertaKemenkeu!$AY$6:$AY$1005="Direkomendasikan",ROW($6:$1005)-5),493)))&gt;0,COUNTIF(INDIRECT("'KERTAS KERJA'!K"&amp;(SMALL(IF(checklistPesertaKemenkeu!$AY$6:$AY$1005="Direkomendasikan",ROW($6:$1005)-5),493)+5)&amp;":O"&amp;(SMALL(IF(checklistPesertaKemenkeu!$AY$6:$AY$1005="Direkomendasikan",ROW($6:$1005)-5),493)+5)),INDEX(checklistPesertaKemenkeu!$O$6:$O$1005,SMALL(IF(checklistPesertaKemenkeu!$AY$6:$AY$1005="Direkomendasikan",ROW($6:$1005)-5),493)))=1),IFERROR(VLOOKUP(INDEX(checklistPesertaKemenkeu!$O$6:$O$1005,SMALL(IF(checklistPesertaKemenkeu!$AY$6:$AY$1005="Direkomendasikan",ROW($6:$1005)-5),493)),KotaKode,2,0),"-"),"")),"")</f>
        <v/>
      </c>
      <c r="L494" t="str">
        <f t="array" aca="1" ref="L494" ca="1">IFERROR(IF(OR(INDEX(checklistPesertaKemenkeu!$P$6:$P$1005,SMALL(IF(checklistPesertaKemenkeu!$AY$6:$AY$1005="Direkomendasikan",ROW($6:$1005)-5),493))="",INDEX(checklistPesertaKemenkeu!$J$6:$J$1005,SMALL(IF(checklistPesertaKemenkeu!$AY$6:$AY$1005="Direkomendasikan",ROW($6:$1005)-5),493))=""),"",IF(AND(COUNTIF(INDIRECT("K_"&amp;MATCH(INDEX(checklistPesertaKemenkeu!$J$6:$J$1005,SMALL(IF(checklistPesertaKemenkeu!$AY$6:$AY$1005="Direkomendasikan",ROW($6:$1005)-5),493)),BidangList,0)),INDEX(checklistPesertaKemenkeu!$P$6:$P$1005,SMALL(IF(checklistPesertaKemenkeu!$AY$6:$AY$1005="Direkomendasikan",ROW($6:$1005)-5),493)))&gt;0,COUNTIF(INDIRECT("'KERTAS KERJA'!K"&amp;(SMALL(IF(checklistPesertaKemenkeu!$AY$6:$AY$1005="Direkomendasikan",ROW($6:$1005)-5),493)+5)&amp;":O"&amp;(SMALL(IF(checklistPesertaKemenkeu!$AY$6:$AY$1005="Direkomendasikan",ROW($6:$1005)-5),493)+5)),INDEX(checklistPesertaKemenkeu!$P$6:$P$1005,SMALL(IF(checklistPesertaKemenkeu!$AY$6:$AY$1005="Direkomendasikan",ROW($6:$1005)-5),493)))=1),IFERROR(VLOOKUP(INDEX(checklistPesertaKemenkeu!$P$6:$P$1005,SMALL(IF(checklistPesertaKemenkeu!$AY$6:$AY$1005="Direkomendasikan",ROW($6:$1005)-5),493)),KotaKode,2,0),"-"),"")),"")</f>
        <v/>
      </c>
    </row>
    <row r="495" spans="1:12" ht="15" customHeight="1" x14ac:dyDescent="0.2">
      <c r="A495" t="str">
        <f t="shared" si="7"/>
        <v/>
      </c>
      <c r="B495" t="str">
        <v/>
      </c>
      <c r="C495" s="40" t="str">
        <f t="array" ref="C495">IFERROR(INDEX(checklistPesertaKemenkeu!$F$6:$F$1005,SMALL(IF(checklistPesertaKemenkeu!$AY$6:$AY$1005="Direkomendasikan",ROW($6:$1005)-5),494)),"")</f>
        <v/>
      </c>
      <c r="D495" t="str">
        <f t="array" ref="D495">IFERROR(INDEX(checklistPesertaKemenkeu!$G$6:$G$1005,SMALL(IF(checklistPesertaKemenkeu!$AY$6:$AY$1005="Direkomendasikan",ROW($6:$1005)-5),494)),"")</f>
        <v/>
      </c>
      <c r="E495" t="str">
        <f t="array" ref="E495">IFERROR(INDEX(checklistPesertaKemenkeu!$H$6:$H$1005,SMALL(IF(checklistPesertaKemenkeu!$AY$6:$AY$1005="Direkomendasikan",ROW($6:$1005)-5),494)),"")</f>
        <v/>
      </c>
      <c r="F495" t="str">
        <f t="array" ref="F495">IFERROR(INDEX(checklistPesertaKemenkeu!$I$6:$I$1005,SMALL(IF(checklistPesertaKemenkeu!$AY$6:$AY$1005="Direkomendasikan",ROW($6:$1005)-5),494)),"")</f>
        <v/>
      </c>
      <c r="G495" t="str">
        <f t="array" ref="G495">IFERROR(INDEX(checklistPesertaKemenkeu!$J$6:$J$1005,SMALL(IF(checklistPesertaKemenkeu!$AY$6:$AY$1005="Direkomendasikan",ROW($6:$1005)-5),494)),"")</f>
        <v/>
      </c>
      <c r="H495" t="str">
        <f t="array" aca="1" ref="H495" ca="1">IFERROR(IF(OR(INDEX(checklistPesertaKemenkeu!$L$6:$L$1005,SMALL(IF(checklistPesertaKemenkeu!$AY$6:$AY$1005="Direkomendasikan",ROW($6:$1005)-5),494))="",INDEX(checklistPesertaKemenkeu!$J$6:$J$1005,SMALL(IF(checklistPesertaKemenkeu!$AY$6:$AY$1005="Direkomendasikan",ROW($6:$1005)-5),494))=""),"",IF(AND(COUNTIF(INDIRECT("K_"&amp;MATCH(INDEX(checklistPesertaKemenkeu!$J$6:$J$1005,SMALL(IF(checklistPesertaKemenkeu!$AY$6:$AY$1005="Direkomendasikan",ROW($6:$1005)-5),494)),BidangList,0)),INDEX(checklistPesertaKemenkeu!$L$6:$L$1005,SMALL(IF(checklistPesertaKemenkeu!$AY$6:$AY$1005="Direkomendasikan",ROW($6:$1005)-5),494)))&gt;0,COUNTIF(INDIRECT("'KERTAS KERJA'!K"&amp;(SMALL(IF(checklistPesertaKemenkeu!$AY$6:$AY$1005="Direkomendasikan",ROW($6:$1005)-5),494)+5)&amp;":O"&amp;(SMALL(IF(checklistPesertaKemenkeu!$AY$6:$AY$1005="Direkomendasikan",ROW($6:$1005)-5),494)+5)),INDEX(checklistPesertaKemenkeu!$L$6:$L$1005,SMALL(IF(checklistPesertaKemenkeu!$AY$6:$AY$1005="Direkomendasikan",ROW($6:$1005)-5),494)))=1),IFERROR(VLOOKUP(INDEX(checklistPesertaKemenkeu!$L$6:$L$1005,SMALL(IF(checklistPesertaKemenkeu!$AY$6:$AY$1005="Direkomendasikan",ROW($6:$1005)-5),494)),KotaKode,2,0),"-"),"")),"")</f>
        <v/>
      </c>
      <c r="I495" t="str">
        <f t="array" aca="1" ref="I495" ca="1">IFERROR(IF(OR(INDEX(checklistPesertaKemenkeu!$M$6:$M$1005,SMALL(IF(checklistPesertaKemenkeu!$AY$6:$AY$1005="Direkomendasikan",ROW($6:$1005)-5),494))="",INDEX(checklistPesertaKemenkeu!$J$6:$J$1005,SMALL(IF(checklistPesertaKemenkeu!$AY$6:$AY$1005="Direkomendasikan",ROW($6:$1005)-5),494))=""),"",IF(AND(COUNTIF(INDIRECT("K_"&amp;MATCH(INDEX(checklistPesertaKemenkeu!$J$6:$J$1005,SMALL(IF(checklistPesertaKemenkeu!$AY$6:$AY$1005="Direkomendasikan",ROW($6:$1005)-5),494)),BidangList,0)),INDEX(checklistPesertaKemenkeu!$M$6:$M$1005,SMALL(IF(checklistPesertaKemenkeu!$AY$6:$AY$1005="Direkomendasikan",ROW($6:$1005)-5),494)))&gt;0,COUNTIF(INDIRECT("'KERTAS KERJA'!K"&amp;(SMALL(IF(checklistPesertaKemenkeu!$AY$6:$AY$1005="Direkomendasikan",ROW($6:$1005)-5),494)+5)&amp;":O"&amp;(SMALL(IF(checklistPesertaKemenkeu!$AY$6:$AY$1005="Direkomendasikan",ROW($6:$1005)-5),494)+5)),INDEX(checklistPesertaKemenkeu!$M$6:$M$1005,SMALL(IF(checklistPesertaKemenkeu!$AY$6:$AY$1005="Direkomendasikan",ROW($6:$1005)-5),494)))=1),IFERROR(VLOOKUP(INDEX(checklistPesertaKemenkeu!$M$6:$M$1005,SMALL(IF(checklistPesertaKemenkeu!$AY$6:$AY$1005="Direkomendasikan",ROW($6:$1005)-5),494)),KotaKode,2,0),"-"),"")),"")</f>
        <v/>
      </c>
      <c r="J495" t="str">
        <f t="array" aca="1" ref="J495" ca="1">IFERROR(IF(OR(INDEX(checklistPesertaKemenkeu!$N$6:$N$1005,SMALL(IF(checklistPesertaKemenkeu!$AY$6:$AY$1005="Direkomendasikan",ROW($6:$1005)-5),494))="",INDEX(checklistPesertaKemenkeu!$J$6:$J$1005,SMALL(IF(checklistPesertaKemenkeu!$AY$6:$AY$1005="Direkomendasikan",ROW($6:$1005)-5),494))=""),"",IF(AND(COUNTIF(INDIRECT("K_"&amp;MATCH(INDEX(checklistPesertaKemenkeu!$J$6:$J$1005,SMALL(IF(checklistPesertaKemenkeu!$AY$6:$AY$1005="Direkomendasikan",ROW($6:$1005)-5),494)),BidangList,0)),INDEX(checklistPesertaKemenkeu!$N$6:$N$1005,SMALL(IF(checklistPesertaKemenkeu!$AY$6:$AY$1005="Direkomendasikan",ROW($6:$1005)-5),494)))&gt;0,COUNTIF(INDIRECT("'KERTAS KERJA'!K"&amp;(SMALL(IF(checklistPesertaKemenkeu!$AY$6:$AY$1005="Direkomendasikan",ROW($6:$1005)-5),494)+5)&amp;":O"&amp;(SMALL(IF(checklistPesertaKemenkeu!$AY$6:$AY$1005="Direkomendasikan",ROW($6:$1005)-5),494)+5)),INDEX(checklistPesertaKemenkeu!$N$6:$N$1005,SMALL(IF(checklistPesertaKemenkeu!$AY$6:$AY$1005="Direkomendasikan",ROW($6:$1005)-5),494)))=1),IFERROR(VLOOKUP(INDEX(checklistPesertaKemenkeu!$N$6:$N$1005,SMALL(IF(checklistPesertaKemenkeu!$AY$6:$AY$1005="Direkomendasikan",ROW($6:$1005)-5),494)),KotaKode,2,0),"-"),"")),"")</f>
        <v/>
      </c>
      <c r="K495" t="str">
        <f t="array" aca="1" ref="K495" ca="1">IFERROR(IF(OR(INDEX(checklistPesertaKemenkeu!$O$6:$O$1005,SMALL(IF(checklistPesertaKemenkeu!$AY$6:$AY$1005="Direkomendasikan",ROW($6:$1005)-5),494))="",INDEX(checklistPesertaKemenkeu!$J$6:$J$1005,SMALL(IF(checklistPesertaKemenkeu!$AY$6:$AY$1005="Direkomendasikan",ROW($6:$1005)-5),494))=""),"",IF(AND(COUNTIF(INDIRECT("K_"&amp;MATCH(INDEX(checklistPesertaKemenkeu!$J$6:$J$1005,SMALL(IF(checklistPesertaKemenkeu!$AY$6:$AY$1005="Direkomendasikan",ROW($6:$1005)-5),494)),BidangList,0)),INDEX(checklistPesertaKemenkeu!$O$6:$O$1005,SMALL(IF(checklistPesertaKemenkeu!$AY$6:$AY$1005="Direkomendasikan",ROW($6:$1005)-5),494)))&gt;0,COUNTIF(INDIRECT("'KERTAS KERJA'!K"&amp;(SMALL(IF(checklistPesertaKemenkeu!$AY$6:$AY$1005="Direkomendasikan",ROW($6:$1005)-5),494)+5)&amp;":O"&amp;(SMALL(IF(checklistPesertaKemenkeu!$AY$6:$AY$1005="Direkomendasikan",ROW($6:$1005)-5),494)+5)),INDEX(checklistPesertaKemenkeu!$O$6:$O$1005,SMALL(IF(checklistPesertaKemenkeu!$AY$6:$AY$1005="Direkomendasikan",ROW($6:$1005)-5),494)))=1),IFERROR(VLOOKUP(INDEX(checklistPesertaKemenkeu!$O$6:$O$1005,SMALL(IF(checklistPesertaKemenkeu!$AY$6:$AY$1005="Direkomendasikan",ROW($6:$1005)-5),494)),KotaKode,2,0),"-"),"")),"")</f>
        <v/>
      </c>
      <c r="L495" t="str">
        <f t="array" aca="1" ref="L495" ca="1">IFERROR(IF(OR(INDEX(checklistPesertaKemenkeu!$P$6:$P$1005,SMALL(IF(checklistPesertaKemenkeu!$AY$6:$AY$1005="Direkomendasikan",ROW($6:$1005)-5),494))="",INDEX(checklistPesertaKemenkeu!$J$6:$J$1005,SMALL(IF(checklistPesertaKemenkeu!$AY$6:$AY$1005="Direkomendasikan",ROW($6:$1005)-5),494))=""),"",IF(AND(COUNTIF(INDIRECT("K_"&amp;MATCH(INDEX(checklistPesertaKemenkeu!$J$6:$J$1005,SMALL(IF(checklistPesertaKemenkeu!$AY$6:$AY$1005="Direkomendasikan",ROW($6:$1005)-5),494)),BidangList,0)),INDEX(checklistPesertaKemenkeu!$P$6:$P$1005,SMALL(IF(checklistPesertaKemenkeu!$AY$6:$AY$1005="Direkomendasikan",ROW($6:$1005)-5),494)))&gt;0,COUNTIF(INDIRECT("'KERTAS KERJA'!K"&amp;(SMALL(IF(checklistPesertaKemenkeu!$AY$6:$AY$1005="Direkomendasikan",ROW($6:$1005)-5),494)+5)&amp;":O"&amp;(SMALL(IF(checklistPesertaKemenkeu!$AY$6:$AY$1005="Direkomendasikan",ROW($6:$1005)-5),494)+5)),INDEX(checklistPesertaKemenkeu!$P$6:$P$1005,SMALL(IF(checklistPesertaKemenkeu!$AY$6:$AY$1005="Direkomendasikan",ROW($6:$1005)-5),494)))=1),IFERROR(VLOOKUP(INDEX(checklistPesertaKemenkeu!$P$6:$P$1005,SMALL(IF(checklistPesertaKemenkeu!$AY$6:$AY$1005="Direkomendasikan",ROW($6:$1005)-5),494)),KotaKode,2,0),"-"),"")),"")</f>
        <v/>
      </c>
    </row>
    <row r="496" spans="1:12" ht="15" customHeight="1" x14ac:dyDescent="0.2">
      <c r="A496" t="str">
        <f t="shared" si="7"/>
        <v/>
      </c>
      <c r="B496" t="str">
        <v/>
      </c>
      <c r="C496" s="40" t="str">
        <f t="array" ref="C496">IFERROR(INDEX(checklistPesertaKemenkeu!$F$6:$F$1005,SMALL(IF(checklistPesertaKemenkeu!$AY$6:$AY$1005="Direkomendasikan",ROW($6:$1005)-5),495)),"")</f>
        <v/>
      </c>
      <c r="D496" t="str">
        <f t="array" ref="D496">IFERROR(INDEX(checklistPesertaKemenkeu!$G$6:$G$1005,SMALL(IF(checklistPesertaKemenkeu!$AY$6:$AY$1005="Direkomendasikan",ROW($6:$1005)-5),495)),"")</f>
        <v/>
      </c>
      <c r="E496" t="str">
        <f t="array" ref="E496">IFERROR(INDEX(checklistPesertaKemenkeu!$H$6:$H$1005,SMALL(IF(checklistPesertaKemenkeu!$AY$6:$AY$1005="Direkomendasikan",ROW($6:$1005)-5),495)),"")</f>
        <v/>
      </c>
      <c r="F496" t="str">
        <f t="array" ref="F496">IFERROR(INDEX(checklistPesertaKemenkeu!$I$6:$I$1005,SMALL(IF(checklistPesertaKemenkeu!$AY$6:$AY$1005="Direkomendasikan",ROW($6:$1005)-5),495)),"")</f>
        <v/>
      </c>
      <c r="G496" t="str">
        <f t="array" ref="G496">IFERROR(INDEX(checklistPesertaKemenkeu!$J$6:$J$1005,SMALL(IF(checklistPesertaKemenkeu!$AY$6:$AY$1005="Direkomendasikan",ROW($6:$1005)-5),495)),"")</f>
        <v/>
      </c>
      <c r="H496" t="str">
        <f t="array" aca="1" ref="H496" ca="1">IFERROR(IF(OR(INDEX(checklistPesertaKemenkeu!$L$6:$L$1005,SMALL(IF(checklistPesertaKemenkeu!$AY$6:$AY$1005="Direkomendasikan",ROW($6:$1005)-5),495))="",INDEX(checklistPesertaKemenkeu!$J$6:$J$1005,SMALL(IF(checklistPesertaKemenkeu!$AY$6:$AY$1005="Direkomendasikan",ROW($6:$1005)-5),495))=""),"",IF(AND(COUNTIF(INDIRECT("K_"&amp;MATCH(INDEX(checklistPesertaKemenkeu!$J$6:$J$1005,SMALL(IF(checklistPesertaKemenkeu!$AY$6:$AY$1005="Direkomendasikan",ROW($6:$1005)-5),495)),BidangList,0)),INDEX(checklistPesertaKemenkeu!$L$6:$L$1005,SMALL(IF(checklistPesertaKemenkeu!$AY$6:$AY$1005="Direkomendasikan",ROW($6:$1005)-5),495)))&gt;0,COUNTIF(INDIRECT("'KERTAS KERJA'!K"&amp;(SMALL(IF(checklistPesertaKemenkeu!$AY$6:$AY$1005="Direkomendasikan",ROW($6:$1005)-5),495)+5)&amp;":O"&amp;(SMALL(IF(checklistPesertaKemenkeu!$AY$6:$AY$1005="Direkomendasikan",ROW($6:$1005)-5),495)+5)),INDEX(checklistPesertaKemenkeu!$L$6:$L$1005,SMALL(IF(checklistPesertaKemenkeu!$AY$6:$AY$1005="Direkomendasikan",ROW($6:$1005)-5),495)))=1),IFERROR(VLOOKUP(INDEX(checklistPesertaKemenkeu!$L$6:$L$1005,SMALL(IF(checklistPesertaKemenkeu!$AY$6:$AY$1005="Direkomendasikan",ROW($6:$1005)-5),495)),KotaKode,2,0),"-"),"")),"")</f>
        <v/>
      </c>
      <c r="I496" t="str">
        <f t="array" aca="1" ref="I496" ca="1">IFERROR(IF(OR(INDEX(checklistPesertaKemenkeu!$M$6:$M$1005,SMALL(IF(checklistPesertaKemenkeu!$AY$6:$AY$1005="Direkomendasikan",ROW($6:$1005)-5),495))="",INDEX(checklistPesertaKemenkeu!$J$6:$J$1005,SMALL(IF(checklistPesertaKemenkeu!$AY$6:$AY$1005="Direkomendasikan",ROW($6:$1005)-5),495))=""),"",IF(AND(COUNTIF(INDIRECT("K_"&amp;MATCH(INDEX(checklistPesertaKemenkeu!$J$6:$J$1005,SMALL(IF(checklistPesertaKemenkeu!$AY$6:$AY$1005="Direkomendasikan",ROW($6:$1005)-5),495)),BidangList,0)),INDEX(checklistPesertaKemenkeu!$M$6:$M$1005,SMALL(IF(checklistPesertaKemenkeu!$AY$6:$AY$1005="Direkomendasikan",ROW($6:$1005)-5),495)))&gt;0,COUNTIF(INDIRECT("'KERTAS KERJA'!K"&amp;(SMALL(IF(checklistPesertaKemenkeu!$AY$6:$AY$1005="Direkomendasikan",ROW($6:$1005)-5),495)+5)&amp;":O"&amp;(SMALL(IF(checklistPesertaKemenkeu!$AY$6:$AY$1005="Direkomendasikan",ROW($6:$1005)-5),495)+5)),INDEX(checklistPesertaKemenkeu!$M$6:$M$1005,SMALL(IF(checklistPesertaKemenkeu!$AY$6:$AY$1005="Direkomendasikan",ROW($6:$1005)-5),495)))=1),IFERROR(VLOOKUP(INDEX(checklistPesertaKemenkeu!$M$6:$M$1005,SMALL(IF(checklistPesertaKemenkeu!$AY$6:$AY$1005="Direkomendasikan",ROW($6:$1005)-5),495)),KotaKode,2,0),"-"),"")),"")</f>
        <v/>
      </c>
      <c r="J496" t="str">
        <f t="array" aca="1" ref="J496" ca="1">IFERROR(IF(OR(INDEX(checklistPesertaKemenkeu!$N$6:$N$1005,SMALL(IF(checklistPesertaKemenkeu!$AY$6:$AY$1005="Direkomendasikan",ROW($6:$1005)-5),495))="",INDEX(checklistPesertaKemenkeu!$J$6:$J$1005,SMALL(IF(checklistPesertaKemenkeu!$AY$6:$AY$1005="Direkomendasikan",ROW($6:$1005)-5),495))=""),"",IF(AND(COUNTIF(INDIRECT("K_"&amp;MATCH(INDEX(checklistPesertaKemenkeu!$J$6:$J$1005,SMALL(IF(checklistPesertaKemenkeu!$AY$6:$AY$1005="Direkomendasikan",ROW($6:$1005)-5),495)),BidangList,0)),INDEX(checklistPesertaKemenkeu!$N$6:$N$1005,SMALL(IF(checklistPesertaKemenkeu!$AY$6:$AY$1005="Direkomendasikan",ROW($6:$1005)-5),495)))&gt;0,COUNTIF(INDIRECT("'KERTAS KERJA'!K"&amp;(SMALL(IF(checklistPesertaKemenkeu!$AY$6:$AY$1005="Direkomendasikan",ROW($6:$1005)-5),495)+5)&amp;":O"&amp;(SMALL(IF(checklistPesertaKemenkeu!$AY$6:$AY$1005="Direkomendasikan",ROW($6:$1005)-5),495)+5)),INDEX(checklistPesertaKemenkeu!$N$6:$N$1005,SMALL(IF(checklistPesertaKemenkeu!$AY$6:$AY$1005="Direkomendasikan",ROW($6:$1005)-5),495)))=1),IFERROR(VLOOKUP(INDEX(checklistPesertaKemenkeu!$N$6:$N$1005,SMALL(IF(checklistPesertaKemenkeu!$AY$6:$AY$1005="Direkomendasikan",ROW($6:$1005)-5),495)),KotaKode,2,0),"-"),"")),"")</f>
        <v/>
      </c>
      <c r="K496" t="str">
        <f t="array" aca="1" ref="K496" ca="1">IFERROR(IF(OR(INDEX(checklistPesertaKemenkeu!$O$6:$O$1005,SMALL(IF(checklistPesertaKemenkeu!$AY$6:$AY$1005="Direkomendasikan",ROW($6:$1005)-5),495))="",INDEX(checklistPesertaKemenkeu!$J$6:$J$1005,SMALL(IF(checklistPesertaKemenkeu!$AY$6:$AY$1005="Direkomendasikan",ROW($6:$1005)-5),495))=""),"",IF(AND(COUNTIF(INDIRECT("K_"&amp;MATCH(INDEX(checklistPesertaKemenkeu!$J$6:$J$1005,SMALL(IF(checklistPesertaKemenkeu!$AY$6:$AY$1005="Direkomendasikan",ROW($6:$1005)-5),495)),BidangList,0)),INDEX(checklistPesertaKemenkeu!$O$6:$O$1005,SMALL(IF(checklistPesertaKemenkeu!$AY$6:$AY$1005="Direkomendasikan",ROW($6:$1005)-5),495)))&gt;0,COUNTIF(INDIRECT("'KERTAS KERJA'!K"&amp;(SMALL(IF(checklistPesertaKemenkeu!$AY$6:$AY$1005="Direkomendasikan",ROW($6:$1005)-5),495)+5)&amp;":O"&amp;(SMALL(IF(checklistPesertaKemenkeu!$AY$6:$AY$1005="Direkomendasikan",ROW($6:$1005)-5),495)+5)),INDEX(checklistPesertaKemenkeu!$O$6:$O$1005,SMALL(IF(checklistPesertaKemenkeu!$AY$6:$AY$1005="Direkomendasikan",ROW($6:$1005)-5),495)))=1),IFERROR(VLOOKUP(INDEX(checklistPesertaKemenkeu!$O$6:$O$1005,SMALL(IF(checklistPesertaKemenkeu!$AY$6:$AY$1005="Direkomendasikan",ROW($6:$1005)-5),495)),KotaKode,2,0),"-"),"")),"")</f>
        <v/>
      </c>
      <c r="L496" t="str">
        <f t="array" aca="1" ref="L496" ca="1">IFERROR(IF(OR(INDEX(checklistPesertaKemenkeu!$P$6:$P$1005,SMALL(IF(checklistPesertaKemenkeu!$AY$6:$AY$1005="Direkomendasikan",ROW($6:$1005)-5),495))="",INDEX(checklistPesertaKemenkeu!$J$6:$J$1005,SMALL(IF(checklistPesertaKemenkeu!$AY$6:$AY$1005="Direkomendasikan",ROW($6:$1005)-5),495))=""),"",IF(AND(COUNTIF(INDIRECT("K_"&amp;MATCH(INDEX(checklistPesertaKemenkeu!$J$6:$J$1005,SMALL(IF(checklistPesertaKemenkeu!$AY$6:$AY$1005="Direkomendasikan",ROW($6:$1005)-5),495)),BidangList,0)),INDEX(checklistPesertaKemenkeu!$P$6:$P$1005,SMALL(IF(checklistPesertaKemenkeu!$AY$6:$AY$1005="Direkomendasikan",ROW($6:$1005)-5),495)))&gt;0,COUNTIF(INDIRECT("'KERTAS KERJA'!K"&amp;(SMALL(IF(checklistPesertaKemenkeu!$AY$6:$AY$1005="Direkomendasikan",ROW($6:$1005)-5),495)+5)&amp;":O"&amp;(SMALL(IF(checklistPesertaKemenkeu!$AY$6:$AY$1005="Direkomendasikan",ROW($6:$1005)-5),495)+5)),INDEX(checklistPesertaKemenkeu!$P$6:$P$1005,SMALL(IF(checklistPesertaKemenkeu!$AY$6:$AY$1005="Direkomendasikan",ROW($6:$1005)-5),495)))=1),IFERROR(VLOOKUP(INDEX(checklistPesertaKemenkeu!$P$6:$P$1005,SMALL(IF(checklistPesertaKemenkeu!$AY$6:$AY$1005="Direkomendasikan",ROW($6:$1005)-5),495)),KotaKode,2,0),"-"),"")),"")</f>
        <v/>
      </c>
    </row>
    <row r="497" spans="1:12" ht="15" customHeight="1" x14ac:dyDescent="0.2">
      <c r="A497" t="str">
        <f t="shared" si="7"/>
        <v/>
      </c>
      <c r="B497" t="str">
        <v/>
      </c>
      <c r="C497" s="40" t="str">
        <f t="array" ref="C497">IFERROR(INDEX(checklistPesertaKemenkeu!$F$6:$F$1005,SMALL(IF(checklistPesertaKemenkeu!$AY$6:$AY$1005="Direkomendasikan",ROW($6:$1005)-5),496)),"")</f>
        <v/>
      </c>
      <c r="D497" t="str">
        <f t="array" ref="D497">IFERROR(INDEX(checklistPesertaKemenkeu!$G$6:$G$1005,SMALL(IF(checklistPesertaKemenkeu!$AY$6:$AY$1005="Direkomendasikan",ROW($6:$1005)-5),496)),"")</f>
        <v/>
      </c>
      <c r="E497" t="str">
        <f t="array" ref="E497">IFERROR(INDEX(checklistPesertaKemenkeu!$H$6:$H$1005,SMALL(IF(checklistPesertaKemenkeu!$AY$6:$AY$1005="Direkomendasikan",ROW($6:$1005)-5),496)),"")</f>
        <v/>
      </c>
      <c r="F497" t="str">
        <f t="array" ref="F497">IFERROR(INDEX(checklistPesertaKemenkeu!$I$6:$I$1005,SMALL(IF(checklistPesertaKemenkeu!$AY$6:$AY$1005="Direkomendasikan",ROW($6:$1005)-5),496)),"")</f>
        <v/>
      </c>
      <c r="G497" t="str">
        <f t="array" ref="G497">IFERROR(INDEX(checklistPesertaKemenkeu!$J$6:$J$1005,SMALL(IF(checklistPesertaKemenkeu!$AY$6:$AY$1005="Direkomendasikan",ROW($6:$1005)-5),496)),"")</f>
        <v/>
      </c>
      <c r="H497" t="str">
        <f t="array" aca="1" ref="H497" ca="1">IFERROR(IF(OR(INDEX(checklistPesertaKemenkeu!$L$6:$L$1005,SMALL(IF(checklistPesertaKemenkeu!$AY$6:$AY$1005="Direkomendasikan",ROW($6:$1005)-5),496))="",INDEX(checklistPesertaKemenkeu!$J$6:$J$1005,SMALL(IF(checklistPesertaKemenkeu!$AY$6:$AY$1005="Direkomendasikan",ROW($6:$1005)-5),496))=""),"",IF(AND(COUNTIF(INDIRECT("K_"&amp;MATCH(INDEX(checklistPesertaKemenkeu!$J$6:$J$1005,SMALL(IF(checklistPesertaKemenkeu!$AY$6:$AY$1005="Direkomendasikan",ROW($6:$1005)-5),496)),BidangList,0)),INDEX(checklistPesertaKemenkeu!$L$6:$L$1005,SMALL(IF(checklistPesertaKemenkeu!$AY$6:$AY$1005="Direkomendasikan",ROW($6:$1005)-5),496)))&gt;0,COUNTIF(INDIRECT("'KERTAS KERJA'!K"&amp;(SMALL(IF(checklistPesertaKemenkeu!$AY$6:$AY$1005="Direkomendasikan",ROW($6:$1005)-5),496)+5)&amp;":O"&amp;(SMALL(IF(checklistPesertaKemenkeu!$AY$6:$AY$1005="Direkomendasikan",ROW($6:$1005)-5),496)+5)),INDEX(checklistPesertaKemenkeu!$L$6:$L$1005,SMALL(IF(checklistPesertaKemenkeu!$AY$6:$AY$1005="Direkomendasikan",ROW($6:$1005)-5),496)))=1),IFERROR(VLOOKUP(INDEX(checklistPesertaKemenkeu!$L$6:$L$1005,SMALL(IF(checklistPesertaKemenkeu!$AY$6:$AY$1005="Direkomendasikan",ROW($6:$1005)-5),496)),KotaKode,2,0),"-"),"")),"")</f>
        <v/>
      </c>
      <c r="I497" t="str">
        <f t="array" aca="1" ref="I497" ca="1">IFERROR(IF(OR(INDEX(checklistPesertaKemenkeu!$M$6:$M$1005,SMALL(IF(checklistPesertaKemenkeu!$AY$6:$AY$1005="Direkomendasikan",ROW($6:$1005)-5),496))="",INDEX(checklistPesertaKemenkeu!$J$6:$J$1005,SMALL(IF(checklistPesertaKemenkeu!$AY$6:$AY$1005="Direkomendasikan",ROW($6:$1005)-5),496))=""),"",IF(AND(COUNTIF(INDIRECT("K_"&amp;MATCH(INDEX(checklistPesertaKemenkeu!$J$6:$J$1005,SMALL(IF(checklistPesertaKemenkeu!$AY$6:$AY$1005="Direkomendasikan",ROW($6:$1005)-5),496)),BidangList,0)),INDEX(checklistPesertaKemenkeu!$M$6:$M$1005,SMALL(IF(checklistPesertaKemenkeu!$AY$6:$AY$1005="Direkomendasikan",ROW($6:$1005)-5),496)))&gt;0,COUNTIF(INDIRECT("'KERTAS KERJA'!K"&amp;(SMALL(IF(checklistPesertaKemenkeu!$AY$6:$AY$1005="Direkomendasikan",ROW($6:$1005)-5),496)+5)&amp;":O"&amp;(SMALL(IF(checklistPesertaKemenkeu!$AY$6:$AY$1005="Direkomendasikan",ROW($6:$1005)-5),496)+5)),INDEX(checklistPesertaKemenkeu!$M$6:$M$1005,SMALL(IF(checklistPesertaKemenkeu!$AY$6:$AY$1005="Direkomendasikan",ROW($6:$1005)-5),496)))=1),IFERROR(VLOOKUP(INDEX(checklistPesertaKemenkeu!$M$6:$M$1005,SMALL(IF(checklistPesertaKemenkeu!$AY$6:$AY$1005="Direkomendasikan",ROW($6:$1005)-5),496)),KotaKode,2,0),"-"),"")),"")</f>
        <v/>
      </c>
      <c r="J497" t="str">
        <f t="array" aca="1" ref="J497" ca="1">IFERROR(IF(OR(INDEX(checklistPesertaKemenkeu!$N$6:$N$1005,SMALL(IF(checklistPesertaKemenkeu!$AY$6:$AY$1005="Direkomendasikan",ROW($6:$1005)-5),496))="",INDEX(checklistPesertaKemenkeu!$J$6:$J$1005,SMALL(IF(checklistPesertaKemenkeu!$AY$6:$AY$1005="Direkomendasikan",ROW($6:$1005)-5),496))=""),"",IF(AND(COUNTIF(INDIRECT("K_"&amp;MATCH(INDEX(checklistPesertaKemenkeu!$J$6:$J$1005,SMALL(IF(checklistPesertaKemenkeu!$AY$6:$AY$1005="Direkomendasikan",ROW($6:$1005)-5),496)),BidangList,0)),INDEX(checklistPesertaKemenkeu!$N$6:$N$1005,SMALL(IF(checklistPesertaKemenkeu!$AY$6:$AY$1005="Direkomendasikan",ROW($6:$1005)-5),496)))&gt;0,COUNTIF(INDIRECT("'KERTAS KERJA'!K"&amp;(SMALL(IF(checklistPesertaKemenkeu!$AY$6:$AY$1005="Direkomendasikan",ROW($6:$1005)-5),496)+5)&amp;":O"&amp;(SMALL(IF(checklistPesertaKemenkeu!$AY$6:$AY$1005="Direkomendasikan",ROW($6:$1005)-5),496)+5)),INDEX(checklistPesertaKemenkeu!$N$6:$N$1005,SMALL(IF(checklistPesertaKemenkeu!$AY$6:$AY$1005="Direkomendasikan",ROW($6:$1005)-5),496)))=1),IFERROR(VLOOKUP(INDEX(checklistPesertaKemenkeu!$N$6:$N$1005,SMALL(IF(checklistPesertaKemenkeu!$AY$6:$AY$1005="Direkomendasikan",ROW($6:$1005)-5),496)),KotaKode,2,0),"-"),"")),"")</f>
        <v/>
      </c>
      <c r="K497" t="str">
        <f t="array" aca="1" ref="K497" ca="1">IFERROR(IF(OR(INDEX(checklistPesertaKemenkeu!$O$6:$O$1005,SMALL(IF(checklistPesertaKemenkeu!$AY$6:$AY$1005="Direkomendasikan",ROW($6:$1005)-5),496))="",INDEX(checklistPesertaKemenkeu!$J$6:$J$1005,SMALL(IF(checklistPesertaKemenkeu!$AY$6:$AY$1005="Direkomendasikan",ROW($6:$1005)-5),496))=""),"",IF(AND(COUNTIF(INDIRECT("K_"&amp;MATCH(INDEX(checklistPesertaKemenkeu!$J$6:$J$1005,SMALL(IF(checklistPesertaKemenkeu!$AY$6:$AY$1005="Direkomendasikan",ROW($6:$1005)-5),496)),BidangList,0)),INDEX(checklistPesertaKemenkeu!$O$6:$O$1005,SMALL(IF(checklistPesertaKemenkeu!$AY$6:$AY$1005="Direkomendasikan",ROW($6:$1005)-5),496)))&gt;0,COUNTIF(INDIRECT("'KERTAS KERJA'!K"&amp;(SMALL(IF(checklistPesertaKemenkeu!$AY$6:$AY$1005="Direkomendasikan",ROW($6:$1005)-5),496)+5)&amp;":O"&amp;(SMALL(IF(checklistPesertaKemenkeu!$AY$6:$AY$1005="Direkomendasikan",ROW($6:$1005)-5),496)+5)),INDEX(checklistPesertaKemenkeu!$O$6:$O$1005,SMALL(IF(checklistPesertaKemenkeu!$AY$6:$AY$1005="Direkomendasikan",ROW($6:$1005)-5),496)))=1),IFERROR(VLOOKUP(INDEX(checklistPesertaKemenkeu!$O$6:$O$1005,SMALL(IF(checklistPesertaKemenkeu!$AY$6:$AY$1005="Direkomendasikan",ROW($6:$1005)-5),496)),KotaKode,2,0),"-"),"")),"")</f>
        <v/>
      </c>
      <c r="L497" t="str">
        <f t="array" aca="1" ref="L497" ca="1">IFERROR(IF(OR(INDEX(checklistPesertaKemenkeu!$P$6:$P$1005,SMALL(IF(checklistPesertaKemenkeu!$AY$6:$AY$1005="Direkomendasikan",ROW($6:$1005)-5),496))="",INDEX(checklistPesertaKemenkeu!$J$6:$J$1005,SMALL(IF(checklistPesertaKemenkeu!$AY$6:$AY$1005="Direkomendasikan",ROW($6:$1005)-5),496))=""),"",IF(AND(COUNTIF(INDIRECT("K_"&amp;MATCH(INDEX(checklistPesertaKemenkeu!$J$6:$J$1005,SMALL(IF(checklistPesertaKemenkeu!$AY$6:$AY$1005="Direkomendasikan",ROW($6:$1005)-5),496)),BidangList,0)),INDEX(checklistPesertaKemenkeu!$P$6:$P$1005,SMALL(IF(checklistPesertaKemenkeu!$AY$6:$AY$1005="Direkomendasikan",ROW($6:$1005)-5),496)))&gt;0,COUNTIF(INDIRECT("'KERTAS KERJA'!K"&amp;(SMALL(IF(checklistPesertaKemenkeu!$AY$6:$AY$1005="Direkomendasikan",ROW($6:$1005)-5),496)+5)&amp;":O"&amp;(SMALL(IF(checklistPesertaKemenkeu!$AY$6:$AY$1005="Direkomendasikan",ROW($6:$1005)-5),496)+5)),INDEX(checklistPesertaKemenkeu!$P$6:$P$1005,SMALL(IF(checklistPesertaKemenkeu!$AY$6:$AY$1005="Direkomendasikan",ROW($6:$1005)-5),496)))=1),IFERROR(VLOOKUP(INDEX(checklistPesertaKemenkeu!$P$6:$P$1005,SMALL(IF(checklistPesertaKemenkeu!$AY$6:$AY$1005="Direkomendasikan",ROW($6:$1005)-5),496)),KotaKode,2,0),"-"),"")),"")</f>
        <v/>
      </c>
    </row>
    <row r="498" spans="1:12" ht="15" customHeight="1" x14ac:dyDescent="0.2">
      <c r="A498" t="str">
        <f t="shared" si="7"/>
        <v/>
      </c>
      <c r="B498" t="str">
        <v/>
      </c>
      <c r="C498" s="40" t="str">
        <f t="array" ref="C498">IFERROR(INDEX(checklistPesertaKemenkeu!$F$6:$F$1005,SMALL(IF(checklistPesertaKemenkeu!$AY$6:$AY$1005="Direkomendasikan",ROW($6:$1005)-5),497)),"")</f>
        <v/>
      </c>
      <c r="D498" t="str">
        <f t="array" ref="D498">IFERROR(INDEX(checklistPesertaKemenkeu!$G$6:$G$1005,SMALL(IF(checklistPesertaKemenkeu!$AY$6:$AY$1005="Direkomendasikan",ROW($6:$1005)-5),497)),"")</f>
        <v/>
      </c>
      <c r="E498" t="str">
        <f t="array" ref="E498">IFERROR(INDEX(checklistPesertaKemenkeu!$H$6:$H$1005,SMALL(IF(checklistPesertaKemenkeu!$AY$6:$AY$1005="Direkomendasikan",ROW($6:$1005)-5),497)),"")</f>
        <v/>
      </c>
      <c r="F498" t="str">
        <f t="array" ref="F498">IFERROR(INDEX(checklistPesertaKemenkeu!$I$6:$I$1005,SMALL(IF(checklistPesertaKemenkeu!$AY$6:$AY$1005="Direkomendasikan",ROW($6:$1005)-5),497)),"")</f>
        <v/>
      </c>
      <c r="G498" t="str">
        <f t="array" ref="G498">IFERROR(INDEX(checklistPesertaKemenkeu!$J$6:$J$1005,SMALL(IF(checklistPesertaKemenkeu!$AY$6:$AY$1005="Direkomendasikan",ROW($6:$1005)-5),497)),"")</f>
        <v/>
      </c>
      <c r="H498" t="str">
        <f t="array" aca="1" ref="H498" ca="1">IFERROR(IF(OR(INDEX(checklistPesertaKemenkeu!$L$6:$L$1005,SMALL(IF(checklistPesertaKemenkeu!$AY$6:$AY$1005="Direkomendasikan",ROW($6:$1005)-5),497))="",INDEX(checklistPesertaKemenkeu!$J$6:$J$1005,SMALL(IF(checklistPesertaKemenkeu!$AY$6:$AY$1005="Direkomendasikan",ROW($6:$1005)-5),497))=""),"",IF(AND(COUNTIF(INDIRECT("K_"&amp;MATCH(INDEX(checklistPesertaKemenkeu!$J$6:$J$1005,SMALL(IF(checklistPesertaKemenkeu!$AY$6:$AY$1005="Direkomendasikan",ROW($6:$1005)-5),497)),BidangList,0)),INDEX(checklistPesertaKemenkeu!$L$6:$L$1005,SMALL(IF(checklistPesertaKemenkeu!$AY$6:$AY$1005="Direkomendasikan",ROW($6:$1005)-5),497)))&gt;0,COUNTIF(INDIRECT("'KERTAS KERJA'!K"&amp;(SMALL(IF(checklistPesertaKemenkeu!$AY$6:$AY$1005="Direkomendasikan",ROW($6:$1005)-5),497)+5)&amp;":O"&amp;(SMALL(IF(checklistPesertaKemenkeu!$AY$6:$AY$1005="Direkomendasikan",ROW($6:$1005)-5),497)+5)),INDEX(checklistPesertaKemenkeu!$L$6:$L$1005,SMALL(IF(checklistPesertaKemenkeu!$AY$6:$AY$1005="Direkomendasikan",ROW($6:$1005)-5),497)))=1),IFERROR(VLOOKUP(INDEX(checklistPesertaKemenkeu!$L$6:$L$1005,SMALL(IF(checklistPesertaKemenkeu!$AY$6:$AY$1005="Direkomendasikan",ROW($6:$1005)-5),497)),KotaKode,2,0),"-"),"")),"")</f>
        <v/>
      </c>
      <c r="I498" t="str">
        <f t="array" aca="1" ref="I498" ca="1">IFERROR(IF(OR(INDEX(checklistPesertaKemenkeu!$M$6:$M$1005,SMALL(IF(checklistPesertaKemenkeu!$AY$6:$AY$1005="Direkomendasikan",ROW($6:$1005)-5),497))="",INDEX(checklistPesertaKemenkeu!$J$6:$J$1005,SMALL(IF(checklistPesertaKemenkeu!$AY$6:$AY$1005="Direkomendasikan",ROW($6:$1005)-5),497))=""),"",IF(AND(COUNTIF(INDIRECT("K_"&amp;MATCH(INDEX(checklistPesertaKemenkeu!$J$6:$J$1005,SMALL(IF(checklistPesertaKemenkeu!$AY$6:$AY$1005="Direkomendasikan",ROW($6:$1005)-5),497)),BidangList,0)),INDEX(checklistPesertaKemenkeu!$M$6:$M$1005,SMALL(IF(checklistPesertaKemenkeu!$AY$6:$AY$1005="Direkomendasikan",ROW($6:$1005)-5),497)))&gt;0,COUNTIF(INDIRECT("'KERTAS KERJA'!K"&amp;(SMALL(IF(checklistPesertaKemenkeu!$AY$6:$AY$1005="Direkomendasikan",ROW($6:$1005)-5),497)+5)&amp;":O"&amp;(SMALL(IF(checklistPesertaKemenkeu!$AY$6:$AY$1005="Direkomendasikan",ROW($6:$1005)-5),497)+5)),INDEX(checklistPesertaKemenkeu!$M$6:$M$1005,SMALL(IF(checklistPesertaKemenkeu!$AY$6:$AY$1005="Direkomendasikan",ROW($6:$1005)-5),497)))=1),IFERROR(VLOOKUP(INDEX(checklistPesertaKemenkeu!$M$6:$M$1005,SMALL(IF(checklistPesertaKemenkeu!$AY$6:$AY$1005="Direkomendasikan",ROW($6:$1005)-5),497)),KotaKode,2,0),"-"),"")),"")</f>
        <v/>
      </c>
      <c r="J498" t="str">
        <f t="array" aca="1" ref="J498" ca="1">IFERROR(IF(OR(INDEX(checklistPesertaKemenkeu!$N$6:$N$1005,SMALL(IF(checklistPesertaKemenkeu!$AY$6:$AY$1005="Direkomendasikan",ROW($6:$1005)-5),497))="",INDEX(checklistPesertaKemenkeu!$J$6:$J$1005,SMALL(IF(checklistPesertaKemenkeu!$AY$6:$AY$1005="Direkomendasikan",ROW($6:$1005)-5),497))=""),"",IF(AND(COUNTIF(INDIRECT("K_"&amp;MATCH(INDEX(checklistPesertaKemenkeu!$J$6:$J$1005,SMALL(IF(checklistPesertaKemenkeu!$AY$6:$AY$1005="Direkomendasikan",ROW($6:$1005)-5),497)),BidangList,0)),INDEX(checklistPesertaKemenkeu!$N$6:$N$1005,SMALL(IF(checklistPesertaKemenkeu!$AY$6:$AY$1005="Direkomendasikan",ROW($6:$1005)-5),497)))&gt;0,COUNTIF(INDIRECT("'KERTAS KERJA'!K"&amp;(SMALL(IF(checklistPesertaKemenkeu!$AY$6:$AY$1005="Direkomendasikan",ROW($6:$1005)-5),497)+5)&amp;":O"&amp;(SMALL(IF(checklistPesertaKemenkeu!$AY$6:$AY$1005="Direkomendasikan",ROW($6:$1005)-5),497)+5)),INDEX(checklistPesertaKemenkeu!$N$6:$N$1005,SMALL(IF(checklistPesertaKemenkeu!$AY$6:$AY$1005="Direkomendasikan",ROW($6:$1005)-5),497)))=1),IFERROR(VLOOKUP(INDEX(checklistPesertaKemenkeu!$N$6:$N$1005,SMALL(IF(checklistPesertaKemenkeu!$AY$6:$AY$1005="Direkomendasikan",ROW($6:$1005)-5),497)),KotaKode,2,0),"-"),"")),"")</f>
        <v/>
      </c>
      <c r="K498" t="str">
        <f t="array" aca="1" ref="K498" ca="1">IFERROR(IF(OR(INDEX(checklistPesertaKemenkeu!$O$6:$O$1005,SMALL(IF(checklistPesertaKemenkeu!$AY$6:$AY$1005="Direkomendasikan",ROW($6:$1005)-5),497))="",INDEX(checklistPesertaKemenkeu!$J$6:$J$1005,SMALL(IF(checklistPesertaKemenkeu!$AY$6:$AY$1005="Direkomendasikan",ROW($6:$1005)-5),497))=""),"",IF(AND(COUNTIF(INDIRECT("K_"&amp;MATCH(INDEX(checklistPesertaKemenkeu!$J$6:$J$1005,SMALL(IF(checklistPesertaKemenkeu!$AY$6:$AY$1005="Direkomendasikan",ROW($6:$1005)-5),497)),BidangList,0)),INDEX(checklistPesertaKemenkeu!$O$6:$O$1005,SMALL(IF(checklistPesertaKemenkeu!$AY$6:$AY$1005="Direkomendasikan",ROW($6:$1005)-5),497)))&gt;0,COUNTIF(INDIRECT("'KERTAS KERJA'!K"&amp;(SMALL(IF(checklistPesertaKemenkeu!$AY$6:$AY$1005="Direkomendasikan",ROW($6:$1005)-5),497)+5)&amp;":O"&amp;(SMALL(IF(checklistPesertaKemenkeu!$AY$6:$AY$1005="Direkomendasikan",ROW($6:$1005)-5),497)+5)),INDEX(checklistPesertaKemenkeu!$O$6:$O$1005,SMALL(IF(checklistPesertaKemenkeu!$AY$6:$AY$1005="Direkomendasikan",ROW($6:$1005)-5),497)))=1),IFERROR(VLOOKUP(INDEX(checklistPesertaKemenkeu!$O$6:$O$1005,SMALL(IF(checklistPesertaKemenkeu!$AY$6:$AY$1005="Direkomendasikan",ROW($6:$1005)-5),497)),KotaKode,2,0),"-"),"")),"")</f>
        <v/>
      </c>
      <c r="L498" t="str">
        <f t="array" aca="1" ref="L498" ca="1">IFERROR(IF(OR(INDEX(checklistPesertaKemenkeu!$P$6:$P$1005,SMALL(IF(checklistPesertaKemenkeu!$AY$6:$AY$1005="Direkomendasikan",ROW($6:$1005)-5),497))="",INDEX(checklistPesertaKemenkeu!$J$6:$J$1005,SMALL(IF(checklistPesertaKemenkeu!$AY$6:$AY$1005="Direkomendasikan",ROW($6:$1005)-5),497))=""),"",IF(AND(COUNTIF(INDIRECT("K_"&amp;MATCH(INDEX(checklistPesertaKemenkeu!$J$6:$J$1005,SMALL(IF(checklistPesertaKemenkeu!$AY$6:$AY$1005="Direkomendasikan",ROW($6:$1005)-5),497)),BidangList,0)),INDEX(checklistPesertaKemenkeu!$P$6:$P$1005,SMALL(IF(checklistPesertaKemenkeu!$AY$6:$AY$1005="Direkomendasikan",ROW($6:$1005)-5),497)))&gt;0,COUNTIF(INDIRECT("'KERTAS KERJA'!K"&amp;(SMALL(IF(checklistPesertaKemenkeu!$AY$6:$AY$1005="Direkomendasikan",ROW($6:$1005)-5),497)+5)&amp;":O"&amp;(SMALL(IF(checklistPesertaKemenkeu!$AY$6:$AY$1005="Direkomendasikan",ROW($6:$1005)-5),497)+5)),INDEX(checklistPesertaKemenkeu!$P$6:$P$1005,SMALL(IF(checklistPesertaKemenkeu!$AY$6:$AY$1005="Direkomendasikan",ROW($6:$1005)-5),497)))=1),IFERROR(VLOOKUP(INDEX(checklistPesertaKemenkeu!$P$6:$P$1005,SMALL(IF(checklistPesertaKemenkeu!$AY$6:$AY$1005="Direkomendasikan",ROW($6:$1005)-5),497)),KotaKode,2,0),"-"),"")),"")</f>
        <v/>
      </c>
    </row>
    <row r="499" spans="1:12" ht="15" customHeight="1" x14ac:dyDescent="0.2">
      <c r="A499" t="str">
        <f t="shared" si="7"/>
        <v/>
      </c>
      <c r="B499" t="str">
        <v/>
      </c>
      <c r="C499" s="40" t="str">
        <f t="array" ref="C499">IFERROR(INDEX(checklistPesertaKemenkeu!$F$6:$F$1005,SMALL(IF(checklistPesertaKemenkeu!$AY$6:$AY$1005="Direkomendasikan",ROW($6:$1005)-5),498)),"")</f>
        <v/>
      </c>
      <c r="D499" t="str">
        <f t="array" ref="D499">IFERROR(INDEX(checklistPesertaKemenkeu!$G$6:$G$1005,SMALL(IF(checklistPesertaKemenkeu!$AY$6:$AY$1005="Direkomendasikan",ROW($6:$1005)-5),498)),"")</f>
        <v/>
      </c>
      <c r="E499" t="str">
        <f t="array" ref="E499">IFERROR(INDEX(checklistPesertaKemenkeu!$H$6:$H$1005,SMALL(IF(checklistPesertaKemenkeu!$AY$6:$AY$1005="Direkomendasikan",ROW($6:$1005)-5),498)),"")</f>
        <v/>
      </c>
      <c r="F499" t="str">
        <f t="array" ref="F499">IFERROR(INDEX(checklistPesertaKemenkeu!$I$6:$I$1005,SMALL(IF(checklistPesertaKemenkeu!$AY$6:$AY$1005="Direkomendasikan",ROW($6:$1005)-5),498)),"")</f>
        <v/>
      </c>
      <c r="G499" t="str">
        <f t="array" ref="G499">IFERROR(INDEX(checklistPesertaKemenkeu!$J$6:$J$1005,SMALL(IF(checklistPesertaKemenkeu!$AY$6:$AY$1005="Direkomendasikan",ROW($6:$1005)-5),498)),"")</f>
        <v/>
      </c>
      <c r="H499" t="str">
        <f t="array" aca="1" ref="H499" ca="1">IFERROR(IF(OR(INDEX(checklistPesertaKemenkeu!$L$6:$L$1005,SMALL(IF(checklistPesertaKemenkeu!$AY$6:$AY$1005="Direkomendasikan",ROW($6:$1005)-5),498))="",INDEX(checklistPesertaKemenkeu!$J$6:$J$1005,SMALL(IF(checklistPesertaKemenkeu!$AY$6:$AY$1005="Direkomendasikan",ROW($6:$1005)-5),498))=""),"",IF(AND(COUNTIF(INDIRECT("K_"&amp;MATCH(INDEX(checklistPesertaKemenkeu!$J$6:$J$1005,SMALL(IF(checklistPesertaKemenkeu!$AY$6:$AY$1005="Direkomendasikan",ROW($6:$1005)-5),498)),BidangList,0)),INDEX(checklistPesertaKemenkeu!$L$6:$L$1005,SMALL(IF(checklistPesertaKemenkeu!$AY$6:$AY$1005="Direkomendasikan",ROW($6:$1005)-5),498)))&gt;0,COUNTIF(INDIRECT("'KERTAS KERJA'!K"&amp;(SMALL(IF(checklistPesertaKemenkeu!$AY$6:$AY$1005="Direkomendasikan",ROW($6:$1005)-5),498)+5)&amp;":O"&amp;(SMALL(IF(checklistPesertaKemenkeu!$AY$6:$AY$1005="Direkomendasikan",ROW($6:$1005)-5),498)+5)),INDEX(checklistPesertaKemenkeu!$L$6:$L$1005,SMALL(IF(checklistPesertaKemenkeu!$AY$6:$AY$1005="Direkomendasikan",ROW($6:$1005)-5),498)))=1),IFERROR(VLOOKUP(INDEX(checklistPesertaKemenkeu!$L$6:$L$1005,SMALL(IF(checklistPesertaKemenkeu!$AY$6:$AY$1005="Direkomendasikan",ROW($6:$1005)-5),498)),KotaKode,2,0),"-"),"")),"")</f>
        <v/>
      </c>
      <c r="I499" t="str">
        <f t="array" aca="1" ref="I499" ca="1">IFERROR(IF(OR(INDEX(checklistPesertaKemenkeu!$M$6:$M$1005,SMALL(IF(checklistPesertaKemenkeu!$AY$6:$AY$1005="Direkomendasikan",ROW($6:$1005)-5),498))="",INDEX(checklistPesertaKemenkeu!$J$6:$J$1005,SMALL(IF(checklistPesertaKemenkeu!$AY$6:$AY$1005="Direkomendasikan",ROW($6:$1005)-5),498))=""),"",IF(AND(COUNTIF(INDIRECT("K_"&amp;MATCH(INDEX(checklistPesertaKemenkeu!$J$6:$J$1005,SMALL(IF(checklistPesertaKemenkeu!$AY$6:$AY$1005="Direkomendasikan",ROW($6:$1005)-5),498)),BidangList,0)),INDEX(checklistPesertaKemenkeu!$M$6:$M$1005,SMALL(IF(checklistPesertaKemenkeu!$AY$6:$AY$1005="Direkomendasikan",ROW($6:$1005)-5),498)))&gt;0,COUNTIF(INDIRECT("'KERTAS KERJA'!K"&amp;(SMALL(IF(checklistPesertaKemenkeu!$AY$6:$AY$1005="Direkomendasikan",ROW($6:$1005)-5),498)+5)&amp;":O"&amp;(SMALL(IF(checklistPesertaKemenkeu!$AY$6:$AY$1005="Direkomendasikan",ROW($6:$1005)-5),498)+5)),INDEX(checklistPesertaKemenkeu!$M$6:$M$1005,SMALL(IF(checklistPesertaKemenkeu!$AY$6:$AY$1005="Direkomendasikan",ROW($6:$1005)-5),498)))=1),IFERROR(VLOOKUP(INDEX(checklistPesertaKemenkeu!$M$6:$M$1005,SMALL(IF(checklistPesertaKemenkeu!$AY$6:$AY$1005="Direkomendasikan",ROW($6:$1005)-5),498)),KotaKode,2,0),"-"),"")),"")</f>
        <v/>
      </c>
      <c r="J499" t="str">
        <f t="array" aca="1" ref="J499" ca="1">IFERROR(IF(OR(INDEX(checklistPesertaKemenkeu!$N$6:$N$1005,SMALL(IF(checklistPesertaKemenkeu!$AY$6:$AY$1005="Direkomendasikan",ROW($6:$1005)-5),498))="",INDEX(checklistPesertaKemenkeu!$J$6:$J$1005,SMALL(IF(checklistPesertaKemenkeu!$AY$6:$AY$1005="Direkomendasikan",ROW($6:$1005)-5),498))=""),"",IF(AND(COUNTIF(INDIRECT("K_"&amp;MATCH(INDEX(checklistPesertaKemenkeu!$J$6:$J$1005,SMALL(IF(checklistPesertaKemenkeu!$AY$6:$AY$1005="Direkomendasikan",ROW($6:$1005)-5),498)),BidangList,0)),INDEX(checklistPesertaKemenkeu!$N$6:$N$1005,SMALL(IF(checklistPesertaKemenkeu!$AY$6:$AY$1005="Direkomendasikan",ROW($6:$1005)-5),498)))&gt;0,COUNTIF(INDIRECT("'KERTAS KERJA'!K"&amp;(SMALL(IF(checklistPesertaKemenkeu!$AY$6:$AY$1005="Direkomendasikan",ROW($6:$1005)-5),498)+5)&amp;":O"&amp;(SMALL(IF(checklistPesertaKemenkeu!$AY$6:$AY$1005="Direkomendasikan",ROW($6:$1005)-5),498)+5)),INDEX(checklistPesertaKemenkeu!$N$6:$N$1005,SMALL(IF(checklistPesertaKemenkeu!$AY$6:$AY$1005="Direkomendasikan",ROW($6:$1005)-5),498)))=1),IFERROR(VLOOKUP(INDEX(checklistPesertaKemenkeu!$N$6:$N$1005,SMALL(IF(checklistPesertaKemenkeu!$AY$6:$AY$1005="Direkomendasikan",ROW($6:$1005)-5),498)),KotaKode,2,0),"-"),"")),"")</f>
        <v/>
      </c>
      <c r="K499" t="str">
        <f t="array" aca="1" ref="K499" ca="1">IFERROR(IF(OR(INDEX(checklistPesertaKemenkeu!$O$6:$O$1005,SMALL(IF(checklistPesertaKemenkeu!$AY$6:$AY$1005="Direkomendasikan",ROW($6:$1005)-5),498))="",INDEX(checklistPesertaKemenkeu!$J$6:$J$1005,SMALL(IF(checklistPesertaKemenkeu!$AY$6:$AY$1005="Direkomendasikan",ROW($6:$1005)-5),498))=""),"",IF(AND(COUNTIF(INDIRECT("K_"&amp;MATCH(INDEX(checklistPesertaKemenkeu!$J$6:$J$1005,SMALL(IF(checklistPesertaKemenkeu!$AY$6:$AY$1005="Direkomendasikan",ROW($6:$1005)-5),498)),BidangList,0)),INDEX(checklistPesertaKemenkeu!$O$6:$O$1005,SMALL(IF(checklistPesertaKemenkeu!$AY$6:$AY$1005="Direkomendasikan",ROW($6:$1005)-5),498)))&gt;0,COUNTIF(INDIRECT("'KERTAS KERJA'!K"&amp;(SMALL(IF(checklistPesertaKemenkeu!$AY$6:$AY$1005="Direkomendasikan",ROW($6:$1005)-5),498)+5)&amp;":O"&amp;(SMALL(IF(checklistPesertaKemenkeu!$AY$6:$AY$1005="Direkomendasikan",ROW($6:$1005)-5),498)+5)),INDEX(checklistPesertaKemenkeu!$O$6:$O$1005,SMALL(IF(checklistPesertaKemenkeu!$AY$6:$AY$1005="Direkomendasikan",ROW($6:$1005)-5),498)))=1),IFERROR(VLOOKUP(INDEX(checklistPesertaKemenkeu!$O$6:$O$1005,SMALL(IF(checklistPesertaKemenkeu!$AY$6:$AY$1005="Direkomendasikan",ROW($6:$1005)-5),498)),KotaKode,2,0),"-"),"")),"")</f>
        <v/>
      </c>
      <c r="L499" t="str">
        <f t="array" aca="1" ref="L499" ca="1">IFERROR(IF(OR(INDEX(checklistPesertaKemenkeu!$P$6:$P$1005,SMALL(IF(checklistPesertaKemenkeu!$AY$6:$AY$1005="Direkomendasikan",ROW($6:$1005)-5),498))="",INDEX(checklistPesertaKemenkeu!$J$6:$J$1005,SMALL(IF(checklistPesertaKemenkeu!$AY$6:$AY$1005="Direkomendasikan",ROW($6:$1005)-5),498))=""),"",IF(AND(COUNTIF(INDIRECT("K_"&amp;MATCH(INDEX(checklistPesertaKemenkeu!$J$6:$J$1005,SMALL(IF(checklistPesertaKemenkeu!$AY$6:$AY$1005="Direkomendasikan",ROW($6:$1005)-5),498)),BidangList,0)),INDEX(checklistPesertaKemenkeu!$P$6:$P$1005,SMALL(IF(checklistPesertaKemenkeu!$AY$6:$AY$1005="Direkomendasikan",ROW($6:$1005)-5),498)))&gt;0,COUNTIF(INDIRECT("'KERTAS KERJA'!K"&amp;(SMALL(IF(checklistPesertaKemenkeu!$AY$6:$AY$1005="Direkomendasikan",ROW($6:$1005)-5),498)+5)&amp;":O"&amp;(SMALL(IF(checklistPesertaKemenkeu!$AY$6:$AY$1005="Direkomendasikan",ROW($6:$1005)-5),498)+5)),INDEX(checklistPesertaKemenkeu!$P$6:$P$1005,SMALL(IF(checklistPesertaKemenkeu!$AY$6:$AY$1005="Direkomendasikan",ROW($6:$1005)-5),498)))=1),IFERROR(VLOOKUP(INDEX(checklistPesertaKemenkeu!$P$6:$P$1005,SMALL(IF(checklistPesertaKemenkeu!$AY$6:$AY$1005="Direkomendasikan",ROW($6:$1005)-5),498)),KotaKode,2,0),"-"),"")),"")</f>
        <v/>
      </c>
    </row>
    <row r="500" spans="1:12" ht="15" customHeight="1" x14ac:dyDescent="0.2">
      <c r="A500" t="str">
        <f t="shared" si="7"/>
        <v/>
      </c>
      <c r="B500" t="str">
        <v/>
      </c>
      <c r="C500" s="40" t="str">
        <f t="array" ref="C500">IFERROR(INDEX(checklistPesertaKemenkeu!$F$6:$F$1005,SMALL(IF(checklistPesertaKemenkeu!$AY$6:$AY$1005="Direkomendasikan",ROW($6:$1005)-5),499)),"")</f>
        <v/>
      </c>
      <c r="D500" t="str">
        <f t="array" ref="D500">IFERROR(INDEX(checklistPesertaKemenkeu!$G$6:$G$1005,SMALL(IF(checklistPesertaKemenkeu!$AY$6:$AY$1005="Direkomendasikan",ROW($6:$1005)-5),499)),"")</f>
        <v/>
      </c>
      <c r="E500" t="str">
        <f t="array" ref="E500">IFERROR(INDEX(checklistPesertaKemenkeu!$H$6:$H$1005,SMALL(IF(checklistPesertaKemenkeu!$AY$6:$AY$1005="Direkomendasikan",ROW($6:$1005)-5),499)),"")</f>
        <v/>
      </c>
      <c r="F500" t="str">
        <f t="array" ref="F500">IFERROR(INDEX(checklistPesertaKemenkeu!$I$6:$I$1005,SMALL(IF(checklistPesertaKemenkeu!$AY$6:$AY$1005="Direkomendasikan",ROW($6:$1005)-5),499)),"")</f>
        <v/>
      </c>
      <c r="G500" t="str">
        <f t="array" ref="G500">IFERROR(INDEX(checklistPesertaKemenkeu!$J$6:$J$1005,SMALL(IF(checklistPesertaKemenkeu!$AY$6:$AY$1005="Direkomendasikan",ROW($6:$1005)-5),499)),"")</f>
        <v/>
      </c>
      <c r="H500" t="str">
        <f t="array" aca="1" ref="H500" ca="1">IFERROR(IF(OR(INDEX(checklistPesertaKemenkeu!$L$6:$L$1005,SMALL(IF(checklistPesertaKemenkeu!$AY$6:$AY$1005="Direkomendasikan",ROW($6:$1005)-5),499))="",INDEX(checklistPesertaKemenkeu!$J$6:$J$1005,SMALL(IF(checklistPesertaKemenkeu!$AY$6:$AY$1005="Direkomendasikan",ROW($6:$1005)-5),499))=""),"",IF(AND(COUNTIF(INDIRECT("K_"&amp;MATCH(INDEX(checklistPesertaKemenkeu!$J$6:$J$1005,SMALL(IF(checklistPesertaKemenkeu!$AY$6:$AY$1005="Direkomendasikan",ROW($6:$1005)-5),499)),BidangList,0)),INDEX(checklistPesertaKemenkeu!$L$6:$L$1005,SMALL(IF(checklistPesertaKemenkeu!$AY$6:$AY$1005="Direkomendasikan",ROW($6:$1005)-5),499)))&gt;0,COUNTIF(INDIRECT("'KERTAS KERJA'!K"&amp;(SMALL(IF(checklistPesertaKemenkeu!$AY$6:$AY$1005="Direkomendasikan",ROW($6:$1005)-5),499)+5)&amp;":O"&amp;(SMALL(IF(checklistPesertaKemenkeu!$AY$6:$AY$1005="Direkomendasikan",ROW($6:$1005)-5),499)+5)),INDEX(checklistPesertaKemenkeu!$L$6:$L$1005,SMALL(IF(checklistPesertaKemenkeu!$AY$6:$AY$1005="Direkomendasikan",ROW($6:$1005)-5),499)))=1),IFERROR(VLOOKUP(INDEX(checklistPesertaKemenkeu!$L$6:$L$1005,SMALL(IF(checklistPesertaKemenkeu!$AY$6:$AY$1005="Direkomendasikan",ROW($6:$1005)-5),499)),KotaKode,2,0),"-"),"")),"")</f>
        <v/>
      </c>
      <c r="I500" t="str">
        <f t="array" aca="1" ref="I500" ca="1">IFERROR(IF(OR(INDEX(checklistPesertaKemenkeu!$M$6:$M$1005,SMALL(IF(checklistPesertaKemenkeu!$AY$6:$AY$1005="Direkomendasikan",ROW($6:$1005)-5),499))="",INDEX(checklistPesertaKemenkeu!$J$6:$J$1005,SMALL(IF(checklistPesertaKemenkeu!$AY$6:$AY$1005="Direkomendasikan",ROW($6:$1005)-5),499))=""),"",IF(AND(COUNTIF(INDIRECT("K_"&amp;MATCH(INDEX(checklistPesertaKemenkeu!$J$6:$J$1005,SMALL(IF(checklistPesertaKemenkeu!$AY$6:$AY$1005="Direkomendasikan",ROW($6:$1005)-5),499)),BidangList,0)),INDEX(checklistPesertaKemenkeu!$M$6:$M$1005,SMALL(IF(checklistPesertaKemenkeu!$AY$6:$AY$1005="Direkomendasikan",ROW($6:$1005)-5),499)))&gt;0,COUNTIF(INDIRECT("'KERTAS KERJA'!K"&amp;(SMALL(IF(checklistPesertaKemenkeu!$AY$6:$AY$1005="Direkomendasikan",ROW($6:$1005)-5),499)+5)&amp;":O"&amp;(SMALL(IF(checklistPesertaKemenkeu!$AY$6:$AY$1005="Direkomendasikan",ROW($6:$1005)-5),499)+5)),INDEX(checklistPesertaKemenkeu!$M$6:$M$1005,SMALL(IF(checklistPesertaKemenkeu!$AY$6:$AY$1005="Direkomendasikan",ROW($6:$1005)-5),499)))=1),IFERROR(VLOOKUP(INDEX(checklistPesertaKemenkeu!$M$6:$M$1005,SMALL(IF(checklistPesertaKemenkeu!$AY$6:$AY$1005="Direkomendasikan",ROW($6:$1005)-5),499)),KotaKode,2,0),"-"),"")),"")</f>
        <v/>
      </c>
      <c r="J500" t="str">
        <f t="array" aca="1" ref="J500" ca="1">IFERROR(IF(OR(INDEX(checklistPesertaKemenkeu!$N$6:$N$1005,SMALL(IF(checklistPesertaKemenkeu!$AY$6:$AY$1005="Direkomendasikan",ROW($6:$1005)-5),499))="",INDEX(checklistPesertaKemenkeu!$J$6:$J$1005,SMALL(IF(checklistPesertaKemenkeu!$AY$6:$AY$1005="Direkomendasikan",ROW($6:$1005)-5),499))=""),"",IF(AND(COUNTIF(INDIRECT("K_"&amp;MATCH(INDEX(checklistPesertaKemenkeu!$J$6:$J$1005,SMALL(IF(checklistPesertaKemenkeu!$AY$6:$AY$1005="Direkomendasikan",ROW($6:$1005)-5),499)),BidangList,0)),INDEX(checklistPesertaKemenkeu!$N$6:$N$1005,SMALL(IF(checklistPesertaKemenkeu!$AY$6:$AY$1005="Direkomendasikan",ROW($6:$1005)-5),499)))&gt;0,COUNTIF(INDIRECT("'KERTAS KERJA'!K"&amp;(SMALL(IF(checklistPesertaKemenkeu!$AY$6:$AY$1005="Direkomendasikan",ROW($6:$1005)-5),499)+5)&amp;":O"&amp;(SMALL(IF(checklistPesertaKemenkeu!$AY$6:$AY$1005="Direkomendasikan",ROW($6:$1005)-5),499)+5)),INDEX(checklistPesertaKemenkeu!$N$6:$N$1005,SMALL(IF(checklistPesertaKemenkeu!$AY$6:$AY$1005="Direkomendasikan",ROW($6:$1005)-5),499)))=1),IFERROR(VLOOKUP(INDEX(checklistPesertaKemenkeu!$N$6:$N$1005,SMALL(IF(checklistPesertaKemenkeu!$AY$6:$AY$1005="Direkomendasikan",ROW($6:$1005)-5),499)),KotaKode,2,0),"-"),"")),"")</f>
        <v/>
      </c>
      <c r="K500" t="str">
        <f t="array" aca="1" ref="K500" ca="1">IFERROR(IF(OR(INDEX(checklistPesertaKemenkeu!$O$6:$O$1005,SMALL(IF(checklistPesertaKemenkeu!$AY$6:$AY$1005="Direkomendasikan",ROW($6:$1005)-5),499))="",INDEX(checklistPesertaKemenkeu!$J$6:$J$1005,SMALL(IF(checklistPesertaKemenkeu!$AY$6:$AY$1005="Direkomendasikan",ROW($6:$1005)-5),499))=""),"",IF(AND(COUNTIF(INDIRECT("K_"&amp;MATCH(INDEX(checklistPesertaKemenkeu!$J$6:$J$1005,SMALL(IF(checklistPesertaKemenkeu!$AY$6:$AY$1005="Direkomendasikan",ROW($6:$1005)-5),499)),BidangList,0)),INDEX(checklistPesertaKemenkeu!$O$6:$O$1005,SMALL(IF(checklistPesertaKemenkeu!$AY$6:$AY$1005="Direkomendasikan",ROW($6:$1005)-5),499)))&gt;0,COUNTIF(INDIRECT("'KERTAS KERJA'!K"&amp;(SMALL(IF(checklistPesertaKemenkeu!$AY$6:$AY$1005="Direkomendasikan",ROW($6:$1005)-5),499)+5)&amp;":O"&amp;(SMALL(IF(checklistPesertaKemenkeu!$AY$6:$AY$1005="Direkomendasikan",ROW($6:$1005)-5),499)+5)),INDEX(checklistPesertaKemenkeu!$O$6:$O$1005,SMALL(IF(checklistPesertaKemenkeu!$AY$6:$AY$1005="Direkomendasikan",ROW($6:$1005)-5),499)))=1),IFERROR(VLOOKUP(INDEX(checklistPesertaKemenkeu!$O$6:$O$1005,SMALL(IF(checklistPesertaKemenkeu!$AY$6:$AY$1005="Direkomendasikan",ROW($6:$1005)-5),499)),KotaKode,2,0),"-"),"")),"")</f>
        <v/>
      </c>
      <c r="L500" t="str">
        <f t="array" aca="1" ref="L500" ca="1">IFERROR(IF(OR(INDEX(checklistPesertaKemenkeu!$P$6:$P$1005,SMALL(IF(checklistPesertaKemenkeu!$AY$6:$AY$1005="Direkomendasikan",ROW($6:$1005)-5),499))="",INDEX(checklistPesertaKemenkeu!$J$6:$J$1005,SMALL(IF(checklistPesertaKemenkeu!$AY$6:$AY$1005="Direkomendasikan",ROW($6:$1005)-5),499))=""),"",IF(AND(COUNTIF(INDIRECT("K_"&amp;MATCH(INDEX(checklistPesertaKemenkeu!$J$6:$J$1005,SMALL(IF(checklistPesertaKemenkeu!$AY$6:$AY$1005="Direkomendasikan",ROW($6:$1005)-5),499)),BidangList,0)),INDEX(checklistPesertaKemenkeu!$P$6:$P$1005,SMALL(IF(checklistPesertaKemenkeu!$AY$6:$AY$1005="Direkomendasikan",ROW($6:$1005)-5),499)))&gt;0,COUNTIF(INDIRECT("'KERTAS KERJA'!K"&amp;(SMALL(IF(checklistPesertaKemenkeu!$AY$6:$AY$1005="Direkomendasikan",ROW($6:$1005)-5),499)+5)&amp;":O"&amp;(SMALL(IF(checklistPesertaKemenkeu!$AY$6:$AY$1005="Direkomendasikan",ROW($6:$1005)-5),499)+5)),INDEX(checklistPesertaKemenkeu!$P$6:$P$1005,SMALL(IF(checklistPesertaKemenkeu!$AY$6:$AY$1005="Direkomendasikan",ROW($6:$1005)-5),499)))=1),IFERROR(VLOOKUP(INDEX(checklistPesertaKemenkeu!$P$6:$P$1005,SMALL(IF(checklistPesertaKemenkeu!$AY$6:$AY$1005="Direkomendasikan",ROW($6:$1005)-5),499)),KotaKode,2,0),"-"),"")),"")</f>
        <v/>
      </c>
    </row>
    <row r="501" spans="1:12" ht="15" customHeight="1" x14ac:dyDescent="0.2">
      <c r="A501" t="str">
        <f t="shared" si="7"/>
        <v/>
      </c>
      <c r="B501" t="str">
        <v/>
      </c>
      <c r="C501" s="40" t="str">
        <f t="array" ref="C501">IFERROR(INDEX(checklistPesertaKemenkeu!$F$6:$F$1005,SMALL(IF(checklistPesertaKemenkeu!$AY$6:$AY$1005="Direkomendasikan",ROW($6:$1005)-5),500)),"")</f>
        <v/>
      </c>
      <c r="D501" t="str">
        <f t="array" ref="D501">IFERROR(INDEX(checklistPesertaKemenkeu!$G$6:$G$1005,SMALL(IF(checklistPesertaKemenkeu!$AY$6:$AY$1005="Direkomendasikan",ROW($6:$1005)-5),500)),"")</f>
        <v/>
      </c>
      <c r="E501" t="str">
        <f t="array" ref="E501">IFERROR(INDEX(checklistPesertaKemenkeu!$H$6:$H$1005,SMALL(IF(checklistPesertaKemenkeu!$AY$6:$AY$1005="Direkomendasikan",ROW($6:$1005)-5),500)),"")</f>
        <v/>
      </c>
      <c r="F501" t="str">
        <f t="array" ref="F501">IFERROR(INDEX(checklistPesertaKemenkeu!$I$6:$I$1005,SMALL(IF(checklistPesertaKemenkeu!$AY$6:$AY$1005="Direkomendasikan",ROW($6:$1005)-5),500)),"")</f>
        <v/>
      </c>
      <c r="G501" t="str">
        <f t="array" ref="G501">IFERROR(INDEX(checklistPesertaKemenkeu!$J$6:$J$1005,SMALL(IF(checklistPesertaKemenkeu!$AY$6:$AY$1005="Direkomendasikan",ROW($6:$1005)-5),500)),"")</f>
        <v/>
      </c>
      <c r="H501" t="str">
        <f t="array" aca="1" ref="H501" ca="1">IFERROR(IF(OR(INDEX(checklistPesertaKemenkeu!$L$6:$L$1005,SMALL(IF(checklistPesertaKemenkeu!$AY$6:$AY$1005="Direkomendasikan",ROW($6:$1005)-5),500))="",INDEX(checklistPesertaKemenkeu!$J$6:$J$1005,SMALL(IF(checklistPesertaKemenkeu!$AY$6:$AY$1005="Direkomendasikan",ROW($6:$1005)-5),500))=""),"",IF(AND(COUNTIF(INDIRECT("K_"&amp;MATCH(INDEX(checklistPesertaKemenkeu!$J$6:$J$1005,SMALL(IF(checklistPesertaKemenkeu!$AY$6:$AY$1005="Direkomendasikan",ROW($6:$1005)-5),500)),BidangList,0)),INDEX(checklistPesertaKemenkeu!$L$6:$L$1005,SMALL(IF(checklistPesertaKemenkeu!$AY$6:$AY$1005="Direkomendasikan",ROW($6:$1005)-5),500)))&gt;0,COUNTIF(INDIRECT("'KERTAS KERJA'!K"&amp;(SMALL(IF(checklistPesertaKemenkeu!$AY$6:$AY$1005="Direkomendasikan",ROW($6:$1005)-5),500)+5)&amp;":O"&amp;(SMALL(IF(checklistPesertaKemenkeu!$AY$6:$AY$1005="Direkomendasikan",ROW($6:$1005)-5),500)+5)),INDEX(checklistPesertaKemenkeu!$L$6:$L$1005,SMALL(IF(checklistPesertaKemenkeu!$AY$6:$AY$1005="Direkomendasikan",ROW($6:$1005)-5),500)))=1),IFERROR(VLOOKUP(INDEX(checklistPesertaKemenkeu!$L$6:$L$1005,SMALL(IF(checklistPesertaKemenkeu!$AY$6:$AY$1005="Direkomendasikan",ROW($6:$1005)-5),500)),KotaKode,2,0),"-"),"")),"")</f>
        <v/>
      </c>
      <c r="I501" t="str">
        <f t="array" aca="1" ref="I501" ca="1">IFERROR(IF(OR(INDEX(checklistPesertaKemenkeu!$M$6:$M$1005,SMALL(IF(checklistPesertaKemenkeu!$AY$6:$AY$1005="Direkomendasikan",ROW($6:$1005)-5),500))="",INDEX(checklistPesertaKemenkeu!$J$6:$J$1005,SMALL(IF(checklistPesertaKemenkeu!$AY$6:$AY$1005="Direkomendasikan",ROW($6:$1005)-5),500))=""),"",IF(AND(COUNTIF(INDIRECT("K_"&amp;MATCH(INDEX(checklistPesertaKemenkeu!$J$6:$J$1005,SMALL(IF(checklistPesertaKemenkeu!$AY$6:$AY$1005="Direkomendasikan",ROW($6:$1005)-5),500)),BidangList,0)),INDEX(checklistPesertaKemenkeu!$M$6:$M$1005,SMALL(IF(checklistPesertaKemenkeu!$AY$6:$AY$1005="Direkomendasikan",ROW($6:$1005)-5),500)))&gt;0,COUNTIF(INDIRECT("'KERTAS KERJA'!K"&amp;(SMALL(IF(checklistPesertaKemenkeu!$AY$6:$AY$1005="Direkomendasikan",ROW($6:$1005)-5),500)+5)&amp;":O"&amp;(SMALL(IF(checklistPesertaKemenkeu!$AY$6:$AY$1005="Direkomendasikan",ROW($6:$1005)-5),500)+5)),INDEX(checklistPesertaKemenkeu!$M$6:$M$1005,SMALL(IF(checklistPesertaKemenkeu!$AY$6:$AY$1005="Direkomendasikan",ROW($6:$1005)-5),500)))=1),IFERROR(VLOOKUP(INDEX(checklistPesertaKemenkeu!$M$6:$M$1005,SMALL(IF(checklistPesertaKemenkeu!$AY$6:$AY$1005="Direkomendasikan",ROW($6:$1005)-5),500)),KotaKode,2,0),"-"),"")),"")</f>
        <v/>
      </c>
      <c r="J501" t="str">
        <f t="array" aca="1" ref="J501" ca="1">IFERROR(IF(OR(INDEX(checklistPesertaKemenkeu!$N$6:$N$1005,SMALL(IF(checklistPesertaKemenkeu!$AY$6:$AY$1005="Direkomendasikan",ROW($6:$1005)-5),500))="",INDEX(checklistPesertaKemenkeu!$J$6:$J$1005,SMALL(IF(checklistPesertaKemenkeu!$AY$6:$AY$1005="Direkomendasikan",ROW($6:$1005)-5),500))=""),"",IF(AND(COUNTIF(INDIRECT("K_"&amp;MATCH(INDEX(checklistPesertaKemenkeu!$J$6:$J$1005,SMALL(IF(checklistPesertaKemenkeu!$AY$6:$AY$1005="Direkomendasikan",ROW($6:$1005)-5),500)),BidangList,0)),INDEX(checklistPesertaKemenkeu!$N$6:$N$1005,SMALL(IF(checklistPesertaKemenkeu!$AY$6:$AY$1005="Direkomendasikan",ROW($6:$1005)-5),500)))&gt;0,COUNTIF(INDIRECT("'KERTAS KERJA'!K"&amp;(SMALL(IF(checklistPesertaKemenkeu!$AY$6:$AY$1005="Direkomendasikan",ROW($6:$1005)-5),500)+5)&amp;":O"&amp;(SMALL(IF(checklistPesertaKemenkeu!$AY$6:$AY$1005="Direkomendasikan",ROW($6:$1005)-5),500)+5)),INDEX(checklistPesertaKemenkeu!$N$6:$N$1005,SMALL(IF(checklistPesertaKemenkeu!$AY$6:$AY$1005="Direkomendasikan",ROW($6:$1005)-5),500)))=1),IFERROR(VLOOKUP(INDEX(checklistPesertaKemenkeu!$N$6:$N$1005,SMALL(IF(checklistPesertaKemenkeu!$AY$6:$AY$1005="Direkomendasikan",ROW($6:$1005)-5),500)),KotaKode,2,0),"-"),"")),"")</f>
        <v/>
      </c>
      <c r="K501" t="str">
        <f t="array" aca="1" ref="K501" ca="1">IFERROR(IF(OR(INDEX(checklistPesertaKemenkeu!$O$6:$O$1005,SMALL(IF(checklistPesertaKemenkeu!$AY$6:$AY$1005="Direkomendasikan",ROW($6:$1005)-5),500))="",INDEX(checklistPesertaKemenkeu!$J$6:$J$1005,SMALL(IF(checklistPesertaKemenkeu!$AY$6:$AY$1005="Direkomendasikan",ROW($6:$1005)-5),500))=""),"",IF(AND(COUNTIF(INDIRECT("K_"&amp;MATCH(INDEX(checklistPesertaKemenkeu!$J$6:$J$1005,SMALL(IF(checklistPesertaKemenkeu!$AY$6:$AY$1005="Direkomendasikan",ROW($6:$1005)-5),500)),BidangList,0)),INDEX(checklistPesertaKemenkeu!$O$6:$O$1005,SMALL(IF(checklistPesertaKemenkeu!$AY$6:$AY$1005="Direkomendasikan",ROW($6:$1005)-5),500)))&gt;0,COUNTIF(INDIRECT("'KERTAS KERJA'!K"&amp;(SMALL(IF(checklistPesertaKemenkeu!$AY$6:$AY$1005="Direkomendasikan",ROW($6:$1005)-5),500)+5)&amp;":O"&amp;(SMALL(IF(checklistPesertaKemenkeu!$AY$6:$AY$1005="Direkomendasikan",ROW($6:$1005)-5),500)+5)),INDEX(checklistPesertaKemenkeu!$O$6:$O$1005,SMALL(IF(checklistPesertaKemenkeu!$AY$6:$AY$1005="Direkomendasikan",ROW($6:$1005)-5),500)))=1),IFERROR(VLOOKUP(INDEX(checklistPesertaKemenkeu!$O$6:$O$1005,SMALL(IF(checklistPesertaKemenkeu!$AY$6:$AY$1005="Direkomendasikan",ROW($6:$1005)-5),500)),KotaKode,2,0),"-"),"")),"")</f>
        <v/>
      </c>
      <c r="L501" t="str">
        <f t="array" aca="1" ref="L501" ca="1">IFERROR(IF(OR(INDEX(checklistPesertaKemenkeu!$P$6:$P$1005,SMALL(IF(checklistPesertaKemenkeu!$AY$6:$AY$1005="Direkomendasikan",ROW($6:$1005)-5),500))="",INDEX(checklistPesertaKemenkeu!$J$6:$J$1005,SMALL(IF(checklistPesertaKemenkeu!$AY$6:$AY$1005="Direkomendasikan",ROW($6:$1005)-5),500))=""),"",IF(AND(COUNTIF(INDIRECT("K_"&amp;MATCH(INDEX(checklistPesertaKemenkeu!$J$6:$J$1005,SMALL(IF(checklistPesertaKemenkeu!$AY$6:$AY$1005="Direkomendasikan",ROW($6:$1005)-5),500)),BidangList,0)),INDEX(checklistPesertaKemenkeu!$P$6:$P$1005,SMALL(IF(checklistPesertaKemenkeu!$AY$6:$AY$1005="Direkomendasikan",ROW($6:$1005)-5),500)))&gt;0,COUNTIF(INDIRECT("'KERTAS KERJA'!K"&amp;(SMALL(IF(checklistPesertaKemenkeu!$AY$6:$AY$1005="Direkomendasikan",ROW($6:$1005)-5),500)+5)&amp;":O"&amp;(SMALL(IF(checklistPesertaKemenkeu!$AY$6:$AY$1005="Direkomendasikan",ROW($6:$1005)-5),500)+5)),INDEX(checklistPesertaKemenkeu!$P$6:$P$1005,SMALL(IF(checklistPesertaKemenkeu!$AY$6:$AY$1005="Direkomendasikan",ROW($6:$1005)-5),500)))=1),IFERROR(VLOOKUP(INDEX(checklistPesertaKemenkeu!$P$6:$P$1005,SMALL(IF(checklistPesertaKemenkeu!$AY$6:$AY$1005="Direkomendasikan",ROW($6:$1005)-5),500)),KotaKode,2,0),"-"),"")),"")</f>
        <v/>
      </c>
    </row>
    <row r="502" spans="1:12" ht="15" customHeight="1" x14ac:dyDescent="0.2">
      <c r="A502" t="str">
        <f t="shared" si="7"/>
        <v/>
      </c>
      <c r="B502" t="str">
        <v/>
      </c>
      <c r="C502" s="40" t="str">
        <f t="array" ref="C502">IFERROR(INDEX(checklistPesertaKemenkeu!$F$6:$F$1005,SMALL(IF(checklistPesertaKemenkeu!$AY$6:$AY$1005="Direkomendasikan",ROW($6:$1005)-5),501)),"")</f>
        <v/>
      </c>
      <c r="D502" t="str">
        <f t="array" ref="D502">IFERROR(INDEX(checklistPesertaKemenkeu!$G$6:$G$1005,SMALL(IF(checklistPesertaKemenkeu!$AY$6:$AY$1005="Direkomendasikan",ROW($6:$1005)-5),501)),"")</f>
        <v/>
      </c>
      <c r="E502" t="str">
        <f t="array" ref="E502">IFERROR(INDEX(checklistPesertaKemenkeu!$H$6:$H$1005,SMALL(IF(checklistPesertaKemenkeu!$AY$6:$AY$1005="Direkomendasikan",ROW($6:$1005)-5),501)),"")</f>
        <v/>
      </c>
      <c r="F502" t="str">
        <f t="array" ref="F502">IFERROR(INDEX(checklistPesertaKemenkeu!$I$6:$I$1005,SMALL(IF(checklistPesertaKemenkeu!$AY$6:$AY$1005="Direkomendasikan",ROW($6:$1005)-5),501)),"")</f>
        <v/>
      </c>
      <c r="G502" t="str">
        <f t="array" ref="G502">IFERROR(INDEX(checklistPesertaKemenkeu!$J$6:$J$1005,SMALL(IF(checklistPesertaKemenkeu!$AY$6:$AY$1005="Direkomendasikan",ROW($6:$1005)-5),501)),"")</f>
        <v/>
      </c>
      <c r="H502" t="str">
        <f t="array" aca="1" ref="H502" ca="1">IFERROR(IF(OR(INDEX(checklistPesertaKemenkeu!$L$6:$L$1005,SMALL(IF(checklistPesertaKemenkeu!$AY$6:$AY$1005="Direkomendasikan",ROW($6:$1005)-5),501))="",INDEX(checklistPesertaKemenkeu!$J$6:$J$1005,SMALL(IF(checklistPesertaKemenkeu!$AY$6:$AY$1005="Direkomendasikan",ROW($6:$1005)-5),501))=""),"",IF(AND(COUNTIF(INDIRECT("K_"&amp;MATCH(INDEX(checklistPesertaKemenkeu!$J$6:$J$1005,SMALL(IF(checklistPesertaKemenkeu!$AY$6:$AY$1005="Direkomendasikan",ROW($6:$1005)-5),501)),BidangList,0)),INDEX(checklistPesertaKemenkeu!$L$6:$L$1005,SMALL(IF(checklistPesertaKemenkeu!$AY$6:$AY$1005="Direkomendasikan",ROW($6:$1005)-5),501)))&gt;0,COUNTIF(INDIRECT("'KERTAS KERJA'!K"&amp;(SMALL(IF(checklistPesertaKemenkeu!$AY$6:$AY$1005="Direkomendasikan",ROW($6:$1005)-5),501)+5)&amp;":O"&amp;(SMALL(IF(checklistPesertaKemenkeu!$AY$6:$AY$1005="Direkomendasikan",ROW($6:$1005)-5),501)+5)),INDEX(checklistPesertaKemenkeu!$L$6:$L$1005,SMALL(IF(checklistPesertaKemenkeu!$AY$6:$AY$1005="Direkomendasikan",ROW($6:$1005)-5),501)))=1),IFERROR(VLOOKUP(INDEX(checklistPesertaKemenkeu!$L$6:$L$1005,SMALL(IF(checklistPesertaKemenkeu!$AY$6:$AY$1005="Direkomendasikan",ROW($6:$1005)-5),501)),KotaKode,2,0),"-"),"")),"")</f>
        <v/>
      </c>
      <c r="I502" t="str">
        <f t="array" aca="1" ref="I502" ca="1">IFERROR(IF(OR(INDEX(checklistPesertaKemenkeu!$M$6:$M$1005,SMALL(IF(checklistPesertaKemenkeu!$AY$6:$AY$1005="Direkomendasikan",ROW($6:$1005)-5),501))="",INDEX(checklistPesertaKemenkeu!$J$6:$J$1005,SMALL(IF(checklistPesertaKemenkeu!$AY$6:$AY$1005="Direkomendasikan",ROW($6:$1005)-5),501))=""),"",IF(AND(COUNTIF(INDIRECT("K_"&amp;MATCH(INDEX(checklistPesertaKemenkeu!$J$6:$J$1005,SMALL(IF(checklistPesertaKemenkeu!$AY$6:$AY$1005="Direkomendasikan",ROW($6:$1005)-5),501)),BidangList,0)),INDEX(checklistPesertaKemenkeu!$M$6:$M$1005,SMALL(IF(checklistPesertaKemenkeu!$AY$6:$AY$1005="Direkomendasikan",ROW($6:$1005)-5),501)))&gt;0,COUNTIF(INDIRECT("'KERTAS KERJA'!K"&amp;(SMALL(IF(checklistPesertaKemenkeu!$AY$6:$AY$1005="Direkomendasikan",ROW($6:$1005)-5),501)+5)&amp;":O"&amp;(SMALL(IF(checklistPesertaKemenkeu!$AY$6:$AY$1005="Direkomendasikan",ROW($6:$1005)-5),501)+5)),INDEX(checklistPesertaKemenkeu!$M$6:$M$1005,SMALL(IF(checklistPesertaKemenkeu!$AY$6:$AY$1005="Direkomendasikan",ROW($6:$1005)-5),501)))=1),IFERROR(VLOOKUP(INDEX(checklistPesertaKemenkeu!$M$6:$M$1005,SMALL(IF(checklistPesertaKemenkeu!$AY$6:$AY$1005="Direkomendasikan",ROW($6:$1005)-5),501)),KotaKode,2,0),"-"),"")),"")</f>
        <v/>
      </c>
      <c r="J502" t="str">
        <f t="array" aca="1" ref="J502" ca="1">IFERROR(IF(OR(INDEX(checklistPesertaKemenkeu!$N$6:$N$1005,SMALL(IF(checklistPesertaKemenkeu!$AY$6:$AY$1005="Direkomendasikan",ROW($6:$1005)-5),501))="",INDEX(checklistPesertaKemenkeu!$J$6:$J$1005,SMALL(IF(checklistPesertaKemenkeu!$AY$6:$AY$1005="Direkomendasikan",ROW($6:$1005)-5),501))=""),"",IF(AND(COUNTIF(INDIRECT("K_"&amp;MATCH(INDEX(checklistPesertaKemenkeu!$J$6:$J$1005,SMALL(IF(checklistPesertaKemenkeu!$AY$6:$AY$1005="Direkomendasikan",ROW($6:$1005)-5),501)),BidangList,0)),INDEX(checklistPesertaKemenkeu!$N$6:$N$1005,SMALL(IF(checklistPesertaKemenkeu!$AY$6:$AY$1005="Direkomendasikan",ROW($6:$1005)-5),501)))&gt;0,COUNTIF(INDIRECT("'KERTAS KERJA'!K"&amp;(SMALL(IF(checklistPesertaKemenkeu!$AY$6:$AY$1005="Direkomendasikan",ROW($6:$1005)-5),501)+5)&amp;":O"&amp;(SMALL(IF(checklistPesertaKemenkeu!$AY$6:$AY$1005="Direkomendasikan",ROW($6:$1005)-5),501)+5)),INDEX(checklistPesertaKemenkeu!$N$6:$N$1005,SMALL(IF(checklistPesertaKemenkeu!$AY$6:$AY$1005="Direkomendasikan",ROW($6:$1005)-5),501)))=1),IFERROR(VLOOKUP(INDEX(checklistPesertaKemenkeu!$N$6:$N$1005,SMALL(IF(checklistPesertaKemenkeu!$AY$6:$AY$1005="Direkomendasikan",ROW($6:$1005)-5),501)),KotaKode,2,0),"-"),"")),"")</f>
        <v/>
      </c>
      <c r="K502" t="str">
        <f t="array" aca="1" ref="K502" ca="1">IFERROR(IF(OR(INDEX(checklistPesertaKemenkeu!$O$6:$O$1005,SMALL(IF(checklistPesertaKemenkeu!$AY$6:$AY$1005="Direkomendasikan",ROW($6:$1005)-5),501))="",INDEX(checklistPesertaKemenkeu!$J$6:$J$1005,SMALL(IF(checklistPesertaKemenkeu!$AY$6:$AY$1005="Direkomendasikan",ROW($6:$1005)-5),501))=""),"",IF(AND(COUNTIF(INDIRECT("K_"&amp;MATCH(INDEX(checklistPesertaKemenkeu!$J$6:$J$1005,SMALL(IF(checklistPesertaKemenkeu!$AY$6:$AY$1005="Direkomendasikan",ROW($6:$1005)-5),501)),BidangList,0)),INDEX(checklistPesertaKemenkeu!$O$6:$O$1005,SMALL(IF(checklistPesertaKemenkeu!$AY$6:$AY$1005="Direkomendasikan",ROW($6:$1005)-5),501)))&gt;0,COUNTIF(INDIRECT("'KERTAS KERJA'!K"&amp;(SMALL(IF(checklistPesertaKemenkeu!$AY$6:$AY$1005="Direkomendasikan",ROW($6:$1005)-5),501)+5)&amp;":O"&amp;(SMALL(IF(checklistPesertaKemenkeu!$AY$6:$AY$1005="Direkomendasikan",ROW($6:$1005)-5),501)+5)),INDEX(checklistPesertaKemenkeu!$O$6:$O$1005,SMALL(IF(checklistPesertaKemenkeu!$AY$6:$AY$1005="Direkomendasikan",ROW($6:$1005)-5),501)))=1),IFERROR(VLOOKUP(INDEX(checklistPesertaKemenkeu!$O$6:$O$1005,SMALL(IF(checklistPesertaKemenkeu!$AY$6:$AY$1005="Direkomendasikan",ROW($6:$1005)-5),501)),KotaKode,2,0),"-"),"")),"")</f>
        <v/>
      </c>
      <c r="L502" t="str">
        <f t="array" aca="1" ref="L502" ca="1">IFERROR(IF(OR(INDEX(checklistPesertaKemenkeu!$P$6:$P$1005,SMALL(IF(checklistPesertaKemenkeu!$AY$6:$AY$1005="Direkomendasikan",ROW($6:$1005)-5),501))="",INDEX(checklistPesertaKemenkeu!$J$6:$J$1005,SMALL(IF(checklistPesertaKemenkeu!$AY$6:$AY$1005="Direkomendasikan",ROW($6:$1005)-5),501))=""),"",IF(AND(COUNTIF(INDIRECT("K_"&amp;MATCH(INDEX(checklistPesertaKemenkeu!$J$6:$J$1005,SMALL(IF(checklistPesertaKemenkeu!$AY$6:$AY$1005="Direkomendasikan",ROW($6:$1005)-5),501)),BidangList,0)),INDEX(checklistPesertaKemenkeu!$P$6:$P$1005,SMALL(IF(checklistPesertaKemenkeu!$AY$6:$AY$1005="Direkomendasikan",ROW($6:$1005)-5),501)))&gt;0,COUNTIF(INDIRECT("'KERTAS KERJA'!K"&amp;(SMALL(IF(checklistPesertaKemenkeu!$AY$6:$AY$1005="Direkomendasikan",ROW($6:$1005)-5),501)+5)&amp;":O"&amp;(SMALL(IF(checklistPesertaKemenkeu!$AY$6:$AY$1005="Direkomendasikan",ROW($6:$1005)-5),501)+5)),INDEX(checklistPesertaKemenkeu!$P$6:$P$1005,SMALL(IF(checklistPesertaKemenkeu!$AY$6:$AY$1005="Direkomendasikan",ROW($6:$1005)-5),501)))=1),IFERROR(VLOOKUP(INDEX(checklistPesertaKemenkeu!$P$6:$P$1005,SMALL(IF(checklistPesertaKemenkeu!$AY$6:$AY$1005="Direkomendasikan",ROW($6:$1005)-5),501)),KotaKode,2,0),"-"),"")),"")</f>
        <v/>
      </c>
    </row>
    <row r="503" spans="1:12" ht="15" customHeight="1" x14ac:dyDescent="0.2">
      <c r="A503" t="str">
        <f t="shared" si="7"/>
        <v/>
      </c>
      <c r="B503" t="str">
        <v/>
      </c>
      <c r="C503" s="40" t="str">
        <f t="array" ref="C503">IFERROR(INDEX(checklistPesertaKemenkeu!$F$6:$F$1005,SMALL(IF(checklistPesertaKemenkeu!$AY$6:$AY$1005="Direkomendasikan",ROW($6:$1005)-5),502)),"")</f>
        <v/>
      </c>
      <c r="D503" t="str">
        <f t="array" ref="D503">IFERROR(INDEX(checklistPesertaKemenkeu!$G$6:$G$1005,SMALL(IF(checklistPesertaKemenkeu!$AY$6:$AY$1005="Direkomendasikan",ROW($6:$1005)-5),502)),"")</f>
        <v/>
      </c>
      <c r="E503" t="str">
        <f t="array" ref="E503">IFERROR(INDEX(checklistPesertaKemenkeu!$H$6:$H$1005,SMALL(IF(checklistPesertaKemenkeu!$AY$6:$AY$1005="Direkomendasikan",ROW($6:$1005)-5),502)),"")</f>
        <v/>
      </c>
      <c r="F503" t="str">
        <f t="array" ref="F503">IFERROR(INDEX(checklistPesertaKemenkeu!$I$6:$I$1005,SMALL(IF(checklistPesertaKemenkeu!$AY$6:$AY$1005="Direkomendasikan",ROW($6:$1005)-5),502)),"")</f>
        <v/>
      </c>
      <c r="G503" t="str">
        <f t="array" ref="G503">IFERROR(INDEX(checklistPesertaKemenkeu!$J$6:$J$1005,SMALL(IF(checklistPesertaKemenkeu!$AY$6:$AY$1005="Direkomendasikan",ROW($6:$1005)-5),502)),"")</f>
        <v/>
      </c>
      <c r="H503" t="str">
        <f t="array" aca="1" ref="H503" ca="1">IFERROR(IF(OR(INDEX(checklistPesertaKemenkeu!$L$6:$L$1005,SMALL(IF(checklistPesertaKemenkeu!$AY$6:$AY$1005="Direkomendasikan",ROW($6:$1005)-5),502))="",INDEX(checklistPesertaKemenkeu!$J$6:$J$1005,SMALL(IF(checklistPesertaKemenkeu!$AY$6:$AY$1005="Direkomendasikan",ROW($6:$1005)-5),502))=""),"",IF(AND(COUNTIF(INDIRECT("K_"&amp;MATCH(INDEX(checklistPesertaKemenkeu!$J$6:$J$1005,SMALL(IF(checklistPesertaKemenkeu!$AY$6:$AY$1005="Direkomendasikan",ROW($6:$1005)-5),502)),BidangList,0)),INDEX(checklistPesertaKemenkeu!$L$6:$L$1005,SMALL(IF(checklistPesertaKemenkeu!$AY$6:$AY$1005="Direkomendasikan",ROW($6:$1005)-5),502)))&gt;0,COUNTIF(INDIRECT("'KERTAS KERJA'!K"&amp;(SMALL(IF(checklistPesertaKemenkeu!$AY$6:$AY$1005="Direkomendasikan",ROW($6:$1005)-5),502)+5)&amp;":O"&amp;(SMALL(IF(checklistPesertaKemenkeu!$AY$6:$AY$1005="Direkomendasikan",ROW($6:$1005)-5),502)+5)),INDEX(checklistPesertaKemenkeu!$L$6:$L$1005,SMALL(IF(checklistPesertaKemenkeu!$AY$6:$AY$1005="Direkomendasikan",ROW($6:$1005)-5),502)))=1),IFERROR(VLOOKUP(INDEX(checklistPesertaKemenkeu!$L$6:$L$1005,SMALL(IF(checklistPesertaKemenkeu!$AY$6:$AY$1005="Direkomendasikan",ROW($6:$1005)-5),502)),KotaKode,2,0),"-"),"")),"")</f>
        <v/>
      </c>
      <c r="I503" t="str">
        <f t="array" aca="1" ref="I503" ca="1">IFERROR(IF(OR(INDEX(checklistPesertaKemenkeu!$M$6:$M$1005,SMALL(IF(checklistPesertaKemenkeu!$AY$6:$AY$1005="Direkomendasikan",ROW($6:$1005)-5),502))="",INDEX(checklistPesertaKemenkeu!$J$6:$J$1005,SMALL(IF(checklistPesertaKemenkeu!$AY$6:$AY$1005="Direkomendasikan",ROW($6:$1005)-5),502))=""),"",IF(AND(COUNTIF(INDIRECT("K_"&amp;MATCH(INDEX(checklistPesertaKemenkeu!$J$6:$J$1005,SMALL(IF(checklistPesertaKemenkeu!$AY$6:$AY$1005="Direkomendasikan",ROW($6:$1005)-5),502)),BidangList,0)),INDEX(checklistPesertaKemenkeu!$M$6:$M$1005,SMALL(IF(checklistPesertaKemenkeu!$AY$6:$AY$1005="Direkomendasikan",ROW($6:$1005)-5),502)))&gt;0,COUNTIF(INDIRECT("'KERTAS KERJA'!K"&amp;(SMALL(IF(checklistPesertaKemenkeu!$AY$6:$AY$1005="Direkomendasikan",ROW($6:$1005)-5),502)+5)&amp;":O"&amp;(SMALL(IF(checklistPesertaKemenkeu!$AY$6:$AY$1005="Direkomendasikan",ROW($6:$1005)-5),502)+5)),INDEX(checklistPesertaKemenkeu!$M$6:$M$1005,SMALL(IF(checklistPesertaKemenkeu!$AY$6:$AY$1005="Direkomendasikan",ROW($6:$1005)-5),502)))=1),IFERROR(VLOOKUP(INDEX(checklistPesertaKemenkeu!$M$6:$M$1005,SMALL(IF(checklistPesertaKemenkeu!$AY$6:$AY$1005="Direkomendasikan",ROW($6:$1005)-5),502)),KotaKode,2,0),"-"),"")),"")</f>
        <v/>
      </c>
      <c r="J503" t="str">
        <f t="array" aca="1" ref="J503" ca="1">IFERROR(IF(OR(INDEX(checklistPesertaKemenkeu!$N$6:$N$1005,SMALL(IF(checklistPesertaKemenkeu!$AY$6:$AY$1005="Direkomendasikan",ROW($6:$1005)-5),502))="",INDEX(checklistPesertaKemenkeu!$J$6:$J$1005,SMALL(IF(checklistPesertaKemenkeu!$AY$6:$AY$1005="Direkomendasikan",ROW($6:$1005)-5),502))=""),"",IF(AND(COUNTIF(INDIRECT("K_"&amp;MATCH(INDEX(checklistPesertaKemenkeu!$J$6:$J$1005,SMALL(IF(checklistPesertaKemenkeu!$AY$6:$AY$1005="Direkomendasikan",ROW($6:$1005)-5),502)),BidangList,0)),INDEX(checklistPesertaKemenkeu!$N$6:$N$1005,SMALL(IF(checklistPesertaKemenkeu!$AY$6:$AY$1005="Direkomendasikan",ROW($6:$1005)-5),502)))&gt;0,COUNTIF(INDIRECT("'KERTAS KERJA'!K"&amp;(SMALL(IF(checklistPesertaKemenkeu!$AY$6:$AY$1005="Direkomendasikan",ROW($6:$1005)-5),502)+5)&amp;":O"&amp;(SMALL(IF(checklistPesertaKemenkeu!$AY$6:$AY$1005="Direkomendasikan",ROW($6:$1005)-5),502)+5)),INDEX(checklistPesertaKemenkeu!$N$6:$N$1005,SMALL(IF(checklistPesertaKemenkeu!$AY$6:$AY$1005="Direkomendasikan",ROW($6:$1005)-5),502)))=1),IFERROR(VLOOKUP(INDEX(checklistPesertaKemenkeu!$N$6:$N$1005,SMALL(IF(checklistPesertaKemenkeu!$AY$6:$AY$1005="Direkomendasikan",ROW($6:$1005)-5),502)),KotaKode,2,0),"-"),"")),"")</f>
        <v/>
      </c>
      <c r="K503" t="str">
        <f t="array" aca="1" ref="K503" ca="1">IFERROR(IF(OR(INDEX(checklistPesertaKemenkeu!$O$6:$O$1005,SMALL(IF(checklistPesertaKemenkeu!$AY$6:$AY$1005="Direkomendasikan",ROW($6:$1005)-5),502))="",INDEX(checklistPesertaKemenkeu!$J$6:$J$1005,SMALL(IF(checklistPesertaKemenkeu!$AY$6:$AY$1005="Direkomendasikan",ROW($6:$1005)-5),502))=""),"",IF(AND(COUNTIF(INDIRECT("K_"&amp;MATCH(INDEX(checklistPesertaKemenkeu!$J$6:$J$1005,SMALL(IF(checklistPesertaKemenkeu!$AY$6:$AY$1005="Direkomendasikan",ROW($6:$1005)-5),502)),BidangList,0)),INDEX(checklistPesertaKemenkeu!$O$6:$O$1005,SMALL(IF(checklistPesertaKemenkeu!$AY$6:$AY$1005="Direkomendasikan",ROW($6:$1005)-5),502)))&gt;0,COUNTIF(INDIRECT("'KERTAS KERJA'!K"&amp;(SMALL(IF(checklistPesertaKemenkeu!$AY$6:$AY$1005="Direkomendasikan",ROW($6:$1005)-5),502)+5)&amp;":O"&amp;(SMALL(IF(checklistPesertaKemenkeu!$AY$6:$AY$1005="Direkomendasikan",ROW($6:$1005)-5),502)+5)),INDEX(checklistPesertaKemenkeu!$O$6:$O$1005,SMALL(IF(checklistPesertaKemenkeu!$AY$6:$AY$1005="Direkomendasikan",ROW($6:$1005)-5),502)))=1),IFERROR(VLOOKUP(INDEX(checklistPesertaKemenkeu!$O$6:$O$1005,SMALL(IF(checklistPesertaKemenkeu!$AY$6:$AY$1005="Direkomendasikan",ROW($6:$1005)-5),502)),KotaKode,2,0),"-"),"")),"")</f>
        <v/>
      </c>
      <c r="L503" t="str">
        <f t="array" aca="1" ref="L503" ca="1">IFERROR(IF(OR(INDEX(checklistPesertaKemenkeu!$P$6:$P$1005,SMALL(IF(checklistPesertaKemenkeu!$AY$6:$AY$1005="Direkomendasikan",ROW($6:$1005)-5),502))="",INDEX(checklistPesertaKemenkeu!$J$6:$J$1005,SMALL(IF(checklistPesertaKemenkeu!$AY$6:$AY$1005="Direkomendasikan",ROW($6:$1005)-5),502))=""),"",IF(AND(COUNTIF(INDIRECT("K_"&amp;MATCH(INDEX(checklistPesertaKemenkeu!$J$6:$J$1005,SMALL(IF(checklistPesertaKemenkeu!$AY$6:$AY$1005="Direkomendasikan",ROW($6:$1005)-5),502)),BidangList,0)),INDEX(checklistPesertaKemenkeu!$P$6:$P$1005,SMALL(IF(checklistPesertaKemenkeu!$AY$6:$AY$1005="Direkomendasikan",ROW($6:$1005)-5),502)))&gt;0,COUNTIF(INDIRECT("'KERTAS KERJA'!K"&amp;(SMALL(IF(checklistPesertaKemenkeu!$AY$6:$AY$1005="Direkomendasikan",ROW($6:$1005)-5),502)+5)&amp;":O"&amp;(SMALL(IF(checklistPesertaKemenkeu!$AY$6:$AY$1005="Direkomendasikan",ROW($6:$1005)-5),502)+5)),INDEX(checklistPesertaKemenkeu!$P$6:$P$1005,SMALL(IF(checklistPesertaKemenkeu!$AY$6:$AY$1005="Direkomendasikan",ROW($6:$1005)-5),502)))=1),IFERROR(VLOOKUP(INDEX(checklistPesertaKemenkeu!$P$6:$P$1005,SMALL(IF(checklistPesertaKemenkeu!$AY$6:$AY$1005="Direkomendasikan",ROW($6:$1005)-5),502)),KotaKode,2,0),"-"),"")),"")</f>
        <v/>
      </c>
    </row>
    <row r="504" spans="1:12" ht="15" customHeight="1" x14ac:dyDescent="0.2">
      <c r="A504" t="str">
        <f t="shared" si="7"/>
        <v/>
      </c>
      <c r="B504" t="str">
        <v/>
      </c>
      <c r="C504" s="40" t="str">
        <f t="array" ref="C504">IFERROR(INDEX(checklistPesertaKemenkeu!$F$6:$F$1005,SMALL(IF(checklistPesertaKemenkeu!$AY$6:$AY$1005="Direkomendasikan",ROW($6:$1005)-5),503)),"")</f>
        <v/>
      </c>
      <c r="D504" t="str">
        <f t="array" ref="D504">IFERROR(INDEX(checklistPesertaKemenkeu!$G$6:$G$1005,SMALL(IF(checklistPesertaKemenkeu!$AY$6:$AY$1005="Direkomendasikan",ROW($6:$1005)-5),503)),"")</f>
        <v/>
      </c>
      <c r="E504" t="str">
        <f t="array" ref="E504">IFERROR(INDEX(checklistPesertaKemenkeu!$H$6:$H$1005,SMALL(IF(checklistPesertaKemenkeu!$AY$6:$AY$1005="Direkomendasikan",ROW($6:$1005)-5),503)),"")</f>
        <v/>
      </c>
      <c r="F504" t="str">
        <f t="array" ref="F504">IFERROR(INDEX(checklistPesertaKemenkeu!$I$6:$I$1005,SMALL(IF(checklistPesertaKemenkeu!$AY$6:$AY$1005="Direkomendasikan",ROW($6:$1005)-5),503)),"")</f>
        <v/>
      </c>
      <c r="G504" t="str">
        <f t="array" ref="G504">IFERROR(INDEX(checklistPesertaKemenkeu!$J$6:$J$1005,SMALL(IF(checklistPesertaKemenkeu!$AY$6:$AY$1005="Direkomendasikan",ROW($6:$1005)-5),503)),"")</f>
        <v/>
      </c>
      <c r="H504" t="str">
        <f t="array" aca="1" ref="H504" ca="1">IFERROR(IF(OR(INDEX(checklistPesertaKemenkeu!$L$6:$L$1005,SMALL(IF(checklistPesertaKemenkeu!$AY$6:$AY$1005="Direkomendasikan",ROW($6:$1005)-5),503))="",INDEX(checklistPesertaKemenkeu!$J$6:$J$1005,SMALL(IF(checklistPesertaKemenkeu!$AY$6:$AY$1005="Direkomendasikan",ROW($6:$1005)-5),503))=""),"",IF(AND(COUNTIF(INDIRECT("K_"&amp;MATCH(INDEX(checklistPesertaKemenkeu!$J$6:$J$1005,SMALL(IF(checklistPesertaKemenkeu!$AY$6:$AY$1005="Direkomendasikan",ROW($6:$1005)-5),503)),BidangList,0)),INDEX(checklistPesertaKemenkeu!$L$6:$L$1005,SMALL(IF(checklistPesertaKemenkeu!$AY$6:$AY$1005="Direkomendasikan",ROW($6:$1005)-5),503)))&gt;0,COUNTIF(INDIRECT("'KERTAS KERJA'!K"&amp;(SMALL(IF(checklistPesertaKemenkeu!$AY$6:$AY$1005="Direkomendasikan",ROW($6:$1005)-5),503)+5)&amp;":O"&amp;(SMALL(IF(checklistPesertaKemenkeu!$AY$6:$AY$1005="Direkomendasikan",ROW($6:$1005)-5),503)+5)),INDEX(checklistPesertaKemenkeu!$L$6:$L$1005,SMALL(IF(checklistPesertaKemenkeu!$AY$6:$AY$1005="Direkomendasikan",ROW($6:$1005)-5),503)))=1),IFERROR(VLOOKUP(INDEX(checklistPesertaKemenkeu!$L$6:$L$1005,SMALL(IF(checklistPesertaKemenkeu!$AY$6:$AY$1005="Direkomendasikan",ROW($6:$1005)-5),503)),KotaKode,2,0),"-"),"")),"")</f>
        <v/>
      </c>
      <c r="I504" t="str">
        <f t="array" aca="1" ref="I504" ca="1">IFERROR(IF(OR(INDEX(checklistPesertaKemenkeu!$M$6:$M$1005,SMALL(IF(checklistPesertaKemenkeu!$AY$6:$AY$1005="Direkomendasikan",ROW($6:$1005)-5),503))="",INDEX(checklistPesertaKemenkeu!$J$6:$J$1005,SMALL(IF(checklistPesertaKemenkeu!$AY$6:$AY$1005="Direkomendasikan",ROW($6:$1005)-5),503))=""),"",IF(AND(COUNTIF(INDIRECT("K_"&amp;MATCH(INDEX(checklistPesertaKemenkeu!$J$6:$J$1005,SMALL(IF(checklistPesertaKemenkeu!$AY$6:$AY$1005="Direkomendasikan",ROW($6:$1005)-5),503)),BidangList,0)),INDEX(checklistPesertaKemenkeu!$M$6:$M$1005,SMALL(IF(checklistPesertaKemenkeu!$AY$6:$AY$1005="Direkomendasikan",ROW($6:$1005)-5),503)))&gt;0,COUNTIF(INDIRECT("'KERTAS KERJA'!K"&amp;(SMALL(IF(checklistPesertaKemenkeu!$AY$6:$AY$1005="Direkomendasikan",ROW($6:$1005)-5),503)+5)&amp;":O"&amp;(SMALL(IF(checklistPesertaKemenkeu!$AY$6:$AY$1005="Direkomendasikan",ROW($6:$1005)-5),503)+5)),INDEX(checklistPesertaKemenkeu!$M$6:$M$1005,SMALL(IF(checklistPesertaKemenkeu!$AY$6:$AY$1005="Direkomendasikan",ROW($6:$1005)-5),503)))=1),IFERROR(VLOOKUP(INDEX(checklistPesertaKemenkeu!$M$6:$M$1005,SMALL(IF(checklistPesertaKemenkeu!$AY$6:$AY$1005="Direkomendasikan",ROW($6:$1005)-5),503)),KotaKode,2,0),"-"),"")),"")</f>
        <v/>
      </c>
      <c r="J504" t="str">
        <f t="array" aca="1" ref="J504" ca="1">IFERROR(IF(OR(INDEX(checklistPesertaKemenkeu!$N$6:$N$1005,SMALL(IF(checklistPesertaKemenkeu!$AY$6:$AY$1005="Direkomendasikan",ROW($6:$1005)-5),503))="",INDEX(checklistPesertaKemenkeu!$J$6:$J$1005,SMALL(IF(checklistPesertaKemenkeu!$AY$6:$AY$1005="Direkomendasikan",ROW($6:$1005)-5),503))=""),"",IF(AND(COUNTIF(INDIRECT("K_"&amp;MATCH(INDEX(checklistPesertaKemenkeu!$J$6:$J$1005,SMALL(IF(checklistPesertaKemenkeu!$AY$6:$AY$1005="Direkomendasikan",ROW($6:$1005)-5),503)),BidangList,0)),INDEX(checklistPesertaKemenkeu!$N$6:$N$1005,SMALL(IF(checklistPesertaKemenkeu!$AY$6:$AY$1005="Direkomendasikan",ROW($6:$1005)-5),503)))&gt;0,COUNTIF(INDIRECT("'KERTAS KERJA'!K"&amp;(SMALL(IF(checklistPesertaKemenkeu!$AY$6:$AY$1005="Direkomendasikan",ROW($6:$1005)-5),503)+5)&amp;":O"&amp;(SMALL(IF(checklistPesertaKemenkeu!$AY$6:$AY$1005="Direkomendasikan",ROW($6:$1005)-5),503)+5)),INDEX(checklistPesertaKemenkeu!$N$6:$N$1005,SMALL(IF(checklistPesertaKemenkeu!$AY$6:$AY$1005="Direkomendasikan",ROW($6:$1005)-5),503)))=1),IFERROR(VLOOKUP(INDEX(checklistPesertaKemenkeu!$N$6:$N$1005,SMALL(IF(checklistPesertaKemenkeu!$AY$6:$AY$1005="Direkomendasikan",ROW($6:$1005)-5),503)),KotaKode,2,0),"-"),"")),"")</f>
        <v/>
      </c>
      <c r="K504" t="str">
        <f t="array" aca="1" ref="K504" ca="1">IFERROR(IF(OR(INDEX(checklistPesertaKemenkeu!$O$6:$O$1005,SMALL(IF(checklistPesertaKemenkeu!$AY$6:$AY$1005="Direkomendasikan",ROW($6:$1005)-5),503))="",INDEX(checklistPesertaKemenkeu!$J$6:$J$1005,SMALL(IF(checklistPesertaKemenkeu!$AY$6:$AY$1005="Direkomendasikan",ROW($6:$1005)-5),503))=""),"",IF(AND(COUNTIF(INDIRECT("K_"&amp;MATCH(INDEX(checklistPesertaKemenkeu!$J$6:$J$1005,SMALL(IF(checklistPesertaKemenkeu!$AY$6:$AY$1005="Direkomendasikan",ROW($6:$1005)-5),503)),BidangList,0)),INDEX(checklistPesertaKemenkeu!$O$6:$O$1005,SMALL(IF(checklistPesertaKemenkeu!$AY$6:$AY$1005="Direkomendasikan",ROW($6:$1005)-5),503)))&gt;0,COUNTIF(INDIRECT("'KERTAS KERJA'!K"&amp;(SMALL(IF(checklistPesertaKemenkeu!$AY$6:$AY$1005="Direkomendasikan",ROW($6:$1005)-5),503)+5)&amp;":O"&amp;(SMALL(IF(checklistPesertaKemenkeu!$AY$6:$AY$1005="Direkomendasikan",ROW($6:$1005)-5),503)+5)),INDEX(checklistPesertaKemenkeu!$O$6:$O$1005,SMALL(IF(checklistPesertaKemenkeu!$AY$6:$AY$1005="Direkomendasikan",ROW($6:$1005)-5),503)))=1),IFERROR(VLOOKUP(INDEX(checklistPesertaKemenkeu!$O$6:$O$1005,SMALL(IF(checklistPesertaKemenkeu!$AY$6:$AY$1005="Direkomendasikan",ROW($6:$1005)-5),503)),KotaKode,2,0),"-"),"")),"")</f>
        <v/>
      </c>
      <c r="L504" t="str">
        <f t="array" aca="1" ref="L504" ca="1">IFERROR(IF(OR(INDEX(checklistPesertaKemenkeu!$P$6:$P$1005,SMALL(IF(checklistPesertaKemenkeu!$AY$6:$AY$1005="Direkomendasikan",ROW($6:$1005)-5),503))="",INDEX(checklistPesertaKemenkeu!$J$6:$J$1005,SMALL(IF(checklistPesertaKemenkeu!$AY$6:$AY$1005="Direkomendasikan",ROW($6:$1005)-5),503))=""),"",IF(AND(COUNTIF(INDIRECT("K_"&amp;MATCH(INDEX(checklistPesertaKemenkeu!$J$6:$J$1005,SMALL(IF(checklistPesertaKemenkeu!$AY$6:$AY$1005="Direkomendasikan",ROW($6:$1005)-5),503)),BidangList,0)),INDEX(checklistPesertaKemenkeu!$P$6:$P$1005,SMALL(IF(checklistPesertaKemenkeu!$AY$6:$AY$1005="Direkomendasikan",ROW($6:$1005)-5),503)))&gt;0,COUNTIF(INDIRECT("'KERTAS KERJA'!K"&amp;(SMALL(IF(checklistPesertaKemenkeu!$AY$6:$AY$1005="Direkomendasikan",ROW($6:$1005)-5),503)+5)&amp;":O"&amp;(SMALL(IF(checklistPesertaKemenkeu!$AY$6:$AY$1005="Direkomendasikan",ROW($6:$1005)-5),503)+5)),INDEX(checklistPesertaKemenkeu!$P$6:$P$1005,SMALL(IF(checklistPesertaKemenkeu!$AY$6:$AY$1005="Direkomendasikan",ROW($6:$1005)-5),503)))=1),IFERROR(VLOOKUP(INDEX(checklistPesertaKemenkeu!$P$6:$P$1005,SMALL(IF(checklistPesertaKemenkeu!$AY$6:$AY$1005="Direkomendasikan",ROW($6:$1005)-5),503)),KotaKode,2,0),"-"),"")),"")</f>
        <v/>
      </c>
    </row>
    <row r="505" spans="1:12" ht="15" customHeight="1" x14ac:dyDescent="0.2">
      <c r="A505" t="str">
        <f t="shared" si="7"/>
        <v/>
      </c>
      <c r="B505" t="str">
        <v/>
      </c>
      <c r="C505" s="40" t="str">
        <f t="array" ref="C505">IFERROR(INDEX(checklistPesertaKemenkeu!$F$6:$F$1005,SMALL(IF(checklistPesertaKemenkeu!$AY$6:$AY$1005="Direkomendasikan",ROW($6:$1005)-5),504)),"")</f>
        <v/>
      </c>
      <c r="D505" t="str">
        <f t="array" ref="D505">IFERROR(INDEX(checklistPesertaKemenkeu!$G$6:$G$1005,SMALL(IF(checklistPesertaKemenkeu!$AY$6:$AY$1005="Direkomendasikan",ROW($6:$1005)-5),504)),"")</f>
        <v/>
      </c>
      <c r="E505" t="str">
        <f t="array" ref="E505">IFERROR(INDEX(checklistPesertaKemenkeu!$H$6:$H$1005,SMALL(IF(checklistPesertaKemenkeu!$AY$6:$AY$1005="Direkomendasikan",ROW($6:$1005)-5),504)),"")</f>
        <v/>
      </c>
      <c r="F505" t="str">
        <f t="array" ref="F505">IFERROR(INDEX(checklistPesertaKemenkeu!$I$6:$I$1005,SMALL(IF(checklistPesertaKemenkeu!$AY$6:$AY$1005="Direkomendasikan",ROW($6:$1005)-5),504)),"")</f>
        <v/>
      </c>
      <c r="G505" t="str">
        <f t="array" ref="G505">IFERROR(INDEX(checklistPesertaKemenkeu!$J$6:$J$1005,SMALL(IF(checklistPesertaKemenkeu!$AY$6:$AY$1005="Direkomendasikan",ROW($6:$1005)-5),504)),"")</f>
        <v/>
      </c>
      <c r="H505" t="str">
        <f t="array" aca="1" ref="H505" ca="1">IFERROR(IF(OR(INDEX(checklistPesertaKemenkeu!$L$6:$L$1005,SMALL(IF(checklistPesertaKemenkeu!$AY$6:$AY$1005="Direkomendasikan",ROW($6:$1005)-5),504))="",INDEX(checklistPesertaKemenkeu!$J$6:$J$1005,SMALL(IF(checklistPesertaKemenkeu!$AY$6:$AY$1005="Direkomendasikan",ROW($6:$1005)-5),504))=""),"",IF(AND(COUNTIF(INDIRECT("K_"&amp;MATCH(INDEX(checklistPesertaKemenkeu!$J$6:$J$1005,SMALL(IF(checklistPesertaKemenkeu!$AY$6:$AY$1005="Direkomendasikan",ROW($6:$1005)-5),504)),BidangList,0)),INDEX(checklistPesertaKemenkeu!$L$6:$L$1005,SMALL(IF(checklistPesertaKemenkeu!$AY$6:$AY$1005="Direkomendasikan",ROW($6:$1005)-5),504)))&gt;0,COUNTIF(INDIRECT("'KERTAS KERJA'!K"&amp;(SMALL(IF(checklistPesertaKemenkeu!$AY$6:$AY$1005="Direkomendasikan",ROW($6:$1005)-5),504)+5)&amp;":O"&amp;(SMALL(IF(checklistPesertaKemenkeu!$AY$6:$AY$1005="Direkomendasikan",ROW($6:$1005)-5),504)+5)),INDEX(checklistPesertaKemenkeu!$L$6:$L$1005,SMALL(IF(checklistPesertaKemenkeu!$AY$6:$AY$1005="Direkomendasikan",ROW($6:$1005)-5),504)))=1),IFERROR(VLOOKUP(INDEX(checklistPesertaKemenkeu!$L$6:$L$1005,SMALL(IF(checklistPesertaKemenkeu!$AY$6:$AY$1005="Direkomendasikan",ROW($6:$1005)-5),504)),KotaKode,2,0),"-"),"")),"")</f>
        <v/>
      </c>
      <c r="I505" t="str">
        <f t="array" aca="1" ref="I505" ca="1">IFERROR(IF(OR(INDEX(checklistPesertaKemenkeu!$M$6:$M$1005,SMALL(IF(checklistPesertaKemenkeu!$AY$6:$AY$1005="Direkomendasikan",ROW($6:$1005)-5),504))="",INDEX(checklistPesertaKemenkeu!$J$6:$J$1005,SMALL(IF(checklistPesertaKemenkeu!$AY$6:$AY$1005="Direkomendasikan",ROW($6:$1005)-5),504))=""),"",IF(AND(COUNTIF(INDIRECT("K_"&amp;MATCH(INDEX(checklistPesertaKemenkeu!$J$6:$J$1005,SMALL(IF(checklistPesertaKemenkeu!$AY$6:$AY$1005="Direkomendasikan",ROW($6:$1005)-5),504)),BidangList,0)),INDEX(checklistPesertaKemenkeu!$M$6:$M$1005,SMALL(IF(checklistPesertaKemenkeu!$AY$6:$AY$1005="Direkomendasikan",ROW($6:$1005)-5),504)))&gt;0,COUNTIF(INDIRECT("'KERTAS KERJA'!K"&amp;(SMALL(IF(checklistPesertaKemenkeu!$AY$6:$AY$1005="Direkomendasikan",ROW($6:$1005)-5),504)+5)&amp;":O"&amp;(SMALL(IF(checklistPesertaKemenkeu!$AY$6:$AY$1005="Direkomendasikan",ROW($6:$1005)-5),504)+5)),INDEX(checklistPesertaKemenkeu!$M$6:$M$1005,SMALL(IF(checklistPesertaKemenkeu!$AY$6:$AY$1005="Direkomendasikan",ROW($6:$1005)-5),504)))=1),IFERROR(VLOOKUP(INDEX(checklistPesertaKemenkeu!$M$6:$M$1005,SMALL(IF(checklistPesertaKemenkeu!$AY$6:$AY$1005="Direkomendasikan",ROW($6:$1005)-5),504)),KotaKode,2,0),"-"),"")),"")</f>
        <v/>
      </c>
      <c r="J505" t="str">
        <f t="array" aca="1" ref="J505" ca="1">IFERROR(IF(OR(INDEX(checklistPesertaKemenkeu!$N$6:$N$1005,SMALL(IF(checklistPesertaKemenkeu!$AY$6:$AY$1005="Direkomendasikan",ROW($6:$1005)-5),504))="",INDEX(checklistPesertaKemenkeu!$J$6:$J$1005,SMALL(IF(checklistPesertaKemenkeu!$AY$6:$AY$1005="Direkomendasikan",ROW($6:$1005)-5),504))=""),"",IF(AND(COUNTIF(INDIRECT("K_"&amp;MATCH(INDEX(checklistPesertaKemenkeu!$J$6:$J$1005,SMALL(IF(checklistPesertaKemenkeu!$AY$6:$AY$1005="Direkomendasikan",ROW($6:$1005)-5),504)),BidangList,0)),INDEX(checklistPesertaKemenkeu!$N$6:$N$1005,SMALL(IF(checklistPesertaKemenkeu!$AY$6:$AY$1005="Direkomendasikan",ROW($6:$1005)-5),504)))&gt;0,COUNTIF(INDIRECT("'KERTAS KERJA'!K"&amp;(SMALL(IF(checklistPesertaKemenkeu!$AY$6:$AY$1005="Direkomendasikan",ROW($6:$1005)-5),504)+5)&amp;":O"&amp;(SMALL(IF(checklistPesertaKemenkeu!$AY$6:$AY$1005="Direkomendasikan",ROW($6:$1005)-5),504)+5)),INDEX(checklistPesertaKemenkeu!$N$6:$N$1005,SMALL(IF(checklistPesertaKemenkeu!$AY$6:$AY$1005="Direkomendasikan",ROW($6:$1005)-5),504)))=1),IFERROR(VLOOKUP(INDEX(checklistPesertaKemenkeu!$N$6:$N$1005,SMALL(IF(checklistPesertaKemenkeu!$AY$6:$AY$1005="Direkomendasikan",ROW($6:$1005)-5),504)),KotaKode,2,0),"-"),"")),"")</f>
        <v/>
      </c>
      <c r="K505" t="str">
        <f t="array" aca="1" ref="K505" ca="1">IFERROR(IF(OR(INDEX(checklistPesertaKemenkeu!$O$6:$O$1005,SMALL(IF(checklistPesertaKemenkeu!$AY$6:$AY$1005="Direkomendasikan",ROW($6:$1005)-5),504))="",INDEX(checklistPesertaKemenkeu!$J$6:$J$1005,SMALL(IF(checklistPesertaKemenkeu!$AY$6:$AY$1005="Direkomendasikan",ROW($6:$1005)-5),504))=""),"",IF(AND(COUNTIF(INDIRECT("K_"&amp;MATCH(INDEX(checklistPesertaKemenkeu!$J$6:$J$1005,SMALL(IF(checklistPesertaKemenkeu!$AY$6:$AY$1005="Direkomendasikan",ROW($6:$1005)-5),504)),BidangList,0)),INDEX(checklistPesertaKemenkeu!$O$6:$O$1005,SMALL(IF(checklistPesertaKemenkeu!$AY$6:$AY$1005="Direkomendasikan",ROW($6:$1005)-5),504)))&gt;0,COUNTIF(INDIRECT("'KERTAS KERJA'!K"&amp;(SMALL(IF(checklistPesertaKemenkeu!$AY$6:$AY$1005="Direkomendasikan",ROW($6:$1005)-5),504)+5)&amp;":O"&amp;(SMALL(IF(checklistPesertaKemenkeu!$AY$6:$AY$1005="Direkomendasikan",ROW($6:$1005)-5),504)+5)),INDEX(checklistPesertaKemenkeu!$O$6:$O$1005,SMALL(IF(checklistPesertaKemenkeu!$AY$6:$AY$1005="Direkomendasikan",ROW($6:$1005)-5),504)))=1),IFERROR(VLOOKUP(INDEX(checklistPesertaKemenkeu!$O$6:$O$1005,SMALL(IF(checklistPesertaKemenkeu!$AY$6:$AY$1005="Direkomendasikan",ROW($6:$1005)-5),504)),KotaKode,2,0),"-"),"")),"")</f>
        <v/>
      </c>
      <c r="L505" t="str">
        <f t="array" aca="1" ref="L505" ca="1">IFERROR(IF(OR(INDEX(checklistPesertaKemenkeu!$P$6:$P$1005,SMALL(IF(checklistPesertaKemenkeu!$AY$6:$AY$1005="Direkomendasikan",ROW($6:$1005)-5),504))="",INDEX(checklistPesertaKemenkeu!$J$6:$J$1005,SMALL(IF(checklistPesertaKemenkeu!$AY$6:$AY$1005="Direkomendasikan",ROW($6:$1005)-5),504))=""),"",IF(AND(COUNTIF(INDIRECT("K_"&amp;MATCH(INDEX(checklistPesertaKemenkeu!$J$6:$J$1005,SMALL(IF(checklistPesertaKemenkeu!$AY$6:$AY$1005="Direkomendasikan",ROW($6:$1005)-5),504)),BidangList,0)),INDEX(checklistPesertaKemenkeu!$P$6:$P$1005,SMALL(IF(checklistPesertaKemenkeu!$AY$6:$AY$1005="Direkomendasikan",ROW($6:$1005)-5),504)))&gt;0,COUNTIF(INDIRECT("'KERTAS KERJA'!K"&amp;(SMALL(IF(checklistPesertaKemenkeu!$AY$6:$AY$1005="Direkomendasikan",ROW($6:$1005)-5),504)+5)&amp;":O"&amp;(SMALL(IF(checklistPesertaKemenkeu!$AY$6:$AY$1005="Direkomendasikan",ROW($6:$1005)-5),504)+5)),INDEX(checklistPesertaKemenkeu!$P$6:$P$1005,SMALL(IF(checklistPesertaKemenkeu!$AY$6:$AY$1005="Direkomendasikan",ROW($6:$1005)-5),504)))=1),IFERROR(VLOOKUP(INDEX(checklistPesertaKemenkeu!$P$6:$P$1005,SMALL(IF(checklistPesertaKemenkeu!$AY$6:$AY$1005="Direkomendasikan",ROW($6:$1005)-5),504)),KotaKode,2,0),"-"),"")),"")</f>
        <v/>
      </c>
    </row>
    <row r="506" spans="1:12" ht="15" customHeight="1" x14ac:dyDescent="0.2">
      <c r="A506" t="str">
        <f t="shared" si="7"/>
        <v/>
      </c>
      <c r="B506" t="str">
        <v/>
      </c>
      <c r="C506" s="40" t="str">
        <f t="array" ref="C506">IFERROR(INDEX(checklistPesertaKemenkeu!$F$6:$F$1005,SMALL(IF(checklistPesertaKemenkeu!$AY$6:$AY$1005="Direkomendasikan",ROW($6:$1005)-5),505)),"")</f>
        <v/>
      </c>
      <c r="D506" t="str">
        <f t="array" ref="D506">IFERROR(INDEX(checklistPesertaKemenkeu!$G$6:$G$1005,SMALL(IF(checklistPesertaKemenkeu!$AY$6:$AY$1005="Direkomendasikan",ROW($6:$1005)-5),505)),"")</f>
        <v/>
      </c>
      <c r="E506" t="str">
        <f t="array" ref="E506">IFERROR(INDEX(checklistPesertaKemenkeu!$H$6:$H$1005,SMALL(IF(checklistPesertaKemenkeu!$AY$6:$AY$1005="Direkomendasikan",ROW($6:$1005)-5),505)),"")</f>
        <v/>
      </c>
      <c r="F506" t="str">
        <f t="array" ref="F506">IFERROR(INDEX(checklistPesertaKemenkeu!$I$6:$I$1005,SMALL(IF(checklistPesertaKemenkeu!$AY$6:$AY$1005="Direkomendasikan",ROW($6:$1005)-5),505)),"")</f>
        <v/>
      </c>
      <c r="G506" t="str">
        <f t="array" ref="G506">IFERROR(INDEX(checklistPesertaKemenkeu!$J$6:$J$1005,SMALL(IF(checklistPesertaKemenkeu!$AY$6:$AY$1005="Direkomendasikan",ROW($6:$1005)-5),505)),"")</f>
        <v/>
      </c>
      <c r="H506" t="str">
        <f t="array" aca="1" ref="H506" ca="1">IFERROR(IF(OR(INDEX(checklistPesertaKemenkeu!$L$6:$L$1005,SMALL(IF(checklistPesertaKemenkeu!$AY$6:$AY$1005="Direkomendasikan",ROW($6:$1005)-5),505))="",INDEX(checklistPesertaKemenkeu!$J$6:$J$1005,SMALL(IF(checklistPesertaKemenkeu!$AY$6:$AY$1005="Direkomendasikan",ROW($6:$1005)-5),505))=""),"",IF(AND(COUNTIF(INDIRECT("K_"&amp;MATCH(INDEX(checklistPesertaKemenkeu!$J$6:$J$1005,SMALL(IF(checklistPesertaKemenkeu!$AY$6:$AY$1005="Direkomendasikan",ROW($6:$1005)-5),505)),BidangList,0)),INDEX(checklistPesertaKemenkeu!$L$6:$L$1005,SMALL(IF(checklistPesertaKemenkeu!$AY$6:$AY$1005="Direkomendasikan",ROW($6:$1005)-5),505)))&gt;0,COUNTIF(INDIRECT("'KERTAS KERJA'!K"&amp;(SMALL(IF(checklistPesertaKemenkeu!$AY$6:$AY$1005="Direkomendasikan",ROW($6:$1005)-5),505)+5)&amp;":O"&amp;(SMALL(IF(checklistPesertaKemenkeu!$AY$6:$AY$1005="Direkomendasikan",ROW($6:$1005)-5),505)+5)),INDEX(checklistPesertaKemenkeu!$L$6:$L$1005,SMALL(IF(checklistPesertaKemenkeu!$AY$6:$AY$1005="Direkomendasikan",ROW($6:$1005)-5),505)))=1),IFERROR(VLOOKUP(INDEX(checklistPesertaKemenkeu!$L$6:$L$1005,SMALL(IF(checklistPesertaKemenkeu!$AY$6:$AY$1005="Direkomendasikan",ROW($6:$1005)-5),505)),KotaKode,2,0),"-"),"")),"")</f>
        <v/>
      </c>
      <c r="I506" t="str">
        <f t="array" aca="1" ref="I506" ca="1">IFERROR(IF(OR(INDEX(checklistPesertaKemenkeu!$M$6:$M$1005,SMALL(IF(checklistPesertaKemenkeu!$AY$6:$AY$1005="Direkomendasikan",ROW($6:$1005)-5),505))="",INDEX(checklistPesertaKemenkeu!$J$6:$J$1005,SMALL(IF(checklistPesertaKemenkeu!$AY$6:$AY$1005="Direkomendasikan",ROW($6:$1005)-5),505))=""),"",IF(AND(COUNTIF(INDIRECT("K_"&amp;MATCH(INDEX(checklistPesertaKemenkeu!$J$6:$J$1005,SMALL(IF(checklistPesertaKemenkeu!$AY$6:$AY$1005="Direkomendasikan",ROW($6:$1005)-5),505)),BidangList,0)),INDEX(checklistPesertaKemenkeu!$M$6:$M$1005,SMALL(IF(checklistPesertaKemenkeu!$AY$6:$AY$1005="Direkomendasikan",ROW($6:$1005)-5),505)))&gt;0,COUNTIF(INDIRECT("'KERTAS KERJA'!K"&amp;(SMALL(IF(checklistPesertaKemenkeu!$AY$6:$AY$1005="Direkomendasikan",ROW($6:$1005)-5),505)+5)&amp;":O"&amp;(SMALL(IF(checklistPesertaKemenkeu!$AY$6:$AY$1005="Direkomendasikan",ROW($6:$1005)-5),505)+5)),INDEX(checklistPesertaKemenkeu!$M$6:$M$1005,SMALL(IF(checklistPesertaKemenkeu!$AY$6:$AY$1005="Direkomendasikan",ROW($6:$1005)-5),505)))=1),IFERROR(VLOOKUP(INDEX(checklistPesertaKemenkeu!$M$6:$M$1005,SMALL(IF(checklistPesertaKemenkeu!$AY$6:$AY$1005="Direkomendasikan",ROW($6:$1005)-5),505)),KotaKode,2,0),"-"),"")),"")</f>
        <v/>
      </c>
      <c r="J506" t="str">
        <f t="array" aca="1" ref="J506" ca="1">IFERROR(IF(OR(INDEX(checklistPesertaKemenkeu!$N$6:$N$1005,SMALL(IF(checklistPesertaKemenkeu!$AY$6:$AY$1005="Direkomendasikan",ROW($6:$1005)-5),505))="",INDEX(checklistPesertaKemenkeu!$J$6:$J$1005,SMALL(IF(checklistPesertaKemenkeu!$AY$6:$AY$1005="Direkomendasikan",ROW($6:$1005)-5),505))=""),"",IF(AND(COUNTIF(INDIRECT("K_"&amp;MATCH(INDEX(checklistPesertaKemenkeu!$J$6:$J$1005,SMALL(IF(checklistPesertaKemenkeu!$AY$6:$AY$1005="Direkomendasikan",ROW($6:$1005)-5),505)),BidangList,0)),INDEX(checklistPesertaKemenkeu!$N$6:$N$1005,SMALL(IF(checklistPesertaKemenkeu!$AY$6:$AY$1005="Direkomendasikan",ROW($6:$1005)-5),505)))&gt;0,COUNTIF(INDIRECT("'KERTAS KERJA'!K"&amp;(SMALL(IF(checklistPesertaKemenkeu!$AY$6:$AY$1005="Direkomendasikan",ROW($6:$1005)-5),505)+5)&amp;":O"&amp;(SMALL(IF(checklistPesertaKemenkeu!$AY$6:$AY$1005="Direkomendasikan",ROW($6:$1005)-5),505)+5)),INDEX(checklistPesertaKemenkeu!$N$6:$N$1005,SMALL(IF(checklistPesertaKemenkeu!$AY$6:$AY$1005="Direkomendasikan",ROW($6:$1005)-5),505)))=1),IFERROR(VLOOKUP(INDEX(checklistPesertaKemenkeu!$N$6:$N$1005,SMALL(IF(checklistPesertaKemenkeu!$AY$6:$AY$1005="Direkomendasikan",ROW($6:$1005)-5),505)),KotaKode,2,0),"-"),"")),"")</f>
        <v/>
      </c>
      <c r="K506" t="str">
        <f t="array" aca="1" ref="K506" ca="1">IFERROR(IF(OR(INDEX(checklistPesertaKemenkeu!$O$6:$O$1005,SMALL(IF(checklistPesertaKemenkeu!$AY$6:$AY$1005="Direkomendasikan",ROW($6:$1005)-5),505))="",INDEX(checklistPesertaKemenkeu!$J$6:$J$1005,SMALL(IF(checklistPesertaKemenkeu!$AY$6:$AY$1005="Direkomendasikan",ROW($6:$1005)-5),505))=""),"",IF(AND(COUNTIF(INDIRECT("K_"&amp;MATCH(INDEX(checklistPesertaKemenkeu!$J$6:$J$1005,SMALL(IF(checklistPesertaKemenkeu!$AY$6:$AY$1005="Direkomendasikan",ROW($6:$1005)-5),505)),BidangList,0)),INDEX(checklistPesertaKemenkeu!$O$6:$O$1005,SMALL(IF(checklistPesertaKemenkeu!$AY$6:$AY$1005="Direkomendasikan",ROW($6:$1005)-5),505)))&gt;0,COUNTIF(INDIRECT("'KERTAS KERJA'!K"&amp;(SMALL(IF(checklistPesertaKemenkeu!$AY$6:$AY$1005="Direkomendasikan",ROW($6:$1005)-5),505)+5)&amp;":O"&amp;(SMALL(IF(checklistPesertaKemenkeu!$AY$6:$AY$1005="Direkomendasikan",ROW($6:$1005)-5),505)+5)),INDEX(checklistPesertaKemenkeu!$O$6:$O$1005,SMALL(IF(checklistPesertaKemenkeu!$AY$6:$AY$1005="Direkomendasikan",ROW($6:$1005)-5),505)))=1),IFERROR(VLOOKUP(INDEX(checklistPesertaKemenkeu!$O$6:$O$1005,SMALL(IF(checklistPesertaKemenkeu!$AY$6:$AY$1005="Direkomendasikan",ROW($6:$1005)-5),505)),KotaKode,2,0),"-"),"")),"")</f>
        <v/>
      </c>
      <c r="L506" t="str">
        <f t="array" aca="1" ref="L506" ca="1">IFERROR(IF(OR(INDEX(checklistPesertaKemenkeu!$P$6:$P$1005,SMALL(IF(checklistPesertaKemenkeu!$AY$6:$AY$1005="Direkomendasikan",ROW($6:$1005)-5),505))="",INDEX(checklistPesertaKemenkeu!$J$6:$J$1005,SMALL(IF(checklistPesertaKemenkeu!$AY$6:$AY$1005="Direkomendasikan",ROW($6:$1005)-5),505))=""),"",IF(AND(COUNTIF(INDIRECT("K_"&amp;MATCH(INDEX(checklistPesertaKemenkeu!$J$6:$J$1005,SMALL(IF(checklistPesertaKemenkeu!$AY$6:$AY$1005="Direkomendasikan",ROW($6:$1005)-5),505)),BidangList,0)),INDEX(checklistPesertaKemenkeu!$P$6:$P$1005,SMALL(IF(checklistPesertaKemenkeu!$AY$6:$AY$1005="Direkomendasikan",ROW($6:$1005)-5),505)))&gt;0,COUNTIF(INDIRECT("'KERTAS KERJA'!K"&amp;(SMALL(IF(checklistPesertaKemenkeu!$AY$6:$AY$1005="Direkomendasikan",ROW($6:$1005)-5),505)+5)&amp;":O"&amp;(SMALL(IF(checklistPesertaKemenkeu!$AY$6:$AY$1005="Direkomendasikan",ROW($6:$1005)-5),505)+5)),INDEX(checklistPesertaKemenkeu!$P$6:$P$1005,SMALL(IF(checklistPesertaKemenkeu!$AY$6:$AY$1005="Direkomendasikan",ROW($6:$1005)-5),505)))=1),IFERROR(VLOOKUP(INDEX(checklistPesertaKemenkeu!$P$6:$P$1005,SMALL(IF(checklistPesertaKemenkeu!$AY$6:$AY$1005="Direkomendasikan",ROW($6:$1005)-5),505)),KotaKode,2,0),"-"),"")),"")</f>
        <v/>
      </c>
    </row>
    <row r="507" spans="1:12" ht="15" customHeight="1" x14ac:dyDescent="0.2">
      <c r="A507" t="str">
        <f t="shared" si="7"/>
        <v/>
      </c>
      <c r="B507" t="str">
        <v/>
      </c>
      <c r="C507" s="40" t="str">
        <f t="array" ref="C507">IFERROR(INDEX(checklistPesertaKemenkeu!$F$6:$F$1005,SMALL(IF(checklistPesertaKemenkeu!$AY$6:$AY$1005="Direkomendasikan",ROW($6:$1005)-5),506)),"")</f>
        <v/>
      </c>
      <c r="D507" t="str">
        <f t="array" ref="D507">IFERROR(INDEX(checklistPesertaKemenkeu!$G$6:$G$1005,SMALL(IF(checklistPesertaKemenkeu!$AY$6:$AY$1005="Direkomendasikan",ROW($6:$1005)-5),506)),"")</f>
        <v/>
      </c>
      <c r="E507" t="str">
        <f t="array" ref="E507">IFERROR(INDEX(checklistPesertaKemenkeu!$H$6:$H$1005,SMALL(IF(checklistPesertaKemenkeu!$AY$6:$AY$1005="Direkomendasikan",ROW($6:$1005)-5),506)),"")</f>
        <v/>
      </c>
      <c r="F507" t="str">
        <f t="array" ref="F507">IFERROR(INDEX(checklistPesertaKemenkeu!$I$6:$I$1005,SMALL(IF(checklistPesertaKemenkeu!$AY$6:$AY$1005="Direkomendasikan",ROW($6:$1005)-5),506)),"")</f>
        <v/>
      </c>
      <c r="G507" t="str">
        <f t="array" ref="G507">IFERROR(INDEX(checklistPesertaKemenkeu!$J$6:$J$1005,SMALL(IF(checklistPesertaKemenkeu!$AY$6:$AY$1005="Direkomendasikan",ROW($6:$1005)-5),506)),"")</f>
        <v/>
      </c>
      <c r="H507" t="str">
        <f t="array" aca="1" ref="H507" ca="1">IFERROR(IF(OR(INDEX(checklistPesertaKemenkeu!$L$6:$L$1005,SMALL(IF(checklistPesertaKemenkeu!$AY$6:$AY$1005="Direkomendasikan",ROW($6:$1005)-5),506))="",INDEX(checklistPesertaKemenkeu!$J$6:$J$1005,SMALL(IF(checklistPesertaKemenkeu!$AY$6:$AY$1005="Direkomendasikan",ROW($6:$1005)-5),506))=""),"",IF(AND(COUNTIF(INDIRECT("K_"&amp;MATCH(INDEX(checklistPesertaKemenkeu!$J$6:$J$1005,SMALL(IF(checklistPesertaKemenkeu!$AY$6:$AY$1005="Direkomendasikan",ROW($6:$1005)-5),506)),BidangList,0)),INDEX(checklistPesertaKemenkeu!$L$6:$L$1005,SMALL(IF(checklistPesertaKemenkeu!$AY$6:$AY$1005="Direkomendasikan",ROW($6:$1005)-5),506)))&gt;0,COUNTIF(INDIRECT("'KERTAS KERJA'!K"&amp;(SMALL(IF(checklistPesertaKemenkeu!$AY$6:$AY$1005="Direkomendasikan",ROW($6:$1005)-5),506)+5)&amp;":O"&amp;(SMALL(IF(checklistPesertaKemenkeu!$AY$6:$AY$1005="Direkomendasikan",ROW($6:$1005)-5),506)+5)),INDEX(checklistPesertaKemenkeu!$L$6:$L$1005,SMALL(IF(checklistPesertaKemenkeu!$AY$6:$AY$1005="Direkomendasikan",ROW($6:$1005)-5),506)))=1),IFERROR(VLOOKUP(INDEX(checklistPesertaKemenkeu!$L$6:$L$1005,SMALL(IF(checklistPesertaKemenkeu!$AY$6:$AY$1005="Direkomendasikan",ROW($6:$1005)-5),506)),KotaKode,2,0),"-"),"")),"")</f>
        <v/>
      </c>
      <c r="I507" t="str">
        <f t="array" aca="1" ref="I507" ca="1">IFERROR(IF(OR(INDEX(checklistPesertaKemenkeu!$M$6:$M$1005,SMALL(IF(checklistPesertaKemenkeu!$AY$6:$AY$1005="Direkomendasikan",ROW($6:$1005)-5),506))="",INDEX(checklistPesertaKemenkeu!$J$6:$J$1005,SMALL(IF(checklistPesertaKemenkeu!$AY$6:$AY$1005="Direkomendasikan",ROW($6:$1005)-5),506))=""),"",IF(AND(COUNTIF(INDIRECT("K_"&amp;MATCH(INDEX(checklistPesertaKemenkeu!$J$6:$J$1005,SMALL(IF(checklistPesertaKemenkeu!$AY$6:$AY$1005="Direkomendasikan",ROW($6:$1005)-5),506)),BidangList,0)),INDEX(checklistPesertaKemenkeu!$M$6:$M$1005,SMALL(IF(checklistPesertaKemenkeu!$AY$6:$AY$1005="Direkomendasikan",ROW($6:$1005)-5),506)))&gt;0,COUNTIF(INDIRECT("'KERTAS KERJA'!K"&amp;(SMALL(IF(checklistPesertaKemenkeu!$AY$6:$AY$1005="Direkomendasikan",ROW($6:$1005)-5),506)+5)&amp;":O"&amp;(SMALL(IF(checklistPesertaKemenkeu!$AY$6:$AY$1005="Direkomendasikan",ROW($6:$1005)-5),506)+5)),INDEX(checklistPesertaKemenkeu!$M$6:$M$1005,SMALL(IF(checklistPesertaKemenkeu!$AY$6:$AY$1005="Direkomendasikan",ROW($6:$1005)-5),506)))=1),IFERROR(VLOOKUP(INDEX(checklistPesertaKemenkeu!$M$6:$M$1005,SMALL(IF(checklistPesertaKemenkeu!$AY$6:$AY$1005="Direkomendasikan",ROW($6:$1005)-5),506)),KotaKode,2,0),"-"),"")),"")</f>
        <v/>
      </c>
      <c r="J507" t="str">
        <f t="array" aca="1" ref="J507" ca="1">IFERROR(IF(OR(INDEX(checklistPesertaKemenkeu!$N$6:$N$1005,SMALL(IF(checklistPesertaKemenkeu!$AY$6:$AY$1005="Direkomendasikan",ROW($6:$1005)-5),506))="",INDEX(checklistPesertaKemenkeu!$J$6:$J$1005,SMALL(IF(checklistPesertaKemenkeu!$AY$6:$AY$1005="Direkomendasikan",ROW($6:$1005)-5),506))=""),"",IF(AND(COUNTIF(INDIRECT("K_"&amp;MATCH(INDEX(checklistPesertaKemenkeu!$J$6:$J$1005,SMALL(IF(checklistPesertaKemenkeu!$AY$6:$AY$1005="Direkomendasikan",ROW($6:$1005)-5),506)),BidangList,0)),INDEX(checklistPesertaKemenkeu!$N$6:$N$1005,SMALL(IF(checklistPesertaKemenkeu!$AY$6:$AY$1005="Direkomendasikan",ROW($6:$1005)-5),506)))&gt;0,COUNTIF(INDIRECT("'KERTAS KERJA'!K"&amp;(SMALL(IF(checklistPesertaKemenkeu!$AY$6:$AY$1005="Direkomendasikan",ROW($6:$1005)-5),506)+5)&amp;":O"&amp;(SMALL(IF(checklistPesertaKemenkeu!$AY$6:$AY$1005="Direkomendasikan",ROW($6:$1005)-5),506)+5)),INDEX(checklistPesertaKemenkeu!$N$6:$N$1005,SMALL(IF(checklistPesertaKemenkeu!$AY$6:$AY$1005="Direkomendasikan",ROW($6:$1005)-5),506)))=1),IFERROR(VLOOKUP(INDEX(checklistPesertaKemenkeu!$N$6:$N$1005,SMALL(IF(checklistPesertaKemenkeu!$AY$6:$AY$1005="Direkomendasikan",ROW($6:$1005)-5),506)),KotaKode,2,0),"-"),"")),"")</f>
        <v/>
      </c>
      <c r="K507" t="str">
        <f t="array" aca="1" ref="K507" ca="1">IFERROR(IF(OR(INDEX(checklistPesertaKemenkeu!$O$6:$O$1005,SMALL(IF(checklistPesertaKemenkeu!$AY$6:$AY$1005="Direkomendasikan",ROW($6:$1005)-5),506))="",INDEX(checklistPesertaKemenkeu!$J$6:$J$1005,SMALL(IF(checklistPesertaKemenkeu!$AY$6:$AY$1005="Direkomendasikan",ROW($6:$1005)-5),506))=""),"",IF(AND(COUNTIF(INDIRECT("K_"&amp;MATCH(INDEX(checklistPesertaKemenkeu!$J$6:$J$1005,SMALL(IF(checklistPesertaKemenkeu!$AY$6:$AY$1005="Direkomendasikan",ROW($6:$1005)-5),506)),BidangList,0)),INDEX(checklistPesertaKemenkeu!$O$6:$O$1005,SMALL(IF(checklistPesertaKemenkeu!$AY$6:$AY$1005="Direkomendasikan",ROW($6:$1005)-5),506)))&gt;0,COUNTIF(INDIRECT("'KERTAS KERJA'!K"&amp;(SMALL(IF(checklistPesertaKemenkeu!$AY$6:$AY$1005="Direkomendasikan",ROW($6:$1005)-5),506)+5)&amp;":O"&amp;(SMALL(IF(checklistPesertaKemenkeu!$AY$6:$AY$1005="Direkomendasikan",ROW($6:$1005)-5),506)+5)),INDEX(checklistPesertaKemenkeu!$O$6:$O$1005,SMALL(IF(checklistPesertaKemenkeu!$AY$6:$AY$1005="Direkomendasikan",ROW($6:$1005)-5),506)))=1),IFERROR(VLOOKUP(INDEX(checklistPesertaKemenkeu!$O$6:$O$1005,SMALL(IF(checklistPesertaKemenkeu!$AY$6:$AY$1005="Direkomendasikan",ROW($6:$1005)-5),506)),KotaKode,2,0),"-"),"")),"")</f>
        <v/>
      </c>
      <c r="L507" t="str">
        <f t="array" aca="1" ref="L507" ca="1">IFERROR(IF(OR(INDEX(checklistPesertaKemenkeu!$P$6:$P$1005,SMALL(IF(checklistPesertaKemenkeu!$AY$6:$AY$1005="Direkomendasikan",ROW($6:$1005)-5),506))="",INDEX(checklistPesertaKemenkeu!$J$6:$J$1005,SMALL(IF(checklistPesertaKemenkeu!$AY$6:$AY$1005="Direkomendasikan",ROW($6:$1005)-5),506))=""),"",IF(AND(COUNTIF(INDIRECT("K_"&amp;MATCH(INDEX(checklistPesertaKemenkeu!$J$6:$J$1005,SMALL(IF(checklistPesertaKemenkeu!$AY$6:$AY$1005="Direkomendasikan",ROW($6:$1005)-5),506)),BidangList,0)),INDEX(checklistPesertaKemenkeu!$P$6:$P$1005,SMALL(IF(checklistPesertaKemenkeu!$AY$6:$AY$1005="Direkomendasikan",ROW($6:$1005)-5),506)))&gt;0,COUNTIF(INDIRECT("'KERTAS KERJA'!K"&amp;(SMALL(IF(checklistPesertaKemenkeu!$AY$6:$AY$1005="Direkomendasikan",ROW($6:$1005)-5),506)+5)&amp;":O"&amp;(SMALL(IF(checklistPesertaKemenkeu!$AY$6:$AY$1005="Direkomendasikan",ROW($6:$1005)-5),506)+5)),INDEX(checklistPesertaKemenkeu!$P$6:$P$1005,SMALL(IF(checklistPesertaKemenkeu!$AY$6:$AY$1005="Direkomendasikan",ROW($6:$1005)-5),506)))=1),IFERROR(VLOOKUP(INDEX(checklistPesertaKemenkeu!$P$6:$P$1005,SMALL(IF(checklistPesertaKemenkeu!$AY$6:$AY$1005="Direkomendasikan",ROW($6:$1005)-5),506)),KotaKode,2,0),"-"),"")),"")</f>
        <v/>
      </c>
    </row>
    <row r="508" spans="1:12" ht="15" customHeight="1" x14ac:dyDescent="0.2">
      <c r="A508" t="str">
        <f t="shared" si="7"/>
        <v/>
      </c>
      <c r="B508" t="str">
        <v/>
      </c>
      <c r="C508" s="40" t="str">
        <f t="array" ref="C508">IFERROR(INDEX(checklistPesertaKemenkeu!$F$6:$F$1005,SMALL(IF(checklistPesertaKemenkeu!$AY$6:$AY$1005="Direkomendasikan",ROW($6:$1005)-5),507)),"")</f>
        <v/>
      </c>
      <c r="D508" t="str">
        <f t="array" ref="D508">IFERROR(INDEX(checklistPesertaKemenkeu!$G$6:$G$1005,SMALL(IF(checklistPesertaKemenkeu!$AY$6:$AY$1005="Direkomendasikan",ROW($6:$1005)-5),507)),"")</f>
        <v/>
      </c>
      <c r="E508" t="str">
        <f t="array" ref="E508">IFERROR(INDEX(checklistPesertaKemenkeu!$H$6:$H$1005,SMALL(IF(checklistPesertaKemenkeu!$AY$6:$AY$1005="Direkomendasikan",ROW($6:$1005)-5),507)),"")</f>
        <v/>
      </c>
      <c r="F508" t="str">
        <f t="array" ref="F508">IFERROR(INDEX(checklistPesertaKemenkeu!$I$6:$I$1005,SMALL(IF(checklistPesertaKemenkeu!$AY$6:$AY$1005="Direkomendasikan",ROW($6:$1005)-5),507)),"")</f>
        <v/>
      </c>
      <c r="G508" t="str">
        <f t="array" ref="G508">IFERROR(INDEX(checklistPesertaKemenkeu!$J$6:$J$1005,SMALL(IF(checklistPesertaKemenkeu!$AY$6:$AY$1005="Direkomendasikan",ROW($6:$1005)-5),507)),"")</f>
        <v/>
      </c>
      <c r="H508" t="str">
        <f t="array" aca="1" ref="H508" ca="1">IFERROR(IF(OR(INDEX(checklistPesertaKemenkeu!$L$6:$L$1005,SMALL(IF(checklistPesertaKemenkeu!$AY$6:$AY$1005="Direkomendasikan",ROW($6:$1005)-5),507))="",INDEX(checklistPesertaKemenkeu!$J$6:$J$1005,SMALL(IF(checklistPesertaKemenkeu!$AY$6:$AY$1005="Direkomendasikan",ROW($6:$1005)-5),507))=""),"",IF(AND(COUNTIF(INDIRECT("K_"&amp;MATCH(INDEX(checklistPesertaKemenkeu!$J$6:$J$1005,SMALL(IF(checklistPesertaKemenkeu!$AY$6:$AY$1005="Direkomendasikan",ROW($6:$1005)-5),507)),BidangList,0)),INDEX(checklistPesertaKemenkeu!$L$6:$L$1005,SMALL(IF(checklistPesertaKemenkeu!$AY$6:$AY$1005="Direkomendasikan",ROW($6:$1005)-5),507)))&gt;0,COUNTIF(INDIRECT("'KERTAS KERJA'!K"&amp;(SMALL(IF(checklistPesertaKemenkeu!$AY$6:$AY$1005="Direkomendasikan",ROW($6:$1005)-5),507)+5)&amp;":O"&amp;(SMALL(IF(checklistPesertaKemenkeu!$AY$6:$AY$1005="Direkomendasikan",ROW($6:$1005)-5),507)+5)),INDEX(checklistPesertaKemenkeu!$L$6:$L$1005,SMALL(IF(checklistPesertaKemenkeu!$AY$6:$AY$1005="Direkomendasikan",ROW($6:$1005)-5),507)))=1),IFERROR(VLOOKUP(INDEX(checklistPesertaKemenkeu!$L$6:$L$1005,SMALL(IF(checklistPesertaKemenkeu!$AY$6:$AY$1005="Direkomendasikan",ROW($6:$1005)-5),507)),KotaKode,2,0),"-"),"")),"")</f>
        <v/>
      </c>
      <c r="I508" t="str">
        <f t="array" aca="1" ref="I508" ca="1">IFERROR(IF(OR(INDEX(checklistPesertaKemenkeu!$M$6:$M$1005,SMALL(IF(checklistPesertaKemenkeu!$AY$6:$AY$1005="Direkomendasikan",ROW($6:$1005)-5),507))="",INDEX(checklistPesertaKemenkeu!$J$6:$J$1005,SMALL(IF(checklistPesertaKemenkeu!$AY$6:$AY$1005="Direkomendasikan",ROW($6:$1005)-5),507))=""),"",IF(AND(COUNTIF(INDIRECT("K_"&amp;MATCH(INDEX(checklistPesertaKemenkeu!$J$6:$J$1005,SMALL(IF(checklistPesertaKemenkeu!$AY$6:$AY$1005="Direkomendasikan",ROW($6:$1005)-5),507)),BidangList,0)),INDEX(checklistPesertaKemenkeu!$M$6:$M$1005,SMALL(IF(checklistPesertaKemenkeu!$AY$6:$AY$1005="Direkomendasikan",ROW($6:$1005)-5),507)))&gt;0,COUNTIF(INDIRECT("'KERTAS KERJA'!K"&amp;(SMALL(IF(checklistPesertaKemenkeu!$AY$6:$AY$1005="Direkomendasikan",ROW($6:$1005)-5),507)+5)&amp;":O"&amp;(SMALL(IF(checklistPesertaKemenkeu!$AY$6:$AY$1005="Direkomendasikan",ROW($6:$1005)-5),507)+5)),INDEX(checklistPesertaKemenkeu!$M$6:$M$1005,SMALL(IF(checklistPesertaKemenkeu!$AY$6:$AY$1005="Direkomendasikan",ROW($6:$1005)-5),507)))=1),IFERROR(VLOOKUP(INDEX(checklistPesertaKemenkeu!$M$6:$M$1005,SMALL(IF(checklistPesertaKemenkeu!$AY$6:$AY$1005="Direkomendasikan",ROW($6:$1005)-5),507)),KotaKode,2,0),"-"),"")),"")</f>
        <v/>
      </c>
      <c r="J508" t="str">
        <f t="array" aca="1" ref="J508" ca="1">IFERROR(IF(OR(INDEX(checklistPesertaKemenkeu!$N$6:$N$1005,SMALL(IF(checklistPesertaKemenkeu!$AY$6:$AY$1005="Direkomendasikan",ROW($6:$1005)-5),507))="",INDEX(checklistPesertaKemenkeu!$J$6:$J$1005,SMALL(IF(checklistPesertaKemenkeu!$AY$6:$AY$1005="Direkomendasikan",ROW($6:$1005)-5),507))=""),"",IF(AND(COUNTIF(INDIRECT("K_"&amp;MATCH(INDEX(checklistPesertaKemenkeu!$J$6:$J$1005,SMALL(IF(checklistPesertaKemenkeu!$AY$6:$AY$1005="Direkomendasikan",ROW($6:$1005)-5),507)),BidangList,0)),INDEX(checklistPesertaKemenkeu!$N$6:$N$1005,SMALL(IF(checklistPesertaKemenkeu!$AY$6:$AY$1005="Direkomendasikan",ROW($6:$1005)-5),507)))&gt;0,COUNTIF(INDIRECT("'KERTAS KERJA'!K"&amp;(SMALL(IF(checklistPesertaKemenkeu!$AY$6:$AY$1005="Direkomendasikan",ROW($6:$1005)-5),507)+5)&amp;":O"&amp;(SMALL(IF(checklistPesertaKemenkeu!$AY$6:$AY$1005="Direkomendasikan",ROW($6:$1005)-5),507)+5)),INDEX(checklistPesertaKemenkeu!$N$6:$N$1005,SMALL(IF(checklistPesertaKemenkeu!$AY$6:$AY$1005="Direkomendasikan",ROW($6:$1005)-5),507)))=1),IFERROR(VLOOKUP(INDEX(checklistPesertaKemenkeu!$N$6:$N$1005,SMALL(IF(checklistPesertaKemenkeu!$AY$6:$AY$1005="Direkomendasikan",ROW($6:$1005)-5),507)),KotaKode,2,0),"-"),"")),"")</f>
        <v/>
      </c>
      <c r="K508" t="str">
        <f t="array" aca="1" ref="K508" ca="1">IFERROR(IF(OR(INDEX(checklistPesertaKemenkeu!$O$6:$O$1005,SMALL(IF(checklistPesertaKemenkeu!$AY$6:$AY$1005="Direkomendasikan",ROW($6:$1005)-5),507))="",INDEX(checklistPesertaKemenkeu!$J$6:$J$1005,SMALL(IF(checklistPesertaKemenkeu!$AY$6:$AY$1005="Direkomendasikan",ROW($6:$1005)-5),507))=""),"",IF(AND(COUNTIF(INDIRECT("K_"&amp;MATCH(INDEX(checklistPesertaKemenkeu!$J$6:$J$1005,SMALL(IF(checklistPesertaKemenkeu!$AY$6:$AY$1005="Direkomendasikan",ROW($6:$1005)-5),507)),BidangList,0)),INDEX(checklistPesertaKemenkeu!$O$6:$O$1005,SMALL(IF(checklistPesertaKemenkeu!$AY$6:$AY$1005="Direkomendasikan",ROW($6:$1005)-5),507)))&gt;0,COUNTIF(INDIRECT("'KERTAS KERJA'!K"&amp;(SMALL(IF(checklistPesertaKemenkeu!$AY$6:$AY$1005="Direkomendasikan",ROW($6:$1005)-5),507)+5)&amp;":O"&amp;(SMALL(IF(checklistPesertaKemenkeu!$AY$6:$AY$1005="Direkomendasikan",ROW($6:$1005)-5),507)+5)),INDEX(checklistPesertaKemenkeu!$O$6:$O$1005,SMALL(IF(checklistPesertaKemenkeu!$AY$6:$AY$1005="Direkomendasikan",ROW($6:$1005)-5),507)))=1),IFERROR(VLOOKUP(INDEX(checklistPesertaKemenkeu!$O$6:$O$1005,SMALL(IF(checklistPesertaKemenkeu!$AY$6:$AY$1005="Direkomendasikan",ROW($6:$1005)-5),507)),KotaKode,2,0),"-"),"")),"")</f>
        <v/>
      </c>
      <c r="L508" t="str">
        <f t="array" aca="1" ref="L508" ca="1">IFERROR(IF(OR(INDEX(checklistPesertaKemenkeu!$P$6:$P$1005,SMALL(IF(checklistPesertaKemenkeu!$AY$6:$AY$1005="Direkomendasikan",ROW($6:$1005)-5),507))="",INDEX(checklistPesertaKemenkeu!$J$6:$J$1005,SMALL(IF(checklistPesertaKemenkeu!$AY$6:$AY$1005="Direkomendasikan",ROW($6:$1005)-5),507))=""),"",IF(AND(COUNTIF(INDIRECT("K_"&amp;MATCH(INDEX(checklistPesertaKemenkeu!$J$6:$J$1005,SMALL(IF(checklistPesertaKemenkeu!$AY$6:$AY$1005="Direkomendasikan",ROW($6:$1005)-5),507)),BidangList,0)),INDEX(checklistPesertaKemenkeu!$P$6:$P$1005,SMALL(IF(checklistPesertaKemenkeu!$AY$6:$AY$1005="Direkomendasikan",ROW($6:$1005)-5),507)))&gt;0,COUNTIF(INDIRECT("'KERTAS KERJA'!K"&amp;(SMALL(IF(checklistPesertaKemenkeu!$AY$6:$AY$1005="Direkomendasikan",ROW($6:$1005)-5),507)+5)&amp;":O"&amp;(SMALL(IF(checklistPesertaKemenkeu!$AY$6:$AY$1005="Direkomendasikan",ROW($6:$1005)-5),507)+5)),INDEX(checklistPesertaKemenkeu!$P$6:$P$1005,SMALL(IF(checklistPesertaKemenkeu!$AY$6:$AY$1005="Direkomendasikan",ROW($6:$1005)-5),507)))=1),IFERROR(VLOOKUP(INDEX(checklistPesertaKemenkeu!$P$6:$P$1005,SMALL(IF(checklistPesertaKemenkeu!$AY$6:$AY$1005="Direkomendasikan",ROW($6:$1005)-5),507)),KotaKode,2,0),"-"),"")),"")</f>
        <v/>
      </c>
    </row>
    <row r="509" spans="1:12" ht="15" customHeight="1" x14ac:dyDescent="0.2">
      <c r="A509" t="str">
        <f t="shared" si="7"/>
        <v/>
      </c>
      <c r="B509" t="str">
        <v/>
      </c>
      <c r="C509" s="40" t="str">
        <f t="array" ref="C509">IFERROR(INDEX(checklistPesertaKemenkeu!$F$6:$F$1005,SMALL(IF(checklistPesertaKemenkeu!$AY$6:$AY$1005="Direkomendasikan",ROW($6:$1005)-5),508)),"")</f>
        <v/>
      </c>
      <c r="D509" t="str">
        <f t="array" ref="D509">IFERROR(INDEX(checklistPesertaKemenkeu!$G$6:$G$1005,SMALL(IF(checklistPesertaKemenkeu!$AY$6:$AY$1005="Direkomendasikan",ROW($6:$1005)-5),508)),"")</f>
        <v/>
      </c>
      <c r="E509" t="str">
        <f t="array" ref="E509">IFERROR(INDEX(checklistPesertaKemenkeu!$H$6:$H$1005,SMALL(IF(checklistPesertaKemenkeu!$AY$6:$AY$1005="Direkomendasikan",ROW($6:$1005)-5),508)),"")</f>
        <v/>
      </c>
      <c r="F509" t="str">
        <f t="array" ref="F509">IFERROR(INDEX(checklistPesertaKemenkeu!$I$6:$I$1005,SMALL(IF(checklistPesertaKemenkeu!$AY$6:$AY$1005="Direkomendasikan",ROW($6:$1005)-5),508)),"")</f>
        <v/>
      </c>
      <c r="G509" t="str">
        <f t="array" ref="G509">IFERROR(INDEX(checklistPesertaKemenkeu!$J$6:$J$1005,SMALL(IF(checklistPesertaKemenkeu!$AY$6:$AY$1005="Direkomendasikan",ROW($6:$1005)-5),508)),"")</f>
        <v/>
      </c>
      <c r="H509" t="str">
        <f t="array" aca="1" ref="H509" ca="1">IFERROR(IF(OR(INDEX(checklistPesertaKemenkeu!$L$6:$L$1005,SMALL(IF(checklistPesertaKemenkeu!$AY$6:$AY$1005="Direkomendasikan",ROW($6:$1005)-5),508))="",INDEX(checklistPesertaKemenkeu!$J$6:$J$1005,SMALL(IF(checklistPesertaKemenkeu!$AY$6:$AY$1005="Direkomendasikan",ROW($6:$1005)-5),508))=""),"",IF(AND(COUNTIF(INDIRECT("K_"&amp;MATCH(INDEX(checklistPesertaKemenkeu!$J$6:$J$1005,SMALL(IF(checklistPesertaKemenkeu!$AY$6:$AY$1005="Direkomendasikan",ROW($6:$1005)-5),508)),BidangList,0)),INDEX(checklistPesertaKemenkeu!$L$6:$L$1005,SMALL(IF(checklistPesertaKemenkeu!$AY$6:$AY$1005="Direkomendasikan",ROW($6:$1005)-5),508)))&gt;0,COUNTIF(INDIRECT("'KERTAS KERJA'!K"&amp;(SMALL(IF(checklistPesertaKemenkeu!$AY$6:$AY$1005="Direkomendasikan",ROW($6:$1005)-5),508)+5)&amp;":O"&amp;(SMALL(IF(checklistPesertaKemenkeu!$AY$6:$AY$1005="Direkomendasikan",ROW($6:$1005)-5),508)+5)),INDEX(checklistPesertaKemenkeu!$L$6:$L$1005,SMALL(IF(checklistPesertaKemenkeu!$AY$6:$AY$1005="Direkomendasikan",ROW($6:$1005)-5),508)))=1),IFERROR(VLOOKUP(INDEX(checklistPesertaKemenkeu!$L$6:$L$1005,SMALL(IF(checklistPesertaKemenkeu!$AY$6:$AY$1005="Direkomendasikan",ROW($6:$1005)-5),508)),KotaKode,2,0),"-"),"")),"")</f>
        <v/>
      </c>
      <c r="I509" t="str">
        <f t="array" aca="1" ref="I509" ca="1">IFERROR(IF(OR(INDEX(checklistPesertaKemenkeu!$M$6:$M$1005,SMALL(IF(checklistPesertaKemenkeu!$AY$6:$AY$1005="Direkomendasikan",ROW($6:$1005)-5),508))="",INDEX(checklistPesertaKemenkeu!$J$6:$J$1005,SMALL(IF(checklistPesertaKemenkeu!$AY$6:$AY$1005="Direkomendasikan",ROW($6:$1005)-5),508))=""),"",IF(AND(COUNTIF(INDIRECT("K_"&amp;MATCH(INDEX(checklistPesertaKemenkeu!$J$6:$J$1005,SMALL(IF(checklistPesertaKemenkeu!$AY$6:$AY$1005="Direkomendasikan",ROW($6:$1005)-5),508)),BidangList,0)),INDEX(checklistPesertaKemenkeu!$M$6:$M$1005,SMALL(IF(checklistPesertaKemenkeu!$AY$6:$AY$1005="Direkomendasikan",ROW($6:$1005)-5),508)))&gt;0,COUNTIF(INDIRECT("'KERTAS KERJA'!K"&amp;(SMALL(IF(checklistPesertaKemenkeu!$AY$6:$AY$1005="Direkomendasikan",ROW($6:$1005)-5),508)+5)&amp;":O"&amp;(SMALL(IF(checklistPesertaKemenkeu!$AY$6:$AY$1005="Direkomendasikan",ROW($6:$1005)-5),508)+5)),INDEX(checklistPesertaKemenkeu!$M$6:$M$1005,SMALL(IF(checklistPesertaKemenkeu!$AY$6:$AY$1005="Direkomendasikan",ROW($6:$1005)-5),508)))=1),IFERROR(VLOOKUP(INDEX(checklistPesertaKemenkeu!$M$6:$M$1005,SMALL(IF(checklistPesertaKemenkeu!$AY$6:$AY$1005="Direkomendasikan",ROW($6:$1005)-5),508)),KotaKode,2,0),"-"),"")),"")</f>
        <v/>
      </c>
      <c r="J509" t="str">
        <f t="array" aca="1" ref="J509" ca="1">IFERROR(IF(OR(INDEX(checklistPesertaKemenkeu!$N$6:$N$1005,SMALL(IF(checklistPesertaKemenkeu!$AY$6:$AY$1005="Direkomendasikan",ROW($6:$1005)-5),508))="",INDEX(checklistPesertaKemenkeu!$J$6:$J$1005,SMALL(IF(checklistPesertaKemenkeu!$AY$6:$AY$1005="Direkomendasikan",ROW($6:$1005)-5),508))=""),"",IF(AND(COUNTIF(INDIRECT("K_"&amp;MATCH(INDEX(checklistPesertaKemenkeu!$J$6:$J$1005,SMALL(IF(checklistPesertaKemenkeu!$AY$6:$AY$1005="Direkomendasikan",ROW($6:$1005)-5),508)),BidangList,0)),INDEX(checklistPesertaKemenkeu!$N$6:$N$1005,SMALL(IF(checklistPesertaKemenkeu!$AY$6:$AY$1005="Direkomendasikan",ROW($6:$1005)-5),508)))&gt;0,COUNTIF(INDIRECT("'KERTAS KERJA'!K"&amp;(SMALL(IF(checklistPesertaKemenkeu!$AY$6:$AY$1005="Direkomendasikan",ROW($6:$1005)-5),508)+5)&amp;":O"&amp;(SMALL(IF(checklistPesertaKemenkeu!$AY$6:$AY$1005="Direkomendasikan",ROW($6:$1005)-5),508)+5)),INDEX(checklistPesertaKemenkeu!$N$6:$N$1005,SMALL(IF(checklistPesertaKemenkeu!$AY$6:$AY$1005="Direkomendasikan",ROW($6:$1005)-5),508)))=1),IFERROR(VLOOKUP(INDEX(checklistPesertaKemenkeu!$N$6:$N$1005,SMALL(IF(checklistPesertaKemenkeu!$AY$6:$AY$1005="Direkomendasikan",ROW($6:$1005)-5),508)),KotaKode,2,0),"-"),"")),"")</f>
        <v/>
      </c>
      <c r="K509" t="str">
        <f t="array" aca="1" ref="K509" ca="1">IFERROR(IF(OR(INDEX(checklistPesertaKemenkeu!$O$6:$O$1005,SMALL(IF(checklistPesertaKemenkeu!$AY$6:$AY$1005="Direkomendasikan",ROW($6:$1005)-5),508))="",INDEX(checklistPesertaKemenkeu!$J$6:$J$1005,SMALL(IF(checklistPesertaKemenkeu!$AY$6:$AY$1005="Direkomendasikan",ROW($6:$1005)-5),508))=""),"",IF(AND(COUNTIF(INDIRECT("K_"&amp;MATCH(INDEX(checklistPesertaKemenkeu!$J$6:$J$1005,SMALL(IF(checklistPesertaKemenkeu!$AY$6:$AY$1005="Direkomendasikan",ROW($6:$1005)-5),508)),BidangList,0)),INDEX(checklistPesertaKemenkeu!$O$6:$O$1005,SMALL(IF(checklistPesertaKemenkeu!$AY$6:$AY$1005="Direkomendasikan",ROW($6:$1005)-5),508)))&gt;0,COUNTIF(INDIRECT("'KERTAS KERJA'!K"&amp;(SMALL(IF(checklistPesertaKemenkeu!$AY$6:$AY$1005="Direkomendasikan",ROW($6:$1005)-5),508)+5)&amp;":O"&amp;(SMALL(IF(checklistPesertaKemenkeu!$AY$6:$AY$1005="Direkomendasikan",ROW($6:$1005)-5),508)+5)),INDEX(checklistPesertaKemenkeu!$O$6:$O$1005,SMALL(IF(checklistPesertaKemenkeu!$AY$6:$AY$1005="Direkomendasikan",ROW($6:$1005)-5),508)))=1),IFERROR(VLOOKUP(INDEX(checklistPesertaKemenkeu!$O$6:$O$1005,SMALL(IF(checklistPesertaKemenkeu!$AY$6:$AY$1005="Direkomendasikan",ROW($6:$1005)-5),508)),KotaKode,2,0),"-"),"")),"")</f>
        <v/>
      </c>
      <c r="L509" t="str">
        <f t="array" aca="1" ref="L509" ca="1">IFERROR(IF(OR(INDEX(checklistPesertaKemenkeu!$P$6:$P$1005,SMALL(IF(checklistPesertaKemenkeu!$AY$6:$AY$1005="Direkomendasikan",ROW($6:$1005)-5),508))="",INDEX(checklistPesertaKemenkeu!$J$6:$J$1005,SMALL(IF(checklistPesertaKemenkeu!$AY$6:$AY$1005="Direkomendasikan",ROW($6:$1005)-5),508))=""),"",IF(AND(COUNTIF(INDIRECT("K_"&amp;MATCH(INDEX(checklistPesertaKemenkeu!$J$6:$J$1005,SMALL(IF(checklistPesertaKemenkeu!$AY$6:$AY$1005="Direkomendasikan",ROW($6:$1005)-5),508)),BidangList,0)),INDEX(checklistPesertaKemenkeu!$P$6:$P$1005,SMALL(IF(checklistPesertaKemenkeu!$AY$6:$AY$1005="Direkomendasikan",ROW($6:$1005)-5),508)))&gt;0,COUNTIF(INDIRECT("'KERTAS KERJA'!K"&amp;(SMALL(IF(checklistPesertaKemenkeu!$AY$6:$AY$1005="Direkomendasikan",ROW($6:$1005)-5),508)+5)&amp;":O"&amp;(SMALL(IF(checklistPesertaKemenkeu!$AY$6:$AY$1005="Direkomendasikan",ROW($6:$1005)-5),508)+5)),INDEX(checklistPesertaKemenkeu!$P$6:$P$1005,SMALL(IF(checklistPesertaKemenkeu!$AY$6:$AY$1005="Direkomendasikan",ROW($6:$1005)-5),508)))=1),IFERROR(VLOOKUP(INDEX(checklistPesertaKemenkeu!$P$6:$P$1005,SMALL(IF(checklistPesertaKemenkeu!$AY$6:$AY$1005="Direkomendasikan",ROW($6:$1005)-5),508)),KotaKode,2,0),"-"),"")),"")</f>
        <v/>
      </c>
    </row>
    <row r="510" spans="1:12" ht="15" customHeight="1" x14ac:dyDescent="0.2">
      <c r="A510" t="str">
        <f t="shared" si="7"/>
        <v/>
      </c>
      <c r="B510" t="str">
        <v/>
      </c>
      <c r="C510" s="40" t="str">
        <f t="array" ref="C510">IFERROR(INDEX(checklistPesertaKemenkeu!$F$6:$F$1005,SMALL(IF(checklistPesertaKemenkeu!$AY$6:$AY$1005="Direkomendasikan",ROW($6:$1005)-5),509)),"")</f>
        <v/>
      </c>
      <c r="D510" t="str">
        <f t="array" ref="D510">IFERROR(INDEX(checklistPesertaKemenkeu!$G$6:$G$1005,SMALL(IF(checklistPesertaKemenkeu!$AY$6:$AY$1005="Direkomendasikan",ROW($6:$1005)-5),509)),"")</f>
        <v/>
      </c>
      <c r="E510" t="str">
        <f t="array" ref="E510">IFERROR(INDEX(checklistPesertaKemenkeu!$H$6:$H$1005,SMALL(IF(checklistPesertaKemenkeu!$AY$6:$AY$1005="Direkomendasikan",ROW($6:$1005)-5),509)),"")</f>
        <v/>
      </c>
      <c r="F510" t="str">
        <f t="array" ref="F510">IFERROR(INDEX(checklistPesertaKemenkeu!$I$6:$I$1005,SMALL(IF(checklistPesertaKemenkeu!$AY$6:$AY$1005="Direkomendasikan",ROW($6:$1005)-5),509)),"")</f>
        <v/>
      </c>
      <c r="G510" t="str">
        <f t="array" ref="G510">IFERROR(INDEX(checklistPesertaKemenkeu!$J$6:$J$1005,SMALL(IF(checklistPesertaKemenkeu!$AY$6:$AY$1005="Direkomendasikan",ROW($6:$1005)-5),509)),"")</f>
        <v/>
      </c>
      <c r="H510" t="str">
        <f t="array" aca="1" ref="H510" ca="1">IFERROR(IF(OR(INDEX(checklistPesertaKemenkeu!$L$6:$L$1005,SMALL(IF(checklistPesertaKemenkeu!$AY$6:$AY$1005="Direkomendasikan",ROW($6:$1005)-5),509))="",INDEX(checklistPesertaKemenkeu!$J$6:$J$1005,SMALL(IF(checklistPesertaKemenkeu!$AY$6:$AY$1005="Direkomendasikan",ROW($6:$1005)-5),509))=""),"",IF(AND(COUNTIF(INDIRECT("K_"&amp;MATCH(INDEX(checklistPesertaKemenkeu!$J$6:$J$1005,SMALL(IF(checklistPesertaKemenkeu!$AY$6:$AY$1005="Direkomendasikan",ROW($6:$1005)-5),509)),BidangList,0)),INDEX(checklistPesertaKemenkeu!$L$6:$L$1005,SMALL(IF(checklistPesertaKemenkeu!$AY$6:$AY$1005="Direkomendasikan",ROW($6:$1005)-5),509)))&gt;0,COUNTIF(INDIRECT("'KERTAS KERJA'!K"&amp;(SMALL(IF(checklistPesertaKemenkeu!$AY$6:$AY$1005="Direkomendasikan",ROW($6:$1005)-5),509)+5)&amp;":O"&amp;(SMALL(IF(checklistPesertaKemenkeu!$AY$6:$AY$1005="Direkomendasikan",ROW($6:$1005)-5),509)+5)),INDEX(checklistPesertaKemenkeu!$L$6:$L$1005,SMALL(IF(checklistPesertaKemenkeu!$AY$6:$AY$1005="Direkomendasikan",ROW($6:$1005)-5),509)))=1),IFERROR(VLOOKUP(INDEX(checklistPesertaKemenkeu!$L$6:$L$1005,SMALL(IF(checklistPesertaKemenkeu!$AY$6:$AY$1005="Direkomendasikan",ROW($6:$1005)-5),509)),KotaKode,2,0),"-"),"")),"")</f>
        <v/>
      </c>
      <c r="I510" t="str">
        <f t="array" aca="1" ref="I510" ca="1">IFERROR(IF(OR(INDEX(checklistPesertaKemenkeu!$M$6:$M$1005,SMALL(IF(checklistPesertaKemenkeu!$AY$6:$AY$1005="Direkomendasikan",ROW($6:$1005)-5),509))="",INDEX(checklistPesertaKemenkeu!$J$6:$J$1005,SMALL(IF(checklistPesertaKemenkeu!$AY$6:$AY$1005="Direkomendasikan",ROW($6:$1005)-5),509))=""),"",IF(AND(COUNTIF(INDIRECT("K_"&amp;MATCH(INDEX(checklistPesertaKemenkeu!$J$6:$J$1005,SMALL(IF(checklistPesertaKemenkeu!$AY$6:$AY$1005="Direkomendasikan",ROW($6:$1005)-5),509)),BidangList,0)),INDEX(checklistPesertaKemenkeu!$M$6:$M$1005,SMALL(IF(checklistPesertaKemenkeu!$AY$6:$AY$1005="Direkomendasikan",ROW($6:$1005)-5),509)))&gt;0,COUNTIF(INDIRECT("'KERTAS KERJA'!K"&amp;(SMALL(IF(checklistPesertaKemenkeu!$AY$6:$AY$1005="Direkomendasikan",ROW($6:$1005)-5),509)+5)&amp;":O"&amp;(SMALL(IF(checklistPesertaKemenkeu!$AY$6:$AY$1005="Direkomendasikan",ROW($6:$1005)-5),509)+5)),INDEX(checklistPesertaKemenkeu!$M$6:$M$1005,SMALL(IF(checklistPesertaKemenkeu!$AY$6:$AY$1005="Direkomendasikan",ROW($6:$1005)-5),509)))=1),IFERROR(VLOOKUP(INDEX(checklistPesertaKemenkeu!$M$6:$M$1005,SMALL(IF(checklistPesertaKemenkeu!$AY$6:$AY$1005="Direkomendasikan",ROW($6:$1005)-5),509)),KotaKode,2,0),"-"),"")),"")</f>
        <v/>
      </c>
      <c r="J510" t="str">
        <f t="array" aca="1" ref="J510" ca="1">IFERROR(IF(OR(INDEX(checklistPesertaKemenkeu!$N$6:$N$1005,SMALL(IF(checklistPesertaKemenkeu!$AY$6:$AY$1005="Direkomendasikan",ROW($6:$1005)-5),509))="",INDEX(checklistPesertaKemenkeu!$J$6:$J$1005,SMALL(IF(checklistPesertaKemenkeu!$AY$6:$AY$1005="Direkomendasikan",ROW($6:$1005)-5),509))=""),"",IF(AND(COUNTIF(INDIRECT("K_"&amp;MATCH(INDEX(checklistPesertaKemenkeu!$J$6:$J$1005,SMALL(IF(checklistPesertaKemenkeu!$AY$6:$AY$1005="Direkomendasikan",ROW($6:$1005)-5),509)),BidangList,0)),INDEX(checklistPesertaKemenkeu!$N$6:$N$1005,SMALL(IF(checklistPesertaKemenkeu!$AY$6:$AY$1005="Direkomendasikan",ROW($6:$1005)-5),509)))&gt;0,COUNTIF(INDIRECT("'KERTAS KERJA'!K"&amp;(SMALL(IF(checklistPesertaKemenkeu!$AY$6:$AY$1005="Direkomendasikan",ROW($6:$1005)-5),509)+5)&amp;":O"&amp;(SMALL(IF(checklistPesertaKemenkeu!$AY$6:$AY$1005="Direkomendasikan",ROW($6:$1005)-5),509)+5)),INDEX(checklistPesertaKemenkeu!$N$6:$N$1005,SMALL(IF(checklistPesertaKemenkeu!$AY$6:$AY$1005="Direkomendasikan",ROW($6:$1005)-5),509)))=1),IFERROR(VLOOKUP(INDEX(checklistPesertaKemenkeu!$N$6:$N$1005,SMALL(IF(checklistPesertaKemenkeu!$AY$6:$AY$1005="Direkomendasikan",ROW($6:$1005)-5),509)),KotaKode,2,0),"-"),"")),"")</f>
        <v/>
      </c>
      <c r="K510" t="str">
        <f t="array" aca="1" ref="K510" ca="1">IFERROR(IF(OR(INDEX(checklistPesertaKemenkeu!$O$6:$O$1005,SMALL(IF(checklistPesertaKemenkeu!$AY$6:$AY$1005="Direkomendasikan",ROW($6:$1005)-5),509))="",INDEX(checklistPesertaKemenkeu!$J$6:$J$1005,SMALL(IF(checklistPesertaKemenkeu!$AY$6:$AY$1005="Direkomendasikan",ROW($6:$1005)-5),509))=""),"",IF(AND(COUNTIF(INDIRECT("K_"&amp;MATCH(INDEX(checklistPesertaKemenkeu!$J$6:$J$1005,SMALL(IF(checklistPesertaKemenkeu!$AY$6:$AY$1005="Direkomendasikan",ROW($6:$1005)-5),509)),BidangList,0)),INDEX(checklistPesertaKemenkeu!$O$6:$O$1005,SMALL(IF(checklistPesertaKemenkeu!$AY$6:$AY$1005="Direkomendasikan",ROW($6:$1005)-5),509)))&gt;0,COUNTIF(INDIRECT("'KERTAS KERJA'!K"&amp;(SMALL(IF(checklistPesertaKemenkeu!$AY$6:$AY$1005="Direkomendasikan",ROW($6:$1005)-5),509)+5)&amp;":O"&amp;(SMALL(IF(checklistPesertaKemenkeu!$AY$6:$AY$1005="Direkomendasikan",ROW($6:$1005)-5),509)+5)),INDEX(checklistPesertaKemenkeu!$O$6:$O$1005,SMALL(IF(checklistPesertaKemenkeu!$AY$6:$AY$1005="Direkomendasikan",ROW($6:$1005)-5),509)))=1),IFERROR(VLOOKUP(INDEX(checklistPesertaKemenkeu!$O$6:$O$1005,SMALL(IF(checklistPesertaKemenkeu!$AY$6:$AY$1005="Direkomendasikan",ROW($6:$1005)-5),509)),KotaKode,2,0),"-"),"")),"")</f>
        <v/>
      </c>
      <c r="L510" t="str">
        <f t="array" aca="1" ref="L510" ca="1">IFERROR(IF(OR(INDEX(checklistPesertaKemenkeu!$P$6:$P$1005,SMALL(IF(checklistPesertaKemenkeu!$AY$6:$AY$1005="Direkomendasikan",ROW($6:$1005)-5),509))="",INDEX(checklistPesertaKemenkeu!$J$6:$J$1005,SMALL(IF(checklistPesertaKemenkeu!$AY$6:$AY$1005="Direkomendasikan",ROW($6:$1005)-5),509))=""),"",IF(AND(COUNTIF(INDIRECT("K_"&amp;MATCH(INDEX(checklistPesertaKemenkeu!$J$6:$J$1005,SMALL(IF(checklistPesertaKemenkeu!$AY$6:$AY$1005="Direkomendasikan",ROW($6:$1005)-5),509)),BidangList,0)),INDEX(checklistPesertaKemenkeu!$P$6:$P$1005,SMALL(IF(checklistPesertaKemenkeu!$AY$6:$AY$1005="Direkomendasikan",ROW($6:$1005)-5),509)))&gt;0,COUNTIF(INDIRECT("'KERTAS KERJA'!K"&amp;(SMALL(IF(checklistPesertaKemenkeu!$AY$6:$AY$1005="Direkomendasikan",ROW($6:$1005)-5),509)+5)&amp;":O"&amp;(SMALL(IF(checklistPesertaKemenkeu!$AY$6:$AY$1005="Direkomendasikan",ROW($6:$1005)-5),509)+5)),INDEX(checklistPesertaKemenkeu!$P$6:$P$1005,SMALL(IF(checklistPesertaKemenkeu!$AY$6:$AY$1005="Direkomendasikan",ROW($6:$1005)-5),509)))=1),IFERROR(VLOOKUP(INDEX(checklistPesertaKemenkeu!$P$6:$P$1005,SMALL(IF(checklistPesertaKemenkeu!$AY$6:$AY$1005="Direkomendasikan",ROW($6:$1005)-5),509)),KotaKode,2,0),"-"),"")),"")</f>
        <v/>
      </c>
    </row>
    <row r="511" spans="1:12" ht="15" customHeight="1" x14ac:dyDescent="0.2">
      <c r="A511" t="str">
        <f t="shared" si="7"/>
        <v/>
      </c>
      <c r="B511" t="str">
        <v/>
      </c>
      <c r="C511" s="40" t="str">
        <f t="array" ref="C511">IFERROR(INDEX(checklistPesertaKemenkeu!$F$6:$F$1005,SMALL(IF(checklistPesertaKemenkeu!$AY$6:$AY$1005="Direkomendasikan",ROW($6:$1005)-5),510)),"")</f>
        <v/>
      </c>
      <c r="D511" t="str">
        <f t="array" ref="D511">IFERROR(INDEX(checklistPesertaKemenkeu!$G$6:$G$1005,SMALL(IF(checklistPesertaKemenkeu!$AY$6:$AY$1005="Direkomendasikan",ROW($6:$1005)-5),510)),"")</f>
        <v/>
      </c>
      <c r="E511" t="str">
        <f t="array" ref="E511">IFERROR(INDEX(checklistPesertaKemenkeu!$H$6:$H$1005,SMALL(IF(checklistPesertaKemenkeu!$AY$6:$AY$1005="Direkomendasikan",ROW($6:$1005)-5),510)),"")</f>
        <v/>
      </c>
      <c r="F511" t="str">
        <f t="array" ref="F511">IFERROR(INDEX(checklistPesertaKemenkeu!$I$6:$I$1005,SMALL(IF(checklistPesertaKemenkeu!$AY$6:$AY$1005="Direkomendasikan",ROW($6:$1005)-5),510)),"")</f>
        <v/>
      </c>
      <c r="G511" t="str">
        <f t="array" ref="G511">IFERROR(INDEX(checklistPesertaKemenkeu!$J$6:$J$1005,SMALL(IF(checklistPesertaKemenkeu!$AY$6:$AY$1005="Direkomendasikan",ROW($6:$1005)-5),510)),"")</f>
        <v/>
      </c>
      <c r="H511" t="str">
        <f t="array" aca="1" ref="H511" ca="1">IFERROR(IF(OR(INDEX(checklistPesertaKemenkeu!$L$6:$L$1005,SMALL(IF(checklistPesertaKemenkeu!$AY$6:$AY$1005="Direkomendasikan",ROW($6:$1005)-5),510))="",INDEX(checklistPesertaKemenkeu!$J$6:$J$1005,SMALL(IF(checklistPesertaKemenkeu!$AY$6:$AY$1005="Direkomendasikan",ROW($6:$1005)-5),510))=""),"",IF(AND(COUNTIF(INDIRECT("K_"&amp;MATCH(INDEX(checklistPesertaKemenkeu!$J$6:$J$1005,SMALL(IF(checklistPesertaKemenkeu!$AY$6:$AY$1005="Direkomendasikan",ROW($6:$1005)-5),510)),BidangList,0)),INDEX(checklistPesertaKemenkeu!$L$6:$L$1005,SMALL(IF(checklistPesertaKemenkeu!$AY$6:$AY$1005="Direkomendasikan",ROW($6:$1005)-5),510)))&gt;0,COUNTIF(INDIRECT("'KERTAS KERJA'!K"&amp;(SMALL(IF(checklistPesertaKemenkeu!$AY$6:$AY$1005="Direkomendasikan",ROW($6:$1005)-5),510)+5)&amp;":O"&amp;(SMALL(IF(checklistPesertaKemenkeu!$AY$6:$AY$1005="Direkomendasikan",ROW($6:$1005)-5),510)+5)),INDEX(checklistPesertaKemenkeu!$L$6:$L$1005,SMALL(IF(checklistPesertaKemenkeu!$AY$6:$AY$1005="Direkomendasikan",ROW($6:$1005)-5),510)))=1),IFERROR(VLOOKUP(INDEX(checklistPesertaKemenkeu!$L$6:$L$1005,SMALL(IF(checklistPesertaKemenkeu!$AY$6:$AY$1005="Direkomendasikan",ROW($6:$1005)-5),510)),KotaKode,2,0),"-"),"")),"")</f>
        <v/>
      </c>
      <c r="I511" t="str">
        <f t="array" aca="1" ref="I511" ca="1">IFERROR(IF(OR(INDEX(checklistPesertaKemenkeu!$M$6:$M$1005,SMALL(IF(checklistPesertaKemenkeu!$AY$6:$AY$1005="Direkomendasikan",ROW($6:$1005)-5),510))="",INDEX(checklistPesertaKemenkeu!$J$6:$J$1005,SMALL(IF(checklistPesertaKemenkeu!$AY$6:$AY$1005="Direkomendasikan",ROW($6:$1005)-5),510))=""),"",IF(AND(COUNTIF(INDIRECT("K_"&amp;MATCH(INDEX(checklistPesertaKemenkeu!$J$6:$J$1005,SMALL(IF(checklistPesertaKemenkeu!$AY$6:$AY$1005="Direkomendasikan",ROW($6:$1005)-5),510)),BidangList,0)),INDEX(checklistPesertaKemenkeu!$M$6:$M$1005,SMALL(IF(checklistPesertaKemenkeu!$AY$6:$AY$1005="Direkomendasikan",ROW($6:$1005)-5),510)))&gt;0,COUNTIF(INDIRECT("'KERTAS KERJA'!K"&amp;(SMALL(IF(checklistPesertaKemenkeu!$AY$6:$AY$1005="Direkomendasikan",ROW($6:$1005)-5),510)+5)&amp;":O"&amp;(SMALL(IF(checklistPesertaKemenkeu!$AY$6:$AY$1005="Direkomendasikan",ROW($6:$1005)-5),510)+5)),INDEX(checklistPesertaKemenkeu!$M$6:$M$1005,SMALL(IF(checklistPesertaKemenkeu!$AY$6:$AY$1005="Direkomendasikan",ROW($6:$1005)-5),510)))=1),IFERROR(VLOOKUP(INDEX(checklistPesertaKemenkeu!$M$6:$M$1005,SMALL(IF(checklistPesertaKemenkeu!$AY$6:$AY$1005="Direkomendasikan",ROW($6:$1005)-5),510)),KotaKode,2,0),"-"),"")),"")</f>
        <v/>
      </c>
      <c r="J511" t="str">
        <f t="array" aca="1" ref="J511" ca="1">IFERROR(IF(OR(INDEX(checklistPesertaKemenkeu!$N$6:$N$1005,SMALL(IF(checklistPesertaKemenkeu!$AY$6:$AY$1005="Direkomendasikan",ROW($6:$1005)-5),510))="",INDEX(checklistPesertaKemenkeu!$J$6:$J$1005,SMALL(IF(checklistPesertaKemenkeu!$AY$6:$AY$1005="Direkomendasikan",ROW($6:$1005)-5),510))=""),"",IF(AND(COUNTIF(INDIRECT("K_"&amp;MATCH(INDEX(checklistPesertaKemenkeu!$J$6:$J$1005,SMALL(IF(checklistPesertaKemenkeu!$AY$6:$AY$1005="Direkomendasikan",ROW($6:$1005)-5),510)),BidangList,0)),INDEX(checklistPesertaKemenkeu!$N$6:$N$1005,SMALL(IF(checklistPesertaKemenkeu!$AY$6:$AY$1005="Direkomendasikan",ROW($6:$1005)-5),510)))&gt;0,COUNTIF(INDIRECT("'KERTAS KERJA'!K"&amp;(SMALL(IF(checklistPesertaKemenkeu!$AY$6:$AY$1005="Direkomendasikan",ROW($6:$1005)-5),510)+5)&amp;":O"&amp;(SMALL(IF(checklistPesertaKemenkeu!$AY$6:$AY$1005="Direkomendasikan",ROW($6:$1005)-5),510)+5)),INDEX(checklistPesertaKemenkeu!$N$6:$N$1005,SMALL(IF(checklistPesertaKemenkeu!$AY$6:$AY$1005="Direkomendasikan",ROW($6:$1005)-5),510)))=1),IFERROR(VLOOKUP(INDEX(checklistPesertaKemenkeu!$N$6:$N$1005,SMALL(IF(checklistPesertaKemenkeu!$AY$6:$AY$1005="Direkomendasikan",ROW($6:$1005)-5),510)),KotaKode,2,0),"-"),"")),"")</f>
        <v/>
      </c>
      <c r="K511" t="str">
        <f t="array" aca="1" ref="K511" ca="1">IFERROR(IF(OR(INDEX(checklistPesertaKemenkeu!$O$6:$O$1005,SMALL(IF(checklistPesertaKemenkeu!$AY$6:$AY$1005="Direkomendasikan",ROW($6:$1005)-5),510))="",INDEX(checklistPesertaKemenkeu!$J$6:$J$1005,SMALL(IF(checklistPesertaKemenkeu!$AY$6:$AY$1005="Direkomendasikan",ROW($6:$1005)-5),510))=""),"",IF(AND(COUNTIF(INDIRECT("K_"&amp;MATCH(INDEX(checklistPesertaKemenkeu!$J$6:$J$1005,SMALL(IF(checklistPesertaKemenkeu!$AY$6:$AY$1005="Direkomendasikan",ROW($6:$1005)-5),510)),BidangList,0)),INDEX(checklistPesertaKemenkeu!$O$6:$O$1005,SMALL(IF(checklistPesertaKemenkeu!$AY$6:$AY$1005="Direkomendasikan",ROW($6:$1005)-5),510)))&gt;0,COUNTIF(INDIRECT("'KERTAS KERJA'!K"&amp;(SMALL(IF(checklistPesertaKemenkeu!$AY$6:$AY$1005="Direkomendasikan",ROW($6:$1005)-5),510)+5)&amp;":O"&amp;(SMALL(IF(checklistPesertaKemenkeu!$AY$6:$AY$1005="Direkomendasikan",ROW($6:$1005)-5),510)+5)),INDEX(checklistPesertaKemenkeu!$O$6:$O$1005,SMALL(IF(checklistPesertaKemenkeu!$AY$6:$AY$1005="Direkomendasikan",ROW($6:$1005)-5),510)))=1),IFERROR(VLOOKUP(INDEX(checklistPesertaKemenkeu!$O$6:$O$1005,SMALL(IF(checklistPesertaKemenkeu!$AY$6:$AY$1005="Direkomendasikan",ROW($6:$1005)-5),510)),KotaKode,2,0),"-"),"")),"")</f>
        <v/>
      </c>
      <c r="L511" t="str">
        <f t="array" aca="1" ref="L511" ca="1">IFERROR(IF(OR(INDEX(checklistPesertaKemenkeu!$P$6:$P$1005,SMALL(IF(checklistPesertaKemenkeu!$AY$6:$AY$1005="Direkomendasikan",ROW($6:$1005)-5),510))="",INDEX(checklistPesertaKemenkeu!$J$6:$J$1005,SMALL(IF(checklistPesertaKemenkeu!$AY$6:$AY$1005="Direkomendasikan",ROW($6:$1005)-5),510))=""),"",IF(AND(COUNTIF(INDIRECT("K_"&amp;MATCH(INDEX(checklistPesertaKemenkeu!$J$6:$J$1005,SMALL(IF(checklistPesertaKemenkeu!$AY$6:$AY$1005="Direkomendasikan",ROW($6:$1005)-5),510)),BidangList,0)),INDEX(checklistPesertaKemenkeu!$P$6:$P$1005,SMALL(IF(checklistPesertaKemenkeu!$AY$6:$AY$1005="Direkomendasikan",ROW($6:$1005)-5),510)))&gt;0,COUNTIF(INDIRECT("'KERTAS KERJA'!K"&amp;(SMALL(IF(checklistPesertaKemenkeu!$AY$6:$AY$1005="Direkomendasikan",ROW($6:$1005)-5),510)+5)&amp;":O"&amp;(SMALL(IF(checklistPesertaKemenkeu!$AY$6:$AY$1005="Direkomendasikan",ROW($6:$1005)-5),510)+5)),INDEX(checklistPesertaKemenkeu!$P$6:$P$1005,SMALL(IF(checklistPesertaKemenkeu!$AY$6:$AY$1005="Direkomendasikan",ROW($6:$1005)-5),510)))=1),IFERROR(VLOOKUP(INDEX(checklistPesertaKemenkeu!$P$6:$P$1005,SMALL(IF(checklistPesertaKemenkeu!$AY$6:$AY$1005="Direkomendasikan",ROW($6:$1005)-5),510)),KotaKode,2,0),"-"),"")),"")</f>
        <v/>
      </c>
    </row>
    <row r="512" spans="1:12" ht="15" customHeight="1" x14ac:dyDescent="0.2">
      <c r="A512" t="str">
        <f t="shared" si="7"/>
        <v/>
      </c>
      <c r="B512" t="str">
        <v/>
      </c>
      <c r="C512" s="40" t="str">
        <f t="array" ref="C512">IFERROR(INDEX(checklistPesertaKemenkeu!$F$6:$F$1005,SMALL(IF(checklistPesertaKemenkeu!$AY$6:$AY$1005="Direkomendasikan",ROW($6:$1005)-5),511)),"")</f>
        <v/>
      </c>
      <c r="D512" t="str">
        <f t="array" ref="D512">IFERROR(INDEX(checklistPesertaKemenkeu!$G$6:$G$1005,SMALL(IF(checklistPesertaKemenkeu!$AY$6:$AY$1005="Direkomendasikan",ROW($6:$1005)-5),511)),"")</f>
        <v/>
      </c>
      <c r="E512" t="str">
        <f t="array" ref="E512">IFERROR(INDEX(checklistPesertaKemenkeu!$H$6:$H$1005,SMALL(IF(checklistPesertaKemenkeu!$AY$6:$AY$1005="Direkomendasikan",ROW($6:$1005)-5),511)),"")</f>
        <v/>
      </c>
      <c r="F512" t="str">
        <f t="array" ref="F512">IFERROR(INDEX(checklistPesertaKemenkeu!$I$6:$I$1005,SMALL(IF(checklistPesertaKemenkeu!$AY$6:$AY$1005="Direkomendasikan",ROW($6:$1005)-5),511)),"")</f>
        <v/>
      </c>
      <c r="G512" t="str">
        <f t="array" ref="G512">IFERROR(INDEX(checklistPesertaKemenkeu!$J$6:$J$1005,SMALL(IF(checklistPesertaKemenkeu!$AY$6:$AY$1005="Direkomendasikan",ROW($6:$1005)-5),511)),"")</f>
        <v/>
      </c>
      <c r="H512" t="str">
        <f t="array" aca="1" ref="H512" ca="1">IFERROR(IF(OR(INDEX(checklistPesertaKemenkeu!$L$6:$L$1005,SMALL(IF(checklistPesertaKemenkeu!$AY$6:$AY$1005="Direkomendasikan",ROW($6:$1005)-5),511))="",INDEX(checklistPesertaKemenkeu!$J$6:$J$1005,SMALL(IF(checklistPesertaKemenkeu!$AY$6:$AY$1005="Direkomendasikan",ROW($6:$1005)-5),511))=""),"",IF(AND(COUNTIF(INDIRECT("K_"&amp;MATCH(INDEX(checklistPesertaKemenkeu!$J$6:$J$1005,SMALL(IF(checklistPesertaKemenkeu!$AY$6:$AY$1005="Direkomendasikan",ROW($6:$1005)-5),511)),BidangList,0)),INDEX(checklistPesertaKemenkeu!$L$6:$L$1005,SMALL(IF(checklistPesertaKemenkeu!$AY$6:$AY$1005="Direkomendasikan",ROW($6:$1005)-5),511)))&gt;0,COUNTIF(INDIRECT("'KERTAS KERJA'!K"&amp;(SMALL(IF(checklistPesertaKemenkeu!$AY$6:$AY$1005="Direkomendasikan",ROW($6:$1005)-5),511)+5)&amp;":O"&amp;(SMALL(IF(checklistPesertaKemenkeu!$AY$6:$AY$1005="Direkomendasikan",ROW($6:$1005)-5),511)+5)),INDEX(checklistPesertaKemenkeu!$L$6:$L$1005,SMALL(IF(checklistPesertaKemenkeu!$AY$6:$AY$1005="Direkomendasikan",ROW($6:$1005)-5),511)))=1),IFERROR(VLOOKUP(INDEX(checklistPesertaKemenkeu!$L$6:$L$1005,SMALL(IF(checklistPesertaKemenkeu!$AY$6:$AY$1005="Direkomendasikan",ROW($6:$1005)-5),511)),KotaKode,2,0),"-"),"")),"")</f>
        <v/>
      </c>
      <c r="I512" t="str">
        <f t="array" aca="1" ref="I512" ca="1">IFERROR(IF(OR(INDEX(checklistPesertaKemenkeu!$M$6:$M$1005,SMALL(IF(checklistPesertaKemenkeu!$AY$6:$AY$1005="Direkomendasikan",ROW($6:$1005)-5),511))="",INDEX(checklistPesertaKemenkeu!$J$6:$J$1005,SMALL(IF(checklistPesertaKemenkeu!$AY$6:$AY$1005="Direkomendasikan",ROW($6:$1005)-5),511))=""),"",IF(AND(COUNTIF(INDIRECT("K_"&amp;MATCH(INDEX(checklistPesertaKemenkeu!$J$6:$J$1005,SMALL(IF(checklistPesertaKemenkeu!$AY$6:$AY$1005="Direkomendasikan",ROW($6:$1005)-5),511)),BidangList,0)),INDEX(checklistPesertaKemenkeu!$M$6:$M$1005,SMALL(IF(checklistPesertaKemenkeu!$AY$6:$AY$1005="Direkomendasikan",ROW($6:$1005)-5),511)))&gt;0,COUNTIF(INDIRECT("'KERTAS KERJA'!K"&amp;(SMALL(IF(checklistPesertaKemenkeu!$AY$6:$AY$1005="Direkomendasikan",ROW($6:$1005)-5),511)+5)&amp;":O"&amp;(SMALL(IF(checklistPesertaKemenkeu!$AY$6:$AY$1005="Direkomendasikan",ROW($6:$1005)-5),511)+5)),INDEX(checklistPesertaKemenkeu!$M$6:$M$1005,SMALL(IF(checklistPesertaKemenkeu!$AY$6:$AY$1005="Direkomendasikan",ROW($6:$1005)-5),511)))=1),IFERROR(VLOOKUP(INDEX(checklistPesertaKemenkeu!$M$6:$M$1005,SMALL(IF(checklistPesertaKemenkeu!$AY$6:$AY$1005="Direkomendasikan",ROW($6:$1005)-5),511)),KotaKode,2,0),"-"),"")),"")</f>
        <v/>
      </c>
      <c r="J512" t="str">
        <f t="array" aca="1" ref="J512" ca="1">IFERROR(IF(OR(INDEX(checklistPesertaKemenkeu!$N$6:$N$1005,SMALL(IF(checklistPesertaKemenkeu!$AY$6:$AY$1005="Direkomendasikan",ROW($6:$1005)-5),511))="",INDEX(checklistPesertaKemenkeu!$J$6:$J$1005,SMALL(IF(checklistPesertaKemenkeu!$AY$6:$AY$1005="Direkomendasikan",ROW($6:$1005)-5),511))=""),"",IF(AND(COUNTIF(INDIRECT("K_"&amp;MATCH(INDEX(checklistPesertaKemenkeu!$J$6:$J$1005,SMALL(IF(checklistPesertaKemenkeu!$AY$6:$AY$1005="Direkomendasikan",ROW($6:$1005)-5),511)),BidangList,0)),INDEX(checklistPesertaKemenkeu!$N$6:$N$1005,SMALL(IF(checklistPesertaKemenkeu!$AY$6:$AY$1005="Direkomendasikan",ROW($6:$1005)-5),511)))&gt;0,COUNTIF(INDIRECT("'KERTAS KERJA'!K"&amp;(SMALL(IF(checklistPesertaKemenkeu!$AY$6:$AY$1005="Direkomendasikan",ROW($6:$1005)-5),511)+5)&amp;":O"&amp;(SMALL(IF(checklistPesertaKemenkeu!$AY$6:$AY$1005="Direkomendasikan",ROW($6:$1005)-5),511)+5)),INDEX(checklistPesertaKemenkeu!$N$6:$N$1005,SMALL(IF(checklistPesertaKemenkeu!$AY$6:$AY$1005="Direkomendasikan",ROW($6:$1005)-5),511)))=1),IFERROR(VLOOKUP(INDEX(checklistPesertaKemenkeu!$N$6:$N$1005,SMALL(IF(checklistPesertaKemenkeu!$AY$6:$AY$1005="Direkomendasikan",ROW($6:$1005)-5),511)),KotaKode,2,0),"-"),"")),"")</f>
        <v/>
      </c>
      <c r="K512" t="str">
        <f t="array" aca="1" ref="K512" ca="1">IFERROR(IF(OR(INDEX(checklistPesertaKemenkeu!$O$6:$O$1005,SMALL(IF(checklistPesertaKemenkeu!$AY$6:$AY$1005="Direkomendasikan",ROW($6:$1005)-5),511))="",INDEX(checklistPesertaKemenkeu!$J$6:$J$1005,SMALL(IF(checklistPesertaKemenkeu!$AY$6:$AY$1005="Direkomendasikan",ROW($6:$1005)-5),511))=""),"",IF(AND(COUNTIF(INDIRECT("K_"&amp;MATCH(INDEX(checklistPesertaKemenkeu!$J$6:$J$1005,SMALL(IF(checklistPesertaKemenkeu!$AY$6:$AY$1005="Direkomendasikan",ROW($6:$1005)-5),511)),BidangList,0)),INDEX(checklistPesertaKemenkeu!$O$6:$O$1005,SMALL(IF(checklistPesertaKemenkeu!$AY$6:$AY$1005="Direkomendasikan",ROW($6:$1005)-5),511)))&gt;0,COUNTIF(INDIRECT("'KERTAS KERJA'!K"&amp;(SMALL(IF(checklistPesertaKemenkeu!$AY$6:$AY$1005="Direkomendasikan",ROW($6:$1005)-5),511)+5)&amp;":O"&amp;(SMALL(IF(checklistPesertaKemenkeu!$AY$6:$AY$1005="Direkomendasikan",ROW($6:$1005)-5),511)+5)),INDEX(checklistPesertaKemenkeu!$O$6:$O$1005,SMALL(IF(checklistPesertaKemenkeu!$AY$6:$AY$1005="Direkomendasikan",ROW($6:$1005)-5),511)))=1),IFERROR(VLOOKUP(INDEX(checklistPesertaKemenkeu!$O$6:$O$1005,SMALL(IF(checklistPesertaKemenkeu!$AY$6:$AY$1005="Direkomendasikan",ROW($6:$1005)-5),511)),KotaKode,2,0),"-"),"")),"")</f>
        <v/>
      </c>
      <c r="L512" t="str">
        <f t="array" aca="1" ref="L512" ca="1">IFERROR(IF(OR(INDEX(checklistPesertaKemenkeu!$P$6:$P$1005,SMALL(IF(checklistPesertaKemenkeu!$AY$6:$AY$1005="Direkomendasikan",ROW($6:$1005)-5),511))="",INDEX(checklistPesertaKemenkeu!$J$6:$J$1005,SMALL(IF(checklistPesertaKemenkeu!$AY$6:$AY$1005="Direkomendasikan",ROW($6:$1005)-5),511))=""),"",IF(AND(COUNTIF(INDIRECT("K_"&amp;MATCH(INDEX(checklistPesertaKemenkeu!$J$6:$J$1005,SMALL(IF(checklistPesertaKemenkeu!$AY$6:$AY$1005="Direkomendasikan",ROW($6:$1005)-5),511)),BidangList,0)),INDEX(checklistPesertaKemenkeu!$P$6:$P$1005,SMALL(IF(checklistPesertaKemenkeu!$AY$6:$AY$1005="Direkomendasikan",ROW($6:$1005)-5),511)))&gt;0,COUNTIF(INDIRECT("'KERTAS KERJA'!K"&amp;(SMALL(IF(checklistPesertaKemenkeu!$AY$6:$AY$1005="Direkomendasikan",ROW($6:$1005)-5),511)+5)&amp;":O"&amp;(SMALL(IF(checklistPesertaKemenkeu!$AY$6:$AY$1005="Direkomendasikan",ROW($6:$1005)-5),511)+5)),INDEX(checklistPesertaKemenkeu!$P$6:$P$1005,SMALL(IF(checklistPesertaKemenkeu!$AY$6:$AY$1005="Direkomendasikan",ROW($6:$1005)-5),511)))=1),IFERROR(VLOOKUP(INDEX(checklistPesertaKemenkeu!$P$6:$P$1005,SMALL(IF(checklistPesertaKemenkeu!$AY$6:$AY$1005="Direkomendasikan",ROW($6:$1005)-5),511)),KotaKode,2,0),"-"),"")),"")</f>
        <v/>
      </c>
    </row>
    <row r="513" spans="1:12" ht="15" customHeight="1" x14ac:dyDescent="0.2">
      <c r="A513" t="str">
        <f t="shared" si="7"/>
        <v/>
      </c>
      <c r="B513" t="str">
        <v/>
      </c>
      <c r="C513" s="40" t="str">
        <f t="array" ref="C513">IFERROR(INDEX(checklistPesertaKemenkeu!$F$6:$F$1005,SMALL(IF(checklistPesertaKemenkeu!$AY$6:$AY$1005="Direkomendasikan",ROW($6:$1005)-5),512)),"")</f>
        <v/>
      </c>
      <c r="D513" t="str">
        <f t="array" ref="D513">IFERROR(INDEX(checklistPesertaKemenkeu!$G$6:$G$1005,SMALL(IF(checklistPesertaKemenkeu!$AY$6:$AY$1005="Direkomendasikan",ROW($6:$1005)-5),512)),"")</f>
        <v/>
      </c>
      <c r="E513" t="str">
        <f t="array" ref="E513">IFERROR(INDEX(checklistPesertaKemenkeu!$H$6:$H$1005,SMALL(IF(checklistPesertaKemenkeu!$AY$6:$AY$1005="Direkomendasikan",ROW($6:$1005)-5),512)),"")</f>
        <v/>
      </c>
      <c r="F513" t="str">
        <f t="array" ref="F513">IFERROR(INDEX(checklistPesertaKemenkeu!$I$6:$I$1005,SMALL(IF(checklistPesertaKemenkeu!$AY$6:$AY$1005="Direkomendasikan",ROW($6:$1005)-5),512)),"")</f>
        <v/>
      </c>
      <c r="G513" t="str">
        <f t="array" ref="G513">IFERROR(INDEX(checklistPesertaKemenkeu!$J$6:$J$1005,SMALL(IF(checklistPesertaKemenkeu!$AY$6:$AY$1005="Direkomendasikan",ROW($6:$1005)-5),512)),"")</f>
        <v/>
      </c>
      <c r="H513" t="str">
        <f t="array" aca="1" ref="H513" ca="1">IFERROR(IF(OR(INDEX(checklistPesertaKemenkeu!$L$6:$L$1005,SMALL(IF(checklistPesertaKemenkeu!$AY$6:$AY$1005="Direkomendasikan",ROW($6:$1005)-5),512))="",INDEX(checklistPesertaKemenkeu!$J$6:$J$1005,SMALL(IF(checklistPesertaKemenkeu!$AY$6:$AY$1005="Direkomendasikan",ROW($6:$1005)-5),512))=""),"",IF(AND(COUNTIF(INDIRECT("K_"&amp;MATCH(INDEX(checklistPesertaKemenkeu!$J$6:$J$1005,SMALL(IF(checklistPesertaKemenkeu!$AY$6:$AY$1005="Direkomendasikan",ROW($6:$1005)-5),512)),BidangList,0)),INDEX(checklistPesertaKemenkeu!$L$6:$L$1005,SMALL(IF(checklistPesertaKemenkeu!$AY$6:$AY$1005="Direkomendasikan",ROW($6:$1005)-5),512)))&gt;0,COUNTIF(INDIRECT("'KERTAS KERJA'!K"&amp;(SMALL(IF(checklistPesertaKemenkeu!$AY$6:$AY$1005="Direkomendasikan",ROW($6:$1005)-5),512)+5)&amp;":O"&amp;(SMALL(IF(checklistPesertaKemenkeu!$AY$6:$AY$1005="Direkomendasikan",ROW($6:$1005)-5),512)+5)),INDEX(checklistPesertaKemenkeu!$L$6:$L$1005,SMALL(IF(checklistPesertaKemenkeu!$AY$6:$AY$1005="Direkomendasikan",ROW($6:$1005)-5),512)))=1),IFERROR(VLOOKUP(INDEX(checklistPesertaKemenkeu!$L$6:$L$1005,SMALL(IF(checklistPesertaKemenkeu!$AY$6:$AY$1005="Direkomendasikan",ROW($6:$1005)-5),512)),KotaKode,2,0),"-"),"")),"")</f>
        <v/>
      </c>
      <c r="I513" t="str">
        <f t="array" aca="1" ref="I513" ca="1">IFERROR(IF(OR(INDEX(checklistPesertaKemenkeu!$M$6:$M$1005,SMALL(IF(checklistPesertaKemenkeu!$AY$6:$AY$1005="Direkomendasikan",ROW($6:$1005)-5),512))="",INDEX(checklistPesertaKemenkeu!$J$6:$J$1005,SMALL(IF(checklistPesertaKemenkeu!$AY$6:$AY$1005="Direkomendasikan",ROW($6:$1005)-5),512))=""),"",IF(AND(COUNTIF(INDIRECT("K_"&amp;MATCH(INDEX(checklistPesertaKemenkeu!$J$6:$J$1005,SMALL(IF(checklistPesertaKemenkeu!$AY$6:$AY$1005="Direkomendasikan",ROW($6:$1005)-5),512)),BidangList,0)),INDEX(checklistPesertaKemenkeu!$M$6:$M$1005,SMALL(IF(checklistPesertaKemenkeu!$AY$6:$AY$1005="Direkomendasikan",ROW($6:$1005)-5),512)))&gt;0,COUNTIF(INDIRECT("'KERTAS KERJA'!K"&amp;(SMALL(IF(checklistPesertaKemenkeu!$AY$6:$AY$1005="Direkomendasikan",ROW($6:$1005)-5),512)+5)&amp;":O"&amp;(SMALL(IF(checklistPesertaKemenkeu!$AY$6:$AY$1005="Direkomendasikan",ROW($6:$1005)-5),512)+5)),INDEX(checklistPesertaKemenkeu!$M$6:$M$1005,SMALL(IF(checklistPesertaKemenkeu!$AY$6:$AY$1005="Direkomendasikan",ROW($6:$1005)-5),512)))=1),IFERROR(VLOOKUP(INDEX(checklistPesertaKemenkeu!$M$6:$M$1005,SMALL(IF(checklistPesertaKemenkeu!$AY$6:$AY$1005="Direkomendasikan",ROW($6:$1005)-5),512)),KotaKode,2,0),"-"),"")),"")</f>
        <v/>
      </c>
      <c r="J513" t="str">
        <f t="array" aca="1" ref="J513" ca="1">IFERROR(IF(OR(INDEX(checklistPesertaKemenkeu!$N$6:$N$1005,SMALL(IF(checklistPesertaKemenkeu!$AY$6:$AY$1005="Direkomendasikan",ROW($6:$1005)-5),512))="",INDEX(checklistPesertaKemenkeu!$J$6:$J$1005,SMALL(IF(checklistPesertaKemenkeu!$AY$6:$AY$1005="Direkomendasikan",ROW($6:$1005)-5),512))=""),"",IF(AND(COUNTIF(INDIRECT("K_"&amp;MATCH(INDEX(checklistPesertaKemenkeu!$J$6:$J$1005,SMALL(IF(checklistPesertaKemenkeu!$AY$6:$AY$1005="Direkomendasikan",ROW($6:$1005)-5),512)),BidangList,0)),INDEX(checklistPesertaKemenkeu!$N$6:$N$1005,SMALL(IF(checklistPesertaKemenkeu!$AY$6:$AY$1005="Direkomendasikan",ROW($6:$1005)-5),512)))&gt;0,COUNTIF(INDIRECT("'KERTAS KERJA'!K"&amp;(SMALL(IF(checklistPesertaKemenkeu!$AY$6:$AY$1005="Direkomendasikan",ROW($6:$1005)-5),512)+5)&amp;":O"&amp;(SMALL(IF(checklistPesertaKemenkeu!$AY$6:$AY$1005="Direkomendasikan",ROW($6:$1005)-5),512)+5)),INDEX(checklistPesertaKemenkeu!$N$6:$N$1005,SMALL(IF(checklistPesertaKemenkeu!$AY$6:$AY$1005="Direkomendasikan",ROW($6:$1005)-5),512)))=1),IFERROR(VLOOKUP(INDEX(checklistPesertaKemenkeu!$N$6:$N$1005,SMALL(IF(checklistPesertaKemenkeu!$AY$6:$AY$1005="Direkomendasikan",ROW($6:$1005)-5),512)),KotaKode,2,0),"-"),"")),"")</f>
        <v/>
      </c>
      <c r="K513" t="str">
        <f t="array" aca="1" ref="K513" ca="1">IFERROR(IF(OR(INDEX(checklistPesertaKemenkeu!$O$6:$O$1005,SMALL(IF(checklistPesertaKemenkeu!$AY$6:$AY$1005="Direkomendasikan",ROW($6:$1005)-5),512))="",INDEX(checklistPesertaKemenkeu!$J$6:$J$1005,SMALL(IF(checklistPesertaKemenkeu!$AY$6:$AY$1005="Direkomendasikan",ROW($6:$1005)-5),512))=""),"",IF(AND(COUNTIF(INDIRECT("K_"&amp;MATCH(INDEX(checklistPesertaKemenkeu!$J$6:$J$1005,SMALL(IF(checklistPesertaKemenkeu!$AY$6:$AY$1005="Direkomendasikan",ROW($6:$1005)-5),512)),BidangList,0)),INDEX(checklistPesertaKemenkeu!$O$6:$O$1005,SMALL(IF(checklistPesertaKemenkeu!$AY$6:$AY$1005="Direkomendasikan",ROW($6:$1005)-5),512)))&gt;0,COUNTIF(INDIRECT("'KERTAS KERJA'!K"&amp;(SMALL(IF(checklistPesertaKemenkeu!$AY$6:$AY$1005="Direkomendasikan",ROW($6:$1005)-5),512)+5)&amp;":O"&amp;(SMALL(IF(checklistPesertaKemenkeu!$AY$6:$AY$1005="Direkomendasikan",ROW($6:$1005)-5),512)+5)),INDEX(checklistPesertaKemenkeu!$O$6:$O$1005,SMALL(IF(checklistPesertaKemenkeu!$AY$6:$AY$1005="Direkomendasikan",ROW($6:$1005)-5),512)))=1),IFERROR(VLOOKUP(INDEX(checklistPesertaKemenkeu!$O$6:$O$1005,SMALL(IF(checklistPesertaKemenkeu!$AY$6:$AY$1005="Direkomendasikan",ROW($6:$1005)-5),512)),KotaKode,2,0),"-"),"")),"")</f>
        <v/>
      </c>
      <c r="L513" t="str">
        <f t="array" aca="1" ref="L513" ca="1">IFERROR(IF(OR(INDEX(checklistPesertaKemenkeu!$P$6:$P$1005,SMALL(IF(checklistPesertaKemenkeu!$AY$6:$AY$1005="Direkomendasikan",ROW($6:$1005)-5),512))="",INDEX(checklistPesertaKemenkeu!$J$6:$J$1005,SMALL(IF(checklistPesertaKemenkeu!$AY$6:$AY$1005="Direkomendasikan",ROW($6:$1005)-5),512))=""),"",IF(AND(COUNTIF(INDIRECT("K_"&amp;MATCH(INDEX(checklistPesertaKemenkeu!$J$6:$J$1005,SMALL(IF(checklistPesertaKemenkeu!$AY$6:$AY$1005="Direkomendasikan",ROW($6:$1005)-5),512)),BidangList,0)),INDEX(checklistPesertaKemenkeu!$P$6:$P$1005,SMALL(IF(checklistPesertaKemenkeu!$AY$6:$AY$1005="Direkomendasikan",ROW($6:$1005)-5),512)))&gt;0,COUNTIF(INDIRECT("'KERTAS KERJA'!K"&amp;(SMALL(IF(checklistPesertaKemenkeu!$AY$6:$AY$1005="Direkomendasikan",ROW($6:$1005)-5),512)+5)&amp;":O"&amp;(SMALL(IF(checklistPesertaKemenkeu!$AY$6:$AY$1005="Direkomendasikan",ROW($6:$1005)-5),512)+5)),INDEX(checklistPesertaKemenkeu!$P$6:$P$1005,SMALL(IF(checklistPesertaKemenkeu!$AY$6:$AY$1005="Direkomendasikan",ROW($6:$1005)-5),512)))=1),IFERROR(VLOOKUP(INDEX(checklistPesertaKemenkeu!$P$6:$P$1005,SMALL(IF(checklistPesertaKemenkeu!$AY$6:$AY$1005="Direkomendasikan",ROW($6:$1005)-5),512)),KotaKode,2,0),"-"),"")),"")</f>
        <v/>
      </c>
    </row>
    <row r="514" spans="1:12" ht="15" customHeight="1" x14ac:dyDescent="0.2">
      <c r="A514" t="str">
        <f t="shared" ref="A514:A577" si="8">IF(C514="","",ROW()-1)</f>
        <v/>
      </c>
      <c r="B514" t="str">
        <v/>
      </c>
      <c r="C514" s="40" t="str">
        <f t="array" ref="C514">IFERROR(INDEX(checklistPesertaKemenkeu!$F$6:$F$1005,SMALL(IF(checklistPesertaKemenkeu!$AY$6:$AY$1005="Direkomendasikan",ROW($6:$1005)-5),513)),"")</f>
        <v/>
      </c>
      <c r="D514" t="str">
        <f t="array" ref="D514">IFERROR(INDEX(checklistPesertaKemenkeu!$G$6:$G$1005,SMALL(IF(checklistPesertaKemenkeu!$AY$6:$AY$1005="Direkomendasikan",ROW($6:$1005)-5),513)),"")</f>
        <v/>
      </c>
      <c r="E514" t="str">
        <f t="array" ref="E514">IFERROR(INDEX(checklistPesertaKemenkeu!$H$6:$H$1005,SMALL(IF(checklistPesertaKemenkeu!$AY$6:$AY$1005="Direkomendasikan",ROW($6:$1005)-5),513)),"")</f>
        <v/>
      </c>
      <c r="F514" t="str">
        <f t="array" ref="F514">IFERROR(INDEX(checklistPesertaKemenkeu!$I$6:$I$1005,SMALL(IF(checklistPesertaKemenkeu!$AY$6:$AY$1005="Direkomendasikan",ROW($6:$1005)-5),513)),"")</f>
        <v/>
      </c>
      <c r="G514" t="str">
        <f t="array" ref="G514">IFERROR(INDEX(checklistPesertaKemenkeu!$J$6:$J$1005,SMALL(IF(checklistPesertaKemenkeu!$AY$6:$AY$1005="Direkomendasikan",ROW($6:$1005)-5),513)),"")</f>
        <v/>
      </c>
      <c r="H514" t="str">
        <f t="array" aca="1" ref="H514" ca="1">IFERROR(IF(OR(INDEX(checklistPesertaKemenkeu!$L$6:$L$1005,SMALL(IF(checklistPesertaKemenkeu!$AY$6:$AY$1005="Direkomendasikan",ROW($6:$1005)-5),513))="",INDEX(checklistPesertaKemenkeu!$J$6:$J$1005,SMALL(IF(checklistPesertaKemenkeu!$AY$6:$AY$1005="Direkomendasikan",ROW($6:$1005)-5),513))=""),"",IF(AND(COUNTIF(INDIRECT("K_"&amp;MATCH(INDEX(checklistPesertaKemenkeu!$J$6:$J$1005,SMALL(IF(checklistPesertaKemenkeu!$AY$6:$AY$1005="Direkomendasikan",ROW($6:$1005)-5),513)),BidangList,0)),INDEX(checklistPesertaKemenkeu!$L$6:$L$1005,SMALL(IF(checklistPesertaKemenkeu!$AY$6:$AY$1005="Direkomendasikan",ROW($6:$1005)-5),513)))&gt;0,COUNTIF(INDIRECT("'KERTAS KERJA'!K"&amp;(SMALL(IF(checklistPesertaKemenkeu!$AY$6:$AY$1005="Direkomendasikan",ROW($6:$1005)-5),513)+5)&amp;":O"&amp;(SMALL(IF(checklistPesertaKemenkeu!$AY$6:$AY$1005="Direkomendasikan",ROW($6:$1005)-5),513)+5)),INDEX(checklistPesertaKemenkeu!$L$6:$L$1005,SMALL(IF(checklistPesertaKemenkeu!$AY$6:$AY$1005="Direkomendasikan",ROW($6:$1005)-5),513)))=1),IFERROR(VLOOKUP(INDEX(checklistPesertaKemenkeu!$L$6:$L$1005,SMALL(IF(checklistPesertaKemenkeu!$AY$6:$AY$1005="Direkomendasikan",ROW($6:$1005)-5),513)),KotaKode,2,0),"-"),"")),"")</f>
        <v/>
      </c>
      <c r="I514" t="str">
        <f t="array" aca="1" ref="I514" ca="1">IFERROR(IF(OR(INDEX(checklistPesertaKemenkeu!$M$6:$M$1005,SMALL(IF(checklistPesertaKemenkeu!$AY$6:$AY$1005="Direkomendasikan",ROW($6:$1005)-5),513))="",INDEX(checklistPesertaKemenkeu!$J$6:$J$1005,SMALL(IF(checklistPesertaKemenkeu!$AY$6:$AY$1005="Direkomendasikan",ROW($6:$1005)-5),513))=""),"",IF(AND(COUNTIF(INDIRECT("K_"&amp;MATCH(INDEX(checklistPesertaKemenkeu!$J$6:$J$1005,SMALL(IF(checklistPesertaKemenkeu!$AY$6:$AY$1005="Direkomendasikan",ROW($6:$1005)-5),513)),BidangList,0)),INDEX(checklistPesertaKemenkeu!$M$6:$M$1005,SMALL(IF(checklistPesertaKemenkeu!$AY$6:$AY$1005="Direkomendasikan",ROW($6:$1005)-5),513)))&gt;0,COUNTIF(INDIRECT("'KERTAS KERJA'!K"&amp;(SMALL(IF(checklistPesertaKemenkeu!$AY$6:$AY$1005="Direkomendasikan",ROW($6:$1005)-5),513)+5)&amp;":O"&amp;(SMALL(IF(checklistPesertaKemenkeu!$AY$6:$AY$1005="Direkomendasikan",ROW($6:$1005)-5),513)+5)),INDEX(checklistPesertaKemenkeu!$M$6:$M$1005,SMALL(IF(checklistPesertaKemenkeu!$AY$6:$AY$1005="Direkomendasikan",ROW($6:$1005)-5),513)))=1),IFERROR(VLOOKUP(INDEX(checklistPesertaKemenkeu!$M$6:$M$1005,SMALL(IF(checklistPesertaKemenkeu!$AY$6:$AY$1005="Direkomendasikan",ROW($6:$1005)-5),513)),KotaKode,2,0),"-"),"")),"")</f>
        <v/>
      </c>
      <c r="J514" t="str">
        <f t="array" aca="1" ref="J514" ca="1">IFERROR(IF(OR(INDEX(checklistPesertaKemenkeu!$N$6:$N$1005,SMALL(IF(checklistPesertaKemenkeu!$AY$6:$AY$1005="Direkomendasikan",ROW($6:$1005)-5),513))="",INDEX(checklistPesertaKemenkeu!$J$6:$J$1005,SMALL(IF(checklistPesertaKemenkeu!$AY$6:$AY$1005="Direkomendasikan",ROW($6:$1005)-5),513))=""),"",IF(AND(COUNTIF(INDIRECT("K_"&amp;MATCH(INDEX(checklistPesertaKemenkeu!$J$6:$J$1005,SMALL(IF(checklistPesertaKemenkeu!$AY$6:$AY$1005="Direkomendasikan",ROW($6:$1005)-5),513)),BidangList,0)),INDEX(checklistPesertaKemenkeu!$N$6:$N$1005,SMALL(IF(checklistPesertaKemenkeu!$AY$6:$AY$1005="Direkomendasikan",ROW($6:$1005)-5),513)))&gt;0,COUNTIF(INDIRECT("'KERTAS KERJA'!K"&amp;(SMALL(IF(checklistPesertaKemenkeu!$AY$6:$AY$1005="Direkomendasikan",ROW($6:$1005)-5),513)+5)&amp;":O"&amp;(SMALL(IF(checklistPesertaKemenkeu!$AY$6:$AY$1005="Direkomendasikan",ROW($6:$1005)-5),513)+5)),INDEX(checklistPesertaKemenkeu!$N$6:$N$1005,SMALL(IF(checklistPesertaKemenkeu!$AY$6:$AY$1005="Direkomendasikan",ROW($6:$1005)-5),513)))=1),IFERROR(VLOOKUP(INDEX(checklistPesertaKemenkeu!$N$6:$N$1005,SMALL(IF(checklistPesertaKemenkeu!$AY$6:$AY$1005="Direkomendasikan",ROW($6:$1005)-5),513)),KotaKode,2,0),"-"),"")),"")</f>
        <v/>
      </c>
      <c r="K514" t="str">
        <f t="array" aca="1" ref="K514" ca="1">IFERROR(IF(OR(INDEX(checklistPesertaKemenkeu!$O$6:$O$1005,SMALL(IF(checklistPesertaKemenkeu!$AY$6:$AY$1005="Direkomendasikan",ROW($6:$1005)-5),513))="",INDEX(checklistPesertaKemenkeu!$J$6:$J$1005,SMALL(IF(checklistPesertaKemenkeu!$AY$6:$AY$1005="Direkomendasikan",ROW($6:$1005)-5),513))=""),"",IF(AND(COUNTIF(INDIRECT("K_"&amp;MATCH(INDEX(checklistPesertaKemenkeu!$J$6:$J$1005,SMALL(IF(checklistPesertaKemenkeu!$AY$6:$AY$1005="Direkomendasikan",ROW($6:$1005)-5),513)),BidangList,0)),INDEX(checklistPesertaKemenkeu!$O$6:$O$1005,SMALL(IF(checklistPesertaKemenkeu!$AY$6:$AY$1005="Direkomendasikan",ROW($6:$1005)-5),513)))&gt;0,COUNTIF(INDIRECT("'KERTAS KERJA'!K"&amp;(SMALL(IF(checklistPesertaKemenkeu!$AY$6:$AY$1005="Direkomendasikan",ROW($6:$1005)-5),513)+5)&amp;":O"&amp;(SMALL(IF(checklistPesertaKemenkeu!$AY$6:$AY$1005="Direkomendasikan",ROW($6:$1005)-5),513)+5)),INDEX(checklistPesertaKemenkeu!$O$6:$O$1005,SMALL(IF(checklistPesertaKemenkeu!$AY$6:$AY$1005="Direkomendasikan",ROW($6:$1005)-5),513)))=1),IFERROR(VLOOKUP(INDEX(checklistPesertaKemenkeu!$O$6:$O$1005,SMALL(IF(checklistPesertaKemenkeu!$AY$6:$AY$1005="Direkomendasikan",ROW($6:$1005)-5),513)),KotaKode,2,0),"-"),"")),"")</f>
        <v/>
      </c>
      <c r="L514" t="str">
        <f t="array" aca="1" ref="L514" ca="1">IFERROR(IF(OR(INDEX(checklistPesertaKemenkeu!$P$6:$P$1005,SMALL(IF(checklistPesertaKemenkeu!$AY$6:$AY$1005="Direkomendasikan",ROW($6:$1005)-5),513))="",INDEX(checklistPesertaKemenkeu!$J$6:$J$1005,SMALL(IF(checklistPesertaKemenkeu!$AY$6:$AY$1005="Direkomendasikan",ROW($6:$1005)-5),513))=""),"",IF(AND(COUNTIF(INDIRECT("K_"&amp;MATCH(INDEX(checklistPesertaKemenkeu!$J$6:$J$1005,SMALL(IF(checklistPesertaKemenkeu!$AY$6:$AY$1005="Direkomendasikan",ROW($6:$1005)-5),513)),BidangList,0)),INDEX(checklistPesertaKemenkeu!$P$6:$P$1005,SMALL(IF(checklistPesertaKemenkeu!$AY$6:$AY$1005="Direkomendasikan",ROW($6:$1005)-5),513)))&gt;0,COUNTIF(INDIRECT("'KERTAS KERJA'!K"&amp;(SMALL(IF(checklistPesertaKemenkeu!$AY$6:$AY$1005="Direkomendasikan",ROW($6:$1005)-5),513)+5)&amp;":O"&amp;(SMALL(IF(checklistPesertaKemenkeu!$AY$6:$AY$1005="Direkomendasikan",ROW($6:$1005)-5),513)+5)),INDEX(checklistPesertaKemenkeu!$P$6:$P$1005,SMALL(IF(checklistPesertaKemenkeu!$AY$6:$AY$1005="Direkomendasikan",ROW($6:$1005)-5),513)))=1),IFERROR(VLOOKUP(INDEX(checklistPesertaKemenkeu!$P$6:$P$1005,SMALL(IF(checklistPesertaKemenkeu!$AY$6:$AY$1005="Direkomendasikan",ROW($6:$1005)-5),513)),KotaKode,2,0),"-"),"")),"")</f>
        <v/>
      </c>
    </row>
    <row r="515" spans="1:12" ht="15" customHeight="1" x14ac:dyDescent="0.2">
      <c r="A515" t="str">
        <f t="shared" si="8"/>
        <v/>
      </c>
      <c r="B515" t="str">
        <v/>
      </c>
      <c r="C515" s="40" t="str">
        <f t="array" ref="C515">IFERROR(INDEX(checklistPesertaKemenkeu!$F$6:$F$1005,SMALL(IF(checklistPesertaKemenkeu!$AY$6:$AY$1005="Direkomendasikan",ROW($6:$1005)-5),514)),"")</f>
        <v/>
      </c>
      <c r="D515" t="str">
        <f t="array" ref="D515">IFERROR(INDEX(checklistPesertaKemenkeu!$G$6:$G$1005,SMALL(IF(checklistPesertaKemenkeu!$AY$6:$AY$1005="Direkomendasikan",ROW($6:$1005)-5),514)),"")</f>
        <v/>
      </c>
      <c r="E515" t="str">
        <f t="array" ref="E515">IFERROR(INDEX(checklistPesertaKemenkeu!$H$6:$H$1005,SMALL(IF(checklistPesertaKemenkeu!$AY$6:$AY$1005="Direkomendasikan",ROW($6:$1005)-5),514)),"")</f>
        <v/>
      </c>
      <c r="F515" t="str">
        <f t="array" ref="F515">IFERROR(INDEX(checklistPesertaKemenkeu!$I$6:$I$1005,SMALL(IF(checklistPesertaKemenkeu!$AY$6:$AY$1005="Direkomendasikan",ROW($6:$1005)-5),514)),"")</f>
        <v/>
      </c>
      <c r="G515" t="str">
        <f t="array" ref="G515">IFERROR(INDEX(checklistPesertaKemenkeu!$J$6:$J$1005,SMALL(IF(checklistPesertaKemenkeu!$AY$6:$AY$1005="Direkomendasikan",ROW($6:$1005)-5),514)),"")</f>
        <v/>
      </c>
      <c r="H515" t="str">
        <f t="array" aca="1" ref="H515" ca="1">IFERROR(IF(OR(INDEX(checklistPesertaKemenkeu!$L$6:$L$1005,SMALL(IF(checklistPesertaKemenkeu!$AY$6:$AY$1005="Direkomendasikan",ROW($6:$1005)-5),514))="",INDEX(checklistPesertaKemenkeu!$J$6:$J$1005,SMALL(IF(checklistPesertaKemenkeu!$AY$6:$AY$1005="Direkomendasikan",ROW($6:$1005)-5),514))=""),"",IF(AND(COUNTIF(INDIRECT("K_"&amp;MATCH(INDEX(checklistPesertaKemenkeu!$J$6:$J$1005,SMALL(IF(checklistPesertaKemenkeu!$AY$6:$AY$1005="Direkomendasikan",ROW($6:$1005)-5),514)),BidangList,0)),INDEX(checklistPesertaKemenkeu!$L$6:$L$1005,SMALL(IF(checklistPesertaKemenkeu!$AY$6:$AY$1005="Direkomendasikan",ROW($6:$1005)-5),514)))&gt;0,COUNTIF(INDIRECT("'KERTAS KERJA'!K"&amp;(SMALL(IF(checklistPesertaKemenkeu!$AY$6:$AY$1005="Direkomendasikan",ROW($6:$1005)-5),514)+5)&amp;":O"&amp;(SMALL(IF(checklistPesertaKemenkeu!$AY$6:$AY$1005="Direkomendasikan",ROW($6:$1005)-5),514)+5)),INDEX(checklistPesertaKemenkeu!$L$6:$L$1005,SMALL(IF(checklistPesertaKemenkeu!$AY$6:$AY$1005="Direkomendasikan",ROW($6:$1005)-5),514)))=1),IFERROR(VLOOKUP(INDEX(checklistPesertaKemenkeu!$L$6:$L$1005,SMALL(IF(checklistPesertaKemenkeu!$AY$6:$AY$1005="Direkomendasikan",ROW($6:$1005)-5),514)),KotaKode,2,0),"-"),"")),"")</f>
        <v/>
      </c>
      <c r="I515" t="str">
        <f t="array" aca="1" ref="I515" ca="1">IFERROR(IF(OR(INDEX(checklistPesertaKemenkeu!$M$6:$M$1005,SMALL(IF(checklistPesertaKemenkeu!$AY$6:$AY$1005="Direkomendasikan",ROW($6:$1005)-5),514))="",INDEX(checklistPesertaKemenkeu!$J$6:$J$1005,SMALL(IF(checklistPesertaKemenkeu!$AY$6:$AY$1005="Direkomendasikan",ROW($6:$1005)-5),514))=""),"",IF(AND(COUNTIF(INDIRECT("K_"&amp;MATCH(INDEX(checklistPesertaKemenkeu!$J$6:$J$1005,SMALL(IF(checklistPesertaKemenkeu!$AY$6:$AY$1005="Direkomendasikan",ROW($6:$1005)-5),514)),BidangList,0)),INDEX(checklistPesertaKemenkeu!$M$6:$M$1005,SMALL(IF(checklistPesertaKemenkeu!$AY$6:$AY$1005="Direkomendasikan",ROW($6:$1005)-5),514)))&gt;0,COUNTIF(INDIRECT("'KERTAS KERJA'!K"&amp;(SMALL(IF(checklistPesertaKemenkeu!$AY$6:$AY$1005="Direkomendasikan",ROW($6:$1005)-5),514)+5)&amp;":O"&amp;(SMALL(IF(checklistPesertaKemenkeu!$AY$6:$AY$1005="Direkomendasikan",ROW($6:$1005)-5),514)+5)),INDEX(checklistPesertaKemenkeu!$M$6:$M$1005,SMALL(IF(checklistPesertaKemenkeu!$AY$6:$AY$1005="Direkomendasikan",ROW($6:$1005)-5),514)))=1),IFERROR(VLOOKUP(INDEX(checklistPesertaKemenkeu!$M$6:$M$1005,SMALL(IF(checklistPesertaKemenkeu!$AY$6:$AY$1005="Direkomendasikan",ROW($6:$1005)-5),514)),KotaKode,2,0),"-"),"")),"")</f>
        <v/>
      </c>
      <c r="J515" t="str">
        <f t="array" aca="1" ref="J515" ca="1">IFERROR(IF(OR(INDEX(checklistPesertaKemenkeu!$N$6:$N$1005,SMALL(IF(checklistPesertaKemenkeu!$AY$6:$AY$1005="Direkomendasikan",ROW($6:$1005)-5),514))="",INDEX(checklistPesertaKemenkeu!$J$6:$J$1005,SMALL(IF(checklistPesertaKemenkeu!$AY$6:$AY$1005="Direkomendasikan",ROW($6:$1005)-5),514))=""),"",IF(AND(COUNTIF(INDIRECT("K_"&amp;MATCH(INDEX(checklistPesertaKemenkeu!$J$6:$J$1005,SMALL(IF(checklistPesertaKemenkeu!$AY$6:$AY$1005="Direkomendasikan",ROW($6:$1005)-5),514)),BidangList,0)),INDEX(checklistPesertaKemenkeu!$N$6:$N$1005,SMALL(IF(checklistPesertaKemenkeu!$AY$6:$AY$1005="Direkomendasikan",ROW($6:$1005)-5),514)))&gt;0,COUNTIF(INDIRECT("'KERTAS KERJA'!K"&amp;(SMALL(IF(checklistPesertaKemenkeu!$AY$6:$AY$1005="Direkomendasikan",ROW($6:$1005)-5),514)+5)&amp;":O"&amp;(SMALL(IF(checklistPesertaKemenkeu!$AY$6:$AY$1005="Direkomendasikan",ROW($6:$1005)-5),514)+5)),INDEX(checklistPesertaKemenkeu!$N$6:$N$1005,SMALL(IF(checklistPesertaKemenkeu!$AY$6:$AY$1005="Direkomendasikan",ROW($6:$1005)-5),514)))=1),IFERROR(VLOOKUP(INDEX(checklistPesertaKemenkeu!$N$6:$N$1005,SMALL(IF(checklistPesertaKemenkeu!$AY$6:$AY$1005="Direkomendasikan",ROW($6:$1005)-5),514)),KotaKode,2,0),"-"),"")),"")</f>
        <v/>
      </c>
      <c r="K515" t="str">
        <f t="array" aca="1" ref="K515" ca="1">IFERROR(IF(OR(INDEX(checklistPesertaKemenkeu!$O$6:$O$1005,SMALL(IF(checklistPesertaKemenkeu!$AY$6:$AY$1005="Direkomendasikan",ROW($6:$1005)-5),514))="",INDEX(checklistPesertaKemenkeu!$J$6:$J$1005,SMALL(IF(checklistPesertaKemenkeu!$AY$6:$AY$1005="Direkomendasikan",ROW($6:$1005)-5),514))=""),"",IF(AND(COUNTIF(INDIRECT("K_"&amp;MATCH(INDEX(checklistPesertaKemenkeu!$J$6:$J$1005,SMALL(IF(checklistPesertaKemenkeu!$AY$6:$AY$1005="Direkomendasikan",ROW($6:$1005)-5),514)),BidangList,0)),INDEX(checklistPesertaKemenkeu!$O$6:$O$1005,SMALL(IF(checklistPesertaKemenkeu!$AY$6:$AY$1005="Direkomendasikan",ROW($6:$1005)-5),514)))&gt;0,COUNTIF(INDIRECT("'KERTAS KERJA'!K"&amp;(SMALL(IF(checklistPesertaKemenkeu!$AY$6:$AY$1005="Direkomendasikan",ROW($6:$1005)-5),514)+5)&amp;":O"&amp;(SMALL(IF(checklistPesertaKemenkeu!$AY$6:$AY$1005="Direkomendasikan",ROW($6:$1005)-5),514)+5)),INDEX(checklistPesertaKemenkeu!$O$6:$O$1005,SMALL(IF(checklistPesertaKemenkeu!$AY$6:$AY$1005="Direkomendasikan",ROW($6:$1005)-5),514)))=1),IFERROR(VLOOKUP(INDEX(checklistPesertaKemenkeu!$O$6:$O$1005,SMALL(IF(checklistPesertaKemenkeu!$AY$6:$AY$1005="Direkomendasikan",ROW($6:$1005)-5),514)),KotaKode,2,0),"-"),"")),"")</f>
        <v/>
      </c>
      <c r="L515" t="str">
        <f t="array" aca="1" ref="L515" ca="1">IFERROR(IF(OR(INDEX(checklistPesertaKemenkeu!$P$6:$P$1005,SMALL(IF(checklistPesertaKemenkeu!$AY$6:$AY$1005="Direkomendasikan",ROW($6:$1005)-5),514))="",INDEX(checklistPesertaKemenkeu!$J$6:$J$1005,SMALL(IF(checklistPesertaKemenkeu!$AY$6:$AY$1005="Direkomendasikan",ROW($6:$1005)-5),514))=""),"",IF(AND(COUNTIF(INDIRECT("K_"&amp;MATCH(INDEX(checklistPesertaKemenkeu!$J$6:$J$1005,SMALL(IF(checklistPesertaKemenkeu!$AY$6:$AY$1005="Direkomendasikan",ROW($6:$1005)-5),514)),BidangList,0)),INDEX(checklistPesertaKemenkeu!$P$6:$P$1005,SMALL(IF(checklistPesertaKemenkeu!$AY$6:$AY$1005="Direkomendasikan",ROW($6:$1005)-5),514)))&gt;0,COUNTIF(INDIRECT("'KERTAS KERJA'!K"&amp;(SMALL(IF(checklistPesertaKemenkeu!$AY$6:$AY$1005="Direkomendasikan",ROW($6:$1005)-5),514)+5)&amp;":O"&amp;(SMALL(IF(checklistPesertaKemenkeu!$AY$6:$AY$1005="Direkomendasikan",ROW($6:$1005)-5),514)+5)),INDEX(checklistPesertaKemenkeu!$P$6:$P$1005,SMALL(IF(checklistPesertaKemenkeu!$AY$6:$AY$1005="Direkomendasikan",ROW($6:$1005)-5),514)))=1),IFERROR(VLOOKUP(INDEX(checklistPesertaKemenkeu!$P$6:$P$1005,SMALL(IF(checklistPesertaKemenkeu!$AY$6:$AY$1005="Direkomendasikan",ROW($6:$1005)-5),514)),KotaKode,2,0),"-"),"")),"")</f>
        <v/>
      </c>
    </row>
    <row r="516" spans="1:12" ht="15" customHeight="1" x14ac:dyDescent="0.2">
      <c r="A516" t="str">
        <f t="shared" si="8"/>
        <v/>
      </c>
      <c r="B516" t="str">
        <v/>
      </c>
      <c r="C516" s="40" t="str">
        <f t="array" ref="C516">IFERROR(INDEX(checklistPesertaKemenkeu!$F$6:$F$1005,SMALL(IF(checklistPesertaKemenkeu!$AY$6:$AY$1005="Direkomendasikan",ROW($6:$1005)-5),515)),"")</f>
        <v/>
      </c>
      <c r="D516" t="str">
        <f t="array" ref="D516">IFERROR(INDEX(checklistPesertaKemenkeu!$G$6:$G$1005,SMALL(IF(checklistPesertaKemenkeu!$AY$6:$AY$1005="Direkomendasikan",ROW($6:$1005)-5),515)),"")</f>
        <v/>
      </c>
      <c r="E516" t="str">
        <f t="array" ref="E516">IFERROR(INDEX(checklistPesertaKemenkeu!$H$6:$H$1005,SMALL(IF(checklistPesertaKemenkeu!$AY$6:$AY$1005="Direkomendasikan",ROW($6:$1005)-5),515)),"")</f>
        <v/>
      </c>
      <c r="F516" t="str">
        <f t="array" ref="F516">IFERROR(INDEX(checklistPesertaKemenkeu!$I$6:$I$1005,SMALL(IF(checklistPesertaKemenkeu!$AY$6:$AY$1005="Direkomendasikan",ROW($6:$1005)-5),515)),"")</f>
        <v/>
      </c>
      <c r="G516" t="str">
        <f t="array" ref="G516">IFERROR(INDEX(checklistPesertaKemenkeu!$J$6:$J$1005,SMALL(IF(checklistPesertaKemenkeu!$AY$6:$AY$1005="Direkomendasikan",ROW($6:$1005)-5),515)),"")</f>
        <v/>
      </c>
      <c r="H516" t="str">
        <f t="array" aca="1" ref="H516" ca="1">IFERROR(IF(OR(INDEX(checklistPesertaKemenkeu!$L$6:$L$1005,SMALL(IF(checklistPesertaKemenkeu!$AY$6:$AY$1005="Direkomendasikan",ROW($6:$1005)-5),515))="",INDEX(checklistPesertaKemenkeu!$J$6:$J$1005,SMALL(IF(checklistPesertaKemenkeu!$AY$6:$AY$1005="Direkomendasikan",ROW($6:$1005)-5),515))=""),"",IF(AND(COUNTIF(INDIRECT("K_"&amp;MATCH(INDEX(checklistPesertaKemenkeu!$J$6:$J$1005,SMALL(IF(checklistPesertaKemenkeu!$AY$6:$AY$1005="Direkomendasikan",ROW($6:$1005)-5),515)),BidangList,0)),INDEX(checklistPesertaKemenkeu!$L$6:$L$1005,SMALL(IF(checklistPesertaKemenkeu!$AY$6:$AY$1005="Direkomendasikan",ROW($6:$1005)-5),515)))&gt;0,COUNTIF(INDIRECT("'KERTAS KERJA'!K"&amp;(SMALL(IF(checklistPesertaKemenkeu!$AY$6:$AY$1005="Direkomendasikan",ROW($6:$1005)-5),515)+5)&amp;":O"&amp;(SMALL(IF(checklistPesertaKemenkeu!$AY$6:$AY$1005="Direkomendasikan",ROW($6:$1005)-5),515)+5)),INDEX(checklistPesertaKemenkeu!$L$6:$L$1005,SMALL(IF(checklistPesertaKemenkeu!$AY$6:$AY$1005="Direkomendasikan",ROW($6:$1005)-5),515)))=1),IFERROR(VLOOKUP(INDEX(checklistPesertaKemenkeu!$L$6:$L$1005,SMALL(IF(checklistPesertaKemenkeu!$AY$6:$AY$1005="Direkomendasikan",ROW($6:$1005)-5),515)),KotaKode,2,0),"-"),"")),"")</f>
        <v/>
      </c>
      <c r="I516" t="str">
        <f t="array" aca="1" ref="I516" ca="1">IFERROR(IF(OR(INDEX(checklistPesertaKemenkeu!$M$6:$M$1005,SMALL(IF(checklistPesertaKemenkeu!$AY$6:$AY$1005="Direkomendasikan",ROW($6:$1005)-5),515))="",INDEX(checklistPesertaKemenkeu!$J$6:$J$1005,SMALL(IF(checklistPesertaKemenkeu!$AY$6:$AY$1005="Direkomendasikan",ROW($6:$1005)-5),515))=""),"",IF(AND(COUNTIF(INDIRECT("K_"&amp;MATCH(INDEX(checklistPesertaKemenkeu!$J$6:$J$1005,SMALL(IF(checklistPesertaKemenkeu!$AY$6:$AY$1005="Direkomendasikan",ROW($6:$1005)-5),515)),BidangList,0)),INDEX(checklistPesertaKemenkeu!$M$6:$M$1005,SMALL(IF(checklistPesertaKemenkeu!$AY$6:$AY$1005="Direkomendasikan",ROW($6:$1005)-5),515)))&gt;0,COUNTIF(INDIRECT("'KERTAS KERJA'!K"&amp;(SMALL(IF(checklistPesertaKemenkeu!$AY$6:$AY$1005="Direkomendasikan",ROW($6:$1005)-5),515)+5)&amp;":O"&amp;(SMALL(IF(checklistPesertaKemenkeu!$AY$6:$AY$1005="Direkomendasikan",ROW($6:$1005)-5),515)+5)),INDEX(checklistPesertaKemenkeu!$M$6:$M$1005,SMALL(IF(checklistPesertaKemenkeu!$AY$6:$AY$1005="Direkomendasikan",ROW($6:$1005)-5),515)))=1),IFERROR(VLOOKUP(INDEX(checklistPesertaKemenkeu!$M$6:$M$1005,SMALL(IF(checklistPesertaKemenkeu!$AY$6:$AY$1005="Direkomendasikan",ROW($6:$1005)-5),515)),KotaKode,2,0),"-"),"")),"")</f>
        <v/>
      </c>
      <c r="J516" t="str">
        <f t="array" aca="1" ref="J516" ca="1">IFERROR(IF(OR(INDEX(checklistPesertaKemenkeu!$N$6:$N$1005,SMALL(IF(checklistPesertaKemenkeu!$AY$6:$AY$1005="Direkomendasikan",ROW($6:$1005)-5),515))="",INDEX(checklistPesertaKemenkeu!$J$6:$J$1005,SMALL(IF(checklistPesertaKemenkeu!$AY$6:$AY$1005="Direkomendasikan",ROW($6:$1005)-5),515))=""),"",IF(AND(COUNTIF(INDIRECT("K_"&amp;MATCH(INDEX(checklistPesertaKemenkeu!$J$6:$J$1005,SMALL(IF(checklistPesertaKemenkeu!$AY$6:$AY$1005="Direkomendasikan",ROW($6:$1005)-5),515)),BidangList,0)),INDEX(checklistPesertaKemenkeu!$N$6:$N$1005,SMALL(IF(checklistPesertaKemenkeu!$AY$6:$AY$1005="Direkomendasikan",ROW($6:$1005)-5),515)))&gt;0,COUNTIF(INDIRECT("'KERTAS KERJA'!K"&amp;(SMALL(IF(checklistPesertaKemenkeu!$AY$6:$AY$1005="Direkomendasikan",ROW($6:$1005)-5),515)+5)&amp;":O"&amp;(SMALL(IF(checklistPesertaKemenkeu!$AY$6:$AY$1005="Direkomendasikan",ROW($6:$1005)-5),515)+5)),INDEX(checklistPesertaKemenkeu!$N$6:$N$1005,SMALL(IF(checklistPesertaKemenkeu!$AY$6:$AY$1005="Direkomendasikan",ROW($6:$1005)-5),515)))=1),IFERROR(VLOOKUP(INDEX(checklistPesertaKemenkeu!$N$6:$N$1005,SMALL(IF(checklistPesertaKemenkeu!$AY$6:$AY$1005="Direkomendasikan",ROW($6:$1005)-5),515)),KotaKode,2,0),"-"),"")),"")</f>
        <v/>
      </c>
      <c r="K516" t="str">
        <f t="array" aca="1" ref="K516" ca="1">IFERROR(IF(OR(INDEX(checklistPesertaKemenkeu!$O$6:$O$1005,SMALL(IF(checklistPesertaKemenkeu!$AY$6:$AY$1005="Direkomendasikan",ROW($6:$1005)-5),515))="",INDEX(checklistPesertaKemenkeu!$J$6:$J$1005,SMALL(IF(checklistPesertaKemenkeu!$AY$6:$AY$1005="Direkomendasikan",ROW($6:$1005)-5),515))=""),"",IF(AND(COUNTIF(INDIRECT("K_"&amp;MATCH(INDEX(checklistPesertaKemenkeu!$J$6:$J$1005,SMALL(IF(checklistPesertaKemenkeu!$AY$6:$AY$1005="Direkomendasikan",ROW($6:$1005)-5),515)),BidangList,0)),INDEX(checklistPesertaKemenkeu!$O$6:$O$1005,SMALL(IF(checklistPesertaKemenkeu!$AY$6:$AY$1005="Direkomendasikan",ROW($6:$1005)-5),515)))&gt;0,COUNTIF(INDIRECT("'KERTAS KERJA'!K"&amp;(SMALL(IF(checklistPesertaKemenkeu!$AY$6:$AY$1005="Direkomendasikan",ROW($6:$1005)-5),515)+5)&amp;":O"&amp;(SMALL(IF(checklistPesertaKemenkeu!$AY$6:$AY$1005="Direkomendasikan",ROW($6:$1005)-5),515)+5)),INDEX(checklistPesertaKemenkeu!$O$6:$O$1005,SMALL(IF(checklistPesertaKemenkeu!$AY$6:$AY$1005="Direkomendasikan",ROW($6:$1005)-5),515)))=1),IFERROR(VLOOKUP(INDEX(checklistPesertaKemenkeu!$O$6:$O$1005,SMALL(IF(checklistPesertaKemenkeu!$AY$6:$AY$1005="Direkomendasikan",ROW($6:$1005)-5),515)),KotaKode,2,0),"-"),"")),"")</f>
        <v/>
      </c>
      <c r="L516" t="str">
        <f t="array" aca="1" ref="L516" ca="1">IFERROR(IF(OR(INDEX(checklistPesertaKemenkeu!$P$6:$P$1005,SMALL(IF(checklistPesertaKemenkeu!$AY$6:$AY$1005="Direkomendasikan",ROW($6:$1005)-5),515))="",INDEX(checklistPesertaKemenkeu!$J$6:$J$1005,SMALL(IF(checklistPesertaKemenkeu!$AY$6:$AY$1005="Direkomendasikan",ROW($6:$1005)-5),515))=""),"",IF(AND(COUNTIF(INDIRECT("K_"&amp;MATCH(INDEX(checklistPesertaKemenkeu!$J$6:$J$1005,SMALL(IF(checklistPesertaKemenkeu!$AY$6:$AY$1005="Direkomendasikan",ROW($6:$1005)-5),515)),BidangList,0)),INDEX(checklistPesertaKemenkeu!$P$6:$P$1005,SMALL(IF(checklistPesertaKemenkeu!$AY$6:$AY$1005="Direkomendasikan",ROW($6:$1005)-5),515)))&gt;0,COUNTIF(INDIRECT("'KERTAS KERJA'!K"&amp;(SMALL(IF(checklistPesertaKemenkeu!$AY$6:$AY$1005="Direkomendasikan",ROW($6:$1005)-5),515)+5)&amp;":O"&amp;(SMALL(IF(checklistPesertaKemenkeu!$AY$6:$AY$1005="Direkomendasikan",ROW($6:$1005)-5),515)+5)),INDEX(checklistPesertaKemenkeu!$P$6:$P$1005,SMALL(IF(checklistPesertaKemenkeu!$AY$6:$AY$1005="Direkomendasikan",ROW($6:$1005)-5),515)))=1),IFERROR(VLOOKUP(INDEX(checklistPesertaKemenkeu!$P$6:$P$1005,SMALL(IF(checklistPesertaKemenkeu!$AY$6:$AY$1005="Direkomendasikan",ROW($6:$1005)-5),515)),KotaKode,2,0),"-"),"")),"")</f>
        <v/>
      </c>
    </row>
    <row r="517" spans="1:12" ht="15" customHeight="1" x14ac:dyDescent="0.2">
      <c r="A517" t="str">
        <f t="shared" si="8"/>
        <v/>
      </c>
      <c r="B517" t="str">
        <v/>
      </c>
      <c r="C517" s="40" t="str">
        <f t="array" ref="C517">IFERROR(INDEX(checklistPesertaKemenkeu!$F$6:$F$1005,SMALL(IF(checklistPesertaKemenkeu!$AY$6:$AY$1005="Direkomendasikan",ROW($6:$1005)-5),516)),"")</f>
        <v/>
      </c>
      <c r="D517" t="str">
        <f t="array" ref="D517">IFERROR(INDEX(checklistPesertaKemenkeu!$G$6:$G$1005,SMALL(IF(checklistPesertaKemenkeu!$AY$6:$AY$1005="Direkomendasikan",ROW($6:$1005)-5),516)),"")</f>
        <v/>
      </c>
      <c r="E517" t="str">
        <f t="array" ref="E517">IFERROR(INDEX(checklistPesertaKemenkeu!$H$6:$H$1005,SMALL(IF(checklistPesertaKemenkeu!$AY$6:$AY$1005="Direkomendasikan",ROW($6:$1005)-5),516)),"")</f>
        <v/>
      </c>
      <c r="F517" t="str">
        <f t="array" ref="F517">IFERROR(INDEX(checklistPesertaKemenkeu!$I$6:$I$1005,SMALL(IF(checklistPesertaKemenkeu!$AY$6:$AY$1005="Direkomendasikan",ROW($6:$1005)-5),516)),"")</f>
        <v/>
      </c>
      <c r="G517" t="str">
        <f t="array" ref="G517">IFERROR(INDEX(checklistPesertaKemenkeu!$J$6:$J$1005,SMALL(IF(checklistPesertaKemenkeu!$AY$6:$AY$1005="Direkomendasikan",ROW($6:$1005)-5),516)),"")</f>
        <v/>
      </c>
      <c r="H517" t="str">
        <f t="array" aca="1" ref="H517" ca="1">IFERROR(IF(OR(INDEX(checklistPesertaKemenkeu!$L$6:$L$1005,SMALL(IF(checklistPesertaKemenkeu!$AY$6:$AY$1005="Direkomendasikan",ROW($6:$1005)-5),516))="",INDEX(checklistPesertaKemenkeu!$J$6:$J$1005,SMALL(IF(checklistPesertaKemenkeu!$AY$6:$AY$1005="Direkomendasikan",ROW($6:$1005)-5),516))=""),"",IF(AND(COUNTIF(INDIRECT("K_"&amp;MATCH(INDEX(checklistPesertaKemenkeu!$J$6:$J$1005,SMALL(IF(checklistPesertaKemenkeu!$AY$6:$AY$1005="Direkomendasikan",ROW($6:$1005)-5),516)),BidangList,0)),INDEX(checklistPesertaKemenkeu!$L$6:$L$1005,SMALL(IF(checklistPesertaKemenkeu!$AY$6:$AY$1005="Direkomendasikan",ROW($6:$1005)-5),516)))&gt;0,COUNTIF(INDIRECT("'KERTAS KERJA'!K"&amp;(SMALL(IF(checklistPesertaKemenkeu!$AY$6:$AY$1005="Direkomendasikan",ROW($6:$1005)-5),516)+5)&amp;":O"&amp;(SMALL(IF(checklistPesertaKemenkeu!$AY$6:$AY$1005="Direkomendasikan",ROW($6:$1005)-5),516)+5)),INDEX(checklistPesertaKemenkeu!$L$6:$L$1005,SMALL(IF(checklistPesertaKemenkeu!$AY$6:$AY$1005="Direkomendasikan",ROW($6:$1005)-5),516)))=1),IFERROR(VLOOKUP(INDEX(checklistPesertaKemenkeu!$L$6:$L$1005,SMALL(IF(checklistPesertaKemenkeu!$AY$6:$AY$1005="Direkomendasikan",ROW($6:$1005)-5),516)),KotaKode,2,0),"-"),"")),"")</f>
        <v/>
      </c>
      <c r="I517" t="str">
        <f t="array" aca="1" ref="I517" ca="1">IFERROR(IF(OR(INDEX(checklistPesertaKemenkeu!$M$6:$M$1005,SMALL(IF(checklistPesertaKemenkeu!$AY$6:$AY$1005="Direkomendasikan",ROW($6:$1005)-5),516))="",INDEX(checklistPesertaKemenkeu!$J$6:$J$1005,SMALL(IF(checklistPesertaKemenkeu!$AY$6:$AY$1005="Direkomendasikan",ROW($6:$1005)-5),516))=""),"",IF(AND(COUNTIF(INDIRECT("K_"&amp;MATCH(INDEX(checklistPesertaKemenkeu!$J$6:$J$1005,SMALL(IF(checklistPesertaKemenkeu!$AY$6:$AY$1005="Direkomendasikan",ROW($6:$1005)-5),516)),BidangList,0)),INDEX(checklistPesertaKemenkeu!$M$6:$M$1005,SMALL(IF(checklistPesertaKemenkeu!$AY$6:$AY$1005="Direkomendasikan",ROW($6:$1005)-5),516)))&gt;0,COUNTIF(INDIRECT("'KERTAS KERJA'!K"&amp;(SMALL(IF(checklistPesertaKemenkeu!$AY$6:$AY$1005="Direkomendasikan",ROW($6:$1005)-5),516)+5)&amp;":O"&amp;(SMALL(IF(checklistPesertaKemenkeu!$AY$6:$AY$1005="Direkomendasikan",ROW($6:$1005)-5),516)+5)),INDEX(checklistPesertaKemenkeu!$M$6:$M$1005,SMALL(IF(checklistPesertaKemenkeu!$AY$6:$AY$1005="Direkomendasikan",ROW($6:$1005)-5),516)))=1),IFERROR(VLOOKUP(INDEX(checklistPesertaKemenkeu!$M$6:$M$1005,SMALL(IF(checklistPesertaKemenkeu!$AY$6:$AY$1005="Direkomendasikan",ROW($6:$1005)-5),516)),KotaKode,2,0),"-"),"")),"")</f>
        <v/>
      </c>
      <c r="J517" t="str">
        <f t="array" aca="1" ref="J517" ca="1">IFERROR(IF(OR(INDEX(checklistPesertaKemenkeu!$N$6:$N$1005,SMALL(IF(checklistPesertaKemenkeu!$AY$6:$AY$1005="Direkomendasikan",ROW($6:$1005)-5),516))="",INDEX(checklistPesertaKemenkeu!$J$6:$J$1005,SMALL(IF(checklistPesertaKemenkeu!$AY$6:$AY$1005="Direkomendasikan",ROW($6:$1005)-5),516))=""),"",IF(AND(COUNTIF(INDIRECT("K_"&amp;MATCH(INDEX(checklistPesertaKemenkeu!$J$6:$J$1005,SMALL(IF(checklistPesertaKemenkeu!$AY$6:$AY$1005="Direkomendasikan",ROW($6:$1005)-5),516)),BidangList,0)),INDEX(checklistPesertaKemenkeu!$N$6:$N$1005,SMALL(IF(checklistPesertaKemenkeu!$AY$6:$AY$1005="Direkomendasikan",ROW($6:$1005)-5),516)))&gt;0,COUNTIF(INDIRECT("'KERTAS KERJA'!K"&amp;(SMALL(IF(checklistPesertaKemenkeu!$AY$6:$AY$1005="Direkomendasikan",ROW($6:$1005)-5),516)+5)&amp;":O"&amp;(SMALL(IF(checklistPesertaKemenkeu!$AY$6:$AY$1005="Direkomendasikan",ROW($6:$1005)-5),516)+5)),INDEX(checklistPesertaKemenkeu!$N$6:$N$1005,SMALL(IF(checklistPesertaKemenkeu!$AY$6:$AY$1005="Direkomendasikan",ROW($6:$1005)-5),516)))=1),IFERROR(VLOOKUP(INDEX(checklistPesertaKemenkeu!$N$6:$N$1005,SMALL(IF(checklistPesertaKemenkeu!$AY$6:$AY$1005="Direkomendasikan",ROW($6:$1005)-5),516)),KotaKode,2,0),"-"),"")),"")</f>
        <v/>
      </c>
      <c r="K517" t="str">
        <f t="array" aca="1" ref="K517" ca="1">IFERROR(IF(OR(INDEX(checklistPesertaKemenkeu!$O$6:$O$1005,SMALL(IF(checklistPesertaKemenkeu!$AY$6:$AY$1005="Direkomendasikan",ROW($6:$1005)-5),516))="",INDEX(checklistPesertaKemenkeu!$J$6:$J$1005,SMALL(IF(checklistPesertaKemenkeu!$AY$6:$AY$1005="Direkomendasikan",ROW($6:$1005)-5),516))=""),"",IF(AND(COUNTIF(INDIRECT("K_"&amp;MATCH(INDEX(checklistPesertaKemenkeu!$J$6:$J$1005,SMALL(IF(checklistPesertaKemenkeu!$AY$6:$AY$1005="Direkomendasikan",ROW($6:$1005)-5),516)),BidangList,0)),INDEX(checklistPesertaKemenkeu!$O$6:$O$1005,SMALL(IF(checklistPesertaKemenkeu!$AY$6:$AY$1005="Direkomendasikan",ROW($6:$1005)-5),516)))&gt;0,COUNTIF(INDIRECT("'KERTAS KERJA'!K"&amp;(SMALL(IF(checklistPesertaKemenkeu!$AY$6:$AY$1005="Direkomendasikan",ROW($6:$1005)-5),516)+5)&amp;":O"&amp;(SMALL(IF(checklistPesertaKemenkeu!$AY$6:$AY$1005="Direkomendasikan",ROW($6:$1005)-5),516)+5)),INDEX(checklistPesertaKemenkeu!$O$6:$O$1005,SMALL(IF(checklistPesertaKemenkeu!$AY$6:$AY$1005="Direkomendasikan",ROW($6:$1005)-5),516)))=1),IFERROR(VLOOKUP(INDEX(checklistPesertaKemenkeu!$O$6:$O$1005,SMALL(IF(checklistPesertaKemenkeu!$AY$6:$AY$1005="Direkomendasikan",ROW($6:$1005)-5),516)),KotaKode,2,0),"-"),"")),"")</f>
        <v/>
      </c>
      <c r="L517" t="str">
        <f t="array" aca="1" ref="L517" ca="1">IFERROR(IF(OR(INDEX(checklistPesertaKemenkeu!$P$6:$P$1005,SMALL(IF(checklistPesertaKemenkeu!$AY$6:$AY$1005="Direkomendasikan",ROW($6:$1005)-5),516))="",INDEX(checklistPesertaKemenkeu!$J$6:$J$1005,SMALL(IF(checklistPesertaKemenkeu!$AY$6:$AY$1005="Direkomendasikan",ROW($6:$1005)-5),516))=""),"",IF(AND(COUNTIF(INDIRECT("K_"&amp;MATCH(INDEX(checklistPesertaKemenkeu!$J$6:$J$1005,SMALL(IF(checklistPesertaKemenkeu!$AY$6:$AY$1005="Direkomendasikan",ROW($6:$1005)-5),516)),BidangList,0)),INDEX(checklistPesertaKemenkeu!$P$6:$P$1005,SMALL(IF(checklistPesertaKemenkeu!$AY$6:$AY$1005="Direkomendasikan",ROW($6:$1005)-5),516)))&gt;0,COUNTIF(INDIRECT("'KERTAS KERJA'!K"&amp;(SMALL(IF(checklistPesertaKemenkeu!$AY$6:$AY$1005="Direkomendasikan",ROW($6:$1005)-5),516)+5)&amp;":O"&amp;(SMALL(IF(checklistPesertaKemenkeu!$AY$6:$AY$1005="Direkomendasikan",ROW($6:$1005)-5),516)+5)),INDEX(checklistPesertaKemenkeu!$P$6:$P$1005,SMALL(IF(checklistPesertaKemenkeu!$AY$6:$AY$1005="Direkomendasikan",ROW($6:$1005)-5),516)))=1),IFERROR(VLOOKUP(INDEX(checklistPesertaKemenkeu!$P$6:$P$1005,SMALL(IF(checklistPesertaKemenkeu!$AY$6:$AY$1005="Direkomendasikan",ROW($6:$1005)-5),516)),KotaKode,2,0),"-"),"")),"")</f>
        <v/>
      </c>
    </row>
    <row r="518" spans="1:12" ht="15" customHeight="1" x14ac:dyDescent="0.2">
      <c r="A518" t="str">
        <f t="shared" si="8"/>
        <v/>
      </c>
      <c r="B518" t="str">
        <v/>
      </c>
      <c r="C518" s="40" t="str">
        <f t="array" ref="C518">IFERROR(INDEX(checklistPesertaKemenkeu!$F$6:$F$1005,SMALL(IF(checklistPesertaKemenkeu!$AY$6:$AY$1005="Direkomendasikan",ROW($6:$1005)-5),517)),"")</f>
        <v/>
      </c>
      <c r="D518" t="str">
        <f t="array" ref="D518">IFERROR(INDEX(checklistPesertaKemenkeu!$G$6:$G$1005,SMALL(IF(checklistPesertaKemenkeu!$AY$6:$AY$1005="Direkomendasikan",ROW($6:$1005)-5),517)),"")</f>
        <v/>
      </c>
      <c r="E518" t="str">
        <f t="array" ref="E518">IFERROR(INDEX(checklistPesertaKemenkeu!$H$6:$H$1005,SMALL(IF(checklistPesertaKemenkeu!$AY$6:$AY$1005="Direkomendasikan",ROW($6:$1005)-5),517)),"")</f>
        <v/>
      </c>
      <c r="F518" t="str">
        <f t="array" ref="F518">IFERROR(INDEX(checklistPesertaKemenkeu!$I$6:$I$1005,SMALL(IF(checklistPesertaKemenkeu!$AY$6:$AY$1005="Direkomendasikan",ROW($6:$1005)-5),517)),"")</f>
        <v/>
      </c>
      <c r="G518" t="str">
        <f t="array" ref="G518">IFERROR(INDEX(checklistPesertaKemenkeu!$J$6:$J$1005,SMALL(IF(checklistPesertaKemenkeu!$AY$6:$AY$1005="Direkomendasikan",ROW($6:$1005)-5),517)),"")</f>
        <v/>
      </c>
      <c r="H518" t="str">
        <f t="array" aca="1" ref="H518" ca="1">IFERROR(IF(OR(INDEX(checklistPesertaKemenkeu!$L$6:$L$1005,SMALL(IF(checklistPesertaKemenkeu!$AY$6:$AY$1005="Direkomendasikan",ROW($6:$1005)-5),517))="",INDEX(checklistPesertaKemenkeu!$J$6:$J$1005,SMALL(IF(checklistPesertaKemenkeu!$AY$6:$AY$1005="Direkomendasikan",ROW($6:$1005)-5),517))=""),"",IF(AND(COUNTIF(INDIRECT("K_"&amp;MATCH(INDEX(checklistPesertaKemenkeu!$J$6:$J$1005,SMALL(IF(checklistPesertaKemenkeu!$AY$6:$AY$1005="Direkomendasikan",ROW($6:$1005)-5),517)),BidangList,0)),INDEX(checklistPesertaKemenkeu!$L$6:$L$1005,SMALL(IF(checklistPesertaKemenkeu!$AY$6:$AY$1005="Direkomendasikan",ROW($6:$1005)-5),517)))&gt;0,COUNTIF(INDIRECT("'KERTAS KERJA'!K"&amp;(SMALL(IF(checklistPesertaKemenkeu!$AY$6:$AY$1005="Direkomendasikan",ROW($6:$1005)-5),517)+5)&amp;":O"&amp;(SMALL(IF(checklistPesertaKemenkeu!$AY$6:$AY$1005="Direkomendasikan",ROW($6:$1005)-5),517)+5)),INDEX(checklistPesertaKemenkeu!$L$6:$L$1005,SMALL(IF(checklistPesertaKemenkeu!$AY$6:$AY$1005="Direkomendasikan",ROW($6:$1005)-5),517)))=1),IFERROR(VLOOKUP(INDEX(checklistPesertaKemenkeu!$L$6:$L$1005,SMALL(IF(checklistPesertaKemenkeu!$AY$6:$AY$1005="Direkomendasikan",ROW($6:$1005)-5),517)),KotaKode,2,0),"-"),"")),"")</f>
        <v/>
      </c>
      <c r="I518" t="str">
        <f t="array" aca="1" ref="I518" ca="1">IFERROR(IF(OR(INDEX(checklistPesertaKemenkeu!$M$6:$M$1005,SMALL(IF(checklistPesertaKemenkeu!$AY$6:$AY$1005="Direkomendasikan",ROW($6:$1005)-5),517))="",INDEX(checklistPesertaKemenkeu!$J$6:$J$1005,SMALL(IF(checklistPesertaKemenkeu!$AY$6:$AY$1005="Direkomendasikan",ROW($6:$1005)-5),517))=""),"",IF(AND(COUNTIF(INDIRECT("K_"&amp;MATCH(INDEX(checklistPesertaKemenkeu!$J$6:$J$1005,SMALL(IF(checklistPesertaKemenkeu!$AY$6:$AY$1005="Direkomendasikan",ROW($6:$1005)-5),517)),BidangList,0)),INDEX(checklistPesertaKemenkeu!$M$6:$M$1005,SMALL(IF(checklistPesertaKemenkeu!$AY$6:$AY$1005="Direkomendasikan",ROW($6:$1005)-5),517)))&gt;0,COUNTIF(INDIRECT("'KERTAS KERJA'!K"&amp;(SMALL(IF(checklistPesertaKemenkeu!$AY$6:$AY$1005="Direkomendasikan",ROW($6:$1005)-5),517)+5)&amp;":O"&amp;(SMALL(IF(checklistPesertaKemenkeu!$AY$6:$AY$1005="Direkomendasikan",ROW($6:$1005)-5),517)+5)),INDEX(checklistPesertaKemenkeu!$M$6:$M$1005,SMALL(IF(checklistPesertaKemenkeu!$AY$6:$AY$1005="Direkomendasikan",ROW($6:$1005)-5),517)))=1),IFERROR(VLOOKUP(INDEX(checklistPesertaKemenkeu!$M$6:$M$1005,SMALL(IF(checklistPesertaKemenkeu!$AY$6:$AY$1005="Direkomendasikan",ROW($6:$1005)-5),517)),KotaKode,2,0),"-"),"")),"")</f>
        <v/>
      </c>
      <c r="J518" t="str">
        <f t="array" aca="1" ref="J518" ca="1">IFERROR(IF(OR(INDEX(checklistPesertaKemenkeu!$N$6:$N$1005,SMALL(IF(checklistPesertaKemenkeu!$AY$6:$AY$1005="Direkomendasikan",ROW($6:$1005)-5),517))="",INDEX(checklistPesertaKemenkeu!$J$6:$J$1005,SMALL(IF(checklistPesertaKemenkeu!$AY$6:$AY$1005="Direkomendasikan",ROW($6:$1005)-5),517))=""),"",IF(AND(COUNTIF(INDIRECT("K_"&amp;MATCH(INDEX(checklistPesertaKemenkeu!$J$6:$J$1005,SMALL(IF(checklistPesertaKemenkeu!$AY$6:$AY$1005="Direkomendasikan",ROW($6:$1005)-5),517)),BidangList,0)),INDEX(checklistPesertaKemenkeu!$N$6:$N$1005,SMALL(IF(checklistPesertaKemenkeu!$AY$6:$AY$1005="Direkomendasikan",ROW($6:$1005)-5),517)))&gt;0,COUNTIF(INDIRECT("'KERTAS KERJA'!K"&amp;(SMALL(IF(checklistPesertaKemenkeu!$AY$6:$AY$1005="Direkomendasikan",ROW($6:$1005)-5),517)+5)&amp;":O"&amp;(SMALL(IF(checklistPesertaKemenkeu!$AY$6:$AY$1005="Direkomendasikan",ROW($6:$1005)-5),517)+5)),INDEX(checklistPesertaKemenkeu!$N$6:$N$1005,SMALL(IF(checklistPesertaKemenkeu!$AY$6:$AY$1005="Direkomendasikan",ROW($6:$1005)-5),517)))=1),IFERROR(VLOOKUP(INDEX(checklistPesertaKemenkeu!$N$6:$N$1005,SMALL(IF(checklistPesertaKemenkeu!$AY$6:$AY$1005="Direkomendasikan",ROW($6:$1005)-5),517)),KotaKode,2,0),"-"),"")),"")</f>
        <v/>
      </c>
      <c r="K518" t="str">
        <f t="array" aca="1" ref="K518" ca="1">IFERROR(IF(OR(INDEX(checklistPesertaKemenkeu!$O$6:$O$1005,SMALL(IF(checklistPesertaKemenkeu!$AY$6:$AY$1005="Direkomendasikan",ROW($6:$1005)-5),517))="",INDEX(checklistPesertaKemenkeu!$J$6:$J$1005,SMALL(IF(checklistPesertaKemenkeu!$AY$6:$AY$1005="Direkomendasikan",ROW($6:$1005)-5),517))=""),"",IF(AND(COUNTIF(INDIRECT("K_"&amp;MATCH(INDEX(checklistPesertaKemenkeu!$J$6:$J$1005,SMALL(IF(checklistPesertaKemenkeu!$AY$6:$AY$1005="Direkomendasikan",ROW($6:$1005)-5),517)),BidangList,0)),INDEX(checklistPesertaKemenkeu!$O$6:$O$1005,SMALL(IF(checklistPesertaKemenkeu!$AY$6:$AY$1005="Direkomendasikan",ROW($6:$1005)-5),517)))&gt;0,COUNTIF(INDIRECT("'KERTAS KERJA'!K"&amp;(SMALL(IF(checklistPesertaKemenkeu!$AY$6:$AY$1005="Direkomendasikan",ROW($6:$1005)-5),517)+5)&amp;":O"&amp;(SMALL(IF(checklistPesertaKemenkeu!$AY$6:$AY$1005="Direkomendasikan",ROW($6:$1005)-5),517)+5)),INDEX(checklistPesertaKemenkeu!$O$6:$O$1005,SMALL(IF(checklistPesertaKemenkeu!$AY$6:$AY$1005="Direkomendasikan",ROW($6:$1005)-5),517)))=1),IFERROR(VLOOKUP(INDEX(checklistPesertaKemenkeu!$O$6:$O$1005,SMALL(IF(checklistPesertaKemenkeu!$AY$6:$AY$1005="Direkomendasikan",ROW($6:$1005)-5),517)),KotaKode,2,0),"-"),"")),"")</f>
        <v/>
      </c>
      <c r="L518" t="str">
        <f t="array" aca="1" ref="L518" ca="1">IFERROR(IF(OR(INDEX(checklistPesertaKemenkeu!$P$6:$P$1005,SMALL(IF(checklistPesertaKemenkeu!$AY$6:$AY$1005="Direkomendasikan",ROW($6:$1005)-5),517))="",INDEX(checklistPesertaKemenkeu!$J$6:$J$1005,SMALL(IF(checklistPesertaKemenkeu!$AY$6:$AY$1005="Direkomendasikan",ROW($6:$1005)-5),517))=""),"",IF(AND(COUNTIF(INDIRECT("K_"&amp;MATCH(INDEX(checklistPesertaKemenkeu!$J$6:$J$1005,SMALL(IF(checklistPesertaKemenkeu!$AY$6:$AY$1005="Direkomendasikan",ROW($6:$1005)-5),517)),BidangList,0)),INDEX(checklistPesertaKemenkeu!$P$6:$P$1005,SMALL(IF(checklistPesertaKemenkeu!$AY$6:$AY$1005="Direkomendasikan",ROW($6:$1005)-5),517)))&gt;0,COUNTIF(INDIRECT("'KERTAS KERJA'!K"&amp;(SMALL(IF(checklistPesertaKemenkeu!$AY$6:$AY$1005="Direkomendasikan",ROW($6:$1005)-5),517)+5)&amp;":O"&amp;(SMALL(IF(checklistPesertaKemenkeu!$AY$6:$AY$1005="Direkomendasikan",ROW($6:$1005)-5),517)+5)),INDEX(checklistPesertaKemenkeu!$P$6:$P$1005,SMALL(IF(checklistPesertaKemenkeu!$AY$6:$AY$1005="Direkomendasikan",ROW($6:$1005)-5),517)))=1),IFERROR(VLOOKUP(INDEX(checklistPesertaKemenkeu!$P$6:$P$1005,SMALL(IF(checklistPesertaKemenkeu!$AY$6:$AY$1005="Direkomendasikan",ROW($6:$1005)-5),517)),KotaKode,2,0),"-"),"")),"")</f>
        <v/>
      </c>
    </row>
    <row r="519" spans="1:12" ht="15" customHeight="1" x14ac:dyDescent="0.2">
      <c r="A519" t="str">
        <f t="shared" si="8"/>
        <v/>
      </c>
      <c r="B519" t="str">
        <v/>
      </c>
      <c r="C519" s="40" t="str">
        <f t="array" ref="C519">IFERROR(INDEX(checklistPesertaKemenkeu!$F$6:$F$1005,SMALL(IF(checklistPesertaKemenkeu!$AY$6:$AY$1005="Direkomendasikan",ROW($6:$1005)-5),518)),"")</f>
        <v/>
      </c>
      <c r="D519" t="str">
        <f t="array" ref="D519">IFERROR(INDEX(checklistPesertaKemenkeu!$G$6:$G$1005,SMALL(IF(checklistPesertaKemenkeu!$AY$6:$AY$1005="Direkomendasikan",ROW($6:$1005)-5),518)),"")</f>
        <v/>
      </c>
      <c r="E519" t="str">
        <f t="array" ref="E519">IFERROR(INDEX(checklistPesertaKemenkeu!$H$6:$H$1005,SMALL(IF(checklistPesertaKemenkeu!$AY$6:$AY$1005="Direkomendasikan",ROW($6:$1005)-5),518)),"")</f>
        <v/>
      </c>
      <c r="F519" t="str">
        <f t="array" ref="F519">IFERROR(INDEX(checklistPesertaKemenkeu!$I$6:$I$1005,SMALL(IF(checklistPesertaKemenkeu!$AY$6:$AY$1005="Direkomendasikan",ROW($6:$1005)-5),518)),"")</f>
        <v/>
      </c>
      <c r="G519" t="str">
        <f t="array" ref="G519">IFERROR(INDEX(checklistPesertaKemenkeu!$J$6:$J$1005,SMALL(IF(checklistPesertaKemenkeu!$AY$6:$AY$1005="Direkomendasikan",ROW($6:$1005)-5),518)),"")</f>
        <v/>
      </c>
      <c r="H519" t="str">
        <f t="array" aca="1" ref="H519" ca="1">IFERROR(IF(OR(INDEX(checklistPesertaKemenkeu!$L$6:$L$1005,SMALL(IF(checklistPesertaKemenkeu!$AY$6:$AY$1005="Direkomendasikan",ROW($6:$1005)-5),518))="",INDEX(checklistPesertaKemenkeu!$J$6:$J$1005,SMALL(IF(checklistPesertaKemenkeu!$AY$6:$AY$1005="Direkomendasikan",ROW($6:$1005)-5),518))=""),"",IF(AND(COUNTIF(INDIRECT("K_"&amp;MATCH(INDEX(checklistPesertaKemenkeu!$J$6:$J$1005,SMALL(IF(checklistPesertaKemenkeu!$AY$6:$AY$1005="Direkomendasikan",ROW($6:$1005)-5),518)),BidangList,0)),INDEX(checklistPesertaKemenkeu!$L$6:$L$1005,SMALL(IF(checklistPesertaKemenkeu!$AY$6:$AY$1005="Direkomendasikan",ROW($6:$1005)-5),518)))&gt;0,COUNTIF(INDIRECT("'KERTAS KERJA'!K"&amp;(SMALL(IF(checklistPesertaKemenkeu!$AY$6:$AY$1005="Direkomendasikan",ROW($6:$1005)-5),518)+5)&amp;":O"&amp;(SMALL(IF(checklistPesertaKemenkeu!$AY$6:$AY$1005="Direkomendasikan",ROW($6:$1005)-5),518)+5)),INDEX(checklistPesertaKemenkeu!$L$6:$L$1005,SMALL(IF(checklistPesertaKemenkeu!$AY$6:$AY$1005="Direkomendasikan",ROW($6:$1005)-5),518)))=1),IFERROR(VLOOKUP(INDEX(checklistPesertaKemenkeu!$L$6:$L$1005,SMALL(IF(checklistPesertaKemenkeu!$AY$6:$AY$1005="Direkomendasikan",ROW($6:$1005)-5),518)),KotaKode,2,0),"-"),"")),"")</f>
        <v/>
      </c>
      <c r="I519" t="str">
        <f t="array" aca="1" ref="I519" ca="1">IFERROR(IF(OR(INDEX(checklistPesertaKemenkeu!$M$6:$M$1005,SMALL(IF(checklistPesertaKemenkeu!$AY$6:$AY$1005="Direkomendasikan",ROW($6:$1005)-5),518))="",INDEX(checklistPesertaKemenkeu!$J$6:$J$1005,SMALL(IF(checklistPesertaKemenkeu!$AY$6:$AY$1005="Direkomendasikan",ROW($6:$1005)-5),518))=""),"",IF(AND(COUNTIF(INDIRECT("K_"&amp;MATCH(INDEX(checklistPesertaKemenkeu!$J$6:$J$1005,SMALL(IF(checklistPesertaKemenkeu!$AY$6:$AY$1005="Direkomendasikan",ROW($6:$1005)-5),518)),BidangList,0)),INDEX(checklistPesertaKemenkeu!$M$6:$M$1005,SMALL(IF(checklistPesertaKemenkeu!$AY$6:$AY$1005="Direkomendasikan",ROW($6:$1005)-5),518)))&gt;0,COUNTIF(INDIRECT("'KERTAS KERJA'!K"&amp;(SMALL(IF(checklistPesertaKemenkeu!$AY$6:$AY$1005="Direkomendasikan",ROW($6:$1005)-5),518)+5)&amp;":O"&amp;(SMALL(IF(checklistPesertaKemenkeu!$AY$6:$AY$1005="Direkomendasikan",ROW($6:$1005)-5),518)+5)),INDEX(checklistPesertaKemenkeu!$M$6:$M$1005,SMALL(IF(checklistPesertaKemenkeu!$AY$6:$AY$1005="Direkomendasikan",ROW($6:$1005)-5),518)))=1),IFERROR(VLOOKUP(INDEX(checklistPesertaKemenkeu!$M$6:$M$1005,SMALL(IF(checklistPesertaKemenkeu!$AY$6:$AY$1005="Direkomendasikan",ROW($6:$1005)-5),518)),KotaKode,2,0),"-"),"")),"")</f>
        <v/>
      </c>
      <c r="J519" t="str">
        <f t="array" aca="1" ref="J519" ca="1">IFERROR(IF(OR(INDEX(checklistPesertaKemenkeu!$N$6:$N$1005,SMALL(IF(checklistPesertaKemenkeu!$AY$6:$AY$1005="Direkomendasikan",ROW($6:$1005)-5),518))="",INDEX(checklistPesertaKemenkeu!$J$6:$J$1005,SMALL(IF(checklistPesertaKemenkeu!$AY$6:$AY$1005="Direkomendasikan",ROW($6:$1005)-5),518))=""),"",IF(AND(COUNTIF(INDIRECT("K_"&amp;MATCH(INDEX(checklistPesertaKemenkeu!$J$6:$J$1005,SMALL(IF(checklistPesertaKemenkeu!$AY$6:$AY$1005="Direkomendasikan",ROW($6:$1005)-5),518)),BidangList,0)),INDEX(checklistPesertaKemenkeu!$N$6:$N$1005,SMALL(IF(checklistPesertaKemenkeu!$AY$6:$AY$1005="Direkomendasikan",ROW($6:$1005)-5),518)))&gt;0,COUNTIF(INDIRECT("'KERTAS KERJA'!K"&amp;(SMALL(IF(checklistPesertaKemenkeu!$AY$6:$AY$1005="Direkomendasikan",ROW($6:$1005)-5),518)+5)&amp;":O"&amp;(SMALL(IF(checklistPesertaKemenkeu!$AY$6:$AY$1005="Direkomendasikan",ROW($6:$1005)-5),518)+5)),INDEX(checklistPesertaKemenkeu!$N$6:$N$1005,SMALL(IF(checklistPesertaKemenkeu!$AY$6:$AY$1005="Direkomendasikan",ROW($6:$1005)-5),518)))=1),IFERROR(VLOOKUP(INDEX(checklistPesertaKemenkeu!$N$6:$N$1005,SMALL(IF(checklistPesertaKemenkeu!$AY$6:$AY$1005="Direkomendasikan",ROW($6:$1005)-5),518)),KotaKode,2,0),"-"),"")),"")</f>
        <v/>
      </c>
      <c r="K519" t="str">
        <f t="array" aca="1" ref="K519" ca="1">IFERROR(IF(OR(INDEX(checklistPesertaKemenkeu!$O$6:$O$1005,SMALL(IF(checklistPesertaKemenkeu!$AY$6:$AY$1005="Direkomendasikan",ROW($6:$1005)-5),518))="",INDEX(checklistPesertaKemenkeu!$J$6:$J$1005,SMALL(IF(checklistPesertaKemenkeu!$AY$6:$AY$1005="Direkomendasikan",ROW($6:$1005)-5),518))=""),"",IF(AND(COUNTIF(INDIRECT("K_"&amp;MATCH(INDEX(checklistPesertaKemenkeu!$J$6:$J$1005,SMALL(IF(checklistPesertaKemenkeu!$AY$6:$AY$1005="Direkomendasikan",ROW($6:$1005)-5),518)),BidangList,0)),INDEX(checklistPesertaKemenkeu!$O$6:$O$1005,SMALL(IF(checklistPesertaKemenkeu!$AY$6:$AY$1005="Direkomendasikan",ROW($6:$1005)-5),518)))&gt;0,COUNTIF(INDIRECT("'KERTAS KERJA'!K"&amp;(SMALL(IF(checklistPesertaKemenkeu!$AY$6:$AY$1005="Direkomendasikan",ROW($6:$1005)-5),518)+5)&amp;":O"&amp;(SMALL(IF(checklistPesertaKemenkeu!$AY$6:$AY$1005="Direkomendasikan",ROW($6:$1005)-5),518)+5)),INDEX(checklistPesertaKemenkeu!$O$6:$O$1005,SMALL(IF(checklistPesertaKemenkeu!$AY$6:$AY$1005="Direkomendasikan",ROW($6:$1005)-5),518)))=1),IFERROR(VLOOKUP(INDEX(checklistPesertaKemenkeu!$O$6:$O$1005,SMALL(IF(checklistPesertaKemenkeu!$AY$6:$AY$1005="Direkomendasikan",ROW($6:$1005)-5),518)),KotaKode,2,0),"-"),"")),"")</f>
        <v/>
      </c>
      <c r="L519" t="str">
        <f t="array" aca="1" ref="L519" ca="1">IFERROR(IF(OR(INDEX(checklistPesertaKemenkeu!$P$6:$P$1005,SMALL(IF(checklistPesertaKemenkeu!$AY$6:$AY$1005="Direkomendasikan",ROW($6:$1005)-5),518))="",INDEX(checklistPesertaKemenkeu!$J$6:$J$1005,SMALL(IF(checklistPesertaKemenkeu!$AY$6:$AY$1005="Direkomendasikan",ROW($6:$1005)-5),518))=""),"",IF(AND(COUNTIF(INDIRECT("K_"&amp;MATCH(INDEX(checklistPesertaKemenkeu!$J$6:$J$1005,SMALL(IF(checklistPesertaKemenkeu!$AY$6:$AY$1005="Direkomendasikan",ROW($6:$1005)-5),518)),BidangList,0)),INDEX(checklistPesertaKemenkeu!$P$6:$P$1005,SMALL(IF(checklistPesertaKemenkeu!$AY$6:$AY$1005="Direkomendasikan",ROW($6:$1005)-5),518)))&gt;0,COUNTIF(INDIRECT("'KERTAS KERJA'!K"&amp;(SMALL(IF(checklistPesertaKemenkeu!$AY$6:$AY$1005="Direkomendasikan",ROW($6:$1005)-5),518)+5)&amp;":O"&amp;(SMALL(IF(checklistPesertaKemenkeu!$AY$6:$AY$1005="Direkomendasikan",ROW($6:$1005)-5),518)+5)),INDEX(checklistPesertaKemenkeu!$P$6:$P$1005,SMALL(IF(checklistPesertaKemenkeu!$AY$6:$AY$1005="Direkomendasikan",ROW($6:$1005)-5),518)))=1),IFERROR(VLOOKUP(INDEX(checklistPesertaKemenkeu!$P$6:$P$1005,SMALL(IF(checklistPesertaKemenkeu!$AY$6:$AY$1005="Direkomendasikan",ROW($6:$1005)-5),518)),KotaKode,2,0),"-"),"")),"")</f>
        <v/>
      </c>
    </row>
    <row r="520" spans="1:12" ht="15" customHeight="1" x14ac:dyDescent="0.2">
      <c r="A520" t="str">
        <f t="shared" si="8"/>
        <v/>
      </c>
      <c r="B520" t="str">
        <v/>
      </c>
      <c r="C520" s="40" t="str">
        <f t="array" ref="C520">IFERROR(INDEX(checklistPesertaKemenkeu!$F$6:$F$1005,SMALL(IF(checklistPesertaKemenkeu!$AY$6:$AY$1005="Direkomendasikan",ROW($6:$1005)-5),519)),"")</f>
        <v/>
      </c>
      <c r="D520" t="str">
        <f t="array" ref="D520">IFERROR(INDEX(checklistPesertaKemenkeu!$G$6:$G$1005,SMALL(IF(checklistPesertaKemenkeu!$AY$6:$AY$1005="Direkomendasikan",ROW($6:$1005)-5),519)),"")</f>
        <v/>
      </c>
      <c r="E520" t="str">
        <f t="array" ref="E520">IFERROR(INDEX(checklistPesertaKemenkeu!$H$6:$H$1005,SMALL(IF(checklistPesertaKemenkeu!$AY$6:$AY$1005="Direkomendasikan",ROW($6:$1005)-5),519)),"")</f>
        <v/>
      </c>
      <c r="F520" t="str">
        <f t="array" ref="F520">IFERROR(INDEX(checklistPesertaKemenkeu!$I$6:$I$1005,SMALL(IF(checklistPesertaKemenkeu!$AY$6:$AY$1005="Direkomendasikan",ROW($6:$1005)-5),519)),"")</f>
        <v/>
      </c>
      <c r="G520" t="str">
        <f t="array" ref="G520">IFERROR(INDEX(checklistPesertaKemenkeu!$J$6:$J$1005,SMALL(IF(checklistPesertaKemenkeu!$AY$6:$AY$1005="Direkomendasikan",ROW($6:$1005)-5),519)),"")</f>
        <v/>
      </c>
      <c r="H520" t="str">
        <f t="array" aca="1" ref="H520" ca="1">IFERROR(IF(OR(INDEX(checklistPesertaKemenkeu!$L$6:$L$1005,SMALL(IF(checklistPesertaKemenkeu!$AY$6:$AY$1005="Direkomendasikan",ROW($6:$1005)-5),519))="",INDEX(checklistPesertaKemenkeu!$J$6:$J$1005,SMALL(IF(checklistPesertaKemenkeu!$AY$6:$AY$1005="Direkomendasikan",ROW($6:$1005)-5),519))=""),"",IF(AND(COUNTIF(INDIRECT("K_"&amp;MATCH(INDEX(checklistPesertaKemenkeu!$J$6:$J$1005,SMALL(IF(checklistPesertaKemenkeu!$AY$6:$AY$1005="Direkomendasikan",ROW($6:$1005)-5),519)),BidangList,0)),INDEX(checklistPesertaKemenkeu!$L$6:$L$1005,SMALL(IF(checklistPesertaKemenkeu!$AY$6:$AY$1005="Direkomendasikan",ROW($6:$1005)-5),519)))&gt;0,COUNTIF(INDIRECT("'KERTAS KERJA'!K"&amp;(SMALL(IF(checklistPesertaKemenkeu!$AY$6:$AY$1005="Direkomendasikan",ROW($6:$1005)-5),519)+5)&amp;":O"&amp;(SMALL(IF(checklistPesertaKemenkeu!$AY$6:$AY$1005="Direkomendasikan",ROW($6:$1005)-5),519)+5)),INDEX(checklistPesertaKemenkeu!$L$6:$L$1005,SMALL(IF(checklistPesertaKemenkeu!$AY$6:$AY$1005="Direkomendasikan",ROW($6:$1005)-5),519)))=1),IFERROR(VLOOKUP(INDEX(checklistPesertaKemenkeu!$L$6:$L$1005,SMALL(IF(checklistPesertaKemenkeu!$AY$6:$AY$1005="Direkomendasikan",ROW($6:$1005)-5),519)),KotaKode,2,0),"-"),"")),"")</f>
        <v/>
      </c>
      <c r="I520" t="str">
        <f t="array" aca="1" ref="I520" ca="1">IFERROR(IF(OR(INDEX(checklistPesertaKemenkeu!$M$6:$M$1005,SMALL(IF(checklistPesertaKemenkeu!$AY$6:$AY$1005="Direkomendasikan",ROW($6:$1005)-5),519))="",INDEX(checklistPesertaKemenkeu!$J$6:$J$1005,SMALL(IF(checklistPesertaKemenkeu!$AY$6:$AY$1005="Direkomendasikan",ROW($6:$1005)-5),519))=""),"",IF(AND(COUNTIF(INDIRECT("K_"&amp;MATCH(INDEX(checklistPesertaKemenkeu!$J$6:$J$1005,SMALL(IF(checklistPesertaKemenkeu!$AY$6:$AY$1005="Direkomendasikan",ROW($6:$1005)-5),519)),BidangList,0)),INDEX(checklistPesertaKemenkeu!$M$6:$M$1005,SMALL(IF(checklistPesertaKemenkeu!$AY$6:$AY$1005="Direkomendasikan",ROW($6:$1005)-5),519)))&gt;0,COUNTIF(INDIRECT("'KERTAS KERJA'!K"&amp;(SMALL(IF(checklistPesertaKemenkeu!$AY$6:$AY$1005="Direkomendasikan",ROW($6:$1005)-5),519)+5)&amp;":O"&amp;(SMALL(IF(checklistPesertaKemenkeu!$AY$6:$AY$1005="Direkomendasikan",ROW($6:$1005)-5),519)+5)),INDEX(checklistPesertaKemenkeu!$M$6:$M$1005,SMALL(IF(checklistPesertaKemenkeu!$AY$6:$AY$1005="Direkomendasikan",ROW($6:$1005)-5),519)))=1),IFERROR(VLOOKUP(INDEX(checklistPesertaKemenkeu!$M$6:$M$1005,SMALL(IF(checklistPesertaKemenkeu!$AY$6:$AY$1005="Direkomendasikan",ROW($6:$1005)-5),519)),KotaKode,2,0),"-"),"")),"")</f>
        <v/>
      </c>
      <c r="J520" t="str">
        <f t="array" aca="1" ref="J520" ca="1">IFERROR(IF(OR(INDEX(checklistPesertaKemenkeu!$N$6:$N$1005,SMALL(IF(checklistPesertaKemenkeu!$AY$6:$AY$1005="Direkomendasikan",ROW($6:$1005)-5),519))="",INDEX(checklistPesertaKemenkeu!$J$6:$J$1005,SMALL(IF(checklistPesertaKemenkeu!$AY$6:$AY$1005="Direkomendasikan",ROW($6:$1005)-5),519))=""),"",IF(AND(COUNTIF(INDIRECT("K_"&amp;MATCH(INDEX(checklistPesertaKemenkeu!$J$6:$J$1005,SMALL(IF(checklistPesertaKemenkeu!$AY$6:$AY$1005="Direkomendasikan",ROW($6:$1005)-5),519)),BidangList,0)),INDEX(checklistPesertaKemenkeu!$N$6:$N$1005,SMALL(IF(checklistPesertaKemenkeu!$AY$6:$AY$1005="Direkomendasikan",ROW($6:$1005)-5),519)))&gt;0,COUNTIF(INDIRECT("'KERTAS KERJA'!K"&amp;(SMALL(IF(checklistPesertaKemenkeu!$AY$6:$AY$1005="Direkomendasikan",ROW($6:$1005)-5),519)+5)&amp;":O"&amp;(SMALL(IF(checklistPesertaKemenkeu!$AY$6:$AY$1005="Direkomendasikan",ROW($6:$1005)-5),519)+5)),INDEX(checklistPesertaKemenkeu!$N$6:$N$1005,SMALL(IF(checklistPesertaKemenkeu!$AY$6:$AY$1005="Direkomendasikan",ROW($6:$1005)-5),519)))=1),IFERROR(VLOOKUP(INDEX(checklistPesertaKemenkeu!$N$6:$N$1005,SMALL(IF(checklistPesertaKemenkeu!$AY$6:$AY$1005="Direkomendasikan",ROW($6:$1005)-5),519)),KotaKode,2,0),"-"),"")),"")</f>
        <v/>
      </c>
      <c r="K520" t="str">
        <f t="array" aca="1" ref="K520" ca="1">IFERROR(IF(OR(INDEX(checklistPesertaKemenkeu!$O$6:$O$1005,SMALL(IF(checklistPesertaKemenkeu!$AY$6:$AY$1005="Direkomendasikan",ROW($6:$1005)-5),519))="",INDEX(checklistPesertaKemenkeu!$J$6:$J$1005,SMALL(IF(checklistPesertaKemenkeu!$AY$6:$AY$1005="Direkomendasikan",ROW($6:$1005)-5),519))=""),"",IF(AND(COUNTIF(INDIRECT("K_"&amp;MATCH(INDEX(checklistPesertaKemenkeu!$J$6:$J$1005,SMALL(IF(checklistPesertaKemenkeu!$AY$6:$AY$1005="Direkomendasikan",ROW($6:$1005)-5),519)),BidangList,0)),INDEX(checklistPesertaKemenkeu!$O$6:$O$1005,SMALL(IF(checklistPesertaKemenkeu!$AY$6:$AY$1005="Direkomendasikan",ROW($6:$1005)-5),519)))&gt;0,COUNTIF(INDIRECT("'KERTAS KERJA'!K"&amp;(SMALL(IF(checklistPesertaKemenkeu!$AY$6:$AY$1005="Direkomendasikan",ROW($6:$1005)-5),519)+5)&amp;":O"&amp;(SMALL(IF(checklistPesertaKemenkeu!$AY$6:$AY$1005="Direkomendasikan",ROW($6:$1005)-5),519)+5)),INDEX(checklistPesertaKemenkeu!$O$6:$O$1005,SMALL(IF(checklistPesertaKemenkeu!$AY$6:$AY$1005="Direkomendasikan",ROW($6:$1005)-5),519)))=1),IFERROR(VLOOKUP(INDEX(checklistPesertaKemenkeu!$O$6:$O$1005,SMALL(IF(checklistPesertaKemenkeu!$AY$6:$AY$1005="Direkomendasikan",ROW($6:$1005)-5),519)),KotaKode,2,0),"-"),"")),"")</f>
        <v/>
      </c>
      <c r="L520" t="str">
        <f t="array" aca="1" ref="L520" ca="1">IFERROR(IF(OR(INDEX(checklistPesertaKemenkeu!$P$6:$P$1005,SMALL(IF(checklistPesertaKemenkeu!$AY$6:$AY$1005="Direkomendasikan",ROW($6:$1005)-5),519))="",INDEX(checklistPesertaKemenkeu!$J$6:$J$1005,SMALL(IF(checklistPesertaKemenkeu!$AY$6:$AY$1005="Direkomendasikan",ROW($6:$1005)-5),519))=""),"",IF(AND(COUNTIF(INDIRECT("K_"&amp;MATCH(INDEX(checklistPesertaKemenkeu!$J$6:$J$1005,SMALL(IF(checklistPesertaKemenkeu!$AY$6:$AY$1005="Direkomendasikan",ROW($6:$1005)-5),519)),BidangList,0)),INDEX(checklistPesertaKemenkeu!$P$6:$P$1005,SMALL(IF(checklistPesertaKemenkeu!$AY$6:$AY$1005="Direkomendasikan",ROW($6:$1005)-5),519)))&gt;0,COUNTIF(INDIRECT("'KERTAS KERJA'!K"&amp;(SMALL(IF(checklistPesertaKemenkeu!$AY$6:$AY$1005="Direkomendasikan",ROW($6:$1005)-5),519)+5)&amp;":O"&amp;(SMALL(IF(checklistPesertaKemenkeu!$AY$6:$AY$1005="Direkomendasikan",ROW($6:$1005)-5),519)+5)),INDEX(checklistPesertaKemenkeu!$P$6:$P$1005,SMALL(IF(checklistPesertaKemenkeu!$AY$6:$AY$1005="Direkomendasikan",ROW($6:$1005)-5),519)))=1),IFERROR(VLOOKUP(INDEX(checklistPesertaKemenkeu!$P$6:$P$1005,SMALL(IF(checklistPesertaKemenkeu!$AY$6:$AY$1005="Direkomendasikan",ROW($6:$1005)-5),519)),KotaKode,2,0),"-"),"")),"")</f>
        <v/>
      </c>
    </row>
    <row r="521" spans="1:12" ht="15" customHeight="1" x14ac:dyDescent="0.2">
      <c r="A521" t="str">
        <f t="shared" si="8"/>
        <v/>
      </c>
      <c r="B521" t="str">
        <v/>
      </c>
      <c r="C521" s="40" t="str">
        <f t="array" ref="C521">IFERROR(INDEX(checklistPesertaKemenkeu!$F$6:$F$1005,SMALL(IF(checklistPesertaKemenkeu!$AY$6:$AY$1005="Direkomendasikan",ROW($6:$1005)-5),520)),"")</f>
        <v/>
      </c>
      <c r="D521" t="str">
        <f t="array" ref="D521">IFERROR(INDEX(checklistPesertaKemenkeu!$G$6:$G$1005,SMALL(IF(checklistPesertaKemenkeu!$AY$6:$AY$1005="Direkomendasikan",ROW($6:$1005)-5),520)),"")</f>
        <v/>
      </c>
      <c r="E521" t="str">
        <f t="array" ref="E521">IFERROR(INDEX(checklistPesertaKemenkeu!$H$6:$H$1005,SMALL(IF(checklistPesertaKemenkeu!$AY$6:$AY$1005="Direkomendasikan",ROW($6:$1005)-5),520)),"")</f>
        <v/>
      </c>
      <c r="F521" t="str">
        <f t="array" ref="F521">IFERROR(INDEX(checklistPesertaKemenkeu!$I$6:$I$1005,SMALL(IF(checklistPesertaKemenkeu!$AY$6:$AY$1005="Direkomendasikan",ROW($6:$1005)-5),520)),"")</f>
        <v/>
      </c>
      <c r="G521" t="str">
        <f t="array" ref="G521">IFERROR(INDEX(checklistPesertaKemenkeu!$J$6:$J$1005,SMALL(IF(checklistPesertaKemenkeu!$AY$6:$AY$1005="Direkomendasikan",ROW($6:$1005)-5),520)),"")</f>
        <v/>
      </c>
      <c r="H521" t="str">
        <f t="array" aca="1" ref="H521" ca="1">IFERROR(IF(OR(INDEX(checklistPesertaKemenkeu!$L$6:$L$1005,SMALL(IF(checklistPesertaKemenkeu!$AY$6:$AY$1005="Direkomendasikan",ROW($6:$1005)-5),520))="",INDEX(checklistPesertaKemenkeu!$J$6:$J$1005,SMALL(IF(checklistPesertaKemenkeu!$AY$6:$AY$1005="Direkomendasikan",ROW($6:$1005)-5),520))=""),"",IF(AND(COUNTIF(INDIRECT("K_"&amp;MATCH(INDEX(checklistPesertaKemenkeu!$J$6:$J$1005,SMALL(IF(checklistPesertaKemenkeu!$AY$6:$AY$1005="Direkomendasikan",ROW($6:$1005)-5),520)),BidangList,0)),INDEX(checklistPesertaKemenkeu!$L$6:$L$1005,SMALL(IF(checklistPesertaKemenkeu!$AY$6:$AY$1005="Direkomendasikan",ROW($6:$1005)-5),520)))&gt;0,COUNTIF(INDIRECT("'KERTAS KERJA'!K"&amp;(SMALL(IF(checklistPesertaKemenkeu!$AY$6:$AY$1005="Direkomendasikan",ROW($6:$1005)-5),520)+5)&amp;":O"&amp;(SMALL(IF(checklistPesertaKemenkeu!$AY$6:$AY$1005="Direkomendasikan",ROW($6:$1005)-5),520)+5)),INDEX(checklistPesertaKemenkeu!$L$6:$L$1005,SMALL(IF(checklistPesertaKemenkeu!$AY$6:$AY$1005="Direkomendasikan",ROW($6:$1005)-5),520)))=1),IFERROR(VLOOKUP(INDEX(checklistPesertaKemenkeu!$L$6:$L$1005,SMALL(IF(checklistPesertaKemenkeu!$AY$6:$AY$1005="Direkomendasikan",ROW($6:$1005)-5),520)),KotaKode,2,0),"-"),"")),"")</f>
        <v/>
      </c>
      <c r="I521" t="str">
        <f t="array" aca="1" ref="I521" ca="1">IFERROR(IF(OR(INDEX(checklistPesertaKemenkeu!$M$6:$M$1005,SMALL(IF(checklistPesertaKemenkeu!$AY$6:$AY$1005="Direkomendasikan",ROW($6:$1005)-5),520))="",INDEX(checklistPesertaKemenkeu!$J$6:$J$1005,SMALL(IF(checklistPesertaKemenkeu!$AY$6:$AY$1005="Direkomendasikan",ROW($6:$1005)-5),520))=""),"",IF(AND(COUNTIF(INDIRECT("K_"&amp;MATCH(INDEX(checklistPesertaKemenkeu!$J$6:$J$1005,SMALL(IF(checklistPesertaKemenkeu!$AY$6:$AY$1005="Direkomendasikan",ROW($6:$1005)-5),520)),BidangList,0)),INDEX(checklistPesertaKemenkeu!$M$6:$M$1005,SMALL(IF(checklistPesertaKemenkeu!$AY$6:$AY$1005="Direkomendasikan",ROW($6:$1005)-5),520)))&gt;0,COUNTIF(INDIRECT("'KERTAS KERJA'!K"&amp;(SMALL(IF(checklistPesertaKemenkeu!$AY$6:$AY$1005="Direkomendasikan",ROW($6:$1005)-5),520)+5)&amp;":O"&amp;(SMALL(IF(checklistPesertaKemenkeu!$AY$6:$AY$1005="Direkomendasikan",ROW($6:$1005)-5),520)+5)),INDEX(checklistPesertaKemenkeu!$M$6:$M$1005,SMALL(IF(checklistPesertaKemenkeu!$AY$6:$AY$1005="Direkomendasikan",ROW($6:$1005)-5),520)))=1),IFERROR(VLOOKUP(INDEX(checklistPesertaKemenkeu!$M$6:$M$1005,SMALL(IF(checklistPesertaKemenkeu!$AY$6:$AY$1005="Direkomendasikan",ROW($6:$1005)-5),520)),KotaKode,2,0),"-"),"")),"")</f>
        <v/>
      </c>
      <c r="J521" t="str">
        <f t="array" aca="1" ref="J521" ca="1">IFERROR(IF(OR(INDEX(checklistPesertaKemenkeu!$N$6:$N$1005,SMALL(IF(checklistPesertaKemenkeu!$AY$6:$AY$1005="Direkomendasikan",ROW($6:$1005)-5),520))="",INDEX(checklistPesertaKemenkeu!$J$6:$J$1005,SMALL(IF(checklistPesertaKemenkeu!$AY$6:$AY$1005="Direkomendasikan",ROW($6:$1005)-5),520))=""),"",IF(AND(COUNTIF(INDIRECT("K_"&amp;MATCH(INDEX(checklistPesertaKemenkeu!$J$6:$J$1005,SMALL(IF(checklistPesertaKemenkeu!$AY$6:$AY$1005="Direkomendasikan",ROW($6:$1005)-5),520)),BidangList,0)),INDEX(checklistPesertaKemenkeu!$N$6:$N$1005,SMALL(IF(checklistPesertaKemenkeu!$AY$6:$AY$1005="Direkomendasikan",ROW($6:$1005)-5),520)))&gt;0,COUNTIF(INDIRECT("'KERTAS KERJA'!K"&amp;(SMALL(IF(checklistPesertaKemenkeu!$AY$6:$AY$1005="Direkomendasikan",ROW($6:$1005)-5),520)+5)&amp;":O"&amp;(SMALL(IF(checklistPesertaKemenkeu!$AY$6:$AY$1005="Direkomendasikan",ROW($6:$1005)-5),520)+5)),INDEX(checklistPesertaKemenkeu!$N$6:$N$1005,SMALL(IF(checklistPesertaKemenkeu!$AY$6:$AY$1005="Direkomendasikan",ROW($6:$1005)-5),520)))=1),IFERROR(VLOOKUP(INDEX(checklistPesertaKemenkeu!$N$6:$N$1005,SMALL(IF(checklistPesertaKemenkeu!$AY$6:$AY$1005="Direkomendasikan",ROW($6:$1005)-5),520)),KotaKode,2,0),"-"),"")),"")</f>
        <v/>
      </c>
      <c r="K521" t="str">
        <f t="array" aca="1" ref="K521" ca="1">IFERROR(IF(OR(INDEX(checklistPesertaKemenkeu!$O$6:$O$1005,SMALL(IF(checklistPesertaKemenkeu!$AY$6:$AY$1005="Direkomendasikan",ROW($6:$1005)-5),520))="",INDEX(checklistPesertaKemenkeu!$J$6:$J$1005,SMALL(IF(checklistPesertaKemenkeu!$AY$6:$AY$1005="Direkomendasikan",ROW($6:$1005)-5),520))=""),"",IF(AND(COUNTIF(INDIRECT("K_"&amp;MATCH(INDEX(checklistPesertaKemenkeu!$J$6:$J$1005,SMALL(IF(checklistPesertaKemenkeu!$AY$6:$AY$1005="Direkomendasikan",ROW($6:$1005)-5),520)),BidangList,0)),INDEX(checklistPesertaKemenkeu!$O$6:$O$1005,SMALL(IF(checklistPesertaKemenkeu!$AY$6:$AY$1005="Direkomendasikan",ROW($6:$1005)-5),520)))&gt;0,COUNTIF(INDIRECT("'KERTAS KERJA'!K"&amp;(SMALL(IF(checklistPesertaKemenkeu!$AY$6:$AY$1005="Direkomendasikan",ROW($6:$1005)-5),520)+5)&amp;":O"&amp;(SMALL(IF(checklistPesertaKemenkeu!$AY$6:$AY$1005="Direkomendasikan",ROW($6:$1005)-5),520)+5)),INDEX(checklistPesertaKemenkeu!$O$6:$O$1005,SMALL(IF(checklistPesertaKemenkeu!$AY$6:$AY$1005="Direkomendasikan",ROW($6:$1005)-5),520)))=1),IFERROR(VLOOKUP(INDEX(checklistPesertaKemenkeu!$O$6:$O$1005,SMALL(IF(checklistPesertaKemenkeu!$AY$6:$AY$1005="Direkomendasikan",ROW($6:$1005)-5),520)),KotaKode,2,0),"-"),"")),"")</f>
        <v/>
      </c>
      <c r="L521" t="str">
        <f t="array" aca="1" ref="L521" ca="1">IFERROR(IF(OR(INDEX(checklistPesertaKemenkeu!$P$6:$P$1005,SMALL(IF(checklistPesertaKemenkeu!$AY$6:$AY$1005="Direkomendasikan",ROW($6:$1005)-5),520))="",INDEX(checklistPesertaKemenkeu!$J$6:$J$1005,SMALL(IF(checklistPesertaKemenkeu!$AY$6:$AY$1005="Direkomendasikan",ROW($6:$1005)-5),520))=""),"",IF(AND(COUNTIF(INDIRECT("K_"&amp;MATCH(INDEX(checklistPesertaKemenkeu!$J$6:$J$1005,SMALL(IF(checklistPesertaKemenkeu!$AY$6:$AY$1005="Direkomendasikan",ROW($6:$1005)-5),520)),BidangList,0)),INDEX(checklistPesertaKemenkeu!$P$6:$P$1005,SMALL(IF(checklistPesertaKemenkeu!$AY$6:$AY$1005="Direkomendasikan",ROW($6:$1005)-5),520)))&gt;0,COUNTIF(INDIRECT("'KERTAS KERJA'!K"&amp;(SMALL(IF(checklistPesertaKemenkeu!$AY$6:$AY$1005="Direkomendasikan",ROW($6:$1005)-5),520)+5)&amp;":O"&amp;(SMALL(IF(checklistPesertaKemenkeu!$AY$6:$AY$1005="Direkomendasikan",ROW($6:$1005)-5),520)+5)),INDEX(checklistPesertaKemenkeu!$P$6:$P$1005,SMALL(IF(checklistPesertaKemenkeu!$AY$6:$AY$1005="Direkomendasikan",ROW($6:$1005)-5),520)))=1),IFERROR(VLOOKUP(INDEX(checklistPesertaKemenkeu!$P$6:$P$1005,SMALL(IF(checklistPesertaKemenkeu!$AY$6:$AY$1005="Direkomendasikan",ROW($6:$1005)-5),520)),KotaKode,2,0),"-"),"")),"")</f>
        <v/>
      </c>
    </row>
    <row r="522" spans="1:12" ht="15" customHeight="1" x14ac:dyDescent="0.2">
      <c r="A522" t="str">
        <f t="shared" si="8"/>
        <v/>
      </c>
      <c r="B522" t="str">
        <v/>
      </c>
      <c r="C522" s="40" t="str">
        <f t="array" ref="C522">IFERROR(INDEX(checklistPesertaKemenkeu!$F$6:$F$1005,SMALL(IF(checklistPesertaKemenkeu!$AY$6:$AY$1005="Direkomendasikan",ROW($6:$1005)-5),521)),"")</f>
        <v/>
      </c>
      <c r="D522" t="str">
        <f t="array" ref="D522">IFERROR(INDEX(checklistPesertaKemenkeu!$G$6:$G$1005,SMALL(IF(checklistPesertaKemenkeu!$AY$6:$AY$1005="Direkomendasikan",ROW($6:$1005)-5),521)),"")</f>
        <v/>
      </c>
      <c r="E522" t="str">
        <f t="array" ref="E522">IFERROR(INDEX(checklistPesertaKemenkeu!$H$6:$H$1005,SMALL(IF(checklistPesertaKemenkeu!$AY$6:$AY$1005="Direkomendasikan",ROW($6:$1005)-5),521)),"")</f>
        <v/>
      </c>
      <c r="F522" t="str">
        <f t="array" ref="F522">IFERROR(INDEX(checklistPesertaKemenkeu!$I$6:$I$1005,SMALL(IF(checklistPesertaKemenkeu!$AY$6:$AY$1005="Direkomendasikan",ROW($6:$1005)-5),521)),"")</f>
        <v/>
      </c>
      <c r="G522" t="str">
        <f t="array" ref="G522">IFERROR(INDEX(checklistPesertaKemenkeu!$J$6:$J$1005,SMALL(IF(checklistPesertaKemenkeu!$AY$6:$AY$1005="Direkomendasikan",ROW($6:$1005)-5),521)),"")</f>
        <v/>
      </c>
      <c r="H522" t="str">
        <f t="array" aca="1" ref="H522" ca="1">IFERROR(IF(OR(INDEX(checklistPesertaKemenkeu!$L$6:$L$1005,SMALL(IF(checklistPesertaKemenkeu!$AY$6:$AY$1005="Direkomendasikan",ROW($6:$1005)-5),521))="",INDEX(checklistPesertaKemenkeu!$J$6:$J$1005,SMALL(IF(checklistPesertaKemenkeu!$AY$6:$AY$1005="Direkomendasikan",ROW($6:$1005)-5),521))=""),"",IF(AND(COUNTIF(INDIRECT("K_"&amp;MATCH(INDEX(checklistPesertaKemenkeu!$J$6:$J$1005,SMALL(IF(checklistPesertaKemenkeu!$AY$6:$AY$1005="Direkomendasikan",ROW($6:$1005)-5),521)),BidangList,0)),INDEX(checklistPesertaKemenkeu!$L$6:$L$1005,SMALL(IF(checklistPesertaKemenkeu!$AY$6:$AY$1005="Direkomendasikan",ROW($6:$1005)-5),521)))&gt;0,COUNTIF(INDIRECT("'KERTAS KERJA'!K"&amp;(SMALL(IF(checklistPesertaKemenkeu!$AY$6:$AY$1005="Direkomendasikan",ROW($6:$1005)-5),521)+5)&amp;":O"&amp;(SMALL(IF(checklistPesertaKemenkeu!$AY$6:$AY$1005="Direkomendasikan",ROW($6:$1005)-5),521)+5)),INDEX(checklistPesertaKemenkeu!$L$6:$L$1005,SMALL(IF(checklistPesertaKemenkeu!$AY$6:$AY$1005="Direkomendasikan",ROW($6:$1005)-5),521)))=1),IFERROR(VLOOKUP(INDEX(checklistPesertaKemenkeu!$L$6:$L$1005,SMALL(IF(checklistPesertaKemenkeu!$AY$6:$AY$1005="Direkomendasikan",ROW($6:$1005)-5),521)),KotaKode,2,0),"-"),"")),"")</f>
        <v/>
      </c>
      <c r="I522" t="str">
        <f t="array" aca="1" ref="I522" ca="1">IFERROR(IF(OR(INDEX(checklistPesertaKemenkeu!$M$6:$M$1005,SMALL(IF(checklistPesertaKemenkeu!$AY$6:$AY$1005="Direkomendasikan",ROW($6:$1005)-5),521))="",INDEX(checklistPesertaKemenkeu!$J$6:$J$1005,SMALL(IF(checklistPesertaKemenkeu!$AY$6:$AY$1005="Direkomendasikan",ROW($6:$1005)-5),521))=""),"",IF(AND(COUNTIF(INDIRECT("K_"&amp;MATCH(INDEX(checklistPesertaKemenkeu!$J$6:$J$1005,SMALL(IF(checklistPesertaKemenkeu!$AY$6:$AY$1005="Direkomendasikan",ROW($6:$1005)-5),521)),BidangList,0)),INDEX(checklistPesertaKemenkeu!$M$6:$M$1005,SMALL(IF(checklistPesertaKemenkeu!$AY$6:$AY$1005="Direkomendasikan",ROW($6:$1005)-5),521)))&gt;0,COUNTIF(INDIRECT("'KERTAS KERJA'!K"&amp;(SMALL(IF(checklistPesertaKemenkeu!$AY$6:$AY$1005="Direkomendasikan",ROW($6:$1005)-5),521)+5)&amp;":O"&amp;(SMALL(IF(checklistPesertaKemenkeu!$AY$6:$AY$1005="Direkomendasikan",ROW($6:$1005)-5),521)+5)),INDEX(checklistPesertaKemenkeu!$M$6:$M$1005,SMALL(IF(checklistPesertaKemenkeu!$AY$6:$AY$1005="Direkomendasikan",ROW($6:$1005)-5),521)))=1),IFERROR(VLOOKUP(INDEX(checklistPesertaKemenkeu!$M$6:$M$1005,SMALL(IF(checklistPesertaKemenkeu!$AY$6:$AY$1005="Direkomendasikan",ROW($6:$1005)-5),521)),KotaKode,2,0),"-"),"")),"")</f>
        <v/>
      </c>
      <c r="J522" t="str">
        <f t="array" aca="1" ref="J522" ca="1">IFERROR(IF(OR(INDEX(checklistPesertaKemenkeu!$N$6:$N$1005,SMALL(IF(checklistPesertaKemenkeu!$AY$6:$AY$1005="Direkomendasikan",ROW($6:$1005)-5),521))="",INDEX(checklistPesertaKemenkeu!$J$6:$J$1005,SMALL(IF(checklistPesertaKemenkeu!$AY$6:$AY$1005="Direkomendasikan",ROW($6:$1005)-5),521))=""),"",IF(AND(COUNTIF(INDIRECT("K_"&amp;MATCH(INDEX(checklistPesertaKemenkeu!$J$6:$J$1005,SMALL(IF(checklistPesertaKemenkeu!$AY$6:$AY$1005="Direkomendasikan",ROW($6:$1005)-5),521)),BidangList,0)),INDEX(checklistPesertaKemenkeu!$N$6:$N$1005,SMALL(IF(checklistPesertaKemenkeu!$AY$6:$AY$1005="Direkomendasikan",ROW($6:$1005)-5),521)))&gt;0,COUNTIF(INDIRECT("'KERTAS KERJA'!K"&amp;(SMALL(IF(checklistPesertaKemenkeu!$AY$6:$AY$1005="Direkomendasikan",ROW($6:$1005)-5),521)+5)&amp;":O"&amp;(SMALL(IF(checklistPesertaKemenkeu!$AY$6:$AY$1005="Direkomendasikan",ROW($6:$1005)-5),521)+5)),INDEX(checklistPesertaKemenkeu!$N$6:$N$1005,SMALL(IF(checklistPesertaKemenkeu!$AY$6:$AY$1005="Direkomendasikan",ROW($6:$1005)-5),521)))=1),IFERROR(VLOOKUP(INDEX(checklistPesertaKemenkeu!$N$6:$N$1005,SMALL(IF(checklistPesertaKemenkeu!$AY$6:$AY$1005="Direkomendasikan",ROW($6:$1005)-5),521)),KotaKode,2,0),"-"),"")),"")</f>
        <v/>
      </c>
      <c r="K522" t="str">
        <f t="array" aca="1" ref="K522" ca="1">IFERROR(IF(OR(INDEX(checklistPesertaKemenkeu!$O$6:$O$1005,SMALL(IF(checklistPesertaKemenkeu!$AY$6:$AY$1005="Direkomendasikan",ROW($6:$1005)-5),521))="",INDEX(checklistPesertaKemenkeu!$J$6:$J$1005,SMALL(IF(checklistPesertaKemenkeu!$AY$6:$AY$1005="Direkomendasikan",ROW($6:$1005)-5),521))=""),"",IF(AND(COUNTIF(INDIRECT("K_"&amp;MATCH(INDEX(checklistPesertaKemenkeu!$J$6:$J$1005,SMALL(IF(checklistPesertaKemenkeu!$AY$6:$AY$1005="Direkomendasikan",ROW($6:$1005)-5),521)),BidangList,0)),INDEX(checklistPesertaKemenkeu!$O$6:$O$1005,SMALL(IF(checklistPesertaKemenkeu!$AY$6:$AY$1005="Direkomendasikan",ROW($6:$1005)-5),521)))&gt;0,COUNTIF(INDIRECT("'KERTAS KERJA'!K"&amp;(SMALL(IF(checklistPesertaKemenkeu!$AY$6:$AY$1005="Direkomendasikan",ROW($6:$1005)-5),521)+5)&amp;":O"&amp;(SMALL(IF(checklistPesertaKemenkeu!$AY$6:$AY$1005="Direkomendasikan",ROW($6:$1005)-5),521)+5)),INDEX(checklistPesertaKemenkeu!$O$6:$O$1005,SMALL(IF(checklistPesertaKemenkeu!$AY$6:$AY$1005="Direkomendasikan",ROW($6:$1005)-5),521)))=1),IFERROR(VLOOKUP(INDEX(checklistPesertaKemenkeu!$O$6:$O$1005,SMALL(IF(checklistPesertaKemenkeu!$AY$6:$AY$1005="Direkomendasikan",ROW($6:$1005)-5),521)),KotaKode,2,0),"-"),"")),"")</f>
        <v/>
      </c>
      <c r="L522" t="str">
        <f t="array" aca="1" ref="L522" ca="1">IFERROR(IF(OR(INDEX(checklistPesertaKemenkeu!$P$6:$P$1005,SMALL(IF(checklistPesertaKemenkeu!$AY$6:$AY$1005="Direkomendasikan",ROW($6:$1005)-5),521))="",INDEX(checklistPesertaKemenkeu!$J$6:$J$1005,SMALL(IF(checklistPesertaKemenkeu!$AY$6:$AY$1005="Direkomendasikan",ROW($6:$1005)-5),521))=""),"",IF(AND(COUNTIF(INDIRECT("K_"&amp;MATCH(INDEX(checklistPesertaKemenkeu!$J$6:$J$1005,SMALL(IF(checklistPesertaKemenkeu!$AY$6:$AY$1005="Direkomendasikan",ROW($6:$1005)-5),521)),BidangList,0)),INDEX(checklistPesertaKemenkeu!$P$6:$P$1005,SMALL(IF(checklistPesertaKemenkeu!$AY$6:$AY$1005="Direkomendasikan",ROW($6:$1005)-5),521)))&gt;0,COUNTIF(INDIRECT("'KERTAS KERJA'!K"&amp;(SMALL(IF(checklistPesertaKemenkeu!$AY$6:$AY$1005="Direkomendasikan",ROW($6:$1005)-5),521)+5)&amp;":O"&amp;(SMALL(IF(checklistPesertaKemenkeu!$AY$6:$AY$1005="Direkomendasikan",ROW($6:$1005)-5),521)+5)),INDEX(checklistPesertaKemenkeu!$P$6:$P$1005,SMALL(IF(checklistPesertaKemenkeu!$AY$6:$AY$1005="Direkomendasikan",ROW($6:$1005)-5),521)))=1),IFERROR(VLOOKUP(INDEX(checklistPesertaKemenkeu!$P$6:$P$1005,SMALL(IF(checklistPesertaKemenkeu!$AY$6:$AY$1005="Direkomendasikan",ROW($6:$1005)-5),521)),KotaKode,2,0),"-"),"")),"")</f>
        <v/>
      </c>
    </row>
    <row r="523" spans="1:12" ht="15" customHeight="1" x14ac:dyDescent="0.2">
      <c r="A523" t="str">
        <f t="shared" si="8"/>
        <v/>
      </c>
      <c r="B523" t="str">
        <v/>
      </c>
      <c r="C523" s="40" t="str">
        <f t="array" ref="C523">IFERROR(INDEX(checklistPesertaKemenkeu!$F$6:$F$1005,SMALL(IF(checklistPesertaKemenkeu!$AY$6:$AY$1005="Direkomendasikan",ROW($6:$1005)-5),522)),"")</f>
        <v/>
      </c>
      <c r="D523" t="str">
        <f t="array" ref="D523">IFERROR(INDEX(checklistPesertaKemenkeu!$G$6:$G$1005,SMALL(IF(checklistPesertaKemenkeu!$AY$6:$AY$1005="Direkomendasikan",ROW($6:$1005)-5),522)),"")</f>
        <v/>
      </c>
      <c r="E523" t="str">
        <f t="array" ref="E523">IFERROR(INDEX(checklistPesertaKemenkeu!$H$6:$H$1005,SMALL(IF(checklistPesertaKemenkeu!$AY$6:$AY$1005="Direkomendasikan",ROW($6:$1005)-5),522)),"")</f>
        <v/>
      </c>
      <c r="F523" t="str">
        <f t="array" ref="F523">IFERROR(INDEX(checklistPesertaKemenkeu!$I$6:$I$1005,SMALL(IF(checklistPesertaKemenkeu!$AY$6:$AY$1005="Direkomendasikan",ROW($6:$1005)-5),522)),"")</f>
        <v/>
      </c>
      <c r="G523" t="str">
        <f t="array" ref="G523">IFERROR(INDEX(checklistPesertaKemenkeu!$J$6:$J$1005,SMALL(IF(checklistPesertaKemenkeu!$AY$6:$AY$1005="Direkomendasikan",ROW($6:$1005)-5),522)),"")</f>
        <v/>
      </c>
      <c r="H523" t="str">
        <f t="array" aca="1" ref="H523" ca="1">IFERROR(IF(OR(INDEX(checklistPesertaKemenkeu!$L$6:$L$1005,SMALL(IF(checklistPesertaKemenkeu!$AY$6:$AY$1005="Direkomendasikan",ROW($6:$1005)-5),522))="",INDEX(checklistPesertaKemenkeu!$J$6:$J$1005,SMALL(IF(checklistPesertaKemenkeu!$AY$6:$AY$1005="Direkomendasikan",ROW($6:$1005)-5),522))=""),"",IF(AND(COUNTIF(INDIRECT("K_"&amp;MATCH(INDEX(checklistPesertaKemenkeu!$J$6:$J$1005,SMALL(IF(checklistPesertaKemenkeu!$AY$6:$AY$1005="Direkomendasikan",ROW($6:$1005)-5),522)),BidangList,0)),INDEX(checklistPesertaKemenkeu!$L$6:$L$1005,SMALL(IF(checklistPesertaKemenkeu!$AY$6:$AY$1005="Direkomendasikan",ROW($6:$1005)-5),522)))&gt;0,COUNTIF(INDIRECT("'KERTAS KERJA'!K"&amp;(SMALL(IF(checklistPesertaKemenkeu!$AY$6:$AY$1005="Direkomendasikan",ROW($6:$1005)-5),522)+5)&amp;":O"&amp;(SMALL(IF(checklistPesertaKemenkeu!$AY$6:$AY$1005="Direkomendasikan",ROW($6:$1005)-5),522)+5)),INDEX(checklistPesertaKemenkeu!$L$6:$L$1005,SMALL(IF(checklistPesertaKemenkeu!$AY$6:$AY$1005="Direkomendasikan",ROW($6:$1005)-5),522)))=1),IFERROR(VLOOKUP(INDEX(checklistPesertaKemenkeu!$L$6:$L$1005,SMALL(IF(checklistPesertaKemenkeu!$AY$6:$AY$1005="Direkomendasikan",ROW($6:$1005)-5),522)),KotaKode,2,0),"-"),"")),"")</f>
        <v/>
      </c>
      <c r="I523" t="str">
        <f t="array" aca="1" ref="I523" ca="1">IFERROR(IF(OR(INDEX(checklistPesertaKemenkeu!$M$6:$M$1005,SMALL(IF(checklistPesertaKemenkeu!$AY$6:$AY$1005="Direkomendasikan",ROW($6:$1005)-5),522))="",INDEX(checklistPesertaKemenkeu!$J$6:$J$1005,SMALL(IF(checklistPesertaKemenkeu!$AY$6:$AY$1005="Direkomendasikan",ROW($6:$1005)-5),522))=""),"",IF(AND(COUNTIF(INDIRECT("K_"&amp;MATCH(INDEX(checklistPesertaKemenkeu!$J$6:$J$1005,SMALL(IF(checklistPesertaKemenkeu!$AY$6:$AY$1005="Direkomendasikan",ROW($6:$1005)-5),522)),BidangList,0)),INDEX(checklistPesertaKemenkeu!$M$6:$M$1005,SMALL(IF(checklistPesertaKemenkeu!$AY$6:$AY$1005="Direkomendasikan",ROW($6:$1005)-5),522)))&gt;0,COUNTIF(INDIRECT("'KERTAS KERJA'!K"&amp;(SMALL(IF(checklistPesertaKemenkeu!$AY$6:$AY$1005="Direkomendasikan",ROW($6:$1005)-5),522)+5)&amp;":O"&amp;(SMALL(IF(checklistPesertaKemenkeu!$AY$6:$AY$1005="Direkomendasikan",ROW($6:$1005)-5),522)+5)),INDEX(checklistPesertaKemenkeu!$M$6:$M$1005,SMALL(IF(checklistPesertaKemenkeu!$AY$6:$AY$1005="Direkomendasikan",ROW($6:$1005)-5),522)))=1),IFERROR(VLOOKUP(INDEX(checklistPesertaKemenkeu!$M$6:$M$1005,SMALL(IF(checklistPesertaKemenkeu!$AY$6:$AY$1005="Direkomendasikan",ROW($6:$1005)-5),522)),KotaKode,2,0),"-"),"")),"")</f>
        <v/>
      </c>
      <c r="J523" t="str">
        <f t="array" aca="1" ref="J523" ca="1">IFERROR(IF(OR(INDEX(checklistPesertaKemenkeu!$N$6:$N$1005,SMALL(IF(checklistPesertaKemenkeu!$AY$6:$AY$1005="Direkomendasikan",ROW($6:$1005)-5),522))="",INDEX(checklistPesertaKemenkeu!$J$6:$J$1005,SMALL(IF(checklistPesertaKemenkeu!$AY$6:$AY$1005="Direkomendasikan",ROW($6:$1005)-5),522))=""),"",IF(AND(COUNTIF(INDIRECT("K_"&amp;MATCH(INDEX(checklistPesertaKemenkeu!$J$6:$J$1005,SMALL(IF(checklistPesertaKemenkeu!$AY$6:$AY$1005="Direkomendasikan",ROW($6:$1005)-5),522)),BidangList,0)),INDEX(checklistPesertaKemenkeu!$N$6:$N$1005,SMALL(IF(checklistPesertaKemenkeu!$AY$6:$AY$1005="Direkomendasikan",ROW($6:$1005)-5),522)))&gt;0,COUNTIF(INDIRECT("'KERTAS KERJA'!K"&amp;(SMALL(IF(checklistPesertaKemenkeu!$AY$6:$AY$1005="Direkomendasikan",ROW($6:$1005)-5),522)+5)&amp;":O"&amp;(SMALL(IF(checklistPesertaKemenkeu!$AY$6:$AY$1005="Direkomendasikan",ROW($6:$1005)-5),522)+5)),INDEX(checklistPesertaKemenkeu!$N$6:$N$1005,SMALL(IF(checklistPesertaKemenkeu!$AY$6:$AY$1005="Direkomendasikan",ROW($6:$1005)-5),522)))=1),IFERROR(VLOOKUP(INDEX(checklistPesertaKemenkeu!$N$6:$N$1005,SMALL(IF(checklistPesertaKemenkeu!$AY$6:$AY$1005="Direkomendasikan",ROW($6:$1005)-5),522)),KotaKode,2,0),"-"),"")),"")</f>
        <v/>
      </c>
      <c r="K523" t="str">
        <f t="array" aca="1" ref="K523" ca="1">IFERROR(IF(OR(INDEX(checklistPesertaKemenkeu!$O$6:$O$1005,SMALL(IF(checklistPesertaKemenkeu!$AY$6:$AY$1005="Direkomendasikan",ROW($6:$1005)-5),522))="",INDEX(checklistPesertaKemenkeu!$J$6:$J$1005,SMALL(IF(checklistPesertaKemenkeu!$AY$6:$AY$1005="Direkomendasikan",ROW($6:$1005)-5),522))=""),"",IF(AND(COUNTIF(INDIRECT("K_"&amp;MATCH(INDEX(checklistPesertaKemenkeu!$J$6:$J$1005,SMALL(IF(checklistPesertaKemenkeu!$AY$6:$AY$1005="Direkomendasikan",ROW($6:$1005)-5),522)),BidangList,0)),INDEX(checklistPesertaKemenkeu!$O$6:$O$1005,SMALL(IF(checklistPesertaKemenkeu!$AY$6:$AY$1005="Direkomendasikan",ROW($6:$1005)-5),522)))&gt;0,COUNTIF(INDIRECT("'KERTAS KERJA'!K"&amp;(SMALL(IF(checklistPesertaKemenkeu!$AY$6:$AY$1005="Direkomendasikan",ROW($6:$1005)-5),522)+5)&amp;":O"&amp;(SMALL(IF(checklistPesertaKemenkeu!$AY$6:$AY$1005="Direkomendasikan",ROW($6:$1005)-5),522)+5)),INDEX(checklistPesertaKemenkeu!$O$6:$O$1005,SMALL(IF(checklistPesertaKemenkeu!$AY$6:$AY$1005="Direkomendasikan",ROW($6:$1005)-5),522)))=1),IFERROR(VLOOKUP(INDEX(checklistPesertaKemenkeu!$O$6:$O$1005,SMALL(IF(checklistPesertaKemenkeu!$AY$6:$AY$1005="Direkomendasikan",ROW($6:$1005)-5),522)),KotaKode,2,0),"-"),"")),"")</f>
        <v/>
      </c>
      <c r="L523" t="str">
        <f t="array" aca="1" ref="L523" ca="1">IFERROR(IF(OR(INDEX(checklistPesertaKemenkeu!$P$6:$P$1005,SMALL(IF(checklistPesertaKemenkeu!$AY$6:$AY$1005="Direkomendasikan",ROW($6:$1005)-5),522))="",INDEX(checklistPesertaKemenkeu!$J$6:$J$1005,SMALL(IF(checklistPesertaKemenkeu!$AY$6:$AY$1005="Direkomendasikan",ROW($6:$1005)-5),522))=""),"",IF(AND(COUNTIF(INDIRECT("K_"&amp;MATCH(INDEX(checklistPesertaKemenkeu!$J$6:$J$1005,SMALL(IF(checklistPesertaKemenkeu!$AY$6:$AY$1005="Direkomendasikan",ROW($6:$1005)-5),522)),BidangList,0)),INDEX(checklistPesertaKemenkeu!$P$6:$P$1005,SMALL(IF(checklistPesertaKemenkeu!$AY$6:$AY$1005="Direkomendasikan",ROW($6:$1005)-5),522)))&gt;0,COUNTIF(INDIRECT("'KERTAS KERJA'!K"&amp;(SMALL(IF(checklistPesertaKemenkeu!$AY$6:$AY$1005="Direkomendasikan",ROW($6:$1005)-5),522)+5)&amp;":O"&amp;(SMALL(IF(checklistPesertaKemenkeu!$AY$6:$AY$1005="Direkomendasikan",ROW($6:$1005)-5),522)+5)),INDEX(checklistPesertaKemenkeu!$P$6:$P$1005,SMALL(IF(checklistPesertaKemenkeu!$AY$6:$AY$1005="Direkomendasikan",ROW($6:$1005)-5),522)))=1),IFERROR(VLOOKUP(INDEX(checklistPesertaKemenkeu!$P$6:$P$1005,SMALL(IF(checklistPesertaKemenkeu!$AY$6:$AY$1005="Direkomendasikan",ROW($6:$1005)-5),522)),KotaKode,2,0),"-"),"")),"")</f>
        <v/>
      </c>
    </row>
    <row r="524" spans="1:12" ht="15" customHeight="1" x14ac:dyDescent="0.2">
      <c r="A524" t="str">
        <f t="shared" si="8"/>
        <v/>
      </c>
      <c r="B524" t="str">
        <v/>
      </c>
      <c r="C524" s="40" t="str">
        <f t="array" ref="C524">IFERROR(INDEX(checklistPesertaKemenkeu!$F$6:$F$1005,SMALL(IF(checklistPesertaKemenkeu!$AY$6:$AY$1005="Direkomendasikan",ROW($6:$1005)-5),523)),"")</f>
        <v/>
      </c>
      <c r="D524" t="str">
        <f t="array" ref="D524">IFERROR(INDEX(checklistPesertaKemenkeu!$G$6:$G$1005,SMALL(IF(checklistPesertaKemenkeu!$AY$6:$AY$1005="Direkomendasikan",ROW($6:$1005)-5),523)),"")</f>
        <v/>
      </c>
      <c r="E524" t="str">
        <f t="array" ref="E524">IFERROR(INDEX(checklistPesertaKemenkeu!$H$6:$H$1005,SMALL(IF(checklistPesertaKemenkeu!$AY$6:$AY$1005="Direkomendasikan",ROW($6:$1005)-5),523)),"")</f>
        <v/>
      </c>
      <c r="F524" t="str">
        <f t="array" ref="F524">IFERROR(INDEX(checklistPesertaKemenkeu!$I$6:$I$1005,SMALL(IF(checklistPesertaKemenkeu!$AY$6:$AY$1005="Direkomendasikan",ROW($6:$1005)-5),523)),"")</f>
        <v/>
      </c>
      <c r="G524" t="str">
        <f t="array" ref="G524">IFERROR(INDEX(checklistPesertaKemenkeu!$J$6:$J$1005,SMALL(IF(checklistPesertaKemenkeu!$AY$6:$AY$1005="Direkomendasikan",ROW($6:$1005)-5),523)),"")</f>
        <v/>
      </c>
      <c r="H524" t="str">
        <f t="array" aca="1" ref="H524" ca="1">IFERROR(IF(OR(INDEX(checklistPesertaKemenkeu!$L$6:$L$1005,SMALL(IF(checklistPesertaKemenkeu!$AY$6:$AY$1005="Direkomendasikan",ROW($6:$1005)-5),523))="",INDEX(checklistPesertaKemenkeu!$J$6:$J$1005,SMALL(IF(checklistPesertaKemenkeu!$AY$6:$AY$1005="Direkomendasikan",ROW($6:$1005)-5),523))=""),"",IF(AND(COUNTIF(INDIRECT("K_"&amp;MATCH(INDEX(checklistPesertaKemenkeu!$J$6:$J$1005,SMALL(IF(checklistPesertaKemenkeu!$AY$6:$AY$1005="Direkomendasikan",ROW($6:$1005)-5),523)),BidangList,0)),INDEX(checklistPesertaKemenkeu!$L$6:$L$1005,SMALL(IF(checklistPesertaKemenkeu!$AY$6:$AY$1005="Direkomendasikan",ROW($6:$1005)-5),523)))&gt;0,COUNTIF(INDIRECT("'KERTAS KERJA'!K"&amp;(SMALL(IF(checklistPesertaKemenkeu!$AY$6:$AY$1005="Direkomendasikan",ROW($6:$1005)-5),523)+5)&amp;":O"&amp;(SMALL(IF(checklistPesertaKemenkeu!$AY$6:$AY$1005="Direkomendasikan",ROW($6:$1005)-5),523)+5)),INDEX(checklistPesertaKemenkeu!$L$6:$L$1005,SMALL(IF(checklistPesertaKemenkeu!$AY$6:$AY$1005="Direkomendasikan",ROW($6:$1005)-5),523)))=1),IFERROR(VLOOKUP(INDEX(checklistPesertaKemenkeu!$L$6:$L$1005,SMALL(IF(checklistPesertaKemenkeu!$AY$6:$AY$1005="Direkomendasikan",ROW($6:$1005)-5),523)),KotaKode,2,0),"-"),"")),"")</f>
        <v/>
      </c>
      <c r="I524" t="str">
        <f t="array" aca="1" ref="I524" ca="1">IFERROR(IF(OR(INDEX(checklistPesertaKemenkeu!$M$6:$M$1005,SMALL(IF(checklistPesertaKemenkeu!$AY$6:$AY$1005="Direkomendasikan",ROW($6:$1005)-5),523))="",INDEX(checklistPesertaKemenkeu!$J$6:$J$1005,SMALL(IF(checklistPesertaKemenkeu!$AY$6:$AY$1005="Direkomendasikan",ROW($6:$1005)-5),523))=""),"",IF(AND(COUNTIF(INDIRECT("K_"&amp;MATCH(INDEX(checklistPesertaKemenkeu!$J$6:$J$1005,SMALL(IF(checklistPesertaKemenkeu!$AY$6:$AY$1005="Direkomendasikan",ROW($6:$1005)-5),523)),BidangList,0)),INDEX(checklistPesertaKemenkeu!$M$6:$M$1005,SMALL(IF(checklistPesertaKemenkeu!$AY$6:$AY$1005="Direkomendasikan",ROW($6:$1005)-5),523)))&gt;0,COUNTIF(INDIRECT("'KERTAS KERJA'!K"&amp;(SMALL(IF(checklistPesertaKemenkeu!$AY$6:$AY$1005="Direkomendasikan",ROW($6:$1005)-5),523)+5)&amp;":O"&amp;(SMALL(IF(checklistPesertaKemenkeu!$AY$6:$AY$1005="Direkomendasikan",ROW($6:$1005)-5),523)+5)),INDEX(checklistPesertaKemenkeu!$M$6:$M$1005,SMALL(IF(checklistPesertaKemenkeu!$AY$6:$AY$1005="Direkomendasikan",ROW($6:$1005)-5),523)))=1),IFERROR(VLOOKUP(INDEX(checklistPesertaKemenkeu!$M$6:$M$1005,SMALL(IF(checklistPesertaKemenkeu!$AY$6:$AY$1005="Direkomendasikan",ROW($6:$1005)-5),523)),KotaKode,2,0),"-"),"")),"")</f>
        <v/>
      </c>
      <c r="J524" t="str">
        <f t="array" aca="1" ref="J524" ca="1">IFERROR(IF(OR(INDEX(checklistPesertaKemenkeu!$N$6:$N$1005,SMALL(IF(checklistPesertaKemenkeu!$AY$6:$AY$1005="Direkomendasikan",ROW($6:$1005)-5),523))="",INDEX(checklistPesertaKemenkeu!$J$6:$J$1005,SMALL(IF(checklistPesertaKemenkeu!$AY$6:$AY$1005="Direkomendasikan",ROW($6:$1005)-5),523))=""),"",IF(AND(COUNTIF(INDIRECT("K_"&amp;MATCH(INDEX(checklistPesertaKemenkeu!$J$6:$J$1005,SMALL(IF(checklistPesertaKemenkeu!$AY$6:$AY$1005="Direkomendasikan",ROW($6:$1005)-5),523)),BidangList,0)),INDEX(checklistPesertaKemenkeu!$N$6:$N$1005,SMALL(IF(checklistPesertaKemenkeu!$AY$6:$AY$1005="Direkomendasikan",ROW($6:$1005)-5),523)))&gt;0,COUNTIF(INDIRECT("'KERTAS KERJA'!K"&amp;(SMALL(IF(checklistPesertaKemenkeu!$AY$6:$AY$1005="Direkomendasikan",ROW($6:$1005)-5),523)+5)&amp;":O"&amp;(SMALL(IF(checklistPesertaKemenkeu!$AY$6:$AY$1005="Direkomendasikan",ROW($6:$1005)-5),523)+5)),INDEX(checklistPesertaKemenkeu!$N$6:$N$1005,SMALL(IF(checklistPesertaKemenkeu!$AY$6:$AY$1005="Direkomendasikan",ROW($6:$1005)-5),523)))=1),IFERROR(VLOOKUP(INDEX(checklistPesertaKemenkeu!$N$6:$N$1005,SMALL(IF(checklistPesertaKemenkeu!$AY$6:$AY$1005="Direkomendasikan",ROW($6:$1005)-5),523)),KotaKode,2,0),"-"),"")),"")</f>
        <v/>
      </c>
      <c r="K524" t="str">
        <f t="array" aca="1" ref="K524" ca="1">IFERROR(IF(OR(INDEX(checklistPesertaKemenkeu!$O$6:$O$1005,SMALL(IF(checklistPesertaKemenkeu!$AY$6:$AY$1005="Direkomendasikan",ROW($6:$1005)-5),523))="",INDEX(checklistPesertaKemenkeu!$J$6:$J$1005,SMALL(IF(checklistPesertaKemenkeu!$AY$6:$AY$1005="Direkomendasikan",ROW($6:$1005)-5),523))=""),"",IF(AND(COUNTIF(INDIRECT("K_"&amp;MATCH(INDEX(checklistPesertaKemenkeu!$J$6:$J$1005,SMALL(IF(checklistPesertaKemenkeu!$AY$6:$AY$1005="Direkomendasikan",ROW($6:$1005)-5),523)),BidangList,0)),INDEX(checklistPesertaKemenkeu!$O$6:$O$1005,SMALL(IF(checklistPesertaKemenkeu!$AY$6:$AY$1005="Direkomendasikan",ROW($6:$1005)-5),523)))&gt;0,COUNTIF(INDIRECT("'KERTAS KERJA'!K"&amp;(SMALL(IF(checklistPesertaKemenkeu!$AY$6:$AY$1005="Direkomendasikan",ROW($6:$1005)-5),523)+5)&amp;":O"&amp;(SMALL(IF(checklistPesertaKemenkeu!$AY$6:$AY$1005="Direkomendasikan",ROW($6:$1005)-5),523)+5)),INDEX(checklistPesertaKemenkeu!$O$6:$O$1005,SMALL(IF(checklistPesertaKemenkeu!$AY$6:$AY$1005="Direkomendasikan",ROW($6:$1005)-5),523)))=1),IFERROR(VLOOKUP(INDEX(checklistPesertaKemenkeu!$O$6:$O$1005,SMALL(IF(checklistPesertaKemenkeu!$AY$6:$AY$1005="Direkomendasikan",ROW($6:$1005)-5),523)),KotaKode,2,0),"-"),"")),"")</f>
        <v/>
      </c>
      <c r="L524" t="str">
        <f t="array" aca="1" ref="L524" ca="1">IFERROR(IF(OR(INDEX(checklistPesertaKemenkeu!$P$6:$P$1005,SMALL(IF(checklistPesertaKemenkeu!$AY$6:$AY$1005="Direkomendasikan",ROW($6:$1005)-5),523))="",INDEX(checklistPesertaKemenkeu!$J$6:$J$1005,SMALL(IF(checklistPesertaKemenkeu!$AY$6:$AY$1005="Direkomendasikan",ROW($6:$1005)-5),523))=""),"",IF(AND(COUNTIF(INDIRECT("K_"&amp;MATCH(INDEX(checklistPesertaKemenkeu!$J$6:$J$1005,SMALL(IF(checklistPesertaKemenkeu!$AY$6:$AY$1005="Direkomendasikan",ROW($6:$1005)-5),523)),BidangList,0)),INDEX(checklistPesertaKemenkeu!$P$6:$P$1005,SMALL(IF(checklistPesertaKemenkeu!$AY$6:$AY$1005="Direkomendasikan",ROW($6:$1005)-5),523)))&gt;0,COUNTIF(INDIRECT("'KERTAS KERJA'!K"&amp;(SMALL(IF(checklistPesertaKemenkeu!$AY$6:$AY$1005="Direkomendasikan",ROW($6:$1005)-5),523)+5)&amp;":O"&amp;(SMALL(IF(checklistPesertaKemenkeu!$AY$6:$AY$1005="Direkomendasikan",ROW($6:$1005)-5),523)+5)),INDEX(checklistPesertaKemenkeu!$P$6:$P$1005,SMALL(IF(checklistPesertaKemenkeu!$AY$6:$AY$1005="Direkomendasikan",ROW($6:$1005)-5),523)))=1),IFERROR(VLOOKUP(INDEX(checklistPesertaKemenkeu!$P$6:$P$1005,SMALL(IF(checklistPesertaKemenkeu!$AY$6:$AY$1005="Direkomendasikan",ROW($6:$1005)-5),523)),KotaKode,2,0),"-"),"")),"")</f>
        <v/>
      </c>
    </row>
    <row r="525" spans="1:12" ht="15" customHeight="1" x14ac:dyDescent="0.2">
      <c r="A525" t="str">
        <f t="shared" si="8"/>
        <v/>
      </c>
      <c r="B525" t="str">
        <v/>
      </c>
      <c r="C525" s="40" t="str">
        <f t="array" ref="C525">IFERROR(INDEX(checklistPesertaKemenkeu!$F$6:$F$1005,SMALL(IF(checklistPesertaKemenkeu!$AY$6:$AY$1005="Direkomendasikan",ROW($6:$1005)-5),524)),"")</f>
        <v/>
      </c>
      <c r="D525" t="str">
        <f t="array" ref="D525">IFERROR(INDEX(checklistPesertaKemenkeu!$G$6:$G$1005,SMALL(IF(checklistPesertaKemenkeu!$AY$6:$AY$1005="Direkomendasikan",ROW($6:$1005)-5),524)),"")</f>
        <v/>
      </c>
      <c r="E525" t="str">
        <f t="array" ref="E525">IFERROR(INDEX(checklistPesertaKemenkeu!$H$6:$H$1005,SMALL(IF(checklistPesertaKemenkeu!$AY$6:$AY$1005="Direkomendasikan",ROW($6:$1005)-5),524)),"")</f>
        <v/>
      </c>
      <c r="F525" t="str">
        <f t="array" ref="F525">IFERROR(INDEX(checklistPesertaKemenkeu!$I$6:$I$1005,SMALL(IF(checklistPesertaKemenkeu!$AY$6:$AY$1005="Direkomendasikan",ROW($6:$1005)-5),524)),"")</f>
        <v/>
      </c>
      <c r="G525" t="str">
        <f t="array" ref="G525">IFERROR(INDEX(checklistPesertaKemenkeu!$J$6:$J$1005,SMALL(IF(checklistPesertaKemenkeu!$AY$6:$AY$1005="Direkomendasikan",ROW($6:$1005)-5),524)),"")</f>
        <v/>
      </c>
      <c r="H525" t="str">
        <f t="array" aca="1" ref="H525" ca="1">IFERROR(IF(OR(INDEX(checklistPesertaKemenkeu!$L$6:$L$1005,SMALL(IF(checklistPesertaKemenkeu!$AY$6:$AY$1005="Direkomendasikan",ROW($6:$1005)-5),524))="",INDEX(checklistPesertaKemenkeu!$J$6:$J$1005,SMALL(IF(checklistPesertaKemenkeu!$AY$6:$AY$1005="Direkomendasikan",ROW($6:$1005)-5),524))=""),"",IF(AND(COUNTIF(INDIRECT("K_"&amp;MATCH(INDEX(checklistPesertaKemenkeu!$J$6:$J$1005,SMALL(IF(checklistPesertaKemenkeu!$AY$6:$AY$1005="Direkomendasikan",ROW($6:$1005)-5),524)),BidangList,0)),INDEX(checklistPesertaKemenkeu!$L$6:$L$1005,SMALL(IF(checklistPesertaKemenkeu!$AY$6:$AY$1005="Direkomendasikan",ROW($6:$1005)-5),524)))&gt;0,COUNTIF(INDIRECT("'KERTAS KERJA'!K"&amp;(SMALL(IF(checklistPesertaKemenkeu!$AY$6:$AY$1005="Direkomendasikan",ROW($6:$1005)-5),524)+5)&amp;":O"&amp;(SMALL(IF(checklistPesertaKemenkeu!$AY$6:$AY$1005="Direkomendasikan",ROW($6:$1005)-5),524)+5)),INDEX(checklistPesertaKemenkeu!$L$6:$L$1005,SMALL(IF(checklistPesertaKemenkeu!$AY$6:$AY$1005="Direkomendasikan",ROW($6:$1005)-5),524)))=1),IFERROR(VLOOKUP(INDEX(checklistPesertaKemenkeu!$L$6:$L$1005,SMALL(IF(checklistPesertaKemenkeu!$AY$6:$AY$1005="Direkomendasikan",ROW($6:$1005)-5),524)),KotaKode,2,0),"-"),"")),"")</f>
        <v/>
      </c>
      <c r="I525" t="str">
        <f t="array" aca="1" ref="I525" ca="1">IFERROR(IF(OR(INDEX(checklistPesertaKemenkeu!$M$6:$M$1005,SMALL(IF(checklistPesertaKemenkeu!$AY$6:$AY$1005="Direkomendasikan",ROW($6:$1005)-5),524))="",INDEX(checklistPesertaKemenkeu!$J$6:$J$1005,SMALL(IF(checklistPesertaKemenkeu!$AY$6:$AY$1005="Direkomendasikan",ROW($6:$1005)-5),524))=""),"",IF(AND(COUNTIF(INDIRECT("K_"&amp;MATCH(INDEX(checklistPesertaKemenkeu!$J$6:$J$1005,SMALL(IF(checklistPesertaKemenkeu!$AY$6:$AY$1005="Direkomendasikan",ROW($6:$1005)-5),524)),BidangList,0)),INDEX(checklistPesertaKemenkeu!$M$6:$M$1005,SMALL(IF(checklistPesertaKemenkeu!$AY$6:$AY$1005="Direkomendasikan",ROW($6:$1005)-5),524)))&gt;0,COUNTIF(INDIRECT("'KERTAS KERJA'!K"&amp;(SMALL(IF(checklistPesertaKemenkeu!$AY$6:$AY$1005="Direkomendasikan",ROW($6:$1005)-5),524)+5)&amp;":O"&amp;(SMALL(IF(checklistPesertaKemenkeu!$AY$6:$AY$1005="Direkomendasikan",ROW($6:$1005)-5),524)+5)),INDEX(checklistPesertaKemenkeu!$M$6:$M$1005,SMALL(IF(checklistPesertaKemenkeu!$AY$6:$AY$1005="Direkomendasikan",ROW($6:$1005)-5),524)))=1),IFERROR(VLOOKUP(INDEX(checklistPesertaKemenkeu!$M$6:$M$1005,SMALL(IF(checklistPesertaKemenkeu!$AY$6:$AY$1005="Direkomendasikan",ROW($6:$1005)-5),524)),KotaKode,2,0),"-"),"")),"")</f>
        <v/>
      </c>
      <c r="J525" t="str">
        <f t="array" aca="1" ref="J525" ca="1">IFERROR(IF(OR(INDEX(checklistPesertaKemenkeu!$N$6:$N$1005,SMALL(IF(checklistPesertaKemenkeu!$AY$6:$AY$1005="Direkomendasikan",ROW($6:$1005)-5),524))="",INDEX(checklistPesertaKemenkeu!$J$6:$J$1005,SMALL(IF(checklistPesertaKemenkeu!$AY$6:$AY$1005="Direkomendasikan",ROW($6:$1005)-5),524))=""),"",IF(AND(COUNTIF(INDIRECT("K_"&amp;MATCH(INDEX(checklistPesertaKemenkeu!$J$6:$J$1005,SMALL(IF(checklistPesertaKemenkeu!$AY$6:$AY$1005="Direkomendasikan",ROW($6:$1005)-5),524)),BidangList,0)),INDEX(checklistPesertaKemenkeu!$N$6:$N$1005,SMALL(IF(checklistPesertaKemenkeu!$AY$6:$AY$1005="Direkomendasikan",ROW($6:$1005)-5),524)))&gt;0,COUNTIF(INDIRECT("'KERTAS KERJA'!K"&amp;(SMALL(IF(checklistPesertaKemenkeu!$AY$6:$AY$1005="Direkomendasikan",ROW($6:$1005)-5),524)+5)&amp;":O"&amp;(SMALL(IF(checklistPesertaKemenkeu!$AY$6:$AY$1005="Direkomendasikan",ROW($6:$1005)-5),524)+5)),INDEX(checklistPesertaKemenkeu!$N$6:$N$1005,SMALL(IF(checklistPesertaKemenkeu!$AY$6:$AY$1005="Direkomendasikan",ROW($6:$1005)-5),524)))=1),IFERROR(VLOOKUP(INDEX(checklistPesertaKemenkeu!$N$6:$N$1005,SMALL(IF(checklistPesertaKemenkeu!$AY$6:$AY$1005="Direkomendasikan",ROW($6:$1005)-5),524)),KotaKode,2,0),"-"),"")),"")</f>
        <v/>
      </c>
      <c r="K525" t="str">
        <f t="array" aca="1" ref="K525" ca="1">IFERROR(IF(OR(INDEX(checklistPesertaKemenkeu!$O$6:$O$1005,SMALL(IF(checklistPesertaKemenkeu!$AY$6:$AY$1005="Direkomendasikan",ROW($6:$1005)-5),524))="",INDEX(checklistPesertaKemenkeu!$J$6:$J$1005,SMALL(IF(checklistPesertaKemenkeu!$AY$6:$AY$1005="Direkomendasikan",ROW($6:$1005)-5),524))=""),"",IF(AND(COUNTIF(INDIRECT("K_"&amp;MATCH(INDEX(checklistPesertaKemenkeu!$J$6:$J$1005,SMALL(IF(checklistPesertaKemenkeu!$AY$6:$AY$1005="Direkomendasikan",ROW($6:$1005)-5),524)),BidangList,0)),INDEX(checklistPesertaKemenkeu!$O$6:$O$1005,SMALL(IF(checklistPesertaKemenkeu!$AY$6:$AY$1005="Direkomendasikan",ROW($6:$1005)-5),524)))&gt;0,COUNTIF(INDIRECT("'KERTAS KERJA'!K"&amp;(SMALL(IF(checklistPesertaKemenkeu!$AY$6:$AY$1005="Direkomendasikan",ROW($6:$1005)-5),524)+5)&amp;":O"&amp;(SMALL(IF(checklistPesertaKemenkeu!$AY$6:$AY$1005="Direkomendasikan",ROW($6:$1005)-5),524)+5)),INDEX(checklistPesertaKemenkeu!$O$6:$O$1005,SMALL(IF(checklistPesertaKemenkeu!$AY$6:$AY$1005="Direkomendasikan",ROW($6:$1005)-5),524)))=1),IFERROR(VLOOKUP(INDEX(checklistPesertaKemenkeu!$O$6:$O$1005,SMALL(IF(checklistPesertaKemenkeu!$AY$6:$AY$1005="Direkomendasikan",ROW($6:$1005)-5),524)),KotaKode,2,0),"-"),"")),"")</f>
        <v/>
      </c>
      <c r="L525" t="str">
        <f t="array" aca="1" ref="L525" ca="1">IFERROR(IF(OR(INDEX(checklistPesertaKemenkeu!$P$6:$P$1005,SMALL(IF(checklistPesertaKemenkeu!$AY$6:$AY$1005="Direkomendasikan",ROW($6:$1005)-5),524))="",INDEX(checklistPesertaKemenkeu!$J$6:$J$1005,SMALL(IF(checklistPesertaKemenkeu!$AY$6:$AY$1005="Direkomendasikan",ROW($6:$1005)-5),524))=""),"",IF(AND(COUNTIF(INDIRECT("K_"&amp;MATCH(INDEX(checklistPesertaKemenkeu!$J$6:$J$1005,SMALL(IF(checklistPesertaKemenkeu!$AY$6:$AY$1005="Direkomendasikan",ROW($6:$1005)-5),524)),BidangList,0)),INDEX(checklistPesertaKemenkeu!$P$6:$P$1005,SMALL(IF(checklistPesertaKemenkeu!$AY$6:$AY$1005="Direkomendasikan",ROW($6:$1005)-5),524)))&gt;0,COUNTIF(INDIRECT("'KERTAS KERJA'!K"&amp;(SMALL(IF(checklistPesertaKemenkeu!$AY$6:$AY$1005="Direkomendasikan",ROW($6:$1005)-5),524)+5)&amp;":O"&amp;(SMALL(IF(checklistPesertaKemenkeu!$AY$6:$AY$1005="Direkomendasikan",ROW($6:$1005)-5),524)+5)),INDEX(checklistPesertaKemenkeu!$P$6:$P$1005,SMALL(IF(checklistPesertaKemenkeu!$AY$6:$AY$1005="Direkomendasikan",ROW($6:$1005)-5),524)))=1),IFERROR(VLOOKUP(INDEX(checklistPesertaKemenkeu!$P$6:$P$1005,SMALL(IF(checklistPesertaKemenkeu!$AY$6:$AY$1005="Direkomendasikan",ROW($6:$1005)-5),524)),KotaKode,2,0),"-"),"")),"")</f>
        <v/>
      </c>
    </row>
    <row r="526" spans="1:12" ht="15" customHeight="1" x14ac:dyDescent="0.2">
      <c r="A526" t="str">
        <f t="shared" si="8"/>
        <v/>
      </c>
      <c r="B526" t="str">
        <v/>
      </c>
      <c r="C526" s="40" t="str">
        <f t="array" ref="C526">IFERROR(INDEX(checklistPesertaKemenkeu!$F$6:$F$1005,SMALL(IF(checklistPesertaKemenkeu!$AY$6:$AY$1005="Direkomendasikan",ROW($6:$1005)-5),525)),"")</f>
        <v/>
      </c>
      <c r="D526" t="str">
        <f t="array" ref="D526">IFERROR(INDEX(checklistPesertaKemenkeu!$G$6:$G$1005,SMALL(IF(checklistPesertaKemenkeu!$AY$6:$AY$1005="Direkomendasikan",ROW($6:$1005)-5),525)),"")</f>
        <v/>
      </c>
      <c r="E526" t="str">
        <f t="array" ref="E526">IFERROR(INDEX(checklistPesertaKemenkeu!$H$6:$H$1005,SMALL(IF(checklistPesertaKemenkeu!$AY$6:$AY$1005="Direkomendasikan",ROW($6:$1005)-5),525)),"")</f>
        <v/>
      </c>
      <c r="F526" t="str">
        <f t="array" ref="F526">IFERROR(INDEX(checklistPesertaKemenkeu!$I$6:$I$1005,SMALL(IF(checklistPesertaKemenkeu!$AY$6:$AY$1005="Direkomendasikan",ROW($6:$1005)-5),525)),"")</f>
        <v/>
      </c>
      <c r="G526" t="str">
        <f t="array" ref="G526">IFERROR(INDEX(checklistPesertaKemenkeu!$J$6:$J$1005,SMALL(IF(checklistPesertaKemenkeu!$AY$6:$AY$1005="Direkomendasikan",ROW($6:$1005)-5),525)),"")</f>
        <v/>
      </c>
      <c r="H526" t="str">
        <f t="array" aca="1" ref="H526" ca="1">IFERROR(IF(OR(INDEX(checklistPesertaKemenkeu!$L$6:$L$1005,SMALL(IF(checklistPesertaKemenkeu!$AY$6:$AY$1005="Direkomendasikan",ROW($6:$1005)-5),525))="",INDEX(checklistPesertaKemenkeu!$J$6:$J$1005,SMALL(IF(checklistPesertaKemenkeu!$AY$6:$AY$1005="Direkomendasikan",ROW($6:$1005)-5),525))=""),"",IF(AND(COUNTIF(INDIRECT("K_"&amp;MATCH(INDEX(checklistPesertaKemenkeu!$J$6:$J$1005,SMALL(IF(checklistPesertaKemenkeu!$AY$6:$AY$1005="Direkomendasikan",ROW($6:$1005)-5),525)),BidangList,0)),INDEX(checklistPesertaKemenkeu!$L$6:$L$1005,SMALL(IF(checklistPesertaKemenkeu!$AY$6:$AY$1005="Direkomendasikan",ROW($6:$1005)-5),525)))&gt;0,COUNTIF(INDIRECT("'KERTAS KERJA'!K"&amp;(SMALL(IF(checklistPesertaKemenkeu!$AY$6:$AY$1005="Direkomendasikan",ROW($6:$1005)-5),525)+5)&amp;":O"&amp;(SMALL(IF(checklistPesertaKemenkeu!$AY$6:$AY$1005="Direkomendasikan",ROW($6:$1005)-5),525)+5)),INDEX(checklistPesertaKemenkeu!$L$6:$L$1005,SMALL(IF(checklistPesertaKemenkeu!$AY$6:$AY$1005="Direkomendasikan",ROW($6:$1005)-5),525)))=1),IFERROR(VLOOKUP(INDEX(checklistPesertaKemenkeu!$L$6:$L$1005,SMALL(IF(checklistPesertaKemenkeu!$AY$6:$AY$1005="Direkomendasikan",ROW($6:$1005)-5),525)),KotaKode,2,0),"-"),"")),"")</f>
        <v/>
      </c>
      <c r="I526" t="str">
        <f t="array" aca="1" ref="I526" ca="1">IFERROR(IF(OR(INDEX(checklistPesertaKemenkeu!$M$6:$M$1005,SMALL(IF(checklistPesertaKemenkeu!$AY$6:$AY$1005="Direkomendasikan",ROW($6:$1005)-5),525))="",INDEX(checklistPesertaKemenkeu!$J$6:$J$1005,SMALL(IF(checklistPesertaKemenkeu!$AY$6:$AY$1005="Direkomendasikan",ROW($6:$1005)-5),525))=""),"",IF(AND(COUNTIF(INDIRECT("K_"&amp;MATCH(INDEX(checklistPesertaKemenkeu!$J$6:$J$1005,SMALL(IF(checklistPesertaKemenkeu!$AY$6:$AY$1005="Direkomendasikan",ROW($6:$1005)-5),525)),BidangList,0)),INDEX(checklistPesertaKemenkeu!$M$6:$M$1005,SMALL(IF(checklistPesertaKemenkeu!$AY$6:$AY$1005="Direkomendasikan",ROW($6:$1005)-5),525)))&gt;0,COUNTIF(INDIRECT("'KERTAS KERJA'!K"&amp;(SMALL(IF(checklistPesertaKemenkeu!$AY$6:$AY$1005="Direkomendasikan",ROW($6:$1005)-5),525)+5)&amp;":O"&amp;(SMALL(IF(checklistPesertaKemenkeu!$AY$6:$AY$1005="Direkomendasikan",ROW($6:$1005)-5),525)+5)),INDEX(checklistPesertaKemenkeu!$M$6:$M$1005,SMALL(IF(checklistPesertaKemenkeu!$AY$6:$AY$1005="Direkomendasikan",ROW($6:$1005)-5),525)))=1),IFERROR(VLOOKUP(INDEX(checklistPesertaKemenkeu!$M$6:$M$1005,SMALL(IF(checklistPesertaKemenkeu!$AY$6:$AY$1005="Direkomendasikan",ROW($6:$1005)-5),525)),KotaKode,2,0),"-"),"")),"")</f>
        <v/>
      </c>
      <c r="J526" t="str">
        <f t="array" aca="1" ref="J526" ca="1">IFERROR(IF(OR(INDEX(checklistPesertaKemenkeu!$N$6:$N$1005,SMALL(IF(checklistPesertaKemenkeu!$AY$6:$AY$1005="Direkomendasikan",ROW($6:$1005)-5),525))="",INDEX(checklistPesertaKemenkeu!$J$6:$J$1005,SMALL(IF(checklistPesertaKemenkeu!$AY$6:$AY$1005="Direkomendasikan",ROW($6:$1005)-5),525))=""),"",IF(AND(COUNTIF(INDIRECT("K_"&amp;MATCH(INDEX(checklistPesertaKemenkeu!$J$6:$J$1005,SMALL(IF(checklistPesertaKemenkeu!$AY$6:$AY$1005="Direkomendasikan",ROW($6:$1005)-5),525)),BidangList,0)),INDEX(checklistPesertaKemenkeu!$N$6:$N$1005,SMALL(IF(checklistPesertaKemenkeu!$AY$6:$AY$1005="Direkomendasikan",ROW($6:$1005)-5),525)))&gt;0,COUNTIF(INDIRECT("'KERTAS KERJA'!K"&amp;(SMALL(IF(checklistPesertaKemenkeu!$AY$6:$AY$1005="Direkomendasikan",ROW($6:$1005)-5),525)+5)&amp;":O"&amp;(SMALL(IF(checklistPesertaKemenkeu!$AY$6:$AY$1005="Direkomendasikan",ROW($6:$1005)-5),525)+5)),INDEX(checklistPesertaKemenkeu!$N$6:$N$1005,SMALL(IF(checklistPesertaKemenkeu!$AY$6:$AY$1005="Direkomendasikan",ROW($6:$1005)-5),525)))=1),IFERROR(VLOOKUP(INDEX(checklistPesertaKemenkeu!$N$6:$N$1005,SMALL(IF(checklistPesertaKemenkeu!$AY$6:$AY$1005="Direkomendasikan",ROW($6:$1005)-5),525)),KotaKode,2,0),"-"),"")),"")</f>
        <v/>
      </c>
      <c r="K526" t="str">
        <f t="array" aca="1" ref="K526" ca="1">IFERROR(IF(OR(INDEX(checklistPesertaKemenkeu!$O$6:$O$1005,SMALL(IF(checklistPesertaKemenkeu!$AY$6:$AY$1005="Direkomendasikan",ROW($6:$1005)-5),525))="",INDEX(checklistPesertaKemenkeu!$J$6:$J$1005,SMALL(IF(checklistPesertaKemenkeu!$AY$6:$AY$1005="Direkomendasikan",ROW($6:$1005)-5),525))=""),"",IF(AND(COUNTIF(INDIRECT("K_"&amp;MATCH(INDEX(checklistPesertaKemenkeu!$J$6:$J$1005,SMALL(IF(checklistPesertaKemenkeu!$AY$6:$AY$1005="Direkomendasikan",ROW($6:$1005)-5),525)),BidangList,0)),INDEX(checklistPesertaKemenkeu!$O$6:$O$1005,SMALL(IF(checklistPesertaKemenkeu!$AY$6:$AY$1005="Direkomendasikan",ROW($6:$1005)-5),525)))&gt;0,COUNTIF(INDIRECT("'KERTAS KERJA'!K"&amp;(SMALL(IF(checklistPesertaKemenkeu!$AY$6:$AY$1005="Direkomendasikan",ROW($6:$1005)-5),525)+5)&amp;":O"&amp;(SMALL(IF(checklistPesertaKemenkeu!$AY$6:$AY$1005="Direkomendasikan",ROW($6:$1005)-5),525)+5)),INDEX(checklistPesertaKemenkeu!$O$6:$O$1005,SMALL(IF(checklistPesertaKemenkeu!$AY$6:$AY$1005="Direkomendasikan",ROW($6:$1005)-5),525)))=1),IFERROR(VLOOKUP(INDEX(checklistPesertaKemenkeu!$O$6:$O$1005,SMALL(IF(checklistPesertaKemenkeu!$AY$6:$AY$1005="Direkomendasikan",ROW($6:$1005)-5),525)),KotaKode,2,0),"-"),"")),"")</f>
        <v/>
      </c>
      <c r="L526" t="str">
        <f t="array" aca="1" ref="L526" ca="1">IFERROR(IF(OR(INDEX(checklistPesertaKemenkeu!$P$6:$P$1005,SMALL(IF(checklistPesertaKemenkeu!$AY$6:$AY$1005="Direkomendasikan",ROW($6:$1005)-5),525))="",INDEX(checklistPesertaKemenkeu!$J$6:$J$1005,SMALL(IF(checklistPesertaKemenkeu!$AY$6:$AY$1005="Direkomendasikan",ROW($6:$1005)-5),525))=""),"",IF(AND(COUNTIF(INDIRECT("K_"&amp;MATCH(INDEX(checklistPesertaKemenkeu!$J$6:$J$1005,SMALL(IF(checklistPesertaKemenkeu!$AY$6:$AY$1005="Direkomendasikan",ROW($6:$1005)-5),525)),BidangList,0)),INDEX(checklistPesertaKemenkeu!$P$6:$P$1005,SMALL(IF(checklistPesertaKemenkeu!$AY$6:$AY$1005="Direkomendasikan",ROW($6:$1005)-5),525)))&gt;0,COUNTIF(INDIRECT("'KERTAS KERJA'!K"&amp;(SMALL(IF(checklistPesertaKemenkeu!$AY$6:$AY$1005="Direkomendasikan",ROW($6:$1005)-5),525)+5)&amp;":O"&amp;(SMALL(IF(checklistPesertaKemenkeu!$AY$6:$AY$1005="Direkomendasikan",ROW($6:$1005)-5),525)+5)),INDEX(checklistPesertaKemenkeu!$P$6:$P$1005,SMALL(IF(checklistPesertaKemenkeu!$AY$6:$AY$1005="Direkomendasikan",ROW($6:$1005)-5),525)))=1),IFERROR(VLOOKUP(INDEX(checklistPesertaKemenkeu!$P$6:$P$1005,SMALL(IF(checklistPesertaKemenkeu!$AY$6:$AY$1005="Direkomendasikan",ROW($6:$1005)-5),525)),KotaKode,2,0),"-"),"")),"")</f>
        <v/>
      </c>
    </row>
    <row r="527" spans="1:12" ht="15" customHeight="1" x14ac:dyDescent="0.2">
      <c r="A527" t="str">
        <f t="shared" si="8"/>
        <v/>
      </c>
      <c r="B527" t="str">
        <v/>
      </c>
      <c r="C527" s="40" t="str">
        <f t="array" ref="C527">IFERROR(INDEX(checklistPesertaKemenkeu!$F$6:$F$1005,SMALL(IF(checklistPesertaKemenkeu!$AY$6:$AY$1005="Direkomendasikan",ROW($6:$1005)-5),526)),"")</f>
        <v/>
      </c>
      <c r="D527" t="str">
        <f t="array" ref="D527">IFERROR(INDEX(checklistPesertaKemenkeu!$G$6:$G$1005,SMALL(IF(checklistPesertaKemenkeu!$AY$6:$AY$1005="Direkomendasikan",ROW($6:$1005)-5),526)),"")</f>
        <v/>
      </c>
      <c r="E527" t="str">
        <f t="array" ref="E527">IFERROR(INDEX(checklistPesertaKemenkeu!$H$6:$H$1005,SMALL(IF(checklistPesertaKemenkeu!$AY$6:$AY$1005="Direkomendasikan",ROW($6:$1005)-5),526)),"")</f>
        <v/>
      </c>
      <c r="F527" t="str">
        <f t="array" ref="F527">IFERROR(INDEX(checklistPesertaKemenkeu!$I$6:$I$1005,SMALL(IF(checklistPesertaKemenkeu!$AY$6:$AY$1005="Direkomendasikan",ROW($6:$1005)-5),526)),"")</f>
        <v/>
      </c>
      <c r="G527" t="str">
        <f t="array" ref="G527">IFERROR(INDEX(checklistPesertaKemenkeu!$J$6:$J$1005,SMALL(IF(checklistPesertaKemenkeu!$AY$6:$AY$1005="Direkomendasikan",ROW($6:$1005)-5),526)),"")</f>
        <v/>
      </c>
      <c r="H527" t="str">
        <f t="array" aca="1" ref="H527" ca="1">IFERROR(IF(OR(INDEX(checklistPesertaKemenkeu!$L$6:$L$1005,SMALL(IF(checklistPesertaKemenkeu!$AY$6:$AY$1005="Direkomendasikan",ROW($6:$1005)-5),526))="",INDEX(checklistPesertaKemenkeu!$J$6:$J$1005,SMALL(IF(checklistPesertaKemenkeu!$AY$6:$AY$1005="Direkomendasikan",ROW($6:$1005)-5),526))=""),"",IF(AND(COUNTIF(INDIRECT("K_"&amp;MATCH(INDEX(checklistPesertaKemenkeu!$J$6:$J$1005,SMALL(IF(checklistPesertaKemenkeu!$AY$6:$AY$1005="Direkomendasikan",ROW($6:$1005)-5),526)),BidangList,0)),INDEX(checklistPesertaKemenkeu!$L$6:$L$1005,SMALL(IF(checklistPesertaKemenkeu!$AY$6:$AY$1005="Direkomendasikan",ROW($6:$1005)-5),526)))&gt;0,COUNTIF(INDIRECT("'KERTAS KERJA'!K"&amp;(SMALL(IF(checklistPesertaKemenkeu!$AY$6:$AY$1005="Direkomendasikan",ROW($6:$1005)-5),526)+5)&amp;":O"&amp;(SMALL(IF(checklistPesertaKemenkeu!$AY$6:$AY$1005="Direkomendasikan",ROW($6:$1005)-5),526)+5)),INDEX(checklistPesertaKemenkeu!$L$6:$L$1005,SMALL(IF(checklistPesertaKemenkeu!$AY$6:$AY$1005="Direkomendasikan",ROW($6:$1005)-5),526)))=1),IFERROR(VLOOKUP(INDEX(checklistPesertaKemenkeu!$L$6:$L$1005,SMALL(IF(checklistPesertaKemenkeu!$AY$6:$AY$1005="Direkomendasikan",ROW($6:$1005)-5),526)),KotaKode,2,0),"-"),"")),"")</f>
        <v/>
      </c>
      <c r="I527" t="str">
        <f t="array" aca="1" ref="I527" ca="1">IFERROR(IF(OR(INDEX(checklistPesertaKemenkeu!$M$6:$M$1005,SMALL(IF(checklistPesertaKemenkeu!$AY$6:$AY$1005="Direkomendasikan",ROW($6:$1005)-5),526))="",INDEX(checklistPesertaKemenkeu!$J$6:$J$1005,SMALL(IF(checklistPesertaKemenkeu!$AY$6:$AY$1005="Direkomendasikan",ROW($6:$1005)-5),526))=""),"",IF(AND(COUNTIF(INDIRECT("K_"&amp;MATCH(INDEX(checklistPesertaKemenkeu!$J$6:$J$1005,SMALL(IF(checklistPesertaKemenkeu!$AY$6:$AY$1005="Direkomendasikan",ROW($6:$1005)-5),526)),BidangList,0)),INDEX(checklistPesertaKemenkeu!$M$6:$M$1005,SMALL(IF(checklistPesertaKemenkeu!$AY$6:$AY$1005="Direkomendasikan",ROW($6:$1005)-5),526)))&gt;0,COUNTIF(INDIRECT("'KERTAS KERJA'!K"&amp;(SMALL(IF(checklistPesertaKemenkeu!$AY$6:$AY$1005="Direkomendasikan",ROW($6:$1005)-5),526)+5)&amp;":O"&amp;(SMALL(IF(checklistPesertaKemenkeu!$AY$6:$AY$1005="Direkomendasikan",ROW($6:$1005)-5),526)+5)),INDEX(checklistPesertaKemenkeu!$M$6:$M$1005,SMALL(IF(checklistPesertaKemenkeu!$AY$6:$AY$1005="Direkomendasikan",ROW($6:$1005)-5),526)))=1),IFERROR(VLOOKUP(INDEX(checklistPesertaKemenkeu!$M$6:$M$1005,SMALL(IF(checklistPesertaKemenkeu!$AY$6:$AY$1005="Direkomendasikan",ROW($6:$1005)-5),526)),KotaKode,2,0),"-"),"")),"")</f>
        <v/>
      </c>
      <c r="J527" t="str">
        <f t="array" aca="1" ref="J527" ca="1">IFERROR(IF(OR(INDEX(checklistPesertaKemenkeu!$N$6:$N$1005,SMALL(IF(checklistPesertaKemenkeu!$AY$6:$AY$1005="Direkomendasikan",ROW($6:$1005)-5),526))="",INDEX(checklistPesertaKemenkeu!$J$6:$J$1005,SMALL(IF(checklistPesertaKemenkeu!$AY$6:$AY$1005="Direkomendasikan",ROW($6:$1005)-5),526))=""),"",IF(AND(COUNTIF(INDIRECT("K_"&amp;MATCH(INDEX(checklistPesertaKemenkeu!$J$6:$J$1005,SMALL(IF(checklistPesertaKemenkeu!$AY$6:$AY$1005="Direkomendasikan",ROW($6:$1005)-5),526)),BidangList,0)),INDEX(checklistPesertaKemenkeu!$N$6:$N$1005,SMALL(IF(checklistPesertaKemenkeu!$AY$6:$AY$1005="Direkomendasikan",ROW($6:$1005)-5),526)))&gt;0,COUNTIF(INDIRECT("'KERTAS KERJA'!K"&amp;(SMALL(IF(checklistPesertaKemenkeu!$AY$6:$AY$1005="Direkomendasikan",ROW($6:$1005)-5),526)+5)&amp;":O"&amp;(SMALL(IF(checklistPesertaKemenkeu!$AY$6:$AY$1005="Direkomendasikan",ROW($6:$1005)-5),526)+5)),INDEX(checklistPesertaKemenkeu!$N$6:$N$1005,SMALL(IF(checklistPesertaKemenkeu!$AY$6:$AY$1005="Direkomendasikan",ROW($6:$1005)-5),526)))=1),IFERROR(VLOOKUP(INDEX(checklistPesertaKemenkeu!$N$6:$N$1005,SMALL(IF(checklistPesertaKemenkeu!$AY$6:$AY$1005="Direkomendasikan",ROW($6:$1005)-5),526)),KotaKode,2,0),"-"),"")),"")</f>
        <v/>
      </c>
      <c r="K527" t="str">
        <f t="array" aca="1" ref="K527" ca="1">IFERROR(IF(OR(INDEX(checklistPesertaKemenkeu!$O$6:$O$1005,SMALL(IF(checklistPesertaKemenkeu!$AY$6:$AY$1005="Direkomendasikan",ROW($6:$1005)-5),526))="",INDEX(checklistPesertaKemenkeu!$J$6:$J$1005,SMALL(IF(checklistPesertaKemenkeu!$AY$6:$AY$1005="Direkomendasikan",ROW($6:$1005)-5),526))=""),"",IF(AND(COUNTIF(INDIRECT("K_"&amp;MATCH(INDEX(checklistPesertaKemenkeu!$J$6:$J$1005,SMALL(IF(checklistPesertaKemenkeu!$AY$6:$AY$1005="Direkomendasikan",ROW($6:$1005)-5),526)),BidangList,0)),INDEX(checklistPesertaKemenkeu!$O$6:$O$1005,SMALL(IF(checklistPesertaKemenkeu!$AY$6:$AY$1005="Direkomendasikan",ROW($6:$1005)-5),526)))&gt;0,COUNTIF(INDIRECT("'KERTAS KERJA'!K"&amp;(SMALL(IF(checklistPesertaKemenkeu!$AY$6:$AY$1005="Direkomendasikan",ROW($6:$1005)-5),526)+5)&amp;":O"&amp;(SMALL(IF(checklistPesertaKemenkeu!$AY$6:$AY$1005="Direkomendasikan",ROW($6:$1005)-5),526)+5)),INDEX(checklistPesertaKemenkeu!$O$6:$O$1005,SMALL(IF(checklistPesertaKemenkeu!$AY$6:$AY$1005="Direkomendasikan",ROW($6:$1005)-5),526)))=1),IFERROR(VLOOKUP(INDEX(checklistPesertaKemenkeu!$O$6:$O$1005,SMALL(IF(checklistPesertaKemenkeu!$AY$6:$AY$1005="Direkomendasikan",ROW($6:$1005)-5),526)),KotaKode,2,0),"-"),"")),"")</f>
        <v/>
      </c>
      <c r="L527" t="str">
        <f t="array" aca="1" ref="L527" ca="1">IFERROR(IF(OR(INDEX(checklistPesertaKemenkeu!$P$6:$P$1005,SMALL(IF(checklistPesertaKemenkeu!$AY$6:$AY$1005="Direkomendasikan",ROW($6:$1005)-5),526))="",INDEX(checklistPesertaKemenkeu!$J$6:$J$1005,SMALL(IF(checklistPesertaKemenkeu!$AY$6:$AY$1005="Direkomendasikan",ROW($6:$1005)-5),526))=""),"",IF(AND(COUNTIF(INDIRECT("K_"&amp;MATCH(INDEX(checklistPesertaKemenkeu!$J$6:$J$1005,SMALL(IF(checklistPesertaKemenkeu!$AY$6:$AY$1005="Direkomendasikan",ROW($6:$1005)-5),526)),BidangList,0)),INDEX(checklistPesertaKemenkeu!$P$6:$P$1005,SMALL(IF(checklistPesertaKemenkeu!$AY$6:$AY$1005="Direkomendasikan",ROW($6:$1005)-5),526)))&gt;0,COUNTIF(INDIRECT("'KERTAS KERJA'!K"&amp;(SMALL(IF(checklistPesertaKemenkeu!$AY$6:$AY$1005="Direkomendasikan",ROW($6:$1005)-5),526)+5)&amp;":O"&amp;(SMALL(IF(checklistPesertaKemenkeu!$AY$6:$AY$1005="Direkomendasikan",ROW($6:$1005)-5),526)+5)),INDEX(checklistPesertaKemenkeu!$P$6:$P$1005,SMALL(IF(checklistPesertaKemenkeu!$AY$6:$AY$1005="Direkomendasikan",ROW($6:$1005)-5),526)))=1),IFERROR(VLOOKUP(INDEX(checklistPesertaKemenkeu!$P$6:$P$1005,SMALL(IF(checklistPesertaKemenkeu!$AY$6:$AY$1005="Direkomendasikan",ROW($6:$1005)-5),526)),KotaKode,2,0),"-"),"")),"")</f>
        <v/>
      </c>
    </row>
    <row r="528" spans="1:12" ht="15" customHeight="1" x14ac:dyDescent="0.2">
      <c r="A528" t="str">
        <f t="shared" si="8"/>
        <v/>
      </c>
      <c r="B528" t="str">
        <v/>
      </c>
      <c r="C528" s="40" t="str">
        <f t="array" ref="C528">IFERROR(INDEX(checklistPesertaKemenkeu!$F$6:$F$1005,SMALL(IF(checklistPesertaKemenkeu!$AY$6:$AY$1005="Direkomendasikan",ROW($6:$1005)-5),527)),"")</f>
        <v/>
      </c>
      <c r="D528" t="str">
        <f t="array" ref="D528">IFERROR(INDEX(checklistPesertaKemenkeu!$G$6:$G$1005,SMALL(IF(checklistPesertaKemenkeu!$AY$6:$AY$1005="Direkomendasikan",ROW($6:$1005)-5),527)),"")</f>
        <v/>
      </c>
      <c r="E528" t="str">
        <f t="array" ref="E528">IFERROR(INDEX(checklistPesertaKemenkeu!$H$6:$H$1005,SMALL(IF(checklistPesertaKemenkeu!$AY$6:$AY$1005="Direkomendasikan",ROW($6:$1005)-5),527)),"")</f>
        <v/>
      </c>
      <c r="F528" t="str">
        <f t="array" ref="F528">IFERROR(INDEX(checklistPesertaKemenkeu!$I$6:$I$1005,SMALL(IF(checklistPesertaKemenkeu!$AY$6:$AY$1005="Direkomendasikan",ROW($6:$1005)-5),527)),"")</f>
        <v/>
      </c>
      <c r="G528" t="str">
        <f t="array" ref="G528">IFERROR(INDEX(checklistPesertaKemenkeu!$J$6:$J$1005,SMALL(IF(checklistPesertaKemenkeu!$AY$6:$AY$1005="Direkomendasikan",ROW($6:$1005)-5),527)),"")</f>
        <v/>
      </c>
      <c r="H528" t="str">
        <f t="array" aca="1" ref="H528" ca="1">IFERROR(IF(OR(INDEX(checklistPesertaKemenkeu!$L$6:$L$1005,SMALL(IF(checklistPesertaKemenkeu!$AY$6:$AY$1005="Direkomendasikan",ROW($6:$1005)-5),527))="",INDEX(checklistPesertaKemenkeu!$J$6:$J$1005,SMALL(IF(checklistPesertaKemenkeu!$AY$6:$AY$1005="Direkomendasikan",ROW($6:$1005)-5),527))=""),"",IF(AND(COUNTIF(INDIRECT("K_"&amp;MATCH(INDEX(checklistPesertaKemenkeu!$J$6:$J$1005,SMALL(IF(checklistPesertaKemenkeu!$AY$6:$AY$1005="Direkomendasikan",ROW($6:$1005)-5),527)),BidangList,0)),INDEX(checklistPesertaKemenkeu!$L$6:$L$1005,SMALL(IF(checklistPesertaKemenkeu!$AY$6:$AY$1005="Direkomendasikan",ROW($6:$1005)-5),527)))&gt;0,COUNTIF(INDIRECT("'KERTAS KERJA'!K"&amp;(SMALL(IF(checklistPesertaKemenkeu!$AY$6:$AY$1005="Direkomendasikan",ROW($6:$1005)-5),527)+5)&amp;":O"&amp;(SMALL(IF(checklistPesertaKemenkeu!$AY$6:$AY$1005="Direkomendasikan",ROW($6:$1005)-5),527)+5)),INDEX(checklistPesertaKemenkeu!$L$6:$L$1005,SMALL(IF(checklistPesertaKemenkeu!$AY$6:$AY$1005="Direkomendasikan",ROW($6:$1005)-5),527)))=1),IFERROR(VLOOKUP(INDEX(checklistPesertaKemenkeu!$L$6:$L$1005,SMALL(IF(checklistPesertaKemenkeu!$AY$6:$AY$1005="Direkomendasikan",ROW($6:$1005)-5),527)),KotaKode,2,0),"-"),"")),"")</f>
        <v/>
      </c>
      <c r="I528" t="str">
        <f t="array" aca="1" ref="I528" ca="1">IFERROR(IF(OR(INDEX(checklistPesertaKemenkeu!$M$6:$M$1005,SMALL(IF(checklistPesertaKemenkeu!$AY$6:$AY$1005="Direkomendasikan",ROW($6:$1005)-5),527))="",INDEX(checklistPesertaKemenkeu!$J$6:$J$1005,SMALL(IF(checklistPesertaKemenkeu!$AY$6:$AY$1005="Direkomendasikan",ROW($6:$1005)-5),527))=""),"",IF(AND(COUNTIF(INDIRECT("K_"&amp;MATCH(INDEX(checklistPesertaKemenkeu!$J$6:$J$1005,SMALL(IF(checklistPesertaKemenkeu!$AY$6:$AY$1005="Direkomendasikan",ROW($6:$1005)-5),527)),BidangList,0)),INDEX(checklistPesertaKemenkeu!$M$6:$M$1005,SMALL(IF(checklistPesertaKemenkeu!$AY$6:$AY$1005="Direkomendasikan",ROW($6:$1005)-5),527)))&gt;0,COUNTIF(INDIRECT("'KERTAS KERJA'!K"&amp;(SMALL(IF(checklistPesertaKemenkeu!$AY$6:$AY$1005="Direkomendasikan",ROW($6:$1005)-5),527)+5)&amp;":O"&amp;(SMALL(IF(checklistPesertaKemenkeu!$AY$6:$AY$1005="Direkomendasikan",ROW($6:$1005)-5),527)+5)),INDEX(checklistPesertaKemenkeu!$M$6:$M$1005,SMALL(IF(checklistPesertaKemenkeu!$AY$6:$AY$1005="Direkomendasikan",ROW($6:$1005)-5),527)))=1),IFERROR(VLOOKUP(INDEX(checklistPesertaKemenkeu!$M$6:$M$1005,SMALL(IF(checklistPesertaKemenkeu!$AY$6:$AY$1005="Direkomendasikan",ROW($6:$1005)-5),527)),KotaKode,2,0),"-"),"")),"")</f>
        <v/>
      </c>
      <c r="J528" t="str">
        <f t="array" aca="1" ref="J528" ca="1">IFERROR(IF(OR(INDEX(checklistPesertaKemenkeu!$N$6:$N$1005,SMALL(IF(checklistPesertaKemenkeu!$AY$6:$AY$1005="Direkomendasikan",ROW($6:$1005)-5),527))="",INDEX(checklistPesertaKemenkeu!$J$6:$J$1005,SMALL(IF(checklistPesertaKemenkeu!$AY$6:$AY$1005="Direkomendasikan",ROW($6:$1005)-5),527))=""),"",IF(AND(COUNTIF(INDIRECT("K_"&amp;MATCH(INDEX(checklistPesertaKemenkeu!$J$6:$J$1005,SMALL(IF(checklistPesertaKemenkeu!$AY$6:$AY$1005="Direkomendasikan",ROW($6:$1005)-5),527)),BidangList,0)),INDEX(checklistPesertaKemenkeu!$N$6:$N$1005,SMALL(IF(checklistPesertaKemenkeu!$AY$6:$AY$1005="Direkomendasikan",ROW($6:$1005)-5),527)))&gt;0,COUNTIF(INDIRECT("'KERTAS KERJA'!K"&amp;(SMALL(IF(checklistPesertaKemenkeu!$AY$6:$AY$1005="Direkomendasikan",ROW($6:$1005)-5),527)+5)&amp;":O"&amp;(SMALL(IF(checklistPesertaKemenkeu!$AY$6:$AY$1005="Direkomendasikan",ROW($6:$1005)-5),527)+5)),INDEX(checklistPesertaKemenkeu!$N$6:$N$1005,SMALL(IF(checklistPesertaKemenkeu!$AY$6:$AY$1005="Direkomendasikan",ROW($6:$1005)-5),527)))=1),IFERROR(VLOOKUP(INDEX(checklistPesertaKemenkeu!$N$6:$N$1005,SMALL(IF(checklistPesertaKemenkeu!$AY$6:$AY$1005="Direkomendasikan",ROW($6:$1005)-5),527)),KotaKode,2,0),"-"),"")),"")</f>
        <v/>
      </c>
      <c r="K528" t="str">
        <f t="array" aca="1" ref="K528" ca="1">IFERROR(IF(OR(INDEX(checklistPesertaKemenkeu!$O$6:$O$1005,SMALL(IF(checklistPesertaKemenkeu!$AY$6:$AY$1005="Direkomendasikan",ROW($6:$1005)-5),527))="",INDEX(checklistPesertaKemenkeu!$J$6:$J$1005,SMALL(IF(checklistPesertaKemenkeu!$AY$6:$AY$1005="Direkomendasikan",ROW($6:$1005)-5),527))=""),"",IF(AND(COUNTIF(INDIRECT("K_"&amp;MATCH(INDEX(checklistPesertaKemenkeu!$J$6:$J$1005,SMALL(IF(checklistPesertaKemenkeu!$AY$6:$AY$1005="Direkomendasikan",ROW($6:$1005)-5),527)),BidangList,0)),INDEX(checklistPesertaKemenkeu!$O$6:$O$1005,SMALL(IF(checklistPesertaKemenkeu!$AY$6:$AY$1005="Direkomendasikan",ROW($6:$1005)-5),527)))&gt;0,COUNTIF(INDIRECT("'KERTAS KERJA'!K"&amp;(SMALL(IF(checklistPesertaKemenkeu!$AY$6:$AY$1005="Direkomendasikan",ROW($6:$1005)-5),527)+5)&amp;":O"&amp;(SMALL(IF(checklistPesertaKemenkeu!$AY$6:$AY$1005="Direkomendasikan",ROW($6:$1005)-5),527)+5)),INDEX(checklistPesertaKemenkeu!$O$6:$O$1005,SMALL(IF(checklistPesertaKemenkeu!$AY$6:$AY$1005="Direkomendasikan",ROW($6:$1005)-5),527)))=1),IFERROR(VLOOKUP(INDEX(checklistPesertaKemenkeu!$O$6:$O$1005,SMALL(IF(checklistPesertaKemenkeu!$AY$6:$AY$1005="Direkomendasikan",ROW($6:$1005)-5),527)),KotaKode,2,0),"-"),"")),"")</f>
        <v/>
      </c>
      <c r="L528" t="str">
        <f t="array" aca="1" ref="L528" ca="1">IFERROR(IF(OR(INDEX(checklistPesertaKemenkeu!$P$6:$P$1005,SMALL(IF(checklistPesertaKemenkeu!$AY$6:$AY$1005="Direkomendasikan",ROW($6:$1005)-5),527))="",INDEX(checklistPesertaKemenkeu!$J$6:$J$1005,SMALL(IF(checklistPesertaKemenkeu!$AY$6:$AY$1005="Direkomendasikan",ROW($6:$1005)-5),527))=""),"",IF(AND(COUNTIF(INDIRECT("K_"&amp;MATCH(INDEX(checklistPesertaKemenkeu!$J$6:$J$1005,SMALL(IF(checklistPesertaKemenkeu!$AY$6:$AY$1005="Direkomendasikan",ROW($6:$1005)-5),527)),BidangList,0)),INDEX(checklistPesertaKemenkeu!$P$6:$P$1005,SMALL(IF(checklistPesertaKemenkeu!$AY$6:$AY$1005="Direkomendasikan",ROW($6:$1005)-5),527)))&gt;0,COUNTIF(INDIRECT("'KERTAS KERJA'!K"&amp;(SMALL(IF(checklistPesertaKemenkeu!$AY$6:$AY$1005="Direkomendasikan",ROW($6:$1005)-5),527)+5)&amp;":O"&amp;(SMALL(IF(checklistPesertaKemenkeu!$AY$6:$AY$1005="Direkomendasikan",ROW($6:$1005)-5),527)+5)),INDEX(checklistPesertaKemenkeu!$P$6:$P$1005,SMALL(IF(checklistPesertaKemenkeu!$AY$6:$AY$1005="Direkomendasikan",ROW($6:$1005)-5),527)))=1),IFERROR(VLOOKUP(INDEX(checklistPesertaKemenkeu!$P$6:$P$1005,SMALL(IF(checklistPesertaKemenkeu!$AY$6:$AY$1005="Direkomendasikan",ROW($6:$1005)-5),527)),KotaKode,2,0),"-"),"")),"")</f>
        <v/>
      </c>
    </row>
    <row r="529" spans="1:12" ht="15" customHeight="1" x14ac:dyDescent="0.2">
      <c r="A529" t="str">
        <f t="shared" si="8"/>
        <v/>
      </c>
      <c r="B529" t="str">
        <v/>
      </c>
      <c r="C529" s="40" t="str">
        <f t="array" ref="C529">IFERROR(INDEX(checklistPesertaKemenkeu!$F$6:$F$1005,SMALL(IF(checklistPesertaKemenkeu!$AY$6:$AY$1005="Direkomendasikan",ROW($6:$1005)-5),528)),"")</f>
        <v/>
      </c>
      <c r="D529" t="str">
        <f t="array" ref="D529">IFERROR(INDEX(checklistPesertaKemenkeu!$G$6:$G$1005,SMALL(IF(checklistPesertaKemenkeu!$AY$6:$AY$1005="Direkomendasikan",ROW($6:$1005)-5),528)),"")</f>
        <v/>
      </c>
      <c r="E529" t="str">
        <f t="array" ref="E529">IFERROR(INDEX(checklistPesertaKemenkeu!$H$6:$H$1005,SMALL(IF(checklistPesertaKemenkeu!$AY$6:$AY$1005="Direkomendasikan",ROW($6:$1005)-5),528)),"")</f>
        <v/>
      </c>
      <c r="F529" t="str">
        <f t="array" ref="F529">IFERROR(INDEX(checklistPesertaKemenkeu!$I$6:$I$1005,SMALL(IF(checklistPesertaKemenkeu!$AY$6:$AY$1005="Direkomendasikan",ROW($6:$1005)-5),528)),"")</f>
        <v/>
      </c>
      <c r="G529" t="str">
        <f t="array" ref="G529">IFERROR(INDEX(checklistPesertaKemenkeu!$J$6:$J$1005,SMALL(IF(checklistPesertaKemenkeu!$AY$6:$AY$1005="Direkomendasikan",ROW($6:$1005)-5),528)),"")</f>
        <v/>
      </c>
      <c r="H529" t="str">
        <f t="array" aca="1" ref="H529" ca="1">IFERROR(IF(OR(INDEX(checklistPesertaKemenkeu!$L$6:$L$1005,SMALL(IF(checklistPesertaKemenkeu!$AY$6:$AY$1005="Direkomendasikan",ROW($6:$1005)-5),528))="",INDEX(checklistPesertaKemenkeu!$J$6:$J$1005,SMALL(IF(checklistPesertaKemenkeu!$AY$6:$AY$1005="Direkomendasikan",ROW($6:$1005)-5),528))=""),"",IF(AND(COUNTIF(INDIRECT("K_"&amp;MATCH(INDEX(checklistPesertaKemenkeu!$J$6:$J$1005,SMALL(IF(checklistPesertaKemenkeu!$AY$6:$AY$1005="Direkomendasikan",ROW($6:$1005)-5),528)),BidangList,0)),INDEX(checklistPesertaKemenkeu!$L$6:$L$1005,SMALL(IF(checklistPesertaKemenkeu!$AY$6:$AY$1005="Direkomendasikan",ROW($6:$1005)-5),528)))&gt;0,COUNTIF(INDIRECT("'KERTAS KERJA'!K"&amp;(SMALL(IF(checklistPesertaKemenkeu!$AY$6:$AY$1005="Direkomendasikan",ROW($6:$1005)-5),528)+5)&amp;":O"&amp;(SMALL(IF(checklistPesertaKemenkeu!$AY$6:$AY$1005="Direkomendasikan",ROW($6:$1005)-5),528)+5)),INDEX(checklistPesertaKemenkeu!$L$6:$L$1005,SMALL(IF(checklistPesertaKemenkeu!$AY$6:$AY$1005="Direkomendasikan",ROW($6:$1005)-5),528)))=1),IFERROR(VLOOKUP(INDEX(checklistPesertaKemenkeu!$L$6:$L$1005,SMALL(IF(checklistPesertaKemenkeu!$AY$6:$AY$1005="Direkomendasikan",ROW($6:$1005)-5),528)),KotaKode,2,0),"-"),"")),"")</f>
        <v/>
      </c>
      <c r="I529" t="str">
        <f t="array" aca="1" ref="I529" ca="1">IFERROR(IF(OR(INDEX(checklistPesertaKemenkeu!$M$6:$M$1005,SMALL(IF(checklistPesertaKemenkeu!$AY$6:$AY$1005="Direkomendasikan",ROW($6:$1005)-5),528))="",INDEX(checklistPesertaKemenkeu!$J$6:$J$1005,SMALL(IF(checklistPesertaKemenkeu!$AY$6:$AY$1005="Direkomendasikan",ROW($6:$1005)-5),528))=""),"",IF(AND(COUNTIF(INDIRECT("K_"&amp;MATCH(INDEX(checklistPesertaKemenkeu!$J$6:$J$1005,SMALL(IF(checklistPesertaKemenkeu!$AY$6:$AY$1005="Direkomendasikan",ROW($6:$1005)-5),528)),BidangList,0)),INDEX(checklistPesertaKemenkeu!$M$6:$M$1005,SMALL(IF(checklistPesertaKemenkeu!$AY$6:$AY$1005="Direkomendasikan",ROW($6:$1005)-5),528)))&gt;0,COUNTIF(INDIRECT("'KERTAS KERJA'!K"&amp;(SMALL(IF(checklistPesertaKemenkeu!$AY$6:$AY$1005="Direkomendasikan",ROW($6:$1005)-5),528)+5)&amp;":O"&amp;(SMALL(IF(checklistPesertaKemenkeu!$AY$6:$AY$1005="Direkomendasikan",ROW($6:$1005)-5),528)+5)),INDEX(checklistPesertaKemenkeu!$M$6:$M$1005,SMALL(IF(checklistPesertaKemenkeu!$AY$6:$AY$1005="Direkomendasikan",ROW($6:$1005)-5),528)))=1),IFERROR(VLOOKUP(INDEX(checklistPesertaKemenkeu!$M$6:$M$1005,SMALL(IF(checklistPesertaKemenkeu!$AY$6:$AY$1005="Direkomendasikan",ROW($6:$1005)-5),528)),KotaKode,2,0),"-"),"")),"")</f>
        <v/>
      </c>
      <c r="J529" t="str">
        <f t="array" aca="1" ref="J529" ca="1">IFERROR(IF(OR(INDEX(checklistPesertaKemenkeu!$N$6:$N$1005,SMALL(IF(checklistPesertaKemenkeu!$AY$6:$AY$1005="Direkomendasikan",ROW($6:$1005)-5),528))="",INDEX(checklistPesertaKemenkeu!$J$6:$J$1005,SMALL(IF(checklistPesertaKemenkeu!$AY$6:$AY$1005="Direkomendasikan",ROW($6:$1005)-5),528))=""),"",IF(AND(COUNTIF(INDIRECT("K_"&amp;MATCH(INDEX(checklistPesertaKemenkeu!$J$6:$J$1005,SMALL(IF(checklistPesertaKemenkeu!$AY$6:$AY$1005="Direkomendasikan",ROW($6:$1005)-5),528)),BidangList,0)),INDEX(checklistPesertaKemenkeu!$N$6:$N$1005,SMALL(IF(checklistPesertaKemenkeu!$AY$6:$AY$1005="Direkomendasikan",ROW($6:$1005)-5),528)))&gt;0,COUNTIF(INDIRECT("'KERTAS KERJA'!K"&amp;(SMALL(IF(checklistPesertaKemenkeu!$AY$6:$AY$1005="Direkomendasikan",ROW($6:$1005)-5),528)+5)&amp;":O"&amp;(SMALL(IF(checklistPesertaKemenkeu!$AY$6:$AY$1005="Direkomendasikan",ROW($6:$1005)-5),528)+5)),INDEX(checklistPesertaKemenkeu!$N$6:$N$1005,SMALL(IF(checklistPesertaKemenkeu!$AY$6:$AY$1005="Direkomendasikan",ROW($6:$1005)-5),528)))=1),IFERROR(VLOOKUP(INDEX(checklistPesertaKemenkeu!$N$6:$N$1005,SMALL(IF(checklistPesertaKemenkeu!$AY$6:$AY$1005="Direkomendasikan",ROW($6:$1005)-5),528)),KotaKode,2,0),"-"),"")),"")</f>
        <v/>
      </c>
      <c r="K529" t="str">
        <f t="array" aca="1" ref="K529" ca="1">IFERROR(IF(OR(INDEX(checklistPesertaKemenkeu!$O$6:$O$1005,SMALL(IF(checklistPesertaKemenkeu!$AY$6:$AY$1005="Direkomendasikan",ROW($6:$1005)-5),528))="",INDEX(checklistPesertaKemenkeu!$J$6:$J$1005,SMALL(IF(checklistPesertaKemenkeu!$AY$6:$AY$1005="Direkomendasikan",ROW($6:$1005)-5),528))=""),"",IF(AND(COUNTIF(INDIRECT("K_"&amp;MATCH(INDEX(checklistPesertaKemenkeu!$J$6:$J$1005,SMALL(IF(checklistPesertaKemenkeu!$AY$6:$AY$1005="Direkomendasikan",ROW($6:$1005)-5),528)),BidangList,0)),INDEX(checklistPesertaKemenkeu!$O$6:$O$1005,SMALL(IF(checklistPesertaKemenkeu!$AY$6:$AY$1005="Direkomendasikan",ROW($6:$1005)-5),528)))&gt;0,COUNTIF(INDIRECT("'KERTAS KERJA'!K"&amp;(SMALL(IF(checklistPesertaKemenkeu!$AY$6:$AY$1005="Direkomendasikan",ROW($6:$1005)-5),528)+5)&amp;":O"&amp;(SMALL(IF(checklistPesertaKemenkeu!$AY$6:$AY$1005="Direkomendasikan",ROW($6:$1005)-5),528)+5)),INDEX(checklistPesertaKemenkeu!$O$6:$O$1005,SMALL(IF(checklistPesertaKemenkeu!$AY$6:$AY$1005="Direkomendasikan",ROW($6:$1005)-5),528)))=1),IFERROR(VLOOKUP(INDEX(checklistPesertaKemenkeu!$O$6:$O$1005,SMALL(IF(checklistPesertaKemenkeu!$AY$6:$AY$1005="Direkomendasikan",ROW($6:$1005)-5),528)),KotaKode,2,0),"-"),"")),"")</f>
        <v/>
      </c>
      <c r="L529" t="str">
        <f t="array" aca="1" ref="L529" ca="1">IFERROR(IF(OR(INDEX(checklistPesertaKemenkeu!$P$6:$P$1005,SMALL(IF(checklistPesertaKemenkeu!$AY$6:$AY$1005="Direkomendasikan",ROW($6:$1005)-5),528))="",INDEX(checklistPesertaKemenkeu!$J$6:$J$1005,SMALL(IF(checklistPesertaKemenkeu!$AY$6:$AY$1005="Direkomendasikan",ROW($6:$1005)-5),528))=""),"",IF(AND(COUNTIF(INDIRECT("K_"&amp;MATCH(INDEX(checklistPesertaKemenkeu!$J$6:$J$1005,SMALL(IF(checklistPesertaKemenkeu!$AY$6:$AY$1005="Direkomendasikan",ROW($6:$1005)-5),528)),BidangList,0)),INDEX(checklistPesertaKemenkeu!$P$6:$P$1005,SMALL(IF(checklistPesertaKemenkeu!$AY$6:$AY$1005="Direkomendasikan",ROW($6:$1005)-5),528)))&gt;0,COUNTIF(INDIRECT("'KERTAS KERJA'!K"&amp;(SMALL(IF(checklistPesertaKemenkeu!$AY$6:$AY$1005="Direkomendasikan",ROW($6:$1005)-5),528)+5)&amp;":O"&amp;(SMALL(IF(checklistPesertaKemenkeu!$AY$6:$AY$1005="Direkomendasikan",ROW($6:$1005)-5),528)+5)),INDEX(checklistPesertaKemenkeu!$P$6:$P$1005,SMALL(IF(checklistPesertaKemenkeu!$AY$6:$AY$1005="Direkomendasikan",ROW($6:$1005)-5),528)))=1),IFERROR(VLOOKUP(INDEX(checklistPesertaKemenkeu!$P$6:$P$1005,SMALL(IF(checklistPesertaKemenkeu!$AY$6:$AY$1005="Direkomendasikan",ROW($6:$1005)-5),528)),KotaKode,2,0),"-"),"")),"")</f>
        <v/>
      </c>
    </row>
    <row r="530" spans="1:12" ht="15" customHeight="1" x14ac:dyDescent="0.2">
      <c r="A530" t="str">
        <f t="shared" si="8"/>
        <v/>
      </c>
      <c r="B530" t="str">
        <v/>
      </c>
      <c r="C530" s="40" t="str">
        <f t="array" ref="C530">IFERROR(INDEX(checklistPesertaKemenkeu!$F$6:$F$1005,SMALL(IF(checklistPesertaKemenkeu!$AY$6:$AY$1005="Direkomendasikan",ROW($6:$1005)-5),529)),"")</f>
        <v/>
      </c>
      <c r="D530" t="str">
        <f t="array" ref="D530">IFERROR(INDEX(checklistPesertaKemenkeu!$G$6:$G$1005,SMALL(IF(checklistPesertaKemenkeu!$AY$6:$AY$1005="Direkomendasikan",ROW($6:$1005)-5),529)),"")</f>
        <v/>
      </c>
      <c r="E530" t="str">
        <f t="array" ref="E530">IFERROR(INDEX(checklistPesertaKemenkeu!$H$6:$H$1005,SMALL(IF(checklistPesertaKemenkeu!$AY$6:$AY$1005="Direkomendasikan",ROW($6:$1005)-5),529)),"")</f>
        <v/>
      </c>
      <c r="F530" t="str">
        <f t="array" ref="F530">IFERROR(INDEX(checklistPesertaKemenkeu!$I$6:$I$1005,SMALL(IF(checklistPesertaKemenkeu!$AY$6:$AY$1005="Direkomendasikan",ROW($6:$1005)-5),529)),"")</f>
        <v/>
      </c>
      <c r="G530" t="str">
        <f t="array" ref="G530">IFERROR(INDEX(checklistPesertaKemenkeu!$J$6:$J$1005,SMALL(IF(checklistPesertaKemenkeu!$AY$6:$AY$1005="Direkomendasikan",ROW($6:$1005)-5),529)),"")</f>
        <v/>
      </c>
      <c r="H530" t="str">
        <f t="array" aca="1" ref="H530" ca="1">IFERROR(IF(OR(INDEX(checklistPesertaKemenkeu!$L$6:$L$1005,SMALL(IF(checklistPesertaKemenkeu!$AY$6:$AY$1005="Direkomendasikan",ROW($6:$1005)-5),529))="",INDEX(checklistPesertaKemenkeu!$J$6:$J$1005,SMALL(IF(checklistPesertaKemenkeu!$AY$6:$AY$1005="Direkomendasikan",ROW($6:$1005)-5),529))=""),"",IF(AND(COUNTIF(INDIRECT("K_"&amp;MATCH(INDEX(checklistPesertaKemenkeu!$J$6:$J$1005,SMALL(IF(checklistPesertaKemenkeu!$AY$6:$AY$1005="Direkomendasikan",ROW($6:$1005)-5),529)),BidangList,0)),INDEX(checklistPesertaKemenkeu!$L$6:$L$1005,SMALL(IF(checklistPesertaKemenkeu!$AY$6:$AY$1005="Direkomendasikan",ROW($6:$1005)-5),529)))&gt;0,COUNTIF(INDIRECT("'KERTAS KERJA'!K"&amp;(SMALL(IF(checklistPesertaKemenkeu!$AY$6:$AY$1005="Direkomendasikan",ROW($6:$1005)-5),529)+5)&amp;":O"&amp;(SMALL(IF(checklistPesertaKemenkeu!$AY$6:$AY$1005="Direkomendasikan",ROW($6:$1005)-5),529)+5)),INDEX(checklistPesertaKemenkeu!$L$6:$L$1005,SMALL(IF(checklistPesertaKemenkeu!$AY$6:$AY$1005="Direkomendasikan",ROW($6:$1005)-5),529)))=1),IFERROR(VLOOKUP(INDEX(checklistPesertaKemenkeu!$L$6:$L$1005,SMALL(IF(checklistPesertaKemenkeu!$AY$6:$AY$1005="Direkomendasikan",ROW($6:$1005)-5),529)),KotaKode,2,0),"-"),"")),"")</f>
        <v/>
      </c>
      <c r="I530" t="str">
        <f t="array" aca="1" ref="I530" ca="1">IFERROR(IF(OR(INDEX(checklistPesertaKemenkeu!$M$6:$M$1005,SMALL(IF(checklistPesertaKemenkeu!$AY$6:$AY$1005="Direkomendasikan",ROW($6:$1005)-5),529))="",INDEX(checklistPesertaKemenkeu!$J$6:$J$1005,SMALL(IF(checklistPesertaKemenkeu!$AY$6:$AY$1005="Direkomendasikan",ROW($6:$1005)-5),529))=""),"",IF(AND(COUNTIF(INDIRECT("K_"&amp;MATCH(INDEX(checklistPesertaKemenkeu!$J$6:$J$1005,SMALL(IF(checklistPesertaKemenkeu!$AY$6:$AY$1005="Direkomendasikan",ROW($6:$1005)-5),529)),BidangList,0)),INDEX(checklistPesertaKemenkeu!$M$6:$M$1005,SMALL(IF(checklistPesertaKemenkeu!$AY$6:$AY$1005="Direkomendasikan",ROW($6:$1005)-5),529)))&gt;0,COUNTIF(INDIRECT("'KERTAS KERJA'!K"&amp;(SMALL(IF(checklistPesertaKemenkeu!$AY$6:$AY$1005="Direkomendasikan",ROW($6:$1005)-5),529)+5)&amp;":O"&amp;(SMALL(IF(checklistPesertaKemenkeu!$AY$6:$AY$1005="Direkomendasikan",ROW($6:$1005)-5),529)+5)),INDEX(checklistPesertaKemenkeu!$M$6:$M$1005,SMALL(IF(checklistPesertaKemenkeu!$AY$6:$AY$1005="Direkomendasikan",ROW($6:$1005)-5),529)))=1),IFERROR(VLOOKUP(INDEX(checklistPesertaKemenkeu!$M$6:$M$1005,SMALL(IF(checklistPesertaKemenkeu!$AY$6:$AY$1005="Direkomendasikan",ROW($6:$1005)-5),529)),KotaKode,2,0),"-"),"")),"")</f>
        <v/>
      </c>
      <c r="J530" t="str">
        <f t="array" aca="1" ref="J530" ca="1">IFERROR(IF(OR(INDEX(checklistPesertaKemenkeu!$N$6:$N$1005,SMALL(IF(checklistPesertaKemenkeu!$AY$6:$AY$1005="Direkomendasikan",ROW($6:$1005)-5),529))="",INDEX(checklistPesertaKemenkeu!$J$6:$J$1005,SMALL(IF(checklistPesertaKemenkeu!$AY$6:$AY$1005="Direkomendasikan",ROW($6:$1005)-5),529))=""),"",IF(AND(COUNTIF(INDIRECT("K_"&amp;MATCH(INDEX(checklistPesertaKemenkeu!$J$6:$J$1005,SMALL(IF(checklistPesertaKemenkeu!$AY$6:$AY$1005="Direkomendasikan",ROW($6:$1005)-5),529)),BidangList,0)),INDEX(checklistPesertaKemenkeu!$N$6:$N$1005,SMALL(IF(checklistPesertaKemenkeu!$AY$6:$AY$1005="Direkomendasikan",ROW($6:$1005)-5),529)))&gt;0,COUNTIF(INDIRECT("'KERTAS KERJA'!K"&amp;(SMALL(IF(checklistPesertaKemenkeu!$AY$6:$AY$1005="Direkomendasikan",ROW($6:$1005)-5),529)+5)&amp;":O"&amp;(SMALL(IF(checklistPesertaKemenkeu!$AY$6:$AY$1005="Direkomendasikan",ROW($6:$1005)-5),529)+5)),INDEX(checklistPesertaKemenkeu!$N$6:$N$1005,SMALL(IF(checklistPesertaKemenkeu!$AY$6:$AY$1005="Direkomendasikan",ROW($6:$1005)-5),529)))=1),IFERROR(VLOOKUP(INDEX(checklistPesertaKemenkeu!$N$6:$N$1005,SMALL(IF(checklistPesertaKemenkeu!$AY$6:$AY$1005="Direkomendasikan",ROW($6:$1005)-5),529)),KotaKode,2,0),"-"),"")),"")</f>
        <v/>
      </c>
      <c r="K530" t="str">
        <f t="array" aca="1" ref="K530" ca="1">IFERROR(IF(OR(INDEX(checklistPesertaKemenkeu!$O$6:$O$1005,SMALL(IF(checklistPesertaKemenkeu!$AY$6:$AY$1005="Direkomendasikan",ROW($6:$1005)-5),529))="",INDEX(checklistPesertaKemenkeu!$J$6:$J$1005,SMALL(IF(checklistPesertaKemenkeu!$AY$6:$AY$1005="Direkomendasikan",ROW($6:$1005)-5),529))=""),"",IF(AND(COUNTIF(INDIRECT("K_"&amp;MATCH(INDEX(checklistPesertaKemenkeu!$J$6:$J$1005,SMALL(IF(checklistPesertaKemenkeu!$AY$6:$AY$1005="Direkomendasikan",ROW($6:$1005)-5),529)),BidangList,0)),INDEX(checklistPesertaKemenkeu!$O$6:$O$1005,SMALL(IF(checklistPesertaKemenkeu!$AY$6:$AY$1005="Direkomendasikan",ROW($6:$1005)-5),529)))&gt;0,COUNTIF(INDIRECT("'KERTAS KERJA'!K"&amp;(SMALL(IF(checklistPesertaKemenkeu!$AY$6:$AY$1005="Direkomendasikan",ROW($6:$1005)-5),529)+5)&amp;":O"&amp;(SMALL(IF(checklistPesertaKemenkeu!$AY$6:$AY$1005="Direkomendasikan",ROW($6:$1005)-5),529)+5)),INDEX(checklistPesertaKemenkeu!$O$6:$O$1005,SMALL(IF(checklistPesertaKemenkeu!$AY$6:$AY$1005="Direkomendasikan",ROW($6:$1005)-5),529)))=1),IFERROR(VLOOKUP(INDEX(checklistPesertaKemenkeu!$O$6:$O$1005,SMALL(IF(checklistPesertaKemenkeu!$AY$6:$AY$1005="Direkomendasikan",ROW($6:$1005)-5),529)),KotaKode,2,0),"-"),"")),"")</f>
        <v/>
      </c>
      <c r="L530" t="str">
        <f t="array" aca="1" ref="L530" ca="1">IFERROR(IF(OR(INDEX(checklistPesertaKemenkeu!$P$6:$P$1005,SMALL(IF(checklistPesertaKemenkeu!$AY$6:$AY$1005="Direkomendasikan",ROW($6:$1005)-5),529))="",INDEX(checklistPesertaKemenkeu!$J$6:$J$1005,SMALL(IF(checklistPesertaKemenkeu!$AY$6:$AY$1005="Direkomendasikan",ROW($6:$1005)-5),529))=""),"",IF(AND(COUNTIF(INDIRECT("K_"&amp;MATCH(INDEX(checklistPesertaKemenkeu!$J$6:$J$1005,SMALL(IF(checklistPesertaKemenkeu!$AY$6:$AY$1005="Direkomendasikan",ROW($6:$1005)-5),529)),BidangList,0)),INDEX(checklistPesertaKemenkeu!$P$6:$P$1005,SMALL(IF(checklistPesertaKemenkeu!$AY$6:$AY$1005="Direkomendasikan",ROW($6:$1005)-5),529)))&gt;0,COUNTIF(INDIRECT("'KERTAS KERJA'!K"&amp;(SMALL(IF(checklistPesertaKemenkeu!$AY$6:$AY$1005="Direkomendasikan",ROW($6:$1005)-5),529)+5)&amp;":O"&amp;(SMALL(IF(checklistPesertaKemenkeu!$AY$6:$AY$1005="Direkomendasikan",ROW($6:$1005)-5),529)+5)),INDEX(checklistPesertaKemenkeu!$P$6:$P$1005,SMALL(IF(checklistPesertaKemenkeu!$AY$6:$AY$1005="Direkomendasikan",ROW($6:$1005)-5),529)))=1),IFERROR(VLOOKUP(INDEX(checklistPesertaKemenkeu!$P$6:$P$1005,SMALL(IF(checklistPesertaKemenkeu!$AY$6:$AY$1005="Direkomendasikan",ROW($6:$1005)-5),529)),KotaKode,2,0),"-"),"")),"")</f>
        <v/>
      </c>
    </row>
    <row r="531" spans="1:12" ht="15" customHeight="1" x14ac:dyDescent="0.2">
      <c r="A531" t="str">
        <f t="shared" si="8"/>
        <v/>
      </c>
      <c r="B531" t="str">
        <v/>
      </c>
      <c r="C531" s="40" t="str">
        <f t="array" ref="C531">IFERROR(INDEX(checklistPesertaKemenkeu!$F$6:$F$1005,SMALL(IF(checklistPesertaKemenkeu!$AY$6:$AY$1005="Direkomendasikan",ROW($6:$1005)-5),530)),"")</f>
        <v/>
      </c>
      <c r="D531" t="str">
        <f t="array" ref="D531">IFERROR(INDEX(checklistPesertaKemenkeu!$G$6:$G$1005,SMALL(IF(checklistPesertaKemenkeu!$AY$6:$AY$1005="Direkomendasikan",ROW($6:$1005)-5),530)),"")</f>
        <v/>
      </c>
      <c r="E531" t="str">
        <f t="array" ref="E531">IFERROR(INDEX(checklistPesertaKemenkeu!$H$6:$H$1005,SMALL(IF(checklistPesertaKemenkeu!$AY$6:$AY$1005="Direkomendasikan",ROW($6:$1005)-5),530)),"")</f>
        <v/>
      </c>
      <c r="F531" t="str">
        <f t="array" ref="F531">IFERROR(INDEX(checklistPesertaKemenkeu!$I$6:$I$1005,SMALL(IF(checklistPesertaKemenkeu!$AY$6:$AY$1005="Direkomendasikan",ROW($6:$1005)-5),530)),"")</f>
        <v/>
      </c>
      <c r="G531" t="str">
        <f t="array" ref="G531">IFERROR(INDEX(checklistPesertaKemenkeu!$J$6:$J$1005,SMALL(IF(checklistPesertaKemenkeu!$AY$6:$AY$1005="Direkomendasikan",ROW($6:$1005)-5),530)),"")</f>
        <v/>
      </c>
      <c r="H531" t="str">
        <f t="array" aca="1" ref="H531" ca="1">IFERROR(IF(OR(INDEX(checklistPesertaKemenkeu!$L$6:$L$1005,SMALL(IF(checklistPesertaKemenkeu!$AY$6:$AY$1005="Direkomendasikan",ROW($6:$1005)-5),530))="",INDEX(checklistPesertaKemenkeu!$J$6:$J$1005,SMALL(IF(checklistPesertaKemenkeu!$AY$6:$AY$1005="Direkomendasikan",ROW($6:$1005)-5),530))=""),"",IF(AND(COUNTIF(INDIRECT("K_"&amp;MATCH(INDEX(checklistPesertaKemenkeu!$J$6:$J$1005,SMALL(IF(checklistPesertaKemenkeu!$AY$6:$AY$1005="Direkomendasikan",ROW($6:$1005)-5),530)),BidangList,0)),INDEX(checklistPesertaKemenkeu!$L$6:$L$1005,SMALL(IF(checklistPesertaKemenkeu!$AY$6:$AY$1005="Direkomendasikan",ROW($6:$1005)-5),530)))&gt;0,COUNTIF(INDIRECT("'KERTAS KERJA'!K"&amp;(SMALL(IF(checklistPesertaKemenkeu!$AY$6:$AY$1005="Direkomendasikan",ROW($6:$1005)-5),530)+5)&amp;":O"&amp;(SMALL(IF(checklistPesertaKemenkeu!$AY$6:$AY$1005="Direkomendasikan",ROW($6:$1005)-5),530)+5)),INDEX(checklistPesertaKemenkeu!$L$6:$L$1005,SMALL(IF(checklistPesertaKemenkeu!$AY$6:$AY$1005="Direkomendasikan",ROW($6:$1005)-5),530)))=1),IFERROR(VLOOKUP(INDEX(checklistPesertaKemenkeu!$L$6:$L$1005,SMALL(IF(checklistPesertaKemenkeu!$AY$6:$AY$1005="Direkomendasikan",ROW($6:$1005)-5),530)),KotaKode,2,0),"-"),"")),"")</f>
        <v/>
      </c>
      <c r="I531" t="str">
        <f t="array" aca="1" ref="I531" ca="1">IFERROR(IF(OR(INDEX(checklistPesertaKemenkeu!$M$6:$M$1005,SMALL(IF(checklistPesertaKemenkeu!$AY$6:$AY$1005="Direkomendasikan",ROW($6:$1005)-5),530))="",INDEX(checklistPesertaKemenkeu!$J$6:$J$1005,SMALL(IF(checklistPesertaKemenkeu!$AY$6:$AY$1005="Direkomendasikan",ROW($6:$1005)-5),530))=""),"",IF(AND(COUNTIF(INDIRECT("K_"&amp;MATCH(INDEX(checklistPesertaKemenkeu!$J$6:$J$1005,SMALL(IF(checklistPesertaKemenkeu!$AY$6:$AY$1005="Direkomendasikan",ROW($6:$1005)-5),530)),BidangList,0)),INDEX(checklistPesertaKemenkeu!$M$6:$M$1005,SMALL(IF(checklistPesertaKemenkeu!$AY$6:$AY$1005="Direkomendasikan",ROW($6:$1005)-5),530)))&gt;0,COUNTIF(INDIRECT("'KERTAS KERJA'!K"&amp;(SMALL(IF(checklistPesertaKemenkeu!$AY$6:$AY$1005="Direkomendasikan",ROW($6:$1005)-5),530)+5)&amp;":O"&amp;(SMALL(IF(checklistPesertaKemenkeu!$AY$6:$AY$1005="Direkomendasikan",ROW($6:$1005)-5),530)+5)),INDEX(checklistPesertaKemenkeu!$M$6:$M$1005,SMALL(IF(checklistPesertaKemenkeu!$AY$6:$AY$1005="Direkomendasikan",ROW($6:$1005)-5),530)))=1),IFERROR(VLOOKUP(INDEX(checklistPesertaKemenkeu!$M$6:$M$1005,SMALL(IF(checklistPesertaKemenkeu!$AY$6:$AY$1005="Direkomendasikan",ROW($6:$1005)-5),530)),KotaKode,2,0),"-"),"")),"")</f>
        <v/>
      </c>
      <c r="J531" t="str">
        <f t="array" aca="1" ref="J531" ca="1">IFERROR(IF(OR(INDEX(checklistPesertaKemenkeu!$N$6:$N$1005,SMALL(IF(checklistPesertaKemenkeu!$AY$6:$AY$1005="Direkomendasikan",ROW($6:$1005)-5),530))="",INDEX(checklistPesertaKemenkeu!$J$6:$J$1005,SMALL(IF(checklistPesertaKemenkeu!$AY$6:$AY$1005="Direkomendasikan",ROW($6:$1005)-5),530))=""),"",IF(AND(COUNTIF(INDIRECT("K_"&amp;MATCH(INDEX(checklistPesertaKemenkeu!$J$6:$J$1005,SMALL(IF(checklistPesertaKemenkeu!$AY$6:$AY$1005="Direkomendasikan",ROW($6:$1005)-5),530)),BidangList,0)),INDEX(checklistPesertaKemenkeu!$N$6:$N$1005,SMALL(IF(checklistPesertaKemenkeu!$AY$6:$AY$1005="Direkomendasikan",ROW($6:$1005)-5),530)))&gt;0,COUNTIF(INDIRECT("'KERTAS KERJA'!K"&amp;(SMALL(IF(checklistPesertaKemenkeu!$AY$6:$AY$1005="Direkomendasikan",ROW($6:$1005)-5),530)+5)&amp;":O"&amp;(SMALL(IF(checklistPesertaKemenkeu!$AY$6:$AY$1005="Direkomendasikan",ROW($6:$1005)-5),530)+5)),INDEX(checklistPesertaKemenkeu!$N$6:$N$1005,SMALL(IF(checklistPesertaKemenkeu!$AY$6:$AY$1005="Direkomendasikan",ROW($6:$1005)-5),530)))=1),IFERROR(VLOOKUP(INDEX(checklistPesertaKemenkeu!$N$6:$N$1005,SMALL(IF(checklistPesertaKemenkeu!$AY$6:$AY$1005="Direkomendasikan",ROW($6:$1005)-5),530)),KotaKode,2,0),"-"),"")),"")</f>
        <v/>
      </c>
      <c r="K531" t="str">
        <f t="array" aca="1" ref="K531" ca="1">IFERROR(IF(OR(INDEX(checklistPesertaKemenkeu!$O$6:$O$1005,SMALL(IF(checklistPesertaKemenkeu!$AY$6:$AY$1005="Direkomendasikan",ROW($6:$1005)-5),530))="",INDEX(checklistPesertaKemenkeu!$J$6:$J$1005,SMALL(IF(checklistPesertaKemenkeu!$AY$6:$AY$1005="Direkomendasikan",ROW($6:$1005)-5),530))=""),"",IF(AND(COUNTIF(INDIRECT("K_"&amp;MATCH(INDEX(checklistPesertaKemenkeu!$J$6:$J$1005,SMALL(IF(checklistPesertaKemenkeu!$AY$6:$AY$1005="Direkomendasikan",ROW($6:$1005)-5),530)),BidangList,0)),INDEX(checklistPesertaKemenkeu!$O$6:$O$1005,SMALL(IF(checklistPesertaKemenkeu!$AY$6:$AY$1005="Direkomendasikan",ROW($6:$1005)-5),530)))&gt;0,COUNTIF(INDIRECT("'KERTAS KERJA'!K"&amp;(SMALL(IF(checklistPesertaKemenkeu!$AY$6:$AY$1005="Direkomendasikan",ROW($6:$1005)-5),530)+5)&amp;":O"&amp;(SMALL(IF(checklistPesertaKemenkeu!$AY$6:$AY$1005="Direkomendasikan",ROW($6:$1005)-5),530)+5)),INDEX(checklistPesertaKemenkeu!$O$6:$O$1005,SMALL(IF(checklistPesertaKemenkeu!$AY$6:$AY$1005="Direkomendasikan",ROW($6:$1005)-5),530)))=1),IFERROR(VLOOKUP(INDEX(checklistPesertaKemenkeu!$O$6:$O$1005,SMALL(IF(checklistPesertaKemenkeu!$AY$6:$AY$1005="Direkomendasikan",ROW($6:$1005)-5),530)),KotaKode,2,0),"-"),"")),"")</f>
        <v/>
      </c>
      <c r="L531" t="str">
        <f t="array" aca="1" ref="L531" ca="1">IFERROR(IF(OR(INDEX(checklistPesertaKemenkeu!$P$6:$P$1005,SMALL(IF(checklistPesertaKemenkeu!$AY$6:$AY$1005="Direkomendasikan",ROW($6:$1005)-5),530))="",INDEX(checklistPesertaKemenkeu!$J$6:$J$1005,SMALL(IF(checklistPesertaKemenkeu!$AY$6:$AY$1005="Direkomendasikan",ROW($6:$1005)-5),530))=""),"",IF(AND(COUNTIF(INDIRECT("K_"&amp;MATCH(INDEX(checklistPesertaKemenkeu!$J$6:$J$1005,SMALL(IF(checklistPesertaKemenkeu!$AY$6:$AY$1005="Direkomendasikan",ROW($6:$1005)-5),530)),BidangList,0)),INDEX(checklistPesertaKemenkeu!$P$6:$P$1005,SMALL(IF(checklistPesertaKemenkeu!$AY$6:$AY$1005="Direkomendasikan",ROW($6:$1005)-5),530)))&gt;0,COUNTIF(INDIRECT("'KERTAS KERJA'!K"&amp;(SMALL(IF(checklistPesertaKemenkeu!$AY$6:$AY$1005="Direkomendasikan",ROW($6:$1005)-5),530)+5)&amp;":O"&amp;(SMALL(IF(checklistPesertaKemenkeu!$AY$6:$AY$1005="Direkomendasikan",ROW($6:$1005)-5),530)+5)),INDEX(checklistPesertaKemenkeu!$P$6:$P$1005,SMALL(IF(checklistPesertaKemenkeu!$AY$6:$AY$1005="Direkomendasikan",ROW($6:$1005)-5),530)))=1),IFERROR(VLOOKUP(INDEX(checklistPesertaKemenkeu!$P$6:$P$1005,SMALL(IF(checklistPesertaKemenkeu!$AY$6:$AY$1005="Direkomendasikan",ROW($6:$1005)-5),530)),KotaKode,2,0),"-"),"")),"")</f>
        <v/>
      </c>
    </row>
    <row r="532" spans="1:12" ht="15" customHeight="1" x14ac:dyDescent="0.2">
      <c r="A532" t="str">
        <f t="shared" si="8"/>
        <v/>
      </c>
      <c r="B532" t="str">
        <v/>
      </c>
      <c r="C532" s="40" t="str">
        <f t="array" ref="C532">IFERROR(INDEX(checklistPesertaKemenkeu!$F$6:$F$1005,SMALL(IF(checklistPesertaKemenkeu!$AY$6:$AY$1005="Direkomendasikan",ROW($6:$1005)-5),531)),"")</f>
        <v/>
      </c>
      <c r="D532" t="str">
        <f t="array" ref="D532">IFERROR(INDEX(checklistPesertaKemenkeu!$G$6:$G$1005,SMALL(IF(checklistPesertaKemenkeu!$AY$6:$AY$1005="Direkomendasikan",ROW($6:$1005)-5),531)),"")</f>
        <v/>
      </c>
      <c r="E532" t="str">
        <f t="array" ref="E532">IFERROR(INDEX(checklistPesertaKemenkeu!$H$6:$H$1005,SMALL(IF(checklistPesertaKemenkeu!$AY$6:$AY$1005="Direkomendasikan",ROW($6:$1005)-5),531)),"")</f>
        <v/>
      </c>
      <c r="F532" t="str">
        <f t="array" ref="F532">IFERROR(INDEX(checklistPesertaKemenkeu!$I$6:$I$1005,SMALL(IF(checklistPesertaKemenkeu!$AY$6:$AY$1005="Direkomendasikan",ROW($6:$1005)-5),531)),"")</f>
        <v/>
      </c>
      <c r="G532" t="str">
        <f t="array" ref="G532">IFERROR(INDEX(checklistPesertaKemenkeu!$J$6:$J$1005,SMALL(IF(checklistPesertaKemenkeu!$AY$6:$AY$1005="Direkomendasikan",ROW($6:$1005)-5),531)),"")</f>
        <v/>
      </c>
      <c r="H532" t="str">
        <f t="array" aca="1" ref="H532" ca="1">IFERROR(IF(OR(INDEX(checklistPesertaKemenkeu!$L$6:$L$1005,SMALL(IF(checklistPesertaKemenkeu!$AY$6:$AY$1005="Direkomendasikan",ROW($6:$1005)-5),531))="",INDEX(checklistPesertaKemenkeu!$J$6:$J$1005,SMALL(IF(checklistPesertaKemenkeu!$AY$6:$AY$1005="Direkomendasikan",ROW($6:$1005)-5),531))=""),"",IF(AND(COUNTIF(INDIRECT("K_"&amp;MATCH(INDEX(checklistPesertaKemenkeu!$J$6:$J$1005,SMALL(IF(checklistPesertaKemenkeu!$AY$6:$AY$1005="Direkomendasikan",ROW($6:$1005)-5),531)),BidangList,0)),INDEX(checklistPesertaKemenkeu!$L$6:$L$1005,SMALL(IF(checklistPesertaKemenkeu!$AY$6:$AY$1005="Direkomendasikan",ROW($6:$1005)-5),531)))&gt;0,COUNTIF(INDIRECT("'KERTAS KERJA'!K"&amp;(SMALL(IF(checklistPesertaKemenkeu!$AY$6:$AY$1005="Direkomendasikan",ROW($6:$1005)-5),531)+5)&amp;":O"&amp;(SMALL(IF(checklistPesertaKemenkeu!$AY$6:$AY$1005="Direkomendasikan",ROW($6:$1005)-5),531)+5)),INDEX(checklistPesertaKemenkeu!$L$6:$L$1005,SMALL(IF(checklistPesertaKemenkeu!$AY$6:$AY$1005="Direkomendasikan",ROW($6:$1005)-5),531)))=1),IFERROR(VLOOKUP(INDEX(checklistPesertaKemenkeu!$L$6:$L$1005,SMALL(IF(checklistPesertaKemenkeu!$AY$6:$AY$1005="Direkomendasikan",ROW($6:$1005)-5),531)),KotaKode,2,0),"-"),"")),"")</f>
        <v/>
      </c>
      <c r="I532" t="str">
        <f t="array" aca="1" ref="I532" ca="1">IFERROR(IF(OR(INDEX(checklistPesertaKemenkeu!$M$6:$M$1005,SMALL(IF(checklistPesertaKemenkeu!$AY$6:$AY$1005="Direkomendasikan",ROW($6:$1005)-5),531))="",INDEX(checklistPesertaKemenkeu!$J$6:$J$1005,SMALL(IF(checklistPesertaKemenkeu!$AY$6:$AY$1005="Direkomendasikan",ROW($6:$1005)-5),531))=""),"",IF(AND(COUNTIF(INDIRECT("K_"&amp;MATCH(INDEX(checklistPesertaKemenkeu!$J$6:$J$1005,SMALL(IF(checklistPesertaKemenkeu!$AY$6:$AY$1005="Direkomendasikan",ROW($6:$1005)-5),531)),BidangList,0)),INDEX(checklistPesertaKemenkeu!$M$6:$M$1005,SMALL(IF(checklistPesertaKemenkeu!$AY$6:$AY$1005="Direkomendasikan",ROW($6:$1005)-5),531)))&gt;0,COUNTIF(INDIRECT("'KERTAS KERJA'!K"&amp;(SMALL(IF(checklistPesertaKemenkeu!$AY$6:$AY$1005="Direkomendasikan",ROW($6:$1005)-5),531)+5)&amp;":O"&amp;(SMALL(IF(checklistPesertaKemenkeu!$AY$6:$AY$1005="Direkomendasikan",ROW($6:$1005)-5),531)+5)),INDEX(checklistPesertaKemenkeu!$M$6:$M$1005,SMALL(IF(checklistPesertaKemenkeu!$AY$6:$AY$1005="Direkomendasikan",ROW($6:$1005)-5),531)))=1),IFERROR(VLOOKUP(INDEX(checklistPesertaKemenkeu!$M$6:$M$1005,SMALL(IF(checklistPesertaKemenkeu!$AY$6:$AY$1005="Direkomendasikan",ROW($6:$1005)-5),531)),KotaKode,2,0),"-"),"")),"")</f>
        <v/>
      </c>
      <c r="J532" t="str">
        <f t="array" aca="1" ref="J532" ca="1">IFERROR(IF(OR(INDEX(checklistPesertaKemenkeu!$N$6:$N$1005,SMALL(IF(checklistPesertaKemenkeu!$AY$6:$AY$1005="Direkomendasikan",ROW($6:$1005)-5),531))="",INDEX(checklistPesertaKemenkeu!$J$6:$J$1005,SMALL(IF(checklistPesertaKemenkeu!$AY$6:$AY$1005="Direkomendasikan",ROW($6:$1005)-5),531))=""),"",IF(AND(COUNTIF(INDIRECT("K_"&amp;MATCH(INDEX(checklistPesertaKemenkeu!$J$6:$J$1005,SMALL(IF(checklistPesertaKemenkeu!$AY$6:$AY$1005="Direkomendasikan",ROW($6:$1005)-5),531)),BidangList,0)),INDEX(checklistPesertaKemenkeu!$N$6:$N$1005,SMALL(IF(checklistPesertaKemenkeu!$AY$6:$AY$1005="Direkomendasikan",ROW($6:$1005)-5),531)))&gt;0,COUNTIF(INDIRECT("'KERTAS KERJA'!K"&amp;(SMALL(IF(checklistPesertaKemenkeu!$AY$6:$AY$1005="Direkomendasikan",ROW($6:$1005)-5),531)+5)&amp;":O"&amp;(SMALL(IF(checklistPesertaKemenkeu!$AY$6:$AY$1005="Direkomendasikan",ROW($6:$1005)-5),531)+5)),INDEX(checklistPesertaKemenkeu!$N$6:$N$1005,SMALL(IF(checklistPesertaKemenkeu!$AY$6:$AY$1005="Direkomendasikan",ROW($6:$1005)-5),531)))=1),IFERROR(VLOOKUP(INDEX(checklistPesertaKemenkeu!$N$6:$N$1005,SMALL(IF(checklistPesertaKemenkeu!$AY$6:$AY$1005="Direkomendasikan",ROW($6:$1005)-5),531)),KotaKode,2,0),"-"),"")),"")</f>
        <v/>
      </c>
      <c r="K532" t="str">
        <f t="array" aca="1" ref="K532" ca="1">IFERROR(IF(OR(INDEX(checklistPesertaKemenkeu!$O$6:$O$1005,SMALL(IF(checklistPesertaKemenkeu!$AY$6:$AY$1005="Direkomendasikan",ROW($6:$1005)-5),531))="",INDEX(checklistPesertaKemenkeu!$J$6:$J$1005,SMALL(IF(checklistPesertaKemenkeu!$AY$6:$AY$1005="Direkomendasikan",ROW($6:$1005)-5),531))=""),"",IF(AND(COUNTIF(INDIRECT("K_"&amp;MATCH(INDEX(checklistPesertaKemenkeu!$J$6:$J$1005,SMALL(IF(checklistPesertaKemenkeu!$AY$6:$AY$1005="Direkomendasikan",ROW($6:$1005)-5),531)),BidangList,0)),INDEX(checklistPesertaKemenkeu!$O$6:$O$1005,SMALL(IF(checklistPesertaKemenkeu!$AY$6:$AY$1005="Direkomendasikan",ROW($6:$1005)-5),531)))&gt;0,COUNTIF(INDIRECT("'KERTAS KERJA'!K"&amp;(SMALL(IF(checklistPesertaKemenkeu!$AY$6:$AY$1005="Direkomendasikan",ROW($6:$1005)-5),531)+5)&amp;":O"&amp;(SMALL(IF(checklistPesertaKemenkeu!$AY$6:$AY$1005="Direkomendasikan",ROW($6:$1005)-5),531)+5)),INDEX(checklistPesertaKemenkeu!$O$6:$O$1005,SMALL(IF(checklistPesertaKemenkeu!$AY$6:$AY$1005="Direkomendasikan",ROW($6:$1005)-5),531)))=1),IFERROR(VLOOKUP(INDEX(checklistPesertaKemenkeu!$O$6:$O$1005,SMALL(IF(checklistPesertaKemenkeu!$AY$6:$AY$1005="Direkomendasikan",ROW($6:$1005)-5),531)),KotaKode,2,0),"-"),"")),"")</f>
        <v/>
      </c>
      <c r="L532" t="str">
        <f t="array" aca="1" ref="L532" ca="1">IFERROR(IF(OR(INDEX(checklistPesertaKemenkeu!$P$6:$P$1005,SMALL(IF(checklistPesertaKemenkeu!$AY$6:$AY$1005="Direkomendasikan",ROW($6:$1005)-5),531))="",INDEX(checklistPesertaKemenkeu!$J$6:$J$1005,SMALL(IF(checklistPesertaKemenkeu!$AY$6:$AY$1005="Direkomendasikan",ROW($6:$1005)-5),531))=""),"",IF(AND(COUNTIF(INDIRECT("K_"&amp;MATCH(INDEX(checklistPesertaKemenkeu!$J$6:$J$1005,SMALL(IF(checklistPesertaKemenkeu!$AY$6:$AY$1005="Direkomendasikan",ROW($6:$1005)-5),531)),BidangList,0)),INDEX(checklistPesertaKemenkeu!$P$6:$P$1005,SMALL(IF(checklistPesertaKemenkeu!$AY$6:$AY$1005="Direkomendasikan",ROW($6:$1005)-5),531)))&gt;0,COUNTIF(INDIRECT("'KERTAS KERJA'!K"&amp;(SMALL(IF(checklistPesertaKemenkeu!$AY$6:$AY$1005="Direkomendasikan",ROW($6:$1005)-5),531)+5)&amp;":O"&amp;(SMALL(IF(checklistPesertaKemenkeu!$AY$6:$AY$1005="Direkomendasikan",ROW($6:$1005)-5),531)+5)),INDEX(checklistPesertaKemenkeu!$P$6:$P$1005,SMALL(IF(checklistPesertaKemenkeu!$AY$6:$AY$1005="Direkomendasikan",ROW($6:$1005)-5),531)))=1),IFERROR(VLOOKUP(INDEX(checklistPesertaKemenkeu!$P$6:$P$1005,SMALL(IF(checklistPesertaKemenkeu!$AY$6:$AY$1005="Direkomendasikan",ROW($6:$1005)-5),531)),KotaKode,2,0),"-"),"")),"")</f>
        <v/>
      </c>
    </row>
    <row r="533" spans="1:12" ht="15" customHeight="1" x14ac:dyDescent="0.2">
      <c r="A533" t="str">
        <f t="shared" si="8"/>
        <v/>
      </c>
      <c r="B533" t="str">
        <v/>
      </c>
      <c r="C533" s="40" t="str">
        <f t="array" ref="C533">IFERROR(INDEX(checklistPesertaKemenkeu!$F$6:$F$1005,SMALL(IF(checklistPesertaKemenkeu!$AY$6:$AY$1005="Direkomendasikan",ROW($6:$1005)-5),532)),"")</f>
        <v/>
      </c>
      <c r="D533" t="str">
        <f t="array" ref="D533">IFERROR(INDEX(checklistPesertaKemenkeu!$G$6:$G$1005,SMALL(IF(checklistPesertaKemenkeu!$AY$6:$AY$1005="Direkomendasikan",ROW($6:$1005)-5),532)),"")</f>
        <v/>
      </c>
      <c r="E533" t="str">
        <f t="array" ref="E533">IFERROR(INDEX(checklistPesertaKemenkeu!$H$6:$H$1005,SMALL(IF(checklistPesertaKemenkeu!$AY$6:$AY$1005="Direkomendasikan",ROW($6:$1005)-5),532)),"")</f>
        <v/>
      </c>
      <c r="F533" t="str">
        <f t="array" ref="F533">IFERROR(INDEX(checklistPesertaKemenkeu!$I$6:$I$1005,SMALL(IF(checklistPesertaKemenkeu!$AY$6:$AY$1005="Direkomendasikan",ROW($6:$1005)-5),532)),"")</f>
        <v/>
      </c>
      <c r="G533" t="str">
        <f t="array" ref="G533">IFERROR(INDEX(checklistPesertaKemenkeu!$J$6:$J$1005,SMALL(IF(checklistPesertaKemenkeu!$AY$6:$AY$1005="Direkomendasikan",ROW($6:$1005)-5),532)),"")</f>
        <v/>
      </c>
      <c r="H533" t="str">
        <f t="array" aca="1" ref="H533" ca="1">IFERROR(IF(OR(INDEX(checklistPesertaKemenkeu!$L$6:$L$1005,SMALL(IF(checklistPesertaKemenkeu!$AY$6:$AY$1005="Direkomendasikan",ROW($6:$1005)-5),532))="",INDEX(checklistPesertaKemenkeu!$J$6:$J$1005,SMALL(IF(checklistPesertaKemenkeu!$AY$6:$AY$1005="Direkomendasikan",ROW($6:$1005)-5),532))=""),"",IF(AND(COUNTIF(INDIRECT("K_"&amp;MATCH(INDEX(checklistPesertaKemenkeu!$J$6:$J$1005,SMALL(IF(checklistPesertaKemenkeu!$AY$6:$AY$1005="Direkomendasikan",ROW($6:$1005)-5),532)),BidangList,0)),INDEX(checklistPesertaKemenkeu!$L$6:$L$1005,SMALL(IF(checklistPesertaKemenkeu!$AY$6:$AY$1005="Direkomendasikan",ROW($6:$1005)-5),532)))&gt;0,COUNTIF(INDIRECT("'KERTAS KERJA'!K"&amp;(SMALL(IF(checklistPesertaKemenkeu!$AY$6:$AY$1005="Direkomendasikan",ROW($6:$1005)-5),532)+5)&amp;":O"&amp;(SMALL(IF(checklistPesertaKemenkeu!$AY$6:$AY$1005="Direkomendasikan",ROW($6:$1005)-5),532)+5)),INDEX(checklistPesertaKemenkeu!$L$6:$L$1005,SMALL(IF(checklistPesertaKemenkeu!$AY$6:$AY$1005="Direkomendasikan",ROW($6:$1005)-5),532)))=1),IFERROR(VLOOKUP(INDEX(checklistPesertaKemenkeu!$L$6:$L$1005,SMALL(IF(checklistPesertaKemenkeu!$AY$6:$AY$1005="Direkomendasikan",ROW($6:$1005)-5),532)),KotaKode,2,0),"-"),"")),"")</f>
        <v/>
      </c>
      <c r="I533" t="str">
        <f t="array" aca="1" ref="I533" ca="1">IFERROR(IF(OR(INDEX(checklistPesertaKemenkeu!$M$6:$M$1005,SMALL(IF(checklistPesertaKemenkeu!$AY$6:$AY$1005="Direkomendasikan",ROW($6:$1005)-5),532))="",INDEX(checklistPesertaKemenkeu!$J$6:$J$1005,SMALL(IF(checklistPesertaKemenkeu!$AY$6:$AY$1005="Direkomendasikan",ROW($6:$1005)-5),532))=""),"",IF(AND(COUNTIF(INDIRECT("K_"&amp;MATCH(INDEX(checklistPesertaKemenkeu!$J$6:$J$1005,SMALL(IF(checklistPesertaKemenkeu!$AY$6:$AY$1005="Direkomendasikan",ROW($6:$1005)-5),532)),BidangList,0)),INDEX(checklistPesertaKemenkeu!$M$6:$M$1005,SMALL(IF(checklistPesertaKemenkeu!$AY$6:$AY$1005="Direkomendasikan",ROW($6:$1005)-5),532)))&gt;0,COUNTIF(INDIRECT("'KERTAS KERJA'!K"&amp;(SMALL(IF(checklistPesertaKemenkeu!$AY$6:$AY$1005="Direkomendasikan",ROW($6:$1005)-5),532)+5)&amp;":O"&amp;(SMALL(IF(checklistPesertaKemenkeu!$AY$6:$AY$1005="Direkomendasikan",ROW($6:$1005)-5),532)+5)),INDEX(checklistPesertaKemenkeu!$M$6:$M$1005,SMALL(IF(checklistPesertaKemenkeu!$AY$6:$AY$1005="Direkomendasikan",ROW($6:$1005)-5),532)))=1),IFERROR(VLOOKUP(INDEX(checklistPesertaKemenkeu!$M$6:$M$1005,SMALL(IF(checklistPesertaKemenkeu!$AY$6:$AY$1005="Direkomendasikan",ROW($6:$1005)-5),532)),KotaKode,2,0),"-"),"")),"")</f>
        <v/>
      </c>
      <c r="J533" t="str">
        <f t="array" aca="1" ref="J533" ca="1">IFERROR(IF(OR(INDEX(checklistPesertaKemenkeu!$N$6:$N$1005,SMALL(IF(checklistPesertaKemenkeu!$AY$6:$AY$1005="Direkomendasikan",ROW($6:$1005)-5),532))="",INDEX(checklistPesertaKemenkeu!$J$6:$J$1005,SMALL(IF(checklistPesertaKemenkeu!$AY$6:$AY$1005="Direkomendasikan",ROW($6:$1005)-5),532))=""),"",IF(AND(COUNTIF(INDIRECT("K_"&amp;MATCH(INDEX(checklistPesertaKemenkeu!$J$6:$J$1005,SMALL(IF(checklistPesertaKemenkeu!$AY$6:$AY$1005="Direkomendasikan",ROW($6:$1005)-5),532)),BidangList,0)),INDEX(checklistPesertaKemenkeu!$N$6:$N$1005,SMALL(IF(checklistPesertaKemenkeu!$AY$6:$AY$1005="Direkomendasikan",ROW($6:$1005)-5),532)))&gt;0,COUNTIF(INDIRECT("'KERTAS KERJA'!K"&amp;(SMALL(IF(checklistPesertaKemenkeu!$AY$6:$AY$1005="Direkomendasikan",ROW($6:$1005)-5),532)+5)&amp;":O"&amp;(SMALL(IF(checklistPesertaKemenkeu!$AY$6:$AY$1005="Direkomendasikan",ROW($6:$1005)-5),532)+5)),INDEX(checklistPesertaKemenkeu!$N$6:$N$1005,SMALL(IF(checklistPesertaKemenkeu!$AY$6:$AY$1005="Direkomendasikan",ROW($6:$1005)-5),532)))=1),IFERROR(VLOOKUP(INDEX(checklistPesertaKemenkeu!$N$6:$N$1005,SMALL(IF(checklistPesertaKemenkeu!$AY$6:$AY$1005="Direkomendasikan",ROW($6:$1005)-5),532)),KotaKode,2,0),"-"),"")),"")</f>
        <v/>
      </c>
      <c r="K533" t="str">
        <f t="array" aca="1" ref="K533" ca="1">IFERROR(IF(OR(INDEX(checklistPesertaKemenkeu!$O$6:$O$1005,SMALL(IF(checklistPesertaKemenkeu!$AY$6:$AY$1005="Direkomendasikan",ROW($6:$1005)-5),532))="",INDEX(checklistPesertaKemenkeu!$J$6:$J$1005,SMALL(IF(checklistPesertaKemenkeu!$AY$6:$AY$1005="Direkomendasikan",ROW($6:$1005)-5),532))=""),"",IF(AND(COUNTIF(INDIRECT("K_"&amp;MATCH(INDEX(checklistPesertaKemenkeu!$J$6:$J$1005,SMALL(IF(checklistPesertaKemenkeu!$AY$6:$AY$1005="Direkomendasikan",ROW($6:$1005)-5),532)),BidangList,0)),INDEX(checklistPesertaKemenkeu!$O$6:$O$1005,SMALL(IF(checklistPesertaKemenkeu!$AY$6:$AY$1005="Direkomendasikan",ROW($6:$1005)-5),532)))&gt;0,COUNTIF(INDIRECT("'KERTAS KERJA'!K"&amp;(SMALL(IF(checklistPesertaKemenkeu!$AY$6:$AY$1005="Direkomendasikan",ROW($6:$1005)-5),532)+5)&amp;":O"&amp;(SMALL(IF(checklistPesertaKemenkeu!$AY$6:$AY$1005="Direkomendasikan",ROW($6:$1005)-5),532)+5)),INDEX(checklistPesertaKemenkeu!$O$6:$O$1005,SMALL(IF(checklistPesertaKemenkeu!$AY$6:$AY$1005="Direkomendasikan",ROW($6:$1005)-5),532)))=1),IFERROR(VLOOKUP(INDEX(checklistPesertaKemenkeu!$O$6:$O$1005,SMALL(IF(checklistPesertaKemenkeu!$AY$6:$AY$1005="Direkomendasikan",ROW($6:$1005)-5),532)),KotaKode,2,0),"-"),"")),"")</f>
        <v/>
      </c>
      <c r="L533" t="str">
        <f t="array" aca="1" ref="L533" ca="1">IFERROR(IF(OR(INDEX(checklistPesertaKemenkeu!$P$6:$P$1005,SMALL(IF(checklistPesertaKemenkeu!$AY$6:$AY$1005="Direkomendasikan",ROW($6:$1005)-5),532))="",INDEX(checklistPesertaKemenkeu!$J$6:$J$1005,SMALL(IF(checklistPesertaKemenkeu!$AY$6:$AY$1005="Direkomendasikan",ROW($6:$1005)-5),532))=""),"",IF(AND(COUNTIF(INDIRECT("K_"&amp;MATCH(INDEX(checklistPesertaKemenkeu!$J$6:$J$1005,SMALL(IF(checklistPesertaKemenkeu!$AY$6:$AY$1005="Direkomendasikan",ROW($6:$1005)-5),532)),BidangList,0)),INDEX(checklistPesertaKemenkeu!$P$6:$P$1005,SMALL(IF(checklistPesertaKemenkeu!$AY$6:$AY$1005="Direkomendasikan",ROW($6:$1005)-5),532)))&gt;0,COUNTIF(INDIRECT("'KERTAS KERJA'!K"&amp;(SMALL(IF(checklistPesertaKemenkeu!$AY$6:$AY$1005="Direkomendasikan",ROW($6:$1005)-5),532)+5)&amp;":O"&amp;(SMALL(IF(checklistPesertaKemenkeu!$AY$6:$AY$1005="Direkomendasikan",ROW($6:$1005)-5),532)+5)),INDEX(checklistPesertaKemenkeu!$P$6:$P$1005,SMALL(IF(checklistPesertaKemenkeu!$AY$6:$AY$1005="Direkomendasikan",ROW($6:$1005)-5),532)))=1),IFERROR(VLOOKUP(INDEX(checklistPesertaKemenkeu!$P$6:$P$1005,SMALL(IF(checklistPesertaKemenkeu!$AY$6:$AY$1005="Direkomendasikan",ROW($6:$1005)-5),532)),KotaKode,2,0),"-"),"")),"")</f>
        <v/>
      </c>
    </row>
    <row r="534" spans="1:12" ht="15" customHeight="1" x14ac:dyDescent="0.2">
      <c r="A534" t="str">
        <f t="shared" si="8"/>
        <v/>
      </c>
      <c r="B534" t="str">
        <v/>
      </c>
      <c r="C534" s="40" t="str">
        <f t="array" ref="C534">IFERROR(INDEX(checklistPesertaKemenkeu!$F$6:$F$1005,SMALL(IF(checklistPesertaKemenkeu!$AY$6:$AY$1005="Direkomendasikan",ROW($6:$1005)-5),533)),"")</f>
        <v/>
      </c>
      <c r="D534" t="str">
        <f t="array" ref="D534">IFERROR(INDEX(checklistPesertaKemenkeu!$G$6:$G$1005,SMALL(IF(checklistPesertaKemenkeu!$AY$6:$AY$1005="Direkomendasikan",ROW($6:$1005)-5),533)),"")</f>
        <v/>
      </c>
      <c r="E534" t="str">
        <f t="array" ref="E534">IFERROR(INDEX(checklistPesertaKemenkeu!$H$6:$H$1005,SMALL(IF(checklistPesertaKemenkeu!$AY$6:$AY$1005="Direkomendasikan",ROW($6:$1005)-5),533)),"")</f>
        <v/>
      </c>
      <c r="F534" t="str">
        <f t="array" ref="F534">IFERROR(INDEX(checklistPesertaKemenkeu!$I$6:$I$1005,SMALL(IF(checklistPesertaKemenkeu!$AY$6:$AY$1005="Direkomendasikan",ROW($6:$1005)-5),533)),"")</f>
        <v/>
      </c>
      <c r="G534" t="str">
        <f t="array" ref="G534">IFERROR(INDEX(checklistPesertaKemenkeu!$J$6:$J$1005,SMALL(IF(checklistPesertaKemenkeu!$AY$6:$AY$1005="Direkomendasikan",ROW($6:$1005)-5),533)),"")</f>
        <v/>
      </c>
      <c r="H534" t="str">
        <f t="array" aca="1" ref="H534" ca="1">IFERROR(IF(OR(INDEX(checklistPesertaKemenkeu!$L$6:$L$1005,SMALL(IF(checklistPesertaKemenkeu!$AY$6:$AY$1005="Direkomendasikan",ROW($6:$1005)-5),533))="",INDEX(checklistPesertaKemenkeu!$J$6:$J$1005,SMALL(IF(checklistPesertaKemenkeu!$AY$6:$AY$1005="Direkomendasikan",ROW($6:$1005)-5),533))=""),"",IF(AND(COUNTIF(INDIRECT("K_"&amp;MATCH(INDEX(checklistPesertaKemenkeu!$J$6:$J$1005,SMALL(IF(checklistPesertaKemenkeu!$AY$6:$AY$1005="Direkomendasikan",ROW($6:$1005)-5),533)),BidangList,0)),INDEX(checklistPesertaKemenkeu!$L$6:$L$1005,SMALL(IF(checklistPesertaKemenkeu!$AY$6:$AY$1005="Direkomendasikan",ROW($6:$1005)-5),533)))&gt;0,COUNTIF(INDIRECT("'KERTAS KERJA'!K"&amp;(SMALL(IF(checklistPesertaKemenkeu!$AY$6:$AY$1005="Direkomendasikan",ROW($6:$1005)-5),533)+5)&amp;":O"&amp;(SMALL(IF(checklistPesertaKemenkeu!$AY$6:$AY$1005="Direkomendasikan",ROW($6:$1005)-5),533)+5)),INDEX(checklistPesertaKemenkeu!$L$6:$L$1005,SMALL(IF(checklistPesertaKemenkeu!$AY$6:$AY$1005="Direkomendasikan",ROW($6:$1005)-5),533)))=1),IFERROR(VLOOKUP(INDEX(checklistPesertaKemenkeu!$L$6:$L$1005,SMALL(IF(checklistPesertaKemenkeu!$AY$6:$AY$1005="Direkomendasikan",ROW($6:$1005)-5),533)),KotaKode,2,0),"-"),"")),"")</f>
        <v/>
      </c>
      <c r="I534" t="str">
        <f t="array" aca="1" ref="I534" ca="1">IFERROR(IF(OR(INDEX(checklistPesertaKemenkeu!$M$6:$M$1005,SMALL(IF(checklistPesertaKemenkeu!$AY$6:$AY$1005="Direkomendasikan",ROW($6:$1005)-5),533))="",INDEX(checklistPesertaKemenkeu!$J$6:$J$1005,SMALL(IF(checklistPesertaKemenkeu!$AY$6:$AY$1005="Direkomendasikan",ROW($6:$1005)-5),533))=""),"",IF(AND(COUNTIF(INDIRECT("K_"&amp;MATCH(INDEX(checklistPesertaKemenkeu!$J$6:$J$1005,SMALL(IF(checklistPesertaKemenkeu!$AY$6:$AY$1005="Direkomendasikan",ROW($6:$1005)-5),533)),BidangList,0)),INDEX(checklistPesertaKemenkeu!$M$6:$M$1005,SMALL(IF(checklistPesertaKemenkeu!$AY$6:$AY$1005="Direkomendasikan",ROW($6:$1005)-5),533)))&gt;0,COUNTIF(INDIRECT("'KERTAS KERJA'!K"&amp;(SMALL(IF(checklistPesertaKemenkeu!$AY$6:$AY$1005="Direkomendasikan",ROW($6:$1005)-5),533)+5)&amp;":O"&amp;(SMALL(IF(checklistPesertaKemenkeu!$AY$6:$AY$1005="Direkomendasikan",ROW($6:$1005)-5),533)+5)),INDEX(checklistPesertaKemenkeu!$M$6:$M$1005,SMALL(IF(checklistPesertaKemenkeu!$AY$6:$AY$1005="Direkomendasikan",ROW($6:$1005)-5),533)))=1),IFERROR(VLOOKUP(INDEX(checklistPesertaKemenkeu!$M$6:$M$1005,SMALL(IF(checklistPesertaKemenkeu!$AY$6:$AY$1005="Direkomendasikan",ROW($6:$1005)-5),533)),KotaKode,2,0),"-"),"")),"")</f>
        <v/>
      </c>
      <c r="J534" t="str">
        <f t="array" aca="1" ref="J534" ca="1">IFERROR(IF(OR(INDEX(checklistPesertaKemenkeu!$N$6:$N$1005,SMALL(IF(checklistPesertaKemenkeu!$AY$6:$AY$1005="Direkomendasikan",ROW($6:$1005)-5),533))="",INDEX(checklistPesertaKemenkeu!$J$6:$J$1005,SMALL(IF(checklistPesertaKemenkeu!$AY$6:$AY$1005="Direkomendasikan",ROW($6:$1005)-5),533))=""),"",IF(AND(COUNTIF(INDIRECT("K_"&amp;MATCH(INDEX(checklistPesertaKemenkeu!$J$6:$J$1005,SMALL(IF(checklistPesertaKemenkeu!$AY$6:$AY$1005="Direkomendasikan",ROW($6:$1005)-5),533)),BidangList,0)),INDEX(checklistPesertaKemenkeu!$N$6:$N$1005,SMALL(IF(checklistPesertaKemenkeu!$AY$6:$AY$1005="Direkomendasikan",ROW($6:$1005)-5),533)))&gt;0,COUNTIF(INDIRECT("'KERTAS KERJA'!K"&amp;(SMALL(IF(checklistPesertaKemenkeu!$AY$6:$AY$1005="Direkomendasikan",ROW($6:$1005)-5),533)+5)&amp;":O"&amp;(SMALL(IF(checklistPesertaKemenkeu!$AY$6:$AY$1005="Direkomendasikan",ROW($6:$1005)-5),533)+5)),INDEX(checklistPesertaKemenkeu!$N$6:$N$1005,SMALL(IF(checklistPesertaKemenkeu!$AY$6:$AY$1005="Direkomendasikan",ROW($6:$1005)-5),533)))=1),IFERROR(VLOOKUP(INDEX(checklistPesertaKemenkeu!$N$6:$N$1005,SMALL(IF(checklistPesertaKemenkeu!$AY$6:$AY$1005="Direkomendasikan",ROW($6:$1005)-5),533)),KotaKode,2,0),"-"),"")),"")</f>
        <v/>
      </c>
      <c r="K534" t="str">
        <f t="array" aca="1" ref="K534" ca="1">IFERROR(IF(OR(INDEX(checklistPesertaKemenkeu!$O$6:$O$1005,SMALL(IF(checklistPesertaKemenkeu!$AY$6:$AY$1005="Direkomendasikan",ROW($6:$1005)-5),533))="",INDEX(checklistPesertaKemenkeu!$J$6:$J$1005,SMALL(IF(checklistPesertaKemenkeu!$AY$6:$AY$1005="Direkomendasikan",ROW($6:$1005)-5),533))=""),"",IF(AND(COUNTIF(INDIRECT("K_"&amp;MATCH(INDEX(checklistPesertaKemenkeu!$J$6:$J$1005,SMALL(IF(checklistPesertaKemenkeu!$AY$6:$AY$1005="Direkomendasikan",ROW($6:$1005)-5),533)),BidangList,0)),INDEX(checklistPesertaKemenkeu!$O$6:$O$1005,SMALL(IF(checklistPesertaKemenkeu!$AY$6:$AY$1005="Direkomendasikan",ROW($6:$1005)-5),533)))&gt;0,COUNTIF(INDIRECT("'KERTAS KERJA'!K"&amp;(SMALL(IF(checklistPesertaKemenkeu!$AY$6:$AY$1005="Direkomendasikan",ROW($6:$1005)-5),533)+5)&amp;":O"&amp;(SMALL(IF(checklistPesertaKemenkeu!$AY$6:$AY$1005="Direkomendasikan",ROW($6:$1005)-5),533)+5)),INDEX(checklistPesertaKemenkeu!$O$6:$O$1005,SMALL(IF(checklistPesertaKemenkeu!$AY$6:$AY$1005="Direkomendasikan",ROW($6:$1005)-5),533)))=1),IFERROR(VLOOKUP(INDEX(checklistPesertaKemenkeu!$O$6:$O$1005,SMALL(IF(checklistPesertaKemenkeu!$AY$6:$AY$1005="Direkomendasikan",ROW($6:$1005)-5),533)),KotaKode,2,0),"-"),"")),"")</f>
        <v/>
      </c>
      <c r="L534" t="str">
        <f t="array" aca="1" ref="L534" ca="1">IFERROR(IF(OR(INDEX(checklistPesertaKemenkeu!$P$6:$P$1005,SMALL(IF(checklistPesertaKemenkeu!$AY$6:$AY$1005="Direkomendasikan",ROW($6:$1005)-5),533))="",INDEX(checklistPesertaKemenkeu!$J$6:$J$1005,SMALL(IF(checklistPesertaKemenkeu!$AY$6:$AY$1005="Direkomendasikan",ROW($6:$1005)-5),533))=""),"",IF(AND(COUNTIF(INDIRECT("K_"&amp;MATCH(INDEX(checklistPesertaKemenkeu!$J$6:$J$1005,SMALL(IF(checklistPesertaKemenkeu!$AY$6:$AY$1005="Direkomendasikan",ROW($6:$1005)-5),533)),BidangList,0)),INDEX(checklistPesertaKemenkeu!$P$6:$P$1005,SMALL(IF(checklistPesertaKemenkeu!$AY$6:$AY$1005="Direkomendasikan",ROW($6:$1005)-5),533)))&gt;0,COUNTIF(INDIRECT("'KERTAS KERJA'!K"&amp;(SMALL(IF(checklistPesertaKemenkeu!$AY$6:$AY$1005="Direkomendasikan",ROW($6:$1005)-5),533)+5)&amp;":O"&amp;(SMALL(IF(checklistPesertaKemenkeu!$AY$6:$AY$1005="Direkomendasikan",ROW($6:$1005)-5),533)+5)),INDEX(checklistPesertaKemenkeu!$P$6:$P$1005,SMALL(IF(checklistPesertaKemenkeu!$AY$6:$AY$1005="Direkomendasikan",ROW($6:$1005)-5),533)))=1),IFERROR(VLOOKUP(INDEX(checklistPesertaKemenkeu!$P$6:$P$1005,SMALL(IF(checklistPesertaKemenkeu!$AY$6:$AY$1005="Direkomendasikan",ROW($6:$1005)-5),533)),KotaKode,2,0),"-"),"")),"")</f>
        <v/>
      </c>
    </row>
    <row r="535" spans="1:12" ht="15" customHeight="1" x14ac:dyDescent="0.2">
      <c r="A535" t="str">
        <f t="shared" si="8"/>
        <v/>
      </c>
      <c r="B535" t="str">
        <v/>
      </c>
      <c r="C535" s="40" t="str">
        <f t="array" ref="C535">IFERROR(INDEX(checklistPesertaKemenkeu!$F$6:$F$1005,SMALL(IF(checklistPesertaKemenkeu!$AY$6:$AY$1005="Direkomendasikan",ROW($6:$1005)-5),534)),"")</f>
        <v/>
      </c>
      <c r="D535" t="str">
        <f t="array" ref="D535">IFERROR(INDEX(checklistPesertaKemenkeu!$G$6:$G$1005,SMALL(IF(checklistPesertaKemenkeu!$AY$6:$AY$1005="Direkomendasikan",ROW($6:$1005)-5),534)),"")</f>
        <v/>
      </c>
      <c r="E535" t="str">
        <f t="array" ref="E535">IFERROR(INDEX(checklistPesertaKemenkeu!$H$6:$H$1005,SMALL(IF(checklistPesertaKemenkeu!$AY$6:$AY$1005="Direkomendasikan",ROW($6:$1005)-5),534)),"")</f>
        <v/>
      </c>
      <c r="F535" t="str">
        <f t="array" ref="F535">IFERROR(INDEX(checklistPesertaKemenkeu!$I$6:$I$1005,SMALL(IF(checklistPesertaKemenkeu!$AY$6:$AY$1005="Direkomendasikan",ROW($6:$1005)-5),534)),"")</f>
        <v/>
      </c>
      <c r="G535" t="str">
        <f t="array" ref="G535">IFERROR(INDEX(checklistPesertaKemenkeu!$J$6:$J$1005,SMALL(IF(checklistPesertaKemenkeu!$AY$6:$AY$1005="Direkomendasikan",ROW($6:$1005)-5),534)),"")</f>
        <v/>
      </c>
      <c r="H535" t="str">
        <f t="array" aca="1" ref="H535" ca="1">IFERROR(IF(OR(INDEX(checklistPesertaKemenkeu!$L$6:$L$1005,SMALL(IF(checklistPesertaKemenkeu!$AY$6:$AY$1005="Direkomendasikan",ROW($6:$1005)-5),534))="",INDEX(checklistPesertaKemenkeu!$J$6:$J$1005,SMALL(IF(checklistPesertaKemenkeu!$AY$6:$AY$1005="Direkomendasikan",ROW($6:$1005)-5),534))=""),"",IF(AND(COUNTIF(INDIRECT("K_"&amp;MATCH(INDEX(checklistPesertaKemenkeu!$J$6:$J$1005,SMALL(IF(checklistPesertaKemenkeu!$AY$6:$AY$1005="Direkomendasikan",ROW($6:$1005)-5),534)),BidangList,0)),INDEX(checklistPesertaKemenkeu!$L$6:$L$1005,SMALL(IF(checklistPesertaKemenkeu!$AY$6:$AY$1005="Direkomendasikan",ROW($6:$1005)-5),534)))&gt;0,COUNTIF(INDIRECT("'KERTAS KERJA'!K"&amp;(SMALL(IF(checklistPesertaKemenkeu!$AY$6:$AY$1005="Direkomendasikan",ROW($6:$1005)-5),534)+5)&amp;":O"&amp;(SMALL(IF(checklistPesertaKemenkeu!$AY$6:$AY$1005="Direkomendasikan",ROW($6:$1005)-5),534)+5)),INDEX(checklistPesertaKemenkeu!$L$6:$L$1005,SMALL(IF(checklistPesertaKemenkeu!$AY$6:$AY$1005="Direkomendasikan",ROW($6:$1005)-5),534)))=1),IFERROR(VLOOKUP(INDEX(checklistPesertaKemenkeu!$L$6:$L$1005,SMALL(IF(checklistPesertaKemenkeu!$AY$6:$AY$1005="Direkomendasikan",ROW($6:$1005)-5),534)),KotaKode,2,0),"-"),"")),"")</f>
        <v/>
      </c>
      <c r="I535" t="str">
        <f t="array" aca="1" ref="I535" ca="1">IFERROR(IF(OR(INDEX(checklistPesertaKemenkeu!$M$6:$M$1005,SMALL(IF(checklistPesertaKemenkeu!$AY$6:$AY$1005="Direkomendasikan",ROW($6:$1005)-5),534))="",INDEX(checklistPesertaKemenkeu!$J$6:$J$1005,SMALL(IF(checklistPesertaKemenkeu!$AY$6:$AY$1005="Direkomendasikan",ROW($6:$1005)-5),534))=""),"",IF(AND(COUNTIF(INDIRECT("K_"&amp;MATCH(INDEX(checklistPesertaKemenkeu!$J$6:$J$1005,SMALL(IF(checklistPesertaKemenkeu!$AY$6:$AY$1005="Direkomendasikan",ROW($6:$1005)-5),534)),BidangList,0)),INDEX(checklistPesertaKemenkeu!$M$6:$M$1005,SMALL(IF(checklistPesertaKemenkeu!$AY$6:$AY$1005="Direkomendasikan",ROW($6:$1005)-5),534)))&gt;0,COUNTIF(INDIRECT("'KERTAS KERJA'!K"&amp;(SMALL(IF(checklistPesertaKemenkeu!$AY$6:$AY$1005="Direkomendasikan",ROW($6:$1005)-5),534)+5)&amp;":O"&amp;(SMALL(IF(checklistPesertaKemenkeu!$AY$6:$AY$1005="Direkomendasikan",ROW($6:$1005)-5),534)+5)),INDEX(checklistPesertaKemenkeu!$M$6:$M$1005,SMALL(IF(checklistPesertaKemenkeu!$AY$6:$AY$1005="Direkomendasikan",ROW($6:$1005)-5),534)))=1),IFERROR(VLOOKUP(INDEX(checklistPesertaKemenkeu!$M$6:$M$1005,SMALL(IF(checklistPesertaKemenkeu!$AY$6:$AY$1005="Direkomendasikan",ROW($6:$1005)-5),534)),KotaKode,2,0),"-"),"")),"")</f>
        <v/>
      </c>
      <c r="J535" t="str">
        <f t="array" aca="1" ref="J535" ca="1">IFERROR(IF(OR(INDEX(checklistPesertaKemenkeu!$N$6:$N$1005,SMALL(IF(checklistPesertaKemenkeu!$AY$6:$AY$1005="Direkomendasikan",ROW($6:$1005)-5),534))="",INDEX(checklistPesertaKemenkeu!$J$6:$J$1005,SMALL(IF(checklistPesertaKemenkeu!$AY$6:$AY$1005="Direkomendasikan",ROW($6:$1005)-5),534))=""),"",IF(AND(COUNTIF(INDIRECT("K_"&amp;MATCH(INDEX(checklistPesertaKemenkeu!$J$6:$J$1005,SMALL(IF(checklistPesertaKemenkeu!$AY$6:$AY$1005="Direkomendasikan",ROW($6:$1005)-5),534)),BidangList,0)),INDEX(checklistPesertaKemenkeu!$N$6:$N$1005,SMALL(IF(checklistPesertaKemenkeu!$AY$6:$AY$1005="Direkomendasikan",ROW($6:$1005)-5),534)))&gt;0,COUNTIF(INDIRECT("'KERTAS KERJA'!K"&amp;(SMALL(IF(checklistPesertaKemenkeu!$AY$6:$AY$1005="Direkomendasikan",ROW($6:$1005)-5),534)+5)&amp;":O"&amp;(SMALL(IF(checklistPesertaKemenkeu!$AY$6:$AY$1005="Direkomendasikan",ROW($6:$1005)-5),534)+5)),INDEX(checklistPesertaKemenkeu!$N$6:$N$1005,SMALL(IF(checklistPesertaKemenkeu!$AY$6:$AY$1005="Direkomendasikan",ROW($6:$1005)-5),534)))=1),IFERROR(VLOOKUP(INDEX(checklistPesertaKemenkeu!$N$6:$N$1005,SMALL(IF(checklistPesertaKemenkeu!$AY$6:$AY$1005="Direkomendasikan",ROW($6:$1005)-5),534)),KotaKode,2,0),"-"),"")),"")</f>
        <v/>
      </c>
      <c r="K535" t="str">
        <f t="array" aca="1" ref="K535" ca="1">IFERROR(IF(OR(INDEX(checklistPesertaKemenkeu!$O$6:$O$1005,SMALL(IF(checklistPesertaKemenkeu!$AY$6:$AY$1005="Direkomendasikan",ROW($6:$1005)-5),534))="",INDEX(checklistPesertaKemenkeu!$J$6:$J$1005,SMALL(IF(checklistPesertaKemenkeu!$AY$6:$AY$1005="Direkomendasikan",ROW($6:$1005)-5),534))=""),"",IF(AND(COUNTIF(INDIRECT("K_"&amp;MATCH(INDEX(checklistPesertaKemenkeu!$J$6:$J$1005,SMALL(IF(checklistPesertaKemenkeu!$AY$6:$AY$1005="Direkomendasikan",ROW($6:$1005)-5),534)),BidangList,0)),INDEX(checklistPesertaKemenkeu!$O$6:$O$1005,SMALL(IF(checklistPesertaKemenkeu!$AY$6:$AY$1005="Direkomendasikan",ROW($6:$1005)-5),534)))&gt;0,COUNTIF(INDIRECT("'KERTAS KERJA'!K"&amp;(SMALL(IF(checklistPesertaKemenkeu!$AY$6:$AY$1005="Direkomendasikan",ROW($6:$1005)-5),534)+5)&amp;":O"&amp;(SMALL(IF(checklistPesertaKemenkeu!$AY$6:$AY$1005="Direkomendasikan",ROW($6:$1005)-5),534)+5)),INDEX(checklistPesertaKemenkeu!$O$6:$O$1005,SMALL(IF(checklistPesertaKemenkeu!$AY$6:$AY$1005="Direkomendasikan",ROW($6:$1005)-5),534)))=1),IFERROR(VLOOKUP(INDEX(checklistPesertaKemenkeu!$O$6:$O$1005,SMALL(IF(checklistPesertaKemenkeu!$AY$6:$AY$1005="Direkomendasikan",ROW($6:$1005)-5),534)),KotaKode,2,0),"-"),"")),"")</f>
        <v/>
      </c>
      <c r="L535" t="str">
        <f t="array" aca="1" ref="L535" ca="1">IFERROR(IF(OR(INDEX(checklistPesertaKemenkeu!$P$6:$P$1005,SMALL(IF(checklistPesertaKemenkeu!$AY$6:$AY$1005="Direkomendasikan",ROW($6:$1005)-5),534))="",INDEX(checklistPesertaKemenkeu!$J$6:$J$1005,SMALL(IF(checklistPesertaKemenkeu!$AY$6:$AY$1005="Direkomendasikan",ROW($6:$1005)-5),534))=""),"",IF(AND(COUNTIF(INDIRECT("K_"&amp;MATCH(INDEX(checklistPesertaKemenkeu!$J$6:$J$1005,SMALL(IF(checklistPesertaKemenkeu!$AY$6:$AY$1005="Direkomendasikan",ROW($6:$1005)-5),534)),BidangList,0)),INDEX(checklistPesertaKemenkeu!$P$6:$P$1005,SMALL(IF(checklistPesertaKemenkeu!$AY$6:$AY$1005="Direkomendasikan",ROW($6:$1005)-5),534)))&gt;0,COUNTIF(INDIRECT("'KERTAS KERJA'!K"&amp;(SMALL(IF(checklistPesertaKemenkeu!$AY$6:$AY$1005="Direkomendasikan",ROW($6:$1005)-5),534)+5)&amp;":O"&amp;(SMALL(IF(checklistPesertaKemenkeu!$AY$6:$AY$1005="Direkomendasikan",ROW($6:$1005)-5),534)+5)),INDEX(checklistPesertaKemenkeu!$P$6:$P$1005,SMALL(IF(checklistPesertaKemenkeu!$AY$6:$AY$1005="Direkomendasikan",ROW($6:$1005)-5),534)))=1),IFERROR(VLOOKUP(INDEX(checklistPesertaKemenkeu!$P$6:$P$1005,SMALL(IF(checklistPesertaKemenkeu!$AY$6:$AY$1005="Direkomendasikan",ROW($6:$1005)-5),534)),KotaKode,2,0),"-"),"")),"")</f>
        <v/>
      </c>
    </row>
    <row r="536" spans="1:12" ht="15" customHeight="1" x14ac:dyDescent="0.2">
      <c r="A536" t="str">
        <f t="shared" si="8"/>
        <v/>
      </c>
      <c r="B536" t="str">
        <v/>
      </c>
      <c r="C536" s="40" t="str">
        <f t="array" ref="C536">IFERROR(INDEX(checklistPesertaKemenkeu!$F$6:$F$1005,SMALL(IF(checklistPesertaKemenkeu!$AY$6:$AY$1005="Direkomendasikan",ROW($6:$1005)-5),535)),"")</f>
        <v/>
      </c>
      <c r="D536" t="str">
        <f t="array" ref="D536">IFERROR(INDEX(checklistPesertaKemenkeu!$G$6:$G$1005,SMALL(IF(checklistPesertaKemenkeu!$AY$6:$AY$1005="Direkomendasikan",ROW($6:$1005)-5),535)),"")</f>
        <v/>
      </c>
      <c r="E536" t="str">
        <f t="array" ref="E536">IFERROR(INDEX(checklistPesertaKemenkeu!$H$6:$H$1005,SMALL(IF(checklistPesertaKemenkeu!$AY$6:$AY$1005="Direkomendasikan",ROW($6:$1005)-5),535)),"")</f>
        <v/>
      </c>
      <c r="F536" t="str">
        <f t="array" ref="F536">IFERROR(INDEX(checklistPesertaKemenkeu!$I$6:$I$1005,SMALL(IF(checklistPesertaKemenkeu!$AY$6:$AY$1005="Direkomendasikan",ROW($6:$1005)-5),535)),"")</f>
        <v/>
      </c>
      <c r="G536" t="str">
        <f t="array" ref="G536">IFERROR(INDEX(checklistPesertaKemenkeu!$J$6:$J$1005,SMALL(IF(checklistPesertaKemenkeu!$AY$6:$AY$1005="Direkomendasikan",ROW($6:$1005)-5),535)),"")</f>
        <v/>
      </c>
      <c r="H536" t="str">
        <f t="array" aca="1" ref="H536" ca="1">IFERROR(IF(OR(INDEX(checklistPesertaKemenkeu!$L$6:$L$1005,SMALL(IF(checklistPesertaKemenkeu!$AY$6:$AY$1005="Direkomendasikan",ROW($6:$1005)-5),535))="",INDEX(checklistPesertaKemenkeu!$J$6:$J$1005,SMALL(IF(checklistPesertaKemenkeu!$AY$6:$AY$1005="Direkomendasikan",ROW($6:$1005)-5),535))=""),"",IF(AND(COUNTIF(INDIRECT("K_"&amp;MATCH(INDEX(checklistPesertaKemenkeu!$J$6:$J$1005,SMALL(IF(checklistPesertaKemenkeu!$AY$6:$AY$1005="Direkomendasikan",ROW($6:$1005)-5),535)),BidangList,0)),INDEX(checklistPesertaKemenkeu!$L$6:$L$1005,SMALL(IF(checklistPesertaKemenkeu!$AY$6:$AY$1005="Direkomendasikan",ROW($6:$1005)-5),535)))&gt;0,COUNTIF(INDIRECT("'KERTAS KERJA'!K"&amp;(SMALL(IF(checklistPesertaKemenkeu!$AY$6:$AY$1005="Direkomendasikan",ROW($6:$1005)-5),535)+5)&amp;":O"&amp;(SMALL(IF(checklistPesertaKemenkeu!$AY$6:$AY$1005="Direkomendasikan",ROW($6:$1005)-5),535)+5)),INDEX(checklistPesertaKemenkeu!$L$6:$L$1005,SMALL(IF(checklistPesertaKemenkeu!$AY$6:$AY$1005="Direkomendasikan",ROW($6:$1005)-5),535)))=1),IFERROR(VLOOKUP(INDEX(checklistPesertaKemenkeu!$L$6:$L$1005,SMALL(IF(checklistPesertaKemenkeu!$AY$6:$AY$1005="Direkomendasikan",ROW($6:$1005)-5),535)),KotaKode,2,0),"-"),"")),"")</f>
        <v/>
      </c>
      <c r="I536" t="str">
        <f t="array" aca="1" ref="I536" ca="1">IFERROR(IF(OR(INDEX(checklistPesertaKemenkeu!$M$6:$M$1005,SMALL(IF(checklistPesertaKemenkeu!$AY$6:$AY$1005="Direkomendasikan",ROW($6:$1005)-5),535))="",INDEX(checklistPesertaKemenkeu!$J$6:$J$1005,SMALL(IF(checklistPesertaKemenkeu!$AY$6:$AY$1005="Direkomendasikan",ROW($6:$1005)-5),535))=""),"",IF(AND(COUNTIF(INDIRECT("K_"&amp;MATCH(INDEX(checklistPesertaKemenkeu!$J$6:$J$1005,SMALL(IF(checklistPesertaKemenkeu!$AY$6:$AY$1005="Direkomendasikan",ROW($6:$1005)-5),535)),BidangList,0)),INDEX(checklistPesertaKemenkeu!$M$6:$M$1005,SMALL(IF(checklistPesertaKemenkeu!$AY$6:$AY$1005="Direkomendasikan",ROW($6:$1005)-5),535)))&gt;0,COUNTIF(INDIRECT("'KERTAS KERJA'!K"&amp;(SMALL(IF(checklistPesertaKemenkeu!$AY$6:$AY$1005="Direkomendasikan",ROW($6:$1005)-5),535)+5)&amp;":O"&amp;(SMALL(IF(checklistPesertaKemenkeu!$AY$6:$AY$1005="Direkomendasikan",ROW($6:$1005)-5),535)+5)),INDEX(checklistPesertaKemenkeu!$M$6:$M$1005,SMALL(IF(checklistPesertaKemenkeu!$AY$6:$AY$1005="Direkomendasikan",ROW($6:$1005)-5),535)))=1),IFERROR(VLOOKUP(INDEX(checklistPesertaKemenkeu!$M$6:$M$1005,SMALL(IF(checklistPesertaKemenkeu!$AY$6:$AY$1005="Direkomendasikan",ROW($6:$1005)-5),535)),KotaKode,2,0),"-"),"")),"")</f>
        <v/>
      </c>
      <c r="J536" t="str">
        <f t="array" aca="1" ref="J536" ca="1">IFERROR(IF(OR(INDEX(checklistPesertaKemenkeu!$N$6:$N$1005,SMALL(IF(checklistPesertaKemenkeu!$AY$6:$AY$1005="Direkomendasikan",ROW($6:$1005)-5),535))="",INDEX(checklistPesertaKemenkeu!$J$6:$J$1005,SMALL(IF(checklistPesertaKemenkeu!$AY$6:$AY$1005="Direkomendasikan",ROW($6:$1005)-5),535))=""),"",IF(AND(COUNTIF(INDIRECT("K_"&amp;MATCH(INDEX(checklistPesertaKemenkeu!$J$6:$J$1005,SMALL(IF(checklistPesertaKemenkeu!$AY$6:$AY$1005="Direkomendasikan",ROW($6:$1005)-5),535)),BidangList,0)),INDEX(checklistPesertaKemenkeu!$N$6:$N$1005,SMALL(IF(checklistPesertaKemenkeu!$AY$6:$AY$1005="Direkomendasikan",ROW($6:$1005)-5),535)))&gt;0,COUNTIF(INDIRECT("'KERTAS KERJA'!K"&amp;(SMALL(IF(checklistPesertaKemenkeu!$AY$6:$AY$1005="Direkomendasikan",ROW($6:$1005)-5),535)+5)&amp;":O"&amp;(SMALL(IF(checklistPesertaKemenkeu!$AY$6:$AY$1005="Direkomendasikan",ROW($6:$1005)-5),535)+5)),INDEX(checklistPesertaKemenkeu!$N$6:$N$1005,SMALL(IF(checklistPesertaKemenkeu!$AY$6:$AY$1005="Direkomendasikan",ROW($6:$1005)-5),535)))=1),IFERROR(VLOOKUP(INDEX(checklistPesertaKemenkeu!$N$6:$N$1005,SMALL(IF(checklistPesertaKemenkeu!$AY$6:$AY$1005="Direkomendasikan",ROW($6:$1005)-5),535)),KotaKode,2,0),"-"),"")),"")</f>
        <v/>
      </c>
      <c r="K536" t="str">
        <f t="array" aca="1" ref="K536" ca="1">IFERROR(IF(OR(INDEX(checklistPesertaKemenkeu!$O$6:$O$1005,SMALL(IF(checklistPesertaKemenkeu!$AY$6:$AY$1005="Direkomendasikan",ROW($6:$1005)-5),535))="",INDEX(checklistPesertaKemenkeu!$J$6:$J$1005,SMALL(IF(checklistPesertaKemenkeu!$AY$6:$AY$1005="Direkomendasikan",ROW($6:$1005)-5),535))=""),"",IF(AND(COUNTIF(INDIRECT("K_"&amp;MATCH(INDEX(checklistPesertaKemenkeu!$J$6:$J$1005,SMALL(IF(checklistPesertaKemenkeu!$AY$6:$AY$1005="Direkomendasikan",ROW($6:$1005)-5),535)),BidangList,0)),INDEX(checklistPesertaKemenkeu!$O$6:$O$1005,SMALL(IF(checklistPesertaKemenkeu!$AY$6:$AY$1005="Direkomendasikan",ROW($6:$1005)-5),535)))&gt;0,COUNTIF(INDIRECT("'KERTAS KERJA'!K"&amp;(SMALL(IF(checklistPesertaKemenkeu!$AY$6:$AY$1005="Direkomendasikan",ROW($6:$1005)-5),535)+5)&amp;":O"&amp;(SMALL(IF(checklistPesertaKemenkeu!$AY$6:$AY$1005="Direkomendasikan",ROW($6:$1005)-5),535)+5)),INDEX(checklistPesertaKemenkeu!$O$6:$O$1005,SMALL(IF(checklistPesertaKemenkeu!$AY$6:$AY$1005="Direkomendasikan",ROW($6:$1005)-5),535)))=1),IFERROR(VLOOKUP(INDEX(checklistPesertaKemenkeu!$O$6:$O$1005,SMALL(IF(checklistPesertaKemenkeu!$AY$6:$AY$1005="Direkomendasikan",ROW($6:$1005)-5),535)),KotaKode,2,0),"-"),"")),"")</f>
        <v/>
      </c>
      <c r="L536" t="str">
        <f t="array" aca="1" ref="L536" ca="1">IFERROR(IF(OR(INDEX(checklistPesertaKemenkeu!$P$6:$P$1005,SMALL(IF(checklistPesertaKemenkeu!$AY$6:$AY$1005="Direkomendasikan",ROW($6:$1005)-5),535))="",INDEX(checklistPesertaKemenkeu!$J$6:$J$1005,SMALL(IF(checklistPesertaKemenkeu!$AY$6:$AY$1005="Direkomendasikan",ROW($6:$1005)-5),535))=""),"",IF(AND(COUNTIF(INDIRECT("K_"&amp;MATCH(INDEX(checklistPesertaKemenkeu!$J$6:$J$1005,SMALL(IF(checklistPesertaKemenkeu!$AY$6:$AY$1005="Direkomendasikan",ROW($6:$1005)-5),535)),BidangList,0)),INDEX(checklistPesertaKemenkeu!$P$6:$P$1005,SMALL(IF(checklistPesertaKemenkeu!$AY$6:$AY$1005="Direkomendasikan",ROW($6:$1005)-5),535)))&gt;0,COUNTIF(INDIRECT("'KERTAS KERJA'!K"&amp;(SMALL(IF(checklistPesertaKemenkeu!$AY$6:$AY$1005="Direkomendasikan",ROW($6:$1005)-5),535)+5)&amp;":O"&amp;(SMALL(IF(checklistPesertaKemenkeu!$AY$6:$AY$1005="Direkomendasikan",ROW($6:$1005)-5),535)+5)),INDEX(checklistPesertaKemenkeu!$P$6:$P$1005,SMALL(IF(checklistPesertaKemenkeu!$AY$6:$AY$1005="Direkomendasikan",ROW($6:$1005)-5),535)))=1),IFERROR(VLOOKUP(INDEX(checklistPesertaKemenkeu!$P$6:$P$1005,SMALL(IF(checklistPesertaKemenkeu!$AY$6:$AY$1005="Direkomendasikan",ROW($6:$1005)-5),535)),KotaKode,2,0),"-"),"")),"")</f>
        <v/>
      </c>
    </row>
    <row r="537" spans="1:12" ht="15" customHeight="1" x14ac:dyDescent="0.2">
      <c r="A537" t="str">
        <f t="shared" si="8"/>
        <v/>
      </c>
      <c r="B537" t="str">
        <v/>
      </c>
      <c r="C537" s="40" t="str">
        <f t="array" ref="C537">IFERROR(INDEX(checklistPesertaKemenkeu!$F$6:$F$1005,SMALL(IF(checklistPesertaKemenkeu!$AY$6:$AY$1005="Direkomendasikan",ROW($6:$1005)-5),536)),"")</f>
        <v/>
      </c>
      <c r="D537" t="str">
        <f t="array" ref="D537">IFERROR(INDEX(checklistPesertaKemenkeu!$G$6:$G$1005,SMALL(IF(checklistPesertaKemenkeu!$AY$6:$AY$1005="Direkomendasikan",ROW($6:$1005)-5),536)),"")</f>
        <v/>
      </c>
      <c r="E537" t="str">
        <f t="array" ref="E537">IFERROR(INDEX(checklistPesertaKemenkeu!$H$6:$H$1005,SMALL(IF(checklistPesertaKemenkeu!$AY$6:$AY$1005="Direkomendasikan",ROW($6:$1005)-5),536)),"")</f>
        <v/>
      </c>
      <c r="F537" t="str">
        <f t="array" ref="F537">IFERROR(INDEX(checklistPesertaKemenkeu!$I$6:$I$1005,SMALL(IF(checklistPesertaKemenkeu!$AY$6:$AY$1005="Direkomendasikan",ROW($6:$1005)-5),536)),"")</f>
        <v/>
      </c>
      <c r="G537" t="str">
        <f t="array" ref="G537">IFERROR(INDEX(checklistPesertaKemenkeu!$J$6:$J$1005,SMALL(IF(checklistPesertaKemenkeu!$AY$6:$AY$1005="Direkomendasikan",ROW($6:$1005)-5),536)),"")</f>
        <v/>
      </c>
      <c r="H537" t="str">
        <f t="array" aca="1" ref="H537" ca="1">IFERROR(IF(OR(INDEX(checklistPesertaKemenkeu!$L$6:$L$1005,SMALL(IF(checklistPesertaKemenkeu!$AY$6:$AY$1005="Direkomendasikan",ROW($6:$1005)-5),536))="",INDEX(checklistPesertaKemenkeu!$J$6:$J$1005,SMALL(IF(checklistPesertaKemenkeu!$AY$6:$AY$1005="Direkomendasikan",ROW($6:$1005)-5),536))=""),"",IF(AND(COUNTIF(INDIRECT("K_"&amp;MATCH(INDEX(checklistPesertaKemenkeu!$J$6:$J$1005,SMALL(IF(checklistPesertaKemenkeu!$AY$6:$AY$1005="Direkomendasikan",ROW($6:$1005)-5),536)),BidangList,0)),INDEX(checklistPesertaKemenkeu!$L$6:$L$1005,SMALL(IF(checklistPesertaKemenkeu!$AY$6:$AY$1005="Direkomendasikan",ROW($6:$1005)-5),536)))&gt;0,COUNTIF(INDIRECT("'KERTAS KERJA'!K"&amp;(SMALL(IF(checklistPesertaKemenkeu!$AY$6:$AY$1005="Direkomendasikan",ROW($6:$1005)-5),536)+5)&amp;":O"&amp;(SMALL(IF(checklistPesertaKemenkeu!$AY$6:$AY$1005="Direkomendasikan",ROW($6:$1005)-5),536)+5)),INDEX(checklistPesertaKemenkeu!$L$6:$L$1005,SMALL(IF(checklistPesertaKemenkeu!$AY$6:$AY$1005="Direkomendasikan",ROW($6:$1005)-5),536)))=1),IFERROR(VLOOKUP(INDEX(checklistPesertaKemenkeu!$L$6:$L$1005,SMALL(IF(checklistPesertaKemenkeu!$AY$6:$AY$1005="Direkomendasikan",ROW($6:$1005)-5),536)),KotaKode,2,0),"-"),"")),"")</f>
        <v/>
      </c>
      <c r="I537" t="str">
        <f t="array" aca="1" ref="I537" ca="1">IFERROR(IF(OR(INDEX(checklistPesertaKemenkeu!$M$6:$M$1005,SMALL(IF(checklistPesertaKemenkeu!$AY$6:$AY$1005="Direkomendasikan",ROW($6:$1005)-5),536))="",INDEX(checklistPesertaKemenkeu!$J$6:$J$1005,SMALL(IF(checklistPesertaKemenkeu!$AY$6:$AY$1005="Direkomendasikan",ROW($6:$1005)-5),536))=""),"",IF(AND(COUNTIF(INDIRECT("K_"&amp;MATCH(INDEX(checklistPesertaKemenkeu!$J$6:$J$1005,SMALL(IF(checklistPesertaKemenkeu!$AY$6:$AY$1005="Direkomendasikan",ROW($6:$1005)-5),536)),BidangList,0)),INDEX(checklistPesertaKemenkeu!$M$6:$M$1005,SMALL(IF(checklistPesertaKemenkeu!$AY$6:$AY$1005="Direkomendasikan",ROW($6:$1005)-5),536)))&gt;0,COUNTIF(INDIRECT("'KERTAS KERJA'!K"&amp;(SMALL(IF(checklistPesertaKemenkeu!$AY$6:$AY$1005="Direkomendasikan",ROW($6:$1005)-5),536)+5)&amp;":O"&amp;(SMALL(IF(checklistPesertaKemenkeu!$AY$6:$AY$1005="Direkomendasikan",ROW($6:$1005)-5),536)+5)),INDEX(checklistPesertaKemenkeu!$M$6:$M$1005,SMALL(IF(checklistPesertaKemenkeu!$AY$6:$AY$1005="Direkomendasikan",ROW($6:$1005)-5),536)))=1),IFERROR(VLOOKUP(INDEX(checklistPesertaKemenkeu!$M$6:$M$1005,SMALL(IF(checklistPesertaKemenkeu!$AY$6:$AY$1005="Direkomendasikan",ROW($6:$1005)-5),536)),KotaKode,2,0),"-"),"")),"")</f>
        <v/>
      </c>
      <c r="J537" t="str">
        <f t="array" aca="1" ref="J537" ca="1">IFERROR(IF(OR(INDEX(checklistPesertaKemenkeu!$N$6:$N$1005,SMALL(IF(checklistPesertaKemenkeu!$AY$6:$AY$1005="Direkomendasikan",ROW($6:$1005)-5),536))="",INDEX(checklistPesertaKemenkeu!$J$6:$J$1005,SMALL(IF(checklistPesertaKemenkeu!$AY$6:$AY$1005="Direkomendasikan",ROW($6:$1005)-5),536))=""),"",IF(AND(COUNTIF(INDIRECT("K_"&amp;MATCH(INDEX(checklistPesertaKemenkeu!$J$6:$J$1005,SMALL(IF(checklistPesertaKemenkeu!$AY$6:$AY$1005="Direkomendasikan",ROW($6:$1005)-5),536)),BidangList,0)),INDEX(checklistPesertaKemenkeu!$N$6:$N$1005,SMALL(IF(checklistPesertaKemenkeu!$AY$6:$AY$1005="Direkomendasikan",ROW($6:$1005)-5),536)))&gt;0,COUNTIF(INDIRECT("'KERTAS KERJA'!K"&amp;(SMALL(IF(checklistPesertaKemenkeu!$AY$6:$AY$1005="Direkomendasikan",ROW($6:$1005)-5),536)+5)&amp;":O"&amp;(SMALL(IF(checklistPesertaKemenkeu!$AY$6:$AY$1005="Direkomendasikan",ROW($6:$1005)-5),536)+5)),INDEX(checklistPesertaKemenkeu!$N$6:$N$1005,SMALL(IF(checklistPesertaKemenkeu!$AY$6:$AY$1005="Direkomendasikan",ROW($6:$1005)-5),536)))=1),IFERROR(VLOOKUP(INDEX(checklistPesertaKemenkeu!$N$6:$N$1005,SMALL(IF(checklistPesertaKemenkeu!$AY$6:$AY$1005="Direkomendasikan",ROW($6:$1005)-5),536)),KotaKode,2,0),"-"),"")),"")</f>
        <v/>
      </c>
      <c r="K537" t="str">
        <f t="array" aca="1" ref="K537" ca="1">IFERROR(IF(OR(INDEX(checklistPesertaKemenkeu!$O$6:$O$1005,SMALL(IF(checklistPesertaKemenkeu!$AY$6:$AY$1005="Direkomendasikan",ROW($6:$1005)-5),536))="",INDEX(checklistPesertaKemenkeu!$J$6:$J$1005,SMALL(IF(checklistPesertaKemenkeu!$AY$6:$AY$1005="Direkomendasikan",ROW($6:$1005)-5),536))=""),"",IF(AND(COUNTIF(INDIRECT("K_"&amp;MATCH(INDEX(checklistPesertaKemenkeu!$J$6:$J$1005,SMALL(IF(checklistPesertaKemenkeu!$AY$6:$AY$1005="Direkomendasikan",ROW($6:$1005)-5),536)),BidangList,0)),INDEX(checklistPesertaKemenkeu!$O$6:$O$1005,SMALL(IF(checklistPesertaKemenkeu!$AY$6:$AY$1005="Direkomendasikan",ROW($6:$1005)-5),536)))&gt;0,COUNTIF(INDIRECT("'KERTAS KERJA'!K"&amp;(SMALL(IF(checklistPesertaKemenkeu!$AY$6:$AY$1005="Direkomendasikan",ROW($6:$1005)-5),536)+5)&amp;":O"&amp;(SMALL(IF(checklistPesertaKemenkeu!$AY$6:$AY$1005="Direkomendasikan",ROW($6:$1005)-5),536)+5)),INDEX(checklistPesertaKemenkeu!$O$6:$O$1005,SMALL(IF(checklistPesertaKemenkeu!$AY$6:$AY$1005="Direkomendasikan",ROW($6:$1005)-5),536)))=1),IFERROR(VLOOKUP(INDEX(checklistPesertaKemenkeu!$O$6:$O$1005,SMALL(IF(checklistPesertaKemenkeu!$AY$6:$AY$1005="Direkomendasikan",ROW($6:$1005)-5),536)),KotaKode,2,0),"-"),"")),"")</f>
        <v/>
      </c>
      <c r="L537" t="str">
        <f t="array" aca="1" ref="L537" ca="1">IFERROR(IF(OR(INDEX(checklistPesertaKemenkeu!$P$6:$P$1005,SMALL(IF(checklistPesertaKemenkeu!$AY$6:$AY$1005="Direkomendasikan",ROW($6:$1005)-5),536))="",INDEX(checklistPesertaKemenkeu!$J$6:$J$1005,SMALL(IF(checklistPesertaKemenkeu!$AY$6:$AY$1005="Direkomendasikan",ROW($6:$1005)-5),536))=""),"",IF(AND(COUNTIF(INDIRECT("K_"&amp;MATCH(INDEX(checklistPesertaKemenkeu!$J$6:$J$1005,SMALL(IF(checklistPesertaKemenkeu!$AY$6:$AY$1005="Direkomendasikan",ROW($6:$1005)-5),536)),BidangList,0)),INDEX(checklistPesertaKemenkeu!$P$6:$P$1005,SMALL(IF(checklistPesertaKemenkeu!$AY$6:$AY$1005="Direkomendasikan",ROW($6:$1005)-5),536)))&gt;0,COUNTIF(INDIRECT("'KERTAS KERJA'!K"&amp;(SMALL(IF(checklistPesertaKemenkeu!$AY$6:$AY$1005="Direkomendasikan",ROW($6:$1005)-5),536)+5)&amp;":O"&amp;(SMALL(IF(checklistPesertaKemenkeu!$AY$6:$AY$1005="Direkomendasikan",ROW($6:$1005)-5),536)+5)),INDEX(checklistPesertaKemenkeu!$P$6:$P$1005,SMALL(IF(checklistPesertaKemenkeu!$AY$6:$AY$1005="Direkomendasikan",ROW($6:$1005)-5),536)))=1),IFERROR(VLOOKUP(INDEX(checklistPesertaKemenkeu!$P$6:$P$1005,SMALL(IF(checklistPesertaKemenkeu!$AY$6:$AY$1005="Direkomendasikan",ROW($6:$1005)-5),536)),KotaKode,2,0),"-"),"")),"")</f>
        <v/>
      </c>
    </row>
    <row r="538" spans="1:12" ht="15" customHeight="1" x14ac:dyDescent="0.2">
      <c r="A538" t="str">
        <f t="shared" si="8"/>
        <v/>
      </c>
      <c r="B538" t="str">
        <v/>
      </c>
      <c r="C538" s="40" t="str">
        <f t="array" ref="C538">IFERROR(INDEX(checklistPesertaKemenkeu!$F$6:$F$1005,SMALL(IF(checklistPesertaKemenkeu!$AY$6:$AY$1005="Direkomendasikan",ROW($6:$1005)-5),537)),"")</f>
        <v/>
      </c>
      <c r="D538" t="str">
        <f t="array" ref="D538">IFERROR(INDEX(checklistPesertaKemenkeu!$G$6:$G$1005,SMALL(IF(checklistPesertaKemenkeu!$AY$6:$AY$1005="Direkomendasikan",ROW($6:$1005)-5),537)),"")</f>
        <v/>
      </c>
      <c r="E538" t="str">
        <f t="array" ref="E538">IFERROR(INDEX(checklistPesertaKemenkeu!$H$6:$H$1005,SMALL(IF(checklistPesertaKemenkeu!$AY$6:$AY$1005="Direkomendasikan",ROW($6:$1005)-5),537)),"")</f>
        <v/>
      </c>
      <c r="F538" t="str">
        <f t="array" ref="F538">IFERROR(INDEX(checklistPesertaKemenkeu!$I$6:$I$1005,SMALL(IF(checklistPesertaKemenkeu!$AY$6:$AY$1005="Direkomendasikan",ROW($6:$1005)-5),537)),"")</f>
        <v/>
      </c>
      <c r="G538" t="str">
        <f t="array" ref="G538">IFERROR(INDEX(checklistPesertaKemenkeu!$J$6:$J$1005,SMALL(IF(checklistPesertaKemenkeu!$AY$6:$AY$1005="Direkomendasikan",ROW($6:$1005)-5),537)),"")</f>
        <v/>
      </c>
      <c r="H538" t="str">
        <f t="array" aca="1" ref="H538" ca="1">IFERROR(IF(OR(INDEX(checklistPesertaKemenkeu!$L$6:$L$1005,SMALL(IF(checklistPesertaKemenkeu!$AY$6:$AY$1005="Direkomendasikan",ROW($6:$1005)-5),537))="",INDEX(checklistPesertaKemenkeu!$J$6:$J$1005,SMALL(IF(checklistPesertaKemenkeu!$AY$6:$AY$1005="Direkomendasikan",ROW($6:$1005)-5),537))=""),"",IF(AND(COUNTIF(INDIRECT("K_"&amp;MATCH(INDEX(checklistPesertaKemenkeu!$J$6:$J$1005,SMALL(IF(checklistPesertaKemenkeu!$AY$6:$AY$1005="Direkomendasikan",ROW($6:$1005)-5),537)),BidangList,0)),INDEX(checklistPesertaKemenkeu!$L$6:$L$1005,SMALL(IF(checklistPesertaKemenkeu!$AY$6:$AY$1005="Direkomendasikan",ROW($6:$1005)-5),537)))&gt;0,COUNTIF(INDIRECT("'KERTAS KERJA'!K"&amp;(SMALL(IF(checklistPesertaKemenkeu!$AY$6:$AY$1005="Direkomendasikan",ROW($6:$1005)-5),537)+5)&amp;":O"&amp;(SMALL(IF(checklistPesertaKemenkeu!$AY$6:$AY$1005="Direkomendasikan",ROW($6:$1005)-5),537)+5)),INDEX(checklistPesertaKemenkeu!$L$6:$L$1005,SMALL(IF(checklistPesertaKemenkeu!$AY$6:$AY$1005="Direkomendasikan",ROW($6:$1005)-5),537)))=1),IFERROR(VLOOKUP(INDEX(checklistPesertaKemenkeu!$L$6:$L$1005,SMALL(IF(checklistPesertaKemenkeu!$AY$6:$AY$1005="Direkomendasikan",ROW($6:$1005)-5),537)),KotaKode,2,0),"-"),"")),"")</f>
        <v/>
      </c>
      <c r="I538" t="str">
        <f t="array" aca="1" ref="I538" ca="1">IFERROR(IF(OR(INDEX(checklistPesertaKemenkeu!$M$6:$M$1005,SMALL(IF(checklistPesertaKemenkeu!$AY$6:$AY$1005="Direkomendasikan",ROW($6:$1005)-5),537))="",INDEX(checklistPesertaKemenkeu!$J$6:$J$1005,SMALL(IF(checklistPesertaKemenkeu!$AY$6:$AY$1005="Direkomendasikan",ROW($6:$1005)-5),537))=""),"",IF(AND(COUNTIF(INDIRECT("K_"&amp;MATCH(INDEX(checklistPesertaKemenkeu!$J$6:$J$1005,SMALL(IF(checklistPesertaKemenkeu!$AY$6:$AY$1005="Direkomendasikan",ROW($6:$1005)-5),537)),BidangList,0)),INDEX(checklistPesertaKemenkeu!$M$6:$M$1005,SMALL(IF(checklistPesertaKemenkeu!$AY$6:$AY$1005="Direkomendasikan",ROW($6:$1005)-5),537)))&gt;0,COUNTIF(INDIRECT("'KERTAS KERJA'!K"&amp;(SMALL(IF(checklistPesertaKemenkeu!$AY$6:$AY$1005="Direkomendasikan",ROW($6:$1005)-5),537)+5)&amp;":O"&amp;(SMALL(IF(checklistPesertaKemenkeu!$AY$6:$AY$1005="Direkomendasikan",ROW($6:$1005)-5),537)+5)),INDEX(checklistPesertaKemenkeu!$M$6:$M$1005,SMALL(IF(checklistPesertaKemenkeu!$AY$6:$AY$1005="Direkomendasikan",ROW($6:$1005)-5),537)))=1),IFERROR(VLOOKUP(INDEX(checklistPesertaKemenkeu!$M$6:$M$1005,SMALL(IF(checklistPesertaKemenkeu!$AY$6:$AY$1005="Direkomendasikan",ROW($6:$1005)-5),537)),KotaKode,2,0),"-"),"")),"")</f>
        <v/>
      </c>
      <c r="J538" t="str">
        <f t="array" aca="1" ref="J538" ca="1">IFERROR(IF(OR(INDEX(checklistPesertaKemenkeu!$N$6:$N$1005,SMALL(IF(checklistPesertaKemenkeu!$AY$6:$AY$1005="Direkomendasikan",ROW($6:$1005)-5),537))="",INDEX(checklistPesertaKemenkeu!$J$6:$J$1005,SMALL(IF(checklistPesertaKemenkeu!$AY$6:$AY$1005="Direkomendasikan",ROW($6:$1005)-5),537))=""),"",IF(AND(COUNTIF(INDIRECT("K_"&amp;MATCH(INDEX(checklistPesertaKemenkeu!$J$6:$J$1005,SMALL(IF(checklistPesertaKemenkeu!$AY$6:$AY$1005="Direkomendasikan",ROW($6:$1005)-5),537)),BidangList,0)),INDEX(checklistPesertaKemenkeu!$N$6:$N$1005,SMALL(IF(checklistPesertaKemenkeu!$AY$6:$AY$1005="Direkomendasikan",ROW($6:$1005)-5),537)))&gt;0,COUNTIF(INDIRECT("'KERTAS KERJA'!K"&amp;(SMALL(IF(checklistPesertaKemenkeu!$AY$6:$AY$1005="Direkomendasikan",ROW($6:$1005)-5),537)+5)&amp;":O"&amp;(SMALL(IF(checklistPesertaKemenkeu!$AY$6:$AY$1005="Direkomendasikan",ROW($6:$1005)-5),537)+5)),INDEX(checklistPesertaKemenkeu!$N$6:$N$1005,SMALL(IF(checklistPesertaKemenkeu!$AY$6:$AY$1005="Direkomendasikan",ROW($6:$1005)-5),537)))=1),IFERROR(VLOOKUP(INDEX(checklistPesertaKemenkeu!$N$6:$N$1005,SMALL(IF(checklistPesertaKemenkeu!$AY$6:$AY$1005="Direkomendasikan",ROW($6:$1005)-5),537)),KotaKode,2,0),"-"),"")),"")</f>
        <v/>
      </c>
      <c r="K538" t="str">
        <f t="array" aca="1" ref="K538" ca="1">IFERROR(IF(OR(INDEX(checklistPesertaKemenkeu!$O$6:$O$1005,SMALL(IF(checklistPesertaKemenkeu!$AY$6:$AY$1005="Direkomendasikan",ROW($6:$1005)-5),537))="",INDEX(checklistPesertaKemenkeu!$J$6:$J$1005,SMALL(IF(checklistPesertaKemenkeu!$AY$6:$AY$1005="Direkomendasikan",ROW($6:$1005)-5),537))=""),"",IF(AND(COUNTIF(INDIRECT("K_"&amp;MATCH(INDEX(checklistPesertaKemenkeu!$J$6:$J$1005,SMALL(IF(checklistPesertaKemenkeu!$AY$6:$AY$1005="Direkomendasikan",ROW($6:$1005)-5),537)),BidangList,0)),INDEX(checklistPesertaKemenkeu!$O$6:$O$1005,SMALL(IF(checklistPesertaKemenkeu!$AY$6:$AY$1005="Direkomendasikan",ROW($6:$1005)-5),537)))&gt;0,COUNTIF(INDIRECT("'KERTAS KERJA'!K"&amp;(SMALL(IF(checklistPesertaKemenkeu!$AY$6:$AY$1005="Direkomendasikan",ROW($6:$1005)-5),537)+5)&amp;":O"&amp;(SMALL(IF(checklistPesertaKemenkeu!$AY$6:$AY$1005="Direkomendasikan",ROW($6:$1005)-5),537)+5)),INDEX(checklistPesertaKemenkeu!$O$6:$O$1005,SMALL(IF(checklistPesertaKemenkeu!$AY$6:$AY$1005="Direkomendasikan",ROW($6:$1005)-5),537)))=1),IFERROR(VLOOKUP(INDEX(checklistPesertaKemenkeu!$O$6:$O$1005,SMALL(IF(checklistPesertaKemenkeu!$AY$6:$AY$1005="Direkomendasikan",ROW($6:$1005)-5),537)),KotaKode,2,0),"-"),"")),"")</f>
        <v/>
      </c>
      <c r="L538" t="str">
        <f t="array" aca="1" ref="L538" ca="1">IFERROR(IF(OR(INDEX(checklistPesertaKemenkeu!$P$6:$P$1005,SMALL(IF(checklistPesertaKemenkeu!$AY$6:$AY$1005="Direkomendasikan",ROW($6:$1005)-5),537))="",INDEX(checklistPesertaKemenkeu!$J$6:$J$1005,SMALL(IF(checklistPesertaKemenkeu!$AY$6:$AY$1005="Direkomendasikan",ROW($6:$1005)-5),537))=""),"",IF(AND(COUNTIF(INDIRECT("K_"&amp;MATCH(INDEX(checklistPesertaKemenkeu!$J$6:$J$1005,SMALL(IF(checklistPesertaKemenkeu!$AY$6:$AY$1005="Direkomendasikan",ROW($6:$1005)-5),537)),BidangList,0)),INDEX(checklistPesertaKemenkeu!$P$6:$P$1005,SMALL(IF(checklistPesertaKemenkeu!$AY$6:$AY$1005="Direkomendasikan",ROW($6:$1005)-5),537)))&gt;0,COUNTIF(INDIRECT("'KERTAS KERJA'!K"&amp;(SMALL(IF(checklistPesertaKemenkeu!$AY$6:$AY$1005="Direkomendasikan",ROW($6:$1005)-5),537)+5)&amp;":O"&amp;(SMALL(IF(checklistPesertaKemenkeu!$AY$6:$AY$1005="Direkomendasikan",ROW($6:$1005)-5),537)+5)),INDEX(checklistPesertaKemenkeu!$P$6:$P$1005,SMALL(IF(checklistPesertaKemenkeu!$AY$6:$AY$1005="Direkomendasikan",ROW($6:$1005)-5),537)))=1),IFERROR(VLOOKUP(INDEX(checklistPesertaKemenkeu!$P$6:$P$1005,SMALL(IF(checklistPesertaKemenkeu!$AY$6:$AY$1005="Direkomendasikan",ROW($6:$1005)-5),537)),KotaKode,2,0),"-"),"")),"")</f>
        <v/>
      </c>
    </row>
    <row r="539" spans="1:12" ht="15" customHeight="1" x14ac:dyDescent="0.2">
      <c r="A539" t="str">
        <f t="shared" si="8"/>
        <v/>
      </c>
      <c r="B539" t="str">
        <v/>
      </c>
      <c r="C539" s="40" t="str">
        <f t="array" ref="C539">IFERROR(INDEX(checklistPesertaKemenkeu!$F$6:$F$1005,SMALL(IF(checklistPesertaKemenkeu!$AY$6:$AY$1005="Direkomendasikan",ROW($6:$1005)-5),538)),"")</f>
        <v/>
      </c>
      <c r="D539" t="str">
        <f t="array" ref="D539">IFERROR(INDEX(checklistPesertaKemenkeu!$G$6:$G$1005,SMALL(IF(checklistPesertaKemenkeu!$AY$6:$AY$1005="Direkomendasikan",ROW($6:$1005)-5),538)),"")</f>
        <v/>
      </c>
      <c r="E539" t="str">
        <f t="array" ref="E539">IFERROR(INDEX(checklistPesertaKemenkeu!$H$6:$H$1005,SMALL(IF(checklistPesertaKemenkeu!$AY$6:$AY$1005="Direkomendasikan",ROW($6:$1005)-5),538)),"")</f>
        <v/>
      </c>
      <c r="F539" t="str">
        <f t="array" ref="F539">IFERROR(INDEX(checklistPesertaKemenkeu!$I$6:$I$1005,SMALL(IF(checklistPesertaKemenkeu!$AY$6:$AY$1005="Direkomendasikan",ROW($6:$1005)-5),538)),"")</f>
        <v/>
      </c>
      <c r="G539" t="str">
        <f t="array" ref="G539">IFERROR(INDEX(checklistPesertaKemenkeu!$J$6:$J$1005,SMALL(IF(checklistPesertaKemenkeu!$AY$6:$AY$1005="Direkomendasikan",ROW($6:$1005)-5),538)),"")</f>
        <v/>
      </c>
      <c r="H539" t="str">
        <f t="array" aca="1" ref="H539" ca="1">IFERROR(IF(OR(INDEX(checklistPesertaKemenkeu!$L$6:$L$1005,SMALL(IF(checklistPesertaKemenkeu!$AY$6:$AY$1005="Direkomendasikan",ROW($6:$1005)-5),538))="",INDEX(checklistPesertaKemenkeu!$J$6:$J$1005,SMALL(IF(checklistPesertaKemenkeu!$AY$6:$AY$1005="Direkomendasikan",ROW($6:$1005)-5),538))=""),"",IF(AND(COUNTIF(INDIRECT("K_"&amp;MATCH(INDEX(checklistPesertaKemenkeu!$J$6:$J$1005,SMALL(IF(checklistPesertaKemenkeu!$AY$6:$AY$1005="Direkomendasikan",ROW($6:$1005)-5),538)),BidangList,0)),INDEX(checklistPesertaKemenkeu!$L$6:$L$1005,SMALL(IF(checklistPesertaKemenkeu!$AY$6:$AY$1005="Direkomendasikan",ROW($6:$1005)-5),538)))&gt;0,COUNTIF(INDIRECT("'KERTAS KERJA'!K"&amp;(SMALL(IF(checklistPesertaKemenkeu!$AY$6:$AY$1005="Direkomendasikan",ROW($6:$1005)-5),538)+5)&amp;":O"&amp;(SMALL(IF(checklistPesertaKemenkeu!$AY$6:$AY$1005="Direkomendasikan",ROW($6:$1005)-5),538)+5)),INDEX(checklistPesertaKemenkeu!$L$6:$L$1005,SMALL(IF(checklistPesertaKemenkeu!$AY$6:$AY$1005="Direkomendasikan",ROW($6:$1005)-5),538)))=1),IFERROR(VLOOKUP(INDEX(checklistPesertaKemenkeu!$L$6:$L$1005,SMALL(IF(checklistPesertaKemenkeu!$AY$6:$AY$1005="Direkomendasikan",ROW($6:$1005)-5),538)),KotaKode,2,0),"-"),"")),"")</f>
        <v/>
      </c>
      <c r="I539" t="str">
        <f t="array" aca="1" ref="I539" ca="1">IFERROR(IF(OR(INDEX(checklistPesertaKemenkeu!$M$6:$M$1005,SMALL(IF(checklistPesertaKemenkeu!$AY$6:$AY$1005="Direkomendasikan",ROW($6:$1005)-5),538))="",INDEX(checklistPesertaKemenkeu!$J$6:$J$1005,SMALL(IF(checklistPesertaKemenkeu!$AY$6:$AY$1005="Direkomendasikan",ROW($6:$1005)-5),538))=""),"",IF(AND(COUNTIF(INDIRECT("K_"&amp;MATCH(INDEX(checklistPesertaKemenkeu!$J$6:$J$1005,SMALL(IF(checklistPesertaKemenkeu!$AY$6:$AY$1005="Direkomendasikan",ROW($6:$1005)-5),538)),BidangList,0)),INDEX(checklistPesertaKemenkeu!$M$6:$M$1005,SMALL(IF(checklistPesertaKemenkeu!$AY$6:$AY$1005="Direkomendasikan",ROW($6:$1005)-5),538)))&gt;0,COUNTIF(INDIRECT("'KERTAS KERJA'!K"&amp;(SMALL(IF(checklistPesertaKemenkeu!$AY$6:$AY$1005="Direkomendasikan",ROW($6:$1005)-5),538)+5)&amp;":O"&amp;(SMALL(IF(checklistPesertaKemenkeu!$AY$6:$AY$1005="Direkomendasikan",ROW($6:$1005)-5),538)+5)),INDEX(checklistPesertaKemenkeu!$M$6:$M$1005,SMALL(IF(checklistPesertaKemenkeu!$AY$6:$AY$1005="Direkomendasikan",ROW($6:$1005)-5),538)))=1),IFERROR(VLOOKUP(INDEX(checklistPesertaKemenkeu!$M$6:$M$1005,SMALL(IF(checklistPesertaKemenkeu!$AY$6:$AY$1005="Direkomendasikan",ROW($6:$1005)-5),538)),KotaKode,2,0),"-"),"")),"")</f>
        <v/>
      </c>
      <c r="J539" t="str">
        <f t="array" aca="1" ref="J539" ca="1">IFERROR(IF(OR(INDEX(checklistPesertaKemenkeu!$N$6:$N$1005,SMALL(IF(checklistPesertaKemenkeu!$AY$6:$AY$1005="Direkomendasikan",ROW($6:$1005)-5),538))="",INDEX(checklistPesertaKemenkeu!$J$6:$J$1005,SMALL(IF(checklistPesertaKemenkeu!$AY$6:$AY$1005="Direkomendasikan",ROW($6:$1005)-5),538))=""),"",IF(AND(COUNTIF(INDIRECT("K_"&amp;MATCH(INDEX(checklistPesertaKemenkeu!$J$6:$J$1005,SMALL(IF(checklistPesertaKemenkeu!$AY$6:$AY$1005="Direkomendasikan",ROW($6:$1005)-5),538)),BidangList,0)),INDEX(checklistPesertaKemenkeu!$N$6:$N$1005,SMALL(IF(checklistPesertaKemenkeu!$AY$6:$AY$1005="Direkomendasikan",ROW($6:$1005)-5),538)))&gt;0,COUNTIF(INDIRECT("'KERTAS KERJA'!K"&amp;(SMALL(IF(checklistPesertaKemenkeu!$AY$6:$AY$1005="Direkomendasikan",ROW($6:$1005)-5),538)+5)&amp;":O"&amp;(SMALL(IF(checklistPesertaKemenkeu!$AY$6:$AY$1005="Direkomendasikan",ROW($6:$1005)-5),538)+5)),INDEX(checklistPesertaKemenkeu!$N$6:$N$1005,SMALL(IF(checklistPesertaKemenkeu!$AY$6:$AY$1005="Direkomendasikan",ROW($6:$1005)-5),538)))=1),IFERROR(VLOOKUP(INDEX(checklistPesertaKemenkeu!$N$6:$N$1005,SMALL(IF(checklistPesertaKemenkeu!$AY$6:$AY$1005="Direkomendasikan",ROW($6:$1005)-5),538)),KotaKode,2,0),"-"),"")),"")</f>
        <v/>
      </c>
      <c r="K539" t="str">
        <f t="array" aca="1" ref="K539" ca="1">IFERROR(IF(OR(INDEX(checklistPesertaKemenkeu!$O$6:$O$1005,SMALL(IF(checklistPesertaKemenkeu!$AY$6:$AY$1005="Direkomendasikan",ROW($6:$1005)-5),538))="",INDEX(checklistPesertaKemenkeu!$J$6:$J$1005,SMALL(IF(checklistPesertaKemenkeu!$AY$6:$AY$1005="Direkomendasikan",ROW($6:$1005)-5),538))=""),"",IF(AND(COUNTIF(INDIRECT("K_"&amp;MATCH(INDEX(checklistPesertaKemenkeu!$J$6:$J$1005,SMALL(IF(checklistPesertaKemenkeu!$AY$6:$AY$1005="Direkomendasikan",ROW($6:$1005)-5),538)),BidangList,0)),INDEX(checklistPesertaKemenkeu!$O$6:$O$1005,SMALL(IF(checklistPesertaKemenkeu!$AY$6:$AY$1005="Direkomendasikan",ROW($6:$1005)-5),538)))&gt;0,COUNTIF(INDIRECT("'KERTAS KERJA'!K"&amp;(SMALL(IF(checklistPesertaKemenkeu!$AY$6:$AY$1005="Direkomendasikan",ROW($6:$1005)-5),538)+5)&amp;":O"&amp;(SMALL(IF(checklistPesertaKemenkeu!$AY$6:$AY$1005="Direkomendasikan",ROW($6:$1005)-5),538)+5)),INDEX(checklistPesertaKemenkeu!$O$6:$O$1005,SMALL(IF(checklistPesertaKemenkeu!$AY$6:$AY$1005="Direkomendasikan",ROW($6:$1005)-5),538)))=1),IFERROR(VLOOKUP(INDEX(checklistPesertaKemenkeu!$O$6:$O$1005,SMALL(IF(checklistPesertaKemenkeu!$AY$6:$AY$1005="Direkomendasikan",ROW($6:$1005)-5),538)),KotaKode,2,0),"-"),"")),"")</f>
        <v/>
      </c>
      <c r="L539" t="str">
        <f t="array" aca="1" ref="L539" ca="1">IFERROR(IF(OR(INDEX(checklistPesertaKemenkeu!$P$6:$P$1005,SMALL(IF(checklistPesertaKemenkeu!$AY$6:$AY$1005="Direkomendasikan",ROW($6:$1005)-5),538))="",INDEX(checklistPesertaKemenkeu!$J$6:$J$1005,SMALL(IF(checklistPesertaKemenkeu!$AY$6:$AY$1005="Direkomendasikan",ROW($6:$1005)-5),538))=""),"",IF(AND(COUNTIF(INDIRECT("K_"&amp;MATCH(INDEX(checklistPesertaKemenkeu!$J$6:$J$1005,SMALL(IF(checklistPesertaKemenkeu!$AY$6:$AY$1005="Direkomendasikan",ROW($6:$1005)-5),538)),BidangList,0)),INDEX(checklistPesertaKemenkeu!$P$6:$P$1005,SMALL(IF(checklistPesertaKemenkeu!$AY$6:$AY$1005="Direkomendasikan",ROW($6:$1005)-5),538)))&gt;0,COUNTIF(INDIRECT("'KERTAS KERJA'!K"&amp;(SMALL(IF(checklistPesertaKemenkeu!$AY$6:$AY$1005="Direkomendasikan",ROW($6:$1005)-5),538)+5)&amp;":O"&amp;(SMALL(IF(checklistPesertaKemenkeu!$AY$6:$AY$1005="Direkomendasikan",ROW($6:$1005)-5),538)+5)),INDEX(checklistPesertaKemenkeu!$P$6:$P$1005,SMALL(IF(checklistPesertaKemenkeu!$AY$6:$AY$1005="Direkomendasikan",ROW($6:$1005)-5),538)))=1),IFERROR(VLOOKUP(INDEX(checklistPesertaKemenkeu!$P$6:$P$1005,SMALL(IF(checklistPesertaKemenkeu!$AY$6:$AY$1005="Direkomendasikan",ROW($6:$1005)-5),538)),KotaKode,2,0),"-"),"")),"")</f>
        <v/>
      </c>
    </row>
    <row r="540" spans="1:12" ht="15" customHeight="1" x14ac:dyDescent="0.2">
      <c r="A540" t="str">
        <f t="shared" si="8"/>
        <v/>
      </c>
      <c r="B540" t="str">
        <v/>
      </c>
      <c r="C540" s="40" t="str">
        <f t="array" ref="C540">IFERROR(INDEX(checklistPesertaKemenkeu!$F$6:$F$1005,SMALL(IF(checklistPesertaKemenkeu!$AY$6:$AY$1005="Direkomendasikan",ROW($6:$1005)-5),539)),"")</f>
        <v/>
      </c>
      <c r="D540" t="str">
        <f t="array" ref="D540">IFERROR(INDEX(checklistPesertaKemenkeu!$G$6:$G$1005,SMALL(IF(checklistPesertaKemenkeu!$AY$6:$AY$1005="Direkomendasikan",ROW($6:$1005)-5),539)),"")</f>
        <v/>
      </c>
      <c r="E540" t="str">
        <f t="array" ref="E540">IFERROR(INDEX(checklistPesertaKemenkeu!$H$6:$H$1005,SMALL(IF(checklistPesertaKemenkeu!$AY$6:$AY$1005="Direkomendasikan",ROW($6:$1005)-5),539)),"")</f>
        <v/>
      </c>
      <c r="F540" t="str">
        <f t="array" ref="F540">IFERROR(INDEX(checklistPesertaKemenkeu!$I$6:$I$1005,SMALL(IF(checklistPesertaKemenkeu!$AY$6:$AY$1005="Direkomendasikan",ROW($6:$1005)-5),539)),"")</f>
        <v/>
      </c>
      <c r="G540" t="str">
        <f t="array" ref="G540">IFERROR(INDEX(checklistPesertaKemenkeu!$J$6:$J$1005,SMALL(IF(checklistPesertaKemenkeu!$AY$6:$AY$1005="Direkomendasikan",ROW($6:$1005)-5),539)),"")</f>
        <v/>
      </c>
      <c r="H540" t="str">
        <f t="array" aca="1" ref="H540" ca="1">IFERROR(IF(OR(INDEX(checklistPesertaKemenkeu!$L$6:$L$1005,SMALL(IF(checklistPesertaKemenkeu!$AY$6:$AY$1005="Direkomendasikan",ROW($6:$1005)-5),539))="",INDEX(checklistPesertaKemenkeu!$J$6:$J$1005,SMALL(IF(checklistPesertaKemenkeu!$AY$6:$AY$1005="Direkomendasikan",ROW($6:$1005)-5),539))=""),"",IF(AND(COUNTIF(INDIRECT("K_"&amp;MATCH(INDEX(checklistPesertaKemenkeu!$J$6:$J$1005,SMALL(IF(checklistPesertaKemenkeu!$AY$6:$AY$1005="Direkomendasikan",ROW($6:$1005)-5),539)),BidangList,0)),INDEX(checklistPesertaKemenkeu!$L$6:$L$1005,SMALL(IF(checklistPesertaKemenkeu!$AY$6:$AY$1005="Direkomendasikan",ROW($6:$1005)-5),539)))&gt;0,COUNTIF(INDIRECT("'KERTAS KERJA'!K"&amp;(SMALL(IF(checklistPesertaKemenkeu!$AY$6:$AY$1005="Direkomendasikan",ROW($6:$1005)-5),539)+5)&amp;":O"&amp;(SMALL(IF(checklistPesertaKemenkeu!$AY$6:$AY$1005="Direkomendasikan",ROW($6:$1005)-5),539)+5)),INDEX(checklistPesertaKemenkeu!$L$6:$L$1005,SMALL(IF(checklistPesertaKemenkeu!$AY$6:$AY$1005="Direkomendasikan",ROW($6:$1005)-5),539)))=1),IFERROR(VLOOKUP(INDEX(checklistPesertaKemenkeu!$L$6:$L$1005,SMALL(IF(checklistPesertaKemenkeu!$AY$6:$AY$1005="Direkomendasikan",ROW($6:$1005)-5),539)),KotaKode,2,0),"-"),"")),"")</f>
        <v/>
      </c>
      <c r="I540" t="str">
        <f t="array" aca="1" ref="I540" ca="1">IFERROR(IF(OR(INDEX(checklistPesertaKemenkeu!$M$6:$M$1005,SMALL(IF(checklistPesertaKemenkeu!$AY$6:$AY$1005="Direkomendasikan",ROW($6:$1005)-5),539))="",INDEX(checklistPesertaKemenkeu!$J$6:$J$1005,SMALL(IF(checklistPesertaKemenkeu!$AY$6:$AY$1005="Direkomendasikan",ROW($6:$1005)-5),539))=""),"",IF(AND(COUNTIF(INDIRECT("K_"&amp;MATCH(INDEX(checklistPesertaKemenkeu!$J$6:$J$1005,SMALL(IF(checklistPesertaKemenkeu!$AY$6:$AY$1005="Direkomendasikan",ROW($6:$1005)-5),539)),BidangList,0)),INDEX(checklistPesertaKemenkeu!$M$6:$M$1005,SMALL(IF(checklistPesertaKemenkeu!$AY$6:$AY$1005="Direkomendasikan",ROW($6:$1005)-5),539)))&gt;0,COUNTIF(INDIRECT("'KERTAS KERJA'!K"&amp;(SMALL(IF(checklistPesertaKemenkeu!$AY$6:$AY$1005="Direkomendasikan",ROW($6:$1005)-5),539)+5)&amp;":O"&amp;(SMALL(IF(checklistPesertaKemenkeu!$AY$6:$AY$1005="Direkomendasikan",ROW($6:$1005)-5),539)+5)),INDEX(checklistPesertaKemenkeu!$M$6:$M$1005,SMALL(IF(checklistPesertaKemenkeu!$AY$6:$AY$1005="Direkomendasikan",ROW($6:$1005)-5),539)))=1),IFERROR(VLOOKUP(INDEX(checklistPesertaKemenkeu!$M$6:$M$1005,SMALL(IF(checklistPesertaKemenkeu!$AY$6:$AY$1005="Direkomendasikan",ROW($6:$1005)-5),539)),KotaKode,2,0),"-"),"")),"")</f>
        <v/>
      </c>
      <c r="J540" t="str">
        <f t="array" aca="1" ref="J540" ca="1">IFERROR(IF(OR(INDEX(checklistPesertaKemenkeu!$N$6:$N$1005,SMALL(IF(checklistPesertaKemenkeu!$AY$6:$AY$1005="Direkomendasikan",ROW($6:$1005)-5),539))="",INDEX(checklistPesertaKemenkeu!$J$6:$J$1005,SMALL(IF(checklistPesertaKemenkeu!$AY$6:$AY$1005="Direkomendasikan",ROW($6:$1005)-5),539))=""),"",IF(AND(COUNTIF(INDIRECT("K_"&amp;MATCH(INDEX(checklistPesertaKemenkeu!$J$6:$J$1005,SMALL(IF(checklistPesertaKemenkeu!$AY$6:$AY$1005="Direkomendasikan",ROW($6:$1005)-5),539)),BidangList,0)),INDEX(checklistPesertaKemenkeu!$N$6:$N$1005,SMALL(IF(checklistPesertaKemenkeu!$AY$6:$AY$1005="Direkomendasikan",ROW($6:$1005)-5),539)))&gt;0,COUNTIF(INDIRECT("'KERTAS KERJA'!K"&amp;(SMALL(IF(checklistPesertaKemenkeu!$AY$6:$AY$1005="Direkomendasikan",ROW($6:$1005)-5),539)+5)&amp;":O"&amp;(SMALL(IF(checklistPesertaKemenkeu!$AY$6:$AY$1005="Direkomendasikan",ROW($6:$1005)-5),539)+5)),INDEX(checklistPesertaKemenkeu!$N$6:$N$1005,SMALL(IF(checklistPesertaKemenkeu!$AY$6:$AY$1005="Direkomendasikan",ROW($6:$1005)-5),539)))=1),IFERROR(VLOOKUP(INDEX(checklistPesertaKemenkeu!$N$6:$N$1005,SMALL(IF(checklistPesertaKemenkeu!$AY$6:$AY$1005="Direkomendasikan",ROW($6:$1005)-5),539)),KotaKode,2,0),"-"),"")),"")</f>
        <v/>
      </c>
      <c r="K540" t="str">
        <f t="array" aca="1" ref="K540" ca="1">IFERROR(IF(OR(INDEX(checklistPesertaKemenkeu!$O$6:$O$1005,SMALL(IF(checklistPesertaKemenkeu!$AY$6:$AY$1005="Direkomendasikan",ROW($6:$1005)-5),539))="",INDEX(checklistPesertaKemenkeu!$J$6:$J$1005,SMALL(IF(checklistPesertaKemenkeu!$AY$6:$AY$1005="Direkomendasikan",ROW($6:$1005)-5),539))=""),"",IF(AND(COUNTIF(INDIRECT("K_"&amp;MATCH(INDEX(checklistPesertaKemenkeu!$J$6:$J$1005,SMALL(IF(checklistPesertaKemenkeu!$AY$6:$AY$1005="Direkomendasikan",ROW($6:$1005)-5),539)),BidangList,0)),INDEX(checklistPesertaKemenkeu!$O$6:$O$1005,SMALL(IF(checklistPesertaKemenkeu!$AY$6:$AY$1005="Direkomendasikan",ROW($6:$1005)-5),539)))&gt;0,COUNTIF(INDIRECT("'KERTAS KERJA'!K"&amp;(SMALL(IF(checklistPesertaKemenkeu!$AY$6:$AY$1005="Direkomendasikan",ROW($6:$1005)-5),539)+5)&amp;":O"&amp;(SMALL(IF(checklistPesertaKemenkeu!$AY$6:$AY$1005="Direkomendasikan",ROW($6:$1005)-5),539)+5)),INDEX(checklistPesertaKemenkeu!$O$6:$O$1005,SMALL(IF(checklistPesertaKemenkeu!$AY$6:$AY$1005="Direkomendasikan",ROW($6:$1005)-5),539)))=1),IFERROR(VLOOKUP(INDEX(checklistPesertaKemenkeu!$O$6:$O$1005,SMALL(IF(checklistPesertaKemenkeu!$AY$6:$AY$1005="Direkomendasikan",ROW($6:$1005)-5),539)),KotaKode,2,0),"-"),"")),"")</f>
        <v/>
      </c>
      <c r="L540" t="str">
        <f t="array" aca="1" ref="L540" ca="1">IFERROR(IF(OR(INDEX(checklistPesertaKemenkeu!$P$6:$P$1005,SMALL(IF(checklistPesertaKemenkeu!$AY$6:$AY$1005="Direkomendasikan",ROW($6:$1005)-5),539))="",INDEX(checklistPesertaKemenkeu!$J$6:$J$1005,SMALL(IF(checklistPesertaKemenkeu!$AY$6:$AY$1005="Direkomendasikan",ROW($6:$1005)-5),539))=""),"",IF(AND(COUNTIF(INDIRECT("K_"&amp;MATCH(INDEX(checklistPesertaKemenkeu!$J$6:$J$1005,SMALL(IF(checklistPesertaKemenkeu!$AY$6:$AY$1005="Direkomendasikan",ROW($6:$1005)-5),539)),BidangList,0)),INDEX(checklistPesertaKemenkeu!$P$6:$P$1005,SMALL(IF(checklistPesertaKemenkeu!$AY$6:$AY$1005="Direkomendasikan",ROW($6:$1005)-5),539)))&gt;0,COUNTIF(INDIRECT("'KERTAS KERJA'!K"&amp;(SMALL(IF(checklistPesertaKemenkeu!$AY$6:$AY$1005="Direkomendasikan",ROW($6:$1005)-5),539)+5)&amp;":O"&amp;(SMALL(IF(checklistPesertaKemenkeu!$AY$6:$AY$1005="Direkomendasikan",ROW($6:$1005)-5),539)+5)),INDEX(checklistPesertaKemenkeu!$P$6:$P$1005,SMALL(IF(checklistPesertaKemenkeu!$AY$6:$AY$1005="Direkomendasikan",ROW($6:$1005)-5),539)))=1),IFERROR(VLOOKUP(INDEX(checklistPesertaKemenkeu!$P$6:$P$1005,SMALL(IF(checklistPesertaKemenkeu!$AY$6:$AY$1005="Direkomendasikan",ROW($6:$1005)-5),539)),KotaKode,2,0),"-"),"")),"")</f>
        <v/>
      </c>
    </row>
    <row r="541" spans="1:12" ht="15" customHeight="1" x14ac:dyDescent="0.2">
      <c r="A541" t="str">
        <f t="shared" si="8"/>
        <v/>
      </c>
      <c r="B541" t="str">
        <v/>
      </c>
      <c r="C541" s="40" t="str">
        <f t="array" ref="C541">IFERROR(INDEX(checklistPesertaKemenkeu!$F$6:$F$1005,SMALL(IF(checklistPesertaKemenkeu!$AY$6:$AY$1005="Direkomendasikan",ROW($6:$1005)-5),540)),"")</f>
        <v/>
      </c>
      <c r="D541" t="str">
        <f t="array" ref="D541">IFERROR(INDEX(checklistPesertaKemenkeu!$G$6:$G$1005,SMALL(IF(checklistPesertaKemenkeu!$AY$6:$AY$1005="Direkomendasikan",ROW($6:$1005)-5),540)),"")</f>
        <v/>
      </c>
      <c r="E541" t="str">
        <f t="array" ref="E541">IFERROR(INDEX(checklistPesertaKemenkeu!$H$6:$H$1005,SMALL(IF(checklistPesertaKemenkeu!$AY$6:$AY$1005="Direkomendasikan",ROW($6:$1005)-5),540)),"")</f>
        <v/>
      </c>
      <c r="F541" t="str">
        <f t="array" ref="F541">IFERROR(INDEX(checklistPesertaKemenkeu!$I$6:$I$1005,SMALL(IF(checklistPesertaKemenkeu!$AY$6:$AY$1005="Direkomendasikan",ROW($6:$1005)-5),540)),"")</f>
        <v/>
      </c>
      <c r="G541" t="str">
        <f t="array" ref="G541">IFERROR(INDEX(checklistPesertaKemenkeu!$J$6:$J$1005,SMALL(IF(checklistPesertaKemenkeu!$AY$6:$AY$1005="Direkomendasikan",ROW($6:$1005)-5),540)),"")</f>
        <v/>
      </c>
      <c r="H541" t="str">
        <f t="array" aca="1" ref="H541" ca="1">IFERROR(IF(OR(INDEX(checklistPesertaKemenkeu!$L$6:$L$1005,SMALL(IF(checklistPesertaKemenkeu!$AY$6:$AY$1005="Direkomendasikan",ROW($6:$1005)-5),540))="",INDEX(checklistPesertaKemenkeu!$J$6:$J$1005,SMALL(IF(checklistPesertaKemenkeu!$AY$6:$AY$1005="Direkomendasikan",ROW($6:$1005)-5),540))=""),"",IF(AND(COUNTIF(INDIRECT("K_"&amp;MATCH(INDEX(checklistPesertaKemenkeu!$J$6:$J$1005,SMALL(IF(checklistPesertaKemenkeu!$AY$6:$AY$1005="Direkomendasikan",ROW($6:$1005)-5),540)),BidangList,0)),INDEX(checklistPesertaKemenkeu!$L$6:$L$1005,SMALL(IF(checklistPesertaKemenkeu!$AY$6:$AY$1005="Direkomendasikan",ROW($6:$1005)-5),540)))&gt;0,COUNTIF(INDIRECT("'KERTAS KERJA'!K"&amp;(SMALL(IF(checklistPesertaKemenkeu!$AY$6:$AY$1005="Direkomendasikan",ROW($6:$1005)-5),540)+5)&amp;":O"&amp;(SMALL(IF(checklistPesertaKemenkeu!$AY$6:$AY$1005="Direkomendasikan",ROW($6:$1005)-5),540)+5)),INDEX(checklistPesertaKemenkeu!$L$6:$L$1005,SMALL(IF(checklistPesertaKemenkeu!$AY$6:$AY$1005="Direkomendasikan",ROW($6:$1005)-5),540)))=1),IFERROR(VLOOKUP(INDEX(checklistPesertaKemenkeu!$L$6:$L$1005,SMALL(IF(checklistPesertaKemenkeu!$AY$6:$AY$1005="Direkomendasikan",ROW($6:$1005)-5),540)),KotaKode,2,0),"-"),"")),"")</f>
        <v/>
      </c>
      <c r="I541" t="str">
        <f t="array" aca="1" ref="I541" ca="1">IFERROR(IF(OR(INDEX(checklistPesertaKemenkeu!$M$6:$M$1005,SMALL(IF(checklistPesertaKemenkeu!$AY$6:$AY$1005="Direkomendasikan",ROW($6:$1005)-5),540))="",INDEX(checklistPesertaKemenkeu!$J$6:$J$1005,SMALL(IF(checklistPesertaKemenkeu!$AY$6:$AY$1005="Direkomendasikan",ROW($6:$1005)-5),540))=""),"",IF(AND(COUNTIF(INDIRECT("K_"&amp;MATCH(INDEX(checklistPesertaKemenkeu!$J$6:$J$1005,SMALL(IF(checklistPesertaKemenkeu!$AY$6:$AY$1005="Direkomendasikan",ROW($6:$1005)-5),540)),BidangList,0)),INDEX(checklistPesertaKemenkeu!$M$6:$M$1005,SMALL(IF(checklistPesertaKemenkeu!$AY$6:$AY$1005="Direkomendasikan",ROW($6:$1005)-5),540)))&gt;0,COUNTIF(INDIRECT("'KERTAS KERJA'!K"&amp;(SMALL(IF(checklistPesertaKemenkeu!$AY$6:$AY$1005="Direkomendasikan",ROW($6:$1005)-5),540)+5)&amp;":O"&amp;(SMALL(IF(checklistPesertaKemenkeu!$AY$6:$AY$1005="Direkomendasikan",ROW($6:$1005)-5),540)+5)),INDEX(checklistPesertaKemenkeu!$M$6:$M$1005,SMALL(IF(checklistPesertaKemenkeu!$AY$6:$AY$1005="Direkomendasikan",ROW($6:$1005)-5),540)))=1),IFERROR(VLOOKUP(INDEX(checklistPesertaKemenkeu!$M$6:$M$1005,SMALL(IF(checklistPesertaKemenkeu!$AY$6:$AY$1005="Direkomendasikan",ROW($6:$1005)-5),540)),KotaKode,2,0),"-"),"")),"")</f>
        <v/>
      </c>
      <c r="J541" t="str">
        <f t="array" aca="1" ref="J541" ca="1">IFERROR(IF(OR(INDEX(checklistPesertaKemenkeu!$N$6:$N$1005,SMALL(IF(checklistPesertaKemenkeu!$AY$6:$AY$1005="Direkomendasikan",ROW($6:$1005)-5),540))="",INDEX(checklistPesertaKemenkeu!$J$6:$J$1005,SMALL(IF(checklistPesertaKemenkeu!$AY$6:$AY$1005="Direkomendasikan",ROW($6:$1005)-5),540))=""),"",IF(AND(COUNTIF(INDIRECT("K_"&amp;MATCH(INDEX(checklistPesertaKemenkeu!$J$6:$J$1005,SMALL(IF(checklistPesertaKemenkeu!$AY$6:$AY$1005="Direkomendasikan",ROW($6:$1005)-5),540)),BidangList,0)),INDEX(checklistPesertaKemenkeu!$N$6:$N$1005,SMALL(IF(checklistPesertaKemenkeu!$AY$6:$AY$1005="Direkomendasikan",ROW($6:$1005)-5),540)))&gt;0,COUNTIF(INDIRECT("'KERTAS KERJA'!K"&amp;(SMALL(IF(checklistPesertaKemenkeu!$AY$6:$AY$1005="Direkomendasikan",ROW($6:$1005)-5),540)+5)&amp;":O"&amp;(SMALL(IF(checklistPesertaKemenkeu!$AY$6:$AY$1005="Direkomendasikan",ROW($6:$1005)-5),540)+5)),INDEX(checklistPesertaKemenkeu!$N$6:$N$1005,SMALL(IF(checklistPesertaKemenkeu!$AY$6:$AY$1005="Direkomendasikan",ROW($6:$1005)-5),540)))=1),IFERROR(VLOOKUP(INDEX(checklistPesertaKemenkeu!$N$6:$N$1005,SMALL(IF(checklistPesertaKemenkeu!$AY$6:$AY$1005="Direkomendasikan",ROW($6:$1005)-5),540)),KotaKode,2,0),"-"),"")),"")</f>
        <v/>
      </c>
      <c r="K541" t="str">
        <f t="array" aca="1" ref="K541" ca="1">IFERROR(IF(OR(INDEX(checklistPesertaKemenkeu!$O$6:$O$1005,SMALL(IF(checklistPesertaKemenkeu!$AY$6:$AY$1005="Direkomendasikan",ROW($6:$1005)-5),540))="",INDEX(checklistPesertaKemenkeu!$J$6:$J$1005,SMALL(IF(checklistPesertaKemenkeu!$AY$6:$AY$1005="Direkomendasikan",ROW($6:$1005)-5),540))=""),"",IF(AND(COUNTIF(INDIRECT("K_"&amp;MATCH(INDEX(checklistPesertaKemenkeu!$J$6:$J$1005,SMALL(IF(checklistPesertaKemenkeu!$AY$6:$AY$1005="Direkomendasikan",ROW($6:$1005)-5),540)),BidangList,0)),INDEX(checklistPesertaKemenkeu!$O$6:$O$1005,SMALL(IF(checklistPesertaKemenkeu!$AY$6:$AY$1005="Direkomendasikan",ROW($6:$1005)-5),540)))&gt;0,COUNTIF(INDIRECT("'KERTAS KERJA'!K"&amp;(SMALL(IF(checklistPesertaKemenkeu!$AY$6:$AY$1005="Direkomendasikan",ROW($6:$1005)-5),540)+5)&amp;":O"&amp;(SMALL(IF(checklistPesertaKemenkeu!$AY$6:$AY$1005="Direkomendasikan",ROW($6:$1005)-5),540)+5)),INDEX(checklistPesertaKemenkeu!$O$6:$O$1005,SMALL(IF(checklistPesertaKemenkeu!$AY$6:$AY$1005="Direkomendasikan",ROW($6:$1005)-5),540)))=1),IFERROR(VLOOKUP(INDEX(checklistPesertaKemenkeu!$O$6:$O$1005,SMALL(IF(checklistPesertaKemenkeu!$AY$6:$AY$1005="Direkomendasikan",ROW($6:$1005)-5),540)),KotaKode,2,0),"-"),"")),"")</f>
        <v/>
      </c>
      <c r="L541" t="str">
        <f t="array" aca="1" ref="L541" ca="1">IFERROR(IF(OR(INDEX(checklistPesertaKemenkeu!$P$6:$P$1005,SMALL(IF(checklistPesertaKemenkeu!$AY$6:$AY$1005="Direkomendasikan",ROW($6:$1005)-5),540))="",INDEX(checklistPesertaKemenkeu!$J$6:$J$1005,SMALL(IF(checklistPesertaKemenkeu!$AY$6:$AY$1005="Direkomendasikan",ROW($6:$1005)-5),540))=""),"",IF(AND(COUNTIF(INDIRECT("K_"&amp;MATCH(INDEX(checklistPesertaKemenkeu!$J$6:$J$1005,SMALL(IF(checklistPesertaKemenkeu!$AY$6:$AY$1005="Direkomendasikan",ROW($6:$1005)-5),540)),BidangList,0)),INDEX(checklistPesertaKemenkeu!$P$6:$P$1005,SMALL(IF(checklistPesertaKemenkeu!$AY$6:$AY$1005="Direkomendasikan",ROW($6:$1005)-5),540)))&gt;0,COUNTIF(INDIRECT("'KERTAS KERJA'!K"&amp;(SMALL(IF(checklistPesertaKemenkeu!$AY$6:$AY$1005="Direkomendasikan",ROW($6:$1005)-5),540)+5)&amp;":O"&amp;(SMALL(IF(checklistPesertaKemenkeu!$AY$6:$AY$1005="Direkomendasikan",ROW($6:$1005)-5),540)+5)),INDEX(checklistPesertaKemenkeu!$P$6:$P$1005,SMALL(IF(checklistPesertaKemenkeu!$AY$6:$AY$1005="Direkomendasikan",ROW($6:$1005)-5),540)))=1),IFERROR(VLOOKUP(INDEX(checklistPesertaKemenkeu!$P$6:$P$1005,SMALL(IF(checklistPesertaKemenkeu!$AY$6:$AY$1005="Direkomendasikan",ROW($6:$1005)-5),540)),KotaKode,2,0),"-"),"")),"")</f>
        <v/>
      </c>
    </row>
    <row r="542" spans="1:12" ht="15" customHeight="1" x14ac:dyDescent="0.2">
      <c r="A542" t="str">
        <f t="shared" si="8"/>
        <v/>
      </c>
      <c r="B542" t="str">
        <v/>
      </c>
      <c r="C542" s="40" t="str">
        <f t="array" ref="C542">IFERROR(INDEX(checklistPesertaKemenkeu!$F$6:$F$1005,SMALL(IF(checklistPesertaKemenkeu!$AY$6:$AY$1005="Direkomendasikan",ROW($6:$1005)-5),541)),"")</f>
        <v/>
      </c>
      <c r="D542" t="str">
        <f t="array" ref="D542">IFERROR(INDEX(checklistPesertaKemenkeu!$G$6:$G$1005,SMALL(IF(checklistPesertaKemenkeu!$AY$6:$AY$1005="Direkomendasikan",ROW($6:$1005)-5),541)),"")</f>
        <v/>
      </c>
      <c r="E542" t="str">
        <f t="array" ref="E542">IFERROR(INDEX(checklistPesertaKemenkeu!$H$6:$H$1005,SMALL(IF(checklistPesertaKemenkeu!$AY$6:$AY$1005="Direkomendasikan",ROW($6:$1005)-5),541)),"")</f>
        <v/>
      </c>
      <c r="F542" t="str">
        <f t="array" ref="F542">IFERROR(INDEX(checklistPesertaKemenkeu!$I$6:$I$1005,SMALL(IF(checklistPesertaKemenkeu!$AY$6:$AY$1005="Direkomendasikan",ROW($6:$1005)-5),541)),"")</f>
        <v/>
      </c>
      <c r="G542" t="str">
        <f t="array" ref="G542">IFERROR(INDEX(checklistPesertaKemenkeu!$J$6:$J$1005,SMALL(IF(checklistPesertaKemenkeu!$AY$6:$AY$1005="Direkomendasikan",ROW($6:$1005)-5),541)),"")</f>
        <v/>
      </c>
      <c r="H542" t="str">
        <f t="array" aca="1" ref="H542" ca="1">IFERROR(IF(OR(INDEX(checklistPesertaKemenkeu!$L$6:$L$1005,SMALL(IF(checklistPesertaKemenkeu!$AY$6:$AY$1005="Direkomendasikan",ROW($6:$1005)-5),541))="",INDEX(checklistPesertaKemenkeu!$J$6:$J$1005,SMALL(IF(checklistPesertaKemenkeu!$AY$6:$AY$1005="Direkomendasikan",ROW($6:$1005)-5),541))=""),"",IF(AND(COUNTIF(INDIRECT("K_"&amp;MATCH(INDEX(checklistPesertaKemenkeu!$J$6:$J$1005,SMALL(IF(checklistPesertaKemenkeu!$AY$6:$AY$1005="Direkomendasikan",ROW($6:$1005)-5),541)),BidangList,0)),INDEX(checklistPesertaKemenkeu!$L$6:$L$1005,SMALL(IF(checklistPesertaKemenkeu!$AY$6:$AY$1005="Direkomendasikan",ROW($6:$1005)-5),541)))&gt;0,COUNTIF(INDIRECT("'KERTAS KERJA'!K"&amp;(SMALL(IF(checklistPesertaKemenkeu!$AY$6:$AY$1005="Direkomendasikan",ROW($6:$1005)-5),541)+5)&amp;":O"&amp;(SMALL(IF(checklistPesertaKemenkeu!$AY$6:$AY$1005="Direkomendasikan",ROW($6:$1005)-5),541)+5)),INDEX(checklistPesertaKemenkeu!$L$6:$L$1005,SMALL(IF(checklistPesertaKemenkeu!$AY$6:$AY$1005="Direkomendasikan",ROW($6:$1005)-5),541)))=1),IFERROR(VLOOKUP(INDEX(checklistPesertaKemenkeu!$L$6:$L$1005,SMALL(IF(checklistPesertaKemenkeu!$AY$6:$AY$1005="Direkomendasikan",ROW($6:$1005)-5),541)),KotaKode,2,0),"-"),"")),"")</f>
        <v/>
      </c>
      <c r="I542" t="str">
        <f t="array" aca="1" ref="I542" ca="1">IFERROR(IF(OR(INDEX(checklistPesertaKemenkeu!$M$6:$M$1005,SMALL(IF(checklistPesertaKemenkeu!$AY$6:$AY$1005="Direkomendasikan",ROW($6:$1005)-5),541))="",INDEX(checklistPesertaKemenkeu!$J$6:$J$1005,SMALL(IF(checklistPesertaKemenkeu!$AY$6:$AY$1005="Direkomendasikan",ROW($6:$1005)-5),541))=""),"",IF(AND(COUNTIF(INDIRECT("K_"&amp;MATCH(INDEX(checklistPesertaKemenkeu!$J$6:$J$1005,SMALL(IF(checklistPesertaKemenkeu!$AY$6:$AY$1005="Direkomendasikan",ROW($6:$1005)-5),541)),BidangList,0)),INDEX(checklistPesertaKemenkeu!$M$6:$M$1005,SMALL(IF(checklistPesertaKemenkeu!$AY$6:$AY$1005="Direkomendasikan",ROW($6:$1005)-5),541)))&gt;0,COUNTIF(INDIRECT("'KERTAS KERJA'!K"&amp;(SMALL(IF(checklistPesertaKemenkeu!$AY$6:$AY$1005="Direkomendasikan",ROW($6:$1005)-5),541)+5)&amp;":O"&amp;(SMALL(IF(checklistPesertaKemenkeu!$AY$6:$AY$1005="Direkomendasikan",ROW($6:$1005)-5),541)+5)),INDEX(checklistPesertaKemenkeu!$M$6:$M$1005,SMALL(IF(checklistPesertaKemenkeu!$AY$6:$AY$1005="Direkomendasikan",ROW($6:$1005)-5),541)))=1),IFERROR(VLOOKUP(INDEX(checklistPesertaKemenkeu!$M$6:$M$1005,SMALL(IF(checklistPesertaKemenkeu!$AY$6:$AY$1005="Direkomendasikan",ROW($6:$1005)-5),541)),KotaKode,2,0),"-"),"")),"")</f>
        <v/>
      </c>
      <c r="J542" t="str">
        <f t="array" aca="1" ref="J542" ca="1">IFERROR(IF(OR(INDEX(checklistPesertaKemenkeu!$N$6:$N$1005,SMALL(IF(checklistPesertaKemenkeu!$AY$6:$AY$1005="Direkomendasikan",ROW($6:$1005)-5),541))="",INDEX(checklistPesertaKemenkeu!$J$6:$J$1005,SMALL(IF(checklistPesertaKemenkeu!$AY$6:$AY$1005="Direkomendasikan",ROW($6:$1005)-5),541))=""),"",IF(AND(COUNTIF(INDIRECT("K_"&amp;MATCH(INDEX(checklistPesertaKemenkeu!$J$6:$J$1005,SMALL(IF(checklistPesertaKemenkeu!$AY$6:$AY$1005="Direkomendasikan",ROW($6:$1005)-5),541)),BidangList,0)),INDEX(checklistPesertaKemenkeu!$N$6:$N$1005,SMALL(IF(checklistPesertaKemenkeu!$AY$6:$AY$1005="Direkomendasikan",ROW($6:$1005)-5),541)))&gt;0,COUNTIF(INDIRECT("'KERTAS KERJA'!K"&amp;(SMALL(IF(checklistPesertaKemenkeu!$AY$6:$AY$1005="Direkomendasikan",ROW($6:$1005)-5),541)+5)&amp;":O"&amp;(SMALL(IF(checklistPesertaKemenkeu!$AY$6:$AY$1005="Direkomendasikan",ROW($6:$1005)-5),541)+5)),INDEX(checklistPesertaKemenkeu!$N$6:$N$1005,SMALL(IF(checklistPesertaKemenkeu!$AY$6:$AY$1005="Direkomendasikan",ROW($6:$1005)-5),541)))=1),IFERROR(VLOOKUP(INDEX(checklistPesertaKemenkeu!$N$6:$N$1005,SMALL(IF(checklistPesertaKemenkeu!$AY$6:$AY$1005="Direkomendasikan",ROW($6:$1005)-5),541)),KotaKode,2,0),"-"),"")),"")</f>
        <v/>
      </c>
      <c r="K542" t="str">
        <f t="array" aca="1" ref="K542" ca="1">IFERROR(IF(OR(INDEX(checklistPesertaKemenkeu!$O$6:$O$1005,SMALL(IF(checklistPesertaKemenkeu!$AY$6:$AY$1005="Direkomendasikan",ROW($6:$1005)-5),541))="",INDEX(checklistPesertaKemenkeu!$J$6:$J$1005,SMALL(IF(checklistPesertaKemenkeu!$AY$6:$AY$1005="Direkomendasikan",ROW($6:$1005)-5),541))=""),"",IF(AND(COUNTIF(INDIRECT("K_"&amp;MATCH(INDEX(checklistPesertaKemenkeu!$J$6:$J$1005,SMALL(IF(checklistPesertaKemenkeu!$AY$6:$AY$1005="Direkomendasikan",ROW($6:$1005)-5),541)),BidangList,0)),INDEX(checklistPesertaKemenkeu!$O$6:$O$1005,SMALL(IF(checklistPesertaKemenkeu!$AY$6:$AY$1005="Direkomendasikan",ROW($6:$1005)-5),541)))&gt;0,COUNTIF(INDIRECT("'KERTAS KERJA'!K"&amp;(SMALL(IF(checklistPesertaKemenkeu!$AY$6:$AY$1005="Direkomendasikan",ROW($6:$1005)-5),541)+5)&amp;":O"&amp;(SMALL(IF(checklistPesertaKemenkeu!$AY$6:$AY$1005="Direkomendasikan",ROW($6:$1005)-5),541)+5)),INDEX(checklistPesertaKemenkeu!$O$6:$O$1005,SMALL(IF(checklistPesertaKemenkeu!$AY$6:$AY$1005="Direkomendasikan",ROW($6:$1005)-5),541)))=1),IFERROR(VLOOKUP(INDEX(checklistPesertaKemenkeu!$O$6:$O$1005,SMALL(IF(checklistPesertaKemenkeu!$AY$6:$AY$1005="Direkomendasikan",ROW($6:$1005)-5),541)),KotaKode,2,0),"-"),"")),"")</f>
        <v/>
      </c>
      <c r="L542" t="str">
        <f t="array" aca="1" ref="L542" ca="1">IFERROR(IF(OR(INDEX(checklistPesertaKemenkeu!$P$6:$P$1005,SMALL(IF(checklistPesertaKemenkeu!$AY$6:$AY$1005="Direkomendasikan",ROW($6:$1005)-5),541))="",INDEX(checklistPesertaKemenkeu!$J$6:$J$1005,SMALL(IF(checklistPesertaKemenkeu!$AY$6:$AY$1005="Direkomendasikan",ROW($6:$1005)-5),541))=""),"",IF(AND(COUNTIF(INDIRECT("K_"&amp;MATCH(INDEX(checklistPesertaKemenkeu!$J$6:$J$1005,SMALL(IF(checklistPesertaKemenkeu!$AY$6:$AY$1005="Direkomendasikan",ROW($6:$1005)-5),541)),BidangList,0)),INDEX(checklistPesertaKemenkeu!$P$6:$P$1005,SMALL(IF(checklistPesertaKemenkeu!$AY$6:$AY$1005="Direkomendasikan",ROW($6:$1005)-5),541)))&gt;0,COUNTIF(INDIRECT("'KERTAS KERJA'!K"&amp;(SMALL(IF(checklistPesertaKemenkeu!$AY$6:$AY$1005="Direkomendasikan",ROW($6:$1005)-5),541)+5)&amp;":O"&amp;(SMALL(IF(checklistPesertaKemenkeu!$AY$6:$AY$1005="Direkomendasikan",ROW($6:$1005)-5),541)+5)),INDEX(checklistPesertaKemenkeu!$P$6:$P$1005,SMALL(IF(checklistPesertaKemenkeu!$AY$6:$AY$1005="Direkomendasikan",ROW($6:$1005)-5),541)))=1),IFERROR(VLOOKUP(INDEX(checklistPesertaKemenkeu!$P$6:$P$1005,SMALL(IF(checklistPesertaKemenkeu!$AY$6:$AY$1005="Direkomendasikan",ROW($6:$1005)-5),541)),KotaKode,2,0),"-"),"")),"")</f>
        <v/>
      </c>
    </row>
    <row r="543" spans="1:12" ht="15" customHeight="1" x14ac:dyDescent="0.2">
      <c r="A543" t="str">
        <f t="shared" si="8"/>
        <v/>
      </c>
      <c r="B543" t="str">
        <v/>
      </c>
      <c r="C543" s="40" t="str">
        <f t="array" ref="C543">IFERROR(INDEX(checklistPesertaKemenkeu!$F$6:$F$1005,SMALL(IF(checklistPesertaKemenkeu!$AY$6:$AY$1005="Direkomendasikan",ROW($6:$1005)-5),542)),"")</f>
        <v/>
      </c>
      <c r="D543" t="str">
        <f t="array" ref="D543">IFERROR(INDEX(checklistPesertaKemenkeu!$G$6:$G$1005,SMALL(IF(checklistPesertaKemenkeu!$AY$6:$AY$1005="Direkomendasikan",ROW($6:$1005)-5),542)),"")</f>
        <v/>
      </c>
      <c r="E543" t="str">
        <f t="array" ref="E543">IFERROR(INDEX(checklistPesertaKemenkeu!$H$6:$H$1005,SMALL(IF(checklistPesertaKemenkeu!$AY$6:$AY$1005="Direkomendasikan",ROW($6:$1005)-5),542)),"")</f>
        <v/>
      </c>
      <c r="F543" t="str">
        <f t="array" ref="F543">IFERROR(INDEX(checklistPesertaKemenkeu!$I$6:$I$1005,SMALL(IF(checklistPesertaKemenkeu!$AY$6:$AY$1005="Direkomendasikan",ROW($6:$1005)-5),542)),"")</f>
        <v/>
      </c>
      <c r="G543" t="str">
        <f t="array" ref="G543">IFERROR(INDEX(checklistPesertaKemenkeu!$J$6:$J$1005,SMALL(IF(checklistPesertaKemenkeu!$AY$6:$AY$1005="Direkomendasikan",ROW($6:$1005)-5),542)),"")</f>
        <v/>
      </c>
      <c r="H543" t="str">
        <f t="array" aca="1" ref="H543" ca="1">IFERROR(IF(OR(INDEX(checklistPesertaKemenkeu!$L$6:$L$1005,SMALL(IF(checklistPesertaKemenkeu!$AY$6:$AY$1005="Direkomendasikan",ROW($6:$1005)-5),542))="",INDEX(checklistPesertaKemenkeu!$J$6:$J$1005,SMALL(IF(checklistPesertaKemenkeu!$AY$6:$AY$1005="Direkomendasikan",ROW($6:$1005)-5),542))=""),"",IF(AND(COUNTIF(INDIRECT("K_"&amp;MATCH(INDEX(checklistPesertaKemenkeu!$J$6:$J$1005,SMALL(IF(checklistPesertaKemenkeu!$AY$6:$AY$1005="Direkomendasikan",ROW($6:$1005)-5),542)),BidangList,0)),INDEX(checklistPesertaKemenkeu!$L$6:$L$1005,SMALL(IF(checklistPesertaKemenkeu!$AY$6:$AY$1005="Direkomendasikan",ROW($6:$1005)-5),542)))&gt;0,COUNTIF(INDIRECT("'KERTAS KERJA'!K"&amp;(SMALL(IF(checklistPesertaKemenkeu!$AY$6:$AY$1005="Direkomendasikan",ROW($6:$1005)-5),542)+5)&amp;":O"&amp;(SMALL(IF(checklistPesertaKemenkeu!$AY$6:$AY$1005="Direkomendasikan",ROW($6:$1005)-5),542)+5)),INDEX(checklistPesertaKemenkeu!$L$6:$L$1005,SMALL(IF(checklistPesertaKemenkeu!$AY$6:$AY$1005="Direkomendasikan",ROW($6:$1005)-5),542)))=1),IFERROR(VLOOKUP(INDEX(checklistPesertaKemenkeu!$L$6:$L$1005,SMALL(IF(checklistPesertaKemenkeu!$AY$6:$AY$1005="Direkomendasikan",ROW($6:$1005)-5),542)),KotaKode,2,0),"-"),"")),"")</f>
        <v/>
      </c>
      <c r="I543" t="str">
        <f t="array" aca="1" ref="I543" ca="1">IFERROR(IF(OR(INDEX(checklistPesertaKemenkeu!$M$6:$M$1005,SMALL(IF(checklistPesertaKemenkeu!$AY$6:$AY$1005="Direkomendasikan",ROW($6:$1005)-5),542))="",INDEX(checklistPesertaKemenkeu!$J$6:$J$1005,SMALL(IF(checklistPesertaKemenkeu!$AY$6:$AY$1005="Direkomendasikan",ROW($6:$1005)-5),542))=""),"",IF(AND(COUNTIF(INDIRECT("K_"&amp;MATCH(INDEX(checklistPesertaKemenkeu!$J$6:$J$1005,SMALL(IF(checklistPesertaKemenkeu!$AY$6:$AY$1005="Direkomendasikan",ROW($6:$1005)-5),542)),BidangList,0)),INDEX(checklistPesertaKemenkeu!$M$6:$M$1005,SMALL(IF(checklistPesertaKemenkeu!$AY$6:$AY$1005="Direkomendasikan",ROW($6:$1005)-5),542)))&gt;0,COUNTIF(INDIRECT("'KERTAS KERJA'!K"&amp;(SMALL(IF(checklistPesertaKemenkeu!$AY$6:$AY$1005="Direkomendasikan",ROW($6:$1005)-5),542)+5)&amp;":O"&amp;(SMALL(IF(checklistPesertaKemenkeu!$AY$6:$AY$1005="Direkomendasikan",ROW($6:$1005)-5),542)+5)),INDEX(checklistPesertaKemenkeu!$M$6:$M$1005,SMALL(IF(checklistPesertaKemenkeu!$AY$6:$AY$1005="Direkomendasikan",ROW($6:$1005)-5),542)))=1),IFERROR(VLOOKUP(INDEX(checklistPesertaKemenkeu!$M$6:$M$1005,SMALL(IF(checklistPesertaKemenkeu!$AY$6:$AY$1005="Direkomendasikan",ROW($6:$1005)-5),542)),KotaKode,2,0),"-"),"")),"")</f>
        <v/>
      </c>
      <c r="J543" t="str">
        <f t="array" aca="1" ref="J543" ca="1">IFERROR(IF(OR(INDEX(checklistPesertaKemenkeu!$N$6:$N$1005,SMALL(IF(checklistPesertaKemenkeu!$AY$6:$AY$1005="Direkomendasikan",ROW($6:$1005)-5),542))="",INDEX(checklistPesertaKemenkeu!$J$6:$J$1005,SMALL(IF(checklistPesertaKemenkeu!$AY$6:$AY$1005="Direkomendasikan",ROW($6:$1005)-5),542))=""),"",IF(AND(COUNTIF(INDIRECT("K_"&amp;MATCH(INDEX(checklistPesertaKemenkeu!$J$6:$J$1005,SMALL(IF(checklistPesertaKemenkeu!$AY$6:$AY$1005="Direkomendasikan",ROW($6:$1005)-5),542)),BidangList,0)),INDEX(checklistPesertaKemenkeu!$N$6:$N$1005,SMALL(IF(checklistPesertaKemenkeu!$AY$6:$AY$1005="Direkomendasikan",ROW($6:$1005)-5),542)))&gt;0,COUNTIF(INDIRECT("'KERTAS KERJA'!K"&amp;(SMALL(IF(checklistPesertaKemenkeu!$AY$6:$AY$1005="Direkomendasikan",ROW($6:$1005)-5),542)+5)&amp;":O"&amp;(SMALL(IF(checklistPesertaKemenkeu!$AY$6:$AY$1005="Direkomendasikan",ROW($6:$1005)-5),542)+5)),INDEX(checklistPesertaKemenkeu!$N$6:$N$1005,SMALL(IF(checklistPesertaKemenkeu!$AY$6:$AY$1005="Direkomendasikan",ROW($6:$1005)-5),542)))=1),IFERROR(VLOOKUP(INDEX(checklistPesertaKemenkeu!$N$6:$N$1005,SMALL(IF(checklistPesertaKemenkeu!$AY$6:$AY$1005="Direkomendasikan",ROW($6:$1005)-5),542)),KotaKode,2,0),"-"),"")),"")</f>
        <v/>
      </c>
      <c r="K543" t="str">
        <f t="array" aca="1" ref="K543" ca="1">IFERROR(IF(OR(INDEX(checklistPesertaKemenkeu!$O$6:$O$1005,SMALL(IF(checklistPesertaKemenkeu!$AY$6:$AY$1005="Direkomendasikan",ROW($6:$1005)-5),542))="",INDEX(checklistPesertaKemenkeu!$J$6:$J$1005,SMALL(IF(checklistPesertaKemenkeu!$AY$6:$AY$1005="Direkomendasikan",ROW($6:$1005)-5),542))=""),"",IF(AND(COUNTIF(INDIRECT("K_"&amp;MATCH(INDEX(checklistPesertaKemenkeu!$J$6:$J$1005,SMALL(IF(checklistPesertaKemenkeu!$AY$6:$AY$1005="Direkomendasikan",ROW($6:$1005)-5),542)),BidangList,0)),INDEX(checklistPesertaKemenkeu!$O$6:$O$1005,SMALL(IF(checklistPesertaKemenkeu!$AY$6:$AY$1005="Direkomendasikan",ROW($6:$1005)-5),542)))&gt;0,COUNTIF(INDIRECT("'KERTAS KERJA'!K"&amp;(SMALL(IF(checklistPesertaKemenkeu!$AY$6:$AY$1005="Direkomendasikan",ROW($6:$1005)-5),542)+5)&amp;":O"&amp;(SMALL(IF(checklistPesertaKemenkeu!$AY$6:$AY$1005="Direkomendasikan",ROW($6:$1005)-5),542)+5)),INDEX(checklistPesertaKemenkeu!$O$6:$O$1005,SMALL(IF(checklistPesertaKemenkeu!$AY$6:$AY$1005="Direkomendasikan",ROW($6:$1005)-5),542)))=1),IFERROR(VLOOKUP(INDEX(checklistPesertaKemenkeu!$O$6:$O$1005,SMALL(IF(checklistPesertaKemenkeu!$AY$6:$AY$1005="Direkomendasikan",ROW($6:$1005)-5),542)),KotaKode,2,0),"-"),"")),"")</f>
        <v/>
      </c>
      <c r="L543" t="str">
        <f t="array" aca="1" ref="L543" ca="1">IFERROR(IF(OR(INDEX(checklistPesertaKemenkeu!$P$6:$P$1005,SMALL(IF(checklistPesertaKemenkeu!$AY$6:$AY$1005="Direkomendasikan",ROW($6:$1005)-5),542))="",INDEX(checklistPesertaKemenkeu!$J$6:$J$1005,SMALL(IF(checklistPesertaKemenkeu!$AY$6:$AY$1005="Direkomendasikan",ROW($6:$1005)-5),542))=""),"",IF(AND(COUNTIF(INDIRECT("K_"&amp;MATCH(INDEX(checklistPesertaKemenkeu!$J$6:$J$1005,SMALL(IF(checklistPesertaKemenkeu!$AY$6:$AY$1005="Direkomendasikan",ROW($6:$1005)-5),542)),BidangList,0)),INDEX(checklistPesertaKemenkeu!$P$6:$P$1005,SMALL(IF(checklistPesertaKemenkeu!$AY$6:$AY$1005="Direkomendasikan",ROW($6:$1005)-5),542)))&gt;0,COUNTIF(INDIRECT("'KERTAS KERJA'!K"&amp;(SMALL(IF(checklistPesertaKemenkeu!$AY$6:$AY$1005="Direkomendasikan",ROW($6:$1005)-5),542)+5)&amp;":O"&amp;(SMALL(IF(checklistPesertaKemenkeu!$AY$6:$AY$1005="Direkomendasikan",ROW($6:$1005)-5),542)+5)),INDEX(checklistPesertaKemenkeu!$P$6:$P$1005,SMALL(IF(checklistPesertaKemenkeu!$AY$6:$AY$1005="Direkomendasikan",ROW($6:$1005)-5),542)))=1),IFERROR(VLOOKUP(INDEX(checklistPesertaKemenkeu!$P$6:$P$1005,SMALL(IF(checklistPesertaKemenkeu!$AY$6:$AY$1005="Direkomendasikan",ROW($6:$1005)-5),542)),KotaKode,2,0),"-"),"")),"")</f>
        <v/>
      </c>
    </row>
    <row r="544" spans="1:12" ht="15" customHeight="1" x14ac:dyDescent="0.2">
      <c r="A544" t="str">
        <f t="shared" si="8"/>
        <v/>
      </c>
      <c r="B544" t="str">
        <v/>
      </c>
      <c r="C544" s="40" t="str">
        <f t="array" ref="C544">IFERROR(INDEX(checklistPesertaKemenkeu!$F$6:$F$1005,SMALL(IF(checklistPesertaKemenkeu!$AY$6:$AY$1005="Direkomendasikan",ROW($6:$1005)-5),543)),"")</f>
        <v/>
      </c>
      <c r="D544" t="str">
        <f t="array" ref="D544">IFERROR(INDEX(checklistPesertaKemenkeu!$G$6:$G$1005,SMALL(IF(checklistPesertaKemenkeu!$AY$6:$AY$1005="Direkomendasikan",ROW($6:$1005)-5),543)),"")</f>
        <v/>
      </c>
      <c r="E544" t="str">
        <f t="array" ref="E544">IFERROR(INDEX(checklistPesertaKemenkeu!$H$6:$H$1005,SMALL(IF(checklistPesertaKemenkeu!$AY$6:$AY$1005="Direkomendasikan",ROW($6:$1005)-5),543)),"")</f>
        <v/>
      </c>
      <c r="F544" t="str">
        <f t="array" ref="F544">IFERROR(INDEX(checklistPesertaKemenkeu!$I$6:$I$1005,SMALL(IF(checklistPesertaKemenkeu!$AY$6:$AY$1005="Direkomendasikan",ROW($6:$1005)-5),543)),"")</f>
        <v/>
      </c>
      <c r="G544" t="str">
        <f t="array" ref="G544">IFERROR(INDEX(checklistPesertaKemenkeu!$J$6:$J$1005,SMALL(IF(checklistPesertaKemenkeu!$AY$6:$AY$1005="Direkomendasikan",ROW($6:$1005)-5),543)),"")</f>
        <v/>
      </c>
      <c r="H544" t="str">
        <f t="array" aca="1" ref="H544" ca="1">IFERROR(IF(OR(INDEX(checklistPesertaKemenkeu!$L$6:$L$1005,SMALL(IF(checklistPesertaKemenkeu!$AY$6:$AY$1005="Direkomendasikan",ROW($6:$1005)-5),543))="",INDEX(checklistPesertaKemenkeu!$J$6:$J$1005,SMALL(IF(checklistPesertaKemenkeu!$AY$6:$AY$1005="Direkomendasikan",ROW($6:$1005)-5),543))=""),"",IF(AND(COUNTIF(INDIRECT("K_"&amp;MATCH(INDEX(checklistPesertaKemenkeu!$J$6:$J$1005,SMALL(IF(checklistPesertaKemenkeu!$AY$6:$AY$1005="Direkomendasikan",ROW($6:$1005)-5),543)),BidangList,0)),INDEX(checklistPesertaKemenkeu!$L$6:$L$1005,SMALL(IF(checklistPesertaKemenkeu!$AY$6:$AY$1005="Direkomendasikan",ROW($6:$1005)-5),543)))&gt;0,COUNTIF(INDIRECT("'KERTAS KERJA'!K"&amp;(SMALL(IF(checklistPesertaKemenkeu!$AY$6:$AY$1005="Direkomendasikan",ROW($6:$1005)-5),543)+5)&amp;":O"&amp;(SMALL(IF(checklistPesertaKemenkeu!$AY$6:$AY$1005="Direkomendasikan",ROW($6:$1005)-5),543)+5)),INDEX(checklistPesertaKemenkeu!$L$6:$L$1005,SMALL(IF(checklistPesertaKemenkeu!$AY$6:$AY$1005="Direkomendasikan",ROW($6:$1005)-5),543)))=1),IFERROR(VLOOKUP(INDEX(checklistPesertaKemenkeu!$L$6:$L$1005,SMALL(IF(checklistPesertaKemenkeu!$AY$6:$AY$1005="Direkomendasikan",ROW($6:$1005)-5),543)),KotaKode,2,0),"-"),"")),"")</f>
        <v/>
      </c>
      <c r="I544" t="str">
        <f t="array" aca="1" ref="I544" ca="1">IFERROR(IF(OR(INDEX(checklistPesertaKemenkeu!$M$6:$M$1005,SMALL(IF(checklistPesertaKemenkeu!$AY$6:$AY$1005="Direkomendasikan",ROW($6:$1005)-5),543))="",INDEX(checklistPesertaKemenkeu!$J$6:$J$1005,SMALL(IF(checklistPesertaKemenkeu!$AY$6:$AY$1005="Direkomendasikan",ROW($6:$1005)-5),543))=""),"",IF(AND(COUNTIF(INDIRECT("K_"&amp;MATCH(INDEX(checklistPesertaKemenkeu!$J$6:$J$1005,SMALL(IF(checklistPesertaKemenkeu!$AY$6:$AY$1005="Direkomendasikan",ROW($6:$1005)-5),543)),BidangList,0)),INDEX(checklistPesertaKemenkeu!$M$6:$M$1005,SMALL(IF(checklistPesertaKemenkeu!$AY$6:$AY$1005="Direkomendasikan",ROW($6:$1005)-5),543)))&gt;0,COUNTIF(INDIRECT("'KERTAS KERJA'!K"&amp;(SMALL(IF(checklistPesertaKemenkeu!$AY$6:$AY$1005="Direkomendasikan",ROW($6:$1005)-5),543)+5)&amp;":O"&amp;(SMALL(IF(checklistPesertaKemenkeu!$AY$6:$AY$1005="Direkomendasikan",ROW($6:$1005)-5),543)+5)),INDEX(checklistPesertaKemenkeu!$M$6:$M$1005,SMALL(IF(checklistPesertaKemenkeu!$AY$6:$AY$1005="Direkomendasikan",ROW($6:$1005)-5),543)))=1),IFERROR(VLOOKUP(INDEX(checklistPesertaKemenkeu!$M$6:$M$1005,SMALL(IF(checklistPesertaKemenkeu!$AY$6:$AY$1005="Direkomendasikan",ROW($6:$1005)-5),543)),KotaKode,2,0),"-"),"")),"")</f>
        <v/>
      </c>
      <c r="J544" t="str">
        <f t="array" aca="1" ref="J544" ca="1">IFERROR(IF(OR(INDEX(checklistPesertaKemenkeu!$N$6:$N$1005,SMALL(IF(checklistPesertaKemenkeu!$AY$6:$AY$1005="Direkomendasikan",ROW($6:$1005)-5),543))="",INDEX(checklistPesertaKemenkeu!$J$6:$J$1005,SMALL(IF(checklistPesertaKemenkeu!$AY$6:$AY$1005="Direkomendasikan",ROW($6:$1005)-5),543))=""),"",IF(AND(COUNTIF(INDIRECT("K_"&amp;MATCH(INDEX(checklistPesertaKemenkeu!$J$6:$J$1005,SMALL(IF(checklistPesertaKemenkeu!$AY$6:$AY$1005="Direkomendasikan",ROW($6:$1005)-5),543)),BidangList,0)),INDEX(checklistPesertaKemenkeu!$N$6:$N$1005,SMALL(IF(checklistPesertaKemenkeu!$AY$6:$AY$1005="Direkomendasikan",ROW($6:$1005)-5),543)))&gt;0,COUNTIF(INDIRECT("'KERTAS KERJA'!K"&amp;(SMALL(IF(checklistPesertaKemenkeu!$AY$6:$AY$1005="Direkomendasikan",ROW($6:$1005)-5),543)+5)&amp;":O"&amp;(SMALL(IF(checklistPesertaKemenkeu!$AY$6:$AY$1005="Direkomendasikan",ROW($6:$1005)-5),543)+5)),INDEX(checklistPesertaKemenkeu!$N$6:$N$1005,SMALL(IF(checklistPesertaKemenkeu!$AY$6:$AY$1005="Direkomendasikan",ROW($6:$1005)-5),543)))=1),IFERROR(VLOOKUP(INDEX(checklistPesertaKemenkeu!$N$6:$N$1005,SMALL(IF(checklistPesertaKemenkeu!$AY$6:$AY$1005="Direkomendasikan",ROW($6:$1005)-5),543)),KotaKode,2,0),"-"),"")),"")</f>
        <v/>
      </c>
      <c r="K544" t="str">
        <f t="array" aca="1" ref="K544" ca="1">IFERROR(IF(OR(INDEX(checklistPesertaKemenkeu!$O$6:$O$1005,SMALL(IF(checklistPesertaKemenkeu!$AY$6:$AY$1005="Direkomendasikan",ROW($6:$1005)-5),543))="",INDEX(checklistPesertaKemenkeu!$J$6:$J$1005,SMALL(IF(checklistPesertaKemenkeu!$AY$6:$AY$1005="Direkomendasikan",ROW($6:$1005)-5),543))=""),"",IF(AND(COUNTIF(INDIRECT("K_"&amp;MATCH(INDEX(checklistPesertaKemenkeu!$J$6:$J$1005,SMALL(IF(checklistPesertaKemenkeu!$AY$6:$AY$1005="Direkomendasikan",ROW($6:$1005)-5),543)),BidangList,0)),INDEX(checklistPesertaKemenkeu!$O$6:$O$1005,SMALL(IF(checklistPesertaKemenkeu!$AY$6:$AY$1005="Direkomendasikan",ROW($6:$1005)-5),543)))&gt;0,COUNTIF(INDIRECT("'KERTAS KERJA'!K"&amp;(SMALL(IF(checklistPesertaKemenkeu!$AY$6:$AY$1005="Direkomendasikan",ROW($6:$1005)-5),543)+5)&amp;":O"&amp;(SMALL(IF(checklistPesertaKemenkeu!$AY$6:$AY$1005="Direkomendasikan",ROW($6:$1005)-5),543)+5)),INDEX(checklistPesertaKemenkeu!$O$6:$O$1005,SMALL(IF(checklistPesertaKemenkeu!$AY$6:$AY$1005="Direkomendasikan",ROW($6:$1005)-5),543)))=1),IFERROR(VLOOKUP(INDEX(checklistPesertaKemenkeu!$O$6:$O$1005,SMALL(IF(checklistPesertaKemenkeu!$AY$6:$AY$1005="Direkomendasikan",ROW($6:$1005)-5),543)),KotaKode,2,0),"-"),"")),"")</f>
        <v/>
      </c>
      <c r="L544" t="str">
        <f t="array" aca="1" ref="L544" ca="1">IFERROR(IF(OR(INDEX(checklistPesertaKemenkeu!$P$6:$P$1005,SMALL(IF(checklistPesertaKemenkeu!$AY$6:$AY$1005="Direkomendasikan",ROW($6:$1005)-5),543))="",INDEX(checklistPesertaKemenkeu!$J$6:$J$1005,SMALL(IF(checklistPesertaKemenkeu!$AY$6:$AY$1005="Direkomendasikan",ROW($6:$1005)-5),543))=""),"",IF(AND(COUNTIF(INDIRECT("K_"&amp;MATCH(INDEX(checklistPesertaKemenkeu!$J$6:$J$1005,SMALL(IF(checklistPesertaKemenkeu!$AY$6:$AY$1005="Direkomendasikan",ROW($6:$1005)-5),543)),BidangList,0)),INDEX(checklistPesertaKemenkeu!$P$6:$P$1005,SMALL(IF(checklistPesertaKemenkeu!$AY$6:$AY$1005="Direkomendasikan",ROW($6:$1005)-5),543)))&gt;0,COUNTIF(INDIRECT("'KERTAS KERJA'!K"&amp;(SMALL(IF(checklistPesertaKemenkeu!$AY$6:$AY$1005="Direkomendasikan",ROW($6:$1005)-5),543)+5)&amp;":O"&amp;(SMALL(IF(checklistPesertaKemenkeu!$AY$6:$AY$1005="Direkomendasikan",ROW($6:$1005)-5),543)+5)),INDEX(checklistPesertaKemenkeu!$P$6:$P$1005,SMALL(IF(checklistPesertaKemenkeu!$AY$6:$AY$1005="Direkomendasikan",ROW($6:$1005)-5),543)))=1),IFERROR(VLOOKUP(INDEX(checklistPesertaKemenkeu!$P$6:$P$1005,SMALL(IF(checklistPesertaKemenkeu!$AY$6:$AY$1005="Direkomendasikan",ROW($6:$1005)-5),543)),KotaKode,2,0),"-"),"")),"")</f>
        <v/>
      </c>
    </row>
    <row r="545" spans="1:12" ht="15" customHeight="1" x14ac:dyDescent="0.2">
      <c r="A545" t="str">
        <f t="shared" si="8"/>
        <v/>
      </c>
      <c r="B545" t="str">
        <v/>
      </c>
      <c r="C545" s="40" t="str">
        <f t="array" ref="C545">IFERROR(INDEX(checklistPesertaKemenkeu!$F$6:$F$1005,SMALL(IF(checklistPesertaKemenkeu!$AY$6:$AY$1005="Direkomendasikan",ROW($6:$1005)-5),544)),"")</f>
        <v/>
      </c>
      <c r="D545" t="str">
        <f t="array" ref="D545">IFERROR(INDEX(checklistPesertaKemenkeu!$G$6:$G$1005,SMALL(IF(checklistPesertaKemenkeu!$AY$6:$AY$1005="Direkomendasikan",ROW($6:$1005)-5),544)),"")</f>
        <v/>
      </c>
      <c r="E545" t="str">
        <f t="array" ref="E545">IFERROR(INDEX(checklistPesertaKemenkeu!$H$6:$H$1005,SMALL(IF(checklistPesertaKemenkeu!$AY$6:$AY$1005="Direkomendasikan",ROW($6:$1005)-5),544)),"")</f>
        <v/>
      </c>
      <c r="F545" t="str">
        <f t="array" ref="F545">IFERROR(INDEX(checklistPesertaKemenkeu!$I$6:$I$1005,SMALL(IF(checklistPesertaKemenkeu!$AY$6:$AY$1005="Direkomendasikan",ROW($6:$1005)-5),544)),"")</f>
        <v/>
      </c>
      <c r="G545" t="str">
        <f t="array" ref="G545">IFERROR(INDEX(checklistPesertaKemenkeu!$J$6:$J$1005,SMALL(IF(checklistPesertaKemenkeu!$AY$6:$AY$1005="Direkomendasikan",ROW($6:$1005)-5),544)),"")</f>
        <v/>
      </c>
      <c r="H545" t="str">
        <f t="array" aca="1" ref="H545" ca="1">IFERROR(IF(OR(INDEX(checklistPesertaKemenkeu!$L$6:$L$1005,SMALL(IF(checklistPesertaKemenkeu!$AY$6:$AY$1005="Direkomendasikan",ROW($6:$1005)-5),544))="",INDEX(checklistPesertaKemenkeu!$J$6:$J$1005,SMALL(IF(checklistPesertaKemenkeu!$AY$6:$AY$1005="Direkomendasikan",ROW($6:$1005)-5),544))=""),"",IF(AND(COUNTIF(INDIRECT("K_"&amp;MATCH(INDEX(checklistPesertaKemenkeu!$J$6:$J$1005,SMALL(IF(checklistPesertaKemenkeu!$AY$6:$AY$1005="Direkomendasikan",ROW($6:$1005)-5),544)),BidangList,0)),INDEX(checklistPesertaKemenkeu!$L$6:$L$1005,SMALL(IF(checklistPesertaKemenkeu!$AY$6:$AY$1005="Direkomendasikan",ROW($6:$1005)-5),544)))&gt;0,COUNTIF(INDIRECT("'KERTAS KERJA'!K"&amp;(SMALL(IF(checklistPesertaKemenkeu!$AY$6:$AY$1005="Direkomendasikan",ROW($6:$1005)-5),544)+5)&amp;":O"&amp;(SMALL(IF(checklistPesertaKemenkeu!$AY$6:$AY$1005="Direkomendasikan",ROW($6:$1005)-5),544)+5)),INDEX(checklistPesertaKemenkeu!$L$6:$L$1005,SMALL(IF(checklistPesertaKemenkeu!$AY$6:$AY$1005="Direkomendasikan",ROW($6:$1005)-5),544)))=1),IFERROR(VLOOKUP(INDEX(checklistPesertaKemenkeu!$L$6:$L$1005,SMALL(IF(checklistPesertaKemenkeu!$AY$6:$AY$1005="Direkomendasikan",ROW($6:$1005)-5),544)),KotaKode,2,0),"-"),"")),"")</f>
        <v/>
      </c>
      <c r="I545" t="str">
        <f t="array" aca="1" ref="I545" ca="1">IFERROR(IF(OR(INDEX(checklistPesertaKemenkeu!$M$6:$M$1005,SMALL(IF(checklistPesertaKemenkeu!$AY$6:$AY$1005="Direkomendasikan",ROW($6:$1005)-5),544))="",INDEX(checklistPesertaKemenkeu!$J$6:$J$1005,SMALL(IF(checklistPesertaKemenkeu!$AY$6:$AY$1005="Direkomendasikan",ROW($6:$1005)-5),544))=""),"",IF(AND(COUNTIF(INDIRECT("K_"&amp;MATCH(INDEX(checklistPesertaKemenkeu!$J$6:$J$1005,SMALL(IF(checklistPesertaKemenkeu!$AY$6:$AY$1005="Direkomendasikan",ROW($6:$1005)-5),544)),BidangList,0)),INDEX(checklistPesertaKemenkeu!$M$6:$M$1005,SMALL(IF(checklistPesertaKemenkeu!$AY$6:$AY$1005="Direkomendasikan",ROW($6:$1005)-5),544)))&gt;0,COUNTIF(INDIRECT("'KERTAS KERJA'!K"&amp;(SMALL(IF(checklistPesertaKemenkeu!$AY$6:$AY$1005="Direkomendasikan",ROW($6:$1005)-5),544)+5)&amp;":O"&amp;(SMALL(IF(checklistPesertaKemenkeu!$AY$6:$AY$1005="Direkomendasikan",ROW($6:$1005)-5),544)+5)),INDEX(checklistPesertaKemenkeu!$M$6:$M$1005,SMALL(IF(checklistPesertaKemenkeu!$AY$6:$AY$1005="Direkomendasikan",ROW($6:$1005)-5),544)))=1),IFERROR(VLOOKUP(INDEX(checklistPesertaKemenkeu!$M$6:$M$1005,SMALL(IF(checklistPesertaKemenkeu!$AY$6:$AY$1005="Direkomendasikan",ROW($6:$1005)-5),544)),KotaKode,2,0),"-"),"")),"")</f>
        <v/>
      </c>
      <c r="J545" t="str">
        <f t="array" aca="1" ref="J545" ca="1">IFERROR(IF(OR(INDEX(checklistPesertaKemenkeu!$N$6:$N$1005,SMALL(IF(checklistPesertaKemenkeu!$AY$6:$AY$1005="Direkomendasikan",ROW($6:$1005)-5),544))="",INDEX(checklistPesertaKemenkeu!$J$6:$J$1005,SMALL(IF(checklistPesertaKemenkeu!$AY$6:$AY$1005="Direkomendasikan",ROW($6:$1005)-5),544))=""),"",IF(AND(COUNTIF(INDIRECT("K_"&amp;MATCH(INDEX(checklistPesertaKemenkeu!$J$6:$J$1005,SMALL(IF(checklistPesertaKemenkeu!$AY$6:$AY$1005="Direkomendasikan",ROW($6:$1005)-5),544)),BidangList,0)),INDEX(checklistPesertaKemenkeu!$N$6:$N$1005,SMALL(IF(checklistPesertaKemenkeu!$AY$6:$AY$1005="Direkomendasikan",ROW($6:$1005)-5),544)))&gt;0,COUNTIF(INDIRECT("'KERTAS KERJA'!K"&amp;(SMALL(IF(checklistPesertaKemenkeu!$AY$6:$AY$1005="Direkomendasikan",ROW($6:$1005)-5),544)+5)&amp;":O"&amp;(SMALL(IF(checklistPesertaKemenkeu!$AY$6:$AY$1005="Direkomendasikan",ROW($6:$1005)-5),544)+5)),INDEX(checklistPesertaKemenkeu!$N$6:$N$1005,SMALL(IF(checklistPesertaKemenkeu!$AY$6:$AY$1005="Direkomendasikan",ROW($6:$1005)-5),544)))=1),IFERROR(VLOOKUP(INDEX(checklistPesertaKemenkeu!$N$6:$N$1005,SMALL(IF(checklistPesertaKemenkeu!$AY$6:$AY$1005="Direkomendasikan",ROW($6:$1005)-5),544)),KotaKode,2,0),"-"),"")),"")</f>
        <v/>
      </c>
      <c r="K545" t="str">
        <f t="array" aca="1" ref="K545" ca="1">IFERROR(IF(OR(INDEX(checklistPesertaKemenkeu!$O$6:$O$1005,SMALL(IF(checklistPesertaKemenkeu!$AY$6:$AY$1005="Direkomendasikan",ROW($6:$1005)-5),544))="",INDEX(checklistPesertaKemenkeu!$J$6:$J$1005,SMALL(IF(checklistPesertaKemenkeu!$AY$6:$AY$1005="Direkomendasikan",ROW($6:$1005)-5),544))=""),"",IF(AND(COUNTIF(INDIRECT("K_"&amp;MATCH(INDEX(checklistPesertaKemenkeu!$J$6:$J$1005,SMALL(IF(checklistPesertaKemenkeu!$AY$6:$AY$1005="Direkomendasikan",ROW($6:$1005)-5),544)),BidangList,0)),INDEX(checklistPesertaKemenkeu!$O$6:$O$1005,SMALL(IF(checklistPesertaKemenkeu!$AY$6:$AY$1005="Direkomendasikan",ROW($6:$1005)-5),544)))&gt;0,COUNTIF(INDIRECT("'KERTAS KERJA'!K"&amp;(SMALL(IF(checklistPesertaKemenkeu!$AY$6:$AY$1005="Direkomendasikan",ROW($6:$1005)-5),544)+5)&amp;":O"&amp;(SMALL(IF(checklistPesertaKemenkeu!$AY$6:$AY$1005="Direkomendasikan",ROW($6:$1005)-5),544)+5)),INDEX(checklistPesertaKemenkeu!$O$6:$O$1005,SMALL(IF(checklistPesertaKemenkeu!$AY$6:$AY$1005="Direkomendasikan",ROW($6:$1005)-5),544)))=1),IFERROR(VLOOKUP(INDEX(checklistPesertaKemenkeu!$O$6:$O$1005,SMALL(IF(checklistPesertaKemenkeu!$AY$6:$AY$1005="Direkomendasikan",ROW($6:$1005)-5),544)),KotaKode,2,0),"-"),"")),"")</f>
        <v/>
      </c>
      <c r="L545" t="str">
        <f t="array" aca="1" ref="L545" ca="1">IFERROR(IF(OR(INDEX(checklistPesertaKemenkeu!$P$6:$P$1005,SMALL(IF(checklistPesertaKemenkeu!$AY$6:$AY$1005="Direkomendasikan",ROW($6:$1005)-5),544))="",INDEX(checklistPesertaKemenkeu!$J$6:$J$1005,SMALL(IF(checklistPesertaKemenkeu!$AY$6:$AY$1005="Direkomendasikan",ROW($6:$1005)-5),544))=""),"",IF(AND(COUNTIF(INDIRECT("K_"&amp;MATCH(INDEX(checklistPesertaKemenkeu!$J$6:$J$1005,SMALL(IF(checklistPesertaKemenkeu!$AY$6:$AY$1005="Direkomendasikan",ROW($6:$1005)-5),544)),BidangList,0)),INDEX(checklistPesertaKemenkeu!$P$6:$P$1005,SMALL(IF(checklistPesertaKemenkeu!$AY$6:$AY$1005="Direkomendasikan",ROW($6:$1005)-5),544)))&gt;0,COUNTIF(INDIRECT("'KERTAS KERJA'!K"&amp;(SMALL(IF(checklistPesertaKemenkeu!$AY$6:$AY$1005="Direkomendasikan",ROW($6:$1005)-5),544)+5)&amp;":O"&amp;(SMALL(IF(checklistPesertaKemenkeu!$AY$6:$AY$1005="Direkomendasikan",ROW($6:$1005)-5),544)+5)),INDEX(checklistPesertaKemenkeu!$P$6:$P$1005,SMALL(IF(checklistPesertaKemenkeu!$AY$6:$AY$1005="Direkomendasikan",ROW($6:$1005)-5),544)))=1),IFERROR(VLOOKUP(INDEX(checklistPesertaKemenkeu!$P$6:$P$1005,SMALL(IF(checklistPesertaKemenkeu!$AY$6:$AY$1005="Direkomendasikan",ROW($6:$1005)-5),544)),KotaKode,2,0),"-"),"")),"")</f>
        <v/>
      </c>
    </row>
    <row r="546" spans="1:12" ht="15" customHeight="1" x14ac:dyDescent="0.2">
      <c r="A546" t="str">
        <f t="shared" si="8"/>
        <v/>
      </c>
      <c r="B546" t="str">
        <v/>
      </c>
      <c r="C546" s="40" t="str">
        <f t="array" ref="C546">IFERROR(INDEX(checklistPesertaKemenkeu!$F$6:$F$1005,SMALL(IF(checklistPesertaKemenkeu!$AY$6:$AY$1005="Direkomendasikan",ROW($6:$1005)-5),545)),"")</f>
        <v/>
      </c>
      <c r="D546" t="str">
        <f t="array" ref="D546">IFERROR(INDEX(checklistPesertaKemenkeu!$G$6:$G$1005,SMALL(IF(checklistPesertaKemenkeu!$AY$6:$AY$1005="Direkomendasikan",ROW($6:$1005)-5),545)),"")</f>
        <v/>
      </c>
      <c r="E546" t="str">
        <f t="array" ref="E546">IFERROR(INDEX(checklistPesertaKemenkeu!$H$6:$H$1005,SMALL(IF(checklistPesertaKemenkeu!$AY$6:$AY$1005="Direkomendasikan",ROW($6:$1005)-5),545)),"")</f>
        <v/>
      </c>
      <c r="F546" t="str">
        <f t="array" ref="F546">IFERROR(INDEX(checklistPesertaKemenkeu!$I$6:$I$1005,SMALL(IF(checklistPesertaKemenkeu!$AY$6:$AY$1005="Direkomendasikan",ROW($6:$1005)-5),545)),"")</f>
        <v/>
      </c>
      <c r="G546" t="str">
        <f t="array" ref="G546">IFERROR(INDEX(checklistPesertaKemenkeu!$J$6:$J$1005,SMALL(IF(checklistPesertaKemenkeu!$AY$6:$AY$1005="Direkomendasikan",ROW($6:$1005)-5),545)),"")</f>
        <v/>
      </c>
      <c r="H546" t="str">
        <f t="array" aca="1" ref="H546" ca="1">IFERROR(IF(OR(INDEX(checklistPesertaKemenkeu!$L$6:$L$1005,SMALL(IF(checklistPesertaKemenkeu!$AY$6:$AY$1005="Direkomendasikan",ROW($6:$1005)-5),545))="",INDEX(checklistPesertaKemenkeu!$J$6:$J$1005,SMALL(IF(checklistPesertaKemenkeu!$AY$6:$AY$1005="Direkomendasikan",ROW($6:$1005)-5),545))=""),"",IF(AND(COUNTIF(INDIRECT("K_"&amp;MATCH(INDEX(checklistPesertaKemenkeu!$J$6:$J$1005,SMALL(IF(checklistPesertaKemenkeu!$AY$6:$AY$1005="Direkomendasikan",ROW($6:$1005)-5),545)),BidangList,0)),INDEX(checklistPesertaKemenkeu!$L$6:$L$1005,SMALL(IF(checklistPesertaKemenkeu!$AY$6:$AY$1005="Direkomendasikan",ROW($6:$1005)-5),545)))&gt;0,COUNTIF(INDIRECT("'KERTAS KERJA'!K"&amp;(SMALL(IF(checklistPesertaKemenkeu!$AY$6:$AY$1005="Direkomendasikan",ROW($6:$1005)-5),545)+5)&amp;":O"&amp;(SMALL(IF(checklistPesertaKemenkeu!$AY$6:$AY$1005="Direkomendasikan",ROW($6:$1005)-5),545)+5)),INDEX(checklistPesertaKemenkeu!$L$6:$L$1005,SMALL(IF(checklistPesertaKemenkeu!$AY$6:$AY$1005="Direkomendasikan",ROW($6:$1005)-5),545)))=1),IFERROR(VLOOKUP(INDEX(checklistPesertaKemenkeu!$L$6:$L$1005,SMALL(IF(checklistPesertaKemenkeu!$AY$6:$AY$1005="Direkomendasikan",ROW($6:$1005)-5),545)),KotaKode,2,0),"-"),"")),"")</f>
        <v/>
      </c>
      <c r="I546" t="str">
        <f t="array" aca="1" ref="I546" ca="1">IFERROR(IF(OR(INDEX(checklistPesertaKemenkeu!$M$6:$M$1005,SMALL(IF(checklistPesertaKemenkeu!$AY$6:$AY$1005="Direkomendasikan",ROW($6:$1005)-5),545))="",INDEX(checklistPesertaKemenkeu!$J$6:$J$1005,SMALL(IF(checklistPesertaKemenkeu!$AY$6:$AY$1005="Direkomendasikan",ROW($6:$1005)-5),545))=""),"",IF(AND(COUNTIF(INDIRECT("K_"&amp;MATCH(INDEX(checklistPesertaKemenkeu!$J$6:$J$1005,SMALL(IF(checklistPesertaKemenkeu!$AY$6:$AY$1005="Direkomendasikan",ROW($6:$1005)-5),545)),BidangList,0)),INDEX(checklistPesertaKemenkeu!$M$6:$M$1005,SMALL(IF(checklistPesertaKemenkeu!$AY$6:$AY$1005="Direkomendasikan",ROW($6:$1005)-5),545)))&gt;0,COUNTIF(INDIRECT("'KERTAS KERJA'!K"&amp;(SMALL(IF(checklistPesertaKemenkeu!$AY$6:$AY$1005="Direkomendasikan",ROW($6:$1005)-5),545)+5)&amp;":O"&amp;(SMALL(IF(checklistPesertaKemenkeu!$AY$6:$AY$1005="Direkomendasikan",ROW($6:$1005)-5),545)+5)),INDEX(checklistPesertaKemenkeu!$M$6:$M$1005,SMALL(IF(checklistPesertaKemenkeu!$AY$6:$AY$1005="Direkomendasikan",ROW($6:$1005)-5),545)))=1),IFERROR(VLOOKUP(INDEX(checklistPesertaKemenkeu!$M$6:$M$1005,SMALL(IF(checklistPesertaKemenkeu!$AY$6:$AY$1005="Direkomendasikan",ROW($6:$1005)-5),545)),KotaKode,2,0),"-"),"")),"")</f>
        <v/>
      </c>
      <c r="J546" t="str">
        <f t="array" aca="1" ref="J546" ca="1">IFERROR(IF(OR(INDEX(checklistPesertaKemenkeu!$N$6:$N$1005,SMALL(IF(checklistPesertaKemenkeu!$AY$6:$AY$1005="Direkomendasikan",ROW($6:$1005)-5),545))="",INDEX(checklistPesertaKemenkeu!$J$6:$J$1005,SMALL(IF(checklistPesertaKemenkeu!$AY$6:$AY$1005="Direkomendasikan",ROW($6:$1005)-5),545))=""),"",IF(AND(COUNTIF(INDIRECT("K_"&amp;MATCH(INDEX(checklistPesertaKemenkeu!$J$6:$J$1005,SMALL(IF(checklistPesertaKemenkeu!$AY$6:$AY$1005="Direkomendasikan",ROW($6:$1005)-5),545)),BidangList,0)),INDEX(checklistPesertaKemenkeu!$N$6:$N$1005,SMALL(IF(checklistPesertaKemenkeu!$AY$6:$AY$1005="Direkomendasikan",ROW($6:$1005)-5),545)))&gt;0,COUNTIF(INDIRECT("'KERTAS KERJA'!K"&amp;(SMALL(IF(checklistPesertaKemenkeu!$AY$6:$AY$1005="Direkomendasikan",ROW($6:$1005)-5),545)+5)&amp;":O"&amp;(SMALL(IF(checklistPesertaKemenkeu!$AY$6:$AY$1005="Direkomendasikan",ROW($6:$1005)-5),545)+5)),INDEX(checklistPesertaKemenkeu!$N$6:$N$1005,SMALL(IF(checklistPesertaKemenkeu!$AY$6:$AY$1005="Direkomendasikan",ROW($6:$1005)-5),545)))=1),IFERROR(VLOOKUP(INDEX(checklistPesertaKemenkeu!$N$6:$N$1005,SMALL(IF(checklistPesertaKemenkeu!$AY$6:$AY$1005="Direkomendasikan",ROW($6:$1005)-5),545)),KotaKode,2,0),"-"),"")),"")</f>
        <v/>
      </c>
      <c r="K546" t="str">
        <f t="array" aca="1" ref="K546" ca="1">IFERROR(IF(OR(INDEX(checklistPesertaKemenkeu!$O$6:$O$1005,SMALL(IF(checklistPesertaKemenkeu!$AY$6:$AY$1005="Direkomendasikan",ROW($6:$1005)-5),545))="",INDEX(checklistPesertaKemenkeu!$J$6:$J$1005,SMALL(IF(checklistPesertaKemenkeu!$AY$6:$AY$1005="Direkomendasikan",ROW($6:$1005)-5),545))=""),"",IF(AND(COUNTIF(INDIRECT("K_"&amp;MATCH(INDEX(checklistPesertaKemenkeu!$J$6:$J$1005,SMALL(IF(checklistPesertaKemenkeu!$AY$6:$AY$1005="Direkomendasikan",ROW($6:$1005)-5),545)),BidangList,0)),INDEX(checklistPesertaKemenkeu!$O$6:$O$1005,SMALL(IF(checklistPesertaKemenkeu!$AY$6:$AY$1005="Direkomendasikan",ROW($6:$1005)-5),545)))&gt;0,COUNTIF(INDIRECT("'KERTAS KERJA'!K"&amp;(SMALL(IF(checklistPesertaKemenkeu!$AY$6:$AY$1005="Direkomendasikan",ROW($6:$1005)-5),545)+5)&amp;":O"&amp;(SMALL(IF(checklistPesertaKemenkeu!$AY$6:$AY$1005="Direkomendasikan",ROW($6:$1005)-5),545)+5)),INDEX(checklistPesertaKemenkeu!$O$6:$O$1005,SMALL(IF(checklistPesertaKemenkeu!$AY$6:$AY$1005="Direkomendasikan",ROW($6:$1005)-5),545)))=1),IFERROR(VLOOKUP(INDEX(checklistPesertaKemenkeu!$O$6:$O$1005,SMALL(IF(checklistPesertaKemenkeu!$AY$6:$AY$1005="Direkomendasikan",ROW($6:$1005)-5),545)),KotaKode,2,0),"-"),"")),"")</f>
        <v/>
      </c>
      <c r="L546" t="str">
        <f t="array" aca="1" ref="L546" ca="1">IFERROR(IF(OR(INDEX(checklistPesertaKemenkeu!$P$6:$P$1005,SMALL(IF(checklistPesertaKemenkeu!$AY$6:$AY$1005="Direkomendasikan",ROW($6:$1005)-5),545))="",INDEX(checklistPesertaKemenkeu!$J$6:$J$1005,SMALL(IF(checklistPesertaKemenkeu!$AY$6:$AY$1005="Direkomendasikan",ROW($6:$1005)-5),545))=""),"",IF(AND(COUNTIF(INDIRECT("K_"&amp;MATCH(INDEX(checklistPesertaKemenkeu!$J$6:$J$1005,SMALL(IF(checklistPesertaKemenkeu!$AY$6:$AY$1005="Direkomendasikan",ROW($6:$1005)-5),545)),BidangList,0)),INDEX(checklistPesertaKemenkeu!$P$6:$P$1005,SMALL(IF(checklistPesertaKemenkeu!$AY$6:$AY$1005="Direkomendasikan",ROW($6:$1005)-5),545)))&gt;0,COUNTIF(INDIRECT("'KERTAS KERJA'!K"&amp;(SMALL(IF(checklistPesertaKemenkeu!$AY$6:$AY$1005="Direkomendasikan",ROW($6:$1005)-5),545)+5)&amp;":O"&amp;(SMALL(IF(checklistPesertaKemenkeu!$AY$6:$AY$1005="Direkomendasikan",ROW($6:$1005)-5),545)+5)),INDEX(checklistPesertaKemenkeu!$P$6:$P$1005,SMALL(IF(checklistPesertaKemenkeu!$AY$6:$AY$1005="Direkomendasikan",ROW($6:$1005)-5),545)))=1),IFERROR(VLOOKUP(INDEX(checklistPesertaKemenkeu!$P$6:$P$1005,SMALL(IF(checklistPesertaKemenkeu!$AY$6:$AY$1005="Direkomendasikan",ROW($6:$1005)-5),545)),KotaKode,2,0),"-"),"")),"")</f>
        <v/>
      </c>
    </row>
    <row r="547" spans="1:12" ht="15" customHeight="1" x14ac:dyDescent="0.2">
      <c r="A547" t="str">
        <f t="shared" si="8"/>
        <v/>
      </c>
      <c r="B547" t="str">
        <v/>
      </c>
      <c r="C547" s="40" t="str">
        <f t="array" ref="C547">IFERROR(INDEX(checklistPesertaKemenkeu!$F$6:$F$1005,SMALL(IF(checklistPesertaKemenkeu!$AY$6:$AY$1005="Direkomendasikan",ROW($6:$1005)-5),546)),"")</f>
        <v/>
      </c>
      <c r="D547" t="str">
        <f t="array" ref="D547">IFERROR(INDEX(checklistPesertaKemenkeu!$G$6:$G$1005,SMALL(IF(checklistPesertaKemenkeu!$AY$6:$AY$1005="Direkomendasikan",ROW($6:$1005)-5),546)),"")</f>
        <v/>
      </c>
      <c r="E547" t="str">
        <f t="array" ref="E547">IFERROR(INDEX(checklistPesertaKemenkeu!$H$6:$H$1005,SMALL(IF(checklistPesertaKemenkeu!$AY$6:$AY$1005="Direkomendasikan",ROW($6:$1005)-5),546)),"")</f>
        <v/>
      </c>
      <c r="F547" t="str">
        <f t="array" ref="F547">IFERROR(INDEX(checklistPesertaKemenkeu!$I$6:$I$1005,SMALL(IF(checklistPesertaKemenkeu!$AY$6:$AY$1005="Direkomendasikan",ROW($6:$1005)-5),546)),"")</f>
        <v/>
      </c>
      <c r="G547" t="str">
        <f t="array" ref="G547">IFERROR(INDEX(checklistPesertaKemenkeu!$J$6:$J$1005,SMALL(IF(checklistPesertaKemenkeu!$AY$6:$AY$1005="Direkomendasikan",ROW($6:$1005)-5),546)),"")</f>
        <v/>
      </c>
      <c r="H547" t="str">
        <f t="array" aca="1" ref="H547" ca="1">IFERROR(IF(OR(INDEX(checklistPesertaKemenkeu!$L$6:$L$1005,SMALL(IF(checklistPesertaKemenkeu!$AY$6:$AY$1005="Direkomendasikan",ROW($6:$1005)-5),546))="",INDEX(checklistPesertaKemenkeu!$J$6:$J$1005,SMALL(IF(checklistPesertaKemenkeu!$AY$6:$AY$1005="Direkomendasikan",ROW($6:$1005)-5),546))=""),"",IF(AND(COUNTIF(INDIRECT("K_"&amp;MATCH(INDEX(checklistPesertaKemenkeu!$J$6:$J$1005,SMALL(IF(checklistPesertaKemenkeu!$AY$6:$AY$1005="Direkomendasikan",ROW($6:$1005)-5),546)),BidangList,0)),INDEX(checklistPesertaKemenkeu!$L$6:$L$1005,SMALL(IF(checklistPesertaKemenkeu!$AY$6:$AY$1005="Direkomendasikan",ROW($6:$1005)-5),546)))&gt;0,COUNTIF(INDIRECT("'KERTAS KERJA'!K"&amp;(SMALL(IF(checklistPesertaKemenkeu!$AY$6:$AY$1005="Direkomendasikan",ROW($6:$1005)-5),546)+5)&amp;":O"&amp;(SMALL(IF(checklistPesertaKemenkeu!$AY$6:$AY$1005="Direkomendasikan",ROW($6:$1005)-5),546)+5)),INDEX(checklistPesertaKemenkeu!$L$6:$L$1005,SMALL(IF(checklistPesertaKemenkeu!$AY$6:$AY$1005="Direkomendasikan",ROW($6:$1005)-5),546)))=1),IFERROR(VLOOKUP(INDEX(checklistPesertaKemenkeu!$L$6:$L$1005,SMALL(IF(checklistPesertaKemenkeu!$AY$6:$AY$1005="Direkomendasikan",ROW($6:$1005)-5),546)),KotaKode,2,0),"-"),"")),"")</f>
        <v/>
      </c>
      <c r="I547" t="str">
        <f t="array" aca="1" ref="I547" ca="1">IFERROR(IF(OR(INDEX(checklistPesertaKemenkeu!$M$6:$M$1005,SMALL(IF(checklistPesertaKemenkeu!$AY$6:$AY$1005="Direkomendasikan",ROW($6:$1005)-5),546))="",INDEX(checklistPesertaKemenkeu!$J$6:$J$1005,SMALL(IF(checklistPesertaKemenkeu!$AY$6:$AY$1005="Direkomendasikan",ROW($6:$1005)-5),546))=""),"",IF(AND(COUNTIF(INDIRECT("K_"&amp;MATCH(INDEX(checklistPesertaKemenkeu!$J$6:$J$1005,SMALL(IF(checklistPesertaKemenkeu!$AY$6:$AY$1005="Direkomendasikan",ROW($6:$1005)-5),546)),BidangList,0)),INDEX(checklistPesertaKemenkeu!$M$6:$M$1005,SMALL(IF(checklistPesertaKemenkeu!$AY$6:$AY$1005="Direkomendasikan",ROW($6:$1005)-5),546)))&gt;0,COUNTIF(INDIRECT("'KERTAS KERJA'!K"&amp;(SMALL(IF(checklistPesertaKemenkeu!$AY$6:$AY$1005="Direkomendasikan",ROW($6:$1005)-5),546)+5)&amp;":O"&amp;(SMALL(IF(checklistPesertaKemenkeu!$AY$6:$AY$1005="Direkomendasikan",ROW($6:$1005)-5),546)+5)),INDEX(checklistPesertaKemenkeu!$M$6:$M$1005,SMALL(IF(checklistPesertaKemenkeu!$AY$6:$AY$1005="Direkomendasikan",ROW($6:$1005)-5),546)))=1),IFERROR(VLOOKUP(INDEX(checklistPesertaKemenkeu!$M$6:$M$1005,SMALL(IF(checklistPesertaKemenkeu!$AY$6:$AY$1005="Direkomendasikan",ROW($6:$1005)-5),546)),KotaKode,2,0),"-"),"")),"")</f>
        <v/>
      </c>
      <c r="J547" t="str">
        <f t="array" aca="1" ref="J547" ca="1">IFERROR(IF(OR(INDEX(checklistPesertaKemenkeu!$N$6:$N$1005,SMALL(IF(checklistPesertaKemenkeu!$AY$6:$AY$1005="Direkomendasikan",ROW($6:$1005)-5),546))="",INDEX(checklistPesertaKemenkeu!$J$6:$J$1005,SMALL(IF(checklistPesertaKemenkeu!$AY$6:$AY$1005="Direkomendasikan",ROW($6:$1005)-5),546))=""),"",IF(AND(COUNTIF(INDIRECT("K_"&amp;MATCH(INDEX(checklistPesertaKemenkeu!$J$6:$J$1005,SMALL(IF(checklistPesertaKemenkeu!$AY$6:$AY$1005="Direkomendasikan",ROW($6:$1005)-5),546)),BidangList,0)),INDEX(checklistPesertaKemenkeu!$N$6:$N$1005,SMALL(IF(checklistPesertaKemenkeu!$AY$6:$AY$1005="Direkomendasikan",ROW($6:$1005)-5),546)))&gt;0,COUNTIF(INDIRECT("'KERTAS KERJA'!K"&amp;(SMALL(IF(checklistPesertaKemenkeu!$AY$6:$AY$1005="Direkomendasikan",ROW($6:$1005)-5),546)+5)&amp;":O"&amp;(SMALL(IF(checklistPesertaKemenkeu!$AY$6:$AY$1005="Direkomendasikan",ROW($6:$1005)-5),546)+5)),INDEX(checklistPesertaKemenkeu!$N$6:$N$1005,SMALL(IF(checklistPesertaKemenkeu!$AY$6:$AY$1005="Direkomendasikan",ROW($6:$1005)-5),546)))=1),IFERROR(VLOOKUP(INDEX(checklistPesertaKemenkeu!$N$6:$N$1005,SMALL(IF(checklistPesertaKemenkeu!$AY$6:$AY$1005="Direkomendasikan",ROW($6:$1005)-5),546)),KotaKode,2,0),"-"),"")),"")</f>
        <v/>
      </c>
      <c r="K547" t="str">
        <f t="array" aca="1" ref="K547" ca="1">IFERROR(IF(OR(INDEX(checklistPesertaKemenkeu!$O$6:$O$1005,SMALL(IF(checklistPesertaKemenkeu!$AY$6:$AY$1005="Direkomendasikan",ROW($6:$1005)-5),546))="",INDEX(checklistPesertaKemenkeu!$J$6:$J$1005,SMALL(IF(checklistPesertaKemenkeu!$AY$6:$AY$1005="Direkomendasikan",ROW($6:$1005)-5),546))=""),"",IF(AND(COUNTIF(INDIRECT("K_"&amp;MATCH(INDEX(checklistPesertaKemenkeu!$J$6:$J$1005,SMALL(IF(checklistPesertaKemenkeu!$AY$6:$AY$1005="Direkomendasikan",ROW($6:$1005)-5),546)),BidangList,0)),INDEX(checklistPesertaKemenkeu!$O$6:$O$1005,SMALL(IF(checklistPesertaKemenkeu!$AY$6:$AY$1005="Direkomendasikan",ROW($6:$1005)-5),546)))&gt;0,COUNTIF(INDIRECT("'KERTAS KERJA'!K"&amp;(SMALL(IF(checklistPesertaKemenkeu!$AY$6:$AY$1005="Direkomendasikan",ROW($6:$1005)-5),546)+5)&amp;":O"&amp;(SMALL(IF(checklistPesertaKemenkeu!$AY$6:$AY$1005="Direkomendasikan",ROW($6:$1005)-5),546)+5)),INDEX(checklistPesertaKemenkeu!$O$6:$O$1005,SMALL(IF(checklistPesertaKemenkeu!$AY$6:$AY$1005="Direkomendasikan",ROW($6:$1005)-5),546)))=1),IFERROR(VLOOKUP(INDEX(checklistPesertaKemenkeu!$O$6:$O$1005,SMALL(IF(checklistPesertaKemenkeu!$AY$6:$AY$1005="Direkomendasikan",ROW($6:$1005)-5),546)),KotaKode,2,0),"-"),"")),"")</f>
        <v/>
      </c>
      <c r="L547" t="str">
        <f t="array" aca="1" ref="L547" ca="1">IFERROR(IF(OR(INDEX(checklistPesertaKemenkeu!$P$6:$P$1005,SMALL(IF(checklistPesertaKemenkeu!$AY$6:$AY$1005="Direkomendasikan",ROW($6:$1005)-5),546))="",INDEX(checklistPesertaKemenkeu!$J$6:$J$1005,SMALL(IF(checklistPesertaKemenkeu!$AY$6:$AY$1005="Direkomendasikan",ROW($6:$1005)-5),546))=""),"",IF(AND(COUNTIF(INDIRECT("K_"&amp;MATCH(INDEX(checklistPesertaKemenkeu!$J$6:$J$1005,SMALL(IF(checklistPesertaKemenkeu!$AY$6:$AY$1005="Direkomendasikan",ROW($6:$1005)-5),546)),BidangList,0)),INDEX(checklistPesertaKemenkeu!$P$6:$P$1005,SMALL(IF(checklistPesertaKemenkeu!$AY$6:$AY$1005="Direkomendasikan",ROW($6:$1005)-5),546)))&gt;0,COUNTIF(INDIRECT("'KERTAS KERJA'!K"&amp;(SMALL(IF(checklistPesertaKemenkeu!$AY$6:$AY$1005="Direkomendasikan",ROW($6:$1005)-5),546)+5)&amp;":O"&amp;(SMALL(IF(checklistPesertaKemenkeu!$AY$6:$AY$1005="Direkomendasikan",ROW($6:$1005)-5),546)+5)),INDEX(checklistPesertaKemenkeu!$P$6:$P$1005,SMALL(IF(checklistPesertaKemenkeu!$AY$6:$AY$1005="Direkomendasikan",ROW($6:$1005)-5),546)))=1),IFERROR(VLOOKUP(INDEX(checklistPesertaKemenkeu!$P$6:$P$1005,SMALL(IF(checklistPesertaKemenkeu!$AY$6:$AY$1005="Direkomendasikan",ROW($6:$1005)-5),546)),KotaKode,2,0),"-"),"")),"")</f>
        <v/>
      </c>
    </row>
    <row r="548" spans="1:12" ht="15" customHeight="1" x14ac:dyDescent="0.2">
      <c r="A548" t="str">
        <f t="shared" si="8"/>
        <v/>
      </c>
      <c r="B548" t="str">
        <v/>
      </c>
      <c r="C548" s="40" t="str">
        <f t="array" ref="C548">IFERROR(INDEX(checklistPesertaKemenkeu!$F$6:$F$1005,SMALL(IF(checklistPesertaKemenkeu!$AY$6:$AY$1005="Direkomendasikan",ROW($6:$1005)-5),547)),"")</f>
        <v/>
      </c>
      <c r="D548" t="str">
        <f t="array" ref="D548">IFERROR(INDEX(checklistPesertaKemenkeu!$G$6:$G$1005,SMALL(IF(checklistPesertaKemenkeu!$AY$6:$AY$1005="Direkomendasikan",ROW($6:$1005)-5),547)),"")</f>
        <v/>
      </c>
      <c r="E548" t="str">
        <f t="array" ref="E548">IFERROR(INDEX(checklistPesertaKemenkeu!$H$6:$H$1005,SMALL(IF(checklistPesertaKemenkeu!$AY$6:$AY$1005="Direkomendasikan",ROW($6:$1005)-5),547)),"")</f>
        <v/>
      </c>
      <c r="F548" t="str">
        <f t="array" ref="F548">IFERROR(INDEX(checklistPesertaKemenkeu!$I$6:$I$1005,SMALL(IF(checklistPesertaKemenkeu!$AY$6:$AY$1005="Direkomendasikan",ROW($6:$1005)-5),547)),"")</f>
        <v/>
      </c>
      <c r="G548" t="str">
        <f t="array" ref="G548">IFERROR(INDEX(checklistPesertaKemenkeu!$J$6:$J$1005,SMALL(IF(checklistPesertaKemenkeu!$AY$6:$AY$1005="Direkomendasikan",ROW($6:$1005)-5),547)),"")</f>
        <v/>
      </c>
      <c r="H548" t="str">
        <f t="array" aca="1" ref="H548" ca="1">IFERROR(IF(OR(INDEX(checklistPesertaKemenkeu!$L$6:$L$1005,SMALL(IF(checklistPesertaKemenkeu!$AY$6:$AY$1005="Direkomendasikan",ROW($6:$1005)-5),547))="",INDEX(checklistPesertaKemenkeu!$J$6:$J$1005,SMALL(IF(checklistPesertaKemenkeu!$AY$6:$AY$1005="Direkomendasikan",ROW($6:$1005)-5),547))=""),"",IF(AND(COUNTIF(INDIRECT("K_"&amp;MATCH(INDEX(checklistPesertaKemenkeu!$J$6:$J$1005,SMALL(IF(checklistPesertaKemenkeu!$AY$6:$AY$1005="Direkomendasikan",ROW($6:$1005)-5),547)),BidangList,0)),INDEX(checklistPesertaKemenkeu!$L$6:$L$1005,SMALL(IF(checklistPesertaKemenkeu!$AY$6:$AY$1005="Direkomendasikan",ROW($6:$1005)-5),547)))&gt;0,COUNTIF(INDIRECT("'KERTAS KERJA'!K"&amp;(SMALL(IF(checklistPesertaKemenkeu!$AY$6:$AY$1005="Direkomendasikan",ROW($6:$1005)-5),547)+5)&amp;":O"&amp;(SMALL(IF(checklistPesertaKemenkeu!$AY$6:$AY$1005="Direkomendasikan",ROW($6:$1005)-5),547)+5)),INDEX(checklistPesertaKemenkeu!$L$6:$L$1005,SMALL(IF(checklistPesertaKemenkeu!$AY$6:$AY$1005="Direkomendasikan",ROW($6:$1005)-5),547)))=1),IFERROR(VLOOKUP(INDEX(checklistPesertaKemenkeu!$L$6:$L$1005,SMALL(IF(checklistPesertaKemenkeu!$AY$6:$AY$1005="Direkomendasikan",ROW($6:$1005)-5),547)),KotaKode,2,0),"-"),"")),"")</f>
        <v/>
      </c>
      <c r="I548" t="str">
        <f t="array" aca="1" ref="I548" ca="1">IFERROR(IF(OR(INDEX(checklistPesertaKemenkeu!$M$6:$M$1005,SMALL(IF(checklistPesertaKemenkeu!$AY$6:$AY$1005="Direkomendasikan",ROW($6:$1005)-5),547))="",INDEX(checklistPesertaKemenkeu!$J$6:$J$1005,SMALL(IF(checklistPesertaKemenkeu!$AY$6:$AY$1005="Direkomendasikan",ROW($6:$1005)-5),547))=""),"",IF(AND(COUNTIF(INDIRECT("K_"&amp;MATCH(INDEX(checklistPesertaKemenkeu!$J$6:$J$1005,SMALL(IF(checklistPesertaKemenkeu!$AY$6:$AY$1005="Direkomendasikan",ROW($6:$1005)-5),547)),BidangList,0)),INDEX(checklistPesertaKemenkeu!$M$6:$M$1005,SMALL(IF(checklistPesertaKemenkeu!$AY$6:$AY$1005="Direkomendasikan",ROW($6:$1005)-5),547)))&gt;0,COUNTIF(INDIRECT("'KERTAS KERJA'!K"&amp;(SMALL(IF(checklistPesertaKemenkeu!$AY$6:$AY$1005="Direkomendasikan",ROW($6:$1005)-5),547)+5)&amp;":O"&amp;(SMALL(IF(checklistPesertaKemenkeu!$AY$6:$AY$1005="Direkomendasikan",ROW($6:$1005)-5),547)+5)),INDEX(checklistPesertaKemenkeu!$M$6:$M$1005,SMALL(IF(checklistPesertaKemenkeu!$AY$6:$AY$1005="Direkomendasikan",ROW($6:$1005)-5),547)))=1),IFERROR(VLOOKUP(INDEX(checklistPesertaKemenkeu!$M$6:$M$1005,SMALL(IF(checklistPesertaKemenkeu!$AY$6:$AY$1005="Direkomendasikan",ROW($6:$1005)-5),547)),KotaKode,2,0),"-"),"")),"")</f>
        <v/>
      </c>
      <c r="J548" t="str">
        <f t="array" aca="1" ref="J548" ca="1">IFERROR(IF(OR(INDEX(checklistPesertaKemenkeu!$N$6:$N$1005,SMALL(IF(checklistPesertaKemenkeu!$AY$6:$AY$1005="Direkomendasikan",ROW($6:$1005)-5),547))="",INDEX(checklistPesertaKemenkeu!$J$6:$J$1005,SMALL(IF(checklistPesertaKemenkeu!$AY$6:$AY$1005="Direkomendasikan",ROW($6:$1005)-5),547))=""),"",IF(AND(COUNTIF(INDIRECT("K_"&amp;MATCH(INDEX(checklistPesertaKemenkeu!$J$6:$J$1005,SMALL(IF(checklistPesertaKemenkeu!$AY$6:$AY$1005="Direkomendasikan",ROW($6:$1005)-5),547)),BidangList,0)),INDEX(checklistPesertaKemenkeu!$N$6:$N$1005,SMALL(IF(checklistPesertaKemenkeu!$AY$6:$AY$1005="Direkomendasikan",ROW($6:$1005)-5),547)))&gt;0,COUNTIF(INDIRECT("'KERTAS KERJA'!K"&amp;(SMALL(IF(checklistPesertaKemenkeu!$AY$6:$AY$1005="Direkomendasikan",ROW($6:$1005)-5),547)+5)&amp;":O"&amp;(SMALL(IF(checklistPesertaKemenkeu!$AY$6:$AY$1005="Direkomendasikan",ROW($6:$1005)-5),547)+5)),INDEX(checklistPesertaKemenkeu!$N$6:$N$1005,SMALL(IF(checklistPesertaKemenkeu!$AY$6:$AY$1005="Direkomendasikan",ROW($6:$1005)-5),547)))=1),IFERROR(VLOOKUP(INDEX(checklistPesertaKemenkeu!$N$6:$N$1005,SMALL(IF(checklistPesertaKemenkeu!$AY$6:$AY$1005="Direkomendasikan",ROW($6:$1005)-5),547)),KotaKode,2,0),"-"),"")),"")</f>
        <v/>
      </c>
      <c r="K548" t="str">
        <f t="array" aca="1" ref="K548" ca="1">IFERROR(IF(OR(INDEX(checklistPesertaKemenkeu!$O$6:$O$1005,SMALL(IF(checklistPesertaKemenkeu!$AY$6:$AY$1005="Direkomendasikan",ROW($6:$1005)-5),547))="",INDEX(checklistPesertaKemenkeu!$J$6:$J$1005,SMALL(IF(checklistPesertaKemenkeu!$AY$6:$AY$1005="Direkomendasikan",ROW($6:$1005)-5),547))=""),"",IF(AND(COUNTIF(INDIRECT("K_"&amp;MATCH(INDEX(checklistPesertaKemenkeu!$J$6:$J$1005,SMALL(IF(checklistPesertaKemenkeu!$AY$6:$AY$1005="Direkomendasikan",ROW($6:$1005)-5),547)),BidangList,0)),INDEX(checklistPesertaKemenkeu!$O$6:$O$1005,SMALL(IF(checklistPesertaKemenkeu!$AY$6:$AY$1005="Direkomendasikan",ROW($6:$1005)-5),547)))&gt;0,COUNTIF(INDIRECT("'KERTAS KERJA'!K"&amp;(SMALL(IF(checklistPesertaKemenkeu!$AY$6:$AY$1005="Direkomendasikan",ROW($6:$1005)-5),547)+5)&amp;":O"&amp;(SMALL(IF(checklistPesertaKemenkeu!$AY$6:$AY$1005="Direkomendasikan",ROW($6:$1005)-5),547)+5)),INDEX(checklistPesertaKemenkeu!$O$6:$O$1005,SMALL(IF(checklistPesertaKemenkeu!$AY$6:$AY$1005="Direkomendasikan",ROW($6:$1005)-5),547)))=1),IFERROR(VLOOKUP(INDEX(checklistPesertaKemenkeu!$O$6:$O$1005,SMALL(IF(checklistPesertaKemenkeu!$AY$6:$AY$1005="Direkomendasikan",ROW($6:$1005)-5),547)),KotaKode,2,0),"-"),"")),"")</f>
        <v/>
      </c>
      <c r="L548" t="str">
        <f t="array" aca="1" ref="L548" ca="1">IFERROR(IF(OR(INDEX(checklistPesertaKemenkeu!$P$6:$P$1005,SMALL(IF(checklistPesertaKemenkeu!$AY$6:$AY$1005="Direkomendasikan",ROW($6:$1005)-5),547))="",INDEX(checklistPesertaKemenkeu!$J$6:$J$1005,SMALL(IF(checklistPesertaKemenkeu!$AY$6:$AY$1005="Direkomendasikan",ROW($6:$1005)-5),547))=""),"",IF(AND(COUNTIF(INDIRECT("K_"&amp;MATCH(INDEX(checklistPesertaKemenkeu!$J$6:$J$1005,SMALL(IF(checklistPesertaKemenkeu!$AY$6:$AY$1005="Direkomendasikan",ROW($6:$1005)-5),547)),BidangList,0)),INDEX(checklistPesertaKemenkeu!$P$6:$P$1005,SMALL(IF(checklistPesertaKemenkeu!$AY$6:$AY$1005="Direkomendasikan",ROW($6:$1005)-5),547)))&gt;0,COUNTIF(INDIRECT("'KERTAS KERJA'!K"&amp;(SMALL(IF(checklistPesertaKemenkeu!$AY$6:$AY$1005="Direkomendasikan",ROW($6:$1005)-5),547)+5)&amp;":O"&amp;(SMALL(IF(checklistPesertaKemenkeu!$AY$6:$AY$1005="Direkomendasikan",ROW($6:$1005)-5),547)+5)),INDEX(checklistPesertaKemenkeu!$P$6:$P$1005,SMALL(IF(checklistPesertaKemenkeu!$AY$6:$AY$1005="Direkomendasikan",ROW($6:$1005)-5),547)))=1),IFERROR(VLOOKUP(INDEX(checklistPesertaKemenkeu!$P$6:$P$1005,SMALL(IF(checklistPesertaKemenkeu!$AY$6:$AY$1005="Direkomendasikan",ROW($6:$1005)-5),547)),KotaKode,2,0),"-"),"")),"")</f>
        <v/>
      </c>
    </row>
    <row r="549" spans="1:12" ht="15" customHeight="1" x14ac:dyDescent="0.2">
      <c r="A549" t="str">
        <f t="shared" si="8"/>
        <v/>
      </c>
      <c r="B549" t="str">
        <v/>
      </c>
      <c r="C549" s="40" t="str">
        <f t="array" ref="C549">IFERROR(INDEX(checklistPesertaKemenkeu!$F$6:$F$1005,SMALL(IF(checklistPesertaKemenkeu!$AY$6:$AY$1005="Direkomendasikan",ROW($6:$1005)-5),548)),"")</f>
        <v/>
      </c>
      <c r="D549" t="str">
        <f t="array" ref="D549">IFERROR(INDEX(checklistPesertaKemenkeu!$G$6:$G$1005,SMALL(IF(checklistPesertaKemenkeu!$AY$6:$AY$1005="Direkomendasikan",ROW($6:$1005)-5),548)),"")</f>
        <v/>
      </c>
      <c r="E549" t="str">
        <f t="array" ref="E549">IFERROR(INDEX(checklistPesertaKemenkeu!$H$6:$H$1005,SMALL(IF(checklistPesertaKemenkeu!$AY$6:$AY$1005="Direkomendasikan",ROW($6:$1005)-5),548)),"")</f>
        <v/>
      </c>
      <c r="F549" t="str">
        <f t="array" ref="F549">IFERROR(INDEX(checklistPesertaKemenkeu!$I$6:$I$1005,SMALL(IF(checklistPesertaKemenkeu!$AY$6:$AY$1005="Direkomendasikan",ROW($6:$1005)-5),548)),"")</f>
        <v/>
      </c>
      <c r="G549" t="str">
        <f t="array" ref="G549">IFERROR(INDEX(checklistPesertaKemenkeu!$J$6:$J$1005,SMALL(IF(checklistPesertaKemenkeu!$AY$6:$AY$1005="Direkomendasikan",ROW($6:$1005)-5),548)),"")</f>
        <v/>
      </c>
      <c r="H549" t="str">
        <f t="array" aca="1" ref="H549" ca="1">IFERROR(IF(OR(INDEX(checklistPesertaKemenkeu!$L$6:$L$1005,SMALL(IF(checklistPesertaKemenkeu!$AY$6:$AY$1005="Direkomendasikan",ROW($6:$1005)-5),548))="",INDEX(checklistPesertaKemenkeu!$J$6:$J$1005,SMALL(IF(checklistPesertaKemenkeu!$AY$6:$AY$1005="Direkomendasikan",ROW($6:$1005)-5),548))=""),"",IF(AND(COUNTIF(INDIRECT("K_"&amp;MATCH(INDEX(checklistPesertaKemenkeu!$J$6:$J$1005,SMALL(IF(checklistPesertaKemenkeu!$AY$6:$AY$1005="Direkomendasikan",ROW($6:$1005)-5),548)),BidangList,0)),INDEX(checklistPesertaKemenkeu!$L$6:$L$1005,SMALL(IF(checklistPesertaKemenkeu!$AY$6:$AY$1005="Direkomendasikan",ROW($6:$1005)-5),548)))&gt;0,COUNTIF(INDIRECT("'KERTAS KERJA'!K"&amp;(SMALL(IF(checklistPesertaKemenkeu!$AY$6:$AY$1005="Direkomendasikan",ROW($6:$1005)-5),548)+5)&amp;":O"&amp;(SMALL(IF(checklistPesertaKemenkeu!$AY$6:$AY$1005="Direkomendasikan",ROW($6:$1005)-5),548)+5)),INDEX(checklistPesertaKemenkeu!$L$6:$L$1005,SMALL(IF(checklistPesertaKemenkeu!$AY$6:$AY$1005="Direkomendasikan",ROW($6:$1005)-5),548)))=1),IFERROR(VLOOKUP(INDEX(checklistPesertaKemenkeu!$L$6:$L$1005,SMALL(IF(checklistPesertaKemenkeu!$AY$6:$AY$1005="Direkomendasikan",ROW($6:$1005)-5),548)),KotaKode,2,0),"-"),"")),"")</f>
        <v/>
      </c>
      <c r="I549" t="str">
        <f t="array" aca="1" ref="I549" ca="1">IFERROR(IF(OR(INDEX(checklistPesertaKemenkeu!$M$6:$M$1005,SMALL(IF(checklistPesertaKemenkeu!$AY$6:$AY$1005="Direkomendasikan",ROW($6:$1005)-5),548))="",INDEX(checklistPesertaKemenkeu!$J$6:$J$1005,SMALL(IF(checklistPesertaKemenkeu!$AY$6:$AY$1005="Direkomendasikan",ROW($6:$1005)-5),548))=""),"",IF(AND(COUNTIF(INDIRECT("K_"&amp;MATCH(INDEX(checklistPesertaKemenkeu!$J$6:$J$1005,SMALL(IF(checklistPesertaKemenkeu!$AY$6:$AY$1005="Direkomendasikan",ROW($6:$1005)-5),548)),BidangList,0)),INDEX(checklistPesertaKemenkeu!$M$6:$M$1005,SMALL(IF(checklistPesertaKemenkeu!$AY$6:$AY$1005="Direkomendasikan",ROW($6:$1005)-5),548)))&gt;0,COUNTIF(INDIRECT("'KERTAS KERJA'!K"&amp;(SMALL(IF(checklistPesertaKemenkeu!$AY$6:$AY$1005="Direkomendasikan",ROW($6:$1005)-5),548)+5)&amp;":O"&amp;(SMALL(IF(checklistPesertaKemenkeu!$AY$6:$AY$1005="Direkomendasikan",ROW($6:$1005)-5),548)+5)),INDEX(checklistPesertaKemenkeu!$M$6:$M$1005,SMALL(IF(checklistPesertaKemenkeu!$AY$6:$AY$1005="Direkomendasikan",ROW($6:$1005)-5),548)))=1),IFERROR(VLOOKUP(INDEX(checklistPesertaKemenkeu!$M$6:$M$1005,SMALL(IF(checklistPesertaKemenkeu!$AY$6:$AY$1005="Direkomendasikan",ROW($6:$1005)-5),548)),KotaKode,2,0),"-"),"")),"")</f>
        <v/>
      </c>
      <c r="J549" t="str">
        <f t="array" aca="1" ref="J549" ca="1">IFERROR(IF(OR(INDEX(checklistPesertaKemenkeu!$N$6:$N$1005,SMALL(IF(checklistPesertaKemenkeu!$AY$6:$AY$1005="Direkomendasikan",ROW($6:$1005)-5),548))="",INDEX(checklistPesertaKemenkeu!$J$6:$J$1005,SMALL(IF(checklistPesertaKemenkeu!$AY$6:$AY$1005="Direkomendasikan",ROW($6:$1005)-5),548))=""),"",IF(AND(COUNTIF(INDIRECT("K_"&amp;MATCH(INDEX(checklistPesertaKemenkeu!$J$6:$J$1005,SMALL(IF(checklistPesertaKemenkeu!$AY$6:$AY$1005="Direkomendasikan",ROW($6:$1005)-5),548)),BidangList,0)),INDEX(checklistPesertaKemenkeu!$N$6:$N$1005,SMALL(IF(checklistPesertaKemenkeu!$AY$6:$AY$1005="Direkomendasikan",ROW($6:$1005)-5),548)))&gt;0,COUNTIF(INDIRECT("'KERTAS KERJA'!K"&amp;(SMALL(IF(checklistPesertaKemenkeu!$AY$6:$AY$1005="Direkomendasikan",ROW($6:$1005)-5),548)+5)&amp;":O"&amp;(SMALL(IF(checklistPesertaKemenkeu!$AY$6:$AY$1005="Direkomendasikan",ROW($6:$1005)-5),548)+5)),INDEX(checklistPesertaKemenkeu!$N$6:$N$1005,SMALL(IF(checklistPesertaKemenkeu!$AY$6:$AY$1005="Direkomendasikan",ROW($6:$1005)-5),548)))=1),IFERROR(VLOOKUP(INDEX(checklistPesertaKemenkeu!$N$6:$N$1005,SMALL(IF(checklistPesertaKemenkeu!$AY$6:$AY$1005="Direkomendasikan",ROW($6:$1005)-5),548)),KotaKode,2,0),"-"),"")),"")</f>
        <v/>
      </c>
      <c r="K549" t="str">
        <f t="array" aca="1" ref="K549" ca="1">IFERROR(IF(OR(INDEX(checklistPesertaKemenkeu!$O$6:$O$1005,SMALL(IF(checklistPesertaKemenkeu!$AY$6:$AY$1005="Direkomendasikan",ROW($6:$1005)-5),548))="",INDEX(checklistPesertaKemenkeu!$J$6:$J$1005,SMALL(IF(checklistPesertaKemenkeu!$AY$6:$AY$1005="Direkomendasikan",ROW($6:$1005)-5),548))=""),"",IF(AND(COUNTIF(INDIRECT("K_"&amp;MATCH(INDEX(checklistPesertaKemenkeu!$J$6:$J$1005,SMALL(IF(checklistPesertaKemenkeu!$AY$6:$AY$1005="Direkomendasikan",ROW($6:$1005)-5),548)),BidangList,0)),INDEX(checklistPesertaKemenkeu!$O$6:$O$1005,SMALL(IF(checklistPesertaKemenkeu!$AY$6:$AY$1005="Direkomendasikan",ROW($6:$1005)-5),548)))&gt;0,COUNTIF(INDIRECT("'KERTAS KERJA'!K"&amp;(SMALL(IF(checklistPesertaKemenkeu!$AY$6:$AY$1005="Direkomendasikan",ROW($6:$1005)-5),548)+5)&amp;":O"&amp;(SMALL(IF(checklistPesertaKemenkeu!$AY$6:$AY$1005="Direkomendasikan",ROW($6:$1005)-5),548)+5)),INDEX(checklistPesertaKemenkeu!$O$6:$O$1005,SMALL(IF(checklistPesertaKemenkeu!$AY$6:$AY$1005="Direkomendasikan",ROW($6:$1005)-5),548)))=1),IFERROR(VLOOKUP(INDEX(checklistPesertaKemenkeu!$O$6:$O$1005,SMALL(IF(checklistPesertaKemenkeu!$AY$6:$AY$1005="Direkomendasikan",ROW($6:$1005)-5),548)),KotaKode,2,0),"-"),"")),"")</f>
        <v/>
      </c>
      <c r="L549" t="str">
        <f t="array" aca="1" ref="L549" ca="1">IFERROR(IF(OR(INDEX(checklistPesertaKemenkeu!$P$6:$P$1005,SMALL(IF(checklistPesertaKemenkeu!$AY$6:$AY$1005="Direkomendasikan",ROW($6:$1005)-5),548))="",INDEX(checklistPesertaKemenkeu!$J$6:$J$1005,SMALL(IF(checklistPesertaKemenkeu!$AY$6:$AY$1005="Direkomendasikan",ROW($6:$1005)-5),548))=""),"",IF(AND(COUNTIF(INDIRECT("K_"&amp;MATCH(INDEX(checklistPesertaKemenkeu!$J$6:$J$1005,SMALL(IF(checklistPesertaKemenkeu!$AY$6:$AY$1005="Direkomendasikan",ROW($6:$1005)-5),548)),BidangList,0)),INDEX(checklistPesertaKemenkeu!$P$6:$P$1005,SMALL(IF(checklistPesertaKemenkeu!$AY$6:$AY$1005="Direkomendasikan",ROW($6:$1005)-5),548)))&gt;0,COUNTIF(INDIRECT("'KERTAS KERJA'!K"&amp;(SMALL(IF(checklistPesertaKemenkeu!$AY$6:$AY$1005="Direkomendasikan",ROW($6:$1005)-5),548)+5)&amp;":O"&amp;(SMALL(IF(checklistPesertaKemenkeu!$AY$6:$AY$1005="Direkomendasikan",ROW($6:$1005)-5),548)+5)),INDEX(checklistPesertaKemenkeu!$P$6:$P$1005,SMALL(IF(checklistPesertaKemenkeu!$AY$6:$AY$1005="Direkomendasikan",ROW($6:$1005)-5),548)))=1),IFERROR(VLOOKUP(INDEX(checklistPesertaKemenkeu!$P$6:$P$1005,SMALL(IF(checklistPesertaKemenkeu!$AY$6:$AY$1005="Direkomendasikan",ROW($6:$1005)-5),548)),KotaKode,2,0),"-"),"")),"")</f>
        <v/>
      </c>
    </row>
    <row r="550" spans="1:12" ht="15" customHeight="1" x14ac:dyDescent="0.2">
      <c r="A550" t="str">
        <f t="shared" si="8"/>
        <v/>
      </c>
      <c r="B550" t="str">
        <v/>
      </c>
      <c r="C550" s="40" t="str">
        <f t="array" ref="C550">IFERROR(INDEX(checklistPesertaKemenkeu!$F$6:$F$1005,SMALL(IF(checklistPesertaKemenkeu!$AY$6:$AY$1005="Direkomendasikan",ROW($6:$1005)-5),549)),"")</f>
        <v/>
      </c>
      <c r="D550" t="str">
        <f t="array" ref="D550">IFERROR(INDEX(checklistPesertaKemenkeu!$G$6:$G$1005,SMALL(IF(checklistPesertaKemenkeu!$AY$6:$AY$1005="Direkomendasikan",ROW($6:$1005)-5),549)),"")</f>
        <v/>
      </c>
      <c r="E550" t="str">
        <f t="array" ref="E550">IFERROR(INDEX(checklistPesertaKemenkeu!$H$6:$H$1005,SMALL(IF(checklistPesertaKemenkeu!$AY$6:$AY$1005="Direkomendasikan",ROW($6:$1005)-5),549)),"")</f>
        <v/>
      </c>
      <c r="F550" t="str">
        <f t="array" ref="F550">IFERROR(INDEX(checklistPesertaKemenkeu!$I$6:$I$1005,SMALL(IF(checklistPesertaKemenkeu!$AY$6:$AY$1005="Direkomendasikan",ROW($6:$1005)-5),549)),"")</f>
        <v/>
      </c>
      <c r="G550" t="str">
        <f t="array" ref="G550">IFERROR(INDEX(checklistPesertaKemenkeu!$J$6:$J$1005,SMALL(IF(checklistPesertaKemenkeu!$AY$6:$AY$1005="Direkomendasikan",ROW($6:$1005)-5),549)),"")</f>
        <v/>
      </c>
      <c r="H550" t="str">
        <f t="array" aca="1" ref="H550" ca="1">IFERROR(IF(OR(INDEX(checklistPesertaKemenkeu!$L$6:$L$1005,SMALL(IF(checklistPesertaKemenkeu!$AY$6:$AY$1005="Direkomendasikan",ROW($6:$1005)-5),549))="",INDEX(checklistPesertaKemenkeu!$J$6:$J$1005,SMALL(IF(checklistPesertaKemenkeu!$AY$6:$AY$1005="Direkomendasikan",ROW($6:$1005)-5),549))=""),"",IF(AND(COUNTIF(INDIRECT("K_"&amp;MATCH(INDEX(checklistPesertaKemenkeu!$J$6:$J$1005,SMALL(IF(checklistPesertaKemenkeu!$AY$6:$AY$1005="Direkomendasikan",ROW($6:$1005)-5),549)),BidangList,0)),INDEX(checklistPesertaKemenkeu!$L$6:$L$1005,SMALL(IF(checklistPesertaKemenkeu!$AY$6:$AY$1005="Direkomendasikan",ROW($6:$1005)-5),549)))&gt;0,COUNTIF(INDIRECT("'KERTAS KERJA'!K"&amp;(SMALL(IF(checklistPesertaKemenkeu!$AY$6:$AY$1005="Direkomendasikan",ROW($6:$1005)-5),549)+5)&amp;":O"&amp;(SMALL(IF(checklistPesertaKemenkeu!$AY$6:$AY$1005="Direkomendasikan",ROW($6:$1005)-5),549)+5)),INDEX(checklistPesertaKemenkeu!$L$6:$L$1005,SMALL(IF(checklistPesertaKemenkeu!$AY$6:$AY$1005="Direkomendasikan",ROW($6:$1005)-5),549)))=1),IFERROR(VLOOKUP(INDEX(checklistPesertaKemenkeu!$L$6:$L$1005,SMALL(IF(checklistPesertaKemenkeu!$AY$6:$AY$1005="Direkomendasikan",ROW($6:$1005)-5),549)),KotaKode,2,0),"-"),"")),"")</f>
        <v/>
      </c>
      <c r="I550" t="str">
        <f t="array" aca="1" ref="I550" ca="1">IFERROR(IF(OR(INDEX(checklistPesertaKemenkeu!$M$6:$M$1005,SMALL(IF(checklistPesertaKemenkeu!$AY$6:$AY$1005="Direkomendasikan",ROW($6:$1005)-5),549))="",INDEX(checklistPesertaKemenkeu!$J$6:$J$1005,SMALL(IF(checklistPesertaKemenkeu!$AY$6:$AY$1005="Direkomendasikan",ROW($6:$1005)-5),549))=""),"",IF(AND(COUNTIF(INDIRECT("K_"&amp;MATCH(INDEX(checklistPesertaKemenkeu!$J$6:$J$1005,SMALL(IF(checklistPesertaKemenkeu!$AY$6:$AY$1005="Direkomendasikan",ROW($6:$1005)-5),549)),BidangList,0)),INDEX(checklistPesertaKemenkeu!$M$6:$M$1005,SMALL(IF(checklistPesertaKemenkeu!$AY$6:$AY$1005="Direkomendasikan",ROW($6:$1005)-5),549)))&gt;0,COUNTIF(INDIRECT("'KERTAS KERJA'!K"&amp;(SMALL(IF(checklistPesertaKemenkeu!$AY$6:$AY$1005="Direkomendasikan",ROW($6:$1005)-5),549)+5)&amp;":O"&amp;(SMALL(IF(checklistPesertaKemenkeu!$AY$6:$AY$1005="Direkomendasikan",ROW($6:$1005)-5),549)+5)),INDEX(checklistPesertaKemenkeu!$M$6:$M$1005,SMALL(IF(checklistPesertaKemenkeu!$AY$6:$AY$1005="Direkomendasikan",ROW($6:$1005)-5),549)))=1),IFERROR(VLOOKUP(INDEX(checklistPesertaKemenkeu!$M$6:$M$1005,SMALL(IF(checklistPesertaKemenkeu!$AY$6:$AY$1005="Direkomendasikan",ROW($6:$1005)-5),549)),KotaKode,2,0),"-"),"")),"")</f>
        <v/>
      </c>
      <c r="J550" t="str">
        <f t="array" aca="1" ref="J550" ca="1">IFERROR(IF(OR(INDEX(checklistPesertaKemenkeu!$N$6:$N$1005,SMALL(IF(checklistPesertaKemenkeu!$AY$6:$AY$1005="Direkomendasikan",ROW($6:$1005)-5),549))="",INDEX(checklistPesertaKemenkeu!$J$6:$J$1005,SMALL(IF(checklistPesertaKemenkeu!$AY$6:$AY$1005="Direkomendasikan",ROW($6:$1005)-5),549))=""),"",IF(AND(COUNTIF(INDIRECT("K_"&amp;MATCH(INDEX(checklistPesertaKemenkeu!$J$6:$J$1005,SMALL(IF(checklistPesertaKemenkeu!$AY$6:$AY$1005="Direkomendasikan",ROW($6:$1005)-5),549)),BidangList,0)),INDEX(checklistPesertaKemenkeu!$N$6:$N$1005,SMALL(IF(checklistPesertaKemenkeu!$AY$6:$AY$1005="Direkomendasikan",ROW($6:$1005)-5),549)))&gt;0,COUNTIF(INDIRECT("'KERTAS KERJA'!K"&amp;(SMALL(IF(checklistPesertaKemenkeu!$AY$6:$AY$1005="Direkomendasikan",ROW($6:$1005)-5),549)+5)&amp;":O"&amp;(SMALL(IF(checklistPesertaKemenkeu!$AY$6:$AY$1005="Direkomendasikan",ROW($6:$1005)-5),549)+5)),INDEX(checklistPesertaKemenkeu!$N$6:$N$1005,SMALL(IF(checklistPesertaKemenkeu!$AY$6:$AY$1005="Direkomendasikan",ROW($6:$1005)-5),549)))=1),IFERROR(VLOOKUP(INDEX(checklistPesertaKemenkeu!$N$6:$N$1005,SMALL(IF(checklistPesertaKemenkeu!$AY$6:$AY$1005="Direkomendasikan",ROW($6:$1005)-5),549)),KotaKode,2,0),"-"),"")),"")</f>
        <v/>
      </c>
      <c r="K550" t="str">
        <f t="array" aca="1" ref="K550" ca="1">IFERROR(IF(OR(INDEX(checklistPesertaKemenkeu!$O$6:$O$1005,SMALL(IF(checklistPesertaKemenkeu!$AY$6:$AY$1005="Direkomendasikan",ROW($6:$1005)-5),549))="",INDEX(checklistPesertaKemenkeu!$J$6:$J$1005,SMALL(IF(checklistPesertaKemenkeu!$AY$6:$AY$1005="Direkomendasikan",ROW($6:$1005)-5),549))=""),"",IF(AND(COUNTIF(INDIRECT("K_"&amp;MATCH(INDEX(checklistPesertaKemenkeu!$J$6:$J$1005,SMALL(IF(checklistPesertaKemenkeu!$AY$6:$AY$1005="Direkomendasikan",ROW($6:$1005)-5),549)),BidangList,0)),INDEX(checklistPesertaKemenkeu!$O$6:$O$1005,SMALL(IF(checklistPesertaKemenkeu!$AY$6:$AY$1005="Direkomendasikan",ROW($6:$1005)-5),549)))&gt;0,COUNTIF(INDIRECT("'KERTAS KERJA'!K"&amp;(SMALL(IF(checklistPesertaKemenkeu!$AY$6:$AY$1005="Direkomendasikan",ROW($6:$1005)-5),549)+5)&amp;":O"&amp;(SMALL(IF(checklistPesertaKemenkeu!$AY$6:$AY$1005="Direkomendasikan",ROW($6:$1005)-5),549)+5)),INDEX(checklistPesertaKemenkeu!$O$6:$O$1005,SMALL(IF(checklistPesertaKemenkeu!$AY$6:$AY$1005="Direkomendasikan",ROW($6:$1005)-5),549)))=1),IFERROR(VLOOKUP(INDEX(checklistPesertaKemenkeu!$O$6:$O$1005,SMALL(IF(checklistPesertaKemenkeu!$AY$6:$AY$1005="Direkomendasikan",ROW($6:$1005)-5),549)),KotaKode,2,0),"-"),"")),"")</f>
        <v/>
      </c>
      <c r="L550" t="str">
        <f t="array" aca="1" ref="L550" ca="1">IFERROR(IF(OR(INDEX(checklistPesertaKemenkeu!$P$6:$P$1005,SMALL(IF(checklistPesertaKemenkeu!$AY$6:$AY$1005="Direkomendasikan",ROW($6:$1005)-5),549))="",INDEX(checklistPesertaKemenkeu!$J$6:$J$1005,SMALL(IF(checklistPesertaKemenkeu!$AY$6:$AY$1005="Direkomendasikan",ROW($6:$1005)-5),549))=""),"",IF(AND(COUNTIF(INDIRECT("K_"&amp;MATCH(INDEX(checklistPesertaKemenkeu!$J$6:$J$1005,SMALL(IF(checklistPesertaKemenkeu!$AY$6:$AY$1005="Direkomendasikan",ROW($6:$1005)-5),549)),BidangList,0)),INDEX(checklistPesertaKemenkeu!$P$6:$P$1005,SMALL(IF(checklistPesertaKemenkeu!$AY$6:$AY$1005="Direkomendasikan",ROW($6:$1005)-5),549)))&gt;0,COUNTIF(INDIRECT("'KERTAS KERJA'!K"&amp;(SMALL(IF(checklistPesertaKemenkeu!$AY$6:$AY$1005="Direkomendasikan",ROW($6:$1005)-5),549)+5)&amp;":O"&amp;(SMALL(IF(checklistPesertaKemenkeu!$AY$6:$AY$1005="Direkomendasikan",ROW($6:$1005)-5),549)+5)),INDEX(checklistPesertaKemenkeu!$P$6:$P$1005,SMALL(IF(checklistPesertaKemenkeu!$AY$6:$AY$1005="Direkomendasikan",ROW($6:$1005)-5),549)))=1),IFERROR(VLOOKUP(INDEX(checklistPesertaKemenkeu!$P$6:$P$1005,SMALL(IF(checklistPesertaKemenkeu!$AY$6:$AY$1005="Direkomendasikan",ROW($6:$1005)-5),549)),KotaKode,2,0),"-"),"")),"")</f>
        <v/>
      </c>
    </row>
    <row r="551" spans="1:12" ht="15" customHeight="1" x14ac:dyDescent="0.2">
      <c r="A551" t="str">
        <f t="shared" si="8"/>
        <v/>
      </c>
      <c r="B551" t="str">
        <v/>
      </c>
      <c r="C551" s="40" t="str">
        <f t="array" ref="C551">IFERROR(INDEX(checklistPesertaKemenkeu!$F$6:$F$1005,SMALL(IF(checklistPesertaKemenkeu!$AY$6:$AY$1005="Direkomendasikan",ROW($6:$1005)-5),550)),"")</f>
        <v/>
      </c>
      <c r="D551" t="str">
        <f t="array" ref="D551">IFERROR(INDEX(checklistPesertaKemenkeu!$G$6:$G$1005,SMALL(IF(checklistPesertaKemenkeu!$AY$6:$AY$1005="Direkomendasikan",ROW($6:$1005)-5),550)),"")</f>
        <v/>
      </c>
      <c r="E551" t="str">
        <f t="array" ref="E551">IFERROR(INDEX(checklistPesertaKemenkeu!$H$6:$H$1005,SMALL(IF(checklistPesertaKemenkeu!$AY$6:$AY$1005="Direkomendasikan",ROW($6:$1005)-5),550)),"")</f>
        <v/>
      </c>
      <c r="F551" t="str">
        <f t="array" ref="F551">IFERROR(INDEX(checklistPesertaKemenkeu!$I$6:$I$1005,SMALL(IF(checklistPesertaKemenkeu!$AY$6:$AY$1005="Direkomendasikan",ROW($6:$1005)-5),550)),"")</f>
        <v/>
      </c>
      <c r="G551" t="str">
        <f t="array" ref="G551">IFERROR(INDEX(checklistPesertaKemenkeu!$J$6:$J$1005,SMALL(IF(checklistPesertaKemenkeu!$AY$6:$AY$1005="Direkomendasikan",ROW($6:$1005)-5),550)),"")</f>
        <v/>
      </c>
      <c r="H551" t="str">
        <f t="array" aca="1" ref="H551" ca="1">IFERROR(IF(OR(INDEX(checklistPesertaKemenkeu!$L$6:$L$1005,SMALL(IF(checklistPesertaKemenkeu!$AY$6:$AY$1005="Direkomendasikan",ROW($6:$1005)-5),550))="",INDEX(checklistPesertaKemenkeu!$J$6:$J$1005,SMALL(IF(checklistPesertaKemenkeu!$AY$6:$AY$1005="Direkomendasikan",ROW($6:$1005)-5),550))=""),"",IF(AND(COUNTIF(INDIRECT("K_"&amp;MATCH(INDEX(checklistPesertaKemenkeu!$J$6:$J$1005,SMALL(IF(checklistPesertaKemenkeu!$AY$6:$AY$1005="Direkomendasikan",ROW($6:$1005)-5),550)),BidangList,0)),INDEX(checklistPesertaKemenkeu!$L$6:$L$1005,SMALL(IF(checklistPesertaKemenkeu!$AY$6:$AY$1005="Direkomendasikan",ROW($6:$1005)-5),550)))&gt;0,COUNTIF(INDIRECT("'KERTAS KERJA'!K"&amp;(SMALL(IF(checklistPesertaKemenkeu!$AY$6:$AY$1005="Direkomendasikan",ROW($6:$1005)-5),550)+5)&amp;":O"&amp;(SMALL(IF(checklistPesertaKemenkeu!$AY$6:$AY$1005="Direkomendasikan",ROW($6:$1005)-5),550)+5)),INDEX(checklistPesertaKemenkeu!$L$6:$L$1005,SMALL(IF(checklistPesertaKemenkeu!$AY$6:$AY$1005="Direkomendasikan",ROW($6:$1005)-5),550)))=1),IFERROR(VLOOKUP(INDEX(checklistPesertaKemenkeu!$L$6:$L$1005,SMALL(IF(checklistPesertaKemenkeu!$AY$6:$AY$1005="Direkomendasikan",ROW($6:$1005)-5),550)),KotaKode,2,0),"-"),"")),"")</f>
        <v/>
      </c>
      <c r="I551" t="str">
        <f t="array" aca="1" ref="I551" ca="1">IFERROR(IF(OR(INDEX(checklistPesertaKemenkeu!$M$6:$M$1005,SMALL(IF(checklistPesertaKemenkeu!$AY$6:$AY$1005="Direkomendasikan",ROW($6:$1005)-5),550))="",INDEX(checklistPesertaKemenkeu!$J$6:$J$1005,SMALL(IF(checklistPesertaKemenkeu!$AY$6:$AY$1005="Direkomendasikan",ROW($6:$1005)-5),550))=""),"",IF(AND(COUNTIF(INDIRECT("K_"&amp;MATCH(INDEX(checklistPesertaKemenkeu!$J$6:$J$1005,SMALL(IF(checklistPesertaKemenkeu!$AY$6:$AY$1005="Direkomendasikan",ROW($6:$1005)-5),550)),BidangList,0)),INDEX(checklistPesertaKemenkeu!$M$6:$M$1005,SMALL(IF(checklistPesertaKemenkeu!$AY$6:$AY$1005="Direkomendasikan",ROW($6:$1005)-5),550)))&gt;0,COUNTIF(INDIRECT("'KERTAS KERJA'!K"&amp;(SMALL(IF(checklistPesertaKemenkeu!$AY$6:$AY$1005="Direkomendasikan",ROW($6:$1005)-5),550)+5)&amp;":O"&amp;(SMALL(IF(checklistPesertaKemenkeu!$AY$6:$AY$1005="Direkomendasikan",ROW($6:$1005)-5),550)+5)),INDEX(checklistPesertaKemenkeu!$M$6:$M$1005,SMALL(IF(checklistPesertaKemenkeu!$AY$6:$AY$1005="Direkomendasikan",ROW($6:$1005)-5),550)))=1),IFERROR(VLOOKUP(INDEX(checklistPesertaKemenkeu!$M$6:$M$1005,SMALL(IF(checklistPesertaKemenkeu!$AY$6:$AY$1005="Direkomendasikan",ROW($6:$1005)-5),550)),KotaKode,2,0),"-"),"")),"")</f>
        <v/>
      </c>
      <c r="J551" t="str">
        <f t="array" aca="1" ref="J551" ca="1">IFERROR(IF(OR(INDEX(checklistPesertaKemenkeu!$N$6:$N$1005,SMALL(IF(checklistPesertaKemenkeu!$AY$6:$AY$1005="Direkomendasikan",ROW($6:$1005)-5),550))="",INDEX(checklistPesertaKemenkeu!$J$6:$J$1005,SMALL(IF(checklistPesertaKemenkeu!$AY$6:$AY$1005="Direkomendasikan",ROW($6:$1005)-5),550))=""),"",IF(AND(COUNTIF(INDIRECT("K_"&amp;MATCH(INDEX(checklistPesertaKemenkeu!$J$6:$J$1005,SMALL(IF(checklistPesertaKemenkeu!$AY$6:$AY$1005="Direkomendasikan",ROW($6:$1005)-5),550)),BidangList,0)),INDEX(checklistPesertaKemenkeu!$N$6:$N$1005,SMALL(IF(checklistPesertaKemenkeu!$AY$6:$AY$1005="Direkomendasikan",ROW($6:$1005)-5),550)))&gt;0,COUNTIF(INDIRECT("'KERTAS KERJA'!K"&amp;(SMALL(IF(checklistPesertaKemenkeu!$AY$6:$AY$1005="Direkomendasikan",ROW($6:$1005)-5),550)+5)&amp;":O"&amp;(SMALL(IF(checklistPesertaKemenkeu!$AY$6:$AY$1005="Direkomendasikan",ROW($6:$1005)-5),550)+5)),INDEX(checklistPesertaKemenkeu!$N$6:$N$1005,SMALL(IF(checklistPesertaKemenkeu!$AY$6:$AY$1005="Direkomendasikan",ROW($6:$1005)-5),550)))=1),IFERROR(VLOOKUP(INDEX(checklistPesertaKemenkeu!$N$6:$N$1005,SMALL(IF(checklistPesertaKemenkeu!$AY$6:$AY$1005="Direkomendasikan",ROW($6:$1005)-5),550)),KotaKode,2,0),"-"),"")),"")</f>
        <v/>
      </c>
      <c r="K551" t="str">
        <f t="array" aca="1" ref="K551" ca="1">IFERROR(IF(OR(INDEX(checklistPesertaKemenkeu!$O$6:$O$1005,SMALL(IF(checklistPesertaKemenkeu!$AY$6:$AY$1005="Direkomendasikan",ROW($6:$1005)-5),550))="",INDEX(checklistPesertaKemenkeu!$J$6:$J$1005,SMALL(IF(checklistPesertaKemenkeu!$AY$6:$AY$1005="Direkomendasikan",ROW($6:$1005)-5),550))=""),"",IF(AND(COUNTIF(INDIRECT("K_"&amp;MATCH(INDEX(checklistPesertaKemenkeu!$J$6:$J$1005,SMALL(IF(checklistPesertaKemenkeu!$AY$6:$AY$1005="Direkomendasikan",ROW($6:$1005)-5),550)),BidangList,0)),INDEX(checklistPesertaKemenkeu!$O$6:$O$1005,SMALL(IF(checklistPesertaKemenkeu!$AY$6:$AY$1005="Direkomendasikan",ROW($6:$1005)-5),550)))&gt;0,COUNTIF(INDIRECT("'KERTAS KERJA'!K"&amp;(SMALL(IF(checklistPesertaKemenkeu!$AY$6:$AY$1005="Direkomendasikan",ROW($6:$1005)-5),550)+5)&amp;":O"&amp;(SMALL(IF(checklistPesertaKemenkeu!$AY$6:$AY$1005="Direkomendasikan",ROW($6:$1005)-5),550)+5)),INDEX(checklistPesertaKemenkeu!$O$6:$O$1005,SMALL(IF(checklistPesertaKemenkeu!$AY$6:$AY$1005="Direkomendasikan",ROW($6:$1005)-5),550)))=1),IFERROR(VLOOKUP(INDEX(checklistPesertaKemenkeu!$O$6:$O$1005,SMALL(IF(checklistPesertaKemenkeu!$AY$6:$AY$1005="Direkomendasikan",ROW($6:$1005)-5),550)),KotaKode,2,0),"-"),"")),"")</f>
        <v/>
      </c>
      <c r="L551" t="str">
        <f t="array" aca="1" ref="L551" ca="1">IFERROR(IF(OR(INDEX(checklistPesertaKemenkeu!$P$6:$P$1005,SMALL(IF(checklistPesertaKemenkeu!$AY$6:$AY$1005="Direkomendasikan",ROW($6:$1005)-5),550))="",INDEX(checklistPesertaKemenkeu!$J$6:$J$1005,SMALL(IF(checklistPesertaKemenkeu!$AY$6:$AY$1005="Direkomendasikan",ROW($6:$1005)-5),550))=""),"",IF(AND(COUNTIF(INDIRECT("K_"&amp;MATCH(INDEX(checklistPesertaKemenkeu!$J$6:$J$1005,SMALL(IF(checklistPesertaKemenkeu!$AY$6:$AY$1005="Direkomendasikan",ROW($6:$1005)-5),550)),BidangList,0)),INDEX(checklistPesertaKemenkeu!$P$6:$P$1005,SMALL(IF(checklistPesertaKemenkeu!$AY$6:$AY$1005="Direkomendasikan",ROW($6:$1005)-5),550)))&gt;0,COUNTIF(INDIRECT("'KERTAS KERJA'!K"&amp;(SMALL(IF(checklistPesertaKemenkeu!$AY$6:$AY$1005="Direkomendasikan",ROW($6:$1005)-5),550)+5)&amp;":O"&amp;(SMALL(IF(checklistPesertaKemenkeu!$AY$6:$AY$1005="Direkomendasikan",ROW($6:$1005)-5),550)+5)),INDEX(checklistPesertaKemenkeu!$P$6:$P$1005,SMALL(IF(checklistPesertaKemenkeu!$AY$6:$AY$1005="Direkomendasikan",ROW($6:$1005)-5),550)))=1),IFERROR(VLOOKUP(INDEX(checklistPesertaKemenkeu!$P$6:$P$1005,SMALL(IF(checklistPesertaKemenkeu!$AY$6:$AY$1005="Direkomendasikan",ROW($6:$1005)-5),550)),KotaKode,2,0),"-"),"")),"")</f>
        <v/>
      </c>
    </row>
    <row r="552" spans="1:12" ht="15" customHeight="1" x14ac:dyDescent="0.2">
      <c r="A552" t="str">
        <f t="shared" si="8"/>
        <v/>
      </c>
      <c r="B552" t="str">
        <v/>
      </c>
      <c r="C552" s="40" t="str">
        <f t="array" ref="C552">IFERROR(INDEX(checklistPesertaKemenkeu!$F$6:$F$1005,SMALL(IF(checklistPesertaKemenkeu!$AY$6:$AY$1005="Direkomendasikan",ROW($6:$1005)-5),551)),"")</f>
        <v/>
      </c>
      <c r="D552" t="str">
        <f t="array" ref="D552">IFERROR(INDEX(checklistPesertaKemenkeu!$G$6:$G$1005,SMALL(IF(checklistPesertaKemenkeu!$AY$6:$AY$1005="Direkomendasikan",ROW($6:$1005)-5),551)),"")</f>
        <v/>
      </c>
      <c r="E552" t="str">
        <f t="array" ref="E552">IFERROR(INDEX(checklistPesertaKemenkeu!$H$6:$H$1005,SMALL(IF(checklistPesertaKemenkeu!$AY$6:$AY$1005="Direkomendasikan",ROW($6:$1005)-5),551)),"")</f>
        <v/>
      </c>
      <c r="F552" t="str">
        <f t="array" ref="F552">IFERROR(INDEX(checklistPesertaKemenkeu!$I$6:$I$1005,SMALL(IF(checklistPesertaKemenkeu!$AY$6:$AY$1005="Direkomendasikan",ROW($6:$1005)-5),551)),"")</f>
        <v/>
      </c>
      <c r="G552" t="str">
        <f t="array" ref="G552">IFERROR(INDEX(checklistPesertaKemenkeu!$J$6:$J$1005,SMALL(IF(checklistPesertaKemenkeu!$AY$6:$AY$1005="Direkomendasikan",ROW($6:$1005)-5),551)),"")</f>
        <v/>
      </c>
      <c r="H552" t="str">
        <f t="array" aca="1" ref="H552" ca="1">IFERROR(IF(OR(INDEX(checklistPesertaKemenkeu!$L$6:$L$1005,SMALL(IF(checklistPesertaKemenkeu!$AY$6:$AY$1005="Direkomendasikan",ROW($6:$1005)-5),551))="",INDEX(checklistPesertaKemenkeu!$J$6:$J$1005,SMALL(IF(checklistPesertaKemenkeu!$AY$6:$AY$1005="Direkomendasikan",ROW($6:$1005)-5),551))=""),"",IF(AND(COUNTIF(INDIRECT("K_"&amp;MATCH(INDEX(checklistPesertaKemenkeu!$J$6:$J$1005,SMALL(IF(checklistPesertaKemenkeu!$AY$6:$AY$1005="Direkomendasikan",ROW($6:$1005)-5),551)),BidangList,0)),INDEX(checklistPesertaKemenkeu!$L$6:$L$1005,SMALL(IF(checklistPesertaKemenkeu!$AY$6:$AY$1005="Direkomendasikan",ROW($6:$1005)-5),551)))&gt;0,COUNTIF(INDIRECT("'KERTAS KERJA'!K"&amp;(SMALL(IF(checklistPesertaKemenkeu!$AY$6:$AY$1005="Direkomendasikan",ROW($6:$1005)-5),551)+5)&amp;":O"&amp;(SMALL(IF(checklistPesertaKemenkeu!$AY$6:$AY$1005="Direkomendasikan",ROW($6:$1005)-5),551)+5)),INDEX(checklistPesertaKemenkeu!$L$6:$L$1005,SMALL(IF(checklistPesertaKemenkeu!$AY$6:$AY$1005="Direkomendasikan",ROW($6:$1005)-5),551)))=1),IFERROR(VLOOKUP(INDEX(checklistPesertaKemenkeu!$L$6:$L$1005,SMALL(IF(checklistPesertaKemenkeu!$AY$6:$AY$1005="Direkomendasikan",ROW($6:$1005)-5),551)),KotaKode,2,0),"-"),"")),"")</f>
        <v/>
      </c>
      <c r="I552" t="str">
        <f t="array" aca="1" ref="I552" ca="1">IFERROR(IF(OR(INDEX(checklistPesertaKemenkeu!$M$6:$M$1005,SMALL(IF(checklistPesertaKemenkeu!$AY$6:$AY$1005="Direkomendasikan",ROW($6:$1005)-5),551))="",INDEX(checklistPesertaKemenkeu!$J$6:$J$1005,SMALL(IF(checklistPesertaKemenkeu!$AY$6:$AY$1005="Direkomendasikan",ROW($6:$1005)-5),551))=""),"",IF(AND(COUNTIF(INDIRECT("K_"&amp;MATCH(INDEX(checklistPesertaKemenkeu!$J$6:$J$1005,SMALL(IF(checklistPesertaKemenkeu!$AY$6:$AY$1005="Direkomendasikan",ROW($6:$1005)-5),551)),BidangList,0)),INDEX(checklistPesertaKemenkeu!$M$6:$M$1005,SMALL(IF(checklistPesertaKemenkeu!$AY$6:$AY$1005="Direkomendasikan",ROW($6:$1005)-5),551)))&gt;0,COUNTIF(INDIRECT("'KERTAS KERJA'!K"&amp;(SMALL(IF(checklistPesertaKemenkeu!$AY$6:$AY$1005="Direkomendasikan",ROW($6:$1005)-5),551)+5)&amp;":O"&amp;(SMALL(IF(checklistPesertaKemenkeu!$AY$6:$AY$1005="Direkomendasikan",ROW($6:$1005)-5),551)+5)),INDEX(checklistPesertaKemenkeu!$M$6:$M$1005,SMALL(IF(checklistPesertaKemenkeu!$AY$6:$AY$1005="Direkomendasikan",ROW($6:$1005)-5),551)))=1),IFERROR(VLOOKUP(INDEX(checklistPesertaKemenkeu!$M$6:$M$1005,SMALL(IF(checklistPesertaKemenkeu!$AY$6:$AY$1005="Direkomendasikan",ROW($6:$1005)-5),551)),KotaKode,2,0),"-"),"")),"")</f>
        <v/>
      </c>
      <c r="J552" t="str">
        <f t="array" aca="1" ref="J552" ca="1">IFERROR(IF(OR(INDEX(checklistPesertaKemenkeu!$N$6:$N$1005,SMALL(IF(checklistPesertaKemenkeu!$AY$6:$AY$1005="Direkomendasikan",ROW($6:$1005)-5),551))="",INDEX(checklistPesertaKemenkeu!$J$6:$J$1005,SMALL(IF(checklistPesertaKemenkeu!$AY$6:$AY$1005="Direkomendasikan",ROW($6:$1005)-5),551))=""),"",IF(AND(COUNTIF(INDIRECT("K_"&amp;MATCH(INDEX(checklistPesertaKemenkeu!$J$6:$J$1005,SMALL(IF(checklistPesertaKemenkeu!$AY$6:$AY$1005="Direkomendasikan",ROW($6:$1005)-5),551)),BidangList,0)),INDEX(checklistPesertaKemenkeu!$N$6:$N$1005,SMALL(IF(checklistPesertaKemenkeu!$AY$6:$AY$1005="Direkomendasikan",ROW($6:$1005)-5),551)))&gt;0,COUNTIF(INDIRECT("'KERTAS KERJA'!K"&amp;(SMALL(IF(checklistPesertaKemenkeu!$AY$6:$AY$1005="Direkomendasikan",ROW($6:$1005)-5),551)+5)&amp;":O"&amp;(SMALL(IF(checklistPesertaKemenkeu!$AY$6:$AY$1005="Direkomendasikan",ROW($6:$1005)-5),551)+5)),INDEX(checklistPesertaKemenkeu!$N$6:$N$1005,SMALL(IF(checklistPesertaKemenkeu!$AY$6:$AY$1005="Direkomendasikan",ROW($6:$1005)-5),551)))=1),IFERROR(VLOOKUP(INDEX(checklistPesertaKemenkeu!$N$6:$N$1005,SMALL(IF(checklistPesertaKemenkeu!$AY$6:$AY$1005="Direkomendasikan",ROW($6:$1005)-5),551)),KotaKode,2,0),"-"),"")),"")</f>
        <v/>
      </c>
      <c r="K552" t="str">
        <f t="array" aca="1" ref="K552" ca="1">IFERROR(IF(OR(INDEX(checklistPesertaKemenkeu!$O$6:$O$1005,SMALL(IF(checklistPesertaKemenkeu!$AY$6:$AY$1005="Direkomendasikan",ROW($6:$1005)-5),551))="",INDEX(checklistPesertaKemenkeu!$J$6:$J$1005,SMALL(IF(checklistPesertaKemenkeu!$AY$6:$AY$1005="Direkomendasikan",ROW($6:$1005)-5),551))=""),"",IF(AND(COUNTIF(INDIRECT("K_"&amp;MATCH(INDEX(checklistPesertaKemenkeu!$J$6:$J$1005,SMALL(IF(checklistPesertaKemenkeu!$AY$6:$AY$1005="Direkomendasikan",ROW($6:$1005)-5),551)),BidangList,0)),INDEX(checklistPesertaKemenkeu!$O$6:$O$1005,SMALL(IF(checklistPesertaKemenkeu!$AY$6:$AY$1005="Direkomendasikan",ROW($6:$1005)-5),551)))&gt;0,COUNTIF(INDIRECT("'KERTAS KERJA'!K"&amp;(SMALL(IF(checklistPesertaKemenkeu!$AY$6:$AY$1005="Direkomendasikan",ROW($6:$1005)-5),551)+5)&amp;":O"&amp;(SMALL(IF(checklistPesertaKemenkeu!$AY$6:$AY$1005="Direkomendasikan",ROW($6:$1005)-5),551)+5)),INDEX(checklistPesertaKemenkeu!$O$6:$O$1005,SMALL(IF(checklistPesertaKemenkeu!$AY$6:$AY$1005="Direkomendasikan",ROW($6:$1005)-5),551)))=1),IFERROR(VLOOKUP(INDEX(checklistPesertaKemenkeu!$O$6:$O$1005,SMALL(IF(checklistPesertaKemenkeu!$AY$6:$AY$1005="Direkomendasikan",ROW($6:$1005)-5),551)),KotaKode,2,0),"-"),"")),"")</f>
        <v/>
      </c>
      <c r="L552" t="str">
        <f t="array" aca="1" ref="L552" ca="1">IFERROR(IF(OR(INDEX(checklistPesertaKemenkeu!$P$6:$P$1005,SMALL(IF(checklistPesertaKemenkeu!$AY$6:$AY$1005="Direkomendasikan",ROW($6:$1005)-5),551))="",INDEX(checklistPesertaKemenkeu!$J$6:$J$1005,SMALL(IF(checklistPesertaKemenkeu!$AY$6:$AY$1005="Direkomendasikan",ROW($6:$1005)-5),551))=""),"",IF(AND(COUNTIF(INDIRECT("K_"&amp;MATCH(INDEX(checklistPesertaKemenkeu!$J$6:$J$1005,SMALL(IF(checklistPesertaKemenkeu!$AY$6:$AY$1005="Direkomendasikan",ROW($6:$1005)-5),551)),BidangList,0)),INDEX(checklistPesertaKemenkeu!$P$6:$P$1005,SMALL(IF(checklistPesertaKemenkeu!$AY$6:$AY$1005="Direkomendasikan",ROW($6:$1005)-5),551)))&gt;0,COUNTIF(INDIRECT("'KERTAS KERJA'!K"&amp;(SMALL(IF(checklistPesertaKemenkeu!$AY$6:$AY$1005="Direkomendasikan",ROW($6:$1005)-5),551)+5)&amp;":O"&amp;(SMALL(IF(checklistPesertaKemenkeu!$AY$6:$AY$1005="Direkomendasikan",ROW($6:$1005)-5),551)+5)),INDEX(checklistPesertaKemenkeu!$P$6:$P$1005,SMALL(IF(checklistPesertaKemenkeu!$AY$6:$AY$1005="Direkomendasikan",ROW($6:$1005)-5),551)))=1),IFERROR(VLOOKUP(INDEX(checklistPesertaKemenkeu!$P$6:$P$1005,SMALL(IF(checklistPesertaKemenkeu!$AY$6:$AY$1005="Direkomendasikan",ROW($6:$1005)-5),551)),KotaKode,2,0),"-"),"")),"")</f>
        <v/>
      </c>
    </row>
    <row r="553" spans="1:12" ht="15" customHeight="1" x14ac:dyDescent="0.2">
      <c r="A553" t="str">
        <f t="shared" si="8"/>
        <v/>
      </c>
      <c r="B553" t="str">
        <v/>
      </c>
      <c r="C553" s="40" t="str">
        <f t="array" ref="C553">IFERROR(INDEX(checklistPesertaKemenkeu!$F$6:$F$1005,SMALL(IF(checklistPesertaKemenkeu!$AY$6:$AY$1005="Direkomendasikan",ROW($6:$1005)-5),552)),"")</f>
        <v/>
      </c>
      <c r="D553" t="str">
        <f t="array" ref="D553">IFERROR(INDEX(checklistPesertaKemenkeu!$G$6:$G$1005,SMALL(IF(checklistPesertaKemenkeu!$AY$6:$AY$1005="Direkomendasikan",ROW($6:$1005)-5),552)),"")</f>
        <v/>
      </c>
      <c r="E553" t="str">
        <f t="array" ref="E553">IFERROR(INDEX(checklistPesertaKemenkeu!$H$6:$H$1005,SMALL(IF(checklistPesertaKemenkeu!$AY$6:$AY$1005="Direkomendasikan",ROW($6:$1005)-5),552)),"")</f>
        <v/>
      </c>
      <c r="F553" t="str">
        <f t="array" ref="F553">IFERROR(INDEX(checklistPesertaKemenkeu!$I$6:$I$1005,SMALL(IF(checklistPesertaKemenkeu!$AY$6:$AY$1005="Direkomendasikan",ROW($6:$1005)-5),552)),"")</f>
        <v/>
      </c>
      <c r="G553" t="str">
        <f t="array" ref="G553">IFERROR(INDEX(checklistPesertaKemenkeu!$J$6:$J$1005,SMALL(IF(checklistPesertaKemenkeu!$AY$6:$AY$1005="Direkomendasikan",ROW($6:$1005)-5),552)),"")</f>
        <v/>
      </c>
      <c r="H553" t="str">
        <f t="array" aca="1" ref="H553" ca="1">IFERROR(IF(OR(INDEX(checklistPesertaKemenkeu!$L$6:$L$1005,SMALL(IF(checklistPesertaKemenkeu!$AY$6:$AY$1005="Direkomendasikan",ROW($6:$1005)-5),552))="",INDEX(checklistPesertaKemenkeu!$J$6:$J$1005,SMALL(IF(checklistPesertaKemenkeu!$AY$6:$AY$1005="Direkomendasikan",ROW($6:$1005)-5),552))=""),"",IF(AND(COUNTIF(INDIRECT("K_"&amp;MATCH(INDEX(checklistPesertaKemenkeu!$J$6:$J$1005,SMALL(IF(checklistPesertaKemenkeu!$AY$6:$AY$1005="Direkomendasikan",ROW($6:$1005)-5),552)),BidangList,0)),INDEX(checklistPesertaKemenkeu!$L$6:$L$1005,SMALL(IF(checklistPesertaKemenkeu!$AY$6:$AY$1005="Direkomendasikan",ROW($6:$1005)-5),552)))&gt;0,COUNTIF(INDIRECT("'KERTAS KERJA'!K"&amp;(SMALL(IF(checklistPesertaKemenkeu!$AY$6:$AY$1005="Direkomendasikan",ROW($6:$1005)-5),552)+5)&amp;":O"&amp;(SMALL(IF(checklistPesertaKemenkeu!$AY$6:$AY$1005="Direkomendasikan",ROW($6:$1005)-5),552)+5)),INDEX(checklistPesertaKemenkeu!$L$6:$L$1005,SMALL(IF(checklistPesertaKemenkeu!$AY$6:$AY$1005="Direkomendasikan",ROW($6:$1005)-5),552)))=1),IFERROR(VLOOKUP(INDEX(checklistPesertaKemenkeu!$L$6:$L$1005,SMALL(IF(checklistPesertaKemenkeu!$AY$6:$AY$1005="Direkomendasikan",ROW($6:$1005)-5),552)),KotaKode,2,0),"-"),"")),"")</f>
        <v/>
      </c>
      <c r="I553" t="str">
        <f t="array" aca="1" ref="I553" ca="1">IFERROR(IF(OR(INDEX(checklistPesertaKemenkeu!$M$6:$M$1005,SMALL(IF(checklistPesertaKemenkeu!$AY$6:$AY$1005="Direkomendasikan",ROW($6:$1005)-5),552))="",INDEX(checklistPesertaKemenkeu!$J$6:$J$1005,SMALL(IF(checklistPesertaKemenkeu!$AY$6:$AY$1005="Direkomendasikan",ROW($6:$1005)-5),552))=""),"",IF(AND(COUNTIF(INDIRECT("K_"&amp;MATCH(INDEX(checklistPesertaKemenkeu!$J$6:$J$1005,SMALL(IF(checklistPesertaKemenkeu!$AY$6:$AY$1005="Direkomendasikan",ROW($6:$1005)-5),552)),BidangList,0)),INDEX(checklistPesertaKemenkeu!$M$6:$M$1005,SMALL(IF(checklistPesertaKemenkeu!$AY$6:$AY$1005="Direkomendasikan",ROW($6:$1005)-5),552)))&gt;0,COUNTIF(INDIRECT("'KERTAS KERJA'!K"&amp;(SMALL(IF(checklistPesertaKemenkeu!$AY$6:$AY$1005="Direkomendasikan",ROW($6:$1005)-5),552)+5)&amp;":O"&amp;(SMALL(IF(checklistPesertaKemenkeu!$AY$6:$AY$1005="Direkomendasikan",ROW($6:$1005)-5),552)+5)),INDEX(checklistPesertaKemenkeu!$M$6:$M$1005,SMALL(IF(checklistPesertaKemenkeu!$AY$6:$AY$1005="Direkomendasikan",ROW($6:$1005)-5),552)))=1),IFERROR(VLOOKUP(INDEX(checklistPesertaKemenkeu!$M$6:$M$1005,SMALL(IF(checklistPesertaKemenkeu!$AY$6:$AY$1005="Direkomendasikan",ROW($6:$1005)-5),552)),KotaKode,2,0),"-"),"")),"")</f>
        <v/>
      </c>
      <c r="J553" t="str">
        <f t="array" aca="1" ref="J553" ca="1">IFERROR(IF(OR(INDEX(checklistPesertaKemenkeu!$N$6:$N$1005,SMALL(IF(checklistPesertaKemenkeu!$AY$6:$AY$1005="Direkomendasikan",ROW($6:$1005)-5),552))="",INDEX(checklistPesertaKemenkeu!$J$6:$J$1005,SMALL(IF(checklistPesertaKemenkeu!$AY$6:$AY$1005="Direkomendasikan",ROW($6:$1005)-5),552))=""),"",IF(AND(COUNTIF(INDIRECT("K_"&amp;MATCH(INDEX(checklistPesertaKemenkeu!$J$6:$J$1005,SMALL(IF(checklistPesertaKemenkeu!$AY$6:$AY$1005="Direkomendasikan",ROW($6:$1005)-5),552)),BidangList,0)),INDEX(checklistPesertaKemenkeu!$N$6:$N$1005,SMALL(IF(checklistPesertaKemenkeu!$AY$6:$AY$1005="Direkomendasikan",ROW($6:$1005)-5),552)))&gt;0,COUNTIF(INDIRECT("'KERTAS KERJA'!K"&amp;(SMALL(IF(checklistPesertaKemenkeu!$AY$6:$AY$1005="Direkomendasikan",ROW($6:$1005)-5),552)+5)&amp;":O"&amp;(SMALL(IF(checklistPesertaKemenkeu!$AY$6:$AY$1005="Direkomendasikan",ROW($6:$1005)-5),552)+5)),INDEX(checklistPesertaKemenkeu!$N$6:$N$1005,SMALL(IF(checklistPesertaKemenkeu!$AY$6:$AY$1005="Direkomendasikan",ROW($6:$1005)-5),552)))=1),IFERROR(VLOOKUP(INDEX(checklistPesertaKemenkeu!$N$6:$N$1005,SMALL(IF(checklistPesertaKemenkeu!$AY$6:$AY$1005="Direkomendasikan",ROW($6:$1005)-5),552)),KotaKode,2,0),"-"),"")),"")</f>
        <v/>
      </c>
      <c r="K553" t="str">
        <f t="array" aca="1" ref="K553" ca="1">IFERROR(IF(OR(INDEX(checklistPesertaKemenkeu!$O$6:$O$1005,SMALL(IF(checklistPesertaKemenkeu!$AY$6:$AY$1005="Direkomendasikan",ROW($6:$1005)-5),552))="",INDEX(checklistPesertaKemenkeu!$J$6:$J$1005,SMALL(IF(checklistPesertaKemenkeu!$AY$6:$AY$1005="Direkomendasikan",ROW($6:$1005)-5),552))=""),"",IF(AND(COUNTIF(INDIRECT("K_"&amp;MATCH(INDEX(checklistPesertaKemenkeu!$J$6:$J$1005,SMALL(IF(checklistPesertaKemenkeu!$AY$6:$AY$1005="Direkomendasikan",ROW($6:$1005)-5),552)),BidangList,0)),INDEX(checklistPesertaKemenkeu!$O$6:$O$1005,SMALL(IF(checklistPesertaKemenkeu!$AY$6:$AY$1005="Direkomendasikan",ROW($6:$1005)-5),552)))&gt;0,COUNTIF(INDIRECT("'KERTAS KERJA'!K"&amp;(SMALL(IF(checklistPesertaKemenkeu!$AY$6:$AY$1005="Direkomendasikan",ROW($6:$1005)-5),552)+5)&amp;":O"&amp;(SMALL(IF(checklistPesertaKemenkeu!$AY$6:$AY$1005="Direkomendasikan",ROW($6:$1005)-5),552)+5)),INDEX(checklistPesertaKemenkeu!$O$6:$O$1005,SMALL(IF(checklistPesertaKemenkeu!$AY$6:$AY$1005="Direkomendasikan",ROW($6:$1005)-5),552)))=1),IFERROR(VLOOKUP(INDEX(checklistPesertaKemenkeu!$O$6:$O$1005,SMALL(IF(checklistPesertaKemenkeu!$AY$6:$AY$1005="Direkomendasikan",ROW($6:$1005)-5),552)),KotaKode,2,0),"-"),"")),"")</f>
        <v/>
      </c>
      <c r="L553" t="str">
        <f t="array" aca="1" ref="L553" ca="1">IFERROR(IF(OR(INDEX(checklistPesertaKemenkeu!$P$6:$P$1005,SMALL(IF(checklistPesertaKemenkeu!$AY$6:$AY$1005="Direkomendasikan",ROW($6:$1005)-5),552))="",INDEX(checklistPesertaKemenkeu!$J$6:$J$1005,SMALL(IF(checklistPesertaKemenkeu!$AY$6:$AY$1005="Direkomendasikan",ROW($6:$1005)-5),552))=""),"",IF(AND(COUNTIF(INDIRECT("K_"&amp;MATCH(INDEX(checklistPesertaKemenkeu!$J$6:$J$1005,SMALL(IF(checklistPesertaKemenkeu!$AY$6:$AY$1005="Direkomendasikan",ROW($6:$1005)-5),552)),BidangList,0)),INDEX(checklistPesertaKemenkeu!$P$6:$P$1005,SMALL(IF(checklistPesertaKemenkeu!$AY$6:$AY$1005="Direkomendasikan",ROW($6:$1005)-5),552)))&gt;0,COUNTIF(INDIRECT("'KERTAS KERJA'!K"&amp;(SMALL(IF(checklistPesertaKemenkeu!$AY$6:$AY$1005="Direkomendasikan",ROW($6:$1005)-5),552)+5)&amp;":O"&amp;(SMALL(IF(checklistPesertaKemenkeu!$AY$6:$AY$1005="Direkomendasikan",ROW($6:$1005)-5),552)+5)),INDEX(checklistPesertaKemenkeu!$P$6:$P$1005,SMALL(IF(checklistPesertaKemenkeu!$AY$6:$AY$1005="Direkomendasikan",ROW($6:$1005)-5),552)))=1),IFERROR(VLOOKUP(INDEX(checklistPesertaKemenkeu!$P$6:$P$1005,SMALL(IF(checklistPesertaKemenkeu!$AY$6:$AY$1005="Direkomendasikan",ROW($6:$1005)-5),552)),KotaKode,2,0),"-"),"")),"")</f>
        <v/>
      </c>
    </row>
    <row r="554" spans="1:12" ht="15" customHeight="1" x14ac:dyDescent="0.2">
      <c r="A554" t="str">
        <f t="shared" si="8"/>
        <v/>
      </c>
      <c r="B554" t="str">
        <v/>
      </c>
      <c r="C554" s="40" t="str">
        <f t="array" ref="C554">IFERROR(INDEX(checklistPesertaKemenkeu!$F$6:$F$1005,SMALL(IF(checklistPesertaKemenkeu!$AY$6:$AY$1005="Direkomendasikan",ROW($6:$1005)-5),553)),"")</f>
        <v/>
      </c>
      <c r="D554" t="str">
        <f t="array" ref="D554">IFERROR(INDEX(checklistPesertaKemenkeu!$G$6:$G$1005,SMALL(IF(checklistPesertaKemenkeu!$AY$6:$AY$1005="Direkomendasikan",ROW($6:$1005)-5),553)),"")</f>
        <v/>
      </c>
      <c r="E554" t="str">
        <f t="array" ref="E554">IFERROR(INDEX(checklistPesertaKemenkeu!$H$6:$H$1005,SMALL(IF(checklistPesertaKemenkeu!$AY$6:$AY$1005="Direkomendasikan",ROW($6:$1005)-5),553)),"")</f>
        <v/>
      </c>
      <c r="F554" t="str">
        <f t="array" ref="F554">IFERROR(INDEX(checklistPesertaKemenkeu!$I$6:$I$1005,SMALL(IF(checklistPesertaKemenkeu!$AY$6:$AY$1005="Direkomendasikan",ROW($6:$1005)-5),553)),"")</f>
        <v/>
      </c>
      <c r="G554" t="str">
        <f t="array" ref="G554">IFERROR(INDEX(checklistPesertaKemenkeu!$J$6:$J$1005,SMALL(IF(checklistPesertaKemenkeu!$AY$6:$AY$1005="Direkomendasikan",ROW($6:$1005)-5),553)),"")</f>
        <v/>
      </c>
      <c r="H554" t="str">
        <f t="array" aca="1" ref="H554" ca="1">IFERROR(IF(OR(INDEX(checklistPesertaKemenkeu!$L$6:$L$1005,SMALL(IF(checklistPesertaKemenkeu!$AY$6:$AY$1005="Direkomendasikan",ROW($6:$1005)-5),553))="",INDEX(checklistPesertaKemenkeu!$J$6:$J$1005,SMALL(IF(checklistPesertaKemenkeu!$AY$6:$AY$1005="Direkomendasikan",ROW($6:$1005)-5),553))=""),"",IF(AND(COUNTIF(INDIRECT("K_"&amp;MATCH(INDEX(checklistPesertaKemenkeu!$J$6:$J$1005,SMALL(IF(checklistPesertaKemenkeu!$AY$6:$AY$1005="Direkomendasikan",ROW($6:$1005)-5),553)),BidangList,0)),INDEX(checklistPesertaKemenkeu!$L$6:$L$1005,SMALL(IF(checklistPesertaKemenkeu!$AY$6:$AY$1005="Direkomendasikan",ROW($6:$1005)-5),553)))&gt;0,COUNTIF(INDIRECT("'KERTAS KERJA'!K"&amp;(SMALL(IF(checklistPesertaKemenkeu!$AY$6:$AY$1005="Direkomendasikan",ROW($6:$1005)-5),553)+5)&amp;":O"&amp;(SMALL(IF(checklistPesertaKemenkeu!$AY$6:$AY$1005="Direkomendasikan",ROW($6:$1005)-5),553)+5)),INDEX(checklistPesertaKemenkeu!$L$6:$L$1005,SMALL(IF(checklistPesertaKemenkeu!$AY$6:$AY$1005="Direkomendasikan",ROW($6:$1005)-5),553)))=1),IFERROR(VLOOKUP(INDEX(checklistPesertaKemenkeu!$L$6:$L$1005,SMALL(IF(checklistPesertaKemenkeu!$AY$6:$AY$1005="Direkomendasikan",ROW($6:$1005)-5),553)),KotaKode,2,0),"-"),"")),"")</f>
        <v/>
      </c>
      <c r="I554" t="str">
        <f t="array" aca="1" ref="I554" ca="1">IFERROR(IF(OR(INDEX(checklistPesertaKemenkeu!$M$6:$M$1005,SMALL(IF(checklistPesertaKemenkeu!$AY$6:$AY$1005="Direkomendasikan",ROW($6:$1005)-5),553))="",INDEX(checklistPesertaKemenkeu!$J$6:$J$1005,SMALL(IF(checklistPesertaKemenkeu!$AY$6:$AY$1005="Direkomendasikan",ROW($6:$1005)-5),553))=""),"",IF(AND(COUNTIF(INDIRECT("K_"&amp;MATCH(INDEX(checklistPesertaKemenkeu!$J$6:$J$1005,SMALL(IF(checklistPesertaKemenkeu!$AY$6:$AY$1005="Direkomendasikan",ROW($6:$1005)-5),553)),BidangList,0)),INDEX(checklistPesertaKemenkeu!$M$6:$M$1005,SMALL(IF(checklistPesertaKemenkeu!$AY$6:$AY$1005="Direkomendasikan",ROW($6:$1005)-5),553)))&gt;0,COUNTIF(INDIRECT("'KERTAS KERJA'!K"&amp;(SMALL(IF(checklistPesertaKemenkeu!$AY$6:$AY$1005="Direkomendasikan",ROW($6:$1005)-5),553)+5)&amp;":O"&amp;(SMALL(IF(checklistPesertaKemenkeu!$AY$6:$AY$1005="Direkomendasikan",ROW($6:$1005)-5),553)+5)),INDEX(checklistPesertaKemenkeu!$M$6:$M$1005,SMALL(IF(checklistPesertaKemenkeu!$AY$6:$AY$1005="Direkomendasikan",ROW($6:$1005)-5),553)))=1),IFERROR(VLOOKUP(INDEX(checklistPesertaKemenkeu!$M$6:$M$1005,SMALL(IF(checklistPesertaKemenkeu!$AY$6:$AY$1005="Direkomendasikan",ROW($6:$1005)-5),553)),KotaKode,2,0),"-"),"")),"")</f>
        <v/>
      </c>
      <c r="J554" t="str">
        <f t="array" aca="1" ref="J554" ca="1">IFERROR(IF(OR(INDEX(checklistPesertaKemenkeu!$N$6:$N$1005,SMALL(IF(checklistPesertaKemenkeu!$AY$6:$AY$1005="Direkomendasikan",ROW($6:$1005)-5),553))="",INDEX(checklistPesertaKemenkeu!$J$6:$J$1005,SMALL(IF(checklistPesertaKemenkeu!$AY$6:$AY$1005="Direkomendasikan",ROW($6:$1005)-5),553))=""),"",IF(AND(COUNTIF(INDIRECT("K_"&amp;MATCH(INDEX(checklistPesertaKemenkeu!$J$6:$J$1005,SMALL(IF(checklistPesertaKemenkeu!$AY$6:$AY$1005="Direkomendasikan",ROW($6:$1005)-5),553)),BidangList,0)),INDEX(checklistPesertaKemenkeu!$N$6:$N$1005,SMALL(IF(checklistPesertaKemenkeu!$AY$6:$AY$1005="Direkomendasikan",ROW($6:$1005)-5),553)))&gt;0,COUNTIF(INDIRECT("'KERTAS KERJA'!K"&amp;(SMALL(IF(checklistPesertaKemenkeu!$AY$6:$AY$1005="Direkomendasikan",ROW($6:$1005)-5),553)+5)&amp;":O"&amp;(SMALL(IF(checklistPesertaKemenkeu!$AY$6:$AY$1005="Direkomendasikan",ROW($6:$1005)-5),553)+5)),INDEX(checklistPesertaKemenkeu!$N$6:$N$1005,SMALL(IF(checklistPesertaKemenkeu!$AY$6:$AY$1005="Direkomendasikan",ROW($6:$1005)-5),553)))=1),IFERROR(VLOOKUP(INDEX(checklistPesertaKemenkeu!$N$6:$N$1005,SMALL(IF(checklistPesertaKemenkeu!$AY$6:$AY$1005="Direkomendasikan",ROW($6:$1005)-5),553)),KotaKode,2,0),"-"),"")),"")</f>
        <v/>
      </c>
      <c r="K554" t="str">
        <f t="array" aca="1" ref="K554" ca="1">IFERROR(IF(OR(INDEX(checklistPesertaKemenkeu!$O$6:$O$1005,SMALL(IF(checklistPesertaKemenkeu!$AY$6:$AY$1005="Direkomendasikan",ROW($6:$1005)-5),553))="",INDEX(checklistPesertaKemenkeu!$J$6:$J$1005,SMALL(IF(checklistPesertaKemenkeu!$AY$6:$AY$1005="Direkomendasikan",ROW($6:$1005)-5),553))=""),"",IF(AND(COUNTIF(INDIRECT("K_"&amp;MATCH(INDEX(checklistPesertaKemenkeu!$J$6:$J$1005,SMALL(IF(checklistPesertaKemenkeu!$AY$6:$AY$1005="Direkomendasikan",ROW($6:$1005)-5),553)),BidangList,0)),INDEX(checklistPesertaKemenkeu!$O$6:$O$1005,SMALL(IF(checklistPesertaKemenkeu!$AY$6:$AY$1005="Direkomendasikan",ROW($6:$1005)-5),553)))&gt;0,COUNTIF(INDIRECT("'KERTAS KERJA'!K"&amp;(SMALL(IF(checklistPesertaKemenkeu!$AY$6:$AY$1005="Direkomendasikan",ROW($6:$1005)-5),553)+5)&amp;":O"&amp;(SMALL(IF(checklistPesertaKemenkeu!$AY$6:$AY$1005="Direkomendasikan",ROW($6:$1005)-5),553)+5)),INDEX(checklistPesertaKemenkeu!$O$6:$O$1005,SMALL(IF(checklistPesertaKemenkeu!$AY$6:$AY$1005="Direkomendasikan",ROW($6:$1005)-5),553)))=1),IFERROR(VLOOKUP(INDEX(checklistPesertaKemenkeu!$O$6:$O$1005,SMALL(IF(checklistPesertaKemenkeu!$AY$6:$AY$1005="Direkomendasikan",ROW($6:$1005)-5),553)),KotaKode,2,0),"-"),"")),"")</f>
        <v/>
      </c>
      <c r="L554" t="str">
        <f t="array" aca="1" ref="L554" ca="1">IFERROR(IF(OR(INDEX(checklistPesertaKemenkeu!$P$6:$P$1005,SMALL(IF(checklistPesertaKemenkeu!$AY$6:$AY$1005="Direkomendasikan",ROW($6:$1005)-5),553))="",INDEX(checklistPesertaKemenkeu!$J$6:$J$1005,SMALL(IF(checklistPesertaKemenkeu!$AY$6:$AY$1005="Direkomendasikan",ROW($6:$1005)-5),553))=""),"",IF(AND(COUNTIF(INDIRECT("K_"&amp;MATCH(INDEX(checklistPesertaKemenkeu!$J$6:$J$1005,SMALL(IF(checklistPesertaKemenkeu!$AY$6:$AY$1005="Direkomendasikan",ROW($6:$1005)-5),553)),BidangList,0)),INDEX(checklistPesertaKemenkeu!$P$6:$P$1005,SMALL(IF(checklistPesertaKemenkeu!$AY$6:$AY$1005="Direkomendasikan",ROW($6:$1005)-5),553)))&gt;0,COUNTIF(INDIRECT("'KERTAS KERJA'!K"&amp;(SMALL(IF(checklistPesertaKemenkeu!$AY$6:$AY$1005="Direkomendasikan",ROW($6:$1005)-5),553)+5)&amp;":O"&amp;(SMALL(IF(checklistPesertaKemenkeu!$AY$6:$AY$1005="Direkomendasikan",ROW($6:$1005)-5),553)+5)),INDEX(checklistPesertaKemenkeu!$P$6:$P$1005,SMALL(IF(checklistPesertaKemenkeu!$AY$6:$AY$1005="Direkomendasikan",ROW($6:$1005)-5),553)))=1),IFERROR(VLOOKUP(INDEX(checklistPesertaKemenkeu!$P$6:$P$1005,SMALL(IF(checklistPesertaKemenkeu!$AY$6:$AY$1005="Direkomendasikan",ROW($6:$1005)-5),553)),KotaKode,2,0),"-"),"")),"")</f>
        <v/>
      </c>
    </row>
    <row r="555" spans="1:12" ht="15" customHeight="1" x14ac:dyDescent="0.2">
      <c r="A555" t="str">
        <f t="shared" si="8"/>
        <v/>
      </c>
      <c r="B555" t="str">
        <v/>
      </c>
      <c r="C555" s="40" t="str">
        <f t="array" ref="C555">IFERROR(INDEX(checklistPesertaKemenkeu!$F$6:$F$1005,SMALL(IF(checklistPesertaKemenkeu!$AY$6:$AY$1005="Direkomendasikan",ROW($6:$1005)-5),554)),"")</f>
        <v/>
      </c>
      <c r="D555" t="str">
        <f t="array" ref="D555">IFERROR(INDEX(checklistPesertaKemenkeu!$G$6:$G$1005,SMALL(IF(checklistPesertaKemenkeu!$AY$6:$AY$1005="Direkomendasikan",ROW($6:$1005)-5),554)),"")</f>
        <v/>
      </c>
      <c r="E555" t="str">
        <f t="array" ref="E555">IFERROR(INDEX(checklistPesertaKemenkeu!$H$6:$H$1005,SMALL(IF(checklistPesertaKemenkeu!$AY$6:$AY$1005="Direkomendasikan",ROW($6:$1005)-5),554)),"")</f>
        <v/>
      </c>
      <c r="F555" t="str">
        <f t="array" ref="F555">IFERROR(INDEX(checklistPesertaKemenkeu!$I$6:$I$1005,SMALL(IF(checklistPesertaKemenkeu!$AY$6:$AY$1005="Direkomendasikan",ROW($6:$1005)-5),554)),"")</f>
        <v/>
      </c>
      <c r="G555" t="str">
        <f t="array" ref="G555">IFERROR(INDEX(checklistPesertaKemenkeu!$J$6:$J$1005,SMALL(IF(checklistPesertaKemenkeu!$AY$6:$AY$1005="Direkomendasikan",ROW($6:$1005)-5),554)),"")</f>
        <v/>
      </c>
      <c r="H555" t="str">
        <f t="array" aca="1" ref="H555" ca="1">IFERROR(IF(OR(INDEX(checklistPesertaKemenkeu!$L$6:$L$1005,SMALL(IF(checklistPesertaKemenkeu!$AY$6:$AY$1005="Direkomendasikan",ROW($6:$1005)-5),554))="",INDEX(checklistPesertaKemenkeu!$J$6:$J$1005,SMALL(IF(checklistPesertaKemenkeu!$AY$6:$AY$1005="Direkomendasikan",ROW($6:$1005)-5),554))=""),"",IF(AND(COUNTIF(INDIRECT("K_"&amp;MATCH(INDEX(checklistPesertaKemenkeu!$J$6:$J$1005,SMALL(IF(checklistPesertaKemenkeu!$AY$6:$AY$1005="Direkomendasikan",ROW($6:$1005)-5),554)),BidangList,0)),INDEX(checklistPesertaKemenkeu!$L$6:$L$1005,SMALL(IF(checklistPesertaKemenkeu!$AY$6:$AY$1005="Direkomendasikan",ROW($6:$1005)-5),554)))&gt;0,COUNTIF(INDIRECT("'KERTAS KERJA'!K"&amp;(SMALL(IF(checklistPesertaKemenkeu!$AY$6:$AY$1005="Direkomendasikan",ROW($6:$1005)-5),554)+5)&amp;":O"&amp;(SMALL(IF(checklistPesertaKemenkeu!$AY$6:$AY$1005="Direkomendasikan",ROW($6:$1005)-5),554)+5)),INDEX(checklistPesertaKemenkeu!$L$6:$L$1005,SMALL(IF(checklistPesertaKemenkeu!$AY$6:$AY$1005="Direkomendasikan",ROW($6:$1005)-5),554)))=1),IFERROR(VLOOKUP(INDEX(checklistPesertaKemenkeu!$L$6:$L$1005,SMALL(IF(checklistPesertaKemenkeu!$AY$6:$AY$1005="Direkomendasikan",ROW($6:$1005)-5),554)),KotaKode,2,0),"-"),"")),"")</f>
        <v/>
      </c>
      <c r="I555" t="str">
        <f t="array" aca="1" ref="I555" ca="1">IFERROR(IF(OR(INDEX(checklistPesertaKemenkeu!$M$6:$M$1005,SMALL(IF(checklistPesertaKemenkeu!$AY$6:$AY$1005="Direkomendasikan",ROW($6:$1005)-5),554))="",INDEX(checklistPesertaKemenkeu!$J$6:$J$1005,SMALL(IF(checklistPesertaKemenkeu!$AY$6:$AY$1005="Direkomendasikan",ROW($6:$1005)-5),554))=""),"",IF(AND(COUNTIF(INDIRECT("K_"&amp;MATCH(INDEX(checklistPesertaKemenkeu!$J$6:$J$1005,SMALL(IF(checklistPesertaKemenkeu!$AY$6:$AY$1005="Direkomendasikan",ROW($6:$1005)-5),554)),BidangList,0)),INDEX(checklistPesertaKemenkeu!$M$6:$M$1005,SMALL(IF(checklistPesertaKemenkeu!$AY$6:$AY$1005="Direkomendasikan",ROW($6:$1005)-5),554)))&gt;0,COUNTIF(INDIRECT("'KERTAS KERJA'!K"&amp;(SMALL(IF(checklistPesertaKemenkeu!$AY$6:$AY$1005="Direkomendasikan",ROW($6:$1005)-5),554)+5)&amp;":O"&amp;(SMALL(IF(checklistPesertaKemenkeu!$AY$6:$AY$1005="Direkomendasikan",ROW($6:$1005)-5),554)+5)),INDEX(checklistPesertaKemenkeu!$M$6:$M$1005,SMALL(IF(checklistPesertaKemenkeu!$AY$6:$AY$1005="Direkomendasikan",ROW($6:$1005)-5),554)))=1),IFERROR(VLOOKUP(INDEX(checklistPesertaKemenkeu!$M$6:$M$1005,SMALL(IF(checklistPesertaKemenkeu!$AY$6:$AY$1005="Direkomendasikan",ROW($6:$1005)-5),554)),KotaKode,2,0),"-"),"")),"")</f>
        <v/>
      </c>
      <c r="J555" t="str">
        <f t="array" aca="1" ref="J555" ca="1">IFERROR(IF(OR(INDEX(checklistPesertaKemenkeu!$N$6:$N$1005,SMALL(IF(checklistPesertaKemenkeu!$AY$6:$AY$1005="Direkomendasikan",ROW($6:$1005)-5),554))="",INDEX(checklistPesertaKemenkeu!$J$6:$J$1005,SMALL(IF(checklistPesertaKemenkeu!$AY$6:$AY$1005="Direkomendasikan",ROW($6:$1005)-5),554))=""),"",IF(AND(COUNTIF(INDIRECT("K_"&amp;MATCH(INDEX(checklistPesertaKemenkeu!$J$6:$J$1005,SMALL(IF(checklistPesertaKemenkeu!$AY$6:$AY$1005="Direkomendasikan",ROW($6:$1005)-5),554)),BidangList,0)),INDEX(checklistPesertaKemenkeu!$N$6:$N$1005,SMALL(IF(checklistPesertaKemenkeu!$AY$6:$AY$1005="Direkomendasikan",ROW($6:$1005)-5),554)))&gt;0,COUNTIF(INDIRECT("'KERTAS KERJA'!K"&amp;(SMALL(IF(checklistPesertaKemenkeu!$AY$6:$AY$1005="Direkomendasikan",ROW($6:$1005)-5),554)+5)&amp;":O"&amp;(SMALL(IF(checklistPesertaKemenkeu!$AY$6:$AY$1005="Direkomendasikan",ROW($6:$1005)-5),554)+5)),INDEX(checklistPesertaKemenkeu!$N$6:$N$1005,SMALL(IF(checklistPesertaKemenkeu!$AY$6:$AY$1005="Direkomendasikan",ROW($6:$1005)-5),554)))=1),IFERROR(VLOOKUP(INDEX(checklistPesertaKemenkeu!$N$6:$N$1005,SMALL(IF(checklistPesertaKemenkeu!$AY$6:$AY$1005="Direkomendasikan",ROW($6:$1005)-5),554)),KotaKode,2,0),"-"),"")),"")</f>
        <v/>
      </c>
      <c r="K555" t="str">
        <f t="array" aca="1" ref="K555" ca="1">IFERROR(IF(OR(INDEX(checklistPesertaKemenkeu!$O$6:$O$1005,SMALL(IF(checklistPesertaKemenkeu!$AY$6:$AY$1005="Direkomendasikan",ROW($6:$1005)-5),554))="",INDEX(checklistPesertaKemenkeu!$J$6:$J$1005,SMALL(IF(checklistPesertaKemenkeu!$AY$6:$AY$1005="Direkomendasikan",ROW($6:$1005)-5),554))=""),"",IF(AND(COUNTIF(INDIRECT("K_"&amp;MATCH(INDEX(checklistPesertaKemenkeu!$J$6:$J$1005,SMALL(IF(checklistPesertaKemenkeu!$AY$6:$AY$1005="Direkomendasikan",ROW($6:$1005)-5),554)),BidangList,0)),INDEX(checklistPesertaKemenkeu!$O$6:$O$1005,SMALL(IF(checklistPesertaKemenkeu!$AY$6:$AY$1005="Direkomendasikan",ROW($6:$1005)-5),554)))&gt;0,COUNTIF(INDIRECT("'KERTAS KERJA'!K"&amp;(SMALL(IF(checklistPesertaKemenkeu!$AY$6:$AY$1005="Direkomendasikan",ROW($6:$1005)-5),554)+5)&amp;":O"&amp;(SMALL(IF(checklistPesertaKemenkeu!$AY$6:$AY$1005="Direkomendasikan",ROW($6:$1005)-5),554)+5)),INDEX(checklistPesertaKemenkeu!$O$6:$O$1005,SMALL(IF(checklistPesertaKemenkeu!$AY$6:$AY$1005="Direkomendasikan",ROW($6:$1005)-5),554)))=1),IFERROR(VLOOKUP(INDEX(checklistPesertaKemenkeu!$O$6:$O$1005,SMALL(IF(checklistPesertaKemenkeu!$AY$6:$AY$1005="Direkomendasikan",ROW($6:$1005)-5),554)),KotaKode,2,0),"-"),"")),"")</f>
        <v/>
      </c>
      <c r="L555" t="str">
        <f t="array" aca="1" ref="L555" ca="1">IFERROR(IF(OR(INDEX(checklistPesertaKemenkeu!$P$6:$P$1005,SMALL(IF(checklistPesertaKemenkeu!$AY$6:$AY$1005="Direkomendasikan",ROW($6:$1005)-5),554))="",INDEX(checklistPesertaKemenkeu!$J$6:$J$1005,SMALL(IF(checklistPesertaKemenkeu!$AY$6:$AY$1005="Direkomendasikan",ROW($6:$1005)-5),554))=""),"",IF(AND(COUNTIF(INDIRECT("K_"&amp;MATCH(INDEX(checklistPesertaKemenkeu!$J$6:$J$1005,SMALL(IF(checklistPesertaKemenkeu!$AY$6:$AY$1005="Direkomendasikan",ROW($6:$1005)-5),554)),BidangList,0)),INDEX(checklistPesertaKemenkeu!$P$6:$P$1005,SMALL(IF(checklistPesertaKemenkeu!$AY$6:$AY$1005="Direkomendasikan",ROW($6:$1005)-5),554)))&gt;0,COUNTIF(INDIRECT("'KERTAS KERJA'!K"&amp;(SMALL(IF(checklistPesertaKemenkeu!$AY$6:$AY$1005="Direkomendasikan",ROW($6:$1005)-5),554)+5)&amp;":O"&amp;(SMALL(IF(checklistPesertaKemenkeu!$AY$6:$AY$1005="Direkomendasikan",ROW($6:$1005)-5),554)+5)),INDEX(checklistPesertaKemenkeu!$P$6:$P$1005,SMALL(IF(checklistPesertaKemenkeu!$AY$6:$AY$1005="Direkomendasikan",ROW($6:$1005)-5),554)))=1),IFERROR(VLOOKUP(INDEX(checklistPesertaKemenkeu!$P$6:$P$1005,SMALL(IF(checklistPesertaKemenkeu!$AY$6:$AY$1005="Direkomendasikan",ROW($6:$1005)-5),554)),KotaKode,2,0),"-"),"")),"")</f>
        <v/>
      </c>
    </row>
    <row r="556" spans="1:12" ht="15" customHeight="1" x14ac:dyDescent="0.2">
      <c r="A556" t="str">
        <f t="shared" si="8"/>
        <v/>
      </c>
      <c r="B556" t="str">
        <v/>
      </c>
      <c r="C556" s="40" t="str">
        <f t="array" ref="C556">IFERROR(INDEX(checklistPesertaKemenkeu!$F$6:$F$1005,SMALL(IF(checklistPesertaKemenkeu!$AY$6:$AY$1005="Direkomendasikan",ROW($6:$1005)-5),555)),"")</f>
        <v/>
      </c>
      <c r="D556" t="str">
        <f t="array" ref="D556">IFERROR(INDEX(checklistPesertaKemenkeu!$G$6:$G$1005,SMALL(IF(checklistPesertaKemenkeu!$AY$6:$AY$1005="Direkomendasikan",ROW($6:$1005)-5),555)),"")</f>
        <v/>
      </c>
      <c r="E556" t="str">
        <f t="array" ref="E556">IFERROR(INDEX(checklistPesertaKemenkeu!$H$6:$H$1005,SMALL(IF(checklistPesertaKemenkeu!$AY$6:$AY$1005="Direkomendasikan",ROW($6:$1005)-5),555)),"")</f>
        <v/>
      </c>
      <c r="F556" t="str">
        <f t="array" ref="F556">IFERROR(INDEX(checklistPesertaKemenkeu!$I$6:$I$1005,SMALL(IF(checklistPesertaKemenkeu!$AY$6:$AY$1005="Direkomendasikan",ROW($6:$1005)-5),555)),"")</f>
        <v/>
      </c>
      <c r="G556" t="str">
        <f t="array" ref="G556">IFERROR(INDEX(checklistPesertaKemenkeu!$J$6:$J$1005,SMALL(IF(checklistPesertaKemenkeu!$AY$6:$AY$1005="Direkomendasikan",ROW($6:$1005)-5),555)),"")</f>
        <v/>
      </c>
      <c r="H556" t="str">
        <f t="array" aca="1" ref="H556" ca="1">IFERROR(IF(OR(INDEX(checklistPesertaKemenkeu!$L$6:$L$1005,SMALL(IF(checklistPesertaKemenkeu!$AY$6:$AY$1005="Direkomendasikan",ROW($6:$1005)-5),555))="",INDEX(checklistPesertaKemenkeu!$J$6:$J$1005,SMALL(IF(checklistPesertaKemenkeu!$AY$6:$AY$1005="Direkomendasikan",ROW($6:$1005)-5),555))=""),"",IF(AND(COUNTIF(INDIRECT("K_"&amp;MATCH(INDEX(checklistPesertaKemenkeu!$J$6:$J$1005,SMALL(IF(checklistPesertaKemenkeu!$AY$6:$AY$1005="Direkomendasikan",ROW($6:$1005)-5),555)),BidangList,0)),INDEX(checklistPesertaKemenkeu!$L$6:$L$1005,SMALL(IF(checklistPesertaKemenkeu!$AY$6:$AY$1005="Direkomendasikan",ROW($6:$1005)-5),555)))&gt;0,COUNTIF(INDIRECT("'KERTAS KERJA'!K"&amp;(SMALL(IF(checklistPesertaKemenkeu!$AY$6:$AY$1005="Direkomendasikan",ROW($6:$1005)-5),555)+5)&amp;":O"&amp;(SMALL(IF(checklistPesertaKemenkeu!$AY$6:$AY$1005="Direkomendasikan",ROW($6:$1005)-5),555)+5)),INDEX(checklistPesertaKemenkeu!$L$6:$L$1005,SMALL(IF(checklistPesertaKemenkeu!$AY$6:$AY$1005="Direkomendasikan",ROW($6:$1005)-5),555)))=1),IFERROR(VLOOKUP(INDEX(checklistPesertaKemenkeu!$L$6:$L$1005,SMALL(IF(checklistPesertaKemenkeu!$AY$6:$AY$1005="Direkomendasikan",ROW($6:$1005)-5),555)),KotaKode,2,0),"-"),"")),"")</f>
        <v/>
      </c>
      <c r="I556" t="str">
        <f t="array" aca="1" ref="I556" ca="1">IFERROR(IF(OR(INDEX(checklistPesertaKemenkeu!$M$6:$M$1005,SMALL(IF(checklistPesertaKemenkeu!$AY$6:$AY$1005="Direkomendasikan",ROW($6:$1005)-5),555))="",INDEX(checklistPesertaKemenkeu!$J$6:$J$1005,SMALL(IF(checklistPesertaKemenkeu!$AY$6:$AY$1005="Direkomendasikan",ROW($6:$1005)-5),555))=""),"",IF(AND(COUNTIF(INDIRECT("K_"&amp;MATCH(INDEX(checklistPesertaKemenkeu!$J$6:$J$1005,SMALL(IF(checklistPesertaKemenkeu!$AY$6:$AY$1005="Direkomendasikan",ROW($6:$1005)-5),555)),BidangList,0)),INDEX(checklistPesertaKemenkeu!$M$6:$M$1005,SMALL(IF(checklistPesertaKemenkeu!$AY$6:$AY$1005="Direkomendasikan",ROW($6:$1005)-5),555)))&gt;0,COUNTIF(INDIRECT("'KERTAS KERJA'!K"&amp;(SMALL(IF(checklistPesertaKemenkeu!$AY$6:$AY$1005="Direkomendasikan",ROW($6:$1005)-5),555)+5)&amp;":O"&amp;(SMALL(IF(checklistPesertaKemenkeu!$AY$6:$AY$1005="Direkomendasikan",ROW($6:$1005)-5),555)+5)),INDEX(checklistPesertaKemenkeu!$M$6:$M$1005,SMALL(IF(checklistPesertaKemenkeu!$AY$6:$AY$1005="Direkomendasikan",ROW($6:$1005)-5),555)))=1),IFERROR(VLOOKUP(INDEX(checklistPesertaKemenkeu!$M$6:$M$1005,SMALL(IF(checklistPesertaKemenkeu!$AY$6:$AY$1005="Direkomendasikan",ROW($6:$1005)-5),555)),KotaKode,2,0),"-"),"")),"")</f>
        <v/>
      </c>
      <c r="J556" t="str">
        <f t="array" aca="1" ref="J556" ca="1">IFERROR(IF(OR(INDEX(checklistPesertaKemenkeu!$N$6:$N$1005,SMALL(IF(checklistPesertaKemenkeu!$AY$6:$AY$1005="Direkomendasikan",ROW($6:$1005)-5),555))="",INDEX(checklistPesertaKemenkeu!$J$6:$J$1005,SMALL(IF(checklistPesertaKemenkeu!$AY$6:$AY$1005="Direkomendasikan",ROW($6:$1005)-5),555))=""),"",IF(AND(COUNTIF(INDIRECT("K_"&amp;MATCH(INDEX(checklistPesertaKemenkeu!$J$6:$J$1005,SMALL(IF(checklistPesertaKemenkeu!$AY$6:$AY$1005="Direkomendasikan",ROW($6:$1005)-5),555)),BidangList,0)),INDEX(checklistPesertaKemenkeu!$N$6:$N$1005,SMALL(IF(checklistPesertaKemenkeu!$AY$6:$AY$1005="Direkomendasikan",ROW($6:$1005)-5),555)))&gt;0,COUNTIF(INDIRECT("'KERTAS KERJA'!K"&amp;(SMALL(IF(checklistPesertaKemenkeu!$AY$6:$AY$1005="Direkomendasikan",ROW($6:$1005)-5),555)+5)&amp;":O"&amp;(SMALL(IF(checklistPesertaKemenkeu!$AY$6:$AY$1005="Direkomendasikan",ROW($6:$1005)-5),555)+5)),INDEX(checklistPesertaKemenkeu!$N$6:$N$1005,SMALL(IF(checklistPesertaKemenkeu!$AY$6:$AY$1005="Direkomendasikan",ROW($6:$1005)-5),555)))=1),IFERROR(VLOOKUP(INDEX(checklistPesertaKemenkeu!$N$6:$N$1005,SMALL(IF(checklistPesertaKemenkeu!$AY$6:$AY$1005="Direkomendasikan",ROW($6:$1005)-5),555)),KotaKode,2,0),"-"),"")),"")</f>
        <v/>
      </c>
      <c r="K556" t="str">
        <f t="array" aca="1" ref="K556" ca="1">IFERROR(IF(OR(INDEX(checklistPesertaKemenkeu!$O$6:$O$1005,SMALL(IF(checklistPesertaKemenkeu!$AY$6:$AY$1005="Direkomendasikan",ROW($6:$1005)-5),555))="",INDEX(checklistPesertaKemenkeu!$J$6:$J$1005,SMALL(IF(checklistPesertaKemenkeu!$AY$6:$AY$1005="Direkomendasikan",ROW($6:$1005)-5),555))=""),"",IF(AND(COUNTIF(INDIRECT("K_"&amp;MATCH(INDEX(checklistPesertaKemenkeu!$J$6:$J$1005,SMALL(IF(checklistPesertaKemenkeu!$AY$6:$AY$1005="Direkomendasikan",ROW($6:$1005)-5),555)),BidangList,0)),INDEX(checklistPesertaKemenkeu!$O$6:$O$1005,SMALL(IF(checklistPesertaKemenkeu!$AY$6:$AY$1005="Direkomendasikan",ROW($6:$1005)-5),555)))&gt;0,COUNTIF(INDIRECT("'KERTAS KERJA'!K"&amp;(SMALL(IF(checklistPesertaKemenkeu!$AY$6:$AY$1005="Direkomendasikan",ROW($6:$1005)-5),555)+5)&amp;":O"&amp;(SMALL(IF(checklistPesertaKemenkeu!$AY$6:$AY$1005="Direkomendasikan",ROW($6:$1005)-5),555)+5)),INDEX(checklistPesertaKemenkeu!$O$6:$O$1005,SMALL(IF(checklistPesertaKemenkeu!$AY$6:$AY$1005="Direkomendasikan",ROW($6:$1005)-5),555)))=1),IFERROR(VLOOKUP(INDEX(checklistPesertaKemenkeu!$O$6:$O$1005,SMALL(IF(checklistPesertaKemenkeu!$AY$6:$AY$1005="Direkomendasikan",ROW($6:$1005)-5),555)),KotaKode,2,0),"-"),"")),"")</f>
        <v/>
      </c>
      <c r="L556" t="str">
        <f t="array" aca="1" ref="L556" ca="1">IFERROR(IF(OR(INDEX(checklistPesertaKemenkeu!$P$6:$P$1005,SMALL(IF(checklistPesertaKemenkeu!$AY$6:$AY$1005="Direkomendasikan",ROW($6:$1005)-5),555))="",INDEX(checklistPesertaKemenkeu!$J$6:$J$1005,SMALL(IF(checklistPesertaKemenkeu!$AY$6:$AY$1005="Direkomendasikan",ROW($6:$1005)-5),555))=""),"",IF(AND(COUNTIF(INDIRECT("K_"&amp;MATCH(INDEX(checklistPesertaKemenkeu!$J$6:$J$1005,SMALL(IF(checklistPesertaKemenkeu!$AY$6:$AY$1005="Direkomendasikan",ROW($6:$1005)-5),555)),BidangList,0)),INDEX(checklistPesertaKemenkeu!$P$6:$P$1005,SMALL(IF(checklistPesertaKemenkeu!$AY$6:$AY$1005="Direkomendasikan",ROW($6:$1005)-5),555)))&gt;0,COUNTIF(INDIRECT("'KERTAS KERJA'!K"&amp;(SMALL(IF(checklistPesertaKemenkeu!$AY$6:$AY$1005="Direkomendasikan",ROW($6:$1005)-5),555)+5)&amp;":O"&amp;(SMALL(IF(checklistPesertaKemenkeu!$AY$6:$AY$1005="Direkomendasikan",ROW($6:$1005)-5),555)+5)),INDEX(checklistPesertaKemenkeu!$P$6:$P$1005,SMALL(IF(checklistPesertaKemenkeu!$AY$6:$AY$1005="Direkomendasikan",ROW($6:$1005)-5),555)))=1),IFERROR(VLOOKUP(INDEX(checklistPesertaKemenkeu!$P$6:$P$1005,SMALL(IF(checklistPesertaKemenkeu!$AY$6:$AY$1005="Direkomendasikan",ROW($6:$1005)-5),555)),KotaKode,2,0),"-"),"")),"")</f>
        <v/>
      </c>
    </row>
    <row r="557" spans="1:12" ht="15" customHeight="1" x14ac:dyDescent="0.2">
      <c r="A557" t="str">
        <f t="shared" si="8"/>
        <v/>
      </c>
      <c r="B557" t="str">
        <v/>
      </c>
      <c r="C557" s="40" t="str">
        <f t="array" ref="C557">IFERROR(INDEX(checklistPesertaKemenkeu!$F$6:$F$1005,SMALL(IF(checklistPesertaKemenkeu!$AY$6:$AY$1005="Direkomendasikan",ROW($6:$1005)-5),556)),"")</f>
        <v/>
      </c>
      <c r="D557" t="str">
        <f t="array" ref="D557">IFERROR(INDEX(checklistPesertaKemenkeu!$G$6:$G$1005,SMALL(IF(checklistPesertaKemenkeu!$AY$6:$AY$1005="Direkomendasikan",ROW($6:$1005)-5),556)),"")</f>
        <v/>
      </c>
      <c r="E557" t="str">
        <f t="array" ref="E557">IFERROR(INDEX(checklistPesertaKemenkeu!$H$6:$H$1005,SMALL(IF(checklistPesertaKemenkeu!$AY$6:$AY$1005="Direkomendasikan",ROW($6:$1005)-5),556)),"")</f>
        <v/>
      </c>
      <c r="F557" t="str">
        <f t="array" ref="F557">IFERROR(INDEX(checklistPesertaKemenkeu!$I$6:$I$1005,SMALL(IF(checklistPesertaKemenkeu!$AY$6:$AY$1005="Direkomendasikan",ROW($6:$1005)-5),556)),"")</f>
        <v/>
      </c>
      <c r="G557" t="str">
        <f t="array" ref="G557">IFERROR(INDEX(checklistPesertaKemenkeu!$J$6:$J$1005,SMALL(IF(checklistPesertaKemenkeu!$AY$6:$AY$1005="Direkomendasikan",ROW($6:$1005)-5),556)),"")</f>
        <v/>
      </c>
      <c r="H557" t="str">
        <f t="array" aca="1" ref="H557" ca="1">IFERROR(IF(OR(INDEX(checklistPesertaKemenkeu!$L$6:$L$1005,SMALL(IF(checklistPesertaKemenkeu!$AY$6:$AY$1005="Direkomendasikan",ROW($6:$1005)-5),556))="",INDEX(checklistPesertaKemenkeu!$J$6:$J$1005,SMALL(IF(checklistPesertaKemenkeu!$AY$6:$AY$1005="Direkomendasikan",ROW($6:$1005)-5),556))=""),"",IF(AND(COUNTIF(INDIRECT("K_"&amp;MATCH(INDEX(checklistPesertaKemenkeu!$J$6:$J$1005,SMALL(IF(checklistPesertaKemenkeu!$AY$6:$AY$1005="Direkomendasikan",ROW($6:$1005)-5),556)),BidangList,0)),INDEX(checklistPesertaKemenkeu!$L$6:$L$1005,SMALL(IF(checklistPesertaKemenkeu!$AY$6:$AY$1005="Direkomendasikan",ROW($6:$1005)-5),556)))&gt;0,COUNTIF(INDIRECT("'KERTAS KERJA'!K"&amp;(SMALL(IF(checklistPesertaKemenkeu!$AY$6:$AY$1005="Direkomendasikan",ROW($6:$1005)-5),556)+5)&amp;":O"&amp;(SMALL(IF(checklistPesertaKemenkeu!$AY$6:$AY$1005="Direkomendasikan",ROW($6:$1005)-5),556)+5)),INDEX(checklistPesertaKemenkeu!$L$6:$L$1005,SMALL(IF(checklistPesertaKemenkeu!$AY$6:$AY$1005="Direkomendasikan",ROW($6:$1005)-5),556)))=1),IFERROR(VLOOKUP(INDEX(checklistPesertaKemenkeu!$L$6:$L$1005,SMALL(IF(checklistPesertaKemenkeu!$AY$6:$AY$1005="Direkomendasikan",ROW($6:$1005)-5),556)),KotaKode,2,0),"-"),"")),"")</f>
        <v/>
      </c>
      <c r="I557" t="str">
        <f t="array" aca="1" ref="I557" ca="1">IFERROR(IF(OR(INDEX(checklistPesertaKemenkeu!$M$6:$M$1005,SMALL(IF(checklistPesertaKemenkeu!$AY$6:$AY$1005="Direkomendasikan",ROW($6:$1005)-5),556))="",INDEX(checklistPesertaKemenkeu!$J$6:$J$1005,SMALL(IF(checklistPesertaKemenkeu!$AY$6:$AY$1005="Direkomendasikan",ROW($6:$1005)-5),556))=""),"",IF(AND(COUNTIF(INDIRECT("K_"&amp;MATCH(INDEX(checklistPesertaKemenkeu!$J$6:$J$1005,SMALL(IF(checklistPesertaKemenkeu!$AY$6:$AY$1005="Direkomendasikan",ROW($6:$1005)-5),556)),BidangList,0)),INDEX(checklistPesertaKemenkeu!$M$6:$M$1005,SMALL(IF(checklistPesertaKemenkeu!$AY$6:$AY$1005="Direkomendasikan",ROW($6:$1005)-5),556)))&gt;0,COUNTIF(INDIRECT("'KERTAS KERJA'!K"&amp;(SMALL(IF(checklistPesertaKemenkeu!$AY$6:$AY$1005="Direkomendasikan",ROW($6:$1005)-5),556)+5)&amp;":O"&amp;(SMALL(IF(checklistPesertaKemenkeu!$AY$6:$AY$1005="Direkomendasikan",ROW($6:$1005)-5),556)+5)),INDEX(checklistPesertaKemenkeu!$M$6:$M$1005,SMALL(IF(checklistPesertaKemenkeu!$AY$6:$AY$1005="Direkomendasikan",ROW($6:$1005)-5),556)))=1),IFERROR(VLOOKUP(INDEX(checklistPesertaKemenkeu!$M$6:$M$1005,SMALL(IF(checklistPesertaKemenkeu!$AY$6:$AY$1005="Direkomendasikan",ROW($6:$1005)-5),556)),KotaKode,2,0),"-"),"")),"")</f>
        <v/>
      </c>
      <c r="J557" t="str">
        <f t="array" aca="1" ref="J557" ca="1">IFERROR(IF(OR(INDEX(checklistPesertaKemenkeu!$N$6:$N$1005,SMALL(IF(checklistPesertaKemenkeu!$AY$6:$AY$1005="Direkomendasikan",ROW($6:$1005)-5),556))="",INDEX(checklistPesertaKemenkeu!$J$6:$J$1005,SMALL(IF(checklistPesertaKemenkeu!$AY$6:$AY$1005="Direkomendasikan",ROW($6:$1005)-5),556))=""),"",IF(AND(COUNTIF(INDIRECT("K_"&amp;MATCH(INDEX(checklistPesertaKemenkeu!$J$6:$J$1005,SMALL(IF(checklistPesertaKemenkeu!$AY$6:$AY$1005="Direkomendasikan",ROW($6:$1005)-5),556)),BidangList,0)),INDEX(checklistPesertaKemenkeu!$N$6:$N$1005,SMALL(IF(checklistPesertaKemenkeu!$AY$6:$AY$1005="Direkomendasikan",ROW($6:$1005)-5),556)))&gt;0,COUNTIF(INDIRECT("'KERTAS KERJA'!K"&amp;(SMALL(IF(checklistPesertaKemenkeu!$AY$6:$AY$1005="Direkomendasikan",ROW($6:$1005)-5),556)+5)&amp;":O"&amp;(SMALL(IF(checklistPesertaKemenkeu!$AY$6:$AY$1005="Direkomendasikan",ROW($6:$1005)-5),556)+5)),INDEX(checklistPesertaKemenkeu!$N$6:$N$1005,SMALL(IF(checklistPesertaKemenkeu!$AY$6:$AY$1005="Direkomendasikan",ROW($6:$1005)-5),556)))=1),IFERROR(VLOOKUP(INDEX(checklistPesertaKemenkeu!$N$6:$N$1005,SMALL(IF(checklistPesertaKemenkeu!$AY$6:$AY$1005="Direkomendasikan",ROW($6:$1005)-5),556)),KotaKode,2,0),"-"),"")),"")</f>
        <v/>
      </c>
      <c r="K557" t="str">
        <f t="array" aca="1" ref="K557" ca="1">IFERROR(IF(OR(INDEX(checklistPesertaKemenkeu!$O$6:$O$1005,SMALL(IF(checklistPesertaKemenkeu!$AY$6:$AY$1005="Direkomendasikan",ROW($6:$1005)-5),556))="",INDEX(checklistPesertaKemenkeu!$J$6:$J$1005,SMALL(IF(checklistPesertaKemenkeu!$AY$6:$AY$1005="Direkomendasikan",ROW($6:$1005)-5),556))=""),"",IF(AND(COUNTIF(INDIRECT("K_"&amp;MATCH(INDEX(checklistPesertaKemenkeu!$J$6:$J$1005,SMALL(IF(checklistPesertaKemenkeu!$AY$6:$AY$1005="Direkomendasikan",ROW($6:$1005)-5),556)),BidangList,0)),INDEX(checklistPesertaKemenkeu!$O$6:$O$1005,SMALL(IF(checklistPesertaKemenkeu!$AY$6:$AY$1005="Direkomendasikan",ROW($6:$1005)-5),556)))&gt;0,COUNTIF(INDIRECT("'KERTAS KERJA'!K"&amp;(SMALL(IF(checklistPesertaKemenkeu!$AY$6:$AY$1005="Direkomendasikan",ROW($6:$1005)-5),556)+5)&amp;":O"&amp;(SMALL(IF(checklistPesertaKemenkeu!$AY$6:$AY$1005="Direkomendasikan",ROW($6:$1005)-5),556)+5)),INDEX(checklistPesertaKemenkeu!$O$6:$O$1005,SMALL(IF(checklistPesertaKemenkeu!$AY$6:$AY$1005="Direkomendasikan",ROW($6:$1005)-5),556)))=1),IFERROR(VLOOKUP(INDEX(checklistPesertaKemenkeu!$O$6:$O$1005,SMALL(IF(checklistPesertaKemenkeu!$AY$6:$AY$1005="Direkomendasikan",ROW($6:$1005)-5),556)),KotaKode,2,0),"-"),"")),"")</f>
        <v/>
      </c>
      <c r="L557" t="str">
        <f t="array" aca="1" ref="L557" ca="1">IFERROR(IF(OR(INDEX(checklistPesertaKemenkeu!$P$6:$P$1005,SMALL(IF(checklistPesertaKemenkeu!$AY$6:$AY$1005="Direkomendasikan",ROW($6:$1005)-5),556))="",INDEX(checklistPesertaKemenkeu!$J$6:$J$1005,SMALL(IF(checklistPesertaKemenkeu!$AY$6:$AY$1005="Direkomendasikan",ROW($6:$1005)-5),556))=""),"",IF(AND(COUNTIF(INDIRECT("K_"&amp;MATCH(INDEX(checklistPesertaKemenkeu!$J$6:$J$1005,SMALL(IF(checklistPesertaKemenkeu!$AY$6:$AY$1005="Direkomendasikan",ROW($6:$1005)-5),556)),BidangList,0)),INDEX(checklistPesertaKemenkeu!$P$6:$P$1005,SMALL(IF(checklistPesertaKemenkeu!$AY$6:$AY$1005="Direkomendasikan",ROW($6:$1005)-5),556)))&gt;0,COUNTIF(INDIRECT("'KERTAS KERJA'!K"&amp;(SMALL(IF(checklistPesertaKemenkeu!$AY$6:$AY$1005="Direkomendasikan",ROW($6:$1005)-5),556)+5)&amp;":O"&amp;(SMALL(IF(checklistPesertaKemenkeu!$AY$6:$AY$1005="Direkomendasikan",ROW($6:$1005)-5),556)+5)),INDEX(checklistPesertaKemenkeu!$P$6:$P$1005,SMALL(IF(checklistPesertaKemenkeu!$AY$6:$AY$1005="Direkomendasikan",ROW($6:$1005)-5),556)))=1),IFERROR(VLOOKUP(INDEX(checklistPesertaKemenkeu!$P$6:$P$1005,SMALL(IF(checklistPesertaKemenkeu!$AY$6:$AY$1005="Direkomendasikan",ROW($6:$1005)-5),556)),KotaKode,2,0),"-"),"")),"")</f>
        <v/>
      </c>
    </row>
    <row r="558" spans="1:12" ht="15" customHeight="1" x14ac:dyDescent="0.2">
      <c r="A558" t="str">
        <f t="shared" si="8"/>
        <v/>
      </c>
      <c r="B558" t="str">
        <v/>
      </c>
      <c r="C558" s="40" t="str">
        <f t="array" ref="C558">IFERROR(INDEX(checklistPesertaKemenkeu!$F$6:$F$1005,SMALL(IF(checklistPesertaKemenkeu!$AY$6:$AY$1005="Direkomendasikan",ROW($6:$1005)-5),557)),"")</f>
        <v/>
      </c>
      <c r="D558" t="str">
        <f t="array" ref="D558">IFERROR(INDEX(checklistPesertaKemenkeu!$G$6:$G$1005,SMALL(IF(checklistPesertaKemenkeu!$AY$6:$AY$1005="Direkomendasikan",ROW($6:$1005)-5),557)),"")</f>
        <v/>
      </c>
      <c r="E558" t="str">
        <f t="array" ref="E558">IFERROR(INDEX(checklistPesertaKemenkeu!$H$6:$H$1005,SMALL(IF(checklistPesertaKemenkeu!$AY$6:$AY$1005="Direkomendasikan",ROW($6:$1005)-5),557)),"")</f>
        <v/>
      </c>
      <c r="F558" t="str">
        <f t="array" ref="F558">IFERROR(INDEX(checklistPesertaKemenkeu!$I$6:$I$1005,SMALL(IF(checklistPesertaKemenkeu!$AY$6:$AY$1005="Direkomendasikan",ROW($6:$1005)-5),557)),"")</f>
        <v/>
      </c>
      <c r="G558" t="str">
        <f t="array" ref="G558">IFERROR(INDEX(checklistPesertaKemenkeu!$J$6:$J$1005,SMALL(IF(checklistPesertaKemenkeu!$AY$6:$AY$1005="Direkomendasikan",ROW($6:$1005)-5),557)),"")</f>
        <v/>
      </c>
      <c r="H558" t="str">
        <f t="array" aca="1" ref="H558" ca="1">IFERROR(IF(OR(INDEX(checklistPesertaKemenkeu!$L$6:$L$1005,SMALL(IF(checklistPesertaKemenkeu!$AY$6:$AY$1005="Direkomendasikan",ROW($6:$1005)-5),557))="",INDEX(checklistPesertaKemenkeu!$J$6:$J$1005,SMALL(IF(checklistPesertaKemenkeu!$AY$6:$AY$1005="Direkomendasikan",ROW($6:$1005)-5),557))=""),"",IF(AND(COUNTIF(INDIRECT("K_"&amp;MATCH(INDEX(checklistPesertaKemenkeu!$J$6:$J$1005,SMALL(IF(checklistPesertaKemenkeu!$AY$6:$AY$1005="Direkomendasikan",ROW($6:$1005)-5),557)),BidangList,0)),INDEX(checklistPesertaKemenkeu!$L$6:$L$1005,SMALL(IF(checklistPesertaKemenkeu!$AY$6:$AY$1005="Direkomendasikan",ROW($6:$1005)-5),557)))&gt;0,COUNTIF(INDIRECT("'KERTAS KERJA'!K"&amp;(SMALL(IF(checklistPesertaKemenkeu!$AY$6:$AY$1005="Direkomendasikan",ROW($6:$1005)-5),557)+5)&amp;":O"&amp;(SMALL(IF(checklistPesertaKemenkeu!$AY$6:$AY$1005="Direkomendasikan",ROW($6:$1005)-5),557)+5)),INDEX(checklistPesertaKemenkeu!$L$6:$L$1005,SMALL(IF(checklistPesertaKemenkeu!$AY$6:$AY$1005="Direkomendasikan",ROW($6:$1005)-5),557)))=1),IFERROR(VLOOKUP(INDEX(checklistPesertaKemenkeu!$L$6:$L$1005,SMALL(IF(checklistPesertaKemenkeu!$AY$6:$AY$1005="Direkomendasikan",ROW($6:$1005)-5),557)),KotaKode,2,0),"-"),"")),"")</f>
        <v/>
      </c>
      <c r="I558" t="str">
        <f t="array" aca="1" ref="I558" ca="1">IFERROR(IF(OR(INDEX(checklistPesertaKemenkeu!$M$6:$M$1005,SMALL(IF(checklistPesertaKemenkeu!$AY$6:$AY$1005="Direkomendasikan",ROW($6:$1005)-5),557))="",INDEX(checklistPesertaKemenkeu!$J$6:$J$1005,SMALL(IF(checklistPesertaKemenkeu!$AY$6:$AY$1005="Direkomendasikan",ROW($6:$1005)-5),557))=""),"",IF(AND(COUNTIF(INDIRECT("K_"&amp;MATCH(INDEX(checklistPesertaKemenkeu!$J$6:$J$1005,SMALL(IF(checklistPesertaKemenkeu!$AY$6:$AY$1005="Direkomendasikan",ROW($6:$1005)-5),557)),BidangList,0)),INDEX(checklistPesertaKemenkeu!$M$6:$M$1005,SMALL(IF(checklistPesertaKemenkeu!$AY$6:$AY$1005="Direkomendasikan",ROW($6:$1005)-5),557)))&gt;0,COUNTIF(INDIRECT("'KERTAS KERJA'!K"&amp;(SMALL(IF(checklistPesertaKemenkeu!$AY$6:$AY$1005="Direkomendasikan",ROW($6:$1005)-5),557)+5)&amp;":O"&amp;(SMALL(IF(checklistPesertaKemenkeu!$AY$6:$AY$1005="Direkomendasikan",ROW($6:$1005)-5),557)+5)),INDEX(checklistPesertaKemenkeu!$M$6:$M$1005,SMALL(IF(checklistPesertaKemenkeu!$AY$6:$AY$1005="Direkomendasikan",ROW($6:$1005)-5),557)))=1),IFERROR(VLOOKUP(INDEX(checklistPesertaKemenkeu!$M$6:$M$1005,SMALL(IF(checklistPesertaKemenkeu!$AY$6:$AY$1005="Direkomendasikan",ROW($6:$1005)-5),557)),KotaKode,2,0),"-"),"")),"")</f>
        <v/>
      </c>
      <c r="J558" t="str">
        <f t="array" aca="1" ref="J558" ca="1">IFERROR(IF(OR(INDEX(checklistPesertaKemenkeu!$N$6:$N$1005,SMALL(IF(checklistPesertaKemenkeu!$AY$6:$AY$1005="Direkomendasikan",ROW($6:$1005)-5),557))="",INDEX(checklistPesertaKemenkeu!$J$6:$J$1005,SMALL(IF(checklistPesertaKemenkeu!$AY$6:$AY$1005="Direkomendasikan",ROW($6:$1005)-5),557))=""),"",IF(AND(COUNTIF(INDIRECT("K_"&amp;MATCH(INDEX(checklistPesertaKemenkeu!$J$6:$J$1005,SMALL(IF(checklistPesertaKemenkeu!$AY$6:$AY$1005="Direkomendasikan",ROW($6:$1005)-5),557)),BidangList,0)),INDEX(checklistPesertaKemenkeu!$N$6:$N$1005,SMALL(IF(checklistPesertaKemenkeu!$AY$6:$AY$1005="Direkomendasikan",ROW($6:$1005)-5),557)))&gt;0,COUNTIF(INDIRECT("'KERTAS KERJA'!K"&amp;(SMALL(IF(checklistPesertaKemenkeu!$AY$6:$AY$1005="Direkomendasikan",ROW($6:$1005)-5),557)+5)&amp;":O"&amp;(SMALL(IF(checklistPesertaKemenkeu!$AY$6:$AY$1005="Direkomendasikan",ROW($6:$1005)-5),557)+5)),INDEX(checklistPesertaKemenkeu!$N$6:$N$1005,SMALL(IF(checklistPesertaKemenkeu!$AY$6:$AY$1005="Direkomendasikan",ROW($6:$1005)-5),557)))=1),IFERROR(VLOOKUP(INDEX(checklistPesertaKemenkeu!$N$6:$N$1005,SMALL(IF(checklistPesertaKemenkeu!$AY$6:$AY$1005="Direkomendasikan",ROW($6:$1005)-5),557)),KotaKode,2,0),"-"),"")),"")</f>
        <v/>
      </c>
      <c r="K558" t="str">
        <f t="array" aca="1" ref="K558" ca="1">IFERROR(IF(OR(INDEX(checklistPesertaKemenkeu!$O$6:$O$1005,SMALL(IF(checklistPesertaKemenkeu!$AY$6:$AY$1005="Direkomendasikan",ROW($6:$1005)-5),557))="",INDEX(checklistPesertaKemenkeu!$J$6:$J$1005,SMALL(IF(checklistPesertaKemenkeu!$AY$6:$AY$1005="Direkomendasikan",ROW($6:$1005)-5),557))=""),"",IF(AND(COUNTIF(INDIRECT("K_"&amp;MATCH(INDEX(checklistPesertaKemenkeu!$J$6:$J$1005,SMALL(IF(checklistPesertaKemenkeu!$AY$6:$AY$1005="Direkomendasikan",ROW($6:$1005)-5),557)),BidangList,0)),INDEX(checklistPesertaKemenkeu!$O$6:$O$1005,SMALL(IF(checklistPesertaKemenkeu!$AY$6:$AY$1005="Direkomendasikan",ROW($6:$1005)-5),557)))&gt;0,COUNTIF(INDIRECT("'KERTAS KERJA'!K"&amp;(SMALL(IF(checklistPesertaKemenkeu!$AY$6:$AY$1005="Direkomendasikan",ROW($6:$1005)-5),557)+5)&amp;":O"&amp;(SMALL(IF(checklistPesertaKemenkeu!$AY$6:$AY$1005="Direkomendasikan",ROW($6:$1005)-5),557)+5)),INDEX(checklistPesertaKemenkeu!$O$6:$O$1005,SMALL(IF(checklistPesertaKemenkeu!$AY$6:$AY$1005="Direkomendasikan",ROW($6:$1005)-5),557)))=1),IFERROR(VLOOKUP(INDEX(checklistPesertaKemenkeu!$O$6:$O$1005,SMALL(IF(checklistPesertaKemenkeu!$AY$6:$AY$1005="Direkomendasikan",ROW($6:$1005)-5),557)),KotaKode,2,0),"-"),"")),"")</f>
        <v/>
      </c>
      <c r="L558" t="str">
        <f t="array" aca="1" ref="L558" ca="1">IFERROR(IF(OR(INDEX(checklistPesertaKemenkeu!$P$6:$P$1005,SMALL(IF(checklistPesertaKemenkeu!$AY$6:$AY$1005="Direkomendasikan",ROW($6:$1005)-5),557))="",INDEX(checklistPesertaKemenkeu!$J$6:$J$1005,SMALL(IF(checklistPesertaKemenkeu!$AY$6:$AY$1005="Direkomendasikan",ROW($6:$1005)-5),557))=""),"",IF(AND(COUNTIF(INDIRECT("K_"&amp;MATCH(INDEX(checklistPesertaKemenkeu!$J$6:$J$1005,SMALL(IF(checklistPesertaKemenkeu!$AY$6:$AY$1005="Direkomendasikan",ROW($6:$1005)-5),557)),BidangList,0)),INDEX(checklistPesertaKemenkeu!$P$6:$P$1005,SMALL(IF(checklistPesertaKemenkeu!$AY$6:$AY$1005="Direkomendasikan",ROW($6:$1005)-5),557)))&gt;0,COUNTIF(INDIRECT("'KERTAS KERJA'!K"&amp;(SMALL(IF(checklistPesertaKemenkeu!$AY$6:$AY$1005="Direkomendasikan",ROW($6:$1005)-5),557)+5)&amp;":O"&amp;(SMALL(IF(checklistPesertaKemenkeu!$AY$6:$AY$1005="Direkomendasikan",ROW($6:$1005)-5),557)+5)),INDEX(checklistPesertaKemenkeu!$P$6:$P$1005,SMALL(IF(checklistPesertaKemenkeu!$AY$6:$AY$1005="Direkomendasikan",ROW($6:$1005)-5),557)))=1),IFERROR(VLOOKUP(INDEX(checklistPesertaKemenkeu!$P$6:$P$1005,SMALL(IF(checklistPesertaKemenkeu!$AY$6:$AY$1005="Direkomendasikan",ROW($6:$1005)-5),557)),KotaKode,2,0),"-"),"")),"")</f>
        <v/>
      </c>
    </row>
    <row r="559" spans="1:12" ht="15" customHeight="1" x14ac:dyDescent="0.2">
      <c r="A559" t="str">
        <f t="shared" si="8"/>
        <v/>
      </c>
      <c r="B559" t="str">
        <v/>
      </c>
      <c r="C559" s="40" t="str">
        <f t="array" ref="C559">IFERROR(INDEX(checklistPesertaKemenkeu!$F$6:$F$1005,SMALL(IF(checklistPesertaKemenkeu!$AY$6:$AY$1005="Direkomendasikan",ROW($6:$1005)-5),558)),"")</f>
        <v/>
      </c>
      <c r="D559" t="str">
        <f t="array" ref="D559">IFERROR(INDEX(checklistPesertaKemenkeu!$G$6:$G$1005,SMALL(IF(checklistPesertaKemenkeu!$AY$6:$AY$1005="Direkomendasikan",ROW($6:$1005)-5),558)),"")</f>
        <v/>
      </c>
      <c r="E559" t="str">
        <f t="array" ref="E559">IFERROR(INDEX(checklistPesertaKemenkeu!$H$6:$H$1005,SMALL(IF(checklistPesertaKemenkeu!$AY$6:$AY$1005="Direkomendasikan",ROW($6:$1005)-5),558)),"")</f>
        <v/>
      </c>
      <c r="F559" t="str">
        <f t="array" ref="F559">IFERROR(INDEX(checklistPesertaKemenkeu!$I$6:$I$1005,SMALL(IF(checklistPesertaKemenkeu!$AY$6:$AY$1005="Direkomendasikan",ROW($6:$1005)-5),558)),"")</f>
        <v/>
      </c>
      <c r="G559" t="str">
        <f t="array" ref="G559">IFERROR(INDEX(checklistPesertaKemenkeu!$J$6:$J$1005,SMALL(IF(checklistPesertaKemenkeu!$AY$6:$AY$1005="Direkomendasikan",ROW($6:$1005)-5),558)),"")</f>
        <v/>
      </c>
      <c r="H559" t="str">
        <f t="array" aca="1" ref="H559" ca="1">IFERROR(IF(OR(INDEX(checklistPesertaKemenkeu!$L$6:$L$1005,SMALL(IF(checklistPesertaKemenkeu!$AY$6:$AY$1005="Direkomendasikan",ROW($6:$1005)-5),558))="",INDEX(checklistPesertaKemenkeu!$J$6:$J$1005,SMALL(IF(checklistPesertaKemenkeu!$AY$6:$AY$1005="Direkomendasikan",ROW($6:$1005)-5),558))=""),"",IF(AND(COUNTIF(INDIRECT("K_"&amp;MATCH(INDEX(checklistPesertaKemenkeu!$J$6:$J$1005,SMALL(IF(checklistPesertaKemenkeu!$AY$6:$AY$1005="Direkomendasikan",ROW($6:$1005)-5),558)),BidangList,0)),INDEX(checklistPesertaKemenkeu!$L$6:$L$1005,SMALL(IF(checklistPesertaKemenkeu!$AY$6:$AY$1005="Direkomendasikan",ROW($6:$1005)-5),558)))&gt;0,COUNTIF(INDIRECT("'KERTAS KERJA'!K"&amp;(SMALL(IF(checklistPesertaKemenkeu!$AY$6:$AY$1005="Direkomendasikan",ROW($6:$1005)-5),558)+5)&amp;":O"&amp;(SMALL(IF(checklistPesertaKemenkeu!$AY$6:$AY$1005="Direkomendasikan",ROW($6:$1005)-5),558)+5)),INDEX(checklistPesertaKemenkeu!$L$6:$L$1005,SMALL(IF(checklistPesertaKemenkeu!$AY$6:$AY$1005="Direkomendasikan",ROW($6:$1005)-5),558)))=1),IFERROR(VLOOKUP(INDEX(checklistPesertaKemenkeu!$L$6:$L$1005,SMALL(IF(checklistPesertaKemenkeu!$AY$6:$AY$1005="Direkomendasikan",ROW($6:$1005)-5),558)),KotaKode,2,0),"-"),"")),"")</f>
        <v/>
      </c>
      <c r="I559" t="str">
        <f t="array" aca="1" ref="I559" ca="1">IFERROR(IF(OR(INDEX(checklistPesertaKemenkeu!$M$6:$M$1005,SMALL(IF(checklistPesertaKemenkeu!$AY$6:$AY$1005="Direkomendasikan",ROW($6:$1005)-5),558))="",INDEX(checklistPesertaKemenkeu!$J$6:$J$1005,SMALL(IF(checklistPesertaKemenkeu!$AY$6:$AY$1005="Direkomendasikan",ROW($6:$1005)-5),558))=""),"",IF(AND(COUNTIF(INDIRECT("K_"&amp;MATCH(INDEX(checklistPesertaKemenkeu!$J$6:$J$1005,SMALL(IF(checklistPesertaKemenkeu!$AY$6:$AY$1005="Direkomendasikan",ROW($6:$1005)-5),558)),BidangList,0)),INDEX(checklistPesertaKemenkeu!$M$6:$M$1005,SMALL(IF(checklistPesertaKemenkeu!$AY$6:$AY$1005="Direkomendasikan",ROW($6:$1005)-5),558)))&gt;0,COUNTIF(INDIRECT("'KERTAS KERJA'!K"&amp;(SMALL(IF(checklistPesertaKemenkeu!$AY$6:$AY$1005="Direkomendasikan",ROW($6:$1005)-5),558)+5)&amp;":O"&amp;(SMALL(IF(checklistPesertaKemenkeu!$AY$6:$AY$1005="Direkomendasikan",ROW($6:$1005)-5),558)+5)),INDEX(checklistPesertaKemenkeu!$M$6:$M$1005,SMALL(IF(checklistPesertaKemenkeu!$AY$6:$AY$1005="Direkomendasikan",ROW($6:$1005)-5),558)))=1),IFERROR(VLOOKUP(INDEX(checklistPesertaKemenkeu!$M$6:$M$1005,SMALL(IF(checklistPesertaKemenkeu!$AY$6:$AY$1005="Direkomendasikan",ROW($6:$1005)-5),558)),KotaKode,2,0),"-"),"")),"")</f>
        <v/>
      </c>
      <c r="J559" t="str">
        <f t="array" aca="1" ref="J559" ca="1">IFERROR(IF(OR(INDEX(checklistPesertaKemenkeu!$N$6:$N$1005,SMALL(IF(checklistPesertaKemenkeu!$AY$6:$AY$1005="Direkomendasikan",ROW($6:$1005)-5),558))="",INDEX(checklistPesertaKemenkeu!$J$6:$J$1005,SMALL(IF(checklistPesertaKemenkeu!$AY$6:$AY$1005="Direkomendasikan",ROW($6:$1005)-5),558))=""),"",IF(AND(COUNTIF(INDIRECT("K_"&amp;MATCH(INDEX(checklistPesertaKemenkeu!$J$6:$J$1005,SMALL(IF(checklistPesertaKemenkeu!$AY$6:$AY$1005="Direkomendasikan",ROW($6:$1005)-5),558)),BidangList,0)),INDEX(checklistPesertaKemenkeu!$N$6:$N$1005,SMALL(IF(checklistPesertaKemenkeu!$AY$6:$AY$1005="Direkomendasikan",ROW($6:$1005)-5),558)))&gt;0,COUNTIF(INDIRECT("'KERTAS KERJA'!K"&amp;(SMALL(IF(checklistPesertaKemenkeu!$AY$6:$AY$1005="Direkomendasikan",ROW($6:$1005)-5),558)+5)&amp;":O"&amp;(SMALL(IF(checklistPesertaKemenkeu!$AY$6:$AY$1005="Direkomendasikan",ROW($6:$1005)-5),558)+5)),INDEX(checklistPesertaKemenkeu!$N$6:$N$1005,SMALL(IF(checklistPesertaKemenkeu!$AY$6:$AY$1005="Direkomendasikan",ROW($6:$1005)-5),558)))=1),IFERROR(VLOOKUP(INDEX(checklistPesertaKemenkeu!$N$6:$N$1005,SMALL(IF(checklistPesertaKemenkeu!$AY$6:$AY$1005="Direkomendasikan",ROW($6:$1005)-5),558)),KotaKode,2,0),"-"),"")),"")</f>
        <v/>
      </c>
      <c r="K559" t="str">
        <f t="array" aca="1" ref="K559" ca="1">IFERROR(IF(OR(INDEX(checklistPesertaKemenkeu!$O$6:$O$1005,SMALL(IF(checklistPesertaKemenkeu!$AY$6:$AY$1005="Direkomendasikan",ROW($6:$1005)-5),558))="",INDEX(checklistPesertaKemenkeu!$J$6:$J$1005,SMALL(IF(checklistPesertaKemenkeu!$AY$6:$AY$1005="Direkomendasikan",ROW($6:$1005)-5),558))=""),"",IF(AND(COUNTIF(INDIRECT("K_"&amp;MATCH(INDEX(checklistPesertaKemenkeu!$J$6:$J$1005,SMALL(IF(checklistPesertaKemenkeu!$AY$6:$AY$1005="Direkomendasikan",ROW($6:$1005)-5),558)),BidangList,0)),INDEX(checklistPesertaKemenkeu!$O$6:$O$1005,SMALL(IF(checklistPesertaKemenkeu!$AY$6:$AY$1005="Direkomendasikan",ROW($6:$1005)-5),558)))&gt;0,COUNTIF(INDIRECT("'KERTAS KERJA'!K"&amp;(SMALL(IF(checklistPesertaKemenkeu!$AY$6:$AY$1005="Direkomendasikan",ROW($6:$1005)-5),558)+5)&amp;":O"&amp;(SMALL(IF(checklistPesertaKemenkeu!$AY$6:$AY$1005="Direkomendasikan",ROW($6:$1005)-5),558)+5)),INDEX(checklistPesertaKemenkeu!$O$6:$O$1005,SMALL(IF(checklistPesertaKemenkeu!$AY$6:$AY$1005="Direkomendasikan",ROW($6:$1005)-5),558)))=1),IFERROR(VLOOKUP(INDEX(checklistPesertaKemenkeu!$O$6:$O$1005,SMALL(IF(checklistPesertaKemenkeu!$AY$6:$AY$1005="Direkomendasikan",ROW($6:$1005)-5),558)),KotaKode,2,0),"-"),"")),"")</f>
        <v/>
      </c>
      <c r="L559" t="str">
        <f t="array" aca="1" ref="L559" ca="1">IFERROR(IF(OR(INDEX(checklistPesertaKemenkeu!$P$6:$P$1005,SMALL(IF(checklistPesertaKemenkeu!$AY$6:$AY$1005="Direkomendasikan",ROW($6:$1005)-5),558))="",INDEX(checklistPesertaKemenkeu!$J$6:$J$1005,SMALL(IF(checklistPesertaKemenkeu!$AY$6:$AY$1005="Direkomendasikan",ROW($6:$1005)-5),558))=""),"",IF(AND(COUNTIF(INDIRECT("K_"&amp;MATCH(INDEX(checklistPesertaKemenkeu!$J$6:$J$1005,SMALL(IF(checklistPesertaKemenkeu!$AY$6:$AY$1005="Direkomendasikan",ROW($6:$1005)-5),558)),BidangList,0)),INDEX(checklistPesertaKemenkeu!$P$6:$P$1005,SMALL(IF(checklistPesertaKemenkeu!$AY$6:$AY$1005="Direkomendasikan",ROW($6:$1005)-5),558)))&gt;0,COUNTIF(INDIRECT("'KERTAS KERJA'!K"&amp;(SMALL(IF(checklistPesertaKemenkeu!$AY$6:$AY$1005="Direkomendasikan",ROW($6:$1005)-5),558)+5)&amp;":O"&amp;(SMALL(IF(checklistPesertaKemenkeu!$AY$6:$AY$1005="Direkomendasikan",ROW($6:$1005)-5),558)+5)),INDEX(checklistPesertaKemenkeu!$P$6:$P$1005,SMALL(IF(checklistPesertaKemenkeu!$AY$6:$AY$1005="Direkomendasikan",ROW($6:$1005)-5),558)))=1),IFERROR(VLOOKUP(INDEX(checklistPesertaKemenkeu!$P$6:$P$1005,SMALL(IF(checklistPesertaKemenkeu!$AY$6:$AY$1005="Direkomendasikan",ROW($6:$1005)-5),558)),KotaKode,2,0),"-"),"")),"")</f>
        <v/>
      </c>
    </row>
    <row r="560" spans="1:12" ht="15" customHeight="1" x14ac:dyDescent="0.2">
      <c r="A560" t="str">
        <f t="shared" si="8"/>
        <v/>
      </c>
      <c r="B560" t="str">
        <v/>
      </c>
      <c r="C560" s="40" t="str">
        <f t="array" ref="C560">IFERROR(INDEX(checklistPesertaKemenkeu!$F$6:$F$1005,SMALL(IF(checklistPesertaKemenkeu!$AY$6:$AY$1005="Direkomendasikan",ROW($6:$1005)-5),559)),"")</f>
        <v/>
      </c>
      <c r="D560" t="str">
        <f t="array" ref="D560">IFERROR(INDEX(checklistPesertaKemenkeu!$G$6:$G$1005,SMALL(IF(checklistPesertaKemenkeu!$AY$6:$AY$1005="Direkomendasikan",ROW($6:$1005)-5),559)),"")</f>
        <v/>
      </c>
      <c r="E560" t="str">
        <f t="array" ref="E560">IFERROR(INDEX(checklistPesertaKemenkeu!$H$6:$H$1005,SMALL(IF(checklistPesertaKemenkeu!$AY$6:$AY$1005="Direkomendasikan",ROW($6:$1005)-5),559)),"")</f>
        <v/>
      </c>
      <c r="F560" t="str">
        <f t="array" ref="F560">IFERROR(INDEX(checklistPesertaKemenkeu!$I$6:$I$1005,SMALL(IF(checklistPesertaKemenkeu!$AY$6:$AY$1005="Direkomendasikan",ROW($6:$1005)-5),559)),"")</f>
        <v/>
      </c>
      <c r="G560" t="str">
        <f t="array" ref="G560">IFERROR(INDEX(checklistPesertaKemenkeu!$J$6:$J$1005,SMALL(IF(checklistPesertaKemenkeu!$AY$6:$AY$1005="Direkomendasikan",ROW($6:$1005)-5),559)),"")</f>
        <v/>
      </c>
      <c r="H560" t="str">
        <f t="array" aca="1" ref="H560" ca="1">IFERROR(IF(OR(INDEX(checklistPesertaKemenkeu!$L$6:$L$1005,SMALL(IF(checklistPesertaKemenkeu!$AY$6:$AY$1005="Direkomendasikan",ROW($6:$1005)-5),559))="",INDEX(checklistPesertaKemenkeu!$J$6:$J$1005,SMALL(IF(checklistPesertaKemenkeu!$AY$6:$AY$1005="Direkomendasikan",ROW($6:$1005)-5),559))=""),"",IF(AND(COUNTIF(INDIRECT("K_"&amp;MATCH(INDEX(checklistPesertaKemenkeu!$J$6:$J$1005,SMALL(IF(checklistPesertaKemenkeu!$AY$6:$AY$1005="Direkomendasikan",ROW($6:$1005)-5),559)),BidangList,0)),INDEX(checklistPesertaKemenkeu!$L$6:$L$1005,SMALL(IF(checklistPesertaKemenkeu!$AY$6:$AY$1005="Direkomendasikan",ROW($6:$1005)-5),559)))&gt;0,COUNTIF(INDIRECT("'KERTAS KERJA'!K"&amp;(SMALL(IF(checklistPesertaKemenkeu!$AY$6:$AY$1005="Direkomendasikan",ROW($6:$1005)-5),559)+5)&amp;":O"&amp;(SMALL(IF(checklistPesertaKemenkeu!$AY$6:$AY$1005="Direkomendasikan",ROW($6:$1005)-5),559)+5)),INDEX(checklistPesertaKemenkeu!$L$6:$L$1005,SMALL(IF(checklistPesertaKemenkeu!$AY$6:$AY$1005="Direkomendasikan",ROW($6:$1005)-5),559)))=1),IFERROR(VLOOKUP(INDEX(checklistPesertaKemenkeu!$L$6:$L$1005,SMALL(IF(checklistPesertaKemenkeu!$AY$6:$AY$1005="Direkomendasikan",ROW($6:$1005)-5),559)),KotaKode,2,0),"-"),"")),"")</f>
        <v/>
      </c>
      <c r="I560" t="str">
        <f t="array" aca="1" ref="I560" ca="1">IFERROR(IF(OR(INDEX(checklistPesertaKemenkeu!$M$6:$M$1005,SMALL(IF(checklistPesertaKemenkeu!$AY$6:$AY$1005="Direkomendasikan",ROW($6:$1005)-5),559))="",INDEX(checklistPesertaKemenkeu!$J$6:$J$1005,SMALL(IF(checklistPesertaKemenkeu!$AY$6:$AY$1005="Direkomendasikan",ROW($6:$1005)-5),559))=""),"",IF(AND(COUNTIF(INDIRECT("K_"&amp;MATCH(INDEX(checklistPesertaKemenkeu!$J$6:$J$1005,SMALL(IF(checklistPesertaKemenkeu!$AY$6:$AY$1005="Direkomendasikan",ROW($6:$1005)-5),559)),BidangList,0)),INDEX(checklistPesertaKemenkeu!$M$6:$M$1005,SMALL(IF(checklistPesertaKemenkeu!$AY$6:$AY$1005="Direkomendasikan",ROW($6:$1005)-5),559)))&gt;0,COUNTIF(INDIRECT("'KERTAS KERJA'!K"&amp;(SMALL(IF(checklistPesertaKemenkeu!$AY$6:$AY$1005="Direkomendasikan",ROW($6:$1005)-5),559)+5)&amp;":O"&amp;(SMALL(IF(checklistPesertaKemenkeu!$AY$6:$AY$1005="Direkomendasikan",ROW($6:$1005)-5),559)+5)),INDEX(checklistPesertaKemenkeu!$M$6:$M$1005,SMALL(IF(checklistPesertaKemenkeu!$AY$6:$AY$1005="Direkomendasikan",ROW($6:$1005)-5),559)))=1),IFERROR(VLOOKUP(INDEX(checklistPesertaKemenkeu!$M$6:$M$1005,SMALL(IF(checklistPesertaKemenkeu!$AY$6:$AY$1005="Direkomendasikan",ROW($6:$1005)-5),559)),KotaKode,2,0),"-"),"")),"")</f>
        <v/>
      </c>
      <c r="J560" t="str">
        <f t="array" aca="1" ref="J560" ca="1">IFERROR(IF(OR(INDEX(checklistPesertaKemenkeu!$N$6:$N$1005,SMALL(IF(checklistPesertaKemenkeu!$AY$6:$AY$1005="Direkomendasikan",ROW($6:$1005)-5),559))="",INDEX(checklistPesertaKemenkeu!$J$6:$J$1005,SMALL(IF(checklistPesertaKemenkeu!$AY$6:$AY$1005="Direkomendasikan",ROW($6:$1005)-5),559))=""),"",IF(AND(COUNTIF(INDIRECT("K_"&amp;MATCH(INDEX(checklistPesertaKemenkeu!$J$6:$J$1005,SMALL(IF(checklistPesertaKemenkeu!$AY$6:$AY$1005="Direkomendasikan",ROW($6:$1005)-5),559)),BidangList,0)),INDEX(checklistPesertaKemenkeu!$N$6:$N$1005,SMALL(IF(checklistPesertaKemenkeu!$AY$6:$AY$1005="Direkomendasikan",ROW($6:$1005)-5),559)))&gt;0,COUNTIF(INDIRECT("'KERTAS KERJA'!K"&amp;(SMALL(IF(checklistPesertaKemenkeu!$AY$6:$AY$1005="Direkomendasikan",ROW($6:$1005)-5),559)+5)&amp;":O"&amp;(SMALL(IF(checklistPesertaKemenkeu!$AY$6:$AY$1005="Direkomendasikan",ROW($6:$1005)-5),559)+5)),INDEX(checklistPesertaKemenkeu!$N$6:$N$1005,SMALL(IF(checklistPesertaKemenkeu!$AY$6:$AY$1005="Direkomendasikan",ROW($6:$1005)-5),559)))=1),IFERROR(VLOOKUP(INDEX(checklistPesertaKemenkeu!$N$6:$N$1005,SMALL(IF(checklistPesertaKemenkeu!$AY$6:$AY$1005="Direkomendasikan",ROW($6:$1005)-5),559)),KotaKode,2,0),"-"),"")),"")</f>
        <v/>
      </c>
      <c r="K560" t="str">
        <f t="array" aca="1" ref="K560" ca="1">IFERROR(IF(OR(INDEX(checklistPesertaKemenkeu!$O$6:$O$1005,SMALL(IF(checklistPesertaKemenkeu!$AY$6:$AY$1005="Direkomendasikan",ROW($6:$1005)-5),559))="",INDEX(checklistPesertaKemenkeu!$J$6:$J$1005,SMALL(IF(checklistPesertaKemenkeu!$AY$6:$AY$1005="Direkomendasikan",ROW($6:$1005)-5),559))=""),"",IF(AND(COUNTIF(INDIRECT("K_"&amp;MATCH(INDEX(checklistPesertaKemenkeu!$J$6:$J$1005,SMALL(IF(checklistPesertaKemenkeu!$AY$6:$AY$1005="Direkomendasikan",ROW($6:$1005)-5),559)),BidangList,0)),INDEX(checklistPesertaKemenkeu!$O$6:$O$1005,SMALL(IF(checklistPesertaKemenkeu!$AY$6:$AY$1005="Direkomendasikan",ROW($6:$1005)-5),559)))&gt;0,COUNTIF(INDIRECT("'KERTAS KERJA'!K"&amp;(SMALL(IF(checklistPesertaKemenkeu!$AY$6:$AY$1005="Direkomendasikan",ROW($6:$1005)-5),559)+5)&amp;":O"&amp;(SMALL(IF(checklistPesertaKemenkeu!$AY$6:$AY$1005="Direkomendasikan",ROW($6:$1005)-5),559)+5)),INDEX(checklistPesertaKemenkeu!$O$6:$O$1005,SMALL(IF(checklistPesertaKemenkeu!$AY$6:$AY$1005="Direkomendasikan",ROW($6:$1005)-5),559)))=1),IFERROR(VLOOKUP(INDEX(checklistPesertaKemenkeu!$O$6:$O$1005,SMALL(IF(checklistPesertaKemenkeu!$AY$6:$AY$1005="Direkomendasikan",ROW($6:$1005)-5),559)),KotaKode,2,0),"-"),"")),"")</f>
        <v/>
      </c>
      <c r="L560" t="str">
        <f t="array" aca="1" ref="L560" ca="1">IFERROR(IF(OR(INDEX(checklistPesertaKemenkeu!$P$6:$P$1005,SMALL(IF(checklistPesertaKemenkeu!$AY$6:$AY$1005="Direkomendasikan",ROW($6:$1005)-5),559))="",INDEX(checklistPesertaKemenkeu!$J$6:$J$1005,SMALL(IF(checklistPesertaKemenkeu!$AY$6:$AY$1005="Direkomendasikan",ROW($6:$1005)-5),559))=""),"",IF(AND(COUNTIF(INDIRECT("K_"&amp;MATCH(INDEX(checklistPesertaKemenkeu!$J$6:$J$1005,SMALL(IF(checklistPesertaKemenkeu!$AY$6:$AY$1005="Direkomendasikan",ROW($6:$1005)-5),559)),BidangList,0)),INDEX(checklistPesertaKemenkeu!$P$6:$P$1005,SMALL(IF(checklistPesertaKemenkeu!$AY$6:$AY$1005="Direkomendasikan",ROW($6:$1005)-5),559)))&gt;0,COUNTIF(INDIRECT("'KERTAS KERJA'!K"&amp;(SMALL(IF(checklistPesertaKemenkeu!$AY$6:$AY$1005="Direkomendasikan",ROW($6:$1005)-5),559)+5)&amp;":O"&amp;(SMALL(IF(checklistPesertaKemenkeu!$AY$6:$AY$1005="Direkomendasikan",ROW($6:$1005)-5),559)+5)),INDEX(checklistPesertaKemenkeu!$P$6:$P$1005,SMALL(IF(checklistPesertaKemenkeu!$AY$6:$AY$1005="Direkomendasikan",ROW($6:$1005)-5),559)))=1),IFERROR(VLOOKUP(INDEX(checklistPesertaKemenkeu!$P$6:$P$1005,SMALL(IF(checklistPesertaKemenkeu!$AY$6:$AY$1005="Direkomendasikan",ROW($6:$1005)-5),559)),KotaKode,2,0),"-"),"")),"")</f>
        <v/>
      </c>
    </row>
    <row r="561" spans="1:12" ht="15" customHeight="1" x14ac:dyDescent="0.2">
      <c r="A561" t="str">
        <f t="shared" si="8"/>
        <v/>
      </c>
      <c r="B561" t="str">
        <v/>
      </c>
      <c r="C561" s="40" t="str">
        <f t="array" ref="C561">IFERROR(INDEX(checklistPesertaKemenkeu!$F$6:$F$1005,SMALL(IF(checklistPesertaKemenkeu!$AY$6:$AY$1005="Direkomendasikan",ROW($6:$1005)-5),560)),"")</f>
        <v/>
      </c>
      <c r="D561" t="str">
        <f t="array" ref="D561">IFERROR(INDEX(checklistPesertaKemenkeu!$G$6:$G$1005,SMALL(IF(checklistPesertaKemenkeu!$AY$6:$AY$1005="Direkomendasikan",ROW($6:$1005)-5),560)),"")</f>
        <v/>
      </c>
      <c r="E561" t="str">
        <f t="array" ref="E561">IFERROR(INDEX(checklistPesertaKemenkeu!$H$6:$H$1005,SMALL(IF(checklistPesertaKemenkeu!$AY$6:$AY$1005="Direkomendasikan",ROW($6:$1005)-5),560)),"")</f>
        <v/>
      </c>
      <c r="F561" t="str">
        <f t="array" ref="F561">IFERROR(INDEX(checklistPesertaKemenkeu!$I$6:$I$1005,SMALL(IF(checklistPesertaKemenkeu!$AY$6:$AY$1005="Direkomendasikan",ROW($6:$1005)-5),560)),"")</f>
        <v/>
      </c>
      <c r="G561" t="str">
        <f t="array" ref="G561">IFERROR(INDEX(checklistPesertaKemenkeu!$J$6:$J$1005,SMALL(IF(checklistPesertaKemenkeu!$AY$6:$AY$1005="Direkomendasikan",ROW($6:$1005)-5),560)),"")</f>
        <v/>
      </c>
      <c r="H561" t="str">
        <f t="array" aca="1" ref="H561" ca="1">IFERROR(IF(OR(INDEX(checklistPesertaKemenkeu!$L$6:$L$1005,SMALL(IF(checklistPesertaKemenkeu!$AY$6:$AY$1005="Direkomendasikan",ROW($6:$1005)-5),560))="",INDEX(checklistPesertaKemenkeu!$J$6:$J$1005,SMALL(IF(checklistPesertaKemenkeu!$AY$6:$AY$1005="Direkomendasikan",ROW($6:$1005)-5),560))=""),"",IF(AND(COUNTIF(INDIRECT("K_"&amp;MATCH(INDEX(checklistPesertaKemenkeu!$J$6:$J$1005,SMALL(IF(checklistPesertaKemenkeu!$AY$6:$AY$1005="Direkomendasikan",ROW($6:$1005)-5),560)),BidangList,0)),INDEX(checklistPesertaKemenkeu!$L$6:$L$1005,SMALL(IF(checklistPesertaKemenkeu!$AY$6:$AY$1005="Direkomendasikan",ROW($6:$1005)-5),560)))&gt;0,COUNTIF(INDIRECT("'KERTAS KERJA'!K"&amp;(SMALL(IF(checklistPesertaKemenkeu!$AY$6:$AY$1005="Direkomendasikan",ROW($6:$1005)-5),560)+5)&amp;":O"&amp;(SMALL(IF(checklistPesertaKemenkeu!$AY$6:$AY$1005="Direkomendasikan",ROW($6:$1005)-5),560)+5)),INDEX(checklistPesertaKemenkeu!$L$6:$L$1005,SMALL(IF(checklistPesertaKemenkeu!$AY$6:$AY$1005="Direkomendasikan",ROW($6:$1005)-5),560)))=1),IFERROR(VLOOKUP(INDEX(checklistPesertaKemenkeu!$L$6:$L$1005,SMALL(IF(checklistPesertaKemenkeu!$AY$6:$AY$1005="Direkomendasikan",ROW($6:$1005)-5),560)),KotaKode,2,0),"-"),"")),"")</f>
        <v/>
      </c>
      <c r="I561" t="str">
        <f t="array" aca="1" ref="I561" ca="1">IFERROR(IF(OR(INDEX(checklistPesertaKemenkeu!$M$6:$M$1005,SMALL(IF(checklistPesertaKemenkeu!$AY$6:$AY$1005="Direkomendasikan",ROW($6:$1005)-5),560))="",INDEX(checklistPesertaKemenkeu!$J$6:$J$1005,SMALL(IF(checklistPesertaKemenkeu!$AY$6:$AY$1005="Direkomendasikan",ROW($6:$1005)-5),560))=""),"",IF(AND(COUNTIF(INDIRECT("K_"&amp;MATCH(INDEX(checklistPesertaKemenkeu!$J$6:$J$1005,SMALL(IF(checklistPesertaKemenkeu!$AY$6:$AY$1005="Direkomendasikan",ROW($6:$1005)-5),560)),BidangList,0)),INDEX(checklistPesertaKemenkeu!$M$6:$M$1005,SMALL(IF(checklistPesertaKemenkeu!$AY$6:$AY$1005="Direkomendasikan",ROW($6:$1005)-5),560)))&gt;0,COUNTIF(INDIRECT("'KERTAS KERJA'!K"&amp;(SMALL(IF(checklistPesertaKemenkeu!$AY$6:$AY$1005="Direkomendasikan",ROW($6:$1005)-5),560)+5)&amp;":O"&amp;(SMALL(IF(checklistPesertaKemenkeu!$AY$6:$AY$1005="Direkomendasikan",ROW($6:$1005)-5),560)+5)),INDEX(checklistPesertaKemenkeu!$M$6:$M$1005,SMALL(IF(checklistPesertaKemenkeu!$AY$6:$AY$1005="Direkomendasikan",ROW($6:$1005)-5),560)))=1),IFERROR(VLOOKUP(INDEX(checklistPesertaKemenkeu!$M$6:$M$1005,SMALL(IF(checklistPesertaKemenkeu!$AY$6:$AY$1005="Direkomendasikan",ROW($6:$1005)-5),560)),KotaKode,2,0),"-"),"")),"")</f>
        <v/>
      </c>
      <c r="J561" t="str">
        <f t="array" aca="1" ref="J561" ca="1">IFERROR(IF(OR(INDEX(checklistPesertaKemenkeu!$N$6:$N$1005,SMALL(IF(checklistPesertaKemenkeu!$AY$6:$AY$1005="Direkomendasikan",ROW($6:$1005)-5),560))="",INDEX(checklistPesertaKemenkeu!$J$6:$J$1005,SMALL(IF(checklistPesertaKemenkeu!$AY$6:$AY$1005="Direkomendasikan",ROW($6:$1005)-5),560))=""),"",IF(AND(COUNTIF(INDIRECT("K_"&amp;MATCH(INDEX(checklistPesertaKemenkeu!$J$6:$J$1005,SMALL(IF(checklistPesertaKemenkeu!$AY$6:$AY$1005="Direkomendasikan",ROW($6:$1005)-5),560)),BidangList,0)),INDEX(checklistPesertaKemenkeu!$N$6:$N$1005,SMALL(IF(checklistPesertaKemenkeu!$AY$6:$AY$1005="Direkomendasikan",ROW($6:$1005)-5),560)))&gt;0,COUNTIF(INDIRECT("'KERTAS KERJA'!K"&amp;(SMALL(IF(checklistPesertaKemenkeu!$AY$6:$AY$1005="Direkomendasikan",ROW($6:$1005)-5),560)+5)&amp;":O"&amp;(SMALL(IF(checklistPesertaKemenkeu!$AY$6:$AY$1005="Direkomendasikan",ROW($6:$1005)-5),560)+5)),INDEX(checklistPesertaKemenkeu!$N$6:$N$1005,SMALL(IF(checklistPesertaKemenkeu!$AY$6:$AY$1005="Direkomendasikan",ROW($6:$1005)-5),560)))=1),IFERROR(VLOOKUP(INDEX(checklistPesertaKemenkeu!$N$6:$N$1005,SMALL(IF(checklistPesertaKemenkeu!$AY$6:$AY$1005="Direkomendasikan",ROW($6:$1005)-5),560)),KotaKode,2,0),"-"),"")),"")</f>
        <v/>
      </c>
      <c r="K561" t="str">
        <f t="array" aca="1" ref="K561" ca="1">IFERROR(IF(OR(INDEX(checklistPesertaKemenkeu!$O$6:$O$1005,SMALL(IF(checklistPesertaKemenkeu!$AY$6:$AY$1005="Direkomendasikan",ROW($6:$1005)-5),560))="",INDEX(checklistPesertaKemenkeu!$J$6:$J$1005,SMALL(IF(checklistPesertaKemenkeu!$AY$6:$AY$1005="Direkomendasikan",ROW($6:$1005)-5),560))=""),"",IF(AND(COUNTIF(INDIRECT("K_"&amp;MATCH(INDEX(checklistPesertaKemenkeu!$J$6:$J$1005,SMALL(IF(checklistPesertaKemenkeu!$AY$6:$AY$1005="Direkomendasikan",ROW($6:$1005)-5),560)),BidangList,0)),INDEX(checklistPesertaKemenkeu!$O$6:$O$1005,SMALL(IF(checklistPesertaKemenkeu!$AY$6:$AY$1005="Direkomendasikan",ROW($6:$1005)-5),560)))&gt;0,COUNTIF(INDIRECT("'KERTAS KERJA'!K"&amp;(SMALL(IF(checklistPesertaKemenkeu!$AY$6:$AY$1005="Direkomendasikan",ROW($6:$1005)-5),560)+5)&amp;":O"&amp;(SMALL(IF(checklistPesertaKemenkeu!$AY$6:$AY$1005="Direkomendasikan",ROW($6:$1005)-5),560)+5)),INDEX(checklistPesertaKemenkeu!$O$6:$O$1005,SMALL(IF(checklistPesertaKemenkeu!$AY$6:$AY$1005="Direkomendasikan",ROW($6:$1005)-5),560)))=1),IFERROR(VLOOKUP(INDEX(checklistPesertaKemenkeu!$O$6:$O$1005,SMALL(IF(checklistPesertaKemenkeu!$AY$6:$AY$1005="Direkomendasikan",ROW($6:$1005)-5),560)),KotaKode,2,0),"-"),"")),"")</f>
        <v/>
      </c>
      <c r="L561" t="str">
        <f t="array" aca="1" ref="L561" ca="1">IFERROR(IF(OR(INDEX(checklistPesertaKemenkeu!$P$6:$P$1005,SMALL(IF(checklistPesertaKemenkeu!$AY$6:$AY$1005="Direkomendasikan",ROW($6:$1005)-5),560))="",INDEX(checklistPesertaKemenkeu!$J$6:$J$1005,SMALL(IF(checklistPesertaKemenkeu!$AY$6:$AY$1005="Direkomendasikan",ROW($6:$1005)-5),560))=""),"",IF(AND(COUNTIF(INDIRECT("K_"&amp;MATCH(INDEX(checklistPesertaKemenkeu!$J$6:$J$1005,SMALL(IF(checklistPesertaKemenkeu!$AY$6:$AY$1005="Direkomendasikan",ROW($6:$1005)-5),560)),BidangList,0)),INDEX(checklistPesertaKemenkeu!$P$6:$P$1005,SMALL(IF(checklistPesertaKemenkeu!$AY$6:$AY$1005="Direkomendasikan",ROW($6:$1005)-5),560)))&gt;0,COUNTIF(INDIRECT("'KERTAS KERJA'!K"&amp;(SMALL(IF(checklistPesertaKemenkeu!$AY$6:$AY$1005="Direkomendasikan",ROW($6:$1005)-5),560)+5)&amp;":O"&amp;(SMALL(IF(checklistPesertaKemenkeu!$AY$6:$AY$1005="Direkomendasikan",ROW($6:$1005)-5),560)+5)),INDEX(checklistPesertaKemenkeu!$P$6:$P$1005,SMALL(IF(checklistPesertaKemenkeu!$AY$6:$AY$1005="Direkomendasikan",ROW($6:$1005)-5),560)))=1),IFERROR(VLOOKUP(INDEX(checklistPesertaKemenkeu!$P$6:$P$1005,SMALL(IF(checklistPesertaKemenkeu!$AY$6:$AY$1005="Direkomendasikan",ROW($6:$1005)-5),560)),KotaKode,2,0),"-"),"")),"")</f>
        <v/>
      </c>
    </row>
    <row r="562" spans="1:12" ht="15" customHeight="1" x14ac:dyDescent="0.2">
      <c r="A562" t="str">
        <f t="shared" si="8"/>
        <v/>
      </c>
      <c r="B562" t="str">
        <v/>
      </c>
      <c r="C562" s="40" t="str">
        <f t="array" ref="C562">IFERROR(INDEX(checklistPesertaKemenkeu!$F$6:$F$1005,SMALL(IF(checklistPesertaKemenkeu!$AY$6:$AY$1005="Direkomendasikan",ROW($6:$1005)-5),561)),"")</f>
        <v/>
      </c>
      <c r="D562" t="str">
        <f t="array" ref="D562">IFERROR(INDEX(checklistPesertaKemenkeu!$G$6:$G$1005,SMALL(IF(checklistPesertaKemenkeu!$AY$6:$AY$1005="Direkomendasikan",ROW($6:$1005)-5),561)),"")</f>
        <v/>
      </c>
      <c r="E562" t="str">
        <f t="array" ref="E562">IFERROR(INDEX(checklistPesertaKemenkeu!$H$6:$H$1005,SMALL(IF(checklistPesertaKemenkeu!$AY$6:$AY$1005="Direkomendasikan",ROW($6:$1005)-5),561)),"")</f>
        <v/>
      </c>
      <c r="F562" t="str">
        <f t="array" ref="F562">IFERROR(INDEX(checklistPesertaKemenkeu!$I$6:$I$1005,SMALL(IF(checklistPesertaKemenkeu!$AY$6:$AY$1005="Direkomendasikan",ROW($6:$1005)-5),561)),"")</f>
        <v/>
      </c>
      <c r="G562" t="str">
        <f t="array" ref="G562">IFERROR(INDEX(checklistPesertaKemenkeu!$J$6:$J$1005,SMALL(IF(checklistPesertaKemenkeu!$AY$6:$AY$1005="Direkomendasikan",ROW($6:$1005)-5),561)),"")</f>
        <v/>
      </c>
      <c r="H562" t="str">
        <f t="array" aca="1" ref="H562" ca="1">IFERROR(IF(OR(INDEX(checklistPesertaKemenkeu!$L$6:$L$1005,SMALL(IF(checklistPesertaKemenkeu!$AY$6:$AY$1005="Direkomendasikan",ROW($6:$1005)-5),561))="",INDEX(checklistPesertaKemenkeu!$J$6:$J$1005,SMALL(IF(checklistPesertaKemenkeu!$AY$6:$AY$1005="Direkomendasikan",ROW($6:$1005)-5),561))=""),"",IF(AND(COUNTIF(INDIRECT("K_"&amp;MATCH(INDEX(checklistPesertaKemenkeu!$J$6:$J$1005,SMALL(IF(checklistPesertaKemenkeu!$AY$6:$AY$1005="Direkomendasikan",ROW($6:$1005)-5),561)),BidangList,0)),INDEX(checklistPesertaKemenkeu!$L$6:$L$1005,SMALL(IF(checklistPesertaKemenkeu!$AY$6:$AY$1005="Direkomendasikan",ROW($6:$1005)-5),561)))&gt;0,COUNTIF(INDIRECT("'KERTAS KERJA'!K"&amp;(SMALL(IF(checklistPesertaKemenkeu!$AY$6:$AY$1005="Direkomendasikan",ROW($6:$1005)-5),561)+5)&amp;":O"&amp;(SMALL(IF(checklistPesertaKemenkeu!$AY$6:$AY$1005="Direkomendasikan",ROW($6:$1005)-5),561)+5)),INDEX(checklistPesertaKemenkeu!$L$6:$L$1005,SMALL(IF(checklistPesertaKemenkeu!$AY$6:$AY$1005="Direkomendasikan",ROW($6:$1005)-5),561)))=1),IFERROR(VLOOKUP(INDEX(checklistPesertaKemenkeu!$L$6:$L$1005,SMALL(IF(checklistPesertaKemenkeu!$AY$6:$AY$1005="Direkomendasikan",ROW($6:$1005)-5),561)),KotaKode,2,0),"-"),"")),"")</f>
        <v/>
      </c>
      <c r="I562" t="str">
        <f t="array" aca="1" ref="I562" ca="1">IFERROR(IF(OR(INDEX(checklistPesertaKemenkeu!$M$6:$M$1005,SMALL(IF(checklistPesertaKemenkeu!$AY$6:$AY$1005="Direkomendasikan",ROW($6:$1005)-5),561))="",INDEX(checklistPesertaKemenkeu!$J$6:$J$1005,SMALL(IF(checklistPesertaKemenkeu!$AY$6:$AY$1005="Direkomendasikan",ROW($6:$1005)-5),561))=""),"",IF(AND(COUNTIF(INDIRECT("K_"&amp;MATCH(INDEX(checklistPesertaKemenkeu!$J$6:$J$1005,SMALL(IF(checklistPesertaKemenkeu!$AY$6:$AY$1005="Direkomendasikan",ROW($6:$1005)-5),561)),BidangList,0)),INDEX(checklistPesertaKemenkeu!$M$6:$M$1005,SMALL(IF(checklistPesertaKemenkeu!$AY$6:$AY$1005="Direkomendasikan",ROW($6:$1005)-5),561)))&gt;0,COUNTIF(INDIRECT("'KERTAS KERJA'!K"&amp;(SMALL(IF(checklistPesertaKemenkeu!$AY$6:$AY$1005="Direkomendasikan",ROW($6:$1005)-5),561)+5)&amp;":O"&amp;(SMALL(IF(checklistPesertaKemenkeu!$AY$6:$AY$1005="Direkomendasikan",ROW($6:$1005)-5),561)+5)),INDEX(checklistPesertaKemenkeu!$M$6:$M$1005,SMALL(IF(checklistPesertaKemenkeu!$AY$6:$AY$1005="Direkomendasikan",ROW($6:$1005)-5),561)))=1),IFERROR(VLOOKUP(INDEX(checklistPesertaKemenkeu!$M$6:$M$1005,SMALL(IF(checklistPesertaKemenkeu!$AY$6:$AY$1005="Direkomendasikan",ROW($6:$1005)-5),561)),KotaKode,2,0),"-"),"")),"")</f>
        <v/>
      </c>
      <c r="J562" t="str">
        <f t="array" aca="1" ref="J562" ca="1">IFERROR(IF(OR(INDEX(checklistPesertaKemenkeu!$N$6:$N$1005,SMALL(IF(checklistPesertaKemenkeu!$AY$6:$AY$1005="Direkomendasikan",ROW($6:$1005)-5),561))="",INDEX(checklistPesertaKemenkeu!$J$6:$J$1005,SMALL(IF(checklistPesertaKemenkeu!$AY$6:$AY$1005="Direkomendasikan",ROW($6:$1005)-5),561))=""),"",IF(AND(COUNTIF(INDIRECT("K_"&amp;MATCH(INDEX(checklistPesertaKemenkeu!$J$6:$J$1005,SMALL(IF(checklistPesertaKemenkeu!$AY$6:$AY$1005="Direkomendasikan",ROW($6:$1005)-5),561)),BidangList,0)),INDEX(checklistPesertaKemenkeu!$N$6:$N$1005,SMALL(IF(checklistPesertaKemenkeu!$AY$6:$AY$1005="Direkomendasikan",ROW($6:$1005)-5),561)))&gt;0,COUNTIF(INDIRECT("'KERTAS KERJA'!K"&amp;(SMALL(IF(checklistPesertaKemenkeu!$AY$6:$AY$1005="Direkomendasikan",ROW($6:$1005)-5),561)+5)&amp;":O"&amp;(SMALL(IF(checklistPesertaKemenkeu!$AY$6:$AY$1005="Direkomendasikan",ROW($6:$1005)-5),561)+5)),INDEX(checklistPesertaKemenkeu!$N$6:$N$1005,SMALL(IF(checklistPesertaKemenkeu!$AY$6:$AY$1005="Direkomendasikan",ROW($6:$1005)-5),561)))=1),IFERROR(VLOOKUP(INDEX(checklistPesertaKemenkeu!$N$6:$N$1005,SMALL(IF(checklistPesertaKemenkeu!$AY$6:$AY$1005="Direkomendasikan",ROW($6:$1005)-5),561)),KotaKode,2,0),"-"),"")),"")</f>
        <v/>
      </c>
      <c r="K562" t="str">
        <f t="array" aca="1" ref="K562" ca="1">IFERROR(IF(OR(INDEX(checklistPesertaKemenkeu!$O$6:$O$1005,SMALL(IF(checklistPesertaKemenkeu!$AY$6:$AY$1005="Direkomendasikan",ROW($6:$1005)-5),561))="",INDEX(checklistPesertaKemenkeu!$J$6:$J$1005,SMALL(IF(checklistPesertaKemenkeu!$AY$6:$AY$1005="Direkomendasikan",ROW($6:$1005)-5),561))=""),"",IF(AND(COUNTIF(INDIRECT("K_"&amp;MATCH(INDEX(checklistPesertaKemenkeu!$J$6:$J$1005,SMALL(IF(checklistPesertaKemenkeu!$AY$6:$AY$1005="Direkomendasikan",ROW($6:$1005)-5),561)),BidangList,0)),INDEX(checklistPesertaKemenkeu!$O$6:$O$1005,SMALL(IF(checklistPesertaKemenkeu!$AY$6:$AY$1005="Direkomendasikan",ROW($6:$1005)-5),561)))&gt;0,COUNTIF(INDIRECT("'KERTAS KERJA'!K"&amp;(SMALL(IF(checklistPesertaKemenkeu!$AY$6:$AY$1005="Direkomendasikan",ROW($6:$1005)-5),561)+5)&amp;":O"&amp;(SMALL(IF(checklistPesertaKemenkeu!$AY$6:$AY$1005="Direkomendasikan",ROW($6:$1005)-5),561)+5)),INDEX(checklistPesertaKemenkeu!$O$6:$O$1005,SMALL(IF(checklistPesertaKemenkeu!$AY$6:$AY$1005="Direkomendasikan",ROW($6:$1005)-5),561)))=1),IFERROR(VLOOKUP(INDEX(checklistPesertaKemenkeu!$O$6:$O$1005,SMALL(IF(checklistPesertaKemenkeu!$AY$6:$AY$1005="Direkomendasikan",ROW($6:$1005)-5),561)),KotaKode,2,0),"-"),"")),"")</f>
        <v/>
      </c>
      <c r="L562" t="str">
        <f t="array" aca="1" ref="L562" ca="1">IFERROR(IF(OR(INDEX(checklistPesertaKemenkeu!$P$6:$P$1005,SMALL(IF(checklistPesertaKemenkeu!$AY$6:$AY$1005="Direkomendasikan",ROW($6:$1005)-5),561))="",INDEX(checklistPesertaKemenkeu!$J$6:$J$1005,SMALL(IF(checklistPesertaKemenkeu!$AY$6:$AY$1005="Direkomendasikan",ROW($6:$1005)-5),561))=""),"",IF(AND(COUNTIF(INDIRECT("K_"&amp;MATCH(INDEX(checklistPesertaKemenkeu!$J$6:$J$1005,SMALL(IF(checklistPesertaKemenkeu!$AY$6:$AY$1005="Direkomendasikan",ROW($6:$1005)-5),561)),BidangList,0)),INDEX(checklistPesertaKemenkeu!$P$6:$P$1005,SMALL(IF(checklistPesertaKemenkeu!$AY$6:$AY$1005="Direkomendasikan",ROW($6:$1005)-5),561)))&gt;0,COUNTIF(INDIRECT("'KERTAS KERJA'!K"&amp;(SMALL(IF(checklistPesertaKemenkeu!$AY$6:$AY$1005="Direkomendasikan",ROW($6:$1005)-5),561)+5)&amp;":O"&amp;(SMALL(IF(checklistPesertaKemenkeu!$AY$6:$AY$1005="Direkomendasikan",ROW($6:$1005)-5),561)+5)),INDEX(checklistPesertaKemenkeu!$P$6:$P$1005,SMALL(IF(checklistPesertaKemenkeu!$AY$6:$AY$1005="Direkomendasikan",ROW($6:$1005)-5),561)))=1),IFERROR(VLOOKUP(INDEX(checklistPesertaKemenkeu!$P$6:$P$1005,SMALL(IF(checklistPesertaKemenkeu!$AY$6:$AY$1005="Direkomendasikan",ROW($6:$1005)-5),561)),KotaKode,2,0),"-"),"")),"")</f>
        <v/>
      </c>
    </row>
    <row r="563" spans="1:12" ht="15" customHeight="1" x14ac:dyDescent="0.2">
      <c r="A563" t="str">
        <f t="shared" si="8"/>
        <v/>
      </c>
      <c r="B563" t="str">
        <v/>
      </c>
      <c r="C563" s="40" t="str">
        <f t="array" ref="C563">IFERROR(INDEX(checklistPesertaKemenkeu!$F$6:$F$1005,SMALL(IF(checklistPesertaKemenkeu!$AY$6:$AY$1005="Direkomendasikan",ROW($6:$1005)-5),562)),"")</f>
        <v/>
      </c>
      <c r="D563" t="str">
        <f t="array" ref="D563">IFERROR(INDEX(checklistPesertaKemenkeu!$G$6:$G$1005,SMALL(IF(checklistPesertaKemenkeu!$AY$6:$AY$1005="Direkomendasikan",ROW($6:$1005)-5),562)),"")</f>
        <v/>
      </c>
      <c r="E563" t="str">
        <f t="array" ref="E563">IFERROR(INDEX(checklistPesertaKemenkeu!$H$6:$H$1005,SMALL(IF(checklistPesertaKemenkeu!$AY$6:$AY$1005="Direkomendasikan",ROW($6:$1005)-5),562)),"")</f>
        <v/>
      </c>
      <c r="F563" t="str">
        <f t="array" ref="F563">IFERROR(INDEX(checklistPesertaKemenkeu!$I$6:$I$1005,SMALL(IF(checklistPesertaKemenkeu!$AY$6:$AY$1005="Direkomendasikan",ROW($6:$1005)-5),562)),"")</f>
        <v/>
      </c>
      <c r="G563" t="str">
        <f t="array" ref="G563">IFERROR(INDEX(checklistPesertaKemenkeu!$J$6:$J$1005,SMALL(IF(checklistPesertaKemenkeu!$AY$6:$AY$1005="Direkomendasikan",ROW($6:$1005)-5),562)),"")</f>
        <v/>
      </c>
      <c r="H563" t="str">
        <f t="array" aca="1" ref="H563" ca="1">IFERROR(IF(OR(INDEX(checklistPesertaKemenkeu!$L$6:$L$1005,SMALL(IF(checklistPesertaKemenkeu!$AY$6:$AY$1005="Direkomendasikan",ROW($6:$1005)-5),562))="",INDEX(checklistPesertaKemenkeu!$J$6:$J$1005,SMALL(IF(checklistPesertaKemenkeu!$AY$6:$AY$1005="Direkomendasikan",ROW($6:$1005)-5),562))=""),"",IF(AND(COUNTIF(INDIRECT("K_"&amp;MATCH(INDEX(checklistPesertaKemenkeu!$J$6:$J$1005,SMALL(IF(checklistPesertaKemenkeu!$AY$6:$AY$1005="Direkomendasikan",ROW($6:$1005)-5),562)),BidangList,0)),INDEX(checklistPesertaKemenkeu!$L$6:$L$1005,SMALL(IF(checklistPesertaKemenkeu!$AY$6:$AY$1005="Direkomendasikan",ROW($6:$1005)-5),562)))&gt;0,COUNTIF(INDIRECT("'KERTAS KERJA'!K"&amp;(SMALL(IF(checklistPesertaKemenkeu!$AY$6:$AY$1005="Direkomendasikan",ROW($6:$1005)-5),562)+5)&amp;":O"&amp;(SMALL(IF(checklistPesertaKemenkeu!$AY$6:$AY$1005="Direkomendasikan",ROW($6:$1005)-5),562)+5)),INDEX(checklistPesertaKemenkeu!$L$6:$L$1005,SMALL(IF(checklistPesertaKemenkeu!$AY$6:$AY$1005="Direkomendasikan",ROW($6:$1005)-5),562)))=1),IFERROR(VLOOKUP(INDEX(checklistPesertaKemenkeu!$L$6:$L$1005,SMALL(IF(checklistPesertaKemenkeu!$AY$6:$AY$1005="Direkomendasikan",ROW($6:$1005)-5),562)),KotaKode,2,0),"-"),"")),"")</f>
        <v/>
      </c>
      <c r="I563" t="str">
        <f t="array" aca="1" ref="I563" ca="1">IFERROR(IF(OR(INDEX(checklistPesertaKemenkeu!$M$6:$M$1005,SMALL(IF(checklistPesertaKemenkeu!$AY$6:$AY$1005="Direkomendasikan",ROW($6:$1005)-5),562))="",INDEX(checklistPesertaKemenkeu!$J$6:$J$1005,SMALL(IF(checklistPesertaKemenkeu!$AY$6:$AY$1005="Direkomendasikan",ROW($6:$1005)-5),562))=""),"",IF(AND(COUNTIF(INDIRECT("K_"&amp;MATCH(INDEX(checklistPesertaKemenkeu!$J$6:$J$1005,SMALL(IF(checklistPesertaKemenkeu!$AY$6:$AY$1005="Direkomendasikan",ROW($6:$1005)-5),562)),BidangList,0)),INDEX(checklistPesertaKemenkeu!$M$6:$M$1005,SMALL(IF(checklistPesertaKemenkeu!$AY$6:$AY$1005="Direkomendasikan",ROW($6:$1005)-5),562)))&gt;0,COUNTIF(INDIRECT("'KERTAS KERJA'!K"&amp;(SMALL(IF(checklistPesertaKemenkeu!$AY$6:$AY$1005="Direkomendasikan",ROW($6:$1005)-5),562)+5)&amp;":O"&amp;(SMALL(IF(checklistPesertaKemenkeu!$AY$6:$AY$1005="Direkomendasikan",ROW($6:$1005)-5),562)+5)),INDEX(checklistPesertaKemenkeu!$M$6:$M$1005,SMALL(IF(checklistPesertaKemenkeu!$AY$6:$AY$1005="Direkomendasikan",ROW($6:$1005)-5),562)))=1),IFERROR(VLOOKUP(INDEX(checklistPesertaKemenkeu!$M$6:$M$1005,SMALL(IF(checklistPesertaKemenkeu!$AY$6:$AY$1005="Direkomendasikan",ROW($6:$1005)-5),562)),KotaKode,2,0),"-"),"")),"")</f>
        <v/>
      </c>
      <c r="J563" t="str">
        <f t="array" aca="1" ref="J563" ca="1">IFERROR(IF(OR(INDEX(checklistPesertaKemenkeu!$N$6:$N$1005,SMALL(IF(checklistPesertaKemenkeu!$AY$6:$AY$1005="Direkomendasikan",ROW($6:$1005)-5),562))="",INDEX(checklistPesertaKemenkeu!$J$6:$J$1005,SMALL(IF(checklistPesertaKemenkeu!$AY$6:$AY$1005="Direkomendasikan",ROW($6:$1005)-5),562))=""),"",IF(AND(COUNTIF(INDIRECT("K_"&amp;MATCH(INDEX(checklistPesertaKemenkeu!$J$6:$J$1005,SMALL(IF(checklistPesertaKemenkeu!$AY$6:$AY$1005="Direkomendasikan",ROW($6:$1005)-5),562)),BidangList,0)),INDEX(checklistPesertaKemenkeu!$N$6:$N$1005,SMALL(IF(checklistPesertaKemenkeu!$AY$6:$AY$1005="Direkomendasikan",ROW($6:$1005)-5),562)))&gt;0,COUNTIF(INDIRECT("'KERTAS KERJA'!K"&amp;(SMALL(IF(checklistPesertaKemenkeu!$AY$6:$AY$1005="Direkomendasikan",ROW($6:$1005)-5),562)+5)&amp;":O"&amp;(SMALL(IF(checklistPesertaKemenkeu!$AY$6:$AY$1005="Direkomendasikan",ROW($6:$1005)-5),562)+5)),INDEX(checklistPesertaKemenkeu!$N$6:$N$1005,SMALL(IF(checklistPesertaKemenkeu!$AY$6:$AY$1005="Direkomendasikan",ROW($6:$1005)-5),562)))=1),IFERROR(VLOOKUP(INDEX(checklistPesertaKemenkeu!$N$6:$N$1005,SMALL(IF(checklistPesertaKemenkeu!$AY$6:$AY$1005="Direkomendasikan",ROW($6:$1005)-5),562)),KotaKode,2,0),"-"),"")),"")</f>
        <v/>
      </c>
      <c r="K563" t="str">
        <f t="array" aca="1" ref="K563" ca="1">IFERROR(IF(OR(INDEX(checklistPesertaKemenkeu!$O$6:$O$1005,SMALL(IF(checklistPesertaKemenkeu!$AY$6:$AY$1005="Direkomendasikan",ROW($6:$1005)-5),562))="",INDEX(checklistPesertaKemenkeu!$J$6:$J$1005,SMALL(IF(checklistPesertaKemenkeu!$AY$6:$AY$1005="Direkomendasikan",ROW($6:$1005)-5),562))=""),"",IF(AND(COUNTIF(INDIRECT("K_"&amp;MATCH(INDEX(checklistPesertaKemenkeu!$J$6:$J$1005,SMALL(IF(checklistPesertaKemenkeu!$AY$6:$AY$1005="Direkomendasikan",ROW($6:$1005)-5),562)),BidangList,0)),INDEX(checklistPesertaKemenkeu!$O$6:$O$1005,SMALL(IF(checklistPesertaKemenkeu!$AY$6:$AY$1005="Direkomendasikan",ROW($6:$1005)-5),562)))&gt;0,COUNTIF(INDIRECT("'KERTAS KERJA'!K"&amp;(SMALL(IF(checklistPesertaKemenkeu!$AY$6:$AY$1005="Direkomendasikan",ROW($6:$1005)-5),562)+5)&amp;":O"&amp;(SMALL(IF(checklistPesertaKemenkeu!$AY$6:$AY$1005="Direkomendasikan",ROW($6:$1005)-5),562)+5)),INDEX(checklistPesertaKemenkeu!$O$6:$O$1005,SMALL(IF(checklistPesertaKemenkeu!$AY$6:$AY$1005="Direkomendasikan",ROW($6:$1005)-5),562)))=1),IFERROR(VLOOKUP(INDEX(checklistPesertaKemenkeu!$O$6:$O$1005,SMALL(IF(checklistPesertaKemenkeu!$AY$6:$AY$1005="Direkomendasikan",ROW($6:$1005)-5),562)),KotaKode,2,0),"-"),"")),"")</f>
        <v/>
      </c>
      <c r="L563" t="str">
        <f t="array" aca="1" ref="L563" ca="1">IFERROR(IF(OR(INDEX(checklistPesertaKemenkeu!$P$6:$P$1005,SMALL(IF(checklistPesertaKemenkeu!$AY$6:$AY$1005="Direkomendasikan",ROW($6:$1005)-5),562))="",INDEX(checklistPesertaKemenkeu!$J$6:$J$1005,SMALL(IF(checklistPesertaKemenkeu!$AY$6:$AY$1005="Direkomendasikan",ROW($6:$1005)-5),562))=""),"",IF(AND(COUNTIF(INDIRECT("K_"&amp;MATCH(INDEX(checklistPesertaKemenkeu!$J$6:$J$1005,SMALL(IF(checklistPesertaKemenkeu!$AY$6:$AY$1005="Direkomendasikan",ROW($6:$1005)-5),562)),BidangList,0)),INDEX(checklistPesertaKemenkeu!$P$6:$P$1005,SMALL(IF(checklistPesertaKemenkeu!$AY$6:$AY$1005="Direkomendasikan",ROW($6:$1005)-5),562)))&gt;0,COUNTIF(INDIRECT("'KERTAS KERJA'!K"&amp;(SMALL(IF(checklistPesertaKemenkeu!$AY$6:$AY$1005="Direkomendasikan",ROW($6:$1005)-5),562)+5)&amp;":O"&amp;(SMALL(IF(checklistPesertaKemenkeu!$AY$6:$AY$1005="Direkomendasikan",ROW($6:$1005)-5),562)+5)),INDEX(checklistPesertaKemenkeu!$P$6:$P$1005,SMALL(IF(checklistPesertaKemenkeu!$AY$6:$AY$1005="Direkomendasikan",ROW($6:$1005)-5),562)))=1),IFERROR(VLOOKUP(INDEX(checklistPesertaKemenkeu!$P$6:$P$1005,SMALL(IF(checklistPesertaKemenkeu!$AY$6:$AY$1005="Direkomendasikan",ROW($6:$1005)-5),562)),KotaKode,2,0),"-"),"")),"")</f>
        <v/>
      </c>
    </row>
    <row r="564" spans="1:12" ht="15" customHeight="1" x14ac:dyDescent="0.2">
      <c r="A564" t="str">
        <f t="shared" si="8"/>
        <v/>
      </c>
      <c r="B564" t="str">
        <v/>
      </c>
      <c r="C564" s="40" t="str">
        <f t="array" ref="C564">IFERROR(INDEX(checklistPesertaKemenkeu!$F$6:$F$1005,SMALL(IF(checklistPesertaKemenkeu!$AY$6:$AY$1005="Direkomendasikan",ROW($6:$1005)-5),563)),"")</f>
        <v/>
      </c>
      <c r="D564" t="str">
        <f t="array" ref="D564">IFERROR(INDEX(checklistPesertaKemenkeu!$G$6:$G$1005,SMALL(IF(checklistPesertaKemenkeu!$AY$6:$AY$1005="Direkomendasikan",ROW($6:$1005)-5),563)),"")</f>
        <v/>
      </c>
      <c r="E564" t="str">
        <f t="array" ref="E564">IFERROR(INDEX(checklistPesertaKemenkeu!$H$6:$H$1005,SMALL(IF(checklistPesertaKemenkeu!$AY$6:$AY$1005="Direkomendasikan",ROW($6:$1005)-5),563)),"")</f>
        <v/>
      </c>
      <c r="F564" t="str">
        <f t="array" ref="F564">IFERROR(INDEX(checklistPesertaKemenkeu!$I$6:$I$1005,SMALL(IF(checklistPesertaKemenkeu!$AY$6:$AY$1005="Direkomendasikan",ROW($6:$1005)-5),563)),"")</f>
        <v/>
      </c>
      <c r="G564" t="str">
        <f t="array" ref="G564">IFERROR(INDEX(checklistPesertaKemenkeu!$J$6:$J$1005,SMALL(IF(checklistPesertaKemenkeu!$AY$6:$AY$1005="Direkomendasikan",ROW($6:$1005)-5),563)),"")</f>
        <v/>
      </c>
      <c r="H564" t="str">
        <f t="array" aca="1" ref="H564" ca="1">IFERROR(IF(OR(INDEX(checklistPesertaKemenkeu!$L$6:$L$1005,SMALL(IF(checklistPesertaKemenkeu!$AY$6:$AY$1005="Direkomendasikan",ROW($6:$1005)-5),563))="",INDEX(checklistPesertaKemenkeu!$J$6:$J$1005,SMALL(IF(checklistPesertaKemenkeu!$AY$6:$AY$1005="Direkomendasikan",ROW($6:$1005)-5),563))=""),"",IF(AND(COUNTIF(INDIRECT("K_"&amp;MATCH(INDEX(checklistPesertaKemenkeu!$J$6:$J$1005,SMALL(IF(checklistPesertaKemenkeu!$AY$6:$AY$1005="Direkomendasikan",ROW($6:$1005)-5),563)),BidangList,0)),INDEX(checklistPesertaKemenkeu!$L$6:$L$1005,SMALL(IF(checklistPesertaKemenkeu!$AY$6:$AY$1005="Direkomendasikan",ROW($6:$1005)-5),563)))&gt;0,COUNTIF(INDIRECT("'KERTAS KERJA'!K"&amp;(SMALL(IF(checklistPesertaKemenkeu!$AY$6:$AY$1005="Direkomendasikan",ROW($6:$1005)-5),563)+5)&amp;":O"&amp;(SMALL(IF(checklistPesertaKemenkeu!$AY$6:$AY$1005="Direkomendasikan",ROW($6:$1005)-5),563)+5)),INDEX(checklistPesertaKemenkeu!$L$6:$L$1005,SMALL(IF(checklistPesertaKemenkeu!$AY$6:$AY$1005="Direkomendasikan",ROW($6:$1005)-5),563)))=1),IFERROR(VLOOKUP(INDEX(checklistPesertaKemenkeu!$L$6:$L$1005,SMALL(IF(checklistPesertaKemenkeu!$AY$6:$AY$1005="Direkomendasikan",ROW($6:$1005)-5),563)),KotaKode,2,0),"-"),"")),"")</f>
        <v/>
      </c>
      <c r="I564" t="str">
        <f t="array" aca="1" ref="I564" ca="1">IFERROR(IF(OR(INDEX(checklistPesertaKemenkeu!$M$6:$M$1005,SMALL(IF(checklistPesertaKemenkeu!$AY$6:$AY$1005="Direkomendasikan",ROW($6:$1005)-5),563))="",INDEX(checklistPesertaKemenkeu!$J$6:$J$1005,SMALL(IF(checklistPesertaKemenkeu!$AY$6:$AY$1005="Direkomendasikan",ROW($6:$1005)-5),563))=""),"",IF(AND(COUNTIF(INDIRECT("K_"&amp;MATCH(INDEX(checklistPesertaKemenkeu!$J$6:$J$1005,SMALL(IF(checklistPesertaKemenkeu!$AY$6:$AY$1005="Direkomendasikan",ROW($6:$1005)-5),563)),BidangList,0)),INDEX(checklistPesertaKemenkeu!$M$6:$M$1005,SMALL(IF(checklistPesertaKemenkeu!$AY$6:$AY$1005="Direkomendasikan",ROW($6:$1005)-5),563)))&gt;0,COUNTIF(INDIRECT("'KERTAS KERJA'!K"&amp;(SMALL(IF(checklistPesertaKemenkeu!$AY$6:$AY$1005="Direkomendasikan",ROW($6:$1005)-5),563)+5)&amp;":O"&amp;(SMALL(IF(checklistPesertaKemenkeu!$AY$6:$AY$1005="Direkomendasikan",ROW($6:$1005)-5),563)+5)),INDEX(checklistPesertaKemenkeu!$M$6:$M$1005,SMALL(IF(checklistPesertaKemenkeu!$AY$6:$AY$1005="Direkomendasikan",ROW($6:$1005)-5),563)))=1),IFERROR(VLOOKUP(INDEX(checklistPesertaKemenkeu!$M$6:$M$1005,SMALL(IF(checklistPesertaKemenkeu!$AY$6:$AY$1005="Direkomendasikan",ROW($6:$1005)-5),563)),KotaKode,2,0),"-"),"")),"")</f>
        <v/>
      </c>
      <c r="J564" t="str">
        <f t="array" aca="1" ref="J564" ca="1">IFERROR(IF(OR(INDEX(checklistPesertaKemenkeu!$N$6:$N$1005,SMALL(IF(checklistPesertaKemenkeu!$AY$6:$AY$1005="Direkomendasikan",ROW($6:$1005)-5),563))="",INDEX(checklistPesertaKemenkeu!$J$6:$J$1005,SMALL(IF(checklistPesertaKemenkeu!$AY$6:$AY$1005="Direkomendasikan",ROW($6:$1005)-5),563))=""),"",IF(AND(COUNTIF(INDIRECT("K_"&amp;MATCH(INDEX(checklistPesertaKemenkeu!$J$6:$J$1005,SMALL(IF(checklistPesertaKemenkeu!$AY$6:$AY$1005="Direkomendasikan",ROW($6:$1005)-5),563)),BidangList,0)),INDEX(checklistPesertaKemenkeu!$N$6:$N$1005,SMALL(IF(checklistPesertaKemenkeu!$AY$6:$AY$1005="Direkomendasikan",ROW($6:$1005)-5),563)))&gt;0,COUNTIF(INDIRECT("'KERTAS KERJA'!K"&amp;(SMALL(IF(checklistPesertaKemenkeu!$AY$6:$AY$1005="Direkomendasikan",ROW($6:$1005)-5),563)+5)&amp;":O"&amp;(SMALL(IF(checklistPesertaKemenkeu!$AY$6:$AY$1005="Direkomendasikan",ROW($6:$1005)-5),563)+5)),INDEX(checklistPesertaKemenkeu!$N$6:$N$1005,SMALL(IF(checklistPesertaKemenkeu!$AY$6:$AY$1005="Direkomendasikan",ROW($6:$1005)-5),563)))=1),IFERROR(VLOOKUP(INDEX(checklistPesertaKemenkeu!$N$6:$N$1005,SMALL(IF(checklistPesertaKemenkeu!$AY$6:$AY$1005="Direkomendasikan",ROW($6:$1005)-5),563)),KotaKode,2,0),"-"),"")),"")</f>
        <v/>
      </c>
      <c r="K564" t="str">
        <f t="array" aca="1" ref="K564" ca="1">IFERROR(IF(OR(INDEX(checklistPesertaKemenkeu!$O$6:$O$1005,SMALL(IF(checklistPesertaKemenkeu!$AY$6:$AY$1005="Direkomendasikan",ROW($6:$1005)-5),563))="",INDEX(checklistPesertaKemenkeu!$J$6:$J$1005,SMALL(IF(checklistPesertaKemenkeu!$AY$6:$AY$1005="Direkomendasikan",ROW($6:$1005)-5),563))=""),"",IF(AND(COUNTIF(INDIRECT("K_"&amp;MATCH(INDEX(checklistPesertaKemenkeu!$J$6:$J$1005,SMALL(IF(checklistPesertaKemenkeu!$AY$6:$AY$1005="Direkomendasikan",ROW($6:$1005)-5),563)),BidangList,0)),INDEX(checklistPesertaKemenkeu!$O$6:$O$1005,SMALL(IF(checklistPesertaKemenkeu!$AY$6:$AY$1005="Direkomendasikan",ROW($6:$1005)-5),563)))&gt;0,COUNTIF(INDIRECT("'KERTAS KERJA'!K"&amp;(SMALL(IF(checklistPesertaKemenkeu!$AY$6:$AY$1005="Direkomendasikan",ROW($6:$1005)-5),563)+5)&amp;":O"&amp;(SMALL(IF(checklistPesertaKemenkeu!$AY$6:$AY$1005="Direkomendasikan",ROW($6:$1005)-5),563)+5)),INDEX(checklistPesertaKemenkeu!$O$6:$O$1005,SMALL(IF(checklistPesertaKemenkeu!$AY$6:$AY$1005="Direkomendasikan",ROW($6:$1005)-5),563)))=1),IFERROR(VLOOKUP(INDEX(checklistPesertaKemenkeu!$O$6:$O$1005,SMALL(IF(checklistPesertaKemenkeu!$AY$6:$AY$1005="Direkomendasikan",ROW($6:$1005)-5),563)),KotaKode,2,0),"-"),"")),"")</f>
        <v/>
      </c>
      <c r="L564" t="str">
        <f t="array" aca="1" ref="L564" ca="1">IFERROR(IF(OR(INDEX(checklistPesertaKemenkeu!$P$6:$P$1005,SMALL(IF(checklistPesertaKemenkeu!$AY$6:$AY$1005="Direkomendasikan",ROW($6:$1005)-5),563))="",INDEX(checklistPesertaKemenkeu!$J$6:$J$1005,SMALL(IF(checklistPesertaKemenkeu!$AY$6:$AY$1005="Direkomendasikan",ROW($6:$1005)-5),563))=""),"",IF(AND(COUNTIF(INDIRECT("K_"&amp;MATCH(INDEX(checklistPesertaKemenkeu!$J$6:$J$1005,SMALL(IF(checklistPesertaKemenkeu!$AY$6:$AY$1005="Direkomendasikan",ROW($6:$1005)-5),563)),BidangList,0)),INDEX(checklistPesertaKemenkeu!$P$6:$P$1005,SMALL(IF(checklistPesertaKemenkeu!$AY$6:$AY$1005="Direkomendasikan",ROW($6:$1005)-5),563)))&gt;0,COUNTIF(INDIRECT("'KERTAS KERJA'!K"&amp;(SMALL(IF(checklistPesertaKemenkeu!$AY$6:$AY$1005="Direkomendasikan",ROW($6:$1005)-5),563)+5)&amp;":O"&amp;(SMALL(IF(checklistPesertaKemenkeu!$AY$6:$AY$1005="Direkomendasikan",ROW($6:$1005)-5),563)+5)),INDEX(checklistPesertaKemenkeu!$P$6:$P$1005,SMALL(IF(checklistPesertaKemenkeu!$AY$6:$AY$1005="Direkomendasikan",ROW($6:$1005)-5),563)))=1),IFERROR(VLOOKUP(INDEX(checklistPesertaKemenkeu!$P$6:$P$1005,SMALL(IF(checklistPesertaKemenkeu!$AY$6:$AY$1005="Direkomendasikan",ROW($6:$1005)-5),563)),KotaKode,2,0),"-"),"")),"")</f>
        <v/>
      </c>
    </row>
    <row r="565" spans="1:12" ht="15" customHeight="1" x14ac:dyDescent="0.2">
      <c r="A565" t="str">
        <f t="shared" si="8"/>
        <v/>
      </c>
      <c r="B565" t="str">
        <v/>
      </c>
      <c r="C565" s="40" t="str">
        <f t="array" ref="C565">IFERROR(INDEX(checklistPesertaKemenkeu!$F$6:$F$1005,SMALL(IF(checklistPesertaKemenkeu!$AY$6:$AY$1005="Direkomendasikan",ROW($6:$1005)-5),564)),"")</f>
        <v/>
      </c>
      <c r="D565" t="str">
        <f t="array" ref="D565">IFERROR(INDEX(checklistPesertaKemenkeu!$G$6:$G$1005,SMALL(IF(checklistPesertaKemenkeu!$AY$6:$AY$1005="Direkomendasikan",ROW($6:$1005)-5),564)),"")</f>
        <v/>
      </c>
      <c r="E565" t="str">
        <f t="array" ref="E565">IFERROR(INDEX(checklistPesertaKemenkeu!$H$6:$H$1005,SMALL(IF(checklistPesertaKemenkeu!$AY$6:$AY$1005="Direkomendasikan",ROW($6:$1005)-5),564)),"")</f>
        <v/>
      </c>
      <c r="F565" t="str">
        <f t="array" ref="F565">IFERROR(INDEX(checklistPesertaKemenkeu!$I$6:$I$1005,SMALL(IF(checklistPesertaKemenkeu!$AY$6:$AY$1005="Direkomendasikan",ROW($6:$1005)-5),564)),"")</f>
        <v/>
      </c>
      <c r="G565" t="str">
        <f t="array" ref="G565">IFERROR(INDEX(checklistPesertaKemenkeu!$J$6:$J$1005,SMALL(IF(checklistPesertaKemenkeu!$AY$6:$AY$1005="Direkomendasikan",ROW($6:$1005)-5),564)),"")</f>
        <v/>
      </c>
      <c r="H565" t="str">
        <f t="array" aca="1" ref="H565" ca="1">IFERROR(IF(OR(INDEX(checklistPesertaKemenkeu!$L$6:$L$1005,SMALL(IF(checklistPesertaKemenkeu!$AY$6:$AY$1005="Direkomendasikan",ROW($6:$1005)-5),564))="",INDEX(checklistPesertaKemenkeu!$J$6:$J$1005,SMALL(IF(checklistPesertaKemenkeu!$AY$6:$AY$1005="Direkomendasikan",ROW($6:$1005)-5),564))=""),"",IF(AND(COUNTIF(INDIRECT("K_"&amp;MATCH(INDEX(checklistPesertaKemenkeu!$J$6:$J$1005,SMALL(IF(checklistPesertaKemenkeu!$AY$6:$AY$1005="Direkomendasikan",ROW($6:$1005)-5),564)),BidangList,0)),INDEX(checklistPesertaKemenkeu!$L$6:$L$1005,SMALL(IF(checklistPesertaKemenkeu!$AY$6:$AY$1005="Direkomendasikan",ROW($6:$1005)-5),564)))&gt;0,COUNTIF(INDIRECT("'KERTAS KERJA'!K"&amp;(SMALL(IF(checklistPesertaKemenkeu!$AY$6:$AY$1005="Direkomendasikan",ROW($6:$1005)-5),564)+5)&amp;":O"&amp;(SMALL(IF(checklistPesertaKemenkeu!$AY$6:$AY$1005="Direkomendasikan",ROW($6:$1005)-5),564)+5)),INDEX(checklistPesertaKemenkeu!$L$6:$L$1005,SMALL(IF(checklistPesertaKemenkeu!$AY$6:$AY$1005="Direkomendasikan",ROW($6:$1005)-5),564)))=1),IFERROR(VLOOKUP(INDEX(checklistPesertaKemenkeu!$L$6:$L$1005,SMALL(IF(checklistPesertaKemenkeu!$AY$6:$AY$1005="Direkomendasikan",ROW($6:$1005)-5),564)),KotaKode,2,0),"-"),"")),"")</f>
        <v/>
      </c>
      <c r="I565" t="str">
        <f t="array" aca="1" ref="I565" ca="1">IFERROR(IF(OR(INDEX(checklistPesertaKemenkeu!$M$6:$M$1005,SMALL(IF(checklistPesertaKemenkeu!$AY$6:$AY$1005="Direkomendasikan",ROW($6:$1005)-5),564))="",INDEX(checklistPesertaKemenkeu!$J$6:$J$1005,SMALL(IF(checklistPesertaKemenkeu!$AY$6:$AY$1005="Direkomendasikan",ROW($6:$1005)-5),564))=""),"",IF(AND(COUNTIF(INDIRECT("K_"&amp;MATCH(INDEX(checklistPesertaKemenkeu!$J$6:$J$1005,SMALL(IF(checklistPesertaKemenkeu!$AY$6:$AY$1005="Direkomendasikan",ROW($6:$1005)-5),564)),BidangList,0)),INDEX(checklistPesertaKemenkeu!$M$6:$M$1005,SMALL(IF(checklistPesertaKemenkeu!$AY$6:$AY$1005="Direkomendasikan",ROW($6:$1005)-5),564)))&gt;0,COUNTIF(INDIRECT("'KERTAS KERJA'!K"&amp;(SMALL(IF(checklistPesertaKemenkeu!$AY$6:$AY$1005="Direkomendasikan",ROW($6:$1005)-5),564)+5)&amp;":O"&amp;(SMALL(IF(checklistPesertaKemenkeu!$AY$6:$AY$1005="Direkomendasikan",ROW($6:$1005)-5),564)+5)),INDEX(checklistPesertaKemenkeu!$M$6:$M$1005,SMALL(IF(checklistPesertaKemenkeu!$AY$6:$AY$1005="Direkomendasikan",ROW($6:$1005)-5),564)))=1),IFERROR(VLOOKUP(INDEX(checklistPesertaKemenkeu!$M$6:$M$1005,SMALL(IF(checklistPesertaKemenkeu!$AY$6:$AY$1005="Direkomendasikan",ROW($6:$1005)-5),564)),KotaKode,2,0),"-"),"")),"")</f>
        <v/>
      </c>
      <c r="J565" t="str">
        <f t="array" aca="1" ref="J565" ca="1">IFERROR(IF(OR(INDEX(checklistPesertaKemenkeu!$N$6:$N$1005,SMALL(IF(checklistPesertaKemenkeu!$AY$6:$AY$1005="Direkomendasikan",ROW($6:$1005)-5),564))="",INDEX(checklistPesertaKemenkeu!$J$6:$J$1005,SMALL(IF(checklistPesertaKemenkeu!$AY$6:$AY$1005="Direkomendasikan",ROW($6:$1005)-5),564))=""),"",IF(AND(COUNTIF(INDIRECT("K_"&amp;MATCH(INDEX(checklistPesertaKemenkeu!$J$6:$J$1005,SMALL(IF(checklistPesertaKemenkeu!$AY$6:$AY$1005="Direkomendasikan",ROW($6:$1005)-5),564)),BidangList,0)),INDEX(checklistPesertaKemenkeu!$N$6:$N$1005,SMALL(IF(checklistPesertaKemenkeu!$AY$6:$AY$1005="Direkomendasikan",ROW($6:$1005)-5),564)))&gt;0,COUNTIF(INDIRECT("'KERTAS KERJA'!K"&amp;(SMALL(IF(checklistPesertaKemenkeu!$AY$6:$AY$1005="Direkomendasikan",ROW($6:$1005)-5),564)+5)&amp;":O"&amp;(SMALL(IF(checklistPesertaKemenkeu!$AY$6:$AY$1005="Direkomendasikan",ROW($6:$1005)-5),564)+5)),INDEX(checklistPesertaKemenkeu!$N$6:$N$1005,SMALL(IF(checklistPesertaKemenkeu!$AY$6:$AY$1005="Direkomendasikan",ROW($6:$1005)-5),564)))=1),IFERROR(VLOOKUP(INDEX(checklistPesertaKemenkeu!$N$6:$N$1005,SMALL(IF(checklistPesertaKemenkeu!$AY$6:$AY$1005="Direkomendasikan",ROW($6:$1005)-5),564)),KotaKode,2,0),"-"),"")),"")</f>
        <v/>
      </c>
      <c r="K565" t="str">
        <f t="array" aca="1" ref="K565" ca="1">IFERROR(IF(OR(INDEX(checklistPesertaKemenkeu!$O$6:$O$1005,SMALL(IF(checklistPesertaKemenkeu!$AY$6:$AY$1005="Direkomendasikan",ROW($6:$1005)-5),564))="",INDEX(checklistPesertaKemenkeu!$J$6:$J$1005,SMALL(IF(checklistPesertaKemenkeu!$AY$6:$AY$1005="Direkomendasikan",ROW($6:$1005)-5),564))=""),"",IF(AND(COUNTIF(INDIRECT("K_"&amp;MATCH(INDEX(checklistPesertaKemenkeu!$J$6:$J$1005,SMALL(IF(checklistPesertaKemenkeu!$AY$6:$AY$1005="Direkomendasikan",ROW($6:$1005)-5),564)),BidangList,0)),INDEX(checklistPesertaKemenkeu!$O$6:$O$1005,SMALL(IF(checklistPesertaKemenkeu!$AY$6:$AY$1005="Direkomendasikan",ROW($6:$1005)-5),564)))&gt;0,COUNTIF(INDIRECT("'KERTAS KERJA'!K"&amp;(SMALL(IF(checklistPesertaKemenkeu!$AY$6:$AY$1005="Direkomendasikan",ROW($6:$1005)-5),564)+5)&amp;":O"&amp;(SMALL(IF(checklistPesertaKemenkeu!$AY$6:$AY$1005="Direkomendasikan",ROW($6:$1005)-5),564)+5)),INDEX(checklistPesertaKemenkeu!$O$6:$O$1005,SMALL(IF(checklistPesertaKemenkeu!$AY$6:$AY$1005="Direkomendasikan",ROW($6:$1005)-5),564)))=1),IFERROR(VLOOKUP(INDEX(checklistPesertaKemenkeu!$O$6:$O$1005,SMALL(IF(checklistPesertaKemenkeu!$AY$6:$AY$1005="Direkomendasikan",ROW($6:$1005)-5),564)),KotaKode,2,0),"-"),"")),"")</f>
        <v/>
      </c>
      <c r="L565" t="str">
        <f t="array" aca="1" ref="L565" ca="1">IFERROR(IF(OR(INDEX(checklistPesertaKemenkeu!$P$6:$P$1005,SMALL(IF(checklistPesertaKemenkeu!$AY$6:$AY$1005="Direkomendasikan",ROW($6:$1005)-5),564))="",INDEX(checklistPesertaKemenkeu!$J$6:$J$1005,SMALL(IF(checklistPesertaKemenkeu!$AY$6:$AY$1005="Direkomendasikan",ROW($6:$1005)-5),564))=""),"",IF(AND(COUNTIF(INDIRECT("K_"&amp;MATCH(INDEX(checklistPesertaKemenkeu!$J$6:$J$1005,SMALL(IF(checklistPesertaKemenkeu!$AY$6:$AY$1005="Direkomendasikan",ROW($6:$1005)-5),564)),BidangList,0)),INDEX(checklistPesertaKemenkeu!$P$6:$P$1005,SMALL(IF(checklistPesertaKemenkeu!$AY$6:$AY$1005="Direkomendasikan",ROW($6:$1005)-5),564)))&gt;0,COUNTIF(INDIRECT("'KERTAS KERJA'!K"&amp;(SMALL(IF(checklistPesertaKemenkeu!$AY$6:$AY$1005="Direkomendasikan",ROW($6:$1005)-5),564)+5)&amp;":O"&amp;(SMALL(IF(checklistPesertaKemenkeu!$AY$6:$AY$1005="Direkomendasikan",ROW($6:$1005)-5),564)+5)),INDEX(checklistPesertaKemenkeu!$P$6:$P$1005,SMALL(IF(checklistPesertaKemenkeu!$AY$6:$AY$1005="Direkomendasikan",ROW($6:$1005)-5),564)))=1),IFERROR(VLOOKUP(INDEX(checklistPesertaKemenkeu!$P$6:$P$1005,SMALL(IF(checklistPesertaKemenkeu!$AY$6:$AY$1005="Direkomendasikan",ROW($6:$1005)-5),564)),KotaKode,2,0),"-"),"")),"")</f>
        <v/>
      </c>
    </row>
    <row r="566" spans="1:12" ht="15" customHeight="1" x14ac:dyDescent="0.2">
      <c r="A566" t="str">
        <f t="shared" si="8"/>
        <v/>
      </c>
      <c r="B566" t="str">
        <v/>
      </c>
      <c r="C566" s="40" t="str">
        <f t="array" ref="C566">IFERROR(INDEX(checklistPesertaKemenkeu!$F$6:$F$1005,SMALL(IF(checklistPesertaKemenkeu!$AY$6:$AY$1005="Direkomendasikan",ROW($6:$1005)-5),565)),"")</f>
        <v/>
      </c>
      <c r="D566" t="str">
        <f t="array" ref="D566">IFERROR(INDEX(checklistPesertaKemenkeu!$G$6:$G$1005,SMALL(IF(checklistPesertaKemenkeu!$AY$6:$AY$1005="Direkomendasikan",ROW($6:$1005)-5),565)),"")</f>
        <v/>
      </c>
      <c r="E566" t="str">
        <f t="array" ref="E566">IFERROR(INDEX(checklistPesertaKemenkeu!$H$6:$H$1005,SMALL(IF(checklistPesertaKemenkeu!$AY$6:$AY$1005="Direkomendasikan",ROW($6:$1005)-5),565)),"")</f>
        <v/>
      </c>
      <c r="F566" t="str">
        <f t="array" ref="F566">IFERROR(INDEX(checklistPesertaKemenkeu!$I$6:$I$1005,SMALL(IF(checklistPesertaKemenkeu!$AY$6:$AY$1005="Direkomendasikan",ROW($6:$1005)-5),565)),"")</f>
        <v/>
      </c>
      <c r="G566" t="str">
        <f t="array" ref="G566">IFERROR(INDEX(checklistPesertaKemenkeu!$J$6:$J$1005,SMALL(IF(checklistPesertaKemenkeu!$AY$6:$AY$1005="Direkomendasikan",ROW($6:$1005)-5),565)),"")</f>
        <v/>
      </c>
      <c r="H566" t="str">
        <f t="array" aca="1" ref="H566" ca="1">IFERROR(IF(OR(INDEX(checklistPesertaKemenkeu!$L$6:$L$1005,SMALL(IF(checklistPesertaKemenkeu!$AY$6:$AY$1005="Direkomendasikan",ROW($6:$1005)-5),565))="",INDEX(checklistPesertaKemenkeu!$J$6:$J$1005,SMALL(IF(checklistPesertaKemenkeu!$AY$6:$AY$1005="Direkomendasikan",ROW($6:$1005)-5),565))=""),"",IF(AND(COUNTIF(INDIRECT("K_"&amp;MATCH(INDEX(checklistPesertaKemenkeu!$J$6:$J$1005,SMALL(IF(checklistPesertaKemenkeu!$AY$6:$AY$1005="Direkomendasikan",ROW($6:$1005)-5),565)),BidangList,0)),INDEX(checklistPesertaKemenkeu!$L$6:$L$1005,SMALL(IF(checklistPesertaKemenkeu!$AY$6:$AY$1005="Direkomendasikan",ROW($6:$1005)-5),565)))&gt;0,COUNTIF(INDIRECT("'KERTAS KERJA'!K"&amp;(SMALL(IF(checklistPesertaKemenkeu!$AY$6:$AY$1005="Direkomendasikan",ROW($6:$1005)-5),565)+5)&amp;":O"&amp;(SMALL(IF(checklistPesertaKemenkeu!$AY$6:$AY$1005="Direkomendasikan",ROW($6:$1005)-5),565)+5)),INDEX(checklistPesertaKemenkeu!$L$6:$L$1005,SMALL(IF(checklistPesertaKemenkeu!$AY$6:$AY$1005="Direkomendasikan",ROW($6:$1005)-5),565)))=1),IFERROR(VLOOKUP(INDEX(checklistPesertaKemenkeu!$L$6:$L$1005,SMALL(IF(checklistPesertaKemenkeu!$AY$6:$AY$1005="Direkomendasikan",ROW($6:$1005)-5),565)),KotaKode,2,0),"-"),"")),"")</f>
        <v/>
      </c>
      <c r="I566" t="str">
        <f t="array" aca="1" ref="I566" ca="1">IFERROR(IF(OR(INDEX(checklistPesertaKemenkeu!$M$6:$M$1005,SMALL(IF(checklistPesertaKemenkeu!$AY$6:$AY$1005="Direkomendasikan",ROW($6:$1005)-5),565))="",INDEX(checklistPesertaKemenkeu!$J$6:$J$1005,SMALL(IF(checklistPesertaKemenkeu!$AY$6:$AY$1005="Direkomendasikan",ROW($6:$1005)-5),565))=""),"",IF(AND(COUNTIF(INDIRECT("K_"&amp;MATCH(INDEX(checklistPesertaKemenkeu!$J$6:$J$1005,SMALL(IF(checklistPesertaKemenkeu!$AY$6:$AY$1005="Direkomendasikan",ROW($6:$1005)-5),565)),BidangList,0)),INDEX(checklistPesertaKemenkeu!$M$6:$M$1005,SMALL(IF(checklistPesertaKemenkeu!$AY$6:$AY$1005="Direkomendasikan",ROW($6:$1005)-5),565)))&gt;0,COUNTIF(INDIRECT("'KERTAS KERJA'!K"&amp;(SMALL(IF(checklistPesertaKemenkeu!$AY$6:$AY$1005="Direkomendasikan",ROW($6:$1005)-5),565)+5)&amp;":O"&amp;(SMALL(IF(checklistPesertaKemenkeu!$AY$6:$AY$1005="Direkomendasikan",ROW($6:$1005)-5),565)+5)),INDEX(checklistPesertaKemenkeu!$M$6:$M$1005,SMALL(IF(checklistPesertaKemenkeu!$AY$6:$AY$1005="Direkomendasikan",ROW($6:$1005)-5),565)))=1),IFERROR(VLOOKUP(INDEX(checklistPesertaKemenkeu!$M$6:$M$1005,SMALL(IF(checklistPesertaKemenkeu!$AY$6:$AY$1005="Direkomendasikan",ROW($6:$1005)-5),565)),KotaKode,2,0),"-"),"")),"")</f>
        <v/>
      </c>
      <c r="J566" t="str">
        <f t="array" aca="1" ref="J566" ca="1">IFERROR(IF(OR(INDEX(checklistPesertaKemenkeu!$N$6:$N$1005,SMALL(IF(checklistPesertaKemenkeu!$AY$6:$AY$1005="Direkomendasikan",ROW($6:$1005)-5),565))="",INDEX(checklistPesertaKemenkeu!$J$6:$J$1005,SMALL(IF(checklistPesertaKemenkeu!$AY$6:$AY$1005="Direkomendasikan",ROW($6:$1005)-5),565))=""),"",IF(AND(COUNTIF(INDIRECT("K_"&amp;MATCH(INDEX(checklistPesertaKemenkeu!$J$6:$J$1005,SMALL(IF(checklistPesertaKemenkeu!$AY$6:$AY$1005="Direkomendasikan",ROW($6:$1005)-5),565)),BidangList,0)),INDEX(checklistPesertaKemenkeu!$N$6:$N$1005,SMALL(IF(checklistPesertaKemenkeu!$AY$6:$AY$1005="Direkomendasikan",ROW($6:$1005)-5),565)))&gt;0,COUNTIF(INDIRECT("'KERTAS KERJA'!K"&amp;(SMALL(IF(checklistPesertaKemenkeu!$AY$6:$AY$1005="Direkomendasikan",ROW($6:$1005)-5),565)+5)&amp;":O"&amp;(SMALL(IF(checklistPesertaKemenkeu!$AY$6:$AY$1005="Direkomendasikan",ROW($6:$1005)-5),565)+5)),INDEX(checklistPesertaKemenkeu!$N$6:$N$1005,SMALL(IF(checklistPesertaKemenkeu!$AY$6:$AY$1005="Direkomendasikan",ROW($6:$1005)-5),565)))=1),IFERROR(VLOOKUP(INDEX(checklistPesertaKemenkeu!$N$6:$N$1005,SMALL(IF(checklistPesertaKemenkeu!$AY$6:$AY$1005="Direkomendasikan",ROW($6:$1005)-5),565)),KotaKode,2,0),"-"),"")),"")</f>
        <v/>
      </c>
      <c r="K566" t="str">
        <f t="array" aca="1" ref="K566" ca="1">IFERROR(IF(OR(INDEX(checklistPesertaKemenkeu!$O$6:$O$1005,SMALL(IF(checklistPesertaKemenkeu!$AY$6:$AY$1005="Direkomendasikan",ROW($6:$1005)-5),565))="",INDEX(checklistPesertaKemenkeu!$J$6:$J$1005,SMALL(IF(checklistPesertaKemenkeu!$AY$6:$AY$1005="Direkomendasikan",ROW($6:$1005)-5),565))=""),"",IF(AND(COUNTIF(INDIRECT("K_"&amp;MATCH(INDEX(checklistPesertaKemenkeu!$J$6:$J$1005,SMALL(IF(checklistPesertaKemenkeu!$AY$6:$AY$1005="Direkomendasikan",ROW($6:$1005)-5),565)),BidangList,0)),INDEX(checklistPesertaKemenkeu!$O$6:$O$1005,SMALL(IF(checklistPesertaKemenkeu!$AY$6:$AY$1005="Direkomendasikan",ROW($6:$1005)-5),565)))&gt;0,COUNTIF(INDIRECT("'KERTAS KERJA'!K"&amp;(SMALL(IF(checklistPesertaKemenkeu!$AY$6:$AY$1005="Direkomendasikan",ROW($6:$1005)-5),565)+5)&amp;":O"&amp;(SMALL(IF(checklistPesertaKemenkeu!$AY$6:$AY$1005="Direkomendasikan",ROW($6:$1005)-5),565)+5)),INDEX(checklistPesertaKemenkeu!$O$6:$O$1005,SMALL(IF(checklistPesertaKemenkeu!$AY$6:$AY$1005="Direkomendasikan",ROW($6:$1005)-5),565)))=1),IFERROR(VLOOKUP(INDEX(checklistPesertaKemenkeu!$O$6:$O$1005,SMALL(IF(checklistPesertaKemenkeu!$AY$6:$AY$1005="Direkomendasikan",ROW($6:$1005)-5),565)),KotaKode,2,0),"-"),"")),"")</f>
        <v/>
      </c>
      <c r="L566" t="str">
        <f t="array" aca="1" ref="L566" ca="1">IFERROR(IF(OR(INDEX(checklistPesertaKemenkeu!$P$6:$P$1005,SMALL(IF(checklistPesertaKemenkeu!$AY$6:$AY$1005="Direkomendasikan",ROW($6:$1005)-5),565))="",INDEX(checklistPesertaKemenkeu!$J$6:$J$1005,SMALL(IF(checklistPesertaKemenkeu!$AY$6:$AY$1005="Direkomendasikan",ROW($6:$1005)-5),565))=""),"",IF(AND(COUNTIF(INDIRECT("K_"&amp;MATCH(INDEX(checklistPesertaKemenkeu!$J$6:$J$1005,SMALL(IF(checklistPesertaKemenkeu!$AY$6:$AY$1005="Direkomendasikan",ROW($6:$1005)-5),565)),BidangList,0)),INDEX(checklistPesertaKemenkeu!$P$6:$P$1005,SMALL(IF(checklistPesertaKemenkeu!$AY$6:$AY$1005="Direkomendasikan",ROW($6:$1005)-5),565)))&gt;0,COUNTIF(INDIRECT("'KERTAS KERJA'!K"&amp;(SMALL(IF(checklistPesertaKemenkeu!$AY$6:$AY$1005="Direkomendasikan",ROW($6:$1005)-5),565)+5)&amp;":O"&amp;(SMALL(IF(checklistPesertaKemenkeu!$AY$6:$AY$1005="Direkomendasikan",ROW($6:$1005)-5),565)+5)),INDEX(checklistPesertaKemenkeu!$P$6:$P$1005,SMALL(IF(checklistPesertaKemenkeu!$AY$6:$AY$1005="Direkomendasikan",ROW($6:$1005)-5),565)))=1),IFERROR(VLOOKUP(INDEX(checklistPesertaKemenkeu!$P$6:$P$1005,SMALL(IF(checklistPesertaKemenkeu!$AY$6:$AY$1005="Direkomendasikan",ROW($6:$1005)-5),565)),KotaKode,2,0),"-"),"")),"")</f>
        <v/>
      </c>
    </row>
    <row r="567" spans="1:12" ht="15" customHeight="1" x14ac:dyDescent="0.2">
      <c r="A567" t="str">
        <f t="shared" si="8"/>
        <v/>
      </c>
      <c r="B567" t="str">
        <v/>
      </c>
      <c r="C567" s="40" t="str">
        <f t="array" ref="C567">IFERROR(INDEX(checklistPesertaKemenkeu!$F$6:$F$1005,SMALL(IF(checklistPesertaKemenkeu!$AY$6:$AY$1005="Direkomendasikan",ROW($6:$1005)-5),566)),"")</f>
        <v/>
      </c>
      <c r="D567" t="str">
        <f t="array" ref="D567">IFERROR(INDEX(checklistPesertaKemenkeu!$G$6:$G$1005,SMALL(IF(checklistPesertaKemenkeu!$AY$6:$AY$1005="Direkomendasikan",ROW($6:$1005)-5),566)),"")</f>
        <v/>
      </c>
      <c r="E567" t="str">
        <f t="array" ref="E567">IFERROR(INDEX(checklistPesertaKemenkeu!$H$6:$H$1005,SMALL(IF(checklistPesertaKemenkeu!$AY$6:$AY$1005="Direkomendasikan",ROW($6:$1005)-5),566)),"")</f>
        <v/>
      </c>
      <c r="F567" t="str">
        <f t="array" ref="F567">IFERROR(INDEX(checklistPesertaKemenkeu!$I$6:$I$1005,SMALL(IF(checklistPesertaKemenkeu!$AY$6:$AY$1005="Direkomendasikan",ROW($6:$1005)-5),566)),"")</f>
        <v/>
      </c>
      <c r="G567" t="str">
        <f t="array" ref="G567">IFERROR(INDEX(checklistPesertaKemenkeu!$J$6:$J$1005,SMALL(IF(checklistPesertaKemenkeu!$AY$6:$AY$1005="Direkomendasikan",ROW($6:$1005)-5),566)),"")</f>
        <v/>
      </c>
      <c r="H567" t="str">
        <f t="array" aca="1" ref="H567" ca="1">IFERROR(IF(OR(INDEX(checklistPesertaKemenkeu!$L$6:$L$1005,SMALL(IF(checklistPesertaKemenkeu!$AY$6:$AY$1005="Direkomendasikan",ROW($6:$1005)-5),566))="",INDEX(checklistPesertaKemenkeu!$J$6:$J$1005,SMALL(IF(checklistPesertaKemenkeu!$AY$6:$AY$1005="Direkomendasikan",ROW($6:$1005)-5),566))=""),"",IF(AND(COUNTIF(INDIRECT("K_"&amp;MATCH(INDEX(checklistPesertaKemenkeu!$J$6:$J$1005,SMALL(IF(checklistPesertaKemenkeu!$AY$6:$AY$1005="Direkomendasikan",ROW($6:$1005)-5),566)),BidangList,0)),INDEX(checklistPesertaKemenkeu!$L$6:$L$1005,SMALL(IF(checklistPesertaKemenkeu!$AY$6:$AY$1005="Direkomendasikan",ROW($6:$1005)-5),566)))&gt;0,COUNTIF(INDIRECT("'KERTAS KERJA'!K"&amp;(SMALL(IF(checklistPesertaKemenkeu!$AY$6:$AY$1005="Direkomendasikan",ROW($6:$1005)-5),566)+5)&amp;":O"&amp;(SMALL(IF(checklistPesertaKemenkeu!$AY$6:$AY$1005="Direkomendasikan",ROW($6:$1005)-5),566)+5)),INDEX(checklistPesertaKemenkeu!$L$6:$L$1005,SMALL(IF(checklistPesertaKemenkeu!$AY$6:$AY$1005="Direkomendasikan",ROW($6:$1005)-5),566)))=1),IFERROR(VLOOKUP(INDEX(checklistPesertaKemenkeu!$L$6:$L$1005,SMALL(IF(checklistPesertaKemenkeu!$AY$6:$AY$1005="Direkomendasikan",ROW($6:$1005)-5),566)),KotaKode,2,0),"-"),"")),"")</f>
        <v/>
      </c>
      <c r="I567" t="str">
        <f t="array" aca="1" ref="I567" ca="1">IFERROR(IF(OR(INDEX(checklistPesertaKemenkeu!$M$6:$M$1005,SMALL(IF(checklistPesertaKemenkeu!$AY$6:$AY$1005="Direkomendasikan",ROW($6:$1005)-5),566))="",INDEX(checklistPesertaKemenkeu!$J$6:$J$1005,SMALL(IF(checklistPesertaKemenkeu!$AY$6:$AY$1005="Direkomendasikan",ROW($6:$1005)-5),566))=""),"",IF(AND(COUNTIF(INDIRECT("K_"&amp;MATCH(INDEX(checklistPesertaKemenkeu!$J$6:$J$1005,SMALL(IF(checklistPesertaKemenkeu!$AY$6:$AY$1005="Direkomendasikan",ROW($6:$1005)-5),566)),BidangList,0)),INDEX(checklistPesertaKemenkeu!$M$6:$M$1005,SMALL(IF(checklistPesertaKemenkeu!$AY$6:$AY$1005="Direkomendasikan",ROW($6:$1005)-5),566)))&gt;0,COUNTIF(INDIRECT("'KERTAS KERJA'!K"&amp;(SMALL(IF(checklistPesertaKemenkeu!$AY$6:$AY$1005="Direkomendasikan",ROW($6:$1005)-5),566)+5)&amp;":O"&amp;(SMALL(IF(checklistPesertaKemenkeu!$AY$6:$AY$1005="Direkomendasikan",ROW($6:$1005)-5),566)+5)),INDEX(checklistPesertaKemenkeu!$M$6:$M$1005,SMALL(IF(checklistPesertaKemenkeu!$AY$6:$AY$1005="Direkomendasikan",ROW($6:$1005)-5),566)))=1),IFERROR(VLOOKUP(INDEX(checklistPesertaKemenkeu!$M$6:$M$1005,SMALL(IF(checklistPesertaKemenkeu!$AY$6:$AY$1005="Direkomendasikan",ROW($6:$1005)-5),566)),KotaKode,2,0),"-"),"")),"")</f>
        <v/>
      </c>
      <c r="J567" t="str">
        <f t="array" aca="1" ref="J567" ca="1">IFERROR(IF(OR(INDEX(checklistPesertaKemenkeu!$N$6:$N$1005,SMALL(IF(checklistPesertaKemenkeu!$AY$6:$AY$1005="Direkomendasikan",ROW($6:$1005)-5),566))="",INDEX(checklistPesertaKemenkeu!$J$6:$J$1005,SMALL(IF(checklistPesertaKemenkeu!$AY$6:$AY$1005="Direkomendasikan",ROW($6:$1005)-5),566))=""),"",IF(AND(COUNTIF(INDIRECT("K_"&amp;MATCH(INDEX(checklistPesertaKemenkeu!$J$6:$J$1005,SMALL(IF(checklistPesertaKemenkeu!$AY$6:$AY$1005="Direkomendasikan",ROW($6:$1005)-5),566)),BidangList,0)),INDEX(checklistPesertaKemenkeu!$N$6:$N$1005,SMALL(IF(checklistPesertaKemenkeu!$AY$6:$AY$1005="Direkomendasikan",ROW($6:$1005)-5),566)))&gt;0,COUNTIF(INDIRECT("'KERTAS KERJA'!K"&amp;(SMALL(IF(checklistPesertaKemenkeu!$AY$6:$AY$1005="Direkomendasikan",ROW($6:$1005)-5),566)+5)&amp;":O"&amp;(SMALL(IF(checklistPesertaKemenkeu!$AY$6:$AY$1005="Direkomendasikan",ROW($6:$1005)-5),566)+5)),INDEX(checklistPesertaKemenkeu!$N$6:$N$1005,SMALL(IF(checklistPesertaKemenkeu!$AY$6:$AY$1005="Direkomendasikan",ROW($6:$1005)-5),566)))=1),IFERROR(VLOOKUP(INDEX(checklistPesertaKemenkeu!$N$6:$N$1005,SMALL(IF(checklistPesertaKemenkeu!$AY$6:$AY$1005="Direkomendasikan",ROW($6:$1005)-5),566)),KotaKode,2,0),"-"),"")),"")</f>
        <v/>
      </c>
      <c r="K567" t="str">
        <f t="array" aca="1" ref="K567" ca="1">IFERROR(IF(OR(INDEX(checklistPesertaKemenkeu!$O$6:$O$1005,SMALL(IF(checklistPesertaKemenkeu!$AY$6:$AY$1005="Direkomendasikan",ROW($6:$1005)-5),566))="",INDEX(checklistPesertaKemenkeu!$J$6:$J$1005,SMALL(IF(checklistPesertaKemenkeu!$AY$6:$AY$1005="Direkomendasikan",ROW($6:$1005)-5),566))=""),"",IF(AND(COUNTIF(INDIRECT("K_"&amp;MATCH(INDEX(checklistPesertaKemenkeu!$J$6:$J$1005,SMALL(IF(checklistPesertaKemenkeu!$AY$6:$AY$1005="Direkomendasikan",ROW($6:$1005)-5),566)),BidangList,0)),INDEX(checklistPesertaKemenkeu!$O$6:$O$1005,SMALL(IF(checklistPesertaKemenkeu!$AY$6:$AY$1005="Direkomendasikan",ROW($6:$1005)-5),566)))&gt;0,COUNTIF(INDIRECT("'KERTAS KERJA'!K"&amp;(SMALL(IF(checklistPesertaKemenkeu!$AY$6:$AY$1005="Direkomendasikan",ROW($6:$1005)-5),566)+5)&amp;":O"&amp;(SMALL(IF(checklistPesertaKemenkeu!$AY$6:$AY$1005="Direkomendasikan",ROW($6:$1005)-5),566)+5)),INDEX(checklistPesertaKemenkeu!$O$6:$O$1005,SMALL(IF(checklistPesertaKemenkeu!$AY$6:$AY$1005="Direkomendasikan",ROW($6:$1005)-5),566)))=1),IFERROR(VLOOKUP(INDEX(checklistPesertaKemenkeu!$O$6:$O$1005,SMALL(IF(checklistPesertaKemenkeu!$AY$6:$AY$1005="Direkomendasikan",ROW($6:$1005)-5),566)),KotaKode,2,0),"-"),"")),"")</f>
        <v/>
      </c>
      <c r="L567" t="str">
        <f t="array" aca="1" ref="L567" ca="1">IFERROR(IF(OR(INDEX(checklistPesertaKemenkeu!$P$6:$P$1005,SMALL(IF(checklistPesertaKemenkeu!$AY$6:$AY$1005="Direkomendasikan",ROW($6:$1005)-5),566))="",INDEX(checklistPesertaKemenkeu!$J$6:$J$1005,SMALL(IF(checklistPesertaKemenkeu!$AY$6:$AY$1005="Direkomendasikan",ROW($6:$1005)-5),566))=""),"",IF(AND(COUNTIF(INDIRECT("K_"&amp;MATCH(INDEX(checklistPesertaKemenkeu!$J$6:$J$1005,SMALL(IF(checklistPesertaKemenkeu!$AY$6:$AY$1005="Direkomendasikan",ROW($6:$1005)-5),566)),BidangList,0)),INDEX(checklistPesertaKemenkeu!$P$6:$P$1005,SMALL(IF(checklistPesertaKemenkeu!$AY$6:$AY$1005="Direkomendasikan",ROW($6:$1005)-5),566)))&gt;0,COUNTIF(INDIRECT("'KERTAS KERJA'!K"&amp;(SMALL(IF(checklistPesertaKemenkeu!$AY$6:$AY$1005="Direkomendasikan",ROW($6:$1005)-5),566)+5)&amp;":O"&amp;(SMALL(IF(checklistPesertaKemenkeu!$AY$6:$AY$1005="Direkomendasikan",ROW($6:$1005)-5),566)+5)),INDEX(checklistPesertaKemenkeu!$P$6:$P$1005,SMALL(IF(checklistPesertaKemenkeu!$AY$6:$AY$1005="Direkomendasikan",ROW($6:$1005)-5),566)))=1),IFERROR(VLOOKUP(INDEX(checklistPesertaKemenkeu!$P$6:$P$1005,SMALL(IF(checklistPesertaKemenkeu!$AY$6:$AY$1005="Direkomendasikan",ROW($6:$1005)-5),566)),KotaKode,2,0),"-"),"")),"")</f>
        <v/>
      </c>
    </row>
    <row r="568" spans="1:12" ht="15" customHeight="1" x14ac:dyDescent="0.2">
      <c r="A568" t="str">
        <f t="shared" si="8"/>
        <v/>
      </c>
      <c r="B568" t="str">
        <v/>
      </c>
      <c r="C568" s="40" t="str">
        <f t="array" ref="C568">IFERROR(INDEX(checklistPesertaKemenkeu!$F$6:$F$1005,SMALL(IF(checklistPesertaKemenkeu!$AY$6:$AY$1005="Direkomendasikan",ROW($6:$1005)-5),567)),"")</f>
        <v/>
      </c>
      <c r="D568" t="str">
        <f t="array" ref="D568">IFERROR(INDEX(checklistPesertaKemenkeu!$G$6:$G$1005,SMALL(IF(checklistPesertaKemenkeu!$AY$6:$AY$1005="Direkomendasikan",ROW($6:$1005)-5),567)),"")</f>
        <v/>
      </c>
      <c r="E568" t="str">
        <f t="array" ref="E568">IFERROR(INDEX(checklistPesertaKemenkeu!$H$6:$H$1005,SMALL(IF(checklistPesertaKemenkeu!$AY$6:$AY$1005="Direkomendasikan",ROW($6:$1005)-5),567)),"")</f>
        <v/>
      </c>
      <c r="F568" t="str">
        <f t="array" ref="F568">IFERROR(INDEX(checklistPesertaKemenkeu!$I$6:$I$1005,SMALL(IF(checklistPesertaKemenkeu!$AY$6:$AY$1005="Direkomendasikan",ROW($6:$1005)-5),567)),"")</f>
        <v/>
      </c>
      <c r="G568" t="str">
        <f t="array" ref="G568">IFERROR(INDEX(checklistPesertaKemenkeu!$J$6:$J$1005,SMALL(IF(checklistPesertaKemenkeu!$AY$6:$AY$1005="Direkomendasikan",ROW($6:$1005)-5),567)),"")</f>
        <v/>
      </c>
      <c r="H568" t="str">
        <f t="array" aca="1" ref="H568" ca="1">IFERROR(IF(OR(INDEX(checklistPesertaKemenkeu!$L$6:$L$1005,SMALL(IF(checklistPesertaKemenkeu!$AY$6:$AY$1005="Direkomendasikan",ROW($6:$1005)-5),567))="",INDEX(checklistPesertaKemenkeu!$J$6:$J$1005,SMALL(IF(checklistPesertaKemenkeu!$AY$6:$AY$1005="Direkomendasikan",ROW($6:$1005)-5),567))=""),"",IF(AND(COUNTIF(INDIRECT("K_"&amp;MATCH(INDEX(checklistPesertaKemenkeu!$J$6:$J$1005,SMALL(IF(checklistPesertaKemenkeu!$AY$6:$AY$1005="Direkomendasikan",ROW($6:$1005)-5),567)),BidangList,0)),INDEX(checklistPesertaKemenkeu!$L$6:$L$1005,SMALL(IF(checklistPesertaKemenkeu!$AY$6:$AY$1005="Direkomendasikan",ROW($6:$1005)-5),567)))&gt;0,COUNTIF(INDIRECT("'KERTAS KERJA'!K"&amp;(SMALL(IF(checklistPesertaKemenkeu!$AY$6:$AY$1005="Direkomendasikan",ROW($6:$1005)-5),567)+5)&amp;":O"&amp;(SMALL(IF(checklistPesertaKemenkeu!$AY$6:$AY$1005="Direkomendasikan",ROW($6:$1005)-5),567)+5)),INDEX(checklistPesertaKemenkeu!$L$6:$L$1005,SMALL(IF(checklistPesertaKemenkeu!$AY$6:$AY$1005="Direkomendasikan",ROW($6:$1005)-5),567)))=1),IFERROR(VLOOKUP(INDEX(checklistPesertaKemenkeu!$L$6:$L$1005,SMALL(IF(checklistPesertaKemenkeu!$AY$6:$AY$1005="Direkomendasikan",ROW($6:$1005)-5),567)),KotaKode,2,0),"-"),"")),"")</f>
        <v/>
      </c>
      <c r="I568" t="str">
        <f t="array" aca="1" ref="I568" ca="1">IFERROR(IF(OR(INDEX(checklistPesertaKemenkeu!$M$6:$M$1005,SMALL(IF(checklistPesertaKemenkeu!$AY$6:$AY$1005="Direkomendasikan",ROW($6:$1005)-5),567))="",INDEX(checklistPesertaKemenkeu!$J$6:$J$1005,SMALL(IF(checklistPesertaKemenkeu!$AY$6:$AY$1005="Direkomendasikan",ROW($6:$1005)-5),567))=""),"",IF(AND(COUNTIF(INDIRECT("K_"&amp;MATCH(INDEX(checklistPesertaKemenkeu!$J$6:$J$1005,SMALL(IF(checklistPesertaKemenkeu!$AY$6:$AY$1005="Direkomendasikan",ROW($6:$1005)-5),567)),BidangList,0)),INDEX(checklistPesertaKemenkeu!$M$6:$M$1005,SMALL(IF(checklistPesertaKemenkeu!$AY$6:$AY$1005="Direkomendasikan",ROW($6:$1005)-5),567)))&gt;0,COUNTIF(INDIRECT("'KERTAS KERJA'!K"&amp;(SMALL(IF(checklistPesertaKemenkeu!$AY$6:$AY$1005="Direkomendasikan",ROW($6:$1005)-5),567)+5)&amp;":O"&amp;(SMALL(IF(checklistPesertaKemenkeu!$AY$6:$AY$1005="Direkomendasikan",ROW($6:$1005)-5),567)+5)),INDEX(checklistPesertaKemenkeu!$M$6:$M$1005,SMALL(IF(checklistPesertaKemenkeu!$AY$6:$AY$1005="Direkomendasikan",ROW($6:$1005)-5),567)))=1),IFERROR(VLOOKUP(INDEX(checklistPesertaKemenkeu!$M$6:$M$1005,SMALL(IF(checklistPesertaKemenkeu!$AY$6:$AY$1005="Direkomendasikan",ROW($6:$1005)-5),567)),KotaKode,2,0),"-"),"")),"")</f>
        <v/>
      </c>
      <c r="J568" t="str">
        <f t="array" aca="1" ref="J568" ca="1">IFERROR(IF(OR(INDEX(checklistPesertaKemenkeu!$N$6:$N$1005,SMALL(IF(checklistPesertaKemenkeu!$AY$6:$AY$1005="Direkomendasikan",ROW($6:$1005)-5),567))="",INDEX(checklistPesertaKemenkeu!$J$6:$J$1005,SMALL(IF(checklistPesertaKemenkeu!$AY$6:$AY$1005="Direkomendasikan",ROW($6:$1005)-5),567))=""),"",IF(AND(COUNTIF(INDIRECT("K_"&amp;MATCH(INDEX(checklistPesertaKemenkeu!$J$6:$J$1005,SMALL(IF(checklistPesertaKemenkeu!$AY$6:$AY$1005="Direkomendasikan",ROW($6:$1005)-5),567)),BidangList,0)),INDEX(checklistPesertaKemenkeu!$N$6:$N$1005,SMALL(IF(checklistPesertaKemenkeu!$AY$6:$AY$1005="Direkomendasikan",ROW($6:$1005)-5),567)))&gt;0,COUNTIF(INDIRECT("'KERTAS KERJA'!K"&amp;(SMALL(IF(checklistPesertaKemenkeu!$AY$6:$AY$1005="Direkomendasikan",ROW($6:$1005)-5),567)+5)&amp;":O"&amp;(SMALL(IF(checklistPesertaKemenkeu!$AY$6:$AY$1005="Direkomendasikan",ROW($6:$1005)-5),567)+5)),INDEX(checklistPesertaKemenkeu!$N$6:$N$1005,SMALL(IF(checklistPesertaKemenkeu!$AY$6:$AY$1005="Direkomendasikan",ROW($6:$1005)-5),567)))=1),IFERROR(VLOOKUP(INDEX(checklistPesertaKemenkeu!$N$6:$N$1005,SMALL(IF(checklistPesertaKemenkeu!$AY$6:$AY$1005="Direkomendasikan",ROW($6:$1005)-5),567)),KotaKode,2,0),"-"),"")),"")</f>
        <v/>
      </c>
      <c r="K568" t="str">
        <f t="array" aca="1" ref="K568" ca="1">IFERROR(IF(OR(INDEX(checklistPesertaKemenkeu!$O$6:$O$1005,SMALL(IF(checklistPesertaKemenkeu!$AY$6:$AY$1005="Direkomendasikan",ROW($6:$1005)-5),567))="",INDEX(checklistPesertaKemenkeu!$J$6:$J$1005,SMALL(IF(checklistPesertaKemenkeu!$AY$6:$AY$1005="Direkomendasikan",ROW($6:$1005)-5),567))=""),"",IF(AND(COUNTIF(INDIRECT("K_"&amp;MATCH(INDEX(checklistPesertaKemenkeu!$J$6:$J$1005,SMALL(IF(checklistPesertaKemenkeu!$AY$6:$AY$1005="Direkomendasikan",ROW($6:$1005)-5),567)),BidangList,0)),INDEX(checklistPesertaKemenkeu!$O$6:$O$1005,SMALL(IF(checklistPesertaKemenkeu!$AY$6:$AY$1005="Direkomendasikan",ROW($6:$1005)-5),567)))&gt;0,COUNTIF(INDIRECT("'KERTAS KERJA'!K"&amp;(SMALL(IF(checklistPesertaKemenkeu!$AY$6:$AY$1005="Direkomendasikan",ROW($6:$1005)-5),567)+5)&amp;":O"&amp;(SMALL(IF(checklistPesertaKemenkeu!$AY$6:$AY$1005="Direkomendasikan",ROW($6:$1005)-5),567)+5)),INDEX(checklistPesertaKemenkeu!$O$6:$O$1005,SMALL(IF(checklistPesertaKemenkeu!$AY$6:$AY$1005="Direkomendasikan",ROW($6:$1005)-5),567)))=1),IFERROR(VLOOKUP(INDEX(checklistPesertaKemenkeu!$O$6:$O$1005,SMALL(IF(checklistPesertaKemenkeu!$AY$6:$AY$1005="Direkomendasikan",ROW($6:$1005)-5),567)),KotaKode,2,0),"-"),"")),"")</f>
        <v/>
      </c>
      <c r="L568" t="str">
        <f t="array" aca="1" ref="L568" ca="1">IFERROR(IF(OR(INDEX(checklistPesertaKemenkeu!$P$6:$P$1005,SMALL(IF(checklistPesertaKemenkeu!$AY$6:$AY$1005="Direkomendasikan",ROW($6:$1005)-5),567))="",INDEX(checklistPesertaKemenkeu!$J$6:$J$1005,SMALL(IF(checklistPesertaKemenkeu!$AY$6:$AY$1005="Direkomendasikan",ROW($6:$1005)-5),567))=""),"",IF(AND(COUNTIF(INDIRECT("K_"&amp;MATCH(INDEX(checklistPesertaKemenkeu!$J$6:$J$1005,SMALL(IF(checklistPesertaKemenkeu!$AY$6:$AY$1005="Direkomendasikan",ROW($6:$1005)-5),567)),BidangList,0)),INDEX(checklistPesertaKemenkeu!$P$6:$P$1005,SMALL(IF(checklistPesertaKemenkeu!$AY$6:$AY$1005="Direkomendasikan",ROW($6:$1005)-5),567)))&gt;0,COUNTIF(INDIRECT("'KERTAS KERJA'!K"&amp;(SMALL(IF(checklistPesertaKemenkeu!$AY$6:$AY$1005="Direkomendasikan",ROW($6:$1005)-5),567)+5)&amp;":O"&amp;(SMALL(IF(checklistPesertaKemenkeu!$AY$6:$AY$1005="Direkomendasikan",ROW($6:$1005)-5),567)+5)),INDEX(checklistPesertaKemenkeu!$P$6:$P$1005,SMALL(IF(checklistPesertaKemenkeu!$AY$6:$AY$1005="Direkomendasikan",ROW($6:$1005)-5),567)))=1),IFERROR(VLOOKUP(INDEX(checklistPesertaKemenkeu!$P$6:$P$1005,SMALL(IF(checklistPesertaKemenkeu!$AY$6:$AY$1005="Direkomendasikan",ROW($6:$1005)-5),567)),KotaKode,2,0),"-"),"")),"")</f>
        <v/>
      </c>
    </row>
    <row r="569" spans="1:12" ht="15" customHeight="1" x14ac:dyDescent="0.2">
      <c r="A569" t="str">
        <f t="shared" si="8"/>
        <v/>
      </c>
      <c r="B569" t="str">
        <v/>
      </c>
      <c r="C569" s="40" t="str">
        <f t="array" ref="C569">IFERROR(INDEX(checklistPesertaKemenkeu!$F$6:$F$1005,SMALL(IF(checklistPesertaKemenkeu!$AY$6:$AY$1005="Direkomendasikan",ROW($6:$1005)-5),568)),"")</f>
        <v/>
      </c>
      <c r="D569" t="str">
        <f t="array" ref="D569">IFERROR(INDEX(checklistPesertaKemenkeu!$G$6:$G$1005,SMALL(IF(checklistPesertaKemenkeu!$AY$6:$AY$1005="Direkomendasikan",ROW($6:$1005)-5),568)),"")</f>
        <v/>
      </c>
      <c r="E569" t="str">
        <f t="array" ref="E569">IFERROR(INDEX(checklistPesertaKemenkeu!$H$6:$H$1005,SMALL(IF(checklistPesertaKemenkeu!$AY$6:$AY$1005="Direkomendasikan",ROW($6:$1005)-5),568)),"")</f>
        <v/>
      </c>
      <c r="F569" t="str">
        <f t="array" ref="F569">IFERROR(INDEX(checklistPesertaKemenkeu!$I$6:$I$1005,SMALL(IF(checklistPesertaKemenkeu!$AY$6:$AY$1005="Direkomendasikan",ROW($6:$1005)-5),568)),"")</f>
        <v/>
      </c>
      <c r="G569" t="str">
        <f t="array" ref="G569">IFERROR(INDEX(checklistPesertaKemenkeu!$J$6:$J$1005,SMALL(IF(checklistPesertaKemenkeu!$AY$6:$AY$1005="Direkomendasikan",ROW($6:$1005)-5),568)),"")</f>
        <v/>
      </c>
      <c r="H569" t="str">
        <f t="array" aca="1" ref="H569" ca="1">IFERROR(IF(OR(INDEX(checklistPesertaKemenkeu!$L$6:$L$1005,SMALL(IF(checklistPesertaKemenkeu!$AY$6:$AY$1005="Direkomendasikan",ROW($6:$1005)-5),568))="",INDEX(checklistPesertaKemenkeu!$J$6:$J$1005,SMALL(IF(checklistPesertaKemenkeu!$AY$6:$AY$1005="Direkomendasikan",ROW($6:$1005)-5),568))=""),"",IF(AND(COUNTIF(INDIRECT("K_"&amp;MATCH(INDEX(checklistPesertaKemenkeu!$J$6:$J$1005,SMALL(IF(checklistPesertaKemenkeu!$AY$6:$AY$1005="Direkomendasikan",ROW($6:$1005)-5),568)),BidangList,0)),INDEX(checklistPesertaKemenkeu!$L$6:$L$1005,SMALL(IF(checklistPesertaKemenkeu!$AY$6:$AY$1005="Direkomendasikan",ROW($6:$1005)-5),568)))&gt;0,COUNTIF(INDIRECT("'KERTAS KERJA'!K"&amp;(SMALL(IF(checklistPesertaKemenkeu!$AY$6:$AY$1005="Direkomendasikan",ROW($6:$1005)-5),568)+5)&amp;":O"&amp;(SMALL(IF(checklistPesertaKemenkeu!$AY$6:$AY$1005="Direkomendasikan",ROW($6:$1005)-5),568)+5)),INDEX(checklistPesertaKemenkeu!$L$6:$L$1005,SMALL(IF(checklistPesertaKemenkeu!$AY$6:$AY$1005="Direkomendasikan",ROW($6:$1005)-5),568)))=1),IFERROR(VLOOKUP(INDEX(checklistPesertaKemenkeu!$L$6:$L$1005,SMALL(IF(checklistPesertaKemenkeu!$AY$6:$AY$1005="Direkomendasikan",ROW($6:$1005)-5),568)),KotaKode,2,0),"-"),"")),"")</f>
        <v/>
      </c>
      <c r="I569" t="str">
        <f t="array" aca="1" ref="I569" ca="1">IFERROR(IF(OR(INDEX(checklistPesertaKemenkeu!$M$6:$M$1005,SMALL(IF(checklistPesertaKemenkeu!$AY$6:$AY$1005="Direkomendasikan",ROW($6:$1005)-5),568))="",INDEX(checklistPesertaKemenkeu!$J$6:$J$1005,SMALL(IF(checklistPesertaKemenkeu!$AY$6:$AY$1005="Direkomendasikan",ROW($6:$1005)-5),568))=""),"",IF(AND(COUNTIF(INDIRECT("K_"&amp;MATCH(INDEX(checklistPesertaKemenkeu!$J$6:$J$1005,SMALL(IF(checklistPesertaKemenkeu!$AY$6:$AY$1005="Direkomendasikan",ROW($6:$1005)-5),568)),BidangList,0)),INDEX(checklistPesertaKemenkeu!$M$6:$M$1005,SMALL(IF(checklistPesertaKemenkeu!$AY$6:$AY$1005="Direkomendasikan",ROW($6:$1005)-5),568)))&gt;0,COUNTIF(INDIRECT("'KERTAS KERJA'!K"&amp;(SMALL(IF(checklistPesertaKemenkeu!$AY$6:$AY$1005="Direkomendasikan",ROW($6:$1005)-5),568)+5)&amp;":O"&amp;(SMALL(IF(checklistPesertaKemenkeu!$AY$6:$AY$1005="Direkomendasikan",ROW($6:$1005)-5),568)+5)),INDEX(checklistPesertaKemenkeu!$M$6:$M$1005,SMALL(IF(checklistPesertaKemenkeu!$AY$6:$AY$1005="Direkomendasikan",ROW($6:$1005)-5),568)))=1),IFERROR(VLOOKUP(INDEX(checklistPesertaKemenkeu!$M$6:$M$1005,SMALL(IF(checklistPesertaKemenkeu!$AY$6:$AY$1005="Direkomendasikan",ROW($6:$1005)-5),568)),KotaKode,2,0),"-"),"")),"")</f>
        <v/>
      </c>
      <c r="J569" t="str">
        <f t="array" aca="1" ref="J569" ca="1">IFERROR(IF(OR(INDEX(checklistPesertaKemenkeu!$N$6:$N$1005,SMALL(IF(checklistPesertaKemenkeu!$AY$6:$AY$1005="Direkomendasikan",ROW($6:$1005)-5),568))="",INDEX(checklistPesertaKemenkeu!$J$6:$J$1005,SMALL(IF(checklistPesertaKemenkeu!$AY$6:$AY$1005="Direkomendasikan",ROW($6:$1005)-5),568))=""),"",IF(AND(COUNTIF(INDIRECT("K_"&amp;MATCH(INDEX(checklistPesertaKemenkeu!$J$6:$J$1005,SMALL(IF(checklistPesertaKemenkeu!$AY$6:$AY$1005="Direkomendasikan",ROW($6:$1005)-5),568)),BidangList,0)),INDEX(checklistPesertaKemenkeu!$N$6:$N$1005,SMALL(IF(checklistPesertaKemenkeu!$AY$6:$AY$1005="Direkomendasikan",ROW($6:$1005)-5),568)))&gt;0,COUNTIF(INDIRECT("'KERTAS KERJA'!K"&amp;(SMALL(IF(checklistPesertaKemenkeu!$AY$6:$AY$1005="Direkomendasikan",ROW($6:$1005)-5),568)+5)&amp;":O"&amp;(SMALL(IF(checklistPesertaKemenkeu!$AY$6:$AY$1005="Direkomendasikan",ROW($6:$1005)-5),568)+5)),INDEX(checklistPesertaKemenkeu!$N$6:$N$1005,SMALL(IF(checklistPesertaKemenkeu!$AY$6:$AY$1005="Direkomendasikan",ROW($6:$1005)-5),568)))=1),IFERROR(VLOOKUP(INDEX(checklistPesertaKemenkeu!$N$6:$N$1005,SMALL(IF(checklistPesertaKemenkeu!$AY$6:$AY$1005="Direkomendasikan",ROW($6:$1005)-5),568)),KotaKode,2,0),"-"),"")),"")</f>
        <v/>
      </c>
      <c r="K569" t="str">
        <f t="array" aca="1" ref="K569" ca="1">IFERROR(IF(OR(INDEX(checklistPesertaKemenkeu!$O$6:$O$1005,SMALL(IF(checklistPesertaKemenkeu!$AY$6:$AY$1005="Direkomendasikan",ROW($6:$1005)-5),568))="",INDEX(checklistPesertaKemenkeu!$J$6:$J$1005,SMALL(IF(checklistPesertaKemenkeu!$AY$6:$AY$1005="Direkomendasikan",ROW($6:$1005)-5),568))=""),"",IF(AND(COUNTIF(INDIRECT("K_"&amp;MATCH(INDEX(checklistPesertaKemenkeu!$J$6:$J$1005,SMALL(IF(checklistPesertaKemenkeu!$AY$6:$AY$1005="Direkomendasikan",ROW($6:$1005)-5),568)),BidangList,0)),INDEX(checklistPesertaKemenkeu!$O$6:$O$1005,SMALL(IF(checklistPesertaKemenkeu!$AY$6:$AY$1005="Direkomendasikan",ROW($6:$1005)-5),568)))&gt;0,COUNTIF(INDIRECT("'KERTAS KERJA'!K"&amp;(SMALL(IF(checklistPesertaKemenkeu!$AY$6:$AY$1005="Direkomendasikan",ROW($6:$1005)-5),568)+5)&amp;":O"&amp;(SMALL(IF(checklistPesertaKemenkeu!$AY$6:$AY$1005="Direkomendasikan",ROW($6:$1005)-5),568)+5)),INDEX(checklistPesertaKemenkeu!$O$6:$O$1005,SMALL(IF(checklistPesertaKemenkeu!$AY$6:$AY$1005="Direkomendasikan",ROW($6:$1005)-5),568)))=1),IFERROR(VLOOKUP(INDEX(checklistPesertaKemenkeu!$O$6:$O$1005,SMALL(IF(checklistPesertaKemenkeu!$AY$6:$AY$1005="Direkomendasikan",ROW($6:$1005)-5),568)),KotaKode,2,0),"-"),"")),"")</f>
        <v/>
      </c>
      <c r="L569" t="str">
        <f t="array" aca="1" ref="L569" ca="1">IFERROR(IF(OR(INDEX(checklistPesertaKemenkeu!$P$6:$P$1005,SMALL(IF(checklistPesertaKemenkeu!$AY$6:$AY$1005="Direkomendasikan",ROW($6:$1005)-5),568))="",INDEX(checklistPesertaKemenkeu!$J$6:$J$1005,SMALL(IF(checklistPesertaKemenkeu!$AY$6:$AY$1005="Direkomendasikan",ROW($6:$1005)-5),568))=""),"",IF(AND(COUNTIF(INDIRECT("K_"&amp;MATCH(INDEX(checklistPesertaKemenkeu!$J$6:$J$1005,SMALL(IF(checklistPesertaKemenkeu!$AY$6:$AY$1005="Direkomendasikan",ROW($6:$1005)-5),568)),BidangList,0)),INDEX(checklistPesertaKemenkeu!$P$6:$P$1005,SMALL(IF(checklistPesertaKemenkeu!$AY$6:$AY$1005="Direkomendasikan",ROW($6:$1005)-5),568)))&gt;0,COUNTIF(INDIRECT("'KERTAS KERJA'!K"&amp;(SMALL(IF(checklistPesertaKemenkeu!$AY$6:$AY$1005="Direkomendasikan",ROW($6:$1005)-5),568)+5)&amp;":O"&amp;(SMALL(IF(checklistPesertaKemenkeu!$AY$6:$AY$1005="Direkomendasikan",ROW($6:$1005)-5),568)+5)),INDEX(checklistPesertaKemenkeu!$P$6:$P$1005,SMALL(IF(checklistPesertaKemenkeu!$AY$6:$AY$1005="Direkomendasikan",ROW($6:$1005)-5),568)))=1),IFERROR(VLOOKUP(INDEX(checklistPesertaKemenkeu!$P$6:$P$1005,SMALL(IF(checklistPesertaKemenkeu!$AY$6:$AY$1005="Direkomendasikan",ROW($6:$1005)-5),568)),KotaKode,2,0),"-"),"")),"")</f>
        <v/>
      </c>
    </row>
    <row r="570" spans="1:12" ht="15" customHeight="1" x14ac:dyDescent="0.2">
      <c r="A570" t="str">
        <f t="shared" si="8"/>
        <v/>
      </c>
      <c r="B570" t="str">
        <v/>
      </c>
      <c r="C570" s="40" t="str">
        <f t="array" ref="C570">IFERROR(INDEX(checklistPesertaKemenkeu!$F$6:$F$1005,SMALL(IF(checklistPesertaKemenkeu!$AY$6:$AY$1005="Direkomendasikan",ROW($6:$1005)-5),569)),"")</f>
        <v/>
      </c>
      <c r="D570" t="str">
        <f t="array" ref="D570">IFERROR(INDEX(checklistPesertaKemenkeu!$G$6:$G$1005,SMALL(IF(checklistPesertaKemenkeu!$AY$6:$AY$1005="Direkomendasikan",ROW($6:$1005)-5),569)),"")</f>
        <v/>
      </c>
      <c r="E570" t="str">
        <f t="array" ref="E570">IFERROR(INDEX(checklistPesertaKemenkeu!$H$6:$H$1005,SMALL(IF(checklistPesertaKemenkeu!$AY$6:$AY$1005="Direkomendasikan",ROW($6:$1005)-5),569)),"")</f>
        <v/>
      </c>
      <c r="F570" t="str">
        <f t="array" ref="F570">IFERROR(INDEX(checklistPesertaKemenkeu!$I$6:$I$1005,SMALL(IF(checklistPesertaKemenkeu!$AY$6:$AY$1005="Direkomendasikan",ROW($6:$1005)-5),569)),"")</f>
        <v/>
      </c>
      <c r="G570" t="str">
        <f t="array" ref="G570">IFERROR(INDEX(checklistPesertaKemenkeu!$J$6:$J$1005,SMALL(IF(checklistPesertaKemenkeu!$AY$6:$AY$1005="Direkomendasikan",ROW($6:$1005)-5),569)),"")</f>
        <v/>
      </c>
      <c r="H570" t="str">
        <f t="array" aca="1" ref="H570" ca="1">IFERROR(IF(OR(INDEX(checklistPesertaKemenkeu!$L$6:$L$1005,SMALL(IF(checklistPesertaKemenkeu!$AY$6:$AY$1005="Direkomendasikan",ROW($6:$1005)-5),569))="",INDEX(checklistPesertaKemenkeu!$J$6:$J$1005,SMALL(IF(checklistPesertaKemenkeu!$AY$6:$AY$1005="Direkomendasikan",ROW($6:$1005)-5),569))=""),"",IF(AND(COUNTIF(INDIRECT("K_"&amp;MATCH(INDEX(checklistPesertaKemenkeu!$J$6:$J$1005,SMALL(IF(checklistPesertaKemenkeu!$AY$6:$AY$1005="Direkomendasikan",ROW($6:$1005)-5),569)),BidangList,0)),INDEX(checklistPesertaKemenkeu!$L$6:$L$1005,SMALL(IF(checklistPesertaKemenkeu!$AY$6:$AY$1005="Direkomendasikan",ROW($6:$1005)-5),569)))&gt;0,COUNTIF(INDIRECT("'KERTAS KERJA'!K"&amp;(SMALL(IF(checklistPesertaKemenkeu!$AY$6:$AY$1005="Direkomendasikan",ROW($6:$1005)-5),569)+5)&amp;":O"&amp;(SMALL(IF(checklistPesertaKemenkeu!$AY$6:$AY$1005="Direkomendasikan",ROW($6:$1005)-5),569)+5)),INDEX(checklistPesertaKemenkeu!$L$6:$L$1005,SMALL(IF(checklistPesertaKemenkeu!$AY$6:$AY$1005="Direkomendasikan",ROW($6:$1005)-5),569)))=1),IFERROR(VLOOKUP(INDEX(checklistPesertaKemenkeu!$L$6:$L$1005,SMALL(IF(checklistPesertaKemenkeu!$AY$6:$AY$1005="Direkomendasikan",ROW($6:$1005)-5),569)),KotaKode,2,0),"-"),"")),"")</f>
        <v/>
      </c>
      <c r="I570" t="str">
        <f t="array" aca="1" ref="I570" ca="1">IFERROR(IF(OR(INDEX(checklistPesertaKemenkeu!$M$6:$M$1005,SMALL(IF(checklistPesertaKemenkeu!$AY$6:$AY$1005="Direkomendasikan",ROW($6:$1005)-5),569))="",INDEX(checklistPesertaKemenkeu!$J$6:$J$1005,SMALL(IF(checklistPesertaKemenkeu!$AY$6:$AY$1005="Direkomendasikan",ROW($6:$1005)-5),569))=""),"",IF(AND(COUNTIF(INDIRECT("K_"&amp;MATCH(INDEX(checklistPesertaKemenkeu!$J$6:$J$1005,SMALL(IF(checklistPesertaKemenkeu!$AY$6:$AY$1005="Direkomendasikan",ROW($6:$1005)-5),569)),BidangList,0)),INDEX(checklistPesertaKemenkeu!$M$6:$M$1005,SMALL(IF(checklistPesertaKemenkeu!$AY$6:$AY$1005="Direkomendasikan",ROW($6:$1005)-5),569)))&gt;0,COUNTIF(INDIRECT("'KERTAS KERJA'!K"&amp;(SMALL(IF(checklistPesertaKemenkeu!$AY$6:$AY$1005="Direkomendasikan",ROW($6:$1005)-5),569)+5)&amp;":O"&amp;(SMALL(IF(checklistPesertaKemenkeu!$AY$6:$AY$1005="Direkomendasikan",ROW($6:$1005)-5),569)+5)),INDEX(checklistPesertaKemenkeu!$M$6:$M$1005,SMALL(IF(checklistPesertaKemenkeu!$AY$6:$AY$1005="Direkomendasikan",ROW($6:$1005)-5),569)))=1),IFERROR(VLOOKUP(INDEX(checklistPesertaKemenkeu!$M$6:$M$1005,SMALL(IF(checklistPesertaKemenkeu!$AY$6:$AY$1005="Direkomendasikan",ROW($6:$1005)-5),569)),KotaKode,2,0),"-"),"")),"")</f>
        <v/>
      </c>
      <c r="J570" t="str">
        <f t="array" aca="1" ref="J570" ca="1">IFERROR(IF(OR(INDEX(checklistPesertaKemenkeu!$N$6:$N$1005,SMALL(IF(checklistPesertaKemenkeu!$AY$6:$AY$1005="Direkomendasikan",ROW($6:$1005)-5),569))="",INDEX(checklistPesertaKemenkeu!$J$6:$J$1005,SMALL(IF(checklistPesertaKemenkeu!$AY$6:$AY$1005="Direkomendasikan",ROW($6:$1005)-5),569))=""),"",IF(AND(COUNTIF(INDIRECT("K_"&amp;MATCH(INDEX(checklistPesertaKemenkeu!$J$6:$J$1005,SMALL(IF(checklistPesertaKemenkeu!$AY$6:$AY$1005="Direkomendasikan",ROW($6:$1005)-5),569)),BidangList,0)),INDEX(checklistPesertaKemenkeu!$N$6:$N$1005,SMALL(IF(checklistPesertaKemenkeu!$AY$6:$AY$1005="Direkomendasikan",ROW($6:$1005)-5),569)))&gt;0,COUNTIF(INDIRECT("'KERTAS KERJA'!K"&amp;(SMALL(IF(checklistPesertaKemenkeu!$AY$6:$AY$1005="Direkomendasikan",ROW($6:$1005)-5),569)+5)&amp;":O"&amp;(SMALL(IF(checklistPesertaKemenkeu!$AY$6:$AY$1005="Direkomendasikan",ROW($6:$1005)-5),569)+5)),INDEX(checklistPesertaKemenkeu!$N$6:$N$1005,SMALL(IF(checklistPesertaKemenkeu!$AY$6:$AY$1005="Direkomendasikan",ROW($6:$1005)-5),569)))=1),IFERROR(VLOOKUP(INDEX(checklistPesertaKemenkeu!$N$6:$N$1005,SMALL(IF(checklistPesertaKemenkeu!$AY$6:$AY$1005="Direkomendasikan",ROW($6:$1005)-5),569)),KotaKode,2,0),"-"),"")),"")</f>
        <v/>
      </c>
      <c r="K570" t="str">
        <f t="array" aca="1" ref="K570" ca="1">IFERROR(IF(OR(INDEX(checklistPesertaKemenkeu!$O$6:$O$1005,SMALL(IF(checklistPesertaKemenkeu!$AY$6:$AY$1005="Direkomendasikan",ROW($6:$1005)-5),569))="",INDEX(checklistPesertaKemenkeu!$J$6:$J$1005,SMALL(IF(checklistPesertaKemenkeu!$AY$6:$AY$1005="Direkomendasikan",ROW($6:$1005)-5),569))=""),"",IF(AND(COUNTIF(INDIRECT("K_"&amp;MATCH(INDEX(checklistPesertaKemenkeu!$J$6:$J$1005,SMALL(IF(checklistPesertaKemenkeu!$AY$6:$AY$1005="Direkomendasikan",ROW($6:$1005)-5),569)),BidangList,0)),INDEX(checklistPesertaKemenkeu!$O$6:$O$1005,SMALL(IF(checklistPesertaKemenkeu!$AY$6:$AY$1005="Direkomendasikan",ROW($6:$1005)-5),569)))&gt;0,COUNTIF(INDIRECT("'KERTAS KERJA'!K"&amp;(SMALL(IF(checklistPesertaKemenkeu!$AY$6:$AY$1005="Direkomendasikan",ROW($6:$1005)-5),569)+5)&amp;":O"&amp;(SMALL(IF(checklistPesertaKemenkeu!$AY$6:$AY$1005="Direkomendasikan",ROW($6:$1005)-5),569)+5)),INDEX(checklistPesertaKemenkeu!$O$6:$O$1005,SMALL(IF(checklistPesertaKemenkeu!$AY$6:$AY$1005="Direkomendasikan",ROW($6:$1005)-5),569)))=1),IFERROR(VLOOKUP(INDEX(checklistPesertaKemenkeu!$O$6:$O$1005,SMALL(IF(checklistPesertaKemenkeu!$AY$6:$AY$1005="Direkomendasikan",ROW($6:$1005)-5),569)),KotaKode,2,0),"-"),"")),"")</f>
        <v/>
      </c>
      <c r="L570" t="str">
        <f t="array" aca="1" ref="L570" ca="1">IFERROR(IF(OR(INDEX(checklistPesertaKemenkeu!$P$6:$P$1005,SMALL(IF(checklistPesertaKemenkeu!$AY$6:$AY$1005="Direkomendasikan",ROW($6:$1005)-5),569))="",INDEX(checklistPesertaKemenkeu!$J$6:$J$1005,SMALL(IF(checklistPesertaKemenkeu!$AY$6:$AY$1005="Direkomendasikan",ROW($6:$1005)-5),569))=""),"",IF(AND(COUNTIF(INDIRECT("K_"&amp;MATCH(INDEX(checklistPesertaKemenkeu!$J$6:$J$1005,SMALL(IF(checklistPesertaKemenkeu!$AY$6:$AY$1005="Direkomendasikan",ROW($6:$1005)-5),569)),BidangList,0)),INDEX(checklistPesertaKemenkeu!$P$6:$P$1005,SMALL(IF(checklistPesertaKemenkeu!$AY$6:$AY$1005="Direkomendasikan",ROW($6:$1005)-5),569)))&gt;0,COUNTIF(INDIRECT("'KERTAS KERJA'!K"&amp;(SMALL(IF(checklistPesertaKemenkeu!$AY$6:$AY$1005="Direkomendasikan",ROW($6:$1005)-5),569)+5)&amp;":O"&amp;(SMALL(IF(checklistPesertaKemenkeu!$AY$6:$AY$1005="Direkomendasikan",ROW($6:$1005)-5),569)+5)),INDEX(checklistPesertaKemenkeu!$P$6:$P$1005,SMALL(IF(checklistPesertaKemenkeu!$AY$6:$AY$1005="Direkomendasikan",ROW($6:$1005)-5),569)))=1),IFERROR(VLOOKUP(INDEX(checklistPesertaKemenkeu!$P$6:$P$1005,SMALL(IF(checklistPesertaKemenkeu!$AY$6:$AY$1005="Direkomendasikan",ROW($6:$1005)-5),569)),KotaKode,2,0),"-"),"")),"")</f>
        <v/>
      </c>
    </row>
    <row r="571" spans="1:12" ht="15" customHeight="1" x14ac:dyDescent="0.2">
      <c r="A571" t="str">
        <f t="shared" si="8"/>
        <v/>
      </c>
      <c r="B571" t="str">
        <v/>
      </c>
      <c r="C571" s="40" t="str">
        <f t="array" ref="C571">IFERROR(INDEX(checklistPesertaKemenkeu!$F$6:$F$1005,SMALL(IF(checklistPesertaKemenkeu!$AY$6:$AY$1005="Direkomendasikan",ROW($6:$1005)-5),570)),"")</f>
        <v/>
      </c>
      <c r="D571" t="str">
        <f t="array" ref="D571">IFERROR(INDEX(checklistPesertaKemenkeu!$G$6:$G$1005,SMALL(IF(checklistPesertaKemenkeu!$AY$6:$AY$1005="Direkomendasikan",ROW($6:$1005)-5),570)),"")</f>
        <v/>
      </c>
      <c r="E571" t="str">
        <f t="array" ref="E571">IFERROR(INDEX(checklistPesertaKemenkeu!$H$6:$H$1005,SMALL(IF(checklistPesertaKemenkeu!$AY$6:$AY$1005="Direkomendasikan",ROW($6:$1005)-5),570)),"")</f>
        <v/>
      </c>
      <c r="F571" t="str">
        <f t="array" ref="F571">IFERROR(INDEX(checklistPesertaKemenkeu!$I$6:$I$1005,SMALL(IF(checklistPesertaKemenkeu!$AY$6:$AY$1005="Direkomendasikan",ROW($6:$1005)-5),570)),"")</f>
        <v/>
      </c>
      <c r="G571" t="str">
        <f t="array" ref="G571">IFERROR(INDEX(checklistPesertaKemenkeu!$J$6:$J$1005,SMALL(IF(checklistPesertaKemenkeu!$AY$6:$AY$1005="Direkomendasikan",ROW($6:$1005)-5),570)),"")</f>
        <v/>
      </c>
      <c r="H571" t="str">
        <f t="array" aca="1" ref="H571" ca="1">IFERROR(IF(OR(INDEX(checklistPesertaKemenkeu!$L$6:$L$1005,SMALL(IF(checklistPesertaKemenkeu!$AY$6:$AY$1005="Direkomendasikan",ROW($6:$1005)-5),570))="",INDEX(checklistPesertaKemenkeu!$J$6:$J$1005,SMALL(IF(checklistPesertaKemenkeu!$AY$6:$AY$1005="Direkomendasikan",ROW($6:$1005)-5),570))=""),"",IF(AND(COUNTIF(INDIRECT("K_"&amp;MATCH(INDEX(checklistPesertaKemenkeu!$J$6:$J$1005,SMALL(IF(checklistPesertaKemenkeu!$AY$6:$AY$1005="Direkomendasikan",ROW($6:$1005)-5),570)),BidangList,0)),INDEX(checklistPesertaKemenkeu!$L$6:$L$1005,SMALL(IF(checklistPesertaKemenkeu!$AY$6:$AY$1005="Direkomendasikan",ROW($6:$1005)-5),570)))&gt;0,COUNTIF(INDIRECT("'KERTAS KERJA'!K"&amp;(SMALL(IF(checklistPesertaKemenkeu!$AY$6:$AY$1005="Direkomendasikan",ROW($6:$1005)-5),570)+5)&amp;":O"&amp;(SMALL(IF(checklistPesertaKemenkeu!$AY$6:$AY$1005="Direkomendasikan",ROW($6:$1005)-5),570)+5)),INDEX(checklistPesertaKemenkeu!$L$6:$L$1005,SMALL(IF(checklistPesertaKemenkeu!$AY$6:$AY$1005="Direkomendasikan",ROW($6:$1005)-5),570)))=1),IFERROR(VLOOKUP(INDEX(checklistPesertaKemenkeu!$L$6:$L$1005,SMALL(IF(checklistPesertaKemenkeu!$AY$6:$AY$1005="Direkomendasikan",ROW($6:$1005)-5),570)),KotaKode,2,0),"-"),"")),"")</f>
        <v/>
      </c>
      <c r="I571" t="str">
        <f t="array" aca="1" ref="I571" ca="1">IFERROR(IF(OR(INDEX(checklistPesertaKemenkeu!$M$6:$M$1005,SMALL(IF(checklistPesertaKemenkeu!$AY$6:$AY$1005="Direkomendasikan",ROW($6:$1005)-5),570))="",INDEX(checklistPesertaKemenkeu!$J$6:$J$1005,SMALL(IF(checklistPesertaKemenkeu!$AY$6:$AY$1005="Direkomendasikan",ROW($6:$1005)-5),570))=""),"",IF(AND(COUNTIF(INDIRECT("K_"&amp;MATCH(INDEX(checklistPesertaKemenkeu!$J$6:$J$1005,SMALL(IF(checklistPesertaKemenkeu!$AY$6:$AY$1005="Direkomendasikan",ROW($6:$1005)-5),570)),BidangList,0)),INDEX(checklistPesertaKemenkeu!$M$6:$M$1005,SMALL(IF(checklistPesertaKemenkeu!$AY$6:$AY$1005="Direkomendasikan",ROW($6:$1005)-5),570)))&gt;0,COUNTIF(INDIRECT("'KERTAS KERJA'!K"&amp;(SMALL(IF(checklistPesertaKemenkeu!$AY$6:$AY$1005="Direkomendasikan",ROW($6:$1005)-5),570)+5)&amp;":O"&amp;(SMALL(IF(checklistPesertaKemenkeu!$AY$6:$AY$1005="Direkomendasikan",ROW($6:$1005)-5),570)+5)),INDEX(checklistPesertaKemenkeu!$M$6:$M$1005,SMALL(IF(checklistPesertaKemenkeu!$AY$6:$AY$1005="Direkomendasikan",ROW($6:$1005)-5),570)))=1),IFERROR(VLOOKUP(INDEX(checklistPesertaKemenkeu!$M$6:$M$1005,SMALL(IF(checklistPesertaKemenkeu!$AY$6:$AY$1005="Direkomendasikan",ROW($6:$1005)-5),570)),KotaKode,2,0),"-"),"")),"")</f>
        <v/>
      </c>
      <c r="J571" t="str">
        <f t="array" aca="1" ref="J571" ca="1">IFERROR(IF(OR(INDEX(checklistPesertaKemenkeu!$N$6:$N$1005,SMALL(IF(checklistPesertaKemenkeu!$AY$6:$AY$1005="Direkomendasikan",ROW($6:$1005)-5),570))="",INDEX(checklistPesertaKemenkeu!$J$6:$J$1005,SMALL(IF(checklistPesertaKemenkeu!$AY$6:$AY$1005="Direkomendasikan",ROW($6:$1005)-5),570))=""),"",IF(AND(COUNTIF(INDIRECT("K_"&amp;MATCH(INDEX(checklistPesertaKemenkeu!$J$6:$J$1005,SMALL(IF(checklistPesertaKemenkeu!$AY$6:$AY$1005="Direkomendasikan",ROW($6:$1005)-5),570)),BidangList,0)),INDEX(checklistPesertaKemenkeu!$N$6:$N$1005,SMALL(IF(checklistPesertaKemenkeu!$AY$6:$AY$1005="Direkomendasikan",ROW($6:$1005)-5),570)))&gt;0,COUNTIF(INDIRECT("'KERTAS KERJA'!K"&amp;(SMALL(IF(checklistPesertaKemenkeu!$AY$6:$AY$1005="Direkomendasikan",ROW($6:$1005)-5),570)+5)&amp;":O"&amp;(SMALL(IF(checklistPesertaKemenkeu!$AY$6:$AY$1005="Direkomendasikan",ROW($6:$1005)-5),570)+5)),INDEX(checklistPesertaKemenkeu!$N$6:$N$1005,SMALL(IF(checklistPesertaKemenkeu!$AY$6:$AY$1005="Direkomendasikan",ROW($6:$1005)-5),570)))=1),IFERROR(VLOOKUP(INDEX(checklistPesertaKemenkeu!$N$6:$N$1005,SMALL(IF(checklistPesertaKemenkeu!$AY$6:$AY$1005="Direkomendasikan",ROW($6:$1005)-5),570)),KotaKode,2,0),"-"),"")),"")</f>
        <v/>
      </c>
      <c r="K571" t="str">
        <f t="array" aca="1" ref="K571" ca="1">IFERROR(IF(OR(INDEX(checklistPesertaKemenkeu!$O$6:$O$1005,SMALL(IF(checklistPesertaKemenkeu!$AY$6:$AY$1005="Direkomendasikan",ROW($6:$1005)-5),570))="",INDEX(checklistPesertaKemenkeu!$J$6:$J$1005,SMALL(IF(checklistPesertaKemenkeu!$AY$6:$AY$1005="Direkomendasikan",ROW($6:$1005)-5),570))=""),"",IF(AND(COUNTIF(INDIRECT("K_"&amp;MATCH(INDEX(checklistPesertaKemenkeu!$J$6:$J$1005,SMALL(IF(checklistPesertaKemenkeu!$AY$6:$AY$1005="Direkomendasikan",ROW($6:$1005)-5),570)),BidangList,0)),INDEX(checklistPesertaKemenkeu!$O$6:$O$1005,SMALL(IF(checklistPesertaKemenkeu!$AY$6:$AY$1005="Direkomendasikan",ROW($6:$1005)-5),570)))&gt;0,COUNTIF(INDIRECT("'KERTAS KERJA'!K"&amp;(SMALL(IF(checklistPesertaKemenkeu!$AY$6:$AY$1005="Direkomendasikan",ROW($6:$1005)-5),570)+5)&amp;":O"&amp;(SMALL(IF(checklistPesertaKemenkeu!$AY$6:$AY$1005="Direkomendasikan",ROW($6:$1005)-5),570)+5)),INDEX(checklistPesertaKemenkeu!$O$6:$O$1005,SMALL(IF(checklistPesertaKemenkeu!$AY$6:$AY$1005="Direkomendasikan",ROW($6:$1005)-5),570)))=1),IFERROR(VLOOKUP(INDEX(checklistPesertaKemenkeu!$O$6:$O$1005,SMALL(IF(checklistPesertaKemenkeu!$AY$6:$AY$1005="Direkomendasikan",ROW($6:$1005)-5),570)),KotaKode,2,0),"-"),"")),"")</f>
        <v/>
      </c>
      <c r="L571" t="str">
        <f t="array" aca="1" ref="L571" ca="1">IFERROR(IF(OR(INDEX(checklistPesertaKemenkeu!$P$6:$P$1005,SMALL(IF(checklistPesertaKemenkeu!$AY$6:$AY$1005="Direkomendasikan",ROW($6:$1005)-5),570))="",INDEX(checklistPesertaKemenkeu!$J$6:$J$1005,SMALL(IF(checklistPesertaKemenkeu!$AY$6:$AY$1005="Direkomendasikan",ROW($6:$1005)-5),570))=""),"",IF(AND(COUNTIF(INDIRECT("K_"&amp;MATCH(INDEX(checklistPesertaKemenkeu!$J$6:$J$1005,SMALL(IF(checklistPesertaKemenkeu!$AY$6:$AY$1005="Direkomendasikan",ROW($6:$1005)-5),570)),BidangList,0)),INDEX(checklistPesertaKemenkeu!$P$6:$P$1005,SMALL(IF(checklistPesertaKemenkeu!$AY$6:$AY$1005="Direkomendasikan",ROW($6:$1005)-5),570)))&gt;0,COUNTIF(INDIRECT("'KERTAS KERJA'!K"&amp;(SMALL(IF(checklistPesertaKemenkeu!$AY$6:$AY$1005="Direkomendasikan",ROW($6:$1005)-5),570)+5)&amp;":O"&amp;(SMALL(IF(checklistPesertaKemenkeu!$AY$6:$AY$1005="Direkomendasikan",ROW($6:$1005)-5),570)+5)),INDEX(checklistPesertaKemenkeu!$P$6:$P$1005,SMALL(IF(checklistPesertaKemenkeu!$AY$6:$AY$1005="Direkomendasikan",ROW($6:$1005)-5),570)))=1),IFERROR(VLOOKUP(INDEX(checklistPesertaKemenkeu!$P$6:$P$1005,SMALL(IF(checklistPesertaKemenkeu!$AY$6:$AY$1005="Direkomendasikan",ROW($6:$1005)-5),570)),KotaKode,2,0),"-"),"")),"")</f>
        <v/>
      </c>
    </row>
    <row r="572" spans="1:12" ht="15" customHeight="1" x14ac:dyDescent="0.2">
      <c r="A572" t="str">
        <f t="shared" si="8"/>
        <v/>
      </c>
      <c r="B572" t="str">
        <v/>
      </c>
      <c r="C572" s="40" t="str">
        <f t="array" ref="C572">IFERROR(INDEX(checklistPesertaKemenkeu!$F$6:$F$1005,SMALL(IF(checklistPesertaKemenkeu!$AY$6:$AY$1005="Direkomendasikan",ROW($6:$1005)-5),571)),"")</f>
        <v/>
      </c>
      <c r="D572" t="str">
        <f t="array" ref="D572">IFERROR(INDEX(checklistPesertaKemenkeu!$G$6:$G$1005,SMALL(IF(checklistPesertaKemenkeu!$AY$6:$AY$1005="Direkomendasikan",ROW($6:$1005)-5),571)),"")</f>
        <v/>
      </c>
      <c r="E572" t="str">
        <f t="array" ref="E572">IFERROR(INDEX(checklistPesertaKemenkeu!$H$6:$H$1005,SMALL(IF(checklistPesertaKemenkeu!$AY$6:$AY$1005="Direkomendasikan",ROW($6:$1005)-5),571)),"")</f>
        <v/>
      </c>
      <c r="F572" t="str">
        <f t="array" ref="F572">IFERROR(INDEX(checklistPesertaKemenkeu!$I$6:$I$1005,SMALL(IF(checklistPesertaKemenkeu!$AY$6:$AY$1005="Direkomendasikan",ROW($6:$1005)-5),571)),"")</f>
        <v/>
      </c>
      <c r="G572" t="str">
        <f t="array" ref="G572">IFERROR(INDEX(checklistPesertaKemenkeu!$J$6:$J$1005,SMALL(IF(checklistPesertaKemenkeu!$AY$6:$AY$1005="Direkomendasikan",ROW($6:$1005)-5),571)),"")</f>
        <v/>
      </c>
      <c r="H572" t="str">
        <f t="array" aca="1" ref="H572" ca="1">IFERROR(IF(OR(INDEX(checklistPesertaKemenkeu!$L$6:$L$1005,SMALL(IF(checklistPesertaKemenkeu!$AY$6:$AY$1005="Direkomendasikan",ROW($6:$1005)-5),571))="",INDEX(checklistPesertaKemenkeu!$J$6:$J$1005,SMALL(IF(checklistPesertaKemenkeu!$AY$6:$AY$1005="Direkomendasikan",ROW($6:$1005)-5),571))=""),"",IF(AND(COUNTIF(INDIRECT("K_"&amp;MATCH(INDEX(checklistPesertaKemenkeu!$J$6:$J$1005,SMALL(IF(checklistPesertaKemenkeu!$AY$6:$AY$1005="Direkomendasikan",ROW($6:$1005)-5),571)),BidangList,0)),INDEX(checklistPesertaKemenkeu!$L$6:$L$1005,SMALL(IF(checklistPesertaKemenkeu!$AY$6:$AY$1005="Direkomendasikan",ROW($6:$1005)-5),571)))&gt;0,COUNTIF(INDIRECT("'KERTAS KERJA'!K"&amp;(SMALL(IF(checklistPesertaKemenkeu!$AY$6:$AY$1005="Direkomendasikan",ROW($6:$1005)-5),571)+5)&amp;":O"&amp;(SMALL(IF(checklistPesertaKemenkeu!$AY$6:$AY$1005="Direkomendasikan",ROW($6:$1005)-5),571)+5)),INDEX(checklistPesertaKemenkeu!$L$6:$L$1005,SMALL(IF(checklistPesertaKemenkeu!$AY$6:$AY$1005="Direkomendasikan",ROW($6:$1005)-5),571)))=1),IFERROR(VLOOKUP(INDEX(checklistPesertaKemenkeu!$L$6:$L$1005,SMALL(IF(checklistPesertaKemenkeu!$AY$6:$AY$1005="Direkomendasikan",ROW($6:$1005)-5),571)),KotaKode,2,0),"-"),"")),"")</f>
        <v/>
      </c>
      <c r="I572" t="str">
        <f t="array" aca="1" ref="I572" ca="1">IFERROR(IF(OR(INDEX(checklistPesertaKemenkeu!$M$6:$M$1005,SMALL(IF(checklistPesertaKemenkeu!$AY$6:$AY$1005="Direkomendasikan",ROW($6:$1005)-5),571))="",INDEX(checklistPesertaKemenkeu!$J$6:$J$1005,SMALL(IF(checklistPesertaKemenkeu!$AY$6:$AY$1005="Direkomendasikan",ROW($6:$1005)-5),571))=""),"",IF(AND(COUNTIF(INDIRECT("K_"&amp;MATCH(INDEX(checklistPesertaKemenkeu!$J$6:$J$1005,SMALL(IF(checklistPesertaKemenkeu!$AY$6:$AY$1005="Direkomendasikan",ROW($6:$1005)-5),571)),BidangList,0)),INDEX(checklistPesertaKemenkeu!$M$6:$M$1005,SMALL(IF(checklistPesertaKemenkeu!$AY$6:$AY$1005="Direkomendasikan",ROW($6:$1005)-5),571)))&gt;0,COUNTIF(INDIRECT("'KERTAS KERJA'!K"&amp;(SMALL(IF(checklistPesertaKemenkeu!$AY$6:$AY$1005="Direkomendasikan",ROW($6:$1005)-5),571)+5)&amp;":O"&amp;(SMALL(IF(checklistPesertaKemenkeu!$AY$6:$AY$1005="Direkomendasikan",ROW($6:$1005)-5),571)+5)),INDEX(checklistPesertaKemenkeu!$M$6:$M$1005,SMALL(IF(checklistPesertaKemenkeu!$AY$6:$AY$1005="Direkomendasikan",ROW($6:$1005)-5),571)))=1),IFERROR(VLOOKUP(INDEX(checklistPesertaKemenkeu!$M$6:$M$1005,SMALL(IF(checklistPesertaKemenkeu!$AY$6:$AY$1005="Direkomendasikan",ROW($6:$1005)-5),571)),KotaKode,2,0),"-"),"")),"")</f>
        <v/>
      </c>
      <c r="J572" t="str">
        <f t="array" aca="1" ref="J572" ca="1">IFERROR(IF(OR(INDEX(checklistPesertaKemenkeu!$N$6:$N$1005,SMALL(IF(checklistPesertaKemenkeu!$AY$6:$AY$1005="Direkomendasikan",ROW($6:$1005)-5),571))="",INDEX(checklistPesertaKemenkeu!$J$6:$J$1005,SMALL(IF(checklistPesertaKemenkeu!$AY$6:$AY$1005="Direkomendasikan",ROW($6:$1005)-5),571))=""),"",IF(AND(COUNTIF(INDIRECT("K_"&amp;MATCH(INDEX(checklistPesertaKemenkeu!$J$6:$J$1005,SMALL(IF(checklistPesertaKemenkeu!$AY$6:$AY$1005="Direkomendasikan",ROW($6:$1005)-5),571)),BidangList,0)),INDEX(checklistPesertaKemenkeu!$N$6:$N$1005,SMALL(IF(checklistPesertaKemenkeu!$AY$6:$AY$1005="Direkomendasikan",ROW($6:$1005)-5),571)))&gt;0,COUNTIF(INDIRECT("'KERTAS KERJA'!K"&amp;(SMALL(IF(checklistPesertaKemenkeu!$AY$6:$AY$1005="Direkomendasikan",ROW($6:$1005)-5),571)+5)&amp;":O"&amp;(SMALL(IF(checklistPesertaKemenkeu!$AY$6:$AY$1005="Direkomendasikan",ROW($6:$1005)-5),571)+5)),INDEX(checklistPesertaKemenkeu!$N$6:$N$1005,SMALL(IF(checklistPesertaKemenkeu!$AY$6:$AY$1005="Direkomendasikan",ROW($6:$1005)-5),571)))=1),IFERROR(VLOOKUP(INDEX(checklistPesertaKemenkeu!$N$6:$N$1005,SMALL(IF(checklistPesertaKemenkeu!$AY$6:$AY$1005="Direkomendasikan",ROW($6:$1005)-5),571)),KotaKode,2,0),"-"),"")),"")</f>
        <v/>
      </c>
      <c r="K572" t="str">
        <f t="array" aca="1" ref="K572" ca="1">IFERROR(IF(OR(INDEX(checklistPesertaKemenkeu!$O$6:$O$1005,SMALL(IF(checklistPesertaKemenkeu!$AY$6:$AY$1005="Direkomendasikan",ROW($6:$1005)-5),571))="",INDEX(checklistPesertaKemenkeu!$J$6:$J$1005,SMALL(IF(checklistPesertaKemenkeu!$AY$6:$AY$1005="Direkomendasikan",ROW($6:$1005)-5),571))=""),"",IF(AND(COUNTIF(INDIRECT("K_"&amp;MATCH(INDEX(checklistPesertaKemenkeu!$J$6:$J$1005,SMALL(IF(checklistPesertaKemenkeu!$AY$6:$AY$1005="Direkomendasikan",ROW($6:$1005)-5),571)),BidangList,0)),INDEX(checklistPesertaKemenkeu!$O$6:$O$1005,SMALL(IF(checklistPesertaKemenkeu!$AY$6:$AY$1005="Direkomendasikan",ROW($6:$1005)-5),571)))&gt;0,COUNTIF(INDIRECT("'KERTAS KERJA'!K"&amp;(SMALL(IF(checklistPesertaKemenkeu!$AY$6:$AY$1005="Direkomendasikan",ROW($6:$1005)-5),571)+5)&amp;":O"&amp;(SMALL(IF(checklistPesertaKemenkeu!$AY$6:$AY$1005="Direkomendasikan",ROW($6:$1005)-5),571)+5)),INDEX(checklistPesertaKemenkeu!$O$6:$O$1005,SMALL(IF(checklistPesertaKemenkeu!$AY$6:$AY$1005="Direkomendasikan",ROW($6:$1005)-5),571)))=1),IFERROR(VLOOKUP(INDEX(checklistPesertaKemenkeu!$O$6:$O$1005,SMALL(IF(checklistPesertaKemenkeu!$AY$6:$AY$1005="Direkomendasikan",ROW($6:$1005)-5),571)),KotaKode,2,0),"-"),"")),"")</f>
        <v/>
      </c>
      <c r="L572" t="str">
        <f t="array" aca="1" ref="L572" ca="1">IFERROR(IF(OR(INDEX(checklistPesertaKemenkeu!$P$6:$P$1005,SMALL(IF(checklistPesertaKemenkeu!$AY$6:$AY$1005="Direkomendasikan",ROW($6:$1005)-5),571))="",INDEX(checklistPesertaKemenkeu!$J$6:$J$1005,SMALL(IF(checklistPesertaKemenkeu!$AY$6:$AY$1005="Direkomendasikan",ROW($6:$1005)-5),571))=""),"",IF(AND(COUNTIF(INDIRECT("K_"&amp;MATCH(INDEX(checklistPesertaKemenkeu!$J$6:$J$1005,SMALL(IF(checklistPesertaKemenkeu!$AY$6:$AY$1005="Direkomendasikan",ROW($6:$1005)-5),571)),BidangList,0)),INDEX(checklistPesertaKemenkeu!$P$6:$P$1005,SMALL(IF(checklistPesertaKemenkeu!$AY$6:$AY$1005="Direkomendasikan",ROW($6:$1005)-5),571)))&gt;0,COUNTIF(INDIRECT("'KERTAS KERJA'!K"&amp;(SMALL(IF(checklistPesertaKemenkeu!$AY$6:$AY$1005="Direkomendasikan",ROW($6:$1005)-5),571)+5)&amp;":O"&amp;(SMALL(IF(checklistPesertaKemenkeu!$AY$6:$AY$1005="Direkomendasikan",ROW($6:$1005)-5),571)+5)),INDEX(checklistPesertaKemenkeu!$P$6:$P$1005,SMALL(IF(checklistPesertaKemenkeu!$AY$6:$AY$1005="Direkomendasikan",ROW($6:$1005)-5),571)))=1),IFERROR(VLOOKUP(INDEX(checklistPesertaKemenkeu!$P$6:$P$1005,SMALL(IF(checklistPesertaKemenkeu!$AY$6:$AY$1005="Direkomendasikan",ROW($6:$1005)-5),571)),KotaKode,2,0),"-"),"")),"")</f>
        <v/>
      </c>
    </row>
    <row r="573" spans="1:12" ht="15" customHeight="1" x14ac:dyDescent="0.2">
      <c r="A573" t="str">
        <f t="shared" si="8"/>
        <v/>
      </c>
      <c r="B573" t="str">
        <v/>
      </c>
      <c r="C573" s="40" t="str">
        <f t="array" ref="C573">IFERROR(INDEX(checklistPesertaKemenkeu!$F$6:$F$1005,SMALL(IF(checklistPesertaKemenkeu!$AY$6:$AY$1005="Direkomendasikan",ROW($6:$1005)-5),572)),"")</f>
        <v/>
      </c>
      <c r="D573" t="str">
        <f t="array" ref="D573">IFERROR(INDEX(checklistPesertaKemenkeu!$G$6:$G$1005,SMALL(IF(checklistPesertaKemenkeu!$AY$6:$AY$1005="Direkomendasikan",ROW($6:$1005)-5),572)),"")</f>
        <v/>
      </c>
      <c r="E573" t="str">
        <f t="array" ref="E573">IFERROR(INDEX(checklistPesertaKemenkeu!$H$6:$H$1005,SMALL(IF(checklistPesertaKemenkeu!$AY$6:$AY$1005="Direkomendasikan",ROW($6:$1005)-5),572)),"")</f>
        <v/>
      </c>
      <c r="F573" t="str">
        <f t="array" ref="F573">IFERROR(INDEX(checklistPesertaKemenkeu!$I$6:$I$1005,SMALL(IF(checklistPesertaKemenkeu!$AY$6:$AY$1005="Direkomendasikan",ROW($6:$1005)-5),572)),"")</f>
        <v/>
      </c>
      <c r="G573" t="str">
        <f t="array" ref="G573">IFERROR(INDEX(checklistPesertaKemenkeu!$J$6:$J$1005,SMALL(IF(checklistPesertaKemenkeu!$AY$6:$AY$1005="Direkomendasikan",ROW($6:$1005)-5),572)),"")</f>
        <v/>
      </c>
      <c r="H573" t="str">
        <f t="array" aca="1" ref="H573" ca="1">IFERROR(IF(OR(INDEX(checklistPesertaKemenkeu!$L$6:$L$1005,SMALL(IF(checklistPesertaKemenkeu!$AY$6:$AY$1005="Direkomendasikan",ROW($6:$1005)-5),572))="",INDEX(checklistPesertaKemenkeu!$J$6:$J$1005,SMALL(IF(checklistPesertaKemenkeu!$AY$6:$AY$1005="Direkomendasikan",ROW($6:$1005)-5),572))=""),"",IF(AND(COUNTIF(INDIRECT("K_"&amp;MATCH(INDEX(checklistPesertaKemenkeu!$J$6:$J$1005,SMALL(IF(checklistPesertaKemenkeu!$AY$6:$AY$1005="Direkomendasikan",ROW($6:$1005)-5),572)),BidangList,0)),INDEX(checklistPesertaKemenkeu!$L$6:$L$1005,SMALL(IF(checklistPesertaKemenkeu!$AY$6:$AY$1005="Direkomendasikan",ROW($6:$1005)-5),572)))&gt;0,COUNTIF(INDIRECT("'KERTAS KERJA'!K"&amp;(SMALL(IF(checklistPesertaKemenkeu!$AY$6:$AY$1005="Direkomendasikan",ROW($6:$1005)-5),572)+5)&amp;":O"&amp;(SMALL(IF(checklistPesertaKemenkeu!$AY$6:$AY$1005="Direkomendasikan",ROW($6:$1005)-5),572)+5)),INDEX(checklistPesertaKemenkeu!$L$6:$L$1005,SMALL(IF(checklistPesertaKemenkeu!$AY$6:$AY$1005="Direkomendasikan",ROW($6:$1005)-5),572)))=1),IFERROR(VLOOKUP(INDEX(checklistPesertaKemenkeu!$L$6:$L$1005,SMALL(IF(checklistPesertaKemenkeu!$AY$6:$AY$1005="Direkomendasikan",ROW($6:$1005)-5),572)),KotaKode,2,0),"-"),"")),"")</f>
        <v/>
      </c>
      <c r="I573" t="str">
        <f t="array" aca="1" ref="I573" ca="1">IFERROR(IF(OR(INDEX(checklistPesertaKemenkeu!$M$6:$M$1005,SMALL(IF(checklistPesertaKemenkeu!$AY$6:$AY$1005="Direkomendasikan",ROW($6:$1005)-5),572))="",INDEX(checklistPesertaKemenkeu!$J$6:$J$1005,SMALL(IF(checklistPesertaKemenkeu!$AY$6:$AY$1005="Direkomendasikan",ROW($6:$1005)-5),572))=""),"",IF(AND(COUNTIF(INDIRECT("K_"&amp;MATCH(INDEX(checklistPesertaKemenkeu!$J$6:$J$1005,SMALL(IF(checklistPesertaKemenkeu!$AY$6:$AY$1005="Direkomendasikan",ROW($6:$1005)-5),572)),BidangList,0)),INDEX(checklistPesertaKemenkeu!$M$6:$M$1005,SMALL(IF(checklistPesertaKemenkeu!$AY$6:$AY$1005="Direkomendasikan",ROW($6:$1005)-5),572)))&gt;0,COUNTIF(INDIRECT("'KERTAS KERJA'!K"&amp;(SMALL(IF(checklistPesertaKemenkeu!$AY$6:$AY$1005="Direkomendasikan",ROW($6:$1005)-5),572)+5)&amp;":O"&amp;(SMALL(IF(checklistPesertaKemenkeu!$AY$6:$AY$1005="Direkomendasikan",ROW($6:$1005)-5),572)+5)),INDEX(checklistPesertaKemenkeu!$M$6:$M$1005,SMALL(IF(checklistPesertaKemenkeu!$AY$6:$AY$1005="Direkomendasikan",ROW($6:$1005)-5),572)))=1),IFERROR(VLOOKUP(INDEX(checklistPesertaKemenkeu!$M$6:$M$1005,SMALL(IF(checklistPesertaKemenkeu!$AY$6:$AY$1005="Direkomendasikan",ROW($6:$1005)-5),572)),KotaKode,2,0),"-"),"")),"")</f>
        <v/>
      </c>
      <c r="J573" t="str">
        <f t="array" aca="1" ref="J573" ca="1">IFERROR(IF(OR(INDEX(checklistPesertaKemenkeu!$N$6:$N$1005,SMALL(IF(checklistPesertaKemenkeu!$AY$6:$AY$1005="Direkomendasikan",ROW($6:$1005)-5),572))="",INDEX(checklistPesertaKemenkeu!$J$6:$J$1005,SMALL(IF(checklistPesertaKemenkeu!$AY$6:$AY$1005="Direkomendasikan",ROW($6:$1005)-5),572))=""),"",IF(AND(COUNTIF(INDIRECT("K_"&amp;MATCH(INDEX(checklistPesertaKemenkeu!$J$6:$J$1005,SMALL(IF(checklistPesertaKemenkeu!$AY$6:$AY$1005="Direkomendasikan",ROW($6:$1005)-5),572)),BidangList,0)),INDEX(checklistPesertaKemenkeu!$N$6:$N$1005,SMALL(IF(checklistPesertaKemenkeu!$AY$6:$AY$1005="Direkomendasikan",ROW($6:$1005)-5),572)))&gt;0,COUNTIF(INDIRECT("'KERTAS KERJA'!K"&amp;(SMALL(IF(checklistPesertaKemenkeu!$AY$6:$AY$1005="Direkomendasikan",ROW($6:$1005)-5),572)+5)&amp;":O"&amp;(SMALL(IF(checklistPesertaKemenkeu!$AY$6:$AY$1005="Direkomendasikan",ROW($6:$1005)-5),572)+5)),INDEX(checklistPesertaKemenkeu!$N$6:$N$1005,SMALL(IF(checklistPesertaKemenkeu!$AY$6:$AY$1005="Direkomendasikan",ROW($6:$1005)-5),572)))=1),IFERROR(VLOOKUP(INDEX(checklistPesertaKemenkeu!$N$6:$N$1005,SMALL(IF(checklistPesertaKemenkeu!$AY$6:$AY$1005="Direkomendasikan",ROW($6:$1005)-5),572)),KotaKode,2,0),"-"),"")),"")</f>
        <v/>
      </c>
      <c r="K573" t="str">
        <f t="array" aca="1" ref="K573" ca="1">IFERROR(IF(OR(INDEX(checklistPesertaKemenkeu!$O$6:$O$1005,SMALL(IF(checklistPesertaKemenkeu!$AY$6:$AY$1005="Direkomendasikan",ROW($6:$1005)-5),572))="",INDEX(checklistPesertaKemenkeu!$J$6:$J$1005,SMALL(IF(checklistPesertaKemenkeu!$AY$6:$AY$1005="Direkomendasikan",ROW($6:$1005)-5),572))=""),"",IF(AND(COUNTIF(INDIRECT("K_"&amp;MATCH(INDEX(checklistPesertaKemenkeu!$J$6:$J$1005,SMALL(IF(checklistPesertaKemenkeu!$AY$6:$AY$1005="Direkomendasikan",ROW($6:$1005)-5),572)),BidangList,0)),INDEX(checklistPesertaKemenkeu!$O$6:$O$1005,SMALL(IF(checklistPesertaKemenkeu!$AY$6:$AY$1005="Direkomendasikan",ROW($6:$1005)-5),572)))&gt;0,COUNTIF(INDIRECT("'KERTAS KERJA'!K"&amp;(SMALL(IF(checklistPesertaKemenkeu!$AY$6:$AY$1005="Direkomendasikan",ROW($6:$1005)-5),572)+5)&amp;":O"&amp;(SMALL(IF(checklistPesertaKemenkeu!$AY$6:$AY$1005="Direkomendasikan",ROW($6:$1005)-5),572)+5)),INDEX(checklistPesertaKemenkeu!$O$6:$O$1005,SMALL(IF(checklistPesertaKemenkeu!$AY$6:$AY$1005="Direkomendasikan",ROW($6:$1005)-5),572)))=1),IFERROR(VLOOKUP(INDEX(checklistPesertaKemenkeu!$O$6:$O$1005,SMALL(IF(checklistPesertaKemenkeu!$AY$6:$AY$1005="Direkomendasikan",ROW($6:$1005)-5),572)),KotaKode,2,0),"-"),"")),"")</f>
        <v/>
      </c>
      <c r="L573" t="str">
        <f t="array" aca="1" ref="L573" ca="1">IFERROR(IF(OR(INDEX(checklistPesertaKemenkeu!$P$6:$P$1005,SMALL(IF(checklistPesertaKemenkeu!$AY$6:$AY$1005="Direkomendasikan",ROW($6:$1005)-5),572))="",INDEX(checklistPesertaKemenkeu!$J$6:$J$1005,SMALL(IF(checklistPesertaKemenkeu!$AY$6:$AY$1005="Direkomendasikan",ROW($6:$1005)-5),572))=""),"",IF(AND(COUNTIF(INDIRECT("K_"&amp;MATCH(INDEX(checklistPesertaKemenkeu!$J$6:$J$1005,SMALL(IF(checklistPesertaKemenkeu!$AY$6:$AY$1005="Direkomendasikan",ROW($6:$1005)-5),572)),BidangList,0)),INDEX(checklistPesertaKemenkeu!$P$6:$P$1005,SMALL(IF(checklistPesertaKemenkeu!$AY$6:$AY$1005="Direkomendasikan",ROW($6:$1005)-5),572)))&gt;0,COUNTIF(INDIRECT("'KERTAS KERJA'!K"&amp;(SMALL(IF(checklistPesertaKemenkeu!$AY$6:$AY$1005="Direkomendasikan",ROW($6:$1005)-5),572)+5)&amp;":O"&amp;(SMALL(IF(checklistPesertaKemenkeu!$AY$6:$AY$1005="Direkomendasikan",ROW($6:$1005)-5),572)+5)),INDEX(checklistPesertaKemenkeu!$P$6:$P$1005,SMALL(IF(checklistPesertaKemenkeu!$AY$6:$AY$1005="Direkomendasikan",ROW($6:$1005)-5),572)))=1),IFERROR(VLOOKUP(INDEX(checklistPesertaKemenkeu!$P$6:$P$1005,SMALL(IF(checklistPesertaKemenkeu!$AY$6:$AY$1005="Direkomendasikan",ROW($6:$1005)-5),572)),KotaKode,2,0),"-"),"")),"")</f>
        <v/>
      </c>
    </row>
    <row r="574" spans="1:12" ht="15" customHeight="1" x14ac:dyDescent="0.2">
      <c r="A574" t="str">
        <f t="shared" si="8"/>
        <v/>
      </c>
      <c r="B574" t="str">
        <v/>
      </c>
      <c r="C574" s="40" t="str">
        <f t="array" ref="C574">IFERROR(INDEX(checklistPesertaKemenkeu!$F$6:$F$1005,SMALL(IF(checklistPesertaKemenkeu!$AY$6:$AY$1005="Direkomendasikan",ROW($6:$1005)-5),573)),"")</f>
        <v/>
      </c>
      <c r="D574" t="str">
        <f t="array" ref="D574">IFERROR(INDEX(checklistPesertaKemenkeu!$G$6:$G$1005,SMALL(IF(checklistPesertaKemenkeu!$AY$6:$AY$1005="Direkomendasikan",ROW($6:$1005)-5),573)),"")</f>
        <v/>
      </c>
      <c r="E574" t="str">
        <f t="array" ref="E574">IFERROR(INDEX(checklistPesertaKemenkeu!$H$6:$H$1005,SMALL(IF(checklistPesertaKemenkeu!$AY$6:$AY$1005="Direkomendasikan",ROW($6:$1005)-5),573)),"")</f>
        <v/>
      </c>
      <c r="F574" t="str">
        <f t="array" ref="F574">IFERROR(INDEX(checklistPesertaKemenkeu!$I$6:$I$1005,SMALL(IF(checklistPesertaKemenkeu!$AY$6:$AY$1005="Direkomendasikan",ROW($6:$1005)-5),573)),"")</f>
        <v/>
      </c>
      <c r="G574" t="str">
        <f t="array" ref="G574">IFERROR(INDEX(checklistPesertaKemenkeu!$J$6:$J$1005,SMALL(IF(checklistPesertaKemenkeu!$AY$6:$AY$1005="Direkomendasikan",ROW($6:$1005)-5),573)),"")</f>
        <v/>
      </c>
      <c r="H574" t="str">
        <f t="array" aca="1" ref="H574" ca="1">IFERROR(IF(OR(INDEX(checklistPesertaKemenkeu!$L$6:$L$1005,SMALL(IF(checklistPesertaKemenkeu!$AY$6:$AY$1005="Direkomendasikan",ROW($6:$1005)-5),573))="",INDEX(checklistPesertaKemenkeu!$J$6:$J$1005,SMALL(IF(checklistPesertaKemenkeu!$AY$6:$AY$1005="Direkomendasikan",ROW($6:$1005)-5),573))=""),"",IF(AND(COUNTIF(INDIRECT("K_"&amp;MATCH(INDEX(checklistPesertaKemenkeu!$J$6:$J$1005,SMALL(IF(checklistPesertaKemenkeu!$AY$6:$AY$1005="Direkomendasikan",ROW($6:$1005)-5),573)),BidangList,0)),INDEX(checklistPesertaKemenkeu!$L$6:$L$1005,SMALL(IF(checklistPesertaKemenkeu!$AY$6:$AY$1005="Direkomendasikan",ROW($6:$1005)-5),573)))&gt;0,COUNTIF(INDIRECT("'KERTAS KERJA'!K"&amp;(SMALL(IF(checklistPesertaKemenkeu!$AY$6:$AY$1005="Direkomendasikan",ROW($6:$1005)-5),573)+5)&amp;":O"&amp;(SMALL(IF(checklistPesertaKemenkeu!$AY$6:$AY$1005="Direkomendasikan",ROW($6:$1005)-5),573)+5)),INDEX(checklistPesertaKemenkeu!$L$6:$L$1005,SMALL(IF(checklistPesertaKemenkeu!$AY$6:$AY$1005="Direkomendasikan",ROW($6:$1005)-5),573)))=1),IFERROR(VLOOKUP(INDEX(checklistPesertaKemenkeu!$L$6:$L$1005,SMALL(IF(checklistPesertaKemenkeu!$AY$6:$AY$1005="Direkomendasikan",ROW($6:$1005)-5),573)),KotaKode,2,0),"-"),"")),"")</f>
        <v/>
      </c>
      <c r="I574" t="str">
        <f t="array" aca="1" ref="I574" ca="1">IFERROR(IF(OR(INDEX(checklistPesertaKemenkeu!$M$6:$M$1005,SMALL(IF(checklistPesertaKemenkeu!$AY$6:$AY$1005="Direkomendasikan",ROW($6:$1005)-5),573))="",INDEX(checklistPesertaKemenkeu!$J$6:$J$1005,SMALL(IF(checklistPesertaKemenkeu!$AY$6:$AY$1005="Direkomendasikan",ROW($6:$1005)-5),573))=""),"",IF(AND(COUNTIF(INDIRECT("K_"&amp;MATCH(INDEX(checklistPesertaKemenkeu!$J$6:$J$1005,SMALL(IF(checklistPesertaKemenkeu!$AY$6:$AY$1005="Direkomendasikan",ROW($6:$1005)-5),573)),BidangList,0)),INDEX(checklistPesertaKemenkeu!$M$6:$M$1005,SMALL(IF(checklistPesertaKemenkeu!$AY$6:$AY$1005="Direkomendasikan",ROW($6:$1005)-5),573)))&gt;0,COUNTIF(INDIRECT("'KERTAS KERJA'!K"&amp;(SMALL(IF(checklistPesertaKemenkeu!$AY$6:$AY$1005="Direkomendasikan",ROW($6:$1005)-5),573)+5)&amp;":O"&amp;(SMALL(IF(checklistPesertaKemenkeu!$AY$6:$AY$1005="Direkomendasikan",ROW($6:$1005)-5),573)+5)),INDEX(checklistPesertaKemenkeu!$M$6:$M$1005,SMALL(IF(checklistPesertaKemenkeu!$AY$6:$AY$1005="Direkomendasikan",ROW($6:$1005)-5),573)))=1),IFERROR(VLOOKUP(INDEX(checklistPesertaKemenkeu!$M$6:$M$1005,SMALL(IF(checklistPesertaKemenkeu!$AY$6:$AY$1005="Direkomendasikan",ROW($6:$1005)-5),573)),KotaKode,2,0),"-"),"")),"")</f>
        <v/>
      </c>
      <c r="J574" t="str">
        <f t="array" aca="1" ref="J574" ca="1">IFERROR(IF(OR(INDEX(checklistPesertaKemenkeu!$N$6:$N$1005,SMALL(IF(checklistPesertaKemenkeu!$AY$6:$AY$1005="Direkomendasikan",ROW($6:$1005)-5),573))="",INDEX(checklistPesertaKemenkeu!$J$6:$J$1005,SMALL(IF(checklistPesertaKemenkeu!$AY$6:$AY$1005="Direkomendasikan",ROW($6:$1005)-5),573))=""),"",IF(AND(COUNTIF(INDIRECT("K_"&amp;MATCH(INDEX(checklistPesertaKemenkeu!$J$6:$J$1005,SMALL(IF(checklistPesertaKemenkeu!$AY$6:$AY$1005="Direkomendasikan",ROW($6:$1005)-5),573)),BidangList,0)),INDEX(checklistPesertaKemenkeu!$N$6:$N$1005,SMALL(IF(checklistPesertaKemenkeu!$AY$6:$AY$1005="Direkomendasikan",ROW($6:$1005)-5),573)))&gt;0,COUNTIF(INDIRECT("'KERTAS KERJA'!K"&amp;(SMALL(IF(checklistPesertaKemenkeu!$AY$6:$AY$1005="Direkomendasikan",ROW($6:$1005)-5),573)+5)&amp;":O"&amp;(SMALL(IF(checklistPesertaKemenkeu!$AY$6:$AY$1005="Direkomendasikan",ROW($6:$1005)-5),573)+5)),INDEX(checklistPesertaKemenkeu!$N$6:$N$1005,SMALL(IF(checklistPesertaKemenkeu!$AY$6:$AY$1005="Direkomendasikan",ROW($6:$1005)-5),573)))=1),IFERROR(VLOOKUP(INDEX(checklistPesertaKemenkeu!$N$6:$N$1005,SMALL(IF(checklistPesertaKemenkeu!$AY$6:$AY$1005="Direkomendasikan",ROW($6:$1005)-5),573)),KotaKode,2,0),"-"),"")),"")</f>
        <v/>
      </c>
      <c r="K574" t="str">
        <f t="array" aca="1" ref="K574" ca="1">IFERROR(IF(OR(INDEX(checklistPesertaKemenkeu!$O$6:$O$1005,SMALL(IF(checklistPesertaKemenkeu!$AY$6:$AY$1005="Direkomendasikan",ROW($6:$1005)-5),573))="",INDEX(checklistPesertaKemenkeu!$J$6:$J$1005,SMALL(IF(checklistPesertaKemenkeu!$AY$6:$AY$1005="Direkomendasikan",ROW($6:$1005)-5),573))=""),"",IF(AND(COUNTIF(INDIRECT("K_"&amp;MATCH(INDEX(checklistPesertaKemenkeu!$J$6:$J$1005,SMALL(IF(checklistPesertaKemenkeu!$AY$6:$AY$1005="Direkomendasikan",ROW($6:$1005)-5),573)),BidangList,0)),INDEX(checklistPesertaKemenkeu!$O$6:$O$1005,SMALL(IF(checklistPesertaKemenkeu!$AY$6:$AY$1005="Direkomendasikan",ROW($6:$1005)-5),573)))&gt;0,COUNTIF(INDIRECT("'KERTAS KERJA'!K"&amp;(SMALL(IF(checklistPesertaKemenkeu!$AY$6:$AY$1005="Direkomendasikan",ROW($6:$1005)-5),573)+5)&amp;":O"&amp;(SMALL(IF(checklistPesertaKemenkeu!$AY$6:$AY$1005="Direkomendasikan",ROW($6:$1005)-5),573)+5)),INDEX(checklistPesertaKemenkeu!$O$6:$O$1005,SMALL(IF(checklistPesertaKemenkeu!$AY$6:$AY$1005="Direkomendasikan",ROW($6:$1005)-5),573)))=1),IFERROR(VLOOKUP(INDEX(checklistPesertaKemenkeu!$O$6:$O$1005,SMALL(IF(checklistPesertaKemenkeu!$AY$6:$AY$1005="Direkomendasikan",ROW($6:$1005)-5),573)),KotaKode,2,0),"-"),"")),"")</f>
        <v/>
      </c>
      <c r="L574" t="str">
        <f t="array" aca="1" ref="L574" ca="1">IFERROR(IF(OR(INDEX(checklistPesertaKemenkeu!$P$6:$P$1005,SMALL(IF(checklistPesertaKemenkeu!$AY$6:$AY$1005="Direkomendasikan",ROW($6:$1005)-5),573))="",INDEX(checklistPesertaKemenkeu!$J$6:$J$1005,SMALL(IF(checklistPesertaKemenkeu!$AY$6:$AY$1005="Direkomendasikan",ROW($6:$1005)-5),573))=""),"",IF(AND(COUNTIF(INDIRECT("K_"&amp;MATCH(INDEX(checklistPesertaKemenkeu!$J$6:$J$1005,SMALL(IF(checklistPesertaKemenkeu!$AY$6:$AY$1005="Direkomendasikan",ROW($6:$1005)-5),573)),BidangList,0)),INDEX(checklistPesertaKemenkeu!$P$6:$P$1005,SMALL(IF(checklistPesertaKemenkeu!$AY$6:$AY$1005="Direkomendasikan",ROW($6:$1005)-5),573)))&gt;0,COUNTIF(INDIRECT("'KERTAS KERJA'!K"&amp;(SMALL(IF(checklistPesertaKemenkeu!$AY$6:$AY$1005="Direkomendasikan",ROW($6:$1005)-5),573)+5)&amp;":O"&amp;(SMALL(IF(checklistPesertaKemenkeu!$AY$6:$AY$1005="Direkomendasikan",ROW($6:$1005)-5),573)+5)),INDEX(checklistPesertaKemenkeu!$P$6:$P$1005,SMALL(IF(checklistPesertaKemenkeu!$AY$6:$AY$1005="Direkomendasikan",ROW($6:$1005)-5),573)))=1),IFERROR(VLOOKUP(INDEX(checklistPesertaKemenkeu!$P$6:$P$1005,SMALL(IF(checklistPesertaKemenkeu!$AY$6:$AY$1005="Direkomendasikan",ROW($6:$1005)-5),573)),KotaKode,2,0),"-"),"")),"")</f>
        <v/>
      </c>
    </row>
    <row r="575" spans="1:12" ht="15" customHeight="1" x14ac:dyDescent="0.2">
      <c r="A575" t="str">
        <f t="shared" si="8"/>
        <v/>
      </c>
      <c r="B575" t="str">
        <v/>
      </c>
      <c r="C575" s="40" t="str">
        <f t="array" ref="C575">IFERROR(INDEX(checklistPesertaKemenkeu!$F$6:$F$1005,SMALL(IF(checklistPesertaKemenkeu!$AY$6:$AY$1005="Direkomendasikan",ROW($6:$1005)-5),574)),"")</f>
        <v/>
      </c>
      <c r="D575" t="str">
        <f t="array" ref="D575">IFERROR(INDEX(checklistPesertaKemenkeu!$G$6:$G$1005,SMALL(IF(checklistPesertaKemenkeu!$AY$6:$AY$1005="Direkomendasikan",ROW($6:$1005)-5),574)),"")</f>
        <v/>
      </c>
      <c r="E575" t="str">
        <f t="array" ref="E575">IFERROR(INDEX(checklistPesertaKemenkeu!$H$6:$H$1005,SMALL(IF(checklistPesertaKemenkeu!$AY$6:$AY$1005="Direkomendasikan",ROW($6:$1005)-5),574)),"")</f>
        <v/>
      </c>
      <c r="F575" t="str">
        <f t="array" ref="F575">IFERROR(INDEX(checklistPesertaKemenkeu!$I$6:$I$1005,SMALL(IF(checklistPesertaKemenkeu!$AY$6:$AY$1005="Direkomendasikan",ROW($6:$1005)-5),574)),"")</f>
        <v/>
      </c>
      <c r="G575" t="str">
        <f t="array" ref="G575">IFERROR(INDEX(checklistPesertaKemenkeu!$J$6:$J$1005,SMALL(IF(checklistPesertaKemenkeu!$AY$6:$AY$1005="Direkomendasikan",ROW($6:$1005)-5),574)),"")</f>
        <v/>
      </c>
      <c r="H575" t="str">
        <f t="array" aca="1" ref="H575" ca="1">IFERROR(IF(OR(INDEX(checklistPesertaKemenkeu!$L$6:$L$1005,SMALL(IF(checklistPesertaKemenkeu!$AY$6:$AY$1005="Direkomendasikan",ROW($6:$1005)-5),574))="",INDEX(checklistPesertaKemenkeu!$J$6:$J$1005,SMALL(IF(checklistPesertaKemenkeu!$AY$6:$AY$1005="Direkomendasikan",ROW($6:$1005)-5),574))=""),"",IF(AND(COUNTIF(INDIRECT("K_"&amp;MATCH(INDEX(checklistPesertaKemenkeu!$J$6:$J$1005,SMALL(IF(checklistPesertaKemenkeu!$AY$6:$AY$1005="Direkomendasikan",ROW($6:$1005)-5),574)),BidangList,0)),INDEX(checklistPesertaKemenkeu!$L$6:$L$1005,SMALL(IF(checklistPesertaKemenkeu!$AY$6:$AY$1005="Direkomendasikan",ROW($6:$1005)-5),574)))&gt;0,COUNTIF(INDIRECT("'KERTAS KERJA'!K"&amp;(SMALL(IF(checklistPesertaKemenkeu!$AY$6:$AY$1005="Direkomendasikan",ROW($6:$1005)-5),574)+5)&amp;":O"&amp;(SMALL(IF(checklistPesertaKemenkeu!$AY$6:$AY$1005="Direkomendasikan",ROW($6:$1005)-5),574)+5)),INDEX(checklistPesertaKemenkeu!$L$6:$L$1005,SMALL(IF(checklistPesertaKemenkeu!$AY$6:$AY$1005="Direkomendasikan",ROW($6:$1005)-5),574)))=1),IFERROR(VLOOKUP(INDEX(checklistPesertaKemenkeu!$L$6:$L$1005,SMALL(IF(checklistPesertaKemenkeu!$AY$6:$AY$1005="Direkomendasikan",ROW($6:$1005)-5),574)),KotaKode,2,0),"-"),"")),"")</f>
        <v/>
      </c>
      <c r="I575" t="str">
        <f t="array" aca="1" ref="I575" ca="1">IFERROR(IF(OR(INDEX(checklistPesertaKemenkeu!$M$6:$M$1005,SMALL(IF(checklistPesertaKemenkeu!$AY$6:$AY$1005="Direkomendasikan",ROW($6:$1005)-5),574))="",INDEX(checklistPesertaKemenkeu!$J$6:$J$1005,SMALL(IF(checklistPesertaKemenkeu!$AY$6:$AY$1005="Direkomendasikan",ROW($6:$1005)-5),574))=""),"",IF(AND(COUNTIF(INDIRECT("K_"&amp;MATCH(INDEX(checklistPesertaKemenkeu!$J$6:$J$1005,SMALL(IF(checklistPesertaKemenkeu!$AY$6:$AY$1005="Direkomendasikan",ROW($6:$1005)-5),574)),BidangList,0)),INDEX(checklistPesertaKemenkeu!$M$6:$M$1005,SMALL(IF(checklistPesertaKemenkeu!$AY$6:$AY$1005="Direkomendasikan",ROW($6:$1005)-5),574)))&gt;0,COUNTIF(INDIRECT("'KERTAS KERJA'!K"&amp;(SMALL(IF(checklistPesertaKemenkeu!$AY$6:$AY$1005="Direkomendasikan",ROW($6:$1005)-5),574)+5)&amp;":O"&amp;(SMALL(IF(checklistPesertaKemenkeu!$AY$6:$AY$1005="Direkomendasikan",ROW($6:$1005)-5),574)+5)),INDEX(checklistPesertaKemenkeu!$M$6:$M$1005,SMALL(IF(checklistPesertaKemenkeu!$AY$6:$AY$1005="Direkomendasikan",ROW($6:$1005)-5),574)))=1),IFERROR(VLOOKUP(INDEX(checklistPesertaKemenkeu!$M$6:$M$1005,SMALL(IF(checklistPesertaKemenkeu!$AY$6:$AY$1005="Direkomendasikan",ROW($6:$1005)-5),574)),KotaKode,2,0),"-"),"")),"")</f>
        <v/>
      </c>
      <c r="J575" t="str">
        <f t="array" aca="1" ref="J575" ca="1">IFERROR(IF(OR(INDEX(checklistPesertaKemenkeu!$N$6:$N$1005,SMALL(IF(checklistPesertaKemenkeu!$AY$6:$AY$1005="Direkomendasikan",ROW($6:$1005)-5),574))="",INDEX(checklistPesertaKemenkeu!$J$6:$J$1005,SMALL(IF(checklistPesertaKemenkeu!$AY$6:$AY$1005="Direkomendasikan",ROW($6:$1005)-5),574))=""),"",IF(AND(COUNTIF(INDIRECT("K_"&amp;MATCH(INDEX(checklistPesertaKemenkeu!$J$6:$J$1005,SMALL(IF(checklistPesertaKemenkeu!$AY$6:$AY$1005="Direkomendasikan",ROW($6:$1005)-5),574)),BidangList,0)),INDEX(checklistPesertaKemenkeu!$N$6:$N$1005,SMALL(IF(checklistPesertaKemenkeu!$AY$6:$AY$1005="Direkomendasikan",ROW($6:$1005)-5),574)))&gt;0,COUNTIF(INDIRECT("'KERTAS KERJA'!K"&amp;(SMALL(IF(checklistPesertaKemenkeu!$AY$6:$AY$1005="Direkomendasikan",ROW($6:$1005)-5),574)+5)&amp;":O"&amp;(SMALL(IF(checklistPesertaKemenkeu!$AY$6:$AY$1005="Direkomendasikan",ROW($6:$1005)-5),574)+5)),INDEX(checklistPesertaKemenkeu!$N$6:$N$1005,SMALL(IF(checklistPesertaKemenkeu!$AY$6:$AY$1005="Direkomendasikan",ROW($6:$1005)-5),574)))=1),IFERROR(VLOOKUP(INDEX(checklistPesertaKemenkeu!$N$6:$N$1005,SMALL(IF(checklistPesertaKemenkeu!$AY$6:$AY$1005="Direkomendasikan",ROW($6:$1005)-5),574)),KotaKode,2,0),"-"),"")),"")</f>
        <v/>
      </c>
      <c r="K575" t="str">
        <f t="array" aca="1" ref="K575" ca="1">IFERROR(IF(OR(INDEX(checklistPesertaKemenkeu!$O$6:$O$1005,SMALL(IF(checklistPesertaKemenkeu!$AY$6:$AY$1005="Direkomendasikan",ROW($6:$1005)-5),574))="",INDEX(checklistPesertaKemenkeu!$J$6:$J$1005,SMALL(IF(checklistPesertaKemenkeu!$AY$6:$AY$1005="Direkomendasikan",ROW($6:$1005)-5),574))=""),"",IF(AND(COUNTIF(INDIRECT("K_"&amp;MATCH(INDEX(checklistPesertaKemenkeu!$J$6:$J$1005,SMALL(IF(checklistPesertaKemenkeu!$AY$6:$AY$1005="Direkomendasikan",ROW($6:$1005)-5),574)),BidangList,0)),INDEX(checklistPesertaKemenkeu!$O$6:$O$1005,SMALL(IF(checklistPesertaKemenkeu!$AY$6:$AY$1005="Direkomendasikan",ROW($6:$1005)-5),574)))&gt;0,COUNTIF(INDIRECT("'KERTAS KERJA'!K"&amp;(SMALL(IF(checklistPesertaKemenkeu!$AY$6:$AY$1005="Direkomendasikan",ROW($6:$1005)-5),574)+5)&amp;":O"&amp;(SMALL(IF(checklistPesertaKemenkeu!$AY$6:$AY$1005="Direkomendasikan",ROW($6:$1005)-5),574)+5)),INDEX(checklistPesertaKemenkeu!$O$6:$O$1005,SMALL(IF(checklistPesertaKemenkeu!$AY$6:$AY$1005="Direkomendasikan",ROW($6:$1005)-5),574)))=1),IFERROR(VLOOKUP(INDEX(checklistPesertaKemenkeu!$O$6:$O$1005,SMALL(IF(checklistPesertaKemenkeu!$AY$6:$AY$1005="Direkomendasikan",ROW($6:$1005)-5),574)),KotaKode,2,0),"-"),"")),"")</f>
        <v/>
      </c>
      <c r="L575" t="str">
        <f t="array" aca="1" ref="L575" ca="1">IFERROR(IF(OR(INDEX(checklistPesertaKemenkeu!$P$6:$P$1005,SMALL(IF(checklistPesertaKemenkeu!$AY$6:$AY$1005="Direkomendasikan",ROW($6:$1005)-5),574))="",INDEX(checklistPesertaKemenkeu!$J$6:$J$1005,SMALL(IF(checklistPesertaKemenkeu!$AY$6:$AY$1005="Direkomendasikan",ROW($6:$1005)-5),574))=""),"",IF(AND(COUNTIF(INDIRECT("K_"&amp;MATCH(INDEX(checklistPesertaKemenkeu!$J$6:$J$1005,SMALL(IF(checklistPesertaKemenkeu!$AY$6:$AY$1005="Direkomendasikan",ROW($6:$1005)-5),574)),BidangList,0)),INDEX(checklistPesertaKemenkeu!$P$6:$P$1005,SMALL(IF(checklistPesertaKemenkeu!$AY$6:$AY$1005="Direkomendasikan",ROW($6:$1005)-5),574)))&gt;0,COUNTIF(INDIRECT("'KERTAS KERJA'!K"&amp;(SMALL(IF(checklistPesertaKemenkeu!$AY$6:$AY$1005="Direkomendasikan",ROW($6:$1005)-5),574)+5)&amp;":O"&amp;(SMALL(IF(checklistPesertaKemenkeu!$AY$6:$AY$1005="Direkomendasikan",ROW($6:$1005)-5),574)+5)),INDEX(checklistPesertaKemenkeu!$P$6:$P$1005,SMALL(IF(checklistPesertaKemenkeu!$AY$6:$AY$1005="Direkomendasikan",ROW($6:$1005)-5),574)))=1),IFERROR(VLOOKUP(INDEX(checklistPesertaKemenkeu!$P$6:$P$1005,SMALL(IF(checklistPesertaKemenkeu!$AY$6:$AY$1005="Direkomendasikan",ROW($6:$1005)-5),574)),KotaKode,2,0),"-"),"")),"")</f>
        <v/>
      </c>
    </row>
    <row r="576" spans="1:12" ht="15" customHeight="1" x14ac:dyDescent="0.2">
      <c r="A576" t="str">
        <f t="shared" si="8"/>
        <v/>
      </c>
      <c r="B576" t="str">
        <v/>
      </c>
      <c r="C576" s="40" t="str">
        <f t="array" ref="C576">IFERROR(INDEX(checklistPesertaKemenkeu!$F$6:$F$1005,SMALL(IF(checklistPesertaKemenkeu!$AY$6:$AY$1005="Direkomendasikan",ROW($6:$1005)-5),575)),"")</f>
        <v/>
      </c>
      <c r="D576" t="str">
        <f t="array" ref="D576">IFERROR(INDEX(checklistPesertaKemenkeu!$G$6:$G$1005,SMALL(IF(checklistPesertaKemenkeu!$AY$6:$AY$1005="Direkomendasikan",ROW($6:$1005)-5),575)),"")</f>
        <v/>
      </c>
      <c r="E576" t="str">
        <f t="array" ref="E576">IFERROR(INDEX(checklistPesertaKemenkeu!$H$6:$H$1005,SMALL(IF(checklistPesertaKemenkeu!$AY$6:$AY$1005="Direkomendasikan",ROW($6:$1005)-5),575)),"")</f>
        <v/>
      </c>
      <c r="F576" t="str">
        <f t="array" ref="F576">IFERROR(INDEX(checklistPesertaKemenkeu!$I$6:$I$1005,SMALL(IF(checklistPesertaKemenkeu!$AY$6:$AY$1005="Direkomendasikan",ROW($6:$1005)-5),575)),"")</f>
        <v/>
      </c>
      <c r="G576" t="str">
        <f t="array" ref="G576">IFERROR(INDEX(checklistPesertaKemenkeu!$J$6:$J$1005,SMALL(IF(checklistPesertaKemenkeu!$AY$6:$AY$1005="Direkomendasikan",ROW($6:$1005)-5),575)),"")</f>
        <v/>
      </c>
      <c r="H576" t="str">
        <f t="array" aca="1" ref="H576" ca="1">IFERROR(IF(OR(INDEX(checklistPesertaKemenkeu!$L$6:$L$1005,SMALL(IF(checklistPesertaKemenkeu!$AY$6:$AY$1005="Direkomendasikan",ROW($6:$1005)-5),575))="",INDEX(checklistPesertaKemenkeu!$J$6:$J$1005,SMALL(IF(checklistPesertaKemenkeu!$AY$6:$AY$1005="Direkomendasikan",ROW($6:$1005)-5),575))=""),"",IF(AND(COUNTIF(INDIRECT("K_"&amp;MATCH(INDEX(checklistPesertaKemenkeu!$J$6:$J$1005,SMALL(IF(checklistPesertaKemenkeu!$AY$6:$AY$1005="Direkomendasikan",ROW($6:$1005)-5),575)),BidangList,0)),INDEX(checklistPesertaKemenkeu!$L$6:$L$1005,SMALL(IF(checklistPesertaKemenkeu!$AY$6:$AY$1005="Direkomendasikan",ROW($6:$1005)-5),575)))&gt;0,COUNTIF(INDIRECT("'KERTAS KERJA'!K"&amp;(SMALL(IF(checklistPesertaKemenkeu!$AY$6:$AY$1005="Direkomendasikan",ROW($6:$1005)-5),575)+5)&amp;":O"&amp;(SMALL(IF(checklistPesertaKemenkeu!$AY$6:$AY$1005="Direkomendasikan",ROW($6:$1005)-5),575)+5)),INDEX(checklistPesertaKemenkeu!$L$6:$L$1005,SMALL(IF(checklistPesertaKemenkeu!$AY$6:$AY$1005="Direkomendasikan",ROW($6:$1005)-5),575)))=1),IFERROR(VLOOKUP(INDEX(checklistPesertaKemenkeu!$L$6:$L$1005,SMALL(IF(checklistPesertaKemenkeu!$AY$6:$AY$1005="Direkomendasikan",ROW($6:$1005)-5),575)),KotaKode,2,0),"-"),"")),"")</f>
        <v/>
      </c>
      <c r="I576" t="str">
        <f t="array" aca="1" ref="I576" ca="1">IFERROR(IF(OR(INDEX(checklistPesertaKemenkeu!$M$6:$M$1005,SMALL(IF(checklistPesertaKemenkeu!$AY$6:$AY$1005="Direkomendasikan",ROW($6:$1005)-5),575))="",INDEX(checklistPesertaKemenkeu!$J$6:$J$1005,SMALL(IF(checklistPesertaKemenkeu!$AY$6:$AY$1005="Direkomendasikan",ROW($6:$1005)-5),575))=""),"",IF(AND(COUNTIF(INDIRECT("K_"&amp;MATCH(INDEX(checklistPesertaKemenkeu!$J$6:$J$1005,SMALL(IF(checklistPesertaKemenkeu!$AY$6:$AY$1005="Direkomendasikan",ROW($6:$1005)-5),575)),BidangList,0)),INDEX(checklistPesertaKemenkeu!$M$6:$M$1005,SMALL(IF(checklistPesertaKemenkeu!$AY$6:$AY$1005="Direkomendasikan",ROW($6:$1005)-5),575)))&gt;0,COUNTIF(INDIRECT("'KERTAS KERJA'!K"&amp;(SMALL(IF(checklistPesertaKemenkeu!$AY$6:$AY$1005="Direkomendasikan",ROW($6:$1005)-5),575)+5)&amp;":O"&amp;(SMALL(IF(checklistPesertaKemenkeu!$AY$6:$AY$1005="Direkomendasikan",ROW($6:$1005)-5),575)+5)),INDEX(checklistPesertaKemenkeu!$M$6:$M$1005,SMALL(IF(checklistPesertaKemenkeu!$AY$6:$AY$1005="Direkomendasikan",ROW($6:$1005)-5),575)))=1),IFERROR(VLOOKUP(INDEX(checklistPesertaKemenkeu!$M$6:$M$1005,SMALL(IF(checklistPesertaKemenkeu!$AY$6:$AY$1005="Direkomendasikan",ROW($6:$1005)-5),575)),KotaKode,2,0),"-"),"")),"")</f>
        <v/>
      </c>
      <c r="J576" t="str">
        <f t="array" aca="1" ref="J576" ca="1">IFERROR(IF(OR(INDEX(checklistPesertaKemenkeu!$N$6:$N$1005,SMALL(IF(checklistPesertaKemenkeu!$AY$6:$AY$1005="Direkomendasikan",ROW($6:$1005)-5),575))="",INDEX(checklistPesertaKemenkeu!$J$6:$J$1005,SMALL(IF(checklistPesertaKemenkeu!$AY$6:$AY$1005="Direkomendasikan",ROW($6:$1005)-5),575))=""),"",IF(AND(COUNTIF(INDIRECT("K_"&amp;MATCH(INDEX(checklistPesertaKemenkeu!$J$6:$J$1005,SMALL(IF(checklistPesertaKemenkeu!$AY$6:$AY$1005="Direkomendasikan",ROW($6:$1005)-5),575)),BidangList,0)),INDEX(checklistPesertaKemenkeu!$N$6:$N$1005,SMALL(IF(checklistPesertaKemenkeu!$AY$6:$AY$1005="Direkomendasikan",ROW($6:$1005)-5),575)))&gt;0,COUNTIF(INDIRECT("'KERTAS KERJA'!K"&amp;(SMALL(IF(checklistPesertaKemenkeu!$AY$6:$AY$1005="Direkomendasikan",ROW($6:$1005)-5),575)+5)&amp;":O"&amp;(SMALL(IF(checklistPesertaKemenkeu!$AY$6:$AY$1005="Direkomendasikan",ROW($6:$1005)-5),575)+5)),INDEX(checklistPesertaKemenkeu!$N$6:$N$1005,SMALL(IF(checklistPesertaKemenkeu!$AY$6:$AY$1005="Direkomendasikan",ROW($6:$1005)-5),575)))=1),IFERROR(VLOOKUP(INDEX(checklistPesertaKemenkeu!$N$6:$N$1005,SMALL(IF(checklistPesertaKemenkeu!$AY$6:$AY$1005="Direkomendasikan",ROW($6:$1005)-5),575)),KotaKode,2,0),"-"),"")),"")</f>
        <v/>
      </c>
      <c r="K576" t="str">
        <f t="array" aca="1" ref="K576" ca="1">IFERROR(IF(OR(INDEX(checklistPesertaKemenkeu!$O$6:$O$1005,SMALL(IF(checklistPesertaKemenkeu!$AY$6:$AY$1005="Direkomendasikan",ROW($6:$1005)-5),575))="",INDEX(checklistPesertaKemenkeu!$J$6:$J$1005,SMALL(IF(checklistPesertaKemenkeu!$AY$6:$AY$1005="Direkomendasikan",ROW($6:$1005)-5),575))=""),"",IF(AND(COUNTIF(INDIRECT("K_"&amp;MATCH(INDEX(checklistPesertaKemenkeu!$J$6:$J$1005,SMALL(IF(checklistPesertaKemenkeu!$AY$6:$AY$1005="Direkomendasikan",ROW($6:$1005)-5),575)),BidangList,0)),INDEX(checklistPesertaKemenkeu!$O$6:$O$1005,SMALL(IF(checklistPesertaKemenkeu!$AY$6:$AY$1005="Direkomendasikan",ROW($6:$1005)-5),575)))&gt;0,COUNTIF(INDIRECT("'KERTAS KERJA'!K"&amp;(SMALL(IF(checklistPesertaKemenkeu!$AY$6:$AY$1005="Direkomendasikan",ROW($6:$1005)-5),575)+5)&amp;":O"&amp;(SMALL(IF(checklistPesertaKemenkeu!$AY$6:$AY$1005="Direkomendasikan",ROW($6:$1005)-5),575)+5)),INDEX(checklistPesertaKemenkeu!$O$6:$O$1005,SMALL(IF(checklistPesertaKemenkeu!$AY$6:$AY$1005="Direkomendasikan",ROW($6:$1005)-5),575)))=1),IFERROR(VLOOKUP(INDEX(checklistPesertaKemenkeu!$O$6:$O$1005,SMALL(IF(checklistPesertaKemenkeu!$AY$6:$AY$1005="Direkomendasikan",ROW($6:$1005)-5),575)),KotaKode,2,0),"-"),"")),"")</f>
        <v/>
      </c>
      <c r="L576" t="str">
        <f t="array" aca="1" ref="L576" ca="1">IFERROR(IF(OR(INDEX(checklistPesertaKemenkeu!$P$6:$P$1005,SMALL(IF(checklistPesertaKemenkeu!$AY$6:$AY$1005="Direkomendasikan",ROW($6:$1005)-5),575))="",INDEX(checklistPesertaKemenkeu!$J$6:$J$1005,SMALL(IF(checklistPesertaKemenkeu!$AY$6:$AY$1005="Direkomendasikan",ROW($6:$1005)-5),575))=""),"",IF(AND(COUNTIF(INDIRECT("K_"&amp;MATCH(INDEX(checklistPesertaKemenkeu!$J$6:$J$1005,SMALL(IF(checklistPesertaKemenkeu!$AY$6:$AY$1005="Direkomendasikan",ROW($6:$1005)-5),575)),BidangList,0)),INDEX(checklistPesertaKemenkeu!$P$6:$P$1005,SMALL(IF(checklistPesertaKemenkeu!$AY$6:$AY$1005="Direkomendasikan",ROW($6:$1005)-5),575)))&gt;0,COUNTIF(INDIRECT("'KERTAS KERJA'!K"&amp;(SMALL(IF(checklistPesertaKemenkeu!$AY$6:$AY$1005="Direkomendasikan",ROW($6:$1005)-5),575)+5)&amp;":O"&amp;(SMALL(IF(checklistPesertaKemenkeu!$AY$6:$AY$1005="Direkomendasikan",ROW($6:$1005)-5),575)+5)),INDEX(checklistPesertaKemenkeu!$P$6:$P$1005,SMALL(IF(checklistPesertaKemenkeu!$AY$6:$AY$1005="Direkomendasikan",ROW($6:$1005)-5),575)))=1),IFERROR(VLOOKUP(INDEX(checklistPesertaKemenkeu!$P$6:$P$1005,SMALL(IF(checklistPesertaKemenkeu!$AY$6:$AY$1005="Direkomendasikan",ROW($6:$1005)-5),575)),KotaKode,2,0),"-"),"")),"")</f>
        <v/>
      </c>
    </row>
    <row r="577" spans="1:12" ht="15" customHeight="1" x14ac:dyDescent="0.2">
      <c r="A577" t="str">
        <f t="shared" si="8"/>
        <v/>
      </c>
      <c r="B577" t="str">
        <v/>
      </c>
      <c r="C577" s="40" t="str">
        <f t="array" ref="C577">IFERROR(INDEX(checklistPesertaKemenkeu!$F$6:$F$1005,SMALL(IF(checklistPesertaKemenkeu!$AY$6:$AY$1005="Direkomendasikan",ROW($6:$1005)-5),576)),"")</f>
        <v/>
      </c>
      <c r="D577" t="str">
        <f t="array" ref="D577">IFERROR(INDEX(checklistPesertaKemenkeu!$G$6:$G$1005,SMALL(IF(checklistPesertaKemenkeu!$AY$6:$AY$1005="Direkomendasikan",ROW($6:$1005)-5),576)),"")</f>
        <v/>
      </c>
      <c r="E577" t="str">
        <f t="array" ref="E577">IFERROR(INDEX(checklistPesertaKemenkeu!$H$6:$H$1005,SMALL(IF(checklistPesertaKemenkeu!$AY$6:$AY$1005="Direkomendasikan",ROW($6:$1005)-5),576)),"")</f>
        <v/>
      </c>
      <c r="F577" t="str">
        <f t="array" ref="F577">IFERROR(INDEX(checklistPesertaKemenkeu!$I$6:$I$1005,SMALL(IF(checklistPesertaKemenkeu!$AY$6:$AY$1005="Direkomendasikan",ROW($6:$1005)-5),576)),"")</f>
        <v/>
      </c>
      <c r="G577" t="str">
        <f t="array" ref="G577">IFERROR(INDEX(checklistPesertaKemenkeu!$J$6:$J$1005,SMALL(IF(checklistPesertaKemenkeu!$AY$6:$AY$1005="Direkomendasikan",ROW($6:$1005)-5),576)),"")</f>
        <v/>
      </c>
      <c r="H577" t="str">
        <f t="array" aca="1" ref="H577" ca="1">IFERROR(IF(OR(INDEX(checklistPesertaKemenkeu!$L$6:$L$1005,SMALL(IF(checklistPesertaKemenkeu!$AY$6:$AY$1005="Direkomendasikan",ROW($6:$1005)-5),576))="",INDEX(checklistPesertaKemenkeu!$J$6:$J$1005,SMALL(IF(checklistPesertaKemenkeu!$AY$6:$AY$1005="Direkomendasikan",ROW($6:$1005)-5),576))=""),"",IF(AND(COUNTIF(INDIRECT("K_"&amp;MATCH(INDEX(checklistPesertaKemenkeu!$J$6:$J$1005,SMALL(IF(checklistPesertaKemenkeu!$AY$6:$AY$1005="Direkomendasikan",ROW($6:$1005)-5),576)),BidangList,0)),INDEX(checklistPesertaKemenkeu!$L$6:$L$1005,SMALL(IF(checklistPesertaKemenkeu!$AY$6:$AY$1005="Direkomendasikan",ROW($6:$1005)-5),576)))&gt;0,COUNTIF(INDIRECT("'KERTAS KERJA'!K"&amp;(SMALL(IF(checklistPesertaKemenkeu!$AY$6:$AY$1005="Direkomendasikan",ROW($6:$1005)-5),576)+5)&amp;":O"&amp;(SMALL(IF(checklistPesertaKemenkeu!$AY$6:$AY$1005="Direkomendasikan",ROW($6:$1005)-5),576)+5)),INDEX(checklistPesertaKemenkeu!$L$6:$L$1005,SMALL(IF(checklistPesertaKemenkeu!$AY$6:$AY$1005="Direkomendasikan",ROW($6:$1005)-5),576)))=1),IFERROR(VLOOKUP(INDEX(checklistPesertaKemenkeu!$L$6:$L$1005,SMALL(IF(checklistPesertaKemenkeu!$AY$6:$AY$1005="Direkomendasikan",ROW($6:$1005)-5),576)),KotaKode,2,0),"-"),"")),"")</f>
        <v/>
      </c>
      <c r="I577" t="str">
        <f t="array" aca="1" ref="I577" ca="1">IFERROR(IF(OR(INDEX(checklistPesertaKemenkeu!$M$6:$M$1005,SMALL(IF(checklistPesertaKemenkeu!$AY$6:$AY$1005="Direkomendasikan",ROW($6:$1005)-5),576))="",INDEX(checklistPesertaKemenkeu!$J$6:$J$1005,SMALL(IF(checklistPesertaKemenkeu!$AY$6:$AY$1005="Direkomendasikan",ROW($6:$1005)-5),576))=""),"",IF(AND(COUNTIF(INDIRECT("K_"&amp;MATCH(INDEX(checklistPesertaKemenkeu!$J$6:$J$1005,SMALL(IF(checklistPesertaKemenkeu!$AY$6:$AY$1005="Direkomendasikan",ROW($6:$1005)-5),576)),BidangList,0)),INDEX(checklistPesertaKemenkeu!$M$6:$M$1005,SMALL(IF(checklistPesertaKemenkeu!$AY$6:$AY$1005="Direkomendasikan",ROW($6:$1005)-5),576)))&gt;0,COUNTIF(INDIRECT("'KERTAS KERJA'!K"&amp;(SMALL(IF(checklistPesertaKemenkeu!$AY$6:$AY$1005="Direkomendasikan",ROW($6:$1005)-5),576)+5)&amp;":O"&amp;(SMALL(IF(checklistPesertaKemenkeu!$AY$6:$AY$1005="Direkomendasikan",ROW($6:$1005)-5),576)+5)),INDEX(checklistPesertaKemenkeu!$M$6:$M$1005,SMALL(IF(checklistPesertaKemenkeu!$AY$6:$AY$1005="Direkomendasikan",ROW($6:$1005)-5),576)))=1),IFERROR(VLOOKUP(INDEX(checklistPesertaKemenkeu!$M$6:$M$1005,SMALL(IF(checklistPesertaKemenkeu!$AY$6:$AY$1005="Direkomendasikan",ROW($6:$1005)-5),576)),KotaKode,2,0),"-"),"")),"")</f>
        <v/>
      </c>
      <c r="J577" t="str">
        <f t="array" aca="1" ref="J577" ca="1">IFERROR(IF(OR(INDEX(checklistPesertaKemenkeu!$N$6:$N$1005,SMALL(IF(checklistPesertaKemenkeu!$AY$6:$AY$1005="Direkomendasikan",ROW($6:$1005)-5),576))="",INDEX(checklistPesertaKemenkeu!$J$6:$J$1005,SMALL(IF(checklistPesertaKemenkeu!$AY$6:$AY$1005="Direkomendasikan",ROW($6:$1005)-5),576))=""),"",IF(AND(COUNTIF(INDIRECT("K_"&amp;MATCH(INDEX(checklistPesertaKemenkeu!$J$6:$J$1005,SMALL(IF(checklistPesertaKemenkeu!$AY$6:$AY$1005="Direkomendasikan",ROW($6:$1005)-5),576)),BidangList,0)),INDEX(checklistPesertaKemenkeu!$N$6:$N$1005,SMALL(IF(checklistPesertaKemenkeu!$AY$6:$AY$1005="Direkomendasikan",ROW($6:$1005)-5),576)))&gt;0,COUNTIF(INDIRECT("'KERTAS KERJA'!K"&amp;(SMALL(IF(checklistPesertaKemenkeu!$AY$6:$AY$1005="Direkomendasikan",ROW($6:$1005)-5),576)+5)&amp;":O"&amp;(SMALL(IF(checklistPesertaKemenkeu!$AY$6:$AY$1005="Direkomendasikan",ROW($6:$1005)-5),576)+5)),INDEX(checklistPesertaKemenkeu!$N$6:$N$1005,SMALL(IF(checklistPesertaKemenkeu!$AY$6:$AY$1005="Direkomendasikan",ROW($6:$1005)-5),576)))=1),IFERROR(VLOOKUP(INDEX(checklistPesertaKemenkeu!$N$6:$N$1005,SMALL(IF(checklistPesertaKemenkeu!$AY$6:$AY$1005="Direkomendasikan",ROW($6:$1005)-5),576)),KotaKode,2,0),"-"),"")),"")</f>
        <v/>
      </c>
      <c r="K577" t="str">
        <f t="array" aca="1" ref="K577" ca="1">IFERROR(IF(OR(INDEX(checklistPesertaKemenkeu!$O$6:$O$1005,SMALL(IF(checklistPesertaKemenkeu!$AY$6:$AY$1005="Direkomendasikan",ROW($6:$1005)-5),576))="",INDEX(checklistPesertaKemenkeu!$J$6:$J$1005,SMALL(IF(checklistPesertaKemenkeu!$AY$6:$AY$1005="Direkomendasikan",ROW($6:$1005)-5),576))=""),"",IF(AND(COUNTIF(INDIRECT("K_"&amp;MATCH(INDEX(checklistPesertaKemenkeu!$J$6:$J$1005,SMALL(IF(checklistPesertaKemenkeu!$AY$6:$AY$1005="Direkomendasikan",ROW($6:$1005)-5),576)),BidangList,0)),INDEX(checklistPesertaKemenkeu!$O$6:$O$1005,SMALL(IF(checklistPesertaKemenkeu!$AY$6:$AY$1005="Direkomendasikan",ROW($6:$1005)-5),576)))&gt;0,COUNTIF(INDIRECT("'KERTAS KERJA'!K"&amp;(SMALL(IF(checklistPesertaKemenkeu!$AY$6:$AY$1005="Direkomendasikan",ROW($6:$1005)-5),576)+5)&amp;":O"&amp;(SMALL(IF(checklistPesertaKemenkeu!$AY$6:$AY$1005="Direkomendasikan",ROW($6:$1005)-5),576)+5)),INDEX(checklistPesertaKemenkeu!$O$6:$O$1005,SMALL(IF(checklistPesertaKemenkeu!$AY$6:$AY$1005="Direkomendasikan",ROW($6:$1005)-5),576)))=1),IFERROR(VLOOKUP(INDEX(checklistPesertaKemenkeu!$O$6:$O$1005,SMALL(IF(checklistPesertaKemenkeu!$AY$6:$AY$1005="Direkomendasikan",ROW($6:$1005)-5),576)),KotaKode,2,0),"-"),"")),"")</f>
        <v/>
      </c>
      <c r="L577" t="str">
        <f t="array" aca="1" ref="L577" ca="1">IFERROR(IF(OR(INDEX(checklistPesertaKemenkeu!$P$6:$P$1005,SMALL(IF(checklistPesertaKemenkeu!$AY$6:$AY$1005="Direkomendasikan",ROW($6:$1005)-5),576))="",INDEX(checklistPesertaKemenkeu!$J$6:$J$1005,SMALL(IF(checklistPesertaKemenkeu!$AY$6:$AY$1005="Direkomendasikan",ROW($6:$1005)-5),576))=""),"",IF(AND(COUNTIF(INDIRECT("K_"&amp;MATCH(INDEX(checklistPesertaKemenkeu!$J$6:$J$1005,SMALL(IF(checklistPesertaKemenkeu!$AY$6:$AY$1005="Direkomendasikan",ROW($6:$1005)-5),576)),BidangList,0)),INDEX(checklistPesertaKemenkeu!$P$6:$P$1005,SMALL(IF(checklistPesertaKemenkeu!$AY$6:$AY$1005="Direkomendasikan",ROW($6:$1005)-5),576)))&gt;0,COUNTIF(INDIRECT("'KERTAS KERJA'!K"&amp;(SMALL(IF(checklistPesertaKemenkeu!$AY$6:$AY$1005="Direkomendasikan",ROW($6:$1005)-5),576)+5)&amp;":O"&amp;(SMALL(IF(checklistPesertaKemenkeu!$AY$6:$AY$1005="Direkomendasikan",ROW($6:$1005)-5),576)+5)),INDEX(checklistPesertaKemenkeu!$P$6:$P$1005,SMALL(IF(checklistPesertaKemenkeu!$AY$6:$AY$1005="Direkomendasikan",ROW($6:$1005)-5),576)))=1),IFERROR(VLOOKUP(INDEX(checklistPesertaKemenkeu!$P$6:$P$1005,SMALL(IF(checklistPesertaKemenkeu!$AY$6:$AY$1005="Direkomendasikan",ROW($6:$1005)-5),576)),KotaKode,2,0),"-"),"")),"")</f>
        <v/>
      </c>
    </row>
    <row r="578" spans="1:12" ht="15" customHeight="1" x14ac:dyDescent="0.2">
      <c r="A578" t="str">
        <f t="shared" ref="A578:A641" si="9">IF(C578="","",ROW()-1)</f>
        <v/>
      </c>
      <c r="B578" t="str">
        <v/>
      </c>
      <c r="C578" s="40" t="str">
        <f t="array" ref="C578">IFERROR(INDEX(checklistPesertaKemenkeu!$F$6:$F$1005,SMALL(IF(checklistPesertaKemenkeu!$AY$6:$AY$1005="Direkomendasikan",ROW($6:$1005)-5),577)),"")</f>
        <v/>
      </c>
      <c r="D578" t="str">
        <f t="array" ref="D578">IFERROR(INDEX(checklistPesertaKemenkeu!$G$6:$G$1005,SMALL(IF(checklistPesertaKemenkeu!$AY$6:$AY$1005="Direkomendasikan",ROW($6:$1005)-5),577)),"")</f>
        <v/>
      </c>
      <c r="E578" t="str">
        <f t="array" ref="E578">IFERROR(INDEX(checklistPesertaKemenkeu!$H$6:$H$1005,SMALL(IF(checklistPesertaKemenkeu!$AY$6:$AY$1005="Direkomendasikan",ROW($6:$1005)-5),577)),"")</f>
        <v/>
      </c>
      <c r="F578" t="str">
        <f t="array" ref="F578">IFERROR(INDEX(checklistPesertaKemenkeu!$I$6:$I$1005,SMALL(IF(checklistPesertaKemenkeu!$AY$6:$AY$1005="Direkomendasikan",ROW($6:$1005)-5),577)),"")</f>
        <v/>
      </c>
      <c r="G578" t="str">
        <f t="array" ref="G578">IFERROR(INDEX(checklistPesertaKemenkeu!$J$6:$J$1005,SMALL(IF(checklistPesertaKemenkeu!$AY$6:$AY$1005="Direkomendasikan",ROW($6:$1005)-5),577)),"")</f>
        <v/>
      </c>
      <c r="H578" t="str">
        <f t="array" aca="1" ref="H578" ca="1">IFERROR(IF(OR(INDEX(checklistPesertaKemenkeu!$L$6:$L$1005,SMALL(IF(checklistPesertaKemenkeu!$AY$6:$AY$1005="Direkomendasikan",ROW($6:$1005)-5),577))="",INDEX(checklistPesertaKemenkeu!$J$6:$J$1005,SMALL(IF(checklistPesertaKemenkeu!$AY$6:$AY$1005="Direkomendasikan",ROW($6:$1005)-5),577))=""),"",IF(AND(COUNTIF(INDIRECT("K_"&amp;MATCH(INDEX(checklistPesertaKemenkeu!$J$6:$J$1005,SMALL(IF(checklistPesertaKemenkeu!$AY$6:$AY$1005="Direkomendasikan",ROW($6:$1005)-5),577)),BidangList,0)),INDEX(checklistPesertaKemenkeu!$L$6:$L$1005,SMALL(IF(checklistPesertaKemenkeu!$AY$6:$AY$1005="Direkomendasikan",ROW($6:$1005)-5),577)))&gt;0,COUNTIF(INDIRECT("'KERTAS KERJA'!K"&amp;(SMALL(IF(checklistPesertaKemenkeu!$AY$6:$AY$1005="Direkomendasikan",ROW($6:$1005)-5),577)+5)&amp;":O"&amp;(SMALL(IF(checklistPesertaKemenkeu!$AY$6:$AY$1005="Direkomendasikan",ROW($6:$1005)-5),577)+5)),INDEX(checklistPesertaKemenkeu!$L$6:$L$1005,SMALL(IF(checklistPesertaKemenkeu!$AY$6:$AY$1005="Direkomendasikan",ROW($6:$1005)-5),577)))=1),IFERROR(VLOOKUP(INDEX(checklistPesertaKemenkeu!$L$6:$L$1005,SMALL(IF(checklistPesertaKemenkeu!$AY$6:$AY$1005="Direkomendasikan",ROW($6:$1005)-5),577)),KotaKode,2,0),"-"),"")),"")</f>
        <v/>
      </c>
      <c r="I578" t="str">
        <f t="array" aca="1" ref="I578" ca="1">IFERROR(IF(OR(INDEX(checklistPesertaKemenkeu!$M$6:$M$1005,SMALL(IF(checklistPesertaKemenkeu!$AY$6:$AY$1005="Direkomendasikan",ROW($6:$1005)-5),577))="",INDEX(checklistPesertaKemenkeu!$J$6:$J$1005,SMALL(IF(checklistPesertaKemenkeu!$AY$6:$AY$1005="Direkomendasikan",ROW($6:$1005)-5),577))=""),"",IF(AND(COUNTIF(INDIRECT("K_"&amp;MATCH(INDEX(checklistPesertaKemenkeu!$J$6:$J$1005,SMALL(IF(checklistPesertaKemenkeu!$AY$6:$AY$1005="Direkomendasikan",ROW($6:$1005)-5),577)),BidangList,0)),INDEX(checklistPesertaKemenkeu!$M$6:$M$1005,SMALL(IF(checklistPesertaKemenkeu!$AY$6:$AY$1005="Direkomendasikan",ROW($6:$1005)-5),577)))&gt;0,COUNTIF(INDIRECT("'KERTAS KERJA'!K"&amp;(SMALL(IF(checklistPesertaKemenkeu!$AY$6:$AY$1005="Direkomendasikan",ROW($6:$1005)-5),577)+5)&amp;":O"&amp;(SMALL(IF(checklistPesertaKemenkeu!$AY$6:$AY$1005="Direkomendasikan",ROW($6:$1005)-5),577)+5)),INDEX(checklistPesertaKemenkeu!$M$6:$M$1005,SMALL(IF(checklistPesertaKemenkeu!$AY$6:$AY$1005="Direkomendasikan",ROW($6:$1005)-5),577)))=1),IFERROR(VLOOKUP(INDEX(checklistPesertaKemenkeu!$M$6:$M$1005,SMALL(IF(checklistPesertaKemenkeu!$AY$6:$AY$1005="Direkomendasikan",ROW($6:$1005)-5),577)),KotaKode,2,0),"-"),"")),"")</f>
        <v/>
      </c>
      <c r="J578" t="str">
        <f t="array" aca="1" ref="J578" ca="1">IFERROR(IF(OR(INDEX(checklistPesertaKemenkeu!$N$6:$N$1005,SMALL(IF(checklistPesertaKemenkeu!$AY$6:$AY$1005="Direkomendasikan",ROW($6:$1005)-5),577))="",INDEX(checklistPesertaKemenkeu!$J$6:$J$1005,SMALL(IF(checklistPesertaKemenkeu!$AY$6:$AY$1005="Direkomendasikan",ROW($6:$1005)-5),577))=""),"",IF(AND(COUNTIF(INDIRECT("K_"&amp;MATCH(INDEX(checklistPesertaKemenkeu!$J$6:$J$1005,SMALL(IF(checklistPesertaKemenkeu!$AY$6:$AY$1005="Direkomendasikan",ROW($6:$1005)-5),577)),BidangList,0)),INDEX(checklistPesertaKemenkeu!$N$6:$N$1005,SMALL(IF(checklistPesertaKemenkeu!$AY$6:$AY$1005="Direkomendasikan",ROW($6:$1005)-5),577)))&gt;0,COUNTIF(INDIRECT("'KERTAS KERJA'!K"&amp;(SMALL(IF(checklistPesertaKemenkeu!$AY$6:$AY$1005="Direkomendasikan",ROW($6:$1005)-5),577)+5)&amp;":O"&amp;(SMALL(IF(checklistPesertaKemenkeu!$AY$6:$AY$1005="Direkomendasikan",ROW($6:$1005)-5),577)+5)),INDEX(checklistPesertaKemenkeu!$N$6:$N$1005,SMALL(IF(checklistPesertaKemenkeu!$AY$6:$AY$1005="Direkomendasikan",ROW($6:$1005)-5),577)))=1),IFERROR(VLOOKUP(INDEX(checklistPesertaKemenkeu!$N$6:$N$1005,SMALL(IF(checklistPesertaKemenkeu!$AY$6:$AY$1005="Direkomendasikan",ROW($6:$1005)-5),577)),KotaKode,2,0),"-"),"")),"")</f>
        <v/>
      </c>
      <c r="K578" t="str">
        <f t="array" aca="1" ref="K578" ca="1">IFERROR(IF(OR(INDEX(checklistPesertaKemenkeu!$O$6:$O$1005,SMALL(IF(checklistPesertaKemenkeu!$AY$6:$AY$1005="Direkomendasikan",ROW($6:$1005)-5),577))="",INDEX(checklistPesertaKemenkeu!$J$6:$J$1005,SMALL(IF(checklistPesertaKemenkeu!$AY$6:$AY$1005="Direkomendasikan",ROW($6:$1005)-5),577))=""),"",IF(AND(COUNTIF(INDIRECT("K_"&amp;MATCH(INDEX(checklistPesertaKemenkeu!$J$6:$J$1005,SMALL(IF(checklistPesertaKemenkeu!$AY$6:$AY$1005="Direkomendasikan",ROW($6:$1005)-5),577)),BidangList,0)),INDEX(checklistPesertaKemenkeu!$O$6:$O$1005,SMALL(IF(checklistPesertaKemenkeu!$AY$6:$AY$1005="Direkomendasikan",ROW($6:$1005)-5),577)))&gt;0,COUNTIF(INDIRECT("'KERTAS KERJA'!K"&amp;(SMALL(IF(checklistPesertaKemenkeu!$AY$6:$AY$1005="Direkomendasikan",ROW($6:$1005)-5),577)+5)&amp;":O"&amp;(SMALL(IF(checklistPesertaKemenkeu!$AY$6:$AY$1005="Direkomendasikan",ROW($6:$1005)-5),577)+5)),INDEX(checklistPesertaKemenkeu!$O$6:$O$1005,SMALL(IF(checklistPesertaKemenkeu!$AY$6:$AY$1005="Direkomendasikan",ROW($6:$1005)-5),577)))=1),IFERROR(VLOOKUP(INDEX(checklistPesertaKemenkeu!$O$6:$O$1005,SMALL(IF(checklistPesertaKemenkeu!$AY$6:$AY$1005="Direkomendasikan",ROW($6:$1005)-5),577)),KotaKode,2,0),"-"),"")),"")</f>
        <v/>
      </c>
      <c r="L578" t="str">
        <f t="array" aca="1" ref="L578" ca="1">IFERROR(IF(OR(INDEX(checklistPesertaKemenkeu!$P$6:$P$1005,SMALL(IF(checklistPesertaKemenkeu!$AY$6:$AY$1005="Direkomendasikan",ROW($6:$1005)-5),577))="",INDEX(checklistPesertaKemenkeu!$J$6:$J$1005,SMALL(IF(checklistPesertaKemenkeu!$AY$6:$AY$1005="Direkomendasikan",ROW($6:$1005)-5),577))=""),"",IF(AND(COUNTIF(INDIRECT("K_"&amp;MATCH(INDEX(checklistPesertaKemenkeu!$J$6:$J$1005,SMALL(IF(checklistPesertaKemenkeu!$AY$6:$AY$1005="Direkomendasikan",ROW($6:$1005)-5),577)),BidangList,0)),INDEX(checklistPesertaKemenkeu!$P$6:$P$1005,SMALL(IF(checklistPesertaKemenkeu!$AY$6:$AY$1005="Direkomendasikan",ROW($6:$1005)-5),577)))&gt;0,COUNTIF(INDIRECT("'KERTAS KERJA'!K"&amp;(SMALL(IF(checklistPesertaKemenkeu!$AY$6:$AY$1005="Direkomendasikan",ROW($6:$1005)-5),577)+5)&amp;":O"&amp;(SMALL(IF(checklistPesertaKemenkeu!$AY$6:$AY$1005="Direkomendasikan",ROW($6:$1005)-5),577)+5)),INDEX(checklistPesertaKemenkeu!$P$6:$P$1005,SMALL(IF(checklistPesertaKemenkeu!$AY$6:$AY$1005="Direkomendasikan",ROW($6:$1005)-5),577)))=1),IFERROR(VLOOKUP(INDEX(checklistPesertaKemenkeu!$P$6:$P$1005,SMALL(IF(checklistPesertaKemenkeu!$AY$6:$AY$1005="Direkomendasikan",ROW($6:$1005)-5),577)),KotaKode,2,0),"-"),"")),"")</f>
        <v/>
      </c>
    </row>
    <row r="579" spans="1:12" ht="15" customHeight="1" x14ac:dyDescent="0.2">
      <c r="A579" t="str">
        <f t="shared" si="9"/>
        <v/>
      </c>
      <c r="B579" t="str">
        <v/>
      </c>
      <c r="C579" s="40" t="str">
        <f t="array" ref="C579">IFERROR(INDEX(checklistPesertaKemenkeu!$F$6:$F$1005,SMALL(IF(checklistPesertaKemenkeu!$AY$6:$AY$1005="Direkomendasikan",ROW($6:$1005)-5),578)),"")</f>
        <v/>
      </c>
      <c r="D579" t="str">
        <f t="array" ref="D579">IFERROR(INDEX(checklistPesertaKemenkeu!$G$6:$G$1005,SMALL(IF(checklistPesertaKemenkeu!$AY$6:$AY$1005="Direkomendasikan",ROW($6:$1005)-5),578)),"")</f>
        <v/>
      </c>
      <c r="E579" t="str">
        <f t="array" ref="E579">IFERROR(INDEX(checklistPesertaKemenkeu!$H$6:$H$1005,SMALL(IF(checklistPesertaKemenkeu!$AY$6:$AY$1005="Direkomendasikan",ROW($6:$1005)-5),578)),"")</f>
        <v/>
      </c>
      <c r="F579" t="str">
        <f t="array" ref="F579">IFERROR(INDEX(checklistPesertaKemenkeu!$I$6:$I$1005,SMALL(IF(checklistPesertaKemenkeu!$AY$6:$AY$1005="Direkomendasikan",ROW($6:$1005)-5),578)),"")</f>
        <v/>
      </c>
      <c r="G579" t="str">
        <f t="array" ref="G579">IFERROR(INDEX(checklistPesertaKemenkeu!$J$6:$J$1005,SMALL(IF(checklistPesertaKemenkeu!$AY$6:$AY$1005="Direkomendasikan",ROW($6:$1005)-5),578)),"")</f>
        <v/>
      </c>
      <c r="H579" t="str">
        <f t="array" aca="1" ref="H579" ca="1">IFERROR(IF(OR(INDEX(checklistPesertaKemenkeu!$L$6:$L$1005,SMALL(IF(checklistPesertaKemenkeu!$AY$6:$AY$1005="Direkomendasikan",ROW($6:$1005)-5),578))="",INDEX(checklistPesertaKemenkeu!$J$6:$J$1005,SMALL(IF(checklistPesertaKemenkeu!$AY$6:$AY$1005="Direkomendasikan",ROW($6:$1005)-5),578))=""),"",IF(AND(COUNTIF(INDIRECT("K_"&amp;MATCH(INDEX(checklistPesertaKemenkeu!$J$6:$J$1005,SMALL(IF(checklistPesertaKemenkeu!$AY$6:$AY$1005="Direkomendasikan",ROW($6:$1005)-5),578)),BidangList,0)),INDEX(checklistPesertaKemenkeu!$L$6:$L$1005,SMALL(IF(checklistPesertaKemenkeu!$AY$6:$AY$1005="Direkomendasikan",ROW($6:$1005)-5),578)))&gt;0,COUNTIF(INDIRECT("'KERTAS KERJA'!K"&amp;(SMALL(IF(checklistPesertaKemenkeu!$AY$6:$AY$1005="Direkomendasikan",ROW($6:$1005)-5),578)+5)&amp;":O"&amp;(SMALL(IF(checklistPesertaKemenkeu!$AY$6:$AY$1005="Direkomendasikan",ROW($6:$1005)-5),578)+5)),INDEX(checklistPesertaKemenkeu!$L$6:$L$1005,SMALL(IF(checklistPesertaKemenkeu!$AY$6:$AY$1005="Direkomendasikan",ROW($6:$1005)-5),578)))=1),IFERROR(VLOOKUP(INDEX(checklistPesertaKemenkeu!$L$6:$L$1005,SMALL(IF(checklistPesertaKemenkeu!$AY$6:$AY$1005="Direkomendasikan",ROW($6:$1005)-5),578)),KotaKode,2,0),"-"),"")),"")</f>
        <v/>
      </c>
      <c r="I579" t="str">
        <f t="array" aca="1" ref="I579" ca="1">IFERROR(IF(OR(INDEX(checklistPesertaKemenkeu!$M$6:$M$1005,SMALL(IF(checklistPesertaKemenkeu!$AY$6:$AY$1005="Direkomendasikan",ROW($6:$1005)-5),578))="",INDEX(checklistPesertaKemenkeu!$J$6:$J$1005,SMALL(IF(checklistPesertaKemenkeu!$AY$6:$AY$1005="Direkomendasikan",ROW($6:$1005)-5),578))=""),"",IF(AND(COUNTIF(INDIRECT("K_"&amp;MATCH(INDEX(checklistPesertaKemenkeu!$J$6:$J$1005,SMALL(IF(checklistPesertaKemenkeu!$AY$6:$AY$1005="Direkomendasikan",ROW($6:$1005)-5),578)),BidangList,0)),INDEX(checklistPesertaKemenkeu!$M$6:$M$1005,SMALL(IF(checklistPesertaKemenkeu!$AY$6:$AY$1005="Direkomendasikan",ROW($6:$1005)-5),578)))&gt;0,COUNTIF(INDIRECT("'KERTAS KERJA'!K"&amp;(SMALL(IF(checklistPesertaKemenkeu!$AY$6:$AY$1005="Direkomendasikan",ROW($6:$1005)-5),578)+5)&amp;":O"&amp;(SMALL(IF(checklistPesertaKemenkeu!$AY$6:$AY$1005="Direkomendasikan",ROW($6:$1005)-5),578)+5)),INDEX(checklistPesertaKemenkeu!$M$6:$M$1005,SMALL(IF(checklistPesertaKemenkeu!$AY$6:$AY$1005="Direkomendasikan",ROW($6:$1005)-5),578)))=1),IFERROR(VLOOKUP(INDEX(checklistPesertaKemenkeu!$M$6:$M$1005,SMALL(IF(checklistPesertaKemenkeu!$AY$6:$AY$1005="Direkomendasikan",ROW($6:$1005)-5),578)),KotaKode,2,0),"-"),"")),"")</f>
        <v/>
      </c>
      <c r="J579" t="str">
        <f t="array" aca="1" ref="J579" ca="1">IFERROR(IF(OR(INDEX(checklistPesertaKemenkeu!$N$6:$N$1005,SMALL(IF(checklistPesertaKemenkeu!$AY$6:$AY$1005="Direkomendasikan",ROW($6:$1005)-5),578))="",INDEX(checklistPesertaKemenkeu!$J$6:$J$1005,SMALL(IF(checklistPesertaKemenkeu!$AY$6:$AY$1005="Direkomendasikan",ROW($6:$1005)-5),578))=""),"",IF(AND(COUNTIF(INDIRECT("K_"&amp;MATCH(INDEX(checklistPesertaKemenkeu!$J$6:$J$1005,SMALL(IF(checklistPesertaKemenkeu!$AY$6:$AY$1005="Direkomendasikan",ROW($6:$1005)-5),578)),BidangList,0)),INDEX(checklistPesertaKemenkeu!$N$6:$N$1005,SMALL(IF(checklistPesertaKemenkeu!$AY$6:$AY$1005="Direkomendasikan",ROW($6:$1005)-5),578)))&gt;0,COUNTIF(INDIRECT("'KERTAS KERJA'!K"&amp;(SMALL(IF(checklistPesertaKemenkeu!$AY$6:$AY$1005="Direkomendasikan",ROW($6:$1005)-5),578)+5)&amp;":O"&amp;(SMALL(IF(checklistPesertaKemenkeu!$AY$6:$AY$1005="Direkomendasikan",ROW($6:$1005)-5),578)+5)),INDEX(checklistPesertaKemenkeu!$N$6:$N$1005,SMALL(IF(checklistPesertaKemenkeu!$AY$6:$AY$1005="Direkomendasikan",ROW($6:$1005)-5),578)))=1),IFERROR(VLOOKUP(INDEX(checklistPesertaKemenkeu!$N$6:$N$1005,SMALL(IF(checklistPesertaKemenkeu!$AY$6:$AY$1005="Direkomendasikan",ROW($6:$1005)-5),578)),KotaKode,2,0),"-"),"")),"")</f>
        <v/>
      </c>
      <c r="K579" t="str">
        <f t="array" aca="1" ref="K579" ca="1">IFERROR(IF(OR(INDEX(checklistPesertaKemenkeu!$O$6:$O$1005,SMALL(IF(checklistPesertaKemenkeu!$AY$6:$AY$1005="Direkomendasikan",ROW($6:$1005)-5),578))="",INDEX(checklistPesertaKemenkeu!$J$6:$J$1005,SMALL(IF(checklistPesertaKemenkeu!$AY$6:$AY$1005="Direkomendasikan",ROW($6:$1005)-5),578))=""),"",IF(AND(COUNTIF(INDIRECT("K_"&amp;MATCH(INDEX(checklistPesertaKemenkeu!$J$6:$J$1005,SMALL(IF(checklistPesertaKemenkeu!$AY$6:$AY$1005="Direkomendasikan",ROW($6:$1005)-5),578)),BidangList,0)),INDEX(checklistPesertaKemenkeu!$O$6:$O$1005,SMALL(IF(checklistPesertaKemenkeu!$AY$6:$AY$1005="Direkomendasikan",ROW($6:$1005)-5),578)))&gt;0,COUNTIF(INDIRECT("'KERTAS KERJA'!K"&amp;(SMALL(IF(checklistPesertaKemenkeu!$AY$6:$AY$1005="Direkomendasikan",ROW($6:$1005)-5),578)+5)&amp;":O"&amp;(SMALL(IF(checklistPesertaKemenkeu!$AY$6:$AY$1005="Direkomendasikan",ROW($6:$1005)-5),578)+5)),INDEX(checklistPesertaKemenkeu!$O$6:$O$1005,SMALL(IF(checklistPesertaKemenkeu!$AY$6:$AY$1005="Direkomendasikan",ROW($6:$1005)-5),578)))=1),IFERROR(VLOOKUP(INDEX(checklistPesertaKemenkeu!$O$6:$O$1005,SMALL(IF(checklistPesertaKemenkeu!$AY$6:$AY$1005="Direkomendasikan",ROW($6:$1005)-5),578)),KotaKode,2,0),"-"),"")),"")</f>
        <v/>
      </c>
      <c r="L579" t="str">
        <f t="array" aca="1" ref="L579" ca="1">IFERROR(IF(OR(INDEX(checklistPesertaKemenkeu!$P$6:$P$1005,SMALL(IF(checklistPesertaKemenkeu!$AY$6:$AY$1005="Direkomendasikan",ROW($6:$1005)-5),578))="",INDEX(checklistPesertaKemenkeu!$J$6:$J$1005,SMALL(IF(checklistPesertaKemenkeu!$AY$6:$AY$1005="Direkomendasikan",ROW($6:$1005)-5),578))=""),"",IF(AND(COUNTIF(INDIRECT("K_"&amp;MATCH(INDEX(checklistPesertaKemenkeu!$J$6:$J$1005,SMALL(IF(checklistPesertaKemenkeu!$AY$6:$AY$1005="Direkomendasikan",ROW($6:$1005)-5),578)),BidangList,0)),INDEX(checklistPesertaKemenkeu!$P$6:$P$1005,SMALL(IF(checklistPesertaKemenkeu!$AY$6:$AY$1005="Direkomendasikan",ROW($6:$1005)-5),578)))&gt;0,COUNTIF(INDIRECT("'KERTAS KERJA'!K"&amp;(SMALL(IF(checklistPesertaKemenkeu!$AY$6:$AY$1005="Direkomendasikan",ROW($6:$1005)-5),578)+5)&amp;":O"&amp;(SMALL(IF(checklistPesertaKemenkeu!$AY$6:$AY$1005="Direkomendasikan",ROW($6:$1005)-5),578)+5)),INDEX(checklistPesertaKemenkeu!$P$6:$P$1005,SMALL(IF(checklistPesertaKemenkeu!$AY$6:$AY$1005="Direkomendasikan",ROW($6:$1005)-5),578)))=1),IFERROR(VLOOKUP(INDEX(checklistPesertaKemenkeu!$P$6:$P$1005,SMALL(IF(checklistPesertaKemenkeu!$AY$6:$AY$1005="Direkomendasikan",ROW($6:$1005)-5),578)),KotaKode,2,0),"-"),"")),"")</f>
        <v/>
      </c>
    </row>
    <row r="580" spans="1:12" ht="15" customHeight="1" x14ac:dyDescent="0.2">
      <c r="A580" t="str">
        <f t="shared" si="9"/>
        <v/>
      </c>
      <c r="B580" t="str">
        <v/>
      </c>
      <c r="C580" s="40" t="str">
        <f t="array" ref="C580">IFERROR(INDEX(checklistPesertaKemenkeu!$F$6:$F$1005,SMALL(IF(checklistPesertaKemenkeu!$AY$6:$AY$1005="Direkomendasikan",ROW($6:$1005)-5),579)),"")</f>
        <v/>
      </c>
      <c r="D580" t="str">
        <f t="array" ref="D580">IFERROR(INDEX(checklistPesertaKemenkeu!$G$6:$G$1005,SMALL(IF(checklistPesertaKemenkeu!$AY$6:$AY$1005="Direkomendasikan",ROW($6:$1005)-5),579)),"")</f>
        <v/>
      </c>
      <c r="E580" t="str">
        <f t="array" ref="E580">IFERROR(INDEX(checklistPesertaKemenkeu!$H$6:$H$1005,SMALL(IF(checklistPesertaKemenkeu!$AY$6:$AY$1005="Direkomendasikan",ROW($6:$1005)-5),579)),"")</f>
        <v/>
      </c>
      <c r="F580" t="str">
        <f t="array" ref="F580">IFERROR(INDEX(checklistPesertaKemenkeu!$I$6:$I$1005,SMALL(IF(checklistPesertaKemenkeu!$AY$6:$AY$1005="Direkomendasikan",ROW($6:$1005)-5),579)),"")</f>
        <v/>
      </c>
      <c r="G580" t="str">
        <f t="array" ref="G580">IFERROR(INDEX(checklistPesertaKemenkeu!$J$6:$J$1005,SMALL(IF(checklistPesertaKemenkeu!$AY$6:$AY$1005="Direkomendasikan",ROW($6:$1005)-5),579)),"")</f>
        <v/>
      </c>
      <c r="H580" t="str">
        <f t="array" aca="1" ref="H580" ca="1">IFERROR(IF(OR(INDEX(checklistPesertaKemenkeu!$L$6:$L$1005,SMALL(IF(checklistPesertaKemenkeu!$AY$6:$AY$1005="Direkomendasikan",ROW($6:$1005)-5),579))="",INDEX(checklistPesertaKemenkeu!$J$6:$J$1005,SMALL(IF(checklistPesertaKemenkeu!$AY$6:$AY$1005="Direkomendasikan",ROW($6:$1005)-5),579))=""),"",IF(AND(COUNTIF(INDIRECT("K_"&amp;MATCH(INDEX(checklistPesertaKemenkeu!$J$6:$J$1005,SMALL(IF(checklistPesertaKemenkeu!$AY$6:$AY$1005="Direkomendasikan",ROW($6:$1005)-5),579)),BidangList,0)),INDEX(checklistPesertaKemenkeu!$L$6:$L$1005,SMALL(IF(checklistPesertaKemenkeu!$AY$6:$AY$1005="Direkomendasikan",ROW($6:$1005)-5),579)))&gt;0,COUNTIF(INDIRECT("'KERTAS KERJA'!K"&amp;(SMALL(IF(checklistPesertaKemenkeu!$AY$6:$AY$1005="Direkomendasikan",ROW($6:$1005)-5),579)+5)&amp;":O"&amp;(SMALL(IF(checklistPesertaKemenkeu!$AY$6:$AY$1005="Direkomendasikan",ROW($6:$1005)-5),579)+5)),INDEX(checklistPesertaKemenkeu!$L$6:$L$1005,SMALL(IF(checklistPesertaKemenkeu!$AY$6:$AY$1005="Direkomendasikan",ROW($6:$1005)-5),579)))=1),IFERROR(VLOOKUP(INDEX(checklistPesertaKemenkeu!$L$6:$L$1005,SMALL(IF(checklistPesertaKemenkeu!$AY$6:$AY$1005="Direkomendasikan",ROW($6:$1005)-5),579)),KotaKode,2,0),"-"),"")),"")</f>
        <v/>
      </c>
      <c r="I580" t="str">
        <f t="array" aca="1" ref="I580" ca="1">IFERROR(IF(OR(INDEX(checklistPesertaKemenkeu!$M$6:$M$1005,SMALL(IF(checklistPesertaKemenkeu!$AY$6:$AY$1005="Direkomendasikan",ROW($6:$1005)-5),579))="",INDEX(checklistPesertaKemenkeu!$J$6:$J$1005,SMALL(IF(checklistPesertaKemenkeu!$AY$6:$AY$1005="Direkomendasikan",ROW($6:$1005)-5),579))=""),"",IF(AND(COUNTIF(INDIRECT("K_"&amp;MATCH(INDEX(checklistPesertaKemenkeu!$J$6:$J$1005,SMALL(IF(checklistPesertaKemenkeu!$AY$6:$AY$1005="Direkomendasikan",ROW($6:$1005)-5),579)),BidangList,0)),INDEX(checklistPesertaKemenkeu!$M$6:$M$1005,SMALL(IF(checklistPesertaKemenkeu!$AY$6:$AY$1005="Direkomendasikan",ROW($6:$1005)-5),579)))&gt;0,COUNTIF(INDIRECT("'KERTAS KERJA'!K"&amp;(SMALL(IF(checklistPesertaKemenkeu!$AY$6:$AY$1005="Direkomendasikan",ROW($6:$1005)-5),579)+5)&amp;":O"&amp;(SMALL(IF(checklistPesertaKemenkeu!$AY$6:$AY$1005="Direkomendasikan",ROW($6:$1005)-5),579)+5)),INDEX(checklistPesertaKemenkeu!$M$6:$M$1005,SMALL(IF(checklistPesertaKemenkeu!$AY$6:$AY$1005="Direkomendasikan",ROW($6:$1005)-5),579)))=1),IFERROR(VLOOKUP(INDEX(checklistPesertaKemenkeu!$M$6:$M$1005,SMALL(IF(checklistPesertaKemenkeu!$AY$6:$AY$1005="Direkomendasikan",ROW($6:$1005)-5),579)),KotaKode,2,0),"-"),"")),"")</f>
        <v/>
      </c>
      <c r="J580" t="str">
        <f t="array" aca="1" ref="J580" ca="1">IFERROR(IF(OR(INDEX(checklistPesertaKemenkeu!$N$6:$N$1005,SMALL(IF(checklistPesertaKemenkeu!$AY$6:$AY$1005="Direkomendasikan",ROW($6:$1005)-5),579))="",INDEX(checklistPesertaKemenkeu!$J$6:$J$1005,SMALL(IF(checklistPesertaKemenkeu!$AY$6:$AY$1005="Direkomendasikan",ROW($6:$1005)-5),579))=""),"",IF(AND(COUNTIF(INDIRECT("K_"&amp;MATCH(INDEX(checklistPesertaKemenkeu!$J$6:$J$1005,SMALL(IF(checklistPesertaKemenkeu!$AY$6:$AY$1005="Direkomendasikan",ROW($6:$1005)-5),579)),BidangList,0)),INDEX(checklistPesertaKemenkeu!$N$6:$N$1005,SMALL(IF(checklistPesertaKemenkeu!$AY$6:$AY$1005="Direkomendasikan",ROW($6:$1005)-5),579)))&gt;0,COUNTIF(INDIRECT("'KERTAS KERJA'!K"&amp;(SMALL(IF(checklistPesertaKemenkeu!$AY$6:$AY$1005="Direkomendasikan",ROW($6:$1005)-5),579)+5)&amp;":O"&amp;(SMALL(IF(checklistPesertaKemenkeu!$AY$6:$AY$1005="Direkomendasikan",ROW($6:$1005)-5),579)+5)),INDEX(checklistPesertaKemenkeu!$N$6:$N$1005,SMALL(IF(checklistPesertaKemenkeu!$AY$6:$AY$1005="Direkomendasikan",ROW($6:$1005)-5),579)))=1),IFERROR(VLOOKUP(INDEX(checklistPesertaKemenkeu!$N$6:$N$1005,SMALL(IF(checklistPesertaKemenkeu!$AY$6:$AY$1005="Direkomendasikan",ROW($6:$1005)-5),579)),KotaKode,2,0),"-"),"")),"")</f>
        <v/>
      </c>
      <c r="K580" t="str">
        <f t="array" aca="1" ref="K580" ca="1">IFERROR(IF(OR(INDEX(checklistPesertaKemenkeu!$O$6:$O$1005,SMALL(IF(checklistPesertaKemenkeu!$AY$6:$AY$1005="Direkomendasikan",ROW($6:$1005)-5),579))="",INDEX(checklistPesertaKemenkeu!$J$6:$J$1005,SMALL(IF(checklistPesertaKemenkeu!$AY$6:$AY$1005="Direkomendasikan",ROW($6:$1005)-5),579))=""),"",IF(AND(COUNTIF(INDIRECT("K_"&amp;MATCH(INDEX(checklistPesertaKemenkeu!$J$6:$J$1005,SMALL(IF(checklistPesertaKemenkeu!$AY$6:$AY$1005="Direkomendasikan",ROW($6:$1005)-5),579)),BidangList,0)),INDEX(checklistPesertaKemenkeu!$O$6:$O$1005,SMALL(IF(checklistPesertaKemenkeu!$AY$6:$AY$1005="Direkomendasikan",ROW($6:$1005)-5),579)))&gt;0,COUNTIF(INDIRECT("'KERTAS KERJA'!K"&amp;(SMALL(IF(checklistPesertaKemenkeu!$AY$6:$AY$1005="Direkomendasikan",ROW($6:$1005)-5),579)+5)&amp;":O"&amp;(SMALL(IF(checklistPesertaKemenkeu!$AY$6:$AY$1005="Direkomendasikan",ROW($6:$1005)-5),579)+5)),INDEX(checklistPesertaKemenkeu!$O$6:$O$1005,SMALL(IF(checklistPesertaKemenkeu!$AY$6:$AY$1005="Direkomendasikan",ROW($6:$1005)-5),579)))=1),IFERROR(VLOOKUP(INDEX(checklistPesertaKemenkeu!$O$6:$O$1005,SMALL(IF(checklistPesertaKemenkeu!$AY$6:$AY$1005="Direkomendasikan",ROW($6:$1005)-5),579)),KotaKode,2,0),"-"),"")),"")</f>
        <v/>
      </c>
      <c r="L580" t="str">
        <f t="array" aca="1" ref="L580" ca="1">IFERROR(IF(OR(INDEX(checklistPesertaKemenkeu!$P$6:$P$1005,SMALL(IF(checklistPesertaKemenkeu!$AY$6:$AY$1005="Direkomendasikan",ROW($6:$1005)-5),579))="",INDEX(checklistPesertaKemenkeu!$J$6:$J$1005,SMALL(IF(checklistPesertaKemenkeu!$AY$6:$AY$1005="Direkomendasikan",ROW($6:$1005)-5),579))=""),"",IF(AND(COUNTIF(INDIRECT("K_"&amp;MATCH(INDEX(checklistPesertaKemenkeu!$J$6:$J$1005,SMALL(IF(checklistPesertaKemenkeu!$AY$6:$AY$1005="Direkomendasikan",ROW($6:$1005)-5),579)),BidangList,0)),INDEX(checklistPesertaKemenkeu!$P$6:$P$1005,SMALL(IF(checklistPesertaKemenkeu!$AY$6:$AY$1005="Direkomendasikan",ROW($6:$1005)-5),579)))&gt;0,COUNTIF(INDIRECT("'KERTAS KERJA'!K"&amp;(SMALL(IF(checklistPesertaKemenkeu!$AY$6:$AY$1005="Direkomendasikan",ROW($6:$1005)-5),579)+5)&amp;":O"&amp;(SMALL(IF(checklistPesertaKemenkeu!$AY$6:$AY$1005="Direkomendasikan",ROW($6:$1005)-5),579)+5)),INDEX(checklistPesertaKemenkeu!$P$6:$P$1005,SMALL(IF(checklistPesertaKemenkeu!$AY$6:$AY$1005="Direkomendasikan",ROW($6:$1005)-5),579)))=1),IFERROR(VLOOKUP(INDEX(checklistPesertaKemenkeu!$P$6:$P$1005,SMALL(IF(checklistPesertaKemenkeu!$AY$6:$AY$1005="Direkomendasikan",ROW($6:$1005)-5),579)),KotaKode,2,0),"-"),"")),"")</f>
        <v/>
      </c>
    </row>
    <row r="581" spans="1:12" ht="15" customHeight="1" x14ac:dyDescent="0.2">
      <c r="A581" t="str">
        <f t="shared" si="9"/>
        <v/>
      </c>
      <c r="B581" t="str">
        <v/>
      </c>
      <c r="C581" s="40" t="str">
        <f t="array" ref="C581">IFERROR(INDEX(checklistPesertaKemenkeu!$F$6:$F$1005,SMALL(IF(checklistPesertaKemenkeu!$AY$6:$AY$1005="Direkomendasikan",ROW($6:$1005)-5),580)),"")</f>
        <v/>
      </c>
      <c r="D581" t="str">
        <f t="array" ref="D581">IFERROR(INDEX(checklistPesertaKemenkeu!$G$6:$G$1005,SMALL(IF(checklistPesertaKemenkeu!$AY$6:$AY$1005="Direkomendasikan",ROW($6:$1005)-5),580)),"")</f>
        <v/>
      </c>
      <c r="E581" t="str">
        <f t="array" ref="E581">IFERROR(INDEX(checklistPesertaKemenkeu!$H$6:$H$1005,SMALL(IF(checklistPesertaKemenkeu!$AY$6:$AY$1005="Direkomendasikan",ROW($6:$1005)-5),580)),"")</f>
        <v/>
      </c>
      <c r="F581" t="str">
        <f t="array" ref="F581">IFERROR(INDEX(checklistPesertaKemenkeu!$I$6:$I$1005,SMALL(IF(checklistPesertaKemenkeu!$AY$6:$AY$1005="Direkomendasikan",ROW($6:$1005)-5),580)),"")</f>
        <v/>
      </c>
      <c r="G581" t="str">
        <f t="array" ref="G581">IFERROR(INDEX(checklistPesertaKemenkeu!$J$6:$J$1005,SMALL(IF(checklistPesertaKemenkeu!$AY$6:$AY$1005="Direkomendasikan",ROW($6:$1005)-5),580)),"")</f>
        <v/>
      </c>
      <c r="H581" t="str">
        <f t="array" aca="1" ref="H581" ca="1">IFERROR(IF(OR(INDEX(checklistPesertaKemenkeu!$L$6:$L$1005,SMALL(IF(checklistPesertaKemenkeu!$AY$6:$AY$1005="Direkomendasikan",ROW($6:$1005)-5),580))="",INDEX(checklistPesertaKemenkeu!$J$6:$J$1005,SMALL(IF(checklistPesertaKemenkeu!$AY$6:$AY$1005="Direkomendasikan",ROW($6:$1005)-5),580))=""),"",IF(AND(COUNTIF(INDIRECT("K_"&amp;MATCH(INDEX(checklistPesertaKemenkeu!$J$6:$J$1005,SMALL(IF(checklistPesertaKemenkeu!$AY$6:$AY$1005="Direkomendasikan",ROW($6:$1005)-5),580)),BidangList,0)),INDEX(checklistPesertaKemenkeu!$L$6:$L$1005,SMALL(IF(checklistPesertaKemenkeu!$AY$6:$AY$1005="Direkomendasikan",ROW($6:$1005)-5),580)))&gt;0,COUNTIF(INDIRECT("'KERTAS KERJA'!K"&amp;(SMALL(IF(checklistPesertaKemenkeu!$AY$6:$AY$1005="Direkomendasikan",ROW($6:$1005)-5),580)+5)&amp;":O"&amp;(SMALL(IF(checklistPesertaKemenkeu!$AY$6:$AY$1005="Direkomendasikan",ROW($6:$1005)-5),580)+5)),INDEX(checklistPesertaKemenkeu!$L$6:$L$1005,SMALL(IF(checklistPesertaKemenkeu!$AY$6:$AY$1005="Direkomendasikan",ROW($6:$1005)-5),580)))=1),IFERROR(VLOOKUP(INDEX(checklistPesertaKemenkeu!$L$6:$L$1005,SMALL(IF(checklistPesertaKemenkeu!$AY$6:$AY$1005="Direkomendasikan",ROW($6:$1005)-5),580)),KotaKode,2,0),"-"),"")),"")</f>
        <v/>
      </c>
      <c r="I581" t="str">
        <f t="array" aca="1" ref="I581" ca="1">IFERROR(IF(OR(INDEX(checklistPesertaKemenkeu!$M$6:$M$1005,SMALL(IF(checklistPesertaKemenkeu!$AY$6:$AY$1005="Direkomendasikan",ROW($6:$1005)-5),580))="",INDEX(checklistPesertaKemenkeu!$J$6:$J$1005,SMALL(IF(checklistPesertaKemenkeu!$AY$6:$AY$1005="Direkomendasikan",ROW($6:$1005)-5),580))=""),"",IF(AND(COUNTIF(INDIRECT("K_"&amp;MATCH(INDEX(checklistPesertaKemenkeu!$J$6:$J$1005,SMALL(IF(checklistPesertaKemenkeu!$AY$6:$AY$1005="Direkomendasikan",ROW($6:$1005)-5),580)),BidangList,0)),INDEX(checklistPesertaKemenkeu!$M$6:$M$1005,SMALL(IF(checklistPesertaKemenkeu!$AY$6:$AY$1005="Direkomendasikan",ROW($6:$1005)-5),580)))&gt;0,COUNTIF(INDIRECT("'KERTAS KERJA'!K"&amp;(SMALL(IF(checklistPesertaKemenkeu!$AY$6:$AY$1005="Direkomendasikan",ROW($6:$1005)-5),580)+5)&amp;":O"&amp;(SMALL(IF(checklistPesertaKemenkeu!$AY$6:$AY$1005="Direkomendasikan",ROW($6:$1005)-5),580)+5)),INDEX(checklistPesertaKemenkeu!$M$6:$M$1005,SMALL(IF(checklistPesertaKemenkeu!$AY$6:$AY$1005="Direkomendasikan",ROW($6:$1005)-5),580)))=1),IFERROR(VLOOKUP(INDEX(checklistPesertaKemenkeu!$M$6:$M$1005,SMALL(IF(checklistPesertaKemenkeu!$AY$6:$AY$1005="Direkomendasikan",ROW($6:$1005)-5),580)),KotaKode,2,0),"-"),"")),"")</f>
        <v/>
      </c>
      <c r="J581" t="str">
        <f t="array" aca="1" ref="J581" ca="1">IFERROR(IF(OR(INDEX(checklistPesertaKemenkeu!$N$6:$N$1005,SMALL(IF(checklistPesertaKemenkeu!$AY$6:$AY$1005="Direkomendasikan",ROW($6:$1005)-5),580))="",INDEX(checklistPesertaKemenkeu!$J$6:$J$1005,SMALL(IF(checklistPesertaKemenkeu!$AY$6:$AY$1005="Direkomendasikan",ROW($6:$1005)-5),580))=""),"",IF(AND(COUNTIF(INDIRECT("K_"&amp;MATCH(INDEX(checklistPesertaKemenkeu!$J$6:$J$1005,SMALL(IF(checklistPesertaKemenkeu!$AY$6:$AY$1005="Direkomendasikan",ROW($6:$1005)-5),580)),BidangList,0)),INDEX(checklistPesertaKemenkeu!$N$6:$N$1005,SMALL(IF(checklistPesertaKemenkeu!$AY$6:$AY$1005="Direkomendasikan",ROW($6:$1005)-5),580)))&gt;0,COUNTIF(INDIRECT("'KERTAS KERJA'!K"&amp;(SMALL(IF(checklistPesertaKemenkeu!$AY$6:$AY$1005="Direkomendasikan",ROW($6:$1005)-5),580)+5)&amp;":O"&amp;(SMALL(IF(checklistPesertaKemenkeu!$AY$6:$AY$1005="Direkomendasikan",ROW($6:$1005)-5),580)+5)),INDEX(checklistPesertaKemenkeu!$N$6:$N$1005,SMALL(IF(checklistPesertaKemenkeu!$AY$6:$AY$1005="Direkomendasikan",ROW($6:$1005)-5),580)))=1),IFERROR(VLOOKUP(INDEX(checklistPesertaKemenkeu!$N$6:$N$1005,SMALL(IF(checklistPesertaKemenkeu!$AY$6:$AY$1005="Direkomendasikan",ROW($6:$1005)-5),580)),KotaKode,2,0),"-"),"")),"")</f>
        <v/>
      </c>
      <c r="K581" t="str">
        <f t="array" aca="1" ref="K581" ca="1">IFERROR(IF(OR(INDEX(checklistPesertaKemenkeu!$O$6:$O$1005,SMALL(IF(checklistPesertaKemenkeu!$AY$6:$AY$1005="Direkomendasikan",ROW($6:$1005)-5),580))="",INDEX(checklistPesertaKemenkeu!$J$6:$J$1005,SMALL(IF(checklistPesertaKemenkeu!$AY$6:$AY$1005="Direkomendasikan",ROW($6:$1005)-5),580))=""),"",IF(AND(COUNTIF(INDIRECT("K_"&amp;MATCH(INDEX(checklistPesertaKemenkeu!$J$6:$J$1005,SMALL(IF(checklistPesertaKemenkeu!$AY$6:$AY$1005="Direkomendasikan",ROW($6:$1005)-5),580)),BidangList,0)),INDEX(checklistPesertaKemenkeu!$O$6:$O$1005,SMALL(IF(checklistPesertaKemenkeu!$AY$6:$AY$1005="Direkomendasikan",ROW($6:$1005)-5),580)))&gt;0,COUNTIF(INDIRECT("'KERTAS KERJA'!K"&amp;(SMALL(IF(checklistPesertaKemenkeu!$AY$6:$AY$1005="Direkomendasikan",ROW($6:$1005)-5),580)+5)&amp;":O"&amp;(SMALL(IF(checklistPesertaKemenkeu!$AY$6:$AY$1005="Direkomendasikan",ROW($6:$1005)-5),580)+5)),INDEX(checklistPesertaKemenkeu!$O$6:$O$1005,SMALL(IF(checklistPesertaKemenkeu!$AY$6:$AY$1005="Direkomendasikan",ROW($6:$1005)-5),580)))=1),IFERROR(VLOOKUP(INDEX(checklistPesertaKemenkeu!$O$6:$O$1005,SMALL(IF(checklistPesertaKemenkeu!$AY$6:$AY$1005="Direkomendasikan",ROW($6:$1005)-5),580)),KotaKode,2,0),"-"),"")),"")</f>
        <v/>
      </c>
      <c r="L581" t="str">
        <f t="array" aca="1" ref="L581" ca="1">IFERROR(IF(OR(INDEX(checklistPesertaKemenkeu!$P$6:$P$1005,SMALL(IF(checklistPesertaKemenkeu!$AY$6:$AY$1005="Direkomendasikan",ROW($6:$1005)-5),580))="",INDEX(checklistPesertaKemenkeu!$J$6:$J$1005,SMALL(IF(checklistPesertaKemenkeu!$AY$6:$AY$1005="Direkomendasikan",ROW($6:$1005)-5),580))=""),"",IF(AND(COUNTIF(INDIRECT("K_"&amp;MATCH(INDEX(checklistPesertaKemenkeu!$J$6:$J$1005,SMALL(IF(checklistPesertaKemenkeu!$AY$6:$AY$1005="Direkomendasikan",ROW($6:$1005)-5),580)),BidangList,0)),INDEX(checklistPesertaKemenkeu!$P$6:$P$1005,SMALL(IF(checklistPesertaKemenkeu!$AY$6:$AY$1005="Direkomendasikan",ROW($6:$1005)-5),580)))&gt;0,COUNTIF(INDIRECT("'KERTAS KERJA'!K"&amp;(SMALL(IF(checklistPesertaKemenkeu!$AY$6:$AY$1005="Direkomendasikan",ROW($6:$1005)-5),580)+5)&amp;":O"&amp;(SMALL(IF(checklistPesertaKemenkeu!$AY$6:$AY$1005="Direkomendasikan",ROW($6:$1005)-5),580)+5)),INDEX(checklistPesertaKemenkeu!$P$6:$P$1005,SMALL(IF(checklistPesertaKemenkeu!$AY$6:$AY$1005="Direkomendasikan",ROW($6:$1005)-5),580)))=1),IFERROR(VLOOKUP(INDEX(checklistPesertaKemenkeu!$P$6:$P$1005,SMALL(IF(checklistPesertaKemenkeu!$AY$6:$AY$1005="Direkomendasikan",ROW($6:$1005)-5),580)),KotaKode,2,0),"-"),"")),"")</f>
        <v/>
      </c>
    </row>
    <row r="582" spans="1:12" ht="15" customHeight="1" x14ac:dyDescent="0.2">
      <c r="A582" t="str">
        <f t="shared" si="9"/>
        <v/>
      </c>
      <c r="B582" t="str">
        <v/>
      </c>
      <c r="C582" s="40" t="str">
        <f t="array" ref="C582">IFERROR(INDEX(checklistPesertaKemenkeu!$F$6:$F$1005,SMALL(IF(checklistPesertaKemenkeu!$AY$6:$AY$1005="Direkomendasikan",ROW($6:$1005)-5),581)),"")</f>
        <v/>
      </c>
      <c r="D582" t="str">
        <f t="array" ref="D582">IFERROR(INDEX(checklistPesertaKemenkeu!$G$6:$G$1005,SMALL(IF(checklistPesertaKemenkeu!$AY$6:$AY$1005="Direkomendasikan",ROW($6:$1005)-5),581)),"")</f>
        <v/>
      </c>
      <c r="E582" t="str">
        <f t="array" ref="E582">IFERROR(INDEX(checklistPesertaKemenkeu!$H$6:$H$1005,SMALL(IF(checklistPesertaKemenkeu!$AY$6:$AY$1005="Direkomendasikan",ROW($6:$1005)-5),581)),"")</f>
        <v/>
      </c>
      <c r="F582" t="str">
        <f t="array" ref="F582">IFERROR(INDEX(checklistPesertaKemenkeu!$I$6:$I$1005,SMALL(IF(checklistPesertaKemenkeu!$AY$6:$AY$1005="Direkomendasikan",ROW($6:$1005)-5),581)),"")</f>
        <v/>
      </c>
      <c r="G582" t="str">
        <f t="array" ref="G582">IFERROR(INDEX(checklistPesertaKemenkeu!$J$6:$J$1005,SMALL(IF(checklistPesertaKemenkeu!$AY$6:$AY$1005="Direkomendasikan",ROW($6:$1005)-5),581)),"")</f>
        <v/>
      </c>
      <c r="H582" t="str">
        <f t="array" aca="1" ref="H582" ca="1">IFERROR(IF(OR(INDEX(checklistPesertaKemenkeu!$L$6:$L$1005,SMALL(IF(checklistPesertaKemenkeu!$AY$6:$AY$1005="Direkomendasikan",ROW($6:$1005)-5),581))="",INDEX(checklistPesertaKemenkeu!$J$6:$J$1005,SMALL(IF(checklistPesertaKemenkeu!$AY$6:$AY$1005="Direkomendasikan",ROW($6:$1005)-5),581))=""),"",IF(AND(COUNTIF(INDIRECT("K_"&amp;MATCH(INDEX(checklistPesertaKemenkeu!$J$6:$J$1005,SMALL(IF(checklistPesertaKemenkeu!$AY$6:$AY$1005="Direkomendasikan",ROW($6:$1005)-5),581)),BidangList,0)),INDEX(checklistPesertaKemenkeu!$L$6:$L$1005,SMALL(IF(checklistPesertaKemenkeu!$AY$6:$AY$1005="Direkomendasikan",ROW($6:$1005)-5),581)))&gt;0,COUNTIF(INDIRECT("'KERTAS KERJA'!K"&amp;(SMALL(IF(checklistPesertaKemenkeu!$AY$6:$AY$1005="Direkomendasikan",ROW($6:$1005)-5),581)+5)&amp;":O"&amp;(SMALL(IF(checklistPesertaKemenkeu!$AY$6:$AY$1005="Direkomendasikan",ROW($6:$1005)-5),581)+5)),INDEX(checklistPesertaKemenkeu!$L$6:$L$1005,SMALL(IF(checklistPesertaKemenkeu!$AY$6:$AY$1005="Direkomendasikan",ROW($6:$1005)-5),581)))=1),IFERROR(VLOOKUP(INDEX(checklistPesertaKemenkeu!$L$6:$L$1005,SMALL(IF(checklistPesertaKemenkeu!$AY$6:$AY$1005="Direkomendasikan",ROW($6:$1005)-5),581)),KotaKode,2,0),"-"),"")),"")</f>
        <v/>
      </c>
      <c r="I582" t="str">
        <f t="array" aca="1" ref="I582" ca="1">IFERROR(IF(OR(INDEX(checklistPesertaKemenkeu!$M$6:$M$1005,SMALL(IF(checklistPesertaKemenkeu!$AY$6:$AY$1005="Direkomendasikan",ROW($6:$1005)-5),581))="",INDEX(checklistPesertaKemenkeu!$J$6:$J$1005,SMALL(IF(checklistPesertaKemenkeu!$AY$6:$AY$1005="Direkomendasikan",ROW($6:$1005)-5),581))=""),"",IF(AND(COUNTIF(INDIRECT("K_"&amp;MATCH(INDEX(checklistPesertaKemenkeu!$J$6:$J$1005,SMALL(IF(checklistPesertaKemenkeu!$AY$6:$AY$1005="Direkomendasikan",ROW($6:$1005)-5),581)),BidangList,0)),INDEX(checklistPesertaKemenkeu!$M$6:$M$1005,SMALL(IF(checklistPesertaKemenkeu!$AY$6:$AY$1005="Direkomendasikan",ROW($6:$1005)-5),581)))&gt;0,COUNTIF(INDIRECT("'KERTAS KERJA'!K"&amp;(SMALL(IF(checklistPesertaKemenkeu!$AY$6:$AY$1005="Direkomendasikan",ROW($6:$1005)-5),581)+5)&amp;":O"&amp;(SMALL(IF(checklistPesertaKemenkeu!$AY$6:$AY$1005="Direkomendasikan",ROW($6:$1005)-5),581)+5)),INDEX(checklistPesertaKemenkeu!$M$6:$M$1005,SMALL(IF(checklistPesertaKemenkeu!$AY$6:$AY$1005="Direkomendasikan",ROW($6:$1005)-5),581)))=1),IFERROR(VLOOKUP(INDEX(checklistPesertaKemenkeu!$M$6:$M$1005,SMALL(IF(checklistPesertaKemenkeu!$AY$6:$AY$1005="Direkomendasikan",ROW($6:$1005)-5),581)),KotaKode,2,0),"-"),"")),"")</f>
        <v/>
      </c>
      <c r="J582" t="str">
        <f t="array" aca="1" ref="J582" ca="1">IFERROR(IF(OR(INDEX(checklistPesertaKemenkeu!$N$6:$N$1005,SMALL(IF(checklistPesertaKemenkeu!$AY$6:$AY$1005="Direkomendasikan",ROW($6:$1005)-5),581))="",INDEX(checklistPesertaKemenkeu!$J$6:$J$1005,SMALL(IF(checklistPesertaKemenkeu!$AY$6:$AY$1005="Direkomendasikan",ROW($6:$1005)-5),581))=""),"",IF(AND(COUNTIF(INDIRECT("K_"&amp;MATCH(INDEX(checklistPesertaKemenkeu!$J$6:$J$1005,SMALL(IF(checklistPesertaKemenkeu!$AY$6:$AY$1005="Direkomendasikan",ROW($6:$1005)-5),581)),BidangList,0)),INDEX(checklistPesertaKemenkeu!$N$6:$N$1005,SMALL(IF(checklistPesertaKemenkeu!$AY$6:$AY$1005="Direkomendasikan",ROW($6:$1005)-5),581)))&gt;0,COUNTIF(INDIRECT("'KERTAS KERJA'!K"&amp;(SMALL(IF(checklistPesertaKemenkeu!$AY$6:$AY$1005="Direkomendasikan",ROW($6:$1005)-5),581)+5)&amp;":O"&amp;(SMALL(IF(checklistPesertaKemenkeu!$AY$6:$AY$1005="Direkomendasikan",ROW($6:$1005)-5),581)+5)),INDEX(checklistPesertaKemenkeu!$N$6:$N$1005,SMALL(IF(checklistPesertaKemenkeu!$AY$6:$AY$1005="Direkomendasikan",ROW($6:$1005)-5),581)))=1),IFERROR(VLOOKUP(INDEX(checklistPesertaKemenkeu!$N$6:$N$1005,SMALL(IF(checklistPesertaKemenkeu!$AY$6:$AY$1005="Direkomendasikan",ROW($6:$1005)-5),581)),KotaKode,2,0),"-"),"")),"")</f>
        <v/>
      </c>
      <c r="K582" t="str">
        <f t="array" aca="1" ref="K582" ca="1">IFERROR(IF(OR(INDEX(checklistPesertaKemenkeu!$O$6:$O$1005,SMALL(IF(checklistPesertaKemenkeu!$AY$6:$AY$1005="Direkomendasikan",ROW($6:$1005)-5),581))="",INDEX(checklistPesertaKemenkeu!$J$6:$J$1005,SMALL(IF(checklistPesertaKemenkeu!$AY$6:$AY$1005="Direkomendasikan",ROW($6:$1005)-5),581))=""),"",IF(AND(COUNTIF(INDIRECT("K_"&amp;MATCH(INDEX(checklistPesertaKemenkeu!$J$6:$J$1005,SMALL(IF(checklistPesertaKemenkeu!$AY$6:$AY$1005="Direkomendasikan",ROW($6:$1005)-5),581)),BidangList,0)),INDEX(checklistPesertaKemenkeu!$O$6:$O$1005,SMALL(IF(checklistPesertaKemenkeu!$AY$6:$AY$1005="Direkomendasikan",ROW($6:$1005)-5),581)))&gt;0,COUNTIF(INDIRECT("'KERTAS KERJA'!K"&amp;(SMALL(IF(checklistPesertaKemenkeu!$AY$6:$AY$1005="Direkomendasikan",ROW($6:$1005)-5),581)+5)&amp;":O"&amp;(SMALL(IF(checklistPesertaKemenkeu!$AY$6:$AY$1005="Direkomendasikan",ROW($6:$1005)-5),581)+5)),INDEX(checklistPesertaKemenkeu!$O$6:$O$1005,SMALL(IF(checklistPesertaKemenkeu!$AY$6:$AY$1005="Direkomendasikan",ROW($6:$1005)-5),581)))=1),IFERROR(VLOOKUP(INDEX(checklistPesertaKemenkeu!$O$6:$O$1005,SMALL(IF(checklistPesertaKemenkeu!$AY$6:$AY$1005="Direkomendasikan",ROW($6:$1005)-5),581)),KotaKode,2,0),"-"),"")),"")</f>
        <v/>
      </c>
      <c r="L582" t="str">
        <f t="array" aca="1" ref="L582" ca="1">IFERROR(IF(OR(INDEX(checklistPesertaKemenkeu!$P$6:$P$1005,SMALL(IF(checklistPesertaKemenkeu!$AY$6:$AY$1005="Direkomendasikan",ROW($6:$1005)-5),581))="",INDEX(checklistPesertaKemenkeu!$J$6:$J$1005,SMALL(IF(checklistPesertaKemenkeu!$AY$6:$AY$1005="Direkomendasikan",ROW($6:$1005)-5),581))=""),"",IF(AND(COUNTIF(INDIRECT("K_"&amp;MATCH(INDEX(checklistPesertaKemenkeu!$J$6:$J$1005,SMALL(IF(checklistPesertaKemenkeu!$AY$6:$AY$1005="Direkomendasikan",ROW($6:$1005)-5),581)),BidangList,0)),INDEX(checklistPesertaKemenkeu!$P$6:$P$1005,SMALL(IF(checklistPesertaKemenkeu!$AY$6:$AY$1005="Direkomendasikan",ROW($6:$1005)-5),581)))&gt;0,COUNTIF(INDIRECT("'KERTAS KERJA'!K"&amp;(SMALL(IF(checklistPesertaKemenkeu!$AY$6:$AY$1005="Direkomendasikan",ROW($6:$1005)-5),581)+5)&amp;":O"&amp;(SMALL(IF(checklistPesertaKemenkeu!$AY$6:$AY$1005="Direkomendasikan",ROW($6:$1005)-5),581)+5)),INDEX(checklistPesertaKemenkeu!$P$6:$P$1005,SMALL(IF(checklistPesertaKemenkeu!$AY$6:$AY$1005="Direkomendasikan",ROW($6:$1005)-5),581)))=1),IFERROR(VLOOKUP(INDEX(checklistPesertaKemenkeu!$P$6:$P$1005,SMALL(IF(checklistPesertaKemenkeu!$AY$6:$AY$1005="Direkomendasikan",ROW($6:$1005)-5),581)),KotaKode,2,0),"-"),"")),"")</f>
        <v/>
      </c>
    </row>
    <row r="583" spans="1:12" ht="15" customHeight="1" x14ac:dyDescent="0.2">
      <c r="A583" t="str">
        <f t="shared" si="9"/>
        <v/>
      </c>
      <c r="B583" t="str">
        <v/>
      </c>
      <c r="C583" s="40" t="str">
        <f t="array" ref="C583">IFERROR(INDEX(checklistPesertaKemenkeu!$F$6:$F$1005,SMALL(IF(checklistPesertaKemenkeu!$AY$6:$AY$1005="Direkomendasikan",ROW($6:$1005)-5),582)),"")</f>
        <v/>
      </c>
      <c r="D583" t="str">
        <f t="array" ref="D583">IFERROR(INDEX(checklistPesertaKemenkeu!$G$6:$G$1005,SMALL(IF(checklistPesertaKemenkeu!$AY$6:$AY$1005="Direkomendasikan",ROW($6:$1005)-5),582)),"")</f>
        <v/>
      </c>
      <c r="E583" t="str">
        <f t="array" ref="E583">IFERROR(INDEX(checklistPesertaKemenkeu!$H$6:$H$1005,SMALL(IF(checklistPesertaKemenkeu!$AY$6:$AY$1005="Direkomendasikan",ROW($6:$1005)-5),582)),"")</f>
        <v/>
      </c>
      <c r="F583" t="str">
        <f t="array" ref="F583">IFERROR(INDEX(checklistPesertaKemenkeu!$I$6:$I$1005,SMALL(IF(checklistPesertaKemenkeu!$AY$6:$AY$1005="Direkomendasikan",ROW($6:$1005)-5),582)),"")</f>
        <v/>
      </c>
      <c r="G583" t="str">
        <f t="array" ref="G583">IFERROR(INDEX(checklistPesertaKemenkeu!$J$6:$J$1005,SMALL(IF(checklistPesertaKemenkeu!$AY$6:$AY$1005="Direkomendasikan",ROW($6:$1005)-5),582)),"")</f>
        <v/>
      </c>
      <c r="H583" t="str">
        <f t="array" aca="1" ref="H583" ca="1">IFERROR(IF(OR(INDEX(checklistPesertaKemenkeu!$L$6:$L$1005,SMALL(IF(checklistPesertaKemenkeu!$AY$6:$AY$1005="Direkomendasikan",ROW($6:$1005)-5),582))="",INDEX(checklistPesertaKemenkeu!$J$6:$J$1005,SMALL(IF(checklistPesertaKemenkeu!$AY$6:$AY$1005="Direkomendasikan",ROW($6:$1005)-5),582))=""),"",IF(AND(COUNTIF(INDIRECT("K_"&amp;MATCH(INDEX(checklistPesertaKemenkeu!$J$6:$J$1005,SMALL(IF(checklistPesertaKemenkeu!$AY$6:$AY$1005="Direkomendasikan",ROW($6:$1005)-5),582)),BidangList,0)),INDEX(checklistPesertaKemenkeu!$L$6:$L$1005,SMALL(IF(checklistPesertaKemenkeu!$AY$6:$AY$1005="Direkomendasikan",ROW($6:$1005)-5),582)))&gt;0,COUNTIF(INDIRECT("'KERTAS KERJA'!K"&amp;(SMALL(IF(checklistPesertaKemenkeu!$AY$6:$AY$1005="Direkomendasikan",ROW($6:$1005)-5),582)+5)&amp;":O"&amp;(SMALL(IF(checklistPesertaKemenkeu!$AY$6:$AY$1005="Direkomendasikan",ROW($6:$1005)-5),582)+5)),INDEX(checklistPesertaKemenkeu!$L$6:$L$1005,SMALL(IF(checklistPesertaKemenkeu!$AY$6:$AY$1005="Direkomendasikan",ROW($6:$1005)-5),582)))=1),IFERROR(VLOOKUP(INDEX(checklistPesertaKemenkeu!$L$6:$L$1005,SMALL(IF(checklistPesertaKemenkeu!$AY$6:$AY$1005="Direkomendasikan",ROW($6:$1005)-5),582)),KotaKode,2,0),"-"),"")),"")</f>
        <v/>
      </c>
      <c r="I583" t="str">
        <f t="array" aca="1" ref="I583" ca="1">IFERROR(IF(OR(INDEX(checklistPesertaKemenkeu!$M$6:$M$1005,SMALL(IF(checklistPesertaKemenkeu!$AY$6:$AY$1005="Direkomendasikan",ROW($6:$1005)-5),582))="",INDEX(checklistPesertaKemenkeu!$J$6:$J$1005,SMALL(IF(checklistPesertaKemenkeu!$AY$6:$AY$1005="Direkomendasikan",ROW($6:$1005)-5),582))=""),"",IF(AND(COUNTIF(INDIRECT("K_"&amp;MATCH(INDEX(checklistPesertaKemenkeu!$J$6:$J$1005,SMALL(IF(checklistPesertaKemenkeu!$AY$6:$AY$1005="Direkomendasikan",ROW($6:$1005)-5),582)),BidangList,0)),INDEX(checklistPesertaKemenkeu!$M$6:$M$1005,SMALL(IF(checklistPesertaKemenkeu!$AY$6:$AY$1005="Direkomendasikan",ROW($6:$1005)-5),582)))&gt;0,COUNTIF(INDIRECT("'KERTAS KERJA'!K"&amp;(SMALL(IF(checklistPesertaKemenkeu!$AY$6:$AY$1005="Direkomendasikan",ROW($6:$1005)-5),582)+5)&amp;":O"&amp;(SMALL(IF(checklistPesertaKemenkeu!$AY$6:$AY$1005="Direkomendasikan",ROW($6:$1005)-5),582)+5)),INDEX(checklistPesertaKemenkeu!$M$6:$M$1005,SMALL(IF(checklistPesertaKemenkeu!$AY$6:$AY$1005="Direkomendasikan",ROW($6:$1005)-5),582)))=1),IFERROR(VLOOKUP(INDEX(checklistPesertaKemenkeu!$M$6:$M$1005,SMALL(IF(checklistPesertaKemenkeu!$AY$6:$AY$1005="Direkomendasikan",ROW($6:$1005)-5),582)),KotaKode,2,0),"-"),"")),"")</f>
        <v/>
      </c>
      <c r="J583" t="str">
        <f t="array" aca="1" ref="J583" ca="1">IFERROR(IF(OR(INDEX(checklistPesertaKemenkeu!$N$6:$N$1005,SMALL(IF(checklistPesertaKemenkeu!$AY$6:$AY$1005="Direkomendasikan",ROW($6:$1005)-5),582))="",INDEX(checklistPesertaKemenkeu!$J$6:$J$1005,SMALL(IF(checklistPesertaKemenkeu!$AY$6:$AY$1005="Direkomendasikan",ROW($6:$1005)-5),582))=""),"",IF(AND(COUNTIF(INDIRECT("K_"&amp;MATCH(INDEX(checklistPesertaKemenkeu!$J$6:$J$1005,SMALL(IF(checklistPesertaKemenkeu!$AY$6:$AY$1005="Direkomendasikan",ROW($6:$1005)-5),582)),BidangList,0)),INDEX(checklistPesertaKemenkeu!$N$6:$N$1005,SMALL(IF(checklistPesertaKemenkeu!$AY$6:$AY$1005="Direkomendasikan",ROW($6:$1005)-5),582)))&gt;0,COUNTIF(INDIRECT("'KERTAS KERJA'!K"&amp;(SMALL(IF(checklistPesertaKemenkeu!$AY$6:$AY$1005="Direkomendasikan",ROW($6:$1005)-5),582)+5)&amp;":O"&amp;(SMALL(IF(checklistPesertaKemenkeu!$AY$6:$AY$1005="Direkomendasikan",ROW($6:$1005)-5),582)+5)),INDEX(checklistPesertaKemenkeu!$N$6:$N$1005,SMALL(IF(checklistPesertaKemenkeu!$AY$6:$AY$1005="Direkomendasikan",ROW($6:$1005)-5),582)))=1),IFERROR(VLOOKUP(INDEX(checklistPesertaKemenkeu!$N$6:$N$1005,SMALL(IF(checklistPesertaKemenkeu!$AY$6:$AY$1005="Direkomendasikan",ROW($6:$1005)-5),582)),KotaKode,2,0),"-"),"")),"")</f>
        <v/>
      </c>
      <c r="K583" t="str">
        <f t="array" aca="1" ref="K583" ca="1">IFERROR(IF(OR(INDEX(checklistPesertaKemenkeu!$O$6:$O$1005,SMALL(IF(checklistPesertaKemenkeu!$AY$6:$AY$1005="Direkomendasikan",ROW($6:$1005)-5),582))="",INDEX(checklistPesertaKemenkeu!$J$6:$J$1005,SMALL(IF(checklistPesertaKemenkeu!$AY$6:$AY$1005="Direkomendasikan",ROW($6:$1005)-5),582))=""),"",IF(AND(COUNTIF(INDIRECT("K_"&amp;MATCH(INDEX(checklistPesertaKemenkeu!$J$6:$J$1005,SMALL(IF(checklistPesertaKemenkeu!$AY$6:$AY$1005="Direkomendasikan",ROW($6:$1005)-5),582)),BidangList,0)),INDEX(checklistPesertaKemenkeu!$O$6:$O$1005,SMALL(IF(checklistPesertaKemenkeu!$AY$6:$AY$1005="Direkomendasikan",ROW($6:$1005)-5),582)))&gt;0,COUNTIF(INDIRECT("'KERTAS KERJA'!K"&amp;(SMALL(IF(checklistPesertaKemenkeu!$AY$6:$AY$1005="Direkomendasikan",ROW($6:$1005)-5),582)+5)&amp;":O"&amp;(SMALL(IF(checklistPesertaKemenkeu!$AY$6:$AY$1005="Direkomendasikan",ROW($6:$1005)-5),582)+5)),INDEX(checklistPesertaKemenkeu!$O$6:$O$1005,SMALL(IF(checklistPesertaKemenkeu!$AY$6:$AY$1005="Direkomendasikan",ROW($6:$1005)-5),582)))=1),IFERROR(VLOOKUP(INDEX(checklistPesertaKemenkeu!$O$6:$O$1005,SMALL(IF(checklistPesertaKemenkeu!$AY$6:$AY$1005="Direkomendasikan",ROW($6:$1005)-5),582)),KotaKode,2,0),"-"),"")),"")</f>
        <v/>
      </c>
      <c r="L583" t="str">
        <f t="array" aca="1" ref="L583" ca="1">IFERROR(IF(OR(INDEX(checklistPesertaKemenkeu!$P$6:$P$1005,SMALL(IF(checklistPesertaKemenkeu!$AY$6:$AY$1005="Direkomendasikan",ROW($6:$1005)-5),582))="",INDEX(checklistPesertaKemenkeu!$J$6:$J$1005,SMALL(IF(checklistPesertaKemenkeu!$AY$6:$AY$1005="Direkomendasikan",ROW($6:$1005)-5),582))=""),"",IF(AND(COUNTIF(INDIRECT("K_"&amp;MATCH(INDEX(checklistPesertaKemenkeu!$J$6:$J$1005,SMALL(IF(checklistPesertaKemenkeu!$AY$6:$AY$1005="Direkomendasikan",ROW($6:$1005)-5),582)),BidangList,0)),INDEX(checklistPesertaKemenkeu!$P$6:$P$1005,SMALL(IF(checklistPesertaKemenkeu!$AY$6:$AY$1005="Direkomendasikan",ROW($6:$1005)-5),582)))&gt;0,COUNTIF(INDIRECT("'KERTAS KERJA'!K"&amp;(SMALL(IF(checklistPesertaKemenkeu!$AY$6:$AY$1005="Direkomendasikan",ROW($6:$1005)-5),582)+5)&amp;":O"&amp;(SMALL(IF(checklistPesertaKemenkeu!$AY$6:$AY$1005="Direkomendasikan",ROW($6:$1005)-5),582)+5)),INDEX(checklistPesertaKemenkeu!$P$6:$P$1005,SMALL(IF(checklistPesertaKemenkeu!$AY$6:$AY$1005="Direkomendasikan",ROW($6:$1005)-5),582)))=1),IFERROR(VLOOKUP(INDEX(checklistPesertaKemenkeu!$P$6:$P$1005,SMALL(IF(checklistPesertaKemenkeu!$AY$6:$AY$1005="Direkomendasikan",ROW($6:$1005)-5),582)),KotaKode,2,0),"-"),"")),"")</f>
        <v/>
      </c>
    </row>
    <row r="584" spans="1:12" ht="15" customHeight="1" x14ac:dyDescent="0.2">
      <c r="A584" t="str">
        <f t="shared" si="9"/>
        <v/>
      </c>
      <c r="B584" t="str">
        <v/>
      </c>
      <c r="C584" s="40" t="str">
        <f t="array" ref="C584">IFERROR(INDEX(checklistPesertaKemenkeu!$F$6:$F$1005,SMALL(IF(checklistPesertaKemenkeu!$AY$6:$AY$1005="Direkomendasikan",ROW($6:$1005)-5),583)),"")</f>
        <v/>
      </c>
      <c r="D584" t="str">
        <f t="array" ref="D584">IFERROR(INDEX(checklistPesertaKemenkeu!$G$6:$G$1005,SMALL(IF(checklistPesertaKemenkeu!$AY$6:$AY$1005="Direkomendasikan",ROW($6:$1005)-5),583)),"")</f>
        <v/>
      </c>
      <c r="E584" t="str">
        <f t="array" ref="E584">IFERROR(INDEX(checklistPesertaKemenkeu!$H$6:$H$1005,SMALL(IF(checklistPesertaKemenkeu!$AY$6:$AY$1005="Direkomendasikan",ROW($6:$1005)-5),583)),"")</f>
        <v/>
      </c>
      <c r="F584" t="str">
        <f t="array" ref="F584">IFERROR(INDEX(checklistPesertaKemenkeu!$I$6:$I$1005,SMALL(IF(checklistPesertaKemenkeu!$AY$6:$AY$1005="Direkomendasikan",ROW($6:$1005)-5),583)),"")</f>
        <v/>
      </c>
      <c r="G584" t="str">
        <f t="array" ref="G584">IFERROR(INDEX(checklistPesertaKemenkeu!$J$6:$J$1005,SMALL(IF(checklistPesertaKemenkeu!$AY$6:$AY$1005="Direkomendasikan",ROW($6:$1005)-5),583)),"")</f>
        <v/>
      </c>
      <c r="H584" t="str">
        <f t="array" aca="1" ref="H584" ca="1">IFERROR(IF(OR(INDEX(checklistPesertaKemenkeu!$L$6:$L$1005,SMALL(IF(checklistPesertaKemenkeu!$AY$6:$AY$1005="Direkomendasikan",ROW($6:$1005)-5),583))="",INDEX(checklistPesertaKemenkeu!$J$6:$J$1005,SMALL(IF(checklistPesertaKemenkeu!$AY$6:$AY$1005="Direkomendasikan",ROW($6:$1005)-5),583))=""),"",IF(AND(COUNTIF(INDIRECT("K_"&amp;MATCH(INDEX(checklistPesertaKemenkeu!$J$6:$J$1005,SMALL(IF(checklistPesertaKemenkeu!$AY$6:$AY$1005="Direkomendasikan",ROW($6:$1005)-5),583)),BidangList,0)),INDEX(checklistPesertaKemenkeu!$L$6:$L$1005,SMALL(IF(checklistPesertaKemenkeu!$AY$6:$AY$1005="Direkomendasikan",ROW($6:$1005)-5),583)))&gt;0,COUNTIF(INDIRECT("'KERTAS KERJA'!K"&amp;(SMALL(IF(checklistPesertaKemenkeu!$AY$6:$AY$1005="Direkomendasikan",ROW($6:$1005)-5),583)+5)&amp;":O"&amp;(SMALL(IF(checklistPesertaKemenkeu!$AY$6:$AY$1005="Direkomendasikan",ROW($6:$1005)-5),583)+5)),INDEX(checklistPesertaKemenkeu!$L$6:$L$1005,SMALL(IF(checklistPesertaKemenkeu!$AY$6:$AY$1005="Direkomendasikan",ROW($6:$1005)-5),583)))=1),IFERROR(VLOOKUP(INDEX(checklistPesertaKemenkeu!$L$6:$L$1005,SMALL(IF(checklistPesertaKemenkeu!$AY$6:$AY$1005="Direkomendasikan",ROW($6:$1005)-5),583)),KotaKode,2,0),"-"),"")),"")</f>
        <v/>
      </c>
      <c r="I584" t="str">
        <f t="array" aca="1" ref="I584" ca="1">IFERROR(IF(OR(INDEX(checklistPesertaKemenkeu!$M$6:$M$1005,SMALL(IF(checklistPesertaKemenkeu!$AY$6:$AY$1005="Direkomendasikan",ROW($6:$1005)-5),583))="",INDEX(checklistPesertaKemenkeu!$J$6:$J$1005,SMALL(IF(checklistPesertaKemenkeu!$AY$6:$AY$1005="Direkomendasikan",ROW($6:$1005)-5),583))=""),"",IF(AND(COUNTIF(INDIRECT("K_"&amp;MATCH(INDEX(checklistPesertaKemenkeu!$J$6:$J$1005,SMALL(IF(checklistPesertaKemenkeu!$AY$6:$AY$1005="Direkomendasikan",ROW($6:$1005)-5),583)),BidangList,0)),INDEX(checklistPesertaKemenkeu!$M$6:$M$1005,SMALL(IF(checklistPesertaKemenkeu!$AY$6:$AY$1005="Direkomendasikan",ROW($6:$1005)-5),583)))&gt;0,COUNTIF(INDIRECT("'KERTAS KERJA'!K"&amp;(SMALL(IF(checklistPesertaKemenkeu!$AY$6:$AY$1005="Direkomendasikan",ROW($6:$1005)-5),583)+5)&amp;":O"&amp;(SMALL(IF(checklistPesertaKemenkeu!$AY$6:$AY$1005="Direkomendasikan",ROW($6:$1005)-5),583)+5)),INDEX(checklistPesertaKemenkeu!$M$6:$M$1005,SMALL(IF(checklistPesertaKemenkeu!$AY$6:$AY$1005="Direkomendasikan",ROW($6:$1005)-5),583)))=1),IFERROR(VLOOKUP(INDEX(checklistPesertaKemenkeu!$M$6:$M$1005,SMALL(IF(checklistPesertaKemenkeu!$AY$6:$AY$1005="Direkomendasikan",ROW($6:$1005)-5),583)),KotaKode,2,0),"-"),"")),"")</f>
        <v/>
      </c>
      <c r="J584" t="str">
        <f t="array" aca="1" ref="J584" ca="1">IFERROR(IF(OR(INDEX(checklistPesertaKemenkeu!$N$6:$N$1005,SMALL(IF(checklistPesertaKemenkeu!$AY$6:$AY$1005="Direkomendasikan",ROW($6:$1005)-5),583))="",INDEX(checklistPesertaKemenkeu!$J$6:$J$1005,SMALL(IF(checklistPesertaKemenkeu!$AY$6:$AY$1005="Direkomendasikan",ROW($6:$1005)-5),583))=""),"",IF(AND(COUNTIF(INDIRECT("K_"&amp;MATCH(INDEX(checklistPesertaKemenkeu!$J$6:$J$1005,SMALL(IF(checklistPesertaKemenkeu!$AY$6:$AY$1005="Direkomendasikan",ROW($6:$1005)-5),583)),BidangList,0)),INDEX(checklistPesertaKemenkeu!$N$6:$N$1005,SMALL(IF(checklistPesertaKemenkeu!$AY$6:$AY$1005="Direkomendasikan",ROW($6:$1005)-5),583)))&gt;0,COUNTIF(INDIRECT("'KERTAS KERJA'!K"&amp;(SMALL(IF(checklistPesertaKemenkeu!$AY$6:$AY$1005="Direkomendasikan",ROW($6:$1005)-5),583)+5)&amp;":O"&amp;(SMALL(IF(checklistPesertaKemenkeu!$AY$6:$AY$1005="Direkomendasikan",ROW($6:$1005)-5),583)+5)),INDEX(checklistPesertaKemenkeu!$N$6:$N$1005,SMALL(IF(checklistPesertaKemenkeu!$AY$6:$AY$1005="Direkomendasikan",ROW($6:$1005)-5),583)))=1),IFERROR(VLOOKUP(INDEX(checklistPesertaKemenkeu!$N$6:$N$1005,SMALL(IF(checklistPesertaKemenkeu!$AY$6:$AY$1005="Direkomendasikan",ROW($6:$1005)-5),583)),KotaKode,2,0),"-"),"")),"")</f>
        <v/>
      </c>
      <c r="K584" t="str">
        <f t="array" aca="1" ref="K584" ca="1">IFERROR(IF(OR(INDEX(checklistPesertaKemenkeu!$O$6:$O$1005,SMALL(IF(checklistPesertaKemenkeu!$AY$6:$AY$1005="Direkomendasikan",ROW($6:$1005)-5),583))="",INDEX(checklistPesertaKemenkeu!$J$6:$J$1005,SMALL(IF(checklistPesertaKemenkeu!$AY$6:$AY$1005="Direkomendasikan",ROW($6:$1005)-5),583))=""),"",IF(AND(COUNTIF(INDIRECT("K_"&amp;MATCH(INDEX(checklistPesertaKemenkeu!$J$6:$J$1005,SMALL(IF(checklistPesertaKemenkeu!$AY$6:$AY$1005="Direkomendasikan",ROW($6:$1005)-5),583)),BidangList,0)),INDEX(checklistPesertaKemenkeu!$O$6:$O$1005,SMALL(IF(checklistPesertaKemenkeu!$AY$6:$AY$1005="Direkomendasikan",ROW($6:$1005)-5),583)))&gt;0,COUNTIF(INDIRECT("'KERTAS KERJA'!K"&amp;(SMALL(IF(checklistPesertaKemenkeu!$AY$6:$AY$1005="Direkomendasikan",ROW($6:$1005)-5),583)+5)&amp;":O"&amp;(SMALL(IF(checklistPesertaKemenkeu!$AY$6:$AY$1005="Direkomendasikan",ROW($6:$1005)-5),583)+5)),INDEX(checklistPesertaKemenkeu!$O$6:$O$1005,SMALL(IF(checklistPesertaKemenkeu!$AY$6:$AY$1005="Direkomendasikan",ROW($6:$1005)-5),583)))=1),IFERROR(VLOOKUP(INDEX(checklistPesertaKemenkeu!$O$6:$O$1005,SMALL(IF(checklistPesertaKemenkeu!$AY$6:$AY$1005="Direkomendasikan",ROW($6:$1005)-5),583)),KotaKode,2,0),"-"),"")),"")</f>
        <v/>
      </c>
      <c r="L584" t="str">
        <f t="array" aca="1" ref="L584" ca="1">IFERROR(IF(OR(INDEX(checklistPesertaKemenkeu!$P$6:$P$1005,SMALL(IF(checklistPesertaKemenkeu!$AY$6:$AY$1005="Direkomendasikan",ROW($6:$1005)-5),583))="",INDEX(checklistPesertaKemenkeu!$J$6:$J$1005,SMALL(IF(checklistPesertaKemenkeu!$AY$6:$AY$1005="Direkomendasikan",ROW($6:$1005)-5),583))=""),"",IF(AND(COUNTIF(INDIRECT("K_"&amp;MATCH(INDEX(checklistPesertaKemenkeu!$J$6:$J$1005,SMALL(IF(checklistPesertaKemenkeu!$AY$6:$AY$1005="Direkomendasikan",ROW($6:$1005)-5),583)),BidangList,0)),INDEX(checklistPesertaKemenkeu!$P$6:$P$1005,SMALL(IF(checklistPesertaKemenkeu!$AY$6:$AY$1005="Direkomendasikan",ROW($6:$1005)-5),583)))&gt;0,COUNTIF(INDIRECT("'KERTAS KERJA'!K"&amp;(SMALL(IF(checklistPesertaKemenkeu!$AY$6:$AY$1005="Direkomendasikan",ROW($6:$1005)-5),583)+5)&amp;":O"&amp;(SMALL(IF(checklistPesertaKemenkeu!$AY$6:$AY$1005="Direkomendasikan",ROW($6:$1005)-5),583)+5)),INDEX(checklistPesertaKemenkeu!$P$6:$P$1005,SMALL(IF(checklistPesertaKemenkeu!$AY$6:$AY$1005="Direkomendasikan",ROW($6:$1005)-5),583)))=1),IFERROR(VLOOKUP(INDEX(checklistPesertaKemenkeu!$P$6:$P$1005,SMALL(IF(checklistPesertaKemenkeu!$AY$6:$AY$1005="Direkomendasikan",ROW($6:$1005)-5),583)),KotaKode,2,0),"-"),"")),"")</f>
        <v/>
      </c>
    </row>
    <row r="585" spans="1:12" ht="15" customHeight="1" x14ac:dyDescent="0.2">
      <c r="A585" t="str">
        <f t="shared" si="9"/>
        <v/>
      </c>
      <c r="B585" t="str">
        <v/>
      </c>
      <c r="C585" s="40" t="str">
        <f t="array" ref="C585">IFERROR(INDEX(checklistPesertaKemenkeu!$F$6:$F$1005,SMALL(IF(checklistPesertaKemenkeu!$AY$6:$AY$1005="Direkomendasikan",ROW($6:$1005)-5),584)),"")</f>
        <v/>
      </c>
      <c r="D585" t="str">
        <f t="array" ref="D585">IFERROR(INDEX(checklistPesertaKemenkeu!$G$6:$G$1005,SMALL(IF(checklistPesertaKemenkeu!$AY$6:$AY$1005="Direkomendasikan",ROW($6:$1005)-5),584)),"")</f>
        <v/>
      </c>
      <c r="E585" t="str">
        <f t="array" ref="E585">IFERROR(INDEX(checklistPesertaKemenkeu!$H$6:$H$1005,SMALL(IF(checklistPesertaKemenkeu!$AY$6:$AY$1005="Direkomendasikan",ROW($6:$1005)-5),584)),"")</f>
        <v/>
      </c>
      <c r="F585" t="str">
        <f t="array" ref="F585">IFERROR(INDEX(checklistPesertaKemenkeu!$I$6:$I$1005,SMALL(IF(checklistPesertaKemenkeu!$AY$6:$AY$1005="Direkomendasikan",ROW($6:$1005)-5),584)),"")</f>
        <v/>
      </c>
      <c r="G585" t="str">
        <f t="array" ref="G585">IFERROR(INDEX(checklistPesertaKemenkeu!$J$6:$J$1005,SMALL(IF(checklistPesertaKemenkeu!$AY$6:$AY$1005="Direkomendasikan",ROW($6:$1005)-5),584)),"")</f>
        <v/>
      </c>
      <c r="H585" t="str">
        <f t="array" aca="1" ref="H585" ca="1">IFERROR(IF(OR(INDEX(checklistPesertaKemenkeu!$L$6:$L$1005,SMALL(IF(checklistPesertaKemenkeu!$AY$6:$AY$1005="Direkomendasikan",ROW($6:$1005)-5),584))="",INDEX(checklistPesertaKemenkeu!$J$6:$J$1005,SMALL(IF(checklistPesertaKemenkeu!$AY$6:$AY$1005="Direkomendasikan",ROW($6:$1005)-5),584))=""),"",IF(AND(COUNTIF(INDIRECT("K_"&amp;MATCH(INDEX(checklistPesertaKemenkeu!$J$6:$J$1005,SMALL(IF(checklistPesertaKemenkeu!$AY$6:$AY$1005="Direkomendasikan",ROW($6:$1005)-5),584)),BidangList,0)),INDEX(checklistPesertaKemenkeu!$L$6:$L$1005,SMALL(IF(checklistPesertaKemenkeu!$AY$6:$AY$1005="Direkomendasikan",ROW($6:$1005)-5),584)))&gt;0,COUNTIF(INDIRECT("'KERTAS KERJA'!K"&amp;(SMALL(IF(checklistPesertaKemenkeu!$AY$6:$AY$1005="Direkomendasikan",ROW($6:$1005)-5),584)+5)&amp;":O"&amp;(SMALL(IF(checklistPesertaKemenkeu!$AY$6:$AY$1005="Direkomendasikan",ROW($6:$1005)-5),584)+5)),INDEX(checklistPesertaKemenkeu!$L$6:$L$1005,SMALL(IF(checklistPesertaKemenkeu!$AY$6:$AY$1005="Direkomendasikan",ROW($6:$1005)-5),584)))=1),IFERROR(VLOOKUP(INDEX(checklistPesertaKemenkeu!$L$6:$L$1005,SMALL(IF(checklistPesertaKemenkeu!$AY$6:$AY$1005="Direkomendasikan",ROW($6:$1005)-5),584)),KotaKode,2,0),"-"),"")),"")</f>
        <v/>
      </c>
      <c r="I585" t="str">
        <f t="array" aca="1" ref="I585" ca="1">IFERROR(IF(OR(INDEX(checklistPesertaKemenkeu!$M$6:$M$1005,SMALL(IF(checklistPesertaKemenkeu!$AY$6:$AY$1005="Direkomendasikan",ROW($6:$1005)-5),584))="",INDEX(checklistPesertaKemenkeu!$J$6:$J$1005,SMALL(IF(checklistPesertaKemenkeu!$AY$6:$AY$1005="Direkomendasikan",ROW($6:$1005)-5),584))=""),"",IF(AND(COUNTIF(INDIRECT("K_"&amp;MATCH(INDEX(checklistPesertaKemenkeu!$J$6:$J$1005,SMALL(IF(checklistPesertaKemenkeu!$AY$6:$AY$1005="Direkomendasikan",ROW($6:$1005)-5),584)),BidangList,0)),INDEX(checklistPesertaKemenkeu!$M$6:$M$1005,SMALL(IF(checklistPesertaKemenkeu!$AY$6:$AY$1005="Direkomendasikan",ROW($6:$1005)-5),584)))&gt;0,COUNTIF(INDIRECT("'KERTAS KERJA'!K"&amp;(SMALL(IF(checklistPesertaKemenkeu!$AY$6:$AY$1005="Direkomendasikan",ROW($6:$1005)-5),584)+5)&amp;":O"&amp;(SMALL(IF(checklistPesertaKemenkeu!$AY$6:$AY$1005="Direkomendasikan",ROW($6:$1005)-5),584)+5)),INDEX(checklistPesertaKemenkeu!$M$6:$M$1005,SMALL(IF(checklistPesertaKemenkeu!$AY$6:$AY$1005="Direkomendasikan",ROW($6:$1005)-5),584)))=1),IFERROR(VLOOKUP(INDEX(checklistPesertaKemenkeu!$M$6:$M$1005,SMALL(IF(checklistPesertaKemenkeu!$AY$6:$AY$1005="Direkomendasikan",ROW($6:$1005)-5),584)),KotaKode,2,0),"-"),"")),"")</f>
        <v/>
      </c>
      <c r="J585" t="str">
        <f t="array" aca="1" ref="J585" ca="1">IFERROR(IF(OR(INDEX(checklistPesertaKemenkeu!$N$6:$N$1005,SMALL(IF(checklistPesertaKemenkeu!$AY$6:$AY$1005="Direkomendasikan",ROW($6:$1005)-5),584))="",INDEX(checklistPesertaKemenkeu!$J$6:$J$1005,SMALL(IF(checklistPesertaKemenkeu!$AY$6:$AY$1005="Direkomendasikan",ROW($6:$1005)-5),584))=""),"",IF(AND(COUNTIF(INDIRECT("K_"&amp;MATCH(INDEX(checklistPesertaKemenkeu!$J$6:$J$1005,SMALL(IF(checklistPesertaKemenkeu!$AY$6:$AY$1005="Direkomendasikan",ROW($6:$1005)-5),584)),BidangList,0)),INDEX(checklistPesertaKemenkeu!$N$6:$N$1005,SMALL(IF(checklistPesertaKemenkeu!$AY$6:$AY$1005="Direkomendasikan",ROW($6:$1005)-5),584)))&gt;0,COUNTIF(INDIRECT("'KERTAS KERJA'!K"&amp;(SMALL(IF(checklistPesertaKemenkeu!$AY$6:$AY$1005="Direkomendasikan",ROW($6:$1005)-5),584)+5)&amp;":O"&amp;(SMALL(IF(checklistPesertaKemenkeu!$AY$6:$AY$1005="Direkomendasikan",ROW($6:$1005)-5),584)+5)),INDEX(checklistPesertaKemenkeu!$N$6:$N$1005,SMALL(IF(checklistPesertaKemenkeu!$AY$6:$AY$1005="Direkomendasikan",ROW($6:$1005)-5),584)))=1),IFERROR(VLOOKUP(INDEX(checklistPesertaKemenkeu!$N$6:$N$1005,SMALL(IF(checklistPesertaKemenkeu!$AY$6:$AY$1005="Direkomendasikan",ROW($6:$1005)-5),584)),KotaKode,2,0),"-"),"")),"")</f>
        <v/>
      </c>
      <c r="K585" t="str">
        <f t="array" aca="1" ref="K585" ca="1">IFERROR(IF(OR(INDEX(checklistPesertaKemenkeu!$O$6:$O$1005,SMALL(IF(checklistPesertaKemenkeu!$AY$6:$AY$1005="Direkomendasikan",ROW($6:$1005)-5),584))="",INDEX(checklistPesertaKemenkeu!$J$6:$J$1005,SMALL(IF(checklistPesertaKemenkeu!$AY$6:$AY$1005="Direkomendasikan",ROW($6:$1005)-5),584))=""),"",IF(AND(COUNTIF(INDIRECT("K_"&amp;MATCH(INDEX(checklistPesertaKemenkeu!$J$6:$J$1005,SMALL(IF(checklistPesertaKemenkeu!$AY$6:$AY$1005="Direkomendasikan",ROW($6:$1005)-5),584)),BidangList,0)),INDEX(checklistPesertaKemenkeu!$O$6:$O$1005,SMALL(IF(checklistPesertaKemenkeu!$AY$6:$AY$1005="Direkomendasikan",ROW($6:$1005)-5),584)))&gt;0,COUNTIF(INDIRECT("'KERTAS KERJA'!K"&amp;(SMALL(IF(checklistPesertaKemenkeu!$AY$6:$AY$1005="Direkomendasikan",ROW($6:$1005)-5),584)+5)&amp;":O"&amp;(SMALL(IF(checklistPesertaKemenkeu!$AY$6:$AY$1005="Direkomendasikan",ROW($6:$1005)-5),584)+5)),INDEX(checklistPesertaKemenkeu!$O$6:$O$1005,SMALL(IF(checklistPesertaKemenkeu!$AY$6:$AY$1005="Direkomendasikan",ROW($6:$1005)-5),584)))=1),IFERROR(VLOOKUP(INDEX(checklistPesertaKemenkeu!$O$6:$O$1005,SMALL(IF(checklistPesertaKemenkeu!$AY$6:$AY$1005="Direkomendasikan",ROW($6:$1005)-5),584)),KotaKode,2,0),"-"),"")),"")</f>
        <v/>
      </c>
      <c r="L585" t="str">
        <f t="array" aca="1" ref="L585" ca="1">IFERROR(IF(OR(INDEX(checklistPesertaKemenkeu!$P$6:$P$1005,SMALL(IF(checklistPesertaKemenkeu!$AY$6:$AY$1005="Direkomendasikan",ROW($6:$1005)-5),584))="",INDEX(checklistPesertaKemenkeu!$J$6:$J$1005,SMALL(IF(checklistPesertaKemenkeu!$AY$6:$AY$1005="Direkomendasikan",ROW($6:$1005)-5),584))=""),"",IF(AND(COUNTIF(INDIRECT("K_"&amp;MATCH(INDEX(checklistPesertaKemenkeu!$J$6:$J$1005,SMALL(IF(checklistPesertaKemenkeu!$AY$6:$AY$1005="Direkomendasikan",ROW($6:$1005)-5),584)),BidangList,0)),INDEX(checklistPesertaKemenkeu!$P$6:$P$1005,SMALL(IF(checklistPesertaKemenkeu!$AY$6:$AY$1005="Direkomendasikan",ROW($6:$1005)-5),584)))&gt;0,COUNTIF(INDIRECT("'KERTAS KERJA'!K"&amp;(SMALL(IF(checklistPesertaKemenkeu!$AY$6:$AY$1005="Direkomendasikan",ROW($6:$1005)-5),584)+5)&amp;":O"&amp;(SMALL(IF(checklistPesertaKemenkeu!$AY$6:$AY$1005="Direkomendasikan",ROW($6:$1005)-5),584)+5)),INDEX(checklistPesertaKemenkeu!$P$6:$P$1005,SMALL(IF(checklistPesertaKemenkeu!$AY$6:$AY$1005="Direkomendasikan",ROW($6:$1005)-5),584)))=1),IFERROR(VLOOKUP(INDEX(checklistPesertaKemenkeu!$P$6:$P$1005,SMALL(IF(checklistPesertaKemenkeu!$AY$6:$AY$1005="Direkomendasikan",ROW($6:$1005)-5),584)),KotaKode,2,0),"-"),"")),"")</f>
        <v/>
      </c>
    </row>
    <row r="586" spans="1:12" ht="15" customHeight="1" x14ac:dyDescent="0.2">
      <c r="A586" t="str">
        <f t="shared" si="9"/>
        <v/>
      </c>
      <c r="B586" t="str">
        <v/>
      </c>
      <c r="C586" s="40" t="str">
        <f t="array" ref="C586">IFERROR(INDEX(checklistPesertaKemenkeu!$F$6:$F$1005,SMALL(IF(checklistPesertaKemenkeu!$AY$6:$AY$1005="Direkomendasikan",ROW($6:$1005)-5),585)),"")</f>
        <v/>
      </c>
      <c r="D586" t="str">
        <f t="array" ref="D586">IFERROR(INDEX(checklistPesertaKemenkeu!$G$6:$G$1005,SMALL(IF(checklistPesertaKemenkeu!$AY$6:$AY$1005="Direkomendasikan",ROW($6:$1005)-5),585)),"")</f>
        <v/>
      </c>
      <c r="E586" t="str">
        <f t="array" ref="E586">IFERROR(INDEX(checklistPesertaKemenkeu!$H$6:$H$1005,SMALL(IF(checklistPesertaKemenkeu!$AY$6:$AY$1005="Direkomendasikan",ROW($6:$1005)-5),585)),"")</f>
        <v/>
      </c>
      <c r="F586" t="str">
        <f t="array" ref="F586">IFERROR(INDEX(checklistPesertaKemenkeu!$I$6:$I$1005,SMALL(IF(checklistPesertaKemenkeu!$AY$6:$AY$1005="Direkomendasikan",ROW($6:$1005)-5),585)),"")</f>
        <v/>
      </c>
      <c r="G586" t="str">
        <f t="array" ref="G586">IFERROR(INDEX(checklistPesertaKemenkeu!$J$6:$J$1005,SMALL(IF(checklistPesertaKemenkeu!$AY$6:$AY$1005="Direkomendasikan",ROW($6:$1005)-5),585)),"")</f>
        <v/>
      </c>
      <c r="H586" t="str">
        <f t="array" aca="1" ref="H586" ca="1">IFERROR(IF(OR(INDEX(checklistPesertaKemenkeu!$L$6:$L$1005,SMALL(IF(checklistPesertaKemenkeu!$AY$6:$AY$1005="Direkomendasikan",ROW($6:$1005)-5),585))="",INDEX(checklistPesertaKemenkeu!$J$6:$J$1005,SMALL(IF(checklistPesertaKemenkeu!$AY$6:$AY$1005="Direkomendasikan",ROW($6:$1005)-5),585))=""),"",IF(AND(COUNTIF(INDIRECT("K_"&amp;MATCH(INDEX(checklistPesertaKemenkeu!$J$6:$J$1005,SMALL(IF(checklistPesertaKemenkeu!$AY$6:$AY$1005="Direkomendasikan",ROW($6:$1005)-5),585)),BidangList,0)),INDEX(checklistPesertaKemenkeu!$L$6:$L$1005,SMALL(IF(checklistPesertaKemenkeu!$AY$6:$AY$1005="Direkomendasikan",ROW($6:$1005)-5),585)))&gt;0,COUNTIF(INDIRECT("'KERTAS KERJA'!K"&amp;(SMALL(IF(checklistPesertaKemenkeu!$AY$6:$AY$1005="Direkomendasikan",ROW($6:$1005)-5),585)+5)&amp;":O"&amp;(SMALL(IF(checklistPesertaKemenkeu!$AY$6:$AY$1005="Direkomendasikan",ROW($6:$1005)-5),585)+5)),INDEX(checklistPesertaKemenkeu!$L$6:$L$1005,SMALL(IF(checklistPesertaKemenkeu!$AY$6:$AY$1005="Direkomendasikan",ROW($6:$1005)-5),585)))=1),IFERROR(VLOOKUP(INDEX(checklistPesertaKemenkeu!$L$6:$L$1005,SMALL(IF(checklistPesertaKemenkeu!$AY$6:$AY$1005="Direkomendasikan",ROW($6:$1005)-5),585)),KotaKode,2,0),"-"),"")),"")</f>
        <v/>
      </c>
      <c r="I586" t="str">
        <f t="array" aca="1" ref="I586" ca="1">IFERROR(IF(OR(INDEX(checklistPesertaKemenkeu!$M$6:$M$1005,SMALL(IF(checklistPesertaKemenkeu!$AY$6:$AY$1005="Direkomendasikan",ROW($6:$1005)-5),585))="",INDEX(checklistPesertaKemenkeu!$J$6:$J$1005,SMALL(IF(checklistPesertaKemenkeu!$AY$6:$AY$1005="Direkomendasikan",ROW($6:$1005)-5),585))=""),"",IF(AND(COUNTIF(INDIRECT("K_"&amp;MATCH(INDEX(checklistPesertaKemenkeu!$J$6:$J$1005,SMALL(IF(checklistPesertaKemenkeu!$AY$6:$AY$1005="Direkomendasikan",ROW($6:$1005)-5),585)),BidangList,0)),INDEX(checklistPesertaKemenkeu!$M$6:$M$1005,SMALL(IF(checklistPesertaKemenkeu!$AY$6:$AY$1005="Direkomendasikan",ROW($6:$1005)-5),585)))&gt;0,COUNTIF(INDIRECT("'KERTAS KERJA'!K"&amp;(SMALL(IF(checklistPesertaKemenkeu!$AY$6:$AY$1005="Direkomendasikan",ROW($6:$1005)-5),585)+5)&amp;":O"&amp;(SMALL(IF(checklistPesertaKemenkeu!$AY$6:$AY$1005="Direkomendasikan",ROW($6:$1005)-5),585)+5)),INDEX(checklistPesertaKemenkeu!$M$6:$M$1005,SMALL(IF(checklistPesertaKemenkeu!$AY$6:$AY$1005="Direkomendasikan",ROW($6:$1005)-5),585)))=1),IFERROR(VLOOKUP(INDEX(checklistPesertaKemenkeu!$M$6:$M$1005,SMALL(IF(checklistPesertaKemenkeu!$AY$6:$AY$1005="Direkomendasikan",ROW($6:$1005)-5),585)),KotaKode,2,0),"-"),"")),"")</f>
        <v/>
      </c>
      <c r="J586" t="str">
        <f t="array" aca="1" ref="J586" ca="1">IFERROR(IF(OR(INDEX(checklistPesertaKemenkeu!$N$6:$N$1005,SMALL(IF(checklistPesertaKemenkeu!$AY$6:$AY$1005="Direkomendasikan",ROW($6:$1005)-5),585))="",INDEX(checklistPesertaKemenkeu!$J$6:$J$1005,SMALL(IF(checklistPesertaKemenkeu!$AY$6:$AY$1005="Direkomendasikan",ROW($6:$1005)-5),585))=""),"",IF(AND(COUNTIF(INDIRECT("K_"&amp;MATCH(INDEX(checklistPesertaKemenkeu!$J$6:$J$1005,SMALL(IF(checklistPesertaKemenkeu!$AY$6:$AY$1005="Direkomendasikan",ROW($6:$1005)-5),585)),BidangList,0)),INDEX(checklistPesertaKemenkeu!$N$6:$N$1005,SMALL(IF(checklistPesertaKemenkeu!$AY$6:$AY$1005="Direkomendasikan",ROW($6:$1005)-5),585)))&gt;0,COUNTIF(INDIRECT("'KERTAS KERJA'!K"&amp;(SMALL(IF(checklistPesertaKemenkeu!$AY$6:$AY$1005="Direkomendasikan",ROW($6:$1005)-5),585)+5)&amp;":O"&amp;(SMALL(IF(checklistPesertaKemenkeu!$AY$6:$AY$1005="Direkomendasikan",ROW($6:$1005)-5),585)+5)),INDEX(checklistPesertaKemenkeu!$N$6:$N$1005,SMALL(IF(checklistPesertaKemenkeu!$AY$6:$AY$1005="Direkomendasikan",ROW($6:$1005)-5),585)))=1),IFERROR(VLOOKUP(INDEX(checklistPesertaKemenkeu!$N$6:$N$1005,SMALL(IF(checklistPesertaKemenkeu!$AY$6:$AY$1005="Direkomendasikan",ROW($6:$1005)-5),585)),KotaKode,2,0),"-"),"")),"")</f>
        <v/>
      </c>
      <c r="K586" t="str">
        <f t="array" aca="1" ref="K586" ca="1">IFERROR(IF(OR(INDEX(checklistPesertaKemenkeu!$O$6:$O$1005,SMALL(IF(checklistPesertaKemenkeu!$AY$6:$AY$1005="Direkomendasikan",ROW($6:$1005)-5),585))="",INDEX(checklistPesertaKemenkeu!$J$6:$J$1005,SMALL(IF(checklistPesertaKemenkeu!$AY$6:$AY$1005="Direkomendasikan",ROW($6:$1005)-5),585))=""),"",IF(AND(COUNTIF(INDIRECT("K_"&amp;MATCH(INDEX(checklistPesertaKemenkeu!$J$6:$J$1005,SMALL(IF(checklistPesertaKemenkeu!$AY$6:$AY$1005="Direkomendasikan",ROW($6:$1005)-5),585)),BidangList,0)),INDEX(checklistPesertaKemenkeu!$O$6:$O$1005,SMALL(IF(checklistPesertaKemenkeu!$AY$6:$AY$1005="Direkomendasikan",ROW($6:$1005)-5),585)))&gt;0,COUNTIF(INDIRECT("'KERTAS KERJA'!K"&amp;(SMALL(IF(checklistPesertaKemenkeu!$AY$6:$AY$1005="Direkomendasikan",ROW($6:$1005)-5),585)+5)&amp;":O"&amp;(SMALL(IF(checklistPesertaKemenkeu!$AY$6:$AY$1005="Direkomendasikan",ROW($6:$1005)-5),585)+5)),INDEX(checklistPesertaKemenkeu!$O$6:$O$1005,SMALL(IF(checklistPesertaKemenkeu!$AY$6:$AY$1005="Direkomendasikan",ROW($6:$1005)-5),585)))=1),IFERROR(VLOOKUP(INDEX(checklistPesertaKemenkeu!$O$6:$O$1005,SMALL(IF(checklistPesertaKemenkeu!$AY$6:$AY$1005="Direkomendasikan",ROW($6:$1005)-5),585)),KotaKode,2,0),"-"),"")),"")</f>
        <v/>
      </c>
      <c r="L586" t="str">
        <f t="array" aca="1" ref="L586" ca="1">IFERROR(IF(OR(INDEX(checklistPesertaKemenkeu!$P$6:$P$1005,SMALL(IF(checklistPesertaKemenkeu!$AY$6:$AY$1005="Direkomendasikan",ROW($6:$1005)-5),585))="",INDEX(checklistPesertaKemenkeu!$J$6:$J$1005,SMALL(IF(checklistPesertaKemenkeu!$AY$6:$AY$1005="Direkomendasikan",ROW($6:$1005)-5),585))=""),"",IF(AND(COUNTIF(INDIRECT("K_"&amp;MATCH(INDEX(checklistPesertaKemenkeu!$J$6:$J$1005,SMALL(IF(checklistPesertaKemenkeu!$AY$6:$AY$1005="Direkomendasikan",ROW($6:$1005)-5),585)),BidangList,0)),INDEX(checklistPesertaKemenkeu!$P$6:$P$1005,SMALL(IF(checklistPesertaKemenkeu!$AY$6:$AY$1005="Direkomendasikan",ROW($6:$1005)-5),585)))&gt;0,COUNTIF(INDIRECT("'KERTAS KERJA'!K"&amp;(SMALL(IF(checklistPesertaKemenkeu!$AY$6:$AY$1005="Direkomendasikan",ROW($6:$1005)-5),585)+5)&amp;":O"&amp;(SMALL(IF(checklistPesertaKemenkeu!$AY$6:$AY$1005="Direkomendasikan",ROW($6:$1005)-5),585)+5)),INDEX(checklistPesertaKemenkeu!$P$6:$P$1005,SMALL(IF(checklistPesertaKemenkeu!$AY$6:$AY$1005="Direkomendasikan",ROW($6:$1005)-5),585)))=1),IFERROR(VLOOKUP(INDEX(checklistPesertaKemenkeu!$P$6:$P$1005,SMALL(IF(checklistPesertaKemenkeu!$AY$6:$AY$1005="Direkomendasikan",ROW($6:$1005)-5),585)),KotaKode,2,0),"-"),"")),"")</f>
        <v/>
      </c>
    </row>
    <row r="587" spans="1:12" ht="15" customHeight="1" x14ac:dyDescent="0.2">
      <c r="A587" t="str">
        <f t="shared" si="9"/>
        <v/>
      </c>
      <c r="B587" t="str">
        <v/>
      </c>
      <c r="C587" s="40" t="str">
        <f t="array" ref="C587">IFERROR(INDEX(checklistPesertaKemenkeu!$F$6:$F$1005,SMALL(IF(checklistPesertaKemenkeu!$AY$6:$AY$1005="Direkomendasikan",ROW($6:$1005)-5),586)),"")</f>
        <v/>
      </c>
      <c r="D587" t="str">
        <f t="array" ref="D587">IFERROR(INDEX(checklistPesertaKemenkeu!$G$6:$G$1005,SMALL(IF(checklistPesertaKemenkeu!$AY$6:$AY$1005="Direkomendasikan",ROW($6:$1005)-5),586)),"")</f>
        <v/>
      </c>
      <c r="E587" t="str">
        <f t="array" ref="E587">IFERROR(INDEX(checklistPesertaKemenkeu!$H$6:$H$1005,SMALL(IF(checklistPesertaKemenkeu!$AY$6:$AY$1005="Direkomendasikan",ROW($6:$1005)-5),586)),"")</f>
        <v/>
      </c>
      <c r="F587" t="str">
        <f t="array" ref="F587">IFERROR(INDEX(checklistPesertaKemenkeu!$I$6:$I$1005,SMALL(IF(checklistPesertaKemenkeu!$AY$6:$AY$1005="Direkomendasikan",ROW($6:$1005)-5),586)),"")</f>
        <v/>
      </c>
      <c r="G587" t="str">
        <f t="array" ref="G587">IFERROR(INDEX(checklistPesertaKemenkeu!$J$6:$J$1005,SMALL(IF(checklistPesertaKemenkeu!$AY$6:$AY$1005="Direkomendasikan",ROW($6:$1005)-5),586)),"")</f>
        <v/>
      </c>
      <c r="H587" t="str">
        <f t="array" aca="1" ref="H587" ca="1">IFERROR(IF(OR(INDEX(checklistPesertaKemenkeu!$L$6:$L$1005,SMALL(IF(checklistPesertaKemenkeu!$AY$6:$AY$1005="Direkomendasikan",ROW($6:$1005)-5),586))="",INDEX(checklistPesertaKemenkeu!$J$6:$J$1005,SMALL(IF(checklistPesertaKemenkeu!$AY$6:$AY$1005="Direkomendasikan",ROW($6:$1005)-5),586))=""),"",IF(AND(COUNTIF(INDIRECT("K_"&amp;MATCH(INDEX(checklistPesertaKemenkeu!$J$6:$J$1005,SMALL(IF(checklistPesertaKemenkeu!$AY$6:$AY$1005="Direkomendasikan",ROW($6:$1005)-5),586)),BidangList,0)),INDEX(checklistPesertaKemenkeu!$L$6:$L$1005,SMALL(IF(checklistPesertaKemenkeu!$AY$6:$AY$1005="Direkomendasikan",ROW($6:$1005)-5),586)))&gt;0,COUNTIF(INDIRECT("'KERTAS KERJA'!K"&amp;(SMALL(IF(checklistPesertaKemenkeu!$AY$6:$AY$1005="Direkomendasikan",ROW($6:$1005)-5),586)+5)&amp;":O"&amp;(SMALL(IF(checklistPesertaKemenkeu!$AY$6:$AY$1005="Direkomendasikan",ROW($6:$1005)-5),586)+5)),INDEX(checklistPesertaKemenkeu!$L$6:$L$1005,SMALL(IF(checklistPesertaKemenkeu!$AY$6:$AY$1005="Direkomendasikan",ROW($6:$1005)-5),586)))=1),IFERROR(VLOOKUP(INDEX(checklistPesertaKemenkeu!$L$6:$L$1005,SMALL(IF(checklistPesertaKemenkeu!$AY$6:$AY$1005="Direkomendasikan",ROW($6:$1005)-5),586)),KotaKode,2,0),"-"),"")),"")</f>
        <v/>
      </c>
      <c r="I587" t="str">
        <f t="array" aca="1" ref="I587" ca="1">IFERROR(IF(OR(INDEX(checklistPesertaKemenkeu!$M$6:$M$1005,SMALL(IF(checklistPesertaKemenkeu!$AY$6:$AY$1005="Direkomendasikan",ROW($6:$1005)-5),586))="",INDEX(checklistPesertaKemenkeu!$J$6:$J$1005,SMALL(IF(checklistPesertaKemenkeu!$AY$6:$AY$1005="Direkomendasikan",ROW($6:$1005)-5),586))=""),"",IF(AND(COUNTIF(INDIRECT("K_"&amp;MATCH(INDEX(checklistPesertaKemenkeu!$J$6:$J$1005,SMALL(IF(checklistPesertaKemenkeu!$AY$6:$AY$1005="Direkomendasikan",ROW($6:$1005)-5),586)),BidangList,0)),INDEX(checklistPesertaKemenkeu!$M$6:$M$1005,SMALL(IF(checklistPesertaKemenkeu!$AY$6:$AY$1005="Direkomendasikan",ROW($6:$1005)-5),586)))&gt;0,COUNTIF(INDIRECT("'KERTAS KERJA'!K"&amp;(SMALL(IF(checklistPesertaKemenkeu!$AY$6:$AY$1005="Direkomendasikan",ROW($6:$1005)-5),586)+5)&amp;":O"&amp;(SMALL(IF(checklistPesertaKemenkeu!$AY$6:$AY$1005="Direkomendasikan",ROW($6:$1005)-5),586)+5)),INDEX(checklistPesertaKemenkeu!$M$6:$M$1005,SMALL(IF(checklistPesertaKemenkeu!$AY$6:$AY$1005="Direkomendasikan",ROW($6:$1005)-5),586)))=1),IFERROR(VLOOKUP(INDEX(checklistPesertaKemenkeu!$M$6:$M$1005,SMALL(IF(checklistPesertaKemenkeu!$AY$6:$AY$1005="Direkomendasikan",ROW($6:$1005)-5),586)),KotaKode,2,0),"-"),"")),"")</f>
        <v/>
      </c>
      <c r="J587" t="str">
        <f t="array" aca="1" ref="J587" ca="1">IFERROR(IF(OR(INDEX(checklistPesertaKemenkeu!$N$6:$N$1005,SMALL(IF(checklistPesertaKemenkeu!$AY$6:$AY$1005="Direkomendasikan",ROW($6:$1005)-5),586))="",INDEX(checklistPesertaKemenkeu!$J$6:$J$1005,SMALL(IF(checklistPesertaKemenkeu!$AY$6:$AY$1005="Direkomendasikan",ROW($6:$1005)-5),586))=""),"",IF(AND(COUNTIF(INDIRECT("K_"&amp;MATCH(INDEX(checklistPesertaKemenkeu!$J$6:$J$1005,SMALL(IF(checklistPesertaKemenkeu!$AY$6:$AY$1005="Direkomendasikan",ROW($6:$1005)-5),586)),BidangList,0)),INDEX(checklistPesertaKemenkeu!$N$6:$N$1005,SMALL(IF(checklistPesertaKemenkeu!$AY$6:$AY$1005="Direkomendasikan",ROW($6:$1005)-5),586)))&gt;0,COUNTIF(INDIRECT("'KERTAS KERJA'!K"&amp;(SMALL(IF(checklistPesertaKemenkeu!$AY$6:$AY$1005="Direkomendasikan",ROW($6:$1005)-5),586)+5)&amp;":O"&amp;(SMALL(IF(checklistPesertaKemenkeu!$AY$6:$AY$1005="Direkomendasikan",ROW($6:$1005)-5),586)+5)),INDEX(checklistPesertaKemenkeu!$N$6:$N$1005,SMALL(IF(checklistPesertaKemenkeu!$AY$6:$AY$1005="Direkomendasikan",ROW($6:$1005)-5),586)))=1),IFERROR(VLOOKUP(INDEX(checklistPesertaKemenkeu!$N$6:$N$1005,SMALL(IF(checklistPesertaKemenkeu!$AY$6:$AY$1005="Direkomendasikan",ROW($6:$1005)-5),586)),KotaKode,2,0),"-"),"")),"")</f>
        <v/>
      </c>
      <c r="K587" t="str">
        <f t="array" aca="1" ref="K587" ca="1">IFERROR(IF(OR(INDEX(checklistPesertaKemenkeu!$O$6:$O$1005,SMALL(IF(checklistPesertaKemenkeu!$AY$6:$AY$1005="Direkomendasikan",ROW($6:$1005)-5),586))="",INDEX(checklistPesertaKemenkeu!$J$6:$J$1005,SMALL(IF(checklistPesertaKemenkeu!$AY$6:$AY$1005="Direkomendasikan",ROW($6:$1005)-5),586))=""),"",IF(AND(COUNTIF(INDIRECT("K_"&amp;MATCH(INDEX(checklistPesertaKemenkeu!$J$6:$J$1005,SMALL(IF(checklistPesertaKemenkeu!$AY$6:$AY$1005="Direkomendasikan",ROW($6:$1005)-5),586)),BidangList,0)),INDEX(checklistPesertaKemenkeu!$O$6:$O$1005,SMALL(IF(checklistPesertaKemenkeu!$AY$6:$AY$1005="Direkomendasikan",ROW($6:$1005)-5),586)))&gt;0,COUNTIF(INDIRECT("'KERTAS KERJA'!K"&amp;(SMALL(IF(checklistPesertaKemenkeu!$AY$6:$AY$1005="Direkomendasikan",ROW($6:$1005)-5),586)+5)&amp;":O"&amp;(SMALL(IF(checklistPesertaKemenkeu!$AY$6:$AY$1005="Direkomendasikan",ROW($6:$1005)-5),586)+5)),INDEX(checklistPesertaKemenkeu!$O$6:$O$1005,SMALL(IF(checklistPesertaKemenkeu!$AY$6:$AY$1005="Direkomendasikan",ROW($6:$1005)-5),586)))=1),IFERROR(VLOOKUP(INDEX(checklistPesertaKemenkeu!$O$6:$O$1005,SMALL(IF(checklistPesertaKemenkeu!$AY$6:$AY$1005="Direkomendasikan",ROW($6:$1005)-5),586)),KotaKode,2,0),"-"),"")),"")</f>
        <v/>
      </c>
      <c r="L587" t="str">
        <f t="array" aca="1" ref="L587" ca="1">IFERROR(IF(OR(INDEX(checklistPesertaKemenkeu!$P$6:$P$1005,SMALL(IF(checklistPesertaKemenkeu!$AY$6:$AY$1005="Direkomendasikan",ROW($6:$1005)-5),586))="",INDEX(checklistPesertaKemenkeu!$J$6:$J$1005,SMALL(IF(checklistPesertaKemenkeu!$AY$6:$AY$1005="Direkomendasikan",ROW($6:$1005)-5),586))=""),"",IF(AND(COUNTIF(INDIRECT("K_"&amp;MATCH(INDEX(checklistPesertaKemenkeu!$J$6:$J$1005,SMALL(IF(checklistPesertaKemenkeu!$AY$6:$AY$1005="Direkomendasikan",ROW($6:$1005)-5),586)),BidangList,0)),INDEX(checklistPesertaKemenkeu!$P$6:$P$1005,SMALL(IF(checklistPesertaKemenkeu!$AY$6:$AY$1005="Direkomendasikan",ROW($6:$1005)-5),586)))&gt;0,COUNTIF(INDIRECT("'KERTAS KERJA'!K"&amp;(SMALL(IF(checklistPesertaKemenkeu!$AY$6:$AY$1005="Direkomendasikan",ROW($6:$1005)-5),586)+5)&amp;":O"&amp;(SMALL(IF(checklistPesertaKemenkeu!$AY$6:$AY$1005="Direkomendasikan",ROW($6:$1005)-5),586)+5)),INDEX(checklistPesertaKemenkeu!$P$6:$P$1005,SMALL(IF(checklistPesertaKemenkeu!$AY$6:$AY$1005="Direkomendasikan",ROW($6:$1005)-5),586)))=1),IFERROR(VLOOKUP(INDEX(checklistPesertaKemenkeu!$P$6:$P$1005,SMALL(IF(checklistPesertaKemenkeu!$AY$6:$AY$1005="Direkomendasikan",ROW($6:$1005)-5),586)),KotaKode,2,0),"-"),"")),"")</f>
        <v/>
      </c>
    </row>
    <row r="588" spans="1:12" ht="15" customHeight="1" x14ac:dyDescent="0.2">
      <c r="A588" t="str">
        <f t="shared" si="9"/>
        <v/>
      </c>
      <c r="B588" t="str">
        <v/>
      </c>
      <c r="C588" s="40" t="str">
        <f t="array" ref="C588">IFERROR(INDEX(checklistPesertaKemenkeu!$F$6:$F$1005,SMALL(IF(checklistPesertaKemenkeu!$AY$6:$AY$1005="Direkomendasikan",ROW($6:$1005)-5),587)),"")</f>
        <v/>
      </c>
      <c r="D588" t="str">
        <f t="array" ref="D588">IFERROR(INDEX(checklistPesertaKemenkeu!$G$6:$G$1005,SMALL(IF(checklistPesertaKemenkeu!$AY$6:$AY$1005="Direkomendasikan",ROW($6:$1005)-5),587)),"")</f>
        <v/>
      </c>
      <c r="E588" t="str">
        <f t="array" ref="E588">IFERROR(INDEX(checklistPesertaKemenkeu!$H$6:$H$1005,SMALL(IF(checklistPesertaKemenkeu!$AY$6:$AY$1005="Direkomendasikan",ROW($6:$1005)-5),587)),"")</f>
        <v/>
      </c>
      <c r="F588" t="str">
        <f t="array" ref="F588">IFERROR(INDEX(checklistPesertaKemenkeu!$I$6:$I$1005,SMALL(IF(checklistPesertaKemenkeu!$AY$6:$AY$1005="Direkomendasikan",ROW($6:$1005)-5),587)),"")</f>
        <v/>
      </c>
      <c r="G588" t="str">
        <f t="array" ref="G588">IFERROR(INDEX(checklistPesertaKemenkeu!$J$6:$J$1005,SMALL(IF(checklistPesertaKemenkeu!$AY$6:$AY$1005="Direkomendasikan",ROW($6:$1005)-5),587)),"")</f>
        <v/>
      </c>
      <c r="H588" t="str">
        <f t="array" aca="1" ref="H588" ca="1">IFERROR(IF(OR(INDEX(checklistPesertaKemenkeu!$L$6:$L$1005,SMALL(IF(checklistPesertaKemenkeu!$AY$6:$AY$1005="Direkomendasikan",ROW($6:$1005)-5),587))="",INDEX(checklistPesertaKemenkeu!$J$6:$J$1005,SMALL(IF(checklistPesertaKemenkeu!$AY$6:$AY$1005="Direkomendasikan",ROW($6:$1005)-5),587))=""),"",IF(AND(COUNTIF(INDIRECT("K_"&amp;MATCH(INDEX(checklistPesertaKemenkeu!$J$6:$J$1005,SMALL(IF(checklistPesertaKemenkeu!$AY$6:$AY$1005="Direkomendasikan",ROW($6:$1005)-5),587)),BidangList,0)),INDEX(checklistPesertaKemenkeu!$L$6:$L$1005,SMALL(IF(checklistPesertaKemenkeu!$AY$6:$AY$1005="Direkomendasikan",ROW($6:$1005)-5),587)))&gt;0,COUNTIF(INDIRECT("'KERTAS KERJA'!K"&amp;(SMALL(IF(checklistPesertaKemenkeu!$AY$6:$AY$1005="Direkomendasikan",ROW($6:$1005)-5),587)+5)&amp;":O"&amp;(SMALL(IF(checklistPesertaKemenkeu!$AY$6:$AY$1005="Direkomendasikan",ROW($6:$1005)-5),587)+5)),INDEX(checklistPesertaKemenkeu!$L$6:$L$1005,SMALL(IF(checklistPesertaKemenkeu!$AY$6:$AY$1005="Direkomendasikan",ROW($6:$1005)-5),587)))=1),IFERROR(VLOOKUP(INDEX(checklistPesertaKemenkeu!$L$6:$L$1005,SMALL(IF(checklistPesertaKemenkeu!$AY$6:$AY$1005="Direkomendasikan",ROW($6:$1005)-5),587)),KotaKode,2,0),"-"),"")),"")</f>
        <v/>
      </c>
      <c r="I588" t="str">
        <f t="array" aca="1" ref="I588" ca="1">IFERROR(IF(OR(INDEX(checklistPesertaKemenkeu!$M$6:$M$1005,SMALL(IF(checklistPesertaKemenkeu!$AY$6:$AY$1005="Direkomendasikan",ROW($6:$1005)-5),587))="",INDEX(checklistPesertaKemenkeu!$J$6:$J$1005,SMALL(IF(checklistPesertaKemenkeu!$AY$6:$AY$1005="Direkomendasikan",ROW($6:$1005)-5),587))=""),"",IF(AND(COUNTIF(INDIRECT("K_"&amp;MATCH(INDEX(checklistPesertaKemenkeu!$J$6:$J$1005,SMALL(IF(checklistPesertaKemenkeu!$AY$6:$AY$1005="Direkomendasikan",ROW($6:$1005)-5),587)),BidangList,0)),INDEX(checklistPesertaKemenkeu!$M$6:$M$1005,SMALL(IF(checklistPesertaKemenkeu!$AY$6:$AY$1005="Direkomendasikan",ROW($6:$1005)-5),587)))&gt;0,COUNTIF(INDIRECT("'KERTAS KERJA'!K"&amp;(SMALL(IF(checklistPesertaKemenkeu!$AY$6:$AY$1005="Direkomendasikan",ROW($6:$1005)-5),587)+5)&amp;":O"&amp;(SMALL(IF(checklistPesertaKemenkeu!$AY$6:$AY$1005="Direkomendasikan",ROW($6:$1005)-5),587)+5)),INDEX(checklistPesertaKemenkeu!$M$6:$M$1005,SMALL(IF(checklistPesertaKemenkeu!$AY$6:$AY$1005="Direkomendasikan",ROW($6:$1005)-5),587)))=1),IFERROR(VLOOKUP(INDEX(checklistPesertaKemenkeu!$M$6:$M$1005,SMALL(IF(checklistPesertaKemenkeu!$AY$6:$AY$1005="Direkomendasikan",ROW($6:$1005)-5),587)),KotaKode,2,0),"-"),"")),"")</f>
        <v/>
      </c>
      <c r="J588" t="str">
        <f t="array" aca="1" ref="J588" ca="1">IFERROR(IF(OR(INDEX(checklistPesertaKemenkeu!$N$6:$N$1005,SMALL(IF(checklistPesertaKemenkeu!$AY$6:$AY$1005="Direkomendasikan",ROW($6:$1005)-5),587))="",INDEX(checklistPesertaKemenkeu!$J$6:$J$1005,SMALL(IF(checklistPesertaKemenkeu!$AY$6:$AY$1005="Direkomendasikan",ROW($6:$1005)-5),587))=""),"",IF(AND(COUNTIF(INDIRECT("K_"&amp;MATCH(INDEX(checklistPesertaKemenkeu!$J$6:$J$1005,SMALL(IF(checklistPesertaKemenkeu!$AY$6:$AY$1005="Direkomendasikan",ROW($6:$1005)-5),587)),BidangList,0)),INDEX(checklistPesertaKemenkeu!$N$6:$N$1005,SMALL(IF(checklistPesertaKemenkeu!$AY$6:$AY$1005="Direkomendasikan",ROW($6:$1005)-5),587)))&gt;0,COUNTIF(INDIRECT("'KERTAS KERJA'!K"&amp;(SMALL(IF(checklistPesertaKemenkeu!$AY$6:$AY$1005="Direkomendasikan",ROW($6:$1005)-5),587)+5)&amp;":O"&amp;(SMALL(IF(checklistPesertaKemenkeu!$AY$6:$AY$1005="Direkomendasikan",ROW($6:$1005)-5),587)+5)),INDEX(checklistPesertaKemenkeu!$N$6:$N$1005,SMALL(IF(checklistPesertaKemenkeu!$AY$6:$AY$1005="Direkomendasikan",ROW($6:$1005)-5),587)))=1),IFERROR(VLOOKUP(INDEX(checklistPesertaKemenkeu!$N$6:$N$1005,SMALL(IF(checklistPesertaKemenkeu!$AY$6:$AY$1005="Direkomendasikan",ROW($6:$1005)-5),587)),KotaKode,2,0),"-"),"")),"")</f>
        <v/>
      </c>
      <c r="K588" t="str">
        <f t="array" aca="1" ref="K588" ca="1">IFERROR(IF(OR(INDEX(checklistPesertaKemenkeu!$O$6:$O$1005,SMALL(IF(checklistPesertaKemenkeu!$AY$6:$AY$1005="Direkomendasikan",ROW($6:$1005)-5),587))="",INDEX(checklistPesertaKemenkeu!$J$6:$J$1005,SMALL(IF(checklistPesertaKemenkeu!$AY$6:$AY$1005="Direkomendasikan",ROW($6:$1005)-5),587))=""),"",IF(AND(COUNTIF(INDIRECT("K_"&amp;MATCH(INDEX(checklistPesertaKemenkeu!$J$6:$J$1005,SMALL(IF(checklistPesertaKemenkeu!$AY$6:$AY$1005="Direkomendasikan",ROW($6:$1005)-5),587)),BidangList,0)),INDEX(checklistPesertaKemenkeu!$O$6:$O$1005,SMALL(IF(checklistPesertaKemenkeu!$AY$6:$AY$1005="Direkomendasikan",ROW($6:$1005)-5),587)))&gt;0,COUNTIF(INDIRECT("'KERTAS KERJA'!K"&amp;(SMALL(IF(checklistPesertaKemenkeu!$AY$6:$AY$1005="Direkomendasikan",ROW($6:$1005)-5),587)+5)&amp;":O"&amp;(SMALL(IF(checklistPesertaKemenkeu!$AY$6:$AY$1005="Direkomendasikan",ROW($6:$1005)-5),587)+5)),INDEX(checklistPesertaKemenkeu!$O$6:$O$1005,SMALL(IF(checklistPesertaKemenkeu!$AY$6:$AY$1005="Direkomendasikan",ROW($6:$1005)-5),587)))=1),IFERROR(VLOOKUP(INDEX(checklistPesertaKemenkeu!$O$6:$O$1005,SMALL(IF(checklistPesertaKemenkeu!$AY$6:$AY$1005="Direkomendasikan",ROW($6:$1005)-5),587)),KotaKode,2,0),"-"),"")),"")</f>
        <v/>
      </c>
      <c r="L588" t="str">
        <f t="array" aca="1" ref="L588" ca="1">IFERROR(IF(OR(INDEX(checklistPesertaKemenkeu!$P$6:$P$1005,SMALL(IF(checklistPesertaKemenkeu!$AY$6:$AY$1005="Direkomendasikan",ROW($6:$1005)-5),587))="",INDEX(checklistPesertaKemenkeu!$J$6:$J$1005,SMALL(IF(checklistPesertaKemenkeu!$AY$6:$AY$1005="Direkomendasikan",ROW($6:$1005)-5),587))=""),"",IF(AND(COUNTIF(INDIRECT("K_"&amp;MATCH(INDEX(checklistPesertaKemenkeu!$J$6:$J$1005,SMALL(IF(checklistPesertaKemenkeu!$AY$6:$AY$1005="Direkomendasikan",ROW($6:$1005)-5),587)),BidangList,0)),INDEX(checklistPesertaKemenkeu!$P$6:$P$1005,SMALL(IF(checklistPesertaKemenkeu!$AY$6:$AY$1005="Direkomendasikan",ROW($6:$1005)-5),587)))&gt;0,COUNTIF(INDIRECT("'KERTAS KERJA'!K"&amp;(SMALL(IF(checklistPesertaKemenkeu!$AY$6:$AY$1005="Direkomendasikan",ROW($6:$1005)-5),587)+5)&amp;":O"&amp;(SMALL(IF(checklistPesertaKemenkeu!$AY$6:$AY$1005="Direkomendasikan",ROW($6:$1005)-5),587)+5)),INDEX(checklistPesertaKemenkeu!$P$6:$P$1005,SMALL(IF(checklistPesertaKemenkeu!$AY$6:$AY$1005="Direkomendasikan",ROW($6:$1005)-5),587)))=1),IFERROR(VLOOKUP(INDEX(checklistPesertaKemenkeu!$P$6:$P$1005,SMALL(IF(checklistPesertaKemenkeu!$AY$6:$AY$1005="Direkomendasikan",ROW($6:$1005)-5),587)),KotaKode,2,0),"-"),"")),"")</f>
        <v/>
      </c>
    </row>
    <row r="589" spans="1:12" ht="15" customHeight="1" x14ac:dyDescent="0.2">
      <c r="A589" t="str">
        <f t="shared" si="9"/>
        <v/>
      </c>
      <c r="B589" t="str">
        <v/>
      </c>
      <c r="C589" s="40" t="str">
        <f t="array" ref="C589">IFERROR(INDEX(checklistPesertaKemenkeu!$F$6:$F$1005,SMALL(IF(checklistPesertaKemenkeu!$AY$6:$AY$1005="Direkomendasikan",ROW($6:$1005)-5),588)),"")</f>
        <v/>
      </c>
      <c r="D589" t="str">
        <f t="array" ref="D589">IFERROR(INDEX(checklistPesertaKemenkeu!$G$6:$G$1005,SMALL(IF(checklistPesertaKemenkeu!$AY$6:$AY$1005="Direkomendasikan",ROW($6:$1005)-5),588)),"")</f>
        <v/>
      </c>
      <c r="E589" t="str">
        <f t="array" ref="E589">IFERROR(INDEX(checklistPesertaKemenkeu!$H$6:$H$1005,SMALL(IF(checklistPesertaKemenkeu!$AY$6:$AY$1005="Direkomendasikan",ROW($6:$1005)-5),588)),"")</f>
        <v/>
      </c>
      <c r="F589" t="str">
        <f t="array" ref="F589">IFERROR(INDEX(checklistPesertaKemenkeu!$I$6:$I$1005,SMALL(IF(checklistPesertaKemenkeu!$AY$6:$AY$1005="Direkomendasikan",ROW($6:$1005)-5),588)),"")</f>
        <v/>
      </c>
      <c r="G589" t="str">
        <f t="array" ref="G589">IFERROR(INDEX(checklistPesertaKemenkeu!$J$6:$J$1005,SMALL(IF(checklistPesertaKemenkeu!$AY$6:$AY$1005="Direkomendasikan",ROW($6:$1005)-5),588)),"")</f>
        <v/>
      </c>
      <c r="H589" t="str">
        <f t="array" aca="1" ref="H589" ca="1">IFERROR(IF(OR(INDEX(checklistPesertaKemenkeu!$L$6:$L$1005,SMALL(IF(checklistPesertaKemenkeu!$AY$6:$AY$1005="Direkomendasikan",ROW($6:$1005)-5),588))="",INDEX(checklistPesertaKemenkeu!$J$6:$J$1005,SMALL(IF(checklistPesertaKemenkeu!$AY$6:$AY$1005="Direkomendasikan",ROW($6:$1005)-5),588))=""),"",IF(AND(COUNTIF(INDIRECT("K_"&amp;MATCH(INDEX(checklistPesertaKemenkeu!$J$6:$J$1005,SMALL(IF(checklistPesertaKemenkeu!$AY$6:$AY$1005="Direkomendasikan",ROW($6:$1005)-5),588)),BidangList,0)),INDEX(checklistPesertaKemenkeu!$L$6:$L$1005,SMALL(IF(checklistPesertaKemenkeu!$AY$6:$AY$1005="Direkomendasikan",ROW($6:$1005)-5),588)))&gt;0,COUNTIF(INDIRECT("'KERTAS KERJA'!K"&amp;(SMALL(IF(checklistPesertaKemenkeu!$AY$6:$AY$1005="Direkomendasikan",ROW($6:$1005)-5),588)+5)&amp;":O"&amp;(SMALL(IF(checklistPesertaKemenkeu!$AY$6:$AY$1005="Direkomendasikan",ROW($6:$1005)-5),588)+5)),INDEX(checklistPesertaKemenkeu!$L$6:$L$1005,SMALL(IF(checklistPesertaKemenkeu!$AY$6:$AY$1005="Direkomendasikan",ROW($6:$1005)-5),588)))=1),IFERROR(VLOOKUP(INDEX(checklistPesertaKemenkeu!$L$6:$L$1005,SMALL(IF(checklistPesertaKemenkeu!$AY$6:$AY$1005="Direkomendasikan",ROW($6:$1005)-5),588)),KotaKode,2,0),"-"),"")),"")</f>
        <v/>
      </c>
      <c r="I589" t="str">
        <f t="array" aca="1" ref="I589" ca="1">IFERROR(IF(OR(INDEX(checklistPesertaKemenkeu!$M$6:$M$1005,SMALL(IF(checklistPesertaKemenkeu!$AY$6:$AY$1005="Direkomendasikan",ROW($6:$1005)-5),588))="",INDEX(checklistPesertaKemenkeu!$J$6:$J$1005,SMALL(IF(checklistPesertaKemenkeu!$AY$6:$AY$1005="Direkomendasikan",ROW($6:$1005)-5),588))=""),"",IF(AND(COUNTIF(INDIRECT("K_"&amp;MATCH(INDEX(checklistPesertaKemenkeu!$J$6:$J$1005,SMALL(IF(checklistPesertaKemenkeu!$AY$6:$AY$1005="Direkomendasikan",ROW($6:$1005)-5),588)),BidangList,0)),INDEX(checklistPesertaKemenkeu!$M$6:$M$1005,SMALL(IF(checklistPesertaKemenkeu!$AY$6:$AY$1005="Direkomendasikan",ROW($6:$1005)-5),588)))&gt;0,COUNTIF(INDIRECT("'KERTAS KERJA'!K"&amp;(SMALL(IF(checklistPesertaKemenkeu!$AY$6:$AY$1005="Direkomendasikan",ROW($6:$1005)-5),588)+5)&amp;":O"&amp;(SMALL(IF(checklistPesertaKemenkeu!$AY$6:$AY$1005="Direkomendasikan",ROW($6:$1005)-5),588)+5)),INDEX(checklistPesertaKemenkeu!$M$6:$M$1005,SMALL(IF(checklistPesertaKemenkeu!$AY$6:$AY$1005="Direkomendasikan",ROW($6:$1005)-5),588)))=1),IFERROR(VLOOKUP(INDEX(checklistPesertaKemenkeu!$M$6:$M$1005,SMALL(IF(checklistPesertaKemenkeu!$AY$6:$AY$1005="Direkomendasikan",ROW($6:$1005)-5),588)),KotaKode,2,0),"-"),"")),"")</f>
        <v/>
      </c>
      <c r="J589" t="str">
        <f t="array" aca="1" ref="J589" ca="1">IFERROR(IF(OR(INDEX(checklistPesertaKemenkeu!$N$6:$N$1005,SMALL(IF(checklistPesertaKemenkeu!$AY$6:$AY$1005="Direkomendasikan",ROW($6:$1005)-5),588))="",INDEX(checklistPesertaKemenkeu!$J$6:$J$1005,SMALL(IF(checklistPesertaKemenkeu!$AY$6:$AY$1005="Direkomendasikan",ROW($6:$1005)-5),588))=""),"",IF(AND(COUNTIF(INDIRECT("K_"&amp;MATCH(INDEX(checklistPesertaKemenkeu!$J$6:$J$1005,SMALL(IF(checklistPesertaKemenkeu!$AY$6:$AY$1005="Direkomendasikan",ROW($6:$1005)-5),588)),BidangList,0)),INDEX(checklistPesertaKemenkeu!$N$6:$N$1005,SMALL(IF(checklistPesertaKemenkeu!$AY$6:$AY$1005="Direkomendasikan",ROW($6:$1005)-5),588)))&gt;0,COUNTIF(INDIRECT("'KERTAS KERJA'!K"&amp;(SMALL(IF(checklistPesertaKemenkeu!$AY$6:$AY$1005="Direkomendasikan",ROW($6:$1005)-5),588)+5)&amp;":O"&amp;(SMALL(IF(checklistPesertaKemenkeu!$AY$6:$AY$1005="Direkomendasikan",ROW($6:$1005)-5),588)+5)),INDEX(checklistPesertaKemenkeu!$N$6:$N$1005,SMALL(IF(checklistPesertaKemenkeu!$AY$6:$AY$1005="Direkomendasikan",ROW($6:$1005)-5),588)))=1),IFERROR(VLOOKUP(INDEX(checklistPesertaKemenkeu!$N$6:$N$1005,SMALL(IF(checklistPesertaKemenkeu!$AY$6:$AY$1005="Direkomendasikan",ROW($6:$1005)-5),588)),KotaKode,2,0),"-"),"")),"")</f>
        <v/>
      </c>
      <c r="K589" t="str">
        <f t="array" aca="1" ref="K589" ca="1">IFERROR(IF(OR(INDEX(checklistPesertaKemenkeu!$O$6:$O$1005,SMALL(IF(checklistPesertaKemenkeu!$AY$6:$AY$1005="Direkomendasikan",ROW($6:$1005)-5),588))="",INDEX(checklistPesertaKemenkeu!$J$6:$J$1005,SMALL(IF(checklistPesertaKemenkeu!$AY$6:$AY$1005="Direkomendasikan",ROW($6:$1005)-5),588))=""),"",IF(AND(COUNTIF(INDIRECT("K_"&amp;MATCH(INDEX(checklistPesertaKemenkeu!$J$6:$J$1005,SMALL(IF(checklistPesertaKemenkeu!$AY$6:$AY$1005="Direkomendasikan",ROW($6:$1005)-5),588)),BidangList,0)),INDEX(checklistPesertaKemenkeu!$O$6:$O$1005,SMALL(IF(checklistPesertaKemenkeu!$AY$6:$AY$1005="Direkomendasikan",ROW($6:$1005)-5),588)))&gt;0,COUNTIF(INDIRECT("'KERTAS KERJA'!K"&amp;(SMALL(IF(checklistPesertaKemenkeu!$AY$6:$AY$1005="Direkomendasikan",ROW($6:$1005)-5),588)+5)&amp;":O"&amp;(SMALL(IF(checklistPesertaKemenkeu!$AY$6:$AY$1005="Direkomendasikan",ROW($6:$1005)-5),588)+5)),INDEX(checklistPesertaKemenkeu!$O$6:$O$1005,SMALL(IF(checklistPesertaKemenkeu!$AY$6:$AY$1005="Direkomendasikan",ROW($6:$1005)-5),588)))=1),IFERROR(VLOOKUP(INDEX(checklistPesertaKemenkeu!$O$6:$O$1005,SMALL(IF(checklistPesertaKemenkeu!$AY$6:$AY$1005="Direkomendasikan",ROW($6:$1005)-5),588)),KotaKode,2,0),"-"),"")),"")</f>
        <v/>
      </c>
      <c r="L589" t="str">
        <f t="array" aca="1" ref="L589" ca="1">IFERROR(IF(OR(INDEX(checklistPesertaKemenkeu!$P$6:$P$1005,SMALL(IF(checklistPesertaKemenkeu!$AY$6:$AY$1005="Direkomendasikan",ROW($6:$1005)-5),588))="",INDEX(checklistPesertaKemenkeu!$J$6:$J$1005,SMALL(IF(checklistPesertaKemenkeu!$AY$6:$AY$1005="Direkomendasikan",ROW($6:$1005)-5),588))=""),"",IF(AND(COUNTIF(INDIRECT("K_"&amp;MATCH(INDEX(checklistPesertaKemenkeu!$J$6:$J$1005,SMALL(IF(checklistPesertaKemenkeu!$AY$6:$AY$1005="Direkomendasikan",ROW($6:$1005)-5),588)),BidangList,0)),INDEX(checklistPesertaKemenkeu!$P$6:$P$1005,SMALL(IF(checklistPesertaKemenkeu!$AY$6:$AY$1005="Direkomendasikan",ROW($6:$1005)-5),588)))&gt;0,COUNTIF(INDIRECT("'KERTAS KERJA'!K"&amp;(SMALL(IF(checklistPesertaKemenkeu!$AY$6:$AY$1005="Direkomendasikan",ROW($6:$1005)-5),588)+5)&amp;":O"&amp;(SMALL(IF(checklistPesertaKemenkeu!$AY$6:$AY$1005="Direkomendasikan",ROW($6:$1005)-5),588)+5)),INDEX(checklistPesertaKemenkeu!$P$6:$P$1005,SMALL(IF(checklistPesertaKemenkeu!$AY$6:$AY$1005="Direkomendasikan",ROW($6:$1005)-5),588)))=1),IFERROR(VLOOKUP(INDEX(checklistPesertaKemenkeu!$P$6:$P$1005,SMALL(IF(checklistPesertaKemenkeu!$AY$6:$AY$1005="Direkomendasikan",ROW($6:$1005)-5),588)),KotaKode,2,0),"-"),"")),"")</f>
        <v/>
      </c>
    </row>
    <row r="590" spans="1:12" ht="15" customHeight="1" x14ac:dyDescent="0.2">
      <c r="A590" t="str">
        <f t="shared" si="9"/>
        <v/>
      </c>
      <c r="B590" t="str">
        <v/>
      </c>
      <c r="C590" s="40" t="str">
        <f t="array" ref="C590">IFERROR(INDEX(checklistPesertaKemenkeu!$F$6:$F$1005,SMALL(IF(checklistPesertaKemenkeu!$AY$6:$AY$1005="Direkomendasikan",ROW($6:$1005)-5),589)),"")</f>
        <v/>
      </c>
      <c r="D590" t="str">
        <f t="array" ref="D590">IFERROR(INDEX(checklistPesertaKemenkeu!$G$6:$G$1005,SMALL(IF(checklistPesertaKemenkeu!$AY$6:$AY$1005="Direkomendasikan",ROW($6:$1005)-5),589)),"")</f>
        <v/>
      </c>
      <c r="E590" t="str">
        <f t="array" ref="E590">IFERROR(INDEX(checklistPesertaKemenkeu!$H$6:$H$1005,SMALL(IF(checklistPesertaKemenkeu!$AY$6:$AY$1005="Direkomendasikan",ROW($6:$1005)-5),589)),"")</f>
        <v/>
      </c>
      <c r="F590" t="str">
        <f t="array" ref="F590">IFERROR(INDEX(checklistPesertaKemenkeu!$I$6:$I$1005,SMALL(IF(checklistPesertaKemenkeu!$AY$6:$AY$1005="Direkomendasikan",ROW($6:$1005)-5),589)),"")</f>
        <v/>
      </c>
      <c r="G590" t="str">
        <f t="array" ref="G590">IFERROR(INDEX(checklistPesertaKemenkeu!$J$6:$J$1005,SMALL(IF(checklistPesertaKemenkeu!$AY$6:$AY$1005="Direkomendasikan",ROW($6:$1005)-5),589)),"")</f>
        <v/>
      </c>
      <c r="H590" t="str">
        <f t="array" aca="1" ref="H590" ca="1">IFERROR(IF(OR(INDEX(checklistPesertaKemenkeu!$L$6:$L$1005,SMALL(IF(checklistPesertaKemenkeu!$AY$6:$AY$1005="Direkomendasikan",ROW($6:$1005)-5),589))="",INDEX(checklistPesertaKemenkeu!$J$6:$J$1005,SMALL(IF(checklistPesertaKemenkeu!$AY$6:$AY$1005="Direkomendasikan",ROW($6:$1005)-5),589))=""),"",IF(AND(COUNTIF(INDIRECT("K_"&amp;MATCH(INDEX(checklistPesertaKemenkeu!$J$6:$J$1005,SMALL(IF(checklistPesertaKemenkeu!$AY$6:$AY$1005="Direkomendasikan",ROW($6:$1005)-5),589)),BidangList,0)),INDEX(checklistPesertaKemenkeu!$L$6:$L$1005,SMALL(IF(checklistPesertaKemenkeu!$AY$6:$AY$1005="Direkomendasikan",ROW($6:$1005)-5),589)))&gt;0,COUNTIF(INDIRECT("'KERTAS KERJA'!K"&amp;(SMALL(IF(checklistPesertaKemenkeu!$AY$6:$AY$1005="Direkomendasikan",ROW($6:$1005)-5),589)+5)&amp;":O"&amp;(SMALL(IF(checklistPesertaKemenkeu!$AY$6:$AY$1005="Direkomendasikan",ROW($6:$1005)-5),589)+5)),INDEX(checklistPesertaKemenkeu!$L$6:$L$1005,SMALL(IF(checklistPesertaKemenkeu!$AY$6:$AY$1005="Direkomendasikan",ROW($6:$1005)-5),589)))=1),IFERROR(VLOOKUP(INDEX(checklistPesertaKemenkeu!$L$6:$L$1005,SMALL(IF(checklistPesertaKemenkeu!$AY$6:$AY$1005="Direkomendasikan",ROW($6:$1005)-5),589)),KotaKode,2,0),"-"),"")),"")</f>
        <v/>
      </c>
      <c r="I590" t="str">
        <f t="array" aca="1" ref="I590" ca="1">IFERROR(IF(OR(INDEX(checklistPesertaKemenkeu!$M$6:$M$1005,SMALL(IF(checklistPesertaKemenkeu!$AY$6:$AY$1005="Direkomendasikan",ROW($6:$1005)-5),589))="",INDEX(checklistPesertaKemenkeu!$J$6:$J$1005,SMALL(IF(checklistPesertaKemenkeu!$AY$6:$AY$1005="Direkomendasikan",ROW($6:$1005)-5),589))=""),"",IF(AND(COUNTIF(INDIRECT("K_"&amp;MATCH(INDEX(checklistPesertaKemenkeu!$J$6:$J$1005,SMALL(IF(checklistPesertaKemenkeu!$AY$6:$AY$1005="Direkomendasikan",ROW($6:$1005)-5),589)),BidangList,0)),INDEX(checklistPesertaKemenkeu!$M$6:$M$1005,SMALL(IF(checklistPesertaKemenkeu!$AY$6:$AY$1005="Direkomendasikan",ROW($6:$1005)-5),589)))&gt;0,COUNTIF(INDIRECT("'KERTAS KERJA'!K"&amp;(SMALL(IF(checklistPesertaKemenkeu!$AY$6:$AY$1005="Direkomendasikan",ROW($6:$1005)-5),589)+5)&amp;":O"&amp;(SMALL(IF(checklistPesertaKemenkeu!$AY$6:$AY$1005="Direkomendasikan",ROW($6:$1005)-5),589)+5)),INDEX(checklistPesertaKemenkeu!$M$6:$M$1005,SMALL(IF(checklistPesertaKemenkeu!$AY$6:$AY$1005="Direkomendasikan",ROW($6:$1005)-5),589)))=1),IFERROR(VLOOKUP(INDEX(checklistPesertaKemenkeu!$M$6:$M$1005,SMALL(IF(checklistPesertaKemenkeu!$AY$6:$AY$1005="Direkomendasikan",ROW($6:$1005)-5),589)),KotaKode,2,0),"-"),"")),"")</f>
        <v/>
      </c>
      <c r="J590" t="str">
        <f t="array" aca="1" ref="J590" ca="1">IFERROR(IF(OR(INDEX(checklistPesertaKemenkeu!$N$6:$N$1005,SMALL(IF(checklistPesertaKemenkeu!$AY$6:$AY$1005="Direkomendasikan",ROW($6:$1005)-5),589))="",INDEX(checklistPesertaKemenkeu!$J$6:$J$1005,SMALL(IF(checklistPesertaKemenkeu!$AY$6:$AY$1005="Direkomendasikan",ROW($6:$1005)-5),589))=""),"",IF(AND(COUNTIF(INDIRECT("K_"&amp;MATCH(INDEX(checklistPesertaKemenkeu!$J$6:$J$1005,SMALL(IF(checklistPesertaKemenkeu!$AY$6:$AY$1005="Direkomendasikan",ROW($6:$1005)-5),589)),BidangList,0)),INDEX(checklistPesertaKemenkeu!$N$6:$N$1005,SMALL(IF(checklistPesertaKemenkeu!$AY$6:$AY$1005="Direkomendasikan",ROW($6:$1005)-5),589)))&gt;0,COUNTIF(INDIRECT("'KERTAS KERJA'!K"&amp;(SMALL(IF(checklistPesertaKemenkeu!$AY$6:$AY$1005="Direkomendasikan",ROW($6:$1005)-5),589)+5)&amp;":O"&amp;(SMALL(IF(checklistPesertaKemenkeu!$AY$6:$AY$1005="Direkomendasikan",ROW($6:$1005)-5),589)+5)),INDEX(checklistPesertaKemenkeu!$N$6:$N$1005,SMALL(IF(checklistPesertaKemenkeu!$AY$6:$AY$1005="Direkomendasikan",ROW($6:$1005)-5),589)))=1),IFERROR(VLOOKUP(INDEX(checklistPesertaKemenkeu!$N$6:$N$1005,SMALL(IF(checklistPesertaKemenkeu!$AY$6:$AY$1005="Direkomendasikan",ROW($6:$1005)-5),589)),KotaKode,2,0),"-"),"")),"")</f>
        <v/>
      </c>
      <c r="K590" t="str">
        <f t="array" aca="1" ref="K590" ca="1">IFERROR(IF(OR(INDEX(checklistPesertaKemenkeu!$O$6:$O$1005,SMALL(IF(checklistPesertaKemenkeu!$AY$6:$AY$1005="Direkomendasikan",ROW($6:$1005)-5),589))="",INDEX(checklistPesertaKemenkeu!$J$6:$J$1005,SMALL(IF(checklistPesertaKemenkeu!$AY$6:$AY$1005="Direkomendasikan",ROW($6:$1005)-5),589))=""),"",IF(AND(COUNTIF(INDIRECT("K_"&amp;MATCH(INDEX(checklistPesertaKemenkeu!$J$6:$J$1005,SMALL(IF(checklistPesertaKemenkeu!$AY$6:$AY$1005="Direkomendasikan",ROW($6:$1005)-5),589)),BidangList,0)),INDEX(checklistPesertaKemenkeu!$O$6:$O$1005,SMALL(IF(checklistPesertaKemenkeu!$AY$6:$AY$1005="Direkomendasikan",ROW($6:$1005)-5),589)))&gt;0,COUNTIF(INDIRECT("'KERTAS KERJA'!K"&amp;(SMALL(IF(checklistPesertaKemenkeu!$AY$6:$AY$1005="Direkomendasikan",ROW($6:$1005)-5),589)+5)&amp;":O"&amp;(SMALL(IF(checklistPesertaKemenkeu!$AY$6:$AY$1005="Direkomendasikan",ROW($6:$1005)-5),589)+5)),INDEX(checklistPesertaKemenkeu!$O$6:$O$1005,SMALL(IF(checklistPesertaKemenkeu!$AY$6:$AY$1005="Direkomendasikan",ROW($6:$1005)-5),589)))=1),IFERROR(VLOOKUP(INDEX(checklistPesertaKemenkeu!$O$6:$O$1005,SMALL(IF(checklistPesertaKemenkeu!$AY$6:$AY$1005="Direkomendasikan",ROW($6:$1005)-5),589)),KotaKode,2,0),"-"),"")),"")</f>
        <v/>
      </c>
      <c r="L590" t="str">
        <f t="array" aca="1" ref="L590" ca="1">IFERROR(IF(OR(INDEX(checklistPesertaKemenkeu!$P$6:$P$1005,SMALL(IF(checklistPesertaKemenkeu!$AY$6:$AY$1005="Direkomendasikan",ROW($6:$1005)-5),589))="",INDEX(checklistPesertaKemenkeu!$J$6:$J$1005,SMALL(IF(checklistPesertaKemenkeu!$AY$6:$AY$1005="Direkomendasikan",ROW($6:$1005)-5),589))=""),"",IF(AND(COUNTIF(INDIRECT("K_"&amp;MATCH(INDEX(checklistPesertaKemenkeu!$J$6:$J$1005,SMALL(IF(checklistPesertaKemenkeu!$AY$6:$AY$1005="Direkomendasikan",ROW($6:$1005)-5),589)),BidangList,0)),INDEX(checklistPesertaKemenkeu!$P$6:$P$1005,SMALL(IF(checklistPesertaKemenkeu!$AY$6:$AY$1005="Direkomendasikan",ROW($6:$1005)-5),589)))&gt;0,COUNTIF(INDIRECT("'KERTAS KERJA'!K"&amp;(SMALL(IF(checklistPesertaKemenkeu!$AY$6:$AY$1005="Direkomendasikan",ROW($6:$1005)-5),589)+5)&amp;":O"&amp;(SMALL(IF(checklistPesertaKemenkeu!$AY$6:$AY$1005="Direkomendasikan",ROW($6:$1005)-5),589)+5)),INDEX(checklistPesertaKemenkeu!$P$6:$P$1005,SMALL(IF(checklistPesertaKemenkeu!$AY$6:$AY$1005="Direkomendasikan",ROW($6:$1005)-5),589)))=1),IFERROR(VLOOKUP(INDEX(checklistPesertaKemenkeu!$P$6:$P$1005,SMALL(IF(checklistPesertaKemenkeu!$AY$6:$AY$1005="Direkomendasikan",ROW($6:$1005)-5),589)),KotaKode,2,0),"-"),"")),"")</f>
        <v/>
      </c>
    </row>
    <row r="591" spans="1:12" ht="15" customHeight="1" x14ac:dyDescent="0.2">
      <c r="A591" t="str">
        <f t="shared" si="9"/>
        <v/>
      </c>
      <c r="B591" t="str">
        <v/>
      </c>
      <c r="C591" s="40" t="str">
        <f t="array" ref="C591">IFERROR(INDEX(checklistPesertaKemenkeu!$F$6:$F$1005,SMALL(IF(checklistPesertaKemenkeu!$AY$6:$AY$1005="Direkomendasikan",ROW($6:$1005)-5),590)),"")</f>
        <v/>
      </c>
      <c r="D591" t="str">
        <f t="array" ref="D591">IFERROR(INDEX(checklistPesertaKemenkeu!$G$6:$G$1005,SMALL(IF(checklistPesertaKemenkeu!$AY$6:$AY$1005="Direkomendasikan",ROW($6:$1005)-5),590)),"")</f>
        <v/>
      </c>
      <c r="E591" t="str">
        <f t="array" ref="E591">IFERROR(INDEX(checklistPesertaKemenkeu!$H$6:$H$1005,SMALL(IF(checklistPesertaKemenkeu!$AY$6:$AY$1005="Direkomendasikan",ROW($6:$1005)-5),590)),"")</f>
        <v/>
      </c>
      <c r="F591" t="str">
        <f t="array" ref="F591">IFERROR(INDEX(checklistPesertaKemenkeu!$I$6:$I$1005,SMALL(IF(checklistPesertaKemenkeu!$AY$6:$AY$1005="Direkomendasikan",ROW($6:$1005)-5),590)),"")</f>
        <v/>
      </c>
      <c r="G591" t="str">
        <f t="array" ref="G591">IFERROR(INDEX(checklistPesertaKemenkeu!$J$6:$J$1005,SMALL(IF(checklistPesertaKemenkeu!$AY$6:$AY$1005="Direkomendasikan",ROW($6:$1005)-5),590)),"")</f>
        <v/>
      </c>
      <c r="H591" t="str">
        <f t="array" aca="1" ref="H591" ca="1">IFERROR(IF(OR(INDEX(checklistPesertaKemenkeu!$L$6:$L$1005,SMALL(IF(checklistPesertaKemenkeu!$AY$6:$AY$1005="Direkomendasikan",ROW($6:$1005)-5),590))="",INDEX(checklistPesertaKemenkeu!$J$6:$J$1005,SMALL(IF(checklistPesertaKemenkeu!$AY$6:$AY$1005="Direkomendasikan",ROW($6:$1005)-5),590))=""),"",IF(AND(COUNTIF(INDIRECT("K_"&amp;MATCH(INDEX(checklistPesertaKemenkeu!$J$6:$J$1005,SMALL(IF(checklistPesertaKemenkeu!$AY$6:$AY$1005="Direkomendasikan",ROW($6:$1005)-5),590)),BidangList,0)),INDEX(checklistPesertaKemenkeu!$L$6:$L$1005,SMALL(IF(checklistPesertaKemenkeu!$AY$6:$AY$1005="Direkomendasikan",ROW($6:$1005)-5),590)))&gt;0,COUNTIF(INDIRECT("'KERTAS KERJA'!K"&amp;(SMALL(IF(checklistPesertaKemenkeu!$AY$6:$AY$1005="Direkomendasikan",ROW($6:$1005)-5),590)+5)&amp;":O"&amp;(SMALL(IF(checklistPesertaKemenkeu!$AY$6:$AY$1005="Direkomendasikan",ROW($6:$1005)-5),590)+5)),INDEX(checklistPesertaKemenkeu!$L$6:$L$1005,SMALL(IF(checklistPesertaKemenkeu!$AY$6:$AY$1005="Direkomendasikan",ROW($6:$1005)-5),590)))=1),IFERROR(VLOOKUP(INDEX(checklistPesertaKemenkeu!$L$6:$L$1005,SMALL(IF(checklistPesertaKemenkeu!$AY$6:$AY$1005="Direkomendasikan",ROW($6:$1005)-5),590)),KotaKode,2,0),"-"),"")),"")</f>
        <v/>
      </c>
      <c r="I591" t="str">
        <f t="array" aca="1" ref="I591" ca="1">IFERROR(IF(OR(INDEX(checklistPesertaKemenkeu!$M$6:$M$1005,SMALL(IF(checklistPesertaKemenkeu!$AY$6:$AY$1005="Direkomendasikan",ROW($6:$1005)-5),590))="",INDEX(checklistPesertaKemenkeu!$J$6:$J$1005,SMALL(IF(checklistPesertaKemenkeu!$AY$6:$AY$1005="Direkomendasikan",ROW($6:$1005)-5),590))=""),"",IF(AND(COUNTIF(INDIRECT("K_"&amp;MATCH(INDEX(checklistPesertaKemenkeu!$J$6:$J$1005,SMALL(IF(checklistPesertaKemenkeu!$AY$6:$AY$1005="Direkomendasikan",ROW($6:$1005)-5),590)),BidangList,0)),INDEX(checklistPesertaKemenkeu!$M$6:$M$1005,SMALL(IF(checklistPesertaKemenkeu!$AY$6:$AY$1005="Direkomendasikan",ROW($6:$1005)-5),590)))&gt;0,COUNTIF(INDIRECT("'KERTAS KERJA'!K"&amp;(SMALL(IF(checklistPesertaKemenkeu!$AY$6:$AY$1005="Direkomendasikan",ROW($6:$1005)-5),590)+5)&amp;":O"&amp;(SMALL(IF(checklistPesertaKemenkeu!$AY$6:$AY$1005="Direkomendasikan",ROW($6:$1005)-5),590)+5)),INDEX(checklistPesertaKemenkeu!$M$6:$M$1005,SMALL(IF(checklistPesertaKemenkeu!$AY$6:$AY$1005="Direkomendasikan",ROW($6:$1005)-5),590)))=1),IFERROR(VLOOKUP(INDEX(checklistPesertaKemenkeu!$M$6:$M$1005,SMALL(IF(checklistPesertaKemenkeu!$AY$6:$AY$1005="Direkomendasikan",ROW($6:$1005)-5),590)),KotaKode,2,0),"-"),"")),"")</f>
        <v/>
      </c>
      <c r="J591" t="str">
        <f t="array" aca="1" ref="J591" ca="1">IFERROR(IF(OR(INDEX(checklistPesertaKemenkeu!$N$6:$N$1005,SMALL(IF(checklistPesertaKemenkeu!$AY$6:$AY$1005="Direkomendasikan",ROW($6:$1005)-5),590))="",INDEX(checklistPesertaKemenkeu!$J$6:$J$1005,SMALL(IF(checklistPesertaKemenkeu!$AY$6:$AY$1005="Direkomendasikan",ROW($6:$1005)-5),590))=""),"",IF(AND(COUNTIF(INDIRECT("K_"&amp;MATCH(INDEX(checklistPesertaKemenkeu!$J$6:$J$1005,SMALL(IF(checklistPesertaKemenkeu!$AY$6:$AY$1005="Direkomendasikan",ROW($6:$1005)-5),590)),BidangList,0)),INDEX(checklistPesertaKemenkeu!$N$6:$N$1005,SMALL(IF(checklistPesertaKemenkeu!$AY$6:$AY$1005="Direkomendasikan",ROW($6:$1005)-5),590)))&gt;0,COUNTIF(INDIRECT("'KERTAS KERJA'!K"&amp;(SMALL(IF(checklistPesertaKemenkeu!$AY$6:$AY$1005="Direkomendasikan",ROW($6:$1005)-5),590)+5)&amp;":O"&amp;(SMALL(IF(checklistPesertaKemenkeu!$AY$6:$AY$1005="Direkomendasikan",ROW($6:$1005)-5),590)+5)),INDEX(checklistPesertaKemenkeu!$N$6:$N$1005,SMALL(IF(checklistPesertaKemenkeu!$AY$6:$AY$1005="Direkomendasikan",ROW($6:$1005)-5),590)))=1),IFERROR(VLOOKUP(INDEX(checklistPesertaKemenkeu!$N$6:$N$1005,SMALL(IF(checklistPesertaKemenkeu!$AY$6:$AY$1005="Direkomendasikan",ROW($6:$1005)-5),590)),KotaKode,2,0),"-"),"")),"")</f>
        <v/>
      </c>
      <c r="K591" t="str">
        <f t="array" aca="1" ref="K591" ca="1">IFERROR(IF(OR(INDEX(checklistPesertaKemenkeu!$O$6:$O$1005,SMALL(IF(checklistPesertaKemenkeu!$AY$6:$AY$1005="Direkomendasikan",ROW($6:$1005)-5),590))="",INDEX(checklistPesertaKemenkeu!$J$6:$J$1005,SMALL(IF(checklistPesertaKemenkeu!$AY$6:$AY$1005="Direkomendasikan",ROW($6:$1005)-5),590))=""),"",IF(AND(COUNTIF(INDIRECT("K_"&amp;MATCH(INDEX(checklistPesertaKemenkeu!$J$6:$J$1005,SMALL(IF(checklistPesertaKemenkeu!$AY$6:$AY$1005="Direkomendasikan",ROW($6:$1005)-5),590)),BidangList,0)),INDEX(checklistPesertaKemenkeu!$O$6:$O$1005,SMALL(IF(checklistPesertaKemenkeu!$AY$6:$AY$1005="Direkomendasikan",ROW($6:$1005)-5),590)))&gt;0,COUNTIF(INDIRECT("'KERTAS KERJA'!K"&amp;(SMALL(IF(checklistPesertaKemenkeu!$AY$6:$AY$1005="Direkomendasikan",ROW($6:$1005)-5),590)+5)&amp;":O"&amp;(SMALL(IF(checklistPesertaKemenkeu!$AY$6:$AY$1005="Direkomendasikan",ROW($6:$1005)-5),590)+5)),INDEX(checklistPesertaKemenkeu!$O$6:$O$1005,SMALL(IF(checklistPesertaKemenkeu!$AY$6:$AY$1005="Direkomendasikan",ROW($6:$1005)-5),590)))=1),IFERROR(VLOOKUP(INDEX(checklistPesertaKemenkeu!$O$6:$O$1005,SMALL(IF(checklistPesertaKemenkeu!$AY$6:$AY$1005="Direkomendasikan",ROW($6:$1005)-5),590)),KotaKode,2,0),"-"),"")),"")</f>
        <v/>
      </c>
      <c r="L591" t="str">
        <f t="array" aca="1" ref="L591" ca="1">IFERROR(IF(OR(INDEX(checklistPesertaKemenkeu!$P$6:$P$1005,SMALL(IF(checklistPesertaKemenkeu!$AY$6:$AY$1005="Direkomendasikan",ROW($6:$1005)-5),590))="",INDEX(checklistPesertaKemenkeu!$J$6:$J$1005,SMALL(IF(checklistPesertaKemenkeu!$AY$6:$AY$1005="Direkomendasikan",ROW($6:$1005)-5),590))=""),"",IF(AND(COUNTIF(INDIRECT("K_"&amp;MATCH(INDEX(checklistPesertaKemenkeu!$J$6:$J$1005,SMALL(IF(checklistPesertaKemenkeu!$AY$6:$AY$1005="Direkomendasikan",ROW($6:$1005)-5),590)),BidangList,0)),INDEX(checklistPesertaKemenkeu!$P$6:$P$1005,SMALL(IF(checklistPesertaKemenkeu!$AY$6:$AY$1005="Direkomendasikan",ROW($6:$1005)-5),590)))&gt;0,COUNTIF(INDIRECT("'KERTAS KERJA'!K"&amp;(SMALL(IF(checklistPesertaKemenkeu!$AY$6:$AY$1005="Direkomendasikan",ROW($6:$1005)-5),590)+5)&amp;":O"&amp;(SMALL(IF(checklistPesertaKemenkeu!$AY$6:$AY$1005="Direkomendasikan",ROW($6:$1005)-5),590)+5)),INDEX(checklistPesertaKemenkeu!$P$6:$P$1005,SMALL(IF(checklistPesertaKemenkeu!$AY$6:$AY$1005="Direkomendasikan",ROW($6:$1005)-5),590)))=1),IFERROR(VLOOKUP(INDEX(checklistPesertaKemenkeu!$P$6:$P$1005,SMALL(IF(checklistPesertaKemenkeu!$AY$6:$AY$1005="Direkomendasikan",ROW($6:$1005)-5),590)),KotaKode,2,0),"-"),"")),"")</f>
        <v/>
      </c>
    </row>
    <row r="592" spans="1:12" ht="15" customHeight="1" x14ac:dyDescent="0.2">
      <c r="A592" t="str">
        <f t="shared" si="9"/>
        <v/>
      </c>
      <c r="B592" t="str">
        <v/>
      </c>
      <c r="C592" s="40" t="str">
        <f t="array" ref="C592">IFERROR(INDEX(checklistPesertaKemenkeu!$F$6:$F$1005,SMALL(IF(checklistPesertaKemenkeu!$AY$6:$AY$1005="Direkomendasikan",ROW($6:$1005)-5),591)),"")</f>
        <v/>
      </c>
      <c r="D592" t="str">
        <f t="array" ref="D592">IFERROR(INDEX(checklistPesertaKemenkeu!$G$6:$G$1005,SMALL(IF(checklistPesertaKemenkeu!$AY$6:$AY$1005="Direkomendasikan",ROW($6:$1005)-5),591)),"")</f>
        <v/>
      </c>
      <c r="E592" t="str">
        <f t="array" ref="E592">IFERROR(INDEX(checklistPesertaKemenkeu!$H$6:$H$1005,SMALL(IF(checklistPesertaKemenkeu!$AY$6:$AY$1005="Direkomendasikan",ROW($6:$1005)-5),591)),"")</f>
        <v/>
      </c>
      <c r="F592" t="str">
        <f t="array" ref="F592">IFERROR(INDEX(checklistPesertaKemenkeu!$I$6:$I$1005,SMALL(IF(checklistPesertaKemenkeu!$AY$6:$AY$1005="Direkomendasikan",ROW($6:$1005)-5),591)),"")</f>
        <v/>
      </c>
      <c r="G592" t="str">
        <f t="array" ref="G592">IFERROR(INDEX(checklistPesertaKemenkeu!$J$6:$J$1005,SMALL(IF(checklistPesertaKemenkeu!$AY$6:$AY$1005="Direkomendasikan",ROW($6:$1005)-5),591)),"")</f>
        <v/>
      </c>
      <c r="H592" t="str">
        <f t="array" aca="1" ref="H592" ca="1">IFERROR(IF(OR(INDEX(checklistPesertaKemenkeu!$L$6:$L$1005,SMALL(IF(checklistPesertaKemenkeu!$AY$6:$AY$1005="Direkomendasikan",ROW($6:$1005)-5),591))="",INDEX(checklistPesertaKemenkeu!$J$6:$J$1005,SMALL(IF(checklistPesertaKemenkeu!$AY$6:$AY$1005="Direkomendasikan",ROW($6:$1005)-5),591))=""),"",IF(AND(COUNTIF(INDIRECT("K_"&amp;MATCH(INDEX(checklistPesertaKemenkeu!$J$6:$J$1005,SMALL(IF(checklistPesertaKemenkeu!$AY$6:$AY$1005="Direkomendasikan",ROW($6:$1005)-5),591)),BidangList,0)),INDEX(checklistPesertaKemenkeu!$L$6:$L$1005,SMALL(IF(checklistPesertaKemenkeu!$AY$6:$AY$1005="Direkomendasikan",ROW($6:$1005)-5),591)))&gt;0,COUNTIF(INDIRECT("'KERTAS KERJA'!K"&amp;(SMALL(IF(checklistPesertaKemenkeu!$AY$6:$AY$1005="Direkomendasikan",ROW($6:$1005)-5),591)+5)&amp;":O"&amp;(SMALL(IF(checklistPesertaKemenkeu!$AY$6:$AY$1005="Direkomendasikan",ROW($6:$1005)-5),591)+5)),INDEX(checklistPesertaKemenkeu!$L$6:$L$1005,SMALL(IF(checklistPesertaKemenkeu!$AY$6:$AY$1005="Direkomendasikan",ROW($6:$1005)-5),591)))=1),IFERROR(VLOOKUP(INDEX(checklistPesertaKemenkeu!$L$6:$L$1005,SMALL(IF(checklistPesertaKemenkeu!$AY$6:$AY$1005="Direkomendasikan",ROW($6:$1005)-5),591)),KotaKode,2,0),"-"),"")),"")</f>
        <v/>
      </c>
      <c r="I592" t="str">
        <f t="array" aca="1" ref="I592" ca="1">IFERROR(IF(OR(INDEX(checklistPesertaKemenkeu!$M$6:$M$1005,SMALL(IF(checklistPesertaKemenkeu!$AY$6:$AY$1005="Direkomendasikan",ROW($6:$1005)-5),591))="",INDEX(checklistPesertaKemenkeu!$J$6:$J$1005,SMALL(IF(checklistPesertaKemenkeu!$AY$6:$AY$1005="Direkomendasikan",ROW($6:$1005)-5),591))=""),"",IF(AND(COUNTIF(INDIRECT("K_"&amp;MATCH(INDEX(checklistPesertaKemenkeu!$J$6:$J$1005,SMALL(IF(checklistPesertaKemenkeu!$AY$6:$AY$1005="Direkomendasikan",ROW($6:$1005)-5),591)),BidangList,0)),INDEX(checklistPesertaKemenkeu!$M$6:$M$1005,SMALL(IF(checklistPesertaKemenkeu!$AY$6:$AY$1005="Direkomendasikan",ROW($6:$1005)-5),591)))&gt;0,COUNTIF(INDIRECT("'KERTAS KERJA'!K"&amp;(SMALL(IF(checklistPesertaKemenkeu!$AY$6:$AY$1005="Direkomendasikan",ROW($6:$1005)-5),591)+5)&amp;":O"&amp;(SMALL(IF(checklistPesertaKemenkeu!$AY$6:$AY$1005="Direkomendasikan",ROW($6:$1005)-5),591)+5)),INDEX(checklistPesertaKemenkeu!$M$6:$M$1005,SMALL(IF(checklistPesertaKemenkeu!$AY$6:$AY$1005="Direkomendasikan",ROW($6:$1005)-5),591)))=1),IFERROR(VLOOKUP(INDEX(checklistPesertaKemenkeu!$M$6:$M$1005,SMALL(IF(checklistPesertaKemenkeu!$AY$6:$AY$1005="Direkomendasikan",ROW($6:$1005)-5),591)),KotaKode,2,0),"-"),"")),"")</f>
        <v/>
      </c>
      <c r="J592" t="str">
        <f t="array" aca="1" ref="J592" ca="1">IFERROR(IF(OR(INDEX(checklistPesertaKemenkeu!$N$6:$N$1005,SMALL(IF(checklistPesertaKemenkeu!$AY$6:$AY$1005="Direkomendasikan",ROW($6:$1005)-5),591))="",INDEX(checklistPesertaKemenkeu!$J$6:$J$1005,SMALL(IF(checklistPesertaKemenkeu!$AY$6:$AY$1005="Direkomendasikan",ROW($6:$1005)-5),591))=""),"",IF(AND(COUNTIF(INDIRECT("K_"&amp;MATCH(INDEX(checklistPesertaKemenkeu!$J$6:$J$1005,SMALL(IF(checklistPesertaKemenkeu!$AY$6:$AY$1005="Direkomendasikan",ROW($6:$1005)-5),591)),BidangList,0)),INDEX(checklistPesertaKemenkeu!$N$6:$N$1005,SMALL(IF(checklistPesertaKemenkeu!$AY$6:$AY$1005="Direkomendasikan",ROW($6:$1005)-5),591)))&gt;0,COUNTIF(INDIRECT("'KERTAS KERJA'!K"&amp;(SMALL(IF(checklistPesertaKemenkeu!$AY$6:$AY$1005="Direkomendasikan",ROW($6:$1005)-5),591)+5)&amp;":O"&amp;(SMALL(IF(checklistPesertaKemenkeu!$AY$6:$AY$1005="Direkomendasikan",ROW($6:$1005)-5),591)+5)),INDEX(checklistPesertaKemenkeu!$N$6:$N$1005,SMALL(IF(checklistPesertaKemenkeu!$AY$6:$AY$1005="Direkomendasikan",ROW($6:$1005)-5),591)))=1),IFERROR(VLOOKUP(INDEX(checklistPesertaKemenkeu!$N$6:$N$1005,SMALL(IF(checklistPesertaKemenkeu!$AY$6:$AY$1005="Direkomendasikan",ROW($6:$1005)-5),591)),KotaKode,2,0),"-"),"")),"")</f>
        <v/>
      </c>
      <c r="K592" t="str">
        <f t="array" aca="1" ref="K592" ca="1">IFERROR(IF(OR(INDEX(checklistPesertaKemenkeu!$O$6:$O$1005,SMALL(IF(checklistPesertaKemenkeu!$AY$6:$AY$1005="Direkomendasikan",ROW($6:$1005)-5),591))="",INDEX(checklistPesertaKemenkeu!$J$6:$J$1005,SMALL(IF(checklistPesertaKemenkeu!$AY$6:$AY$1005="Direkomendasikan",ROW($6:$1005)-5),591))=""),"",IF(AND(COUNTIF(INDIRECT("K_"&amp;MATCH(INDEX(checklistPesertaKemenkeu!$J$6:$J$1005,SMALL(IF(checklistPesertaKemenkeu!$AY$6:$AY$1005="Direkomendasikan",ROW($6:$1005)-5),591)),BidangList,0)),INDEX(checklistPesertaKemenkeu!$O$6:$O$1005,SMALL(IF(checklistPesertaKemenkeu!$AY$6:$AY$1005="Direkomendasikan",ROW($6:$1005)-5),591)))&gt;0,COUNTIF(INDIRECT("'KERTAS KERJA'!K"&amp;(SMALL(IF(checklistPesertaKemenkeu!$AY$6:$AY$1005="Direkomendasikan",ROW($6:$1005)-5),591)+5)&amp;":O"&amp;(SMALL(IF(checklistPesertaKemenkeu!$AY$6:$AY$1005="Direkomendasikan",ROW($6:$1005)-5),591)+5)),INDEX(checklistPesertaKemenkeu!$O$6:$O$1005,SMALL(IF(checklistPesertaKemenkeu!$AY$6:$AY$1005="Direkomendasikan",ROW($6:$1005)-5),591)))=1),IFERROR(VLOOKUP(INDEX(checklistPesertaKemenkeu!$O$6:$O$1005,SMALL(IF(checklistPesertaKemenkeu!$AY$6:$AY$1005="Direkomendasikan",ROW($6:$1005)-5),591)),KotaKode,2,0),"-"),"")),"")</f>
        <v/>
      </c>
      <c r="L592" t="str">
        <f t="array" aca="1" ref="L592" ca="1">IFERROR(IF(OR(INDEX(checklistPesertaKemenkeu!$P$6:$P$1005,SMALL(IF(checklistPesertaKemenkeu!$AY$6:$AY$1005="Direkomendasikan",ROW($6:$1005)-5),591))="",INDEX(checklistPesertaKemenkeu!$J$6:$J$1005,SMALL(IF(checklistPesertaKemenkeu!$AY$6:$AY$1005="Direkomendasikan",ROW($6:$1005)-5),591))=""),"",IF(AND(COUNTIF(INDIRECT("K_"&amp;MATCH(INDEX(checklistPesertaKemenkeu!$J$6:$J$1005,SMALL(IF(checklistPesertaKemenkeu!$AY$6:$AY$1005="Direkomendasikan",ROW($6:$1005)-5),591)),BidangList,0)),INDEX(checklistPesertaKemenkeu!$P$6:$P$1005,SMALL(IF(checklistPesertaKemenkeu!$AY$6:$AY$1005="Direkomendasikan",ROW($6:$1005)-5),591)))&gt;0,COUNTIF(INDIRECT("'KERTAS KERJA'!K"&amp;(SMALL(IF(checklistPesertaKemenkeu!$AY$6:$AY$1005="Direkomendasikan",ROW($6:$1005)-5),591)+5)&amp;":O"&amp;(SMALL(IF(checklistPesertaKemenkeu!$AY$6:$AY$1005="Direkomendasikan",ROW($6:$1005)-5),591)+5)),INDEX(checklistPesertaKemenkeu!$P$6:$P$1005,SMALL(IF(checklistPesertaKemenkeu!$AY$6:$AY$1005="Direkomendasikan",ROW($6:$1005)-5),591)))=1),IFERROR(VLOOKUP(INDEX(checklistPesertaKemenkeu!$P$6:$P$1005,SMALL(IF(checklistPesertaKemenkeu!$AY$6:$AY$1005="Direkomendasikan",ROW($6:$1005)-5),591)),KotaKode,2,0),"-"),"")),"")</f>
        <v/>
      </c>
    </row>
    <row r="593" spans="1:12" ht="15" customHeight="1" x14ac:dyDescent="0.2">
      <c r="A593" t="str">
        <f t="shared" si="9"/>
        <v/>
      </c>
      <c r="B593" t="str">
        <v/>
      </c>
      <c r="C593" s="40" t="str">
        <f t="array" ref="C593">IFERROR(INDEX(checklistPesertaKemenkeu!$F$6:$F$1005,SMALL(IF(checklistPesertaKemenkeu!$AY$6:$AY$1005="Direkomendasikan",ROW($6:$1005)-5),592)),"")</f>
        <v/>
      </c>
      <c r="D593" t="str">
        <f t="array" ref="D593">IFERROR(INDEX(checklistPesertaKemenkeu!$G$6:$G$1005,SMALL(IF(checklistPesertaKemenkeu!$AY$6:$AY$1005="Direkomendasikan",ROW($6:$1005)-5),592)),"")</f>
        <v/>
      </c>
      <c r="E593" t="str">
        <f t="array" ref="E593">IFERROR(INDEX(checklistPesertaKemenkeu!$H$6:$H$1005,SMALL(IF(checklistPesertaKemenkeu!$AY$6:$AY$1005="Direkomendasikan",ROW($6:$1005)-5),592)),"")</f>
        <v/>
      </c>
      <c r="F593" t="str">
        <f t="array" ref="F593">IFERROR(INDEX(checklistPesertaKemenkeu!$I$6:$I$1005,SMALL(IF(checklistPesertaKemenkeu!$AY$6:$AY$1005="Direkomendasikan",ROW($6:$1005)-5),592)),"")</f>
        <v/>
      </c>
      <c r="G593" t="str">
        <f t="array" ref="G593">IFERROR(INDEX(checklistPesertaKemenkeu!$J$6:$J$1005,SMALL(IF(checklistPesertaKemenkeu!$AY$6:$AY$1005="Direkomendasikan",ROW($6:$1005)-5),592)),"")</f>
        <v/>
      </c>
      <c r="H593" t="str">
        <f t="array" aca="1" ref="H593" ca="1">IFERROR(IF(OR(INDEX(checklistPesertaKemenkeu!$L$6:$L$1005,SMALL(IF(checklistPesertaKemenkeu!$AY$6:$AY$1005="Direkomendasikan",ROW($6:$1005)-5),592))="",INDEX(checklistPesertaKemenkeu!$J$6:$J$1005,SMALL(IF(checklistPesertaKemenkeu!$AY$6:$AY$1005="Direkomendasikan",ROW($6:$1005)-5),592))=""),"",IF(AND(COUNTIF(INDIRECT("K_"&amp;MATCH(INDEX(checklistPesertaKemenkeu!$J$6:$J$1005,SMALL(IF(checklistPesertaKemenkeu!$AY$6:$AY$1005="Direkomendasikan",ROW($6:$1005)-5),592)),BidangList,0)),INDEX(checklistPesertaKemenkeu!$L$6:$L$1005,SMALL(IF(checklistPesertaKemenkeu!$AY$6:$AY$1005="Direkomendasikan",ROW($6:$1005)-5),592)))&gt;0,COUNTIF(INDIRECT("'KERTAS KERJA'!K"&amp;(SMALL(IF(checklistPesertaKemenkeu!$AY$6:$AY$1005="Direkomendasikan",ROW($6:$1005)-5),592)+5)&amp;":O"&amp;(SMALL(IF(checklistPesertaKemenkeu!$AY$6:$AY$1005="Direkomendasikan",ROW($6:$1005)-5),592)+5)),INDEX(checklistPesertaKemenkeu!$L$6:$L$1005,SMALL(IF(checklistPesertaKemenkeu!$AY$6:$AY$1005="Direkomendasikan",ROW($6:$1005)-5),592)))=1),IFERROR(VLOOKUP(INDEX(checklistPesertaKemenkeu!$L$6:$L$1005,SMALL(IF(checklistPesertaKemenkeu!$AY$6:$AY$1005="Direkomendasikan",ROW($6:$1005)-5),592)),KotaKode,2,0),"-"),"")),"")</f>
        <v/>
      </c>
      <c r="I593" t="str">
        <f t="array" aca="1" ref="I593" ca="1">IFERROR(IF(OR(INDEX(checklistPesertaKemenkeu!$M$6:$M$1005,SMALL(IF(checklistPesertaKemenkeu!$AY$6:$AY$1005="Direkomendasikan",ROW($6:$1005)-5),592))="",INDEX(checklistPesertaKemenkeu!$J$6:$J$1005,SMALL(IF(checklistPesertaKemenkeu!$AY$6:$AY$1005="Direkomendasikan",ROW($6:$1005)-5),592))=""),"",IF(AND(COUNTIF(INDIRECT("K_"&amp;MATCH(INDEX(checklistPesertaKemenkeu!$J$6:$J$1005,SMALL(IF(checklistPesertaKemenkeu!$AY$6:$AY$1005="Direkomendasikan",ROW($6:$1005)-5),592)),BidangList,0)),INDEX(checklistPesertaKemenkeu!$M$6:$M$1005,SMALL(IF(checklistPesertaKemenkeu!$AY$6:$AY$1005="Direkomendasikan",ROW($6:$1005)-5),592)))&gt;0,COUNTIF(INDIRECT("'KERTAS KERJA'!K"&amp;(SMALL(IF(checklistPesertaKemenkeu!$AY$6:$AY$1005="Direkomendasikan",ROW($6:$1005)-5),592)+5)&amp;":O"&amp;(SMALL(IF(checklistPesertaKemenkeu!$AY$6:$AY$1005="Direkomendasikan",ROW($6:$1005)-5),592)+5)),INDEX(checklistPesertaKemenkeu!$M$6:$M$1005,SMALL(IF(checklistPesertaKemenkeu!$AY$6:$AY$1005="Direkomendasikan",ROW($6:$1005)-5),592)))=1),IFERROR(VLOOKUP(INDEX(checklistPesertaKemenkeu!$M$6:$M$1005,SMALL(IF(checklistPesertaKemenkeu!$AY$6:$AY$1005="Direkomendasikan",ROW($6:$1005)-5),592)),KotaKode,2,0),"-"),"")),"")</f>
        <v/>
      </c>
      <c r="J593" t="str">
        <f t="array" aca="1" ref="J593" ca="1">IFERROR(IF(OR(INDEX(checklistPesertaKemenkeu!$N$6:$N$1005,SMALL(IF(checklistPesertaKemenkeu!$AY$6:$AY$1005="Direkomendasikan",ROW($6:$1005)-5),592))="",INDEX(checklistPesertaKemenkeu!$J$6:$J$1005,SMALL(IF(checklistPesertaKemenkeu!$AY$6:$AY$1005="Direkomendasikan",ROW($6:$1005)-5),592))=""),"",IF(AND(COUNTIF(INDIRECT("K_"&amp;MATCH(INDEX(checklistPesertaKemenkeu!$J$6:$J$1005,SMALL(IF(checklistPesertaKemenkeu!$AY$6:$AY$1005="Direkomendasikan",ROW($6:$1005)-5),592)),BidangList,0)),INDEX(checklistPesertaKemenkeu!$N$6:$N$1005,SMALL(IF(checklistPesertaKemenkeu!$AY$6:$AY$1005="Direkomendasikan",ROW($6:$1005)-5),592)))&gt;0,COUNTIF(INDIRECT("'KERTAS KERJA'!K"&amp;(SMALL(IF(checklistPesertaKemenkeu!$AY$6:$AY$1005="Direkomendasikan",ROW($6:$1005)-5),592)+5)&amp;":O"&amp;(SMALL(IF(checklistPesertaKemenkeu!$AY$6:$AY$1005="Direkomendasikan",ROW($6:$1005)-5),592)+5)),INDEX(checklistPesertaKemenkeu!$N$6:$N$1005,SMALL(IF(checklistPesertaKemenkeu!$AY$6:$AY$1005="Direkomendasikan",ROW($6:$1005)-5),592)))=1),IFERROR(VLOOKUP(INDEX(checklistPesertaKemenkeu!$N$6:$N$1005,SMALL(IF(checklistPesertaKemenkeu!$AY$6:$AY$1005="Direkomendasikan",ROW($6:$1005)-5),592)),KotaKode,2,0),"-"),"")),"")</f>
        <v/>
      </c>
      <c r="K593" t="str">
        <f t="array" aca="1" ref="K593" ca="1">IFERROR(IF(OR(INDEX(checklistPesertaKemenkeu!$O$6:$O$1005,SMALL(IF(checklistPesertaKemenkeu!$AY$6:$AY$1005="Direkomendasikan",ROW($6:$1005)-5),592))="",INDEX(checklistPesertaKemenkeu!$J$6:$J$1005,SMALL(IF(checklistPesertaKemenkeu!$AY$6:$AY$1005="Direkomendasikan",ROW($6:$1005)-5),592))=""),"",IF(AND(COUNTIF(INDIRECT("K_"&amp;MATCH(INDEX(checklistPesertaKemenkeu!$J$6:$J$1005,SMALL(IF(checklistPesertaKemenkeu!$AY$6:$AY$1005="Direkomendasikan",ROW($6:$1005)-5),592)),BidangList,0)),INDEX(checklistPesertaKemenkeu!$O$6:$O$1005,SMALL(IF(checklistPesertaKemenkeu!$AY$6:$AY$1005="Direkomendasikan",ROW($6:$1005)-5),592)))&gt;0,COUNTIF(INDIRECT("'KERTAS KERJA'!K"&amp;(SMALL(IF(checklistPesertaKemenkeu!$AY$6:$AY$1005="Direkomendasikan",ROW($6:$1005)-5),592)+5)&amp;":O"&amp;(SMALL(IF(checklistPesertaKemenkeu!$AY$6:$AY$1005="Direkomendasikan",ROW($6:$1005)-5),592)+5)),INDEX(checklistPesertaKemenkeu!$O$6:$O$1005,SMALL(IF(checklistPesertaKemenkeu!$AY$6:$AY$1005="Direkomendasikan",ROW($6:$1005)-5),592)))=1),IFERROR(VLOOKUP(INDEX(checklistPesertaKemenkeu!$O$6:$O$1005,SMALL(IF(checklistPesertaKemenkeu!$AY$6:$AY$1005="Direkomendasikan",ROW($6:$1005)-5),592)),KotaKode,2,0),"-"),"")),"")</f>
        <v/>
      </c>
      <c r="L593" t="str">
        <f t="array" aca="1" ref="L593" ca="1">IFERROR(IF(OR(INDEX(checklistPesertaKemenkeu!$P$6:$P$1005,SMALL(IF(checklistPesertaKemenkeu!$AY$6:$AY$1005="Direkomendasikan",ROW($6:$1005)-5),592))="",INDEX(checklistPesertaKemenkeu!$J$6:$J$1005,SMALL(IF(checklistPesertaKemenkeu!$AY$6:$AY$1005="Direkomendasikan",ROW($6:$1005)-5),592))=""),"",IF(AND(COUNTIF(INDIRECT("K_"&amp;MATCH(INDEX(checklistPesertaKemenkeu!$J$6:$J$1005,SMALL(IF(checklistPesertaKemenkeu!$AY$6:$AY$1005="Direkomendasikan",ROW($6:$1005)-5),592)),BidangList,0)),INDEX(checklistPesertaKemenkeu!$P$6:$P$1005,SMALL(IF(checklistPesertaKemenkeu!$AY$6:$AY$1005="Direkomendasikan",ROW($6:$1005)-5),592)))&gt;0,COUNTIF(INDIRECT("'KERTAS KERJA'!K"&amp;(SMALL(IF(checklistPesertaKemenkeu!$AY$6:$AY$1005="Direkomendasikan",ROW($6:$1005)-5),592)+5)&amp;":O"&amp;(SMALL(IF(checklistPesertaKemenkeu!$AY$6:$AY$1005="Direkomendasikan",ROW($6:$1005)-5),592)+5)),INDEX(checklistPesertaKemenkeu!$P$6:$P$1005,SMALL(IF(checklistPesertaKemenkeu!$AY$6:$AY$1005="Direkomendasikan",ROW($6:$1005)-5),592)))=1),IFERROR(VLOOKUP(INDEX(checklistPesertaKemenkeu!$P$6:$P$1005,SMALL(IF(checklistPesertaKemenkeu!$AY$6:$AY$1005="Direkomendasikan",ROW($6:$1005)-5),592)),KotaKode,2,0),"-"),"")),"")</f>
        <v/>
      </c>
    </row>
    <row r="594" spans="1:12" ht="15" customHeight="1" x14ac:dyDescent="0.2">
      <c r="A594" t="str">
        <f t="shared" si="9"/>
        <v/>
      </c>
      <c r="B594" t="str">
        <v/>
      </c>
      <c r="C594" s="40" t="str">
        <f t="array" ref="C594">IFERROR(INDEX(checklistPesertaKemenkeu!$F$6:$F$1005,SMALL(IF(checklistPesertaKemenkeu!$AY$6:$AY$1005="Direkomendasikan",ROW($6:$1005)-5),593)),"")</f>
        <v/>
      </c>
      <c r="D594" t="str">
        <f t="array" ref="D594">IFERROR(INDEX(checklistPesertaKemenkeu!$G$6:$G$1005,SMALL(IF(checklistPesertaKemenkeu!$AY$6:$AY$1005="Direkomendasikan",ROW($6:$1005)-5),593)),"")</f>
        <v/>
      </c>
      <c r="E594" t="str">
        <f t="array" ref="E594">IFERROR(INDEX(checklistPesertaKemenkeu!$H$6:$H$1005,SMALL(IF(checklistPesertaKemenkeu!$AY$6:$AY$1005="Direkomendasikan",ROW($6:$1005)-5),593)),"")</f>
        <v/>
      </c>
      <c r="F594" t="str">
        <f t="array" ref="F594">IFERROR(INDEX(checklistPesertaKemenkeu!$I$6:$I$1005,SMALL(IF(checklistPesertaKemenkeu!$AY$6:$AY$1005="Direkomendasikan",ROW($6:$1005)-5),593)),"")</f>
        <v/>
      </c>
      <c r="G594" t="str">
        <f t="array" ref="G594">IFERROR(INDEX(checklistPesertaKemenkeu!$J$6:$J$1005,SMALL(IF(checklistPesertaKemenkeu!$AY$6:$AY$1005="Direkomendasikan",ROW($6:$1005)-5),593)),"")</f>
        <v/>
      </c>
      <c r="H594" t="str">
        <f t="array" aca="1" ref="H594" ca="1">IFERROR(IF(OR(INDEX(checklistPesertaKemenkeu!$L$6:$L$1005,SMALL(IF(checklistPesertaKemenkeu!$AY$6:$AY$1005="Direkomendasikan",ROW($6:$1005)-5),593))="",INDEX(checklistPesertaKemenkeu!$J$6:$J$1005,SMALL(IF(checklistPesertaKemenkeu!$AY$6:$AY$1005="Direkomendasikan",ROW($6:$1005)-5),593))=""),"",IF(AND(COUNTIF(INDIRECT("K_"&amp;MATCH(INDEX(checklistPesertaKemenkeu!$J$6:$J$1005,SMALL(IF(checklistPesertaKemenkeu!$AY$6:$AY$1005="Direkomendasikan",ROW($6:$1005)-5),593)),BidangList,0)),INDEX(checklistPesertaKemenkeu!$L$6:$L$1005,SMALL(IF(checklistPesertaKemenkeu!$AY$6:$AY$1005="Direkomendasikan",ROW($6:$1005)-5),593)))&gt;0,COUNTIF(INDIRECT("'KERTAS KERJA'!K"&amp;(SMALL(IF(checklistPesertaKemenkeu!$AY$6:$AY$1005="Direkomendasikan",ROW($6:$1005)-5),593)+5)&amp;":O"&amp;(SMALL(IF(checklistPesertaKemenkeu!$AY$6:$AY$1005="Direkomendasikan",ROW($6:$1005)-5),593)+5)),INDEX(checklistPesertaKemenkeu!$L$6:$L$1005,SMALL(IF(checklistPesertaKemenkeu!$AY$6:$AY$1005="Direkomendasikan",ROW($6:$1005)-5),593)))=1),IFERROR(VLOOKUP(INDEX(checklistPesertaKemenkeu!$L$6:$L$1005,SMALL(IF(checklistPesertaKemenkeu!$AY$6:$AY$1005="Direkomendasikan",ROW($6:$1005)-5),593)),KotaKode,2,0),"-"),"")),"")</f>
        <v/>
      </c>
      <c r="I594" t="str">
        <f t="array" aca="1" ref="I594" ca="1">IFERROR(IF(OR(INDEX(checklistPesertaKemenkeu!$M$6:$M$1005,SMALL(IF(checklistPesertaKemenkeu!$AY$6:$AY$1005="Direkomendasikan",ROW($6:$1005)-5),593))="",INDEX(checklistPesertaKemenkeu!$J$6:$J$1005,SMALL(IF(checklistPesertaKemenkeu!$AY$6:$AY$1005="Direkomendasikan",ROW($6:$1005)-5),593))=""),"",IF(AND(COUNTIF(INDIRECT("K_"&amp;MATCH(INDEX(checklistPesertaKemenkeu!$J$6:$J$1005,SMALL(IF(checklistPesertaKemenkeu!$AY$6:$AY$1005="Direkomendasikan",ROW($6:$1005)-5),593)),BidangList,0)),INDEX(checklistPesertaKemenkeu!$M$6:$M$1005,SMALL(IF(checklistPesertaKemenkeu!$AY$6:$AY$1005="Direkomendasikan",ROW($6:$1005)-5),593)))&gt;0,COUNTIF(INDIRECT("'KERTAS KERJA'!K"&amp;(SMALL(IF(checklistPesertaKemenkeu!$AY$6:$AY$1005="Direkomendasikan",ROW($6:$1005)-5),593)+5)&amp;":O"&amp;(SMALL(IF(checklistPesertaKemenkeu!$AY$6:$AY$1005="Direkomendasikan",ROW($6:$1005)-5),593)+5)),INDEX(checklistPesertaKemenkeu!$M$6:$M$1005,SMALL(IF(checklistPesertaKemenkeu!$AY$6:$AY$1005="Direkomendasikan",ROW($6:$1005)-5),593)))=1),IFERROR(VLOOKUP(INDEX(checklistPesertaKemenkeu!$M$6:$M$1005,SMALL(IF(checklistPesertaKemenkeu!$AY$6:$AY$1005="Direkomendasikan",ROW($6:$1005)-5),593)),KotaKode,2,0),"-"),"")),"")</f>
        <v/>
      </c>
      <c r="J594" t="str">
        <f t="array" aca="1" ref="J594" ca="1">IFERROR(IF(OR(INDEX(checklistPesertaKemenkeu!$N$6:$N$1005,SMALL(IF(checklistPesertaKemenkeu!$AY$6:$AY$1005="Direkomendasikan",ROW($6:$1005)-5),593))="",INDEX(checklistPesertaKemenkeu!$J$6:$J$1005,SMALL(IF(checklistPesertaKemenkeu!$AY$6:$AY$1005="Direkomendasikan",ROW($6:$1005)-5),593))=""),"",IF(AND(COUNTIF(INDIRECT("K_"&amp;MATCH(INDEX(checklistPesertaKemenkeu!$J$6:$J$1005,SMALL(IF(checklistPesertaKemenkeu!$AY$6:$AY$1005="Direkomendasikan",ROW($6:$1005)-5),593)),BidangList,0)),INDEX(checklistPesertaKemenkeu!$N$6:$N$1005,SMALL(IF(checklistPesertaKemenkeu!$AY$6:$AY$1005="Direkomendasikan",ROW($6:$1005)-5),593)))&gt;0,COUNTIF(INDIRECT("'KERTAS KERJA'!K"&amp;(SMALL(IF(checklistPesertaKemenkeu!$AY$6:$AY$1005="Direkomendasikan",ROW($6:$1005)-5),593)+5)&amp;":O"&amp;(SMALL(IF(checklistPesertaKemenkeu!$AY$6:$AY$1005="Direkomendasikan",ROW($6:$1005)-5),593)+5)),INDEX(checklistPesertaKemenkeu!$N$6:$N$1005,SMALL(IF(checklistPesertaKemenkeu!$AY$6:$AY$1005="Direkomendasikan",ROW($6:$1005)-5),593)))=1),IFERROR(VLOOKUP(INDEX(checklistPesertaKemenkeu!$N$6:$N$1005,SMALL(IF(checklistPesertaKemenkeu!$AY$6:$AY$1005="Direkomendasikan",ROW($6:$1005)-5),593)),KotaKode,2,0),"-"),"")),"")</f>
        <v/>
      </c>
      <c r="K594" t="str">
        <f t="array" aca="1" ref="K594" ca="1">IFERROR(IF(OR(INDEX(checklistPesertaKemenkeu!$O$6:$O$1005,SMALL(IF(checklistPesertaKemenkeu!$AY$6:$AY$1005="Direkomendasikan",ROW($6:$1005)-5),593))="",INDEX(checklistPesertaKemenkeu!$J$6:$J$1005,SMALL(IF(checklistPesertaKemenkeu!$AY$6:$AY$1005="Direkomendasikan",ROW($6:$1005)-5),593))=""),"",IF(AND(COUNTIF(INDIRECT("K_"&amp;MATCH(INDEX(checklistPesertaKemenkeu!$J$6:$J$1005,SMALL(IF(checklistPesertaKemenkeu!$AY$6:$AY$1005="Direkomendasikan",ROW($6:$1005)-5),593)),BidangList,0)),INDEX(checklistPesertaKemenkeu!$O$6:$O$1005,SMALL(IF(checklistPesertaKemenkeu!$AY$6:$AY$1005="Direkomendasikan",ROW($6:$1005)-5),593)))&gt;0,COUNTIF(INDIRECT("'KERTAS KERJA'!K"&amp;(SMALL(IF(checklistPesertaKemenkeu!$AY$6:$AY$1005="Direkomendasikan",ROW($6:$1005)-5),593)+5)&amp;":O"&amp;(SMALL(IF(checklistPesertaKemenkeu!$AY$6:$AY$1005="Direkomendasikan",ROW($6:$1005)-5),593)+5)),INDEX(checklistPesertaKemenkeu!$O$6:$O$1005,SMALL(IF(checklistPesertaKemenkeu!$AY$6:$AY$1005="Direkomendasikan",ROW($6:$1005)-5),593)))=1),IFERROR(VLOOKUP(INDEX(checklistPesertaKemenkeu!$O$6:$O$1005,SMALL(IF(checklistPesertaKemenkeu!$AY$6:$AY$1005="Direkomendasikan",ROW($6:$1005)-5),593)),KotaKode,2,0),"-"),"")),"")</f>
        <v/>
      </c>
      <c r="L594" t="str">
        <f t="array" aca="1" ref="L594" ca="1">IFERROR(IF(OR(INDEX(checklistPesertaKemenkeu!$P$6:$P$1005,SMALL(IF(checklistPesertaKemenkeu!$AY$6:$AY$1005="Direkomendasikan",ROW($6:$1005)-5),593))="",INDEX(checklistPesertaKemenkeu!$J$6:$J$1005,SMALL(IF(checklistPesertaKemenkeu!$AY$6:$AY$1005="Direkomendasikan",ROW($6:$1005)-5),593))=""),"",IF(AND(COUNTIF(INDIRECT("K_"&amp;MATCH(INDEX(checklistPesertaKemenkeu!$J$6:$J$1005,SMALL(IF(checklistPesertaKemenkeu!$AY$6:$AY$1005="Direkomendasikan",ROW($6:$1005)-5),593)),BidangList,0)),INDEX(checklistPesertaKemenkeu!$P$6:$P$1005,SMALL(IF(checklistPesertaKemenkeu!$AY$6:$AY$1005="Direkomendasikan",ROW($6:$1005)-5),593)))&gt;0,COUNTIF(INDIRECT("'KERTAS KERJA'!K"&amp;(SMALL(IF(checklistPesertaKemenkeu!$AY$6:$AY$1005="Direkomendasikan",ROW($6:$1005)-5),593)+5)&amp;":O"&amp;(SMALL(IF(checklistPesertaKemenkeu!$AY$6:$AY$1005="Direkomendasikan",ROW($6:$1005)-5),593)+5)),INDEX(checklistPesertaKemenkeu!$P$6:$P$1005,SMALL(IF(checklistPesertaKemenkeu!$AY$6:$AY$1005="Direkomendasikan",ROW($6:$1005)-5),593)))=1),IFERROR(VLOOKUP(INDEX(checklistPesertaKemenkeu!$P$6:$P$1005,SMALL(IF(checklistPesertaKemenkeu!$AY$6:$AY$1005="Direkomendasikan",ROW($6:$1005)-5),593)),KotaKode,2,0),"-"),"")),"")</f>
        <v/>
      </c>
    </row>
    <row r="595" spans="1:12" ht="15" customHeight="1" x14ac:dyDescent="0.2">
      <c r="A595" t="str">
        <f t="shared" si="9"/>
        <v/>
      </c>
      <c r="B595" t="str">
        <v/>
      </c>
      <c r="C595" s="40" t="str">
        <f t="array" ref="C595">IFERROR(INDEX(checklistPesertaKemenkeu!$F$6:$F$1005,SMALL(IF(checklistPesertaKemenkeu!$AY$6:$AY$1005="Direkomendasikan",ROW($6:$1005)-5),594)),"")</f>
        <v/>
      </c>
      <c r="D595" t="str">
        <f t="array" ref="D595">IFERROR(INDEX(checklistPesertaKemenkeu!$G$6:$G$1005,SMALL(IF(checklistPesertaKemenkeu!$AY$6:$AY$1005="Direkomendasikan",ROW($6:$1005)-5),594)),"")</f>
        <v/>
      </c>
      <c r="E595" t="str">
        <f t="array" ref="E595">IFERROR(INDEX(checklistPesertaKemenkeu!$H$6:$H$1005,SMALL(IF(checklistPesertaKemenkeu!$AY$6:$AY$1005="Direkomendasikan",ROW($6:$1005)-5),594)),"")</f>
        <v/>
      </c>
      <c r="F595" t="str">
        <f t="array" ref="F595">IFERROR(INDEX(checklistPesertaKemenkeu!$I$6:$I$1005,SMALL(IF(checklistPesertaKemenkeu!$AY$6:$AY$1005="Direkomendasikan",ROW($6:$1005)-5),594)),"")</f>
        <v/>
      </c>
      <c r="G595" t="str">
        <f t="array" ref="G595">IFERROR(INDEX(checklistPesertaKemenkeu!$J$6:$J$1005,SMALL(IF(checklistPesertaKemenkeu!$AY$6:$AY$1005="Direkomendasikan",ROW($6:$1005)-5),594)),"")</f>
        <v/>
      </c>
      <c r="H595" t="str">
        <f t="array" aca="1" ref="H595" ca="1">IFERROR(IF(OR(INDEX(checklistPesertaKemenkeu!$L$6:$L$1005,SMALL(IF(checklistPesertaKemenkeu!$AY$6:$AY$1005="Direkomendasikan",ROW($6:$1005)-5),594))="",INDEX(checklistPesertaKemenkeu!$J$6:$J$1005,SMALL(IF(checklistPesertaKemenkeu!$AY$6:$AY$1005="Direkomendasikan",ROW($6:$1005)-5),594))=""),"",IF(AND(COUNTIF(INDIRECT("K_"&amp;MATCH(INDEX(checklistPesertaKemenkeu!$J$6:$J$1005,SMALL(IF(checklistPesertaKemenkeu!$AY$6:$AY$1005="Direkomendasikan",ROW($6:$1005)-5),594)),BidangList,0)),INDEX(checklistPesertaKemenkeu!$L$6:$L$1005,SMALL(IF(checklistPesertaKemenkeu!$AY$6:$AY$1005="Direkomendasikan",ROW($6:$1005)-5),594)))&gt;0,COUNTIF(INDIRECT("'KERTAS KERJA'!K"&amp;(SMALL(IF(checklistPesertaKemenkeu!$AY$6:$AY$1005="Direkomendasikan",ROW($6:$1005)-5),594)+5)&amp;":O"&amp;(SMALL(IF(checklistPesertaKemenkeu!$AY$6:$AY$1005="Direkomendasikan",ROW($6:$1005)-5),594)+5)),INDEX(checklistPesertaKemenkeu!$L$6:$L$1005,SMALL(IF(checklistPesertaKemenkeu!$AY$6:$AY$1005="Direkomendasikan",ROW($6:$1005)-5),594)))=1),IFERROR(VLOOKUP(INDEX(checklistPesertaKemenkeu!$L$6:$L$1005,SMALL(IF(checklistPesertaKemenkeu!$AY$6:$AY$1005="Direkomendasikan",ROW($6:$1005)-5),594)),KotaKode,2,0),"-"),"")),"")</f>
        <v/>
      </c>
      <c r="I595" t="str">
        <f t="array" aca="1" ref="I595" ca="1">IFERROR(IF(OR(INDEX(checklistPesertaKemenkeu!$M$6:$M$1005,SMALL(IF(checklistPesertaKemenkeu!$AY$6:$AY$1005="Direkomendasikan",ROW($6:$1005)-5),594))="",INDEX(checklistPesertaKemenkeu!$J$6:$J$1005,SMALL(IF(checklistPesertaKemenkeu!$AY$6:$AY$1005="Direkomendasikan",ROW($6:$1005)-5),594))=""),"",IF(AND(COUNTIF(INDIRECT("K_"&amp;MATCH(INDEX(checklistPesertaKemenkeu!$J$6:$J$1005,SMALL(IF(checklistPesertaKemenkeu!$AY$6:$AY$1005="Direkomendasikan",ROW($6:$1005)-5),594)),BidangList,0)),INDEX(checklistPesertaKemenkeu!$M$6:$M$1005,SMALL(IF(checklistPesertaKemenkeu!$AY$6:$AY$1005="Direkomendasikan",ROW($6:$1005)-5),594)))&gt;0,COUNTIF(INDIRECT("'KERTAS KERJA'!K"&amp;(SMALL(IF(checklistPesertaKemenkeu!$AY$6:$AY$1005="Direkomendasikan",ROW($6:$1005)-5),594)+5)&amp;":O"&amp;(SMALL(IF(checklistPesertaKemenkeu!$AY$6:$AY$1005="Direkomendasikan",ROW($6:$1005)-5),594)+5)),INDEX(checklistPesertaKemenkeu!$M$6:$M$1005,SMALL(IF(checklistPesertaKemenkeu!$AY$6:$AY$1005="Direkomendasikan",ROW($6:$1005)-5),594)))=1),IFERROR(VLOOKUP(INDEX(checklistPesertaKemenkeu!$M$6:$M$1005,SMALL(IF(checklistPesertaKemenkeu!$AY$6:$AY$1005="Direkomendasikan",ROW($6:$1005)-5),594)),KotaKode,2,0),"-"),"")),"")</f>
        <v/>
      </c>
      <c r="J595" t="str">
        <f t="array" aca="1" ref="J595" ca="1">IFERROR(IF(OR(INDEX(checklistPesertaKemenkeu!$N$6:$N$1005,SMALL(IF(checklistPesertaKemenkeu!$AY$6:$AY$1005="Direkomendasikan",ROW($6:$1005)-5),594))="",INDEX(checklistPesertaKemenkeu!$J$6:$J$1005,SMALL(IF(checklistPesertaKemenkeu!$AY$6:$AY$1005="Direkomendasikan",ROW($6:$1005)-5),594))=""),"",IF(AND(COUNTIF(INDIRECT("K_"&amp;MATCH(INDEX(checklistPesertaKemenkeu!$J$6:$J$1005,SMALL(IF(checklistPesertaKemenkeu!$AY$6:$AY$1005="Direkomendasikan",ROW($6:$1005)-5),594)),BidangList,0)),INDEX(checklistPesertaKemenkeu!$N$6:$N$1005,SMALL(IF(checklistPesertaKemenkeu!$AY$6:$AY$1005="Direkomendasikan",ROW($6:$1005)-5),594)))&gt;0,COUNTIF(INDIRECT("'KERTAS KERJA'!K"&amp;(SMALL(IF(checklistPesertaKemenkeu!$AY$6:$AY$1005="Direkomendasikan",ROW($6:$1005)-5),594)+5)&amp;":O"&amp;(SMALL(IF(checklistPesertaKemenkeu!$AY$6:$AY$1005="Direkomendasikan",ROW($6:$1005)-5),594)+5)),INDEX(checklistPesertaKemenkeu!$N$6:$N$1005,SMALL(IF(checklistPesertaKemenkeu!$AY$6:$AY$1005="Direkomendasikan",ROW($6:$1005)-5),594)))=1),IFERROR(VLOOKUP(INDEX(checklistPesertaKemenkeu!$N$6:$N$1005,SMALL(IF(checklistPesertaKemenkeu!$AY$6:$AY$1005="Direkomendasikan",ROW($6:$1005)-5),594)),KotaKode,2,0),"-"),"")),"")</f>
        <v/>
      </c>
      <c r="K595" t="str">
        <f t="array" aca="1" ref="K595" ca="1">IFERROR(IF(OR(INDEX(checklistPesertaKemenkeu!$O$6:$O$1005,SMALL(IF(checklistPesertaKemenkeu!$AY$6:$AY$1005="Direkomendasikan",ROW($6:$1005)-5),594))="",INDEX(checklistPesertaKemenkeu!$J$6:$J$1005,SMALL(IF(checklistPesertaKemenkeu!$AY$6:$AY$1005="Direkomendasikan",ROW($6:$1005)-5),594))=""),"",IF(AND(COUNTIF(INDIRECT("K_"&amp;MATCH(INDEX(checklistPesertaKemenkeu!$J$6:$J$1005,SMALL(IF(checklistPesertaKemenkeu!$AY$6:$AY$1005="Direkomendasikan",ROW($6:$1005)-5),594)),BidangList,0)),INDEX(checklistPesertaKemenkeu!$O$6:$O$1005,SMALL(IF(checklistPesertaKemenkeu!$AY$6:$AY$1005="Direkomendasikan",ROW($6:$1005)-5),594)))&gt;0,COUNTIF(INDIRECT("'KERTAS KERJA'!K"&amp;(SMALL(IF(checklistPesertaKemenkeu!$AY$6:$AY$1005="Direkomendasikan",ROW($6:$1005)-5),594)+5)&amp;":O"&amp;(SMALL(IF(checklistPesertaKemenkeu!$AY$6:$AY$1005="Direkomendasikan",ROW($6:$1005)-5),594)+5)),INDEX(checklistPesertaKemenkeu!$O$6:$O$1005,SMALL(IF(checklistPesertaKemenkeu!$AY$6:$AY$1005="Direkomendasikan",ROW($6:$1005)-5),594)))=1),IFERROR(VLOOKUP(INDEX(checklistPesertaKemenkeu!$O$6:$O$1005,SMALL(IF(checklistPesertaKemenkeu!$AY$6:$AY$1005="Direkomendasikan",ROW($6:$1005)-5),594)),KotaKode,2,0),"-"),"")),"")</f>
        <v/>
      </c>
      <c r="L595" t="str">
        <f t="array" aca="1" ref="L595" ca="1">IFERROR(IF(OR(INDEX(checklistPesertaKemenkeu!$P$6:$P$1005,SMALL(IF(checklistPesertaKemenkeu!$AY$6:$AY$1005="Direkomendasikan",ROW($6:$1005)-5),594))="",INDEX(checklistPesertaKemenkeu!$J$6:$J$1005,SMALL(IF(checklistPesertaKemenkeu!$AY$6:$AY$1005="Direkomendasikan",ROW($6:$1005)-5),594))=""),"",IF(AND(COUNTIF(INDIRECT("K_"&amp;MATCH(INDEX(checklistPesertaKemenkeu!$J$6:$J$1005,SMALL(IF(checklistPesertaKemenkeu!$AY$6:$AY$1005="Direkomendasikan",ROW($6:$1005)-5),594)),BidangList,0)),INDEX(checklistPesertaKemenkeu!$P$6:$P$1005,SMALL(IF(checklistPesertaKemenkeu!$AY$6:$AY$1005="Direkomendasikan",ROW($6:$1005)-5),594)))&gt;0,COUNTIF(INDIRECT("'KERTAS KERJA'!K"&amp;(SMALL(IF(checklistPesertaKemenkeu!$AY$6:$AY$1005="Direkomendasikan",ROW($6:$1005)-5),594)+5)&amp;":O"&amp;(SMALL(IF(checklistPesertaKemenkeu!$AY$6:$AY$1005="Direkomendasikan",ROW($6:$1005)-5),594)+5)),INDEX(checklistPesertaKemenkeu!$P$6:$P$1005,SMALL(IF(checklistPesertaKemenkeu!$AY$6:$AY$1005="Direkomendasikan",ROW($6:$1005)-5),594)))=1),IFERROR(VLOOKUP(INDEX(checklistPesertaKemenkeu!$P$6:$P$1005,SMALL(IF(checklistPesertaKemenkeu!$AY$6:$AY$1005="Direkomendasikan",ROW($6:$1005)-5),594)),KotaKode,2,0),"-"),"")),"")</f>
        <v/>
      </c>
    </row>
    <row r="596" spans="1:12" ht="15" customHeight="1" x14ac:dyDescent="0.2">
      <c r="A596" t="str">
        <f t="shared" si="9"/>
        <v/>
      </c>
      <c r="B596" t="str">
        <v/>
      </c>
      <c r="C596" s="40" t="str">
        <f t="array" ref="C596">IFERROR(INDEX(checklistPesertaKemenkeu!$F$6:$F$1005,SMALL(IF(checklistPesertaKemenkeu!$AY$6:$AY$1005="Direkomendasikan",ROW($6:$1005)-5),595)),"")</f>
        <v/>
      </c>
      <c r="D596" t="str">
        <f t="array" ref="D596">IFERROR(INDEX(checklistPesertaKemenkeu!$G$6:$G$1005,SMALL(IF(checklistPesertaKemenkeu!$AY$6:$AY$1005="Direkomendasikan",ROW($6:$1005)-5),595)),"")</f>
        <v/>
      </c>
      <c r="E596" t="str">
        <f t="array" ref="E596">IFERROR(INDEX(checklistPesertaKemenkeu!$H$6:$H$1005,SMALL(IF(checklistPesertaKemenkeu!$AY$6:$AY$1005="Direkomendasikan",ROW($6:$1005)-5),595)),"")</f>
        <v/>
      </c>
      <c r="F596" t="str">
        <f t="array" ref="F596">IFERROR(INDEX(checklistPesertaKemenkeu!$I$6:$I$1005,SMALL(IF(checklistPesertaKemenkeu!$AY$6:$AY$1005="Direkomendasikan",ROW($6:$1005)-5),595)),"")</f>
        <v/>
      </c>
      <c r="G596" t="str">
        <f t="array" ref="G596">IFERROR(INDEX(checklistPesertaKemenkeu!$J$6:$J$1005,SMALL(IF(checklistPesertaKemenkeu!$AY$6:$AY$1005="Direkomendasikan",ROW($6:$1005)-5),595)),"")</f>
        <v/>
      </c>
      <c r="H596" t="str">
        <f t="array" aca="1" ref="H596" ca="1">IFERROR(IF(OR(INDEX(checklistPesertaKemenkeu!$L$6:$L$1005,SMALL(IF(checklistPesertaKemenkeu!$AY$6:$AY$1005="Direkomendasikan",ROW($6:$1005)-5),595))="",INDEX(checklistPesertaKemenkeu!$J$6:$J$1005,SMALL(IF(checklistPesertaKemenkeu!$AY$6:$AY$1005="Direkomendasikan",ROW($6:$1005)-5),595))=""),"",IF(AND(COUNTIF(INDIRECT("K_"&amp;MATCH(INDEX(checklistPesertaKemenkeu!$J$6:$J$1005,SMALL(IF(checklistPesertaKemenkeu!$AY$6:$AY$1005="Direkomendasikan",ROW($6:$1005)-5),595)),BidangList,0)),INDEX(checklistPesertaKemenkeu!$L$6:$L$1005,SMALL(IF(checklistPesertaKemenkeu!$AY$6:$AY$1005="Direkomendasikan",ROW($6:$1005)-5),595)))&gt;0,COUNTIF(INDIRECT("'KERTAS KERJA'!K"&amp;(SMALL(IF(checklistPesertaKemenkeu!$AY$6:$AY$1005="Direkomendasikan",ROW($6:$1005)-5),595)+5)&amp;":O"&amp;(SMALL(IF(checklistPesertaKemenkeu!$AY$6:$AY$1005="Direkomendasikan",ROW($6:$1005)-5),595)+5)),INDEX(checklistPesertaKemenkeu!$L$6:$L$1005,SMALL(IF(checklistPesertaKemenkeu!$AY$6:$AY$1005="Direkomendasikan",ROW($6:$1005)-5),595)))=1),IFERROR(VLOOKUP(INDEX(checklistPesertaKemenkeu!$L$6:$L$1005,SMALL(IF(checklistPesertaKemenkeu!$AY$6:$AY$1005="Direkomendasikan",ROW($6:$1005)-5),595)),KotaKode,2,0),"-"),"")),"")</f>
        <v/>
      </c>
      <c r="I596" t="str">
        <f t="array" aca="1" ref="I596" ca="1">IFERROR(IF(OR(INDEX(checklistPesertaKemenkeu!$M$6:$M$1005,SMALL(IF(checklistPesertaKemenkeu!$AY$6:$AY$1005="Direkomendasikan",ROW($6:$1005)-5),595))="",INDEX(checklistPesertaKemenkeu!$J$6:$J$1005,SMALL(IF(checklistPesertaKemenkeu!$AY$6:$AY$1005="Direkomendasikan",ROW($6:$1005)-5),595))=""),"",IF(AND(COUNTIF(INDIRECT("K_"&amp;MATCH(INDEX(checklistPesertaKemenkeu!$J$6:$J$1005,SMALL(IF(checklistPesertaKemenkeu!$AY$6:$AY$1005="Direkomendasikan",ROW($6:$1005)-5),595)),BidangList,0)),INDEX(checklistPesertaKemenkeu!$M$6:$M$1005,SMALL(IF(checklistPesertaKemenkeu!$AY$6:$AY$1005="Direkomendasikan",ROW($6:$1005)-5),595)))&gt;0,COUNTIF(INDIRECT("'KERTAS KERJA'!K"&amp;(SMALL(IF(checklistPesertaKemenkeu!$AY$6:$AY$1005="Direkomendasikan",ROW($6:$1005)-5),595)+5)&amp;":O"&amp;(SMALL(IF(checklistPesertaKemenkeu!$AY$6:$AY$1005="Direkomendasikan",ROW($6:$1005)-5),595)+5)),INDEX(checklistPesertaKemenkeu!$M$6:$M$1005,SMALL(IF(checklistPesertaKemenkeu!$AY$6:$AY$1005="Direkomendasikan",ROW($6:$1005)-5),595)))=1),IFERROR(VLOOKUP(INDEX(checklistPesertaKemenkeu!$M$6:$M$1005,SMALL(IF(checklistPesertaKemenkeu!$AY$6:$AY$1005="Direkomendasikan",ROW($6:$1005)-5),595)),KotaKode,2,0),"-"),"")),"")</f>
        <v/>
      </c>
      <c r="J596" t="str">
        <f t="array" aca="1" ref="J596" ca="1">IFERROR(IF(OR(INDEX(checklistPesertaKemenkeu!$N$6:$N$1005,SMALL(IF(checklistPesertaKemenkeu!$AY$6:$AY$1005="Direkomendasikan",ROW($6:$1005)-5),595))="",INDEX(checklistPesertaKemenkeu!$J$6:$J$1005,SMALL(IF(checklistPesertaKemenkeu!$AY$6:$AY$1005="Direkomendasikan",ROW($6:$1005)-5),595))=""),"",IF(AND(COUNTIF(INDIRECT("K_"&amp;MATCH(INDEX(checklistPesertaKemenkeu!$J$6:$J$1005,SMALL(IF(checklistPesertaKemenkeu!$AY$6:$AY$1005="Direkomendasikan",ROW($6:$1005)-5),595)),BidangList,0)),INDEX(checklistPesertaKemenkeu!$N$6:$N$1005,SMALL(IF(checklistPesertaKemenkeu!$AY$6:$AY$1005="Direkomendasikan",ROW($6:$1005)-5),595)))&gt;0,COUNTIF(INDIRECT("'KERTAS KERJA'!K"&amp;(SMALL(IF(checklistPesertaKemenkeu!$AY$6:$AY$1005="Direkomendasikan",ROW($6:$1005)-5),595)+5)&amp;":O"&amp;(SMALL(IF(checklistPesertaKemenkeu!$AY$6:$AY$1005="Direkomendasikan",ROW($6:$1005)-5),595)+5)),INDEX(checklistPesertaKemenkeu!$N$6:$N$1005,SMALL(IF(checklistPesertaKemenkeu!$AY$6:$AY$1005="Direkomendasikan",ROW($6:$1005)-5),595)))=1),IFERROR(VLOOKUP(INDEX(checklistPesertaKemenkeu!$N$6:$N$1005,SMALL(IF(checklistPesertaKemenkeu!$AY$6:$AY$1005="Direkomendasikan",ROW($6:$1005)-5),595)),KotaKode,2,0),"-"),"")),"")</f>
        <v/>
      </c>
      <c r="K596" t="str">
        <f t="array" aca="1" ref="K596" ca="1">IFERROR(IF(OR(INDEX(checklistPesertaKemenkeu!$O$6:$O$1005,SMALL(IF(checklistPesertaKemenkeu!$AY$6:$AY$1005="Direkomendasikan",ROW($6:$1005)-5),595))="",INDEX(checklistPesertaKemenkeu!$J$6:$J$1005,SMALL(IF(checklistPesertaKemenkeu!$AY$6:$AY$1005="Direkomendasikan",ROW($6:$1005)-5),595))=""),"",IF(AND(COUNTIF(INDIRECT("K_"&amp;MATCH(INDEX(checklistPesertaKemenkeu!$J$6:$J$1005,SMALL(IF(checklistPesertaKemenkeu!$AY$6:$AY$1005="Direkomendasikan",ROW($6:$1005)-5),595)),BidangList,0)),INDEX(checklistPesertaKemenkeu!$O$6:$O$1005,SMALL(IF(checklistPesertaKemenkeu!$AY$6:$AY$1005="Direkomendasikan",ROW($6:$1005)-5),595)))&gt;0,COUNTIF(INDIRECT("'KERTAS KERJA'!K"&amp;(SMALL(IF(checklistPesertaKemenkeu!$AY$6:$AY$1005="Direkomendasikan",ROW($6:$1005)-5),595)+5)&amp;":O"&amp;(SMALL(IF(checklistPesertaKemenkeu!$AY$6:$AY$1005="Direkomendasikan",ROW($6:$1005)-5),595)+5)),INDEX(checklistPesertaKemenkeu!$O$6:$O$1005,SMALL(IF(checklistPesertaKemenkeu!$AY$6:$AY$1005="Direkomendasikan",ROW($6:$1005)-5),595)))=1),IFERROR(VLOOKUP(INDEX(checklistPesertaKemenkeu!$O$6:$O$1005,SMALL(IF(checklistPesertaKemenkeu!$AY$6:$AY$1005="Direkomendasikan",ROW($6:$1005)-5),595)),KotaKode,2,0),"-"),"")),"")</f>
        <v/>
      </c>
      <c r="L596" t="str">
        <f t="array" aca="1" ref="L596" ca="1">IFERROR(IF(OR(INDEX(checklistPesertaKemenkeu!$P$6:$P$1005,SMALL(IF(checklistPesertaKemenkeu!$AY$6:$AY$1005="Direkomendasikan",ROW($6:$1005)-5),595))="",INDEX(checklistPesertaKemenkeu!$J$6:$J$1005,SMALL(IF(checklistPesertaKemenkeu!$AY$6:$AY$1005="Direkomendasikan",ROW($6:$1005)-5),595))=""),"",IF(AND(COUNTIF(INDIRECT("K_"&amp;MATCH(INDEX(checklistPesertaKemenkeu!$J$6:$J$1005,SMALL(IF(checklistPesertaKemenkeu!$AY$6:$AY$1005="Direkomendasikan",ROW($6:$1005)-5),595)),BidangList,0)),INDEX(checklistPesertaKemenkeu!$P$6:$P$1005,SMALL(IF(checklistPesertaKemenkeu!$AY$6:$AY$1005="Direkomendasikan",ROW($6:$1005)-5),595)))&gt;0,COUNTIF(INDIRECT("'KERTAS KERJA'!K"&amp;(SMALL(IF(checklistPesertaKemenkeu!$AY$6:$AY$1005="Direkomendasikan",ROW($6:$1005)-5),595)+5)&amp;":O"&amp;(SMALL(IF(checklistPesertaKemenkeu!$AY$6:$AY$1005="Direkomendasikan",ROW($6:$1005)-5),595)+5)),INDEX(checklistPesertaKemenkeu!$P$6:$P$1005,SMALL(IF(checklistPesertaKemenkeu!$AY$6:$AY$1005="Direkomendasikan",ROW($6:$1005)-5),595)))=1),IFERROR(VLOOKUP(INDEX(checklistPesertaKemenkeu!$P$6:$P$1005,SMALL(IF(checklistPesertaKemenkeu!$AY$6:$AY$1005="Direkomendasikan",ROW($6:$1005)-5),595)),KotaKode,2,0),"-"),"")),"")</f>
        <v/>
      </c>
    </row>
    <row r="597" spans="1:12" ht="15" customHeight="1" x14ac:dyDescent="0.2">
      <c r="A597" t="str">
        <f t="shared" si="9"/>
        <v/>
      </c>
      <c r="B597" t="str">
        <v/>
      </c>
      <c r="C597" s="40" t="str">
        <f t="array" ref="C597">IFERROR(INDEX(checklistPesertaKemenkeu!$F$6:$F$1005,SMALL(IF(checklistPesertaKemenkeu!$AY$6:$AY$1005="Direkomendasikan",ROW($6:$1005)-5),596)),"")</f>
        <v/>
      </c>
      <c r="D597" t="str">
        <f t="array" ref="D597">IFERROR(INDEX(checklistPesertaKemenkeu!$G$6:$G$1005,SMALL(IF(checklistPesertaKemenkeu!$AY$6:$AY$1005="Direkomendasikan",ROW($6:$1005)-5),596)),"")</f>
        <v/>
      </c>
      <c r="E597" t="str">
        <f t="array" ref="E597">IFERROR(INDEX(checklistPesertaKemenkeu!$H$6:$H$1005,SMALL(IF(checklistPesertaKemenkeu!$AY$6:$AY$1005="Direkomendasikan",ROW($6:$1005)-5),596)),"")</f>
        <v/>
      </c>
      <c r="F597" t="str">
        <f t="array" ref="F597">IFERROR(INDEX(checklistPesertaKemenkeu!$I$6:$I$1005,SMALL(IF(checklistPesertaKemenkeu!$AY$6:$AY$1005="Direkomendasikan",ROW($6:$1005)-5),596)),"")</f>
        <v/>
      </c>
      <c r="G597" t="str">
        <f t="array" ref="G597">IFERROR(INDEX(checklistPesertaKemenkeu!$J$6:$J$1005,SMALL(IF(checklistPesertaKemenkeu!$AY$6:$AY$1005="Direkomendasikan",ROW($6:$1005)-5),596)),"")</f>
        <v/>
      </c>
      <c r="H597" t="str">
        <f t="array" aca="1" ref="H597" ca="1">IFERROR(IF(OR(INDEX(checklistPesertaKemenkeu!$L$6:$L$1005,SMALL(IF(checklistPesertaKemenkeu!$AY$6:$AY$1005="Direkomendasikan",ROW($6:$1005)-5),596))="",INDEX(checklistPesertaKemenkeu!$J$6:$J$1005,SMALL(IF(checklistPesertaKemenkeu!$AY$6:$AY$1005="Direkomendasikan",ROW($6:$1005)-5),596))=""),"",IF(AND(COUNTIF(INDIRECT("K_"&amp;MATCH(INDEX(checklistPesertaKemenkeu!$J$6:$J$1005,SMALL(IF(checklistPesertaKemenkeu!$AY$6:$AY$1005="Direkomendasikan",ROW($6:$1005)-5),596)),BidangList,0)),INDEX(checklistPesertaKemenkeu!$L$6:$L$1005,SMALL(IF(checklistPesertaKemenkeu!$AY$6:$AY$1005="Direkomendasikan",ROW($6:$1005)-5),596)))&gt;0,COUNTIF(INDIRECT("'KERTAS KERJA'!K"&amp;(SMALL(IF(checklistPesertaKemenkeu!$AY$6:$AY$1005="Direkomendasikan",ROW($6:$1005)-5),596)+5)&amp;":O"&amp;(SMALL(IF(checklistPesertaKemenkeu!$AY$6:$AY$1005="Direkomendasikan",ROW($6:$1005)-5),596)+5)),INDEX(checklistPesertaKemenkeu!$L$6:$L$1005,SMALL(IF(checklistPesertaKemenkeu!$AY$6:$AY$1005="Direkomendasikan",ROW($6:$1005)-5),596)))=1),IFERROR(VLOOKUP(INDEX(checklistPesertaKemenkeu!$L$6:$L$1005,SMALL(IF(checklistPesertaKemenkeu!$AY$6:$AY$1005="Direkomendasikan",ROW($6:$1005)-5),596)),KotaKode,2,0),"-"),"")),"")</f>
        <v/>
      </c>
      <c r="I597" t="str">
        <f t="array" aca="1" ref="I597" ca="1">IFERROR(IF(OR(INDEX(checklistPesertaKemenkeu!$M$6:$M$1005,SMALL(IF(checklistPesertaKemenkeu!$AY$6:$AY$1005="Direkomendasikan",ROW($6:$1005)-5),596))="",INDEX(checklistPesertaKemenkeu!$J$6:$J$1005,SMALL(IF(checklistPesertaKemenkeu!$AY$6:$AY$1005="Direkomendasikan",ROW($6:$1005)-5),596))=""),"",IF(AND(COUNTIF(INDIRECT("K_"&amp;MATCH(INDEX(checklistPesertaKemenkeu!$J$6:$J$1005,SMALL(IF(checklistPesertaKemenkeu!$AY$6:$AY$1005="Direkomendasikan",ROW($6:$1005)-5),596)),BidangList,0)),INDEX(checklistPesertaKemenkeu!$M$6:$M$1005,SMALL(IF(checklistPesertaKemenkeu!$AY$6:$AY$1005="Direkomendasikan",ROW($6:$1005)-5),596)))&gt;0,COUNTIF(INDIRECT("'KERTAS KERJA'!K"&amp;(SMALL(IF(checklistPesertaKemenkeu!$AY$6:$AY$1005="Direkomendasikan",ROW($6:$1005)-5),596)+5)&amp;":O"&amp;(SMALL(IF(checklistPesertaKemenkeu!$AY$6:$AY$1005="Direkomendasikan",ROW($6:$1005)-5),596)+5)),INDEX(checklistPesertaKemenkeu!$M$6:$M$1005,SMALL(IF(checklistPesertaKemenkeu!$AY$6:$AY$1005="Direkomendasikan",ROW($6:$1005)-5),596)))=1),IFERROR(VLOOKUP(INDEX(checklistPesertaKemenkeu!$M$6:$M$1005,SMALL(IF(checklistPesertaKemenkeu!$AY$6:$AY$1005="Direkomendasikan",ROW($6:$1005)-5),596)),KotaKode,2,0),"-"),"")),"")</f>
        <v/>
      </c>
      <c r="J597" t="str">
        <f t="array" aca="1" ref="J597" ca="1">IFERROR(IF(OR(INDEX(checklistPesertaKemenkeu!$N$6:$N$1005,SMALL(IF(checklistPesertaKemenkeu!$AY$6:$AY$1005="Direkomendasikan",ROW($6:$1005)-5),596))="",INDEX(checklistPesertaKemenkeu!$J$6:$J$1005,SMALL(IF(checklistPesertaKemenkeu!$AY$6:$AY$1005="Direkomendasikan",ROW($6:$1005)-5),596))=""),"",IF(AND(COUNTIF(INDIRECT("K_"&amp;MATCH(INDEX(checklistPesertaKemenkeu!$J$6:$J$1005,SMALL(IF(checklistPesertaKemenkeu!$AY$6:$AY$1005="Direkomendasikan",ROW($6:$1005)-5),596)),BidangList,0)),INDEX(checklistPesertaKemenkeu!$N$6:$N$1005,SMALL(IF(checklistPesertaKemenkeu!$AY$6:$AY$1005="Direkomendasikan",ROW($6:$1005)-5),596)))&gt;0,COUNTIF(INDIRECT("'KERTAS KERJA'!K"&amp;(SMALL(IF(checklistPesertaKemenkeu!$AY$6:$AY$1005="Direkomendasikan",ROW($6:$1005)-5),596)+5)&amp;":O"&amp;(SMALL(IF(checklistPesertaKemenkeu!$AY$6:$AY$1005="Direkomendasikan",ROW($6:$1005)-5),596)+5)),INDEX(checklistPesertaKemenkeu!$N$6:$N$1005,SMALL(IF(checklistPesertaKemenkeu!$AY$6:$AY$1005="Direkomendasikan",ROW($6:$1005)-5),596)))=1),IFERROR(VLOOKUP(INDEX(checklistPesertaKemenkeu!$N$6:$N$1005,SMALL(IF(checklistPesertaKemenkeu!$AY$6:$AY$1005="Direkomendasikan",ROW($6:$1005)-5),596)),KotaKode,2,0),"-"),"")),"")</f>
        <v/>
      </c>
      <c r="K597" t="str">
        <f t="array" aca="1" ref="K597" ca="1">IFERROR(IF(OR(INDEX(checklistPesertaKemenkeu!$O$6:$O$1005,SMALL(IF(checklistPesertaKemenkeu!$AY$6:$AY$1005="Direkomendasikan",ROW($6:$1005)-5),596))="",INDEX(checklistPesertaKemenkeu!$J$6:$J$1005,SMALL(IF(checklistPesertaKemenkeu!$AY$6:$AY$1005="Direkomendasikan",ROW($6:$1005)-5),596))=""),"",IF(AND(COUNTIF(INDIRECT("K_"&amp;MATCH(INDEX(checklistPesertaKemenkeu!$J$6:$J$1005,SMALL(IF(checklistPesertaKemenkeu!$AY$6:$AY$1005="Direkomendasikan",ROW($6:$1005)-5),596)),BidangList,0)),INDEX(checklistPesertaKemenkeu!$O$6:$O$1005,SMALL(IF(checklistPesertaKemenkeu!$AY$6:$AY$1005="Direkomendasikan",ROW($6:$1005)-5),596)))&gt;0,COUNTIF(INDIRECT("'KERTAS KERJA'!K"&amp;(SMALL(IF(checklistPesertaKemenkeu!$AY$6:$AY$1005="Direkomendasikan",ROW($6:$1005)-5),596)+5)&amp;":O"&amp;(SMALL(IF(checklistPesertaKemenkeu!$AY$6:$AY$1005="Direkomendasikan",ROW($6:$1005)-5),596)+5)),INDEX(checklistPesertaKemenkeu!$O$6:$O$1005,SMALL(IF(checklistPesertaKemenkeu!$AY$6:$AY$1005="Direkomendasikan",ROW($6:$1005)-5),596)))=1),IFERROR(VLOOKUP(INDEX(checklistPesertaKemenkeu!$O$6:$O$1005,SMALL(IF(checklistPesertaKemenkeu!$AY$6:$AY$1005="Direkomendasikan",ROW($6:$1005)-5),596)),KotaKode,2,0),"-"),"")),"")</f>
        <v/>
      </c>
      <c r="L597" t="str">
        <f t="array" aca="1" ref="L597" ca="1">IFERROR(IF(OR(INDEX(checklistPesertaKemenkeu!$P$6:$P$1005,SMALL(IF(checklistPesertaKemenkeu!$AY$6:$AY$1005="Direkomendasikan",ROW($6:$1005)-5),596))="",INDEX(checklistPesertaKemenkeu!$J$6:$J$1005,SMALL(IF(checklistPesertaKemenkeu!$AY$6:$AY$1005="Direkomendasikan",ROW($6:$1005)-5),596))=""),"",IF(AND(COUNTIF(INDIRECT("K_"&amp;MATCH(INDEX(checklistPesertaKemenkeu!$J$6:$J$1005,SMALL(IF(checklistPesertaKemenkeu!$AY$6:$AY$1005="Direkomendasikan",ROW($6:$1005)-5),596)),BidangList,0)),INDEX(checklistPesertaKemenkeu!$P$6:$P$1005,SMALL(IF(checklistPesertaKemenkeu!$AY$6:$AY$1005="Direkomendasikan",ROW($6:$1005)-5),596)))&gt;0,COUNTIF(INDIRECT("'KERTAS KERJA'!K"&amp;(SMALL(IF(checklistPesertaKemenkeu!$AY$6:$AY$1005="Direkomendasikan",ROW($6:$1005)-5),596)+5)&amp;":O"&amp;(SMALL(IF(checklistPesertaKemenkeu!$AY$6:$AY$1005="Direkomendasikan",ROW($6:$1005)-5),596)+5)),INDEX(checklistPesertaKemenkeu!$P$6:$P$1005,SMALL(IF(checklistPesertaKemenkeu!$AY$6:$AY$1005="Direkomendasikan",ROW($6:$1005)-5),596)))=1),IFERROR(VLOOKUP(INDEX(checklistPesertaKemenkeu!$P$6:$P$1005,SMALL(IF(checklistPesertaKemenkeu!$AY$6:$AY$1005="Direkomendasikan",ROW($6:$1005)-5),596)),KotaKode,2,0),"-"),"")),"")</f>
        <v/>
      </c>
    </row>
    <row r="598" spans="1:12" ht="15" customHeight="1" x14ac:dyDescent="0.2">
      <c r="A598" t="str">
        <f t="shared" si="9"/>
        <v/>
      </c>
      <c r="B598" t="str">
        <v/>
      </c>
      <c r="C598" s="40" t="str">
        <f t="array" ref="C598">IFERROR(INDEX(checklistPesertaKemenkeu!$F$6:$F$1005,SMALL(IF(checklistPesertaKemenkeu!$AY$6:$AY$1005="Direkomendasikan",ROW($6:$1005)-5),597)),"")</f>
        <v/>
      </c>
      <c r="D598" t="str">
        <f t="array" ref="D598">IFERROR(INDEX(checklistPesertaKemenkeu!$G$6:$G$1005,SMALL(IF(checklistPesertaKemenkeu!$AY$6:$AY$1005="Direkomendasikan",ROW($6:$1005)-5),597)),"")</f>
        <v/>
      </c>
      <c r="E598" t="str">
        <f t="array" ref="E598">IFERROR(INDEX(checklistPesertaKemenkeu!$H$6:$H$1005,SMALL(IF(checklistPesertaKemenkeu!$AY$6:$AY$1005="Direkomendasikan",ROW($6:$1005)-5),597)),"")</f>
        <v/>
      </c>
      <c r="F598" t="str">
        <f t="array" ref="F598">IFERROR(INDEX(checklistPesertaKemenkeu!$I$6:$I$1005,SMALL(IF(checklistPesertaKemenkeu!$AY$6:$AY$1005="Direkomendasikan",ROW($6:$1005)-5),597)),"")</f>
        <v/>
      </c>
      <c r="G598" t="str">
        <f t="array" ref="G598">IFERROR(INDEX(checklistPesertaKemenkeu!$J$6:$J$1005,SMALL(IF(checklistPesertaKemenkeu!$AY$6:$AY$1005="Direkomendasikan",ROW($6:$1005)-5),597)),"")</f>
        <v/>
      </c>
      <c r="H598" t="str">
        <f t="array" aca="1" ref="H598" ca="1">IFERROR(IF(OR(INDEX(checklistPesertaKemenkeu!$L$6:$L$1005,SMALL(IF(checklistPesertaKemenkeu!$AY$6:$AY$1005="Direkomendasikan",ROW($6:$1005)-5),597))="",INDEX(checklistPesertaKemenkeu!$J$6:$J$1005,SMALL(IF(checklistPesertaKemenkeu!$AY$6:$AY$1005="Direkomendasikan",ROW($6:$1005)-5),597))=""),"",IF(AND(COUNTIF(INDIRECT("K_"&amp;MATCH(INDEX(checklistPesertaKemenkeu!$J$6:$J$1005,SMALL(IF(checklistPesertaKemenkeu!$AY$6:$AY$1005="Direkomendasikan",ROW($6:$1005)-5),597)),BidangList,0)),INDEX(checklistPesertaKemenkeu!$L$6:$L$1005,SMALL(IF(checklistPesertaKemenkeu!$AY$6:$AY$1005="Direkomendasikan",ROW($6:$1005)-5),597)))&gt;0,COUNTIF(INDIRECT("'KERTAS KERJA'!K"&amp;(SMALL(IF(checklistPesertaKemenkeu!$AY$6:$AY$1005="Direkomendasikan",ROW($6:$1005)-5),597)+5)&amp;":O"&amp;(SMALL(IF(checklistPesertaKemenkeu!$AY$6:$AY$1005="Direkomendasikan",ROW($6:$1005)-5),597)+5)),INDEX(checklistPesertaKemenkeu!$L$6:$L$1005,SMALL(IF(checklistPesertaKemenkeu!$AY$6:$AY$1005="Direkomendasikan",ROW($6:$1005)-5),597)))=1),IFERROR(VLOOKUP(INDEX(checklistPesertaKemenkeu!$L$6:$L$1005,SMALL(IF(checklistPesertaKemenkeu!$AY$6:$AY$1005="Direkomendasikan",ROW($6:$1005)-5),597)),KotaKode,2,0),"-"),"")),"")</f>
        <v/>
      </c>
      <c r="I598" t="str">
        <f t="array" aca="1" ref="I598" ca="1">IFERROR(IF(OR(INDEX(checklistPesertaKemenkeu!$M$6:$M$1005,SMALL(IF(checklistPesertaKemenkeu!$AY$6:$AY$1005="Direkomendasikan",ROW($6:$1005)-5),597))="",INDEX(checklistPesertaKemenkeu!$J$6:$J$1005,SMALL(IF(checklistPesertaKemenkeu!$AY$6:$AY$1005="Direkomendasikan",ROW($6:$1005)-5),597))=""),"",IF(AND(COUNTIF(INDIRECT("K_"&amp;MATCH(INDEX(checklistPesertaKemenkeu!$J$6:$J$1005,SMALL(IF(checklistPesertaKemenkeu!$AY$6:$AY$1005="Direkomendasikan",ROW($6:$1005)-5),597)),BidangList,0)),INDEX(checklistPesertaKemenkeu!$M$6:$M$1005,SMALL(IF(checklistPesertaKemenkeu!$AY$6:$AY$1005="Direkomendasikan",ROW($6:$1005)-5),597)))&gt;0,COUNTIF(INDIRECT("'KERTAS KERJA'!K"&amp;(SMALL(IF(checklistPesertaKemenkeu!$AY$6:$AY$1005="Direkomendasikan",ROW($6:$1005)-5),597)+5)&amp;":O"&amp;(SMALL(IF(checklistPesertaKemenkeu!$AY$6:$AY$1005="Direkomendasikan",ROW($6:$1005)-5),597)+5)),INDEX(checklistPesertaKemenkeu!$M$6:$M$1005,SMALL(IF(checklistPesertaKemenkeu!$AY$6:$AY$1005="Direkomendasikan",ROW($6:$1005)-5),597)))=1),IFERROR(VLOOKUP(INDEX(checklistPesertaKemenkeu!$M$6:$M$1005,SMALL(IF(checklistPesertaKemenkeu!$AY$6:$AY$1005="Direkomendasikan",ROW($6:$1005)-5),597)),KotaKode,2,0),"-"),"")),"")</f>
        <v/>
      </c>
      <c r="J598" t="str">
        <f t="array" aca="1" ref="J598" ca="1">IFERROR(IF(OR(INDEX(checklistPesertaKemenkeu!$N$6:$N$1005,SMALL(IF(checklistPesertaKemenkeu!$AY$6:$AY$1005="Direkomendasikan",ROW($6:$1005)-5),597))="",INDEX(checklistPesertaKemenkeu!$J$6:$J$1005,SMALL(IF(checklistPesertaKemenkeu!$AY$6:$AY$1005="Direkomendasikan",ROW($6:$1005)-5),597))=""),"",IF(AND(COUNTIF(INDIRECT("K_"&amp;MATCH(INDEX(checklistPesertaKemenkeu!$J$6:$J$1005,SMALL(IF(checklistPesertaKemenkeu!$AY$6:$AY$1005="Direkomendasikan",ROW($6:$1005)-5),597)),BidangList,0)),INDEX(checklistPesertaKemenkeu!$N$6:$N$1005,SMALL(IF(checklistPesertaKemenkeu!$AY$6:$AY$1005="Direkomendasikan",ROW($6:$1005)-5),597)))&gt;0,COUNTIF(INDIRECT("'KERTAS KERJA'!K"&amp;(SMALL(IF(checklistPesertaKemenkeu!$AY$6:$AY$1005="Direkomendasikan",ROW($6:$1005)-5),597)+5)&amp;":O"&amp;(SMALL(IF(checklistPesertaKemenkeu!$AY$6:$AY$1005="Direkomendasikan",ROW($6:$1005)-5),597)+5)),INDEX(checklistPesertaKemenkeu!$N$6:$N$1005,SMALL(IF(checklistPesertaKemenkeu!$AY$6:$AY$1005="Direkomendasikan",ROW($6:$1005)-5),597)))=1),IFERROR(VLOOKUP(INDEX(checklistPesertaKemenkeu!$N$6:$N$1005,SMALL(IF(checklistPesertaKemenkeu!$AY$6:$AY$1005="Direkomendasikan",ROW($6:$1005)-5),597)),KotaKode,2,0),"-"),"")),"")</f>
        <v/>
      </c>
      <c r="K598" t="str">
        <f t="array" aca="1" ref="K598" ca="1">IFERROR(IF(OR(INDEX(checklistPesertaKemenkeu!$O$6:$O$1005,SMALL(IF(checklistPesertaKemenkeu!$AY$6:$AY$1005="Direkomendasikan",ROW($6:$1005)-5),597))="",INDEX(checklistPesertaKemenkeu!$J$6:$J$1005,SMALL(IF(checklistPesertaKemenkeu!$AY$6:$AY$1005="Direkomendasikan",ROW($6:$1005)-5),597))=""),"",IF(AND(COUNTIF(INDIRECT("K_"&amp;MATCH(INDEX(checklistPesertaKemenkeu!$J$6:$J$1005,SMALL(IF(checklistPesertaKemenkeu!$AY$6:$AY$1005="Direkomendasikan",ROW($6:$1005)-5),597)),BidangList,0)),INDEX(checklistPesertaKemenkeu!$O$6:$O$1005,SMALL(IF(checklistPesertaKemenkeu!$AY$6:$AY$1005="Direkomendasikan",ROW($6:$1005)-5),597)))&gt;0,COUNTIF(INDIRECT("'KERTAS KERJA'!K"&amp;(SMALL(IF(checklistPesertaKemenkeu!$AY$6:$AY$1005="Direkomendasikan",ROW($6:$1005)-5),597)+5)&amp;":O"&amp;(SMALL(IF(checklistPesertaKemenkeu!$AY$6:$AY$1005="Direkomendasikan",ROW($6:$1005)-5),597)+5)),INDEX(checklistPesertaKemenkeu!$O$6:$O$1005,SMALL(IF(checklistPesertaKemenkeu!$AY$6:$AY$1005="Direkomendasikan",ROW($6:$1005)-5),597)))=1),IFERROR(VLOOKUP(INDEX(checklistPesertaKemenkeu!$O$6:$O$1005,SMALL(IF(checklistPesertaKemenkeu!$AY$6:$AY$1005="Direkomendasikan",ROW($6:$1005)-5),597)),KotaKode,2,0),"-"),"")),"")</f>
        <v/>
      </c>
      <c r="L598" t="str">
        <f t="array" aca="1" ref="L598" ca="1">IFERROR(IF(OR(INDEX(checklistPesertaKemenkeu!$P$6:$P$1005,SMALL(IF(checklistPesertaKemenkeu!$AY$6:$AY$1005="Direkomendasikan",ROW($6:$1005)-5),597))="",INDEX(checklistPesertaKemenkeu!$J$6:$J$1005,SMALL(IF(checklistPesertaKemenkeu!$AY$6:$AY$1005="Direkomendasikan",ROW($6:$1005)-5),597))=""),"",IF(AND(COUNTIF(INDIRECT("K_"&amp;MATCH(INDEX(checklistPesertaKemenkeu!$J$6:$J$1005,SMALL(IF(checklistPesertaKemenkeu!$AY$6:$AY$1005="Direkomendasikan",ROW($6:$1005)-5),597)),BidangList,0)),INDEX(checklistPesertaKemenkeu!$P$6:$P$1005,SMALL(IF(checklistPesertaKemenkeu!$AY$6:$AY$1005="Direkomendasikan",ROW($6:$1005)-5),597)))&gt;0,COUNTIF(INDIRECT("'KERTAS KERJA'!K"&amp;(SMALL(IF(checklistPesertaKemenkeu!$AY$6:$AY$1005="Direkomendasikan",ROW($6:$1005)-5),597)+5)&amp;":O"&amp;(SMALL(IF(checklistPesertaKemenkeu!$AY$6:$AY$1005="Direkomendasikan",ROW($6:$1005)-5),597)+5)),INDEX(checklistPesertaKemenkeu!$P$6:$P$1005,SMALL(IF(checklistPesertaKemenkeu!$AY$6:$AY$1005="Direkomendasikan",ROW($6:$1005)-5),597)))=1),IFERROR(VLOOKUP(INDEX(checklistPesertaKemenkeu!$P$6:$P$1005,SMALL(IF(checklistPesertaKemenkeu!$AY$6:$AY$1005="Direkomendasikan",ROW($6:$1005)-5),597)),KotaKode,2,0),"-"),"")),"")</f>
        <v/>
      </c>
    </row>
    <row r="599" spans="1:12" ht="15" customHeight="1" x14ac:dyDescent="0.2">
      <c r="A599" t="str">
        <f t="shared" si="9"/>
        <v/>
      </c>
      <c r="B599" t="str">
        <v/>
      </c>
      <c r="C599" s="40" t="str">
        <f t="array" ref="C599">IFERROR(INDEX(checklistPesertaKemenkeu!$F$6:$F$1005,SMALL(IF(checklistPesertaKemenkeu!$AY$6:$AY$1005="Direkomendasikan",ROW($6:$1005)-5),598)),"")</f>
        <v/>
      </c>
      <c r="D599" t="str">
        <f t="array" ref="D599">IFERROR(INDEX(checklistPesertaKemenkeu!$G$6:$G$1005,SMALL(IF(checklistPesertaKemenkeu!$AY$6:$AY$1005="Direkomendasikan",ROW($6:$1005)-5),598)),"")</f>
        <v/>
      </c>
      <c r="E599" t="str">
        <f t="array" ref="E599">IFERROR(INDEX(checklistPesertaKemenkeu!$H$6:$H$1005,SMALL(IF(checklistPesertaKemenkeu!$AY$6:$AY$1005="Direkomendasikan",ROW($6:$1005)-5),598)),"")</f>
        <v/>
      </c>
      <c r="F599" t="str">
        <f t="array" ref="F599">IFERROR(INDEX(checklistPesertaKemenkeu!$I$6:$I$1005,SMALL(IF(checklistPesertaKemenkeu!$AY$6:$AY$1005="Direkomendasikan",ROW($6:$1005)-5),598)),"")</f>
        <v/>
      </c>
      <c r="G599" t="str">
        <f t="array" ref="G599">IFERROR(INDEX(checklistPesertaKemenkeu!$J$6:$J$1005,SMALL(IF(checklistPesertaKemenkeu!$AY$6:$AY$1005="Direkomendasikan",ROW($6:$1005)-5),598)),"")</f>
        <v/>
      </c>
      <c r="H599" t="str">
        <f t="array" aca="1" ref="H599" ca="1">IFERROR(IF(OR(INDEX(checklistPesertaKemenkeu!$L$6:$L$1005,SMALL(IF(checklistPesertaKemenkeu!$AY$6:$AY$1005="Direkomendasikan",ROW($6:$1005)-5),598))="",INDEX(checklistPesertaKemenkeu!$J$6:$J$1005,SMALL(IF(checklistPesertaKemenkeu!$AY$6:$AY$1005="Direkomendasikan",ROW($6:$1005)-5),598))=""),"",IF(AND(COUNTIF(INDIRECT("K_"&amp;MATCH(INDEX(checklistPesertaKemenkeu!$J$6:$J$1005,SMALL(IF(checklistPesertaKemenkeu!$AY$6:$AY$1005="Direkomendasikan",ROW($6:$1005)-5),598)),BidangList,0)),INDEX(checklistPesertaKemenkeu!$L$6:$L$1005,SMALL(IF(checklistPesertaKemenkeu!$AY$6:$AY$1005="Direkomendasikan",ROW($6:$1005)-5),598)))&gt;0,COUNTIF(INDIRECT("'KERTAS KERJA'!K"&amp;(SMALL(IF(checklistPesertaKemenkeu!$AY$6:$AY$1005="Direkomendasikan",ROW($6:$1005)-5),598)+5)&amp;":O"&amp;(SMALL(IF(checklistPesertaKemenkeu!$AY$6:$AY$1005="Direkomendasikan",ROW($6:$1005)-5),598)+5)),INDEX(checklistPesertaKemenkeu!$L$6:$L$1005,SMALL(IF(checklistPesertaKemenkeu!$AY$6:$AY$1005="Direkomendasikan",ROW($6:$1005)-5),598)))=1),IFERROR(VLOOKUP(INDEX(checklistPesertaKemenkeu!$L$6:$L$1005,SMALL(IF(checklistPesertaKemenkeu!$AY$6:$AY$1005="Direkomendasikan",ROW($6:$1005)-5),598)),KotaKode,2,0),"-"),"")),"")</f>
        <v/>
      </c>
      <c r="I599" t="str">
        <f t="array" aca="1" ref="I599" ca="1">IFERROR(IF(OR(INDEX(checklistPesertaKemenkeu!$M$6:$M$1005,SMALL(IF(checklistPesertaKemenkeu!$AY$6:$AY$1005="Direkomendasikan",ROW($6:$1005)-5),598))="",INDEX(checklistPesertaKemenkeu!$J$6:$J$1005,SMALL(IF(checklistPesertaKemenkeu!$AY$6:$AY$1005="Direkomendasikan",ROW($6:$1005)-5),598))=""),"",IF(AND(COUNTIF(INDIRECT("K_"&amp;MATCH(INDEX(checklistPesertaKemenkeu!$J$6:$J$1005,SMALL(IF(checklistPesertaKemenkeu!$AY$6:$AY$1005="Direkomendasikan",ROW($6:$1005)-5),598)),BidangList,0)),INDEX(checklistPesertaKemenkeu!$M$6:$M$1005,SMALL(IF(checklistPesertaKemenkeu!$AY$6:$AY$1005="Direkomendasikan",ROW($6:$1005)-5),598)))&gt;0,COUNTIF(INDIRECT("'KERTAS KERJA'!K"&amp;(SMALL(IF(checklistPesertaKemenkeu!$AY$6:$AY$1005="Direkomendasikan",ROW($6:$1005)-5),598)+5)&amp;":O"&amp;(SMALL(IF(checklistPesertaKemenkeu!$AY$6:$AY$1005="Direkomendasikan",ROW($6:$1005)-5),598)+5)),INDEX(checklistPesertaKemenkeu!$M$6:$M$1005,SMALL(IF(checklistPesertaKemenkeu!$AY$6:$AY$1005="Direkomendasikan",ROW($6:$1005)-5),598)))=1),IFERROR(VLOOKUP(INDEX(checklistPesertaKemenkeu!$M$6:$M$1005,SMALL(IF(checklistPesertaKemenkeu!$AY$6:$AY$1005="Direkomendasikan",ROW($6:$1005)-5),598)),KotaKode,2,0),"-"),"")),"")</f>
        <v/>
      </c>
      <c r="J599" t="str">
        <f t="array" aca="1" ref="J599" ca="1">IFERROR(IF(OR(INDEX(checklistPesertaKemenkeu!$N$6:$N$1005,SMALL(IF(checklistPesertaKemenkeu!$AY$6:$AY$1005="Direkomendasikan",ROW($6:$1005)-5),598))="",INDEX(checklistPesertaKemenkeu!$J$6:$J$1005,SMALL(IF(checklistPesertaKemenkeu!$AY$6:$AY$1005="Direkomendasikan",ROW($6:$1005)-5),598))=""),"",IF(AND(COUNTIF(INDIRECT("K_"&amp;MATCH(INDEX(checklistPesertaKemenkeu!$J$6:$J$1005,SMALL(IF(checklistPesertaKemenkeu!$AY$6:$AY$1005="Direkomendasikan",ROW($6:$1005)-5),598)),BidangList,0)),INDEX(checklistPesertaKemenkeu!$N$6:$N$1005,SMALL(IF(checklistPesertaKemenkeu!$AY$6:$AY$1005="Direkomendasikan",ROW($6:$1005)-5),598)))&gt;0,COUNTIF(INDIRECT("'KERTAS KERJA'!K"&amp;(SMALL(IF(checklistPesertaKemenkeu!$AY$6:$AY$1005="Direkomendasikan",ROW($6:$1005)-5),598)+5)&amp;":O"&amp;(SMALL(IF(checklistPesertaKemenkeu!$AY$6:$AY$1005="Direkomendasikan",ROW($6:$1005)-5),598)+5)),INDEX(checklistPesertaKemenkeu!$N$6:$N$1005,SMALL(IF(checklistPesertaKemenkeu!$AY$6:$AY$1005="Direkomendasikan",ROW($6:$1005)-5),598)))=1),IFERROR(VLOOKUP(INDEX(checklistPesertaKemenkeu!$N$6:$N$1005,SMALL(IF(checklistPesertaKemenkeu!$AY$6:$AY$1005="Direkomendasikan",ROW($6:$1005)-5),598)),KotaKode,2,0),"-"),"")),"")</f>
        <v/>
      </c>
      <c r="K599" t="str">
        <f t="array" aca="1" ref="K599" ca="1">IFERROR(IF(OR(INDEX(checklistPesertaKemenkeu!$O$6:$O$1005,SMALL(IF(checklistPesertaKemenkeu!$AY$6:$AY$1005="Direkomendasikan",ROW($6:$1005)-5),598))="",INDEX(checklistPesertaKemenkeu!$J$6:$J$1005,SMALL(IF(checklistPesertaKemenkeu!$AY$6:$AY$1005="Direkomendasikan",ROW($6:$1005)-5),598))=""),"",IF(AND(COUNTIF(INDIRECT("K_"&amp;MATCH(INDEX(checklistPesertaKemenkeu!$J$6:$J$1005,SMALL(IF(checklistPesertaKemenkeu!$AY$6:$AY$1005="Direkomendasikan",ROW($6:$1005)-5),598)),BidangList,0)),INDEX(checklistPesertaKemenkeu!$O$6:$O$1005,SMALL(IF(checklistPesertaKemenkeu!$AY$6:$AY$1005="Direkomendasikan",ROW($6:$1005)-5),598)))&gt;0,COUNTIF(INDIRECT("'KERTAS KERJA'!K"&amp;(SMALL(IF(checklistPesertaKemenkeu!$AY$6:$AY$1005="Direkomendasikan",ROW($6:$1005)-5),598)+5)&amp;":O"&amp;(SMALL(IF(checklistPesertaKemenkeu!$AY$6:$AY$1005="Direkomendasikan",ROW($6:$1005)-5),598)+5)),INDEX(checklistPesertaKemenkeu!$O$6:$O$1005,SMALL(IF(checklistPesertaKemenkeu!$AY$6:$AY$1005="Direkomendasikan",ROW($6:$1005)-5),598)))=1),IFERROR(VLOOKUP(INDEX(checklistPesertaKemenkeu!$O$6:$O$1005,SMALL(IF(checklistPesertaKemenkeu!$AY$6:$AY$1005="Direkomendasikan",ROW($6:$1005)-5),598)),KotaKode,2,0),"-"),"")),"")</f>
        <v/>
      </c>
      <c r="L599" t="str">
        <f t="array" aca="1" ref="L599" ca="1">IFERROR(IF(OR(INDEX(checklistPesertaKemenkeu!$P$6:$P$1005,SMALL(IF(checklistPesertaKemenkeu!$AY$6:$AY$1005="Direkomendasikan",ROW($6:$1005)-5),598))="",INDEX(checklistPesertaKemenkeu!$J$6:$J$1005,SMALL(IF(checklistPesertaKemenkeu!$AY$6:$AY$1005="Direkomendasikan",ROW($6:$1005)-5),598))=""),"",IF(AND(COUNTIF(INDIRECT("K_"&amp;MATCH(INDEX(checklistPesertaKemenkeu!$J$6:$J$1005,SMALL(IF(checklistPesertaKemenkeu!$AY$6:$AY$1005="Direkomendasikan",ROW($6:$1005)-5),598)),BidangList,0)),INDEX(checklistPesertaKemenkeu!$P$6:$P$1005,SMALL(IF(checklistPesertaKemenkeu!$AY$6:$AY$1005="Direkomendasikan",ROW($6:$1005)-5),598)))&gt;0,COUNTIF(INDIRECT("'KERTAS KERJA'!K"&amp;(SMALL(IF(checklistPesertaKemenkeu!$AY$6:$AY$1005="Direkomendasikan",ROW($6:$1005)-5),598)+5)&amp;":O"&amp;(SMALL(IF(checklistPesertaKemenkeu!$AY$6:$AY$1005="Direkomendasikan",ROW($6:$1005)-5),598)+5)),INDEX(checklistPesertaKemenkeu!$P$6:$P$1005,SMALL(IF(checklistPesertaKemenkeu!$AY$6:$AY$1005="Direkomendasikan",ROW($6:$1005)-5),598)))=1),IFERROR(VLOOKUP(INDEX(checklistPesertaKemenkeu!$P$6:$P$1005,SMALL(IF(checklistPesertaKemenkeu!$AY$6:$AY$1005="Direkomendasikan",ROW($6:$1005)-5),598)),KotaKode,2,0),"-"),"")),"")</f>
        <v/>
      </c>
    </row>
    <row r="600" spans="1:12" ht="15" customHeight="1" x14ac:dyDescent="0.2">
      <c r="A600" t="str">
        <f t="shared" si="9"/>
        <v/>
      </c>
      <c r="B600" t="str">
        <v/>
      </c>
      <c r="C600" s="40" t="str">
        <f t="array" ref="C600">IFERROR(INDEX(checklistPesertaKemenkeu!$F$6:$F$1005,SMALL(IF(checklistPesertaKemenkeu!$AY$6:$AY$1005="Direkomendasikan",ROW($6:$1005)-5),599)),"")</f>
        <v/>
      </c>
      <c r="D600" t="str">
        <f t="array" ref="D600">IFERROR(INDEX(checklistPesertaKemenkeu!$G$6:$G$1005,SMALL(IF(checklistPesertaKemenkeu!$AY$6:$AY$1005="Direkomendasikan",ROW($6:$1005)-5),599)),"")</f>
        <v/>
      </c>
      <c r="E600" t="str">
        <f t="array" ref="E600">IFERROR(INDEX(checklistPesertaKemenkeu!$H$6:$H$1005,SMALL(IF(checklistPesertaKemenkeu!$AY$6:$AY$1005="Direkomendasikan",ROW($6:$1005)-5),599)),"")</f>
        <v/>
      </c>
      <c r="F600" t="str">
        <f t="array" ref="F600">IFERROR(INDEX(checklistPesertaKemenkeu!$I$6:$I$1005,SMALL(IF(checklistPesertaKemenkeu!$AY$6:$AY$1005="Direkomendasikan",ROW($6:$1005)-5),599)),"")</f>
        <v/>
      </c>
      <c r="G600" t="str">
        <f t="array" ref="G600">IFERROR(INDEX(checklistPesertaKemenkeu!$J$6:$J$1005,SMALL(IF(checklistPesertaKemenkeu!$AY$6:$AY$1005="Direkomendasikan",ROW($6:$1005)-5),599)),"")</f>
        <v/>
      </c>
      <c r="H600" t="str">
        <f t="array" aca="1" ref="H600" ca="1">IFERROR(IF(OR(INDEX(checklistPesertaKemenkeu!$L$6:$L$1005,SMALL(IF(checklistPesertaKemenkeu!$AY$6:$AY$1005="Direkomendasikan",ROW($6:$1005)-5),599))="",INDEX(checklistPesertaKemenkeu!$J$6:$J$1005,SMALL(IF(checklistPesertaKemenkeu!$AY$6:$AY$1005="Direkomendasikan",ROW($6:$1005)-5),599))=""),"",IF(AND(COUNTIF(INDIRECT("K_"&amp;MATCH(INDEX(checklistPesertaKemenkeu!$J$6:$J$1005,SMALL(IF(checklistPesertaKemenkeu!$AY$6:$AY$1005="Direkomendasikan",ROW($6:$1005)-5),599)),BidangList,0)),INDEX(checklistPesertaKemenkeu!$L$6:$L$1005,SMALL(IF(checklistPesertaKemenkeu!$AY$6:$AY$1005="Direkomendasikan",ROW($6:$1005)-5),599)))&gt;0,COUNTIF(INDIRECT("'KERTAS KERJA'!K"&amp;(SMALL(IF(checklistPesertaKemenkeu!$AY$6:$AY$1005="Direkomendasikan",ROW($6:$1005)-5),599)+5)&amp;":O"&amp;(SMALL(IF(checklistPesertaKemenkeu!$AY$6:$AY$1005="Direkomendasikan",ROW($6:$1005)-5),599)+5)),INDEX(checklistPesertaKemenkeu!$L$6:$L$1005,SMALL(IF(checklistPesertaKemenkeu!$AY$6:$AY$1005="Direkomendasikan",ROW($6:$1005)-5),599)))=1),IFERROR(VLOOKUP(INDEX(checklistPesertaKemenkeu!$L$6:$L$1005,SMALL(IF(checklistPesertaKemenkeu!$AY$6:$AY$1005="Direkomendasikan",ROW($6:$1005)-5),599)),KotaKode,2,0),"-"),"")),"")</f>
        <v/>
      </c>
      <c r="I600" t="str">
        <f t="array" aca="1" ref="I600" ca="1">IFERROR(IF(OR(INDEX(checklistPesertaKemenkeu!$M$6:$M$1005,SMALL(IF(checklistPesertaKemenkeu!$AY$6:$AY$1005="Direkomendasikan",ROW($6:$1005)-5),599))="",INDEX(checklistPesertaKemenkeu!$J$6:$J$1005,SMALL(IF(checklistPesertaKemenkeu!$AY$6:$AY$1005="Direkomendasikan",ROW($6:$1005)-5),599))=""),"",IF(AND(COUNTIF(INDIRECT("K_"&amp;MATCH(INDEX(checklistPesertaKemenkeu!$J$6:$J$1005,SMALL(IF(checklistPesertaKemenkeu!$AY$6:$AY$1005="Direkomendasikan",ROW($6:$1005)-5),599)),BidangList,0)),INDEX(checklistPesertaKemenkeu!$M$6:$M$1005,SMALL(IF(checklistPesertaKemenkeu!$AY$6:$AY$1005="Direkomendasikan",ROW($6:$1005)-5),599)))&gt;0,COUNTIF(INDIRECT("'KERTAS KERJA'!K"&amp;(SMALL(IF(checklistPesertaKemenkeu!$AY$6:$AY$1005="Direkomendasikan",ROW($6:$1005)-5),599)+5)&amp;":O"&amp;(SMALL(IF(checklistPesertaKemenkeu!$AY$6:$AY$1005="Direkomendasikan",ROW($6:$1005)-5),599)+5)),INDEX(checklistPesertaKemenkeu!$M$6:$M$1005,SMALL(IF(checklistPesertaKemenkeu!$AY$6:$AY$1005="Direkomendasikan",ROW($6:$1005)-5),599)))=1),IFERROR(VLOOKUP(INDEX(checklistPesertaKemenkeu!$M$6:$M$1005,SMALL(IF(checklistPesertaKemenkeu!$AY$6:$AY$1005="Direkomendasikan",ROW($6:$1005)-5),599)),KotaKode,2,0),"-"),"")),"")</f>
        <v/>
      </c>
      <c r="J600" t="str">
        <f t="array" aca="1" ref="J600" ca="1">IFERROR(IF(OR(INDEX(checklistPesertaKemenkeu!$N$6:$N$1005,SMALL(IF(checklistPesertaKemenkeu!$AY$6:$AY$1005="Direkomendasikan",ROW($6:$1005)-5),599))="",INDEX(checklistPesertaKemenkeu!$J$6:$J$1005,SMALL(IF(checklistPesertaKemenkeu!$AY$6:$AY$1005="Direkomendasikan",ROW($6:$1005)-5),599))=""),"",IF(AND(COUNTIF(INDIRECT("K_"&amp;MATCH(INDEX(checklistPesertaKemenkeu!$J$6:$J$1005,SMALL(IF(checklistPesertaKemenkeu!$AY$6:$AY$1005="Direkomendasikan",ROW($6:$1005)-5),599)),BidangList,0)),INDEX(checklistPesertaKemenkeu!$N$6:$N$1005,SMALL(IF(checklistPesertaKemenkeu!$AY$6:$AY$1005="Direkomendasikan",ROW($6:$1005)-5),599)))&gt;0,COUNTIF(INDIRECT("'KERTAS KERJA'!K"&amp;(SMALL(IF(checklistPesertaKemenkeu!$AY$6:$AY$1005="Direkomendasikan",ROW($6:$1005)-5),599)+5)&amp;":O"&amp;(SMALL(IF(checklistPesertaKemenkeu!$AY$6:$AY$1005="Direkomendasikan",ROW($6:$1005)-5),599)+5)),INDEX(checklistPesertaKemenkeu!$N$6:$N$1005,SMALL(IF(checklistPesertaKemenkeu!$AY$6:$AY$1005="Direkomendasikan",ROW($6:$1005)-5),599)))=1),IFERROR(VLOOKUP(INDEX(checklistPesertaKemenkeu!$N$6:$N$1005,SMALL(IF(checklistPesertaKemenkeu!$AY$6:$AY$1005="Direkomendasikan",ROW($6:$1005)-5),599)),KotaKode,2,0),"-"),"")),"")</f>
        <v/>
      </c>
      <c r="K600" t="str">
        <f t="array" aca="1" ref="K600" ca="1">IFERROR(IF(OR(INDEX(checklistPesertaKemenkeu!$O$6:$O$1005,SMALL(IF(checklistPesertaKemenkeu!$AY$6:$AY$1005="Direkomendasikan",ROW($6:$1005)-5),599))="",INDEX(checklistPesertaKemenkeu!$J$6:$J$1005,SMALL(IF(checklistPesertaKemenkeu!$AY$6:$AY$1005="Direkomendasikan",ROW($6:$1005)-5),599))=""),"",IF(AND(COUNTIF(INDIRECT("K_"&amp;MATCH(INDEX(checklistPesertaKemenkeu!$J$6:$J$1005,SMALL(IF(checklistPesertaKemenkeu!$AY$6:$AY$1005="Direkomendasikan",ROW($6:$1005)-5),599)),BidangList,0)),INDEX(checklistPesertaKemenkeu!$O$6:$O$1005,SMALL(IF(checklistPesertaKemenkeu!$AY$6:$AY$1005="Direkomendasikan",ROW($6:$1005)-5),599)))&gt;0,COUNTIF(INDIRECT("'KERTAS KERJA'!K"&amp;(SMALL(IF(checklistPesertaKemenkeu!$AY$6:$AY$1005="Direkomendasikan",ROW($6:$1005)-5),599)+5)&amp;":O"&amp;(SMALL(IF(checklistPesertaKemenkeu!$AY$6:$AY$1005="Direkomendasikan",ROW($6:$1005)-5),599)+5)),INDEX(checklistPesertaKemenkeu!$O$6:$O$1005,SMALL(IF(checklistPesertaKemenkeu!$AY$6:$AY$1005="Direkomendasikan",ROW($6:$1005)-5),599)))=1),IFERROR(VLOOKUP(INDEX(checklistPesertaKemenkeu!$O$6:$O$1005,SMALL(IF(checklistPesertaKemenkeu!$AY$6:$AY$1005="Direkomendasikan",ROW($6:$1005)-5),599)),KotaKode,2,0),"-"),"")),"")</f>
        <v/>
      </c>
      <c r="L600" t="str">
        <f t="array" aca="1" ref="L600" ca="1">IFERROR(IF(OR(INDEX(checklistPesertaKemenkeu!$P$6:$P$1005,SMALL(IF(checklistPesertaKemenkeu!$AY$6:$AY$1005="Direkomendasikan",ROW($6:$1005)-5),599))="",INDEX(checklistPesertaKemenkeu!$J$6:$J$1005,SMALL(IF(checklistPesertaKemenkeu!$AY$6:$AY$1005="Direkomendasikan",ROW($6:$1005)-5),599))=""),"",IF(AND(COUNTIF(INDIRECT("K_"&amp;MATCH(INDEX(checklistPesertaKemenkeu!$J$6:$J$1005,SMALL(IF(checklistPesertaKemenkeu!$AY$6:$AY$1005="Direkomendasikan",ROW($6:$1005)-5),599)),BidangList,0)),INDEX(checklistPesertaKemenkeu!$P$6:$P$1005,SMALL(IF(checklistPesertaKemenkeu!$AY$6:$AY$1005="Direkomendasikan",ROW($6:$1005)-5),599)))&gt;0,COUNTIF(INDIRECT("'KERTAS KERJA'!K"&amp;(SMALL(IF(checklistPesertaKemenkeu!$AY$6:$AY$1005="Direkomendasikan",ROW($6:$1005)-5),599)+5)&amp;":O"&amp;(SMALL(IF(checklistPesertaKemenkeu!$AY$6:$AY$1005="Direkomendasikan",ROW($6:$1005)-5),599)+5)),INDEX(checklistPesertaKemenkeu!$P$6:$P$1005,SMALL(IF(checklistPesertaKemenkeu!$AY$6:$AY$1005="Direkomendasikan",ROW($6:$1005)-5),599)))=1),IFERROR(VLOOKUP(INDEX(checklistPesertaKemenkeu!$P$6:$P$1005,SMALL(IF(checklistPesertaKemenkeu!$AY$6:$AY$1005="Direkomendasikan",ROW($6:$1005)-5),599)),KotaKode,2,0),"-"),"")),"")</f>
        <v/>
      </c>
    </row>
    <row r="601" spans="1:12" ht="15" customHeight="1" x14ac:dyDescent="0.2">
      <c r="A601" t="str">
        <f t="shared" si="9"/>
        <v/>
      </c>
      <c r="B601" t="str">
        <v/>
      </c>
      <c r="C601" s="40" t="str">
        <f t="array" ref="C601">IFERROR(INDEX(checklistPesertaKemenkeu!$F$6:$F$1005,SMALL(IF(checklistPesertaKemenkeu!$AY$6:$AY$1005="Direkomendasikan",ROW($6:$1005)-5),600)),"")</f>
        <v/>
      </c>
      <c r="D601" t="str">
        <f t="array" ref="D601">IFERROR(INDEX(checklistPesertaKemenkeu!$G$6:$G$1005,SMALL(IF(checklistPesertaKemenkeu!$AY$6:$AY$1005="Direkomendasikan",ROW($6:$1005)-5),600)),"")</f>
        <v/>
      </c>
      <c r="E601" t="str">
        <f t="array" ref="E601">IFERROR(INDEX(checklistPesertaKemenkeu!$H$6:$H$1005,SMALL(IF(checklistPesertaKemenkeu!$AY$6:$AY$1005="Direkomendasikan",ROW($6:$1005)-5),600)),"")</f>
        <v/>
      </c>
      <c r="F601" t="str">
        <f t="array" ref="F601">IFERROR(INDEX(checklistPesertaKemenkeu!$I$6:$I$1005,SMALL(IF(checklistPesertaKemenkeu!$AY$6:$AY$1005="Direkomendasikan",ROW($6:$1005)-5),600)),"")</f>
        <v/>
      </c>
      <c r="G601" t="str">
        <f t="array" ref="G601">IFERROR(INDEX(checklistPesertaKemenkeu!$J$6:$J$1005,SMALL(IF(checklistPesertaKemenkeu!$AY$6:$AY$1005="Direkomendasikan",ROW($6:$1005)-5),600)),"")</f>
        <v/>
      </c>
      <c r="H601" t="str">
        <f t="array" aca="1" ref="H601" ca="1">IFERROR(IF(OR(INDEX(checklistPesertaKemenkeu!$L$6:$L$1005,SMALL(IF(checklistPesertaKemenkeu!$AY$6:$AY$1005="Direkomendasikan",ROW($6:$1005)-5),600))="",INDEX(checklistPesertaKemenkeu!$J$6:$J$1005,SMALL(IF(checklistPesertaKemenkeu!$AY$6:$AY$1005="Direkomendasikan",ROW($6:$1005)-5),600))=""),"",IF(AND(COUNTIF(INDIRECT("K_"&amp;MATCH(INDEX(checklistPesertaKemenkeu!$J$6:$J$1005,SMALL(IF(checklistPesertaKemenkeu!$AY$6:$AY$1005="Direkomendasikan",ROW($6:$1005)-5),600)),BidangList,0)),INDEX(checklistPesertaKemenkeu!$L$6:$L$1005,SMALL(IF(checklistPesertaKemenkeu!$AY$6:$AY$1005="Direkomendasikan",ROW($6:$1005)-5),600)))&gt;0,COUNTIF(INDIRECT("'KERTAS KERJA'!K"&amp;(SMALL(IF(checklistPesertaKemenkeu!$AY$6:$AY$1005="Direkomendasikan",ROW($6:$1005)-5),600)+5)&amp;":O"&amp;(SMALL(IF(checklistPesertaKemenkeu!$AY$6:$AY$1005="Direkomendasikan",ROW($6:$1005)-5),600)+5)),INDEX(checklistPesertaKemenkeu!$L$6:$L$1005,SMALL(IF(checklistPesertaKemenkeu!$AY$6:$AY$1005="Direkomendasikan",ROW($6:$1005)-5),600)))=1),IFERROR(VLOOKUP(INDEX(checklistPesertaKemenkeu!$L$6:$L$1005,SMALL(IF(checklistPesertaKemenkeu!$AY$6:$AY$1005="Direkomendasikan",ROW($6:$1005)-5),600)),KotaKode,2,0),"-"),"")),"")</f>
        <v/>
      </c>
      <c r="I601" t="str">
        <f t="array" aca="1" ref="I601" ca="1">IFERROR(IF(OR(INDEX(checklistPesertaKemenkeu!$M$6:$M$1005,SMALL(IF(checklistPesertaKemenkeu!$AY$6:$AY$1005="Direkomendasikan",ROW($6:$1005)-5),600))="",INDEX(checklistPesertaKemenkeu!$J$6:$J$1005,SMALL(IF(checklistPesertaKemenkeu!$AY$6:$AY$1005="Direkomendasikan",ROW($6:$1005)-5),600))=""),"",IF(AND(COUNTIF(INDIRECT("K_"&amp;MATCH(INDEX(checklistPesertaKemenkeu!$J$6:$J$1005,SMALL(IF(checklistPesertaKemenkeu!$AY$6:$AY$1005="Direkomendasikan",ROW($6:$1005)-5),600)),BidangList,0)),INDEX(checklistPesertaKemenkeu!$M$6:$M$1005,SMALL(IF(checklistPesertaKemenkeu!$AY$6:$AY$1005="Direkomendasikan",ROW($6:$1005)-5),600)))&gt;0,COUNTIF(INDIRECT("'KERTAS KERJA'!K"&amp;(SMALL(IF(checklistPesertaKemenkeu!$AY$6:$AY$1005="Direkomendasikan",ROW($6:$1005)-5),600)+5)&amp;":O"&amp;(SMALL(IF(checklistPesertaKemenkeu!$AY$6:$AY$1005="Direkomendasikan",ROW($6:$1005)-5),600)+5)),INDEX(checklistPesertaKemenkeu!$M$6:$M$1005,SMALL(IF(checklistPesertaKemenkeu!$AY$6:$AY$1005="Direkomendasikan",ROW($6:$1005)-5),600)))=1),IFERROR(VLOOKUP(INDEX(checklistPesertaKemenkeu!$M$6:$M$1005,SMALL(IF(checklistPesertaKemenkeu!$AY$6:$AY$1005="Direkomendasikan",ROW($6:$1005)-5),600)),KotaKode,2,0),"-"),"")),"")</f>
        <v/>
      </c>
      <c r="J601" t="str">
        <f t="array" aca="1" ref="J601" ca="1">IFERROR(IF(OR(INDEX(checklistPesertaKemenkeu!$N$6:$N$1005,SMALL(IF(checklistPesertaKemenkeu!$AY$6:$AY$1005="Direkomendasikan",ROW($6:$1005)-5),600))="",INDEX(checklistPesertaKemenkeu!$J$6:$J$1005,SMALL(IF(checklistPesertaKemenkeu!$AY$6:$AY$1005="Direkomendasikan",ROW($6:$1005)-5),600))=""),"",IF(AND(COUNTIF(INDIRECT("K_"&amp;MATCH(INDEX(checklistPesertaKemenkeu!$J$6:$J$1005,SMALL(IF(checklistPesertaKemenkeu!$AY$6:$AY$1005="Direkomendasikan",ROW($6:$1005)-5),600)),BidangList,0)),INDEX(checklistPesertaKemenkeu!$N$6:$N$1005,SMALL(IF(checklistPesertaKemenkeu!$AY$6:$AY$1005="Direkomendasikan",ROW($6:$1005)-5),600)))&gt;0,COUNTIF(INDIRECT("'KERTAS KERJA'!K"&amp;(SMALL(IF(checklistPesertaKemenkeu!$AY$6:$AY$1005="Direkomendasikan",ROW($6:$1005)-5),600)+5)&amp;":O"&amp;(SMALL(IF(checklistPesertaKemenkeu!$AY$6:$AY$1005="Direkomendasikan",ROW($6:$1005)-5),600)+5)),INDEX(checklistPesertaKemenkeu!$N$6:$N$1005,SMALL(IF(checklistPesertaKemenkeu!$AY$6:$AY$1005="Direkomendasikan",ROW($6:$1005)-5),600)))=1),IFERROR(VLOOKUP(INDEX(checklistPesertaKemenkeu!$N$6:$N$1005,SMALL(IF(checklistPesertaKemenkeu!$AY$6:$AY$1005="Direkomendasikan",ROW($6:$1005)-5),600)),KotaKode,2,0),"-"),"")),"")</f>
        <v/>
      </c>
      <c r="K601" t="str">
        <f t="array" aca="1" ref="K601" ca="1">IFERROR(IF(OR(INDEX(checklistPesertaKemenkeu!$O$6:$O$1005,SMALL(IF(checklistPesertaKemenkeu!$AY$6:$AY$1005="Direkomendasikan",ROW($6:$1005)-5),600))="",INDEX(checklistPesertaKemenkeu!$J$6:$J$1005,SMALL(IF(checklistPesertaKemenkeu!$AY$6:$AY$1005="Direkomendasikan",ROW($6:$1005)-5),600))=""),"",IF(AND(COUNTIF(INDIRECT("K_"&amp;MATCH(INDEX(checklistPesertaKemenkeu!$J$6:$J$1005,SMALL(IF(checklistPesertaKemenkeu!$AY$6:$AY$1005="Direkomendasikan",ROW($6:$1005)-5),600)),BidangList,0)),INDEX(checklistPesertaKemenkeu!$O$6:$O$1005,SMALL(IF(checklistPesertaKemenkeu!$AY$6:$AY$1005="Direkomendasikan",ROW($6:$1005)-5),600)))&gt;0,COUNTIF(INDIRECT("'KERTAS KERJA'!K"&amp;(SMALL(IF(checklistPesertaKemenkeu!$AY$6:$AY$1005="Direkomendasikan",ROW($6:$1005)-5),600)+5)&amp;":O"&amp;(SMALL(IF(checklistPesertaKemenkeu!$AY$6:$AY$1005="Direkomendasikan",ROW($6:$1005)-5),600)+5)),INDEX(checklistPesertaKemenkeu!$O$6:$O$1005,SMALL(IF(checklistPesertaKemenkeu!$AY$6:$AY$1005="Direkomendasikan",ROW($6:$1005)-5),600)))=1),IFERROR(VLOOKUP(INDEX(checklistPesertaKemenkeu!$O$6:$O$1005,SMALL(IF(checklistPesertaKemenkeu!$AY$6:$AY$1005="Direkomendasikan",ROW($6:$1005)-5),600)),KotaKode,2,0),"-"),"")),"")</f>
        <v/>
      </c>
      <c r="L601" t="str">
        <f t="array" aca="1" ref="L601" ca="1">IFERROR(IF(OR(INDEX(checklistPesertaKemenkeu!$P$6:$P$1005,SMALL(IF(checklistPesertaKemenkeu!$AY$6:$AY$1005="Direkomendasikan",ROW($6:$1005)-5),600))="",INDEX(checklistPesertaKemenkeu!$J$6:$J$1005,SMALL(IF(checklistPesertaKemenkeu!$AY$6:$AY$1005="Direkomendasikan",ROW($6:$1005)-5),600))=""),"",IF(AND(COUNTIF(INDIRECT("K_"&amp;MATCH(INDEX(checklistPesertaKemenkeu!$J$6:$J$1005,SMALL(IF(checklistPesertaKemenkeu!$AY$6:$AY$1005="Direkomendasikan",ROW($6:$1005)-5),600)),BidangList,0)),INDEX(checklistPesertaKemenkeu!$P$6:$P$1005,SMALL(IF(checklistPesertaKemenkeu!$AY$6:$AY$1005="Direkomendasikan",ROW($6:$1005)-5),600)))&gt;0,COUNTIF(INDIRECT("'KERTAS KERJA'!K"&amp;(SMALL(IF(checklistPesertaKemenkeu!$AY$6:$AY$1005="Direkomendasikan",ROW($6:$1005)-5),600)+5)&amp;":O"&amp;(SMALL(IF(checklistPesertaKemenkeu!$AY$6:$AY$1005="Direkomendasikan",ROW($6:$1005)-5),600)+5)),INDEX(checklistPesertaKemenkeu!$P$6:$P$1005,SMALL(IF(checklistPesertaKemenkeu!$AY$6:$AY$1005="Direkomendasikan",ROW($6:$1005)-5),600)))=1),IFERROR(VLOOKUP(INDEX(checklistPesertaKemenkeu!$P$6:$P$1005,SMALL(IF(checklistPesertaKemenkeu!$AY$6:$AY$1005="Direkomendasikan",ROW($6:$1005)-5),600)),KotaKode,2,0),"-"),"")),"")</f>
        <v/>
      </c>
    </row>
    <row r="602" spans="1:12" ht="15" customHeight="1" x14ac:dyDescent="0.2">
      <c r="A602" t="str">
        <f t="shared" si="9"/>
        <v/>
      </c>
      <c r="B602" t="str">
        <v/>
      </c>
      <c r="C602" s="40" t="str">
        <f t="array" ref="C602">IFERROR(INDEX(checklistPesertaKemenkeu!$F$6:$F$1005,SMALL(IF(checklistPesertaKemenkeu!$AY$6:$AY$1005="Direkomendasikan",ROW($6:$1005)-5),601)),"")</f>
        <v/>
      </c>
      <c r="D602" t="str">
        <f t="array" ref="D602">IFERROR(INDEX(checklistPesertaKemenkeu!$G$6:$G$1005,SMALL(IF(checklistPesertaKemenkeu!$AY$6:$AY$1005="Direkomendasikan",ROW($6:$1005)-5),601)),"")</f>
        <v/>
      </c>
      <c r="E602" t="str">
        <f t="array" ref="E602">IFERROR(INDEX(checklistPesertaKemenkeu!$H$6:$H$1005,SMALL(IF(checklistPesertaKemenkeu!$AY$6:$AY$1005="Direkomendasikan",ROW($6:$1005)-5),601)),"")</f>
        <v/>
      </c>
      <c r="F602" t="str">
        <f t="array" ref="F602">IFERROR(INDEX(checklistPesertaKemenkeu!$I$6:$I$1005,SMALL(IF(checklistPesertaKemenkeu!$AY$6:$AY$1005="Direkomendasikan",ROW($6:$1005)-5),601)),"")</f>
        <v/>
      </c>
      <c r="G602" t="str">
        <f t="array" ref="G602">IFERROR(INDEX(checklistPesertaKemenkeu!$J$6:$J$1005,SMALL(IF(checklistPesertaKemenkeu!$AY$6:$AY$1005="Direkomendasikan",ROW($6:$1005)-5),601)),"")</f>
        <v/>
      </c>
      <c r="H602" t="str">
        <f t="array" aca="1" ref="H602" ca="1">IFERROR(IF(OR(INDEX(checklistPesertaKemenkeu!$L$6:$L$1005,SMALL(IF(checklistPesertaKemenkeu!$AY$6:$AY$1005="Direkomendasikan",ROW($6:$1005)-5),601))="",INDEX(checklistPesertaKemenkeu!$J$6:$J$1005,SMALL(IF(checklistPesertaKemenkeu!$AY$6:$AY$1005="Direkomendasikan",ROW($6:$1005)-5),601))=""),"",IF(AND(COUNTIF(INDIRECT("K_"&amp;MATCH(INDEX(checklistPesertaKemenkeu!$J$6:$J$1005,SMALL(IF(checklistPesertaKemenkeu!$AY$6:$AY$1005="Direkomendasikan",ROW($6:$1005)-5),601)),BidangList,0)),INDEX(checklistPesertaKemenkeu!$L$6:$L$1005,SMALL(IF(checklistPesertaKemenkeu!$AY$6:$AY$1005="Direkomendasikan",ROW($6:$1005)-5),601)))&gt;0,COUNTIF(INDIRECT("'KERTAS KERJA'!K"&amp;(SMALL(IF(checklistPesertaKemenkeu!$AY$6:$AY$1005="Direkomendasikan",ROW($6:$1005)-5),601)+5)&amp;":O"&amp;(SMALL(IF(checklistPesertaKemenkeu!$AY$6:$AY$1005="Direkomendasikan",ROW($6:$1005)-5),601)+5)),INDEX(checklistPesertaKemenkeu!$L$6:$L$1005,SMALL(IF(checklistPesertaKemenkeu!$AY$6:$AY$1005="Direkomendasikan",ROW($6:$1005)-5),601)))=1),IFERROR(VLOOKUP(INDEX(checklistPesertaKemenkeu!$L$6:$L$1005,SMALL(IF(checklistPesertaKemenkeu!$AY$6:$AY$1005="Direkomendasikan",ROW($6:$1005)-5),601)),KotaKode,2,0),"-"),"")),"")</f>
        <v/>
      </c>
      <c r="I602" t="str">
        <f t="array" aca="1" ref="I602" ca="1">IFERROR(IF(OR(INDEX(checklistPesertaKemenkeu!$M$6:$M$1005,SMALL(IF(checklistPesertaKemenkeu!$AY$6:$AY$1005="Direkomendasikan",ROW($6:$1005)-5),601))="",INDEX(checklistPesertaKemenkeu!$J$6:$J$1005,SMALL(IF(checklistPesertaKemenkeu!$AY$6:$AY$1005="Direkomendasikan",ROW($6:$1005)-5),601))=""),"",IF(AND(COUNTIF(INDIRECT("K_"&amp;MATCH(INDEX(checklistPesertaKemenkeu!$J$6:$J$1005,SMALL(IF(checklistPesertaKemenkeu!$AY$6:$AY$1005="Direkomendasikan",ROW($6:$1005)-5),601)),BidangList,0)),INDEX(checklistPesertaKemenkeu!$M$6:$M$1005,SMALL(IF(checklistPesertaKemenkeu!$AY$6:$AY$1005="Direkomendasikan",ROW($6:$1005)-5),601)))&gt;0,COUNTIF(INDIRECT("'KERTAS KERJA'!K"&amp;(SMALL(IF(checklistPesertaKemenkeu!$AY$6:$AY$1005="Direkomendasikan",ROW($6:$1005)-5),601)+5)&amp;":O"&amp;(SMALL(IF(checklistPesertaKemenkeu!$AY$6:$AY$1005="Direkomendasikan",ROW($6:$1005)-5),601)+5)),INDEX(checklistPesertaKemenkeu!$M$6:$M$1005,SMALL(IF(checklistPesertaKemenkeu!$AY$6:$AY$1005="Direkomendasikan",ROW($6:$1005)-5),601)))=1),IFERROR(VLOOKUP(INDEX(checklistPesertaKemenkeu!$M$6:$M$1005,SMALL(IF(checklistPesertaKemenkeu!$AY$6:$AY$1005="Direkomendasikan",ROW($6:$1005)-5),601)),KotaKode,2,0),"-"),"")),"")</f>
        <v/>
      </c>
      <c r="J602" t="str">
        <f t="array" aca="1" ref="J602" ca="1">IFERROR(IF(OR(INDEX(checklistPesertaKemenkeu!$N$6:$N$1005,SMALL(IF(checklistPesertaKemenkeu!$AY$6:$AY$1005="Direkomendasikan",ROW($6:$1005)-5),601))="",INDEX(checklistPesertaKemenkeu!$J$6:$J$1005,SMALL(IF(checklistPesertaKemenkeu!$AY$6:$AY$1005="Direkomendasikan",ROW($6:$1005)-5),601))=""),"",IF(AND(COUNTIF(INDIRECT("K_"&amp;MATCH(INDEX(checklistPesertaKemenkeu!$J$6:$J$1005,SMALL(IF(checklistPesertaKemenkeu!$AY$6:$AY$1005="Direkomendasikan",ROW($6:$1005)-5),601)),BidangList,0)),INDEX(checklistPesertaKemenkeu!$N$6:$N$1005,SMALL(IF(checklistPesertaKemenkeu!$AY$6:$AY$1005="Direkomendasikan",ROW($6:$1005)-5),601)))&gt;0,COUNTIF(INDIRECT("'KERTAS KERJA'!K"&amp;(SMALL(IF(checklistPesertaKemenkeu!$AY$6:$AY$1005="Direkomendasikan",ROW($6:$1005)-5),601)+5)&amp;":O"&amp;(SMALL(IF(checklistPesertaKemenkeu!$AY$6:$AY$1005="Direkomendasikan",ROW($6:$1005)-5),601)+5)),INDEX(checklistPesertaKemenkeu!$N$6:$N$1005,SMALL(IF(checklistPesertaKemenkeu!$AY$6:$AY$1005="Direkomendasikan",ROW($6:$1005)-5),601)))=1),IFERROR(VLOOKUP(INDEX(checklistPesertaKemenkeu!$N$6:$N$1005,SMALL(IF(checklistPesertaKemenkeu!$AY$6:$AY$1005="Direkomendasikan",ROW($6:$1005)-5),601)),KotaKode,2,0),"-"),"")),"")</f>
        <v/>
      </c>
      <c r="K602" t="str">
        <f t="array" aca="1" ref="K602" ca="1">IFERROR(IF(OR(INDEX(checklistPesertaKemenkeu!$O$6:$O$1005,SMALL(IF(checklistPesertaKemenkeu!$AY$6:$AY$1005="Direkomendasikan",ROW($6:$1005)-5),601))="",INDEX(checklistPesertaKemenkeu!$J$6:$J$1005,SMALL(IF(checklistPesertaKemenkeu!$AY$6:$AY$1005="Direkomendasikan",ROW($6:$1005)-5),601))=""),"",IF(AND(COUNTIF(INDIRECT("K_"&amp;MATCH(INDEX(checklistPesertaKemenkeu!$J$6:$J$1005,SMALL(IF(checklistPesertaKemenkeu!$AY$6:$AY$1005="Direkomendasikan",ROW($6:$1005)-5),601)),BidangList,0)),INDEX(checklistPesertaKemenkeu!$O$6:$O$1005,SMALL(IF(checklistPesertaKemenkeu!$AY$6:$AY$1005="Direkomendasikan",ROW($6:$1005)-5),601)))&gt;0,COUNTIF(INDIRECT("'KERTAS KERJA'!K"&amp;(SMALL(IF(checklistPesertaKemenkeu!$AY$6:$AY$1005="Direkomendasikan",ROW($6:$1005)-5),601)+5)&amp;":O"&amp;(SMALL(IF(checklistPesertaKemenkeu!$AY$6:$AY$1005="Direkomendasikan",ROW($6:$1005)-5),601)+5)),INDEX(checklistPesertaKemenkeu!$O$6:$O$1005,SMALL(IF(checklistPesertaKemenkeu!$AY$6:$AY$1005="Direkomendasikan",ROW($6:$1005)-5),601)))=1),IFERROR(VLOOKUP(INDEX(checklistPesertaKemenkeu!$O$6:$O$1005,SMALL(IF(checklistPesertaKemenkeu!$AY$6:$AY$1005="Direkomendasikan",ROW($6:$1005)-5),601)),KotaKode,2,0),"-"),"")),"")</f>
        <v/>
      </c>
      <c r="L602" t="str">
        <f t="array" aca="1" ref="L602" ca="1">IFERROR(IF(OR(INDEX(checklistPesertaKemenkeu!$P$6:$P$1005,SMALL(IF(checklistPesertaKemenkeu!$AY$6:$AY$1005="Direkomendasikan",ROW($6:$1005)-5),601))="",INDEX(checklistPesertaKemenkeu!$J$6:$J$1005,SMALL(IF(checklistPesertaKemenkeu!$AY$6:$AY$1005="Direkomendasikan",ROW($6:$1005)-5),601))=""),"",IF(AND(COUNTIF(INDIRECT("K_"&amp;MATCH(INDEX(checklistPesertaKemenkeu!$J$6:$J$1005,SMALL(IF(checklistPesertaKemenkeu!$AY$6:$AY$1005="Direkomendasikan",ROW($6:$1005)-5),601)),BidangList,0)),INDEX(checklistPesertaKemenkeu!$P$6:$P$1005,SMALL(IF(checklistPesertaKemenkeu!$AY$6:$AY$1005="Direkomendasikan",ROW($6:$1005)-5),601)))&gt;0,COUNTIF(INDIRECT("'KERTAS KERJA'!K"&amp;(SMALL(IF(checklistPesertaKemenkeu!$AY$6:$AY$1005="Direkomendasikan",ROW($6:$1005)-5),601)+5)&amp;":O"&amp;(SMALL(IF(checklistPesertaKemenkeu!$AY$6:$AY$1005="Direkomendasikan",ROW($6:$1005)-5),601)+5)),INDEX(checklistPesertaKemenkeu!$P$6:$P$1005,SMALL(IF(checklistPesertaKemenkeu!$AY$6:$AY$1005="Direkomendasikan",ROW($6:$1005)-5),601)))=1),IFERROR(VLOOKUP(INDEX(checklistPesertaKemenkeu!$P$6:$P$1005,SMALL(IF(checklistPesertaKemenkeu!$AY$6:$AY$1005="Direkomendasikan",ROW($6:$1005)-5),601)),KotaKode,2,0),"-"),"")),"")</f>
        <v/>
      </c>
    </row>
    <row r="603" spans="1:12" ht="15" customHeight="1" x14ac:dyDescent="0.2">
      <c r="A603" t="str">
        <f t="shared" si="9"/>
        <v/>
      </c>
      <c r="B603" t="str">
        <v/>
      </c>
      <c r="C603" s="40" t="str">
        <f t="array" ref="C603">IFERROR(INDEX(checklistPesertaKemenkeu!$F$6:$F$1005,SMALL(IF(checklistPesertaKemenkeu!$AY$6:$AY$1005="Direkomendasikan",ROW($6:$1005)-5),602)),"")</f>
        <v/>
      </c>
      <c r="D603" t="str">
        <f t="array" ref="D603">IFERROR(INDEX(checklistPesertaKemenkeu!$G$6:$G$1005,SMALL(IF(checklistPesertaKemenkeu!$AY$6:$AY$1005="Direkomendasikan",ROW($6:$1005)-5),602)),"")</f>
        <v/>
      </c>
      <c r="E603" t="str">
        <f t="array" ref="E603">IFERROR(INDEX(checklistPesertaKemenkeu!$H$6:$H$1005,SMALL(IF(checklistPesertaKemenkeu!$AY$6:$AY$1005="Direkomendasikan",ROW($6:$1005)-5),602)),"")</f>
        <v/>
      </c>
      <c r="F603" t="str">
        <f t="array" ref="F603">IFERROR(INDEX(checklistPesertaKemenkeu!$I$6:$I$1005,SMALL(IF(checklistPesertaKemenkeu!$AY$6:$AY$1005="Direkomendasikan",ROW($6:$1005)-5),602)),"")</f>
        <v/>
      </c>
      <c r="G603" t="str">
        <f t="array" ref="G603">IFERROR(INDEX(checklistPesertaKemenkeu!$J$6:$J$1005,SMALL(IF(checklistPesertaKemenkeu!$AY$6:$AY$1005="Direkomendasikan",ROW($6:$1005)-5),602)),"")</f>
        <v/>
      </c>
      <c r="H603" t="str">
        <f t="array" aca="1" ref="H603" ca="1">IFERROR(IF(OR(INDEX(checklistPesertaKemenkeu!$L$6:$L$1005,SMALL(IF(checklistPesertaKemenkeu!$AY$6:$AY$1005="Direkomendasikan",ROW($6:$1005)-5),602))="",INDEX(checklistPesertaKemenkeu!$J$6:$J$1005,SMALL(IF(checklistPesertaKemenkeu!$AY$6:$AY$1005="Direkomendasikan",ROW($6:$1005)-5),602))=""),"",IF(AND(COUNTIF(INDIRECT("K_"&amp;MATCH(INDEX(checklistPesertaKemenkeu!$J$6:$J$1005,SMALL(IF(checklistPesertaKemenkeu!$AY$6:$AY$1005="Direkomendasikan",ROW($6:$1005)-5),602)),BidangList,0)),INDEX(checklistPesertaKemenkeu!$L$6:$L$1005,SMALL(IF(checklistPesertaKemenkeu!$AY$6:$AY$1005="Direkomendasikan",ROW($6:$1005)-5),602)))&gt;0,COUNTIF(INDIRECT("'KERTAS KERJA'!K"&amp;(SMALL(IF(checklistPesertaKemenkeu!$AY$6:$AY$1005="Direkomendasikan",ROW($6:$1005)-5),602)+5)&amp;":O"&amp;(SMALL(IF(checklistPesertaKemenkeu!$AY$6:$AY$1005="Direkomendasikan",ROW($6:$1005)-5),602)+5)),INDEX(checklistPesertaKemenkeu!$L$6:$L$1005,SMALL(IF(checklistPesertaKemenkeu!$AY$6:$AY$1005="Direkomendasikan",ROW($6:$1005)-5),602)))=1),IFERROR(VLOOKUP(INDEX(checklistPesertaKemenkeu!$L$6:$L$1005,SMALL(IF(checklistPesertaKemenkeu!$AY$6:$AY$1005="Direkomendasikan",ROW($6:$1005)-5),602)),KotaKode,2,0),"-"),"")),"")</f>
        <v/>
      </c>
      <c r="I603" t="str">
        <f t="array" aca="1" ref="I603" ca="1">IFERROR(IF(OR(INDEX(checklistPesertaKemenkeu!$M$6:$M$1005,SMALL(IF(checklistPesertaKemenkeu!$AY$6:$AY$1005="Direkomendasikan",ROW($6:$1005)-5),602))="",INDEX(checklistPesertaKemenkeu!$J$6:$J$1005,SMALL(IF(checklistPesertaKemenkeu!$AY$6:$AY$1005="Direkomendasikan",ROW($6:$1005)-5),602))=""),"",IF(AND(COUNTIF(INDIRECT("K_"&amp;MATCH(INDEX(checklistPesertaKemenkeu!$J$6:$J$1005,SMALL(IF(checklistPesertaKemenkeu!$AY$6:$AY$1005="Direkomendasikan",ROW($6:$1005)-5),602)),BidangList,0)),INDEX(checklistPesertaKemenkeu!$M$6:$M$1005,SMALL(IF(checklistPesertaKemenkeu!$AY$6:$AY$1005="Direkomendasikan",ROW($6:$1005)-5),602)))&gt;0,COUNTIF(INDIRECT("'KERTAS KERJA'!K"&amp;(SMALL(IF(checklistPesertaKemenkeu!$AY$6:$AY$1005="Direkomendasikan",ROW($6:$1005)-5),602)+5)&amp;":O"&amp;(SMALL(IF(checklistPesertaKemenkeu!$AY$6:$AY$1005="Direkomendasikan",ROW($6:$1005)-5),602)+5)),INDEX(checklistPesertaKemenkeu!$M$6:$M$1005,SMALL(IF(checklistPesertaKemenkeu!$AY$6:$AY$1005="Direkomendasikan",ROW($6:$1005)-5),602)))=1),IFERROR(VLOOKUP(INDEX(checklistPesertaKemenkeu!$M$6:$M$1005,SMALL(IF(checklistPesertaKemenkeu!$AY$6:$AY$1005="Direkomendasikan",ROW($6:$1005)-5),602)),KotaKode,2,0),"-"),"")),"")</f>
        <v/>
      </c>
      <c r="J603" t="str">
        <f t="array" aca="1" ref="J603" ca="1">IFERROR(IF(OR(INDEX(checklistPesertaKemenkeu!$N$6:$N$1005,SMALL(IF(checklistPesertaKemenkeu!$AY$6:$AY$1005="Direkomendasikan",ROW($6:$1005)-5),602))="",INDEX(checklistPesertaKemenkeu!$J$6:$J$1005,SMALL(IF(checklistPesertaKemenkeu!$AY$6:$AY$1005="Direkomendasikan",ROW($6:$1005)-5),602))=""),"",IF(AND(COUNTIF(INDIRECT("K_"&amp;MATCH(INDEX(checklistPesertaKemenkeu!$J$6:$J$1005,SMALL(IF(checklistPesertaKemenkeu!$AY$6:$AY$1005="Direkomendasikan",ROW($6:$1005)-5),602)),BidangList,0)),INDEX(checklistPesertaKemenkeu!$N$6:$N$1005,SMALL(IF(checklistPesertaKemenkeu!$AY$6:$AY$1005="Direkomendasikan",ROW($6:$1005)-5),602)))&gt;0,COUNTIF(INDIRECT("'KERTAS KERJA'!K"&amp;(SMALL(IF(checklistPesertaKemenkeu!$AY$6:$AY$1005="Direkomendasikan",ROW($6:$1005)-5),602)+5)&amp;":O"&amp;(SMALL(IF(checklistPesertaKemenkeu!$AY$6:$AY$1005="Direkomendasikan",ROW($6:$1005)-5),602)+5)),INDEX(checklistPesertaKemenkeu!$N$6:$N$1005,SMALL(IF(checklistPesertaKemenkeu!$AY$6:$AY$1005="Direkomendasikan",ROW($6:$1005)-5),602)))=1),IFERROR(VLOOKUP(INDEX(checklistPesertaKemenkeu!$N$6:$N$1005,SMALL(IF(checklistPesertaKemenkeu!$AY$6:$AY$1005="Direkomendasikan",ROW($6:$1005)-5),602)),KotaKode,2,0),"-"),"")),"")</f>
        <v/>
      </c>
      <c r="K603" t="str">
        <f t="array" aca="1" ref="K603" ca="1">IFERROR(IF(OR(INDEX(checklistPesertaKemenkeu!$O$6:$O$1005,SMALL(IF(checklistPesertaKemenkeu!$AY$6:$AY$1005="Direkomendasikan",ROW($6:$1005)-5),602))="",INDEX(checklistPesertaKemenkeu!$J$6:$J$1005,SMALL(IF(checklistPesertaKemenkeu!$AY$6:$AY$1005="Direkomendasikan",ROW($6:$1005)-5),602))=""),"",IF(AND(COUNTIF(INDIRECT("K_"&amp;MATCH(INDEX(checklistPesertaKemenkeu!$J$6:$J$1005,SMALL(IF(checklistPesertaKemenkeu!$AY$6:$AY$1005="Direkomendasikan",ROW($6:$1005)-5),602)),BidangList,0)),INDEX(checklistPesertaKemenkeu!$O$6:$O$1005,SMALL(IF(checklistPesertaKemenkeu!$AY$6:$AY$1005="Direkomendasikan",ROW($6:$1005)-5),602)))&gt;0,COUNTIF(INDIRECT("'KERTAS KERJA'!K"&amp;(SMALL(IF(checklistPesertaKemenkeu!$AY$6:$AY$1005="Direkomendasikan",ROW($6:$1005)-5),602)+5)&amp;":O"&amp;(SMALL(IF(checklistPesertaKemenkeu!$AY$6:$AY$1005="Direkomendasikan",ROW($6:$1005)-5),602)+5)),INDEX(checklistPesertaKemenkeu!$O$6:$O$1005,SMALL(IF(checklistPesertaKemenkeu!$AY$6:$AY$1005="Direkomendasikan",ROW($6:$1005)-5),602)))=1),IFERROR(VLOOKUP(INDEX(checklistPesertaKemenkeu!$O$6:$O$1005,SMALL(IF(checklistPesertaKemenkeu!$AY$6:$AY$1005="Direkomendasikan",ROW($6:$1005)-5),602)),KotaKode,2,0),"-"),"")),"")</f>
        <v/>
      </c>
      <c r="L603" t="str">
        <f t="array" aca="1" ref="L603" ca="1">IFERROR(IF(OR(INDEX(checklistPesertaKemenkeu!$P$6:$P$1005,SMALL(IF(checklistPesertaKemenkeu!$AY$6:$AY$1005="Direkomendasikan",ROW($6:$1005)-5),602))="",INDEX(checklistPesertaKemenkeu!$J$6:$J$1005,SMALL(IF(checklistPesertaKemenkeu!$AY$6:$AY$1005="Direkomendasikan",ROW($6:$1005)-5),602))=""),"",IF(AND(COUNTIF(INDIRECT("K_"&amp;MATCH(INDEX(checklistPesertaKemenkeu!$J$6:$J$1005,SMALL(IF(checklistPesertaKemenkeu!$AY$6:$AY$1005="Direkomendasikan",ROW($6:$1005)-5),602)),BidangList,0)),INDEX(checklistPesertaKemenkeu!$P$6:$P$1005,SMALL(IF(checklistPesertaKemenkeu!$AY$6:$AY$1005="Direkomendasikan",ROW($6:$1005)-5),602)))&gt;0,COUNTIF(INDIRECT("'KERTAS KERJA'!K"&amp;(SMALL(IF(checklistPesertaKemenkeu!$AY$6:$AY$1005="Direkomendasikan",ROW($6:$1005)-5),602)+5)&amp;":O"&amp;(SMALL(IF(checklistPesertaKemenkeu!$AY$6:$AY$1005="Direkomendasikan",ROW($6:$1005)-5),602)+5)),INDEX(checklistPesertaKemenkeu!$P$6:$P$1005,SMALL(IF(checklistPesertaKemenkeu!$AY$6:$AY$1005="Direkomendasikan",ROW($6:$1005)-5),602)))=1),IFERROR(VLOOKUP(INDEX(checklistPesertaKemenkeu!$P$6:$P$1005,SMALL(IF(checklistPesertaKemenkeu!$AY$6:$AY$1005="Direkomendasikan",ROW($6:$1005)-5),602)),KotaKode,2,0),"-"),"")),"")</f>
        <v/>
      </c>
    </row>
    <row r="604" spans="1:12" ht="15" customHeight="1" x14ac:dyDescent="0.2">
      <c r="A604" t="str">
        <f t="shared" si="9"/>
        <v/>
      </c>
      <c r="B604" t="str">
        <v/>
      </c>
      <c r="C604" s="40" t="str">
        <f t="array" ref="C604">IFERROR(INDEX(checklistPesertaKemenkeu!$F$6:$F$1005,SMALL(IF(checklistPesertaKemenkeu!$AY$6:$AY$1005="Direkomendasikan",ROW($6:$1005)-5),603)),"")</f>
        <v/>
      </c>
      <c r="D604" t="str">
        <f t="array" ref="D604">IFERROR(INDEX(checklistPesertaKemenkeu!$G$6:$G$1005,SMALL(IF(checklistPesertaKemenkeu!$AY$6:$AY$1005="Direkomendasikan",ROW($6:$1005)-5),603)),"")</f>
        <v/>
      </c>
      <c r="E604" t="str">
        <f t="array" ref="E604">IFERROR(INDEX(checklistPesertaKemenkeu!$H$6:$H$1005,SMALL(IF(checklistPesertaKemenkeu!$AY$6:$AY$1005="Direkomendasikan",ROW($6:$1005)-5),603)),"")</f>
        <v/>
      </c>
      <c r="F604" t="str">
        <f t="array" ref="F604">IFERROR(INDEX(checklistPesertaKemenkeu!$I$6:$I$1005,SMALL(IF(checklistPesertaKemenkeu!$AY$6:$AY$1005="Direkomendasikan",ROW($6:$1005)-5),603)),"")</f>
        <v/>
      </c>
      <c r="G604" t="str">
        <f t="array" ref="G604">IFERROR(INDEX(checklistPesertaKemenkeu!$J$6:$J$1005,SMALL(IF(checklistPesertaKemenkeu!$AY$6:$AY$1005="Direkomendasikan",ROW($6:$1005)-5),603)),"")</f>
        <v/>
      </c>
      <c r="H604" t="str">
        <f t="array" aca="1" ref="H604" ca="1">IFERROR(IF(OR(INDEX(checklistPesertaKemenkeu!$L$6:$L$1005,SMALL(IF(checklistPesertaKemenkeu!$AY$6:$AY$1005="Direkomendasikan",ROW($6:$1005)-5),603))="",INDEX(checklistPesertaKemenkeu!$J$6:$J$1005,SMALL(IF(checklistPesertaKemenkeu!$AY$6:$AY$1005="Direkomendasikan",ROW($6:$1005)-5),603))=""),"",IF(AND(COUNTIF(INDIRECT("K_"&amp;MATCH(INDEX(checklistPesertaKemenkeu!$J$6:$J$1005,SMALL(IF(checklistPesertaKemenkeu!$AY$6:$AY$1005="Direkomendasikan",ROW($6:$1005)-5),603)),BidangList,0)),INDEX(checklistPesertaKemenkeu!$L$6:$L$1005,SMALL(IF(checklistPesertaKemenkeu!$AY$6:$AY$1005="Direkomendasikan",ROW($6:$1005)-5),603)))&gt;0,COUNTIF(INDIRECT("'KERTAS KERJA'!K"&amp;(SMALL(IF(checklistPesertaKemenkeu!$AY$6:$AY$1005="Direkomendasikan",ROW($6:$1005)-5),603)+5)&amp;":O"&amp;(SMALL(IF(checklistPesertaKemenkeu!$AY$6:$AY$1005="Direkomendasikan",ROW($6:$1005)-5),603)+5)),INDEX(checklistPesertaKemenkeu!$L$6:$L$1005,SMALL(IF(checklistPesertaKemenkeu!$AY$6:$AY$1005="Direkomendasikan",ROW($6:$1005)-5),603)))=1),IFERROR(VLOOKUP(INDEX(checklistPesertaKemenkeu!$L$6:$L$1005,SMALL(IF(checklistPesertaKemenkeu!$AY$6:$AY$1005="Direkomendasikan",ROW($6:$1005)-5),603)),KotaKode,2,0),"-"),"")),"")</f>
        <v/>
      </c>
      <c r="I604" t="str">
        <f t="array" aca="1" ref="I604" ca="1">IFERROR(IF(OR(INDEX(checklistPesertaKemenkeu!$M$6:$M$1005,SMALL(IF(checklistPesertaKemenkeu!$AY$6:$AY$1005="Direkomendasikan",ROW($6:$1005)-5),603))="",INDEX(checklistPesertaKemenkeu!$J$6:$J$1005,SMALL(IF(checklistPesertaKemenkeu!$AY$6:$AY$1005="Direkomendasikan",ROW($6:$1005)-5),603))=""),"",IF(AND(COUNTIF(INDIRECT("K_"&amp;MATCH(INDEX(checklistPesertaKemenkeu!$J$6:$J$1005,SMALL(IF(checklistPesertaKemenkeu!$AY$6:$AY$1005="Direkomendasikan",ROW($6:$1005)-5),603)),BidangList,0)),INDEX(checklistPesertaKemenkeu!$M$6:$M$1005,SMALL(IF(checklistPesertaKemenkeu!$AY$6:$AY$1005="Direkomendasikan",ROW($6:$1005)-5),603)))&gt;0,COUNTIF(INDIRECT("'KERTAS KERJA'!K"&amp;(SMALL(IF(checklistPesertaKemenkeu!$AY$6:$AY$1005="Direkomendasikan",ROW($6:$1005)-5),603)+5)&amp;":O"&amp;(SMALL(IF(checklistPesertaKemenkeu!$AY$6:$AY$1005="Direkomendasikan",ROW($6:$1005)-5),603)+5)),INDEX(checklistPesertaKemenkeu!$M$6:$M$1005,SMALL(IF(checklistPesertaKemenkeu!$AY$6:$AY$1005="Direkomendasikan",ROW($6:$1005)-5),603)))=1),IFERROR(VLOOKUP(INDEX(checklistPesertaKemenkeu!$M$6:$M$1005,SMALL(IF(checklistPesertaKemenkeu!$AY$6:$AY$1005="Direkomendasikan",ROW($6:$1005)-5),603)),KotaKode,2,0),"-"),"")),"")</f>
        <v/>
      </c>
      <c r="J604" t="str">
        <f t="array" aca="1" ref="J604" ca="1">IFERROR(IF(OR(INDEX(checklistPesertaKemenkeu!$N$6:$N$1005,SMALL(IF(checklistPesertaKemenkeu!$AY$6:$AY$1005="Direkomendasikan",ROW($6:$1005)-5),603))="",INDEX(checklistPesertaKemenkeu!$J$6:$J$1005,SMALL(IF(checklistPesertaKemenkeu!$AY$6:$AY$1005="Direkomendasikan",ROW($6:$1005)-5),603))=""),"",IF(AND(COUNTIF(INDIRECT("K_"&amp;MATCH(INDEX(checklistPesertaKemenkeu!$J$6:$J$1005,SMALL(IF(checklistPesertaKemenkeu!$AY$6:$AY$1005="Direkomendasikan",ROW($6:$1005)-5),603)),BidangList,0)),INDEX(checklistPesertaKemenkeu!$N$6:$N$1005,SMALL(IF(checklistPesertaKemenkeu!$AY$6:$AY$1005="Direkomendasikan",ROW($6:$1005)-5),603)))&gt;0,COUNTIF(INDIRECT("'KERTAS KERJA'!K"&amp;(SMALL(IF(checklistPesertaKemenkeu!$AY$6:$AY$1005="Direkomendasikan",ROW($6:$1005)-5),603)+5)&amp;":O"&amp;(SMALL(IF(checklistPesertaKemenkeu!$AY$6:$AY$1005="Direkomendasikan",ROW($6:$1005)-5),603)+5)),INDEX(checklistPesertaKemenkeu!$N$6:$N$1005,SMALL(IF(checklistPesertaKemenkeu!$AY$6:$AY$1005="Direkomendasikan",ROW($6:$1005)-5),603)))=1),IFERROR(VLOOKUP(INDEX(checklistPesertaKemenkeu!$N$6:$N$1005,SMALL(IF(checklistPesertaKemenkeu!$AY$6:$AY$1005="Direkomendasikan",ROW($6:$1005)-5),603)),KotaKode,2,0),"-"),"")),"")</f>
        <v/>
      </c>
      <c r="K604" t="str">
        <f t="array" aca="1" ref="K604" ca="1">IFERROR(IF(OR(INDEX(checklistPesertaKemenkeu!$O$6:$O$1005,SMALL(IF(checklistPesertaKemenkeu!$AY$6:$AY$1005="Direkomendasikan",ROW($6:$1005)-5),603))="",INDEX(checklistPesertaKemenkeu!$J$6:$J$1005,SMALL(IF(checklistPesertaKemenkeu!$AY$6:$AY$1005="Direkomendasikan",ROW($6:$1005)-5),603))=""),"",IF(AND(COUNTIF(INDIRECT("K_"&amp;MATCH(INDEX(checklistPesertaKemenkeu!$J$6:$J$1005,SMALL(IF(checklistPesertaKemenkeu!$AY$6:$AY$1005="Direkomendasikan",ROW($6:$1005)-5),603)),BidangList,0)),INDEX(checklistPesertaKemenkeu!$O$6:$O$1005,SMALL(IF(checklistPesertaKemenkeu!$AY$6:$AY$1005="Direkomendasikan",ROW($6:$1005)-5),603)))&gt;0,COUNTIF(INDIRECT("'KERTAS KERJA'!K"&amp;(SMALL(IF(checklistPesertaKemenkeu!$AY$6:$AY$1005="Direkomendasikan",ROW($6:$1005)-5),603)+5)&amp;":O"&amp;(SMALL(IF(checklistPesertaKemenkeu!$AY$6:$AY$1005="Direkomendasikan",ROW($6:$1005)-5),603)+5)),INDEX(checklistPesertaKemenkeu!$O$6:$O$1005,SMALL(IF(checklistPesertaKemenkeu!$AY$6:$AY$1005="Direkomendasikan",ROW($6:$1005)-5),603)))=1),IFERROR(VLOOKUP(INDEX(checklistPesertaKemenkeu!$O$6:$O$1005,SMALL(IF(checklistPesertaKemenkeu!$AY$6:$AY$1005="Direkomendasikan",ROW($6:$1005)-5),603)),KotaKode,2,0),"-"),"")),"")</f>
        <v/>
      </c>
      <c r="L604" t="str">
        <f t="array" aca="1" ref="L604" ca="1">IFERROR(IF(OR(INDEX(checklistPesertaKemenkeu!$P$6:$P$1005,SMALL(IF(checklistPesertaKemenkeu!$AY$6:$AY$1005="Direkomendasikan",ROW($6:$1005)-5),603))="",INDEX(checklistPesertaKemenkeu!$J$6:$J$1005,SMALL(IF(checklistPesertaKemenkeu!$AY$6:$AY$1005="Direkomendasikan",ROW($6:$1005)-5),603))=""),"",IF(AND(COUNTIF(INDIRECT("K_"&amp;MATCH(INDEX(checklistPesertaKemenkeu!$J$6:$J$1005,SMALL(IF(checklistPesertaKemenkeu!$AY$6:$AY$1005="Direkomendasikan",ROW($6:$1005)-5),603)),BidangList,0)),INDEX(checklistPesertaKemenkeu!$P$6:$P$1005,SMALL(IF(checklistPesertaKemenkeu!$AY$6:$AY$1005="Direkomendasikan",ROW($6:$1005)-5),603)))&gt;0,COUNTIF(INDIRECT("'KERTAS KERJA'!K"&amp;(SMALL(IF(checklistPesertaKemenkeu!$AY$6:$AY$1005="Direkomendasikan",ROW($6:$1005)-5),603)+5)&amp;":O"&amp;(SMALL(IF(checklistPesertaKemenkeu!$AY$6:$AY$1005="Direkomendasikan",ROW($6:$1005)-5),603)+5)),INDEX(checklistPesertaKemenkeu!$P$6:$P$1005,SMALL(IF(checklistPesertaKemenkeu!$AY$6:$AY$1005="Direkomendasikan",ROW($6:$1005)-5),603)))=1),IFERROR(VLOOKUP(INDEX(checklistPesertaKemenkeu!$P$6:$P$1005,SMALL(IF(checklistPesertaKemenkeu!$AY$6:$AY$1005="Direkomendasikan",ROW($6:$1005)-5),603)),KotaKode,2,0),"-"),"")),"")</f>
        <v/>
      </c>
    </row>
    <row r="605" spans="1:12" ht="15" customHeight="1" x14ac:dyDescent="0.2">
      <c r="A605" t="str">
        <f t="shared" si="9"/>
        <v/>
      </c>
      <c r="B605" t="str">
        <v/>
      </c>
      <c r="C605" s="40" t="str">
        <f t="array" ref="C605">IFERROR(INDEX(checklistPesertaKemenkeu!$F$6:$F$1005,SMALL(IF(checklistPesertaKemenkeu!$AY$6:$AY$1005="Direkomendasikan",ROW($6:$1005)-5),604)),"")</f>
        <v/>
      </c>
      <c r="D605" t="str">
        <f t="array" ref="D605">IFERROR(INDEX(checklistPesertaKemenkeu!$G$6:$G$1005,SMALL(IF(checklistPesertaKemenkeu!$AY$6:$AY$1005="Direkomendasikan",ROW($6:$1005)-5),604)),"")</f>
        <v/>
      </c>
      <c r="E605" t="str">
        <f t="array" ref="E605">IFERROR(INDEX(checklistPesertaKemenkeu!$H$6:$H$1005,SMALL(IF(checklistPesertaKemenkeu!$AY$6:$AY$1005="Direkomendasikan",ROW($6:$1005)-5),604)),"")</f>
        <v/>
      </c>
      <c r="F605" t="str">
        <f t="array" ref="F605">IFERROR(INDEX(checklistPesertaKemenkeu!$I$6:$I$1005,SMALL(IF(checklistPesertaKemenkeu!$AY$6:$AY$1005="Direkomendasikan",ROW($6:$1005)-5),604)),"")</f>
        <v/>
      </c>
      <c r="G605" t="str">
        <f t="array" ref="G605">IFERROR(INDEX(checklistPesertaKemenkeu!$J$6:$J$1005,SMALL(IF(checklistPesertaKemenkeu!$AY$6:$AY$1005="Direkomendasikan",ROW($6:$1005)-5),604)),"")</f>
        <v/>
      </c>
      <c r="H605" t="str">
        <f t="array" aca="1" ref="H605" ca="1">IFERROR(IF(OR(INDEX(checklistPesertaKemenkeu!$L$6:$L$1005,SMALL(IF(checklistPesertaKemenkeu!$AY$6:$AY$1005="Direkomendasikan",ROW($6:$1005)-5),604))="",INDEX(checklistPesertaKemenkeu!$J$6:$J$1005,SMALL(IF(checklistPesertaKemenkeu!$AY$6:$AY$1005="Direkomendasikan",ROW($6:$1005)-5),604))=""),"",IF(AND(COUNTIF(INDIRECT("K_"&amp;MATCH(INDEX(checklistPesertaKemenkeu!$J$6:$J$1005,SMALL(IF(checklistPesertaKemenkeu!$AY$6:$AY$1005="Direkomendasikan",ROW($6:$1005)-5),604)),BidangList,0)),INDEX(checklistPesertaKemenkeu!$L$6:$L$1005,SMALL(IF(checklistPesertaKemenkeu!$AY$6:$AY$1005="Direkomendasikan",ROW($6:$1005)-5),604)))&gt;0,COUNTIF(INDIRECT("'KERTAS KERJA'!K"&amp;(SMALL(IF(checklistPesertaKemenkeu!$AY$6:$AY$1005="Direkomendasikan",ROW($6:$1005)-5),604)+5)&amp;":O"&amp;(SMALL(IF(checklistPesertaKemenkeu!$AY$6:$AY$1005="Direkomendasikan",ROW($6:$1005)-5),604)+5)),INDEX(checklistPesertaKemenkeu!$L$6:$L$1005,SMALL(IF(checklistPesertaKemenkeu!$AY$6:$AY$1005="Direkomendasikan",ROW($6:$1005)-5),604)))=1),IFERROR(VLOOKUP(INDEX(checklistPesertaKemenkeu!$L$6:$L$1005,SMALL(IF(checklistPesertaKemenkeu!$AY$6:$AY$1005="Direkomendasikan",ROW($6:$1005)-5),604)),KotaKode,2,0),"-"),"")),"")</f>
        <v/>
      </c>
      <c r="I605" t="str">
        <f t="array" aca="1" ref="I605" ca="1">IFERROR(IF(OR(INDEX(checklistPesertaKemenkeu!$M$6:$M$1005,SMALL(IF(checklistPesertaKemenkeu!$AY$6:$AY$1005="Direkomendasikan",ROW($6:$1005)-5),604))="",INDEX(checklistPesertaKemenkeu!$J$6:$J$1005,SMALL(IF(checklistPesertaKemenkeu!$AY$6:$AY$1005="Direkomendasikan",ROW($6:$1005)-5),604))=""),"",IF(AND(COUNTIF(INDIRECT("K_"&amp;MATCH(INDEX(checklistPesertaKemenkeu!$J$6:$J$1005,SMALL(IF(checklistPesertaKemenkeu!$AY$6:$AY$1005="Direkomendasikan",ROW($6:$1005)-5),604)),BidangList,0)),INDEX(checklistPesertaKemenkeu!$M$6:$M$1005,SMALL(IF(checklistPesertaKemenkeu!$AY$6:$AY$1005="Direkomendasikan",ROW($6:$1005)-5),604)))&gt;0,COUNTIF(INDIRECT("'KERTAS KERJA'!K"&amp;(SMALL(IF(checklistPesertaKemenkeu!$AY$6:$AY$1005="Direkomendasikan",ROW($6:$1005)-5),604)+5)&amp;":O"&amp;(SMALL(IF(checklistPesertaKemenkeu!$AY$6:$AY$1005="Direkomendasikan",ROW($6:$1005)-5),604)+5)),INDEX(checklistPesertaKemenkeu!$M$6:$M$1005,SMALL(IF(checklistPesertaKemenkeu!$AY$6:$AY$1005="Direkomendasikan",ROW($6:$1005)-5),604)))=1),IFERROR(VLOOKUP(INDEX(checklistPesertaKemenkeu!$M$6:$M$1005,SMALL(IF(checklistPesertaKemenkeu!$AY$6:$AY$1005="Direkomendasikan",ROW($6:$1005)-5),604)),KotaKode,2,0),"-"),"")),"")</f>
        <v/>
      </c>
      <c r="J605" t="str">
        <f t="array" aca="1" ref="J605" ca="1">IFERROR(IF(OR(INDEX(checklistPesertaKemenkeu!$N$6:$N$1005,SMALL(IF(checklistPesertaKemenkeu!$AY$6:$AY$1005="Direkomendasikan",ROW($6:$1005)-5),604))="",INDEX(checklistPesertaKemenkeu!$J$6:$J$1005,SMALL(IF(checklistPesertaKemenkeu!$AY$6:$AY$1005="Direkomendasikan",ROW($6:$1005)-5),604))=""),"",IF(AND(COUNTIF(INDIRECT("K_"&amp;MATCH(INDEX(checklistPesertaKemenkeu!$J$6:$J$1005,SMALL(IF(checklistPesertaKemenkeu!$AY$6:$AY$1005="Direkomendasikan",ROW($6:$1005)-5),604)),BidangList,0)),INDEX(checklistPesertaKemenkeu!$N$6:$N$1005,SMALL(IF(checklistPesertaKemenkeu!$AY$6:$AY$1005="Direkomendasikan",ROW($6:$1005)-5),604)))&gt;0,COUNTIF(INDIRECT("'KERTAS KERJA'!K"&amp;(SMALL(IF(checklistPesertaKemenkeu!$AY$6:$AY$1005="Direkomendasikan",ROW($6:$1005)-5),604)+5)&amp;":O"&amp;(SMALL(IF(checklistPesertaKemenkeu!$AY$6:$AY$1005="Direkomendasikan",ROW($6:$1005)-5),604)+5)),INDEX(checklistPesertaKemenkeu!$N$6:$N$1005,SMALL(IF(checklistPesertaKemenkeu!$AY$6:$AY$1005="Direkomendasikan",ROW($6:$1005)-5),604)))=1),IFERROR(VLOOKUP(INDEX(checklistPesertaKemenkeu!$N$6:$N$1005,SMALL(IF(checklistPesertaKemenkeu!$AY$6:$AY$1005="Direkomendasikan",ROW($6:$1005)-5),604)),KotaKode,2,0),"-"),"")),"")</f>
        <v/>
      </c>
      <c r="K605" t="str">
        <f t="array" aca="1" ref="K605" ca="1">IFERROR(IF(OR(INDEX(checklistPesertaKemenkeu!$O$6:$O$1005,SMALL(IF(checklistPesertaKemenkeu!$AY$6:$AY$1005="Direkomendasikan",ROW($6:$1005)-5),604))="",INDEX(checklistPesertaKemenkeu!$J$6:$J$1005,SMALL(IF(checklistPesertaKemenkeu!$AY$6:$AY$1005="Direkomendasikan",ROW($6:$1005)-5),604))=""),"",IF(AND(COUNTIF(INDIRECT("K_"&amp;MATCH(INDEX(checklistPesertaKemenkeu!$J$6:$J$1005,SMALL(IF(checklistPesertaKemenkeu!$AY$6:$AY$1005="Direkomendasikan",ROW($6:$1005)-5),604)),BidangList,0)),INDEX(checklistPesertaKemenkeu!$O$6:$O$1005,SMALL(IF(checklistPesertaKemenkeu!$AY$6:$AY$1005="Direkomendasikan",ROW($6:$1005)-5),604)))&gt;0,COUNTIF(INDIRECT("'KERTAS KERJA'!K"&amp;(SMALL(IF(checklistPesertaKemenkeu!$AY$6:$AY$1005="Direkomendasikan",ROW($6:$1005)-5),604)+5)&amp;":O"&amp;(SMALL(IF(checklistPesertaKemenkeu!$AY$6:$AY$1005="Direkomendasikan",ROW($6:$1005)-5),604)+5)),INDEX(checklistPesertaKemenkeu!$O$6:$O$1005,SMALL(IF(checklistPesertaKemenkeu!$AY$6:$AY$1005="Direkomendasikan",ROW($6:$1005)-5),604)))=1),IFERROR(VLOOKUP(INDEX(checklistPesertaKemenkeu!$O$6:$O$1005,SMALL(IF(checklistPesertaKemenkeu!$AY$6:$AY$1005="Direkomendasikan",ROW($6:$1005)-5),604)),KotaKode,2,0),"-"),"")),"")</f>
        <v/>
      </c>
      <c r="L605" t="str">
        <f t="array" aca="1" ref="L605" ca="1">IFERROR(IF(OR(INDEX(checklistPesertaKemenkeu!$P$6:$P$1005,SMALL(IF(checklistPesertaKemenkeu!$AY$6:$AY$1005="Direkomendasikan",ROW($6:$1005)-5),604))="",INDEX(checklistPesertaKemenkeu!$J$6:$J$1005,SMALL(IF(checklistPesertaKemenkeu!$AY$6:$AY$1005="Direkomendasikan",ROW($6:$1005)-5),604))=""),"",IF(AND(COUNTIF(INDIRECT("K_"&amp;MATCH(INDEX(checklistPesertaKemenkeu!$J$6:$J$1005,SMALL(IF(checklistPesertaKemenkeu!$AY$6:$AY$1005="Direkomendasikan",ROW($6:$1005)-5),604)),BidangList,0)),INDEX(checklistPesertaKemenkeu!$P$6:$P$1005,SMALL(IF(checklistPesertaKemenkeu!$AY$6:$AY$1005="Direkomendasikan",ROW($6:$1005)-5),604)))&gt;0,COUNTIF(INDIRECT("'KERTAS KERJA'!K"&amp;(SMALL(IF(checklistPesertaKemenkeu!$AY$6:$AY$1005="Direkomendasikan",ROW($6:$1005)-5),604)+5)&amp;":O"&amp;(SMALL(IF(checklistPesertaKemenkeu!$AY$6:$AY$1005="Direkomendasikan",ROW($6:$1005)-5),604)+5)),INDEX(checklistPesertaKemenkeu!$P$6:$P$1005,SMALL(IF(checklistPesertaKemenkeu!$AY$6:$AY$1005="Direkomendasikan",ROW($6:$1005)-5),604)))=1),IFERROR(VLOOKUP(INDEX(checklistPesertaKemenkeu!$P$6:$P$1005,SMALL(IF(checklistPesertaKemenkeu!$AY$6:$AY$1005="Direkomendasikan",ROW($6:$1005)-5),604)),KotaKode,2,0),"-"),"")),"")</f>
        <v/>
      </c>
    </row>
    <row r="606" spans="1:12" ht="15" customHeight="1" x14ac:dyDescent="0.2">
      <c r="A606" t="str">
        <f t="shared" si="9"/>
        <v/>
      </c>
      <c r="B606" t="str">
        <v/>
      </c>
      <c r="C606" s="40" t="str">
        <f t="array" ref="C606">IFERROR(INDEX(checklistPesertaKemenkeu!$F$6:$F$1005,SMALL(IF(checklistPesertaKemenkeu!$AY$6:$AY$1005="Direkomendasikan",ROW($6:$1005)-5),605)),"")</f>
        <v/>
      </c>
      <c r="D606" t="str">
        <f t="array" ref="D606">IFERROR(INDEX(checklistPesertaKemenkeu!$G$6:$G$1005,SMALL(IF(checklistPesertaKemenkeu!$AY$6:$AY$1005="Direkomendasikan",ROW($6:$1005)-5),605)),"")</f>
        <v/>
      </c>
      <c r="E606" t="str">
        <f t="array" ref="E606">IFERROR(INDEX(checklistPesertaKemenkeu!$H$6:$H$1005,SMALL(IF(checklistPesertaKemenkeu!$AY$6:$AY$1005="Direkomendasikan",ROW($6:$1005)-5),605)),"")</f>
        <v/>
      </c>
      <c r="F606" t="str">
        <f t="array" ref="F606">IFERROR(INDEX(checklistPesertaKemenkeu!$I$6:$I$1005,SMALL(IF(checklistPesertaKemenkeu!$AY$6:$AY$1005="Direkomendasikan",ROW($6:$1005)-5),605)),"")</f>
        <v/>
      </c>
      <c r="G606" t="str">
        <f t="array" ref="G606">IFERROR(INDEX(checklistPesertaKemenkeu!$J$6:$J$1005,SMALL(IF(checklistPesertaKemenkeu!$AY$6:$AY$1005="Direkomendasikan",ROW($6:$1005)-5),605)),"")</f>
        <v/>
      </c>
      <c r="H606" t="str">
        <f t="array" aca="1" ref="H606" ca="1">IFERROR(IF(OR(INDEX(checklistPesertaKemenkeu!$L$6:$L$1005,SMALL(IF(checklistPesertaKemenkeu!$AY$6:$AY$1005="Direkomendasikan",ROW($6:$1005)-5),605))="",INDEX(checklistPesertaKemenkeu!$J$6:$J$1005,SMALL(IF(checklistPesertaKemenkeu!$AY$6:$AY$1005="Direkomendasikan",ROW($6:$1005)-5),605))=""),"",IF(AND(COUNTIF(INDIRECT("K_"&amp;MATCH(INDEX(checklistPesertaKemenkeu!$J$6:$J$1005,SMALL(IF(checklistPesertaKemenkeu!$AY$6:$AY$1005="Direkomendasikan",ROW($6:$1005)-5),605)),BidangList,0)),INDEX(checklistPesertaKemenkeu!$L$6:$L$1005,SMALL(IF(checklistPesertaKemenkeu!$AY$6:$AY$1005="Direkomendasikan",ROW($6:$1005)-5),605)))&gt;0,COUNTIF(INDIRECT("'KERTAS KERJA'!K"&amp;(SMALL(IF(checklistPesertaKemenkeu!$AY$6:$AY$1005="Direkomendasikan",ROW($6:$1005)-5),605)+5)&amp;":O"&amp;(SMALL(IF(checklistPesertaKemenkeu!$AY$6:$AY$1005="Direkomendasikan",ROW($6:$1005)-5),605)+5)),INDEX(checklistPesertaKemenkeu!$L$6:$L$1005,SMALL(IF(checklistPesertaKemenkeu!$AY$6:$AY$1005="Direkomendasikan",ROW($6:$1005)-5),605)))=1),IFERROR(VLOOKUP(INDEX(checklistPesertaKemenkeu!$L$6:$L$1005,SMALL(IF(checklistPesertaKemenkeu!$AY$6:$AY$1005="Direkomendasikan",ROW($6:$1005)-5),605)),KotaKode,2,0),"-"),"")),"")</f>
        <v/>
      </c>
      <c r="I606" t="str">
        <f t="array" aca="1" ref="I606" ca="1">IFERROR(IF(OR(INDEX(checklistPesertaKemenkeu!$M$6:$M$1005,SMALL(IF(checklistPesertaKemenkeu!$AY$6:$AY$1005="Direkomendasikan",ROW($6:$1005)-5),605))="",INDEX(checklistPesertaKemenkeu!$J$6:$J$1005,SMALL(IF(checklistPesertaKemenkeu!$AY$6:$AY$1005="Direkomendasikan",ROW($6:$1005)-5),605))=""),"",IF(AND(COUNTIF(INDIRECT("K_"&amp;MATCH(INDEX(checklistPesertaKemenkeu!$J$6:$J$1005,SMALL(IF(checklistPesertaKemenkeu!$AY$6:$AY$1005="Direkomendasikan",ROW($6:$1005)-5),605)),BidangList,0)),INDEX(checklistPesertaKemenkeu!$M$6:$M$1005,SMALL(IF(checklistPesertaKemenkeu!$AY$6:$AY$1005="Direkomendasikan",ROW($6:$1005)-5),605)))&gt;0,COUNTIF(INDIRECT("'KERTAS KERJA'!K"&amp;(SMALL(IF(checklistPesertaKemenkeu!$AY$6:$AY$1005="Direkomendasikan",ROW($6:$1005)-5),605)+5)&amp;":O"&amp;(SMALL(IF(checklistPesertaKemenkeu!$AY$6:$AY$1005="Direkomendasikan",ROW($6:$1005)-5),605)+5)),INDEX(checklistPesertaKemenkeu!$M$6:$M$1005,SMALL(IF(checklistPesertaKemenkeu!$AY$6:$AY$1005="Direkomendasikan",ROW($6:$1005)-5),605)))=1),IFERROR(VLOOKUP(INDEX(checklistPesertaKemenkeu!$M$6:$M$1005,SMALL(IF(checklistPesertaKemenkeu!$AY$6:$AY$1005="Direkomendasikan",ROW($6:$1005)-5),605)),KotaKode,2,0),"-"),"")),"")</f>
        <v/>
      </c>
      <c r="J606" t="str">
        <f t="array" aca="1" ref="J606" ca="1">IFERROR(IF(OR(INDEX(checklistPesertaKemenkeu!$N$6:$N$1005,SMALL(IF(checklistPesertaKemenkeu!$AY$6:$AY$1005="Direkomendasikan",ROW($6:$1005)-5),605))="",INDEX(checklistPesertaKemenkeu!$J$6:$J$1005,SMALL(IF(checklistPesertaKemenkeu!$AY$6:$AY$1005="Direkomendasikan",ROW($6:$1005)-5),605))=""),"",IF(AND(COUNTIF(INDIRECT("K_"&amp;MATCH(INDEX(checklistPesertaKemenkeu!$J$6:$J$1005,SMALL(IF(checklistPesertaKemenkeu!$AY$6:$AY$1005="Direkomendasikan",ROW($6:$1005)-5),605)),BidangList,0)),INDEX(checklistPesertaKemenkeu!$N$6:$N$1005,SMALL(IF(checklistPesertaKemenkeu!$AY$6:$AY$1005="Direkomendasikan",ROW($6:$1005)-5),605)))&gt;0,COUNTIF(INDIRECT("'KERTAS KERJA'!K"&amp;(SMALL(IF(checklistPesertaKemenkeu!$AY$6:$AY$1005="Direkomendasikan",ROW($6:$1005)-5),605)+5)&amp;":O"&amp;(SMALL(IF(checklistPesertaKemenkeu!$AY$6:$AY$1005="Direkomendasikan",ROW($6:$1005)-5),605)+5)),INDEX(checklistPesertaKemenkeu!$N$6:$N$1005,SMALL(IF(checklistPesertaKemenkeu!$AY$6:$AY$1005="Direkomendasikan",ROW($6:$1005)-5),605)))=1),IFERROR(VLOOKUP(INDEX(checklistPesertaKemenkeu!$N$6:$N$1005,SMALL(IF(checklistPesertaKemenkeu!$AY$6:$AY$1005="Direkomendasikan",ROW($6:$1005)-5),605)),KotaKode,2,0),"-"),"")),"")</f>
        <v/>
      </c>
      <c r="K606" t="str">
        <f t="array" aca="1" ref="K606" ca="1">IFERROR(IF(OR(INDEX(checklistPesertaKemenkeu!$O$6:$O$1005,SMALL(IF(checklistPesertaKemenkeu!$AY$6:$AY$1005="Direkomendasikan",ROW($6:$1005)-5),605))="",INDEX(checklistPesertaKemenkeu!$J$6:$J$1005,SMALL(IF(checklistPesertaKemenkeu!$AY$6:$AY$1005="Direkomendasikan",ROW($6:$1005)-5),605))=""),"",IF(AND(COUNTIF(INDIRECT("K_"&amp;MATCH(INDEX(checklistPesertaKemenkeu!$J$6:$J$1005,SMALL(IF(checklistPesertaKemenkeu!$AY$6:$AY$1005="Direkomendasikan",ROW($6:$1005)-5),605)),BidangList,0)),INDEX(checklistPesertaKemenkeu!$O$6:$O$1005,SMALL(IF(checklistPesertaKemenkeu!$AY$6:$AY$1005="Direkomendasikan",ROW($6:$1005)-5),605)))&gt;0,COUNTIF(INDIRECT("'KERTAS KERJA'!K"&amp;(SMALL(IF(checklistPesertaKemenkeu!$AY$6:$AY$1005="Direkomendasikan",ROW($6:$1005)-5),605)+5)&amp;":O"&amp;(SMALL(IF(checklistPesertaKemenkeu!$AY$6:$AY$1005="Direkomendasikan",ROW($6:$1005)-5),605)+5)),INDEX(checklistPesertaKemenkeu!$O$6:$O$1005,SMALL(IF(checklistPesertaKemenkeu!$AY$6:$AY$1005="Direkomendasikan",ROW($6:$1005)-5),605)))=1),IFERROR(VLOOKUP(INDEX(checklistPesertaKemenkeu!$O$6:$O$1005,SMALL(IF(checklistPesertaKemenkeu!$AY$6:$AY$1005="Direkomendasikan",ROW($6:$1005)-5),605)),KotaKode,2,0),"-"),"")),"")</f>
        <v/>
      </c>
      <c r="L606" t="str">
        <f t="array" aca="1" ref="L606" ca="1">IFERROR(IF(OR(INDEX(checklistPesertaKemenkeu!$P$6:$P$1005,SMALL(IF(checklistPesertaKemenkeu!$AY$6:$AY$1005="Direkomendasikan",ROW($6:$1005)-5),605))="",INDEX(checklistPesertaKemenkeu!$J$6:$J$1005,SMALL(IF(checklistPesertaKemenkeu!$AY$6:$AY$1005="Direkomendasikan",ROW($6:$1005)-5),605))=""),"",IF(AND(COUNTIF(INDIRECT("K_"&amp;MATCH(INDEX(checklistPesertaKemenkeu!$J$6:$J$1005,SMALL(IF(checklistPesertaKemenkeu!$AY$6:$AY$1005="Direkomendasikan",ROW($6:$1005)-5),605)),BidangList,0)),INDEX(checklistPesertaKemenkeu!$P$6:$P$1005,SMALL(IF(checklistPesertaKemenkeu!$AY$6:$AY$1005="Direkomendasikan",ROW($6:$1005)-5),605)))&gt;0,COUNTIF(INDIRECT("'KERTAS KERJA'!K"&amp;(SMALL(IF(checklistPesertaKemenkeu!$AY$6:$AY$1005="Direkomendasikan",ROW($6:$1005)-5),605)+5)&amp;":O"&amp;(SMALL(IF(checklistPesertaKemenkeu!$AY$6:$AY$1005="Direkomendasikan",ROW($6:$1005)-5),605)+5)),INDEX(checklistPesertaKemenkeu!$P$6:$P$1005,SMALL(IF(checklistPesertaKemenkeu!$AY$6:$AY$1005="Direkomendasikan",ROW($6:$1005)-5),605)))=1),IFERROR(VLOOKUP(INDEX(checklistPesertaKemenkeu!$P$6:$P$1005,SMALL(IF(checklistPesertaKemenkeu!$AY$6:$AY$1005="Direkomendasikan",ROW($6:$1005)-5),605)),KotaKode,2,0),"-"),"")),"")</f>
        <v/>
      </c>
    </row>
    <row r="607" spans="1:12" ht="15" customHeight="1" x14ac:dyDescent="0.2">
      <c r="A607" t="str">
        <f t="shared" si="9"/>
        <v/>
      </c>
      <c r="B607" t="str">
        <v/>
      </c>
      <c r="C607" s="40" t="str">
        <f t="array" ref="C607">IFERROR(INDEX(checklistPesertaKemenkeu!$F$6:$F$1005,SMALL(IF(checklistPesertaKemenkeu!$AY$6:$AY$1005="Direkomendasikan",ROW($6:$1005)-5),606)),"")</f>
        <v/>
      </c>
      <c r="D607" t="str">
        <f t="array" ref="D607">IFERROR(INDEX(checklistPesertaKemenkeu!$G$6:$G$1005,SMALL(IF(checklistPesertaKemenkeu!$AY$6:$AY$1005="Direkomendasikan",ROW($6:$1005)-5),606)),"")</f>
        <v/>
      </c>
      <c r="E607" t="str">
        <f t="array" ref="E607">IFERROR(INDEX(checklistPesertaKemenkeu!$H$6:$H$1005,SMALL(IF(checklistPesertaKemenkeu!$AY$6:$AY$1005="Direkomendasikan",ROW($6:$1005)-5),606)),"")</f>
        <v/>
      </c>
      <c r="F607" t="str">
        <f t="array" ref="F607">IFERROR(INDEX(checklistPesertaKemenkeu!$I$6:$I$1005,SMALL(IF(checklistPesertaKemenkeu!$AY$6:$AY$1005="Direkomendasikan",ROW($6:$1005)-5),606)),"")</f>
        <v/>
      </c>
      <c r="G607" t="str">
        <f t="array" ref="G607">IFERROR(INDEX(checklistPesertaKemenkeu!$J$6:$J$1005,SMALL(IF(checklistPesertaKemenkeu!$AY$6:$AY$1005="Direkomendasikan",ROW($6:$1005)-5),606)),"")</f>
        <v/>
      </c>
      <c r="H607" t="str">
        <f t="array" aca="1" ref="H607" ca="1">IFERROR(IF(OR(INDEX(checklistPesertaKemenkeu!$L$6:$L$1005,SMALL(IF(checklistPesertaKemenkeu!$AY$6:$AY$1005="Direkomendasikan",ROW($6:$1005)-5),606))="",INDEX(checklistPesertaKemenkeu!$J$6:$J$1005,SMALL(IF(checklistPesertaKemenkeu!$AY$6:$AY$1005="Direkomendasikan",ROW($6:$1005)-5),606))=""),"",IF(AND(COUNTIF(INDIRECT("K_"&amp;MATCH(INDEX(checklistPesertaKemenkeu!$J$6:$J$1005,SMALL(IF(checklistPesertaKemenkeu!$AY$6:$AY$1005="Direkomendasikan",ROW($6:$1005)-5),606)),BidangList,0)),INDEX(checklistPesertaKemenkeu!$L$6:$L$1005,SMALL(IF(checklistPesertaKemenkeu!$AY$6:$AY$1005="Direkomendasikan",ROW($6:$1005)-5),606)))&gt;0,COUNTIF(INDIRECT("'KERTAS KERJA'!K"&amp;(SMALL(IF(checklistPesertaKemenkeu!$AY$6:$AY$1005="Direkomendasikan",ROW($6:$1005)-5),606)+5)&amp;":O"&amp;(SMALL(IF(checklistPesertaKemenkeu!$AY$6:$AY$1005="Direkomendasikan",ROW($6:$1005)-5),606)+5)),INDEX(checklistPesertaKemenkeu!$L$6:$L$1005,SMALL(IF(checklistPesertaKemenkeu!$AY$6:$AY$1005="Direkomendasikan",ROW($6:$1005)-5),606)))=1),IFERROR(VLOOKUP(INDEX(checklistPesertaKemenkeu!$L$6:$L$1005,SMALL(IF(checklistPesertaKemenkeu!$AY$6:$AY$1005="Direkomendasikan",ROW($6:$1005)-5),606)),KotaKode,2,0),"-"),"")),"")</f>
        <v/>
      </c>
      <c r="I607" t="str">
        <f t="array" aca="1" ref="I607" ca="1">IFERROR(IF(OR(INDEX(checklistPesertaKemenkeu!$M$6:$M$1005,SMALL(IF(checklistPesertaKemenkeu!$AY$6:$AY$1005="Direkomendasikan",ROW($6:$1005)-5),606))="",INDEX(checklistPesertaKemenkeu!$J$6:$J$1005,SMALL(IF(checklistPesertaKemenkeu!$AY$6:$AY$1005="Direkomendasikan",ROW($6:$1005)-5),606))=""),"",IF(AND(COUNTIF(INDIRECT("K_"&amp;MATCH(INDEX(checklistPesertaKemenkeu!$J$6:$J$1005,SMALL(IF(checklistPesertaKemenkeu!$AY$6:$AY$1005="Direkomendasikan",ROW($6:$1005)-5),606)),BidangList,0)),INDEX(checklistPesertaKemenkeu!$M$6:$M$1005,SMALL(IF(checklistPesertaKemenkeu!$AY$6:$AY$1005="Direkomendasikan",ROW($6:$1005)-5),606)))&gt;0,COUNTIF(INDIRECT("'KERTAS KERJA'!K"&amp;(SMALL(IF(checklistPesertaKemenkeu!$AY$6:$AY$1005="Direkomendasikan",ROW($6:$1005)-5),606)+5)&amp;":O"&amp;(SMALL(IF(checklistPesertaKemenkeu!$AY$6:$AY$1005="Direkomendasikan",ROW($6:$1005)-5),606)+5)),INDEX(checklistPesertaKemenkeu!$M$6:$M$1005,SMALL(IF(checklistPesertaKemenkeu!$AY$6:$AY$1005="Direkomendasikan",ROW($6:$1005)-5),606)))=1),IFERROR(VLOOKUP(INDEX(checklistPesertaKemenkeu!$M$6:$M$1005,SMALL(IF(checklistPesertaKemenkeu!$AY$6:$AY$1005="Direkomendasikan",ROW($6:$1005)-5),606)),KotaKode,2,0),"-"),"")),"")</f>
        <v/>
      </c>
      <c r="J607" t="str">
        <f t="array" aca="1" ref="J607" ca="1">IFERROR(IF(OR(INDEX(checklistPesertaKemenkeu!$N$6:$N$1005,SMALL(IF(checklistPesertaKemenkeu!$AY$6:$AY$1005="Direkomendasikan",ROW($6:$1005)-5),606))="",INDEX(checklistPesertaKemenkeu!$J$6:$J$1005,SMALL(IF(checklistPesertaKemenkeu!$AY$6:$AY$1005="Direkomendasikan",ROW($6:$1005)-5),606))=""),"",IF(AND(COUNTIF(INDIRECT("K_"&amp;MATCH(INDEX(checklistPesertaKemenkeu!$J$6:$J$1005,SMALL(IF(checklistPesertaKemenkeu!$AY$6:$AY$1005="Direkomendasikan",ROW($6:$1005)-5),606)),BidangList,0)),INDEX(checklistPesertaKemenkeu!$N$6:$N$1005,SMALL(IF(checklistPesertaKemenkeu!$AY$6:$AY$1005="Direkomendasikan",ROW($6:$1005)-5),606)))&gt;0,COUNTIF(INDIRECT("'KERTAS KERJA'!K"&amp;(SMALL(IF(checklistPesertaKemenkeu!$AY$6:$AY$1005="Direkomendasikan",ROW($6:$1005)-5),606)+5)&amp;":O"&amp;(SMALL(IF(checklistPesertaKemenkeu!$AY$6:$AY$1005="Direkomendasikan",ROW($6:$1005)-5),606)+5)),INDEX(checklistPesertaKemenkeu!$N$6:$N$1005,SMALL(IF(checklistPesertaKemenkeu!$AY$6:$AY$1005="Direkomendasikan",ROW($6:$1005)-5),606)))=1),IFERROR(VLOOKUP(INDEX(checklistPesertaKemenkeu!$N$6:$N$1005,SMALL(IF(checklistPesertaKemenkeu!$AY$6:$AY$1005="Direkomendasikan",ROW($6:$1005)-5),606)),KotaKode,2,0),"-"),"")),"")</f>
        <v/>
      </c>
      <c r="K607" t="str">
        <f t="array" aca="1" ref="K607" ca="1">IFERROR(IF(OR(INDEX(checklistPesertaKemenkeu!$O$6:$O$1005,SMALL(IF(checklistPesertaKemenkeu!$AY$6:$AY$1005="Direkomendasikan",ROW($6:$1005)-5),606))="",INDEX(checklistPesertaKemenkeu!$J$6:$J$1005,SMALL(IF(checklistPesertaKemenkeu!$AY$6:$AY$1005="Direkomendasikan",ROW($6:$1005)-5),606))=""),"",IF(AND(COUNTIF(INDIRECT("K_"&amp;MATCH(INDEX(checklistPesertaKemenkeu!$J$6:$J$1005,SMALL(IF(checklistPesertaKemenkeu!$AY$6:$AY$1005="Direkomendasikan",ROW($6:$1005)-5),606)),BidangList,0)),INDEX(checklistPesertaKemenkeu!$O$6:$O$1005,SMALL(IF(checklistPesertaKemenkeu!$AY$6:$AY$1005="Direkomendasikan",ROW($6:$1005)-5),606)))&gt;0,COUNTIF(INDIRECT("'KERTAS KERJA'!K"&amp;(SMALL(IF(checklistPesertaKemenkeu!$AY$6:$AY$1005="Direkomendasikan",ROW($6:$1005)-5),606)+5)&amp;":O"&amp;(SMALL(IF(checklistPesertaKemenkeu!$AY$6:$AY$1005="Direkomendasikan",ROW($6:$1005)-5),606)+5)),INDEX(checklistPesertaKemenkeu!$O$6:$O$1005,SMALL(IF(checklistPesertaKemenkeu!$AY$6:$AY$1005="Direkomendasikan",ROW($6:$1005)-5),606)))=1),IFERROR(VLOOKUP(INDEX(checklistPesertaKemenkeu!$O$6:$O$1005,SMALL(IF(checklistPesertaKemenkeu!$AY$6:$AY$1005="Direkomendasikan",ROW($6:$1005)-5),606)),KotaKode,2,0),"-"),"")),"")</f>
        <v/>
      </c>
      <c r="L607" t="str">
        <f t="array" aca="1" ref="L607" ca="1">IFERROR(IF(OR(INDEX(checklistPesertaKemenkeu!$P$6:$P$1005,SMALL(IF(checklistPesertaKemenkeu!$AY$6:$AY$1005="Direkomendasikan",ROW($6:$1005)-5),606))="",INDEX(checklistPesertaKemenkeu!$J$6:$J$1005,SMALL(IF(checklistPesertaKemenkeu!$AY$6:$AY$1005="Direkomendasikan",ROW($6:$1005)-5),606))=""),"",IF(AND(COUNTIF(INDIRECT("K_"&amp;MATCH(INDEX(checklistPesertaKemenkeu!$J$6:$J$1005,SMALL(IF(checklistPesertaKemenkeu!$AY$6:$AY$1005="Direkomendasikan",ROW($6:$1005)-5),606)),BidangList,0)),INDEX(checklistPesertaKemenkeu!$P$6:$P$1005,SMALL(IF(checklistPesertaKemenkeu!$AY$6:$AY$1005="Direkomendasikan",ROW($6:$1005)-5),606)))&gt;0,COUNTIF(INDIRECT("'KERTAS KERJA'!K"&amp;(SMALL(IF(checklistPesertaKemenkeu!$AY$6:$AY$1005="Direkomendasikan",ROW($6:$1005)-5),606)+5)&amp;":O"&amp;(SMALL(IF(checklistPesertaKemenkeu!$AY$6:$AY$1005="Direkomendasikan",ROW($6:$1005)-5),606)+5)),INDEX(checklistPesertaKemenkeu!$P$6:$P$1005,SMALL(IF(checklistPesertaKemenkeu!$AY$6:$AY$1005="Direkomendasikan",ROW($6:$1005)-5),606)))=1),IFERROR(VLOOKUP(INDEX(checklistPesertaKemenkeu!$P$6:$P$1005,SMALL(IF(checklistPesertaKemenkeu!$AY$6:$AY$1005="Direkomendasikan",ROW($6:$1005)-5),606)),KotaKode,2,0),"-"),"")),"")</f>
        <v/>
      </c>
    </row>
    <row r="608" spans="1:12" ht="15" customHeight="1" x14ac:dyDescent="0.2">
      <c r="A608" t="str">
        <f t="shared" si="9"/>
        <v/>
      </c>
      <c r="B608" t="str">
        <v/>
      </c>
      <c r="C608" s="40" t="str">
        <f t="array" ref="C608">IFERROR(INDEX(checklistPesertaKemenkeu!$F$6:$F$1005,SMALL(IF(checklistPesertaKemenkeu!$AY$6:$AY$1005="Direkomendasikan",ROW($6:$1005)-5),607)),"")</f>
        <v/>
      </c>
      <c r="D608" t="str">
        <f t="array" ref="D608">IFERROR(INDEX(checklistPesertaKemenkeu!$G$6:$G$1005,SMALL(IF(checklistPesertaKemenkeu!$AY$6:$AY$1005="Direkomendasikan",ROW($6:$1005)-5),607)),"")</f>
        <v/>
      </c>
      <c r="E608" t="str">
        <f t="array" ref="E608">IFERROR(INDEX(checklistPesertaKemenkeu!$H$6:$H$1005,SMALL(IF(checklistPesertaKemenkeu!$AY$6:$AY$1005="Direkomendasikan",ROW($6:$1005)-5),607)),"")</f>
        <v/>
      </c>
      <c r="F608" t="str">
        <f t="array" ref="F608">IFERROR(INDEX(checklistPesertaKemenkeu!$I$6:$I$1005,SMALL(IF(checklistPesertaKemenkeu!$AY$6:$AY$1005="Direkomendasikan",ROW($6:$1005)-5),607)),"")</f>
        <v/>
      </c>
      <c r="G608" t="str">
        <f t="array" ref="G608">IFERROR(INDEX(checklistPesertaKemenkeu!$J$6:$J$1005,SMALL(IF(checklistPesertaKemenkeu!$AY$6:$AY$1005="Direkomendasikan",ROW($6:$1005)-5),607)),"")</f>
        <v/>
      </c>
      <c r="H608" t="str">
        <f t="array" aca="1" ref="H608" ca="1">IFERROR(IF(OR(INDEX(checklistPesertaKemenkeu!$L$6:$L$1005,SMALL(IF(checklistPesertaKemenkeu!$AY$6:$AY$1005="Direkomendasikan",ROW($6:$1005)-5),607))="",INDEX(checklistPesertaKemenkeu!$J$6:$J$1005,SMALL(IF(checklistPesertaKemenkeu!$AY$6:$AY$1005="Direkomendasikan",ROW($6:$1005)-5),607))=""),"",IF(AND(COUNTIF(INDIRECT("K_"&amp;MATCH(INDEX(checklistPesertaKemenkeu!$J$6:$J$1005,SMALL(IF(checklistPesertaKemenkeu!$AY$6:$AY$1005="Direkomendasikan",ROW($6:$1005)-5),607)),BidangList,0)),INDEX(checklistPesertaKemenkeu!$L$6:$L$1005,SMALL(IF(checklistPesertaKemenkeu!$AY$6:$AY$1005="Direkomendasikan",ROW($6:$1005)-5),607)))&gt;0,COUNTIF(INDIRECT("'KERTAS KERJA'!K"&amp;(SMALL(IF(checklistPesertaKemenkeu!$AY$6:$AY$1005="Direkomendasikan",ROW($6:$1005)-5),607)+5)&amp;":O"&amp;(SMALL(IF(checklistPesertaKemenkeu!$AY$6:$AY$1005="Direkomendasikan",ROW($6:$1005)-5),607)+5)),INDEX(checklistPesertaKemenkeu!$L$6:$L$1005,SMALL(IF(checklistPesertaKemenkeu!$AY$6:$AY$1005="Direkomendasikan",ROW($6:$1005)-5),607)))=1),IFERROR(VLOOKUP(INDEX(checklistPesertaKemenkeu!$L$6:$L$1005,SMALL(IF(checklistPesertaKemenkeu!$AY$6:$AY$1005="Direkomendasikan",ROW($6:$1005)-5),607)),KotaKode,2,0),"-"),"")),"")</f>
        <v/>
      </c>
      <c r="I608" t="str">
        <f t="array" aca="1" ref="I608" ca="1">IFERROR(IF(OR(INDEX(checklistPesertaKemenkeu!$M$6:$M$1005,SMALL(IF(checklistPesertaKemenkeu!$AY$6:$AY$1005="Direkomendasikan",ROW($6:$1005)-5),607))="",INDEX(checklistPesertaKemenkeu!$J$6:$J$1005,SMALL(IF(checklistPesertaKemenkeu!$AY$6:$AY$1005="Direkomendasikan",ROW($6:$1005)-5),607))=""),"",IF(AND(COUNTIF(INDIRECT("K_"&amp;MATCH(INDEX(checklistPesertaKemenkeu!$J$6:$J$1005,SMALL(IF(checklistPesertaKemenkeu!$AY$6:$AY$1005="Direkomendasikan",ROW($6:$1005)-5),607)),BidangList,0)),INDEX(checklistPesertaKemenkeu!$M$6:$M$1005,SMALL(IF(checklistPesertaKemenkeu!$AY$6:$AY$1005="Direkomendasikan",ROW($6:$1005)-5),607)))&gt;0,COUNTIF(INDIRECT("'KERTAS KERJA'!K"&amp;(SMALL(IF(checklistPesertaKemenkeu!$AY$6:$AY$1005="Direkomendasikan",ROW($6:$1005)-5),607)+5)&amp;":O"&amp;(SMALL(IF(checklistPesertaKemenkeu!$AY$6:$AY$1005="Direkomendasikan",ROW($6:$1005)-5),607)+5)),INDEX(checklistPesertaKemenkeu!$M$6:$M$1005,SMALL(IF(checklistPesertaKemenkeu!$AY$6:$AY$1005="Direkomendasikan",ROW($6:$1005)-5),607)))=1),IFERROR(VLOOKUP(INDEX(checklistPesertaKemenkeu!$M$6:$M$1005,SMALL(IF(checklistPesertaKemenkeu!$AY$6:$AY$1005="Direkomendasikan",ROW($6:$1005)-5),607)),KotaKode,2,0),"-"),"")),"")</f>
        <v/>
      </c>
      <c r="J608" t="str">
        <f t="array" aca="1" ref="J608" ca="1">IFERROR(IF(OR(INDEX(checklistPesertaKemenkeu!$N$6:$N$1005,SMALL(IF(checklistPesertaKemenkeu!$AY$6:$AY$1005="Direkomendasikan",ROW($6:$1005)-5),607))="",INDEX(checklistPesertaKemenkeu!$J$6:$J$1005,SMALL(IF(checklistPesertaKemenkeu!$AY$6:$AY$1005="Direkomendasikan",ROW($6:$1005)-5),607))=""),"",IF(AND(COUNTIF(INDIRECT("K_"&amp;MATCH(INDEX(checklistPesertaKemenkeu!$J$6:$J$1005,SMALL(IF(checklistPesertaKemenkeu!$AY$6:$AY$1005="Direkomendasikan",ROW($6:$1005)-5),607)),BidangList,0)),INDEX(checklistPesertaKemenkeu!$N$6:$N$1005,SMALL(IF(checklistPesertaKemenkeu!$AY$6:$AY$1005="Direkomendasikan",ROW($6:$1005)-5),607)))&gt;0,COUNTIF(INDIRECT("'KERTAS KERJA'!K"&amp;(SMALL(IF(checklistPesertaKemenkeu!$AY$6:$AY$1005="Direkomendasikan",ROW($6:$1005)-5),607)+5)&amp;":O"&amp;(SMALL(IF(checklistPesertaKemenkeu!$AY$6:$AY$1005="Direkomendasikan",ROW($6:$1005)-5),607)+5)),INDEX(checklistPesertaKemenkeu!$N$6:$N$1005,SMALL(IF(checklistPesertaKemenkeu!$AY$6:$AY$1005="Direkomendasikan",ROW($6:$1005)-5),607)))=1),IFERROR(VLOOKUP(INDEX(checklistPesertaKemenkeu!$N$6:$N$1005,SMALL(IF(checklistPesertaKemenkeu!$AY$6:$AY$1005="Direkomendasikan",ROW($6:$1005)-5),607)),KotaKode,2,0),"-"),"")),"")</f>
        <v/>
      </c>
      <c r="K608" t="str">
        <f t="array" aca="1" ref="K608" ca="1">IFERROR(IF(OR(INDEX(checklistPesertaKemenkeu!$O$6:$O$1005,SMALL(IF(checklistPesertaKemenkeu!$AY$6:$AY$1005="Direkomendasikan",ROW($6:$1005)-5),607))="",INDEX(checklistPesertaKemenkeu!$J$6:$J$1005,SMALL(IF(checklistPesertaKemenkeu!$AY$6:$AY$1005="Direkomendasikan",ROW($6:$1005)-5),607))=""),"",IF(AND(COUNTIF(INDIRECT("K_"&amp;MATCH(INDEX(checklistPesertaKemenkeu!$J$6:$J$1005,SMALL(IF(checklistPesertaKemenkeu!$AY$6:$AY$1005="Direkomendasikan",ROW($6:$1005)-5),607)),BidangList,0)),INDEX(checklistPesertaKemenkeu!$O$6:$O$1005,SMALL(IF(checklistPesertaKemenkeu!$AY$6:$AY$1005="Direkomendasikan",ROW($6:$1005)-5),607)))&gt;0,COUNTIF(INDIRECT("'KERTAS KERJA'!K"&amp;(SMALL(IF(checklistPesertaKemenkeu!$AY$6:$AY$1005="Direkomendasikan",ROW($6:$1005)-5),607)+5)&amp;":O"&amp;(SMALL(IF(checklistPesertaKemenkeu!$AY$6:$AY$1005="Direkomendasikan",ROW($6:$1005)-5),607)+5)),INDEX(checklistPesertaKemenkeu!$O$6:$O$1005,SMALL(IF(checklistPesertaKemenkeu!$AY$6:$AY$1005="Direkomendasikan",ROW($6:$1005)-5),607)))=1),IFERROR(VLOOKUP(INDEX(checklistPesertaKemenkeu!$O$6:$O$1005,SMALL(IF(checklistPesertaKemenkeu!$AY$6:$AY$1005="Direkomendasikan",ROW($6:$1005)-5),607)),KotaKode,2,0),"-"),"")),"")</f>
        <v/>
      </c>
      <c r="L608" t="str">
        <f t="array" aca="1" ref="L608" ca="1">IFERROR(IF(OR(INDEX(checklistPesertaKemenkeu!$P$6:$P$1005,SMALL(IF(checklistPesertaKemenkeu!$AY$6:$AY$1005="Direkomendasikan",ROW($6:$1005)-5),607))="",INDEX(checklistPesertaKemenkeu!$J$6:$J$1005,SMALL(IF(checklistPesertaKemenkeu!$AY$6:$AY$1005="Direkomendasikan",ROW($6:$1005)-5),607))=""),"",IF(AND(COUNTIF(INDIRECT("K_"&amp;MATCH(INDEX(checklistPesertaKemenkeu!$J$6:$J$1005,SMALL(IF(checklistPesertaKemenkeu!$AY$6:$AY$1005="Direkomendasikan",ROW($6:$1005)-5),607)),BidangList,0)),INDEX(checklistPesertaKemenkeu!$P$6:$P$1005,SMALL(IF(checklistPesertaKemenkeu!$AY$6:$AY$1005="Direkomendasikan",ROW($6:$1005)-5),607)))&gt;0,COUNTIF(INDIRECT("'KERTAS KERJA'!K"&amp;(SMALL(IF(checklistPesertaKemenkeu!$AY$6:$AY$1005="Direkomendasikan",ROW($6:$1005)-5),607)+5)&amp;":O"&amp;(SMALL(IF(checklistPesertaKemenkeu!$AY$6:$AY$1005="Direkomendasikan",ROW($6:$1005)-5),607)+5)),INDEX(checklistPesertaKemenkeu!$P$6:$P$1005,SMALL(IF(checklistPesertaKemenkeu!$AY$6:$AY$1005="Direkomendasikan",ROW($6:$1005)-5),607)))=1),IFERROR(VLOOKUP(INDEX(checklistPesertaKemenkeu!$P$6:$P$1005,SMALL(IF(checklistPesertaKemenkeu!$AY$6:$AY$1005="Direkomendasikan",ROW($6:$1005)-5),607)),KotaKode,2,0),"-"),"")),"")</f>
        <v/>
      </c>
    </row>
    <row r="609" spans="1:12" ht="15" customHeight="1" x14ac:dyDescent="0.2">
      <c r="A609" t="str">
        <f t="shared" si="9"/>
        <v/>
      </c>
      <c r="B609" t="str">
        <v/>
      </c>
      <c r="C609" s="40" t="str">
        <f t="array" ref="C609">IFERROR(INDEX(checklistPesertaKemenkeu!$F$6:$F$1005,SMALL(IF(checklistPesertaKemenkeu!$AY$6:$AY$1005="Direkomendasikan",ROW($6:$1005)-5),608)),"")</f>
        <v/>
      </c>
      <c r="D609" t="str">
        <f t="array" ref="D609">IFERROR(INDEX(checklistPesertaKemenkeu!$G$6:$G$1005,SMALL(IF(checklistPesertaKemenkeu!$AY$6:$AY$1005="Direkomendasikan",ROW($6:$1005)-5),608)),"")</f>
        <v/>
      </c>
      <c r="E609" t="str">
        <f t="array" ref="E609">IFERROR(INDEX(checklistPesertaKemenkeu!$H$6:$H$1005,SMALL(IF(checklistPesertaKemenkeu!$AY$6:$AY$1005="Direkomendasikan",ROW($6:$1005)-5),608)),"")</f>
        <v/>
      </c>
      <c r="F609" t="str">
        <f t="array" ref="F609">IFERROR(INDEX(checklistPesertaKemenkeu!$I$6:$I$1005,SMALL(IF(checklistPesertaKemenkeu!$AY$6:$AY$1005="Direkomendasikan",ROW($6:$1005)-5),608)),"")</f>
        <v/>
      </c>
      <c r="G609" t="str">
        <f t="array" ref="G609">IFERROR(INDEX(checklistPesertaKemenkeu!$J$6:$J$1005,SMALL(IF(checklistPesertaKemenkeu!$AY$6:$AY$1005="Direkomendasikan",ROW($6:$1005)-5),608)),"")</f>
        <v/>
      </c>
      <c r="H609" t="str">
        <f t="array" aca="1" ref="H609" ca="1">IFERROR(IF(OR(INDEX(checklistPesertaKemenkeu!$L$6:$L$1005,SMALL(IF(checklistPesertaKemenkeu!$AY$6:$AY$1005="Direkomendasikan",ROW($6:$1005)-5),608))="",INDEX(checklistPesertaKemenkeu!$J$6:$J$1005,SMALL(IF(checklistPesertaKemenkeu!$AY$6:$AY$1005="Direkomendasikan",ROW($6:$1005)-5),608))=""),"",IF(AND(COUNTIF(INDIRECT("K_"&amp;MATCH(INDEX(checklistPesertaKemenkeu!$J$6:$J$1005,SMALL(IF(checklistPesertaKemenkeu!$AY$6:$AY$1005="Direkomendasikan",ROW($6:$1005)-5),608)),BidangList,0)),INDEX(checklistPesertaKemenkeu!$L$6:$L$1005,SMALL(IF(checklistPesertaKemenkeu!$AY$6:$AY$1005="Direkomendasikan",ROW($6:$1005)-5),608)))&gt;0,COUNTIF(INDIRECT("'KERTAS KERJA'!K"&amp;(SMALL(IF(checklistPesertaKemenkeu!$AY$6:$AY$1005="Direkomendasikan",ROW($6:$1005)-5),608)+5)&amp;":O"&amp;(SMALL(IF(checklistPesertaKemenkeu!$AY$6:$AY$1005="Direkomendasikan",ROW($6:$1005)-5),608)+5)),INDEX(checklistPesertaKemenkeu!$L$6:$L$1005,SMALL(IF(checklistPesertaKemenkeu!$AY$6:$AY$1005="Direkomendasikan",ROW($6:$1005)-5),608)))=1),IFERROR(VLOOKUP(INDEX(checklistPesertaKemenkeu!$L$6:$L$1005,SMALL(IF(checklistPesertaKemenkeu!$AY$6:$AY$1005="Direkomendasikan",ROW($6:$1005)-5),608)),KotaKode,2,0),"-"),"")),"")</f>
        <v/>
      </c>
      <c r="I609" t="str">
        <f t="array" aca="1" ref="I609" ca="1">IFERROR(IF(OR(INDEX(checklistPesertaKemenkeu!$M$6:$M$1005,SMALL(IF(checklistPesertaKemenkeu!$AY$6:$AY$1005="Direkomendasikan",ROW($6:$1005)-5),608))="",INDEX(checklistPesertaKemenkeu!$J$6:$J$1005,SMALL(IF(checklistPesertaKemenkeu!$AY$6:$AY$1005="Direkomendasikan",ROW($6:$1005)-5),608))=""),"",IF(AND(COUNTIF(INDIRECT("K_"&amp;MATCH(INDEX(checklistPesertaKemenkeu!$J$6:$J$1005,SMALL(IF(checklistPesertaKemenkeu!$AY$6:$AY$1005="Direkomendasikan",ROW($6:$1005)-5),608)),BidangList,0)),INDEX(checklistPesertaKemenkeu!$M$6:$M$1005,SMALL(IF(checklistPesertaKemenkeu!$AY$6:$AY$1005="Direkomendasikan",ROW($6:$1005)-5),608)))&gt;0,COUNTIF(INDIRECT("'KERTAS KERJA'!K"&amp;(SMALL(IF(checklistPesertaKemenkeu!$AY$6:$AY$1005="Direkomendasikan",ROW($6:$1005)-5),608)+5)&amp;":O"&amp;(SMALL(IF(checklistPesertaKemenkeu!$AY$6:$AY$1005="Direkomendasikan",ROW($6:$1005)-5),608)+5)),INDEX(checklistPesertaKemenkeu!$M$6:$M$1005,SMALL(IF(checklistPesertaKemenkeu!$AY$6:$AY$1005="Direkomendasikan",ROW($6:$1005)-5),608)))=1),IFERROR(VLOOKUP(INDEX(checklistPesertaKemenkeu!$M$6:$M$1005,SMALL(IF(checklistPesertaKemenkeu!$AY$6:$AY$1005="Direkomendasikan",ROW($6:$1005)-5),608)),KotaKode,2,0),"-"),"")),"")</f>
        <v/>
      </c>
      <c r="J609" t="str">
        <f t="array" aca="1" ref="J609" ca="1">IFERROR(IF(OR(INDEX(checklistPesertaKemenkeu!$N$6:$N$1005,SMALL(IF(checklistPesertaKemenkeu!$AY$6:$AY$1005="Direkomendasikan",ROW($6:$1005)-5),608))="",INDEX(checklistPesertaKemenkeu!$J$6:$J$1005,SMALL(IF(checklistPesertaKemenkeu!$AY$6:$AY$1005="Direkomendasikan",ROW($6:$1005)-5),608))=""),"",IF(AND(COUNTIF(INDIRECT("K_"&amp;MATCH(INDEX(checklistPesertaKemenkeu!$J$6:$J$1005,SMALL(IF(checklistPesertaKemenkeu!$AY$6:$AY$1005="Direkomendasikan",ROW($6:$1005)-5),608)),BidangList,0)),INDEX(checklistPesertaKemenkeu!$N$6:$N$1005,SMALL(IF(checklistPesertaKemenkeu!$AY$6:$AY$1005="Direkomendasikan",ROW($6:$1005)-5),608)))&gt;0,COUNTIF(INDIRECT("'KERTAS KERJA'!K"&amp;(SMALL(IF(checklistPesertaKemenkeu!$AY$6:$AY$1005="Direkomendasikan",ROW($6:$1005)-5),608)+5)&amp;":O"&amp;(SMALL(IF(checklistPesertaKemenkeu!$AY$6:$AY$1005="Direkomendasikan",ROW($6:$1005)-5),608)+5)),INDEX(checklistPesertaKemenkeu!$N$6:$N$1005,SMALL(IF(checklistPesertaKemenkeu!$AY$6:$AY$1005="Direkomendasikan",ROW($6:$1005)-5),608)))=1),IFERROR(VLOOKUP(INDEX(checklistPesertaKemenkeu!$N$6:$N$1005,SMALL(IF(checklistPesertaKemenkeu!$AY$6:$AY$1005="Direkomendasikan",ROW($6:$1005)-5),608)),KotaKode,2,0),"-"),"")),"")</f>
        <v/>
      </c>
      <c r="K609" t="str">
        <f t="array" aca="1" ref="K609" ca="1">IFERROR(IF(OR(INDEX(checklistPesertaKemenkeu!$O$6:$O$1005,SMALL(IF(checklistPesertaKemenkeu!$AY$6:$AY$1005="Direkomendasikan",ROW($6:$1005)-5),608))="",INDEX(checklistPesertaKemenkeu!$J$6:$J$1005,SMALL(IF(checklistPesertaKemenkeu!$AY$6:$AY$1005="Direkomendasikan",ROW($6:$1005)-5),608))=""),"",IF(AND(COUNTIF(INDIRECT("K_"&amp;MATCH(INDEX(checklistPesertaKemenkeu!$J$6:$J$1005,SMALL(IF(checklistPesertaKemenkeu!$AY$6:$AY$1005="Direkomendasikan",ROW($6:$1005)-5),608)),BidangList,0)),INDEX(checklistPesertaKemenkeu!$O$6:$O$1005,SMALL(IF(checklistPesertaKemenkeu!$AY$6:$AY$1005="Direkomendasikan",ROW($6:$1005)-5),608)))&gt;0,COUNTIF(INDIRECT("'KERTAS KERJA'!K"&amp;(SMALL(IF(checklistPesertaKemenkeu!$AY$6:$AY$1005="Direkomendasikan",ROW($6:$1005)-5),608)+5)&amp;":O"&amp;(SMALL(IF(checklistPesertaKemenkeu!$AY$6:$AY$1005="Direkomendasikan",ROW($6:$1005)-5),608)+5)),INDEX(checklistPesertaKemenkeu!$O$6:$O$1005,SMALL(IF(checklistPesertaKemenkeu!$AY$6:$AY$1005="Direkomendasikan",ROW($6:$1005)-5),608)))=1),IFERROR(VLOOKUP(INDEX(checklistPesertaKemenkeu!$O$6:$O$1005,SMALL(IF(checklistPesertaKemenkeu!$AY$6:$AY$1005="Direkomendasikan",ROW($6:$1005)-5),608)),KotaKode,2,0),"-"),"")),"")</f>
        <v/>
      </c>
      <c r="L609" t="str">
        <f t="array" aca="1" ref="L609" ca="1">IFERROR(IF(OR(INDEX(checklistPesertaKemenkeu!$P$6:$P$1005,SMALL(IF(checklistPesertaKemenkeu!$AY$6:$AY$1005="Direkomendasikan",ROW($6:$1005)-5),608))="",INDEX(checklistPesertaKemenkeu!$J$6:$J$1005,SMALL(IF(checklistPesertaKemenkeu!$AY$6:$AY$1005="Direkomendasikan",ROW($6:$1005)-5),608))=""),"",IF(AND(COUNTIF(INDIRECT("K_"&amp;MATCH(INDEX(checklistPesertaKemenkeu!$J$6:$J$1005,SMALL(IF(checklistPesertaKemenkeu!$AY$6:$AY$1005="Direkomendasikan",ROW($6:$1005)-5),608)),BidangList,0)),INDEX(checklistPesertaKemenkeu!$P$6:$P$1005,SMALL(IF(checklistPesertaKemenkeu!$AY$6:$AY$1005="Direkomendasikan",ROW($6:$1005)-5),608)))&gt;0,COUNTIF(INDIRECT("'KERTAS KERJA'!K"&amp;(SMALL(IF(checklistPesertaKemenkeu!$AY$6:$AY$1005="Direkomendasikan",ROW($6:$1005)-5),608)+5)&amp;":O"&amp;(SMALL(IF(checklistPesertaKemenkeu!$AY$6:$AY$1005="Direkomendasikan",ROW($6:$1005)-5),608)+5)),INDEX(checklistPesertaKemenkeu!$P$6:$P$1005,SMALL(IF(checklistPesertaKemenkeu!$AY$6:$AY$1005="Direkomendasikan",ROW($6:$1005)-5),608)))=1),IFERROR(VLOOKUP(INDEX(checklistPesertaKemenkeu!$P$6:$P$1005,SMALL(IF(checklistPesertaKemenkeu!$AY$6:$AY$1005="Direkomendasikan",ROW($6:$1005)-5),608)),KotaKode,2,0),"-"),"")),"")</f>
        <v/>
      </c>
    </row>
    <row r="610" spans="1:12" ht="15" customHeight="1" x14ac:dyDescent="0.2">
      <c r="A610" t="str">
        <f t="shared" si="9"/>
        <v/>
      </c>
      <c r="B610" t="str">
        <v/>
      </c>
      <c r="C610" s="40" t="str">
        <f t="array" ref="C610">IFERROR(INDEX(checklistPesertaKemenkeu!$F$6:$F$1005,SMALL(IF(checklistPesertaKemenkeu!$AY$6:$AY$1005="Direkomendasikan",ROW($6:$1005)-5),609)),"")</f>
        <v/>
      </c>
      <c r="D610" t="str">
        <f t="array" ref="D610">IFERROR(INDEX(checklistPesertaKemenkeu!$G$6:$G$1005,SMALL(IF(checklistPesertaKemenkeu!$AY$6:$AY$1005="Direkomendasikan",ROW($6:$1005)-5),609)),"")</f>
        <v/>
      </c>
      <c r="E610" t="str">
        <f t="array" ref="E610">IFERROR(INDEX(checklistPesertaKemenkeu!$H$6:$H$1005,SMALL(IF(checklistPesertaKemenkeu!$AY$6:$AY$1005="Direkomendasikan",ROW($6:$1005)-5),609)),"")</f>
        <v/>
      </c>
      <c r="F610" t="str">
        <f t="array" ref="F610">IFERROR(INDEX(checklistPesertaKemenkeu!$I$6:$I$1005,SMALL(IF(checklistPesertaKemenkeu!$AY$6:$AY$1005="Direkomendasikan",ROW($6:$1005)-5),609)),"")</f>
        <v/>
      </c>
      <c r="G610" t="str">
        <f t="array" ref="G610">IFERROR(INDEX(checklistPesertaKemenkeu!$J$6:$J$1005,SMALL(IF(checklistPesertaKemenkeu!$AY$6:$AY$1005="Direkomendasikan",ROW($6:$1005)-5),609)),"")</f>
        <v/>
      </c>
      <c r="H610" t="str">
        <f t="array" aca="1" ref="H610" ca="1">IFERROR(IF(OR(INDEX(checklistPesertaKemenkeu!$L$6:$L$1005,SMALL(IF(checklistPesertaKemenkeu!$AY$6:$AY$1005="Direkomendasikan",ROW($6:$1005)-5),609))="",INDEX(checklistPesertaKemenkeu!$J$6:$J$1005,SMALL(IF(checklistPesertaKemenkeu!$AY$6:$AY$1005="Direkomendasikan",ROW($6:$1005)-5),609))=""),"",IF(AND(COUNTIF(INDIRECT("K_"&amp;MATCH(INDEX(checklistPesertaKemenkeu!$J$6:$J$1005,SMALL(IF(checklistPesertaKemenkeu!$AY$6:$AY$1005="Direkomendasikan",ROW($6:$1005)-5),609)),BidangList,0)),INDEX(checklistPesertaKemenkeu!$L$6:$L$1005,SMALL(IF(checklistPesertaKemenkeu!$AY$6:$AY$1005="Direkomendasikan",ROW($6:$1005)-5),609)))&gt;0,COUNTIF(INDIRECT("'KERTAS KERJA'!K"&amp;(SMALL(IF(checklistPesertaKemenkeu!$AY$6:$AY$1005="Direkomendasikan",ROW($6:$1005)-5),609)+5)&amp;":O"&amp;(SMALL(IF(checklistPesertaKemenkeu!$AY$6:$AY$1005="Direkomendasikan",ROW($6:$1005)-5),609)+5)),INDEX(checklistPesertaKemenkeu!$L$6:$L$1005,SMALL(IF(checklistPesertaKemenkeu!$AY$6:$AY$1005="Direkomendasikan",ROW($6:$1005)-5),609)))=1),IFERROR(VLOOKUP(INDEX(checklistPesertaKemenkeu!$L$6:$L$1005,SMALL(IF(checklistPesertaKemenkeu!$AY$6:$AY$1005="Direkomendasikan",ROW($6:$1005)-5),609)),KotaKode,2,0),"-"),"")),"")</f>
        <v/>
      </c>
      <c r="I610" t="str">
        <f t="array" aca="1" ref="I610" ca="1">IFERROR(IF(OR(INDEX(checklistPesertaKemenkeu!$M$6:$M$1005,SMALL(IF(checklistPesertaKemenkeu!$AY$6:$AY$1005="Direkomendasikan",ROW($6:$1005)-5),609))="",INDEX(checklistPesertaKemenkeu!$J$6:$J$1005,SMALL(IF(checklistPesertaKemenkeu!$AY$6:$AY$1005="Direkomendasikan",ROW($6:$1005)-5),609))=""),"",IF(AND(COUNTIF(INDIRECT("K_"&amp;MATCH(INDEX(checklistPesertaKemenkeu!$J$6:$J$1005,SMALL(IF(checklistPesertaKemenkeu!$AY$6:$AY$1005="Direkomendasikan",ROW($6:$1005)-5),609)),BidangList,0)),INDEX(checklistPesertaKemenkeu!$M$6:$M$1005,SMALL(IF(checklistPesertaKemenkeu!$AY$6:$AY$1005="Direkomendasikan",ROW($6:$1005)-5),609)))&gt;0,COUNTIF(INDIRECT("'KERTAS KERJA'!K"&amp;(SMALL(IF(checklistPesertaKemenkeu!$AY$6:$AY$1005="Direkomendasikan",ROW($6:$1005)-5),609)+5)&amp;":O"&amp;(SMALL(IF(checklistPesertaKemenkeu!$AY$6:$AY$1005="Direkomendasikan",ROW($6:$1005)-5),609)+5)),INDEX(checklistPesertaKemenkeu!$M$6:$M$1005,SMALL(IF(checklistPesertaKemenkeu!$AY$6:$AY$1005="Direkomendasikan",ROW($6:$1005)-5),609)))=1),IFERROR(VLOOKUP(INDEX(checklistPesertaKemenkeu!$M$6:$M$1005,SMALL(IF(checklistPesertaKemenkeu!$AY$6:$AY$1005="Direkomendasikan",ROW($6:$1005)-5),609)),KotaKode,2,0),"-"),"")),"")</f>
        <v/>
      </c>
      <c r="J610" t="str">
        <f t="array" aca="1" ref="J610" ca="1">IFERROR(IF(OR(INDEX(checklistPesertaKemenkeu!$N$6:$N$1005,SMALL(IF(checklistPesertaKemenkeu!$AY$6:$AY$1005="Direkomendasikan",ROW($6:$1005)-5),609))="",INDEX(checklistPesertaKemenkeu!$J$6:$J$1005,SMALL(IF(checklistPesertaKemenkeu!$AY$6:$AY$1005="Direkomendasikan",ROW($6:$1005)-5),609))=""),"",IF(AND(COUNTIF(INDIRECT("K_"&amp;MATCH(INDEX(checklistPesertaKemenkeu!$J$6:$J$1005,SMALL(IF(checklistPesertaKemenkeu!$AY$6:$AY$1005="Direkomendasikan",ROW($6:$1005)-5),609)),BidangList,0)),INDEX(checklistPesertaKemenkeu!$N$6:$N$1005,SMALL(IF(checklistPesertaKemenkeu!$AY$6:$AY$1005="Direkomendasikan",ROW($6:$1005)-5),609)))&gt;0,COUNTIF(INDIRECT("'KERTAS KERJA'!K"&amp;(SMALL(IF(checklistPesertaKemenkeu!$AY$6:$AY$1005="Direkomendasikan",ROW($6:$1005)-5),609)+5)&amp;":O"&amp;(SMALL(IF(checklistPesertaKemenkeu!$AY$6:$AY$1005="Direkomendasikan",ROW($6:$1005)-5),609)+5)),INDEX(checklistPesertaKemenkeu!$N$6:$N$1005,SMALL(IF(checklistPesertaKemenkeu!$AY$6:$AY$1005="Direkomendasikan",ROW($6:$1005)-5),609)))=1),IFERROR(VLOOKUP(INDEX(checklistPesertaKemenkeu!$N$6:$N$1005,SMALL(IF(checklistPesertaKemenkeu!$AY$6:$AY$1005="Direkomendasikan",ROW($6:$1005)-5),609)),KotaKode,2,0),"-"),"")),"")</f>
        <v/>
      </c>
      <c r="K610" t="str">
        <f t="array" aca="1" ref="K610" ca="1">IFERROR(IF(OR(INDEX(checklistPesertaKemenkeu!$O$6:$O$1005,SMALL(IF(checklistPesertaKemenkeu!$AY$6:$AY$1005="Direkomendasikan",ROW($6:$1005)-5),609))="",INDEX(checklistPesertaKemenkeu!$J$6:$J$1005,SMALL(IF(checklistPesertaKemenkeu!$AY$6:$AY$1005="Direkomendasikan",ROW($6:$1005)-5),609))=""),"",IF(AND(COUNTIF(INDIRECT("K_"&amp;MATCH(INDEX(checklistPesertaKemenkeu!$J$6:$J$1005,SMALL(IF(checklistPesertaKemenkeu!$AY$6:$AY$1005="Direkomendasikan",ROW($6:$1005)-5),609)),BidangList,0)),INDEX(checklistPesertaKemenkeu!$O$6:$O$1005,SMALL(IF(checklistPesertaKemenkeu!$AY$6:$AY$1005="Direkomendasikan",ROW($6:$1005)-5),609)))&gt;0,COUNTIF(INDIRECT("'KERTAS KERJA'!K"&amp;(SMALL(IF(checklistPesertaKemenkeu!$AY$6:$AY$1005="Direkomendasikan",ROW($6:$1005)-5),609)+5)&amp;":O"&amp;(SMALL(IF(checklistPesertaKemenkeu!$AY$6:$AY$1005="Direkomendasikan",ROW($6:$1005)-5),609)+5)),INDEX(checklistPesertaKemenkeu!$O$6:$O$1005,SMALL(IF(checklistPesertaKemenkeu!$AY$6:$AY$1005="Direkomendasikan",ROW($6:$1005)-5),609)))=1),IFERROR(VLOOKUP(INDEX(checklistPesertaKemenkeu!$O$6:$O$1005,SMALL(IF(checklistPesertaKemenkeu!$AY$6:$AY$1005="Direkomendasikan",ROW($6:$1005)-5),609)),KotaKode,2,0),"-"),"")),"")</f>
        <v/>
      </c>
      <c r="L610" t="str">
        <f t="array" aca="1" ref="L610" ca="1">IFERROR(IF(OR(INDEX(checklistPesertaKemenkeu!$P$6:$P$1005,SMALL(IF(checklistPesertaKemenkeu!$AY$6:$AY$1005="Direkomendasikan",ROW($6:$1005)-5),609))="",INDEX(checklistPesertaKemenkeu!$J$6:$J$1005,SMALL(IF(checklistPesertaKemenkeu!$AY$6:$AY$1005="Direkomendasikan",ROW($6:$1005)-5),609))=""),"",IF(AND(COUNTIF(INDIRECT("K_"&amp;MATCH(INDEX(checklistPesertaKemenkeu!$J$6:$J$1005,SMALL(IF(checklistPesertaKemenkeu!$AY$6:$AY$1005="Direkomendasikan",ROW($6:$1005)-5),609)),BidangList,0)),INDEX(checklistPesertaKemenkeu!$P$6:$P$1005,SMALL(IF(checklistPesertaKemenkeu!$AY$6:$AY$1005="Direkomendasikan",ROW($6:$1005)-5),609)))&gt;0,COUNTIF(INDIRECT("'KERTAS KERJA'!K"&amp;(SMALL(IF(checklistPesertaKemenkeu!$AY$6:$AY$1005="Direkomendasikan",ROW($6:$1005)-5),609)+5)&amp;":O"&amp;(SMALL(IF(checklistPesertaKemenkeu!$AY$6:$AY$1005="Direkomendasikan",ROW($6:$1005)-5),609)+5)),INDEX(checklistPesertaKemenkeu!$P$6:$P$1005,SMALL(IF(checklistPesertaKemenkeu!$AY$6:$AY$1005="Direkomendasikan",ROW($6:$1005)-5),609)))=1),IFERROR(VLOOKUP(INDEX(checklistPesertaKemenkeu!$P$6:$P$1005,SMALL(IF(checklistPesertaKemenkeu!$AY$6:$AY$1005="Direkomendasikan",ROW($6:$1005)-5),609)),KotaKode,2,0),"-"),"")),"")</f>
        <v/>
      </c>
    </row>
    <row r="611" spans="1:12" ht="15" customHeight="1" x14ac:dyDescent="0.2">
      <c r="A611" t="str">
        <f t="shared" si="9"/>
        <v/>
      </c>
      <c r="B611" t="str">
        <v/>
      </c>
      <c r="C611" s="40" t="str">
        <f t="array" ref="C611">IFERROR(INDEX(checklistPesertaKemenkeu!$F$6:$F$1005,SMALL(IF(checklistPesertaKemenkeu!$AY$6:$AY$1005="Direkomendasikan",ROW($6:$1005)-5),610)),"")</f>
        <v/>
      </c>
      <c r="D611" t="str">
        <f t="array" ref="D611">IFERROR(INDEX(checklistPesertaKemenkeu!$G$6:$G$1005,SMALL(IF(checklistPesertaKemenkeu!$AY$6:$AY$1005="Direkomendasikan",ROW($6:$1005)-5),610)),"")</f>
        <v/>
      </c>
      <c r="E611" t="str">
        <f t="array" ref="E611">IFERROR(INDEX(checklistPesertaKemenkeu!$H$6:$H$1005,SMALL(IF(checklistPesertaKemenkeu!$AY$6:$AY$1005="Direkomendasikan",ROW($6:$1005)-5),610)),"")</f>
        <v/>
      </c>
      <c r="F611" t="str">
        <f t="array" ref="F611">IFERROR(INDEX(checklistPesertaKemenkeu!$I$6:$I$1005,SMALL(IF(checklistPesertaKemenkeu!$AY$6:$AY$1005="Direkomendasikan",ROW($6:$1005)-5),610)),"")</f>
        <v/>
      </c>
      <c r="G611" t="str">
        <f t="array" ref="G611">IFERROR(INDEX(checklistPesertaKemenkeu!$J$6:$J$1005,SMALL(IF(checklistPesertaKemenkeu!$AY$6:$AY$1005="Direkomendasikan",ROW($6:$1005)-5),610)),"")</f>
        <v/>
      </c>
      <c r="H611" t="str">
        <f t="array" aca="1" ref="H611" ca="1">IFERROR(IF(OR(INDEX(checklistPesertaKemenkeu!$L$6:$L$1005,SMALL(IF(checklistPesertaKemenkeu!$AY$6:$AY$1005="Direkomendasikan",ROW($6:$1005)-5),610))="",INDEX(checklistPesertaKemenkeu!$J$6:$J$1005,SMALL(IF(checklistPesertaKemenkeu!$AY$6:$AY$1005="Direkomendasikan",ROW($6:$1005)-5),610))=""),"",IF(AND(COUNTIF(INDIRECT("K_"&amp;MATCH(INDEX(checklistPesertaKemenkeu!$J$6:$J$1005,SMALL(IF(checklistPesertaKemenkeu!$AY$6:$AY$1005="Direkomendasikan",ROW($6:$1005)-5),610)),BidangList,0)),INDEX(checklistPesertaKemenkeu!$L$6:$L$1005,SMALL(IF(checklistPesertaKemenkeu!$AY$6:$AY$1005="Direkomendasikan",ROW($6:$1005)-5),610)))&gt;0,COUNTIF(INDIRECT("'KERTAS KERJA'!K"&amp;(SMALL(IF(checklistPesertaKemenkeu!$AY$6:$AY$1005="Direkomendasikan",ROW($6:$1005)-5),610)+5)&amp;":O"&amp;(SMALL(IF(checklistPesertaKemenkeu!$AY$6:$AY$1005="Direkomendasikan",ROW($6:$1005)-5),610)+5)),INDEX(checklistPesertaKemenkeu!$L$6:$L$1005,SMALL(IF(checklistPesertaKemenkeu!$AY$6:$AY$1005="Direkomendasikan",ROW($6:$1005)-5),610)))=1),IFERROR(VLOOKUP(INDEX(checklistPesertaKemenkeu!$L$6:$L$1005,SMALL(IF(checklistPesertaKemenkeu!$AY$6:$AY$1005="Direkomendasikan",ROW($6:$1005)-5),610)),KotaKode,2,0),"-"),"")),"")</f>
        <v/>
      </c>
      <c r="I611" t="str">
        <f t="array" aca="1" ref="I611" ca="1">IFERROR(IF(OR(INDEX(checklistPesertaKemenkeu!$M$6:$M$1005,SMALL(IF(checklistPesertaKemenkeu!$AY$6:$AY$1005="Direkomendasikan",ROW($6:$1005)-5),610))="",INDEX(checklistPesertaKemenkeu!$J$6:$J$1005,SMALL(IF(checklistPesertaKemenkeu!$AY$6:$AY$1005="Direkomendasikan",ROW($6:$1005)-5),610))=""),"",IF(AND(COUNTIF(INDIRECT("K_"&amp;MATCH(INDEX(checklistPesertaKemenkeu!$J$6:$J$1005,SMALL(IF(checklistPesertaKemenkeu!$AY$6:$AY$1005="Direkomendasikan",ROW($6:$1005)-5),610)),BidangList,0)),INDEX(checklistPesertaKemenkeu!$M$6:$M$1005,SMALL(IF(checklistPesertaKemenkeu!$AY$6:$AY$1005="Direkomendasikan",ROW($6:$1005)-5),610)))&gt;0,COUNTIF(INDIRECT("'KERTAS KERJA'!K"&amp;(SMALL(IF(checklistPesertaKemenkeu!$AY$6:$AY$1005="Direkomendasikan",ROW($6:$1005)-5),610)+5)&amp;":O"&amp;(SMALL(IF(checklistPesertaKemenkeu!$AY$6:$AY$1005="Direkomendasikan",ROW($6:$1005)-5),610)+5)),INDEX(checklistPesertaKemenkeu!$M$6:$M$1005,SMALL(IF(checklistPesertaKemenkeu!$AY$6:$AY$1005="Direkomendasikan",ROW($6:$1005)-5),610)))=1),IFERROR(VLOOKUP(INDEX(checklistPesertaKemenkeu!$M$6:$M$1005,SMALL(IF(checklistPesertaKemenkeu!$AY$6:$AY$1005="Direkomendasikan",ROW($6:$1005)-5),610)),KotaKode,2,0),"-"),"")),"")</f>
        <v/>
      </c>
      <c r="J611" t="str">
        <f t="array" aca="1" ref="J611" ca="1">IFERROR(IF(OR(INDEX(checklistPesertaKemenkeu!$N$6:$N$1005,SMALL(IF(checklistPesertaKemenkeu!$AY$6:$AY$1005="Direkomendasikan",ROW($6:$1005)-5),610))="",INDEX(checklistPesertaKemenkeu!$J$6:$J$1005,SMALL(IF(checklistPesertaKemenkeu!$AY$6:$AY$1005="Direkomendasikan",ROW($6:$1005)-5),610))=""),"",IF(AND(COUNTIF(INDIRECT("K_"&amp;MATCH(INDEX(checklistPesertaKemenkeu!$J$6:$J$1005,SMALL(IF(checklistPesertaKemenkeu!$AY$6:$AY$1005="Direkomendasikan",ROW($6:$1005)-5),610)),BidangList,0)),INDEX(checklistPesertaKemenkeu!$N$6:$N$1005,SMALL(IF(checklistPesertaKemenkeu!$AY$6:$AY$1005="Direkomendasikan",ROW($6:$1005)-5),610)))&gt;0,COUNTIF(INDIRECT("'KERTAS KERJA'!K"&amp;(SMALL(IF(checklistPesertaKemenkeu!$AY$6:$AY$1005="Direkomendasikan",ROW($6:$1005)-5),610)+5)&amp;":O"&amp;(SMALL(IF(checklistPesertaKemenkeu!$AY$6:$AY$1005="Direkomendasikan",ROW($6:$1005)-5),610)+5)),INDEX(checklistPesertaKemenkeu!$N$6:$N$1005,SMALL(IF(checklistPesertaKemenkeu!$AY$6:$AY$1005="Direkomendasikan",ROW($6:$1005)-5),610)))=1),IFERROR(VLOOKUP(INDEX(checklistPesertaKemenkeu!$N$6:$N$1005,SMALL(IF(checklistPesertaKemenkeu!$AY$6:$AY$1005="Direkomendasikan",ROW($6:$1005)-5),610)),KotaKode,2,0),"-"),"")),"")</f>
        <v/>
      </c>
      <c r="K611" t="str">
        <f t="array" aca="1" ref="K611" ca="1">IFERROR(IF(OR(INDEX(checklistPesertaKemenkeu!$O$6:$O$1005,SMALL(IF(checklistPesertaKemenkeu!$AY$6:$AY$1005="Direkomendasikan",ROW($6:$1005)-5),610))="",INDEX(checklistPesertaKemenkeu!$J$6:$J$1005,SMALL(IF(checklistPesertaKemenkeu!$AY$6:$AY$1005="Direkomendasikan",ROW($6:$1005)-5),610))=""),"",IF(AND(COUNTIF(INDIRECT("K_"&amp;MATCH(INDEX(checklistPesertaKemenkeu!$J$6:$J$1005,SMALL(IF(checklistPesertaKemenkeu!$AY$6:$AY$1005="Direkomendasikan",ROW($6:$1005)-5),610)),BidangList,0)),INDEX(checklistPesertaKemenkeu!$O$6:$O$1005,SMALL(IF(checklistPesertaKemenkeu!$AY$6:$AY$1005="Direkomendasikan",ROW($6:$1005)-5),610)))&gt;0,COUNTIF(INDIRECT("'KERTAS KERJA'!K"&amp;(SMALL(IF(checklistPesertaKemenkeu!$AY$6:$AY$1005="Direkomendasikan",ROW($6:$1005)-5),610)+5)&amp;":O"&amp;(SMALL(IF(checklistPesertaKemenkeu!$AY$6:$AY$1005="Direkomendasikan",ROW($6:$1005)-5),610)+5)),INDEX(checklistPesertaKemenkeu!$O$6:$O$1005,SMALL(IF(checklistPesertaKemenkeu!$AY$6:$AY$1005="Direkomendasikan",ROW($6:$1005)-5),610)))=1),IFERROR(VLOOKUP(INDEX(checklistPesertaKemenkeu!$O$6:$O$1005,SMALL(IF(checklistPesertaKemenkeu!$AY$6:$AY$1005="Direkomendasikan",ROW($6:$1005)-5),610)),KotaKode,2,0),"-"),"")),"")</f>
        <v/>
      </c>
      <c r="L611" t="str">
        <f t="array" aca="1" ref="L611" ca="1">IFERROR(IF(OR(INDEX(checklistPesertaKemenkeu!$P$6:$P$1005,SMALL(IF(checklistPesertaKemenkeu!$AY$6:$AY$1005="Direkomendasikan",ROW($6:$1005)-5),610))="",INDEX(checklistPesertaKemenkeu!$J$6:$J$1005,SMALL(IF(checklistPesertaKemenkeu!$AY$6:$AY$1005="Direkomendasikan",ROW($6:$1005)-5),610))=""),"",IF(AND(COUNTIF(INDIRECT("K_"&amp;MATCH(INDEX(checklistPesertaKemenkeu!$J$6:$J$1005,SMALL(IF(checklistPesertaKemenkeu!$AY$6:$AY$1005="Direkomendasikan",ROW($6:$1005)-5),610)),BidangList,0)),INDEX(checklistPesertaKemenkeu!$P$6:$P$1005,SMALL(IF(checklistPesertaKemenkeu!$AY$6:$AY$1005="Direkomendasikan",ROW($6:$1005)-5),610)))&gt;0,COUNTIF(INDIRECT("'KERTAS KERJA'!K"&amp;(SMALL(IF(checklistPesertaKemenkeu!$AY$6:$AY$1005="Direkomendasikan",ROW($6:$1005)-5),610)+5)&amp;":O"&amp;(SMALL(IF(checklistPesertaKemenkeu!$AY$6:$AY$1005="Direkomendasikan",ROW($6:$1005)-5),610)+5)),INDEX(checklistPesertaKemenkeu!$P$6:$P$1005,SMALL(IF(checklistPesertaKemenkeu!$AY$6:$AY$1005="Direkomendasikan",ROW($6:$1005)-5),610)))=1),IFERROR(VLOOKUP(INDEX(checklistPesertaKemenkeu!$P$6:$P$1005,SMALL(IF(checklistPesertaKemenkeu!$AY$6:$AY$1005="Direkomendasikan",ROW($6:$1005)-5),610)),KotaKode,2,0),"-"),"")),"")</f>
        <v/>
      </c>
    </row>
    <row r="612" spans="1:12" ht="15" customHeight="1" x14ac:dyDescent="0.2">
      <c r="A612" t="str">
        <f t="shared" si="9"/>
        <v/>
      </c>
      <c r="B612" t="str">
        <v/>
      </c>
      <c r="C612" s="40" t="str">
        <f t="array" ref="C612">IFERROR(INDEX(checklistPesertaKemenkeu!$F$6:$F$1005,SMALL(IF(checklistPesertaKemenkeu!$AY$6:$AY$1005="Direkomendasikan",ROW($6:$1005)-5),611)),"")</f>
        <v/>
      </c>
      <c r="D612" t="str">
        <f t="array" ref="D612">IFERROR(INDEX(checklistPesertaKemenkeu!$G$6:$G$1005,SMALL(IF(checklistPesertaKemenkeu!$AY$6:$AY$1005="Direkomendasikan",ROW($6:$1005)-5),611)),"")</f>
        <v/>
      </c>
      <c r="E612" t="str">
        <f t="array" ref="E612">IFERROR(INDEX(checklistPesertaKemenkeu!$H$6:$H$1005,SMALL(IF(checklistPesertaKemenkeu!$AY$6:$AY$1005="Direkomendasikan",ROW($6:$1005)-5),611)),"")</f>
        <v/>
      </c>
      <c r="F612" t="str">
        <f t="array" ref="F612">IFERROR(INDEX(checklistPesertaKemenkeu!$I$6:$I$1005,SMALL(IF(checklistPesertaKemenkeu!$AY$6:$AY$1005="Direkomendasikan",ROW($6:$1005)-5),611)),"")</f>
        <v/>
      </c>
      <c r="G612" t="str">
        <f t="array" ref="G612">IFERROR(INDEX(checklistPesertaKemenkeu!$J$6:$J$1005,SMALL(IF(checklistPesertaKemenkeu!$AY$6:$AY$1005="Direkomendasikan",ROW($6:$1005)-5),611)),"")</f>
        <v/>
      </c>
      <c r="H612" t="str">
        <f t="array" aca="1" ref="H612" ca="1">IFERROR(IF(OR(INDEX(checklistPesertaKemenkeu!$L$6:$L$1005,SMALL(IF(checklistPesertaKemenkeu!$AY$6:$AY$1005="Direkomendasikan",ROW($6:$1005)-5),611))="",INDEX(checklistPesertaKemenkeu!$J$6:$J$1005,SMALL(IF(checklistPesertaKemenkeu!$AY$6:$AY$1005="Direkomendasikan",ROW($6:$1005)-5),611))=""),"",IF(AND(COUNTIF(INDIRECT("K_"&amp;MATCH(INDEX(checklistPesertaKemenkeu!$J$6:$J$1005,SMALL(IF(checklistPesertaKemenkeu!$AY$6:$AY$1005="Direkomendasikan",ROW($6:$1005)-5),611)),BidangList,0)),INDEX(checklistPesertaKemenkeu!$L$6:$L$1005,SMALL(IF(checklistPesertaKemenkeu!$AY$6:$AY$1005="Direkomendasikan",ROW($6:$1005)-5),611)))&gt;0,COUNTIF(INDIRECT("'KERTAS KERJA'!K"&amp;(SMALL(IF(checklistPesertaKemenkeu!$AY$6:$AY$1005="Direkomendasikan",ROW($6:$1005)-5),611)+5)&amp;":O"&amp;(SMALL(IF(checklistPesertaKemenkeu!$AY$6:$AY$1005="Direkomendasikan",ROW($6:$1005)-5),611)+5)),INDEX(checklistPesertaKemenkeu!$L$6:$L$1005,SMALL(IF(checklistPesertaKemenkeu!$AY$6:$AY$1005="Direkomendasikan",ROW($6:$1005)-5),611)))=1),IFERROR(VLOOKUP(INDEX(checklistPesertaKemenkeu!$L$6:$L$1005,SMALL(IF(checklistPesertaKemenkeu!$AY$6:$AY$1005="Direkomendasikan",ROW($6:$1005)-5),611)),KotaKode,2,0),"-"),"")),"")</f>
        <v/>
      </c>
      <c r="I612" t="str">
        <f t="array" aca="1" ref="I612" ca="1">IFERROR(IF(OR(INDEX(checklistPesertaKemenkeu!$M$6:$M$1005,SMALL(IF(checklistPesertaKemenkeu!$AY$6:$AY$1005="Direkomendasikan",ROW($6:$1005)-5),611))="",INDEX(checklistPesertaKemenkeu!$J$6:$J$1005,SMALL(IF(checklistPesertaKemenkeu!$AY$6:$AY$1005="Direkomendasikan",ROW($6:$1005)-5),611))=""),"",IF(AND(COUNTIF(INDIRECT("K_"&amp;MATCH(INDEX(checklistPesertaKemenkeu!$J$6:$J$1005,SMALL(IF(checklistPesertaKemenkeu!$AY$6:$AY$1005="Direkomendasikan",ROW($6:$1005)-5),611)),BidangList,0)),INDEX(checklistPesertaKemenkeu!$M$6:$M$1005,SMALL(IF(checklistPesertaKemenkeu!$AY$6:$AY$1005="Direkomendasikan",ROW($6:$1005)-5),611)))&gt;0,COUNTIF(INDIRECT("'KERTAS KERJA'!K"&amp;(SMALL(IF(checklistPesertaKemenkeu!$AY$6:$AY$1005="Direkomendasikan",ROW($6:$1005)-5),611)+5)&amp;":O"&amp;(SMALL(IF(checklistPesertaKemenkeu!$AY$6:$AY$1005="Direkomendasikan",ROW($6:$1005)-5),611)+5)),INDEX(checklistPesertaKemenkeu!$M$6:$M$1005,SMALL(IF(checklistPesertaKemenkeu!$AY$6:$AY$1005="Direkomendasikan",ROW($6:$1005)-5),611)))=1),IFERROR(VLOOKUP(INDEX(checklistPesertaKemenkeu!$M$6:$M$1005,SMALL(IF(checklistPesertaKemenkeu!$AY$6:$AY$1005="Direkomendasikan",ROW($6:$1005)-5),611)),KotaKode,2,0),"-"),"")),"")</f>
        <v/>
      </c>
      <c r="J612" t="str">
        <f t="array" aca="1" ref="J612" ca="1">IFERROR(IF(OR(INDEX(checklistPesertaKemenkeu!$N$6:$N$1005,SMALL(IF(checklistPesertaKemenkeu!$AY$6:$AY$1005="Direkomendasikan",ROW($6:$1005)-5),611))="",INDEX(checklistPesertaKemenkeu!$J$6:$J$1005,SMALL(IF(checklistPesertaKemenkeu!$AY$6:$AY$1005="Direkomendasikan",ROW($6:$1005)-5),611))=""),"",IF(AND(COUNTIF(INDIRECT("K_"&amp;MATCH(INDEX(checklistPesertaKemenkeu!$J$6:$J$1005,SMALL(IF(checklistPesertaKemenkeu!$AY$6:$AY$1005="Direkomendasikan",ROW($6:$1005)-5),611)),BidangList,0)),INDEX(checklistPesertaKemenkeu!$N$6:$N$1005,SMALL(IF(checklistPesertaKemenkeu!$AY$6:$AY$1005="Direkomendasikan",ROW($6:$1005)-5),611)))&gt;0,COUNTIF(INDIRECT("'KERTAS KERJA'!K"&amp;(SMALL(IF(checklistPesertaKemenkeu!$AY$6:$AY$1005="Direkomendasikan",ROW($6:$1005)-5),611)+5)&amp;":O"&amp;(SMALL(IF(checklistPesertaKemenkeu!$AY$6:$AY$1005="Direkomendasikan",ROW($6:$1005)-5),611)+5)),INDEX(checklistPesertaKemenkeu!$N$6:$N$1005,SMALL(IF(checklistPesertaKemenkeu!$AY$6:$AY$1005="Direkomendasikan",ROW($6:$1005)-5),611)))=1),IFERROR(VLOOKUP(INDEX(checklistPesertaKemenkeu!$N$6:$N$1005,SMALL(IF(checklistPesertaKemenkeu!$AY$6:$AY$1005="Direkomendasikan",ROW($6:$1005)-5),611)),KotaKode,2,0),"-"),"")),"")</f>
        <v/>
      </c>
      <c r="K612" t="str">
        <f t="array" aca="1" ref="K612" ca="1">IFERROR(IF(OR(INDEX(checklistPesertaKemenkeu!$O$6:$O$1005,SMALL(IF(checklistPesertaKemenkeu!$AY$6:$AY$1005="Direkomendasikan",ROW($6:$1005)-5),611))="",INDEX(checklistPesertaKemenkeu!$J$6:$J$1005,SMALL(IF(checklistPesertaKemenkeu!$AY$6:$AY$1005="Direkomendasikan",ROW($6:$1005)-5),611))=""),"",IF(AND(COUNTIF(INDIRECT("K_"&amp;MATCH(INDEX(checklistPesertaKemenkeu!$J$6:$J$1005,SMALL(IF(checklistPesertaKemenkeu!$AY$6:$AY$1005="Direkomendasikan",ROW($6:$1005)-5),611)),BidangList,0)),INDEX(checklistPesertaKemenkeu!$O$6:$O$1005,SMALL(IF(checklistPesertaKemenkeu!$AY$6:$AY$1005="Direkomendasikan",ROW($6:$1005)-5),611)))&gt;0,COUNTIF(INDIRECT("'KERTAS KERJA'!K"&amp;(SMALL(IF(checklistPesertaKemenkeu!$AY$6:$AY$1005="Direkomendasikan",ROW($6:$1005)-5),611)+5)&amp;":O"&amp;(SMALL(IF(checklistPesertaKemenkeu!$AY$6:$AY$1005="Direkomendasikan",ROW($6:$1005)-5),611)+5)),INDEX(checklistPesertaKemenkeu!$O$6:$O$1005,SMALL(IF(checklistPesertaKemenkeu!$AY$6:$AY$1005="Direkomendasikan",ROW($6:$1005)-5),611)))=1),IFERROR(VLOOKUP(INDEX(checklistPesertaKemenkeu!$O$6:$O$1005,SMALL(IF(checklistPesertaKemenkeu!$AY$6:$AY$1005="Direkomendasikan",ROW($6:$1005)-5),611)),KotaKode,2,0),"-"),"")),"")</f>
        <v/>
      </c>
      <c r="L612" t="str">
        <f t="array" aca="1" ref="L612" ca="1">IFERROR(IF(OR(INDEX(checklistPesertaKemenkeu!$P$6:$P$1005,SMALL(IF(checklistPesertaKemenkeu!$AY$6:$AY$1005="Direkomendasikan",ROW($6:$1005)-5),611))="",INDEX(checklistPesertaKemenkeu!$J$6:$J$1005,SMALL(IF(checklistPesertaKemenkeu!$AY$6:$AY$1005="Direkomendasikan",ROW($6:$1005)-5),611))=""),"",IF(AND(COUNTIF(INDIRECT("K_"&amp;MATCH(INDEX(checklistPesertaKemenkeu!$J$6:$J$1005,SMALL(IF(checklistPesertaKemenkeu!$AY$6:$AY$1005="Direkomendasikan",ROW($6:$1005)-5),611)),BidangList,0)),INDEX(checklistPesertaKemenkeu!$P$6:$P$1005,SMALL(IF(checklistPesertaKemenkeu!$AY$6:$AY$1005="Direkomendasikan",ROW($6:$1005)-5),611)))&gt;0,COUNTIF(INDIRECT("'KERTAS KERJA'!K"&amp;(SMALL(IF(checklistPesertaKemenkeu!$AY$6:$AY$1005="Direkomendasikan",ROW($6:$1005)-5),611)+5)&amp;":O"&amp;(SMALL(IF(checklistPesertaKemenkeu!$AY$6:$AY$1005="Direkomendasikan",ROW($6:$1005)-5),611)+5)),INDEX(checklistPesertaKemenkeu!$P$6:$P$1005,SMALL(IF(checklistPesertaKemenkeu!$AY$6:$AY$1005="Direkomendasikan",ROW($6:$1005)-5),611)))=1),IFERROR(VLOOKUP(INDEX(checklistPesertaKemenkeu!$P$6:$P$1005,SMALL(IF(checklistPesertaKemenkeu!$AY$6:$AY$1005="Direkomendasikan",ROW($6:$1005)-5),611)),KotaKode,2,0),"-"),"")),"")</f>
        <v/>
      </c>
    </row>
    <row r="613" spans="1:12" ht="15" customHeight="1" x14ac:dyDescent="0.2">
      <c r="A613" t="str">
        <f t="shared" si="9"/>
        <v/>
      </c>
      <c r="B613" t="str">
        <v/>
      </c>
      <c r="C613" s="40" t="str">
        <f t="array" ref="C613">IFERROR(INDEX(checklistPesertaKemenkeu!$F$6:$F$1005,SMALL(IF(checklistPesertaKemenkeu!$AY$6:$AY$1005="Direkomendasikan",ROW($6:$1005)-5),612)),"")</f>
        <v/>
      </c>
      <c r="D613" t="str">
        <f t="array" ref="D613">IFERROR(INDEX(checklistPesertaKemenkeu!$G$6:$G$1005,SMALL(IF(checklistPesertaKemenkeu!$AY$6:$AY$1005="Direkomendasikan",ROW($6:$1005)-5),612)),"")</f>
        <v/>
      </c>
      <c r="E613" t="str">
        <f t="array" ref="E613">IFERROR(INDEX(checklistPesertaKemenkeu!$H$6:$H$1005,SMALL(IF(checklistPesertaKemenkeu!$AY$6:$AY$1005="Direkomendasikan",ROW($6:$1005)-5),612)),"")</f>
        <v/>
      </c>
      <c r="F613" t="str">
        <f t="array" ref="F613">IFERROR(INDEX(checklistPesertaKemenkeu!$I$6:$I$1005,SMALL(IF(checklistPesertaKemenkeu!$AY$6:$AY$1005="Direkomendasikan",ROW($6:$1005)-5),612)),"")</f>
        <v/>
      </c>
      <c r="G613" t="str">
        <f t="array" ref="G613">IFERROR(INDEX(checklistPesertaKemenkeu!$J$6:$J$1005,SMALL(IF(checklistPesertaKemenkeu!$AY$6:$AY$1005="Direkomendasikan",ROW($6:$1005)-5),612)),"")</f>
        <v/>
      </c>
      <c r="H613" t="str">
        <f t="array" aca="1" ref="H613" ca="1">IFERROR(IF(OR(INDEX(checklistPesertaKemenkeu!$L$6:$L$1005,SMALL(IF(checklistPesertaKemenkeu!$AY$6:$AY$1005="Direkomendasikan",ROW($6:$1005)-5),612))="",INDEX(checklistPesertaKemenkeu!$J$6:$J$1005,SMALL(IF(checklistPesertaKemenkeu!$AY$6:$AY$1005="Direkomendasikan",ROW($6:$1005)-5),612))=""),"",IF(AND(COUNTIF(INDIRECT("K_"&amp;MATCH(INDEX(checklistPesertaKemenkeu!$J$6:$J$1005,SMALL(IF(checklistPesertaKemenkeu!$AY$6:$AY$1005="Direkomendasikan",ROW($6:$1005)-5),612)),BidangList,0)),INDEX(checklistPesertaKemenkeu!$L$6:$L$1005,SMALL(IF(checklistPesertaKemenkeu!$AY$6:$AY$1005="Direkomendasikan",ROW($6:$1005)-5),612)))&gt;0,COUNTIF(INDIRECT("'KERTAS KERJA'!K"&amp;(SMALL(IF(checklistPesertaKemenkeu!$AY$6:$AY$1005="Direkomendasikan",ROW($6:$1005)-5),612)+5)&amp;":O"&amp;(SMALL(IF(checklistPesertaKemenkeu!$AY$6:$AY$1005="Direkomendasikan",ROW($6:$1005)-5),612)+5)),INDEX(checklistPesertaKemenkeu!$L$6:$L$1005,SMALL(IF(checklistPesertaKemenkeu!$AY$6:$AY$1005="Direkomendasikan",ROW($6:$1005)-5),612)))=1),IFERROR(VLOOKUP(INDEX(checklistPesertaKemenkeu!$L$6:$L$1005,SMALL(IF(checklistPesertaKemenkeu!$AY$6:$AY$1005="Direkomendasikan",ROW($6:$1005)-5),612)),KotaKode,2,0),"-"),"")),"")</f>
        <v/>
      </c>
      <c r="I613" t="str">
        <f t="array" aca="1" ref="I613" ca="1">IFERROR(IF(OR(INDEX(checklistPesertaKemenkeu!$M$6:$M$1005,SMALL(IF(checklistPesertaKemenkeu!$AY$6:$AY$1005="Direkomendasikan",ROW($6:$1005)-5),612))="",INDEX(checklistPesertaKemenkeu!$J$6:$J$1005,SMALL(IF(checklistPesertaKemenkeu!$AY$6:$AY$1005="Direkomendasikan",ROW($6:$1005)-5),612))=""),"",IF(AND(COUNTIF(INDIRECT("K_"&amp;MATCH(INDEX(checklistPesertaKemenkeu!$J$6:$J$1005,SMALL(IF(checklistPesertaKemenkeu!$AY$6:$AY$1005="Direkomendasikan",ROW($6:$1005)-5),612)),BidangList,0)),INDEX(checklistPesertaKemenkeu!$M$6:$M$1005,SMALL(IF(checklistPesertaKemenkeu!$AY$6:$AY$1005="Direkomendasikan",ROW($6:$1005)-5),612)))&gt;0,COUNTIF(INDIRECT("'KERTAS KERJA'!K"&amp;(SMALL(IF(checklistPesertaKemenkeu!$AY$6:$AY$1005="Direkomendasikan",ROW($6:$1005)-5),612)+5)&amp;":O"&amp;(SMALL(IF(checklistPesertaKemenkeu!$AY$6:$AY$1005="Direkomendasikan",ROW($6:$1005)-5),612)+5)),INDEX(checklistPesertaKemenkeu!$M$6:$M$1005,SMALL(IF(checklistPesertaKemenkeu!$AY$6:$AY$1005="Direkomendasikan",ROW($6:$1005)-5),612)))=1),IFERROR(VLOOKUP(INDEX(checklistPesertaKemenkeu!$M$6:$M$1005,SMALL(IF(checklistPesertaKemenkeu!$AY$6:$AY$1005="Direkomendasikan",ROW($6:$1005)-5),612)),KotaKode,2,0),"-"),"")),"")</f>
        <v/>
      </c>
      <c r="J613" t="str">
        <f t="array" aca="1" ref="J613" ca="1">IFERROR(IF(OR(INDEX(checklistPesertaKemenkeu!$N$6:$N$1005,SMALL(IF(checklistPesertaKemenkeu!$AY$6:$AY$1005="Direkomendasikan",ROW($6:$1005)-5),612))="",INDEX(checklistPesertaKemenkeu!$J$6:$J$1005,SMALL(IF(checklistPesertaKemenkeu!$AY$6:$AY$1005="Direkomendasikan",ROW($6:$1005)-5),612))=""),"",IF(AND(COUNTIF(INDIRECT("K_"&amp;MATCH(INDEX(checklistPesertaKemenkeu!$J$6:$J$1005,SMALL(IF(checklistPesertaKemenkeu!$AY$6:$AY$1005="Direkomendasikan",ROW($6:$1005)-5),612)),BidangList,0)),INDEX(checklistPesertaKemenkeu!$N$6:$N$1005,SMALL(IF(checklistPesertaKemenkeu!$AY$6:$AY$1005="Direkomendasikan",ROW($6:$1005)-5),612)))&gt;0,COUNTIF(INDIRECT("'KERTAS KERJA'!K"&amp;(SMALL(IF(checklistPesertaKemenkeu!$AY$6:$AY$1005="Direkomendasikan",ROW($6:$1005)-5),612)+5)&amp;":O"&amp;(SMALL(IF(checklistPesertaKemenkeu!$AY$6:$AY$1005="Direkomendasikan",ROW($6:$1005)-5),612)+5)),INDEX(checklistPesertaKemenkeu!$N$6:$N$1005,SMALL(IF(checklistPesertaKemenkeu!$AY$6:$AY$1005="Direkomendasikan",ROW($6:$1005)-5),612)))=1),IFERROR(VLOOKUP(INDEX(checklistPesertaKemenkeu!$N$6:$N$1005,SMALL(IF(checklistPesertaKemenkeu!$AY$6:$AY$1005="Direkomendasikan",ROW($6:$1005)-5),612)),KotaKode,2,0),"-"),"")),"")</f>
        <v/>
      </c>
      <c r="K613" t="str">
        <f t="array" aca="1" ref="K613" ca="1">IFERROR(IF(OR(INDEX(checklistPesertaKemenkeu!$O$6:$O$1005,SMALL(IF(checklistPesertaKemenkeu!$AY$6:$AY$1005="Direkomendasikan",ROW($6:$1005)-5),612))="",INDEX(checklistPesertaKemenkeu!$J$6:$J$1005,SMALL(IF(checklistPesertaKemenkeu!$AY$6:$AY$1005="Direkomendasikan",ROW($6:$1005)-5),612))=""),"",IF(AND(COUNTIF(INDIRECT("K_"&amp;MATCH(INDEX(checklistPesertaKemenkeu!$J$6:$J$1005,SMALL(IF(checklistPesertaKemenkeu!$AY$6:$AY$1005="Direkomendasikan",ROW($6:$1005)-5),612)),BidangList,0)),INDEX(checklistPesertaKemenkeu!$O$6:$O$1005,SMALL(IF(checklistPesertaKemenkeu!$AY$6:$AY$1005="Direkomendasikan",ROW($6:$1005)-5),612)))&gt;0,COUNTIF(INDIRECT("'KERTAS KERJA'!K"&amp;(SMALL(IF(checklistPesertaKemenkeu!$AY$6:$AY$1005="Direkomendasikan",ROW($6:$1005)-5),612)+5)&amp;":O"&amp;(SMALL(IF(checklistPesertaKemenkeu!$AY$6:$AY$1005="Direkomendasikan",ROW($6:$1005)-5),612)+5)),INDEX(checklistPesertaKemenkeu!$O$6:$O$1005,SMALL(IF(checklistPesertaKemenkeu!$AY$6:$AY$1005="Direkomendasikan",ROW($6:$1005)-5),612)))=1),IFERROR(VLOOKUP(INDEX(checklistPesertaKemenkeu!$O$6:$O$1005,SMALL(IF(checklistPesertaKemenkeu!$AY$6:$AY$1005="Direkomendasikan",ROW($6:$1005)-5),612)),KotaKode,2,0),"-"),"")),"")</f>
        <v/>
      </c>
      <c r="L613" t="str">
        <f t="array" aca="1" ref="L613" ca="1">IFERROR(IF(OR(INDEX(checklistPesertaKemenkeu!$P$6:$P$1005,SMALL(IF(checklistPesertaKemenkeu!$AY$6:$AY$1005="Direkomendasikan",ROW($6:$1005)-5),612))="",INDEX(checklistPesertaKemenkeu!$J$6:$J$1005,SMALL(IF(checklistPesertaKemenkeu!$AY$6:$AY$1005="Direkomendasikan",ROW($6:$1005)-5),612))=""),"",IF(AND(COUNTIF(INDIRECT("K_"&amp;MATCH(INDEX(checklistPesertaKemenkeu!$J$6:$J$1005,SMALL(IF(checklistPesertaKemenkeu!$AY$6:$AY$1005="Direkomendasikan",ROW($6:$1005)-5),612)),BidangList,0)),INDEX(checklistPesertaKemenkeu!$P$6:$P$1005,SMALL(IF(checklistPesertaKemenkeu!$AY$6:$AY$1005="Direkomendasikan",ROW($6:$1005)-5),612)))&gt;0,COUNTIF(INDIRECT("'KERTAS KERJA'!K"&amp;(SMALL(IF(checklistPesertaKemenkeu!$AY$6:$AY$1005="Direkomendasikan",ROW($6:$1005)-5),612)+5)&amp;":O"&amp;(SMALL(IF(checklistPesertaKemenkeu!$AY$6:$AY$1005="Direkomendasikan",ROW($6:$1005)-5),612)+5)),INDEX(checklistPesertaKemenkeu!$P$6:$P$1005,SMALL(IF(checklistPesertaKemenkeu!$AY$6:$AY$1005="Direkomendasikan",ROW($6:$1005)-5),612)))=1),IFERROR(VLOOKUP(INDEX(checklistPesertaKemenkeu!$P$6:$P$1005,SMALL(IF(checklistPesertaKemenkeu!$AY$6:$AY$1005="Direkomendasikan",ROW($6:$1005)-5),612)),KotaKode,2,0),"-"),"")),"")</f>
        <v/>
      </c>
    </row>
    <row r="614" spans="1:12" ht="15" customHeight="1" x14ac:dyDescent="0.2">
      <c r="A614" t="str">
        <f t="shared" si="9"/>
        <v/>
      </c>
      <c r="B614" t="str">
        <v/>
      </c>
      <c r="C614" s="40" t="str">
        <f t="array" ref="C614">IFERROR(INDEX(checklistPesertaKemenkeu!$F$6:$F$1005,SMALL(IF(checklistPesertaKemenkeu!$AY$6:$AY$1005="Direkomendasikan",ROW($6:$1005)-5),613)),"")</f>
        <v/>
      </c>
      <c r="D614" t="str">
        <f t="array" ref="D614">IFERROR(INDEX(checklistPesertaKemenkeu!$G$6:$G$1005,SMALL(IF(checklistPesertaKemenkeu!$AY$6:$AY$1005="Direkomendasikan",ROW($6:$1005)-5),613)),"")</f>
        <v/>
      </c>
      <c r="E614" t="str">
        <f t="array" ref="E614">IFERROR(INDEX(checklistPesertaKemenkeu!$H$6:$H$1005,SMALL(IF(checklistPesertaKemenkeu!$AY$6:$AY$1005="Direkomendasikan",ROW($6:$1005)-5),613)),"")</f>
        <v/>
      </c>
      <c r="F614" t="str">
        <f t="array" ref="F614">IFERROR(INDEX(checklistPesertaKemenkeu!$I$6:$I$1005,SMALL(IF(checklistPesertaKemenkeu!$AY$6:$AY$1005="Direkomendasikan",ROW($6:$1005)-5),613)),"")</f>
        <v/>
      </c>
      <c r="G614" t="str">
        <f t="array" ref="G614">IFERROR(INDEX(checklistPesertaKemenkeu!$J$6:$J$1005,SMALL(IF(checklistPesertaKemenkeu!$AY$6:$AY$1005="Direkomendasikan",ROW($6:$1005)-5),613)),"")</f>
        <v/>
      </c>
      <c r="H614" t="str">
        <f t="array" aca="1" ref="H614" ca="1">IFERROR(IF(OR(INDEX(checklistPesertaKemenkeu!$L$6:$L$1005,SMALL(IF(checklistPesertaKemenkeu!$AY$6:$AY$1005="Direkomendasikan",ROW($6:$1005)-5),613))="",INDEX(checklistPesertaKemenkeu!$J$6:$J$1005,SMALL(IF(checklistPesertaKemenkeu!$AY$6:$AY$1005="Direkomendasikan",ROW($6:$1005)-5),613))=""),"",IF(AND(COUNTIF(INDIRECT("K_"&amp;MATCH(INDEX(checklistPesertaKemenkeu!$J$6:$J$1005,SMALL(IF(checklistPesertaKemenkeu!$AY$6:$AY$1005="Direkomendasikan",ROW($6:$1005)-5),613)),BidangList,0)),INDEX(checklistPesertaKemenkeu!$L$6:$L$1005,SMALL(IF(checklistPesertaKemenkeu!$AY$6:$AY$1005="Direkomendasikan",ROW($6:$1005)-5),613)))&gt;0,COUNTIF(INDIRECT("'KERTAS KERJA'!K"&amp;(SMALL(IF(checklistPesertaKemenkeu!$AY$6:$AY$1005="Direkomendasikan",ROW($6:$1005)-5),613)+5)&amp;":O"&amp;(SMALL(IF(checklistPesertaKemenkeu!$AY$6:$AY$1005="Direkomendasikan",ROW($6:$1005)-5),613)+5)),INDEX(checklistPesertaKemenkeu!$L$6:$L$1005,SMALL(IF(checklistPesertaKemenkeu!$AY$6:$AY$1005="Direkomendasikan",ROW($6:$1005)-5),613)))=1),IFERROR(VLOOKUP(INDEX(checklistPesertaKemenkeu!$L$6:$L$1005,SMALL(IF(checklistPesertaKemenkeu!$AY$6:$AY$1005="Direkomendasikan",ROW($6:$1005)-5),613)),KotaKode,2,0),"-"),"")),"")</f>
        <v/>
      </c>
      <c r="I614" t="str">
        <f t="array" aca="1" ref="I614" ca="1">IFERROR(IF(OR(INDEX(checklistPesertaKemenkeu!$M$6:$M$1005,SMALL(IF(checklistPesertaKemenkeu!$AY$6:$AY$1005="Direkomendasikan",ROW($6:$1005)-5),613))="",INDEX(checklistPesertaKemenkeu!$J$6:$J$1005,SMALL(IF(checklistPesertaKemenkeu!$AY$6:$AY$1005="Direkomendasikan",ROW($6:$1005)-5),613))=""),"",IF(AND(COUNTIF(INDIRECT("K_"&amp;MATCH(INDEX(checklistPesertaKemenkeu!$J$6:$J$1005,SMALL(IF(checklistPesertaKemenkeu!$AY$6:$AY$1005="Direkomendasikan",ROW($6:$1005)-5),613)),BidangList,0)),INDEX(checklistPesertaKemenkeu!$M$6:$M$1005,SMALL(IF(checklistPesertaKemenkeu!$AY$6:$AY$1005="Direkomendasikan",ROW($6:$1005)-5),613)))&gt;0,COUNTIF(INDIRECT("'KERTAS KERJA'!K"&amp;(SMALL(IF(checklistPesertaKemenkeu!$AY$6:$AY$1005="Direkomendasikan",ROW($6:$1005)-5),613)+5)&amp;":O"&amp;(SMALL(IF(checklistPesertaKemenkeu!$AY$6:$AY$1005="Direkomendasikan",ROW($6:$1005)-5),613)+5)),INDEX(checklistPesertaKemenkeu!$M$6:$M$1005,SMALL(IF(checklistPesertaKemenkeu!$AY$6:$AY$1005="Direkomendasikan",ROW($6:$1005)-5),613)))=1),IFERROR(VLOOKUP(INDEX(checklistPesertaKemenkeu!$M$6:$M$1005,SMALL(IF(checklistPesertaKemenkeu!$AY$6:$AY$1005="Direkomendasikan",ROW($6:$1005)-5),613)),KotaKode,2,0),"-"),"")),"")</f>
        <v/>
      </c>
      <c r="J614" t="str">
        <f t="array" aca="1" ref="J614" ca="1">IFERROR(IF(OR(INDEX(checklistPesertaKemenkeu!$N$6:$N$1005,SMALL(IF(checklistPesertaKemenkeu!$AY$6:$AY$1005="Direkomendasikan",ROW($6:$1005)-5),613))="",INDEX(checklistPesertaKemenkeu!$J$6:$J$1005,SMALL(IF(checklistPesertaKemenkeu!$AY$6:$AY$1005="Direkomendasikan",ROW($6:$1005)-5),613))=""),"",IF(AND(COUNTIF(INDIRECT("K_"&amp;MATCH(INDEX(checklistPesertaKemenkeu!$J$6:$J$1005,SMALL(IF(checklistPesertaKemenkeu!$AY$6:$AY$1005="Direkomendasikan",ROW($6:$1005)-5),613)),BidangList,0)),INDEX(checklistPesertaKemenkeu!$N$6:$N$1005,SMALL(IF(checklistPesertaKemenkeu!$AY$6:$AY$1005="Direkomendasikan",ROW($6:$1005)-5),613)))&gt;0,COUNTIF(INDIRECT("'KERTAS KERJA'!K"&amp;(SMALL(IF(checklistPesertaKemenkeu!$AY$6:$AY$1005="Direkomendasikan",ROW($6:$1005)-5),613)+5)&amp;":O"&amp;(SMALL(IF(checklistPesertaKemenkeu!$AY$6:$AY$1005="Direkomendasikan",ROW($6:$1005)-5),613)+5)),INDEX(checklistPesertaKemenkeu!$N$6:$N$1005,SMALL(IF(checklistPesertaKemenkeu!$AY$6:$AY$1005="Direkomendasikan",ROW($6:$1005)-5),613)))=1),IFERROR(VLOOKUP(INDEX(checklistPesertaKemenkeu!$N$6:$N$1005,SMALL(IF(checklistPesertaKemenkeu!$AY$6:$AY$1005="Direkomendasikan",ROW($6:$1005)-5),613)),KotaKode,2,0),"-"),"")),"")</f>
        <v/>
      </c>
      <c r="K614" t="str">
        <f t="array" aca="1" ref="K614" ca="1">IFERROR(IF(OR(INDEX(checklistPesertaKemenkeu!$O$6:$O$1005,SMALL(IF(checklistPesertaKemenkeu!$AY$6:$AY$1005="Direkomendasikan",ROW($6:$1005)-5),613))="",INDEX(checklistPesertaKemenkeu!$J$6:$J$1005,SMALL(IF(checklistPesertaKemenkeu!$AY$6:$AY$1005="Direkomendasikan",ROW($6:$1005)-5),613))=""),"",IF(AND(COUNTIF(INDIRECT("K_"&amp;MATCH(INDEX(checklistPesertaKemenkeu!$J$6:$J$1005,SMALL(IF(checklistPesertaKemenkeu!$AY$6:$AY$1005="Direkomendasikan",ROW($6:$1005)-5),613)),BidangList,0)),INDEX(checklistPesertaKemenkeu!$O$6:$O$1005,SMALL(IF(checklistPesertaKemenkeu!$AY$6:$AY$1005="Direkomendasikan",ROW($6:$1005)-5),613)))&gt;0,COUNTIF(INDIRECT("'KERTAS KERJA'!K"&amp;(SMALL(IF(checklistPesertaKemenkeu!$AY$6:$AY$1005="Direkomendasikan",ROW($6:$1005)-5),613)+5)&amp;":O"&amp;(SMALL(IF(checklistPesertaKemenkeu!$AY$6:$AY$1005="Direkomendasikan",ROW($6:$1005)-5),613)+5)),INDEX(checklistPesertaKemenkeu!$O$6:$O$1005,SMALL(IF(checklistPesertaKemenkeu!$AY$6:$AY$1005="Direkomendasikan",ROW($6:$1005)-5),613)))=1),IFERROR(VLOOKUP(INDEX(checklistPesertaKemenkeu!$O$6:$O$1005,SMALL(IF(checklistPesertaKemenkeu!$AY$6:$AY$1005="Direkomendasikan",ROW($6:$1005)-5),613)),KotaKode,2,0),"-"),"")),"")</f>
        <v/>
      </c>
      <c r="L614" t="str">
        <f t="array" aca="1" ref="L614" ca="1">IFERROR(IF(OR(INDEX(checklistPesertaKemenkeu!$P$6:$P$1005,SMALL(IF(checklistPesertaKemenkeu!$AY$6:$AY$1005="Direkomendasikan",ROW($6:$1005)-5),613))="",INDEX(checklistPesertaKemenkeu!$J$6:$J$1005,SMALL(IF(checklistPesertaKemenkeu!$AY$6:$AY$1005="Direkomendasikan",ROW($6:$1005)-5),613))=""),"",IF(AND(COUNTIF(INDIRECT("K_"&amp;MATCH(INDEX(checklistPesertaKemenkeu!$J$6:$J$1005,SMALL(IF(checklistPesertaKemenkeu!$AY$6:$AY$1005="Direkomendasikan",ROW($6:$1005)-5),613)),BidangList,0)),INDEX(checklistPesertaKemenkeu!$P$6:$P$1005,SMALL(IF(checklistPesertaKemenkeu!$AY$6:$AY$1005="Direkomendasikan",ROW($6:$1005)-5),613)))&gt;0,COUNTIF(INDIRECT("'KERTAS KERJA'!K"&amp;(SMALL(IF(checklistPesertaKemenkeu!$AY$6:$AY$1005="Direkomendasikan",ROW($6:$1005)-5),613)+5)&amp;":O"&amp;(SMALL(IF(checklistPesertaKemenkeu!$AY$6:$AY$1005="Direkomendasikan",ROW($6:$1005)-5),613)+5)),INDEX(checklistPesertaKemenkeu!$P$6:$P$1005,SMALL(IF(checklistPesertaKemenkeu!$AY$6:$AY$1005="Direkomendasikan",ROW($6:$1005)-5),613)))=1),IFERROR(VLOOKUP(INDEX(checklistPesertaKemenkeu!$P$6:$P$1005,SMALL(IF(checklistPesertaKemenkeu!$AY$6:$AY$1005="Direkomendasikan",ROW($6:$1005)-5),613)),KotaKode,2,0),"-"),"")),"")</f>
        <v/>
      </c>
    </row>
    <row r="615" spans="1:12" ht="15" customHeight="1" x14ac:dyDescent="0.2">
      <c r="A615" t="str">
        <f t="shared" si="9"/>
        <v/>
      </c>
      <c r="B615" t="str">
        <v/>
      </c>
      <c r="C615" s="40" t="str">
        <f t="array" ref="C615">IFERROR(INDEX(checklistPesertaKemenkeu!$F$6:$F$1005,SMALL(IF(checklistPesertaKemenkeu!$AY$6:$AY$1005="Direkomendasikan",ROW($6:$1005)-5),614)),"")</f>
        <v/>
      </c>
      <c r="D615" t="str">
        <f t="array" ref="D615">IFERROR(INDEX(checklistPesertaKemenkeu!$G$6:$G$1005,SMALL(IF(checklistPesertaKemenkeu!$AY$6:$AY$1005="Direkomendasikan",ROW($6:$1005)-5),614)),"")</f>
        <v/>
      </c>
      <c r="E615" t="str">
        <f t="array" ref="E615">IFERROR(INDEX(checklistPesertaKemenkeu!$H$6:$H$1005,SMALL(IF(checklistPesertaKemenkeu!$AY$6:$AY$1005="Direkomendasikan",ROW($6:$1005)-5),614)),"")</f>
        <v/>
      </c>
      <c r="F615" t="str">
        <f t="array" ref="F615">IFERROR(INDEX(checklistPesertaKemenkeu!$I$6:$I$1005,SMALL(IF(checklistPesertaKemenkeu!$AY$6:$AY$1005="Direkomendasikan",ROW($6:$1005)-5),614)),"")</f>
        <v/>
      </c>
      <c r="G615" t="str">
        <f t="array" ref="G615">IFERROR(INDEX(checklistPesertaKemenkeu!$J$6:$J$1005,SMALL(IF(checklistPesertaKemenkeu!$AY$6:$AY$1005="Direkomendasikan",ROW($6:$1005)-5),614)),"")</f>
        <v/>
      </c>
      <c r="H615" t="str">
        <f t="array" aca="1" ref="H615" ca="1">IFERROR(IF(OR(INDEX(checklistPesertaKemenkeu!$L$6:$L$1005,SMALL(IF(checklistPesertaKemenkeu!$AY$6:$AY$1005="Direkomendasikan",ROW($6:$1005)-5),614))="",INDEX(checklistPesertaKemenkeu!$J$6:$J$1005,SMALL(IF(checklistPesertaKemenkeu!$AY$6:$AY$1005="Direkomendasikan",ROW($6:$1005)-5),614))=""),"",IF(AND(COUNTIF(INDIRECT("K_"&amp;MATCH(INDEX(checklistPesertaKemenkeu!$J$6:$J$1005,SMALL(IF(checklistPesertaKemenkeu!$AY$6:$AY$1005="Direkomendasikan",ROW($6:$1005)-5),614)),BidangList,0)),INDEX(checklistPesertaKemenkeu!$L$6:$L$1005,SMALL(IF(checklistPesertaKemenkeu!$AY$6:$AY$1005="Direkomendasikan",ROW($6:$1005)-5),614)))&gt;0,COUNTIF(INDIRECT("'KERTAS KERJA'!K"&amp;(SMALL(IF(checklistPesertaKemenkeu!$AY$6:$AY$1005="Direkomendasikan",ROW($6:$1005)-5),614)+5)&amp;":O"&amp;(SMALL(IF(checklistPesertaKemenkeu!$AY$6:$AY$1005="Direkomendasikan",ROW($6:$1005)-5),614)+5)),INDEX(checklistPesertaKemenkeu!$L$6:$L$1005,SMALL(IF(checklistPesertaKemenkeu!$AY$6:$AY$1005="Direkomendasikan",ROW($6:$1005)-5),614)))=1),IFERROR(VLOOKUP(INDEX(checklistPesertaKemenkeu!$L$6:$L$1005,SMALL(IF(checklistPesertaKemenkeu!$AY$6:$AY$1005="Direkomendasikan",ROW($6:$1005)-5),614)),KotaKode,2,0),"-"),"")),"")</f>
        <v/>
      </c>
      <c r="I615" t="str">
        <f t="array" aca="1" ref="I615" ca="1">IFERROR(IF(OR(INDEX(checklistPesertaKemenkeu!$M$6:$M$1005,SMALL(IF(checklistPesertaKemenkeu!$AY$6:$AY$1005="Direkomendasikan",ROW($6:$1005)-5),614))="",INDEX(checklistPesertaKemenkeu!$J$6:$J$1005,SMALL(IF(checklistPesertaKemenkeu!$AY$6:$AY$1005="Direkomendasikan",ROW($6:$1005)-5),614))=""),"",IF(AND(COUNTIF(INDIRECT("K_"&amp;MATCH(INDEX(checklistPesertaKemenkeu!$J$6:$J$1005,SMALL(IF(checklistPesertaKemenkeu!$AY$6:$AY$1005="Direkomendasikan",ROW($6:$1005)-5),614)),BidangList,0)),INDEX(checklistPesertaKemenkeu!$M$6:$M$1005,SMALL(IF(checklistPesertaKemenkeu!$AY$6:$AY$1005="Direkomendasikan",ROW($6:$1005)-5),614)))&gt;0,COUNTIF(INDIRECT("'KERTAS KERJA'!K"&amp;(SMALL(IF(checklistPesertaKemenkeu!$AY$6:$AY$1005="Direkomendasikan",ROW($6:$1005)-5),614)+5)&amp;":O"&amp;(SMALL(IF(checklistPesertaKemenkeu!$AY$6:$AY$1005="Direkomendasikan",ROW($6:$1005)-5),614)+5)),INDEX(checklistPesertaKemenkeu!$M$6:$M$1005,SMALL(IF(checklistPesertaKemenkeu!$AY$6:$AY$1005="Direkomendasikan",ROW($6:$1005)-5),614)))=1),IFERROR(VLOOKUP(INDEX(checklistPesertaKemenkeu!$M$6:$M$1005,SMALL(IF(checklistPesertaKemenkeu!$AY$6:$AY$1005="Direkomendasikan",ROW($6:$1005)-5),614)),KotaKode,2,0),"-"),"")),"")</f>
        <v/>
      </c>
      <c r="J615" t="str">
        <f t="array" aca="1" ref="J615" ca="1">IFERROR(IF(OR(INDEX(checklistPesertaKemenkeu!$N$6:$N$1005,SMALL(IF(checklistPesertaKemenkeu!$AY$6:$AY$1005="Direkomendasikan",ROW($6:$1005)-5),614))="",INDEX(checklistPesertaKemenkeu!$J$6:$J$1005,SMALL(IF(checklistPesertaKemenkeu!$AY$6:$AY$1005="Direkomendasikan",ROW($6:$1005)-5),614))=""),"",IF(AND(COUNTIF(INDIRECT("K_"&amp;MATCH(INDEX(checklistPesertaKemenkeu!$J$6:$J$1005,SMALL(IF(checklistPesertaKemenkeu!$AY$6:$AY$1005="Direkomendasikan",ROW($6:$1005)-5),614)),BidangList,0)),INDEX(checklistPesertaKemenkeu!$N$6:$N$1005,SMALL(IF(checklistPesertaKemenkeu!$AY$6:$AY$1005="Direkomendasikan",ROW($6:$1005)-5),614)))&gt;0,COUNTIF(INDIRECT("'KERTAS KERJA'!K"&amp;(SMALL(IF(checklistPesertaKemenkeu!$AY$6:$AY$1005="Direkomendasikan",ROW($6:$1005)-5),614)+5)&amp;":O"&amp;(SMALL(IF(checklistPesertaKemenkeu!$AY$6:$AY$1005="Direkomendasikan",ROW($6:$1005)-5),614)+5)),INDEX(checklistPesertaKemenkeu!$N$6:$N$1005,SMALL(IF(checklistPesertaKemenkeu!$AY$6:$AY$1005="Direkomendasikan",ROW($6:$1005)-5),614)))=1),IFERROR(VLOOKUP(INDEX(checklistPesertaKemenkeu!$N$6:$N$1005,SMALL(IF(checklistPesertaKemenkeu!$AY$6:$AY$1005="Direkomendasikan",ROW($6:$1005)-5),614)),KotaKode,2,0),"-"),"")),"")</f>
        <v/>
      </c>
      <c r="K615" t="str">
        <f t="array" aca="1" ref="K615" ca="1">IFERROR(IF(OR(INDEX(checklistPesertaKemenkeu!$O$6:$O$1005,SMALL(IF(checklistPesertaKemenkeu!$AY$6:$AY$1005="Direkomendasikan",ROW($6:$1005)-5),614))="",INDEX(checklistPesertaKemenkeu!$J$6:$J$1005,SMALL(IF(checklistPesertaKemenkeu!$AY$6:$AY$1005="Direkomendasikan",ROW($6:$1005)-5),614))=""),"",IF(AND(COUNTIF(INDIRECT("K_"&amp;MATCH(INDEX(checklistPesertaKemenkeu!$J$6:$J$1005,SMALL(IF(checklistPesertaKemenkeu!$AY$6:$AY$1005="Direkomendasikan",ROW($6:$1005)-5),614)),BidangList,0)),INDEX(checklistPesertaKemenkeu!$O$6:$O$1005,SMALL(IF(checklistPesertaKemenkeu!$AY$6:$AY$1005="Direkomendasikan",ROW($6:$1005)-5),614)))&gt;0,COUNTIF(INDIRECT("'KERTAS KERJA'!K"&amp;(SMALL(IF(checklistPesertaKemenkeu!$AY$6:$AY$1005="Direkomendasikan",ROW($6:$1005)-5),614)+5)&amp;":O"&amp;(SMALL(IF(checklistPesertaKemenkeu!$AY$6:$AY$1005="Direkomendasikan",ROW($6:$1005)-5),614)+5)),INDEX(checklistPesertaKemenkeu!$O$6:$O$1005,SMALL(IF(checklistPesertaKemenkeu!$AY$6:$AY$1005="Direkomendasikan",ROW($6:$1005)-5),614)))=1),IFERROR(VLOOKUP(INDEX(checklistPesertaKemenkeu!$O$6:$O$1005,SMALL(IF(checklistPesertaKemenkeu!$AY$6:$AY$1005="Direkomendasikan",ROW($6:$1005)-5),614)),KotaKode,2,0),"-"),"")),"")</f>
        <v/>
      </c>
      <c r="L615" t="str">
        <f t="array" aca="1" ref="L615" ca="1">IFERROR(IF(OR(INDEX(checklistPesertaKemenkeu!$P$6:$P$1005,SMALL(IF(checklistPesertaKemenkeu!$AY$6:$AY$1005="Direkomendasikan",ROW($6:$1005)-5),614))="",INDEX(checklistPesertaKemenkeu!$J$6:$J$1005,SMALL(IF(checklistPesertaKemenkeu!$AY$6:$AY$1005="Direkomendasikan",ROW($6:$1005)-5),614))=""),"",IF(AND(COUNTIF(INDIRECT("K_"&amp;MATCH(INDEX(checklistPesertaKemenkeu!$J$6:$J$1005,SMALL(IF(checklistPesertaKemenkeu!$AY$6:$AY$1005="Direkomendasikan",ROW($6:$1005)-5),614)),BidangList,0)),INDEX(checklistPesertaKemenkeu!$P$6:$P$1005,SMALL(IF(checklistPesertaKemenkeu!$AY$6:$AY$1005="Direkomendasikan",ROW($6:$1005)-5),614)))&gt;0,COUNTIF(INDIRECT("'KERTAS KERJA'!K"&amp;(SMALL(IF(checklistPesertaKemenkeu!$AY$6:$AY$1005="Direkomendasikan",ROW($6:$1005)-5),614)+5)&amp;":O"&amp;(SMALL(IF(checklistPesertaKemenkeu!$AY$6:$AY$1005="Direkomendasikan",ROW($6:$1005)-5),614)+5)),INDEX(checklistPesertaKemenkeu!$P$6:$P$1005,SMALL(IF(checklistPesertaKemenkeu!$AY$6:$AY$1005="Direkomendasikan",ROW($6:$1005)-5),614)))=1),IFERROR(VLOOKUP(INDEX(checklistPesertaKemenkeu!$P$6:$P$1005,SMALL(IF(checklistPesertaKemenkeu!$AY$6:$AY$1005="Direkomendasikan",ROW($6:$1005)-5),614)),KotaKode,2,0),"-"),"")),"")</f>
        <v/>
      </c>
    </row>
    <row r="616" spans="1:12" ht="15" customHeight="1" x14ac:dyDescent="0.2">
      <c r="A616" t="str">
        <f t="shared" si="9"/>
        <v/>
      </c>
      <c r="B616" t="str">
        <v/>
      </c>
      <c r="C616" s="40" t="str">
        <f t="array" ref="C616">IFERROR(INDEX(checklistPesertaKemenkeu!$F$6:$F$1005,SMALL(IF(checklistPesertaKemenkeu!$AY$6:$AY$1005="Direkomendasikan",ROW($6:$1005)-5),615)),"")</f>
        <v/>
      </c>
      <c r="D616" t="str">
        <f t="array" ref="D616">IFERROR(INDEX(checklistPesertaKemenkeu!$G$6:$G$1005,SMALL(IF(checklistPesertaKemenkeu!$AY$6:$AY$1005="Direkomendasikan",ROW($6:$1005)-5),615)),"")</f>
        <v/>
      </c>
      <c r="E616" t="str">
        <f t="array" ref="E616">IFERROR(INDEX(checklistPesertaKemenkeu!$H$6:$H$1005,SMALL(IF(checklistPesertaKemenkeu!$AY$6:$AY$1005="Direkomendasikan",ROW($6:$1005)-5),615)),"")</f>
        <v/>
      </c>
      <c r="F616" t="str">
        <f t="array" ref="F616">IFERROR(INDEX(checklistPesertaKemenkeu!$I$6:$I$1005,SMALL(IF(checklistPesertaKemenkeu!$AY$6:$AY$1005="Direkomendasikan",ROW($6:$1005)-5),615)),"")</f>
        <v/>
      </c>
      <c r="G616" t="str">
        <f t="array" ref="G616">IFERROR(INDEX(checklistPesertaKemenkeu!$J$6:$J$1005,SMALL(IF(checklistPesertaKemenkeu!$AY$6:$AY$1005="Direkomendasikan",ROW($6:$1005)-5),615)),"")</f>
        <v/>
      </c>
      <c r="H616" t="str">
        <f t="array" aca="1" ref="H616" ca="1">IFERROR(IF(OR(INDEX(checklistPesertaKemenkeu!$L$6:$L$1005,SMALL(IF(checklistPesertaKemenkeu!$AY$6:$AY$1005="Direkomendasikan",ROW($6:$1005)-5),615))="",INDEX(checklistPesertaKemenkeu!$J$6:$J$1005,SMALL(IF(checklistPesertaKemenkeu!$AY$6:$AY$1005="Direkomendasikan",ROW($6:$1005)-5),615))=""),"",IF(AND(COUNTIF(INDIRECT("K_"&amp;MATCH(INDEX(checklistPesertaKemenkeu!$J$6:$J$1005,SMALL(IF(checklistPesertaKemenkeu!$AY$6:$AY$1005="Direkomendasikan",ROW($6:$1005)-5),615)),BidangList,0)),INDEX(checklistPesertaKemenkeu!$L$6:$L$1005,SMALL(IF(checklistPesertaKemenkeu!$AY$6:$AY$1005="Direkomendasikan",ROW($6:$1005)-5),615)))&gt;0,COUNTIF(INDIRECT("'KERTAS KERJA'!K"&amp;(SMALL(IF(checklistPesertaKemenkeu!$AY$6:$AY$1005="Direkomendasikan",ROW($6:$1005)-5),615)+5)&amp;":O"&amp;(SMALL(IF(checklistPesertaKemenkeu!$AY$6:$AY$1005="Direkomendasikan",ROW($6:$1005)-5),615)+5)),INDEX(checklistPesertaKemenkeu!$L$6:$L$1005,SMALL(IF(checklistPesertaKemenkeu!$AY$6:$AY$1005="Direkomendasikan",ROW($6:$1005)-5),615)))=1),IFERROR(VLOOKUP(INDEX(checklistPesertaKemenkeu!$L$6:$L$1005,SMALL(IF(checklistPesertaKemenkeu!$AY$6:$AY$1005="Direkomendasikan",ROW($6:$1005)-5),615)),KotaKode,2,0),"-"),"")),"")</f>
        <v/>
      </c>
      <c r="I616" t="str">
        <f t="array" aca="1" ref="I616" ca="1">IFERROR(IF(OR(INDEX(checklistPesertaKemenkeu!$M$6:$M$1005,SMALL(IF(checklistPesertaKemenkeu!$AY$6:$AY$1005="Direkomendasikan",ROW($6:$1005)-5),615))="",INDEX(checklistPesertaKemenkeu!$J$6:$J$1005,SMALL(IF(checklistPesertaKemenkeu!$AY$6:$AY$1005="Direkomendasikan",ROW($6:$1005)-5),615))=""),"",IF(AND(COUNTIF(INDIRECT("K_"&amp;MATCH(INDEX(checklistPesertaKemenkeu!$J$6:$J$1005,SMALL(IF(checklistPesertaKemenkeu!$AY$6:$AY$1005="Direkomendasikan",ROW($6:$1005)-5),615)),BidangList,0)),INDEX(checklistPesertaKemenkeu!$M$6:$M$1005,SMALL(IF(checklistPesertaKemenkeu!$AY$6:$AY$1005="Direkomendasikan",ROW($6:$1005)-5),615)))&gt;0,COUNTIF(INDIRECT("'KERTAS KERJA'!K"&amp;(SMALL(IF(checklistPesertaKemenkeu!$AY$6:$AY$1005="Direkomendasikan",ROW($6:$1005)-5),615)+5)&amp;":O"&amp;(SMALL(IF(checklistPesertaKemenkeu!$AY$6:$AY$1005="Direkomendasikan",ROW($6:$1005)-5),615)+5)),INDEX(checklistPesertaKemenkeu!$M$6:$M$1005,SMALL(IF(checklistPesertaKemenkeu!$AY$6:$AY$1005="Direkomendasikan",ROW($6:$1005)-5),615)))=1),IFERROR(VLOOKUP(INDEX(checklistPesertaKemenkeu!$M$6:$M$1005,SMALL(IF(checklistPesertaKemenkeu!$AY$6:$AY$1005="Direkomendasikan",ROW($6:$1005)-5),615)),KotaKode,2,0),"-"),"")),"")</f>
        <v/>
      </c>
      <c r="J616" t="str">
        <f t="array" aca="1" ref="J616" ca="1">IFERROR(IF(OR(INDEX(checklistPesertaKemenkeu!$N$6:$N$1005,SMALL(IF(checklistPesertaKemenkeu!$AY$6:$AY$1005="Direkomendasikan",ROW($6:$1005)-5),615))="",INDEX(checklistPesertaKemenkeu!$J$6:$J$1005,SMALL(IF(checklistPesertaKemenkeu!$AY$6:$AY$1005="Direkomendasikan",ROW($6:$1005)-5),615))=""),"",IF(AND(COUNTIF(INDIRECT("K_"&amp;MATCH(INDEX(checklistPesertaKemenkeu!$J$6:$J$1005,SMALL(IF(checklistPesertaKemenkeu!$AY$6:$AY$1005="Direkomendasikan",ROW($6:$1005)-5),615)),BidangList,0)),INDEX(checklistPesertaKemenkeu!$N$6:$N$1005,SMALL(IF(checklistPesertaKemenkeu!$AY$6:$AY$1005="Direkomendasikan",ROW($6:$1005)-5),615)))&gt;0,COUNTIF(INDIRECT("'KERTAS KERJA'!K"&amp;(SMALL(IF(checklistPesertaKemenkeu!$AY$6:$AY$1005="Direkomendasikan",ROW($6:$1005)-5),615)+5)&amp;":O"&amp;(SMALL(IF(checklistPesertaKemenkeu!$AY$6:$AY$1005="Direkomendasikan",ROW($6:$1005)-5),615)+5)),INDEX(checklistPesertaKemenkeu!$N$6:$N$1005,SMALL(IF(checklistPesertaKemenkeu!$AY$6:$AY$1005="Direkomendasikan",ROW($6:$1005)-5),615)))=1),IFERROR(VLOOKUP(INDEX(checklistPesertaKemenkeu!$N$6:$N$1005,SMALL(IF(checklistPesertaKemenkeu!$AY$6:$AY$1005="Direkomendasikan",ROW($6:$1005)-5),615)),KotaKode,2,0),"-"),"")),"")</f>
        <v/>
      </c>
      <c r="K616" t="str">
        <f t="array" aca="1" ref="K616" ca="1">IFERROR(IF(OR(INDEX(checklistPesertaKemenkeu!$O$6:$O$1005,SMALL(IF(checklistPesertaKemenkeu!$AY$6:$AY$1005="Direkomendasikan",ROW($6:$1005)-5),615))="",INDEX(checklistPesertaKemenkeu!$J$6:$J$1005,SMALL(IF(checklistPesertaKemenkeu!$AY$6:$AY$1005="Direkomendasikan",ROW($6:$1005)-5),615))=""),"",IF(AND(COUNTIF(INDIRECT("K_"&amp;MATCH(INDEX(checklistPesertaKemenkeu!$J$6:$J$1005,SMALL(IF(checklistPesertaKemenkeu!$AY$6:$AY$1005="Direkomendasikan",ROW($6:$1005)-5),615)),BidangList,0)),INDEX(checklistPesertaKemenkeu!$O$6:$O$1005,SMALL(IF(checklistPesertaKemenkeu!$AY$6:$AY$1005="Direkomendasikan",ROW($6:$1005)-5),615)))&gt;0,COUNTIF(INDIRECT("'KERTAS KERJA'!K"&amp;(SMALL(IF(checklistPesertaKemenkeu!$AY$6:$AY$1005="Direkomendasikan",ROW($6:$1005)-5),615)+5)&amp;":O"&amp;(SMALL(IF(checklistPesertaKemenkeu!$AY$6:$AY$1005="Direkomendasikan",ROW($6:$1005)-5),615)+5)),INDEX(checklistPesertaKemenkeu!$O$6:$O$1005,SMALL(IF(checklistPesertaKemenkeu!$AY$6:$AY$1005="Direkomendasikan",ROW($6:$1005)-5),615)))=1),IFERROR(VLOOKUP(INDEX(checklistPesertaKemenkeu!$O$6:$O$1005,SMALL(IF(checklistPesertaKemenkeu!$AY$6:$AY$1005="Direkomendasikan",ROW($6:$1005)-5),615)),KotaKode,2,0),"-"),"")),"")</f>
        <v/>
      </c>
      <c r="L616" t="str">
        <f t="array" aca="1" ref="L616" ca="1">IFERROR(IF(OR(INDEX(checklistPesertaKemenkeu!$P$6:$P$1005,SMALL(IF(checklistPesertaKemenkeu!$AY$6:$AY$1005="Direkomendasikan",ROW($6:$1005)-5),615))="",INDEX(checklistPesertaKemenkeu!$J$6:$J$1005,SMALL(IF(checklistPesertaKemenkeu!$AY$6:$AY$1005="Direkomendasikan",ROW($6:$1005)-5),615))=""),"",IF(AND(COUNTIF(INDIRECT("K_"&amp;MATCH(INDEX(checklistPesertaKemenkeu!$J$6:$J$1005,SMALL(IF(checklistPesertaKemenkeu!$AY$6:$AY$1005="Direkomendasikan",ROW($6:$1005)-5),615)),BidangList,0)),INDEX(checklistPesertaKemenkeu!$P$6:$P$1005,SMALL(IF(checklistPesertaKemenkeu!$AY$6:$AY$1005="Direkomendasikan",ROW($6:$1005)-5),615)))&gt;0,COUNTIF(INDIRECT("'KERTAS KERJA'!K"&amp;(SMALL(IF(checklistPesertaKemenkeu!$AY$6:$AY$1005="Direkomendasikan",ROW($6:$1005)-5),615)+5)&amp;":O"&amp;(SMALL(IF(checklistPesertaKemenkeu!$AY$6:$AY$1005="Direkomendasikan",ROW($6:$1005)-5),615)+5)),INDEX(checklistPesertaKemenkeu!$P$6:$P$1005,SMALL(IF(checklistPesertaKemenkeu!$AY$6:$AY$1005="Direkomendasikan",ROW($6:$1005)-5),615)))=1),IFERROR(VLOOKUP(INDEX(checklistPesertaKemenkeu!$P$6:$P$1005,SMALL(IF(checklistPesertaKemenkeu!$AY$6:$AY$1005="Direkomendasikan",ROW($6:$1005)-5),615)),KotaKode,2,0),"-"),"")),"")</f>
        <v/>
      </c>
    </row>
    <row r="617" spans="1:12" ht="15" customHeight="1" x14ac:dyDescent="0.2">
      <c r="A617" t="str">
        <f t="shared" si="9"/>
        <v/>
      </c>
      <c r="B617" t="str">
        <v/>
      </c>
      <c r="C617" s="40" t="str">
        <f t="array" ref="C617">IFERROR(INDEX(checklistPesertaKemenkeu!$F$6:$F$1005,SMALL(IF(checklistPesertaKemenkeu!$AY$6:$AY$1005="Direkomendasikan",ROW($6:$1005)-5),616)),"")</f>
        <v/>
      </c>
      <c r="D617" t="str">
        <f t="array" ref="D617">IFERROR(INDEX(checklistPesertaKemenkeu!$G$6:$G$1005,SMALL(IF(checklistPesertaKemenkeu!$AY$6:$AY$1005="Direkomendasikan",ROW($6:$1005)-5),616)),"")</f>
        <v/>
      </c>
      <c r="E617" t="str">
        <f t="array" ref="E617">IFERROR(INDEX(checklistPesertaKemenkeu!$H$6:$H$1005,SMALL(IF(checklistPesertaKemenkeu!$AY$6:$AY$1005="Direkomendasikan",ROW($6:$1005)-5),616)),"")</f>
        <v/>
      </c>
      <c r="F617" t="str">
        <f t="array" ref="F617">IFERROR(INDEX(checklistPesertaKemenkeu!$I$6:$I$1005,SMALL(IF(checklistPesertaKemenkeu!$AY$6:$AY$1005="Direkomendasikan",ROW($6:$1005)-5),616)),"")</f>
        <v/>
      </c>
      <c r="G617" t="str">
        <f t="array" ref="G617">IFERROR(INDEX(checklistPesertaKemenkeu!$J$6:$J$1005,SMALL(IF(checklistPesertaKemenkeu!$AY$6:$AY$1005="Direkomendasikan",ROW($6:$1005)-5),616)),"")</f>
        <v/>
      </c>
      <c r="H617" t="str">
        <f t="array" aca="1" ref="H617" ca="1">IFERROR(IF(OR(INDEX(checklistPesertaKemenkeu!$L$6:$L$1005,SMALL(IF(checklistPesertaKemenkeu!$AY$6:$AY$1005="Direkomendasikan",ROW($6:$1005)-5),616))="",INDEX(checklistPesertaKemenkeu!$J$6:$J$1005,SMALL(IF(checklistPesertaKemenkeu!$AY$6:$AY$1005="Direkomendasikan",ROW($6:$1005)-5),616))=""),"",IF(AND(COUNTIF(INDIRECT("K_"&amp;MATCH(INDEX(checklistPesertaKemenkeu!$J$6:$J$1005,SMALL(IF(checklistPesertaKemenkeu!$AY$6:$AY$1005="Direkomendasikan",ROW($6:$1005)-5),616)),BidangList,0)),INDEX(checklistPesertaKemenkeu!$L$6:$L$1005,SMALL(IF(checklistPesertaKemenkeu!$AY$6:$AY$1005="Direkomendasikan",ROW($6:$1005)-5),616)))&gt;0,COUNTIF(INDIRECT("'KERTAS KERJA'!K"&amp;(SMALL(IF(checklistPesertaKemenkeu!$AY$6:$AY$1005="Direkomendasikan",ROW($6:$1005)-5),616)+5)&amp;":O"&amp;(SMALL(IF(checklistPesertaKemenkeu!$AY$6:$AY$1005="Direkomendasikan",ROW($6:$1005)-5),616)+5)),INDEX(checklistPesertaKemenkeu!$L$6:$L$1005,SMALL(IF(checklistPesertaKemenkeu!$AY$6:$AY$1005="Direkomendasikan",ROW($6:$1005)-5),616)))=1),IFERROR(VLOOKUP(INDEX(checklistPesertaKemenkeu!$L$6:$L$1005,SMALL(IF(checklistPesertaKemenkeu!$AY$6:$AY$1005="Direkomendasikan",ROW($6:$1005)-5),616)),KotaKode,2,0),"-"),"")),"")</f>
        <v/>
      </c>
      <c r="I617" t="str">
        <f t="array" aca="1" ref="I617" ca="1">IFERROR(IF(OR(INDEX(checklistPesertaKemenkeu!$M$6:$M$1005,SMALL(IF(checklistPesertaKemenkeu!$AY$6:$AY$1005="Direkomendasikan",ROW($6:$1005)-5),616))="",INDEX(checklistPesertaKemenkeu!$J$6:$J$1005,SMALL(IF(checklistPesertaKemenkeu!$AY$6:$AY$1005="Direkomendasikan",ROW($6:$1005)-5),616))=""),"",IF(AND(COUNTIF(INDIRECT("K_"&amp;MATCH(INDEX(checklistPesertaKemenkeu!$J$6:$J$1005,SMALL(IF(checklistPesertaKemenkeu!$AY$6:$AY$1005="Direkomendasikan",ROW($6:$1005)-5),616)),BidangList,0)),INDEX(checklistPesertaKemenkeu!$M$6:$M$1005,SMALL(IF(checklistPesertaKemenkeu!$AY$6:$AY$1005="Direkomendasikan",ROW($6:$1005)-5),616)))&gt;0,COUNTIF(INDIRECT("'KERTAS KERJA'!K"&amp;(SMALL(IF(checklistPesertaKemenkeu!$AY$6:$AY$1005="Direkomendasikan",ROW($6:$1005)-5),616)+5)&amp;":O"&amp;(SMALL(IF(checklistPesertaKemenkeu!$AY$6:$AY$1005="Direkomendasikan",ROW($6:$1005)-5),616)+5)),INDEX(checklistPesertaKemenkeu!$M$6:$M$1005,SMALL(IF(checklistPesertaKemenkeu!$AY$6:$AY$1005="Direkomendasikan",ROW($6:$1005)-5),616)))=1),IFERROR(VLOOKUP(INDEX(checklistPesertaKemenkeu!$M$6:$M$1005,SMALL(IF(checklistPesertaKemenkeu!$AY$6:$AY$1005="Direkomendasikan",ROW($6:$1005)-5),616)),KotaKode,2,0),"-"),"")),"")</f>
        <v/>
      </c>
      <c r="J617" t="str">
        <f t="array" aca="1" ref="J617" ca="1">IFERROR(IF(OR(INDEX(checklistPesertaKemenkeu!$N$6:$N$1005,SMALL(IF(checklistPesertaKemenkeu!$AY$6:$AY$1005="Direkomendasikan",ROW($6:$1005)-5),616))="",INDEX(checklistPesertaKemenkeu!$J$6:$J$1005,SMALL(IF(checklistPesertaKemenkeu!$AY$6:$AY$1005="Direkomendasikan",ROW($6:$1005)-5),616))=""),"",IF(AND(COUNTIF(INDIRECT("K_"&amp;MATCH(INDEX(checklistPesertaKemenkeu!$J$6:$J$1005,SMALL(IF(checklistPesertaKemenkeu!$AY$6:$AY$1005="Direkomendasikan",ROW($6:$1005)-5),616)),BidangList,0)),INDEX(checklistPesertaKemenkeu!$N$6:$N$1005,SMALL(IF(checklistPesertaKemenkeu!$AY$6:$AY$1005="Direkomendasikan",ROW($6:$1005)-5),616)))&gt;0,COUNTIF(INDIRECT("'KERTAS KERJA'!K"&amp;(SMALL(IF(checklistPesertaKemenkeu!$AY$6:$AY$1005="Direkomendasikan",ROW($6:$1005)-5),616)+5)&amp;":O"&amp;(SMALL(IF(checklistPesertaKemenkeu!$AY$6:$AY$1005="Direkomendasikan",ROW($6:$1005)-5),616)+5)),INDEX(checklistPesertaKemenkeu!$N$6:$N$1005,SMALL(IF(checklistPesertaKemenkeu!$AY$6:$AY$1005="Direkomendasikan",ROW($6:$1005)-5),616)))=1),IFERROR(VLOOKUP(INDEX(checklistPesertaKemenkeu!$N$6:$N$1005,SMALL(IF(checklistPesertaKemenkeu!$AY$6:$AY$1005="Direkomendasikan",ROW($6:$1005)-5),616)),KotaKode,2,0),"-"),"")),"")</f>
        <v/>
      </c>
      <c r="K617" t="str">
        <f t="array" aca="1" ref="K617" ca="1">IFERROR(IF(OR(INDEX(checklistPesertaKemenkeu!$O$6:$O$1005,SMALL(IF(checklistPesertaKemenkeu!$AY$6:$AY$1005="Direkomendasikan",ROW($6:$1005)-5),616))="",INDEX(checklistPesertaKemenkeu!$J$6:$J$1005,SMALL(IF(checklistPesertaKemenkeu!$AY$6:$AY$1005="Direkomendasikan",ROW($6:$1005)-5),616))=""),"",IF(AND(COUNTIF(INDIRECT("K_"&amp;MATCH(INDEX(checklistPesertaKemenkeu!$J$6:$J$1005,SMALL(IF(checklistPesertaKemenkeu!$AY$6:$AY$1005="Direkomendasikan",ROW($6:$1005)-5),616)),BidangList,0)),INDEX(checklistPesertaKemenkeu!$O$6:$O$1005,SMALL(IF(checklistPesertaKemenkeu!$AY$6:$AY$1005="Direkomendasikan",ROW($6:$1005)-5),616)))&gt;0,COUNTIF(INDIRECT("'KERTAS KERJA'!K"&amp;(SMALL(IF(checklistPesertaKemenkeu!$AY$6:$AY$1005="Direkomendasikan",ROW($6:$1005)-5),616)+5)&amp;":O"&amp;(SMALL(IF(checklistPesertaKemenkeu!$AY$6:$AY$1005="Direkomendasikan",ROW($6:$1005)-5),616)+5)),INDEX(checklistPesertaKemenkeu!$O$6:$O$1005,SMALL(IF(checklistPesertaKemenkeu!$AY$6:$AY$1005="Direkomendasikan",ROW($6:$1005)-5),616)))=1),IFERROR(VLOOKUP(INDEX(checklistPesertaKemenkeu!$O$6:$O$1005,SMALL(IF(checklistPesertaKemenkeu!$AY$6:$AY$1005="Direkomendasikan",ROW($6:$1005)-5),616)),KotaKode,2,0),"-"),"")),"")</f>
        <v/>
      </c>
      <c r="L617" t="str">
        <f t="array" aca="1" ref="L617" ca="1">IFERROR(IF(OR(INDEX(checklistPesertaKemenkeu!$P$6:$P$1005,SMALL(IF(checklistPesertaKemenkeu!$AY$6:$AY$1005="Direkomendasikan",ROW($6:$1005)-5),616))="",INDEX(checklistPesertaKemenkeu!$J$6:$J$1005,SMALL(IF(checklistPesertaKemenkeu!$AY$6:$AY$1005="Direkomendasikan",ROW($6:$1005)-5),616))=""),"",IF(AND(COUNTIF(INDIRECT("K_"&amp;MATCH(INDEX(checklistPesertaKemenkeu!$J$6:$J$1005,SMALL(IF(checklistPesertaKemenkeu!$AY$6:$AY$1005="Direkomendasikan",ROW($6:$1005)-5),616)),BidangList,0)),INDEX(checklistPesertaKemenkeu!$P$6:$P$1005,SMALL(IF(checklistPesertaKemenkeu!$AY$6:$AY$1005="Direkomendasikan",ROW($6:$1005)-5),616)))&gt;0,COUNTIF(INDIRECT("'KERTAS KERJA'!K"&amp;(SMALL(IF(checklistPesertaKemenkeu!$AY$6:$AY$1005="Direkomendasikan",ROW($6:$1005)-5),616)+5)&amp;":O"&amp;(SMALL(IF(checklistPesertaKemenkeu!$AY$6:$AY$1005="Direkomendasikan",ROW($6:$1005)-5),616)+5)),INDEX(checklistPesertaKemenkeu!$P$6:$P$1005,SMALL(IF(checklistPesertaKemenkeu!$AY$6:$AY$1005="Direkomendasikan",ROW($6:$1005)-5),616)))=1),IFERROR(VLOOKUP(INDEX(checklistPesertaKemenkeu!$P$6:$P$1005,SMALL(IF(checklistPesertaKemenkeu!$AY$6:$AY$1005="Direkomendasikan",ROW($6:$1005)-5),616)),KotaKode,2,0),"-"),"")),"")</f>
        <v/>
      </c>
    </row>
    <row r="618" spans="1:12" ht="15" customHeight="1" x14ac:dyDescent="0.2">
      <c r="A618" t="str">
        <f t="shared" si="9"/>
        <v/>
      </c>
      <c r="B618" t="str">
        <v/>
      </c>
      <c r="C618" s="40" t="str">
        <f t="array" ref="C618">IFERROR(INDEX(checklistPesertaKemenkeu!$F$6:$F$1005,SMALL(IF(checklistPesertaKemenkeu!$AY$6:$AY$1005="Direkomendasikan",ROW($6:$1005)-5),617)),"")</f>
        <v/>
      </c>
      <c r="D618" t="str">
        <f t="array" ref="D618">IFERROR(INDEX(checklistPesertaKemenkeu!$G$6:$G$1005,SMALL(IF(checklistPesertaKemenkeu!$AY$6:$AY$1005="Direkomendasikan",ROW($6:$1005)-5),617)),"")</f>
        <v/>
      </c>
      <c r="E618" t="str">
        <f t="array" ref="E618">IFERROR(INDEX(checklistPesertaKemenkeu!$H$6:$H$1005,SMALL(IF(checklistPesertaKemenkeu!$AY$6:$AY$1005="Direkomendasikan",ROW($6:$1005)-5),617)),"")</f>
        <v/>
      </c>
      <c r="F618" t="str">
        <f t="array" ref="F618">IFERROR(INDEX(checklistPesertaKemenkeu!$I$6:$I$1005,SMALL(IF(checklistPesertaKemenkeu!$AY$6:$AY$1005="Direkomendasikan",ROW($6:$1005)-5),617)),"")</f>
        <v/>
      </c>
      <c r="G618" t="str">
        <f t="array" ref="G618">IFERROR(INDEX(checklistPesertaKemenkeu!$J$6:$J$1005,SMALL(IF(checklistPesertaKemenkeu!$AY$6:$AY$1005="Direkomendasikan",ROW($6:$1005)-5),617)),"")</f>
        <v/>
      </c>
      <c r="H618" t="str">
        <f t="array" aca="1" ref="H618" ca="1">IFERROR(IF(OR(INDEX(checklistPesertaKemenkeu!$L$6:$L$1005,SMALL(IF(checklistPesertaKemenkeu!$AY$6:$AY$1005="Direkomendasikan",ROW($6:$1005)-5),617))="",INDEX(checklistPesertaKemenkeu!$J$6:$J$1005,SMALL(IF(checklistPesertaKemenkeu!$AY$6:$AY$1005="Direkomendasikan",ROW($6:$1005)-5),617))=""),"",IF(AND(COUNTIF(INDIRECT("K_"&amp;MATCH(INDEX(checklistPesertaKemenkeu!$J$6:$J$1005,SMALL(IF(checklistPesertaKemenkeu!$AY$6:$AY$1005="Direkomendasikan",ROW($6:$1005)-5),617)),BidangList,0)),INDEX(checklistPesertaKemenkeu!$L$6:$L$1005,SMALL(IF(checklistPesertaKemenkeu!$AY$6:$AY$1005="Direkomendasikan",ROW($6:$1005)-5),617)))&gt;0,COUNTIF(INDIRECT("'KERTAS KERJA'!K"&amp;(SMALL(IF(checklistPesertaKemenkeu!$AY$6:$AY$1005="Direkomendasikan",ROW($6:$1005)-5),617)+5)&amp;":O"&amp;(SMALL(IF(checklistPesertaKemenkeu!$AY$6:$AY$1005="Direkomendasikan",ROW($6:$1005)-5),617)+5)),INDEX(checklistPesertaKemenkeu!$L$6:$L$1005,SMALL(IF(checklistPesertaKemenkeu!$AY$6:$AY$1005="Direkomendasikan",ROW($6:$1005)-5),617)))=1),IFERROR(VLOOKUP(INDEX(checklistPesertaKemenkeu!$L$6:$L$1005,SMALL(IF(checklistPesertaKemenkeu!$AY$6:$AY$1005="Direkomendasikan",ROW($6:$1005)-5),617)),KotaKode,2,0),"-"),"")),"")</f>
        <v/>
      </c>
      <c r="I618" t="str">
        <f t="array" aca="1" ref="I618" ca="1">IFERROR(IF(OR(INDEX(checklistPesertaKemenkeu!$M$6:$M$1005,SMALL(IF(checklistPesertaKemenkeu!$AY$6:$AY$1005="Direkomendasikan",ROW($6:$1005)-5),617))="",INDEX(checklistPesertaKemenkeu!$J$6:$J$1005,SMALL(IF(checklistPesertaKemenkeu!$AY$6:$AY$1005="Direkomendasikan",ROW($6:$1005)-5),617))=""),"",IF(AND(COUNTIF(INDIRECT("K_"&amp;MATCH(INDEX(checklistPesertaKemenkeu!$J$6:$J$1005,SMALL(IF(checklistPesertaKemenkeu!$AY$6:$AY$1005="Direkomendasikan",ROW($6:$1005)-5),617)),BidangList,0)),INDEX(checklistPesertaKemenkeu!$M$6:$M$1005,SMALL(IF(checklistPesertaKemenkeu!$AY$6:$AY$1005="Direkomendasikan",ROW($6:$1005)-5),617)))&gt;0,COUNTIF(INDIRECT("'KERTAS KERJA'!K"&amp;(SMALL(IF(checklistPesertaKemenkeu!$AY$6:$AY$1005="Direkomendasikan",ROW($6:$1005)-5),617)+5)&amp;":O"&amp;(SMALL(IF(checklistPesertaKemenkeu!$AY$6:$AY$1005="Direkomendasikan",ROW($6:$1005)-5),617)+5)),INDEX(checklistPesertaKemenkeu!$M$6:$M$1005,SMALL(IF(checklistPesertaKemenkeu!$AY$6:$AY$1005="Direkomendasikan",ROW($6:$1005)-5),617)))=1),IFERROR(VLOOKUP(INDEX(checklistPesertaKemenkeu!$M$6:$M$1005,SMALL(IF(checklistPesertaKemenkeu!$AY$6:$AY$1005="Direkomendasikan",ROW($6:$1005)-5),617)),KotaKode,2,0),"-"),"")),"")</f>
        <v/>
      </c>
      <c r="J618" t="str">
        <f t="array" aca="1" ref="J618" ca="1">IFERROR(IF(OR(INDEX(checklistPesertaKemenkeu!$N$6:$N$1005,SMALL(IF(checklistPesertaKemenkeu!$AY$6:$AY$1005="Direkomendasikan",ROW($6:$1005)-5),617))="",INDEX(checklistPesertaKemenkeu!$J$6:$J$1005,SMALL(IF(checklistPesertaKemenkeu!$AY$6:$AY$1005="Direkomendasikan",ROW($6:$1005)-5),617))=""),"",IF(AND(COUNTIF(INDIRECT("K_"&amp;MATCH(INDEX(checklistPesertaKemenkeu!$J$6:$J$1005,SMALL(IF(checklistPesertaKemenkeu!$AY$6:$AY$1005="Direkomendasikan",ROW($6:$1005)-5),617)),BidangList,0)),INDEX(checklistPesertaKemenkeu!$N$6:$N$1005,SMALL(IF(checklistPesertaKemenkeu!$AY$6:$AY$1005="Direkomendasikan",ROW($6:$1005)-5),617)))&gt;0,COUNTIF(INDIRECT("'KERTAS KERJA'!K"&amp;(SMALL(IF(checklistPesertaKemenkeu!$AY$6:$AY$1005="Direkomendasikan",ROW($6:$1005)-5),617)+5)&amp;":O"&amp;(SMALL(IF(checklistPesertaKemenkeu!$AY$6:$AY$1005="Direkomendasikan",ROW($6:$1005)-5),617)+5)),INDEX(checklistPesertaKemenkeu!$N$6:$N$1005,SMALL(IF(checklistPesertaKemenkeu!$AY$6:$AY$1005="Direkomendasikan",ROW($6:$1005)-5),617)))=1),IFERROR(VLOOKUP(INDEX(checklistPesertaKemenkeu!$N$6:$N$1005,SMALL(IF(checklistPesertaKemenkeu!$AY$6:$AY$1005="Direkomendasikan",ROW($6:$1005)-5),617)),KotaKode,2,0),"-"),"")),"")</f>
        <v/>
      </c>
      <c r="K618" t="str">
        <f t="array" aca="1" ref="K618" ca="1">IFERROR(IF(OR(INDEX(checklistPesertaKemenkeu!$O$6:$O$1005,SMALL(IF(checklistPesertaKemenkeu!$AY$6:$AY$1005="Direkomendasikan",ROW($6:$1005)-5),617))="",INDEX(checklistPesertaKemenkeu!$J$6:$J$1005,SMALL(IF(checklistPesertaKemenkeu!$AY$6:$AY$1005="Direkomendasikan",ROW($6:$1005)-5),617))=""),"",IF(AND(COUNTIF(INDIRECT("K_"&amp;MATCH(INDEX(checklistPesertaKemenkeu!$J$6:$J$1005,SMALL(IF(checklistPesertaKemenkeu!$AY$6:$AY$1005="Direkomendasikan",ROW($6:$1005)-5),617)),BidangList,0)),INDEX(checklistPesertaKemenkeu!$O$6:$O$1005,SMALL(IF(checklistPesertaKemenkeu!$AY$6:$AY$1005="Direkomendasikan",ROW($6:$1005)-5),617)))&gt;0,COUNTIF(INDIRECT("'KERTAS KERJA'!K"&amp;(SMALL(IF(checklistPesertaKemenkeu!$AY$6:$AY$1005="Direkomendasikan",ROW($6:$1005)-5),617)+5)&amp;":O"&amp;(SMALL(IF(checklistPesertaKemenkeu!$AY$6:$AY$1005="Direkomendasikan",ROW($6:$1005)-5),617)+5)),INDEX(checklistPesertaKemenkeu!$O$6:$O$1005,SMALL(IF(checklistPesertaKemenkeu!$AY$6:$AY$1005="Direkomendasikan",ROW($6:$1005)-5),617)))=1),IFERROR(VLOOKUP(INDEX(checklistPesertaKemenkeu!$O$6:$O$1005,SMALL(IF(checklistPesertaKemenkeu!$AY$6:$AY$1005="Direkomendasikan",ROW($6:$1005)-5),617)),KotaKode,2,0),"-"),"")),"")</f>
        <v/>
      </c>
      <c r="L618" t="str">
        <f t="array" aca="1" ref="L618" ca="1">IFERROR(IF(OR(INDEX(checklistPesertaKemenkeu!$P$6:$P$1005,SMALL(IF(checklistPesertaKemenkeu!$AY$6:$AY$1005="Direkomendasikan",ROW($6:$1005)-5),617))="",INDEX(checklistPesertaKemenkeu!$J$6:$J$1005,SMALL(IF(checklistPesertaKemenkeu!$AY$6:$AY$1005="Direkomendasikan",ROW($6:$1005)-5),617))=""),"",IF(AND(COUNTIF(INDIRECT("K_"&amp;MATCH(INDEX(checklistPesertaKemenkeu!$J$6:$J$1005,SMALL(IF(checklistPesertaKemenkeu!$AY$6:$AY$1005="Direkomendasikan",ROW($6:$1005)-5),617)),BidangList,0)),INDEX(checklistPesertaKemenkeu!$P$6:$P$1005,SMALL(IF(checklistPesertaKemenkeu!$AY$6:$AY$1005="Direkomendasikan",ROW($6:$1005)-5),617)))&gt;0,COUNTIF(INDIRECT("'KERTAS KERJA'!K"&amp;(SMALL(IF(checklistPesertaKemenkeu!$AY$6:$AY$1005="Direkomendasikan",ROW($6:$1005)-5),617)+5)&amp;":O"&amp;(SMALL(IF(checklistPesertaKemenkeu!$AY$6:$AY$1005="Direkomendasikan",ROW($6:$1005)-5),617)+5)),INDEX(checklistPesertaKemenkeu!$P$6:$P$1005,SMALL(IF(checklistPesertaKemenkeu!$AY$6:$AY$1005="Direkomendasikan",ROW($6:$1005)-5),617)))=1),IFERROR(VLOOKUP(INDEX(checklistPesertaKemenkeu!$P$6:$P$1005,SMALL(IF(checklistPesertaKemenkeu!$AY$6:$AY$1005="Direkomendasikan",ROW($6:$1005)-5),617)),KotaKode,2,0),"-"),"")),"")</f>
        <v/>
      </c>
    </row>
    <row r="619" spans="1:12" ht="15" customHeight="1" x14ac:dyDescent="0.2">
      <c r="A619" t="str">
        <f t="shared" si="9"/>
        <v/>
      </c>
      <c r="B619" t="str">
        <v/>
      </c>
      <c r="C619" s="40" t="str">
        <f t="array" ref="C619">IFERROR(INDEX(checklistPesertaKemenkeu!$F$6:$F$1005,SMALL(IF(checklistPesertaKemenkeu!$AY$6:$AY$1005="Direkomendasikan",ROW($6:$1005)-5),618)),"")</f>
        <v/>
      </c>
      <c r="D619" t="str">
        <f t="array" ref="D619">IFERROR(INDEX(checklistPesertaKemenkeu!$G$6:$G$1005,SMALL(IF(checklistPesertaKemenkeu!$AY$6:$AY$1005="Direkomendasikan",ROW($6:$1005)-5),618)),"")</f>
        <v/>
      </c>
      <c r="E619" t="str">
        <f t="array" ref="E619">IFERROR(INDEX(checklistPesertaKemenkeu!$H$6:$H$1005,SMALL(IF(checklistPesertaKemenkeu!$AY$6:$AY$1005="Direkomendasikan",ROW($6:$1005)-5),618)),"")</f>
        <v/>
      </c>
      <c r="F619" t="str">
        <f t="array" ref="F619">IFERROR(INDEX(checklistPesertaKemenkeu!$I$6:$I$1005,SMALL(IF(checklistPesertaKemenkeu!$AY$6:$AY$1005="Direkomendasikan",ROW($6:$1005)-5),618)),"")</f>
        <v/>
      </c>
      <c r="G619" t="str">
        <f t="array" ref="G619">IFERROR(INDEX(checklistPesertaKemenkeu!$J$6:$J$1005,SMALL(IF(checklistPesertaKemenkeu!$AY$6:$AY$1005="Direkomendasikan",ROW($6:$1005)-5),618)),"")</f>
        <v/>
      </c>
      <c r="H619" t="str">
        <f t="array" aca="1" ref="H619" ca="1">IFERROR(IF(OR(INDEX(checklistPesertaKemenkeu!$L$6:$L$1005,SMALL(IF(checklistPesertaKemenkeu!$AY$6:$AY$1005="Direkomendasikan",ROW($6:$1005)-5),618))="",INDEX(checklistPesertaKemenkeu!$J$6:$J$1005,SMALL(IF(checklistPesertaKemenkeu!$AY$6:$AY$1005="Direkomendasikan",ROW($6:$1005)-5),618))=""),"",IF(AND(COUNTIF(INDIRECT("K_"&amp;MATCH(INDEX(checklistPesertaKemenkeu!$J$6:$J$1005,SMALL(IF(checklistPesertaKemenkeu!$AY$6:$AY$1005="Direkomendasikan",ROW($6:$1005)-5),618)),BidangList,0)),INDEX(checklistPesertaKemenkeu!$L$6:$L$1005,SMALL(IF(checklistPesertaKemenkeu!$AY$6:$AY$1005="Direkomendasikan",ROW($6:$1005)-5),618)))&gt;0,COUNTIF(INDIRECT("'KERTAS KERJA'!K"&amp;(SMALL(IF(checklistPesertaKemenkeu!$AY$6:$AY$1005="Direkomendasikan",ROW($6:$1005)-5),618)+5)&amp;":O"&amp;(SMALL(IF(checklistPesertaKemenkeu!$AY$6:$AY$1005="Direkomendasikan",ROW($6:$1005)-5),618)+5)),INDEX(checklistPesertaKemenkeu!$L$6:$L$1005,SMALL(IF(checklistPesertaKemenkeu!$AY$6:$AY$1005="Direkomendasikan",ROW($6:$1005)-5),618)))=1),IFERROR(VLOOKUP(INDEX(checklistPesertaKemenkeu!$L$6:$L$1005,SMALL(IF(checklistPesertaKemenkeu!$AY$6:$AY$1005="Direkomendasikan",ROW($6:$1005)-5),618)),KotaKode,2,0),"-"),"")),"")</f>
        <v/>
      </c>
      <c r="I619" t="str">
        <f t="array" aca="1" ref="I619" ca="1">IFERROR(IF(OR(INDEX(checklistPesertaKemenkeu!$M$6:$M$1005,SMALL(IF(checklistPesertaKemenkeu!$AY$6:$AY$1005="Direkomendasikan",ROW($6:$1005)-5),618))="",INDEX(checklistPesertaKemenkeu!$J$6:$J$1005,SMALL(IF(checklistPesertaKemenkeu!$AY$6:$AY$1005="Direkomendasikan",ROW($6:$1005)-5),618))=""),"",IF(AND(COUNTIF(INDIRECT("K_"&amp;MATCH(INDEX(checklistPesertaKemenkeu!$J$6:$J$1005,SMALL(IF(checklistPesertaKemenkeu!$AY$6:$AY$1005="Direkomendasikan",ROW($6:$1005)-5),618)),BidangList,0)),INDEX(checklistPesertaKemenkeu!$M$6:$M$1005,SMALL(IF(checklistPesertaKemenkeu!$AY$6:$AY$1005="Direkomendasikan",ROW($6:$1005)-5),618)))&gt;0,COUNTIF(INDIRECT("'KERTAS KERJA'!K"&amp;(SMALL(IF(checklistPesertaKemenkeu!$AY$6:$AY$1005="Direkomendasikan",ROW($6:$1005)-5),618)+5)&amp;":O"&amp;(SMALL(IF(checklistPesertaKemenkeu!$AY$6:$AY$1005="Direkomendasikan",ROW($6:$1005)-5),618)+5)),INDEX(checklistPesertaKemenkeu!$M$6:$M$1005,SMALL(IF(checklistPesertaKemenkeu!$AY$6:$AY$1005="Direkomendasikan",ROW($6:$1005)-5),618)))=1),IFERROR(VLOOKUP(INDEX(checklistPesertaKemenkeu!$M$6:$M$1005,SMALL(IF(checklistPesertaKemenkeu!$AY$6:$AY$1005="Direkomendasikan",ROW($6:$1005)-5),618)),KotaKode,2,0),"-"),"")),"")</f>
        <v/>
      </c>
      <c r="J619" t="str">
        <f t="array" aca="1" ref="J619" ca="1">IFERROR(IF(OR(INDEX(checklistPesertaKemenkeu!$N$6:$N$1005,SMALL(IF(checklistPesertaKemenkeu!$AY$6:$AY$1005="Direkomendasikan",ROW($6:$1005)-5),618))="",INDEX(checklistPesertaKemenkeu!$J$6:$J$1005,SMALL(IF(checklistPesertaKemenkeu!$AY$6:$AY$1005="Direkomendasikan",ROW($6:$1005)-5),618))=""),"",IF(AND(COUNTIF(INDIRECT("K_"&amp;MATCH(INDEX(checklistPesertaKemenkeu!$J$6:$J$1005,SMALL(IF(checklistPesertaKemenkeu!$AY$6:$AY$1005="Direkomendasikan",ROW($6:$1005)-5),618)),BidangList,0)),INDEX(checklistPesertaKemenkeu!$N$6:$N$1005,SMALL(IF(checklistPesertaKemenkeu!$AY$6:$AY$1005="Direkomendasikan",ROW($6:$1005)-5),618)))&gt;0,COUNTIF(INDIRECT("'KERTAS KERJA'!K"&amp;(SMALL(IF(checklistPesertaKemenkeu!$AY$6:$AY$1005="Direkomendasikan",ROW($6:$1005)-5),618)+5)&amp;":O"&amp;(SMALL(IF(checklistPesertaKemenkeu!$AY$6:$AY$1005="Direkomendasikan",ROW($6:$1005)-5),618)+5)),INDEX(checklistPesertaKemenkeu!$N$6:$N$1005,SMALL(IF(checklistPesertaKemenkeu!$AY$6:$AY$1005="Direkomendasikan",ROW($6:$1005)-5),618)))=1),IFERROR(VLOOKUP(INDEX(checklistPesertaKemenkeu!$N$6:$N$1005,SMALL(IF(checklistPesertaKemenkeu!$AY$6:$AY$1005="Direkomendasikan",ROW($6:$1005)-5),618)),KotaKode,2,0),"-"),"")),"")</f>
        <v/>
      </c>
      <c r="K619" t="str">
        <f t="array" aca="1" ref="K619" ca="1">IFERROR(IF(OR(INDEX(checklistPesertaKemenkeu!$O$6:$O$1005,SMALL(IF(checklistPesertaKemenkeu!$AY$6:$AY$1005="Direkomendasikan",ROW($6:$1005)-5),618))="",INDEX(checklistPesertaKemenkeu!$J$6:$J$1005,SMALL(IF(checklistPesertaKemenkeu!$AY$6:$AY$1005="Direkomendasikan",ROW($6:$1005)-5),618))=""),"",IF(AND(COUNTIF(INDIRECT("K_"&amp;MATCH(INDEX(checklistPesertaKemenkeu!$J$6:$J$1005,SMALL(IF(checklistPesertaKemenkeu!$AY$6:$AY$1005="Direkomendasikan",ROW($6:$1005)-5),618)),BidangList,0)),INDEX(checklistPesertaKemenkeu!$O$6:$O$1005,SMALL(IF(checklistPesertaKemenkeu!$AY$6:$AY$1005="Direkomendasikan",ROW($6:$1005)-5),618)))&gt;0,COUNTIF(INDIRECT("'KERTAS KERJA'!K"&amp;(SMALL(IF(checklistPesertaKemenkeu!$AY$6:$AY$1005="Direkomendasikan",ROW($6:$1005)-5),618)+5)&amp;":O"&amp;(SMALL(IF(checklistPesertaKemenkeu!$AY$6:$AY$1005="Direkomendasikan",ROW($6:$1005)-5),618)+5)),INDEX(checklistPesertaKemenkeu!$O$6:$O$1005,SMALL(IF(checklistPesertaKemenkeu!$AY$6:$AY$1005="Direkomendasikan",ROW($6:$1005)-5),618)))=1),IFERROR(VLOOKUP(INDEX(checklistPesertaKemenkeu!$O$6:$O$1005,SMALL(IF(checklistPesertaKemenkeu!$AY$6:$AY$1005="Direkomendasikan",ROW($6:$1005)-5),618)),KotaKode,2,0),"-"),"")),"")</f>
        <v/>
      </c>
      <c r="L619" t="str">
        <f t="array" aca="1" ref="L619" ca="1">IFERROR(IF(OR(INDEX(checklistPesertaKemenkeu!$P$6:$P$1005,SMALL(IF(checklistPesertaKemenkeu!$AY$6:$AY$1005="Direkomendasikan",ROW($6:$1005)-5),618))="",INDEX(checklistPesertaKemenkeu!$J$6:$J$1005,SMALL(IF(checklistPesertaKemenkeu!$AY$6:$AY$1005="Direkomendasikan",ROW($6:$1005)-5),618))=""),"",IF(AND(COUNTIF(INDIRECT("K_"&amp;MATCH(INDEX(checklistPesertaKemenkeu!$J$6:$J$1005,SMALL(IF(checklistPesertaKemenkeu!$AY$6:$AY$1005="Direkomendasikan",ROW($6:$1005)-5),618)),BidangList,0)),INDEX(checklistPesertaKemenkeu!$P$6:$P$1005,SMALL(IF(checklistPesertaKemenkeu!$AY$6:$AY$1005="Direkomendasikan",ROW($6:$1005)-5),618)))&gt;0,COUNTIF(INDIRECT("'KERTAS KERJA'!K"&amp;(SMALL(IF(checklistPesertaKemenkeu!$AY$6:$AY$1005="Direkomendasikan",ROW($6:$1005)-5),618)+5)&amp;":O"&amp;(SMALL(IF(checklistPesertaKemenkeu!$AY$6:$AY$1005="Direkomendasikan",ROW($6:$1005)-5),618)+5)),INDEX(checklistPesertaKemenkeu!$P$6:$P$1005,SMALL(IF(checklistPesertaKemenkeu!$AY$6:$AY$1005="Direkomendasikan",ROW($6:$1005)-5),618)))=1),IFERROR(VLOOKUP(INDEX(checklistPesertaKemenkeu!$P$6:$P$1005,SMALL(IF(checklistPesertaKemenkeu!$AY$6:$AY$1005="Direkomendasikan",ROW($6:$1005)-5),618)),KotaKode,2,0),"-"),"")),"")</f>
        <v/>
      </c>
    </row>
    <row r="620" spans="1:12" ht="15" customHeight="1" x14ac:dyDescent="0.2">
      <c r="A620" t="str">
        <f t="shared" si="9"/>
        <v/>
      </c>
      <c r="B620" t="str">
        <v/>
      </c>
      <c r="C620" s="40" t="str">
        <f t="array" ref="C620">IFERROR(INDEX(checklistPesertaKemenkeu!$F$6:$F$1005,SMALL(IF(checklistPesertaKemenkeu!$AY$6:$AY$1005="Direkomendasikan",ROW($6:$1005)-5),619)),"")</f>
        <v/>
      </c>
      <c r="D620" t="str">
        <f t="array" ref="D620">IFERROR(INDEX(checklistPesertaKemenkeu!$G$6:$G$1005,SMALL(IF(checklistPesertaKemenkeu!$AY$6:$AY$1005="Direkomendasikan",ROW($6:$1005)-5),619)),"")</f>
        <v/>
      </c>
      <c r="E620" t="str">
        <f t="array" ref="E620">IFERROR(INDEX(checklistPesertaKemenkeu!$H$6:$H$1005,SMALL(IF(checklistPesertaKemenkeu!$AY$6:$AY$1005="Direkomendasikan",ROW($6:$1005)-5),619)),"")</f>
        <v/>
      </c>
      <c r="F620" t="str">
        <f t="array" ref="F620">IFERROR(INDEX(checklistPesertaKemenkeu!$I$6:$I$1005,SMALL(IF(checklistPesertaKemenkeu!$AY$6:$AY$1005="Direkomendasikan",ROW($6:$1005)-5),619)),"")</f>
        <v/>
      </c>
      <c r="G620" t="str">
        <f t="array" ref="G620">IFERROR(INDEX(checklistPesertaKemenkeu!$J$6:$J$1005,SMALL(IF(checklistPesertaKemenkeu!$AY$6:$AY$1005="Direkomendasikan",ROW($6:$1005)-5),619)),"")</f>
        <v/>
      </c>
      <c r="H620" t="str">
        <f t="array" aca="1" ref="H620" ca="1">IFERROR(IF(OR(INDEX(checklistPesertaKemenkeu!$L$6:$L$1005,SMALL(IF(checklistPesertaKemenkeu!$AY$6:$AY$1005="Direkomendasikan",ROW($6:$1005)-5),619))="",INDEX(checklistPesertaKemenkeu!$J$6:$J$1005,SMALL(IF(checklistPesertaKemenkeu!$AY$6:$AY$1005="Direkomendasikan",ROW($6:$1005)-5),619))=""),"",IF(AND(COUNTIF(INDIRECT("K_"&amp;MATCH(INDEX(checklistPesertaKemenkeu!$J$6:$J$1005,SMALL(IF(checklistPesertaKemenkeu!$AY$6:$AY$1005="Direkomendasikan",ROW($6:$1005)-5),619)),BidangList,0)),INDEX(checklistPesertaKemenkeu!$L$6:$L$1005,SMALL(IF(checklistPesertaKemenkeu!$AY$6:$AY$1005="Direkomendasikan",ROW($6:$1005)-5),619)))&gt;0,COUNTIF(INDIRECT("'KERTAS KERJA'!K"&amp;(SMALL(IF(checklistPesertaKemenkeu!$AY$6:$AY$1005="Direkomendasikan",ROW($6:$1005)-5),619)+5)&amp;":O"&amp;(SMALL(IF(checklistPesertaKemenkeu!$AY$6:$AY$1005="Direkomendasikan",ROW($6:$1005)-5),619)+5)),INDEX(checklistPesertaKemenkeu!$L$6:$L$1005,SMALL(IF(checklistPesertaKemenkeu!$AY$6:$AY$1005="Direkomendasikan",ROW($6:$1005)-5),619)))=1),IFERROR(VLOOKUP(INDEX(checklistPesertaKemenkeu!$L$6:$L$1005,SMALL(IF(checklistPesertaKemenkeu!$AY$6:$AY$1005="Direkomendasikan",ROW($6:$1005)-5),619)),KotaKode,2,0),"-"),"")),"")</f>
        <v/>
      </c>
      <c r="I620" t="str">
        <f t="array" aca="1" ref="I620" ca="1">IFERROR(IF(OR(INDEX(checklistPesertaKemenkeu!$M$6:$M$1005,SMALL(IF(checklistPesertaKemenkeu!$AY$6:$AY$1005="Direkomendasikan",ROW($6:$1005)-5),619))="",INDEX(checklistPesertaKemenkeu!$J$6:$J$1005,SMALL(IF(checklistPesertaKemenkeu!$AY$6:$AY$1005="Direkomendasikan",ROW($6:$1005)-5),619))=""),"",IF(AND(COUNTIF(INDIRECT("K_"&amp;MATCH(INDEX(checklistPesertaKemenkeu!$J$6:$J$1005,SMALL(IF(checklistPesertaKemenkeu!$AY$6:$AY$1005="Direkomendasikan",ROW($6:$1005)-5),619)),BidangList,0)),INDEX(checklistPesertaKemenkeu!$M$6:$M$1005,SMALL(IF(checklistPesertaKemenkeu!$AY$6:$AY$1005="Direkomendasikan",ROW($6:$1005)-5),619)))&gt;0,COUNTIF(INDIRECT("'KERTAS KERJA'!K"&amp;(SMALL(IF(checklistPesertaKemenkeu!$AY$6:$AY$1005="Direkomendasikan",ROW($6:$1005)-5),619)+5)&amp;":O"&amp;(SMALL(IF(checklistPesertaKemenkeu!$AY$6:$AY$1005="Direkomendasikan",ROW($6:$1005)-5),619)+5)),INDEX(checklistPesertaKemenkeu!$M$6:$M$1005,SMALL(IF(checklistPesertaKemenkeu!$AY$6:$AY$1005="Direkomendasikan",ROW($6:$1005)-5),619)))=1),IFERROR(VLOOKUP(INDEX(checklistPesertaKemenkeu!$M$6:$M$1005,SMALL(IF(checklistPesertaKemenkeu!$AY$6:$AY$1005="Direkomendasikan",ROW($6:$1005)-5),619)),KotaKode,2,0),"-"),"")),"")</f>
        <v/>
      </c>
      <c r="J620" t="str">
        <f t="array" aca="1" ref="J620" ca="1">IFERROR(IF(OR(INDEX(checklistPesertaKemenkeu!$N$6:$N$1005,SMALL(IF(checklistPesertaKemenkeu!$AY$6:$AY$1005="Direkomendasikan",ROW($6:$1005)-5),619))="",INDEX(checklistPesertaKemenkeu!$J$6:$J$1005,SMALL(IF(checklistPesertaKemenkeu!$AY$6:$AY$1005="Direkomendasikan",ROW($6:$1005)-5),619))=""),"",IF(AND(COUNTIF(INDIRECT("K_"&amp;MATCH(INDEX(checklistPesertaKemenkeu!$J$6:$J$1005,SMALL(IF(checklistPesertaKemenkeu!$AY$6:$AY$1005="Direkomendasikan",ROW($6:$1005)-5),619)),BidangList,0)),INDEX(checklistPesertaKemenkeu!$N$6:$N$1005,SMALL(IF(checklistPesertaKemenkeu!$AY$6:$AY$1005="Direkomendasikan",ROW($6:$1005)-5),619)))&gt;0,COUNTIF(INDIRECT("'KERTAS KERJA'!K"&amp;(SMALL(IF(checklistPesertaKemenkeu!$AY$6:$AY$1005="Direkomendasikan",ROW($6:$1005)-5),619)+5)&amp;":O"&amp;(SMALL(IF(checklistPesertaKemenkeu!$AY$6:$AY$1005="Direkomendasikan",ROW($6:$1005)-5),619)+5)),INDEX(checklistPesertaKemenkeu!$N$6:$N$1005,SMALL(IF(checklistPesertaKemenkeu!$AY$6:$AY$1005="Direkomendasikan",ROW($6:$1005)-5),619)))=1),IFERROR(VLOOKUP(INDEX(checklistPesertaKemenkeu!$N$6:$N$1005,SMALL(IF(checklistPesertaKemenkeu!$AY$6:$AY$1005="Direkomendasikan",ROW($6:$1005)-5),619)),KotaKode,2,0),"-"),"")),"")</f>
        <v/>
      </c>
      <c r="K620" t="str">
        <f t="array" aca="1" ref="K620" ca="1">IFERROR(IF(OR(INDEX(checklistPesertaKemenkeu!$O$6:$O$1005,SMALL(IF(checklistPesertaKemenkeu!$AY$6:$AY$1005="Direkomendasikan",ROW($6:$1005)-5),619))="",INDEX(checklistPesertaKemenkeu!$J$6:$J$1005,SMALL(IF(checklistPesertaKemenkeu!$AY$6:$AY$1005="Direkomendasikan",ROW($6:$1005)-5),619))=""),"",IF(AND(COUNTIF(INDIRECT("K_"&amp;MATCH(INDEX(checklistPesertaKemenkeu!$J$6:$J$1005,SMALL(IF(checklistPesertaKemenkeu!$AY$6:$AY$1005="Direkomendasikan",ROW($6:$1005)-5),619)),BidangList,0)),INDEX(checklistPesertaKemenkeu!$O$6:$O$1005,SMALL(IF(checklistPesertaKemenkeu!$AY$6:$AY$1005="Direkomendasikan",ROW($6:$1005)-5),619)))&gt;0,COUNTIF(INDIRECT("'KERTAS KERJA'!K"&amp;(SMALL(IF(checklistPesertaKemenkeu!$AY$6:$AY$1005="Direkomendasikan",ROW($6:$1005)-5),619)+5)&amp;":O"&amp;(SMALL(IF(checklistPesertaKemenkeu!$AY$6:$AY$1005="Direkomendasikan",ROW($6:$1005)-5),619)+5)),INDEX(checklistPesertaKemenkeu!$O$6:$O$1005,SMALL(IF(checklistPesertaKemenkeu!$AY$6:$AY$1005="Direkomendasikan",ROW($6:$1005)-5),619)))=1),IFERROR(VLOOKUP(INDEX(checklistPesertaKemenkeu!$O$6:$O$1005,SMALL(IF(checklistPesertaKemenkeu!$AY$6:$AY$1005="Direkomendasikan",ROW($6:$1005)-5),619)),KotaKode,2,0),"-"),"")),"")</f>
        <v/>
      </c>
      <c r="L620" t="str">
        <f t="array" aca="1" ref="L620" ca="1">IFERROR(IF(OR(INDEX(checklistPesertaKemenkeu!$P$6:$P$1005,SMALL(IF(checklistPesertaKemenkeu!$AY$6:$AY$1005="Direkomendasikan",ROW($6:$1005)-5),619))="",INDEX(checklistPesertaKemenkeu!$J$6:$J$1005,SMALL(IF(checklistPesertaKemenkeu!$AY$6:$AY$1005="Direkomendasikan",ROW($6:$1005)-5),619))=""),"",IF(AND(COUNTIF(INDIRECT("K_"&amp;MATCH(INDEX(checklistPesertaKemenkeu!$J$6:$J$1005,SMALL(IF(checklistPesertaKemenkeu!$AY$6:$AY$1005="Direkomendasikan",ROW($6:$1005)-5),619)),BidangList,0)),INDEX(checklistPesertaKemenkeu!$P$6:$P$1005,SMALL(IF(checklistPesertaKemenkeu!$AY$6:$AY$1005="Direkomendasikan",ROW($6:$1005)-5),619)))&gt;0,COUNTIF(INDIRECT("'KERTAS KERJA'!K"&amp;(SMALL(IF(checklistPesertaKemenkeu!$AY$6:$AY$1005="Direkomendasikan",ROW($6:$1005)-5),619)+5)&amp;":O"&amp;(SMALL(IF(checklistPesertaKemenkeu!$AY$6:$AY$1005="Direkomendasikan",ROW($6:$1005)-5),619)+5)),INDEX(checklistPesertaKemenkeu!$P$6:$P$1005,SMALL(IF(checklistPesertaKemenkeu!$AY$6:$AY$1005="Direkomendasikan",ROW($6:$1005)-5),619)))=1),IFERROR(VLOOKUP(INDEX(checklistPesertaKemenkeu!$P$6:$P$1005,SMALL(IF(checklistPesertaKemenkeu!$AY$6:$AY$1005="Direkomendasikan",ROW($6:$1005)-5),619)),KotaKode,2,0),"-"),"")),"")</f>
        <v/>
      </c>
    </row>
    <row r="621" spans="1:12" ht="15" customHeight="1" x14ac:dyDescent="0.2">
      <c r="A621" t="str">
        <f t="shared" si="9"/>
        <v/>
      </c>
      <c r="B621" t="str">
        <v/>
      </c>
      <c r="C621" s="40" t="str">
        <f t="array" ref="C621">IFERROR(INDEX(checklistPesertaKemenkeu!$F$6:$F$1005,SMALL(IF(checklistPesertaKemenkeu!$AY$6:$AY$1005="Direkomendasikan",ROW($6:$1005)-5),620)),"")</f>
        <v/>
      </c>
      <c r="D621" t="str">
        <f t="array" ref="D621">IFERROR(INDEX(checklistPesertaKemenkeu!$G$6:$G$1005,SMALL(IF(checklistPesertaKemenkeu!$AY$6:$AY$1005="Direkomendasikan",ROW($6:$1005)-5),620)),"")</f>
        <v/>
      </c>
      <c r="E621" t="str">
        <f t="array" ref="E621">IFERROR(INDEX(checklistPesertaKemenkeu!$H$6:$H$1005,SMALL(IF(checklistPesertaKemenkeu!$AY$6:$AY$1005="Direkomendasikan",ROW($6:$1005)-5),620)),"")</f>
        <v/>
      </c>
      <c r="F621" t="str">
        <f t="array" ref="F621">IFERROR(INDEX(checklistPesertaKemenkeu!$I$6:$I$1005,SMALL(IF(checklistPesertaKemenkeu!$AY$6:$AY$1005="Direkomendasikan",ROW($6:$1005)-5),620)),"")</f>
        <v/>
      </c>
      <c r="G621" t="str">
        <f t="array" ref="G621">IFERROR(INDEX(checklistPesertaKemenkeu!$J$6:$J$1005,SMALL(IF(checklistPesertaKemenkeu!$AY$6:$AY$1005="Direkomendasikan",ROW($6:$1005)-5),620)),"")</f>
        <v/>
      </c>
      <c r="H621" t="str">
        <f t="array" aca="1" ref="H621" ca="1">IFERROR(IF(OR(INDEX(checklistPesertaKemenkeu!$L$6:$L$1005,SMALL(IF(checklistPesertaKemenkeu!$AY$6:$AY$1005="Direkomendasikan",ROW($6:$1005)-5),620))="",INDEX(checklistPesertaKemenkeu!$J$6:$J$1005,SMALL(IF(checklistPesertaKemenkeu!$AY$6:$AY$1005="Direkomendasikan",ROW($6:$1005)-5),620))=""),"",IF(AND(COUNTIF(INDIRECT("K_"&amp;MATCH(INDEX(checklistPesertaKemenkeu!$J$6:$J$1005,SMALL(IF(checklistPesertaKemenkeu!$AY$6:$AY$1005="Direkomendasikan",ROW($6:$1005)-5),620)),BidangList,0)),INDEX(checklistPesertaKemenkeu!$L$6:$L$1005,SMALL(IF(checklistPesertaKemenkeu!$AY$6:$AY$1005="Direkomendasikan",ROW($6:$1005)-5),620)))&gt;0,COUNTIF(INDIRECT("'KERTAS KERJA'!K"&amp;(SMALL(IF(checklistPesertaKemenkeu!$AY$6:$AY$1005="Direkomendasikan",ROW($6:$1005)-5),620)+5)&amp;":O"&amp;(SMALL(IF(checklistPesertaKemenkeu!$AY$6:$AY$1005="Direkomendasikan",ROW($6:$1005)-5),620)+5)),INDEX(checklistPesertaKemenkeu!$L$6:$L$1005,SMALL(IF(checklistPesertaKemenkeu!$AY$6:$AY$1005="Direkomendasikan",ROW($6:$1005)-5),620)))=1),IFERROR(VLOOKUP(INDEX(checklistPesertaKemenkeu!$L$6:$L$1005,SMALL(IF(checklistPesertaKemenkeu!$AY$6:$AY$1005="Direkomendasikan",ROW($6:$1005)-5),620)),KotaKode,2,0),"-"),"")),"")</f>
        <v/>
      </c>
      <c r="I621" t="str">
        <f t="array" aca="1" ref="I621" ca="1">IFERROR(IF(OR(INDEX(checklistPesertaKemenkeu!$M$6:$M$1005,SMALL(IF(checklistPesertaKemenkeu!$AY$6:$AY$1005="Direkomendasikan",ROW($6:$1005)-5),620))="",INDEX(checklistPesertaKemenkeu!$J$6:$J$1005,SMALL(IF(checklistPesertaKemenkeu!$AY$6:$AY$1005="Direkomendasikan",ROW($6:$1005)-5),620))=""),"",IF(AND(COUNTIF(INDIRECT("K_"&amp;MATCH(INDEX(checklistPesertaKemenkeu!$J$6:$J$1005,SMALL(IF(checklistPesertaKemenkeu!$AY$6:$AY$1005="Direkomendasikan",ROW($6:$1005)-5),620)),BidangList,0)),INDEX(checklistPesertaKemenkeu!$M$6:$M$1005,SMALL(IF(checklistPesertaKemenkeu!$AY$6:$AY$1005="Direkomendasikan",ROW($6:$1005)-5),620)))&gt;0,COUNTIF(INDIRECT("'KERTAS KERJA'!K"&amp;(SMALL(IF(checklistPesertaKemenkeu!$AY$6:$AY$1005="Direkomendasikan",ROW($6:$1005)-5),620)+5)&amp;":O"&amp;(SMALL(IF(checklistPesertaKemenkeu!$AY$6:$AY$1005="Direkomendasikan",ROW($6:$1005)-5),620)+5)),INDEX(checklistPesertaKemenkeu!$M$6:$M$1005,SMALL(IF(checklistPesertaKemenkeu!$AY$6:$AY$1005="Direkomendasikan",ROW($6:$1005)-5),620)))=1),IFERROR(VLOOKUP(INDEX(checklistPesertaKemenkeu!$M$6:$M$1005,SMALL(IF(checklistPesertaKemenkeu!$AY$6:$AY$1005="Direkomendasikan",ROW($6:$1005)-5),620)),KotaKode,2,0),"-"),"")),"")</f>
        <v/>
      </c>
      <c r="J621" t="str">
        <f t="array" aca="1" ref="J621" ca="1">IFERROR(IF(OR(INDEX(checklistPesertaKemenkeu!$N$6:$N$1005,SMALL(IF(checklistPesertaKemenkeu!$AY$6:$AY$1005="Direkomendasikan",ROW($6:$1005)-5),620))="",INDEX(checklistPesertaKemenkeu!$J$6:$J$1005,SMALL(IF(checklistPesertaKemenkeu!$AY$6:$AY$1005="Direkomendasikan",ROW($6:$1005)-5),620))=""),"",IF(AND(COUNTIF(INDIRECT("K_"&amp;MATCH(INDEX(checklistPesertaKemenkeu!$J$6:$J$1005,SMALL(IF(checklistPesertaKemenkeu!$AY$6:$AY$1005="Direkomendasikan",ROW($6:$1005)-5),620)),BidangList,0)),INDEX(checklistPesertaKemenkeu!$N$6:$N$1005,SMALL(IF(checklistPesertaKemenkeu!$AY$6:$AY$1005="Direkomendasikan",ROW($6:$1005)-5),620)))&gt;0,COUNTIF(INDIRECT("'KERTAS KERJA'!K"&amp;(SMALL(IF(checklistPesertaKemenkeu!$AY$6:$AY$1005="Direkomendasikan",ROW($6:$1005)-5),620)+5)&amp;":O"&amp;(SMALL(IF(checklistPesertaKemenkeu!$AY$6:$AY$1005="Direkomendasikan",ROW($6:$1005)-5),620)+5)),INDEX(checklistPesertaKemenkeu!$N$6:$N$1005,SMALL(IF(checklistPesertaKemenkeu!$AY$6:$AY$1005="Direkomendasikan",ROW($6:$1005)-5),620)))=1),IFERROR(VLOOKUP(INDEX(checklistPesertaKemenkeu!$N$6:$N$1005,SMALL(IF(checklistPesertaKemenkeu!$AY$6:$AY$1005="Direkomendasikan",ROW($6:$1005)-5),620)),KotaKode,2,0),"-"),"")),"")</f>
        <v/>
      </c>
      <c r="K621" t="str">
        <f t="array" aca="1" ref="K621" ca="1">IFERROR(IF(OR(INDEX(checklistPesertaKemenkeu!$O$6:$O$1005,SMALL(IF(checklistPesertaKemenkeu!$AY$6:$AY$1005="Direkomendasikan",ROW($6:$1005)-5),620))="",INDEX(checklistPesertaKemenkeu!$J$6:$J$1005,SMALL(IF(checklistPesertaKemenkeu!$AY$6:$AY$1005="Direkomendasikan",ROW($6:$1005)-5),620))=""),"",IF(AND(COUNTIF(INDIRECT("K_"&amp;MATCH(INDEX(checklistPesertaKemenkeu!$J$6:$J$1005,SMALL(IF(checklistPesertaKemenkeu!$AY$6:$AY$1005="Direkomendasikan",ROW($6:$1005)-5),620)),BidangList,0)),INDEX(checklistPesertaKemenkeu!$O$6:$O$1005,SMALL(IF(checklistPesertaKemenkeu!$AY$6:$AY$1005="Direkomendasikan",ROW($6:$1005)-5),620)))&gt;0,COUNTIF(INDIRECT("'KERTAS KERJA'!K"&amp;(SMALL(IF(checklistPesertaKemenkeu!$AY$6:$AY$1005="Direkomendasikan",ROW($6:$1005)-5),620)+5)&amp;":O"&amp;(SMALL(IF(checklistPesertaKemenkeu!$AY$6:$AY$1005="Direkomendasikan",ROW($6:$1005)-5),620)+5)),INDEX(checklistPesertaKemenkeu!$O$6:$O$1005,SMALL(IF(checklistPesertaKemenkeu!$AY$6:$AY$1005="Direkomendasikan",ROW($6:$1005)-5),620)))=1),IFERROR(VLOOKUP(INDEX(checklistPesertaKemenkeu!$O$6:$O$1005,SMALL(IF(checklistPesertaKemenkeu!$AY$6:$AY$1005="Direkomendasikan",ROW($6:$1005)-5),620)),KotaKode,2,0),"-"),"")),"")</f>
        <v/>
      </c>
      <c r="L621" t="str">
        <f t="array" aca="1" ref="L621" ca="1">IFERROR(IF(OR(INDEX(checklistPesertaKemenkeu!$P$6:$P$1005,SMALL(IF(checklistPesertaKemenkeu!$AY$6:$AY$1005="Direkomendasikan",ROW($6:$1005)-5),620))="",INDEX(checklistPesertaKemenkeu!$J$6:$J$1005,SMALL(IF(checklistPesertaKemenkeu!$AY$6:$AY$1005="Direkomendasikan",ROW($6:$1005)-5),620))=""),"",IF(AND(COUNTIF(INDIRECT("K_"&amp;MATCH(INDEX(checklistPesertaKemenkeu!$J$6:$J$1005,SMALL(IF(checklistPesertaKemenkeu!$AY$6:$AY$1005="Direkomendasikan",ROW($6:$1005)-5),620)),BidangList,0)),INDEX(checklistPesertaKemenkeu!$P$6:$P$1005,SMALL(IF(checklistPesertaKemenkeu!$AY$6:$AY$1005="Direkomendasikan",ROW($6:$1005)-5),620)))&gt;0,COUNTIF(INDIRECT("'KERTAS KERJA'!K"&amp;(SMALL(IF(checklistPesertaKemenkeu!$AY$6:$AY$1005="Direkomendasikan",ROW($6:$1005)-5),620)+5)&amp;":O"&amp;(SMALL(IF(checklistPesertaKemenkeu!$AY$6:$AY$1005="Direkomendasikan",ROW($6:$1005)-5),620)+5)),INDEX(checklistPesertaKemenkeu!$P$6:$P$1005,SMALL(IF(checklistPesertaKemenkeu!$AY$6:$AY$1005="Direkomendasikan",ROW($6:$1005)-5),620)))=1),IFERROR(VLOOKUP(INDEX(checklistPesertaKemenkeu!$P$6:$P$1005,SMALL(IF(checklistPesertaKemenkeu!$AY$6:$AY$1005="Direkomendasikan",ROW($6:$1005)-5),620)),KotaKode,2,0),"-"),"")),"")</f>
        <v/>
      </c>
    </row>
    <row r="622" spans="1:12" ht="15" customHeight="1" x14ac:dyDescent="0.2">
      <c r="A622" t="str">
        <f t="shared" si="9"/>
        <v/>
      </c>
      <c r="B622" t="str">
        <v/>
      </c>
      <c r="C622" s="40" t="str">
        <f t="array" ref="C622">IFERROR(INDEX(checklistPesertaKemenkeu!$F$6:$F$1005,SMALL(IF(checklistPesertaKemenkeu!$AY$6:$AY$1005="Direkomendasikan",ROW($6:$1005)-5),621)),"")</f>
        <v/>
      </c>
      <c r="D622" t="str">
        <f t="array" ref="D622">IFERROR(INDEX(checklistPesertaKemenkeu!$G$6:$G$1005,SMALL(IF(checklistPesertaKemenkeu!$AY$6:$AY$1005="Direkomendasikan",ROW($6:$1005)-5),621)),"")</f>
        <v/>
      </c>
      <c r="E622" t="str">
        <f t="array" ref="E622">IFERROR(INDEX(checklistPesertaKemenkeu!$H$6:$H$1005,SMALL(IF(checklistPesertaKemenkeu!$AY$6:$AY$1005="Direkomendasikan",ROW($6:$1005)-5),621)),"")</f>
        <v/>
      </c>
      <c r="F622" t="str">
        <f t="array" ref="F622">IFERROR(INDEX(checklistPesertaKemenkeu!$I$6:$I$1005,SMALL(IF(checklistPesertaKemenkeu!$AY$6:$AY$1005="Direkomendasikan",ROW($6:$1005)-5),621)),"")</f>
        <v/>
      </c>
      <c r="G622" t="str">
        <f t="array" ref="G622">IFERROR(INDEX(checklistPesertaKemenkeu!$J$6:$J$1005,SMALL(IF(checklistPesertaKemenkeu!$AY$6:$AY$1005="Direkomendasikan",ROW($6:$1005)-5),621)),"")</f>
        <v/>
      </c>
      <c r="H622" t="str">
        <f t="array" aca="1" ref="H622" ca="1">IFERROR(IF(OR(INDEX(checklistPesertaKemenkeu!$L$6:$L$1005,SMALL(IF(checklistPesertaKemenkeu!$AY$6:$AY$1005="Direkomendasikan",ROW($6:$1005)-5),621))="",INDEX(checklistPesertaKemenkeu!$J$6:$J$1005,SMALL(IF(checklistPesertaKemenkeu!$AY$6:$AY$1005="Direkomendasikan",ROW($6:$1005)-5),621))=""),"",IF(AND(COUNTIF(INDIRECT("K_"&amp;MATCH(INDEX(checklistPesertaKemenkeu!$J$6:$J$1005,SMALL(IF(checklistPesertaKemenkeu!$AY$6:$AY$1005="Direkomendasikan",ROW($6:$1005)-5),621)),BidangList,0)),INDEX(checklistPesertaKemenkeu!$L$6:$L$1005,SMALL(IF(checklistPesertaKemenkeu!$AY$6:$AY$1005="Direkomendasikan",ROW($6:$1005)-5),621)))&gt;0,COUNTIF(INDIRECT("'KERTAS KERJA'!K"&amp;(SMALL(IF(checklistPesertaKemenkeu!$AY$6:$AY$1005="Direkomendasikan",ROW($6:$1005)-5),621)+5)&amp;":O"&amp;(SMALL(IF(checklistPesertaKemenkeu!$AY$6:$AY$1005="Direkomendasikan",ROW($6:$1005)-5),621)+5)),INDEX(checklistPesertaKemenkeu!$L$6:$L$1005,SMALL(IF(checklistPesertaKemenkeu!$AY$6:$AY$1005="Direkomendasikan",ROW($6:$1005)-5),621)))=1),IFERROR(VLOOKUP(INDEX(checklistPesertaKemenkeu!$L$6:$L$1005,SMALL(IF(checklistPesertaKemenkeu!$AY$6:$AY$1005="Direkomendasikan",ROW($6:$1005)-5),621)),KotaKode,2,0),"-"),"")),"")</f>
        <v/>
      </c>
      <c r="I622" t="str">
        <f t="array" aca="1" ref="I622" ca="1">IFERROR(IF(OR(INDEX(checklistPesertaKemenkeu!$M$6:$M$1005,SMALL(IF(checklistPesertaKemenkeu!$AY$6:$AY$1005="Direkomendasikan",ROW($6:$1005)-5),621))="",INDEX(checklistPesertaKemenkeu!$J$6:$J$1005,SMALL(IF(checklistPesertaKemenkeu!$AY$6:$AY$1005="Direkomendasikan",ROW($6:$1005)-5),621))=""),"",IF(AND(COUNTIF(INDIRECT("K_"&amp;MATCH(INDEX(checklistPesertaKemenkeu!$J$6:$J$1005,SMALL(IF(checklistPesertaKemenkeu!$AY$6:$AY$1005="Direkomendasikan",ROW($6:$1005)-5),621)),BidangList,0)),INDEX(checklistPesertaKemenkeu!$M$6:$M$1005,SMALL(IF(checklistPesertaKemenkeu!$AY$6:$AY$1005="Direkomendasikan",ROW($6:$1005)-5),621)))&gt;0,COUNTIF(INDIRECT("'KERTAS KERJA'!K"&amp;(SMALL(IF(checklistPesertaKemenkeu!$AY$6:$AY$1005="Direkomendasikan",ROW($6:$1005)-5),621)+5)&amp;":O"&amp;(SMALL(IF(checklistPesertaKemenkeu!$AY$6:$AY$1005="Direkomendasikan",ROW($6:$1005)-5),621)+5)),INDEX(checklistPesertaKemenkeu!$M$6:$M$1005,SMALL(IF(checklistPesertaKemenkeu!$AY$6:$AY$1005="Direkomendasikan",ROW($6:$1005)-5),621)))=1),IFERROR(VLOOKUP(INDEX(checklistPesertaKemenkeu!$M$6:$M$1005,SMALL(IF(checklistPesertaKemenkeu!$AY$6:$AY$1005="Direkomendasikan",ROW($6:$1005)-5),621)),KotaKode,2,0),"-"),"")),"")</f>
        <v/>
      </c>
      <c r="J622" t="str">
        <f t="array" aca="1" ref="J622" ca="1">IFERROR(IF(OR(INDEX(checklistPesertaKemenkeu!$N$6:$N$1005,SMALL(IF(checklistPesertaKemenkeu!$AY$6:$AY$1005="Direkomendasikan",ROW($6:$1005)-5),621))="",INDEX(checklistPesertaKemenkeu!$J$6:$J$1005,SMALL(IF(checklistPesertaKemenkeu!$AY$6:$AY$1005="Direkomendasikan",ROW($6:$1005)-5),621))=""),"",IF(AND(COUNTIF(INDIRECT("K_"&amp;MATCH(INDEX(checklistPesertaKemenkeu!$J$6:$J$1005,SMALL(IF(checklistPesertaKemenkeu!$AY$6:$AY$1005="Direkomendasikan",ROW($6:$1005)-5),621)),BidangList,0)),INDEX(checklistPesertaKemenkeu!$N$6:$N$1005,SMALL(IF(checklistPesertaKemenkeu!$AY$6:$AY$1005="Direkomendasikan",ROW($6:$1005)-5),621)))&gt;0,COUNTIF(INDIRECT("'KERTAS KERJA'!K"&amp;(SMALL(IF(checklistPesertaKemenkeu!$AY$6:$AY$1005="Direkomendasikan",ROW($6:$1005)-5),621)+5)&amp;":O"&amp;(SMALL(IF(checklistPesertaKemenkeu!$AY$6:$AY$1005="Direkomendasikan",ROW($6:$1005)-5),621)+5)),INDEX(checklistPesertaKemenkeu!$N$6:$N$1005,SMALL(IF(checklistPesertaKemenkeu!$AY$6:$AY$1005="Direkomendasikan",ROW($6:$1005)-5),621)))=1),IFERROR(VLOOKUP(INDEX(checklistPesertaKemenkeu!$N$6:$N$1005,SMALL(IF(checklistPesertaKemenkeu!$AY$6:$AY$1005="Direkomendasikan",ROW($6:$1005)-5),621)),KotaKode,2,0),"-"),"")),"")</f>
        <v/>
      </c>
      <c r="K622" t="str">
        <f t="array" aca="1" ref="K622" ca="1">IFERROR(IF(OR(INDEX(checklistPesertaKemenkeu!$O$6:$O$1005,SMALL(IF(checklistPesertaKemenkeu!$AY$6:$AY$1005="Direkomendasikan",ROW($6:$1005)-5),621))="",INDEX(checklistPesertaKemenkeu!$J$6:$J$1005,SMALL(IF(checklistPesertaKemenkeu!$AY$6:$AY$1005="Direkomendasikan",ROW($6:$1005)-5),621))=""),"",IF(AND(COUNTIF(INDIRECT("K_"&amp;MATCH(INDEX(checklistPesertaKemenkeu!$J$6:$J$1005,SMALL(IF(checklistPesertaKemenkeu!$AY$6:$AY$1005="Direkomendasikan",ROW($6:$1005)-5),621)),BidangList,0)),INDEX(checklistPesertaKemenkeu!$O$6:$O$1005,SMALL(IF(checklistPesertaKemenkeu!$AY$6:$AY$1005="Direkomendasikan",ROW($6:$1005)-5),621)))&gt;0,COUNTIF(INDIRECT("'KERTAS KERJA'!K"&amp;(SMALL(IF(checklistPesertaKemenkeu!$AY$6:$AY$1005="Direkomendasikan",ROW($6:$1005)-5),621)+5)&amp;":O"&amp;(SMALL(IF(checklistPesertaKemenkeu!$AY$6:$AY$1005="Direkomendasikan",ROW($6:$1005)-5),621)+5)),INDEX(checklistPesertaKemenkeu!$O$6:$O$1005,SMALL(IF(checklistPesertaKemenkeu!$AY$6:$AY$1005="Direkomendasikan",ROW($6:$1005)-5),621)))=1),IFERROR(VLOOKUP(INDEX(checklistPesertaKemenkeu!$O$6:$O$1005,SMALL(IF(checklistPesertaKemenkeu!$AY$6:$AY$1005="Direkomendasikan",ROW($6:$1005)-5),621)),KotaKode,2,0),"-"),"")),"")</f>
        <v/>
      </c>
      <c r="L622" t="str">
        <f t="array" aca="1" ref="L622" ca="1">IFERROR(IF(OR(INDEX(checklistPesertaKemenkeu!$P$6:$P$1005,SMALL(IF(checklistPesertaKemenkeu!$AY$6:$AY$1005="Direkomendasikan",ROW($6:$1005)-5),621))="",INDEX(checklistPesertaKemenkeu!$J$6:$J$1005,SMALL(IF(checklistPesertaKemenkeu!$AY$6:$AY$1005="Direkomendasikan",ROW($6:$1005)-5),621))=""),"",IF(AND(COUNTIF(INDIRECT("K_"&amp;MATCH(INDEX(checklistPesertaKemenkeu!$J$6:$J$1005,SMALL(IF(checklistPesertaKemenkeu!$AY$6:$AY$1005="Direkomendasikan",ROW($6:$1005)-5),621)),BidangList,0)),INDEX(checklistPesertaKemenkeu!$P$6:$P$1005,SMALL(IF(checklistPesertaKemenkeu!$AY$6:$AY$1005="Direkomendasikan",ROW($6:$1005)-5),621)))&gt;0,COUNTIF(INDIRECT("'KERTAS KERJA'!K"&amp;(SMALL(IF(checklistPesertaKemenkeu!$AY$6:$AY$1005="Direkomendasikan",ROW($6:$1005)-5),621)+5)&amp;":O"&amp;(SMALL(IF(checklistPesertaKemenkeu!$AY$6:$AY$1005="Direkomendasikan",ROW($6:$1005)-5),621)+5)),INDEX(checklistPesertaKemenkeu!$P$6:$P$1005,SMALL(IF(checklistPesertaKemenkeu!$AY$6:$AY$1005="Direkomendasikan",ROW($6:$1005)-5),621)))=1),IFERROR(VLOOKUP(INDEX(checklistPesertaKemenkeu!$P$6:$P$1005,SMALL(IF(checklistPesertaKemenkeu!$AY$6:$AY$1005="Direkomendasikan",ROW($6:$1005)-5),621)),KotaKode,2,0),"-"),"")),"")</f>
        <v/>
      </c>
    </row>
    <row r="623" spans="1:12" ht="15" customHeight="1" x14ac:dyDescent="0.2">
      <c r="A623" t="str">
        <f t="shared" si="9"/>
        <v/>
      </c>
      <c r="B623" t="str">
        <v/>
      </c>
      <c r="C623" s="40" t="str">
        <f t="array" ref="C623">IFERROR(INDEX(checklistPesertaKemenkeu!$F$6:$F$1005,SMALL(IF(checklistPesertaKemenkeu!$AY$6:$AY$1005="Direkomendasikan",ROW($6:$1005)-5),622)),"")</f>
        <v/>
      </c>
      <c r="D623" t="str">
        <f t="array" ref="D623">IFERROR(INDEX(checklistPesertaKemenkeu!$G$6:$G$1005,SMALL(IF(checklistPesertaKemenkeu!$AY$6:$AY$1005="Direkomendasikan",ROW($6:$1005)-5),622)),"")</f>
        <v/>
      </c>
      <c r="E623" t="str">
        <f t="array" ref="E623">IFERROR(INDEX(checklistPesertaKemenkeu!$H$6:$H$1005,SMALL(IF(checklistPesertaKemenkeu!$AY$6:$AY$1005="Direkomendasikan",ROW($6:$1005)-5),622)),"")</f>
        <v/>
      </c>
      <c r="F623" t="str">
        <f t="array" ref="F623">IFERROR(INDEX(checklistPesertaKemenkeu!$I$6:$I$1005,SMALL(IF(checklistPesertaKemenkeu!$AY$6:$AY$1005="Direkomendasikan",ROW($6:$1005)-5),622)),"")</f>
        <v/>
      </c>
      <c r="G623" t="str">
        <f t="array" ref="G623">IFERROR(INDEX(checklistPesertaKemenkeu!$J$6:$J$1005,SMALL(IF(checklistPesertaKemenkeu!$AY$6:$AY$1005="Direkomendasikan",ROW($6:$1005)-5),622)),"")</f>
        <v/>
      </c>
      <c r="H623" t="str">
        <f t="array" aca="1" ref="H623" ca="1">IFERROR(IF(OR(INDEX(checklistPesertaKemenkeu!$L$6:$L$1005,SMALL(IF(checklistPesertaKemenkeu!$AY$6:$AY$1005="Direkomendasikan",ROW($6:$1005)-5),622))="",INDEX(checklistPesertaKemenkeu!$J$6:$J$1005,SMALL(IF(checklistPesertaKemenkeu!$AY$6:$AY$1005="Direkomendasikan",ROW($6:$1005)-5),622))=""),"",IF(AND(COUNTIF(INDIRECT("K_"&amp;MATCH(INDEX(checklistPesertaKemenkeu!$J$6:$J$1005,SMALL(IF(checklistPesertaKemenkeu!$AY$6:$AY$1005="Direkomendasikan",ROW($6:$1005)-5),622)),BidangList,0)),INDEX(checklistPesertaKemenkeu!$L$6:$L$1005,SMALL(IF(checklistPesertaKemenkeu!$AY$6:$AY$1005="Direkomendasikan",ROW($6:$1005)-5),622)))&gt;0,COUNTIF(INDIRECT("'KERTAS KERJA'!K"&amp;(SMALL(IF(checklistPesertaKemenkeu!$AY$6:$AY$1005="Direkomendasikan",ROW($6:$1005)-5),622)+5)&amp;":O"&amp;(SMALL(IF(checklistPesertaKemenkeu!$AY$6:$AY$1005="Direkomendasikan",ROW($6:$1005)-5),622)+5)),INDEX(checklistPesertaKemenkeu!$L$6:$L$1005,SMALL(IF(checklistPesertaKemenkeu!$AY$6:$AY$1005="Direkomendasikan",ROW($6:$1005)-5),622)))=1),IFERROR(VLOOKUP(INDEX(checklistPesertaKemenkeu!$L$6:$L$1005,SMALL(IF(checklistPesertaKemenkeu!$AY$6:$AY$1005="Direkomendasikan",ROW($6:$1005)-5),622)),KotaKode,2,0),"-"),"")),"")</f>
        <v/>
      </c>
      <c r="I623" t="str">
        <f t="array" aca="1" ref="I623" ca="1">IFERROR(IF(OR(INDEX(checklistPesertaKemenkeu!$M$6:$M$1005,SMALL(IF(checklistPesertaKemenkeu!$AY$6:$AY$1005="Direkomendasikan",ROW($6:$1005)-5),622))="",INDEX(checklistPesertaKemenkeu!$J$6:$J$1005,SMALL(IF(checklistPesertaKemenkeu!$AY$6:$AY$1005="Direkomendasikan",ROW($6:$1005)-5),622))=""),"",IF(AND(COUNTIF(INDIRECT("K_"&amp;MATCH(INDEX(checklistPesertaKemenkeu!$J$6:$J$1005,SMALL(IF(checklistPesertaKemenkeu!$AY$6:$AY$1005="Direkomendasikan",ROW($6:$1005)-5),622)),BidangList,0)),INDEX(checklistPesertaKemenkeu!$M$6:$M$1005,SMALL(IF(checklistPesertaKemenkeu!$AY$6:$AY$1005="Direkomendasikan",ROW($6:$1005)-5),622)))&gt;0,COUNTIF(INDIRECT("'KERTAS KERJA'!K"&amp;(SMALL(IF(checklistPesertaKemenkeu!$AY$6:$AY$1005="Direkomendasikan",ROW($6:$1005)-5),622)+5)&amp;":O"&amp;(SMALL(IF(checklistPesertaKemenkeu!$AY$6:$AY$1005="Direkomendasikan",ROW($6:$1005)-5),622)+5)),INDEX(checklistPesertaKemenkeu!$M$6:$M$1005,SMALL(IF(checklistPesertaKemenkeu!$AY$6:$AY$1005="Direkomendasikan",ROW($6:$1005)-5),622)))=1),IFERROR(VLOOKUP(INDEX(checklistPesertaKemenkeu!$M$6:$M$1005,SMALL(IF(checklistPesertaKemenkeu!$AY$6:$AY$1005="Direkomendasikan",ROW($6:$1005)-5),622)),KotaKode,2,0),"-"),"")),"")</f>
        <v/>
      </c>
      <c r="J623" t="str">
        <f t="array" aca="1" ref="J623" ca="1">IFERROR(IF(OR(INDEX(checklistPesertaKemenkeu!$N$6:$N$1005,SMALL(IF(checklistPesertaKemenkeu!$AY$6:$AY$1005="Direkomendasikan",ROW($6:$1005)-5),622))="",INDEX(checklistPesertaKemenkeu!$J$6:$J$1005,SMALL(IF(checklistPesertaKemenkeu!$AY$6:$AY$1005="Direkomendasikan",ROW($6:$1005)-5),622))=""),"",IF(AND(COUNTIF(INDIRECT("K_"&amp;MATCH(INDEX(checklistPesertaKemenkeu!$J$6:$J$1005,SMALL(IF(checklistPesertaKemenkeu!$AY$6:$AY$1005="Direkomendasikan",ROW($6:$1005)-5),622)),BidangList,0)),INDEX(checklistPesertaKemenkeu!$N$6:$N$1005,SMALL(IF(checklistPesertaKemenkeu!$AY$6:$AY$1005="Direkomendasikan",ROW($6:$1005)-5),622)))&gt;0,COUNTIF(INDIRECT("'KERTAS KERJA'!K"&amp;(SMALL(IF(checklistPesertaKemenkeu!$AY$6:$AY$1005="Direkomendasikan",ROW($6:$1005)-5),622)+5)&amp;":O"&amp;(SMALL(IF(checklistPesertaKemenkeu!$AY$6:$AY$1005="Direkomendasikan",ROW($6:$1005)-5),622)+5)),INDEX(checklistPesertaKemenkeu!$N$6:$N$1005,SMALL(IF(checklistPesertaKemenkeu!$AY$6:$AY$1005="Direkomendasikan",ROW($6:$1005)-5),622)))=1),IFERROR(VLOOKUP(INDEX(checklistPesertaKemenkeu!$N$6:$N$1005,SMALL(IF(checklistPesertaKemenkeu!$AY$6:$AY$1005="Direkomendasikan",ROW($6:$1005)-5),622)),KotaKode,2,0),"-"),"")),"")</f>
        <v/>
      </c>
      <c r="K623" t="str">
        <f t="array" aca="1" ref="K623" ca="1">IFERROR(IF(OR(INDEX(checklistPesertaKemenkeu!$O$6:$O$1005,SMALL(IF(checklistPesertaKemenkeu!$AY$6:$AY$1005="Direkomendasikan",ROW($6:$1005)-5),622))="",INDEX(checklistPesertaKemenkeu!$J$6:$J$1005,SMALL(IF(checklistPesertaKemenkeu!$AY$6:$AY$1005="Direkomendasikan",ROW($6:$1005)-5),622))=""),"",IF(AND(COUNTIF(INDIRECT("K_"&amp;MATCH(INDEX(checklistPesertaKemenkeu!$J$6:$J$1005,SMALL(IF(checklistPesertaKemenkeu!$AY$6:$AY$1005="Direkomendasikan",ROW($6:$1005)-5),622)),BidangList,0)),INDEX(checklistPesertaKemenkeu!$O$6:$O$1005,SMALL(IF(checklistPesertaKemenkeu!$AY$6:$AY$1005="Direkomendasikan",ROW($6:$1005)-5),622)))&gt;0,COUNTIF(INDIRECT("'KERTAS KERJA'!K"&amp;(SMALL(IF(checklistPesertaKemenkeu!$AY$6:$AY$1005="Direkomendasikan",ROW($6:$1005)-5),622)+5)&amp;":O"&amp;(SMALL(IF(checklistPesertaKemenkeu!$AY$6:$AY$1005="Direkomendasikan",ROW($6:$1005)-5),622)+5)),INDEX(checklistPesertaKemenkeu!$O$6:$O$1005,SMALL(IF(checklistPesertaKemenkeu!$AY$6:$AY$1005="Direkomendasikan",ROW($6:$1005)-5),622)))=1),IFERROR(VLOOKUP(INDEX(checklistPesertaKemenkeu!$O$6:$O$1005,SMALL(IF(checklistPesertaKemenkeu!$AY$6:$AY$1005="Direkomendasikan",ROW($6:$1005)-5),622)),KotaKode,2,0),"-"),"")),"")</f>
        <v/>
      </c>
      <c r="L623" t="str">
        <f t="array" aca="1" ref="L623" ca="1">IFERROR(IF(OR(INDEX(checklistPesertaKemenkeu!$P$6:$P$1005,SMALL(IF(checklistPesertaKemenkeu!$AY$6:$AY$1005="Direkomendasikan",ROW($6:$1005)-5),622))="",INDEX(checklistPesertaKemenkeu!$J$6:$J$1005,SMALL(IF(checklistPesertaKemenkeu!$AY$6:$AY$1005="Direkomendasikan",ROW($6:$1005)-5),622))=""),"",IF(AND(COUNTIF(INDIRECT("K_"&amp;MATCH(INDEX(checklistPesertaKemenkeu!$J$6:$J$1005,SMALL(IF(checklistPesertaKemenkeu!$AY$6:$AY$1005="Direkomendasikan",ROW($6:$1005)-5),622)),BidangList,0)),INDEX(checklistPesertaKemenkeu!$P$6:$P$1005,SMALL(IF(checklistPesertaKemenkeu!$AY$6:$AY$1005="Direkomendasikan",ROW($6:$1005)-5),622)))&gt;0,COUNTIF(INDIRECT("'KERTAS KERJA'!K"&amp;(SMALL(IF(checklistPesertaKemenkeu!$AY$6:$AY$1005="Direkomendasikan",ROW($6:$1005)-5),622)+5)&amp;":O"&amp;(SMALL(IF(checklistPesertaKemenkeu!$AY$6:$AY$1005="Direkomendasikan",ROW($6:$1005)-5),622)+5)),INDEX(checklistPesertaKemenkeu!$P$6:$P$1005,SMALL(IF(checklistPesertaKemenkeu!$AY$6:$AY$1005="Direkomendasikan",ROW($6:$1005)-5),622)))=1),IFERROR(VLOOKUP(INDEX(checklistPesertaKemenkeu!$P$6:$P$1005,SMALL(IF(checklistPesertaKemenkeu!$AY$6:$AY$1005="Direkomendasikan",ROW($6:$1005)-5),622)),KotaKode,2,0),"-"),"")),"")</f>
        <v/>
      </c>
    </row>
    <row r="624" spans="1:12" ht="15" customHeight="1" x14ac:dyDescent="0.2">
      <c r="A624" t="str">
        <f t="shared" si="9"/>
        <v/>
      </c>
      <c r="B624" t="str">
        <v/>
      </c>
      <c r="C624" s="40" t="str">
        <f t="array" ref="C624">IFERROR(INDEX(checklistPesertaKemenkeu!$F$6:$F$1005,SMALL(IF(checklistPesertaKemenkeu!$AY$6:$AY$1005="Direkomendasikan",ROW($6:$1005)-5),623)),"")</f>
        <v/>
      </c>
      <c r="D624" t="str">
        <f t="array" ref="D624">IFERROR(INDEX(checklistPesertaKemenkeu!$G$6:$G$1005,SMALL(IF(checklistPesertaKemenkeu!$AY$6:$AY$1005="Direkomendasikan",ROW($6:$1005)-5),623)),"")</f>
        <v/>
      </c>
      <c r="E624" t="str">
        <f t="array" ref="E624">IFERROR(INDEX(checklistPesertaKemenkeu!$H$6:$H$1005,SMALL(IF(checklistPesertaKemenkeu!$AY$6:$AY$1005="Direkomendasikan",ROW($6:$1005)-5),623)),"")</f>
        <v/>
      </c>
      <c r="F624" t="str">
        <f t="array" ref="F624">IFERROR(INDEX(checklistPesertaKemenkeu!$I$6:$I$1005,SMALL(IF(checklistPesertaKemenkeu!$AY$6:$AY$1005="Direkomendasikan",ROW($6:$1005)-5),623)),"")</f>
        <v/>
      </c>
      <c r="G624" t="str">
        <f t="array" ref="G624">IFERROR(INDEX(checklistPesertaKemenkeu!$J$6:$J$1005,SMALL(IF(checklistPesertaKemenkeu!$AY$6:$AY$1005="Direkomendasikan",ROW($6:$1005)-5),623)),"")</f>
        <v/>
      </c>
      <c r="H624" t="str">
        <f t="array" aca="1" ref="H624" ca="1">IFERROR(IF(OR(INDEX(checklistPesertaKemenkeu!$L$6:$L$1005,SMALL(IF(checklistPesertaKemenkeu!$AY$6:$AY$1005="Direkomendasikan",ROW($6:$1005)-5),623))="",INDEX(checklistPesertaKemenkeu!$J$6:$J$1005,SMALL(IF(checklistPesertaKemenkeu!$AY$6:$AY$1005="Direkomendasikan",ROW($6:$1005)-5),623))=""),"",IF(AND(COUNTIF(INDIRECT("K_"&amp;MATCH(INDEX(checklistPesertaKemenkeu!$J$6:$J$1005,SMALL(IF(checklistPesertaKemenkeu!$AY$6:$AY$1005="Direkomendasikan",ROW($6:$1005)-5),623)),BidangList,0)),INDEX(checklistPesertaKemenkeu!$L$6:$L$1005,SMALL(IF(checklistPesertaKemenkeu!$AY$6:$AY$1005="Direkomendasikan",ROW($6:$1005)-5),623)))&gt;0,COUNTIF(INDIRECT("'KERTAS KERJA'!K"&amp;(SMALL(IF(checklistPesertaKemenkeu!$AY$6:$AY$1005="Direkomendasikan",ROW($6:$1005)-5),623)+5)&amp;":O"&amp;(SMALL(IF(checklistPesertaKemenkeu!$AY$6:$AY$1005="Direkomendasikan",ROW($6:$1005)-5),623)+5)),INDEX(checklistPesertaKemenkeu!$L$6:$L$1005,SMALL(IF(checklistPesertaKemenkeu!$AY$6:$AY$1005="Direkomendasikan",ROW($6:$1005)-5),623)))=1),IFERROR(VLOOKUP(INDEX(checklistPesertaKemenkeu!$L$6:$L$1005,SMALL(IF(checklistPesertaKemenkeu!$AY$6:$AY$1005="Direkomendasikan",ROW($6:$1005)-5),623)),KotaKode,2,0),"-"),"")),"")</f>
        <v/>
      </c>
      <c r="I624" t="str">
        <f t="array" aca="1" ref="I624" ca="1">IFERROR(IF(OR(INDEX(checklistPesertaKemenkeu!$M$6:$M$1005,SMALL(IF(checklistPesertaKemenkeu!$AY$6:$AY$1005="Direkomendasikan",ROW($6:$1005)-5),623))="",INDEX(checklistPesertaKemenkeu!$J$6:$J$1005,SMALL(IF(checklistPesertaKemenkeu!$AY$6:$AY$1005="Direkomendasikan",ROW($6:$1005)-5),623))=""),"",IF(AND(COUNTIF(INDIRECT("K_"&amp;MATCH(INDEX(checklistPesertaKemenkeu!$J$6:$J$1005,SMALL(IF(checklistPesertaKemenkeu!$AY$6:$AY$1005="Direkomendasikan",ROW($6:$1005)-5),623)),BidangList,0)),INDEX(checklistPesertaKemenkeu!$M$6:$M$1005,SMALL(IF(checklistPesertaKemenkeu!$AY$6:$AY$1005="Direkomendasikan",ROW($6:$1005)-5),623)))&gt;0,COUNTIF(INDIRECT("'KERTAS KERJA'!K"&amp;(SMALL(IF(checklistPesertaKemenkeu!$AY$6:$AY$1005="Direkomendasikan",ROW($6:$1005)-5),623)+5)&amp;":O"&amp;(SMALL(IF(checklistPesertaKemenkeu!$AY$6:$AY$1005="Direkomendasikan",ROW($6:$1005)-5),623)+5)),INDEX(checklistPesertaKemenkeu!$M$6:$M$1005,SMALL(IF(checklistPesertaKemenkeu!$AY$6:$AY$1005="Direkomendasikan",ROW($6:$1005)-5),623)))=1),IFERROR(VLOOKUP(INDEX(checklistPesertaKemenkeu!$M$6:$M$1005,SMALL(IF(checklistPesertaKemenkeu!$AY$6:$AY$1005="Direkomendasikan",ROW($6:$1005)-5),623)),KotaKode,2,0),"-"),"")),"")</f>
        <v/>
      </c>
      <c r="J624" t="str">
        <f t="array" aca="1" ref="J624" ca="1">IFERROR(IF(OR(INDEX(checklistPesertaKemenkeu!$N$6:$N$1005,SMALL(IF(checklistPesertaKemenkeu!$AY$6:$AY$1005="Direkomendasikan",ROW($6:$1005)-5),623))="",INDEX(checklistPesertaKemenkeu!$J$6:$J$1005,SMALL(IF(checklistPesertaKemenkeu!$AY$6:$AY$1005="Direkomendasikan",ROW($6:$1005)-5),623))=""),"",IF(AND(COUNTIF(INDIRECT("K_"&amp;MATCH(INDEX(checklistPesertaKemenkeu!$J$6:$J$1005,SMALL(IF(checklistPesertaKemenkeu!$AY$6:$AY$1005="Direkomendasikan",ROW($6:$1005)-5),623)),BidangList,0)),INDEX(checklistPesertaKemenkeu!$N$6:$N$1005,SMALL(IF(checklistPesertaKemenkeu!$AY$6:$AY$1005="Direkomendasikan",ROW($6:$1005)-5),623)))&gt;0,COUNTIF(INDIRECT("'KERTAS KERJA'!K"&amp;(SMALL(IF(checklistPesertaKemenkeu!$AY$6:$AY$1005="Direkomendasikan",ROW($6:$1005)-5),623)+5)&amp;":O"&amp;(SMALL(IF(checklistPesertaKemenkeu!$AY$6:$AY$1005="Direkomendasikan",ROW($6:$1005)-5),623)+5)),INDEX(checklistPesertaKemenkeu!$N$6:$N$1005,SMALL(IF(checklistPesertaKemenkeu!$AY$6:$AY$1005="Direkomendasikan",ROW($6:$1005)-5),623)))=1),IFERROR(VLOOKUP(INDEX(checklistPesertaKemenkeu!$N$6:$N$1005,SMALL(IF(checklistPesertaKemenkeu!$AY$6:$AY$1005="Direkomendasikan",ROW($6:$1005)-5),623)),KotaKode,2,0),"-"),"")),"")</f>
        <v/>
      </c>
      <c r="K624" t="str">
        <f t="array" aca="1" ref="K624" ca="1">IFERROR(IF(OR(INDEX(checklistPesertaKemenkeu!$O$6:$O$1005,SMALL(IF(checklistPesertaKemenkeu!$AY$6:$AY$1005="Direkomendasikan",ROW($6:$1005)-5),623))="",INDEX(checklistPesertaKemenkeu!$J$6:$J$1005,SMALL(IF(checklistPesertaKemenkeu!$AY$6:$AY$1005="Direkomendasikan",ROW($6:$1005)-5),623))=""),"",IF(AND(COUNTIF(INDIRECT("K_"&amp;MATCH(INDEX(checklistPesertaKemenkeu!$J$6:$J$1005,SMALL(IF(checklistPesertaKemenkeu!$AY$6:$AY$1005="Direkomendasikan",ROW($6:$1005)-5),623)),BidangList,0)),INDEX(checklistPesertaKemenkeu!$O$6:$O$1005,SMALL(IF(checklistPesertaKemenkeu!$AY$6:$AY$1005="Direkomendasikan",ROW($6:$1005)-5),623)))&gt;0,COUNTIF(INDIRECT("'KERTAS KERJA'!K"&amp;(SMALL(IF(checklistPesertaKemenkeu!$AY$6:$AY$1005="Direkomendasikan",ROW($6:$1005)-5),623)+5)&amp;":O"&amp;(SMALL(IF(checklistPesertaKemenkeu!$AY$6:$AY$1005="Direkomendasikan",ROW($6:$1005)-5),623)+5)),INDEX(checklistPesertaKemenkeu!$O$6:$O$1005,SMALL(IF(checklistPesertaKemenkeu!$AY$6:$AY$1005="Direkomendasikan",ROW($6:$1005)-5),623)))=1),IFERROR(VLOOKUP(INDEX(checklistPesertaKemenkeu!$O$6:$O$1005,SMALL(IF(checklistPesertaKemenkeu!$AY$6:$AY$1005="Direkomendasikan",ROW($6:$1005)-5),623)),KotaKode,2,0),"-"),"")),"")</f>
        <v/>
      </c>
      <c r="L624" t="str">
        <f t="array" aca="1" ref="L624" ca="1">IFERROR(IF(OR(INDEX(checklistPesertaKemenkeu!$P$6:$P$1005,SMALL(IF(checklistPesertaKemenkeu!$AY$6:$AY$1005="Direkomendasikan",ROW($6:$1005)-5),623))="",INDEX(checklistPesertaKemenkeu!$J$6:$J$1005,SMALL(IF(checklistPesertaKemenkeu!$AY$6:$AY$1005="Direkomendasikan",ROW($6:$1005)-5),623))=""),"",IF(AND(COUNTIF(INDIRECT("K_"&amp;MATCH(INDEX(checklistPesertaKemenkeu!$J$6:$J$1005,SMALL(IF(checklistPesertaKemenkeu!$AY$6:$AY$1005="Direkomendasikan",ROW($6:$1005)-5),623)),BidangList,0)),INDEX(checklistPesertaKemenkeu!$P$6:$P$1005,SMALL(IF(checklistPesertaKemenkeu!$AY$6:$AY$1005="Direkomendasikan",ROW($6:$1005)-5),623)))&gt;0,COUNTIF(INDIRECT("'KERTAS KERJA'!K"&amp;(SMALL(IF(checklistPesertaKemenkeu!$AY$6:$AY$1005="Direkomendasikan",ROW($6:$1005)-5),623)+5)&amp;":O"&amp;(SMALL(IF(checklistPesertaKemenkeu!$AY$6:$AY$1005="Direkomendasikan",ROW($6:$1005)-5),623)+5)),INDEX(checklistPesertaKemenkeu!$P$6:$P$1005,SMALL(IF(checklistPesertaKemenkeu!$AY$6:$AY$1005="Direkomendasikan",ROW($6:$1005)-5),623)))=1),IFERROR(VLOOKUP(INDEX(checklistPesertaKemenkeu!$P$6:$P$1005,SMALL(IF(checklistPesertaKemenkeu!$AY$6:$AY$1005="Direkomendasikan",ROW($6:$1005)-5),623)),KotaKode,2,0),"-"),"")),"")</f>
        <v/>
      </c>
    </row>
    <row r="625" spans="1:12" ht="15" customHeight="1" x14ac:dyDescent="0.2">
      <c r="A625" t="str">
        <f t="shared" si="9"/>
        <v/>
      </c>
      <c r="B625" t="str">
        <v/>
      </c>
      <c r="C625" s="40" t="str">
        <f t="array" ref="C625">IFERROR(INDEX(checklistPesertaKemenkeu!$F$6:$F$1005,SMALL(IF(checklistPesertaKemenkeu!$AY$6:$AY$1005="Direkomendasikan",ROW($6:$1005)-5),624)),"")</f>
        <v/>
      </c>
      <c r="D625" t="str">
        <f t="array" ref="D625">IFERROR(INDEX(checklistPesertaKemenkeu!$G$6:$G$1005,SMALL(IF(checklistPesertaKemenkeu!$AY$6:$AY$1005="Direkomendasikan",ROW($6:$1005)-5),624)),"")</f>
        <v/>
      </c>
      <c r="E625" t="str">
        <f t="array" ref="E625">IFERROR(INDEX(checklistPesertaKemenkeu!$H$6:$H$1005,SMALL(IF(checklistPesertaKemenkeu!$AY$6:$AY$1005="Direkomendasikan",ROW($6:$1005)-5),624)),"")</f>
        <v/>
      </c>
      <c r="F625" t="str">
        <f t="array" ref="F625">IFERROR(INDEX(checklistPesertaKemenkeu!$I$6:$I$1005,SMALL(IF(checklistPesertaKemenkeu!$AY$6:$AY$1005="Direkomendasikan",ROW($6:$1005)-5),624)),"")</f>
        <v/>
      </c>
      <c r="G625" t="str">
        <f t="array" ref="G625">IFERROR(INDEX(checklistPesertaKemenkeu!$J$6:$J$1005,SMALL(IF(checklistPesertaKemenkeu!$AY$6:$AY$1005="Direkomendasikan",ROW($6:$1005)-5),624)),"")</f>
        <v/>
      </c>
      <c r="H625" t="str">
        <f t="array" aca="1" ref="H625" ca="1">IFERROR(IF(OR(INDEX(checklistPesertaKemenkeu!$L$6:$L$1005,SMALL(IF(checklistPesertaKemenkeu!$AY$6:$AY$1005="Direkomendasikan",ROW($6:$1005)-5),624))="",INDEX(checklistPesertaKemenkeu!$J$6:$J$1005,SMALL(IF(checklistPesertaKemenkeu!$AY$6:$AY$1005="Direkomendasikan",ROW($6:$1005)-5),624))=""),"",IF(AND(COUNTIF(INDIRECT("K_"&amp;MATCH(INDEX(checklistPesertaKemenkeu!$J$6:$J$1005,SMALL(IF(checklistPesertaKemenkeu!$AY$6:$AY$1005="Direkomendasikan",ROW($6:$1005)-5),624)),BidangList,0)),INDEX(checklistPesertaKemenkeu!$L$6:$L$1005,SMALL(IF(checklistPesertaKemenkeu!$AY$6:$AY$1005="Direkomendasikan",ROW($6:$1005)-5),624)))&gt;0,COUNTIF(INDIRECT("'KERTAS KERJA'!K"&amp;(SMALL(IF(checklistPesertaKemenkeu!$AY$6:$AY$1005="Direkomendasikan",ROW($6:$1005)-5),624)+5)&amp;":O"&amp;(SMALL(IF(checklistPesertaKemenkeu!$AY$6:$AY$1005="Direkomendasikan",ROW($6:$1005)-5),624)+5)),INDEX(checklistPesertaKemenkeu!$L$6:$L$1005,SMALL(IF(checklistPesertaKemenkeu!$AY$6:$AY$1005="Direkomendasikan",ROW($6:$1005)-5),624)))=1),IFERROR(VLOOKUP(INDEX(checklistPesertaKemenkeu!$L$6:$L$1005,SMALL(IF(checklistPesertaKemenkeu!$AY$6:$AY$1005="Direkomendasikan",ROW($6:$1005)-5),624)),KotaKode,2,0),"-"),"")),"")</f>
        <v/>
      </c>
      <c r="I625" t="str">
        <f t="array" aca="1" ref="I625" ca="1">IFERROR(IF(OR(INDEX(checklistPesertaKemenkeu!$M$6:$M$1005,SMALL(IF(checklistPesertaKemenkeu!$AY$6:$AY$1005="Direkomendasikan",ROW($6:$1005)-5),624))="",INDEX(checklistPesertaKemenkeu!$J$6:$J$1005,SMALL(IF(checklistPesertaKemenkeu!$AY$6:$AY$1005="Direkomendasikan",ROW($6:$1005)-5),624))=""),"",IF(AND(COUNTIF(INDIRECT("K_"&amp;MATCH(INDEX(checklistPesertaKemenkeu!$J$6:$J$1005,SMALL(IF(checklistPesertaKemenkeu!$AY$6:$AY$1005="Direkomendasikan",ROW($6:$1005)-5),624)),BidangList,0)),INDEX(checklistPesertaKemenkeu!$M$6:$M$1005,SMALL(IF(checklistPesertaKemenkeu!$AY$6:$AY$1005="Direkomendasikan",ROW($6:$1005)-5),624)))&gt;0,COUNTIF(INDIRECT("'KERTAS KERJA'!K"&amp;(SMALL(IF(checklistPesertaKemenkeu!$AY$6:$AY$1005="Direkomendasikan",ROW($6:$1005)-5),624)+5)&amp;":O"&amp;(SMALL(IF(checklistPesertaKemenkeu!$AY$6:$AY$1005="Direkomendasikan",ROW($6:$1005)-5),624)+5)),INDEX(checklistPesertaKemenkeu!$M$6:$M$1005,SMALL(IF(checklistPesertaKemenkeu!$AY$6:$AY$1005="Direkomendasikan",ROW($6:$1005)-5),624)))=1),IFERROR(VLOOKUP(INDEX(checklistPesertaKemenkeu!$M$6:$M$1005,SMALL(IF(checklistPesertaKemenkeu!$AY$6:$AY$1005="Direkomendasikan",ROW($6:$1005)-5),624)),KotaKode,2,0),"-"),"")),"")</f>
        <v/>
      </c>
      <c r="J625" t="str">
        <f t="array" aca="1" ref="J625" ca="1">IFERROR(IF(OR(INDEX(checklistPesertaKemenkeu!$N$6:$N$1005,SMALL(IF(checklistPesertaKemenkeu!$AY$6:$AY$1005="Direkomendasikan",ROW($6:$1005)-5),624))="",INDEX(checklistPesertaKemenkeu!$J$6:$J$1005,SMALL(IF(checklistPesertaKemenkeu!$AY$6:$AY$1005="Direkomendasikan",ROW($6:$1005)-5),624))=""),"",IF(AND(COUNTIF(INDIRECT("K_"&amp;MATCH(INDEX(checklistPesertaKemenkeu!$J$6:$J$1005,SMALL(IF(checklistPesertaKemenkeu!$AY$6:$AY$1005="Direkomendasikan",ROW($6:$1005)-5),624)),BidangList,0)),INDEX(checklistPesertaKemenkeu!$N$6:$N$1005,SMALL(IF(checklistPesertaKemenkeu!$AY$6:$AY$1005="Direkomendasikan",ROW($6:$1005)-5),624)))&gt;0,COUNTIF(INDIRECT("'KERTAS KERJA'!K"&amp;(SMALL(IF(checklistPesertaKemenkeu!$AY$6:$AY$1005="Direkomendasikan",ROW($6:$1005)-5),624)+5)&amp;":O"&amp;(SMALL(IF(checklistPesertaKemenkeu!$AY$6:$AY$1005="Direkomendasikan",ROW($6:$1005)-5),624)+5)),INDEX(checklistPesertaKemenkeu!$N$6:$N$1005,SMALL(IF(checklistPesertaKemenkeu!$AY$6:$AY$1005="Direkomendasikan",ROW($6:$1005)-5),624)))=1),IFERROR(VLOOKUP(INDEX(checklistPesertaKemenkeu!$N$6:$N$1005,SMALL(IF(checklistPesertaKemenkeu!$AY$6:$AY$1005="Direkomendasikan",ROW($6:$1005)-5),624)),KotaKode,2,0),"-"),"")),"")</f>
        <v/>
      </c>
      <c r="K625" t="str">
        <f t="array" aca="1" ref="K625" ca="1">IFERROR(IF(OR(INDEX(checklistPesertaKemenkeu!$O$6:$O$1005,SMALL(IF(checklistPesertaKemenkeu!$AY$6:$AY$1005="Direkomendasikan",ROW($6:$1005)-5),624))="",INDEX(checklistPesertaKemenkeu!$J$6:$J$1005,SMALL(IF(checklistPesertaKemenkeu!$AY$6:$AY$1005="Direkomendasikan",ROW($6:$1005)-5),624))=""),"",IF(AND(COUNTIF(INDIRECT("K_"&amp;MATCH(INDEX(checklistPesertaKemenkeu!$J$6:$J$1005,SMALL(IF(checklistPesertaKemenkeu!$AY$6:$AY$1005="Direkomendasikan",ROW($6:$1005)-5),624)),BidangList,0)),INDEX(checklistPesertaKemenkeu!$O$6:$O$1005,SMALL(IF(checklistPesertaKemenkeu!$AY$6:$AY$1005="Direkomendasikan",ROW($6:$1005)-5),624)))&gt;0,COUNTIF(INDIRECT("'KERTAS KERJA'!K"&amp;(SMALL(IF(checklistPesertaKemenkeu!$AY$6:$AY$1005="Direkomendasikan",ROW($6:$1005)-5),624)+5)&amp;":O"&amp;(SMALL(IF(checklistPesertaKemenkeu!$AY$6:$AY$1005="Direkomendasikan",ROW($6:$1005)-5),624)+5)),INDEX(checklistPesertaKemenkeu!$O$6:$O$1005,SMALL(IF(checklistPesertaKemenkeu!$AY$6:$AY$1005="Direkomendasikan",ROW($6:$1005)-5),624)))=1),IFERROR(VLOOKUP(INDEX(checklistPesertaKemenkeu!$O$6:$O$1005,SMALL(IF(checklistPesertaKemenkeu!$AY$6:$AY$1005="Direkomendasikan",ROW($6:$1005)-5),624)),KotaKode,2,0),"-"),"")),"")</f>
        <v/>
      </c>
      <c r="L625" t="str">
        <f t="array" aca="1" ref="L625" ca="1">IFERROR(IF(OR(INDEX(checklistPesertaKemenkeu!$P$6:$P$1005,SMALL(IF(checklistPesertaKemenkeu!$AY$6:$AY$1005="Direkomendasikan",ROW($6:$1005)-5),624))="",INDEX(checklistPesertaKemenkeu!$J$6:$J$1005,SMALL(IF(checklistPesertaKemenkeu!$AY$6:$AY$1005="Direkomendasikan",ROW($6:$1005)-5),624))=""),"",IF(AND(COUNTIF(INDIRECT("K_"&amp;MATCH(INDEX(checklistPesertaKemenkeu!$J$6:$J$1005,SMALL(IF(checklistPesertaKemenkeu!$AY$6:$AY$1005="Direkomendasikan",ROW($6:$1005)-5),624)),BidangList,0)),INDEX(checklistPesertaKemenkeu!$P$6:$P$1005,SMALL(IF(checklistPesertaKemenkeu!$AY$6:$AY$1005="Direkomendasikan",ROW($6:$1005)-5),624)))&gt;0,COUNTIF(INDIRECT("'KERTAS KERJA'!K"&amp;(SMALL(IF(checklistPesertaKemenkeu!$AY$6:$AY$1005="Direkomendasikan",ROW($6:$1005)-5),624)+5)&amp;":O"&amp;(SMALL(IF(checklistPesertaKemenkeu!$AY$6:$AY$1005="Direkomendasikan",ROW($6:$1005)-5),624)+5)),INDEX(checklistPesertaKemenkeu!$P$6:$P$1005,SMALL(IF(checklistPesertaKemenkeu!$AY$6:$AY$1005="Direkomendasikan",ROW($6:$1005)-5),624)))=1),IFERROR(VLOOKUP(INDEX(checklistPesertaKemenkeu!$P$6:$P$1005,SMALL(IF(checklistPesertaKemenkeu!$AY$6:$AY$1005="Direkomendasikan",ROW($6:$1005)-5),624)),KotaKode,2,0),"-"),"")),"")</f>
        <v/>
      </c>
    </row>
    <row r="626" spans="1:12" ht="15" customHeight="1" x14ac:dyDescent="0.2">
      <c r="A626" t="str">
        <f t="shared" si="9"/>
        <v/>
      </c>
      <c r="B626" t="str">
        <v/>
      </c>
      <c r="C626" s="40" t="str">
        <f t="array" ref="C626">IFERROR(INDEX(checklistPesertaKemenkeu!$F$6:$F$1005,SMALL(IF(checklistPesertaKemenkeu!$AY$6:$AY$1005="Direkomendasikan",ROW($6:$1005)-5),625)),"")</f>
        <v/>
      </c>
      <c r="D626" t="str">
        <f t="array" ref="D626">IFERROR(INDEX(checklistPesertaKemenkeu!$G$6:$G$1005,SMALL(IF(checklistPesertaKemenkeu!$AY$6:$AY$1005="Direkomendasikan",ROW($6:$1005)-5),625)),"")</f>
        <v/>
      </c>
      <c r="E626" t="str">
        <f t="array" ref="E626">IFERROR(INDEX(checklistPesertaKemenkeu!$H$6:$H$1005,SMALL(IF(checklistPesertaKemenkeu!$AY$6:$AY$1005="Direkomendasikan",ROW($6:$1005)-5),625)),"")</f>
        <v/>
      </c>
      <c r="F626" t="str">
        <f t="array" ref="F626">IFERROR(INDEX(checklistPesertaKemenkeu!$I$6:$I$1005,SMALL(IF(checklistPesertaKemenkeu!$AY$6:$AY$1005="Direkomendasikan",ROW($6:$1005)-5),625)),"")</f>
        <v/>
      </c>
      <c r="G626" t="str">
        <f t="array" ref="G626">IFERROR(INDEX(checklistPesertaKemenkeu!$J$6:$J$1005,SMALL(IF(checklistPesertaKemenkeu!$AY$6:$AY$1005="Direkomendasikan",ROW($6:$1005)-5),625)),"")</f>
        <v/>
      </c>
      <c r="H626" t="str">
        <f t="array" aca="1" ref="H626" ca="1">IFERROR(IF(OR(INDEX(checklistPesertaKemenkeu!$L$6:$L$1005,SMALL(IF(checklistPesertaKemenkeu!$AY$6:$AY$1005="Direkomendasikan",ROW($6:$1005)-5),625))="",INDEX(checklistPesertaKemenkeu!$J$6:$J$1005,SMALL(IF(checklistPesertaKemenkeu!$AY$6:$AY$1005="Direkomendasikan",ROW($6:$1005)-5),625))=""),"",IF(AND(COUNTIF(INDIRECT("K_"&amp;MATCH(INDEX(checklistPesertaKemenkeu!$J$6:$J$1005,SMALL(IF(checklistPesertaKemenkeu!$AY$6:$AY$1005="Direkomendasikan",ROW($6:$1005)-5),625)),BidangList,0)),INDEX(checklistPesertaKemenkeu!$L$6:$L$1005,SMALL(IF(checklistPesertaKemenkeu!$AY$6:$AY$1005="Direkomendasikan",ROW($6:$1005)-5),625)))&gt;0,COUNTIF(INDIRECT("'KERTAS KERJA'!K"&amp;(SMALL(IF(checklistPesertaKemenkeu!$AY$6:$AY$1005="Direkomendasikan",ROW($6:$1005)-5),625)+5)&amp;":O"&amp;(SMALL(IF(checklistPesertaKemenkeu!$AY$6:$AY$1005="Direkomendasikan",ROW($6:$1005)-5),625)+5)),INDEX(checklistPesertaKemenkeu!$L$6:$L$1005,SMALL(IF(checklistPesertaKemenkeu!$AY$6:$AY$1005="Direkomendasikan",ROW($6:$1005)-5),625)))=1),IFERROR(VLOOKUP(INDEX(checklistPesertaKemenkeu!$L$6:$L$1005,SMALL(IF(checklistPesertaKemenkeu!$AY$6:$AY$1005="Direkomendasikan",ROW($6:$1005)-5),625)),KotaKode,2,0),"-"),"")),"")</f>
        <v/>
      </c>
      <c r="I626" t="str">
        <f t="array" aca="1" ref="I626" ca="1">IFERROR(IF(OR(INDEX(checklistPesertaKemenkeu!$M$6:$M$1005,SMALL(IF(checklistPesertaKemenkeu!$AY$6:$AY$1005="Direkomendasikan",ROW($6:$1005)-5),625))="",INDEX(checklistPesertaKemenkeu!$J$6:$J$1005,SMALL(IF(checklistPesertaKemenkeu!$AY$6:$AY$1005="Direkomendasikan",ROW($6:$1005)-5),625))=""),"",IF(AND(COUNTIF(INDIRECT("K_"&amp;MATCH(INDEX(checklistPesertaKemenkeu!$J$6:$J$1005,SMALL(IF(checklistPesertaKemenkeu!$AY$6:$AY$1005="Direkomendasikan",ROW($6:$1005)-5),625)),BidangList,0)),INDEX(checklistPesertaKemenkeu!$M$6:$M$1005,SMALL(IF(checklistPesertaKemenkeu!$AY$6:$AY$1005="Direkomendasikan",ROW($6:$1005)-5),625)))&gt;0,COUNTIF(INDIRECT("'KERTAS KERJA'!K"&amp;(SMALL(IF(checklistPesertaKemenkeu!$AY$6:$AY$1005="Direkomendasikan",ROW($6:$1005)-5),625)+5)&amp;":O"&amp;(SMALL(IF(checklistPesertaKemenkeu!$AY$6:$AY$1005="Direkomendasikan",ROW($6:$1005)-5),625)+5)),INDEX(checklistPesertaKemenkeu!$M$6:$M$1005,SMALL(IF(checklistPesertaKemenkeu!$AY$6:$AY$1005="Direkomendasikan",ROW($6:$1005)-5),625)))=1),IFERROR(VLOOKUP(INDEX(checklistPesertaKemenkeu!$M$6:$M$1005,SMALL(IF(checklistPesertaKemenkeu!$AY$6:$AY$1005="Direkomendasikan",ROW($6:$1005)-5),625)),KotaKode,2,0),"-"),"")),"")</f>
        <v/>
      </c>
      <c r="J626" t="str">
        <f t="array" aca="1" ref="J626" ca="1">IFERROR(IF(OR(INDEX(checklistPesertaKemenkeu!$N$6:$N$1005,SMALL(IF(checklistPesertaKemenkeu!$AY$6:$AY$1005="Direkomendasikan",ROW($6:$1005)-5),625))="",INDEX(checklistPesertaKemenkeu!$J$6:$J$1005,SMALL(IF(checklistPesertaKemenkeu!$AY$6:$AY$1005="Direkomendasikan",ROW($6:$1005)-5),625))=""),"",IF(AND(COUNTIF(INDIRECT("K_"&amp;MATCH(INDEX(checklistPesertaKemenkeu!$J$6:$J$1005,SMALL(IF(checklistPesertaKemenkeu!$AY$6:$AY$1005="Direkomendasikan",ROW($6:$1005)-5),625)),BidangList,0)),INDEX(checklistPesertaKemenkeu!$N$6:$N$1005,SMALL(IF(checklistPesertaKemenkeu!$AY$6:$AY$1005="Direkomendasikan",ROW($6:$1005)-5),625)))&gt;0,COUNTIF(INDIRECT("'KERTAS KERJA'!K"&amp;(SMALL(IF(checklistPesertaKemenkeu!$AY$6:$AY$1005="Direkomendasikan",ROW($6:$1005)-5),625)+5)&amp;":O"&amp;(SMALL(IF(checklistPesertaKemenkeu!$AY$6:$AY$1005="Direkomendasikan",ROW($6:$1005)-5),625)+5)),INDEX(checklistPesertaKemenkeu!$N$6:$N$1005,SMALL(IF(checklistPesertaKemenkeu!$AY$6:$AY$1005="Direkomendasikan",ROW($6:$1005)-5),625)))=1),IFERROR(VLOOKUP(INDEX(checklistPesertaKemenkeu!$N$6:$N$1005,SMALL(IF(checklistPesertaKemenkeu!$AY$6:$AY$1005="Direkomendasikan",ROW($6:$1005)-5),625)),KotaKode,2,0),"-"),"")),"")</f>
        <v/>
      </c>
      <c r="K626" t="str">
        <f t="array" aca="1" ref="K626" ca="1">IFERROR(IF(OR(INDEX(checklistPesertaKemenkeu!$O$6:$O$1005,SMALL(IF(checklistPesertaKemenkeu!$AY$6:$AY$1005="Direkomendasikan",ROW($6:$1005)-5),625))="",INDEX(checklistPesertaKemenkeu!$J$6:$J$1005,SMALL(IF(checklistPesertaKemenkeu!$AY$6:$AY$1005="Direkomendasikan",ROW($6:$1005)-5),625))=""),"",IF(AND(COUNTIF(INDIRECT("K_"&amp;MATCH(INDEX(checklistPesertaKemenkeu!$J$6:$J$1005,SMALL(IF(checklistPesertaKemenkeu!$AY$6:$AY$1005="Direkomendasikan",ROW($6:$1005)-5),625)),BidangList,0)),INDEX(checklistPesertaKemenkeu!$O$6:$O$1005,SMALL(IF(checklistPesertaKemenkeu!$AY$6:$AY$1005="Direkomendasikan",ROW($6:$1005)-5),625)))&gt;0,COUNTIF(INDIRECT("'KERTAS KERJA'!K"&amp;(SMALL(IF(checklistPesertaKemenkeu!$AY$6:$AY$1005="Direkomendasikan",ROW($6:$1005)-5),625)+5)&amp;":O"&amp;(SMALL(IF(checklistPesertaKemenkeu!$AY$6:$AY$1005="Direkomendasikan",ROW($6:$1005)-5),625)+5)),INDEX(checklistPesertaKemenkeu!$O$6:$O$1005,SMALL(IF(checklistPesertaKemenkeu!$AY$6:$AY$1005="Direkomendasikan",ROW($6:$1005)-5),625)))=1),IFERROR(VLOOKUP(INDEX(checklistPesertaKemenkeu!$O$6:$O$1005,SMALL(IF(checklistPesertaKemenkeu!$AY$6:$AY$1005="Direkomendasikan",ROW($6:$1005)-5),625)),KotaKode,2,0),"-"),"")),"")</f>
        <v/>
      </c>
      <c r="L626" t="str">
        <f t="array" aca="1" ref="L626" ca="1">IFERROR(IF(OR(INDEX(checklistPesertaKemenkeu!$P$6:$P$1005,SMALL(IF(checklistPesertaKemenkeu!$AY$6:$AY$1005="Direkomendasikan",ROW($6:$1005)-5),625))="",INDEX(checklistPesertaKemenkeu!$J$6:$J$1005,SMALL(IF(checklistPesertaKemenkeu!$AY$6:$AY$1005="Direkomendasikan",ROW($6:$1005)-5),625))=""),"",IF(AND(COUNTIF(INDIRECT("K_"&amp;MATCH(INDEX(checklistPesertaKemenkeu!$J$6:$J$1005,SMALL(IF(checklistPesertaKemenkeu!$AY$6:$AY$1005="Direkomendasikan",ROW($6:$1005)-5),625)),BidangList,0)),INDEX(checklistPesertaKemenkeu!$P$6:$P$1005,SMALL(IF(checklistPesertaKemenkeu!$AY$6:$AY$1005="Direkomendasikan",ROW($6:$1005)-5),625)))&gt;0,COUNTIF(INDIRECT("'KERTAS KERJA'!K"&amp;(SMALL(IF(checklistPesertaKemenkeu!$AY$6:$AY$1005="Direkomendasikan",ROW($6:$1005)-5),625)+5)&amp;":O"&amp;(SMALL(IF(checklistPesertaKemenkeu!$AY$6:$AY$1005="Direkomendasikan",ROW($6:$1005)-5),625)+5)),INDEX(checklistPesertaKemenkeu!$P$6:$P$1005,SMALL(IF(checklistPesertaKemenkeu!$AY$6:$AY$1005="Direkomendasikan",ROW($6:$1005)-5),625)))=1),IFERROR(VLOOKUP(INDEX(checklistPesertaKemenkeu!$P$6:$P$1005,SMALL(IF(checklistPesertaKemenkeu!$AY$6:$AY$1005="Direkomendasikan",ROW($6:$1005)-5),625)),KotaKode,2,0),"-"),"")),"")</f>
        <v/>
      </c>
    </row>
    <row r="627" spans="1:12" ht="15" customHeight="1" x14ac:dyDescent="0.2">
      <c r="A627" t="str">
        <f t="shared" si="9"/>
        <v/>
      </c>
      <c r="B627" t="str">
        <v/>
      </c>
      <c r="C627" s="40" t="str">
        <f t="array" ref="C627">IFERROR(INDEX(checklistPesertaKemenkeu!$F$6:$F$1005,SMALL(IF(checklistPesertaKemenkeu!$AY$6:$AY$1005="Direkomendasikan",ROW($6:$1005)-5),626)),"")</f>
        <v/>
      </c>
      <c r="D627" t="str">
        <f t="array" ref="D627">IFERROR(INDEX(checklistPesertaKemenkeu!$G$6:$G$1005,SMALL(IF(checklistPesertaKemenkeu!$AY$6:$AY$1005="Direkomendasikan",ROW($6:$1005)-5),626)),"")</f>
        <v/>
      </c>
      <c r="E627" t="str">
        <f t="array" ref="E627">IFERROR(INDEX(checklistPesertaKemenkeu!$H$6:$H$1005,SMALL(IF(checklistPesertaKemenkeu!$AY$6:$AY$1005="Direkomendasikan",ROW($6:$1005)-5),626)),"")</f>
        <v/>
      </c>
      <c r="F627" t="str">
        <f t="array" ref="F627">IFERROR(INDEX(checklistPesertaKemenkeu!$I$6:$I$1005,SMALL(IF(checklistPesertaKemenkeu!$AY$6:$AY$1005="Direkomendasikan",ROW($6:$1005)-5),626)),"")</f>
        <v/>
      </c>
      <c r="G627" t="str">
        <f t="array" ref="G627">IFERROR(INDEX(checklistPesertaKemenkeu!$J$6:$J$1005,SMALL(IF(checklistPesertaKemenkeu!$AY$6:$AY$1005="Direkomendasikan",ROW($6:$1005)-5),626)),"")</f>
        <v/>
      </c>
      <c r="H627" t="str">
        <f t="array" aca="1" ref="H627" ca="1">IFERROR(IF(OR(INDEX(checklistPesertaKemenkeu!$L$6:$L$1005,SMALL(IF(checklistPesertaKemenkeu!$AY$6:$AY$1005="Direkomendasikan",ROW($6:$1005)-5),626))="",INDEX(checklistPesertaKemenkeu!$J$6:$J$1005,SMALL(IF(checklistPesertaKemenkeu!$AY$6:$AY$1005="Direkomendasikan",ROW($6:$1005)-5),626))=""),"",IF(AND(COUNTIF(INDIRECT("K_"&amp;MATCH(INDEX(checklistPesertaKemenkeu!$J$6:$J$1005,SMALL(IF(checklistPesertaKemenkeu!$AY$6:$AY$1005="Direkomendasikan",ROW($6:$1005)-5),626)),BidangList,0)),INDEX(checklistPesertaKemenkeu!$L$6:$L$1005,SMALL(IF(checklistPesertaKemenkeu!$AY$6:$AY$1005="Direkomendasikan",ROW($6:$1005)-5),626)))&gt;0,COUNTIF(INDIRECT("'KERTAS KERJA'!K"&amp;(SMALL(IF(checklistPesertaKemenkeu!$AY$6:$AY$1005="Direkomendasikan",ROW($6:$1005)-5),626)+5)&amp;":O"&amp;(SMALL(IF(checklistPesertaKemenkeu!$AY$6:$AY$1005="Direkomendasikan",ROW($6:$1005)-5),626)+5)),INDEX(checklistPesertaKemenkeu!$L$6:$L$1005,SMALL(IF(checklistPesertaKemenkeu!$AY$6:$AY$1005="Direkomendasikan",ROW($6:$1005)-5),626)))=1),IFERROR(VLOOKUP(INDEX(checklistPesertaKemenkeu!$L$6:$L$1005,SMALL(IF(checklistPesertaKemenkeu!$AY$6:$AY$1005="Direkomendasikan",ROW($6:$1005)-5),626)),KotaKode,2,0),"-"),"")),"")</f>
        <v/>
      </c>
      <c r="I627" t="str">
        <f t="array" aca="1" ref="I627" ca="1">IFERROR(IF(OR(INDEX(checklistPesertaKemenkeu!$M$6:$M$1005,SMALL(IF(checklistPesertaKemenkeu!$AY$6:$AY$1005="Direkomendasikan",ROW($6:$1005)-5),626))="",INDEX(checklistPesertaKemenkeu!$J$6:$J$1005,SMALL(IF(checklistPesertaKemenkeu!$AY$6:$AY$1005="Direkomendasikan",ROW($6:$1005)-5),626))=""),"",IF(AND(COUNTIF(INDIRECT("K_"&amp;MATCH(INDEX(checklistPesertaKemenkeu!$J$6:$J$1005,SMALL(IF(checklistPesertaKemenkeu!$AY$6:$AY$1005="Direkomendasikan",ROW($6:$1005)-5),626)),BidangList,0)),INDEX(checklistPesertaKemenkeu!$M$6:$M$1005,SMALL(IF(checklistPesertaKemenkeu!$AY$6:$AY$1005="Direkomendasikan",ROW($6:$1005)-5),626)))&gt;0,COUNTIF(INDIRECT("'KERTAS KERJA'!K"&amp;(SMALL(IF(checklistPesertaKemenkeu!$AY$6:$AY$1005="Direkomendasikan",ROW($6:$1005)-5),626)+5)&amp;":O"&amp;(SMALL(IF(checklistPesertaKemenkeu!$AY$6:$AY$1005="Direkomendasikan",ROW($6:$1005)-5),626)+5)),INDEX(checklistPesertaKemenkeu!$M$6:$M$1005,SMALL(IF(checklistPesertaKemenkeu!$AY$6:$AY$1005="Direkomendasikan",ROW($6:$1005)-5),626)))=1),IFERROR(VLOOKUP(INDEX(checklistPesertaKemenkeu!$M$6:$M$1005,SMALL(IF(checklistPesertaKemenkeu!$AY$6:$AY$1005="Direkomendasikan",ROW($6:$1005)-5),626)),KotaKode,2,0),"-"),"")),"")</f>
        <v/>
      </c>
      <c r="J627" t="str">
        <f t="array" aca="1" ref="J627" ca="1">IFERROR(IF(OR(INDEX(checklistPesertaKemenkeu!$N$6:$N$1005,SMALL(IF(checklistPesertaKemenkeu!$AY$6:$AY$1005="Direkomendasikan",ROW($6:$1005)-5),626))="",INDEX(checklistPesertaKemenkeu!$J$6:$J$1005,SMALL(IF(checklistPesertaKemenkeu!$AY$6:$AY$1005="Direkomendasikan",ROW($6:$1005)-5),626))=""),"",IF(AND(COUNTIF(INDIRECT("K_"&amp;MATCH(INDEX(checklistPesertaKemenkeu!$J$6:$J$1005,SMALL(IF(checklistPesertaKemenkeu!$AY$6:$AY$1005="Direkomendasikan",ROW($6:$1005)-5),626)),BidangList,0)),INDEX(checklistPesertaKemenkeu!$N$6:$N$1005,SMALL(IF(checklistPesertaKemenkeu!$AY$6:$AY$1005="Direkomendasikan",ROW($6:$1005)-5),626)))&gt;0,COUNTIF(INDIRECT("'KERTAS KERJA'!K"&amp;(SMALL(IF(checklistPesertaKemenkeu!$AY$6:$AY$1005="Direkomendasikan",ROW($6:$1005)-5),626)+5)&amp;":O"&amp;(SMALL(IF(checklistPesertaKemenkeu!$AY$6:$AY$1005="Direkomendasikan",ROW($6:$1005)-5),626)+5)),INDEX(checklistPesertaKemenkeu!$N$6:$N$1005,SMALL(IF(checklistPesertaKemenkeu!$AY$6:$AY$1005="Direkomendasikan",ROW($6:$1005)-5),626)))=1),IFERROR(VLOOKUP(INDEX(checklistPesertaKemenkeu!$N$6:$N$1005,SMALL(IF(checklistPesertaKemenkeu!$AY$6:$AY$1005="Direkomendasikan",ROW($6:$1005)-5),626)),KotaKode,2,0),"-"),"")),"")</f>
        <v/>
      </c>
      <c r="K627" t="str">
        <f t="array" aca="1" ref="K627" ca="1">IFERROR(IF(OR(INDEX(checklistPesertaKemenkeu!$O$6:$O$1005,SMALL(IF(checklistPesertaKemenkeu!$AY$6:$AY$1005="Direkomendasikan",ROW($6:$1005)-5),626))="",INDEX(checklistPesertaKemenkeu!$J$6:$J$1005,SMALL(IF(checklistPesertaKemenkeu!$AY$6:$AY$1005="Direkomendasikan",ROW($6:$1005)-5),626))=""),"",IF(AND(COUNTIF(INDIRECT("K_"&amp;MATCH(INDEX(checklistPesertaKemenkeu!$J$6:$J$1005,SMALL(IF(checklistPesertaKemenkeu!$AY$6:$AY$1005="Direkomendasikan",ROW($6:$1005)-5),626)),BidangList,0)),INDEX(checklistPesertaKemenkeu!$O$6:$O$1005,SMALL(IF(checklistPesertaKemenkeu!$AY$6:$AY$1005="Direkomendasikan",ROW($6:$1005)-5),626)))&gt;0,COUNTIF(INDIRECT("'KERTAS KERJA'!K"&amp;(SMALL(IF(checklistPesertaKemenkeu!$AY$6:$AY$1005="Direkomendasikan",ROW($6:$1005)-5),626)+5)&amp;":O"&amp;(SMALL(IF(checklistPesertaKemenkeu!$AY$6:$AY$1005="Direkomendasikan",ROW($6:$1005)-5),626)+5)),INDEX(checklistPesertaKemenkeu!$O$6:$O$1005,SMALL(IF(checklistPesertaKemenkeu!$AY$6:$AY$1005="Direkomendasikan",ROW($6:$1005)-5),626)))=1),IFERROR(VLOOKUP(INDEX(checklistPesertaKemenkeu!$O$6:$O$1005,SMALL(IF(checklistPesertaKemenkeu!$AY$6:$AY$1005="Direkomendasikan",ROW($6:$1005)-5),626)),KotaKode,2,0),"-"),"")),"")</f>
        <v/>
      </c>
      <c r="L627" t="str">
        <f t="array" aca="1" ref="L627" ca="1">IFERROR(IF(OR(INDEX(checklistPesertaKemenkeu!$P$6:$P$1005,SMALL(IF(checklistPesertaKemenkeu!$AY$6:$AY$1005="Direkomendasikan",ROW($6:$1005)-5),626))="",INDEX(checklistPesertaKemenkeu!$J$6:$J$1005,SMALL(IF(checklistPesertaKemenkeu!$AY$6:$AY$1005="Direkomendasikan",ROW($6:$1005)-5),626))=""),"",IF(AND(COUNTIF(INDIRECT("K_"&amp;MATCH(INDEX(checklistPesertaKemenkeu!$J$6:$J$1005,SMALL(IF(checklistPesertaKemenkeu!$AY$6:$AY$1005="Direkomendasikan",ROW($6:$1005)-5),626)),BidangList,0)),INDEX(checklistPesertaKemenkeu!$P$6:$P$1005,SMALL(IF(checklistPesertaKemenkeu!$AY$6:$AY$1005="Direkomendasikan",ROW($6:$1005)-5),626)))&gt;0,COUNTIF(INDIRECT("'KERTAS KERJA'!K"&amp;(SMALL(IF(checklistPesertaKemenkeu!$AY$6:$AY$1005="Direkomendasikan",ROW($6:$1005)-5),626)+5)&amp;":O"&amp;(SMALL(IF(checklistPesertaKemenkeu!$AY$6:$AY$1005="Direkomendasikan",ROW($6:$1005)-5),626)+5)),INDEX(checklistPesertaKemenkeu!$P$6:$P$1005,SMALL(IF(checklistPesertaKemenkeu!$AY$6:$AY$1005="Direkomendasikan",ROW($6:$1005)-5),626)))=1),IFERROR(VLOOKUP(INDEX(checklistPesertaKemenkeu!$P$6:$P$1005,SMALL(IF(checklistPesertaKemenkeu!$AY$6:$AY$1005="Direkomendasikan",ROW($6:$1005)-5),626)),KotaKode,2,0),"-"),"")),"")</f>
        <v/>
      </c>
    </row>
    <row r="628" spans="1:12" ht="15" customHeight="1" x14ac:dyDescent="0.2">
      <c r="A628" t="str">
        <f t="shared" si="9"/>
        <v/>
      </c>
      <c r="B628" t="str">
        <v/>
      </c>
      <c r="C628" s="40" t="str">
        <f t="array" ref="C628">IFERROR(INDEX(checklistPesertaKemenkeu!$F$6:$F$1005,SMALL(IF(checklistPesertaKemenkeu!$AY$6:$AY$1005="Direkomendasikan",ROW($6:$1005)-5),627)),"")</f>
        <v/>
      </c>
      <c r="D628" t="str">
        <f t="array" ref="D628">IFERROR(INDEX(checklistPesertaKemenkeu!$G$6:$G$1005,SMALL(IF(checklistPesertaKemenkeu!$AY$6:$AY$1005="Direkomendasikan",ROW($6:$1005)-5),627)),"")</f>
        <v/>
      </c>
      <c r="E628" t="str">
        <f t="array" ref="E628">IFERROR(INDEX(checklistPesertaKemenkeu!$H$6:$H$1005,SMALL(IF(checklistPesertaKemenkeu!$AY$6:$AY$1005="Direkomendasikan",ROW($6:$1005)-5),627)),"")</f>
        <v/>
      </c>
      <c r="F628" t="str">
        <f t="array" ref="F628">IFERROR(INDEX(checklistPesertaKemenkeu!$I$6:$I$1005,SMALL(IF(checklistPesertaKemenkeu!$AY$6:$AY$1005="Direkomendasikan",ROW($6:$1005)-5),627)),"")</f>
        <v/>
      </c>
      <c r="G628" t="str">
        <f t="array" ref="G628">IFERROR(INDEX(checklistPesertaKemenkeu!$J$6:$J$1005,SMALL(IF(checklistPesertaKemenkeu!$AY$6:$AY$1005="Direkomendasikan",ROW($6:$1005)-5),627)),"")</f>
        <v/>
      </c>
      <c r="H628" t="str">
        <f t="array" aca="1" ref="H628" ca="1">IFERROR(IF(OR(INDEX(checklistPesertaKemenkeu!$L$6:$L$1005,SMALL(IF(checklistPesertaKemenkeu!$AY$6:$AY$1005="Direkomendasikan",ROW($6:$1005)-5),627))="",INDEX(checklistPesertaKemenkeu!$J$6:$J$1005,SMALL(IF(checklistPesertaKemenkeu!$AY$6:$AY$1005="Direkomendasikan",ROW($6:$1005)-5),627))=""),"",IF(AND(COUNTIF(INDIRECT("K_"&amp;MATCH(INDEX(checklistPesertaKemenkeu!$J$6:$J$1005,SMALL(IF(checklistPesertaKemenkeu!$AY$6:$AY$1005="Direkomendasikan",ROW($6:$1005)-5),627)),BidangList,0)),INDEX(checklistPesertaKemenkeu!$L$6:$L$1005,SMALL(IF(checklistPesertaKemenkeu!$AY$6:$AY$1005="Direkomendasikan",ROW($6:$1005)-5),627)))&gt;0,COUNTIF(INDIRECT("'KERTAS KERJA'!K"&amp;(SMALL(IF(checklistPesertaKemenkeu!$AY$6:$AY$1005="Direkomendasikan",ROW($6:$1005)-5),627)+5)&amp;":O"&amp;(SMALL(IF(checklistPesertaKemenkeu!$AY$6:$AY$1005="Direkomendasikan",ROW($6:$1005)-5),627)+5)),INDEX(checklistPesertaKemenkeu!$L$6:$L$1005,SMALL(IF(checklistPesertaKemenkeu!$AY$6:$AY$1005="Direkomendasikan",ROW($6:$1005)-5),627)))=1),IFERROR(VLOOKUP(INDEX(checklistPesertaKemenkeu!$L$6:$L$1005,SMALL(IF(checklistPesertaKemenkeu!$AY$6:$AY$1005="Direkomendasikan",ROW($6:$1005)-5),627)),KotaKode,2,0),"-"),"")),"")</f>
        <v/>
      </c>
      <c r="I628" t="str">
        <f t="array" aca="1" ref="I628" ca="1">IFERROR(IF(OR(INDEX(checklistPesertaKemenkeu!$M$6:$M$1005,SMALL(IF(checklistPesertaKemenkeu!$AY$6:$AY$1005="Direkomendasikan",ROW($6:$1005)-5),627))="",INDEX(checklistPesertaKemenkeu!$J$6:$J$1005,SMALL(IF(checklistPesertaKemenkeu!$AY$6:$AY$1005="Direkomendasikan",ROW($6:$1005)-5),627))=""),"",IF(AND(COUNTIF(INDIRECT("K_"&amp;MATCH(INDEX(checklistPesertaKemenkeu!$J$6:$J$1005,SMALL(IF(checklistPesertaKemenkeu!$AY$6:$AY$1005="Direkomendasikan",ROW($6:$1005)-5),627)),BidangList,0)),INDEX(checklistPesertaKemenkeu!$M$6:$M$1005,SMALL(IF(checklistPesertaKemenkeu!$AY$6:$AY$1005="Direkomendasikan",ROW($6:$1005)-5),627)))&gt;0,COUNTIF(INDIRECT("'KERTAS KERJA'!K"&amp;(SMALL(IF(checklistPesertaKemenkeu!$AY$6:$AY$1005="Direkomendasikan",ROW($6:$1005)-5),627)+5)&amp;":O"&amp;(SMALL(IF(checklistPesertaKemenkeu!$AY$6:$AY$1005="Direkomendasikan",ROW($6:$1005)-5),627)+5)),INDEX(checklistPesertaKemenkeu!$M$6:$M$1005,SMALL(IF(checklistPesertaKemenkeu!$AY$6:$AY$1005="Direkomendasikan",ROW($6:$1005)-5),627)))=1),IFERROR(VLOOKUP(INDEX(checklistPesertaKemenkeu!$M$6:$M$1005,SMALL(IF(checklistPesertaKemenkeu!$AY$6:$AY$1005="Direkomendasikan",ROW($6:$1005)-5),627)),KotaKode,2,0),"-"),"")),"")</f>
        <v/>
      </c>
      <c r="J628" t="str">
        <f t="array" aca="1" ref="J628" ca="1">IFERROR(IF(OR(INDEX(checklistPesertaKemenkeu!$N$6:$N$1005,SMALL(IF(checklistPesertaKemenkeu!$AY$6:$AY$1005="Direkomendasikan",ROW($6:$1005)-5),627))="",INDEX(checklistPesertaKemenkeu!$J$6:$J$1005,SMALL(IF(checklistPesertaKemenkeu!$AY$6:$AY$1005="Direkomendasikan",ROW($6:$1005)-5),627))=""),"",IF(AND(COUNTIF(INDIRECT("K_"&amp;MATCH(INDEX(checklistPesertaKemenkeu!$J$6:$J$1005,SMALL(IF(checklistPesertaKemenkeu!$AY$6:$AY$1005="Direkomendasikan",ROW($6:$1005)-5),627)),BidangList,0)),INDEX(checklistPesertaKemenkeu!$N$6:$N$1005,SMALL(IF(checklistPesertaKemenkeu!$AY$6:$AY$1005="Direkomendasikan",ROW($6:$1005)-5),627)))&gt;0,COUNTIF(INDIRECT("'KERTAS KERJA'!K"&amp;(SMALL(IF(checklistPesertaKemenkeu!$AY$6:$AY$1005="Direkomendasikan",ROW($6:$1005)-5),627)+5)&amp;":O"&amp;(SMALL(IF(checklistPesertaKemenkeu!$AY$6:$AY$1005="Direkomendasikan",ROW($6:$1005)-5),627)+5)),INDEX(checklistPesertaKemenkeu!$N$6:$N$1005,SMALL(IF(checklistPesertaKemenkeu!$AY$6:$AY$1005="Direkomendasikan",ROW($6:$1005)-5),627)))=1),IFERROR(VLOOKUP(INDEX(checklistPesertaKemenkeu!$N$6:$N$1005,SMALL(IF(checklistPesertaKemenkeu!$AY$6:$AY$1005="Direkomendasikan",ROW($6:$1005)-5),627)),KotaKode,2,0),"-"),"")),"")</f>
        <v/>
      </c>
      <c r="K628" t="str">
        <f t="array" aca="1" ref="K628" ca="1">IFERROR(IF(OR(INDEX(checklistPesertaKemenkeu!$O$6:$O$1005,SMALL(IF(checklistPesertaKemenkeu!$AY$6:$AY$1005="Direkomendasikan",ROW($6:$1005)-5),627))="",INDEX(checklistPesertaKemenkeu!$J$6:$J$1005,SMALL(IF(checklistPesertaKemenkeu!$AY$6:$AY$1005="Direkomendasikan",ROW($6:$1005)-5),627))=""),"",IF(AND(COUNTIF(INDIRECT("K_"&amp;MATCH(INDEX(checklistPesertaKemenkeu!$J$6:$J$1005,SMALL(IF(checklistPesertaKemenkeu!$AY$6:$AY$1005="Direkomendasikan",ROW($6:$1005)-5),627)),BidangList,0)),INDEX(checklistPesertaKemenkeu!$O$6:$O$1005,SMALL(IF(checklistPesertaKemenkeu!$AY$6:$AY$1005="Direkomendasikan",ROW($6:$1005)-5),627)))&gt;0,COUNTIF(INDIRECT("'KERTAS KERJA'!K"&amp;(SMALL(IF(checklistPesertaKemenkeu!$AY$6:$AY$1005="Direkomendasikan",ROW($6:$1005)-5),627)+5)&amp;":O"&amp;(SMALL(IF(checklistPesertaKemenkeu!$AY$6:$AY$1005="Direkomendasikan",ROW($6:$1005)-5),627)+5)),INDEX(checklistPesertaKemenkeu!$O$6:$O$1005,SMALL(IF(checklistPesertaKemenkeu!$AY$6:$AY$1005="Direkomendasikan",ROW($6:$1005)-5),627)))=1),IFERROR(VLOOKUP(INDEX(checklistPesertaKemenkeu!$O$6:$O$1005,SMALL(IF(checklistPesertaKemenkeu!$AY$6:$AY$1005="Direkomendasikan",ROW($6:$1005)-5),627)),KotaKode,2,0),"-"),"")),"")</f>
        <v/>
      </c>
      <c r="L628" t="str">
        <f t="array" aca="1" ref="L628" ca="1">IFERROR(IF(OR(INDEX(checklistPesertaKemenkeu!$P$6:$P$1005,SMALL(IF(checklistPesertaKemenkeu!$AY$6:$AY$1005="Direkomendasikan",ROW($6:$1005)-5),627))="",INDEX(checklistPesertaKemenkeu!$J$6:$J$1005,SMALL(IF(checklistPesertaKemenkeu!$AY$6:$AY$1005="Direkomendasikan",ROW($6:$1005)-5),627))=""),"",IF(AND(COUNTIF(INDIRECT("K_"&amp;MATCH(INDEX(checklistPesertaKemenkeu!$J$6:$J$1005,SMALL(IF(checklistPesertaKemenkeu!$AY$6:$AY$1005="Direkomendasikan",ROW($6:$1005)-5),627)),BidangList,0)),INDEX(checklistPesertaKemenkeu!$P$6:$P$1005,SMALL(IF(checklistPesertaKemenkeu!$AY$6:$AY$1005="Direkomendasikan",ROW($6:$1005)-5),627)))&gt;0,COUNTIF(INDIRECT("'KERTAS KERJA'!K"&amp;(SMALL(IF(checklistPesertaKemenkeu!$AY$6:$AY$1005="Direkomendasikan",ROW($6:$1005)-5),627)+5)&amp;":O"&amp;(SMALL(IF(checklistPesertaKemenkeu!$AY$6:$AY$1005="Direkomendasikan",ROW($6:$1005)-5),627)+5)),INDEX(checklistPesertaKemenkeu!$P$6:$P$1005,SMALL(IF(checklistPesertaKemenkeu!$AY$6:$AY$1005="Direkomendasikan",ROW($6:$1005)-5),627)))=1),IFERROR(VLOOKUP(INDEX(checklistPesertaKemenkeu!$P$6:$P$1005,SMALL(IF(checklistPesertaKemenkeu!$AY$6:$AY$1005="Direkomendasikan",ROW($6:$1005)-5),627)),KotaKode,2,0),"-"),"")),"")</f>
        <v/>
      </c>
    </row>
    <row r="629" spans="1:12" ht="15" customHeight="1" x14ac:dyDescent="0.2">
      <c r="A629" t="str">
        <f t="shared" si="9"/>
        <v/>
      </c>
      <c r="B629" t="str">
        <v/>
      </c>
      <c r="C629" s="40" t="str">
        <f t="array" ref="C629">IFERROR(INDEX(checklistPesertaKemenkeu!$F$6:$F$1005,SMALL(IF(checklistPesertaKemenkeu!$AY$6:$AY$1005="Direkomendasikan",ROW($6:$1005)-5),628)),"")</f>
        <v/>
      </c>
      <c r="D629" t="str">
        <f t="array" ref="D629">IFERROR(INDEX(checklistPesertaKemenkeu!$G$6:$G$1005,SMALL(IF(checklistPesertaKemenkeu!$AY$6:$AY$1005="Direkomendasikan",ROW($6:$1005)-5),628)),"")</f>
        <v/>
      </c>
      <c r="E629" t="str">
        <f t="array" ref="E629">IFERROR(INDEX(checklistPesertaKemenkeu!$H$6:$H$1005,SMALL(IF(checklistPesertaKemenkeu!$AY$6:$AY$1005="Direkomendasikan",ROW($6:$1005)-5),628)),"")</f>
        <v/>
      </c>
      <c r="F629" t="str">
        <f t="array" ref="F629">IFERROR(INDEX(checklistPesertaKemenkeu!$I$6:$I$1005,SMALL(IF(checklistPesertaKemenkeu!$AY$6:$AY$1005="Direkomendasikan",ROW($6:$1005)-5),628)),"")</f>
        <v/>
      </c>
      <c r="G629" t="str">
        <f t="array" ref="G629">IFERROR(INDEX(checklistPesertaKemenkeu!$J$6:$J$1005,SMALL(IF(checklistPesertaKemenkeu!$AY$6:$AY$1005="Direkomendasikan",ROW($6:$1005)-5),628)),"")</f>
        <v/>
      </c>
      <c r="H629" t="str">
        <f t="array" aca="1" ref="H629" ca="1">IFERROR(IF(OR(INDEX(checklistPesertaKemenkeu!$L$6:$L$1005,SMALL(IF(checklistPesertaKemenkeu!$AY$6:$AY$1005="Direkomendasikan",ROW($6:$1005)-5),628))="",INDEX(checklistPesertaKemenkeu!$J$6:$J$1005,SMALL(IF(checklistPesertaKemenkeu!$AY$6:$AY$1005="Direkomendasikan",ROW($6:$1005)-5),628))=""),"",IF(AND(COUNTIF(INDIRECT("K_"&amp;MATCH(INDEX(checklistPesertaKemenkeu!$J$6:$J$1005,SMALL(IF(checklistPesertaKemenkeu!$AY$6:$AY$1005="Direkomendasikan",ROW($6:$1005)-5),628)),BidangList,0)),INDEX(checklistPesertaKemenkeu!$L$6:$L$1005,SMALL(IF(checklistPesertaKemenkeu!$AY$6:$AY$1005="Direkomendasikan",ROW($6:$1005)-5),628)))&gt;0,COUNTIF(INDIRECT("'KERTAS KERJA'!K"&amp;(SMALL(IF(checklistPesertaKemenkeu!$AY$6:$AY$1005="Direkomendasikan",ROW($6:$1005)-5),628)+5)&amp;":O"&amp;(SMALL(IF(checklistPesertaKemenkeu!$AY$6:$AY$1005="Direkomendasikan",ROW($6:$1005)-5),628)+5)),INDEX(checklistPesertaKemenkeu!$L$6:$L$1005,SMALL(IF(checklistPesertaKemenkeu!$AY$6:$AY$1005="Direkomendasikan",ROW($6:$1005)-5),628)))=1),IFERROR(VLOOKUP(INDEX(checklistPesertaKemenkeu!$L$6:$L$1005,SMALL(IF(checklistPesertaKemenkeu!$AY$6:$AY$1005="Direkomendasikan",ROW($6:$1005)-5),628)),KotaKode,2,0),"-"),"")),"")</f>
        <v/>
      </c>
      <c r="I629" t="str">
        <f t="array" aca="1" ref="I629" ca="1">IFERROR(IF(OR(INDEX(checklistPesertaKemenkeu!$M$6:$M$1005,SMALL(IF(checklistPesertaKemenkeu!$AY$6:$AY$1005="Direkomendasikan",ROW($6:$1005)-5),628))="",INDEX(checklistPesertaKemenkeu!$J$6:$J$1005,SMALL(IF(checklistPesertaKemenkeu!$AY$6:$AY$1005="Direkomendasikan",ROW($6:$1005)-5),628))=""),"",IF(AND(COUNTIF(INDIRECT("K_"&amp;MATCH(INDEX(checklistPesertaKemenkeu!$J$6:$J$1005,SMALL(IF(checklistPesertaKemenkeu!$AY$6:$AY$1005="Direkomendasikan",ROW($6:$1005)-5),628)),BidangList,0)),INDEX(checklistPesertaKemenkeu!$M$6:$M$1005,SMALL(IF(checklistPesertaKemenkeu!$AY$6:$AY$1005="Direkomendasikan",ROW($6:$1005)-5),628)))&gt;0,COUNTIF(INDIRECT("'KERTAS KERJA'!K"&amp;(SMALL(IF(checklistPesertaKemenkeu!$AY$6:$AY$1005="Direkomendasikan",ROW($6:$1005)-5),628)+5)&amp;":O"&amp;(SMALL(IF(checklistPesertaKemenkeu!$AY$6:$AY$1005="Direkomendasikan",ROW($6:$1005)-5),628)+5)),INDEX(checklistPesertaKemenkeu!$M$6:$M$1005,SMALL(IF(checklistPesertaKemenkeu!$AY$6:$AY$1005="Direkomendasikan",ROW($6:$1005)-5),628)))=1),IFERROR(VLOOKUP(INDEX(checklistPesertaKemenkeu!$M$6:$M$1005,SMALL(IF(checklistPesertaKemenkeu!$AY$6:$AY$1005="Direkomendasikan",ROW($6:$1005)-5),628)),KotaKode,2,0),"-"),"")),"")</f>
        <v/>
      </c>
      <c r="J629" t="str">
        <f t="array" aca="1" ref="J629" ca="1">IFERROR(IF(OR(INDEX(checklistPesertaKemenkeu!$N$6:$N$1005,SMALL(IF(checklistPesertaKemenkeu!$AY$6:$AY$1005="Direkomendasikan",ROW($6:$1005)-5),628))="",INDEX(checklistPesertaKemenkeu!$J$6:$J$1005,SMALL(IF(checklistPesertaKemenkeu!$AY$6:$AY$1005="Direkomendasikan",ROW($6:$1005)-5),628))=""),"",IF(AND(COUNTIF(INDIRECT("K_"&amp;MATCH(INDEX(checklistPesertaKemenkeu!$J$6:$J$1005,SMALL(IF(checklistPesertaKemenkeu!$AY$6:$AY$1005="Direkomendasikan",ROW($6:$1005)-5),628)),BidangList,0)),INDEX(checklistPesertaKemenkeu!$N$6:$N$1005,SMALL(IF(checklistPesertaKemenkeu!$AY$6:$AY$1005="Direkomendasikan",ROW($6:$1005)-5),628)))&gt;0,COUNTIF(INDIRECT("'KERTAS KERJA'!K"&amp;(SMALL(IF(checklistPesertaKemenkeu!$AY$6:$AY$1005="Direkomendasikan",ROW($6:$1005)-5),628)+5)&amp;":O"&amp;(SMALL(IF(checklistPesertaKemenkeu!$AY$6:$AY$1005="Direkomendasikan",ROW($6:$1005)-5),628)+5)),INDEX(checklistPesertaKemenkeu!$N$6:$N$1005,SMALL(IF(checklistPesertaKemenkeu!$AY$6:$AY$1005="Direkomendasikan",ROW($6:$1005)-5),628)))=1),IFERROR(VLOOKUP(INDEX(checklistPesertaKemenkeu!$N$6:$N$1005,SMALL(IF(checklistPesertaKemenkeu!$AY$6:$AY$1005="Direkomendasikan",ROW($6:$1005)-5),628)),KotaKode,2,0),"-"),"")),"")</f>
        <v/>
      </c>
      <c r="K629" t="str">
        <f t="array" aca="1" ref="K629" ca="1">IFERROR(IF(OR(INDEX(checklistPesertaKemenkeu!$O$6:$O$1005,SMALL(IF(checklistPesertaKemenkeu!$AY$6:$AY$1005="Direkomendasikan",ROW($6:$1005)-5),628))="",INDEX(checklistPesertaKemenkeu!$J$6:$J$1005,SMALL(IF(checklistPesertaKemenkeu!$AY$6:$AY$1005="Direkomendasikan",ROW($6:$1005)-5),628))=""),"",IF(AND(COUNTIF(INDIRECT("K_"&amp;MATCH(INDEX(checklistPesertaKemenkeu!$J$6:$J$1005,SMALL(IF(checklistPesertaKemenkeu!$AY$6:$AY$1005="Direkomendasikan",ROW($6:$1005)-5),628)),BidangList,0)),INDEX(checklistPesertaKemenkeu!$O$6:$O$1005,SMALL(IF(checklistPesertaKemenkeu!$AY$6:$AY$1005="Direkomendasikan",ROW($6:$1005)-5),628)))&gt;0,COUNTIF(INDIRECT("'KERTAS KERJA'!K"&amp;(SMALL(IF(checklistPesertaKemenkeu!$AY$6:$AY$1005="Direkomendasikan",ROW($6:$1005)-5),628)+5)&amp;":O"&amp;(SMALL(IF(checklistPesertaKemenkeu!$AY$6:$AY$1005="Direkomendasikan",ROW($6:$1005)-5),628)+5)),INDEX(checklistPesertaKemenkeu!$O$6:$O$1005,SMALL(IF(checklistPesertaKemenkeu!$AY$6:$AY$1005="Direkomendasikan",ROW($6:$1005)-5),628)))=1),IFERROR(VLOOKUP(INDEX(checklistPesertaKemenkeu!$O$6:$O$1005,SMALL(IF(checklistPesertaKemenkeu!$AY$6:$AY$1005="Direkomendasikan",ROW($6:$1005)-5),628)),KotaKode,2,0),"-"),"")),"")</f>
        <v/>
      </c>
      <c r="L629" t="str">
        <f t="array" aca="1" ref="L629" ca="1">IFERROR(IF(OR(INDEX(checklistPesertaKemenkeu!$P$6:$P$1005,SMALL(IF(checklistPesertaKemenkeu!$AY$6:$AY$1005="Direkomendasikan",ROW($6:$1005)-5),628))="",INDEX(checklistPesertaKemenkeu!$J$6:$J$1005,SMALL(IF(checklistPesertaKemenkeu!$AY$6:$AY$1005="Direkomendasikan",ROW($6:$1005)-5),628))=""),"",IF(AND(COUNTIF(INDIRECT("K_"&amp;MATCH(INDEX(checklistPesertaKemenkeu!$J$6:$J$1005,SMALL(IF(checklistPesertaKemenkeu!$AY$6:$AY$1005="Direkomendasikan",ROW($6:$1005)-5),628)),BidangList,0)),INDEX(checklistPesertaKemenkeu!$P$6:$P$1005,SMALL(IF(checklistPesertaKemenkeu!$AY$6:$AY$1005="Direkomendasikan",ROW($6:$1005)-5),628)))&gt;0,COUNTIF(INDIRECT("'KERTAS KERJA'!K"&amp;(SMALL(IF(checklistPesertaKemenkeu!$AY$6:$AY$1005="Direkomendasikan",ROW($6:$1005)-5),628)+5)&amp;":O"&amp;(SMALL(IF(checklistPesertaKemenkeu!$AY$6:$AY$1005="Direkomendasikan",ROW($6:$1005)-5),628)+5)),INDEX(checklistPesertaKemenkeu!$P$6:$P$1005,SMALL(IF(checklistPesertaKemenkeu!$AY$6:$AY$1005="Direkomendasikan",ROW($6:$1005)-5),628)))=1),IFERROR(VLOOKUP(INDEX(checklistPesertaKemenkeu!$P$6:$P$1005,SMALL(IF(checklistPesertaKemenkeu!$AY$6:$AY$1005="Direkomendasikan",ROW($6:$1005)-5),628)),KotaKode,2,0),"-"),"")),"")</f>
        <v/>
      </c>
    </row>
    <row r="630" spans="1:12" ht="15" customHeight="1" x14ac:dyDescent="0.2">
      <c r="A630" t="str">
        <f t="shared" si="9"/>
        <v/>
      </c>
      <c r="B630" t="str">
        <v/>
      </c>
      <c r="C630" s="40" t="str">
        <f t="array" ref="C630">IFERROR(INDEX(checklistPesertaKemenkeu!$F$6:$F$1005,SMALL(IF(checklistPesertaKemenkeu!$AY$6:$AY$1005="Direkomendasikan",ROW($6:$1005)-5),629)),"")</f>
        <v/>
      </c>
      <c r="D630" t="str">
        <f t="array" ref="D630">IFERROR(INDEX(checklistPesertaKemenkeu!$G$6:$G$1005,SMALL(IF(checklistPesertaKemenkeu!$AY$6:$AY$1005="Direkomendasikan",ROW($6:$1005)-5),629)),"")</f>
        <v/>
      </c>
      <c r="E630" t="str">
        <f t="array" ref="E630">IFERROR(INDEX(checklistPesertaKemenkeu!$H$6:$H$1005,SMALL(IF(checklistPesertaKemenkeu!$AY$6:$AY$1005="Direkomendasikan",ROW($6:$1005)-5),629)),"")</f>
        <v/>
      </c>
      <c r="F630" t="str">
        <f t="array" ref="F630">IFERROR(INDEX(checklistPesertaKemenkeu!$I$6:$I$1005,SMALL(IF(checklistPesertaKemenkeu!$AY$6:$AY$1005="Direkomendasikan",ROW($6:$1005)-5),629)),"")</f>
        <v/>
      </c>
      <c r="G630" t="str">
        <f t="array" ref="G630">IFERROR(INDEX(checklistPesertaKemenkeu!$J$6:$J$1005,SMALL(IF(checklistPesertaKemenkeu!$AY$6:$AY$1005="Direkomendasikan",ROW($6:$1005)-5),629)),"")</f>
        <v/>
      </c>
      <c r="H630" t="str">
        <f t="array" aca="1" ref="H630" ca="1">IFERROR(IF(OR(INDEX(checklistPesertaKemenkeu!$L$6:$L$1005,SMALL(IF(checklistPesertaKemenkeu!$AY$6:$AY$1005="Direkomendasikan",ROW($6:$1005)-5),629))="",INDEX(checklistPesertaKemenkeu!$J$6:$J$1005,SMALL(IF(checklistPesertaKemenkeu!$AY$6:$AY$1005="Direkomendasikan",ROW($6:$1005)-5),629))=""),"",IF(AND(COUNTIF(INDIRECT("K_"&amp;MATCH(INDEX(checklistPesertaKemenkeu!$J$6:$J$1005,SMALL(IF(checklistPesertaKemenkeu!$AY$6:$AY$1005="Direkomendasikan",ROW($6:$1005)-5),629)),BidangList,0)),INDEX(checklistPesertaKemenkeu!$L$6:$L$1005,SMALL(IF(checklistPesertaKemenkeu!$AY$6:$AY$1005="Direkomendasikan",ROW($6:$1005)-5),629)))&gt;0,COUNTIF(INDIRECT("'KERTAS KERJA'!K"&amp;(SMALL(IF(checklistPesertaKemenkeu!$AY$6:$AY$1005="Direkomendasikan",ROW($6:$1005)-5),629)+5)&amp;":O"&amp;(SMALL(IF(checklistPesertaKemenkeu!$AY$6:$AY$1005="Direkomendasikan",ROW($6:$1005)-5),629)+5)),INDEX(checklistPesertaKemenkeu!$L$6:$L$1005,SMALL(IF(checklistPesertaKemenkeu!$AY$6:$AY$1005="Direkomendasikan",ROW($6:$1005)-5),629)))=1),IFERROR(VLOOKUP(INDEX(checklistPesertaKemenkeu!$L$6:$L$1005,SMALL(IF(checklistPesertaKemenkeu!$AY$6:$AY$1005="Direkomendasikan",ROW($6:$1005)-5),629)),KotaKode,2,0),"-"),"")),"")</f>
        <v/>
      </c>
      <c r="I630" t="str">
        <f t="array" aca="1" ref="I630" ca="1">IFERROR(IF(OR(INDEX(checklistPesertaKemenkeu!$M$6:$M$1005,SMALL(IF(checklistPesertaKemenkeu!$AY$6:$AY$1005="Direkomendasikan",ROW($6:$1005)-5),629))="",INDEX(checklistPesertaKemenkeu!$J$6:$J$1005,SMALL(IF(checklistPesertaKemenkeu!$AY$6:$AY$1005="Direkomendasikan",ROW($6:$1005)-5),629))=""),"",IF(AND(COUNTIF(INDIRECT("K_"&amp;MATCH(INDEX(checklistPesertaKemenkeu!$J$6:$J$1005,SMALL(IF(checklistPesertaKemenkeu!$AY$6:$AY$1005="Direkomendasikan",ROW($6:$1005)-5),629)),BidangList,0)),INDEX(checklistPesertaKemenkeu!$M$6:$M$1005,SMALL(IF(checklistPesertaKemenkeu!$AY$6:$AY$1005="Direkomendasikan",ROW($6:$1005)-5),629)))&gt;0,COUNTIF(INDIRECT("'KERTAS KERJA'!K"&amp;(SMALL(IF(checklistPesertaKemenkeu!$AY$6:$AY$1005="Direkomendasikan",ROW($6:$1005)-5),629)+5)&amp;":O"&amp;(SMALL(IF(checklistPesertaKemenkeu!$AY$6:$AY$1005="Direkomendasikan",ROW($6:$1005)-5),629)+5)),INDEX(checklistPesertaKemenkeu!$M$6:$M$1005,SMALL(IF(checklistPesertaKemenkeu!$AY$6:$AY$1005="Direkomendasikan",ROW($6:$1005)-5),629)))=1),IFERROR(VLOOKUP(INDEX(checklistPesertaKemenkeu!$M$6:$M$1005,SMALL(IF(checklistPesertaKemenkeu!$AY$6:$AY$1005="Direkomendasikan",ROW($6:$1005)-5),629)),KotaKode,2,0),"-"),"")),"")</f>
        <v/>
      </c>
      <c r="J630" t="str">
        <f t="array" aca="1" ref="J630" ca="1">IFERROR(IF(OR(INDEX(checklistPesertaKemenkeu!$N$6:$N$1005,SMALL(IF(checklistPesertaKemenkeu!$AY$6:$AY$1005="Direkomendasikan",ROW($6:$1005)-5),629))="",INDEX(checklistPesertaKemenkeu!$J$6:$J$1005,SMALL(IF(checklistPesertaKemenkeu!$AY$6:$AY$1005="Direkomendasikan",ROW($6:$1005)-5),629))=""),"",IF(AND(COUNTIF(INDIRECT("K_"&amp;MATCH(INDEX(checklistPesertaKemenkeu!$J$6:$J$1005,SMALL(IF(checklistPesertaKemenkeu!$AY$6:$AY$1005="Direkomendasikan",ROW($6:$1005)-5),629)),BidangList,0)),INDEX(checklistPesertaKemenkeu!$N$6:$N$1005,SMALL(IF(checklistPesertaKemenkeu!$AY$6:$AY$1005="Direkomendasikan",ROW($6:$1005)-5),629)))&gt;0,COUNTIF(INDIRECT("'KERTAS KERJA'!K"&amp;(SMALL(IF(checklistPesertaKemenkeu!$AY$6:$AY$1005="Direkomendasikan",ROW($6:$1005)-5),629)+5)&amp;":O"&amp;(SMALL(IF(checklistPesertaKemenkeu!$AY$6:$AY$1005="Direkomendasikan",ROW($6:$1005)-5),629)+5)),INDEX(checklistPesertaKemenkeu!$N$6:$N$1005,SMALL(IF(checklistPesertaKemenkeu!$AY$6:$AY$1005="Direkomendasikan",ROW($6:$1005)-5),629)))=1),IFERROR(VLOOKUP(INDEX(checklistPesertaKemenkeu!$N$6:$N$1005,SMALL(IF(checklistPesertaKemenkeu!$AY$6:$AY$1005="Direkomendasikan",ROW($6:$1005)-5),629)),KotaKode,2,0),"-"),"")),"")</f>
        <v/>
      </c>
      <c r="K630" t="str">
        <f t="array" aca="1" ref="K630" ca="1">IFERROR(IF(OR(INDEX(checklistPesertaKemenkeu!$O$6:$O$1005,SMALL(IF(checklistPesertaKemenkeu!$AY$6:$AY$1005="Direkomendasikan",ROW($6:$1005)-5),629))="",INDEX(checklistPesertaKemenkeu!$J$6:$J$1005,SMALL(IF(checklistPesertaKemenkeu!$AY$6:$AY$1005="Direkomendasikan",ROW($6:$1005)-5),629))=""),"",IF(AND(COUNTIF(INDIRECT("K_"&amp;MATCH(INDEX(checklistPesertaKemenkeu!$J$6:$J$1005,SMALL(IF(checklistPesertaKemenkeu!$AY$6:$AY$1005="Direkomendasikan",ROW($6:$1005)-5),629)),BidangList,0)),INDEX(checklistPesertaKemenkeu!$O$6:$O$1005,SMALL(IF(checklistPesertaKemenkeu!$AY$6:$AY$1005="Direkomendasikan",ROW($6:$1005)-5),629)))&gt;0,COUNTIF(INDIRECT("'KERTAS KERJA'!K"&amp;(SMALL(IF(checklistPesertaKemenkeu!$AY$6:$AY$1005="Direkomendasikan",ROW($6:$1005)-5),629)+5)&amp;":O"&amp;(SMALL(IF(checklistPesertaKemenkeu!$AY$6:$AY$1005="Direkomendasikan",ROW($6:$1005)-5),629)+5)),INDEX(checklistPesertaKemenkeu!$O$6:$O$1005,SMALL(IF(checklistPesertaKemenkeu!$AY$6:$AY$1005="Direkomendasikan",ROW($6:$1005)-5),629)))=1),IFERROR(VLOOKUP(INDEX(checklistPesertaKemenkeu!$O$6:$O$1005,SMALL(IF(checklistPesertaKemenkeu!$AY$6:$AY$1005="Direkomendasikan",ROW($6:$1005)-5),629)),KotaKode,2,0),"-"),"")),"")</f>
        <v/>
      </c>
      <c r="L630" t="str">
        <f t="array" aca="1" ref="L630" ca="1">IFERROR(IF(OR(INDEX(checklistPesertaKemenkeu!$P$6:$P$1005,SMALL(IF(checklistPesertaKemenkeu!$AY$6:$AY$1005="Direkomendasikan",ROW($6:$1005)-5),629))="",INDEX(checklistPesertaKemenkeu!$J$6:$J$1005,SMALL(IF(checklistPesertaKemenkeu!$AY$6:$AY$1005="Direkomendasikan",ROW($6:$1005)-5),629))=""),"",IF(AND(COUNTIF(INDIRECT("K_"&amp;MATCH(INDEX(checklistPesertaKemenkeu!$J$6:$J$1005,SMALL(IF(checklistPesertaKemenkeu!$AY$6:$AY$1005="Direkomendasikan",ROW($6:$1005)-5),629)),BidangList,0)),INDEX(checklistPesertaKemenkeu!$P$6:$P$1005,SMALL(IF(checklistPesertaKemenkeu!$AY$6:$AY$1005="Direkomendasikan",ROW($6:$1005)-5),629)))&gt;0,COUNTIF(INDIRECT("'KERTAS KERJA'!K"&amp;(SMALL(IF(checklistPesertaKemenkeu!$AY$6:$AY$1005="Direkomendasikan",ROW($6:$1005)-5),629)+5)&amp;":O"&amp;(SMALL(IF(checklistPesertaKemenkeu!$AY$6:$AY$1005="Direkomendasikan",ROW($6:$1005)-5),629)+5)),INDEX(checklistPesertaKemenkeu!$P$6:$P$1005,SMALL(IF(checklistPesertaKemenkeu!$AY$6:$AY$1005="Direkomendasikan",ROW($6:$1005)-5),629)))=1),IFERROR(VLOOKUP(INDEX(checklistPesertaKemenkeu!$P$6:$P$1005,SMALL(IF(checklistPesertaKemenkeu!$AY$6:$AY$1005="Direkomendasikan",ROW($6:$1005)-5),629)),KotaKode,2,0),"-"),"")),"")</f>
        <v/>
      </c>
    </row>
    <row r="631" spans="1:12" ht="15" customHeight="1" x14ac:dyDescent="0.2">
      <c r="A631" t="str">
        <f t="shared" si="9"/>
        <v/>
      </c>
      <c r="B631" t="str">
        <v/>
      </c>
      <c r="C631" s="40" t="str">
        <f t="array" ref="C631">IFERROR(INDEX(checklistPesertaKemenkeu!$F$6:$F$1005,SMALL(IF(checklistPesertaKemenkeu!$AY$6:$AY$1005="Direkomendasikan",ROW($6:$1005)-5),630)),"")</f>
        <v/>
      </c>
      <c r="D631" t="str">
        <f t="array" ref="D631">IFERROR(INDEX(checklistPesertaKemenkeu!$G$6:$G$1005,SMALL(IF(checklistPesertaKemenkeu!$AY$6:$AY$1005="Direkomendasikan",ROW($6:$1005)-5),630)),"")</f>
        <v/>
      </c>
      <c r="E631" t="str">
        <f t="array" ref="E631">IFERROR(INDEX(checklistPesertaKemenkeu!$H$6:$H$1005,SMALL(IF(checklistPesertaKemenkeu!$AY$6:$AY$1005="Direkomendasikan",ROW($6:$1005)-5),630)),"")</f>
        <v/>
      </c>
      <c r="F631" t="str">
        <f t="array" ref="F631">IFERROR(INDEX(checklistPesertaKemenkeu!$I$6:$I$1005,SMALL(IF(checklistPesertaKemenkeu!$AY$6:$AY$1005="Direkomendasikan",ROW($6:$1005)-5),630)),"")</f>
        <v/>
      </c>
      <c r="G631" t="str">
        <f t="array" ref="G631">IFERROR(INDEX(checklistPesertaKemenkeu!$J$6:$J$1005,SMALL(IF(checklistPesertaKemenkeu!$AY$6:$AY$1005="Direkomendasikan",ROW($6:$1005)-5),630)),"")</f>
        <v/>
      </c>
      <c r="H631" t="str">
        <f t="array" aca="1" ref="H631" ca="1">IFERROR(IF(OR(INDEX(checklistPesertaKemenkeu!$L$6:$L$1005,SMALL(IF(checklistPesertaKemenkeu!$AY$6:$AY$1005="Direkomendasikan",ROW($6:$1005)-5),630))="",INDEX(checklistPesertaKemenkeu!$J$6:$J$1005,SMALL(IF(checklistPesertaKemenkeu!$AY$6:$AY$1005="Direkomendasikan",ROW($6:$1005)-5),630))=""),"",IF(AND(COUNTIF(INDIRECT("K_"&amp;MATCH(INDEX(checklistPesertaKemenkeu!$J$6:$J$1005,SMALL(IF(checklistPesertaKemenkeu!$AY$6:$AY$1005="Direkomendasikan",ROW($6:$1005)-5),630)),BidangList,0)),INDEX(checklistPesertaKemenkeu!$L$6:$L$1005,SMALL(IF(checklistPesertaKemenkeu!$AY$6:$AY$1005="Direkomendasikan",ROW($6:$1005)-5),630)))&gt;0,COUNTIF(INDIRECT("'KERTAS KERJA'!K"&amp;(SMALL(IF(checklistPesertaKemenkeu!$AY$6:$AY$1005="Direkomendasikan",ROW($6:$1005)-5),630)+5)&amp;":O"&amp;(SMALL(IF(checklistPesertaKemenkeu!$AY$6:$AY$1005="Direkomendasikan",ROW($6:$1005)-5),630)+5)),INDEX(checklistPesertaKemenkeu!$L$6:$L$1005,SMALL(IF(checklistPesertaKemenkeu!$AY$6:$AY$1005="Direkomendasikan",ROW($6:$1005)-5),630)))=1),IFERROR(VLOOKUP(INDEX(checklistPesertaKemenkeu!$L$6:$L$1005,SMALL(IF(checklistPesertaKemenkeu!$AY$6:$AY$1005="Direkomendasikan",ROW($6:$1005)-5),630)),KotaKode,2,0),"-"),"")),"")</f>
        <v/>
      </c>
      <c r="I631" t="str">
        <f t="array" aca="1" ref="I631" ca="1">IFERROR(IF(OR(INDEX(checklistPesertaKemenkeu!$M$6:$M$1005,SMALL(IF(checklistPesertaKemenkeu!$AY$6:$AY$1005="Direkomendasikan",ROW($6:$1005)-5),630))="",INDEX(checklistPesertaKemenkeu!$J$6:$J$1005,SMALL(IF(checklistPesertaKemenkeu!$AY$6:$AY$1005="Direkomendasikan",ROW($6:$1005)-5),630))=""),"",IF(AND(COUNTIF(INDIRECT("K_"&amp;MATCH(INDEX(checklistPesertaKemenkeu!$J$6:$J$1005,SMALL(IF(checklistPesertaKemenkeu!$AY$6:$AY$1005="Direkomendasikan",ROW($6:$1005)-5),630)),BidangList,0)),INDEX(checklistPesertaKemenkeu!$M$6:$M$1005,SMALL(IF(checklistPesertaKemenkeu!$AY$6:$AY$1005="Direkomendasikan",ROW($6:$1005)-5),630)))&gt;0,COUNTIF(INDIRECT("'KERTAS KERJA'!K"&amp;(SMALL(IF(checklistPesertaKemenkeu!$AY$6:$AY$1005="Direkomendasikan",ROW($6:$1005)-5),630)+5)&amp;":O"&amp;(SMALL(IF(checklistPesertaKemenkeu!$AY$6:$AY$1005="Direkomendasikan",ROW($6:$1005)-5),630)+5)),INDEX(checklistPesertaKemenkeu!$M$6:$M$1005,SMALL(IF(checklistPesertaKemenkeu!$AY$6:$AY$1005="Direkomendasikan",ROW($6:$1005)-5),630)))=1),IFERROR(VLOOKUP(INDEX(checklistPesertaKemenkeu!$M$6:$M$1005,SMALL(IF(checklistPesertaKemenkeu!$AY$6:$AY$1005="Direkomendasikan",ROW($6:$1005)-5),630)),KotaKode,2,0),"-"),"")),"")</f>
        <v/>
      </c>
      <c r="J631" t="str">
        <f t="array" aca="1" ref="J631" ca="1">IFERROR(IF(OR(INDEX(checklistPesertaKemenkeu!$N$6:$N$1005,SMALL(IF(checklistPesertaKemenkeu!$AY$6:$AY$1005="Direkomendasikan",ROW($6:$1005)-5),630))="",INDEX(checklistPesertaKemenkeu!$J$6:$J$1005,SMALL(IF(checklistPesertaKemenkeu!$AY$6:$AY$1005="Direkomendasikan",ROW($6:$1005)-5),630))=""),"",IF(AND(COUNTIF(INDIRECT("K_"&amp;MATCH(INDEX(checklistPesertaKemenkeu!$J$6:$J$1005,SMALL(IF(checklistPesertaKemenkeu!$AY$6:$AY$1005="Direkomendasikan",ROW($6:$1005)-5),630)),BidangList,0)),INDEX(checklistPesertaKemenkeu!$N$6:$N$1005,SMALL(IF(checklistPesertaKemenkeu!$AY$6:$AY$1005="Direkomendasikan",ROW($6:$1005)-5),630)))&gt;0,COUNTIF(INDIRECT("'KERTAS KERJA'!K"&amp;(SMALL(IF(checklistPesertaKemenkeu!$AY$6:$AY$1005="Direkomendasikan",ROW($6:$1005)-5),630)+5)&amp;":O"&amp;(SMALL(IF(checklistPesertaKemenkeu!$AY$6:$AY$1005="Direkomendasikan",ROW($6:$1005)-5),630)+5)),INDEX(checklistPesertaKemenkeu!$N$6:$N$1005,SMALL(IF(checklistPesertaKemenkeu!$AY$6:$AY$1005="Direkomendasikan",ROW($6:$1005)-5),630)))=1),IFERROR(VLOOKUP(INDEX(checklistPesertaKemenkeu!$N$6:$N$1005,SMALL(IF(checklistPesertaKemenkeu!$AY$6:$AY$1005="Direkomendasikan",ROW($6:$1005)-5),630)),KotaKode,2,0),"-"),"")),"")</f>
        <v/>
      </c>
      <c r="K631" t="str">
        <f t="array" aca="1" ref="K631" ca="1">IFERROR(IF(OR(INDEX(checklistPesertaKemenkeu!$O$6:$O$1005,SMALL(IF(checklistPesertaKemenkeu!$AY$6:$AY$1005="Direkomendasikan",ROW($6:$1005)-5),630))="",INDEX(checklistPesertaKemenkeu!$J$6:$J$1005,SMALL(IF(checklistPesertaKemenkeu!$AY$6:$AY$1005="Direkomendasikan",ROW($6:$1005)-5),630))=""),"",IF(AND(COUNTIF(INDIRECT("K_"&amp;MATCH(INDEX(checklistPesertaKemenkeu!$J$6:$J$1005,SMALL(IF(checklistPesertaKemenkeu!$AY$6:$AY$1005="Direkomendasikan",ROW($6:$1005)-5),630)),BidangList,0)),INDEX(checklistPesertaKemenkeu!$O$6:$O$1005,SMALL(IF(checklistPesertaKemenkeu!$AY$6:$AY$1005="Direkomendasikan",ROW($6:$1005)-5),630)))&gt;0,COUNTIF(INDIRECT("'KERTAS KERJA'!K"&amp;(SMALL(IF(checklistPesertaKemenkeu!$AY$6:$AY$1005="Direkomendasikan",ROW($6:$1005)-5),630)+5)&amp;":O"&amp;(SMALL(IF(checklistPesertaKemenkeu!$AY$6:$AY$1005="Direkomendasikan",ROW($6:$1005)-5),630)+5)),INDEX(checklistPesertaKemenkeu!$O$6:$O$1005,SMALL(IF(checklistPesertaKemenkeu!$AY$6:$AY$1005="Direkomendasikan",ROW($6:$1005)-5),630)))=1),IFERROR(VLOOKUP(INDEX(checklistPesertaKemenkeu!$O$6:$O$1005,SMALL(IF(checklistPesertaKemenkeu!$AY$6:$AY$1005="Direkomendasikan",ROW($6:$1005)-5),630)),KotaKode,2,0),"-"),"")),"")</f>
        <v/>
      </c>
      <c r="L631" t="str">
        <f t="array" aca="1" ref="L631" ca="1">IFERROR(IF(OR(INDEX(checklistPesertaKemenkeu!$P$6:$P$1005,SMALL(IF(checklistPesertaKemenkeu!$AY$6:$AY$1005="Direkomendasikan",ROW($6:$1005)-5),630))="",INDEX(checklistPesertaKemenkeu!$J$6:$J$1005,SMALL(IF(checklistPesertaKemenkeu!$AY$6:$AY$1005="Direkomendasikan",ROW($6:$1005)-5),630))=""),"",IF(AND(COUNTIF(INDIRECT("K_"&amp;MATCH(INDEX(checklistPesertaKemenkeu!$J$6:$J$1005,SMALL(IF(checklistPesertaKemenkeu!$AY$6:$AY$1005="Direkomendasikan",ROW($6:$1005)-5),630)),BidangList,0)),INDEX(checklistPesertaKemenkeu!$P$6:$P$1005,SMALL(IF(checklistPesertaKemenkeu!$AY$6:$AY$1005="Direkomendasikan",ROW($6:$1005)-5),630)))&gt;0,COUNTIF(INDIRECT("'KERTAS KERJA'!K"&amp;(SMALL(IF(checklistPesertaKemenkeu!$AY$6:$AY$1005="Direkomendasikan",ROW($6:$1005)-5),630)+5)&amp;":O"&amp;(SMALL(IF(checklistPesertaKemenkeu!$AY$6:$AY$1005="Direkomendasikan",ROW($6:$1005)-5),630)+5)),INDEX(checklistPesertaKemenkeu!$P$6:$P$1005,SMALL(IF(checklistPesertaKemenkeu!$AY$6:$AY$1005="Direkomendasikan",ROW($6:$1005)-5),630)))=1),IFERROR(VLOOKUP(INDEX(checklistPesertaKemenkeu!$P$6:$P$1005,SMALL(IF(checklistPesertaKemenkeu!$AY$6:$AY$1005="Direkomendasikan",ROW($6:$1005)-5),630)),KotaKode,2,0),"-"),"")),"")</f>
        <v/>
      </c>
    </row>
    <row r="632" spans="1:12" ht="15" customHeight="1" x14ac:dyDescent="0.2">
      <c r="A632" t="str">
        <f t="shared" si="9"/>
        <v/>
      </c>
      <c r="B632" t="str">
        <v/>
      </c>
      <c r="C632" s="40" t="str">
        <f t="array" ref="C632">IFERROR(INDEX(checklistPesertaKemenkeu!$F$6:$F$1005,SMALL(IF(checklistPesertaKemenkeu!$AY$6:$AY$1005="Direkomendasikan",ROW($6:$1005)-5),631)),"")</f>
        <v/>
      </c>
      <c r="D632" t="str">
        <f t="array" ref="D632">IFERROR(INDEX(checklistPesertaKemenkeu!$G$6:$G$1005,SMALL(IF(checklistPesertaKemenkeu!$AY$6:$AY$1005="Direkomendasikan",ROW($6:$1005)-5),631)),"")</f>
        <v/>
      </c>
      <c r="E632" t="str">
        <f t="array" ref="E632">IFERROR(INDEX(checklistPesertaKemenkeu!$H$6:$H$1005,SMALL(IF(checklistPesertaKemenkeu!$AY$6:$AY$1005="Direkomendasikan",ROW($6:$1005)-5),631)),"")</f>
        <v/>
      </c>
      <c r="F632" t="str">
        <f t="array" ref="F632">IFERROR(INDEX(checklistPesertaKemenkeu!$I$6:$I$1005,SMALL(IF(checklistPesertaKemenkeu!$AY$6:$AY$1005="Direkomendasikan",ROW($6:$1005)-5),631)),"")</f>
        <v/>
      </c>
      <c r="G632" t="str">
        <f t="array" ref="G632">IFERROR(INDEX(checklistPesertaKemenkeu!$J$6:$J$1005,SMALL(IF(checklistPesertaKemenkeu!$AY$6:$AY$1005="Direkomendasikan",ROW($6:$1005)-5),631)),"")</f>
        <v/>
      </c>
      <c r="H632" t="str">
        <f t="array" aca="1" ref="H632" ca="1">IFERROR(IF(OR(INDEX(checklistPesertaKemenkeu!$L$6:$L$1005,SMALL(IF(checklistPesertaKemenkeu!$AY$6:$AY$1005="Direkomendasikan",ROW($6:$1005)-5),631))="",INDEX(checklistPesertaKemenkeu!$J$6:$J$1005,SMALL(IF(checklistPesertaKemenkeu!$AY$6:$AY$1005="Direkomendasikan",ROW($6:$1005)-5),631))=""),"",IF(AND(COUNTIF(INDIRECT("K_"&amp;MATCH(INDEX(checklistPesertaKemenkeu!$J$6:$J$1005,SMALL(IF(checklistPesertaKemenkeu!$AY$6:$AY$1005="Direkomendasikan",ROW($6:$1005)-5),631)),BidangList,0)),INDEX(checklistPesertaKemenkeu!$L$6:$L$1005,SMALL(IF(checklistPesertaKemenkeu!$AY$6:$AY$1005="Direkomendasikan",ROW($6:$1005)-5),631)))&gt;0,COUNTIF(INDIRECT("'KERTAS KERJA'!K"&amp;(SMALL(IF(checklistPesertaKemenkeu!$AY$6:$AY$1005="Direkomendasikan",ROW($6:$1005)-5),631)+5)&amp;":O"&amp;(SMALL(IF(checklistPesertaKemenkeu!$AY$6:$AY$1005="Direkomendasikan",ROW($6:$1005)-5),631)+5)),INDEX(checklistPesertaKemenkeu!$L$6:$L$1005,SMALL(IF(checklistPesertaKemenkeu!$AY$6:$AY$1005="Direkomendasikan",ROW($6:$1005)-5),631)))=1),IFERROR(VLOOKUP(INDEX(checklistPesertaKemenkeu!$L$6:$L$1005,SMALL(IF(checklistPesertaKemenkeu!$AY$6:$AY$1005="Direkomendasikan",ROW($6:$1005)-5),631)),KotaKode,2,0),"-"),"")),"")</f>
        <v/>
      </c>
      <c r="I632" t="str">
        <f t="array" aca="1" ref="I632" ca="1">IFERROR(IF(OR(INDEX(checklistPesertaKemenkeu!$M$6:$M$1005,SMALL(IF(checklistPesertaKemenkeu!$AY$6:$AY$1005="Direkomendasikan",ROW($6:$1005)-5),631))="",INDEX(checklistPesertaKemenkeu!$J$6:$J$1005,SMALL(IF(checklistPesertaKemenkeu!$AY$6:$AY$1005="Direkomendasikan",ROW($6:$1005)-5),631))=""),"",IF(AND(COUNTIF(INDIRECT("K_"&amp;MATCH(INDEX(checklistPesertaKemenkeu!$J$6:$J$1005,SMALL(IF(checklistPesertaKemenkeu!$AY$6:$AY$1005="Direkomendasikan",ROW($6:$1005)-5),631)),BidangList,0)),INDEX(checklistPesertaKemenkeu!$M$6:$M$1005,SMALL(IF(checklistPesertaKemenkeu!$AY$6:$AY$1005="Direkomendasikan",ROW($6:$1005)-5),631)))&gt;0,COUNTIF(INDIRECT("'KERTAS KERJA'!K"&amp;(SMALL(IF(checklistPesertaKemenkeu!$AY$6:$AY$1005="Direkomendasikan",ROW($6:$1005)-5),631)+5)&amp;":O"&amp;(SMALL(IF(checklistPesertaKemenkeu!$AY$6:$AY$1005="Direkomendasikan",ROW($6:$1005)-5),631)+5)),INDEX(checklistPesertaKemenkeu!$M$6:$M$1005,SMALL(IF(checklistPesertaKemenkeu!$AY$6:$AY$1005="Direkomendasikan",ROW($6:$1005)-5),631)))=1),IFERROR(VLOOKUP(INDEX(checklistPesertaKemenkeu!$M$6:$M$1005,SMALL(IF(checklistPesertaKemenkeu!$AY$6:$AY$1005="Direkomendasikan",ROW($6:$1005)-5),631)),KotaKode,2,0),"-"),"")),"")</f>
        <v/>
      </c>
      <c r="J632" t="str">
        <f t="array" aca="1" ref="J632" ca="1">IFERROR(IF(OR(INDEX(checklistPesertaKemenkeu!$N$6:$N$1005,SMALL(IF(checklistPesertaKemenkeu!$AY$6:$AY$1005="Direkomendasikan",ROW($6:$1005)-5),631))="",INDEX(checklistPesertaKemenkeu!$J$6:$J$1005,SMALL(IF(checklistPesertaKemenkeu!$AY$6:$AY$1005="Direkomendasikan",ROW($6:$1005)-5),631))=""),"",IF(AND(COUNTIF(INDIRECT("K_"&amp;MATCH(INDEX(checklistPesertaKemenkeu!$J$6:$J$1005,SMALL(IF(checklistPesertaKemenkeu!$AY$6:$AY$1005="Direkomendasikan",ROW($6:$1005)-5),631)),BidangList,0)),INDEX(checklistPesertaKemenkeu!$N$6:$N$1005,SMALL(IF(checklistPesertaKemenkeu!$AY$6:$AY$1005="Direkomendasikan",ROW($6:$1005)-5),631)))&gt;0,COUNTIF(INDIRECT("'KERTAS KERJA'!K"&amp;(SMALL(IF(checklistPesertaKemenkeu!$AY$6:$AY$1005="Direkomendasikan",ROW($6:$1005)-5),631)+5)&amp;":O"&amp;(SMALL(IF(checklistPesertaKemenkeu!$AY$6:$AY$1005="Direkomendasikan",ROW($6:$1005)-5),631)+5)),INDEX(checklistPesertaKemenkeu!$N$6:$N$1005,SMALL(IF(checklistPesertaKemenkeu!$AY$6:$AY$1005="Direkomendasikan",ROW($6:$1005)-5),631)))=1),IFERROR(VLOOKUP(INDEX(checklistPesertaKemenkeu!$N$6:$N$1005,SMALL(IF(checklistPesertaKemenkeu!$AY$6:$AY$1005="Direkomendasikan",ROW($6:$1005)-5),631)),KotaKode,2,0),"-"),"")),"")</f>
        <v/>
      </c>
      <c r="K632" t="str">
        <f t="array" aca="1" ref="K632" ca="1">IFERROR(IF(OR(INDEX(checklistPesertaKemenkeu!$O$6:$O$1005,SMALL(IF(checklistPesertaKemenkeu!$AY$6:$AY$1005="Direkomendasikan",ROW($6:$1005)-5),631))="",INDEX(checklistPesertaKemenkeu!$J$6:$J$1005,SMALL(IF(checklistPesertaKemenkeu!$AY$6:$AY$1005="Direkomendasikan",ROW($6:$1005)-5),631))=""),"",IF(AND(COUNTIF(INDIRECT("K_"&amp;MATCH(INDEX(checklistPesertaKemenkeu!$J$6:$J$1005,SMALL(IF(checklistPesertaKemenkeu!$AY$6:$AY$1005="Direkomendasikan",ROW($6:$1005)-5),631)),BidangList,0)),INDEX(checklistPesertaKemenkeu!$O$6:$O$1005,SMALL(IF(checklistPesertaKemenkeu!$AY$6:$AY$1005="Direkomendasikan",ROW($6:$1005)-5),631)))&gt;0,COUNTIF(INDIRECT("'KERTAS KERJA'!K"&amp;(SMALL(IF(checklistPesertaKemenkeu!$AY$6:$AY$1005="Direkomendasikan",ROW($6:$1005)-5),631)+5)&amp;":O"&amp;(SMALL(IF(checklistPesertaKemenkeu!$AY$6:$AY$1005="Direkomendasikan",ROW($6:$1005)-5),631)+5)),INDEX(checklistPesertaKemenkeu!$O$6:$O$1005,SMALL(IF(checklistPesertaKemenkeu!$AY$6:$AY$1005="Direkomendasikan",ROW($6:$1005)-5),631)))=1),IFERROR(VLOOKUP(INDEX(checklistPesertaKemenkeu!$O$6:$O$1005,SMALL(IF(checklistPesertaKemenkeu!$AY$6:$AY$1005="Direkomendasikan",ROW($6:$1005)-5),631)),KotaKode,2,0),"-"),"")),"")</f>
        <v/>
      </c>
      <c r="L632" t="str">
        <f t="array" aca="1" ref="L632" ca="1">IFERROR(IF(OR(INDEX(checklistPesertaKemenkeu!$P$6:$P$1005,SMALL(IF(checklistPesertaKemenkeu!$AY$6:$AY$1005="Direkomendasikan",ROW($6:$1005)-5),631))="",INDEX(checklistPesertaKemenkeu!$J$6:$J$1005,SMALL(IF(checklistPesertaKemenkeu!$AY$6:$AY$1005="Direkomendasikan",ROW($6:$1005)-5),631))=""),"",IF(AND(COUNTIF(INDIRECT("K_"&amp;MATCH(INDEX(checklistPesertaKemenkeu!$J$6:$J$1005,SMALL(IF(checklistPesertaKemenkeu!$AY$6:$AY$1005="Direkomendasikan",ROW($6:$1005)-5),631)),BidangList,0)),INDEX(checklistPesertaKemenkeu!$P$6:$P$1005,SMALL(IF(checklistPesertaKemenkeu!$AY$6:$AY$1005="Direkomendasikan",ROW($6:$1005)-5),631)))&gt;0,COUNTIF(INDIRECT("'KERTAS KERJA'!K"&amp;(SMALL(IF(checklistPesertaKemenkeu!$AY$6:$AY$1005="Direkomendasikan",ROW($6:$1005)-5),631)+5)&amp;":O"&amp;(SMALL(IF(checklistPesertaKemenkeu!$AY$6:$AY$1005="Direkomendasikan",ROW($6:$1005)-5),631)+5)),INDEX(checklistPesertaKemenkeu!$P$6:$P$1005,SMALL(IF(checklistPesertaKemenkeu!$AY$6:$AY$1005="Direkomendasikan",ROW($6:$1005)-5),631)))=1),IFERROR(VLOOKUP(INDEX(checklistPesertaKemenkeu!$P$6:$P$1005,SMALL(IF(checklistPesertaKemenkeu!$AY$6:$AY$1005="Direkomendasikan",ROW($6:$1005)-5),631)),KotaKode,2,0),"-"),"")),"")</f>
        <v/>
      </c>
    </row>
    <row r="633" spans="1:12" ht="15" customHeight="1" x14ac:dyDescent="0.2">
      <c r="A633" t="str">
        <f t="shared" si="9"/>
        <v/>
      </c>
      <c r="B633" t="str">
        <v/>
      </c>
      <c r="C633" s="40" t="str">
        <f t="array" ref="C633">IFERROR(INDEX(checklistPesertaKemenkeu!$F$6:$F$1005,SMALL(IF(checklistPesertaKemenkeu!$AY$6:$AY$1005="Direkomendasikan",ROW($6:$1005)-5),632)),"")</f>
        <v/>
      </c>
      <c r="D633" t="str">
        <f t="array" ref="D633">IFERROR(INDEX(checklistPesertaKemenkeu!$G$6:$G$1005,SMALL(IF(checklistPesertaKemenkeu!$AY$6:$AY$1005="Direkomendasikan",ROW($6:$1005)-5),632)),"")</f>
        <v/>
      </c>
      <c r="E633" t="str">
        <f t="array" ref="E633">IFERROR(INDEX(checklistPesertaKemenkeu!$H$6:$H$1005,SMALL(IF(checklistPesertaKemenkeu!$AY$6:$AY$1005="Direkomendasikan",ROW($6:$1005)-5),632)),"")</f>
        <v/>
      </c>
      <c r="F633" t="str">
        <f t="array" ref="F633">IFERROR(INDEX(checklistPesertaKemenkeu!$I$6:$I$1005,SMALL(IF(checklistPesertaKemenkeu!$AY$6:$AY$1005="Direkomendasikan",ROW($6:$1005)-5),632)),"")</f>
        <v/>
      </c>
      <c r="G633" t="str">
        <f t="array" ref="G633">IFERROR(INDEX(checklistPesertaKemenkeu!$J$6:$J$1005,SMALL(IF(checklistPesertaKemenkeu!$AY$6:$AY$1005="Direkomendasikan",ROW($6:$1005)-5),632)),"")</f>
        <v/>
      </c>
      <c r="H633" t="str">
        <f t="array" aca="1" ref="H633" ca="1">IFERROR(IF(OR(INDEX(checklistPesertaKemenkeu!$L$6:$L$1005,SMALL(IF(checklistPesertaKemenkeu!$AY$6:$AY$1005="Direkomendasikan",ROW($6:$1005)-5),632))="",INDEX(checklistPesertaKemenkeu!$J$6:$J$1005,SMALL(IF(checklistPesertaKemenkeu!$AY$6:$AY$1005="Direkomendasikan",ROW($6:$1005)-5),632))=""),"",IF(AND(COUNTIF(INDIRECT("K_"&amp;MATCH(INDEX(checklistPesertaKemenkeu!$J$6:$J$1005,SMALL(IF(checklistPesertaKemenkeu!$AY$6:$AY$1005="Direkomendasikan",ROW($6:$1005)-5),632)),BidangList,0)),INDEX(checklistPesertaKemenkeu!$L$6:$L$1005,SMALL(IF(checklistPesertaKemenkeu!$AY$6:$AY$1005="Direkomendasikan",ROW($6:$1005)-5),632)))&gt;0,COUNTIF(INDIRECT("'KERTAS KERJA'!K"&amp;(SMALL(IF(checklistPesertaKemenkeu!$AY$6:$AY$1005="Direkomendasikan",ROW($6:$1005)-5),632)+5)&amp;":O"&amp;(SMALL(IF(checklistPesertaKemenkeu!$AY$6:$AY$1005="Direkomendasikan",ROW($6:$1005)-5),632)+5)),INDEX(checklistPesertaKemenkeu!$L$6:$L$1005,SMALL(IF(checklistPesertaKemenkeu!$AY$6:$AY$1005="Direkomendasikan",ROW($6:$1005)-5),632)))=1),IFERROR(VLOOKUP(INDEX(checklistPesertaKemenkeu!$L$6:$L$1005,SMALL(IF(checklistPesertaKemenkeu!$AY$6:$AY$1005="Direkomendasikan",ROW($6:$1005)-5),632)),KotaKode,2,0),"-"),"")),"")</f>
        <v/>
      </c>
      <c r="I633" t="str">
        <f t="array" aca="1" ref="I633" ca="1">IFERROR(IF(OR(INDEX(checklistPesertaKemenkeu!$M$6:$M$1005,SMALL(IF(checklistPesertaKemenkeu!$AY$6:$AY$1005="Direkomendasikan",ROW($6:$1005)-5),632))="",INDEX(checklistPesertaKemenkeu!$J$6:$J$1005,SMALL(IF(checklistPesertaKemenkeu!$AY$6:$AY$1005="Direkomendasikan",ROW($6:$1005)-5),632))=""),"",IF(AND(COUNTIF(INDIRECT("K_"&amp;MATCH(INDEX(checklistPesertaKemenkeu!$J$6:$J$1005,SMALL(IF(checklistPesertaKemenkeu!$AY$6:$AY$1005="Direkomendasikan",ROW($6:$1005)-5),632)),BidangList,0)),INDEX(checklistPesertaKemenkeu!$M$6:$M$1005,SMALL(IF(checklistPesertaKemenkeu!$AY$6:$AY$1005="Direkomendasikan",ROW($6:$1005)-5),632)))&gt;0,COUNTIF(INDIRECT("'KERTAS KERJA'!K"&amp;(SMALL(IF(checklistPesertaKemenkeu!$AY$6:$AY$1005="Direkomendasikan",ROW($6:$1005)-5),632)+5)&amp;":O"&amp;(SMALL(IF(checklistPesertaKemenkeu!$AY$6:$AY$1005="Direkomendasikan",ROW($6:$1005)-5),632)+5)),INDEX(checklistPesertaKemenkeu!$M$6:$M$1005,SMALL(IF(checklistPesertaKemenkeu!$AY$6:$AY$1005="Direkomendasikan",ROW($6:$1005)-5),632)))=1),IFERROR(VLOOKUP(INDEX(checklistPesertaKemenkeu!$M$6:$M$1005,SMALL(IF(checklistPesertaKemenkeu!$AY$6:$AY$1005="Direkomendasikan",ROW($6:$1005)-5),632)),KotaKode,2,0),"-"),"")),"")</f>
        <v/>
      </c>
      <c r="J633" t="str">
        <f t="array" aca="1" ref="J633" ca="1">IFERROR(IF(OR(INDEX(checklistPesertaKemenkeu!$N$6:$N$1005,SMALL(IF(checklistPesertaKemenkeu!$AY$6:$AY$1005="Direkomendasikan",ROW($6:$1005)-5),632))="",INDEX(checklistPesertaKemenkeu!$J$6:$J$1005,SMALL(IF(checklistPesertaKemenkeu!$AY$6:$AY$1005="Direkomendasikan",ROW($6:$1005)-5),632))=""),"",IF(AND(COUNTIF(INDIRECT("K_"&amp;MATCH(INDEX(checklistPesertaKemenkeu!$J$6:$J$1005,SMALL(IF(checklistPesertaKemenkeu!$AY$6:$AY$1005="Direkomendasikan",ROW($6:$1005)-5),632)),BidangList,0)),INDEX(checklistPesertaKemenkeu!$N$6:$N$1005,SMALL(IF(checklistPesertaKemenkeu!$AY$6:$AY$1005="Direkomendasikan",ROW($6:$1005)-5),632)))&gt;0,COUNTIF(INDIRECT("'KERTAS KERJA'!K"&amp;(SMALL(IF(checklistPesertaKemenkeu!$AY$6:$AY$1005="Direkomendasikan",ROW($6:$1005)-5),632)+5)&amp;":O"&amp;(SMALL(IF(checklistPesertaKemenkeu!$AY$6:$AY$1005="Direkomendasikan",ROW($6:$1005)-5),632)+5)),INDEX(checklistPesertaKemenkeu!$N$6:$N$1005,SMALL(IF(checklistPesertaKemenkeu!$AY$6:$AY$1005="Direkomendasikan",ROW($6:$1005)-5),632)))=1),IFERROR(VLOOKUP(INDEX(checklistPesertaKemenkeu!$N$6:$N$1005,SMALL(IF(checklistPesertaKemenkeu!$AY$6:$AY$1005="Direkomendasikan",ROW($6:$1005)-5),632)),KotaKode,2,0),"-"),"")),"")</f>
        <v/>
      </c>
      <c r="K633" t="str">
        <f t="array" aca="1" ref="K633" ca="1">IFERROR(IF(OR(INDEX(checklistPesertaKemenkeu!$O$6:$O$1005,SMALL(IF(checklistPesertaKemenkeu!$AY$6:$AY$1005="Direkomendasikan",ROW($6:$1005)-5),632))="",INDEX(checklistPesertaKemenkeu!$J$6:$J$1005,SMALL(IF(checklistPesertaKemenkeu!$AY$6:$AY$1005="Direkomendasikan",ROW($6:$1005)-5),632))=""),"",IF(AND(COUNTIF(INDIRECT("K_"&amp;MATCH(INDEX(checklistPesertaKemenkeu!$J$6:$J$1005,SMALL(IF(checklistPesertaKemenkeu!$AY$6:$AY$1005="Direkomendasikan",ROW($6:$1005)-5),632)),BidangList,0)),INDEX(checklistPesertaKemenkeu!$O$6:$O$1005,SMALL(IF(checklistPesertaKemenkeu!$AY$6:$AY$1005="Direkomendasikan",ROW($6:$1005)-5),632)))&gt;0,COUNTIF(INDIRECT("'KERTAS KERJA'!K"&amp;(SMALL(IF(checklistPesertaKemenkeu!$AY$6:$AY$1005="Direkomendasikan",ROW($6:$1005)-5),632)+5)&amp;":O"&amp;(SMALL(IF(checklistPesertaKemenkeu!$AY$6:$AY$1005="Direkomendasikan",ROW($6:$1005)-5),632)+5)),INDEX(checklistPesertaKemenkeu!$O$6:$O$1005,SMALL(IF(checklistPesertaKemenkeu!$AY$6:$AY$1005="Direkomendasikan",ROW($6:$1005)-5),632)))=1),IFERROR(VLOOKUP(INDEX(checklistPesertaKemenkeu!$O$6:$O$1005,SMALL(IF(checklistPesertaKemenkeu!$AY$6:$AY$1005="Direkomendasikan",ROW($6:$1005)-5),632)),KotaKode,2,0),"-"),"")),"")</f>
        <v/>
      </c>
      <c r="L633" t="str">
        <f t="array" aca="1" ref="L633" ca="1">IFERROR(IF(OR(INDEX(checklistPesertaKemenkeu!$P$6:$P$1005,SMALL(IF(checklistPesertaKemenkeu!$AY$6:$AY$1005="Direkomendasikan",ROW($6:$1005)-5),632))="",INDEX(checklistPesertaKemenkeu!$J$6:$J$1005,SMALL(IF(checklistPesertaKemenkeu!$AY$6:$AY$1005="Direkomendasikan",ROW($6:$1005)-5),632))=""),"",IF(AND(COUNTIF(INDIRECT("K_"&amp;MATCH(INDEX(checklistPesertaKemenkeu!$J$6:$J$1005,SMALL(IF(checklistPesertaKemenkeu!$AY$6:$AY$1005="Direkomendasikan",ROW($6:$1005)-5),632)),BidangList,0)),INDEX(checklistPesertaKemenkeu!$P$6:$P$1005,SMALL(IF(checklistPesertaKemenkeu!$AY$6:$AY$1005="Direkomendasikan",ROW($6:$1005)-5),632)))&gt;0,COUNTIF(INDIRECT("'KERTAS KERJA'!K"&amp;(SMALL(IF(checklistPesertaKemenkeu!$AY$6:$AY$1005="Direkomendasikan",ROW($6:$1005)-5),632)+5)&amp;":O"&amp;(SMALL(IF(checklistPesertaKemenkeu!$AY$6:$AY$1005="Direkomendasikan",ROW($6:$1005)-5),632)+5)),INDEX(checklistPesertaKemenkeu!$P$6:$P$1005,SMALL(IF(checklistPesertaKemenkeu!$AY$6:$AY$1005="Direkomendasikan",ROW($6:$1005)-5),632)))=1),IFERROR(VLOOKUP(INDEX(checklistPesertaKemenkeu!$P$6:$P$1005,SMALL(IF(checklistPesertaKemenkeu!$AY$6:$AY$1005="Direkomendasikan",ROW($6:$1005)-5),632)),KotaKode,2,0),"-"),"")),"")</f>
        <v/>
      </c>
    </row>
    <row r="634" spans="1:12" ht="15" customHeight="1" x14ac:dyDescent="0.2">
      <c r="A634" t="str">
        <f t="shared" si="9"/>
        <v/>
      </c>
      <c r="B634" t="str">
        <v/>
      </c>
      <c r="C634" s="40" t="str">
        <f t="array" ref="C634">IFERROR(INDEX(checklistPesertaKemenkeu!$F$6:$F$1005,SMALL(IF(checklistPesertaKemenkeu!$AY$6:$AY$1005="Direkomendasikan",ROW($6:$1005)-5),633)),"")</f>
        <v/>
      </c>
      <c r="D634" t="str">
        <f t="array" ref="D634">IFERROR(INDEX(checklistPesertaKemenkeu!$G$6:$G$1005,SMALL(IF(checklistPesertaKemenkeu!$AY$6:$AY$1005="Direkomendasikan",ROW($6:$1005)-5),633)),"")</f>
        <v/>
      </c>
      <c r="E634" t="str">
        <f t="array" ref="E634">IFERROR(INDEX(checklistPesertaKemenkeu!$H$6:$H$1005,SMALL(IF(checklistPesertaKemenkeu!$AY$6:$AY$1005="Direkomendasikan",ROW($6:$1005)-5),633)),"")</f>
        <v/>
      </c>
      <c r="F634" t="str">
        <f t="array" ref="F634">IFERROR(INDEX(checklistPesertaKemenkeu!$I$6:$I$1005,SMALL(IF(checklistPesertaKemenkeu!$AY$6:$AY$1005="Direkomendasikan",ROW($6:$1005)-5),633)),"")</f>
        <v/>
      </c>
      <c r="G634" t="str">
        <f t="array" ref="G634">IFERROR(INDEX(checklistPesertaKemenkeu!$J$6:$J$1005,SMALL(IF(checklistPesertaKemenkeu!$AY$6:$AY$1005="Direkomendasikan",ROW($6:$1005)-5),633)),"")</f>
        <v/>
      </c>
      <c r="H634" t="str">
        <f t="array" aca="1" ref="H634" ca="1">IFERROR(IF(OR(INDEX(checklistPesertaKemenkeu!$L$6:$L$1005,SMALL(IF(checklistPesertaKemenkeu!$AY$6:$AY$1005="Direkomendasikan",ROW($6:$1005)-5),633))="",INDEX(checklistPesertaKemenkeu!$J$6:$J$1005,SMALL(IF(checklistPesertaKemenkeu!$AY$6:$AY$1005="Direkomendasikan",ROW($6:$1005)-5),633))=""),"",IF(AND(COUNTIF(INDIRECT("K_"&amp;MATCH(INDEX(checklistPesertaKemenkeu!$J$6:$J$1005,SMALL(IF(checklistPesertaKemenkeu!$AY$6:$AY$1005="Direkomendasikan",ROW($6:$1005)-5),633)),BidangList,0)),INDEX(checklistPesertaKemenkeu!$L$6:$L$1005,SMALL(IF(checklistPesertaKemenkeu!$AY$6:$AY$1005="Direkomendasikan",ROW($6:$1005)-5),633)))&gt;0,COUNTIF(INDIRECT("'KERTAS KERJA'!K"&amp;(SMALL(IF(checklistPesertaKemenkeu!$AY$6:$AY$1005="Direkomendasikan",ROW($6:$1005)-5),633)+5)&amp;":O"&amp;(SMALL(IF(checklistPesertaKemenkeu!$AY$6:$AY$1005="Direkomendasikan",ROW($6:$1005)-5),633)+5)),INDEX(checklistPesertaKemenkeu!$L$6:$L$1005,SMALL(IF(checklistPesertaKemenkeu!$AY$6:$AY$1005="Direkomendasikan",ROW($6:$1005)-5),633)))=1),IFERROR(VLOOKUP(INDEX(checklistPesertaKemenkeu!$L$6:$L$1005,SMALL(IF(checklistPesertaKemenkeu!$AY$6:$AY$1005="Direkomendasikan",ROW($6:$1005)-5),633)),KotaKode,2,0),"-"),"")),"")</f>
        <v/>
      </c>
      <c r="I634" t="str">
        <f t="array" aca="1" ref="I634" ca="1">IFERROR(IF(OR(INDEX(checklistPesertaKemenkeu!$M$6:$M$1005,SMALL(IF(checklistPesertaKemenkeu!$AY$6:$AY$1005="Direkomendasikan",ROW($6:$1005)-5),633))="",INDEX(checklistPesertaKemenkeu!$J$6:$J$1005,SMALL(IF(checklistPesertaKemenkeu!$AY$6:$AY$1005="Direkomendasikan",ROW($6:$1005)-5),633))=""),"",IF(AND(COUNTIF(INDIRECT("K_"&amp;MATCH(INDEX(checklistPesertaKemenkeu!$J$6:$J$1005,SMALL(IF(checklistPesertaKemenkeu!$AY$6:$AY$1005="Direkomendasikan",ROW($6:$1005)-5),633)),BidangList,0)),INDEX(checklistPesertaKemenkeu!$M$6:$M$1005,SMALL(IF(checklistPesertaKemenkeu!$AY$6:$AY$1005="Direkomendasikan",ROW($6:$1005)-5),633)))&gt;0,COUNTIF(INDIRECT("'KERTAS KERJA'!K"&amp;(SMALL(IF(checklistPesertaKemenkeu!$AY$6:$AY$1005="Direkomendasikan",ROW($6:$1005)-5),633)+5)&amp;":O"&amp;(SMALL(IF(checklistPesertaKemenkeu!$AY$6:$AY$1005="Direkomendasikan",ROW($6:$1005)-5),633)+5)),INDEX(checklistPesertaKemenkeu!$M$6:$M$1005,SMALL(IF(checklistPesertaKemenkeu!$AY$6:$AY$1005="Direkomendasikan",ROW($6:$1005)-5),633)))=1),IFERROR(VLOOKUP(INDEX(checklistPesertaKemenkeu!$M$6:$M$1005,SMALL(IF(checklistPesertaKemenkeu!$AY$6:$AY$1005="Direkomendasikan",ROW($6:$1005)-5),633)),KotaKode,2,0),"-"),"")),"")</f>
        <v/>
      </c>
      <c r="J634" t="str">
        <f t="array" aca="1" ref="J634" ca="1">IFERROR(IF(OR(INDEX(checklistPesertaKemenkeu!$N$6:$N$1005,SMALL(IF(checklistPesertaKemenkeu!$AY$6:$AY$1005="Direkomendasikan",ROW($6:$1005)-5),633))="",INDEX(checklistPesertaKemenkeu!$J$6:$J$1005,SMALL(IF(checklistPesertaKemenkeu!$AY$6:$AY$1005="Direkomendasikan",ROW($6:$1005)-5),633))=""),"",IF(AND(COUNTIF(INDIRECT("K_"&amp;MATCH(INDEX(checklistPesertaKemenkeu!$J$6:$J$1005,SMALL(IF(checklistPesertaKemenkeu!$AY$6:$AY$1005="Direkomendasikan",ROW($6:$1005)-5),633)),BidangList,0)),INDEX(checklistPesertaKemenkeu!$N$6:$N$1005,SMALL(IF(checklistPesertaKemenkeu!$AY$6:$AY$1005="Direkomendasikan",ROW($6:$1005)-5),633)))&gt;0,COUNTIF(INDIRECT("'KERTAS KERJA'!K"&amp;(SMALL(IF(checklistPesertaKemenkeu!$AY$6:$AY$1005="Direkomendasikan",ROW($6:$1005)-5),633)+5)&amp;":O"&amp;(SMALL(IF(checklistPesertaKemenkeu!$AY$6:$AY$1005="Direkomendasikan",ROW($6:$1005)-5),633)+5)),INDEX(checklistPesertaKemenkeu!$N$6:$N$1005,SMALL(IF(checklistPesertaKemenkeu!$AY$6:$AY$1005="Direkomendasikan",ROW($6:$1005)-5),633)))=1),IFERROR(VLOOKUP(INDEX(checklistPesertaKemenkeu!$N$6:$N$1005,SMALL(IF(checklistPesertaKemenkeu!$AY$6:$AY$1005="Direkomendasikan",ROW($6:$1005)-5),633)),KotaKode,2,0),"-"),"")),"")</f>
        <v/>
      </c>
      <c r="K634" t="str">
        <f t="array" aca="1" ref="K634" ca="1">IFERROR(IF(OR(INDEX(checklistPesertaKemenkeu!$O$6:$O$1005,SMALL(IF(checklistPesertaKemenkeu!$AY$6:$AY$1005="Direkomendasikan",ROW($6:$1005)-5),633))="",INDEX(checklistPesertaKemenkeu!$J$6:$J$1005,SMALL(IF(checklistPesertaKemenkeu!$AY$6:$AY$1005="Direkomendasikan",ROW($6:$1005)-5),633))=""),"",IF(AND(COUNTIF(INDIRECT("K_"&amp;MATCH(INDEX(checklistPesertaKemenkeu!$J$6:$J$1005,SMALL(IF(checklistPesertaKemenkeu!$AY$6:$AY$1005="Direkomendasikan",ROW($6:$1005)-5),633)),BidangList,0)),INDEX(checklistPesertaKemenkeu!$O$6:$O$1005,SMALL(IF(checklistPesertaKemenkeu!$AY$6:$AY$1005="Direkomendasikan",ROW($6:$1005)-5),633)))&gt;0,COUNTIF(INDIRECT("'KERTAS KERJA'!K"&amp;(SMALL(IF(checklistPesertaKemenkeu!$AY$6:$AY$1005="Direkomendasikan",ROW($6:$1005)-5),633)+5)&amp;":O"&amp;(SMALL(IF(checklistPesertaKemenkeu!$AY$6:$AY$1005="Direkomendasikan",ROW($6:$1005)-5),633)+5)),INDEX(checklistPesertaKemenkeu!$O$6:$O$1005,SMALL(IF(checklistPesertaKemenkeu!$AY$6:$AY$1005="Direkomendasikan",ROW($6:$1005)-5),633)))=1),IFERROR(VLOOKUP(INDEX(checklistPesertaKemenkeu!$O$6:$O$1005,SMALL(IF(checklistPesertaKemenkeu!$AY$6:$AY$1005="Direkomendasikan",ROW($6:$1005)-5),633)),KotaKode,2,0),"-"),"")),"")</f>
        <v/>
      </c>
      <c r="L634" t="str">
        <f t="array" aca="1" ref="L634" ca="1">IFERROR(IF(OR(INDEX(checklistPesertaKemenkeu!$P$6:$P$1005,SMALL(IF(checklistPesertaKemenkeu!$AY$6:$AY$1005="Direkomendasikan",ROW($6:$1005)-5),633))="",INDEX(checklistPesertaKemenkeu!$J$6:$J$1005,SMALL(IF(checklistPesertaKemenkeu!$AY$6:$AY$1005="Direkomendasikan",ROW($6:$1005)-5),633))=""),"",IF(AND(COUNTIF(INDIRECT("K_"&amp;MATCH(INDEX(checklistPesertaKemenkeu!$J$6:$J$1005,SMALL(IF(checklistPesertaKemenkeu!$AY$6:$AY$1005="Direkomendasikan",ROW($6:$1005)-5),633)),BidangList,0)),INDEX(checklistPesertaKemenkeu!$P$6:$P$1005,SMALL(IF(checklistPesertaKemenkeu!$AY$6:$AY$1005="Direkomendasikan",ROW($6:$1005)-5),633)))&gt;0,COUNTIF(INDIRECT("'KERTAS KERJA'!K"&amp;(SMALL(IF(checklistPesertaKemenkeu!$AY$6:$AY$1005="Direkomendasikan",ROW($6:$1005)-5),633)+5)&amp;":O"&amp;(SMALL(IF(checklistPesertaKemenkeu!$AY$6:$AY$1005="Direkomendasikan",ROW($6:$1005)-5),633)+5)),INDEX(checklistPesertaKemenkeu!$P$6:$P$1005,SMALL(IF(checklistPesertaKemenkeu!$AY$6:$AY$1005="Direkomendasikan",ROW($6:$1005)-5),633)))=1),IFERROR(VLOOKUP(INDEX(checklistPesertaKemenkeu!$P$6:$P$1005,SMALL(IF(checklistPesertaKemenkeu!$AY$6:$AY$1005="Direkomendasikan",ROW($6:$1005)-5),633)),KotaKode,2,0),"-"),"")),"")</f>
        <v/>
      </c>
    </row>
    <row r="635" spans="1:12" ht="15" customHeight="1" x14ac:dyDescent="0.2">
      <c r="A635" t="str">
        <f t="shared" si="9"/>
        <v/>
      </c>
      <c r="B635" t="str">
        <v/>
      </c>
      <c r="C635" s="40" t="str">
        <f t="array" ref="C635">IFERROR(INDEX(checklistPesertaKemenkeu!$F$6:$F$1005,SMALL(IF(checklistPesertaKemenkeu!$AY$6:$AY$1005="Direkomendasikan",ROW($6:$1005)-5),634)),"")</f>
        <v/>
      </c>
      <c r="D635" t="str">
        <f t="array" ref="D635">IFERROR(INDEX(checklistPesertaKemenkeu!$G$6:$G$1005,SMALL(IF(checklistPesertaKemenkeu!$AY$6:$AY$1005="Direkomendasikan",ROW($6:$1005)-5),634)),"")</f>
        <v/>
      </c>
      <c r="E635" t="str">
        <f t="array" ref="E635">IFERROR(INDEX(checklistPesertaKemenkeu!$H$6:$H$1005,SMALL(IF(checklistPesertaKemenkeu!$AY$6:$AY$1005="Direkomendasikan",ROW($6:$1005)-5),634)),"")</f>
        <v/>
      </c>
      <c r="F635" t="str">
        <f t="array" ref="F635">IFERROR(INDEX(checklistPesertaKemenkeu!$I$6:$I$1005,SMALL(IF(checklistPesertaKemenkeu!$AY$6:$AY$1005="Direkomendasikan",ROW($6:$1005)-5),634)),"")</f>
        <v/>
      </c>
      <c r="G635" t="str">
        <f t="array" ref="G635">IFERROR(INDEX(checklistPesertaKemenkeu!$J$6:$J$1005,SMALL(IF(checklistPesertaKemenkeu!$AY$6:$AY$1005="Direkomendasikan",ROW($6:$1005)-5),634)),"")</f>
        <v/>
      </c>
      <c r="H635" t="str">
        <f t="array" aca="1" ref="H635" ca="1">IFERROR(IF(OR(INDEX(checklistPesertaKemenkeu!$L$6:$L$1005,SMALL(IF(checklistPesertaKemenkeu!$AY$6:$AY$1005="Direkomendasikan",ROW($6:$1005)-5),634))="",INDEX(checklistPesertaKemenkeu!$J$6:$J$1005,SMALL(IF(checklistPesertaKemenkeu!$AY$6:$AY$1005="Direkomendasikan",ROW($6:$1005)-5),634))=""),"",IF(AND(COUNTIF(INDIRECT("K_"&amp;MATCH(INDEX(checklistPesertaKemenkeu!$J$6:$J$1005,SMALL(IF(checklistPesertaKemenkeu!$AY$6:$AY$1005="Direkomendasikan",ROW($6:$1005)-5),634)),BidangList,0)),INDEX(checklistPesertaKemenkeu!$L$6:$L$1005,SMALL(IF(checklistPesertaKemenkeu!$AY$6:$AY$1005="Direkomendasikan",ROW($6:$1005)-5),634)))&gt;0,COUNTIF(INDIRECT("'KERTAS KERJA'!K"&amp;(SMALL(IF(checklistPesertaKemenkeu!$AY$6:$AY$1005="Direkomendasikan",ROW($6:$1005)-5),634)+5)&amp;":O"&amp;(SMALL(IF(checklistPesertaKemenkeu!$AY$6:$AY$1005="Direkomendasikan",ROW($6:$1005)-5),634)+5)),INDEX(checklistPesertaKemenkeu!$L$6:$L$1005,SMALL(IF(checklistPesertaKemenkeu!$AY$6:$AY$1005="Direkomendasikan",ROW($6:$1005)-5),634)))=1),IFERROR(VLOOKUP(INDEX(checklistPesertaKemenkeu!$L$6:$L$1005,SMALL(IF(checklistPesertaKemenkeu!$AY$6:$AY$1005="Direkomendasikan",ROW($6:$1005)-5),634)),KotaKode,2,0),"-"),"")),"")</f>
        <v/>
      </c>
      <c r="I635" t="str">
        <f t="array" aca="1" ref="I635" ca="1">IFERROR(IF(OR(INDEX(checklistPesertaKemenkeu!$M$6:$M$1005,SMALL(IF(checklistPesertaKemenkeu!$AY$6:$AY$1005="Direkomendasikan",ROW($6:$1005)-5),634))="",INDEX(checklistPesertaKemenkeu!$J$6:$J$1005,SMALL(IF(checklistPesertaKemenkeu!$AY$6:$AY$1005="Direkomendasikan",ROW($6:$1005)-5),634))=""),"",IF(AND(COUNTIF(INDIRECT("K_"&amp;MATCH(INDEX(checklistPesertaKemenkeu!$J$6:$J$1005,SMALL(IF(checklistPesertaKemenkeu!$AY$6:$AY$1005="Direkomendasikan",ROW($6:$1005)-5),634)),BidangList,0)),INDEX(checklistPesertaKemenkeu!$M$6:$M$1005,SMALL(IF(checklistPesertaKemenkeu!$AY$6:$AY$1005="Direkomendasikan",ROW($6:$1005)-5),634)))&gt;0,COUNTIF(INDIRECT("'KERTAS KERJA'!K"&amp;(SMALL(IF(checklistPesertaKemenkeu!$AY$6:$AY$1005="Direkomendasikan",ROW($6:$1005)-5),634)+5)&amp;":O"&amp;(SMALL(IF(checklistPesertaKemenkeu!$AY$6:$AY$1005="Direkomendasikan",ROW($6:$1005)-5),634)+5)),INDEX(checklistPesertaKemenkeu!$M$6:$M$1005,SMALL(IF(checklistPesertaKemenkeu!$AY$6:$AY$1005="Direkomendasikan",ROW($6:$1005)-5),634)))=1),IFERROR(VLOOKUP(INDEX(checklistPesertaKemenkeu!$M$6:$M$1005,SMALL(IF(checklistPesertaKemenkeu!$AY$6:$AY$1005="Direkomendasikan",ROW($6:$1005)-5),634)),KotaKode,2,0),"-"),"")),"")</f>
        <v/>
      </c>
      <c r="J635" t="str">
        <f t="array" aca="1" ref="J635" ca="1">IFERROR(IF(OR(INDEX(checklistPesertaKemenkeu!$N$6:$N$1005,SMALL(IF(checklistPesertaKemenkeu!$AY$6:$AY$1005="Direkomendasikan",ROW($6:$1005)-5),634))="",INDEX(checklistPesertaKemenkeu!$J$6:$J$1005,SMALL(IF(checklistPesertaKemenkeu!$AY$6:$AY$1005="Direkomendasikan",ROW($6:$1005)-5),634))=""),"",IF(AND(COUNTIF(INDIRECT("K_"&amp;MATCH(INDEX(checklistPesertaKemenkeu!$J$6:$J$1005,SMALL(IF(checklistPesertaKemenkeu!$AY$6:$AY$1005="Direkomendasikan",ROW($6:$1005)-5),634)),BidangList,0)),INDEX(checklistPesertaKemenkeu!$N$6:$N$1005,SMALL(IF(checklistPesertaKemenkeu!$AY$6:$AY$1005="Direkomendasikan",ROW($6:$1005)-5),634)))&gt;0,COUNTIF(INDIRECT("'KERTAS KERJA'!K"&amp;(SMALL(IF(checklistPesertaKemenkeu!$AY$6:$AY$1005="Direkomendasikan",ROW($6:$1005)-5),634)+5)&amp;":O"&amp;(SMALL(IF(checklistPesertaKemenkeu!$AY$6:$AY$1005="Direkomendasikan",ROW($6:$1005)-5),634)+5)),INDEX(checklistPesertaKemenkeu!$N$6:$N$1005,SMALL(IF(checklistPesertaKemenkeu!$AY$6:$AY$1005="Direkomendasikan",ROW($6:$1005)-5),634)))=1),IFERROR(VLOOKUP(INDEX(checklistPesertaKemenkeu!$N$6:$N$1005,SMALL(IF(checklistPesertaKemenkeu!$AY$6:$AY$1005="Direkomendasikan",ROW($6:$1005)-5),634)),KotaKode,2,0),"-"),"")),"")</f>
        <v/>
      </c>
      <c r="K635" t="str">
        <f t="array" aca="1" ref="K635" ca="1">IFERROR(IF(OR(INDEX(checklistPesertaKemenkeu!$O$6:$O$1005,SMALL(IF(checklistPesertaKemenkeu!$AY$6:$AY$1005="Direkomendasikan",ROW($6:$1005)-5),634))="",INDEX(checklistPesertaKemenkeu!$J$6:$J$1005,SMALL(IF(checklistPesertaKemenkeu!$AY$6:$AY$1005="Direkomendasikan",ROW($6:$1005)-5),634))=""),"",IF(AND(COUNTIF(INDIRECT("K_"&amp;MATCH(INDEX(checklistPesertaKemenkeu!$J$6:$J$1005,SMALL(IF(checklistPesertaKemenkeu!$AY$6:$AY$1005="Direkomendasikan",ROW($6:$1005)-5),634)),BidangList,0)),INDEX(checklistPesertaKemenkeu!$O$6:$O$1005,SMALL(IF(checklistPesertaKemenkeu!$AY$6:$AY$1005="Direkomendasikan",ROW($6:$1005)-5),634)))&gt;0,COUNTIF(INDIRECT("'KERTAS KERJA'!K"&amp;(SMALL(IF(checklistPesertaKemenkeu!$AY$6:$AY$1005="Direkomendasikan",ROW($6:$1005)-5),634)+5)&amp;":O"&amp;(SMALL(IF(checklistPesertaKemenkeu!$AY$6:$AY$1005="Direkomendasikan",ROW($6:$1005)-5),634)+5)),INDEX(checklistPesertaKemenkeu!$O$6:$O$1005,SMALL(IF(checklistPesertaKemenkeu!$AY$6:$AY$1005="Direkomendasikan",ROW($6:$1005)-5),634)))=1),IFERROR(VLOOKUP(INDEX(checklistPesertaKemenkeu!$O$6:$O$1005,SMALL(IF(checklistPesertaKemenkeu!$AY$6:$AY$1005="Direkomendasikan",ROW($6:$1005)-5),634)),KotaKode,2,0),"-"),"")),"")</f>
        <v/>
      </c>
      <c r="L635" t="str">
        <f t="array" aca="1" ref="L635" ca="1">IFERROR(IF(OR(INDEX(checklistPesertaKemenkeu!$P$6:$P$1005,SMALL(IF(checklistPesertaKemenkeu!$AY$6:$AY$1005="Direkomendasikan",ROW($6:$1005)-5),634))="",INDEX(checklistPesertaKemenkeu!$J$6:$J$1005,SMALL(IF(checklistPesertaKemenkeu!$AY$6:$AY$1005="Direkomendasikan",ROW($6:$1005)-5),634))=""),"",IF(AND(COUNTIF(INDIRECT("K_"&amp;MATCH(INDEX(checklistPesertaKemenkeu!$J$6:$J$1005,SMALL(IF(checklistPesertaKemenkeu!$AY$6:$AY$1005="Direkomendasikan",ROW($6:$1005)-5),634)),BidangList,0)),INDEX(checklistPesertaKemenkeu!$P$6:$P$1005,SMALL(IF(checklistPesertaKemenkeu!$AY$6:$AY$1005="Direkomendasikan",ROW($6:$1005)-5),634)))&gt;0,COUNTIF(INDIRECT("'KERTAS KERJA'!K"&amp;(SMALL(IF(checklistPesertaKemenkeu!$AY$6:$AY$1005="Direkomendasikan",ROW($6:$1005)-5),634)+5)&amp;":O"&amp;(SMALL(IF(checklistPesertaKemenkeu!$AY$6:$AY$1005="Direkomendasikan",ROW($6:$1005)-5),634)+5)),INDEX(checklistPesertaKemenkeu!$P$6:$P$1005,SMALL(IF(checklistPesertaKemenkeu!$AY$6:$AY$1005="Direkomendasikan",ROW($6:$1005)-5),634)))=1),IFERROR(VLOOKUP(INDEX(checklistPesertaKemenkeu!$P$6:$P$1005,SMALL(IF(checklistPesertaKemenkeu!$AY$6:$AY$1005="Direkomendasikan",ROW($6:$1005)-5),634)),KotaKode,2,0),"-"),"")),"")</f>
        <v/>
      </c>
    </row>
    <row r="636" spans="1:12" ht="15" customHeight="1" x14ac:dyDescent="0.2">
      <c r="A636" t="str">
        <f t="shared" si="9"/>
        <v/>
      </c>
      <c r="B636" t="str">
        <v/>
      </c>
      <c r="C636" s="40" t="str">
        <f t="array" ref="C636">IFERROR(INDEX(checklistPesertaKemenkeu!$F$6:$F$1005,SMALL(IF(checklistPesertaKemenkeu!$AY$6:$AY$1005="Direkomendasikan",ROW($6:$1005)-5),635)),"")</f>
        <v/>
      </c>
      <c r="D636" t="str">
        <f t="array" ref="D636">IFERROR(INDEX(checklistPesertaKemenkeu!$G$6:$G$1005,SMALL(IF(checklistPesertaKemenkeu!$AY$6:$AY$1005="Direkomendasikan",ROW($6:$1005)-5),635)),"")</f>
        <v/>
      </c>
      <c r="E636" t="str">
        <f t="array" ref="E636">IFERROR(INDEX(checklistPesertaKemenkeu!$H$6:$H$1005,SMALL(IF(checklistPesertaKemenkeu!$AY$6:$AY$1005="Direkomendasikan",ROW($6:$1005)-5),635)),"")</f>
        <v/>
      </c>
      <c r="F636" t="str">
        <f t="array" ref="F636">IFERROR(INDEX(checklistPesertaKemenkeu!$I$6:$I$1005,SMALL(IF(checklistPesertaKemenkeu!$AY$6:$AY$1005="Direkomendasikan",ROW($6:$1005)-5),635)),"")</f>
        <v/>
      </c>
      <c r="G636" t="str">
        <f t="array" ref="G636">IFERROR(INDEX(checklistPesertaKemenkeu!$J$6:$J$1005,SMALL(IF(checklistPesertaKemenkeu!$AY$6:$AY$1005="Direkomendasikan",ROW($6:$1005)-5),635)),"")</f>
        <v/>
      </c>
      <c r="H636" t="str">
        <f t="array" aca="1" ref="H636" ca="1">IFERROR(IF(OR(INDEX(checklistPesertaKemenkeu!$L$6:$L$1005,SMALL(IF(checklistPesertaKemenkeu!$AY$6:$AY$1005="Direkomendasikan",ROW($6:$1005)-5),635))="",INDEX(checklistPesertaKemenkeu!$J$6:$J$1005,SMALL(IF(checklistPesertaKemenkeu!$AY$6:$AY$1005="Direkomendasikan",ROW($6:$1005)-5),635))=""),"",IF(AND(COUNTIF(INDIRECT("K_"&amp;MATCH(INDEX(checklistPesertaKemenkeu!$J$6:$J$1005,SMALL(IF(checklistPesertaKemenkeu!$AY$6:$AY$1005="Direkomendasikan",ROW($6:$1005)-5),635)),BidangList,0)),INDEX(checklistPesertaKemenkeu!$L$6:$L$1005,SMALL(IF(checklistPesertaKemenkeu!$AY$6:$AY$1005="Direkomendasikan",ROW($6:$1005)-5),635)))&gt;0,COUNTIF(INDIRECT("'KERTAS KERJA'!K"&amp;(SMALL(IF(checklistPesertaKemenkeu!$AY$6:$AY$1005="Direkomendasikan",ROW($6:$1005)-5),635)+5)&amp;":O"&amp;(SMALL(IF(checklistPesertaKemenkeu!$AY$6:$AY$1005="Direkomendasikan",ROW($6:$1005)-5),635)+5)),INDEX(checklistPesertaKemenkeu!$L$6:$L$1005,SMALL(IF(checklistPesertaKemenkeu!$AY$6:$AY$1005="Direkomendasikan",ROW($6:$1005)-5),635)))=1),IFERROR(VLOOKUP(INDEX(checklistPesertaKemenkeu!$L$6:$L$1005,SMALL(IF(checklistPesertaKemenkeu!$AY$6:$AY$1005="Direkomendasikan",ROW($6:$1005)-5),635)),KotaKode,2,0),"-"),"")),"")</f>
        <v/>
      </c>
      <c r="I636" t="str">
        <f t="array" aca="1" ref="I636" ca="1">IFERROR(IF(OR(INDEX(checklistPesertaKemenkeu!$M$6:$M$1005,SMALL(IF(checklistPesertaKemenkeu!$AY$6:$AY$1005="Direkomendasikan",ROW($6:$1005)-5),635))="",INDEX(checklistPesertaKemenkeu!$J$6:$J$1005,SMALL(IF(checklistPesertaKemenkeu!$AY$6:$AY$1005="Direkomendasikan",ROW($6:$1005)-5),635))=""),"",IF(AND(COUNTIF(INDIRECT("K_"&amp;MATCH(INDEX(checklistPesertaKemenkeu!$J$6:$J$1005,SMALL(IF(checklistPesertaKemenkeu!$AY$6:$AY$1005="Direkomendasikan",ROW($6:$1005)-5),635)),BidangList,0)),INDEX(checklistPesertaKemenkeu!$M$6:$M$1005,SMALL(IF(checklistPesertaKemenkeu!$AY$6:$AY$1005="Direkomendasikan",ROW($6:$1005)-5),635)))&gt;0,COUNTIF(INDIRECT("'KERTAS KERJA'!K"&amp;(SMALL(IF(checklistPesertaKemenkeu!$AY$6:$AY$1005="Direkomendasikan",ROW($6:$1005)-5),635)+5)&amp;":O"&amp;(SMALL(IF(checklistPesertaKemenkeu!$AY$6:$AY$1005="Direkomendasikan",ROW($6:$1005)-5),635)+5)),INDEX(checklistPesertaKemenkeu!$M$6:$M$1005,SMALL(IF(checklistPesertaKemenkeu!$AY$6:$AY$1005="Direkomendasikan",ROW($6:$1005)-5),635)))=1),IFERROR(VLOOKUP(INDEX(checklistPesertaKemenkeu!$M$6:$M$1005,SMALL(IF(checklistPesertaKemenkeu!$AY$6:$AY$1005="Direkomendasikan",ROW($6:$1005)-5),635)),KotaKode,2,0),"-"),"")),"")</f>
        <v/>
      </c>
      <c r="J636" t="str">
        <f t="array" aca="1" ref="J636" ca="1">IFERROR(IF(OR(INDEX(checklistPesertaKemenkeu!$N$6:$N$1005,SMALL(IF(checklistPesertaKemenkeu!$AY$6:$AY$1005="Direkomendasikan",ROW($6:$1005)-5),635))="",INDEX(checklistPesertaKemenkeu!$J$6:$J$1005,SMALL(IF(checklistPesertaKemenkeu!$AY$6:$AY$1005="Direkomendasikan",ROW($6:$1005)-5),635))=""),"",IF(AND(COUNTIF(INDIRECT("K_"&amp;MATCH(INDEX(checklistPesertaKemenkeu!$J$6:$J$1005,SMALL(IF(checklistPesertaKemenkeu!$AY$6:$AY$1005="Direkomendasikan",ROW($6:$1005)-5),635)),BidangList,0)),INDEX(checklistPesertaKemenkeu!$N$6:$N$1005,SMALL(IF(checklistPesertaKemenkeu!$AY$6:$AY$1005="Direkomendasikan",ROW($6:$1005)-5),635)))&gt;0,COUNTIF(INDIRECT("'KERTAS KERJA'!K"&amp;(SMALL(IF(checklistPesertaKemenkeu!$AY$6:$AY$1005="Direkomendasikan",ROW($6:$1005)-5),635)+5)&amp;":O"&amp;(SMALL(IF(checklistPesertaKemenkeu!$AY$6:$AY$1005="Direkomendasikan",ROW($6:$1005)-5),635)+5)),INDEX(checklistPesertaKemenkeu!$N$6:$N$1005,SMALL(IF(checklistPesertaKemenkeu!$AY$6:$AY$1005="Direkomendasikan",ROW($6:$1005)-5),635)))=1),IFERROR(VLOOKUP(INDEX(checklistPesertaKemenkeu!$N$6:$N$1005,SMALL(IF(checklistPesertaKemenkeu!$AY$6:$AY$1005="Direkomendasikan",ROW($6:$1005)-5),635)),KotaKode,2,0),"-"),"")),"")</f>
        <v/>
      </c>
      <c r="K636" t="str">
        <f t="array" aca="1" ref="K636" ca="1">IFERROR(IF(OR(INDEX(checklistPesertaKemenkeu!$O$6:$O$1005,SMALL(IF(checklistPesertaKemenkeu!$AY$6:$AY$1005="Direkomendasikan",ROW($6:$1005)-5),635))="",INDEX(checklistPesertaKemenkeu!$J$6:$J$1005,SMALL(IF(checklistPesertaKemenkeu!$AY$6:$AY$1005="Direkomendasikan",ROW($6:$1005)-5),635))=""),"",IF(AND(COUNTIF(INDIRECT("K_"&amp;MATCH(INDEX(checklistPesertaKemenkeu!$J$6:$J$1005,SMALL(IF(checklistPesertaKemenkeu!$AY$6:$AY$1005="Direkomendasikan",ROW($6:$1005)-5),635)),BidangList,0)),INDEX(checklistPesertaKemenkeu!$O$6:$O$1005,SMALL(IF(checklistPesertaKemenkeu!$AY$6:$AY$1005="Direkomendasikan",ROW($6:$1005)-5),635)))&gt;0,COUNTIF(INDIRECT("'KERTAS KERJA'!K"&amp;(SMALL(IF(checklistPesertaKemenkeu!$AY$6:$AY$1005="Direkomendasikan",ROW($6:$1005)-5),635)+5)&amp;":O"&amp;(SMALL(IF(checklistPesertaKemenkeu!$AY$6:$AY$1005="Direkomendasikan",ROW($6:$1005)-5),635)+5)),INDEX(checklistPesertaKemenkeu!$O$6:$O$1005,SMALL(IF(checklistPesertaKemenkeu!$AY$6:$AY$1005="Direkomendasikan",ROW($6:$1005)-5),635)))=1),IFERROR(VLOOKUP(INDEX(checklistPesertaKemenkeu!$O$6:$O$1005,SMALL(IF(checklistPesertaKemenkeu!$AY$6:$AY$1005="Direkomendasikan",ROW($6:$1005)-5),635)),KotaKode,2,0),"-"),"")),"")</f>
        <v/>
      </c>
      <c r="L636" t="str">
        <f t="array" aca="1" ref="L636" ca="1">IFERROR(IF(OR(INDEX(checklistPesertaKemenkeu!$P$6:$P$1005,SMALL(IF(checklistPesertaKemenkeu!$AY$6:$AY$1005="Direkomendasikan",ROW($6:$1005)-5),635))="",INDEX(checklistPesertaKemenkeu!$J$6:$J$1005,SMALL(IF(checklistPesertaKemenkeu!$AY$6:$AY$1005="Direkomendasikan",ROW($6:$1005)-5),635))=""),"",IF(AND(COUNTIF(INDIRECT("K_"&amp;MATCH(INDEX(checklistPesertaKemenkeu!$J$6:$J$1005,SMALL(IF(checklistPesertaKemenkeu!$AY$6:$AY$1005="Direkomendasikan",ROW($6:$1005)-5),635)),BidangList,0)),INDEX(checklistPesertaKemenkeu!$P$6:$P$1005,SMALL(IF(checklistPesertaKemenkeu!$AY$6:$AY$1005="Direkomendasikan",ROW($6:$1005)-5),635)))&gt;0,COUNTIF(INDIRECT("'KERTAS KERJA'!K"&amp;(SMALL(IF(checklistPesertaKemenkeu!$AY$6:$AY$1005="Direkomendasikan",ROW($6:$1005)-5),635)+5)&amp;":O"&amp;(SMALL(IF(checklistPesertaKemenkeu!$AY$6:$AY$1005="Direkomendasikan",ROW($6:$1005)-5),635)+5)),INDEX(checklistPesertaKemenkeu!$P$6:$P$1005,SMALL(IF(checklistPesertaKemenkeu!$AY$6:$AY$1005="Direkomendasikan",ROW($6:$1005)-5),635)))=1),IFERROR(VLOOKUP(INDEX(checklistPesertaKemenkeu!$P$6:$P$1005,SMALL(IF(checklistPesertaKemenkeu!$AY$6:$AY$1005="Direkomendasikan",ROW($6:$1005)-5),635)),KotaKode,2,0),"-"),"")),"")</f>
        <v/>
      </c>
    </row>
    <row r="637" spans="1:12" ht="15" customHeight="1" x14ac:dyDescent="0.2">
      <c r="A637" t="str">
        <f t="shared" si="9"/>
        <v/>
      </c>
      <c r="B637" t="str">
        <v/>
      </c>
      <c r="C637" s="40" t="str">
        <f t="array" ref="C637">IFERROR(INDEX(checklistPesertaKemenkeu!$F$6:$F$1005,SMALL(IF(checklistPesertaKemenkeu!$AY$6:$AY$1005="Direkomendasikan",ROW($6:$1005)-5),636)),"")</f>
        <v/>
      </c>
      <c r="D637" t="str">
        <f t="array" ref="D637">IFERROR(INDEX(checklistPesertaKemenkeu!$G$6:$G$1005,SMALL(IF(checklistPesertaKemenkeu!$AY$6:$AY$1005="Direkomendasikan",ROW($6:$1005)-5),636)),"")</f>
        <v/>
      </c>
      <c r="E637" t="str">
        <f t="array" ref="E637">IFERROR(INDEX(checklistPesertaKemenkeu!$H$6:$H$1005,SMALL(IF(checklistPesertaKemenkeu!$AY$6:$AY$1005="Direkomendasikan",ROW($6:$1005)-5),636)),"")</f>
        <v/>
      </c>
      <c r="F637" t="str">
        <f t="array" ref="F637">IFERROR(INDEX(checklistPesertaKemenkeu!$I$6:$I$1005,SMALL(IF(checklistPesertaKemenkeu!$AY$6:$AY$1005="Direkomendasikan",ROW($6:$1005)-5),636)),"")</f>
        <v/>
      </c>
      <c r="G637" t="str">
        <f t="array" ref="G637">IFERROR(INDEX(checklistPesertaKemenkeu!$J$6:$J$1005,SMALL(IF(checklistPesertaKemenkeu!$AY$6:$AY$1005="Direkomendasikan",ROW($6:$1005)-5),636)),"")</f>
        <v/>
      </c>
      <c r="H637" t="str">
        <f t="array" aca="1" ref="H637" ca="1">IFERROR(IF(OR(INDEX(checklistPesertaKemenkeu!$L$6:$L$1005,SMALL(IF(checklistPesertaKemenkeu!$AY$6:$AY$1005="Direkomendasikan",ROW($6:$1005)-5),636))="",INDEX(checklistPesertaKemenkeu!$J$6:$J$1005,SMALL(IF(checklistPesertaKemenkeu!$AY$6:$AY$1005="Direkomendasikan",ROW($6:$1005)-5),636))=""),"",IF(AND(COUNTIF(INDIRECT("K_"&amp;MATCH(INDEX(checklistPesertaKemenkeu!$J$6:$J$1005,SMALL(IF(checklistPesertaKemenkeu!$AY$6:$AY$1005="Direkomendasikan",ROW($6:$1005)-5),636)),BidangList,0)),INDEX(checklistPesertaKemenkeu!$L$6:$L$1005,SMALL(IF(checklistPesertaKemenkeu!$AY$6:$AY$1005="Direkomendasikan",ROW($6:$1005)-5),636)))&gt;0,COUNTIF(INDIRECT("'KERTAS KERJA'!K"&amp;(SMALL(IF(checklistPesertaKemenkeu!$AY$6:$AY$1005="Direkomendasikan",ROW($6:$1005)-5),636)+5)&amp;":O"&amp;(SMALL(IF(checklistPesertaKemenkeu!$AY$6:$AY$1005="Direkomendasikan",ROW($6:$1005)-5),636)+5)),INDEX(checklistPesertaKemenkeu!$L$6:$L$1005,SMALL(IF(checklistPesertaKemenkeu!$AY$6:$AY$1005="Direkomendasikan",ROW($6:$1005)-5),636)))=1),IFERROR(VLOOKUP(INDEX(checklistPesertaKemenkeu!$L$6:$L$1005,SMALL(IF(checklistPesertaKemenkeu!$AY$6:$AY$1005="Direkomendasikan",ROW($6:$1005)-5),636)),KotaKode,2,0),"-"),"")),"")</f>
        <v/>
      </c>
      <c r="I637" t="str">
        <f t="array" aca="1" ref="I637" ca="1">IFERROR(IF(OR(INDEX(checklistPesertaKemenkeu!$M$6:$M$1005,SMALL(IF(checklistPesertaKemenkeu!$AY$6:$AY$1005="Direkomendasikan",ROW($6:$1005)-5),636))="",INDEX(checklistPesertaKemenkeu!$J$6:$J$1005,SMALL(IF(checklistPesertaKemenkeu!$AY$6:$AY$1005="Direkomendasikan",ROW($6:$1005)-5),636))=""),"",IF(AND(COUNTIF(INDIRECT("K_"&amp;MATCH(INDEX(checklistPesertaKemenkeu!$J$6:$J$1005,SMALL(IF(checklistPesertaKemenkeu!$AY$6:$AY$1005="Direkomendasikan",ROW($6:$1005)-5),636)),BidangList,0)),INDEX(checklistPesertaKemenkeu!$M$6:$M$1005,SMALL(IF(checklistPesertaKemenkeu!$AY$6:$AY$1005="Direkomendasikan",ROW($6:$1005)-5),636)))&gt;0,COUNTIF(INDIRECT("'KERTAS KERJA'!K"&amp;(SMALL(IF(checklistPesertaKemenkeu!$AY$6:$AY$1005="Direkomendasikan",ROW($6:$1005)-5),636)+5)&amp;":O"&amp;(SMALL(IF(checklistPesertaKemenkeu!$AY$6:$AY$1005="Direkomendasikan",ROW($6:$1005)-5),636)+5)),INDEX(checklistPesertaKemenkeu!$M$6:$M$1005,SMALL(IF(checklistPesertaKemenkeu!$AY$6:$AY$1005="Direkomendasikan",ROW($6:$1005)-5),636)))=1),IFERROR(VLOOKUP(INDEX(checklistPesertaKemenkeu!$M$6:$M$1005,SMALL(IF(checklistPesertaKemenkeu!$AY$6:$AY$1005="Direkomendasikan",ROW($6:$1005)-5),636)),KotaKode,2,0),"-"),"")),"")</f>
        <v/>
      </c>
      <c r="J637" t="str">
        <f t="array" aca="1" ref="J637" ca="1">IFERROR(IF(OR(INDEX(checklistPesertaKemenkeu!$N$6:$N$1005,SMALL(IF(checklistPesertaKemenkeu!$AY$6:$AY$1005="Direkomendasikan",ROW($6:$1005)-5),636))="",INDEX(checklistPesertaKemenkeu!$J$6:$J$1005,SMALL(IF(checklistPesertaKemenkeu!$AY$6:$AY$1005="Direkomendasikan",ROW($6:$1005)-5),636))=""),"",IF(AND(COUNTIF(INDIRECT("K_"&amp;MATCH(INDEX(checklistPesertaKemenkeu!$J$6:$J$1005,SMALL(IF(checklistPesertaKemenkeu!$AY$6:$AY$1005="Direkomendasikan",ROW($6:$1005)-5),636)),BidangList,0)),INDEX(checklistPesertaKemenkeu!$N$6:$N$1005,SMALL(IF(checklistPesertaKemenkeu!$AY$6:$AY$1005="Direkomendasikan",ROW($6:$1005)-5),636)))&gt;0,COUNTIF(INDIRECT("'KERTAS KERJA'!K"&amp;(SMALL(IF(checklistPesertaKemenkeu!$AY$6:$AY$1005="Direkomendasikan",ROW($6:$1005)-5),636)+5)&amp;":O"&amp;(SMALL(IF(checklistPesertaKemenkeu!$AY$6:$AY$1005="Direkomendasikan",ROW($6:$1005)-5),636)+5)),INDEX(checklistPesertaKemenkeu!$N$6:$N$1005,SMALL(IF(checklistPesertaKemenkeu!$AY$6:$AY$1005="Direkomendasikan",ROW($6:$1005)-5),636)))=1),IFERROR(VLOOKUP(INDEX(checklistPesertaKemenkeu!$N$6:$N$1005,SMALL(IF(checklistPesertaKemenkeu!$AY$6:$AY$1005="Direkomendasikan",ROW($6:$1005)-5),636)),KotaKode,2,0),"-"),"")),"")</f>
        <v/>
      </c>
      <c r="K637" t="str">
        <f t="array" aca="1" ref="K637" ca="1">IFERROR(IF(OR(INDEX(checklistPesertaKemenkeu!$O$6:$O$1005,SMALL(IF(checklistPesertaKemenkeu!$AY$6:$AY$1005="Direkomendasikan",ROW($6:$1005)-5),636))="",INDEX(checklistPesertaKemenkeu!$J$6:$J$1005,SMALL(IF(checklistPesertaKemenkeu!$AY$6:$AY$1005="Direkomendasikan",ROW($6:$1005)-5),636))=""),"",IF(AND(COUNTIF(INDIRECT("K_"&amp;MATCH(INDEX(checklistPesertaKemenkeu!$J$6:$J$1005,SMALL(IF(checklistPesertaKemenkeu!$AY$6:$AY$1005="Direkomendasikan",ROW($6:$1005)-5),636)),BidangList,0)),INDEX(checklistPesertaKemenkeu!$O$6:$O$1005,SMALL(IF(checklistPesertaKemenkeu!$AY$6:$AY$1005="Direkomendasikan",ROW($6:$1005)-5),636)))&gt;0,COUNTIF(INDIRECT("'KERTAS KERJA'!K"&amp;(SMALL(IF(checklistPesertaKemenkeu!$AY$6:$AY$1005="Direkomendasikan",ROW($6:$1005)-5),636)+5)&amp;":O"&amp;(SMALL(IF(checklistPesertaKemenkeu!$AY$6:$AY$1005="Direkomendasikan",ROW($6:$1005)-5),636)+5)),INDEX(checklistPesertaKemenkeu!$O$6:$O$1005,SMALL(IF(checklistPesertaKemenkeu!$AY$6:$AY$1005="Direkomendasikan",ROW($6:$1005)-5),636)))=1),IFERROR(VLOOKUP(INDEX(checklistPesertaKemenkeu!$O$6:$O$1005,SMALL(IF(checklistPesertaKemenkeu!$AY$6:$AY$1005="Direkomendasikan",ROW($6:$1005)-5),636)),KotaKode,2,0),"-"),"")),"")</f>
        <v/>
      </c>
      <c r="L637" t="str">
        <f t="array" aca="1" ref="L637" ca="1">IFERROR(IF(OR(INDEX(checklistPesertaKemenkeu!$P$6:$P$1005,SMALL(IF(checklistPesertaKemenkeu!$AY$6:$AY$1005="Direkomendasikan",ROW($6:$1005)-5),636))="",INDEX(checklistPesertaKemenkeu!$J$6:$J$1005,SMALL(IF(checklistPesertaKemenkeu!$AY$6:$AY$1005="Direkomendasikan",ROW($6:$1005)-5),636))=""),"",IF(AND(COUNTIF(INDIRECT("K_"&amp;MATCH(INDEX(checklistPesertaKemenkeu!$J$6:$J$1005,SMALL(IF(checklistPesertaKemenkeu!$AY$6:$AY$1005="Direkomendasikan",ROW($6:$1005)-5),636)),BidangList,0)),INDEX(checklistPesertaKemenkeu!$P$6:$P$1005,SMALL(IF(checklistPesertaKemenkeu!$AY$6:$AY$1005="Direkomendasikan",ROW($6:$1005)-5),636)))&gt;0,COUNTIF(INDIRECT("'KERTAS KERJA'!K"&amp;(SMALL(IF(checklistPesertaKemenkeu!$AY$6:$AY$1005="Direkomendasikan",ROW($6:$1005)-5),636)+5)&amp;":O"&amp;(SMALL(IF(checklistPesertaKemenkeu!$AY$6:$AY$1005="Direkomendasikan",ROW($6:$1005)-5),636)+5)),INDEX(checklistPesertaKemenkeu!$P$6:$P$1005,SMALL(IF(checklistPesertaKemenkeu!$AY$6:$AY$1005="Direkomendasikan",ROW($6:$1005)-5),636)))=1),IFERROR(VLOOKUP(INDEX(checklistPesertaKemenkeu!$P$6:$P$1005,SMALL(IF(checklistPesertaKemenkeu!$AY$6:$AY$1005="Direkomendasikan",ROW($6:$1005)-5),636)),KotaKode,2,0),"-"),"")),"")</f>
        <v/>
      </c>
    </row>
    <row r="638" spans="1:12" ht="15" customHeight="1" x14ac:dyDescent="0.2">
      <c r="A638" t="str">
        <f t="shared" si="9"/>
        <v/>
      </c>
      <c r="B638" t="str">
        <v/>
      </c>
      <c r="C638" s="40" t="str">
        <f t="array" ref="C638">IFERROR(INDEX(checklistPesertaKemenkeu!$F$6:$F$1005,SMALL(IF(checklistPesertaKemenkeu!$AY$6:$AY$1005="Direkomendasikan",ROW($6:$1005)-5),637)),"")</f>
        <v/>
      </c>
      <c r="D638" t="str">
        <f t="array" ref="D638">IFERROR(INDEX(checklistPesertaKemenkeu!$G$6:$G$1005,SMALL(IF(checklistPesertaKemenkeu!$AY$6:$AY$1005="Direkomendasikan",ROW($6:$1005)-5),637)),"")</f>
        <v/>
      </c>
      <c r="E638" t="str">
        <f t="array" ref="E638">IFERROR(INDEX(checklistPesertaKemenkeu!$H$6:$H$1005,SMALL(IF(checklistPesertaKemenkeu!$AY$6:$AY$1005="Direkomendasikan",ROW($6:$1005)-5),637)),"")</f>
        <v/>
      </c>
      <c r="F638" t="str">
        <f t="array" ref="F638">IFERROR(INDEX(checklistPesertaKemenkeu!$I$6:$I$1005,SMALL(IF(checklistPesertaKemenkeu!$AY$6:$AY$1005="Direkomendasikan",ROW($6:$1005)-5),637)),"")</f>
        <v/>
      </c>
      <c r="G638" t="str">
        <f t="array" ref="G638">IFERROR(INDEX(checklistPesertaKemenkeu!$J$6:$J$1005,SMALL(IF(checklistPesertaKemenkeu!$AY$6:$AY$1005="Direkomendasikan",ROW($6:$1005)-5),637)),"")</f>
        <v/>
      </c>
      <c r="H638" t="str">
        <f t="array" aca="1" ref="H638" ca="1">IFERROR(IF(OR(INDEX(checklistPesertaKemenkeu!$L$6:$L$1005,SMALL(IF(checklistPesertaKemenkeu!$AY$6:$AY$1005="Direkomendasikan",ROW($6:$1005)-5),637))="",INDEX(checklistPesertaKemenkeu!$J$6:$J$1005,SMALL(IF(checklistPesertaKemenkeu!$AY$6:$AY$1005="Direkomendasikan",ROW($6:$1005)-5),637))=""),"",IF(AND(COUNTIF(INDIRECT("K_"&amp;MATCH(INDEX(checklistPesertaKemenkeu!$J$6:$J$1005,SMALL(IF(checklistPesertaKemenkeu!$AY$6:$AY$1005="Direkomendasikan",ROW($6:$1005)-5),637)),BidangList,0)),INDEX(checklistPesertaKemenkeu!$L$6:$L$1005,SMALL(IF(checklistPesertaKemenkeu!$AY$6:$AY$1005="Direkomendasikan",ROW($6:$1005)-5),637)))&gt;0,COUNTIF(INDIRECT("'KERTAS KERJA'!K"&amp;(SMALL(IF(checklistPesertaKemenkeu!$AY$6:$AY$1005="Direkomendasikan",ROW($6:$1005)-5),637)+5)&amp;":O"&amp;(SMALL(IF(checklistPesertaKemenkeu!$AY$6:$AY$1005="Direkomendasikan",ROW($6:$1005)-5),637)+5)),INDEX(checklistPesertaKemenkeu!$L$6:$L$1005,SMALL(IF(checklistPesertaKemenkeu!$AY$6:$AY$1005="Direkomendasikan",ROW($6:$1005)-5),637)))=1),IFERROR(VLOOKUP(INDEX(checklistPesertaKemenkeu!$L$6:$L$1005,SMALL(IF(checklistPesertaKemenkeu!$AY$6:$AY$1005="Direkomendasikan",ROW($6:$1005)-5),637)),KotaKode,2,0),"-"),"")),"")</f>
        <v/>
      </c>
      <c r="I638" t="str">
        <f t="array" aca="1" ref="I638" ca="1">IFERROR(IF(OR(INDEX(checklistPesertaKemenkeu!$M$6:$M$1005,SMALL(IF(checklistPesertaKemenkeu!$AY$6:$AY$1005="Direkomendasikan",ROW($6:$1005)-5),637))="",INDEX(checklistPesertaKemenkeu!$J$6:$J$1005,SMALL(IF(checklistPesertaKemenkeu!$AY$6:$AY$1005="Direkomendasikan",ROW($6:$1005)-5),637))=""),"",IF(AND(COUNTIF(INDIRECT("K_"&amp;MATCH(INDEX(checklistPesertaKemenkeu!$J$6:$J$1005,SMALL(IF(checklistPesertaKemenkeu!$AY$6:$AY$1005="Direkomendasikan",ROW($6:$1005)-5),637)),BidangList,0)),INDEX(checklistPesertaKemenkeu!$M$6:$M$1005,SMALL(IF(checklistPesertaKemenkeu!$AY$6:$AY$1005="Direkomendasikan",ROW($6:$1005)-5),637)))&gt;0,COUNTIF(INDIRECT("'KERTAS KERJA'!K"&amp;(SMALL(IF(checklistPesertaKemenkeu!$AY$6:$AY$1005="Direkomendasikan",ROW($6:$1005)-5),637)+5)&amp;":O"&amp;(SMALL(IF(checklistPesertaKemenkeu!$AY$6:$AY$1005="Direkomendasikan",ROW($6:$1005)-5),637)+5)),INDEX(checklistPesertaKemenkeu!$M$6:$M$1005,SMALL(IF(checklistPesertaKemenkeu!$AY$6:$AY$1005="Direkomendasikan",ROW($6:$1005)-5),637)))=1),IFERROR(VLOOKUP(INDEX(checklistPesertaKemenkeu!$M$6:$M$1005,SMALL(IF(checklistPesertaKemenkeu!$AY$6:$AY$1005="Direkomendasikan",ROW($6:$1005)-5),637)),KotaKode,2,0),"-"),"")),"")</f>
        <v/>
      </c>
      <c r="J638" t="str">
        <f t="array" aca="1" ref="J638" ca="1">IFERROR(IF(OR(INDEX(checklistPesertaKemenkeu!$N$6:$N$1005,SMALL(IF(checklistPesertaKemenkeu!$AY$6:$AY$1005="Direkomendasikan",ROW($6:$1005)-5),637))="",INDEX(checklistPesertaKemenkeu!$J$6:$J$1005,SMALL(IF(checklistPesertaKemenkeu!$AY$6:$AY$1005="Direkomendasikan",ROW($6:$1005)-5),637))=""),"",IF(AND(COUNTIF(INDIRECT("K_"&amp;MATCH(INDEX(checklistPesertaKemenkeu!$J$6:$J$1005,SMALL(IF(checklistPesertaKemenkeu!$AY$6:$AY$1005="Direkomendasikan",ROW($6:$1005)-5),637)),BidangList,0)),INDEX(checklistPesertaKemenkeu!$N$6:$N$1005,SMALL(IF(checklistPesertaKemenkeu!$AY$6:$AY$1005="Direkomendasikan",ROW($6:$1005)-5),637)))&gt;0,COUNTIF(INDIRECT("'KERTAS KERJA'!K"&amp;(SMALL(IF(checklistPesertaKemenkeu!$AY$6:$AY$1005="Direkomendasikan",ROW($6:$1005)-5),637)+5)&amp;":O"&amp;(SMALL(IF(checklistPesertaKemenkeu!$AY$6:$AY$1005="Direkomendasikan",ROW($6:$1005)-5),637)+5)),INDEX(checklistPesertaKemenkeu!$N$6:$N$1005,SMALL(IF(checklistPesertaKemenkeu!$AY$6:$AY$1005="Direkomendasikan",ROW($6:$1005)-5),637)))=1),IFERROR(VLOOKUP(INDEX(checklistPesertaKemenkeu!$N$6:$N$1005,SMALL(IF(checklistPesertaKemenkeu!$AY$6:$AY$1005="Direkomendasikan",ROW($6:$1005)-5),637)),KotaKode,2,0),"-"),"")),"")</f>
        <v/>
      </c>
      <c r="K638" t="str">
        <f t="array" aca="1" ref="K638" ca="1">IFERROR(IF(OR(INDEX(checklistPesertaKemenkeu!$O$6:$O$1005,SMALL(IF(checklistPesertaKemenkeu!$AY$6:$AY$1005="Direkomendasikan",ROW($6:$1005)-5),637))="",INDEX(checklistPesertaKemenkeu!$J$6:$J$1005,SMALL(IF(checklistPesertaKemenkeu!$AY$6:$AY$1005="Direkomendasikan",ROW($6:$1005)-5),637))=""),"",IF(AND(COUNTIF(INDIRECT("K_"&amp;MATCH(INDEX(checklistPesertaKemenkeu!$J$6:$J$1005,SMALL(IF(checklistPesertaKemenkeu!$AY$6:$AY$1005="Direkomendasikan",ROW($6:$1005)-5),637)),BidangList,0)),INDEX(checklistPesertaKemenkeu!$O$6:$O$1005,SMALL(IF(checklistPesertaKemenkeu!$AY$6:$AY$1005="Direkomendasikan",ROW($6:$1005)-5),637)))&gt;0,COUNTIF(INDIRECT("'KERTAS KERJA'!K"&amp;(SMALL(IF(checklistPesertaKemenkeu!$AY$6:$AY$1005="Direkomendasikan",ROW($6:$1005)-5),637)+5)&amp;":O"&amp;(SMALL(IF(checklistPesertaKemenkeu!$AY$6:$AY$1005="Direkomendasikan",ROW($6:$1005)-5),637)+5)),INDEX(checklistPesertaKemenkeu!$O$6:$O$1005,SMALL(IF(checklistPesertaKemenkeu!$AY$6:$AY$1005="Direkomendasikan",ROW($6:$1005)-5),637)))=1),IFERROR(VLOOKUP(INDEX(checklistPesertaKemenkeu!$O$6:$O$1005,SMALL(IF(checklistPesertaKemenkeu!$AY$6:$AY$1005="Direkomendasikan",ROW($6:$1005)-5),637)),KotaKode,2,0),"-"),"")),"")</f>
        <v/>
      </c>
      <c r="L638" t="str">
        <f t="array" aca="1" ref="L638" ca="1">IFERROR(IF(OR(INDEX(checklistPesertaKemenkeu!$P$6:$P$1005,SMALL(IF(checklistPesertaKemenkeu!$AY$6:$AY$1005="Direkomendasikan",ROW($6:$1005)-5),637))="",INDEX(checklistPesertaKemenkeu!$J$6:$J$1005,SMALL(IF(checklistPesertaKemenkeu!$AY$6:$AY$1005="Direkomendasikan",ROW($6:$1005)-5),637))=""),"",IF(AND(COUNTIF(INDIRECT("K_"&amp;MATCH(INDEX(checklistPesertaKemenkeu!$J$6:$J$1005,SMALL(IF(checklistPesertaKemenkeu!$AY$6:$AY$1005="Direkomendasikan",ROW($6:$1005)-5),637)),BidangList,0)),INDEX(checklistPesertaKemenkeu!$P$6:$P$1005,SMALL(IF(checklistPesertaKemenkeu!$AY$6:$AY$1005="Direkomendasikan",ROW($6:$1005)-5),637)))&gt;0,COUNTIF(INDIRECT("'KERTAS KERJA'!K"&amp;(SMALL(IF(checklistPesertaKemenkeu!$AY$6:$AY$1005="Direkomendasikan",ROW($6:$1005)-5),637)+5)&amp;":O"&amp;(SMALL(IF(checklistPesertaKemenkeu!$AY$6:$AY$1005="Direkomendasikan",ROW($6:$1005)-5),637)+5)),INDEX(checklistPesertaKemenkeu!$P$6:$P$1005,SMALL(IF(checklistPesertaKemenkeu!$AY$6:$AY$1005="Direkomendasikan",ROW($6:$1005)-5),637)))=1),IFERROR(VLOOKUP(INDEX(checklistPesertaKemenkeu!$P$6:$P$1005,SMALL(IF(checklistPesertaKemenkeu!$AY$6:$AY$1005="Direkomendasikan",ROW($6:$1005)-5),637)),KotaKode,2,0),"-"),"")),"")</f>
        <v/>
      </c>
    </row>
    <row r="639" spans="1:12" ht="15" customHeight="1" x14ac:dyDescent="0.2">
      <c r="A639" t="str">
        <f t="shared" si="9"/>
        <v/>
      </c>
      <c r="B639" t="str">
        <v/>
      </c>
      <c r="C639" s="40" t="str">
        <f t="array" ref="C639">IFERROR(INDEX(checklistPesertaKemenkeu!$F$6:$F$1005,SMALL(IF(checklistPesertaKemenkeu!$AY$6:$AY$1005="Direkomendasikan",ROW($6:$1005)-5),638)),"")</f>
        <v/>
      </c>
      <c r="D639" t="str">
        <f t="array" ref="D639">IFERROR(INDEX(checklistPesertaKemenkeu!$G$6:$G$1005,SMALL(IF(checklistPesertaKemenkeu!$AY$6:$AY$1005="Direkomendasikan",ROW($6:$1005)-5),638)),"")</f>
        <v/>
      </c>
      <c r="E639" t="str">
        <f t="array" ref="E639">IFERROR(INDEX(checklistPesertaKemenkeu!$H$6:$H$1005,SMALL(IF(checklistPesertaKemenkeu!$AY$6:$AY$1005="Direkomendasikan",ROW($6:$1005)-5),638)),"")</f>
        <v/>
      </c>
      <c r="F639" t="str">
        <f t="array" ref="F639">IFERROR(INDEX(checklistPesertaKemenkeu!$I$6:$I$1005,SMALL(IF(checklistPesertaKemenkeu!$AY$6:$AY$1005="Direkomendasikan",ROW($6:$1005)-5),638)),"")</f>
        <v/>
      </c>
      <c r="G639" t="str">
        <f t="array" ref="G639">IFERROR(INDEX(checklistPesertaKemenkeu!$J$6:$J$1005,SMALL(IF(checklistPesertaKemenkeu!$AY$6:$AY$1005="Direkomendasikan",ROW($6:$1005)-5),638)),"")</f>
        <v/>
      </c>
      <c r="H639" t="str">
        <f t="array" aca="1" ref="H639" ca="1">IFERROR(IF(OR(INDEX(checklistPesertaKemenkeu!$L$6:$L$1005,SMALL(IF(checklistPesertaKemenkeu!$AY$6:$AY$1005="Direkomendasikan",ROW($6:$1005)-5),638))="",INDEX(checklistPesertaKemenkeu!$J$6:$J$1005,SMALL(IF(checklistPesertaKemenkeu!$AY$6:$AY$1005="Direkomendasikan",ROW($6:$1005)-5),638))=""),"",IF(AND(COUNTIF(INDIRECT("K_"&amp;MATCH(INDEX(checklistPesertaKemenkeu!$J$6:$J$1005,SMALL(IF(checklistPesertaKemenkeu!$AY$6:$AY$1005="Direkomendasikan",ROW($6:$1005)-5),638)),BidangList,0)),INDEX(checklistPesertaKemenkeu!$L$6:$L$1005,SMALL(IF(checklistPesertaKemenkeu!$AY$6:$AY$1005="Direkomendasikan",ROW($6:$1005)-5),638)))&gt;0,COUNTIF(INDIRECT("'KERTAS KERJA'!K"&amp;(SMALL(IF(checklistPesertaKemenkeu!$AY$6:$AY$1005="Direkomendasikan",ROW($6:$1005)-5),638)+5)&amp;":O"&amp;(SMALL(IF(checklistPesertaKemenkeu!$AY$6:$AY$1005="Direkomendasikan",ROW($6:$1005)-5),638)+5)),INDEX(checklistPesertaKemenkeu!$L$6:$L$1005,SMALL(IF(checklistPesertaKemenkeu!$AY$6:$AY$1005="Direkomendasikan",ROW($6:$1005)-5),638)))=1),IFERROR(VLOOKUP(INDEX(checklistPesertaKemenkeu!$L$6:$L$1005,SMALL(IF(checklistPesertaKemenkeu!$AY$6:$AY$1005="Direkomendasikan",ROW($6:$1005)-5),638)),KotaKode,2,0),"-"),"")),"")</f>
        <v/>
      </c>
      <c r="I639" t="str">
        <f t="array" aca="1" ref="I639" ca="1">IFERROR(IF(OR(INDEX(checklistPesertaKemenkeu!$M$6:$M$1005,SMALL(IF(checklistPesertaKemenkeu!$AY$6:$AY$1005="Direkomendasikan",ROW($6:$1005)-5),638))="",INDEX(checklistPesertaKemenkeu!$J$6:$J$1005,SMALL(IF(checklistPesertaKemenkeu!$AY$6:$AY$1005="Direkomendasikan",ROW($6:$1005)-5),638))=""),"",IF(AND(COUNTIF(INDIRECT("K_"&amp;MATCH(INDEX(checklistPesertaKemenkeu!$J$6:$J$1005,SMALL(IF(checklistPesertaKemenkeu!$AY$6:$AY$1005="Direkomendasikan",ROW($6:$1005)-5),638)),BidangList,0)),INDEX(checklistPesertaKemenkeu!$M$6:$M$1005,SMALL(IF(checklistPesertaKemenkeu!$AY$6:$AY$1005="Direkomendasikan",ROW($6:$1005)-5),638)))&gt;0,COUNTIF(INDIRECT("'KERTAS KERJA'!K"&amp;(SMALL(IF(checklistPesertaKemenkeu!$AY$6:$AY$1005="Direkomendasikan",ROW($6:$1005)-5),638)+5)&amp;":O"&amp;(SMALL(IF(checklistPesertaKemenkeu!$AY$6:$AY$1005="Direkomendasikan",ROW($6:$1005)-5),638)+5)),INDEX(checklistPesertaKemenkeu!$M$6:$M$1005,SMALL(IF(checklistPesertaKemenkeu!$AY$6:$AY$1005="Direkomendasikan",ROW($6:$1005)-5),638)))=1),IFERROR(VLOOKUP(INDEX(checklistPesertaKemenkeu!$M$6:$M$1005,SMALL(IF(checklistPesertaKemenkeu!$AY$6:$AY$1005="Direkomendasikan",ROW($6:$1005)-5),638)),KotaKode,2,0),"-"),"")),"")</f>
        <v/>
      </c>
      <c r="J639" t="str">
        <f t="array" aca="1" ref="J639" ca="1">IFERROR(IF(OR(INDEX(checklistPesertaKemenkeu!$N$6:$N$1005,SMALL(IF(checklistPesertaKemenkeu!$AY$6:$AY$1005="Direkomendasikan",ROW($6:$1005)-5),638))="",INDEX(checklistPesertaKemenkeu!$J$6:$J$1005,SMALL(IF(checklistPesertaKemenkeu!$AY$6:$AY$1005="Direkomendasikan",ROW($6:$1005)-5),638))=""),"",IF(AND(COUNTIF(INDIRECT("K_"&amp;MATCH(INDEX(checklistPesertaKemenkeu!$J$6:$J$1005,SMALL(IF(checklistPesertaKemenkeu!$AY$6:$AY$1005="Direkomendasikan",ROW($6:$1005)-5),638)),BidangList,0)),INDEX(checklistPesertaKemenkeu!$N$6:$N$1005,SMALL(IF(checklistPesertaKemenkeu!$AY$6:$AY$1005="Direkomendasikan",ROW($6:$1005)-5),638)))&gt;0,COUNTIF(INDIRECT("'KERTAS KERJA'!K"&amp;(SMALL(IF(checklistPesertaKemenkeu!$AY$6:$AY$1005="Direkomendasikan",ROW($6:$1005)-5),638)+5)&amp;":O"&amp;(SMALL(IF(checklistPesertaKemenkeu!$AY$6:$AY$1005="Direkomendasikan",ROW($6:$1005)-5),638)+5)),INDEX(checklistPesertaKemenkeu!$N$6:$N$1005,SMALL(IF(checklistPesertaKemenkeu!$AY$6:$AY$1005="Direkomendasikan",ROW($6:$1005)-5),638)))=1),IFERROR(VLOOKUP(INDEX(checklistPesertaKemenkeu!$N$6:$N$1005,SMALL(IF(checklistPesertaKemenkeu!$AY$6:$AY$1005="Direkomendasikan",ROW($6:$1005)-5),638)),KotaKode,2,0),"-"),"")),"")</f>
        <v/>
      </c>
      <c r="K639" t="str">
        <f t="array" aca="1" ref="K639" ca="1">IFERROR(IF(OR(INDEX(checklistPesertaKemenkeu!$O$6:$O$1005,SMALL(IF(checklistPesertaKemenkeu!$AY$6:$AY$1005="Direkomendasikan",ROW($6:$1005)-5),638))="",INDEX(checklistPesertaKemenkeu!$J$6:$J$1005,SMALL(IF(checklistPesertaKemenkeu!$AY$6:$AY$1005="Direkomendasikan",ROW($6:$1005)-5),638))=""),"",IF(AND(COUNTIF(INDIRECT("K_"&amp;MATCH(INDEX(checklistPesertaKemenkeu!$J$6:$J$1005,SMALL(IF(checklistPesertaKemenkeu!$AY$6:$AY$1005="Direkomendasikan",ROW($6:$1005)-5),638)),BidangList,0)),INDEX(checklistPesertaKemenkeu!$O$6:$O$1005,SMALL(IF(checklistPesertaKemenkeu!$AY$6:$AY$1005="Direkomendasikan",ROW($6:$1005)-5),638)))&gt;0,COUNTIF(INDIRECT("'KERTAS KERJA'!K"&amp;(SMALL(IF(checklistPesertaKemenkeu!$AY$6:$AY$1005="Direkomendasikan",ROW($6:$1005)-5),638)+5)&amp;":O"&amp;(SMALL(IF(checklistPesertaKemenkeu!$AY$6:$AY$1005="Direkomendasikan",ROW($6:$1005)-5),638)+5)),INDEX(checklistPesertaKemenkeu!$O$6:$O$1005,SMALL(IF(checklistPesertaKemenkeu!$AY$6:$AY$1005="Direkomendasikan",ROW($6:$1005)-5),638)))=1),IFERROR(VLOOKUP(INDEX(checklistPesertaKemenkeu!$O$6:$O$1005,SMALL(IF(checklistPesertaKemenkeu!$AY$6:$AY$1005="Direkomendasikan",ROW($6:$1005)-5),638)),KotaKode,2,0),"-"),"")),"")</f>
        <v/>
      </c>
      <c r="L639" t="str">
        <f t="array" aca="1" ref="L639" ca="1">IFERROR(IF(OR(INDEX(checklistPesertaKemenkeu!$P$6:$P$1005,SMALL(IF(checklistPesertaKemenkeu!$AY$6:$AY$1005="Direkomendasikan",ROW($6:$1005)-5),638))="",INDEX(checklistPesertaKemenkeu!$J$6:$J$1005,SMALL(IF(checklistPesertaKemenkeu!$AY$6:$AY$1005="Direkomendasikan",ROW($6:$1005)-5),638))=""),"",IF(AND(COUNTIF(INDIRECT("K_"&amp;MATCH(INDEX(checklistPesertaKemenkeu!$J$6:$J$1005,SMALL(IF(checklistPesertaKemenkeu!$AY$6:$AY$1005="Direkomendasikan",ROW($6:$1005)-5),638)),BidangList,0)),INDEX(checklistPesertaKemenkeu!$P$6:$P$1005,SMALL(IF(checklistPesertaKemenkeu!$AY$6:$AY$1005="Direkomendasikan",ROW($6:$1005)-5),638)))&gt;0,COUNTIF(INDIRECT("'KERTAS KERJA'!K"&amp;(SMALL(IF(checklistPesertaKemenkeu!$AY$6:$AY$1005="Direkomendasikan",ROW($6:$1005)-5),638)+5)&amp;":O"&amp;(SMALL(IF(checklistPesertaKemenkeu!$AY$6:$AY$1005="Direkomendasikan",ROW($6:$1005)-5),638)+5)),INDEX(checklistPesertaKemenkeu!$P$6:$P$1005,SMALL(IF(checklistPesertaKemenkeu!$AY$6:$AY$1005="Direkomendasikan",ROW($6:$1005)-5),638)))=1),IFERROR(VLOOKUP(INDEX(checklistPesertaKemenkeu!$P$6:$P$1005,SMALL(IF(checklistPesertaKemenkeu!$AY$6:$AY$1005="Direkomendasikan",ROW($6:$1005)-5),638)),KotaKode,2,0),"-"),"")),"")</f>
        <v/>
      </c>
    </row>
    <row r="640" spans="1:12" ht="15" customHeight="1" x14ac:dyDescent="0.2">
      <c r="A640" t="str">
        <f t="shared" si="9"/>
        <v/>
      </c>
      <c r="B640" t="str">
        <v/>
      </c>
      <c r="C640" s="40" t="str">
        <f t="array" ref="C640">IFERROR(INDEX(checklistPesertaKemenkeu!$F$6:$F$1005,SMALL(IF(checklistPesertaKemenkeu!$AY$6:$AY$1005="Direkomendasikan",ROW($6:$1005)-5),639)),"")</f>
        <v/>
      </c>
      <c r="D640" t="str">
        <f t="array" ref="D640">IFERROR(INDEX(checklistPesertaKemenkeu!$G$6:$G$1005,SMALL(IF(checklistPesertaKemenkeu!$AY$6:$AY$1005="Direkomendasikan",ROW($6:$1005)-5),639)),"")</f>
        <v/>
      </c>
      <c r="E640" t="str">
        <f t="array" ref="E640">IFERROR(INDEX(checklistPesertaKemenkeu!$H$6:$H$1005,SMALL(IF(checklistPesertaKemenkeu!$AY$6:$AY$1005="Direkomendasikan",ROW($6:$1005)-5),639)),"")</f>
        <v/>
      </c>
      <c r="F640" t="str">
        <f t="array" ref="F640">IFERROR(INDEX(checklistPesertaKemenkeu!$I$6:$I$1005,SMALL(IF(checklistPesertaKemenkeu!$AY$6:$AY$1005="Direkomendasikan",ROW($6:$1005)-5),639)),"")</f>
        <v/>
      </c>
      <c r="G640" t="str">
        <f t="array" ref="G640">IFERROR(INDEX(checklistPesertaKemenkeu!$J$6:$J$1005,SMALL(IF(checklistPesertaKemenkeu!$AY$6:$AY$1005="Direkomendasikan",ROW($6:$1005)-5),639)),"")</f>
        <v/>
      </c>
      <c r="H640" t="str">
        <f t="array" aca="1" ref="H640" ca="1">IFERROR(IF(OR(INDEX(checklistPesertaKemenkeu!$L$6:$L$1005,SMALL(IF(checklistPesertaKemenkeu!$AY$6:$AY$1005="Direkomendasikan",ROW($6:$1005)-5),639))="",INDEX(checklistPesertaKemenkeu!$J$6:$J$1005,SMALL(IF(checklistPesertaKemenkeu!$AY$6:$AY$1005="Direkomendasikan",ROW($6:$1005)-5),639))=""),"",IF(AND(COUNTIF(INDIRECT("K_"&amp;MATCH(INDEX(checklistPesertaKemenkeu!$J$6:$J$1005,SMALL(IF(checklistPesertaKemenkeu!$AY$6:$AY$1005="Direkomendasikan",ROW($6:$1005)-5),639)),BidangList,0)),INDEX(checklistPesertaKemenkeu!$L$6:$L$1005,SMALL(IF(checklistPesertaKemenkeu!$AY$6:$AY$1005="Direkomendasikan",ROW($6:$1005)-5),639)))&gt;0,COUNTIF(INDIRECT("'KERTAS KERJA'!K"&amp;(SMALL(IF(checklistPesertaKemenkeu!$AY$6:$AY$1005="Direkomendasikan",ROW($6:$1005)-5),639)+5)&amp;":O"&amp;(SMALL(IF(checklistPesertaKemenkeu!$AY$6:$AY$1005="Direkomendasikan",ROW($6:$1005)-5),639)+5)),INDEX(checklistPesertaKemenkeu!$L$6:$L$1005,SMALL(IF(checklistPesertaKemenkeu!$AY$6:$AY$1005="Direkomendasikan",ROW($6:$1005)-5),639)))=1),IFERROR(VLOOKUP(INDEX(checklistPesertaKemenkeu!$L$6:$L$1005,SMALL(IF(checklistPesertaKemenkeu!$AY$6:$AY$1005="Direkomendasikan",ROW($6:$1005)-5),639)),KotaKode,2,0),"-"),"")),"")</f>
        <v/>
      </c>
      <c r="I640" t="str">
        <f t="array" aca="1" ref="I640" ca="1">IFERROR(IF(OR(INDEX(checklistPesertaKemenkeu!$M$6:$M$1005,SMALL(IF(checklistPesertaKemenkeu!$AY$6:$AY$1005="Direkomendasikan",ROW($6:$1005)-5),639))="",INDEX(checklistPesertaKemenkeu!$J$6:$J$1005,SMALL(IF(checklistPesertaKemenkeu!$AY$6:$AY$1005="Direkomendasikan",ROW($6:$1005)-5),639))=""),"",IF(AND(COUNTIF(INDIRECT("K_"&amp;MATCH(INDEX(checklistPesertaKemenkeu!$J$6:$J$1005,SMALL(IF(checklistPesertaKemenkeu!$AY$6:$AY$1005="Direkomendasikan",ROW($6:$1005)-5),639)),BidangList,0)),INDEX(checklistPesertaKemenkeu!$M$6:$M$1005,SMALL(IF(checklistPesertaKemenkeu!$AY$6:$AY$1005="Direkomendasikan",ROW($6:$1005)-5),639)))&gt;0,COUNTIF(INDIRECT("'KERTAS KERJA'!K"&amp;(SMALL(IF(checklistPesertaKemenkeu!$AY$6:$AY$1005="Direkomendasikan",ROW($6:$1005)-5),639)+5)&amp;":O"&amp;(SMALL(IF(checklistPesertaKemenkeu!$AY$6:$AY$1005="Direkomendasikan",ROW($6:$1005)-5),639)+5)),INDEX(checklistPesertaKemenkeu!$M$6:$M$1005,SMALL(IF(checklistPesertaKemenkeu!$AY$6:$AY$1005="Direkomendasikan",ROW($6:$1005)-5),639)))=1),IFERROR(VLOOKUP(INDEX(checklistPesertaKemenkeu!$M$6:$M$1005,SMALL(IF(checklistPesertaKemenkeu!$AY$6:$AY$1005="Direkomendasikan",ROW($6:$1005)-5),639)),KotaKode,2,0),"-"),"")),"")</f>
        <v/>
      </c>
      <c r="J640" t="str">
        <f t="array" aca="1" ref="J640" ca="1">IFERROR(IF(OR(INDEX(checklistPesertaKemenkeu!$N$6:$N$1005,SMALL(IF(checklistPesertaKemenkeu!$AY$6:$AY$1005="Direkomendasikan",ROW($6:$1005)-5),639))="",INDEX(checklistPesertaKemenkeu!$J$6:$J$1005,SMALL(IF(checklistPesertaKemenkeu!$AY$6:$AY$1005="Direkomendasikan",ROW($6:$1005)-5),639))=""),"",IF(AND(COUNTIF(INDIRECT("K_"&amp;MATCH(INDEX(checklistPesertaKemenkeu!$J$6:$J$1005,SMALL(IF(checklistPesertaKemenkeu!$AY$6:$AY$1005="Direkomendasikan",ROW($6:$1005)-5),639)),BidangList,0)),INDEX(checklistPesertaKemenkeu!$N$6:$N$1005,SMALL(IF(checklistPesertaKemenkeu!$AY$6:$AY$1005="Direkomendasikan",ROW($6:$1005)-5),639)))&gt;0,COUNTIF(INDIRECT("'KERTAS KERJA'!K"&amp;(SMALL(IF(checklistPesertaKemenkeu!$AY$6:$AY$1005="Direkomendasikan",ROW($6:$1005)-5),639)+5)&amp;":O"&amp;(SMALL(IF(checklistPesertaKemenkeu!$AY$6:$AY$1005="Direkomendasikan",ROW($6:$1005)-5),639)+5)),INDEX(checklistPesertaKemenkeu!$N$6:$N$1005,SMALL(IF(checklistPesertaKemenkeu!$AY$6:$AY$1005="Direkomendasikan",ROW($6:$1005)-5),639)))=1),IFERROR(VLOOKUP(INDEX(checklistPesertaKemenkeu!$N$6:$N$1005,SMALL(IF(checklistPesertaKemenkeu!$AY$6:$AY$1005="Direkomendasikan",ROW($6:$1005)-5),639)),KotaKode,2,0),"-"),"")),"")</f>
        <v/>
      </c>
      <c r="K640" t="str">
        <f t="array" aca="1" ref="K640" ca="1">IFERROR(IF(OR(INDEX(checklistPesertaKemenkeu!$O$6:$O$1005,SMALL(IF(checklistPesertaKemenkeu!$AY$6:$AY$1005="Direkomendasikan",ROW($6:$1005)-5),639))="",INDEX(checklistPesertaKemenkeu!$J$6:$J$1005,SMALL(IF(checklistPesertaKemenkeu!$AY$6:$AY$1005="Direkomendasikan",ROW($6:$1005)-5),639))=""),"",IF(AND(COUNTIF(INDIRECT("K_"&amp;MATCH(INDEX(checklistPesertaKemenkeu!$J$6:$J$1005,SMALL(IF(checklistPesertaKemenkeu!$AY$6:$AY$1005="Direkomendasikan",ROW($6:$1005)-5),639)),BidangList,0)),INDEX(checklistPesertaKemenkeu!$O$6:$O$1005,SMALL(IF(checklistPesertaKemenkeu!$AY$6:$AY$1005="Direkomendasikan",ROW($6:$1005)-5),639)))&gt;0,COUNTIF(INDIRECT("'KERTAS KERJA'!K"&amp;(SMALL(IF(checklistPesertaKemenkeu!$AY$6:$AY$1005="Direkomendasikan",ROW($6:$1005)-5),639)+5)&amp;":O"&amp;(SMALL(IF(checklistPesertaKemenkeu!$AY$6:$AY$1005="Direkomendasikan",ROW($6:$1005)-5),639)+5)),INDEX(checklistPesertaKemenkeu!$O$6:$O$1005,SMALL(IF(checklistPesertaKemenkeu!$AY$6:$AY$1005="Direkomendasikan",ROW($6:$1005)-5),639)))=1),IFERROR(VLOOKUP(INDEX(checklistPesertaKemenkeu!$O$6:$O$1005,SMALL(IF(checklistPesertaKemenkeu!$AY$6:$AY$1005="Direkomendasikan",ROW($6:$1005)-5),639)),KotaKode,2,0),"-"),"")),"")</f>
        <v/>
      </c>
      <c r="L640" t="str">
        <f t="array" aca="1" ref="L640" ca="1">IFERROR(IF(OR(INDEX(checklistPesertaKemenkeu!$P$6:$P$1005,SMALL(IF(checklistPesertaKemenkeu!$AY$6:$AY$1005="Direkomendasikan",ROW($6:$1005)-5),639))="",INDEX(checklistPesertaKemenkeu!$J$6:$J$1005,SMALL(IF(checklistPesertaKemenkeu!$AY$6:$AY$1005="Direkomendasikan",ROW($6:$1005)-5),639))=""),"",IF(AND(COUNTIF(INDIRECT("K_"&amp;MATCH(INDEX(checklistPesertaKemenkeu!$J$6:$J$1005,SMALL(IF(checklistPesertaKemenkeu!$AY$6:$AY$1005="Direkomendasikan",ROW($6:$1005)-5),639)),BidangList,0)),INDEX(checklistPesertaKemenkeu!$P$6:$P$1005,SMALL(IF(checklistPesertaKemenkeu!$AY$6:$AY$1005="Direkomendasikan",ROW($6:$1005)-5),639)))&gt;0,COUNTIF(INDIRECT("'KERTAS KERJA'!K"&amp;(SMALL(IF(checklistPesertaKemenkeu!$AY$6:$AY$1005="Direkomendasikan",ROW($6:$1005)-5),639)+5)&amp;":O"&amp;(SMALL(IF(checklistPesertaKemenkeu!$AY$6:$AY$1005="Direkomendasikan",ROW($6:$1005)-5),639)+5)),INDEX(checklistPesertaKemenkeu!$P$6:$P$1005,SMALL(IF(checklistPesertaKemenkeu!$AY$6:$AY$1005="Direkomendasikan",ROW($6:$1005)-5),639)))=1),IFERROR(VLOOKUP(INDEX(checklistPesertaKemenkeu!$P$6:$P$1005,SMALL(IF(checklistPesertaKemenkeu!$AY$6:$AY$1005="Direkomendasikan",ROW($6:$1005)-5),639)),KotaKode,2,0),"-"),"")),"")</f>
        <v/>
      </c>
    </row>
    <row r="641" spans="1:12" ht="15" customHeight="1" x14ac:dyDescent="0.2">
      <c r="A641" t="str">
        <f t="shared" si="9"/>
        <v/>
      </c>
      <c r="B641" t="str">
        <v/>
      </c>
      <c r="C641" s="40" t="str">
        <f t="array" ref="C641">IFERROR(INDEX(checklistPesertaKemenkeu!$F$6:$F$1005,SMALL(IF(checklistPesertaKemenkeu!$AY$6:$AY$1005="Direkomendasikan",ROW($6:$1005)-5),640)),"")</f>
        <v/>
      </c>
      <c r="D641" t="str">
        <f t="array" ref="D641">IFERROR(INDEX(checklistPesertaKemenkeu!$G$6:$G$1005,SMALL(IF(checklistPesertaKemenkeu!$AY$6:$AY$1005="Direkomendasikan",ROW($6:$1005)-5),640)),"")</f>
        <v/>
      </c>
      <c r="E641" t="str">
        <f t="array" ref="E641">IFERROR(INDEX(checklistPesertaKemenkeu!$H$6:$H$1005,SMALL(IF(checklistPesertaKemenkeu!$AY$6:$AY$1005="Direkomendasikan",ROW($6:$1005)-5),640)),"")</f>
        <v/>
      </c>
      <c r="F641" t="str">
        <f t="array" ref="F641">IFERROR(INDEX(checklistPesertaKemenkeu!$I$6:$I$1005,SMALL(IF(checklistPesertaKemenkeu!$AY$6:$AY$1005="Direkomendasikan",ROW($6:$1005)-5),640)),"")</f>
        <v/>
      </c>
      <c r="G641" t="str">
        <f t="array" ref="G641">IFERROR(INDEX(checklistPesertaKemenkeu!$J$6:$J$1005,SMALL(IF(checklistPesertaKemenkeu!$AY$6:$AY$1005="Direkomendasikan",ROW($6:$1005)-5),640)),"")</f>
        <v/>
      </c>
      <c r="H641" t="str">
        <f t="array" aca="1" ref="H641" ca="1">IFERROR(IF(OR(INDEX(checklistPesertaKemenkeu!$L$6:$L$1005,SMALL(IF(checklistPesertaKemenkeu!$AY$6:$AY$1005="Direkomendasikan",ROW($6:$1005)-5),640))="",INDEX(checklistPesertaKemenkeu!$J$6:$J$1005,SMALL(IF(checklistPesertaKemenkeu!$AY$6:$AY$1005="Direkomendasikan",ROW($6:$1005)-5),640))=""),"",IF(AND(COUNTIF(INDIRECT("K_"&amp;MATCH(INDEX(checklistPesertaKemenkeu!$J$6:$J$1005,SMALL(IF(checklistPesertaKemenkeu!$AY$6:$AY$1005="Direkomendasikan",ROW($6:$1005)-5),640)),BidangList,0)),INDEX(checklistPesertaKemenkeu!$L$6:$L$1005,SMALL(IF(checklistPesertaKemenkeu!$AY$6:$AY$1005="Direkomendasikan",ROW($6:$1005)-5),640)))&gt;0,COUNTIF(INDIRECT("'KERTAS KERJA'!K"&amp;(SMALL(IF(checklistPesertaKemenkeu!$AY$6:$AY$1005="Direkomendasikan",ROW($6:$1005)-5),640)+5)&amp;":O"&amp;(SMALL(IF(checklistPesertaKemenkeu!$AY$6:$AY$1005="Direkomendasikan",ROW($6:$1005)-5),640)+5)),INDEX(checklistPesertaKemenkeu!$L$6:$L$1005,SMALL(IF(checklistPesertaKemenkeu!$AY$6:$AY$1005="Direkomendasikan",ROW($6:$1005)-5),640)))=1),IFERROR(VLOOKUP(INDEX(checklistPesertaKemenkeu!$L$6:$L$1005,SMALL(IF(checklistPesertaKemenkeu!$AY$6:$AY$1005="Direkomendasikan",ROW($6:$1005)-5),640)),KotaKode,2,0),"-"),"")),"")</f>
        <v/>
      </c>
      <c r="I641" t="str">
        <f t="array" aca="1" ref="I641" ca="1">IFERROR(IF(OR(INDEX(checklistPesertaKemenkeu!$M$6:$M$1005,SMALL(IF(checklistPesertaKemenkeu!$AY$6:$AY$1005="Direkomendasikan",ROW($6:$1005)-5),640))="",INDEX(checklistPesertaKemenkeu!$J$6:$J$1005,SMALL(IF(checklistPesertaKemenkeu!$AY$6:$AY$1005="Direkomendasikan",ROW($6:$1005)-5),640))=""),"",IF(AND(COUNTIF(INDIRECT("K_"&amp;MATCH(INDEX(checklistPesertaKemenkeu!$J$6:$J$1005,SMALL(IF(checklistPesertaKemenkeu!$AY$6:$AY$1005="Direkomendasikan",ROW($6:$1005)-5),640)),BidangList,0)),INDEX(checklistPesertaKemenkeu!$M$6:$M$1005,SMALL(IF(checklistPesertaKemenkeu!$AY$6:$AY$1005="Direkomendasikan",ROW($6:$1005)-5),640)))&gt;0,COUNTIF(INDIRECT("'KERTAS KERJA'!K"&amp;(SMALL(IF(checklistPesertaKemenkeu!$AY$6:$AY$1005="Direkomendasikan",ROW($6:$1005)-5),640)+5)&amp;":O"&amp;(SMALL(IF(checklistPesertaKemenkeu!$AY$6:$AY$1005="Direkomendasikan",ROW($6:$1005)-5),640)+5)),INDEX(checklistPesertaKemenkeu!$M$6:$M$1005,SMALL(IF(checklistPesertaKemenkeu!$AY$6:$AY$1005="Direkomendasikan",ROW($6:$1005)-5),640)))=1),IFERROR(VLOOKUP(INDEX(checklistPesertaKemenkeu!$M$6:$M$1005,SMALL(IF(checklistPesertaKemenkeu!$AY$6:$AY$1005="Direkomendasikan",ROW($6:$1005)-5),640)),KotaKode,2,0),"-"),"")),"")</f>
        <v/>
      </c>
      <c r="J641" t="str">
        <f t="array" aca="1" ref="J641" ca="1">IFERROR(IF(OR(INDEX(checklistPesertaKemenkeu!$N$6:$N$1005,SMALL(IF(checklistPesertaKemenkeu!$AY$6:$AY$1005="Direkomendasikan",ROW($6:$1005)-5),640))="",INDEX(checklistPesertaKemenkeu!$J$6:$J$1005,SMALL(IF(checklistPesertaKemenkeu!$AY$6:$AY$1005="Direkomendasikan",ROW($6:$1005)-5),640))=""),"",IF(AND(COUNTIF(INDIRECT("K_"&amp;MATCH(INDEX(checklistPesertaKemenkeu!$J$6:$J$1005,SMALL(IF(checklistPesertaKemenkeu!$AY$6:$AY$1005="Direkomendasikan",ROW($6:$1005)-5),640)),BidangList,0)),INDEX(checklistPesertaKemenkeu!$N$6:$N$1005,SMALL(IF(checklistPesertaKemenkeu!$AY$6:$AY$1005="Direkomendasikan",ROW($6:$1005)-5),640)))&gt;0,COUNTIF(INDIRECT("'KERTAS KERJA'!K"&amp;(SMALL(IF(checklistPesertaKemenkeu!$AY$6:$AY$1005="Direkomendasikan",ROW($6:$1005)-5),640)+5)&amp;":O"&amp;(SMALL(IF(checklistPesertaKemenkeu!$AY$6:$AY$1005="Direkomendasikan",ROW($6:$1005)-5),640)+5)),INDEX(checklistPesertaKemenkeu!$N$6:$N$1005,SMALL(IF(checklistPesertaKemenkeu!$AY$6:$AY$1005="Direkomendasikan",ROW($6:$1005)-5),640)))=1),IFERROR(VLOOKUP(INDEX(checklistPesertaKemenkeu!$N$6:$N$1005,SMALL(IF(checklistPesertaKemenkeu!$AY$6:$AY$1005="Direkomendasikan",ROW($6:$1005)-5),640)),KotaKode,2,0),"-"),"")),"")</f>
        <v/>
      </c>
      <c r="K641" t="str">
        <f t="array" aca="1" ref="K641" ca="1">IFERROR(IF(OR(INDEX(checklistPesertaKemenkeu!$O$6:$O$1005,SMALL(IF(checklistPesertaKemenkeu!$AY$6:$AY$1005="Direkomendasikan",ROW($6:$1005)-5),640))="",INDEX(checklistPesertaKemenkeu!$J$6:$J$1005,SMALL(IF(checklistPesertaKemenkeu!$AY$6:$AY$1005="Direkomendasikan",ROW($6:$1005)-5),640))=""),"",IF(AND(COUNTIF(INDIRECT("K_"&amp;MATCH(INDEX(checklistPesertaKemenkeu!$J$6:$J$1005,SMALL(IF(checklistPesertaKemenkeu!$AY$6:$AY$1005="Direkomendasikan",ROW($6:$1005)-5),640)),BidangList,0)),INDEX(checklistPesertaKemenkeu!$O$6:$O$1005,SMALL(IF(checklistPesertaKemenkeu!$AY$6:$AY$1005="Direkomendasikan",ROW($6:$1005)-5),640)))&gt;0,COUNTIF(INDIRECT("'KERTAS KERJA'!K"&amp;(SMALL(IF(checklistPesertaKemenkeu!$AY$6:$AY$1005="Direkomendasikan",ROW($6:$1005)-5),640)+5)&amp;":O"&amp;(SMALL(IF(checklistPesertaKemenkeu!$AY$6:$AY$1005="Direkomendasikan",ROW($6:$1005)-5),640)+5)),INDEX(checklistPesertaKemenkeu!$O$6:$O$1005,SMALL(IF(checklistPesertaKemenkeu!$AY$6:$AY$1005="Direkomendasikan",ROW($6:$1005)-5),640)))=1),IFERROR(VLOOKUP(INDEX(checklistPesertaKemenkeu!$O$6:$O$1005,SMALL(IF(checklistPesertaKemenkeu!$AY$6:$AY$1005="Direkomendasikan",ROW($6:$1005)-5),640)),KotaKode,2,0),"-"),"")),"")</f>
        <v/>
      </c>
      <c r="L641" t="str">
        <f t="array" aca="1" ref="L641" ca="1">IFERROR(IF(OR(INDEX(checklistPesertaKemenkeu!$P$6:$P$1005,SMALL(IF(checklistPesertaKemenkeu!$AY$6:$AY$1005="Direkomendasikan",ROW($6:$1005)-5),640))="",INDEX(checklistPesertaKemenkeu!$J$6:$J$1005,SMALL(IF(checklistPesertaKemenkeu!$AY$6:$AY$1005="Direkomendasikan",ROW($6:$1005)-5),640))=""),"",IF(AND(COUNTIF(INDIRECT("K_"&amp;MATCH(INDEX(checklistPesertaKemenkeu!$J$6:$J$1005,SMALL(IF(checklistPesertaKemenkeu!$AY$6:$AY$1005="Direkomendasikan",ROW($6:$1005)-5),640)),BidangList,0)),INDEX(checklistPesertaKemenkeu!$P$6:$P$1005,SMALL(IF(checklistPesertaKemenkeu!$AY$6:$AY$1005="Direkomendasikan",ROW($6:$1005)-5),640)))&gt;0,COUNTIF(INDIRECT("'KERTAS KERJA'!K"&amp;(SMALL(IF(checklistPesertaKemenkeu!$AY$6:$AY$1005="Direkomendasikan",ROW($6:$1005)-5),640)+5)&amp;":O"&amp;(SMALL(IF(checklistPesertaKemenkeu!$AY$6:$AY$1005="Direkomendasikan",ROW($6:$1005)-5),640)+5)),INDEX(checklistPesertaKemenkeu!$P$6:$P$1005,SMALL(IF(checklistPesertaKemenkeu!$AY$6:$AY$1005="Direkomendasikan",ROW($6:$1005)-5),640)))=1),IFERROR(VLOOKUP(INDEX(checklistPesertaKemenkeu!$P$6:$P$1005,SMALL(IF(checklistPesertaKemenkeu!$AY$6:$AY$1005="Direkomendasikan",ROW($6:$1005)-5),640)),KotaKode,2,0),"-"),"")),"")</f>
        <v/>
      </c>
    </row>
    <row r="642" spans="1:12" ht="15" customHeight="1" x14ac:dyDescent="0.2">
      <c r="A642" t="str">
        <f t="shared" ref="A642:A705" si="10">IF(C642="","",ROW()-1)</f>
        <v/>
      </c>
      <c r="B642" t="str">
        <v/>
      </c>
      <c r="C642" s="40" t="str">
        <f t="array" ref="C642">IFERROR(INDEX(checklistPesertaKemenkeu!$F$6:$F$1005,SMALL(IF(checklistPesertaKemenkeu!$AY$6:$AY$1005="Direkomendasikan",ROW($6:$1005)-5),641)),"")</f>
        <v/>
      </c>
      <c r="D642" t="str">
        <f t="array" ref="D642">IFERROR(INDEX(checklistPesertaKemenkeu!$G$6:$G$1005,SMALL(IF(checklistPesertaKemenkeu!$AY$6:$AY$1005="Direkomendasikan",ROW($6:$1005)-5),641)),"")</f>
        <v/>
      </c>
      <c r="E642" t="str">
        <f t="array" ref="E642">IFERROR(INDEX(checklistPesertaKemenkeu!$H$6:$H$1005,SMALL(IF(checklistPesertaKemenkeu!$AY$6:$AY$1005="Direkomendasikan",ROW($6:$1005)-5),641)),"")</f>
        <v/>
      </c>
      <c r="F642" t="str">
        <f t="array" ref="F642">IFERROR(INDEX(checklistPesertaKemenkeu!$I$6:$I$1005,SMALL(IF(checklistPesertaKemenkeu!$AY$6:$AY$1005="Direkomendasikan",ROW($6:$1005)-5),641)),"")</f>
        <v/>
      </c>
      <c r="G642" t="str">
        <f t="array" ref="G642">IFERROR(INDEX(checklistPesertaKemenkeu!$J$6:$J$1005,SMALL(IF(checklistPesertaKemenkeu!$AY$6:$AY$1005="Direkomendasikan",ROW($6:$1005)-5),641)),"")</f>
        <v/>
      </c>
      <c r="H642" t="str">
        <f t="array" aca="1" ref="H642" ca="1">IFERROR(IF(OR(INDEX(checklistPesertaKemenkeu!$L$6:$L$1005,SMALL(IF(checklistPesertaKemenkeu!$AY$6:$AY$1005="Direkomendasikan",ROW($6:$1005)-5),641))="",INDEX(checklistPesertaKemenkeu!$J$6:$J$1005,SMALL(IF(checklistPesertaKemenkeu!$AY$6:$AY$1005="Direkomendasikan",ROW($6:$1005)-5),641))=""),"",IF(AND(COUNTIF(INDIRECT("K_"&amp;MATCH(INDEX(checklistPesertaKemenkeu!$J$6:$J$1005,SMALL(IF(checklistPesertaKemenkeu!$AY$6:$AY$1005="Direkomendasikan",ROW($6:$1005)-5),641)),BidangList,0)),INDEX(checklistPesertaKemenkeu!$L$6:$L$1005,SMALL(IF(checklistPesertaKemenkeu!$AY$6:$AY$1005="Direkomendasikan",ROW($6:$1005)-5),641)))&gt;0,COUNTIF(INDIRECT("'KERTAS KERJA'!K"&amp;(SMALL(IF(checklistPesertaKemenkeu!$AY$6:$AY$1005="Direkomendasikan",ROW($6:$1005)-5),641)+5)&amp;":O"&amp;(SMALL(IF(checklistPesertaKemenkeu!$AY$6:$AY$1005="Direkomendasikan",ROW($6:$1005)-5),641)+5)),INDEX(checklistPesertaKemenkeu!$L$6:$L$1005,SMALL(IF(checklistPesertaKemenkeu!$AY$6:$AY$1005="Direkomendasikan",ROW($6:$1005)-5),641)))=1),IFERROR(VLOOKUP(INDEX(checklistPesertaKemenkeu!$L$6:$L$1005,SMALL(IF(checklistPesertaKemenkeu!$AY$6:$AY$1005="Direkomendasikan",ROW($6:$1005)-5),641)),KotaKode,2,0),"-"),"")),"")</f>
        <v/>
      </c>
      <c r="I642" t="str">
        <f t="array" aca="1" ref="I642" ca="1">IFERROR(IF(OR(INDEX(checklistPesertaKemenkeu!$M$6:$M$1005,SMALL(IF(checklistPesertaKemenkeu!$AY$6:$AY$1005="Direkomendasikan",ROW($6:$1005)-5),641))="",INDEX(checklistPesertaKemenkeu!$J$6:$J$1005,SMALL(IF(checklistPesertaKemenkeu!$AY$6:$AY$1005="Direkomendasikan",ROW($6:$1005)-5),641))=""),"",IF(AND(COUNTIF(INDIRECT("K_"&amp;MATCH(INDEX(checklistPesertaKemenkeu!$J$6:$J$1005,SMALL(IF(checklistPesertaKemenkeu!$AY$6:$AY$1005="Direkomendasikan",ROW($6:$1005)-5),641)),BidangList,0)),INDEX(checklistPesertaKemenkeu!$M$6:$M$1005,SMALL(IF(checklistPesertaKemenkeu!$AY$6:$AY$1005="Direkomendasikan",ROW($6:$1005)-5),641)))&gt;0,COUNTIF(INDIRECT("'KERTAS KERJA'!K"&amp;(SMALL(IF(checklistPesertaKemenkeu!$AY$6:$AY$1005="Direkomendasikan",ROW($6:$1005)-5),641)+5)&amp;":O"&amp;(SMALL(IF(checklistPesertaKemenkeu!$AY$6:$AY$1005="Direkomendasikan",ROW($6:$1005)-5),641)+5)),INDEX(checklistPesertaKemenkeu!$M$6:$M$1005,SMALL(IF(checklistPesertaKemenkeu!$AY$6:$AY$1005="Direkomendasikan",ROW($6:$1005)-5),641)))=1),IFERROR(VLOOKUP(INDEX(checklistPesertaKemenkeu!$M$6:$M$1005,SMALL(IF(checklistPesertaKemenkeu!$AY$6:$AY$1005="Direkomendasikan",ROW($6:$1005)-5),641)),KotaKode,2,0),"-"),"")),"")</f>
        <v/>
      </c>
      <c r="J642" t="str">
        <f t="array" aca="1" ref="J642" ca="1">IFERROR(IF(OR(INDEX(checklistPesertaKemenkeu!$N$6:$N$1005,SMALL(IF(checklistPesertaKemenkeu!$AY$6:$AY$1005="Direkomendasikan",ROW($6:$1005)-5),641))="",INDEX(checklistPesertaKemenkeu!$J$6:$J$1005,SMALL(IF(checklistPesertaKemenkeu!$AY$6:$AY$1005="Direkomendasikan",ROW($6:$1005)-5),641))=""),"",IF(AND(COUNTIF(INDIRECT("K_"&amp;MATCH(INDEX(checklistPesertaKemenkeu!$J$6:$J$1005,SMALL(IF(checklistPesertaKemenkeu!$AY$6:$AY$1005="Direkomendasikan",ROW($6:$1005)-5),641)),BidangList,0)),INDEX(checklistPesertaKemenkeu!$N$6:$N$1005,SMALL(IF(checklistPesertaKemenkeu!$AY$6:$AY$1005="Direkomendasikan",ROW($6:$1005)-5),641)))&gt;0,COUNTIF(INDIRECT("'KERTAS KERJA'!K"&amp;(SMALL(IF(checklistPesertaKemenkeu!$AY$6:$AY$1005="Direkomendasikan",ROW($6:$1005)-5),641)+5)&amp;":O"&amp;(SMALL(IF(checklistPesertaKemenkeu!$AY$6:$AY$1005="Direkomendasikan",ROW($6:$1005)-5),641)+5)),INDEX(checklistPesertaKemenkeu!$N$6:$N$1005,SMALL(IF(checklistPesertaKemenkeu!$AY$6:$AY$1005="Direkomendasikan",ROW($6:$1005)-5),641)))=1),IFERROR(VLOOKUP(INDEX(checklistPesertaKemenkeu!$N$6:$N$1005,SMALL(IF(checklistPesertaKemenkeu!$AY$6:$AY$1005="Direkomendasikan",ROW($6:$1005)-5),641)),KotaKode,2,0),"-"),"")),"")</f>
        <v/>
      </c>
      <c r="K642" t="str">
        <f t="array" aca="1" ref="K642" ca="1">IFERROR(IF(OR(INDEX(checklistPesertaKemenkeu!$O$6:$O$1005,SMALL(IF(checklistPesertaKemenkeu!$AY$6:$AY$1005="Direkomendasikan",ROW($6:$1005)-5),641))="",INDEX(checklistPesertaKemenkeu!$J$6:$J$1005,SMALL(IF(checklistPesertaKemenkeu!$AY$6:$AY$1005="Direkomendasikan",ROW($6:$1005)-5),641))=""),"",IF(AND(COUNTIF(INDIRECT("K_"&amp;MATCH(INDEX(checklistPesertaKemenkeu!$J$6:$J$1005,SMALL(IF(checklistPesertaKemenkeu!$AY$6:$AY$1005="Direkomendasikan",ROW($6:$1005)-5),641)),BidangList,0)),INDEX(checklistPesertaKemenkeu!$O$6:$O$1005,SMALL(IF(checklistPesertaKemenkeu!$AY$6:$AY$1005="Direkomendasikan",ROW($6:$1005)-5),641)))&gt;0,COUNTIF(INDIRECT("'KERTAS KERJA'!K"&amp;(SMALL(IF(checklistPesertaKemenkeu!$AY$6:$AY$1005="Direkomendasikan",ROW($6:$1005)-5),641)+5)&amp;":O"&amp;(SMALL(IF(checklistPesertaKemenkeu!$AY$6:$AY$1005="Direkomendasikan",ROW($6:$1005)-5),641)+5)),INDEX(checklistPesertaKemenkeu!$O$6:$O$1005,SMALL(IF(checklistPesertaKemenkeu!$AY$6:$AY$1005="Direkomendasikan",ROW($6:$1005)-5),641)))=1),IFERROR(VLOOKUP(INDEX(checklistPesertaKemenkeu!$O$6:$O$1005,SMALL(IF(checklistPesertaKemenkeu!$AY$6:$AY$1005="Direkomendasikan",ROW($6:$1005)-5),641)),KotaKode,2,0),"-"),"")),"")</f>
        <v/>
      </c>
      <c r="L642" t="str">
        <f t="array" aca="1" ref="L642" ca="1">IFERROR(IF(OR(INDEX(checklistPesertaKemenkeu!$P$6:$P$1005,SMALL(IF(checklistPesertaKemenkeu!$AY$6:$AY$1005="Direkomendasikan",ROW($6:$1005)-5),641))="",INDEX(checklistPesertaKemenkeu!$J$6:$J$1005,SMALL(IF(checklistPesertaKemenkeu!$AY$6:$AY$1005="Direkomendasikan",ROW($6:$1005)-5),641))=""),"",IF(AND(COUNTIF(INDIRECT("K_"&amp;MATCH(INDEX(checklistPesertaKemenkeu!$J$6:$J$1005,SMALL(IF(checklistPesertaKemenkeu!$AY$6:$AY$1005="Direkomendasikan",ROW($6:$1005)-5),641)),BidangList,0)),INDEX(checklistPesertaKemenkeu!$P$6:$P$1005,SMALL(IF(checklistPesertaKemenkeu!$AY$6:$AY$1005="Direkomendasikan",ROW($6:$1005)-5),641)))&gt;0,COUNTIF(INDIRECT("'KERTAS KERJA'!K"&amp;(SMALL(IF(checklistPesertaKemenkeu!$AY$6:$AY$1005="Direkomendasikan",ROW($6:$1005)-5),641)+5)&amp;":O"&amp;(SMALL(IF(checklistPesertaKemenkeu!$AY$6:$AY$1005="Direkomendasikan",ROW($6:$1005)-5),641)+5)),INDEX(checklistPesertaKemenkeu!$P$6:$P$1005,SMALL(IF(checklistPesertaKemenkeu!$AY$6:$AY$1005="Direkomendasikan",ROW($6:$1005)-5),641)))=1),IFERROR(VLOOKUP(INDEX(checklistPesertaKemenkeu!$P$6:$P$1005,SMALL(IF(checklistPesertaKemenkeu!$AY$6:$AY$1005="Direkomendasikan",ROW($6:$1005)-5),641)),KotaKode,2,0),"-"),"")),"")</f>
        <v/>
      </c>
    </row>
    <row r="643" spans="1:12" ht="15" customHeight="1" x14ac:dyDescent="0.2">
      <c r="A643" t="str">
        <f t="shared" si="10"/>
        <v/>
      </c>
      <c r="B643" t="str">
        <v/>
      </c>
      <c r="C643" s="40" t="str">
        <f t="array" ref="C643">IFERROR(INDEX(checklistPesertaKemenkeu!$F$6:$F$1005,SMALL(IF(checklistPesertaKemenkeu!$AY$6:$AY$1005="Direkomendasikan",ROW($6:$1005)-5),642)),"")</f>
        <v/>
      </c>
      <c r="D643" t="str">
        <f t="array" ref="D643">IFERROR(INDEX(checklistPesertaKemenkeu!$G$6:$G$1005,SMALL(IF(checklistPesertaKemenkeu!$AY$6:$AY$1005="Direkomendasikan",ROW($6:$1005)-5),642)),"")</f>
        <v/>
      </c>
      <c r="E643" t="str">
        <f t="array" ref="E643">IFERROR(INDEX(checklistPesertaKemenkeu!$H$6:$H$1005,SMALL(IF(checklistPesertaKemenkeu!$AY$6:$AY$1005="Direkomendasikan",ROW($6:$1005)-5),642)),"")</f>
        <v/>
      </c>
      <c r="F643" t="str">
        <f t="array" ref="F643">IFERROR(INDEX(checklistPesertaKemenkeu!$I$6:$I$1005,SMALL(IF(checklistPesertaKemenkeu!$AY$6:$AY$1005="Direkomendasikan",ROW($6:$1005)-5),642)),"")</f>
        <v/>
      </c>
      <c r="G643" t="str">
        <f t="array" ref="G643">IFERROR(INDEX(checklistPesertaKemenkeu!$J$6:$J$1005,SMALL(IF(checklistPesertaKemenkeu!$AY$6:$AY$1005="Direkomendasikan",ROW($6:$1005)-5),642)),"")</f>
        <v/>
      </c>
      <c r="H643" t="str">
        <f t="array" aca="1" ref="H643" ca="1">IFERROR(IF(OR(INDEX(checklistPesertaKemenkeu!$L$6:$L$1005,SMALL(IF(checklistPesertaKemenkeu!$AY$6:$AY$1005="Direkomendasikan",ROW($6:$1005)-5),642))="",INDEX(checklistPesertaKemenkeu!$J$6:$J$1005,SMALL(IF(checklistPesertaKemenkeu!$AY$6:$AY$1005="Direkomendasikan",ROW($6:$1005)-5),642))=""),"",IF(AND(COUNTIF(INDIRECT("K_"&amp;MATCH(INDEX(checklistPesertaKemenkeu!$J$6:$J$1005,SMALL(IF(checklistPesertaKemenkeu!$AY$6:$AY$1005="Direkomendasikan",ROW($6:$1005)-5),642)),BidangList,0)),INDEX(checklistPesertaKemenkeu!$L$6:$L$1005,SMALL(IF(checklistPesertaKemenkeu!$AY$6:$AY$1005="Direkomendasikan",ROW($6:$1005)-5),642)))&gt;0,COUNTIF(INDIRECT("'KERTAS KERJA'!K"&amp;(SMALL(IF(checklistPesertaKemenkeu!$AY$6:$AY$1005="Direkomendasikan",ROW($6:$1005)-5),642)+5)&amp;":O"&amp;(SMALL(IF(checklistPesertaKemenkeu!$AY$6:$AY$1005="Direkomendasikan",ROW($6:$1005)-5),642)+5)),INDEX(checklistPesertaKemenkeu!$L$6:$L$1005,SMALL(IF(checklistPesertaKemenkeu!$AY$6:$AY$1005="Direkomendasikan",ROW($6:$1005)-5),642)))=1),IFERROR(VLOOKUP(INDEX(checklistPesertaKemenkeu!$L$6:$L$1005,SMALL(IF(checklistPesertaKemenkeu!$AY$6:$AY$1005="Direkomendasikan",ROW($6:$1005)-5),642)),KotaKode,2,0),"-"),"")),"")</f>
        <v/>
      </c>
      <c r="I643" t="str">
        <f t="array" aca="1" ref="I643" ca="1">IFERROR(IF(OR(INDEX(checklistPesertaKemenkeu!$M$6:$M$1005,SMALL(IF(checklistPesertaKemenkeu!$AY$6:$AY$1005="Direkomendasikan",ROW($6:$1005)-5),642))="",INDEX(checklistPesertaKemenkeu!$J$6:$J$1005,SMALL(IF(checklistPesertaKemenkeu!$AY$6:$AY$1005="Direkomendasikan",ROW($6:$1005)-5),642))=""),"",IF(AND(COUNTIF(INDIRECT("K_"&amp;MATCH(INDEX(checklistPesertaKemenkeu!$J$6:$J$1005,SMALL(IF(checklistPesertaKemenkeu!$AY$6:$AY$1005="Direkomendasikan",ROW($6:$1005)-5),642)),BidangList,0)),INDEX(checklistPesertaKemenkeu!$M$6:$M$1005,SMALL(IF(checklistPesertaKemenkeu!$AY$6:$AY$1005="Direkomendasikan",ROW($6:$1005)-5),642)))&gt;0,COUNTIF(INDIRECT("'KERTAS KERJA'!K"&amp;(SMALL(IF(checklistPesertaKemenkeu!$AY$6:$AY$1005="Direkomendasikan",ROW($6:$1005)-5),642)+5)&amp;":O"&amp;(SMALL(IF(checklistPesertaKemenkeu!$AY$6:$AY$1005="Direkomendasikan",ROW($6:$1005)-5),642)+5)),INDEX(checklistPesertaKemenkeu!$M$6:$M$1005,SMALL(IF(checklistPesertaKemenkeu!$AY$6:$AY$1005="Direkomendasikan",ROW($6:$1005)-5),642)))=1),IFERROR(VLOOKUP(INDEX(checklistPesertaKemenkeu!$M$6:$M$1005,SMALL(IF(checklistPesertaKemenkeu!$AY$6:$AY$1005="Direkomendasikan",ROW($6:$1005)-5),642)),KotaKode,2,0),"-"),"")),"")</f>
        <v/>
      </c>
      <c r="J643" t="str">
        <f t="array" aca="1" ref="J643" ca="1">IFERROR(IF(OR(INDEX(checklistPesertaKemenkeu!$N$6:$N$1005,SMALL(IF(checklistPesertaKemenkeu!$AY$6:$AY$1005="Direkomendasikan",ROW($6:$1005)-5),642))="",INDEX(checklistPesertaKemenkeu!$J$6:$J$1005,SMALL(IF(checklistPesertaKemenkeu!$AY$6:$AY$1005="Direkomendasikan",ROW($6:$1005)-5),642))=""),"",IF(AND(COUNTIF(INDIRECT("K_"&amp;MATCH(INDEX(checklistPesertaKemenkeu!$J$6:$J$1005,SMALL(IF(checklistPesertaKemenkeu!$AY$6:$AY$1005="Direkomendasikan",ROW($6:$1005)-5),642)),BidangList,0)),INDEX(checklistPesertaKemenkeu!$N$6:$N$1005,SMALL(IF(checklistPesertaKemenkeu!$AY$6:$AY$1005="Direkomendasikan",ROW($6:$1005)-5),642)))&gt;0,COUNTIF(INDIRECT("'KERTAS KERJA'!K"&amp;(SMALL(IF(checklistPesertaKemenkeu!$AY$6:$AY$1005="Direkomendasikan",ROW($6:$1005)-5),642)+5)&amp;":O"&amp;(SMALL(IF(checklistPesertaKemenkeu!$AY$6:$AY$1005="Direkomendasikan",ROW($6:$1005)-5),642)+5)),INDEX(checklistPesertaKemenkeu!$N$6:$N$1005,SMALL(IF(checklistPesertaKemenkeu!$AY$6:$AY$1005="Direkomendasikan",ROW($6:$1005)-5),642)))=1),IFERROR(VLOOKUP(INDEX(checklistPesertaKemenkeu!$N$6:$N$1005,SMALL(IF(checklistPesertaKemenkeu!$AY$6:$AY$1005="Direkomendasikan",ROW($6:$1005)-5),642)),KotaKode,2,0),"-"),"")),"")</f>
        <v/>
      </c>
      <c r="K643" t="str">
        <f t="array" aca="1" ref="K643" ca="1">IFERROR(IF(OR(INDEX(checklistPesertaKemenkeu!$O$6:$O$1005,SMALL(IF(checklistPesertaKemenkeu!$AY$6:$AY$1005="Direkomendasikan",ROW($6:$1005)-5),642))="",INDEX(checklistPesertaKemenkeu!$J$6:$J$1005,SMALL(IF(checklistPesertaKemenkeu!$AY$6:$AY$1005="Direkomendasikan",ROW($6:$1005)-5),642))=""),"",IF(AND(COUNTIF(INDIRECT("K_"&amp;MATCH(INDEX(checklistPesertaKemenkeu!$J$6:$J$1005,SMALL(IF(checklistPesertaKemenkeu!$AY$6:$AY$1005="Direkomendasikan",ROW($6:$1005)-5),642)),BidangList,0)),INDEX(checklistPesertaKemenkeu!$O$6:$O$1005,SMALL(IF(checklistPesertaKemenkeu!$AY$6:$AY$1005="Direkomendasikan",ROW($6:$1005)-5),642)))&gt;0,COUNTIF(INDIRECT("'KERTAS KERJA'!K"&amp;(SMALL(IF(checklistPesertaKemenkeu!$AY$6:$AY$1005="Direkomendasikan",ROW($6:$1005)-5),642)+5)&amp;":O"&amp;(SMALL(IF(checklistPesertaKemenkeu!$AY$6:$AY$1005="Direkomendasikan",ROW($6:$1005)-5),642)+5)),INDEX(checklistPesertaKemenkeu!$O$6:$O$1005,SMALL(IF(checklistPesertaKemenkeu!$AY$6:$AY$1005="Direkomendasikan",ROW($6:$1005)-5),642)))=1),IFERROR(VLOOKUP(INDEX(checklistPesertaKemenkeu!$O$6:$O$1005,SMALL(IF(checklistPesertaKemenkeu!$AY$6:$AY$1005="Direkomendasikan",ROW($6:$1005)-5),642)),KotaKode,2,0),"-"),"")),"")</f>
        <v/>
      </c>
      <c r="L643" t="str">
        <f t="array" aca="1" ref="L643" ca="1">IFERROR(IF(OR(INDEX(checklistPesertaKemenkeu!$P$6:$P$1005,SMALL(IF(checklistPesertaKemenkeu!$AY$6:$AY$1005="Direkomendasikan",ROW($6:$1005)-5),642))="",INDEX(checklistPesertaKemenkeu!$J$6:$J$1005,SMALL(IF(checklistPesertaKemenkeu!$AY$6:$AY$1005="Direkomendasikan",ROW($6:$1005)-5),642))=""),"",IF(AND(COUNTIF(INDIRECT("K_"&amp;MATCH(INDEX(checklistPesertaKemenkeu!$J$6:$J$1005,SMALL(IF(checklistPesertaKemenkeu!$AY$6:$AY$1005="Direkomendasikan",ROW($6:$1005)-5),642)),BidangList,0)),INDEX(checklistPesertaKemenkeu!$P$6:$P$1005,SMALL(IF(checklistPesertaKemenkeu!$AY$6:$AY$1005="Direkomendasikan",ROW($6:$1005)-5),642)))&gt;0,COUNTIF(INDIRECT("'KERTAS KERJA'!K"&amp;(SMALL(IF(checklistPesertaKemenkeu!$AY$6:$AY$1005="Direkomendasikan",ROW($6:$1005)-5),642)+5)&amp;":O"&amp;(SMALL(IF(checklistPesertaKemenkeu!$AY$6:$AY$1005="Direkomendasikan",ROW($6:$1005)-5),642)+5)),INDEX(checklistPesertaKemenkeu!$P$6:$P$1005,SMALL(IF(checklistPesertaKemenkeu!$AY$6:$AY$1005="Direkomendasikan",ROW($6:$1005)-5),642)))=1),IFERROR(VLOOKUP(INDEX(checklistPesertaKemenkeu!$P$6:$P$1005,SMALL(IF(checklistPesertaKemenkeu!$AY$6:$AY$1005="Direkomendasikan",ROW($6:$1005)-5),642)),KotaKode,2,0),"-"),"")),"")</f>
        <v/>
      </c>
    </row>
    <row r="644" spans="1:12" ht="15" customHeight="1" x14ac:dyDescent="0.2">
      <c r="A644" t="str">
        <f t="shared" si="10"/>
        <v/>
      </c>
      <c r="B644" t="str">
        <v/>
      </c>
      <c r="C644" s="40" t="str">
        <f t="array" ref="C644">IFERROR(INDEX(checklistPesertaKemenkeu!$F$6:$F$1005,SMALL(IF(checklistPesertaKemenkeu!$AY$6:$AY$1005="Direkomendasikan",ROW($6:$1005)-5),643)),"")</f>
        <v/>
      </c>
      <c r="D644" t="str">
        <f t="array" ref="D644">IFERROR(INDEX(checklistPesertaKemenkeu!$G$6:$G$1005,SMALL(IF(checklistPesertaKemenkeu!$AY$6:$AY$1005="Direkomendasikan",ROW($6:$1005)-5),643)),"")</f>
        <v/>
      </c>
      <c r="E644" t="str">
        <f t="array" ref="E644">IFERROR(INDEX(checklistPesertaKemenkeu!$H$6:$H$1005,SMALL(IF(checklistPesertaKemenkeu!$AY$6:$AY$1005="Direkomendasikan",ROW($6:$1005)-5),643)),"")</f>
        <v/>
      </c>
      <c r="F644" t="str">
        <f t="array" ref="F644">IFERROR(INDEX(checklistPesertaKemenkeu!$I$6:$I$1005,SMALL(IF(checklistPesertaKemenkeu!$AY$6:$AY$1005="Direkomendasikan",ROW($6:$1005)-5),643)),"")</f>
        <v/>
      </c>
      <c r="G644" t="str">
        <f t="array" ref="G644">IFERROR(INDEX(checklistPesertaKemenkeu!$J$6:$J$1005,SMALL(IF(checklistPesertaKemenkeu!$AY$6:$AY$1005="Direkomendasikan",ROW($6:$1005)-5),643)),"")</f>
        <v/>
      </c>
      <c r="H644" t="str">
        <f t="array" aca="1" ref="H644" ca="1">IFERROR(IF(OR(INDEX(checklistPesertaKemenkeu!$L$6:$L$1005,SMALL(IF(checklistPesertaKemenkeu!$AY$6:$AY$1005="Direkomendasikan",ROW($6:$1005)-5),643))="",INDEX(checklistPesertaKemenkeu!$J$6:$J$1005,SMALL(IF(checklistPesertaKemenkeu!$AY$6:$AY$1005="Direkomendasikan",ROW($6:$1005)-5),643))=""),"",IF(AND(COUNTIF(INDIRECT("K_"&amp;MATCH(INDEX(checklistPesertaKemenkeu!$J$6:$J$1005,SMALL(IF(checklistPesertaKemenkeu!$AY$6:$AY$1005="Direkomendasikan",ROW($6:$1005)-5),643)),BidangList,0)),INDEX(checklistPesertaKemenkeu!$L$6:$L$1005,SMALL(IF(checklistPesertaKemenkeu!$AY$6:$AY$1005="Direkomendasikan",ROW($6:$1005)-5),643)))&gt;0,COUNTIF(INDIRECT("'KERTAS KERJA'!K"&amp;(SMALL(IF(checklistPesertaKemenkeu!$AY$6:$AY$1005="Direkomendasikan",ROW($6:$1005)-5),643)+5)&amp;":O"&amp;(SMALL(IF(checklistPesertaKemenkeu!$AY$6:$AY$1005="Direkomendasikan",ROW($6:$1005)-5),643)+5)),INDEX(checklistPesertaKemenkeu!$L$6:$L$1005,SMALL(IF(checklistPesertaKemenkeu!$AY$6:$AY$1005="Direkomendasikan",ROW($6:$1005)-5),643)))=1),IFERROR(VLOOKUP(INDEX(checklistPesertaKemenkeu!$L$6:$L$1005,SMALL(IF(checklistPesertaKemenkeu!$AY$6:$AY$1005="Direkomendasikan",ROW($6:$1005)-5),643)),KotaKode,2,0),"-"),"")),"")</f>
        <v/>
      </c>
      <c r="I644" t="str">
        <f t="array" aca="1" ref="I644" ca="1">IFERROR(IF(OR(INDEX(checklistPesertaKemenkeu!$M$6:$M$1005,SMALL(IF(checklistPesertaKemenkeu!$AY$6:$AY$1005="Direkomendasikan",ROW($6:$1005)-5),643))="",INDEX(checklistPesertaKemenkeu!$J$6:$J$1005,SMALL(IF(checklistPesertaKemenkeu!$AY$6:$AY$1005="Direkomendasikan",ROW($6:$1005)-5),643))=""),"",IF(AND(COUNTIF(INDIRECT("K_"&amp;MATCH(INDEX(checklistPesertaKemenkeu!$J$6:$J$1005,SMALL(IF(checklistPesertaKemenkeu!$AY$6:$AY$1005="Direkomendasikan",ROW($6:$1005)-5),643)),BidangList,0)),INDEX(checklistPesertaKemenkeu!$M$6:$M$1005,SMALL(IF(checklistPesertaKemenkeu!$AY$6:$AY$1005="Direkomendasikan",ROW($6:$1005)-5),643)))&gt;0,COUNTIF(INDIRECT("'KERTAS KERJA'!K"&amp;(SMALL(IF(checklistPesertaKemenkeu!$AY$6:$AY$1005="Direkomendasikan",ROW($6:$1005)-5),643)+5)&amp;":O"&amp;(SMALL(IF(checklistPesertaKemenkeu!$AY$6:$AY$1005="Direkomendasikan",ROW($6:$1005)-5),643)+5)),INDEX(checklistPesertaKemenkeu!$M$6:$M$1005,SMALL(IF(checklistPesertaKemenkeu!$AY$6:$AY$1005="Direkomendasikan",ROW($6:$1005)-5),643)))=1),IFERROR(VLOOKUP(INDEX(checklistPesertaKemenkeu!$M$6:$M$1005,SMALL(IF(checklistPesertaKemenkeu!$AY$6:$AY$1005="Direkomendasikan",ROW($6:$1005)-5),643)),KotaKode,2,0),"-"),"")),"")</f>
        <v/>
      </c>
      <c r="J644" t="str">
        <f t="array" aca="1" ref="J644" ca="1">IFERROR(IF(OR(INDEX(checklistPesertaKemenkeu!$N$6:$N$1005,SMALL(IF(checklistPesertaKemenkeu!$AY$6:$AY$1005="Direkomendasikan",ROW($6:$1005)-5),643))="",INDEX(checklistPesertaKemenkeu!$J$6:$J$1005,SMALL(IF(checklistPesertaKemenkeu!$AY$6:$AY$1005="Direkomendasikan",ROW($6:$1005)-5),643))=""),"",IF(AND(COUNTIF(INDIRECT("K_"&amp;MATCH(INDEX(checklistPesertaKemenkeu!$J$6:$J$1005,SMALL(IF(checklistPesertaKemenkeu!$AY$6:$AY$1005="Direkomendasikan",ROW($6:$1005)-5),643)),BidangList,0)),INDEX(checklistPesertaKemenkeu!$N$6:$N$1005,SMALL(IF(checklistPesertaKemenkeu!$AY$6:$AY$1005="Direkomendasikan",ROW($6:$1005)-5),643)))&gt;0,COUNTIF(INDIRECT("'KERTAS KERJA'!K"&amp;(SMALL(IF(checklistPesertaKemenkeu!$AY$6:$AY$1005="Direkomendasikan",ROW($6:$1005)-5),643)+5)&amp;":O"&amp;(SMALL(IF(checklistPesertaKemenkeu!$AY$6:$AY$1005="Direkomendasikan",ROW($6:$1005)-5),643)+5)),INDEX(checklistPesertaKemenkeu!$N$6:$N$1005,SMALL(IF(checklistPesertaKemenkeu!$AY$6:$AY$1005="Direkomendasikan",ROW($6:$1005)-5),643)))=1),IFERROR(VLOOKUP(INDEX(checklistPesertaKemenkeu!$N$6:$N$1005,SMALL(IF(checklistPesertaKemenkeu!$AY$6:$AY$1005="Direkomendasikan",ROW($6:$1005)-5),643)),KotaKode,2,0),"-"),"")),"")</f>
        <v/>
      </c>
      <c r="K644" t="str">
        <f t="array" aca="1" ref="K644" ca="1">IFERROR(IF(OR(INDEX(checklistPesertaKemenkeu!$O$6:$O$1005,SMALL(IF(checklistPesertaKemenkeu!$AY$6:$AY$1005="Direkomendasikan",ROW($6:$1005)-5),643))="",INDEX(checklistPesertaKemenkeu!$J$6:$J$1005,SMALL(IF(checklistPesertaKemenkeu!$AY$6:$AY$1005="Direkomendasikan",ROW($6:$1005)-5),643))=""),"",IF(AND(COUNTIF(INDIRECT("K_"&amp;MATCH(INDEX(checklistPesertaKemenkeu!$J$6:$J$1005,SMALL(IF(checklistPesertaKemenkeu!$AY$6:$AY$1005="Direkomendasikan",ROW($6:$1005)-5),643)),BidangList,0)),INDEX(checklistPesertaKemenkeu!$O$6:$O$1005,SMALL(IF(checklistPesertaKemenkeu!$AY$6:$AY$1005="Direkomendasikan",ROW($6:$1005)-5),643)))&gt;0,COUNTIF(INDIRECT("'KERTAS KERJA'!K"&amp;(SMALL(IF(checklistPesertaKemenkeu!$AY$6:$AY$1005="Direkomendasikan",ROW($6:$1005)-5),643)+5)&amp;":O"&amp;(SMALL(IF(checklistPesertaKemenkeu!$AY$6:$AY$1005="Direkomendasikan",ROW($6:$1005)-5),643)+5)),INDEX(checklistPesertaKemenkeu!$O$6:$O$1005,SMALL(IF(checklistPesertaKemenkeu!$AY$6:$AY$1005="Direkomendasikan",ROW($6:$1005)-5),643)))=1),IFERROR(VLOOKUP(INDEX(checklistPesertaKemenkeu!$O$6:$O$1005,SMALL(IF(checklistPesertaKemenkeu!$AY$6:$AY$1005="Direkomendasikan",ROW($6:$1005)-5),643)),KotaKode,2,0),"-"),"")),"")</f>
        <v/>
      </c>
      <c r="L644" t="str">
        <f t="array" aca="1" ref="L644" ca="1">IFERROR(IF(OR(INDEX(checklistPesertaKemenkeu!$P$6:$P$1005,SMALL(IF(checklistPesertaKemenkeu!$AY$6:$AY$1005="Direkomendasikan",ROW($6:$1005)-5),643))="",INDEX(checklistPesertaKemenkeu!$J$6:$J$1005,SMALL(IF(checklistPesertaKemenkeu!$AY$6:$AY$1005="Direkomendasikan",ROW($6:$1005)-5),643))=""),"",IF(AND(COUNTIF(INDIRECT("K_"&amp;MATCH(INDEX(checklistPesertaKemenkeu!$J$6:$J$1005,SMALL(IF(checklistPesertaKemenkeu!$AY$6:$AY$1005="Direkomendasikan",ROW($6:$1005)-5),643)),BidangList,0)),INDEX(checklistPesertaKemenkeu!$P$6:$P$1005,SMALL(IF(checklistPesertaKemenkeu!$AY$6:$AY$1005="Direkomendasikan",ROW($6:$1005)-5),643)))&gt;0,COUNTIF(INDIRECT("'KERTAS KERJA'!K"&amp;(SMALL(IF(checklistPesertaKemenkeu!$AY$6:$AY$1005="Direkomendasikan",ROW($6:$1005)-5),643)+5)&amp;":O"&amp;(SMALL(IF(checklistPesertaKemenkeu!$AY$6:$AY$1005="Direkomendasikan",ROW($6:$1005)-5),643)+5)),INDEX(checklistPesertaKemenkeu!$P$6:$P$1005,SMALL(IF(checklistPesertaKemenkeu!$AY$6:$AY$1005="Direkomendasikan",ROW($6:$1005)-5),643)))=1),IFERROR(VLOOKUP(INDEX(checklistPesertaKemenkeu!$P$6:$P$1005,SMALL(IF(checklistPesertaKemenkeu!$AY$6:$AY$1005="Direkomendasikan",ROW($6:$1005)-5),643)),KotaKode,2,0),"-"),"")),"")</f>
        <v/>
      </c>
    </row>
    <row r="645" spans="1:12" ht="15" customHeight="1" x14ac:dyDescent="0.2">
      <c r="A645" t="str">
        <f t="shared" si="10"/>
        <v/>
      </c>
      <c r="B645" t="str">
        <v/>
      </c>
      <c r="C645" s="40" t="str">
        <f t="array" ref="C645">IFERROR(INDEX(checklistPesertaKemenkeu!$F$6:$F$1005,SMALL(IF(checklistPesertaKemenkeu!$AY$6:$AY$1005="Direkomendasikan",ROW($6:$1005)-5),644)),"")</f>
        <v/>
      </c>
      <c r="D645" t="str">
        <f t="array" ref="D645">IFERROR(INDEX(checklistPesertaKemenkeu!$G$6:$G$1005,SMALL(IF(checklistPesertaKemenkeu!$AY$6:$AY$1005="Direkomendasikan",ROW($6:$1005)-5),644)),"")</f>
        <v/>
      </c>
      <c r="E645" t="str">
        <f t="array" ref="E645">IFERROR(INDEX(checklistPesertaKemenkeu!$H$6:$H$1005,SMALL(IF(checklistPesertaKemenkeu!$AY$6:$AY$1005="Direkomendasikan",ROW($6:$1005)-5),644)),"")</f>
        <v/>
      </c>
      <c r="F645" t="str">
        <f t="array" ref="F645">IFERROR(INDEX(checklistPesertaKemenkeu!$I$6:$I$1005,SMALL(IF(checklistPesertaKemenkeu!$AY$6:$AY$1005="Direkomendasikan",ROW($6:$1005)-5),644)),"")</f>
        <v/>
      </c>
      <c r="G645" t="str">
        <f t="array" ref="G645">IFERROR(INDEX(checklistPesertaKemenkeu!$J$6:$J$1005,SMALL(IF(checklistPesertaKemenkeu!$AY$6:$AY$1005="Direkomendasikan",ROW($6:$1005)-5),644)),"")</f>
        <v/>
      </c>
      <c r="H645" t="str">
        <f t="array" aca="1" ref="H645" ca="1">IFERROR(IF(OR(INDEX(checklistPesertaKemenkeu!$L$6:$L$1005,SMALL(IF(checklistPesertaKemenkeu!$AY$6:$AY$1005="Direkomendasikan",ROW($6:$1005)-5),644))="",INDEX(checklistPesertaKemenkeu!$J$6:$J$1005,SMALL(IF(checklistPesertaKemenkeu!$AY$6:$AY$1005="Direkomendasikan",ROW($6:$1005)-5),644))=""),"",IF(AND(COUNTIF(INDIRECT("K_"&amp;MATCH(INDEX(checklistPesertaKemenkeu!$J$6:$J$1005,SMALL(IF(checklistPesertaKemenkeu!$AY$6:$AY$1005="Direkomendasikan",ROW($6:$1005)-5),644)),BidangList,0)),INDEX(checklistPesertaKemenkeu!$L$6:$L$1005,SMALL(IF(checklistPesertaKemenkeu!$AY$6:$AY$1005="Direkomendasikan",ROW($6:$1005)-5),644)))&gt;0,COUNTIF(INDIRECT("'KERTAS KERJA'!K"&amp;(SMALL(IF(checklistPesertaKemenkeu!$AY$6:$AY$1005="Direkomendasikan",ROW($6:$1005)-5),644)+5)&amp;":O"&amp;(SMALL(IF(checklistPesertaKemenkeu!$AY$6:$AY$1005="Direkomendasikan",ROW($6:$1005)-5),644)+5)),INDEX(checklistPesertaKemenkeu!$L$6:$L$1005,SMALL(IF(checklistPesertaKemenkeu!$AY$6:$AY$1005="Direkomendasikan",ROW($6:$1005)-5),644)))=1),IFERROR(VLOOKUP(INDEX(checklistPesertaKemenkeu!$L$6:$L$1005,SMALL(IF(checklistPesertaKemenkeu!$AY$6:$AY$1005="Direkomendasikan",ROW($6:$1005)-5),644)),KotaKode,2,0),"-"),"")),"")</f>
        <v/>
      </c>
      <c r="I645" t="str">
        <f t="array" aca="1" ref="I645" ca="1">IFERROR(IF(OR(INDEX(checklistPesertaKemenkeu!$M$6:$M$1005,SMALL(IF(checklistPesertaKemenkeu!$AY$6:$AY$1005="Direkomendasikan",ROW($6:$1005)-5),644))="",INDEX(checklistPesertaKemenkeu!$J$6:$J$1005,SMALL(IF(checklistPesertaKemenkeu!$AY$6:$AY$1005="Direkomendasikan",ROW($6:$1005)-5),644))=""),"",IF(AND(COUNTIF(INDIRECT("K_"&amp;MATCH(INDEX(checklistPesertaKemenkeu!$J$6:$J$1005,SMALL(IF(checklistPesertaKemenkeu!$AY$6:$AY$1005="Direkomendasikan",ROW($6:$1005)-5),644)),BidangList,0)),INDEX(checklistPesertaKemenkeu!$M$6:$M$1005,SMALL(IF(checklistPesertaKemenkeu!$AY$6:$AY$1005="Direkomendasikan",ROW($6:$1005)-5),644)))&gt;0,COUNTIF(INDIRECT("'KERTAS KERJA'!K"&amp;(SMALL(IF(checklistPesertaKemenkeu!$AY$6:$AY$1005="Direkomendasikan",ROW($6:$1005)-5),644)+5)&amp;":O"&amp;(SMALL(IF(checklistPesertaKemenkeu!$AY$6:$AY$1005="Direkomendasikan",ROW($6:$1005)-5),644)+5)),INDEX(checklistPesertaKemenkeu!$M$6:$M$1005,SMALL(IF(checklistPesertaKemenkeu!$AY$6:$AY$1005="Direkomendasikan",ROW($6:$1005)-5),644)))=1),IFERROR(VLOOKUP(INDEX(checklistPesertaKemenkeu!$M$6:$M$1005,SMALL(IF(checklistPesertaKemenkeu!$AY$6:$AY$1005="Direkomendasikan",ROW($6:$1005)-5),644)),KotaKode,2,0),"-"),"")),"")</f>
        <v/>
      </c>
      <c r="J645" t="str">
        <f t="array" aca="1" ref="J645" ca="1">IFERROR(IF(OR(INDEX(checklistPesertaKemenkeu!$N$6:$N$1005,SMALL(IF(checklistPesertaKemenkeu!$AY$6:$AY$1005="Direkomendasikan",ROW($6:$1005)-5),644))="",INDEX(checklistPesertaKemenkeu!$J$6:$J$1005,SMALL(IF(checklistPesertaKemenkeu!$AY$6:$AY$1005="Direkomendasikan",ROW($6:$1005)-5),644))=""),"",IF(AND(COUNTIF(INDIRECT("K_"&amp;MATCH(INDEX(checklistPesertaKemenkeu!$J$6:$J$1005,SMALL(IF(checklistPesertaKemenkeu!$AY$6:$AY$1005="Direkomendasikan",ROW($6:$1005)-5),644)),BidangList,0)),INDEX(checklistPesertaKemenkeu!$N$6:$N$1005,SMALL(IF(checklistPesertaKemenkeu!$AY$6:$AY$1005="Direkomendasikan",ROW($6:$1005)-5),644)))&gt;0,COUNTIF(INDIRECT("'KERTAS KERJA'!K"&amp;(SMALL(IF(checklistPesertaKemenkeu!$AY$6:$AY$1005="Direkomendasikan",ROW($6:$1005)-5),644)+5)&amp;":O"&amp;(SMALL(IF(checklistPesertaKemenkeu!$AY$6:$AY$1005="Direkomendasikan",ROW($6:$1005)-5),644)+5)),INDEX(checklistPesertaKemenkeu!$N$6:$N$1005,SMALL(IF(checklistPesertaKemenkeu!$AY$6:$AY$1005="Direkomendasikan",ROW($6:$1005)-5),644)))=1),IFERROR(VLOOKUP(INDEX(checklistPesertaKemenkeu!$N$6:$N$1005,SMALL(IF(checklistPesertaKemenkeu!$AY$6:$AY$1005="Direkomendasikan",ROW($6:$1005)-5),644)),KotaKode,2,0),"-"),"")),"")</f>
        <v/>
      </c>
      <c r="K645" t="str">
        <f t="array" aca="1" ref="K645" ca="1">IFERROR(IF(OR(INDEX(checklistPesertaKemenkeu!$O$6:$O$1005,SMALL(IF(checklistPesertaKemenkeu!$AY$6:$AY$1005="Direkomendasikan",ROW($6:$1005)-5),644))="",INDEX(checklistPesertaKemenkeu!$J$6:$J$1005,SMALL(IF(checklistPesertaKemenkeu!$AY$6:$AY$1005="Direkomendasikan",ROW($6:$1005)-5),644))=""),"",IF(AND(COUNTIF(INDIRECT("K_"&amp;MATCH(INDEX(checklistPesertaKemenkeu!$J$6:$J$1005,SMALL(IF(checklistPesertaKemenkeu!$AY$6:$AY$1005="Direkomendasikan",ROW($6:$1005)-5),644)),BidangList,0)),INDEX(checklistPesertaKemenkeu!$O$6:$O$1005,SMALL(IF(checklistPesertaKemenkeu!$AY$6:$AY$1005="Direkomendasikan",ROW($6:$1005)-5),644)))&gt;0,COUNTIF(INDIRECT("'KERTAS KERJA'!K"&amp;(SMALL(IF(checklistPesertaKemenkeu!$AY$6:$AY$1005="Direkomendasikan",ROW($6:$1005)-5),644)+5)&amp;":O"&amp;(SMALL(IF(checklistPesertaKemenkeu!$AY$6:$AY$1005="Direkomendasikan",ROW($6:$1005)-5),644)+5)),INDEX(checklistPesertaKemenkeu!$O$6:$O$1005,SMALL(IF(checklistPesertaKemenkeu!$AY$6:$AY$1005="Direkomendasikan",ROW($6:$1005)-5),644)))=1),IFERROR(VLOOKUP(INDEX(checklistPesertaKemenkeu!$O$6:$O$1005,SMALL(IF(checklistPesertaKemenkeu!$AY$6:$AY$1005="Direkomendasikan",ROW($6:$1005)-5),644)),KotaKode,2,0),"-"),"")),"")</f>
        <v/>
      </c>
      <c r="L645" t="str">
        <f t="array" aca="1" ref="L645" ca="1">IFERROR(IF(OR(INDEX(checklistPesertaKemenkeu!$P$6:$P$1005,SMALL(IF(checklistPesertaKemenkeu!$AY$6:$AY$1005="Direkomendasikan",ROW($6:$1005)-5),644))="",INDEX(checklistPesertaKemenkeu!$J$6:$J$1005,SMALL(IF(checklistPesertaKemenkeu!$AY$6:$AY$1005="Direkomendasikan",ROW($6:$1005)-5),644))=""),"",IF(AND(COUNTIF(INDIRECT("K_"&amp;MATCH(INDEX(checklistPesertaKemenkeu!$J$6:$J$1005,SMALL(IF(checklistPesertaKemenkeu!$AY$6:$AY$1005="Direkomendasikan",ROW($6:$1005)-5),644)),BidangList,0)),INDEX(checklistPesertaKemenkeu!$P$6:$P$1005,SMALL(IF(checklistPesertaKemenkeu!$AY$6:$AY$1005="Direkomendasikan",ROW($6:$1005)-5),644)))&gt;0,COUNTIF(INDIRECT("'KERTAS KERJA'!K"&amp;(SMALL(IF(checklistPesertaKemenkeu!$AY$6:$AY$1005="Direkomendasikan",ROW($6:$1005)-5),644)+5)&amp;":O"&amp;(SMALL(IF(checklistPesertaKemenkeu!$AY$6:$AY$1005="Direkomendasikan",ROW($6:$1005)-5),644)+5)),INDEX(checklistPesertaKemenkeu!$P$6:$P$1005,SMALL(IF(checklistPesertaKemenkeu!$AY$6:$AY$1005="Direkomendasikan",ROW($6:$1005)-5),644)))=1),IFERROR(VLOOKUP(INDEX(checklistPesertaKemenkeu!$P$6:$P$1005,SMALL(IF(checklistPesertaKemenkeu!$AY$6:$AY$1005="Direkomendasikan",ROW($6:$1005)-5),644)),KotaKode,2,0),"-"),"")),"")</f>
        <v/>
      </c>
    </row>
    <row r="646" spans="1:12" ht="15" customHeight="1" x14ac:dyDescent="0.2">
      <c r="A646" t="str">
        <f t="shared" si="10"/>
        <v/>
      </c>
      <c r="B646" t="str">
        <v/>
      </c>
      <c r="C646" s="40" t="str">
        <f t="array" ref="C646">IFERROR(INDEX(checklistPesertaKemenkeu!$F$6:$F$1005,SMALL(IF(checklistPesertaKemenkeu!$AY$6:$AY$1005="Direkomendasikan",ROW($6:$1005)-5),645)),"")</f>
        <v/>
      </c>
      <c r="D646" t="str">
        <f t="array" ref="D646">IFERROR(INDEX(checklistPesertaKemenkeu!$G$6:$G$1005,SMALL(IF(checklistPesertaKemenkeu!$AY$6:$AY$1005="Direkomendasikan",ROW($6:$1005)-5),645)),"")</f>
        <v/>
      </c>
      <c r="E646" t="str">
        <f t="array" ref="E646">IFERROR(INDEX(checklistPesertaKemenkeu!$H$6:$H$1005,SMALL(IF(checklistPesertaKemenkeu!$AY$6:$AY$1005="Direkomendasikan",ROW($6:$1005)-5),645)),"")</f>
        <v/>
      </c>
      <c r="F646" t="str">
        <f t="array" ref="F646">IFERROR(INDEX(checklistPesertaKemenkeu!$I$6:$I$1005,SMALL(IF(checklistPesertaKemenkeu!$AY$6:$AY$1005="Direkomendasikan",ROW($6:$1005)-5),645)),"")</f>
        <v/>
      </c>
      <c r="G646" t="str">
        <f t="array" ref="G646">IFERROR(INDEX(checklistPesertaKemenkeu!$J$6:$J$1005,SMALL(IF(checklistPesertaKemenkeu!$AY$6:$AY$1005="Direkomendasikan",ROW($6:$1005)-5),645)),"")</f>
        <v/>
      </c>
      <c r="H646" t="str">
        <f t="array" aca="1" ref="H646" ca="1">IFERROR(IF(OR(INDEX(checklistPesertaKemenkeu!$L$6:$L$1005,SMALL(IF(checklistPesertaKemenkeu!$AY$6:$AY$1005="Direkomendasikan",ROW($6:$1005)-5),645))="",INDEX(checklistPesertaKemenkeu!$J$6:$J$1005,SMALL(IF(checklistPesertaKemenkeu!$AY$6:$AY$1005="Direkomendasikan",ROW($6:$1005)-5),645))=""),"",IF(AND(COUNTIF(INDIRECT("K_"&amp;MATCH(INDEX(checklistPesertaKemenkeu!$J$6:$J$1005,SMALL(IF(checklistPesertaKemenkeu!$AY$6:$AY$1005="Direkomendasikan",ROW($6:$1005)-5),645)),BidangList,0)),INDEX(checklistPesertaKemenkeu!$L$6:$L$1005,SMALL(IF(checklistPesertaKemenkeu!$AY$6:$AY$1005="Direkomendasikan",ROW($6:$1005)-5),645)))&gt;0,COUNTIF(INDIRECT("'KERTAS KERJA'!K"&amp;(SMALL(IF(checklistPesertaKemenkeu!$AY$6:$AY$1005="Direkomendasikan",ROW($6:$1005)-5),645)+5)&amp;":O"&amp;(SMALL(IF(checklistPesertaKemenkeu!$AY$6:$AY$1005="Direkomendasikan",ROW($6:$1005)-5),645)+5)),INDEX(checklistPesertaKemenkeu!$L$6:$L$1005,SMALL(IF(checklistPesertaKemenkeu!$AY$6:$AY$1005="Direkomendasikan",ROW($6:$1005)-5),645)))=1),IFERROR(VLOOKUP(INDEX(checklistPesertaKemenkeu!$L$6:$L$1005,SMALL(IF(checklistPesertaKemenkeu!$AY$6:$AY$1005="Direkomendasikan",ROW($6:$1005)-5),645)),KotaKode,2,0),"-"),"")),"")</f>
        <v/>
      </c>
      <c r="I646" t="str">
        <f t="array" aca="1" ref="I646" ca="1">IFERROR(IF(OR(INDEX(checklistPesertaKemenkeu!$M$6:$M$1005,SMALL(IF(checklistPesertaKemenkeu!$AY$6:$AY$1005="Direkomendasikan",ROW($6:$1005)-5),645))="",INDEX(checklistPesertaKemenkeu!$J$6:$J$1005,SMALL(IF(checklistPesertaKemenkeu!$AY$6:$AY$1005="Direkomendasikan",ROW($6:$1005)-5),645))=""),"",IF(AND(COUNTIF(INDIRECT("K_"&amp;MATCH(INDEX(checklistPesertaKemenkeu!$J$6:$J$1005,SMALL(IF(checklistPesertaKemenkeu!$AY$6:$AY$1005="Direkomendasikan",ROW($6:$1005)-5),645)),BidangList,0)),INDEX(checklistPesertaKemenkeu!$M$6:$M$1005,SMALL(IF(checklistPesertaKemenkeu!$AY$6:$AY$1005="Direkomendasikan",ROW($6:$1005)-5),645)))&gt;0,COUNTIF(INDIRECT("'KERTAS KERJA'!K"&amp;(SMALL(IF(checklistPesertaKemenkeu!$AY$6:$AY$1005="Direkomendasikan",ROW($6:$1005)-5),645)+5)&amp;":O"&amp;(SMALL(IF(checklistPesertaKemenkeu!$AY$6:$AY$1005="Direkomendasikan",ROW($6:$1005)-5),645)+5)),INDEX(checklistPesertaKemenkeu!$M$6:$M$1005,SMALL(IF(checklistPesertaKemenkeu!$AY$6:$AY$1005="Direkomendasikan",ROW($6:$1005)-5),645)))=1),IFERROR(VLOOKUP(INDEX(checklistPesertaKemenkeu!$M$6:$M$1005,SMALL(IF(checklistPesertaKemenkeu!$AY$6:$AY$1005="Direkomendasikan",ROW($6:$1005)-5),645)),KotaKode,2,0),"-"),"")),"")</f>
        <v/>
      </c>
      <c r="J646" t="str">
        <f t="array" aca="1" ref="J646" ca="1">IFERROR(IF(OR(INDEX(checklistPesertaKemenkeu!$N$6:$N$1005,SMALL(IF(checklistPesertaKemenkeu!$AY$6:$AY$1005="Direkomendasikan",ROW($6:$1005)-5),645))="",INDEX(checklistPesertaKemenkeu!$J$6:$J$1005,SMALL(IF(checklistPesertaKemenkeu!$AY$6:$AY$1005="Direkomendasikan",ROW($6:$1005)-5),645))=""),"",IF(AND(COUNTIF(INDIRECT("K_"&amp;MATCH(INDEX(checklistPesertaKemenkeu!$J$6:$J$1005,SMALL(IF(checklistPesertaKemenkeu!$AY$6:$AY$1005="Direkomendasikan",ROW($6:$1005)-5),645)),BidangList,0)),INDEX(checklistPesertaKemenkeu!$N$6:$N$1005,SMALL(IF(checklistPesertaKemenkeu!$AY$6:$AY$1005="Direkomendasikan",ROW($6:$1005)-5),645)))&gt;0,COUNTIF(INDIRECT("'KERTAS KERJA'!K"&amp;(SMALL(IF(checklistPesertaKemenkeu!$AY$6:$AY$1005="Direkomendasikan",ROW($6:$1005)-5),645)+5)&amp;":O"&amp;(SMALL(IF(checklistPesertaKemenkeu!$AY$6:$AY$1005="Direkomendasikan",ROW($6:$1005)-5),645)+5)),INDEX(checklistPesertaKemenkeu!$N$6:$N$1005,SMALL(IF(checklistPesertaKemenkeu!$AY$6:$AY$1005="Direkomendasikan",ROW($6:$1005)-5),645)))=1),IFERROR(VLOOKUP(INDEX(checklistPesertaKemenkeu!$N$6:$N$1005,SMALL(IF(checklistPesertaKemenkeu!$AY$6:$AY$1005="Direkomendasikan",ROW($6:$1005)-5),645)),KotaKode,2,0),"-"),"")),"")</f>
        <v/>
      </c>
      <c r="K646" t="str">
        <f t="array" aca="1" ref="K646" ca="1">IFERROR(IF(OR(INDEX(checklistPesertaKemenkeu!$O$6:$O$1005,SMALL(IF(checklistPesertaKemenkeu!$AY$6:$AY$1005="Direkomendasikan",ROW($6:$1005)-5),645))="",INDEX(checklistPesertaKemenkeu!$J$6:$J$1005,SMALL(IF(checklistPesertaKemenkeu!$AY$6:$AY$1005="Direkomendasikan",ROW($6:$1005)-5),645))=""),"",IF(AND(COUNTIF(INDIRECT("K_"&amp;MATCH(INDEX(checklistPesertaKemenkeu!$J$6:$J$1005,SMALL(IF(checklistPesertaKemenkeu!$AY$6:$AY$1005="Direkomendasikan",ROW($6:$1005)-5),645)),BidangList,0)),INDEX(checklistPesertaKemenkeu!$O$6:$O$1005,SMALL(IF(checklistPesertaKemenkeu!$AY$6:$AY$1005="Direkomendasikan",ROW($6:$1005)-5),645)))&gt;0,COUNTIF(INDIRECT("'KERTAS KERJA'!K"&amp;(SMALL(IF(checklistPesertaKemenkeu!$AY$6:$AY$1005="Direkomendasikan",ROW($6:$1005)-5),645)+5)&amp;":O"&amp;(SMALL(IF(checklistPesertaKemenkeu!$AY$6:$AY$1005="Direkomendasikan",ROW($6:$1005)-5),645)+5)),INDEX(checklistPesertaKemenkeu!$O$6:$O$1005,SMALL(IF(checklistPesertaKemenkeu!$AY$6:$AY$1005="Direkomendasikan",ROW($6:$1005)-5),645)))=1),IFERROR(VLOOKUP(INDEX(checklistPesertaKemenkeu!$O$6:$O$1005,SMALL(IF(checklistPesertaKemenkeu!$AY$6:$AY$1005="Direkomendasikan",ROW($6:$1005)-5),645)),KotaKode,2,0),"-"),"")),"")</f>
        <v/>
      </c>
      <c r="L646" t="str">
        <f t="array" aca="1" ref="L646" ca="1">IFERROR(IF(OR(INDEX(checklistPesertaKemenkeu!$P$6:$P$1005,SMALL(IF(checklistPesertaKemenkeu!$AY$6:$AY$1005="Direkomendasikan",ROW($6:$1005)-5),645))="",INDEX(checklistPesertaKemenkeu!$J$6:$J$1005,SMALL(IF(checklistPesertaKemenkeu!$AY$6:$AY$1005="Direkomendasikan",ROW($6:$1005)-5),645))=""),"",IF(AND(COUNTIF(INDIRECT("K_"&amp;MATCH(INDEX(checklistPesertaKemenkeu!$J$6:$J$1005,SMALL(IF(checklistPesertaKemenkeu!$AY$6:$AY$1005="Direkomendasikan",ROW($6:$1005)-5),645)),BidangList,0)),INDEX(checklistPesertaKemenkeu!$P$6:$P$1005,SMALL(IF(checklistPesertaKemenkeu!$AY$6:$AY$1005="Direkomendasikan",ROW($6:$1005)-5),645)))&gt;0,COUNTIF(INDIRECT("'KERTAS KERJA'!K"&amp;(SMALL(IF(checklistPesertaKemenkeu!$AY$6:$AY$1005="Direkomendasikan",ROW($6:$1005)-5),645)+5)&amp;":O"&amp;(SMALL(IF(checklistPesertaKemenkeu!$AY$6:$AY$1005="Direkomendasikan",ROW($6:$1005)-5),645)+5)),INDEX(checklistPesertaKemenkeu!$P$6:$P$1005,SMALL(IF(checklistPesertaKemenkeu!$AY$6:$AY$1005="Direkomendasikan",ROW($6:$1005)-5),645)))=1),IFERROR(VLOOKUP(INDEX(checklistPesertaKemenkeu!$P$6:$P$1005,SMALL(IF(checklistPesertaKemenkeu!$AY$6:$AY$1005="Direkomendasikan",ROW($6:$1005)-5),645)),KotaKode,2,0),"-"),"")),"")</f>
        <v/>
      </c>
    </row>
    <row r="647" spans="1:12" ht="15" customHeight="1" x14ac:dyDescent="0.2">
      <c r="A647" t="str">
        <f t="shared" si="10"/>
        <v/>
      </c>
      <c r="B647" t="str">
        <v/>
      </c>
      <c r="C647" s="40" t="str">
        <f t="array" ref="C647">IFERROR(INDEX(checklistPesertaKemenkeu!$F$6:$F$1005,SMALL(IF(checklistPesertaKemenkeu!$AY$6:$AY$1005="Direkomendasikan",ROW($6:$1005)-5),646)),"")</f>
        <v/>
      </c>
      <c r="D647" t="str">
        <f t="array" ref="D647">IFERROR(INDEX(checklistPesertaKemenkeu!$G$6:$G$1005,SMALL(IF(checklistPesertaKemenkeu!$AY$6:$AY$1005="Direkomendasikan",ROW($6:$1005)-5),646)),"")</f>
        <v/>
      </c>
      <c r="E647" t="str">
        <f t="array" ref="E647">IFERROR(INDEX(checklistPesertaKemenkeu!$H$6:$H$1005,SMALL(IF(checklistPesertaKemenkeu!$AY$6:$AY$1005="Direkomendasikan",ROW($6:$1005)-5),646)),"")</f>
        <v/>
      </c>
      <c r="F647" t="str">
        <f t="array" ref="F647">IFERROR(INDEX(checklistPesertaKemenkeu!$I$6:$I$1005,SMALL(IF(checklistPesertaKemenkeu!$AY$6:$AY$1005="Direkomendasikan",ROW($6:$1005)-5),646)),"")</f>
        <v/>
      </c>
      <c r="G647" t="str">
        <f t="array" ref="G647">IFERROR(INDEX(checklistPesertaKemenkeu!$J$6:$J$1005,SMALL(IF(checklistPesertaKemenkeu!$AY$6:$AY$1005="Direkomendasikan",ROW($6:$1005)-5),646)),"")</f>
        <v/>
      </c>
      <c r="H647" t="str">
        <f t="array" aca="1" ref="H647" ca="1">IFERROR(IF(OR(INDEX(checklistPesertaKemenkeu!$L$6:$L$1005,SMALL(IF(checklistPesertaKemenkeu!$AY$6:$AY$1005="Direkomendasikan",ROW($6:$1005)-5),646))="",INDEX(checklistPesertaKemenkeu!$J$6:$J$1005,SMALL(IF(checklistPesertaKemenkeu!$AY$6:$AY$1005="Direkomendasikan",ROW($6:$1005)-5),646))=""),"",IF(AND(COUNTIF(INDIRECT("K_"&amp;MATCH(INDEX(checklistPesertaKemenkeu!$J$6:$J$1005,SMALL(IF(checklistPesertaKemenkeu!$AY$6:$AY$1005="Direkomendasikan",ROW($6:$1005)-5),646)),BidangList,0)),INDEX(checklistPesertaKemenkeu!$L$6:$L$1005,SMALL(IF(checklistPesertaKemenkeu!$AY$6:$AY$1005="Direkomendasikan",ROW($6:$1005)-5),646)))&gt;0,COUNTIF(INDIRECT("'KERTAS KERJA'!K"&amp;(SMALL(IF(checklistPesertaKemenkeu!$AY$6:$AY$1005="Direkomendasikan",ROW($6:$1005)-5),646)+5)&amp;":O"&amp;(SMALL(IF(checklistPesertaKemenkeu!$AY$6:$AY$1005="Direkomendasikan",ROW($6:$1005)-5),646)+5)),INDEX(checklistPesertaKemenkeu!$L$6:$L$1005,SMALL(IF(checklistPesertaKemenkeu!$AY$6:$AY$1005="Direkomendasikan",ROW($6:$1005)-5),646)))=1),IFERROR(VLOOKUP(INDEX(checklistPesertaKemenkeu!$L$6:$L$1005,SMALL(IF(checklistPesertaKemenkeu!$AY$6:$AY$1005="Direkomendasikan",ROW($6:$1005)-5),646)),KotaKode,2,0),"-"),"")),"")</f>
        <v/>
      </c>
      <c r="I647" t="str">
        <f t="array" aca="1" ref="I647" ca="1">IFERROR(IF(OR(INDEX(checklistPesertaKemenkeu!$M$6:$M$1005,SMALL(IF(checklistPesertaKemenkeu!$AY$6:$AY$1005="Direkomendasikan",ROW($6:$1005)-5),646))="",INDEX(checklistPesertaKemenkeu!$J$6:$J$1005,SMALL(IF(checklistPesertaKemenkeu!$AY$6:$AY$1005="Direkomendasikan",ROW($6:$1005)-5),646))=""),"",IF(AND(COUNTIF(INDIRECT("K_"&amp;MATCH(INDEX(checklistPesertaKemenkeu!$J$6:$J$1005,SMALL(IF(checklistPesertaKemenkeu!$AY$6:$AY$1005="Direkomendasikan",ROW($6:$1005)-5),646)),BidangList,0)),INDEX(checklistPesertaKemenkeu!$M$6:$M$1005,SMALL(IF(checklistPesertaKemenkeu!$AY$6:$AY$1005="Direkomendasikan",ROW($6:$1005)-5),646)))&gt;0,COUNTIF(INDIRECT("'KERTAS KERJA'!K"&amp;(SMALL(IF(checklistPesertaKemenkeu!$AY$6:$AY$1005="Direkomendasikan",ROW($6:$1005)-5),646)+5)&amp;":O"&amp;(SMALL(IF(checklistPesertaKemenkeu!$AY$6:$AY$1005="Direkomendasikan",ROW($6:$1005)-5),646)+5)),INDEX(checklistPesertaKemenkeu!$M$6:$M$1005,SMALL(IF(checklistPesertaKemenkeu!$AY$6:$AY$1005="Direkomendasikan",ROW($6:$1005)-5),646)))=1),IFERROR(VLOOKUP(INDEX(checklistPesertaKemenkeu!$M$6:$M$1005,SMALL(IF(checklistPesertaKemenkeu!$AY$6:$AY$1005="Direkomendasikan",ROW($6:$1005)-5),646)),KotaKode,2,0),"-"),"")),"")</f>
        <v/>
      </c>
      <c r="J647" t="str">
        <f t="array" aca="1" ref="J647" ca="1">IFERROR(IF(OR(INDEX(checklistPesertaKemenkeu!$N$6:$N$1005,SMALL(IF(checklistPesertaKemenkeu!$AY$6:$AY$1005="Direkomendasikan",ROW($6:$1005)-5),646))="",INDEX(checklistPesertaKemenkeu!$J$6:$J$1005,SMALL(IF(checklistPesertaKemenkeu!$AY$6:$AY$1005="Direkomendasikan",ROW($6:$1005)-5),646))=""),"",IF(AND(COUNTIF(INDIRECT("K_"&amp;MATCH(INDEX(checklistPesertaKemenkeu!$J$6:$J$1005,SMALL(IF(checklistPesertaKemenkeu!$AY$6:$AY$1005="Direkomendasikan",ROW($6:$1005)-5),646)),BidangList,0)),INDEX(checklistPesertaKemenkeu!$N$6:$N$1005,SMALL(IF(checklistPesertaKemenkeu!$AY$6:$AY$1005="Direkomendasikan",ROW($6:$1005)-5),646)))&gt;0,COUNTIF(INDIRECT("'KERTAS KERJA'!K"&amp;(SMALL(IF(checklistPesertaKemenkeu!$AY$6:$AY$1005="Direkomendasikan",ROW($6:$1005)-5),646)+5)&amp;":O"&amp;(SMALL(IF(checklistPesertaKemenkeu!$AY$6:$AY$1005="Direkomendasikan",ROW($6:$1005)-5),646)+5)),INDEX(checklistPesertaKemenkeu!$N$6:$N$1005,SMALL(IF(checklistPesertaKemenkeu!$AY$6:$AY$1005="Direkomendasikan",ROW($6:$1005)-5),646)))=1),IFERROR(VLOOKUP(INDEX(checklistPesertaKemenkeu!$N$6:$N$1005,SMALL(IF(checklistPesertaKemenkeu!$AY$6:$AY$1005="Direkomendasikan",ROW($6:$1005)-5),646)),KotaKode,2,0),"-"),"")),"")</f>
        <v/>
      </c>
      <c r="K647" t="str">
        <f t="array" aca="1" ref="K647" ca="1">IFERROR(IF(OR(INDEX(checklistPesertaKemenkeu!$O$6:$O$1005,SMALL(IF(checklistPesertaKemenkeu!$AY$6:$AY$1005="Direkomendasikan",ROW($6:$1005)-5),646))="",INDEX(checklistPesertaKemenkeu!$J$6:$J$1005,SMALL(IF(checklistPesertaKemenkeu!$AY$6:$AY$1005="Direkomendasikan",ROW($6:$1005)-5),646))=""),"",IF(AND(COUNTIF(INDIRECT("K_"&amp;MATCH(INDEX(checklistPesertaKemenkeu!$J$6:$J$1005,SMALL(IF(checklistPesertaKemenkeu!$AY$6:$AY$1005="Direkomendasikan",ROW($6:$1005)-5),646)),BidangList,0)),INDEX(checklistPesertaKemenkeu!$O$6:$O$1005,SMALL(IF(checklistPesertaKemenkeu!$AY$6:$AY$1005="Direkomendasikan",ROW($6:$1005)-5),646)))&gt;0,COUNTIF(INDIRECT("'KERTAS KERJA'!K"&amp;(SMALL(IF(checklistPesertaKemenkeu!$AY$6:$AY$1005="Direkomendasikan",ROW($6:$1005)-5),646)+5)&amp;":O"&amp;(SMALL(IF(checklistPesertaKemenkeu!$AY$6:$AY$1005="Direkomendasikan",ROW($6:$1005)-5),646)+5)),INDEX(checklistPesertaKemenkeu!$O$6:$O$1005,SMALL(IF(checklistPesertaKemenkeu!$AY$6:$AY$1005="Direkomendasikan",ROW($6:$1005)-5),646)))=1),IFERROR(VLOOKUP(INDEX(checklistPesertaKemenkeu!$O$6:$O$1005,SMALL(IF(checklistPesertaKemenkeu!$AY$6:$AY$1005="Direkomendasikan",ROW($6:$1005)-5),646)),KotaKode,2,0),"-"),"")),"")</f>
        <v/>
      </c>
      <c r="L647" t="str">
        <f t="array" aca="1" ref="L647" ca="1">IFERROR(IF(OR(INDEX(checklistPesertaKemenkeu!$P$6:$P$1005,SMALL(IF(checklistPesertaKemenkeu!$AY$6:$AY$1005="Direkomendasikan",ROW($6:$1005)-5),646))="",INDEX(checklistPesertaKemenkeu!$J$6:$J$1005,SMALL(IF(checklistPesertaKemenkeu!$AY$6:$AY$1005="Direkomendasikan",ROW($6:$1005)-5),646))=""),"",IF(AND(COUNTIF(INDIRECT("K_"&amp;MATCH(INDEX(checklistPesertaKemenkeu!$J$6:$J$1005,SMALL(IF(checklistPesertaKemenkeu!$AY$6:$AY$1005="Direkomendasikan",ROW($6:$1005)-5),646)),BidangList,0)),INDEX(checklistPesertaKemenkeu!$P$6:$P$1005,SMALL(IF(checklistPesertaKemenkeu!$AY$6:$AY$1005="Direkomendasikan",ROW($6:$1005)-5),646)))&gt;0,COUNTIF(INDIRECT("'KERTAS KERJA'!K"&amp;(SMALL(IF(checklistPesertaKemenkeu!$AY$6:$AY$1005="Direkomendasikan",ROW($6:$1005)-5),646)+5)&amp;":O"&amp;(SMALL(IF(checklistPesertaKemenkeu!$AY$6:$AY$1005="Direkomendasikan",ROW($6:$1005)-5),646)+5)),INDEX(checklistPesertaKemenkeu!$P$6:$P$1005,SMALL(IF(checklistPesertaKemenkeu!$AY$6:$AY$1005="Direkomendasikan",ROW($6:$1005)-5),646)))=1),IFERROR(VLOOKUP(INDEX(checklistPesertaKemenkeu!$P$6:$P$1005,SMALL(IF(checklistPesertaKemenkeu!$AY$6:$AY$1005="Direkomendasikan",ROW($6:$1005)-5),646)),KotaKode,2,0),"-"),"")),"")</f>
        <v/>
      </c>
    </row>
    <row r="648" spans="1:12" ht="15" customHeight="1" x14ac:dyDescent="0.2">
      <c r="A648" t="str">
        <f t="shared" si="10"/>
        <v/>
      </c>
      <c r="B648" t="str">
        <v/>
      </c>
      <c r="C648" s="40" t="str">
        <f t="array" ref="C648">IFERROR(INDEX(checklistPesertaKemenkeu!$F$6:$F$1005,SMALL(IF(checklistPesertaKemenkeu!$AY$6:$AY$1005="Direkomendasikan",ROW($6:$1005)-5),647)),"")</f>
        <v/>
      </c>
      <c r="D648" t="str">
        <f t="array" ref="D648">IFERROR(INDEX(checklistPesertaKemenkeu!$G$6:$G$1005,SMALL(IF(checklistPesertaKemenkeu!$AY$6:$AY$1005="Direkomendasikan",ROW($6:$1005)-5),647)),"")</f>
        <v/>
      </c>
      <c r="E648" t="str">
        <f t="array" ref="E648">IFERROR(INDEX(checklistPesertaKemenkeu!$H$6:$H$1005,SMALL(IF(checklistPesertaKemenkeu!$AY$6:$AY$1005="Direkomendasikan",ROW($6:$1005)-5),647)),"")</f>
        <v/>
      </c>
      <c r="F648" t="str">
        <f t="array" ref="F648">IFERROR(INDEX(checklistPesertaKemenkeu!$I$6:$I$1005,SMALL(IF(checklistPesertaKemenkeu!$AY$6:$AY$1005="Direkomendasikan",ROW($6:$1005)-5),647)),"")</f>
        <v/>
      </c>
      <c r="G648" t="str">
        <f t="array" ref="G648">IFERROR(INDEX(checklistPesertaKemenkeu!$J$6:$J$1005,SMALL(IF(checklistPesertaKemenkeu!$AY$6:$AY$1005="Direkomendasikan",ROW($6:$1005)-5),647)),"")</f>
        <v/>
      </c>
      <c r="H648" t="str">
        <f t="array" aca="1" ref="H648" ca="1">IFERROR(IF(OR(INDEX(checklistPesertaKemenkeu!$L$6:$L$1005,SMALL(IF(checklistPesertaKemenkeu!$AY$6:$AY$1005="Direkomendasikan",ROW($6:$1005)-5),647))="",INDEX(checklistPesertaKemenkeu!$J$6:$J$1005,SMALL(IF(checklistPesertaKemenkeu!$AY$6:$AY$1005="Direkomendasikan",ROW($6:$1005)-5),647))=""),"",IF(AND(COUNTIF(INDIRECT("K_"&amp;MATCH(INDEX(checklistPesertaKemenkeu!$J$6:$J$1005,SMALL(IF(checklistPesertaKemenkeu!$AY$6:$AY$1005="Direkomendasikan",ROW($6:$1005)-5),647)),BidangList,0)),INDEX(checklistPesertaKemenkeu!$L$6:$L$1005,SMALL(IF(checklistPesertaKemenkeu!$AY$6:$AY$1005="Direkomendasikan",ROW($6:$1005)-5),647)))&gt;0,COUNTIF(INDIRECT("'KERTAS KERJA'!K"&amp;(SMALL(IF(checklistPesertaKemenkeu!$AY$6:$AY$1005="Direkomendasikan",ROW($6:$1005)-5),647)+5)&amp;":O"&amp;(SMALL(IF(checklistPesertaKemenkeu!$AY$6:$AY$1005="Direkomendasikan",ROW($6:$1005)-5),647)+5)),INDEX(checklistPesertaKemenkeu!$L$6:$L$1005,SMALL(IF(checklistPesertaKemenkeu!$AY$6:$AY$1005="Direkomendasikan",ROW($6:$1005)-5),647)))=1),IFERROR(VLOOKUP(INDEX(checklistPesertaKemenkeu!$L$6:$L$1005,SMALL(IF(checklistPesertaKemenkeu!$AY$6:$AY$1005="Direkomendasikan",ROW($6:$1005)-5),647)),KotaKode,2,0),"-"),"")),"")</f>
        <v/>
      </c>
      <c r="I648" t="str">
        <f t="array" aca="1" ref="I648" ca="1">IFERROR(IF(OR(INDEX(checklistPesertaKemenkeu!$M$6:$M$1005,SMALL(IF(checklistPesertaKemenkeu!$AY$6:$AY$1005="Direkomendasikan",ROW($6:$1005)-5),647))="",INDEX(checklistPesertaKemenkeu!$J$6:$J$1005,SMALL(IF(checklistPesertaKemenkeu!$AY$6:$AY$1005="Direkomendasikan",ROW($6:$1005)-5),647))=""),"",IF(AND(COUNTIF(INDIRECT("K_"&amp;MATCH(INDEX(checklistPesertaKemenkeu!$J$6:$J$1005,SMALL(IF(checklistPesertaKemenkeu!$AY$6:$AY$1005="Direkomendasikan",ROW($6:$1005)-5),647)),BidangList,0)),INDEX(checklistPesertaKemenkeu!$M$6:$M$1005,SMALL(IF(checklistPesertaKemenkeu!$AY$6:$AY$1005="Direkomendasikan",ROW($6:$1005)-5),647)))&gt;0,COUNTIF(INDIRECT("'KERTAS KERJA'!K"&amp;(SMALL(IF(checklistPesertaKemenkeu!$AY$6:$AY$1005="Direkomendasikan",ROW($6:$1005)-5),647)+5)&amp;":O"&amp;(SMALL(IF(checklistPesertaKemenkeu!$AY$6:$AY$1005="Direkomendasikan",ROW($6:$1005)-5),647)+5)),INDEX(checklistPesertaKemenkeu!$M$6:$M$1005,SMALL(IF(checklistPesertaKemenkeu!$AY$6:$AY$1005="Direkomendasikan",ROW($6:$1005)-5),647)))=1),IFERROR(VLOOKUP(INDEX(checklistPesertaKemenkeu!$M$6:$M$1005,SMALL(IF(checklistPesertaKemenkeu!$AY$6:$AY$1005="Direkomendasikan",ROW($6:$1005)-5),647)),KotaKode,2,0),"-"),"")),"")</f>
        <v/>
      </c>
      <c r="J648" t="str">
        <f t="array" aca="1" ref="J648" ca="1">IFERROR(IF(OR(INDEX(checklistPesertaKemenkeu!$N$6:$N$1005,SMALL(IF(checklistPesertaKemenkeu!$AY$6:$AY$1005="Direkomendasikan",ROW($6:$1005)-5),647))="",INDEX(checklistPesertaKemenkeu!$J$6:$J$1005,SMALL(IF(checklistPesertaKemenkeu!$AY$6:$AY$1005="Direkomendasikan",ROW($6:$1005)-5),647))=""),"",IF(AND(COUNTIF(INDIRECT("K_"&amp;MATCH(INDEX(checklistPesertaKemenkeu!$J$6:$J$1005,SMALL(IF(checklistPesertaKemenkeu!$AY$6:$AY$1005="Direkomendasikan",ROW($6:$1005)-5),647)),BidangList,0)),INDEX(checklistPesertaKemenkeu!$N$6:$N$1005,SMALL(IF(checklistPesertaKemenkeu!$AY$6:$AY$1005="Direkomendasikan",ROW($6:$1005)-5),647)))&gt;0,COUNTIF(INDIRECT("'KERTAS KERJA'!K"&amp;(SMALL(IF(checklistPesertaKemenkeu!$AY$6:$AY$1005="Direkomendasikan",ROW($6:$1005)-5),647)+5)&amp;":O"&amp;(SMALL(IF(checklistPesertaKemenkeu!$AY$6:$AY$1005="Direkomendasikan",ROW($6:$1005)-5),647)+5)),INDEX(checklistPesertaKemenkeu!$N$6:$N$1005,SMALL(IF(checklistPesertaKemenkeu!$AY$6:$AY$1005="Direkomendasikan",ROW($6:$1005)-5),647)))=1),IFERROR(VLOOKUP(INDEX(checklistPesertaKemenkeu!$N$6:$N$1005,SMALL(IF(checklistPesertaKemenkeu!$AY$6:$AY$1005="Direkomendasikan",ROW($6:$1005)-5),647)),KotaKode,2,0),"-"),"")),"")</f>
        <v/>
      </c>
      <c r="K648" t="str">
        <f t="array" aca="1" ref="K648" ca="1">IFERROR(IF(OR(INDEX(checklistPesertaKemenkeu!$O$6:$O$1005,SMALL(IF(checklistPesertaKemenkeu!$AY$6:$AY$1005="Direkomendasikan",ROW($6:$1005)-5),647))="",INDEX(checklistPesertaKemenkeu!$J$6:$J$1005,SMALL(IF(checklistPesertaKemenkeu!$AY$6:$AY$1005="Direkomendasikan",ROW($6:$1005)-5),647))=""),"",IF(AND(COUNTIF(INDIRECT("K_"&amp;MATCH(INDEX(checklistPesertaKemenkeu!$J$6:$J$1005,SMALL(IF(checklistPesertaKemenkeu!$AY$6:$AY$1005="Direkomendasikan",ROW($6:$1005)-5),647)),BidangList,0)),INDEX(checklistPesertaKemenkeu!$O$6:$O$1005,SMALL(IF(checklistPesertaKemenkeu!$AY$6:$AY$1005="Direkomendasikan",ROW($6:$1005)-5),647)))&gt;0,COUNTIF(INDIRECT("'KERTAS KERJA'!K"&amp;(SMALL(IF(checklistPesertaKemenkeu!$AY$6:$AY$1005="Direkomendasikan",ROW($6:$1005)-5),647)+5)&amp;":O"&amp;(SMALL(IF(checklistPesertaKemenkeu!$AY$6:$AY$1005="Direkomendasikan",ROW($6:$1005)-5),647)+5)),INDEX(checklistPesertaKemenkeu!$O$6:$O$1005,SMALL(IF(checklistPesertaKemenkeu!$AY$6:$AY$1005="Direkomendasikan",ROW($6:$1005)-5),647)))=1),IFERROR(VLOOKUP(INDEX(checklistPesertaKemenkeu!$O$6:$O$1005,SMALL(IF(checklistPesertaKemenkeu!$AY$6:$AY$1005="Direkomendasikan",ROW($6:$1005)-5),647)),KotaKode,2,0),"-"),"")),"")</f>
        <v/>
      </c>
      <c r="L648" t="str">
        <f t="array" aca="1" ref="L648" ca="1">IFERROR(IF(OR(INDEX(checklistPesertaKemenkeu!$P$6:$P$1005,SMALL(IF(checklistPesertaKemenkeu!$AY$6:$AY$1005="Direkomendasikan",ROW($6:$1005)-5),647))="",INDEX(checklistPesertaKemenkeu!$J$6:$J$1005,SMALL(IF(checklistPesertaKemenkeu!$AY$6:$AY$1005="Direkomendasikan",ROW($6:$1005)-5),647))=""),"",IF(AND(COUNTIF(INDIRECT("K_"&amp;MATCH(INDEX(checklistPesertaKemenkeu!$J$6:$J$1005,SMALL(IF(checklistPesertaKemenkeu!$AY$6:$AY$1005="Direkomendasikan",ROW($6:$1005)-5),647)),BidangList,0)),INDEX(checklistPesertaKemenkeu!$P$6:$P$1005,SMALL(IF(checklistPesertaKemenkeu!$AY$6:$AY$1005="Direkomendasikan",ROW($6:$1005)-5),647)))&gt;0,COUNTIF(INDIRECT("'KERTAS KERJA'!K"&amp;(SMALL(IF(checklistPesertaKemenkeu!$AY$6:$AY$1005="Direkomendasikan",ROW($6:$1005)-5),647)+5)&amp;":O"&amp;(SMALL(IF(checklistPesertaKemenkeu!$AY$6:$AY$1005="Direkomendasikan",ROW($6:$1005)-5),647)+5)),INDEX(checklistPesertaKemenkeu!$P$6:$P$1005,SMALL(IF(checklistPesertaKemenkeu!$AY$6:$AY$1005="Direkomendasikan",ROW($6:$1005)-5),647)))=1),IFERROR(VLOOKUP(INDEX(checklistPesertaKemenkeu!$P$6:$P$1005,SMALL(IF(checklistPesertaKemenkeu!$AY$6:$AY$1005="Direkomendasikan",ROW($6:$1005)-5),647)),KotaKode,2,0),"-"),"")),"")</f>
        <v/>
      </c>
    </row>
    <row r="649" spans="1:12" ht="15" customHeight="1" x14ac:dyDescent="0.2">
      <c r="A649" t="str">
        <f t="shared" si="10"/>
        <v/>
      </c>
      <c r="B649" t="str">
        <v/>
      </c>
      <c r="C649" s="40" t="str">
        <f t="array" ref="C649">IFERROR(INDEX(checklistPesertaKemenkeu!$F$6:$F$1005,SMALL(IF(checklistPesertaKemenkeu!$AY$6:$AY$1005="Direkomendasikan",ROW($6:$1005)-5),648)),"")</f>
        <v/>
      </c>
      <c r="D649" t="str">
        <f t="array" ref="D649">IFERROR(INDEX(checklistPesertaKemenkeu!$G$6:$G$1005,SMALL(IF(checklistPesertaKemenkeu!$AY$6:$AY$1005="Direkomendasikan",ROW($6:$1005)-5),648)),"")</f>
        <v/>
      </c>
      <c r="E649" t="str">
        <f t="array" ref="E649">IFERROR(INDEX(checklistPesertaKemenkeu!$H$6:$H$1005,SMALL(IF(checklistPesertaKemenkeu!$AY$6:$AY$1005="Direkomendasikan",ROW($6:$1005)-5),648)),"")</f>
        <v/>
      </c>
      <c r="F649" t="str">
        <f t="array" ref="F649">IFERROR(INDEX(checklistPesertaKemenkeu!$I$6:$I$1005,SMALL(IF(checklistPesertaKemenkeu!$AY$6:$AY$1005="Direkomendasikan",ROW($6:$1005)-5),648)),"")</f>
        <v/>
      </c>
      <c r="G649" t="str">
        <f t="array" ref="G649">IFERROR(INDEX(checklistPesertaKemenkeu!$J$6:$J$1005,SMALL(IF(checklistPesertaKemenkeu!$AY$6:$AY$1005="Direkomendasikan",ROW($6:$1005)-5),648)),"")</f>
        <v/>
      </c>
      <c r="H649" t="str">
        <f t="array" aca="1" ref="H649" ca="1">IFERROR(IF(OR(INDEX(checklistPesertaKemenkeu!$L$6:$L$1005,SMALL(IF(checklistPesertaKemenkeu!$AY$6:$AY$1005="Direkomendasikan",ROW($6:$1005)-5),648))="",INDEX(checklistPesertaKemenkeu!$J$6:$J$1005,SMALL(IF(checklistPesertaKemenkeu!$AY$6:$AY$1005="Direkomendasikan",ROW($6:$1005)-5),648))=""),"",IF(AND(COUNTIF(INDIRECT("K_"&amp;MATCH(INDEX(checklistPesertaKemenkeu!$J$6:$J$1005,SMALL(IF(checklistPesertaKemenkeu!$AY$6:$AY$1005="Direkomendasikan",ROW($6:$1005)-5),648)),BidangList,0)),INDEX(checklistPesertaKemenkeu!$L$6:$L$1005,SMALL(IF(checklistPesertaKemenkeu!$AY$6:$AY$1005="Direkomendasikan",ROW($6:$1005)-5),648)))&gt;0,COUNTIF(INDIRECT("'KERTAS KERJA'!K"&amp;(SMALL(IF(checklistPesertaKemenkeu!$AY$6:$AY$1005="Direkomendasikan",ROW($6:$1005)-5),648)+5)&amp;":O"&amp;(SMALL(IF(checklistPesertaKemenkeu!$AY$6:$AY$1005="Direkomendasikan",ROW($6:$1005)-5),648)+5)),INDEX(checklistPesertaKemenkeu!$L$6:$L$1005,SMALL(IF(checklistPesertaKemenkeu!$AY$6:$AY$1005="Direkomendasikan",ROW($6:$1005)-5),648)))=1),IFERROR(VLOOKUP(INDEX(checklistPesertaKemenkeu!$L$6:$L$1005,SMALL(IF(checklistPesertaKemenkeu!$AY$6:$AY$1005="Direkomendasikan",ROW($6:$1005)-5),648)),KotaKode,2,0),"-"),"")),"")</f>
        <v/>
      </c>
      <c r="I649" t="str">
        <f t="array" aca="1" ref="I649" ca="1">IFERROR(IF(OR(INDEX(checklistPesertaKemenkeu!$M$6:$M$1005,SMALL(IF(checklistPesertaKemenkeu!$AY$6:$AY$1005="Direkomendasikan",ROW($6:$1005)-5),648))="",INDEX(checklistPesertaKemenkeu!$J$6:$J$1005,SMALL(IF(checklistPesertaKemenkeu!$AY$6:$AY$1005="Direkomendasikan",ROW($6:$1005)-5),648))=""),"",IF(AND(COUNTIF(INDIRECT("K_"&amp;MATCH(INDEX(checklistPesertaKemenkeu!$J$6:$J$1005,SMALL(IF(checklistPesertaKemenkeu!$AY$6:$AY$1005="Direkomendasikan",ROW($6:$1005)-5),648)),BidangList,0)),INDEX(checklistPesertaKemenkeu!$M$6:$M$1005,SMALL(IF(checklistPesertaKemenkeu!$AY$6:$AY$1005="Direkomendasikan",ROW($6:$1005)-5),648)))&gt;0,COUNTIF(INDIRECT("'KERTAS KERJA'!K"&amp;(SMALL(IF(checklistPesertaKemenkeu!$AY$6:$AY$1005="Direkomendasikan",ROW($6:$1005)-5),648)+5)&amp;":O"&amp;(SMALL(IF(checklistPesertaKemenkeu!$AY$6:$AY$1005="Direkomendasikan",ROW($6:$1005)-5),648)+5)),INDEX(checklistPesertaKemenkeu!$M$6:$M$1005,SMALL(IF(checklistPesertaKemenkeu!$AY$6:$AY$1005="Direkomendasikan",ROW($6:$1005)-5),648)))=1),IFERROR(VLOOKUP(INDEX(checklistPesertaKemenkeu!$M$6:$M$1005,SMALL(IF(checklistPesertaKemenkeu!$AY$6:$AY$1005="Direkomendasikan",ROW($6:$1005)-5),648)),KotaKode,2,0),"-"),"")),"")</f>
        <v/>
      </c>
      <c r="J649" t="str">
        <f t="array" aca="1" ref="J649" ca="1">IFERROR(IF(OR(INDEX(checklistPesertaKemenkeu!$N$6:$N$1005,SMALL(IF(checklistPesertaKemenkeu!$AY$6:$AY$1005="Direkomendasikan",ROW($6:$1005)-5),648))="",INDEX(checklistPesertaKemenkeu!$J$6:$J$1005,SMALL(IF(checklistPesertaKemenkeu!$AY$6:$AY$1005="Direkomendasikan",ROW($6:$1005)-5),648))=""),"",IF(AND(COUNTIF(INDIRECT("K_"&amp;MATCH(INDEX(checklistPesertaKemenkeu!$J$6:$J$1005,SMALL(IF(checklistPesertaKemenkeu!$AY$6:$AY$1005="Direkomendasikan",ROW($6:$1005)-5),648)),BidangList,0)),INDEX(checklistPesertaKemenkeu!$N$6:$N$1005,SMALL(IF(checklistPesertaKemenkeu!$AY$6:$AY$1005="Direkomendasikan",ROW($6:$1005)-5),648)))&gt;0,COUNTIF(INDIRECT("'KERTAS KERJA'!K"&amp;(SMALL(IF(checklistPesertaKemenkeu!$AY$6:$AY$1005="Direkomendasikan",ROW($6:$1005)-5),648)+5)&amp;":O"&amp;(SMALL(IF(checklistPesertaKemenkeu!$AY$6:$AY$1005="Direkomendasikan",ROW($6:$1005)-5),648)+5)),INDEX(checklistPesertaKemenkeu!$N$6:$N$1005,SMALL(IF(checklistPesertaKemenkeu!$AY$6:$AY$1005="Direkomendasikan",ROW($6:$1005)-5),648)))=1),IFERROR(VLOOKUP(INDEX(checklistPesertaKemenkeu!$N$6:$N$1005,SMALL(IF(checklistPesertaKemenkeu!$AY$6:$AY$1005="Direkomendasikan",ROW($6:$1005)-5),648)),KotaKode,2,0),"-"),"")),"")</f>
        <v/>
      </c>
      <c r="K649" t="str">
        <f t="array" aca="1" ref="K649" ca="1">IFERROR(IF(OR(INDEX(checklistPesertaKemenkeu!$O$6:$O$1005,SMALL(IF(checklistPesertaKemenkeu!$AY$6:$AY$1005="Direkomendasikan",ROW($6:$1005)-5),648))="",INDEX(checklistPesertaKemenkeu!$J$6:$J$1005,SMALL(IF(checklistPesertaKemenkeu!$AY$6:$AY$1005="Direkomendasikan",ROW($6:$1005)-5),648))=""),"",IF(AND(COUNTIF(INDIRECT("K_"&amp;MATCH(INDEX(checklistPesertaKemenkeu!$J$6:$J$1005,SMALL(IF(checklistPesertaKemenkeu!$AY$6:$AY$1005="Direkomendasikan",ROW($6:$1005)-5),648)),BidangList,0)),INDEX(checklistPesertaKemenkeu!$O$6:$O$1005,SMALL(IF(checklistPesertaKemenkeu!$AY$6:$AY$1005="Direkomendasikan",ROW($6:$1005)-5),648)))&gt;0,COUNTIF(INDIRECT("'KERTAS KERJA'!K"&amp;(SMALL(IF(checklistPesertaKemenkeu!$AY$6:$AY$1005="Direkomendasikan",ROW($6:$1005)-5),648)+5)&amp;":O"&amp;(SMALL(IF(checklistPesertaKemenkeu!$AY$6:$AY$1005="Direkomendasikan",ROW($6:$1005)-5),648)+5)),INDEX(checklistPesertaKemenkeu!$O$6:$O$1005,SMALL(IF(checklistPesertaKemenkeu!$AY$6:$AY$1005="Direkomendasikan",ROW($6:$1005)-5),648)))=1),IFERROR(VLOOKUP(INDEX(checklistPesertaKemenkeu!$O$6:$O$1005,SMALL(IF(checklistPesertaKemenkeu!$AY$6:$AY$1005="Direkomendasikan",ROW($6:$1005)-5),648)),KotaKode,2,0),"-"),"")),"")</f>
        <v/>
      </c>
      <c r="L649" t="str">
        <f t="array" aca="1" ref="L649" ca="1">IFERROR(IF(OR(INDEX(checklistPesertaKemenkeu!$P$6:$P$1005,SMALL(IF(checklistPesertaKemenkeu!$AY$6:$AY$1005="Direkomendasikan",ROW($6:$1005)-5),648))="",INDEX(checklistPesertaKemenkeu!$J$6:$J$1005,SMALL(IF(checklistPesertaKemenkeu!$AY$6:$AY$1005="Direkomendasikan",ROW($6:$1005)-5),648))=""),"",IF(AND(COUNTIF(INDIRECT("K_"&amp;MATCH(INDEX(checklistPesertaKemenkeu!$J$6:$J$1005,SMALL(IF(checklistPesertaKemenkeu!$AY$6:$AY$1005="Direkomendasikan",ROW($6:$1005)-5),648)),BidangList,0)),INDEX(checklistPesertaKemenkeu!$P$6:$P$1005,SMALL(IF(checklistPesertaKemenkeu!$AY$6:$AY$1005="Direkomendasikan",ROW($6:$1005)-5),648)))&gt;0,COUNTIF(INDIRECT("'KERTAS KERJA'!K"&amp;(SMALL(IF(checklistPesertaKemenkeu!$AY$6:$AY$1005="Direkomendasikan",ROW($6:$1005)-5),648)+5)&amp;":O"&amp;(SMALL(IF(checklistPesertaKemenkeu!$AY$6:$AY$1005="Direkomendasikan",ROW($6:$1005)-5),648)+5)),INDEX(checklistPesertaKemenkeu!$P$6:$P$1005,SMALL(IF(checklistPesertaKemenkeu!$AY$6:$AY$1005="Direkomendasikan",ROW($6:$1005)-5),648)))=1),IFERROR(VLOOKUP(INDEX(checklistPesertaKemenkeu!$P$6:$P$1005,SMALL(IF(checklistPesertaKemenkeu!$AY$6:$AY$1005="Direkomendasikan",ROW($6:$1005)-5),648)),KotaKode,2,0),"-"),"")),"")</f>
        <v/>
      </c>
    </row>
    <row r="650" spans="1:12" ht="15" customHeight="1" x14ac:dyDescent="0.2">
      <c r="A650" t="str">
        <f t="shared" si="10"/>
        <v/>
      </c>
      <c r="B650" t="str">
        <v/>
      </c>
      <c r="C650" s="40" t="str">
        <f t="array" ref="C650">IFERROR(INDEX(checklistPesertaKemenkeu!$F$6:$F$1005,SMALL(IF(checklistPesertaKemenkeu!$AY$6:$AY$1005="Direkomendasikan",ROW($6:$1005)-5),649)),"")</f>
        <v/>
      </c>
      <c r="D650" t="str">
        <f t="array" ref="D650">IFERROR(INDEX(checklistPesertaKemenkeu!$G$6:$G$1005,SMALL(IF(checklistPesertaKemenkeu!$AY$6:$AY$1005="Direkomendasikan",ROW($6:$1005)-5),649)),"")</f>
        <v/>
      </c>
      <c r="E650" t="str">
        <f t="array" ref="E650">IFERROR(INDEX(checklistPesertaKemenkeu!$H$6:$H$1005,SMALL(IF(checklistPesertaKemenkeu!$AY$6:$AY$1005="Direkomendasikan",ROW($6:$1005)-5),649)),"")</f>
        <v/>
      </c>
      <c r="F650" t="str">
        <f t="array" ref="F650">IFERROR(INDEX(checklistPesertaKemenkeu!$I$6:$I$1005,SMALL(IF(checklistPesertaKemenkeu!$AY$6:$AY$1005="Direkomendasikan",ROW($6:$1005)-5),649)),"")</f>
        <v/>
      </c>
      <c r="G650" t="str">
        <f t="array" ref="G650">IFERROR(INDEX(checklistPesertaKemenkeu!$J$6:$J$1005,SMALL(IF(checklistPesertaKemenkeu!$AY$6:$AY$1005="Direkomendasikan",ROW($6:$1005)-5),649)),"")</f>
        <v/>
      </c>
      <c r="H650" t="str">
        <f t="array" aca="1" ref="H650" ca="1">IFERROR(IF(OR(INDEX(checklistPesertaKemenkeu!$L$6:$L$1005,SMALL(IF(checklistPesertaKemenkeu!$AY$6:$AY$1005="Direkomendasikan",ROW($6:$1005)-5),649))="",INDEX(checklistPesertaKemenkeu!$J$6:$J$1005,SMALL(IF(checklistPesertaKemenkeu!$AY$6:$AY$1005="Direkomendasikan",ROW($6:$1005)-5),649))=""),"",IF(AND(COUNTIF(INDIRECT("K_"&amp;MATCH(INDEX(checklistPesertaKemenkeu!$J$6:$J$1005,SMALL(IF(checklistPesertaKemenkeu!$AY$6:$AY$1005="Direkomendasikan",ROW($6:$1005)-5),649)),BidangList,0)),INDEX(checklistPesertaKemenkeu!$L$6:$L$1005,SMALL(IF(checklistPesertaKemenkeu!$AY$6:$AY$1005="Direkomendasikan",ROW($6:$1005)-5),649)))&gt;0,COUNTIF(INDIRECT("'KERTAS KERJA'!K"&amp;(SMALL(IF(checklistPesertaKemenkeu!$AY$6:$AY$1005="Direkomendasikan",ROW($6:$1005)-5),649)+5)&amp;":O"&amp;(SMALL(IF(checklistPesertaKemenkeu!$AY$6:$AY$1005="Direkomendasikan",ROW($6:$1005)-5),649)+5)),INDEX(checklistPesertaKemenkeu!$L$6:$L$1005,SMALL(IF(checklistPesertaKemenkeu!$AY$6:$AY$1005="Direkomendasikan",ROW($6:$1005)-5),649)))=1),IFERROR(VLOOKUP(INDEX(checklistPesertaKemenkeu!$L$6:$L$1005,SMALL(IF(checklistPesertaKemenkeu!$AY$6:$AY$1005="Direkomendasikan",ROW($6:$1005)-5),649)),KotaKode,2,0),"-"),"")),"")</f>
        <v/>
      </c>
      <c r="I650" t="str">
        <f t="array" aca="1" ref="I650" ca="1">IFERROR(IF(OR(INDEX(checklistPesertaKemenkeu!$M$6:$M$1005,SMALL(IF(checklistPesertaKemenkeu!$AY$6:$AY$1005="Direkomendasikan",ROW($6:$1005)-5),649))="",INDEX(checklistPesertaKemenkeu!$J$6:$J$1005,SMALL(IF(checklistPesertaKemenkeu!$AY$6:$AY$1005="Direkomendasikan",ROW($6:$1005)-5),649))=""),"",IF(AND(COUNTIF(INDIRECT("K_"&amp;MATCH(INDEX(checklistPesertaKemenkeu!$J$6:$J$1005,SMALL(IF(checklistPesertaKemenkeu!$AY$6:$AY$1005="Direkomendasikan",ROW($6:$1005)-5),649)),BidangList,0)),INDEX(checklistPesertaKemenkeu!$M$6:$M$1005,SMALL(IF(checklistPesertaKemenkeu!$AY$6:$AY$1005="Direkomendasikan",ROW($6:$1005)-5),649)))&gt;0,COUNTIF(INDIRECT("'KERTAS KERJA'!K"&amp;(SMALL(IF(checklistPesertaKemenkeu!$AY$6:$AY$1005="Direkomendasikan",ROW($6:$1005)-5),649)+5)&amp;":O"&amp;(SMALL(IF(checklistPesertaKemenkeu!$AY$6:$AY$1005="Direkomendasikan",ROW($6:$1005)-5),649)+5)),INDEX(checklistPesertaKemenkeu!$M$6:$M$1005,SMALL(IF(checklistPesertaKemenkeu!$AY$6:$AY$1005="Direkomendasikan",ROW($6:$1005)-5),649)))=1),IFERROR(VLOOKUP(INDEX(checklistPesertaKemenkeu!$M$6:$M$1005,SMALL(IF(checklistPesertaKemenkeu!$AY$6:$AY$1005="Direkomendasikan",ROW($6:$1005)-5),649)),KotaKode,2,0),"-"),"")),"")</f>
        <v/>
      </c>
      <c r="J650" t="str">
        <f t="array" aca="1" ref="J650" ca="1">IFERROR(IF(OR(INDEX(checklistPesertaKemenkeu!$N$6:$N$1005,SMALL(IF(checklistPesertaKemenkeu!$AY$6:$AY$1005="Direkomendasikan",ROW($6:$1005)-5),649))="",INDEX(checklistPesertaKemenkeu!$J$6:$J$1005,SMALL(IF(checklistPesertaKemenkeu!$AY$6:$AY$1005="Direkomendasikan",ROW($6:$1005)-5),649))=""),"",IF(AND(COUNTIF(INDIRECT("K_"&amp;MATCH(INDEX(checklistPesertaKemenkeu!$J$6:$J$1005,SMALL(IF(checklistPesertaKemenkeu!$AY$6:$AY$1005="Direkomendasikan",ROW($6:$1005)-5),649)),BidangList,0)),INDEX(checklistPesertaKemenkeu!$N$6:$N$1005,SMALL(IF(checklistPesertaKemenkeu!$AY$6:$AY$1005="Direkomendasikan",ROW($6:$1005)-5),649)))&gt;0,COUNTIF(INDIRECT("'KERTAS KERJA'!K"&amp;(SMALL(IF(checklistPesertaKemenkeu!$AY$6:$AY$1005="Direkomendasikan",ROW($6:$1005)-5),649)+5)&amp;":O"&amp;(SMALL(IF(checklistPesertaKemenkeu!$AY$6:$AY$1005="Direkomendasikan",ROW($6:$1005)-5),649)+5)),INDEX(checklistPesertaKemenkeu!$N$6:$N$1005,SMALL(IF(checklistPesertaKemenkeu!$AY$6:$AY$1005="Direkomendasikan",ROW($6:$1005)-5),649)))=1),IFERROR(VLOOKUP(INDEX(checklistPesertaKemenkeu!$N$6:$N$1005,SMALL(IF(checklistPesertaKemenkeu!$AY$6:$AY$1005="Direkomendasikan",ROW($6:$1005)-5),649)),KotaKode,2,0),"-"),"")),"")</f>
        <v/>
      </c>
      <c r="K650" t="str">
        <f t="array" aca="1" ref="K650" ca="1">IFERROR(IF(OR(INDEX(checklistPesertaKemenkeu!$O$6:$O$1005,SMALL(IF(checklistPesertaKemenkeu!$AY$6:$AY$1005="Direkomendasikan",ROW($6:$1005)-5),649))="",INDEX(checklistPesertaKemenkeu!$J$6:$J$1005,SMALL(IF(checklistPesertaKemenkeu!$AY$6:$AY$1005="Direkomendasikan",ROW($6:$1005)-5),649))=""),"",IF(AND(COUNTIF(INDIRECT("K_"&amp;MATCH(INDEX(checklistPesertaKemenkeu!$J$6:$J$1005,SMALL(IF(checklistPesertaKemenkeu!$AY$6:$AY$1005="Direkomendasikan",ROW($6:$1005)-5),649)),BidangList,0)),INDEX(checklistPesertaKemenkeu!$O$6:$O$1005,SMALL(IF(checklistPesertaKemenkeu!$AY$6:$AY$1005="Direkomendasikan",ROW($6:$1005)-5),649)))&gt;0,COUNTIF(INDIRECT("'KERTAS KERJA'!K"&amp;(SMALL(IF(checklistPesertaKemenkeu!$AY$6:$AY$1005="Direkomendasikan",ROW($6:$1005)-5),649)+5)&amp;":O"&amp;(SMALL(IF(checklistPesertaKemenkeu!$AY$6:$AY$1005="Direkomendasikan",ROW($6:$1005)-5),649)+5)),INDEX(checklistPesertaKemenkeu!$O$6:$O$1005,SMALL(IF(checklistPesertaKemenkeu!$AY$6:$AY$1005="Direkomendasikan",ROW($6:$1005)-5),649)))=1),IFERROR(VLOOKUP(INDEX(checklistPesertaKemenkeu!$O$6:$O$1005,SMALL(IF(checklistPesertaKemenkeu!$AY$6:$AY$1005="Direkomendasikan",ROW($6:$1005)-5),649)),KotaKode,2,0),"-"),"")),"")</f>
        <v/>
      </c>
      <c r="L650" t="str">
        <f t="array" aca="1" ref="L650" ca="1">IFERROR(IF(OR(INDEX(checklistPesertaKemenkeu!$P$6:$P$1005,SMALL(IF(checklistPesertaKemenkeu!$AY$6:$AY$1005="Direkomendasikan",ROW($6:$1005)-5),649))="",INDEX(checklistPesertaKemenkeu!$J$6:$J$1005,SMALL(IF(checklistPesertaKemenkeu!$AY$6:$AY$1005="Direkomendasikan",ROW($6:$1005)-5),649))=""),"",IF(AND(COUNTIF(INDIRECT("K_"&amp;MATCH(INDEX(checklistPesertaKemenkeu!$J$6:$J$1005,SMALL(IF(checklistPesertaKemenkeu!$AY$6:$AY$1005="Direkomendasikan",ROW($6:$1005)-5),649)),BidangList,0)),INDEX(checklistPesertaKemenkeu!$P$6:$P$1005,SMALL(IF(checklistPesertaKemenkeu!$AY$6:$AY$1005="Direkomendasikan",ROW($6:$1005)-5),649)))&gt;0,COUNTIF(INDIRECT("'KERTAS KERJA'!K"&amp;(SMALL(IF(checklistPesertaKemenkeu!$AY$6:$AY$1005="Direkomendasikan",ROW($6:$1005)-5),649)+5)&amp;":O"&amp;(SMALL(IF(checklistPesertaKemenkeu!$AY$6:$AY$1005="Direkomendasikan",ROW($6:$1005)-5),649)+5)),INDEX(checklistPesertaKemenkeu!$P$6:$P$1005,SMALL(IF(checklistPesertaKemenkeu!$AY$6:$AY$1005="Direkomendasikan",ROW($6:$1005)-5),649)))=1),IFERROR(VLOOKUP(INDEX(checklistPesertaKemenkeu!$P$6:$P$1005,SMALL(IF(checklistPesertaKemenkeu!$AY$6:$AY$1005="Direkomendasikan",ROW($6:$1005)-5),649)),KotaKode,2,0),"-"),"")),"")</f>
        <v/>
      </c>
    </row>
    <row r="651" spans="1:12" ht="15" customHeight="1" x14ac:dyDescent="0.2">
      <c r="A651" t="str">
        <f t="shared" si="10"/>
        <v/>
      </c>
      <c r="B651" t="str">
        <v/>
      </c>
      <c r="C651" s="40" t="str">
        <f t="array" ref="C651">IFERROR(INDEX(checklistPesertaKemenkeu!$F$6:$F$1005,SMALL(IF(checklistPesertaKemenkeu!$AY$6:$AY$1005="Direkomendasikan",ROW($6:$1005)-5),650)),"")</f>
        <v/>
      </c>
      <c r="D651" t="str">
        <f t="array" ref="D651">IFERROR(INDEX(checklistPesertaKemenkeu!$G$6:$G$1005,SMALL(IF(checklistPesertaKemenkeu!$AY$6:$AY$1005="Direkomendasikan",ROW($6:$1005)-5),650)),"")</f>
        <v/>
      </c>
      <c r="E651" t="str">
        <f t="array" ref="E651">IFERROR(INDEX(checklistPesertaKemenkeu!$H$6:$H$1005,SMALL(IF(checklistPesertaKemenkeu!$AY$6:$AY$1005="Direkomendasikan",ROW($6:$1005)-5),650)),"")</f>
        <v/>
      </c>
      <c r="F651" t="str">
        <f t="array" ref="F651">IFERROR(INDEX(checklistPesertaKemenkeu!$I$6:$I$1005,SMALL(IF(checklistPesertaKemenkeu!$AY$6:$AY$1005="Direkomendasikan",ROW($6:$1005)-5),650)),"")</f>
        <v/>
      </c>
      <c r="G651" t="str">
        <f t="array" ref="G651">IFERROR(INDEX(checklistPesertaKemenkeu!$J$6:$J$1005,SMALL(IF(checklistPesertaKemenkeu!$AY$6:$AY$1005="Direkomendasikan",ROW($6:$1005)-5),650)),"")</f>
        <v/>
      </c>
      <c r="H651" t="str">
        <f t="array" aca="1" ref="H651" ca="1">IFERROR(IF(OR(INDEX(checklistPesertaKemenkeu!$L$6:$L$1005,SMALL(IF(checklistPesertaKemenkeu!$AY$6:$AY$1005="Direkomendasikan",ROW($6:$1005)-5),650))="",INDEX(checklistPesertaKemenkeu!$J$6:$J$1005,SMALL(IF(checklistPesertaKemenkeu!$AY$6:$AY$1005="Direkomendasikan",ROW($6:$1005)-5),650))=""),"",IF(AND(COUNTIF(INDIRECT("K_"&amp;MATCH(INDEX(checklistPesertaKemenkeu!$J$6:$J$1005,SMALL(IF(checklistPesertaKemenkeu!$AY$6:$AY$1005="Direkomendasikan",ROW($6:$1005)-5),650)),BidangList,0)),INDEX(checklistPesertaKemenkeu!$L$6:$L$1005,SMALL(IF(checklistPesertaKemenkeu!$AY$6:$AY$1005="Direkomendasikan",ROW($6:$1005)-5),650)))&gt;0,COUNTIF(INDIRECT("'KERTAS KERJA'!K"&amp;(SMALL(IF(checklistPesertaKemenkeu!$AY$6:$AY$1005="Direkomendasikan",ROW($6:$1005)-5),650)+5)&amp;":O"&amp;(SMALL(IF(checklistPesertaKemenkeu!$AY$6:$AY$1005="Direkomendasikan",ROW($6:$1005)-5),650)+5)),INDEX(checklistPesertaKemenkeu!$L$6:$L$1005,SMALL(IF(checklistPesertaKemenkeu!$AY$6:$AY$1005="Direkomendasikan",ROW($6:$1005)-5),650)))=1),IFERROR(VLOOKUP(INDEX(checklistPesertaKemenkeu!$L$6:$L$1005,SMALL(IF(checklistPesertaKemenkeu!$AY$6:$AY$1005="Direkomendasikan",ROW($6:$1005)-5),650)),KotaKode,2,0),"-"),"")),"")</f>
        <v/>
      </c>
      <c r="I651" t="str">
        <f t="array" aca="1" ref="I651" ca="1">IFERROR(IF(OR(INDEX(checklistPesertaKemenkeu!$M$6:$M$1005,SMALL(IF(checklistPesertaKemenkeu!$AY$6:$AY$1005="Direkomendasikan",ROW($6:$1005)-5),650))="",INDEX(checklistPesertaKemenkeu!$J$6:$J$1005,SMALL(IF(checklistPesertaKemenkeu!$AY$6:$AY$1005="Direkomendasikan",ROW($6:$1005)-5),650))=""),"",IF(AND(COUNTIF(INDIRECT("K_"&amp;MATCH(INDEX(checklistPesertaKemenkeu!$J$6:$J$1005,SMALL(IF(checklistPesertaKemenkeu!$AY$6:$AY$1005="Direkomendasikan",ROW($6:$1005)-5),650)),BidangList,0)),INDEX(checklistPesertaKemenkeu!$M$6:$M$1005,SMALL(IF(checklistPesertaKemenkeu!$AY$6:$AY$1005="Direkomendasikan",ROW($6:$1005)-5),650)))&gt;0,COUNTIF(INDIRECT("'KERTAS KERJA'!K"&amp;(SMALL(IF(checklistPesertaKemenkeu!$AY$6:$AY$1005="Direkomendasikan",ROW($6:$1005)-5),650)+5)&amp;":O"&amp;(SMALL(IF(checklistPesertaKemenkeu!$AY$6:$AY$1005="Direkomendasikan",ROW($6:$1005)-5),650)+5)),INDEX(checklistPesertaKemenkeu!$M$6:$M$1005,SMALL(IF(checklistPesertaKemenkeu!$AY$6:$AY$1005="Direkomendasikan",ROW($6:$1005)-5),650)))=1),IFERROR(VLOOKUP(INDEX(checklistPesertaKemenkeu!$M$6:$M$1005,SMALL(IF(checklistPesertaKemenkeu!$AY$6:$AY$1005="Direkomendasikan",ROW($6:$1005)-5),650)),KotaKode,2,0),"-"),"")),"")</f>
        <v/>
      </c>
      <c r="J651" t="str">
        <f t="array" aca="1" ref="J651" ca="1">IFERROR(IF(OR(INDEX(checklistPesertaKemenkeu!$N$6:$N$1005,SMALL(IF(checklistPesertaKemenkeu!$AY$6:$AY$1005="Direkomendasikan",ROW($6:$1005)-5),650))="",INDEX(checklistPesertaKemenkeu!$J$6:$J$1005,SMALL(IF(checklistPesertaKemenkeu!$AY$6:$AY$1005="Direkomendasikan",ROW($6:$1005)-5),650))=""),"",IF(AND(COUNTIF(INDIRECT("K_"&amp;MATCH(INDEX(checklistPesertaKemenkeu!$J$6:$J$1005,SMALL(IF(checklistPesertaKemenkeu!$AY$6:$AY$1005="Direkomendasikan",ROW($6:$1005)-5),650)),BidangList,0)),INDEX(checklistPesertaKemenkeu!$N$6:$N$1005,SMALL(IF(checklistPesertaKemenkeu!$AY$6:$AY$1005="Direkomendasikan",ROW($6:$1005)-5),650)))&gt;0,COUNTIF(INDIRECT("'KERTAS KERJA'!K"&amp;(SMALL(IF(checklistPesertaKemenkeu!$AY$6:$AY$1005="Direkomendasikan",ROW($6:$1005)-5),650)+5)&amp;":O"&amp;(SMALL(IF(checklistPesertaKemenkeu!$AY$6:$AY$1005="Direkomendasikan",ROW($6:$1005)-5),650)+5)),INDEX(checklistPesertaKemenkeu!$N$6:$N$1005,SMALL(IF(checklistPesertaKemenkeu!$AY$6:$AY$1005="Direkomendasikan",ROW($6:$1005)-5),650)))=1),IFERROR(VLOOKUP(INDEX(checklistPesertaKemenkeu!$N$6:$N$1005,SMALL(IF(checklistPesertaKemenkeu!$AY$6:$AY$1005="Direkomendasikan",ROW($6:$1005)-5),650)),KotaKode,2,0),"-"),"")),"")</f>
        <v/>
      </c>
      <c r="K651" t="str">
        <f t="array" aca="1" ref="K651" ca="1">IFERROR(IF(OR(INDEX(checklistPesertaKemenkeu!$O$6:$O$1005,SMALL(IF(checklistPesertaKemenkeu!$AY$6:$AY$1005="Direkomendasikan",ROW($6:$1005)-5),650))="",INDEX(checklistPesertaKemenkeu!$J$6:$J$1005,SMALL(IF(checklistPesertaKemenkeu!$AY$6:$AY$1005="Direkomendasikan",ROW($6:$1005)-5),650))=""),"",IF(AND(COUNTIF(INDIRECT("K_"&amp;MATCH(INDEX(checklistPesertaKemenkeu!$J$6:$J$1005,SMALL(IF(checklistPesertaKemenkeu!$AY$6:$AY$1005="Direkomendasikan",ROW($6:$1005)-5),650)),BidangList,0)),INDEX(checklistPesertaKemenkeu!$O$6:$O$1005,SMALL(IF(checklistPesertaKemenkeu!$AY$6:$AY$1005="Direkomendasikan",ROW($6:$1005)-5),650)))&gt;0,COUNTIF(INDIRECT("'KERTAS KERJA'!K"&amp;(SMALL(IF(checklistPesertaKemenkeu!$AY$6:$AY$1005="Direkomendasikan",ROW($6:$1005)-5),650)+5)&amp;":O"&amp;(SMALL(IF(checklistPesertaKemenkeu!$AY$6:$AY$1005="Direkomendasikan",ROW($6:$1005)-5),650)+5)),INDEX(checklistPesertaKemenkeu!$O$6:$O$1005,SMALL(IF(checklistPesertaKemenkeu!$AY$6:$AY$1005="Direkomendasikan",ROW($6:$1005)-5),650)))=1),IFERROR(VLOOKUP(INDEX(checklistPesertaKemenkeu!$O$6:$O$1005,SMALL(IF(checklistPesertaKemenkeu!$AY$6:$AY$1005="Direkomendasikan",ROW($6:$1005)-5),650)),KotaKode,2,0),"-"),"")),"")</f>
        <v/>
      </c>
      <c r="L651" t="str">
        <f t="array" aca="1" ref="L651" ca="1">IFERROR(IF(OR(INDEX(checklistPesertaKemenkeu!$P$6:$P$1005,SMALL(IF(checklistPesertaKemenkeu!$AY$6:$AY$1005="Direkomendasikan",ROW($6:$1005)-5),650))="",INDEX(checklistPesertaKemenkeu!$J$6:$J$1005,SMALL(IF(checklistPesertaKemenkeu!$AY$6:$AY$1005="Direkomendasikan",ROW($6:$1005)-5),650))=""),"",IF(AND(COUNTIF(INDIRECT("K_"&amp;MATCH(INDEX(checklistPesertaKemenkeu!$J$6:$J$1005,SMALL(IF(checklistPesertaKemenkeu!$AY$6:$AY$1005="Direkomendasikan",ROW($6:$1005)-5),650)),BidangList,0)),INDEX(checklistPesertaKemenkeu!$P$6:$P$1005,SMALL(IF(checklistPesertaKemenkeu!$AY$6:$AY$1005="Direkomendasikan",ROW($6:$1005)-5),650)))&gt;0,COUNTIF(INDIRECT("'KERTAS KERJA'!K"&amp;(SMALL(IF(checklistPesertaKemenkeu!$AY$6:$AY$1005="Direkomendasikan",ROW($6:$1005)-5),650)+5)&amp;":O"&amp;(SMALL(IF(checklistPesertaKemenkeu!$AY$6:$AY$1005="Direkomendasikan",ROW($6:$1005)-5),650)+5)),INDEX(checklistPesertaKemenkeu!$P$6:$P$1005,SMALL(IF(checklistPesertaKemenkeu!$AY$6:$AY$1005="Direkomendasikan",ROW($6:$1005)-5),650)))=1),IFERROR(VLOOKUP(INDEX(checklistPesertaKemenkeu!$P$6:$P$1005,SMALL(IF(checklistPesertaKemenkeu!$AY$6:$AY$1005="Direkomendasikan",ROW($6:$1005)-5),650)),KotaKode,2,0),"-"),"")),"")</f>
        <v/>
      </c>
    </row>
    <row r="652" spans="1:12" ht="15" customHeight="1" x14ac:dyDescent="0.2">
      <c r="A652" t="str">
        <f t="shared" si="10"/>
        <v/>
      </c>
      <c r="B652" t="str">
        <v/>
      </c>
      <c r="C652" s="40" t="str">
        <f t="array" ref="C652">IFERROR(INDEX(checklistPesertaKemenkeu!$F$6:$F$1005,SMALL(IF(checklistPesertaKemenkeu!$AY$6:$AY$1005="Direkomendasikan",ROW($6:$1005)-5),651)),"")</f>
        <v/>
      </c>
      <c r="D652" t="str">
        <f t="array" ref="D652">IFERROR(INDEX(checklistPesertaKemenkeu!$G$6:$G$1005,SMALL(IF(checklistPesertaKemenkeu!$AY$6:$AY$1005="Direkomendasikan",ROW($6:$1005)-5),651)),"")</f>
        <v/>
      </c>
      <c r="E652" t="str">
        <f t="array" ref="E652">IFERROR(INDEX(checklistPesertaKemenkeu!$H$6:$H$1005,SMALL(IF(checklistPesertaKemenkeu!$AY$6:$AY$1005="Direkomendasikan",ROW($6:$1005)-5),651)),"")</f>
        <v/>
      </c>
      <c r="F652" t="str">
        <f t="array" ref="F652">IFERROR(INDEX(checklistPesertaKemenkeu!$I$6:$I$1005,SMALL(IF(checklistPesertaKemenkeu!$AY$6:$AY$1005="Direkomendasikan",ROW($6:$1005)-5),651)),"")</f>
        <v/>
      </c>
      <c r="G652" t="str">
        <f t="array" ref="G652">IFERROR(INDEX(checklistPesertaKemenkeu!$J$6:$J$1005,SMALL(IF(checklistPesertaKemenkeu!$AY$6:$AY$1005="Direkomendasikan",ROW($6:$1005)-5),651)),"")</f>
        <v/>
      </c>
      <c r="H652" t="str">
        <f t="array" aca="1" ref="H652" ca="1">IFERROR(IF(OR(INDEX(checklistPesertaKemenkeu!$L$6:$L$1005,SMALL(IF(checklistPesertaKemenkeu!$AY$6:$AY$1005="Direkomendasikan",ROW($6:$1005)-5),651))="",INDEX(checklistPesertaKemenkeu!$J$6:$J$1005,SMALL(IF(checklistPesertaKemenkeu!$AY$6:$AY$1005="Direkomendasikan",ROW($6:$1005)-5),651))=""),"",IF(AND(COUNTIF(INDIRECT("K_"&amp;MATCH(INDEX(checklistPesertaKemenkeu!$J$6:$J$1005,SMALL(IF(checklistPesertaKemenkeu!$AY$6:$AY$1005="Direkomendasikan",ROW($6:$1005)-5),651)),BidangList,0)),INDEX(checklistPesertaKemenkeu!$L$6:$L$1005,SMALL(IF(checklistPesertaKemenkeu!$AY$6:$AY$1005="Direkomendasikan",ROW($6:$1005)-5),651)))&gt;0,COUNTIF(INDIRECT("'KERTAS KERJA'!K"&amp;(SMALL(IF(checklistPesertaKemenkeu!$AY$6:$AY$1005="Direkomendasikan",ROW($6:$1005)-5),651)+5)&amp;":O"&amp;(SMALL(IF(checklistPesertaKemenkeu!$AY$6:$AY$1005="Direkomendasikan",ROW($6:$1005)-5),651)+5)),INDEX(checklistPesertaKemenkeu!$L$6:$L$1005,SMALL(IF(checklistPesertaKemenkeu!$AY$6:$AY$1005="Direkomendasikan",ROW($6:$1005)-5),651)))=1),IFERROR(VLOOKUP(INDEX(checklistPesertaKemenkeu!$L$6:$L$1005,SMALL(IF(checklistPesertaKemenkeu!$AY$6:$AY$1005="Direkomendasikan",ROW($6:$1005)-5),651)),KotaKode,2,0),"-"),"")),"")</f>
        <v/>
      </c>
      <c r="I652" t="str">
        <f t="array" aca="1" ref="I652" ca="1">IFERROR(IF(OR(INDEX(checklistPesertaKemenkeu!$M$6:$M$1005,SMALL(IF(checklistPesertaKemenkeu!$AY$6:$AY$1005="Direkomendasikan",ROW($6:$1005)-5),651))="",INDEX(checklistPesertaKemenkeu!$J$6:$J$1005,SMALL(IF(checklistPesertaKemenkeu!$AY$6:$AY$1005="Direkomendasikan",ROW($6:$1005)-5),651))=""),"",IF(AND(COUNTIF(INDIRECT("K_"&amp;MATCH(INDEX(checklistPesertaKemenkeu!$J$6:$J$1005,SMALL(IF(checklistPesertaKemenkeu!$AY$6:$AY$1005="Direkomendasikan",ROW($6:$1005)-5),651)),BidangList,0)),INDEX(checklistPesertaKemenkeu!$M$6:$M$1005,SMALL(IF(checklistPesertaKemenkeu!$AY$6:$AY$1005="Direkomendasikan",ROW($6:$1005)-5),651)))&gt;0,COUNTIF(INDIRECT("'KERTAS KERJA'!K"&amp;(SMALL(IF(checklistPesertaKemenkeu!$AY$6:$AY$1005="Direkomendasikan",ROW($6:$1005)-5),651)+5)&amp;":O"&amp;(SMALL(IF(checklistPesertaKemenkeu!$AY$6:$AY$1005="Direkomendasikan",ROW($6:$1005)-5),651)+5)),INDEX(checklistPesertaKemenkeu!$M$6:$M$1005,SMALL(IF(checklistPesertaKemenkeu!$AY$6:$AY$1005="Direkomendasikan",ROW($6:$1005)-5),651)))=1),IFERROR(VLOOKUP(INDEX(checklistPesertaKemenkeu!$M$6:$M$1005,SMALL(IF(checklistPesertaKemenkeu!$AY$6:$AY$1005="Direkomendasikan",ROW($6:$1005)-5),651)),KotaKode,2,0),"-"),"")),"")</f>
        <v/>
      </c>
      <c r="J652" t="str">
        <f t="array" aca="1" ref="J652" ca="1">IFERROR(IF(OR(INDEX(checklistPesertaKemenkeu!$N$6:$N$1005,SMALL(IF(checklistPesertaKemenkeu!$AY$6:$AY$1005="Direkomendasikan",ROW($6:$1005)-5),651))="",INDEX(checklistPesertaKemenkeu!$J$6:$J$1005,SMALL(IF(checklistPesertaKemenkeu!$AY$6:$AY$1005="Direkomendasikan",ROW($6:$1005)-5),651))=""),"",IF(AND(COUNTIF(INDIRECT("K_"&amp;MATCH(INDEX(checklistPesertaKemenkeu!$J$6:$J$1005,SMALL(IF(checklistPesertaKemenkeu!$AY$6:$AY$1005="Direkomendasikan",ROW($6:$1005)-5),651)),BidangList,0)),INDEX(checklistPesertaKemenkeu!$N$6:$N$1005,SMALL(IF(checklistPesertaKemenkeu!$AY$6:$AY$1005="Direkomendasikan",ROW($6:$1005)-5),651)))&gt;0,COUNTIF(INDIRECT("'KERTAS KERJA'!K"&amp;(SMALL(IF(checklistPesertaKemenkeu!$AY$6:$AY$1005="Direkomendasikan",ROW($6:$1005)-5),651)+5)&amp;":O"&amp;(SMALL(IF(checklistPesertaKemenkeu!$AY$6:$AY$1005="Direkomendasikan",ROW($6:$1005)-5),651)+5)),INDEX(checklistPesertaKemenkeu!$N$6:$N$1005,SMALL(IF(checklistPesertaKemenkeu!$AY$6:$AY$1005="Direkomendasikan",ROW($6:$1005)-5),651)))=1),IFERROR(VLOOKUP(INDEX(checklistPesertaKemenkeu!$N$6:$N$1005,SMALL(IF(checklistPesertaKemenkeu!$AY$6:$AY$1005="Direkomendasikan",ROW($6:$1005)-5),651)),KotaKode,2,0),"-"),"")),"")</f>
        <v/>
      </c>
      <c r="K652" t="str">
        <f t="array" aca="1" ref="K652" ca="1">IFERROR(IF(OR(INDEX(checklistPesertaKemenkeu!$O$6:$O$1005,SMALL(IF(checklistPesertaKemenkeu!$AY$6:$AY$1005="Direkomendasikan",ROW($6:$1005)-5),651))="",INDEX(checklistPesertaKemenkeu!$J$6:$J$1005,SMALL(IF(checklistPesertaKemenkeu!$AY$6:$AY$1005="Direkomendasikan",ROW($6:$1005)-5),651))=""),"",IF(AND(COUNTIF(INDIRECT("K_"&amp;MATCH(INDEX(checklistPesertaKemenkeu!$J$6:$J$1005,SMALL(IF(checklistPesertaKemenkeu!$AY$6:$AY$1005="Direkomendasikan",ROW($6:$1005)-5),651)),BidangList,0)),INDEX(checklistPesertaKemenkeu!$O$6:$O$1005,SMALL(IF(checklistPesertaKemenkeu!$AY$6:$AY$1005="Direkomendasikan",ROW($6:$1005)-5),651)))&gt;0,COUNTIF(INDIRECT("'KERTAS KERJA'!K"&amp;(SMALL(IF(checklistPesertaKemenkeu!$AY$6:$AY$1005="Direkomendasikan",ROW($6:$1005)-5),651)+5)&amp;":O"&amp;(SMALL(IF(checklistPesertaKemenkeu!$AY$6:$AY$1005="Direkomendasikan",ROW($6:$1005)-5),651)+5)),INDEX(checklistPesertaKemenkeu!$O$6:$O$1005,SMALL(IF(checklistPesertaKemenkeu!$AY$6:$AY$1005="Direkomendasikan",ROW($6:$1005)-5),651)))=1),IFERROR(VLOOKUP(INDEX(checklistPesertaKemenkeu!$O$6:$O$1005,SMALL(IF(checklistPesertaKemenkeu!$AY$6:$AY$1005="Direkomendasikan",ROW($6:$1005)-5),651)),KotaKode,2,0),"-"),"")),"")</f>
        <v/>
      </c>
      <c r="L652" t="str">
        <f t="array" aca="1" ref="L652" ca="1">IFERROR(IF(OR(INDEX(checklistPesertaKemenkeu!$P$6:$P$1005,SMALL(IF(checklistPesertaKemenkeu!$AY$6:$AY$1005="Direkomendasikan",ROW($6:$1005)-5),651))="",INDEX(checklistPesertaKemenkeu!$J$6:$J$1005,SMALL(IF(checklistPesertaKemenkeu!$AY$6:$AY$1005="Direkomendasikan",ROW($6:$1005)-5),651))=""),"",IF(AND(COUNTIF(INDIRECT("K_"&amp;MATCH(INDEX(checklistPesertaKemenkeu!$J$6:$J$1005,SMALL(IF(checklistPesertaKemenkeu!$AY$6:$AY$1005="Direkomendasikan",ROW($6:$1005)-5),651)),BidangList,0)),INDEX(checklistPesertaKemenkeu!$P$6:$P$1005,SMALL(IF(checklistPesertaKemenkeu!$AY$6:$AY$1005="Direkomendasikan",ROW($6:$1005)-5),651)))&gt;0,COUNTIF(INDIRECT("'KERTAS KERJA'!K"&amp;(SMALL(IF(checklistPesertaKemenkeu!$AY$6:$AY$1005="Direkomendasikan",ROW($6:$1005)-5),651)+5)&amp;":O"&amp;(SMALL(IF(checklistPesertaKemenkeu!$AY$6:$AY$1005="Direkomendasikan",ROW($6:$1005)-5),651)+5)),INDEX(checklistPesertaKemenkeu!$P$6:$P$1005,SMALL(IF(checklistPesertaKemenkeu!$AY$6:$AY$1005="Direkomendasikan",ROW($6:$1005)-5),651)))=1),IFERROR(VLOOKUP(INDEX(checklistPesertaKemenkeu!$P$6:$P$1005,SMALL(IF(checklistPesertaKemenkeu!$AY$6:$AY$1005="Direkomendasikan",ROW($6:$1005)-5),651)),KotaKode,2,0),"-"),"")),"")</f>
        <v/>
      </c>
    </row>
    <row r="653" spans="1:12" ht="15" customHeight="1" x14ac:dyDescent="0.2">
      <c r="A653" t="str">
        <f t="shared" si="10"/>
        <v/>
      </c>
      <c r="B653" t="str">
        <v/>
      </c>
      <c r="C653" s="40" t="str">
        <f t="array" ref="C653">IFERROR(INDEX(checklistPesertaKemenkeu!$F$6:$F$1005,SMALL(IF(checklistPesertaKemenkeu!$AY$6:$AY$1005="Direkomendasikan",ROW($6:$1005)-5),652)),"")</f>
        <v/>
      </c>
      <c r="D653" t="str">
        <f t="array" ref="D653">IFERROR(INDEX(checklistPesertaKemenkeu!$G$6:$G$1005,SMALL(IF(checklistPesertaKemenkeu!$AY$6:$AY$1005="Direkomendasikan",ROW($6:$1005)-5),652)),"")</f>
        <v/>
      </c>
      <c r="E653" t="str">
        <f t="array" ref="E653">IFERROR(INDEX(checklistPesertaKemenkeu!$H$6:$H$1005,SMALL(IF(checklistPesertaKemenkeu!$AY$6:$AY$1005="Direkomendasikan",ROW($6:$1005)-5),652)),"")</f>
        <v/>
      </c>
      <c r="F653" t="str">
        <f t="array" ref="F653">IFERROR(INDEX(checklistPesertaKemenkeu!$I$6:$I$1005,SMALL(IF(checklistPesertaKemenkeu!$AY$6:$AY$1005="Direkomendasikan",ROW($6:$1005)-5),652)),"")</f>
        <v/>
      </c>
      <c r="G653" t="str">
        <f t="array" ref="G653">IFERROR(INDEX(checklistPesertaKemenkeu!$J$6:$J$1005,SMALL(IF(checklistPesertaKemenkeu!$AY$6:$AY$1005="Direkomendasikan",ROW($6:$1005)-5),652)),"")</f>
        <v/>
      </c>
      <c r="H653" t="str">
        <f t="array" aca="1" ref="H653" ca="1">IFERROR(IF(OR(INDEX(checklistPesertaKemenkeu!$L$6:$L$1005,SMALL(IF(checklistPesertaKemenkeu!$AY$6:$AY$1005="Direkomendasikan",ROW($6:$1005)-5),652))="",INDEX(checklistPesertaKemenkeu!$J$6:$J$1005,SMALL(IF(checklistPesertaKemenkeu!$AY$6:$AY$1005="Direkomendasikan",ROW($6:$1005)-5),652))=""),"",IF(AND(COUNTIF(INDIRECT("K_"&amp;MATCH(INDEX(checklistPesertaKemenkeu!$J$6:$J$1005,SMALL(IF(checklistPesertaKemenkeu!$AY$6:$AY$1005="Direkomendasikan",ROW($6:$1005)-5),652)),BidangList,0)),INDEX(checklistPesertaKemenkeu!$L$6:$L$1005,SMALL(IF(checklistPesertaKemenkeu!$AY$6:$AY$1005="Direkomendasikan",ROW($6:$1005)-5),652)))&gt;0,COUNTIF(INDIRECT("'KERTAS KERJA'!K"&amp;(SMALL(IF(checklistPesertaKemenkeu!$AY$6:$AY$1005="Direkomendasikan",ROW($6:$1005)-5),652)+5)&amp;":O"&amp;(SMALL(IF(checklistPesertaKemenkeu!$AY$6:$AY$1005="Direkomendasikan",ROW($6:$1005)-5),652)+5)),INDEX(checklistPesertaKemenkeu!$L$6:$L$1005,SMALL(IF(checklistPesertaKemenkeu!$AY$6:$AY$1005="Direkomendasikan",ROW($6:$1005)-5),652)))=1),IFERROR(VLOOKUP(INDEX(checklistPesertaKemenkeu!$L$6:$L$1005,SMALL(IF(checklistPesertaKemenkeu!$AY$6:$AY$1005="Direkomendasikan",ROW($6:$1005)-5),652)),KotaKode,2,0),"-"),"")),"")</f>
        <v/>
      </c>
      <c r="I653" t="str">
        <f t="array" aca="1" ref="I653" ca="1">IFERROR(IF(OR(INDEX(checklistPesertaKemenkeu!$M$6:$M$1005,SMALL(IF(checklistPesertaKemenkeu!$AY$6:$AY$1005="Direkomendasikan",ROW($6:$1005)-5),652))="",INDEX(checklistPesertaKemenkeu!$J$6:$J$1005,SMALL(IF(checklistPesertaKemenkeu!$AY$6:$AY$1005="Direkomendasikan",ROW($6:$1005)-5),652))=""),"",IF(AND(COUNTIF(INDIRECT("K_"&amp;MATCH(INDEX(checklistPesertaKemenkeu!$J$6:$J$1005,SMALL(IF(checklistPesertaKemenkeu!$AY$6:$AY$1005="Direkomendasikan",ROW($6:$1005)-5),652)),BidangList,0)),INDEX(checklistPesertaKemenkeu!$M$6:$M$1005,SMALL(IF(checklistPesertaKemenkeu!$AY$6:$AY$1005="Direkomendasikan",ROW($6:$1005)-5),652)))&gt;0,COUNTIF(INDIRECT("'KERTAS KERJA'!K"&amp;(SMALL(IF(checklistPesertaKemenkeu!$AY$6:$AY$1005="Direkomendasikan",ROW($6:$1005)-5),652)+5)&amp;":O"&amp;(SMALL(IF(checklistPesertaKemenkeu!$AY$6:$AY$1005="Direkomendasikan",ROW($6:$1005)-5),652)+5)),INDEX(checklistPesertaKemenkeu!$M$6:$M$1005,SMALL(IF(checklistPesertaKemenkeu!$AY$6:$AY$1005="Direkomendasikan",ROW($6:$1005)-5),652)))=1),IFERROR(VLOOKUP(INDEX(checklistPesertaKemenkeu!$M$6:$M$1005,SMALL(IF(checklistPesertaKemenkeu!$AY$6:$AY$1005="Direkomendasikan",ROW($6:$1005)-5),652)),KotaKode,2,0),"-"),"")),"")</f>
        <v/>
      </c>
      <c r="J653" t="str">
        <f t="array" aca="1" ref="J653" ca="1">IFERROR(IF(OR(INDEX(checklistPesertaKemenkeu!$N$6:$N$1005,SMALL(IF(checklistPesertaKemenkeu!$AY$6:$AY$1005="Direkomendasikan",ROW($6:$1005)-5),652))="",INDEX(checklistPesertaKemenkeu!$J$6:$J$1005,SMALL(IF(checklistPesertaKemenkeu!$AY$6:$AY$1005="Direkomendasikan",ROW($6:$1005)-5),652))=""),"",IF(AND(COUNTIF(INDIRECT("K_"&amp;MATCH(INDEX(checklistPesertaKemenkeu!$J$6:$J$1005,SMALL(IF(checklistPesertaKemenkeu!$AY$6:$AY$1005="Direkomendasikan",ROW($6:$1005)-5),652)),BidangList,0)),INDEX(checklistPesertaKemenkeu!$N$6:$N$1005,SMALL(IF(checklistPesertaKemenkeu!$AY$6:$AY$1005="Direkomendasikan",ROW($6:$1005)-5),652)))&gt;0,COUNTIF(INDIRECT("'KERTAS KERJA'!K"&amp;(SMALL(IF(checklistPesertaKemenkeu!$AY$6:$AY$1005="Direkomendasikan",ROW($6:$1005)-5),652)+5)&amp;":O"&amp;(SMALL(IF(checklistPesertaKemenkeu!$AY$6:$AY$1005="Direkomendasikan",ROW($6:$1005)-5),652)+5)),INDEX(checklistPesertaKemenkeu!$N$6:$N$1005,SMALL(IF(checklistPesertaKemenkeu!$AY$6:$AY$1005="Direkomendasikan",ROW($6:$1005)-5),652)))=1),IFERROR(VLOOKUP(INDEX(checklistPesertaKemenkeu!$N$6:$N$1005,SMALL(IF(checklistPesertaKemenkeu!$AY$6:$AY$1005="Direkomendasikan",ROW($6:$1005)-5),652)),KotaKode,2,0),"-"),"")),"")</f>
        <v/>
      </c>
      <c r="K653" t="str">
        <f t="array" aca="1" ref="K653" ca="1">IFERROR(IF(OR(INDEX(checklistPesertaKemenkeu!$O$6:$O$1005,SMALL(IF(checklistPesertaKemenkeu!$AY$6:$AY$1005="Direkomendasikan",ROW($6:$1005)-5),652))="",INDEX(checklistPesertaKemenkeu!$J$6:$J$1005,SMALL(IF(checklistPesertaKemenkeu!$AY$6:$AY$1005="Direkomendasikan",ROW($6:$1005)-5),652))=""),"",IF(AND(COUNTIF(INDIRECT("K_"&amp;MATCH(INDEX(checklistPesertaKemenkeu!$J$6:$J$1005,SMALL(IF(checklistPesertaKemenkeu!$AY$6:$AY$1005="Direkomendasikan",ROW($6:$1005)-5),652)),BidangList,0)),INDEX(checklistPesertaKemenkeu!$O$6:$O$1005,SMALL(IF(checklistPesertaKemenkeu!$AY$6:$AY$1005="Direkomendasikan",ROW($6:$1005)-5),652)))&gt;0,COUNTIF(INDIRECT("'KERTAS KERJA'!K"&amp;(SMALL(IF(checklistPesertaKemenkeu!$AY$6:$AY$1005="Direkomendasikan",ROW($6:$1005)-5),652)+5)&amp;":O"&amp;(SMALL(IF(checklistPesertaKemenkeu!$AY$6:$AY$1005="Direkomendasikan",ROW($6:$1005)-5),652)+5)),INDEX(checklistPesertaKemenkeu!$O$6:$O$1005,SMALL(IF(checklistPesertaKemenkeu!$AY$6:$AY$1005="Direkomendasikan",ROW($6:$1005)-5),652)))=1),IFERROR(VLOOKUP(INDEX(checklistPesertaKemenkeu!$O$6:$O$1005,SMALL(IF(checklistPesertaKemenkeu!$AY$6:$AY$1005="Direkomendasikan",ROW($6:$1005)-5),652)),KotaKode,2,0),"-"),"")),"")</f>
        <v/>
      </c>
      <c r="L653" t="str">
        <f t="array" aca="1" ref="L653" ca="1">IFERROR(IF(OR(INDEX(checklistPesertaKemenkeu!$P$6:$P$1005,SMALL(IF(checklistPesertaKemenkeu!$AY$6:$AY$1005="Direkomendasikan",ROW($6:$1005)-5),652))="",INDEX(checklistPesertaKemenkeu!$J$6:$J$1005,SMALL(IF(checklistPesertaKemenkeu!$AY$6:$AY$1005="Direkomendasikan",ROW($6:$1005)-5),652))=""),"",IF(AND(COUNTIF(INDIRECT("K_"&amp;MATCH(INDEX(checklistPesertaKemenkeu!$J$6:$J$1005,SMALL(IF(checklistPesertaKemenkeu!$AY$6:$AY$1005="Direkomendasikan",ROW($6:$1005)-5),652)),BidangList,0)),INDEX(checklistPesertaKemenkeu!$P$6:$P$1005,SMALL(IF(checklistPesertaKemenkeu!$AY$6:$AY$1005="Direkomendasikan",ROW($6:$1005)-5),652)))&gt;0,COUNTIF(INDIRECT("'KERTAS KERJA'!K"&amp;(SMALL(IF(checklistPesertaKemenkeu!$AY$6:$AY$1005="Direkomendasikan",ROW($6:$1005)-5),652)+5)&amp;":O"&amp;(SMALL(IF(checklistPesertaKemenkeu!$AY$6:$AY$1005="Direkomendasikan",ROW($6:$1005)-5),652)+5)),INDEX(checklistPesertaKemenkeu!$P$6:$P$1005,SMALL(IF(checklistPesertaKemenkeu!$AY$6:$AY$1005="Direkomendasikan",ROW($6:$1005)-5),652)))=1),IFERROR(VLOOKUP(INDEX(checklistPesertaKemenkeu!$P$6:$P$1005,SMALL(IF(checklistPesertaKemenkeu!$AY$6:$AY$1005="Direkomendasikan",ROW($6:$1005)-5),652)),KotaKode,2,0),"-"),"")),"")</f>
        <v/>
      </c>
    </row>
    <row r="654" spans="1:12" ht="15" customHeight="1" x14ac:dyDescent="0.2">
      <c r="A654" t="str">
        <f t="shared" si="10"/>
        <v/>
      </c>
      <c r="B654" t="str">
        <v/>
      </c>
      <c r="C654" s="40" t="str">
        <f t="array" ref="C654">IFERROR(INDEX(checklistPesertaKemenkeu!$F$6:$F$1005,SMALL(IF(checklistPesertaKemenkeu!$AY$6:$AY$1005="Direkomendasikan",ROW($6:$1005)-5),653)),"")</f>
        <v/>
      </c>
      <c r="D654" t="str">
        <f t="array" ref="D654">IFERROR(INDEX(checklistPesertaKemenkeu!$G$6:$G$1005,SMALL(IF(checklistPesertaKemenkeu!$AY$6:$AY$1005="Direkomendasikan",ROW($6:$1005)-5),653)),"")</f>
        <v/>
      </c>
      <c r="E654" t="str">
        <f t="array" ref="E654">IFERROR(INDEX(checklistPesertaKemenkeu!$H$6:$H$1005,SMALL(IF(checklistPesertaKemenkeu!$AY$6:$AY$1005="Direkomendasikan",ROW($6:$1005)-5),653)),"")</f>
        <v/>
      </c>
      <c r="F654" t="str">
        <f t="array" ref="F654">IFERROR(INDEX(checklistPesertaKemenkeu!$I$6:$I$1005,SMALL(IF(checklistPesertaKemenkeu!$AY$6:$AY$1005="Direkomendasikan",ROW($6:$1005)-5),653)),"")</f>
        <v/>
      </c>
      <c r="G654" t="str">
        <f t="array" ref="G654">IFERROR(INDEX(checklistPesertaKemenkeu!$J$6:$J$1005,SMALL(IF(checklistPesertaKemenkeu!$AY$6:$AY$1005="Direkomendasikan",ROW($6:$1005)-5),653)),"")</f>
        <v/>
      </c>
      <c r="H654" t="str">
        <f t="array" aca="1" ref="H654" ca="1">IFERROR(IF(OR(INDEX(checklistPesertaKemenkeu!$L$6:$L$1005,SMALL(IF(checklistPesertaKemenkeu!$AY$6:$AY$1005="Direkomendasikan",ROW($6:$1005)-5),653))="",INDEX(checklistPesertaKemenkeu!$J$6:$J$1005,SMALL(IF(checklistPesertaKemenkeu!$AY$6:$AY$1005="Direkomendasikan",ROW($6:$1005)-5),653))=""),"",IF(AND(COUNTIF(INDIRECT("K_"&amp;MATCH(INDEX(checklistPesertaKemenkeu!$J$6:$J$1005,SMALL(IF(checklistPesertaKemenkeu!$AY$6:$AY$1005="Direkomendasikan",ROW($6:$1005)-5),653)),BidangList,0)),INDEX(checklistPesertaKemenkeu!$L$6:$L$1005,SMALL(IF(checklistPesertaKemenkeu!$AY$6:$AY$1005="Direkomendasikan",ROW($6:$1005)-5),653)))&gt;0,COUNTIF(INDIRECT("'KERTAS KERJA'!K"&amp;(SMALL(IF(checklistPesertaKemenkeu!$AY$6:$AY$1005="Direkomendasikan",ROW($6:$1005)-5),653)+5)&amp;":O"&amp;(SMALL(IF(checklistPesertaKemenkeu!$AY$6:$AY$1005="Direkomendasikan",ROW($6:$1005)-5),653)+5)),INDEX(checklistPesertaKemenkeu!$L$6:$L$1005,SMALL(IF(checklistPesertaKemenkeu!$AY$6:$AY$1005="Direkomendasikan",ROW($6:$1005)-5),653)))=1),IFERROR(VLOOKUP(INDEX(checklistPesertaKemenkeu!$L$6:$L$1005,SMALL(IF(checklistPesertaKemenkeu!$AY$6:$AY$1005="Direkomendasikan",ROW($6:$1005)-5),653)),KotaKode,2,0),"-"),"")),"")</f>
        <v/>
      </c>
      <c r="I654" t="str">
        <f t="array" aca="1" ref="I654" ca="1">IFERROR(IF(OR(INDEX(checklistPesertaKemenkeu!$M$6:$M$1005,SMALL(IF(checklistPesertaKemenkeu!$AY$6:$AY$1005="Direkomendasikan",ROW($6:$1005)-5),653))="",INDEX(checklistPesertaKemenkeu!$J$6:$J$1005,SMALL(IF(checklistPesertaKemenkeu!$AY$6:$AY$1005="Direkomendasikan",ROW($6:$1005)-5),653))=""),"",IF(AND(COUNTIF(INDIRECT("K_"&amp;MATCH(INDEX(checklistPesertaKemenkeu!$J$6:$J$1005,SMALL(IF(checklistPesertaKemenkeu!$AY$6:$AY$1005="Direkomendasikan",ROW($6:$1005)-5),653)),BidangList,0)),INDEX(checklistPesertaKemenkeu!$M$6:$M$1005,SMALL(IF(checklistPesertaKemenkeu!$AY$6:$AY$1005="Direkomendasikan",ROW($6:$1005)-5),653)))&gt;0,COUNTIF(INDIRECT("'KERTAS KERJA'!K"&amp;(SMALL(IF(checklistPesertaKemenkeu!$AY$6:$AY$1005="Direkomendasikan",ROW($6:$1005)-5),653)+5)&amp;":O"&amp;(SMALL(IF(checklistPesertaKemenkeu!$AY$6:$AY$1005="Direkomendasikan",ROW($6:$1005)-5),653)+5)),INDEX(checklistPesertaKemenkeu!$M$6:$M$1005,SMALL(IF(checklistPesertaKemenkeu!$AY$6:$AY$1005="Direkomendasikan",ROW($6:$1005)-5),653)))=1),IFERROR(VLOOKUP(INDEX(checklistPesertaKemenkeu!$M$6:$M$1005,SMALL(IF(checklistPesertaKemenkeu!$AY$6:$AY$1005="Direkomendasikan",ROW($6:$1005)-5),653)),KotaKode,2,0),"-"),"")),"")</f>
        <v/>
      </c>
      <c r="J654" t="str">
        <f t="array" aca="1" ref="J654" ca="1">IFERROR(IF(OR(INDEX(checklistPesertaKemenkeu!$N$6:$N$1005,SMALL(IF(checklistPesertaKemenkeu!$AY$6:$AY$1005="Direkomendasikan",ROW($6:$1005)-5),653))="",INDEX(checklistPesertaKemenkeu!$J$6:$J$1005,SMALL(IF(checklistPesertaKemenkeu!$AY$6:$AY$1005="Direkomendasikan",ROW($6:$1005)-5),653))=""),"",IF(AND(COUNTIF(INDIRECT("K_"&amp;MATCH(INDEX(checklistPesertaKemenkeu!$J$6:$J$1005,SMALL(IF(checklistPesertaKemenkeu!$AY$6:$AY$1005="Direkomendasikan",ROW($6:$1005)-5),653)),BidangList,0)),INDEX(checklistPesertaKemenkeu!$N$6:$N$1005,SMALL(IF(checklistPesertaKemenkeu!$AY$6:$AY$1005="Direkomendasikan",ROW($6:$1005)-5),653)))&gt;0,COUNTIF(INDIRECT("'KERTAS KERJA'!K"&amp;(SMALL(IF(checklistPesertaKemenkeu!$AY$6:$AY$1005="Direkomendasikan",ROW($6:$1005)-5),653)+5)&amp;":O"&amp;(SMALL(IF(checklistPesertaKemenkeu!$AY$6:$AY$1005="Direkomendasikan",ROW($6:$1005)-5),653)+5)),INDEX(checklistPesertaKemenkeu!$N$6:$N$1005,SMALL(IF(checklistPesertaKemenkeu!$AY$6:$AY$1005="Direkomendasikan",ROW($6:$1005)-5),653)))=1),IFERROR(VLOOKUP(INDEX(checklistPesertaKemenkeu!$N$6:$N$1005,SMALL(IF(checklistPesertaKemenkeu!$AY$6:$AY$1005="Direkomendasikan",ROW($6:$1005)-5),653)),KotaKode,2,0),"-"),"")),"")</f>
        <v/>
      </c>
      <c r="K654" t="str">
        <f t="array" aca="1" ref="K654" ca="1">IFERROR(IF(OR(INDEX(checklistPesertaKemenkeu!$O$6:$O$1005,SMALL(IF(checklistPesertaKemenkeu!$AY$6:$AY$1005="Direkomendasikan",ROW($6:$1005)-5),653))="",INDEX(checklistPesertaKemenkeu!$J$6:$J$1005,SMALL(IF(checklistPesertaKemenkeu!$AY$6:$AY$1005="Direkomendasikan",ROW($6:$1005)-5),653))=""),"",IF(AND(COUNTIF(INDIRECT("K_"&amp;MATCH(INDEX(checklistPesertaKemenkeu!$J$6:$J$1005,SMALL(IF(checklistPesertaKemenkeu!$AY$6:$AY$1005="Direkomendasikan",ROW($6:$1005)-5),653)),BidangList,0)),INDEX(checklistPesertaKemenkeu!$O$6:$O$1005,SMALL(IF(checklistPesertaKemenkeu!$AY$6:$AY$1005="Direkomendasikan",ROW($6:$1005)-5),653)))&gt;0,COUNTIF(INDIRECT("'KERTAS KERJA'!K"&amp;(SMALL(IF(checklistPesertaKemenkeu!$AY$6:$AY$1005="Direkomendasikan",ROW($6:$1005)-5),653)+5)&amp;":O"&amp;(SMALL(IF(checklistPesertaKemenkeu!$AY$6:$AY$1005="Direkomendasikan",ROW($6:$1005)-5),653)+5)),INDEX(checklistPesertaKemenkeu!$O$6:$O$1005,SMALL(IF(checklistPesertaKemenkeu!$AY$6:$AY$1005="Direkomendasikan",ROW($6:$1005)-5),653)))=1),IFERROR(VLOOKUP(INDEX(checklistPesertaKemenkeu!$O$6:$O$1005,SMALL(IF(checklistPesertaKemenkeu!$AY$6:$AY$1005="Direkomendasikan",ROW($6:$1005)-5),653)),KotaKode,2,0),"-"),"")),"")</f>
        <v/>
      </c>
      <c r="L654" t="str">
        <f t="array" aca="1" ref="L654" ca="1">IFERROR(IF(OR(INDEX(checklistPesertaKemenkeu!$P$6:$P$1005,SMALL(IF(checklistPesertaKemenkeu!$AY$6:$AY$1005="Direkomendasikan",ROW($6:$1005)-5),653))="",INDEX(checklistPesertaKemenkeu!$J$6:$J$1005,SMALL(IF(checklistPesertaKemenkeu!$AY$6:$AY$1005="Direkomendasikan",ROW($6:$1005)-5),653))=""),"",IF(AND(COUNTIF(INDIRECT("K_"&amp;MATCH(INDEX(checklistPesertaKemenkeu!$J$6:$J$1005,SMALL(IF(checklistPesertaKemenkeu!$AY$6:$AY$1005="Direkomendasikan",ROW($6:$1005)-5),653)),BidangList,0)),INDEX(checklistPesertaKemenkeu!$P$6:$P$1005,SMALL(IF(checklistPesertaKemenkeu!$AY$6:$AY$1005="Direkomendasikan",ROW($6:$1005)-5),653)))&gt;0,COUNTIF(INDIRECT("'KERTAS KERJA'!K"&amp;(SMALL(IF(checklistPesertaKemenkeu!$AY$6:$AY$1005="Direkomendasikan",ROW($6:$1005)-5),653)+5)&amp;":O"&amp;(SMALL(IF(checklistPesertaKemenkeu!$AY$6:$AY$1005="Direkomendasikan",ROW($6:$1005)-5),653)+5)),INDEX(checklistPesertaKemenkeu!$P$6:$P$1005,SMALL(IF(checklistPesertaKemenkeu!$AY$6:$AY$1005="Direkomendasikan",ROW($6:$1005)-5),653)))=1),IFERROR(VLOOKUP(INDEX(checklistPesertaKemenkeu!$P$6:$P$1005,SMALL(IF(checklistPesertaKemenkeu!$AY$6:$AY$1005="Direkomendasikan",ROW($6:$1005)-5),653)),KotaKode,2,0),"-"),"")),"")</f>
        <v/>
      </c>
    </row>
    <row r="655" spans="1:12" ht="15" customHeight="1" x14ac:dyDescent="0.2">
      <c r="A655" t="str">
        <f t="shared" si="10"/>
        <v/>
      </c>
      <c r="B655" t="str">
        <v/>
      </c>
      <c r="C655" s="40" t="str">
        <f t="array" ref="C655">IFERROR(INDEX(checklistPesertaKemenkeu!$F$6:$F$1005,SMALL(IF(checklistPesertaKemenkeu!$AY$6:$AY$1005="Direkomendasikan",ROW($6:$1005)-5),654)),"")</f>
        <v/>
      </c>
      <c r="D655" t="str">
        <f t="array" ref="D655">IFERROR(INDEX(checklistPesertaKemenkeu!$G$6:$G$1005,SMALL(IF(checklistPesertaKemenkeu!$AY$6:$AY$1005="Direkomendasikan",ROW($6:$1005)-5),654)),"")</f>
        <v/>
      </c>
      <c r="E655" t="str">
        <f t="array" ref="E655">IFERROR(INDEX(checklistPesertaKemenkeu!$H$6:$H$1005,SMALL(IF(checklistPesertaKemenkeu!$AY$6:$AY$1005="Direkomendasikan",ROW($6:$1005)-5),654)),"")</f>
        <v/>
      </c>
      <c r="F655" t="str">
        <f t="array" ref="F655">IFERROR(INDEX(checklistPesertaKemenkeu!$I$6:$I$1005,SMALL(IF(checklistPesertaKemenkeu!$AY$6:$AY$1005="Direkomendasikan",ROW($6:$1005)-5),654)),"")</f>
        <v/>
      </c>
      <c r="G655" t="str">
        <f t="array" ref="G655">IFERROR(INDEX(checklistPesertaKemenkeu!$J$6:$J$1005,SMALL(IF(checklistPesertaKemenkeu!$AY$6:$AY$1005="Direkomendasikan",ROW($6:$1005)-5),654)),"")</f>
        <v/>
      </c>
      <c r="H655" t="str">
        <f t="array" aca="1" ref="H655" ca="1">IFERROR(IF(OR(INDEX(checklistPesertaKemenkeu!$L$6:$L$1005,SMALL(IF(checklistPesertaKemenkeu!$AY$6:$AY$1005="Direkomendasikan",ROW($6:$1005)-5),654))="",INDEX(checklistPesertaKemenkeu!$J$6:$J$1005,SMALL(IF(checklistPesertaKemenkeu!$AY$6:$AY$1005="Direkomendasikan",ROW($6:$1005)-5),654))=""),"",IF(AND(COUNTIF(INDIRECT("K_"&amp;MATCH(INDEX(checklistPesertaKemenkeu!$J$6:$J$1005,SMALL(IF(checklistPesertaKemenkeu!$AY$6:$AY$1005="Direkomendasikan",ROW($6:$1005)-5),654)),BidangList,0)),INDEX(checklistPesertaKemenkeu!$L$6:$L$1005,SMALL(IF(checklistPesertaKemenkeu!$AY$6:$AY$1005="Direkomendasikan",ROW($6:$1005)-5),654)))&gt;0,COUNTIF(INDIRECT("'KERTAS KERJA'!K"&amp;(SMALL(IF(checklistPesertaKemenkeu!$AY$6:$AY$1005="Direkomendasikan",ROW($6:$1005)-5),654)+5)&amp;":O"&amp;(SMALL(IF(checklistPesertaKemenkeu!$AY$6:$AY$1005="Direkomendasikan",ROW($6:$1005)-5),654)+5)),INDEX(checklistPesertaKemenkeu!$L$6:$L$1005,SMALL(IF(checklistPesertaKemenkeu!$AY$6:$AY$1005="Direkomendasikan",ROW($6:$1005)-5),654)))=1),IFERROR(VLOOKUP(INDEX(checklistPesertaKemenkeu!$L$6:$L$1005,SMALL(IF(checklistPesertaKemenkeu!$AY$6:$AY$1005="Direkomendasikan",ROW($6:$1005)-5),654)),KotaKode,2,0),"-"),"")),"")</f>
        <v/>
      </c>
      <c r="I655" t="str">
        <f t="array" aca="1" ref="I655" ca="1">IFERROR(IF(OR(INDEX(checklistPesertaKemenkeu!$M$6:$M$1005,SMALL(IF(checklistPesertaKemenkeu!$AY$6:$AY$1005="Direkomendasikan",ROW($6:$1005)-5),654))="",INDEX(checklistPesertaKemenkeu!$J$6:$J$1005,SMALL(IF(checklistPesertaKemenkeu!$AY$6:$AY$1005="Direkomendasikan",ROW($6:$1005)-5),654))=""),"",IF(AND(COUNTIF(INDIRECT("K_"&amp;MATCH(INDEX(checklistPesertaKemenkeu!$J$6:$J$1005,SMALL(IF(checklistPesertaKemenkeu!$AY$6:$AY$1005="Direkomendasikan",ROW($6:$1005)-5),654)),BidangList,0)),INDEX(checklistPesertaKemenkeu!$M$6:$M$1005,SMALL(IF(checklistPesertaKemenkeu!$AY$6:$AY$1005="Direkomendasikan",ROW($6:$1005)-5),654)))&gt;0,COUNTIF(INDIRECT("'KERTAS KERJA'!K"&amp;(SMALL(IF(checklistPesertaKemenkeu!$AY$6:$AY$1005="Direkomendasikan",ROW($6:$1005)-5),654)+5)&amp;":O"&amp;(SMALL(IF(checklistPesertaKemenkeu!$AY$6:$AY$1005="Direkomendasikan",ROW($6:$1005)-5),654)+5)),INDEX(checklistPesertaKemenkeu!$M$6:$M$1005,SMALL(IF(checklistPesertaKemenkeu!$AY$6:$AY$1005="Direkomendasikan",ROW($6:$1005)-5),654)))=1),IFERROR(VLOOKUP(INDEX(checklistPesertaKemenkeu!$M$6:$M$1005,SMALL(IF(checklistPesertaKemenkeu!$AY$6:$AY$1005="Direkomendasikan",ROW($6:$1005)-5),654)),KotaKode,2,0),"-"),"")),"")</f>
        <v/>
      </c>
      <c r="J655" t="str">
        <f t="array" aca="1" ref="J655" ca="1">IFERROR(IF(OR(INDEX(checklistPesertaKemenkeu!$N$6:$N$1005,SMALL(IF(checklistPesertaKemenkeu!$AY$6:$AY$1005="Direkomendasikan",ROW($6:$1005)-5),654))="",INDEX(checklistPesertaKemenkeu!$J$6:$J$1005,SMALL(IF(checklistPesertaKemenkeu!$AY$6:$AY$1005="Direkomendasikan",ROW($6:$1005)-5),654))=""),"",IF(AND(COUNTIF(INDIRECT("K_"&amp;MATCH(INDEX(checklistPesertaKemenkeu!$J$6:$J$1005,SMALL(IF(checklistPesertaKemenkeu!$AY$6:$AY$1005="Direkomendasikan",ROW($6:$1005)-5),654)),BidangList,0)),INDEX(checklistPesertaKemenkeu!$N$6:$N$1005,SMALL(IF(checklistPesertaKemenkeu!$AY$6:$AY$1005="Direkomendasikan",ROW($6:$1005)-5),654)))&gt;0,COUNTIF(INDIRECT("'KERTAS KERJA'!K"&amp;(SMALL(IF(checklistPesertaKemenkeu!$AY$6:$AY$1005="Direkomendasikan",ROW($6:$1005)-5),654)+5)&amp;":O"&amp;(SMALL(IF(checklistPesertaKemenkeu!$AY$6:$AY$1005="Direkomendasikan",ROW($6:$1005)-5),654)+5)),INDEX(checklistPesertaKemenkeu!$N$6:$N$1005,SMALL(IF(checklistPesertaKemenkeu!$AY$6:$AY$1005="Direkomendasikan",ROW($6:$1005)-5),654)))=1),IFERROR(VLOOKUP(INDEX(checklistPesertaKemenkeu!$N$6:$N$1005,SMALL(IF(checklistPesertaKemenkeu!$AY$6:$AY$1005="Direkomendasikan",ROW($6:$1005)-5),654)),KotaKode,2,0),"-"),"")),"")</f>
        <v/>
      </c>
      <c r="K655" t="str">
        <f t="array" aca="1" ref="K655" ca="1">IFERROR(IF(OR(INDEX(checklistPesertaKemenkeu!$O$6:$O$1005,SMALL(IF(checklistPesertaKemenkeu!$AY$6:$AY$1005="Direkomendasikan",ROW($6:$1005)-5),654))="",INDEX(checklistPesertaKemenkeu!$J$6:$J$1005,SMALL(IF(checklistPesertaKemenkeu!$AY$6:$AY$1005="Direkomendasikan",ROW($6:$1005)-5),654))=""),"",IF(AND(COUNTIF(INDIRECT("K_"&amp;MATCH(INDEX(checklistPesertaKemenkeu!$J$6:$J$1005,SMALL(IF(checklistPesertaKemenkeu!$AY$6:$AY$1005="Direkomendasikan",ROW($6:$1005)-5),654)),BidangList,0)),INDEX(checklistPesertaKemenkeu!$O$6:$O$1005,SMALL(IF(checklistPesertaKemenkeu!$AY$6:$AY$1005="Direkomendasikan",ROW($6:$1005)-5),654)))&gt;0,COUNTIF(INDIRECT("'KERTAS KERJA'!K"&amp;(SMALL(IF(checklistPesertaKemenkeu!$AY$6:$AY$1005="Direkomendasikan",ROW($6:$1005)-5),654)+5)&amp;":O"&amp;(SMALL(IF(checklistPesertaKemenkeu!$AY$6:$AY$1005="Direkomendasikan",ROW($6:$1005)-5),654)+5)),INDEX(checklistPesertaKemenkeu!$O$6:$O$1005,SMALL(IF(checklistPesertaKemenkeu!$AY$6:$AY$1005="Direkomendasikan",ROW($6:$1005)-5),654)))=1),IFERROR(VLOOKUP(INDEX(checklistPesertaKemenkeu!$O$6:$O$1005,SMALL(IF(checklistPesertaKemenkeu!$AY$6:$AY$1005="Direkomendasikan",ROW($6:$1005)-5),654)),KotaKode,2,0),"-"),"")),"")</f>
        <v/>
      </c>
      <c r="L655" t="str">
        <f t="array" aca="1" ref="L655" ca="1">IFERROR(IF(OR(INDEX(checklistPesertaKemenkeu!$P$6:$P$1005,SMALL(IF(checklistPesertaKemenkeu!$AY$6:$AY$1005="Direkomendasikan",ROW($6:$1005)-5),654))="",INDEX(checklistPesertaKemenkeu!$J$6:$J$1005,SMALL(IF(checklistPesertaKemenkeu!$AY$6:$AY$1005="Direkomendasikan",ROW($6:$1005)-5),654))=""),"",IF(AND(COUNTIF(INDIRECT("K_"&amp;MATCH(INDEX(checklistPesertaKemenkeu!$J$6:$J$1005,SMALL(IF(checklistPesertaKemenkeu!$AY$6:$AY$1005="Direkomendasikan",ROW($6:$1005)-5),654)),BidangList,0)),INDEX(checklistPesertaKemenkeu!$P$6:$P$1005,SMALL(IF(checklistPesertaKemenkeu!$AY$6:$AY$1005="Direkomendasikan",ROW($6:$1005)-5),654)))&gt;0,COUNTIF(INDIRECT("'KERTAS KERJA'!K"&amp;(SMALL(IF(checklistPesertaKemenkeu!$AY$6:$AY$1005="Direkomendasikan",ROW($6:$1005)-5),654)+5)&amp;":O"&amp;(SMALL(IF(checklistPesertaKemenkeu!$AY$6:$AY$1005="Direkomendasikan",ROW($6:$1005)-5),654)+5)),INDEX(checklistPesertaKemenkeu!$P$6:$P$1005,SMALL(IF(checklistPesertaKemenkeu!$AY$6:$AY$1005="Direkomendasikan",ROW($6:$1005)-5),654)))=1),IFERROR(VLOOKUP(INDEX(checklistPesertaKemenkeu!$P$6:$P$1005,SMALL(IF(checklistPesertaKemenkeu!$AY$6:$AY$1005="Direkomendasikan",ROW($6:$1005)-5),654)),KotaKode,2,0),"-"),"")),"")</f>
        <v/>
      </c>
    </row>
    <row r="656" spans="1:12" ht="15" customHeight="1" x14ac:dyDescent="0.2">
      <c r="A656" t="str">
        <f t="shared" si="10"/>
        <v/>
      </c>
      <c r="B656" t="str">
        <v/>
      </c>
      <c r="C656" s="40" t="str">
        <f t="array" ref="C656">IFERROR(INDEX(checklistPesertaKemenkeu!$F$6:$F$1005,SMALL(IF(checklistPesertaKemenkeu!$AY$6:$AY$1005="Direkomendasikan",ROW($6:$1005)-5),655)),"")</f>
        <v/>
      </c>
      <c r="D656" t="str">
        <f t="array" ref="D656">IFERROR(INDEX(checklistPesertaKemenkeu!$G$6:$G$1005,SMALL(IF(checklistPesertaKemenkeu!$AY$6:$AY$1005="Direkomendasikan",ROW($6:$1005)-5),655)),"")</f>
        <v/>
      </c>
      <c r="E656" t="str">
        <f t="array" ref="E656">IFERROR(INDEX(checklistPesertaKemenkeu!$H$6:$H$1005,SMALL(IF(checklistPesertaKemenkeu!$AY$6:$AY$1005="Direkomendasikan",ROW($6:$1005)-5),655)),"")</f>
        <v/>
      </c>
      <c r="F656" t="str">
        <f t="array" ref="F656">IFERROR(INDEX(checklistPesertaKemenkeu!$I$6:$I$1005,SMALL(IF(checklistPesertaKemenkeu!$AY$6:$AY$1005="Direkomendasikan",ROW($6:$1005)-5),655)),"")</f>
        <v/>
      </c>
      <c r="G656" t="str">
        <f t="array" ref="G656">IFERROR(INDEX(checklistPesertaKemenkeu!$J$6:$J$1005,SMALL(IF(checklistPesertaKemenkeu!$AY$6:$AY$1005="Direkomendasikan",ROW($6:$1005)-5),655)),"")</f>
        <v/>
      </c>
      <c r="H656" t="str">
        <f t="array" aca="1" ref="H656" ca="1">IFERROR(IF(OR(INDEX(checklistPesertaKemenkeu!$L$6:$L$1005,SMALL(IF(checklistPesertaKemenkeu!$AY$6:$AY$1005="Direkomendasikan",ROW($6:$1005)-5),655))="",INDEX(checklistPesertaKemenkeu!$J$6:$J$1005,SMALL(IF(checklistPesertaKemenkeu!$AY$6:$AY$1005="Direkomendasikan",ROW($6:$1005)-5),655))=""),"",IF(AND(COUNTIF(INDIRECT("K_"&amp;MATCH(INDEX(checklistPesertaKemenkeu!$J$6:$J$1005,SMALL(IF(checklistPesertaKemenkeu!$AY$6:$AY$1005="Direkomendasikan",ROW($6:$1005)-5),655)),BidangList,0)),INDEX(checklistPesertaKemenkeu!$L$6:$L$1005,SMALL(IF(checklistPesertaKemenkeu!$AY$6:$AY$1005="Direkomendasikan",ROW($6:$1005)-5),655)))&gt;0,COUNTIF(INDIRECT("'KERTAS KERJA'!K"&amp;(SMALL(IF(checklistPesertaKemenkeu!$AY$6:$AY$1005="Direkomendasikan",ROW($6:$1005)-5),655)+5)&amp;":O"&amp;(SMALL(IF(checklistPesertaKemenkeu!$AY$6:$AY$1005="Direkomendasikan",ROW($6:$1005)-5),655)+5)),INDEX(checklistPesertaKemenkeu!$L$6:$L$1005,SMALL(IF(checklistPesertaKemenkeu!$AY$6:$AY$1005="Direkomendasikan",ROW($6:$1005)-5),655)))=1),IFERROR(VLOOKUP(INDEX(checklistPesertaKemenkeu!$L$6:$L$1005,SMALL(IF(checklistPesertaKemenkeu!$AY$6:$AY$1005="Direkomendasikan",ROW($6:$1005)-5),655)),KotaKode,2,0),"-"),"")),"")</f>
        <v/>
      </c>
      <c r="I656" t="str">
        <f t="array" aca="1" ref="I656" ca="1">IFERROR(IF(OR(INDEX(checklistPesertaKemenkeu!$M$6:$M$1005,SMALL(IF(checklistPesertaKemenkeu!$AY$6:$AY$1005="Direkomendasikan",ROW($6:$1005)-5),655))="",INDEX(checklistPesertaKemenkeu!$J$6:$J$1005,SMALL(IF(checklistPesertaKemenkeu!$AY$6:$AY$1005="Direkomendasikan",ROW($6:$1005)-5),655))=""),"",IF(AND(COUNTIF(INDIRECT("K_"&amp;MATCH(INDEX(checklistPesertaKemenkeu!$J$6:$J$1005,SMALL(IF(checklistPesertaKemenkeu!$AY$6:$AY$1005="Direkomendasikan",ROW($6:$1005)-5),655)),BidangList,0)),INDEX(checklistPesertaKemenkeu!$M$6:$M$1005,SMALL(IF(checklistPesertaKemenkeu!$AY$6:$AY$1005="Direkomendasikan",ROW($6:$1005)-5),655)))&gt;0,COUNTIF(INDIRECT("'KERTAS KERJA'!K"&amp;(SMALL(IF(checklistPesertaKemenkeu!$AY$6:$AY$1005="Direkomendasikan",ROW($6:$1005)-5),655)+5)&amp;":O"&amp;(SMALL(IF(checklistPesertaKemenkeu!$AY$6:$AY$1005="Direkomendasikan",ROW($6:$1005)-5),655)+5)),INDEX(checklistPesertaKemenkeu!$M$6:$M$1005,SMALL(IF(checklistPesertaKemenkeu!$AY$6:$AY$1005="Direkomendasikan",ROW($6:$1005)-5),655)))=1),IFERROR(VLOOKUP(INDEX(checklistPesertaKemenkeu!$M$6:$M$1005,SMALL(IF(checklistPesertaKemenkeu!$AY$6:$AY$1005="Direkomendasikan",ROW($6:$1005)-5),655)),KotaKode,2,0),"-"),"")),"")</f>
        <v/>
      </c>
      <c r="J656" t="str">
        <f t="array" aca="1" ref="J656" ca="1">IFERROR(IF(OR(INDEX(checklistPesertaKemenkeu!$N$6:$N$1005,SMALL(IF(checklistPesertaKemenkeu!$AY$6:$AY$1005="Direkomendasikan",ROW($6:$1005)-5),655))="",INDEX(checklistPesertaKemenkeu!$J$6:$J$1005,SMALL(IF(checklistPesertaKemenkeu!$AY$6:$AY$1005="Direkomendasikan",ROW($6:$1005)-5),655))=""),"",IF(AND(COUNTIF(INDIRECT("K_"&amp;MATCH(INDEX(checklistPesertaKemenkeu!$J$6:$J$1005,SMALL(IF(checklistPesertaKemenkeu!$AY$6:$AY$1005="Direkomendasikan",ROW($6:$1005)-5),655)),BidangList,0)),INDEX(checklistPesertaKemenkeu!$N$6:$N$1005,SMALL(IF(checklistPesertaKemenkeu!$AY$6:$AY$1005="Direkomendasikan",ROW($6:$1005)-5),655)))&gt;0,COUNTIF(INDIRECT("'KERTAS KERJA'!K"&amp;(SMALL(IF(checklistPesertaKemenkeu!$AY$6:$AY$1005="Direkomendasikan",ROW($6:$1005)-5),655)+5)&amp;":O"&amp;(SMALL(IF(checklistPesertaKemenkeu!$AY$6:$AY$1005="Direkomendasikan",ROW($6:$1005)-5),655)+5)),INDEX(checklistPesertaKemenkeu!$N$6:$N$1005,SMALL(IF(checklistPesertaKemenkeu!$AY$6:$AY$1005="Direkomendasikan",ROW($6:$1005)-5),655)))=1),IFERROR(VLOOKUP(INDEX(checklistPesertaKemenkeu!$N$6:$N$1005,SMALL(IF(checklistPesertaKemenkeu!$AY$6:$AY$1005="Direkomendasikan",ROW($6:$1005)-5),655)),KotaKode,2,0),"-"),"")),"")</f>
        <v/>
      </c>
      <c r="K656" t="str">
        <f t="array" aca="1" ref="K656" ca="1">IFERROR(IF(OR(INDEX(checklistPesertaKemenkeu!$O$6:$O$1005,SMALL(IF(checklistPesertaKemenkeu!$AY$6:$AY$1005="Direkomendasikan",ROW($6:$1005)-5),655))="",INDEX(checklistPesertaKemenkeu!$J$6:$J$1005,SMALL(IF(checklistPesertaKemenkeu!$AY$6:$AY$1005="Direkomendasikan",ROW($6:$1005)-5),655))=""),"",IF(AND(COUNTIF(INDIRECT("K_"&amp;MATCH(INDEX(checklistPesertaKemenkeu!$J$6:$J$1005,SMALL(IF(checklistPesertaKemenkeu!$AY$6:$AY$1005="Direkomendasikan",ROW($6:$1005)-5),655)),BidangList,0)),INDEX(checklistPesertaKemenkeu!$O$6:$O$1005,SMALL(IF(checklistPesertaKemenkeu!$AY$6:$AY$1005="Direkomendasikan",ROW($6:$1005)-5),655)))&gt;0,COUNTIF(INDIRECT("'KERTAS KERJA'!K"&amp;(SMALL(IF(checklistPesertaKemenkeu!$AY$6:$AY$1005="Direkomendasikan",ROW($6:$1005)-5),655)+5)&amp;":O"&amp;(SMALL(IF(checklistPesertaKemenkeu!$AY$6:$AY$1005="Direkomendasikan",ROW($6:$1005)-5),655)+5)),INDEX(checklistPesertaKemenkeu!$O$6:$O$1005,SMALL(IF(checklistPesertaKemenkeu!$AY$6:$AY$1005="Direkomendasikan",ROW($6:$1005)-5),655)))=1),IFERROR(VLOOKUP(INDEX(checklistPesertaKemenkeu!$O$6:$O$1005,SMALL(IF(checklistPesertaKemenkeu!$AY$6:$AY$1005="Direkomendasikan",ROW($6:$1005)-5),655)),KotaKode,2,0),"-"),"")),"")</f>
        <v/>
      </c>
      <c r="L656" t="str">
        <f t="array" aca="1" ref="L656" ca="1">IFERROR(IF(OR(INDEX(checklistPesertaKemenkeu!$P$6:$P$1005,SMALL(IF(checklistPesertaKemenkeu!$AY$6:$AY$1005="Direkomendasikan",ROW($6:$1005)-5),655))="",INDEX(checklistPesertaKemenkeu!$J$6:$J$1005,SMALL(IF(checklistPesertaKemenkeu!$AY$6:$AY$1005="Direkomendasikan",ROW($6:$1005)-5),655))=""),"",IF(AND(COUNTIF(INDIRECT("K_"&amp;MATCH(INDEX(checklistPesertaKemenkeu!$J$6:$J$1005,SMALL(IF(checklistPesertaKemenkeu!$AY$6:$AY$1005="Direkomendasikan",ROW($6:$1005)-5),655)),BidangList,0)),INDEX(checklistPesertaKemenkeu!$P$6:$P$1005,SMALL(IF(checklistPesertaKemenkeu!$AY$6:$AY$1005="Direkomendasikan",ROW($6:$1005)-5),655)))&gt;0,COUNTIF(INDIRECT("'KERTAS KERJA'!K"&amp;(SMALL(IF(checklistPesertaKemenkeu!$AY$6:$AY$1005="Direkomendasikan",ROW($6:$1005)-5),655)+5)&amp;":O"&amp;(SMALL(IF(checklistPesertaKemenkeu!$AY$6:$AY$1005="Direkomendasikan",ROW($6:$1005)-5),655)+5)),INDEX(checklistPesertaKemenkeu!$P$6:$P$1005,SMALL(IF(checklistPesertaKemenkeu!$AY$6:$AY$1005="Direkomendasikan",ROW($6:$1005)-5),655)))=1),IFERROR(VLOOKUP(INDEX(checklistPesertaKemenkeu!$P$6:$P$1005,SMALL(IF(checklistPesertaKemenkeu!$AY$6:$AY$1005="Direkomendasikan",ROW($6:$1005)-5),655)),KotaKode,2,0),"-"),"")),"")</f>
        <v/>
      </c>
    </row>
    <row r="657" spans="1:12" ht="15" customHeight="1" x14ac:dyDescent="0.2">
      <c r="A657" t="str">
        <f t="shared" si="10"/>
        <v/>
      </c>
      <c r="B657" t="str">
        <v/>
      </c>
      <c r="C657" s="40" t="str">
        <f t="array" ref="C657">IFERROR(INDEX(checklistPesertaKemenkeu!$F$6:$F$1005,SMALL(IF(checklistPesertaKemenkeu!$AY$6:$AY$1005="Direkomendasikan",ROW($6:$1005)-5),656)),"")</f>
        <v/>
      </c>
      <c r="D657" t="str">
        <f t="array" ref="D657">IFERROR(INDEX(checklistPesertaKemenkeu!$G$6:$G$1005,SMALL(IF(checklistPesertaKemenkeu!$AY$6:$AY$1005="Direkomendasikan",ROW($6:$1005)-5),656)),"")</f>
        <v/>
      </c>
      <c r="E657" t="str">
        <f t="array" ref="E657">IFERROR(INDEX(checklistPesertaKemenkeu!$H$6:$H$1005,SMALL(IF(checklistPesertaKemenkeu!$AY$6:$AY$1005="Direkomendasikan",ROW($6:$1005)-5),656)),"")</f>
        <v/>
      </c>
      <c r="F657" t="str">
        <f t="array" ref="F657">IFERROR(INDEX(checklistPesertaKemenkeu!$I$6:$I$1005,SMALL(IF(checklistPesertaKemenkeu!$AY$6:$AY$1005="Direkomendasikan",ROW($6:$1005)-5),656)),"")</f>
        <v/>
      </c>
      <c r="G657" t="str">
        <f t="array" ref="G657">IFERROR(INDEX(checklistPesertaKemenkeu!$J$6:$J$1005,SMALL(IF(checklistPesertaKemenkeu!$AY$6:$AY$1005="Direkomendasikan",ROW($6:$1005)-5),656)),"")</f>
        <v/>
      </c>
      <c r="H657" t="str">
        <f t="array" aca="1" ref="H657" ca="1">IFERROR(IF(OR(INDEX(checklistPesertaKemenkeu!$L$6:$L$1005,SMALL(IF(checklistPesertaKemenkeu!$AY$6:$AY$1005="Direkomendasikan",ROW($6:$1005)-5),656))="",INDEX(checklistPesertaKemenkeu!$J$6:$J$1005,SMALL(IF(checklistPesertaKemenkeu!$AY$6:$AY$1005="Direkomendasikan",ROW($6:$1005)-5),656))=""),"",IF(AND(COUNTIF(INDIRECT("K_"&amp;MATCH(INDEX(checklistPesertaKemenkeu!$J$6:$J$1005,SMALL(IF(checklistPesertaKemenkeu!$AY$6:$AY$1005="Direkomendasikan",ROW($6:$1005)-5),656)),BidangList,0)),INDEX(checklistPesertaKemenkeu!$L$6:$L$1005,SMALL(IF(checklistPesertaKemenkeu!$AY$6:$AY$1005="Direkomendasikan",ROW($6:$1005)-5),656)))&gt;0,COUNTIF(INDIRECT("'KERTAS KERJA'!K"&amp;(SMALL(IF(checklistPesertaKemenkeu!$AY$6:$AY$1005="Direkomendasikan",ROW($6:$1005)-5),656)+5)&amp;":O"&amp;(SMALL(IF(checklistPesertaKemenkeu!$AY$6:$AY$1005="Direkomendasikan",ROW($6:$1005)-5),656)+5)),INDEX(checklistPesertaKemenkeu!$L$6:$L$1005,SMALL(IF(checklistPesertaKemenkeu!$AY$6:$AY$1005="Direkomendasikan",ROW($6:$1005)-5),656)))=1),IFERROR(VLOOKUP(INDEX(checklistPesertaKemenkeu!$L$6:$L$1005,SMALL(IF(checklistPesertaKemenkeu!$AY$6:$AY$1005="Direkomendasikan",ROW($6:$1005)-5),656)),KotaKode,2,0),"-"),"")),"")</f>
        <v/>
      </c>
      <c r="I657" t="str">
        <f t="array" aca="1" ref="I657" ca="1">IFERROR(IF(OR(INDEX(checklistPesertaKemenkeu!$M$6:$M$1005,SMALL(IF(checklistPesertaKemenkeu!$AY$6:$AY$1005="Direkomendasikan",ROW($6:$1005)-5),656))="",INDEX(checklistPesertaKemenkeu!$J$6:$J$1005,SMALL(IF(checklistPesertaKemenkeu!$AY$6:$AY$1005="Direkomendasikan",ROW($6:$1005)-5),656))=""),"",IF(AND(COUNTIF(INDIRECT("K_"&amp;MATCH(INDEX(checklistPesertaKemenkeu!$J$6:$J$1005,SMALL(IF(checklistPesertaKemenkeu!$AY$6:$AY$1005="Direkomendasikan",ROW($6:$1005)-5),656)),BidangList,0)),INDEX(checklistPesertaKemenkeu!$M$6:$M$1005,SMALL(IF(checklistPesertaKemenkeu!$AY$6:$AY$1005="Direkomendasikan",ROW($6:$1005)-5),656)))&gt;0,COUNTIF(INDIRECT("'KERTAS KERJA'!K"&amp;(SMALL(IF(checklistPesertaKemenkeu!$AY$6:$AY$1005="Direkomendasikan",ROW($6:$1005)-5),656)+5)&amp;":O"&amp;(SMALL(IF(checklistPesertaKemenkeu!$AY$6:$AY$1005="Direkomendasikan",ROW($6:$1005)-5),656)+5)),INDEX(checklistPesertaKemenkeu!$M$6:$M$1005,SMALL(IF(checklistPesertaKemenkeu!$AY$6:$AY$1005="Direkomendasikan",ROW($6:$1005)-5),656)))=1),IFERROR(VLOOKUP(INDEX(checklistPesertaKemenkeu!$M$6:$M$1005,SMALL(IF(checklistPesertaKemenkeu!$AY$6:$AY$1005="Direkomendasikan",ROW($6:$1005)-5),656)),KotaKode,2,0),"-"),"")),"")</f>
        <v/>
      </c>
      <c r="J657" t="str">
        <f t="array" aca="1" ref="J657" ca="1">IFERROR(IF(OR(INDEX(checklistPesertaKemenkeu!$N$6:$N$1005,SMALL(IF(checklistPesertaKemenkeu!$AY$6:$AY$1005="Direkomendasikan",ROW($6:$1005)-5),656))="",INDEX(checklistPesertaKemenkeu!$J$6:$J$1005,SMALL(IF(checklistPesertaKemenkeu!$AY$6:$AY$1005="Direkomendasikan",ROW($6:$1005)-5),656))=""),"",IF(AND(COUNTIF(INDIRECT("K_"&amp;MATCH(INDEX(checklistPesertaKemenkeu!$J$6:$J$1005,SMALL(IF(checklistPesertaKemenkeu!$AY$6:$AY$1005="Direkomendasikan",ROW($6:$1005)-5),656)),BidangList,0)),INDEX(checklistPesertaKemenkeu!$N$6:$N$1005,SMALL(IF(checklistPesertaKemenkeu!$AY$6:$AY$1005="Direkomendasikan",ROW($6:$1005)-5),656)))&gt;0,COUNTIF(INDIRECT("'KERTAS KERJA'!K"&amp;(SMALL(IF(checklistPesertaKemenkeu!$AY$6:$AY$1005="Direkomendasikan",ROW($6:$1005)-5),656)+5)&amp;":O"&amp;(SMALL(IF(checklistPesertaKemenkeu!$AY$6:$AY$1005="Direkomendasikan",ROW($6:$1005)-5),656)+5)),INDEX(checklistPesertaKemenkeu!$N$6:$N$1005,SMALL(IF(checklistPesertaKemenkeu!$AY$6:$AY$1005="Direkomendasikan",ROW($6:$1005)-5),656)))=1),IFERROR(VLOOKUP(INDEX(checklistPesertaKemenkeu!$N$6:$N$1005,SMALL(IF(checklistPesertaKemenkeu!$AY$6:$AY$1005="Direkomendasikan",ROW($6:$1005)-5),656)),KotaKode,2,0),"-"),"")),"")</f>
        <v/>
      </c>
      <c r="K657" t="str">
        <f t="array" aca="1" ref="K657" ca="1">IFERROR(IF(OR(INDEX(checklistPesertaKemenkeu!$O$6:$O$1005,SMALL(IF(checklistPesertaKemenkeu!$AY$6:$AY$1005="Direkomendasikan",ROW($6:$1005)-5),656))="",INDEX(checklistPesertaKemenkeu!$J$6:$J$1005,SMALL(IF(checklistPesertaKemenkeu!$AY$6:$AY$1005="Direkomendasikan",ROW($6:$1005)-5),656))=""),"",IF(AND(COUNTIF(INDIRECT("K_"&amp;MATCH(INDEX(checklistPesertaKemenkeu!$J$6:$J$1005,SMALL(IF(checklistPesertaKemenkeu!$AY$6:$AY$1005="Direkomendasikan",ROW($6:$1005)-5),656)),BidangList,0)),INDEX(checklistPesertaKemenkeu!$O$6:$O$1005,SMALL(IF(checklistPesertaKemenkeu!$AY$6:$AY$1005="Direkomendasikan",ROW($6:$1005)-5),656)))&gt;0,COUNTIF(INDIRECT("'KERTAS KERJA'!K"&amp;(SMALL(IF(checklistPesertaKemenkeu!$AY$6:$AY$1005="Direkomendasikan",ROW($6:$1005)-5),656)+5)&amp;":O"&amp;(SMALL(IF(checklistPesertaKemenkeu!$AY$6:$AY$1005="Direkomendasikan",ROW($6:$1005)-5),656)+5)),INDEX(checklistPesertaKemenkeu!$O$6:$O$1005,SMALL(IF(checklistPesertaKemenkeu!$AY$6:$AY$1005="Direkomendasikan",ROW($6:$1005)-5),656)))=1),IFERROR(VLOOKUP(INDEX(checklistPesertaKemenkeu!$O$6:$O$1005,SMALL(IF(checklistPesertaKemenkeu!$AY$6:$AY$1005="Direkomendasikan",ROW($6:$1005)-5),656)),KotaKode,2,0),"-"),"")),"")</f>
        <v/>
      </c>
      <c r="L657" t="str">
        <f t="array" aca="1" ref="L657" ca="1">IFERROR(IF(OR(INDEX(checklistPesertaKemenkeu!$P$6:$P$1005,SMALL(IF(checklistPesertaKemenkeu!$AY$6:$AY$1005="Direkomendasikan",ROW($6:$1005)-5),656))="",INDEX(checklistPesertaKemenkeu!$J$6:$J$1005,SMALL(IF(checklistPesertaKemenkeu!$AY$6:$AY$1005="Direkomendasikan",ROW($6:$1005)-5),656))=""),"",IF(AND(COUNTIF(INDIRECT("K_"&amp;MATCH(INDEX(checklistPesertaKemenkeu!$J$6:$J$1005,SMALL(IF(checklistPesertaKemenkeu!$AY$6:$AY$1005="Direkomendasikan",ROW($6:$1005)-5),656)),BidangList,0)),INDEX(checklistPesertaKemenkeu!$P$6:$P$1005,SMALL(IF(checklistPesertaKemenkeu!$AY$6:$AY$1005="Direkomendasikan",ROW($6:$1005)-5),656)))&gt;0,COUNTIF(INDIRECT("'KERTAS KERJA'!K"&amp;(SMALL(IF(checklistPesertaKemenkeu!$AY$6:$AY$1005="Direkomendasikan",ROW($6:$1005)-5),656)+5)&amp;":O"&amp;(SMALL(IF(checklistPesertaKemenkeu!$AY$6:$AY$1005="Direkomendasikan",ROW($6:$1005)-5),656)+5)),INDEX(checklistPesertaKemenkeu!$P$6:$P$1005,SMALL(IF(checklistPesertaKemenkeu!$AY$6:$AY$1005="Direkomendasikan",ROW($6:$1005)-5),656)))=1),IFERROR(VLOOKUP(INDEX(checklistPesertaKemenkeu!$P$6:$P$1005,SMALL(IF(checklistPesertaKemenkeu!$AY$6:$AY$1005="Direkomendasikan",ROW($6:$1005)-5),656)),KotaKode,2,0),"-"),"")),"")</f>
        <v/>
      </c>
    </row>
    <row r="658" spans="1:12" ht="15" customHeight="1" x14ac:dyDescent="0.2">
      <c r="A658" t="str">
        <f t="shared" si="10"/>
        <v/>
      </c>
      <c r="B658" t="str">
        <v/>
      </c>
      <c r="C658" s="40" t="str">
        <f t="array" ref="C658">IFERROR(INDEX(checklistPesertaKemenkeu!$F$6:$F$1005,SMALL(IF(checklistPesertaKemenkeu!$AY$6:$AY$1005="Direkomendasikan",ROW($6:$1005)-5),657)),"")</f>
        <v/>
      </c>
      <c r="D658" t="str">
        <f t="array" ref="D658">IFERROR(INDEX(checklistPesertaKemenkeu!$G$6:$G$1005,SMALL(IF(checklistPesertaKemenkeu!$AY$6:$AY$1005="Direkomendasikan",ROW($6:$1005)-5),657)),"")</f>
        <v/>
      </c>
      <c r="E658" t="str">
        <f t="array" ref="E658">IFERROR(INDEX(checklistPesertaKemenkeu!$H$6:$H$1005,SMALL(IF(checklistPesertaKemenkeu!$AY$6:$AY$1005="Direkomendasikan",ROW($6:$1005)-5),657)),"")</f>
        <v/>
      </c>
      <c r="F658" t="str">
        <f t="array" ref="F658">IFERROR(INDEX(checklistPesertaKemenkeu!$I$6:$I$1005,SMALL(IF(checklistPesertaKemenkeu!$AY$6:$AY$1005="Direkomendasikan",ROW($6:$1005)-5),657)),"")</f>
        <v/>
      </c>
      <c r="G658" t="str">
        <f t="array" ref="G658">IFERROR(INDEX(checklistPesertaKemenkeu!$J$6:$J$1005,SMALL(IF(checklistPesertaKemenkeu!$AY$6:$AY$1005="Direkomendasikan",ROW($6:$1005)-5),657)),"")</f>
        <v/>
      </c>
      <c r="H658" t="str">
        <f t="array" aca="1" ref="H658" ca="1">IFERROR(IF(OR(INDEX(checklistPesertaKemenkeu!$L$6:$L$1005,SMALL(IF(checklistPesertaKemenkeu!$AY$6:$AY$1005="Direkomendasikan",ROW($6:$1005)-5),657))="",INDEX(checklistPesertaKemenkeu!$J$6:$J$1005,SMALL(IF(checklistPesertaKemenkeu!$AY$6:$AY$1005="Direkomendasikan",ROW($6:$1005)-5),657))=""),"",IF(AND(COUNTIF(INDIRECT("K_"&amp;MATCH(INDEX(checklistPesertaKemenkeu!$J$6:$J$1005,SMALL(IF(checklistPesertaKemenkeu!$AY$6:$AY$1005="Direkomendasikan",ROW($6:$1005)-5),657)),BidangList,0)),INDEX(checklistPesertaKemenkeu!$L$6:$L$1005,SMALL(IF(checklistPesertaKemenkeu!$AY$6:$AY$1005="Direkomendasikan",ROW($6:$1005)-5),657)))&gt;0,COUNTIF(INDIRECT("'KERTAS KERJA'!K"&amp;(SMALL(IF(checklistPesertaKemenkeu!$AY$6:$AY$1005="Direkomendasikan",ROW($6:$1005)-5),657)+5)&amp;":O"&amp;(SMALL(IF(checklistPesertaKemenkeu!$AY$6:$AY$1005="Direkomendasikan",ROW($6:$1005)-5),657)+5)),INDEX(checklistPesertaKemenkeu!$L$6:$L$1005,SMALL(IF(checklistPesertaKemenkeu!$AY$6:$AY$1005="Direkomendasikan",ROW($6:$1005)-5),657)))=1),IFERROR(VLOOKUP(INDEX(checklistPesertaKemenkeu!$L$6:$L$1005,SMALL(IF(checklistPesertaKemenkeu!$AY$6:$AY$1005="Direkomendasikan",ROW($6:$1005)-5),657)),KotaKode,2,0),"-"),"")),"")</f>
        <v/>
      </c>
      <c r="I658" t="str">
        <f t="array" aca="1" ref="I658" ca="1">IFERROR(IF(OR(INDEX(checklistPesertaKemenkeu!$M$6:$M$1005,SMALL(IF(checklistPesertaKemenkeu!$AY$6:$AY$1005="Direkomendasikan",ROW($6:$1005)-5),657))="",INDEX(checklistPesertaKemenkeu!$J$6:$J$1005,SMALL(IF(checklistPesertaKemenkeu!$AY$6:$AY$1005="Direkomendasikan",ROW($6:$1005)-5),657))=""),"",IF(AND(COUNTIF(INDIRECT("K_"&amp;MATCH(INDEX(checklistPesertaKemenkeu!$J$6:$J$1005,SMALL(IF(checklistPesertaKemenkeu!$AY$6:$AY$1005="Direkomendasikan",ROW($6:$1005)-5),657)),BidangList,0)),INDEX(checklistPesertaKemenkeu!$M$6:$M$1005,SMALL(IF(checklistPesertaKemenkeu!$AY$6:$AY$1005="Direkomendasikan",ROW($6:$1005)-5),657)))&gt;0,COUNTIF(INDIRECT("'KERTAS KERJA'!K"&amp;(SMALL(IF(checklistPesertaKemenkeu!$AY$6:$AY$1005="Direkomendasikan",ROW($6:$1005)-5),657)+5)&amp;":O"&amp;(SMALL(IF(checklistPesertaKemenkeu!$AY$6:$AY$1005="Direkomendasikan",ROW($6:$1005)-5),657)+5)),INDEX(checklistPesertaKemenkeu!$M$6:$M$1005,SMALL(IF(checklistPesertaKemenkeu!$AY$6:$AY$1005="Direkomendasikan",ROW($6:$1005)-5),657)))=1),IFERROR(VLOOKUP(INDEX(checklistPesertaKemenkeu!$M$6:$M$1005,SMALL(IF(checklistPesertaKemenkeu!$AY$6:$AY$1005="Direkomendasikan",ROW($6:$1005)-5),657)),KotaKode,2,0),"-"),"")),"")</f>
        <v/>
      </c>
      <c r="J658" t="str">
        <f t="array" aca="1" ref="J658" ca="1">IFERROR(IF(OR(INDEX(checklistPesertaKemenkeu!$N$6:$N$1005,SMALL(IF(checklistPesertaKemenkeu!$AY$6:$AY$1005="Direkomendasikan",ROW($6:$1005)-5),657))="",INDEX(checklistPesertaKemenkeu!$J$6:$J$1005,SMALL(IF(checklistPesertaKemenkeu!$AY$6:$AY$1005="Direkomendasikan",ROW($6:$1005)-5),657))=""),"",IF(AND(COUNTIF(INDIRECT("K_"&amp;MATCH(INDEX(checklistPesertaKemenkeu!$J$6:$J$1005,SMALL(IF(checklistPesertaKemenkeu!$AY$6:$AY$1005="Direkomendasikan",ROW($6:$1005)-5),657)),BidangList,0)),INDEX(checklistPesertaKemenkeu!$N$6:$N$1005,SMALL(IF(checklistPesertaKemenkeu!$AY$6:$AY$1005="Direkomendasikan",ROW($6:$1005)-5),657)))&gt;0,COUNTIF(INDIRECT("'KERTAS KERJA'!K"&amp;(SMALL(IF(checklistPesertaKemenkeu!$AY$6:$AY$1005="Direkomendasikan",ROW($6:$1005)-5),657)+5)&amp;":O"&amp;(SMALL(IF(checklistPesertaKemenkeu!$AY$6:$AY$1005="Direkomendasikan",ROW($6:$1005)-5),657)+5)),INDEX(checklistPesertaKemenkeu!$N$6:$N$1005,SMALL(IF(checklistPesertaKemenkeu!$AY$6:$AY$1005="Direkomendasikan",ROW($6:$1005)-5),657)))=1),IFERROR(VLOOKUP(INDEX(checklistPesertaKemenkeu!$N$6:$N$1005,SMALL(IF(checklistPesertaKemenkeu!$AY$6:$AY$1005="Direkomendasikan",ROW($6:$1005)-5),657)),KotaKode,2,0),"-"),"")),"")</f>
        <v/>
      </c>
      <c r="K658" t="str">
        <f t="array" aca="1" ref="K658" ca="1">IFERROR(IF(OR(INDEX(checklistPesertaKemenkeu!$O$6:$O$1005,SMALL(IF(checklistPesertaKemenkeu!$AY$6:$AY$1005="Direkomendasikan",ROW($6:$1005)-5),657))="",INDEX(checklistPesertaKemenkeu!$J$6:$J$1005,SMALL(IF(checklistPesertaKemenkeu!$AY$6:$AY$1005="Direkomendasikan",ROW($6:$1005)-5),657))=""),"",IF(AND(COUNTIF(INDIRECT("K_"&amp;MATCH(INDEX(checklistPesertaKemenkeu!$J$6:$J$1005,SMALL(IF(checklistPesertaKemenkeu!$AY$6:$AY$1005="Direkomendasikan",ROW($6:$1005)-5),657)),BidangList,0)),INDEX(checklistPesertaKemenkeu!$O$6:$O$1005,SMALL(IF(checklistPesertaKemenkeu!$AY$6:$AY$1005="Direkomendasikan",ROW($6:$1005)-5),657)))&gt;0,COUNTIF(INDIRECT("'KERTAS KERJA'!K"&amp;(SMALL(IF(checklistPesertaKemenkeu!$AY$6:$AY$1005="Direkomendasikan",ROW($6:$1005)-5),657)+5)&amp;":O"&amp;(SMALL(IF(checklistPesertaKemenkeu!$AY$6:$AY$1005="Direkomendasikan",ROW($6:$1005)-5),657)+5)),INDEX(checklistPesertaKemenkeu!$O$6:$O$1005,SMALL(IF(checklistPesertaKemenkeu!$AY$6:$AY$1005="Direkomendasikan",ROW($6:$1005)-5),657)))=1),IFERROR(VLOOKUP(INDEX(checklistPesertaKemenkeu!$O$6:$O$1005,SMALL(IF(checklistPesertaKemenkeu!$AY$6:$AY$1005="Direkomendasikan",ROW($6:$1005)-5),657)),KotaKode,2,0),"-"),"")),"")</f>
        <v/>
      </c>
      <c r="L658" t="str">
        <f t="array" aca="1" ref="L658" ca="1">IFERROR(IF(OR(INDEX(checklistPesertaKemenkeu!$P$6:$P$1005,SMALL(IF(checklistPesertaKemenkeu!$AY$6:$AY$1005="Direkomendasikan",ROW($6:$1005)-5),657))="",INDEX(checklistPesertaKemenkeu!$J$6:$J$1005,SMALL(IF(checklistPesertaKemenkeu!$AY$6:$AY$1005="Direkomendasikan",ROW($6:$1005)-5),657))=""),"",IF(AND(COUNTIF(INDIRECT("K_"&amp;MATCH(INDEX(checklistPesertaKemenkeu!$J$6:$J$1005,SMALL(IF(checklistPesertaKemenkeu!$AY$6:$AY$1005="Direkomendasikan",ROW($6:$1005)-5),657)),BidangList,0)),INDEX(checklistPesertaKemenkeu!$P$6:$P$1005,SMALL(IF(checklistPesertaKemenkeu!$AY$6:$AY$1005="Direkomendasikan",ROW($6:$1005)-5),657)))&gt;0,COUNTIF(INDIRECT("'KERTAS KERJA'!K"&amp;(SMALL(IF(checklistPesertaKemenkeu!$AY$6:$AY$1005="Direkomendasikan",ROW($6:$1005)-5),657)+5)&amp;":O"&amp;(SMALL(IF(checklistPesertaKemenkeu!$AY$6:$AY$1005="Direkomendasikan",ROW($6:$1005)-5),657)+5)),INDEX(checklistPesertaKemenkeu!$P$6:$P$1005,SMALL(IF(checklistPesertaKemenkeu!$AY$6:$AY$1005="Direkomendasikan",ROW($6:$1005)-5),657)))=1),IFERROR(VLOOKUP(INDEX(checklistPesertaKemenkeu!$P$6:$P$1005,SMALL(IF(checklistPesertaKemenkeu!$AY$6:$AY$1005="Direkomendasikan",ROW($6:$1005)-5),657)),KotaKode,2,0),"-"),"")),"")</f>
        <v/>
      </c>
    </row>
    <row r="659" spans="1:12" ht="15" customHeight="1" x14ac:dyDescent="0.2">
      <c r="A659" t="str">
        <f t="shared" si="10"/>
        <v/>
      </c>
      <c r="B659" t="str">
        <v/>
      </c>
      <c r="C659" s="40" t="str">
        <f t="array" ref="C659">IFERROR(INDEX(checklistPesertaKemenkeu!$F$6:$F$1005,SMALL(IF(checklistPesertaKemenkeu!$AY$6:$AY$1005="Direkomendasikan",ROW($6:$1005)-5),658)),"")</f>
        <v/>
      </c>
      <c r="D659" t="str">
        <f t="array" ref="D659">IFERROR(INDEX(checklistPesertaKemenkeu!$G$6:$G$1005,SMALL(IF(checklistPesertaKemenkeu!$AY$6:$AY$1005="Direkomendasikan",ROW($6:$1005)-5),658)),"")</f>
        <v/>
      </c>
      <c r="E659" t="str">
        <f t="array" ref="E659">IFERROR(INDEX(checklistPesertaKemenkeu!$H$6:$H$1005,SMALL(IF(checklistPesertaKemenkeu!$AY$6:$AY$1005="Direkomendasikan",ROW($6:$1005)-5),658)),"")</f>
        <v/>
      </c>
      <c r="F659" t="str">
        <f t="array" ref="F659">IFERROR(INDEX(checklistPesertaKemenkeu!$I$6:$I$1005,SMALL(IF(checklistPesertaKemenkeu!$AY$6:$AY$1005="Direkomendasikan",ROW($6:$1005)-5),658)),"")</f>
        <v/>
      </c>
      <c r="G659" t="str">
        <f t="array" ref="G659">IFERROR(INDEX(checklistPesertaKemenkeu!$J$6:$J$1005,SMALL(IF(checklistPesertaKemenkeu!$AY$6:$AY$1005="Direkomendasikan",ROW($6:$1005)-5),658)),"")</f>
        <v/>
      </c>
      <c r="H659" t="str">
        <f t="array" aca="1" ref="H659" ca="1">IFERROR(IF(OR(INDEX(checklistPesertaKemenkeu!$L$6:$L$1005,SMALL(IF(checklistPesertaKemenkeu!$AY$6:$AY$1005="Direkomendasikan",ROW($6:$1005)-5),658))="",INDEX(checklistPesertaKemenkeu!$J$6:$J$1005,SMALL(IF(checklistPesertaKemenkeu!$AY$6:$AY$1005="Direkomendasikan",ROW($6:$1005)-5),658))=""),"",IF(AND(COUNTIF(INDIRECT("K_"&amp;MATCH(INDEX(checklistPesertaKemenkeu!$J$6:$J$1005,SMALL(IF(checklistPesertaKemenkeu!$AY$6:$AY$1005="Direkomendasikan",ROW($6:$1005)-5),658)),BidangList,0)),INDEX(checklistPesertaKemenkeu!$L$6:$L$1005,SMALL(IF(checklistPesertaKemenkeu!$AY$6:$AY$1005="Direkomendasikan",ROW($6:$1005)-5),658)))&gt;0,COUNTIF(INDIRECT("'KERTAS KERJA'!K"&amp;(SMALL(IF(checklistPesertaKemenkeu!$AY$6:$AY$1005="Direkomendasikan",ROW($6:$1005)-5),658)+5)&amp;":O"&amp;(SMALL(IF(checklistPesertaKemenkeu!$AY$6:$AY$1005="Direkomendasikan",ROW($6:$1005)-5),658)+5)),INDEX(checklistPesertaKemenkeu!$L$6:$L$1005,SMALL(IF(checklistPesertaKemenkeu!$AY$6:$AY$1005="Direkomendasikan",ROW($6:$1005)-5),658)))=1),IFERROR(VLOOKUP(INDEX(checklistPesertaKemenkeu!$L$6:$L$1005,SMALL(IF(checklistPesertaKemenkeu!$AY$6:$AY$1005="Direkomendasikan",ROW($6:$1005)-5),658)),KotaKode,2,0),"-"),"")),"")</f>
        <v/>
      </c>
      <c r="I659" t="str">
        <f t="array" aca="1" ref="I659" ca="1">IFERROR(IF(OR(INDEX(checklistPesertaKemenkeu!$M$6:$M$1005,SMALL(IF(checklistPesertaKemenkeu!$AY$6:$AY$1005="Direkomendasikan",ROW($6:$1005)-5),658))="",INDEX(checklistPesertaKemenkeu!$J$6:$J$1005,SMALL(IF(checklistPesertaKemenkeu!$AY$6:$AY$1005="Direkomendasikan",ROW($6:$1005)-5),658))=""),"",IF(AND(COUNTIF(INDIRECT("K_"&amp;MATCH(INDEX(checklistPesertaKemenkeu!$J$6:$J$1005,SMALL(IF(checklistPesertaKemenkeu!$AY$6:$AY$1005="Direkomendasikan",ROW($6:$1005)-5),658)),BidangList,0)),INDEX(checklistPesertaKemenkeu!$M$6:$M$1005,SMALL(IF(checklistPesertaKemenkeu!$AY$6:$AY$1005="Direkomendasikan",ROW($6:$1005)-5),658)))&gt;0,COUNTIF(INDIRECT("'KERTAS KERJA'!K"&amp;(SMALL(IF(checklistPesertaKemenkeu!$AY$6:$AY$1005="Direkomendasikan",ROW($6:$1005)-5),658)+5)&amp;":O"&amp;(SMALL(IF(checklistPesertaKemenkeu!$AY$6:$AY$1005="Direkomendasikan",ROW($6:$1005)-5),658)+5)),INDEX(checklistPesertaKemenkeu!$M$6:$M$1005,SMALL(IF(checklistPesertaKemenkeu!$AY$6:$AY$1005="Direkomendasikan",ROW($6:$1005)-5),658)))=1),IFERROR(VLOOKUP(INDEX(checklistPesertaKemenkeu!$M$6:$M$1005,SMALL(IF(checklistPesertaKemenkeu!$AY$6:$AY$1005="Direkomendasikan",ROW($6:$1005)-5),658)),KotaKode,2,0),"-"),"")),"")</f>
        <v/>
      </c>
      <c r="J659" t="str">
        <f t="array" aca="1" ref="J659" ca="1">IFERROR(IF(OR(INDEX(checklistPesertaKemenkeu!$N$6:$N$1005,SMALL(IF(checklistPesertaKemenkeu!$AY$6:$AY$1005="Direkomendasikan",ROW($6:$1005)-5),658))="",INDEX(checklistPesertaKemenkeu!$J$6:$J$1005,SMALL(IF(checklistPesertaKemenkeu!$AY$6:$AY$1005="Direkomendasikan",ROW($6:$1005)-5),658))=""),"",IF(AND(COUNTIF(INDIRECT("K_"&amp;MATCH(INDEX(checklistPesertaKemenkeu!$J$6:$J$1005,SMALL(IF(checklistPesertaKemenkeu!$AY$6:$AY$1005="Direkomendasikan",ROW($6:$1005)-5),658)),BidangList,0)),INDEX(checklistPesertaKemenkeu!$N$6:$N$1005,SMALL(IF(checklistPesertaKemenkeu!$AY$6:$AY$1005="Direkomendasikan",ROW($6:$1005)-5),658)))&gt;0,COUNTIF(INDIRECT("'KERTAS KERJA'!K"&amp;(SMALL(IF(checklistPesertaKemenkeu!$AY$6:$AY$1005="Direkomendasikan",ROW($6:$1005)-5),658)+5)&amp;":O"&amp;(SMALL(IF(checklistPesertaKemenkeu!$AY$6:$AY$1005="Direkomendasikan",ROW($6:$1005)-5),658)+5)),INDEX(checklistPesertaKemenkeu!$N$6:$N$1005,SMALL(IF(checklistPesertaKemenkeu!$AY$6:$AY$1005="Direkomendasikan",ROW($6:$1005)-5),658)))=1),IFERROR(VLOOKUP(INDEX(checklistPesertaKemenkeu!$N$6:$N$1005,SMALL(IF(checklistPesertaKemenkeu!$AY$6:$AY$1005="Direkomendasikan",ROW($6:$1005)-5),658)),KotaKode,2,0),"-"),"")),"")</f>
        <v/>
      </c>
      <c r="K659" t="str">
        <f t="array" aca="1" ref="K659" ca="1">IFERROR(IF(OR(INDEX(checklistPesertaKemenkeu!$O$6:$O$1005,SMALL(IF(checklistPesertaKemenkeu!$AY$6:$AY$1005="Direkomendasikan",ROW($6:$1005)-5),658))="",INDEX(checklistPesertaKemenkeu!$J$6:$J$1005,SMALL(IF(checklistPesertaKemenkeu!$AY$6:$AY$1005="Direkomendasikan",ROW($6:$1005)-5),658))=""),"",IF(AND(COUNTIF(INDIRECT("K_"&amp;MATCH(INDEX(checklistPesertaKemenkeu!$J$6:$J$1005,SMALL(IF(checklistPesertaKemenkeu!$AY$6:$AY$1005="Direkomendasikan",ROW($6:$1005)-5),658)),BidangList,0)),INDEX(checklistPesertaKemenkeu!$O$6:$O$1005,SMALL(IF(checklistPesertaKemenkeu!$AY$6:$AY$1005="Direkomendasikan",ROW($6:$1005)-5),658)))&gt;0,COUNTIF(INDIRECT("'KERTAS KERJA'!K"&amp;(SMALL(IF(checklistPesertaKemenkeu!$AY$6:$AY$1005="Direkomendasikan",ROW($6:$1005)-5),658)+5)&amp;":O"&amp;(SMALL(IF(checklistPesertaKemenkeu!$AY$6:$AY$1005="Direkomendasikan",ROW($6:$1005)-5),658)+5)),INDEX(checklistPesertaKemenkeu!$O$6:$O$1005,SMALL(IF(checklistPesertaKemenkeu!$AY$6:$AY$1005="Direkomendasikan",ROW($6:$1005)-5),658)))=1),IFERROR(VLOOKUP(INDEX(checklistPesertaKemenkeu!$O$6:$O$1005,SMALL(IF(checklistPesertaKemenkeu!$AY$6:$AY$1005="Direkomendasikan",ROW($6:$1005)-5),658)),KotaKode,2,0),"-"),"")),"")</f>
        <v/>
      </c>
      <c r="L659" t="str">
        <f t="array" aca="1" ref="L659" ca="1">IFERROR(IF(OR(INDEX(checklistPesertaKemenkeu!$P$6:$P$1005,SMALL(IF(checklistPesertaKemenkeu!$AY$6:$AY$1005="Direkomendasikan",ROW($6:$1005)-5),658))="",INDEX(checklistPesertaKemenkeu!$J$6:$J$1005,SMALL(IF(checklistPesertaKemenkeu!$AY$6:$AY$1005="Direkomendasikan",ROW($6:$1005)-5),658))=""),"",IF(AND(COUNTIF(INDIRECT("K_"&amp;MATCH(INDEX(checklistPesertaKemenkeu!$J$6:$J$1005,SMALL(IF(checklistPesertaKemenkeu!$AY$6:$AY$1005="Direkomendasikan",ROW($6:$1005)-5),658)),BidangList,0)),INDEX(checklistPesertaKemenkeu!$P$6:$P$1005,SMALL(IF(checklistPesertaKemenkeu!$AY$6:$AY$1005="Direkomendasikan",ROW($6:$1005)-5),658)))&gt;0,COUNTIF(INDIRECT("'KERTAS KERJA'!K"&amp;(SMALL(IF(checklistPesertaKemenkeu!$AY$6:$AY$1005="Direkomendasikan",ROW($6:$1005)-5),658)+5)&amp;":O"&amp;(SMALL(IF(checklistPesertaKemenkeu!$AY$6:$AY$1005="Direkomendasikan",ROW($6:$1005)-5),658)+5)),INDEX(checklistPesertaKemenkeu!$P$6:$P$1005,SMALL(IF(checklistPesertaKemenkeu!$AY$6:$AY$1005="Direkomendasikan",ROW($6:$1005)-5),658)))=1),IFERROR(VLOOKUP(INDEX(checklistPesertaKemenkeu!$P$6:$P$1005,SMALL(IF(checklistPesertaKemenkeu!$AY$6:$AY$1005="Direkomendasikan",ROW($6:$1005)-5),658)),KotaKode,2,0),"-"),"")),"")</f>
        <v/>
      </c>
    </row>
    <row r="660" spans="1:12" ht="15" customHeight="1" x14ac:dyDescent="0.2">
      <c r="A660" t="str">
        <f t="shared" si="10"/>
        <v/>
      </c>
      <c r="B660" t="str">
        <v/>
      </c>
      <c r="C660" s="40" t="str">
        <f t="array" ref="C660">IFERROR(INDEX(checklistPesertaKemenkeu!$F$6:$F$1005,SMALL(IF(checklistPesertaKemenkeu!$AY$6:$AY$1005="Direkomendasikan",ROW($6:$1005)-5),659)),"")</f>
        <v/>
      </c>
      <c r="D660" t="str">
        <f t="array" ref="D660">IFERROR(INDEX(checklistPesertaKemenkeu!$G$6:$G$1005,SMALL(IF(checklistPesertaKemenkeu!$AY$6:$AY$1005="Direkomendasikan",ROW($6:$1005)-5),659)),"")</f>
        <v/>
      </c>
      <c r="E660" t="str">
        <f t="array" ref="E660">IFERROR(INDEX(checklistPesertaKemenkeu!$H$6:$H$1005,SMALL(IF(checklistPesertaKemenkeu!$AY$6:$AY$1005="Direkomendasikan",ROW($6:$1005)-5),659)),"")</f>
        <v/>
      </c>
      <c r="F660" t="str">
        <f t="array" ref="F660">IFERROR(INDEX(checklistPesertaKemenkeu!$I$6:$I$1005,SMALL(IF(checklistPesertaKemenkeu!$AY$6:$AY$1005="Direkomendasikan",ROW($6:$1005)-5),659)),"")</f>
        <v/>
      </c>
      <c r="G660" t="str">
        <f t="array" ref="G660">IFERROR(INDEX(checklistPesertaKemenkeu!$J$6:$J$1005,SMALL(IF(checklistPesertaKemenkeu!$AY$6:$AY$1005="Direkomendasikan",ROW($6:$1005)-5),659)),"")</f>
        <v/>
      </c>
      <c r="H660" t="str">
        <f t="array" aca="1" ref="H660" ca="1">IFERROR(IF(OR(INDEX(checklistPesertaKemenkeu!$L$6:$L$1005,SMALL(IF(checklistPesertaKemenkeu!$AY$6:$AY$1005="Direkomendasikan",ROW($6:$1005)-5),659))="",INDEX(checklistPesertaKemenkeu!$J$6:$J$1005,SMALL(IF(checklistPesertaKemenkeu!$AY$6:$AY$1005="Direkomendasikan",ROW($6:$1005)-5),659))=""),"",IF(AND(COUNTIF(INDIRECT("K_"&amp;MATCH(INDEX(checklistPesertaKemenkeu!$J$6:$J$1005,SMALL(IF(checklistPesertaKemenkeu!$AY$6:$AY$1005="Direkomendasikan",ROW($6:$1005)-5),659)),BidangList,0)),INDEX(checklistPesertaKemenkeu!$L$6:$L$1005,SMALL(IF(checklistPesertaKemenkeu!$AY$6:$AY$1005="Direkomendasikan",ROW($6:$1005)-5),659)))&gt;0,COUNTIF(INDIRECT("'KERTAS KERJA'!K"&amp;(SMALL(IF(checklistPesertaKemenkeu!$AY$6:$AY$1005="Direkomendasikan",ROW($6:$1005)-5),659)+5)&amp;":O"&amp;(SMALL(IF(checklistPesertaKemenkeu!$AY$6:$AY$1005="Direkomendasikan",ROW($6:$1005)-5),659)+5)),INDEX(checklistPesertaKemenkeu!$L$6:$L$1005,SMALL(IF(checklistPesertaKemenkeu!$AY$6:$AY$1005="Direkomendasikan",ROW($6:$1005)-5),659)))=1),IFERROR(VLOOKUP(INDEX(checklistPesertaKemenkeu!$L$6:$L$1005,SMALL(IF(checklistPesertaKemenkeu!$AY$6:$AY$1005="Direkomendasikan",ROW($6:$1005)-5),659)),KotaKode,2,0),"-"),"")),"")</f>
        <v/>
      </c>
      <c r="I660" t="str">
        <f t="array" aca="1" ref="I660" ca="1">IFERROR(IF(OR(INDEX(checklistPesertaKemenkeu!$M$6:$M$1005,SMALL(IF(checklistPesertaKemenkeu!$AY$6:$AY$1005="Direkomendasikan",ROW($6:$1005)-5),659))="",INDEX(checklistPesertaKemenkeu!$J$6:$J$1005,SMALL(IF(checklistPesertaKemenkeu!$AY$6:$AY$1005="Direkomendasikan",ROW($6:$1005)-5),659))=""),"",IF(AND(COUNTIF(INDIRECT("K_"&amp;MATCH(INDEX(checklistPesertaKemenkeu!$J$6:$J$1005,SMALL(IF(checklistPesertaKemenkeu!$AY$6:$AY$1005="Direkomendasikan",ROW($6:$1005)-5),659)),BidangList,0)),INDEX(checklistPesertaKemenkeu!$M$6:$M$1005,SMALL(IF(checklistPesertaKemenkeu!$AY$6:$AY$1005="Direkomendasikan",ROW($6:$1005)-5),659)))&gt;0,COUNTIF(INDIRECT("'KERTAS KERJA'!K"&amp;(SMALL(IF(checklistPesertaKemenkeu!$AY$6:$AY$1005="Direkomendasikan",ROW($6:$1005)-5),659)+5)&amp;":O"&amp;(SMALL(IF(checklistPesertaKemenkeu!$AY$6:$AY$1005="Direkomendasikan",ROW($6:$1005)-5),659)+5)),INDEX(checklistPesertaKemenkeu!$M$6:$M$1005,SMALL(IF(checklistPesertaKemenkeu!$AY$6:$AY$1005="Direkomendasikan",ROW($6:$1005)-5),659)))=1),IFERROR(VLOOKUP(INDEX(checklistPesertaKemenkeu!$M$6:$M$1005,SMALL(IF(checklistPesertaKemenkeu!$AY$6:$AY$1005="Direkomendasikan",ROW($6:$1005)-5),659)),KotaKode,2,0),"-"),"")),"")</f>
        <v/>
      </c>
      <c r="J660" t="str">
        <f t="array" aca="1" ref="J660" ca="1">IFERROR(IF(OR(INDEX(checklistPesertaKemenkeu!$N$6:$N$1005,SMALL(IF(checklistPesertaKemenkeu!$AY$6:$AY$1005="Direkomendasikan",ROW($6:$1005)-5),659))="",INDEX(checklistPesertaKemenkeu!$J$6:$J$1005,SMALL(IF(checklistPesertaKemenkeu!$AY$6:$AY$1005="Direkomendasikan",ROW($6:$1005)-5),659))=""),"",IF(AND(COUNTIF(INDIRECT("K_"&amp;MATCH(INDEX(checklistPesertaKemenkeu!$J$6:$J$1005,SMALL(IF(checklistPesertaKemenkeu!$AY$6:$AY$1005="Direkomendasikan",ROW($6:$1005)-5),659)),BidangList,0)),INDEX(checklistPesertaKemenkeu!$N$6:$N$1005,SMALL(IF(checklistPesertaKemenkeu!$AY$6:$AY$1005="Direkomendasikan",ROW($6:$1005)-5),659)))&gt;0,COUNTIF(INDIRECT("'KERTAS KERJA'!K"&amp;(SMALL(IF(checklistPesertaKemenkeu!$AY$6:$AY$1005="Direkomendasikan",ROW($6:$1005)-5),659)+5)&amp;":O"&amp;(SMALL(IF(checklistPesertaKemenkeu!$AY$6:$AY$1005="Direkomendasikan",ROW($6:$1005)-5),659)+5)),INDEX(checklistPesertaKemenkeu!$N$6:$N$1005,SMALL(IF(checklistPesertaKemenkeu!$AY$6:$AY$1005="Direkomendasikan",ROW($6:$1005)-5),659)))=1),IFERROR(VLOOKUP(INDEX(checklistPesertaKemenkeu!$N$6:$N$1005,SMALL(IF(checklistPesertaKemenkeu!$AY$6:$AY$1005="Direkomendasikan",ROW($6:$1005)-5),659)),KotaKode,2,0),"-"),"")),"")</f>
        <v/>
      </c>
      <c r="K660" t="str">
        <f t="array" aca="1" ref="K660" ca="1">IFERROR(IF(OR(INDEX(checklistPesertaKemenkeu!$O$6:$O$1005,SMALL(IF(checklistPesertaKemenkeu!$AY$6:$AY$1005="Direkomendasikan",ROW($6:$1005)-5),659))="",INDEX(checklistPesertaKemenkeu!$J$6:$J$1005,SMALL(IF(checklistPesertaKemenkeu!$AY$6:$AY$1005="Direkomendasikan",ROW($6:$1005)-5),659))=""),"",IF(AND(COUNTIF(INDIRECT("K_"&amp;MATCH(INDEX(checklistPesertaKemenkeu!$J$6:$J$1005,SMALL(IF(checklistPesertaKemenkeu!$AY$6:$AY$1005="Direkomendasikan",ROW($6:$1005)-5),659)),BidangList,0)),INDEX(checklistPesertaKemenkeu!$O$6:$O$1005,SMALL(IF(checklistPesertaKemenkeu!$AY$6:$AY$1005="Direkomendasikan",ROW($6:$1005)-5),659)))&gt;0,COUNTIF(INDIRECT("'KERTAS KERJA'!K"&amp;(SMALL(IF(checklistPesertaKemenkeu!$AY$6:$AY$1005="Direkomendasikan",ROW($6:$1005)-5),659)+5)&amp;":O"&amp;(SMALL(IF(checklistPesertaKemenkeu!$AY$6:$AY$1005="Direkomendasikan",ROW($6:$1005)-5),659)+5)),INDEX(checklistPesertaKemenkeu!$O$6:$O$1005,SMALL(IF(checklistPesertaKemenkeu!$AY$6:$AY$1005="Direkomendasikan",ROW($6:$1005)-5),659)))=1),IFERROR(VLOOKUP(INDEX(checklistPesertaKemenkeu!$O$6:$O$1005,SMALL(IF(checklistPesertaKemenkeu!$AY$6:$AY$1005="Direkomendasikan",ROW($6:$1005)-5),659)),KotaKode,2,0),"-"),"")),"")</f>
        <v/>
      </c>
      <c r="L660" t="str">
        <f t="array" aca="1" ref="L660" ca="1">IFERROR(IF(OR(INDEX(checklistPesertaKemenkeu!$P$6:$P$1005,SMALL(IF(checklistPesertaKemenkeu!$AY$6:$AY$1005="Direkomendasikan",ROW($6:$1005)-5),659))="",INDEX(checklistPesertaKemenkeu!$J$6:$J$1005,SMALL(IF(checklistPesertaKemenkeu!$AY$6:$AY$1005="Direkomendasikan",ROW($6:$1005)-5),659))=""),"",IF(AND(COUNTIF(INDIRECT("K_"&amp;MATCH(INDEX(checklistPesertaKemenkeu!$J$6:$J$1005,SMALL(IF(checklistPesertaKemenkeu!$AY$6:$AY$1005="Direkomendasikan",ROW($6:$1005)-5),659)),BidangList,0)),INDEX(checklistPesertaKemenkeu!$P$6:$P$1005,SMALL(IF(checklistPesertaKemenkeu!$AY$6:$AY$1005="Direkomendasikan",ROW($6:$1005)-5),659)))&gt;0,COUNTIF(INDIRECT("'KERTAS KERJA'!K"&amp;(SMALL(IF(checklistPesertaKemenkeu!$AY$6:$AY$1005="Direkomendasikan",ROW($6:$1005)-5),659)+5)&amp;":O"&amp;(SMALL(IF(checklistPesertaKemenkeu!$AY$6:$AY$1005="Direkomendasikan",ROW($6:$1005)-5),659)+5)),INDEX(checklistPesertaKemenkeu!$P$6:$P$1005,SMALL(IF(checklistPesertaKemenkeu!$AY$6:$AY$1005="Direkomendasikan",ROW($6:$1005)-5),659)))=1),IFERROR(VLOOKUP(INDEX(checklistPesertaKemenkeu!$P$6:$P$1005,SMALL(IF(checklistPesertaKemenkeu!$AY$6:$AY$1005="Direkomendasikan",ROW($6:$1005)-5),659)),KotaKode,2,0),"-"),"")),"")</f>
        <v/>
      </c>
    </row>
    <row r="661" spans="1:12" ht="15" customHeight="1" x14ac:dyDescent="0.2">
      <c r="A661" t="str">
        <f t="shared" si="10"/>
        <v/>
      </c>
      <c r="B661" t="str">
        <v/>
      </c>
      <c r="C661" s="40" t="str">
        <f t="array" ref="C661">IFERROR(INDEX(checklistPesertaKemenkeu!$F$6:$F$1005,SMALL(IF(checklistPesertaKemenkeu!$AY$6:$AY$1005="Direkomendasikan",ROW($6:$1005)-5),660)),"")</f>
        <v/>
      </c>
      <c r="D661" t="str">
        <f t="array" ref="D661">IFERROR(INDEX(checklistPesertaKemenkeu!$G$6:$G$1005,SMALL(IF(checklistPesertaKemenkeu!$AY$6:$AY$1005="Direkomendasikan",ROW($6:$1005)-5),660)),"")</f>
        <v/>
      </c>
      <c r="E661" t="str">
        <f t="array" ref="E661">IFERROR(INDEX(checklistPesertaKemenkeu!$H$6:$H$1005,SMALL(IF(checklistPesertaKemenkeu!$AY$6:$AY$1005="Direkomendasikan",ROW($6:$1005)-5),660)),"")</f>
        <v/>
      </c>
      <c r="F661" t="str">
        <f t="array" ref="F661">IFERROR(INDEX(checklistPesertaKemenkeu!$I$6:$I$1005,SMALL(IF(checklistPesertaKemenkeu!$AY$6:$AY$1005="Direkomendasikan",ROW($6:$1005)-5),660)),"")</f>
        <v/>
      </c>
      <c r="G661" t="str">
        <f t="array" ref="G661">IFERROR(INDEX(checklistPesertaKemenkeu!$J$6:$J$1005,SMALL(IF(checklistPesertaKemenkeu!$AY$6:$AY$1005="Direkomendasikan",ROW($6:$1005)-5),660)),"")</f>
        <v/>
      </c>
      <c r="H661" t="str">
        <f t="array" aca="1" ref="H661" ca="1">IFERROR(IF(OR(INDEX(checklistPesertaKemenkeu!$L$6:$L$1005,SMALL(IF(checklistPesertaKemenkeu!$AY$6:$AY$1005="Direkomendasikan",ROW($6:$1005)-5),660))="",INDEX(checklistPesertaKemenkeu!$J$6:$J$1005,SMALL(IF(checklistPesertaKemenkeu!$AY$6:$AY$1005="Direkomendasikan",ROW($6:$1005)-5),660))=""),"",IF(AND(COUNTIF(INDIRECT("K_"&amp;MATCH(INDEX(checklistPesertaKemenkeu!$J$6:$J$1005,SMALL(IF(checklistPesertaKemenkeu!$AY$6:$AY$1005="Direkomendasikan",ROW($6:$1005)-5),660)),BidangList,0)),INDEX(checklistPesertaKemenkeu!$L$6:$L$1005,SMALL(IF(checklistPesertaKemenkeu!$AY$6:$AY$1005="Direkomendasikan",ROW($6:$1005)-5),660)))&gt;0,COUNTIF(INDIRECT("'KERTAS KERJA'!K"&amp;(SMALL(IF(checklistPesertaKemenkeu!$AY$6:$AY$1005="Direkomendasikan",ROW($6:$1005)-5),660)+5)&amp;":O"&amp;(SMALL(IF(checklistPesertaKemenkeu!$AY$6:$AY$1005="Direkomendasikan",ROW($6:$1005)-5),660)+5)),INDEX(checklistPesertaKemenkeu!$L$6:$L$1005,SMALL(IF(checklistPesertaKemenkeu!$AY$6:$AY$1005="Direkomendasikan",ROW($6:$1005)-5),660)))=1),IFERROR(VLOOKUP(INDEX(checklistPesertaKemenkeu!$L$6:$L$1005,SMALL(IF(checklistPesertaKemenkeu!$AY$6:$AY$1005="Direkomendasikan",ROW($6:$1005)-5),660)),KotaKode,2,0),"-"),"")),"")</f>
        <v/>
      </c>
      <c r="I661" t="str">
        <f t="array" aca="1" ref="I661" ca="1">IFERROR(IF(OR(INDEX(checklistPesertaKemenkeu!$M$6:$M$1005,SMALL(IF(checklistPesertaKemenkeu!$AY$6:$AY$1005="Direkomendasikan",ROW($6:$1005)-5),660))="",INDEX(checklistPesertaKemenkeu!$J$6:$J$1005,SMALL(IF(checklistPesertaKemenkeu!$AY$6:$AY$1005="Direkomendasikan",ROW($6:$1005)-5),660))=""),"",IF(AND(COUNTIF(INDIRECT("K_"&amp;MATCH(INDEX(checklistPesertaKemenkeu!$J$6:$J$1005,SMALL(IF(checklistPesertaKemenkeu!$AY$6:$AY$1005="Direkomendasikan",ROW($6:$1005)-5),660)),BidangList,0)),INDEX(checklistPesertaKemenkeu!$M$6:$M$1005,SMALL(IF(checklistPesertaKemenkeu!$AY$6:$AY$1005="Direkomendasikan",ROW($6:$1005)-5),660)))&gt;0,COUNTIF(INDIRECT("'KERTAS KERJA'!K"&amp;(SMALL(IF(checklistPesertaKemenkeu!$AY$6:$AY$1005="Direkomendasikan",ROW($6:$1005)-5),660)+5)&amp;":O"&amp;(SMALL(IF(checklistPesertaKemenkeu!$AY$6:$AY$1005="Direkomendasikan",ROW($6:$1005)-5),660)+5)),INDEX(checklistPesertaKemenkeu!$M$6:$M$1005,SMALL(IF(checklistPesertaKemenkeu!$AY$6:$AY$1005="Direkomendasikan",ROW($6:$1005)-5),660)))=1),IFERROR(VLOOKUP(INDEX(checklistPesertaKemenkeu!$M$6:$M$1005,SMALL(IF(checklistPesertaKemenkeu!$AY$6:$AY$1005="Direkomendasikan",ROW($6:$1005)-5),660)),KotaKode,2,0),"-"),"")),"")</f>
        <v/>
      </c>
      <c r="J661" t="str">
        <f t="array" aca="1" ref="J661" ca="1">IFERROR(IF(OR(INDEX(checklistPesertaKemenkeu!$N$6:$N$1005,SMALL(IF(checklistPesertaKemenkeu!$AY$6:$AY$1005="Direkomendasikan",ROW($6:$1005)-5),660))="",INDEX(checklistPesertaKemenkeu!$J$6:$J$1005,SMALL(IF(checklistPesertaKemenkeu!$AY$6:$AY$1005="Direkomendasikan",ROW($6:$1005)-5),660))=""),"",IF(AND(COUNTIF(INDIRECT("K_"&amp;MATCH(INDEX(checklistPesertaKemenkeu!$J$6:$J$1005,SMALL(IF(checklistPesertaKemenkeu!$AY$6:$AY$1005="Direkomendasikan",ROW($6:$1005)-5),660)),BidangList,0)),INDEX(checklistPesertaKemenkeu!$N$6:$N$1005,SMALL(IF(checklistPesertaKemenkeu!$AY$6:$AY$1005="Direkomendasikan",ROW($6:$1005)-5),660)))&gt;0,COUNTIF(INDIRECT("'KERTAS KERJA'!K"&amp;(SMALL(IF(checklistPesertaKemenkeu!$AY$6:$AY$1005="Direkomendasikan",ROW($6:$1005)-5),660)+5)&amp;":O"&amp;(SMALL(IF(checklistPesertaKemenkeu!$AY$6:$AY$1005="Direkomendasikan",ROW($6:$1005)-5),660)+5)),INDEX(checklistPesertaKemenkeu!$N$6:$N$1005,SMALL(IF(checklistPesertaKemenkeu!$AY$6:$AY$1005="Direkomendasikan",ROW($6:$1005)-5),660)))=1),IFERROR(VLOOKUP(INDEX(checklistPesertaKemenkeu!$N$6:$N$1005,SMALL(IF(checklistPesertaKemenkeu!$AY$6:$AY$1005="Direkomendasikan",ROW($6:$1005)-5),660)),KotaKode,2,0),"-"),"")),"")</f>
        <v/>
      </c>
      <c r="K661" t="str">
        <f t="array" aca="1" ref="K661" ca="1">IFERROR(IF(OR(INDEX(checklistPesertaKemenkeu!$O$6:$O$1005,SMALL(IF(checklistPesertaKemenkeu!$AY$6:$AY$1005="Direkomendasikan",ROW($6:$1005)-5),660))="",INDEX(checklistPesertaKemenkeu!$J$6:$J$1005,SMALL(IF(checklistPesertaKemenkeu!$AY$6:$AY$1005="Direkomendasikan",ROW($6:$1005)-5),660))=""),"",IF(AND(COUNTIF(INDIRECT("K_"&amp;MATCH(INDEX(checklistPesertaKemenkeu!$J$6:$J$1005,SMALL(IF(checklistPesertaKemenkeu!$AY$6:$AY$1005="Direkomendasikan",ROW($6:$1005)-5),660)),BidangList,0)),INDEX(checklistPesertaKemenkeu!$O$6:$O$1005,SMALL(IF(checklistPesertaKemenkeu!$AY$6:$AY$1005="Direkomendasikan",ROW($6:$1005)-5),660)))&gt;0,COUNTIF(INDIRECT("'KERTAS KERJA'!K"&amp;(SMALL(IF(checklistPesertaKemenkeu!$AY$6:$AY$1005="Direkomendasikan",ROW($6:$1005)-5),660)+5)&amp;":O"&amp;(SMALL(IF(checklistPesertaKemenkeu!$AY$6:$AY$1005="Direkomendasikan",ROW($6:$1005)-5),660)+5)),INDEX(checklistPesertaKemenkeu!$O$6:$O$1005,SMALL(IF(checklistPesertaKemenkeu!$AY$6:$AY$1005="Direkomendasikan",ROW($6:$1005)-5),660)))=1),IFERROR(VLOOKUP(INDEX(checklistPesertaKemenkeu!$O$6:$O$1005,SMALL(IF(checklistPesertaKemenkeu!$AY$6:$AY$1005="Direkomendasikan",ROW($6:$1005)-5),660)),KotaKode,2,0),"-"),"")),"")</f>
        <v/>
      </c>
      <c r="L661" t="str">
        <f t="array" aca="1" ref="L661" ca="1">IFERROR(IF(OR(INDEX(checklistPesertaKemenkeu!$P$6:$P$1005,SMALL(IF(checklistPesertaKemenkeu!$AY$6:$AY$1005="Direkomendasikan",ROW($6:$1005)-5),660))="",INDEX(checklistPesertaKemenkeu!$J$6:$J$1005,SMALL(IF(checklistPesertaKemenkeu!$AY$6:$AY$1005="Direkomendasikan",ROW($6:$1005)-5),660))=""),"",IF(AND(COUNTIF(INDIRECT("K_"&amp;MATCH(INDEX(checklistPesertaKemenkeu!$J$6:$J$1005,SMALL(IF(checklistPesertaKemenkeu!$AY$6:$AY$1005="Direkomendasikan",ROW($6:$1005)-5),660)),BidangList,0)),INDEX(checklistPesertaKemenkeu!$P$6:$P$1005,SMALL(IF(checklistPesertaKemenkeu!$AY$6:$AY$1005="Direkomendasikan",ROW($6:$1005)-5),660)))&gt;0,COUNTIF(INDIRECT("'KERTAS KERJA'!K"&amp;(SMALL(IF(checklistPesertaKemenkeu!$AY$6:$AY$1005="Direkomendasikan",ROW($6:$1005)-5),660)+5)&amp;":O"&amp;(SMALL(IF(checklistPesertaKemenkeu!$AY$6:$AY$1005="Direkomendasikan",ROW($6:$1005)-5),660)+5)),INDEX(checklistPesertaKemenkeu!$P$6:$P$1005,SMALL(IF(checklistPesertaKemenkeu!$AY$6:$AY$1005="Direkomendasikan",ROW($6:$1005)-5),660)))=1),IFERROR(VLOOKUP(INDEX(checklistPesertaKemenkeu!$P$6:$P$1005,SMALL(IF(checklistPesertaKemenkeu!$AY$6:$AY$1005="Direkomendasikan",ROW($6:$1005)-5),660)),KotaKode,2,0),"-"),"")),"")</f>
        <v/>
      </c>
    </row>
    <row r="662" spans="1:12" ht="15" customHeight="1" x14ac:dyDescent="0.2">
      <c r="A662" t="str">
        <f t="shared" si="10"/>
        <v/>
      </c>
      <c r="B662" t="str">
        <v/>
      </c>
      <c r="C662" s="40" t="str">
        <f t="array" ref="C662">IFERROR(INDEX(checklistPesertaKemenkeu!$F$6:$F$1005,SMALL(IF(checklistPesertaKemenkeu!$AY$6:$AY$1005="Direkomendasikan",ROW($6:$1005)-5),661)),"")</f>
        <v/>
      </c>
      <c r="D662" t="str">
        <f t="array" ref="D662">IFERROR(INDEX(checklistPesertaKemenkeu!$G$6:$G$1005,SMALL(IF(checklistPesertaKemenkeu!$AY$6:$AY$1005="Direkomendasikan",ROW($6:$1005)-5),661)),"")</f>
        <v/>
      </c>
      <c r="E662" t="str">
        <f t="array" ref="E662">IFERROR(INDEX(checklistPesertaKemenkeu!$H$6:$H$1005,SMALL(IF(checklistPesertaKemenkeu!$AY$6:$AY$1005="Direkomendasikan",ROW($6:$1005)-5),661)),"")</f>
        <v/>
      </c>
      <c r="F662" t="str">
        <f t="array" ref="F662">IFERROR(INDEX(checklistPesertaKemenkeu!$I$6:$I$1005,SMALL(IF(checklistPesertaKemenkeu!$AY$6:$AY$1005="Direkomendasikan",ROW($6:$1005)-5),661)),"")</f>
        <v/>
      </c>
      <c r="G662" t="str">
        <f t="array" ref="G662">IFERROR(INDEX(checklistPesertaKemenkeu!$J$6:$J$1005,SMALL(IF(checklistPesertaKemenkeu!$AY$6:$AY$1005="Direkomendasikan",ROW($6:$1005)-5),661)),"")</f>
        <v/>
      </c>
      <c r="H662" t="str">
        <f t="array" aca="1" ref="H662" ca="1">IFERROR(IF(OR(INDEX(checklistPesertaKemenkeu!$L$6:$L$1005,SMALL(IF(checklistPesertaKemenkeu!$AY$6:$AY$1005="Direkomendasikan",ROW($6:$1005)-5),661))="",INDEX(checklistPesertaKemenkeu!$J$6:$J$1005,SMALL(IF(checklistPesertaKemenkeu!$AY$6:$AY$1005="Direkomendasikan",ROW($6:$1005)-5),661))=""),"",IF(AND(COUNTIF(INDIRECT("K_"&amp;MATCH(INDEX(checklistPesertaKemenkeu!$J$6:$J$1005,SMALL(IF(checklistPesertaKemenkeu!$AY$6:$AY$1005="Direkomendasikan",ROW($6:$1005)-5),661)),BidangList,0)),INDEX(checklistPesertaKemenkeu!$L$6:$L$1005,SMALL(IF(checklistPesertaKemenkeu!$AY$6:$AY$1005="Direkomendasikan",ROW($6:$1005)-5),661)))&gt;0,COUNTIF(INDIRECT("'KERTAS KERJA'!K"&amp;(SMALL(IF(checklistPesertaKemenkeu!$AY$6:$AY$1005="Direkomendasikan",ROW($6:$1005)-5),661)+5)&amp;":O"&amp;(SMALL(IF(checklistPesertaKemenkeu!$AY$6:$AY$1005="Direkomendasikan",ROW($6:$1005)-5),661)+5)),INDEX(checklistPesertaKemenkeu!$L$6:$L$1005,SMALL(IF(checklistPesertaKemenkeu!$AY$6:$AY$1005="Direkomendasikan",ROW($6:$1005)-5),661)))=1),IFERROR(VLOOKUP(INDEX(checklistPesertaKemenkeu!$L$6:$L$1005,SMALL(IF(checklistPesertaKemenkeu!$AY$6:$AY$1005="Direkomendasikan",ROW($6:$1005)-5),661)),KotaKode,2,0),"-"),"")),"")</f>
        <v/>
      </c>
      <c r="I662" t="str">
        <f t="array" aca="1" ref="I662" ca="1">IFERROR(IF(OR(INDEX(checklistPesertaKemenkeu!$M$6:$M$1005,SMALL(IF(checklistPesertaKemenkeu!$AY$6:$AY$1005="Direkomendasikan",ROW($6:$1005)-5),661))="",INDEX(checklistPesertaKemenkeu!$J$6:$J$1005,SMALL(IF(checklistPesertaKemenkeu!$AY$6:$AY$1005="Direkomendasikan",ROW($6:$1005)-5),661))=""),"",IF(AND(COUNTIF(INDIRECT("K_"&amp;MATCH(INDEX(checklistPesertaKemenkeu!$J$6:$J$1005,SMALL(IF(checklistPesertaKemenkeu!$AY$6:$AY$1005="Direkomendasikan",ROW($6:$1005)-5),661)),BidangList,0)),INDEX(checklistPesertaKemenkeu!$M$6:$M$1005,SMALL(IF(checklistPesertaKemenkeu!$AY$6:$AY$1005="Direkomendasikan",ROW($6:$1005)-5),661)))&gt;0,COUNTIF(INDIRECT("'KERTAS KERJA'!K"&amp;(SMALL(IF(checklistPesertaKemenkeu!$AY$6:$AY$1005="Direkomendasikan",ROW($6:$1005)-5),661)+5)&amp;":O"&amp;(SMALL(IF(checklistPesertaKemenkeu!$AY$6:$AY$1005="Direkomendasikan",ROW($6:$1005)-5),661)+5)),INDEX(checklistPesertaKemenkeu!$M$6:$M$1005,SMALL(IF(checklistPesertaKemenkeu!$AY$6:$AY$1005="Direkomendasikan",ROW($6:$1005)-5),661)))=1),IFERROR(VLOOKUP(INDEX(checklistPesertaKemenkeu!$M$6:$M$1005,SMALL(IF(checklistPesertaKemenkeu!$AY$6:$AY$1005="Direkomendasikan",ROW($6:$1005)-5),661)),KotaKode,2,0),"-"),"")),"")</f>
        <v/>
      </c>
      <c r="J662" t="str">
        <f t="array" aca="1" ref="J662" ca="1">IFERROR(IF(OR(INDEX(checklistPesertaKemenkeu!$N$6:$N$1005,SMALL(IF(checklistPesertaKemenkeu!$AY$6:$AY$1005="Direkomendasikan",ROW($6:$1005)-5),661))="",INDEX(checklistPesertaKemenkeu!$J$6:$J$1005,SMALL(IF(checklistPesertaKemenkeu!$AY$6:$AY$1005="Direkomendasikan",ROW($6:$1005)-5),661))=""),"",IF(AND(COUNTIF(INDIRECT("K_"&amp;MATCH(INDEX(checklistPesertaKemenkeu!$J$6:$J$1005,SMALL(IF(checklistPesertaKemenkeu!$AY$6:$AY$1005="Direkomendasikan",ROW($6:$1005)-5),661)),BidangList,0)),INDEX(checklistPesertaKemenkeu!$N$6:$N$1005,SMALL(IF(checklistPesertaKemenkeu!$AY$6:$AY$1005="Direkomendasikan",ROW($6:$1005)-5),661)))&gt;0,COUNTIF(INDIRECT("'KERTAS KERJA'!K"&amp;(SMALL(IF(checklistPesertaKemenkeu!$AY$6:$AY$1005="Direkomendasikan",ROW($6:$1005)-5),661)+5)&amp;":O"&amp;(SMALL(IF(checklistPesertaKemenkeu!$AY$6:$AY$1005="Direkomendasikan",ROW($6:$1005)-5),661)+5)),INDEX(checklistPesertaKemenkeu!$N$6:$N$1005,SMALL(IF(checklistPesertaKemenkeu!$AY$6:$AY$1005="Direkomendasikan",ROW($6:$1005)-5),661)))=1),IFERROR(VLOOKUP(INDEX(checklistPesertaKemenkeu!$N$6:$N$1005,SMALL(IF(checklistPesertaKemenkeu!$AY$6:$AY$1005="Direkomendasikan",ROW($6:$1005)-5),661)),KotaKode,2,0),"-"),"")),"")</f>
        <v/>
      </c>
      <c r="K662" t="str">
        <f t="array" aca="1" ref="K662" ca="1">IFERROR(IF(OR(INDEX(checklistPesertaKemenkeu!$O$6:$O$1005,SMALL(IF(checklistPesertaKemenkeu!$AY$6:$AY$1005="Direkomendasikan",ROW($6:$1005)-5),661))="",INDEX(checklistPesertaKemenkeu!$J$6:$J$1005,SMALL(IF(checklistPesertaKemenkeu!$AY$6:$AY$1005="Direkomendasikan",ROW($6:$1005)-5),661))=""),"",IF(AND(COUNTIF(INDIRECT("K_"&amp;MATCH(INDEX(checklistPesertaKemenkeu!$J$6:$J$1005,SMALL(IF(checklistPesertaKemenkeu!$AY$6:$AY$1005="Direkomendasikan",ROW($6:$1005)-5),661)),BidangList,0)),INDEX(checklistPesertaKemenkeu!$O$6:$O$1005,SMALL(IF(checklistPesertaKemenkeu!$AY$6:$AY$1005="Direkomendasikan",ROW($6:$1005)-5),661)))&gt;0,COUNTIF(INDIRECT("'KERTAS KERJA'!K"&amp;(SMALL(IF(checklistPesertaKemenkeu!$AY$6:$AY$1005="Direkomendasikan",ROW($6:$1005)-5),661)+5)&amp;":O"&amp;(SMALL(IF(checklistPesertaKemenkeu!$AY$6:$AY$1005="Direkomendasikan",ROW($6:$1005)-5),661)+5)),INDEX(checklistPesertaKemenkeu!$O$6:$O$1005,SMALL(IF(checklistPesertaKemenkeu!$AY$6:$AY$1005="Direkomendasikan",ROW($6:$1005)-5),661)))=1),IFERROR(VLOOKUP(INDEX(checklistPesertaKemenkeu!$O$6:$O$1005,SMALL(IF(checklistPesertaKemenkeu!$AY$6:$AY$1005="Direkomendasikan",ROW($6:$1005)-5),661)),KotaKode,2,0),"-"),"")),"")</f>
        <v/>
      </c>
      <c r="L662" t="str">
        <f t="array" aca="1" ref="L662" ca="1">IFERROR(IF(OR(INDEX(checklistPesertaKemenkeu!$P$6:$P$1005,SMALL(IF(checklistPesertaKemenkeu!$AY$6:$AY$1005="Direkomendasikan",ROW($6:$1005)-5),661))="",INDEX(checklistPesertaKemenkeu!$J$6:$J$1005,SMALL(IF(checklistPesertaKemenkeu!$AY$6:$AY$1005="Direkomendasikan",ROW($6:$1005)-5),661))=""),"",IF(AND(COUNTIF(INDIRECT("K_"&amp;MATCH(INDEX(checklistPesertaKemenkeu!$J$6:$J$1005,SMALL(IF(checklistPesertaKemenkeu!$AY$6:$AY$1005="Direkomendasikan",ROW($6:$1005)-5),661)),BidangList,0)),INDEX(checklistPesertaKemenkeu!$P$6:$P$1005,SMALL(IF(checklistPesertaKemenkeu!$AY$6:$AY$1005="Direkomendasikan",ROW($6:$1005)-5),661)))&gt;0,COUNTIF(INDIRECT("'KERTAS KERJA'!K"&amp;(SMALL(IF(checklistPesertaKemenkeu!$AY$6:$AY$1005="Direkomendasikan",ROW($6:$1005)-5),661)+5)&amp;":O"&amp;(SMALL(IF(checklistPesertaKemenkeu!$AY$6:$AY$1005="Direkomendasikan",ROW($6:$1005)-5),661)+5)),INDEX(checklistPesertaKemenkeu!$P$6:$P$1005,SMALL(IF(checklistPesertaKemenkeu!$AY$6:$AY$1005="Direkomendasikan",ROW($6:$1005)-5),661)))=1),IFERROR(VLOOKUP(INDEX(checklistPesertaKemenkeu!$P$6:$P$1005,SMALL(IF(checklistPesertaKemenkeu!$AY$6:$AY$1005="Direkomendasikan",ROW($6:$1005)-5),661)),KotaKode,2,0),"-"),"")),"")</f>
        <v/>
      </c>
    </row>
    <row r="663" spans="1:12" ht="15" customHeight="1" x14ac:dyDescent="0.2">
      <c r="A663" t="str">
        <f t="shared" si="10"/>
        <v/>
      </c>
      <c r="B663" t="str">
        <v/>
      </c>
      <c r="C663" s="40" t="str">
        <f t="array" ref="C663">IFERROR(INDEX(checklistPesertaKemenkeu!$F$6:$F$1005,SMALL(IF(checklistPesertaKemenkeu!$AY$6:$AY$1005="Direkomendasikan",ROW($6:$1005)-5),662)),"")</f>
        <v/>
      </c>
      <c r="D663" t="str">
        <f t="array" ref="D663">IFERROR(INDEX(checklistPesertaKemenkeu!$G$6:$G$1005,SMALL(IF(checklistPesertaKemenkeu!$AY$6:$AY$1005="Direkomendasikan",ROW($6:$1005)-5),662)),"")</f>
        <v/>
      </c>
      <c r="E663" t="str">
        <f t="array" ref="E663">IFERROR(INDEX(checklistPesertaKemenkeu!$H$6:$H$1005,SMALL(IF(checklistPesertaKemenkeu!$AY$6:$AY$1005="Direkomendasikan",ROW($6:$1005)-5),662)),"")</f>
        <v/>
      </c>
      <c r="F663" t="str">
        <f t="array" ref="F663">IFERROR(INDEX(checklistPesertaKemenkeu!$I$6:$I$1005,SMALL(IF(checklistPesertaKemenkeu!$AY$6:$AY$1005="Direkomendasikan",ROW($6:$1005)-5),662)),"")</f>
        <v/>
      </c>
      <c r="G663" t="str">
        <f t="array" ref="G663">IFERROR(INDEX(checklistPesertaKemenkeu!$J$6:$J$1005,SMALL(IF(checklistPesertaKemenkeu!$AY$6:$AY$1005="Direkomendasikan",ROW($6:$1005)-5),662)),"")</f>
        <v/>
      </c>
      <c r="H663" t="str">
        <f t="array" aca="1" ref="H663" ca="1">IFERROR(IF(OR(INDEX(checklistPesertaKemenkeu!$L$6:$L$1005,SMALL(IF(checklistPesertaKemenkeu!$AY$6:$AY$1005="Direkomendasikan",ROW($6:$1005)-5),662))="",INDEX(checklistPesertaKemenkeu!$J$6:$J$1005,SMALL(IF(checklistPesertaKemenkeu!$AY$6:$AY$1005="Direkomendasikan",ROW($6:$1005)-5),662))=""),"",IF(AND(COUNTIF(INDIRECT("K_"&amp;MATCH(INDEX(checklistPesertaKemenkeu!$J$6:$J$1005,SMALL(IF(checklistPesertaKemenkeu!$AY$6:$AY$1005="Direkomendasikan",ROW($6:$1005)-5),662)),BidangList,0)),INDEX(checklistPesertaKemenkeu!$L$6:$L$1005,SMALL(IF(checklistPesertaKemenkeu!$AY$6:$AY$1005="Direkomendasikan",ROW($6:$1005)-5),662)))&gt;0,COUNTIF(INDIRECT("'KERTAS KERJA'!K"&amp;(SMALL(IF(checklistPesertaKemenkeu!$AY$6:$AY$1005="Direkomendasikan",ROW($6:$1005)-5),662)+5)&amp;":O"&amp;(SMALL(IF(checklistPesertaKemenkeu!$AY$6:$AY$1005="Direkomendasikan",ROW($6:$1005)-5),662)+5)),INDEX(checklistPesertaKemenkeu!$L$6:$L$1005,SMALL(IF(checklistPesertaKemenkeu!$AY$6:$AY$1005="Direkomendasikan",ROW($6:$1005)-5),662)))=1),IFERROR(VLOOKUP(INDEX(checklistPesertaKemenkeu!$L$6:$L$1005,SMALL(IF(checklistPesertaKemenkeu!$AY$6:$AY$1005="Direkomendasikan",ROW($6:$1005)-5),662)),KotaKode,2,0),"-"),"")),"")</f>
        <v/>
      </c>
      <c r="I663" t="str">
        <f t="array" aca="1" ref="I663" ca="1">IFERROR(IF(OR(INDEX(checklistPesertaKemenkeu!$M$6:$M$1005,SMALL(IF(checklistPesertaKemenkeu!$AY$6:$AY$1005="Direkomendasikan",ROW($6:$1005)-5),662))="",INDEX(checklistPesertaKemenkeu!$J$6:$J$1005,SMALL(IF(checklistPesertaKemenkeu!$AY$6:$AY$1005="Direkomendasikan",ROW($6:$1005)-5),662))=""),"",IF(AND(COUNTIF(INDIRECT("K_"&amp;MATCH(INDEX(checklistPesertaKemenkeu!$J$6:$J$1005,SMALL(IF(checklistPesertaKemenkeu!$AY$6:$AY$1005="Direkomendasikan",ROW($6:$1005)-5),662)),BidangList,0)),INDEX(checklistPesertaKemenkeu!$M$6:$M$1005,SMALL(IF(checklistPesertaKemenkeu!$AY$6:$AY$1005="Direkomendasikan",ROW($6:$1005)-5),662)))&gt;0,COUNTIF(INDIRECT("'KERTAS KERJA'!K"&amp;(SMALL(IF(checklistPesertaKemenkeu!$AY$6:$AY$1005="Direkomendasikan",ROW($6:$1005)-5),662)+5)&amp;":O"&amp;(SMALL(IF(checklistPesertaKemenkeu!$AY$6:$AY$1005="Direkomendasikan",ROW($6:$1005)-5),662)+5)),INDEX(checklistPesertaKemenkeu!$M$6:$M$1005,SMALL(IF(checklistPesertaKemenkeu!$AY$6:$AY$1005="Direkomendasikan",ROW($6:$1005)-5),662)))=1),IFERROR(VLOOKUP(INDEX(checklistPesertaKemenkeu!$M$6:$M$1005,SMALL(IF(checklistPesertaKemenkeu!$AY$6:$AY$1005="Direkomendasikan",ROW($6:$1005)-5),662)),KotaKode,2,0),"-"),"")),"")</f>
        <v/>
      </c>
      <c r="J663" t="str">
        <f t="array" aca="1" ref="J663" ca="1">IFERROR(IF(OR(INDEX(checklistPesertaKemenkeu!$N$6:$N$1005,SMALL(IF(checklistPesertaKemenkeu!$AY$6:$AY$1005="Direkomendasikan",ROW($6:$1005)-5),662))="",INDEX(checklistPesertaKemenkeu!$J$6:$J$1005,SMALL(IF(checklistPesertaKemenkeu!$AY$6:$AY$1005="Direkomendasikan",ROW($6:$1005)-5),662))=""),"",IF(AND(COUNTIF(INDIRECT("K_"&amp;MATCH(INDEX(checklistPesertaKemenkeu!$J$6:$J$1005,SMALL(IF(checklistPesertaKemenkeu!$AY$6:$AY$1005="Direkomendasikan",ROW($6:$1005)-5),662)),BidangList,0)),INDEX(checklistPesertaKemenkeu!$N$6:$N$1005,SMALL(IF(checklistPesertaKemenkeu!$AY$6:$AY$1005="Direkomendasikan",ROW($6:$1005)-5),662)))&gt;0,COUNTIF(INDIRECT("'KERTAS KERJA'!K"&amp;(SMALL(IF(checklistPesertaKemenkeu!$AY$6:$AY$1005="Direkomendasikan",ROW($6:$1005)-5),662)+5)&amp;":O"&amp;(SMALL(IF(checklistPesertaKemenkeu!$AY$6:$AY$1005="Direkomendasikan",ROW($6:$1005)-5),662)+5)),INDEX(checklistPesertaKemenkeu!$N$6:$N$1005,SMALL(IF(checklistPesertaKemenkeu!$AY$6:$AY$1005="Direkomendasikan",ROW($6:$1005)-5),662)))=1),IFERROR(VLOOKUP(INDEX(checklistPesertaKemenkeu!$N$6:$N$1005,SMALL(IF(checklistPesertaKemenkeu!$AY$6:$AY$1005="Direkomendasikan",ROW($6:$1005)-5),662)),KotaKode,2,0),"-"),"")),"")</f>
        <v/>
      </c>
      <c r="K663" t="str">
        <f t="array" aca="1" ref="K663" ca="1">IFERROR(IF(OR(INDEX(checklistPesertaKemenkeu!$O$6:$O$1005,SMALL(IF(checklistPesertaKemenkeu!$AY$6:$AY$1005="Direkomendasikan",ROW($6:$1005)-5),662))="",INDEX(checklistPesertaKemenkeu!$J$6:$J$1005,SMALL(IF(checklistPesertaKemenkeu!$AY$6:$AY$1005="Direkomendasikan",ROW($6:$1005)-5),662))=""),"",IF(AND(COUNTIF(INDIRECT("K_"&amp;MATCH(INDEX(checklistPesertaKemenkeu!$J$6:$J$1005,SMALL(IF(checklistPesertaKemenkeu!$AY$6:$AY$1005="Direkomendasikan",ROW($6:$1005)-5),662)),BidangList,0)),INDEX(checklistPesertaKemenkeu!$O$6:$O$1005,SMALL(IF(checklistPesertaKemenkeu!$AY$6:$AY$1005="Direkomendasikan",ROW($6:$1005)-5),662)))&gt;0,COUNTIF(INDIRECT("'KERTAS KERJA'!K"&amp;(SMALL(IF(checklistPesertaKemenkeu!$AY$6:$AY$1005="Direkomendasikan",ROW($6:$1005)-5),662)+5)&amp;":O"&amp;(SMALL(IF(checklistPesertaKemenkeu!$AY$6:$AY$1005="Direkomendasikan",ROW($6:$1005)-5),662)+5)),INDEX(checklistPesertaKemenkeu!$O$6:$O$1005,SMALL(IF(checklistPesertaKemenkeu!$AY$6:$AY$1005="Direkomendasikan",ROW($6:$1005)-5),662)))=1),IFERROR(VLOOKUP(INDEX(checklistPesertaKemenkeu!$O$6:$O$1005,SMALL(IF(checklistPesertaKemenkeu!$AY$6:$AY$1005="Direkomendasikan",ROW($6:$1005)-5),662)),KotaKode,2,0),"-"),"")),"")</f>
        <v/>
      </c>
      <c r="L663" t="str">
        <f t="array" aca="1" ref="L663" ca="1">IFERROR(IF(OR(INDEX(checklistPesertaKemenkeu!$P$6:$P$1005,SMALL(IF(checklistPesertaKemenkeu!$AY$6:$AY$1005="Direkomendasikan",ROW($6:$1005)-5),662))="",INDEX(checklistPesertaKemenkeu!$J$6:$J$1005,SMALL(IF(checklistPesertaKemenkeu!$AY$6:$AY$1005="Direkomendasikan",ROW($6:$1005)-5),662))=""),"",IF(AND(COUNTIF(INDIRECT("K_"&amp;MATCH(INDEX(checklistPesertaKemenkeu!$J$6:$J$1005,SMALL(IF(checklistPesertaKemenkeu!$AY$6:$AY$1005="Direkomendasikan",ROW($6:$1005)-5),662)),BidangList,0)),INDEX(checklistPesertaKemenkeu!$P$6:$P$1005,SMALL(IF(checklistPesertaKemenkeu!$AY$6:$AY$1005="Direkomendasikan",ROW($6:$1005)-5),662)))&gt;0,COUNTIF(INDIRECT("'KERTAS KERJA'!K"&amp;(SMALL(IF(checklistPesertaKemenkeu!$AY$6:$AY$1005="Direkomendasikan",ROW($6:$1005)-5),662)+5)&amp;":O"&amp;(SMALL(IF(checklistPesertaKemenkeu!$AY$6:$AY$1005="Direkomendasikan",ROW($6:$1005)-5),662)+5)),INDEX(checklistPesertaKemenkeu!$P$6:$P$1005,SMALL(IF(checklistPesertaKemenkeu!$AY$6:$AY$1005="Direkomendasikan",ROW($6:$1005)-5),662)))=1),IFERROR(VLOOKUP(INDEX(checklistPesertaKemenkeu!$P$6:$P$1005,SMALL(IF(checklistPesertaKemenkeu!$AY$6:$AY$1005="Direkomendasikan",ROW($6:$1005)-5),662)),KotaKode,2,0),"-"),"")),"")</f>
        <v/>
      </c>
    </row>
    <row r="664" spans="1:12" ht="15" customHeight="1" x14ac:dyDescent="0.2">
      <c r="A664" t="str">
        <f t="shared" si="10"/>
        <v/>
      </c>
      <c r="B664" t="str">
        <v/>
      </c>
      <c r="C664" s="40" t="str">
        <f t="array" ref="C664">IFERROR(INDEX(checklistPesertaKemenkeu!$F$6:$F$1005,SMALL(IF(checklistPesertaKemenkeu!$AY$6:$AY$1005="Direkomendasikan",ROW($6:$1005)-5),663)),"")</f>
        <v/>
      </c>
      <c r="D664" t="str">
        <f t="array" ref="D664">IFERROR(INDEX(checklistPesertaKemenkeu!$G$6:$G$1005,SMALL(IF(checklistPesertaKemenkeu!$AY$6:$AY$1005="Direkomendasikan",ROW($6:$1005)-5),663)),"")</f>
        <v/>
      </c>
      <c r="E664" t="str">
        <f t="array" ref="E664">IFERROR(INDEX(checklistPesertaKemenkeu!$H$6:$H$1005,SMALL(IF(checklistPesertaKemenkeu!$AY$6:$AY$1005="Direkomendasikan",ROW($6:$1005)-5),663)),"")</f>
        <v/>
      </c>
      <c r="F664" t="str">
        <f t="array" ref="F664">IFERROR(INDEX(checklistPesertaKemenkeu!$I$6:$I$1005,SMALL(IF(checklistPesertaKemenkeu!$AY$6:$AY$1005="Direkomendasikan",ROW($6:$1005)-5),663)),"")</f>
        <v/>
      </c>
      <c r="G664" t="str">
        <f t="array" ref="G664">IFERROR(INDEX(checklistPesertaKemenkeu!$J$6:$J$1005,SMALL(IF(checklistPesertaKemenkeu!$AY$6:$AY$1005="Direkomendasikan",ROW($6:$1005)-5),663)),"")</f>
        <v/>
      </c>
      <c r="H664" t="str">
        <f t="array" aca="1" ref="H664" ca="1">IFERROR(IF(OR(INDEX(checklistPesertaKemenkeu!$L$6:$L$1005,SMALL(IF(checklistPesertaKemenkeu!$AY$6:$AY$1005="Direkomendasikan",ROW($6:$1005)-5),663))="",INDEX(checklistPesertaKemenkeu!$J$6:$J$1005,SMALL(IF(checklistPesertaKemenkeu!$AY$6:$AY$1005="Direkomendasikan",ROW($6:$1005)-5),663))=""),"",IF(AND(COUNTIF(INDIRECT("K_"&amp;MATCH(INDEX(checklistPesertaKemenkeu!$J$6:$J$1005,SMALL(IF(checklistPesertaKemenkeu!$AY$6:$AY$1005="Direkomendasikan",ROW($6:$1005)-5),663)),BidangList,0)),INDEX(checklistPesertaKemenkeu!$L$6:$L$1005,SMALL(IF(checklistPesertaKemenkeu!$AY$6:$AY$1005="Direkomendasikan",ROW($6:$1005)-5),663)))&gt;0,COUNTIF(INDIRECT("'KERTAS KERJA'!K"&amp;(SMALL(IF(checklistPesertaKemenkeu!$AY$6:$AY$1005="Direkomendasikan",ROW($6:$1005)-5),663)+5)&amp;":O"&amp;(SMALL(IF(checklistPesertaKemenkeu!$AY$6:$AY$1005="Direkomendasikan",ROW($6:$1005)-5),663)+5)),INDEX(checklistPesertaKemenkeu!$L$6:$L$1005,SMALL(IF(checklistPesertaKemenkeu!$AY$6:$AY$1005="Direkomendasikan",ROW($6:$1005)-5),663)))=1),IFERROR(VLOOKUP(INDEX(checklistPesertaKemenkeu!$L$6:$L$1005,SMALL(IF(checklistPesertaKemenkeu!$AY$6:$AY$1005="Direkomendasikan",ROW($6:$1005)-5),663)),KotaKode,2,0),"-"),"")),"")</f>
        <v/>
      </c>
      <c r="I664" t="str">
        <f t="array" aca="1" ref="I664" ca="1">IFERROR(IF(OR(INDEX(checklistPesertaKemenkeu!$M$6:$M$1005,SMALL(IF(checklistPesertaKemenkeu!$AY$6:$AY$1005="Direkomendasikan",ROW($6:$1005)-5),663))="",INDEX(checklistPesertaKemenkeu!$J$6:$J$1005,SMALL(IF(checklistPesertaKemenkeu!$AY$6:$AY$1005="Direkomendasikan",ROW($6:$1005)-5),663))=""),"",IF(AND(COUNTIF(INDIRECT("K_"&amp;MATCH(INDEX(checklistPesertaKemenkeu!$J$6:$J$1005,SMALL(IF(checklistPesertaKemenkeu!$AY$6:$AY$1005="Direkomendasikan",ROW($6:$1005)-5),663)),BidangList,0)),INDEX(checklistPesertaKemenkeu!$M$6:$M$1005,SMALL(IF(checklistPesertaKemenkeu!$AY$6:$AY$1005="Direkomendasikan",ROW($6:$1005)-5),663)))&gt;0,COUNTIF(INDIRECT("'KERTAS KERJA'!K"&amp;(SMALL(IF(checklistPesertaKemenkeu!$AY$6:$AY$1005="Direkomendasikan",ROW($6:$1005)-5),663)+5)&amp;":O"&amp;(SMALL(IF(checklistPesertaKemenkeu!$AY$6:$AY$1005="Direkomendasikan",ROW($6:$1005)-5),663)+5)),INDEX(checklistPesertaKemenkeu!$M$6:$M$1005,SMALL(IF(checklistPesertaKemenkeu!$AY$6:$AY$1005="Direkomendasikan",ROW($6:$1005)-5),663)))=1),IFERROR(VLOOKUP(INDEX(checklistPesertaKemenkeu!$M$6:$M$1005,SMALL(IF(checklistPesertaKemenkeu!$AY$6:$AY$1005="Direkomendasikan",ROW($6:$1005)-5),663)),KotaKode,2,0),"-"),"")),"")</f>
        <v/>
      </c>
      <c r="J664" t="str">
        <f t="array" aca="1" ref="J664" ca="1">IFERROR(IF(OR(INDEX(checklistPesertaKemenkeu!$N$6:$N$1005,SMALL(IF(checklistPesertaKemenkeu!$AY$6:$AY$1005="Direkomendasikan",ROW($6:$1005)-5),663))="",INDEX(checklistPesertaKemenkeu!$J$6:$J$1005,SMALL(IF(checklistPesertaKemenkeu!$AY$6:$AY$1005="Direkomendasikan",ROW($6:$1005)-5),663))=""),"",IF(AND(COUNTIF(INDIRECT("K_"&amp;MATCH(INDEX(checklistPesertaKemenkeu!$J$6:$J$1005,SMALL(IF(checklistPesertaKemenkeu!$AY$6:$AY$1005="Direkomendasikan",ROW($6:$1005)-5),663)),BidangList,0)),INDEX(checklistPesertaKemenkeu!$N$6:$N$1005,SMALL(IF(checklistPesertaKemenkeu!$AY$6:$AY$1005="Direkomendasikan",ROW($6:$1005)-5),663)))&gt;0,COUNTIF(INDIRECT("'KERTAS KERJA'!K"&amp;(SMALL(IF(checklistPesertaKemenkeu!$AY$6:$AY$1005="Direkomendasikan",ROW($6:$1005)-5),663)+5)&amp;":O"&amp;(SMALL(IF(checklistPesertaKemenkeu!$AY$6:$AY$1005="Direkomendasikan",ROW($6:$1005)-5),663)+5)),INDEX(checklistPesertaKemenkeu!$N$6:$N$1005,SMALL(IF(checklistPesertaKemenkeu!$AY$6:$AY$1005="Direkomendasikan",ROW($6:$1005)-5),663)))=1),IFERROR(VLOOKUP(INDEX(checklistPesertaKemenkeu!$N$6:$N$1005,SMALL(IF(checklistPesertaKemenkeu!$AY$6:$AY$1005="Direkomendasikan",ROW($6:$1005)-5),663)),KotaKode,2,0),"-"),"")),"")</f>
        <v/>
      </c>
      <c r="K664" t="str">
        <f t="array" aca="1" ref="K664" ca="1">IFERROR(IF(OR(INDEX(checklistPesertaKemenkeu!$O$6:$O$1005,SMALL(IF(checklistPesertaKemenkeu!$AY$6:$AY$1005="Direkomendasikan",ROW($6:$1005)-5),663))="",INDEX(checklistPesertaKemenkeu!$J$6:$J$1005,SMALL(IF(checklistPesertaKemenkeu!$AY$6:$AY$1005="Direkomendasikan",ROW($6:$1005)-5),663))=""),"",IF(AND(COUNTIF(INDIRECT("K_"&amp;MATCH(INDEX(checklistPesertaKemenkeu!$J$6:$J$1005,SMALL(IF(checklistPesertaKemenkeu!$AY$6:$AY$1005="Direkomendasikan",ROW($6:$1005)-5),663)),BidangList,0)),INDEX(checklistPesertaKemenkeu!$O$6:$O$1005,SMALL(IF(checklistPesertaKemenkeu!$AY$6:$AY$1005="Direkomendasikan",ROW($6:$1005)-5),663)))&gt;0,COUNTIF(INDIRECT("'KERTAS KERJA'!K"&amp;(SMALL(IF(checklistPesertaKemenkeu!$AY$6:$AY$1005="Direkomendasikan",ROW($6:$1005)-5),663)+5)&amp;":O"&amp;(SMALL(IF(checklistPesertaKemenkeu!$AY$6:$AY$1005="Direkomendasikan",ROW($6:$1005)-5),663)+5)),INDEX(checklistPesertaKemenkeu!$O$6:$O$1005,SMALL(IF(checklistPesertaKemenkeu!$AY$6:$AY$1005="Direkomendasikan",ROW($6:$1005)-5),663)))=1),IFERROR(VLOOKUP(INDEX(checklistPesertaKemenkeu!$O$6:$O$1005,SMALL(IF(checklistPesertaKemenkeu!$AY$6:$AY$1005="Direkomendasikan",ROW($6:$1005)-5),663)),KotaKode,2,0),"-"),"")),"")</f>
        <v/>
      </c>
      <c r="L664" t="str">
        <f t="array" aca="1" ref="L664" ca="1">IFERROR(IF(OR(INDEX(checklistPesertaKemenkeu!$P$6:$P$1005,SMALL(IF(checklistPesertaKemenkeu!$AY$6:$AY$1005="Direkomendasikan",ROW($6:$1005)-5),663))="",INDEX(checklistPesertaKemenkeu!$J$6:$J$1005,SMALL(IF(checklistPesertaKemenkeu!$AY$6:$AY$1005="Direkomendasikan",ROW($6:$1005)-5),663))=""),"",IF(AND(COUNTIF(INDIRECT("K_"&amp;MATCH(INDEX(checklistPesertaKemenkeu!$J$6:$J$1005,SMALL(IF(checklistPesertaKemenkeu!$AY$6:$AY$1005="Direkomendasikan",ROW($6:$1005)-5),663)),BidangList,0)),INDEX(checklistPesertaKemenkeu!$P$6:$P$1005,SMALL(IF(checklistPesertaKemenkeu!$AY$6:$AY$1005="Direkomendasikan",ROW($6:$1005)-5),663)))&gt;0,COUNTIF(INDIRECT("'KERTAS KERJA'!K"&amp;(SMALL(IF(checklistPesertaKemenkeu!$AY$6:$AY$1005="Direkomendasikan",ROW($6:$1005)-5),663)+5)&amp;":O"&amp;(SMALL(IF(checklistPesertaKemenkeu!$AY$6:$AY$1005="Direkomendasikan",ROW($6:$1005)-5),663)+5)),INDEX(checklistPesertaKemenkeu!$P$6:$P$1005,SMALL(IF(checklistPesertaKemenkeu!$AY$6:$AY$1005="Direkomendasikan",ROW($6:$1005)-5),663)))=1),IFERROR(VLOOKUP(INDEX(checklistPesertaKemenkeu!$P$6:$P$1005,SMALL(IF(checklistPesertaKemenkeu!$AY$6:$AY$1005="Direkomendasikan",ROW($6:$1005)-5),663)),KotaKode,2,0),"-"),"")),"")</f>
        <v/>
      </c>
    </row>
    <row r="665" spans="1:12" ht="15" customHeight="1" x14ac:dyDescent="0.2">
      <c r="A665" t="str">
        <f t="shared" si="10"/>
        <v/>
      </c>
      <c r="B665" t="str">
        <v/>
      </c>
      <c r="C665" s="40" t="str">
        <f t="array" ref="C665">IFERROR(INDEX(checklistPesertaKemenkeu!$F$6:$F$1005,SMALL(IF(checklistPesertaKemenkeu!$AY$6:$AY$1005="Direkomendasikan",ROW($6:$1005)-5),664)),"")</f>
        <v/>
      </c>
      <c r="D665" t="str">
        <f t="array" ref="D665">IFERROR(INDEX(checklistPesertaKemenkeu!$G$6:$G$1005,SMALL(IF(checklistPesertaKemenkeu!$AY$6:$AY$1005="Direkomendasikan",ROW($6:$1005)-5),664)),"")</f>
        <v/>
      </c>
      <c r="E665" t="str">
        <f t="array" ref="E665">IFERROR(INDEX(checklistPesertaKemenkeu!$H$6:$H$1005,SMALL(IF(checklistPesertaKemenkeu!$AY$6:$AY$1005="Direkomendasikan",ROW($6:$1005)-5),664)),"")</f>
        <v/>
      </c>
      <c r="F665" t="str">
        <f t="array" ref="F665">IFERROR(INDEX(checklistPesertaKemenkeu!$I$6:$I$1005,SMALL(IF(checklistPesertaKemenkeu!$AY$6:$AY$1005="Direkomendasikan",ROW($6:$1005)-5),664)),"")</f>
        <v/>
      </c>
      <c r="G665" t="str">
        <f t="array" ref="G665">IFERROR(INDEX(checklistPesertaKemenkeu!$J$6:$J$1005,SMALL(IF(checklistPesertaKemenkeu!$AY$6:$AY$1005="Direkomendasikan",ROW($6:$1005)-5),664)),"")</f>
        <v/>
      </c>
      <c r="H665" t="str">
        <f t="array" aca="1" ref="H665" ca="1">IFERROR(IF(OR(INDEX(checklistPesertaKemenkeu!$L$6:$L$1005,SMALL(IF(checklistPesertaKemenkeu!$AY$6:$AY$1005="Direkomendasikan",ROW($6:$1005)-5),664))="",INDEX(checklistPesertaKemenkeu!$J$6:$J$1005,SMALL(IF(checklistPesertaKemenkeu!$AY$6:$AY$1005="Direkomendasikan",ROW($6:$1005)-5),664))=""),"",IF(AND(COUNTIF(INDIRECT("K_"&amp;MATCH(INDEX(checklistPesertaKemenkeu!$J$6:$J$1005,SMALL(IF(checklistPesertaKemenkeu!$AY$6:$AY$1005="Direkomendasikan",ROW($6:$1005)-5),664)),BidangList,0)),INDEX(checklistPesertaKemenkeu!$L$6:$L$1005,SMALL(IF(checklistPesertaKemenkeu!$AY$6:$AY$1005="Direkomendasikan",ROW($6:$1005)-5),664)))&gt;0,COUNTIF(INDIRECT("'KERTAS KERJA'!K"&amp;(SMALL(IF(checklistPesertaKemenkeu!$AY$6:$AY$1005="Direkomendasikan",ROW($6:$1005)-5),664)+5)&amp;":O"&amp;(SMALL(IF(checklistPesertaKemenkeu!$AY$6:$AY$1005="Direkomendasikan",ROW($6:$1005)-5),664)+5)),INDEX(checklistPesertaKemenkeu!$L$6:$L$1005,SMALL(IF(checklistPesertaKemenkeu!$AY$6:$AY$1005="Direkomendasikan",ROW($6:$1005)-5),664)))=1),IFERROR(VLOOKUP(INDEX(checklistPesertaKemenkeu!$L$6:$L$1005,SMALL(IF(checklistPesertaKemenkeu!$AY$6:$AY$1005="Direkomendasikan",ROW($6:$1005)-5),664)),KotaKode,2,0),"-"),"")),"")</f>
        <v/>
      </c>
      <c r="I665" t="str">
        <f t="array" aca="1" ref="I665" ca="1">IFERROR(IF(OR(INDEX(checklistPesertaKemenkeu!$M$6:$M$1005,SMALL(IF(checklistPesertaKemenkeu!$AY$6:$AY$1005="Direkomendasikan",ROW($6:$1005)-5),664))="",INDEX(checklistPesertaKemenkeu!$J$6:$J$1005,SMALL(IF(checklistPesertaKemenkeu!$AY$6:$AY$1005="Direkomendasikan",ROW($6:$1005)-5),664))=""),"",IF(AND(COUNTIF(INDIRECT("K_"&amp;MATCH(INDEX(checklistPesertaKemenkeu!$J$6:$J$1005,SMALL(IF(checklistPesertaKemenkeu!$AY$6:$AY$1005="Direkomendasikan",ROW($6:$1005)-5),664)),BidangList,0)),INDEX(checklistPesertaKemenkeu!$M$6:$M$1005,SMALL(IF(checklistPesertaKemenkeu!$AY$6:$AY$1005="Direkomendasikan",ROW($6:$1005)-5),664)))&gt;0,COUNTIF(INDIRECT("'KERTAS KERJA'!K"&amp;(SMALL(IF(checklistPesertaKemenkeu!$AY$6:$AY$1005="Direkomendasikan",ROW($6:$1005)-5),664)+5)&amp;":O"&amp;(SMALL(IF(checklistPesertaKemenkeu!$AY$6:$AY$1005="Direkomendasikan",ROW($6:$1005)-5),664)+5)),INDEX(checklistPesertaKemenkeu!$M$6:$M$1005,SMALL(IF(checklistPesertaKemenkeu!$AY$6:$AY$1005="Direkomendasikan",ROW($6:$1005)-5),664)))=1),IFERROR(VLOOKUP(INDEX(checklistPesertaKemenkeu!$M$6:$M$1005,SMALL(IF(checklistPesertaKemenkeu!$AY$6:$AY$1005="Direkomendasikan",ROW($6:$1005)-5),664)),KotaKode,2,0),"-"),"")),"")</f>
        <v/>
      </c>
      <c r="J665" t="str">
        <f t="array" aca="1" ref="J665" ca="1">IFERROR(IF(OR(INDEX(checklistPesertaKemenkeu!$N$6:$N$1005,SMALL(IF(checklistPesertaKemenkeu!$AY$6:$AY$1005="Direkomendasikan",ROW($6:$1005)-5),664))="",INDEX(checklistPesertaKemenkeu!$J$6:$J$1005,SMALL(IF(checklistPesertaKemenkeu!$AY$6:$AY$1005="Direkomendasikan",ROW($6:$1005)-5),664))=""),"",IF(AND(COUNTIF(INDIRECT("K_"&amp;MATCH(INDEX(checklistPesertaKemenkeu!$J$6:$J$1005,SMALL(IF(checklistPesertaKemenkeu!$AY$6:$AY$1005="Direkomendasikan",ROW($6:$1005)-5),664)),BidangList,0)),INDEX(checklistPesertaKemenkeu!$N$6:$N$1005,SMALL(IF(checklistPesertaKemenkeu!$AY$6:$AY$1005="Direkomendasikan",ROW($6:$1005)-5),664)))&gt;0,COUNTIF(INDIRECT("'KERTAS KERJA'!K"&amp;(SMALL(IF(checklistPesertaKemenkeu!$AY$6:$AY$1005="Direkomendasikan",ROW($6:$1005)-5),664)+5)&amp;":O"&amp;(SMALL(IF(checklistPesertaKemenkeu!$AY$6:$AY$1005="Direkomendasikan",ROW($6:$1005)-5),664)+5)),INDEX(checklistPesertaKemenkeu!$N$6:$N$1005,SMALL(IF(checklistPesertaKemenkeu!$AY$6:$AY$1005="Direkomendasikan",ROW($6:$1005)-5),664)))=1),IFERROR(VLOOKUP(INDEX(checklistPesertaKemenkeu!$N$6:$N$1005,SMALL(IF(checklistPesertaKemenkeu!$AY$6:$AY$1005="Direkomendasikan",ROW($6:$1005)-5),664)),KotaKode,2,0),"-"),"")),"")</f>
        <v/>
      </c>
      <c r="K665" t="str">
        <f t="array" aca="1" ref="K665" ca="1">IFERROR(IF(OR(INDEX(checklistPesertaKemenkeu!$O$6:$O$1005,SMALL(IF(checklistPesertaKemenkeu!$AY$6:$AY$1005="Direkomendasikan",ROW($6:$1005)-5),664))="",INDEX(checklistPesertaKemenkeu!$J$6:$J$1005,SMALL(IF(checklistPesertaKemenkeu!$AY$6:$AY$1005="Direkomendasikan",ROW($6:$1005)-5),664))=""),"",IF(AND(COUNTIF(INDIRECT("K_"&amp;MATCH(INDEX(checklistPesertaKemenkeu!$J$6:$J$1005,SMALL(IF(checklistPesertaKemenkeu!$AY$6:$AY$1005="Direkomendasikan",ROW($6:$1005)-5),664)),BidangList,0)),INDEX(checklistPesertaKemenkeu!$O$6:$O$1005,SMALL(IF(checklistPesertaKemenkeu!$AY$6:$AY$1005="Direkomendasikan",ROW($6:$1005)-5),664)))&gt;0,COUNTIF(INDIRECT("'KERTAS KERJA'!K"&amp;(SMALL(IF(checklistPesertaKemenkeu!$AY$6:$AY$1005="Direkomendasikan",ROW($6:$1005)-5),664)+5)&amp;":O"&amp;(SMALL(IF(checklistPesertaKemenkeu!$AY$6:$AY$1005="Direkomendasikan",ROW($6:$1005)-5),664)+5)),INDEX(checklistPesertaKemenkeu!$O$6:$O$1005,SMALL(IF(checklistPesertaKemenkeu!$AY$6:$AY$1005="Direkomendasikan",ROW($6:$1005)-5),664)))=1),IFERROR(VLOOKUP(INDEX(checklistPesertaKemenkeu!$O$6:$O$1005,SMALL(IF(checklistPesertaKemenkeu!$AY$6:$AY$1005="Direkomendasikan",ROW($6:$1005)-5),664)),KotaKode,2,0),"-"),"")),"")</f>
        <v/>
      </c>
      <c r="L665" t="str">
        <f t="array" aca="1" ref="L665" ca="1">IFERROR(IF(OR(INDEX(checklistPesertaKemenkeu!$P$6:$P$1005,SMALL(IF(checklistPesertaKemenkeu!$AY$6:$AY$1005="Direkomendasikan",ROW($6:$1005)-5),664))="",INDEX(checklistPesertaKemenkeu!$J$6:$J$1005,SMALL(IF(checklistPesertaKemenkeu!$AY$6:$AY$1005="Direkomendasikan",ROW($6:$1005)-5),664))=""),"",IF(AND(COUNTIF(INDIRECT("K_"&amp;MATCH(INDEX(checklistPesertaKemenkeu!$J$6:$J$1005,SMALL(IF(checklistPesertaKemenkeu!$AY$6:$AY$1005="Direkomendasikan",ROW($6:$1005)-5),664)),BidangList,0)),INDEX(checklistPesertaKemenkeu!$P$6:$P$1005,SMALL(IF(checklistPesertaKemenkeu!$AY$6:$AY$1005="Direkomendasikan",ROW($6:$1005)-5),664)))&gt;0,COUNTIF(INDIRECT("'KERTAS KERJA'!K"&amp;(SMALL(IF(checklistPesertaKemenkeu!$AY$6:$AY$1005="Direkomendasikan",ROW($6:$1005)-5),664)+5)&amp;":O"&amp;(SMALL(IF(checklistPesertaKemenkeu!$AY$6:$AY$1005="Direkomendasikan",ROW($6:$1005)-5),664)+5)),INDEX(checklistPesertaKemenkeu!$P$6:$P$1005,SMALL(IF(checklistPesertaKemenkeu!$AY$6:$AY$1005="Direkomendasikan",ROW($6:$1005)-5),664)))=1),IFERROR(VLOOKUP(INDEX(checklistPesertaKemenkeu!$P$6:$P$1005,SMALL(IF(checklistPesertaKemenkeu!$AY$6:$AY$1005="Direkomendasikan",ROW($6:$1005)-5),664)),KotaKode,2,0),"-"),"")),"")</f>
        <v/>
      </c>
    </row>
    <row r="666" spans="1:12" ht="15" customHeight="1" x14ac:dyDescent="0.2">
      <c r="A666" t="str">
        <f t="shared" si="10"/>
        <v/>
      </c>
      <c r="B666" t="str">
        <v/>
      </c>
      <c r="C666" s="40" t="str">
        <f t="array" ref="C666">IFERROR(INDEX(checklistPesertaKemenkeu!$F$6:$F$1005,SMALL(IF(checklistPesertaKemenkeu!$AY$6:$AY$1005="Direkomendasikan",ROW($6:$1005)-5),665)),"")</f>
        <v/>
      </c>
      <c r="D666" t="str">
        <f t="array" ref="D666">IFERROR(INDEX(checklistPesertaKemenkeu!$G$6:$G$1005,SMALL(IF(checklistPesertaKemenkeu!$AY$6:$AY$1005="Direkomendasikan",ROW($6:$1005)-5),665)),"")</f>
        <v/>
      </c>
      <c r="E666" t="str">
        <f t="array" ref="E666">IFERROR(INDEX(checklistPesertaKemenkeu!$H$6:$H$1005,SMALL(IF(checklistPesertaKemenkeu!$AY$6:$AY$1005="Direkomendasikan",ROW($6:$1005)-5),665)),"")</f>
        <v/>
      </c>
      <c r="F666" t="str">
        <f t="array" ref="F666">IFERROR(INDEX(checklistPesertaKemenkeu!$I$6:$I$1005,SMALL(IF(checklistPesertaKemenkeu!$AY$6:$AY$1005="Direkomendasikan",ROW($6:$1005)-5),665)),"")</f>
        <v/>
      </c>
      <c r="G666" t="str">
        <f t="array" ref="G666">IFERROR(INDEX(checklistPesertaKemenkeu!$J$6:$J$1005,SMALL(IF(checklistPesertaKemenkeu!$AY$6:$AY$1005="Direkomendasikan",ROW($6:$1005)-5),665)),"")</f>
        <v/>
      </c>
      <c r="H666" t="str">
        <f t="array" aca="1" ref="H666" ca="1">IFERROR(IF(OR(INDEX(checklistPesertaKemenkeu!$L$6:$L$1005,SMALL(IF(checklistPesertaKemenkeu!$AY$6:$AY$1005="Direkomendasikan",ROW($6:$1005)-5),665))="",INDEX(checklistPesertaKemenkeu!$J$6:$J$1005,SMALL(IF(checklistPesertaKemenkeu!$AY$6:$AY$1005="Direkomendasikan",ROW($6:$1005)-5),665))=""),"",IF(AND(COUNTIF(INDIRECT("K_"&amp;MATCH(INDEX(checklistPesertaKemenkeu!$J$6:$J$1005,SMALL(IF(checklistPesertaKemenkeu!$AY$6:$AY$1005="Direkomendasikan",ROW($6:$1005)-5),665)),BidangList,0)),INDEX(checklistPesertaKemenkeu!$L$6:$L$1005,SMALL(IF(checklistPesertaKemenkeu!$AY$6:$AY$1005="Direkomendasikan",ROW($6:$1005)-5),665)))&gt;0,COUNTIF(INDIRECT("'KERTAS KERJA'!K"&amp;(SMALL(IF(checklistPesertaKemenkeu!$AY$6:$AY$1005="Direkomendasikan",ROW($6:$1005)-5),665)+5)&amp;":O"&amp;(SMALL(IF(checklistPesertaKemenkeu!$AY$6:$AY$1005="Direkomendasikan",ROW($6:$1005)-5),665)+5)),INDEX(checklistPesertaKemenkeu!$L$6:$L$1005,SMALL(IF(checklistPesertaKemenkeu!$AY$6:$AY$1005="Direkomendasikan",ROW($6:$1005)-5),665)))=1),IFERROR(VLOOKUP(INDEX(checklistPesertaKemenkeu!$L$6:$L$1005,SMALL(IF(checklistPesertaKemenkeu!$AY$6:$AY$1005="Direkomendasikan",ROW($6:$1005)-5),665)),KotaKode,2,0),"-"),"")),"")</f>
        <v/>
      </c>
      <c r="I666" t="str">
        <f t="array" aca="1" ref="I666" ca="1">IFERROR(IF(OR(INDEX(checklistPesertaKemenkeu!$M$6:$M$1005,SMALL(IF(checklistPesertaKemenkeu!$AY$6:$AY$1005="Direkomendasikan",ROW($6:$1005)-5),665))="",INDEX(checklistPesertaKemenkeu!$J$6:$J$1005,SMALL(IF(checklistPesertaKemenkeu!$AY$6:$AY$1005="Direkomendasikan",ROW($6:$1005)-5),665))=""),"",IF(AND(COUNTIF(INDIRECT("K_"&amp;MATCH(INDEX(checklistPesertaKemenkeu!$J$6:$J$1005,SMALL(IF(checklistPesertaKemenkeu!$AY$6:$AY$1005="Direkomendasikan",ROW($6:$1005)-5),665)),BidangList,0)),INDEX(checklistPesertaKemenkeu!$M$6:$M$1005,SMALL(IF(checklistPesertaKemenkeu!$AY$6:$AY$1005="Direkomendasikan",ROW($6:$1005)-5),665)))&gt;0,COUNTIF(INDIRECT("'KERTAS KERJA'!K"&amp;(SMALL(IF(checklistPesertaKemenkeu!$AY$6:$AY$1005="Direkomendasikan",ROW($6:$1005)-5),665)+5)&amp;":O"&amp;(SMALL(IF(checklistPesertaKemenkeu!$AY$6:$AY$1005="Direkomendasikan",ROW($6:$1005)-5),665)+5)),INDEX(checklistPesertaKemenkeu!$M$6:$M$1005,SMALL(IF(checklistPesertaKemenkeu!$AY$6:$AY$1005="Direkomendasikan",ROW($6:$1005)-5),665)))=1),IFERROR(VLOOKUP(INDEX(checklistPesertaKemenkeu!$M$6:$M$1005,SMALL(IF(checklistPesertaKemenkeu!$AY$6:$AY$1005="Direkomendasikan",ROW($6:$1005)-5),665)),KotaKode,2,0),"-"),"")),"")</f>
        <v/>
      </c>
      <c r="J666" t="str">
        <f t="array" aca="1" ref="J666" ca="1">IFERROR(IF(OR(INDEX(checklistPesertaKemenkeu!$N$6:$N$1005,SMALL(IF(checklistPesertaKemenkeu!$AY$6:$AY$1005="Direkomendasikan",ROW($6:$1005)-5),665))="",INDEX(checklistPesertaKemenkeu!$J$6:$J$1005,SMALL(IF(checklistPesertaKemenkeu!$AY$6:$AY$1005="Direkomendasikan",ROW($6:$1005)-5),665))=""),"",IF(AND(COUNTIF(INDIRECT("K_"&amp;MATCH(INDEX(checklistPesertaKemenkeu!$J$6:$J$1005,SMALL(IF(checklistPesertaKemenkeu!$AY$6:$AY$1005="Direkomendasikan",ROW($6:$1005)-5),665)),BidangList,0)),INDEX(checklistPesertaKemenkeu!$N$6:$N$1005,SMALL(IF(checklistPesertaKemenkeu!$AY$6:$AY$1005="Direkomendasikan",ROW($6:$1005)-5),665)))&gt;0,COUNTIF(INDIRECT("'KERTAS KERJA'!K"&amp;(SMALL(IF(checklistPesertaKemenkeu!$AY$6:$AY$1005="Direkomendasikan",ROW($6:$1005)-5),665)+5)&amp;":O"&amp;(SMALL(IF(checklistPesertaKemenkeu!$AY$6:$AY$1005="Direkomendasikan",ROW($6:$1005)-5),665)+5)),INDEX(checklistPesertaKemenkeu!$N$6:$N$1005,SMALL(IF(checklistPesertaKemenkeu!$AY$6:$AY$1005="Direkomendasikan",ROW($6:$1005)-5),665)))=1),IFERROR(VLOOKUP(INDEX(checklistPesertaKemenkeu!$N$6:$N$1005,SMALL(IF(checklistPesertaKemenkeu!$AY$6:$AY$1005="Direkomendasikan",ROW($6:$1005)-5),665)),KotaKode,2,0),"-"),"")),"")</f>
        <v/>
      </c>
      <c r="K666" t="str">
        <f t="array" aca="1" ref="K666" ca="1">IFERROR(IF(OR(INDEX(checklistPesertaKemenkeu!$O$6:$O$1005,SMALL(IF(checklistPesertaKemenkeu!$AY$6:$AY$1005="Direkomendasikan",ROW($6:$1005)-5),665))="",INDEX(checklistPesertaKemenkeu!$J$6:$J$1005,SMALL(IF(checklistPesertaKemenkeu!$AY$6:$AY$1005="Direkomendasikan",ROW($6:$1005)-5),665))=""),"",IF(AND(COUNTIF(INDIRECT("K_"&amp;MATCH(INDEX(checklistPesertaKemenkeu!$J$6:$J$1005,SMALL(IF(checklistPesertaKemenkeu!$AY$6:$AY$1005="Direkomendasikan",ROW($6:$1005)-5),665)),BidangList,0)),INDEX(checklistPesertaKemenkeu!$O$6:$O$1005,SMALL(IF(checklistPesertaKemenkeu!$AY$6:$AY$1005="Direkomendasikan",ROW($6:$1005)-5),665)))&gt;0,COUNTIF(INDIRECT("'KERTAS KERJA'!K"&amp;(SMALL(IF(checklistPesertaKemenkeu!$AY$6:$AY$1005="Direkomendasikan",ROW($6:$1005)-5),665)+5)&amp;":O"&amp;(SMALL(IF(checklistPesertaKemenkeu!$AY$6:$AY$1005="Direkomendasikan",ROW($6:$1005)-5),665)+5)),INDEX(checklistPesertaKemenkeu!$O$6:$O$1005,SMALL(IF(checklistPesertaKemenkeu!$AY$6:$AY$1005="Direkomendasikan",ROW($6:$1005)-5),665)))=1),IFERROR(VLOOKUP(INDEX(checklistPesertaKemenkeu!$O$6:$O$1005,SMALL(IF(checklistPesertaKemenkeu!$AY$6:$AY$1005="Direkomendasikan",ROW($6:$1005)-5),665)),KotaKode,2,0),"-"),"")),"")</f>
        <v/>
      </c>
      <c r="L666" t="str">
        <f t="array" aca="1" ref="L666" ca="1">IFERROR(IF(OR(INDEX(checklistPesertaKemenkeu!$P$6:$P$1005,SMALL(IF(checklistPesertaKemenkeu!$AY$6:$AY$1005="Direkomendasikan",ROW($6:$1005)-5),665))="",INDEX(checklistPesertaKemenkeu!$J$6:$J$1005,SMALL(IF(checklistPesertaKemenkeu!$AY$6:$AY$1005="Direkomendasikan",ROW($6:$1005)-5),665))=""),"",IF(AND(COUNTIF(INDIRECT("K_"&amp;MATCH(INDEX(checklistPesertaKemenkeu!$J$6:$J$1005,SMALL(IF(checklistPesertaKemenkeu!$AY$6:$AY$1005="Direkomendasikan",ROW($6:$1005)-5),665)),BidangList,0)),INDEX(checklistPesertaKemenkeu!$P$6:$P$1005,SMALL(IF(checklistPesertaKemenkeu!$AY$6:$AY$1005="Direkomendasikan",ROW($6:$1005)-5),665)))&gt;0,COUNTIF(INDIRECT("'KERTAS KERJA'!K"&amp;(SMALL(IF(checklistPesertaKemenkeu!$AY$6:$AY$1005="Direkomendasikan",ROW($6:$1005)-5),665)+5)&amp;":O"&amp;(SMALL(IF(checklistPesertaKemenkeu!$AY$6:$AY$1005="Direkomendasikan",ROW($6:$1005)-5),665)+5)),INDEX(checklistPesertaKemenkeu!$P$6:$P$1005,SMALL(IF(checklistPesertaKemenkeu!$AY$6:$AY$1005="Direkomendasikan",ROW($6:$1005)-5),665)))=1),IFERROR(VLOOKUP(INDEX(checklistPesertaKemenkeu!$P$6:$P$1005,SMALL(IF(checklistPesertaKemenkeu!$AY$6:$AY$1005="Direkomendasikan",ROW($6:$1005)-5),665)),KotaKode,2,0),"-"),"")),"")</f>
        <v/>
      </c>
    </row>
    <row r="667" spans="1:12" ht="15" customHeight="1" x14ac:dyDescent="0.2">
      <c r="A667" t="str">
        <f t="shared" si="10"/>
        <v/>
      </c>
      <c r="B667" t="str">
        <v/>
      </c>
      <c r="C667" s="40" t="str">
        <f t="array" ref="C667">IFERROR(INDEX(checklistPesertaKemenkeu!$F$6:$F$1005,SMALL(IF(checklistPesertaKemenkeu!$AY$6:$AY$1005="Direkomendasikan",ROW($6:$1005)-5),666)),"")</f>
        <v/>
      </c>
      <c r="D667" t="str">
        <f t="array" ref="D667">IFERROR(INDEX(checklistPesertaKemenkeu!$G$6:$G$1005,SMALL(IF(checklistPesertaKemenkeu!$AY$6:$AY$1005="Direkomendasikan",ROW($6:$1005)-5),666)),"")</f>
        <v/>
      </c>
      <c r="E667" t="str">
        <f t="array" ref="E667">IFERROR(INDEX(checklistPesertaKemenkeu!$H$6:$H$1005,SMALL(IF(checklistPesertaKemenkeu!$AY$6:$AY$1005="Direkomendasikan",ROW($6:$1005)-5),666)),"")</f>
        <v/>
      </c>
      <c r="F667" t="str">
        <f t="array" ref="F667">IFERROR(INDEX(checklistPesertaKemenkeu!$I$6:$I$1005,SMALL(IF(checklistPesertaKemenkeu!$AY$6:$AY$1005="Direkomendasikan",ROW($6:$1005)-5),666)),"")</f>
        <v/>
      </c>
      <c r="G667" t="str">
        <f t="array" ref="G667">IFERROR(INDEX(checklistPesertaKemenkeu!$J$6:$J$1005,SMALL(IF(checklistPesertaKemenkeu!$AY$6:$AY$1005="Direkomendasikan",ROW($6:$1005)-5),666)),"")</f>
        <v/>
      </c>
      <c r="H667" t="str">
        <f t="array" aca="1" ref="H667" ca="1">IFERROR(IF(OR(INDEX(checklistPesertaKemenkeu!$L$6:$L$1005,SMALL(IF(checklistPesertaKemenkeu!$AY$6:$AY$1005="Direkomendasikan",ROW($6:$1005)-5),666))="",INDEX(checklistPesertaKemenkeu!$J$6:$J$1005,SMALL(IF(checklistPesertaKemenkeu!$AY$6:$AY$1005="Direkomendasikan",ROW($6:$1005)-5),666))=""),"",IF(AND(COUNTIF(INDIRECT("K_"&amp;MATCH(INDEX(checklistPesertaKemenkeu!$J$6:$J$1005,SMALL(IF(checklistPesertaKemenkeu!$AY$6:$AY$1005="Direkomendasikan",ROW($6:$1005)-5),666)),BidangList,0)),INDEX(checklistPesertaKemenkeu!$L$6:$L$1005,SMALL(IF(checklistPesertaKemenkeu!$AY$6:$AY$1005="Direkomendasikan",ROW($6:$1005)-5),666)))&gt;0,COUNTIF(INDIRECT("'KERTAS KERJA'!K"&amp;(SMALL(IF(checklistPesertaKemenkeu!$AY$6:$AY$1005="Direkomendasikan",ROW($6:$1005)-5),666)+5)&amp;":O"&amp;(SMALL(IF(checklistPesertaKemenkeu!$AY$6:$AY$1005="Direkomendasikan",ROW($6:$1005)-5),666)+5)),INDEX(checklistPesertaKemenkeu!$L$6:$L$1005,SMALL(IF(checklistPesertaKemenkeu!$AY$6:$AY$1005="Direkomendasikan",ROW($6:$1005)-5),666)))=1),IFERROR(VLOOKUP(INDEX(checklistPesertaKemenkeu!$L$6:$L$1005,SMALL(IF(checklistPesertaKemenkeu!$AY$6:$AY$1005="Direkomendasikan",ROW($6:$1005)-5),666)),KotaKode,2,0),"-"),"")),"")</f>
        <v/>
      </c>
      <c r="I667" t="str">
        <f t="array" aca="1" ref="I667" ca="1">IFERROR(IF(OR(INDEX(checklistPesertaKemenkeu!$M$6:$M$1005,SMALL(IF(checklistPesertaKemenkeu!$AY$6:$AY$1005="Direkomendasikan",ROW($6:$1005)-5),666))="",INDEX(checklistPesertaKemenkeu!$J$6:$J$1005,SMALL(IF(checklistPesertaKemenkeu!$AY$6:$AY$1005="Direkomendasikan",ROW($6:$1005)-5),666))=""),"",IF(AND(COUNTIF(INDIRECT("K_"&amp;MATCH(INDEX(checklistPesertaKemenkeu!$J$6:$J$1005,SMALL(IF(checklistPesertaKemenkeu!$AY$6:$AY$1005="Direkomendasikan",ROW($6:$1005)-5),666)),BidangList,0)),INDEX(checklistPesertaKemenkeu!$M$6:$M$1005,SMALL(IF(checklistPesertaKemenkeu!$AY$6:$AY$1005="Direkomendasikan",ROW($6:$1005)-5),666)))&gt;0,COUNTIF(INDIRECT("'KERTAS KERJA'!K"&amp;(SMALL(IF(checklistPesertaKemenkeu!$AY$6:$AY$1005="Direkomendasikan",ROW($6:$1005)-5),666)+5)&amp;":O"&amp;(SMALL(IF(checklistPesertaKemenkeu!$AY$6:$AY$1005="Direkomendasikan",ROW($6:$1005)-5),666)+5)),INDEX(checklistPesertaKemenkeu!$M$6:$M$1005,SMALL(IF(checklistPesertaKemenkeu!$AY$6:$AY$1005="Direkomendasikan",ROW($6:$1005)-5),666)))=1),IFERROR(VLOOKUP(INDEX(checklistPesertaKemenkeu!$M$6:$M$1005,SMALL(IF(checklistPesertaKemenkeu!$AY$6:$AY$1005="Direkomendasikan",ROW($6:$1005)-5),666)),KotaKode,2,0),"-"),"")),"")</f>
        <v/>
      </c>
      <c r="J667" t="str">
        <f t="array" aca="1" ref="J667" ca="1">IFERROR(IF(OR(INDEX(checklistPesertaKemenkeu!$N$6:$N$1005,SMALL(IF(checklistPesertaKemenkeu!$AY$6:$AY$1005="Direkomendasikan",ROW($6:$1005)-5),666))="",INDEX(checklistPesertaKemenkeu!$J$6:$J$1005,SMALL(IF(checklistPesertaKemenkeu!$AY$6:$AY$1005="Direkomendasikan",ROW($6:$1005)-5),666))=""),"",IF(AND(COUNTIF(INDIRECT("K_"&amp;MATCH(INDEX(checklistPesertaKemenkeu!$J$6:$J$1005,SMALL(IF(checklistPesertaKemenkeu!$AY$6:$AY$1005="Direkomendasikan",ROW($6:$1005)-5),666)),BidangList,0)),INDEX(checklistPesertaKemenkeu!$N$6:$N$1005,SMALL(IF(checklistPesertaKemenkeu!$AY$6:$AY$1005="Direkomendasikan",ROW($6:$1005)-5),666)))&gt;0,COUNTIF(INDIRECT("'KERTAS KERJA'!K"&amp;(SMALL(IF(checklistPesertaKemenkeu!$AY$6:$AY$1005="Direkomendasikan",ROW($6:$1005)-5),666)+5)&amp;":O"&amp;(SMALL(IF(checklistPesertaKemenkeu!$AY$6:$AY$1005="Direkomendasikan",ROW($6:$1005)-5),666)+5)),INDEX(checklistPesertaKemenkeu!$N$6:$N$1005,SMALL(IF(checklistPesertaKemenkeu!$AY$6:$AY$1005="Direkomendasikan",ROW($6:$1005)-5),666)))=1),IFERROR(VLOOKUP(INDEX(checklistPesertaKemenkeu!$N$6:$N$1005,SMALL(IF(checklistPesertaKemenkeu!$AY$6:$AY$1005="Direkomendasikan",ROW($6:$1005)-5),666)),KotaKode,2,0),"-"),"")),"")</f>
        <v/>
      </c>
      <c r="K667" t="str">
        <f t="array" aca="1" ref="K667" ca="1">IFERROR(IF(OR(INDEX(checklistPesertaKemenkeu!$O$6:$O$1005,SMALL(IF(checklistPesertaKemenkeu!$AY$6:$AY$1005="Direkomendasikan",ROW($6:$1005)-5),666))="",INDEX(checklistPesertaKemenkeu!$J$6:$J$1005,SMALL(IF(checklistPesertaKemenkeu!$AY$6:$AY$1005="Direkomendasikan",ROW($6:$1005)-5),666))=""),"",IF(AND(COUNTIF(INDIRECT("K_"&amp;MATCH(INDEX(checklistPesertaKemenkeu!$J$6:$J$1005,SMALL(IF(checklistPesertaKemenkeu!$AY$6:$AY$1005="Direkomendasikan",ROW($6:$1005)-5),666)),BidangList,0)),INDEX(checklistPesertaKemenkeu!$O$6:$O$1005,SMALL(IF(checklistPesertaKemenkeu!$AY$6:$AY$1005="Direkomendasikan",ROW($6:$1005)-5),666)))&gt;0,COUNTIF(INDIRECT("'KERTAS KERJA'!K"&amp;(SMALL(IF(checklistPesertaKemenkeu!$AY$6:$AY$1005="Direkomendasikan",ROW($6:$1005)-5),666)+5)&amp;":O"&amp;(SMALL(IF(checklistPesertaKemenkeu!$AY$6:$AY$1005="Direkomendasikan",ROW($6:$1005)-5),666)+5)),INDEX(checklistPesertaKemenkeu!$O$6:$O$1005,SMALL(IF(checklistPesertaKemenkeu!$AY$6:$AY$1005="Direkomendasikan",ROW($6:$1005)-5),666)))=1),IFERROR(VLOOKUP(INDEX(checklistPesertaKemenkeu!$O$6:$O$1005,SMALL(IF(checklistPesertaKemenkeu!$AY$6:$AY$1005="Direkomendasikan",ROW($6:$1005)-5),666)),KotaKode,2,0),"-"),"")),"")</f>
        <v/>
      </c>
      <c r="L667" t="str">
        <f t="array" aca="1" ref="L667" ca="1">IFERROR(IF(OR(INDEX(checklistPesertaKemenkeu!$P$6:$P$1005,SMALL(IF(checklistPesertaKemenkeu!$AY$6:$AY$1005="Direkomendasikan",ROW($6:$1005)-5),666))="",INDEX(checklistPesertaKemenkeu!$J$6:$J$1005,SMALL(IF(checklistPesertaKemenkeu!$AY$6:$AY$1005="Direkomendasikan",ROW($6:$1005)-5),666))=""),"",IF(AND(COUNTIF(INDIRECT("K_"&amp;MATCH(INDEX(checklistPesertaKemenkeu!$J$6:$J$1005,SMALL(IF(checklistPesertaKemenkeu!$AY$6:$AY$1005="Direkomendasikan",ROW($6:$1005)-5),666)),BidangList,0)),INDEX(checklistPesertaKemenkeu!$P$6:$P$1005,SMALL(IF(checklistPesertaKemenkeu!$AY$6:$AY$1005="Direkomendasikan",ROW($6:$1005)-5),666)))&gt;0,COUNTIF(INDIRECT("'KERTAS KERJA'!K"&amp;(SMALL(IF(checklistPesertaKemenkeu!$AY$6:$AY$1005="Direkomendasikan",ROW($6:$1005)-5),666)+5)&amp;":O"&amp;(SMALL(IF(checklistPesertaKemenkeu!$AY$6:$AY$1005="Direkomendasikan",ROW($6:$1005)-5),666)+5)),INDEX(checklistPesertaKemenkeu!$P$6:$P$1005,SMALL(IF(checklistPesertaKemenkeu!$AY$6:$AY$1005="Direkomendasikan",ROW($6:$1005)-5),666)))=1),IFERROR(VLOOKUP(INDEX(checklistPesertaKemenkeu!$P$6:$P$1005,SMALL(IF(checklistPesertaKemenkeu!$AY$6:$AY$1005="Direkomendasikan",ROW($6:$1005)-5),666)),KotaKode,2,0),"-"),"")),"")</f>
        <v/>
      </c>
    </row>
    <row r="668" spans="1:12" ht="15" customHeight="1" x14ac:dyDescent="0.2">
      <c r="A668" t="str">
        <f t="shared" si="10"/>
        <v/>
      </c>
      <c r="B668" t="str">
        <v/>
      </c>
      <c r="C668" s="40" t="str">
        <f t="array" ref="C668">IFERROR(INDEX(checklistPesertaKemenkeu!$F$6:$F$1005,SMALL(IF(checklistPesertaKemenkeu!$AY$6:$AY$1005="Direkomendasikan",ROW($6:$1005)-5),667)),"")</f>
        <v/>
      </c>
      <c r="D668" t="str">
        <f t="array" ref="D668">IFERROR(INDEX(checklistPesertaKemenkeu!$G$6:$G$1005,SMALL(IF(checklistPesertaKemenkeu!$AY$6:$AY$1005="Direkomendasikan",ROW($6:$1005)-5),667)),"")</f>
        <v/>
      </c>
      <c r="E668" t="str">
        <f t="array" ref="E668">IFERROR(INDEX(checklistPesertaKemenkeu!$H$6:$H$1005,SMALL(IF(checklistPesertaKemenkeu!$AY$6:$AY$1005="Direkomendasikan",ROW($6:$1005)-5),667)),"")</f>
        <v/>
      </c>
      <c r="F668" t="str">
        <f t="array" ref="F668">IFERROR(INDEX(checklistPesertaKemenkeu!$I$6:$I$1005,SMALL(IF(checklistPesertaKemenkeu!$AY$6:$AY$1005="Direkomendasikan",ROW($6:$1005)-5),667)),"")</f>
        <v/>
      </c>
      <c r="G668" t="str">
        <f t="array" ref="G668">IFERROR(INDEX(checklistPesertaKemenkeu!$J$6:$J$1005,SMALL(IF(checklistPesertaKemenkeu!$AY$6:$AY$1005="Direkomendasikan",ROW($6:$1005)-5),667)),"")</f>
        <v/>
      </c>
      <c r="H668" t="str">
        <f t="array" aca="1" ref="H668" ca="1">IFERROR(IF(OR(INDEX(checklistPesertaKemenkeu!$L$6:$L$1005,SMALL(IF(checklistPesertaKemenkeu!$AY$6:$AY$1005="Direkomendasikan",ROW($6:$1005)-5),667))="",INDEX(checklistPesertaKemenkeu!$J$6:$J$1005,SMALL(IF(checklistPesertaKemenkeu!$AY$6:$AY$1005="Direkomendasikan",ROW($6:$1005)-5),667))=""),"",IF(AND(COUNTIF(INDIRECT("K_"&amp;MATCH(INDEX(checklistPesertaKemenkeu!$J$6:$J$1005,SMALL(IF(checklistPesertaKemenkeu!$AY$6:$AY$1005="Direkomendasikan",ROW($6:$1005)-5),667)),BidangList,0)),INDEX(checklistPesertaKemenkeu!$L$6:$L$1005,SMALL(IF(checklistPesertaKemenkeu!$AY$6:$AY$1005="Direkomendasikan",ROW($6:$1005)-5),667)))&gt;0,COUNTIF(INDIRECT("'KERTAS KERJA'!K"&amp;(SMALL(IF(checklistPesertaKemenkeu!$AY$6:$AY$1005="Direkomendasikan",ROW($6:$1005)-5),667)+5)&amp;":O"&amp;(SMALL(IF(checklistPesertaKemenkeu!$AY$6:$AY$1005="Direkomendasikan",ROW($6:$1005)-5),667)+5)),INDEX(checklistPesertaKemenkeu!$L$6:$L$1005,SMALL(IF(checklistPesertaKemenkeu!$AY$6:$AY$1005="Direkomendasikan",ROW($6:$1005)-5),667)))=1),IFERROR(VLOOKUP(INDEX(checklistPesertaKemenkeu!$L$6:$L$1005,SMALL(IF(checklistPesertaKemenkeu!$AY$6:$AY$1005="Direkomendasikan",ROW($6:$1005)-5),667)),KotaKode,2,0),"-"),"")),"")</f>
        <v/>
      </c>
      <c r="I668" t="str">
        <f t="array" aca="1" ref="I668" ca="1">IFERROR(IF(OR(INDEX(checklistPesertaKemenkeu!$M$6:$M$1005,SMALL(IF(checklistPesertaKemenkeu!$AY$6:$AY$1005="Direkomendasikan",ROW($6:$1005)-5),667))="",INDEX(checklistPesertaKemenkeu!$J$6:$J$1005,SMALL(IF(checklistPesertaKemenkeu!$AY$6:$AY$1005="Direkomendasikan",ROW($6:$1005)-5),667))=""),"",IF(AND(COUNTIF(INDIRECT("K_"&amp;MATCH(INDEX(checklistPesertaKemenkeu!$J$6:$J$1005,SMALL(IF(checklistPesertaKemenkeu!$AY$6:$AY$1005="Direkomendasikan",ROW($6:$1005)-5),667)),BidangList,0)),INDEX(checklistPesertaKemenkeu!$M$6:$M$1005,SMALL(IF(checklistPesertaKemenkeu!$AY$6:$AY$1005="Direkomendasikan",ROW($6:$1005)-5),667)))&gt;0,COUNTIF(INDIRECT("'KERTAS KERJA'!K"&amp;(SMALL(IF(checklistPesertaKemenkeu!$AY$6:$AY$1005="Direkomendasikan",ROW($6:$1005)-5),667)+5)&amp;":O"&amp;(SMALL(IF(checklistPesertaKemenkeu!$AY$6:$AY$1005="Direkomendasikan",ROW($6:$1005)-5),667)+5)),INDEX(checklistPesertaKemenkeu!$M$6:$M$1005,SMALL(IF(checklistPesertaKemenkeu!$AY$6:$AY$1005="Direkomendasikan",ROW($6:$1005)-5),667)))=1),IFERROR(VLOOKUP(INDEX(checklistPesertaKemenkeu!$M$6:$M$1005,SMALL(IF(checklistPesertaKemenkeu!$AY$6:$AY$1005="Direkomendasikan",ROW($6:$1005)-5),667)),KotaKode,2,0),"-"),"")),"")</f>
        <v/>
      </c>
      <c r="J668" t="str">
        <f t="array" aca="1" ref="J668" ca="1">IFERROR(IF(OR(INDEX(checklistPesertaKemenkeu!$N$6:$N$1005,SMALL(IF(checklistPesertaKemenkeu!$AY$6:$AY$1005="Direkomendasikan",ROW($6:$1005)-5),667))="",INDEX(checklistPesertaKemenkeu!$J$6:$J$1005,SMALL(IF(checklistPesertaKemenkeu!$AY$6:$AY$1005="Direkomendasikan",ROW($6:$1005)-5),667))=""),"",IF(AND(COUNTIF(INDIRECT("K_"&amp;MATCH(INDEX(checklistPesertaKemenkeu!$J$6:$J$1005,SMALL(IF(checklistPesertaKemenkeu!$AY$6:$AY$1005="Direkomendasikan",ROW($6:$1005)-5),667)),BidangList,0)),INDEX(checklistPesertaKemenkeu!$N$6:$N$1005,SMALL(IF(checklistPesertaKemenkeu!$AY$6:$AY$1005="Direkomendasikan",ROW($6:$1005)-5),667)))&gt;0,COUNTIF(INDIRECT("'KERTAS KERJA'!K"&amp;(SMALL(IF(checklistPesertaKemenkeu!$AY$6:$AY$1005="Direkomendasikan",ROW($6:$1005)-5),667)+5)&amp;":O"&amp;(SMALL(IF(checklistPesertaKemenkeu!$AY$6:$AY$1005="Direkomendasikan",ROW($6:$1005)-5),667)+5)),INDEX(checklistPesertaKemenkeu!$N$6:$N$1005,SMALL(IF(checklistPesertaKemenkeu!$AY$6:$AY$1005="Direkomendasikan",ROW($6:$1005)-5),667)))=1),IFERROR(VLOOKUP(INDEX(checklistPesertaKemenkeu!$N$6:$N$1005,SMALL(IF(checklistPesertaKemenkeu!$AY$6:$AY$1005="Direkomendasikan",ROW($6:$1005)-5),667)),KotaKode,2,0),"-"),"")),"")</f>
        <v/>
      </c>
      <c r="K668" t="str">
        <f t="array" aca="1" ref="K668" ca="1">IFERROR(IF(OR(INDEX(checklistPesertaKemenkeu!$O$6:$O$1005,SMALL(IF(checklistPesertaKemenkeu!$AY$6:$AY$1005="Direkomendasikan",ROW($6:$1005)-5),667))="",INDEX(checklistPesertaKemenkeu!$J$6:$J$1005,SMALL(IF(checklistPesertaKemenkeu!$AY$6:$AY$1005="Direkomendasikan",ROW($6:$1005)-5),667))=""),"",IF(AND(COUNTIF(INDIRECT("K_"&amp;MATCH(INDEX(checklistPesertaKemenkeu!$J$6:$J$1005,SMALL(IF(checklistPesertaKemenkeu!$AY$6:$AY$1005="Direkomendasikan",ROW($6:$1005)-5),667)),BidangList,0)),INDEX(checklistPesertaKemenkeu!$O$6:$O$1005,SMALL(IF(checklistPesertaKemenkeu!$AY$6:$AY$1005="Direkomendasikan",ROW($6:$1005)-5),667)))&gt;0,COUNTIF(INDIRECT("'KERTAS KERJA'!K"&amp;(SMALL(IF(checklistPesertaKemenkeu!$AY$6:$AY$1005="Direkomendasikan",ROW($6:$1005)-5),667)+5)&amp;":O"&amp;(SMALL(IF(checklistPesertaKemenkeu!$AY$6:$AY$1005="Direkomendasikan",ROW($6:$1005)-5),667)+5)),INDEX(checklistPesertaKemenkeu!$O$6:$O$1005,SMALL(IF(checklistPesertaKemenkeu!$AY$6:$AY$1005="Direkomendasikan",ROW($6:$1005)-5),667)))=1),IFERROR(VLOOKUP(INDEX(checklistPesertaKemenkeu!$O$6:$O$1005,SMALL(IF(checklistPesertaKemenkeu!$AY$6:$AY$1005="Direkomendasikan",ROW($6:$1005)-5),667)),KotaKode,2,0),"-"),"")),"")</f>
        <v/>
      </c>
      <c r="L668" t="str">
        <f t="array" aca="1" ref="L668" ca="1">IFERROR(IF(OR(INDEX(checklistPesertaKemenkeu!$P$6:$P$1005,SMALL(IF(checklistPesertaKemenkeu!$AY$6:$AY$1005="Direkomendasikan",ROW($6:$1005)-5),667))="",INDEX(checklistPesertaKemenkeu!$J$6:$J$1005,SMALL(IF(checklistPesertaKemenkeu!$AY$6:$AY$1005="Direkomendasikan",ROW($6:$1005)-5),667))=""),"",IF(AND(COUNTIF(INDIRECT("K_"&amp;MATCH(INDEX(checklistPesertaKemenkeu!$J$6:$J$1005,SMALL(IF(checklistPesertaKemenkeu!$AY$6:$AY$1005="Direkomendasikan",ROW($6:$1005)-5),667)),BidangList,0)),INDEX(checklistPesertaKemenkeu!$P$6:$P$1005,SMALL(IF(checklistPesertaKemenkeu!$AY$6:$AY$1005="Direkomendasikan",ROW($6:$1005)-5),667)))&gt;0,COUNTIF(INDIRECT("'KERTAS KERJA'!K"&amp;(SMALL(IF(checklistPesertaKemenkeu!$AY$6:$AY$1005="Direkomendasikan",ROW($6:$1005)-5),667)+5)&amp;":O"&amp;(SMALL(IF(checklistPesertaKemenkeu!$AY$6:$AY$1005="Direkomendasikan",ROW($6:$1005)-5),667)+5)),INDEX(checklistPesertaKemenkeu!$P$6:$P$1005,SMALL(IF(checklistPesertaKemenkeu!$AY$6:$AY$1005="Direkomendasikan",ROW($6:$1005)-5),667)))=1),IFERROR(VLOOKUP(INDEX(checklistPesertaKemenkeu!$P$6:$P$1005,SMALL(IF(checklistPesertaKemenkeu!$AY$6:$AY$1005="Direkomendasikan",ROW($6:$1005)-5),667)),KotaKode,2,0),"-"),"")),"")</f>
        <v/>
      </c>
    </row>
    <row r="669" spans="1:12" ht="15" customHeight="1" x14ac:dyDescent="0.2">
      <c r="A669" t="str">
        <f t="shared" si="10"/>
        <v/>
      </c>
      <c r="B669" t="str">
        <v/>
      </c>
      <c r="C669" s="40" t="str">
        <f t="array" ref="C669">IFERROR(INDEX(checklistPesertaKemenkeu!$F$6:$F$1005,SMALL(IF(checklistPesertaKemenkeu!$AY$6:$AY$1005="Direkomendasikan",ROW($6:$1005)-5),668)),"")</f>
        <v/>
      </c>
      <c r="D669" t="str">
        <f t="array" ref="D669">IFERROR(INDEX(checklistPesertaKemenkeu!$G$6:$G$1005,SMALL(IF(checklistPesertaKemenkeu!$AY$6:$AY$1005="Direkomendasikan",ROW($6:$1005)-5),668)),"")</f>
        <v/>
      </c>
      <c r="E669" t="str">
        <f t="array" ref="E669">IFERROR(INDEX(checklistPesertaKemenkeu!$H$6:$H$1005,SMALL(IF(checklistPesertaKemenkeu!$AY$6:$AY$1005="Direkomendasikan",ROW($6:$1005)-5),668)),"")</f>
        <v/>
      </c>
      <c r="F669" t="str">
        <f t="array" ref="F669">IFERROR(INDEX(checklistPesertaKemenkeu!$I$6:$I$1005,SMALL(IF(checklistPesertaKemenkeu!$AY$6:$AY$1005="Direkomendasikan",ROW($6:$1005)-5),668)),"")</f>
        <v/>
      </c>
      <c r="G669" t="str">
        <f t="array" ref="G669">IFERROR(INDEX(checklistPesertaKemenkeu!$J$6:$J$1005,SMALL(IF(checklistPesertaKemenkeu!$AY$6:$AY$1005="Direkomendasikan",ROW($6:$1005)-5),668)),"")</f>
        <v/>
      </c>
      <c r="H669" t="str">
        <f t="array" aca="1" ref="H669" ca="1">IFERROR(IF(OR(INDEX(checklistPesertaKemenkeu!$L$6:$L$1005,SMALL(IF(checklistPesertaKemenkeu!$AY$6:$AY$1005="Direkomendasikan",ROW($6:$1005)-5),668))="",INDEX(checklistPesertaKemenkeu!$J$6:$J$1005,SMALL(IF(checklistPesertaKemenkeu!$AY$6:$AY$1005="Direkomendasikan",ROW($6:$1005)-5),668))=""),"",IF(AND(COUNTIF(INDIRECT("K_"&amp;MATCH(INDEX(checklistPesertaKemenkeu!$J$6:$J$1005,SMALL(IF(checklistPesertaKemenkeu!$AY$6:$AY$1005="Direkomendasikan",ROW($6:$1005)-5),668)),BidangList,0)),INDEX(checklistPesertaKemenkeu!$L$6:$L$1005,SMALL(IF(checklistPesertaKemenkeu!$AY$6:$AY$1005="Direkomendasikan",ROW($6:$1005)-5),668)))&gt;0,COUNTIF(INDIRECT("'KERTAS KERJA'!K"&amp;(SMALL(IF(checklistPesertaKemenkeu!$AY$6:$AY$1005="Direkomendasikan",ROW($6:$1005)-5),668)+5)&amp;":O"&amp;(SMALL(IF(checklistPesertaKemenkeu!$AY$6:$AY$1005="Direkomendasikan",ROW($6:$1005)-5),668)+5)),INDEX(checklistPesertaKemenkeu!$L$6:$L$1005,SMALL(IF(checklistPesertaKemenkeu!$AY$6:$AY$1005="Direkomendasikan",ROW($6:$1005)-5),668)))=1),IFERROR(VLOOKUP(INDEX(checklistPesertaKemenkeu!$L$6:$L$1005,SMALL(IF(checklistPesertaKemenkeu!$AY$6:$AY$1005="Direkomendasikan",ROW($6:$1005)-5),668)),KotaKode,2,0),"-"),"")),"")</f>
        <v/>
      </c>
      <c r="I669" t="str">
        <f t="array" aca="1" ref="I669" ca="1">IFERROR(IF(OR(INDEX(checklistPesertaKemenkeu!$M$6:$M$1005,SMALL(IF(checklistPesertaKemenkeu!$AY$6:$AY$1005="Direkomendasikan",ROW($6:$1005)-5),668))="",INDEX(checklistPesertaKemenkeu!$J$6:$J$1005,SMALL(IF(checklistPesertaKemenkeu!$AY$6:$AY$1005="Direkomendasikan",ROW($6:$1005)-5),668))=""),"",IF(AND(COUNTIF(INDIRECT("K_"&amp;MATCH(INDEX(checklistPesertaKemenkeu!$J$6:$J$1005,SMALL(IF(checklistPesertaKemenkeu!$AY$6:$AY$1005="Direkomendasikan",ROW($6:$1005)-5),668)),BidangList,0)),INDEX(checklistPesertaKemenkeu!$M$6:$M$1005,SMALL(IF(checklistPesertaKemenkeu!$AY$6:$AY$1005="Direkomendasikan",ROW($6:$1005)-5),668)))&gt;0,COUNTIF(INDIRECT("'KERTAS KERJA'!K"&amp;(SMALL(IF(checklistPesertaKemenkeu!$AY$6:$AY$1005="Direkomendasikan",ROW($6:$1005)-5),668)+5)&amp;":O"&amp;(SMALL(IF(checklistPesertaKemenkeu!$AY$6:$AY$1005="Direkomendasikan",ROW($6:$1005)-5),668)+5)),INDEX(checklistPesertaKemenkeu!$M$6:$M$1005,SMALL(IF(checklistPesertaKemenkeu!$AY$6:$AY$1005="Direkomendasikan",ROW($6:$1005)-5),668)))=1),IFERROR(VLOOKUP(INDEX(checklistPesertaKemenkeu!$M$6:$M$1005,SMALL(IF(checklistPesertaKemenkeu!$AY$6:$AY$1005="Direkomendasikan",ROW($6:$1005)-5),668)),KotaKode,2,0),"-"),"")),"")</f>
        <v/>
      </c>
      <c r="J669" t="str">
        <f t="array" aca="1" ref="J669" ca="1">IFERROR(IF(OR(INDEX(checklistPesertaKemenkeu!$N$6:$N$1005,SMALL(IF(checklistPesertaKemenkeu!$AY$6:$AY$1005="Direkomendasikan",ROW($6:$1005)-5),668))="",INDEX(checklistPesertaKemenkeu!$J$6:$J$1005,SMALL(IF(checklistPesertaKemenkeu!$AY$6:$AY$1005="Direkomendasikan",ROW($6:$1005)-5),668))=""),"",IF(AND(COUNTIF(INDIRECT("K_"&amp;MATCH(INDEX(checklistPesertaKemenkeu!$J$6:$J$1005,SMALL(IF(checklistPesertaKemenkeu!$AY$6:$AY$1005="Direkomendasikan",ROW($6:$1005)-5),668)),BidangList,0)),INDEX(checklistPesertaKemenkeu!$N$6:$N$1005,SMALL(IF(checklistPesertaKemenkeu!$AY$6:$AY$1005="Direkomendasikan",ROW($6:$1005)-5),668)))&gt;0,COUNTIF(INDIRECT("'KERTAS KERJA'!K"&amp;(SMALL(IF(checklistPesertaKemenkeu!$AY$6:$AY$1005="Direkomendasikan",ROW($6:$1005)-5),668)+5)&amp;":O"&amp;(SMALL(IF(checklistPesertaKemenkeu!$AY$6:$AY$1005="Direkomendasikan",ROW($6:$1005)-5),668)+5)),INDEX(checklistPesertaKemenkeu!$N$6:$N$1005,SMALL(IF(checklistPesertaKemenkeu!$AY$6:$AY$1005="Direkomendasikan",ROW($6:$1005)-5),668)))=1),IFERROR(VLOOKUP(INDEX(checklistPesertaKemenkeu!$N$6:$N$1005,SMALL(IF(checklistPesertaKemenkeu!$AY$6:$AY$1005="Direkomendasikan",ROW($6:$1005)-5),668)),KotaKode,2,0),"-"),"")),"")</f>
        <v/>
      </c>
      <c r="K669" t="str">
        <f t="array" aca="1" ref="K669" ca="1">IFERROR(IF(OR(INDEX(checklistPesertaKemenkeu!$O$6:$O$1005,SMALL(IF(checklistPesertaKemenkeu!$AY$6:$AY$1005="Direkomendasikan",ROW($6:$1005)-5),668))="",INDEX(checklistPesertaKemenkeu!$J$6:$J$1005,SMALL(IF(checklistPesertaKemenkeu!$AY$6:$AY$1005="Direkomendasikan",ROW($6:$1005)-5),668))=""),"",IF(AND(COUNTIF(INDIRECT("K_"&amp;MATCH(INDEX(checklistPesertaKemenkeu!$J$6:$J$1005,SMALL(IF(checklistPesertaKemenkeu!$AY$6:$AY$1005="Direkomendasikan",ROW($6:$1005)-5),668)),BidangList,0)),INDEX(checklistPesertaKemenkeu!$O$6:$O$1005,SMALL(IF(checklistPesertaKemenkeu!$AY$6:$AY$1005="Direkomendasikan",ROW($6:$1005)-5),668)))&gt;0,COUNTIF(INDIRECT("'KERTAS KERJA'!K"&amp;(SMALL(IF(checklistPesertaKemenkeu!$AY$6:$AY$1005="Direkomendasikan",ROW($6:$1005)-5),668)+5)&amp;":O"&amp;(SMALL(IF(checklistPesertaKemenkeu!$AY$6:$AY$1005="Direkomendasikan",ROW($6:$1005)-5),668)+5)),INDEX(checklistPesertaKemenkeu!$O$6:$O$1005,SMALL(IF(checklistPesertaKemenkeu!$AY$6:$AY$1005="Direkomendasikan",ROW($6:$1005)-5),668)))=1),IFERROR(VLOOKUP(INDEX(checklistPesertaKemenkeu!$O$6:$O$1005,SMALL(IF(checklistPesertaKemenkeu!$AY$6:$AY$1005="Direkomendasikan",ROW($6:$1005)-5),668)),KotaKode,2,0),"-"),"")),"")</f>
        <v/>
      </c>
      <c r="L669" t="str">
        <f t="array" aca="1" ref="L669" ca="1">IFERROR(IF(OR(INDEX(checklistPesertaKemenkeu!$P$6:$P$1005,SMALL(IF(checklistPesertaKemenkeu!$AY$6:$AY$1005="Direkomendasikan",ROW($6:$1005)-5),668))="",INDEX(checklistPesertaKemenkeu!$J$6:$J$1005,SMALL(IF(checklistPesertaKemenkeu!$AY$6:$AY$1005="Direkomendasikan",ROW($6:$1005)-5),668))=""),"",IF(AND(COUNTIF(INDIRECT("K_"&amp;MATCH(INDEX(checklistPesertaKemenkeu!$J$6:$J$1005,SMALL(IF(checklistPesertaKemenkeu!$AY$6:$AY$1005="Direkomendasikan",ROW($6:$1005)-5),668)),BidangList,0)),INDEX(checklistPesertaKemenkeu!$P$6:$P$1005,SMALL(IF(checklistPesertaKemenkeu!$AY$6:$AY$1005="Direkomendasikan",ROW($6:$1005)-5),668)))&gt;0,COUNTIF(INDIRECT("'KERTAS KERJA'!K"&amp;(SMALL(IF(checklistPesertaKemenkeu!$AY$6:$AY$1005="Direkomendasikan",ROW($6:$1005)-5),668)+5)&amp;":O"&amp;(SMALL(IF(checklistPesertaKemenkeu!$AY$6:$AY$1005="Direkomendasikan",ROW($6:$1005)-5),668)+5)),INDEX(checklistPesertaKemenkeu!$P$6:$P$1005,SMALL(IF(checklistPesertaKemenkeu!$AY$6:$AY$1005="Direkomendasikan",ROW($6:$1005)-5),668)))=1),IFERROR(VLOOKUP(INDEX(checklistPesertaKemenkeu!$P$6:$P$1005,SMALL(IF(checklistPesertaKemenkeu!$AY$6:$AY$1005="Direkomendasikan",ROW($6:$1005)-5),668)),KotaKode,2,0),"-"),"")),"")</f>
        <v/>
      </c>
    </row>
    <row r="670" spans="1:12" ht="15" customHeight="1" x14ac:dyDescent="0.2">
      <c r="A670" t="str">
        <f t="shared" si="10"/>
        <v/>
      </c>
      <c r="B670" t="str">
        <v/>
      </c>
      <c r="C670" s="40" t="str">
        <f t="array" ref="C670">IFERROR(INDEX(checklistPesertaKemenkeu!$F$6:$F$1005,SMALL(IF(checklistPesertaKemenkeu!$AY$6:$AY$1005="Direkomendasikan",ROW($6:$1005)-5),669)),"")</f>
        <v/>
      </c>
      <c r="D670" t="str">
        <f t="array" ref="D670">IFERROR(INDEX(checklistPesertaKemenkeu!$G$6:$G$1005,SMALL(IF(checklistPesertaKemenkeu!$AY$6:$AY$1005="Direkomendasikan",ROW($6:$1005)-5),669)),"")</f>
        <v/>
      </c>
      <c r="E670" t="str">
        <f t="array" ref="E670">IFERROR(INDEX(checklistPesertaKemenkeu!$H$6:$H$1005,SMALL(IF(checklistPesertaKemenkeu!$AY$6:$AY$1005="Direkomendasikan",ROW($6:$1005)-5),669)),"")</f>
        <v/>
      </c>
      <c r="F670" t="str">
        <f t="array" ref="F670">IFERROR(INDEX(checklistPesertaKemenkeu!$I$6:$I$1005,SMALL(IF(checklistPesertaKemenkeu!$AY$6:$AY$1005="Direkomendasikan",ROW($6:$1005)-5),669)),"")</f>
        <v/>
      </c>
      <c r="G670" t="str">
        <f t="array" ref="G670">IFERROR(INDEX(checklistPesertaKemenkeu!$J$6:$J$1005,SMALL(IF(checklistPesertaKemenkeu!$AY$6:$AY$1005="Direkomendasikan",ROW($6:$1005)-5),669)),"")</f>
        <v/>
      </c>
      <c r="H670" t="str">
        <f t="array" aca="1" ref="H670" ca="1">IFERROR(IF(OR(INDEX(checklistPesertaKemenkeu!$L$6:$L$1005,SMALL(IF(checklistPesertaKemenkeu!$AY$6:$AY$1005="Direkomendasikan",ROW($6:$1005)-5),669))="",INDEX(checklistPesertaKemenkeu!$J$6:$J$1005,SMALL(IF(checklistPesertaKemenkeu!$AY$6:$AY$1005="Direkomendasikan",ROW($6:$1005)-5),669))=""),"",IF(AND(COUNTIF(INDIRECT("K_"&amp;MATCH(INDEX(checklistPesertaKemenkeu!$J$6:$J$1005,SMALL(IF(checklistPesertaKemenkeu!$AY$6:$AY$1005="Direkomendasikan",ROW($6:$1005)-5),669)),BidangList,0)),INDEX(checklistPesertaKemenkeu!$L$6:$L$1005,SMALL(IF(checklistPesertaKemenkeu!$AY$6:$AY$1005="Direkomendasikan",ROW($6:$1005)-5),669)))&gt;0,COUNTIF(INDIRECT("'KERTAS KERJA'!K"&amp;(SMALL(IF(checklistPesertaKemenkeu!$AY$6:$AY$1005="Direkomendasikan",ROW($6:$1005)-5),669)+5)&amp;":O"&amp;(SMALL(IF(checklistPesertaKemenkeu!$AY$6:$AY$1005="Direkomendasikan",ROW($6:$1005)-5),669)+5)),INDEX(checklistPesertaKemenkeu!$L$6:$L$1005,SMALL(IF(checklistPesertaKemenkeu!$AY$6:$AY$1005="Direkomendasikan",ROW($6:$1005)-5),669)))=1),IFERROR(VLOOKUP(INDEX(checklistPesertaKemenkeu!$L$6:$L$1005,SMALL(IF(checklistPesertaKemenkeu!$AY$6:$AY$1005="Direkomendasikan",ROW($6:$1005)-5),669)),KotaKode,2,0),"-"),"")),"")</f>
        <v/>
      </c>
      <c r="I670" t="str">
        <f t="array" aca="1" ref="I670" ca="1">IFERROR(IF(OR(INDEX(checklistPesertaKemenkeu!$M$6:$M$1005,SMALL(IF(checklistPesertaKemenkeu!$AY$6:$AY$1005="Direkomendasikan",ROW($6:$1005)-5),669))="",INDEX(checklistPesertaKemenkeu!$J$6:$J$1005,SMALL(IF(checklistPesertaKemenkeu!$AY$6:$AY$1005="Direkomendasikan",ROW($6:$1005)-5),669))=""),"",IF(AND(COUNTIF(INDIRECT("K_"&amp;MATCH(INDEX(checklistPesertaKemenkeu!$J$6:$J$1005,SMALL(IF(checklistPesertaKemenkeu!$AY$6:$AY$1005="Direkomendasikan",ROW($6:$1005)-5),669)),BidangList,0)),INDEX(checklistPesertaKemenkeu!$M$6:$M$1005,SMALL(IF(checklistPesertaKemenkeu!$AY$6:$AY$1005="Direkomendasikan",ROW($6:$1005)-5),669)))&gt;0,COUNTIF(INDIRECT("'KERTAS KERJA'!K"&amp;(SMALL(IF(checklistPesertaKemenkeu!$AY$6:$AY$1005="Direkomendasikan",ROW($6:$1005)-5),669)+5)&amp;":O"&amp;(SMALL(IF(checklistPesertaKemenkeu!$AY$6:$AY$1005="Direkomendasikan",ROW($6:$1005)-5),669)+5)),INDEX(checklistPesertaKemenkeu!$M$6:$M$1005,SMALL(IF(checklistPesertaKemenkeu!$AY$6:$AY$1005="Direkomendasikan",ROW($6:$1005)-5),669)))=1),IFERROR(VLOOKUP(INDEX(checklistPesertaKemenkeu!$M$6:$M$1005,SMALL(IF(checklistPesertaKemenkeu!$AY$6:$AY$1005="Direkomendasikan",ROW($6:$1005)-5),669)),KotaKode,2,0),"-"),"")),"")</f>
        <v/>
      </c>
      <c r="J670" t="str">
        <f t="array" aca="1" ref="J670" ca="1">IFERROR(IF(OR(INDEX(checklistPesertaKemenkeu!$N$6:$N$1005,SMALL(IF(checklistPesertaKemenkeu!$AY$6:$AY$1005="Direkomendasikan",ROW($6:$1005)-5),669))="",INDEX(checklistPesertaKemenkeu!$J$6:$J$1005,SMALL(IF(checklistPesertaKemenkeu!$AY$6:$AY$1005="Direkomendasikan",ROW($6:$1005)-5),669))=""),"",IF(AND(COUNTIF(INDIRECT("K_"&amp;MATCH(INDEX(checklistPesertaKemenkeu!$J$6:$J$1005,SMALL(IF(checklistPesertaKemenkeu!$AY$6:$AY$1005="Direkomendasikan",ROW($6:$1005)-5),669)),BidangList,0)),INDEX(checklistPesertaKemenkeu!$N$6:$N$1005,SMALL(IF(checklistPesertaKemenkeu!$AY$6:$AY$1005="Direkomendasikan",ROW($6:$1005)-5),669)))&gt;0,COUNTIF(INDIRECT("'KERTAS KERJA'!K"&amp;(SMALL(IF(checklistPesertaKemenkeu!$AY$6:$AY$1005="Direkomendasikan",ROW($6:$1005)-5),669)+5)&amp;":O"&amp;(SMALL(IF(checklistPesertaKemenkeu!$AY$6:$AY$1005="Direkomendasikan",ROW($6:$1005)-5),669)+5)),INDEX(checklistPesertaKemenkeu!$N$6:$N$1005,SMALL(IF(checklistPesertaKemenkeu!$AY$6:$AY$1005="Direkomendasikan",ROW($6:$1005)-5),669)))=1),IFERROR(VLOOKUP(INDEX(checklistPesertaKemenkeu!$N$6:$N$1005,SMALL(IF(checklistPesertaKemenkeu!$AY$6:$AY$1005="Direkomendasikan",ROW($6:$1005)-5),669)),KotaKode,2,0),"-"),"")),"")</f>
        <v/>
      </c>
      <c r="K670" t="str">
        <f t="array" aca="1" ref="K670" ca="1">IFERROR(IF(OR(INDEX(checklistPesertaKemenkeu!$O$6:$O$1005,SMALL(IF(checklistPesertaKemenkeu!$AY$6:$AY$1005="Direkomendasikan",ROW($6:$1005)-5),669))="",INDEX(checklistPesertaKemenkeu!$J$6:$J$1005,SMALL(IF(checklistPesertaKemenkeu!$AY$6:$AY$1005="Direkomendasikan",ROW($6:$1005)-5),669))=""),"",IF(AND(COUNTIF(INDIRECT("K_"&amp;MATCH(INDEX(checklistPesertaKemenkeu!$J$6:$J$1005,SMALL(IF(checklistPesertaKemenkeu!$AY$6:$AY$1005="Direkomendasikan",ROW($6:$1005)-5),669)),BidangList,0)),INDEX(checklistPesertaKemenkeu!$O$6:$O$1005,SMALL(IF(checklistPesertaKemenkeu!$AY$6:$AY$1005="Direkomendasikan",ROW($6:$1005)-5),669)))&gt;0,COUNTIF(INDIRECT("'KERTAS KERJA'!K"&amp;(SMALL(IF(checklistPesertaKemenkeu!$AY$6:$AY$1005="Direkomendasikan",ROW($6:$1005)-5),669)+5)&amp;":O"&amp;(SMALL(IF(checklistPesertaKemenkeu!$AY$6:$AY$1005="Direkomendasikan",ROW($6:$1005)-5),669)+5)),INDEX(checklistPesertaKemenkeu!$O$6:$O$1005,SMALL(IF(checklistPesertaKemenkeu!$AY$6:$AY$1005="Direkomendasikan",ROW($6:$1005)-5),669)))=1),IFERROR(VLOOKUP(INDEX(checklistPesertaKemenkeu!$O$6:$O$1005,SMALL(IF(checklistPesertaKemenkeu!$AY$6:$AY$1005="Direkomendasikan",ROW($6:$1005)-5),669)),KotaKode,2,0),"-"),"")),"")</f>
        <v/>
      </c>
      <c r="L670" t="str">
        <f t="array" aca="1" ref="L670" ca="1">IFERROR(IF(OR(INDEX(checklistPesertaKemenkeu!$P$6:$P$1005,SMALL(IF(checklistPesertaKemenkeu!$AY$6:$AY$1005="Direkomendasikan",ROW($6:$1005)-5),669))="",INDEX(checklistPesertaKemenkeu!$J$6:$J$1005,SMALL(IF(checklistPesertaKemenkeu!$AY$6:$AY$1005="Direkomendasikan",ROW($6:$1005)-5),669))=""),"",IF(AND(COUNTIF(INDIRECT("K_"&amp;MATCH(INDEX(checklistPesertaKemenkeu!$J$6:$J$1005,SMALL(IF(checklistPesertaKemenkeu!$AY$6:$AY$1005="Direkomendasikan",ROW($6:$1005)-5),669)),BidangList,0)),INDEX(checklistPesertaKemenkeu!$P$6:$P$1005,SMALL(IF(checklistPesertaKemenkeu!$AY$6:$AY$1005="Direkomendasikan",ROW($6:$1005)-5),669)))&gt;0,COUNTIF(INDIRECT("'KERTAS KERJA'!K"&amp;(SMALL(IF(checklistPesertaKemenkeu!$AY$6:$AY$1005="Direkomendasikan",ROW($6:$1005)-5),669)+5)&amp;":O"&amp;(SMALL(IF(checklistPesertaKemenkeu!$AY$6:$AY$1005="Direkomendasikan",ROW($6:$1005)-5),669)+5)),INDEX(checklistPesertaKemenkeu!$P$6:$P$1005,SMALL(IF(checklistPesertaKemenkeu!$AY$6:$AY$1005="Direkomendasikan",ROW($6:$1005)-5),669)))=1),IFERROR(VLOOKUP(INDEX(checklistPesertaKemenkeu!$P$6:$P$1005,SMALL(IF(checklistPesertaKemenkeu!$AY$6:$AY$1005="Direkomendasikan",ROW($6:$1005)-5),669)),KotaKode,2,0),"-"),"")),"")</f>
        <v/>
      </c>
    </row>
    <row r="671" spans="1:12" ht="15" customHeight="1" x14ac:dyDescent="0.2">
      <c r="A671" t="str">
        <f t="shared" si="10"/>
        <v/>
      </c>
      <c r="B671" t="str">
        <v/>
      </c>
      <c r="C671" s="40" t="str">
        <f t="array" ref="C671">IFERROR(INDEX(checklistPesertaKemenkeu!$F$6:$F$1005,SMALL(IF(checklistPesertaKemenkeu!$AY$6:$AY$1005="Direkomendasikan",ROW($6:$1005)-5),670)),"")</f>
        <v/>
      </c>
      <c r="D671" t="str">
        <f t="array" ref="D671">IFERROR(INDEX(checklistPesertaKemenkeu!$G$6:$G$1005,SMALL(IF(checklistPesertaKemenkeu!$AY$6:$AY$1005="Direkomendasikan",ROW($6:$1005)-5),670)),"")</f>
        <v/>
      </c>
      <c r="E671" t="str">
        <f t="array" ref="E671">IFERROR(INDEX(checklistPesertaKemenkeu!$H$6:$H$1005,SMALL(IF(checklistPesertaKemenkeu!$AY$6:$AY$1005="Direkomendasikan",ROW($6:$1005)-5),670)),"")</f>
        <v/>
      </c>
      <c r="F671" t="str">
        <f t="array" ref="F671">IFERROR(INDEX(checklistPesertaKemenkeu!$I$6:$I$1005,SMALL(IF(checklistPesertaKemenkeu!$AY$6:$AY$1005="Direkomendasikan",ROW($6:$1005)-5),670)),"")</f>
        <v/>
      </c>
      <c r="G671" t="str">
        <f t="array" ref="G671">IFERROR(INDEX(checklistPesertaKemenkeu!$J$6:$J$1005,SMALL(IF(checklistPesertaKemenkeu!$AY$6:$AY$1005="Direkomendasikan",ROW($6:$1005)-5),670)),"")</f>
        <v/>
      </c>
      <c r="H671" t="str">
        <f t="array" aca="1" ref="H671" ca="1">IFERROR(IF(OR(INDEX(checklistPesertaKemenkeu!$L$6:$L$1005,SMALL(IF(checklistPesertaKemenkeu!$AY$6:$AY$1005="Direkomendasikan",ROW($6:$1005)-5),670))="",INDEX(checklistPesertaKemenkeu!$J$6:$J$1005,SMALL(IF(checklistPesertaKemenkeu!$AY$6:$AY$1005="Direkomendasikan",ROW($6:$1005)-5),670))=""),"",IF(AND(COUNTIF(INDIRECT("K_"&amp;MATCH(INDEX(checklistPesertaKemenkeu!$J$6:$J$1005,SMALL(IF(checklistPesertaKemenkeu!$AY$6:$AY$1005="Direkomendasikan",ROW($6:$1005)-5),670)),BidangList,0)),INDEX(checklistPesertaKemenkeu!$L$6:$L$1005,SMALL(IF(checklistPesertaKemenkeu!$AY$6:$AY$1005="Direkomendasikan",ROW($6:$1005)-5),670)))&gt;0,COUNTIF(INDIRECT("'KERTAS KERJA'!K"&amp;(SMALL(IF(checklistPesertaKemenkeu!$AY$6:$AY$1005="Direkomendasikan",ROW($6:$1005)-5),670)+5)&amp;":O"&amp;(SMALL(IF(checklistPesertaKemenkeu!$AY$6:$AY$1005="Direkomendasikan",ROW($6:$1005)-5),670)+5)),INDEX(checklistPesertaKemenkeu!$L$6:$L$1005,SMALL(IF(checklistPesertaKemenkeu!$AY$6:$AY$1005="Direkomendasikan",ROW($6:$1005)-5),670)))=1),IFERROR(VLOOKUP(INDEX(checklistPesertaKemenkeu!$L$6:$L$1005,SMALL(IF(checklistPesertaKemenkeu!$AY$6:$AY$1005="Direkomendasikan",ROW($6:$1005)-5),670)),KotaKode,2,0),"-"),"")),"")</f>
        <v/>
      </c>
      <c r="I671" t="str">
        <f t="array" aca="1" ref="I671" ca="1">IFERROR(IF(OR(INDEX(checklistPesertaKemenkeu!$M$6:$M$1005,SMALL(IF(checklistPesertaKemenkeu!$AY$6:$AY$1005="Direkomendasikan",ROW($6:$1005)-5),670))="",INDEX(checklistPesertaKemenkeu!$J$6:$J$1005,SMALL(IF(checklistPesertaKemenkeu!$AY$6:$AY$1005="Direkomendasikan",ROW($6:$1005)-5),670))=""),"",IF(AND(COUNTIF(INDIRECT("K_"&amp;MATCH(INDEX(checklistPesertaKemenkeu!$J$6:$J$1005,SMALL(IF(checklistPesertaKemenkeu!$AY$6:$AY$1005="Direkomendasikan",ROW($6:$1005)-5),670)),BidangList,0)),INDEX(checklistPesertaKemenkeu!$M$6:$M$1005,SMALL(IF(checklistPesertaKemenkeu!$AY$6:$AY$1005="Direkomendasikan",ROW($6:$1005)-5),670)))&gt;0,COUNTIF(INDIRECT("'KERTAS KERJA'!K"&amp;(SMALL(IF(checklistPesertaKemenkeu!$AY$6:$AY$1005="Direkomendasikan",ROW($6:$1005)-5),670)+5)&amp;":O"&amp;(SMALL(IF(checklistPesertaKemenkeu!$AY$6:$AY$1005="Direkomendasikan",ROW($6:$1005)-5),670)+5)),INDEX(checklistPesertaKemenkeu!$M$6:$M$1005,SMALL(IF(checklistPesertaKemenkeu!$AY$6:$AY$1005="Direkomendasikan",ROW($6:$1005)-5),670)))=1),IFERROR(VLOOKUP(INDEX(checklistPesertaKemenkeu!$M$6:$M$1005,SMALL(IF(checklistPesertaKemenkeu!$AY$6:$AY$1005="Direkomendasikan",ROW($6:$1005)-5),670)),KotaKode,2,0),"-"),"")),"")</f>
        <v/>
      </c>
      <c r="J671" t="str">
        <f t="array" aca="1" ref="J671" ca="1">IFERROR(IF(OR(INDEX(checklistPesertaKemenkeu!$N$6:$N$1005,SMALL(IF(checklistPesertaKemenkeu!$AY$6:$AY$1005="Direkomendasikan",ROW($6:$1005)-5),670))="",INDEX(checklistPesertaKemenkeu!$J$6:$J$1005,SMALL(IF(checklistPesertaKemenkeu!$AY$6:$AY$1005="Direkomendasikan",ROW($6:$1005)-5),670))=""),"",IF(AND(COUNTIF(INDIRECT("K_"&amp;MATCH(INDEX(checklistPesertaKemenkeu!$J$6:$J$1005,SMALL(IF(checklistPesertaKemenkeu!$AY$6:$AY$1005="Direkomendasikan",ROW($6:$1005)-5),670)),BidangList,0)),INDEX(checklistPesertaKemenkeu!$N$6:$N$1005,SMALL(IF(checklistPesertaKemenkeu!$AY$6:$AY$1005="Direkomendasikan",ROW($6:$1005)-5),670)))&gt;0,COUNTIF(INDIRECT("'KERTAS KERJA'!K"&amp;(SMALL(IF(checklistPesertaKemenkeu!$AY$6:$AY$1005="Direkomendasikan",ROW($6:$1005)-5),670)+5)&amp;":O"&amp;(SMALL(IF(checklistPesertaKemenkeu!$AY$6:$AY$1005="Direkomendasikan",ROW($6:$1005)-5),670)+5)),INDEX(checklistPesertaKemenkeu!$N$6:$N$1005,SMALL(IF(checklistPesertaKemenkeu!$AY$6:$AY$1005="Direkomendasikan",ROW($6:$1005)-5),670)))=1),IFERROR(VLOOKUP(INDEX(checklistPesertaKemenkeu!$N$6:$N$1005,SMALL(IF(checklistPesertaKemenkeu!$AY$6:$AY$1005="Direkomendasikan",ROW($6:$1005)-5),670)),KotaKode,2,0),"-"),"")),"")</f>
        <v/>
      </c>
      <c r="K671" t="str">
        <f t="array" aca="1" ref="K671" ca="1">IFERROR(IF(OR(INDEX(checklistPesertaKemenkeu!$O$6:$O$1005,SMALL(IF(checklistPesertaKemenkeu!$AY$6:$AY$1005="Direkomendasikan",ROW($6:$1005)-5),670))="",INDEX(checklistPesertaKemenkeu!$J$6:$J$1005,SMALL(IF(checklistPesertaKemenkeu!$AY$6:$AY$1005="Direkomendasikan",ROW($6:$1005)-5),670))=""),"",IF(AND(COUNTIF(INDIRECT("K_"&amp;MATCH(INDEX(checklistPesertaKemenkeu!$J$6:$J$1005,SMALL(IF(checklistPesertaKemenkeu!$AY$6:$AY$1005="Direkomendasikan",ROW($6:$1005)-5),670)),BidangList,0)),INDEX(checklistPesertaKemenkeu!$O$6:$O$1005,SMALL(IF(checklistPesertaKemenkeu!$AY$6:$AY$1005="Direkomendasikan",ROW($6:$1005)-5),670)))&gt;0,COUNTIF(INDIRECT("'KERTAS KERJA'!K"&amp;(SMALL(IF(checklistPesertaKemenkeu!$AY$6:$AY$1005="Direkomendasikan",ROW($6:$1005)-5),670)+5)&amp;":O"&amp;(SMALL(IF(checklistPesertaKemenkeu!$AY$6:$AY$1005="Direkomendasikan",ROW($6:$1005)-5),670)+5)),INDEX(checklistPesertaKemenkeu!$O$6:$O$1005,SMALL(IF(checklistPesertaKemenkeu!$AY$6:$AY$1005="Direkomendasikan",ROW($6:$1005)-5),670)))=1),IFERROR(VLOOKUP(INDEX(checklistPesertaKemenkeu!$O$6:$O$1005,SMALL(IF(checklistPesertaKemenkeu!$AY$6:$AY$1005="Direkomendasikan",ROW($6:$1005)-5),670)),KotaKode,2,0),"-"),"")),"")</f>
        <v/>
      </c>
      <c r="L671" t="str">
        <f t="array" aca="1" ref="L671" ca="1">IFERROR(IF(OR(INDEX(checklistPesertaKemenkeu!$P$6:$P$1005,SMALL(IF(checklistPesertaKemenkeu!$AY$6:$AY$1005="Direkomendasikan",ROW($6:$1005)-5),670))="",INDEX(checklistPesertaKemenkeu!$J$6:$J$1005,SMALL(IF(checklistPesertaKemenkeu!$AY$6:$AY$1005="Direkomendasikan",ROW($6:$1005)-5),670))=""),"",IF(AND(COUNTIF(INDIRECT("K_"&amp;MATCH(INDEX(checklistPesertaKemenkeu!$J$6:$J$1005,SMALL(IF(checklistPesertaKemenkeu!$AY$6:$AY$1005="Direkomendasikan",ROW($6:$1005)-5),670)),BidangList,0)),INDEX(checklistPesertaKemenkeu!$P$6:$P$1005,SMALL(IF(checklistPesertaKemenkeu!$AY$6:$AY$1005="Direkomendasikan",ROW($6:$1005)-5),670)))&gt;0,COUNTIF(INDIRECT("'KERTAS KERJA'!K"&amp;(SMALL(IF(checklistPesertaKemenkeu!$AY$6:$AY$1005="Direkomendasikan",ROW($6:$1005)-5),670)+5)&amp;":O"&amp;(SMALL(IF(checklistPesertaKemenkeu!$AY$6:$AY$1005="Direkomendasikan",ROW($6:$1005)-5),670)+5)),INDEX(checklistPesertaKemenkeu!$P$6:$P$1005,SMALL(IF(checklistPesertaKemenkeu!$AY$6:$AY$1005="Direkomendasikan",ROW($6:$1005)-5),670)))=1),IFERROR(VLOOKUP(INDEX(checklistPesertaKemenkeu!$P$6:$P$1005,SMALL(IF(checklistPesertaKemenkeu!$AY$6:$AY$1005="Direkomendasikan",ROW($6:$1005)-5),670)),KotaKode,2,0),"-"),"")),"")</f>
        <v/>
      </c>
    </row>
    <row r="672" spans="1:12" ht="15" customHeight="1" x14ac:dyDescent="0.2">
      <c r="A672" t="str">
        <f t="shared" si="10"/>
        <v/>
      </c>
      <c r="B672" t="str">
        <v/>
      </c>
      <c r="C672" s="40" t="str">
        <f t="array" ref="C672">IFERROR(INDEX(checklistPesertaKemenkeu!$F$6:$F$1005,SMALL(IF(checklistPesertaKemenkeu!$AY$6:$AY$1005="Direkomendasikan",ROW($6:$1005)-5),671)),"")</f>
        <v/>
      </c>
      <c r="D672" t="str">
        <f t="array" ref="D672">IFERROR(INDEX(checklistPesertaKemenkeu!$G$6:$G$1005,SMALL(IF(checklistPesertaKemenkeu!$AY$6:$AY$1005="Direkomendasikan",ROW($6:$1005)-5),671)),"")</f>
        <v/>
      </c>
      <c r="E672" t="str">
        <f t="array" ref="E672">IFERROR(INDEX(checklistPesertaKemenkeu!$H$6:$H$1005,SMALL(IF(checklistPesertaKemenkeu!$AY$6:$AY$1005="Direkomendasikan",ROW($6:$1005)-5),671)),"")</f>
        <v/>
      </c>
      <c r="F672" t="str">
        <f t="array" ref="F672">IFERROR(INDEX(checklistPesertaKemenkeu!$I$6:$I$1005,SMALL(IF(checklistPesertaKemenkeu!$AY$6:$AY$1005="Direkomendasikan",ROW($6:$1005)-5),671)),"")</f>
        <v/>
      </c>
      <c r="G672" t="str">
        <f t="array" ref="G672">IFERROR(INDEX(checklistPesertaKemenkeu!$J$6:$J$1005,SMALL(IF(checklistPesertaKemenkeu!$AY$6:$AY$1005="Direkomendasikan",ROW($6:$1005)-5),671)),"")</f>
        <v/>
      </c>
      <c r="H672" t="str">
        <f t="array" aca="1" ref="H672" ca="1">IFERROR(IF(OR(INDEX(checklistPesertaKemenkeu!$L$6:$L$1005,SMALL(IF(checklistPesertaKemenkeu!$AY$6:$AY$1005="Direkomendasikan",ROW($6:$1005)-5),671))="",INDEX(checklistPesertaKemenkeu!$J$6:$J$1005,SMALL(IF(checklistPesertaKemenkeu!$AY$6:$AY$1005="Direkomendasikan",ROW($6:$1005)-5),671))=""),"",IF(AND(COUNTIF(INDIRECT("K_"&amp;MATCH(INDEX(checklistPesertaKemenkeu!$J$6:$J$1005,SMALL(IF(checklistPesertaKemenkeu!$AY$6:$AY$1005="Direkomendasikan",ROW($6:$1005)-5),671)),BidangList,0)),INDEX(checklistPesertaKemenkeu!$L$6:$L$1005,SMALL(IF(checklistPesertaKemenkeu!$AY$6:$AY$1005="Direkomendasikan",ROW($6:$1005)-5),671)))&gt;0,COUNTIF(INDIRECT("'KERTAS KERJA'!K"&amp;(SMALL(IF(checklistPesertaKemenkeu!$AY$6:$AY$1005="Direkomendasikan",ROW($6:$1005)-5),671)+5)&amp;":O"&amp;(SMALL(IF(checklistPesertaKemenkeu!$AY$6:$AY$1005="Direkomendasikan",ROW($6:$1005)-5),671)+5)),INDEX(checklistPesertaKemenkeu!$L$6:$L$1005,SMALL(IF(checklistPesertaKemenkeu!$AY$6:$AY$1005="Direkomendasikan",ROW($6:$1005)-5),671)))=1),IFERROR(VLOOKUP(INDEX(checklistPesertaKemenkeu!$L$6:$L$1005,SMALL(IF(checklistPesertaKemenkeu!$AY$6:$AY$1005="Direkomendasikan",ROW($6:$1005)-5),671)),KotaKode,2,0),"-"),"")),"")</f>
        <v/>
      </c>
      <c r="I672" t="str">
        <f t="array" aca="1" ref="I672" ca="1">IFERROR(IF(OR(INDEX(checklistPesertaKemenkeu!$M$6:$M$1005,SMALL(IF(checklistPesertaKemenkeu!$AY$6:$AY$1005="Direkomendasikan",ROW($6:$1005)-5),671))="",INDEX(checklistPesertaKemenkeu!$J$6:$J$1005,SMALL(IF(checklistPesertaKemenkeu!$AY$6:$AY$1005="Direkomendasikan",ROW($6:$1005)-5),671))=""),"",IF(AND(COUNTIF(INDIRECT("K_"&amp;MATCH(INDEX(checklistPesertaKemenkeu!$J$6:$J$1005,SMALL(IF(checklistPesertaKemenkeu!$AY$6:$AY$1005="Direkomendasikan",ROW($6:$1005)-5),671)),BidangList,0)),INDEX(checklistPesertaKemenkeu!$M$6:$M$1005,SMALL(IF(checklistPesertaKemenkeu!$AY$6:$AY$1005="Direkomendasikan",ROW($6:$1005)-5),671)))&gt;0,COUNTIF(INDIRECT("'KERTAS KERJA'!K"&amp;(SMALL(IF(checklistPesertaKemenkeu!$AY$6:$AY$1005="Direkomendasikan",ROW($6:$1005)-5),671)+5)&amp;":O"&amp;(SMALL(IF(checklistPesertaKemenkeu!$AY$6:$AY$1005="Direkomendasikan",ROW($6:$1005)-5),671)+5)),INDEX(checklistPesertaKemenkeu!$M$6:$M$1005,SMALL(IF(checklistPesertaKemenkeu!$AY$6:$AY$1005="Direkomendasikan",ROW($6:$1005)-5),671)))=1),IFERROR(VLOOKUP(INDEX(checklistPesertaKemenkeu!$M$6:$M$1005,SMALL(IF(checklistPesertaKemenkeu!$AY$6:$AY$1005="Direkomendasikan",ROW($6:$1005)-5),671)),KotaKode,2,0),"-"),"")),"")</f>
        <v/>
      </c>
      <c r="J672" t="str">
        <f t="array" aca="1" ref="J672" ca="1">IFERROR(IF(OR(INDEX(checklistPesertaKemenkeu!$N$6:$N$1005,SMALL(IF(checklistPesertaKemenkeu!$AY$6:$AY$1005="Direkomendasikan",ROW($6:$1005)-5),671))="",INDEX(checklistPesertaKemenkeu!$J$6:$J$1005,SMALL(IF(checklistPesertaKemenkeu!$AY$6:$AY$1005="Direkomendasikan",ROW($6:$1005)-5),671))=""),"",IF(AND(COUNTIF(INDIRECT("K_"&amp;MATCH(INDEX(checklistPesertaKemenkeu!$J$6:$J$1005,SMALL(IF(checklistPesertaKemenkeu!$AY$6:$AY$1005="Direkomendasikan",ROW($6:$1005)-5),671)),BidangList,0)),INDEX(checklistPesertaKemenkeu!$N$6:$N$1005,SMALL(IF(checklistPesertaKemenkeu!$AY$6:$AY$1005="Direkomendasikan",ROW($6:$1005)-5),671)))&gt;0,COUNTIF(INDIRECT("'KERTAS KERJA'!K"&amp;(SMALL(IF(checklistPesertaKemenkeu!$AY$6:$AY$1005="Direkomendasikan",ROW($6:$1005)-5),671)+5)&amp;":O"&amp;(SMALL(IF(checklistPesertaKemenkeu!$AY$6:$AY$1005="Direkomendasikan",ROW($6:$1005)-5),671)+5)),INDEX(checklistPesertaKemenkeu!$N$6:$N$1005,SMALL(IF(checklistPesertaKemenkeu!$AY$6:$AY$1005="Direkomendasikan",ROW($6:$1005)-5),671)))=1),IFERROR(VLOOKUP(INDEX(checklistPesertaKemenkeu!$N$6:$N$1005,SMALL(IF(checklistPesertaKemenkeu!$AY$6:$AY$1005="Direkomendasikan",ROW($6:$1005)-5),671)),KotaKode,2,0),"-"),"")),"")</f>
        <v/>
      </c>
      <c r="K672" t="str">
        <f t="array" aca="1" ref="K672" ca="1">IFERROR(IF(OR(INDEX(checklistPesertaKemenkeu!$O$6:$O$1005,SMALL(IF(checklistPesertaKemenkeu!$AY$6:$AY$1005="Direkomendasikan",ROW($6:$1005)-5),671))="",INDEX(checklistPesertaKemenkeu!$J$6:$J$1005,SMALL(IF(checklistPesertaKemenkeu!$AY$6:$AY$1005="Direkomendasikan",ROW($6:$1005)-5),671))=""),"",IF(AND(COUNTIF(INDIRECT("K_"&amp;MATCH(INDEX(checklistPesertaKemenkeu!$J$6:$J$1005,SMALL(IF(checklistPesertaKemenkeu!$AY$6:$AY$1005="Direkomendasikan",ROW($6:$1005)-5),671)),BidangList,0)),INDEX(checklistPesertaKemenkeu!$O$6:$O$1005,SMALL(IF(checklistPesertaKemenkeu!$AY$6:$AY$1005="Direkomendasikan",ROW($6:$1005)-5),671)))&gt;0,COUNTIF(INDIRECT("'KERTAS KERJA'!K"&amp;(SMALL(IF(checklistPesertaKemenkeu!$AY$6:$AY$1005="Direkomendasikan",ROW($6:$1005)-5),671)+5)&amp;":O"&amp;(SMALL(IF(checklistPesertaKemenkeu!$AY$6:$AY$1005="Direkomendasikan",ROW($6:$1005)-5),671)+5)),INDEX(checklistPesertaKemenkeu!$O$6:$O$1005,SMALL(IF(checklistPesertaKemenkeu!$AY$6:$AY$1005="Direkomendasikan",ROW($6:$1005)-5),671)))=1),IFERROR(VLOOKUP(INDEX(checklistPesertaKemenkeu!$O$6:$O$1005,SMALL(IF(checklistPesertaKemenkeu!$AY$6:$AY$1005="Direkomendasikan",ROW($6:$1005)-5),671)),KotaKode,2,0),"-"),"")),"")</f>
        <v/>
      </c>
      <c r="L672" t="str">
        <f t="array" aca="1" ref="L672" ca="1">IFERROR(IF(OR(INDEX(checklistPesertaKemenkeu!$P$6:$P$1005,SMALL(IF(checklistPesertaKemenkeu!$AY$6:$AY$1005="Direkomendasikan",ROW($6:$1005)-5),671))="",INDEX(checklistPesertaKemenkeu!$J$6:$J$1005,SMALL(IF(checklistPesertaKemenkeu!$AY$6:$AY$1005="Direkomendasikan",ROW($6:$1005)-5),671))=""),"",IF(AND(COUNTIF(INDIRECT("K_"&amp;MATCH(INDEX(checklistPesertaKemenkeu!$J$6:$J$1005,SMALL(IF(checklistPesertaKemenkeu!$AY$6:$AY$1005="Direkomendasikan",ROW($6:$1005)-5),671)),BidangList,0)),INDEX(checklistPesertaKemenkeu!$P$6:$P$1005,SMALL(IF(checklistPesertaKemenkeu!$AY$6:$AY$1005="Direkomendasikan",ROW($6:$1005)-5),671)))&gt;0,COUNTIF(INDIRECT("'KERTAS KERJA'!K"&amp;(SMALL(IF(checklistPesertaKemenkeu!$AY$6:$AY$1005="Direkomendasikan",ROW($6:$1005)-5),671)+5)&amp;":O"&amp;(SMALL(IF(checklistPesertaKemenkeu!$AY$6:$AY$1005="Direkomendasikan",ROW($6:$1005)-5),671)+5)),INDEX(checklistPesertaKemenkeu!$P$6:$P$1005,SMALL(IF(checklistPesertaKemenkeu!$AY$6:$AY$1005="Direkomendasikan",ROW($6:$1005)-5),671)))=1),IFERROR(VLOOKUP(INDEX(checklistPesertaKemenkeu!$P$6:$P$1005,SMALL(IF(checklistPesertaKemenkeu!$AY$6:$AY$1005="Direkomendasikan",ROW($6:$1005)-5),671)),KotaKode,2,0),"-"),"")),"")</f>
        <v/>
      </c>
    </row>
    <row r="673" spans="1:12" ht="15" customHeight="1" x14ac:dyDescent="0.2">
      <c r="A673" t="str">
        <f t="shared" si="10"/>
        <v/>
      </c>
      <c r="B673" t="str">
        <v/>
      </c>
      <c r="C673" s="40" t="str">
        <f t="array" ref="C673">IFERROR(INDEX(checklistPesertaKemenkeu!$F$6:$F$1005,SMALL(IF(checklistPesertaKemenkeu!$AY$6:$AY$1005="Direkomendasikan",ROW($6:$1005)-5),672)),"")</f>
        <v/>
      </c>
      <c r="D673" t="str">
        <f t="array" ref="D673">IFERROR(INDEX(checklistPesertaKemenkeu!$G$6:$G$1005,SMALL(IF(checklistPesertaKemenkeu!$AY$6:$AY$1005="Direkomendasikan",ROW($6:$1005)-5),672)),"")</f>
        <v/>
      </c>
      <c r="E673" t="str">
        <f t="array" ref="E673">IFERROR(INDEX(checklistPesertaKemenkeu!$H$6:$H$1005,SMALL(IF(checklistPesertaKemenkeu!$AY$6:$AY$1005="Direkomendasikan",ROW($6:$1005)-5),672)),"")</f>
        <v/>
      </c>
      <c r="F673" t="str">
        <f t="array" ref="F673">IFERROR(INDEX(checklistPesertaKemenkeu!$I$6:$I$1005,SMALL(IF(checklistPesertaKemenkeu!$AY$6:$AY$1005="Direkomendasikan",ROW($6:$1005)-5),672)),"")</f>
        <v/>
      </c>
      <c r="G673" t="str">
        <f t="array" ref="G673">IFERROR(INDEX(checklistPesertaKemenkeu!$J$6:$J$1005,SMALL(IF(checklistPesertaKemenkeu!$AY$6:$AY$1005="Direkomendasikan",ROW($6:$1005)-5),672)),"")</f>
        <v/>
      </c>
      <c r="H673" t="str">
        <f t="array" aca="1" ref="H673" ca="1">IFERROR(IF(OR(INDEX(checklistPesertaKemenkeu!$L$6:$L$1005,SMALL(IF(checklistPesertaKemenkeu!$AY$6:$AY$1005="Direkomendasikan",ROW($6:$1005)-5),672))="",INDEX(checklistPesertaKemenkeu!$J$6:$J$1005,SMALL(IF(checklistPesertaKemenkeu!$AY$6:$AY$1005="Direkomendasikan",ROW($6:$1005)-5),672))=""),"",IF(AND(COUNTIF(INDIRECT("K_"&amp;MATCH(INDEX(checklistPesertaKemenkeu!$J$6:$J$1005,SMALL(IF(checklistPesertaKemenkeu!$AY$6:$AY$1005="Direkomendasikan",ROW($6:$1005)-5),672)),BidangList,0)),INDEX(checklistPesertaKemenkeu!$L$6:$L$1005,SMALL(IF(checklistPesertaKemenkeu!$AY$6:$AY$1005="Direkomendasikan",ROW($6:$1005)-5),672)))&gt;0,COUNTIF(INDIRECT("'KERTAS KERJA'!K"&amp;(SMALL(IF(checklistPesertaKemenkeu!$AY$6:$AY$1005="Direkomendasikan",ROW($6:$1005)-5),672)+5)&amp;":O"&amp;(SMALL(IF(checklistPesertaKemenkeu!$AY$6:$AY$1005="Direkomendasikan",ROW($6:$1005)-5),672)+5)),INDEX(checklistPesertaKemenkeu!$L$6:$L$1005,SMALL(IF(checklistPesertaKemenkeu!$AY$6:$AY$1005="Direkomendasikan",ROW($6:$1005)-5),672)))=1),IFERROR(VLOOKUP(INDEX(checklistPesertaKemenkeu!$L$6:$L$1005,SMALL(IF(checklistPesertaKemenkeu!$AY$6:$AY$1005="Direkomendasikan",ROW($6:$1005)-5),672)),KotaKode,2,0),"-"),"")),"")</f>
        <v/>
      </c>
      <c r="I673" t="str">
        <f t="array" aca="1" ref="I673" ca="1">IFERROR(IF(OR(INDEX(checklistPesertaKemenkeu!$M$6:$M$1005,SMALL(IF(checklistPesertaKemenkeu!$AY$6:$AY$1005="Direkomendasikan",ROW($6:$1005)-5),672))="",INDEX(checklistPesertaKemenkeu!$J$6:$J$1005,SMALL(IF(checklistPesertaKemenkeu!$AY$6:$AY$1005="Direkomendasikan",ROW($6:$1005)-5),672))=""),"",IF(AND(COUNTIF(INDIRECT("K_"&amp;MATCH(INDEX(checklistPesertaKemenkeu!$J$6:$J$1005,SMALL(IF(checklistPesertaKemenkeu!$AY$6:$AY$1005="Direkomendasikan",ROW($6:$1005)-5),672)),BidangList,0)),INDEX(checklistPesertaKemenkeu!$M$6:$M$1005,SMALL(IF(checklistPesertaKemenkeu!$AY$6:$AY$1005="Direkomendasikan",ROW($6:$1005)-5),672)))&gt;0,COUNTIF(INDIRECT("'KERTAS KERJA'!K"&amp;(SMALL(IF(checklistPesertaKemenkeu!$AY$6:$AY$1005="Direkomendasikan",ROW($6:$1005)-5),672)+5)&amp;":O"&amp;(SMALL(IF(checklistPesertaKemenkeu!$AY$6:$AY$1005="Direkomendasikan",ROW($6:$1005)-5),672)+5)),INDEX(checklistPesertaKemenkeu!$M$6:$M$1005,SMALL(IF(checklistPesertaKemenkeu!$AY$6:$AY$1005="Direkomendasikan",ROW($6:$1005)-5),672)))=1),IFERROR(VLOOKUP(INDEX(checklistPesertaKemenkeu!$M$6:$M$1005,SMALL(IF(checklistPesertaKemenkeu!$AY$6:$AY$1005="Direkomendasikan",ROW($6:$1005)-5),672)),KotaKode,2,0),"-"),"")),"")</f>
        <v/>
      </c>
      <c r="J673" t="str">
        <f t="array" aca="1" ref="J673" ca="1">IFERROR(IF(OR(INDEX(checklistPesertaKemenkeu!$N$6:$N$1005,SMALL(IF(checklistPesertaKemenkeu!$AY$6:$AY$1005="Direkomendasikan",ROW($6:$1005)-5),672))="",INDEX(checklistPesertaKemenkeu!$J$6:$J$1005,SMALL(IF(checklistPesertaKemenkeu!$AY$6:$AY$1005="Direkomendasikan",ROW($6:$1005)-5),672))=""),"",IF(AND(COUNTIF(INDIRECT("K_"&amp;MATCH(INDEX(checklistPesertaKemenkeu!$J$6:$J$1005,SMALL(IF(checklistPesertaKemenkeu!$AY$6:$AY$1005="Direkomendasikan",ROW($6:$1005)-5),672)),BidangList,0)),INDEX(checklistPesertaKemenkeu!$N$6:$N$1005,SMALL(IF(checklistPesertaKemenkeu!$AY$6:$AY$1005="Direkomendasikan",ROW($6:$1005)-5),672)))&gt;0,COUNTIF(INDIRECT("'KERTAS KERJA'!K"&amp;(SMALL(IF(checklistPesertaKemenkeu!$AY$6:$AY$1005="Direkomendasikan",ROW($6:$1005)-5),672)+5)&amp;":O"&amp;(SMALL(IF(checklistPesertaKemenkeu!$AY$6:$AY$1005="Direkomendasikan",ROW($6:$1005)-5),672)+5)),INDEX(checklistPesertaKemenkeu!$N$6:$N$1005,SMALL(IF(checklistPesertaKemenkeu!$AY$6:$AY$1005="Direkomendasikan",ROW($6:$1005)-5),672)))=1),IFERROR(VLOOKUP(INDEX(checklistPesertaKemenkeu!$N$6:$N$1005,SMALL(IF(checklistPesertaKemenkeu!$AY$6:$AY$1005="Direkomendasikan",ROW($6:$1005)-5),672)),KotaKode,2,0),"-"),"")),"")</f>
        <v/>
      </c>
      <c r="K673" t="str">
        <f t="array" aca="1" ref="K673" ca="1">IFERROR(IF(OR(INDEX(checklistPesertaKemenkeu!$O$6:$O$1005,SMALL(IF(checklistPesertaKemenkeu!$AY$6:$AY$1005="Direkomendasikan",ROW($6:$1005)-5),672))="",INDEX(checklistPesertaKemenkeu!$J$6:$J$1005,SMALL(IF(checklistPesertaKemenkeu!$AY$6:$AY$1005="Direkomendasikan",ROW($6:$1005)-5),672))=""),"",IF(AND(COUNTIF(INDIRECT("K_"&amp;MATCH(INDEX(checklistPesertaKemenkeu!$J$6:$J$1005,SMALL(IF(checklistPesertaKemenkeu!$AY$6:$AY$1005="Direkomendasikan",ROW($6:$1005)-5),672)),BidangList,0)),INDEX(checklistPesertaKemenkeu!$O$6:$O$1005,SMALL(IF(checklistPesertaKemenkeu!$AY$6:$AY$1005="Direkomendasikan",ROW($6:$1005)-5),672)))&gt;0,COUNTIF(INDIRECT("'KERTAS KERJA'!K"&amp;(SMALL(IF(checklistPesertaKemenkeu!$AY$6:$AY$1005="Direkomendasikan",ROW($6:$1005)-5),672)+5)&amp;":O"&amp;(SMALL(IF(checklistPesertaKemenkeu!$AY$6:$AY$1005="Direkomendasikan",ROW($6:$1005)-5),672)+5)),INDEX(checklistPesertaKemenkeu!$O$6:$O$1005,SMALL(IF(checklistPesertaKemenkeu!$AY$6:$AY$1005="Direkomendasikan",ROW($6:$1005)-5),672)))=1),IFERROR(VLOOKUP(INDEX(checklistPesertaKemenkeu!$O$6:$O$1005,SMALL(IF(checklistPesertaKemenkeu!$AY$6:$AY$1005="Direkomendasikan",ROW($6:$1005)-5),672)),KotaKode,2,0),"-"),"")),"")</f>
        <v/>
      </c>
      <c r="L673" t="str">
        <f t="array" aca="1" ref="L673" ca="1">IFERROR(IF(OR(INDEX(checklistPesertaKemenkeu!$P$6:$P$1005,SMALL(IF(checklistPesertaKemenkeu!$AY$6:$AY$1005="Direkomendasikan",ROW($6:$1005)-5),672))="",INDEX(checklistPesertaKemenkeu!$J$6:$J$1005,SMALL(IF(checklistPesertaKemenkeu!$AY$6:$AY$1005="Direkomendasikan",ROW($6:$1005)-5),672))=""),"",IF(AND(COUNTIF(INDIRECT("K_"&amp;MATCH(INDEX(checklistPesertaKemenkeu!$J$6:$J$1005,SMALL(IF(checklistPesertaKemenkeu!$AY$6:$AY$1005="Direkomendasikan",ROW($6:$1005)-5),672)),BidangList,0)),INDEX(checklistPesertaKemenkeu!$P$6:$P$1005,SMALL(IF(checklistPesertaKemenkeu!$AY$6:$AY$1005="Direkomendasikan",ROW($6:$1005)-5),672)))&gt;0,COUNTIF(INDIRECT("'KERTAS KERJA'!K"&amp;(SMALL(IF(checklistPesertaKemenkeu!$AY$6:$AY$1005="Direkomendasikan",ROW($6:$1005)-5),672)+5)&amp;":O"&amp;(SMALL(IF(checklistPesertaKemenkeu!$AY$6:$AY$1005="Direkomendasikan",ROW($6:$1005)-5),672)+5)),INDEX(checklistPesertaKemenkeu!$P$6:$P$1005,SMALL(IF(checklistPesertaKemenkeu!$AY$6:$AY$1005="Direkomendasikan",ROW($6:$1005)-5),672)))=1),IFERROR(VLOOKUP(INDEX(checklistPesertaKemenkeu!$P$6:$P$1005,SMALL(IF(checklistPesertaKemenkeu!$AY$6:$AY$1005="Direkomendasikan",ROW($6:$1005)-5),672)),KotaKode,2,0),"-"),"")),"")</f>
        <v/>
      </c>
    </row>
    <row r="674" spans="1:12" ht="15" customHeight="1" x14ac:dyDescent="0.2">
      <c r="A674" t="str">
        <f t="shared" si="10"/>
        <v/>
      </c>
      <c r="B674" t="str">
        <v/>
      </c>
      <c r="C674" s="40" t="str">
        <f t="array" ref="C674">IFERROR(INDEX(checklistPesertaKemenkeu!$F$6:$F$1005,SMALL(IF(checklistPesertaKemenkeu!$AY$6:$AY$1005="Direkomendasikan",ROW($6:$1005)-5),673)),"")</f>
        <v/>
      </c>
      <c r="D674" t="str">
        <f t="array" ref="D674">IFERROR(INDEX(checklistPesertaKemenkeu!$G$6:$G$1005,SMALL(IF(checklistPesertaKemenkeu!$AY$6:$AY$1005="Direkomendasikan",ROW($6:$1005)-5),673)),"")</f>
        <v/>
      </c>
      <c r="E674" t="str">
        <f t="array" ref="E674">IFERROR(INDEX(checklistPesertaKemenkeu!$H$6:$H$1005,SMALL(IF(checklistPesertaKemenkeu!$AY$6:$AY$1005="Direkomendasikan",ROW($6:$1005)-5),673)),"")</f>
        <v/>
      </c>
      <c r="F674" t="str">
        <f t="array" ref="F674">IFERROR(INDEX(checklistPesertaKemenkeu!$I$6:$I$1005,SMALL(IF(checklistPesertaKemenkeu!$AY$6:$AY$1005="Direkomendasikan",ROW($6:$1005)-5),673)),"")</f>
        <v/>
      </c>
      <c r="G674" t="str">
        <f t="array" ref="G674">IFERROR(INDEX(checklistPesertaKemenkeu!$J$6:$J$1005,SMALL(IF(checklistPesertaKemenkeu!$AY$6:$AY$1005="Direkomendasikan",ROW($6:$1005)-5),673)),"")</f>
        <v/>
      </c>
      <c r="H674" t="str">
        <f t="array" aca="1" ref="H674" ca="1">IFERROR(IF(OR(INDEX(checklistPesertaKemenkeu!$L$6:$L$1005,SMALL(IF(checklistPesertaKemenkeu!$AY$6:$AY$1005="Direkomendasikan",ROW($6:$1005)-5),673))="",INDEX(checklistPesertaKemenkeu!$J$6:$J$1005,SMALL(IF(checklistPesertaKemenkeu!$AY$6:$AY$1005="Direkomendasikan",ROW($6:$1005)-5),673))=""),"",IF(AND(COUNTIF(INDIRECT("K_"&amp;MATCH(INDEX(checklistPesertaKemenkeu!$J$6:$J$1005,SMALL(IF(checklistPesertaKemenkeu!$AY$6:$AY$1005="Direkomendasikan",ROW($6:$1005)-5),673)),BidangList,0)),INDEX(checklistPesertaKemenkeu!$L$6:$L$1005,SMALL(IF(checklistPesertaKemenkeu!$AY$6:$AY$1005="Direkomendasikan",ROW($6:$1005)-5),673)))&gt;0,COUNTIF(INDIRECT("'KERTAS KERJA'!K"&amp;(SMALL(IF(checklistPesertaKemenkeu!$AY$6:$AY$1005="Direkomendasikan",ROW($6:$1005)-5),673)+5)&amp;":O"&amp;(SMALL(IF(checklistPesertaKemenkeu!$AY$6:$AY$1005="Direkomendasikan",ROW($6:$1005)-5),673)+5)),INDEX(checklistPesertaKemenkeu!$L$6:$L$1005,SMALL(IF(checklistPesertaKemenkeu!$AY$6:$AY$1005="Direkomendasikan",ROW($6:$1005)-5),673)))=1),IFERROR(VLOOKUP(INDEX(checklistPesertaKemenkeu!$L$6:$L$1005,SMALL(IF(checklistPesertaKemenkeu!$AY$6:$AY$1005="Direkomendasikan",ROW($6:$1005)-5),673)),KotaKode,2,0),"-"),"")),"")</f>
        <v/>
      </c>
      <c r="I674" t="str">
        <f t="array" aca="1" ref="I674" ca="1">IFERROR(IF(OR(INDEX(checklistPesertaKemenkeu!$M$6:$M$1005,SMALL(IF(checklistPesertaKemenkeu!$AY$6:$AY$1005="Direkomendasikan",ROW($6:$1005)-5),673))="",INDEX(checklistPesertaKemenkeu!$J$6:$J$1005,SMALL(IF(checklistPesertaKemenkeu!$AY$6:$AY$1005="Direkomendasikan",ROW($6:$1005)-5),673))=""),"",IF(AND(COUNTIF(INDIRECT("K_"&amp;MATCH(INDEX(checklistPesertaKemenkeu!$J$6:$J$1005,SMALL(IF(checklistPesertaKemenkeu!$AY$6:$AY$1005="Direkomendasikan",ROW($6:$1005)-5),673)),BidangList,0)),INDEX(checklistPesertaKemenkeu!$M$6:$M$1005,SMALL(IF(checklistPesertaKemenkeu!$AY$6:$AY$1005="Direkomendasikan",ROW($6:$1005)-5),673)))&gt;0,COUNTIF(INDIRECT("'KERTAS KERJA'!K"&amp;(SMALL(IF(checklistPesertaKemenkeu!$AY$6:$AY$1005="Direkomendasikan",ROW($6:$1005)-5),673)+5)&amp;":O"&amp;(SMALL(IF(checklistPesertaKemenkeu!$AY$6:$AY$1005="Direkomendasikan",ROW($6:$1005)-5),673)+5)),INDEX(checklistPesertaKemenkeu!$M$6:$M$1005,SMALL(IF(checklistPesertaKemenkeu!$AY$6:$AY$1005="Direkomendasikan",ROW($6:$1005)-5),673)))=1),IFERROR(VLOOKUP(INDEX(checklistPesertaKemenkeu!$M$6:$M$1005,SMALL(IF(checklistPesertaKemenkeu!$AY$6:$AY$1005="Direkomendasikan",ROW($6:$1005)-5),673)),KotaKode,2,0),"-"),"")),"")</f>
        <v/>
      </c>
      <c r="J674" t="str">
        <f t="array" aca="1" ref="J674" ca="1">IFERROR(IF(OR(INDEX(checklistPesertaKemenkeu!$N$6:$N$1005,SMALL(IF(checklistPesertaKemenkeu!$AY$6:$AY$1005="Direkomendasikan",ROW($6:$1005)-5),673))="",INDEX(checklistPesertaKemenkeu!$J$6:$J$1005,SMALL(IF(checklistPesertaKemenkeu!$AY$6:$AY$1005="Direkomendasikan",ROW($6:$1005)-5),673))=""),"",IF(AND(COUNTIF(INDIRECT("K_"&amp;MATCH(INDEX(checklistPesertaKemenkeu!$J$6:$J$1005,SMALL(IF(checklistPesertaKemenkeu!$AY$6:$AY$1005="Direkomendasikan",ROW($6:$1005)-5),673)),BidangList,0)),INDEX(checklistPesertaKemenkeu!$N$6:$N$1005,SMALL(IF(checklistPesertaKemenkeu!$AY$6:$AY$1005="Direkomendasikan",ROW($6:$1005)-5),673)))&gt;0,COUNTIF(INDIRECT("'KERTAS KERJA'!K"&amp;(SMALL(IF(checklistPesertaKemenkeu!$AY$6:$AY$1005="Direkomendasikan",ROW($6:$1005)-5),673)+5)&amp;":O"&amp;(SMALL(IF(checklistPesertaKemenkeu!$AY$6:$AY$1005="Direkomendasikan",ROW($6:$1005)-5),673)+5)),INDEX(checklistPesertaKemenkeu!$N$6:$N$1005,SMALL(IF(checklistPesertaKemenkeu!$AY$6:$AY$1005="Direkomendasikan",ROW($6:$1005)-5),673)))=1),IFERROR(VLOOKUP(INDEX(checklistPesertaKemenkeu!$N$6:$N$1005,SMALL(IF(checklistPesertaKemenkeu!$AY$6:$AY$1005="Direkomendasikan",ROW($6:$1005)-5),673)),KotaKode,2,0),"-"),"")),"")</f>
        <v/>
      </c>
      <c r="K674" t="str">
        <f t="array" aca="1" ref="K674" ca="1">IFERROR(IF(OR(INDEX(checklistPesertaKemenkeu!$O$6:$O$1005,SMALL(IF(checklistPesertaKemenkeu!$AY$6:$AY$1005="Direkomendasikan",ROW($6:$1005)-5),673))="",INDEX(checklistPesertaKemenkeu!$J$6:$J$1005,SMALL(IF(checklistPesertaKemenkeu!$AY$6:$AY$1005="Direkomendasikan",ROW($6:$1005)-5),673))=""),"",IF(AND(COUNTIF(INDIRECT("K_"&amp;MATCH(INDEX(checklistPesertaKemenkeu!$J$6:$J$1005,SMALL(IF(checklistPesertaKemenkeu!$AY$6:$AY$1005="Direkomendasikan",ROW($6:$1005)-5),673)),BidangList,0)),INDEX(checklistPesertaKemenkeu!$O$6:$O$1005,SMALL(IF(checklistPesertaKemenkeu!$AY$6:$AY$1005="Direkomendasikan",ROW($6:$1005)-5),673)))&gt;0,COUNTIF(INDIRECT("'KERTAS KERJA'!K"&amp;(SMALL(IF(checklistPesertaKemenkeu!$AY$6:$AY$1005="Direkomendasikan",ROW($6:$1005)-5),673)+5)&amp;":O"&amp;(SMALL(IF(checklistPesertaKemenkeu!$AY$6:$AY$1005="Direkomendasikan",ROW($6:$1005)-5),673)+5)),INDEX(checklistPesertaKemenkeu!$O$6:$O$1005,SMALL(IF(checklistPesertaKemenkeu!$AY$6:$AY$1005="Direkomendasikan",ROW($6:$1005)-5),673)))=1),IFERROR(VLOOKUP(INDEX(checklistPesertaKemenkeu!$O$6:$O$1005,SMALL(IF(checklistPesertaKemenkeu!$AY$6:$AY$1005="Direkomendasikan",ROW($6:$1005)-5),673)),KotaKode,2,0),"-"),"")),"")</f>
        <v/>
      </c>
      <c r="L674" t="str">
        <f t="array" aca="1" ref="L674" ca="1">IFERROR(IF(OR(INDEX(checklistPesertaKemenkeu!$P$6:$P$1005,SMALL(IF(checklistPesertaKemenkeu!$AY$6:$AY$1005="Direkomendasikan",ROW($6:$1005)-5),673))="",INDEX(checklistPesertaKemenkeu!$J$6:$J$1005,SMALL(IF(checklistPesertaKemenkeu!$AY$6:$AY$1005="Direkomendasikan",ROW($6:$1005)-5),673))=""),"",IF(AND(COUNTIF(INDIRECT("K_"&amp;MATCH(INDEX(checklistPesertaKemenkeu!$J$6:$J$1005,SMALL(IF(checklistPesertaKemenkeu!$AY$6:$AY$1005="Direkomendasikan",ROW($6:$1005)-5),673)),BidangList,0)),INDEX(checklistPesertaKemenkeu!$P$6:$P$1005,SMALL(IF(checklistPesertaKemenkeu!$AY$6:$AY$1005="Direkomendasikan",ROW($6:$1005)-5),673)))&gt;0,COUNTIF(INDIRECT("'KERTAS KERJA'!K"&amp;(SMALL(IF(checklistPesertaKemenkeu!$AY$6:$AY$1005="Direkomendasikan",ROW($6:$1005)-5),673)+5)&amp;":O"&amp;(SMALL(IF(checklistPesertaKemenkeu!$AY$6:$AY$1005="Direkomendasikan",ROW($6:$1005)-5),673)+5)),INDEX(checklistPesertaKemenkeu!$P$6:$P$1005,SMALL(IF(checklistPesertaKemenkeu!$AY$6:$AY$1005="Direkomendasikan",ROW($6:$1005)-5),673)))=1),IFERROR(VLOOKUP(INDEX(checklistPesertaKemenkeu!$P$6:$P$1005,SMALL(IF(checklistPesertaKemenkeu!$AY$6:$AY$1005="Direkomendasikan",ROW($6:$1005)-5),673)),KotaKode,2,0),"-"),"")),"")</f>
        <v/>
      </c>
    </row>
    <row r="675" spans="1:12" ht="15" customHeight="1" x14ac:dyDescent="0.2">
      <c r="A675" t="str">
        <f t="shared" si="10"/>
        <v/>
      </c>
      <c r="B675" t="str">
        <v/>
      </c>
      <c r="C675" s="40" t="str">
        <f t="array" ref="C675">IFERROR(INDEX(checklistPesertaKemenkeu!$F$6:$F$1005,SMALL(IF(checklistPesertaKemenkeu!$AY$6:$AY$1005="Direkomendasikan",ROW($6:$1005)-5),674)),"")</f>
        <v/>
      </c>
      <c r="D675" t="str">
        <f t="array" ref="D675">IFERROR(INDEX(checklistPesertaKemenkeu!$G$6:$G$1005,SMALL(IF(checklistPesertaKemenkeu!$AY$6:$AY$1005="Direkomendasikan",ROW($6:$1005)-5),674)),"")</f>
        <v/>
      </c>
      <c r="E675" t="str">
        <f t="array" ref="E675">IFERROR(INDEX(checklistPesertaKemenkeu!$H$6:$H$1005,SMALL(IF(checklistPesertaKemenkeu!$AY$6:$AY$1005="Direkomendasikan",ROW($6:$1005)-5),674)),"")</f>
        <v/>
      </c>
      <c r="F675" t="str">
        <f t="array" ref="F675">IFERROR(INDEX(checklistPesertaKemenkeu!$I$6:$I$1005,SMALL(IF(checklistPesertaKemenkeu!$AY$6:$AY$1005="Direkomendasikan",ROW($6:$1005)-5),674)),"")</f>
        <v/>
      </c>
      <c r="G675" t="str">
        <f t="array" ref="G675">IFERROR(INDEX(checklistPesertaKemenkeu!$J$6:$J$1005,SMALL(IF(checklistPesertaKemenkeu!$AY$6:$AY$1005="Direkomendasikan",ROW($6:$1005)-5),674)),"")</f>
        <v/>
      </c>
      <c r="H675" t="str">
        <f t="array" aca="1" ref="H675" ca="1">IFERROR(IF(OR(INDEX(checklistPesertaKemenkeu!$L$6:$L$1005,SMALL(IF(checklistPesertaKemenkeu!$AY$6:$AY$1005="Direkomendasikan",ROW($6:$1005)-5),674))="",INDEX(checklistPesertaKemenkeu!$J$6:$J$1005,SMALL(IF(checklistPesertaKemenkeu!$AY$6:$AY$1005="Direkomendasikan",ROW($6:$1005)-5),674))=""),"",IF(AND(COUNTIF(INDIRECT("K_"&amp;MATCH(INDEX(checklistPesertaKemenkeu!$J$6:$J$1005,SMALL(IF(checklistPesertaKemenkeu!$AY$6:$AY$1005="Direkomendasikan",ROW($6:$1005)-5),674)),BidangList,0)),INDEX(checklistPesertaKemenkeu!$L$6:$L$1005,SMALL(IF(checklistPesertaKemenkeu!$AY$6:$AY$1005="Direkomendasikan",ROW($6:$1005)-5),674)))&gt;0,COUNTIF(INDIRECT("'KERTAS KERJA'!K"&amp;(SMALL(IF(checklistPesertaKemenkeu!$AY$6:$AY$1005="Direkomendasikan",ROW($6:$1005)-5),674)+5)&amp;":O"&amp;(SMALL(IF(checklistPesertaKemenkeu!$AY$6:$AY$1005="Direkomendasikan",ROW($6:$1005)-5),674)+5)),INDEX(checklistPesertaKemenkeu!$L$6:$L$1005,SMALL(IF(checklistPesertaKemenkeu!$AY$6:$AY$1005="Direkomendasikan",ROW($6:$1005)-5),674)))=1),IFERROR(VLOOKUP(INDEX(checklistPesertaKemenkeu!$L$6:$L$1005,SMALL(IF(checklistPesertaKemenkeu!$AY$6:$AY$1005="Direkomendasikan",ROW($6:$1005)-5),674)),KotaKode,2,0),"-"),"")),"")</f>
        <v/>
      </c>
      <c r="I675" t="str">
        <f t="array" aca="1" ref="I675" ca="1">IFERROR(IF(OR(INDEX(checklistPesertaKemenkeu!$M$6:$M$1005,SMALL(IF(checklistPesertaKemenkeu!$AY$6:$AY$1005="Direkomendasikan",ROW($6:$1005)-5),674))="",INDEX(checklistPesertaKemenkeu!$J$6:$J$1005,SMALL(IF(checklistPesertaKemenkeu!$AY$6:$AY$1005="Direkomendasikan",ROW($6:$1005)-5),674))=""),"",IF(AND(COUNTIF(INDIRECT("K_"&amp;MATCH(INDEX(checklistPesertaKemenkeu!$J$6:$J$1005,SMALL(IF(checklistPesertaKemenkeu!$AY$6:$AY$1005="Direkomendasikan",ROW($6:$1005)-5),674)),BidangList,0)),INDEX(checklistPesertaKemenkeu!$M$6:$M$1005,SMALL(IF(checklistPesertaKemenkeu!$AY$6:$AY$1005="Direkomendasikan",ROW($6:$1005)-5),674)))&gt;0,COUNTIF(INDIRECT("'KERTAS KERJA'!K"&amp;(SMALL(IF(checklistPesertaKemenkeu!$AY$6:$AY$1005="Direkomendasikan",ROW($6:$1005)-5),674)+5)&amp;":O"&amp;(SMALL(IF(checklistPesertaKemenkeu!$AY$6:$AY$1005="Direkomendasikan",ROW($6:$1005)-5),674)+5)),INDEX(checklistPesertaKemenkeu!$M$6:$M$1005,SMALL(IF(checklistPesertaKemenkeu!$AY$6:$AY$1005="Direkomendasikan",ROW($6:$1005)-5),674)))=1),IFERROR(VLOOKUP(INDEX(checklistPesertaKemenkeu!$M$6:$M$1005,SMALL(IF(checklistPesertaKemenkeu!$AY$6:$AY$1005="Direkomendasikan",ROW($6:$1005)-5),674)),KotaKode,2,0),"-"),"")),"")</f>
        <v/>
      </c>
      <c r="J675" t="str">
        <f t="array" aca="1" ref="J675" ca="1">IFERROR(IF(OR(INDEX(checklistPesertaKemenkeu!$N$6:$N$1005,SMALL(IF(checklistPesertaKemenkeu!$AY$6:$AY$1005="Direkomendasikan",ROW($6:$1005)-5),674))="",INDEX(checklistPesertaKemenkeu!$J$6:$J$1005,SMALL(IF(checklistPesertaKemenkeu!$AY$6:$AY$1005="Direkomendasikan",ROW($6:$1005)-5),674))=""),"",IF(AND(COUNTIF(INDIRECT("K_"&amp;MATCH(INDEX(checklistPesertaKemenkeu!$J$6:$J$1005,SMALL(IF(checklistPesertaKemenkeu!$AY$6:$AY$1005="Direkomendasikan",ROW($6:$1005)-5),674)),BidangList,0)),INDEX(checklistPesertaKemenkeu!$N$6:$N$1005,SMALL(IF(checklistPesertaKemenkeu!$AY$6:$AY$1005="Direkomendasikan",ROW($6:$1005)-5),674)))&gt;0,COUNTIF(INDIRECT("'KERTAS KERJA'!K"&amp;(SMALL(IF(checklistPesertaKemenkeu!$AY$6:$AY$1005="Direkomendasikan",ROW($6:$1005)-5),674)+5)&amp;":O"&amp;(SMALL(IF(checklistPesertaKemenkeu!$AY$6:$AY$1005="Direkomendasikan",ROW($6:$1005)-5),674)+5)),INDEX(checklistPesertaKemenkeu!$N$6:$N$1005,SMALL(IF(checklistPesertaKemenkeu!$AY$6:$AY$1005="Direkomendasikan",ROW($6:$1005)-5),674)))=1),IFERROR(VLOOKUP(INDEX(checklistPesertaKemenkeu!$N$6:$N$1005,SMALL(IF(checklistPesertaKemenkeu!$AY$6:$AY$1005="Direkomendasikan",ROW($6:$1005)-5),674)),KotaKode,2,0),"-"),"")),"")</f>
        <v/>
      </c>
      <c r="K675" t="str">
        <f t="array" aca="1" ref="K675" ca="1">IFERROR(IF(OR(INDEX(checklistPesertaKemenkeu!$O$6:$O$1005,SMALL(IF(checklistPesertaKemenkeu!$AY$6:$AY$1005="Direkomendasikan",ROW($6:$1005)-5),674))="",INDEX(checklistPesertaKemenkeu!$J$6:$J$1005,SMALL(IF(checklistPesertaKemenkeu!$AY$6:$AY$1005="Direkomendasikan",ROW($6:$1005)-5),674))=""),"",IF(AND(COUNTIF(INDIRECT("K_"&amp;MATCH(INDEX(checklistPesertaKemenkeu!$J$6:$J$1005,SMALL(IF(checklistPesertaKemenkeu!$AY$6:$AY$1005="Direkomendasikan",ROW($6:$1005)-5),674)),BidangList,0)),INDEX(checklistPesertaKemenkeu!$O$6:$O$1005,SMALL(IF(checklistPesertaKemenkeu!$AY$6:$AY$1005="Direkomendasikan",ROW($6:$1005)-5),674)))&gt;0,COUNTIF(INDIRECT("'KERTAS KERJA'!K"&amp;(SMALL(IF(checklistPesertaKemenkeu!$AY$6:$AY$1005="Direkomendasikan",ROW($6:$1005)-5),674)+5)&amp;":O"&amp;(SMALL(IF(checklistPesertaKemenkeu!$AY$6:$AY$1005="Direkomendasikan",ROW($6:$1005)-5),674)+5)),INDEX(checklistPesertaKemenkeu!$O$6:$O$1005,SMALL(IF(checklistPesertaKemenkeu!$AY$6:$AY$1005="Direkomendasikan",ROW($6:$1005)-5),674)))=1),IFERROR(VLOOKUP(INDEX(checklistPesertaKemenkeu!$O$6:$O$1005,SMALL(IF(checklistPesertaKemenkeu!$AY$6:$AY$1005="Direkomendasikan",ROW($6:$1005)-5),674)),KotaKode,2,0),"-"),"")),"")</f>
        <v/>
      </c>
      <c r="L675" t="str">
        <f t="array" aca="1" ref="L675" ca="1">IFERROR(IF(OR(INDEX(checklistPesertaKemenkeu!$P$6:$P$1005,SMALL(IF(checklistPesertaKemenkeu!$AY$6:$AY$1005="Direkomendasikan",ROW($6:$1005)-5),674))="",INDEX(checklistPesertaKemenkeu!$J$6:$J$1005,SMALL(IF(checklistPesertaKemenkeu!$AY$6:$AY$1005="Direkomendasikan",ROW($6:$1005)-5),674))=""),"",IF(AND(COUNTIF(INDIRECT("K_"&amp;MATCH(INDEX(checklistPesertaKemenkeu!$J$6:$J$1005,SMALL(IF(checklistPesertaKemenkeu!$AY$6:$AY$1005="Direkomendasikan",ROW($6:$1005)-5),674)),BidangList,0)),INDEX(checklistPesertaKemenkeu!$P$6:$P$1005,SMALL(IF(checklistPesertaKemenkeu!$AY$6:$AY$1005="Direkomendasikan",ROW($6:$1005)-5),674)))&gt;0,COUNTIF(INDIRECT("'KERTAS KERJA'!K"&amp;(SMALL(IF(checklistPesertaKemenkeu!$AY$6:$AY$1005="Direkomendasikan",ROW($6:$1005)-5),674)+5)&amp;":O"&amp;(SMALL(IF(checklistPesertaKemenkeu!$AY$6:$AY$1005="Direkomendasikan",ROW($6:$1005)-5),674)+5)),INDEX(checklistPesertaKemenkeu!$P$6:$P$1005,SMALL(IF(checklistPesertaKemenkeu!$AY$6:$AY$1005="Direkomendasikan",ROW($6:$1005)-5),674)))=1),IFERROR(VLOOKUP(INDEX(checklistPesertaKemenkeu!$P$6:$P$1005,SMALL(IF(checklistPesertaKemenkeu!$AY$6:$AY$1005="Direkomendasikan",ROW($6:$1005)-5),674)),KotaKode,2,0),"-"),"")),"")</f>
        <v/>
      </c>
    </row>
    <row r="676" spans="1:12" ht="15" customHeight="1" x14ac:dyDescent="0.2">
      <c r="A676" t="str">
        <f t="shared" si="10"/>
        <v/>
      </c>
      <c r="B676" t="str">
        <v/>
      </c>
      <c r="C676" s="40" t="str">
        <f t="array" ref="C676">IFERROR(INDEX(checklistPesertaKemenkeu!$F$6:$F$1005,SMALL(IF(checklistPesertaKemenkeu!$AY$6:$AY$1005="Direkomendasikan",ROW($6:$1005)-5),675)),"")</f>
        <v/>
      </c>
      <c r="D676" t="str">
        <f t="array" ref="D676">IFERROR(INDEX(checklistPesertaKemenkeu!$G$6:$G$1005,SMALL(IF(checklistPesertaKemenkeu!$AY$6:$AY$1005="Direkomendasikan",ROW($6:$1005)-5),675)),"")</f>
        <v/>
      </c>
      <c r="E676" t="str">
        <f t="array" ref="E676">IFERROR(INDEX(checklistPesertaKemenkeu!$H$6:$H$1005,SMALL(IF(checklistPesertaKemenkeu!$AY$6:$AY$1005="Direkomendasikan",ROW($6:$1005)-5),675)),"")</f>
        <v/>
      </c>
      <c r="F676" t="str">
        <f t="array" ref="F676">IFERROR(INDEX(checklistPesertaKemenkeu!$I$6:$I$1005,SMALL(IF(checklistPesertaKemenkeu!$AY$6:$AY$1005="Direkomendasikan",ROW($6:$1005)-5),675)),"")</f>
        <v/>
      </c>
      <c r="G676" t="str">
        <f t="array" ref="G676">IFERROR(INDEX(checklistPesertaKemenkeu!$J$6:$J$1005,SMALL(IF(checklistPesertaKemenkeu!$AY$6:$AY$1005="Direkomendasikan",ROW($6:$1005)-5),675)),"")</f>
        <v/>
      </c>
      <c r="H676" t="str">
        <f t="array" aca="1" ref="H676" ca="1">IFERROR(IF(OR(INDEX(checklistPesertaKemenkeu!$L$6:$L$1005,SMALL(IF(checklistPesertaKemenkeu!$AY$6:$AY$1005="Direkomendasikan",ROW($6:$1005)-5),675))="",INDEX(checklistPesertaKemenkeu!$J$6:$J$1005,SMALL(IF(checklistPesertaKemenkeu!$AY$6:$AY$1005="Direkomendasikan",ROW($6:$1005)-5),675))=""),"",IF(AND(COUNTIF(INDIRECT("K_"&amp;MATCH(INDEX(checklistPesertaKemenkeu!$J$6:$J$1005,SMALL(IF(checklistPesertaKemenkeu!$AY$6:$AY$1005="Direkomendasikan",ROW($6:$1005)-5),675)),BidangList,0)),INDEX(checklistPesertaKemenkeu!$L$6:$L$1005,SMALL(IF(checklistPesertaKemenkeu!$AY$6:$AY$1005="Direkomendasikan",ROW($6:$1005)-5),675)))&gt;0,COUNTIF(INDIRECT("'KERTAS KERJA'!K"&amp;(SMALL(IF(checklistPesertaKemenkeu!$AY$6:$AY$1005="Direkomendasikan",ROW($6:$1005)-5),675)+5)&amp;":O"&amp;(SMALL(IF(checklistPesertaKemenkeu!$AY$6:$AY$1005="Direkomendasikan",ROW($6:$1005)-5),675)+5)),INDEX(checklistPesertaKemenkeu!$L$6:$L$1005,SMALL(IF(checklistPesertaKemenkeu!$AY$6:$AY$1005="Direkomendasikan",ROW($6:$1005)-5),675)))=1),IFERROR(VLOOKUP(INDEX(checklistPesertaKemenkeu!$L$6:$L$1005,SMALL(IF(checklistPesertaKemenkeu!$AY$6:$AY$1005="Direkomendasikan",ROW($6:$1005)-5),675)),KotaKode,2,0),"-"),"")),"")</f>
        <v/>
      </c>
      <c r="I676" t="str">
        <f t="array" aca="1" ref="I676" ca="1">IFERROR(IF(OR(INDEX(checklistPesertaKemenkeu!$M$6:$M$1005,SMALL(IF(checklistPesertaKemenkeu!$AY$6:$AY$1005="Direkomendasikan",ROW($6:$1005)-5),675))="",INDEX(checklistPesertaKemenkeu!$J$6:$J$1005,SMALL(IF(checklistPesertaKemenkeu!$AY$6:$AY$1005="Direkomendasikan",ROW($6:$1005)-5),675))=""),"",IF(AND(COUNTIF(INDIRECT("K_"&amp;MATCH(INDEX(checklistPesertaKemenkeu!$J$6:$J$1005,SMALL(IF(checklistPesertaKemenkeu!$AY$6:$AY$1005="Direkomendasikan",ROW($6:$1005)-5),675)),BidangList,0)),INDEX(checklistPesertaKemenkeu!$M$6:$M$1005,SMALL(IF(checklistPesertaKemenkeu!$AY$6:$AY$1005="Direkomendasikan",ROW($6:$1005)-5),675)))&gt;0,COUNTIF(INDIRECT("'KERTAS KERJA'!K"&amp;(SMALL(IF(checklistPesertaKemenkeu!$AY$6:$AY$1005="Direkomendasikan",ROW($6:$1005)-5),675)+5)&amp;":O"&amp;(SMALL(IF(checklistPesertaKemenkeu!$AY$6:$AY$1005="Direkomendasikan",ROW($6:$1005)-5),675)+5)),INDEX(checklistPesertaKemenkeu!$M$6:$M$1005,SMALL(IF(checklistPesertaKemenkeu!$AY$6:$AY$1005="Direkomendasikan",ROW($6:$1005)-5),675)))=1),IFERROR(VLOOKUP(INDEX(checklistPesertaKemenkeu!$M$6:$M$1005,SMALL(IF(checklistPesertaKemenkeu!$AY$6:$AY$1005="Direkomendasikan",ROW($6:$1005)-5),675)),KotaKode,2,0),"-"),"")),"")</f>
        <v/>
      </c>
      <c r="J676" t="str">
        <f t="array" aca="1" ref="J676" ca="1">IFERROR(IF(OR(INDEX(checklistPesertaKemenkeu!$N$6:$N$1005,SMALL(IF(checklistPesertaKemenkeu!$AY$6:$AY$1005="Direkomendasikan",ROW($6:$1005)-5),675))="",INDEX(checklistPesertaKemenkeu!$J$6:$J$1005,SMALL(IF(checklistPesertaKemenkeu!$AY$6:$AY$1005="Direkomendasikan",ROW($6:$1005)-5),675))=""),"",IF(AND(COUNTIF(INDIRECT("K_"&amp;MATCH(INDEX(checklistPesertaKemenkeu!$J$6:$J$1005,SMALL(IF(checklistPesertaKemenkeu!$AY$6:$AY$1005="Direkomendasikan",ROW($6:$1005)-5),675)),BidangList,0)),INDEX(checklistPesertaKemenkeu!$N$6:$N$1005,SMALL(IF(checklistPesertaKemenkeu!$AY$6:$AY$1005="Direkomendasikan",ROW($6:$1005)-5),675)))&gt;0,COUNTIF(INDIRECT("'KERTAS KERJA'!K"&amp;(SMALL(IF(checklistPesertaKemenkeu!$AY$6:$AY$1005="Direkomendasikan",ROW($6:$1005)-5),675)+5)&amp;":O"&amp;(SMALL(IF(checklistPesertaKemenkeu!$AY$6:$AY$1005="Direkomendasikan",ROW($6:$1005)-5),675)+5)),INDEX(checklistPesertaKemenkeu!$N$6:$N$1005,SMALL(IF(checklistPesertaKemenkeu!$AY$6:$AY$1005="Direkomendasikan",ROW($6:$1005)-5),675)))=1),IFERROR(VLOOKUP(INDEX(checklistPesertaKemenkeu!$N$6:$N$1005,SMALL(IF(checklistPesertaKemenkeu!$AY$6:$AY$1005="Direkomendasikan",ROW($6:$1005)-5),675)),KotaKode,2,0),"-"),"")),"")</f>
        <v/>
      </c>
      <c r="K676" t="str">
        <f t="array" aca="1" ref="K676" ca="1">IFERROR(IF(OR(INDEX(checklistPesertaKemenkeu!$O$6:$O$1005,SMALL(IF(checklistPesertaKemenkeu!$AY$6:$AY$1005="Direkomendasikan",ROW($6:$1005)-5),675))="",INDEX(checklistPesertaKemenkeu!$J$6:$J$1005,SMALL(IF(checklistPesertaKemenkeu!$AY$6:$AY$1005="Direkomendasikan",ROW($6:$1005)-5),675))=""),"",IF(AND(COUNTIF(INDIRECT("K_"&amp;MATCH(INDEX(checklistPesertaKemenkeu!$J$6:$J$1005,SMALL(IF(checklistPesertaKemenkeu!$AY$6:$AY$1005="Direkomendasikan",ROW($6:$1005)-5),675)),BidangList,0)),INDEX(checklistPesertaKemenkeu!$O$6:$O$1005,SMALL(IF(checklistPesertaKemenkeu!$AY$6:$AY$1005="Direkomendasikan",ROW($6:$1005)-5),675)))&gt;0,COUNTIF(INDIRECT("'KERTAS KERJA'!K"&amp;(SMALL(IF(checklistPesertaKemenkeu!$AY$6:$AY$1005="Direkomendasikan",ROW($6:$1005)-5),675)+5)&amp;":O"&amp;(SMALL(IF(checklistPesertaKemenkeu!$AY$6:$AY$1005="Direkomendasikan",ROW($6:$1005)-5),675)+5)),INDEX(checklistPesertaKemenkeu!$O$6:$O$1005,SMALL(IF(checklistPesertaKemenkeu!$AY$6:$AY$1005="Direkomendasikan",ROW($6:$1005)-5),675)))=1),IFERROR(VLOOKUP(INDEX(checklistPesertaKemenkeu!$O$6:$O$1005,SMALL(IF(checklistPesertaKemenkeu!$AY$6:$AY$1005="Direkomendasikan",ROW($6:$1005)-5),675)),KotaKode,2,0),"-"),"")),"")</f>
        <v/>
      </c>
      <c r="L676" t="str">
        <f t="array" aca="1" ref="L676" ca="1">IFERROR(IF(OR(INDEX(checklistPesertaKemenkeu!$P$6:$P$1005,SMALL(IF(checklistPesertaKemenkeu!$AY$6:$AY$1005="Direkomendasikan",ROW($6:$1005)-5),675))="",INDEX(checklistPesertaKemenkeu!$J$6:$J$1005,SMALL(IF(checklistPesertaKemenkeu!$AY$6:$AY$1005="Direkomendasikan",ROW($6:$1005)-5),675))=""),"",IF(AND(COUNTIF(INDIRECT("K_"&amp;MATCH(INDEX(checklistPesertaKemenkeu!$J$6:$J$1005,SMALL(IF(checklistPesertaKemenkeu!$AY$6:$AY$1005="Direkomendasikan",ROW($6:$1005)-5),675)),BidangList,0)),INDEX(checklistPesertaKemenkeu!$P$6:$P$1005,SMALL(IF(checklistPesertaKemenkeu!$AY$6:$AY$1005="Direkomendasikan",ROW($6:$1005)-5),675)))&gt;0,COUNTIF(INDIRECT("'KERTAS KERJA'!K"&amp;(SMALL(IF(checklistPesertaKemenkeu!$AY$6:$AY$1005="Direkomendasikan",ROW($6:$1005)-5),675)+5)&amp;":O"&amp;(SMALL(IF(checklistPesertaKemenkeu!$AY$6:$AY$1005="Direkomendasikan",ROW($6:$1005)-5),675)+5)),INDEX(checklistPesertaKemenkeu!$P$6:$P$1005,SMALL(IF(checklistPesertaKemenkeu!$AY$6:$AY$1005="Direkomendasikan",ROW($6:$1005)-5),675)))=1),IFERROR(VLOOKUP(INDEX(checklistPesertaKemenkeu!$P$6:$P$1005,SMALL(IF(checklistPesertaKemenkeu!$AY$6:$AY$1005="Direkomendasikan",ROW($6:$1005)-5),675)),KotaKode,2,0),"-"),"")),"")</f>
        <v/>
      </c>
    </row>
    <row r="677" spans="1:12" ht="15" customHeight="1" x14ac:dyDescent="0.2">
      <c r="A677" t="str">
        <f t="shared" si="10"/>
        <v/>
      </c>
      <c r="B677" t="str">
        <v/>
      </c>
      <c r="C677" s="40" t="str">
        <f t="array" ref="C677">IFERROR(INDEX(checklistPesertaKemenkeu!$F$6:$F$1005,SMALL(IF(checklistPesertaKemenkeu!$AY$6:$AY$1005="Direkomendasikan",ROW($6:$1005)-5),676)),"")</f>
        <v/>
      </c>
      <c r="D677" t="str">
        <f t="array" ref="D677">IFERROR(INDEX(checklistPesertaKemenkeu!$G$6:$G$1005,SMALL(IF(checklistPesertaKemenkeu!$AY$6:$AY$1005="Direkomendasikan",ROW($6:$1005)-5),676)),"")</f>
        <v/>
      </c>
      <c r="E677" t="str">
        <f t="array" ref="E677">IFERROR(INDEX(checklistPesertaKemenkeu!$H$6:$H$1005,SMALL(IF(checklistPesertaKemenkeu!$AY$6:$AY$1005="Direkomendasikan",ROW($6:$1005)-5),676)),"")</f>
        <v/>
      </c>
      <c r="F677" t="str">
        <f t="array" ref="F677">IFERROR(INDEX(checklistPesertaKemenkeu!$I$6:$I$1005,SMALL(IF(checklistPesertaKemenkeu!$AY$6:$AY$1005="Direkomendasikan",ROW($6:$1005)-5),676)),"")</f>
        <v/>
      </c>
      <c r="G677" t="str">
        <f t="array" ref="G677">IFERROR(INDEX(checklistPesertaKemenkeu!$J$6:$J$1005,SMALL(IF(checklistPesertaKemenkeu!$AY$6:$AY$1005="Direkomendasikan",ROW($6:$1005)-5),676)),"")</f>
        <v/>
      </c>
      <c r="H677" t="str">
        <f t="array" aca="1" ref="H677" ca="1">IFERROR(IF(OR(INDEX(checklistPesertaKemenkeu!$L$6:$L$1005,SMALL(IF(checklistPesertaKemenkeu!$AY$6:$AY$1005="Direkomendasikan",ROW($6:$1005)-5),676))="",INDEX(checklistPesertaKemenkeu!$J$6:$J$1005,SMALL(IF(checklistPesertaKemenkeu!$AY$6:$AY$1005="Direkomendasikan",ROW($6:$1005)-5),676))=""),"",IF(AND(COUNTIF(INDIRECT("K_"&amp;MATCH(INDEX(checklistPesertaKemenkeu!$J$6:$J$1005,SMALL(IF(checklistPesertaKemenkeu!$AY$6:$AY$1005="Direkomendasikan",ROW($6:$1005)-5),676)),BidangList,0)),INDEX(checklistPesertaKemenkeu!$L$6:$L$1005,SMALL(IF(checklistPesertaKemenkeu!$AY$6:$AY$1005="Direkomendasikan",ROW($6:$1005)-5),676)))&gt;0,COUNTIF(INDIRECT("'KERTAS KERJA'!K"&amp;(SMALL(IF(checklistPesertaKemenkeu!$AY$6:$AY$1005="Direkomendasikan",ROW($6:$1005)-5),676)+5)&amp;":O"&amp;(SMALL(IF(checklistPesertaKemenkeu!$AY$6:$AY$1005="Direkomendasikan",ROW($6:$1005)-5),676)+5)),INDEX(checklistPesertaKemenkeu!$L$6:$L$1005,SMALL(IF(checklistPesertaKemenkeu!$AY$6:$AY$1005="Direkomendasikan",ROW($6:$1005)-5),676)))=1),IFERROR(VLOOKUP(INDEX(checklistPesertaKemenkeu!$L$6:$L$1005,SMALL(IF(checklistPesertaKemenkeu!$AY$6:$AY$1005="Direkomendasikan",ROW($6:$1005)-5),676)),KotaKode,2,0),"-"),"")),"")</f>
        <v/>
      </c>
      <c r="I677" t="str">
        <f t="array" aca="1" ref="I677" ca="1">IFERROR(IF(OR(INDEX(checklistPesertaKemenkeu!$M$6:$M$1005,SMALL(IF(checklistPesertaKemenkeu!$AY$6:$AY$1005="Direkomendasikan",ROW($6:$1005)-5),676))="",INDEX(checklistPesertaKemenkeu!$J$6:$J$1005,SMALL(IF(checklistPesertaKemenkeu!$AY$6:$AY$1005="Direkomendasikan",ROW($6:$1005)-5),676))=""),"",IF(AND(COUNTIF(INDIRECT("K_"&amp;MATCH(INDEX(checklistPesertaKemenkeu!$J$6:$J$1005,SMALL(IF(checklistPesertaKemenkeu!$AY$6:$AY$1005="Direkomendasikan",ROW($6:$1005)-5),676)),BidangList,0)),INDEX(checklistPesertaKemenkeu!$M$6:$M$1005,SMALL(IF(checklistPesertaKemenkeu!$AY$6:$AY$1005="Direkomendasikan",ROW($6:$1005)-5),676)))&gt;0,COUNTIF(INDIRECT("'KERTAS KERJA'!K"&amp;(SMALL(IF(checklistPesertaKemenkeu!$AY$6:$AY$1005="Direkomendasikan",ROW($6:$1005)-5),676)+5)&amp;":O"&amp;(SMALL(IF(checklistPesertaKemenkeu!$AY$6:$AY$1005="Direkomendasikan",ROW($6:$1005)-5),676)+5)),INDEX(checklistPesertaKemenkeu!$M$6:$M$1005,SMALL(IF(checklistPesertaKemenkeu!$AY$6:$AY$1005="Direkomendasikan",ROW($6:$1005)-5),676)))=1),IFERROR(VLOOKUP(INDEX(checklistPesertaKemenkeu!$M$6:$M$1005,SMALL(IF(checklistPesertaKemenkeu!$AY$6:$AY$1005="Direkomendasikan",ROW($6:$1005)-5),676)),KotaKode,2,0),"-"),"")),"")</f>
        <v/>
      </c>
      <c r="J677" t="str">
        <f t="array" aca="1" ref="J677" ca="1">IFERROR(IF(OR(INDEX(checklistPesertaKemenkeu!$N$6:$N$1005,SMALL(IF(checklistPesertaKemenkeu!$AY$6:$AY$1005="Direkomendasikan",ROW($6:$1005)-5),676))="",INDEX(checklistPesertaKemenkeu!$J$6:$J$1005,SMALL(IF(checklistPesertaKemenkeu!$AY$6:$AY$1005="Direkomendasikan",ROW($6:$1005)-5),676))=""),"",IF(AND(COUNTIF(INDIRECT("K_"&amp;MATCH(INDEX(checklistPesertaKemenkeu!$J$6:$J$1005,SMALL(IF(checklistPesertaKemenkeu!$AY$6:$AY$1005="Direkomendasikan",ROW($6:$1005)-5),676)),BidangList,0)),INDEX(checklistPesertaKemenkeu!$N$6:$N$1005,SMALL(IF(checklistPesertaKemenkeu!$AY$6:$AY$1005="Direkomendasikan",ROW($6:$1005)-5),676)))&gt;0,COUNTIF(INDIRECT("'KERTAS KERJA'!K"&amp;(SMALL(IF(checklistPesertaKemenkeu!$AY$6:$AY$1005="Direkomendasikan",ROW($6:$1005)-5),676)+5)&amp;":O"&amp;(SMALL(IF(checklistPesertaKemenkeu!$AY$6:$AY$1005="Direkomendasikan",ROW($6:$1005)-5),676)+5)),INDEX(checklistPesertaKemenkeu!$N$6:$N$1005,SMALL(IF(checklistPesertaKemenkeu!$AY$6:$AY$1005="Direkomendasikan",ROW($6:$1005)-5),676)))=1),IFERROR(VLOOKUP(INDEX(checklistPesertaKemenkeu!$N$6:$N$1005,SMALL(IF(checklistPesertaKemenkeu!$AY$6:$AY$1005="Direkomendasikan",ROW($6:$1005)-5),676)),KotaKode,2,0),"-"),"")),"")</f>
        <v/>
      </c>
      <c r="K677" t="str">
        <f t="array" aca="1" ref="K677" ca="1">IFERROR(IF(OR(INDEX(checklistPesertaKemenkeu!$O$6:$O$1005,SMALL(IF(checklistPesertaKemenkeu!$AY$6:$AY$1005="Direkomendasikan",ROW($6:$1005)-5),676))="",INDEX(checklistPesertaKemenkeu!$J$6:$J$1005,SMALL(IF(checklistPesertaKemenkeu!$AY$6:$AY$1005="Direkomendasikan",ROW($6:$1005)-5),676))=""),"",IF(AND(COUNTIF(INDIRECT("K_"&amp;MATCH(INDEX(checklistPesertaKemenkeu!$J$6:$J$1005,SMALL(IF(checklistPesertaKemenkeu!$AY$6:$AY$1005="Direkomendasikan",ROW($6:$1005)-5),676)),BidangList,0)),INDEX(checklistPesertaKemenkeu!$O$6:$O$1005,SMALL(IF(checklistPesertaKemenkeu!$AY$6:$AY$1005="Direkomendasikan",ROW($6:$1005)-5),676)))&gt;0,COUNTIF(INDIRECT("'KERTAS KERJA'!K"&amp;(SMALL(IF(checklistPesertaKemenkeu!$AY$6:$AY$1005="Direkomendasikan",ROW($6:$1005)-5),676)+5)&amp;":O"&amp;(SMALL(IF(checklistPesertaKemenkeu!$AY$6:$AY$1005="Direkomendasikan",ROW($6:$1005)-5),676)+5)),INDEX(checklistPesertaKemenkeu!$O$6:$O$1005,SMALL(IF(checklistPesertaKemenkeu!$AY$6:$AY$1005="Direkomendasikan",ROW($6:$1005)-5),676)))=1),IFERROR(VLOOKUP(INDEX(checklistPesertaKemenkeu!$O$6:$O$1005,SMALL(IF(checklistPesertaKemenkeu!$AY$6:$AY$1005="Direkomendasikan",ROW($6:$1005)-5),676)),KotaKode,2,0),"-"),"")),"")</f>
        <v/>
      </c>
      <c r="L677" t="str">
        <f t="array" aca="1" ref="L677" ca="1">IFERROR(IF(OR(INDEX(checklistPesertaKemenkeu!$P$6:$P$1005,SMALL(IF(checklistPesertaKemenkeu!$AY$6:$AY$1005="Direkomendasikan",ROW($6:$1005)-5),676))="",INDEX(checklistPesertaKemenkeu!$J$6:$J$1005,SMALL(IF(checklistPesertaKemenkeu!$AY$6:$AY$1005="Direkomendasikan",ROW($6:$1005)-5),676))=""),"",IF(AND(COUNTIF(INDIRECT("K_"&amp;MATCH(INDEX(checklistPesertaKemenkeu!$J$6:$J$1005,SMALL(IF(checklistPesertaKemenkeu!$AY$6:$AY$1005="Direkomendasikan",ROW($6:$1005)-5),676)),BidangList,0)),INDEX(checklistPesertaKemenkeu!$P$6:$P$1005,SMALL(IF(checklistPesertaKemenkeu!$AY$6:$AY$1005="Direkomendasikan",ROW($6:$1005)-5),676)))&gt;0,COUNTIF(INDIRECT("'KERTAS KERJA'!K"&amp;(SMALL(IF(checklistPesertaKemenkeu!$AY$6:$AY$1005="Direkomendasikan",ROW($6:$1005)-5),676)+5)&amp;":O"&amp;(SMALL(IF(checklistPesertaKemenkeu!$AY$6:$AY$1005="Direkomendasikan",ROW($6:$1005)-5),676)+5)),INDEX(checklistPesertaKemenkeu!$P$6:$P$1005,SMALL(IF(checklistPesertaKemenkeu!$AY$6:$AY$1005="Direkomendasikan",ROW($6:$1005)-5),676)))=1),IFERROR(VLOOKUP(INDEX(checklistPesertaKemenkeu!$P$6:$P$1005,SMALL(IF(checklistPesertaKemenkeu!$AY$6:$AY$1005="Direkomendasikan",ROW($6:$1005)-5),676)),KotaKode,2,0),"-"),"")),"")</f>
        <v/>
      </c>
    </row>
    <row r="678" spans="1:12" ht="15" customHeight="1" x14ac:dyDescent="0.2">
      <c r="A678" t="str">
        <f t="shared" si="10"/>
        <v/>
      </c>
      <c r="B678" t="str">
        <v/>
      </c>
      <c r="C678" s="40" t="str">
        <f t="array" ref="C678">IFERROR(INDEX(checklistPesertaKemenkeu!$F$6:$F$1005,SMALL(IF(checklistPesertaKemenkeu!$AY$6:$AY$1005="Direkomendasikan",ROW($6:$1005)-5),677)),"")</f>
        <v/>
      </c>
      <c r="D678" t="str">
        <f t="array" ref="D678">IFERROR(INDEX(checklistPesertaKemenkeu!$G$6:$G$1005,SMALL(IF(checklistPesertaKemenkeu!$AY$6:$AY$1005="Direkomendasikan",ROW($6:$1005)-5),677)),"")</f>
        <v/>
      </c>
      <c r="E678" t="str">
        <f t="array" ref="E678">IFERROR(INDEX(checklistPesertaKemenkeu!$H$6:$H$1005,SMALL(IF(checklistPesertaKemenkeu!$AY$6:$AY$1005="Direkomendasikan",ROW($6:$1005)-5),677)),"")</f>
        <v/>
      </c>
      <c r="F678" t="str">
        <f t="array" ref="F678">IFERROR(INDEX(checklistPesertaKemenkeu!$I$6:$I$1005,SMALL(IF(checklistPesertaKemenkeu!$AY$6:$AY$1005="Direkomendasikan",ROW($6:$1005)-5),677)),"")</f>
        <v/>
      </c>
      <c r="G678" t="str">
        <f t="array" ref="G678">IFERROR(INDEX(checklistPesertaKemenkeu!$J$6:$J$1005,SMALL(IF(checklistPesertaKemenkeu!$AY$6:$AY$1005="Direkomendasikan",ROW($6:$1005)-5),677)),"")</f>
        <v/>
      </c>
      <c r="H678" t="str">
        <f t="array" aca="1" ref="H678" ca="1">IFERROR(IF(OR(INDEX(checklistPesertaKemenkeu!$L$6:$L$1005,SMALL(IF(checklistPesertaKemenkeu!$AY$6:$AY$1005="Direkomendasikan",ROW($6:$1005)-5),677))="",INDEX(checklistPesertaKemenkeu!$J$6:$J$1005,SMALL(IF(checklistPesertaKemenkeu!$AY$6:$AY$1005="Direkomendasikan",ROW($6:$1005)-5),677))=""),"",IF(AND(COUNTIF(INDIRECT("K_"&amp;MATCH(INDEX(checklistPesertaKemenkeu!$J$6:$J$1005,SMALL(IF(checklistPesertaKemenkeu!$AY$6:$AY$1005="Direkomendasikan",ROW($6:$1005)-5),677)),BidangList,0)),INDEX(checklistPesertaKemenkeu!$L$6:$L$1005,SMALL(IF(checklistPesertaKemenkeu!$AY$6:$AY$1005="Direkomendasikan",ROW($6:$1005)-5),677)))&gt;0,COUNTIF(INDIRECT("'KERTAS KERJA'!K"&amp;(SMALL(IF(checklistPesertaKemenkeu!$AY$6:$AY$1005="Direkomendasikan",ROW($6:$1005)-5),677)+5)&amp;":O"&amp;(SMALL(IF(checklistPesertaKemenkeu!$AY$6:$AY$1005="Direkomendasikan",ROW($6:$1005)-5),677)+5)),INDEX(checklistPesertaKemenkeu!$L$6:$L$1005,SMALL(IF(checklistPesertaKemenkeu!$AY$6:$AY$1005="Direkomendasikan",ROW($6:$1005)-5),677)))=1),IFERROR(VLOOKUP(INDEX(checklistPesertaKemenkeu!$L$6:$L$1005,SMALL(IF(checklistPesertaKemenkeu!$AY$6:$AY$1005="Direkomendasikan",ROW($6:$1005)-5),677)),KotaKode,2,0),"-"),"")),"")</f>
        <v/>
      </c>
      <c r="I678" t="str">
        <f t="array" aca="1" ref="I678" ca="1">IFERROR(IF(OR(INDEX(checklistPesertaKemenkeu!$M$6:$M$1005,SMALL(IF(checklistPesertaKemenkeu!$AY$6:$AY$1005="Direkomendasikan",ROW($6:$1005)-5),677))="",INDEX(checklistPesertaKemenkeu!$J$6:$J$1005,SMALL(IF(checklistPesertaKemenkeu!$AY$6:$AY$1005="Direkomendasikan",ROW($6:$1005)-5),677))=""),"",IF(AND(COUNTIF(INDIRECT("K_"&amp;MATCH(INDEX(checklistPesertaKemenkeu!$J$6:$J$1005,SMALL(IF(checklistPesertaKemenkeu!$AY$6:$AY$1005="Direkomendasikan",ROW($6:$1005)-5),677)),BidangList,0)),INDEX(checklistPesertaKemenkeu!$M$6:$M$1005,SMALL(IF(checklistPesertaKemenkeu!$AY$6:$AY$1005="Direkomendasikan",ROW($6:$1005)-5),677)))&gt;0,COUNTIF(INDIRECT("'KERTAS KERJA'!K"&amp;(SMALL(IF(checklistPesertaKemenkeu!$AY$6:$AY$1005="Direkomendasikan",ROW($6:$1005)-5),677)+5)&amp;":O"&amp;(SMALL(IF(checklistPesertaKemenkeu!$AY$6:$AY$1005="Direkomendasikan",ROW($6:$1005)-5),677)+5)),INDEX(checklistPesertaKemenkeu!$M$6:$M$1005,SMALL(IF(checklistPesertaKemenkeu!$AY$6:$AY$1005="Direkomendasikan",ROW($6:$1005)-5),677)))=1),IFERROR(VLOOKUP(INDEX(checklistPesertaKemenkeu!$M$6:$M$1005,SMALL(IF(checklistPesertaKemenkeu!$AY$6:$AY$1005="Direkomendasikan",ROW($6:$1005)-5),677)),KotaKode,2,0),"-"),"")),"")</f>
        <v/>
      </c>
      <c r="J678" t="str">
        <f t="array" aca="1" ref="J678" ca="1">IFERROR(IF(OR(INDEX(checklistPesertaKemenkeu!$N$6:$N$1005,SMALL(IF(checklistPesertaKemenkeu!$AY$6:$AY$1005="Direkomendasikan",ROW($6:$1005)-5),677))="",INDEX(checklistPesertaKemenkeu!$J$6:$J$1005,SMALL(IF(checklistPesertaKemenkeu!$AY$6:$AY$1005="Direkomendasikan",ROW($6:$1005)-5),677))=""),"",IF(AND(COUNTIF(INDIRECT("K_"&amp;MATCH(INDEX(checklistPesertaKemenkeu!$J$6:$J$1005,SMALL(IF(checklistPesertaKemenkeu!$AY$6:$AY$1005="Direkomendasikan",ROW($6:$1005)-5),677)),BidangList,0)),INDEX(checklistPesertaKemenkeu!$N$6:$N$1005,SMALL(IF(checklistPesertaKemenkeu!$AY$6:$AY$1005="Direkomendasikan",ROW($6:$1005)-5),677)))&gt;0,COUNTIF(INDIRECT("'KERTAS KERJA'!K"&amp;(SMALL(IF(checklistPesertaKemenkeu!$AY$6:$AY$1005="Direkomendasikan",ROW($6:$1005)-5),677)+5)&amp;":O"&amp;(SMALL(IF(checklistPesertaKemenkeu!$AY$6:$AY$1005="Direkomendasikan",ROW($6:$1005)-5),677)+5)),INDEX(checklistPesertaKemenkeu!$N$6:$N$1005,SMALL(IF(checklistPesertaKemenkeu!$AY$6:$AY$1005="Direkomendasikan",ROW($6:$1005)-5),677)))=1),IFERROR(VLOOKUP(INDEX(checklistPesertaKemenkeu!$N$6:$N$1005,SMALL(IF(checklistPesertaKemenkeu!$AY$6:$AY$1005="Direkomendasikan",ROW($6:$1005)-5),677)),KotaKode,2,0),"-"),"")),"")</f>
        <v/>
      </c>
      <c r="K678" t="str">
        <f t="array" aca="1" ref="K678" ca="1">IFERROR(IF(OR(INDEX(checklistPesertaKemenkeu!$O$6:$O$1005,SMALL(IF(checklistPesertaKemenkeu!$AY$6:$AY$1005="Direkomendasikan",ROW($6:$1005)-5),677))="",INDEX(checklistPesertaKemenkeu!$J$6:$J$1005,SMALL(IF(checklistPesertaKemenkeu!$AY$6:$AY$1005="Direkomendasikan",ROW($6:$1005)-5),677))=""),"",IF(AND(COUNTIF(INDIRECT("K_"&amp;MATCH(INDEX(checklistPesertaKemenkeu!$J$6:$J$1005,SMALL(IF(checklistPesertaKemenkeu!$AY$6:$AY$1005="Direkomendasikan",ROW($6:$1005)-5),677)),BidangList,0)),INDEX(checklistPesertaKemenkeu!$O$6:$O$1005,SMALL(IF(checklistPesertaKemenkeu!$AY$6:$AY$1005="Direkomendasikan",ROW($6:$1005)-5),677)))&gt;0,COUNTIF(INDIRECT("'KERTAS KERJA'!K"&amp;(SMALL(IF(checklistPesertaKemenkeu!$AY$6:$AY$1005="Direkomendasikan",ROW($6:$1005)-5),677)+5)&amp;":O"&amp;(SMALL(IF(checklistPesertaKemenkeu!$AY$6:$AY$1005="Direkomendasikan",ROW($6:$1005)-5),677)+5)),INDEX(checklistPesertaKemenkeu!$O$6:$O$1005,SMALL(IF(checklistPesertaKemenkeu!$AY$6:$AY$1005="Direkomendasikan",ROW($6:$1005)-5),677)))=1),IFERROR(VLOOKUP(INDEX(checklistPesertaKemenkeu!$O$6:$O$1005,SMALL(IF(checklistPesertaKemenkeu!$AY$6:$AY$1005="Direkomendasikan",ROW($6:$1005)-5),677)),KotaKode,2,0),"-"),"")),"")</f>
        <v/>
      </c>
      <c r="L678" t="str">
        <f t="array" aca="1" ref="L678" ca="1">IFERROR(IF(OR(INDEX(checklistPesertaKemenkeu!$P$6:$P$1005,SMALL(IF(checklistPesertaKemenkeu!$AY$6:$AY$1005="Direkomendasikan",ROW($6:$1005)-5),677))="",INDEX(checklistPesertaKemenkeu!$J$6:$J$1005,SMALL(IF(checklistPesertaKemenkeu!$AY$6:$AY$1005="Direkomendasikan",ROW($6:$1005)-5),677))=""),"",IF(AND(COUNTIF(INDIRECT("K_"&amp;MATCH(INDEX(checklistPesertaKemenkeu!$J$6:$J$1005,SMALL(IF(checklistPesertaKemenkeu!$AY$6:$AY$1005="Direkomendasikan",ROW($6:$1005)-5),677)),BidangList,0)),INDEX(checklistPesertaKemenkeu!$P$6:$P$1005,SMALL(IF(checklistPesertaKemenkeu!$AY$6:$AY$1005="Direkomendasikan",ROW($6:$1005)-5),677)))&gt;0,COUNTIF(INDIRECT("'KERTAS KERJA'!K"&amp;(SMALL(IF(checklistPesertaKemenkeu!$AY$6:$AY$1005="Direkomendasikan",ROW($6:$1005)-5),677)+5)&amp;":O"&amp;(SMALL(IF(checklistPesertaKemenkeu!$AY$6:$AY$1005="Direkomendasikan",ROW($6:$1005)-5),677)+5)),INDEX(checklistPesertaKemenkeu!$P$6:$P$1005,SMALL(IF(checklistPesertaKemenkeu!$AY$6:$AY$1005="Direkomendasikan",ROW($6:$1005)-5),677)))=1),IFERROR(VLOOKUP(INDEX(checklistPesertaKemenkeu!$P$6:$P$1005,SMALL(IF(checklistPesertaKemenkeu!$AY$6:$AY$1005="Direkomendasikan",ROW($6:$1005)-5),677)),KotaKode,2,0),"-"),"")),"")</f>
        <v/>
      </c>
    </row>
    <row r="679" spans="1:12" ht="15" customHeight="1" x14ac:dyDescent="0.2">
      <c r="A679" t="str">
        <f t="shared" si="10"/>
        <v/>
      </c>
      <c r="B679" t="str">
        <v/>
      </c>
      <c r="C679" s="40" t="str">
        <f t="array" ref="C679">IFERROR(INDEX(checklistPesertaKemenkeu!$F$6:$F$1005,SMALL(IF(checklistPesertaKemenkeu!$AY$6:$AY$1005="Direkomendasikan",ROW($6:$1005)-5),678)),"")</f>
        <v/>
      </c>
      <c r="D679" t="str">
        <f t="array" ref="D679">IFERROR(INDEX(checklistPesertaKemenkeu!$G$6:$G$1005,SMALL(IF(checklistPesertaKemenkeu!$AY$6:$AY$1005="Direkomendasikan",ROW($6:$1005)-5),678)),"")</f>
        <v/>
      </c>
      <c r="E679" t="str">
        <f t="array" ref="E679">IFERROR(INDEX(checklistPesertaKemenkeu!$H$6:$H$1005,SMALL(IF(checklistPesertaKemenkeu!$AY$6:$AY$1005="Direkomendasikan",ROW($6:$1005)-5),678)),"")</f>
        <v/>
      </c>
      <c r="F679" t="str">
        <f t="array" ref="F679">IFERROR(INDEX(checklistPesertaKemenkeu!$I$6:$I$1005,SMALL(IF(checklistPesertaKemenkeu!$AY$6:$AY$1005="Direkomendasikan",ROW($6:$1005)-5),678)),"")</f>
        <v/>
      </c>
      <c r="G679" t="str">
        <f t="array" ref="G679">IFERROR(INDEX(checklistPesertaKemenkeu!$J$6:$J$1005,SMALL(IF(checklistPesertaKemenkeu!$AY$6:$AY$1005="Direkomendasikan",ROW($6:$1005)-5),678)),"")</f>
        <v/>
      </c>
      <c r="H679" t="str">
        <f t="array" aca="1" ref="H679" ca="1">IFERROR(IF(OR(INDEX(checklistPesertaKemenkeu!$L$6:$L$1005,SMALL(IF(checklistPesertaKemenkeu!$AY$6:$AY$1005="Direkomendasikan",ROW($6:$1005)-5),678))="",INDEX(checklistPesertaKemenkeu!$J$6:$J$1005,SMALL(IF(checklistPesertaKemenkeu!$AY$6:$AY$1005="Direkomendasikan",ROW($6:$1005)-5),678))=""),"",IF(AND(COUNTIF(INDIRECT("K_"&amp;MATCH(INDEX(checklistPesertaKemenkeu!$J$6:$J$1005,SMALL(IF(checklistPesertaKemenkeu!$AY$6:$AY$1005="Direkomendasikan",ROW($6:$1005)-5),678)),BidangList,0)),INDEX(checklistPesertaKemenkeu!$L$6:$L$1005,SMALL(IF(checklistPesertaKemenkeu!$AY$6:$AY$1005="Direkomendasikan",ROW($6:$1005)-5),678)))&gt;0,COUNTIF(INDIRECT("'KERTAS KERJA'!K"&amp;(SMALL(IF(checklistPesertaKemenkeu!$AY$6:$AY$1005="Direkomendasikan",ROW($6:$1005)-5),678)+5)&amp;":O"&amp;(SMALL(IF(checklistPesertaKemenkeu!$AY$6:$AY$1005="Direkomendasikan",ROW($6:$1005)-5),678)+5)),INDEX(checklistPesertaKemenkeu!$L$6:$L$1005,SMALL(IF(checklistPesertaKemenkeu!$AY$6:$AY$1005="Direkomendasikan",ROW($6:$1005)-5),678)))=1),IFERROR(VLOOKUP(INDEX(checklistPesertaKemenkeu!$L$6:$L$1005,SMALL(IF(checklistPesertaKemenkeu!$AY$6:$AY$1005="Direkomendasikan",ROW($6:$1005)-5),678)),KotaKode,2,0),"-"),"")),"")</f>
        <v/>
      </c>
      <c r="I679" t="str">
        <f t="array" aca="1" ref="I679" ca="1">IFERROR(IF(OR(INDEX(checklistPesertaKemenkeu!$M$6:$M$1005,SMALL(IF(checklistPesertaKemenkeu!$AY$6:$AY$1005="Direkomendasikan",ROW($6:$1005)-5),678))="",INDEX(checklistPesertaKemenkeu!$J$6:$J$1005,SMALL(IF(checklistPesertaKemenkeu!$AY$6:$AY$1005="Direkomendasikan",ROW($6:$1005)-5),678))=""),"",IF(AND(COUNTIF(INDIRECT("K_"&amp;MATCH(INDEX(checklistPesertaKemenkeu!$J$6:$J$1005,SMALL(IF(checklistPesertaKemenkeu!$AY$6:$AY$1005="Direkomendasikan",ROW($6:$1005)-5),678)),BidangList,0)),INDEX(checklistPesertaKemenkeu!$M$6:$M$1005,SMALL(IF(checklistPesertaKemenkeu!$AY$6:$AY$1005="Direkomendasikan",ROW($6:$1005)-5),678)))&gt;0,COUNTIF(INDIRECT("'KERTAS KERJA'!K"&amp;(SMALL(IF(checklistPesertaKemenkeu!$AY$6:$AY$1005="Direkomendasikan",ROW($6:$1005)-5),678)+5)&amp;":O"&amp;(SMALL(IF(checklistPesertaKemenkeu!$AY$6:$AY$1005="Direkomendasikan",ROW($6:$1005)-5),678)+5)),INDEX(checklistPesertaKemenkeu!$M$6:$M$1005,SMALL(IF(checklistPesertaKemenkeu!$AY$6:$AY$1005="Direkomendasikan",ROW($6:$1005)-5),678)))=1),IFERROR(VLOOKUP(INDEX(checklistPesertaKemenkeu!$M$6:$M$1005,SMALL(IF(checklistPesertaKemenkeu!$AY$6:$AY$1005="Direkomendasikan",ROW($6:$1005)-5),678)),KotaKode,2,0),"-"),"")),"")</f>
        <v/>
      </c>
      <c r="J679" t="str">
        <f t="array" aca="1" ref="J679" ca="1">IFERROR(IF(OR(INDEX(checklistPesertaKemenkeu!$N$6:$N$1005,SMALL(IF(checklistPesertaKemenkeu!$AY$6:$AY$1005="Direkomendasikan",ROW($6:$1005)-5),678))="",INDEX(checklistPesertaKemenkeu!$J$6:$J$1005,SMALL(IF(checklistPesertaKemenkeu!$AY$6:$AY$1005="Direkomendasikan",ROW($6:$1005)-5),678))=""),"",IF(AND(COUNTIF(INDIRECT("K_"&amp;MATCH(INDEX(checklistPesertaKemenkeu!$J$6:$J$1005,SMALL(IF(checklistPesertaKemenkeu!$AY$6:$AY$1005="Direkomendasikan",ROW($6:$1005)-5),678)),BidangList,0)),INDEX(checklistPesertaKemenkeu!$N$6:$N$1005,SMALL(IF(checklistPesertaKemenkeu!$AY$6:$AY$1005="Direkomendasikan",ROW($6:$1005)-5),678)))&gt;0,COUNTIF(INDIRECT("'KERTAS KERJA'!K"&amp;(SMALL(IF(checklistPesertaKemenkeu!$AY$6:$AY$1005="Direkomendasikan",ROW($6:$1005)-5),678)+5)&amp;":O"&amp;(SMALL(IF(checklistPesertaKemenkeu!$AY$6:$AY$1005="Direkomendasikan",ROW($6:$1005)-5),678)+5)),INDEX(checklistPesertaKemenkeu!$N$6:$N$1005,SMALL(IF(checklistPesertaKemenkeu!$AY$6:$AY$1005="Direkomendasikan",ROW($6:$1005)-5),678)))=1),IFERROR(VLOOKUP(INDEX(checklistPesertaKemenkeu!$N$6:$N$1005,SMALL(IF(checklistPesertaKemenkeu!$AY$6:$AY$1005="Direkomendasikan",ROW($6:$1005)-5),678)),KotaKode,2,0),"-"),"")),"")</f>
        <v/>
      </c>
      <c r="K679" t="str">
        <f t="array" aca="1" ref="K679" ca="1">IFERROR(IF(OR(INDEX(checklistPesertaKemenkeu!$O$6:$O$1005,SMALL(IF(checklistPesertaKemenkeu!$AY$6:$AY$1005="Direkomendasikan",ROW($6:$1005)-5),678))="",INDEX(checklistPesertaKemenkeu!$J$6:$J$1005,SMALL(IF(checklistPesertaKemenkeu!$AY$6:$AY$1005="Direkomendasikan",ROW($6:$1005)-5),678))=""),"",IF(AND(COUNTIF(INDIRECT("K_"&amp;MATCH(INDEX(checklistPesertaKemenkeu!$J$6:$J$1005,SMALL(IF(checklistPesertaKemenkeu!$AY$6:$AY$1005="Direkomendasikan",ROW($6:$1005)-5),678)),BidangList,0)),INDEX(checklistPesertaKemenkeu!$O$6:$O$1005,SMALL(IF(checklistPesertaKemenkeu!$AY$6:$AY$1005="Direkomendasikan",ROW($6:$1005)-5),678)))&gt;0,COUNTIF(INDIRECT("'KERTAS KERJA'!K"&amp;(SMALL(IF(checklistPesertaKemenkeu!$AY$6:$AY$1005="Direkomendasikan",ROW($6:$1005)-5),678)+5)&amp;":O"&amp;(SMALL(IF(checklistPesertaKemenkeu!$AY$6:$AY$1005="Direkomendasikan",ROW($6:$1005)-5),678)+5)),INDEX(checklistPesertaKemenkeu!$O$6:$O$1005,SMALL(IF(checklistPesertaKemenkeu!$AY$6:$AY$1005="Direkomendasikan",ROW($6:$1005)-5),678)))=1),IFERROR(VLOOKUP(INDEX(checklistPesertaKemenkeu!$O$6:$O$1005,SMALL(IF(checklistPesertaKemenkeu!$AY$6:$AY$1005="Direkomendasikan",ROW($6:$1005)-5),678)),KotaKode,2,0),"-"),"")),"")</f>
        <v/>
      </c>
      <c r="L679" t="str">
        <f t="array" aca="1" ref="L679" ca="1">IFERROR(IF(OR(INDEX(checklistPesertaKemenkeu!$P$6:$P$1005,SMALL(IF(checklistPesertaKemenkeu!$AY$6:$AY$1005="Direkomendasikan",ROW($6:$1005)-5),678))="",INDEX(checklistPesertaKemenkeu!$J$6:$J$1005,SMALL(IF(checklistPesertaKemenkeu!$AY$6:$AY$1005="Direkomendasikan",ROW($6:$1005)-5),678))=""),"",IF(AND(COUNTIF(INDIRECT("K_"&amp;MATCH(INDEX(checklistPesertaKemenkeu!$J$6:$J$1005,SMALL(IF(checklistPesertaKemenkeu!$AY$6:$AY$1005="Direkomendasikan",ROW($6:$1005)-5),678)),BidangList,0)),INDEX(checklistPesertaKemenkeu!$P$6:$P$1005,SMALL(IF(checklistPesertaKemenkeu!$AY$6:$AY$1005="Direkomendasikan",ROW($6:$1005)-5),678)))&gt;0,COUNTIF(INDIRECT("'KERTAS KERJA'!K"&amp;(SMALL(IF(checklistPesertaKemenkeu!$AY$6:$AY$1005="Direkomendasikan",ROW($6:$1005)-5),678)+5)&amp;":O"&amp;(SMALL(IF(checklistPesertaKemenkeu!$AY$6:$AY$1005="Direkomendasikan",ROW($6:$1005)-5),678)+5)),INDEX(checklistPesertaKemenkeu!$P$6:$P$1005,SMALL(IF(checklistPesertaKemenkeu!$AY$6:$AY$1005="Direkomendasikan",ROW($6:$1005)-5),678)))=1),IFERROR(VLOOKUP(INDEX(checklistPesertaKemenkeu!$P$6:$P$1005,SMALL(IF(checklistPesertaKemenkeu!$AY$6:$AY$1005="Direkomendasikan",ROW($6:$1005)-5),678)),KotaKode,2,0),"-"),"")),"")</f>
        <v/>
      </c>
    </row>
    <row r="680" spans="1:12" ht="15" customHeight="1" x14ac:dyDescent="0.2">
      <c r="A680" t="str">
        <f t="shared" si="10"/>
        <v/>
      </c>
      <c r="B680" t="str">
        <v/>
      </c>
      <c r="C680" s="40" t="str">
        <f t="array" ref="C680">IFERROR(INDEX(checklistPesertaKemenkeu!$F$6:$F$1005,SMALL(IF(checklistPesertaKemenkeu!$AY$6:$AY$1005="Direkomendasikan",ROW($6:$1005)-5),679)),"")</f>
        <v/>
      </c>
      <c r="D680" t="str">
        <f t="array" ref="D680">IFERROR(INDEX(checklistPesertaKemenkeu!$G$6:$G$1005,SMALL(IF(checklistPesertaKemenkeu!$AY$6:$AY$1005="Direkomendasikan",ROW($6:$1005)-5),679)),"")</f>
        <v/>
      </c>
      <c r="E680" t="str">
        <f t="array" ref="E680">IFERROR(INDEX(checklistPesertaKemenkeu!$H$6:$H$1005,SMALL(IF(checklistPesertaKemenkeu!$AY$6:$AY$1005="Direkomendasikan",ROW($6:$1005)-5),679)),"")</f>
        <v/>
      </c>
      <c r="F680" t="str">
        <f t="array" ref="F680">IFERROR(INDEX(checklistPesertaKemenkeu!$I$6:$I$1005,SMALL(IF(checklistPesertaKemenkeu!$AY$6:$AY$1005="Direkomendasikan",ROW($6:$1005)-5),679)),"")</f>
        <v/>
      </c>
      <c r="G680" t="str">
        <f t="array" ref="G680">IFERROR(INDEX(checklistPesertaKemenkeu!$J$6:$J$1005,SMALL(IF(checklistPesertaKemenkeu!$AY$6:$AY$1005="Direkomendasikan",ROW($6:$1005)-5),679)),"")</f>
        <v/>
      </c>
      <c r="H680" t="str">
        <f t="array" aca="1" ref="H680" ca="1">IFERROR(IF(OR(INDEX(checklistPesertaKemenkeu!$L$6:$L$1005,SMALL(IF(checklistPesertaKemenkeu!$AY$6:$AY$1005="Direkomendasikan",ROW($6:$1005)-5),679))="",INDEX(checklistPesertaKemenkeu!$J$6:$J$1005,SMALL(IF(checklistPesertaKemenkeu!$AY$6:$AY$1005="Direkomendasikan",ROW($6:$1005)-5),679))=""),"",IF(AND(COUNTIF(INDIRECT("K_"&amp;MATCH(INDEX(checklistPesertaKemenkeu!$J$6:$J$1005,SMALL(IF(checklistPesertaKemenkeu!$AY$6:$AY$1005="Direkomendasikan",ROW($6:$1005)-5),679)),BidangList,0)),INDEX(checklistPesertaKemenkeu!$L$6:$L$1005,SMALL(IF(checklistPesertaKemenkeu!$AY$6:$AY$1005="Direkomendasikan",ROW($6:$1005)-5),679)))&gt;0,COUNTIF(INDIRECT("'KERTAS KERJA'!K"&amp;(SMALL(IF(checklistPesertaKemenkeu!$AY$6:$AY$1005="Direkomendasikan",ROW($6:$1005)-5),679)+5)&amp;":O"&amp;(SMALL(IF(checklistPesertaKemenkeu!$AY$6:$AY$1005="Direkomendasikan",ROW($6:$1005)-5),679)+5)),INDEX(checklistPesertaKemenkeu!$L$6:$L$1005,SMALL(IF(checklistPesertaKemenkeu!$AY$6:$AY$1005="Direkomendasikan",ROW($6:$1005)-5),679)))=1),IFERROR(VLOOKUP(INDEX(checklistPesertaKemenkeu!$L$6:$L$1005,SMALL(IF(checklistPesertaKemenkeu!$AY$6:$AY$1005="Direkomendasikan",ROW($6:$1005)-5),679)),KotaKode,2,0),"-"),"")),"")</f>
        <v/>
      </c>
      <c r="I680" t="str">
        <f t="array" aca="1" ref="I680" ca="1">IFERROR(IF(OR(INDEX(checklistPesertaKemenkeu!$M$6:$M$1005,SMALL(IF(checklistPesertaKemenkeu!$AY$6:$AY$1005="Direkomendasikan",ROW($6:$1005)-5),679))="",INDEX(checklistPesertaKemenkeu!$J$6:$J$1005,SMALL(IF(checklistPesertaKemenkeu!$AY$6:$AY$1005="Direkomendasikan",ROW($6:$1005)-5),679))=""),"",IF(AND(COUNTIF(INDIRECT("K_"&amp;MATCH(INDEX(checklistPesertaKemenkeu!$J$6:$J$1005,SMALL(IF(checklistPesertaKemenkeu!$AY$6:$AY$1005="Direkomendasikan",ROW($6:$1005)-5),679)),BidangList,0)),INDEX(checklistPesertaKemenkeu!$M$6:$M$1005,SMALL(IF(checklistPesertaKemenkeu!$AY$6:$AY$1005="Direkomendasikan",ROW($6:$1005)-5),679)))&gt;0,COUNTIF(INDIRECT("'KERTAS KERJA'!K"&amp;(SMALL(IF(checklistPesertaKemenkeu!$AY$6:$AY$1005="Direkomendasikan",ROW($6:$1005)-5),679)+5)&amp;":O"&amp;(SMALL(IF(checklistPesertaKemenkeu!$AY$6:$AY$1005="Direkomendasikan",ROW($6:$1005)-5),679)+5)),INDEX(checklistPesertaKemenkeu!$M$6:$M$1005,SMALL(IF(checklistPesertaKemenkeu!$AY$6:$AY$1005="Direkomendasikan",ROW($6:$1005)-5),679)))=1),IFERROR(VLOOKUP(INDEX(checklistPesertaKemenkeu!$M$6:$M$1005,SMALL(IF(checklistPesertaKemenkeu!$AY$6:$AY$1005="Direkomendasikan",ROW($6:$1005)-5),679)),KotaKode,2,0),"-"),"")),"")</f>
        <v/>
      </c>
      <c r="J680" t="str">
        <f t="array" aca="1" ref="J680" ca="1">IFERROR(IF(OR(INDEX(checklistPesertaKemenkeu!$N$6:$N$1005,SMALL(IF(checklistPesertaKemenkeu!$AY$6:$AY$1005="Direkomendasikan",ROW($6:$1005)-5),679))="",INDEX(checklistPesertaKemenkeu!$J$6:$J$1005,SMALL(IF(checklistPesertaKemenkeu!$AY$6:$AY$1005="Direkomendasikan",ROW($6:$1005)-5),679))=""),"",IF(AND(COUNTIF(INDIRECT("K_"&amp;MATCH(INDEX(checklistPesertaKemenkeu!$J$6:$J$1005,SMALL(IF(checklistPesertaKemenkeu!$AY$6:$AY$1005="Direkomendasikan",ROW($6:$1005)-5),679)),BidangList,0)),INDEX(checklistPesertaKemenkeu!$N$6:$N$1005,SMALL(IF(checklistPesertaKemenkeu!$AY$6:$AY$1005="Direkomendasikan",ROW($6:$1005)-5),679)))&gt;0,COUNTIF(INDIRECT("'KERTAS KERJA'!K"&amp;(SMALL(IF(checklistPesertaKemenkeu!$AY$6:$AY$1005="Direkomendasikan",ROW($6:$1005)-5),679)+5)&amp;":O"&amp;(SMALL(IF(checklistPesertaKemenkeu!$AY$6:$AY$1005="Direkomendasikan",ROW($6:$1005)-5),679)+5)),INDEX(checklistPesertaKemenkeu!$N$6:$N$1005,SMALL(IF(checklistPesertaKemenkeu!$AY$6:$AY$1005="Direkomendasikan",ROW($6:$1005)-5),679)))=1),IFERROR(VLOOKUP(INDEX(checklistPesertaKemenkeu!$N$6:$N$1005,SMALL(IF(checklistPesertaKemenkeu!$AY$6:$AY$1005="Direkomendasikan",ROW($6:$1005)-5),679)),KotaKode,2,0),"-"),"")),"")</f>
        <v/>
      </c>
      <c r="K680" t="str">
        <f t="array" aca="1" ref="K680" ca="1">IFERROR(IF(OR(INDEX(checklistPesertaKemenkeu!$O$6:$O$1005,SMALL(IF(checklistPesertaKemenkeu!$AY$6:$AY$1005="Direkomendasikan",ROW($6:$1005)-5),679))="",INDEX(checklistPesertaKemenkeu!$J$6:$J$1005,SMALL(IF(checklistPesertaKemenkeu!$AY$6:$AY$1005="Direkomendasikan",ROW($6:$1005)-5),679))=""),"",IF(AND(COUNTIF(INDIRECT("K_"&amp;MATCH(INDEX(checklistPesertaKemenkeu!$J$6:$J$1005,SMALL(IF(checklistPesertaKemenkeu!$AY$6:$AY$1005="Direkomendasikan",ROW($6:$1005)-5),679)),BidangList,0)),INDEX(checklistPesertaKemenkeu!$O$6:$O$1005,SMALL(IF(checklistPesertaKemenkeu!$AY$6:$AY$1005="Direkomendasikan",ROW($6:$1005)-5),679)))&gt;0,COUNTIF(INDIRECT("'KERTAS KERJA'!K"&amp;(SMALL(IF(checklistPesertaKemenkeu!$AY$6:$AY$1005="Direkomendasikan",ROW($6:$1005)-5),679)+5)&amp;":O"&amp;(SMALL(IF(checklistPesertaKemenkeu!$AY$6:$AY$1005="Direkomendasikan",ROW($6:$1005)-5),679)+5)),INDEX(checklistPesertaKemenkeu!$O$6:$O$1005,SMALL(IF(checklistPesertaKemenkeu!$AY$6:$AY$1005="Direkomendasikan",ROW($6:$1005)-5),679)))=1),IFERROR(VLOOKUP(INDEX(checklistPesertaKemenkeu!$O$6:$O$1005,SMALL(IF(checklistPesertaKemenkeu!$AY$6:$AY$1005="Direkomendasikan",ROW($6:$1005)-5),679)),KotaKode,2,0),"-"),"")),"")</f>
        <v/>
      </c>
      <c r="L680" t="str">
        <f t="array" aca="1" ref="L680" ca="1">IFERROR(IF(OR(INDEX(checklistPesertaKemenkeu!$P$6:$P$1005,SMALL(IF(checklistPesertaKemenkeu!$AY$6:$AY$1005="Direkomendasikan",ROW($6:$1005)-5),679))="",INDEX(checklistPesertaKemenkeu!$J$6:$J$1005,SMALL(IF(checklistPesertaKemenkeu!$AY$6:$AY$1005="Direkomendasikan",ROW($6:$1005)-5),679))=""),"",IF(AND(COUNTIF(INDIRECT("K_"&amp;MATCH(INDEX(checklistPesertaKemenkeu!$J$6:$J$1005,SMALL(IF(checklistPesertaKemenkeu!$AY$6:$AY$1005="Direkomendasikan",ROW($6:$1005)-5),679)),BidangList,0)),INDEX(checklistPesertaKemenkeu!$P$6:$P$1005,SMALL(IF(checklistPesertaKemenkeu!$AY$6:$AY$1005="Direkomendasikan",ROW($6:$1005)-5),679)))&gt;0,COUNTIF(INDIRECT("'KERTAS KERJA'!K"&amp;(SMALL(IF(checklistPesertaKemenkeu!$AY$6:$AY$1005="Direkomendasikan",ROW($6:$1005)-5),679)+5)&amp;":O"&amp;(SMALL(IF(checklistPesertaKemenkeu!$AY$6:$AY$1005="Direkomendasikan",ROW($6:$1005)-5),679)+5)),INDEX(checklistPesertaKemenkeu!$P$6:$P$1005,SMALL(IF(checklistPesertaKemenkeu!$AY$6:$AY$1005="Direkomendasikan",ROW($6:$1005)-5),679)))=1),IFERROR(VLOOKUP(INDEX(checklistPesertaKemenkeu!$P$6:$P$1005,SMALL(IF(checklistPesertaKemenkeu!$AY$6:$AY$1005="Direkomendasikan",ROW($6:$1005)-5),679)),KotaKode,2,0),"-"),"")),"")</f>
        <v/>
      </c>
    </row>
    <row r="681" spans="1:12" ht="15" customHeight="1" x14ac:dyDescent="0.2">
      <c r="A681" t="str">
        <f t="shared" si="10"/>
        <v/>
      </c>
      <c r="B681" t="str">
        <v/>
      </c>
      <c r="C681" s="40" t="str">
        <f t="array" ref="C681">IFERROR(INDEX(checklistPesertaKemenkeu!$F$6:$F$1005,SMALL(IF(checklistPesertaKemenkeu!$AY$6:$AY$1005="Direkomendasikan",ROW($6:$1005)-5),680)),"")</f>
        <v/>
      </c>
      <c r="D681" t="str">
        <f t="array" ref="D681">IFERROR(INDEX(checklistPesertaKemenkeu!$G$6:$G$1005,SMALL(IF(checklistPesertaKemenkeu!$AY$6:$AY$1005="Direkomendasikan",ROW($6:$1005)-5),680)),"")</f>
        <v/>
      </c>
      <c r="E681" t="str">
        <f t="array" ref="E681">IFERROR(INDEX(checklistPesertaKemenkeu!$H$6:$H$1005,SMALL(IF(checklistPesertaKemenkeu!$AY$6:$AY$1005="Direkomendasikan",ROW($6:$1005)-5),680)),"")</f>
        <v/>
      </c>
      <c r="F681" t="str">
        <f t="array" ref="F681">IFERROR(INDEX(checklistPesertaKemenkeu!$I$6:$I$1005,SMALL(IF(checklistPesertaKemenkeu!$AY$6:$AY$1005="Direkomendasikan",ROW($6:$1005)-5),680)),"")</f>
        <v/>
      </c>
      <c r="G681" t="str">
        <f t="array" ref="G681">IFERROR(INDEX(checklistPesertaKemenkeu!$J$6:$J$1005,SMALL(IF(checklistPesertaKemenkeu!$AY$6:$AY$1005="Direkomendasikan",ROW($6:$1005)-5),680)),"")</f>
        <v/>
      </c>
      <c r="H681" t="str">
        <f t="array" aca="1" ref="H681" ca="1">IFERROR(IF(OR(INDEX(checklistPesertaKemenkeu!$L$6:$L$1005,SMALL(IF(checklistPesertaKemenkeu!$AY$6:$AY$1005="Direkomendasikan",ROW($6:$1005)-5),680))="",INDEX(checklistPesertaKemenkeu!$J$6:$J$1005,SMALL(IF(checklistPesertaKemenkeu!$AY$6:$AY$1005="Direkomendasikan",ROW($6:$1005)-5),680))=""),"",IF(AND(COUNTIF(INDIRECT("K_"&amp;MATCH(INDEX(checklistPesertaKemenkeu!$J$6:$J$1005,SMALL(IF(checklistPesertaKemenkeu!$AY$6:$AY$1005="Direkomendasikan",ROW($6:$1005)-5),680)),BidangList,0)),INDEX(checklistPesertaKemenkeu!$L$6:$L$1005,SMALL(IF(checklistPesertaKemenkeu!$AY$6:$AY$1005="Direkomendasikan",ROW($6:$1005)-5),680)))&gt;0,COUNTIF(INDIRECT("'KERTAS KERJA'!K"&amp;(SMALL(IF(checklistPesertaKemenkeu!$AY$6:$AY$1005="Direkomendasikan",ROW($6:$1005)-5),680)+5)&amp;":O"&amp;(SMALL(IF(checklistPesertaKemenkeu!$AY$6:$AY$1005="Direkomendasikan",ROW($6:$1005)-5),680)+5)),INDEX(checklistPesertaKemenkeu!$L$6:$L$1005,SMALL(IF(checklistPesertaKemenkeu!$AY$6:$AY$1005="Direkomendasikan",ROW($6:$1005)-5),680)))=1),IFERROR(VLOOKUP(INDEX(checklistPesertaKemenkeu!$L$6:$L$1005,SMALL(IF(checklistPesertaKemenkeu!$AY$6:$AY$1005="Direkomendasikan",ROW($6:$1005)-5),680)),KotaKode,2,0),"-"),"")),"")</f>
        <v/>
      </c>
      <c r="I681" t="str">
        <f t="array" aca="1" ref="I681" ca="1">IFERROR(IF(OR(INDEX(checklistPesertaKemenkeu!$M$6:$M$1005,SMALL(IF(checklistPesertaKemenkeu!$AY$6:$AY$1005="Direkomendasikan",ROW($6:$1005)-5),680))="",INDEX(checklistPesertaKemenkeu!$J$6:$J$1005,SMALL(IF(checklistPesertaKemenkeu!$AY$6:$AY$1005="Direkomendasikan",ROW($6:$1005)-5),680))=""),"",IF(AND(COUNTIF(INDIRECT("K_"&amp;MATCH(INDEX(checklistPesertaKemenkeu!$J$6:$J$1005,SMALL(IF(checklistPesertaKemenkeu!$AY$6:$AY$1005="Direkomendasikan",ROW($6:$1005)-5),680)),BidangList,0)),INDEX(checklistPesertaKemenkeu!$M$6:$M$1005,SMALL(IF(checklistPesertaKemenkeu!$AY$6:$AY$1005="Direkomendasikan",ROW($6:$1005)-5),680)))&gt;0,COUNTIF(INDIRECT("'KERTAS KERJA'!K"&amp;(SMALL(IF(checklistPesertaKemenkeu!$AY$6:$AY$1005="Direkomendasikan",ROW($6:$1005)-5),680)+5)&amp;":O"&amp;(SMALL(IF(checklistPesertaKemenkeu!$AY$6:$AY$1005="Direkomendasikan",ROW($6:$1005)-5),680)+5)),INDEX(checklistPesertaKemenkeu!$M$6:$M$1005,SMALL(IF(checklistPesertaKemenkeu!$AY$6:$AY$1005="Direkomendasikan",ROW($6:$1005)-5),680)))=1),IFERROR(VLOOKUP(INDEX(checklistPesertaKemenkeu!$M$6:$M$1005,SMALL(IF(checklistPesertaKemenkeu!$AY$6:$AY$1005="Direkomendasikan",ROW($6:$1005)-5),680)),KotaKode,2,0),"-"),"")),"")</f>
        <v/>
      </c>
      <c r="J681" t="str">
        <f t="array" aca="1" ref="J681" ca="1">IFERROR(IF(OR(INDEX(checklistPesertaKemenkeu!$N$6:$N$1005,SMALL(IF(checklistPesertaKemenkeu!$AY$6:$AY$1005="Direkomendasikan",ROW($6:$1005)-5),680))="",INDEX(checklistPesertaKemenkeu!$J$6:$J$1005,SMALL(IF(checklistPesertaKemenkeu!$AY$6:$AY$1005="Direkomendasikan",ROW($6:$1005)-5),680))=""),"",IF(AND(COUNTIF(INDIRECT("K_"&amp;MATCH(INDEX(checklistPesertaKemenkeu!$J$6:$J$1005,SMALL(IF(checklistPesertaKemenkeu!$AY$6:$AY$1005="Direkomendasikan",ROW($6:$1005)-5),680)),BidangList,0)),INDEX(checklistPesertaKemenkeu!$N$6:$N$1005,SMALL(IF(checklistPesertaKemenkeu!$AY$6:$AY$1005="Direkomendasikan",ROW($6:$1005)-5),680)))&gt;0,COUNTIF(INDIRECT("'KERTAS KERJA'!K"&amp;(SMALL(IF(checklistPesertaKemenkeu!$AY$6:$AY$1005="Direkomendasikan",ROW($6:$1005)-5),680)+5)&amp;":O"&amp;(SMALL(IF(checklistPesertaKemenkeu!$AY$6:$AY$1005="Direkomendasikan",ROW($6:$1005)-5),680)+5)),INDEX(checklistPesertaKemenkeu!$N$6:$N$1005,SMALL(IF(checklistPesertaKemenkeu!$AY$6:$AY$1005="Direkomendasikan",ROW($6:$1005)-5),680)))=1),IFERROR(VLOOKUP(INDEX(checklistPesertaKemenkeu!$N$6:$N$1005,SMALL(IF(checklistPesertaKemenkeu!$AY$6:$AY$1005="Direkomendasikan",ROW($6:$1005)-5),680)),KotaKode,2,0),"-"),"")),"")</f>
        <v/>
      </c>
      <c r="K681" t="str">
        <f t="array" aca="1" ref="K681" ca="1">IFERROR(IF(OR(INDEX(checklistPesertaKemenkeu!$O$6:$O$1005,SMALL(IF(checklistPesertaKemenkeu!$AY$6:$AY$1005="Direkomendasikan",ROW($6:$1005)-5),680))="",INDEX(checklistPesertaKemenkeu!$J$6:$J$1005,SMALL(IF(checklistPesertaKemenkeu!$AY$6:$AY$1005="Direkomendasikan",ROW($6:$1005)-5),680))=""),"",IF(AND(COUNTIF(INDIRECT("K_"&amp;MATCH(INDEX(checklistPesertaKemenkeu!$J$6:$J$1005,SMALL(IF(checklistPesertaKemenkeu!$AY$6:$AY$1005="Direkomendasikan",ROW($6:$1005)-5),680)),BidangList,0)),INDEX(checklistPesertaKemenkeu!$O$6:$O$1005,SMALL(IF(checklistPesertaKemenkeu!$AY$6:$AY$1005="Direkomendasikan",ROW($6:$1005)-5),680)))&gt;0,COUNTIF(INDIRECT("'KERTAS KERJA'!K"&amp;(SMALL(IF(checklistPesertaKemenkeu!$AY$6:$AY$1005="Direkomendasikan",ROW($6:$1005)-5),680)+5)&amp;":O"&amp;(SMALL(IF(checklistPesertaKemenkeu!$AY$6:$AY$1005="Direkomendasikan",ROW($6:$1005)-5),680)+5)),INDEX(checklistPesertaKemenkeu!$O$6:$O$1005,SMALL(IF(checklistPesertaKemenkeu!$AY$6:$AY$1005="Direkomendasikan",ROW($6:$1005)-5),680)))=1),IFERROR(VLOOKUP(INDEX(checklistPesertaKemenkeu!$O$6:$O$1005,SMALL(IF(checklistPesertaKemenkeu!$AY$6:$AY$1005="Direkomendasikan",ROW($6:$1005)-5),680)),KotaKode,2,0),"-"),"")),"")</f>
        <v/>
      </c>
      <c r="L681" t="str">
        <f t="array" aca="1" ref="L681" ca="1">IFERROR(IF(OR(INDEX(checklistPesertaKemenkeu!$P$6:$P$1005,SMALL(IF(checklistPesertaKemenkeu!$AY$6:$AY$1005="Direkomendasikan",ROW($6:$1005)-5),680))="",INDEX(checklistPesertaKemenkeu!$J$6:$J$1005,SMALL(IF(checklistPesertaKemenkeu!$AY$6:$AY$1005="Direkomendasikan",ROW($6:$1005)-5),680))=""),"",IF(AND(COUNTIF(INDIRECT("K_"&amp;MATCH(INDEX(checklistPesertaKemenkeu!$J$6:$J$1005,SMALL(IF(checklistPesertaKemenkeu!$AY$6:$AY$1005="Direkomendasikan",ROW($6:$1005)-5),680)),BidangList,0)),INDEX(checklistPesertaKemenkeu!$P$6:$P$1005,SMALL(IF(checklistPesertaKemenkeu!$AY$6:$AY$1005="Direkomendasikan",ROW($6:$1005)-5),680)))&gt;0,COUNTIF(INDIRECT("'KERTAS KERJA'!K"&amp;(SMALL(IF(checklistPesertaKemenkeu!$AY$6:$AY$1005="Direkomendasikan",ROW($6:$1005)-5),680)+5)&amp;":O"&amp;(SMALL(IF(checklistPesertaKemenkeu!$AY$6:$AY$1005="Direkomendasikan",ROW($6:$1005)-5),680)+5)),INDEX(checklistPesertaKemenkeu!$P$6:$P$1005,SMALL(IF(checklistPesertaKemenkeu!$AY$6:$AY$1005="Direkomendasikan",ROW($6:$1005)-5),680)))=1),IFERROR(VLOOKUP(INDEX(checklistPesertaKemenkeu!$P$6:$P$1005,SMALL(IF(checklistPesertaKemenkeu!$AY$6:$AY$1005="Direkomendasikan",ROW($6:$1005)-5),680)),KotaKode,2,0),"-"),"")),"")</f>
        <v/>
      </c>
    </row>
    <row r="682" spans="1:12" ht="15" customHeight="1" x14ac:dyDescent="0.2">
      <c r="A682" t="str">
        <f t="shared" si="10"/>
        <v/>
      </c>
      <c r="B682" t="str">
        <v/>
      </c>
      <c r="C682" s="40" t="str">
        <f t="array" ref="C682">IFERROR(INDEX(checklistPesertaKemenkeu!$F$6:$F$1005,SMALL(IF(checklistPesertaKemenkeu!$AY$6:$AY$1005="Direkomendasikan",ROW($6:$1005)-5),681)),"")</f>
        <v/>
      </c>
      <c r="D682" t="str">
        <f t="array" ref="D682">IFERROR(INDEX(checklistPesertaKemenkeu!$G$6:$G$1005,SMALL(IF(checklistPesertaKemenkeu!$AY$6:$AY$1005="Direkomendasikan",ROW($6:$1005)-5),681)),"")</f>
        <v/>
      </c>
      <c r="E682" t="str">
        <f t="array" ref="E682">IFERROR(INDEX(checklistPesertaKemenkeu!$H$6:$H$1005,SMALL(IF(checklistPesertaKemenkeu!$AY$6:$AY$1005="Direkomendasikan",ROW($6:$1005)-5),681)),"")</f>
        <v/>
      </c>
      <c r="F682" t="str">
        <f t="array" ref="F682">IFERROR(INDEX(checklistPesertaKemenkeu!$I$6:$I$1005,SMALL(IF(checklistPesertaKemenkeu!$AY$6:$AY$1005="Direkomendasikan",ROW($6:$1005)-5),681)),"")</f>
        <v/>
      </c>
      <c r="G682" t="str">
        <f t="array" ref="G682">IFERROR(INDEX(checklistPesertaKemenkeu!$J$6:$J$1005,SMALL(IF(checklistPesertaKemenkeu!$AY$6:$AY$1005="Direkomendasikan",ROW($6:$1005)-5),681)),"")</f>
        <v/>
      </c>
      <c r="H682" t="str">
        <f t="array" aca="1" ref="H682" ca="1">IFERROR(IF(OR(INDEX(checklistPesertaKemenkeu!$L$6:$L$1005,SMALL(IF(checklistPesertaKemenkeu!$AY$6:$AY$1005="Direkomendasikan",ROW($6:$1005)-5),681))="",INDEX(checklistPesertaKemenkeu!$J$6:$J$1005,SMALL(IF(checklistPesertaKemenkeu!$AY$6:$AY$1005="Direkomendasikan",ROW($6:$1005)-5),681))=""),"",IF(AND(COUNTIF(INDIRECT("K_"&amp;MATCH(INDEX(checklistPesertaKemenkeu!$J$6:$J$1005,SMALL(IF(checklistPesertaKemenkeu!$AY$6:$AY$1005="Direkomendasikan",ROW($6:$1005)-5),681)),BidangList,0)),INDEX(checklistPesertaKemenkeu!$L$6:$L$1005,SMALL(IF(checklistPesertaKemenkeu!$AY$6:$AY$1005="Direkomendasikan",ROW($6:$1005)-5),681)))&gt;0,COUNTIF(INDIRECT("'KERTAS KERJA'!K"&amp;(SMALL(IF(checklistPesertaKemenkeu!$AY$6:$AY$1005="Direkomendasikan",ROW($6:$1005)-5),681)+5)&amp;":O"&amp;(SMALL(IF(checklistPesertaKemenkeu!$AY$6:$AY$1005="Direkomendasikan",ROW($6:$1005)-5),681)+5)),INDEX(checklistPesertaKemenkeu!$L$6:$L$1005,SMALL(IF(checklistPesertaKemenkeu!$AY$6:$AY$1005="Direkomendasikan",ROW($6:$1005)-5),681)))=1),IFERROR(VLOOKUP(INDEX(checklistPesertaKemenkeu!$L$6:$L$1005,SMALL(IF(checklistPesertaKemenkeu!$AY$6:$AY$1005="Direkomendasikan",ROW($6:$1005)-5),681)),KotaKode,2,0),"-"),"")),"")</f>
        <v/>
      </c>
      <c r="I682" t="str">
        <f t="array" aca="1" ref="I682" ca="1">IFERROR(IF(OR(INDEX(checklistPesertaKemenkeu!$M$6:$M$1005,SMALL(IF(checklistPesertaKemenkeu!$AY$6:$AY$1005="Direkomendasikan",ROW($6:$1005)-5),681))="",INDEX(checklistPesertaKemenkeu!$J$6:$J$1005,SMALL(IF(checklistPesertaKemenkeu!$AY$6:$AY$1005="Direkomendasikan",ROW($6:$1005)-5),681))=""),"",IF(AND(COUNTIF(INDIRECT("K_"&amp;MATCH(INDEX(checklistPesertaKemenkeu!$J$6:$J$1005,SMALL(IF(checklistPesertaKemenkeu!$AY$6:$AY$1005="Direkomendasikan",ROW($6:$1005)-5),681)),BidangList,0)),INDEX(checklistPesertaKemenkeu!$M$6:$M$1005,SMALL(IF(checklistPesertaKemenkeu!$AY$6:$AY$1005="Direkomendasikan",ROW($6:$1005)-5),681)))&gt;0,COUNTIF(INDIRECT("'KERTAS KERJA'!K"&amp;(SMALL(IF(checklistPesertaKemenkeu!$AY$6:$AY$1005="Direkomendasikan",ROW($6:$1005)-5),681)+5)&amp;":O"&amp;(SMALL(IF(checklistPesertaKemenkeu!$AY$6:$AY$1005="Direkomendasikan",ROW($6:$1005)-5),681)+5)),INDEX(checklistPesertaKemenkeu!$M$6:$M$1005,SMALL(IF(checklistPesertaKemenkeu!$AY$6:$AY$1005="Direkomendasikan",ROW($6:$1005)-5),681)))=1),IFERROR(VLOOKUP(INDEX(checklistPesertaKemenkeu!$M$6:$M$1005,SMALL(IF(checklistPesertaKemenkeu!$AY$6:$AY$1005="Direkomendasikan",ROW($6:$1005)-5),681)),KotaKode,2,0),"-"),"")),"")</f>
        <v/>
      </c>
      <c r="J682" t="str">
        <f t="array" aca="1" ref="J682" ca="1">IFERROR(IF(OR(INDEX(checklistPesertaKemenkeu!$N$6:$N$1005,SMALL(IF(checklistPesertaKemenkeu!$AY$6:$AY$1005="Direkomendasikan",ROW($6:$1005)-5),681))="",INDEX(checklistPesertaKemenkeu!$J$6:$J$1005,SMALL(IF(checklistPesertaKemenkeu!$AY$6:$AY$1005="Direkomendasikan",ROW($6:$1005)-5),681))=""),"",IF(AND(COUNTIF(INDIRECT("K_"&amp;MATCH(INDEX(checklistPesertaKemenkeu!$J$6:$J$1005,SMALL(IF(checklistPesertaKemenkeu!$AY$6:$AY$1005="Direkomendasikan",ROW($6:$1005)-5),681)),BidangList,0)),INDEX(checklistPesertaKemenkeu!$N$6:$N$1005,SMALL(IF(checklistPesertaKemenkeu!$AY$6:$AY$1005="Direkomendasikan",ROW($6:$1005)-5),681)))&gt;0,COUNTIF(INDIRECT("'KERTAS KERJA'!K"&amp;(SMALL(IF(checklistPesertaKemenkeu!$AY$6:$AY$1005="Direkomendasikan",ROW($6:$1005)-5),681)+5)&amp;":O"&amp;(SMALL(IF(checklistPesertaKemenkeu!$AY$6:$AY$1005="Direkomendasikan",ROW($6:$1005)-5),681)+5)),INDEX(checklistPesertaKemenkeu!$N$6:$N$1005,SMALL(IF(checklistPesertaKemenkeu!$AY$6:$AY$1005="Direkomendasikan",ROW($6:$1005)-5),681)))=1),IFERROR(VLOOKUP(INDEX(checklistPesertaKemenkeu!$N$6:$N$1005,SMALL(IF(checklistPesertaKemenkeu!$AY$6:$AY$1005="Direkomendasikan",ROW($6:$1005)-5),681)),KotaKode,2,0),"-"),"")),"")</f>
        <v/>
      </c>
      <c r="K682" t="str">
        <f t="array" aca="1" ref="K682" ca="1">IFERROR(IF(OR(INDEX(checklistPesertaKemenkeu!$O$6:$O$1005,SMALL(IF(checklistPesertaKemenkeu!$AY$6:$AY$1005="Direkomendasikan",ROW($6:$1005)-5),681))="",INDEX(checklistPesertaKemenkeu!$J$6:$J$1005,SMALL(IF(checklistPesertaKemenkeu!$AY$6:$AY$1005="Direkomendasikan",ROW($6:$1005)-5),681))=""),"",IF(AND(COUNTIF(INDIRECT("K_"&amp;MATCH(INDEX(checklistPesertaKemenkeu!$J$6:$J$1005,SMALL(IF(checklistPesertaKemenkeu!$AY$6:$AY$1005="Direkomendasikan",ROW($6:$1005)-5),681)),BidangList,0)),INDEX(checklistPesertaKemenkeu!$O$6:$O$1005,SMALL(IF(checklistPesertaKemenkeu!$AY$6:$AY$1005="Direkomendasikan",ROW($6:$1005)-5),681)))&gt;0,COUNTIF(INDIRECT("'KERTAS KERJA'!K"&amp;(SMALL(IF(checklistPesertaKemenkeu!$AY$6:$AY$1005="Direkomendasikan",ROW($6:$1005)-5),681)+5)&amp;":O"&amp;(SMALL(IF(checklistPesertaKemenkeu!$AY$6:$AY$1005="Direkomendasikan",ROW($6:$1005)-5),681)+5)),INDEX(checklistPesertaKemenkeu!$O$6:$O$1005,SMALL(IF(checklistPesertaKemenkeu!$AY$6:$AY$1005="Direkomendasikan",ROW($6:$1005)-5),681)))=1),IFERROR(VLOOKUP(INDEX(checklistPesertaKemenkeu!$O$6:$O$1005,SMALL(IF(checklistPesertaKemenkeu!$AY$6:$AY$1005="Direkomendasikan",ROW($6:$1005)-5),681)),KotaKode,2,0),"-"),"")),"")</f>
        <v/>
      </c>
      <c r="L682" t="str">
        <f t="array" aca="1" ref="L682" ca="1">IFERROR(IF(OR(INDEX(checklistPesertaKemenkeu!$P$6:$P$1005,SMALL(IF(checklistPesertaKemenkeu!$AY$6:$AY$1005="Direkomendasikan",ROW($6:$1005)-5),681))="",INDEX(checklistPesertaKemenkeu!$J$6:$J$1005,SMALL(IF(checklistPesertaKemenkeu!$AY$6:$AY$1005="Direkomendasikan",ROW($6:$1005)-5),681))=""),"",IF(AND(COUNTIF(INDIRECT("K_"&amp;MATCH(INDEX(checklistPesertaKemenkeu!$J$6:$J$1005,SMALL(IF(checklistPesertaKemenkeu!$AY$6:$AY$1005="Direkomendasikan",ROW($6:$1005)-5),681)),BidangList,0)),INDEX(checklistPesertaKemenkeu!$P$6:$P$1005,SMALL(IF(checklistPesertaKemenkeu!$AY$6:$AY$1005="Direkomendasikan",ROW($6:$1005)-5),681)))&gt;0,COUNTIF(INDIRECT("'KERTAS KERJA'!K"&amp;(SMALL(IF(checklistPesertaKemenkeu!$AY$6:$AY$1005="Direkomendasikan",ROW($6:$1005)-5),681)+5)&amp;":O"&amp;(SMALL(IF(checklistPesertaKemenkeu!$AY$6:$AY$1005="Direkomendasikan",ROW($6:$1005)-5),681)+5)),INDEX(checklistPesertaKemenkeu!$P$6:$P$1005,SMALL(IF(checklistPesertaKemenkeu!$AY$6:$AY$1005="Direkomendasikan",ROW($6:$1005)-5),681)))=1),IFERROR(VLOOKUP(INDEX(checklistPesertaKemenkeu!$P$6:$P$1005,SMALL(IF(checklistPesertaKemenkeu!$AY$6:$AY$1005="Direkomendasikan",ROW($6:$1005)-5),681)),KotaKode,2,0),"-"),"")),"")</f>
        <v/>
      </c>
    </row>
    <row r="683" spans="1:12" ht="15" customHeight="1" x14ac:dyDescent="0.2">
      <c r="A683" t="str">
        <f t="shared" si="10"/>
        <v/>
      </c>
      <c r="B683" t="str">
        <v/>
      </c>
      <c r="C683" s="40" t="str">
        <f t="array" ref="C683">IFERROR(INDEX(checklistPesertaKemenkeu!$F$6:$F$1005,SMALL(IF(checklistPesertaKemenkeu!$AY$6:$AY$1005="Direkomendasikan",ROW($6:$1005)-5),682)),"")</f>
        <v/>
      </c>
      <c r="D683" t="str">
        <f t="array" ref="D683">IFERROR(INDEX(checklistPesertaKemenkeu!$G$6:$G$1005,SMALL(IF(checklistPesertaKemenkeu!$AY$6:$AY$1005="Direkomendasikan",ROW($6:$1005)-5),682)),"")</f>
        <v/>
      </c>
      <c r="E683" t="str">
        <f t="array" ref="E683">IFERROR(INDEX(checklistPesertaKemenkeu!$H$6:$H$1005,SMALL(IF(checklistPesertaKemenkeu!$AY$6:$AY$1005="Direkomendasikan",ROW($6:$1005)-5),682)),"")</f>
        <v/>
      </c>
      <c r="F683" t="str">
        <f t="array" ref="F683">IFERROR(INDEX(checklistPesertaKemenkeu!$I$6:$I$1005,SMALL(IF(checklistPesertaKemenkeu!$AY$6:$AY$1005="Direkomendasikan",ROW($6:$1005)-5),682)),"")</f>
        <v/>
      </c>
      <c r="G683" t="str">
        <f t="array" ref="G683">IFERROR(INDEX(checklistPesertaKemenkeu!$J$6:$J$1005,SMALL(IF(checklistPesertaKemenkeu!$AY$6:$AY$1005="Direkomendasikan",ROW($6:$1005)-5),682)),"")</f>
        <v/>
      </c>
      <c r="H683" t="str">
        <f t="array" aca="1" ref="H683" ca="1">IFERROR(IF(OR(INDEX(checklistPesertaKemenkeu!$L$6:$L$1005,SMALL(IF(checklistPesertaKemenkeu!$AY$6:$AY$1005="Direkomendasikan",ROW($6:$1005)-5),682))="",INDEX(checklistPesertaKemenkeu!$J$6:$J$1005,SMALL(IF(checklistPesertaKemenkeu!$AY$6:$AY$1005="Direkomendasikan",ROW($6:$1005)-5),682))=""),"",IF(AND(COUNTIF(INDIRECT("K_"&amp;MATCH(INDEX(checklistPesertaKemenkeu!$J$6:$J$1005,SMALL(IF(checklistPesertaKemenkeu!$AY$6:$AY$1005="Direkomendasikan",ROW($6:$1005)-5),682)),BidangList,0)),INDEX(checklistPesertaKemenkeu!$L$6:$L$1005,SMALL(IF(checklistPesertaKemenkeu!$AY$6:$AY$1005="Direkomendasikan",ROW($6:$1005)-5),682)))&gt;0,COUNTIF(INDIRECT("'KERTAS KERJA'!K"&amp;(SMALL(IF(checklistPesertaKemenkeu!$AY$6:$AY$1005="Direkomendasikan",ROW($6:$1005)-5),682)+5)&amp;":O"&amp;(SMALL(IF(checklistPesertaKemenkeu!$AY$6:$AY$1005="Direkomendasikan",ROW($6:$1005)-5),682)+5)),INDEX(checklistPesertaKemenkeu!$L$6:$L$1005,SMALL(IF(checklistPesertaKemenkeu!$AY$6:$AY$1005="Direkomendasikan",ROW($6:$1005)-5),682)))=1),IFERROR(VLOOKUP(INDEX(checklistPesertaKemenkeu!$L$6:$L$1005,SMALL(IF(checklistPesertaKemenkeu!$AY$6:$AY$1005="Direkomendasikan",ROW($6:$1005)-5),682)),KotaKode,2,0),"-"),"")),"")</f>
        <v/>
      </c>
      <c r="I683" t="str">
        <f t="array" aca="1" ref="I683" ca="1">IFERROR(IF(OR(INDEX(checklistPesertaKemenkeu!$M$6:$M$1005,SMALL(IF(checklistPesertaKemenkeu!$AY$6:$AY$1005="Direkomendasikan",ROW($6:$1005)-5),682))="",INDEX(checklistPesertaKemenkeu!$J$6:$J$1005,SMALL(IF(checklistPesertaKemenkeu!$AY$6:$AY$1005="Direkomendasikan",ROW($6:$1005)-5),682))=""),"",IF(AND(COUNTIF(INDIRECT("K_"&amp;MATCH(INDEX(checklistPesertaKemenkeu!$J$6:$J$1005,SMALL(IF(checklistPesertaKemenkeu!$AY$6:$AY$1005="Direkomendasikan",ROW($6:$1005)-5),682)),BidangList,0)),INDEX(checklistPesertaKemenkeu!$M$6:$M$1005,SMALL(IF(checklistPesertaKemenkeu!$AY$6:$AY$1005="Direkomendasikan",ROW($6:$1005)-5),682)))&gt;0,COUNTIF(INDIRECT("'KERTAS KERJA'!K"&amp;(SMALL(IF(checklistPesertaKemenkeu!$AY$6:$AY$1005="Direkomendasikan",ROW($6:$1005)-5),682)+5)&amp;":O"&amp;(SMALL(IF(checklistPesertaKemenkeu!$AY$6:$AY$1005="Direkomendasikan",ROW($6:$1005)-5),682)+5)),INDEX(checklistPesertaKemenkeu!$M$6:$M$1005,SMALL(IF(checklistPesertaKemenkeu!$AY$6:$AY$1005="Direkomendasikan",ROW($6:$1005)-5),682)))=1),IFERROR(VLOOKUP(INDEX(checklistPesertaKemenkeu!$M$6:$M$1005,SMALL(IF(checklistPesertaKemenkeu!$AY$6:$AY$1005="Direkomendasikan",ROW($6:$1005)-5),682)),KotaKode,2,0),"-"),"")),"")</f>
        <v/>
      </c>
      <c r="J683" t="str">
        <f t="array" aca="1" ref="J683" ca="1">IFERROR(IF(OR(INDEX(checklistPesertaKemenkeu!$N$6:$N$1005,SMALL(IF(checklistPesertaKemenkeu!$AY$6:$AY$1005="Direkomendasikan",ROW($6:$1005)-5),682))="",INDEX(checklistPesertaKemenkeu!$J$6:$J$1005,SMALL(IF(checklistPesertaKemenkeu!$AY$6:$AY$1005="Direkomendasikan",ROW($6:$1005)-5),682))=""),"",IF(AND(COUNTIF(INDIRECT("K_"&amp;MATCH(INDEX(checklistPesertaKemenkeu!$J$6:$J$1005,SMALL(IF(checklistPesertaKemenkeu!$AY$6:$AY$1005="Direkomendasikan",ROW($6:$1005)-5),682)),BidangList,0)),INDEX(checklistPesertaKemenkeu!$N$6:$N$1005,SMALL(IF(checklistPesertaKemenkeu!$AY$6:$AY$1005="Direkomendasikan",ROW($6:$1005)-5),682)))&gt;0,COUNTIF(INDIRECT("'KERTAS KERJA'!K"&amp;(SMALL(IF(checklistPesertaKemenkeu!$AY$6:$AY$1005="Direkomendasikan",ROW($6:$1005)-5),682)+5)&amp;":O"&amp;(SMALL(IF(checklistPesertaKemenkeu!$AY$6:$AY$1005="Direkomendasikan",ROW($6:$1005)-5),682)+5)),INDEX(checklistPesertaKemenkeu!$N$6:$N$1005,SMALL(IF(checklistPesertaKemenkeu!$AY$6:$AY$1005="Direkomendasikan",ROW($6:$1005)-5),682)))=1),IFERROR(VLOOKUP(INDEX(checklistPesertaKemenkeu!$N$6:$N$1005,SMALL(IF(checklistPesertaKemenkeu!$AY$6:$AY$1005="Direkomendasikan",ROW($6:$1005)-5),682)),KotaKode,2,0),"-"),"")),"")</f>
        <v/>
      </c>
      <c r="K683" t="str">
        <f t="array" aca="1" ref="K683" ca="1">IFERROR(IF(OR(INDEX(checklistPesertaKemenkeu!$O$6:$O$1005,SMALL(IF(checklistPesertaKemenkeu!$AY$6:$AY$1005="Direkomendasikan",ROW($6:$1005)-5),682))="",INDEX(checklistPesertaKemenkeu!$J$6:$J$1005,SMALL(IF(checklistPesertaKemenkeu!$AY$6:$AY$1005="Direkomendasikan",ROW($6:$1005)-5),682))=""),"",IF(AND(COUNTIF(INDIRECT("K_"&amp;MATCH(INDEX(checklistPesertaKemenkeu!$J$6:$J$1005,SMALL(IF(checklistPesertaKemenkeu!$AY$6:$AY$1005="Direkomendasikan",ROW($6:$1005)-5),682)),BidangList,0)),INDEX(checklistPesertaKemenkeu!$O$6:$O$1005,SMALL(IF(checklistPesertaKemenkeu!$AY$6:$AY$1005="Direkomendasikan",ROW($6:$1005)-5),682)))&gt;0,COUNTIF(INDIRECT("'KERTAS KERJA'!K"&amp;(SMALL(IF(checklistPesertaKemenkeu!$AY$6:$AY$1005="Direkomendasikan",ROW($6:$1005)-5),682)+5)&amp;":O"&amp;(SMALL(IF(checklistPesertaKemenkeu!$AY$6:$AY$1005="Direkomendasikan",ROW($6:$1005)-5),682)+5)),INDEX(checklistPesertaKemenkeu!$O$6:$O$1005,SMALL(IF(checklistPesertaKemenkeu!$AY$6:$AY$1005="Direkomendasikan",ROW($6:$1005)-5),682)))=1),IFERROR(VLOOKUP(INDEX(checklistPesertaKemenkeu!$O$6:$O$1005,SMALL(IF(checklistPesertaKemenkeu!$AY$6:$AY$1005="Direkomendasikan",ROW($6:$1005)-5),682)),KotaKode,2,0),"-"),"")),"")</f>
        <v/>
      </c>
      <c r="L683" t="str">
        <f t="array" aca="1" ref="L683" ca="1">IFERROR(IF(OR(INDEX(checklistPesertaKemenkeu!$P$6:$P$1005,SMALL(IF(checklistPesertaKemenkeu!$AY$6:$AY$1005="Direkomendasikan",ROW($6:$1005)-5),682))="",INDEX(checklistPesertaKemenkeu!$J$6:$J$1005,SMALL(IF(checklistPesertaKemenkeu!$AY$6:$AY$1005="Direkomendasikan",ROW($6:$1005)-5),682))=""),"",IF(AND(COUNTIF(INDIRECT("K_"&amp;MATCH(INDEX(checklistPesertaKemenkeu!$J$6:$J$1005,SMALL(IF(checklistPesertaKemenkeu!$AY$6:$AY$1005="Direkomendasikan",ROW($6:$1005)-5),682)),BidangList,0)),INDEX(checklistPesertaKemenkeu!$P$6:$P$1005,SMALL(IF(checklistPesertaKemenkeu!$AY$6:$AY$1005="Direkomendasikan",ROW($6:$1005)-5),682)))&gt;0,COUNTIF(INDIRECT("'KERTAS KERJA'!K"&amp;(SMALL(IF(checklistPesertaKemenkeu!$AY$6:$AY$1005="Direkomendasikan",ROW($6:$1005)-5),682)+5)&amp;":O"&amp;(SMALL(IF(checklistPesertaKemenkeu!$AY$6:$AY$1005="Direkomendasikan",ROW($6:$1005)-5),682)+5)),INDEX(checklistPesertaKemenkeu!$P$6:$P$1005,SMALL(IF(checklistPesertaKemenkeu!$AY$6:$AY$1005="Direkomendasikan",ROW($6:$1005)-5),682)))=1),IFERROR(VLOOKUP(INDEX(checklistPesertaKemenkeu!$P$6:$P$1005,SMALL(IF(checklistPesertaKemenkeu!$AY$6:$AY$1005="Direkomendasikan",ROW($6:$1005)-5),682)),KotaKode,2,0),"-"),"")),"")</f>
        <v/>
      </c>
    </row>
    <row r="684" spans="1:12" ht="15" customHeight="1" x14ac:dyDescent="0.2">
      <c r="A684" t="str">
        <f t="shared" si="10"/>
        <v/>
      </c>
      <c r="B684" t="str">
        <v/>
      </c>
      <c r="C684" s="40" t="str">
        <f t="array" ref="C684">IFERROR(INDEX(checklistPesertaKemenkeu!$F$6:$F$1005,SMALL(IF(checklistPesertaKemenkeu!$AY$6:$AY$1005="Direkomendasikan",ROW($6:$1005)-5),683)),"")</f>
        <v/>
      </c>
      <c r="D684" t="str">
        <f t="array" ref="D684">IFERROR(INDEX(checklistPesertaKemenkeu!$G$6:$G$1005,SMALL(IF(checklistPesertaKemenkeu!$AY$6:$AY$1005="Direkomendasikan",ROW($6:$1005)-5),683)),"")</f>
        <v/>
      </c>
      <c r="E684" t="str">
        <f t="array" ref="E684">IFERROR(INDEX(checklistPesertaKemenkeu!$H$6:$H$1005,SMALL(IF(checklistPesertaKemenkeu!$AY$6:$AY$1005="Direkomendasikan",ROW($6:$1005)-5),683)),"")</f>
        <v/>
      </c>
      <c r="F684" t="str">
        <f t="array" ref="F684">IFERROR(INDEX(checklistPesertaKemenkeu!$I$6:$I$1005,SMALL(IF(checklistPesertaKemenkeu!$AY$6:$AY$1005="Direkomendasikan",ROW($6:$1005)-5),683)),"")</f>
        <v/>
      </c>
      <c r="G684" t="str">
        <f t="array" ref="G684">IFERROR(INDEX(checklistPesertaKemenkeu!$J$6:$J$1005,SMALL(IF(checklistPesertaKemenkeu!$AY$6:$AY$1005="Direkomendasikan",ROW($6:$1005)-5),683)),"")</f>
        <v/>
      </c>
      <c r="H684" t="str">
        <f t="array" aca="1" ref="H684" ca="1">IFERROR(IF(OR(INDEX(checklistPesertaKemenkeu!$L$6:$L$1005,SMALL(IF(checklistPesertaKemenkeu!$AY$6:$AY$1005="Direkomendasikan",ROW($6:$1005)-5),683))="",INDEX(checklistPesertaKemenkeu!$J$6:$J$1005,SMALL(IF(checklistPesertaKemenkeu!$AY$6:$AY$1005="Direkomendasikan",ROW($6:$1005)-5),683))=""),"",IF(AND(COUNTIF(INDIRECT("K_"&amp;MATCH(INDEX(checklistPesertaKemenkeu!$J$6:$J$1005,SMALL(IF(checklistPesertaKemenkeu!$AY$6:$AY$1005="Direkomendasikan",ROW($6:$1005)-5),683)),BidangList,0)),INDEX(checklistPesertaKemenkeu!$L$6:$L$1005,SMALL(IF(checklistPesertaKemenkeu!$AY$6:$AY$1005="Direkomendasikan",ROW($6:$1005)-5),683)))&gt;0,COUNTIF(INDIRECT("'KERTAS KERJA'!K"&amp;(SMALL(IF(checklistPesertaKemenkeu!$AY$6:$AY$1005="Direkomendasikan",ROW($6:$1005)-5),683)+5)&amp;":O"&amp;(SMALL(IF(checklistPesertaKemenkeu!$AY$6:$AY$1005="Direkomendasikan",ROW($6:$1005)-5),683)+5)),INDEX(checklistPesertaKemenkeu!$L$6:$L$1005,SMALL(IF(checklistPesertaKemenkeu!$AY$6:$AY$1005="Direkomendasikan",ROW($6:$1005)-5),683)))=1),IFERROR(VLOOKUP(INDEX(checklistPesertaKemenkeu!$L$6:$L$1005,SMALL(IF(checklistPesertaKemenkeu!$AY$6:$AY$1005="Direkomendasikan",ROW($6:$1005)-5),683)),KotaKode,2,0),"-"),"")),"")</f>
        <v/>
      </c>
      <c r="I684" t="str">
        <f t="array" aca="1" ref="I684" ca="1">IFERROR(IF(OR(INDEX(checklistPesertaKemenkeu!$M$6:$M$1005,SMALL(IF(checklistPesertaKemenkeu!$AY$6:$AY$1005="Direkomendasikan",ROW($6:$1005)-5),683))="",INDEX(checklistPesertaKemenkeu!$J$6:$J$1005,SMALL(IF(checklistPesertaKemenkeu!$AY$6:$AY$1005="Direkomendasikan",ROW($6:$1005)-5),683))=""),"",IF(AND(COUNTIF(INDIRECT("K_"&amp;MATCH(INDEX(checklistPesertaKemenkeu!$J$6:$J$1005,SMALL(IF(checklistPesertaKemenkeu!$AY$6:$AY$1005="Direkomendasikan",ROW($6:$1005)-5),683)),BidangList,0)),INDEX(checklistPesertaKemenkeu!$M$6:$M$1005,SMALL(IF(checklistPesertaKemenkeu!$AY$6:$AY$1005="Direkomendasikan",ROW($6:$1005)-5),683)))&gt;0,COUNTIF(INDIRECT("'KERTAS KERJA'!K"&amp;(SMALL(IF(checklistPesertaKemenkeu!$AY$6:$AY$1005="Direkomendasikan",ROW($6:$1005)-5),683)+5)&amp;":O"&amp;(SMALL(IF(checklistPesertaKemenkeu!$AY$6:$AY$1005="Direkomendasikan",ROW($6:$1005)-5),683)+5)),INDEX(checklistPesertaKemenkeu!$M$6:$M$1005,SMALL(IF(checklistPesertaKemenkeu!$AY$6:$AY$1005="Direkomendasikan",ROW($6:$1005)-5),683)))=1),IFERROR(VLOOKUP(INDEX(checklistPesertaKemenkeu!$M$6:$M$1005,SMALL(IF(checklistPesertaKemenkeu!$AY$6:$AY$1005="Direkomendasikan",ROW($6:$1005)-5),683)),KotaKode,2,0),"-"),"")),"")</f>
        <v/>
      </c>
      <c r="J684" t="str">
        <f t="array" aca="1" ref="J684" ca="1">IFERROR(IF(OR(INDEX(checklistPesertaKemenkeu!$N$6:$N$1005,SMALL(IF(checklistPesertaKemenkeu!$AY$6:$AY$1005="Direkomendasikan",ROW($6:$1005)-5),683))="",INDEX(checklistPesertaKemenkeu!$J$6:$J$1005,SMALL(IF(checklistPesertaKemenkeu!$AY$6:$AY$1005="Direkomendasikan",ROW($6:$1005)-5),683))=""),"",IF(AND(COUNTIF(INDIRECT("K_"&amp;MATCH(INDEX(checklistPesertaKemenkeu!$J$6:$J$1005,SMALL(IF(checklistPesertaKemenkeu!$AY$6:$AY$1005="Direkomendasikan",ROW($6:$1005)-5),683)),BidangList,0)),INDEX(checklistPesertaKemenkeu!$N$6:$N$1005,SMALL(IF(checklistPesertaKemenkeu!$AY$6:$AY$1005="Direkomendasikan",ROW($6:$1005)-5),683)))&gt;0,COUNTIF(INDIRECT("'KERTAS KERJA'!K"&amp;(SMALL(IF(checklistPesertaKemenkeu!$AY$6:$AY$1005="Direkomendasikan",ROW($6:$1005)-5),683)+5)&amp;":O"&amp;(SMALL(IF(checklistPesertaKemenkeu!$AY$6:$AY$1005="Direkomendasikan",ROW($6:$1005)-5),683)+5)),INDEX(checklistPesertaKemenkeu!$N$6:$N$1005,SMALL(IF(checklistPesertaKemenkeu!$AY$6:$AY$1005="Direkomendasikan",ROW($6:$1005)-5),683)))=1),IFERROR(VLOOKUP(INDEX(checklistPesertaKemenkeu!$N$6:$N$1005,SMALL(IF(checklistPesertaKemenkeu!$AY$6:$AY$1005="Direkomendasikan",ROW($6:$1005)-5),683)),KotaKode,2,0),"-"),"")),"")</f>
        <v/>
      </c>
      <c r="K684" t="str">
        <f t="array" aca="1" ref="K684" ca="1">IFERROR(IF(OR(INDEX(checklistPesertaKemenkeu!$O$6:$O$1005,SMALL(IF(checklistPesertaKemenkeu!$AY$6:$AY$1005="Direkomendasikan",ROW($6:$1005)-5),683))="",INDEX(checklistPesertaKemenkeu!$J$6:$J$1005,SMALL(IF(checklistPesertaKemenkeu!$AY$6:$AY$1005="Direkomendasikan",ROW($6:$1005)-5),683))=""),"",IF(AND(COUNTIF(INDIRECT("K_"&amp;MATCH(INDEX(checklistPesertaKemenkeu!$J$6:$J$1005,SMALL(IF(checklistPesertaKemenkeu!$AY$6:$AY$1005="Direkomendasikan",ROW($6:$1005)-5),683)),BidangList,0)),INDEX(checklistPesertaKemenkeu!$O$6:$O$1005,SMALL(IF(checklistPesertaKemenkeu!$AY$6:$AY$1005="Direkomendasikan",ROW($6:$1005)-5),683)))&gt;0,COUNTIF(INDIRECT("'KERTAS KERJA'!K"&amp;(SMALL(IF(checklistPesertaKemenkeu!$AY$6:$AY$1005="Direkomendasikan",ROW($6:$1005)-5),683)+5)&amp;":O"&amp;(SMALL(IF(checklistPesertaKemenkeu!$AY$6:$AY$1005="Direkomendasikan",ROW($6:$1005)-5),683)+5)),INDEX(checklistPesertaKemenkeu!$O$6:$O$1005,SMALL(IF(checklistPesertaKemenkeu!$AY$6:$AY$1005="Direkomendasikan",ROW($6:$1005)-5),683)))=1),IFERROR(VLOOKUP(INDEX(checklistPesertaKemenkeu!$O$6:$O$1005,SMALL(IF(checklistPesertaKemenkeu!$AY$6:$AY$1005="Direkomendasikan",ROW($6:$1005)-5),683)),KotaKode,2,0),"-"),"")),"")</f>
        <v/>
      </c>
      <c r="L684" t="str">
        <f t="array" aca="1" ref="L684" ca="1">IFERROR(IF(OR(INDEX(checklistPesertaKemenkeu!$P$6:$P$1005,SMALL(IF(checklistPesertaKemenkeu!$AY$6:$AY$1005="Direkomendasikan",ROW($6:$1005)-5),683))="",INDEX(checklistPesertaKemenkeu!$J$6:$J$1005,SMALL(IF(checklistPesertaKemenkeu!$AY$6:$AY$1005="Direkomendasikan",ROW($6:$1005)-5),683))=""),"",IF(AND(COUNTIF(INDIRECT("K_"&amp;MATCH(INDEX(checklistPesertaKemenkeu!$J$6:$J$1005,SMALL(IF(checklistPesertaKemenkeu!$AY$6:$AY$1005="Direkomendasikan",ROW($6:$1005)-5),683)),BidangList,0)),INDEX(checklistPesertaKemenkeu!$P$6:$P$1005,SMALL(IF(checklistPesertaKemenkeu!$AY$6:$AY$1005="Direkomendasikan",ROW($6:$1005)-5),683)))&gt;0,COUNTIF(INDIRECT("'KERTAS KERJA'!K"&amp;(SMALL(IF(checklistPesertaKemenkeu!$AY$6:$AY$1005="Direkomendasikan",ROW($6:$1005)-5),683)+5)&amp;":O"&amp;(SMALL(IF(checklistPesertaKemenkeu!$AY$6:$AY$1005="Direkomendasikan",ROW($6:$1005)-5),683)+5)),INDEX(checklistPesertaKemenkeu!$P$6:$P$1005,SMALL(IF(checklistPesertaKemenkeu!$AY$6:$AY$1005="Direkomendasikan",ROW($6:$1005)-5),683)))=1),IFERROR(VLOOKUP(INDEX(checklistPesertaKemenkeu!$P$6:$P$1005,SMALL(IF(checklistPesertaKemenkeu!$AY$6:$AY$1005="Direkomendasikan",ROW($6:$1005)-5),683)),KotaKode,2,0),"-"),"")),"")</f>
        <v/>
      </c>
    </row>
    <row r="685" spans="1:12" ht="15" customHeight="1" x14ac:dyDescent="0.2">
      <c r="A685" t="str">
        <f t="shared" si="10"/>
        <v/>
      </c>
      <c r="B685" t="str">
        <v/>
      </c>
      <c r="C685" s="40" t="str">
        <f t="array" ref="C685">IFERROR(INDEX(checklistPesertaKemenkeu!$F$6:$F$1005,SMALL(IF(checklistPesertaKemenkeu!$AY$6:$AY$1005="Direkomendasikan",ROW($6:$1005)-5),684)),"")</f>
        <v/>
      </c>
      <c r="D685" t="str">
        <f t="array" ref="D685">IFERROR(INDEX(checklistPesertaKemenkeu!$G$6:$G$1005,SMALL(IF(checklistPesertaKemenkeu!$AY$6:$AY$1005="Direkomendasikan",ROW($6:$1005)-5),684)),"")</f>
        <v/>
      </c>
      <c r="E685" t="str">
        <f t="array" ref="E685">IFERROR(INDEX(checklistPesertaKemenkeu!$H$6:$H$1005,SMALL(IF(checklistPesertaKemenkeu!$AY$6:$AY$1005="Direkomendasikan",ROW($6:$1005)-5),684)),"")</f>
        <v/>
      </c>
      <c r="F685" t="str">
        <f t="array" ref="F685">IFERROR(INDEX(checklistPesertaKemenkeu!$I$6:$I$1005,SMALL(IF(checklistPesertaKemenkeu!$AY$6:$AY$1005="Direkomendasikan",ROW($6:$1005)-5),684)),"")</f>
        <v/>
      </c>
      <c r="G685" t="str">
        <f t="array" ref="G685">IFERROR(INDEX(checklistPesertaKemenkeu!$J$6:$J$1005,SMALL(IF(checklistPesertaKemenkeu!$AY$6:$AY$1005="Direkomendasikan",ROW($6:$1005)-5),684)),"")</f>
        <v/>
      </c>
      <c r="H685" t="str">
        <f t="array" aca="1" ref="H685" ca="1">IFERROR(IF(OR(INDEX(checklistPesertaKemenkeu!$L$6:$L$1005,SMALL(IF(checklistPesertaKemenkeu!$AY$6:$AY$1005="Direkomendasikan",ROW($6:$1005)-5),684))="",INDEX(checklistPesertaKemenkeu!$J$6:$J$1005,SMALL(IF(checklistPesertaKemenkeu!$AY$6:$AY$1005="Direkomendasikan",ROW($6:$1005)-5),684))=""),"",IF(AND(COUNTIF(INDIRECT("K_"&amp;MATCH(INDEX(checklistPesertaKemenkeu!$J$6:$J$1005,SMALL(IF(checklistPesertaKemenkeu!$AY$6:$AY$1005="Direkomendasikan",ROW($6:$1005)-5),684)),BidangList,0)),INDEX(checklistPesertaKemenkeu!$L$6:$L$1005,SMALL(IF(checklistPesertaKemenkeu!$AY$6:$AY$1005="Direkomendasikan",ROW($6:$1005)-5),684)))&gt;0,COUNTIF(INDIRECT("'KERTAS KERJA'!K"&amp;(SMALL(IF(checklistPesertaKemenkeu!$AY$6:$AY$1005="Direkomendasikan",ROW($6:$1005)-5),684)+5)&amp;":O"&amp;(SMALL(IF(checklistPesertaKemenkeu!$AY$6:$AY$1005="Direkomendasikan",ROW($6:$1005)-5),684)+5)),INDEX(checklistPesertaKemenkeu!$L$6:$L$1005,SMALL(IF(checklistPesertaKemenkeu!$AY$6:$AY$1005="Direkomendasikan",ROW($6:$1005)-5),684)))=1),IFERROR(VLOOKUP(INDEX(checklistPesertaKemenkeu!$L$6:$L$1005,SMALL(IF(checklistPesertaKemenkeu!$AY$6:$AY$1005="Direkomendasikan",ROW($6:$1005)-5),684)),KotaKode,2,0),"-"),"")),"")</f>
        <v/>
      </c>
      <c r="I685" t="str">
        <f t="array" aca="1" ref="I685" ca="1">IFERROR(IF(OR(INDEX(checklistPesertaKemenkeu!$M$6:$M$1005,SMALL(IF(checklistPesertaKemenkeu!$AY$6:$AY$1005="Direkomendasikan",ROW($6:$1005)-5),684))="",INDEX(checklistPesertaKemenkeu!$J$6:$J$1005,SMALL(IF(checklistPesertaKemenkeu!$AY$6:$AY$1005="Direkomendasikan",ROW($6:$1005)-5),684))=""),"",IF(AND(COUNTIF(INDIRECT("K_"&amp;MATCH(INDEX(checklistPesertaKemenkeu!$J$6:$J$1005,SMALL(IF(checklistPesertaKemenkeu!$AY$6:$AY$1005="Direkomendasikan",ROW($6:$1005)-5),684)),BidangList,0)),INDEX(checklistPesertaKemenkeu!$M$6:$M$1005,SMALL(IF(checklistPesertaKemenkeu!$AY$6:$AY$1005="Direkomendasikan",ROW($6:$1005)-5),684)))&gt;0,COUNTIF(INDIRECT("'KERTAS KERJA'!K"&amp;(SMALL(IF(checklistPesertaKemenkeu!$AY$6:$AY$1005="Direkomendasikan",ROW($6:$1005)-5),684)+5)&amp;":O"&amp;(SMALL(IF(checklistPesertaKemenkeu!$AY$6:$AY$1005="Direkomendasikan",ROW($6:$1005)-5),684)+5)),INDEX(checklistPesertaKemenkeu!$M$6:$M$1005,SMALL(IF(checklistPesertaKemenkeu!$AY$6:$AY$1005="Direkomendasikan",ROW($6:$1005)-5),684)))=1),IFERROR(VLOOKUP(INDEX(checklistPesertaKemenkeu!$M$6:$M$1005,SMALL(IF(checklistPesertaKemenkeu!$AY$6:$AY$1005="Direkomendasikan",ROW($6:$1005)-5),684)),KotaKode,2,0),"-"),"")),"")</f>
        <v/>
      </c>
      <c r="J685" t="str">
        <f t="array" aca="1" ref="J685" ca="1">IFERROR(IF(OR(INDEX(checklistPesertaKemenkeu!$N$6:$N$1005,SMALL(IF(checklistPesertaKemenkeu!$AY$6:$AY$1005="Direkomendasikan",ROW($6:$1005)-5),684))="",INDEX(checklistPesertaKemenkeu!$J$6:$J$1005,SMALL(IF(checklistPesertaKemenkeu!$AY$6:$AY$1005="Direkomendasikan",ROW($6:$1005)-5),684))=""),"",IF(AND(COUNTIF(INDIRECT("K_"&amp;MATCH(INDEX(checklistPesertaKemenkeu!$J$6:$J$1005,SMALL(IF(checklistPesertaKemenkeu!$AY$6:$AY$1005="Direkomendasikan",ROW($6:$1005)-5),684)),BidangList,0)),INDEX(checklistPesertaKemenkeu!$N$6:$N$1005,SMALL(IF(checklistPesertaKemenkeu!$AY$6:$AY$1005="Direkomendasikan",ROW($6:$1005)-5),684)))&gt;0,COUNTIF(INDIRECT("'KERTAS KERJA'!K"&amp;(SMALL(IF(checklistPesertaKemenkeu!$AY$6:$AY$1005="Direkomendasikan",ROW($6:$1005)-5),684)+5)&amp;":O"&amp;(SMALL(IF(checklistPesertaKemenkeu!$AY$6:$AY$1005="Direkomendasikan",ROW($6:$1005)-5),684)+5)),INDEX(checklistPesertaKemenkeu!$N$6:$N$1005,SMALL(IF(checklistPesertaKemenkeu!$AY$6:$AY$1005="Direkomendasikan",ROW($6:$1005)-5),684)))=1),IFERROR(VLOOKUP(INDEX(checklistPesertaKemenkeu!$N$6:$N$1005,SMALL(IF(checklistPesertaKemenkeu!$AY$6:$AY$1005="Direkomendasikan",ROW($6:$1005)-5),684)),KotaKode,2,0),"-"),"")),"")</f>
        <v/>
      </c>
      <c r="K685" t="str">
        <f t="array" aca="1" ref="K685" ca="1">IFERROR(IF(OR(INDEX(checklistPesertaKemenkeu!$O$6:$O$1005,SMALL(IF(checklistPesertaKemenkeu!$AY$6:$AY$1005="Direkomendasikan",ROW($6:$1005)-5),684))="",INDEX(checklistPesertaKemenkeu!$J$6:$J$1005,SMALL(IF(checklistPesertaKemenkeu!$AY$6:$AY$1005="Direkomendasikan",ROW($6:$1005)-5),684))=""),"",IF(AND(COUNTIF(INDIRECT("K_"&amp;MATCH(INDEX(checklistPesertaKemenkeu!$J$6:$J$1005,SMALL(IF(checklistPesertaKemenkeu!$AY$6:$AY$1005="Direkomendasikan",ROW($6:$1005)-5),684)),BidangList,0)),INDEX(checklistPesertaKemenkeu!$O$6:$O$1005,SMALL(IF(checklistPesertaKemenkeu!$AY$6:$AY$1005="Direkomendasikan",ROW($6:$1005)-5),684)))&gt;0,COUNTIF(INDIRECT("'KERTAS KERJA'!K"&amp;(SMALL(IF(checklistPesertaKemenkeu!$AY$6:$AY$1005="Direkomendasikan",ROW($6:$1005)-5),684)+5)&amp;":O"&amp;(SMALL(IF(checklistPesertaKemenkeu!$AY$6:$AY$1005="Direkomendasikan",ROW($6:$1005)-5),684)+5)),INDEX(checklistPesertaKemenkeu!$O$6:$O$1005,SMALL(IF(checklistPesertaKemenkeu!$AY$6:$AY$1005="Direkomendasikan",ROW($6:$1005)-5),684)))=1),IFERROR(VLOOKUP(INDEX(checklistPesertaKemenkeu!$O$6:$O$1005,SMALL(IF(checklistPesertaKemenkeu!$AY$6:$AY$1005="Direkomendasikan",ROW($6:$1005)-5),684)),KotaKode,2,0),"-"),"")),"")</f>
        <v/>
      </c>
      <c r="L685" t="str">
        <f t="array" aca="1" ref="L685" ca="1">IFERROR(IF(OR(INDEX(checklistPesertaKemenkeu!$P$6:$P$1005,SMALL(IF(checklistPesertaKemenkeu!$AY$6:$AY$1005="Direkomendasikan",ROW($6:$1005)-5),684))="",INDEX(checklistPesertaKemenkeu!$J$6:$J$1005,SMALL(IF(checklistPesertaKemenkeu!$AY$6:$AY$1005="Direkomendasikan",ROW($6:$1005)-5),684))=""),"",IF(AND(COUNTIF(INDIRECT("K_"&amp;MATCH(INDEX(checklistPesertaKemenkeu!$J$6:$J$1005,SMALL(IF(checklistPesertaKemenkeu!$AY$6:$AY$1005="Direkomendasikan",ROW($6:$1005)-5),684)),BidangList,0)),INDEX(checklistPesertaKemenkeu!$P$6:$P$1005,SMALL(IF(checklistPesertaKemenkeu!$AY$6:$AY$1005="Direkomendasikan",ROW($6:$1005)-5),684)))&gt;0,COUNTIF(INDIRECT("'KERTAS KERJA'!K"&amp;(SMALL(IF(checklistPesertaKemenkeu!$AY$6:$AY$1005="Direkomendasikan",ROW($6:$1005)-5),684)+5)&amp;":O"&amp;(SMALL(IF(checklistPesertaKemenkeu!$AY$6:$AY$1005="Direkomendasikan",ROW($6:$1005)-5),684)+5)),INDEX(checklistPesertaKemenkeu!$P$6:$P$1005,SMALL(IF(checklistPesertaKemenkeu!$AY$6:$AY$1005="Direkomendasikan",ROW($6:$1005)-5),684)))=1),IFERROR(VLOOKUP(INDEX(checklistPesertaKemenkeu!$P$6:$P$1005,SMALL(IF(checklistPesertaKemenkeu!$AY$6:$AY$1005="Direkomendasikan",ROW($6:$1005)-5),684)),KotaKode,2,0),"-"),"")),"")</f>
        <v/>
      </c>
    </row>
    <row r="686" spans="1:12" ht="15" customHeight="1" x14ac:dyDescent="0.2">
      <c r="A686" t="str">
        <f t="shared" si="10"/>
        <v/>
      </c>
      <c r="B686" t="str">
        <v/>
      </c>
      <c r="C686" s="40" t="str">
        <f t="array" ref="C686">IFERROR(INDEX(checklistPesertaKemenkeu!$F$6:$F$1005,SMALL(IF(checklistPesertaKemenkeu!$AY$6:$AY$1005="Direkomendasikan",ROW($6:$1005)-5),685)),"")</f>
        <v/>
      </c>
      <c r="D686" t="str">
        <f t="array" ref="D686">IFERROR(INDEX(checklistPesertaKemenkeu!$G$6:$G$1005,SMALL(IF(checklistPesertaKemenkeu!$AY$6:$AY$1005="Direkomendasikan",ROW($6:$1005)-5),685)),"")</f>
        <v/>
      </c>
      <c r="E686" t="str">
        <f t="array" ref="E686">IFERROR(INDEX(checklistPesertaKemenkeu!$H$6:$H$1005,SMALL(IF(checklistPesertaKemenkeu!$AY$6:$AY$1005="Direkomendasikan",ROW($6:$1005)-5),685)),"")</f>
        <v/>
      </c>
      <c r="F686" t="str">
        <f t="array" ref="F686">IFERROR(INDEX(checklistPesertaKemenkeu!$I$6:$I$1005,SMALL(IF(checklistPesertaKemenkeu!$AY$6:$AY$1005="Direkomendasikan",ROW($6:$1005)-5),685)),"")</f>
        <v/>
      </c>
      <c r="G686" t="str">
        <f t="array" ref="G686">IFERROR(INDEX(checklistPesertaKemenkeu!$J$6:$J$1005,SMALL(IF(checklistPesertaKemenkeu!$AY$6:$AY$1005="Direkomendasikan",ROW($6:$1005)-5),685)),"")</f>
        <v/>
      </c>
      <c r="H686" t="str">
        <f t="array" aca="1" ref="H686" ca="1">IFERROR(IF(OR(INDEX(checklistPesertaKemenkeu!$L$6:$L$1005,SMALL(IF(checklistPesertaKemenkeu!$AY$6:$AY$1005="Direkomendasikan",ROW($6:$1005)-5),685))="",INDEX(checklistPesertaKemenkeu!$J$6:$J$1005,SMALL(IF(checklistPesertaKemenkeu!$AY$6:$AY$1005="Direkomendasikan",ROW($6:$1005)-5),685))=""),"",IF(AND(COUNTIF(INDIRECT("K_"&amp;MATCH(INDEX(checklistPesertaKemenkeu!$J$6:$J$1005,SMALL(IF(checklistPesertaKemenkeu!$AY$6:$AY$1005="Direkomendasikan",ROW($6:$1005)-5),685)),BidangList,0)),INDEX(checklistPesertaKemenkeu!$L$6:$L$1005,SMALL(IF(checklistPesertaKemenkeu!$AY$6:$AY$1005="Direkomendasikan",ROW($6:$1005)-5),685)))&gt;0,COUNTIF(INDIRECT("'KERTAS KERJA'!K"&amp;(SMALL(IF(checklistPesertaKemenkeu!$AY$6:$AY$1005="Direkomendasikan",ROW($6:$1005)-5),685)+5)&amp;":O"&amp;(SMALL(IF(checklistPesertaKemenkeu!$AY$6:$AY$1005="Direkomendasikan",ROW($6:$1005)-5),685)+5)),INDEX(checklistPesertaKemenkeu!$L$6:$L$1005,SMALL(IF(checklistPesertaKemenkeu!$AY$6:$AY$1005="Direkomendasikan",ROW($6:$1005)-5),685)))=1),IFERROR(VLOOKUP(INDEX(checklistPesertaKemenkeu!$L$6:$L$1005,SMALL(IF(checklistPesertaKemenkeu!$AY$6:$AY$1005="Direkomendasikan",ROW($6:$1005)-5),685)),KotaKode,2,0),"-"),"")),"")</f>
        <v/>
      </c>
      <c r="I686" t="str">
        <f t="array" aca="1" ref="I686" ca="1">IFERROR(IF(OR(INDEX(checklistPesertaKemenkeu!$M$6:$M$1005,SMALL(IF(checklistPesertaKemenkeu!$AY$6:$AY$1005="Direkomendasikan",ROW($6:$1005)-5),685))="",INDEX(checklistPesertaKemenkeu!$J$6:$J$1005,SMALL(IF(checklistPesertaKemenkeu!$AY$6:$AY$1005="Direkomendasikan",ROW($6:$1005)-5),685))=""),"",IF(AND(COUNTIF(INDIRECT("K_"&amp;MATCH(INDEX(checklistPesertaKemenkeu!$J$6:$J$1005,SMALL(IF(checklistPesertaKemenkeu!$AY$6:$AY$1005="Direkomendasikan",ROW($6:$1005)-5),685)),BidangList,0)),INDEX(checklistPesertaKemenkeu!$M$6:$M$1005,SMALL(IF(checklistPesertaKemenkeu!$AY$6:$AY$1005="Direkomendasikan",ROW($6:$1005)-5),685)))&gt;0,COUNTIF(INDIRECT("'KERTAS KERJA'!K"&amp;(SMALL(IF(checklistPesertaKemenkeu!$AY$6:$AY$1005="Direkomendasikan",ROW($6:$1005)-5),685)+5)&amp;":O"&amp;(SMALL(IF(checklistPesertaKemenkeu!$AY$6:$AY$1005="Direkomendasikan",ROW($6:$1005)-5),685)+5)),INDEX(checklistPesertaKemenkeu!$M$6:$M$1005,SMALL(IF(checklistPesertaKemenkeu!$AY$6:$AY$1005="Direkomendasikan",ROW($6:$1005)-5),685)))=1),IFERROR(VLOOKUP(INDEX(checklistPesertaKemenkeu!$M$6:$M$1005,SMALL(IF(checklistPesertaKemenkeu!$AY$6:$AY$1005="Direkomendasikan",ROW($6:$1005)-5),685)),KotaKode,2,0),"-"),"")),"")</f>
        <v/>
      </c>
      <c r="J686" t="str">
        <f t="array" aca="1" ref="J686" ca="1">IFERROR(IF(OR(INDEX(checklistPesertaKemenkeu!$N$6:$N$1005,SMALL(IF(checklistPesertaKemenkeu!$AY$6:$AY$1005="Direkomendasikan",ROW($6:$1005)-5),685))="",INDEX(checklistPesertaKemenkeu!$J$6:$J$1005,SMALL(IF(checklistPesertaKemenkeu!$AY$6:$AY$1005="Direkomendasikan",ROW($6:$1005)-5),685))=""),"",IF(AND(COUNTIF(INDIRECT("K_"&amp;MATCH(INDEX(checklistPesertaKemenkeu!$J$6:$J$1005,SMALL(IF(checklistPesertaKemenkeu!$AY$6:$AY$1005="Direkomendasikan",ROW($6:$1005)-5),685)),BidangList,0)),INDEX(checklistPesertaKemenkeu!$N$6:$N$1005,SMALL(IF(checklistPesertaKemenkeu!$AY$6:$AY$1005="Direkomendasikan",ROW($6:$1005)-5),685)))&gt;0,COUNTIF(INDIRECT("'KERTAS KERJA'!K"&amp;(SMALL(IF(checklistPesertaKemenkeu!$AY$6:$AY$1005="Direkomendasikan",ROW($6:$1005)-5),685)+5)&amp;":O"&amp;(SMALL(IF(checklistPesertaKemenkeu!$AY$6:$AY$1005="Direkomendasikan",ROW($6:$1005)-5),685)+5)),INDEX(checklistPesertaKemenkeu!$N$6:$N$1005,SMALL(IF(checklistPesertaKemenkeu!$AY$6:$AY$1005="Direkomendasikan",ROW($6:$1005)-5),685)))=1),IFERROR(VLOOKUP(INDEX(checklistPesertaKemenkeu!$N$6:$N$1005,SMALL(IF(checklistPesertaKemenkeu!$AY$6:$AY$1005="Direkomendasikan",ROW($6:$1005)-5),685)),KotaKode,2,0),"-"),"")),"")</f>
        <v/>
      </c>
      <c r="K686" t="str">
        <f t="array" aca="1" ref="K686" ca="1">IFERROR(IF(OR(INDEX(checklistPesertaKemenkeu!$O$6:$O$1005,SMALL(IF(checklistPesertaKemenkeu!$AY$6:$AY$1005="Direkomendasikan",ROW($6:$1005)-5),685))="",INDEX(checklistPesertaKemenkeu!$J$6:$J$1005,SMALL(IF(checklistPesertaKemenkeu!$AY$6:$AY$1005="Direkomendasikan",ROW($6:$1005)-5),685))=""),"",IF(AND(COUNTIF(INDIRECT("K_"&amp;MATCH(INDEX(checklistPesertaKemenkeu!$J$6:$J$1005,SMALL(IF(checklistPesertaKemenkeu!$AY$6:$AY$1005="Direkomendasikan",ROW($6:$1005)-5),685)),BidangList,0)),INDEX(checklistPesertaKemenkeu!$O$6:$O$1005,SMALL(IF(checklistPesertaKemenkeu!$AY$6:$AY$1005="Direkomendasikan",ROW($6:$1005)-5),685)))&gt;0,COUNTIF(INDIRECT("'KERTAS KERJA'!K"&amp;(SMALL(IF(checklistPesertaKemenkeu!$AY$6:$AY$1005="Direkomendasikan",ROW($6:$1005)-5),685)+5)&amp;":O"&amp;(SMALL(IF(checklistPesertaKemenkeu!$AY$6:$AY$1005="Direkomendasikan",ROW($6:$1005)-5),685)+5)),INDEX(checklistPesertaKemenkeu!$O$6:$O$1005,SMALL(IF(checklistPesertaKemenkeu!$AY$6:$AY$1005="Direkomendasikan",ROW($6:$1005)-5),685)))=1),IFERROR(VLOOKUP(INDEX(checklistPesertaKemenkeu!$O$6:$O$1005,SMALL(IF(checklistPesertaKemenkeu!$AY$6:$AY$1005="Direkomendasikan",ROW($6:$1005)-5),685)),KotaKode,2,0),"-"),"")),"")</f>
        <v/>
      </c>
      <c r="L686" t="str">
        <f t="array" aca="1" ref="L686" ca="1">IFERROR(IF(OR(INDEX(checklistPesertaKemenkeu!$P$6:$P$1005,SMALL(IF(checklistPesertaKemenkeu!$AY$6:$AY$1005="Direkomendasikan",ROW($6:$1005)-5),685))="",INDEX(checklistPesertaKemenkeu!$J$6:$J$1005,SMALL(IF(checklistPesertaKemenkeu!$AY$6:$AY$1005="Direkomendasikan",ROW($6:$1005)-5),685))=""),"",IF(AND(COUNTIF(INDIRECT("K_"&amp;MATCH(INDEX(checklistPesertaKemenkeu!$J$6:$J$1005,SMALL(IF(checklistPesertaKemenkeu!$AY$6:$AY$1005="Direkomendasikan",ROW($6:$1005)-5),685)),BidangList,0)),INDEX(checklistPesertaKemenkeu!$P$6:$P$1005,SMALL(IF(checklistPesertaKemenkeu!$AY$6:$AY$1005="Direkomendasikan",ROW($6:$1005)-5),685)))&gt;0,COUNTIF(INDIRECT("'KERTAS KERJA'!K"&amp;(SMALL(IF(checklistPesertaKemenkeu!$AY$6:$AY$1005="Direkomendasikan",ROW($6:$1005)-5),685)+5)&amp;":O"&amp;(SMALL(IF(checklistPesertaKemenkeu!$AY$6:$AY$1005="Direkomendasikan",ROW($6:$1005)-5),685)+5)),INDEX(checklistPesertaKemenkeu!$P$6:$P$1005,SMALL(IF(checklistPesertaKemenkeu!$AY$6:$AY$1005="Direkomendasikan",ROW($6:$1005)-5),685)))=1),IFERROR(VLOOKUP(INDEX(checklistPesertaKemenkeu!$P$6:$P$1005,SMALL(IF(checklistPesertaKemenkeu!$AY$6:$AY$1005="Direkomendasikan",ROW($6:$1005)-5),685)),KotaKode,2,0),"-"),"")),"")</f>
        <v/>
      </c>
    </row>
    <row r="687" spans="1:12" ht="15" customHeight="1" x14ac:dyDescent="0.2">
      <c r="A687" t="str">
        <f t="shared" si="10"/>
        <v/>
      </c>
      <c r="B687" t="str">
        <v/>
      </c>
      <c r="C687" s="40" t="str">
        <f t="array" ref="C687">IFERROR(INDEX(checklistPesertaKemenkeu!$F$6:$F$1005,SMALL(IF(checklistPesertaKemenkeu!$AY$6:$AY$1005="Direkomendasikan",ROW($6:$1005)-5),686)),"")</f>
        <v/>
      </c>
      <c r="D687" t="str">
        <f t="array" ref="D687">IFERROR(INDEX(checklistPesertaKemenkeu!$G$6:$G$1005,SMALL(IF(checklistPesertaKemenkeu!$AY$6:$AY$1005="Direkomendasikan",ROW($6:$1005)-5),686)),"")</f>
        <v/>
      </c>
      <c r="E687" t="str">
        <f t="array" ref="E687">IFERROR(INDEX(checklistPesertaKemenkeu!$H$6:$H$1005,SMALL(IF(checklistPesertaKemenkeu!$AY$6:$AY$1005="Direkomendasikan",ROW($6:$1005)-5),686)),"")</f>
        <v/>
      </c>
      <c r="F687" t="str">
        <f t="array" ref="F687">IFERROR(INDEX(checklistPesertaKemenkeu!$I$6:$I$1005,SMALL(IF(checklistPesertaKemenkeu!$AY$6:$AY$1005="Direkomendasikan",ROW($6:$1005)-5),686)),"")</f>
        <v/>
      </c>
      <c r="G687" t="str">
        <f t="array" ref="G687">IFERROR(INDEX(checklistPesertaKemenkeu!$J$6:$J$1005,SMALL(IF(checklistPesertaKemenkeu!$AY$6:$AY$1005="Direkomendasikan",ROW($6:$1005)-5),686)),"")</f>
        <v/>
      </c>
      <c r="H687" t="str">
        <f t="array" aca="1" ref="H687" ca="1">IFERROR(IF(OR(INDEX(checklistPesertaKemenkeu!$L$6:$L$1005,SMALL(IF(checklistPesertaKemenkeu!$AY$6:$AY$1005="Direkomendasikan",ROW($6:$1005)-5),686))="",INDEX(checklistPesertaKemenkeu!$J$6:$J$1005,SMALL(IF(checklistPesertaKemenkeu!$AY$6:$AY$1005="Direkomendasikan",ROW($6:$1005)-5),686))=""),"",IF(AND(COUNTIF(INDIRECT("K_"&amp;MATCH(INDEX(checklistPesertaKemenkeu!$J$6:$J$1005,SMALL(IF(checklistPesertaKemenkeu!$AY$6:$AY$1005="Direkomendasikan",ROW($6:$1005)-5),686)),BidangList,0)),INDEX(checklistPesertaKemenkeu!$L$6:$L$1005,SMALL(IF(checklistPesertaKemenkeu!$AY$6:$AY$1005="Direkomendasikan",ROW($6:$1005)-5),686)))&gt;0,COUNTIF(INDIRECT("'KERTAS KERJA'!K"&amp;(SMALL(IF(checklistPesertaKemenkeu!$AY$6:$AY$1005="Direkomendasikan",ROW($6:$1005)-5),686)+5)&amp;":O"&amp;(SMALL(IF(checklistPesertaKemenkeu!$AY$6:$AY$1005="Direkomendasikan",ROW($6:$1005)-5),686)+5)),INDEX(checklistPesertaKemenkeu!$L$6:$L$1005,SMALL(IF(checklistPesertaKemenkeu!$AY$6:$AY$1005="Direkomendasikan",ROW($6:$1005)-5),686)))=1),IFERROR(VLOOKUP(INDEX(checklistPesertaKemenkeu!$L$6:$L$1005,SMALL(IF(checklistPesertaKemenkeu!$AY$6:$AY$1005="Direkomendasikan",ROW($6:$1005)-5),686)),KotaKode,2,0),"-"),"")),"")</f>
        <v/>
      </c>
      <c r="I687" t="str">
        <f t="array" aca="1" ref="I687" ca="1">IFERROR(IF(OR(INDEX(checklistPesertaKemenkeu!$M$6:$M$1005,SMALL(IF(checklistPesertaKemenkeu!$AY$6:$AY$1005="Direkomendasikan",ROW($6:$1005)-5),686))="",INDEX(checklistPesertaKemenkeu!$J$6:$J$1005,SMALL(IF(checklistPesertaKemenkeu!$AY$6:$AY$1005="Direkomendasikan",ROW($6:$1005)-5),686))=""),"",IF(AND(COUNTIF(INDIRECT("K_"&amp;MATCH(INDEX(checklistPesertaKemenkeu!$J$6:$J$1005,SMALL(IF(checklistPesertaKemenkeu!$AY$6:$AY$1005="Direkomendasikan",ROW($6:$1005)-5),686)),BidangList,0)),INDEX(checklistPesertaKemenkeu!$M$6:$M$1005,SMALL(IF(checklistPesertaKemenkeu!$AY$6:$AY$1005="Direkomendasikan",ROW($6:$1005)-5),686)))&gt;0,COUNTIF(INDIRECT("'KERTAS KERJA'!K"&amp;(SMALL(IF(checklistPesertaKemenkeu!$AY$6:$AY$1005="Direkomendasikan",ROW($6:$1005)-5),686)+5)&amp;":O"&amp;(SMALL(IF(checklistPesertaKemenkeu!$AY$6:$AY$1005="Direkomendasikan",ROW($6:$1005)-5),686)+5)),INDEX(checklistPesertaKemenkeu!$M$6:$M$1005,SMALL(IF(checklistPesertaKemenkeu!$AY$6:$AY$1005="Direkomendasikan",ROW($6:$1005)-5),686)))=1),IFERROR(VLOOKUP(INDEX(checklistPesertaKemenkeu!$M$6:$M$1005,SMALL(IF(checklistPesertaKemenkeu!$AY$6:$AY$1005="Direkomendasikan",ROW($6:$1005)-5),686)),KotaKode,2,0),"-"),"")),"")</f>
        <v/>
      </c>
      <c r="J687" t="str">
        <f t="array" aca="1" ref="J687" ca="1">IFERROR(IF(OR(INDEX(checklistPesertaKemenkeu!$N$6:$N$1005,SMALL(IF(checklistPesertaKemenkeu!$AY$6:$AY$1005="Direkomendasikan",ROW($6:$1005)-5),686))="",INDEX(checklistPesertaKemenkeu!$J$6:$J$1005,SMALL(IF(checklistPesertaKemenkeu!$AY$6:$AY$1005="Direkomendasikan",ROW($6:$1005)-5),686))=""),"",IF(AND(COUNTIF(INDIRECT("K_"&amp;MATCH(INDEX(checklistPesertaKemenkeu!$J$6:$J$1005,SMALL(IF(checklistPesertaKemenkeu!$AY$6:$AY$1005="Direkomendasikan",ROW($6:$1005)-5),686)),BidangList,0)),INDEX(checklistPesertaKemenkeu!$N$6:$N$1005,SMALL(IF(checklistPesertaKemenkeu!$AY$6:$AY$1005="Direkomendasikan",ROW($6:$1005)-5),686)))&gt;0,COUNTIF(INDIRECT("'KERTAS KERJA'!K"&amp;(SMALL(IF(checklistPesertaKemenkeu!$AY$6:$AY$1005="Direkomendasikan",ROW($6:$1005)-5),686)+5)&amp;":O"&amp;(SMALL(IF(checklistPesertaKemenkeu!$AY$6:$AY$1005="Direkomendasikan",ROW($6:$1005)-5),686)+5)),INDEX(checklistPesertaKemenkeu!$N$6:$N$1005,SMALL(IF(checklistPesertaKemenkeu!$AY$6:$AY$1005="Direkomendasikan",ROW($6:$1005)-5),686)))=1),IFERROR(VLOOKUP(INDEX(checklistPesertaKemenkeu!$N$6:$N$1005,SMALL(IF(checklistPesertaKemenkeu!$AY$6:$AY$1005="Direkomendasikan",ROW($6:$1005)-5),686)),KotaKode,2,0),"-"),"")),"")</f>
        <v/>
      </c>
      <c r="K687" t="str">
        <f t="array" aca="1" ref="K687" ca="1">IFERROR(IF(OR(INDEX(checklistPesertaKemenkeu!$O$6:$O$1005,SMALL(IF(checklistPesertaKemenkeu!$AY$6:$AY$1005="Direkomendasikan",ROW($6:$1005)-5),686))="",INDEX(checklistPesertaKemenkeu!$J$6:$J$1005,SMALL(IF(checklistPesertaKemenkeu!$AY$6:$AY$1005="Direkomendasikan",ROW($6:$1005)-5),686))=""),"",IF(AND(COUNTIF(INDIRECT("K_"&amp;MATCH(INDEX(checklistPesertaKemenkeu!$J$6:$J$1005,SMALL(IF(checklistPesertaKemenkeu!$AY$6:$AY$1005="Direkomendasikan",ROW($6:$1005)-5),686)),BidangList,0)),INDEX(checklistPesertaKemenkeu!$O$6:$O$1005,SMALL(IF(checklistPesertaKemenkeu!$AY$6:$AY$1005="Direkomendasikan",ROW($6:$1005)-5),686)))&gt;0,COUNTIF(INDIRECT("'KERTAS KERJA'!K"&amp;(SMALL(IF(checklistPesertaKemenkeu!$AY$6:$AY$1005="Direkomendasikan",ROW($6:$1005)-5),686)+5)&amp;":O"&amp;(SMALL(IF(checklistPesertaKemenkeu!$AY$6:$AY$1005="Direkomendasikan",ROW($6:$1005)-5),686)+5)),INDEX(checklistPesertaKemenkeu!$O$6:$O$1005,SMALL(IF(checklistPesertaKemenkeu!$AY$6:$AY$1005="Direkomendasikan",ROW($6:$1005)-5),686)))=1),IFERROR(VLOOKUP(INDEX(checklistPesertaKemenkeu!$O$6:$O$1005,SMALL(IF(checklistPesertaKemenkeu!$AY$6:$AY$1005="Direkomendasikan",ROW($6:$1005)-5),686)),KotaKode,2,0),"-"),"")),"")</f>
        <v/>
      </c>
      <c r="L687" t="str">
        <f t="array" aca="1" ref="L687" ca="1">IFERROR(IF(OR(INDEX(checklistPesertaKemenkeu!$P$6:$P$1005,SMALL(IF(checklistPesertaKemenkeu!$AY$6:$AY$1005="Direkomendasikan",ROW($6:$1005)-5),686))="",INDEX(checklistPesertaKemenkeu!$J$6:$J$1005,SMALL(IF(checklistPesertaKemenkeu!$AY$6:$AY$1005="Direkomendasikan",ROW($6:$1005)-5),686))=""),"",IF(AND(COUNTIF(INDIRECT("K_"&amp;MATCH(INDEX(checklistPesertaKemenkeu!$J$6:$J$1005,SMALL(IF(checklistPesertaKemenkeu!$AY$6:$AY$1005="Direkomendasikan",ROW($6:$1005)-5),686)),BidangList,0)),INDEX(checklistPesertaKemenkeu!$P$6:$P$1005,SMALL(IF(checklistPesertaKemenkeu!$AY$6:$AY$1005="Direkomendasikan",ROW($6:$1005)-5),686)))&gt;0,COUNTIF(INDIRECT("'KERTAS KERJA'!K"&amp;(SMALL(IF(checklistPesertaKemenkeu!$AY$6:$AY$1005="Direkomendasikan",ROW($6:$1005)-5),686)+5)&amp;":O"&amp;(SMALL(IF(checklistPesertaKemenkeu!$AY$6:$AY$1005="Direkomendasikan",ROW($6:$1005)-5),686)+5)),INDEX(checklistPesertaKemenkeu!$P$6:$P$1005,SMALL(IF(checklistPesertaKemenkeu!$AY$6:$AY$1005="Direkomendasikan",ROW($6:$1005)-5),686)))=1),IFERROR(VLOOKUP(INDEX(checklistPesertaKemenkeu!$P$6:$P$1005,SMALL(IF(checklistPesertaKemenkeu!$AY$6:$AY$1005="Direkomendasikan",ROW($6:$1005)-5),686)),KotaKode,2,0),"-"),"")),"")</f>
        <v/>
      </c>
    </row>
    <row r="688" spans="1:12" ht="15" customHeight="1" x14ac:dyDescent="0.2">
      <c r="A688" t="str">
        <f t="shared" si="10"/>
        <v/>
      </c>
      <c r="B688" t="str">
        <v/>
      </c>
      <c r="C688" s="40" t="str">
        <f t="array" ref="C688">IFERROR(INDEX(checklistPesertaKemenkeu!$F$6:$F$1005,SMALL(IF(checklistPesertaKemenkeu!$AY$6:$AY$1005="Direkomendasikan",ROW($6:$1005)-5),687)),"")</f>
        <v/>
      </c>
      <c r="D688" t="str">
        <f t="array" ref="D688">IFERROR(INDEX(checklistPesertaKemenkeu!$G$6:$G$1005,SMALL(IF(checklistPesertaKemenkeu!$AY$6:$AY$1005="Direkomendasikan",ROW($6:$1005)-5),687)),"")</f>
        <v/>
      </c>
      <c r="E688" t="str">
        <f t="array" ref="E688">IFERROR(INDEX(checklistPesertaKemenkeu!$H$6:$H$1005,SMALL(IF(checklistPesertaKemenkeu!$AY$6:$AY$1005="Direkomendasikan",ROW($6:$1005)-5),687)),"")</f>
        <v/>
      </c>
      <c r="F688" t="str">
        <f t="array" ref="F688">IFERROR(INDEX(checklistPesertaKemenkeu!$I$6:$I$1005,SMALL(IF(checklistPesertaKemenkeu!$AY$6:$AY$1005="Direkomendasikan",ROW($6:$1005)-5),687)),"")</f>
        <v/>
      </c>
      <c r="G688" t="str">
        <f t="array" ref="G688">IFERROR(INDEX(checklistPesertaKemenkeu!$J$6:$J$1005,SMALL(IF(checklistPesertaKemenkeu!$AY$6:$AY$1005="Direkomendasikan",ROW($6:$1005)-5),687)),"")</f>
        <v/>
      </c>
      <c r="H688" t="str">
        <f t="array" aca="1" ref="H688" ca="1">IFERROR(IF(OR(INDEX(checklistPesertaKemenkeu!$L$6:$L$1005,SMALL(IF(checklistPesertaKemenkeu!$AY$6:$AY$1005="Direkomendasikan",ROW($6:$1005)-5),687))="",INDEX(checklistPesertaKemenkeu!$J$6:$J$1005,SMALL(IF(checklistPesertaKemenkeu!$AY$6:$AY$1005="Direkomendasikan",ROW($6:$1005)-5),687))=""),"",IF(AND(COUNTIF(INDIRECT("K_"&amp;MATCH(INDEX(checklistPesertaKemenkeu!$J$6:$J$1005,SMALL(IF(checklistPesertaKemenkeu!$AY$6:$AY$1005="Direkomendasikan",ROW($6:$1005)-5),687)),BidangList,0)),INDEX(checklistPesertaKemenkeu!$L$6:$L$1005,SMALL(IF(checklistPesertaKemenkeu!$AY$6:$AY$1005="Direkomendasikan",ROW($6:$1005)-5),687)))&gt;0,COUNTIF(INDIRECT("'KERTAS KERJA'!K"&amp;(SMALL(IF(checklistPesertaKemenkeu!$AY$6:$AY$1005="Direkomendasikan",ROW($6:$1005)-5),687)+5)&amp;":O"&amp;(SMALL(IF(checklistPesertaKemenkeu!$AY$6:$AY$1005="Direkomendasikan",ROW($6:$1005)-5),687)+5)),INDEX(checklistPesertaKemenkeu!$L$6:$L$1005,SMALL(IF(checklistPesertaKemenkeu!$AY$6:$AY$1005="Direkomendasikan",ROW($6:$1005)-5),687)))=1),IFERROR(VLOOKUP(INDEX(checklistPesertaKemenkeu!$L$6:$L$1005,SMALL(IF(checklistPesertaKemenkeu!$AY$6:$AY$1005="Direkomendasikan",ROW($6:$1005)-5),687)),KotaKode,2,0),"-"),"")),"")</f>
        <v/>
      </c>
      <c r="I688" t="str">
        <f t="array" aca="1" ref="I688" ca="1">IFERROR(IF(OR(INDEX(checklistPesertaKemenkeu!$M$6:$M$1005,SMALL(IF(checklistPesertaKemenkeu!$AY$6:$AY$1005="Direkomendasikan",ROW($6:$1005)-5),687))="",INDEX(checklistPesertaKemenkeu!$J$6:$J$1005,SMALL(IF(checklistPesertaKemenkeu!$AY$6:$AY$1005="Direkomendasikan",ROW($6:$1005)-5),687))=""),"",IF(AND(COUNTIF(INDIRECT("K_"&amp;MATCH(INDEX(checklistPesertaKemenkeu!$J$6:$J$1005,SMALL(IF(checklistPesertaKemenkeu!$AY$6:$AY$1005="Direkomendasikan",ROW($6:$1005)-5),687)),BidangList,0)),INDEX(checklistPesertaKemenkeu!$M$6:$M$1005,SMALL(IF(checklistPesertaKemenkeu!$AY$6:$AY$1005="Direkomendasikan",ROW($6:$1005)-5),687)))&gt;0,COUNTIF(INDIRECT("'KERTAS KERJA'!K"&amp;(SMALL(IF(checklistPesertaKemenkeu!$AY$6:$AY$1005="Direkomendasikan",ROW($6:$1005)-5),687)+5)&amp;":O"&amp;(SMALL(IF(checklistPesertaKemenkeu!$AY$6:$AY$1005="Direkomendasikan",ROW($6:$1005)-5),687)+5)),INDEX(checklistPesertaKemenkeu!$M$6:$M$1005,SMALL(IF(checklistPesertaKemenkeu!$AY$6:$AY$1005="Direkomendasikan",ROW($6:$1005)-5),687)))=1),IFERROR(VLOOKUP(INDEX(checklistPesertaKemenkeu!$M$6:$M$1005,SMALL(IF(checklistPesertaKemenkeu!$AY$6:$AY$1005="Direkomendasikan",ROW($6:$1005)-5),687)),KotaKode,2,0),"-"),"")),"")</f>
        <v/>
      </c>
      <c r="J688" t="str">
        <f t="array" aca="1" ref="J688" ca="1">IFERROR(IF(OR(INDEX(checklistPesertaKemenkeu!$N$6:$N$1005,SMALL(IF(checklistPesertaKemenkeu!$AY$6:$AY$1005="Direkomendasikan",ROW($6:$1005)-5),687))="",INDEX(checklistPesertaKemenkeu!$J$6:$J$1005,SMALL(IF(checklistPesertaKemenkeu!$AY$6:$AY$1005="Direkomendasikan",ROW($6:$1005)-5),687))=""),"",IF(AND(COUNTIF(INDIRECT("K_"&amp;MATCH(INDEX(checklistPesertaKemenkeu!$J$6:$J$1005,SMALL(IF(checklistPesertaKemenkeu!$AY$6:$AY$1005="Direkomendasikan",ROW($6:$1005)-5),687)),BidangList,0)),INDEX(checklistPesertaKemenkeu!$N$6:$N$1005,SMALL(IF(checklistPesertaKemenkeu!$AY$6:$AY$1005="Direkomendasikan",ROW($6:$1005)-5),687)))&gt;0,COUNTIF(INDIRECT("'KERTAS KERJA'!K"&amp;(SMALL(IF(checklistPesertaKemenkeu!$AY$6:$AY$1005="Direkomendasikan",ROW($6:$1005)-5),687)+5)&amp;":O"&amp;(SMALL(IF(checklistPesertaKemenkeu!$AY$6:$AY$1005="Direkomendasikan",ROW($6:$1005)-5),687)+5)),INDEX(checklistPesertaKemenkeu!$N$6:$N$1005,SMALL(IF(checklistPesertaKemenkeu!$AY$6:$AY$1005="Direkomendasikan",ROW($6:$1005)-5),687)))=1),IFERROR(VLOOKUP(INDEX(checklistPesertaKemenkeu!$N$6:$N$1005,SMALL(IF(checklistPesertaKemenkeu!$AY$6:$AY$1005="Direkomendasikan",ROW($6:$1005)-5),687)),KotaKode,2,0),"-"),"")),"")</f>
        <v/>
      </c>
      <c r="K688" t="str">
        <f t="array" aca="1" ref="K688" ca="1">IFERROR(IF(OR(INDEX(checklistPesertaKemenkeu!$O$6:$O$1005,SMALL(IF(checklistPesertaKemenkeu!$AY$6:$AY$1005="Direkomendasikan",ROW($6:$1005)-5),687))="",INDEX(checklistPesertaKemenkeu!$J$6:$J$1005,SMALL(IF(checklistPesertaKemenkeu!$AY$6:$AY$1005="Direkomendasikan",ROW($6:$1005)-5),687))=""),"",IF(AND(COUNTIF(INDIRECT("K_"&amp;MATCH(INDEX(checklistPesertaKemenkeu!$J$6:$J$1005,SMALL(IF(checklistPesertaKemenkeu!$AY$6:$AY$1005="Direkomendasikan",ROW($6:$1005)-5),687)),BidangList,0)),INDEX(checklistPesertaKemenkeu!$O$6:$O$1005,SMALL(IF(checklistPesertaKemenkeu!$AY$6:$AY$1005="Direkomendasikan",ROW($6:$1005)-5),687)))&gt;0,COUNTIF(INDIRECT("'KERTAS KERJA'!K"&amp;(SMALL(IF(checklistPesertaKemenkeu!$AY$6:$AY$1005="Direkomendasikan",ROW($6:$1005)-5),687)+5)&amp;":O"&amp;(SMALL(IF(checklistPesertaKemenkeu!$AY$6:$AY$1005="Direkomendasikan",ROW($6:$1005)-5),687)+5)),INDEX(checklistPesertaKemenkeu!$O$6:$O$1005,SMALL(IF(checklistPesertaKemenkeu!$AY$6:$AY$1005="Direkomendasikan",ROW($6:$1005)-5),687)))=1),IFERROR(VLOOKUP(INDEX(checklistPesertaKemenkeu!$O$6:$O$1005,SMALL(IF(checklistPesertaKemenkeu!$AY$6:$AY$1005="Direkomendasikan",ROW($6:$1005)-5),687)),KotaKode,2,0),"-"),"")),"")</f>
        <v/>
      </c>
      <c r="L688" t="str">
        <f t="array" aca="1" ref="L688" ca="1">IFERROR(IF(OR(INDEX(checklistPesertaKemenkeu!$P$6:$P$1005,SMALL(IF(checklistPesertaKemenkeu!$AY$6:$AY$1005="Direkomendasikan",ROW($6:$1005)-5),687))="",INDEX(checklistPesertaKemenkeu!$J$6:$J$1005,SMALL(IF(checklistPesertaKemenkeu!$AY$6:$AY$1005="Direkomendasikan",ROW($6:$1005)-5),687))=""),"",IF(AND(COUNTIF(INDIRECT("K_"&amp;MATCH(INDEX(checklistPesertaKemenkeu!$J$6:$J$1005,SMALL(IF(checklistPesertaKemenkeu!$AY$6:$AY$1005="Direkomendasikan",ROW($6:$1005)-5),687)),BidangList,0)),INDEX(checklistPesertaKemenkeu!$P$6:$P$1005,SMALL(IF(checklistPesertaKemenkeu!$AY$6:$AY$1005="Direkomendasikan",ROW($6:$1005)-5),687)))&gt;0,COUNTIF(INDIRECT("'KERTAS KERJA'!K"&amp;(SMALL(IF(checklistPesertaKemenkeu!$AY$6:$AY$1005="Direkomendasikan",ROW($6:$1005)-5),687)+5)&amp;":O"&amp;(SMALL(IF(checklistPesertaKemenkeu!$AY$6:$AY$1005="Direkomendasikan",ROW($6:$1005)-5),687)+5)),INDEX(checklistPesertaKemenkeu!$P$6:$P$1005,SMALL(IF(checklistPesertaKemenkeu!$AY$6:$AY$1005="Direkomendasikan",ROW($6:$1005)-5),687)))=1),IFERROR(VLOOKUP(INDEX(checklistPesertaKemenkeu!$P$6:$P$1005,SMALL(IF(checklistPesertaKemenkeu!$AY$6:$AY$1005="Direkomendasikan",ROW($6:$1005)-5),687)),KotaKode,2,0),"-"),"")),"")</f>
        <v/>
      </c>
    </row>
    <row r="689" spans="1:12" ht="15" customHeight="1" x14ac:dyDescent="0.2">
      <c r="A689" t="str">
        <f t="shared" si="10"/>
        <v/>
      </c>
      <c r="B689" t="str">
        <v/>
      </c>
      <c r="C689" s="40" t="str">
        <f t="array" ref="C689">IFERROR(INDEX(checklistPesertaKemenkeu!$F$6:$F$1005,SMALL(IF(checklistPesertaKemenkeu!$AY$6:$AY$1005="Direkomendasikan",ROW($6:$1005)-5),688)),"")</f>
        <v/>
      </c>
      <c r="D689" t="str">
        <f t="array" ref="D689">IFERROR(INDEX(checklistPesertaKemenkeu!$G$6:$G$1005,SMALL(IF(checklistPesertaKemenkeu!$AY$6:$AY$1005="Direkomendasikan",ROW($6:$1005)-5),688)),"")</f>
        <v/>
      </c>
      <c r="E689" t="str">
        <f t="array" ref="E689">IFERROR(INDEX(checklistPesertaKemenkeu!$H$6:$H$1005,SMALL(IF(checklistPesertaKemenkeu!$AY$6:$AY$1005="Direkomendasikan",ROW($6:$1005)-5),688)),"")</f>
        <v/>
      </c>
      <c r="F689" t="str">
        <f t="array" ref="F689">IFERROR(INDEX(checklistPesertaKemenkeu!$I$6:$I$1005,SMALL(IF(checklistPesertaKemenkeu!$AY$6:$AY$1005="Direkomendasikan",ROW($6:$1005)-5),688)),"")</f>
        <v/>
      </c>
      <c r="G689" t="str">
        <f t="array" ref="G689">IFERROR(INDEX(checklistPesertaKemenkeu!$J$6:$J$1005,SMALL(IF(checklistPesertaKemenkeu!$AY$6:$AY$1005="Direkomendasikan",ROW($6:$1005)-5),688)),"")</f>
        <v/>
      </c>
      <c r="H689" t="str">
        <f t="array" aca="1" ref="H689" ca="1">IFERROR(IF(OR(INDEX(checklistPesertaKemenkeu!$L$6:$L$1005,SMALL(IF(checklistPesertaKemenkeu!$AY$6:$AY$1005="Direkomendasikan",ROW($6:$1005)-5),688))="",INDEX(checklistPesertaKemenkeu!$J$6:$J$1005,SMALL(IF(checklistPesertaKemenkeu!$AY$6:$AY$1005="Direkomendasikan",ROW($6:$1005)-5),688))=""),"",IF(AND(COUNTIF(INDIRECT("K_"&amp;MATCH(INDEX(checklistPesertaKemenkeu!$J$6:$J$1005,SMALL(IF(checklistPesertaKemenkeu!$AY$6:$AY$1005="Direkomendasikan",ROW($6:$1005)-5),688)),BidangList,0)),INDEX(checklistPesertaKemenkeu!$L$6:$L$1005,SMALL(IF(checklistPesertaKemenkeu!$AY$6:$AY$1005="Direkomendasikan",ROW($6:$1005)-5),688)))&gt;0,COUNTIF(INDIRECT("'KERTAS KERJA'!K"&amp;(SMALL(IF(checklistPesertaKemenkeu!$AY$6:$AY$1005="Direkomendasikan",ROW($6:$1005)-5),688)+5)&amp;":O"&amp;(SMALL(IF(checklistPesertaKemenkeu!$AY$6:$AY$1005="Direkomendasikan",ROW($6:$1005)-5),688)+5)),INDEX(checklistPesertaKemenkeu!$L$6:$L$1005,SMALL(IF(checklistPesertaKemenkeu!$AY$6:$AY$1005="Direkomendasikan",ROW($6:$1005)-5),688)))=1),IFERROR(VLOOKUP(INDEX(checklistPesertaKemenkeu!$L$6:$L$1005,SMALL(IF(checklistPesertaKemenkeu!$AY$6:$AY$1005="Direkomendasikan",ROW($6:$1005)-5),688)),KotaKode,2,0),"-"),"")),"")</f>
        <v/>
      </c>
      <c r="I689" t="str">
        <f t="array" aca="1" ref="I689" ca="1">IFERROR(IF(OR(INDEX(checklistPesertaKemenkeu!$M$6:$M$1005,SMALL(IF(checklistPesertaKemenkeu!$AY$6:$AY$1005="Direkomendasikan",ROW($6:$1005)-5),688))="",INDEX(checklistPesertaKemenkeu!$J$6:$J$1005,SMALL(IF(checklistPesertaKemenkeu!$AY$6:$AY$1005="Direkomendasikan",ROW($6:$1005)-5),688))=""),"",IF(AND(COUNTIF(INDIRECT("K_"&amp;MATCH(INDEX(checklistPesertaKemenkeu!$J$6:$J$1005,SMALL(IF(checklistPesertaKemenkeu!$AY$6:$AY$1005="Direkomendasikan",ROW($6:$1005)-5),688)),BidangList,0)),INDEX(checklistPesertaKemenkeu!$M$6:$M$1005,SMALL(IF(checklistPesertaKemenkeu!$AY$6:$AY$1005="Direkomendasikan",ROW($6:$1005)-5),688)))&gt;0,COUNTIF(INDIRECT("'KERTAS KERJA'!K"&amp;(SMALL(IF(checklistPesertaKemenkeu!$AY$6:$AY$1005="Direkomendasikan",ROW($6:$1005)-5),688)+5)&amp;":O"&amp;(SMALL(IF(checklistPesertaKemenkeu!$AY$6:$AY$1005="Direkomendasikan",ROW($6:$1005)-5),688)+5)),INDEX(checklistPesertaKemenkeu!$M$6:$M$1005,SMALL(IF(checklistPesertaKemenkeu!$AY$6:$AY$1005="Direkomendasikan",ROW($6:$1005)-5),688)))=1),IFERROR(VLOOKUP(INDEX(checklistPesertaKemenkeu!$M$6:$M$1005,SMALL(IF(checklistPesertaKemenkeu!$AY$6:$AY$1005="Direkomendasikan",ROW($6:$1005)-5),688)),KotaKode,2,0),"-"),"")),"")</f>
        <v/>
      </c>
      <c r="J689" t="str">
        <f t="array" aca="1" ref="J689" ca="1">IFERROR(IF(OR(INDEX(checklistPesertaKemenkeu!$N$6:$N$1005,SMALL(IF(checklistPesertaKemenkeu!$AY$6:$AY$1005="Direkomendasikan",ROW($6:$1005)-5),688))="",INDEX(checklistPesertaKemenkeu!$J$6:$J$1005,SMALL(IF(checklistPesertaKemenkeu!$AY$6:$AY$1005="Direkomendasikan",ROW($6:$1005)-5),688))=""),"",IF(AND(COUNTIF(INDIRECT("K_"&amp;MATCH(INDEX(checklistPesertaKemenkeu!$J$6:$J$1005,SMALL(IF(checklistPesertaKemenkeu!$AY$6:$AY$1005="Direkomendasikan",ROW($6:$1005)-5),688)),BidangList,0)),INDEX(checklistPesertaKemenkeu!$N$6:$N$1005,SMALL(IF(checklistPesertaKemenkeu!$AY$6:$AY$1005="Direkomendasikan",ROW($6:$1005)-5),688)))&gt;0,COUNTIF(INDIRECT("'KERTAS KERJA'!K"&amp;(SMALL(IF(checklistPesertaKemenkeu!$AY$6:$AY$1005="Direkomendasikan",ROW($6:$1005)-5),688)+5)&amp;":O"&amp;(SMALL(IF(checklistPesertaKemenkeu!$AY$6:$AY$1005="Direkomendasikan",ROW($6:$1005)-5),688)+5)),INDEX(checklistPesertaKemenkeu!$N$6:$N$1005,SMALL(IF(checklistPesertaKemenkeu!$AY$6:$AY$1005="Direkomendasikan",ROW($6:$1005)-5),688)))=1),IFERROR(VLOOKUP(INDEX(checklistPesertaKemenkeu!$N$6:$N$1005,SMALL(IF(checklistPesertaKemenkeu!$AY$6:$AY$1005="Direkomendasikan",ROW($6:$1005)-5),688)),KotaKode,2,0),"-"),"")),"")</f>
        <v/>
      </c>
      <c r="K689" t="str">
        <f t="array" aca="1" ref="K689" ca="1">IFERROR(IF(OR(INDEX(checklistPesertaKemenkeu!$O$6:$O$1005,SMALL(IF(checklistPesertaKemenkeu!$AY$6:$AY$1005="Direkomendasikan",ROW($6:$1005)-5),688))="",INDEX(checklistPesertaKemenkeu!$J$6:$J$1005,SMALL(IF(checklistPesertaKemenkeu!$AY$6:$AY$1005="Direkomendasikan",ROW($6:$1005)-5),688))=""),"",IF(AND(COUNTIF(INDIRECT("K_"&amp;MATCH(INDEX(checklistPesertaKemenkeu!$J$6:$J$1005,SMALL(IF(checklistPesertaKemenkeu!$AY$6:$AY$1005="Direkomendasikan",ROW($6:$1005)-5),688)),BidangList,0)),INDEX(checklistPesertaKemenkeu!$O$6:$O$1005,SMALL(IF(checklistPesertaKemenkeu!$AY$6:$AY$1005="Direkomendasikan",ROW($6:$1005)-5),688)))&gt;0,COUNTIF(INDIRECT("'KERTAS KERJA'!K"&amp;(SMALL(IF(checklistPesertaKemenkeu!$AY$6:$AY$1005="Direkomendasikan",ROW($6:$1005)-5),688)+5)&amp;":O"&amp;(SMALL(IF(checklistPesertaKemenkeu!$AY$6:$AY$1005="Direkomendasikan",ROW($6:$1005)-5),688)+5)),INDEX(checklistPesertaKemenkeu!$O$6:$O$1005,SMALL(IF(checklistPesertaKemenkeu!$AY$6:$AY$1005="Direkomendasikan",ROW($6:$1005)-5),688)))=1),IFERROR(VLOOKUP(INDEX(checklistPesertaKemenkeu!$O$6:$O$1005,SMALL(IF(checklistPesertaKemenkeu!$AY$6:$AY$1005="Direkomendasikan",ROW($6:$1005)-5),688)),KotaKode,2,0),"-"),"")),"")</f>
        <v/>
      </c>
      <c r="L689" t="str">
        <f t="array" aca="1" ref="L689" ca="1">IFERROR(IF(OR(INDEX(checklistPesertaKemenkeu!$P$6:$P$1005,SMALL(IF(checklistPesertaKemenkeu!$AY$6:$AY$1005="Direkomendasikan",ROW($6:$1005)-5),688))="",INDEX(checklistPesertaKemenkeu!$J$6:$J$1005,SMALL(IF(checklistPesertaKemenkeu!$AY$6:$AY$1005="Direkomendasikan",ROW($6:$1005)-5),688))=""),"",IF(AND(COUNTIF(INDIRECT("K_"&amp;MATCH(INDEX(checklistPesertaKemenkeu!$J$6:$J$1005,SMALL(IF(checklistPesertaKemenkeu!$AY$6:$AY$1005="Direkomendasikan",ROW($6:$1005)-5),688)),BidangList,0)),INDEX(checklistPesertaKemenkeu!$P$6:$P$1005,SMALL(IF(checklistPesertaKemenkeu!$AY$6:$AY$1005="Direkomendasikan",ROW($6:$1005)-5),688)))&gt;0,COUNTIF(INDIRECT("'KERTAS KERJA'!K"&amp;(SMALL(IF(checklistPesertaKemenkeu!$AY$6:$AY$1005="Direkomendasikan",ROW($6:$1005)-5),688)+5)&amp;":O"&amp;(SMALL(IF(checklistPesertaKemenkeu!$AY$6:$AY$1005="Direkomendasikan",ROW($6:$1005)-5),688)+5)),INDEX(checklistPesertaKemenkeu!$P$6:$P$1005,SMALL(IF(checklistPesertaKemenkeu!$AY$6:$AY$1005="Direkomendasikan",ROW($6:$1005)-5),688)))=1),IFERROR(VLOOKUP(INDEX(checklistPesertaKemenkeu!$P$6:$P$1005,SMALL(IF(checklistPesertaKemenkeu!$AY$6:$AY$1005="Direkomendasikan",ROW($6:$1005)-5),688)),KotaKode,2,0),"-"),"")),"")</f>
        <v/>
      </c>
    </row>
    <row r="690" spans="1:12" ht="15" customHeight="1" x14ac:dyDescent="0.2">
      <c r="A690" t="str">
        <f t="shared" si="10"/>
        <v/>
      </c>
      <c r="B690" t="str">
        <v/>
      </c>
      <c r="C690" s="40" t="str">
        <f t="array" ref="C690">IFERROR(INDEX(checklistPesertaKemenkeu!$F$6:$F$1005,SMALL(IF(checklistPesertaKemenkeu!$AY$6:$AY$1005="Direkomendasikan",ROW($6:$1005)-5),689)),"")</f>
        <v/>
      </c>
      <c r="D690" t="str">
        <f t="array" ref="D690">IFERROR(INDEX(checklistPesertaKemenkeu!$G$6:$G$1005,SMALL(IF(checklistPesertaKemenkeu!$AY$6:$AY$1005="Direkomendasikan",ROW($6:$1005)-5),689)),"")</f>
        <v/>
      </c>
      <c r="E690" t="str">
        <f t="array" ref="E690">IFERROR(INDEX(checklistPesertaKemenkeu!$H$6:$H$1005,SMALL(IF(checklistPesertaKemenkeu!$AY$6:$AY$1005="Direkomendasikan",ROW($6:$1005)-5),689)),"")</f>
        <v/>
      </c>
      <c r="F690" t="str">
        <f t="array" ref="F690">IFERROR(INDEX(checklistPesertaKemenkeu!$I$6:$I$1005,SMALL(IF(checklistPesertaKemenkeu!$AY$6:$AY$1005="Direkomendasikan",ROW($6:$1005)-5),689)),"")</f>
        <v/>
      </c>
      <c r="G690" t="str">
        <f t="array" ref="G690">IFERROR(INDEX(checklistPesertaKemenkeu!$J$6:$J$1005,SMALL(IF(checklistPesertaKemenkeu!$AY$6:$AY$1005="Direkomendasikan",ROW($6:$1005)-5),689)),"")</f>
        <v/>
      </c>
      <c r="H690" t="str">
        <f t="array" aca="1" ref="H690" ca="1">IFERROR(IF(OR(INDEX(checklistPesertaKemenkeu!$L$6:$L$1005,SMALL(IF(checklistPesertaKemenkeu!$AY$6:$AY$1005="Direkomendasikan",ROW($6:$1005)-5),689))="",INDEX(checklistPesertaKemenkeu!$J$6:$J$1005,SMALL(IF(checklistPesertaKemenkeu!$AY$6:$AY$1005="Direkomendasikan",ROW($6:$1005)-5),689))=""),"",IF(AND(COUNTIF(INDIRECT("K_"&amp;MATCH(INDEX(checklistPesertaKemenkeu!$J$6:$J$1005,SMALL(IF(checklistPesertaKemenkeu!$AY$6:$AY$1005="Direkomendasikan",ROW($6:$1005)-5),689)),BidangList,0)),INDEX(checklistPesertaKemenkeu!$L$6:$L$1005,SMALL(IF(checklistPesertaKemenkeu!$AY$6:$AY$1005="Direkomendasikan",ROW($6:$1005)-5),689)))&gt;0,COUNTIF(INDIRECT("'KERTAS KERJA'!K"&amp;(SMALL(IF(checklistPesertaKemenkeu!$AY$6:$AY$1005="Direkomendasikan",ROW($6:$1005)-5),689)+5)&amp;":O"&amp;(SMALL(IF(checklistPesertaKemenkeu!$AY$6:$AY$1005="Direkomendasikan",ROW($6:$1005)-5),689)+5)),INDEX(checklistPesertaKemenkeu!$L$6:$L$1005,SMALL(IF(checklistPesertaKemenkeu!$AY$6:$AY$1005="Direkomendasikan",ROW($6:$1005)-5),689)))=1),IFERROR(VLOOKUP(INDEX(checklistPesertaKemenkeu!$L$6:$L$1005,SMALL(IF(checklistPesertaKemenkeu!$AY$6:$AY$1005="Direkomendasikan",ROW($6:$1005)-5),689)),KotaKode,2,0),"-"),"")),"")</f>
        <v/>
      </c>
      <c r="I690" t="str">
        <f t="array" aca="1" ref="I690" ca="1">IFERROR(IF(OR(INDEX(checklistPesertaKemenkeu!$M$6:$M$1005,SMALL(IF(checklistPesertaKemenkeu!$AY$6:$AY$1005="Direkomendasikan",ROW($6:$1005)-5),689))="",INDEX(checklistPesertaKemenkeu!$J$6:$J$1005,SMALL(IF(checklistPesertaKemenkeu!$AY$6:$AY$1005="Direkomendasikan",ROW($6:$1005)-5),689))=""),"",IF(AND(COUNTIF(INDIRECT("K_"&amp;MATCH(INDEX(checklistPesertaKemenkeu!$J$6:$J$1005,SMALL(IF(checklistPesertaKemenkeu!$AY$6:$AY$1005="Direkomendasikan",ROW($6:$1005)-5),689)),BidangList,0)),INDEX(checklistPesertaKemenkeu!$M$6:$M$1005,SMALL(IF(checklistPesertaKemenkeu!$AY$6:$AY$1005="Direkomendasikan",ROW($6:$1005)-5),689)))&gt;0,COUNTIF(INDIRECT("'KERTAS KERJA'!K"&amp;(SMALL(IF(checklistPesertaKemenkeu!$AY$6:$AY$1005="Direkomendasikan",ROW($6:$1005)-5),689)+5)&amp;":O"&amp;(SMALL(IF(checklistPesertaKemenkeu!$AY$6:$AY$1005="Direkomendasikan",ROW($6:$1005)-5),689)+5)),INDEX(checklistPesertaKemenkeu!$M$6:$M$1005,SMALL(IF(checklistPesertaKemenkeu!$AY$6:$AY$1005="Direkomendasikan",ROW($6:$1005)-5),689)))=1),IFERROR(VLOOKUP(INDEX(checklistPesertaKemenkeu!$M$6:$M$1005,SMALL(IF(checklistPesertaKemenkeu!$AY$6:$AY$1005="Direkomendasikan",ROW($6:$1005)-5),689)),KotaKode,2,0),"-"),"")),"")</f>
        <v/>
      </c>
      <c r="J690" t="str">
        <f t="array" aca="1" ref="J690" ca="1">IFERROR(IF(OR(INDEX(checklistPesertaKemenkeu!$N$6:$N$1005,SMALL(IF(checklistPesertaKemenkeu!$AY$6:$AY$1005="Direkomendasikan",ROW($6:$1005)-5),689))="",INDEX(checklistPesertaKemenkeu!$J$6:$J$1005,SMALL(IF(checklistPesertaKemenkeu!$AY$6:$AY$1005="Direkomendasikan",ROW($6:$1005)-5),689))=""),"",IF(AND(COUNTIF(INDIRECT("K_"&amp;MATCH(INDEX(checklistPesertaKemenkeu!$J$6:$J$1005,SMALL(IF(checklistPesertaKemenkeu!$AY$6:$AY$1005="Direkomendasikan",ROW($6:$1005)-5),689)),BidangList,0)),INDEX(checklistPesertaKemenkeu!$N$6:$N$1005,SMALL(IF(checklistPesertaKemenkeu!$AY$6:$AY$1005="Direkomendasikan",ROW($6:$1005)-5),689)))&gt;0,COUNTIF(INDIRECT("'KERTAS KERJA'!K"&amp;(SMALL(IF(checklistPesertaKemenkeu!$AY$6:$AY$1005="Direkomendasikan",ROW($6:$1005)-5),689)+5)&amp;":O"&amp;(SMALL(IF(checklistPesertaKemenkeu!$AY$6:$AY$1005="Direkomendasikan",ROW($6:$1005)-5),689)+5)),INDEX(checklistPesertaKemenkeu!$N$6:$N$1005,SMALL(IF(checklistPesertaKemenkeu!$AY$6:$AY$1005="Direkomendasikan",ROW($6:$1005)-5),689)))=1),IFERROR(VLOOKUP(INDEX(checklistPesertaKemenkeu!$N$6:$N$1005,SMALL(IF(checklistPesertaKemenkeu!$AY$6:$AY$1005="Direkomendasikan",ROW($6:$1005)-5),689)),KotaKode,2,0),"-"),"")),"")</f>
        <v/>
      </c>
      <c r="K690" t="str">
        <f t="array" aca="1" ref="K690" ca="1">IFERROR(IF(OR(INDEX(checklistPesertaKemenkeu!$O$6:$O$1005,SMALL(IF(checklistPesertaKemenkeu!$AY$6:$AY$1005="Direkomendasikan",ROW($6:$1005)-5),689))="",INDEX(checklistPesertaKemenkeu!$J$6:$J$1005,SMALL(IF(checklistPesertaKemenkeu!$AY$6:$AY$1005="Direkomendasikan",ROW($6:$1005)-5),689))=""),"",IF(AND(COUNTIF(INDIRECT("K_"&amp;MATCH(INDEX(checklistPesertaKemenkeu!$J$6:$J$1005,SMALL(IF(checklistPesertaKemenkeu!$AY$6:$AY$1005="Direkomendasikan",ROW($6:$1005)-5),689)),BidangList,0)),INDEX(checklistPesertaKemenkeu!$O$6:$O$1005,SMALL(IF(checklistPesertaKemenkeu!$AY$6:$AY$1005="Direkomendasikan",ROW($6:$1005)-5),689)))&gt;0,COUNTIF(INDIRECT("'KERTAS KERJA'!K"&amp;(SMALL(IF(checklistPesertaKemenkeu!$AY$6:$AY$1005="Direkomendasikan",ROW($6:$1005)-5),689)+5)&amp;":O"&amp;(SMALL(IF(checklistPesertaKemenkeu!$AY$6:$AY$1005="Direkomendasikan",ROW($6:$1005)-5),689)+5)),INDEX(checklistPesertaKemenkeu!$O$6:$O$1005,SMALL(IF(checklistPesertaKemenkeu!$AY$6:$AY$1005="Direkomendasikan",ROW($6:$1005)-5),689)))=1),IFERROR(VLOOKUP(INDEX(checklistPesertaKemenkeu!$O$6:$O$1005,SMALL(IF(checklistPesertaKemenkeu!$AY$6:$AY$1005="Direkomendasikan",ROW($6:$1005)-5),689)),KotaKode,2,0),"-"),"")),"")</f>
        <v/>
      </c>
      <c r="L690" t="str">
        <f t="array" aca="1" ref="L690" ca="1">IFERROR(IF(OR(INDEX(checklistPesertaKemenkeu!$P$6:$P$1005,SMALL(IF(checklistPesertaKemenkeu!$AY$6:$AY$1005="Direkomendasikan",ROW($6:$1005)-5),689))="",INDEX(checklistPesertaKemenkeu!$J$6:$J$1005,SMALL(IF(checklistPesertaKemenkeu!$AY$6:$AY$1005="Direkomendasikan",ROW($6:$1005)-5),689))=""),"",IF(AND(COUNTIF(INDIRECT("K_"&amp;MATCH(INDEX(checklistPesertaKemenkeu!$J$6:$J$1005,SMALL(IF(checklistPesertaKemenkeu!$AY$6:$AY$1005="Direkomendasikan",ROW($6:$1005)-5),689)),BidangList,0)),INDEX(checklistPesertaKemenkeu!$P$6:$P$1005,SMALL(IF(checklistPesertaKemenkeu!$AY$6:$AY$1005="Direkomendasikan",ROW($6:$1005)-5),689)))&gt;0,COUNTIF(INDIRECT("'KERTAS KERJA'!K"&amp;(SMALL(IF(checklistPesertaKemenkeu!$AY$6:$AY$1005="Direkomendasikan",ROW($6:$1005)-5),689)+5)&amp;":O"&amp;(SMALL(IF(checklistPesertaKemenkeu!$AY$6:$AY$1005="Direkomendasikan",ROW($6:$1005)-5),689)+5)),INDEX(checklistPesertaKemenkeu!$P$6:$P$1005,SMALL(IF(checklistPesertaKemenkeu!$AY$6:$AY$1005="Direkomendasikan",ROW($6:$1005)-5),689)))=1),IFERROR(VLOOKUP(INDEX(checklistPesertaKemenkeu!$P$6:$P$1005,SMALL(IF(checklistPesertaKemenkeu!$AY$6:$AY$1005="Direkomendasikan",ROW($6:$1005)-5),689)),KotaKode,2,0),"-"),"")),"")</f>
        <v/>
      </c>
    </row>
    <row r="691" spans="1:12" ht="15" customHeight="1" x14ac:dyDescent="0.2">
      <c r="A691" t="str">
        <f t="shared" si="10"/>
        <v/>
      </c>
      <c r="B691" t="str">
        <v/>
      </c>
      <c r="C691" s="40" t="str">
        <f t="array" ref="C691">IFERROR(INDEX(checklistPesertaKemenkeu!$F$6:$F$1005,SMALL(IF(checklistPesertaKemenkeu!$AY$6:$AY$1005="Direkomendasikan",ROW($6:$1005)-5),690)),"")</f>
        <v/>
      </c>
      <c r="D691" t="str">
        <f t="array" ref="D691">IFERROR(INDEX(checklistPesertaKemenkeu!$G$6:$G$1005,SMALL(IF(checklistPesertaKemenkeu!$AY$6:$AY$1005="Direkomendasikan",ROW($6:$1005)-5),690)),"")</f>
        <v/>
      </c>
      <c r="E691" t="str">
        <f t="array" ref="E691">IFERROR(INDEX(checklistPesertaKemenkeu!$H$6:$H$1005,SMALL(IF(checklistPesertaKemenkeu!$AY$6:$AY$1005="Direkomendasikan",ROW($6:$1005)-5),690)),"")</f>
        <v/>
      </c>
      <c r="F691" t="str">
        <f t="array" ref="F691">IFERROR(INDEX(checklistPesertaKemenkeu!$I$6:$I$1005,SMALL(IF(checklistPesertaKemenkeu!$AY$6:$AY$1005="Direkomendasikan",ROW($6:$1005)-5),690)),"")</f>
        <v/>
      </c>
      <c r="G691" t="str">
        <f t="array" ref="G691">IFERROR(INDEX(checklistPesertaKemenkeu!$J$6:$J$1005,SMALL(IF(checklistPesertaKemenkeu!$AY$6:$AY$1005="Direkomendasikan",ROW($6:$1005)-5),690)),"")</f>
        <v/>
      </c>
      <c r="H691" t="str">
        <f t="array" aca="1" ref="H691" ca="1">IFERROR(IF(OR(INDEX(checklistPesertaKemenkeu!$L$6:$L$1005,SMALL(IF(checklistPesertaKemenkeu!$AY$6:$AY$1005="Direkomendasikan",ROW($6:$1005)-5),690))="",INDEX(checklistPesertaKemenkeu!$J$6:$J$1005,SMALL(IF(checklistPesertaKemenkeu!$AY$6:$AY$1005="Direkomendasikan",ROW($6:$1005)-5),690))=""),"",IF(AND(COUNTIF(INDIRECT("K_"&amp;MATCH(INDEX(checklistPesertaKemenkeu!$J$6:$J$1005,SMALL(IF(checklistPesertaKemenkeu!$AY$6:$AY$1005="Direkomendasikan",ROW($6:$1005)-5),690)),BidangList,0)),INDEX(checklistPesertaKemenkeu!$L$6:$L$1005,SMALL(IF(checklistPesertaKemenkeu!$AY$6:$AY$1005="Direkomendasikan",ROW($6:$1005)-5),690)))&gt;0,COUNTIF(INDIRECT("'KERTAS KERJA'!K"&amp;(SMALL(IF(checklistPesertaKemenkeu!$AY$6:$AY$1005="Direkomendasikan",ROW($6:$1005)-5),690)+5)&amp;":O"&amp;(SMALL(IF(checklistPesertaKemenkeu!$AY$6:$AY$1005="Direkomendasikan",ROW($6:$1005)-5),690)+5)),INDEX(checklistPesertaKemenkeu!$L$6:$L$1005,SMALL(IF(checklistPesertaKemenkeu!$AY$6:$AY$1005="Direkomendasikan",ROW($6:$1005)-5),690)))=1),IFERROR(VLOOKUP(INDEX(checklistPesertaKemenkeu!$L$6:$L$1005,SMALL(IF(checklistPesertaKemenkeu!$AY$6:$AY$1005="Direkomendasikan",ROW($6:$1005)-5),690)),KotaKode,2,0),"-"),"")),"")</f>
        <v/>
      </c>
      <c r="I691" t="str">
        <f t="array" aca="1" ref="I691" ca="1">IFERROR(IF(OR(INDEX(checklistPesertaKemenkeu!$M$6:$M$1005,SMALL(IF(checklistPesertaKemenkeu!$AY$6:$AY$1005="Direkomendasikan",ROW($6:$1005)-5),690))="",INDEX(checklistPesertaKemenkeu!$J$6:$J$1005,SMALL(IF(checklistPesertaKemenkeu!$AY$6:$AY$1005="Direkomendasikan",ROW($6:$1005)-5),690))=""),"",IF(AND(COUNTIF(INDIRECT("K_"&amp;MATCH(INDEX(checklistPesertaKemenkeu!$J$6:$J$1005,SMALL(IF(checklistPesertaKemenkeu!$AY$6:$AY$1005="Direkomendasikan",ROW($6:$1005)-5),690)),BidangList,0)),INDEX(checklistPesertaKemenkeu!$M$6:$M$1005,SMALL(IF(checklistPesertaKemenkeu!$AY$6:$AY$1005="Direkomendasikan",ROW($6:$1005)-5),690)))&gt;0,COUNTIF(INDIRECT("'KERTAS KERJA'!K"&amp;(SMALL(IF(checklistPesertaKemenkeu!$AY$6:$AY$1005="Direkomendasikan",ROW($6:$1005)-5),690)+5)&amp;":O"&amp;(SMALL(IF(checklistPesertaKemenkeu!$AY$6:$AY$1005="Direkomendasikan",ROW($6:$1005)-5),690)+5)),INDEX(checklistPesertaKemenkeu!$M$6:$M$1005,SMALL(IF(checklistPesertaKemenkeu!$AY$6:$AY$1005="Direkomendasikan",ROW($6:$1005)-5),690)))=1),IFERROR(VLOOKUP(INDEX(checklistPesertaKemenkeu!$M$6:$M$1005,SMALL(IF(checklistPesertaKemenkeu!$AY$6:$AY$1005="Direkomendasikan",ROW($6:$1005)-5),690)),KotaKode,2,0),"-"),"")),"")</f>
        <v/>
      </c>
      <c r="J691" t="str">
        <f t="array" aca="1" ref="J691" ca="1">IFERROR(IF(OR(INDEX(checklistPesertaKemenkeu!$N$6:$N$1005,SMALL(IF(checklistPesertaKemenkeu!$AY$6:$AY$1005="Direkomendasikan",ROW($6:$1005)-5),690))="",INDEX(checklistPesertaKemenkeu!$J$6:$J$1005,SMALL(IF(checklistPesertaKemenkeu!$AY$6:$AY$1005="Direkomendasikan",ROW($6:$1005)-5),690))=""),"",IF(AND(COUNTIF(INDIRECT("K_"&amp;MATCH(INDEX(checklistPesertaKemenkeu!$J$6:$J$1005,SMALL(IF(checklistPesertaKemenkeu!$AY$6:$AY$1005="Direkomendasikan",ROW($6:$1005)-5),690)),BidangList,0)),INDEX(checklistPesertaKemenkeu!$N$6:$N$1005,SMALL(IF(checklistPesertaKemenkeu!$AY$6:$AY$1005="Direkomendasikan",ROW($6:$1005)-5),690)))&gt;0,COUNTIF(INDIRECT("'KERTAS KERJA'!K"&amp;(SMALL(IF(checklistPesertaKemenkeu!$AY$6:$AY$1005="Direkomendasikan",ROW($6:$1005)-5),690)+5)&amp;":O"&amp;(SMALL(IF(checklistPesertaKemenkeu!$AY$6:$AY$1005="Direkomendasikan",ROW($6:$1005)-5),690)+5)),INDEX(checklistPesertaKemenkeu!$N$6:$N$1005,SMALL(IF(checklistPesertaKemenkeu!$AY$6:$AY$1005="Direkomendasikan",ROW($6:$1005)-5),690)))=1),IFERROR(VLOOKUP(INDEX(checklistPesertaKemenkeu!$N$6:$N$1005,SMALL(IF(checklistPesertaKemenkeu!$AY$6:$AY$1005="Direkomendasikan",ROW($6:$1005)-5),690)),KotaKode,2,0),"-"),"")),"")</f>
        <v/>
      </c>
      <c r="K691" t="str">
        <f t="array" aca="1" ref="K691" ca="1">IFERROR(IF(OR(INDEX(checklistPesertaKemenkeu!$O$6:$O$1005,SMALL(IF(checklistPesertaKemenkeu!$AY$6:$AY$1005="Direkomendasikan",ROW($6:$1005)-5),690))="",INDEX(checklistPesertaKemenkeu!$J$6:$J$1005,SMALL(IF(checklistPesertaKemenkeu!$AY$6:$AY$1005="Direkomendasikan",ROW($6:$1005)-5),690))=""),"",IF(AND(COUNTIF(INDIRECT("K_"&amp;MATCH(INDEX(checklistPesertaKemenkeu!$J$6:$J$1005,SMALL(IF(checklistPesertaKemenkeu!$AY$6:$AY$1005="Direkomendasikan",ROW($6:$1005)-5),690)),BidangList,0)),INDEX(checklistPesertaKemenkeu!$O$6:$O$1005,SMALL(IF(checklistPesertaKemenkeu!$AY$6:$AY$1005="Direkomendasikan",ROW($6:$1005)-5),690)))&gt;0,COUNTIF(INDIRECT("'KERTAS KERJA'!K"&amp;(SMALL(IF(checklistPesertaKemenkeu!$AY$6:$AY$1005="Direkomendasikan",ROW($6:$1005)-5),690)+5)&amp;":O"&amp;(SMALL(IF(checklistPesertaKemenkeu!$AY$6:$AY$1005="Direkomendasikan",ROW($6:$1005)-5),690)+5)),INDEX(checklistPesertaKemenkeu!$O$6:$O$1005,SMALL(IF(checklistPesertaKemenkeu!$AY$6:$AY$1005="Direkomendasikan",ROW($6:$1005)-5),690)))=1),IFERROR(VLOOKUP(INDEX(checklistPesertaKemenkeu!$O$6:$O$1005,SMALL(IF(checklistPesertaKemenkeu!$AY$6:$AY$1005="Direkomendasikan",ROW($6:$1005)-5),690)),KotaKode,2,0),"-"),"")),"")</f>
        <v/>
      </c>
      <c r="L691" t="str">
        <f t="array" aca="1" ref="L691" ca="1">IFERROR(IF(OR(INDEX(checklistPesertaKemenkeu!$P$6:$P$1005,SMALL(IF(checklistPesertaKemenkeu!$AY$6:$AY$1005="Direkomendasikan",ROW($6:$1005)-5),690))="",INDEX(checklistPesertaKemenkeu!$J$6:$J$1005,SMALL(IF(checklistPesertaKemenkeu!$AY$6:$AY$1005="Direkomendasikan",ROW($6:$1005)-5),690))=""),"",IF(AND(COUNTIF(INDIRECT("K_"&amp;MATCH(INDEX(checklistPesertaKemenkeu!$J$6:$J$1005,SMALL(IF(checklistPesertaKemenkeu!$AY$6:$AY$1005="Direkomendasikan",ROW($6:$1005)-5),690)),BidangList,0)),INDEX(checklistPesertaKemenkeu!$P$6:$P$1005,SMALL(IF(checklistPesertaKemenkeu!$AY$6:$AY$1005="Direkomendasikan",ROW($6:$1005)-5),690)))&gt;0,COUNTIF(INDIRECT("'KERTAS KERJA'!K"&amp;(SMALL(IF(checklistPesertaKemenkeu!$AY$6:$AY$1005="Direkomendasikan",ROW($6:$1005)-5),690)+5)&amp;":O"&amp;(SMALL(IF(checklistPesertaKemenkeu!$AY$6:$AY$1005="Direkomendasikan",ROW($6:$1005)-5),690)+5)),INDEX(checklistPesertaKemenkeu!$P$6:$P$1005,SMALL(IF(checklistPesertaKemenkeu!$AY$6:$AY$1005="Direkomendasikan",ROW($6:$1005)-5),690)))=1),IFERROR(VLOOKUP(INDEX(checklistPesertaKemenkeu!$P$6:$P$1005,SMALL(IF(checklistPesertaKemenkeu!$AY$6:$AY$1005="Direkomendasikan",ROW($6:$1005)-5),690)),KotaKode,2,0),"-"),"")),"")</f>
        <v/>
      </c>
    </row>
    <row r="692" spans="1:12" ht="15" customHeight="1" x14ac:dyDescent="0.2">
      <c r="A692" t="str">
        <f t="shared" si="10"/>
        <v/>
      </c>
      <c r="B692" t="str">
        <v/>
      </c>
      <c r="C692" s="40" t="str">
        <f t="array" ref="C692">IFERROR(INDEX(checklistPesertaKemenkeu!$F$6:$F$1005,SMALL(IF(checklistPesertaKemenkeu!$AY$6:$AY$1005="Direkomendasikan",ROW($6:$1005)-5),691)),"")</f>
        <v/>
      </c>
      <c r="D692" t="str">
        <f t="array" ref="D692">IFERROR(INDEX(checklistPesertaKemenkeu!$G$6:$G$1005,SMALL(IF(checklistPesertaKemenkeu!$AY$6:$AY$1005="Direkomendasikan",ROW($6:$1005)-5),691)),"")</f>
        <v/>
      </c>
      <c r="E692" t="str">
        <f t="array" ref="E692">IFERROR(INDEX(checklistPesertaKemenkeu!$H$6:$H$1005,SMALL(IF(checklistPesertaKemenkeu!$AY$6:$AY$1005="Direkomendasikan",ROW($6:$1005)-5),691)),"")</f>
        <v/>
      </c>
      <c r="F692" t="str">
        <f t="array" ref="F692">IFERROR(INDEX(checklistPesertaKemenkeu!$I$6:$I$1005,SMALL(IF(checklistPesertaKemenkeu!$AY$6:$AY$1005="Direkomendasikan",ROW($6:$1005)-5),691)),"")</f>
        <v/>
      </c>
      <c r="G692" t="str">
        <f t="array" ref="G692">IFERROR(INDEX(checklistPesertaKemenkeu!$J$6:$J$1005,SMALL(IF(checklistPesertaKemenkeu!$AY$6:$AY$1005="Direkomendasikan",ROW($6:$1005)-5),691)),"")</f>
        <v/>
      </c>
      <c r="H692" t="str">
        <f t="array" aca="1" ref="H692" ca="1">IFERROR(IF(OR(INDEX(checklistPesertaKemenkeu!$L$6:$L$1005,SMALL(IF(checklistPesertaKemenkeu!$AY$6:$AY$1005="Direkomendasikan",ROW($6:$1005)-5),691))="",INDEX(checklistPesertaKemenkeu!$J$6:$J$1005,SMALL(IF(checklistPesertaKemenkeu!$AY$6:$AY$1005="Direkomendasikan",ROW($6:$1005)-5),691))=""),"",IF(AND(COUNTIF(INDIRECT("K_"&amp;MATCH(INDEX(checklistPesertaKemenkeu!$J$6:$J$1005,SMALL(IF(checklistPesertaKemenkeu!$AY$6:$AY$1005="Direkomendasikan",ROW($6:$1005)-5),691)),BidangList,0)),INDEX(checklistPesertaKemenkeu!$L$6:$L$1005,SMALL(IF(checklistPesertaKemenkeu!$AY$6:$AY$1005="Direkomendasikan",ROW($6:$1005)-5),691)))&gt;0,COUNTIF(INDIRECT("'KERTAS KERJA'!K"&amp;(SMALL(IF(checklistPesertaKemenkeu!$AY$6:$AY$1005="Direkomendasikan",ROW($6:$1005)-5),691)+5)&amp;":O"&amp;(SMALL(IF(checklistPesertaKemenkeu!$AY$6:$AY$1005="Direkomendasikan",ROW($6:$1005)-5),691)+5)),INDEX(checklistPesertaKemenkeu!$L$6:$L$1005,SMALL(IF(checklistPesertaKemenkeu!$AY$6:$AY$1005="Direkomendasikan",ROW($6:$1005)-5),691)))=1),IFERROR(VLOOKUP(INDEX(checklistPesertaKemenkeu!$L$6:$L$1005,SMALL(IF(checklistPesertaKemenkeu!$AY$6:$AY$1005="Direkomendasikan",ROW($6:$1005)-5),691)),KotaKode,2,0),"-"),"")),"")</f>
        <v/>
      </c>
      <c r="I692" t="str">
        <f t="array" aca="1" ref="I692" ca="1">IFERROR(IF(OR(INDEX(checklistPesertaKemenkeu!$M$6:$M$1005,SMALL(IF(checklistPesertaKemenkeu!$AY$6:$AY$1005="Direkomendasikan",ROW($6:$1005)-5),691))="",INDEX(checklistPesertaKemenkeu!$J$6:$J$1005,SMALL(IF(checklistPesertaKemenkeu!$AY$6:$AY$1005="Direkomendasikan",ROW($6:$1005)-5),691))=""),"",IF(AND(COUNTIF(INDIRECT("K_"&amp;MATCH(INDEX(checklistPesertaKemenkeu!$J$6:$J$1005,SMALL(IF(checklistPesertaKemenkeu!$AY$6:$AY$1005="Direkomendasikan",ROW($6:$1005)-5),691)),BidangList,0)),INDEX(checklistPesertaKemenkeu!$M$6:$M$1005,SMALL(IF(checklistPesertaKemenkeu!$AY$6:$AY$1005="Direkomendasikan",ROW($6:$1005)-5),691)))&gt;0,COUNTIF(INDIRECT("'KERTAS KERJA'!K"&amp;(SMALL(IF(checklistPesertaKemenkeu!$AY$6:$AY$1005="Direkomendasikan",ROW($6:$1005)-5),691)+5)&amp;":O"&amp;(SMALL(IF(checklistPesertaKemenkeu!$AY$6:$AY$1005="Direkomendasikan",ROW($6:$1005)-5),691)+5)),INDEX(checklistPesertaKemenkeu!$M$6:$M$1005,SMALL(IF(checklistPesertaKemenkeu!$AY$6:$AY$1005="Direkomendasikan",ROW($6:$1005)-5),691)))=1),IFERROR(VLOOKUP(INDEX(checklistPesertaKemenkeu!$M$6:$M$1005,SMALL(IF(checklistPesertaKemenkeu!$AY$6:$AY$1005="Direkomendasikan",ROW($6:$1005)-5),691)),KotaKode,2,0),"-"),"")),"")</f>
        <v/>
      </c>
      <c r="J692" t="str">
        <f t="array" aca="1" ref="J692" ca="1">IFERROR(IF(OR(INDEX(checklistPesertaKemenkeu!$N$6:$N$1005,SMALL(IF(checklistPesertaKemenkeu!$AY$6:$AY$1005="Direkomendasikan",ROW($6:$1005)-5),691))="",INDEX(checklistPesertaKemenkeu!$J$6:$J$1005,SMALL(IF(checklistPesertaKemenkeu!$AY$6:$AY$1005="Direkomendasikan",ROW($6:$1005)-5),691))=""),"",IF(AND(COUNTIF(INDIRECT("K_"&amp;MATCH(INDEX(checklistPesertaKemenkeu!$J$6:$J$1005,SMALL(IF(checklistPesertaKemenkeu!$AY$6:$AY$1005="Direkomendasikan",ROW($6:$1005)-5),691)),BidangList,0)),INDEX(checklistPesertaKemenkeu!$N$6:$N$1005,SMALL(IF(checklistPesertaKemenkeu!$AY$6:$AY$1005="Direkomendasikan",ROW($6:$1005)-5),691)))&gt;0,COUNTIF(INDIRECT("'KERTAS KERJA'!K"&amp;(SMALL(IF(checklistPesertaKemenkeu!$AY$6:$AY$1005="Direkomendasikan",ROW($6:$1005)-5),691)+5)&amp;":O"&amp;(SMALL(IF(checklistPesertaKemenkeu!$AY$6:$AY$1005="Direkomendasikan",ROW($6:$1005)-5),691)+5)),INDEX(checklistPesertaKemenkeu!$N$6:$N$1005,SMALL(IF(checklistPesertaKemenkeu!$AY$6:$AY$1005="Direkomendasikan",ROW($6:$1005)-5),691)))=1),IFERROR(VLOOKUP(INDEX(checklistPesertaKemenkeu!$N$6:$N$1005,SMALL(IF(checklistPesertaKemenkeu!$AY$6:$AY$1005="Direkomendasikan",ROW($6:$1005)-5),691)),KotaKode,2,0),"-"),"")),"")</f>
        <v/>
      </c>
      <c r="K692" t="str">
        <f t="array" aca="1" ref="K692" ca="1">IFERROR(IF(OR(INDEX(checklistPesertaKemenkeu!$O$6:$O$1005,SMALL(IF(checklistPesertaKemenkeu!$AY$6:$AY$1005="Direkomendasikan",ROW($6:$1005)-5),691))="",INDEX(checklistPesertaKemenkeu!$J$6:$J$1005,SMALL(IF(checklistPesertaKemenkeu!$AY$6:$AY$1005="Direkomendasikan",ROW($6:$1005)-5),691))=""),"",IF(AND(COUNTIF(INDIRECT("K_"&amp;MATCH(INDEX(checklistPesertaKemenkeu!$J$6:$J$1005,SMALL(IF(checklistPesertaKemenkeu!$AY$6:$AY$1005="Direkomendasikan",ROW($6:$1005)-5),691)),BidangList,0)),INDEX(checklistPesertaKemenkeu!$O$6:$O$1005,SMALL(IF(checklistPesertaKemenkeu!$AY$6:$AY$1005="Direkomendasikan",ROW($6:$1005)-5),691)))&gt;0,COUNTIF(INDIRECT("'KERTAS KERJA'!K"&amp;(SMALL(IF(checklistPesertaKemenkeu!$AY$6:$AY$1005="Direkomendasikan",ROW($6:$1005)-5),691)+5)&amp;":O"&amp;(SMALL(IF(checklistPesertaKemenkeu!$AY$6:$AY$1005="Direkomendasikan",ROW($6:$1005)-5),691)+5)),INDEX(checklistPesertaKemenkeu!$O$6:$O$1005,SMALL(IF(checklistPesertaKemenkeu!$AY$6:$AY$1005="Direkomendasikan",ROW($6:$1005)-5),691)))=1),IFERROR(VLOOKUP(INDEX(checklistPesertaKemenkeu!$O$6:$O$1005,SMALL(IF(checklistPesertaKemenkeu!$AY$6:$AY$1005="Direkomendasikan",ROW($6:$1005)-5),691)),KotaKode,2,0),"-"),"")),"")</f>
        <v/>
      </c>
      <c r="L692" t="str">
        <f t="array" aca="1" ref="L692" ca="1">IFERROR(IF(OR(INDEX(checklistPesertaKemenkeu!$P$6:$P$1005,SMALL(IF(checklistPesertaKemenkeu!$AY$6:$AY$1005="Direkomendasikan",ROW($6:$1005)-5),691))="",INDEX(checklistPesertaKemenkeu!$J$6:$J$1005,SMALL(IF(checklistPesertaKemenkeu!$AY$6:$AY$1005="Direkomendasikan",ROW($6:$1005)-5),691))=""),"",IF(AND(COUNTIF(INDIRECT("K_"&amp;MATCH(INDEX(checklistPesertaKemenkeu!$J$6:$J$1005,SMALL(IF(checklistPesertaKemenkeu!$AY$6:$AY$1005="Direkomendasikan",ROW($6:$1005)-5),691)),BidangList,0)),INDEX(checklistPesertaKemenkeu!$P$6:$P$1005,SMALL(IF(checklistPesertaKemenkeu!$AY$6:$AY$1005="Direkomendasikan",ROW($6:$1005)-5),691)))&gt;0,COUNTIF(INDIRECT("'KERTAS KERJA'!K"&amp;(SMALL(IF(checklistPesertaKemenkeu!$AY$6:$AY$1005="Direkomendasikan",ROW($6:$1005)-5),691)+5)&amp;":O"&amp;(SMALL(IF(checklistPesertaKemenkeu!$AY$6:$AY$1005="Direkomendasikan",ROW($6:$1005)-5),691)+5)),INDEX(checklistPesertaKemenkeu!$P$6:$P$1005,SMALL(IF(checklistPesertaKemenkeu!$AY$6:$AY$1005="Direkomendasikan",ROW($6:$1005)-5),691)))=1),IFERROR(VLOOKUP(INDEX(checklistPesertaKemenkeu!$P$6:$P$1005,SMALL(IF(checklistPesertaKemenkeu!$AY$6:$AY$1005="Direkomendasikan",ROW($6:$1005)-5),691)),KotaKode,2,0),"-"),"")),"")</f>
        <v/>
      </c>
    </row>
    <row r="693" spans="1:12" ht="15" customHeight="1" x14ac:dyDescent="0.2">
      <c r="A693" t="str">
        <f t="shared" si="10"/>
        <v/>
      </c>
      <c r="B693" t="str">
        <v/>
      </c>
      <c r="C693" s="40" t="str">
        <f t="array" ref="C693">IFERROR(INDEX(checklistPesertaKemenkeu!$F$6:$F$1005,SMALL(IF(checklistPesertaKemenkeu!$AY$6:$AY$1005="Direkomendasikan",ROW($6:$1005)-5),692)),"")</f>
        <v/>
      </c>
      <c r="D693" t="str">
        <f t="array" ref="D693">IFERROR(INDEX(checklistPesertaKemenkeu!$G$6:$G$1005,SMALL(IF(checklistPesertaKemenkeu!$AY$6:$AY$1005="Direkomendasikan",ROW($6:$1005)-5),692)),"")</f>
        <v/>
      </c>
      <c r="E693" t="str">
        <f t="array" ref="E693">IFERROR(INDEX(checklistPesertaKemenkeu!$H$6:$H$1005,SMALL(IF(checklistPesertaKemenkeu!$AY$6:$AY$1005="Direkomendasikan",ROW($6:$1005)-5),692)),"")</f>
        <v/>
      </c>
      <c r="F693" t="str">
        <f t="array" ref="F693">IFERROR(INDEX(checklistPesertaKemenkeu!$I$6:$I$1005,SMALL(IF(checklistPesertaKemenkeu!$AY$6:$AY$1005="Direkomendasikan",ROW($6:$1005)-5),692)),"")</f>
        <v/>
      </c>
      <c r="G693" t="str">
        <f t="array" ref="G693">IFERROR(INDEX(checklistPesertaKemenkeu!$J$6:$J$1005,SMALL(IF(checklistPesertaKemenkeu!$AY$6:$AY$1005="Direkomendasikan",ROW($6:$1005)-5),692)),"")</f>
        <v/>
      </c>
      <c r="H693" t="str">
        <f t="array" aca="1" ref="H693" ca="1">IFERROR(IF(OR(INDEX(checklistPesertaKemenkeu!$L$6:$L$1005,SMALL(IF(checklistPesertaKemenkeu!$AY$6:$AY$1005="Direkomendasikan",ROW($6:$1005)-5),692))="",INDEX(checklistPesertaKemenkeu!$J$6:$J$1005,SMALL(IF(checklistPesertaKemenkeu!$AY$6:$AY$1005="Direkomendasikan",ROW($6:$1005)-5),692))=""),"",IF(AND(COUNTIF(INDIRECT("K_"&amp;MATCH(INDEX(checklistPesertaKemenkeu!$J$6:$J$1005,SMALL(IF(checklistPesertaKemenkeu!$AY$6:$AY$1005="Direkomendasikan",ROW($6:$1005)-5),692)),BidangList,0)),INDEX(checklistPesertaKemenkeu!$L$6:$L$1005,SMALL(IF(checklistPesertaKemenkeu!$AY$6:$AY$1005="Direkomendasikan",ROW($6:$1005)-5),692)))&gt;0,COUNTIF(INDIRECT("'KERTAS KERJA'!K"&amp;(SMALL(IF(checklistPesertaKemenkeu!$AY$6:$AY$1005="Direkomendasikan",ROW($6:$1005)-5),692)+5)&amp;":O"&amp;(SMALL(IF(checklistPesertaKemenkeu!$AY$6:$AY$1005="Direkomendasikan",ROW($6:$1005)-5),692)+5)),INDEX(checklistPesertaKemenkeu!$L$6:$L$1005,SMALL(IF(checklistPesertaKemenkeu!$AY$6:$AY$1005="Direkomendasikan",ROW($6:$1005)-5),692)))=1),IFERROR(VLOOKUP(INDEX(checklistPesertaKemenkeu!$L$6:$L$1005,SMALL(IF(checklistPesertaKemenkeu!$AY$6:$AY$1005="Direkomendasikan",ROW($6:$1005)-5),692)),KotaKode,2,0),"-"),"")),"")</f>
        <v/>
      </c>
      <c r="I693" t="str">
        <f t="array" aca="1" ref="I693" ca="1">IFERROR(IF(OR(INDEX(checklistPesertaKemenkeu!$M$6:$M$1005,SMALL(IF(checklistPesertaKemenkeu!$AY$6:$AY$1005="Direkomendasikan",ROW($6:$1005)-5),692))="",INDEX(checklistPesertaKemenkeu!$J$6:$J$1005,SMALL(IF(checklistPesertaKemenkeu!$AY$6:$AY$1005="Direkomendasikan",ROW($6:$1005)-5),692))=""),"",IF(AND(COUNTIF(INDIRECT("K_"&amp;MATCH(INDEX(checklistPesertaKemenkeu!$J$6:$J$1005,SMALL(IF(checklistPesertaKemenkeu!$AY$6:$AY$1005="Direkomendasikan",ROW($6:$1005)-5),692)),BidangList,0)),INDEX(checklistPesertaKemenkeu!$M$6:$M$1005,SMALL(IF(checklistPesertaKemenkeu!$AY$6:$AY$1005="Direkomendasikan",ROW($6:$1005)-5),692)))&gt;0,COUNTIF(INDIRECT("'KERTAS KERJA'!K"&amp;(SMALL(IF(checklistPesertaKemenkeu!$AY$6:$AY$1005="Direkomendasikan",ROW($6:$1005)-5),692)+5)&amp;":O"&amp;(SMALL(IF(checklistPesertaKemenkeu!$AY$6:$AY$1005="Direkomendasikan",ROW($6:$1005)-5),692)+5)),INDEX(checklistPesertaKemenkeu!$M$6:$M$1005,SMALL(IF(checklistPesertaKemenkeu!$AY$6:$AY$1005="Direkomendasikan",ROW($6:$1005)-5),692)))=1),IFERROR(VLOOKUP(INDEX(checklistPesertaKemenkeu!$M$6:$M$1005,SMALL(IF(checklistPesertaKemenkeu!$AY$6:$AY$1005="Direkomendasikan",ROW($6:$1005)-5),692)),KotaKode,2,0),"-"),"")),"")</f>
        <v/>
      </c>
      <c r="J693" t="str">
        <f t="array" aca="1" ref="J693" ca="1">IFERROR(IF(OR(INDEX(checklistPesertaKemenkeu!$N$6:$N$1005,SMALL(IF(checklistPesertaKemenkeu!$AY$6:$AY$1005="Direkomendasikan",ROW($6:$1005)-5),692))="",INDEX(checklistPesertaKemenkeu!$J$6:$J$1005,SMALL(IF(checklistPesertaKemenkeu!$AY$6:$AY$1005="Direkomendasikan",ROW($6:$1005)-5),692))=""),"",IF(AND(COUNTIF(INDIRECT("K_"&amp;MATCH(INDEX(checklistPesertaKemenkeu!$J$6:$J$1005,SMALL(IF(checklistPesertaKemenkeu!$AY$6:$AY$1005="Direkomendasikan",ROW($6:$1005)-5),692)),BidangList,0)),INDEX(checklistPesertaKemenkeu!$N$6:$N$1005,SMALL(IF(checklistPesertaKemenkeu!$AY$6:$AY$1005="Direkomendasikan",ROW($6:$1005)-5),692)))&gt;0,COUNTIF(INDIRECT("'KERTAS KERJA'!K"&amp;(SMALL(IF(checklistPesertaKemenkeu!$AY$6:$AY$1005="Direkomendasikan",ROW($6:$1005)-5),692)+5)&amp;":O"&amp;(SMALL(IF(checklistPesertaKemenkeu!$AY$6:$AY$1005="Direkomendasikan",ROW($6:$1005)-5),692)+5)),INDEX(checklistPesertaKemenkeu!$N$6:$N$1005,SMALL(IF(checklistPesertaKemenkeu!$AY$6:$AY$1005="Direkomendasikan",ROW($6:$1005)-5),692)))=1),IFERROR(VLOOKUP(INDEX(checklistPesertaKemenkeu!$N$6:$N$1005,SMALL(IF(checklistPesertaKemenkeu!$AY$6:$AY$1005="Direkomendasikan",ROW($6:$1005)-5),692)),KotaKode,2,0),"-"),"")),"")</f>
        <v/>
      </c>
      <c r="K693" t="str">
        <f t="array" aca="1" ref="K693" ca="1">IFERROR(IF(OR(INDEX(checklistPesertaKemenkeu!$O$6:$O$1005,SMALL(IF(checklistPesertaKemenkeu!$AY$6:$AY$1005="Direkomendasikan",ROW($6:$1005)-5),692))="",INDEX(checklistPesertaKemenkeu!$J$6:$J$1005,SMALL(IF(checklistPesertaKemenkeu!$AY$6:$AY$1005="Direkomendasikan",ROW($6:$1005)-5),692))=""),"",IF(AND(COUNTIF(INDIRECT("K_"&amp;MATCH(INDEX(checklistPesertaKemenkeu!$J$6:$J$1005,SMALL(IF(checklistPesertaKemenkeu!$AY$6:$AY$1005="Direkomendasikan",ROW($6:$1005)-5),692)),BidangList,0)),INDEX(checklistPesertaKemenkeu!$O$6:$O$1005,SMALL(IF(checklistPesertaKemenkeu!$AY$6:$AY$1005="Direkomendasikan",ROW($6:$1005)-5),692)))&gt;0,COUNTIF(INDIRECT("'KERTAS KERJA'!K"&amp;(SMALL(IF(checklistPesertaKemenkeu!$AY$6:$AY$1005="Direkomendasikan",ROW($6:$1005)-5),692)+5)&amp;":O"&amp;(SMALL(IF(checklistPesertaKemenkeu!$AY$6:$AY$1005="Direkomendasikan",ROW($6:$1005)-5),692)+5)),INDEX(checklistPesertaKemenkeu!$O$6:$O$1005,SMALL(IF(checklistPesertaKemenkeu!$AY$6:$AY$1005="Direkomendasikan",ROW($6:$1005)-5),692)))=1),IFERROR(VLOOKUP(INDEX(checklistPesertaKemenkeu!$O$6:$O$1005,SMALL(IF(checklistPesertaKemenkeu!$AY$6:$AY$1005="Direkomendasikan",ROW($6:$1005)-5),692)),KotaKode,2,0),"-"),"")),"")</f>
        <v/>
      </c>
      <c r="L693" t="str">
        <f t="array" aca="1" ref="L693" ca="1">IFERROR(IF(OR(INDEX(checklistPesertaKemenkeu!$P$6:$P$1005,SMALL(IF(checklistPesertaKemenkeu!$AY$6:$AY$1005="Direkomendasikan",ROW($6:$1005)-5),692))="",INDEX(checklistPesertaKemenkeu!$J$6:$J$1005,SMALL(IF(checklistPesertaKemenkeu!$AY$6:$AY$1005="Direkomendasikan",ROW($6:$1005)-5),692))=""),"",IF(AND(COUNTIF(INDIRECT("K_"&amp;MATCH(INDEX(checklistPesertaKemenkeu!$J$6:$J$1005,SMALL(IF(checklistPesertaKemenkeu!$AY$6:$AY$1005="Direkomendasikan",ROW($6:$1005)-5),692)),BidangList,0)),INDEX(checklistPesertaKemenkeu!$P$6:$P$1005,SMALL(IF(checklistPesertaKemenkeu!$AY$6:$AY$1005="Direkomendasikan",ROW($6:$1005)-5),692)))&gt;0,COUNTIF(INDIRECT("'KERTAS KERJA'!K"&amp;(SMALL(IF(checklistPesertaKemenkeu!$AY$6:$AY$1005="Direkomendasikan",ROW($6:$1005)-5),692)+5)&amp;":O"&amp;(SMALL(IF(checklistPesertaKemenkeu!$AY$6:$AY$1005="Direkomendasikan",ROW($6:$1005)-5),692)+5)),INDEX(checklistPesertaKemenkeu!$P$6:$P$1005,SMALL(IF(checklistPesertaKemenkeu!$AY$6:$AY$1005="Direkomendasikan",ROW($6:$1005)-5),692)))=1),IFERROR(VLOOKUP(INDEX(checklistPesertaKemenkeu!$P$6:$P$1005,SMALL(IF(checklistPesertaKemenkeu!$AY$6:$AY$1005="Direkomendasikan",ROW($6:$1005)-5),692)),KotaKode,2,0),"-"),"")),"")</f>
        <v/>
      </c>
    </row>
    <row r="694" spans="1:12" ht="15" customHeight="1" x14ac:dyDescent="0.2">
      <c r="A694" t="str">
        <f t="shared" si="10"/>
        <v/>
      </c>
      <c r="B694" t="str">
        <v/>
      </c>
      <c r="C694" s="40" t="str">
        <f t="array" ref="C694">IFERROR(INDEX(checklistPesertaKemenkeu!$F$6:$F$1005,SMALL(IF(checklistPesertaKemenkeu!$AY$6:$AY$1005="Direkomendasikan",ROW($6:$1005)-5),693)),"")</f>
        <v/>
      </c>
      <c r="D694" t="str">
        <f t="array" ref="D694">IFERROR(INDEX(checklistPesertaKemenkeu!$G$6:$G$1005,SMALL(IF(checklistPesertaKemenkeu!$AY$6:$AY$1005="Direkomendasikan",ROW($6:$1005)-5),693)),"")</f>
        <v/>
      </c>
      <c r="E694" t="str">
        <f t="array" ref="E694">IFERROR(INDEX(checklistPesertaKemenkeu!$H$6:$H$1005,SMALL(IF(checklistPesertaKemenkeu!$AY$6:$AY$1005="Direkomendasikan",ROW($6:$1005)-5),693)),"")</f>
        <v/>
      </c>
      <c r="F694" t="str">
        <f t="array" ref="F694">IFERROR(INDEX(checklistPesertaKemenkeu!$I$6:$I$1005,SMALL(IF(checklistPesertaKemenkeu!$AY$6:$AY$1005="Direkomendasikan",ROW($6:$1005)-5),693)),"")</f>
        <v/>
      </c>
      <c r="G694" t="str">
        <f t="array" ref="G694">IFERROR(INDEX(checklistPesertaKemenkeu!$J$6:$J$1005,SMALL(IF(checklistPesertaKemenkeu!$AY$6:$AY$1005="Direkomendasikan",ROW($6:$1005)-5),693)),"")</f>
        <v/>
      </c>
      <c r="H694" t="str">
        <f t="array" aca="1" ref="H694" ca="1">IFERROR(IF(OR(INDEX(checklistPesertaKemenkeu!$L$6:$L$1005,SMALL(IF(checklistPesertaKemenkeu!$AY$6:$AY$1005="Direkomendasikan",ROW($6:$1005)-5),693))="",INDEX(checklistPesertaKemenkeu!$J$6:$J$1005,SMALL(IF(checklistPesertaKemenkeu!$AY$6:$AY$1005="Direkomendasikan",ROW($6:$1005)-5),693))=""),"",IF(AND(COUNTIF(INDIRECT("K_"&amp;MATCH(INDEX(checklistPesertaKemenkeu!$J$6:$J$1005,SMALL(IF(checklistPesertaKemenkeu!$AY$6:$AY$1005="Direkomendasikan",ROW($6:$1005)-5),693)),BidangList,0)),INDEX(checklistPesertaKemenkeu!$L$6:$L$1005,SMALL(IF(checklistPesertaKemenkeu!$AY$6:$AY$1005="Direkomendasikan",ROW($6:$1005)-5),693)))&gt;0,COUNTIF(INDIRECT("'KERTAS KERJA'!K"&amp;(SMALL(IF(checklistPesertaKemenkeu!$AY$6:$AY$1005="Direkomendasikan",ROW($6:$1005)-5),693)+5)&amp;":O"&amp;(SMALL(IF(checklistPesertaKemenkeu!$AY$6:$AY$1005="Direkomendasikan",ROW($6:$1005)-5),693)+5)),INDEX(checklistPesertaKemenkeu!$L$6:$L$1005,SMALL(IF(checklistPesertaKemenkeu!$AY$6:$AY$1005="Direkomendasikan",ROW($6:$1005)-5),693)))=1),IFERROR(VLOOKUP(INDEX(checklistPesertaKemenkeu!$L$6:$L$1005,SMALL(IF(checklistPesertaKemenkeu!$AY$6:$AY$1005="Direkomendasikan",ROW($6:$1005)-5),693)),KotaKode,2,0),"-"),"")),"")</f>
        <v/>
      </c>
      <c r="I694" t="str">
        <f t="array" aca="1" ref="I694" ca="1">IFERROR(IF(OR(INDEX(checklistPesertaKemenkeu!$M$6:$M$1005,SMALL(IF(checklistPesertaKemenkeu!$AY$6:$AY$1005="Direkomendasikan",ROW($6:$1005)-5),693))="",INDEX(checklistPesertaKemenkeu!$J$6:$J$1005,SMALL(IF(checklistPesertaKemenkeu!$AY$6:$AY$1005="Direkomendasikan",ROW($6:$1005)-5),693))=""),"",IF(AND(COUNTIF(INDIRECT("K_"&amp;MATCH(INDEX(checklistPesertaKemenkeu!$J$6:$J$1005,SMALL(IF(checklistPesertaKemenkeu!$AY$6:$AY$1005="Direkomendasikan",ROW($6:$1005)-5),693)),BidangList,0)),INDEX(checklistPesertaKemenkeu!$M$6:$M$1005,SMALL(IF(checklistPesertaKemenkeu!$AY$6:$AY$1005="Direkomendasikan",ROW($6:$1005)-5),693)))&gt;0,COUNTIF(INDIRECT("'KERTAS KERJA'!K"&amp;(SMALL(IF(checklistPesertaKemenkeu!$AY$6:$AY$1005="Direkomendasikan",ROW($6:$1005)-5),693)+5)&amp;":O"&amp;(SMALL(IF(checklistPesertaKemenkeu!$AY$6:$AY$1005="Direkomendasikan",ROW($6:$1005)-5),693)+5)),INDEX(checklistPesertaKemenkeu!$M$6:$M$1005,SMALL(IF(checklistPesertaKemenkeu!$AY$6:$AY$1005="Direkomendasikan",ROW($6:$1005)-5),693)))=1),IFERROR(VLOOKUP(INDEX(checklistPesertaKemenkeu!$M$6:$M$1005,SMALL(IF(checklistPesertaKemenkeu!$AY$6:$AY$1005="Direkomendasikan",ROW($6:$1005)-5),693)),KotaKode,2,0),"-"),"")),"")</f>
        <v/>
      </c>
      <c r="J694" t="str">
        <f t="array" aca="1" ref="J694" ca="1">IFERROR(IF(OR(INDEX(checklistPesertaKemenkeu!$N$6:$N$1005,SMALL(IF(checklistPesertaKemenkeu!$AY$6:$AY$1005="Direkomendasikan",ROW($6:$1005)-5),693))="",INDEX(checklistPesertaKemenkeu!$J$6:$J$1005,SMALL(IF(checklistPesertaKemenkeu!$AY$6:$AY$1005="Direkomendasikan",ROW($6:$1005)-5),693))=""),"",IF(AND(COUNTIF(INDIRECT("K_"&amp;MATCH(INDEX(checklistPesertaKemenkeu!$J$6:$J$1005,SMALL(IF(checklistPesertaKemenkeu!$AY$6:$AY$1005="Direkomendasikan",ROW($6:$1005)-5),693)),BidangList,0)),INDEX(checklistPesertaKemenkeu!$N$6:$N$1005,SMALL(IF(checklistPesertaKemenkeu!$AY$6:$AY$1005="Direkomendasikan",ROW($6:$1005)-5),693)))&gt;0,COUNTIF(INDIRECT("'KERTAS KERJA'!K"&amp;(SMALL(IF(checklistPesertaKemenkeu!$AY$6:$AY$1005="Direkomendasikan",ROW($6:$1005)-5),693)+5)&amp;":O"&amp;(SMALL(IF(checklistPesertaKemenkeu!$AY$6:$AY$1005="Direkomendasikan",ROW($6:$1005)-5),693)+5)),INDEX(checklistPesertaKemenkeu!$N$6:$N$1005,SMALL(IF(checklistPesertaKemenkeu!$AY$6:$AY$1005="Direkomendasikan",ROW($6:$1005)-5),693)))=1),IFERROR(VLOOKUP(INDEX(checklistPesertaKemenkeu!$N$6:$N$1005,SMALL(IF(checklistPesertaKemenkeu!$AY$6:$AY$1005="Direkomendasikan",ROW($6:$1005)-5),693)),KotaKode,2,0),"-"),"")),"")</f>
        <v/>
      </c>
      <c r="K694" t="str">
        <f t="array" aca="1" ref="K694" ca="1">IFERROR(IF(OR(INDEX(checklistPesertaKemenkeu!$O$6:$O$1005,SMALL(IF(checklistPesertaKemenkeu!$AY$6:$AY$1005="Direkomendasikan",ROW($6:$1005)-5),693))="",INDEX(checklistPesertaKemenkeu!$J$6:$J$1005,SMALL(IF(checklistPesertaKemenkeu!$AY$6:$AY$1005="Direkomendasikan",ROW($6:$1005)-5),693))=""),"",IF(AND(COUNTIF(INDIRECT("K_"&amp;MATCH(INDEX(checklistPesertaKemenkeu!$J$6:$J$1005,SMALL(IF(checklistPesertaKemenkeu!$AY$6:$AY$1005="Direkomendasikan",ROW($6:$1005)-5),693)),BidangList,0)),INDEX(checklistPesertaKemenkeu!$O$6:$O$1005,SMALL(IF(checklistPesertaKemenkeu!$AY$6:$AY$1005="Direkomendasikan",ROW($6:$1005)-5),693)))&gt;0,COUNTIF(INDIRECT("'KERTAS KERJA'!K"&amp;(SMALL(IF(checklistPesertaKemenkeu!$AY$6:$AY$1005="Direkomendasikan",ROW($6:$1005)-5),693)+5)&amp;":O"&amp;(SMALL(IF(checklistPesertaKemenkeu!$AY$6:$AY$1005="Direkomendasikan",ROW($6:$1005)-5),693)+5)),INDEX(checklistPesertaKemenkeu!$O$6:$O$1005,SMALL(IF(checklistPesertaKemenkeu!$AY$6:$AY$1005="Direkomendasikan",ROW($6:$1005)-5),693)))=1),IFERROR(VLOOKUP(INDEX(checklistPesertaKemenkeu!$O$6:$O$1005,SMALL(IF(checklistPesertaKemenkeu!$AY$6:$AY$1005="Direkomendasikan",ROW($6:$1005)-5),693)),KotaKode,2,0),"-"),"")),"")</f>
        <v/>
      </c>
      <c r="L694" t="str">
        <f t="array" aca="1" ref="L694" ca="1">IFERROR(IF(OR(INDEX(checklistPesertaKemenkeu!$P$6:$P$1005,SMALL(IF(checklistPesertaKemenkeu!$AY$6:$AY$1005="Direkomendasikan",ROW($6:$1005)-5),693))="",INDEX(checklistPesertaKemenkeu!$J$6:$J$1005,SMALL(IF(checklistPesertaKemenkeu!$AY$6:$AY$1005="Direkomendasikan",ROW($6:$1005)-5),693))=""),"",IF(AND(COUNTIF(INDIRECT("K_"&amp;MATCH(INDEX(checklistPesertaKemenkeu!$J$6:$J$1005,SMALL(IF(checklistPesertaKemenkeu!$AY$6:$AY$1005="Direkomendasikan",ROW($6:$1005)-5),693)),BidangList,0)),INDEX(checklistPesertaKemenkeu!$P$6:$P$1005,SMALL(IF(checklistPesertaKemenkeu!$AY$6:$AY$1005="Direkomendasikan",ROW($6:$1005)-5),693)))&gt;0,COUNTIF(INDIRECT("'KERTAS KERJA'!K"&amp;(SMALL(IF(checklistPesertaKemenkeu!$AY$6:$AY$1005="Direkomendasikan",ROW($6:$1005)-5),693)+5)&amp;":O"&amp;(SMALL(IF(checklistPesertaKemenkeu!$AY$6:$AY$1005="Direkomendasikan",ROW($6:$1005)-5),693)+5)),INDEX(checklistPesertaKemenkeu!$P$6:$P$1005,SMALL(IF(checklistPesertaKemenkeu!$AY$6:$AY$1005="Direkomendasikan",ROW($6:$1005)-5),693)))=1),IFERROR(VLOOKUP(INDEX(checklistPesertaKemenkeu!$P$6:$P$1005,SMALL(IF(checklistPesertaKemenkeu!$AY$6:$AY$1005="Direkomendasikan",ROW($6:$1005)-5),693)),KotaKode,2,0),"-"),"")),"")</f>
        <v/>
      </c>
    </row>
    <row r="695" spans="1:12" ht="15" customHeight="1" x14ac:dyDescent="0.2">
      <c r="A695" t="str">
        <f t="shared" si="10"/>
        <v/>
      </c>
      <c r="B695" t="str">
        <v/>
      </c>
      <c r="C695" s="40" t="str">
        <f t="array" ref="C695">IFERROR(INDEX(checklistPesertaKemenkeu!$F$6:$F$1005,SMALL(IF(checklistPesertaKemenkeu!$AY$6:$AY$1005="Direkomendasikan",ROW($6:$1005)-5),694)),"")</f>
        <v/>
      </c>
      <c r="D695" t="str">
        <f t="array" ref="D695">IFERROR(INDEX(checklistPesertaKemenkeu!$G$6:$G$1005,SMALL(IF(checklistPesertaKemenkeu!$AY$6:$AY$1005="Direkomendasikan",ROW($6:$1005)-5),694)),"")</f>
        <v/>
      </c>
      <c r="E695" t="str">
        <f t="array" ref="E695">IFERROR(INDEX(checklistPesertaKemenkeu!$H$6:$H$1005,SMALL(IF(checklistPesertaKemenkeu!$AY$6:$AY$1005="Direkomendasikan",ROW($6:$1005)-5),694)),"")</f>
        <v/>
      </c>
      <c r="F695" t="str">
        <f t="array" ref="F695">IFERROR(INDEX(checklistPesertaKemenkeu!$I$6:$I$1005,SMALL(IF(checklistPesertaKemenkeu!$AY$6:$AY$1005="Direkomendasikan",ROW($6:$1005)-5),694)),"")</f>
        <v/>
      </c>
      <c r="G695" t="str">
        <f t="array" ref="G695">IFERROR(INDEX(checklistPesertaKemenkeu!$J$6:$J$1005,SMALL(IF(checklistPesertaKemenkeu!$AY$6:$AY$1005="Direkomendasikan",ROW($6:$1005)-5),694)),"")</f>
        <v/>
      </c>
      <c r="H695" t="str">
        <f t="array" aca="1" ref="H695" ca="1">IFERROR(IF(OR(INDEX(checklistPesertaKemenkeu!$L$6:$L$1005,SMALL(IF(checklistPesertaKemenkeu!$AY$6:$AY$1005="Direkomendasikan",ROW($6:$1005)-5),694))="",INDEX(checklistPesertaKemenkeu!$J$6:$J$1005,SMALL(IF(checklistPesertaKemenkeu!$AY$6:$AY$1005="Direkomendasikan",ROW($6:$1005)-5),694))=""),"",IF(AND(COUNTIF(INDIRECT("K_"&amp;MATCH(INDEX(checklistPesertaKemenkeu!$J$6:$J$1005,SMALL(IF(checklistPesertaKemenkeu!$AY$6:$AY$1005="Direkomendasikan",ROW($6:$1005)-5),694)),BidangList,0)),INDEX(checklistPesertaKemenkeu!$L$6:$L$1005,SMALL(IF(checklistPesertaKemenkeu!$AY$6:$AY$1005="Direkomendasikan",ROW($6:$1005)-5),694)))&gt;0,COUNTIF(INDIRECT("'KERTAS KERJA'!K"&amp;(SMALL(IF(checklistPesertaKemenkeu!$AY$6:$AY$1005="Direkomendasikan",ROW($6:$1005)-5),694)+5)&amp;":O"&amp;(SMALL(IF(checklistPesertaKemenkeu!$AY$6:$AY$1005="Direkomendasikan",ROW($6:$1005)-5),694)+5)),INDEX(checklistPesertaKemenkeu!$L$6:$L$1005,SMALL(IF(checklistPesertaKemenkeu!$AY$6:$AY$1005="Direkomendasikan",ROW($6:$1005)-5),694)))=1),IFERROR(VLOOKUP(INDEX(checklistPesertaKemenkeu!$L$6:$L$1005,SMALL(IF(checklistPesertaKemenkeu!$AY$6:$AY$1005="Direkomendasikan",ROW($6:$1005)-5),694)),KotaKode,2,0),"-"),"")),"")</f>
        <v/>
      </c>
      <c r="I695" t="str">
        <f t="array" aca="1" ref="I695" ca="1">IFERROR(IF(OR(INDEX(checklistPesertaKemenkeu!$M$6:$M$1005,SMALL(IF(checklistPesertaKemenkeu!$AY$6:$AY$1005="Direkomendasikan",ROW($6:$1005)-5),694))="",INDEX(checklistPesertaKemenkeu!$J$6:$J$1005,SMALL(IF(checklistPesertaKemenkeu!$AY$6:$AY$1005="Direkomendasikan",ROW($6:$1005)-5),694))=""),"",IF(AND(COUNTIF(INDIRECT("K_"&amp;MATCH(INDEX(checklistPesertaKemenkeu!$J$6:$J$1005,SMALL(IF(checklistPesertaKemenkeu!$AY$6:$AY$1005="Direkomendasikan",ROW($6:$1005)-5),694)),BidangList,0)),INDEX(checklistPesertaKemenkeu!$M$6:$M$1005,SMALL(IF(checklistPesertaKemenkeu!$AY$6:$AY$1005="Direkomendasikan",ROW($6:$1005)-5),694)))&gt;0,COUNTIF(INDIRECT("'KERTAS KERJA'!K"&amp;(SMALL(IF(checklistPesertaKemenkeu!$AY$6:$AY$1005="Direkomendasikan",ROW($6:$1005)-5),694)+5)&amp;":O"&amp;(SMALL(IF(checklistPesertaKemenkeu!$AY$6:$AY$1005="Direkomendasikan",ROW($6:$1005)-5),694)+5)),INDEX(checklistPesertaKemenkeu!$M$6:$M$1005,SMALL(IF(checklistPesertaKemenkeu!$AY$6:$AY$1005="Direkomendasikan",ROW($6:$1005)-5),694)))=1),IFERROR(VLOOKUP(INDEX(checklistPesertaKemenkeu!$M$6:$M$1005,SMALL(IF(checklistPesertaKemenkeu!$AY$6:$AY$1005="Direkomendasikan",ROW($6:$1005)-5),694)),KotaKode,2,0),"-"),"")),"")</f>
        <v/>
      </c>
      <c r="J695" t="str">
        <f t="array" aca="1" ref="J695" ca="1">IFERROR(IF(OR(INDEX(checklistPesertaKemenkeu!$N$6:$N$1005,SMALL(IF(checklistPesertaKemenkeu!$AY$6:$AY$1005="Direkomendasikan",ROW($6:$1005)-5),694))="",INDEX(checklistPesertaKemenkeu!$J$6:$J$1005,SMALL(IF(checklistPesertaKemenkeu!$AY$6:$AY$1005="Direkomendasikan",ROW($6:$1005)-5),694))=""),"",IF(AND(COUNTIF(INDIRECT("K_"&amp;MATCH(INDEX(checklistPesertaKemenkeu!$J$6:$J$1005,SMALL(IF(checklistPesertaKemenkeu!$AY$6:$AY$1005="Direkomendasikan",ROW($6:$1005)-5),694)),BidangList,0)),INDEX(checklistPesertaKemenkeu!$N$6:$N$1005,SMALL(IF(checklistPesertaKemenkeu!$AY$6:$AY$1005="Direkomendasikan",ROW($6:$1005)-5),694)))&gt;0,COUNTIF(INDIRECT("'KERTAS KERJA'!K"&amp;(SMALL(IF(checklistPesertaKemenkeu!$AY$6:$AY$1005="Direkomendasikan",ROW($6:$1005)-5),694)+5)&amp;":O"&amp;(SMALL(IF(checklistPesertaKemenkeu!$AY$6:$AY$1005="Direkomendasikan",ROW($6:$1005)-5),694)+5)),INDEX(checklistPesertaKemenkeu!$N$6:$N$1005,SMALL(IF(checklistPesertaKemenkeu!$AY$6:$AY$1005="Direkomendasikan",ROW($6:$1005)-5),694)))=1),IFERROR(VLOOKUP(INDEX(checklistPesertaKemenkeu!$N$6:$N$1005,SMALL(IF(checklistPesertaKemenkeu!$AY$6:$AY$1005="Direkomendasikan",ROW($6:$1005)-5),694)),KotaKode,2,0),"-"),"")),"")</f>
        <v/>
      </c>
      <c r="K695" t="str">
        <f t="array" aca="1" ref="K695" ca="1">IFERROR(IF(OR(INDEX(checklistPesertaKemenkeu!$O$6:$O$1005,SMALL(IF(checklistPesertaKemenkeu!$AY$6:$AY$1005="Direkomendasikan",ROW($6:$1005)-5),694))="",INDEX(checklistPesertaKemenkeu!$J$6:$J$1005,SMALL(IF(checklistPesertaKemenkeu!$AY$6:$AY$1005="Direkomendasikan",ROW($6:$1005)-5),694))=""),"",IF(AND(COUNTIF(INDIRECT("K_"&amp;MATCH(INDEX(checklistPesertaKemenkeu!$J$6:$J$1005,SMALL(IF(checklistPesertaKemenkeu!$AY$6:$AY$1005="Direkomendasikan",ROW($6:$1005)-5),694)),BidangList,0)),INDEX(checklistPesertaKemenkeu!$O$6:$O$1005,SMALL(IF(checklistPesertaKemenkeu!$AY$6:$AY$1005="Direkomendasikan",ROW($6:$1005)-5),694)))&gt;0,COUNTIF(INDIRECT("'KERTAS KERJA'!K"&amp;(SMALL(IF(checklistPesertaKemenkeu!$AY$6:$AY$1005="Direkomendasikan",ROW($6:$1005)-5),694)+5)&amp;":O"&amp;(SMALL(IF(checklistPesertaKemenkeu!$AY$6:$AY$1005="Direkomendasikan",ROW($6:$1005)-5),694)+5)),INDEX(checklistPesertaKemenkeu!$O$6:$O$1005,SMALL(IF(checklistPesertaKemenkeu!$AY$6:$AY$1005="Direkomendasikan",ROW($6:$1005)-5),694)))=1),IFERROR(VLOOKUP(INDEX(checklistPesertaKemenkeu!$O$6:$O$1005,SMALL(IF(checklistPesertaKemenkeu!$AY$6:$AY$1005="Direkomendasikan",ROW($6:$1005)-5),694)),KotaKode,2,0),"-"),"")),"")</f>
        <v/>
      </c>
      <c r="L695" t="str">
        <f t="array" aca="1" ref="L695" ca="1">IFERROR(IF(OR(INDEX(checklistPesertaKemenkeu!$P$6:$P$1005,SMALL(IF(checklistPesertaKemenkeu!$AY$6:$AY$1005="Direkomendasikan",ROW($6:$1005)-5),694))="",INDEX(checklistPesertaKemenkeu!$J$6:$J$1005,SMALL(IF(checklistPesertaKemenkeu!$AY$6:$AY$1005="Direkomendasikan",ROW($6:$1005)-5),694))=""),"",IF(AND(COUNTIF(INDIRECT("K_"&amp;MATCH(INDEX(checklistPesertaKemenkeu!$J$6:$J$1005,SMALL(IF(checklistPesertaKemenkeu!$AY$6:$AY$1005="Direkomendasikan",ROW($6:$1005)-5),694)),BidangList,0)),INDEX(checklistPesertaKemenkeu!$P$6:$P$1005,SMALL(IF(checklistPesertaKemenkeu!$AY$6:$AY$1005="Direkomendasikan",ROW($6:$1005)-5),694)))&gt;0,COUNTIF(INDIRECT("'KERTAS KERJA'!K"&amp;(SMALL(IF(checklistPesertaKemenkeu!$AY$6:$AY$1005="Direkomendasikan",ROW($6:$1005)-5),694)+5)&amp;":O"&amp;(SMALL(IF(checklistPesertaKemenkeu!$AY$6:$AY$1005="Direkomendasikan",ROW($6:$1005)-5),694)+5)),INDEX(checklistPesertaKemenkeu!$P$6:$P$1005,SMALL(IF(checklistPesertaKemenkeu!$AY$6:$AY$1005="Direkomendasikan",ROW($6:$1005)-5),694)))=1),IFERROR(VLOOKUP(INDEX(checklistPesertaKemenkeu!$P$6:$P$1005,SMALL(IF(checklistPesertaKemenkeu!$AY$6:$AY$1005="Direkomendasikan",ROW($6:$1005)-5),694)),KotaKode,2,0),"-"),"")),"")</f>
        <v/>
      </c>
    </row>
    <row r="696" spans="1:12" ht="15" customHeight="1" x14ac:dyDescent="0.2">
      <c r="A696" t="str">
        <f t="shared" si="10"/>
        <v/>
      </c>
      <c r="B696" t="str">
        <v/>
      </c>
      <c r="C696" s="40" t="str">
        <f t="array" ref="C696">IFERROR(INDEX(checklistPesertaKemenkeu!$F$6:$F$1005,SMALL(IF(checklistPesertaKemenkeu!$AY$6:$AY$1005="Direkomendasikan",ROW($6:$1005)-5),695)),"")</f>
        <v/>
      </c>
      <c r="D696" t="str">
        <f t="array" ref="D696">IFERROR(INDEX(checklistPesertaKemenkeu!$G$6:$G$1005,SMALL(IF(checklistPesertaKemenkeu!$AY$6:$AY$1005="Direkomendasikan",ROW($6:$1005)-5),695)),"")</f>
        <v/>
      </c>
      <c r="E696" t="str">
        <f t="array" ref="E696">IFERROR(INDEX(checklistPesertaKemenkeu!$H$6:$H$1005,SMALL(IF(checklistPesertaKemenkeu!$AY$6:$AY$1005="Direkomendasikan",ROW($6:$1005)-5),695)),"")</f>
        <v/>
      </c>
      <c r="F696" t="str">
        <f t="array" ref="F696">IFERROR(INDEX(checklistPesertaKemenkeu!$I$6:$I$1005,SMALL(IF(checklistPesertaKemenkeu!$AY$6:$AY$1005="Direkomendasikan",ROW($6:$1005)-5),695)),"")</f>
        <v/>
      </c>
      <c r="G696" t="str">
        <f t="array" ref="G696">IFERROR(INDEX(checklistPesertaKemenkeu!$J$6:$J$1005,SMALL(IF(checklistPesertaKemenkeu!$AY$6:$AY$1005="Direkomendasikan",ROW($6:$1005)-5),695)),"")</f>
        <v/>
      </c>
      <c r="H696" t="str">
        <f t="array" aca="1" ref="H696" ca="1">IFERROR(IF(OR(INDEX(checklistPesertaKemenkeu!$L$6:$L$1005,SMALL(IF(checklistPesertaKemenkeu!$AY$6:$AY$1005="Direkomendasikan",ROW($6:$1005)-5),695))="",INDEX(checklistPesertaKemenkeu!$J$6:$J$1005,SMALL(IF(checklistPesertaKemenkeu!$AY$6:$AY$1005="Direkomendasikan",ROW($6:$1005)-5),695))=""),"",IF(AND(COUNTIF(INDIRECT("K_"&amp;MATCH(INDEX(checklistPesertaKemenkeu!$J$6:$J$1005,SMALL(IF(checklistPesertaKemenkeu!$AY$6:$AY$1005="Direkomendasikan",ROW($6:$1005)-5),695)),BidangList,0)),INDEX(checklistPesertaKemenkeu!$L$6:$L$1005,SMALL(IF(checklistPesertaKemenkeu!$AY$6:$AY$1005="Direkomendasikan",ROW($6:$1005)-5),695)))&gt;0,COUNTIF(INDIRECT("'KERTAS KERJA'!K"&amp;(SMALL(IF(checklistPesertaKemenkeu!$AY$6:$AY$1005="Direkomendasikan",ROW($6:$1005)-5),695)+5)&amp;":O"&amp;(SMALL(IF(checklistPesertaKemenkeu!$AY$6:$AY$1005="Direkomendasikan",ROW($6:$1005)-5),695)+5)),INDEX(checklistPesertaKemenkeu!$L$6:$L$1005,SMALL(IF(checklistPesertaKemenkeu!$AY$6:$AY$1005="Direkomendasikan",ROW($6:$1005)-5),695)))=1),IFERROR(VLOOKUP(INDEX(checklistPesertaKemenkeu!$L$6:$L$1005,SMALL(IF(checklistPesertaKemenkeu!$AY$6:$AY$1005="Direkomendasikan",ROW($6:$1005)-5),695)),KotaKode,2,0),"-"),"")),"")</f>
        <v/>
      </c>
      <c r="I696" t="str">
        <f t="array" aca="1" ref="I696" ca="1">IFERROR(IF(OR(INDEX(checklistPesertaKemenkeu!$M$6:$M$1005,SMALL(IF(checklistPesertaKemenkeu!$AY$6:$AY$1005="Direkomendasikan",ROW($6:$1005)-5),695))="",INDEX(checklistPesertaKemenkeu!$J$6:$J$1005,SMALL(IF(checklistPesertaKemenkeu!$AY$6:$AY$1005="Direkomendasikan",ROW($6:$1005)-5),695))=""),"",IF(AND(COUNTIF(INDIRECT("K_"&amp;MATCH(INDEX(checklistPesertaKemenkeu!$J$6:$J$1005,SMALL(IF(checklistPesertaKemenkeu!$AY$6:$AY$1005="Direkomendasikan",ROW($6:$1005)-5),695)),BidangList,0)),INDEX(checklistPesertaKemenkeu!$M$6:$M$1005,SMALL(IF(checklistPesertaKemenkeu!$AY$6:$AY$1005="Direkomendasikan",ROW($6:$1005)-5),695)))&gt;0,COUNTIF(INDIRECT("'KERTAS KERJA'!K"&amp;(SMALL(IF(checklistPesertaKemenkeu!$AY$6:$AY$1005="Direkomendasikan",ROW($6:$1005)-5),695)+5)&amp;":O"&amp;(SMALL(IF(checklistPesertaKemenkeu!$AY$6:$AY$1005="Direkomendasikan",ROW($6:$1005)-5),695)+5)),INDEX(checklistPesertaKemenkeu!$M$6:$M$1005,SMALL(IF(checklistPesertaKemenkeu!$AY$6:$AY$1005="Direkomendasikan",ROW($6:$1005)-5),695)))=1),IFERROR(VLOOKUP(INDEX(checklistPesertaKemenkeu!$M$6:$M$1005,SMALL(IF(checklistPesertaKemenkeu!$AY$6:$AY$1005="Direkomendasikan",ROW($6:$1005)-5),695)),KotaKode,2,0),"-"),"")),"")</f>
        <v/>
      </c>
      <c r="J696" t="str">
        <f t="array" aca="1" ref="J696" ca="1">IFERROR(IF(OR(INDEX(checklistPesertaKemenkeu!$N$6:$N$1005,SMALL(IF(checklistPesertaKemenkeu!$AY$6:$AY$1005="Direkomendasikan",ROW($6:$1005)-5),695))="",INDEX(checklistPesertaKemenkeu!$J$6:$J$1005,SMALL(IF(checklistPesertaKemenkeu!$AY$6:$AY$1005="Direkomendasikan",ROW($6:$1005)-5),695))=""),"",IF(AND(COUNTIF(INDIRECT("K_"&amp;MATCH(INDEX(checklistPesertaKemenkeu!$J$6:$J$1005,SMALL(IF(checklistPesertaKemenkeu!$AY$6:$AY$1005="Direkomendasikan",ROW($6:$1005)-5),695)),BidangList,0)),INDEX(checklistPesertaKemenkeu!$N$6:$N$1005,SMALL(IF(checklistPesertaKemenkeu!$AY$6:$AY$1005="Direkomendasikan",ROW($6:$1005)-5),695)))&gt;0,COUNTIF(INDIRECT("'KERTAS KERJA'!K"&amp;(SMALL(IF(checklistPesertaKemenkeu!$AY$6:$AY$1005="Direkomendasikan",ROW($6:$1005)-5),695)+5)&amp;":O"&amp;(SMALL(IF(checklistPesertaKemenkeu!$AY$6:$AY$1005="Direkomendasikan",ROW($6:$1005)-5),695)+5)),INDEX(checklistPesertaKemenkeu!$N$6:$N$1005,SMALL(IF(checklistPesertaKemenkeu!$AY$6:$AY$1005="Direkomendasikan",ROW($6:$1005)-5),695)))=1),IFERROR(VLOOKUP(INDEX(checklistPesertaKemenkeu!$N$6:$N$1005,SMALL(IF(checklistPesertaKemenkeu!$AY$6:$AY$1005="Direkomendasikan",ROW($6:$1005)-5),695)),KotaKode,2,0),"-"),"")),"")</f>
        <v/>
      </c>
      <c r="K696" t="str">
        <f t="array" aca="1" ref="K696" ca="1">IFERROR(IF(OR(INDEX(checklistPesertaKemenkeu!$O$6:$O$1005,SMALL(IF(checklistPesertaKemenkeu!$AY$6:$AY$1005="Direkomendasikan",ROW($6:$1005)-5),695))="",INDEX(checklistPesertaKemenkeu!$J$6:$J$1005,SMALL(IF(checklistPesertaKemenkeu!$AY$6:$AY$1005="Direkomendasikan",ROW($6:$1005)-5),695))=""),"",IF(AND(COUNTIF(INDIRECT("K_"&amp;MATCH(INDEX(checklistPesertaKemenkeu!$J$6:$J$1005,SMALL(IF(checklistPesertaKemenkeu!$AY$6:$AY$1005="Direkomendasikan",ROW($6:$1005)-5),695)),BidangList,0)),INDEX(checklistPesertaKemenkeu!$O$6:$O$1005,SMALL(IF(checklistPesertaKemenkeu!$AY$6:$AY$1005="Direkomendasikan",ROW($6:$1005)-5),695)))&gt;0,COUNTIF(INDIRECT("'KERTAS KERJA'!K"&amp;(SMALL(IF(checklistPesertaKemenkeu!$AY$6:$AY$1005="Direkomendasikan",ROW($6:$1005)-5),695)+5)&amp;":O"&amp;(SMALL(IF(checklistPesertaKemenkeu!$AY$6:$AY$1005="Direkomendasikan",ROW($6:$1005)-5),695)+5)),INDEX(checklistPesertaKemenkeu!$O$6:$O$1005,SMALL(IF(checklistPesertaKemenkeu!$AY$6:$AY$1005="Direkomendasikan",ROW($6:$1005)-5),695)))=1),IFERROR(VLOOKUP(INDEX(checklistPesertaKemenkeu!$O$6:$O$1005,SMALL(IF(checklistPesertaKemenkeu!$AY$6:$AY$1005="Direkomendasikan",ROW($6:$1005)-5),695)),KotaKode,2,0),"-"),"")),"")</f>
        <v/>
      </c>
      <c r="L696" t="str">
        <f t="array" aca="1" ref="L696" ca="1">IFERROR(IF(OR(INDEX(checklistPesertaKemenkeu!$P$6:$P$1005,SMALL(IF(checklistPesertaKemenkeu!$AY$6:$AY$1005="Direkomendasikan",ROW($6:$1005)-5),695))="",INDEX(checklistPesertaKemenkeu!$J$6:$J$1005,SMALL(IF(checklistPesertaKemenkeu!$AY$6:$AY$1005="Direkomendasikan",ROW($6:$1005)-5),695))=""),"",IF(AND(COUNTIF(INDIRECT("K_"&amp;MATCH(INDEX(checklistPesertaKemenkeu!$J$6:$J$1005,SMALL(IF(checklistPesertaKemenkeu!$AY$6:$AY$1005="Direkomendasikan",ROW($6:$1005)-5),695)),BidangList,0)),INDEX(checklistPesertaKemenkeu!$P$6:$P$1005,SMALL(IF(checklistPesertaKemenkeu!$AY$6:$AY$1005="Direkomendasikan",ROW($6:$1005)-5),695)))&gt;0,COUNTIF(INDIRECT("'KERTAS KERJA'!K"&amp;(SMALL(IF(checklistPesertaKemenkeu!$AY$6:$AY$1005="Direkomendasikan",ROW($6:$1005)-5),695)+5)&amp;":O"&amp;(SMALL(IF(checklistPesertaKemenkeu!$AY$6:$AY$1005="Direkomendasikan",ROW($6:$1005)-5),695)+5)),INDEX(checklistPesertaKemenkeu!$P$6:$P$1005,SMALL(IF(checklistPesertaKemenkeu!$AY$6:$AY$1005="Direkomendasikan",ROW($6:$1005)-5),695)))=1),IFERROR(VLOOKUP(INDEX(checklistPesertaKemenkeu!$P$6:$P$1005,SMALL(IF(checklistPesertaKemenkeu!$AY$6:$AY$1005="Direkomendasikan",ROW($6:$1005)-5),695)),KotaKode,2,0),"-"),"")),"")</f>
        <v/>
      </c>
    </row>
    <row r="697" spans="1:12" ht="15" customHeight="1" x14ac:dyDescent="0.2">
      <c r="A697" t="str">
        <f t="shared" si="10"/>
        <v/>
      </c>
      <c r="B697" t="str">
        <v/>
      </c>
      <c r="C697" s="40" t="str">
        <f t="array" ref="C697">IFERROR(INDEX(checklistPesertaKemenkeu!$F$6:$F$1005,SMALL(IF(checklistPesertaKemenkeu!$AY$6:$AY$1005="Direkomendasikan",ROW($6:$1005)-5),696)),"")</f>
        <v/>
      </c>
      <c r="D697" t="str">
        <f t="array" ref="D697">IFERROR(INDEX(checklistPesertaKemenkeu!$G$6:$G$1005,SMALL(IF(checklistPesertaKemenkeu!$AY$6:$AY$1005="Direkomendasikan",ROW($6:$1005)-5),696)),"")</f>
        <v/>
      </c>
      <c r="E697" t="str">
        <f t="array" ref="E697">IFERROR(INDEX(checklistPesertaKemenkeu!$H$6:$H$1005,SMALL(IF(checklistPesertaKemenkeu!$AY$6:$AY$1005="Direkomendasikan",ROW($6:$1005)-5),696)),"")</f>
        <v/>
      </c>
      <c r="F697" t="str">
        <f t="array" ref="F697">IFERROR(INDEX(checklistPesertaKemenkeu!$I$6:$I$1005,SMALL(IF(checklistPesertaKemenkeu!$AY$6:$AY$1005="Direkomendasikan",ROW($6:$1005)-5),696)),"")</f>
        <v/>
      </c>
      <c r="G697" t="str">
        <f t="array" ref="G697">IFERROR(INDEX(checklistPesertaKemenkeu!$J$6:$J$1005,SMALL(IF(checklistPesertaKemenkeu!$AY$6:$AY$1005="Direkomendasikan",ROW($6:$1005)-5),696)),"")</f>
        <v/>
      </c>
      <c r="H697" t="str">
        <f t="array" aca="1" ref="H697" ca="1">IFERROR(IF(OR(INDEX(checklistPesertaKemenkeu!$L$6:$L$1005,SMALL(IF(checklistPesertaKemenkeu!$AY$6:$AY$1005="Direkomendasikan",ROW($6:$1005)-5),696))="",INDEX(checklistPesertaKemenkeu!$J$6:$J$1005,SMALL(IF(checklistPesertaKemenkeu!$AY$6:$AY$1005="Direkomendasikan",ROW($6:$1005)-5),696))=""),"",IF(AND(COUNTIF(INDIRECT("K_"&amp;MATCH(INDEX(checklistPesertaKemenkeu!$J$6:$J$1005,SMALL(IF(checklistPesertaKemenkeu!$AY$6:$AY$1005="Direkomendasikan",ROW($6:$1005)-5),696)),BidangList,0)),INDEX(checklistPesertaKemenkeu!$L$6:$L$1005,SMALL(IF(checklistPesertaKemenkeu!$AY$6:$AY$1005="Direkomendasikan",ROW($6:$1005)-5),696)))&gt;0,COUNTIF(INDIRECT("'KERTAS KERJA'!K"&amp;(SMALL(IF(checklistPesertaKemenkeu!$AY$6:$AY$1005="Direkomendasikan",ROW($6:$1005)-5),696)+5)&amp;":O"&amp;(SMALL(IF(checklistPesertaKemenkeu!$AY$6:$AY$1005="Direkomendasikan",ROW($6:$1005)-5),696)+5)),INDEX(checklistPesertaKemenkeu!$L$6:$L$1005,SMALL(IF(checklistPesertaKemenkeu!$AY$6:$AY$1005="Direkomendasikan",ROW($6:$1005)-5),696)))=1),IFERROR(VLOOKUP(INDEX(checklistPesertaKemenkeu!$L$6:$L$1005,SMALL(IF(checklistPesertaKemenkeu!$AY$6:$AY$1005="Direkomendasikan",ROW($6:$1005)-5),696)),KotaKode,2,0),"-"),"")),"")</f>
        <v/>
      </c>
      <c r="I697" t="str">
        <f t="array" aca="1" ref="I697" ca="1">IFERROR(IF(OR(INDEX(checklistPesertaKemenkeu!$M$6:$M$1005,SMALL(IF(checklistPesertaKemenkeu!$AY$6:$AY$1005="Direkomendasikan",ROW($6:$1005)-5),696))="",INDEX(checklistPesertaKemenkeu!$J$6:$J$1005,SMALL(IF(checklistPesertaKemenkeu!$AY$6:$AY$1005="Direkomendasikan",ROW($6:$1005)-5),696))=""),"",IF(AND(COUNTIF(INDIRECT("K_"&amp;MATCH(INDEX(checklistPesertaKemenkeu!$J$6:$J$1005,SMALL(IF(checklistPesertaKemenkeu!$AY$6:$AY$1005="Direkomendasikan",ROW($6:$1005)-5),696)),BidangList,0)),INDEX(checklistPesertaKemenkeu!$M$6:$M$1005,SMALL(IF(checklistPesertaKemenkeu!$AY$6:$AY$1005="Direkomendasikan",ROW($6:$1005)-5),696)))&gt;0,COUNTIF(INDIRECT("'KERTAS KERJA'!K"&amp;(SMALL(IF(checklistPesertaKemenkeu!$AY$6:$AY$1005="Direkomendasikan",ROW($6:$1005)-5),696)+5)&amp;":O"&amp;(SMALL(IF(checklistPesertaKemenkeu!$AY$6:$AY$1005="Direkomendasikan",ROW($6:$1005)-5),696)+5)),INDEX(checklistPesertaKemenkeu!$M$6:$M$1005,SMALL(IF(checklistPesertaKemenkeu!$AY$6:$AY$1005="Direkomendasikan",ROW($6:$1005)-5),696)))=1),IFERROR(VLOOKUP(INDEX(checklistPesertaKemenkeu!$M$6:$M$1005,SMALL(IF(checklistPesertaKemenkeu!$AY$6:$AY$1005="Direkomendasikan",ROW($6:$1005)-5),696)),KotaKode,2,0),"-"),"")),"")</f>
        <v/>
      </c>
      <c r="J697" t="str">
        <f t="array" aca="1" ref="J697" ca="1">IFERROR(IF(OR(INDEX(checklistPesertaKemenkeu!$N$6:$N$1005,SMALL(IF(checklistPesertaKemenkeu!$AY$6:$AY$1005="Direkomendasikan",ROW($6:$1005)-5),696))="",INDEX(checklistPesertaKemenkeu!$J$6:$J$1005,SMALL(IF(checklistPesertaKemenkeu!$AY$6:$AY$1005="Direkomendasikan",ROW($6:$1005)-5),696))=""),"",IF(AND(COUNTIF(INDIRECT("K_"&amp;MATCH(INDEX(checklistPesertaKemenkeu!$J$6:$J$1005,SMALL(IF(checklistPesertaKemenkeu!$AY$6:$AY$1005="Direkomendasikan",ROW($6:$1005)-5),696)),BidangList,0)),INDEX(checklistPesertaKemenkeu!$N$6:$N$1005,SMALL(IF(checklistPesertaKemenkeu!$AY$6:$AY$1005="Direkomendasikan",ROW($6:$1005)-5),696)))&gt;0,COUNTIF(INDIRECT("'KERTAS KERJA'!K"&amp;(SMALL(IF(checklistPesertaKemenkeu!$AY$6:$AY$1005="Direkomendasikan",ROW($6:$1005)-5),696)+5)&amp;":O"&amp;(SMALL(IF(checklistPesertaKemenkeu!$AY$6:$AY$1005="Direkomendasikan",ROW($6:$1005)-5),696)+5)),INDEX(checklistPesertaKemenkeu!$N$6:$N$1005,SMALL(IF(checklistPesertaKemenkeu!$AY$6:$AY$1005="Direkomendasikan",ROW($6:$1005)-5),696)))=1),IFERROR(VLOOKUP(INDEX(checklistPesertaKemenkeu!$N$6:$N$1005,SMALL(IF(checklistPesertaKemenkeu!$AY$6:$AY$1005="Direkomendasikan",ROW($6:$1005)-5),696)),KotaKode,2,0),"-"),"")),"")</f>
        <v/>
      </c>
      <c r="K697" t="str">
        <f t="array" aca="1" ref="K697" ca="1">IFERROR(IF(OR(INDEX(checklistPesertaKemenkeu!$O$6:$O$1005,SMALL(IF(checklistPesertaKemenkeu!$AY$6:$AY$1005="Direkomendasikan",ROW($6:$1005)-5),696))="",INDEX(checklistPesertaKemenkeu!$J$6:$J$1005,SMALL(IF(checklistPesertaKemenkeu!$AY$6:$AY$1005="Direkomendasikan",ROW($6:$1005)-5),696))=""),"",IF(AND(COUNTIF(INDIRECT("K_"&amp;MATCH(INDEX(checklistPesertaKemenkeu!$J$6:$J$1005,SMALL(IF(checklistPesertaKemenkeu!$AY$6:$AY$1005="Direkomendasikan",ROW($6:$1005)-5),696)),BidangList,0)),INDEX(checklistPesertaKemenkeu!$O$6:$O$1005,SMALL(IF(checklistPesertaKemenkeu!$AY$6:$AY$1005="Direkomendasikan",ROW($6:$1005)-5),696)))&gt;0,COUNTIF(INDIRECT("'KERTAS KERJA'!K"&amp;(SMALL(IF(checklistPesertaKemenkeu!$AY$6:$AY$1005="Direkomendasikan",ROW($6:$1005)-5),696)+5)&amp;":O"&amp;(SMALL(IF(checklistPesertaKemenkeu!$AY$6:$AY$1005="Direkomendasikan",ROW($6:$1005)-5),696)+5)),INDEX(checklistPesertaKemenkeu!$O$6:$O$1005,SMALL(IF(checklistPesertaKemenkeu!$AY$6:$AY$1005="Direkomendasikan",ROW($6:$1005)-5),696)))=1),IFERROR(VLOOKUP(INDEX(checklistPesertaKemenkeu!$O$6:$O$1005,SMALL(IF(checklistPesertaKemenkeu!$AY$6:$AY$1005="Direkomendasikan",ROW($6:$1005)-5),696)),KotaKode,2,0),"-"),"")),"")</f>
        <v/>
      </c>
      <c r="L697" t="str">
        <f t="array" aca="1" ref="L697" ca="1">IFERROR(IF(OR(INDEX(checklistPesertaKemenkeu!$P$6:$P$1005,SMALL(IF(checklistPesertaKemenkeu!$AY$6:$AY$1005="Direkomendasikan",ROW($6:$1005)-5),696))="",INDEX(checklistPesertaKemenkeu!$J$6:$J$1005,SMALL(IF(checklistPesertaKemenkeu!$AY$6:$AY$1005="Direkomendasikan",ROW($6:$1005)-5),696))=""),"",IF(AND(COUNTIF(INDIRECT("K_"&amp;MATCH(INDEX(checklistPesertaKemenkeu!$J$6:$J$1005,SMALL(IF(checklistPesertaKemenkeu!$AY$6:$AY$1005="Direkomendasikan",ROW($6:$1005)-5),696)),BidangList,0)),INDEX(checklistPesertaKemenkeu!$P$6:$P$1005,SMALL(IF(checklistPesertaKemenkeu!$AY$6:$AY$1005="Direkomendasikan",ROW($6:$1005)-5),696)))&gt;0,COUNTIF(INDIRECT("'KERTAS KERJA'!K"&amp;(SMALL(IF(checklistPesertaKemenkeu!$AY$6:$AY$1005="Direkomendasikan",ROW($6:$1005)-5),696)+5)&amp;":O"&amp;(SMALL(IF(checklistPesertaKemenkeu!$AY$6:$AY$1005="Direkomendasikan",ROW($6:$1005)-5),696)+5)),INDEX(checklistPesertaKemenkeu!$P$6:$P$1005,SMALL(IF(checklistPesertaKemenkeu!$AY$6:$AY$1005="Direkomendasikan",ROW($6:$1005)-5),696)))=1),IFERROR(VLOOKUP(INDEX(checklistPesertaKemenkeu!$P$6:$P$1005,SMALL(IF(checklistPesertaKemenkeu!$AY$6:$AY$1005="Direkomendasikan",ROW($6:$1005)-5),696)),KotaKode,2,0),"-"),"")),"")</f>
        <v/>
      </c>
    </row>
    <row r="698" spans="1:12" ht="15" customHeight="1" x14ac:dyDescent="0.2">
      <c r="A698" t="str">
        <f t="shared" si="10"/>
        <v/>
      </c>
      <c r="B698" t="str">
        <v/>
      </c>
      <c r="C698" s="40" t="str">
        <f t="array" ref="C698">IFERROR(INDEX(checklistPesertaKemenkeu!$F$6:$F$1005,SMALL(IF(checklistPesertaKemenkeu!$AY$6:$AY$1005="Direkomendasikan",ROW($6:$1005)-5),697)),"")</f>
        <v/>
      </c>
      <c r="D698" t="str">
        <f t="array" ref="D698">IFERROR(INDEX(checklistPesertaKemenkeu!$G$6:$G$1005,SMALL(IF(checklistPesertaKemenkeu!$AY$6:$AY$1005="Direkomendasikan",ROW($6:$1005)-5),697)),"")</f>
        <v/>
      </c>
      <c r="E698" t="str">
        <f t="array" ref="E698">IFERROR(INDEX(checklistPesertaKemenkeu!$H$6:$H$1005,SMALL(IF(checklistPesertaKemenkeu!$AY$6:$AY$1005="Direkomendasikan",ROW($6:$1005)-5),697)),"")</f>
        <v/>
      </c>
      <c r="F698" t="str">
        <f t="array" ref="F698">IFERROR(INDEX(checklistPesertaKemenkeu!$I$6:$I$1005,SMALL(IF(checklistPesertaKemenkeu!$AY$6:$AY$1005="Direkomendasikan",ROW($6:$1005)-5),697)),"")</f>
        <v/>
      </c>
      <c r="G698" t="str">
        <f t="array" ref="G698">IFERROR(INDEX(checklistPesertaKemenkeu!$J$6:$J$1005,SMALL(IF(checklistPesertaKemenkeu!$AY$6:$AY$1005="Direkomendasikan",ROW($6:$1005)-5),697)),"")</f>
        <v/>
      </c>
      <c r="H698" t="str">
        <f t="array" aca="1" ref="H698" ca="1">IFERROR(IF(OR(INDEX(checklistPesertaKemenkeu!$L$6:$L$1005,SMALL(IF(checklistPesertaKemenkeu!$AY$6:$AY$1005="Direkomendasikan",ROW($6:$1005)-5),697))="",INDEX(checklistPesertaKemenkeu!$J$6:$J$1005,SMALL(IF(checklistPesertaKemenkeu!$AY$6:$AY$1005="Direkomendasikan",ROW($6:$1005)-5),697))=""),"",IF(AND(COUNTIF(INDIRECT("K_"&amp;MATCH(INDEX(checklistPesertaKemenkeu!$J$6:$J$1005,SMALL(IF(checklistPesertaKemenkeu!$AY$6:$AY$1005="Direkomendasikan",ROW($6:$1005)-5),697)),BidangList,0)),INDEX(checklistPesertaKemenkeu!$L$6:$L$1005,SMALL(IF(checklistPesertaKemenkeu!$AY$6:$AY$1005="Direkomendasikan",ROW($6:$1005)-5),697)))&gt;0,COUNTIF(INDIRECT("'KERTAS KERJA'!K"&amp;(SMALL(IF(checklistPesertaKemenkeu!$AY$6:$AY$1005="Direkomendasikan",ROW($6:$1005)-5),697)+5)&amp;":O"&amp;(SMALL(IF(checklistPesertaKemenkeu!$AY$6:$AY$1005="Direkomendasikan",ROW($6:$1005)-5),697)+5)),INDEX(checklistPesertaKemenkeu!$L$6:$L$1005,SMALL(IF(checklistPesertaKemenkeu!$AY$6:$AY$1005="Direkomendasikan",ROW($6:$1005)-5),697)))=1),IFERROR(VLOOKUP(INDEX(checklistPesertaKemenkeu!$L$6:$L$1005,SMALL(IF(checklistPesertaKemenkeu!$AY$6:$AY$1005="Direkomendasikan",ROW($6:$1005)-5),697)),KotaKode,2,0),"-"),"")),"")</f>
        <v/>
      </c>
      <c r="I698" t="str">
        <f t="array" aca="1" ref="I698" ca="1">IFERROR(IF(OR(INDEX(checklistPesertaKemenkeu!$M$6:$M$1005,SMALL(IF(checklistPesertaKemenkeu!$AY$6:$AY$1005="Direkomendasikan",ROW($6:$1005)-5),697))="",INDEX(checklistPesertaKemenkeu!$J$6:$J$1005,SMALL(IF(checklistPesertaKemenkeu!$AY$6:$AY$1005="Direkomendasikan",ROW($6:$1005)-5),697))=""),"",IF(AND(COUNTIF(INDIRECT("K_"&amp;MATCH(INDEX(checklistPesertaKemenkeu!$J$6:$J$1005,SMALL(IF(checklistPesertaKemenkeu!$AY$6:$AY$1005="Direkomendasikan",ROW($6:$1005)-5),697)),BidangList,0)),INDEX(checklistPesertaKemenkeu!$M$6:$M$1005,SMALL(IF(checklistPesertaKemenkeu!$AY$6:$AY$1005="Direkomendasikan",ROW($6:$1005)-5),697)))&gt;0,COUNTIF(INDIRECT("'KERTAS KERJA'!K"&amp;(SMALL(IF(checklistPesertaKemenkeu!$AY$6:$AY$1005="Direkomendasikan",ROW($6:$1005)-5),697)+5)&amp;":O"&amp;(SMALL(IF(checklistPesertaKemenkeu!$AY$6:$AY$1005="Direkomendasikan",ROW($6:$1005)-5),697)+5)),INDEX(checklistPesertaKemenkeu!$M$6:$M$1005,SMALL(IF(checklistPesertaKemenkeu!$AY$6:$AY$1005="Direkomendasikan",ROW($6:$1005)-5),697)))=1),IFERROR(VLOOKUP(INDEX(checklistPesertaKemenkeu!$M$6:$M$1005,SMALL(IF(checklistPesertaKemenkeu!$AY$6:$AY$1005="Direkomendasikan",ROW($6:$1005)-5),697)),KotaKode,2,0),"-"),"")),"")</f>
        <v/>
      </c>
      <c r="J698" t="str">
        <f t="array" aca="1" ref="J698" ca="1">IFERROR(IF(OR(INDEX(checklistPesertaKemenkeu!$N$6:$N$1005,SMALL(IF(checklistPesertaKemenkeu!$AY$6:$AY$1005="Direkomendasikan",ROW($6:$1005)-5),697))="",INDEX(checklistPesertaKemenkeu!$J$6:$J$1005,SMALL(IF(checklistPesertaKemenkeu!$AY$6:$AY$1005="Direkomendasikan",ROW($6:$1005)-5),697))=""),"",IF(AND(COUNTIF(INDIRECT("K_"&amp;MATCH(INDEX(checklistPesertaKemenkeu!$J$6:$J$1005,SMALL(IF(checklistPesertaKemenkeu!$AY$6:$AY$1005="Direkomendasikan",ROW($6:$1005)-5),697)),BidangList,0)),INDEX(checklistPesertaKemenkeu!$N$6:$N$1005,SMALL(IF(checklistPesertaKemenkeu!$AY$6:$AY$1005="Direkomendasikan",ROW($6:$1005)-5),697)))&gt;0,COUNTIF(INDIRECT("'KERTAS KERJA'!K"&amp;(SMALL(IF(checklistPesertaKemenkeu!$AY$6:$AY$1005="Direkomendasikan",ROW($6:$1005)-5),697)+5)&amp;":O"&amp;(SMALL(IF(checklistPesertaKemenkeu!$AY$6:$AY$1005="Direkomendasikan",ROW($6:$1005)-5),697)+5)),INDEX(checklistPesertaKemenkeu!$N$6:$N$1005,SMALL(IF(checklistPesertaKemenkeu!$AY$6:$AY$1005="Direkomendasikan",ROW($6:$1005)-5),697)))=1),IFERROR(VLOOKUP(INDEX(checklistPesertaKemenkeu!$N$6:$N$1005,SMALL(IF(checklistPesertaKemenkeu!$AY$6:$AY$1005="Direkomendasikan",ROW($6:$1005)-5),697)),KotaKode,2,0),"-"),"")),"")</f>
        <v/>
      </c>
      <c r="K698" t="str">
        <f t="array" aca="1" ref="K698" ca="1">IFERROR(IF(OR(INDEX(checklistPesertaKemenkeu!$O$6:$O$1005,SMALL(IF(checklistPesertaKemenkeu!$AY$6:$AY$1005="Direkomendasikan",ROW($6:$1005)-5),697))="",INDEX(checklistPesertaKemenkeu!$J$6:$J$1005,SMALL(IF(checklistPesertaKemenkeu!$AY$6:$AY$1005="Direkomendasikan",ROW($6:$1005)-5),697))=""),"",IF(AND(COUNTIF(INDIRECT("K_"&amp;MATCH(INDEX(checklistPesertaKemenkeu!$J$6:$J$1005,SMALL(IF(checklistPesertaKemenkeu!$AY$6:$AY$1005="Direkomendasikan",ROW($6:$1005)-5),697)),BidangList,0)),INDEX(checklistPesertaKemenkeu!$O$6:$O$1005,SMALL(IF(checklistPesertaKemenkeu!$AY$6:$AY$1005="Direkomendasikan",ROW($6:$1005)-5),697)))&gt;0,COUNTIF(INDIRECT("'KERTAS KERJA'!K"&amp;(SMALL(IF(checklistPesertaKemenkeu!$AY$6:$AY$1005="Direkomendasikan",ROW($6:$1005)-5),697)+5)&amp;":O"&amp;(SMALL(IF(checklistPesertaKemenkeu!$AY$6:$AY$1005="Direkomendasikan",ROW($6:$1005)-5),697)+5)),INDEX(checklistPesertaKemenkeu!$O$6:$O$1005,SMALL(IF(checklistPesertaKemenkeu!$AY$6:$AY$1005="Direkomendasikan",ROW($6:$1005)-5),697)))=1),IFERROR(VLOOKUP(INDEX(checklistPesertaKemenkeu!$O$6:$O$1005,SMALL(IF(checklistPesertaKemenkeu!$AY$6:$AY$1005="Direkomendasikan",ROW($6:$1005)-5),697)),KotaKode,2,0),"-"),"")),"")</f>
        <v/>
      </c>
      <c r="L698" t="str">
        <f t="array" aca="1" ref="L698" ca="1">IFERROR(IF(OR(INDEX(checklistPesertaKemenkeu!$P$6:$P$1005,SMALL(IF(checklistPesertaKemenkeu!$AY$6:$AY$1005="Direkomendasikan",ROW($6:$1005)-5),697))="",INDEX(checklistPesertaKemenkeu!$J$6:$J$1005,SMALL(IF(checklistPesertaKemenkeu!$AY$6:$AY$1005="Direkomendasikan",ROW($6:$1005)-5),697))=""),"",IF(AND(COUNTIF(INDIRECT("K_"&amp;MATCH(INDEX(checklistPesertaKemenkeu!$J$6:$J$1005,SMALL(IF(checklistPesertaKemenkeu!$AY$6:$AY$1005="Direkomendasikan",ROW($6:$1005)-5),697)),BidangList,0)),INDEX(checklistPesertaKemenkeu!$P$6:$P$1005,SMALL(IF(checklistPesertaKemenkeu!$AY$6:$AY$1005="Direkomendasikan",ROW($6:$1005)-5),697)))&gt;0,COUNTIF(INDIRECT("'KERTAS KERJA'!K"&amp;(SMALL(IF(checklistPesertaKemenkeu!$AY$6:$AY$1005="Direkomendasikan",ROW($6:$1005)-5),697)+5)&amp;":O"&amp;(SMALL(IF(checklistPesertaKemenkeu!$AY$6:$AY$1005="Direkomendasikan",ROW($6:$1005)-5),697)+5)),INDEX(checklistPesertaKemenkeu!$P$6:$P$1005,SMALL(IF(checklistPesertaKemenkeu!$AY$6:$AY$1005="Direkomendasikan",ROW($6:$1005)-5),697)))=1),IFERROR(VLOOKUP(INDEX(checklistPesertaKemenkeu!$P$6:$P$1005,SMALL(IF(checklistPesertaKemenkeu!$AY$6:$AY$1005="Direkomendasikan",ROW($6:$1005)-5),697)),KotaKode,2,0),"-"),"")),"")</f>
        <v/>
      </c>
    </row>
    <row r="699" spans="1:12" ht="15" customHeight="1" x14ac:dyDescent="0.2">
      <c r="A699" t="str">
        <f t="shared" si="10"/>
        <v/>
      </c>
      <c r="B699" t="str">
        <v/>
      </c>
      <c r="C699" s="40" t="str">
        <f t="array" ref="C699">IFERROR(INDEX(checklistPesertaKemenkeu!$F$6:$F$1005,SMALL(IF(checklistPesertaKemenkeu!$AY$6:$AY$1005="Direkomendasikan",ROW($6:$1005)-5),698)),"")</f>
        <v/>
      </c>
      <c r="D699" t="str">
        <f t="array" ref="D699">IFERROR(INDEX(checklistPesertaKemenkeu!$G$6:$G$1005,SMALL(IF(checklistPesertaKemenkeu!$AY$6:$AY$1005="Direkomendasikan",ROW($6:$1005)-5),698)),"")</f>
        <v/>
      </c>
      <c r="E699" t="str">
        <f t="array" ref="E699">IFERROR(INDEX(checklistPesertaKemenkeu!$H$6:$H$1005,SMALL(IF(checklistPesertaKemenkeu!$AY$6:$AY$1005="Direkomendasikan",ROW($6:$1005)-5),698)),"")</f>
        <v/>
      </c>
      <c r="F699" t="str">
        <f t="array" ref="F699">IFERROR(INDEX(checklistPesertaKemenkeu!$I$6:$I$1005,SMALL(IF(checklistPesertaKemenkeu!$AY$6:$AY$1005="Direkomendasikan",ROW($6:$1005)-5),698)),"")</f>
        <v/>
      </c>
      <c r="G699" t="str">
        <f t="array" ref="G699">IFERROR(INDEX(checklistPesertaKemenkeu!$J$6:$J$1005,SMALL(IF(checklistPesertaKemenkeu!$AY$6:$AY$1005="Direkomendasikan",ROW($6:$1005)-5),698)),"")</f>
        <v/>
      </c>
      <c r="H699" t="str">
        <f t="array" aca="1" ref="H699" ca="1">IFERROR(IF(OR(INDEX(checklistPesertaKemenkeu!$L$6:$L$1005,SMALL(IF(checklistPesertaKemenkeu!$AY$6:$AY$1005="Direkomendasikan",ROW($6:$1005)-5),698))="",INDEX(checklistPesertaKemenkeu!$J$6:$J$1005,SMALL(IF(checklistPesertaKemenkeu!$AY$6:$AY$1005="Direkomendasikan",ROW($6:$1005)-5),698))=""),"",IF(AND(COUNTIF(INDIRECT("K_"&amp;MATCH(INDEX(checklistPesertaKemenkeu!$J$6:$J$1005,SMALL(IF(checklistPesertaKemenkeu!$AY$6:$AY$1005="Direkomendasikan",ROW($6:$1005)-5),698)),BidangList,0)),INDEX(checklistPesertaKemenkeu!$L$6:$L$1005,SMALL(IF(checklistPesertaKemenkeu!$AY$6:$AY$1005="Direkomendasikan",ROW($6:$1005)-5),698)))&gt;0,COUNTIF(INDIRECT("'KERTAS KERJA'!K"&amp;(SMALL(IF(checklistPesertaKemenkeu!$AY$6:$AY$1005="Direkomendasikan",ROW($6:$1005)-5),698)+5)&amp;":O"&amp;(SMALL(IF(checklistPesertaKemenkeu!$AY$6:$AY$1005="Direkomendasikan",ROW($6:$1005)-5),698)+5)),INDEX(checklistPesertaKemenkeu!$L$6:$L$1005,SMALL(IF(checklistPesertaKemenkeu!$AY$6:$AY$1005="Direkomendasikan",ROW($6:$1005)-5),698)))=1),IFERROR(VLOOKUP(INDEX(checklistPesertaKemenkeu!$L$6:$L$1005,SMALL(IF(checklistPesertaKemenkeu!$AY$6:$AY$1005="Direkomendasikan",ROW($6:$1005)-5),698)),KotaKode,2,0),"-"),"")),"")</f>
        <v/>
      </c>
      <c r="I699" t="str">
        <f t="array" aca="1" ref="I699" ca="1">IFERROR(IF(OR(INDEX(checklistPesertaKemenkeu!$M$6:$M$1005,SMALL(IF(checklistPesertaKemenkeu!$AY$6:$AY$1005="Direkomendasikan",ROW($6:$1005)-5),698))="",INDEX(checklistPesertaKemenkeu!$J$6:$J$1005,SMALL(IF(checklistPesertaKemenkeu!$AY$6:$AY$1005="Direkomendasikan",ROW($6:$1005)-5),698))=""),"",IF(AND(COUNTIF(INDIRECT("K_"&amp;MATCH(INDEX(checklistPesertaKemenkeu!$J$6:$J$1005,SMALL(IF(checklistPesertaKemenkeu!$AY$6:$AY$1005="Direkomendasikan",ROW($6:$1005)-5),698)),BidangList,0)),INDEX(checklistPesertaKemenkeu!$M$6:$M$1005,SMALL(IF(checklistPesertaKemenkeu!$AY$6:$AY$1005="Direkomendasikan",ROW($6:$1005)-5),698)))&gt;0,COUNTIF(INDIRECT("'KERTAS KERJA'!K"&amp;(SMALL(IF(checklistPesertaKemenkeu!$AY$6:$AY$1005="Direkomendasikan",ROW($6:$1005)-5),698)+5)&amp;":O"&amp;(SMALL(IF(checklistPesertaKemenkeu!$AY$6:$AY$1005="Direkomendasikan",ROW($6:$1005)-5),698)+5)),INDEX(checklistPesertaKemenkeu!$M$6:$M$1005,SMALL(IF(checklistPesertaKemenkeu!$AY$6:$AY$1005="Direkomendasikan",ROW($6:$1005)-5),698)))=1),IFERROR(VLOOKUP(INDEX(checklistPesertaKemenkeu!$M$6:$M$1005,SMALL(IF(checklistPesertaKemenkeu!$AY$6:$AY$1005="Direkomendasikan",ROW($6:$1005)-5),698)),KotaKode,2,0),"-"),"")),"")</f>
        <v/>
      </c>
      <c r="J699" t="str">
        <f t="array" aca="1" ref="J699" ca="1">IFERROR(IF(OR(INDEX(checklistPesertaKemenkeu!$N$6:$N$1005,SMALL(IF(checklistPesertaKemenkeu!$AY$6:$AY$1005="Direkomendasikan",ROW($6:$1005)-5),698))="",INDEX(checklistPesertaKemenkeu!$J$6:$J$1005,SMALL(IF(checklistPesertaKemenkeu!$AY$6:$AY$1005="Direkomendasikan",ROW($6:$1005)-5),698))=""),"",IF(AND(COUNTIF(INDIRECT("K_"&amp;MATCH(INDEX(checklistPesertaKemenkeu!$J$6:$J$1005,SMALL(IF(checklistPesertaKemenkeu!$AY$6:$AY$1005="Direkomendasikan",ROW($6:$1005)-5),698)),BidangList,0)),INDEX(checklistPesertaKemenkeu!$N$6:$N$1005,SMALL(IF(checklistPesertaKemenkeu!$AY$6:$AY$1005="Direkomendasikan",ROW($6:$1005)-5),698)))&gt;0,COUNTIF(INDIRECT("'KERTAS KERJA'!K"&amp;(SMALL(IF(checklistPesertaKemenkeu!$AY$6:$AY$1005="Direkomendasikan",ROW($6:$1005)-5),698)+5)&amp;":O"&amp;(SMALL(IF(checklistPesertaKemenkeu!$AY$6:$AY$1005="Direkomendasikan",ROW($6:$1005)-5),698)+5)),INDEX(checklistPesertaKemenkeu!$N$6:$N$1005,SMALL(IF(checklistPesertaKemenkeu!$AY$6:$AY$1005="Direkomendasikan",ROW($6:$1005)-5),698)))=1),IFERROR(VLOOKUP(INDEX(checklistPesertaKemenkeu!$N$6:$N$1005,SMALL(IF(checklistPesertaKemenkeu!$AY$6:$AY$1005="Direkomendasikan",ROW($6:$1005)-5),698)),KotaKode,2,0),"-"),"")),"")</f>
        <v/>
      </c>
      <c r="K699" t="str">
        <f t="array" aca="1" ref="K699" ca="1">IFERROR(IF(OR(INDEX(checklistPesertaKemenkeu!$O$6:$O$1005,SMALL(IF(checklistPesertaKemenkeu!$AY$6:$AY$1005="Direkomendasikan",ROW($6:$1005)-5),698))="",INDEX(checklistPesertaKemenkeu!$J$6:$J$1005,SMALL(IF(checklistPesertaKemenkeu!$AY$6:$AY$1005="Direkomendasikan",ROW($6:$1005)-5),698))=""),"",IF(AND(COUNTIF(INDIRECT("K_"&amp;MATCH(INDEX(checklistPesertaKemenkeu!$J$6:$J$1005,SMALL(IF(checklistPesertaKemenkeu!$AY$6:$AY$1005="Direkomendasikan",ROW($6:$1005)-5),698)),BidangList,0)),INDEX(checklistPesertaKemenkeu!$O$6:$O$1005,SMALL(IF(checklistPesertaKemenkeu!$AY$6:$AY$1005="Direkomendasikan",ROW($6:$1005)-5),698)))&gt;0,COUNTIF(INDIRECT("'KERTAS KERJA'!K"&amp;(SMALL(IF(checklistPesertaKemenkeu!$AY$6:$AY$1005="Direkomendasikan",ROW($6:$1005)-5),698)+5)&amp;":O"&amp;(SMALL(IF(checklistPesertaKemenkeu!$AY$6:$AY$1005="Direkomendasikan",ROW($6:$1005)-5),698)+5)),INDEX(checklistPesertaKemenkeu!$O$6:$O$1005,SMALL(IF(checklistPesertaKemenkeu!$AY$6:$AY$1005="Direkomendasikan",ROW($6:$1005)-5),698)))=1),IFERROR(VLOOKUP(INDEX(checklistPesertaKemenkeu!$O$6:$O$1005,SMALL(IF(checklistPesertaKemenkeu!$AY$6:$AY$1005="Direkomendasikan",ROW($6:$1005)-5),698)),KotaKode,2,0),"-"),"")),"")</f>
        <v/>
      </c>
      <c r="L699" t="str">
        <f t="array" aca="1" ref="L699" ca="1">IFERROR(IF(OR(INDEX(checklistPesertaKemenkeu!$P$6:$P$1005,SMALL(IF(checklistPesertaKemenkeu!$AY$6:$AY$1005="Direkomendasikan",ROW($6:$1005)-5),698))="",INDEX(checklistPesertaKemenkeu!$J$6:$J$1005,SMALL(IF(checklistPesertaKemenkeu!$AY$6:$AY$1005="Direkomendasikan",ROW($6:$1005)-5),698))=""),"",IF(AND(COUNTIF(INDIRECT("K_"&amp;MATCH(INDEX(checklistPesertaKemenkeu!$J$6:$J$1005,SMALL(IF(checklistPesertaKemenkeu!$AY$6:$AY$1005="Direkomendasikan",ROW($6:$1005)-5),698)),BidangList,0)),INDEX(checklistPesertaKemenkeu!$P$6:$P$1005,SMALL(IF(checklistPesertaKemenkeu!$AY$6:$AY$1005="Direkomendasikan",ROW($6:$1005)-5),698)))&gt;0,COUNTIF(INDIRECT("'KERTAS KERJA'!K"&amp;(SMALL(IF(checklistPesertaKemenkeu!$AY$6:$AY$1005="Direkomendasikan",ROW($6:$1005)-5),698)+5)&amp;":O"&amp;(SMALL(IF(checklistPesertaKemenkeu!$AY$6:$AY$1005="Direkomendasikan",ROW($6:$1005)-5),698)+5)),INDEX(checklistPesertaKemenkeu!$P$6:$P$1005,SMALL(IF(checklistPesertaKemenkeu!$AY$6:$AY$1005="Direkomendasikan",ROW($6:$1005)-5),698)))=1),IFERROR(VLOOKUP(INDEX(checklistPesertaKemenkeu!$P$6:$P$1005,SMALL(IF(checklistPesertaKemenkeu!$AY$6:$AY$1005="Direkomendasikan",ROW($6:$1005)-5),698)),KotaKode,2,0),"-"),"")),"")</f>
        <v/>
      </c>
    </row>
    <row r="700" spans="1:12" ht="15" customHeight="1" x14ac:dyDescent="0.2">
      <c r="A700" t="str">
        <f t="shared" si="10"/>
        <v/>
      </c>
      <c r="B700" t="str">
        <v/>
      </c>
      <c r="C700" s="40" t="str">
        <f t="array" ref="C700">IFERROR(INDEX(checklistPesertaKemenkeu!$F$6:$F$1005,SMALL(IF(checklistPesertaKemenkeu!$AY$6:$AY$1005="Direkomendasikan",ROW($6:$1005)-5),699)),"")</f>
        <v/>
      </c>
      <c r="D700" t="str">
        <f t="array" ref="D700">IFERROR(INDEX(checklistPesertaKemenkeu!$G$6:$G$1005,SMALL(IF(checklistPesertaKemenkeu!$AY$6:$AY$1005="Direkomendasikan",ROW($6:$1005)-5),699)),"")</f>
        <v/>
      </c>
      <c r="E700" t="str">
        <f t="array" ref="E700">IFERROR(INDEX(checklistPesertaKemenkeu!$H$6:$H$1005,SMALL(IF(checklistPesertaKemenkeu!$AY$6:$AY$1005="Direkomendasikan",ROW($6:$1005)-5),699)),"")</f>
        <v/>
      </c>
      <c r="F700" t="str">
        <f t="array" ref="F700">IFERROR(INDEX(checklistPesertaKemenkeu!$I$6:$I$1005,SMALL(IF(checklistPesertaKemenkeu!$AY$6:$AY$1005="Direkomendasikan",ROW($6:$1005)-5),699)),"")</f>
        <v/>
      </c>
      <c r="G700" t="str">
        <f t="array" ref="G700">IFERROR(INDEX(checklistPesertaKemenkeu!$J$6:$J$1005,SMALL(IF(checklistPesertaKemenkeu!$AY$6:$AY$1005="Direkomendasikan",ROW($6:$1005)-5),699)),"")</f>
        <v/>
      </c>
      <c r="H700" t="str">
        <f t="array" aca="1" ref="H700" ca="1">IFERROR(IF(OR(INDEX(checklistPesertaKemenkeu!$L$6:$L$1005,SMALL(IF(checklistPesertaKemenkeu!$AY$6:$AY$1005="Direkomendasikan",ROW($6:$1005)-5),699))="",INDEX(checklistPesertaKemenkeu!$J$6:$J$1005,SMALL(IF(checklistPesertaKemenkeu!$AY$6:$AY$1005="Direkomendasikan",ROW($6:$1005)-5),699))=""),"",IF(AND(COUNTIF(INDIRECT("K_"&amp;MATCH(INDEX(checklistPesertaKemenkeu!$J$6:$J$1005,SMALL(IF(checklistPesertaKemenkeu!$AY$6:$AY$1005="Direkomendasikan",ROW($6:$1005)-5),699)),BidangList,0)),INDEX(checklistPesertaKemenkeu!$L$6:$L$1005,SMALL(IF(checklistPesertaKemenkeu!$AY$6:$AY$1005="Direkomendasikan",ROW($6:$1005)-5),699)))&gt;0,COUNTIF(INDIRECT("'KERTAS KERJA'!K"&amp;(SMALL(IF(checklistPesertaKemenkeu!$AY$6:$AY$1005="Direkomendasikan",ROW($6:$1005)-5),699)+5)&amp;":O"&amp;(SMALL(IF(checklistPesertaKemenkeu!$AY$6:$AY$1005="Direkomendasikan",ROW($6:$1005)-5),699)+5)),INDEX(checklistPesertaKemenkeu!$L$6:$L$1005,SMALL(IF(checklistPesertaKemenkeu!$AY$6:$AY$1005="Direkomendasikan",ROW($6:$1005)-5),699)))=1),IFERROR(VLOOKUP(INDEX(checklistPesertaKemenkeu!$L$6:$L$1005,SMALL(IF(checklistPesertaKemenkeu!$AY$6:$AY$1005="Direkomendasikan",ROW($6:$1005)-5),699)),KotaKode,2,0),"-"),"")),"")</f>
        <v/>
      </c>
      <c r="I700" t="str">
        <f t="array" aca="1" ref="I700" ca="1">IFERROR(IF(OR(INDEX(checklistPesertaKemenkeu!$M$6:$M$1005,SMALL(IF(checklistPesertaKemenkeu!$AY$6:$AY$1005="Direkomendasikan",ROW($6:$1005)-5),699))="",INDEX(checklistPesertaKemenkeu!$J$6:$J$1005,SMALL(IF(checklistPesertaKemenkeu!$AY$6:$AY$1005="Direkomendasikan",ROW($6:$1005)-5),699))=""),"",IF(AND(COUNTIF(INDIRECT("K_"&amp;MATCH(INDEX(checklistPesertaKemenkeu!$J$6:$J$1005,SMALL(IF(checklistPesertaKemenkeu!$AY$6:$AY$1005="Direkomendasikan",ROW($6:$1005)-5),699)),BidangList,0)),INDEX(checklistPesertaKemenkeu!$M$6:$M$1005,SMALL(IF(checklistPesertaKemenkeu!$AY$6:$AY$1005="Direkomendasikan",ROW($6:$1005)-5),699)))&gt;0,COUNTIF(INDIRECT("'KERTAS KERJA'!K"&amp;(SMALL(IF(checklistPesertaKemenkeu!$AY$6:$AY$1005="Direkomendasikan",ROW($6:$1005)-5),699)+5)&amp;":O"&amp;(SMALL(IF(checklistPesertaKemenkeu!$AY$6:$AY$1005="Direkomendasikan",ROW($6:$1005)-5),699)+5)),INDEX(checklistPesertaKemenkeu!$M$6:$M$1005,SMALL(IF(checklistPesertaKemenkeu!$AY$6:$AY$1005="Direkomendasikan",ROW($6:$1005)-5),699)))=1),IFERROR(VLOOKUP(INDEX(checklistPesertaKemenkeu!$M$6:$M$1005,SMALL(IF(checklistPesertaKemenkeu!$AY$6:$AY$1005="Direkomendasikan",ROW($6:$1005)-5),699)),KotaKode,2,0),"-"),"")),"")</f>
        <v/>
      </c>
      <c r="J700" t="str">
        <f t="array" aca="1" ref="J700" ca="1">IFERROR(IF(OR(INDEX(checklistPesertaKemenkeu!$N$6:$N$1005,SMALL(IF(checklistPesertaKemenkeu!$AY$6:$AY$1005="Direkomendasikan",ROW($6:$1005)-5),699))="",INDEX(checklistPesertaKemenkeu!$J$6:$J$1005,SMALL(IF(checklistPesertaKemenkeu!$AY$6:$AY$1005="Direkomendasikan",ROW($6:$1005)-5),699))=""),"",IF(AND(COUNTIF(INDIRECT("K_"&amp;MATCH(INDEX(checklistPesertaKemenkeu!$J$6:$J$1005,SMALL(IF(checklistPesertaKemenkeu!$AY$6:$AY$1005="Direkomendasikan",ROW($6:$1005)-5),699)),BidangList,0)),INDEX(checklistPesertaKemenkeu!$N$6:$N$1005,SMALL(IF(checklistPesertaKemenkeu!$AY$6:$AY$1005="Direkomendasikan",ROW($6:$1005)-5),699)))&gt;0,COUNTIF(INDIRECT("'KERTAS KERJA'!K"&amp;(SMALL(IF(checklistPesertaKemenkeu!$AY$6:$AY$1005="Direkomendasikan",ROW($6:$1005)-5),699)+5)&amp;":O"&amp;(SMALL(IF(checklistPesertaKemenkeu!$AY$6:$AY$1005="Direkomendasikan",ROW($6:$1005)-5),699)+5)),INDEX(checklistPesertaKemenkeu!$N$6:$N$1005,SMALL(IF(checklistPesertaKemenkeu!$AY$6:$AY$1005="Direkomendasikan",ROW($6:$1005)-5),699)))=1),IFERROR(VLOOKUP(INDEX(checklistPesertaKemenkeu!$N$6:$N$1005,SMALL(IF(checklistPesertaKemenkeu!$AY$6:$AY$1005="Direkomendasikan",ROW($6:$1005)-5),699)),KotaKode,2,0),"-"),"")),"")</f>
        <v/>
      </c>
      <c r="K700" t="str">
        <f t="array" aca="1" ref="K700" ca="1">IFERROR(IF(OR(INDEX(checklistPesertaKemenkeu!$O$6:$O$1005,SMALL(IF(checklistPesertaKemenkeu!$AY$6:$AY$1005="Direkomendasikan",ROW($6:$1005)-5),699))="",INDEX(checklistPesertaKemenkeu!$J$6:$J$1005,SMALL(IF(checklistPesertaKemenkeu!$AY$6:$AY$1005="Direkomendasikan",ROW($6:$1005)-5),699))=""),"",IF(AND(COUNTIF(INDIRECT("K_"&amp;MATCH(INDEX(checklistPesertaKemenkeu!$J$6:$J$1005,SMALL(IF(checklistPesertaKemenkeu!$AY$6:$AY$1005="Direkomendasikan",ROW($6:$1005)-5),699)),BidangList,0)),INDEX(checklistPesertaKemenkeu!$O$6:$O$1005,SMALL(IF(checklistPesertaKemenkeu!$AY$6:$AY$1005="Direkomendasikan",ROW($6:$1005)-5),699)))&gt;0,COUNTIF(INDIRECT("'KERTAS KERJA'!K"&amp;(SMALL(IF(checklistPesertaKemenkeu!$AY$6:$AY$1005="Direkomendasikan",ROW($6:$1005)-5),699)+5)&amp;":O"&amp;(SMALL(IF(checklistPesertaKemenkeu!$AY$6:$AY$1005="Direkomendasikan",ROW($6:$1005)-5),699)+5)),INDEX(checklistPesertaKemenkeu!$O$6:$O$1005,SMALL(IF(checklistPesertaKemenkeu!$AY$6:$AY$1005="Direkomendasikan",ROW($6:$1005)-5),699)))=1),IFERROR(VLOOKUP(INDEX(checklistPesertaKemenkeu!$O$6:$O$1005,SMALL(IF(checklistPesertaKemenkeu!$AY$6:$AY$1005="Direkomendasikan",ROW($6:$1005)-5),699)),KotaKode,2,0),"-"),"")),"")</f>
        <v/>
      </c>
      <c r="L700" t="str">
        <f t="array" aca="1" ref="L700" ca="1">IFERROR(IF(OR(INDEX(checklistPesertaKemenkeu!$P$6:$P$1005,SMALL(IF(checklistPesertaKemenkeu!$AY$6:$AY$1005="Direkomendasikan",ROW($6:$1005)-5),699))="",INDEX(checklistPesertaKemenkeu!$J$6:$J$1005,SMALL(IF(checklistPesertaKemenkeu!$AY$6:$AY$1005="Direkomendasikan",ROW($6:$1005)-5),699))=""),"",IF(AND(COUNTIF(INDIRECT("K_"&amp;MATCH(INDEX(checklistPesertaKemenkeu!$J$6:$J$1005,SMALL(IF(checklistPesertaKemenkeu!$AY$6:$AY$1005="Direkomendasikan",ROW($6:$1005)-5),699)),BidangList,0)),INDEX(checklistPesertaKemenkeu!$P$6:$P$1005,SMALL(IF(checklistPesertaKemenkeu!$AY$6:$AY$1005="Direkomendasikan",ROW($6:$1005)-5),699)))&gt;0,COUNTIF(INDIRECT("'KERTAS KERJA'!K"&amp;(SMALL(IF(checklistPesertaKemenkeu!$AY$6:$AY$1005="Direkomendasikan",ROW($6:$1005)-5),699)+5)&amp;":O"&amp;(SMALL(IF(checklistPesertaKemenkeu!$AY$6:$AY$1005="Direkomendasikan",ROW($6:$1005)-5),699)+5)),INDEX(checklistPesertaKemenkeu!$P$6:$P$1005,SMALL(IF(checklistPesertaKemenkeu!$AY$6:$AY$1005="Direkomendasikan",ROW($6:$1005)-5),699)))=1),IFERROR(VLOOKUP(INDEX(checklistPesertaKemenkeu!$P$6:$P$1005,SMALL(IF(checklistPesertaKemenkeu!$AY$6:$AY$1005="Direkomendasikan",ROW($6:$1005)-5),699)),KotaKode,2,0),"-"),"")),"")</f>
        <v/>
      </c>
    </row>
    <row r="701" spans="1:12" ht="15" customHeight="1" x14ac:dyDescent="0.2">
      <c r="A701" t="str">
        <f t="shared" si="10"/>
        <v/>
      </c>
      <c r="B701" t="str">
        <v/>
      </c>
      <c r="C701" s="40" t="str">
        <f t="array" ref="C701">IFERROR(INDEX(checklistPesertaKemenkeu!$F$6:$F$1005,SMALL(IF(checklistPesertaKemenkeu!$AY$6:$AY$1005="Direkomendasikan",ROW($6:$1005)-5),700)),"")</f>
        <v/>
      </c>
      <c r="D701" t="str">
        <f t="array" ref="D701">IFERROR(INDEX(checklistPesertaKemenkeu!$G$6:$G$1005,SMALL(IF(checklistPesertaKemenkeu!$AY$6:$AY$1005="Direkomendasikan",ROW($6:$1005)-5),700)),"")</f>
        <v/>
      </c>
      <c r="E701" t="str">
        <f t="array" ref="E701">IFERROR(INDEX(checklistPesertaKemenkeu!$H$6:$H$1005,SMALL(IF(checklistPesertaKemenkeu!$AY$6:$AY$1005="Direkomendasikan",ROW($6:$1005)-5),700)),"")</f>
        <v/>
      </c>
      <c r="F701" t="str">
        <f t="array" ref="F701">IFERROR(INDEX(checklistPesertaKemenkeu!$I$6:$I$1005,SMALL(IF(checklistPesertaKemenkeu!$AY$6:$AY$1005="Direkomendasikan",ROW($6:$1005)-5),700)),"")</f>
        <v/>
      </c>
      <c r="G701" t="str">
        <f t="array" ref="G701">IFERROR(INDEX(checklistPesertaKemenkeu!$J$6:$J$1005,SMALL(IF(checklistPesertaKemenkeu!$AY$6:$AY$1005="Direkomendasikan",ROW($6:$1005)-5),700)),"")</f>
        <v/>
      </c>
      <c r="H701" t="str">
        <f t="array" aca="1" ref="H701" ca="1">IFERROR(IF(OR(INDEX(checklistPesertaKemenkeu!$L$6:$L$1005,SMALL(IF(checklistPesertaKemenkeu!$AY$6:$AY$1005="Direkomendasikan",ROW($6:$1005)-5),700))="",INDEX(checklistPesertaKemenkeu!$J$6:$J$1005,SMALL(IF(checklistPesertaKemenkeu!$AY$6:$AY$1005="Direkomendasikan",ROW($6:$1005)-5),700))=""),"",IF(AND(COUNTIF(INDIRECT("K_"&amp;MATCH(INDEX(checklistPesertaKemenkeu!$J$6:$J$1005,SMALL(IF(checklistPesertaKemenkeu!$AY$6:$AY$1005="Direkomendasikan",ROW($6:$1005)-5),700)),BidangList,0)),INDEX(checklistPesertaKemenkeu!$L$6:$L$1005,SMALL(IF(checklistPesertaKemenkeu!$AY$6:$AY$1005="Direkomendasikan",ROW($6:$1005)-5),700)))&gt;0,COUNTIF(INDIRECT("'KERTAS KERJA'!K"&amp;(SMALL(IF(checklistPesertaKemenkeu!$AY$6:$AY$1005="Direkomendasikan",ROW($6:$1005)-5),700)+5)&amp;":O"&amp;(SMALL(IF(checklistPesertaKemenkeu!$AY$6:$AY$1005="Direkomendasikan",ROW($6:$1005)-5),700)+5)),INDEX(checklistPesertaKemenkeu!$L$6:$L$1005,SMALL(IF(checklistPesertaKemenkeu!$AY$6:$AY$1005="Direkomendasikan",ROW($6:$1005)-5),700)))=1),IFERROR(VLOOKUP(INDEX(checklistPesertaKemenkeu!$L$6:$L$1005,SMALL(IF(checklistPesertaKemenkeu!$AY$6:$AY$1005="Direkomendasikan",ROW($6:$1005)-5),700)),KotaKode,2,0),"-"),"")),"")</f>
        <v/>
      </c>
      <c r="I701" t="str">
        <f t="array" aca="1" ref="I701" ca="1">IFERROR(IF(OR(INDEX(checklistPesertaKemenkeu!$M$6:$M$1005,SMALL(IF(checklistPesertaKemenkeu!$AY$6:$AY$1005="Direkomendasikan",ROW($6:$1005)-5),700))="",INDEX(checklistPesertaKemenkeu!$J$6:$J$1005,SMALL(IF(checklistPesertaKemenkeu!$AY$6:$AY$1005="Direkomendasikan",ROW($6:$1005)-5),700))=""),"",IF(AND(COUNTIF(INDIRECT("K_"&amp;MATCH(INDEX(checklistPesertaKemenkeu!$J$6:$J$1005,SMALL(IF(checklistPesertaKemenkeu!$AY$6:$AY$1005="Direkomendasikan",ROW($6:$1005)-5),700)),BidangList,0)),INDEX(checklistPesertaKemenkeu!$M$6:$M$1005,SMALL(IF(checklistPesertaKemenkeu!$AY$6:$AY$1005="Direkomendasikan",ROW($6:$1005)-5),700)))&gt;0,COUNTIF(INDIRECT("'KERTAS KERJA'!K"&amp;(SMALL(IF(checklistPesertaKemenkeu!$AY$6:$AY$1005="Direkomendasikan",ROW($6:$1005)-5),700)+5)&amp;":O"&amp;(SMALL(IF(checklistPesertaKemenkeu!$AY$6:$AY$1005="Direkomendasikan",ROW($6:$1005)-5),700)+5)),INDEX(checklistPesertaKemenkeu!$M$6:$M$1005,SMALL(IF(checklistPesertaKemenkeu!$AY$6:$AY$1005="Direkomendasikan",ROW($6:$1005)-5),700)))=1),IFERROR(VLOOKUP(INDEX(checklistPesertaKemenkeu!$M$6:$M$1005,SMALL(IF(checklistPesertaKemenkeu!$AY$6:$AY$1005="Direkomendasikan",ROW($6:$1005)-5),700)),KotaKode,2,0),"-"),"")),"")</f>
        <v/>
      </c>
      <c r="J701" t="str">
        <f t="array" aca="1" ref="J701" ca="1">IFERROR(IF(OR(INDEX(checklistPesertaKemenkeu!$N$6:$N$1005,SMALL(IF(checklistPesertaKemenkeu!$AY$6:$AY$1005="Direkomendasikan",ROW($6:$1005)-5),700))="",INDEX(checklistPesertaKemenkeu!$J$6:$J$1005,SMALL(IF(checklistPesertaKemenkeu!$AY$6:$AY$1005="Direkomendasikan",ROW($6:$1005)-5),700))=""),"",IF(AND(COUNTIF(INDIRECT("K_"&amp;MATCH(INDEX(checklistPesertaKemenkeu!$J$6:$J$1005,SMALL(IF(checklistPesertaKemenkeu!$AY$6:$AY$1005="Direkomendasikan",ROW($6:$1005)-5),700)),BidangList,0)),INDEX(checklistPesertaKemenkeu!$N$6:$N$1005,SMALL(IF(checklistPesertaKemenkeu!$AY$6:$AY$1005="Direkomendasikan",ROW($6:$1005)-5),700)))&gt;0,COUNTIF(INDIRECT("'KERTAS KERJA'!K"&amp;(SMALL(IF(checklistPesertaKemenkeu!$AY$6:$AY$1005="Direkomendasikan",ROW($6:$1005)-5),700)+5)&amp;":O"&amp;(SMALL(IF(checklistPesertaKemenkeu!$AY$6:$AY$1005="Direkomendasikan",ROW($6:$1005)-5),700)+5)),INDEX(checklistPesertaKemenkeu!$N$6:$N$1005,SMALL(IF(checklistPesertaKemenkeu!$AY$6:$AY$1005="Direkomendasikan",ROW($6:$1005)-5),700)))=1),IFERROR(VLOOKUP(INDEX(checklistPesertaKemenkeu!$N$6:$N$1005,SMALL(IF(checklistPesertaKemenkeu!$AY$6:$AY$1005="Direkomendasikan",ROW($6:$1005)-5),700)),KotaKode,2,0),"-"),"")),"")</f>
        <v/>
      </c>
      <c r="K701" t="str">
        <f t="array" aca="1" ref="K701" ca="1">IFERROR(IF(OR(INDEX(checklistPesertaKemenkeu!$O$6:$O$1005,SMALL(IF(checklistPesertaKemenkeu!$AY$6:$AY$1005="Direkomendasikan",ROW($6:$1005)-5),700))="",INDEX(checklistPesertaKemenkeu!$J$6:$J$1005,SMALL(IF(checklistPesertaKemenkeu!$AY$6:$AY$1005="Direkomendasikan",ROW($6:$1005)-5),700))=""),"",IF(AND(COUNTIF(INDIRECT("K_"&amp;MATCH(INDEX(checklistPesertaKemenkeu!$J$6:$J$1005,SMALL(IF(checklistPesertaKemenkeu!$AY$6:$AY$1005="Direkomendasikan",ROW($6:$1005)-5),700)),BidangList,0)),INDEX(checklistPesertaKemenkeu!$O$6:$O$1005,SMALL(IF(checklistPesertaKemenkeu!$AY$6:$AY$1005="Direkomendasikan",ROW($6:$1005)-5),700)))&gt;0,COUNTIF(INDIRECT("'KERTAS KERJA'!K"&amp;(SMALL(IF(checklistPesertaKemenkeu!$AY$6:$AY$1005="Direkomendasikan",ROW($6:$1005)-5),700)+5)&amp;":O"&amp;(SMALL(IF(checklistPesertaKemenkeu!$AY$6:$AY$1005="Direkomendasikan",ROW($6:$1005)-5),700)+5)),INDEX(checklistPesertaKemenkeu!$O$6:$O$1005,SMALL(IF(checklistPesertaKemenkeu!$AY$6:$AY$1005="Direkomendasikan",ROW($6:$1005)-5),700)))=1),IFERROR(VLOOKUP(INDEX(checklistPesertaKemenkeu!$O$6:$O$1005,SMALL(IF(checklistPesertaKemenkeu!$AY$6:$AY$1005="Direkomendasikan",ROW($6:$1005)-5),700)),KotaKode,2,0),"-"),"")),"")</f>
        <v/>
      </c>
      <c r="L701" t="str">
        <f t="array" aca="1" ref="L701" ca="1">IFERROR(IF(OR(INDEX(checklistPesertaKemenkeu!$P$6:$P$1005,SMALL(IF(checklistPesertaKemenkeu!$AY$6:$AY$1005="Direkomendasikan",ROW($6:$1005)-5),700))="",INDEX(checklistPesertaKemenkeu!$J$6:$J$1005,SMALL(IF(checklistPesertaKemenkeu!$AY$6:$AY$1005="Direkomendasikan",ROW($6:$1005)-5),700))=""),"",IF(AND(COUNTIF(INDIRECT("K_"&amp;MATCH(INDEX(checklistPesertaKemenkeu!$J$6:$J$1005,SMALL(IF(checklistPesertaKemenkeu!$AY$6:$AY$1005="Direkomendasikan",ROW($6:$1005)-5),700)),BidangList,0)),INDEX(checklistPesertaKemenkeu!$P$6:$P$1005,SMALL(IF(checklistPesertaKemenkeu!$AY$6:$AY$1005="Direkomendasikan",ROW($6:$1005)-5),700)))&gt;0,COUNTIF(INDIRECT("'KERTAS KERJA'!K"&amp;(SMALL(IF(checklistPesertaKemenkeu!$AY$6:$AY$1005="Direkomendasikan",ROW($6:$1005)-5),700)+5)&amp;":O"&amp;(SMALL(IF(checklistPesertaKemenkeu!$AY$6:$AY$1005="Direkomendasikan",ROW($6:$1005)-5),700)+5)),INDEX(checklistPesertaKemenkeu!$P$6:$P$1005,SMALL(IF(checklistPesertaKemenkeu!$AY$6:$AY$1005="Direkomendasikan",ROW($6:$1005)-5),700)))=1),IFERROR(VLOOKUP(INDEX(checklistPesertaKemenkeu!$P$6:$P$1005,SMALL(IF(checklistPesertaKemenkeu!$AY$6:$AY$1005="Direkomendasikan",ROW($6:$1005)-5),700)),KotaKode,2,0),"-"),"")),"")</f>
        <v/>
      </c>
    </row>
    <row r="702" spans="1:12" ht="15" customHeight="1" x14ac:dyDescent="0.2">
      <c r="A702" t="str">
        <f t="shared" si="10"/>
        <v/>
      </c>
      <c r="B702" t="str">
        <v/>
      </c>
      <c r="C702" s="40" t="str">
        <f t="array" ref="C702">IFERROR(INDEX(checklistPesertaKemenkeu!$F$6:$F$1005,SMALL(IF(checklistPesertaKemenkeu!$AY$6:$AY$1005="Direkomendasikan",ROW($6:$1005)-5),701)),"")</f>
        <v/>
      </c>
      <c r="D702" t="str">
        <f t="array" ref="D702">IFERROR(INDEX(checklistPesertaKemenkeu!$G$6:$G$1005,SMALL(IF(checklistPesertaKemenkeu!$AY$6:$AY$1005="Direkomendasikan",ROW($6:$1005)-5),701)),"")</f>
        <v/>
      </c>
      <c r="E702" t="str">
        <f t="array" ref="E702">IFERROR(INDEX(checklistPesertaKemenkeu!$H$6:$H$1005,SMALL(IF(checklistPesertaKemenkeu!$AY$6:$AY$1005="Direkomendasikan",ROW($6:$1005)-5),701)),"")</f>
        <v/>
      </c>
      <c r="F702" t="str">
        <f t="array" ref="F702">IFERROR(INDEX(checklistPesertaKemenkeu!$I$6:$I$1005,SMALL(IF(checklistPesertaKemenkeu!$AY$6:$AY$1005="Direkomendasikan",ROW($6:$1005)-5),701)),"")</f>
        <v/>
      </c>
      <c r="G702" t="str">
        <f t="array" ref="G702">IFERROR(INDEX(checklistPesertaKemenkeu!$J$6:$J$1005,SMALL(IF(checklistPesertaKemenkeu!$AY$6:$AY$1005="Direkomendasikan",ROW($6:$1005)-5),701)),"")</f>
        <v/>
      </c>
      <c r="H702" t="str">
        <f t="array" aca="1" ref="H702" ca="1">IFERROR(IF(OR(INDEX(checklistPesertaKemenkeu!$L$6:$L$1005,SMALL(IF(checklistPesertaKemenkeu!$AY$6:$AY$1005="Direkomendasikan",ROW($6:$1005)-5),701))="",INDEX(checklistPesertaKemenkeu!$J$6:$J$1005,SMALL(IF(checklistPesertaKemenkeu!$AY$6:$AY$1005="Direkomendasikan",ROW($6:$1005)-5),701))=""),"",IF(AND(COUNTIF(INDIRECT("K_"&amp;MATCH(INDEX(checklistPesertaKemenkeu!$J$6:$J$1005,SMALL(IF(checklistPesertaKemenkeu!$AY$6:$AY$1005="Direkomendasikan",ROW($6:$1005)-5),701)),BidangList,0)),INDEX(checklistPesertaKemenkeu!$L$6:$L$1005,SMALL(IF(checklistPesertaKemenkeu!$AY$6:$AY$1005="Direkomendasikan",ROW($6:$1005)-5),701)))&gt;0,COUNTIF(INDIRECT("'KERTAS KERJA'!K"&amp;(SMALL(IF(checklistPesertaKemenkeu!$AY$6:$AY$1005="Direkomendasikan",ROW($6:$1005)-5),701)+5)&amp;":O"&amp;(SMALL(IF(checklistPesertaKemenkeu!$AY$6:$AY$1005="Direkomendasikan",ROW($6:$1005)-5),701)+5)),INDEX(checklistPesertaKemenkeu!$L$6:$L$1005,SMALL(IF(checklistPesertaKemenkeu!$AY$6:$AY$1005="Direkomendasikan",ROW($6:$1005)-5),701)))=1),IFERROR(VLOOKUP(INDEX(checklistPesertaKemenkeu!$L$6:$L$1005,SMALL(IF(checklistPesertaKemenkeu!$AY$6:$AY$1005="Direkomendasikan",ROW($6:$1005)-5),701)),KotaKode,2,0),"-"),"")),"")</f>
        <v/>
      </c>
      <c r="I702" t="str">
        <f t="array" aca="1" ref="I702" ca="1">IFERROR(IF(OR(INDEX(checklistPesertaKemenkeu!$M$6:$M$1005,SMALL(IF(checklistPesertaKemenkeu!$AY$6:$AY$1005="Direkomendasikan",ROW($6:$1005)-5),701))="",INDEX(checklistPesertaKemenkeu!$J$6:$J$1005,SMALL(IF(checklistPesertaKemenkeu!$AY$6:$AY$1005="Direkomendasikan",ROW($6:$1005)-5),701))=""),"",IF(AND(COUNTIF(INDIRECT("K_"&amp;MATCH(INDEX(checklistPesertaKemenkeu!$J$6:$J$1005,SMALL(IF(checklistPesertaKemenkeu!$AY$6:$AY$1005="Direkomendasikan",ROW($6:$1005)-5),701)),BidangList,0)),INDEX(checklistPesertaKemenkeu!$M$6:$M$1005,SMALL(IF(checklistPesertaKemenkeu!$AY$6:$AY$1005="Direkomendasikan",ROW($6:$1005)-5),701)))&gt;0,COUNTIF(INDIRECT("'KERTAS KERJA'!K"&amp;(SMALL(IF(checklistPesertaKemenkeu!$AY$6:$AY$1005="Direkomendasikan",ROW($6:$1005)-5),701)+5)&amp;":O"&amp;(SMALL(IF(checklistPesertaKemenkeu!$AY$6:$AY$1005="Direkomendasikan",ROW($6:$1005)-5),701)+5)),INDEX(checklistPesertaKemenkeu!$M$6:$M$1005,SMALL(IF(checklistPesertaKemenkeu!$AY$6:$AY$1005="Direkomendasikan",ROW($6:$1005)-5),701)))=1),IFERROR(VLOOKUP(INDEX(checklistPesertaKemenkeu!$M$6:$M$1005,SMALL(IF(checklistPesertaKemenkeu!$AY$6:$AY$1005="Direkomendasikan",ROW($6:$1005)-5),701)),KotaKode,2,0),"-"),"")),"")</f>
        <v/>
      </c>
      <c r="J702" t="str">
        <f t="array" aca="1" ref="J702" ca="1">IFERROR(IF(OR(INDEX(checklistPesertaKemenkeu!$N$6:$N$1005,SMALL(IF(checklistPesertaKemenkeu!$AY$6:$AY$1005="Direkomendasikan",ROW($6:$1005)-5),701))="",INDEX(checklistPesertaKemenkeu!$J$6:$J$1005,SMALL(IF(checklistPesertaKemenkeu!$AY$6:$AY$1005="Direkomendasikan",ROW($6:$1005)-5),701))=""),"",IF(AND(COUNTIF(INDIRECT("K_"&amp;MATCH(INDEX(checklistPesertaKemenkeu!$J$6:$J$1005,SMALL(IF(checklistPesertaKemenkeu!$AY$6:$AY$1005="Direkomendasikan",ROW($6:$1005)-5),701)),BidangList,0)),INDEX(checklistPesertaKemenkeu!$N$6:$N$1005,SMALL(IF(checklistPesertaKemenkeu!$AY$6:$AY$1005="Direkomendasikan",ROW($6:$1005)-5),701)))&gt;0,COUNTIF(INDIRECT("'KERTAS KERJA'!K"&amp;(SMALL(IF(checklistPesertaKemenkeu!$AY$6:$AY$1005="Direkomendasikan",ROW($6:$1005)-5),701)+5)&amp;":O"&amp;(SMALL(IF(checklistPesertaKemenkeu!$AY$6:$AY$1005="Direkomendasikan",ROW($6:$1005)-5),701)+5)),INDEX(checklistPesertaKemenkeu!$N$6:$N$1005,SMALL(IF(checklistPesertaKemenkeu!$AY$6:$AY$1005="Direkomendasikan",ROW($6:$1005)-5),701)))=1),IFERROR(VLOOKUP(INDEX(checklistPesertaKemenkeu!$N$6:$N$1005,SMALL(IF(checklistPesertaKemenkeu!$AY$6:$AY$1005="Direkomendasikan",ROW($6:$1005)-5),701)),KotaKode,2,0),"-"),"")),"")</f>
        <v/>
      </c>
      <c r="K702" t="str">
        <f t="array" aca="1" ref="K702" ca="1">IFERROR(IF(OR(INDEX(checklistPesertaKemenkeu!$O$6:$O$1005,SMALL(IF(checklistPesertaKemenkeu!$AY$6:$AY$1005="Direkomendasikan",ROW($6:$1005)-5),701))="",INDEX(checklistPesertaKemenkeu!$J$6:$J$1005,SMALL(IF(checklistPesertaKemenkeu!$AY$6:$AY$1005="Direkomendasikan",ROW($6:$1005)-5),701))=""),"",IF(AND(COUNTIF(INDIRECT("K_"&amp;MATCH(INDEX(checklistPesertaKemenkeu!$J$6:$J$1005,SMALL(IF(checklistPesertaKemenkeu!$AY$6:$AY$1005="Direkomendasikan",ROW($6:$1005)-5),701)),BidangList,0)),INDEX(checklistPesertaKemenkeu!$O$6:$O$1005,SMALL(IF(checklistPesertaKemenkeu!$AY$6:$AY$1005="Direkomendasikan",ROW($6:$1005)-5),701)))&gt;0,COUNTIF(INDIRECT("'KERTAS KERJA'!K"&amp;(SMALL(IF(checklistPesertaKemenkeu!$AY$6:$AY$1005="Direkomendasikan",ROW($6:$1005)-5),701)+5)&amp;":O"&amp;(SMALL(IF(checklistPesertaKemenkeu!$AY$6:$AY$1005="Direkomendasikan",ROW($6:$1005)-5),701)+5)),INDEX(checklistPesertaKemenkeu!$O$6:$O$1005,SMALL(IF(checklistPesertaKemenkeu!$AY$6:$AY$1005="Direkomendasikan",ROW($6:$1005)-5),701)))=1),IFERROR(VLOOKUP(INDEX(checklistPesertaKemenkeu!$O$6:$O$1005,SMALL(IF(checklistPesertaKemenkeu!$AY$6:$AY$1005="Direkomendasikan",ROW($6:$1005)-5),701)),KotaKode,2,0),"-"),"")),"")</f>
        <v/>
      </c>
      <c r="L702" t="str">
        <f t="array" aca="1" ref="L702" ca="1">IFERROR(IF(OR(INDEX(checklistPesertaKemenkeu!$P$6:$P$1005,SMALL(IF(checklistPesertaKemenkeu!$AY$6:$AY$1005="Direkomendasikan",ROW($6:$1005)-5),701))="",INDEX(checklistPesertaKemenkeu!$J$6:$J$1005,SMALL(IF(checklistPesertaKemenkeu!$AY$6:$AY$1005="Direkomendasikan",ROW($6:$1005)-5),701))=""),"",IF(AND(COUNTIF(INDIRECT("K_"&amp;MATCH(INDEX(checklistPesertaKemenkeu!$J$6:$J$1005,SMALL(IF(checklistPesertaKemenkeu!$AY$6:$AY$1005="Direkomendasikan",ROW($6:$1005)-5),701)),BidangList,0)),INDEX(checklistPesertaKemenkeu!$P$6:$P$1005,SMALL(IF(checklistPesertaKemenkeu!$AY$6:$AY$1005="Direkomendasikan",ROW($6:$1005)-5),701)))&gt;0,COUNTIF(INDIRECT("'KERTAS KERJA'!K"&amp;(SMALL(IF(checklistPesertaKemenkeu!$AY$6:$AY$1005="Direkomendasikan",ROW($6:$1005)-5),701)+5)&amp;":O"&amp;(SMALL(IF(checklistPesertaKemenkeu!$AY$6:$AY$1005="Direkomendasikan",ROW($6:$1005)-5),701)+5)),INDEX(checklistPesertaKemenkeu!$P$6:$P$1005,SMALL(IF(checklistPesertaKemenkeu!$AY$6:$AY$1005="Direkomendasikan",ROW($6:$1005)-5),701)))=1),IFERROR(VLOOKUP(INDEX(checklistPesertaKemenkeu!$P$6:$P$1005,SMALL(IF(checklistPesertaKemenkeu!$AY$6:$AY$1005="Direkomendasikan",ROW($6:$1005)-5),701)),KotaKode,2,0),"-"),"")),"")</f>
        <v/>
      </c>
    </row>
    <row r="703" spans="1:12" ht="15" customHeight="1" x14ac:dyDescent="0.2">
      <c r="A703" t="str">
        <f t="shared" si="10"/>
        <v/>
      </c>
      <c r="B703" t="str">
        <v/>
      </c>
      <c r="C703" s="40" t="str">
        <f t="array" ref="C703">IFERROR(INDEX(checklistPesertaKemenkeu!$F$6:$F$1005,SMALL(IF(checklistPesertaKemenkeu!$AY$6:$AY$1005="Direkomendasikan",ROW($6:$1005)-5),702)),"")</f>
        <v/>
      </c>
      <c r="D703" t="str">
        <f t="array" ref="D703">IFERROR(INDEX(checklistPesertaKemenkeu!$G$6:$G$1005,SMALL(IF(checklistPesertaKemenkeu!$AY$6:$AY$1005="Direkomendasikan",ROW($6:$1005)-5),702)),"")</f>
        <v/>
      </c>
      <c r="E703" t="str">
        <f t="array" ref="E703">IFERROR(INDEX(checklistPesertaKemenkeu!$H$6:$H$1005,SMALL(IF(checklistPesertaKemenkeu!$AY$6:$AY$1005="Direkomendasikan",ROW($6:$1005)-5),702)),"")</f>
        <v/>
      </c>
      <c r="F703" t="str">
        <f t="array" ref="F703">IFERROR(INDEX(checklistPesertaKemenkeu!$I$6:$I$1005,SMALL(IF(checklistPesertaKemenkeu!$AY$6:$AY$1005="Direkomendasikan",ROW($6:$1005)-5),702)),"")</f>
        <v/>
      </c>
      <c r="G703" t="str">
        <f t="array" ref="G703">IFERROR(INDEX(checklistPesertaKemenkeu!$J$6:$J$1005,SMALL(IF(checklistPesertaKemenkeu!$AY$6:$AY$1005="Direkomendasikan",ROW($6:$1005)-5),702)),"")</f>
        <v/>
      </c>
      <c r="H703" t="str">
        <f t="array" aca="1" ref="H703" ca="1">IFERROR(IF(OR(INDEX(checklistPesertaKemenkeu!$L$6:$L$1005,SMALL(IF(checklistPesertaKemenkeu!$AY$6:$AY$1005="Direkomendasikan",ROW($6:$1005)-5),702))="",INDEX(checklistPesertaKemenkeu!$J$6:$J$1005,SMALL(IF(checklistPesertaKemenkeu!$AY$6:$AY$1005="Direkomendasikan",ROW($6:$1005)-5),702))=""),"",IF(AND(COUNTIF(INDIRECT("K_"&amp;MATCH(INDEX(checklistPesertaKemenkeu!$J$6:$J$1005,SMALL(IF(checklistPesertaKemenkeu!$AY$6:$AY$1005="Direkomendasikan",ROW($6:$1005)-5),702)),BidangList,0)),INDEX(checklistPesertaKemenkeu!$L$6:$L$1005,SMALL(IF(checklistPesertaKemenkeu!$AY$6:$AY$1005="Direkomendasikan",ROW($6:$1005)-5),702)))&gt;0,COUNTIF(INDIRECT("'KERTAS KERJA'!K"&amp;(SMALL(IF(checklistPesertaKemenkeu!$AY$6:$AY$1005="Direkomendasikan",ROW($6:$1005)-5),702)+5)&amp;":O"&amp;(SMALL(IF(checklistPesertaKemenkeu!$AY$6:$AY$1005="Direkomendasikan",ROW($6:$1005)-5),702)+5)),INDEX(checklistPesertaKemenkeu!$L$6:$L$1005,SMALL(IF(checklistPesertaKemenkeu!$AY$6:$AY$1005="Direkomendasikan",ROW($6:$1005)-5),702)))=1),IFERROR(VLOOKUP(INDEX(checklistPesertaKemenkeu!$L$6:$L$1005,SMALL(IF(checklistPesertaKemenkeu!$AY$6:$AY$1005="Direkomendasikan",ROW($6:$1005)-5),702)),KotaKode,2,0),"-"),"")),"")</f>
        <v/>
      </c>
      <c r="I703" t="str">
        <f t="array" aca="1" ref="I703" ca="1">IFERROR(IF(OR(INDEX(checklistPesertaKemenkeu!$M$6:$M$1005,SMALL(IF(checklistPesertaKemenkeu!$AY$6:$AY$1005="Direkomendasikan",ROW($6:$1005)-5),702))="",INDEX(checklistPesertaKemenkeu!$J$6:$J$1005,SMALL(IF(checklistPesertaKemenkeu!$AY$6:$AY$1005="Direkomendasikan",ROW($6:$1005)-5),702))=""),"",IF(AND(COUNTIF(INDIRECT("K_"&amp;MATCH(INDEX(checklistPesertaKemenkeu!$J$6:$J$1005,SMALL(IF(checklistPesertaKemenkeu!$AY$6:$AY$1005="Direkomendasikan",ROW($6:$1005)-5),702)),BidangList,0)),INDEX(checklistPesertaKemenkeu!$M$6:$M$1005,SMALL(IF(checklistPesertaKemenkeu!$AY$6:$AY$1005="Direkomendasikan",ROW($6:$1005)-5),702)))&gt;0,COUNTIF(INDIRECT("'KERTAS KERJA'!K"&amp;(SMALL(IF(checklistPesertaKemenkeu!$AY$6:$AY$1005="Direkomendasikan",ROW($6:$1005)-5),702)+5)&amp;":O"&amp;(SMALL(IF(checklistPesertaKemenkeu!$AY$6:$AY$1005="Direkomendasikan",ROW($6:$1005)-5),702)+5)),INDEX(checklistPesertaKemenkeu!$M$6:$M$1005,SMALL(IF(checklistPesertaKemenkeu!$AY$6:$AY$1005="Direkomendasikan",ROW($6:$1005)-5),702)))=1),IFERROR(VLOOKUP(INDEX(checklistPesertaKemenkeu!$M$6:$M$1005,SMALL(IF(checklistPesertaKemenkeu!$AY$6:$AY$1005="Direkomendasikan",ROW($6:$1005)-5),702)),KotaKode,2,0),"-"),"")),"")</f>
        <v/>
      </c>
      <c r="J703" t="str">
        <f t="array" aca="1" ref="J703" ca="1">IFERROR(IF(OR(INDEX(checklistPesertaKemenkeu!$N$6:$N$1005,SMALL(IF(checklistPesertaKemenkeu!$AY$6:$AY$1005="Direkomendasikan",ROW($6:$1005)-5),702))="",INDEX(checklistPesertaKemenkeu!$J$6:$J$1005,SMALL(IF(checklistPesertaKemenkeu!$AY$6:$AY$1005="Direkomendasikan",ROW($6:$1005)-5),702))=""),"",IF(AND(COUNTIF(INDIRECT("K_"&amp;MATCH(INDEX(checklistPesertaKemenkeu!$J$6:$J$1005,SMALL(IF(checklistPesertaKemenkeu!$AY$6:$AY$1005="Direkomendasikan",ROW($6:$1005)-5),702)),BidangList,0)),INDEX(checklistPesertaKemenkeu!$N$6:$N$1005,SMALL(IF(checklistPesertaKemenkeu!$AY$6:$AY$1005="Direkomendasikan",ROW($6:$1005)-5),702)))&gt;0,COUNTIF(INDIRECT("'KERTAS KERJA'!K"&amp;(SMALL(IF(checklistPesertaKemenkeu!$AY$6:$AY$1005="Direkomendasikan",ROW($6:$1005)-5),702)+5)&amp;":O"&amp;(SMALL(IF(checklistPesertaKemenkeu!$AY$6:$AY$1005="Direkomendasikan",ROW($6:$1005)-5),702)+5)),INDEX(checklistPesertaKemenkeu!$N$6:$N$1005,SMALL(IF(checklistPesertaKemenkeu!$AY$6:$AY$1005="Direkomendasikan",ROW($6:$1005)-5),702)))=1),IFERROR(VLOOKUP(INDEX(checklistPesertaKemenkeu!$N$6:$N$1005,SMALL(IF(checklistPesertaKemenkeu!$AY$6:$AY$1005="Direkomendasikan",ROW($6:$1005)-5),702)),KotaKode,2,0),"-"),"")),"")</f>
        <v/>
      </c>
      <c r="K703" t="str">
        <f t="array" aca="1" ref="K703" ca="1">IFERROR(IF(OR(INDEX(checklistPesertaKemenkeu!$O$6:$O$1005,SMALL(IF(checklistPesertaKemenkeu!$AY$6:$AY$1005="Direkomendasikan",ROW($6:$1005)-5),702))="",INDEX(checklistPesertaKemenkeu!$J$6:$J$1005,SMALL(IF(checklistPesertaKemenkeu!$AY$6:$AY$1005="Direkomendasikan",ROW($6:$1005)-5),702))=""),"",IF(AND(COUNTIF(INDIRECT("K_"&amp;MATCH(INDEX(checklistPesertaKemenkeu!$J$6:$J$1005,SMALL(IF(checklistPesertaKemenkeu!$AY$6:$AY$1005="Direkomendasikan",ROW($6:$1005)-5),702)),BidangList,0)),INDEX(checklistPesertaKemenkeu!$O$6:$O$1005,SMALL(IF(checklistPesertaKemenkeu!$AY$6:$AY$1005="Direkomendasikan",ROW($6:$1005)-5),702)))&gt;0,COUNTIF(INDIRECT("'KERTAS KERJA'!K"&amp;(SMALL(IF(checklistPesertaKemenkeu!$AY$6:$AY$1005="Direkomendasikan",ROW($6:$1005)-5),702)+5)&amp;":O"&amp;(SMALL(IF(checklistPesertaKemenkeu!$AY$6:$AY$1005="Direkomendasikan",ROW($6:$1005)-5),702)+5)),INDEX(checklistPesertaKemenkeu!$O$6:$O$1005,SMALL(IF(checklistPesertaKemenkeu!$AY$6:$AY$1005="Direkomendasikan",ROW($6:$1005)-5),702)))=1),IFERROR(VLOOKUP(INDEX(checklistPesertaKemenkeu!$O$6:$O$1005,SMALL(IF(checklistPesertaKemenkeu!$AY$6:$AY$1005="Direkomendasikan",ROW($6:$1005)-5),702)),KotaKode,2,0),"-"),"")),"")</f>
        <v/>
      </c>
      <c r="L703" t="str">
        <f t="array" aca="1" ref="L703" ca="1">IFERROR(IF(OR(INDEX(checklistPesertaKemenkeu!$P$6:$P$1005,SMALL(IF(checklistPesertaKemenkeu!$AY$6:$AY$1005="Direkomendasikan",ROW($6:$1005)-5),702))="",INDEX(checklistPesertaKemenkeu!$J$6:$J$1005,SMALL(IF(checklistPesertaKemenkeu!$AY$6:$AY$1005="Direkomendasikan",ROW($6:$1005)-5),702))=""),"",IF(AND(COUNTIF(INDIRECT("K_"&amp;MATCH(INDEX(checklistPesertaKemenkeu!$J$6:$J$1005,SMALL(IF(checklistPesertaKemenkeu!$AY$6:$AY$1005="Direkomendasikan",ROW($6:$1005)-5),702)),BidangList,0)),INDEX(checklistPesertaKemenkeu!$P$6:$P$1005,SMALL(IF(checklistPesertaKemenkeu!$AY$6:$AY$1005="Direkomendasikan",ROW($6:$1005)-5),702)))&gt;0,COUNTIF(INDIRECT("'KERTAS KERJA'!K"&amp;(SMALL(IF(checklistPesertaKemenkeu!$AY$6:$AY$1005="Direkomendasikan",ROW($6:$1005)-5),702)+5)&amp;":O"&amp;(SMALL(IF(checklistPesertaKemenkeu!$AY$6:$AY$1005="Direkomendasikan",ROW($6:$1005)-5),702)+5)),INDEX(checklistPesertaKemenkeu!$P$6:$P$1005,SMALL(IF(checklistPesertaKemenkeu!$AY$6:$AY$1005="Direkomendasikan",ROW($6:$1005)-5),702)))=1),IFERROR(VLOOKUP(INDEX(checklistPesertaKemenkeu!$P$6:$P$1005,SMALL(IF(checklistPesertaKemenkeu!$AY$6:$AY$1005="Direkomendasikan",ROW($6:$1005)-5),702)),KotaKode,2,0),"-"),"")),"")</f>
        <v/>
      </c>
    </row>
    <row r="704" spans="1:12" ht="15" customHeight="1" x14ac:dyDescent="0.2">
      <c r="A704" t="str">
        <f t="shared" si="10"/>
        <v/>
      </c>
      <c r="B704" t="str">
        <v/>
      </c>
      <c r="C704" s="40" t="str">
        <f t="array" ref="C704">IFERROR(INDEX(checklistPesertaKemenkeu!$F$6:$F$1005,SMALL(IF(checklistPesertaKemenkeu!$AY$6:$AY$1005="Direkomendasikan",ROW($6:$1005)-5),703)),"")</f>
        <v/>
      </c>
      <c r="D704" t="str">
        <f t="array" ref="D704">IFERROR(INDEX(checklistPesertaKemenkeu!$G$6:$G$1005,SMALL(IF(checklistPesertaKemenkeu!$AY$6:$AY$1005="Direkomendasikan",ROW($6:$1005)-5),703)),"")</f>
        <v/>
      </c>
      <c r="E704" t="str">
        <f t="array" ref="E704">IFERROR(INDEX(checklistPesertaKemenkeu!$H$6:$H$1005,SMALL(IF(checklistPesertaKemenkeu!$AY$6:$AY$1005="Direkomendasikan",ROW($6:$1005)-5),703)),"")</f>
        <v/>
      </c>
      <c r="F704" t="str">
        <f t="array" ref="F704">IFERROR(INDEX(checklistPesertaKemenkeu!$I$6:$I$1005,SMALL(IF(checklistPesertaKemenkeu!$AY$6:$AY$1005="Direkomendasikan",ROW($6:$1005)-5),703)),"")</f>
        <v/>
      </c>
      <c r="G704" t="str">
        <f t="array" ref="G704">IFERROR(INDEX(checklistPesertaKemenkeu!$J$6:$J$1005,SMALL(IF(checklistPesertaKemenkeu!$AY$6:$AY$1005="Direkomendasikan",ROW($6:$1005)-5),703)),"")</f>
        <v/>
      </c>
      <c r="H704" t="str">
        <f t="array" aca="1" ref="H704" ca="1">IFERROR(IF(OR(INDEX(checklistPesertaKemenkeu!$L$6:$L$1005,SMALL(IF(checklistPesertaKemenkeu!$AY$6:$AY$1005="Direkomendasikan",ROW($6:$1005)-5),703))="",INDEX(checklistPesertaKemenkeu!$J$6:$J$1005,SMALL(IF(checklistPesertaKemenkeu!$AY$6:$AY$1005="Direkomendasikan",ROW($6:$1005)-5),703))=""),"",IF(AND(COUNTIF(INDIRECT("K_"&amp;MATCH(INDEX(checklistPesertaKemenkeu!$J$6:$J$1005,SMALL(IF(checklistPesertaKemenkeu!$AY$6:$AY$1005="Direkomendasikan",ROW($6:$1005)-5),703)),BidangList,0)),INDEX(checklistPesertaKemenkeu!$L$6:$L$1005,SMALL(IF(checklistPesertaKemenkeu!$AY$6:$AY$1005="Direkomendasikan",ROW($6:$1005)-5),703)))&gt;0,COUNTIF(INDIRECT("'KERTAS KERJA'!K"&amp;(SMALL(IF(checklistPesertaKemenkeu!$AY$6:$AY$1005="Direkomendasikan",ROW($6:$1005)-5),703)+5)&amp;":O"&amp;(SMALL(IF(checklistPesertaKemenkeu!$AY$6:$AY$1005="Direkomendasikan",ROW($6:$1005)-5),703)+5)),INDEX(checklistPesertaKemenkeu!$L$6:$L$1005,SMALL(IF(checklistPesertaKemenkeu!$AY$6:$AY$1005="Direkomendasikan",ROW($6:$1005)-5),703)))=1),IFERROR(VLOOKUP(INDEX(checklistPesertaKemenkeu!$L$6:$L$1005,SMALL(IF(checklistPesertaKemenkeu!$AY$6:$AY$1005="Direkomendasikan",ROW($6:$1005)-5),703)),KotaKode,2,0),"-"),"")),"")</f>
        <v/>
      </c>
      <c r="I704" t="str">
        <f t="array" aca="1" ref="I704" ca="1">IFERROR(IF(OR(INDEX(checklistPesertaKemenkeu!$M$6:$M$1005,SMALL(IF(checklistPesertaKemenkeu!$AY$6:$AY$1005="Direkomendasikan",ROW($6:$1005)-5),703))="",INDEX(checklistPesertaKemenkeu!$J$6:$J$1005,SMALL(IF(checklistPesertaKemenkeu!$AY$6:$AY$1005="Direkomendasikan",ROW($6:$1005)-5),703))=""),"",IF(AND(COUNTIF(INDIRECT("K_"&amp;MATCH(INDEX(checklistPesertaKemenkeu!$J$6:$J$1005,SMALL(IF(checklistPesertaKemenkeu!$AY$6:$AY$1005="Direkomendasikan",ROW($6:$1005)-5),703)),BidangList,0)),INDEX(checklistPesertaKemenkeu!$M$6:$M$1005,SMALL(IF(checklistPesertaKemenkeu!$AY$6:$AY$1005="Direkomendasikan",ROW($6:$1005)-5),703)))&gt;0,COUNTIF(INDIRECT("'KERTAS KERJA'!K"&amp;(SMALL(IF(checklistPesertaKemenkeu!$AY$6:$AY$1005="Direkomendasikan",ROW($6:$1005)-5),703)+5)&amp;":O"&amp;(SMALL(IF(checklistPesertaKemenkeu!$AY$6:$AY$1005="Direkomendasikan",ROW($6:$1005)-5),703)+5)),INDEX(checklistPesertaKemenkeu!$M$6:$M$1005,SMALL(IF(checklistPesertaKemenkeu!$AY$6:$AY$1005="Direkomendasikan",ROW($6:$1005)-5),703)))=1),IFERROR(VLOOKUP(INDEX(checklistPesertaKemenkeu!$M$6:$M$1005,SMALL(IF(checklistPesertaKemenkeu!$AY$6:$AY$1005="Direkomendasikan",ROW($6:$1005)-5),703)),KotaKode,2,0),"-"),"")),"")</f>
        <v/>
      </c>
      <c r="J704" t="str">
        <f t="array" aca="1" ref="J704" ca="1">IFERROR(IF(OR(INDEX(checklistPesertaKemenkeu!$N$6:$N$1005,SMALL(IF(checklistPesertaKemenkeu!$AY$6:$AY$1005="Direkomendasikan",ROW($6:$1005)-5),703))="",INDEX(checklistPesertaKemenkeu!$J$6:$J$1005,SMALL(IF(checklistPesertaKemenkeu!$AY$6:$AY$1005="Direkomendasikan",ROW($6:$1005)-5),703))=""),"",IF(AND(COUNTIF(INDIRECT("K_"&amp;MATCH(INDEX(checklistPesertaKemenkeu!$J$6:$J$1005,SMALL(IF(checklistPesertaKemenkeu!$AY$6:$AY$1005="Direkomendasikan",ROW($6:$1005)-5),703)),BidangList,0)),INDEX(checklistPesertaKemenkeu!$N$6:$N$1005,SMALL(IF(checklistPesertaKemenkeu!$AY$6:$AY$1005="Direkomendasikan",ROW($6:$1005)-5),703)))&gt;0,COUNTIF(INDIRECT("'KERTAS KERJA'!K"&amp;(SMALL(IF(checklistPesertaKemenkeu!$AY$6:$AY$1005="Direkomendasikan",ROW($6:$1005)-5),703)+5)&amp;":O"&amp;(SMALL(IF(checklistPesertaKemenkeu!$AY$6:$AY$1005="Direkomendasikan",ROW($6:$1005)-5),703)+5)),INDEX(checklistPesertaKemenkeu!$N$6:$N$1005,SMALL(IF(checklistPesertaKemenkeu!$AY$6:$AY$1005="Direkomendasikan",ROW($6:$1005)-5),703)))=1),IFERROR(VLOOKUP(INDEX(checklistPesertaKemenkeu!$N$6:$N$1005,SMALL(IF(checklistPesertaKemenkeu!$AY$6:$AY$1005="Direkomendasikan",ROW($6:$1005)-5),703)),KotaKode,2,0),"-"),"")),"")</f>
        <v/>
      </c>
      <c r="K704" t="str">
        <f t="array" aca="1" ref="K704" ca="1">IFERROR(IF(OR(INDEX(checklistPesertaKemenkeu!$O$6:$O$1005,SMALL(IF(checklistPesertaKemenkeu!$AY$6:$AY$1005="Direkomendasikan",ROW($6:$1005)-5),703))="",INDEX(checklistPesertaKemenkeu!$J$6:$J$1005,SMALL(IF(checklistPesertaKemenkeu!$AY$6:$AY$1005="Direkomendasikan",ROW($6:$1005)-5),703))=""),"",IF(AND(COUNTIF(INDIRECT("K_"&amp;MATCH(INDEX(checklistPesertaKemenkeu!$J$6:$J$1005,SMALL(IF(checklistPesertaKemenkeu!$AY$6:$AY$1005="Direkomendasikan",ROW($6:$1005)-5),703)),BidangList,0)),INDEX(checklistPesertaKemenkeu!$O$6:$O$1005,SMALL(IF(checklistPesertaKemenkeu!$AY$6:$AY$1005="Direkomendasikan",ROW($6:$1005)-5),703)))&gt;0,COUNTIF(INDIRECT("'KERTAS KERJA'!K"&amp;(SMALL(IF(checklistPesertaKemenkeu!$AY$6:$AY$1005="Direkomendasikan",ROW($6:$1005)-5),703)+5)&amp;":O"&amp;(SMALL(IF(checklistPesertaKemenkeu!$AY$6:$AY$1005="Direkomendasikan",ROW($6:$1005)-5),703)+5)),INDEX(checklistPesertaKemenkeu!$O$6:$O$1005,SMALL(IF(checklistPesertaKemenkeu!$AY$6:$AY$1005="Direkomendasikan",ROW($6:$1005)-5),703)))=1),IFERROR(VLOOKUP(INDEX(checklistPesertaKemenkeu!$O$6:$O$1005,SMALL(IF(checklistPesertaKemenkeu!$AY$6:$AY$1005="Direkomendasikan",ROW($6:$1005)-5),703)),KotaKode,2,0),"-"),"")),"")</f>
        <v/>
      </c>
      <c r="L704" t="str">
        <f t="array" aca="1" ref="L704" ca="1">IFERROR(IF(OR(INDEX(checklistPesertaKemenkeu!$P$6:$P$1005,SMALL(IF(checklistPesertaKemenkeu!$AY$6:$AY$1005="Direkomendasikan",ROW($6:$1005)-5),703))="",INDEX(checklistPesertaKemenkeu!$J$6:$J$1005,SMALL(IF(checklistPesertaKemenkeu!$AY$6:$AY$1005="Direkomendasikan",ROW($6:$1005)-5),703))=""),"",IF(AND(COUNTIF(INDIRECT("K_"&amp;MATCH(INDEX(checklistPesertaKemenkeu!$J$6:$J$1005,SMALL(IF(checklistPesertaKemenkeu!$AY$6:$AY$1005="Direkomendasikan",ROW($6:$1005)-5),703)),BidangList,0)),INDEX(checklistPesertaKemenkeu!$P$6:$P$1005,SMALL(IF(checklistPesertaKemenkeu!$AY$6:$AY$1005="Direkomendasikan",ROW($6:$1005)-5),703)))&gt;0,COUNTIF(INDIRECT("'KERTAS KERJA'!K"&amp;(SMALL(IF(checklistPesertaKemenkeu!$AY$6:$AY$1005="Direkomendasikan",ROW($6:$1005)-5),703)+5)&amp;":O"&amp;(SMALL(IF(checklistPesertaKemenkeu!$AY$6:$AY$1005="Direkomendasikan",ROW($6:$1005)-5),703)+5)),INDEX(checklistPesertaKemenkeu!$P$6:$P$1005,SMALL(IF(checklistPesertaKemenkeu!$AY$6:$AY$1005="Direkomendasikan",ROW($6:$1005)-5),703)))=1),IFERROR(VLOOKUP(INDEX(checklistPesertaKemenkeu!$P$6:$P$1005,SMALL(IF(checklistPesertaKemenkeu!$AY$6:$AY$1005="Direkomendasikan",ROW($6:$1005)-5),703)),KotaKode,2,0),"-"),"")),"")</f>
        <v/>
      </c>
    </row>
    <row r="705" spans="1:12" ht="15" customHeight="1" x14ac:dyDescent="0.2">
      <c r="A705" t="str">
        <f t="shared" si="10"/>
        <v/>
      </c>
      <c r="B705" t="str">
        <v/>
      </c>
      <c r="C705" s="40" t="str">
        <f t="array" ref="C705">IFERROR(INDEX(checklistPesertaKemenkeu!$F$6:$F$1005,SMALL(IF(checklistPesertaKemenkeu!$AY$6:$AY$1005="Direkomendasikan",ROW($6:$1005)-5),704)),"")</f>
        <v/>
      </c>
      <c r="D705" t="str">
        <f t="array" ref="D705">IFERROR(INDEX(checklistPesertaKemenkeu!$G$6:$G$1005,SMALL(IF(checklistPesertaKemenkeu!$AY$6:$AY$1005="Direkomendasikan",ROW($6:$1005)-5),704)),"")</f>
        <v/>
      </c>
      <c r="E705" t="str">
        <f t="array" ref="E705">IFERROR(INDEX(checklistPesertaKemenkeu!$H$6:$H$1005,SMALL(IF(checklistPesertaKemenkeu!$AY$6:$AY$1005="Direkomendasikan",ROW($6:$1005)-5),704)),"")</f>
        <v/>
      </c>
      <c r="F705" t="str">
        <f t="array" ref="F705">IFERROR(INDEX(checklistPesertaKemenkeu!$I$6:$I$1005,SMALL(IF(checklistPesertaKemenkeu!$AY$6:$AY$1005="Direkomendasikan",ROW($6:$1005)-5),704)),"")</f>
        <v/>
      </c>
      <c r="G705" t="str">
        <f t="array" ref="G705">IFERROR(INDEX(checklistPesertaKemenkeu!$J$6:$J$1005,SMALL(IF(checklistPesertaKemenkeu!$AY$6:$AY$1005="Direkomendasikan",ROW($6:$1005)-5),704)),"")</f>
        <v/>
      </c>
      <c r="H705" t="str">
        <f t="array" aca="1" ref="H705" ca="1">IFERROR(IF(OR(INDEX(checklistPesertaKemenkeu!$L$6:$L$1005,SMALL(IF(checklistPesertaKemenkeu!$AY$6:$AY$1005="Direkomendasikan",ROW($6:$1005)-5),704))="",INDEX(checklistPesertaKemenkeu!$J$6:$J$1005,SMALL(IF(checklistPesertaKemenkeu!$AY$6:$AY$1005="Direkomendasikan",ROW($6:$1005)-5),704))=""),"",IF(AND(COUNTIF(INDIRECT("K_"&amp;MATCH(INDEX(checklistPesertaKemenkeu!$J$6:$J$1005,SMALL(IF(checklistPesertaKemenkeu!$AY$6:$AY$1005="Direkomendasikan",ROW($6:$1005)-5),704)),BidangList,0)),INDEX(checklistPesertaKemenkeu!$L$6:$L$1005,SMALL(IF(checklistPesertaKemenkeu!$AY$6:$AY$1005="Direkomendasikan",ROW($6:$1005)-5),704)))&gt;0,COUNTIF(INDIRECT("'KERTAS KERJA'!K"&amp;(SMALL(IF(checklistPesertaKemenkeu!$AY$6:$AY$1005="Direkomendasikan",ROW($6:$1005)-5),704)+5)&amp;":O"&amp;(SMALL(IF(checklistPesertaKemenkeu!$AY$6:$AY$1005="Direkomendasikan",ROW($6:$1005)-5),704)+5)),INDEX(checklistPesertaKemenkeu!$L$6:$L$1005,SMALL(IF(checklistPesertaKemenkeu!$AY$6:$AY$1005="Direkomendasikan",ROW($6:$1005)-5),704)))=1),IFERROR(VLOOKUP(INDEX(checklistPesertaKemenkeu!$L$6:$L$1005,SMALL(IF(checklistPesertaKemenkeu!$AY$6:$AY$1005="Direkomendasikan",ROW($6:$1005)-5),704)),KotaKode,2,0),"-"),"")),"")</f>
        <v/>
      </c>
      <c r="I705" t="str">
        <f t="array" aca="1" ref="I705" ca="1">IFERROR(IF(OR(INDEX(checklistPesertaKemenkeu!$M$6:$M$1005,SMALL(IF(checklistPesertaKemenkeu!$AY$6:$AY$1005="Direkomendasikan",ROW($6:$1005)-5),704))="",INDEX(checklistPesertaKemenkeu!$J$6:$J$1005,SMALL(IF(checklistPesertaKemenkeu!$AY$6:$AY$1005="Direkomendasikan",ROW($6:$1005)-5),704))=""),"",IF(AND(COUNTIF(INDIRECT("K_"&amp;MATCH(INDEX(checklistPesertaKemenkeu!$J$6:$J$1005,SMALL(IF(checklistPesertaKemenkeu!$AY$6:$AY$1005="Direkomendasikan",ROW($6:$1005)-5),704)),BidangList,0)),INDEX(checklistPesertaKemenkeu!$M$6:$M$1005,SMALL(IF(checklistPesertaKemenkeu!$AY$6:$AY$1005="Direkomendasikan",ROW($6:$1005)-5),704)))&gt;0,COUNTIF(INDIRECT("'KERTAS KERJA'!K"&amp;(SMALL(IF(checklistPesertaKemenkeu!$AY$6:$AY$1005="Direkomendasikan",ROW($6:$1005)-5),704)+5)&amp;":O"&amp;(SMALL(IF(checklistPesertaKemenkeu!$AY$6:$AY$1005="Direkomendasikan",ROW($6:$1005)-5),704)+5)),INDEX(checklistPesertaKemenkeu!$M$6:$M$1005,SMALL(IF(checklistPesertaKemenkeu!$AY$6:$AY$1005="Direkomendasikan",ROW($6:$1005)-5),704)))=1),IFERROR(VLOOKUP(INDEX(checklistPesertaKemenkeu!$M$6:$M$1005,SMALL(IF(checklistPesertaKemenkeu!$AY$6:$AY$1005="Direkomendasikan",ROW($6:$1005)-5),704)),KotaKode,2,0),"-"),"")),"")</f>
        <v/>
      </c>
      <c r="J705" t="str">
        <f t="array" aca="1" ref="J705" ca="1">IFERROR(IF(OR(INDEX(checklistPesertaKemenkeu!$N$6:$N$1005,SMALL(IF(checklistPesertaKemenkeu!$AY$6:$AY$1005="Direkomendasikan",ROW($6:$1005)-5),704))="",INDEX(checklistPesertaKemenkeu!$J$6:$J$1005,SMALL(IF(checklistPesertaKemenkeu!$AY$6:$AY$1005="Direkomendasikan",ROW($6:$1005)-5),704))=""),"",IF(AND(COUNTIF(INDIRECT("K_"&amp;MATCH(INDEX(checklistPesertaKemenkeu!$J$6:$J$1005,SMALL(IF(checklistPesertaKemenkeu!$AY$6:$AY$1005="Direkomendasikan",ROW($6:$1005)-5),704)),BidangList,0)),INDEX(checklistPesertaKemenkeu!$N$6:$N$1005,SMALL(IF(checklistPesertaKemenkeu!$AY$6:$AY$1005="Direkomendasikan",ROW($6:$1005)-5),704)))&gt;0,COUNTIF(INDIRECT("'KERTAS KERJA'!K"&amp;(SMALL(IF(checklistPesertaKemenkeu!$AY$6:$AY$1005="Direkomendasikan",ROW($6:$1005)-5),704)+5)&amp;":O"&amp;(SMALL(IF(checklistPesertaKemenkeu!$AY$6:$AY$1005="Direkomendasikan",ROW($6:$1005)-5),704)+5)),INDEX(checklistPesertaKemenkeu!$N$6:$N$1005,SMALL(IF(checklistPesertaKemenkeu!$AY$6:$AY$1005="Direkomendasikan",ROW($6:$1005)-5),704)))=1),IFERROR(VLOOKUP(INDEX(checklistPesertaKemenkeu!$N$6:$N$1005,SMALL(IF(checklistPesertaKemenkeu!$AY$6:$AY$1005="Direkomendasikan",ROW($6:$1005)-5),704)),KotaKode,2,0),"-"),"")),"")</f>
        <v/>
      </c>
      <c r="K705" t="str">
        <f t="array" aca="1" ref="K705" ca="1">IFERROR(IF(OR(INDEX(checklistPesertaKemenkeu!$O$6:$O$1005,SMALL(IF(checklistPesertaKemenkeu!$AY$6:$AY$1005="Direkomendasikan",ROW($6:$1005)-5),704))="",INDEX(checklistPesertaKemenkeu!$J$6:$J$1005,SMALL(IF(checklistPesertaKemenkeu!$AY$6:$AY$1005="Direkomendasikan",ROW($6:$1005)-5),704))=""),"",IF(AND(COUNTIF(INDIRECT("K_"&amp;MATCH(INDEX(checklistPesertaKemenkeu!$J$6:$J$1005,SMALL(IF(checklistPesertaKemenkeu!$AY$6:$AY$1005="Direkomendasikan",ROW($6:$1005)-5),704)),BidangList,0)),INDEX(checklistPesertaKemenkeu!$O$6:$O$1005,SMALL(IF(checklistPesertaKemenkeu!$AY$6:$AY$1005="Direkomendasikan",ROW($6:$1005)-5),704)))&gt;0,COUNTIF(INDIRECT("'KERTAS KERJA'!K"&amp;(SMALL(IF(checklistPesertaKemenkeu!$AY$6:$AY$1005="Direkomendasikan",ROW($6:$1005)-5),704)+5)&amp;":O"&amp;(SMALL(IF(checklistPesertaKemenkeu!$AY$6:$AY$1005="Direkomendasikan",ROW($6:$1005)-5),704)+5)),INDEX(checklistPesertaKemenkeu!$O$6:$O$1005,SMALL(IF(checklistPesertaKemenkeu!$AY$6:$AY$1005="Direkomendasikan",ROW($6:$1005)-5),704)))=1),IFERROR(VLOOKUP(INDEX(checklistPesertaKemenkeu!$O$6:$O$1005,SMALL(IF(checklistPesertaKemenkeu!$AY$6:$AY$1005="Direkomendasikan",ROW($6:$1005)-5),704)),KotaKode,2,0),"-"),"")),"")</f>
        <v/>
      </c>
      <c r="L705" t="str">
        <f t="array" aca="1" ref="L705" ca="1">IFERROR(IF(OR(INDEX(checklistPesertaKemenkeu!$P$6:$P$1005,SMALL(IF(checklistPesertaKemenkeu!$AY$6:$AY$1005="Direkomendasikan",ROW($6:$1005)-5),704))="",INDEX(checklistPesertaKemenkeu!$J$6:$J$1005,SMALL(IF(checklistPesertaKemenkeu!$AY$6:$AY$1005="Direkomendasikan",ROW($6:$1005)-5),704))=""),"",IF(AND(COUNTIF(INDIRECT("K_"&amp;MATCH(INDEX(checklistPesertaKemenkeu!$J$6:$J$1005,SMALL(IF(checklistPesertaKemenkeu!$AY$6:$AY$1005="Direkomendasikan",ROW($6:$1005)-5),704)),BidangList,0)),INDEX(checklistPesertaKemenkeu!$P$6:$P$1005,SMALL(IF(checklistPesertaKemenkeu!$AY$6:$AY$1005="Direkomendasikan",ROW($6:$1005)-5),704)))&gt;0,COUNTIF(INDIRECT("'KERTAS KERJA'!K"&amp;(SMALL(IF(checklistPesertaKemenkeu!$AY$6:$AY$1005="Direkomendasikan",ROW($6:$1005)-5),704)+5)&amp;":O"&amp;(SMALL(IF(checklistPesertaKemenkeu!$AY$6:$AY$1005="Direkomendasikan",ROW($6:$1005)-5),704)+5)),INDEX(checklistPesertaKemenkeu!$P$6:$P$1005,SMALL(IF(checklistPesertaKemenkeu!$AY$6:$AY$1005="Direkomendasikan",ROW($6:$1005)-5),704)))=1),IFERROR(VLOOKUP(INDEX(checklistPesertaKemenkeu!$P$6:$P$1005,SMALL(IF(checklistPesertaKemenkeu!$AY$6:$AY$1005="Direkomendasikan",ROW($6:$1005)-5),704)),KotaKode,2,0),"-"),"")),"")</f>
        <v/>
      </c>
    </row>
    <row r="706" spans="1:12" ht="15" customHeight="1" x14ac:dyDescent="0.2">
      <c r="A706" t="str">
        <f t="shared" ref="A706:A769" si="11">IF(C706="","",ROW()-1)</f>
        <v/>
      </c>
      <c r="B706" t="str">
        <v/>
      </c>
      <c r="C706" s="40" t="str">
        <f t="array" ref="C706">IFERROR(INDEX(checklistPesertaKemenkeu!$F$6:$F$1005,SMALL(IF(checklistPesertaKemenkeu!$AY$6:$AY$1005="Direkomendasikan",ROW($6:$1005)-5),705)),"")</f>
        <v/>
      </c>
      <c r="D706" t="str">
        <f t="array" ref="D706">IFERROR(INDEX(checklistPesertaKemenkeu!$G$6:$G$1005,SMALL(IF(checklistPesertaKemenkeu!$AY$6:$AY$1005="Direkomendasikan",ROW($6:$1005)-5),705)),"")</f>
        <v/>
      </c>
      <c r="E706" t="str">
        <f t="array" ref="E706">IFERROR(INDEX(checklistPesertaKemenkeu!$H$6:$H$1005,SMALL(IF(checklistPesertaKemenkeu!$AY$6:$AY$1005="Direkomendasikan",ROW($6:$1005)-5),705)),"")</f>
        <v/>
      </c>
      <c r="F706" t="str">
        <f t="array" ref="F706">IFERROR(INDEX(checklistPesertaKemenkeu!$I$6:$I$1005,SMALL(IF(checklistPesertaKemenkeu!$AY$6:$AY$1005="Direkomendasikan",ROW($6:$1005)-5),705)),"")</f>
        <v/>
      </c>
      <c r="G706" t="str">
        <f t="array" ref="G706">IFERROR(INDEX(checklistPesertaKemenkeu!$J$6:$J$1005,SMALL(IF(checklistPesertaKemenkeu!$AY$6:$AY$1005="Direkomendasikan",ROW($6:$1005)-5),705)),"")</f>
        <v/>
      </c>
      <c r="H706" t="str">
        <f t="array" aca="1" ref="H706" ca="1">IFERROR(IF(OR(INDEX(checklistPesertaKemenkeu!$L$6:$L$1005,SMALL(IF(checklistPesertaKemenkeu!$AY$6:$AY$1005="Direkomendasikan",ROW($6:$1005)-5),705))="",INDEX(checklistPesertaKemenkeu!$J$6:$J$1005,SMALL(IF(checklistPesertaKemenkeu!$AY$6:$AY$1005="Direkomendasikan",ROW($6:$1005)-5),705))=""),"",IF(AND(COUNTIF(INDIRECT("K_"&amp;MATCH(INDEX(checklistPesertaKemenkeu!$J$6:$J$1005,SMALL(IF(checklistPesertaKemenkeu!$AY$6:$AY$1005="Direkomendasikan",ROW($6:$1005)-5),705)),BidangList,0)),INDEX(checklistPesertaKemenkeu!$L$6:$L$1005,SMALL(IF(checklistPesertaKemenkeu!$AY$6:$AY$1005="Direkomendasikan",ROW($6:$1005)-5),705)))&gt;0,COUNTIF(INDIRECT("'KERTAS KERJA'!K"&amp;(SMALL(IF(checklistPesertaKemenkeu!$AY$6:$AY$1005="Direkomendasikan",ROW($6:$1005)-5),705)+5)&amp;":O"&amp;(SMALL(IF(checklistPesertaKemenkeu!$AY$6:$AY$1005="Direkomendasikan",ROW($6:$1005)-5),705)+5)),INDEX(checklistPesertaKemenkeu!$L$6:$L$1005,SMALL(IF(checklistPesertaKemenkeu!$AY$6:$AY$1005="Direkomendasikan",ROW($6:$1005)-5),705)))=1),IFERROR(VLOOKUP(INDEX(checklistPesertaKemenkeu!$L$6:$L$1005,SMALL(IF(checklistPesertaKemenkeu!$AY$6:$AY$1005="Direkomendasikan",ROW($6:$1005)-5),705)),KotaKode,2,0),"-"),"")),"")</f>
        <v/>
      </c>
      <c r="I706" t="str">
        <f t="array" aca="1" ref="I706" ca="1">IFERROR(IF(OR(INDEX(checklistPesertaKemenkeu!$M$6:$M$1005,SMALL(IF(checklistPesertaKemenkeu!$AY$6:$AY$1005="Direkomendasikan",ROW($6:$1005)-5),705))="",INDEX(checklistPesertaKemenkeu!$J$6:$J$1005,SMALL(IF(checklistPesertaKemenkeu!$AY$6:$AY$1005="Direkomendasikan",ROW($6:$1005)-5),705))=""),"",IF(AND(COUNTIF(INDIRECT("K_"&amp;MATCH(INDEX(checklistPesertaKemenkeu!$J$6:$J$1005,SMALL(IF(checklistPesertaKemenkeu!$AY$6:$AY$1005="Direkomendasikan",ROW($6:$1005)-5),705)),BidangList,0)),INDEX(checklistPesertaKemenkeu!$M$6:$M$1005,SMALL(IF(checklistPesertaKemenkeu!$AY$6:$AY$1005="Direkomendasikan",ROW($6:$1005)-5),705)))&gt;0,COUNTIF(INDIRECT("'KERTAS KERJA'!K"&amp;(SMALL(IF(checklistPesertaKemenkeu!$AY$6:$AY$1005="Direkomendasikan",ROW($6:$1005)-5),705)+5)&amp;":O"&amp;(SMALL(IF(checklistPesertaKemenkeu!$AY$6:$AY$1005="Direkomendasikan",ROW($6:$1005)-5),705)+5)),INDEX(checklistPesertaKemenkeu!$M$6:$M$1005,SMALL(IF(checklistPesertaKemenkeu!$AY$6:$AY$1005="Direkomendasikan",ROW($6:$1005)-5),705)))=1),IFERROR(VLOOKUP(INDEX(checklistPesertaKemenkeu!$M$6:$M$1005,SMALL(IF(checklistPesertaKemenkeu!$AY$6:$AY$1005="Direkomendasikan",ROW($6:$1005)-5),705)),KotaKode,2,0),"-"),"")),"")</f>
        <v/>
      </c>
      <c r="J706" t="str">
        <f t="array" aca="1" ref="J706" ca="1">IFERROR(IF(OR(INDEX(checklistPesertaKemenkeu!$N$6:$N$1005,SMALL(IF(checklistPesertaKemenkeu!$AY$6:$AY$1005="Direkomendasikan",ROW($6:$1005)-5),705))="",INDEX(checklistPesertaKemenkeu!$J$6:$J$1005,SMALL(IF(checklistPesertaKemenkeu!$AY$6:$AY$1005="Direkomendasikan",ROW($6:$1005)-5),705))=""),"",IF(AND(COUNTIF(INDIRECT("K_"&amp;MATCH(INDEX(checklistPesertaKemenkeu!$J$6:$J$1005,SMALL(IF(checklistPesertaKemenkeu!$AY$6:$AY$1005="Direkomendasikan",ROW($6:$1005)-5),705)),BidangList,0)),INDEX(checklistPesertaKemenkeu!$N$6:$N$1005,SMALL(IF(checklistPesertaKemenkeu!$AY$6:$AY$1005="Direkomendasikan",ROW($6:$1005)-5),705)))&gt;0,COUNTIF(INDIRECT("'KERTAS KERJA'!K"&amp;(SMALL(IF(checklistPesertaKemenkeu!$AY$6:$AY$1005="Direkomendasikan",ROW($6:$1005)-5),705)+5)&amp;":O"&amp;(SMALL(IF(checklistPesertaKemenkeu!$AY$6:$AY$1005="Direkomendasikan",ROW($6:$1005)-5),705)+5)),INDEX(checklistPesertaKemenkeu!$N$6:$N$1005,SMALL(IF(checklistPesertaKemenkeu!$AY$6:$AY$1005="Direkomendasikan",ROW($6:$1005)-5),705)))=1),IFERROR(VLOOKUP(INDEX(checklistPesertaKemenkeu!$N$6:$N$1005,SMALL(IF(checklistPesertaKemenkeu!$AY$6:$AY$1005="Direkomendasikan",ROW($6:$1005)-5),705)),KotaKode,2,0),"-"),"")),"")</f>
        <v/>
      </c>
      <c r="K706" t="str">
        <f t="array" aca="1" ref="K706" ca="1">IFERROR(IF(OR(INDEX(checklistPesertaKemenkeu!$O$6:$O$1005,SMALL(IF(checklistPesertaKemenkeu!$AY$6:$AY$1005="Direkomendasikan",ROW($6:$1005)-5),705))="",INDEX(checklistPesertaKemenkeu!$J$6:$J$1005,SMALL(IF(checklistPesertaKemenkeu!$AY$6:$AY$1005="Direkomendasikan",ROW($6:$1005)-5),705))=""),"",IF(AND(COUNTIF(INDIRECT("K_"&amp;MATCH(INDEX(checklistPesertaKemenkeu!$J$6:$J$1005,SMALL(IF(checklistPesertaKemenkeu!$AY$6:$AY$1005="Direkomendasikan",ROW($6:$1005)-5),705)),BidangList,0)),INDEX(checklistPesertaKemenkeu!$O$6:$O$1005,SMALL(IF(checklistPesertaKemenkeu!$AY$6:$AY$1005="Direkomendasikan",ROW($6:$1005)-5),705)))&gt;0,COUNTIF(INDIRECT("'KERTAS KERJA'!K"&amp;(SMALL(IF(checklistPesertaKemenkeu!$AY$6:$AY$1005="Direkomendasikan",ROW($6:$1005)-5),705)+5)&amp;":O"&amp;(SMALL(IF(checklistPesertaKemenkeu!$AY$6:$AY$1005="Direkomendasikan",ROW($6:$1005)-5),705)+5)),INDEX(checklistPesertaKemenkeu!$O$6:$O$1005,SMALL(IF(checklistPesertaKemenkeu!$AY$6:$AY$1005="Direkomendasikan",ROW($6:$1005)-5),705)))=1),IFERROR(VLOOKUP(INDEX(checklistPesertaKemenkeu!$O$6:$O$1005,SMALL(IF(checklistPesertaKemenkeu!$AY$6:$AY$1005="Direkomendasikan",ROW($6:$1005)-5),705)),KotaKode,2,0),"-"),"")),"")</f>
        <v/>
      </c>
      <c r="L706" t="str">
        <f t="array" aca="1" ref="L706" ca="1">IFERROR(IF(OR(INDEX(checklistPesertaKemenkeu!$P$6:$P$1005,SMALL(IF(checklistPesertaKemenkeu!$AY$6:$AY$1005="Direkomendasikan",ROW($6:$1005)-5),705))="",INDEX(checklistPesertaKemenkeu!$J$6:$J$1005,SMALL(IF(checklistPesertaKemenkeu!$AY$6:$AY$1005="Direkomendasikan",ROW($6:$1005)-5),705))=""),"",IF(AND(COUNTIF(INDIRECT("K_"&amp;MATCH(INDEX(checklistPesertaKemenkeu!$J$6:$J$1005,SMALL(IF(checklistPesertaKemenkeu!$AY$6:$AY$1005="Direkomendasikan",ROW($6:$1005)-5),705)),BidangList,0)),INDEX(checklistPesertaKemenkeu!$P$6:$P$1005,SMALL(IF(checklistPesertaKemenkeu!$AY$6:$AY$1005="Direkomendasikan",ROW($6:$1005)-5),705)))&gt;0,COUNTIF(INDIRECT("'KERTAS KERJA'!K"&amp;(SMALL(IF(checklistPesertaKemenkeu!$AY$6:$AY$1005="Direkomendasikan",ROW($6:$1005)-5),705)+5)&amp;":O"&amp;(SMALL(IF(checklistPesertaKemenkeu!$AY$6:$AY$1005="Direkomendasikan",ROW($6:$1005)-5),705)+5)),INDEX(checklistPesertaKemenkeu!$P$6:$P$1005,SMALL(IF(checklistPesertaKemenkeu!$AY$6:$AY$1005="Direkomendasikan",ROW($6:$1005)-5),705)))=1),IFERROR(VLOOKUP(INDEX(checklistPesertaKemenkeu!$P$6:$P$1005,SMALL(IF(checklistPesertaKemenkeu!$AY$6:$AY$1005="Direkomendasikan",ROW($6:$1005)-5),705)),KotaKode,2,0),"-"),"")),"")</f>
        <v/>
      </c>
    </row>
    <row r="707" spans="1:12" ht="15" customHeight="1" x14ac:dyDescent="0.2">
      <c r="A707" t="str">
        <f t="shared" si="11"/>
        <v/>
      </c>
      <c r="B707" t="str">
        <v/>
      </c>
      <c r="C707" s="40" t="str">
        <f t="array" ref="C707">IFERROR(INDEX(checklistPesertaKemenkeu!$F$6:$F$1005,SMALL(IF(checklistPesertaKemenkeu!$AY$6:$AY$1005="Direkomendasikan",ROW($6:$1005)-5),706)),"")</f>
        <v/>
      </c>
      <c r="D707" t="str">
        <f t="array" ref="D707">IFERROR(INDEX(checklistPesertaKemenkeu!$G$6:$G$1005,SMALL(IF(checklistPesertaKemenkeu!$AY$6:$AY$1005="Direkomendasikan",ROW($6:$1005)-5),706)),"")</f>
        <v/>
      </c>
      <c r="E707" t="str">
        <f t="array" ref="E707">IFERROR(INDEX(checklistPesertaKemenkeu!$H$6:$H$1005,SMALL(IF(checklistPesertaKemenkeu!$AY$6:$AY$1005="Direkomendasikan",ROW($6:$1005)-5),706)),"")</f>
        <v/>
      </c>
      <c r="F707" t="str">
        <f t="array" ref="F707">IFERROR(INDEX(checklistPesertaKemenkeu!$I$6:$I$1005,SMALL(IF(checklistPesertaKemenkeu!$AY$6:$AY$1005="Direkomendasikan",ROW($6:$1005)-5),706)),"")</f>
        <v/>
      </c>
      <c r="G707" t="str">
        <f t="array" ref="G707">IFERROR(INDEX(checklistPesertaKemenkeu!$J$6:$J$1005,SMALL(IF(checklistPesertaKemenkeu!$AY$6:$AY$1005="Direkomendasikan",ROW($6:$1005)-5),706)),"")</f>
        <v/>
      </c>
      <c r="H707" t="str">
        <f t="array" aca="1" ref="H707" ca="1">IFERROR(IF(OR(INDEX(checklistPesertaKemenkeu!$L$6:$L$1005,SMALL(IF(checklistPesertaKemenkeu!$AY$6:$AY$1005="Direkomendasikan",ROW($6:$1005)-5),706))="",INDEX(checklistPesertaKemenkeu!$J$6:$J$1005,SMALL(IF(checklistPesertaKemenkeu!$AY$6:$AY$1005="Direkomendasikan",ROW($6:$1005)-5),706))=""),"",IF(AND(COUNTIF(INDIRECT("K_"&amp;MATCH(INDEX(checklistPesertaKemenkeu!$J$6:$J$1005,SMALL(IF(checklistPesertaKemenkeu!$AY$6:$AY$1005="Direkomendasikan",ROW($6:$1005)-5),706)),BidangList,0)),INDEX(checklistPesertaKemenkeu!$L$6:$L$1005,SMALL(IF(checklistPesertaKemenkeu!$AY$6:$AY$1005="Direkomendasikan",ROW($6:$1005)-5),706)))&gt;0,COUNTIF(INDIRECT("'KERTAS KERJA'!K"&amp;(SMALL(IF(checklistPesertaKemenkeu!$AY$6:$AY$1005="Direkomendasikan",ROW($6:$1005)-5),706)+5)&amp;":O"&amp;(SMALL(IF(checklistPesertaKemenkeu!$AY$6:$AY$1005="Direkomendasikan",ROW($6:$1005)-5),706)+5)),INDEX(checklistPesertaKemenkeu!$L$6:$L$1005,SMALL(IF(checklistPesertaKemenkeu!$AY$6:$AY$1005="Direkomendasikan",ROW($6:$1005)-5),706)))=1),IFERROR(VLOOKUP(INDEX(checklistPesertaKemenkeu!$L$6:$L$1005,SMALL(IF(checklistPesertaKemenkeu!$AY$6:$AY$1005="Direkomendasikan",ROW($6:$1005)-5),706)),KotaKode,2,0),"-"),"")),"")</f>
        <v/>
      </c>
      <c r="I707" t="str">
        <f t="array" aca="1" ref="I707" ca="1">IFERROR(IF(OR(INDEX(checklistPesertaKemenkeu!$M$6:$M$1005,SMALL(IF(checklistPesertaKemenkeu!$AY$6:$AY$1005="Direkomendasikan",ROW($6:$1005)-5),706))="",INDEX(checklistPesertaKemenkeu!$J$6:$J$1005,SMALL(IF(checklistPesertaKemenkeu!$AY$6:$AY$1005="Direkomendasikan",ROW($6:$1005)-5),706))=""),"",IF(AND(COUNTIF(INDIRECT("K_"&amp;MATCH(INDEX(checklistPesertaKemenkeu!$J$6:$J$1005,SMALL(IF(checklistPesertaKemenkeu!$AY$6:$AY$1005="Direkomendasikan",ROW($6:$1005)-5),706)),BidangList,0)),INDEX(checklistPesertaKemenkeu!$M$6:$M$1005,SMALL(IF(checklistPesertaKemenkeu!$AY$6:$AY$1005="Direkomendasikan",ROW($6:$1005)-5),706)))&gt;0,COUNTIF(INDIRECT("'KERTAS KERJA'!K"&amp;(SMALL(IF(checklistPesertaKemenkeu!$AY$6:$AY$1005="Direkomendasikan",ROW($6:$1005)-5),706)+5)&amp;":O"&amp;(SMALL(IF(checklistPesertaKemenkeu!$AY$6:$AY$1005="Direkomendasikan",ROW($6:$1005)-5),706)+5)),INDEX(checklistPesertaKemenkeu!$M$6:$M$1005,SMALL(IF(checklistPesertaKemenkeu!$AY$6:$AY$1005="Direkomendasikan",ROW($6:$1005)-5),706)))=1),IFERROR(VLOOKUP(INDEX(checklistPesertaKemenkeu!$M$6:$M$1005,SMALL(IF(checklistPesertaKemenkeu!$AY$6:$AY$1005="Direkomendasikan",ROW($6:$1005)-5),706)),KotaKode,2,0),"-"),"")),"")</f>
        <v/>
      </c>
      <c r="J707" t="str">
        <f t="array" aca="1" ref="J707" ca="1">IFERROR(IF(OR(INDEX(checklistPesertaKemenkeu!$N$6:$N$1005,SMALL(IF(checklistPesertaKemenkeu!$AY$6:$AY$1005="Direkomendasikan",ROW($6:$1005)-5),706))="",INDEX(checklistPesertaKemenkeu!$J$6:$J$1005,SMALL(IF(checklistPesertaKemenkeu!$AY$6:$AY$1005="Direkomendasikan",ROW($6:$1005)-5),706))=""),"",IF(AND(COUNTIF(INDIRECT("K_"&amp;MATCH(INDEX(checklistPesertaKemenkeu!$J$6:$J$1005,SMALL(IF(checklistPesertaKemenkeu!$AY$6:$AY$1005="Direkomendasikan",ROW($6:$1005)-5),706)),BidangList,0)),INDEX(checklistPesertaKemenkeu!$N$6:$N$1005,SMALL(IF(checklistPesertaKemenkeu!$AY$6:$AY$1005="Direkomendasikan",ROW($6:$1005)-5),706)))&gt;0,COUNTIF(INDIRECT("'KERTAS KERJA'!K"&amp;(SMALL(IF(checklistPesertaKemenkeu!$AY$6:$AY$1005="Direkomendasikan",ROW($6:$1005)-5),706)+5)&amp;":O"&amp;(SMALL(IF(checklistPesertaKemenkeu!$AY$6:$AY$1005="Direkomendasikan",ROW($6:$1005)-5),706)+5)),INDEX(checklistPesertaKemenkeu!$N$6:$N$1005,SMALL(IF(checklistPesertaKemenkeu!$AY$6:$AY$1005="Direkomendasikan",ROW($6:$1005)-5),706)))=1),IFERROR(VLOOKUP(INDEX(checklistPesertaKemenkeu!$N$6:$N$1005,SMALL(IF(checklistPesertaKemenkeu!$AY$6:$AY$1005="Direkomendasikan",ROW($6:$1005)-5),706)),KotaKode,2,0),"-"),"")),"")</f>
        <v/>
      </c>
      <c r="K707" t="str">
        <f t="array" aca="1" ref="K707" ca="1">IFERROR(IF(OR(INDEX(checklistPesertaKemenkeu!$O$6:$O$1005,SMALL(IF(checklistPesertaKemenkeu!$AY$6:$AY$1005="Direkomendasikan",ROW($6:$1005)-5),706))="",INDEX(checklistPesertaKemenkeu!$J$6:$J$1005,SMALL(IF(checklistPesertaKemenkeu!$AY$6:$AY$1005="Direkomendasikan",ROW($6:$1005)-5),706))=""),"",IF(AND(COUNTIF(INDIRECT("K_"&amp;MATCH(INDEX(checklistPesertaKemenkeu!$J$6:$J$1005,SMALL(IF(checklistPesertaKemenkeu!$AY$6:$AY$1005="Direkomendasikan",ROW($6:$1005)-5),706)),BidangList,0)),INDEX(checklistPesertaKemenkeu!$O$6:$O$1005,SMALL(IF(checklistPesertaKemenkeu!$AY$6:$AY$1005="Direkomendasikan",ROW($6:$1005)-5),706)))&gt;0,COUNTIF(INDIRECT("'KERTAS KERJA'!K"&amp;(SMALL(IF(checklistPesertaKemenkeu!$AY$6:$AY$1005="Direkomendasikan",ROW($6:$1005)-5),706)+5)&amp;":O"&amp;(SMALL(IF(checklistPesertaKemenkeu!$AY$6:$AY$1005="Direkomendasikan",ROW($6:$1005)-5),706)+5)),INDEX(checklistPesertaKemenkeu!$O$6:$O$1005,SMALL(IF(checklistPesertaKemenkeu!$AY$6:$AY$1005="Direkomendasikan",ROW($6:$1005)-5),706)))=1),IFERROR(VLOOKUP(INDEX(checklistPesertaKemenkeu!$O$6:$O$1005,SMALL(IF(checklistPesertaKemenkeu!$AY$6:$AY$1005="Direkomendasikan",ROW($6:$1005)-5),706)),KotaKode,2,0),"-"),"")),"")</f>
        <v/>
      </c>
      <c r="L707" t="str">
        <f t="array" aca="1" ref="L707" ca="1">IFERROR(IF(OR(INDEX(checklistPesertaKemenkeu!$P$6:$P$1005,SMALL(IF(checklistPesertaKemenkeu!$AY$6:$AY$1005="Direkomendasikan",ROW($6:$1005)-5),706))="",INDEX(checklistPesertaKemenkeu!$J$6:$J$1005,SMALL(IF(checklistPesertaKemenkeu!$AY$6:$AY$1005="Direkomendasikan",ROW($6:$1005)-5),706))=""),"",IF(AND(COUNTIF(INDIRECT("K_"&amp;MATCH(INDEX(checklistPesertaKemenkeu!$J$6:$J$1005,SMALL(IF(checklistPesertaKemenkeu!$AY$6:$AY$1005="Direkomendasikan",ROW($6:$1005)-5),706)),BidangList,0)),INDEX(checklistPesertaKemenkeu!$P$6:$P$1005,SMALL(IF(checklistPesertaKemenkeu!$AY$6:$AY$1005="Direkomendasikan",ROW($6:$1005)-5),706)))&gt;0,COUNTIF(INDIRECT("'KERTAS KERJA'!K"&amp;(SMALL(IF(checklistPesertaKemenkeu!$AY$6:$AY$1005="Direkomendasikan",ROW($6:$1005)-5),706)+5)&amp;":O"&amp;(SMALL(IF(checklistPesertaKemenkeu!$AY$6:$AY$1005="Direkomendasikan",ROW($6:$1005)-5),706)+5)),INDEX(checklistPesertaKemenkeu!$P$6:$P$1005,SMALL(IF(checklistPesertaKemenkeu!$AY$6:$AY$1005="Direkomendasikan",ROW($6:$1005)-5),706)))=1),IFERROR(VLOOKUP(INDEX(checklistPesertaKemenkeu!$P$6:$P$1005,SMALL(IF(checklistPesertaKemenkeu!$AY$6:$AY$1005="Direkomendasikan",ROW($6:$1005)-5),706)),KotaKode,2,0),"-"),"")),"")</f>
        <v/>
      </c>
    </row>
    <row r="708" spans="1:12" ht="15" customHeight="1" x14ac:dyDescent="0.2">
      <c r="A708" t="str">
        <f t="shared" si="11"/>
        <v/>
      </c>
      <c r="B708" t="str">
        <v/>
      </c>
      <c r="C708" s="40" t="str">
        <f t="array" ref="C708">IFERROR(INDEX(checklistPesertaKemenkeu!$F$6:$F$1005,SMALL(IF(checklistPesertaKemenkeu!$AY$6:$AY$1005="Direkomendasikan",ROW($6:$1005)-5),707)),"")</f>
        <v/>
      </c>
      <c r="D708" t="str">
        <f t="array" ref="D708">IFERROR(INDEX(checklistPesertaKemenkeu!$G$6:$G$1005,SMALL(IF(checklistPesertaKemenkeu!$AY$6:$AY$1005="Direkomendasikan",ROW($6:$1005)-5),707)),"")</f>
        <v/>
      </c>
      <c r="E708" t="str">
        <f t="array" ref="E708">IFERROR(INDEX(checklistPesertaKemenkeu!$H$6:$H$1005,SMALL(IF(checklistPesertaKemenkeu!$AY$6:$AY$1005="Direkomendasikan",ROW($6:$1005)-5),707)),"")</f>
        <v/>
      </c>
      <c r="F708" t="str">
        <f t="array" ref="F708">IFERROR(INDEX(checklistPesertaKemenkeu!$I$6:$I$1005,SMALL(IF(checklistPesertaKemenkeu!$AY$6:$AY$1005="Direkomendasikan",ROW($6:$1005)-5),707)),"")</f>
        <v/>
      </c>
      <c r="G708" t="str">
        <f t="array" ref="G708">IFERROR(INDEX(checklistPesertaKemenkeu!$J$6:$J$1005,SMALL(IF(checklistPesertaKemenkeu!$AY$6:$AY$1005="Direkomendasikan",ROW($6:$1005)-5),707)),"")</f>
        <v/>
      </c>
      <c r="H708" t="str">
        <f t="array" aca="1" ref="H708" ca="1">IFERROR(IF(OR(INDEX(checklistPesertaKemenkeu!$L$6:$L$1005,SMALL(IF(checklistPesertaKemenkeu!$AY$6:$AY$1005="Direkomendasikan",ROW($6:$1005)-5),707))="",INDEX(checklistPesertaKemenkeu!$J$6:$J$1005,SMALL(IF(checklistPesertaKemenkeu!$AY$6:$AY$1005="Direkomendasikan",ROW($6:$1005)-5),707))=""),"",IF(AND(COUNTIF(INDIRECT("K_"&amp;MATCH(INDEX(checklistPesertaKemenkeu!$J$6:$J$1005,SMALL(IF(checklistPesertaKemenkeu!$AY$6:$AY$1005="Direkomendasikan",ROW($6:$1005)-5),707)),BidangList,0)),INDEX(checklistPesertaKemenkeu!$L$6:$L$1005,SMALL(IF(checklistPesertaKemenkeu!$AY$6:$AY$1005="Direkomendasikan",ROW($6:$1005)-5),707)))&gt;0,COUNTIF(INDIRECT("'KERTAS KERJA'!K"&amp;(SMALL(IF(checklistPesertaKemenkeu!$AY$6:$AY$1005="Direkomendasikan",ROW($6:$1005)-5),707)+5)&amp;":O"&amp;(SMALL(IF(checklistPesertaKemenkeu!$AY$6:$AY$1005="Direkomendasikan",ROW($6:$1005)-5),707)+5)),INDEX(checklistPesertaKemenkeu!$L$6:$L$1005,SMALL(IF(checklistPesertaKemenkeu!$AY$6:$AY$1005="Direkomendasikan",ROW($6:$1005)-5),707)))=1),IFERROR(VLOOKUP(INDEX(checklistPesertaKemenkeu!$L$6:$L$1005,SMALL(IF(checklistPesertaKemenkeu!$AY$6:$AY$1005="Direkomendasikan",ROW($6:$1005)-5),707)),KotaKode,2,0),"-"),"")),"")</f>
        <v/>
      </c>
      <c r="I708" t="str">
        <f t="array" aca="1" ref="I708" ca="1">IFERROR(IF(OR(INDEX(checklistPesertaKemenkeu!$M$6:$M$1005,SMALL(IF(checklistPesertaKemenkeu!$AY$6:$AY$1005="Direkomendasikan",ROW($6:$1005)-5),707))="",INDEX(checklistPesertaKemenkeu!$J$6:$J$1005,SMALL(IF(checklistPesertaKemenkeu!$AY$6:$AY$1005="Direkomendasikan",ROW($6:$1005)-5),707))=""),"",IF(AND(COUNTIF(INDIRECT("K_"&amp;MATCH(INDEX(checklistPesertaKemenkeu!$J$6:$J$1005,SMALL(IF(checklistPesertaKemenkeu!$AY$6:$AY$1005="Direkomendasikan",ROW($6:$1005)-5),707)),BidangList,0)),INDEX(checklistPesertaKemenkeu!$M$6:$M$1005,SMALL(IF(checklistPesertaKemenkeu!$AY$6:$AY$1005="Direkomendasikan",ROW($6:$1005)-5),707)))&gt;0,COUNTIF(INDIRECT("'KERTAS KERJA'!K"&amp;(SMALL(IF(checklistPesertaKemenkeu!$AY$6:$AY$1005="Direkomendasikan",ROW($6:$1005)-5),707)+5)&amp;":O"&amp;(SMALL(IF(checklistPesertaKemenkeu!$AY$6:$AY$1005="Direkomendasikan",ROW($6:$1005)-5),707)+5)),INDEX(checklistPesertaKemenkeu!$M$6:$M$1005,SMALL(IF(checklistPesertaKemenkeu!$AY$6:$AY$1005="Direkomendasikan",ROW($6:$1005)-5),707)))=1),IFERROR(VLOOKUP(INDEX(checklistPesertaKemenkeu!$M$6:$M$1005,SMALL(IF(checklistPesertaKemenkeu!$AY$6:$AY$1005="Direkomendasikan",ROW($6:$1005)-5),707)),KotaKode,2,0),"-"),"")),"")</f>
        <v/>
      </c>
      <c r="J708" t="str">
        <f t="array" aca="1" ref="J708" ca="1">IFERROR(IF(OR(INDEX(checklistPesertaKemenkeu!$N$6:$N$1005,SMALL(IF(checklistPesertaKemenkeu!$AY$6:$AY$1005="Direkomendasikan",ROW($6:$1005)-5),707))="",INDEX(checklistPesertaKemenkeu!$J$6:$J$1005,SMALL(IF(checklistPesertaKemenkeu!$AY$6:$AY$1005="Direkomendasikan",ROW($6:$1005)-5),707))=""),"",IF(AND(COUNTIF(INDIRECT("K_"&amp;MATCH(INDEX(checklistPesertaKemenkeu!$J$6:$J$1005,SMALL(IF(checklistPesertaKemenkeu!$AY$6:$AY$1005="Direkomendasikan",ROW($6:$1005)-5),707)),BidangList,0)),INDEX(checklistPesertaKemenkeu!$N$6:$N$1005,SMALL(IF(checklistPesertaKemenkeu!$AY$6:$AY$1005="Direkomendasikan",ROW($6:$1005)-5),707)))&gt;0,COUNTIF(INDIRECT("'KERTAS KERJA'!K"&amp;(SMALL(IF(checklistPesertaKemenkeu!$AY$6:$AY$1005="Direkomendasikan",ROW($6:$1005)-5),707)+5)&amp;":O"&amp;(SMALL(IF(checklistPesertaKemenkeu!$AY$6:$AY$1005="Direkomendasikan",ROW($6:$1005)-5),707)+5)),INDEX(checklistPesertaKemenkeu!$N$6:$N$1005,SMALL(IF(checklistPesertaKemenkeu!$AY$6:$AY$1005="Direkomendasikan",ROW($6:$1005)-5),707)))=1),IFERROR(VLOOKUP(INDEX(checklistPesertaKemenkeu!$N$6:$N$1005,SMALL(IF(checklistPesertaKemenkeu!$AY$6:$AY$1005="Direkomendasikan",ROW($6:$1005)-5),707)),KotaKode,2,0),"-"),"")),"")</f>
        <v/>
      </c>
      <c r="K708" t="str">
        <f t="array" aca="1" ref="K708" ca="1">IFERROR(IF(OR(INDEX(checklistPesertaKemenkeu!$O$6:$O$1005,SMALL(IF(checklistPesertaKemenkeu!$AY$6:$AY$1005="Direkomendasikan",ROW($6:$1005)-5),707))="",INDEX(checklistPesertaKemenkeu!$J$6:$J$1005,SMALL(IF(checklistPesertaKemenkeu!$AY$6:$AY$1005="Direkomendasikan",ROW($6:$1005)-5),707))=""),"",IF(AND(COUNTIF(INDIRECT("K_"&amp;MATCH(INDEX(checklistPesertaKemenkeu!$J$6:$J$1005,SMALL(IF(checklistPesertaKemenkeu!$AY$6:$AY$1005="Direkomendasikan",ROW($6:$1005)-5),707)),BidangList,0)),INDEX(checklistPesertaKemenkeu!$O$6:$O$1005,SMALL(IF(checklistPesertaKemenkeu!$AY$6:$AY$1005="Direkomendasikan",ROW($6:$1005)-5),707)))&gt;0,COUNTIF(INDIRECT("'KERTAS KERJA'!K"&amp;(SMALL(IF(checklistPesertaKemenkeu!$AY$6:$AY$1005="Direkomendasikan",ROW($6:$1005)-5),707)+5)&amp;":O"&amp;(SMALL(IF(checklistPesertaKemenkeu!$AY$6:$AY$1005="Direkomendasikan",ROW($6:$1005)-5),707)+5)),INDEX(checklistPesertaKemenkeu!$O$6:$O$1005,SMALL(IF(checklistPesertaKemenkeu!$AY$6:$AY$1005="Direkomendasikan",ROW($6:$1005)-5),707)))=1),IFERROR(VLOOKUP(INDEX(checklistPesertaKemenkeu!$O$6:$O$1005,SMALL(IF(checklistPesertaKemenkeu!$AY$6:$AY$1005="Direkomendasikan",ROW($6:$1005)-5),707)),KotaKode,2,0),"-"),"")),"")</f>
        <v/>
      </c>
      <c r="L708" t="str">
        <f t="array" aca="1" ref="L708" ca="1">IFERROR(IF(OR(INDEX(checklistPesertaKemenkeu!$P$6:$P$1005,SMALL(IF(checklistPesertaKemenkeu!$AY$6:$AY$1005="Direkomendasikan",ROW($6:$1005)-5),707))="",INDEX(checklistPesertaKemenkeu!$J$6:$J$1005,SMALL(IF(checklistPesertaKemenkeu!$AY$6:$AY$1005="Direkomendasikan",ROW($6:$1005)-5),707))=""),"",IF(AND(COUNTIF(INDIRECT("K_"&amp;MATCH(INDEX(checklistPesertaKemenkeu!$J$6:$J$1005,SMALL(IF(checklistPesertaKemenkeu!$AY$6:$AY$1005="Direkomendasikan",ROW($6:$1005)-5),707)),BidangList,0)),INDEX(checklistPesertaKemenkeu!$P$6:$P$1005,SMALL(IF(checklistPesertaKemenkeu!$AY$6:$AY$1005="Direkomendasikan",ROW($6:$1005)-5),707)))&gt;0,COUNTIF(INDIRECT("'KERTAS KERJA'!K"&amp;(SMALL(IF(checklistPesertaKemenkeu!$AY$6:$AY$1005="Direkomendasikan",ROW($6:$1005)-5),707)+5)&amp;":O"&amp;(SMALL(IF(checklistPesertaKemenkeu!$AY$6:$AY$1005="Direkomendasikan",ROW($6:$1005)-5),707)+5)),INDEX(checklistPesertaKemenkeu!$P$6:$P$1005,SMALL(IF(checklistPesertaKemenkeu!$AY$6:$AY$1005="Direkomendasikan",ROW($6:$1005)-5),707)))=1),IFERROR(VLOOKUP(INDEX(checklistPesertaKemenkeu!$P$6:$P$1005,SMALL(IF(checklistPesertaKemenkeu!$AY$6:$AY$1005="Direkomendasikan",ROW($6:$1005)-5),707)),KotaKode,2,0),"-"),"")),"")</f>
        <v/>
      </c>
    </row>
    <row r="709" spans="1:12" ht="15" customHeight="1" x14ac:dyDescent="0.2">
      <c r="A709" t="str">
        <f t="shared" si="11"/>
        <v/>
      </c>
      <c r="B709" t="str">
        <v/>
      </c>
      <c r="C709" s="40" t="str">
        <f t="array" ref="C709">IFERROR(INDEX(checklistPesertaKemenkeu!$F$6:$F$1005,SMALL(IF(checklistPesertaKemenkeu!$AY$6:$AY$1005="Direkomendasikan",ROW($6:$1005)-5),708)),"")</f>
        <v/>
      </c>
      <c r="D709" t="str">
        <f t="array" ref="D709">IFERROR(INDEX(checklistPesertaKemenkeu!$G$6:$G$1005,SMALL(IF(checklistPesertaKemenkeu!$AY$6:$AY$1005="Direkomendasikan",ROW($6:$1005)-5),708)),"")</f>
        <v/>
      </c>
      <c r="E709" t="str">
        <f t="array" ref="E709">IFERROR(INDEX(checklistPesertaKemenkeu!$H$6:$H$1005,SMALL(IF(checklistPesertaKemenkeu!$AY$6:$AY$1005="Direkomendasikan",ROW($6:$1005)-5),708)),"")</f>
        <v/>
      </c>
      <c r="F709" t="str">
        <f t="array" ref="F709">IFERROR(INDEX(checklistPesertaKemenkeu!$I$6:$I$1005,SMALL(IF(checklistPesertaKemenkeu!$AY$6:$AY$1005="Direkomendasikan",ROW($6:$1005)-5),708)),"")</f>
        <v/>
      </c>
      <c r="G709" t="str">
        <f t="array" ref="G709">IFERROR(INDEX(checklistPesertaKemenkeu!$J$6:$J$1005,SMALL(IF(checklistPesertaKemenkeu!$AY$6:$AY$1005="Direkomendasikan",ROW($6:$1005)-5),708)),"")</f>
        <v/>
      </c>
      <c r="H709" t="str">
        <f t="array" aca="1" ref="H709" ca="1">IFERROR(IF(OR(INDEX(checklistPesertaKemenkeu!$L$6:$L$1005,SMALL(IF(checklistPesertaKemenkeu!$AY$6:$AY$1005="Direkomendasikan",ROW($6:$1005)-5),708))="",INDEX(checklistPesertaKemenkeu!$J$6:$J$1005,SMALL(IF(checklistPesertaKemenkeu!$AY$6:$AY$1005="Direkomendasikan",ROW($6:$1005)-5),708))=""),"",IF(AND(COUNTIF(INDIRECT("K_"&amp;MATCH(INDEX(checklistPesertaKemenkeu!$J$6:$J$1005,SMALL(IF(checklistPesertaKemenkeu!$AY$6:$AY$1005="Direkomendasikan",ROW($6:$1005)-5),708)),BidangList,0)),INDEX(checklistPesertaKemenkeu!$L$6:$L$1005,SMALL(IF(checklistPesertaKemenkeu!$AY$6:$AY$1005="Direkomendasikan",ROW($6:$1005)-5),708)))&gt;0,COUNTIF(INDIRECT("'KERTAS KERJA'!K"&amp;(SMALL(IF(checklistPesertaKemenkeu!$AY$6:$AY$1005="Direkomendasikan",ROW($6:$1005)-5),708)+5)&amp;":O"&amp;(SMALL(IF(checklistPesertaKemenkeu!$AY$6:$AY$1005="Direkomendasikan",ROW($6:$1005)-5),708)+5)),INDEX(checklistPesertaKemenkeu!$L$6:$L$1005,SMALL(IF(checklistPesertaKemenkeu!$AY$6:$AY$1005="Direkomendasikan",ROW($6:$1005)-5),708)))=1),IFERROR(VLOOKUP(INDEX(checklistPesertaKemenkeu!$L$6:$L$1005,SMALL(IF(checklistPesertaKemenkeu!$AY$6:$AY$1005="Direkomendasikan",ROW($6:$1005)-5),708)),KotaKode,2,0),"-"),"")),"")</f>
        <v/>
      </c>
      <c r="I709" t="str">
        <f t="array" aca="1" ref="I709" ca="1">IFERROR(IF(OR(INDEX(checklistPesertaKemenkeu!$M$6:$M$1005,SMALL(IF(checklistPesertaKemenkeu!$AY$6:$AY$1005="Direkomendasikan",ROW($6:$1005)-5),708))="",INDEX(checklistPesertaKemenkeu!$J$6:$J$1005,SMALL(IF(checklistPesertaKemenkeu!$AY$6:$AY$1005="Direkomendasikan",ROW($6:$1005)-5),708))=""),"",IF(AND(COUNTIF(INDIRECT("K_"&amp;MATCH(INDEX(checklistPesertaKemenkeu!$J$6:$J$1005,SMALL(IF(checklistPesertaKemenkeu!$AY$6:$AY$1005="Direkomendasikan",ROW($6:$1005)-5),708)),BidangList,0)),INDEX(checklistPesertaKemenkeu!$M$6:$M$1005,SMALL(IF(checklistPesertaKemenkeu!$AY$6:$AY$1005="Direkomendasikan",ROW($6:$1005)-5),708)))&gt;0,COUNTIF(INDIRECT("'KERTAS KERJA'!K"&amp;(SMALL(IF(checklistPesertaKemenkeu!$AY$6:$AY$1005="Direkomendasikan",ROW($6:$1005)-5),708)+5)&amp;":O"&amp;(SMALL(IF(checklistPesertaKemenkeu!$AY$6:$AY$1005="Direkomendasikan",ROW($6:$1005)-5),708)+5)),INDEX(checklistPesertaKemenkeu!$M$6:$M$1005,SMALL(IF(checklistPesertaKemenkeu!$AY$6:$AY$1005="Direkomendasikan",ROW($6:$1005)-5),708)))=1),IFERROR(VLOOKUP(INDEX(checklistPesertaKemenkeu!$M$6:$M$1005,SMALL(IF(checklistPesertaKemenkeu!$AY$6:$AY$1005="Direkomendasikan",ROW($6:$1005)-5),708)),KotaKode,2,0),"-"),"")),"")</f>
        <v/>
      </c>
      <c r="J709" t="str">
        <f t="array" aca="1" ref="J709" ca="1">IFERROR(IF(OR(INDEX(checklistPesertaKemenkeu!$N$6:$N$1005,SMALL(IF(checklistPesertaKemenkeu!$AY$6:$AY$1005="Direkomendasikan",ROW($6:$1005)-5),708))="",INDEX(checklistPesertaKemenkeu!$J$6:$J$1005,SMALL(IF(checklistPesertaKemenkeu!$AY$6:$AY$1005="Direkomendasikan",ROW($6:$1005)-5),708))=""),"",IF(AND(COUNTIF(INDIRECT("K_"&amp;MATCH(INDEX(checklistPesertaKemenkeu!$J$6:$J$1005,SMALL(IF(checklistPesertaKemenkeu!$AY$6:$AY$1005="Direkomendasikan",ROW($6:$1005)-5),708)),BidangList,0)),INDEX(checklistPesertaKemenkeu!$N$6:$N$1005,SMALL(IF(checklistPesertaKemenkeu!$AY$6:$AY$1005="Direkomendasikan",ROW($6:$1005)-5),708)))&gt;0,COUNTIF(INDIRECT("'KERTAS KERJA'!K"&amp;(SMALL(IF(checklistPesertaKemenkeu!$AY$6:$AY$1005="Direkomendasikan",ROW($6:$1005)-5),708)+5)&amp;":O"&amp;(SMALL(IF(checklistPesertaKemenkeu!$AY$6:$AY$1005="Direkomendasikan",ROW($6:$1005)-5),708)+5)),INDEX(checklistPesertaKemenkeu!$N$6:$N$1005,SMALL(IF(checklistPesertaKemenkeu!$AY$6:$AY$1005="Direkomendasikan",ROW($6:$1005)-5),708)))=1),IFERROR(VLOOKUP(INDEX(checklistPesertaKemenkeu!$N$6:$N$1005,SMALL(IF(checklistPesertaKemenkeu!$AY$6:$AY$1005="Direkomendasikan",ROW($6:$1005)-5),708)),KotaKode,2,0),"-"),"")),"")</f>
        <v/>
      </c>
      <c r="K709" t="str">
        <f t="array" aca="1" ref="K709" ca="1">IFERROR(IF(OR(INDEX(checklistPesertaKemenkeu!$O$6:$O$1005,SMALL(IF(checklistPesertaKemenkeu!$AY$6:$AY$1005="Direkomendasikan",ROW($6:$1005)-5),708))="",INDEX(checklistPesertaKemenkeu!$J$6:$J$1005,SMALL(IF(checklistPesertaKemenkeu!$AY$6:$AY$1005="Direkomendasikan",ROW($6:$1005)-5),708))=""),"",IF(AND(COUNTIF(INDIRECT("K_"&amp;MATCH(INDEX(checklistPesertaKemenkeu!$J$6:$J$1005,SMALL(IF(checklistPesertaKemenkeu!$AY$6:$AY$1005="Direkomendasikan",ROW($6:$1005)-5),708)),BidangList,0)),INDEX(checklistPesertaKemenkeu!$O$6:$O$1005,SMALL(IF(checklistPesertaKemenkeu!$AY$6:$AY$1005="Direkomendasikan",ROW($6:$1005)-5),708)))&gt;0,COUNTIF(INDIRECT("'KERTAS KERJA'!K"&amp;(SMALL(IF(checklistPesertaKemenkeu!$AY$6:$AY$1005="Direkomendasikan",ROW($6:$1005)-5),708)+5)&amp;":O"&amp;(SMALL(IF(checklistPesertaKemenkeu!$AY$6:$AY$1005="Direkomendasikan",ROW($6:$1005)-5),708)+5)),INDEX(checklistPesertaKemenkeu!$O$6:$O$1005,SMALL(IF(checklistPesertaKemenkeu!$AY$6:$AY$1005="Direkomendasikan",ROW($6:$1005)-5),708)))=1),IFERROR(VLOOKUP(INDEX(checklistPesertaKemenkeu!$O$6:$O$1005,SMALL(IF(checklistPesertaKemenkeu!$AY$6:$AY$1005="Direkomendasikan",ROW($6:$1005)-5),708)),KotaKode,2,0),"-"),"")),"")</f>
        <v/>
      </c>
      <c r="L709" t="str">
        <f t="array" aca="1" ref="L709" ca="1">IFERROR(IF(OR(INDEX(checklistPesertaKemenkeu!$P$6:$P$1005,SMALL(IF(checklistPesertaKemenkeu!$AY$6:$AY$1005="Direkomendasikan",ROW($6:$1005)-5),708))="",INDEX(checklistPesertaKemenkeu!$J$6:$J$1005,SMALL(IF(checklistPesertaKemenkeu!$AY$6:$AY$1005="Direkomendasikan",ROW($6:$1005)-5),708))=""),"",IF(AND(COUNTIF(INDIRECT("K_"&amp;MATCH(INDEX(checklistPesertaKemenkeu!$J$6:$J$1005,SMALL(IF(checklistPesertaKemenkeu!$AY$6:$AY$1005="Direkomendasikan",ROW($6:$1005)-5),708)),BidangList,0)),INDEX(checklistPesertaKemenkeu!$P$6:$P$1005,SMALL(IF(checklistPesertaKemenkeu!$AY$6:$AY$1005="Direkomendasikan",ROW($6:$1005)-5),708)))&gt;0,COUNTIF(INDIRECT("'KERTAS KERJA'!K"&amp;(SMALL(IF(checklistPesertaKemenkeu!$AY$6:$AY$1005="Direkomendasikan",ROW($6:$1005)-5),708)+5)&amp;":O"&amp;(SMALL(IF(checklistPesertaKemenkeu!$AY$6:$AY$1005="Direkomendasikan",ROW($6:$1005)-5),708)+5)),INDEX(checklistPesertaKemenkeu!$P$6:$P$1005,SMALL(IF(checklistPesertaKemenkeu!$AY$6:$AY$1005="Direkomendasikan",ROW($6:$1005)-5),708)))=1),IFERROR(VLOOKUP(INDEX(checklistPesertaKemenkeu!$P$6:$P$1005,SMALL(IF(checklistPesertaKemenkeu!$AY$6:$AY$1005="Direkomendasikan",ROW($6:$1005)-5),708)),KotaKode,2,0),"-"),"")),"")</f>
        <v/>
      </c>
    </row>
    <row r="710" spans="1:12" ht="15" customHeight="1" x14ac:dyDescent="0.2">
      <c r="A710" t="str">
        <f t="shared" si="11"/>
        <v/>
      </c>
      <c r="B710" t="str">
        <v/>
      </c>
      <c r="C710" s="40" t="str">
        <f t="array" ref="C710">IFERROR(INDEX(checklistPesertaKemenkeu!$F$6:$F$1005,SMALL(IF(checklistPesertaKemenkeu!$AY$6:$AY$1005="Direkomendasikan",ROW($6:$1005)-5),709)),"")</f>
        <v/>
      </c>
      <c r="D710" t="str">
        <f t="array" ref="D710">IFERROR(INDEX(checklistPesertaKemenkeu!$G$6:$G$1005,SMALL(IF(checklistPesertaKemenkeu!$AY$6:$AY$1005="Direkomendasikan",ROW($6:$1005)-5),709)),"")</f>
        <v/>
      </c>
      <c r="E710" t="str">
        <f t="array" ref="E710">IFERROR(INDEX(checklistPesertaKemenkeu!$H$6:$H$1005,SMALL(IF(checklistPesertaKemenkeu!$AY$6:$AY$1005="Direkomendasikan",ROW($6:$1005)-5),709)),"")</f>
        <v/>
      </c>
      <c r="F710" t="str">
        <f t="array" ref="F710">IFERROR(INDEX(checklistPesertaKemenkeu!$I$6:$I$1005,SMALL(IF(checklistPesertaKemenkeu!$AY$6:$AY$1005="Direkomendasikan",ROW($6:$1005)-5),709)),"")</f>
        <v/>
      </c>
      <c r="G710" t="str">
        <f t="array" ref="G710">IFERROR(INDEX(checklistPesertaKemenkeu!$J$6:$J$1005,SMALL(IF(checklistPesertaKemenkeu!$AY$6:$AY$1005="Direkomendasikan",ROW($6:$1005)-5),709)),"")</f>
        <v/>
      </c>
      <c r="H710" t="str">
        <f t="array" aca="1" ref="H710" ca="1">IFERROR(IF(OR(INDEX(checklistPesertaKemenkeu!$L$6:$L$1005,SMALL(IF(checklistPesertaKemenkeu!$AY$6:$AY$1005="Direkomendasikan",ROW($6:$1005)-5),709))="",INDEX(checklistPesertaKemenkeu!$J$6:$J$1005,SMALL(IF(checklistPesertaKemenkeu!$AY$6:$AY$1005="Direkomendasikan",ROW($6:$1005)-5),709))=""),"",IF(AND(COUNTIF(INDIRECT("K_"&amp;MATCH(INDEX(checklistPesertaKemenkeu!$J$6:$J$1005,SMALL(IF(checklistPesertaKemenkeu!$AY$6:$AY$1005="Direkomendasikan",ROW($6:$1005)-5),709)),BidangList,0)),INDEX(checklistPesertaKemenkeu!$L$6:$L$1005,SMALL(IF(checklistPesertaKemenkeu!$AY$6:$AY$1005="Direkomendasikan",ROW($6:$1005)-5),709)))&gt;0,COUNTIF(INDIRECT("'KERTAS KERJA'!K"&amp;(SMALL(IF(checklistPesertaKemenkeu!$AY$6:$AY$1005="Direkomendasikan",ROW($6:$1005)-5),709)+5)&amp;":O"&amp;(SMALL(IF(checklistPesertaKemenkeu!$AY$6:$AY$1005="Direkomendasikan",ROW($6:$1005)-5),709)+5)),INDEX(checklistPesertaKemenkeu!$L$6:$L$1005,SMALL(IF(checklistPesertaKemenkeu!$AY$6:$AY$1005="Direkomendasikan",ROW($6:$1005)-5),709)))=1),IFERROR(VLOOKUP(INDEX(checklistPesertaKemenkeu!$L$6:$L$1005,SMALL(IF(checklistPesertaKemenkeu!$AY$6:$AY$1005="Direkomendasikan",ROW($6:$1005)-5),709)),KotaKode,2,0),"-"),"")),"")</f>
        <v/>
      </c>
      <c r="I710" t="str">
        <f t="array" aca="1" ref="I710" ca="1">IFERROR(IF(OR(INDEX(checklistPesertaKemenkeu!$M$6:$M$1005,SMALL(IF(checklistPesertaKemenkeu!$AY$6:$AY$1005="Direkomendasikan",ROW($6:$1005)-5),709))="",INDEX(checklistPesertaKemenkeu!$J$6:$J$1005,SMALL(IF(checklistPesertaKemenkeu!$AY$6:$AY$1005="Direkomendasikan",ROW($6:$1005)-5),709))=""),"",IF(AND(COUNTIF(INDIRECT("K_"&amp;MATCH(INDEX(checklistPesertaKemenkeu!$J$6:$J$1005,SMALL(IF(checklistPesertaKemenkeu!$AY$6:$AY$1005="Direkomendasikan",ROW($6:$1005)-5),709)),BidangList,0)),INDEX(checklistPesertaKemenkeu!$M$6:$M$1005,SMALL(IF(checklistPesertaKemenkeu!$AY$6:$AY$1005="Direkomendasikan",ROW($6:$1005)-5),709)))&gt;0,COUNTIF(INDIRECT("'KERTAS KERJA'!K"&amp;(SMALL(IF(checklistPesertaKemenkeu!$AY$6:$AY$1005="Direkomendasikan",ROW($6:$1005)-5),709)+5)&amp;":O"&amp;(SMALL(IF(checklistPesertaKemenkeu!$AY$6:$AY$1005="Direkomendasikan",ROW($6:$1005)-5),709)+5)),INDEX(checklistPesertaKemenkeu!$M$6:$M$1005,SMALL(IF(checklistPesertaKemenkeu!$AY$6:$AY$1005="Direkomendasikan",ROW($6:$1005)-5),709)))=1),IFERROR(VLOOKUP(INDEX(checklistPesertaKemenkeu!$M$6:$M$1005,SMALL(IF(checklistPesertaKemenkeu!$AY$6:$AY$1005="Direkomendasikan",ROW($6:$1005)-5),709)),KotaKode,2,0),"-"),"")),"")</f>
        <v/>
      </c>
      <c r="J710" t="str">
        <f t="array" aca="1" ref="J710" ca="1">IFERROR(IF(OR(INDEX(checklistPesertaKemenkeu!$N$6:$N$1005,SMALL(IF(checklistPesertaKemenkeu!$AY$6:$AY$1005="Direkomendasikan",ROW($6:$1005)-5),709))="",INDEX(checklistPesertaKemenkeu!$J$6:$J$1005,SMALL(IF(checklistPesertaKemenkeu!$AY$6:$AY$1005="Direkomendasikan",ROW($6:$1005)-5),709))=""),"",IF(AND(COUNTIF(INDIRECT("K_"&amp;MATCH(INDEX(checklistPesertaKemenkeu!$J$6:$J$1005,SMALL(IF(checklistPesertaKemenkeu!$AY$6:$AY$1005="Direkomendasikan",ROW($6:$1005)-5),709)),BidangList,0)),INDEX(checklistPesertaKemenkeu!$N$6:$N$1005,SMALL(IF(checklistPesertaKemenkeu!$AY$6:$AY$1005="Direkomendasikan",ROW($6:$1005)-5),709)))&gt;0,COUNTIF(INDIRECT("'KERTAS KERJA'!K"&amp;(SMALL(IF(checklistPesertaKemenkeu!$AY$6:$AY$1005="Direkomendasikan",ROW($6:$1005)-5),709)+5)&amp;":O"&amp;(SMALL(IF(checklistPesertaKemenkeu!$AY$6:$AY$1005="Direkomendasikan",ROW($6:$1005)-5),709)+5)),INDEX(checklistPesertaKemenkeu!$N$6:$N$1005,SMALL(IF(checklistPesertaKemenkeu!$AY$6:$AY$1005="Direkomendasikan",ROW($6:$1005)-5),709)))=1),IFERROR(VLOOKUP(INDEX(checklistPesertaKemenkeu!$N$6:$N$1005,SMALL(IF(checklistPesertaKemenkeu!$AY$6:$AY$1005="Direkomendasikan",ROW($6:$1005)-5),709)),KotaKode,2,0),"-"),"")),"")</f>
        <v/>
      </c>
      <c r="K710" t="str">
        <f t="array" aca="1" ref="K710" ca="1">IFERROR(IF(OR(INDEX(checklistPesertaKemenkeu!$O$6:$O$1005,SMALL(IF(checklistPesertaKemenkeu!$AY$6:$AY$1005="Direkomendasikan",ROW($6:$1005)-5),709))="",INDEX(checklistPesertaKemenkeu!$J$6:$J$1005,SMALL(IF(checklistPesertaKemenkeu!$AY$6:$AY$1005="Direkomendasikan",ROW($6:$1005)-5),709))=""),"",IF(AND(COUNTIF(INDIRECT("K_"&amp;MATCH(INDEX(checklistPesertaKemenkeu!$J$6:$J$1005,SMALL(IF(checklistPesertaKemenkeu!$AY$6:$AY$1005="Direkomendasikan",ROW($6:$1005)-5),709)),BidangList,0)),INDEX(checklistPesertaKemenkeu!$O$6:$O$1005,SMALL(IF(checklistPesertaKemenkeu!$AY$6:$AY$1005="Direkomendasikan",ROW($6:$1005)-5),709)))&gt;0,COUNTIF(INDIRECT("'KERTAS KERJA'!K"&amp;(SMALL(IF(checklistPesertaKemenkeu!$AY$6:$AY$1005="Direkomendasikan",ROW($6:$1005)-5),709)+5)&amp;":O"&amp;(SMALL(IF(checklistPesertaKemenkeu!$AY$6:$AY$1005="Direkomendasikan",ROW($6:$1005)-5),709)+5)),INDEX(checklistPesertaKemenkeu!$O$6:$O$1005,SMALL(IF(checklistPesertaKemenkeu!$AY$6:$AY$1005="Direkomendasikan",ROW($6:$1005)-5),709)))=1),IFERROR(VLOOKUP(INDEX(checklistPesertaKemenkeu!$O$6:$O$1005,SMALL(IF(checklistPesertaKemenkeu!$AY$6:$AY$1005="Direkomendasikan",ROW($6:$1005)-5),709)),KotaKode,2,0),"-"),"")),"")</f>
        <v/>
      </c>
      <c r="L710" t="str">
        <f t="array" aca="1" ref="L710" ca="1">IFERROR(IF(OR(INDEX(checklistPesertaKemenkeu!$P$6:$P$1005,SMALL(IF(checklistPesertaKemenkeu!$AY$6:$AY$1005="Direkomendasikan",ROW($6:$1005)-5),709))="",INDEX(checklistPesertaKemenkeu!$J$6:$J$1005,SMALL(IF(checklistPesertaKemenkeu!$AY$6:$AY$1005="Direkomendasikan",ROW($6:$1005)-5),709))=""),"",IF(AND(COUNTIF(INDIRECT("K_"&amp;MATCH(INDEX(checklistPesertaKemenkeu!$J$6:$J$1005,SMALL(IF(checklistPesertaKemenkeu!$AY$6:$AY$1005="Direkomendasikan",ROW($6:$1005)-5),709)),BidangList,0)),INDEX(checklistPesertaKemenkeu!$P$6:$P$1005,SMALL(IF(checklistPesertaKemenkeu!$AY$6:$AY$1005="Direkomendasikan",ROW($6:$1005)-5),709)))&gt;0,COUNTIF(INDIRECT("'KERTAS KERJA'!K"&amp;(SMALL(IF(checklistPesertaKemenkeu!$AY$6:$AY$1005="Direkomendasikan",ROW($6:$1005)-5),709)+5)&amp;":O"&amp;(SMALL(IF(checklistPesertaKemenkeu!$AY$6:$AY$1005="Direkomendasikan",ROW($6:$1005)-5),709)+5)),INDEX(checklistPesertaKemenkeu!$P$6:$P$1005,SMALL(IF(checklistPesertaKemenkeu!$AY$6:$AY$1005="Direkomendasikan",ROW($6:$1005)-5),709)))=1),IFERROR(VLOOKUP(INDEX(checklistPesertaKemenkeu!$P$6:$P$1005,SMALL(IF(checklistPesertaKemenkeu!$AY$6:$AY$1005="Direkomendasikan",ROW($6:$1005)-5),709)),KotaKode,2,0),"-"),"")),"")</f>
        <v/>
      </c>
    </row>
    <row r="711" spans="1:12" ht="15" customHeight="1" x14ac:dyDescent="0.2">
      <c r="A711" t="str">
        <f t="shared" si="11"/>
        <v/>
      </c>
      <c r="B711" t="str">
        <v/>
      </c>
      <c r="C711" s="40" t="str">
        <f t="array" ref="C711">IFERROR(INDEX(checklistPesertaKemenkeu!$F$6:$F$1005,SMALL(IF(checklistPesertaKemenkeu!$AY$6:$AY$1005="Direkomendasikan",ROW($6:$1005)-5),710)),"")</f>
        <v/>
      </c>
      <c r="D711" t="str">
        <f t="array" ref="D711">IFERROR(INDEX(checklistPesertaKemenkeu!$G$6:$G$1005,SMALL(IF(checklistPesertaKemenkeu!$AY$6:$AY$1005="Direkomendasikan",ROW($6:$1005)-5),710)),"")</f>
        <v/>
      </c>
      <c r="E711" t="str">
        <f t="array" ref="E711">IFERROR(INDEX(checklistPesertaKemenkeu!$H$6:$H$1005,SMALL(IF(checklistPesertaKemenkeu!$AY$6:$AY$1005="Direkomendasikan",ROW($6:$1005)-5),710)),"")</f>
        <v/>
      </c>
      <c r="F711" t="str">
        <f t="array" ref="F711">IFERROR(INDEX(checklistPesertaKemenkeu!$I$6:$I$1005,SMALL(IF(checklistPesertaKemenkeu!$AY$6:$AY$1005="Direkomendasikan",ROW($6:$1005)-5),710)),"")</f>
        <v/>
      </c>
      <c r="G711" t="str">
        <f t="array" ref="G711">IFERROR(INDEX(checklistPesertaKemenkeu!$J$6:$J$1005,SMALL(IF(checklistPesertaKemenkeu!$AY$6:$AY$1005="Direkomendasikan",ROW($6:$1005)-5),710)),"")</f>
        <v/>
      </c>
      <c r="H711" t="str">
        <f t="array" aca="1" ref="H711" ca="1">IFERROR(IF(OR(INDEX(checklistPesertaKemenkeu!$L$6:$L$1005,SMALL(IF(checklistPesertaKemenkeu!$AY$6:$AY$1005="Direkomendasikan",ROW($6:$1005)-5),710))="",INDEX(checklistPesertaKemenkeu!$J$6:$J$1005,SMALL(IF(checklistPesertaKemenkeu!$AY$6:$AY$1005="Direkomendasikan",ROW($6:$1005)-5),710))=""),"",IF(AND(COUNTIF(INDIRECT("K_"&amp;MATCH(INDEX(checklistPesertaKemenkeu!$J$6:$J$1005,SMALL(IF(checklistPesertaKemenkeu!$AY$6:$AY$1005="Direkomendasikan",ROW($6:$1005)-5),710)),BidangList,0)),INDEX(checklistPesertaKemenkeu!$L$6:$L$1005,SMALL(IF(checklistPesertaKemenkeu!$AY$6:$AY$1005="Direkomendasikan",ROW($6:$1005)-5),710)))&gt;0,COUNTIF(INDIRECT("'KERTAS KERJA'!K"&amp;(SMALL(IF(checklistPesertaKemenkeu!$AY$6:$AY$1005="Direkomendasikan",ROW($6:$1005)-5),710)+5)&amp;":O"&amp;(SMALL(IF(checklistPesertaKemenkeu!$AY$6:$AY$1005="Direkomendasikan",ROW($6:$1005)-5),710)+5)),INDEX(checklistPesertaKemenkeu!$L$6:$L$1005,SMALL(IF(checklistPesertaKemenkeu!$AY$6:$AY$1005="Direkomendasikan",ROW($6:$1005)-5),710)))=1),IFERROR(VLOOKUP(INDEX(checklistPesertaKemenkeu!$L$6:$L$1005,SMALL(IF(checklistPesertaKemenkeu!$AY$6:$AY$1005="Direkomendasikan",ROW($6:$1005)-5),710)),KotaKode,2,0),"-"),"")),"")</f>
        <v/>
      </c>
      <c r="I711" t="str">
        <f t="array" aca="1" ref="I711" ca="1">IFERROR(IF(OR(INDEX(checklistPesertaKemenkeu!$M$6:$M$1005,SMALL(IF(checklistPesertaKemenkeu!$AY$6:$AY$1005="Direkomendasikan",ROW($6:$1005)-5),710))="",INDEX(checklistPesertaKemenkeu!$J$6:$J$1005,SMALL(IF(checklistPesertaKemenkeu!$AY$6:$AY$1005="Direkomendasikan",ROW($6:$1005)-5),710))=""),"",IF(AND(COUNTIF(INDIRECT("K_"&amp;MATCH(INDEX(checklistPesertaKemenkeu!$J$6:$J$1005,SMALL(IF(checklistPesertaKemenkeu!$AY$6:$AY$1005="Direkomendasikan",ROW($6:$1005)-5),710)),BidangList,0)),INDEX(checklistPesertaKemenkeu!$M$6:$M$1005,SMALL(IF(checklistPesertaKemenkeu!$AY$6:$AY$1005="Direkomendasikan",ROW($6:$1005)-5),710)))&gt;0,COUNTIF(INDIRECT("'KERTAS KERJA'!K"&amp;(SMALL(IF(checklistPesertaKemenkeu!$AY$6:$AY$1005="Direkomendasikan",ROW($6:$1005)-5),710)+5)&amp;":O"&amp;(SMALL(IF(checklistPesertaKemenkeu!$AY$6:$AY$1005="Direkomendasikan",ROW($6:$1005)-5),710)+5)),INDEX(checklistPesertaKemenkeu!$M$6:$M$1005,SMALL(IF(checklistPesertaKemenkeu!$AY$6:$AY$1005="Direkomendasikan",ROW($6:$1005)-5),710)))=1),IFERROR(VLOOKUP(INDEX(checklistPesertaKemenkeu!$M$6:$M$1005,SMALL(IF(checklistPesertaKemenkeu!$AY$6:$AY$1005="Direkomendasikan",ROW($6:$1005)-5),710)),KotaKode,2,0),"-"),"")),"")</f>
        <v/>
      </c>
      <c r="J711" t="str">
        <f t="array" aca="1" ref="J711" ca="1">IFERROR(IF(OR(INDEX(checklistPesertaKemenkeu!$N$6:$N$1005,SMALL(IF(checklistPesertaKemenkeu!$AY$6:$AY$1005="Direkomendasikan",ROW($6:$1005)-5),710))="",INDEX(checklistPesertaKemenkeu!$J$6:$J$1005,SMALL(IF(checklistPesertaKemenkeu!$AY$6:$AY$1005="Direkomendasikan",ROW($6:$1005)-5),710))=""),"",IF(AND(COUNTIF(INDIRECT("K_"&amp;MATCH(INDEX(checklistPesertaKemenkeu!$J$6:$J$1005,SMALL(IF(checklistPesertaKemenkeu!$AY$6:$AY$1005="Direkomendasikan",ROW($6:$1005)-5),710)),BidangList,0)),INDEX(checklistPesertaKemenkeu!$N$6:$N$1005,SMALL(IF(checklistPesertaKemenkeu!$AY$6:$AY$1005="Direkomendasikan",ROW($6:$1005)-5),710)))&gt;0,COUNTIF(INDIRECT("'KERTAS KERJA'!K"&amp;(SMALL(IF(checklistPesertaKemenkeu!$AY$6:$AY$1005="Direkomendasikan",ROW($6:$1005)-5),710)+5)&amp;":O"&amp;(SMALL(IF(checklistPesertaKemenkeu!$AY$6:$AY$1005="Direkomendasikan",ROW($6:$1005)-5),710)+5)),INDEX(checklistPesertaKemenkeu!$N$6:$N$1005,SMALL(IF(checklistPesertaKemenkeu!$AY$6:$AY$1005="Direkomendasikan",ROW($6:$1005)-5),710)))=1),IFERROR(VLOOKUP(INDEX(checklistPesertaKemenkeu!$N$6:$N$1005,SMALL(IF(checklistPesertaKemenkeu!$AY$6:$AY$1005="Direkomendasikan",ROW($6:$1005)-5),710)),KotaKode,2,0),"-"),"")),"")</f>
        <v/>
      </c>
      <c r="K711" t="str">
        <f t="array" aca="1" ref="K711" ca="1">IFERROR(IF(OR(INDEX(checklistPesertaKemenkeu!$O$6:$O$1005,SMALL(IF(checklistPesertaKemenkeu!$AY$6:$AY$1005="Direkomendasikan",ROW($6:$1005)-5),710))="",INDEX(checklistPesertaKemenkeu!$J$6:$J$1005,SMALL(IF(checklistPesertaKemenkeu!$AY$6:$AY$1005="Direkomendasikan",ROW($6:$1005)-5),710))=""),"",IF(AND(COUNTIF(INDIRECT("K_"&amp;MATCH(INDEX(checklistPesertaKemenkeu!$J$6:$J$1005,SMALL(IF(checklistPesertaKemenkeu!$AY$6:$AY$1005="Direkomendasikan",ROW($6:$1005)-5),710)),BidangList,0)),INDEX(checklistPesertaKemenkeu!$O$6:$O$1005,SMALL(IF(checklistPesertaKemenkeu!$AY$6:$AY$1005="Direkomendasikan",ROW($6:$1005)-5),710)))&gt;0,COUNTIF(INDIRECT("'KERTAS KERJA'!K"&amp;(SMALL(IF(checklistPesertaKemenkeu!$AY$6:$AY$1005="Direkomendasikan",ROW($6:$1005)-5),710)+5)&amp;":O"&amp;(SMALL(IF(checklistPesertaKemenkeu!$AY$6:$AY$1005="Direkomendasikan",ROW($6:$1005)-5),710)+5)),INDEX(checklistPesertaKemenkeu!$O$6:$O$1005,SMALL(IF(checklistPesertaKemenkeu!$AY$6:$AY$1005="Direkomendasikan",ROW($6:$1005)-5),710)))=1),IFERROR(VLOOKUP(INDEX(checklistPesertaKemenkeu!$O$6:$O$1005,SMALL(IF(checklistPesertaKemenkeu!$AY$6:$AY$1005="Direkomendasikan",ROW($6:$1005)-5),710)),KotaKode,2,0),"-"),"")),"")</f>
        <v/>
      </c>
      <c r="L711" t="str">
        <f t="array" aca="1" ref="L711" ca="1">IFERROR(IF(OR(INDEX(checklistPesertaKemenkeu!$P$6:$P$1005,SMALL(IF(checklistPesertaKemenkeu!$AY$6:$AY$1005="Direkomendasikan",ROW($6:$1005)-5),710))="",INDEX(checklistPesertaKemenkeu!$J$6:$J$1005,SMALL(IF(checklistPesertaKemenkeu!$AY$6:$AY$1005="Direkomendasikan",ROW($6:$1005)-5),710))=""),"",IF(AND(COUNTIF(INDIRECT("K_"&amp;MATCH(INDEX(checklistPesertaKemenkeu!$J$6:$J$1005,SMALL(IF(checklistPesertaKemenkeu!$AY$6:$AY$1005="Direkomendasikan",ROW($6:$1005)-5),710)),BidangList,0)),INDEX(checklistPesertaKemenkeu!$P$6:$P$1005,SMALL(IF(checklistPesertaKemenkeu!$AY$6:$AY$1005="Direkomendasikan",ROW($6:$1005)-5),710)))&gt;0,COUNTIF(INDIRECT("'KERTAS KERJA'!K"&amp;(SMALL(IF(checklistPesertaKemenkeu!$AY$6:$AY$1005="Direkomendasikan",ROW($6:$1005)-5),710)+5)&amp;":O"&amp;(SMALL(IF(checklistPesertaKemenkeu!$AY$6:$AY$1005="Direkomendasikan",ROW($6:$1005)-5),710)+5)),INDEX(checklistPesertaKemenkeu!$P$6:$P$1005,SMALL(IF(checklistPesertaKemenkeu!$AY$6:$AY$1005="Direkomendasikan",ROW($6:$1005)-5),710)))=1),IFERROR(VLOOKUP(INDEX(checklistPesertaKemenkeu!$P$6:$P$1005,SMALL(IF(checklistPesertaKemenkeu!$AY$6:$AY$1005="Direkomendasikan",ROW($6:$1005)-5),710)),KotaKode,2,0),"-"),"")),"")</f>
        <v/>
      </c>
    </row>
    <row r="712" spans="1:12" ht="15" customHeight="1" x14ac:dyDescent="0.2">
      <c r="A712" t="str">
        <f t="shared" si="11"/>
        <v/>
      </c>
      <c r="B712" t="str">
        <v/>
      </c>
      <c r="C712" s="40" t="str">
        <f t="array" ref="C712">IFERROR(INDEX(checklistPesertaKemenkeu!$F$6:$F$1005,SMALL(IF(checklistPesertaKemenkeu!$AY$6:$AY$1005="Direkomendasikan",ROW($6:$1005)-5),711)),"")</f>
        <v/>
      </c>
      <c r="D712" t="str">
        <f t="array" ref="D712">IFERROR(INDEX(checklistPesertaKemenkeu!$G$6:$G$1005,SMALL(IF(checklistPesertaKemenkeu!$AY$6:$AY$1005="Direkomendasikan",ROW($6:$1005)-5),711)),"")</f>
        <v/>
      </c>
      <c r="E712" t="str">
        <f t="array" ref="E712">IFERROR(INDEX(checklistPesertaKemenkeu!$H$6:$H$1005,SMALL(IF(checklistPesertaKemenkeu!$AY$6:$AY$1005="Direkomendasikan",ROW($6:$1005)-5),711)),"")</f>
        <v/>
      </c>
      <c r="F712" t="str">
        <f t="array" ref="F712">IFERROR(INDEX(checklistPesertaKemenkeu!$I$6:$I$1005,SMALL(IF(checklistPesertaKemenkeu!$AY$6:$AY$1005="Direkomendasikan",ROW($6:$1005)-5),711)),"")</f>
        <v/>
      </c>
      <c r="G712" t="str">
        <f t="array" ref="G712">IFERROR(INDEX(checklistPesertaKemenkeu!$J$6:$J$1005,SMALL(IF(checklistPesertaKemenkeu!$AY$6:$AY$1005="Direkomendasikan",ROW($6:$1005)-5),711)),"")</f>
        <v/>
      </c>
      <c r="H712" t="str">
        <f t="array" aca="1" ref="H712" ca="1">IFERROR(IF(OR(INDEX(checklistPesertaKemenkeu!$L$6:$L$1005,SMALL(IF(checklistPesertaKemenkeu!$AY$6:$AY$1005="Direkomendasikan",ROW($6:$1005)-5),711))="",INDEX(checklistPesertaKemenkeu!$J$6:$J$1005,SMALL(IF(checklistPesertaKemenkeu!$AY$6:$AY$1005="Direkomendasikan",ROW($6:$1005)-5),711))=""),"",IF(AND(COUNTIF(INDIRECT("K_"&amp;MATCH(INDEX(checklistPesertaKemenkeu!$J$6:$J$1005,SMALL(IF(checklistPesertaKemenkeu!$AY$6:$AY$1005="Direkomendasikan",ROW($6:$1005)-5),711)),BidangList,0)),INDEX(checklistPesertaKemenkeu!$L$6:$L$1005,SMALL(IF(checklistPesertaKemenkeu!$AY$6:$AY$1005="Direkomendasikan",ROW($6:$1005)-5),711)))&gt;0,COUNTIF(INDIRECT("'KERTAS KERJA'!K"&amp;(SMALL(IF(checklistPesertaKemenkeu!$AY$6:$AY$1005="Direkomendasikan",ROW($6:$1005)-5),711)+5)&amp;":O"&amp;(SMALL(IF(checklistPesertaKemenkeu!$AY$6:$AY$1005="Direkomendasikan",ROW($6:$1005)-5),711)+5)),INDEX(checklistPesertaKemenkeu!$L$6:$L$1005,SMALL(IF(checklistPesertaKemenkeu!$AY$6:$AY$1005="Direkomendasikan",ROW($6:$1005)-5),711)))=1),IFERROR(VLOOKUP(INDEX(checklistPesertaKemenkeu!$L$6:$L$1005,SMALL(IF(checklistPesertaKemenkeu!$AY$6:$AY$1005="Direkomendasikan",ROW($6:$1005)-5),711)),KotaKode,2,0),"-"),"")),"")</f>
        <v/>
      </c>
      <c r="I712" t="str">
        <f t="array" aca="1" ref="I712" ca="1">IFERROR(IF(OR(INDEX(checklistPesertaKemenkeu!$M$6:$M$1005,SMALL(IF(checklistPesertaKemenkeu!$AY$6:$AY$1005="Direkomendasikan",ROW($6:$1005)-5),711))="",INDEX(checklistPesertaKemenkeu!$J$6:$J$1005,SMALL(IF(checklistPesertaKemenkeu!$AY$6:$AY$1005="Direkomendasikan",ROW($6:$1005)-5),711))=""),"",IF(AND(COUNTIF(INDIRECT("K_"&amp;MATCH(INDEX(checklistPesertaKemenkeu!$J$6:$J$1005,SMALL(IF(checklistPesertaKemenkeu!$AY$6:$AY$1005="Direkomendasikan",ROW($6:$1005)-5),711)),BidangList,0)),INDEX(checklistPesertaKemenkeu!$M$6:$M$1005,SMALL(IF(checklistPesertaKemenkeu!$AY$6:$AY$1005="Direkomendasikan",ROW($6:$1005)-5),711)))&gt;0,COUNTIF(INDIRECT("'KERTAS KERJA'!K"&amp;(SMALL(IF(checklistPesertaKemenkeu!$AY$6:$AY$1005="Direkomendasikan",ROW($6:$1005)-5),711)+5)&amp;":O"&amp;(SMALL(IF(checklistPesertaKemenkeu!$AY$6:$AY$1005="Direkomendasikan",ROW($6:$1005)-5),711)+5)),INDEX(checklistPesertaKemenkeu!$M$6:$M$1005,SMALL(IF(checklistPesertaKemenkeu!$AY$6:$AY$1005="Direkomendasikan",ROW($6:$1005)-5),711)))=1),IFERROR(VLOOKUP(INDEX(checklistPesertaKemenkeu!$M$6:$M$1005,SMALL(IF(checklistPesertaKemenkeu!$AY$6:$AY$1005="Direkomendasikan",ROW($6:$1005)-5),711)),KotaKode,2,0),"-"),"")),"")</f>
        <v/>
      </c>
      <c r="J712" t="str">
        <f t="array" aca="1" ref="J712" ca="1">IFERROR(IF(OR(INDEX(checklistPesertaKemenkeu!$N$6:$N$1005,SMALL(IF(checklistPesertaKemenkeu!$AY$6:$AY$1005="Direkomendasikan",ROW($6:$1005)-5),711))="",INDEX(checklistPesertaKemenkeu!$J$6:$J$1005,SMALL(IF(checklistPesertaKemenkeu!$AY$6:$AY$1005="Direkomendasikan",ROW($6:$1005)-5),711))=""),"",IF(AND(COUNTIF(INDIRECT("K_"&amp;MATCH(INDEX(checklistPesertaKemenkeu!$J$6:$J$1005,SMALL(IF(checklistPesertaKemenkeu!$AY$6:$AY$1005="Direkomendasikan",ROW($6:$1005)-5),711)),BidangList,0)),INDEX(checklistPesertaKemenkeu!$N$6:$N$1005,SMALL(IF(checklistPesertaKemenkeu!$AY$6:$AY$1005="Direkomendasikan",ROW($6:$1005)-5),711)))&gt;0,COUNTIF(INDIRECT("'KERTAS KERJA'!K"&amp;(SMALL(IF(checklistPesertaKemenkeu!$AY$6:$AY$1005="Direkomendasikan",ROW($6:$1005)-5),711)+5)&amp;":O"&amp;(SMALL(IF(checklistPesertaKemenkeu!$AY$6:$AY$1005="Direkomendasikan",ROW($6:$1005)-5),711)+5)),INDEX(checklistPesertaKemenkeu!$N$6:$N$1005,SMALL(IF(checklistPesertaKemenkeu!$AY$6:$AY$1005="Direkomendasikan",ROW($6:$1005)-5),711)))=1),IFERROR(VLOOKUP(INDEX(checklistPesertaKemenkeu!$N$6:$N$1005,SMALL(IF(checklistPesertaKemenkeu!$AY$6:$AY$1005="Direkomendasikan",ROW($6:$1005)-5),711)),KotaKode,2,0),"-"),"")),"")</f>
        <v/>
      </c>
      <c r="K712" t="str">
        <f t="array" aca="1" ref="K712" ca="1">IFERROR(IF(OR(INDEX(checklistPesertaKemenkeu!$O$6:$O$1005,SMALL(IF(checklistPesertaKemenkeu!$AY$6:$AY$1005="Direkomendasikan",ROW($6:$1005)-5),711))="",INDEX(checklistPesertaKemenkeu!$J$6:$J$1005,SMALL(IF(checklistPesertaKemenkeu!$AY$6:$AY$1005="Direkomendasikan",ROW($6:$1005)-5),711))=""),"",IF(AND(COUNTIF(INDIRECT("K_"&amp;MATCH(INDEX(checklistPesertaKemenkeu!$J$6:$J$1005,SMALL(IF(checklistPesertaKemenkeu!$AY$6:$AY$1005="Direkomendasikan",ROW($6:$1005)-5),711)),BidangList,0)),INDEX(checklistPesertaKemenkeu!$O$6:$O$1005,SMALL(IF(checklistPesertaKemenkeu!$AY$6:$AY$1005="Direkomendasikan",ROW($6:$1005)-5),711)))&gt;0,COUNTIF(INDIRECT("'KERTAS KERJA'!K"&amp;(SMALL(IF(checklistPesertaKemenkeu!$AY$6:$AY$1005="Direkomendasikan",ROW($6:$1005)-5),711)+5)&amp;":O"&amp;(SMALL(IF(checklistPesertaKemenkeu!$AY$6:$AY$1005="Direkomendasikan",ROW($6:$1005)-5),711)+5)),INDEX(checklistPesertaKemenkeu!$O$6:$O$1005,SMALL(IF(checklistPesertaKemenkeu!$AY$6:$AY$1005="Direkomendasikan",ROW($6:$1005)-5),711)))=1),IFERROR(VLOOKUP(INDEX(checklistPesertaKemenkeu!$O$6:$O$1005,SMALL(IF(checklistPesertaKemenkeu!$AY$6:$AY$1005="Direkomendasikan",ROW($6:$1005)-5),711)),KotaKode,2,0),"-"),"")),"")</f>
        <v/>
      </c>
      <c r="L712" t="str">
        <f t="array" aca="1" ref="L712" ca="1">IFERROR(IF(OR(INDEX(checklistPesertaKemenkeu!$P$6:$P$1005,SMALL(IF(checklistPesertaKemenkeu!$AY$6:$AY$1005="Direkomendasikan",ROW($6:$1005)-5),711))="",INDEX(checklistPesertaKemenkeu!$J$6:$J$1005,SMALL(IF(checklistPesertaKemenkeu!$AY$6:$AY$1005="Direkomendasikan",ROW($6:$1005)-5),711))=""),"",IF(AND(COUNTIF(INDIRECT("K_"&amp;MATCH(INDEX(checklistPesertaKemenkeu!$J$6:$J$1005,SMALL(IF(checklistPesertaKemenkeu!$AY$6:$AY$1005="Direkomendasikan",ROW($6:$1005)-5),711)),BidangList,0)),INDEX(checklistPesertaKemenkeu!$P$6:$P$1005,SMALL(IF(checklistPesertaKemenkeu!$AY$6:$AY$1005="Direkomendasikan",ROW($6:$1005)-5),711)))&gt;0,COUNTIF(INDIRECT("'KERTAS KERJA'!K"&amp;(SMALL(IF(checklistPesertaKemenkeu!$AY$6:$AY$1005="Direkomendasikan",ROW($6:$1005)-5),711)+5)&amp;":O"&amp;(SMALL(IF(checklistPesertaKemenkeu!$AY$6:$AY$1005="Direkomendasikan",ROW($6:$1005)-5),711)+5)),INDEX(checklistPesertaKemenkeu!$P$6:$P$1005,SMALL(IF(checklistPesertaKemenkeu!$AY$6:$AY$1005="Direkomendasikan",ROW($6:$1005)-5),711)))=1),IFERROR(VLOOKUP(INDEX(checklistPesertaKemenkeu!$P$6:$P$1005,SMALL(IF(checklistPesertaKemenkeu!$AY$6:$AY$1005="Direkomendasikan",ROW($6:$1005)-5),711)),KotaKode,2,0),"-"),"")),"")</f>
        <v/>
      </c>
    </row>
    <row r="713" spans="1:12" ht="15" customHeight="1" x14ac:dyDescent="0.2">
      <c r="A713" t="str">
        <f t="shared" si="11"/>
        <v/>
      </c>
      <c r="B713" t="str">
        <v/>
      </c>
      <c r="C713" s="40" t="str">
        <f t="array" ref="C713">IFERROR(INDEX(checklistPesertaKemenkeu!$F$6:$F$1005,SMALL(IF(checklistPesertaKemenkeu!$AY$6:$AY$1005="Direkomendasikan",ROW($6:$1005)-5),712)),"")</f>
        <v/>
      </c>
      <c r="D713" t="str">
        <f t="array" ref="D713">IFERROR(INDEX(checklistPesertaKemenkeu!$G$6:$G$1005,SMALL(IF(checklistPesertaKemenkeu!$AY$6:$AY$1005="Direkomendasikan",ROW($6:$1005)-5),712)),"")</f>
        <v/>
      </c>
      <c r="E713" t="str">
        <f t="array" ref="E713">IFERROR(INDEX(checklistPesertaKemenkeu!$H$6:$H$1005,SMALL(IF(checklistPesertaKemenkeu!$AY$6:$AY$1005="Direkomendasikan",ROW($6:$1005)-5),712)),"")</f>
        <v/>
      </c>
      <c r="F713" t="str">
        <f t="array" ref="F713">IFERROR(INDEX(checklistPesertaKemenkeu!$I$6:$I$1005,SMALL(IF(checklistPesertaKemenkeu!$AY$6:$AY$1005="Direkomendasikan",ROW($6:$1005)-5),712)),"")</f>
        <v/>
      </c>
      <c r="G713" t="str">
        <f t="array" ref="G713">IFERROR(INDEX(checklistPesertaKemenkeu!$J$6:$J$1005,SMALL(IF(checklistPesertaKemenkeu!$AY$6:$AY$1005="Direkomendasikan",ROW($6:$1005)-5),712)),"")</f>
        <v/>
      </c>
      <c r="H713" t="str">
        <f t="array" aca="1" ref="H713" ca="1">IFERROR(IF(OR(INDEX(checklistPesertaKemenkeu!$L$6:$L$1005,SMALL(IF(checklistPesertaKemenkeu!$AY$6:$AY$1005="Direkomendasikan",ROW($6:$1005)-5),712))="",INDEX(checklistPesertaKemenkeu!$J$6:$J$1005,SMALL(IF(checklistPesertaKemenkeu!$AY$6:$AY$1005="Direkomendasikan",ROW($6:$1005)-5),712))=""),"",IF(AND(COUNTIF(INDIRECT("K_"&amp;MATCH(INDEX(checklistPesertaKemenkeu!$J$6:$J$1005,SMALL(IF(checklistPesertaKemenkeu!$AY$6:$AY$1005="Direkomendasikan",ROW($6:$1005)-5),712)),BidangList,0)),INDEX(checklistPesertaKemenkeu!$L$6:$L$1005,SMALL(IF(checklistPesertaKemenkeu!$AY$6:$AY$1005="Direkomendasikan",ROW($6:$1005)-5),712)))&gt;0,COUNTIF(INDIRECT("'KERTAS KERJA'!K"&amp;(SMALL(IF(checklistPesertaKemenkeu!$AY$6:$AY$1005="Direkomendasikan",ROW($6:$1005)-5),712)+5)&amp;":O"&amp;(SMALL(IF(checklistPesertaKemenkeu!$AY$6:$AY$1005="Direkomendasikan",ROW($6:$1005)-5),712)+5)),INDEX(checklistPesertaKemenkeu!$L$6:$L$1005,SMALL(IF(checklistPesertaKemenkeu!$AY$6:$AY$1005="Direkomendasikan",ROW($6:$1005)-5),712)))=1),IFERROR(VLOOKUP(INDEX(checklistPesertaKemenkeu!$L$6:$L$1005,SMALL(IF(checklistPesertaKemenkeu!$AY$6:$AY$1005="Direkomendasikan",ROW($6:$1005)-5),712)),KotaKode,2,0),"-"),"")),"")</f>
        <v/>
      </c>
      <c r="I713" t="str">
        <f t="array" aca="1" ref="I713" ca="1">IFERROR(IF(OR(INDEX(checklistPesertaKemenkeu!$M$6:$M$1005,SMALL(IF(checklistPesertaKemenkeu!$AY$6:$AY$1005="Direkomendasikan",ROW($6:$1005)-5),712))="",INDEX(checklistPesertaKemenkeu!$J$6:$J$1005,SMALL(IF(checklistPesertaKemenkeu!$AY$6:$AY$1005="Direkomendasikan",ROW($6:$1005)-5),712))=""),"",IF(AND(COUNTIF(INDIRECT("K_"&amp;MATCH(INDEX(checklistPesertaKemenkeu!$J$6:$J$1005,SMALL(IF(checklistPesertaKemenkeu!$AY$6:$AY$1005="Direkomendasikan",ROW($6:$1005)-5),712)),BidangList,0)),INDEX(checklistPesertaKemenkeu!$M$6:$M$1005,SMALL(IF(checklistPesertaKemenkeu!$AY$6:$AY$1005="Direkomendasikan",ROW($6:$1005)-5),712)))&gt;0,COUNTIF(INDIRECT("'KERTAS KERJA'!K"&amp;(SMALL(IF(checklistPesertaKemenkeu!$AY$6:$AY$1005="Direkomendasikan",ROW($6:$1005)-5),712)+5)&amp;":O"&amp;(SMALL(IF(checklistPesertaKemenkeu!$AY$6:$AY$1005="Direkomendasikan",ROW($6:$1005)-5),712)+5)),INDEX(checklistPesertaKemenkeu!$M$6:$M$1005,SMALL(IF(checklistPesertaKemenkeu!$AY$6:$AY$1005="Direkomendasikan",ROW($6:$1005)-5),712)))=1),IFERROR(VLOOKUP(INDEX(checklistPesertaKemenkeu!$M$6:$M$1005,SMALL(IF(checklistPesertaKemenkeu!$AY$6:$AY$1005="Direkomendasikan",ROW($6:$1005)-5),712)),KotaKode,2,0),"-"),"")),"")</f>
        <v/>
      </c>
      <c r="J713" t="str">
        <f t="array" aca="1" ref="J713" ca="1">IFERROR(IF(OR(INDEX(checklistPesertaKemenkeu!$N$6:$N$1005,SMALL(IF(checklistPesertaKemenkeu!$AY$6:$AY$1005="Direkomendasikan",ROW($6:$1005)-5),712))="",INDEX(checklistPesertaKemenkeu!$J$6:$J$1005,SMALL(IF(checklistPesertaKemenkeu!$AY$6:$AY$1005="Direkomendasikan",ROW($6:$1005)-5),712))=""),"",IF(AND(COUNTIF(INDIRECT("K_"&amp;MATCH(INDEX(checklistPesertaKemenkeu!$J$6:$J$1005,SMALL(IF(checklistPesertaKemenkeu!$AY$6:$AY$1005="Direkomendasikan",ROW($6:$1005)-5),712)),BidangList,0)),INDEX(checklistPesertaKemenkeu!$N$6:$N$1005,SMALL(IF(checklistPesertaKemenkeu!$AY$6:$AY$1005="Direkomendasikan",ROW($6:$1005)-5),712)))&gt;0,COUNTIF(INDIRECT("'KERTAS KERJA'!K"&amp;(SMALL(IF(checklistPesertaKemenkeu!$AY$6:$AY$1005="Direkomendasikan",ROW($6:$1005)-5),712)+5)&amp;":O"&amp;(SMALL(IF(checklistPesertaKemenkeu!$AY$6:$AY$1005="Direkomendasikan",ROW($6:$1005)-5),712)+5)),INDEX(checklistPesertaKemenkeu!$N$6:$N$1005,SMALL(IF(checklistPesertaKemenkeu!$AY$6:$AY$1005="Direkomendasikan",ROW($6:$1005)-5),712)))=1),IFERROR(VLOOKUP(INDEX(checklistPesertaKemenkeu!$N$6:$N$1005,SMALL(IF(checklistPesertaKemenkeu!$AY$6:$AY$1005="Direkomendasikan",ROW($6:$1005)-5),712)),KotaKode,2,0),"-"),"")),"")</f>
        <v/>
      </c>
      <c r="K713" t="str">
        <f t="array" aca="1" ref="K713" ca="1">IFERROR(IF(OR(INDEX(checklistPesertaKemenkeu!$O$6:$O$1005,SMALL(IF(checklistPesertaKemenkeu!$AY$6:$AY$1005="Direkomendasikan",ROW($6:$1005)-5),712))="",INDEX(checklistPesertaKemenkeu!$J$6:$J$1005,SMALL(IF(checklistPesertaKemenkeu!$AY$6:$AY$1005="Direkomendasikan",ROW($6:$1005)-5),712))=""),"",IF(AND(COUNTIF(INDIRECT("K_"&amp;MATCH(INDEX(checklistPesertaKemenkeu!$J$6:$J$1005,SMALL(IF(checklistPesertaKemenkeu!$AY$6:$AY$1005="Direkomendasikan",ROW($6:$1005)-5),712)),BidangList,0)),INDEX(checklistPesertaKemenkeu!$O$6:$O$1005,SMALL(IF(checklistPesertaKemenkeu!$AY$6:$AY$1005="Direkomendasikan",ROW($6:$1005)-5),712)))&gt;0,COUNTIF(INDIRECT("'KERTAS KERJA'!K"&amp;(SMALL(IF(checklistPesertaKemenkeu!$AY$6:$AY$1005="Direkomendasikan",ROW($6:$1005)-5),712)+5)&amp;":O"&amp;(SMALL(IF(checklistPesertaKemenkeu!$AY$6:$AY$1005="Direkomendasikan",ROW($6:$1005)-5),712)+5)),INDEX(checklistPesertaKemenkeu!$O$6:$O$1005,SMALL(IF(checklistPesertaKemenkeu!$AY$6:$AY$1005="Direkomendasikan",ROW($6:$1005)-5),712)))=1),IFERROR(VLOOKUP(INDEX(checklistPesertaKemenkeu!$O$6:$O$1005,SMALL(IF(checklistPesertaKemenkeu!$AY$6:$AY$1005="Direkomendasikan",ROW($6:$1005)-5),712)),KotaKode,2,0),"-"),"")),"")</f>
        <v/>
      </c>
      <c r="L713" t="str">
        <f t="array" aca="1" ref="L713" ca="1">IFERROR(IF(OR(INDEX(checklistPesertaKemenkeu!$P$6:$P$1005,SMALL(IF(checklistPesertaKemenkeu!$AY$6:$AY$1005="Direkomendasikan",ROW($6:$1005)-5),712))="",INDEX(checklistPesertaKemenkeu!$J$6:$J$1005,SMALL(IF(checklistPesertaKemenkeu!$AY$6:$AY$1005="Direkomendasikan",ROW($6:$1005)-5),712))=""),"",IF(AND(COUNTIF(INDIRECT("K_"&amp;MATCH(INDEX(checklistPesertaKemenkeu!$J$6:$J$1005,SMALL(IF(checklistPesertaKemenkeu!$AY$6:$AY$1005="Direkomendasikan",ROW($6:$1005)-5),712)),BidangList,0)),INDEX(checklistPesertaKemenkeu!$P$6:$P$1005,SMALL(IF(checklistPesertaKemenkeu!$AY$6:$AY$1005="Direkomendasikan",ROW($6:$1005)-5),712)))&gt;0,COUNTIF(INDIRECT("'KERTAS KERJA'!K"&amp;(SMALL(IF(checklistPesertaKemenkeu!$AY$6:$AY$1005="Direkomendasikan",ROW($6:$1005)-5),712)+5)&amp;":O"&amp;(SMALL(IF(checklistPesertaKemenkeu!$AY$6:$AY$1005="Direkomendasikan",ROW($6:$1005)-5),712)+5)),INDEX(checklistPesertaKemenkeu!$P$6:$P$1005,SMALL(IF(checklistPesertaKemenkeu!$AY$6:$AY$1005="Direkomendasikan",ROW($6:$1005)-5),712)))=1),IFERROR(VLOOKUP(INDEX(checklistPesertaKemenkeu!$P$6:$P$1005,SMALL(IF(checklistPesertaKemenkeu!$AY$6:$AY$1005="Direkomendasikan",ROW($6:$1005)-5),712)),KotaKode,2,0),"-"),"")),"")</f>
        <v/>
      </c>
    </row>
    <row r="714" spans="1:12" ht="15" customHeight="1" x14ac:dyDescent="0.2">
      <c r="A714" t="str">
        <f t="shared" si="11"/>
        <v/>
      </c>
      <c r="B714" t="str">
        <v/>
      </c>
      <c r="C714" s="40" t="str">
        <f t="array" ref="C714">IFERROR(INDEX(checklistPesertaKemenkeu!$F$6:$F$1005,SMALL(IF(checklistPesertaKemenkeu!$AY$6:$AY$1005="Direkomendasikan",ROW($6:$1005)-5),713)),"")</f>
        <v/>
      </c>
      <c r="D714" t="str">
        <f t="array" ref="D714">IFERROR(INDEX(checklistPesertaKemenkeu!$G$6:$G$1005,SMALL(IF(checklistPesertaKemenkeu!$AY$6:$AY$1005="Direkomendasikan",ROW($6:$1005)-5),713)),"")</f>
        <v/>
      </c>
      <c r="E714" t="str">
        <f t="array" ref="E714">IFERROR(INDEX(checklistPesertaKemenkeu!$H$6:$H$1005,SMALL(IF(checklistPesertaKemenkeu!$AY$6:$AY$1005="Direkomendasikan",ROW($6:$1005)-5),713)),"")</f>
        <v/>
      </c>
      <c r="F714" t="str">
        <f t="array" ref="F714">IFERROR(INDEX(checklistPesertaKemenkeu!$I$6:$I$1005,SMALL(IF(checklistPesertaKemenkeu!$AY$6:$AY$1005="Direkomendasikan",ROW($6:$1005)-5),713)),"")</f>
        <v/>
      </c>
      <c r="G714" t="str">
        <f t="array" ref="G714">IFERROR(INDEX(checklistPesertaKemenkeu!$J$6:$J$1005,SMALL(IF(checklistPesertaKemenkeu!$AY$6:$AY$1005="Direkomendasikan",ROW($6:$1005)-5),713)),"")</f>
        <v/>
      </c>
      <c r="H714" t="str">
        <f t="array" aca="1" ref="H714" ca="1">IFERROR(IF(OR(INDEX(checklistPesertaKemenkeu!$L$6:$L$1005,SMALL(IF(checklistPesertaKemenkeu!$AY$6:$AY$1005="Direkomendasikan",ROW($6:$1005)-5),713))="",INDEX(checklistPesertaKemenkeu!$J$6:$J$1005,SMALL(IF(checklistPesertaKemenkeu!$AY$6:$AY$1005="Direkomendasikan",ROW($6:$1005)-5),713))=""),"",IF(AND(COUNTIF(INDIRECT("K_"&amp;MATCH(INDEX(checklistPesertaKemenkeu!$J$6:$J$1005,SMALL(IF(checklistPesertaKemenkeu!$AY$6:$AY$1005="Direkomendasikan",ROW($6:$1005)-5),713)),BidangList,0)),INDEX(checklistPesertaKemenkeu!$L$6:$L$1005,SMALL(IF(checklistPesertaKemenkeu!$AY$6:$AY$1005="Direkomendasikan",ROW($6:$1005)-5),713)))&gt;0,COUNTIF(INDIRECT("'KERTAS KERJA'!K"&amp;(SMALL(IF(checklistPesertaKemenkeu!$AY$6:$AY$1005="Direkomendasikan",ROW($6:$1005)-5),713)+5)&amp;":O"&amp;(SMALL(IF(checklistPesertaKemenkeu!$AY$6:$AY$1005="Direkomendasikan",ROW($6:$1005)-5),713)+5)),INDEX(checklistPesertaKemenkeu!$L$6:$L$1005,SMALL(IF(checklistPesertaKemenkeu!$AY$6:$AY$1005="Direkomendasikan",ROW($6:$1005)-5),713)))=1),IFERROR(VLOOKUP(INDEX(checklistPesertaKemenkeu!$L$6:$L$1005,SMALL(IF(checklistPesertaKemenkeu!$AY$6:$AY$1005="Direkomendasikan",ROW($6:$1005)-5),713)),KotaKode,2,0),"-"),"")),"")</f>
        <v/>
      </c>
      <c r="I714" t="str">
        <f t="array" aca="1" ref="I714" ca="1">IFERROR(IF(OR(INDEX(checklistPesertaKemenkeu!$M$6:$M$1005,SMALL(IF(checklistPesertaKemenkeu!$AY$6:$AY$1005="Direkomendasikan",ROW($6:$1005)-5),713))="",INDEX(checklistPesertaKemenkeu!$J$6:$J$1005,SMALL(IF(checklistPesertaKemenkeu!$AY$6:$AY$1005="Direkomendasikan",ROW($6:$1005)-5),713))=""),"",IF(AND(COUNTIF(INDIRECT("K_"&amp;MATCH(INDEX(checklistPesertaKemenkeu!$J$6:$J$1005,SMALL(IF(checklistPesertaKemenkeu!$AY$6:$AY$1005="Direkomendasikan",ROW($6:$1005)-5),713)),BidangList,0)),INDEX(checklistPesertaKemenkeu!$M$6:$M$1005,SMALL(IF(checklistPesertaKemenkeu!$AY$6:$AY$1005="Direkomendasikan",ROW($6:$1005)-5),713)))&gt;0,COUNTIF(INDIRECT("'KERTAS KERJA'!K"&amp;(SMALL(IF(checklistPesertaKemenkeu!$AY$6:$AY$1005="Direkomendasikan",ROW($6:$1005)-5),713)+5)&amp;":O"&amp;(SMALL(IF(checklistPesertaKemenkeu!$AY$6:$AY$1005="Direkomendasikan",ROW($6:$1005)-5),713)+5)),INDEX(checklistPesertaKemenkeu!$M$6:$M$1005,SMALL(IF(checklistPesertaKemenkeu!$AY$6:$AY$1005="Direkomendasikan",ROW($6:$1005)-5),713)))=1),IFERROR(VLOOKUP(INDEX(checklistPesertaKemenkeu!$M$6:$M$1005,SMALL(IF(checklistPesertaKemenkeu!$AY$6:$AY$1005="Direkomendasikan",ROW($6:$1005)-5),713)),KotaKode,2,0),"-"),"")),"")</f>
        <v/>
      </c>
      <c r="J714" t="str">
        <f t="array" aca="1" ref="J714" ca="1">IFERROR(IF(OR(INDEX(checklistPesertaKemenkeu!$N$6:$N$1005,SMALL(IF(checklistPesertaKemenkeu!$AY$6:$AY$1005="Direkomendasikan",ROW($6:$1005)-5),713))="",INDEX(checklistPesertaKemenkeu!$J$6:$J$1005,SMALL(IF(checklistPesertaKemenkeu!$AY$6:$AY$1005="Direkomendasikan",ROW($6:$1005)-5),713))=""),"",IF(AND(COUNTIF(INDIRECT("K_"&amp;MATCH(INDEX(checklistPesertaKemenkeu!$J$6:$J$1005,SMALL(IF(checklistPesertaKemenkeu!$AY$6:$AY$1005="Direkomendasikan",ROW($6:$1005)-5),713)),BidangList,0)),INDEX(checklistPesertaKemenkeu!$N$6:$N$1005,SMALL(IF(checklistPesertaKemenkeu!$AY$6:$AY$1005="Direkomendasikan",ROW($6:$1005)-5),713)))&gt;0,COUNTIF(INDIRECT("'KERTAS KERJA'!K"&amp;(SMALL(IF(checklistPesertaKemenkeu!$AY$6:$AY$1005="Direkomendasikan",ROW($6:$1005)-5),713)+5)&amp;":O"&amp;(SMALL(IF(checklistPesertaKemenkeu!$AY$6:$AY$1005="Direkomendasikan",ROW($6:$1005)-5),713)+5)),INDEX(checklistPesertaKemenkeu!$N$6:$N$1005,SMALL(IF(checklistPesertaKemenkeu!$AY$6:$AY$1005="Direkomendasikan",ROW($6:$1005)-5),713)))=1),IFERROR(VLOOKUP(INDEX(checklistPesertaKemenkeu!$N$6:$N$1005,SMALL(IF(checklistPesertaKemenkeu!$AY$6:$AY$1005="Direkomendasikan",ROW($6:$1005)-5),713)),KotaKode,2,0),"-"),"")),"")</f>
        <v/>
      </c>
      <c r="K714" t="str">
        <f t="array" aca="1" ref="K714" ca="1">IFERROR(IF(OR(INDEX(checklistPesertaKemenkeu!$O$6:$O$1005,SMALL(IF(checklistPesertaKemenkeu!$AY$6:$AY$1005="Direkomendasikan",ROW($6:$1005)-5),713))="",INDEX(checklistPesertaKemenkeu!$J$6:$J$1005,SMALL(IF(checklistPesertaKemenkeu!$AY$6:$AY$1005="Direkomendasikan",ROW($6:$1005)-5),713))=""),"",IF(AND(COUNTIF(INDIRECT("K_"&amp;MATCH(INDEX(checklistPesertaKemenkeu!$J$6:$J$1005,SMALL(IF(checklistPesertaKemenkeu!$AY$6:$AY$1005="Direkomendasikan",ROW($6:$1005)-5),713)),BidangList,0)),INDEX(checklistPesertaKemenkeu!$O$6:$O$1005,SMALL(IF(checklistPesertaKemenkeu!$AY$6:$AY$1005="Direkomendasikan",ROW($6:$1005)-5),713)))&gt;0,COUNTIF(INDIRECT("'KERTAS KERJA'!K"&amp;(SMALL(IF(checklistPesertaKemenkeu!$AY$6:$AY$1005="Direkomendasikan",ROW($6:$1005)-5),713)+5)&amp;":O"&amp;(SMALL(IF(checklistPesertaKemenkeu!$AY$6:$AY$1005="Direkomendasikan",ROW($6:$1005)-5),713)+5)),INDEX(checklistPesertaKemenkeu!$O$6:$O$1005,SMALL(IF(checklistPesertaKemenkeu!$AY$6:$AY$1005="Direkomendasikan",ROW($6:$1005)-5),713)))=1),IFERROR(VLOOKUP(INDEX(checklistPesertaKemenkeu!$O$6:$O$1005,SMALL(IF(checklistPesertaKemenkeu!$AY$6:$AY$1005="Direkomendasikan",ROW($6:$1005)-5),713)),KotaKode,2,0),"-"),"")),"")</f>
        <v/>
      </c>
      <c r="L714" t="str">
        <f t="array" aca="1" ref="L714" ca="1">IFERROR(IF(OR(INDEX(checklistPesertaKemenkeu!$P$6:$P$1005,SMALL(IF(checklistPesertaKemenkeu!$AY$6:$AY$1005="Direkomendasikan",ROW($6:$1005)-5),713))="",INDEX(checklistPesertaKemenkeu!$J$6:$J$1005,SMALL(IF(checklistPesertaKemenkeu!$AY$6:$AY$1005="Direkomendasikan",ROW($6:$1005)-5),713))=""),"",IF(AND(COUNTIF(INDIRECT("K_"&amp;MATCH(INDEX(checklistPesertaKemenkeu!$J$6:$J$1005,SMALL(IF(checklistPesertaKemenkeu!$AY$6:$AY$1005="Direkomendasikan",ROW($6:$1005)-5),713)),BidangList,0)),INDEX(checklistPesertaKemenkeu!$P$6:$P$1005,SMALL(IF(checklistPesertaKemenkeu!$AY$6:$AY$1005="Direkomendasikan",ROW($6:$1005)-5),713)))&gt;0,COUNTIF(INDIRECT("'KERTAS KERJA'!K"&amp;(SMALL(IF(checklistPesertaKemenkeu!$AY$6:$AY$1005="Direkomendasikan",ROW($6:$1005)-5),713)+5)&amp;":O"&amp;(SMALL(IF(checklistPesertaKemenkeu!$AY$6:$AY$1005="Direkomendasikan",ROW($6:$1005)-5),713)+5)),INDEX(checklistPesertaKemenkeu!$P$6:$P$1005,SMALL(IF(checklistPesertaKemenkeu!$AY$6:$AY$1005="Direkomendasikan",ROW($6:$1005)-5),713)))=1),IFERROR(VLOOKUP(INDEX(checklistPesertaKemenkeu!$P$6:$P$1005,SMALL(IF(checklistPesertaKemenkeu!$AY$6:$AY$1005="Direkomendasikan",ROW($6:$1005)-5),713)),KotaKode,2,0),"-"),"")),"")</f>
        <v/>
      </c>
    </row>
    <row r="715" spans="1:12" ht="15" customHeight="1" x14ac:dyDescent="0.2">
      <c r="A715" t="str">
        <f t="shared" si="11"/>
        <v/>
      </c>
      <c r="B715" t="str">
        <v/>
      </c>
      <c r="C715" s="40" t="str">
        <f t="array" ref="C715">IFERROR(INDEX(checklistPesertaKemenkeu!$F$6:$F$1005,SMALL(IF(checklistPesertaKemenkeu!$AY$6:$AY$1005="Direkomendasikan",ROW($6:$1005)-5),714)),"")</f>
        <v/>
      </c>
      <c r="D715" t="str">
        <f t="array" ref="D715">IFERROR(INDEX(checklistPesertaKemenkeu!$G$6:$G$1005,SMALL(IF(checklistPesertaKemenkeu!$AY$6:$AY$1005="Direkomendasikan",ROW($6:$1005)-5),714)),"")</f>
        <v/>
      </c>
      <c r="E715" t="str">
        <f t="array" ref="E715">IFERROR(INDEX(checklistPesertaKemenkeu!$H$6:$H$1005,SMALL(IF(checklistPesertaKemenkeu!$AY$6:$AY$1005="Direkomendasikan",ROW($6:$1005)-5),714)),"")</f>
        <v/>
      </c>
      <c r="F715" t="str">
        <f t="array" ref="F715">IFERROR(INDEX(checklistPesertaKemenkeu!$I$6:$I$1005,SMALL(IF(checklistPesertaKemenkeu!$AY$6:$AY$1005="Direkomendasikan",ROW($6:$1005)-5),714)),"")</f>
        <v/>
      </c>
      <c r="G715" t="str">
        <f t="array" ref="G715">IFERROR(INDEX(checklistPesertaKemenkeu!$J$6:$J$1005,SMALL(IF(checklistPesertaKemenkeu!$AY$6:$AY$1005="Direkomendasikan",ROW($6:$1005)-5),714)),"")</f>
        <v/>
      </c>
      <c r="H715" t="str">
        <f t="array" aca="1" ref="H715" ca="1">IFERROR(IF(OR(INDEX(checklistPesertaKemenkeu!$L$6:$L$1005,SMALL(IF(checklistPesertaKemenkeu!$AY$6:$AY$1005="Direkomendasikan",ROW($6:$1005)-5),714))="",INDEX(checklistPesertaKemenkeu!$J$6:$J$1005,SMALL(IF(checklistPesertaKemenkeu!$AY$6:$AY$1005="Direkomendasikan",ROW($6:$1005)-5),714))=""),"",IF(AND(COUNTIF(INDIRECT("K_"&amp;MATCH(INDEX(checklistPesertaKemenkeu!$J$6:$J$1005,SMALL(IF(checklistPesertaKemenkeu!$AY$6:$AY$1005="Direkomendasikan",ROW($6:$1005)-5),714)),BidangList,0)),INDEX(checklistPesertaKemenkeu!$L$6:$L$1005,SMALL(IF(checklistPesertaKemenkeu!$AY$6:$AY$1005="Direkomendasikan",ROW($6:$1005)-5),714)))&gt;0,COUNTIF(INDIRECT("'KERTAS KERJA'!K"&amp;(SMALL(IF(checklistPesertaKemenkeu!$AY$6:$AY$1005="Direkomendasikan",ROW($6:$1005)-5),714)+5)&amp;":O"&amp;(SMALL(IF(checklistPesertaKemenkeu!$AY$6:$AY$1005="Direkomendasikan",ROW($6:$1005)-5),714)+5)),INDEX(checklistPesertaKemenkeu!$L$6:$L$1005,SMALL(IF(checklistPesertaKemenkeu!$AY$6:$AY$1005="Direkomendasikan",ROW($6:$1005)-5),714)))=1),IFERROR(VLOOKUP(INDEX(checklistPesertaKemenkeu!$L$6:$L$1005,SMALL(IF(checklistPesertaKemenkeu!$AY$6:$AY$1005="Direkomendasikan",ROW($6:$1005)-5),714)),KotaKode,2,0),"-"),"")),"")</f>
        <v/>
      </c>
      <c r="I715" t="str">
        <f t="array" aca="1" ref="I715" ca="1">IFERROR(IF(OR(INDEX(checklistPesertaKemenkeu!$M$6:$M$1005,SMALL(IF(checklistPesertaKemenkeu!$AY$6:$AY$1005="Direkomendasikan",ROW($6:$1005)-5),714))="",INDEX(checklistPesertaKemenkeu!$J$6:$J$1005,SMALL(IF(checklistPesertaKemenkeu!$AY$6:$AY$1005="Direkomendasikan",ROW($6:$1005)-5),714))=""),"",IF(AND(COUNTIF(INDIRECT("K_"&amp;MATCH(INDEX(checklistPesertaKemenkeu!$J$6:$J$1005,SMALL(IF(checklistPesertaKemenkeu!$AY$6:$AY$1005="Direkomendasikan",ROW($6:$1005)-5),714)),BidangList,0)),INDEX(checklistPesertaKemenkeu!$M$6:$M$1005,SMALL(IF(checklistPesertaKemenkeu!$AY$6:$AY$1005="Direkomendasikan",ROW($6:$1005)-5),714)))&gt;0,COUNTIF(INDIRECT("'KERTAS KERJA'!K"&amp;(SMALL(IF(checklistPesertaKemenkeu!$AY$6:$AY$1005="Direkomendasikan",ROW($6:$1005)-5),714)+5)&amp;":O"&amp;(SMALL(IF(checklistPesertaKemenkeu!$AY$6:$AY$1005="Direkomendasikan",ROW($6:$1005)-5),714)+5)),INDEX(checklistPesertaKemenkeu!$M$6:$M$1005,SMALL(IF(checklistPesertaKemenkeu!$AY$6:$AY$1005="Direkomendasikan",ROW($6:$1005)-5),714)))=1),IFERROR(VLOOKUP(INDEX(checklistPesertaKemenkeu!$M$6:$M$1005,SMALL(IF(checklistPesertaKemenkeu!$AY$6:$AY$1005="Direkomendasikan",ROW($6:$1005)-5),714)),KotaKode,2,0),"-"),"")),"")</f>
        <v/>
      </c>
      <c r="J715" t="str">
        <f t="array" aca="1" ref="J715" ca="1">IFERROR(IF(OR(INDEX(checklistPesertaKemenkeu!$N$6:$N$1005,SMALL(IF(checklistPesertaKemenkeu!$AY$6:$AY$1005="Direkomendasikan",ROW($6:$1005)-5),714))="",INDEX(checklistPesertaKemenkeu!$J$6:$J$1005,SMALL(IF(checklistPesertaKemenkeu!$AY$6:$AY$1005="Direkomendasikan",ROW($6:$1005)-5),714))=""),"",IF(AND(COUNTIF(INDIRECT("K_"&amp;MATCH(INDEX(checklistPesertaKemenkeu!$J$6:$J$1005,SMALL(IF(checklistPesertaKemenkeu!$AY$6:$AY$1005="Direkomendasikan",ROW($6:$1005)-5),714)),BidangList,0)),INDEX(checklistPesertaKemenkeu!$N$6:$N$1005,SMALL(IF(checklistPesertaKemenkeu!$AY$6:$AY$1005="Direkomendasikan",ROW($6:$1005)-5),714)))&gt;0,COUNTIF(INDIRECT("'KERTAS KERJA'!K"&amp;(SMALL(IF(checklistPesertaKemenkeu!$AY$6:$AY$1005="Direkomendasikan",ROW($6:$1005)-5),714)+5)&amp;":O"&amp;(SMALL(IF(checklistPesertaKemenkeu!$AY$6:$AY$1005="Direkomendasikan",ROW($6:$1005)-5),714)+5)),INDEX(checklistPesertaKemenkeu!$N$6:$N$1005,SMALL(IF(checklistPesertaKemenkeu!$AY$6:$AY$1005="Direkomendasikan",ROW($6:$1005)-5),714)))=1),IFERROR(VLOOKUP(INDEX(checklistPesertaKemenkeu!$N$6:$N$1005,SMALL(IF(checklistPesertaKemenkeu!$AY$6:$AY$1005="Direkomendasikan",ROW($6:$1005)-5),714)),KotaKode,2,0),"-"),"")),"")</f>
        <v/>
      </c>
      <c r="K715" t="str">
        <f t="array" aca="1" ref="K715" ca="1">IFERROR(IF(OR(INDEX(checklistPesertaKemenkeu!$O$6:$O$1005,SMALL(IF(checklistPesertaKemenkeu!$AY$6:$AY$1005="Direkomendasikan",ROW($6:$1005)-5),714))="",INDEX(checklistPesertaKemenkeu!$J$6:$J$1005,SMALL(IF(checklistPesertaKemenkeu!$AY$6:$AY$1005="Direkomendasikan",ROW($6:$1005)-5),714))=""),"",IF(AND(COUNTIF(INDIRECT("K_"&amp;MATCH(INDEX(checklistPesertaKemenkeu!$J$6:$J$1005,SMALL(IF(checklistPesertaKemenkeu!$AY$6:$AY$1005="Direkomendasikan",ROW($6:$1005)-5),714)),BidangList,0)),INDEX(checklistPesertaKemenkeu!$O$6:$O$1005,SMALL(IF(checklistPesertaKemenkeu!$AY$6:$AY$1005="Direkomendasikan",ROW($6:$1005)-5),714)))&gt;0,COUNTIF(INDIRECT("'KERTAS KERJA'!K"&amp;(SMALL(IF(checklistPesertaKemenkeu!$AY$6:$AY$1005="Direkomendasikan",ROW($6:$1005)-5),714)+5)&amp;":O"&amp;(SMALL(IF(checklistPesertaKemenkeu!$AY$6:$AY$1005="Direkomendasikan",ROW($6:$1005)-5),714)+5)),INDEX(checklistPesertaKemenkeu!$O$6:$O$1005,SMALL(IF(checklistPesertaKemenkeu!$AY$6:$AY$1005="Direkomendasikan",ROW($6:$1005)-5),714)))=1),IFERROR(VLOOKUP(INDEX(checklistPesertaKemenkeu!$O$6:$O$1005,SMALL(IF(checklistPesertaKemenkeu!$AY$6:$AY$1005="Direkomendasikan",ROW($6:$1005)-5),714)),KotaKode,2,0),"-"),"")),"")</f>
        <v/>
      </c>
      <c r="L715" t="str">
        <f t="array" aca="1" ref="L715" ca="1">IFERROR(IF(OR(INDEX(checklistPesertaKemenkeu!$P$6:$P$1005,SMALL(IF(checklistPesertaKemenkeu!$AY$6:$AY$1005="Direkomendasikan",ROW($6:$1005)-5),714))="",INDEX(checklistPesertaKemenkeu!$J$6:$J$1005,SMALL(IF(checklistPesertaKemenkeu!$AY$6:$AY$1005="Direkomendasikan",ROW($6:$1005)-5),714))=""),"",IF(AND(COUNTIF(INDIRECT("K_"&amp;MATCH(INDEX(checklistPesertaKemenkeu!$J$6:$J$1005,SMALL(IF(checklistPesertaKemenkeu!$AY$6:$AY$1005="Direkomendasikan",ROW($6:$1005)-5),714)),BidangList,0)),INDEX(checklistPesertaKemenkeu!$P$6:$P$1005,SMALL(IF(checklistPesertaKemenkeu!$AY$6:$AY$1005="Direkomendasikan",ROW($6:$1005)-5),714)))&gt;0,COUNTIF(INDIRECT("'KERTAS KERJA'!K"&amp;(SMALL(IF(checklistPesertaKemenkeu!$AY$6:$AY$1005="Direkomendasikan",ROW($6:$1005)-5),714)+5)&amp;":O"&amp;(SMALL(IF(checklistPesertaKemenkeu!$AY$6:$AY$1005="Direkomendasikan",ROW($6:$1005)-5),714)+5)),INDEX(checklistPesertaKemenkeu!$P$6:$P$1005,SMALL(IF(checklistPesertaKemenkeu!$AY$6:$AY$1005="Direkomendasikan",ROW($6:$1005)-5),714)))=1),IFERROR(VLOOKUP(INDEX(checklistPesertaKemenkeu!$P$6:$P$1005,SMALL(IF(checklistPesertaKemenkeu!$AY$6:$AY$1005="Direkomendasikan",ROW($6:$1005)-5),714)),KotaKode,2,0),"-"),"")),"")</f>
        <v/>
      </c>
    </row>
    <row r="716" spans="1:12" ht="15" customHeight="1" x14ac:dyDescent="0.2">
      <c r="A716" t="str">
        <f t="shared" si="11"/>
        <v/>
      </c>
      <c r="B716" t="str">
        <v/>
      </c>
      <c r="C716" s="40" t="str">
        <f t="array" ref="C716">IFERROR(INDEX(checklistPesertaKemenkeu!$F$6:$F$1005,SMALL(IF(checklistPesertaKemenkeu!$AY$6:$AY$1005="Direkomendasikan",ROW($6:$1005)-5),715)),"")</f>
        <v/>
      </c>
      <c r="D716" t="str">
        <f t="array" ref="D716">IFERROR(INDEX(checklistPesertaKemenkeu!$G$6:$G$1005,SMALL(IF(checklistPesertaKemenkeu!$AY$6:$AY$1005="Direkomendasikan",ROW($6:$1005)-5),715)),"")</f>
        <v/>
      </c>
      <c r="E716" t="str">
        <f t="array" ref="E716">IFERROR(INDEX(checklistPesertaKemenkeu!$H$6:$H$1005,SMALL(IF(checklistPesertaKemenkeu!$AY$6:$AY$1005="Direkomendasikan",ROW($6:$1005)-5),715)),"")</f>
        <v/>
      </c>
      <c r="F716" t="str">
        <f t="array" ref="F716">IFERROR(INDEX(checklistPesertaKemenkeu!$I$6:$I$1005,SMALL(IF(checklistPesertaKemenkeu!$AY$6:$AY$1005="Direkomendasikan",ROW($6:$1005)-5),715)),"")</f>
        <v/>
      </c>
      <c r="G716" t="str">
        <f t="array" ref="G716">IFERROR(INDEX(checklistPesertaKemenkeu!$J$6:$J$1005,SMALL(IF(checklistPesertaKemenkeu!$AY$6:$AY$1005="Direkomendasikan",ROW($6:$1005)-5),715)),"")</f>
        <v/>
      </c>
      <c r="H716" t="str">
        <f t="array" aca="1" ref="H716" ca="1">IFERROR(IF(OR(INDEX(checklistPesertaKemenkeu!$L$6:$L$1005,SMALL(IF(checklistPesertaKemenkeu!$AY$6:$AY$1005="Direkomendasikan",ROW($6:$1005)-5),715))="",INDEX(checklistPesertaKemenkeu!$J$6:$J$1005,SMALL(IF(checklistPesertaKemenkeu!$AY$6:$AY$1005="Direkomendasikan",ROW($6:$1005)-5),715))=""),"",IF(AND(COUNTIF(INDIRECT("K_"&amp;MATCH(INDEX(checklistPesertaKemenkeu!$J$6:$J$1005,SMALL(IF(checklistPesertaKemenkeu!$AY$6:$AY$1005="Direkomendasikan",ROW($6:$1005)-5),715)),BidangList,0)),INDEX(checklistPesertaKemenkeu!$L$6:$L$1005,SMALL(IF(checklistPesertaKemenkeu!$AY$6:$AY$1005="Direkomendasikan",ROW($6:$1005)-5),715)))&gt;0,COUNTIF(INDIRECT("'KERTAS KERJA'!K"&amp;(SMALL(IF(checklistPesertaKemenkeu!$AY$6:$AY$1005="Direkomendasikan",ROW($6:$1005)-5),715)+5)&amp;":O"&amp;(SMALL(IF(checklistPesertaKemenkeu!$AY$6:$AY$1005="Direkomendasikan",ROW($6:$1005)-5),715)+5)),INDEX(checklistPesertaKemenkeu!$L$6:$L$1005,SMALL(IF(checklistPesertaKemenkeu!$AY$6:$AY$1005="Direkomendasikan",ROW($6:$1005)-5),715)))=1),IFERROR(VLOOKUP(INDEX(checklistPesertaKemenkeu!$L$6:$L$1005,SMALL(IF(checklistPesertaKemenkeu!$AY$6:$AY$1005="Direkomendasikan",ROW($6:$1005)-5),715)),KotaKode,2,0),"-"),"")),"")</f>
        <v/>
      </c>
      <c r="I716" t="str">
        <f t="array" aca="1" ref="I716" ca="1">IFERROR(IF(OR(INDEX(checklistPesertaKemenkeu!$M$6:$M$1005,SMALL(IF(checklistPesertaKemenkeu!$AY$6:$AY$1005="Direkomendasikan",ROW($6:$1005)-5),715))="",INDEX(checklistPesertaKemenkeu!$J$6:$J$1005,SMALL(IF(checklistPesertaKemenkeu!$AY$6:$AY$1005="Direkomendasikan",ROW($6:$1005)-5),715))=""),"",IF(AND(COUNTIF(INDIRECT("K_"&amp;MATCH(INDEX(checklistPesertaKemenkeu!$J$6:$J$1005,SMALL(IF(checklistPesertaKemenkeu!$AY$6:$AY$1005="Direkomendasikan",ROW($6:$1005)-5),715)),BidangList,0)),INDEX(checklistPesertaKemenkeu!$M$6:$M$1005,SMALL(IF(checklistPesertaKemenkeu!$AY$6:$AY$1005="Direkomendasikan",ROW($6:$1005)-5),715)))&gt;0,COUNTIF(INDIRECT("'KERTAS KERJA'!K"&amp;(SMALL(IF(checklistPesertaKemenkeu!$AY$6:$AY$1005="Direkomendasikan",ROW($6:$1005)-5),715)+5)&amp;":O"&amp;(SMALL(IF(checklistPesertaKemenkeu!$AY$6:$AY$1005="Direkomendasikan",ROW($6:$1005)-5),715)+5)),INDEX(checklistPesertaKemenkeu!$M$6:$M$1005,SMALL(IF(checklistPesertaKemenkeu!$AY$6:$AY$1005="Direkomendasikan",ROW($6:$1005)-5),715)))=1),IFERROR(VLOOKUP(INDEX(checklistPesertaKemenkeu!$M$6:$M$1005,SMALL(IF(checklistPesertaKemenkeu!$AY$6:$AY$1005="Direkomendasikan",ROW($6:$1005)-5),715)),KotaKode,2,0),"-"),"")),"")</f>
        <v/>
      </c>
      <c r="J716" t="str">
        <f t="array" aca="1" ref="J716" ca="1">IFERROR(IF(OR(INDEX(checklistPesertaKemenkeu!$N$6:$N$1005,SMALL(IF(checklistPesertaKemenkeu!$AY$6:$AY$1005="Direkomendasikan",ROW($6:$1005)-5),715))="",INDEX(checklistPesertaKemenkeu!$J$6:$J$1005,SMALL(IF(checklistPesertaKemenkeu!$AY$6:$AY$1005="Direkomendasikan",ROW($6:$1005)-5),715))=""),"",IF(AND(COUNTIF(INDIRECT("K_"&amp;MATCH(INDEX(checklistPesertaKemenkeu!$J$6:$J$1005,SMALL(IF(checklistPesertaKemenkeu!$AY$6:$AY$1005="Direkomendasikan",ROW($6:$1005)-5),715)),BidangList,0)),INDEX(checklistPesertaKemenkeu!$N$6:$N$1005,SMALL(IF(checklistPesertaKemenkeu!$AY$6:$AY$1005="Direkomendasikan",ROW($6:$1005)-5),715)))&gt;0,COUNTIF(INDIRECT("'KERTAS KERJA'!K"&amp;(SMALL(IF(checklistPesertaKemenkeu!$AY$6:$AY$1005="Direkomendasikan",ROW($6:$1005)-5),715)+5)&amp;":O"&amp;(SMALL(IF(checklistPesertaKemenkeu!$AY$6:$AY$1005="Direkomendasikan",ROW($6:$1005)-5),715)+5)),INDEX(checklistPesertaKemenkeu!$N$6:$N$1005,SMALL(IF(checklistPesertaKemenkeu!$AY$6:$AY$1005="Direkomendasikan",ROW($6:$1005)-5),715)))=1),IFERROR(VLOOKUP(INDEX(checklistPesertaKemenkeu!$N$6:$N$1005,SMALL(IF(checklistPesertaKemenkeu!$AY$6:$AY$1005="Direkomendasikan",ROW($6:$1005)-5),715)),KotaKode,2,0),"-"),"")),"")</f>
        <v/>
      </c>
      <c r="K716" t="str">
        <f t="array" aca="1" ref="K716" ca="1">IFERROR(IF(OR(INDEX(checklistPesertaKemenkeu!$O$6:$O$1005,SMALL(IF(checklistPesertaKemenkeu!$AY$6:$AY$1005="Direkomendasikan",ROW($6:$1005)-5),715))="",INDEX(checklistPesertaKemenkeu!$J$6:$J$1005,SMALL(IF(checklistPesertaKemenkeu!$AY$6:$AY$1005="Direkomendasikan",ROW($6:$1005)-5),715))=""),"",IF(AND(COUNTIF(INDIRECT("K_"&amp;MATCH(INDEX(checklistPesertaKemenkeu!$J$6:$J$1005,SMALL(IF(checklistPesertaKemenkeu!$AY$6:$AY$1005="Direkomendasikan",ROW($6:$1005)-5),715)),BidangList,0)),INDEX(checklistPesertaKemenkeu!$O$6:$O$1005,SMALL(IF(checklistPesertaKemenkeu!$AY$6:$AY$1005="Direkomendasikan",ROW($6:$1005)-5),715)))&gt;0,COUNTIF(INDIRECT("'KERTAS KERJA'!K"&amp;(SMALL(IF(checklistPesertaKemenkeu!$AY$6:$AY$1005="Direkomendasikan",ROW($6:$1005)-5),715)+5)&amp;":O"&amp;(SMALL(IF(checklistPesertaKemenkeu!$AY$6:$AY$1005="Direkomendasikan",ROW($6:$1005)-5),715)+5)),INDEX(checklistPesertaKemenkeu!$O$6:$O$1005,SMALL(IF(checklistPesertaKemenkeu!$AY$6:$AY$1005="Direkomendasikan",ROW($6:$1005)-5),715)))=1),IFERROR(VLOOKUP(INDEX(checklistPesertaKemenkeu!$O$6:$O$1005,SMALL(IF(checklistPesertaKemenkeu!$AY$6:$AY$1005="Direkomendasikan",ROW($6:$1005)-5),715)),KotaKode,2,0),"-"),"")),"")</f>
        <v/>
      </c>
      <c r="L716" t="str">
        <f t="array" aca="1" ref="L716" ca="1">IFERROR(IF(OR(INDEX(checklistPesertaKemenkeu!$P$6:$P$1005,SMALL(IF(checklistPesertaKemenkeu!$AY$6:$AY$1005="Direkomendasikan",ROW($6:$1005)-5),715))="",INDEX(checklistPesertaKemenkeu!$J$6:$J$1005,SMALL(IF(checklistPesertaKemenkeu!$AY$6:$AY$1005="Direkomendasikan",ROW($6:$1005)-5),715))=""),"",IF(AND(COUNTIF(INDIRECT("K_"&amp;MATCH(INDEX(checklistPesertaKemenkeu!$J$6:$J$1005,SMALL(IF(checklistPesertaKemenkeu!$AY$6:$AY$1005="Direkomendasikan",ROW($6:$1005)-5),715)),BidangList,0)),INDEX(checklistPesertaKemenkeu!$P$6:$P$1005,SMALL(IF(checklistPesertaKemenkeu!$AY$6:$AY$1005="Direkomendasikan",ROW($6:$1005)-5),715)))&gt;0,COUNTIF(INDIRECT("'KERTAS KERJA'!K"&amp;(SMALL(IF(checklistPesertaKemenkeu!$AY$6:$AY$1005="Direkomendasikan",ROW($6:$1005)-5),715)+5)&amp;":O"&amp;(SMALL(IF(checklistPesertaKemenkeu!$AY$6:$AY$1005="Direkomendasikan",ROW($6:$1005)-5),715)+5)),INDEX(checklistPesertaKemenkeu!$P$6:$P$1005,SMALL(IF(checklistPesertaKemenkeu!$AY$6:$AY$1005="Direkomendasikan",ROW($6:$1005)-5),715)))=1),IFERROR(VLOOKUP(INDEX(checklistPesertaKemenkeu!$P$6:$P$1005,SMALL(IF(checklistPesertaKemenkeu!$AY$6:$AY$1005="Direkomendasikan",ROW($6:$1005)-5),715)),KotaKode,2,0),"-"),"")),"")</f>
        <v/>
      </c>
    </row>
    <row r="717" spans="1:12" ht="15" customHeight="1" x14ac:dyDescent="0.2">
      <c r="A717" t="str">
        <f t="shared" si="11"/>
        <v/>
      </c>
      <c r="B717" t="str">
        <v/>
      </c>
      <c r="C717" s="40" t="str">
        <f t="array" ref="C717">IFERROR(INDEX(checklistPesertaKemenkeu!$F$6:$F$1005,SMALL(IF(checklistPesertaKemenkeu!$AY$6:$AY$1005="Direkomendasikan",ROW($6:$1005)-5),716)),"")</f>
        <v/>
      </c>
      <c r="D717" t="str">
        <f t="array" ref="D717">IFERROR(INDEX(checklistPesertaKemenkeu!$G$6:$G$1005,SMALL(IF(checklistPesertaKemenkeu!$AY$6:$AY$1005="Direkomendasikan",ROW($6:$1005)-5),716)),"")</f>
        <v/>
      </c>
      <c r="E717" t="str">
        <f t="array" ref="E717">IFERROR(INDEX(checklistPesertaKemenkeu!$H$6:$H$1005,SMALL(IF(checklistPesertaKemenkeu!$AY$6:$AY$1005="Direkomendasikan",ROW($6:$1005)-5),716)),"")</f>
        <v/>
      </c>
      <c r="F717" t="str">
        <f t="array" ref="F717">IFERROR(INDEX(checklistPesertaKemenkeu!$I$6:$I$1005,SMALL(IF(checklistPesertaKemenkeu!$AY$6:$AY$1005="Direkomendasikan",ROW($6:$1005)-5),716)),"")</f>
        <v/>
      </c>
      <c r="G717" t="str">
        <f t="array" ref="G717">IFERROR(INDEX(checklistPesertaKemenkeu!$J$6:$J$1005,SMALL(IF(checklistPesertaKemenkeu!$AY$6:$AY$1005="Direkomendasikan",ROW($6:$1005)-5),716)),"")</f>
        <v/>
      </c>
      <c r="H717" t="str">
        <f t="array" aca="1" ref="H717" ca="1">IFERROR(IF(OR(INDEX(checklistPesertaKemenkeu!$L$6:$L$1005,SMALL(IF(checklistPesertaKemenkeu!$AY$6:$AY$1005="Direkomendasikan",ROW($6:$1005)-5),716))="",INDEX(checklistPesertaKemenkeu!$J$6:$J$1005,SMALL(IF(checklistPesertaKemenkeu!$AY$6:$AY$1005="Direkomendasikan",ROW($6:$1005)-5),716))=""),"",IF(AND(COUNTIF(INDIRECT("K_"&amp;MATCH(INDEX(checklistPesertaKemenkeu!$J$6:$J$1005,SMALL(IF(checklistPesertaKemenkeu!$AY$6:$AY$1005="Direkomendasikan",ROW($6:$1005)-5),716)),BidangList,0)),INDEX(checklistPesertaKemenkeu!$L$6:$L$1005,SMALL(IF(checklistPesertaKemenkeu!$AY$6:$AY$1005="Direkomendasikan",ROW($6:$1005)-5),716)))&gt;0,COUNTIF(INDIRECT("'KERTAS KERJA'!K"&amp;(SMALL(IF(checklistPesertaKemenkeu!$AY$6:$AY$1005="Direkomendasikan",ROW($6:$1005)-5),716)+5)&amp;":O"&amp;(SMALL(IF(checklistPesertaKemenkeu!$AY$6:$AY$1005="Direkomendasikan",ROW($6:$1005)-5),716)+5)),INDEX(checklistPesertaKemenkeu!$L$6:$L$1005,SMALL(IF(checklistPesertaKemenkeu!$AY$6:$AY$1005="Direkomendasikan",ROW($6:$1005)-5),716)))=1),IFERROR(VLOOKUP(INDEX(checklistPesertaKemenkeu!$L$6:$L$1005,SMALL(IF(checklistPesertaKemenkeu!$AY$6:$AY$1005="Direkomendasikan",ROW($6:$1005)-5),716)),KotaKode,2,0),"-"),"")),"")</f>
        <v/>
      </c>
      <c r="I717" t="str">
        <f t="array" aca="1" ref="I717" ca="1">IFERROR(IF(OR(INDEX(checklistPesertaKemenkeu!$M$6:$M$1005,SMALL(IF(checklistPesertaKemenkeu!$AY$6:$AY$1005="Direkomendasikan",ROW($6:$1005)-5),716))="",INDEX(checklistPesertaKemenkeu!$J$6:$J$1005,SMALL(IF(checklistPesertaKemenkeu!$AY$6:$AY$1005="Direkomendasikan",ROW($6:$1005)-5),716))=""),"",IF(AND(COUNTIF(INDIRECT("K_"&amp;MATCH(INDEX(checklistPesertaKemenkeu!$J$6:$J$1005,SMALL(IF(checklistPesertaKemenkeu!$AY$6:$AY$1005="Direkomendasikan",ROW($6:$1005)-5),716)),BidangList,0)),INDEX(checklistPesertaKemenkeu!$M$6:$M$1005,SMALL(IF(checklistPesertaKemenkeu!$AY$6:$AY$1005="Direkomendasikan",ROW($6:$1005)-5),716)))&gt;0,COUNTIF(INDIRECT("'KERTAS KERJA'!K"&amp;(SMALL(IF(checklistPesertaKemenkeu!$AY$6:$AY$1005="Direkomendasikan",ROW($6:$1005)-5),716)+5)&amp;":O"&amp;(SMALL(IF(checklistPesertaKemenkeu!$AY$6:$AY$1005="Direkomendasikan",ROW($6:$1005)-5),716)+5)),INDEX(checklistPesertaKemenkeu!$M$6:$M$1005,SMALL(IF(checklistPesertaKemenkeu!$AY$6:$AY$1005="Direkomendasikan",ROW($6:$1005)-5),716)))=1),IFERROR(VLOOKUP(INDEX(checklistPesertaKemenkeu!$M$6:$M$1005,SMALL(IF(checklistPesertaKemenkeu!$AY$6:$AY$1005="Direkomendasikan",ROW($6:$1005)-5),716)),KotaKode,2,0),"-"),"")),"")</f>
        <v/>
      </c>
      <c r="J717" t="str">
        <f t="array" aca="1" ref="J717" ca="1">IFERROR(IF(OR(INDEX(checklistPesertaKemenkeu!$N$6:$N$1005,SMALL(IF(checklistPesertaKemenkeu!$AY$6:$AY$1005="Direkomendasikan",ROW($6:$1005)-5),716))="",INDEX(checklistPesertaKemenkeu!$J$6:$J$1005,SMALL(IF(checklistPesertaKemenkeu!$AY$6:$AY$1005="Direkomendasikan",ROW($6:$1005)-5),716))=""),"",IF(AND(COUNTIF(INDIRECT("K_"&amp;MATCH(INDEX(checklistPesertaKemenkeu!$J$6:$J$1005,SMALL(IF(checklistPesertaKemenkeu!$AY$6:$AY$1005="Direkomendasikan",ROW($6:$1005)-5),716)),BidangList,0)),INDEX(checklistPesertaKemenkeu!$N$6:$N$1005,SMALL(IF(checklistPesertaKemenkeu!$AY$6:$AY$1005="Direkomendasikan",ROW($6:$1005)-5),716)))&gt;0,COUNTIF(INDIRECT("'KERTAS KERJA'!K"&amp;(SMALL(IF(checklistPesertaKemenkeu!$AY$6:$AY$1005="Direkomendasikan",ROW($6:$1005)-5),716)+5)&amp;":O"&amp;(SMALL(IF(checklistPesertaKemenkeu!$AY$6:$AY$1005="Direkomendasikan",ROW($6:$1005)-5),716)+5)),INDEX(checklistPesertaKemenkeu!$N$6:$N$1005,SMALL(IF(checklistPesertaKemenkeu!$AY$6:$AY$1005="Direkomendasikan",ROW($6:$1005)-5),716)))=1),IFERROR(VLOOKUP(INDEX(checklistPesertaKemenkeu!$N$6:$N$1005,SMALL(IF(checklistPesertaKemenkeu!$AY$6:$AY$1005="Direkomendasikan",ROW($6:$1005)-5),716)),KotaKode,2,0),"-"),"")),"")</f>
        <v/>
      </c>
      <c r="K717" t="str">
        <f t="array" aca="1" ref="K717" ca="1">IFERROR(IF(OR(INDEX(checklistPesertaKemenkeu!$O$6:$O$1005,SMALL(IF(checklistPesertaKemenkeu!$AY$6:$AY$1005="Direkomendasikan",ROW($6:$1005)-5),716))="",INDEX(checklistPesertaKemenkeu!$J$6:$J$1005,SMALL(IF(checklistPesertaKemenkeu!$AY$6:$AY$1005="Direkomendasikan",ROW($6:$1005)-5),716))=""),"",IF(AND(COUNTIF(INDIRECT("K_"&amp;MATCH(INDEX(checklistPesertaKemenkeu!$J$6:$J$1005,SMALL(IF(checklistPesertaKemenkeu!$AY$6:$AY$1005="Direkomendasikan",ROW($6:$1005)-5),716)),BidangList,0)),INDEX(checklistPesertaKemenkeu!$O$6:$O$1005,SMALL(IF(checklistPesertaKemenkeu!$AY$6:$AY$1005="Direkomendasikan",ROW($6:$1005)-5),716)))&gt;0,COUNTIF(INDIRECT("'KERTAS KERJA'!K"&amp;(SMALL(IF(checklistPesertaKemenkeu!$AY$6:$AY$1005="Direkomendasikan",ROW($6:$1005)-5),716)+5)&amp;":O"&amp;(SMALL(IF(checklistPesertaKemenkeu!$AY$6:$AY$1005="Direkomendasikan",ROW($6:$1005)-5),716)+5)),INDEX(checklistPesertaKemenkeu!$O$6:$O$1005,SMALL(IF(checklistPesertaKemenkeu!$AY$6:$AY$1005="Direkomendasikan",ROW($6:$1005)-5),716)))=1),IFERROR(VLOOKUP(INDEX(checklistPesertaKemenkeu!$O$6:$O$1005,SMALL(IF(checklistPesertaKemenkeu!$AY$6:$AY$1005="Direkomendasikan",ROW($6:$1005)-5),716)),KotaKode,2,0),"-"),"")),"")</f>
        <v/>
      </c>
      <c r="L717" t="str">
        <f t="array" aca="1" ref="L717" ca="1">IFERROR(IF(OR(INDEX(checklistPesertaKemenkeu!$P$6:$P$1005,SMALL(IF(checklistPesertaKemenkeu!$AY$6:$AY$1005="Direkomendasikan",ROW($6:$1005)-5),716))="",INDEX(checklistPesertaKemenkeu!$J$6:$J$1005,SMALL(IF(checklistPesertaKemenkeu!$AY$6:$AY$1005="Direkomendasikan",ROW($6:$1005)-5),716))=""),"",IF(AND(COUNTIF(INDIRECT("K_"&amp;MATCH(INDEX(checklistPesertaKemenkeu!$J$6:$J$1005,SMALL(IF(checklistPesertaKemenkeu!$AY$6:$AY$1005="Direkomendasikan",ROW($6:$1005)-5),716)),BidangList,0)),INDEX(checklistPesertaKemenkeu!$P$6:$P$1005,SMALL(IF(checklistPesertaKemenkeu!$AY$6:$AY$1005="Direkomendasikan",ROW($6:$1005)-5),716)))&gt;0,COUNTIF(INDIRECT("'KERTAS KERJA'!K"&amp;(SMALL(IF(checklistPesertaKemenkeu!$AY$6:$AY$1005="Direkomendasikan",ROW($6:$1005)-5),716)+5)&amp;":O"&amp;(SMALL(IF(checklistPesertaKemenkeu!$AY$6:$AY$1005="Direkomendasikan",ROW($6:$1005)-5),716)+5)),INDEX(checklistPesertaKemenkeu!$P$6:$P$1005,SMALL(IF(checklistPesertaKemenkeu!$AY$6:$AY$1005="Direkomendasikan",ROW($6:$1005)-5),716)))=1),IFERROR(VLOOKUP(INDEX(checklistPesertaKemenkeu!$P$6:$P$1005,SMALL(IF(checklistPesertaKemenkeu!$AY$6:$AY$1005="Direkomendasikan",ROW($6:$1005)-5),716)),KotaKode,2,0),"-"),"")),"")</f>
        <v/>
      </c>
    </row>
    <row r="718" spans="1:12" ht="15" customHeight="1" x14ac:dyDescent="0.2">
      <c r="A718" t="str">
        <f t="shared" si="11"/>
        <v/>
      </c>
      <c r="B718" t="str">
        <v/>
      </c>
      <c r="C718" s="40" t="str">
        <f t="array" ref="C718">IFERROR(INDEX(checklistPesertaKemenkeu!$F$6:$F$1005,SMALL(IF(checklistPesertaKemenkeu!$AY$6:$AY$1005="Direkomendasikan",ROW($6:$1005)-5),717)),"")</f>
        <v/>
      </c>
      <c r="D718" t="str">
        <f t="array" ref="D718">IFERROR(INDEX(checklistPesertaKemenkeu!$G$6:$G$1005,SMALL(IF(checklistPesertaKemenkeu!$AY$6:$AY$1005="Direkomendasikan",ROW($6:$1005)-5),717)),"")</f>
        <v/>
      </c>
      <c r="E718" t="str">
        <f t="array" ref="E718">IFERROR(INDEX(checklistPesertaKemenkeu!$H$6:$H$1005,SMALL(IF(checklistPesertaKemenkeu!$AY$6:$AY$1005="Direkomendasikan",ROW($6:$1005)-5),717)),"")</f>
        <v/>
      </c>
      <c r="F718" t="str">
        <f t="array" ref="F718">IFERROR(INDEX(checklistPesertaKemenkeu!$I$6:$I$1005,SMALL(IF(checklistPesertaKemenkeu!$AY$6:$AY$1005="Direkomendasikan",ROW($6:$1005)-5),717)),"")</f>
        <v/>
      </c>
      <c r="G718" t="str">
        <f t="array" ref="G718">IFERROR(INDEX(checklistPesertaKemenkeu!$J$6:$J$1005,SMALL(IF(checklistPesertaKemenkeu!$AY$6:$AY$1005="Direkomendasikan",ROW($6:$1005)-5),717)),"")</f>
        <v/>
      </c>
      <c r="H718" t="str">
        <f t="array" aca="1" ref="H718" ca="1">IFERROR(IF(OR(INDEX(checklistPesertaKemenkeu!$L$6:$L$1005,SMALL(IF(checklistPesertaKemenkeu!$AY$6:$AY$1005="Direkomendasikan",ROW($6:$1005)-5),717))="",INDEX(checklistPesertaKemenkeu!$J$6:$J$1005,SMALL(IF(checklistPesertaKemenkeu!$AY$6:$AY$1005="Direkomendasikan",ROW($6:$1005)-5),717))=""),"",IF(AND(COUNTIF(INDIRECT("K_"&amp;MATCH(INDEX(checklistPesertaKemenkeu!$J$6:$J$1005,SMALL(IF(checklistPesertaKemenkeu!$AY$6:$AY$1005="Direkomendasikan",ROW($6:$1005)-5),717)),BidangList,0)),INDEX(checklistPesertaKemenkeu!$L$6:$L$1005,SMALL(IF(checklistPesertaKemenkeu!$AY$6:$AY$1005="Direkomendasikan",ROW($6:$1005)-5),717)))&gt;0,COUNTIF(INDIRECT("'KERTAS KERJA'!K"&amp;(SMALL(IF(checklistPesertaKemenkeu!$AY$6:$AY$1005="Direkomendasikan",ROW($6:$1005)-5),717)+5)&amp;":O"&amp;(SMALL(IF(checklistPesertaKemenkeu!$AY$6:$AY$1005="Direkomendasikan",ROW($6:$1005)-5),717)+5)),INDEX(checklistPesertaKemenkeu!$L$6:$L$1005,SMALL(IF(checklistPesertaKemenkeu!$AY$6:$AY$1005="Direkomendasikan",ROW($6:$1005)-5),717)))=1),IFERROR(VLOOKUP(INDEX(checklistPesertaKemenkeu!$L$6:$L$1005,SMALL(IF(checklistPesertaKemenkeu!$AY$6:$AY$1005="Direkomendasikan",ROW($6:$1005)-5),717)),KotaKode,2,0),"-"),"")),"")</f>
        <v/>
      </c>
      <c r="I718" t="str">
        <f t="array" aca="1" ref="I718" ca="1">IFERROR(IF(OR(INDEX(checklistPesertaKemenkeu!$M$6:$M$1005,SMALL(IF(checklistPesertaKemenkeu!$AY$6:$AY$1005="Direkomendasikan",ROW($6:$1005)-5),717))="",INDEX(checklistPesertaKemenkeu!$J$6:$J$1005,SMALL(IF(checklistPesertaKemenkeu!$AY$6:$AY$1005="Direkomendasikan",ROW($6:$1005)-5),717))=""),"",IF(AND(COUNTIF(INDIRECT("K_"&amp;MATCH(INDEX(checklistPesertaKemenkeu!$J$6:$J$1005,SMALL(IF(checklistPesertaKemenkeu!$AY$6:$AY$1005="Direkomendasikan",ROW($6:$1005)-5),717)),BidangList,0)),INDEX(checklistPesertaKemenkeu!$M$6:$M$1005,SMALL(IF(checklistPesertaKemenkeu!$AY$6:$AY$1005="Direkomendasikan",ROW($6:$1005)-5),717)))&gt;0,COUNTIF(INDIRECT("'KERTAS KERJA'!K"&amp;(SMALL(IF(checklistPesertaKemenkeu!$AY$6:$AY$1005="Direkomendasikan",ROW($6:$1005)-5),717)+5)&amp;":O"&amp;(SMALL(IF(checklistPesertaKemenkeu!$AY$6:$AY$1005="Direkomendasikan",ROW($6:$1005)-5),717)+5)),INDEX(checklistPesertaKemenkeu!$M$6:$M$1005,SMALL(IF(checklistPesertaKemenkeu!$AY$6:$AY$1005="Direkomendasikan",ROW($6:$1005)-5),717)))=1),IFERROR(VLOOKUP(INDEX(checklistPesertaKemenkeu!$M$6:$M$1005,SMALL(IF(checklistPesertaKemenkeu!$AY$6:$AY$1005="Direkomendasikan",ROW($6:$1005)-5),717)),KotaKode,2,0),"-"),"")),"")</f>
        <v/>
      </c>
      <c r="J718" t="str">
        <f t="array" aca="1" ref="J718" ca="1">IFERROR(IF(OR(INDEX(checklistPesertaKemenkeu!$N$6:$N$1005,SMALL(IF(checklistPesertaKemenkeu!$AY$6:$AY$1005="Direkomendasikan",ROW($6:$1005)-5),717))="",INDEX(checklistPesertaKemenkeu!$J$6:$J$1005,SMALL(IF(checklistPesertaKemenkeu!$AY$6:$AY$1005="Direkomendasikan",ROW($6:$1005)-5),717))=""),"",IF(AND(COUNTIF(INDIRECT("K_"&amp;MATCH(INDEX(checklistPesertaKemenkeu!$J$6:$J$1005,SMALL(IF(checklistPesertaKemenkeu!$AY$6:$AY$1005="Direkomendasikan",ROW($6:$1005)-5),717)),BidangList,0)),INDEX(checklistPesertaKemenkeu!$N$6:$N$1005,SMALL(IF(checklistPesertaKemenkeu!$AY$6:$AY$1005="Direkomendasikan",ROW($6:$1005)-5),717)))&gt;0,COUNTIF(INDIRECT("'KERTAS KERJA'!K"&amp;(SMALL(IF(checklistPesertaKemenkeu!$AY$6:$AY$1005="Direkomendasikan",ROW($6:$1005)-5),717)+5)&amp;":O"&amp;(SMALL(IF(checklistPesertaKemenkeu!$AY$6:$AY$1005="Direkomendasikan",ROW($6:$1005)-5),717)+5)),INDEX(checklistPesertaKemenkeu!$N$6:$N$1005,SMALL(IF(checklistPesertaKemenkeu!$AY$6:$AY$1005="Direkomendasikan",ROW($6:$1005)-5),717)))=1),IFERROR(VLOOKUP(INDEX(checklistPesertaKemenkeu!$N$6:$N$1005,SMALL(IF(checklistPesertaKemenkeu!$AY$6:$AY$1005="Direkomendasikan",ROW($6:$1005)-5),717)),KotaKode,2,0),"-"),"")),"")</f>
        <v/>
      </c>
      <c r="K718" t="str">
        <f t="array" aca="1" ref="K718" ca="1">IFERROR(IF(OR(INDEX(checklistPesertaKemenkeu!$O$6:$O$1005,SMALL(IF(checklistPesertaKemenkeu!$AY$6:$AY$1005="Direkomendasikan",ROW($6:$1005)-5),717))="",INDEX(checklistPesertaKemenkeu!$J$6:$J$1005,SMALL(IF(checklistPesertaKemenkeu!$AY$6:$AY$1005="Direkomendasikan",ROW($6:$1005)-5),717))=""),"",IF(AND(COUNTIF(INDIRECT("K_"&amp;MATCH(INDEX(checklistPesertaKemenkeu!$J$6:$J$1005,SMALL(IF(checklistPesertaKemenkeu!$AY$6:$AY$1005="Direkomendasikan",ROW($6:$1005)-5),717)),BidangList,0)),INDEX(checklistPesertaKemenkeu!$O$6:$O$1005,SMALL(IF(checklistPesertaKemenkeu!$AY$6:$AY$1005="Direkomendasikan",ROW($6:$1005)-5),717)))&gt;0,COUNTIF(INDIRECT("'KERTAS KERJA'!K"&amp;(SMALL(IF(checklistPesertaKemenkeu!$AY$6:$AY$1005="Direkomendasikan",ROW($6:$1005)-5),717)+5)&amp;":O"&amp;(SMALL(IF(checklistPesertaKemenkeu!$AY$6:$AY$1005="Direkomendasikan",ROW($6:$1005)-5),717)+5)),INDEX(checklistPesertaKemenkeu!$O$6:$O$1005,SMALL(IF(checklistPesertaKemenkeu!$AY$6:$AY$1005="Direkomendasikan",ROW($6:$1005)-5),717)))=1),IFERROR(VLOOKUP(INDEX(checklistPesertaKemenkeu!$O$6:$O$1005,SMALL(IF(checklistPesertaKemenkeu!$AY$6:$AY$1005="Direkomendasikan",ROW($6:$1005)-5),717)),KotaKode,2,0),"-"),"")),"")</f>
        <v/>
      </c>
      <c r="L718" t="str">
        <f t="array" aca="1" ref="L718" ca="1">IFERROR(IF(OR(INDEX(checklistPesertaKemenkeu!$P$6:$P$1005,SMALL(IF(checklistPesertaKemenkeu!$AY$6:$AY$1005="Direkomendasikan",ROW($6:$1005)-5),717))="",INDEX(checklistPesertaKemenkeu!$J$6:$J$1005,SMALL(IF(checklistPesertaKemenkeu!$AY$6:$AY$1005="Direkomendasikan",ROW($6:$1005)-5),717))=""),"",IF(AND(COUNTIF(INDIRECT("K_"&amp;MATCH(INDEX(checklistPesertaKemenkeu!$J$6:$J$1005,SMALL(IF(checklistPesertaKemenkeu!$AY$6:$AY$1005="Direkomendasikan",ROW($6:$1005)-5),717)),BidangList,0)),INDEX(checklistPesertaKemenkeu!$P$6:$P$1005,SMALL(IF(checklistPesertaKemenkeu!$AY$6:$AY$1005="Direkomendasikan",ROW($6:$1005)-5),717)))&gt;0,COUNTIF(INDIRECT("'KERTAS KERJA'!K"&amp;(SMALL(IF(checklistPesertaKemenkeu!$AY$6:$AY$1005="Direkomendasikan",ROW($6:$1005)-5),717)+5)&amp;":O"&amp;(SMALL(IF(checklistPesertaKemenkeu!$AY$6:$AY$1005="Direkomendasikan",ROW($6:$1005)-5),717)+5)),INDEX(checklistPesertaKemenkeu!$P$6:$P$1005,SMALL(IF(checklistPesertaKemenkeu!$AY$6:$AY$1005="Direkomendasikan",ROW($6:$1005)-5),717)))=1),IFERROR(VLOOKUP(INDEX(checklistPesertaKemenkeu!$P$6:$P$1005,SMALL(IF(checklistPesertaKemenkeu!$AY$6:$AY$1005="Direkomendasikan",ROW($6:$1005)-5),717)),KotaKode,2,0),"-"),"")),"")</f>
        <v/>
      </c>
    </row>
    <row r="719" spans="1:12" ht="15" customHeight="1" x14ac:dyDescent="0.2">
      <c r="A719" t="str">
        <f t="shared" si="11"/>
        <v/>
      </c>
      <c r="B719" t="str">
        <v/>
      </c>
      <c r="C719" s="40" t="str">
        <f t="array" ref="C719">IFERROR(INDEX(checklistPesertaKemenkeu!$F$6:$F$1005,SMALL(IF(checklistPesertaKemenkeu!$AY$6:$AY$1005="Direkomendasikan",ROW($6:$1005)-5),718)),"")</f>
        <v/>
      </c>
      <c r="D719" t="str">
        <f t="array" ref="D719">IFERROR(INDEX(checklistPesertaKemenkeu!$G$6:$G$1005,SMALL(IF(checklistPesertaKemenkeu!$AY$6:$AY$1005="Direkomendasikan",ROW($6:$1005)-5),718)),"")</f>
        <v/>
      </c>
      <c r="E719" t="str">
        <f t="array" ref="E719">IFERROR(INDEX(checklistPesertaKemenkeu!$H$6:$H$1005,SMALL(IF(checklistPesertaKemenkeu!$AY$6:$AY$1005="Direkomendasikan",ROW($6:$1005)-5),718)),"")</f>
        <v/>
      </c>
      <c r="F719" t="str">
        <f t="array" ref="F719">IFERROR(INDEX(checklistPesertaKemenkeu!$I$6:$I$1005,SMALL(IF(checklistPesertaKemenkeu!$AY$6:$AY$1005="Direkomendasikan",ROW($6:$1005)-5),718)),"")</f>
        <v/>
      </c>
      <c r="G719" t="str">
        <f t="array" ref="G719">IFERROR(INDEX(checklistPesertaKemenkeu!$J$6:$J$1005,SMALL(IF(checklistPesertaKemenkeu!$AY$6:$AY$1005="Direkomendasikan",ROW($6:$1005)-5),718)),"")</f>
        <v/>
      </c>
      <c r="H719" t="str">
        <f t="array" aca="1" ref="H719" ca="1">IFERROR(IF(OR(INDEX(checklistPesertaKemenkeu!$L$6:$L$1005,SMALL(IF(checklistPesertaKemenkeu!$AY$6:$AY$1005="Direkomendasikan",ROW($6:$1005)-5),718))="",INDEX(checklistPesertaKemenkeu!$J$6:$J$1005,SMALL(IF(checklistPesertaKemenkeu!$AY$6:$AY$1005="Direkomendasikan",ROW($6:$1005)-5),718))=""),"",IF(AND(COUNTIF(INDIRECT("K_"&amp;MATCH(INDEX(checklistPesertaKemenkeu!$J$6:$J$1005,SMALL(IF(checklistPesertaKemenkeu!$AY$6:$AY$1005="Direkomendasikan",ROW($6:$1005)-5),718)),BidangList,0)),INDEX(checklistPesertaKemenkeu!$L$6:$L$1005,SMALL(IF(checklistPesertaKemenkeu!$AY$6:$AY$1005="Direkomendasikan",ROW($6:$1005)-5),718)))&gt;0,COUNTIF(INDIRECT("'KERTAS KERJA'!K"&amp;(SMALL(IF(checklistPesertaKemenkeu!$AY$6:$AY$1005="Direkomendasikan",ROW($6:$1005)-5),718)+5)&amp;":O"&amp;(SMALL(IF(checklistPesertaKemenkeu!$AY$6:$AY$1005="Direkomendasikan",ROW($6:$1005)-5),718)+5)),INDEX(checklistPesertaKemenkeu!$L$6:$L$1005,SMALL(IF(checklistPesertaKemenkeu!$AY$6:$AY$1005="Direkomendasikan",ROW($6:$1005)-5),718)))=1),IFERROR(VLOOKUP(INDEX(checklistPesertaKemenkeu!$L$6:$L$1005,SMALL(IF(checklistPesertaKemenkeu!$AY$6:$AY$1005="Direkomendasikan",ROW($6:$1005)-5),718)),KotaKode,2,0),"-"),"")),"")</f>
        <v/>
      </c>
      <c r="I719" t="str">
        <f t="array" aca="1" ref="I719" ca="1">IFERROR(IF(OR(INDEX(checklistPesertaKemenkeu!$M$6:$M$1005,SMALL(IF(checklistPesertaKemenkeu!$AY$6:$AY$1005="Direkomendasikan",ROW($6:$1005)-5),718))="",INDEX(checklistPesertaKemenkeu!$J$6:$J$1005,SMALL(IF(checklistPesertaKemenkeu!$AY$6:$AY$1005="Direkomendasikan",ROW($6:$1005)-5),718))=""),"",IF(AND(COUNTIF(INDIRECT("K_"&amp;MATCH(INDEX(checklistPesertaKemenkeu!$J$6:$J$1005,SMALL(IF(checklistPesertaKemenkeu!$AY$6:$AY$1005="Direkomendasikan",ROW($6:$1005)-5),718)),BidangList,0)),INDEX(checklistPesertaKemenkeu!$M$6:$M$1005,SMALL(IF(checklistPesertaKemenkeu!$AY$6:$AY$1005="Direkomendasikan",ROW($6:$1005)-5),718)))&gt;0,COUNTIF(INDIRECT("'KERTAS KERJA'!K"&amp;(SMALL(IF(checklistPesertaKemenkeu!$AY$6:$AY$1005="Direkomendasikan",ROW($6:$1005)-5),718)+5)&amp;":O"&amp;(SMALL(IF(checklistPesertaKemenkeu!$AY$6:$AY$1005="Direkomendasikan",ROW($6:$1005)-5),718)+5)),INDEX(checklistPesertaKemenkeu!$M$6:$M$1005,SMALL(IF(checklistPesertaKemenkeu!$AY$6:$AY$1005="Direkomendasikan",ROW($6:$1005)-5),718)))=1),IFERROR(VLOOKUP(INDEX(checklistPesertaKemenkeu!$M$6:$M$1005,SMALL(IF(checklistPesertaKemenkeu!$AY$6:$AY$1005="Direkomendasikan",ROW($6:$1005)-5),718)),KotaKode,2,0),"-"),"")),"")</f>
        <v/>
      </c>
      <c r="J719" t="str">
        <f t="array" aca="1" ref="J719" ca="1">IFERROR(IF(OR(INDEX(checklistPesertaKemenkeu!$N$6:$N$1005,SMALL(IF(checklistPesertaKemenkeu!$AY$6:$AY$1005="Direkomendasikan",ROW($6:$1005)-5),718))="",INDEX(checklistPesertaKemenkeu!$J$6:$J$1005,SMALL(IF(checklistPesertaKemenkeu!$AY$6:$AY$1005="Direkomendasikan",ROW($6:$1005)-5),718))=""),"",IF(AND(COUNTIF(INDIRECT("K_"&amp;MATCH(INDEX(checklistPesertaKemenkeu!$J$6:$J$1005,SMALL(IF(checklistPesertaKemenkeu!$AY$6:$AY$1005="Direkomendasikan",ROW($6:$1005)-5),718)),BidangList,0)),INDEX(checklistPesertaKemenkeu!$N$6:$N$1005,SMALL(IF(checklistPesertaKemenkeu!$AY$6:$AY$1005="Direkomendasikan",ROW($6:$1005)-5),718)))&gt;0,COUNTIF(INDIRECT("'KERTAS KERJA'!K"&amp;(SMALL(IF(checklistPesertaKemenkeu!$AY$6:$AY$1005="Direkomendasikan",ROW($6:$1005)-5),718)+5)&amp;":O"&amp;(SMALL(IF(checklistPesertaKemenkeu!$AY$6:$AY$1005="Direkomendasikan",ROW($6:$1005)-5),718)+5)),INDEX(checklistPesertaKemenkeu!$N$6:$N$1005,SMALL(IF(checklistPesertaKemenkeu!$AY$6:$AY$1005="Direkomendasikan",ROW($6:$1005)-5),718)))=1),IFERROR(VLOOKUP(INDEX(checklistPesertaKemenkeu!$N$6:$N$1005,SMALL(IF(checklistPesertaKemenkeu!$AY$6:$AY$1005="Direkomendasikan",ROW($6:$1005)-5),718)),KotaKode,2,0),"-"),"")),"")</f>
        <v/>
      </c>
      <c r="K719" t="str">
        <f t="array" aca="1" ref="K719" ca="1">IFERROR(IF(OR(INDEX(checklistPesertaKemenkeu!$O$6:$O$1005,SMALL(IF(checklistPesertaKemenkeu!$AY$6:$AY$1005="Direkomendasikan",ROW($6:$1005)-5),718))="",INDEX(checklistPesertaKemenkeu!$J$6:$J$1005,SMALL(IF(checklistPesertaKemenkeu!$AY$6:$AY$1005="Direkomendasikan",ROW($6:$1005)-5),718))=""),"",IF(AND(COUNTIF(INDIRECT("K_"&amp;MATCH(INDEX(checklistPesertaKemenkeu!$J$6:$J$1005,SMALL(IF(checklistPesertaKemenkeu!$AY$6:$AY$1005="Direkomendasikan",ROW($6:$1005)-5),718)),BidangList,0)),INDEX(checklistPesertaKemenkeu!$O$6:$O$1005,SMALL(IF(checklistPesertaKemenkeu!$AY$6:$AY$1005="Direkomendasikan",ROW($6:$1005)-5),718)))&gt;0,COUNTIF(INDIRECT("'KERTAS KERJA'!K"&amp;(SMALL(IF(checklistPesertaKemenkeu!$AY$6:$AY$1005="Direkomendasikan",ROW($6:$1005)-5),718)+5)&amp;":O"&amp;(SMALL(IF(checklistPesertaKemenkeu!$AY$6:$AY$1005="Direkomendasikan",ROW($6:$1005)-5),718)+5)),INDEX(checklistPesertaKemenkeu!$O$6:$O$1005,SMALL(IF(checklistPesertaKemenkeu!$AY$6:$AY$1005="Direkomendasikan",ROW($6:$1005)-5),718)))=1),IFERROR(VLOOKUP(INDEX(checklistPesertaKemenkeu!$O$6:$O$1005,SMALL(IF(checklistPesertaKemenkeu!$AY$6:$AY$1005="Direkomendasikan",ROW($6:$1005)-5),718)),KotaKode,2,0),"-"),"")),"")</f>
        <v/>
      </c>
      <c r="L719" t="str">
        <f t="array" aca="1" ref="L719" ca="1">IFERROR(IF(OR(INDEX(checklistPesertaKemenkeu!$P$6:$P$1005,SMALL(IF(checklistPesertaKemenkeu!$AY$6:$AY$1005="Direkomendasikan",ROW($6:$1005)-5),718))="",INDEX(checklistPesertaKemenkeu!$J$6:$J$1005,SMALL(IF(checklistPesertaKemenkeu!$AY$6:$AY$1005="Direkomendasikan",ROW($6:$1005)-5),718))=""),"",IF(AND(COUNTIF(INDIRECT("K_"&amp;MATCH(INDEX(checklistPesertaKemenkeu!$J$6:$J$1005,SMALL(IF(checklistPesertaKemenkeu!$AY$6:$AY$1005="Direkomendasikan",ROW($6:$1005)-5),718)),BidangList,0)),INDEX(checklistPesertaKemenkeu!$P$6:$P$1005,SMALL(IF(checklistPesertaKemenkeu!$AY$6:$AY$1005="Direkomendasikan",ROW($6:$1005)-5),718)))&gt;0,COUNTIF(INDIRECT("'KERTAS KERJA'!K"&amp;(SMALL(IF(checklistPesertaKemenkeu!$AY$6:$AY$1005="Direkomendasikan",ROW($6:$1005)-5),718)+5)&amp;":O"&amp;(SMALL(IF(checklistPesertaKemenkeu!$AY$6:$AY$1005="Direkomendasikan",ROW($6:$1005)-5),718)+5)),INDEX(checklistPesertaKemenkeu!$P$6:$P$1005,SMALL(IF(checklistPesertaKemenkeu!$AY$6:$AY$1005="Direkomendasikan",ROW($6:$1005)-5),718)))=1),IFERROR(VLOOKUP(INDEX(checklistPesertaKemenkeu!$P$6:$P$1005,SMALL(IF(checklistPesertaKemenkeu!$AY$6:$AY$1005="Direkomendasikan",ROW($6:$1005)-5),718)),KotaKode,2,0),"-"),"")),"")</f>
        <v/>
      </c>
    </row>
    <row r="720" spans="1:12" ht="15" customHeight="1" x14ac:dyDescent="0.2">
      <c r="A720" t="str">
        <f t="shared" si="11"/>
        <v/>
      </c>
      <c r="B720" t="str">
        <v/>
      </c>
      <c r="C720" s="40" t="str">
        <f t="array" ref="C720">IFERROR(INDEX(checklistPesertaKemenkeu!$F$6:$F$1005,SMALL(IF(checklistPesertaKemenkeu!$AY$6:$AY$1005="Direkomendasikan",ROW($6:$1005)-5),719)),"")</f>
        <v/>
      </c>
      <c r="D720" t="str">
        <f t="array" ref="D720">IFERROR(INDEX(checklistPesertaKemenkeu!$G$6:$G$1005,SMALL(IF(checklistPesertaKemenkeu!$AY$6:$AY$1005="Direkomendasikan",ROW($6:$1005)-5),719)),"")</f>
        <v/>
      </c>
      <c r="E720" t="str">
        <f t="array" ref="E720">IFERROR(INDEX(checklistPesertaKemenkeu!$H$6:$H$1005,SMALL(IF(checklistPesertaKemenkeu!$AY$6:$AY$1005="Direkomendasikan",ROW($6:$1005)-5),719)),"")</f>
        <v/>
      </c>
      <c r="F720" t="str">
        <f t="array" ref="F720">IFERROR(INDEX(checklistPesertaKemenkeu!$I$6:$I$1005,SMALL(IF(checklistPesertaKemenkeu!$AY$6:$AY$1005="Direkomendasikan",ROW($6:$1005)-5),719)),"")</f>
        <v/>
      </c>
      <c r="G720" t="str">
        <f t="array" ref="G720">IFERROR(INDEX(checklistPesertaKemenkeu!$J$6:$J$1005,SMALL(IF(checklistPesertaKemenkeu!$AY$6:$AY$1005="Direkomendasikan",ROW($6:$1005)-5),719)),"")</f>
        <v/>
      </c>
      <c r="H720" t="str">
        <f t="array" aca="1" ref="H720" ca="1">IFERROR(IF(OR(INDEX(checklistPesertaKemenkeu!$L$6:$L$1005,SMALL(IF(checklistPesertaKemenkeu!$AY$6:$AY$1005="Direkomendasikan",ROW($6:$1005)-5),719))="",INDEX(checklistPesertaKemenkeu!$J$6:$J$1005,SMALL(IF(checklistPesertaKemenkeu!$AY$6:$AY$1005="Direkomendasikan",ROW($6:$1005)-5),719))=""),"",IF(AND(COUNTIF(INDIRECT("K_"&amp;MATCH(INDEX(checklistPesertaKemenkeu!$J$6:$J$1005,SMALL(IF(checklistPesertaKemenkeu!$AY$6:$AY$1005="Direkomendasikan",ROW($6:$1005)-5),719)),BidangList,0)),INDEX(checklistPesertaKemenkeu!$L$6:$L$1005,SMALL(IF(checklistPesertaKemenkeu!$AY$6:$AY$1005="Direkomendasikan",ROW($6:$1005)-5),719)))&gt;0,COUNTIF(INDIRECT("'KERTAS KERJA'!K"&amp;(SMALL(IF(checklistPesertaKemenkeu!$AY$6:$AY$1005="Direkomendasikan",ROW($6:$1005)-5),719)+5)&amp;":O"&amp;(SMALL(IF(checklistPesertaKemenkeu!$AY$6:$AY$1005="Direkomendasikan",ROW($6:$1005)-5),719)+5)),INDEX(checklistPesertaKemenkeu!$L$6:$L$1005,SMALL(IF(checklistPesertaKemenkeu!$AY$6:$AY$1005="Direkomendasikan",ROW($6:$1005)-5),719)))=1),IFERROR(VLOOKUP(INDEX(checklistPesertaKemenkeu!$L$6:$L$1005,SMALL(IF(checklistPesertaKemenkeu!$AY$6:$AY$1005="Direkomendasikan",ROW($6:$1005)-5),719)),KotaKode,2,0),"-"),"")),"")</f>
        <v/>
      </c>
      <c r="I720" t="str">
        <f t="array" aca="1" ref="I720" ca="1">IFERROR(IF(OR(INDEX(checklistPesertaKemenkeu!$M$6:$M$1005,SMALL(IF(checklistPesertaKemenkeu!$AY$6:$AY$1005="Direkomendasikan",ROW($6:$1005)-5),719))="",INDEX(checklistPesertaKemenkeu!$J$6:$J$1005,SMALL(IF(checklistPesertaKemenkeu!$AY$6:$AY$1005="Direkomendasikan",ROW($6:$1005)-5),719))=""),"",IF(AND(COUNTIF(INDIRECT("K_"&amp;MATCH(INDEX(checklistPesertaKemenkeu!$J$6:$J$1005,SMALL(IF(checklistPesertaKemenkeu!$AY$6:$AY$1005="Direkomendasikan",ROW($6:$1005)-5),719)),BidangList,0)),INDEX(checklistPesertaKemenkeu!$M$6:$M$1005,SMALL(IF(checklistPesertaKemenkeu!$AY$6:$AY$1005="Direkomendasikan",ROW($6:$1005)-5),719)))&gt;0,COUNTIF(INDIRECT("'KERTAS KERJA'!K"&amp;(SMALL(IF(checklistPesertaKemenkeu!$AY$6:$AY$1005="Direkomendasikan",ROW($6:$1005)-5),719)+5)&amp;":O"&amp;(SMALL(IF(checklistPesertaKemenkeu!$AY$6:$AY$1005="Direkomendasikan",ROW($6:$1005)-5),719)+5)),INDEX(checklistPesertaKemenkeu!$M$6:$M$1005,SMALL(IF(checklistPesertaKemenkeu!$AY$6:$AY$1005="Direkomendasikan",ROW($6:$1005)-5),719)))=1),IFERROR(VLOOKUP(INDEX(checklistPesertaKemenkeu!$M$6:$M$1005,SMALL(IF(checklistPesertaKemenkeu!$AY$6:$AY$1005="Direkomendasikan",ROW($6:$1005)-5),719)),KotaKode,2,0),"-"),"")),"")</f>
        <v/>
      </c>
      <c r="J720" t="str">
        <f t="array" aca="1" ref="J720" ca="1">IFERROR(IF(OR(INDEX(checklistPesertaKemenkeu!$N$6:$N$1005,SMALL(IF(checklistPesertaKemenkeu!$AY$6:$AY$1005="Direkomendasikan",ROW($6:$1005)-5),719))="",INDEX(checklistPesertaKemenkeu!$J$6:$J$1005,SMALL(IF(checklistPesertaKemenkeu!$AY$6:$AY$1005="Direkomendasikan",ROW($6:$1005)-5),719))=""),"",IF(AND(COUNTIF(INDIRECT("K_"&amp;MATCH(INDEX(checklistPesertaKemenkeu!$J$6:$J$1005,SMALL(IF(checklistPesertaKemenkeu!$AY$6:$AY$1005="Direkomendasikan",ROW($6:$1005)-5),719)),BidangList,0)),INDEX(checklistPesertaKemenkeu!$N$6:$N$1005,SMALL(IF(checklistPesertaKemenkeu!$AY$6:$AY$1005="Direkomendasikan",ROW($6:$1005)-5),719)))&gt;0,COUNTIF(INDIRECT("'KERTAS KERJA'!K"&amp;(SMALL(IF(checklistPesertaKemenkeu!$AY$6:$AY$1005="Direkomendasikan",ROW($6:$1005)-5),719)+5)&amp;":O"&amp;(SMALL(IF(checklistPesertaKemenkeu!$AY$6:$AY$1005="Direkomendasikan",ROW($6:$1005)-5),719)+5)),INDEX(checklistPesertaKemenkeu!$N$6:$N$1005,SMALL(IF(checklistPesertaKemenkeu!$AY$6:$AY$1005="Direkomendasikan",ROW($6:$1005)-5),719)))=1),IFERROR(VLOOKUP(INDEX(checklistPesertaKemenkeu!$N$6:$N$1005,SMALL(IF(checklistPesertaKemenkeu!$AY$6:$AY$1005="Direkomendasikan",ROW($6:$1005)-5),719)),KotaKode,2,0),"-"),"")),"")</f>
        <v/>
      </c>
      <c r="K720" t="str">
        <f t="array" aca="1" ref="K720" ca="1">IFERROR(IF(OR(INDEX(checklistPesertaKemenkeu!$O$6:$O$1005,SMALL(IF(checklistPesertaKemenkeu!$AY$6:$AY$1005="Direkomendasikan",ROW($6:$1005)-5),719))="",INDEX(checklistPesertaKemenkeu!$J$6:$J$1005,SMALL(IF(checklistPesertaKemenkeu!$AY$6:$AY$1005="Direkomendasikan",ROW($6:$1005)-5),719))=""),"",IF(AND(COUNTIF(INDIRECT("K_"&amp;MATCH(INDEX(checklistPesertaKemenkeu!$J$6:$J$1005,SMALL(IF(checklistPesertaKemenkeu!$AY$6:$AY$1005="Direkomendasikan",ROW($6:$1005)-5),719)),BidangList,0)),INDEX(checklistPesertaKemenkeu!$O$6:$O$1005,SMALL(IF(checklistPesertaKemenkeu!$AY$6:$AY$1005="Direkomendasikan",ROW($6:$1005)-5),719)))&gt;0,COUNTIF(INDIRECT("'KERTAS KERJA'!K"&amp;(SMALL(IF(checklistPesertaKemenkeu!$AY$6:$AY$1005="Direkomendasikan",ROW($6:$1005)-5),719)+5)&amp;":O"&amp;(SMALL(IF(checklistPesertaKemenkeu!$AY$6:$AY$1005="Direkomendasikan",ROW($6:$1005)-5),719)+5)),INDEX(checklistPesertaKemenkeu!$O$6:$O$1005,SMALL(IF(checklistPesertaKemenkeu!$AY$6:$AY$1005="Direkomendasikan",ROW($6:$1005)-5),719)))=1),IFERROR(VLOOKUP(INDEX(checklistPesertaKemenkeu!$O$6:$O$1005,SMALL(IF(checklistPesertaKemenkeu!$AY$6:$AY$1005="Direkomendasikan",ROW($6:$1005)-5),719)),KotaKode,2,0),"-"),"")),"")</f>
        <v/>
      </c>
      <c r="L720" t="str">
        <f t="array" aca="1" ref="L720" ca="1">IFERROR(IF(OR(INDEX(checklistPesertaKemenkeu!$P$6:$P$1005,SMALL(IF(checklistPesertaKemenkeu!$AY$6:$AY$1005="Direkomendasikan",ROW($6:$1005)-5),719))="",INDEX(checklistPesertaKemenkeu!$J$6:$J$1005,SMALL(IF(checklistPesertaKemenkeu!$AY$6:$AY$1005="Direkomendasikan",ROW($6:$1005)-5),719))=""),"",IF(AND(COUNTIF(INDIRECT("K_"&amp;MATCH(INDEX(checklistPesertaKemenkeu!$J$6:$J$1005,SMALL(IF(checklistPesertaKemenkeu!$AY$6:$AY$1005="Direkomendasikan",ROW($6:$1005)-5),719)),BidangList,0)),INDEX(checklistPesertaKemenkeu!$P$6:$P$1005,SMALL(IF(checklistPesertaKemenkeu!$AY$6:$AY$1005="Direkomendasikan",ROW($6:$1005)-5),719)))&gt;0,COUNTIF(INDIRECT("'KERTAS KERJA'!K"&amp;(SMALL(IF(checklistPesertaKemenkeu!$AY$6:$AY$1005="Direkomendasikan",ROW($6:$1005)-5),719)+5)&amp;":O"&amp;(SMALL(IF(checklistPesertaKemenkeu!$AY$6:$AY$1005="Direkomendasikan",ROW($6:$1005)-5),719)+5)),INDEX(checklistPesertaKemenkeu!$P$6:$P$1005,SMALL(IF(checklistPesertaKemenkeu!$AY$6:$AY$1005="Direkomendasikan",ROW($6:$1005)-5),719)))=1),IFERROR(VLOOKUP(INDEX(checklistPesertaKemenkeu!$P$6:$P$1005,SMALL(IF(checklistPesertaKemenkeu!$AY$6:$AY$1005="Direkomendasikan",ROW($6:$1005)-5),719)),KotaKode,2,0),"-"),"")),"")</f>
        <v/>
      </c>
    </row>
    <row r="721" spans="1:12" ht="15" customHeight="1" x14ac:dyDescent="0.2">
      <c r="A721" t="str">
        <f t="shared" si="11"/>
        <v/>
      </c>
      <c r="B721" t="str">
        <v/>
      </c>
      <c r="C721" s="40" t="str">
        <f t="array" ref="C721">IFERROR(INDEX(checklistPesertaKemenkeu!$F$6:$F$1005,SMALL(IF(checklistPesertaKemenkeu!$AY$6:$AY$1005="Direkomendasikan",ROW($6:$1005)-5),720)),"")</f>
        <v/>
      </c>
      <c r="D721" t="str">
        <f t="array" ref="D721">IFERROR(INDEX(checklistPesertaKemenkeu!$G$6:$G$1005,SMALL(IF(checklistPesertaKemenkeu!$AY$6:$AY$1005="Direkomendasikan",ROW($6:$1005)-5),720)),"")</f>
        <v/>
      </c>
      <c r="E721" t="str">
        <f t="array" ref="E721">IFERROR(INDEX(checklistPesertaKemenkeu!$H$6:$H$1005,SMALL(IF(checklistPesertaKemenkeu!$AY$6:$AY$1005="Direkomendasikan",ROW($6:$1005)-5),720)),"")</f>
        <v/>
      </c>
      <c r="F721" t="str">
        <f t="array" ref="F721">IFERROR(INDEX(checklistPesertaKemenkeu!$I$6:$I$1005,SMALL(IF(checklistPesertaKemenkeu!$AY$6:$AY$1005="Direkomendasikan",ROW($6:$1005)-5),720)),"")</f>
        <v/>
      </c>
      <c r="G721" t="str">
        <f t="array" ref="G721">IFERROR(INDEX(checklistPesertaKemenkeu!$J$6:$J$1005,SMALL(IF(checklistPesertaKemenkeu!$AY$6:$AY$1005="Direkomendasikan",ROW($6:$1005)-5),720)),"")</f>
        <v/>
      </c>
      <c r="H721" t="str">
        <f t="array" aca="1" ref="H721" ca="1">IFERROR(IF(OR(INDEX(checklistPesertaKemenkeu!$L$6:$L$1005,SMALL(IF(checklistPesertaKemenkeu!$AY$6:$AY$1005="Direkomendasikan",ROW($6:$1005)-5),720))="",INDEX(checklistPesertaKemenkeu!$J$6:$J$1005,SMALL(IF(checklistPesertaKemenkeu!$AY$6:$AY$1005="Direkomendasikan",ROW($6:$1005)-5),720))=""),"",IF(AND(COUNTIF(INDIRECT("K_"&amp;MATCH(INDEX(checklistPesertaKemenkeu!$J$6:$J$1005,SMALL(IF(checklistPesertaKemenkeu!$AY$6:$AY$1005="Direkomendasikan",ROW($6:$1005)-5),720)),BidangList,0)),INDEX(checklistPesertaKemenkeu!$L$6:$L$1005,SMALL(IF(checklistPesertaKemenkeu!$AY$6:$AY$1005="Direkomendasikan",ROW($6:$1005)-5),720)))&gt;0,COUNTIF(INDIRECT("'KERTAS KERJA'!K"&amp;(SMALL(IF(checklistPesertaKemenkeu!$AY$6:$AY$1005="Direkomendasikan",ROW($6:$1005)-5),720)+5)&amp;":O"&amp;(SMALL(IF(checklistPesertaKemenkeu!$AY$6:$AY$1005="Direkomendasikan",ROW($6:$1005)-5),720)+5)),INDEX(checklistPesertaKemenkeu!$L$6:$L$1005,SMALL(IF(checklistPesertaKemenkeu!$AY$6:$AY$1005="Direkomendasikan",ROW($6:$1005)-5),720)))=1),IFERROR(VLOOKUP(INDEX(checklistPesertaKemenkeu!$L$6:$L$1005,SMALL(IF(checklistPesertaKemenkeu!$AY$6:$AY$1005="Direkomendasikan",ROW($6:$1005)-5),720)),KotaKode,2,0),"-"),"")),"")</f>
        <v/>
      </c>
      <c r="I721" t="str">
        <f t="array" aca="1" ref="I721" ca="1">IFERROR(IF(OR(INDEX(checklistPesertaKemenkeu!$M$6:$M$1005,SMALL(IF(checklistPesertaKemenkeu!$AY$6:$AY$1005="Direkomendasikan",ROW($6:$1005)-5),720))="",INDEX(checklistPesertaKemenkeu!$J$6:$J$1005,SMALL(IF(checklistPesertaKemenkeu!$AY$6:$AY$1005="Direkomendasikan",ROW($6:$1005)-5),720))=""),"",IF(AND(COUNTIF(INDIRECT("K_"&amp;MATCH(INDEX(checklistPesertaKemenkeu!$J$6:$J$1005,SMALL(IF(checklistPesertaKemenkeu!$AY$6:$AY$1005="Direkomendasikan",ROW($6:$1005)-5),720)),BidangList,0)),INDEX(checklistPesertaKemenkeu!$M$6:$M$1005,SMALL(IF(checklistPesertaKemenkeu!$AY$6:$AY$1005="Direkomendasikan",ROW($6:$1005)-5),720)))&gt;0,COUNTIF(INDIRECT("'KERTAS KERJA'!K"&amp;(SMALL(IF(checklistPesertaKemenkeu!$AY$6:$AY$1005="Direkomendasikan",ROW($6:$1005)-5),720)+5)&amp;":O"&amp;(SMALL(IF(checklistPesertaKemenkeu!$AY$6:$AY$1005="Direkomendasikan",ROW($6:$1005)-5),720)+5)),INDEX(checklistPesertaKemenkeu!$M$6:$M$1005,SMALL(IF(checklistPesertaKemenkeu!$AY$6:$AY$1005="Direkomendasikan",ROW($6:$1005)-5),720)))=1),IFERROR(VLOOKUP(INDEX(checklistPesertaKemenkeu!$M$6:$M$1005,SMALL(IF(checklistPesertaKemenkeu!$AY$6:$AY$1005="Direkomendasikan",ROW($6:$1005)-5),720)),KotaKode,2,0),"-"),"")),"")</f>
        <v/>
      </c>
      <c r="J721" t="str">
        <f t="array" aca="1" ref="J721" ca="1">IFERROR(IF(OR(INDEX(checklistPesertaKemenkeu!$N$6:$N$1005,SMALL(IF(checklistPesertaKemenkeu!$AY$6:$AY$1005="Direkomendasikan",ROW($6:$1005)-5),720))="",INDEX(checklistPesertaKemenkeu!$J$6:$J$1005,SMALL(IF(checklistPesertaKemenkeu!$AY$6:$AY$1005="Direkomendasikan",ROW($6:$1005)-5),720))=""),"",IF(AND(COUNTIF(INDIRECT("K_"&amp;MATCH(INDEX(checklistPesertaKemenkeu!$J$6:$J$1005,SMALL(IF(checklistPesertaKemenkeu!$AY$6:$AY$1005="Direkomendasikan",ROW($6:$1005)-5),720)),BidangList,0)),INDEX(checklistPesertaKemenkeu!$N$6:$N$1005,SMALL(IF(checklistPesertaKemenkeu!$AY$6:$AY$1005="Direkomendasikan",ROW($6:$1005)-5),720)))&gt;0,COUNTIF(INDIRECT("'KERTAS KERJA'!K"&amp;(SMALL(IF(checklistPesertaKemenkeu!$AY$6:$AY$1005="Direkomendasikan",ROW($6:$1005)-5),720)+5)&amp;":O"&amp;(SMALL(IF(checklistPesertaKemenkeu!$AY$6:$AY$1005="Direkomendasikan",ROW($6:$1005)-5),720)+5)),INDEX(checklistPesertaKemenkeu!$N$6:$N$1005,SMALL(IF(checklistPesertaKemenkeu!$AY$6:$AY$1005="Direkomendasikan",ROW($6:$1005)-5),720)))=1),IFERROR(VLOOKUP(INDEX(checklistPesertaKemenkeu!$N$6:$N$1005,SMALL(IF(checklistPesertaKemenkeu!$AY$6:$AY$1005="Direkomendasikan",ROW($6:$1005)-5),720)),KotaKode,2,0),"-"),"")),"")</f>
        <v/>
      </c>
      <c r="K721" t="str">
        <f t="array" aca="1" ref="K721" ca="1">IFERROR(IF(OR(INDEX(checklistPesertaKemenkeu!$O$6:$O$1005,SMALL(IF(checklistPesertaKemenkeu!$AY$6:$AY$1005="Direkomendasikan",ROW($6:$1005)-5),720))="",INDEX(checklistPesertaKemenkeu!$J$6:$J$1005,SMALL(IF(checklistPesertaKemenkeu!$AY$6:$AY$1005="Direkomendasikan",ROW($6:$1005)-5),720))=""),"",IF(AND(COUNTIF(INDIRECT("K_"&amp;MATCH(INDEX(checklistPesertaKemenkeu!$J$6:$J$1005,SMALL(IF(checklistPesertaKemenkeu!$AY$6:$AY$1005="Direkomendasikan",ROW($6:$1005)-5),720)),BidangList,0)),INDEX(checklistPesertaKemenkeu!$O$6:$O$1005,SMALL(IF(checklistPesertaKemenkeu!$AY$6:$AY$1005="Direkomendasikan",ROW($6:$1005)-5),720)))&gt;0,COUNTIF(INDIRECT("'KERTAS KERJA'!K"&amp;(SMALL(IF(checklistPesertaKemenkeu!$AY$6:$AY$1005="Direkomendasikan",ROW($6:$1005)-5),720)+5)&amp;":O"&amp;(SMALL(IF(checklistPesertaKemenkeu!$AY$6:$AY$1005="Direkomendasikan",ROW($6:$1005)-5),720)+5)),INDEX(checklistPesertaKemenkeu!$O$6:$O$1005,SMALL(IF(checklistPesertaKemenkeu!$AY$6:$AY$1005="Direkomendasikan",ROW($6:$1005)-5),720)))=1),IFERROR(VLOOKUP(INDEX(checklistPesertaKemenkeu!$O$6:$O$1005,SMALL(IF(checklistPesertaKemenkeu!$AY$6:$AY$1005="Direkomendasikan",ROW($6:$1005)-5),720)),KotaKode,2,0),"-"),"")),"")</f>
        <v/>
      </c>
      <c r="L721" t="str">
        <f t="array" aca="1" ref="L721" ca="1">IFERROR(IF(OR(INDEX(checklistPesertaKemenkeu!$P$6:$P$1005,SMALL(IF(checklistPesertaKemenkeu!$AY$6:$AY$1005="Direkomendasikan",ROW($6:$1005)-5),720))="",INDEX(checklistPesertaKemenkeu!$J$6:$J$1005,SMALL(IF(checklistPesertaKemenkeu!$AY$6:$AY$1005="Direkomendasikan",ROW($6:$1005)-5),720))=""),"",IF(AND(COUNTIF(INDIRECT("K_"&amp;MATCH(INDEX(checklistPesertaKemenkeu!$J$6:$J$1005,SMALL(IF(checklistPesertaKemenkeu!$AY$6:$AY$1005="Direkomendasikan",ROW($6:$1005)-5),720)),BidangList,0)),INDEX(checklistPesertaKemenkeu!$P$6:$P$1005,SMALL(IF(checklistPesertaKemenkeu!$AY$6:$AY$1005="Direkomendasikan",ROW($6:$1005)-5),720)))&gt;0,COUNTIF(INDIRECT("'KERTAS KERJA'!K"&amp;(SMALL(IF(checklistPesertaKemenkeu!$AY$6:$AY$1005="Direkomendasikan",ROW($6:$1005)-5),720)+5)&amp;":O"&amp;(SMALL(IF(checklistPesertaKemenkeu!$AY$6:$AY$1005="Direkomendasikan",ROW($6:$1005)-5),720)+5)),INDEX(checklistPesertaKemenkeu!$P$6:$P$1005,SMALL(IF(checklistPesertaKemenkeu!$AY$6:$AY$1005="Direkomendasikan",ROW($6:$1005)-5),720)))=1),IFERROR(VLOOKUP(INDEX(checklistPesertaKemenkeu!$P$6:$P$1005,SMALL(IF(checklistPesertaKemenkeu!$AY$6:$AY$1005="Direkomendasikan",ROW($6:$1005)-5),720)),KotaKode,2,0),"-"),"")),"")</f>
        <v/>
      </c>
    </row>
    <row r="722" spans="1:12" ht="15" customHeight="1" x14ac:dyDescent="0.2">
      <c r="A722" t="str">
        <f t="shared" si="11"/>
        <v/>
      </c>
      <c r="B722" t="str">
        <v/>
      </c>
      <c r="C722" s="40" t="str">
        <f t="array" ref="C722">IFERROR(INDEX(checklistPesertaKemenkeu!$F$6:$F$1005,SMALL(IF(checklistPesertaKemenkeu!$AY$6:$AY$1005="Direkomendasikan",ROW($6:$1005)-5),721)),"")</f>
        <v/>
      </c>
      <c r="D722" t="str">
        <f t="array" ref="D722">IFERROR(INDEX(checklistPesertaKemenkeu!$G$6:$G$1005,SMALL(IF(checklistPesertaKemenkeu!$AY$6:$AY$1005="Direkomendasikan",ROW($6:$1005)-5),721)),"")</f>
        <v/>
      </c>
      <c r="E722" t="str">
        <f t="array" ref="E722">IFERROR(INDEX(checklistPesertaKemenkeu!$H$6:$H$1005,SMALL(IF(checklistPesertaKemenkeu!$AY$6:$AY$1005="Direkomendasikan",ROW($6:$1005)-5),721)),"")</f>
        <v/>
      </c>
      <c r="F722" t="str">
        <f t="array" ref="F722">IFERROR(INDEX(checklistPesertaKemenkeu!$I$6:$I$1005,SMALL(IF(checklistPesertaKemenkeu!$AY$6:$AY$1005="Direkomendasikan",ROW($6:$1005)-5),721)),"")</f>
        <v/>
      </c>
      <c r="G722" t="str">
        <f t="array" ref="G722">IFERROR(INDEX(checklistPesertaKemenkeu!$J$6:$J$1005,SMALL(IF(checklistPesertaKemenkeu!$AY$6:$AY$1005="Direkomendasikan",ROW($6:$1005)-5),721)),"")</f>
        <v/>
      </c>
      <c r="H722" t="str">
        <f t="array" aca="1" ref="H722" ca="1">IFERROR(IF(OR(INDEX(checklistPesertaKemenkeu!$L$6:$L$1005,SMALL(IF(checklistPesertaKemenkeu!$AY$6:$AY$1005="Direkomendasikan",ROW($6:$1005)-5),721))="",INDEX(checklistPesertaKemenkeu!$J$6:$J$1005,SMALL(IF(checklistPesertaKemenkeu!$AY$6:$AY$1005="Direkomendasikan",ROW($6:$1005)-5),721))=""),"",IF(AND(COUNTIF(INDIRECT("K_"&amp;MATCH(INDEX(checklistPesertaKemenkeu!$J$6:$J$1005,SMALL(IF(checklistPesertaKemenkeu!$AY$6:$AY$1005="Direkomendasikan",ROW($6:$1005)-5),721)),BidangList,0)),INDEX(checklistPesertaKemenkeu!$L$6:$L$1005,SMALL(IF(checklistPesertaKemenkeu!$AY$6:$AY$1005="Direkomendasikan",ROW($6:$1005)-5),721)))&gt;0,COUNTIF(INDIRECT("'KERTAS KERJA'!K"&amp;(SMALL(IF(checklistPesertaKemenkeu!$AY$6:$AY$1005="Direkomendasikan",ROW($6:$1005)-5),721)+5)&amp;":O"&amp;(SMALL(IF(checklistPesertaKemenkeu!$AY$6:$AY$1005="Direkomendasikan",ROW($6:$1005)-5),721)+5)),INDEX(checklistPesertaKemenkeu!$L$6:$L$1005,SMALL(IF(checklistPesertaKemenkeu!$AY$6:$AY$1005="Direkomendasikan",ROW($6:$1005)-5),721)))=1),IFERROR(VLOOKUP(INDEX(checklistPesertaKemenkeu!$L$6:$L$1005,SMALL(IF(checklistPesertaKemenkeu!$AY$6:$AY$1005="Direkomendasikan",ROW($6:$1005)-5),721)),KotaKode,2,0),"-"),"")),"")</f>
        <v/>
      </c>
      <c r="I722" t="str">
        <f t="array" aca="1" ref="I722" ca="1">IFERROR(IF(OR(INDEX(checklistPesertaKemenkeu!$M$6:$M$1005,SMALL(IF(checklistPesertaKemenkeu!$AY$6:$AY$1005="Direkomendasikan",ROW($6:$1005)-5),721))="",INDEX(checklistPesertaKemenkeu!$J$6:$J$1005,SMALL(IF(checklistPesertaKemenkeu!$AY$6:$AY$1005="Direkomendasikan",ROW($6:$1005)-5),721))=""),"",IF(AND(COUNTIF(INDIRECT("K_"&amp;MATCH(INDEX(checklistPesertaKemenkeu!$J$6:$J$1005,SMALL(IF(checklistPesertaKemenkeu!$AY$6:$AY$1005="Direkomendasikan",ROW($6:$1005)-5),721)),BidangList,0)),INDEX(checklistPesertaKemenkeu!$M$6:$M$1005,SMALL(IF(checklistPesertaKemenkeu!$AY$6:$AY$1005="Direkomendasikan",ROW($6:$1005)-5),721)))&gt;0,COUNTIF(INDIRECT("'KERTAS KERJA'!K"&amp;(SMALL(IF(checklistPesertaKemenkeu!$AY$6:$AY$1005="Direkomendasikan",ROW($6:$1005)-5),721)+5)&amp;":O"&amp;(SMALL(IF(checklistPesertaKemenkeu!$AY$6:$AY$1005="Direkomendasikan",ROW($6:$1005)-5),721)+5)),INDEX(checklistPesertaKemenkeu!$M$6:$M$1005,SMALL(IF(checklistPesertaKemenkeu!$AY$6:$AY$1005="Direkomendasikan",ROW($6:$1005)-5),721)))=1),IFERROR(VLOOKUP(INDEX(checklistPesertaKemenkeu!$M$6:$M$1005,SMALL(IF(checklistPesertaKemenkeu!$AY$6:$AY$1005="Direkomendasikan",ROW($6:$1005)-5),721)),KotaKode,2,0),"-"),"")),"")</f>
        <v/>
      </c>
      <c r="J722" t="str">
        <f t="array" aca="1" ref="J722" ca="1">IFERROR(IF(OR(INDEX(checklistPesertaKemenkeu!$N$6:$N$1005,SMALL(IF(checklistPesertaKemenkeu!$AY$6:$AY$1005="Direkomendasikan",ROW($6:$1005)-5),721))="",INDEX(checklistPesertaKemenkeu!$J$6:$J$1005,SMALL(IF(checklistPesertaKemenkeu!$AY$6:$AY$1005="Direkomendasikan",ROW($6:$1005)-5),721))=""),"",IF(AND(COUNTIF(INDIRECT("K_"&amp;MATCH(INDEX(checklistPesertaKemenkeu!$J$6:$J$1005,SMALL(IF(checklistPesertaKemenkeu!$AY$6:$AY$1005="Direkomendasikan",ROW($6:$1005)-5),721)),BidangList,0)),INDEX(checklistPesertaKemenkeu!$N$6:$N$1005,SMALL(IF(checklistPesertaKemenkeu!$AY$6:$AY$1005="Direkomendasikan",ROW($6:$1005)-5),721)))&gt;0,COUNTIF(INDIRECT("'KERTAS KERJA'!K"&amp;(SMALL(IF(checklistPesertaKemenkeu!$AY$6:$AY$1005="Direkomendasikan",ROW($6:$1005)-5),721)+5)&amp;":O"&amp;(SMALL(IF(checklistPesertaKemenkeu!$AY$6:$AY$1005="Direkomendasikan",ROW($6:$1005)-5),721)+5)),INDEX(checklistPesertaKemenkeu!$N$6:$N$1005,SMALL(IF(checklistPesertaKemenkeu!$AY$6:$AY$1005="Direkomendasikan",ROW($6:$1005)-5),721)))=1),IFERROR(VLOOKUP(INDEX(checklistPesertaKemenkeu!$N$6:$N$1005,SMALL(IF(checklistPesertaKemenkeu!$AY$6:$AY$1005="Direkomendasikan",ROW($6:$1005)-5),721)),KotaKode,2,0),"-"),"")),"")</f>
        <v/>
      </c>
      <c r="K722" t="str">
        <f t="array" aca="1" ref="K722" ca="1">IFERROR(IF(OR(INDEX(checklistPesertaKemenkeu!$O$6:$O$1005,SMALL(IF(checklistPesertaKemenkeu!$AY$6:$AY$1005="Direkomendasikan",ROW($6:$1005)-5),721))="",INDEX(checklistPesertaKemenkeu!$J$6:$J$1005,SMALL(IF(checklistPesertaKemenkeu!$AY$6:$AY$1005="Direkomendasikan",ROW($6:$1005)-5),721))=""),"",IF(AND(COUNTIF(INDIRECT("K_"&amp;MATCH(INDEX(checklistPesertaKemenkeu!$J$6:$J$1005,SMALL(IF(checklistPesertaKemenkeu!$AY$6:$AY$1005="Direkomendasikan",ROW($6:$1005)-5),721)),BidangList,0)),INDEX(checklistPesertaKemenkeu!$O$6:$O$1005,SMALL(IF(checklistPesertaKemenkeu!$AY$6:$AY$1005="Direkomendasikan",ROW($6:$1005)-5),721)))&gt;0,COUNTIF(INDIRECT("'KERTAS KERJA'!K"&amp;(SMALL(IF(checklistPesertaKemenkeu!$AY$6:$AY$1005="Direkomendasikan",ROW($6:$1005)-5),721)+5)&amp;":O"&amp;(SMALL(IF(checklistPesertaKemenkeu!$AY$6:$AY$1005="Direkomendasikan",ROW($6:$1005)-5),721)+5)),INDEX(checklistPesertaKemenkeu!$O$6:$O$1005,SMALL(IF(checklistPesertaKemenkeu!$AY$6:$AY$1005="Direkomendasikan",ROW($6:$1005)-5),721)))=1),IFERROR(VLOOKUP(INDEX(checklistPesertaKemenkeu!$O$6:$O$1005,SMALL(IF(checklistPesertaKemenkeu!$AY$6:$AY$1005="Direkomendasikan",ROW($6:$1005)-5),721)),KotaKode,2,0),"-"),"")),"")</f>
        <v/>
      </c>
      <c r="L722" t="str">
        <f t="array" aca="1" ref="L722" ca="1">IFERROR(IF(OR(INDEX(checklistPesertaKemenkeu!$P$6:$P$1005,SMALL(IF(checklistPesertaKemenkeu!$AY$6:$AY$1005="Direkomendasikan",ROW($6:$1005)-5),721))="",INDEX(checklistPesertaKemenkeu!$J$6:$J$1005,SMALL(IF(checklistPesertaKemenkeu!$AY$6:$AY$1005="Direkomendasikan",ROW($6:$1005)-5),721))=""),"",IF(AND(COUNTIF(INDIRECT("K_"&amp;MATCH(INDEX(checklistPesertaKemenkeu!$J$6:$J$1005,SMALL(IF(checklistPesertaKemenkeu!$AY$6:$AY$1005="Direkomendasikan",ROW($6:$1005)-5),721)),BidangList,0)),INDEX(checklistPesertaKemenkeu!$P$6:$P$1005,SMALL(IF(checklistPesertaKemenkeu!$AY$6:$AY$1005="Direkomendasikan",ROW($6:$1005)-5),721)))&gt;0,COUNTIF(INDIRECT("'KERTAS KERJA'!K"&amp;(SMALL(IF(checklistPesertaKemenkeu!$AY$6:$AY$1005="Direkomendasikan",ROW($6:$1005)-5),721)+5)&amp;":O"&amp;(SMALL(IF(checklistPesertaKemenkeu!$AY$6:$AY$1005="Direkomendasikan",ROW($6:$1005)-5),721)+5)),INDEX(checklistPesertaKemenkeu!$P$6:$P$1005,SMALL(IF(checklistPesertaKemenkeu!$AY$6:$AY$1005="Direkomendasikan",ROW($6:$1005)-5),721)))=1),IFERROR(VLOOKUP(INDEX(checklistPesertaKemenkeu!$P$6:$P$1005,SMALL(IF(checklistPesertaKemenkeu!$AY$6:$AY$1005="Direkomendasikan",ROW($6:$1005)-5),721)),KotaKode,2,0),"-"),"")),"")</f>
        <v/>
      </c>
    </row>
    <row r="723" spans="1:12" ht="15" customHeight="1" x14ac:dyDescent="0.2">
      <c r="A723" t="str">
        <f t="shared" si="11"/>
        <v/>
      </c>
      <c r="B723" t="str">
        <v/>
      </c>
      <c r="C723" s="40" t="str">
        <f t="array" ref="C723">IFERROR(INDEX(checklistPesertaKemenkeu!$F$6:$F$1005,SMALL(IF(checklistPesertaKemenkeu!$AY$6:$AY$1005="Direkomendasikan",ROW($6:$1005)-5),722)),"")</f>
        <v/>
      </c>
      <c r="D723" t="str">
        <f t="array" ref="D723">IFERROR(INDEX(checklistPesertaKemenkeu!$G$6:$G$1005,SMALL(IF(checklistPesertaKemenkeu!$AY$6:$AY$1005="Direkomendasikan",ROW($6:$1005)-5),722)),"")</f>
        <v/>
      </c>
      <c r="E723" t="str">
        <f t="array" ref="E723">IFERROR(INDEX(checklistPesertaKemenkeu!$H$6:$H$1005,SMALL(IF(checklistPesertaKemenkeu!$AY$6:$AY$1005="Direkomendasikan",ROW($6:$1005)-5),722)),"")</f>
        <v/>
      </c>
      <c r="F723" t="str">
        <f t="array" ref="F723">IFERROR(INDEX(checklistPesertaKemenkeu!$I$6:$I$1005,SMALL(IF(checklistPesertaKemenkeu!$AY$6:$AY$1005="Direkomendasikan",ROW($6:$1005)-5),722)),"")</f>
        <v/>
      </c>
      <c r="G723" t="str">
        <f t="array" ref="G723">IFERROR(INDEX(checklistPesertaKemenkeu!$J$6:$J$1005,SMALL(IF(checklistPesertaKemenkeu!$AY$6:$AY$1005="Direkomendasikan",ROW($6:$1005)-5),722)),"")</f>
        <v/>
      </c>
      <c r="H723" t="str">
        <f t="array" aca="1" ref="H723" ca="1">IFERROR(IF(OR(INDEX(checklistPesertaKemenkeu!$L$6:$L$1005,SMALL(IF(checklistPesertaKemenkeu!$AY$6:$AY$1005="Direkomendasikan",ROW($6:$1005)-5),722))="",INDEX(checklistPesertaKemenkeu!$J$6:$J$1005,SMALL(IF(checklistPesertaKemenkeu!$AY$6:$AY$1005="Direkomendasikan",ROW($6:$1005)-5),722))=""),"",IF(AND(COUNTIF(INDIRECT("K_"&amp;MATCH(INDEX(checklistPesertaKemenkeu!$J$6:$J$1005,SMALL(IF(checklistPesertaKemenkeu!$AY$6:$AY$1005="Direkomendasikan",ROW($6:$1005)-5),722)),BidangList,0)),INDEX(checklistPesertaKemenkeu!$L$6:$L$1005,SMALL(IF(checklistPesertaKemenkeu!$AY$6:$AY$1005="Direkomendasikan",ROW($6:$1005)-5),722)))&gt;0,COUNTIF(INDIRECT("'KERTAS KERJA'!K"&amp;(SMALL(IF(checklistPesertaKemenkeu!$AY$6:$AY$1005="Direkomendasikan",ROW($6:$1005)-5),722)+5)&amp;":O"&amp;(SMALL(IF(checklistPesertaKemenkeu!$AY$6:$AY$1005="Direkomendasikan",ROW($6:$1005)-5),722)+5)),INDEX(checklistPesertaKemenkeu!$L$6:$L$1005,SMALL(IF(checklistPesertaKemenkeu!$AY$6:$AY$1005="Direkomendasikan",ROW($6:$1005)-5),722)))=1),IFERROR(VLOOKUP(INDEX(checklistPesertaKemenkeu!$L$6:$L$1005,SMALL(IF(checklistPesertaKemenkeu!$AY$6:$AY$1005="Direkomendasikan",ROW($6:$1005)-5),722)),KotaKode,2,0),"-"),"")),"")</f>
        <v/>
      </c>
      <c r="I723" t="str">
        <f t="array" aca="1" ref="I723" ca="1">IFERROR(IF(OR(INDEX(checklistPesertaKemenkeu!$M$6:$M$1005,SMALL(IF(checklistPesertaKemenkeu!$AY$6:$AY$1005="Direkomendasikan",ROW($6:$1005)-5),722))="",INDEX(checklistPesertaKemenkeu!$J$6:$J$1005,SMALL(IF(checklistPesertaKemenkeu!$AY$6:$AY$1005="Direkomendasikan",ROW($6:$1005)-5),722))=""),"",IF(AND(COUNTIF(INDIRECT("K_"&amp;MATCH(INDEX(checklistPesertaKemenkeu!$J$6:$J$1005,SMALL(IF(checklistPesertaKemenkeu!$AY$6:$AY$1005="Direkomendasikan",ROW($6:$1005)-5),722)),BidangList,0)),INDEX(checklistPesertaKemenkeu!$M$6:$M$1005,SMALL(IF(checklistPesertaKemenkeu!$AY$6:$AY$1005="Direkomendasikan",ROW($6:$1005)-5),722)))&gt;0,COUNTIF(INDIRECT("'KERTAS KERJA'!K"&amp;(SMALL(IF(checklistPesertaKemenkeu!$AY$6:$AY$1005="Direkomendasikan",ROW($6:$1005)-5),722)+5)&amp;":O"&amp;(SMALL(IF(checklistPesertaKemenkeu!$AY$6:$AY$1005="Direkomendasikan",ROW($6:$1005)-5),722)+5)),INDEX(checklistPesertaKemenkeu!$M$6:$M$1005,SMALL(IF(checklistPesertaKemenkeu!$AY$6:$AY$1005="Direkomendasikan",ROW($6:$1005)-5),722)))=1),IFERROR(VLOOKUP(INDEX(checklistPesertaKemenkeu!$M$6:$M$1005,SMALL(IF(checklistPesertaKemenkeu!$AY$6:$AY$1005="Direkomendasikan",ROW($6:$1005)-5),722)),KotaKode,2,0),"-"),"")),"")</f>
        <v/>
      </c>
      <c r="J723" t="str">
        <f t="array" aca="1" ref="J723" ca="1">IFERROR(IF(OR(INDEX(checklistPesertaKemenkeu!$N$6:$N$1005,SMALL(IF(checklistPesertaKemenkeu!$AY$6:$AY$1005="Direkomendasikan",ROW($6:$1005)-5),722))="",INDEX(checklistPesertaKemenkeu!$J$6:$J$1005,SMALL(IF(checklistPesertaKemenkeu!$AY$6:$AY$1005="Direkomendasikan",ROW($6:$1005)-5),722))=""),"",IF(AND(COUNTIF(INDIRECT("K_"&amp;MATCH(INDEX(checklistPesertaKemenkeu!$J$6:$J$1005,SMALL(IF(checklistPesertaKemenkeu!$AY$6:$AY$1005="Direkomendasikan",ROW($6:$1005)-5),722)),BidangList,0)),INDEX(checklistPesertaKemenkeu!$N$6:$N$1005,SMALL(IF(checklistPesertaKemenkeu!$AY$6:$AY$1005="Direkomendasikan",ROW($6:$1005)-5),722)))&gt;0,COUNTIF(INDIRECT("'KERTAS KERJA'!K"&amp;(SMALL(IF(checklistPesertaKemenkeu!$AY$6:$AY$1005="Direkomendasikan",ROW($6:$1005)-5),722)+5)&amp;":O"&amp;(SMALL(IF(checklistPesertaKemenkeu!$AY$6:$AY$1005="Direkomendasikan",ROW($6:$1005)-5),722)+5)),INDEX(checklistPesertaKemenkeu!$N$6:$N$1005,SMALL(IF(checklistPesertaKemenkeu!$AY$6:$AY$1005="Direkomendasikan",ROW($6:$1005)-5),722)))=1),IFERROR(VLOOKUP(INDEX(checklistPesertaKemenkeu!$N$6:$N$1005,SMALL(IF(checklistPesertaKemenkeu!$AY$6:$AY$1005="Direkomendasikan",ROW($6:$1005)-5),722)),KotaKode,2,0),"-"),"")),"")</f>
        <v/>
      </c>
      <c r="K723" t="str">
        <f t="array" aca="1" ref="K723" ca="1">IFERROR(IF(OR(INDEX(checklistPesertaKemenkeu!$O$6:$O$1005,SMALL(IF(checklistPesertaKemenkeu!$AY$6:$AY$1005="Direkomendasikan",ROW($6:$1005)-5),722))="",INDEX(checklistPesertaKemenkeu!$J$6:$J$1005,SMALL(IF(checklistPesertaKemenkeu!$AY$6:$AY$1005="Direkomendasikan",ROW($6:$1005)-5),722))=""),"",IF(AND(COUNTIF(INDIRECT("K_"&amp;MATCH(INDEX(checklistPesertaKemenkeu!$J$6:$J$1005,SMALL(IF(checklistPesertaKemenkeu!$AY$6:$AY$1005="Direkomendasikan",ROW($6:$1005)-5),722)),BidangList,0)),INDEX(checklistPesertaKemenkeu!$O$6:$O$1005,SMALL(IF(checklistPesertaKemenkeu!$AY$6:$AY$1005="Direkomendasikan",ROW($6:$1005)-5),722)))&gt;0,COUNTIF(INDIRECT("'KERTAS KERJA'!K"&amp;(SMALL(IF(checklistPesertaKemenkeu!$AY$6:$AY$1005="Direkomendasikan",ROW($6:$1005)-5),722)+5)&amp;":O"&amp;(SMALL(IF(checklistPesertaKemenkeu!$AY$6:$AY$1005="Direkomendasikan",ROW($6:$1005)-5),722)+5)),INDEX(checklistPesertaKemenkeu!$O$6:$O$1005,SMALL(IF(checklistPesertaKemenkeu!$AY$6:$AY$1005="Direkomendasikan",ROW($6:$1005)-5),722)))=1),IFERROR(VLOOKUP(INDEX(checklistPesertaKemenkeu!$O$6:$O$1005,SMALL(IF(checklistPesertaKemenkeu!$AY$6:$AY$1005="Direkomendasikan",ROW($6:$1005)-5),722)),KotaKode,2,0),"-"),"")),"")</f>
        <v/>
      </c>
      <c r="L723" t="str">
        <f t="array" aca="1" ref="L723" ca="1">IFERROR(IF(OR(INDEX(checklistPesertaKemenkeu!$P$6:$P$1005,SMALL(IF(checklistPesertaKemenkeu!$AY$6:$AY$1005="Direkomendasikan",ROW($6:$1005)-5),722))="",INDEX(checklistPesertaKemenkeu!$J$6:$J$1005,SMALL(IF(checklistPesertaKemenkeu!$AY$6:$AY$1005="Direkomendasikan",ROW($6:$1005)-5),722))=""),"",IF(AND(COUNTIF(INDIRECT("K_"&amp;MATCH(INDEX(checklistPesertaKemenkeu!$J$6:$J$1005,SMALL(IF(checklistPesertaKemenkeu!$AY$6:$AY$1005="Direkomendasikan",ROW($6:$1005)-5),722)),BidangList,0)),INDEX(checklistPesertaKemenkeu!$P$6:$P$1005,SMALL(IF(checklistPesertaKemenkeu!$AY$6:$AY$1005="Direkomendasikan",ROW($6:$1005)-5),722)))&gt;0,COUNTIF(INDIRECT("'KERTAS KERJA'!K"&amp;(SMALL(IF(checklistPesertaKemenkeu!$AY$6:$AY$1005="Direkomendasikan",ROW($6:$1005)-5),722)+5)&amp;":O"&amp;(SMALL(IF(checklistPesertaKemenkeu!$AY$6:$AY$1005="Direkomendasikan",ROW($6:$1005)-5),722)+5)),INDEX(checklistPesertaKemenkeu!$P$6:$P$1005,SMALL(IF(checklistPesertaKemenkeu!$AY$6:$AY$1005="Direkomendasikan",ROW($6:$1005)-5),722)))=1),IFERROR(VLOOKUP(INDEX(checklistPesertaKemenkeu!$P$6:$P$1005,SMALL(IF(checklistPesertaKemenkeu!$AY$6:$AY$1005="Direkomendasikan",ROW($6:$1005)-5),722)),KotaKode,2,0),"-"),"")),"")</f>
        <v/>
      </c>
    </row>
    <row r="724" spans="1:12" ht="15" customHeight="1" x14ac:dyDescent="0.2">
      <c r="A724" t="str">
        <f t="shared" si="11"/>
        <v/>
      </c>
      <c r="B724" t="str">
        <v/>
      </c>
      <c r="C724" s="40" t="str">
        <f t="array" ref="C724">IFERROR(INDEX(checklistPesertaKemenkeu!$F$6:$F$1005,SMALL(IF(checklistPesertaKemenkeu!$AY$6:$AY$1005="Direkomendasikan",ROW($6:$1005)-5),723)),"")</f>
        <v/>
      </c>
      <c r="D724" t="str">
        <f t="array" ref="D724">IFERROR(INDEX(checklistPesertaKemenkeu!$G$6:$G$1005,SMALL(IF(checklistPesertaKemenkeu!$AY$6:$AY$1005="Direkomendasikan",ROW($6:$1005)-5),723)),"")</f>
        <v/>
      </c>
      <c r="E724" t="str">
        <f t="array" ref="E724">IFERROR(INDEX(checklistPesertaKemenkeu!$H$6:$H$1005,SMALL(IF(checklistPesertaKemenkeu!$AY$6:$AY$1005="Direkomendasikan",ROW($6:$1005)-5),723)),"")</f>
        <v/>
      </c>
      <c r="F724" t="str">
        <f t="array" ref="F724">IFERROR(INDEX(checklistPesertaKemenkeu!$I$6:$I$1005,SMALL(IF(checklistPesertaKemenkeu!$AY$6:$AY$1005="Direkomendasikan",ROW($6:$1005)-5),723)),"")</f>
        <v/>
      </c>
      <c r="G724" t="str">
        <f t="array" ref="G724">IFERROR(INDEX(checklistPesertaKemenkeu!$J$6:$J$1005,SMALL(IF(checklistPesertaKemenkeu!$AY$6:$AY$1005="Direkomendasikan",ROW($6:$1005)-5),723)),"")</f>
        <v/>
      </c>
      <c r="H724" t="str">
        <f t="array" aca="1" ref="H724" ca="1">IFERROR(IF(OR(INDEX(checklistPesertaKemenkeu!$L$6:$L$1005,SMALL(IF(checklistPesertaKemenkeu!$AY$6:$AY$1005="Direkomendasikan",ROW($6:$1005)-5),723))="",INDEX(checklistPesertaKemenkeu!$J$6:$J$1005,SMALL(IF(checklistPesertaKemenkeu!$AY$6:$AY$1005="Direkomendasikan",ROW($6:$1005)-5),723))=""),"",IF(AND(COUNTIF(INDIRECT("K_"&amp;MATCH(INDEX(checklistPesertaKemenkeu!$J$6:$J$1005,SMALL(IF(checklistPesertaKemenkeu!$AY$6:$AY$1005="Direkomendasikan",ROW($6:$1005)-5),723)),BidangList,0)),INDEX(checklistPesertaKemenkeu!$L$6:$L$1005,SMALL(IF(checklistPesertaKemenkeu!$AY$6:$AY$1005="Direkomendasikan",ROW($6:$1005)-5),723)))&gt;0,COUNTIF(INDIRECT("'KERTAS KERJA'!K"&amp;(SMALL(IF(checklistPesertaKemenkeu!$AY$6:$AY$1005="Direkomendasikan",ROW($6:$1005)-5),723)+5)&amp;":O"&amp;(SMALL(IF(checklistPesertaKemenkeu!$AY$6:$AY$1005="Direkomendasikan",ROW($6:$1005)-5),723)+5)),INDEX(checklistPesertaKemenkeu!$L$6:$L$1005,SMALL(IF(checklistPesertaKemenkeu!$AY$6:$AY$1005="Direkomendasikan",ROW($6:$1005)-5),723)))=1),IFERROR(VLOOKUP(INDEX(checklistPesertaKemenkeu!$L$6:$L$1005,SMALL(IF(checklistPesertaKemenkeu!$AY$6:$AY$1005="Direkomendasikan",ROW($6:$1005)-5),723)),KotaKode,2,0),"-"),"")),"")</f>
        <v/>
      </c>
      <c r="I724" t="str">
        <f t="array" aca="1" ref="I724" ca="1">IFERROR(IF(OR(INDEX(checklistPesertaKemenkeu!$M$6:$M$1005,SMALL(IF(checklistPesertaKemenkeu!$AY$6:$AY$1005="Direkomendasikan",ROW($6:$1005)-5),723))="",INDEX(checklistPesertaKemenkeu!$J$6:$J$1005,SMALL(IF(checklistPesertaKemenkeu!$AY$6:$AY$1005="Direkomendasikan",ROW($6:$1005)-5),723))=""),"",IF(AND(COUNTIF(INDIRECT("K_"&amp;MATCH(INDEX(checklistPesertaKemenkeu!$J$6:$J$1005,SMALL(IF(checklistPesertaKemenkeu!$AY$6:$AY$1005="Direkomendasikan",ROW($6:$1005)-5),723)),BidangList,0)),INDEX(checklistPesertaKemenkeu!$M$6:$M$1005,SMALL(IF(checklistPesertaKemenkeu!$AY$6:$AY$1005="Direkomendasikan",ROW($6:$1005)-5),723)))&gt;0,COUNTIF(INDIRECT("'KERTAS KERJA'!K"&amp;(SMALL(IF(checklistPesertaKemenkeu!$AY$6:$AY$1005="Direkomendasikan",ROW($6:$1005)-5),723)+5)&amp;":O"&amp;(SMALL(IF(checklistPesertaKemenkeu!$AY$6:$AY$1005="Direkomendasikan",ROW($6:$1005)-5),723)+5)),INDEX(checklistPesertaKemenkeu!$M$6:$M$1005,SMALL(IF(checklistPesertaKemenkeu!$AY$6:$AY$1005="Direkomendasikan",ROW($6:$1005)-5),723)))=1),IFERROR(VLOOKUP(INDEX(checklistPesertaKemenkeu!$M$6:$M$1005,SMALL(IF(checklistPesertaKemenkeu!$AY$6:$AY$1005="Direkomendasikan",ROW($6:$1005)-5),723)),KotaKode,2,0),"-"),"")),"")</f>
        <v/>
      </c>
      <c r="J724" t="str">
        <f t="array" aca="1" ref="J724" ca="1">IFERROR(IF(OR(INDEX(checklistPesertaKemenkeu!$N$6:$N$1005,SMALL(IF(checklistPesertaKemenkeu!$AY$6:$AY$1005="Direkomendasikan",ROW($6:$1005)-5),723))="",INDEX(checklistPesertaKemenkeu!$J$6:$J$1005,SMALL(IF(checklistPesertaKemenkeu!$AY$6:$AY$1005="Direkomendasikan",ROW($6:$1005)-5),723))=""),"",IF(AND(COUNTIF(INDIRECT("K_"&amp;MATCH(INDEX(checklistPesertaKemenkeu!$J$6:$J$1005,SMALL(IF(checklistPesertaKemenkeu!$AY$6:$AY$1005="Direkomendasikan",ROW($6:$1005)-5),723)),BidangList,0)),INDEX(checklistPesertaKemenkeu!$N$6:$N$1005,SMALL(IF(checklistPesertaKemenkeu!$AY$6:$AY$1005="Direkomendasikan",ROW($6:$1005)-5),723)))&gt;0,COUNTIF(INDIRECT("'KERTAS KERJA'!K"&amp;(SMALL(IF(checklistPesertaKemenkeu!$AY$6:$AY$1005="Direkomendasikan",ROW($6:$1005)-5),723)+5)&amp;":O"&amp;(SMALL(IF(checklistPesertaKemenkeu!$AY$6:$AY$1005="Direkomendasikan",ROW($6:$1005)-5),723)+5)),INDEX(checklistPesertaKemenkeu!$N$6:$N$1005,SMALL(IF(checklistPesertaKemenkeu!$AY$6:$AY$1005="Direkomendasikan",ROW($6:$1005)-5),723)))=1),IFERROR(VLOOKUP(INDEX(checklistPesertaKemenkeu!$N$6:$N$1005,SMALL(IF(checklistPesertaKemenkeu!$AY$6:$AY$1005="Direkomendasikan",ROW($6:$1005)-5),723)),KotaKode,2,0),"-"),"")),"")</f>
        <v/>
      </c>
      <c r="K724" t="str">
        <f t="array" aca="1" ref="K724" ca="1">IFERROR(IF(OR(INDEX(checklistPesertaKemenkeu!$O$6:$O$1005,SMALL(IF(checklistPesertaKemenkeu!$AY$6:$AY$1005="Direkomendasikan",ROW($6:$1005)-5),723))="",INDEX(checklistPesertaKemenkeu!$J$6:$J$1005,SMALL(IF(checklistPesertaKemenkeu!$AY$6:$AY$1005="Direkomendasikan",ROW($6:$1005)-5),723))=""),"",IF(AND(COUNTIF(INDIRECT("K_"&amp;MATCH(INDEX(checklistPesertaKemenkeu!$J$6:$J$1005,SMALL(IF(checklistPesertaKemenkeu!$AY$6:$AY$1005="Direkomendasikan",ROW($6:$1005)-5),723)),BidangList,0)),INDEX(checklistPesertaKemenkeu!$O$6:$O$1005,SMALL(IF(checklistPesertaKemenkeu!$AY$6:$AY$1005="Direkomendasikan",ROW($6:$1005)-5),723)))&gt;0,COUNTIF(INDIRECT("'KERTAS KERJA'!K"&amp;(SMALL(IF(checklistPesertaKemenkeu!$AY$6:$AY$1005="Direkomendasikan",ROW($6:$1005)-5),723)+5)&amp;":O"&amp;(SMALL(IF(checklistPesertaKemenkeu!$AY$6:$AY$1005="Direkomendasikan",ROW($6:$1005)-5),723)+5)),INDEX(checklistPesertaKemenkeu!$O$6:$O$1005,SMALL(IF(checklistPesertaKemenkeu!$AY$6:$AY$1005="Direkomendasikan",ROW($6:$1005)-5),723)))=1),IFERROR(VLOOKUP(INDEX(checklistPesertaKemenkeu!$O$6:$O$1005,SMALL(IF(checklistPesertaKemenkeu!$AY$6:$AY$1005="Direkomendasikan",ROW($6:$1005)-5),723)),KotaKode,2,0),"-"),"")),"")</f>
        <v/>
      </c>
      <c r="L724" t="str">
        <f t="array" aca="1" ref="L724" ca="1">IFERROR(IF(OR(INDEX(checklistPesertaKemenkeu!$P$6:$P$1005,SMALL(IF(checklistPesertaKemenkeu!$AY$6:$AY$1005="Direkomendasikan",ROW($6:$1005)-5),723))="",INDEX(checklistPesertaKemenkeu!$J$6:$J$1005,SMALL(IF(checklistPesertaKemenkeu!$AY$6:$AY$1005="Direkomendasikan",ROW($6:$1005)-5),723))=""),"",IF(AND(COUNTIF(INDIRECT("K_"&amp;MATCH(INDEX(checklistPesertaKemenkeu!$J$6:$J$1005,SMALL(IF(checklistPesertaKemenkeu!$AY$6:$AY$1005="Direkomendasikan",ROW($6:$1005)-5),723)),BidangList,0)),INDEX(checklistPesertaKemenkeu!$P$6:$P$1005,SMALL(IF(checklistPesertaKemenkeu!$AY$6:$AY$1005="Direkomendasikan",ROW($6:$1005)-5),723)))&gt;0,COUNTIF(INDIRECT("'KERTAS KERJA'!K"&amp;(SMALL(IF(checklistPesertaKemenkeu!$AY$6:$AY$1005="Direkomendasikan",ROW($6:$1005)-5),723)+5)&amp;":O"&amp;(SMALL(IF(checklistPesertaKemenkeu!$AY$6:$AY$1005="Direkomendasikan",ROW($6:$1005)-5),723)+5)),INDEX(checklistPesertaKemenkeu!$P$6:$P$1005,SMALL(IF(checklistPesertaKemenkeu!$AY$6:$AY$1005="Direkomendasikan",ROW($6:$1005)-5),723)))=1),IFERROR(VLOOKUP(INDEX(checklistPesertaKemenkeu!$P$6:$P$1005,SMALL(IF(checklistPesertaKemenkeu!$AY$6:$AY$1005="Direkomendasikan",ROW($6:$1005)-5),723)),KotaKode,2,0),"-"),"")),"")</f>
        <v/>
      </c>
    </row>
    <row r="725" spans="1:12" ht="15" customHeight="1" x14ac:dyDescent="0.2">
      <c r="A725" t="str">
        <f t="shared" si="11"/>
        <v/>
      </c>
      <c r="B725" t="str">
        <v/>
      </c>
      <c r="C725" s="40" t="str">
        <f t="array" ref="C725">IFERROR(INDEX(checklistPesertaKemenkeu!$F$6:$F$1005,SMALL(IF(checklistPesertaKemenkeu!$AY$6:$AY$1005="Direkomendasikan",ROW($6:$1005)-5),724)),"")</f>
        <v/>
      </c>
      <c r="D725" t="str">
        <f t="array" ref="D725">IFERROR(INDEX(checklistPesertaKemenkeu!$G$6:$G$1005,SMALL(IF(checklistPesertaKemenkeu!$AY$6:$AY$1005="Direkomendasikan",ROW($6:$1005)-5),724)),"")</f>
        <v/>
      </c>
      <c r="E725" t="str">
        <f t="array" ref="E725">IFERROR(INDEX(checklistPesertaKemenkeu!$H$6:$H$1005,SMALL(IF(checklistPesertaKemenkeu!$AY$6:$AY$1005="Direkomendasikan",ROW($6:$1005)-5),724)),"")</f>
        <v/>
      </c>
      <c r="F725" t="str">
        <f t="array" ref="F725">IFERROR(INDEX(checklistPesertaKemenkeu!$I$6:$I$1005,SMALL(IF(checklistPesertaKemenkeu!$AY$6:$AY$1005="Direkomendasikan",ROW($6:$1005)-5),724)),"")</f>
        <v/>
      </c>
      <c r="G725" t="str">
        <f t="array" ref="G725">IFERROR(INDEX(checklistPesertaKemenkeu!$J$6:$J$1005,SMALL(IF(checklistPesertaKemenkeu!$AY$6:$AY$1005="Direkomendasikan",ROW($6:$1005)-5),724)),"")</f>
        <v/>
      </c>
      <c r="H725" t="str">
        <f t="array" aca="1" ref="H725" ca="1">IFERROR(IF(OR(INDEX(checklistPesertaKemenkeu!$L$6:$L$1005,SMALL(IF(checklistPesertaKemenkeu!$AY$6:$AY$1005="Direkomendasikan",ROW($6:$1005)-5),724))="",INDEX(checklistPesertaKemenkeu!$J$6:$J$1005,SMALL(IF(checklistPesertaKemenkeu!$AY$6:$AY$1005="Direkomendasikan",ROW($6:$1005)-5),724))=""),"",IF(AND(COUNTIF(INDIRECT("K_"&amp;MATCH(INDEX(checklistPesertaKemenkeu!$J$6:$J$1005,SMALL(IF(checklistPesertaKemenkeu!$AY$6:$AY$1005="Direkomendasikan",ROW($6:$1005)-5),724)),BidangList,0)),INDEX(checklistPesertaKemenkeu!$L$6:$L$1005,SMALL(IF(checklistPesertaKemenkeu!$AY$6:$AY$1005="Direkomendasikan",ROW($6:$1005)-5),724)))&gt;0,COUNTIF(INDIRECT("'KERTAS KERJA'!K"&amp;(SMALL(IF(checklistPesertaKemenkeu!$AY$6:$AY$1005="Direkomendasikan",ROW($6:$1005)-5),724)+5)&amp;":O"&amp;(SMALL(IF(checklistPesertaKemenkeu!$AY$6:$AY$1005="Direkomendasikan",ROW($6:$1005)-5),724)+5)),INDEX(checklistPesertaKemenkeu!$L$6:$L$1005,SMALL(IF(checklistPesertaKemenkeu!$AY$6:$AY$1005="Direkomendasikan",ROW($6:$1005)-5),724)))=1),IFERROR(VLOOKUP(INDEX(checklistPesertaKemenkeu!$L$6:$L$1005,SMALL(IF(checklistPesertaKemenkeu!$AY$6:$AY$1005="Direkomendasikan",ROW($6:$1005)-5),724)),KotaKode,2,0),"-"),"")),"")</f>
        <v/>
      </c>
      <c r="I725" t="str">
        <f t="array" aca="1" ref="I725" ca="1">IFERROR(IF(OR(INDEX(checklistPesertaKemenkeu!$M$6:$M$1005,SMALL(IF(checklistPesertaKemenkeu!$AY$6:$AY$1005="Direkomendasikan",ROW($6:$1005)-5),724))="",INDEX(checklistPesertaKemenkeu!$J$6:$J$1005,SMALL(IF(checklistPesertaKemenkeu!$AY$6:$AY$1005="Direkomendasikan",ROW($6:$1005)-5),724))=""),"",IF(AND(COUNTIF(INDIRECT("K_"&amp;MATCH(INDEX(checklistPesertaKemenkeu!$J$6:$J$1005,SMALL(IF(checklistPesertaKemenkeu!$AY$6:$AY$1005="Direkomendasikan",ROW($6:$1005)-5),724)),BidangList,0)),INDEX(checklistPesertaKemenkeu!$M$6:$M$1005,SMALL(IF(checklistPesertaKemenkeu!$AY$6:$AY$1005="Direkomendasikan",ROW($6:$1005)-5),724)))&gt;0,COUNTIF(INDIRECT("'KERTAS KERJA'!K"&amp;(SMALL(IF(checklistPesertaKemenkeu!$AY$6:$AY$1005="Direkomendasikan",ROW($6:$1005)-5),724)+5)&amp;":O"&amp;(SMALL(IF(checklistPesertaKemenkeu!$AY$6:$AY$1005="Direkomendasikan",ROW($6:$1005)-5),724)+5)),INDEX(checklistPesertaKemenkeu!$M$6:$M$1005,SMALL(IF(checklistPesertaKemenkeu!$AY$6:$AY$1005="Direkomendasikan",ROW($6:$1005)-5),724)))=1),IFERROR(VLOOKUP(INDEX(checklistPesertaKemenkeu!$M$6:$M$1005,SMALL(IF(checklistPesertaKemenkeu!$AY$6:$AY$1005="Direkomendasikan",ROW($6:$1005)-5),724)),KotaKode,2,0),"-"),"")),"")</f>
        <v/>
      </c>
      <c r="J725" t="str">
        <f t="array" aca="1" ref="J725" ca="1">IFERROR(IF(OR(INDEX(checklistPesertaKemenkeu!$N$6:$N$1005,SMALL(IF(checklistPesertaKemenkeu!$AY$6:$AY$1005="Direkomendasikan",ROW($6:$1005)-5),724))="",INDEX(checklistPesertaKemenkeu!$J$6:$J$1005,SMALL(IF(checklistPesertaKemenkeu!$AY$6:$AY$1005="Direkomendasikan",ROW($6:$1005)-5),724))=""),"",IF(AND(COUNTIF(INDIRECT("K_"&amp;MATCH(INDEX(checklistPesertaKemenkeu!$J$6:$J$1005,SMALL(IF(checklistPesertaKemenkeu!$AY$6:$AY$1005="Direkomendasikan",ROW($6:$1005)-5),724)),BidangList,0)),INDEX(checklistPesertaKemenkeu!$N$6:$N$1005,SMALL(IF(checklistPesertaKemenkeu!$AY$6:$AY$1005="Direkomendasikan",ROW($6:$1005)-5),724)))&gt;0,COUNTIF(INDIRECT("'KERTAS KERJA'!K"&amp;(SMALL(IF(checklistPesertaKemenkeu!$AY$6:$AY$1005="Direkomendasikan",ROW($6:$1005)-5),724)+5)&amp;":O"&amp;(SMALL(IF(checklistPesertaKemenkeu!$AY$6:$AY$1005="Direkomendasikan",ROW($6:$1005)-5),724)+5)),INDEX(checklistPesertaKemenkeu!$N$6:$N$1005,SMALL(IF(checklistPesertaKemenkeu!$AY$6:$AY$1005="Direkomendasikan",ROW($6:$1005)-5),724)))=1),IFERROR(VLOOKUP(INDEX(checklistPesertaKemenkeu!$N$6:$N$1005,SMALL(IF(checklistPesertaKemenkeu!$AY$6:$AY$1005="Direkomendasikan",ROW($6:$1005)-5),724)),KotaKode,2,0),"-"),"")),"")</f>
        <v/>
      </c>
      <c r="K725" t="str">
        <f t="array" aca="1" ref="K725" ca="1">IFERROR(IF(OR(INDEX(checklistPesertaKemenkeu!$O$6:$O$1005,SMALL(IF(checklistPesertaKemenkeu!$AY$6:$AY$1005="Direkomendasikan",ROW($6:$1005)-5),724))="",INDEX(checklistPesertaKemenkeu!$J$6:$J$1005,SMALL(IF(checklistPesertaKemenkeu!$AY$6:$AY$1005="Direkomendasikan",ROW($6:$1005)-5),724))=""),"",IF(AND(COUNTIF(INDIRECT("K_"&amp;MATCH(INDEX(checklistPesertaKemenkeu!$J$6:$J$1005,SMALL(IF(checklistPesertaKemenkeu!$AY$6:$AY$1005="Direkomendasikan",ROW($6:$1005)-5),724)),BidangList,0)),INDEX(checklistPesertaKemenkeu!$O$6:$O$1005,SMALL(IF(checklistPesertaKemenkeu!$AY$6:$AY$1005="Direkomendasikan",ROW($6:$1005)-5),724)))&gt;0,COUNTIF(INDIRECT("'KERTAS KERJA'!K"&amp;(SMALL(IF(checklistPesertaKemenkeu!$AY$6:$AY$1005="Direkomendasikan",ROW($6:$1005)-5),724)+5)&amp;":O"&amp;(SMALL(IF(checklistPesertaKemenkeu!$AY$6:$AY$1005="Direkomendasikan",ROW($6:$1005)-5),724)+5)),INDEX(checklistPesertaKemenkeu!$O$6:$O$1005,SMALL(IF(checklistPesertaKemenkeu!$AY$6:$AY$1005="Direkomendasikan",ROW($6:$1005)-5),724)))=1),IFERROR(VLOOKUP(INDEX(checklistPesertaKemenkeu!$O$6:$O$1005,SMALL(IF(checklistPesertaKemenkeu!$AY$6:$AY$1005="Direkomendasikan",ROW($6:$1005)-5),724)),KotaKode,2,0),"-"),"")),"")</f>
        <v/>
      </c>
      <c r="L725" t="str">
        <f t="array" aca="1" ref="L725" ca="1">IFERROR(IF(OR(INDEX(checklistPesertaKemenkeu!$P$6:$P$1005,SMALL(IF(checklistPesertaKemenkeu!$AY$6:$AY$1005="Direkomendasikan",ROW($6:$1005)-5),724))="",INDEX(checklistPesertaKemenkeu!$J$6:$J$1005,SMALL(IF(checklistPesertaKemenkeu!$AY$6:$AY$1005="Direkomendasikan",ROW($6:$1005)-5),724))=""),"",IF(AND(COUNTIF(INDIRECT("K_"&amp;MATCH(INDEX(checklistPesertaKemenkeu!$J$6:$J$1005,SMALL(IF(checklistPesertaKemenkeu!$AY$6:$AY$1005="Direkomendasikan",ROW($6:$1005)-5),724)),BidangList,0)),INDEX(checklistPesertaKemenkeu!$P$6:$P$1005,SMALL(IF(checklistPesertaKemenkeu!$AY$6:$AY$1005="Direkomendasikan",ROW($6:$1005)-5),724)))&gt;0,COUNTIF(INDIRECT("'KERTAS KERJA'!K"&amp;(SMALL(IF(checklistPesertaKemenkeu!$AY$6:$AY$1005="Direkomendasikan",ROW($6:$1005)-5),724)+5)&amp;":O"&amp;(SMALL(IF(checklistPesertaKemenkeu!$AY$6:$AY$1005="Direkomendasikan",ROW($6:$1005)-5),724)+5)),INDEX(checklistPesertaKemenkeu!$P$6:$P$1005,SMALL(IF(checklistPesertaKemenkeu!$AY$6:$AY$1005="Direkomendasikan",ROW($6:$1005)-5),724)))=1),IFERROR(VLOOKUP(INDEX(checklistPesertaKemenkeu!$P$6:$P$1005,SMALL(IF(checklistPesertaKemenkeu!$AY$6:$AY$1005="Direkomendasikan",ROW($6:$1005)-5),724)),KotaKode,2,0),"-"),"")),"")</f>
        <v/>
      </c>
    </row>
    <row r="726" spans="1:12" ht="15" customHeight="1" x14ac:dyDescent="0.2">
      <c r="A726" t="str">
        <f t="shared" si="11"/>
        <v/>
      </c>
      <c r="B726" t="str">
        <v/>
      </c>
      <c r="C726" s="40" t="str">
        <f t="array" ref="C726">IFERROR(INDEX(checklistPesertaKemenkeu!$F$6:$F$1005,SMALL(IF(checklistPesertaKemenkeu!$AY$6:$AY$1005="Direkomendasikan",ROW($6:$1005)-5),725)),"")</f>
        <v/>
      </c>
      <c r="D726" t="str">
        <f t="array" ref="D726">IFERROR(INDEX(checklistPesertaKemenkeu!$G$6:$G$1005,SMALL(IF(checklistPesertaKemenkeu!$AY$6:$AY$1005="Direkomendasikan",ROW($6:$1005)-5),725)),"")</f>
        <v/>
      </c>
      <c r="E726" t="str">
        <f t="array" ref="E726">IFERROR(INDEX(checklistPesertaKemenkeu!$H$6:$H$1005,SMALL(IF(checklistPesertaKemenkeu!$AY$6:$AY$1005="Direkomendasikan",ROW($6:$1005)-5),725)),"")</f>
        <v/>
      </c>
      <c r="F726" t="str">
        <f t="array" ref="F726">IFERROR(INDEX(checklistPesertaKemenkeu!$I$6:$I$1005,SMALL(IF(checklistPesertaKemenkeu!$AY$6:$AY$1005="Direkomendasikan",ROW($6:$1005)-5),725)),"")</f>
        <v/>
      </c>
      <c r="G726" t="str">
        <f t="array" ref="G726">IFERROR(INDEX(checklistPesertaKemenkeu!$J$6:$J$1005,SMALL(IF(checklistPesertaKemenkeu!$AY$6:$AY$1005="Direkomendasikan",ROW($6:$1005)-5),725)),"")</f>
        <v/>
      </c>
      <c r="H726" t="str">
        <f t="array" aca="1" ref="H726" ca="1">IFERROR(IF(OR(INDEX(checklistPesertaKemenkeu!$L$6:$L$1005,SMALL(IF(checklistPesertaKemenkeu!$AY$6:$AY$1005="Direkomendasikan",ROW($6:$1005)-5),725))="",INDEX(checklistPesertaKemenkeu!$J$6:$J$1005,SMALL(IF(checklistPesertaKemenkeu!$AY$6:$AY$1005="Direkomendasikan",ROW($6:$1005)-5),725))=""),"",IF(AND(COUNTIF(INDIRECT("K_"&amp;MATCH(INDEX(checklistPesertaKemenkeu!$J$6:$J$1005,SMALL(IF(checklistPesertaKemenkeu!$AY$6:$AY$1005="Direkomendasikan",ROW($6:$1005)-5),725)),BidangList,0)),INDEX(checklistPesertaKemenkeu!$L$6:$L$1005,SMALL(IF(checklistPesertaKemenkeu!$AY$6:$AY$1005="Direkomendasikan",ROW($6:$1005)-5),725)))&gt;0,COUNTIF(INDIRECT("'KERTAS KERJA'!K"&amp;(SMALL(IF(checklistPesertaKemenkeu!$AY$6:$AY$1005="Direkomendasikan",ROW($6:$1005)-5),725)+5)&amp;":O"&amp;(SMALL(IF(checklistPesertaKemenkeu!$AY$6:$AY$1005="Direkomendasikan",ROW($6:$1005)-5),725)+5)),INDEX(checklistPesertaKemenkeu!$L$6:$L$1005,SMALL(IF(checklistPesertaKemenkeu!$AY$6:$AY$1005="Direkomendasikan",ROW($6:$1005)-5),725)))=1),IFERROR(VLOOKUP(INDEX(checklistPesertaKemenkeu!$L$6:$L$1005,SMALL(IF(checklistPesertaKemenkeu!$AY$6:$AY$1005="Direkomendasikan",ROW($6:$1005)-5),725)),KotaKode,2,0),"-"),"")),"")</f>
        <v/>
      </c>
      <c r="I726" t="str">
        <f t="array" aca="1" ref="I726" ca="1">IFERROR(IF(OR(INDEX(checklistPesertaKemenkeu!$M$6:$M$1005,SMALL(IF(checklistPesertaKemenkeu!$AY$6:$AY$1005="Direkomendasikan",ROW($6:$1005)-5),725))="",INDEX(checklistPesertaKemenkeu!$J$6:$J$1005,SMALL(IF(checklistPesertaKemenkeu!$AY$6:$AY$1005="Direkomendasikan",ROW($6:$1005)-5),725))=""),"",IF(AND(COUNTIF(INDIRECT("K_"&amp;MATCH(INDEX(checklistPesertaKemenkeu!$J$6:$J$1005,SMALL(IF(checklistPesertaKemenkeu!$AY$6:$AY$1005="Direkomendasikan",ROW($6:$1005)-5),725)),BidangList,0)),INDEX(checklistPesertaKemenkeu!$M$6:$M$1005,SMALL(IF(checklistPesertaKemenkeu!$AY$6:$AY$1005="Direkomendasikan",ROW($6:$1005)-5),725)))&gt;0,COUNTIF(INDIRECT("'KERTAS KERJA'!K"&amp;(SMALL(IF(checklistPesertaKemenkeu!$AY$6:$AY$1005="Direkomendasikan",ROW($6:$1005)-5),725)+5)&amp;":O"&amp;(SMALL(IF(checklistPesertaKemenkeu!$AY$6:$AY$1005="Direkomendasikan",ROW($6:$1005)-5),725)+5)),INDEX(checklistPesertaKemenkeu!$M$6:$M$1005,SMALL(IF(checklistPesertaKemenkeu!$AY$6:$AY$1005="Direkomendasikan",ROW($6:$1005)-5),725)))=1),IFERROR(VLOOKUP(INDEX(checklistPesertaKemenkeu!$M$6:$M$1005,SMALL(IF(checklistPesertaKemenkeu!$AY$6:$AY$1005="Direkomendasikan",ROW($6:$1005)-5),725)),KotaKode,2,0),"-"),"")),"")</f>
        <v/>
      </c>
      <c r="J726" t="str">
        <f t="array" aca="1" ref="J726" ca="1">IFERROR(IF(OR(INDEX(checklistPesertaKemenkeu!$N$6:$N$1005,SMALL(IF(checklistPesertaKemenkeu!$AY$6:$AY$1005="Direkomendasikan",ROW($6:$1005)-5),725))="",INDEX(checklistPesertaKemenkeu!$J$6:$J$1005,SMALL(IF(checklistPesertaKemenkeu!$AY$6:$AY$1005="Direkomendasikan",ROW($6:$1005)-5),725))=""),"",IF(AND(COUNTIF(INDIRECT("K_"&amp;MATCH(INDEX(checklistPesertaKemenkeu!$J$6:$J$1005,SMALL(IF(checklistPesertaKemenkeu!$AY$6:$AY$1005="Direkomendasikan",ROW($6:$1005)-5),725)),BidangList,0)),INDEX(checklistPesertaKemenkeu!$N$6:$N$1005,SMALL(IF(checklistPesertaKemenkeu!$AY$6:$AY$1005="Direkomendasikan",ROW($6:$1005)-5),725)))&gt;0,COUNTIF(INDIRECT("'KERTAS KERJA'!K"&amp;(SMALL(IF(checklistPesertaKemenkeu!$AY$6:$AY$1005="Direkomendasikan",ROW($6:$1005)-5),725)+5)&amp;":O"&amp;(SMALL(IF(checklistPesertaKemenkeu!$AY$6:$AY$1005="Direkomendasikan",ROW($6:$1005)-5),725)+5)),INDEX(checklistPesertaKemenkeu!$N$6:$N$1005,SMALL(IF(checklistPesertaKemenkeu!$AY$6:$AY$1005="Direkomendasikan",ROW($6:$1005)-5),725)))=1),IFERROR(VLOOKUP(INDEX(checklistPesertaKemenkeu!$N$6:$N$1005,SMALL(IF(checklistPesertaKemenkeu!$AY$6:$AY$1005="Direkomendasikan",ROW($6:$1005)-5),725)),KotaKode,2,0),"-"),"")),"")</f>
        <v/>
      </c>
      <c r="K726" t="str">
        <f t="array" aca="1" ref="K726" ca="1">IFERROR(IF(OR(INDEX(checklistPesertaKemenkeu!$O$6:$O$1005,SMALL(IF(checklistPesertaKemenkeu!$AY$6:$AY$1005="Direkomendasikan",ROW($6:$1005)-5),725))="",INDEX(checklistPesertaKemenkeu!$J$6:$J$1005,SMALL(IF(checklistPesertaKemenkeu!$AY$6:$AY$1005="Direkomendasikan",ROW($6:$1005)-5),725))=""),"",IF(AND(COUNTIF(INDIRECT("K_"&amp;MATCH(INDEX(checklistPesertaKemenkeu!$J$6:$J$1005,SMALL(IF(checklistPesertaKemenkeu!$AY$6:$AY$1005="Direkomendasikan",ROW($6:$1005)-5),725)),BidangList,0)),INDEX(checklistPesertaKemenkeu!$O$6:$O$1005,SMALL(IF(checklistPesertaKemenkeu!$AY$6:$AY$1005="Direkomendasikan",ROW($6:$1005)-5),725)))&gt;0,COUNTIF(INDIRECT("'KERTAS KERJA'!K"&amp;(SMALL(IF(checklistPesertaKemenkeu!$AY$6:$AY$1005="Direkomendasikan",ROW($6:$1005)-5),725)+5)&amp;":O"&amp;(SMALL(IF(checklistPesertaKemenkeu!$AY$6:$AY$1005="Direkomendasikan",ROW($6:$1005)-5),725)+5)),INDEX(checklistPesertaKemenkeu!$O$6:$O$1005,SMALL(IF(checklistPesertaKemenkeu!$AY$6:$AY$1005="Direkomendasikan",ROW($6:$1005)-5),725)))=1),IFERROR(VLOOKUP(INDEX(checklistPesertaKemenkeu!$O$6:$O$1005,SMALL(IF(checklistPesertaKemenkeu!$AY$6:$AY$1005="Direkomendasikan",ROW($6:$1005)-5),725)),KotaKode,2,0),"-"),"")),"")</f>
        <v/>
      </c>
      <c r="L726" t="str">
        <f t="array" aca="1" ref="L726" ca="1">IFERROR(IF(OR(INDEX(checklistPesertaKemenkeu!$P$6:$P$1005,SMALL(IF(checklistPesertaKemenkeu!$AY$6:$AY$1005="Direkomendasikan",ROW($6:$1005)-5),725))="",INDEX(checklistPesertaKemenkeu!$J$6:$J$1005,SMALL(IF(checklistPesertaKemenkeu!$AY$6:$AY$1005="Direkomendasikan",ROW($6:$1005)-5),725))=""),"",IF(AND(COUNTIF(INDIRECT("K_"&amp;MATCH(INDEX(checklistPesertaKemenkeu!$J$6:$J$1005,SMALL(IF(checklistPesertaKemenkeu!$AY$6:$AY$1005="Direkomendasikan",ROW($6:$1005)-5),725)),BidangList,0)),INDEX(checklistPesertaKemenkeu!$P$6:$P$1005,SMALL(IF(checklistPesertaKemenkeu!$AY$6:$AY$1005="Direkomendasikan",ROW($6:$1005)-5),725)))&gt;0,COUNTIF(INDIRECT("'KERTAS KERJA'!K"&amp;(SMALL(IF(checklistPesertaKemenkeu!$AY$6:$AY$1005="Direkomendasikan",ROW($6:$1005)-5),725)+5)&amp;":O"&amp;(SMALL(IF(checklistPesertaKemenkeu!$AY$6:$AY$1005="Direkomendasikan",ROW($6:$1005)-5),725)+5)),INDEX(checklistPesertaKemenkeu!$P$6:$P$1005,SMALL(IF(checklistPesertaKemenkeu!$AY$6:$AY$1005="Direkomendasikan",ROW($6:$1005)-5),725)))=1),IFERROR(VLOOKUP(INDEX(checklistPesertaKemenkeu!$P$6:$P$1005,SMALL(IF(checklistPesertaKemenkeu!$AY$6:$AY$1005="Direkomendasikan",ROW($6:$1005)-5),725)),KotaKode,2,0),"-"),"")),"")</f>
        <v/>
      </c>
    </row>
    <row r="727" spans="1:12" ht="15" customHeight="1" x14ac:dyDescent="0.2">
      <c r="A727" t="str">
        <f t="shared" si="11"/>
        <v/>
      </c>
      <c r="B727" t="str">
        <v/>
      </c>
      <c r="C727" s="40" t="str">
        <f t="array" ref="C727">IFERROR(INDEX(checklistPesertaKemenkeu!$F$6:$F$1005,SMALL(IF(checklistPesertaKemenkeu!$AY$6:$AY$1005="Direkomendasikan",ROW($6:$1005)-5),726)),"")</f>
        <v/>
      </c>
      <c r="D727" t="str">
        <f t="array" ref="D727">IFERROR(INDEX(checklistPesertaKemenkeu!$G$6:$G$1005,SMALL(IF(checklistPesertaKemenkeu!$AY$6:$AY$1005="Direkomendasikan",ROW($6:$1005)-5),726)),"")</f>
        <v/>
      </c>
      <c r="E727" t="str">
        <f t="array" ref="E727">IFERROR(INDEX(checklistPesertaKemenkeu!$H$6:$H$1005,SMALL(IF(checklistPesertaKemenkeu!$AY$6:$AY$1005="Direkomendasikan",ROW($6:$1005)-5),726)),"")</f>
        <v/>
      </c>
      <c r="F727" t="str">
        <f t="array" ref="F727">IFERROR(INDEX(checklistPesertaKemenkeu!$I$6:$I$1005,SMALL(IF(checklistPesertaKemenkeu!$AY$6:$AY$1005="Direkomendasikan",ROW($6:$1005)-5),726)),"")</f>
        <v/>
      </c>
      <c r="G727" t="str">
        <f t="array" ref="G727">IFERROR(INDEX(checklistPesertaKemenkeu!$J$6:$J$1005,SMALL(IF(checklistPesertaKemenkeu!$AY$6:$AY$1005="Direkomendasikan",ROW($6:$1005)-5),726)),"")</f>
        <v/>
      </c>
      <c r="H727" t="str">
        <f t="array" aca="1" ref="H727" ca="1">IFERROR(IF(OR(INDEX(checklistPesertaKemenkeu!$L$6:$L$1005,SMALL(IF(checklistPesertaKemenkeu!$AY$6:$AY$1005="Direkomendasikan",ROW($6:$1005)-5),726))="",INDEX(checklistPesertaKemenkeu!$J$6:$J$1005,SMALL(IF(checklistPesertaKemenkeu!$AY$6:$AY$1005="Direkomendasikan",ROW($6:$1005)-5),726))=""),"",IF(AND(COUNTIF(INDIRECT("K_"&amp;MATCH(INDEX(checklistPesertaKemenkeu!$J$6:$J$1005,SMALL(IF(checklistPesertaKemenkeu!$AY$6:$AY$1005="Direkomendasikan",ROW($6:$1005)-5),726)),BidangList,0)),INDEX(checklistPesertaKemenkeu!$L$6:$L$1005,SMALL(IF(checklistPesertaKemenkeu!$AY$6:$AY$1005="Direkomendasikan",ROW($6:$1005)-5),726)))&gt;0,COUNTIF(INDIRECT("'KERTAS KERJA'!K"&amp;(SMALL(IF(checklistPesertaKemenkeu!$AY$6:$AY$1005="Direkomendasikan",ROW($6:$1005)-5),726)+5)&amp;":O"&amp;(SMALL(IF(checklistPesertaKemenkeu!$AY$6:$AY$1005="Direkomendasikan",ROW($6:$1005)-5),726)+5)),INDEX(checklistPesertaKemenkeu!$L$6:$L$1005,SMALL(IF(checklistPesertaKemenkeu!$AY$6:$AY$1005="Direkomendasikan",ROW($6:$1005)-5),726)))=1),IFERROR(VLOOKUP(INDEX(checklistPesertaKemenkeu!$L$6:$L$1005,SMALL(IF(checklistPesertaKemenkeu!$AY$6:$AY$1005="Direkomendasikan",ROW($6:$1005)-5),726)),KotaKode,2,0),"-"),"")),"")</f>
        <v/>
      </c>
      <c r="I727" t="str">
        <f t="array" aca="1" ref="I727" ca="1">IFERROR(IF(OR(INDEX(checklistPesertaKemenkeu!$M$6:$M$1005,SMALL(IF(checklistPesertaKemenkeu!$AY$6:$AY$1005="Direkomendasikan",ROW($6:$1005)-5),726))="",INDEX(checklistPesertaKemenkeu!$J$6:$J$1005,SMALL(IF(checklistPesertaKemenkeu!$AY$6:$AY$1005="Direkomendasikan",ROW($6:$1005)-5),726))=""),"",IF(AND(COUNTIF(INDIRECT("K_"&amp;MATCH(INDEX(checklistPesertaKemenkeu!$J$6:$J$1005,SMALL(IF(checklistPesertaKemenkeu!$AY$6:$AY$1005="Direkomendasikan",ROW($6:$1005)-5),726)),BidangList,0)),INDEX(checklistPesertaKemenkeu!$M$6:$M$1005,SMALL(IF(checklistPesertaKemenkeu!$AY$6:$AY$1005="Direkomendasikan",ROW($6:$1005)-5),726)))&gt;0,COUNTIF(INDIRECT("'KERTAS KERJA'!K"&amp;(SMALL(IF(checklistPesertaKemenkeu!$AY$6:$AY$1005="Direkomendasikan",ROW($6:$1005)-5),726)+5)&amp;":O"&amp;(SMALL(IF(checklistPesertaKemenkeu!$AY$6:$AY$1005="Direkomendasikan",ROW($6:$1005)-5),726)+5)),INDEX(checklistPesertaKemenkeu!$M$6:$M$1005,SMALL(IF(checklistPesertaKemenkeu!$AY$6:$AY$1005="Direkomendasikan",ROW($6:$1005)-5),726)))=1),IFERROR(VLOOKUP(INDEX(checklistPesertaKemenkeu!$M$6:$M$1005,SMALL(IF(checklistPesertaKemenkeu!$AY$6:$AY$1005="Direkomendasikan",ROW($6:$1005)-5),726)),KotaKode,2,0),"-"),"")),"")</f>
        <v/>
      </c>
      <c r="J727" t="str">
        <f t="array" aca="1" ref="J727" ca="1">IFERROR(IF(OR(INDEX(checklistPesertaKemenkeu!$N$6:$N$1005,SMALL(IF(checklistPesertaKemenkeu!$AY$6:$AY$1005="Direkomendasikan",ROW($6:$1005)-5),726))="",INDEX(checklistPesertaKemenkeu!$J$6:$J$1005,SMALL(IF(checklistPesertaKemenkeu!$AY$6:$AY$1005="Direkomendasikan",ROW($6:$1005)-5),726))=""),"",IF(AND(COUNTIF(INDIRECT("K_"&amp;MATCH(INDEX(checklistPesertaKemenkeu!$J$6:$J$1005,SMALL(IF(checklistPesertaKemenkeu!$AY$6:$AY$1005="Direkomendasikan",ROW($6:$1005)-5),726)),BidangList,0)),INDEX(checklistPesertaKemenkeu!$N$6:$N$1005,SMALL(IF(checklistPesertaKemenkeu!$AY$6:$AY$1005="Direkomendasikan",ROW($6:$1005)-5),726)))&gt;0,COUNTIF(INDIRECT("'KERTAS KERJA'!K"&amp;(SMALL(IF(checklistPesertaKemenkeu!$AY$6:$AY$1005="Direkomendasikan",ROW($6:$1005)-5),726)+5)&amp;":O"&amp;(SMALL(IF(checklistPesertaKemenkeu!$AY$6:$AY$1005="Direkomendasikan",ROW($6:$1005)-5),726)+5)),INDEX(checklistPesertaKemenkeu!$N$6:$N$1005,SMALL(IF(checklistPesertaKemenkeu!$AY$6:$AY$1005="Direkomendasikan",ROW($6:$1005)-5),726)))=1),IFERROR(VLOOKUP(INDEX(checklistPesertaKemenkeu!$N$6:$N$1005,SMALL(IF(checklistPesertaKemenkeu!$AY$6:$AY$1005="Direkomendasikan",ROW($6:$1005)-5),726)),KotaKode,2,0),"-"),"")),"")</f>
        <v/>
      </c>
      <c r="K727" t="str">
        <f t="array" aca="1" ref="K727" ca="1">IFERROR(IF(OR(INDEX(checklistPesertaKemenkeu!$O$6:$O$1005,SMALL(IF(checklistPesertaKemenkeu!$AY$6:$AY$1005="Direkomendasikan",ROW($6:$1005)-5),726))="",INDEX(checklistPesertaKemenkeu!$J$6:$J$1005,SMALL(IF(checklistPesertaKemenkeu!$AY$6:$AY$1005="Direkomendasikan",ROW($6:$1005)-5),726))=""),"",IF(AND(COUNTIF(INDIRECT("K_"&amp;MATCH(INDEX(checklistPesertaKemenkeu!$J$6:$J$1005,SMALL(IF(checklistPesertaKemenkeu!$AY$6:$AY$1005="Direkomendasikan",ROW($6:$1005)-5),726)),BidangList,0)),INDEX(checklistPesertaKemenkeu!$O$6:$O$1005,SMALL(IF(checklistPesertaKemenkeu!$AY$6:$AY$1005="Direkomendasikan",ROW($6:$1005)-5),726)))&gt;0,COUNTIF(INDIRECT("'KERTAS KERJA'!K"&amp;(SMALL(IF(checklistPesertaKemenkeu!$AY$6:$AY$1005="Direkomendasikan",ROW($6:$1005)-5),726)+5)&amp;":O"&amp;(SMALL(IF(checklistPesertaKemenkeu!$AY$6:$AY$1005="Direkomendasikan",ROW($6:$1005)-5),726)+5)),INDEX(checklistPesertaKemenkeu!$O$6:$O$1005,SMALL(IF(checklistPesertaKemenkeu!$AY$6:$AY$1005="Direkomendasikan",ROW($6:$1005)-5),726)))=1),IFERROR(VLOOKUP(INDEX(checklistPesertaKemenkeu!$O$6:$O$1005,SMALL(IF(checklistPesertaKemenkeu!$AY$6:$AY$1005="Direkomendasikan",ROW($6:$1005)-5),726)),KotaKode,2,0),"-"),"")),"")</f>
        <v/>
      </c>
      <c r="L727" t="str">
        <f t="array" aca="1" ref="L727" ca="1">IFERROR(IF(OR(INDEX(checklistPesertaKemenkeu!$P$6:$P$1005,SMALL(IF(checklistPesertaKemenkeu!$AY$6:$AY$1005="Direkomendasikan",ROW($6:$1005)-5),726))="",INDEX(checklistPesertaKemenkeu!$J$6:$J$1005,SMALL(IF(checklistPesertaKemenkeu!$AY$6:$AY$1005="Direkomendasikan",ROW($6:$1005)-5),726))=""),"",IF(AND(COUNTIF(INDIRECT("K_"&amp;MATCH(INDEX(checklistPesertaKemenkeu!$J$6:$J$1005,SMALL(IF(checklistPesertaKemenkeu!$AY$6:$AY$1005="Direkomendasikan",ROW($6:$1005)-5),726)),BidangList,0)),INDEX(checklistPesertaKemenkeu!$P$6:$P$1005,SMALL(IF(checklistPesertaKemenkeu!$AY$6:$AY$1005="Direkomendasikan",ROW($6:$1005)-5),726)))&gt;0,COUNTIF(INDIRECT("'KERTAS KERJA'!K"&amp;(SMALL(IF(checklistPesertaKemenkeu!$AY$6:$AY$1005="Direkomendasikan",ROW($6:$1005)-5),726)+5)&amp;":O"&amp;(SMALL(IF(checklistPesertaKemenkeu!$AY$6:$AY$1005="Direkomendasikan",ROW($6:$1005)-5),726)+5)),INDEX(checklistPesertaKemenkeu!$P$6:$P$1005,SMALL(IF(checklistPesertaKemenkeu!$AY$6:$AY$1005="Direkomendasikan",ROW($6:$1005)-5),726)))=1),IFERROR(VLOOKUP(INDEX(checklistPesertaKemenkeu!$P$6:$P$1005,SMALL(IF(checklistPesertaKemenkeu!$AY$6:$AY$1005="Direkomendasikan",ROW($6:$1005)-5),726)),KotaKode,2,0),"-"),"")),"")</f>
        <v/>
      </c>
    </row>
    <row r="728" spans="1:12" ht="15" customHeight="1" x14ac:dyDescent="0.2">
      <c r="A728" t="str">
        <f t="shared" si="11"/>
        <v/>
      </c>
      <c r="B728" t="str">
        <v/>
      </c>
      <c r="C728" s="40" t="str">
        <f t="array" ref="C728">IFERROR(INDEX(checklistPesertaKemenkeu!$F$6:$F$1005,SMALL(IF(checklistPesertaKemenkeu!$AY$6:$AY$1005="Direkomendasikan",ROW($6:$1005)-5),727)),"")</f>
        <v/>
      </c>
      <c r="D728" t="str">
        <f t="array" ref="D728">IFERROR(INDEX(checklistPesertaKemenkeu!$G$6:$G$1005,SMALL(IF(checklistPesertaKemenkeu!$AY$6:$AY$1005="Direkomendasikan",ROW($6:$1005)-5),727)),"")</f>
        <v/>
      </c>
      <c r="E728" t="str">
        <f t="array" ref="E728">IFERROR(INDEX(checklistPesertaKemenkeu!$H$6:$H$1005,SMALL(IF(checklistPesertaKemenkeu!$AY$6:$AY$1005="Direkomendasikan",ROW($6:$1005)-5),727)),"")</f>
        <v/>
      </c>
      <c r="F728" t="str">
        <f t="array" ref="F728">IFERROR(INDEX(checklistPesertaKemenkeu!$I$6:$I$1005,SMALL(IF(checklistPesertaKemenkeu!$AY$6:$AY$1005="Direkomendasikan",ROW($6:$1005)-5),727)),"")</f>
        <v/>
      </c>
      <c r="G728" t="str">
        <f t="array" ref="G728">IFERROR(INDEX(checklistPesertaKemenkeu!$J$6:$J$1005,SMALL(IF(checklistPesertaKemenkeu!$AY$6:$AY$1005="Direkomendasikan",ROW($6:$1005)-5),727)),"")</f>
        <v/>
      </c>
      <c r="H728" t="str">
        <f t="array" aca="1" ref="H728" ca="1">IFERROR(IF(OR(INDEX(checklistPesertaKemenkeu!$L$6:$L$1005,SMALL(IF(checklistPesertaKemenkeu!$AY$6:$AY$1005="Direkomendasikan",ROW($6:$1005)-5),727))="",INDEX(checklistPesertaKemenkeu!$J$6:$J$1005,SMALL(IF(checklistPesertaKemenkeu!$AY$6:$AY$1005="Direkomendasikan",ROW($6:$1005)-5),727))=""),"",IF(AND(COUNTIF(INDIRECT("K_"&amp;MATCH(INDEX(checklistPesertaKemenkeu!$J$6:$J$1005,SMALL(IF(checklistPesertaKemenkeu!$AY$6:$AY$1005="Direkomendasikan",ROW($6:$1005)-5),727)),BidangList,0)),INDEX(checklistPesertaKemenkeu!$L$6:$L$1005,SMALL(IF(checklistPesertaKemenkeu!$AY$6:$AY$1005="Direkomendasikan",ROW($6:$1005)-5),727)))&gt;0,COUNTIF(INDIRECT("'KERTAS KERJA'!K"&amp;(SMALL(IF(checklistPesertaKemenkeu!$AY$6:$AY$1005="Direkomendasikan",ROW($6:$1005)-5),727)+5)&amp;":O"&amp;(SMALL(IF(checklistPesertaKemenkeu!$AY$6:$AY$1005="Direkomendasikan",ROW($6:$1005)-5),727)+5)),INDEX(checklistPesertaKemenkeu!$L$6:$L$1005,SMALL(IF(checklistPesertaKemenkeu!$AY$6:$AY$1005="Direkomendasikan",ROW($6:$1005)-5),727)))=1),IFERROR(VLOOKUP(INDEX(checklistPesertaKemenkeu!$L$6:$L$1005,SMALL(IF(checklistPesertaKemenkeu!$AY$6:$AY$1005="Direkomendasikan",ROW($6:$1005)-5),727)),KotaKode,2,0),"-"),"")),"")</f>
        <v/>
      </c>
      <c r="I728" t="str">
        <f t="array" aca="1" ref="I728" ca="1">IFERROR(IF(OR(INDEX(checklistPesertaKemenkeu!$M$6:$M$1005,SMALL(IF(checklistPesertaKemenkeu!$AY$6:$AY$1005="Direkomendasikan",ROW($6:$1005)-5),727))="",INDEX(checklistPesertaKemenkeu!$J$6:$J$1005,SMALL(IF(checklistPesertaKemenkeu!$AY$6:$AY$1005="Direkomendasikan",ROW($6:$1005)-5),727))=""),"",IF(AND(COUNTIF(INDIRECT("K_"&amp;MATCH(INDEX(checklistPesertaKemenkeu!$J$6:$J$1005,SMALL(IF(checklistPesertaKemenkeu!$AY$6:$AY$1005="Direkomendasikan",ROW($6:$1005)-5),727)),BidangList,0)),INDEX(checklistPesertaKemenkeu!$M$6:$M$1005,SMALL(IF(checklistPesertaKemenkeu!$AY$6:$AY$1005="Direkomendasikan",ROW($6:$1005)-5),727)))&gt;0,COUNTIF(INDIRECT("'KERTAS KERJA'!K"&amp;(SMALL(IF(checklistPesertaKemenkeu!$AY$6:$AY$1005="Direkomendasikan",ROW($6:$1005)-5),727)+5)&amp;":O"&amp;(SMALL(IF(checklistPesertaKemenkeu!$AY$6:$AY$1005="Direkomendasikan",ROW($6:$1005)-5),727)+5)),INDEX(checklistPesertaKemenkeu!$M$6:$M$1005,SMALL(IF(checklistPesertaKemenkeu!$AY$6:$AY$1005="Direkomendasikan",ROW($6:$1005)-5),727)))=1),IFERROR(VLOOKUP(INDEX(checklistPesertaKemenkeu!$M$6:$M$1005,SMALL(IF(checklistPesertaKemenkeu!$AY$6:$AY$1005="Direkomendasikan",ROW($6:$1005)-5),727)),KotaKode,2,0),"-"),"")),"")</f>
        <v/>
      </c>
      <c r="J728" t="str">
        <f t="array" aca="1" ref="J728" ca="1">IFERROR(IF(OR(INDEX(checklistPesertaKemenkeu!$N$6:$N$1005,SMALL(IF(checklistPesertaKemenkeu!$AY$6:$AY$1005="Direkomendasikan",ROW($6:$1005)-5),727))="",INDEX(checklistPesertaKemenkeu!$J$6:$J$1005,SMALL(IF(checklistPesertaKemenkeu!$AY$6:$AY$1005="Direkomendasikan",ROW($6:$1005)-5),727))=""),"",IF(AND(COUNTIF(INDIRECT("K_"&amp;MATCH(INDEX(checklistPesertaKemenkeu!$J$6:$J$1005,SMALL(IF(checklistPesertaKemenkeu!$AY$6:$AY$1005="Direkomendasikan",ROW($6:$1005)-5),727)),BidangList,0)),INDEX(checklistPesertaKemenkeu!$N$6:$N$1005,SMALL(IF(checklistPesertaKemenkeu!$AY$6:$AY$1005="Direkomendasikan",ROW($6:$1005)-5),727)))&gt;0,COUNTIF(INDIRECT("'KERTAS KERJA'!K"&amp;(SMALL(IF(checklistPesertaKemenkeu!$AY$6:$AY$1005="Direkomendasikan",ROW($6:$1005)-5),727)+5)&amp;":O"&amp;(SMALL(IF(checklistPesertaKemenkeu!$AY$6:$AY$1005="Direkomendasikan",ROW($6:$1005)-5),727)+5)),INDEX(checklistPesertaKemenkeu!$N$6:$N$1005,SMALL(IF(checklistPesertaKemenkeu!$AY$6:$AY$1005="Direkomendasikan",ROW($6:$1005)-5),727)))=1),IFERROR(VLOOKUP(INDEX(checklistPesertaKemenkeu!$N$6:$N$1005,SMALL(IF(checklistPesertaKemenkeu!$AY$6:$AY$1005="Direkomendasikan",ROW($6:$1005)-5),727)),KotaKode,2,0),"-"),"")),"")</f>
        <v/>
      </c>
      <c r="K728" t="str">
        <f t="array" aca="1" ref="K728" ca="1">IFERROR(IF(OR(INDEX(checklistPesertaKemenkeu!$O$6:$O$1005,SMALL(IF(checklistPesertaKemenkeu!$AY$6:$AY$1005="Direkomendasikan",ROW($6:$1005)-5),727))="",INDEX(checklistPesertaKemenkeu!$J$6:$J$1005,SMALL(IF(checklistPesertaKemenkeu!$AY$6:$AY$1005="Direkomendasikan",ROW($6:$1005)-5),727))=""),"",IF(AND(COUNTIF(INDIRECT("K_"&amp;MATCH(INDEX(checklistPesertaKemenkeu!$J$6:$J$1005,SMALL(IF(checklistPesertaKemenkeu!$AY$6:$AY$1005="Direkomendasikan",ROW($6:$1005)-5),727)),BidangList,0)),INDEX(checklistPesertaKemenkeu!$O$6:$O$1005,SMALL(IF(checklistPesertaKemenkeu!$AY$6:$AY$1005="Direkomendasikan",ROW($6:$1005)-5),727)))&gt;0,COUNTIF(INDIRECT("'KERTAS KERJA'!K"&amp;(SMALL(IF(checklistPesertaKemenkeu!$AY$6:$AY$1005="Direkomendasikan",ROW($6:$1005)-5),727)+5)&amp;":O"&amp;(SMALL(IF(checklistPesertaKemenkeu!$AY$6:$AY$1005="Direkomendasikan",ROW($6:$1005)-5),727)+5)),INDEX(checklistPesertaKemenkeu!$O$6:$O$1005,SMALL(IF(checklistPesertaKemenkeu!$AY$6:$AY$1005="Direkomendasikan",ROW($6:$1005)-5),727)))=1),IFERROR(VLOOKUP(INDEX(checklistPesertaKemenkeu!$O$6:$O$1005,SMALL(IF(checklistPesertaKemenkeu!$AY$6:$AY$1005="Direkomendasikan",ROW($6:$1005)-5),727)),KotaKode,2,0),"-"),"")),"")</f>
        <v/>
      </c>
      <c r="L728" t="str">
        <f t="array" aca="1" ref="L728" ca="1">IFERROR(IF(OR(INDEX(checklistPesertaKemenkeu!$P$6:$P$1005,SMALL(IF(checklistPesertaKemenkeu!$AY$6:$AY$1005="Direkomendasikan",ROW($6:$1005)-5),727))="",INDEX(checklistPesertaKemenkeu!$J$6:$J$1005,SMALL(IF(checklistPesertaKemenkeu!$AY$6:$AY$1005="Direkomendasikan",ROW($6:$1005)-5),727))=""),"",IF(AND(COUNTIF(INDIRECT("K_"&amp;MATCH(INDEX(checklistPesertaKemenkeu!$J$6:$J$1005,SMALL(IF(checklistPesertaKemenkeu!$AY$6:$AY$1005="Direkomendasikan",ROW($6:$1005)-5),727)),BidangList,0)),INDEX(checklistPesertaKemenkeu!$P$6:$P$1005,SMALL(IF(checklistPesertaKemenkeu!$AY$6:$AY$1005="Direkomendasikan",ROW($6:$1005)-5),727)))&gt;0,COUNTIF(INDIRECT("'KERTAS KERJA'!K"&amp;(SMALL(IF(checklistPesertaKemenkeu!$AY$6:$AY$1005="Direkomendasikan",ROW($6:$1005)-5),727)+5)&amp;":O"&amp;(SMALL(IF(checklistPesertaKemenkeu!$AY$6:$AY$1005="Direkomendasikan",ROW($6:$1005)-5),727)+5)),INDEX(checklistPesertaKemenkeu!$P$6:$P$1005,SMALL(IF(checklistPesertaKemenkeu!$AY$6:$AY$1005="Direkomendasikan",ROW($6:$1005)-5),727)))=1),IFERROR(VLOOKUP(INDEX(checklistPesertaKemenkeu!$P$6:$P$1005,SMALL(IF(checklistPesertaKemenkeu!$AY$6:$AY$1005="Direkomendasikan",ROW($6:$1005)-5),727)),KotaKode,2,0),"-"),"")),"")</f>
        <v/>
      </c>
    </row>
    <row r="729" spans="1:12" ht="15" customHeight="1" x14ac:dyDescent="0.2">
      <c r="A729" t="str">
        <f t="shared" si="11"/>
        <v/>
      </c>
      <c r="B729" t="str">
        <v/>
      </c>
      <c r="C729" s="40" t="str">
        <f t="array" ref="C729">IFERROR(INDEX(checklistPesertaKemenkeu!$F$6:$F$1005,SMALL(IF(checklistPesertaKemenkeu!$AY$6:$AY$1005="Direkomendasikan",ROW($6:$1005)-5),728)),"")</f>
        <v/>
      </c>
      <c r="D729" t="str">
        <f t="array" ref="D729">IFERROR(INDEX(checklistPesertaKemenkeu!$G$6:$G$1005,SMALL(IF(checklistPesertaKemenkeu!$AY$6:$AY$1005="Direkomendasikan",ROW($6:$1005)-5),728)),"")</f>
        <v/>
      </c>
      <c r="E729" t="str">
        <f t="array" ref="E729">IFERROR(INDEX(checklistPesertaKemenkeu!$H$6:$H$1005,SMALL(IF(checklistPesertaKemenkeu!$AY$6:$AY$1005="Direkomendasikan",ROW($6:$1005)-5),728)),"")</f>
        <v/>
      </c>
      <c r="F729" t="str">
        <f t="array" ref="F729">IFERROR(INDEX(checklistPesertaKemenkeu!$I$6:$I$1005,SMALL(IF(checklistPesertaKemenkeu!$AY$6:$AY$1005="Direkomendasikan",ROW($6:$1005)-5),728)),"")</f>
        <v/>
      </c>
      <c r="G729" t="str">
        <f t="array" ref="G729">IFERROR(INDEX(checklistPesertaKemenkeu!$J$6:$J$1005,SMALL(IF(checklistPesertaKemenkeu!$AY$6:$AY$1005="Direkomendasikan",ROW($6:$1005)-5),728)),"")</f>
        <v/>
      </c>
      <c r="H729" t="str">
        <f t="array" aca="1" ref="H729" ca="1">IFERROR(IF(OR(INDEX(checklistPesertaKemenkeu!$L$6:$L$1005,SMALL(IF(checklistPesertaKemenkeu!$AY$6:$AY$1005="Direkomendasikan",ROW($6:$1005)-5),728))="",INDEX(checklistPesertaKemenkeu!$J$6:$J$1005,SMALL(IF(checklistPesertaKemenkeu!$AY$6:$AY$1005="Direkomendasikan",ROW($6:$1005)-5),728))=""),"",IF(AND(COUNTIF(INDIRECT("K_"&amp;MATCH(INDEX(checklistPesertaKemenkeu!$J$6:$J$1005,SMALL(IF(checklistPesertaKemenkeu!$AY$6:$AY$1005="Direkomendasikan",ROW($6:$1005)-5),728)),BidangList,0)),INDEX(checklistPesertaKemenkeu!$L$6:$L$1005,SMALL(IF(checklistPesertaKemenkeu!$AY$6:$AY$1005="Direkomendasikan",ROW($6:$1005)-5),728)))&gt;0,COUNTIF(INDIRECT("'KERTAS KERJA'!K"&amp;(SMALL(IF(checklistPesertaKemenkeu!$AY$6:$AY$1005="Direkomendasikan",ROW($6:$1005)-5),728)+5)&amp;":O"&amp;(SMALL(IF(checklistPesertaKemenkeu!$AY$6:$AY$1005="Direkomendasikan",ROW($6:$1005)-5),728)+5)),INDEX(checklistPesertaKemenkeu!$L$6:$L$1005,SMALL(IF(checklistPesertaKemenkeu!$AY$6:$AY$1005="Direkomendasikan",ROW($6:$1005)-5),728)))=1),IFERROR(VLOOKUP(INDEX(checklistPesertaKemenkeu!$L$6:$L$1005,SMALL(IF(checklistPesertaKemenkeu!$AY$6:$AY$1005="Direkomendasikan",ROW($6:$1005)-5),728)),KotaKode,2,0),"-"),"")),"")</f>
        <v/>
      </c>
      <c r="I729" t="str">
        <f t="array" aca="1" ref="I729" ca="1">IFERROR(IF(OR(INDEX(checklistPesertaKemenkeu!$M$6:$M$1005,SMALL(IF(checklistPesertaKemenkeu!$AY$6:$AY$1005="Direkomendasikan",ROW($6:$1005)-5),728))="",INDEX(checklistPesertaKemenkeu!$J$6:$J$1005,SMALL(IF(checklistPesertaKemenkeu!$AY$6:$AY$1005="Direkomendasikan",ROW($6:$1005)-5),728))=""),"",IF(AND(COUNTIF(INDIRECT("K_"&amp;MATCH(INDEX(checklistPesertaKemenkeu!$J$6:$J$1005,SMALL(IF(checklistPesertaKemenkeu!$AY$6:$AY$1005="Direkomendasikan",ROW($6:$1005)-5),728)),BidangList,0)),INDEX(checklistPesertaKemenkeu!$M$6:$M$1005,SMALL(IF(checklistPesertaKemenkeu!$AY$6:$AY$1005="Direkomendasikan",ROW($6:$1005)-5),728)))&gt;0,COUNTIF(INDIRECT("'KERTAS KERJA'!K"&amp;(SMALL(IF(checklistPesertaKemenkeu!$AY$6:$AY$1005="Direkomendasikan",ROW($6:$1005)-5),728)+5)&amp;":O"&amp;(SMALL(IF(checklistPesertaKemenkeu!$AY$6:$AY$1005="Direkomendasikan",ROW($6:$1005)-5),728)+5)),INDEX(checklistPesertaKemenkeu!$M$6:$M$1005,SMALL(IF(checklistPesertaKemenkeu!$AY$6:$AY$1005="Direkomendasikan",ROW($6:$1005)-5),728)))=1),IFERROR(VLOOKUP(INDEX(checklistPesertaKemenkeu!$M$6:$M$1005,SMALL(IF(checklistPesertaKemenkeu!$AY$6:$AY$1005="Direkomendasikan",ROW($6:$1005)-5),728)),KotaKode,2,0),"-"),"")),"")</f>
        <v/>
      </c>
      <c r="J729" t="str">
        <f t="array" aca="1" ref="J729" ca="1">IFERROR(IF(OR(INDEX(checklistPesertaKemenkeu!$N$6:$N$1005,SMALL(IF(checklistPesertaKemenkeu!$AY$6:$AY$1005="Direkomendasikan",ROW($6:$1005)-5),728))="",INDEX(checklistPesertaKemenkeu!$J$6:$J$1005,SMALL(IF(checklistPesertaKemenkeu!$AY$6:$AY$1005="Direkomendasikan",ROW($6:$1005)-5),728))=""),"",IF(AND(COUNTIF(INDIRECT("K_"&amp;MATCH(INDEX(checklistPesertaKemenkeu!$J$6:$J$1005,SMALL(IF(checklistPesertaKemenkeu!$AY$6:$AY$1005="Direkomendasikan",ROW($6:$1005)-5),728)),BidangList,0)),INDEX(checklistPesertaKemenkeu!$N$6:$N$1005,SMALL(IF(checklistPesertaKemenkeu!$AY$6:$AY$1005="Direkomendasikan",ROW($6:$1005)-5),728)))&gt;0,COUNTIF(INDIRECT("'KERTAS KERJA'!K"&amp;(SMALL(IF(checklistPesertaKemenkeu!$AY$6:$AY$1005="Direkomendasikan",ROW($6:$1005)-5),728)+5)&amp;":O"&amp;(SMALL(IF(checklistPesertaKemenkeu!$AY$6:$AY$1005="Direkomendasikan",ROW($6:$1005)-5),728)+5)),INDEX(checklistPesertaKemenkeu!$N$6:$N$1005,SMALL(IF(checklistPesertaKemenkeu!$AY$6:$AY$1005="Direkomendasikan",ROW($6:$1005)-5),728)))=1),IFERROR(VLOOKUP(INDEX(checklistPesertaKemenkeu!$N$6:$N$1005,SMALL(IF(checklistPesertaKemenkeu!$AY$6:$AY$1005="Direkomendasikan",ROW($6:$1005)-5),728)),KotaKode,2,0),"-"),"")),"")</f>
        <v/>
      </c>
      <c r="K729" t="str">
        <f t="array" aca="1" ref="K729" ca="1">IFERROR(IF(OR(INDEX(checklistPesertaKemenkeu!$O$6:$O$1005,SMALL(IF(checklistPesertaKemenkeu!$AY$6:$AY$1005="Direkomendasikan",ROW($6:$1005)-5),728))="",INDEX(checklistPesertaKemenkeu!$J$6:$J$1005,SMALL(IF(checklistPesertaKemenkeu!$AY$6:$AY$1005="Direkomendasikan",ROW($6:$1005)-5),728))=""),"",IF(AND(COUNTIF(INDIRECT("K_"&amp;MATCH(INDEX(checklistPesertaKemenkeu!$J$6:$J$1005,SMALL(IF(checklistPesertaKemenkeu!$AY$6:$AY$1005="Direkomendasikan",ROW($6:$1005)-5),728)),BidangList,0)),INDEX(checklistPesertaKemenkeu!$O$6:$O$1005,SMALL(IF(checklistPesertaKemenkeu!$AY$6:$AY$1005="Direkomendasikan",ROW($6:$1005)-5),728)))&gt;0,COUNTIF(INDIRECT("'KERTAS KERJA'!K"&amp;(SMALL(IF(checklistPesertaKemenkeu!$AY$6:$AY$1005="Direkomendasikan",ROW($6:$1005)-5),728)+5)&amp;":O"&amp;(SMALL(IF(checklistPesertaKemenkeu!$AY$6:$AY$1005="Direkomendasikan",ROW($6:$1005)-5),728)+5)),INDEX(checklistPesertaKemenkeu!$O$6:$O$1005,SMALL(IF(checklistPesertaKemenkeu!$AY$6:$AY$1005="Direkomendasikan",ROW($6:$1005)-5),728)))=1),IFERROR(VLOOKUP(INDEX(checklistPesertaKemenkeu!$O$6:$O$1005,SMALL(IF(checklistPesertaKemenkeu!$AY$6:$AY$1005="Direkomendasikan",ROW($6:$1005)-5),728)),KotaKode,2,0),"-"),"")),"")</f>
        <v/>
      </c>
      <c r="L729" t="str">
        <f t="array" aca="1" ref="L729" ca="1">IFERROR(IF(OR(INDEX(checklistPesertaKemenkeu!$P$6:$P$1005,SMALL(IF(checklistPesertaKemenkeu!$AY$6:$AY$1005="Direkomendasikan",ROW($6:$1005)-5),728))="",INDEX(checklistPesertaKemenkeu!$J$6:$J$1005,SMALL(IF(checklistPesertaKemenkeu!$AY$6:$AY$1005="Direkomendasikan",ROW($6:$1005)-5),728))=""),"",IF(AND(COUNTIF(INDIRECT("K_"&amp;MATCH(INDEX(checklistPesertaKemenkeu!$J$6:$J$1005,SMALL(IF(checklistPesertaKemenkeu!$AY$6:$AY$1005="Direkomendasikan",ROW($6:$1005)-5),728)),BidangList,0)),INDEX(checklistPesertaKemenkeu!$P$6:$P$1005,SMALL(IF(checklistPesertaKemenkeu!$AY$6:$AY$1005="Direkomendasikan",ROW($6:$1005)-5),728)))&gt;0,COUNTIF(INDIRECT("'KERTAS KERJA'!K"&amp;(SMALL(IF(checklistPesertaKemenkeu!$AY$6:$AY$1005="Direkomendasikan",ROW($6:$1005)-5),728)+5)&amp;":O"&amp;(SMALL(IF(checklistPesertaKemenkeu!$AY$6:$AY$1005="Direkomendasikan",ROW($6:$1005)-5),728)+5)),INDEX(checklistPesertaKemenkeu!$P$6:$P$1005,SMALL(IF(checklistPesertaKemenkeu!$AY$6:$AY$1005="Direkomendasikan",ROW($6:$1005)-5),728)))=1),IFERROR(VLOOKUP(INDEX(checklistPesertaKemenkeu!$P$6:$P$1005,SMALL(IF(checklistPesertaKemenkeu!$AY$6:$AY$1005="Direkomendasikan",ROW($6:$1005)-5),728)),KotaKode,2,0),"-"),"")),"")</f>
        <v/>
      </c>
    </row>
    <row r="730" spans="1:12" ht="15" customHeight="1" x14ac:dyDescent="0.2">
      <c r="A730" t="str">
        <f t="shared" si="11"/>
        <v/>
      </c>
      <c r="B730" t="str">
        <v/>
      </c>
      <c r="C730" s="40" t="str">
        <f t="array" ref="C730">IFERROR(INDEX(checklistPesertaKemenkeu!$F$6:$F$1005,SMALL(IF(checklistPesertaKemenkeu!$AY$6:$AY$1005="Direkomendasikan",ROW($6:$1005)-5),729)),"")</f>
        <v/>
      </c>
      <c r="D730" t="str">
        <f t="array" ref="D730">IFERROR(INDEX(checklistPesertaKemenkeu!$G$6:$G$1005,SMALL(IF(checklistPesertaKemenkeu!$AY$6:$AY$1005="Direkomendasikan",ROW($6:$1005)-5),729)),"")</f>
        <v/>
      </c>
      <c r="E730" t="str">
        <f t="array" ref="E730">IFERROR(INDEX(checklistPesertaKemenkeu!$H$6:$H$1005,SMALL(IF(checklistPesertaKemenkeu!$AY$6:$AY$1005="Direkomendasikan",ROW($6:$1005)-5),729)),"")</f>
        <v/>
      </c>
      <c r="F730" t="str">
        <f t="array" ref="F730">IFERROR(INDEX(checklistPesertaKemenkeu!$I$6:$I$1005,SMALL(IF(checklistPesertaKemenkeu!$AY$6:$AY$1005="Direkomendasikan",ROW($6:$1005)-5),729)),"")</f>
        <v/>
      </c>
      <c r="G730" t="str">
        <f t="array" ref="G730">IFERROR(INDEX(checklistPesertaKemenkeu!$J$6:$J$1005,SMALL(IF(checklistPesertaKemenkeu!$AY$6:$AY$1005="Direkomendasikan",ROW($6:$1005)-5),729)),"")</f>
        <v/>
      </c>
      <c r="H730" t="str">
        <f t="array" aca="1" ref="H730" ca="1">IFERROR(IF(OR(INDEX(checklistPesertaKemenkeu!$L$6:$L$1005,SMALL(IF(checklistPesertaKemenkeu!$AY$6:$AY$1005="Direkomendasikan",ROW($6:$1005)-5),729))="",INDEX(checklistPesertaKemenkeu!$J$6:$J$1005,SMALL(IF(checklistPesertaKemenkeu!$AY$6:$AY$1005="Direkomendasikan",ROW($6:$1005)-5),729))=""),"",IF(AND(COUNTIF(INDIRECT("K_"&amp;MATCH(INDEX(checklistPesertaKemenkeu!$J$6:$J$1005,SMALL(IF(checklistPesertaKemenkeu!$AY$6:$AY$1005="Direkomendasikan",ROW($6:$1005)-5),729)),BidangList,0)),INDEX(checklistPesertaKemenkeu!$L$6:$L$1005,SMALL(IF(checklistPesertaKemenkeu!$AY$6:$AY$1005="Direkomendasikan",ROW($6:$1005)-5),729)))&gt;0,COUNTIF(INDIRECT("'KERTAS KERJA'!K"&amp;(SMALL(IF(checklistPesertaKemenkeu!$AY$6:$AY$1005="Direkomendasikan",ROW($6:$1005)-5),729)+5)&amp;":O"&amp;(SMALL(IF(checklistPesertaKemenkeu!$AY$6:$AY$1005="Direkomendasikan",ROW($6:$1005)-5),729)+5)),INDEX(checklistPesertaKemenkeu!$L$6:$L$1005,SMALL(IF(checklistPesertaKemenkeu!$AY$6:$AY$1005="Direkomendasikan",ROW($6:$1005)-5),729)))=1),IFERROR(VLOOKUP(INDEX(checklistPesertaKemenkeu!$L$6:$L$1005,SMALL(IF(checklistPesertaKemenkeu!$AY$6:$AY$1005="Direkomendasikan",ROW($6:$1005)-5),729)),KotaKode,2,0),"-"),"")),"")</f>
        <v/>
      </c>
      <c r="I730" t="str">
        <f t="array" aca="1" ref="I730" ca="1">IFERROR(IF(OR(INDEX(checklistPesertaKemenkeu!$M$6:$M$1005,SMALL(IF(checklistPesertaKemenkeu!$AY$6:$AY$1005="Direkomendasikan",ROW($6:$1005)-5),729))="",INDEX(checklistPesertaKemenkeu!$J$6:$J$1005,SMALL(IF(checklistPesertaKemenkeu!$AY$6:$AY$1005="Direkomendasikan",ROW($6:$1005)-5),729))=""),"",IF(AND(COUNTIF(INDIRECT("K_"&amp;MATCH(INDEX(checklistPesertaKemenkeu!$J$6:$J$1005,SMALL(IF(checklistPesertaKemenkeu!$AY$6:$AY$1005="Direkomendasikan",ROW($6:$1005)-5),729)),BidangList,0)),INDEX(checklistPesertaKemenkeu!$M$6:$M$1005,SMALL(IF(checklistPesertaKemenkeu!$AY$6:$AY$1005="Direkomendasikan",ROW($6:$1005)-5),729)))&gt;0,COUNTIF(INDIRECT("'KERTAS KERJA'!K"&amp;(SMALL(IF(checklistPesertaKemenkeu!$AY$6:$AY$1005="Direkomendasikan",ROW($6:$1005)-5),729)+5)&amp;":O"&amp;(SMALL(IF(checklistPesertaKemenkeu!$AY$6:$AY$1005="Direkomendasikan",ROW($6:$1005)-5),729)+5)),INDEX(checklistPesertaKemenkeu!$M$6:$M$1005,SMALL(IF(checklistPesertaKemenkeu!$AY$6:$AY$1005="Direkomendasikan",ROW($6:$1005)-5),729)))=1),IFERROR(VLOOKUP(INDEX(checklistPesertaKemenkeu!$M$6:$M$1005,SMALL(IF(checklistPesertaKemenkeu!$AY$6:$AY$1005="Direkomendasikan",ROW($6:$1005)-5),729)),KotaKode,2,0),"-"),"")),"")</f>
        <v/>
      </c>
      <c r="J730" t="str">
        <f t="array" aca="1" ref="J730" ca="1">IFERROR(IF(OR(INDEX(checklistPesertaKemenkeu!$N$6:$N$1005,SMALL(IF(checklistPesertaKemenkeu!$AY$6:$AY$1005="Direkomendasikan",ROW($6:$1005)-5),729))="",INDEX(checklistPesertaKemenkeu!$J$6:$J$1005,SMALL(IF(checklistPesertaKemenkeu!$AY$6:$AY$1005="Direkomendasikan",ROW($6:$1005)-5),729))=""),"",IF(AND(COUNTIF(INDIRECT("K_"&amp;MATCH(INDEX(checklistPesertaKemenkeu!$J$6:$J$1005,SMALL(IF(checklistPesertaKemenkeu!$AY$6:$AY$1005="Direkomendasikan",ROW($6:$1005)-5),729)),BidangList,0)),INDEX(checklistPesertaKemenkeu!$N$6:$N$1005,SMALL(IF(checklistPesertaKemenkeu!$AY$6:$AY$1005="Direkomendasikan",ROW($6:$1005)-5),729)))&gt;0,COUNTIF(INDIRECT("'KERTAS KERJA'!K"&amp;(SMALL(IF(checklistPesertaKemenkeu!$AY$6:$AY$1005="Direkomendasikan",ROW($6:$1005)-5),729)+5)&amp;":O"&amp;(SMALL(IF(checklistPesertaKemenkeu!$AY$6:$AY$1005="Direkomendasikan",ROW($6:$1005)-5),729)+5)),INDEX(checklistPesertaKemenkeu!$N$6:$N$1005,SMALL(IF(checklistPesertaKemenkeu!$AY$6:$AY$1005="Direkomendasikan",ROW($6:$1005)-5),729)))=1),IFERROR(VLOOKUP(INDEX(checklistPesertaKemenkeu!$N$6:$N$1005,SMALL(IF(checklistPesertaKemenkeu!$AY$6:$AY$1005="Direkomendasikan",ROW($6:$1005)-5),729)),KotaKode,2,0),"-"),"")),"")</f>
        <v/>
      </c>
      <c r="K730" t="str">
        <f t="array" aca="1" ref="K730" ca="1">IFERROR(IF(OR(INDEX(checklistPesertaKemenkeu!$O$6:$O$1005,SMALL(IF(checklistPesertaKemenkeu!$AY$6:$AY$1005="Direkomendasikan",ROW($6:$1005)-5),729))="",INDEX(checklistPesertaKemenkeu!$J$6:$J$1005,SMALL(IF(checklistPesertaKemenkeu!$AY$6:$AY$1005="Direkomendasikan",ROW($6:$1005)-5),729))=""),"",IF(AND(COUNTIF(INDIRECT("K_"&amp;MATCH(INDEX(checklistPesertaKemenkeu!$J$6:$J$1005,SMALL(IF(checklistPesertaKemenkeu!$AY$6:$AY$1005="Direkomendasikan",ROW($6:$1005)-5),729)),BidangList,0)),INDEX(checklistPesertaKemenkeu!$O$6:$O$1005,SMALL(IF(checklistPesertaKemenkeu!$AY$6:$AY$1005="Direkomendasikan",ROW($6:$1005)-5),729)))&gt;0,COUNTIF(INDIRECT("'KERTAS KERJA'!K"&amp;(SMALL(IF(checklistPesertaKemenkeu!$AY$6:$AY$1005="Direkomendasikan",ROW($6:$1005)-5),729)+5)&amp;":O"&amp;(SMALL(IF(checklistPesertaKemenkeu!$AY$6:$AY$1005="Direkomendasikan",ROW($6:$1005)-5),729)+5)),INDEX(checklistPesertaKemenkeu!$O$6:$O$1005,SMALL(IF(checklistPesertaKemenkeu!$AY$6:$AY$1005="Direkomendasikan",ROW($6:$1005)-5),729)))=1),IFERROR(VLOOKUP(INDEX(checklistPesertaKemenkeu!$O$6:$O$1005,SMALL(IF(checklistPesertaKemenkeu!$AY$6:$AY$1005="Direkomendasikan",ROW($6:$1005)-5),729)),KotaKode,2,0),"-"),"")),"")</f>
        <v/>
      </c>
      <c r="L730" t="str">
        <f t="array" aca="1" ref="L730" ca="1">IFERROR(IF(OR(INDEX(checklistPesertaKemenkeu!$P$6:$P$1005,SMALL(IF(checklistPesertaKemenkeu!$AY$6:$AY$1005="Direkomendasikan",ROW($6:$1005)-5),729))="",INDEX(checklistPesertaKemenkeu!$J$6:$J$1005,SMALL(IF(checklistPesertaKemenkeu!$AY$6:$AY$1005="Direkomendasikan",ROW($6:$1005)-5),729))=""),"",IF(AND(COUNTIF(INDIRECT("K_"&amp;MATCH(INDEX(checklistPesertaKemenkeu!$J$6:$J$1005,SMALL(IF(checklistPesertaKemenkeu!$AY$6:$AY$1005="Direkomendasikan",ROW($6:$1005)-5),729)),BidangList,0)),INDEX(checklistPesertaKemenkeu!$P$6:$P$1005,SMALL(IF(checklistPesertaKemenkeu!$AY$6:$AY$1005="Direkomendasikan",ROW($6:$1005)-5),729)))&gt;0,COUNTIF(INDIRECT("'KERTAS KERJA'!K"&amp;(SMALL(IF(checklistPesertaKemenkeu!$AY$6:$AY$1005="Direkomendasikan",ROW($6:$1005)-5),729)+5)&amp;":O"&amp;(SMALL(IF(checklistPesertaKemenkeu!$AY$6:$AY$1005="Direkomendasikan",ROW($6:$1005)-5),729)+5)),INDEX(checklistPesertaKemenkeu!$P$6:$P$1005,SMALL(IF(checklistPesertaKemenkeu!$AY$6:$AY$1005="Direkomendasikan",ROW($6:$1005)-5),729)))=1),IFERROR(VLOOKUP(INDEX(checklistPesertaKemenkeu!$P$6:$P$1005,SMALL(IF(checklistPesertaKemenkeu!$AY$6:$AY$1005="Direkomendasikan",ROW($6:$1005)-5),729)),KotaKode,2,0),"-"),"")),"")</f>
        <v/>
      </c>
    </row>
    <row r="731" spans="1:12" ht="15" customHeight="1" x14ac:dyDescent="0.2">
      <c r="A731" t="str">
        <f t="shared" si="11"/>
        <v/>
      </c>
      <c r="B731" t="str">
        <v/>
      </c>
      <c r="C731" s="40" t="str">
        <f t="array" ref="C731">IFERROR(INDEX(checklistPesertaKemenkeu!$F$6:$F$1005,SMALL(IF(checklistPesertaKemenkeu!$AY$6:$AY$1005="Direkomendasikan",ROW($6:$1005)-5),730)),"")</f>
        <v/>
      </c>
      <c r="D731" t="str">
        <f t="array" ref="D731">IFERROR(INDEX(checklistPesertaKemenkeu!$G$6:$G$1005,SMALL(IF(checklistPesertaKemenkeu!$AY$6:$AY$1005="Direkomendasikan",ROW($6:$1005)-5),730)),"")</f>
        <v/>
      </c>
      <c r="E731" t="str">
        <f t="array" ref="E731">IFERROR(INDEX(checklistPesertaKemenkeu!$H$6:$H$1005,SMALL(IF(checklistPesertaKemenkeu!$AY$6:$AY$1005="Direkomendasikan",ROW($6:$1005)-5),730)),"")</f>
        <v/>
      </c>
      <c r="F731" t="str">
        <f t="array" ref="F731">IFERROR(INDEX(checklistPesertaKemenkeu!$I$6:$I$1005,SMALL(IF(checklistPesertaKemenkeu!$AY$6:$AY$1005="Direkomendasikan",ROW($6:$1005)-5),730)),"")</f>
        <v/>
      </c>
      <c r="G731" t="str">
        <f t="array" ref="G731">IFERROR(INDEX(checklistPesertaKemenkeu!$J$6:$J$1005,SMALL(IF(checklistPesertaKemenkeu!$AY$6:$AY$1005="Direkomendasikan",ROW($6:$1005)-5),730)),"")</f>
        <v/>
      </c>
      <c r="H731" t="str">
        <f t="array" aca="1" ref="H731" ca="1">IFERROR(IF(OR(INDEX(checklistPesertaKemenkeu!$L$6:$L$1005,SMALL(IF(checklistPesertaKemenkeu!$AY$6:$AY$1005="Direkomendasikan",ROW($6:$1005)-5),730))="",INDEX(checklistPesertaKemenkeu!$J$6:$J$1005,SMALL(IF(checklistPesertaKemenkeu!$AY$6:$AY$1005="Direkomendasikan",ROW($6:$1005)-5),730))=""),"",IF(AND(COUNTIF(INDIRECT("K_"&amp;MATCH(INDEX(checklistPesertaKemenkeu!$J$6:$J$1005,SMALL(IF(checklistPesertaKemenkeu!$AY$6:$AY$1005="Direkomendasikan",ROW($6:$1005)-5),730)),BidangList,0)),INDEX(checklistPesertaKemenkeu!$L$6:$L$1005,SMALL(IF(checklistPesertaKemenkeu!$AY$6:$AY$1005="Direkomendasikan",ROW($6:$1005)-5),730)))&gt;0,COUNTIF(INDIRECT("'KERTAS KERJA'!K"&amp;(SMALL(IF(checklistPesertaKemenkeu!$AY$6:$AY$1005="Direkomendasikan",ROW($6:$1005)-5),730)+5)&amp;":O"&amp;(SMALL(IF(checklistPesertaKemenkeu!$AY$6:$AY$1005="Direkomendasikan",ROW($6:$1005)-5),730)+5)),INDEX(checklistPesertaKemenkeu!$L$6:$L$1005,SMALL(IF(checklistPesertaKemenkeu!$AY$6:$AY$1005="Direkomendasikan",ROW($6:$1005)-5),730)))=1),IFERROR(VLOOKUP(INDEX(checklistPesertaKemenkeu!$L$6:$L$1005,SMALL(IF(checklistPesertaKemenkeu!$AY$6:$AY$1005="Direkomendasikan",ROW($6:$1005)-5),730)),KotaKode,2,0),"-"),"")),"")</f>
        <v/>
      </c>
      <c r="I731" t="str">
        <f t="array" aca="1" ref="I731" ca="1">IFERROR(IF(OR(INDEX(checklistPesertaKemenkeu!$M$6:$M$1005,SMALL(IF(checklistPesertaKemenkeu!$AY$6:$AY$1005="Direkomendasikan",ROW($6:$1005)-5),730))="",INDEX(checklistPesertaKemenkeu!$J$6:$J$1005,SMALL(IF(checklistPesertaKemenkeu!$AY$6:$AY$1005="Direkomendasikan",ROW($6:$1005)-5),730))=""),"",IF(AND(COUNTIF(INDIRECT("K_"&amp;MATCH(INDEX(checklistPesertaKemenkeu!$J$6:$J$1005,SMALL(IF(checklistPesertaKemenkeu!$AY$6:$AY$1005="Direkomendasikan",ROW($6:$1005)-5),730)),BidangList,0)),INDEX(checklistPesertaKemenkeu!$M$6:$M$1005,SMALL(IF(checklistPesertaKemenkeu!$AY$6:$AY$1005="Direkomendasikan",ROW($6:$1005)-5),730)))&gt;0,COUNTIF(INDIRECT("'KERTAS KERJA'!K"&amp;(SMALL(IF(checklistPesertaKemenkeu!$AY$6:$AY$1005="Direkomendasikan",ROW($6:$1005)-5),730)+5)&amp;":O"&amp;(SMALL(IF(checklistPesertaKemenkeu!$AY$6:$AY$1005="Direkomendasikan",ROW($6:$1005)-5),730)+5)),INDEX(checklistPesertaKemenkeu!$M$6:$M$1005,SMALL(IF(checklistPesertaKemenkeu!$AY$6:$AY$1005="Direkomendasikan",ROW($6:$1005)-5),730)))=1),IFERROR(VLOOKUP(INDEX(checklistPesertaKemenkeu!$M$6:$M$1005,SMALL(IF(checklistPesertaKemenkeu!$AY$6:$AY$1005="Direkomendasikan",ROW($6:$1005)-5),730)),KotaKode,2,0),"-"),"")),"")</f>
        <v/>
      </c>
      <c r="J731" t="str">
        <f t="array" aca="1" ref="J731" ca="1">IFERROR(IF(OR(INDEX(checklistPesertaKemenkeu!$N$6:$N$1005,SMALL(IF(checklistPesertaKemenkeu!$AY$6:$AY$1005="Direkomendasikan",ROW($6:$1005)-5),730))="",INDEX(checklistPesertaKemenkeu!$J$6:$J$1005,SMALL(IF(checklistPesertaKemenkeu!$AY$6:$AY$1005="Direkomendasikan",ROW($6:$1005)-5),730))=""),"",IF(AND(COUNTIF(INDIRECT("K_"&amp;MATCH(INDEX(checklistPesertaKemenkeu!$J$6:$J$1005,SMALL(IF(checklistPesertaKemenkeu!$AY$6:$AY$1005="Direkomendasikan",ROW($6:$1005)-5),730)),BidangList,0)),INDEX(checklistPesertaKemenkeu!$N$6:$N$1005,SMALL(IF(checklistPesertaKemenkeu!$AY$6:$AY$1005="Direkomendasikan",ROW($6:$1005)-5),730)))&gt;0,COUNTIF(INDIRECT("'KERTAS KERJA'!K"&amp;(SMALL(IF(checklistPesertaKemenkeu!$AY$6:$AY$1005="Direkomendasikan",ROW($6:$1005)-5),730)+5)&amp;":O"&amp;(SMALL(IF(checklistPesertaKemenkeu!$AY$6:$AY$1005="Direkomendasikan",ROW($6:$1005)-5),730)+5)),INDEX(checklistPesertaKemenkeu!$N$6:$N$1005,SMALL(IF(checklistPesertaKemenkeu!$AY$6:$AY$1005="Direkomendasikan",ROW($6:$1005)-5),730)))=1),IFERROR(VLOOKUP(INDEX(checklistPesertaKemenkeu!$N$6:$N$1005,SMALL(IF(checklistPesertaKemenkeu!$AY$6:$AY$1005="Direkomendasikan",ROW($6:$1005)-5),730)),KotaKode,2,0),"-"),"")),"")</f>
        <v/>
      </c>
      <c r="K731" t="str">
        <f t="array" aca="1" ref="K731" ca="1">IFERROR(IF(OR(INDEX(checklistPesertaKemenkeu!$O$6:$O$1005,SMALL(IF(checklistPesertaKemenkeu!$AY$6:$AY$1005="Direkomendasikan",ROW($6:$1005)-5),730))="",INDEX(checklistPesertaKemenkeu!$J$6:$J$1005,SMALL(IF(checklistPesertaKemenkeu!$AY$6:$AY$1005="Direkomendasikan",ROW($6:$1005)-5),730))=""),"",IF(AND(COUNTIF(INDIRECT("K_"&amp;MATCH(INDEX(checklistPesertaKemenkeu!$J$6:$J$1005,SMALL(IF(checklistPesertaKemenkeu!$AY$6:$AY$1005="Direkomendasikan",ROW($6:$1005)-5),730)),BidangList,0)),INDEX(checklistPesertaKemenkeu!$O$6:$O$1005,SMALL(IF(checklistPesertaKemenkeu!$AY$6:$AY$1005="Direkomendasikan",ROW($6:$1005)-5),730)))&gt;0,COUNTIF(INDIRECT("'KERTAS KERJA'!K"&amp;(SMALL(IF(checklistPesertaKemenkeu!$AY$6:$AY$1005="Direkomendasikan",ROW($6:$1005)-5),730)+5)&amp;":O"&amp;(SMALL(IF(checklistPesertaKemenkeu!$AY$6:$AY$1005="Direkomendasikan",ROW($6:$1005)-5),730)+5)),INDEX(checklistPesertaKemenkeu!$O$6:$O$1005,SMALL(IF(checklistPesertaKemenkeu!$AY$6:$AY$1005="Direkomendasikan",ROW($6:$1005)-5),730)))=1),IFERROR(VLOOKUP(INDEX(checklistPesertaKemenkeu!$O$6:$O$1005,SMALL(IF(checklistPesertaKemenkeu!$AY$6:$AY$1005="Direkomendasikan",ROW($6:$1005)-5),730)),KotaKode,2,0),"-"),"")),"")</f>
        <v/>
      </c>
      <c r="L731" t="str">
        <f t="array" aca="1" ref="L731" ca="1">IFERROR(IF(OR(INDEX(checklistPesertaKemenkeu!$P$6:$P$1005,SMALL(IF(checklistPesertaKemenkeu!$AY$6:$AY$1005="Direkomendasikan",ROW($6:$1005)-5),730))="",INDEX(checklistPesertaKemenkeu!$J$6:$J$1005,SMALL(IF(checklistPesertaKemenkeu!$AY$6:$AY$1005="Direkomendasikan",ROW($6:$1005)-5),730))=""),"",IF(AND(COUNTIF(INDIRECT("K_"&amp;MATCH(INDEX(checklistPesertaKemenkeu!$J$6:$J$1005,SMALL(IF(checklistPesertaKemenkeu!$AY$6:$AY$1005="Direkomendasikan",ROW($6:$1005)-5),730)),BidangList,0)),INDEX(checklistPesertaKemenkeu!$P$6:$P$1005,SMALL(IF(checklistPesertaKemenkeu!$AY$6:$AY$1005="Direkomendasikan",ROW($6:$1005)-5),730)))&gt;0,COUNTIF(INDIRECT("'KERTAS KERJA'!K"&amp;(SMALL(IF(checklistPesertaKemenkeu!$AY$6:$AY$1005="Direkomendasikan",ROW($6:$1005)-5),730)+5)&amp;":O"&amp;(SMALL(IF(checklistPesertaKemenkeu!$AY$6:$AY$1005="Direkomendasikan",ROW($6:$1005)-5),730)+5)),INDEX(checklistPesertaKemenkeu!$P$6:$P$1005,SMALL(IF(checklistPesertaKemenkeu!$AY$6:$AY$1005="Direkomendasikan",ROW($6:$1005)-5),730)))=1),IFERROR(VLOOKUP(INDEX(checklistPesertaKemenkeu!$P$6:$P$1005,SMALL(IF(checklistPesertaKemenkeu!$AY$6:$AY$1005="Direkomendasikan",ROW($6:$1005)-5),730)),KotaKode,2,0),"-"),"")),"")</f>
        <v/>
      </c>
    </row>
    <row r="732" spans="1:12" ht="15" customHeight="1" x14ac:dyDescent="0.2">
      <c r="A732" t="str">
        <f t="shared" si="11"/>
        <v/>
      </c>
      <c r="B732" t="str">
        <v/>
      </c>
      <c r="C732" s="40" t="str">
        <f t="array" ref="C732">IFERROR(INDEX(checklistPesertaKemenkeu!$F$6:$F$1005,SMALL(IF(checklistPesertaKemenkeu!$AY$6:$AY$1005="Direkomendasikan",ROW($6:$1005)-5),731)),"")</f>
        <v/>
      </c>
      <c r="D732" t="str">
        <f t="array" ref="D732">IFERROR(INDEX(checklistPesertaKemenkeu!$G$6:$G$1005,SMALL(IF(checklistPesertaKemenkeu!$AY$6:$AY$1005="Direkomendasikan",ROW($6:$1005)-5),731)),"")</f>
        <v/>
      </c>
      <c r="E732" t="str">
        <f t="array" ref="E732">IFERROR(INDEX(checklistPesertaKemenkeu!$H$6:$H$1005,SMALL(IF(checklistPesertaKemenkeu!$AY$6:$AY$1005="Direkomendasikan",ROW($6:$1005)-5),731)),"")</f>
        <v/>
      </c>
      <c r="F732" t="str">
        <f t="array" ref="F732">IFERROR(INDEX(checklistPesertaKemenkeu!$I$6:$I$1005,SMALL(IF(checklistPesertaKemenkeu!$AY$6:$AY$1005="Direkomendasikan",ROW($6:$1005)-5),731)),"")</f>
        <v/>
      </c>
      <c r="G732" t="str">
        <f t="array" ref="G732">IFERROR(INDEX(checklistPesertaKemenkeu!$J$6:$J$1005,SMALL(IF(checklistPesertaKemenkeu!$AY$6:$AY$1005="Direkomendasikan",ROW($6:$1005)-5),731)),"")</f>
        <v/>
      </c>
      <c r="H732" t="str">
        <f t="array" aca="1" ref="H732" ca="1">IFERROR(IF(OR(INDEX(checklistPesertaKemenkeu!$L$6:$L$1005,SMALL(IF(checklistPesertaKemenkeu!$AY$6:$AY$1005="Direkomendasikan",ROW($6:$1005)-5),731))="",INDEX(checklistPesertaKemenkeu!$J$6:$J$1005,SMALL(IF(checklistPesertaKemenkeu!$AY$6:$AY$1005="Direkomendasikan",ROW($6:$1005)-5),731))=""),"",IF(AND(COUNTIF(INDIRECT("K_"&amp;MATCH(INDEX(checklistPesertaKemenkeu!$J$6:$J$1005,SMALL(IF(checklistPesertaKemenkeu!$AY$6:$AY$1005="Direkomendasikan",ROW($6:$1005)-5),731)),BidangList,0)),INDEX(checklistPesertaKemenkeu!$L$6:$L$1005,SMALL(IF(checklistPesertaKemenkeu!$AY$6:$AY$1005="Direkomendasikan",ROW($6:$1005)-5),731)))&gt;0,COUNTIF(INDIRECT("'KERTAS KERJA'!K"&amp;(SMALL(IF(checklistPesertaKemenkeu!$AY$6:$AY$1005="Direkomendasikan",ROW($6:$1005)-5),731)+5)&amp;":O"&amp;(SMALL(IF(checklistPesertaKemenkeu!$AY$6:$AY$1005="Direkomendasikan",ROW($6:$1005)-5),731)+5)),INDEX(checklistPesertaKemenkeu!$L$6:$L$1005,SMALL(IF(checklistPesertaKemenkeu!$AY$6:$AY$1005="Direkomendasikan",ROW($6:$1005)-5),731)))=1),IFERROR(VLOOKUP(INDEX(checklistPesertaKemenkeu!$L$6:$L$1005,SMALL(IF(checklistPesertaKemenkeu!$AY$6:$AY$1005="Direkomendasikan",ROW($6:$1005)-5),731)),KotaKode,2,0),"-"),"")),"")</f>
        <v/>
      </c>
      <c r="I732" t="str">
        <f t="array" aca="1" ref="I732" ca="1">IFERROR(IF(OR(INDEX(checklistPesertaKemenkeu!$M$6:$M$1005,SMALL(IF(checklistPesertaKemenkeu!$AY$6:$AY$1005="Direkomendasikan",ROW($6:$1005)-5),731))="",INDEX(checklistPesertaKemenkeu!$J$6:$J$1005,SMALL(IF(checklistPesertaKemenkeu!$AY$6:$AY$1005="Direkomendasikan",ROW($6:$1005)-5),731))=""),"",IF(AND(COUNTIF(INDIRECT("K_"&amp;MATCH(INDEX(checklistPesertaKemenkeu!$J$6:$J$1005,SMALL(IF(checklistPesertaKemenkeu!$AY$6:$AY$1005="Direkomendasikan",ROW($6:$1005)-5),731)),BidangList,0)),INDEX(checklistPesertaKemenkeu!$M$6:$M$1005,SMALL(IF(checklistPesertaKemenkeu!$AY$6:$AY$1005="Direkomendasikan",ROW($6:$1005)-5),731)))&gt;0,COUNTIF(INDIRECT("'KERTAS KERJA'!K"&amp;(SMALL(IF(checklistPesertaKemenkeu!$AY$6:$AY$1005="Direkomendasikan",ROW($6:$1005)-5),731)+5)&amp;":O"&amp;(SMALL(IF(checklistPesertaKemenkeu!$AY$6:$AY$1005="Direkomendasikan",ROW($6:$1005)-5),731)+5)),INDEX(checklistPesertaKemenkeu!$M$6:$M$1005,SMALL(IF(checklistPesertaKemenkeu!$AY$6:$AY$1005="Direkomendasikan",ROW($6:$1005)-5),731)))=1),IFERROR(VLOOKUP(INDEX(checklistPesertaKemenkeu!$M$6:$M$1005,SMALL(IF(checklistPesertaKemenkeu!$AY$6:$AY$1005="Direkomendasikan",ROW($6:$1005)-5),731)),KotaKode,2,0),"-"),"")),"")</f>
        <v/>
      </c>
      <c r="J732" t="str">
        <f t="array" aca="1" ref="J732" ca="1">IFERROR(IF(OR(INDEX(checklistPesertaKemenkeu!$N$6:$N$1005,SMALL(IF(checklistPesertaKemenkeu!$AY$6:$AY$1005="Direkomendasikan",ROW($6:$1005)-5),731))="",INDEX(checklistPesertaKemenkeu!$J$6:$J$1005,SMALL(IF(checklistPesertaKemenkeu!$AY$6:$AY$1005="Direkomendasikan",ROW($6:$1005)-5),731))=""),"",IF(AND(COUNTIF(INDIRECT("K_"&amp;MATCH(INDEX(checklistPesertaKemenkeu!$J$6:$J$1005,SMALL(IF(checklistPesertaKemenkeu!$AY$6:$AY$1005="Direkomendasikan",ROW($6:$1005)-5),731)),BidangList,0)),INDEX(checklistPesertaKemenkeu!$N$6:$N$1005,SMALL(IF(checklistPesertaKemenkeu!$AY$6:$AY$1005="Direkomendasikan",ROW($6:$1005)-5),731)))&gt;0,COUNTIF(INDIRECT("'KERTAS KERJA'!K"&amp;(SMALL(IF(checklistPesertaKemenkeu!$AY$6:$AY$1005="Direkomendasikan",ROW($6:$1005)-5),731)+5)&amp;":O"&amp;(SMALL(IF(checklistPesertaKemenkeu!$AY$6:$AY$1005="Direkomendasikan",ROW($6:$1005)-5),731)+5)),INDEX(checklistPesertaKemenkeu!$N$6:$N$1005,SMALL(IF(checklistPesertaKemenkeu!$AY$6:$AY$1005="Direkomendasikan",ROW($6:$1005)-5),731)))=1),IFERROR(VLOOKUP(INDEX(checklistPesertaKemenkeu!$N$6:$N$1005,SMALL(IF(checklistPesertaKemenkeu!$AY$6:$AY$1005="Direkomendasikan",ROW($6:$1005)-5),731)),KotaKode,2,0),"-"),"")),"")</f>
        <v/>
      </c>
      <c r="K732" t="str">
        <f t="array" aca="1" ref="K732" ca="1">IFERROR(IF(OR(INDEX(checklistPesertaKemenkeu!$O$6:$O$1005,SMALL(IF(checklistPesertaKemenkeu!$AY$6:$AY$1005="Direkomendasikan",ROW($6:$1005)-5),731))="",INDEX(checklistPesertaKemenkeu!$J$6:$J$1005,SMALL(IF(checklistPesertaKemenkeu!$AY$6:$AY$1005="Direkomendasikan",ROW($6:$1005)-5),731))=""),"",IF(AND(COUNTIF(INDIRECT("K_"&amp;MATCH(INDEX(checklistPesertaKemenkeu!$J$6:$J$1005,SMALL(IF(checklistPesertaKemenkeu!$AY$6:$AY$1005="Direkomendasikan",ROW($6:$1005)-5),731)),BidangList,0)),INDEX(checklistPesertaKemenkeu!$O$6:$O$1005,SMALL(IF(checklistPesertaKemenkeu!$AY$6:$AY$1005="Direkomendasikan",ROW($6:$1005)-5),731)))&gt;0,COUNTIF(INDIRECT("'KERTAS KERJA'!K"&amp;(SMALL(IF(checklistPesertaKemenkeu!$AY$6:$AY$1005="Direkomendasikan",ROW($6:$1005)-5),731)+5)&amp;":O"&amp;(SMALL(IF(checklistPesertaKemenkeu!$AY$6:$AY$1005="Direkomendasikan",ROW($6:$1005)-5),731)+5)),INDEX(checklistPesertaKemenkeu!$O$6:$O$1005,SMALL(IF(checklistPesertaKemenkeu!$AY$6:$AY$1005="Direkomendasikan",ROW($6:$1005)-5),731)))=1),IFERROR(VLOOKUP(INDEX(checklistPesertaKemenkeu!$O$6:$O$1005,SMALL(IF(checklistPesertaKemenkeu!$AY$6:$AY$1005="Direkomendasikan",ROW($6:$1005)-5),731)),KotaKode,2,0),"-"),"")),"")</f>
        <v/>
      </c>
      <c r="L732" t="str">
        <f t="array" aca="1" ref="L732" ca="1">IFERROR(IF(OR(INDEX(checklistPesertaKemenkeu!$P$6:$P$1005,SMALL(IF(checklistPesertaKemenkeu!$AY$6:$AY$1005="Direkomendasikan",ROW($6:$1005)-5),731))="",INDEX(checklistPesertaKemenkeu!$J$6:$J$1005,SMALL(IF(checklistPesertaKemenkeu!$AY$6:$AY$1005="Direkomendasikan",ROW($6:$1005)-5),731))=""),"",IF(AND(COUNTIF(INDIRECT("K_"&amp;MATCH(INDEX(checklistPesertaKemenkeu!$J$6:$J$1005,SMALL(IF(checklistPesertaKemenkeu!$AY$6:$AY$1005="Direkomendasikan",ROW($6:$1005)-5),731)),BidangList,0)),INDEX(checklistPesertaKemenkeu!$P$6:$P$1005,SMALL(IF(checklistPesertaKemenkeu!$AY$6:$AY$1005="Direkomendasikan",ROW($6:$1005)-5),731)))&gt;0,COUNTIF(INDIRECT("'KERTAS KERJA'!K"&amp;(SMALL(IF(checklistPesertaKemenkeu!$AY$6:$AY$1005="Direkomendasikan",ROW($6:$1005)-5),731)+5)&amp;":O"&amp;(SMALL(IF(checklistPesertaKemenkeu!$AY$6:$AY$1005="Direkomendasikan",ROW($6:$1005)-5),731)+5)),INDEX(checklistPesertaKemenkeu!$P$6:$P$1005,SMALL(IF(checklistPesertaKemenkeu!$AY$6:$AY$1005="Direkomendasikan",ROW($6:$1005)-5),731)))=1),IFERROR(VLOOKUP(INDEX(checklistPesertaKemenkeu!$P$6:$P$1005,SMALL(IF(checklistPesertaKemenkeu!$AY$6:$AY$1005="Direkomendasikan",ROW($6:$1005)-5),731)),KotaKode,2,0),"-"),"")),"")</f>
        <v/>
      </c>
    </row>
    <row r="733" spans="1:12" ht="15" customHeight="1" x14ac:dyDescent="0.2">
      <c r="A733" t="str">
        <f t="shared" si="11"/>
        <v/>
      </c>
      <c r="B733" t="str">
        <v/>
      </c>
      <c r="C733" s="40" t="str">
        <f t="array" ref="C733">IFERROR(INDEX(checklistPesertaKemenkeu!$F$6:$F$1005,SMALL(IF(checklistPesertaKemenkeu!$AY$6:$AY$1005="Direkomendasikan",ROW($6:$1005)-5),732)),"")</f>
        <v/>
      </c>
      <c r="D733" t="str">
        <f t="array" ref="D733">IFERROR(INDEX(checklistPesertaKemenkeu!$G$6:$G$1005,SMALL(IF(checklistPesertaKemenkeu!$AY$6:$AY$1005="Direkomendasikan",ROW($6:$1005)-5),732)),"")</f>
        <v/>
      </c>
      <c r="E733" t="str">
        <f t="array" ref="E733">IFERROR(INDEX(checklistPesertaKemenkeu!$H$6:$H$1005,SMALL(IF(checklistPesertaKemenkeu!$AY$6:$AY$1005="Direkomendasikan",ROW($6:$1005)-5),732)),"")</f>
        <v/>
      </c>
      <c r="F733" t="str">
        <f t="array" ref="F733">IFERROR(INDEX(checklistPesertaKemenkeu!$I$6:$I$1005,SMALL(IF(checklistPesertaKemenkeu!$AY$6:$AY$1005="Direkomendasikan",ROW($6:$1005)-5),732)),"")</f>
        <v/>
      </c>
      <c r="G733" t="str">
        <f t="array" ref="G733">IFERROR(INDEX(checklistPesertaKemenkeu!$J$6:$J$1005,SMALL(IF(checklistPesertaKemenkeu!$AY$6:$AY$1005="Direkomendasikan",ROW($6:$1005)-5),732)),"")</f>
        <v/>
      </c>
      <c r="H733" t="str">
        <f t="array" aca="1" ref="H733" ca="1">IFERROR(IF(OR(INDEX(checklistPesertaKemenkeu!$L$6:$L$1005,SMALL(IF(checklistPesertaKemenkeu!$AY$6:$AY$1005="Direkomendasikan",ROW($6:$1005)-5),732))="",INDEX(checklistPesertaKemenkeu!$J$6:$J$1005,SMALL(IF(checklistPesertaKemenkeu!$AY$6:$AY$1005="Direkomendasikan",ROW($6:$1005)-5),732))=""),"",IF(AND(COUNTIF(INDIRECT("K_"&amp;MATCH(INDEX(checklistPesertaKemenkeu!$J$6:$J$1005,SMALL(IF(checklistPesertaKemenkeu!$AY$6:$AY$1005="Direkomendasikan",ROW($6:$1005)-5),732)),BidangList,0)),INDEX(checklistPesertaKemenkeu!$L$6:$L$1005,SMALL(IF(checklistPesertaKemenkeu!$AY$6:$AY$1005="Direkomendasikan",ROW($6:$1005)-5),732)))&gt;0,COUNTIF(INDIRECT("'KERTAS KERJA'!K"&amp;(SMALL(IF(checklistPesertaKemenkeu!$AY$6:$AY$1005="Direkomendasikan",ROW($6:$1005)-5),732)+5)&amp;":O"&amp;(SMALL(IF(checklistPesertaKemenkeu!$AY$6:$AY$1005="Direkomendasikan",ROW($6:$1005)-5),732)+5)),INDEX(checklistPesertaKemenkeu!$L$6:$L$1005,SMALL(IF(checklistPesertaKemenkeu!$AY$6:$AY$1005="Direkomendasikan",ROW($6:$1005)-5),732)))=1),IFERROR(VLOOKUP(INDEX(checklistPesertaKemenkeu!$L$6:$L$1005,SMALL(IF(checklistPesertaKemenkeu!$AY$6:$AY$1005="Direkomendasikan",ROW($6:$1005)-5),732)),KotaKode,2,0),"-"),"")),"")</f>
        <v/>
      </c>
      <c r="I733" t="str">
        <f t="array" aca="1" ref="I733" ca="1">IFERROR(IF(OR(INDEX(checklistPesertaKemenkeu!$M$6:$M$1005,SMALL(IF(checklistPesertaKemenkeu!$AY$6:$AY$1005="Direkomendasikan",ROW($6:$1005)-5),732))="",INDEX(checklistPesertaKemenkeu!$J$6:$J$1005,SMALL(IF(checklistPesertaKemenkeu!$AY$6:$AY$1005="Direkomendasikan",ROW($6:$1005)-5),732))=""),"",IF(AND(COUNTIF(INDIRECT("K_"&amp;MATCH(INDEX(checklistPesertaKemenkeu!$J$6:$J$1005,SMALL(IF(checklistPesertaKemenkeu!$AY$6:$AY$1005="Direkomendasikan",ROW($6:$1005)-5),732)),BidangList,0)),INDEX(checklistPesertaKemenkeu!$M$6:$M$1005,SMALL(IF(checklistPesertaKemenkeu!$AY$6:$AY$1005="Direkomendasikan",ROW($6:$1005)-5),732)))&gt;0,COUNTIF(INDIRECT("'KERTAS KERJA'!K"&amp;(SMALL(IF(checklistPesertaKemenkeu!$AY$6:$AY$1005="Direkomendasikan",ROW($6:$1005)-5),732)+5)&amp;":O"&amp;(SMALL(IF(checklistPesertaKemenkeu!$AY$6:$AY$1005="Direkomendasikan",ROW($6:$1005)-5),732)+5)),INDEX(checklistPesertaKemenkeu!$M$6:$M$1005,SMALL(IF(checklistPesertaKemenkeu!$AY$6:$AY$1005="Direkomendasikan",ROW($6:$1005)-5),732)))=1),IFERROR(VLOOKUP(INDEX(checklistPesertaKemenkeu!$M$6:$M$1005,SMALL(IF(checklistPesertaKemenkeu!$AY$6:$AY$1005="Direkomendasikan",ROW($6:$1005)-5),732)),KotaKode,2,0),"-"),"")),"")</f>
        <v/>
      </c>
      <c r="J733" t="str">
        <f t="array" aca="1" ref="J733" ca="1">IFERROR(IF(OR(INDEX(checklistPesertaKemenkeu!$N$6:$N$1005,SMALL(IF(checklistPesertaKemenkeu!$AY$6:$AY$1005="Direkomendasikan",ROW($6:$1005)-5),732))="",INDEX(checklistPesertaKemenkeu!$J$6:$J$1005,SMALL(IF(checklistPesertaKemenkeu!$AY$6:$AY$1005="Direkomendasikan",ROW($6:$1005)-5),732))=""),"",IF(AND(COUNTIF(INDIRECT("K_"&amp;MATCH(INDEX(checklistPesertaKemenkeu!$J$6:$J$1005,SMALL(IF(checklistPesertaKemenkeu!$AY$6:$AY$1005="Direkomendasikan",ROW($6:$1005)-5),732)),BidangList,0)),INDEX(checklistPesertaKemenkeu!$N$6:$N$1005,SMALL(IF(checklistPesertaKemenkeu!$AY$6:$AY$1005="Direkomendasikan",ROW($6:$1005)-5),732)))&gt;0,COUNTIF(INDIRECT("'KERTAS KERJA'!K"&amp;(SMALL(IF(checklistPesertaKemenkeu!$AY$6:$AY$1005="Direkomendasikan",ROW($6:$1005)-5),732)+5)&amp;":O"&amp;(SMALL(IF(checklistPesertaKemenkeu!$AY$6:$AY$1005="Direkomendasikan",ROW($6:$1005)-5),732)+5)),INDEX(checklistPesertaKemenkeu!$N$6:$N$1005,SMALL(IF(checklistPesertaKemenkeu!$AY$6:$AY$1005="Direkomendasikan",ROW($6:$1005)-5),732)))=1),IFERROR(VLOOKUP(INDEX(checklistPesertaKemenkeu!$N$6:$N$1005,SMALL(IF(checklistPesertaKemenkeu!$AY$6:$AY$1005="Direkomendasikan",ROW($6:$1005)-5),732)),KotaKode,2,0),"-"),"")),"")</f>
        <v/>
      </c>
      <c r="K733" t="str">
        <f t="array" aca="1" ref="K733" ca="1">IFERROR(IF(OR(INDEX(checklistPesertaKemenkeu!$O$6:$O$1005,SMALL(IF(checklistPesertaKemenkeu!$AY$6:$AY$1005="Direkomendasikan",ROW($6:$1005)-5),732))="",INDEX(checklistPesertaKemenkeu!$J$6:$J$1005,SMALL(IF(checklistPesertaKemenkeu!$AY$6:$AY$1005="Direkomendasikan",ROW($6:$1005)-5),732))=""),"",IF(AND(COUNTIF(INDIRECT("K_"&amp;MATCH(INDEX(checklistPesertaKemenkeu!$J$6:$J$1005,SMALL(IF(checklistPesertaKemenkeu!$AY$6:$AY$1005="Direkomendasikan",ROW($6:$1005)-5),732)),BidangList,0)),INDEX(checklistPesertaKemenkeu!$O$6:$O$1005,SMALL(IF(checklistPesertaKemenkeu!$AY$6:$AY$1005="Direkomendasikan",ROW($6:$1005)-5),732)))&gt;0,COUNTIF(INDIRECT("'KERTAS KERJA'!K"&amp;(SMALL(IF(checklistPesertaKemenkeu!$AY$6:$AY$1005="Direkomendasikan",ROW($6:$1005)-5),732)+5)&amp;":O"&amp;(SMALL(IF(checklistPesertaKemenkeu!$AY$6:$AY$1005="Direkomendasikan",ROW($6:$1005)-5),732)+5)),INDEX(checklistPesertaKemenkeu!$O$6:$O$1005,SMALL(IF(checklistPesertaKemenkeu!$AY$6:$AY$1005="Direkomendasikan",ROW($6:$1005)-5),732)))=1),IFERROR(VLOOKUP(INDEX(checklistPesertaKemenkeu!$O$6:$O$1005,SMALL(IF(checklistPesertaKemenkeu!$AY$6:$AY$1005="Direkomendasikan",ROW($6:$1005)-5),732)),KotaKode,2,0),"-"),"")),"")</f>
        <v/>
      </c>
      <c r="L733" t="str">
        <f t="array" aca="1" ref="L733" ca="1">IFERROR(IF(OR(INDEX(checklistPesertaKemenkeu!$P$6:$P$1005,SMALL(IF(checklistPesertaKemenkeu!$AY$6:$AY$1005="Direkomendasikan",ROW($6:$1005)-5),732))="",INDEX(checklistPesertaKemenkeu!$J$6:$J$1005,SMALL(IF(checklistPesertaKemenkeu!$AY$6:$AY$1005="Direkomendasikan",ROW($6:$1005)-5),732))=""),"",IF(AND(COUNTIF(INDIRECT("K_"&amp;MATCH(INDEX(checklistPesertaKemenkeu!$J$6:$J$1005,SMALL(IF(checklistPesertaKemenkeu!$AY$6:$AY$1005="Direkomendasikan",ROW($6:$1005)-5),732)),BidangList,0)),INDEX(checklistPesertaKemenkeu!$P$6:$P$1005,SMALL(IF(checklistPesertaKemenkeu!$AY$6:$AY$1005="Direkomendasikan",ROW($6:$1005)-5),732)))&gt;0,COUNTIF(INDIRECT("'KERTAS KERJA'!K"&amp;(SMALL(IF(checklistPesertaKemenkeu!$AY$6:$AY$1005="Direkomendasikan",ROW($6:$1005)-5),732)+5)&amp;":O"&amp;(SMALL(IF(checklistPesertaKemenkeu!$AY$6:$AY$1005="Direkomendasikan",ROW($6:$1005)-5),732)+5)),INDEX(checklistPesertaKemenkeu!$P$6:$P$1005,SMALL(IF(checklistPesertaKemenkeu!$AY$6:$AY$1005="Direkomendasikan",ROW($6:$1005)-5),732)))=1),IFERROR(VLOOKUP(INDEX(checklistPesertaKemenkeu!$P$6:$P$1005,SMALL(IF(checklistPesertaKemenkeu!$AY$6:$AY$1005="Direkomendasikan",ROW($6:$1005)-5),732)),KotaKode,2,0),"-"),"")),"")</f>
        <v/>
      </c>
    </row>
    <row r="734" spans="1:12" ht="15" customHeight="1" x14ac:dyDescent="0.2">
      <c r="A734" t="str">
        <f t="shared" si="11"/>
        <v/>
      </c>
      <c r="B734" t="str">
        <v/>
      </c>
      <c r="C734" s="40" t="str">
        <f t="array" ref="C734">IFERROR(INDEX(checklistPesertaKemenkeu!$F$6:$F$1005,SMALL(IF(checklistPesertaKemenkeu!$AY$6:$AY$1005="Direkomendasikan",ROW($6:$1005)-5),733)),"")</f>
        <v/>
      </c>
      <c r="D734" t="str">
        <f t="array" ref="D734">IFERROR(INDEX(checklistPesertaKemenkeu!$G$6:$G$1005,SMALL(IF(checklistPesertaKemenkeu!$AY$6:$AY$1005="Direkomendasikan",ROW($6:$1005)-5),733)),"")</f>
        <v/>
      </c>
      <c r="E734" t="str">
        <f t="array" ref="E734">IFERROR(INDEX(checklistPesertaKemenkeu!$H$6:$H$1005,SMALL(IF(checklistPesertaKemenkeu!$AY$6:$AY$1005="Direkomendasikan",ROW($6:$1005)-5),733)),"")</f>
        <v/>
      </c>
      <c r="F734" t="str">
        <f t="array" ref="F734">IFERROR(INDEX(checklistPesertaKemenkeu!$I$6:$I$1005,SMALL(IF(checklistPesertaKemenkeu!$AY$6:$AY$1005="Direkomendasikan",ROW($6:$1005)-5),733)),"")</f>
        <v/>
      </c>
      <c r="G734" t="str">
        <f t="array" ref="G734">IFERROR(INDEX(checklistPesertaKemenkeu!$J$6:$J$1005,SMALL(IF(checklistPesertaKemenkeu!$AY$6:$AY$1005="Direkomendasikan",ROW($6:$1005)-5),733)),"")</f>
        <v/>
      </c>
      <c r="H734" t="str">
        <f t="array" aca="1" ref="H734" ca="1">IFERROR(IF(OR(INDEX(checklistPesertaKemenkeu!$L$6:$L$1005,SMALL(IF(checklistPesertaKemenkeu!$AY$6:$AY$1005="Direkomendasikan",ROW($6:$1005)-5),733))="",INDEX(checklistPesertaKemenkeu!$J$6:$J$1005,SMALL(IF(checklistPesertaKemenkeu!$AY$6:$AY$1005="Direkomendasikan",ROW($6:$1005)-5),733))=""),"",IF(AND(COUNTIF(INDIRECT("K_"&amp;MATCH(INDEX(checklistPesertaKemenkeu!$J$6:$J$1005,SMALL(IF(checklistPesertaKemenkeu!$AY$6:$AY$1005="Direkomendasikan",ROW($6:$1005)-5),733)),BidangList,0)),INDEX(checklistPesertaKemenkeu!$L$6:$L$1005,SMALL(IF(checklistPesertaKemenkeu!$AY$6:$AY$1005="Direkomendasikan",ROW($6:$1005)-5),733)))&gt;0,COUNTIF(INDIRECT("'KERTAS KERJA'!K"&amp;(SMALL(IF(checklistPesertaKemenkeu!$AY$6:$AY$1005="Direkomendasikan",ROW($6:$1005)-5),733)+5)&amp;":O"&amp;(SMALL(IF(checklistPesertaKemenkeu!$AY$6:$AY$1005="Direkomendasikan",ROW($6:$1005)-5),733)+5)),INDEX(checklistPesertaKemenkeu!$L$6:$L$1005,SMALL(IF(checklistPesertaKemenkeu!$AY$6:$AY$1005="Direkomendasikan",ROW($6:$1005)-5),733)))=1),IFERROR(VLOOKUP(INDEX(checklistPesertaKemenkeu!$L$6:$L$1005,SMALL(IF(checklistPesertaKemenkeu!$AY$6:$AY$1005="Direkomendasikan",ROW($6:$1005)-5),733)),KotaKode,2,0),"-"),"")),"")</f>
        <v/>
      </c>
      <c r="I734" t="str">
        <f t="array" aca="1" ref="I734" ca="1">IFERROR(IF(OR(INDEX(checklistPesertaKemenkeu!$M$6:$M$1005,SMALL(IF(checklistPesertaKemenkeu!$AY$6:$AY$1005="Direkomendasikan",ROW($6:$1005)-5),733))="",INDEX(checklistPesertaKemenkeu!$J$6:$J$1005,SMALL(IF(checklistPesertaKemenkeu!$AY$6:$AY$1005="Direkomendasikan",ROW($6:$1005)-5),733))=""),"",IF(AND(COUNTIF(INDIRECT("K_"&amp;MATCH(INDEX(checklistPesertaKemenkeu!$J$6:$J$1005,SMALL(IF(checklistPesertaKemenkeu!$AY$6:$AY$1005="Direkomendasikan",ROW($6:$1005)-5),733)),BidangList,0)),INDEX(checklistPesertaKemenkeu!$M$6:$M$1005,SMALL(IF(checklistPesertaKemenkeu!$AY$6:$AY$1005="Direkomendasikan",ROW($6:$1005)-5),733)))&gt;0,COUNTIF(INDIRECT("'KERTAS KERJA'!K"&amp;(SMALL(IF(checklistPesertaKemenkeu!$AY$6:$AY$1005="Direkomendasikan",ROW($6:$1005)-5),733)+5)&amp;":O"&amp;(SMALL(IF(checklistPesertaKemenkeu!$AY$6:$AY$1005="Direkomendasikan",ROW($6:$1005)-5),733)+5)),INDEX(checklistPesertaKemenkeu!$M$6:$M$1005,SMALL(IF(checklistPesertaKemenkeu!$AY$6:$AY$1005="Direkomendasikan",ROW($6:$1005)-5),733)))=1),IFERROR(VLOOKUP(INDEX(checklistPesertaKemenkeu!$M$6:$M$1005,SMALL(IF(checklistPesertaKemenkeu!$AY$6:$AY$1005="Direkomendasikan",ROW($6:$1005)-5),733)),KotaKode,2,0),"-"),"")),"")</f>
        <v/>
      </c>
      <c r="J734" t="str">
        <f t="array" aca="1" ref="J734" ca="1">IFERROR(IF(OR(INDEX(checklistPesertaKemenkeu!$N$6:$N$1005,SMALL(IF(checklistPesertaKemenkeu!$AY$6:$AY$1005="Direkomendasikan",ROW($6:$1005)-5),733))="",INDEX(checklistPesertaKemenkeu!$J$6:$J$1005,SMALL(IF(checklistPesertaKemenkeu!$AY$6:$AY$1005="Direkomendasikan",ROW($6:$1005)-5),733))=""),"",IF(AND(COUNTIF(INDIRECT("K_"&amp;MATCH(INDEX(checklistPesertaKemenkeu!$J$6:$J$1005,SMALL(IF(checklistPesertaKemenkeu!$AY$6:$AY$1005="Direkomendasikan",ROW($6:$1005)-5),733)),BidangList,0)),INDEX(checklistPesertaKemenkeu!$N$6:$N$1005,SMALL(IF(checklistPesertaKemenkeu!$AY$6:$AY$1005="Direkomendasikan",ROW($6:$1005)-5),733)))&gt;0,COUNTIF(INDIRECT("'KERTAS KERJA'!K"&amp;(SMALL(IF(checklistPesertaKemenkeu!$AY$6:$AY$1005="Direkomendasikan",ROW($6:$1005)-5),733)+5)&amp;":O"&amp;(SMALL(IF(checklistPesertaKemenkeu!$AY$6:$AY$1005="Direkomendasikan",ROW($6:$1005)-5),733)+5)),INDEX(checklistPesertaKemenkeu!$N$6:$N$1005,SMALL(IF(checklistPesertaKemenkeu!$AY$6:$AY$1005="Direkomendasikan",ROW($6:$1005)-5),733)))=1),IFERROR(VLOOKUP(INDEX(checklistPesertaKemenkeu!$N$6:$N$1005,SMALL(IF(checklistPesertaKemenkeu!$AY$6:$AY$1005="Direkomendasikan",ROW($6:$1005)-5),733)),KotaKode,2,0),"-"),"")),"")</f>
        <v/>
      </c>
      <c r="K734" t="str">
        <f t="array" aca="1" ref="K734" ca="1">IFERROR(IF(OR(INDEX(checklistPesertaKemenkeu!$O$6:$O$1005,SMALL(IF(checklistPesertaKemenkeu!$AY$6:$AY$1005="Direkomendasikan",ROW($6:$1005)-5),733))="",INDEX(checklistPesertaKemenkeu!$J$6:$J$1005,SMALL(IF(checklistPesertaKemenkeu!$AY$6:$AY$1005="Direkomendasikan",ROW($6:$1005)-5),733))=""),"",IF(AND(COUNTIF(INDIRECT("K_"&amp;MATCH(INDEX(checklistPesertaKemenkeu!$J$6:$J$1005,SMALL(IF(checklistPesertaKemenkeu!$AY$6:$AY$1005="Direkomendasikan",ROW($6:$1005)-5),733)),BidangList,0)),INDEX(checklistPesertaKemenkeu!$O$6:$O$1005,SMALL(IF(checklistPesertaKemenkeu!$AY$6:$AY$1005="Direkomendasikan",ROW($6:$1005)-5),733)))&gt;0,COUNTIF(INDIRECT("'KERTAS KERJA'!K"&amp;(SMALL(IF(checklistPesertaKemenkeu!$AY$6:$AY$1005="Direkomendasikan",ROW($6:$1005)-5),733)+5)&amp;":O"&amp;(SMALL(IF(checklistPesertaKemenkeu!$AY$6:$AY$1005="Direkomendasikan",ROW($6:$1005)-5),733)+5)),INDEX(checklistPesertaKemenkeu!$O$6:$O$1005,SMALL(IF(checklistPesertaKemenkeu!$AY$6:$AY$1005="Direkomendasikan",ROW($6:$1005)-5),733)))=1),IFERROR(VLOOKUP(INDEX(checklistPesertaKemenkeu!$O$6:$O$1005,SMALL(IF(checklistPesertaKemenkeu!$AY$6:$AY$1005="Direkomendasikan",ROW($6:$1005)-5),733)),KotaKode,2,0),"-"),"")),"")</f>
        <v/>
      </c>
      <c r="L734" t="str">
        <f t="array" aca="1" ref="L734" ca="1">IFERROR(IF(OR(INDEX(checklistPesertaKemenkeu!$P$6:$P$1005,SMALL(IF(checklistPesertaKemenkeu!$AY$6:$AY$1005="Direkomendasikan",ROW($6:$1005)-5),733))="",INDEX(checklistPesertaKemenkeu!$J$6:$J$1005,SMALL(IF(checklistPesertaKemenkeu!$AY$6:$AY$1005="Direkomendasikan",ROW($6:$1005)-5),733))=""),"",IF(AND(COUNTIF(INDIRECT("K_"&amp;MATCH(INDEX(checklistPesertaKemenkeu!$J$6:$J$1005,SMALL(IF(checklistPesertaKemenkeu!$AY$6:$AY$1005="Direkomendasikan",ROW($6:$1005)-5),733)),BidangList,0)),INDEX(checklistPesertaKemenkeu!$P$6:$P$1005,SMALL(IF(checklistPesertaKemenkeu!$AY$6:$AY$1005="Direkomendasikan",ROW($6:$1005)-5),733)))&gt;0,COUNTIF(INDIRECT("'KERTAS KERJA'!K"&amp;(SMALL(IF(checklistPesertaKemenkeu!$AY$6:$AY$1005="Direkomendasikan",ROW($6:$1005)-5),733)+5)&amp;":O"&amp;(SMALL(IF(checklistPesertaKemenkeu!$AY$6:$AY$1005="Direkomendasikan",ROW($6:$1005)-5),733)+5)),INDEX(checklistPesertaKemenkeu!$P$6:$P$1005,SMALL(IF(checklistPesertaKemenkeu!$AY$6:$AY$1005="Direkomendasikan",ROW($6:$1005)-5),733)))=1),IFERROR(VLOOKUP(INDEX(checklistPesertaKemenkeu!$P$6:$P$1005,SMALL(IF(checklistPesertaKemenkeu!$AY$6:$AY$1005="Direkomendasikan",ROW($6:$1005)-5),733)),KotaKode,2,0),"-"),"")),"")</f>
        <v/>
      </c>
    </row>
    <row r="735" spans="1:12" ht="15" customHeight="1" x14ac:dyDescent="0.2">
      <c r="A735" t="str">
        <f t="shared" si="11"/>
        <v/>
      </c>
      <c r="B735" t="str">
        <v/>
      </c>
      <c r="C735" s="40" t="str">
        <f t="array" ref="C735">IFERROR(INDEX(checklistPesertaKemenkeu!$F$6:$F$1005,SMALL(IF(checklistPesertaKemenkeu!$AY$6:$AY$1005="Direkomendasikan",ROW($6:$1005)-5),734)),"")</f>
        <v/>
      </c>
      <c r="D735" t="str">
        <f t="array" ref="D735">IFERROR(INDEX(checklistPesertaKemenkeu!$G$6:$G$1005,SMALL(IF(checklistPesertaKemenkeu!$AY$6:$AY$1005="Direkomendasikan",ROW($6:$1005)-5),734)),"")</f>
        <v/>
      </c>
      <c r="E735" t="str">
        <f t="array" ref="E735">IFERROR(INDEX(checklistPesertaKemenkeu!$H$6:$H$1005,SMALL(IF(checklistPesertaKemenkeu!$AY$6:$AY$1005="Direkomendasikan",ROW($6:$1005)-5),734)),"")</f>
        <v/>
      </c>
      <c r="F735" t="str">
        <f t="array" ref="F735">IFERROR(INDEX(checklistPesertaKemenkeu!$I$6:$I$1005,SMALL(IF(checklistPesertaKemenkeu!$AY$6:$AY$1005="Direkomendasikan",ROW($6:$1005)-5),734)),"")</f>
        <v/>
      </c>
      <c r="G735" t="str">
        <f t="array" ref="G735">IFERROR(INDEX(checklistPesertaKemenkeu!$J$6:$J$1005,SMALL(IF(checklistPesertaKemenkeu!$AY$6:$AY$1005="Direkomendasikan",ROW($6:$1005)-5),734)),"")</f>
        <v/>
      </c>
      <c r="H735" t="str">
        <f t="array" aca="1" ref="H735" ca="1">IFERROR(IF(OR(INDEX(checklistPesertaKemenkeu!$L$6:$L$1005,SMALL(IF(checklistPesertaKemenkeu!$AY$6:$AY$1005="Direkomendasikan",ROW($6:$1005)-5),734))="",INDEX(checklistPesertaKemenkeu!$J$6:$J$1005,SMALL(IF(checklistPesertaKemenkeu!$AY$6:$AY$1005="Direkomendasikan",ROW($6:$1005)-5),734))=""),"",IF(AND(COUNTIF(INDIRECT("K_"&amp;MATCH(INDEX(checklistPesertaKemenkeu!$J$6:$J$1005,SMALL(IF(checklistPesertaKemenkeu!$AY$6:$AY$1005="Direkomendasikan",ROW($6:$1005)-5),734)),BidangList,0)),INDEX(checklistPesertaKemenkeu!$L$6:$L$1005,SMALL(IF(checklistPesertaKemenkeu!$AY$6:$AY$1005="Direkomendasikan",ROW($6:$1005)-5),734)))&gt;0,COUNTIF(INDIRECT("'KERTAS KERJA'!K"&amp;(SMALL(IF(checklistPesertaKemenkeu!$AY$6:$AY$1005="Direkomendasikan",ROW($6:$1005)-5),734)+5)&amp;":O"&amp;(SMALL(IF(checklistPesertaKemenkeu!$AY$6:$AY$1005="Direkomendasikan",ROW($6:$1005)-5),734)+5)),INDEX(checklistPesertaKemenkeu!$L$6:$L$1005,SMALL(IF(checklistPesertaKemenkeu!$AY$6:$AY$1005="Direkomendasikan",ROW($6:$1005)-5),734)))=1),IFERROR(VLOOKUP(INDEX(checklistPesertaKemenkeu!$L$6:$L$1005,SMALL(IF(checklistPesertaKemenkeu!$AY$6:$AY$1005="Direkomendasikan",ROW($6:$1005)-5),734)),KotaKode,2,0),"-"),"")),"")</f>
        <v/>
      </c>
      <c r="I735" t="str">
        <f t="array" aca="1" ref="I735" ca="1">IFERROR(IF(OR(INDEX(checklistPesertaKemenkeu!$M$6:$M$1005,SMALL(IF(checklistPesertaKemenkeu!$AY$6:$AY$1005="Direkomendasikan",ROW($6:$1005)-5),734))="",INDEX(checklistPesertaKemenkeu!$J$6:$J$1005,SMALL(IF(checklistPesertaKemenkeu!$AY$6:$AY$1005="Direkomendasikan",ROW($6:$1005)-5),734))=""),"",IF(AND(COUNTIF(INDIRECT("K_"&amp;MATCH(INDEX(checklistPesertaKemenkeu!$J$6:$J$1005,SMALL(IF(checklistPesertaKemenkeu!$AY$6:$AY$1005="Direkomendasikan",ROW($6:$1005)-5),734)),BidangList,0)),INDEX(checklistPesertaKemenkeu!$M$6:$M$1005,SMALL(IF(checklistPesertaKemenkeu!$AY$6:$AY$1005="Direkomendasikan",ROW($6:$1005)-5),734)))&gt;0,COUNTIF(INDIRECT("'KERTAS KERJA'!K"&amp;(SMALL(IF(checklistPesertaKemenkeu!$AY$6:$AY$1005="Direkomendasikan",ROW($6:$1005)-5),734)+5)&amp;":O"&amp;(SMALL(IF(checklistPesertaKemenkeu!$AY$6:$AY$1005="Direkomendasikan",ROW($6:$1005)-5),734)+5)),INDEX(checklistPesertaKemenkeu!$M$6:$M$1005,SMALL(IF(checklistPesertaKemenkeu!$AY$6:$AY$1005="Direkomendasikan",ROW($6:$1005)-5),734)))=1),IFERROR(VLOOKUP(INDEX(checklistPesertaKemenkeu!$M$6:$M$1005,SMALL(IF(checklistPesertaKemenkeu!$AY$6:$AY$1005="Direkomendasikan",ROW($6:$1005)-5),734)),KotaKode,2,0),"-"),"")),"")</f>
        <v/>
      </c>
      <c r="J735" t="str">
        <f t="array" aca="1" ref="J735" ca="1">IFERROR(IF(OR(INDEX(checklistPesertaKemenkeu!$N$6:$N$1005,SMALL(IF(checklistPesertaKemenkeu!$AY$6:$AY$1005="Direkomendasikan",ROW($6:$1005)-5),734))="",INDEX(checklistPesertaKemenkeu!$J$6:$J$1005,SMALL(IF(checklistPesertaKemenkeu!$AY$6:$AY$1005="Direkomendasikan",ROW($6:$1005)-5),734))=""),"",IF(AND(COUNTIF(INDIRECT("K_"&amp;MATCH(INDEX(checklistPesertaKemenkeu!$J$6:$J$1005,SMALL(IF(checklistPesertaKemenkeu!$AY$6:$AY$1005="Direkomendasikan",ROW($6:$1005)-5),734)),BidangList,0)),INDEX(checklistPesertaKemenkeu!$N$6:$N$1005,SMALL(IF(checklistPesertaKemenkeu!$AY$6:$AY$1005="Direkomendasikan",ROW($6:$1005)-5),734)))&gt;0,COUNTIF(INDIRECT("'KERTAS KERJA'!K"&amp;(SMALL(IF(checklistPesertaKemenkeu!$AY$6:$AY$1005="Direkomendasikan",ROW($6:$1005)-5),734)+5)&amp;":O"&amp;(SMALL(IF(checklistPesertaKemenkeu!$AY$6:$AY$1005="Direkomendasikan",ROW($6:$1005)-5),734)+5)),INDEX(checklistPesertaKemenkeu!$N$6:$N$1005,SMALL(IF(checklistPesertaKemenkeu!$AY$6:$AY$1005="Direkomendasikan",ROW($6:$1005)-5),734)))=1),IFERROR(VLOOKUP(INDEX(checklistPesertaKemenkeu!$N$6:$N$1005,SMALL(IF(checklistPesertaKemenkeu!$AY$6:$AY$1005="Direkomendasikan",ROW($6:$1005)-5),734)),KotaKode,2,0),"-"),"")),"")</f>
        <v/>
      </c>
      <c r="K735" t="str">
        <f t="array" aca="1" ref="K735" ca="1">IFERROR(IF(OR(INDEX(checklistPesertaKemenkeu!$O$6:$O$1005,SMALL(IF(checklistPesertaKemenkeu!$AY$6:$AY$1005="Direkomendasikan",ROW($6:$1005)-5),734))="",INDEX(checklistPesertaKemenkeu!$J$6:$J$1005,SMALL(IF(checklistPesertaKemenkeu!$AY$6:$AY$1005="Direkomendasikan",ROW($6:$1005)-5),734))=""),"",IF(AND(COUNTIF(INDIRECT("K_"&amp;MATCH(INDEX(checklistPesertaKemenkeu!$J$6:$J$1005,SMALL(IF(checklistPesertaKemenkeu!$AY$6:$AY$1005="Direkomendasikan",ROW($6:$1005)-5),734)),BidangList,0)),INDEX(checklistPesertaKemenkeu!$O$6:$O$1005,SMALL(IF(checklistPesertaKemenkeu!$AY$6:$AY$1005="Direkomendasikan",ROW($6:$1005)-5),734)))&gt;0,COUNTIF(INDIRECT("'KERTAS KERJA'!K"&amp;(SMALL(IF(checklistPesertaKemenkeu!$AY$6:$AY$1005="Direkomendasikan",ROW($6:$1005)-5),734)+5)&amp;":O"&amp;(SMALL(IF(checklistPesertaKemenkeu!$AY$6:$AY$1005="Direkomendasikan",ROW($6:$1005)-5),734)+5)),INDEX(checklistPesertaKemenkeu!$O$6:$O$1005,SMALL(IF(checklistPesertaKemenkeu!$AY$6:$AY$1005="Direkomendasikan",ROW($6:$1005)-5),734)))=1),IFERROR(VLOOKUP(INDEX(checklistPesertaKemenkeu!$O$6:$O$1005,SMALL(IF(checklistPesertaKemenkeu!$AY$6:$AY$1005="Direkomendasikan",ROW($6:$1005)-5),734)),KotaKode,2,0),"-"),"")),"")</f>
        <v/>
      </c>
      <c r="L735" t="str">
        <f t="array" aca="1" ref="L735" ca="1">IFERROR(IF(OR(INDEX(checklistPesertaKemenkeu!$P$6:$P$1005,SMALL(IF(checklistPesertaKemenkeu!$AY$6:$AY$1005="Direkomendasikan",ROW($6:$1005)-5),734))="",INDEX(checklistPesertaKemenkeu!$J$6:$J$1005,SMALL(IF(checklistPesertaKemenkeu!$AY$6:$AY$1005="Direkomendasikan",ROW($6:$1005)-5),734))=""),"",IF(AND(COUNTIF(INDIRECT("K_"&amp;MATCH(INDEX(checklistPesertaKemenkeu!$J$6:$J$1005,SMALL(IF(checklistPesertaKemenkeu!$AY$6:$AY$1005="Direkomendasikan",ROW($6:$1005)-5),734)),BidangList,0)),INDEX(checklistPesertaKemenkeu!$P$6:$P$1005,SMALL(IF(checklistPesertaKemenkeu!$AY$6:$AY$1005="Direkomendasikan",ROW($6:$1005)-5),734)))&gt;0,COUNTIF(INDIRECT("'KERTAS KERJA'!K"&amp;(SMALL(IF(checklistPesertaKemenkeu!$AY$6:$AY$1005="Direkomendasikan",ROW($6:$1005)-5),734)+5)&amp;":O"&amp;(SMALL(IF(checklistPesertaKemenkeu!$AY$6:$AY$1005="Direkomendasikan",ROW($6:$1005)-5),734)+5)),INDEX(checklistPesertaKemenkeu!$P$6:$P$1005,SMALL(IF(checklistPesertaKemenkeu!$AY$6:$AY$1005="Direkomendasikan",ROW($6:$1005)-5),734)))=1),IFERROR(VLOOKUP(INDEX(checklistPesertaKemenkeu!$P$6:$P$1005,SMALL(IF(checklistPesertaKemenkeu!$AY$6:$AY$1005="Direkomendasikan",ROW($6:$1005)-5),734)),KotaKode,2,0),"-"),"")),"")</f>
        <v/>
      </c>
    </row>
    <row r="736" spans="1:12" ht="15" customHeight="1" x14ac:dyDescent="0.2">
      <c r="A736" t="str">
        <f t="shared" si="11"/>
        <v/>
      </c>
      <c r="B736" t="str">
        <v/>
      </c>
      <c r="C736" s="40" t="str">
        <f t="array" ref="C736">IFERROR(INDEX(checklistPesertaKemenkeu!$F$6:$F$1005,SMALL(IF(checklistPesertaKemenkeu!$AY$6:$AY$1005="Direkomendasikan",ROW($6:$1005)-5),735)),"")</f>
        <v/>
      </c>
      <c r="D736" t="str">
        <f t="array" ref="D736">IFERROR(INDEX(checklistPesertaKemenkeu!$G$6:$G$1005,SMALL(IF(checklistPesertaKemenkeu!$AY$6:$AY$1005="Direkomendasikan",ROW($6:$1005)-5),735)),"")</f>
        <v/>
      </c>
      <c r="E736" t="str">
        <f t="array" ref="E736">IFERROR(INDEX(checklistPesertaKemenkeu!$H$6:$H$1005,SMALL(IF(checklistPesertaKemenkeu!$AY$6:$AY$1005="Direkomendasikan",ROW($6:$1005)-5),735)),"")</f>
        <v/>
      </c>
      <c r="F736" t="str">
        <f t="array" ref="F736">IFERROR(INDEX(checklistPesertaKemenkeu!$I$6:$I$1005,SMALL(IF(checklistPesertaKemenkeu!$AY$6:$AY$1005="Direkomendasikan",ROW($6:$1005)-5),735)),"")</f>
        <v/>
      </c>
      <c r="G736" t="str">
        <f t="array" ref="G736">IFERROR(INDEX(checklistPesertaKemenkeu!$J$6:$J$1005,SMALL(IF(checklistPesertaKemenkeu!$AY$6:$AY$1005="Direkomendasikan",ROW($6:$1005)-5),735)),"")</f>
        <v/>
      </c>
      <c r="H736" t="str">
        <f t="array" aca="1" ref="H736" ca="1">IFERROR(IF(OR(INDEX(checklistPesertaKemenkeu!$L$6:$L$1005,SMALL(IF(checklistPesertaKemenkeu!$AY$6:$AY$1005="Direkomendasikan",ROW($6:$1005)-5),735))="",INDEX(checklistPesertaKemenkeu!$J$6:$J$1005,SMALL(IF(checklistPesertaKemenkeu!$AY$6:$AY$1005="Direkomendasikan",ROW($6:$1005)-5),735))=""),"",IF(AND(COUNTIF(INDIRECT("K_"&amp;MATCH(INDEX(checklistPesertaKemenkeu!$J$6:$J$1005,SMALL(IF(checklistPesertaKemenkeu!$AY$6:$AY$1005="Direkomendasikan",ROW($6:$1005)-5),735)),BidangList,0)),INDEX(checklistPesertaKemenkeu!$L$6:$L$1005,SMALL(IF(checklistPesertaKemenkeu!$AY$6:$AY$1005="Direkomendasikan",ROW($6:$1005)-5),735)))&gt;0,COUNTIF(INDIRECT("'KERTAS KERJA'!K"&amp;(SMALL(IF(checklistPesertaKemenkeu!$AY$6:$AY$1005="Direkomendasikan",ROW($6:$1005)-5),735)+5)&amp;":O"&amp;(SMALL(IF(checklistPesertaKemenkeu!$AY$6:$AY$1005="Direkomendasikan",ROW($6:$1005)-5),735)+5)),INDEX(checklistPesertaKemenkeu!$L$6:$L$1005,SMALL(IF(checklistPesertaKemenkeu!$AY$6:$AY$1005="Direkomendasikan",ROW($6:$1005)-5),735)))=1),IFERROR(VLOOKUP(INDEX(checklistPesertaKemenkeu!$L$6:$L$1005,SMALL(IF(checklistPesertaKemenkeu!$AY$6:$AY$1005="Direkomendasikan",ROW($6:$1005)-5),735)),KotaKode,2,0),"-"),"")),"")</f>
        <v/>
      </c>
      <c r="I736" t="str">
        <f t="array" aca="1" ref="I736" ca="1">IFERROR(IF(OR(INDEX(checklistPesertaKemenkeu!$M$6:$M$1005,SMALL(IF(checklistPesertaKemenkeu!$AY$6:$AY$1005="Direkomendasikan",ROW($6:$1005)-5),735))="",INDEX(checklistPesertaKemenkeu!$J$6:$J$1005,SMALL(IF(checklistPesertaKemenkeu!$AY$6:$AY$1005="Direkomendasikan",ROW($6:$1005)-5),735))=""),"",IF(AND(COUNTIF(INDIRECT("K_"&amp;MATCH(INDEX(checklistPesertaKemenkeu!$J$6:$J$1005,SMALL(IF(checklistPesertaKemenkeu!$AY$6:$AY$1005="Direkomendasikan",ROW($6:$1005)-5),735)),BidangList,0)),INDEX(checklistPesertaKemenkeu!$M$6:$M$1005,SMALL(IF(checklistPesertaKemenkeu!$AY$6:$AY$1005="Direkomendasikan",ROW($6:$1005)-5),735)))&gt;0,COUNTIF(INDIRECT("'KERTAS KERJA'!K"&amp;(SMALL(IF(checklistPesertaKemenkeu!$AY$6:$AY$1005="Direkomendasikan",ROW($6:$1005)-5),735)+5)&amp;":O"&amp;(SMALL(IF(checklistPesertaKemenkeu!$AY$6:$AY$1005="Direkomendasikan",ROW($6:$1005)-5),735)+5)),INDEX(checklistPesertaKemenkeu!$M$6:$M$1005,SMALL(IF(checklistPesertaKemenkeu!$AY$6:$AY$1005="Direkomendasikan",ROW($6:$1005)-5),735)))=1),IFERROR(VLOOKUP(INDEX(checklistPesertaKemenkeu!$M$6:$M$1005,SMALL(IF(checklistPesertaKemenkeu!$AY$6:$AY$1005="Direkomendasikan",ROW($6:$1005)-5),735)),KotaKode,2,0),"-"),"")),"")</f>
        <v/>
      </c>
      <c r="J736" t="str">
        <f t="array" aca="1" ref="J736" ca="1">IFERROR(IF(OR(INDEX(checklistPesertaKemenkeu!$N$6:$N$1005,SMALL(IF(checklistPesertaKemenkeu!$AY$6:$AY$1005="Direkomendasikan",ROW($6:$1005)-5),735))="",INDEX(checklistPesertaKemenkeu!$J$6:$J$1005,SMALL(IF(checklistPesertaKemenkeu!$AY$6:$AY$1005="Direkomendasikan",ROW($6:$1005)-5),735))=""),"",IF(AND(COUNTIF(INDIRECT("K_"&amp;MATCH(INDEX(checklistPesertaKemenkeu!$J$6:$J$1005,SMALL(IF(checklistPesertaKemenkeu!$AY$6:$AY$1005="Direkomendasikan",ROW($6:$1005)-5),735)),BidangList,0)),INDEX(checklistPesertaKemenkeu!$N$6:$N$1005,SMALL(IF(checklistPesertaKemenkeu!$AY$6:$AY$1005="Direkomendasikan",ROW($6:$1005)-5),735)))&gt;0,COUNTIF(INDIRECT("'KERTAS KERJA'!K"&amp;(SMALL(IF(checklistPesertaKemenkeu!$AY$6:$AY$1005="Direkomendasikan",ROW($6:$1005)-5),735)+5)&amp;":O"&amp;(SMALL(IF(checklistPesertaKemenkeu!$AY$6:$AY$1005="Direkomendasikan",ROW($6:$1005)-5),735)+5)),INDEX(checklistPesertaKemenkeu!$N$6:$N$1005,SMALL(IF(checklistPesertaKemenkeu!$AY$6:$AY$1005="Direkomendasikan",ROW($6:$1005)-5),735)))=1),IFERROR(VLOOKUP(INDEX(checklistPesertaKemenkeu!$N$6:$N$1005,SMALL(IF(checklistPesertaKemenkeu!$AY$6:$AY$1005="Direkomendasikan",ROW($6:$1005)-5),735)),KotaKode,2,0),"-"),"")),"")</f>
        <v/>
      </c>
      <c r="K736" t="str">
        <f t="array" aca="1" ref="K736" ca="1">IFERROR(IF(OR(INDEX(checklistPesertaKemenkeu!$O$6:$O$1005,SMALL(IF(checklistPesertaKemenkeu!$AY$6:$AY$1005="Direkomendasikan",ROW($6:$1005)-5),735))="",INDEX(checklistPesertaKemenkeu!$J$6:$J$1005,SMALL(IF(checklistPesertaKemenkeu!$AY$6:$AY$1005="Direkomendasikan",ROW($6:$1005)-5),735))=""),"",IF(AND(COUNTIF(INDIRECT("K_"&amp;MATCH(INDEX(checklistPesertaKemenkeu!$J$6:$J$1005,SMALL(IF(checklistPesertaKemenkeu!$AY$6:$AY$1005="Direkomendasikan",ROW($6:$1005)-5),735)),BidangList,0)),INDEX(checklistPesertaKemenkeu!$O$6:$O$1005,SMALL(IF(checklistPesertaKemenkeu!$AY$6:$AY$1005="Direkomendasikan",ROW($6:$1005)-5),735)))&gt;0,COUNTIF(INDIRECT("'KERTAS KERJA'!K"&amp;(SMALL(IF(checklistPesertaKemenkeu!$AY$6:$AY$1005="Direkomendasikan",ROW($6:$1005)-5),735)+5)&amp;":O"&amp;(SMALL(IF(checklistPesertaKemenkeu!$AY$6:$AY$1005="Direkomendasikan",ROW($6:$1005)-5),735)+5)),INDEX(checklistPesertaKemenkeu!$O$6:$O$1005,SMALL(IF(checklistPesertaKemenkeu!$AY$6:$AY$1005="Direkomendasikan",ROW($6:$1005)-5),735)))=1),IFERROR(VLOOKUP(INDEX(checklistPesertaKemenkeu!$O$6:$O$1005,SMALL(IF(checklistPesertaKemenkeu!$AY$6:$AY$1005="Direkomendasikan",ROW($6:$1005)-5),735)),KotaKode,2,0),"-"),"")),"")</f>
        <v/>
      </c>
      <c r="L736" t="str">
        <f t="array" aca="1" ref="L736" ca="1">IFERROR(IF(OR(INDEX(checklistPesertaKemenkeu!$P$6:$P$1005,SMALL(IF(checklistPesertaKemenkeu!$AY$6:$AY$1005="Direkomendasikan",ROW($6:$1005)-5),735))="",INDEX(checklistPesertaKemenkeu!$J$6:$J$1005,SMALL(IF(checklistPesertaKemenkeu!$AY$6:$AY$1005="Direkomendasikan",ROW($6:$1005)-5),735))=""),"",IF(AND(COUNTIF(INDIRECT("K_"&amp;MATCH(INDEX(checklistPesertaKemenkeu!$J$6:$J$1005,SMALL(IF(checklistPesertaKemenkeu!$AY$6:$AY$1005="Direkomendasikan",ROW($6:$1005)-5),735)),BidangList,0)),INDEX(checklistPesertaKemenkeu!$P$6:$P$1005,SMALL(IF(checklistPesertaKemenkeu!$AY$6:$AY$1005="Direkomendasikan",ROW($6:$1005)-5),735)))&gt;0,COUNTIF(INDIRECT("'KERTAS KERJA'!K"&amp;(SMALL(IF(checklistPesertaKemenkeu!$AY$6:$AY$1005="Direkomendasikan",ROW($6:$1005)-5),735)+5)&amp;":O"&amp;(SMALL(IF(checklistPesertaKemenkeu!$AY$6:$AY$1005="Direkomendasikan",ROW($6:$1005)-5),735)+5)),INDEX(checklistPesertaKemenkeu!$P$6:$P$1005,SMALL(IF(checklistPesertaKemenkeu!$AY$6:$AY$1005="Direkomendasikan",ROW($6:$1005)-5),735)))=1),IFERROR(VLOOKUP(INDEX(checklistPesertaKemenkeu!$P$6:$P$1005,SMALL(IF(checklistPesertaKemenkeu!$AY$6:$AY$1005="Direkomendasikan",ROW($6:$1005)-5),735)),KotaKode,2,0),"-"),"")),"")</f>
        <v/>
      </c>
    </row>
    <row r="737" spans="1:12" ht="15" customHeight="1" x14ac:dyDescent="0.2">
      <c r="A737" t="str">
        <f t="shared" si="11"/>
        <v/>
      </c>
      <c r="B737" t="str">
        <v/>
      </c>
      <c r="C737" s="40" t="str">
        <f t="array" ref="C737">IFERROR(INDEX(checklistPesertaKemenkeu!$F$6:$F$1005,SMALL(IF(checklistPesertaKemenkeu!$AY$6:$AY$1005="Direkomendasikan",ROW($6:$1005)-5),736)),"")</f>
        <v/>
      </c>
      <c r="D737" t="str">
        <f t="array" ref="D737">IFERROR(INDEX(checklistPesertaKemenkeu!$G$6:$G$1005,SMALL(IF(checklistPesertaKemenkeu!$AY$6:$AY$1005="Direkomendasikan",ROW($6:$1005)-5),736)),"")</f>
        <v/>
      </c>
      <c r="E737" t="str">
        <f t="array" ref="E737">IFERROR(INDEX(checklistPesertaKemenkeu!$H$6:$H$1005,SMALL(IF(checklistPesertaKemenkeu!$AY$6:$AY$1005="Direkomendasikan",ROW($6:$1005)-5),736)),"")</f>
        <v/>
      </c>
      <c r="F737" t="str">
        <f t="array" ref="F737">IFERROR(INDEX(checklistPesertaKemenkeu!$I$6:$I$1005,SMALL(IF(checklistPesertaKemenkeu!$AY$6:$AY$1005="Direkomendasikan",ROW($6:$1005)-5),736)),"")</f>
        <v/>
      </c>
      <c r="G737" t="str">
        <f t="array" ref="G737">IFERROR(INDEX(checklistPesertaKemenkeu!$J$6:$J$1005,SMALL(IF(checklistPesertaKemenkeu!$AY$6:$AY$1005="Direkomendasikan",ROW($6:$1005)-5),736)),"")</f>
        <v/>
      </c>
      <c r="H737" t="str">
        <f t="array" aca="1" ref="H737" ca="1">IFERROR(IF(OR(INDEX(checklistPesertaKemenkeu!$L$6:$L$1005,SMALL(IF(checklistPesertaKemenkeu!$AY$6:$AY$1005="Direkomendasikan",ROW($6:$1005)-5),736))="",INDEX(checklistPesertaKemenkeu!$J$6:$J$1005,SMALL(IF(checklistPesertaKemenkeu!$AY$6:$AY$1005="Direkomendasikan",ROW($6:$1005)-5),736))=""),"",IF(AND(COUNTIF(INDIRECT("K_"&amp;MATCH(INDEX(checklistPesertaKemenkeu!$J$6:$J$1005,SMALL(IF(checklistPesertaKemenkeu!$AY$6:$AY$1005="Direkomendasikan",ROW($6:$1005)-5),736)),BidangList,0)),INDEX(checklistPesertaKemenkeu!$L$6:$L$1005,SMALL(IF(checklistPesertaKemenkeu!$AY$6:$AY$1005="Direkomendasikan",ROW($6:$1005)-5),736)))&gt;0,COUNTIF(INDIRECT("'KERTAS KERJA'!K"&amp;(SMALL(IF(checklistPesertaKemenkeu!$AY$6:$AY$1005="Direkomendasikan",ROW($6:$1005)-5),736)+5)&amp;":O"&amp;(SMALL(IF(checklistPesertaKemenkeu!$AY$6:$AY$1005="Direkomendasikan",ROW($6:$1005)-5),736)+5)),INDEX(checklistPesertaKemenkeu!$L$6:$L$1005,SMALL(IF(checklistPesertaKemenkeu!$AY$6:$AY$1005="Direkomendasikan",ROW($6:$1005)-5),736)))=1),IFERROR(VLOOKUP(INDEX(checklistPesertaKemenkeu!$L$6:$L$1005,SMALL(IF(checklistPesertaKemenkeu!$AY$6:$AY$1005="Direkomendasikan",ROW($6:$1005)-5),736)),KotaKode,2,0),"-"),"")),"")</f>
        <v/>
      </c>
      <c r="I737" t="str">
        <f t="array" aca="1" ref="I737" ca="1">IFERROR(IF(OR(INDEX(checklistPesertaKemenkeu!$M$6:$M$1005,SMALL(IF(checklistPesertaKemenkeu!$AY$6:$AY$1005="Direkomendasikan",ROW($6:$1005)-5),736))="",INDEX(checklistPesertaKemenkeu!$J$6:$J$1005,SMALL(IF(checklistPesertaKemenkeu!$AY$6:$AY$1005="Direkomendasikan",ROW($6:$1005)-5),736))=""),"",IF(AND(COUNTIF(INDIRECT("K_"&amp;MATCH(INDEX(checklistPesertaKemenkeu!$J$6:$J$1005,SMALL(IF(checklistPesertaKemenkeu!$AY$6:$AY$1005="Direkomendasikan",ROW($6:$1005)-5),736)),BidangList,0)),INDEX(checklistPesertaKemenkeu!$M$6:$M$1005,SMALL(IF(checklistPesertaKemenkeu!$AY$6:$AY$1005="Direkomendasikan",ROW($6:$1005)-5),736)))&gt;0,COUNTIF(INDIRECT("'KERTAS KERJA'!K"&amp;(SMALL(IF(checklistPesertaKemenkeu!$AY$6:$AY$1005="Direkomendasikan",ROW($6:$1005)-5),736)+5)&amp;":O"&amp;(SMALL(IF(checklistPesertaKemenkeu!$AY$6:$AY$1005="Direkomendasikan",ROW($6:$1005)-5),736)+5)),INDEX(checklistPesertaKemenkeu!$M$6:$M$1005,SMALL(IF(checklistPesertaKemenkeu!$AY$6:$AY$1005="Direkomendasikan",ROW($6:$1005)-5),736)))=1),IFERROR(VLOOKUP(INDEX(checklistPesertaKemenkeu!$M$6:$M$1005,SMALL(IF(checklistPesertaKemenkeu!$AY$6:$AY$1005="Direkomendasikan",ROW($6:$1005)-5),736)),KotaKode,2,0),"-"),"")),"")</f>
        <v/>
      </c>
      <c r="J737" t="str">
        <f t="array" aca="1" ref="J737" ca="1">IFERROR(IF(OR(INDEX(checklistPesertaKemenkeu!$N$6:$N$1005,SMALL(IF(checklistPesertaKemenkeu!$AY$6:$AY$1005="Direkomendasikan",ROW($6:$1005)-5),736))="",INDEX(checklistPesertaKemenkeu!$J$6:$J$1005,SMALL(IF(checklistPesertaKemenkeu!$AY$6:$AY$1005="Direkomendasikan",ROW($6:$1005)-5),736))=""),"",IF(AND(COUNTIF(INDIRECT("K_"&amp;MATCH(INDEX(checklistPesertaKemenkeu!$J$6:$J$1005,SMALL(IF(checklistPesertaKemenkeu!$AY$6:$AY$1005="Direkomendasikan",ROW($6:$1005)-5),736)),BidangList,0)),INDEX(checklistPesertaKemenkeu!$N$6:$N$1005,SMALL(IF(checklistPesertaKemenkeu!$AY$6:$AY$1005="Direkomendasikan",ROW($6:$1005)-5),736)))&gt;0,COUNTIF(INDIRECT("'KERTAS KERJA'!K"&amp;(SMALL(IF(checklistPesertaKemenkeu!$AY$6:$AY$1005="Direkomendasikan",ROW($6:$1005)-5),736)+5)&amp;":O"&amp;(SMALL(IF(checklistPesertaKemenkeu!$AY$6:$AY$1005="Direkomendasikan",ROW($6:$1005)-5),736)+5)),INDEX(checklistPesertaKemenkeu!$N$6:$N$1005,SMALL(IF(checklistPesertaKemenkeu!$AY$6:$AY$1005="Direkomendasikan",ROW($6:$1005)-5),736)))=1),IFERROR(VLOOKUP(INDEX(checklistPesertaKemenkeu!$N$6:$N$1005,SMALL(IF(checklistPesertaKemenkeu!$AY$6:$AY$1005="Direkomendasikan",ROW($6:$1005)-5),736)),KotaKode,2,0),"-"),"")),"")</f>
        <v/>
      </c>
      <c r="K737" t="str">
        <f t="array" aca="1" ref="K737" ca="1">IFERROR(IF(OR(INDEX(checklistPesertaKemenkeu!$O$6:$O$1005,SMALL(IF(checklistPesertaKemenkeu!$AY$6:$AY$1005="Direkomendasikan",ROW($6:$1005)-5),736))="",INDEX(checklistPesertaKemenkeu!$J$6:$J$1005,SMALL(IF(checklistPesertaKemenkeu!$AY$6:$AY$1005="Direkomendasikan",ROW($6:$1005)-5),736))=""),"",IF(AND(COUNTIF(INDIRECT("K_"&amp;MATCH(INDEX(checklistPesertaKemenkeu!$J$6:$J$1005,SMALL(IF(checklistPesertaKemenkeu!$AY$6:$AY$1005="Direkomendasikan",ROW($6:$1005)-5),736)),BidangList,0)),INDEX(checklistPesertaKemenkeu!$O$6:$O$1005,SMALL(IF(checklistPesertaKemenkeu!$AY$6:$AY$1005="Direkomendasikan",ROW($6:$1005)-5),736)))&gt;0,COUNTIF(INDIRECT("'KERTAS KERJA'!K"&amp;(SMALL(IF(checklistPesertaKemenkeu!$AY$6:$AY$1005="Direkomendasikan",ROW($6:$1005)-5),736)+5)&amp;":O"&amp;(SMALL(IF(checklistPesertaKemenkeu!$AY$6:$AY$1005="Direkomendasikan",ROW($6:$1005)-5),736)+5)),INDEX(checklistPesertaKemenkeu!$O$6:$O$1005,SMALL(IF(checklistPesertaKemenkeu!$AY$6:$AY$1005="Direkomendasikan",ROW($6:$1005)-5),736)))=1),IFERROR(VLOOKUP(INDEX(checklistPesertaKemenkeu!$O$6:$O$1005,SMALL(IF(checklistPesertaKemenkeu!$AY$6:$AY$1005="Direkomendasikan",ROW($6:$1005)-5),736)),KotaKode,2,0),"-"),"")),"")</f>
        <v/>
      </c>
      <c r="L737" t="str">
        <f t="array" aca="1" ref="L737" ca="1">IFERROR(IF(OR(INDEX(checklistPesertaKemenkeu!$P$6:$P$1005,SMALL(IF(checklistPesertaKemenkeu!$AY$6:$AY$1005="Direkomendasikan",ROW($6:$1005)-5),736))="",INDEX(checklistPesertaKemenkeu!$J$6:$J$1005,SMALL(IF(checklistPesertaKemenkeu!$AY$6:$AY$1005="Direkomendasikan",ROW($6:$1005)-5),736))=""),"",IF(AND(COUNTIF(INDIRECT("K_"&amp;MATCH(INDEX(checklistPesertaKemenkeu!$J$6:$J$1005,SMALL(IF(checklistPesertaKemenkeu!$AY$6:$AY$1005="Direkomendasikan",ROW($6:$1005)-5),736)),BidangList,0)),INDEX(checklistPesertaKemenkeu!$P$6:$P$1005,SMALL(IF(checklistPesertaKemenkeu!$AY$6:$AY$1005="Direkomendasikan",ROW($6:$1005)-5),736)))&gt;0,COUNTIF(INDIRECT("'KERTAS KERJA'!K"&amp;(SMALL(IF(checklistPesertaKemenkeu!$AY$6:$AY$1005="Direkomendasikan",ROW($6:$1005)-5),736)+5)&amp;":O"&amp;(SMALL(IF(checklistPesertaKemenkeu!$AY$6:$AY$1005="Direkomendasikan",ROW($6:$1005)-5),736)+5)),INDEX(checklistPesertaKemenkeu!$P$6:$P$1005,SMALL(IF(checklistPesertaKemenkeu!$AY$6:$AY$1005="Direkomendasikan",ROW($6:$1005)-5),736)))=1),IFERROR(VLOOKUP(INDEX(checklistPesertaKemenkeu!$P$6:$P$1005,SMALL(IF(checklistPesertaKemenkeu!$AY$6:$AY$1005="Direkomendasikan",ROW($6:$1005)-5),736)),KotaKode,2,0),"-"),"")),"")</f>
        <v/>
      </c>
    </row>
    <row r="738" spans="1:12" ht="15" customHeight="1" x14ac:dyDescent="0.2">
      <c r="A738" t="str">
        <f t="shared" si="11"/>
        <v/>
      </c>
      <c r="B738" t="str">
        <v/>
      </c>
      <c r="C738" s="40" t="str">
        <f t="array" ref="C738">IFERROR(INDEX(checklistPesertaKemenkeu!$F$6:$F$1005,SMALL(IF(checklistPesertaKemenkeu!$AY$6:$AY$1005="Direkomendasikan",ROW($6:$1005)-5),737)),"")</f>
        <v/>
      </c>
      <c r="D738" t="str">
        <f t="array" ref="D738">IFERROR(INDEX(checklistPesertaKemenkeu!$G$6:$G$1005,SMALL(IF(checklistPesertaKemenkeu!$AY$6:$AY$1005="Direkomendasikan",ROW($6:$1005)-5),737)),"")</f>
        <v/>
      </c>
      <c r="E738" t="str">
        <f t="array" ref="E738">IFERROR(INDEX(checklistPesertaKemenkeu!$H$6:$H$1005,SMALL(IF(checklistPesertaKemenkeu!$AY$6:$AY$1005="Direkomendasikan",ROW($6:$1005)-5),737)),"")</f>
        <v/>
      </c>
      <c r="F738" t="str">
        <f t="array" ref="F738">IFERROR(INDEX(checklistPesertaKemenkeu!$I$6:$I$1005,SMALL(IF(checklistPesertaKemenkeu!$AY$6:$AY$1005="Direkomendasikan",ROW($6:$1005)-5),737)),"")</f>
        <v/>
      </c>
      <c r="G738" t="str">
        <f t="array" ref="G738">IFERROR(INDEX(checklistPesertaKemenkeu!$J$6:$J$1005,SMALL(IF(checklistPesertaKemenkeu!$AY$6:$AY$1005="Direkomendasikan",ROW($6:$1005)-5),737)),"")</f>
        <v/>
      </c>
      <c r="H738" t="str">
        <f t="array" aca="1" ref="H738" ca="1">IFERROR(IF(OR(INDEX(checklistPesertaKemenkeu!$L$6:$L$1005,SMALL(IF(checklistPesertaKemenkeu!$AY$6:$AY$1005="Direkomendasikan",ROW($6:$1005)-5),737))="",INDEX(checklistPesertaKemenkeu!$J$6:$J$1005,SMALL(IF(checklistPesertaKemenkeu!$AY$6:$AY$1005="Direkomendasikan",ROW($6:$1005)-5),737))=""),"",IF(AND(COUNTIF(INDIRECT("K_"&amp;MATCH(INDEX(checklistPesertaKemenkeu!$J$6:$J$1005,SMALL(IF(checklistPesertaKemenkeu!$AY$6:$AY$1005="Direkomendasikan",ROW($6:$1005)-5),737)),BidangList,0)),INDEX(checklistPesertaKemenkeu!$L$6:$L$1005,SMALL(IF(checklistPesertaKemenkeu!$AY$6:$AY$1005="Direkomendasikan",ROW($6:$1005)-5),737)))&gt;0,COUNTIF(INDIRECT("'KERTAS KERJA'!K"&amp;(SMALL(IF(checklistPesertaKemenkeu!$AY$6:$AY$1005="Direkomendasikan",ROW($6:$1005)-5),737)+5)&amp;":O"&amp;(SMALL(IF(checklistPesertaKemenkeu!$AY$6:$AY$1005="Direkomendasikan",ROW($6:$1005)-5),737)+5)),INDEX(checklistPesertaKemenkeu!$L$6:$L$1005,SMALL(IF(checklistPesertaKemenkeu!$AY$6:$AY$1005="Direkomendasikan",ROW($6:$1005)-5),737)))=1),IFERROR(VLOOKUP(INDEX(checklistPesertaKemenkeu!$L$6:$L$1005,SMALL(IF(checklistPesertaKemenkeu!$AY$6:$AY$1005="Direkomendasikan",ROW($6:$1005)-5),737)),KotaKode,2,0),"-"),"")),"")</f>
        <v/>
      </c>
      <c r="I738" t="str">
        <f t="array" aca="1" ref="I738" ca="1">IFERROR(IF(OR(INDEX(checklistPesertaKemenkeu!$M$6:$M$1005,SMALL(IF(checklistPesertaKemenkeu!$AY$6:$AY$1005="Direkomendasikan",ROW($6:$1005)-5),737))="",INDEX(checklistPesertaKemenkeu!$J$6:$J$1005,SMALL(IF(checklistPesertaKemenkeu!$AY$6:$AY$1005="Direkomendasikan",ROW($6:$1005)-5),737))=""),"",IF(AND(COUNTIF(INDIRECT("K_"&amp;MATCH(INDEX(checklistPesertaKemenkeu!$J$6:$J$1005,SMALL(IF(checklistPesertaKemenkeu!$AY$6:$AY$1005="Direkomendasikan",ROW($6:$1005)-5),737)),BidangList,0)),INDEX(checklistPesertaKemenkeu!$M$6:$M$1005,SMALL(IF(checklistPesertaKemenkeu!$AY$6:$AY$1005="Direkomendasikan",ROW($6:$1005)-5),737)))&gt;0,COUNTIF(INDIRECT("'KERTAS KERJA'!K"&amp;(SMALL(IF(checklistPesertaKemenkeu!$AY$6:$AY$1005="Direkomendasikan",ROW($6:$1005)-5),737)+5)&amp;":O"&amp;(SMALL(IF(checklistPesertaKemenkeu!$AY$6:$AY$1005="Direkomendasikan",ROW($6:$1005)-5),737)+5)),INDEX(checklistPesertaKemenkeu!$M$6:$M$1005,SMALL(IF(checklistPesertaKemenkeu!$AY$6:$AY$1005="Direkomendasikan",ROW($6:$1005)-5),737)))=1),IFERROR(VLOOKUP(INDEX(checklistPesertaKemenkeu!$M$6:$M$1005,SMALL(IF(checklistPesertaKemenkeu!$AY$6:$AY$1005="Direkomendasikan",ROW($6:$1005)-5),737)),KotaKode,2,0),"-"),"")),"")</f>
        <v/>
      </c>
      <c r="J738" t="str">
        <f t="array" aca="1" ref="J738" ca="1">IFERROR(IF(OR(INDEX(checklistPesertaKemenkeu!$N$6:$N$1005,SMALL(IF(checklistPesertaKemenkeu!$AY$6:$AY$1005="Direkomendasikan",ROW($6:$1005)-5),737))="",INDEX(checklistPesertaKemenkeu!$J$6:$J$1005,SMALL(IF(checklistPesertaKemenkeu!$AY$6:$AY$1005="Direkomendasikan",ROW($6:$1005)-5),737))=""),"",IF(AND(COUNTIF(INDIRECT("K_"&amp;MATCH(INDEX(checklistPesertaKemenkeu!$J$6:$J$1005,SMALL(IF(checklistPesertaKemenkeu!$AY$6:$AY$1005="Direkomendasikan",ROW($6:$1005)-5),737)),BidangList,0)),INDEX(checklistPesertaKemenkeu!$N$6:$N$1005,SMALL(IF(checklistPesertaKemenkeu!$AY$6:$AY$1005="Direkomendasikan",ROW($6:$1005)-5),737)))&gt;0,COUNTIF(INDIRECT("'KERTAS KERJA'!K"&amp;(SMALL(IF(checklistPesertaKemenkeu!$AY$6:$AY$1005="Direkomendasikan",ROW($6:$1005)-5),737)+5)&amp;":O"&amp;(SMALL(IF(checklistPesertaKemenkeu!$AY$6:$AY$1005="Direkomendasikan",ROW($6:$1005)-5),737)+5)),INDEX(checklistPesertaKemenkeu!$N$6:$N$1005,SMALL(IF(checklistPesertaKemenkeu!$AY$6:$AY$1005="Direkomendasikan",ROW($6:$1005)-5),737)))=1),IFERROR(VLOOKUP(INDEX(checklistPesertaKemenkeu!$N$6:$N$1005,SMALL(IF(checklistPesertaKemenkeu!$AY$6:$AY$1005="Direkomendasikan",ROW($6:$1005)-5),737)),KotaKode,2,0),"-"),"")),"")</f>
        <v/>
      </c>
      <c r="K738" t="str">
        <f t="array" aca="1" ref="K738" ca="1">IFERROR(IF(OR(INDEX(checklistPesertaKemenkeu!$O$6:$O$1005,SMALL(IF(checklistPesertaKemenkeu!$AY$6:$AY$1005="Direkomendasikan",ROW($6:$1005)-5),737))="",INDEX(checklistPesertaKemenkeu!$J$6:$J$1005,SMALL(IF(checklistPesertaKemenkeu!$AY$6:$AY$1005="Direkomendasikan",ROW($6:$1005)-5),737))=""),"",IF(AND(COUNTIF(INDIRECT("K_"&amp;MATCH(INDEX(checklistPesertaKemenkeu!$J$6:$J$1005,SMALL(IF(checklistPesertaKemenkeu!$AY$6:$AY$1005="Direkomendasikan",ROW($6:$1005)-5),737)),BidangList,0)),INDEX(checklistPesertaKemenkeu!$O$6:$O$1005,SMALL(IF(checklistPesertaKemenkeu!$AY$6:$AY$1005="Direkomendasikan",ROW($6:$1005)-5),737)))&gt;0,COUNTIF(INDIRECT("'KERTAS KERJA'!K"&amp;(SMALL(IF(checklistPesertaKemenkeu!$AY$6:$AY$1005="Direkomendasikan",ROW($6:$1005)-5),737)+5)&amp;":O"&amp;(SMALL(IF(checklistPesertaKemenkeu!$AY$6:$AY$1005="Direkomendasikan",ROW($6:$1005)-5),737)+5)),INDEX(checklistPesertaKemenkeu!$O$6:$O$1005,SMALL(IF(checklistPesertaKemenkeu!$AY$6:$AY$1005="Direkomendasikan",ROW($6:$1005)-5),737)))=1),IFERROR(VLOOKUP(INDEX(checklistPesertaKemenkeu!$O$6:$O$1005,SMALL(IF(checklistPesertaKemenkeu!$AY$6:$AY$1005="Direkomendasikan",ROW($6:$1005)-5),737)),KotaKode,2,0),"-"),"")),"")</f>
        <v/>
      </c>
      <c r="L738" t="str">
        <f t="array" aca="1" ref="L738" ca="1">IFERROR(IF(OR(INDEX(checklistPesertaKemenkeu!$P$6:$P$1005,SMALL(IF(checklistPesertaKemenkeu!$AY$6:$AY$1005="Direkomendasikan",ROW($6:$1005)-5),737))="",INDEX(checklistPesertaKemenkeu!$J$6:$J$1005,SMALL(IF(checklistPesertaKemenkeu!$AY$6:$AY$1005="Direkomendasikan",ROW($6:$1005)-5),737))=""),"",IF(AND(COUNTIF(INDIRECT("K_"&amp;MATCH(INDEX(checklistPesertaKemenkeu!$J$6:$J$1005,SMALL(IF(checklistPesertaKemenkeu!$AY$6:$AY$1005="Direkomendasikan",ROW($6:$1005)-5),737)),BidangList,0)),INDEX(checklistPesertaKemenkeu!$P$6:$P$1005,SMALL(IF(checklistPesertaKemenkeu!$AY$6:$AY$1005="Direkomendasikan",ROW($6:$1005)-5),737)))&gt;0,COUNTIF(INDIRECT("'KERTAS KERJA'!K"&amp;(SMALL(IF(checklistPesertaKemenkeu!$AY$6:$AY$1005="Direkomendasikan",ROW($6:$1005)-5),737)+5)&amp;":O"&amp;(SMALL(IF(checklistPesertaKemenkeu!$AY$6:$AY$1005="Direkomendasikan",ROW($6:$1005)-5),737)+5)),INDEX(checklistPesertaKemenkeu!$P$6:$P$1005,SMALL(IF(checklistPesertaKemenkeu!$AY$6:$AY$1005="Direkomendasikan",ROW($6:$1005)-5),737)))=1),IFERROR(VLOOKUP(INDEX(checklistPesertaKemenkeu!$P$6:$P$1005,SMALL(IF(checklistPesertaKemenkeu!$AY$6:$AY$1005="Direkomendasikan",ROW($6:$1005)-5),737)),KotaKode,2,0),"-"),"")),"")</f>
        <v/>
      </c>
    </row>
    <row r="739" spans="1:12" ht="15" customHeight="1" x14ac:dyDescent="0.2">
      <c r="A739" t="str">
        <f t="shared" si="11"/>
        <v/>
      </c>
      <c r="B739" t="str">
        <v/>
      </c>
      <c r="C739" s="40" t="str">
        <f t="array" ref="C739">IFERROR(INDEX(checklistPesertaKemenkeu!$F$6:$F$1005,SMALL(IF(checklistPesertaKemenkeu!$AY$6:$AY$1005="Direkomendasikan",ROW($6:$1005)-5),738)),"")</f>
        <v/>
      </c>
      <c r="D739" t="str">
        <f t="array" ref="D739">IFERROR(INDEX(checklistPesertaKemenkeu!$G$6:$G$1005,SMALL(IF(checklistPesertaKemenkeu!$AY$6:$AY$1005="Direkomendasikan",ROW($6:$1005)-5),738)),"")</f>
        <v/>
      </c>
      <c r="E739" t="str">
        <f t="array" ref="E739">IFERROR(INDEX(checklistPesertaKemenkeu!$H$6:$H$1005,SMALL(IF(checklistPesertaKemenkeu!$AY$6:$AY$1005="Direkomendasikan",ROW($6:$1005)-5),738)),"")</f>
        <v/>
      </c>
      <c r="F739" t="str">
        <f t="array" ref="F739">IFERROR(INDEX(checklistPesertaKemenkeu!$I$6:$I$1005,SMALL(IF(checklistPesertaKemenkeu!$AY$6:$AY$1005="Direkomendasikan",ROW($6:$1005)-5),738)),"")</f>
        <v/>
      </c>
      <c r="G739" t="str">
        <f t="array" ref="G739">IFERROR(INDEX(checklistPesertaKemenkeu!$J$6:$J$1005,SMALL(IF(checklistPesertaKemenkeu!$AY$6:$AY$1005="Direkomendasikan",ROW($6:$1005)-5),738)),"")</f>
        <v/>
      </c>
      <c r="H739" t="str">
        <f t="array" aca="1" ref="H739" ca="1">IFERROR(IF(OR(INDEX(checklistPesertaKemenkeu!$L$6:$L$1005,SMALL(IF(checklistPesertaKemenkeu!$AY$6:$AY$1005="Direkomendasikan",ROW($6:$1005)-5),738))="",INDEX(checklistPesertaKemenkeu!$J$6:$J$1005,SMALL(IF(checklistPesertaKemenkeu!$AY$6:$AY$1005="Direkomendasikan",ROW($6:$1005)-5),738))=""),"",IF(AND(COUNTIF(INDIRECT("K_"&amp;MATCH(INDEX(checklistPesertaKemenkeu!$J$6:$J$1005,SMALL(IF(checklistPesertaKemenkeu!$AY$6:$AY$1005="Direkomendasikan",ROW($6:$1005)-5),738)),BidangList,0)),INDEX(checklistPesertaKemenkeu!$L$6:$L$1005,SMALL(IF(checklistPesertaKemenkeu!$AY$6:$AY$1005="Direkomendasikan",ROW($6:$1005)-5),738)))&gt;0,COUNTIF(INDIRECT("'KERTAS KERJA'!K"&amp;(SMALL(IF(checklistPesertaKemenkeu!$AY$6:$AY$1005="Direkomendasikan",ROW($6:$1005)-5),738)+5)&amp;":O"&amp;(SMALL(IF(checklistPesertaKemenkeu!$AY$6:$AY$1005="Direkomendasikan",ROW($6:$1005)-5),738)+5)),INDEX(checklistPesertaKemenkeu!$L$6:$L$1005,SMALL(IF(checklistPesertaKemenkeu!$AY$6:$AY$1005="Direkomendasikan",ROW($6:$1005)-5),738)))=1),IFERROR(VLOOKUP(INDEX(checklistPesertaKemenkeu!$L$6:$L$1005,SMALL(IF(checklistPesertaKemenkeu!$AY$6:$AY$1005="Direkomendasikan",ROW($6:$1005)-5),738)),KotaKode,2,0),"-"),"")),"")</f>
        <v/>
      </c>
      <c r="I739" t="str">
        <f t="array" aca="1" ref="I739" ca="1">IFERROR(IF(OR(INDEX(checklistPesertaKemenkeu!$M$6:$M$1005,SMALL(IF(checklistPesertaKemenkeu!$AY$6:$AY$1005="Direkomendasikan",ROW($6:$1005)-5),738))="",INDEX(checklistPesertaKemenkeu!$J$6:$J$1005,SMALL(IF(checklistPesertaKemenkeu!$AY$6:$AY$1005="Direkomendasikan",ROW($6:$1005)-5),738))=""),"",IF(AND(COUNTIF(INDIRECT("K_"&amp;MATCH(INDEX(checklistPesertaKemenkeu!$J$6:$J$1005,SMALL(IF(checklistPesertaKemenkeu!$AY$6:$AY$1005="Direkomendasikan",ROW($6:$1005)-5),738)),BidangList,0)),INDEX(checklistPesertaKemenkeu!$M$6:$M$1005,SMALL(IF(checklistPesertaKemenkeu!$AY$6:$AY$1005="Direkomendasikan",ROW($6:$1005)-5),738)))&gt;0,COUNTIF(INDIRECT("'KERTAS KERJA'!K"&amp;(SMALL(IF(checklistPesertaKemenkeu!$AY$6:$AY$1005="Direkomendasikan",ROW($6:$1005)-5),738)+5)&amp;":O"&amp;(SMALL(IF(checklistPesertaKemenkeu!$AY$6:$AY$1005="Direkomendasikan",ROW($6:$1005)-5),738)+5)),INDEX(checklistPesertaKemenkeu!$M$6:$M$1005,SMALL(IF(checklistPesertaKemenkeu!$AY$6:$AY$1005="Direkomendasikan",ROW($6:$1005)-5),738)))=1),IFERROR(VLOOKUP(INDEX(checklistPesertaKemenkeu!$M$6:$M$1005,SMALL(IF(checklistPesertaKemenkeu!$AY$6:$AY$1005="Direkomendasikan",ROW($6:$1005)-5),738)),KotaKode,2,0),"-"),"")),"")</f>
        <v/>
      </c>
      <c r="J739" t="str">
        <f t="array" aca="1" ref="J739" ca="1">IFERROR(IF(OR(INDEX(checklistPesertaKemenkeu!$N$6:$N$1005,SMALL(IF(checklistPesertaKemenkeu!$AY$6:$AY$1005="Direkomendasikan",ROW($6:$1005)-5),738))="",INDEX(checklistPesertaKemenkeu!$J$6:$J$1005,SMALL(IF(checklistPesertaKemenkeu!$AY$6:$AY$1005="Direkomendasikan",ROW($6:$1005)-5),738))=""),"",IF(AND(COUNTIF(INDIRECT("K_"&amp;MATCH(INDEX(checklistPesertaKemenkeu!$J$6:$J$1005,SMALL(IF(checklistPesertaKemenkeu!$AY$6:$AY$1005="Direkomendasikan",ROW($6:$1005)-5),738)),BidangList,0)),INDEX(checklistPesertaKemenkeu!$N$6:$N$1005,SMALL(IF(checklistPesertaKemenkeu!$AY$6:$AY$1005="Direkomendasikan",ROW($6:$1005)-5),738)))&gt;0,COUNTIF(INDIRECT("'KERTAS KERJA'!K"&amp;(SMALL(IF(checklistPesertaKemenkeu!$AY$6:$AY$1005="Direkomendasikan",ROW($6:$1005)-5),738)+5)&amp;":O"&amp;(SMALL(IF(checklistPesertaKemenkeu!$AY$6:$AY$1005="Direkomendasikan",ROW($6:$1005)-5),738)+5)),INDEX(checklistPesertaKemenkeu!$N$6:$N$1005,SMALL(IF(checklistPesertaKemenkeu!$AY$6:$AY$1005="Direkomendasikan",ROW($6:$1005)-5),738)))=1),IFERROR(VLOOKUP(INDEX(checklistPesertaKemenkeu!$N$6:$N$1005,SMALL(IF(checklistPesertaKemenkeu!$AY$6:$AY$1005="Direkomendasikan",ROW($6:$1005)-5),738)),KotaKode,2,0),"-"),"")),"")</f>
        <v/>
      </c>
      <c r="K739" t="str">
        <f t="array" aca="1" ref="K739" ca="1">IFERROR(IF(OR(INDEX(checklistPesertaKemenkeu!$O$6:$O$1005,SMALL(IF(checklistPesertaKemenkeu!$AY$6:$AY$1005="Direkomendasikan",ROW($6:$1005)-5),738))="",INDEX(checklistPesertaKemenkeu!$J$6:$J$1005,SMALL(IF(checklistPesertaKemenkeu!$AY$6:$AY$1005="Direkomendasikan",ROW($6:$1005)-5),738))=""),"",IF(AND(COUNTIF(INDIRECT("K_"&amp;MATCH(INDEX(checklistPesertaKemenkeu!$J$6:$J$1005,SMALL(IF(checklistPesertaKemenkeu!$AY$6:$AY$1005="Direkomendasikan",ROW($6:$1005)-5),738)),BidangList,0)),INDEX(checklistPesertaKemenkeu!$O$6:$O$1005,SMALL(IF(checklistPesertaKemenkeu!$AY$6:$AY$1005="Direkomendasikan",ROW($6:$1005)-5),738)))&gt;0,COUNTIF(INDIRECT("'KERTAS KERJA'!K"&amp;(SMALL(IF(checklistPesertaKemenkeu!$AY$6:$AY$1005="Direkomendasikan",ROW($6:$1005)-5),738)+5)&amp;":O"&amp;(SMALL(IF(checklistPesertaKemenkeu!$AY$6:$AY$1005="Direkomendasikan",ROW($6:$1005)-5),738)+5)),INDEX(checklistPesertaKemenkeu!$O$6:$O$1005,SMALL(IF(checklistPesertaKemenkeu!$AY$6:$AY$1005="Direkomendasikan",ROW($6:$1005)-5),738)))=1),IFERROR(VLOOKUP(INDEX(checklistPesertaKemenkeu!$O$6:$O$1005,SMALL(IF(checklistPesertaKemenkeu!$AY$6:$AY$1005="Direkomendasikan",ROW($6:$1005)-5),738)),KotaKode,2,0),"-"),"")),"")</f>
        <v/>
      </c>
      <c r="L739" t="str">
        <f t="array" aca="1" ref="L739" ca="1">IFERROR(IF(OR(INDEX(checklistPesertaKemenkeu!$P$6:$P$1005,SMALL(IF(checklistPesertaKemenkeu!$AY$6:$AY$1005="Direkomendasikan",ROW($6:$1005)-5),738))="",INDEX(checklistPesertaKemenkeu!$J$6:$J$1005,SMALL(IF(checklistPesertaKemenkeu!$AY$6:$AY$1005="Direkomendasikan",ROW($6:$1005)-5),738))=""),"",IF(AND(COUNTIF(INDIRECT("K_"&amp;MATCH(INDEX(checklistPesertaKemenkeu!$J$6:$J$1005,SMALL(IF(checklistPesertaKemenkeu!$AY$6:$AY$1005="Direkomendasikan",ROW($6:$1005)-5),738)),BidangList,0)),INDEX(checklistPesertaKemenkeu!$P$6:$P$1005,SMALL(IF(checklistPesertaKemenkeu!$AY$6:$AY$1005="Direkomendasikan",ROW($6:$1005)-5),738)))&gt;0,COUNTIF(INDIRECT("'KERTAS KERJA'!K"&amp;(SMALL(IF(checklistPesertaKemenkeu!$AY$6:$AY$1005="Direkomendasikan",ROW($6:$1005)-5),738)+5)&amp;":O"&amp;(SMALL(IF(checklistPesertaKemenkeu!$AY$6:$AY$1005="Direkomendasikan",ROW($6:$1005)-5),738)+5)),INDEX(checklistPesertaKemenkeu!$P$6:$P$1005,SMALL(IF(checklistPesertaKemenkeu!$AY$6:$AY$1005="Direkomendasikan",ROW($6:$1005)-5),738)))=1),IFERROR(VLOOKUP(INDEX(checklistPesertaKemenkeu!$P$6:$P$1005,SMALL(IF(checklistPesertaKemenkeu!$AY$6:$AY$1005="Direkomendasikan",ROW($6:$1005)-5),738)),KotaKode,2,0),"-"),"")),"")</f>
        <v/>
      </c>
    </row>
    <row r="740" spans="1:12" ht="15" customHeight="1" x14ac:dyDescent="0.2">
      <c r="A740" t="str">
        <f t="shared" si="11"/>
        <v/>
      </c>
      <c r="B740" t="str">
        <v/>
      </c>
      <c r="C740" s="40" t="str">
        <f t="array" ref="C740">IFERROR(INDEX(checklistPesertaKemenkeu!$F$6:$F$1005,SMALL(IF(checklistPesertaKemenkeu!$AY$6:$AY$1005="Direkomendasikan",ROW($6:$1005)-5),739)),"")</f>
        <v/>
      </c>
      <c r="D740" t="str">
        <f t="array" ref="D740">IFERROR(INDEX(checklistPesertaKemenkeu!$G$6:$G$1005,SMALL(IF(checklistPesertaKemenkeu!$AY$6:$AY$1005="Direkomendasikan",ROW($6:$1005)-5),739)),"")</f>
        <v/>
      </c>
      <c r="E740" t="str">
        <f t="array" ref="E740">IFERROR(INDEX(checklistPesertaKemenkeu!$H$6:$H$1005,SMALL(IF(checklistPesertaKemenkeu!$AY$6:$AY$1005="Direkomendasikan",ROW($6:$1005)-5),739)),"")</f>
        <v/>
      </c>
      <c r="F740" t="str">
        <f t="array" ref="F740">IFERROR(INDEX(checklistPesertaKemenkeu!$I$6:$I$1005,SMALL(IF(checklistPesertaKemenkeu!$AY$6:$AY$1005="Direkomendasikan",ROW($6:$1005)-5),739)),"")</f>
        <v/>
      </c>
      <c r="G740" t="str">
        <f t="array" ref="G740">IFERROR(INDEX(checklistPesertaKemenkeu!$J$6:$J$1005,SMALL(IF(checklistPesertaKemenkeu!$AY$6:$AY$1005="Direkomendasikan",ROW($6:$1005)-5),739)),"")</f>
        <v/>
      </c>
      <c r="H740" t="str">
        <f t="array" aca="1" ref="H740" ca="1">IFERROR(IF(OR(INDEX(checklistPesertaKemenkeu!$L$6:$L$1005,SMALL(IF(checklistPesertaKemenkeu!$AY$6:$AY$1005="Direkomendasikan",ROW($6:$1005)-5),739))="",INDEX(checklistPesertaKemenkeu!$J$6:$J$1005,SMALL(IF(checklistPesertaKemenkeu!$AY$6:$AY$1005="Direkomendasikan",ROW($6:$1005)-5),739))=""),"",IF(AND(COUNTIF(INDIRECT("K_"&amp;MATCH(INDEX(checklistPesertaKemenkeu!$J$6:$J$1005,SMALL(IF(checklistPesertaKemenkeu!$AY$6:$AY$1005="Direkomendasikan",ROW($6:$1005)-5),739)),BidangList,0)),INDEX(checklistPesertaKemenkeu!$L$6:$L$1005,SMALL(IF(checklistPesertaKemenkeu!$AY$6:$AY$1005="Direkomendasikan",ROW($6:$1005)-5),739)))&gt;0,COUNTIF(INDIRECT("'KERTAS KERJA'!K"&amp;(SMALL(IF(checklistPesertaKemenkeu!$AY$6:$AY$1005="Direkomendasikan",ROW($6:$1005)-5),739)+5)&amp;":O"&amp;(SMALL(IF(checklistPesertaKemenkeu!$AY$6:$AY$1005="Direkomendasikan",ROW($6:$1005)-5),739)+5)),INDEX(checklistPesertaKemenkeu!$L$6:$L$1005,SMALL(IF(checklistPesertaKemenkeu!$AY$6:$AY$1005="Direkomendasikan",ROW($6:$1005)-5),739)))=1),IFERROR(VLOOKUP(INDEX(checklistPesertaKemenkeu!$L$6:$L$1005,SMALL(IF(checklistPesertaKemenkeu!$AY$6:$AY$1005="Direkomendasikan",ROW($6:$1005)-5),739)),KotaKode,2,0),"-"),"")),"")</f>
        <v/>
      </c>
      <c r="I740" t="str">
        <f t="array" aca="1" ref="I740" ca="1">IFERROR(IF(OR(INDEX(checklistPesertaKemenkeu!$M$6:$M$1005,SMALL(IF(checklistPesertaKemenkeu!$AY$6:$AY$1005="Direkomendasikan",ROW($6:$1005)-5),739))="",INDEX(checklistPesertaKemenkeu!$J$6:$J$1005,SMALL(IF(checklistPesertaKemenkeu!$AY$6:$AY$1005="Direkomendasikan",ROW($6:$1005)-5),739))=""),"",IF(AND(COUNTIF(INDIRECT("K_"&amp;MATCH(INDEX(checklistPesertaKemenkeu!$J$6:$J$1005,SMALL(IF(checklistPesertaKemenkeu!$AY$6:$AY$1005="Direkomendasikan",ROW($6:$1005)-5),739)),BidangList,0)),INDEX(checklistPesertaKemenkeu!$M$6:$M$1005,SMALL(IF(checklistPesertaKemenkeu!$AY$6:$AY$1005="Direkomendasikan",ROW($6:$1005)-5),739)))&gt;0,COUNTIF(INDIRECT("'KERTAS KERJA'!K"&amp;(SMALL(IF(checklistPesertaKemenkeu!$AY$6:$AY$1005="Direkomendasikan",ROW($6:$1005)-5),739)+5)&amp;":O"&amp;(SMALL(IF(checklistPesertaKemenkeu!$AY$6:$AY$1005="Direkomendasikan",ROW($6:$1005)-5),739)+5)),INDEX(checklistPesertaKemenkeu!$M$6:$M$1005,SMALL(IF(checklistPesertaKemenkeu!$AY$6:$AY$1005="Direkomendasikan",ROW($6:$1005)-5),739)))=1),IFERROR(VLOOKUP(INDEX(checklistPesertaKemenkeu!$M$6:$M$1005,SMALL(IF(checklistPesertaKemenkeu!$AY$6:$AY$1005="Direkomendasikan",ROW($6:$1005)-5),739)),KotaKode,2,0),"-"),"")),"")</f>
        <v/>
      </c>
      <c r="J740" t="str">
        <f t="array" aca="1" ref="J740" ca="1">IFERROR(IF(OR(INDEX(checklistPesertaKemenkeu!$N$6:$N$1005,SMALL(IF(checklistPesertaKemenkeu!$AY$6:$AY$1005="Direkomendasikan",ROW($6:$1005)-5),739))="",INDEX(checklistPesertaKemenkeu!$J$6:$J$1005,SMALL(IF(checklistPesertaKemenkeu!$AY$6:$AY$1005="Direkomendasikan",ROW($6:$1005)-5),739))=""),"",IF(AND(COUNTIF(INDIRECT("K_"&amp;MATCH(INDEX(checklistPesertaKemenkeu!$J$6:$J$1005,SMALL(IF(checklistPesertaKemenkeu!$AY$6:$AY$1005="Direkomendasikan",ROW($6:$1005)-5),739)),BidangList,0)),INDEX(checklistPesertaKemenkeu!$N$6:$N$1005,SMALL(IF(checklistPesertaKemenkeu!$AY$6:$AY$1005="Direkomendasikan",ROW($6:$1005)-5),739)))&gt;0,COUNTIF(INDIRECT("'KERTAS KERJA'!K"&amp;(SMALL(IF(checklistPesertaKemenkeu!$AY$6:$AY$1005="Direkomendasikan",ROW($6:$1005)-5),739)+5)&amp;":O"&amp;(SMALL(IF(checklistPesertaKemenkeu!$AY$6:$AY$1005="Direkomendasikan",ROW($6:$1005)-5),739)+5)),INDEX(checklistPesertaKemenkeu!$N$6:$N$1005,SMALL(IF(checklistPesertaKemenkeu!$AY$6:$AY$1005="Direkomendasikan",ROW($6:$1005)-5),739)))=1),IFERROR(VLOOKUP(INDEX(checklistPesertaKemenkeu!$N$6:$N$1005,SMALL(IF(checklistPesertaKemenkeu!$AY$6:$AY$1005="Direkomendasikan",ROW($6:$1005)-5),739)),KotaKode,2,0),"-"),"")),"")</f>
        <v/>
      </c>
      <c r="K740" t="str">
        <f t="array" aca="1" ref="K740" ca="1">IFERROR(IF(OR(INDEX(checklistPesertaKemenkeu!$O$6:$O$1005,SMALL(IF(checklistPesertaKemenkeu!$AY$6:$AY$1005="Direkomendasikan",ROW($6:$1005)-5),739))="",INDEX(checklistPesertaKemenkeu!$J$6:$J$1005,SMALL(IF(checklistPesertaKemenkeu!$AY$6:$AY$1005="Direkomendasikan",ROW($6:$1005)-5),739))=""),"",IF(AND(COUNTIF(INDIRECT("K_"&amp;MATCH(INDEX(checklistPesertaKemenkeu!$J$6:$J$1005,SMALL(IF(checklistPesertaKemenkeu!$AY$6:$AY$1005="Direkomendasikan",ROW($6:$1005)-5),739)),BidangList,0)),INDEX(checklistPesertaKemenkeu!$O$6:$O$1005,SMALL(IF(checklistPesertaKemenkeu!$AY$6:$AY$1005="Direkomendasikan",ROW($6:$1005)-5),739)))&gt;0,COUNTIF(INDIRECT("'KERTAS KERJA'!K"&amp;(SMALL(IF(checklistPesertaKemenkeu!$AY$6:$AY$1005="Direkomendasikan",ROW($6:$1005)-5),739)+5)&amp;":O"&amp;(SMALL(IF(checklistPesertaKemenkeu!$AY$6:$AY$1005="Direkomendasikan",ROW($6:$1005)-5),739)+5)),INDEX(checklistPesertaKemenkeu!$O$6:$O$1005,SMALL(IF(checklistPesertaKemenkeu!$AY$6:$AY$1005="Direkomendasikan",ROW($6:$1005)-5),739)))=1),IFERROR(VLOOKUP(INDEX(checklistPesertaKemenkeu!$O$6:$O$1005,SMALL(IF(checklistPesertaKemenkeu!$AY$6:$AY$1005="Direkomendasikan",ROW($6:$1005)-5),739)),KotaKode,2,0),"-"),"")),"")</f>
        <v/>
      </c>
      <c r="L740" t="str">
        <f t="array" aca="1" ref="L740" ca="1">IFERROR(IF(OR(INDEX(checklistPesertaKemenkeu!$P$6:$P$1005,SMALL(IF(checklistPesertaKemenkeu!$AY$6:$AY$1005="Direkomendasikan",ROW($6:$1005)-5),739))="",INDEX(checklistPesertaKemenkeu!$J$6:$J$1005,SMALL(IF(checklistPesertaKemenkeu!$AY$6:$AY$1005="Direkomendasikan",ROW($6:$1005)-5),739))=""),"",IF(AND(COUNTIF(INDIRECT("K_"&amp;MATCH(INDEX(checklistPesertaKemenkeu!$J$6:$J$1005,SMALL(IF(checklistPesertaKemenkeu!$AY$6:$AY$1005="Direkomendasikan",ROW($6:$1005)-5),739)),BidangList,0)),INDEX(checklistPesertaKemenkeu!$P$6:$P$1005,SMALL(IF(checklistPesertaKemenkeu!$AY$6:$AY$1005="Direkomendasikan",ROW($6:$1005)-5),739)))&gt;0,COUNTIF(INDIRECT("'KERTAS KERJA'!K"&amp;(SMALL(IF(checklistPesertaKemenkeu!$AY$6:$AY$1005="Direkomendasikan",ROW($6:$1005)-5),739)+5)&amp;":O"&amp;(SMALL(IF(checklistPesertaKemenkeu!$AY$6:$AY$1005="Direkomendasikan",ROW($6:$1005)-5),739)+5)),INDEX(checklistPesertaKemenkeu!$P$6:$P$1005,SMALL(IF(checklistPesertaKemenkeu!$AY$6:$AY$1005="Direkomendasikan",ROW($6:$1005)-5),739)))=1),IFERROR(VLOOKUP(INDEX(checklistPesertaKemenkeu!$P$6:$P$1005,SMALL(IF(checklistPesertaKemenkeu!$AY$6:$AY$1005="Direkomendasikan",ROW($6:$1005)-5),739)),KotaKode,2,0),"-"),"")),"")</f>
        <v/>
      </c>
    </row>
    <row r="741" spans="1:12" ht="15" customHeight="1" x14ac:dyDescent="0.2">
      <c r="A741" t="str">
        <f t="shared" si="11"/>
        <v/>
      </c>
      <c r="B741" t="str">
        <v/>
      </c>
      <c r="C741" s="40" t="str">
        <f t="array" ref="C741">IFERROR(INDEX(checklistPesertaKemenkeu!$F$6:$F$1005,SMALL(IF(checklistPesertaKemenkeu!$AY$6:$AY$1005="Direkomendasikan",ROW($6:$1005)-5),740)),"")</f>
        <v/>
      </c>
      <c r="D741" t="str">
        <f t="array" ref="D741">IFERROR(INDEX(checklistPesertaKemenkeu!$G$6:$G$1005,SMALL(IF(checklistPesertaKemenkeu!$AY$6:$AY$1005="Direkomendasikan",ROW($6:$1005)-5),740)),"")</f>
        <v/>
      </c>
      <c r="E741" t="str">
        <f t="array" ref="E741">IFERROR(INDEX(checklistPesertaKemenkeu!$H$6:$H$1005,SMALL(IF(checklistPesertaKemenkeu!$AY$6:$AY$1005="Direkomendasikan",ROW($6:$1005)-5),740)),"")</f>
        <v/>
      </c>
      <c r="F741" t="str">
        <f t="array" ref="F741">IFERROR(INDEX(checklistPesertaKemenkeu!$I$6:$I$1005,SMALL(IF(checklistPesertaKemenkeu!$AY$6:$AY$1005="Direkomendasikan",ROW($6:$1005)-5),740)),"")</f>
        <v/>
      </c>
      <c r="G741" t="str">
        <f t="array" ref="G741">IFERROR(INDEX(checklistPesertaKemenkeu!$J$6:$J$1005,SMALL(IF(checklistPesertaKemenkeu!$AY$6:$AY$1005="Direkomendasikan",ROW($6:$1005)-5),740)),"")</f>
        <v/>
      </c>
      <c r="H741" t="str">
        <f t="array" aca="1" ref="H741" ca="1">IFERROR(IF(OR(INDEX(checklistPesertaKemenkeu!$L$6:$L$1005,SMALL(IF(checklistPesertaKemenkeu!$AY$6:$AY$1005="Direkomendasikan",ROW($6:$1005)-5),740))="",INDEX(checklistPesertaKemenkeu!$J$6:$J$1005,SMALL(IF(checklistPesertaKemenkeu!$AY$6:$AY$1005="Direkomendasikan",ROW($6:$1005)-5),740))=""),"",IF(AND(COUNTIF(INDIRECT("K_"&amp;MATCH(INDEX(checklistPesertaKemenkeu!$J$6:$J$1005,SMALL(IF(checklistPesertaKemenkeu!$AY$6:$AY$1005="Direkomendasikan",ROW($6:$1005)-5),740)),BidangList,0)),INDEX(checklistPesertaKemenkeu!$L$6:$L$1005,SMALL(IF(checklistPesertaKemenkeu!$AY$6:$AY$1005="Direkomendasikan",ROW($6:$1005)-5),740)))&gt;0,COUNTIF(INDIRECT("'KERTAS KERJA'!K"&amp;(SMALL(IF(checklistPesertaKemenkeu!$AY$6:$AY$1005="Direkomendasikan",ROW($6:$1005)-5),740)+5)&amp;":O"&amp;(SMALL(IF(checklistPesertaKemenkeu!$AY$6:$AY$1005="Direkomendasikan",ROW($6:$1005)-5),740)+5)),INDEX(checklistPesertaKemenkeu!$L$6:$L$1005,SMALL(IF(checklistPesertaKemenkeu!$AY$6:$AY$1005="Direkomendasikan",ROW($6:$1005)-5),740)))=1),IFERROR(VLOOKUP(INDEX(checklistPesertaKemenkeu!$L$6:$L$1005,SMALL(IF(checklistPesertaKemenkeu!$AY$6:$AY$1005="Direkomendasikan",ROW($6:$1005)-5),740)),KotaKode,2,0),"-"),"")),"")</f>
        <v/>
      </c>
      <c r="I741" t="str">
        <f t="array" aca="1" ref="I741" ca="1">IFERROR(IF(OR(INDEX(checklistPesertaKemenkeu!$M$6:$M$1005,SMALL(IF(checklistPesertaKemenkeu!$AY$6:$AY$1005="Direkomendasikan",ROW($6:$1005)-5),740))="",INDEX(checklistPesertaKemenkeu!$J$6:$J$1005,SMALL(IF(checklistPesertaKemenkeu!$AY$6:$AY$1005="Direkomendasikan",ROW($6:$1005)-5),740))=""),"",IF(AND(COUNTIF(INDIRECT("K_"&amp;MATCH(INDEX(checklistPesertaKemenkeu!$J$6:$J$1005,SMALL(IF(checklistPesertaKemenkeu!$AY$6:$AY$1005="Direkomendasikan",ROW($6:$1005)-5),740)),BidangList,0)),INDEX(checklistPesertaKemenkeu!$M$6:$M$1005,SMALL(IF(checklistPesertaKemenkeu!$AY$6:$AY$1005="Direkomendasikan",ROW($6:$1005)-5),740)))&gt;0,COUNTIF(INDIRECT("'KERTAS KERJA'!K"&amp;(SMALL(IF(checklistPesertaKemenkeu!$AY$6:$AY$1005="Direkomendasikan",ROW($6:$1005)-5),740)+5)&amp;":O"&amp;(SMALL(IF(checklistPesertaKemenkeu!$AY$6:$AY$1005="Direkomendasikan",ROW($6:$1005)-5),740)+5)),INDEX(checklistPesertaKemenkeu!$M$6:$M$1005,SMALL(IF(checklistPesertaKemenkeu!$AY$6:$AY$1005="Direkomendasikan",ROW($6:$1005)-5),740)))=1),IFERROR(VLOOKUP(INDEX(checklistPesertaKemenkeu!$M$6:$M$1005,SMALL(IF(checklistPesertaKemenkeu!$AY$6:$AY$1005="Direkomendasikan",ROW($6:$1005)-5),740)),KotaKode,2,0),"-"),"")),"")</f>
        <v/>
      </c>
      <c r="J741" t="str">
        <f t="array" aca="1" ref="J741" ca="1">IFERROR(IF(OR(INDEX(checklistPesertaKemenkeu!$N$6:$N$1005,SMALL(IF(checklistPesertaKemenkeu!$AY$6:$AY$1005="Direkomendasikan",ROW($6:$1005)-5),740))="",INDEX(checklistPesertaKemenkeu!$J$6:$J$1005,SMALL(IF(checklistPesertaKemenkeu!$AY$6:$AY$1005="Direkomendasikan",ROW($6:$1005)-5),740))=""),"",IF(AND(COUNTIF(INDIRECT("K_"&amp;MATCH(INDEX(checklistPesertaKemenkeu!$J$6:$J$1005,SMALL(IF(checklistPesertaKemenkeu!$AY$6:$AY$1005="Direkomendasikan",ROW($6:$1005)-5),740)),BidangList,0)),INDEX(checklistPesertaKemenkeu!$N$6:$N$1005,SMALL(IF(checklistPesertaKemenkeu!$AY$6:$AY$1005="Direkomendasikan",ROW($6:$1005)-5),740)))&gt;0,COUNTIF(INDIRECT("'KERTAS KERJA'!K"&amp;(SMALL(IF(checklistPesertaKemenkeu!$AY$6:$AY$1005="Direkomendasikan",ROW($6:$1005)-5),740)+5)&amp;":O"&amp;(SMALL(IF(checklistPesertaKemenkeu!$AY$6:$AY$1005="Direkomendasikan",ROW($6:$1005)-5),740)+5)),INDEX(checklistPesertaKemenkeu!$N$6:$N$1005,SMALL(IF(checklistPesertaKemenkeu!$AY$6:$AY$1005="Direkomendasikan",ROW($6:$1005)-5),740)))=1),IFERROR(VLOOKUP(INDEX(checklistPesertaKemenkeu!$N$6:$N$1005,SMALL(IF(checklistPesertaKemenkeu!$AY$6:$AY$1005="Direkomendasikan",ROW($6:$1005)-5),740)),KotaKode,2,0),"-"),"")),"")</f>
        <v/>
      </c>
      <c r="K741" t="str">
        <f t="array" aca="1" ref="K741" ca="1">IFERROR(IF(OR(INDEX(checklistPesertaKemenkeu!$O$6:$O$1005,SMALL(IF(checklistPesertaKemenkeu!$AY$6:$AY$1005="Direkomendasikan",ROW($6:$1005)-5),740))="",INDEX(checklistPesertaKemenkeu!$J$6:$J$1005,SMALL(IF(checklistPesertaKemenkeu!$AY$6:$AY$1005="Direkomendasikan",ROW($6:$1005)-5),740))=""),"",IF(AND(COUNTIF(INDIRECT("K_"&amp;MATCH(INDEX(checklistPesertaKemenkeu!$J$6:$J$1005,SMALL(IF(checklistPesertaKemenkeu!$AY$6:$AY$1005="Direkomendasikan",ROW($6:$1005)-5),740)),BidangList,0)),INDEX(checklistPesertaKemenkeu!$O$6:$O$1005,SMALL(IF(checklistPesertaKemenkeu!$AY$6:$AY$1005="Direkomendasikan",ROW($6:$1005)-5),740)))&gt;0,COUNTIF(INDIRECT("'KERTAS KERJA'!K"&amp;(SMALL(IF(checklistPesertaKemenkeu!$AY$6:$AY$1005="Direkomendasikan",ROW($6:$1005)-5),740)+5)&amp;":O"&amp;(SMALL(IF(checklistPesertaKemenkeu!$AY$6:$AY$1005="Direkomendasikan",ROW($6:$1005)-5),740)+5)),INDEX(checklistPesertaKemenkeu!$O$6:$O$1005,SMALL(IF(checklistPesertaKemenkeu!$AY$6:$AY$1005="Direkomendasikan",ROW($6:$1005)-5),740)))=1),IFERROR(VLOOKUP(INDEX(checklistPesertaKemenkeu!$O$6:$O$1005,SMALL(IF(checklistPesertaKemenkeu!$AY$6:$AY$1005="Direkomendasikan",ROW($6:$1005)-5),740)),KotaKode,2,0),"-"),"")),"")</f>
        <v/>
      </c>
      <c r="L741" t="str">
        <f t="array" aca="1" ref="L741" ca="1">IFERROR(IF(OR(INDEX(checklistPesertaKemenkeu!$P$6:$P$1005,SMALL(IF(checklistPesertaKemenkeu!$AY$6:$AY$1005="Direkomendasikan",ROW($6:$1005)-5),740))="",INDEX(checklistPesertaKemenkeu!$J$6:$J$1005,SMALL(IF(checklistPesertaKemenkeu!$AY$6:$AY$1005="Direkomendasikan",ROW($6:$1005)-5),740))=""),"",IF(AND(COUNTIF(INDIRECT("K_"&amp;MATCH(INDEX(checklistPesertaKemenkeu!$J$6:$J$1005,SMALL(IF(checklistPesertaKemenkeu!$AY$6:$AY$1005="Direkomendasikan",ROW($6:$1005)-5),740)),BidangList,0)),INDEX(checklistPesertaKemenkeu!$P$6:$P$1005,SMALL(IF(checklistPesertaKemenkeu!$AY$6:$AY$1005="Direkomendasikan",ROW($6:$1005)-5),740)))&gt;0,COUNTIF(INDIRECT("'KERTAS KERJA'!K"&amp;(SMALL(IF(checklistPesertaKemenkeu!$AY$6:$AY$1005="Direkomendasikan",ROW($6:$1005)-5),740)+5)&amp;":O"&amp;(SMALL(IF(checklistPesertaKemenkeu!$AY$6:$AY$1005="Direkomendasikan",ROW($6:$1005)-5),740)+5)),INDEX(checklistPesertaKemenkeu!$P$6:$P$1005,SMALL(IF(checklistPesertaKemenkeu!$AY$6:$AY$1005="Direkomendasikan",ROW($6:$1005)-5),740)))=1),IFERROR(VLOOKUP(INDEX(checklistPesertaKemenkeu!$P$6:$P$1005,SMALL(IF(checklistPesertaKemenkeu!$AY$6:$AY$1005="Direkomendasikan",ROW($6:$1005)-5),740)),KotaKode,2,0),"-"),"")),"")</f>
        <v/>
      </c>
    </row>
    <row r="742" spans="1:12" ht="15" customHeight="1" x14ac:dyDescent="0.2">
      <c r="A742" t="str">
        <f t="shared" si="11"/>
        <v/>
      </c>
      <c r="B742" t="str">
        <v/>
      </c>
      <c r="C742" s="40" t="str">
        <f t="array" ref="C742">IFERROR(INDEX(checklistPesertaKemenkeu!$F$6:$F$1005,SMALL(IF(checklistPesertaKemenkeu!$AY$6:$AY$1005="Direkomendasikan",ROW($6:$1005)-5),741)),"")</f>
        <v/>
      </c>
      <c r="D742" t="str">
        <f t="array" ref="D742">IFERROR(INDEX(checklistPesertaKemenkeu!$G$6:$G$1005,SMALL(IF(checklistPesertaKemenkeu!$AY$6:$AY$1005="Direkomendasikan",ROW($6:$1005)-5),741)),"")</f>
        <v/>
      </c>
      <c r="E742" t="str">
        <f t="array" ref="E742">IFERROR(INDEX(checklistPesertaKemenkeu!$H$6:$H$1005,SMALL(IF(checklistPesertaKemenkeu!$AY$6:$AY$1005="Direkomendasikan",ROW($6:$1005)-5),741)),"")</f>
        <v/>
      </c>
      <c r="F742" t="str">
        <f t="array" ref="F742">IFERROR(INDEX(checklistPesertaKemenkeu!$I$6:$I$1005,SMALL(IF(checklistPesertaKemenkeu!$AY$6:$AY$1005="Direkomendasikan",ROW($6:$1005)-5),741)),"")</f>
        <v/>
      </c>
      <c r="G742" t="str">
        <f t="array" ref="G742">IFERROR(INDEX(checklistPesertaKemenkeu!$J$6:$J$1005,SMALL(IF(checklistPesertaKemenkeu!$AY$6:$AY$1005="Direkomendasikan",ROW($6:$1005)-5),741)),"")</f>
        <v/>
      </c>
      <c r="H742" t="str">
        <f t="array" aca="1" ref="H742" ca="1">IFERROR(IF(OR(INDEX(checklistPesertaKemenkeu!$L$6:$L$1005,SMALL(IF(checklistPesertaKemenkeu!$AY$6:$AY$1005="Direkomendasikan",ROW($6:$1005)-5),741))="",INDEX(checklistPesertaKemenkeu!$J$6:$J$1005,SMALL(IF(checklistPesertaKemenkeu!$AY$6:$AY$1005="Direkomendasikan",ROW($6:$1005)-5),741))=""),"",IF(AND(COUNTIF(INDIRECT("K_"&amp;MATCH(INDEX(checklistPesertaKemenkeu!$J$6:$J$1005,SMALL(IF(checklistPesertaKemenkeu!$AY$6:$AY$1005="Direkomendasikan",ROW($6:$1005)-5),741)),BidangList,0)),INDEX(checklistPesertaKemenkeu!$L$6:$L$1005,SMALL(IF(checklistPesertaKemenkeu!$AY$6:$AY$1005="Direkomendasikan",ROW($6:$1005)-5),741)))&gt;0,COUNTIF(INDIRECT("'KERTAS KERJA'!K"&amp;(SMALL(IF(checklistPesertaKemenkeu!$AY$6:$AY$1005="Direkomendasikan",ROW($6:$1005)-5),741)+5)&amp;":O"&amp;(SMALL(IF(checklistPesertaKemenkeu!$AY$6:$AY$1005="Direkomendasikan",ROW($6:$1005)-5),741)+5)),INDEX(checklistPesertaKemenkeu!$L$6:$L$1005,SMALL(IF(checklistPesertaKemenkeu!$AY$6:$AY$1005="Direkomendasikan",ROW($6:$1005)-5),741)))=1),IFERROR(VLOOKUP(INDEX(checklistPesertaKemenkeu!$L$6:$L$1005,SMALL(IF(checklistPesertaKemenkeu!$AY$6:$AY$1005="Direkomendasikan",ROW($6:$1005)-5),741)),KotaKode,2,0),"-"),"")),"")</f>
        <v/>
      </c>
      <c r="I742" t="str">
        <f t="array" aca="1" ref="I742" ca="1">IFERROR(IF(OR(INDEX(checklistPesertaKemenkeu!$M$6:$M$1005,SMALL(IF(checklistPesertaKemenkeu!$AY$6:$AY$1005="Direkomendasikan",ROW($6:$1005)-5),741))="",INDEX(checklistPesertaKemenkeu!$J$6:$J$1005,SMALL(IF(checklistPesertaKemenkeu!$AY$6:$AY$1005="Direkomendasikan",ROW($6:$1005)-5),741))=""),"",IF(AND(COUNTIF(INDIRECT("K_"&amp;MATCH(INDEX(checklistPesertaKemenkeu!$J$6:$J$1005,SMALL(IF(checklistPesertaKemenkeu!$AY$6:$AY$1005="Direkomendasikan",ROW($6:$1005)-5),741)),BidangList,0)),INDEX(checklistPesertaKemenkeu!$M$6:$M$1005,SMALL(IF(checklistPesertaKemenkeu!$AY$6:$AY$1005="Direkomendasikan",ROW($6:$1005)-5),741)))&gt;0,COUNTIF(INDIRECT("'KERTAS KERJA'!K"&amp;(SMALL(IF(checklistPesertaKemenkeu!$AY$6:$AY$1005="Direkomendasikan",ROW($6:$1005)-5),741)+5)&amp;":O"&amp;(SMALL(IF(checklistPesertaKemenkeu!$AY$6:$AY$1005="Direkomendasikan",ROW($6:$1005)-5),741)+5)),INDEX(checklistPesertaKemenkeu!$M$6:$M$1005,SMALL(IF(checklistPesertaKemenkeu!$AY$6:$AY$1005="Direkomendasikan",ROW($6:$1005)-5),741)))=1),IFERROR(VLOOKUP(INDEX(checklistPesertaKemenkeu!$M$6:$M$1005,SMALL(IF(checklistPesertaKemenkeu!$AY$6:$AY$1005="Direkomendasikan",ROW($6:$1005)-5),741)),KotaKode,2,0),"-"),"")),"")</f>
        <v/>
      </c>
      <c r="J742" t="str">
        <f t="array" aca="1" ref="J742" ca="1">IFERROR(IF(OR(INDEX(checklistPesertaKemenkeu!$N$6:$N$1005,SMALL(IF(checklistPesertaKemenkeu!$AY$6:$AY$1005="Direkomendasikan",ROW($6:$1005)-5),741))="",INDEX(checklistPesertaKemenkeu!$J$6:$J$1005,SMALL(IF(checklistPesertaKemenkeu!$AY$6:$AY$1005="Direkomendasikan",ROW($6:$1005)-5),741))=""),"",IF(AND(COUNTIF(INDIRECT("K_"&amp;MATCH(INDEX(checklistPesertaKemenkeu!$J$6:$J$1005,SMALL(IF(checklistPesertaKemenkeu!$AY$6:$AY$1005="Direkomendasikan",ROW($6:$1005)-5),741)),BidangList,0)),INDEX(checklistPesertaKemenkeu!$N$6:$N$1005,SMALL(IF(checklistPesertaKemenkeu!$AY$6:$AY$1005="Direkomendasikan",ROW($6:$1005)-5),741)))&gt;0,COUNTIF(INDIRECT("'KERTAS KERJA'!K"&amp;(SMALL(IF(checklistPesertaKemenkeu!$AY$6:$AY$1005="Direkomendasikan",ROW($6:$1005)-5),741)+5)&amp;":O"&amp;(SMALL(IF(checklistPesertaKemenkeu!$AY$6:$AY$1005="Direkomendasikan",ROW($6:$1005)-5),741)+5)),INDEX(checklistPesertaKemenkeu!$N$6:$N$1005,SMALL(IF(checklistPesertaKemenkeu!$AY$6:$AY$1005="Direkomendasikan",ROW($6:$1005)-5),741)))=1),IFERROR(VLOOKUP(INDEX(checklistPesertaKemenkeu!$N$6:$N$1005,SMALL(IF(checklistPesertaKemenkeu!$AY$6:$AY$1005="Direkomendasikan",ROW($6:$1005)-5),741)),KotaKode,2,0),"-"),"")),"")</f>
        <v/>
      </c>
      <c r="K742" t="str">
        <f t="array" aca="1" ref="K742" ca="1">IFERROR(IF(OR(INDEX(checklistPesertaKemenkeu!$O$6:$O$1005,SMALL(IF(checklistPesertaKemenkeu!$AY$6:$AY$1005="Direkomendasikan",ROW($6:$1005)-5),741))="",INDEX(checklistPesertaKemenkeu!$J$6:$J$1005,SMALL(IF(checklistPesertaKemenkeu!$AY$6:$AY$1005="Direkomendasikan",ROW($6:$1005)-5),741))=""),"",IF(AND(COUNTIF(INDIRECT("K_"&amp;MATCH(INDEX(checklistPesertaKemenkeu!$J$6:$J$1005,SMALL(IF(checklistPesertaKemenkeu!$AY$6:$AY$1005="Direkomendasikan",ROW($6:$1005)-5),741)),BidangList,0)),INDEX(checklistPesertaKemenkeu!$O$6:$O$1005,SMALL(IF(checklistPesertaKemenkeu!$AY$6:$AY$1005="Direkomendasikan",ROW($6:$1005)-5),741)))&gt;0,COUNTIF(INDIRECT("'KERTAS KERJA'!K"&amp;(SMALL(IF(checklistPesertaKemenkeu!$AY$6:$AY$1005="Direkomendasikan",ROW($6:$1005)-5),741)+5)&amp;":O"&amp;(SMALL(IF(checklistPesertaKemenkeu!$AY$6:$AY$1005="Direkomendasikan",ROW($6:$1005)-5),741)+5)),INDEX(checklistPesertaKemenkeu!$O$6:$O$1005,SMALL(IF(checklistPesertaKemenkeu!$AY$6:$AY$1005="Direkomendasikan",ROW($6:$1005)-5),741)))=1),IFERROR(VLOOKUP(INDEX(checklistPesertaKemenkeu!$O$6:$O$1005,SMALL(IF(checklistPesertaKemenkeu!$AY$6:$AY$1005="Direkomendasikan",ROW($6:$1005)-5),741)),KotaKode,2,0),"-"),"")),"")</f>
        <v/>
      </c>
      <c r="L742" t="str">
        <f t="array" aca="1" ref="L742" ca="1">IFERROR(IF(OR(INDEX(checklistPesertaKemenkeu!$P$6:$P$1005,SMALL(IF(checklistPesertaKemenkeu!$AY$6:$AY$1005="Direkomendasikan",ROW($6:$1005)-5),741))="",INDEX(checklistPesertaKemenkeu!$J$6:$J$1005,SMALL(IF(checklistPesertaKemenkeu!$AY$6:$AY$1005="Direkomendasikan",ROW($6:$1005)-5),741))=""),"",IF(AND(COUNTIF(INDIRECT("K_"&amp;MATCH(INDEX(checklistPesertaKemenkeu!$J$6:$J$1005,SMALL(IF(checklistPesertaKemenkeu!$AY$6:$AY$1005="Direkomendasikan",ROW($6:$1005)-5),741)),BidangList,0)),INDEX(checklistPesertaKemenkeu!$P$6:$P$1005,SMALL(IF(checklistPesertaKemenkeu!$AY$6:$AY$1005="Direkomendasikan",ROW($6:$1005)-5),741)))&gt;0,COUNTIF(INDIRECT("'KERTAS KERJA'!K"&amp;(SMALL(IF(checklistPesertaKemenkeu!$AY$6:$AY$1005="Direkomendasikan",ROW($6:$1005)-5),741)+5)&amp;":O"&amp;(SMALL(IF(checklistPesertaKemenkeu!$AY$6:$AY$1005="Direkomendasikan",ROW($6:$1005)-5),741)+5)),INDEX(checklistPesertaKemenkeu!$P$6:$P$1005,SMALL(IF(checklistPesertaKemenkeu!$AY$6:$AY$1005="Direkomendasikan",ROW($6:$1005)-5),741)))=1),IFERROR(VLOOKUP(INDEX(checklistPesertaKemenkeu!$P$6:$P$1005,SMALL(IF(checklistPesertaKemenkeu!$AY$6:$AY$1005="Direkomendasikan",ROW($6:$1005)-5),741)),KotaKode,2,0),"-"),"")),"")</f>
        <v/>
      </c>
    </row>
    <row r="743" spans="1:12" ht="15" customHeight="1" x14ac:dyDescent="0.2">
      <c r="A743" t="str">
        <f t="shared" si="11"/>
        <v/>
      </c>
      <c r="B743" t="str">
        <v/>
      </c>
      <c r="C743" s="40" t="str">
        <f t="array" ref="C743">IFERROR(INDEX(checklistPesertaKemenkeu!$F$6:$F$1005,SMALL(IF(checklistPesertaKemenkeu!$AY$6:$AY$1005="Direkomendasikan",ROW($6:$1005)-5),742)),"")</f>
        <v/>
      </c>
      <c r="D743" t="str">
        <f t="array" ref="D743">IFERROR(INDEX(checklistPesertaKemenkeu!$G$6:$G$1005,SMALL(IF(checklistPesertaKemenkeu!$AY$6:$AY$1005="Direkomendasikan",ROW($6:$1005)-5),742)),"")</f>
        <v/>
      </c>
      <c r="E743" t="str">
        <f t="array" ref="E743">IFERROR(INDEX(checklistPesertaKemenkeu!$H$6:$H$1005,SMALL(IF(checklistPesertaKemenkeu!$AY$6:$AY$1005="Direkomendasikan",ROW($6:$1005)-5),742)),"")</f>
        <v/>
      </c>
      <c r="F743" t="str">
        <f t="array" ref="F743">IFERROR(INDEX(checklistPesertaKemenkeu!$I$6:$I$1005,SMALL(IF(checklistPesertaKemenkeu!$AY$6:$AY$1005="Direkomendasikan",ROW($6:$1005)-5),742)),"")</f>
        <v/>
      </c>
      <c r="G743" t="str">
        <f t="array" ref="G743">IFERROR(INDEX(checklistPesertaKemenkeu!$J$6:$J$1005,SMALL(IF(checklistPesertaKemenkeu!$AY$6:$AY$1005="Direkomendasikan",ROW($6:$1005)-5),742)),"")</f>
        <v/>
      </c>
      <c r="H743" t="str">
        <f t="array" aca="1" ref="H743" ca="1">IFERROR(IF(OR(INDEX(checklistPesertaKemenkeu!$L$6:$L$1005,SMALL(IF(checklistPesertaKemenkeu!$AY$6:$AY$1005="Direkomendasikan",ROW($6:$1005)-5),742))="",INDEX(checklistPesertaKemenkeu!$J$6:$J$1005,SMALL(IF(checklistPesertaKemenkeu!$AY$6:$AY$1005="Direkomendasikan",ROW($6:$1005)-5),742))=""),"",IF(AND(COUNTIF(INDIRECT("K_"&amp;MATCH(INDEX(checklistPesertaKemenkeu!$J$6:$J$1005,SMALL(IF(checklistPesertaKemenkeu!$AY$6:$AY$1005="Direkomendasikan",ROW($6:$1005)-5),742)),BidangList,0)),INDEX(checklistPesertaKemenkeu!$L$6:$L$1005,SMALL(IF(checklistPesertaKemenkeu!$AY$6:$AY$1005="Direkomendasikan",ROW($6:$1005)-5),742)))&gt;0,COUNTIF(INDIRECT("'KERTAS KERJA'!K"&amp;(SMALL(IF(checklistPesertaKemenkeu!$AY$6:$AY$1005="Direkomendasikan",ROW($6:$1005)-5),742)+5)&amp;":O"&amp;(SMALL(IF(checklistPesertaKemenkeu!$AY$6:$AY$1005="Direkomendasikan",ROW($6:$1005)-5),742)+5)),INDEX(checklistPesertaKemenkeu!$L$6:$L$1005,SMALL(IF(checklistPesertaKemenkeu!$AY$6:$AY$1005="Direkomendasikan",ROW($6:$1005)-5),742)))=1),IFERROR(VLOOKUP(INDEX(checklistPesertaKemenkeu!$L$6:$L$1005,SMALL(IF(checklistPesertaKemenkeu!$AY$6:$AY$1005="Direkomendasikan",ROW($6:$1005)-5),742)),KotaKode,2,0),"-"),"")),"")</f>
        <v/>
      </c>
      <c r="I743" t="str">
        <f t="array" aca="1" ref="I743" ca="1">IFERROR(IF(OR(INDEX(checklistPesertaKemenkeu!$M$6:$M$1005,SMALL(IF(checklistPesertaKemenkeu!$AY$6:$AY$1005="Direkomendasikan",ROW($6:$1005)-5),742))="",INDEX(checklistPesertaKemenkeu!$J$6:$J$1005,SMALL(IF(checklistPesertaKemenkeu!$AY$6:$AY$1005="Direkomendasikan",ROW($6:$1005)-5),742))=""),"",IF(AND(COUNTIF(INDIRECT("K_"&amp;MATCH(INDEX(checklistPesertaKemenkeu!$J$6:$J$1005,SMALL(IF(checklistPesertaKemenkeu!$AY$6:$AY$1005="Direkomendasikan",ROW($6:$1005)-5),742)),BidangList,0)),INDEX(checklistPesertaKemenkeu!$M$6:$M$1005,SMALL(IF(checklistPesertaKemenkeu!$AY$6:$AY$1005="Direkomendasikan",ROW($6:$1005)-5),742)))&gt;0,COUNTIF(INDIRECT("'KERTAS KERJA'!K"&amp;(SMALL(IF(checklistPesertaKemenkeu!$AY$6:$AY$1005="Direkomendasikan",ROW($6:$1005)-5),742)+5)&amp;":O"&amp;(SMALL(IF(checklistPesertaKemenkeu!$AY$6:$AY$1005="Direkomendasikan",ROW($6:$1005)-5),742)+5)),INDEX(checklistPesertaKemenkeu!$M$6:$M$1005,SMALL(IF(checklistPesertaKemenkeu!$AY$6:$AY$1005="Direkomendasikan",ROW($6:$1005)-5),742)))=1),IFERROR(VLOOKUP(INDEX(checklistPesertaKemenkeu!$M$6:$M$1005,SMALL(IF(checklistPesertaKemenkeu!$AY$6:$AY$1005="Direkomendasikan",ROW($6:$1005)-5),742)),KotaKode,2,0),"-"),"")),"")</f>
        <v/>
      </c>
      <c r="J743" t="str">
        <f t="array" aca="1" ref="J743" ca="1">IFERROR(IF(OR(INDEX(checklistPesertaKemenkeu!$N$6:$N$1005,SMALL(IF(checklistPesertaKemenkeu!$AY$6:$AY$1005="Direkomendasikan",ROW($6:$1005)-5),742))="",INDEX(checklistPesertaKemenkeu!$J$6:$J$1005,SMALL(IF(checklistPesertaKemenkeu!$AY$6:$AY$1005="Direkomendasikan",ROW($6:$1005)-5),742))=""),"",IF(AND(COUNTIF(INDIRECT("K_"&amp;MATCH(INDEX(checklistPesertaKemenkeu!$J$6:$J$1005,SMALL(IF(checklistPesertaKemenkeu!$AY$6:$AY$1005="Direkomendasikan",ROW($6:$1005)-5),742)),BidangList,0)),INDEX(checklistPesertaKemenkeu!$N$6:$N$1005,SMALL(IF(checklistPesertaKemenkeu!$AY$6:$AY$1005="Direkomendasikan",ROW($6:$1005)-5),742)))&gt;0,COUNTIF(INDIRECT("'KERTAS KERJA'!K"&amp;(SMALL(IF(checklistPesertaKemenkeu!$AY$6:$AY$1005="Direkomendasikan",ROW($6:$1005)-5),742)+5)&amp;":O"&amp;(SMALL(IF(checklistPesertaKemenkeu!$AY$6:$AY$1005="Direkomendasikan",ROW($6:$1005)-5),742)+5)),INDEX(checklistPesertaKemenkeu!$N$6:$N$1005,SMALL(IF(checklistPesertaKemenkeu!$AY$6:$AY$1005="Direkomendasikan",ROW($6:$1005)-5),742)))=1),IFERROR(VLOOKUP(INDEX(checklistPesertaKemenkeu!$N$6:$N$1005,SMALL(IF(checklistPesertaKemenkeu!$AY$6:$AY$1005="Direkomendasikan",ROW($6:$1005)-5),742)),KotaKode,2,0),"-"),"")),"")</f>
        <v/>
      </c>
      <c r="K743" t="str">
        <f t="array" aca="1" ref="K743" ca="1">IFERROR(IF(OR(INDEX(checklistPesertaKemenkeu!$O$6:$O$1005,SMALL(IF(checklistPesertaKemenkeu!$AY$6:$AY$1005="Direkomendasikan",ROW($6:$1005)-5),742))="",INDEX(checklistPesertaKemenkeu!$J$6:$J$1005,SMALL(IF(checklistPesertaKemenkeu!$AY$6:$AY$1005="Direkomendasikan",ROW($6:$1005)-5),742))=""),"",IF(AND(COUNTIF(INDIRECT("K_"&amp;MATCH(INDEX(checklistPesertaKemenkeu!$J$6:$J$1005,SMALL(IF(checklistPesertaKemenkeu!$AY$6:$AY$1005="Direkomendasikan",ROW($6:$1005)-5),742)),BidangList,0)),INDEX(checklistPesertaKemenkeu!$O$6:$O$1005,SMALL(IF(checklistPesertaKemenkeu!$AY$6:$AY$1005="Direkomendasikan",ROW($6:$1005)-5),742)))&gt;0,COUNTIF(INDIRECT("'KERTAS KERJA'!K"&amp;(SMALL(IF(checklistPesertaKemenkeu!$AY$6:$AY$1005="Direkomendasikan",ROW($6:$1005)-5),742)+5)&amp;":O"&amp;(SMALL(IF(checklistPesertaKemenkeu!$AY$6:$AY$1005="Direkomendasikan",ROW($6:$1005)-5),742)+5)),INDEX(checklistPesertaKemenkeu!$O$6:$O$1005,SMALL(IF(checklistPesertaKemenkeu!$AY$6:$AY$1005="Direkomendasikan",ROW($6:$1005)-5),742)))=1),IFERROR(VLOOKUP(INDEX(checklistPesertaKemenkeu!$O$6:$O$1005,SMALL(IF(checklistPesertaKemenkeu!$AY$6:$AY$1005="Direkomendasikan",ROW($6:$1005)-5),742)),KotaKode,2,0),"-"),"")),"")</f>
        <v/>
      </c>
      <c r="L743" t="str">
        <f t="array" aca="1" ref="L743" ca="1">IFERROR(IF(OR(INDEX(checklistPesertaKemenkeu!$P$6:$P$1005,SMALL(IF(checklistPesertaKemenkeu!$AY$6:$AY$1005="Direkomendasikan",ROW($6:$1005)-5),742))="",INDEX(checklistPesertaKemenkeu!$J$6:$J$1005,SMALL(IF(checklistPesertaKemenkeu!$AY$6:$AY$1005="Direkomendasikan",ROW($6:$1005)-5),742))=""),"",IF(AND(COUNTIF(INDIRECT("K_"&amp;MATCH(INDEX(checklistPesertaKemenkeu!$J$6:$J$1005,SMALL(IF(checklistPesertaKemenkeu!$AY$6:$AY$1005="Direkomendasikan",ROW($6:$1005)-5),742)),BidangList,0)),INDEX(checklistPesertaKemenkeu!$P$6:$P$1005,SMALL(IF(checklistPesertaKemenkeu!$AY$6:$AY$1005="Direkomendasikan",ROW($6:$1005)-5),742)))&gt;0,COUNTIF(INDIRECT("'KERTAS KERJA'!K"&amp;(SMALL(IF(checklistPesertaKemenkeu!$AY$6:$AY$1005="Direkomendasikan",ROW($6:$1005)-5),742)+5)&amp;":O"&amp;(SMALL(IF(checklistPesertaKemenkeu!$AY$6:$AY$1005="Direkomendasikan",ROW($6:$1005)-5),742)+5)),INDEX(checklistPesertaKemenkeu!$P$6:$P$1005,SMALL(IF(checklistPesertaKemenkeu!$AY$6:$AY$1005="Direkomendasikan",ROW($6:$1005)-5),742)))=1),IFERROR(VLOOKUP(INDEX(checklistPesertaKemenkeu!$P$6:$P$1005,SMALL(IF(checklistPesertaKemenkeu!$AY$6:$AY$1005="Direkomendasikan",ROW($6:$1005)-5),742)),KotaKode,2,0),"-"),"")),"")</f>
        <v/>
      </c>
    </row>
    <row r="744" spans="1:12" ht="15" customHeight="1" x14ac:dyDescent="0.2">
      <c r="A744" t="str">
        <f t="shared" si="11"/>
        <v/>
      </c>
      <c r="B744" t="str">
        <v/>
      </c>
      <c r="C744" s="40" t="str">
        <f t="array" ref="C744">IFERROR(INDEX(checklistPesertaKemenkeu!$F$6:$F$1005,SMALL(IF(checklistPesertaKemenkeu!$AY$6:$AY$1005="Direkomendasikan",ROW($6:$1005)-5),743)),"")</f>
        <v/>
      </c>
      <c r="D744" t="str">
        <f t="array" ref="D744">IFERROR(INDEX(checklistPesertaKemenkeu!$G$6:$G$1005,SMALL(IF(checklistPesertaKemenkeu!$AY$6:$AY$1005="Direkomendasikan",ROW($6:$1005)-5),743)),"")</f>
        <v/>
      </c>
      <c r="E744" t="str">
        <f t="array" ref="E744">IFERROR(INDEX(checklistPesertaKemenkeu!$H$6:$H$1005,SMALL(IF(checklistPesertaKemenkeu!$AY$6:$AY$1005="Direkomendasikan",ROW($6:$1005)-5),743)),"")</f>
        <v/>
      </c>
      <c r="F744" t="str">
        <f t="array" ref="F744">IFERROR(INDEX(checklistPesertaKemenkeu!$I$6:$I$1005,SMALL(IF(checklistPesertaKemenkeu!$AY$6:$AY$1005="Direkomendasikan",ROW($6:$1005)-5),743)),"")</f>
        <v/>
      </c>
      <c r="G744" t="str">
        <f t="array" ref="G744">IFERROR(INDEX(checklistPesertaKemenkeu!$J$6:$J$1005,SMALL(IF(checklistPesertaKemenkeu!$AY$6:$AY$1005="Direkomendasikan",ROW($6:$1005)-5),743)),"")</f>
        <v/>
      </c>
      <c r="H744" t="str">
        <f t="array" aca="1" ref="H744" ca="1">IFERROR(IF(OR(INDEX(checklistPesertaKemenkeu!$L$6:$L$1005,SMALL(IF(checklistPesertaKemenkeu!$AY$6:$AY$1005="Direkomendasikan",ROW($6:$1005)-5),743))="",INDEX(checklistPesertaKemenkeu!$J$6:$J$1005,SMALL(IF(checklistPesertaKemenkeu!$AY$6:$AY$1005="Direkomendasikan",ROW($6:$1005)-5),743))=""),"",IF(AND(COUNTIF(INDIRECT("K_"&amp;MATCH(INDEX(checklistPesertaKemenkeu!$J$6:$J$1005,SMALL(IF(checklistPesertaKemenkeu!$AY$6:$AY$1005="Direkomendasikan",ROW($6:$1005)-5),743)),BidangList,0)),INDEX(checklistPesertaKemenkeu!$L$6:$L$1005,SMALL(IF(checklistPesertaKemenkeu!$AY$6:$AY$1005="Direkomendasikan",ROW($6:$1005)-5),743)))&gt;0,COUNTIF(INDIRECT("'KERTAS KERJA'!K"&amp;(SMALL(IF(checklistPesertaKemenkeu!$AY$6:$AY$1005="Direkomendasikan",ROW($6:$1005)-5),743)+5)&amp;":O"&amp;(SMALL(IF(checklistPesertaKemenkeu!$AY$6:$AY$1005="Direkomendasikan",ROW($6:$1005)-5),743)+5)),INDEX(checklistPesertaKemenkeu!$L$6:$L$1005,SMALL(IF(checklistPesertaKemenkeu!$AY$6:$AY$1005="Direkomendasikan",ROW($6:$1005)-5),743)))=1),IFERROR(VLOOKUP(INDEX(checklistPesertaKemenkeu!$L$6:$L$1005,SMALL(IF(checklistPesertaKemenkeu!$AY$6:$AY$1005="Direkomendasikan",ROW($6:$1005)-5),743)),KotaKode,2,0),"-"),"")),"")</f>
        <v/>
      </c>
      <c r="I744" t="str">
        <f t="array" aca="1" ref="I744" ca="1">IFERROR(IF(OR(INDEX(checklistPesertaKemenkeu!$M$6:$M$1005,SMALL(IF(checklistPesertaKemenkeu!$AY$6:$AY$1005="Direkomendasikan",ROW($6:$1005)-5),743))="",INDEX(checklistPesertaKemenkeu!$J$6:$J$1005,SMALL(IF(checklistPesertaKemenkeu!$AY$6:$AY$1005="Direkomendasikan",ROW($6:$1005)-5),743))=""),"",IF(AND(COUNTIF(INDIRECT("K_"&amp;MATCH(INDEX(checklistPesertaKemenkeu!$J$6:$J$1005,SMALL(IF(checklistPesertaKemenkeu!$AY$6:$AY$1005="Direkomendasikan",ROW($6:$1005)-5),743)),BidangList,0)),INDEX(checklistPesertaKemenkeu!$M$6:$M$1005,SMALL(IF(checklistPesertaKemenkeu!$AY$6:$AY$1005="Direkomendasikan",ROW($6:$1005)-5),743)))&gt;0,COUNTIF(INDIRECT("'KERTAS KERJA'!K"&amp;(SMALL(IF(checklistPesertaKemenkeu!$AY$6:$AY$1005="Direkomendasikan",ROW($6:$1005)-5),743)+5)&amp;":O"&amp;(SMALL(IF(checklistPesertaKemenkeu!$AY$6:$AY$1005="Direkomendasikan",ROW($6:$1005)-5),743)+5)),INDEX(checklistPesertaKemenkeu!$M$6:$M$1005,SMALL(IF(checklistPesertaKemenkeu!$AY$6:$AY$1005="Direkomendasikan",ROW($6:$1005)-5),743)))=1),IFERROR(VLOOKUP(INDEX(checklistPesertaKemenkeu!$M$6:$M$1005,SMALL(IF(checklistPesertaKemenkeu!$AY$6:$AY$1005="Direkomendasikan",ROW($6:$1005)-5),743)),KotaKode,2,0),"-"),"")),"")</f>
        <v/>
      </c>
      <c r="J744" t="str">
        <f t="array" aca="1" ref="J744" ca="1">IFERROR(IF(OR(INDEX(checklistPesertaKemenkeu!$N$6:$N$1005,SMALL(IF(checklistPesertaKemenkeu!$AY$6:$AY$1005="Direkomendasikan",ROW($6:$1005)-5),743))="",INDEX(checklistPesertaKemenkeu!$J$6:$J$1005,SMALL(IF(checklistPesertaKemenkeu!$AY$6:$AY$1005="Direkomendasikan",ROW($6:$1005)-5),743))=""),"",IF(AND(COUNTIF(INDIRECT("K_"&amp;MATCH(INDEX(checklistPesertaKemenkeu!$J$6:$J$1005,SMALL(IF(checklistPesertaKemenkeu!$AY$6:$AY$1005="Direkomendasikan",ROW($6:$1005)-5),743)),BidangList,0)),INDEX(checklistPesertaKemenkeu!$N$6:$N$1005,SMALL(IF(checklistPesertaKemenkeu!$AY$6:$AY$1005="Direkomendasikan",ROW($6:$1005)-5),743)))&gt;0,COUNTIF(INDIRECT("'KERTAS KERJA'!K"&amp;(SMALL(IF(checklistPesertaKemenkeu!$AY$6:$AY$1005="Direkomendasikan",ROW($6:$1005)-5),743)+5)&amp;":O"&amp;(SMALL(IF(checklistPesertaKemenkeu!$AY$6:$AY$1005="Direkomendasikan",ROW($6:$1005)-5),743)+5)),INDEX(checklistPesertaKemenkeu!$N$6:$N$1005,SMALL(IF(checklistPesertaKemenkeu!$AY$6:$AY$1005="Direkomendasikan",ROW($6:$1005)-5),743)))=1),IFERROR(VLOOKUP(INDEX(checklistPesertaKemenkeu!$N$6:$N$1005,SMALL(IF(checklistPesertaKemenkeu!$AY$6:$AY$1005="Direkomendasikan",ROW($6:$1005)-5),743)),KotaKode,2,0),"-"),"")),"")</f>
        <v/>
      </c>
      <c r="K744" t="str">
        <f t="array" aca="1" ref="K744" ca="1">IFERROR(IF(OR(INDEX(checklistPesertaKemenkeu!$O$6:$O$1005,SMALL(IF(checklistPesertaKemenkeu!$AY$6:$AY$1005="Direkomendasikan",ROW($6:$1005)-5),743))="",INDEX(checklistPesertaKemenkeu!$J$6:$J$1005,SMALL(IF(checklistPesertaKemenkeu!$AY$6:$AY$1005="Direkomendasikan",ROW($6:$1005)-5),743))=""),"",IF(AND(COUNTIF(INDIRECT("K_"&amp;MATCH(INDEX(checklistPesertaKemenkeu!$J$6:$J$1005,SMALL(IF(checklistPesertaKemenkeu!$AY$6:$AY$1005="Direkomendasikan",ROW($6:$1005)-5),743)),BidangList,0)),INDEX(checklistPesertaKemenkeu!$O$6:$O$1005,SMALL(IF(checklistPesertaKemenkeu!$AY$6:$AY$1005="Direkomendasikan",ROW($6:$1005)-5),743)))&gt;0,COUNTIF(INDIRECT("'KERTAS KERJA'!K"&amp;(SMALL(IF(checklistPesertaKemenkeu!$AY$6:$AY$1005="Direkomendasikan",ROW($6:$1005)-5),743)+5)&amp;":O"&amp;(SMALL(IF(checklistPesertaKemenkeu!$AY$6:$AY$1005="Direkomendasikan",ROW($6:$1005)-5),743)+5)),INDEX(checklistPesertaKemenkeu!$O$6:$O$1005,SMALL(IF(checklistPesertaKemenkeu!$AY$6:$AY$1005="Direkomendasikan",ROW($6:$1005)-5),743)))=1),IFERROR(VLOOKUP(INDEX(checklistPesertaKemenkeu!$O$6:$O$1005,SMALL(IF(checklistPesertaKemenkeu!$AY$6:$AY$1005="Direkomendasikan",ROW($6:$1005)-5),743)),KotaKode,2,0),"-"),"")),"")</f>
        <v/>
      </c>
      <c r="L744" t="str">
        <f t="array" aca="1" ref="L744" ca="1">IFERROR(IF(OR(INDEX(checklistPesertaKemenkeu!$P$6:$P$1005,SMALL(IF(checklistPesertaKemenkeu!$AY$6:$AY$1005="Direkomendasikan",ROW($6:$1005)-5),743))="",INDEX(checklistPesertaKemenkeu!$J$6:$J$1005,SMALL(IF(checklistPesertaKemenkeu!$AY$6:$AY$1005="Direkomendasikan",ROW($6:$1005)-5),743))=""),"",IF(AND(COUNTIF(INDIRECT("K_"&amp;MATCH(INDEX(checklistPesertaKemenkeu!$J$6:$J$1005,SMALL(IF(checklistPesertaKemenkeu!$AY$6:$AY$1005="Direkomendasikan",ROW($6:$1005)-5),743)),BidangList,0)),INDEX(checklistPesertaKemenkeu!$P$6:$P$1005,SMALL(IF(checklistPesertaKemenkeu!$AY$6:$AY$1005="Direkomendasikan",ROW($6:$1005)-5),743)))&gt;0,COUNTIF(INDIRECT("'KERTAS KERJA'!K"&amp;(SMALL(IF(checklistPesertaKemenkeu!$AY$6:$AY$1005="Direkomendasikan",ROW($6:$1005)-5),743)+5)&amp;":O"&amp;(SMALL(IF(checklistPesertaKemenkeu!$AY$6:$AY$1005="Direkomendasikan",ROW($6:$1005)-5),743)+5)),INDEX(checklistPesertaKemenkeu!$P$6:$P$1005,SMALL(IF(checklistPesertaKemenkeu!$AY$6:$AY$1005="Direkomendasikan",ROW($6:$1005)-5),743)))=1),IFERROR(VLOOKUP(INDEX(checklistPesertaKemenkeu!$P$6:$P$1005,SMALL(IF(checklistPesertaKemenkeu!$AY$6:$AY$1005="Direkomendasikan",ROW($6:$1005)-5),743)),KotaKode,2,0),"-"),"")),"")</f>
        <v/>
      </c>
    </row>
    <row r="745" spans="1:12" ht="15" customHeight="1" x14ac:dyDescent="0.2">
      <c r="A745" t="str">
        <f t="shared" si="11"/>
        <v/>
      </c>
      <c r="B745" t="str">
        <v/>
      </c>
      <c r="C745" s="40" t="str">
        <f t="array" ref="C745">IFERROR(INDEX(checklistPesertaKemenkeu!$F$6:$F$1005,SMALL(IF(checklistPesertaKemenkeu!$AY$6:$AY$1005="Direkomendasikan",ROW($6:$1005)-5),744)),"")</f>
        <v/>
      </c>
      <c r="D745" t="str">
        <f t="array" ref="D745">IFERROR(INDEX(checklistPesertaKemenkeu!$G$6:$G$1005,SMALL(IF(checklistPesertaKemenkeu!$AY$6:$AY$1005="Direkomendasikan",ROW($6:$1005)-5),744)),"")</f>
        <v/>
      </c>
      <c r="E745" t="str">
        <f t="array" ref="E745">IFERROR(INDEX(checklistPesertaKemenkeu!$H$6:$H$1005,SMALL(IF(checklistPesertaKemenkeu!$AY$6:$AY$1005="Direkomendasikan",ROW($6:$1005)-5),744)),"")</f>
        <v/>
      </c>
      <c r="F745" t="str">
        <f t="array" ref="F745">IFERROR(INDEX(checklistPesertaKemenkeu!$I$6:$I$1005,SMALL(IF(checklistPesertaKemenkeu!$AY$6:$AY$1005="Direkomendasikan",ROW($6:$1005)-5),744)),"")</f>
        <v/>
      </c>
      <c r="G745" t="str">
        <f t="array" ref="G745">IFERROR(INDEX(checklistPesertaKemenkeu!$J$6:$J$1005,SMALL(IF(checklistPesertaKemenkeu!$AY$6:$AY$1005="Direkomendasikan",ROW($6:$1005)-5),744)),"")</f>
        <v/>
      </c>
      <c r="H745" t="str">
        <f t="array" aca="1" ref="H745" ca="1">IFERROR(IF(OR(INDEX(checklistPesertaKemenkeu!$L$6:$L$1005,SMALL(IF(checklistPesertaKemenkeu!$AY$6:$AY$1005="Direkomendasikan",ROW($6:$1005)-5),744))="",INDEX(checklistPesertaKemenkeu!$J$6:$J$1005,SMALL(IF(checklistPesertaKemenkeu!$AY$6:$AY$1005="Direkomendasikan",ROW($6:$1005)-5),744))=""),"",IF(AND(COUNTIF(INDIRECT("K_"&amp;MATCH(INDEX(checklistPesertaKemenkeu!$J$6:$J$1005,SMALL(IF(checklistPesertaKemenkeu!$AY$6:$AY$1005="Direkomendasikan",ROW($6:$1005)-5),744)),BidangList,0)),INDEX(checklistPesertaKemenkeu!$L$6:$L$1005,SMALL(IF(checklistPesertaKemenkeu!$AY$6:$AY$1005="Direkomendasikan",ROW($6:$1005)-5),744)))&gt;0,COUNTIF(INDIRECT("'KERTAS KERJA'!K"&amp;(SMALL(IF(checklistPesertaKemenkeu!$AY$6:$AY$1005="Direkomendasikan",ROW($6:$1005)-5),744)+5)&amp;":O"&amp;(SMALL(IF(checklistPesertaKemenkeu!$AY$6:$AY$1005="Direkomendasikan",ROW($6:$1005)-5),744)+5)),INDEX(checklistPesertaKemenkeu!$L$6:$L$1005,SMALL(IF(checklistPesertaKemenkeu!$AY$6:$AY$1005="Direkomendasikan",ROW($6:$1005)-5),744)))=1),IFERROR(VLOOKUP(INDEX(checklistPesertaKemenkeu!$L$6:$L$1005,SMALL(IF(checklistPesertaKemenkeu!$AY$6:$AY$1005="Direkomendasikan",ROW($6:$1005)-5),744)),KotaKode,2,0),"-"),"")),"")</f>
        <v/>
      </c>
      <c r="I745" t="str">
        <f t="array" aca="1" ref="I745" ca="1">IFERROR(IF(OR(INDEX(checklistPesertaKemenkeu!$M$6:$M$1005,SMALL(IF(checklistPesertaKemenkeu!$AY$6:$AY$1005="Direkomendasikan",ROW($6:$1005)-5),744))="",INDEX(checklistPesertaKemenkeu!$J$6:$J$1005,SMALL(IF(checklistPesertaKemenkeu!$AY$6:$AY$1005="Direkomendasikan",ROW($6:$1005)-5),744))=""),"",IF(AND(COUNTIF(INDIRECT("K_"&amp;MATCH(INDEX(checklistPesertaKemenkeu!$J$6:$J$1005,SMALL(IF(checklistPesertaKemenkeu!$AY$6:$AY$1005="Direkomendasikan",ROW($6:$1005)-5),744)),BidangList,0)),INDEX(checklistPesertaKemenkeu!$M$6:$M$1005,SMALL(IF(checklistPesertaKemenkeu!$AY$6:$AY$1005="Direkomendasikan",ROW($6:$1005)-5),744)))&gt;0,COUNTIF(INDIRECT("'KERTAS KERJA'!K"&amp;(SMALL(IF(checklistPesertaKemenkeu!$AY$6:$AY$1005="Direkomendasikan",ROW($6:$1005)-5),744)+5)&amp;":O"&amp;(SMALL(IF(checklistPesertaKemenkeu!$AY$6:$AY$1005="Direkomendasikan",ROW($6:$1005)-5),744)+5)),INDEX(checklistPesertaKemenkeu!$M$6:$M$1005,SMALL(IF(checklistPesertaKemenkeu!$AY$6:$AY$1005="Direkomendasikan",ROW($6:$1005)-5),744)))=1),IFERROR(VLOOKUP(INDEX(checklistPesertaKemenkeu!$M$6:$M$1005,SMALL(IF(checklistPesertaKemenkeu!$AY$6:$AY$1005="Direkomendasikan",ROW($6:$1005)-5),744)),KotaKode,2,0),"-"),"")),"")</f>
        <v/>
      </c>
      <c r="J745" t="str">
        <f t="array" aca="1" ref="J745" ca="1">IFERROR(IF(OR(INDEX(checklistPesertaKemenkeu!$N$6:$N$1005,SMALL(IF(checklistPesertaKemenkeu!$AY$6:$AY$1005="Direkomendasikan",ROW($6:$1005)-5),744))="",INDEX(checklistPesertaKemenkeu!$J$6:$J$1005,SMALL(IF(checklistPesertaKemenkeu!$AY$6:$AY$1005="Direkomendasikan",ROW($6:$1005)-5),744))=""),"",IF(AND(COUNTIF(INDIRECT("K_"&amp;MATCH(INDEX(checklistPesertaKemenkeu!$J$6:$J$1005,SMALL(IF(checklistPesertaKemenkeu!$AY$6:$AY$1005="Direkomendasikan",ROW($6:$1005)-5),744)),BidangList,0)),INDEX(checklistPesertaKemenkeu!$N$6:$N$1005,SMALL(IF(checklistPesertaKemenkeu!$AY$6:$AY$1005="Direkomendasikan",ROW($6:$1005)-5),744)))&gt;0,COUNTIF(INDIRECT("'KERTAS KERJA'!K"&amp;(SMALL(IF(checklistPesertaKemenkeu!$AY$6:$AY$1005="Direkomendasikan",ROW($6:$1005)-5),744)+5)&amp;":O"&amp;(SMALL(IF(checklistPesertaKemenkeu!$AY$6:$AY$1005="Direkomendasikan",ROW($6:$1005)-5),744)+5)),INDEX(checklistPesertaKemenkeu!$N$6:$N$1005,SMALL(IF(checklistPesertaKemenkeu!$AY$6:$AY$1005="Direkomendasikan",ROW($6:$1005)-5),744)))=1),IFERROR(VLOOKUP(INDEX(checklistPesertaKemenkeu!$N$6:$N$1005,SMALL(IF(checklistPesertaKemenkeu!$AY$6:$AY$1005="Direkomendasikan",ROW($6:$1005)-5),744)),KotaKode,2,0),"-"),"")),"")</f>
        <v/>
      </c>
      <c r="K745" t="str">
        <f t="array" aca="1" ref="K745" ca="1">IFERROR(IF(OR(INDEX(checklistPesertaKemenkeu!$O$6:$O$1005,SMALL(IF(checklistPesertaKemenkeu!$AY$6:$AY$1005="Direkomendasikan",ROW($6:$1005)-5),744))="",INDEX(checklistPesertaKemenkeu!$J$6:$J$1005,SMALL(IF(checklistPesertaKemenkeu!$AY$6:$AY$1005="Direkomendasikan",ROW($6:$1005)-5),744))=""),"",IF(AND(COUNTIF(INDIRECT("K_"&amp;MATCH(INDEX(checklistPesertaKemenkeu!$J$6:$J$1005,SMALL(IF(checklistPesertaKemenkeu!$AY$6:$AY$1005="Direkomendasikan",ROW($6:$1005)-5),744)),BidangList,0)),INDEX(checklistPesertaKemenkeu!$O$6:$O$1005,SMALL(IF(checklistPesertaKemenkeu!$AY$6:$AY$1005="Direkomendasikan",ROW($6:$1005)-5),744)))&gt;0,COUNTIF(INDIRECT("'KERTAS KERJA'!K"&amp;(SMALL(IF(checklistPesertaKemenkeu!$AY$6:$AY$1005="Direkomendasikan",ROW($6:$1005)-5),744)+5)&amp;":O"&amp;(SMALL(IF(checklistPesertaKemenkeu!$AY$6:$AY$1005="Direkomendasikan",ROW($6:$1005)-5),744)+5)),INDEX(checklistPesertaKemenkeu!$O$6:$O$1005,SMALL(IF(checklistPesertaKemenkeu!$AY$6:$AY$1005="Direkomendasikan",ROW($6:$1005)-5),744)))=1),IFERROR(VLOOKUP(INDEX(checklistPesertaKemenkeu!$O$6:$O$1005,SMALL(IF(checklistPesertaKemenkeu!$AY$6:$AY$1005="Direkomendasikan",ROW($6:$1005)-5),744)),KotaKode,2,0),"-"),"")),"")</f>
        <v/>
      </c>
      <c r="L745" t="str">
        <f t="array" aca="1" ref="L745" ca="1">IFERROR(IF(OR(INDEX(checklistPesertaKemenkeu!$P$6:$P$1005,SMALL(IF(checklistPesertaKemenkeu!$AY$6:$AY$1005="Direkomendasikan",ROW($6:$1005)-5),744))="",INDEX(checklistPesertaKemenkeu!$J$6:$J$1005,SMALL(IF(checklistPesertaKemenkeu!$AY$6:$AY$1005="Direkomendasikan",ROW($6:$1005)-5),744))=""),"",IF(AND(COUNTIF(INDIRECT("K_"&amp;MATCH(INDEX(checklistPesertaKemenkeu!$J$6:$J$1005,SMALL(IF(checklistPesertaKemenkeu!$AY$6:$AY$1005="Direkomendasikan",ROW($6:$1005)-5),744)),BidangList,0)),INDEX(checklistPesertaKemenkeu!$P$6:$P$1005,SMALL(IF(checklistPesertaKemenkeu!$AY$6:$AY$1005="Direkomendasikan",ROW($6:$1005)-5),744)))&gt;0,COUNTIF(INDIRECT("'KERTAS KERJA'!K"&amp;(SMALL(IF(checklistPesertaKemenkeu!$AY$6:$AY$1005="Direkomendasikan",ROW($6:$1005)-5),744)+5)&amp;":O"&amp;(SMALL(IF(checklistPesertaKemenkeu!$AY$6:$AY$1005="Direkomendasikan",ROW($6:$1005)-5),744)+5)),INDEX(checklistPesertaKemenkeu!$P$6:$P$1005,SMALL(IF(checklistPesertaKemenkeu!$AY$6:$AY$1005="Direkomendasikan",ROW($6:$1005)-5),744)))=1),IFERROR(VLOOKUP(INDEX(checklistPesertaKemenkeu!$P$6:$P$1005,SMALL(IF(checklistPesertaKemenkeu!$AY$6:$AY$1005="Direkomendasikan",ROW($6:$1005)-5),744)),KotaKode,2,0),"-"),"")),"")</f>
        <v/>
      </c>
    </row>
    <row r="746" spans="1:12" ht="15" customHeight="1" x14ac:dyDescent="0.2">
      <c r="A746" t="str">
        <f t="shared" si="11"/>
        <v/>
      </c>
      <c r="B746" t="str">
        <v/>
      </c>
      <c r="C746" s="40" t="str">
        <f t="array" ref="C746">IFERROR(INDEX(checklistPesertaKemenkeu!$F$6:$F$1005,SMALL(IF(checklistPesertaKemenkeu!$AY$6:$AY$1005="Direkomendasikan",ROW($6:$1005)-5),745)),"")</f>
        <v/>
      </c>
      <c r="D746" t="str">
        <f t="array" ref="D746">IFERROR(INDEX(checklistPesertaKemenkeu!$G$6:$G$1005,SMALL(IF(checklistPesertaKemenkeu!$AY$6:$AY$1005="Direkomendasikan",ROW($6:$1005)-5),745)),"")</f>
        <v/>
      </c>
      <c r="E746" t="str">
        <f t="array" ref="E746">IFERROR(INDEX(checklistPesertaKemenkeu!$H$6:$H$1005,SMALL(IF(checklistPesertaKemenkeu!$AY$6:$AY$1005="Direkomendasikan",ROW($6:$1005)-5),745)),"")</f>
        <v/>
      </c>
      <c r="F746" t="str">
        <f t="array" ref="F746">IFERROR(INDEX(checklistPesertaKemenkeu!$I$6:$I$1005,SMALL(IF(checklistPesertaKemenkeu!$AY$6:$AY$1005="Direkomendasikan",ROW($6:$1005)-5),745)),"")</f>
        <v/>
      </c>
      <c r="G746" t="str">
        <f t="array" ref="G746">IFERROR(INDEX(checklistPesertaKemenkeu!$J$6:$J$1005,SMALL(IF(checklistPesertaKemenkeu!$AY$6:$AY$1005="Direkomendasikan",ROW($6:$1005)-5),745)),"")</f>
        <v/>
      </c>
      <c r="H746" t="str">
        <f t="array" aca="1" ref="H746" ca="1">IFERROR(IF(OR(INDEX(checklistPesertaKemenkeu!$L$6:$L$1005,SMALL(IF(checklistPesertaKemenkeu!$AY$6:$AY$1005="Direkomendasikan",ROW($6:$1005)-5),745))="",INDEX(checklistPesertaKemenkeu!$J$6:$J$1005,SMALL(IF(checklistPesertaKemenkeu!$AY$6:$AY$1005="Direkomendasikan",ROW($6:$1005)-5),745))=""),"",IF(AND(COUNTIF(INDIRECT("K_"&amp;MATCH(INDEX(checklistPesertaKemenkeu!$J$6:$J$1005,SMALL(IF(checklistPesertaKemenkeu!$AY$6:$AY$1005="Direkomendasikan",ROW($6:$1005)-5),745)),BidangList,0)),INDEX(checklistPesertaKemenkeu!$L$6:$L$1005,SMALL(IF(checklistPesertaKemenkeu!$AY$6:$AY$1005="Direkomendasikan",ROW($6:$1005)-5),745)))&gt;0,COUNTIF(INDIRECT("'KERTAS KERJA'!K"&amp;(SMALL(IF(checklistPesertaKemenkeu!$AY$6:$AY$1005="Direkomendasikan",ROW($6:$1005)-5),745)+5)&amp;":O"&amp;(SMALL(IF(checklistPesertaKemenkeu!$AY$6:$AY$1005="Direkomendasikan",ROW($6:$1005)-5),745)+5)),INDEX(checklistPesertaKemenkeu!$L$6:$L$1005,SMALL(IF(checklistPesertaKemenkeu!$AY$6:$AY$1005="Direkomendasikan",ROW($6:$1005)-5),745)))=1),IFERROR(VLOOKUP(INDEX(checklistPesertaKemenkeu!$L$6:$L$1005,SMALL(IF(checklistPesertaKemenkeu!$AY$6:$AY$1005="Direkomendasikan",ROW($6:$1005)-5),745)),KotaKode,2,0),"-"),"")),"")</f>
        <v/>
      </c>
      <c r="I746" t="str">
        <f t="array" aca="1" ref="I746" ca="1">IFERROR(IF(OR(INDEX(checklistPesertaKemenkeu!$M$6:$M$1005,SMALL(IF(checklistPesertaKemenkeu!$AY$6:$AY$1005="Direkomendasikan",ROW($6:$1005)-5),745))="",INDEX(checklistPesertaKemenkeu!$J$6:$J$1005,SMALL(IF(checklistPesertaKemenkeu!$AY$6:$AY$1005="Direkomendasikan",ROW($6:$1005)-5),745))=""),"",IF(AND(COUNTIF(INDIRECT("K_"&amp;MATCH(INDEX(checklistPesertaKemenkeu!$J$6:$J$1005,SMALL(IF(checklistPesertaKemenkeu!$AY$6:$AY$1005="Direkomendasikan",ROW($6:$1005)-5),745)),BidangList,0)),INDEX(checklistPesertaKemenkeu!$M$6:$M$1005,SMALL(IF(checklistPesertaKemenkeu!$AY$6:$AY$1005="Direkomendasikan",ROW($6:$1005)-5),745)))&gt;0,COUNTIF(INDIRECT("'KERTAS KERJA'!K"&amp;(SMALL(IF(checklistPesertaKemenkeu!$AY$6:$AY$1005="Direkomendasikan",ROW($6:$1005)-5),745)+5)&amp;":O"&amp;(SMALL(IF(checklistPesertaKemenkeu!$AY$6:$AY$1005="Direkomendasikan",ROW($6:$1005)-5),745)+5)),INDEX(checklistPesertaKemenkeu!$M$6:$M$1005,SMALL(IF(checklistPesertaKemenkeu!$AY$6:$AY$1005="Direkomendasikan",ROW($6:$1005)-5),745)))=1),IFERROR(VLOOKUP(INDEX(checklistPesertaKemenkeu!$M$6:$M$1005,SMALL(IF(checklistPesertaKemenkeu!$AY$6:$AY$1005="Direkomendasikan",ROW($6:$1005)-5),745)),KotaKode,2,0),"-"),"")),"")</f>
        <v/>
      </c>
      <c r="J746" t="str">
        <f t="array" aca="1" ref="J746" ca="1">IFERROR(IF(OR(INDEX(checklistPesertaKemenkeu!$N$6:$N$1005,SMALL(IF(checklistPesertaKemenkeu!$AY$6:$AY$1005="Direkomendasikan",ROW($6:$1005)-5),745))="",INDEX(checklistPesertaKemenkeu!$J$6:$J$1005,SMALL(IF(checklistPesertaKemenkeu!$AY$6:$AY$1005="Direkomendasikan",ROW($6:$1005)-5),745))=""),"",IF(AND(COUNTIF(INDIRECT("K_"&amp;MATCH(INDEX(checklistPesertaKemenkeu!$J$6:$J$1005,SMALL(IF(checklistPesertaKemenkeu!$AY$6:$AY$1005="Direkomendasikan",ROW($6:$1005)-5),745)),BidangList,0)),INDEX(checklistPesertaKemenkeu!$N$6:$N$1005,SMALL(IF(checklistPesertaKemenkeu!$AY$6:$AY$1005="Direkomendasikan",ROW($6:$1005)-5),745)))&gt;0,COUNTIF(INDIRECT("'KERTAS KERJA'!K"&amp;(SMALL(IF(checklistPesertaKemenkeu!$AY$6:$AY$1005="Direkomendasikan",ROW($6:$1005)-5),745)+5)&amp;":O"&amp;(SMALL(IF(checklistPesertaKemenkeu!$AY$6:$AY$1005="Direkomendasikan",ROW($6:$1005)-5),745)+5)),INDEX(checklistPesertaKemenkeu!$N$6:$N$1005,SMALL(IF(checklistPesertaKemenkeu!$AY$6:$AY$1005="Direkomendasikan",ROW($6:$1005)-5),745)))=1),IFERROR(VLOOKUP(INDEX(checklistPesertaKemenkeu!$N$6:$N$1005,SMALL(IF(checklistPesertaKemenkeu!$AY$6:$AY$1005="Direkomendasikan",ROW($6:$1005)-5),745)),KotaKode,2,0),"-"),"")),"")</f>
        <v/>
      </c>
      <c r="K746" t="str">
        <f t="array" aca="1" ref="K746" ca="1">IFERROR(IF(OR(INDEX(checklistPesertaKemenkeu!$O$6:$O$1005,SMALL(IF(checklistPesertaKemenkeu!$AY$6:$AY$1005="Direkomendasikan",ROW($6:$1005)-5),745))="",INDEX(checklistPesertaKemenkeu!$J$6:$J$1005,SMALL(IF(checklistPesertaKemenkeu!$AY$6:$AY$1005="Direkomendasikan",ROW($6:$1005)-5),745))=""),"",IF(AND(COUNTIF(INDIRECT("K_"&amp;MATCH(INDEX(checklistPesertaKemenkeu!$J$6:$J$1005,SMALL(IF(checklistPesertaKemenkeu!$AY$6:$AY$1005="Direkomendasikan",ROW($6:$1005)-5),745)),BidangList,0)),INDEX(checklistPesertaKemenkeu!$O$6:$O$1005,SMALL(IF(checklistPesertaKemenkeu!$AY$6:$AY$1005="Direkomendasikan",ROW($6:$1005)-5),745)))&gt;0,COUNTIF(INDIRECT("'KERTAS KERJA'!K"&amp;(SMALL(IF(checklistPesertaKemenkeu!$AY$6:$AY$1005="Direkomendasikan",ROW($6:$1005)-5),745)+5)&amp;":O"&amp;(SMALL(IF(checklistPesertaKemenkeu!$AY$6:$AY$1005="Direkomendasikan",ROW($6:$1005)-5),745)+5)),INDEX(checklistPesertaKemenkeu!$O$6:$O$1005,SMALL(IF(checklistPesertaKemenkeu!$AY$6:$AY$1005="Direkomendasikan",ROW($6:$1005)-5),745)))=1),IFERROR(VLOOKUP(INDEX(checklistPesertaKemenkeu!$O$6:$O$1005,SMALL(IF(checklistPesertaKemenkeu!$AY$6:$AY$1005="Direkomendasikan",ROW($6:$1005)-5),745)),KotaKode,2,0),"-"),"")),"")</f>
        <v/>
      </c>
      <c r="L746" t="str">
        <f t="array" aca="1" ref="L746" ca="1">IFERROR(IF(OR(INDEX(checklistPesertaKemenkeu!$P$6:$P$1005,SMALL(IF(checklistPesertaKemenkeu!$AY$6:$AY$1005="Direkomendasikan",ROW($6:$1005)-5),745))="",INDEX(checklistPesertaKemenkeu!$J$6:$J$1005,SMALL(IF(checklistPesertaKemenkeu!$AY$6:$AY$1005="Direkomendasikan",ROW($6:$1005)-5),745))=""),"",IF(AND(COUNTIF(INDIRECT("K_"&amp;MATCH(INDEX(checklistPesertaKemenkeu!$J$6:$J$1005,SMALL(IF(checklistPesertaKemenkeu!$AY$6:$AY$1005="Direkomendasikan",ROW($6:$1005)-5),745)),BidangList,0)),INDEX(checklistPesertaKemenkeu!$P$6:$P$1005,SMALL(IF(checklistPesertaKemenkeu!$AY$6:$AY$1005="Direkomendasikan",ROW($6:$1005)-5),745)))&gt;0,COUNTIF(INDIRECT("'KERTAS KERJA'!K"&amp;(SMALL(IF(checklistPesertaKemenkeu!$AY$6:$AY$1005="Direkomendasikan",ROW($6:$1005)-5),745)+5)&amp;":O"&amp;(SMALL(IF(checklistPesertaKemenkeu!$AY$6:$AY$1005="Direkomendasikan",ROW($6:$1005)-5),745)+5)),INDEX(checklistPesertaKemenkeu!$P$6:$P$1005,SMALL(IF(checklistPesertaKemenkeu!$AY$6:$AY$1005="Direkomendasikan",ROW($6:$1005)-5),745)))=1),IFERROR(VLOOKUP(INDEX(checklistPesertaKemenkeu!$P$6:$P$1005,SMALL(IF(checklistPesertaKemenkeu!$AY$6:$AY$1005="Direkomendasikan",ROW($6:$1005)-5),745)),KotaKode,2,0),"-"),"")),"")</f>
        <v/>
      </c>
    </row>
    <row r="747" spans="1:12" ht="15" customHeight="1" x14ac:dyDescent="0.2">
      <c r="A747" t="str">
        <f t="shared" si="11"/>
        <v/>
      </c>
      <c r="B747" t="str">
        <v/>
      </c>
      <c r="C747" s="40" t="str">
        <f t="array" ref="C747">IFERROR(INDEX(checklistPesertaKemenkeu!$F$6:$F$1005,SMALL(IF(checklistPesertaKemenkeu!$AY$6:$AY$1005="Direkomendasikan",ROW($6:$1005)-5),746)),"")</f>
        <v/>
      </c>
      <c r="D747" t="str">
        <f t="array" ref="D747">IFERROR(INDEX(checklistPesertaKemenkeu!$G$6:$G$1005,SMALL(IF(checklistPesertaKemenkeu!$AY$6:$AY$1005="Direkomendasikan",ROW($6:$1005)-5),746)),"")</f>
        <v/>
      </c>
      <c r="E747" t="str">
        <f t="array" ref="E747">IFERROR(INDEX(checklistPesertaKemenkeu!$H$6:$H$1005,SMALL(IF(checklistPesertaKemenkeu!$AY$6:$AY$1005="Direkomendasikan",ROW($6:$1005)-5),746)),"")</f>
        <v/>
      </c>
      <c r="F747" t="str">
        <f t="array" ref="F747">IFERROR(INDEX(checklistPesertaKemenkeu!$I$6:$I$1005,SMALL(IF(checklistPesertaKemenkeu!$AY$6:$AY$1005="Direkomendasikan",ROW($6:$1005)-5),746)),"")</f>
        <v/>
      </c>
      <c r="G747" t="str">
        <f t="array" ref="G747">IFERROR(INDEX(checklistPesertaKemenkeu!$J$6:$J$1005,SMALL(IF(checklistPesertaKemenkeu!$AY$6:$AY$1005="Direkomendasikan",ROW($6:$1005)-5),746)),"")</f>
        <v/>
      </c>
      <c r="H747" t="str">
        <f t="array" aca="1" ref="H747" ca="1">IFERROR(IF(OR(INDEX(checklistPesertaKemenkeu!$L$6:$L$1005,SMALL(IF(checklistPesertaKemenkeu!$AY$6:$AY$1005="Direkomendasikan",ROW($6:$1005)-5),746))="",INDEX(checklistPesertaKemenkeu!$J$6:$J$1005,SMALL(IF(checklistPesertaKemenkeu!$AY$6:$AY$1005="Direkomendasikan",ROW($6:$1005)-5),746))=""),"",IF(AND(COUNTIF(INDIRECT("K_"&amp;MATCH(INDEX(checklistPesertaKemenkeu!$J$6:$J$1005,SMALL(IF(checklistPesertaKemenkeu!$AY$6:$AY$1005="Direkomendasikan",ROW($6:$1005)-5),746)),BidangList,0)),INDEX(checklistPesertaKemenkeu!$L$6:$L$1005,SMALL(IF(checklistPesertaKemenkeu!$AY$6:$AY$1005="Direkomendasikan",ROW($6:$1005)-5),746)))&gt;0,COUNTIF(INDIRECT("'KERTAS KERJA'!K"&amp;(SMALL(IF(checklistPesertaKemenkeu!$AY$6:$AY$1005="Direkomendasikan",ROW($6:$1005)-5),746)+5)&amp;":O"&amp;(SMALL(IF(checklistPesertaKemenkeu!$AY$6:$AY$1005="Direkomendasikan",ROW($6:$1005)-5),746)+5)),INDEX(checklistPesertaKemenkeu!$L$6:$L$1005,SMALL(IF(checklistPesertaKemenkeu!$AY$6:$AY$1005="Direkomendasikan",ROW($6:$1005)-5),746)))=1),IFERROR(VLOOKUP(INDEX(checklistPesertaKemenkeu!$L$6:$L$1005,SMALL(IF(checklistPesertaKemenkeu!$AY$6:$AY$1005="Direkomendasikan",ROW($6:$1005)-5),746)),KotaKode,2,0),"-"),"")),"")</f>
        <v/>
      </c>
      <c r="I747" t="str">
        <f t="array" aca="1" ref="I747" ca="1">IFERROR(IF(OR(INDEX(checklistPesertaKemenkeu!$M$6:$M$1005,SMALL(IF(checklistPesertaKemenkeu!$AY$6:$AY$1005="Direkomendasikan",ROW($6:$1005)-5),746))="",INDEX(checklistPesertaKemenkeu!$J$6:$J$1005,SMALL(IF(checklistPesertaKemenkeu!$AY$6:$AY$1005="Direkomendasikan",ROW($6:$1005)-5),746))=""),"",IF(AND(COUNTIF(INDIRECT("K_"&amp;MATCH(INDEX(checklistPesertaKemenkeu!$J$6:$J$1005,SMALL(IF(checklistPesertaKemenkeu!$AY$6:$AY$1005="Direkomendasikan",ROW($6:$1005)-5),746)),BidangList,0)),INDEX(checklistPesertaKemenkeu!$M$6:$M$1005,SMALL(IF(checklistPesertaKemenkeu!$AY$6:$AY$1005="Direkomendasikan",ROW($6:$1005)-5),746)))&gt;0,COUNTIF(INDIRECT("'KERTAS KERJA'!K"&amp;(SMALL(IF(checklistPesertaKemenkeu!$AY$6:$AY$1005="Direkomendasikan",ROW($6:$1005)-5),746)+5)&amp;":O"&amp;(SMALL(IF(checklistPesertaKemenkeu!$AY$6:$AY$1005="Direkomendasikan",ROW($6:$1005)-5),746)+5)),INDEX(checklistPesertaKemenkeu!$M$6:$M$1005,SMALL(IF(checklistPesertaKemenkeu!$AY$6:$AY$1005="Direkomendasikan",ROW($6:$1005)-5),746)))=1),IFERROR(VLOOKUP(INDEX(checklistPesertaKemenkeu!$M$6:$M$1005,SMALL(IF(checklistPesertaKemenkeu!$AY$6:$AY$1005="Direkomendasikan",ROW($6:$1005)-5),746)),KotaKode,2,0),"-"),"")),"")</f>
        <v/>
      </c>
      <c r="J747" t="str">
        <f t="array" aca="1" ref="J747" ca="1">IFERROR(IF(OR(INDEX(checklistPesertaKemenkeu!$N$6:$N$1005,SMALL(IF(checklistPesertaKemenkeu!$AY$6:$AY$1005="Direkomendasikan",ROW($6:$1005)-5),746))="",INDEX(checklistPesertaKemenkeu!$J$6:$J$1005,SMALL(IF(checklistPesertaKemenkeu!$AY$6:$AY$1005="Direkomendasikan",ROW($6:$1005)-5),746))=""),"",IF(AND(COUNTIF(INDIRECT("K_"&amp;MATCH(INDEX(checklistPesertaKemenkeu!$J$6:$J$1005,SMALL(IF(checklistPesertaKemenkeu!$AY$6:$AY$1005="Direkomendasikan",ROW($6:$1005)-5),746)),BidangList,0)),INDEX(checklistPesertaKemenkeu!$N$6:$N$1005,SMALL(IF(checklistPesertaKemenkeu!$AY$6:$AY$1005="Direkomendasikan",ROW($6:$1005)-5),746)))&gt;0,COUNTIF(INDIRECT("'KERTAS KERJA'!K"&amp;(SMALL(IF(checklistPesertaKemenkeu!$AY$6:$AY$1005="Direkomendasikan",ROW($6:$1005)-5),746)+5)&amp;":O"&amp;(SMALL(IF(checklistPesertaKemenkeu!$AY$6:$AY$1005="Direkomendasikan",ROW($6:$1005)-5),746)+5)),INDEX(checklistPesertaKemenkeu!$N$6:$N$1005,SMALL(IF(checklistPesertaKemenkeu!$AY$6:$AY$1005="Direkomendasikan",ROW($6:$1005)-5),746)))=1),IFERROR(VLOOKUP(INDEX(checklistPesertaKemenkeu!$N$6:$N$1005,SMALL(IF(checklistPesertaKemenkeu!$AY$6:$AY$1005="Direkomendasikan",ROW($6:$1005)-5),746)),KotaKode,2,0),"-"),"")),"")</f>
        <v/>
      </c>
      <c r="K747" t="str">
        <f t="array" aca="1" ref="K747" ca="1">IFERROR(IF(OR(INDEX(checklistPesertaKemenkeu!$O$6:$O$1005,SMALL(IF(checklistPesertaKemenkeu!$AY$6:$AY$1005="Direkomendasikan",ROW($6:$1005)-5),746))="",INDEX(checklistPesertaKemenkeu!$J$6:$J$1005,SMALL(IF(checklistPesertaKemenkeu!$AY$6:$AY$1005="Direkomendasikan",ROW($6:$1005)-5),746))=""),"",IF(AND(COUNTIF(INDIRECT("K_"&amp;MATCH(INDEX(checklistPesertaKemenkeu!$J$6:$J$1005,SMALL(IF(checklistPesertaKemenkeu!$AY$6:$AY$1005="Direkomendasikan",ROW($6:$1005)-5),746)),BidangList,0)),INDEX(checklistPesertaKemenkeu!$O$6:$O$1005,SMALL(IF(checklistPesertaKemenkeu!$AY$6:$AY$1005="Direkomendasikan",ROW($6:$1005)-5),746)))&gt;0,COUNTIF(INDIRECT("'KERTAS KERJA'!K"&amp;(SMALL(IF(checklistPesertaKemenkeu!$AY$6:$AY$1005="Direkomendasikan",ROW($6:$1005)-5),746)+5)&amp;":O"&amp;(SMALL(IF(checklistPesertaKemenkeu!$AY$6:$AY$1005="Direkomendasikan",ROW($6:$1005)-5),746)+5)),INDEX(checklistPesertaKemenkeu!$O$6:$O$1005,SMALL(IF(checklistPesertaKemenkeu!$AY$6:$AY$1005="Direkomendasikan",ROW($6:$1005)-5),746)))=1),IFERROR(VLOOKUP(INDEX(checklistPesertaKemenkeu!$O$6:$O$1005,SMALL(IF(checklistPesertaKemenkeu!$AY$6:$AY$1005="Direkomendasikan",ROW($6:$1005)-5),746)),KotaKode,2,0),"-"),"")),"")</f>
        <v/>
      </c>
      <c r="L747" t="str">
        <f t="array" aca="1" ref="L747" ca="1">IFERROR(IF(OR(INDEX(checklistPesertaKemenkeu!$P$6:$P$1005,SMALL(IF(checklistPesertaKemenkeu!$AY$6:$AY$1005="Direkomendasikan",ROW($6:$1005)-5),746))="",INDEX(checklistPesertaKemenkeu!$J$6:$J$1005,SMALL(IF(checklistPesertaKemenkeu!$AY$6:$AY$1005="Direkomendasikan",ROW($6:$1005)-5),746))=""),"",IF(AND(COUNTIF(INDIRECT("K_"&amp;MATCH(INDEX(checklistPesertaKemenkeu!$J$6:$J$1005,SMALL(IF(checklistPesertaKemenkeu!$AY$6:$AY$1005="Direkomendasikan",ROW($6:$1005)-5),746)),BidangList,0)),INDEX(checklistPesertaKemenkeu!$P$6:$P$1005,SMALL(IF(checklistPesertaKemenkeu!$AY$6:$AY$1005="Direkomendasikan",ROW($6:$1005)-5),746)))&gt;0,COUNTIF(INDIRECT("'KERTAS KERJA'!K"&amp;(SMALL(IF(checklistPesertaKemenkeu!$AY$6:$AY$1005="Direkomendasikan",ROW($6:$1005)-5),746)+5)&amp;":O"&amp;(SMALL(IF(checklistPesertaKemenkeu!$AY$6:$AY$1005="Direkomendasikan",ROW($6:$1005)-5),746)+5)),INDEX(checklistPesertaKemenkeu!$P$6:$P$1005,SMALL(IF(checklistPesertaKemenkeu!$AY$6:$AY$1005="Direkomendasikan",ROW($6:$1005)-5),746)))=1),IFERROR(VLOOKUP(INDEX(checklistPesertaKemenkeu!$P$6:$P$1005,SMALL(IF(checklistPesertaKemenkeu!$AY$6:$AY$1005="Direkomendasikan",ROW($6:$1005)-5),746)),KotaKode,2,0),"-"),"")),"")</f>
        <v/>
      </c>
    </row>
    <row r="748" spans="1:12" ht="15" customHeight="1" x14ac:dyDescent="0.2">
      <c r="A748" t="str">
        <f t="shared" si="11"/>
        <v/>
      </c>
      <c r="B748" t="str">
        <v/>
      </c>
      <c r="C748" s="40" t="str">
        <f t="array" ref="C748">IFERROR(INDEX(checklistPesertaKemenkeu!$F$6:$F$1005,SMALL(IF(checklistPesertaKemenkeu!$AY$6:$AY$1005="Direkomendasikan",ROW($6:$1005)-5),747)),"")</f>
        <v/>
      </c>
      <c r="D748" t="str">
        <f t="array" ref="D748">IFERROR(INDEX(checklistPesertaKemenkeu!$G$6:$G$1005,SMALL(IF(checklistPesertaKemenkeu!$AY$6:$AY$1005="Direkomendasikan",ROW($6:$1005)-5),747)),"")</f>
        <v/>
      </c>
      <c r="E748" t="str">
        <f t="array" ref="E748">IFERROR(INDEX(checklistPesertaKemenkeu!$H$6:$H$1005,SMALL(IF(checklistPesertaKemenkeu!$AY$6:$AY$1005="Direkomendasikan",ROW($6:$1005)-5),747)),"")</f>
        <v/>
      </c>
      <c r="F748" t="str">
        <f t="array" ref="F748">IFERROR(INDEX(checklistPesertaKemenkeu!$I$6:$I$1005,SMALL(IF(checklistPesertaKemenkeu!$AY$6:$AY$1005="Direkomendasikan",ROW($6:$1005)-5),747)),"")</f>
        <v/>
      </c>
      <c r="G748" t="str">
        <f t="array" ref="G748">IFERROR(INDEX(checklistPesertaKemenkeu!$J$6:$J$1005,SMALL(IF(checklistPesertaKemenkeu!$AY$6:$AY$1005="Direkomendasikan",ROW($6:$1005)-5),747)),"")</f>
        <v/>
      </c>
      <c r="H748" t="str">
        <f t="array" aca="1" ref="H748" ca="1">IFERROR(IF(OR(INDEX(checklistPesertaKemenkeu!$L$6:$L$1005,SMALL(IF(checklistPesertaKemenkeu!$AY$6:$AY$1005="Direkomendasikan",ROW($6:$1005)-5),747))="",INDEX(checklistPesertaKemenkeu!$J$6:$J$1005,SMALL(IF(checklistPesertaKemenkeu!$AY$6:$AY$1005="Direkomendasikan",ROW($6:$1005)-5),747))=""),"",IF(AND(COUNTIF(INDIRECT("K_"&amp;MATCH(INDEX(checklistPesertaKemenkeu!$J$6:$J$1005,SMALL(IF(checklistPesertaKemenkeu!$AY$6:$AY$1005="Direkomendasikan",ROW($6:$1005)-5),747)),BidangList,0)),INDEX(checklistPesertaKemenkeu!$L$6:$L$1005,SMALL(IF(checklistPesertaKemenkeu!$AY$6:$AY$1005="Direkomendasikan",ROW($6:$1005)-5),747)))&gt;0,COUNTIF(INDIRECT("'KERTAS KERJA'!K"&amp;(SMALL(IF(checklistPesertaKemenkeu!$AY$6:$AY$1005="Direkomendasikan",ROW($6:$1005)-5),747)+5)&amp;":O"&amp;(SMALL(IF(checklistPesertaKemenkeu!$AY$6:$AY$1005="Direkomendasikan",ROW($6:$1005)-5),747)+5)),INDEX(checklistPesertaKemenkeu!$L$6:$L$1005,SMALL(IF(checklistPesertaKemenkeu!$AY$6:$AY$1005="Direkomendasikan",ROW($6:$1005)-5),747)))=1),IFERROR(VLOOKUP(INDEX(checklistPesertaKemenkeu!$L$6:$L$1005,SMALL(IF(checklistPesertaKemenkeu!$AY$6:$AY$1005="Direkomendasikan",ROW($6:$1005)-5),747)),KotaKode,2,0),"-"),"")),"")</f>
        <v/>
      </c>
      <c r="I748" t="str">
        <f t="array" aca="1" ref="I748" ca="1">IFERROR(IF(OR(INDEX(checklistPesertaKemenkeu!$M$6:$M$1005,SMALL(IF(checklistPesertaKemenkeu!$AY$6:$AY$1005="Direkomendasikan",ROW($6:$1005)-5),747))="",INDEX(checklistPesertaKemenkeu!$J$6:$J$1005,SMALL(IF(checklistPesertaKemenkeu!$AY$6:$AY$1005="Direkomendasikan",ROW($6:$1005)-5),747))=""),"",IF(AND(COUNTIF(INDIRECT("K_"&amp;MATCH(INDEX(checklistPesertaKemenkeu!$J$6:$J$1005,SMALL(IF(checklistPesertaKemenkeu!$AY$6:$AY$1005="Direkomendasikan",ROW($6:$1005)-5),747)),BidangList,0)),INDEX(checklistPesertaKemenkeu!$M$6:$M$1005,SMALL(IF(checklistPesertaKemenkeu!$AY$6:$AY$1005="Direkomendasikan",ROW($6:$1005)-5),747)))&gt;0,COUNTIF(INDIRECT("'KERTAS KERJA'!K"&amp;(SMALL(IF(checklistPesertaKemenkeu!$AY$6:$AY$1005="Direkomendasikan",ROW($6:$1005)-5),747)+5)&amp;":O"&amp;(SMALL(IF(checklistPesertaKemenkeu!$AY$6:$AY$1005="Direkomendasikan",ROW($6:$1005)-5),747)+5)),INDEX(checklistPesertaKemenkeu!$M$6:$M$1005,SMALL(IF(checklistPesertaKemenkeu!$AY$6:$AY$1005="Direkomendasikan",ROW($6:$1005)-5),747)))=1),IFERROR(VLOOKUP(INDEX(checklistPesertaKemenkeu!$M$6:$M$1005,SMALL(IF(checklistPesertaKemenkeu!$AY$6:$AY$1005="Direkomendasikan",ROW($6:$1005)-5),747)),KotaKode,2,0),"-"),"")),"")</f>
        <v/>
      </c>
      <c r="J748" t="str">
        <f t="array" aca="1" ref="J748" ca="1">IFERROR(IF(OR(INDEX(checklistPesertaKemenkeu!$N$6:$N$1005,SMALL(IF(checklistPesertaKemenkeu!$AY$6:$AY$1005="Direkomendasikan",ROW($6:$1005)-5),747))="",INDEX(checklistPesertaKemenkeu!$J$6:$J$1005,SMALL(IF(checklistPesertaKemenkeu!$AY$6:$AY$1005="Direkomendasikan",ROW($6:$1005)-5),747))=""),"",IF(AND(COUNTIF(INDIRECT("K_"&amp;MATCH(INDEX(checklistPesertaKemenkeu!$J$6:$J$1005,SMALL(IF(checklistPesertaKemenkeu!$AY$6:$AY$1005="Direkomendasikan",ROW($6:$1005)-5),747)),BidangList,0)),INDEX(checklistPesertaKemenkeu!$N$6:$N$1005,SMALL(IF(checklistPesertaKemenkeu!$AY$6:$AY$1005="Direkomendasikan",ROW($6:$1005)-5),747)))&gt;0,COUNTIF(INDIRECT("'KERTAS KERJA'!K"&amp;(SMALL(IF(checklistPesertaKemenkeu!$AY$6:$AY$1005="Direkomendasikan",ROW($6:$1005)-5),747)+5)&amp;":O"&amp;(SMALL(IF(checklistPesertaKemenkeu!$AY$6:$AY$1005="Direkomendasikan",ROW($6:$1005)-5),747)+5)),INDEX(checklistPesertaKemenkeu!$N$6:$N$1005,SMALL(IF(checklistPesertaKemenkeu!$AY$6:$AY$1005="Direkomendasikan",ROW($6:$1005)-5),747)))=1),IFERROR(VLOOKUP(INDEX(checklistPesertaKemenkeu!$N$6:$N$1005,SMALL(IF(checklistPesertaKemenkeu!$AY$6:$AY$1005="Direkomendasikan",ROW($6:$1005)-5),747)),KotaKode,2,0),"-"),"")),"")</f>
        <v/>
      </c>
      <c r="K748" t="str">
        <f t="array" aca="1" ref="K748" ca="1">IFERROR(IF(OR(INDEX(checklistPesertaKemenkeu!$O$6:$O$1005,SMALL(IF(checklistPesertaKemenkeu!$AY$6:$AY$1005="Direkomendasikan",ROW($6:$1005)-5),747))="",INDEX(checklistPesertaKemenkeu!$J$6:$J$1005,SMALL(IF(checklistPesertaKemenkeu!$AY$6:$AY$1005="Direkomendasikan",ROW($6:$1005)-5),747))=""),"",IF(AND(COUNTIF(INDIRECT("K_"&amp;MATCH(INDEX(checklistPesertaKemenkeu!$J$6:$J$1005,SMALL(IF(checklistPesertaKemenkeu!$AY$6:$AY$1005="Direkomendasikan",ROW($6:$1005)-5),747)),BidangList,0)),INDEX(checklistPesertaKemenkeu!$O$6:$O$1005,SMALL(IF(checklistPesertaKemenkeu!$AY$6:$AY$1005="Direkomendasikan",ROW($6:$1005)-5),747)))&gt;0,COUNTIF(INDIRECT("'KERTAS KERJA'!K"&amp;(SMALL(IF(checklistPesertaKemenkeu!$AY$6:$AY$1005="Direkomendasikan",ROW($6:$1005)-5),747)+5)&amp;":O"&amp;(SMALL(IF(checklistPesertaKemenkeu!$AY$6:$AY$1005="Direkomendasikan",ROW($6:$1005)-5),747)+5)),INDEX(checklistPesertaKemenkeu!$O$6:$O$1005,SMALL(IF(checklistPesertaKemenkeu!$AY$6:$AY$1005="Direkomendasikan",ROW($6:$1005)-5),747)))=1),IFERROR(VLOOKUP(INDEX(checklistPesertaKemenkeu!$O$6:$O$1005,SMALL(IF(checklistPesertaKemenkeu!$AY$6:$AY$1005="Direkomendasikan",ROW($6:$1005)-5),747)),KotaKode,2,0),"-"),"")),"")</f>
        <v/>
      </c>
      <c r="L748" t="str">
        <f t="array" aca="1" ref="L748" ca="1">IFERROR(IF(OR(INDEX(checklistPesertaKemenkeu!$P$6:$P$1005,SMALL(IF(checklistPesertaKemenkeu!$AY$6:$AY$1005="Direkomendasikan",ROW($6:$1005)-5),747))="",INDEX(checklistPesertaKemenkeu!$J$6:$J$1005,SMALL(IF(checklistPesertaKemenkeu!$AY$6:$AY$1005="Direkomendasikan",ROW($6:$1005)-5),747))=""),"",IF(AND(COUNTIF(INDIRECT("K_"&amp;MATCH(INDEX(checklistPesertaKemenkeu!$J$6:$J$1005,SMALL(IF(checklistPesertaKemenkeu!$AY$6:$AY$1005="Direkomendasikan",ROW($6:$1005)-5),747)),BidangList,0)),INDEX(checklistPesertaKemenkeu!$P$6:$P$1005,SMALL(IF(checklistPesertaKemenkeu!$AY$6:$AY$1005="Direkomendasikan",ROW($6:$1005)-5),747)))&gt;0,COUNTIF(INDIRECT("'KERTAS KERJA'!K"&amp;(SMALL(IF(checklistPesertaKemenkeu!$AY$6:$AY$1005="Direkomendasikan",ROW($6:$1005)-5),747)+5)&amp;":O"&amp;(SMALL(IF(checklistPesertaKemenkeu!$AY$6:$AY$1005="Direkomendasikan",ROW($6:$1005)-5),747)+5)),INDEX(checklistPesertaKemenkeu!$P$6:$P$1005,SMALL(IF(checklistPesertaKemenkeu!$AY$6:$AY$1005="Direkomendasikan",ROW($6:$1005)-5),747)))=1),IFERROR(VLOOKUP(INDEX(checklistPesertaKemenkeu!$P$6:$P$1005,SMALL(IF(checklistPesertaKemenkeu!$AY$6:$AY$1005="Direkomendasikan",ROW($6:$1005)-5),747)),KotaKode,2,0),"-"),"")),"")</f>
        <v/>
      </c>
    </row>
    <row r="749" spans="1:12" ht="15" customHeight="1" x14ac:dyDescent="0.2">
      <c r="A749" t="str">
        <f t="shared" si="11"/>
        <v/>
      </c>
      <c r="B749" t="str">
        <v/>
      </c>
      <c r="C749" s="40" t="str">
        <f t="array" ref="C749">IFERROR(INDEX(checklistPesertaKemenkeu!$F$6:$F$1005,SMALL(IF(checklistPesertaKemenkeu!$AY$6:$AY$1005="Direkomendasikan",ROW($6:$1005)-5),748)),"")</f>
        <v/>
      </c>
      <c r="D749" t="str">
        <f t="array" ref="D749">IFERROR(INDEX(checklistPesertaKemenkeu!$G$6:$G$1005,SMALL(IF(checklistPesertaKemenkeu!$AY$6:$AY$1005="Direkomendasikan",ROW($6:$1005)-5),748)),"")</f>
        <v/>
      </c>
      <c r="E749" t="str">
        <f t="array" ref="E749">IFERROR(INDEX(checklistPesertaKemenkeu!$H$6:$H$1005,SMALL(IF(checklistPesertaKemenkeu!$AY$6:$AY$1005="Direkomendasikan",ROW($6:$1005)-5),748)),"")</f>
        <v/>
      </c>
      <c r="F749" t="str">
        <f t="array" ref="F749">IFERROR(INDEX(checklistPesertaKemenkeu!$I$6:$I$1005,SMALL(IF(checklistPesertaKemenkeu!$AY$6:$AY$1005="Direkomendasikan",ROW($6:$1005)-5),748)),"")</f>
        <v/>
      </c>
      <c r="G749" t="str">
        <f t="array" ref="G749">IFERROR(INDEX(checklistPesertaKemenkeu!$J$6:$J$1005,SMALL(IF(checklistPesertaKemenkeu!$AY$6:$AY$1005="Direkomendasikan",ROW($6:$1005)-5),748)),"")</f>
        <v/>
      </c>
      <c r="H749" t="str">
        <f t="array" aca="1" ref="H749" ca="1">IFERROR(IF(OR(INDEX(checklistPesertaKemenkeu!$L$6:$L$1005,SMALL(IF(checklistPesertaKemenkeu!$AY$6:$AY$1005="Direkomendasikan",ROW($6:$1005)-5),748))="",INDEX(checklistPesertaKemenkeu!$J$6:$J$1005,SMALL(IF(checklistPesertaKemenkeu!$AY$6:$AY$1005="Direkomendasikan",ROW($6:$1005)-5),748))=""),"",IF(AND(COUNTIF(INDIRECT("K_"&amp;MATCH(INDEX(checklistPesertaKemenkeu!$J$6:$J$1005,SMALL(IF(checklistPesertaKemenkeu!$AY$6:$AY$1005="Direkomendasikan",ROW($6:$1005)-5),748)),BidangList,0)),INDEX(checklistPesertaKemenkeu!$L$6:$L$1005,SMALL(IF(checklistPesertaKemenkeu!$AY$6:$AY$1005="Direkomendasikan",ROW($6:$1005)-5),748)))&gt;0,COUNTIF(INDIRECT("'KERTAS KERJA'!K"&amp;(SMALL(IF(checklistPesertaKemenkeu!$AY$6:$AY$1005="Direkomendasikan",ROW($6:$1005)-5),748)+5)&amp;":O"&amp;(SMALL(IF(checklistPesertaKemenkeu!$AY$6:$AY$1005="Direkomendasikan",ROW($6:$1005)-5),748)+5)),INDEX(checklistPesertaKemenkeu!$L$6:$L$1005,SMALL(IF(checklistPesertaKemenkeu!$AY$6:$AY$1005="Direkomendasikan",ROW($6:$1005)-5),748)))=1),IFERROR(VLOOKUP(INDEX(checklistPesertaKemenkeu!$L$6:$L$1005,SMALL(IF(checklistPesertaKemenkeu!$AY$6:$AY$1005="Direkomendasikan",ROW($6:$1005)-5),748)),KotaKode,2,0),"-"),"")),"")</f>
        <v/>
      </c>
      <c r="I749" t="str">
        <f t="array" aca="1" ref="I749" ca="1">IFERROR(IF(OR(INDEX(checklistPesertaKemenkeu!$M$6:$M$1005,SMALL(IF(checklistPesertaKemenkeu!$AY$6:$AY$1005="Direkomendasikan",ROW($6:$1005)-5),748))="",INDEX(checklistPesertaKemenkeu!$J$6:$J$1005,SMALL(IF(checklistPesertaKemenkeu!$AY$6:$AY$1005="Direkomendasikan",ROW($6:$1005)-5),748))=""),"",IF(AND(COUNTIF(INDIRECT("K_"&amp;MATCH(INDEX(checklistPesertaKemenkeu!$J$6:$J$1005,SMALL(IF(checklistPesertaKemenkeu!$AY$6:$AY$1005="Direkomendasikan",ROW($6:$1005)-5),748)),BidangList,0)),INDEX(checklistPesertaKemenkeu!$M$6:$M$1005,SMALL(IF(checklistPesertaKemenkeu!$AY$6:$AY$1005="Direkomendasikan",ROW($6:$1005)-5),748)))&gt;0,COUNTIF(INDIRECT("'KERTAS KERJA'!K"&amp;(SMALL(IF(checklistPesertaKemenkeu!$AY$6:$AY$1005="Direkomendasikan",ROW($6:$1005)-5),748)+5)&amp;":O"&amp;(SMALL(IF(checklistPesertaKemenkeu!$AY$6:$AY$1005="Direkomendasikan",ROW($6:$1005)-5),748)+5)),INDEX(checklistPesertaKemenkeu!$M$6:$M$1005,SMALL(IF(checklistPesertaKemenkeu!$AY$6:$AY$1005="Direkomendasikan",ROW($6:$1005)-5),748)))=1),IFERROR(VLOOKUP(INDEX(checklistPesertaKemenkeu!$M$6:$M$1005,SMALL(IF(checklistPesertaKemenkeu!$AY$6:$AY$1005="Direkomendasikan",ROW($6:$1005)-5),748)),KotaKode,2,0),"-"),"")),"")</f>
        <v/>
      </c>
      <c r="J749" t="str">
        <f t="array" aca="1" ref="J749" ca="1">IFERROR(IF(OR(INDEX(checklistPesertaKemenkeu!$N$6:$N$1005,SMALL(IF(checklistPesertaKemenkeu!$AY$6:$AY$1005="Direkomendasikan",ROW($6:$1005)-5),748))="",INDEX(checklistPesertaKemenkeu!$J$6:$J$1005,SMALL(IF(checklistPesertaKemenkeu!$AY$6:$AY$1005="Direkomendasikan",ROW($6:$1005)-5),748))=""),"",IF(AND(COUNTIF(INDIRECT("K_"&amp;MATCH(INDEX(checklistPesertaKemenkeu!$J$6:$J$1005,SMALL(IF(checklistPesertaKemenkeu!$AY$6:$AY$1005="Direkomendasikan",ROW($6:$1005)-5),748)),BidangList,0)),INDEX(checklistPesertaKemenkeu!$N$6:$N$1005,SMALL(IF(checklistPesertaKemenkeu!$AY$6:$AY$1005="Direkomendasikan",ROW($6:$1005)-5),748)))&gt;0,COUNTIF(INDIRECT("'KERTAS KERJA'!K"&amp;(SMALL(IF(checklistPesertaKemenkeu!$AY$6:$AY$1005="Direkomendasikan",ROW($6:$1005)-5),748)+5)&amp;":O"&amp;(SMALL(IF(checklistPesertaKemenkeu!$AY$6:$AY$1005="Direkomendasikan",ROW($6:$1005)-5),748)+5)),INDEX(checklistPesertaKemenkeu!$N$6:$N$1005,SMALL(IF(checklistPesertaKemenkeu!$AY$6:$AY$1005="Direkomendasikan",ROW($6:$1005)-5),748)))=1),IFERROR(VLOOKUP(INDEX(checklistPesertaKemenkeu!$N$6:$N$1005,SMALL(IF(checklistPesertaKemenkeu!$AY$6:$AY$1005="Direkomendasikan",ROW($6:$1005)-5),748)),KotaKode,2,0),"-"),"")),"")</f>
        <v/>
      </c>
      <c r="K749" t="str">
        <f t="array" aca="1" ref="K749" ca="1">IFERROR(IF(OR(INDEX(checklistPesertaKemenkeu!$O$6:$O$1005,SMALL(IF(checklistPesertaKemenkeu!$AY$6:$AY$1005="Direkomendasikan",ROW($6:$1005)-5),748))="",INDEX(checklistPesertaKemenkeu!$J$6:$J$1005,SMALL(IF(checklistPesertaKemenkeu!$AY$6:$AY$1005="Direkomendasikan",ROW($6:$1005)-5),748))=""),"",IF(AND(COUNTIF(INDIRECT("K_"&amp;MATCH(INDEX(checklistPesertaKemenkeu!$J$6:$J$1005,SMALL(IF(checklistPesertaKemenkeu!$AY$6:$AY$1005="Direkomendasikan",ROW($6:$1005)-5),748)),BidangList,0)),INDEX(checklistPesertaKemenkeu!$O$6:$O$1005,SMALL(IF(checklistPesertaKemenkeu!$AY$6:$AY$1005="Direkomendasikan",ROW($6:$1005)-5),748)))&gt;0,COUNTIF(INDIRECT("'KERTAS KERJA'!K"&amp;(SMALL(IF(checklistPesertaKemenkeu!$AY$6:$AY$1005="Direkomendasikan",ROW($6:$1005)-5),748)+5)&amp;":O"&amp;(SMALL(IF(checklistPesertaKemenkeu!$AY$6:$AY$1005="Direkomendasikan",ROW($6:$1005)-5),748)+5)),INDEX(checklistPesertaKemenkeu!$O$6:$O$1005,SMALL(IF(checklistPesertaKemenkeu!$AY$6:$AY$1005="Direkomendasikan",ROW($6:$1005)-5),748)))=1),IFERROR(VLOOKUP(INDEX(checklistPesertaKemenkeu!$O$6:$O$1005,SMALL(IF(checklistPesertaKemenkeu!$AY$6:$AY$1005="Direkomendasikan",ROW($6:$1005)-5),748)),KotaKode,2,0),"-"),"")),"")</f>
        <v/>
      </c>
      <c r="L749" t="str">
        <f t="array" aca="1" ref="L749" ca="1">IFERROR(IF(OR(INDEX(checklistPesertaKemenkeu!$P$6:$P$1005,SMALL(IF(checklistPesertaKemenkeu!$AY$6:$AY$1005="Direkomendasikan",ROW($6:$1005)-5),748))="",INDEX(checklistPesertaKemenkeu!$J$6:$J$1005,SMALL(IF(checklistPesertaKemenkeu!$AY$6:$AY$1005="Direkomendasikan",ROW($6:$1005)-5),748))=""),"",IF(AND(COUNTIF(INDIRECT("K_"&amp;MATCH(INDEX(checklistPesertaKemenkeu!$J$6:$J$1005,SMALL(IF(checklistPesertaKemenkeu!$AY$6:$AY$1005="Direkomendasikan",ROW($6:$1005)-5),748)),BidangList,0)),INDEX(checklistPesertaKemenkeu!$P$6:$P$1005,SMALL(IF(checklistPesertaKemenkeu!$AY$6:$AY$1005="Direkomendasikan",ROW($6:$1005)-5),748)))&gt;0,COUNTIF(INDIRECT("'KERTAS KERJA'!K"&amp;(SMALL(IF(checklistPesertaKemenkeu!$AY$6:$AY$1005="Direkomendasikan",ROW($6:$1005)-5),748)+5)&amp;":O"&amp;(SMALL(IF(checklistPesertaKemenkeu!$AY$6:$AY$1005="Direkomendasikan",ROW($6:$1005)-5),748)+5)),INDEX(checklistPesertaKemenkeu!$P$6:$P$1005,SMALL(IF(checklistPesertaKemenkeu!$AY$6:$AY$1005="Direkomendasikan",ROW($6:$1005)-5),748)))=1),IFERROR(VLOOKUP(INDEX(checklistPesertaKemenkeu!$P$6:$P$1005,SMALL(IF(checklistPesertaKemenkeu!$AY$6:$AY$1005="Direkomendasikan",ROW($6:$1005)-5),748)),KotaKode,2,0),"-"),"")),"")</f>
        <v/>
      </c>
    </row>
    <row r="750" spans="1:12" ht="15" customHeight="1" x14ac:dyDescent="0.2">
      <c r="A750" t="str">
        <f t="shared" si="11"/>
        <v/>
      </c>
      <c r="B750" t="str">
        <v/>
      </c>
      <c r="C750" s="40" t="str">
        <f t="array" ref="C750">IFERROR(INDEX(checklistPesertaKemenkeu!$F$6:$F$1005,SMALL(IF(checklistPesertaKemenkeu!$AY$6:$AY$1005="Direkomendasikan",ROW($6:$1005)-5),749)),"")</f>
        <v/>
      </c>
      <c r="D750" t="str">
        <f t="array" ref="D750">IFERROR(INDEX(checklistPesertaKemenkeu!$G$6:$G$1005,SMALL(IF(checklistPesertaKemenkeu!$AY$6:$AY$1005="Direkomendasikan",ROW($6:$1005)-5),749)),"")</f>
        <v/>
      </c>
      <c r="E750" t="str">
        <f t="array" ref="E750">IFERROR(INDEX(checklistPesertaKemenkeu!$H$6:$H$1005,SMALL(IF(checklistPesertaKemenkeu!$AY$6:$AY$1005="Direkomendasikan",ROW($6:$1005)-5),749)),"")</f>
        <v/>
      </c>
      <c r="F750" t="str">
        <f t="array" ref="F750">IFERROR(INDEX(checklistPesertaKemenkeu!$I$6:$I$1005,SMALL(IF(checklistPesertaKemenkeu!$AY$6:$AY$1005="Direkomendasikan",ROW($6:$1005)-5),749)),"")</f>
        <v/>
      </c>
      <c r="G750" t="str">
        <f t="array" ref="G750">IFERROR(INDEX(checklistPesertaKemenkeu!$J$6:$J$1005,SMALL(IF(checklistPesertaKemenkeu!$AY$6:$AY$1005="Direkomendasikan",ROW($6:$1005)-5),749)),"")</f>
        <v/>
      </c>
      <c r="H750" t="str">
        <f t="array" aca="1" ref="H750" ca="1">IFERROR(IF(OR(INDEX(checklistPesertaKemenkeu!$L$6:$L$1005,SMALL(IF(checklistPesertaKemenkeu!$AY$6:$AY$1005="Direkomendasikan",ROW($6:$1005)-5),749))="",INDEX(checklistPesertaKemenkeu!$J$6:$J$1005,SMALL(IF(checklistPesertaKemenkeu!$AY$6:$AY$1005="Direkomendasikan",ROW($6:$1005)-5),749))=""),"",IF(AND(COUNTIF(INDIRECT("K_"&amp;MATCH(INDEX(checklistPesertaKemenkeu!$J$6:$J$1005,SMALL(IF(checklistPesertaKemenkeu!$AY$6:$AY$1005="Direkomendasikan",ROW($6:$1005)-5),749)),BidangList,0)),INDEX(checklistPesertaKemenkeu!$L$6:$L$1005,SMALL(IF(checklistPesertaKemenkeu!$AY$6:$AY$1005="Direkomendasikan",ROW($6:$1005)-5),749)))&gt;0,COUNTIF(INDIRECT("'KERTAS KERJA'!K"&amp;(SMALL(IF(checklistPesertaKemenkeu!$AY$6:$AY$1005="Direkomendasikan",ROW($6:$1005)-5),749)+5)&amp;":O"&amp;(SMALL(IF(checklistPesertaKemenkeu!$AY$6:$AY$1005="Direkomendasikan",ROW($6:$1005)-5),749)+5)),INDEX(checklistPesertaKemenkeu!$L$6:$L$1005,SMALL(IF(checklistPesertaKemenkeu!$AY$6:$AY$1005="Direkomendasikan",ROW($6:$1005)-5),749)))=1),IFERROR(VLOOKUP(INDEX(checklistPesertaKemenkeu!$L$6:$L$1005,SMALL(IF(checklistPesertaKemenkeu!$AY$6:$AY$1005="Direkomendasikan",ROW($6:$1005)-5),749)),KotaKode,2,0),"-"),"")),"")</f>
        <v/>
      </c>
      <c r="I750" t="str">
        <f t="array" aca="1" ref="I750" ca="1">IFERROR(IF(OR(INDEX(checklistPesertaKemenkeu!$M$6:$M$1005,SMALL(IF(checklistPesertaKemenkeu!$AY$6:$AY$1005="Direkomendasikan",ROW($6:$1005)-5),749))="",INDEX(checklistPesertaKemenkeu!$J$6:$J$1005,SMALL(IF(checklistPesertaKemenkeu!$AY$6:$AY$1005="Direkomendasikan",ROW($6:$1005)-5),749))=""),"",IF(AND(COUNTIF(INDIRECT("K_"&amp;MATCH(INDEX(checklistPesertaKemenkeu!$J$6:$J$1005,SMALL(IF(checklistPesertaKemenkeu!$AY$6:$AY$1005="Direkomendasikan",ROW($6:$1005)-5),749)),BidangList,0)),INDEX(checklistPesertaKemenkeu!$M$6:$M$1005,SMALL(IF(checklistPesertaKemenkeu!$AY$6:$AY$1005="Direkomendasikan",ROW($6:$1005)-5),749)))&gt;0,COUNTIF(INDIRECT("'KERTAS KERJA'!K"&amp;(SMALL(IF(checklistPesertaKemenkeu!$AY$6:$AY$1005="Direkomendasikan",ROW($6:$1005)-5),749)+5)&amp;":O"&amp;(SMALL(IF(checklistPesertaKemenkeu!$AY$6:$AY$1005="Direkomendasikan",ROW($6:$1005)-5),749)+5)),INDEX(checklistPesertaKemenkeu!$M$6:$M$1005,SMALL(IF(checklistPesertaKemenkeu!$AY$6:$AY$1005="Direkomendasikan",ROW($6:$1005)-5),749)))=1),IFERROR(VLOOKUP(INDEX(checklistPesertaKemenkeu!$M$6:$M$1005,SMALL(IF(checklistPesertaKemenkeu!$AY$6:$AY$1005="Direkomendasikan",ROW($6:$1005)-5),749)),KotaKode,2,0),"-"),"")),"")</f>
        <v/>
      </c>
      <c r="J750" t="str">
        <f t="array" aca="1" ref="J750" ca="1">IFERROR(IF(OR(INDEX(checklistPesertaKemenkeu!$N$6:$N$1005,SMALL(IF(checklistPesertaKemenkeu!$AY$6:$AY$1005="Direkomendasikan",ROW($6:$1005)-5),749))="",INDEX(checklistPesertaKemenkeu!$J$6:$J$1005,SMALL(IF(checklistPesertaKemenkeu!$AY$6:$AY$1005="Direkomendasikan",ROW($6:$1005)-5),749))=""),"",IF(AND(COUNTIF(INDIRECT("K_"&amp;MATCH(INDEX(checklistPesertaKemenkeu!$J$6:$J$1005,SMALL(IF(checklistPesertaKemenkeu!$AY$6:$AY$1005="Direkomendasikan",ROW($6:$1005)-5),749)),BidangList,0)),INDEX(checklistPesertaKemenkeu!$N$6:$N$1005,SMALL(IF(checklistPesertaKemenkeu!$AY$6:$AY$1005="Direkomendasikan",ROW($6:$1005)-5),749)))&gt;0,COUNTIF(INDIRECT("'KERTAS KERJA'!K"&amp;(SMALL(IF(checklistPesertaKemenkeu!$AY$6:$AY$1005="Direkomendasikan",ROW($6:$1005)-5),749)+5)&amp;":O"&amp;(SMALL(IF(checklistPesertaKemenkeu!$AY$6:$AY$1005="Direkomendasikan",ROW($6:$1005)-5),749)+5)),INDEX(checklistPesertaKemenkeu!$N$6:$N$1005,SMALL(IF(checklistPesertaKemenkeu!$AY$6:$AY$1005="Direkomendasikan",ROW($6:$1005)-5),749)))=1),IFERROR(VLOOKUP(INDEX(checklistPesertaKemenkeu!$N$6:$N$1005,SMALL(IF(checklistPesertaKemenkeu!$AY$6:$AY$1005="Direkomendasikan",ROW($6:$1005)-5),749)),KotaKode,2,0),"-"),"")),"")</f>
        <v/>
      </c>
      <c r="K750" t="str">
        <f t="array" aca="1" ref="K750" ca="1">IFERROR(IF(OR(INDEX(checklistPesertaKemenkeu!$O$6:$O$1005,SMALL(IF(checklistPesertaKemenkeu!$AY$6:$AY$1005="Direkomendasikan",ROW($6:$1005)-5),749))="",INDEX(checklistPesertaKemenkeu!$J$6:$J$1005,SMALL(IF(checklistPesertaKemenkeu!$AY$6:$AY$1005="Direkomendasikan",ROW($6:$1005)-5),749))=""),"",IF(AND(COUNTIF(INDIRECT("K_"&amp;MATCH(INDEX(checklistPesertaKemenkeu!$J$6:$J$1005,SMALL(IF(checklistPesertaKemenkeu!$AY$6:$AY$1005="Direkomendasikan",ROW($6:$1005)-5),749)),BidangList,0)),INDEX(checklistPesertaKemenkeu!$O$6:$O$1005,SMALL(IF(checklistPesertaKemenkeu!$AY$6:$AY$1005="Direkomendasikan",ROW($6:$1005)-5),749)))&gt;0,COUNTIF(INDIRECT("'KERTAS KERJA'!K"&amp;(SMALL(IF(checklistPesertaKemenkeu!$AY$6:$AY$1005="Direkomendasikan",ROW($6:$1005)-5),749)+5)&amp;":O"&amp;(SMALL(IF(checklistPesertaKemenkeu!$AY$6:$AY$1005="Direkomendasikan",ROW($6:$1005)-5),749)+5)),INDEX(checklistPesertaKemenkeu!$O$6:$O$1005,SMALL(IF(checklistPesertaKemenkeu!$AY$6:$AY$1005="Direkomendasikan",ROW($6:$1005)-5),749)))=1),IFERROR(VLOOKUP(INDEX(checklistPesertaKemenkeu!$O$6:$O$1005,SMALL(IF(checklistPesertaKemenkeu!$AY$6:$AY$1005="Direkomendasikan",ROW($6:$1005)-5),749)),KotaKode,2,0),"-"),"")),"")</f>
        <v/>
      </c>
      <c r="L750" t="str">
        <f t="array" aca="1" ref="L750" ca="1">IFERROR(IF(OR(INDEX(checklistPesertaKemenkeu!$P$6:$P$1005,SMALL(IF(checklistPesertaKemenkeu!$AY$6:$AY$1005="Direkomendasikan",ROW($6:$1005)-5),749))="",INDEX(checklistPesertaKemenkeu!$J$6:$J$1005,SMALL(IF(checklistPesertaKemenkeu!$AY$6:$AY$1005="Direkomendasikan",ROW($6:$1005)-5),749))=""),"",IF(AND(COUNTIF(INDIRECT("K_"&amp;MATCH(INDEX(checklistPesertaKemenkeu!$J$6:$J$1005,SMALL(IF(checklistPesertaKemenkeu!$AY$6:$AY$1005="Direkomendasikan",ROW($6:$1005)-5),749)),BidangList,0)),INDEX(checklistPesertaKemenkeu!$P$6:$P$1005,SMALL(IF(checklistPesertaKemenkeu!$AY$6:$AY$1005="Direkomendasikan",ROW($6:$1005)-5),749)))&gt;0,COUNTIF(INDIRECT("'KERTAS KERJA'!K"&amp;(SMALL(IF(checklistPesertaKemenkeu!$AY$6:$AY$1005="Direkomendasikan",ROW($6:$1005)-5),749)+5)&amp;":O"&amp;(SMALL(IF(checklistPesertaKemenkeu!$AY$6:$AY$1005="Direkomendasikan",ROW($6:$1005)-5),749)+5)),INDEX(checklistPesertaKemenkeu!$P$6:$P$1005,SMALL(IF(checklistPesertaKemenkeu!$AY$6:$AY$1005="Direkomendasikan",ROW($6:$1005)-5),749)))=1),IFERROR(VLOOKUP(INDEX(checklistPesertaKemenkeu!$P$6:$P$1005,SMALL(IF(checklistPesertaKemenkeu!$AY$6:$AY$1005="Direkomendasikan",ROW($6:$1005)-5),749)),KotaKode,2,0),"-"),"")),"")</f>
        <v/>
      </c>
    </row>
    <row r="751" spans="1:12" ht="15" customHeight="1" x14ac:dyDescent="0.2">
      <c r="A751" t="str">
        <f t="shared" si="11"/>
        <v/>
      </c>
      <c r="B751" t="str">
        <v/>
      </c>
      <c r="C751" s="40" t="str">
        <f t="array" ref="C751">IFERROR(INDEX(checklistPesertaKemenkeu!$F$6:$F$1005,SMALL(IF(checklistPesertaKemenkeu!$AY$6:$AY$1005="Direkomendasikan",ROW($6:$1005)-5),750)),"")</f>
        <v/>
      </c>
      <c r="D751" t="str">
        <f t="array" ref="D751">IFERROR(INDEX(checklistPesertaKemenkeu!$G$6:$G$1005,SMALL(IF(checklistPesertaKemenkeu!$AY$6:$AY$1005="Direkomendasikan",ROW($6:$1005)-5),750)),"")</f>
        <v/>
      </c>
      <c r="E751" t="str">
        <f t="array" ref="E751">IFERROR(INDEX(checklistPesertaKemenkeu!$H$6:$H$1005,SMALL(IF(checklistPesertaKemenkeu!$AY$6:$AY$1005="Direkomendasikan",ROW($6:$1005)-5),750)),"")</f>
        <v/>
      </c>
      <c r="F751" t="str">
        <f t="array" ref="F751">IFERROR(INDEX(checklistPesertaKemenkeu!$I$6:$I$1005,SMALL(IF(checklistPesertaKemenkeu!$AY$6:$AY$1005="Direkomendasikan",ROW($6:$1005)-5),750)),"")</f>
        <v/>
      </c>
      <c r="G751" t="str">
        <f t="array" ref="G751">IFERROR(INDEX(checklistPesertaKemenkeu!$J$6:$J$1005,SMALL(IF(checklistPesertaKemenkeu!$AY$6:$AY$1005="Direkomendasikan",ROW($6:$1005)-5),750)),"")</f>
        <v/>
      </c>
      <c r="H751" t="str">
        <f t="array" aca="1" ref="H751" ca="1">IFERROR(IF(OR(INDEX(checklistPesertaKemenkeu!$L$6:$L$1005,SMALL(IF(checklistPesertaKemenkeu!$AY$6:$AY$1005="Direkomendasikan",ROW($6:$1005)-5),750))="",INDEX(checklistPesertaKemenkeu!$J$6:$J$1005,SMALL(IF(checklistPesertaKemenkeu!$AY$6:$AY$1005="Direkomendasikan",ROW($6:$1005)-5),750))=""),"",IF(AND(COUNTIF(INDIRECT("K_"&amp;MATCH(INDEX(checklistPesertaKemenkeu!$J$6:$J$1005,SMALL(IF(checklistPesertaKemenkeu!$AY$6:$AY$1005="Direkomendasikan",ROW($6:$1005)-5),750)),BidangList,0)),INDEX(checklistPesertaKemenkeu!$L$6:$L$1005,SMALL(IF(checklistPesertaKemenkeu!$AY$6:$AY$1005="Direkomendasikan",ROW($6:$1005)-5),750)))&gt;0,COUNTIF(INDIRECT("'KERTAS KERJA'!K"&amp;(SMALL(IF(checklistPesertaKemenkeu!$AY$6:$AY$1005="Direkomendasikan",ROW($6:$1005)-5),750)+5)&amp;":O"&amp;(SMALL(IF(checklistPesertaKemenkeu!$AY$6:$AY$1005="Direkomendasikan",ROW($6:$1005)-5),750)+5)),INDEX(checklistPesertaKemenkeu!$L$6:$L$1005,SMALL(IF(checklistPesertaKemenkeu!$AY$6:$AY$1005="Direkomendasikan",ROW($6:$1005)-5),750)))=1),IFERROR(VLOOKUP(INDEX(checklistPesertaKemenkeu!$L$6:$L$1005,SMALL(IF(checklistPesertaKemenkeu!$AY$6:$AY$1005="Direkomendasikan",ROW($6:$1005)-5),750)),KotaKode,2,0),"-"),"")),"")</f>
        <v/>
      </c>
      <c r="I751" t="str">
        <f t="array" aca="1" ref="I751" ca="1">IFERROR(IF(OR(INDEX(checklistPesertaKemenkeu!$M$6:$M$1005,SMALL(IF(checklistPesertaKemenkeu!$AY$6:$AY$1005="Direkomendasikan",ROW($6:$1005)-5),750))="",INDEX(checklistPesertaKemenkeu!$J$6:$J$1005,SMALL(IF(checklistPesertaKemenkeu!$AY$6:$AY$1005="Direkomendasikan",ROW($6:$1005)-5),750))=""),"",IF(AND(COUNTIF(INDIRECT("K_"&amp;MATCH(INDEX(checklistPesertaKemenkeu!$J$6:$J$1005,SMALL(IF(checklistPesertaKemenkeu!$AY$6:$AY$1005="Direkomendasikan",ROW($6:$1005)-5),750)),BidangList,0)),INDEX(checklistPesertaKemenkeu!$M$6:$M$1005,SMALL(IF(checklistPesertaKemenkeu!$AY$6:$AY$1005="Direkomendasikan",ROW($6:$1005)-5),750)))&gt;0,COUNTIF(INDIRECT("'KERTAS KERJA'!K"&amp;(SMALL(IF(checklistPesertaKemenkeu!$AY$6:$AY$1005="Direkomendasikan",ROW($6:$1005)-5),750)+5)&amp;":O"&amp;(SMALL(IF(checklistPesertaKemenkeu!$AY$6:$AY$1005="Direkomendasikan",ROW($6:$1005)-5),750)+5)),INDEX(checklistPesertaKemenkeu!$M$6:$M$1005,SMALL(IF(checklistPesertaKemenkeu!$AY$6:$AY$1005="Direkomendasikan",ROW($6:$1005)-5),750)))=1),IFERROR(VLOOKUP(INDEX(checklistPesertaKemenkeu!$M$6:$M$1005,SMALL(IF(checklistPesertaKemenkeu!$AY$6:$AY$1005="Direkomendasikan",ROW($6:$1005)-5),750)),KotaKode,2,0),"-"),"")),"")</f>
        <v/>
      </c>
      <c r="J751" t="str">
        <f t="array" aca="1" ref="J751" ca="1">IFERROR(IF(OR(INDEX(checklistPesertaKemenkeu!$N$6:$N$1005,SMALL(IF(checklistPesertaKemenkeu!$AY$6:$AY$1005="Direkomendasikan",ROW($6:$1005)-5),750))="",INDEX(checklistPesertaKemenkeu!$J$6:$J$1005,SMALL(IF(checklistPesertaKemenkeu!$AY$6:$AY$1005="Direkomendasikan",ROW($6:$1005)-5),750))=""),"",IF(AND(COUNTIF(INDIRECT("K_"&amp;MATCH(INDEX(checklistPesertaKemenkeu!$J$6:$J$1005,SMALL(IF(checklistPesertaKemenkeu!$AY$6:$AY$1005="Direkomendasikan",ROW($6:$1005)-5),750)),BidangList,0)),INDEX(checklistPesertaKemenkeu!$N$6:$N$1005,SMALL(IF(checklistPesertaKemenkeu!$AY$6:$AY$1005="Direkomendasikan",ROW($6:$1005)-5),750)))&gt;0,COUNTIF(INDIRECT("'KERTAS KERJA'!K"&amp;(SMALL(IF(checklistPesertaKemenkeu!$AY$6:$AY$1005="Direkomendasikan",ROW($6:$1005)-5),750)+5)&amp;":O"&amp;(SMALL(IF(checklistPesertaKemenkeu!$AY$6:$AY$1005="Direkomendasikan",ROW($6:$1005)-5),750)+5)),INDEX(checklistPesertaKemenkeu!$N$6:$N$1005,SMALL(IF(checklistPesertaKemenkeu!$AY$6:$AY$1005="Direkomendasikan",ROW($6:$1005)-5),750)))=1),IFERROR(VLOOKUP(INDEX(checklistPesertaKemenkeu!$N$6:$N$1005,SMALL(IF(checklistPesertaKemenkeu!$AY$6:$AY$1005="Direkomendasikan",ROW($6:$1005)-5),750)),KotaKode,2,0),"-"),"")),"")</f>
        <v/>
      </c>
      <c r="K751" t="str">
        <f t="array" aca="1" ref="K751" ca="1">IFERROR(IF(OR(INDEX(checklistPesertaKemenkeu!$O$6:$O$1005,SMALL(IF(checklistPesertaKemenkeu!$AY$6:$AY$1005="Direkomendasikan",ROW($6:$1005)-5),750))="",INDEX(checklistPesertaKemenkeu!$J$6:$J$1005,SMALL(IF(checklistPesertaKemenkeu!$AY$6:$AY$1005="Direkomendasikan",ROW($6:$1005)-5),750))=""),"",IF(AND(COUNTIF(INDIRECT("K_"&amp;MATCH(INDEX(checklistPesertaKemenkeu!$J$6:$J$1005,SMALL(IF(checklistPesertaKemenkeu!$AY$6:$AY$1005="Direkomendasikan",ROW($6:$1005)-5),750)),BidangList,0)),INDEX(checklistPesertaKemenkeu!$O$6:$O$1005,SMALL(IF(checklistPesertaKemenkeu!$AY$6:$AY$1005="Direkomendasikan",ROW($6:$1005)-5),750)))&gt;0,COUNTIF(INDIRECT("'KERTAS KERJA'!K"&amp;(SMALL(IF(checklistPesertaKemenkeu!$AY$6:$AY$1005="Direkomendasikan",ROW($6:$1005)-5),750)+5)&amp;":O"&amp;(SMALL(IF(checklistPesertaKemenkeu!$AY$6:$AY$1005="Direkomendasikan",ROW($6:$1005)-5),750)+5)),INDEX(checklistPesertaKemenkeu!$O$6:$O$1005,SMALL(IF(checklistPesertaKemenkeu!$AY$6:$AY$1005="Direkomendasikan",ROW($6:$1005)-5),750)))=1),IFERROR(VLOOKUP(INDEX(checklistPesertaKemenkeu!$O$6:$O$1005,SMALL(IF(checklistPesertaKemenkeu!$AY$6:$AY$1005="Direkomendasikan",ROW($6:$1005)-5),750)),KotaKode,2,0),"-"),"")),"")</f>
        <v/>
      </c>
      <c r="L751" t="str">
        <f t="array" aca="1" ref="L751" ca="1">IFERROR(IF(OR(INDEX(checklistPesertaKemenkeu!$P$6:$P$1005,SMALL(IF(checklistPesertaKemenkeu!$AY$6:$AY$1005="Direkomendasikan",ROW($6:$1005)-5),750))="",INDEX(checklistPesertaKemenkeu!$J$6:$J$1005,SMALL(IF(checklistPesertaKemenkeu!$AY$6:$AY$1005="Direkomendasikan",ROW($6:$1005)-5),750))=""),"",IF(AND(COUNTIF(INDIRECT("K_"&amp;MATCH(INDEX(checklistPesertaKemenkeu!$J$6:$J$1005,SMALL(IF(checklistPesertaKemenkeu!$AY$6:$AY$1005="Direkomendasikan",ROW($6:$1005)-5),750)),BidangList,0)),INDEX(checklistPesertaKemenkeu!$P$6:$P$1005,SMALL(IF(checklistPesertaKemenkeu!$AY$6:$AY$1005="Direkomendasikan",ROW($6:$1005)-5),750)))&gt;0,COUNTIF(INDIRECT("'KERTAS KERJA'!K"&amp;(SMALL(IF(checklistPesertaKemenkeu!$AY$6:$AY$1005="Direkomendasikan",ROW($6:$1005)-5),750)+5)&amp;":O"&amp;(SMALL(IF(checklistPesertaKemenkeu!$AY$6:$AY$1005="Direkomendasikan",ROW($6:$1005)-5),750)+5)),INDEX(checklistPesertaKemenkeu!$P$6:$P$1005,SMALL(IF(checklistPesertaKemenkeu!$AY$6:$AY$1005="Direkomendasikan",ROW($6:$1005)-5),750)))=1),IFERROR(VLOOKUP(INDEX(checklistPesertaKemenkeu!$P$6:$P$1005,SMALL(IF(checklistPesertaKemenkeu!$AY$6:$AY$1005="Direkomendasikan",ROW($6:$1005)-5),750)),KotaKode,2,0),"-"),"")),"")</f>
        <v/>
      </c>
    </row>
    <row r="752" spans="1:12" ht="15" customHeight="1" x14ac:dyDescent="0.2">
      <c r="A752" t="str">
        <f t="shared" si="11"/>
        <v/>
      </c>
      <c r="B752" t="str">
        <v/>
      </c>
      <c r="C752" s="40" t="str">
        <f t="array" ref="C752">IFERROR(INDEX(checklistPesertaKemenkeu!$F$6:$F$1005,SMALL(IF(checklistPesertaKemenkeu!$AY$6:$AY$1005="Direkomendasikan",ROW($6:$1005)-5),751)),"")</f>
        <v/>
      </c>
      <c r="D752" t="str">
        <f t="array" ref="D752">IFERROR(INDEX(checklistPesertaKemenkeu!$G$6:$G$1005,SMALL(IF(checklistPesertaKemenkeu!$AY$6:$AY$1005="Direkomendasikan",ROW($6:$1005)-5),751)),"")</f>
        <v/>
      </c>
      <c r="E752" t="str">
        <f t="array" ref="E752">IFERROR(INDEX(checklistPesertaKemenkeu!$H$6:$H$1005,SMALL(IF(checklistPesertaKemenkeu!$AY$6:$AY$1005="Direkomendasikan",ROW($6:$1005)-5),751)),"")</f>
        <v/>
      </c>
      <c r="F752" t="str">
        <f t="array" ref="F752">IFERROR(INDEX(checklistPesertaKemenkeu!$I$6:$I$1005,SMALL(IF(checklistPesertaKemenkeu!$AY$6:$AY$1005="Direkomendasikan",ROW($6:$1005)-5),751)),"")</f>
        <v/>
      </c>
      <c r="G752" t="str">
        <f t="array" ref="G752">IFERROR(INDEX(checklistPesertaKemenkeu!$J$6:$J$1005,SMALL(IF(checklistPesertaKemenkeu!$AY$6:$AY$1005="Direkomendasikan",ROW($6:$1005)-5),751)),"")</f>
        <v/>
      </c>
      <c r="H752" t="str">
        <f t="array" aca="1" ref="H752" ca="1">IFERROR(IF(OR(INDEX(checklistPesertaKemenkeu!$L$6:$L$1005,SMALL(IF(checklistPesertaKemenkeu!$AY$6:$AY$1005="Direkomendasikan",ROW($6:$1005)-5),751))="",INDEX(checklistPesertaKemenkeu!$J$6:$J$1005,SMALL(IF(checklistPesertaKemenkeu!$AY$6:$AY$1005="Direkomendasikan",ROW($6:$1005)-5),751))=""),"",IF(AND(COUNTIF(INDIRECT("K_"&amp;MATCH(INDEX(checklistPesertaKemenkeu!$J$6:$J$1005,SMALL(IF(checklistPesertaKemenkeu!$AY$6:$AY$1005="Direkomendasikan",ROW($6:$1005)-5),751)),BidangList,0)),INDEX(checklistPesertaKemenkeu!$L$6:$L$1005,SMALL(IF(checklistPesertaKemenkeu!$AY$6:$AY$1005="Direkomendasikan",ROW($6:$1005)-5),751)))&gt;0,COUNTIF(INDIRECT("'KERTAS KERJA'!K"&amp;(SMALL(IF(checklistPesertaKemenkeu!$AY$6:$AY$1005="Direkomendasikan",ROW($6:$1005)-5),751)+5)&amp;":O"&amp;(SMALL(IF(checklistPesertaKemenkeu!$AY$6:$AY$1005="Direkomendasikan",ROW($6:$1005)-5),751)+5)),INDEX(checklistPesertaKemenkeu!$L$6:$L$1005,SMALL(IF(checklistPesertaKemenkeu!$AY$6:$AY$1005="Direkomendasikan",ROW($6:$1005)-5),751)))=1),IFERROR(VLOOKUP(INDEX(checklistPesertaKemenkeu!$L$6:$L$1005,SMALL(IF(checklistPesertaKemenkeu!$AY$6:$AY$1005="Direkomendasikan",ROW($6:$1005)-5),751)),KotaKode,2,0),"-"),"")),"")</f>
        <v/>
      </c>
      <c r="I752" t="str">
        <f t="array" aca="1" ref="I752" ca="1">IFERROR(IF(OR(INDEX(checklistPesertaKemenkeu!$M$6:$M$1005,SMALL(IF(checklistPesertaKemenkeu!$AY$6:$AY$1005="Direkomendasikan",ROW($6:$1005)-5),751))="",INDEX(checklistPesertaKemenkeu!$J$6:$J$1005,SMALL(IF(checklistPesertaKemenkeu!$AY$6:$AY$1005="Direkomendasikan",ROW($6:$1005)-5),751))=""),"",IF(AND(COUNTIF(INDIRECT("K_"&amp;MATCH(INDEX(checklistPesertaKemenkeu!$J$6:$J$1005,SMALL(IF(checklistPesertaKemenkeu!$AY$6:$AY$1005="Direkomendasikan",ROW($6:$1005)-5),751)),BidangList,0)),INDEX(checklistPesertaKemenkeu!$M$6:$M$1005,SMALL(IF(checklistPesertaKemenkeu!$AY$6:$AY$1005="Direkomendasikan",ROW($6:$1005)-5),751)))&gt;0,COUNTIF(INDIRECT("'KERTAS KERJA'!K"&amp;(SMALL(IF(checklistPesertaKemenkeu!$AY$6:$AY$1005="Direkomendasikan",ROW($6:$1005)-5),751)+5)&amp;":O"&amp;(SMALL(IF(checklistPesertaKemenkeu!$AY$6:$AY$1005="Direkomendasikan",ROW($6:$1005)-5),751)+5)),INDEX(checklistPesertaKemenkeu!$M$6:$M$1005,SMALL(IF(checklistPesertaKemenkeu!$AY$6:$AY$1005="Direkomendasikan",ROW($6:$1005)-5),751)))=1),IFERROR(VLOOKUP(INDEX(checklistPesertaKemenkeu!$M$6:$M$1005,SMALL(IF(checklistPesertaKemenkeu!$AY$6:$AY$1005="Direkomendasikan",ROW($6:$1005)-5),751)),KotaKode,2,0),"-"),"")),"")</f>
        <v/>
      </c>
      <c r="J752" t="str">
        <f t="array" aca="1" ref="J752" ca="1">IFERROR(IF(OR(INDEX(checklistPesertaKemenkeu!$N$6:$N$1005,SMALL(IF(checklistPesertaKemenkeu!$AY$6:$AY$1005="Direkomendasikan",ROW($6:$1005)-5),751))="",INDEX(checklistPesertaKemenkeu!$J$6:$J$1005,SMALL(IF(checklistPesertaKemenkeu!$AY$6:$AY$1005="Direkomendasikan",ROW($6:$1005)-5),751))=""),"",IF(AND(COUNTIF(INDIRECT("K_"&amp;MATCH(INDEX(checklistPesertaKemenkeu!$J$6:$J$1005,SMALL(IF(checklistPesertaKemenkeu!$AY$6:$AY$1005="Direkomendasikan",ROW($6:$1005)-5),751)),BidangList,0)),INDEX(checklistPesertaKemenkeu!$N$6:$N$1005,SMALL(IF(checklistPesertaKemenkeu!$AY$6:$AY$1005="Direkomendasikan",ROW($6:$1005)-5),751)))&gt;0,COUNTIF(INDIRECT("'KERTAS KERJA'!K"&amp;(SMALL(IF(checklistPesertaKemenkeu!$AY$6:$AY$1005="Direkomendasikan",ROW($6:$1005)-5),751)+5)&amp;":O"&amp;(SMALL(IF(checklistPesertaKemenkeu!$AY$6:$AY$1005="Direkomendasikan",ROW($6:$1005)-5),751)+5)),INDEX(checklistPesertaKemenkeu!$N$6:$N$1005,SMALL(IF(checklistPesertaKemenkeu!$AY$6:$AY$1005="Direkomendasikan",ROW($6:$1005)-5),751)))=1),IFERROR(VLOOKUP(INDEX(checklistPesertaKemenkeu!$N$6:$N$1005,SMALL(IF(checklistPesertaKemenkeu!$AY$6:$AY$1005="Direkomendasikan",ROW($6:$1005)-5),751)),KotaKode,2,0),"-"),"")),"")</f>
        <v/>
      </c>
      <c r="K752" t="str">
        <f t="array" aca="1" ref="K752" ca="1">IFERROR(IF(OR(INDEX(checklistPesertaKemenkeu!$O$6:$O$1005,SMALL(IF(checklistPesertaKemenkeu!$AY$6:$AY$1005="Direkomendasikan",ROW($6:$1005)-5),751))="",INDEX(checklistPesertaKemenkeu!$J$6:$J$1005,SMALL(IF(checklistPesertaKemenkeu!$AY$6:$AY$1005="Direkomendasikan",ROW($6:$1005)-5),751))=""),"",IF(AND(COUNTIF(INDIRECT("K_"&amp;MATCH(INDEX(checklistPesertaKemenkeu!$J$6:$J$1005,SMALL(IF(checklistPesertaKemenkeu!$AY$6:$AY$1005="Direkomendasikan",ROW($6:$1005)-5),751)),BidangList,0)),INDEX(checklistPesertaKemenkeu!$O$6:$O$1005,SMALL(IF(checklistPesertaKemenkeu!$AY$6:$AY$1005="Direkomendasikan",ROW($6:$1005)-5),751)))&gt;0,COUNTIF(INDIRECT("'KERTAS KERJA'!K"&amp;(SMALL(IF(checklistPesertaKemenkeu!$AY$6:$AY$1005="Direkomendasikan",ROW($6:$1005)-5),751)+5)&amp;":O"&amp;(SMALL(IF(checklistPesertaKemenkeu!$AY$6:$AY$1005="Direkomendasikan",ROW($6:$1005)-5),751)+5)),INDEX(checklistPesertaKemenkeu!$O$6:$O$1005,SMALL(IF(checklistPesertaKemenkeu!$AY$6:$AY$1005="Direkomendasikan",ROW($6:$1005)-5),751)))=1),IFERROR(VLOOKUP(INDEX(checklistPesertaKemenkeu!$O$6:$O$1005,SMALL(IF(checklistPesertaKemenkeu!$AY$6:$AY$1005="Direkomendasikan",ROW($6:$1005)-5),751)),KotaKode,2,0),"-"),"")),"")</f>
        <v/>
      </c>
      <c r="L752" t="str">
        <f t="array" aca="1" ref="L752" ca="1">IFERROR(IF(OR(INDEX(checklistPesertaKemenkeu!$P$6:$P$1005,SMALL(IF(checklistPesertaKemenkeu!$AY$6:$AY$1005="Direkomendasikan",ROW($6:$1005)-5),751))="",INDEX(checklistPesertaKemenkeu!$J$6:$J$1005,SMALL(IF(checklistPesertaKemenkeu!$AY$6:$AY$1005="Direkomendasikan",ROW($6:$1005)-5),751))=""),"",IF(AND(COUNTIF(INDIRECT("K_"&amp;MATCH(INDEX(checklistPesertaKemenkeu!$J$6:$J$1005,SMALL(IF(checklistPesertaKemenkeu!$AY$6:$AY$1005="Direkomendasikan",ROW($6:$1005)-5),751)),BidangList,0)),INDEX(checklistPesertaKemenkeu!$P$6:$P$1005,SMALL(IF(checklistPesertaKemenkeu!$AY$6:$AY$1005="Direkomendasikan",ROW($6:$1005)-5),751)))&gt;0,COUNTIF(INDIRECT("'KERTAS KERJA'!K"&amp;(SMALL(IF(checklistPesertaKemenkeu!$AY$6:$AY$1005="Direkomendasikan",ROW($6:$1005)-5),751)+5)&amp;":O"&amp;(SMALL(IF(checklistPesertaKemenkeu!$AY$6:$AY$1005="Direkomendasikan",ROW($6:$1005)-5),751)+5)),INDEX(checklistPesertaKemenkeu!$P$6:$P$1005,SMALL(IF(checklistPesertaKemenkeu!$AY$6:$AY$1005="Direkomendasikan",ROW($6:$1005)-5),751)))=1),IFERROR(VLOOKUP(INDEX(checklistPesertaKemenkeu!$P$6:$P$1005,SMALL(IF(checklistPesertaKemenkeu!$AY$6:$AY$1005="Direkomendasikan",ROW($6:$1005)-5),751)),KotaKode,2,0),"-"),"")),"")</f>
        <v/>
      </c>
    </row>
    <row r="753" spans="1:12" ht="15" customHeight="1" x14ac:dyDescent="0.2">
      <c r="A753" t="str">
        <f t="shared" si="11"/>
        <v/>
      </c>
      <c r="B753" t="str">
        <v/>
      </c>
      <c r="C753" s="40" t="str">
        <f t="array" ref="C753">IFERROR(INDEX(checklistPesertaKemenkeu!$F$6:$F$1005,SMALL(IF(checklistPesertaKemenkeu!$AY$6:$AY$1005="Direkomendasikan",ROW($6:$1005)-5),752)),"")</f>
        <v/>
      </c>
      <c r="D753" t="str">
        <f t="array" ref="D753">IFERROR(INDEX(checklistPesertaKemenkeu!$G$6:$G$1005,SMALL(IF(checklistPesertaKemenkeu!$AY$6:$AY$1005="Direkomendasikan",ROW($6:$1005)-5),752)),"")</f>
        <v/>
      </c>
      <c r="E753" t="str">
        <f t="array" ref="E753">IFERROR(INDEX(checklistPesertaKemenkeu!$H$6:$H$1005,SMALL(IF(checklistPesertaKemenkeu!$AY$6:$AY$1005="Direkomendasikan",ROW($6:$1005)-5),752)),"")</f>
        <v/>
      </c>
      <c r="F753" t="str">
        <f t="array" ref="F753">IFERROR(INDEX(checklistPesertaKemenkeu!$I$6:$I$1005,SMALL(IF(checklistPesertaKemenkeu!$AY$6:$AY$1005="Direkomendasikan",ROW($6:$1005)-5),752)),"")</f>
        <v/>
      </c>
      <c r="G753" t="str">
        <f t="array" ref="G753">IFERROR(INDEX(checklistPesertaKemenkeu!$J$6:$J$1005,SMALL(IF(checklistPesertaKemenkeu!$AY$6:$AY$1005="Direkomendasikan",ROW($6:$1005)-5),752)),"")</f>
        <v/>
      </c>
      <c r="H753" t="str">
        <f t="array" aca="1" ref="H753" ca="1">IFERROR(IF(OR(INDEX(checklistPesertaKemenkeu!$L$6:$L$1005,SMALL(IF(checklistPesertaKemenkeu!$AY$6:$AY$1005="Direkomendasikan",ROW($6:$1005)-5),752))="",INDEX(checklistPesertaKemenkeu!$J$6:$J$1005,SMALL(IF(checklistPesertaKemenkeu!$AY$6:$AY$1005="Direkomendasikan",ROW($6:$1005)-5),752))=""),"",IF(AND(COUNTIF(INDIRECT("K_"&amp;MATCH(INDEX(checklistPesertaKemenkeu!$J$6:$J$1005,SMALL(IF(checklistPesertaKemenkeu!$AY$6:$AY$1005="Direkomendasikan",ROW($6:$1005)-5),752)),BidangList,0)),INDEX(checklistPesertaKemenkeu!$L$6:$L$1005,SMALL(IF(checklistPesertaKemenkeu!$AY$6:$AY$1005="Direkomendasikan",ROW($6:$1005)-5),752)))&gt;0,COUNTIF(INDIRECT("'KERTAS KERJA'!K"&amp;(SMALL(IF(checklistPesertaKemenkeu!$AY$6:$AY$1005="Direkomendasikan",ROW($6:$1005)-5),752)+5)&amp;":O"&amp;(SMALL(IF(checklistPesertaKemenkeu!$AY$6:$AY$1005="Direkomendasikan",ROW($6:$1005)-5),752)+5)),INDEX(checklistPesertaKemenkeu!$L$6:$L$1005,SMALL(IF(checklistPesertaKemenkeu!$AY$6:$AY$1005="Direkomendasikan",ROW($6:$1005)-5),752)))=1),IFERROR(VLOOKUP(INDEX(checklistPesertaKemenkeu!$L$6:$L$1005,SMALL(IF(checklistPesertaKemenkeu!$AY$6:$AY$1005="Direkomendasikan",ROW($6:$1005)-5),752)),KotaKode,2,0),"-"),"")),"")</f>
        <v/>
      </c>
      <c r="I753" t="str">
        <f t="array" aca="1" ref="I753" ca="1">IFERROR(IF(OR(INDEX(checklistPesertaKemenkeu!$M$6:$M$1005,SMALL(IF(checklistPesertaKemenkeu!$AY$6:$AY$1005="Direkomendasikan",ROW($6:$1005)-5),752))="",INDEX(checklistPesertaKemenkeu!$J$6:$J$1005,SMALL(IF(checklistPesertaKemenkeu!$AY$6:$AY$1005="Direkomendasikan",ROW($6:$1005)-5),752))=""),"",IF(AND(COUNTIF(INDIRECT("K_"&amp;MATCH(INDEX(checklistPesertaKemenkeu!$J$6:$J$1005,SMALL(IF(checklistPesertaKemenkeu!$AY$6:$AY$1005="Direkomendasikan",ROW($6:$1005)-5),752)),BidangList,0)),INDEX(checklistPesertaKemenkeu!$M$6:$M$1005,SMALL(IF(checklistPesertaKemenkeu!$AY$6:$AY$1005="Direkomendasikan",ROW($6:$1005)-5),752)))&gt;0,COUNTIF(INDIRECT("'KERTAS KERJA'!K"&amp;(SMALL(IF(checklistPesertaKemenkeu!$AY$6:$AY$1005="Direkomendasikan",ROW($6:$1005)-5),752)+5)&amp;":O"&amp;(SMALL(IF(checklistPesertaKemenkeu!$AY$6:$AY$1005="Direkomendasikan",ROW($6:$1005)-5),752)+5)),INDEX(checklistPesertaKemenkeu!$M$6:$M$1005,SMALL(IF(checklistPesertaKemenkeu!$AY$6:$AY$1005="Direkomendasikan",ROW($6:$1005)-5),752)))=1),IFERROR(VLOOKUP(INDEX(checklistPesertaKemenkeu!$M$6:$M$1005,SMALL(IF(checklistPesertaKemenkeu!$AY$6:$AY$1005="Direkomendasikan",ROW($6:$1005)-5),752)),KotaKode,2,0),"-"),"")),"")</f>
        <v/>
      </c>
      <c r="J753" t="str">
        <f t="array" aca="1" ref="J753" ca="1">IFERROR(IF(OR(INDEX(checklistPesertaKemenkeu!$N$6:$N$1005,SMALL(IF(checklistPesertaKemenkeu!$AY$6:$AY$1005="Direkomendasikan",ROW($6:$1005)-5),752))="",INDEX(checklistPesertaKemenkeu!$J$6:$J$1005,SMALL(IF(checklistPesertaKemenkeu!$AY$6:$AY$1005="Direkomendasikan",ROW($6:$1005)-5),752))=""),"",IF(AND(COUNTIF(INDIRECT("K_"&amp;MATCH(INDEX(checklistPesertaKemenkeu!$J$6:$J$1005,SMALL(IF(checklistPesertaKemenkeu!$AY$6:$AY$1005="Direkomendasikan",ROW($6:$1005)-5),752)),BidangList,0)),INDEX(checklistPesertaKemenkeu!$N$6:$N$1005,SMALL(IF(checklistPesertaKemenkeu!$AY$6:$AY$1005="Direkomendasikan",ROW($6:$1005)-5),752)))&gt;0,COUNTIF(INDIRECT("'KERTAS KERJA'!K"&amp;(SMALL(IF(checklistPesertaKemenkeu!$AY$6:$AY$1005="Direkomendasikan",ROW($6:$1005)-5),752)+5)&amp;":O"&amp;(SMALL(IF(checklistPesertaKemenkeu!$AY$6:$AY$1005="Direkomendasikan",ROW($6:$1005)-5),752)+5)),INDEX(checklistPesertaKemenkeu!$N$6:$N$1005,SMALL(IF(checklistPesertaKemenkeu!$AY$6:$AY$1005="Direkomendasikan",ROW($6:$1005)-5),752)))=1),IFERROR(VLOOKUP(INDEX(checklistPesertaKemenkeu!$N$6:$N$1005,SMALL(IF(checklistPesertaKemenkeu!$AY$6:$AY$1005="Direkomendasikan",ROW($6:$1005)-5),752)),KotaKode,2,0),"-"),"")),"")</f>
        <v/>
      </c>
      <c r="K753" t="str">
        <f t="array" aca="1" ref="K753" ca="1">IFERROR(IF(OR(INDEX(checklistPesertaKemenkeu!$O$6:$O$1005,SMALL(IF(checklistPesertaKemenkeu!$AY$6:$AY$1005="Direkomendasikan",ROW($6:$1005)-5),752))="",INDEX(checklistPesertaKemenkeu!$J$6:$J$1005,SMALL(IF(checklistPesertaKemenkeu!$AY$6:$AY$1005="Direkomendasikan",ROW($6:$1005)-5),752))=""),"",IF(AND(COUNTIF(INDIRECT("K_"&amp;MATCH(INDEX(checklistPesertaKemenkeu!$J$6:$J$1005,SMALL(IF(checklistPesertaKemenkeu!$AY$6:$AY$1005="Direkomendasikan",ROW($6:$1005)-5),752)),BidangList,0)),INDEX(checklistPesertaKemenkeu!$O$6:$O$1005,SMALL(IF(checklistPesertaKemenkeu!$AY$6:$AY$1005="Direkomendasikan",ROW($6:$1005)-5),752)))&gt;0,COUNTIF(INDIRECT("'KERTAS KERJA'!K"&amp;(SMALL(IF(checklistPesertaKemenkeu!$AY$6:$AY$1005="Direkomendasikan",ROW($6:$1005)-5),752)+5)&amp;":O"&amp;(SMALL(IF(checklistPesertaKemenkeu!$AY$6:$AY$1005="Direkomendasikan",ROW($6:$1005)-5),752)+5)),INDEX(checklistPesertaKemenkeu!$O$6:$O$1005,SMALL(IF(checklistPesertaKemenkeu!$AY$6:$AY$1005="Direkomendasikan",ROW($6:$1005)-5),752)))=1),IFERROR(VLOOKUP(INDEX(checklistPesertaKemenkeu!$O$6:$O$1005,SMALL(IF(checklistPesertaKemenkeu!$AY$6:$AY$1005="Direkomendasikan",ROW($6:$1005)-5),752)),KotaKode,2,0),"-"),"")),"")</f>
        <v/>
      </c>
      <c r="L753" t="str">
        <f t="array" aca="1" ref="L753" ca="1">IFERROR(IF(OR(INDEX(checklistPesertaKemenkeu!$P$6:$P$1005,SMALL(IF(checklistPesertaKemenkeu!$AY$6:$AY$1005="Direkomendasikan",ROW($6:$1005)-5),752))="",INDEX(checklistPesertaKemenkeu!$J$6:$J$1005,SMALL(IF(checklistPesertaKemenkeu!$AY$6:$AY$1005="Direkomendasikan",ROW($6:$1005)-5),752))=""),"",IF(AND(COUNTIF(INDIRECT("K_"&amp;MATCH(INDEX(checklistPesertaKemenkeu!$J$6:$J$1005,SMALL(IF(checklistPesertaKemenkeu!$AY$6:$AY$1005="Direkomendasikan",ROW($6:$1005)-5),752)),BidangList,0)),INDEX(checklistPesertaKemenkeu!$P$6:$P$1005,SMALL(IF(checklistPesertaKemenkeu!$AY$6:$AY$1005="Direkomendasikan",ROW($6:$1005)-5),752)))&gt;0,COUNTIF(INDIRECT("'KERTAS KERJA'!K"&amp;(SMALL(IF(checklistPesertaKemenkeu!$AY$6:$AY$1005="Direkomendasikan",ROW($6:$1005)-5),752)+5)&amp;":O"&amp;(SMALL(IF(checklistPesertaKemenkeu!$AY$6:$AY$1005="Direkomendasikan",ROW($6:$1005)-5),752)+5)),INDEX(checklistPesertaKemenkeu!$P$6:$P$1005,SMALL(IF(checklistPesertaKemenkeu!$AY$6:$AY$1005="Direkomendasikan",ROW($6:$1005)-5),752)))=1),IFERROR(VLOOKUP(INDEX(checklistPesertaKemenkeu!$P$6:$P$1005,SMALL(IF(checklistPesertaKemenkeu!$AY$6:$AY$1005="Direkomendasikan",ROW($6:$1005)-5),752)),KotaKode,2,0),"-"),"")),"")</f>
        <v/>
      </c>
    </row>
    <row r="754" spans="1:12" ht="15" customHeight="1" x14ac:dyDescent="0.2">
      <c r="A754" t="str">
        <f t="shared" si="11"/>
        <v/>
      </c>
      <c r="B754" t="str">
        <v/>
      </c>
      <c r="C754" s="40" t="str">
        <f t="array" ref="C754">IFERROR(INDEX(checklistPesertaKemenkeu!$F$6:$F$1005,SMALL(IF(checklistPesertaKemenkeu!$AY$6:$AY$1005="Direkomendasikan",ROW($6:$1005)-5),753)),"")</f>
        <v/>
      </c>
      <c r="D754" t="str">
        <f t="array" ref="D754">IFERROR(INDEX(checklistPesertaKemenkeu!$G$6:$G$1005,SMALL(IF(checklistPesertaKemenkeu!$AY$6:$AY$1005="Direkomendasikan",ROW($6:$1005)-5),753)),"")</f>
        <v/>
      </c>
      <c r="E754" t="str">
        <f t="array" ref="E754">IFERROR(INDEX(checklistPesertaKemenkeu!$H$6:$H$1005,SMALL(IF(checklistPesertaKemenkeu!$AY$6:$AY$1005="Direkomendasikan",ROW($6:$1005)-5),753)),"")</f>
        <v/>
      </c>
      <c r="F754" t="str">
        <f t="array" ref="F754">IFERROR(INDEX(checklistPesertaKemenkeu!$I$6:$I$1005,SMALL(IF(checklistPesertaKemenkeu!$AY$6:$AY$1005="Direkomendasikan",ROW($6:$1005)-5),753)),"")</f>
        <v/>
      </c>
      <c r="G754" t="str">
        <f t="array" ref="G754">IFERROR(INDEX(checklistPesertaKemenkeu!$J$6:$J$1005,SMALL(IF(checklistPesertaKemenkeu!$AY$6:$AY$1005="Direkomendasikan",ROW($6:$1005)-5),753)),"")</f>
        <v/>
      </c>
      <c r="H754" t="str">
        <f t="array" aca="1" ref="H754" ca="1">IFERROR(IF(OR(INDEX(checklistPesertaKemenkeu!$L$6:$L$1005,SMALL(IF(checklistPesertaKemenkeu!$AY$6:$AY$1005="Direkomendasikan",ROW($6:$1005)-5),753))="",INDEX(checklistPesertaKemenkeu!$J$6:$J$1005,SMALL(IF(checklistPesertaKemenkeu!$AY$6:$AY$1005="Direkomendasikan",ROW($6:$1005)-5),753))=""),"",IF(AND(COUNTIF(INDIRECT("K_"&amp;MATCH(INDEX(checklistPesertaKemenkeu!$J$6:$J$1005,SMALL(IF(checklistPesertaKemenkeu!$AY$6:$AY$1005="Direkomendasikan",ROW($6:$1005)-5),753)),BidangList,0)),INDEX(checklistPesertaKemenkeu!$L$6:$L$1005,SMALL(IF(checklistPesertaKemenkeu!$AY$6:$AY$1005="Direkomendasikan",ROW($6:$1005)-5),753)))&gt;0,COUNTIF(INDIRECT("'KERTAS KERJA'!K"&amp;(SMALL(IF(checklistPesertaKemenkeu!$AY$6:$AY$1005="Direkomendasikan",ROW($6:$1005)-5),753)+5)&amp;":O"&amp;(SMALL(IF(checklistPesertaKemenkeu!$AY$6:$AY$1005="Direkomendasikan",ROW($6:$1005)-5),753)+5)),INDEX(checklistPesertaKemenkeu!$L$6:$L$1005,SMALL(IF(checklistPesertaKemenkeu!$AY$6:$AY$1005="Direkomendasikan",ROW($6:$1005)-5),753)))=1),IFERROR(VLOOKUP(INDEX(checklistPesertaKemenkeu!$L$6:$L$1005,SMALL(IF(checklistPesertaKemenkeu!$AY$6:$AY$1005="Direkomendasikan",ROW($6:$1005)-5),753)),KotaKode,2,0),"-"),"")),"")</f>
        <v/>
      </c>
      <c r="I754" t="str">
        <f t="array" aca="1" ref="I754" ca="1">IFERROR(IF(OR(INDEX(checklistPesertaKemenkeu!$M$6:$M$1005,SMALL(IF(checklistPesertaKemenkeu!$AY$6:$AY$1005="Direkomendasikan",ROW($6:$1005)-5),753))="",INDEX(checklistPesertaKemenkeu!$J$6:$J$1005,SMALL(IF(checklistPesertaKemenkeu!$AY$6:$AY$1005="Direkomendasikan",ROW($6:$1005)-5),753))=""),"",IF(AND(COUNTIF(INDIRECT("K_"&amp;MATCH(INDEX(checklistPesertaKemenkeu!$J$6:$J$1005,SMALL(IF(checklistPesertaKemenkeu!$AY$6:$AY$1005="Direkomendasikan",ROW($6:$1005)-5),753)),BidangList,0)),INDEX(checklistPesertaKemenkeu!$M$6:$M$1005,SMALL(IF(checklistPesertaKemenkeu!$AY$6:$AY$1005="Direkomendasikan",ROW($6:$1005)-5),753)))&gt;0,COUNTIF(INDIRECT("'KERTAS KERJA'!K"&amp;(SMALL(IF(checklistPesertaKemenkeu!$AY$6:$AY$1005="Direkomendasikan",ROW($6:$1005)-5),753)+5)&amp;":O"&amp;(SMALL(IF(checklistPesertaKemenkeu!$AY$6:$AY$1005="Direkomendasikan",ROW($6:$1005)-5),753)+5)),INDEX(checklistPesertaKemenkeu!$M$6:$M$1005,SMALL(IF(checklistPesertaKemenkeu!$AY$6:$AY$1005="Direkomendasikan",ROW($6:$1005)-5),753)))=1),IFERROR(VLOOKUP(INDEX(checklistPesertaKemenkeu!$M$6:$M$1005,SMALL(IF(checklistPesertaKemenkeu!$AY$6:$AY$1005="Direkomendasikan",ROW($6:$1005)-5),753)),KotaKode,2,0),"-"),"")),"")</f>
        <v/>
      </c>
      <c r="J754" t="str">
        <f t="array" aca="1" ref="J754" ca="1">IFERROR(IF(OR(INDEX(checklistPesertaKemenkeu!$N$6:$N$1005,SMALL(IF(checklistPesertaKemenkeu!$AY$6:$AY$1005="Direkomendasikan",ROW($6:$1005)-5),753))="",INDEX(checklistPesertaKemenkeu!$J$6:$J$1005,SMALL(IF(checklistPesertaKemenkeu!$AY$6:$AY$1005="Direkomendasikan",ROW($6:$1005)-5),753))=""),"",IF(AND(COUNTIF(INDIRECT("K_"&amp;MATCH(INDEX(checklistPesertaKemenkeu!$J$6:$J$1005,SMALL(IF(checklistPesertaKemenkeu!$AY$6:$AY$1005="Direkomendasikan",ROW($6:$1005)-5),753)),BidangList,0)),INDEX(checklistPesertaKemenkeu!$N$6:$N$1005,SMALL(IF(checklistPesertaKemenkeu!$AY$6:$AY$1005="Direkomendasikan",ROW($6:$1005)-5),753)))&gt;0,COUNTIF(INDIRECT("'KERTAS KERJA'!K"&amp;(SMALL(IF(checklistPesertaKemenkeu!$AY$6:$AY$1005="Direkomendasikan",ROW($6:$1005)-5),753)+5)&amp;":O"&amp;(SMALL(IF(checklistPesertaKemenkeu!$AY$6:$AY$1005="Direkomendasikan",ROW($6:$1005)-5),753)+5)),INDEX(checklistPesertaKemenkeu!$N$6:$N$1005,SMALL(IF(checklistPesertaKemenkeu!$AY$6:$AY$1005="Direkomendasikan",ROW($6:$1005)-5),753)))=1),IFERROR(VLOOKUP(INDEX(checklistPesertaKemenkeu!$N$6:$N$1005,SMALL(IF(checklistPesertaKemenkeu!$AY$6:$AY$1005="Direkomendasikan",ROW($6:$1005)-5),753)),KotaKode,2,0),"-"),"")),"")</f>
        <v/>
      </c>
      <c r="K754" t="str">
        <f t="array" aca="1" ref="K754" ca="1">IFERROR(IF(OR(INDEX(checklistPesertaKemenkeu!$O$6:$O$1005,SMALL(IF(checklistPesertaKemenkeu!$AY$6:$AY$1005="Direkomendasikan",ROW($6:$1005)-5),753))="",INDEX(checklistPesertaKemenkeu!$J$6:$J$1005,SMALL(IF(checklistPesertaKemenkeu!$AY$6:$AY$1005="Direkomendasikan",ROW($6:$1005)-5),753))=""),"",IF(AND(COUNTIF(INDIRECT("K_"&amp;MATCH(INDEX(checklistPesertaKemenkeu!$J$6:$J$1005,SMALL(IF(checklistPesertaKemenkeu!$AY$6:$AY$1005="Direkomendasikan",ROW($6:$1005)-5),753)),BidangList,0)),INDEX(checklistPesertaKemenkeu!$O$6:$O$1005,SMALL(IF(checklistPesertaKemenkeu!$AY$6:$AY$1005="Direkomendasikan",ROW($6:$1005)-5),753)))&gt;0,COUNTIF(INDIRECT("'KERTAS KERJA'!K"&amp;(SMALL(IF(checklistPesertaKemenkeu!$AY$6:$AY$1005="Direkomendasikan",ROW($6:$1005)-5),753)+5)&amp;":O"&amp;(SMALL(IF(checklistPesertaKemenkeu!$AY$6:$AY$1005="Direkomendasikan",ROW($6:$1005)-5),753)+5)),INDEX(checklistPesertaKemenkeu!$O$6:$O$1005,SMALL(IF(checklistPesertaKemenkeu!$AY$6:$AY$1005="Direkomendasikan",ROW($6:$1005)-5),753)))=1),IFERROR(VLOOKUP(INDEX(checklistPesertaKemenkeu!$O$6:$O$1005,SMALL(IF(checklistPesertaKemenkeu!$AY$6:$AY$1005="Direkomendasikan",ROW($6:$1005)-5),753)),KotaKode,2,0),"-"),"")),"")</f>
        <v/>
      </c>
      <c r="L754" t="str">
        <f t="array" aca="1" ref="L754" ca="1">IFERROR(IF(OR(INDEX(checklistPesertaKemenkeu!$P$6:$P$1005,SMALL(IF(checklistPesertaKemenkeu!$AY$6:$AY$1005="Direkomendasikan",ROW($6:$1005)-5),753))="",INDEX(checklistPesertaKemenkeu!$J$6:$J$1005,SMALL(IF(checklistPesertaKemenkeu!$AY$6:$AY$1005="Direkomendasikan",ROW($6:$1005)-5),753))=""),"",IF(AND(COUNTIF(INDIRECT("K_"&amp;MATCH(INDEX(checklistPesertaKemenkeu!$J$6:$J$1005,SMALL(IF(checklistPesertaKemenkeu!$AY$6:$AY$1005="Direkomendasikan",ROW($6:$1005)-5),753)),BidangList,0)),INDEX(checklistPesertaKemenkeu!$P$6:$P$1005,SMALL(IF(checklistPesertaKemenkeu!$AY$6:$AY$1005="Direkomendasikan",ROW($6:$1005)-5),753)))&gt;0,COUNTIF(INDIRECT("'KERTAS KERJA'!K"&amp;(SMALL(IF(checklistPesertaKemenkeu!$AY$6:$AY$1005="Direkomendasikan",ROW($6:$1005)-5),753)+5)&amp;":O"&amp;(SMALL(IF(checklistPesertaKemenkeu!$AY$6:$AY$1005="Direkomendasikan",ROW($6:$1005)-5),753)+5)),INDEX(checklistPesertaKemenkeu!$P$6:$P$1005,SMALL(IF(checklistPesertaKemenkeu!$AY$6:$AY$1005="Direkomendasikan",ROW($6:$1005)-5),753)))=1),IFERROR(VLOOKUP(INDEX(checklistPesertaKemenkeu!$P$6:$P$1005,SMALL(IF(checklistPesertaKemenkeu!$AY$6:$AY$1005="Direkomendasikan",ROW($6:$1005)-5),753)),KotaKode,2,0),"-"),"")),"")</f>
        <v/>
      </c>
    </row>
    <row r="755" spans="1:12" ht="15" customHeight="1" x14ac:dyDescent="0.2">
      <c r="A755" t="str">
        <f t="shared" si="11"/>
        <v/>
      </c>
      <c r="B755" t="str">
        <v/>
      </c>
      <c r="C755" s="40" t="str">
        <f t="array" ref="C755">IFERROR(INDEX(checklistPesertaKemenkeu!$F$6:$F$1005,SMALL(IF(checklistPesertaKemenkeu!$AY$6:$AY$1005="Direkomendasikan",ROW($6:$1005)-5),754)),"")</f>
        <v/>
      </c>
      <c r="D755" t="str">
        <f t="array" ref="D755">IFERROR(INDEX(checklistPesertaKemenkeu!$G$6:$G$1005,SMALL(IF(checklistPesertaKemenkeu!$AY$6:$AY$1005="Direkomendasikan",ROW($6:$1005)-5),754)),"")</f>
        <v/>
      </c>
      <c r="E755" t="str">
        <f t="array" ref="E755">IFERROR(INDEX(checklistPesertaKemenkeu!$H$6:$H$1005,SMALL(IF(checklistPesertaKemenkeu!$AY$6:$AY$1005="Direkomendasikan",ROW($6:$1005)-5),754)),"")</f>
        <v/>
      </c>
      <c r="F755" t="str">
        <f t="array" ref="F755">IFERROR(INDEX(checklistPesertaKemenkeu!$I$6:$I$1005,SMALL(IF(checklistPesertaKemenkeu!$AY$6:$AY$1005="Direkomendasikan",ROW($6:$1005)-5),754)),"")</f>
        <v/>
      </c>
      <c r="G755" t="str">
        <f t="array" ref="G755">IFERROR(INDEX(checklistPesertaKemenkeu!$J$6:$J$1005,SMALL(IF(checklistPesertaKemenkeu!$AY$6:$AY$1005="Direkomendasikan",ROW($6:$1005)-5),754)),"")</f>
        <v/>
      </c>
      <c r="H755" t="str">
        <f t="array" aca="1" ref="H755" ca="1">IFERROR(IF(OR(INDEX(checklistPesertaKemenkeu!$L$6:$L$1005,SMALL(IF(checklistPesertaKemenkeu!$AY$6:$AY$1005="Direkomendasikan",ROW($6:$1005)-5),754))="",INDEX(checklistPesertaKemenkeu!$J$6:$J$1005,SMALL(IF(checklistPesertaKemenkeu!$AY$6:$AY$1005="Direkomendasikan",ROW($6:$1005)-5),754))=""),"",IF(AND(COUNTIF(INDIRECT("K_"&amp;MATCH(INDEX(checklistPesertaKemenkeu!$J$6:$J$1005,SMALL(IF(checklistPesertaKemenkeu!$AY$6:$AY$1005="Direkomendasikan",ROW($6:$1005)-5),754)),BidangList,0)),INDEX(checklistPesertaKemenkeu!$L$6:$L$1005,SMALL(IF(checklistPesertaKemenkeu!$AY$6:$AY$1005="Direkomendasikan",ROW($6:$1005)-5),754)))&gt;0,COUNTIF(INDIRECT("'KERTAS KERJA'!K"&amp;(SMALL(IF(checklistPesertaKemenkeu!$AY$6:$AY$1005="Direkomendasikan",ROW($6:$1005)-5),754)+5)&amp;":O"&amp;(SMALL(IF(checklistPesertaKemenkeu!$AY$6:$AY$1005="Direkomendasikan",ROW($6:$1005)-5),754)+5)),INDEX(checklistPesertaKemenkeu!$L$6:$L$1005,SMALL(IF(checklistPesertaKemenkeu!$AY$6:$AY$1005="Direkomendasikan",ROW($6:$1005)-5),754)))=1),IFERROR(VLOOKUP(INDEX(checklistPesertaKemenkeu!$L$6:$L$1005,SMALL(IF(checklistPesertaKemenkeu!$AY$6:$AY$1005="Direkomendasikan",ROW($6:$1005)-5),754)),KotaKode,2,0),"-"),"")),"")</f>
        <v/>
      </c>
      <c r="I755" t="str">
        <f t="array" aca="1" ref="I755" ca="1">IFERROR(IF(OR(INDEX(checklistPesertaKemenkeu!$M$6:$M$1005,SMALL(IF(checklistPesertaKemenkeu!$AY$6:$AY$1005="Direkomendasikan",ROW($6:$1005)-5),754))="",INDEX(checklistPesertaKemenkeu!$J$6:$J$1005,SMALL(IF(checklistPesertaKemenkeu!$AY$6:$AY$1005="Direkomendasikan",ROW($6:$1005)-5),754))=""),"",IF(AND(COUNTIF(INDIRECT("K_"&amp;MATCH(INDEX(checklistPesertaKemenkeu!$J$6:$J$1005,SMALL(IF(checklistPesertaKemenkeu!$AY$6:$AY$1005="Direkomendasikan",ROW($6:$1005)-5),754)),BidangList,0)),INDEX(checklistPesertaKemenkeu!$M$6:$M$1005,SMALL(IF(checklistPesertaKemenkeu!$AY$6:$AY$1005="Direkomendasikan",ROW($6:$1005)-5),754)))&gt;0,COUNTIF(INDIRECT("'KERTAS KERJA'!K"&amp;(SMALL(IF(checklistPesertaKemenkeu!$AY$6:$AY$1005="Direkomendasikan",ROW($6:$1005)-5),754)+5)&amp;":O"&amp;(SMALL(IF(checklistPesertaKemenkeu!$AY$6:$AY$1005="Direkomendasikan",ROW($6:$1005)-5),754)+5)),INDEX(checklistPesertaKemenkeu!$M$6:$M$1005,SMALL(IF(checklistPesertaKemenkeu!$AY$6:$AY$1005="Direkomendasikan",ROW($6:$1005)-5),754)))=1),IFERROR(VLOOKUP(INDEX(checklistPesertaKemenkeu!$M$6:$M$1005,SMALL(IF(checklistPesertaKemenkeu!$AY$6:$AY$1005="Direkomendasikan",ROW($6:$1005)-5),754)),KotaKode,2,0),"-"),"")),"")</f>
        <v/>
      </c>
      <c r="J755" t="str">
        <f t="array" aca="1" ref="J755" ca="1">IFERROR(IF(OR(INDEX(checklistPesertaKemenkeu!$N$6:$N$1005,SMALL(IF(checklistPesertaKemenkeu!$AY$6:$AY$1005="Direkomendasikan",ROW($6:$1005)-5),754))="",INDEX(checklistPesertaKemenkeu!$J$6:$J$1005,SMALL(IF(checklistPesertaKemenkeu!$AY$6:$AY$1005="Direkomendasikan",ROW($6:$1005)-5),754))=""),"",IF(AND(COUNTIF(INDIRECT("K_"&amp;MATCH(INDEX(checklistPesertaKemenkeu!$J$6:$J$1005,SMALL(IF(checklistPesertaKemenkeu!$AY$6:$AY$1005="Direkomendasikan",ROW($6:$1005)-5),754)),BidangList,0)),INDEX(checklistPesertaKemenkeu!$N$6:$N$1005,SMALL(IF(checklistPesertaKemenkeu!$AY$6:$AY$1005="Direkomendasikan",ROW($6:$1005)-5),754)))&gt;0,COUNTIF(INDIRECT("'KERTAS KERJA'!K"&amp;(SMALL(IF(checklistPesertaKemenkeu!$AY$6:$AY$1005="Direkomendasikan",ROW($6:$1005)-5),754)+5)&amp;":O"&amp;(SMALL(IF(checklistPesertaKemenkeu!$AY$6:$AY$1005="Direkomendasikan",ROW($6:$1005)-5),754)+5)),INDEX(checklistPesertaKemenkeu!$N$6:$N$1005,SMALL(IF(checklistPesertaKemenkeu!$AY$6:$AY$1005="Direkomendasikan",ROW($6:$1005)-5),754)))=1),IFERROR(VLOOKUP(INDEX(checklistPesertaKemenkeu!$N$6:$N$1005,SMALL(IF(checklistPesertaKemenkeu!$AY$6:$AY$1005="Direkomendasikan",ROW($6:$1005)-5),754)),KotaKode,2,0),"-"),"")),"")</f>
        <v/>
      </c>
      <c r="K755" t="str">
        <f t="array" aca="1" ref="K755" ca="1">IFERROR(IF(OR(INDEX(checklistPesertaKemenkeu!$O$6:$O$1005,SMALL(IF(checklistPesertaKemenkeu!$AY$6:$AY$1005="Direkomendasikan",ROW($6:$1005)-5),754))="",INDEX(checklistPesertaKemenkeu!$J$6:$J$1005,SMALL(IF(checklistPesertaKemenkeu!$AY$6:$AY$1005="Direkomendasikan",ROW($6:$1005)-5),754))=""),"",IF(AND(COUNTIF(INDIRECT("K_"&amp;MATCH(INDEX(checklistPesertaKemenkeu!$J$6:$J$1005,SMALL(IF(checklistPesertaKemenkeu!$AY$6:$AY$1005="Direkomendasikan",ROW($6:$1005)-5),754)),BidangList,0)),INDEX(checklistPesertaKemenkeu!$O$6:$O$1005,SMALL(IF(checklistPesertaKemenkeu!$AY$6:$AY$1005="Direkomendasikan",ROW($6:$1005)-5),754)))&gt;0,COUNTIF(INDIRECT("'KERTAS KERJA'!K"&amp;(SMALL(IF(checklistPesertaKemenkeu!$AY$6:$AY$1005="Direkomendasikan",ROW($6:$1005)-5),754)+5)&amp;":O"&amp;(SMALL(IF(checklistPesertaKemenkeu!$AY$6:$AY$1005="Direkomendasikan",ROW($6:$1005)-5),754)+5)),INDEX(checklistPesertaKemenkeu!$O$6:$O$1005,SMALL(IF(checklistPesertaKemenkeu!$AY$6:$AY$1005="Direkomendasikan",ROW($6:$1005)-5),754)))=1),IFERROR(VLOOKUP(INDEX(checklistPesertaKemenkeu!$O$6:$O$1005,SMALL(IF(checklistPesertaKemenkeu!$AY$6:$AY$1005="Direkomendasikan",ROW($6:$1005)-5),754)),KotaKode,2,0),"-"),"")),"")</f>
        <v/>
      </c>
      <c r="L755" t="str">
        <f t="array" aca="1" ref="L755" ca="1">IFERROR(IF(OR(INDEX(checklistPesertaKemenkeu!$P$6:$P$1005,SMALL(IF(checklistPesertaKemenkeu!$AY$6:$AY$1005="Direkomendasikan",ROW($6:$1005)-5),754))="",INDEX(checklistPesertaKemenkeu!$J$6:$J$1005,SMALL(IF(checklistPesertaKemenkeu!$AY$6:$AY$1005="Direkomendasikan",ROW($6:$1005)-5),754))=""),"",IF(AND(COUNTIF(INDIRECT("K_"&amp;MATCH(INDEX(checklistPesertaKemenkeu!$J$6:$J$1005,SMALL(IF(checklistPesertaKemenkeu!$AY$6:$AY$1005="Direkomendasikan",ROW($6:$1005)-5),754)),BidangList,0)),INDEX(checklistPesertaKemenkeu!$P$6:$P$1005,SMALL(IF(checklistPesertaKemenkeu!$AY$6:$AY$1005="Direkomendasikan",ROW($6:$1005)-5),754)))&gt;0,COUNTIF(INDIRECT("'KERTAS KERJA'!K"&amp;(SMALL(IF(checklistPesertaKemenkeu!$AY$6:$AY$1005="Direkomendasikan",ROW($6:$1005)-5),754)+5)&amp;":O"&amp;(SMALL(IF(checklistPesertaKemenkeu!$AY$6:$AY$1005="Direkomendasikan",ROW($6:$1005)-5),754)+5)),INDEX(checklistPesertaKemenkeu!$P$6:$P$1005,SMALL(IF(checklistPesertaKemenkeu!$AY$6:$AY$1005="Direkomendasikan",ROW($6:$1005)-5),754)))=1),IFERROR(VLOOKUP(INDEX(checklistPesertaKemenkeu!$P$6:$P$1005,SMALL(IF(checklistPesertaKemenkeu!$AY$6:$AY$1005="Direkomendasikan",ROW($6:$1005)-5),754)),KotaKode,2,0),"-"),"")),"")</f>
        <v/>
      </c>
    </row>
    <row r="756" spans="1:12" ht="15" customHeight="1" x14ac:dyDescent="0.2">
      <c r="A756" t="str">
        <f t="shared" si="11"/>
        <v/>
      </c>
      <c r="B756" t="str">
        <v/>
      </c>
      <c r="C756" s="40" t="str">
        <f t="array" ref="C756">IFERROR(INDEX(checklistPesertaKemenkeu!$F$6:$F$1005,SMALL(IF(checklistPesertaKemenkeu!$AY$6:$AY$1005="Direkomendasikan",ROW($6:$1005)-5),755)),"")</f>
        <v/>
      </c>
      <c r="D756" t="str">
        <f t="array" ref="D756">IFERROR(INDEX(checklistPesertaKemenkeu!$G$6:$G$1005,SMALL(IF(checklistPesertaKemenkeu!$AY$6:$AY$1005="Direkomendasikan",ROW($6:$1005)-5),755)),"")</f>
        <v/>
      </c>
      <c r="E756" t="str">
        <f t="array" ref="E756">IFERROR(INDEX(checklistPesertaKemenkeu!$H$6:$H$1005,SMALL(IF(checklistPesertaKemenkeu!$AY$6:$AY$1005="Direkomendasikan",ROW($6:$1005)-5),755)),"")</f>
        <v/>
      </c>
      <c r="F756" t="str">
        <f t="array" ref="F756">IFERROR(INDEX(checklistPesertaKemenkeu!$I$6:$I$1005,SMALL(IF(checklistPesertaKemenkeu!$AY$6:$AY$1005="Direkomendasikan",ROW($6:$1005)-5),755)),"")</f>
        <v/>
      </c>
      <c r="G756" t="str">
        <f t="array" ref="G756">IFERROR(INDEX(checklistPesertaKemenkeu!$J$6:$J$1005,SMALL(IF(checklistPesertaKemenkeu!$AY$6:$AY$1005="Direkomendasikan",ROW($6:$1005)-5),755)),"")</f>
        <v/>
      </c>
      <c r="H756" t="str">
        <f t="array" aca="1" ref="H756" ca="1">IFERROR(IF(OR(INDEX(checklistPesertaKemenkeu!$L$6:$L$1005,SMALL(IF(checklistPesertaKemenkeu!$AY$6:$AY$1005="Direkomendasikan",ROW($6:$1005)-5),755))="",INDEX(checklistPesertaKemenkeu!$J$6:$J$1005,SMALL(IF(checklistPesertaKemenkeu!$AY$6:$AY$1005="Direkomendasikan",ROW($6:$1005)-5),755))=""),"",IF(AND(COUNTIF(INDIRECT("K_"&amp;MATCH(INDEX(checklistPesertaKemenkeu!$J$6:$J$1005,SMALL(IF(checklistPesertaKemenkeu!$AY$6:$AY$1005="Direkomendasikan",ROW($6:$1005)-5),755)),BidangList,0)),INDEX(checklistPesertaKemenkeu!$L$6:$L$1005,SMALL(IF(checklistPesertaKemenkeu!$AY$6:$AY$1005="Direkomendasikan",ROW($6:$1005)-5),755)))&gt;0,COUNTIF(INDIRECT("'KERTAS KERJA'!K"&amp;(SMALL(IF(checklistPesertaKemenkeu!$AY$6:$AY$1005="Direkomendasikan",ROW($6:$1005)-5),755)+5)&amp;":O"&amp;(SMALL(IF(checklistPesertaKemenkeu!$AY$6:$AY$1005="Direkomendasikan",ROW($6:$1005)-5),755)+5)),INDEX(checklistPesertaKemenkeu!$L$6:$L$1005,SMALL(IF(checklistPesertaKemenkeu!$AY$6:$AY$1005="Direkomendasikan",ROW($6:$1005)-5),755)))=1),IFERROR(VLOOKUP(INDEX(checklistPesertaKemenkeu!$L$6:$L$1005,SMALL(IF(checklistPesertaKemenkeu!$AY$6:$AY$1005="Direkomendasikan",ROW($6:$1005)-5),755)),KotaKode,2,0),"-"),"")),"")</f>
        <v/>
      </c>
      <c r="I756" t="str">
        <f t="array" aca="1" ref="I756" ca="1">IFERROR(IF(OR(INDEX(checklistPesertaKemenkeu!$M$6:$M$1005,SMALL(IF(checklistPesertaKemenkeu!$AY$6:$AY$1005="Direkomendasikan",ROW($6:$1005)-5),755))="",INDEX(checklistPesertaKemenkeu!$J$6:$J$1005,SMALL(IF(checklistPesertaKemenkeu!$AY$6:$AY$1005="Direkomendasikan",ROW($6:$1005)-5),755))=""),"",IF(AND(COUNTIF(INDIRECT("K_"&amp;MATCH(INDEX(checklistPesertaKemenkeu!$J$6:$J$1005,SMALL(IF(checklistPesertaKemenkeu!$AY$6:$AY$1005="Direkomendasikan",ROW($6:$1005)-5),755)),BidangList,0)),INDEX(checklistPesertaKemenkeu!$M$6:$M$1005,SMALL(IF(checklistPesertaKemenkeu!$AY$6:$AY$1005="Direkomendasikan",ROW($6:$1005)-5),755)))&gt;0,COUNTIF(INDIRECT("'KERTAS KERJA'!K"&amp;(SMALL(IF(checklistPesertaKemenkeu!$AY$6:$AY$1005="Direkomendasikan",ROW($6:$1005)-5),755)+5)&amp;":O"&amp;(SMALL(IF(checklistPesertaKemenkeu!$AY$6:$AY$1005="Direkomendasikan",ROW($6:$1005)-5),755)+5)),INDEX(checklistPesertaKemenkeu!$M$6:$M$1005,SMALL(IF(checklistPesertaKemenkeu!$AY$6:$AY$1005="Direkomendasikan",ROW($6:$1005)-5),755)))=1),IFERROR(VLOOKUP(INDEX(checklistPesertaKemenkeu!$M$6:$M$1005,SMALL(IF(checklistPesertaKemenkeu!$AY$6:$AY$1005="Direkomendasikan",ROW($6:$1005)-5),755)),KotaKode,2,0),"-"),"")),"")</f>
        <v/>
      </c>
      <c r="J756" t="str">
        <f t="array" aca="1" ref="J756" ca="1">IFERROR(IF(OR(INDEX(checklistPesertaKemenkeu!$N$6:$N$1005,SMALL(IF(checklistPesertaKemenkeu!$AY$6:$AY$1005="Direkomendasikan",ROW($6:$1005)-5),755))="",INDEX(checklistPesertaKemenkeu!$J$6:$J$1005,SMALL(IF(checklistPesertaKemenkeu!$AY$6:$AY$1005="Direkomendasikan",ROW($6:$1005)-5),755))=""),"",IF(AND(COUNTIF(INDIRECT("K_"&amp;MATCH(INDEX(checklistPesertaKemenkeu!$J$6:$J$1005,SMALL(IF(checklistPesertaKemenkeu!$AY$6:$AY$1005="Direkomendasikan",ROW($6:$1005)-5),755)),BidangList,0)),INDEX(checklistPesertaKemenkeu!$N$6:$N$1005,SMALL(IF(checklistPesertaKemenkeu!$AY$6:$AY$1005="Direkomendasikan",ROW($6:$1005)-5),755)))&gt;0,COUNTIF(INDIRECT("'KERTAS KERJA'!K"&amp;(SMALL(IF(checklistPesertaKemenkeu!$AY$6:$AY$1005="Direkomendasikan",ROW($6:$1005)-5),755)+5)&amp;":O"&amp;(SMALL(IF(checklistPesertaKemenkeu!$AY$6:$AY$1005="Direkomendasikan",ROW($6:$1005)-5),755)+5)),INDEX(checklistPesertaKemenkeu!$N$6:$N$1005,SMALL(IF(checklistPesertaKemenkeu!$AY$6:$AY$1005="Direkomendasikan",ROW($6:$1005)-5),755)))=1),IFERROR(VLOOKUP(INDEX(checklistPesertaKemenkeu!$N$6:$N$1005,SMALL(IF(checklistPesertaKemenkeu!$AY$6:$AY$1005="Direkomendasikan",ROW($6:$1005)-5),755)),KotaKode,2,0),"-"),"")),"")</f>
        <v/>
      </c>
      <c r="K756" t="str">
        <f t="array" aca="1" ref="K756" ca="1">IFERROR(IF(OR(INDEX(checklistPesertaKemenkeu!$O$6:$O$1005,SMALL(IF(checklistPesertaKemenkeu!$AY$6:$AY$1005="Direkomendasikan",ROW($6:$1005)-5),755))="",INDEX(checklistPesertaKemenkeu!$J$6:$J$1005,SMALL(IF(checklistPesertaKemenkeu!$AY$6:$AY$1005="Direkomendasikan",ROW($6:$1005)-5),755))=""),"",IF(AND(COUNTIF(INDIRECT("K_"&amp;MATCH(INDEX(checklistPesertaKemenkeu!$J$6:$J$1005,SMALL(IF(checklistPesertaKemenkeu!$AY$6:$AY$1005="Direkomendasikan",ROW($6:$1005)-5),755)),BidangList,0)),INDEX(checklistPesertaKemenkeu!$O$6:$O$1005,SMALL(IF(checklistPesertaKemenkeu!$AY$6:$AY$1005="Direkomendasikan",ROW($6:$1005)-5),755)))&gt;0,COUNTIF(INDIRECT("'KERTAS KERJA'!K"&amp;(SMALL(IF(checklistPesertaKemenkeu!$AY$6:$AY$1005="Direkomendasikan",ROW($6:$1005)-5),755)+5)&amp;":O"&amp;(SMALL(IF(checklistPesertaKemenkeu!$AY$6:$AY$1005="Direkomendasikan",ROW($6:$1005)-5),755)+5)),INDEX(checklistPesertaKemenkeu!$O$6:$O$1005,SMALL(IF(checklistPesertaKemenkeu!$AY$6:$AY$1005="Direkomendasikan",ROW($6:$1005)-5),755)))=1),IFERROR(VLOOKUP(INDEX(checklistPesertaKemenkeu!$O$6:$O$1005,SMALL(IF(checklistPesertaKemenkeu!$AY$6:$AY$1005="Direkomendasikan",ROW($6:$1005)-5),755)),KotaKode,2,0),"-"),"")),"")</f>
        <v/>
      </c>
      <c r="L756" t="str">
        <f t="array" aca="1" ref="L756" ca="1">IFERROR(IF(OR(INDEX(checklistPesertaKemenkeu!$P$6:$P$1005,SMALL(IF(checklistPesertaKemenkeu!$AY$6:$AY$1005="Direkomendasikan",ROW($6:$1005)-5),755))="",INDEX(checklistPesertaKemenkeu!$J$6:$J$1005,SMALL(IF(checklistPesertaKemenkeu!$AY$6:$AY$1005="Direkomendasikan",ROW($6:$1005)-5),755))=""),"",IF(AND(COUNTIF(INDIRECT("K_"&amp;MATCH(INDEX(checklistPesertaKemenkeu!$J$6:$J$1005,SMALL(IF(checklistPesertaKemenkeu!$AY$6:$AY$1005="Direkomendasikan",ROW($6:$1005)-5),755)),BidangList,0)),INDEX(checklistPesertaKemenkeu!$P$6:$P$1005,SMALL(IF(checklistPesertaKemenkeu!$AY$6:$AY$1005="Direkomendasikan",ROW($6:$1005)-5),755)))&gt;0,COUNTIF(INDIRECT("'KERTAS KERJA'!K"&amp;(SMALL(IF(checklistPesertaKemenkeu!$AY$6:$AY$1005="Direkomendasikan",ROW($6:$1005)-5),755)+5)&amp;":O"&amp;(SMALL(IF(checklistPesertaKemenkeu!$AY$6:$AY$1005="Direkomendasikan",ROW($6:$1005)-5),755)+5)),INDEX(checklistPesertaKemenkeu!$P$6:$P$1005,SMALL(IF(checklistPesertaKemenkeu!$AY$6:$AY$1005="Direkomendasikan",ROW($6:$1005)-5),755)))=1),IFERROR(VLOOKUP(INDEX(checklistPesertaKemenkeu!$P$6:$P$1005,SMALL(IF(checklistPesertaKemenkeu!$AY$6:$AY$1005="Direkomendasikan",ROW($6:$1005)-5),755)),KotaKode,2,0),"-"),"")),"")</f>
        <v/>
      </c>
    </row>
    <row r="757" spans="1:12" ht="15" customHeight="1" x14ac:dyDescent="0.2">
      <c r="A757" t="str">
        <f t="shared" si="11"/>
        <v/>
      </c>
      <c r="B757" t="str">
        <v/>
      </c>
      <c r="C757" s="40" t="str">
        <f t="array" ref="C757">IFERROR(INDEX(checklistPesertaKemenkeu!$F$6:$F$1005,SMALL(IF(checklistPesertaKemenkeu!$AY$6:$AY$1005="Direkomendasikan",ROW($6:$1005)-5),756)),"")</f>
        <v/>
      </c>
      <c r="D757" t="str">
        <f t="array" ref="D757">IFERROR(INDEX(checklistPesertaKemenkeu!$G$6:$G$1005,SMALL(IF(checklistPesertaKemenkeu!$AY$6:$AY$1005="Direkomendasikan",ROW($6:$1005)-5),756)),"")</f>
        <v/>
      </c>
      <c r="E757" t="str">
        <f t="array" ref="E757">IFERROR(INDEX(checklistPesertaKemenkeu!$H$6:$H$1005,SMALL(IF(checklistPesertaKemenkeu!$AY$6:$AY$1005="Direkomendasikan",ROW($6:$1005)-5),756)),"")</f>
        <v/>
      </c>
      <c r="F757" t="str">
        <f t="array" ref="F757">IFERROR(INDEX(checklistPesertaKemenkeu!$I$6:$I$1005,SMALL(IF(checklistPesertaKemenkeu!$AY$6:$AY$1005="Direkomendasikan",ROW($6:$1005)-5),756)),"")</f>
        <v/>
      </c>
      <c r="G757" t="str">
        <f t="array" ref="G757">IFERROR(INDEX(checklistPesertaKemenkeu!$J$6:$J$1005,SMALL(IF(checklistPesertaKemenkeu!$AY$6:$AY$1005="Direkomendasikan",ROW($6:$1005)-5),756)),"")</f>
        <v/>
      </c>
      <c r="H757" t="str">
        <f t="array" aca="1" ref="H757" ca="1">IFERROR(IF(OR(INDEX(checklistPesertaKemenkeu!$L$6:$L$1005,SMALL(IF(checklistPesertaKemenkeu!$AY$6:$AY$1005="Direkomendasikan",ROW($6:$1005)-5),756))="",INDEX(checklistPesertaKemenkeu!$J$6:$J$1005,SMALL(IF(checklistPesertaKemenkeu!$AY$6:$AY$1005="Direkomendasikan",ROW($6:$1005)-5),756))=""),"",IF(AND(COUNTIF(INDIRECT("K_"&amp;MATCH(INDEX(checklistPesertaKemenkeu!$J$6:$J$1005,SMALL(IF(checklistPesertaKemenkeu!$AY$6:$AY$1005="Direkomendasikan",ROW($6:$1005)-5),756)),BidangList,0)),INDEX(checklistPesertaKemenkeu!$L$6:$L$1005,SMALL(IF(checklistPesertaKemenkeu!$AY$6:$AY$1005="Direkomendasikan",ROW($6:$1005)-5),756)))&gt;0,COUNTIF(INDIRECT("'KERTAS KERJA'!K"&amp;(SMALL(IF(checklistPesertaKemenkeu!$AY$6:$AY$1005="Direkomendasikan",ROW($6:$1005)-5),756)+5)&amp;":O"&amp;(SMALL(IF(checklistPesertaKemenkeu!$AY$6:$AY$1005="Direkomendasikan",ROW($6:$1005)-5),756)+5)),INDEX(checklistPesertaKemenkeu!$L$6:$L$1005,SMALL(IF(checklistPesertaKemenkeu!$AY$6:$AY$1005="Direkomendasikan",ROW($6:$1005)-5),756)))=1),IFERROR(VLOOKUP(INDEX(checklistPesertaKemenkeu!$L$6:$L$1005,SMALL(IF(checklistPesertaKemenkeu!$AY$6:$AY$1005="Direkomendasikan",ROW($6:$1005)-5),756)),KotaKode,2,0),"-"),"")),"")</f>
        <v/>
      </c>
      <c r="I757" t="str">
        <f t="array" aca="1" ref="I757" ca="1">IFERROR(IF(OR(INDEX(checklistPesertaKemenkeu!$M$6:$M$1005,SMALL(IF(checklistPesertaKemenkeu!$AY$6:$AY$1005="Direkomendasikan",ROW($6:$1005)-5),756))="",INDEX(checklistPesertaKemenkeu!$J$6:$J$1005,SMALL(IF(checklistPesertaKemenkeu!$AY$6:$AY$1005="Direkomendasikan",ROW($6:$1005)-5),756))=""),"",IF(AND(COUNTIF(INDIRECT("K_"&amp;MATCH(INDEX(checklistPesertaKemenkeu!$J$6:$J$1005,SMALL(IF(checklistPesertaKemenkeu!$AY$6:$AY$1005="Direkomendasikan",ROW($6:$1005)-5),756)),BidangList,0)),INDEX(checklistPesertaKemenkeu!$M$6:$M$1005,SMALL(IF(checklistPesertaKemenkeu!$AY$6:$AY$1005="Direkomendasikan",ROW($6:$1005)-5),756)))&gt;0,COUNTIF(INDIRECT("'KERTAS KERJA'!K"&amp;(SMALL(IF(checklistPesertaKemenkeu!$AY$6:$AY$1005="Direkomendasikan",ROW($6:$1005)-5),756)+5)&amp;":O"&amp;(SMALL(IF(checklistPesertaKemenkeu!$AY$6:$AY$1005="Direkomendasikan",ROW($6:$1005)-5),756)+5)),INDEX(checklistPesertaKemenkeu!$M$6:$M$1005,SMALL(IF(checklistPesertaKemenkeu!$AY$6:$AY$1005="Direkomendasikan",ROW($6:$1005)-5),756)))=1),IFERROR(VLOOKUP(INDEX(checklistPesertaKemenkeu!$M$6:$M$1005,SMALL(IF(checklistPesertaKemenkeu!$AY$6:$AY$1005="Direkomendasikan",ROW($6:$1005)-5),756)),KotaKode,2,0),"-"),"")),"")</f>
        <v/>
      </c>
      <c r="J757" t="str">
        <f t="array" aca="1" ref="J757" ca="1">IFERROR(IF(OR(INDEX(checklistPesertaKemenkeu!$N$6:$N$1005,SMALL(IF(checklistPesertaKemenkeu!$AY$6:$AY$1005="Direkomendasikan",ROW($6:$1005)-5),756))="",INDEX(checklistPesertaKemenkeu!$J$6:$J$1005,SMALL(IF(checklistPesertaKemenkeu!$AY$6:$AY$1005="Direkomendasikan",ROW($6:$1005)-5),756))=""),"",IF(AND(COUNTIF(INDIRECT("K_"&amp;MATCH(INDEX(checklistPesertaKemenkeu!$J$6:$J$1005,SMALL(IF(checklistPesertaKemenkeu!$AY$6:$AY$1005="Direkomendasikan",ROW($6:$1005)-5),756)),BidangList,0)),INDEX(checklistPesertaKemenkeu!$N$6:$N$1005,SMALL(IF(checklistPesertaKemenkeu!$AY$6:$AY$1005="Direkomendasikan",ROW($6:$1005)-5),756)))&gt;0,COUNTIF(INDIRECT("'KERTAS KERJA'!K"&amp;(SMALL(IF(checklistPesertaKemenkeu!$AY$6:$AY$1005="Direkomendasikan",ROW($6:$1005)-5),756)+5)&amp;":O"&amp;(SMALL(IF(checklistPesertaKemenkeu!$AY$6:$AY$1005="Direkomendasikan",ROW($6:$1005)-5),756)+5)),INDEX(checklistPesertaKemenkeu!$N$6:$N$1005,SMALL(IF(checklistPesertaKemenkeu!$AY$6:$AY$1005="Direkomendasikan",ROW($6:$1005)-5),756)))=1),IFERROR(VLOOKUP(INDEX(checklistPesertaKemenkeu!$N$6:$N$1005,SMALL(IF(checklistPesertaKemenkeu!$AY$6:$AY$1005="Direkomendasikan",ROW($6:$1005)-5),756)),KotaKode,2,0),"-"),"")),"")</f>
        <v/>
      </c>
      <c r="K757" t="str">
        <f t="array" aca="1" ref="K757" ca="1">IFERROR(IF(OR(INDEX(checklistPesertaKemenkeu!$O$6:$O$1005,SMALL(IF(checklistPesertaKemenkeu!$AY$6:$AY$1005="Direkomendasikan",ROW($6:$1005)-5),756))="",INDEX(checklistPesertaKemenkeu!$J$6:$J$1005,SMALL(IF(checklistPesertaKemenkeu!$AY$6:$AY$1005="Direkomendasikan",ROW($6:$1005)-5),756))=""),"",IF(AND(COUNTIF(INDIRECT("K_"&amp;MATCH(INDEX(checklistPesertaKemenkeu!$J$6:$J$1005,SMALL(IF(checklistPesertaKemenkeu!$AY$6:$AY$1005="Direkomendasikan",ROW($6:$1005)-5),756)),BidangList,0)),INDEX(checklistPesertaKemenkeu!$O$6:$O$1005,SMALL(IF(checklistPesertaKemenkeu!$AY$6:$AY$1005="Direkomendasikan",ROW($6:$1005)-5),756)))&gt;0,COUNTIF(INDIRECT("'KERTAS KERJA'!K"&amp;(SMALL(IF(checklistPesertaKemenkeu!$AY$6:$AY$1005="Direkomendasikan",ROW($6:$1005)-5),756)+5)&amp;":O"&amp;(SMALL(IF(checklistPesertaKemenkeu!$AY$6:$AY$1005="Direkomendasikan",ROW($6:$1005)-5),756)+5)),INDEX(checklistPesertaKemenkeu!$O$6:$O$1005,SMALL(IF(checklistPesertaKemenkeu!$AY$6:$AY$1005="Direkomendasikan",ROW($6:$1005)-5),756)))=1),IFERROR(VLOOKUP(INDEX(checklistPesertaKemenkeu!$O$6:$O$1005,SMALL(IF(checklistPesertaKemenkeu!$AY$6:$AY$1005="Direkomendasikan",ROW($6:$1005)-5),756)),KotaKode,2,0),"-"),"")),"")</f>
        <v/>
      </c>
      <c r="L757" t="str">
        <f t="array" aca="1" ref="L757" ca="1">IFERROR(IF(OR(INDEX(checklistPesertaKemenkeu!$P$6:$P$1005,SMALL(IF(checklistPesertaKemenkeu!$AY$6:$AY$1005="Direkomendasikan",ROW($6:$1005)-5),756))="",INDEX(checklistPesertaKemenkeu!$J$6:$J$1005,SMALL(IF(checklistPesertaKemenkeu!$AY$6:$AY$1005="Direkomendasikan",ROW($6:$1005)-5),756))=""),"",IF(AND(COUNTIF(INDIRECT("K_"&amp;MATCH(INDEX(checklistPesertaKemenkeu!$J$6:$J$1005,SMALL(IF(checklistPesertaKemenkeu!$AY$6:$AY$1005="Direkomendasikan",ROW($6:$1005)-5),756)),BidangList,0)),INDEX(checklistPesertaKemenkeu!$P$6:$P$1005,SMALL(IF(checklistPesertaKemenkeu!$AY$6:$AY$1005="Direkomendasikan",ROW($6:$1005)-5),756)))&gt;0,COUNTIF(INDIRECT("'KERTAS KERJA'!K"&amp;(SMALL(IF(checklistPesertaKemenkeu!$AY$6:$AY$1005="Direkomendasikan",ROW($6:$1005)-5),756)+5)&amp;":O"&amp;(SMALL(IF(checklistPesertaKemenkeu!$AY$6:$AY$1005="Direkomendasikan",ROW($6:$1005)-5),756)+5)),INDEX(checklistPesertaKemenkeu!$P$6:$P$1005,SMALL(IF(checklistPesertaKemenkeu!$AY$6:$AY$1005="Direkomendasikan",ROW($6:$1005)-5),756)))=1),IFERROR(VLOOKUP(INDEX(checklistPesertaKemenkeu!$P$6:$P$1005,SMALL(IF(checklistPesertaKemenkeu!$AY$6:$AY$1005="Direkomendasikan",ROW($6:$1005)-5),756)),KotaKode,2,0),"-"),"")),"")</f>
        <v/>
      </c>
    </row>
    <row r="758" spans="1:12" ht="15" customHeight="1" x14ac:dyDescent="0.2">
      <c r="A758" t="str">
        <f t="shared" si="11"/>
        <v/>
      </c>
      <c r="B758" t="str">
        <v/>
      </c>
      <c r="C758" s="40" t="str">
        <f t="array" ref="C758">IFERROR(INDEX(checklistPesertaKemenkeu!$F$6:$F$1005,SMALL(IF(checklistPesertaKemenkeu!$AY$6:$AY$1005="Direkomendasikan",ROW($6:$1005)-5),757)),"")</f>
        <v/>
      </c>
      <c r="D758" t="str">
        <f t="array" ref="D758">IFERROR(INDEX(checklistPesertaKemenkeu!$G$6:$G$1005,SMALL(IF(checklistPesertaKemenkeu!$AY$6:$AY$1005="Direkomendasikan",ROW($6:$1005)-5),757)),"")</f>
        <v/>
      </c>
      <c r="E758" t="str">
        <f t="array" ref="E758">IFERROR(INDEX(checklistPesertaKemenkeu!$H$6:$H$1005,SMALL(IF(checklistPesertaKemenkeu!$AY$6:$AY$1005="Direkomendasikan",ROW($6:$1005)-5),757)),"")</f>
        <v/>
      </c>
      <c r="F758" t="str">
        <f t="array" ref="F758">IFERROR(INDEX(checklistPesertaKemenkeu!$I$6:$I$1005,SMALL(IF(checklistPesertaKemenkeu!$AY$6:$AY$1005="Direkomendasikan",ROW($6:$1005)-5),757)),"")</f>
        <v/>
      </c>
      <c r="G758" t="str">
        <f t="array" ref="G758">IFERROR(INDEX(checklistPesertaKemenkeu!$J$6:$J$1005,SMALL(IF(checklistPesertaKemenkeu!$AY$6:$AY$1005="Direkomendasikan",ROW($6:$1005)-5),757)),"")</f>
        <v/>
      </c>
      <c r="H758" t="str">
        <f t="array" aca="1" ref="H758" ca="1">IFERROR(IF(OR(INDEX(checklistPesertaKemenkeu!$L$6:$L$1005,SMALL(IF(checklistPesertaKemenkeu!$AY$6:$AY$1005="Direkomendasikan",ROW($6:$1005)-5),757))="",INDEX(checklistPesertaKemenkeu!$J$6:$J$1005,SMALL(IF(checklistPesertaKemenkeu!$AY$6:$AY$1005="Direkomendasikan",ROW($6:$1005)-5),757))=""),"",IF(AND(COUNTIF(INDIRECT("K_"&amp;MATCH(INDEX(checklistPesertaKemenkeu!$J$6:$J$1005,SMALL(IF(checklistPesertaKemenkeu!$AY$6:$AY$1005="Direkomendasikan",ROW($6:$1005)-5),757)),BidangList,0)),INDEX(checklistPesertaKemenkeu!$L$6:$L$1005,SMALL(IF(checklistPesertaKemenkeu!$AY$6:$AY$1005="Direkomendasikan",ROW($6:$1005)-5),757)))&gt;0,COUNTIF(INDIRECT("'KERTAS KERJA'!K"&amp;(SMALL(IF(checklistPesertaKemenkeu!$AY$6:$AY$1005="Direkomendasikan",ROW($6:$1005)-5),757)+5)&amp;":O"&amp;(SMALL(IF(checklistPesertaKemenkeu!$AY$6:$AY$1005="Direkomendasikan",ROW($6:$1005)-5),757)+5)),INDEX(checklistPesertaKemenkeu!$L$6:$L$1005,SMALL(IF(checklistPesertaKemenkeu!$AY$6:$AY$1005="Direkomendasikan",ROW($6:$1005)-5),757)))=1),IFERROR(VLOOKUP(INDEX(checklistPesertaKemenkeu!$L$6:$L$1005,SMALL(IF(checklistPesertaKemenkeu!$AY$6:$AY$1005="Direkomendasikan",ROW($6:$1005)-5),757)),KotaKode,2,0),"-"),"")),"")</f>
        <v/>
      </c>
      <c r="I758" t="str">
        <f t="array" aca="1" ref="I758" ca="1">IFERROR(IF(OR(INDEX(checklistPesertaKemenkeu!$M$6:$M$1005,SMALL(IF(checklistPesertaKemenkeu!$AY$6:$AY$1005="Direkomendasikan",ROW($6:$1005)-5),757))="",INDEX(checklistPesertaKemenkeu!$J$6:$J$1005,SMALL(IF(checklistPesertaKemenkeu!$AY$6:$AY$1005="Direkomendasikan",ROW($6:$1005)-5),757))=""),"",IF(AND(COUNTIF(INDIRECT("K_"&amp;MATCH(INDEX(checklistPesertaKemenkeu!$J$6:$J$1005,SMALL(IF(checklistPesertaKemenkeu!$AY$6:$AY$1005="Direkomendasikan",ROW($6:$1005)-5),757)),BidangList,0)),INDEX(checklistPesertaKemenkeu!$M$6:$M$1005,SMALL(IF(checklistPesertaKemenkeu!$AY$6:$AY$1005="Direkomendasikan",ROW($6:$1005)-5),757)))&gt;0,COUNTIF(INDIRECT("'KERTAS KERJA'!K"&amp;(SMALL(IF(checklistPesertaKemenkeu!$AY$6:$AY$1005="Direkomendasikan",ROW($6:$1005)-5),757)+5)&amp;":O"&amp;(SMALL(IF(checklistPesertaKemenkeu!$AY$6:$AY$1005="Direkomendasikan",ROW($6:$1005)-5),757)+5)),INDEX(checklistPesertaKemenkeu!$M$6:$M$1005,SMALL(IF(checklistPesertaKemenkeu!$AY$6:$AY$1005="Direkomendasikan",ROW($6:$1005)-5),757)))=1),IFERROR(VLOOKUP(INDEX(checklistPesertaKemenkeu!$M$6:$M$1005,SMALL(IF(checklistPesertaKemenkeu!$AY$6:$AY$1005="Direkomendasikan",ROW($6:$1005)-5),757)),KotaKode,2,0),"-"),"")),"")</f>
        <v/>
      </c>
      <c r="J758" t="str">
        <f t="array" aca="1" ref="J758" ca="1">IFERROR(IF(OR(INDEX(checklistPesertaKemenkeu!$N$6:$N$1005,SMALL(IF(checklistPesertaKemenkeu!$AY$6:$AY$1005="Direkomendasikan",ROW($6:$1005)-5),757))="",INDEX(checklistPesertaKemenkeu!$J$6:$J$1005,SMALL(IF(checklistPesertaKemenkeu!$AY$6:$AY$1005="Direkomendasikan",ROW($6:$1005)-5),757))=""),"",IF(AND(COUNTIF(INDIRECT("K_"&amp;MATCH(INDEX(checklistPesertaKemenkeu!$J$6:$J$1005,SMALL(IF(checklistPesertaKemenkeu!$AY$6:$AY$1005="Direkomendasikan",ROW($6:$1005)-5),757)),BidangList,0)),INDEX(checklistPesertaKemenkeu!$N$6:$N$1005,SMALL(IF(checklistPesertaKemenkeu!$AY$6:$AY$1005="Direkomendasikan",ROW($6:$1005)-5),757)))&gt;0,COUNTIF(INDIRECT("'KERTAS KERJA'!K"&amp;(SMALL(IF(checklistPesertaKemenkeu!$AY$6:$AY$1005="Direkomendasikan",ROW($6:$1005)-5),757)+5)&amp;":O"&amp;(SMALL(IF(checklistPesertaKemenkeu!$AY$6:$AY$1005="Direkomendasikan",ROW($6:$1005)-5),757)+5)),INDEX(checklistPesertaKemenkeu!$N$6:$N$1005,SMALL(IF(checklistPesertaKemenkeu!$AY$6:$AY$1005="Direkomendasikan",ROW($6:$1005)-5),757)))=1),IFERROR(VLOOKUP(INDEX(checklistPesertaKemenkeu!$N$6:$N$1005,SMALL(IF(checklistPesertaKemenkeu!$AY$6:$AY$1005="Direkomendasikan",ROW($6:$1005)-5),757)),KotaKode,2,0),"-"),"")),"")</f>
        <v/>
      </c>
      <c r="K758" t="str">
        <f t="array" aca="1" ref="K758" ca="1">IFERROR(IF(OR(INDEX(checklistPesertaKemenkeu!$O$6:$O$1005,SMALL(IF(checklistPesertaKemenkeu!$AY$6:$AY$1005="Direkomendasikan",ROW($6:$1005)-5),757))="",INDEX(checklistPesertaKemenkeu!$J$6:$J$1005,SMALL(IF(checklistPesertaKemenkeu!$AY$6:$AY$1005="Direkomendasikan",ROW($6:$1005)-5),757))=""),"",IF(AND(COUNTIF(INDIRECT("K_"&amp;MATCH(INDEX(checklistPesertaKemenkeu!$J$6:$J$1005,SMALL(IF(checklistPesertaKemenkeu!$AY$6:$AY$1005="Direkomendasikan",ROW($6:$1005)-5),757)),BidangList,0)),INDEX(checklistPesertaKemenkeu!$O$6:$O$1005,SMALL(IF(checklistPesertaKemenkeu!$AY$6:$AY$1005="Direkomendasikan",ROW($6:$1005)-5),757)))&gt;0,COUNTIF(INDIRECT("'KERTAS KERJA'!K"&amp;(SMALL(IF(checklistPesertaKemenkeu!$AY$6:$AY$1005="Direkomendasikan",ROW($6:$1005)-5),757)+5)&amp;":O"&amp;(SMALL(IF(checklistPesertaKemenkeu!$AY$6:$AY$1005="Direkomendasikan",ROW($6:$1005)-5),757)+5)),INDEX(checklistPesertaKemenkeu!$O$6:$O$1005,SMALL(IF(checklistPesertaKemenkeu!$AY$6:$AY$1005="Direkomendasikan",ROW($6:$1005)-5),757)))=1),IFERROR(VLOOKUP(INDEX(checklistPesertaKemenkeu!$O$6:$O$1005,SMALL(IF(checklistPesertaKemenkeu!$AY$6:$AY$1005="Direkomendasikan",ROW($6:$1005)-5),757)),KotaKode,2,0),"-"),"")),"")</f>
        <v/>
      </c>
      <c r="L758" t="str">
        <f t="array" aca="1" ref="L758" ca="1">IFERROR(IF(OR(INDEX(checklistPesertaKemenkeu!$P$6:$P$1005,SMALL(IF(checklistPesertaKemenkeu!$AY$6:$AY$1005="Direkomendasikan",ROW($6:$1005)-5),757))="",INDEX(checklistPesertaKemenkeu!$J$6:$J$1005,SMALL(IF(checklistPesertaKemenkeu!$AY$6:$AY$1005="Direkomendasikan",ROW($6:$1005)-5),757))=""),"",IF(AND(COUNTIF(INDIRECT("K_"&amp;MATCH(INDEX(checklistPesertaKemenkeu!$J$6:$J$1005,SMALL(IF(checklistPesertaKemenkeu!$AY$6:$AY$1005="Direkomendasikan",ROW($6:$1005)-5),757)),BidangList,0)),INDEX(checklistPesertaKemenkeu!$P$6:$P$1005,SMALL(IF(checklistPesertaKemenkeu!$AY$6:$AY$1005="Direkomendasikan",ROW($6:$1005)-5),757)))&gt;0,COUNTIF(INDIRECT("'KERTAS KERJA'!K"&amp;(SMALL(IF(checklistPesertaKemenkeu!$AY$6:$AY$1005="Direkomendasikan",ROW($6:$1005)-5),757)+5)&amp;":O"&amp;(SMALL(IF(checklistPesertaKemenkeu!$AY$6:$AY$1005="Direkomendasikan",ROW($6:$1005)-5),757)+5)),INDEX(checklistPesertaKemenkeu!$P$6:$P$1005,SMALL(IF(checklistPesertaKemenkeu!$AY$6:$AY$1005="Direkomendasikan",ROW($6:$1005)-5),757)))=1),IFERROR(VLOOKUP(INDEX(checklistPesertaKemenkeu!$P$6:$P$1005,SMALL(IF(checklistPesertaKemenkeu!$AY$6:$AY$1005="Direkomendasikan",ROW($6:$1005)-5),757)),KotaKode,2,0),"-"),"")),"")</f>
        <v/>
      </c>
    </row>
    <row r="759" spans="1:12" ht="15" customHeight="1" x14ac:dyDescent="0.2">
      <c r="A759" t="str">
        <f t="shared" si="11"/>
        <v/>
      </c>
      <c r="B759" t="str">
        <v/>
      </c>
      <c r="C759" s="40" t="str">
        <f t="array" ref="C759">IFERROR(INDEX(checklistPesertaKemenkeu!$F$6:$F$1005,SMALL(IF(checklistPesertaKemenkeu!$AY$6:$AY$1005="Direkomendasikan",ROW($6:$1005)-5),758)),"")</f>
        <v/>
      </c>
      <c r="D759" t="str">
        <f t="array" ref="D759">IFERROR(INDEX(checklistPesertaKemenkeu!$G$6:$G$1005,SMALL(IF(checklistPesertaKemenkeu!$AY$6:$AY$1005="Direkomendasikan",ROW($6:$1005)-5),758)),"")</f>
        <v/>
      </c>
      <c r="E759" t="str">
        <f t="array" ref="E759">IFERROR(INDEX(checklistPesertaKemenkeu!$H$6:$H$1005,SMALL(IF(checklistPesertaKemenkeu!$AY$6:$AY$1005="Direkomendasikan",ROW($6:$1005)-5),758)),"")</f>
        <v/>
      </c>
      <c r="F759" t="str">
        <f t="array" ref="F759">IFERROR(INDEX(checklistPesertaKemenkeu!$I$6:$I$1005,SMALL(IF(checklistPesertaKemenkeu!$AY$6:$AY$1005="Direkomendasikan",ROW($6:$1005)-5),758)),"")</f>
        <v/>
      </c>
      <c r="G759" t="str">
        <f t="array" ref="G759">IFERROR(INDEX(checklistPesertaKemenkeu!$J$6:$J$1005,SMALL(IF(checklistPesertaKemenkeu!$AY$6:$AY$1005="Direkomendasikan",ROW($6:$1005)-5),758)),"")</f>
        <v/>
      </c>
      <c r="H759" t="str">
        <f t="array" aca="1" ref="H759" ca="1">IFERROR(IF(OR(INDEX(checklistPesertaKemenkeu!$L$6:$L$1005,SMALL(IF(checklistPesertaKemenkeu!$AY$6:$AY$1005="Direkomendasikan",ROW($6:$1005)-5),758))="",INDEX(checklistPesertaKemenkeu!$J$6:$J$1005,SMALL(IF(checklistPesertaKemenkeu!$AY$6:$AY$1005="Direkomendasikan",ROW($6:$1005)-5),758))=""),"",IF(AND(COUNTIF(INDIRECT("K_"&amp;MATCH(INDEX(checklistPesertaKemenkeu!$J$6:$J$1005,SMALL(IF(checklistPesertaKemenkeu!$AY$6:$AY$1005="Direkomendasikan",ROW($6:$1005)-5),758)),BidangList,0)),INDEX(checklistPesertaKemenkeu!$L$6:$L$1005,SMALL(IF(checklistPesertaKemenkeu!$AY$6:$AY$1005="Direkomendasikan",ROW($6:$1005)-5),758)))&gt;0,COUNTIF(INDIRECT("'KERTAS KERJA'!K"&amp;(SMALL(IF(checklistPesertaKemenkeu!$AY$6:$AY$1005="Direkomendasikan",ROW($6:$1005)-5),758)+5)&amp;":O"&amp;(SMALL(IF(checklistPesertaKemenkeu!$AY$6:$AY$1005="Direkomendasikan",ROW($6:$1005)-5),758)+5)),INDEX(checklistPesertaKemenkeu!$L$6:$L$1005,SMALL(IF(checklistPesertaKemenkeu!$AY$6:$AY$1005="Direkomendasikan",ROW($6:$1005)-5),758)))=1),IFERROR(VLOOKUP(INDEX(checklistPesertaKemenkeu!$L$6:$L$1005,SMALL(IF(checklistPesertaKemenkeu!$AY$6:$AY$1005="Direkomendasikan",ROW($6:$1005)-5),758)),KotaKode,2,0),"-"),"")),"")</f>
        <v/>
      </c>
      <c r="I759" t="str">
        <f t="array" aca="1" ref="I759" ca="1">IFERROR(IF(OR(INDEX(checklistPesertaKemenkeu!$M$6:$M$1005,SMALL(IF(checklistPesertaKemenkeu!$AY$6:$AY$1005="Direkomendasikan",ROW($6:$1005)-5),758))="",INDEX(checklistPesertaKemenkeu!$J$6:$J$1005,SMALL(IF(checklistPesertaKemenkeu!$AY$6:$AY$1005="Direkomendasikan",ROW($6:$1005)-5),758))=""),"",IF(AND(COUNTIF(INDIRECT("K_"&amp;MATCH(INDEX(checklistPesertaKemenkeu!$J$6:$J$1005,SMALL(IF(checklistPesertaKemenkeu!$AY$6:$AY$1005="Direkomendasikan",ROW($6:$1005)-5),758)),BidangList,0)),INDEX(checklistPesertaKemenkeu!$M$6:$M$1005,SMALL(IF(checklistPesertaKemenkeu!$AY$6:$AY$1005="Direkomendasikan",ROW($6:$1005)-5),758)))&gt;0,COUNTIF(INDIRECT("'KERTAS KERJA'!K"&amp;(SMALL(IF(checklistPesertaKemenkeu!$AY$6:$AY$1005="Direkomendasikan",ROW($6:$1005)-5),758)+5)&amp;":O"&amp;(SMALL(IF(checklistPesertaKemenkeu!$AY$6:$AY$1005="Direkomendasikan",ROW($6:$1005)-5),758)+5)),INDEX(checklistPesertaKemenkeu!$M$6:$M$1005,SMALL(IF(checklistPesertaKemenkeu!$AY$6:$AY$1005="Direkomendasikan",ROW($6:$1005)-5),758)))=1),IFERROR(VLOOKUP(INDEX(checklistPesertaKemenkeu!$M$6:$M$1005,SMALL(IF(checklistPesertaKemenkeu!$AY$6:$AY$1005="Direkomendasikan",ROW($6:$1005)-5),758)),KotaKode,2,0),"-"),"")),"")</f>
        <v/>
      </c>
      <c r="J759" t="str">
        <f t="array" aca="1" ref="J759" ca="1">IFERROR(IF(OR(INDEX(checklistPesertaKemenkeu!$N$6:$N$1005,SMALL(IF(checklistPesertaKemenkeu!$AY$6:$AY$1005="Direkomendasikan",ROW($6:$1005)-5),758))="",INDEX(checklistPesertaKemenkeu!$J$6:$J$1005,SMALL(IF(checklistPesertaKemenkeu!$AY$6:$AY$1005="Direkomendasikan",ROW($6:$1005)-5),758))=""),"",IF(AND(COUNTIF(INDIRECT("K_"&amp;MATCH(INDEX(checklistPesertaKemenkeu!$J$6:$J$1005,SMALL(IF(checklistPesertaKemenkeu!$AY$6:$AY$1005="Direkomendasikan",ROW($6:$1005)-5),758)),BidangList,0)),INDEX(checklistPesertaKemenkeu!$N$6:$N$1005,SMALL(IF(checklistPesertaKemenkeu!$AY$6:$AY$1005="Direkomendasikan",ROW($6:$1005)-5),758)))&gt;0,COUNTIF(INDIRECT("'KERTAS KERJA'!K"&amp;(SMALL(IF(checklistPesertaKemenkeu!$AY$6:$AY$1005="Direkomendasikan",ROW($6:$1005)-5),758)+5)&amp;":O"&amp;(SMALL(IF(checklistPesertaKemenkeu!$AY$6:$AY$1005="Direkomendasikan",ROW($6:$1005)-5),758)+5)),INDEX(checklistPesertaKemenkeu!$N$6:$N$1005,SMALL(IF(checklistPesertaKemenkeu!$AY$6:$AY$1005="Direkomendasikan",ROW($6:$1005)-5),758)))=1),IFERROR(VLOOKUP(INDEX(checklistPesertaKemenkeu!$N$6:$N$1005,SMALL(IF(checklistPesertaKemenkeu!$AY$6:$AY$1005="Direkomendasikan",ROW($6:$1005)-5),758)),KotaKode,2,0),"-"),"")),"")</f>
        <v/>
      </c>
      <c r="K759" t="str">
        <f t="array" aca="1" ref="K759" ca="1">IFERROR(IF(OR(INDEX(checklistPesertaKemenkeu!$O$6:$O$1005,SMALL(IF(checklistPesertaKemenkeu!$AY$6:$AY$1005="Direkomendasikan",ROW($6:$1005)-5),758))="",INDEX(checklistPesertaKemenkeu!$J$6:$J$1005,SMALL(IF(checklistPesertaKemenkeu!$AY$6:$AY$1005="Direkomendasikan",ROW($6:$1005)-5),758))=""),"",IF(AND(COUNTIF(INDIRECT("K_"&amp;MATCH(INDEX(checklistPesertaKemenkeu!$J$6:$J$1005,SMALL(IF(checklistPesertaKemenkeu!$AY$6:$AY$1005="Direkomendasikan",ROW($6:$1005)-5),758)),BidangList,0)),INDEX(checklistPesertaKemenkeu!$O$6:$O$1005,SMALL(IF(checklistPesertaKemenkeu!$AY$6:$AY$1005="Direkomendasikan",ROW($6:$1005)-5),758)))&gt;0,COUNTIF(INDIRECT("'KERTAS KERJA'!K"&amp;(SMALL(IF(checklistPesertaKemenkeu!$AY$6:$AY$1005="Direkomendasikan",ROW($6:$1005)-5),758)+5)&amp;":O"&amp;(SMALL(IF(checklistPesertaKemenkeu!$AY$6:$AY$1005="Direkomendasikan",ROW($6:$1005)-5),758)+5)),INDEX(checklistPesertaKemenkeu!$O$6:$O$1005,SMALL(IF(checklistPesertaKemenkeu!$AY$6:$AY$1005="Direkomendasikan",ROW($6:$1005)-5),758)))=1),IFERROR(VLOOKUP(INDEX(checklistPesertaKemenkeu!$O$6:$O$1005,SMALL(IF(checklistPesertaKemenkeu!$AY$6:$AY$1005="Direkomendasikan",ROW($6:$1005)-5),758)),KotaKode,2,0),"-"),"")),"")</f>
        <v/>
      </c>
      <c r="L759" t="str">
        <f t="array" aca="1" ref="L759" ca="1">IFERROR(IF(OR(INDEX(checklistPesertaKemenkeu!$P$6:$P$1005,SMALL(IF(checklistPesertaKemenkeu!$AY$6:$AY$1005="Direkomendasikan",ROW($6:$1005)-5),758))="",INDEX(checklistPesertaKemenkeu!$J$6:$J$1005,SMALL(IF(checklistPesertaKemenkeu!$AY$6:$AY$1005="Direkomendasikan",ROW($6:$1005)-5),758))=""),"",IF(AND(COUNTIF(INDIRECT("K_"&amp;MATCH(INDEX(checklistPesertaKemenkeu!$J$6:$J$1005,SMALL(IF(checklistPesertaKemenkeu!$AY$6:$AY$1005="Direkomendasikan",ROW($6:$1005)-5),758)),BidangList,0)),INDEX(checklistPesertaKemenkeu!$P$6:$P$1005,SMALL(IF(checklistPesertaKemenkeu!$AY$6:$AY$1005="Direkomendasikan",ROW($6:$1005)-5),758)))&gt;0,COUNTIF(INDIRECT("'KERTAS KERJA'!K"&amp;(SMALL(IF(checklistPesertaKemenkeu!$AY$6:$AY$1005="Direkomendasikan",ROW($6:$1005)-5),758)+5)&amp;":O"&amp;(SMALL(IF(checklistPesertaKemenkeu!$AY$6:$AY$1005="Direkomendasikan",ROW($6:$1005)-5),758)+5)),INDEX(checklistPesertaKemenkeu!$P$6:$P$1005,SMALL(IF(checklistPesertaKemenkeu!$AY$6:$AY$1005="Direkomendasikan",ROW($6:$1005)-5),758)))=1),IFERROR(VLOOKUP(INDEX(checklistPesertaKemenkeu!$P$6:$P$1005,SMALL(IF(checklistPesertaKemenkeu!$AY$6:$AY$1005="Direkomendasikan",ROW($6:$1005)-5),758)),KotaKode,2,0),"-"),"")),"")</f>
        <v/>
      </c>
    </row>
    <row r="760" spans="1:12" ht="15" customHeight="1" x14ac:dyDescent="0.2">
      <c r="A760" t="str">
        <f t="shared" si="11"/>
        <v/>
      </c>
      <c r="B760" t="str">
        <v/>
      </c>
      <c r="C760" s="40" t="str">
        <f t="array" ref="C760">IFERROR(INDEX(checklistPesertaKemenkeu!$F$6:$F$1005,SMALL(IF(checklistPesertaKemenkeu!$AY$6:$AY$1005="Direkomendasikan",ROW($6:$1005)-5),759)),"")</f>
        <v/>
      </c>
      <c r="D760" t="str">
        <f t="array" ref="D760">IFERROR(INDEX(checklistPesertaKemenkeu!$G$6:$G$1005,SMALL(IF(checklistPesertaKemenkeu!$AY$6:$AY$1005="Direkomendasikan",ROW($6:$1005)-5),759)),"")</f>
        <v/>
      </c>
      <c r="E760" t="str">
        <f t="array" ref="E760">IFERROR(INDEX(checklistPesertaKemenkeu!$H$6:$H$1005,SMALL(IF(checklistPesertaKemenkeu!$AY$6:$AY$1005="Direkomendasikan",ROW($6:$1005)-5),759)),"")</f>
        <v/>
      </c>
      <c r="F760" t="str">
        <f t="array" ref="F760">IFERROR(INDEX(checklistPesertaKemenkeu!$I$6:$I$1005,SMALL(IF(checklistPesertaKemenkeu!$AY$6:$AY$1005="Direkomendasikan",ROW($6:$1005)-5),759)),"")</f>
        <v/>
      </c>
      <c r="G760" t="str">
        <f t="array" ref="G760">IFERROR(INDEX(checklistPesertaKemenkeu!$J$6:$J$1005,SMALL(IF(checklistPesertaKemenkeu!$AY$6:$AY$1005="Direkomendasikan",ROW($6:$1005)-5),759)),"")</f>
        <v/>
      </c>
      <c r="H760" t="str">
        <f t="array" aca="1" ref="H760" ca="1">IFERROR(IF(OR(INDEX(checklistPesertaKemenkeu!$L$6:$L$1005,SMALL(IF(checklistPesertaKemenkeu!$AY$6:$AY$1005="Direkomendasikan",ROW($6:$1005)-5),759))="",INDEX(checklistPesertaKemenkeu!$J$6:$J$1005,SMALL(IF(checklistPesertaKemenkeu!$AY$6:$AY$1005="Direkomendasikan",ROW($6:$1005)-5),759))=""),"",IF(AND(COUNTIF(INDIRECT("K_"&amp;MATCH(INDEX(checklistPesertaKemenkeu!$J$6:$J$1005,SMALL(IF(checklistPesertaKemenkeu!$AY$6:$AY$1005="Direkomendasikan",ROW($6:$1005)-5),759)),BidangList,0)),INDEX(checklistPesertaKemenkeu!$L$6:$L$1005,SMALL(IF(checklistPesertaKemenkeu!$AY$6:$AY$1005="Direkomendasikan",ROW($6:$1005)-5),759)))&gt;0,COUNTIF(INDIRECT("'KERTAS KERJA'!K"&amp;(SMALL(IF(checklistPesertaKemenkeu!$AY$6:$AY$1005="Direkomendasikan",ROW($6:$1005)-5),759)+5)&amp;":O"&amp;(SMALL(IF(checklistPesertaKemenkeu!$AY$6:$AY$1005="Direkomendasikan",ROW($6:$1005)-5),759)+5)),INDEX(checklistPesertaKemenkeu!$L$6:$L$1005,SMALL(IF(checklistPesertaKemenkeu!$AY$6:$AY$1005="Direkomendasikan",ROW($6:$1005)-5),759)))=1),IFERROR(VLOOKUP(INDEX(checklistPesertaKemenkeu!$L$6:$L$1005,SMALL(IF(checklistPesertaKemenkeu!$AY$6:$AY$1005="Direkomendasikan",ROW($6:$1005)-5),759)),KotaKode,2,0),"-"),"")),"")</f>
        <v/>
      </c>
      <c r="I760" t="str">
        <f t="array" aca="1" ref="I760" ca="1">IFERROR(IF(OR(INDEX(checklistPesertaKemenkeu!$M$6:$M$1005,SMALL(IF(checklistPesertaKemenkeu!$AY$6:$AY$1005="Direkomendasikan",ROW($6:$1005)-5),759))="",INDEX(checklistPesertaKemenkeu!$J$6:$J$1005,SMALL(IF(checklistPesertaKemenkeu!$AY$6:$AY$1005="Direkomendasikan",ROW($6:$1005)-5),759))=""),"",IF(AND(COUNTIF(INDIRECT("K_"&amp;MATCH(INDEX(checklistPesertaKemenkeu!$J$6:$J$1005,SMALL(IF(checklistPesertaKemenkeu!$AY$6:$AY$1005="Direkomendasikan",ROW($6:$1005)-5),759)),BidangList,0)),INDEX(checklistPesertaKemenkeu!$M$6:$M$1005,SMALL(IF(checklistPesertaKemenkeu!$AY$6:$AY$1005="Direkomendasikan",ROW($6:$1005)-5),759)))&gt;0,COUNTIF(INDIRECT("'KERTAS KERJA'!K"&amp;(SMALL(IF(checklistPesertaKemenkeu!$AY$6:$AY$1005="Direkomendasikan",ROW($6:$1005)-5),759)+5)&amp;":O"&amp;(SMALL(IF(checklistPesertaKemenkeu!$AY$6:$AY$1005="Direkomendasikan",ROW($6:$1005)-5),759)+5)),INDEX(checklistPesertaKemenkeu!$M$6:$M$1005,SMALL(IF(checklistPesertaKemenkeu!$AY$6:$AY$1005="Direkomendasikan",ROW($6:$1005)-5),759)))=1),IFERROR(VLOOKUP(INDEX(checklistPesertaKemenkeu!$M$6:$M$1005,SMALL(IF(checklistPesertaKemenkeu!$AY$6:$AY$1005="Direkomendasikan",ROW($6:$1005)-5),759)),KotaKode,2,0),"-"),"")),"")</f>
        <v/>
      </c>
      <c r="J760" t="str">
        <f t="array" aca="1" ref="J760" ca="1">IFERROR(IF(OR(INDEX(checklistPesertaKemenkeu!$N$6:$N$1005,SMALL(IF(checklistPesertaKemenkeu!$AY$6:$AY$1005="Direkomendasikan",ROW($6:$1005)-5),759))="",INDEX(checklistPesertaKemenkeu!$J$6:$J$1005,SMALL(IF(checklistPesertaKemenkeu!$AY$6:$AY$1005="Direkomendasikan",ROW($6:$1005)-5),759))=""),"",IF(AND(COUNTIF(INDIRECT("K_"&amp;MATCH(INDEX(checklistPesertaKemenkeu!$J$6:$J$1005,SMALL(IF(checklistPesertaKemenkeu!$AY$6:$AY$1005="Direkomendasikan",ROW($6:$1005)-5),759)),BidangList,0)),INDEX(checklistPesertaKemenkeu!$N$6:$N$1005,SMALL(IF(checklistPesertaKemenkeu!$AY$6:$AY$1005="Direkomendasikan",ROW($6:$1005)-5),759)))&gt;0,COUNTIF(INDIRECT("'KERTAS KERJA'!K"&amp;(SMALL(IF(checklistPesertaKemenkeu!$AY$6:$AY$1005="Direkomendasikan",ROW($6:$1005)-5),759)+5)&amp;":O"&amp;(SMALL(IF(checklistPesertaKemenkeu!$AY$6:$AY$1005="Direkomendasikan",ROW($6:$1005)-5),759)+5)),INDEX(checklistPesertaKemenkeu!$N$6:$N$1005,SMALL(IF(checklistPesertaKemenkeu!$AY$6:$AY$1005="Direkomendasikan",ROW($6:$1005)-5),759)))=1),IFERROR(VLOOKUP(INDEX(checklistPesertaKemenkeu!$N$6:$N$1005,SMALL(IF(checklistPesertaKemenkeu!$AY$6:$AY$1005="Direkomendasikan",ROW($6:$1005)-5),759)),KotaKode,2,0),"-"),"")),"")</f>
        <v/>
      </c>
      <c r="K760" t="str">
        <f t="array" aca="1" ref="K760" ca="1">IFERROR(IF(OR(INDEX(checklistPesertaKemenkeu!$O$6:$O$1005,SMALL(IF(checklistPesertaKemenkeu!$AY$6:$AY$1005="Direkomendasikan",ROW($6:$1005)-5),759))="",INDEX(checklistPesertaKemenkeu!$J$6:$J$1005,SMALL(IF(checklistPesertaKemenkeu!$AY$6:$AY$1005="Direkomendasikan",ROW($6:$1005)-5),759))=""),"",IF(AND(COUNTIF(INDIRECT("K_"&amp;MATCH(INDEX(checklistPesertaKemenkeu!$J$6:$J$1005,SMALL(IF(checklistPesertaKemenkeu!$AY$6:$AY$1005="Direkomendasikan",ROW($6:$1005)-5),759)),BidangList,0)),INDEX(checklistPesertaKemenkeu!$O$6:$O$1005,SMALL(IF(checklistPesertaKemenkeu!$AY$6:$AY$1005="Direkomendasikan",ROW($6:$1005)-5),759)))&gt;0,COUNTIF(INDIRECT("'KERTAS KERJA'!K"&amp;(SMALL(IF(checklistPesertaKemenkeu!$AY$6:$AY$1005="Direkomendasikan",ROW($6:$1005)-5),759)+5)&amp;":O"&amp;(SMALL(IF(checklistPesertaKemenkeu!$AY$6:$AY$1005="Direkomendasikan",ROW($6:$1005)-5),759)+5)),INDEX(checklistPesertaKemenkeu!$O$6:$O$1005,SMALL(IF(checklistPesertaKemenkeu!$AY$6:$AY$1005="Direkomendasikan",ROW($6:$1005)-5),759)))=1),IFERROR(VLOOKUP(INDEX(checklistPesertaKemenkeu!$O$6:$O$1005,SMALL(IF(checklistPesertaKemenkeu!$AY$6:$AY$1005="Direkomendasikan",ROW($6:$1005)-5),759)),KotaKode,2,0),"-"),"")),"")</f>
        <v/>
      </c>
      <c r="L760" t="str">
        <f t="array" aca="1" ref="L760" ca="1">IFERROR(IF(OR(INDEX(checklistPesertaKemenkeu!$P$6:$P$1005,SMALL(IF(checklistPesertaKemenkeu!$AY$6:$AY$1005="Direkomendasikan",ROW($6:$1005)-5),759))="",INDEX(checklistPesertaKemenkeu!$J$6:$J$1005,SMALL(IF(checklistPesertaKemenkeu!$AY$6:$AY$1005="Direkomendasikan",ROW($6:$1005)-5),759))=""),"",IF(AND(COUNTIF(INDIRECT("K_"&amp;MATCH(INDEX(checklistPesertaKemenkeu!$J$6:$J$1005,SMALL(IF(checklistPesertaKemenkeu!$AY$6:$AY$1005="Direkomendasikan",ROW($6:$1005)-5),759)),BidangList,0)),INDEX(checklistPesertaKemenkeu!$P$6:$P$1005,SMALL(IF(checklistPesertaKemenkeu!$AY$6:$AY$1005="Direkomendasikan",ROW($6:$1005)-5),759)))&gt;0,COUNTIF(INDIRECT("'KERTAS KERJA'!K"&amp;(SMALL(IF(checklistPesertaKemenkeu!$AY$6:$AY$1005="Direkomendasikan",ROW($6:$1005)-5),759)+5)&amp;":O"&amp;(SMALL(IF(checklistPesertaKemenkeu!$AY$6:$AY$1005="Direkomendasikan",ROW($6:$1005)-5),759)+5)),INDEX(checklistPesertaKemenkeu!$P$6:$P$1005,SMALL(IF(checklistPesertaKemenkeu!$AY$6:$AY$1005="Direkomendasikan",ROW($6:$1005)-5),759)))=1),IFERROR(VLOOKUP(INDEX(checklistPesertaKemenkeu!$P$6:$P$1005,SMALL(IF(checklistPesertaKemenkeu!$AY$6:$AY$1005="Direkomendasikan",ROW($6:$1005)-5),759)),KotaKode,2,0),"-"),"")),"")</f>
        <v/>
      </c>
    </row>
    <row r="761" spans="1:12" ht="15" customHeight="1" x14ac:dyDescent="0.2">
      <c r="A761" t="str">
        <f t="shared" si="11"/>
        <v/>
      </c>
      <c r="B761" t="str">
        <v/>
      </c>
      <c r="C761" s="40" t="str">
        <f t="array" ref="C761">IFERROR(INDEX(checklistPesertaKemenkeu!$F$6:$F$1005,SMALL(IF(checklistPesertaKemenkeu!$AY$6:$AY$1005="Direkomendasikan",ROW($6:$1005)-5),760)),"")</f>
        <v/>
      </c>
      <c r="D761" t="str">
        <f t="array" ref="D761">IFERROR(INDEX(checklistPesertaKemenkeu!$G$6:$G$1005,SMALL(IF(checklistPesertaKemenkeu!$AY$6:$AY$1005="Direkomendasikan",ROW($6:$1005)-5),760)),"")</f>
        <v/>
      </c>
      <c r="E761" t="str">
        <f t="array" ref="E761">IFERROR(INDEX(checklistPesertaKemenkeu!$H$6:$H$1005,SMALL(IF(checklistPesertaKemenkeu!$AY$6:$AY$1005="Direkomendasikan",ROW($6:$1005)-5),760)),"")</f>
        <v/>
      </c>
      <c r="F761" t="str">
        <f t="array" ref="F761">IFERROR(INDEX(checklistPesertaKemenkeu!$I$6:$I$1005,SMALL(IF(checklistPesertaKemenkeu!$AY$6:$AY$1005="Direkomendasikan",ROW($6:$1005)-5),760)),"")</f>
        <v/>
      </c>
      <c r="G761" t="str">
        <f t="array" ref="G761">IFERROR(INDEX(checklistPesertaKemenkeu!$J$6:$J$1005,SMALL(IF(checklistPesertaKemenkeu!$AY$6:$AY$1005="Direkomendasikan",ROW($6:$1005)-5),760)),"")</f>
        <v/>
      </c>
      <c r="H761" t="str">
        <f t="array" aca="1" ref="H761" ca="1">IFERROR(IF(OR(INDEX(checklistPesertaKemenkeu!$L$6:$L$1005,SMALL(IF(checklistPesertaKemenkeu!$AY$6:$AY$1005="Direkomendasikan",ROW($6:$1005)-5),760))="",INDEX(checklistPesertaKemenkeu!$J$6:$J$1005,SMALL(IF(checklistPesertaKemenkeu!$AY$6:$AY$1005="Direkomendasikan",ROW($6:$1005)-5),760))=""),"",IF(AND(COUNTIF(INDIRECT("K_"&amp;MATCH(INDEX(checklistPesertaKemenkeu!$J$6:$J$1005,SMALL(IF(checklistPesertaKemenkeu!$AY$6:$AY$1005="Direkomendasikan",ROW($6:$1005)-5),760)),BidangList,0)),INDEX(checklistPesertaKemenkeu!$L$6:$L$1005,SMALL(IF(checklistPesertaKemenkeu!$AY$6:$AY$1005="Direkomendasikan",ROW($6:$1005)-5),760)))&gt;0,COUNTIF(INDIRECT("'KERTAS KERJA'!K"&amp;(SMALL(IF(checklistPesertaKemenkeu!$AY$6:$AY$1005="Direkomendasikan",ROW($6:$1005)-5),760)+5)&amp;":O"&amp;(SMALL(IF(checklistPesertaKemenkeu!$AY$6:$AY$1005="Direkomendasikan",ROW($6:$1005)-5),760)+5)),INDEX(checklistPesertaKemenkeu!$L$6:$L$1005,SMALL(IF(checklistPesertaKemenkeu!$AY$6:$AY$1005="Direkomendasikan",ROW($6:$1005)-5),760)))=1),IFERROR(VLOOKUP(INDEX(checklistPesertaKemenkeu!$L$6:$L$1005,SMALL(IF(checklistPesertaKemenkeu!$AY$6:$AY$1005="Direkomendasikan",ROW($6:$1005)-5),760)),KotaKode,2,0),"-"),"")),"")</f>
        <v/>
      </c>
      <c r="I761" t="str">
        <f t="array" aca="1" ref="I761" ca="1">IFERROR(IF(OR(INDEX(checklistPesertaKemenkeu!$M$6:$M$1005,SMALL(IF(checklistPesertaKemenkeu!$AY$6:$AY$1005="Direkomendasikan",ROW($6:$1005)-5),760))="",INDEX(checklistPesertaKemenkeu!$J$6:$J$1005,SMALL(IF(checklistPesertaKemenkeu!$AY$6:$AY$1005="Direkomendasikan",ROW($6:$1005)-5),760))=""),"",IF(AND(COUNTIF(INDIRECT("K_"&amp;MATCH(INDEX(checklistPesertaKemenkeu!$J$6:$J$1005,SMALL(IF(checklistPesertaKemenkeu!$AY$6:$AY$1005="Direkomendasikan",ROW($6:$1005)-5),760)),BidangList,0)),INDEX(checklistPesertaKemenkeu!$M$6:$M$1005,SMALL(IF(checklistPesertaKemenkeu!$AY$6:$AY$1005="Direkomendasikan",ROW($6:$1005)-5),760)))&gt;0,COUNTIF(INDIRECT("'KERTAS KERJA'!K"&amp;(SMALL(IF(checklistPesertaKemenkeu!$AY$6:$AY$1005="Direkomendasikan",ROW($6:$1005)-5),760)+5)&amp;":O"&amp;(SMALL(IF(checklistPesertaKemenkeu!$AY$6:$AY$1005="Direkomendasikan",ROW($6:$1005)-5),760)+5)),INDEX(checklistPesertaKemenkeu!$M$6:$M$1005,SMALL(IF(checklistPesertaKemenkeu!$AY$6:$AY$1005="Direkomendasikan",ROW($6:$1005)-5),760)))=1),IFERROR(VLOOKUP(INDEX(checklistPesertaKemenkeu!$M$6:$M$1005,SMALL(IF(checklistPesertaKemenkeu!$AY$6:$AY$1005="Direkomendasikan",ROW($6:$1005)-5),760)),KotaKode,2,0),"-"),"")),"")</f>
        <v/>
      </c>
      <c r="J761" t="str">
        <f t="array" aca="1" ref="J761" ca="1">IFERROR(IF(OR(INDEX(checklistPesertaKemenkeu!$N$6:$N$1005,SMALL(IF(checklistPesertaKemenkeu!$AY$6:$AY$1005="Direkomendasikan",ROW($6:$1005)-5),760))="",INDEX(checklistPesertaKemenkeu!$J$6:$J$1005,SMALL(IF(checklistPesertaKemenkeu!$AY$6:$AY$1005="Direkomendasikan",ROW($6:$1005)-5),760))=""),"",IF(AND(COUNTIF(INDIRECT("K_"&amp;MATCH(INDEX(checklistPesertaKemenkeu!$J$6:$J$1005,SMALL(IF(checklistPesertaKemenkeu!$AY$6:$AY$1005="Direkomendasikan",ROW($6:$1005)-5),760)),BidangList,0)),INDEX(checklistPesertaKemenkeu!$N$6:$N$1005,SMALL(IF(checklistPesertaKemenkeu!$AY$6:$AY$1005="Direkomendasikan",ROW($6:$1005)-5),760)))&gt;0,COUNTIF(INDIRECT("'KERTAS KERJA'!K"&amp;(SMALL(IF(checklistPesertaKemenkeu!$AY$6:$AY$1005="Direkomendasikan",ROW($6:$1005)-5),760)+5)&amp;":O"&amp;(SMALL(IF(checklistPesertaKemenkeu!$AY$6:$AY$1005="Direkomendasikan",ROW($6:$1005)-5),760)+5)),INDEX(checklistPesertaKemenkeu!$N$6:$N$1005,SMALL(IF(checklistPesertaKemenkeu!$AY$6:$AY$1005="Direkomendasikan",ROW($6:$1005)-5),760)))=1),IFERROR(VLOOKUP(INDEX(checklistPesertaKemenkeu!$N$6:$N$1005,SMALL(IF(checklistPesertaKemenkeu!$AY$6:$AY$1005="Direkomendasikan",ROW($6:$1005)-5),760)),KotaKode,2,0),"-"),"")),"")</f>
        <v/>
      </c>
      <c r="K761" t="str">
        <f t="array" aca="1" ref="K761" ca="1">IFERROR(IF(OR(INDEX(checklistPesertaKemenkeu!$O$6:$O$1005,SMALL(IF(checklistPesertaKemenkeu!$AY$6:$AY$1005="Direkomendasikan",ROW($6:$1005)-5),760))="",INDEX(checklistPesertaKemenkeu!$J$6:$J$1005,SMALL(IF(checklistPesertaKemenkeu!$AY$6:$AY$1005="Direkomendasikan",ROW($6:$1005)-5),760))=""),"",IF(AND(COUNTIF(INDIRECT("K_"&amp;MATCH(INDEX(checklistPesertaKemenkeu!$J$6:$J$1005,SMALL(IF(checklistPesertaKemenkeu!$AY$6:$AY$1005="Direkomendasikan",ROW($6:$1005)-5),760)),BidangList,0)),INDEX(checklistPesertaKemenkeu!$O$6:$O$1005,SMALL(IF(checklistPesertaKemenkeu!$AY$6:$AY$1005="Direkomendasikan",ROW($6:$1005)-5),760)))&gt;0,COUNTIF(INDIRECT("'KERTAS KERJA'!K"&amp;(SMALL(IF(checklistPesertaKemenkeu!$AY$6:$AY$1005="Direkomendasikan",ROW($6:$1005)-5),760)+5)&amp;":O"&amp;(SMALL(IF(checklistPesertaKemenkeu!$AY$6:$AY$1005="Direkomendasikan",ROW($6:$1005)-5),760)+5)),INDEX(checklistPesertaKemenkeu!$O$6:$O$1005,SMALL(IF(checklistPesertaKemenkeu!$AY$6:$AY$1005="Direkomendasikan",ROW($6:$1005)-5),760)))=1),IFERROR(VLOOKUP(INDEX(checklistPesertaKemenkeu!$O$6:$O$1005,SMALL(IF(checklistPesertaKemenkeu!$AY$6:$AY$1005="Direkomendasikan",ROW($6:$1005)-5),760)),KotaKode,2,0),"-"),"")),"")</f>
        <v/>
      </c>
      <c r="L761" t="str">
        <f t="array" aca="1" ref="L761" ca="1">IFERROR(IF(OR(INDEX(checklistPesertaKemenkeu!$P$6:$P$1005,SMALL(IF(checklistPesertaKemenkeu!$AY$6:$AY$1005="Direkomendasikan",ROW($6:$1005)-5),760))="",INDEX(checklistPesertaKemenkeu!$J$6:$J$1005,SMALL(IF(checklistPesertaKemenkeu!$AY$6:$AY$1005="Direkomendasikan",ROW($6:$1005)-5),760))=""),"",IF(AND(COUNTIF(INDIRECT("K_"&amp;MATCH(INDEX(checklistPesertaKemenkeu!$J$6:$J$1005,SMALL(IF(checklistPesertaKemenkeu!$AY$6:$AY$1005="Direkomendasikan",ROW($6:$1005)-5),760)),BidangList,0)),INDEX(checklistPesertaKemenkeu!$P$6:$P$1005,SMALL(IF(checklistPesertaKemenkeu!$AY$6:$AY$1005="Direkomendasikan",ROW($6:$1005)-5),760)))&gt;0,COUNTIF(INDIRECT("'KERTAS KERJA'!K"&amp;(SMALL(IF(checklistPesertaKemenkeu!$AY$6:$AY$1005="Direkomendasikan",ROW($6:$1005)-5),760)+5)&amp;":O"&amp;(SMALL(IF(checklistPesertaKemenkeu!$AY$6:$AY$1005="Direkomendasikan",ROW($6:$1005)-5),760)+5)),INDEX(checklistPesertaKemenkeu!$P$6:$P$1005,SMALL(IF(checklistPesertaKemenkeu!$AY$6:$AY$1005="Direkomendasikan",ROW($6:$1005)-5),760)))=1),IFERROR(VLOOKUP(INDEX(checklistPesertaKemenkeu!$P$6:$P$1005,SMALL(IF(checklistPesertaKemenkeu!$AY$6:$AY$1005="Direkomendasikan",ROW($6:$1005)-5),760)),KotaKode,2,0),"-"),"")),"")</f>
        <v/>
      </c>
    </row>
    <row r="762" spans="1:12" ht="15" customHeight="1" x14ac:dyDescent="0.2">
      <c r="A762" t="str">
        <f t="shared" si="11"/>
        <v/>
      </c>
      <c r="B762" t="str">
        <v/>
      </c>
      <c r="C762" s="40" t="str">
        <f t="array" ref="C762">IFERROR(INDEX(checklistPesertaKemenkeu!$F$6:$F$1005,SMALL(IF(checklistPesertaKemenkeu!$AY$6:$AY$1005="Direkomendasikan",ROW($6:$1005)-5),761)),"")</f>
        <v/>
      </c>
      <c r="D762" t="str">
        <f t="array" ref="D762">IFERROR(INDEX(checklistPesertaKemenkeu!$G$6:$G$1005,SMALL(IF(checklistPesertaKemenkeu!$AY$6:$AY$1005="Direkomendasikan",ROW($6:$1005)-5),761)),"")</f>
        <v/>
      </c>
      <c r="E762" t="str">
        <f t="array" ref="E762">IFERROR(INDEX(checklistPesertaKemenkeu!$H$6:$H$1005,SMALL(IF(checklistPesertaKemenkeu!$AY$6:$AY$1005="Direkomendasikan",ROW($6:$1005)-5),761)),"")</f>
        <v/>
      </c>
      <c r="F762" t="str">
        <f t="array" ref="F762">IFERROR(INDEX(checklistPesertaKemenkeu!$I$6:$I$1005,SMALL(IF(checklistPesertaKemenkeu!$AY$6:$AY$1005="Direkomendasikan",ROW($6:$1005)-5),761)),"")</f>
        <v/>
      </c>
      <c r="G762" t="str">
        <f t="array" ref="G762">IFERROR(INDEX(checklistPesertaKemenkeu!$J$6:$J$1005,SMALL(IF(checklistPesertaKemenkeu!$AY$6:$AY$1005="Direkomendasikan",ROW($6:$1005)-5),761)),"")</f>
        <v/>
      </c>
      <c r="H762" t="str">
        <f t="array" aca="1" ref="H762" ca="1">IFERROR(IF(OR(INDEX(checklistPesertaKemenkeu!$L$6:$L$1005,SMALL(IF(checklistPesertaKemenkeu!$AY$6:$AY$1005="Direkomendasikan",ROW($6:$1005)-5),761))="",INDEX(checklistPesertaKemenkeu!$J$6:$J$1005,SMALL(IF(checklistPesertaKemenkeu!$AY$6:$AY$1005="Direkomendasikan",ROW($6:$1005)-5),761))=""),"",IF(AND(COUNTIF(INDIRECT("K_"&amp;MATCH(INDEX(checklistPesertaKemenkeu!$J$6:$J$1005,SMALL(IF(checklistPesertaKemenkeu!$AY$6:$AY$1005="Direkomendasikan",ROW($6:$1005)-5),761)),BidangList,0)),INDEX(checklistPesertaKemenkeu!$L$6:$L$1005,SMALL(IF(checklistPesertaKemenkeu!$AY$6:$AY$1005="Direkomendasikan",ROW($6:$1005)-5),761)))&gt;0,COUNTIF(INDIRECT("'KERTAS KERJA'!K"&amp;(SMALL(IF(checklistPesertaKemenkeu!$AY$6:$AY$1005="Direkomendasikan",ROW($6:$1005)-5),761)+5)&amp;":O"&amp;(SMALL(IF(checklistPesertaKemenkeu!$AY$6:$AY$1005="Direkomendasikan",ROW($6:$1005)-5),761)+5)),INDEX(checklistPesertaKemenkeu!$L$6:$L$1005,SMALL(IF(checklistPesertaKemenkeu!$AY$6:$AY$1005="Direkomendasikan",ROW($6:$1005)-5),761)))=1),IFERROR(VLOOKUP(INDEX(checklistPesertaKemenkeu!$L$6:$L$1005,SMALL(IF(checklistPesertaKemenkeu!$AY$6:$AY$1005="Direkomendasikan",ROW($6:$1005)-5),761)),KotaKode,2,0),"-"),"")),"")</f>
        <v/>
      </c>
      <c r="I762" t="str">
        <f t="array" aca="1" ref="I762" ca="1">IFERROR(IF(OR(INDEX(checklistPesertaKemenkeu!$M$6:$M$1005,SMALL(IF(checklistPesertaKemenkeu!$AY$6:$AY$1005="Direkomendasikan",ROW($6:$1005)-5),761))="",INDEX(checklistPesertaKemenkeu!$J$6:$J$1005,SMALL(IF(checklistPesertaKemenkeu!$AY$6:$AY$1005="Direkomendasikan",ROW($6:$1005)-5),761))=""),"",IF(AND(COUNTIF(INDIRECT("K_"&amp;MATCH(INDEX(checklistPesertaKemenkeu!$J$6:$J$1005,SMALL(IF(checklistPesertaKemenkeu!$AY$6:$AY$1005="Direkomendasikan",ROW($6:$1005)-5),761)),BidangList,0)),INDEX(checklistPesertaKemenkeu!$M$6:$M$1005,SMALL(IF(checklistPesertaKemenkeu!$AY$6:$AY$1005="Direkomendasikan",ROW($6:$1005)-5),761)))&gt;0,COUNTIF(INDIRECT("'KERTAS KERJA'!K"&amp;(SMALL(IF(checklistPesertaKemenkeu!$AY$6:$AY$1005="Direkomendasikan",ROW($6:$1005)-5),761)+5)&amp;":O"&amp;(SMALL(IF(checklistPesertaKemenkeu!$AY$6:$AY$1005="Direkomendasikan",ROW($6:$1005)-5),761)+5)),INDEX(checklistPesertaKemenkeu!$M$6:$M$1005,SMALL(IF(checklistPesertaKemenkeu!$AY$6:$AY$1005="Direkomendasikan",ROW($6:$1005)-5),761)))=1),IFERROR(VLOOKUP(INDEX(checklistPesertaKemenkeu!$M$6:$M$1005,SMALL(IF(checklistPesertaKemenkeu!$AY$6:$AY$1005="Direkomendasikan",ROW($6:$1005)-5),761)),KotaKode,2,0),"-"),"")),"")</f>
        <v/>
      </c>
      <c r="J762" t="str">
        <f t="array" aca="1" ref="J762" ca="1">IFERROR(IF(OR(INDEX(checklistPesertaKemenkeu!$N$6:$N$1005,SMALL(IF(checklistPesertaKemenkeu!$AY$6:$AY$1005="Direkomendasikan",ROW($6:$1005)-5),761))="",INDEX(checklistPesertaKemenkeu!$J$6:$J$1005,SMALL(IF(checklistPesertaKemenkeu!$AY$6:$AY$1005="Direkomendasikan",ROW($6:$1005)-5),761))=""),"",IF(AND(COUNTIF(INDIRECT("K_"&amp;MATCH(INDEX(checklistPesertaKemenkeu!$J$6:$J$1005,SMALL(IF(checklistPesertaKemenkeu!$AY$6:$AY$1005="Direkomendasikan",ROW($6:$1005)-5),761)),BidangList,0)),INDEX(checklistPesertaKemenkeu!$N$6:$N$1005,SMALL(IF(checklistPesertaKemenkeu!$AY$6:$AY$1005="Direkomendasikan",ROW($6:$1005)-5),761)))&gt;0,COUNTIF(INDIRECT("'KERTAS KERJA'!K"&amp;(SMALL(IF(checklistPesertaKemenkeu!$AY$6:$AY$1005="Direkomendasikan",ROW($6:$1005)-5),761)+5)&amp;":O"&amp;(SMALL(IF(checklistPesertaKemenkeu!$AY$6:$AY$1005="Direkomendasikan",ROW($6:$1005)-5),761)+5)),INDEX(checklistPesertaKemenkeu!$N$6:$N$1005,SMALL(IF(checklistPesertaKemenkeu!$AY$6:$AY$1005="Direkomendasikan",ROW($6:$1005)-5),761)))=1),IFERROR(VLOOKUP(INDEX(checklistPesertaKemenkeu!$N$6:$N$1005,SMALL(IF(checklistPesertaKemenkeu!$AY$6:$AY$1005="Direkomendasikan",ROW($6:$1005)-5),761)),KotaKode,2,0),"-"),"")),"")</f>
        <v/>
      </c>
      <c r="K762" t="str">
        <f t="array" aca="1" ref="K762" ca="1">IFERROR(IF(OR(INDEX(checklistPesertaKemenkeu!$O$6:$O$1005,SMALL(IF(checklistPesertaKemenkeu!$AY$6:$AY$1005="Direkomendasikan",ROW($6:$1005)-5),761))="",INDEX(checklistPesertaKemenkeu!$J$6:$J$1005,SMALL(IF(checklistPesertaKemenkeu!$AY$6:$AY$1005="Direkomendasikan",ROW($6:$1005)-5),761))=""),"",IF(AND(COUNTIF(INDIRECT("K_"&amp;MATCH(INDEX(checklistPesertaKemenkeu!$J$6:$J$1005,SMALL(IF(checklistPesertaKemenkeu!$AY$6:$AY$1005="Direkomendasikan",ROW($6:$1005)-5),761)),BidangList,0)),INDEX(checklistPesertaKemenkeu!$O$6:$O$1005,SMALL(IF(checklistPesertaKemenkeu!$AY$6:$AY$1005="Direkomendasikan",ROW($6:$1005)-5),761)))&gt;0,COUNTIF(INDIRECT("'KERTAS KERJA'!K"&amp;(SMALL(IF(checklistPesertaKemenkeu!$AY$6:$AY$1005="Direkomendasikan",ROW($6:$1005)-5),761)+5)&amp;":O"&amp;(SMALL(IF(checklistPesertaKemenkeu!$AY$6:$AY$1005="Direkomendasikan",ROW($6:$1005)-5),761)+5)),INDEX(checklistPesertaKemenkeu!$O$6:$O$1005,SMALL(IF(checklistPesertaKemenkeu!$AY$6:$AY$1005="Direkomendasikan",ROW($6:$1005)-5),761)))=1),IFERROR(VLOOKUP(INDEX(checklistPesertaKemenkeu!$O$6:$O$1005,SMALL(IF(checklistPesertaKemenkeu!$AY$6:$AY$1005="Direkomendasikan",ROW($6:$1005)-5),761)),KotaKode,2,0),"-"),"")),"")</f>
        <v/>
      </c>
      <c r="L762" t="str">
        <f t="array" aca="1" ref="L762" ca="1">IFERROR(IF(OR(INDEX(checklistPesertaKemenkeu!$P$6:$P$1005,SMALL(IF(checklistPesertaKemenkeu!$AY$6:$AY$1005="Direkomendasikan",ROW($6:$1005)-5),761))="",INDEX(checklistPesertaKemenkeu!$J$6:$J$1005,SMALL(IF(checklistPesertaKemenkeu!$AY$6:$AY$1005="Direkomendasikan",ROW($6:$1005)-5),761))=""),"",IF(AND(COUNTIF(INDIRECT("K_"&amp;MATCH(INDEX(checklistPesertaKemenkeu!$J$6:$J$1005,SMALL(IF(checklistPesertaKemenkeu!$AY$6:$AY$1005="Direkomendasikan",ROW($6:$1005)-5),761)),BidangList,0)),INDEX(checklistPesertaKemenkeu!$P$6:$P$1005,SMALL(IF(checklistPesertaKemenkeu!$AY$6:$AY$1005="Direkomendasikan",ROW($6:$1005)-5),761)))&gt;0,COUNTIF(INDIRECT("'KERTAS KERJA'!K"&amp;(SMALL(IF(checklistPesertaKemenkeu!$AY$6:$AY$1005="Direkomendasikan",ROW($6:$1005)-5),761)+5)&amp;":O"&amp;(SMALL(IF(checklistPesertaKemenkeu!$AY$6:$AY$1005="Direkomendasikan",ROW($6:$1005)-5),761)+5)),INDEX(checklistPesertaKemenkeu!$P$6:$P$1005,SMALL(IF(checklistPesertaKemenkeu!$AY$6:$AY$1005="Direkomendasikan",ROW($6:$1005)-5),761)))=1),IFERROR(VLOOKUP(INDEX(checklistPesertaKemenkeu!$P$6:$P$1005,SMALL(IF(checklistPesertaKemenkeu!$AY$6:$AY$1005="Direkomendasikan",ROW($6:$1005)-5),761)),KotaKode,2,0),"-"),"")),"")</f>
        <v/>
      </c>
    </row>
    <row r="763" spans="1:12" ht="15" customHeight="1" x14ac:dyDescent="0.2">
      <c r="A763" t="str">
        <f t="shared" si="11"/>
        <v/>
      </c>
      <c r="B763" t="str">
        <v/>
      </c>
      <c r="C763" s="40" t="str">
        <f t="array" ref="C763">IFERROR(INDEX(checklistPesertaKemenkeu!$F$6:$F$1005,SMALL(IF(checklistPesertaKemenkeu!$AY$6:$AY$1005="Direkomendasikan",ROW($6:$1005)-5),762)),"")</f>
        <v/>
      </c>
      <c r="D763" t="str">
        <f t="array" ref="D763">IFERROR(INDEX(checklistPesertaKemenkeu!$G$6:$G$1005,SMALL(IF(checklistPesertaKemenkeu!$AY$6:$AY$1005="Direkomendasikan",ROW($6:$1005)-5),762)),"")</f>
        <v/>
      </c>
      <c r="E763" t="str">
        <f t="array" ref="E763">IFERROR(INDEX(checklistPesertaKemenkeu!$H$6:$H$1005,SMALL(IF(checklistPesertaKemenkeu!$AY$6:$AY$1005="Direkomendasikan",ROW($6:$1005)-5),762)),"")</f>
        <v/>
      </c>
      <c r="F763" t="str">
        <f t="array" ref="F763">IFERROR(INDEX(checklistPesertaKemenkeu!$I$6:$I$1005,SMALL(IF(checklistPesertaKemenkeu!$AY$6:$AY$1005="Direkomendasikan",ROW($6:$1005)-5),762)),"")</f>
        <v/>
      </c>
      <c r="G763" t="str">
        <f t="array" ref="G763">IFERROR(INDEX(checklistPesertaKemenkeu!$J$6:$J$1005,SMALL(IF(checklistPesertaKemenkeu!$AY$6:$AY$1005="Direkomendasikan",ROW($6:$1005)-5),762)),"")</f>
        <v/>
      </c>
      <c r="H763" t="str">
        <f t="array" aca="1" ref="H763" ca="1">IFERROR(IF(OR(INDEX(checklistPesertaKemenkeu!$L$6:$L$1005,SMALL(IF(checklistPesertaKemenkeu!$AY$6:$AY$1005="Direkomendasikan",ROW($6:$1005)-5),762))="",INDEX(checklistPesertaKemenkeu!$J$6:$J$1005,SMALL(IF(checklistPesertaKemenkeu!$AY$6:$AY$1005="Direkomendasikan",ROW($6:$1005)-5),762))=""),"",IF(AND(COUNTIF(INDIRECT("K_"&amp;MATCH(INDEX(checklistPesertaKemenkeu!$J$6:$J$1005,SMALL(IF(checklistPesertaKemenkeu!$AY$6:$AY$1005="Direkomendasikan",ROW($6:$1005)-5),762)),BidangList,0)),INDEX(checklistPesertaKemenkeu!$L$6:$L$1005,SMALL(IF(checklistPesertaKemenkeu!$AY$6:$AY$1005="Direkomendasikan",ROW($6:$1005)-5),762)))&gt;0,COUNTIF(INDIRECT("'KERTAS KERJA'!K"&amp;(SMALL(IF(checklistPesertaKemenkeu!$AY$6:$AY$1005="Direkomendasikan",ROW($6:$1005)-5),762)+5)&amp;":O"&amp;(SMALL(IF(checklistPesertaKemenkeu!$AY$6:$AY$1005="Direkomendasikan",ROW($6:$1005)-5),762)+5)),INDEX(checklistPesertaKemenkeu!$L$6:$L$1005,SMALL(IF(checklistPesertaKemenkeu!$AY$6:$AY$1005="Direkomendasikan",ROW($6:$1005)-5),762)))=1),IFERROR(VLOOKUP(INDEX(checklistPesertaKemenkeu!$L$6:$L$1005,SMALL(IF(checklistPesertaKemenkeu!$AY$6:$AY$1005="Direkomendasikan",ROW($6:$1005)-5),762)),KotaKode,2,0),"-"),"")),"")</f>
        <v/>
      </c>
      <c r="I763" t="str">
        <f t="array" aca="1" ref="I763" ca="1">IFERROR(IF(OR(INDEX(checklistPesertaKemenkeu!$M$6:$M$1005,SMALL(IF(checklistPesertaKemenkeu!$AY$6:$AY$1005="Direkomendasikan",ROW($6:$1005)-5),762))="",INDEX(checklistPesertaKemenkeu!$J$6:$J$1005,SMALL(IF(checklistPesertaKemenkeu!$AY$6:$AY$1005="Direkomendasikan",ROW($6:$1005)-5),762))=""),"",IF(AND(COUNTIF(INDIRECT("K_"&amp;MATCH(INDEX(checklistPesertaKemenkeu!$J$6:$J$1005,SMALL(IF(checklistPesertaKemenkeu!$AY$6:$AY$1005="Direkomendasikan",ROW($6:$1005)-5),762)),BidangList,0)),INDEX(checklistPesertaKemenkeu!$M$6:$M$1005,SMALL(IF(checklistPesertaKemenkeu!$AY$6:$AY$1005="Direkomendasikan",ROW($6:$1005)-5),762)))&gt;0,COUNTIF(INDIRECT("'KERTAS KERJA'!K"&amp;(SMALL(IF(checklistPesertaKemenkeu!$AY$6:$AY$1005="Direkomendasikan",ROW($6:$1005)-5),762)+5)&amp;":O"&amp;(SMALL(IF(checklistPesertaKemenkeu!$AY$6:$AY$1005="Direkomendasikan",ROW($6:$1005)-5),762)+5)),INDEX(checklistPesertaKemenkeu!$M$6:$M$1005,SMALL(IF(checklistPesertaKemenkeu!$AY$6:$AY$1005="Direkomendasikan",ROW($6:$1005)-5),762)))=1),IFERROR(VLOOKUP(INDEX(checklistPesertaKemenkeu!$M$6:$M$1005,SMALL(IF(checklistPesertaKemenkeu!$AY$6:$AY$1005="Direkomendasikan",ROW($6:$1005)-5),762)),KotaKode,2,0),"-"),"")),"")</f>
        <v/>
      </c>
      <c r="J763" t="str">
        <f t="array" aca="1" ref="J763" ca="1">IFERROR(IF(OR(INDEX(checklistPesertaKemenkeu!$N$6:$N$1005,SMALL(IF(checklistPesertaKemenkeu!$AY$6:$AY$1005="Direkomendasikan",ROW($6:$1005)-5),762))="",INDEX(checklistPesertaKemenkeu!$J$6:$J$1005,SMALL(IF(checklistPesertaKemenkeu!$AY$6:$AY$1005="Direkomendasikan",ROW($6:$1005)-5),762))=""),"",IF(AND(COUNTIF(INDIRECT("K_"&amp;MATCH(INDEX(checklistPesertaKemenkeu!$J$6:$J$1005,SMALL(IF(checklistPesertaKemenkeu!$AY$6:$AY$1005="Direkomendasikan",ROW($6:$1005)-5),762)),BidangList,0)),INDEX(checklistPesertaKemenkeu!$N$6:$N$1005,SMALL(IF(checklistPesertaKemenkeu!$AY$6:$AY$1005="Direkomendasikan",ROW($6:$1005)-5),762)))&gt;0,COUNTIF(INDIRECT("'KERTAS KERJA'!K"&amp;(SMALL(IF(checklistPesertaKemenkeu!$AY$6:$AY$1005="Direkomendasikan",ROW($6:$1005)-5),762)+5)&amp;":O"&amp;(SMALL(IF(checklistPesertaKemenkeu!$AY$6:$AY$1005="Direkomendasikan",ROW($6:$1005)-5),762)+5)),INDEX(checklistPesertaKemenkeu!$N$6:$N$1005,SMALL(IF(checklistPesertaKemenkeu!$AY$6:$AY$1005="Direkomendasikan",ROW($6:$1005)-5),762)))=1),IFERROR(VLOOKUP(INDEX(checklistPesertaKemenkeu!$N$6:$N$1005,SMALL(IF(checklistPesertaKemenkeu!$AY$6:$AY$1005="Direkomendasikan",ROW($6:$1005)-5),762)),KotaKode,2,0),"-"),"")),"")</f>
        <v/>
      </c>
      <c r="K763" t="str">
        <f t="array" aca="1" ref="K763" ca="1">IFERROR(IF(OR(INDEX(checklistPesertaKemenkeu!$O$6:$O$1005,SMALL(IF(checklistPesertaKemenkeu!$AY$6:$AY$1005="Direkomendasikan",ROW($6:$1005)-5),762))="",INDEX(checklistPesertaKemenkeu!$J$6:$J$1005,SMALL(IF(checklistPesertaKemenkeu!$AY$6:$AY$1005="Direkomendasikan",ROW($6:$1005)-5),762))=""),"",IF(AND(COUNTIF(INDIRECT("K_"&amp;MATCH(INDEX(checklistPesertaKemenkeu!$J$6:$J$1005,SMALL(IF(checklistPesertaKemenkeu!$AY$6:$AY$1005="Direkomendasikan",ROW($6:$1005)-5),762)),BidangList,0)),INDEX(checklistPesertaKemenkeu!$O$6:$O$1005,SMALL(IF(checklistPesertaKemenkeu!$AY$6:$AY$1005="Direkomendasikan",ROW($6:$1005)-5),762)))&gt;0,COUNTIF(INDIRECT("'KERTAS KERJA'!K"&amp;(SMALL(IF(checklistPesertaKemenkeu!$AY$6:$AY$1005="Direkomendasikan",ROW($6:$1005)-5),762)+5)&amp;":O"&amp;(SMALL(IF(checklistPesertaKemenkeu!$AY$6:$AY$1005="Direkomendasikan",ROW($6:$1005)-5),762)+5)),INDEX(checklistPesertaKemenkeu!$O$6:$O$1005,SMALL(IF(checklistPesertaKemenkeu!$AY$6:$AY$1005="Direkomendasikan",ROW($6:$1005)-5),762)))=1),IFERROR(VLOOKUP(INDEX(checklistPesertaKemenkeu!$O$6:$O$1005,SMALL(IF(checklistPesertaKemenkeu!$AY$6:$AY$1005="Direkomendasikan",ROW($6:$1005)-5),762)),KotaKode,2,0),"-"),"")),"")</f>
        <v/>
      </c>
      <c r="L763" t="str">
        <f t="array" aca="1" ref="L763" ca="1">IFERROR(IF(OR(INDEX(checklistPesertaKemenkeu!$P$6:$P$1005,SMALL(IF(checklistPesertaKemenkeu!$AY$6:$AY$1005="Direkomendasikan",ROW($6:$1005)-5),762))="",INDEX(checklistPesertaKemenkeu!$J$6:$J$1005,SMALL(IF(checklistPesertaKemenkeu!$AY$6:$AY$1005="Direkomendasikan",ROW($6:$1005)-5),762))=""),"",IF(AND(COUNTIF(INDIRECT("K_"&amp;MATCH(INDEX(checklistPesertaKemenkeu!$J$6:$J$1005,SMALL(IF(checklistPesertaKemenkeu!$AY$6:$AY$1005="Direkomendasikan",ROW($6:$1005)-5),762)),BidangList,0)),INDEX(checklistPesertaKemenkeu!$P$6:$P$1005,SMALL(IF(checklistPesertaKemenkeu!$AY$6:$AY$1005="Direkomendasikan",ROW($6:$1005)-5),762)))&gt;0,COUNTIF(INDIRECT("'KERTAS KERJA'!K"&amp;(SMALL(IF(checklistPesertaKemenkeu!$AY$6:$AY$1005="Direkomendasikan",ROW($6:$1005)-5),762)+5)&amp;":O"&amp;(SMALL(IF(checklistPesertaKemenkeu!$AY$6:$AY$1005="Direkomendasikan",ROW($6:$1005)-5),762)+5)),INDEX(checklistPesertaKemenkeu!$P$6:$P$1005,SMALL(IF(checklistPesertaKemenkeu!$AY$6:$AY$1005="Direkomendasikan",ROW($6:$1005)-5),762)))=1),IFERROR(VLOOKUP(INDEX(checklistPesertaKemenkeu!$P$6:$P$1005,SMALL(IF(checklistPesertaKemenkeu!$AY$6:$AY$1005="Direkomendasikan",ROW($6:$1005)-5),762)),KotaKode,2,0),"-"),"")),"")</f>
        <v/>
      </c>
    </row>
    <row r="764" spans="1:12" ht="15" customHeight="1" x14ac:dyDescent="0.2">
      <c r="A764" t="str">
        <f t="shared" si="11"/>
        <v/>
      </c>
      <c r="B764" t="str">
        <v/>
      </c>
      <c r="C764" s="40" t="str">
        <f t="array" ref="C764">IFERROR(INDEX(checklistPesertaKemenkeu!$F$6:$F$1005,SMALL(IF(checklistPesertaKemenkeu!$AY$6:$AY$1005="Direkomendasikan",ROW($6:$1005)-5),763)),"")</f>
        <v/>
      </c>
      <c r="D764" t="str">
        <f t="array" ref="D764">IFERROR(INDEX(checklistPesertaKemenkeu!$G$6:$G$1005,SMALL(IF(checklistPesertaKemenkeu!$AY$6:$AY$1005="Direkomendasikan",ROW($6:$1005)-5),763)),"")</f>
        <v/>
      </c>
      <c r="E764" t="str">
        <f t="array" ref="E764">IFERROR(INDEX(checklistPesertaKemenkeu!$H$6:$H$1005,SMALL(IF(checklistPesertaKemenkeu!$AY$6:$AY$1005="Direkomendasikan",ROW($6:$1005)-5),763)),"")</f>
        <v/>
      </c>
      <c r="F764" t="str">
        <f t="array" ref="F764">IFERROR(INDEX(checklistPesertaKemenkeu!$I$6:$I$1005,SMALL(IF(checklistPesertaKemenkeu!$AY$6:$AY$1005="Direkomendasikan",ROW($6:$1005)-5),763)),"")</f>
        <v/>
      </c>
      <c r="G764" t="str">
        <f t="array" ref="G764">IFERROR(INDEX(checklistPesertaKemenkeu!$J$6:$J$1005,SMALL(IF(checklistPesertaKemenkeu!$AY$6:$AY$1005="Direkomendasikan",ROW($6:$1005)-5),763)),"")</f>
        <v/>
      </c>
      <c r="H764" t="str">
        <f t="array" aca="1" ref="H764" ca="1">IFERROR(IF(OR(INDEX(checklistPesertaKemenkeu!$L$6:$L$1005,SMALL(IF(checklistPesertaKemenkeu!$AY$6:$AY$1005="Direkomendasikan",ROW($6:$1005)-5),763))="",INDEX(checklistPesertaKemenkeu!$J$6:$J$1005,SMALL(IF(checklistPesertaKemenkeu!$AY$6:$AY$1005="Direkomendasikan",ROW($6:$1005)-5),763))=""),"",IF(AND(COUNTIF(INDIRECT("K_"&amp;MATCH(INDEX(checklistPesertaKemenkeu!$J$6:$J$1005,SMALL(IF(checklistPesertaKemenkeu!$AY$6:$AY$1005="Direkomendasikan",ROW($6:$1005)-5),763)),BidangList,0)),INDEX(checklistPesertaKemenkeu!$L$6:$L$1005,SMALL(IF(checklistPesertaKemenkeu!$AY$6:$AY$1005="Direkomendasikan",ROW($6:$1005)-5),763)))&gt;0,COUNTIF(INDIRECT("'KERTAS KERJA'!K"&amp;(SMALL(IF(checklistPesertaKemenkeu!$AY$6:$AY$1005="Direkomendasikan",ROW($6:$1005)-5),763)+5)&amp;":O"&amp;(SMALL(IF(checklistPesertaKemenkeu!$AY$6:$AY$1005="Direkomendasikan",ROW($6:$1005)-5),763)+5)),INDEX(checklistPesertaKemenkeu!$L$6:$L$1005,SMALL(IF(checklistPesertaKemenkeu!$AY$6:$AY$1005="Direkomendasikan",ROW($6:$1005)-5),763)))=1),IFERROR(VLOOKUP(INDEX(checklistPesertaKemenkeu!$L$6:$L$1005,SMALL(IF(checklistPesertaKemenkeu!$AY$6:$AY$1005="Direkomendasikan",ROW($6:$1005)-5),763)),KotaKode,2,0),"-"),"")),"")</f>
        <v/>
      </c>
      <c r="I764" t="str">
        <f t="array" aca="1" ref="I764" ca="1">IFERROR(IF(OR(INDEX(checklistPesertaKemenkeu!$M$6:$M$1005,SMALL(IF(checklistPesertaKemenkeu!$AY$6:$AY$1005="Direkomendasikan",ROW($6:$1005)-5),763))="",INDEX(checklistPesertaKemenkeu!$J$6:$J$1005,SMALL(IF(checklistPesertaKemenkeu!$AY$6:$AY$1005="Direkomendasikan",ROW($6:$1005)-5),763))=""),"",IF(AND(COUNTIF(INDIRECT("K_"&amp;MATCH(INDEX(checklistPesertaKemenkeu!$J$6:$J$1005,SMALL(IF(checklistPesertaKemenkeu!$AY$6:$AY$1005="Direkomendasikan",ROW($6:$1005)-5),763)),BidangList,0)),INDEX(checklistPesertaKemenkeu!$M$6:$M$1005,SMALL(IF(checklistPesertaKemenkeu!$AY$6:$AY$1005="Direkomendasikan",ROW($6:$1005)-5),763)))&gt;0,COUNTIF(INDIRECT("'KERTAS KERJA'!K"&amp;(SMALL(IF(checklistPesertaKemenkeu!$AY$6:$AY$1005="Direkomendasikan",ROW($6:$1005)-5),763)+5)&amp;":O"&amp;(SMALL(IF(checklistPesertaKemenkeu!$AY$6:$AY$1005="Direkomendasikan",ROW($6:$1005)-5),763)+5)),INDEX(checklistPesertaKemenkeu!$M$6:$M$1005,SMALL(IF(checklistPesertaKemenkeu!$AY$6:$AY$1005="Direkomendasikan",ROW($6:$1005)-5),763)))=1),IFERROR(VLOOKUP(INDEX(checklistPesertaKemenkeu!$M$6:$M$1005,SMALL(IF(checklistPesertaKemenkeu!$AY$6:$AY$1005="Direkomendasikan",ROW($6:$1005)-5),763)),KotaKode,2,0),"-"),"")),"")</f>
        <v/>
      </c>
      <c r="J764" t="str">
        <f t="array" aca="1" ref="J764" ca="1">IFERROR(IF(OR(INDEX(checklistPesertaKemenkeu!$N$6:$N$1005,SMALL(IF(checklistPesertaKemenkeu!$AY$6:$AY$1005="Direkomendasikan",ROW($6:$1005)-5),763))="",INDEX(checklistPesertaKemenkeu!$J$6:$J$1005,SMALL(IF(checklistPesertaKemenkeu!$AY$6:$AY$1005="Direkomendasikan",ROW($6:$1005)-5),763))=""),"",IF(AND(COUNTIF(INDIRECT("K_"&amp;MATCH(INDEX(checklistPesertaKemenkeu!$J$6:$J$1005,SMALL(IF(checklistPesertaKemenkeu!$AY$6:$AY$1005="Direkomendasikan",ROW($6:$1005)-5),763)),BidangList,0)),INDEX(checklistPesertaKemenkeu!$N$6:$N$1005,SMALL(IF(checklistPesertaKemenkeu!$AY$6:$AY$1005="Direkomendasikan",ROW($6:$1005)-5),763)))&gt;0,COUNTIF(INDIRECT("'KERTAS KERJA'!K"&amp;(SMALL(IF(checklistPesertaKemenkeu!$AY$6:$AY$1005="Direkomendasikan",ROW($6:$1005)-5),763)+5)&amp;":O"&amp;(SMALL(IF(checklistPesertaKemenkeu!$AY$6:$AY$1005="Direkomendasikan",ROW($6:$1005)-5),763)+5)),INDEX(checklistPesertaKemenkeu!$N$6:$N$1005,SMALL(IF(checklistPesertaKemenkeu!$AY$6:$AY$1005="Direkomendasikan",ROW($6:$1005)-5),763)))=1),IFERROR(VLOOKUP(INDEX(checklistPesertaKemenkeu!$N$6:$N$1005,SMALL(IF(checklistPesertaKemenkeu!$AY$6:$AY$1005="Direkomendasikan",ROW($6:$1005)-5),763)),KotaKode,2,0),"-"),"")),"")</f>
        <v/>
      </c>
      <c r="K764" t="str">
        <f t="array" aca="1" ref="K764" ca="1">IFERROR(IF(OR(INDEX(checklistPesertaKemenkeu!$O$6:$O$1005,SMALL(IF(checklistPesertaKemenkeu!$AY$6:$AY$1005="Direkomendasikan",ROW($6:$1005)-5),763))="",INDEX(checklistPesertaKemenkeu!$J$6:$J$1005,SMALL(IF(checklistPesertaKemenkeu!$AY$6:$AY$1005="Direkomendasikan",ROW($6:$1005)-5),763))=""),"",IF(AND(COUNTIF(INDIRECT("K_"&amp;MATCH(INDEX(checklistPesertaKemenkeu!$J$6:$J$1005,SMALL(IF(checklistPesertaKemenkeu!$AY$6:$AY$1005="Direkomendasikan",ROW($6:$1005)-5),763)),BidangList,0)),INDEX(checklistPesertaKemenkeu!$O$6:$O$1005,SMALL(IF(checklistPesertaKemenkeu!$AY$6:$AY$1005="Direkomendasikan",ROW($6:$1005)-5),763)))&gt;0,COUNTIF(INDIRECT("'KERTAS KERJA'!K"&amp;(SMALL(IF(checklistPesertaKemenkeu!$AY$6:$AY$1005="Direkomendasikan",ROW($6:$1005)-5),763)+5)&amp;":O"&amp;(SMALL(IF(checklistPesertaKemenkeu!$AY$6:$AY$1005="Direkomendasikan",ROW($6:$1005)-5),763)+5)),INDEX(checklistPesertaKemenkeu!$O$6:$O$1005,SMALL(IF(checklistPesertaKemenkeu!$AY$6:$AY$1005="Direkomendasikan",ROW($6:$1005)-5),763)))=1),IFERROR(VLOOKUP(INDEX(checklistPesertaKemenkeu!$O$6:$O$1005,SMALL(IF(checklistPesertaKemenkeu!$AY$6:$AY$1005="Direkomendasikan",ROW($6:$1005)-5),763)),KotaKode,2,0),"-"),"")),"")</f>
        <v/>
      </c>
      <c r="L764" t="str">
        <f t="array" aca="1" ref="L764" ca="1">IFERROR(IF(OR(INDEX(checklistPesertaKemenkeu!$P$6:$P$1005,SMALL(IF(checklistPesertaKemenkeu!$AY$6:$AY$1005="Direkomendasikan",ROW($6:$1005)-5),763))="",INDEX(checklistPesertaKemenkeu!$J$6:$J$1005,SMALL(IF(checklistPesertaKemenkeu!$AY$6:$AY$1005="Direkomendasikan",ROW($6:$1005)-5),763))=""),"",IF(AND(COUNTIF(INDIRECT("K_"&amp;MATCH(INDEX(checklistPesertaKemenkeu!$J$6:$J$1005,SMALL(IF(checklistPesertaKemenkeu!$AY$6:$AY$1005="Direkomendasikan",ROW($6:$1005)-5),763)),BidangList,0)),INDEX(checklistPesertaKemenkeu!$P$6:$P$1005,SMALL(IF(checklistPesertaKemenkeu!$AY$6:$AY$1005="Direkomendasikan",ROW($6:$1005)-5),763)))&gt;0,COUNTIF(INDIRECT("'KERTAS KERJA'!K"&amp;(SMALL(IF(checklistPesertaKemenkeu!$AY$6:$AY$1005="Direkomendasikan",ROW($6:$1005)-5),763)+5)&amp;":O"&amp;(SMALL(IF(checklistPesertaKemenkeu!$AY$6:$AY$1005="Direkomendasikan",ROW($6:$1005)-5),763)+5)),INDEX(checklistPesertaKemenkeu!$P$6:$P$1005,SMALL(IF(checklistPesertaKemenkeu!$AY$6:$AY$1005="Direkomendasikan",ROW($6:$1005)-5),763)))=1),IFERROR(VLOOKUP(INDEX(checklistPesertaKemenkeu!$P$6:$P$1005,SMALL(IF(checklistPesertaKemenkeu!$AY$6:$AY$1005="Direkomendasikan",ROW($6:$1005)-5),763)),KotaKode,2,0),"-"),"")),"")</f>
        <v/>
      </c>
    </row>
    <row r="765" spans="1:12" ht="15" customHeight="1" x14ac:dyDescent="0.2">
      <c r="A765" t="str">
        <f t="shared" si="11"/>
        <v/>
      </c>
      <c r="B765" t="str">
        <v/>
      </c>
      <c r="C765" s="40" t="str">
        <f t="array" ref="C765">IFERROR(INDEX(checklistPesertaKemenkeu!$F$6:$F$1005,SMALL(IF(checklistPesertaKemenkeu!$AY$6:$AY$1005="Direkomendasikan",ROW($6:$1005)-5),764)),"")</f>
        <v/>
      </c>
      <c r="D765" t="str">
        <f t="array" ref="D765">IFERROR(INDEX(checklistPesertaKemenkeu!$G$6:$G$1005,SMALL(IF(checklistPesertaKemenkeu!$AY$6:$AY$1005="Direkomendasikan",ROW($6:$1005)-5),764)),"")</f>
        <v/>
      </c>
      <c r="E765" t="str">
        <f t="array" ref="E765">IFERROR(INDEX(checklistPesertaKemenkeu!$H$6:$H$1005,SMALL(IF(checklistPesertaKemenkeu!$AY$6:$AY$1005="Direkomendasikan",ROW($6:$1005)-5),764)),"")</f>
        <v/>
      </c>
      <c r="F765" t="str">
        <f t="array" ref="F765">IFERROR(INDEX(checklistPesertaKemenkeu!$I$6:$I$1005,SMALL(IF(checklistPesertaKemenkeu!$AY$6:$AY$1005="Direkomendasikan",ROW($6:$1005)-5),764)),"")</f>
        <v/>
      </c>
      <c r="G765" t="str">
        <f t="array" ref="G765">IFERROR(INDEX(checklistPesertaKemenkeu!$J$6:$J$1005,SMALL(IF(checklistPesertaKemenkeu!$AY$6:$AY$1005="Direkomendasikan",ROW($6:$1005)-5),764)),"")</f>
        <v/>
      </c>
      <c r="H765" t="str">
        <f t="array" aca="1" ref="H765" ca="1">IFERROR(IF(OR(INDEX(checklistPesertaKemenkeu!$L$6:$L$1005,SMALL(IF(checklistPesertaKemenkeu!$AY$6:$AY$1005="Direkomendasikan",ROW($6:$1005)-5),764))="",INDEX(checklistPesertaKemenkeu!$J$6:$J$1005,SMALL(IF(checklistPesertaKemenkeu!$AY$6:$AY$1005="Direkomendasikan",ROW($6:$1005)-5),764))=""),"",IF(AND(COUNTIF(INDIRECT("K_"&amp;MATCH(INDEX(checklistPesertaKemenkeu!$J$6:$J$1005,SMALL(IF(checklistPesertaKemenkeu!$AY$6:$AY$1005="Direkomendasikan",ROW($6:$1005)-5),764)),BidangList,0)),INDEX(checklistPesertaKemenkeu!$L$6:$L$1005,SMALL(IF(checklistPesertaKemenkeu!$AY$6:$AY$1005="Direkomendasikan",ROW($6:$1005)-5),764)))&gt;0,COUNTIF(INDIRECT("'KERTAS KERJA'!K"&amp;(SMALL(IF(checklistPesertaKemenkeu!$AY$6:$AY$1005="Direkomendasikan",ROW($6:$1005)-5),764)+5)&amp;":O"&amp;(SMALL(IF(checklistPesertaKemenkeu!$AY$6:$AY$1005="Direkomendasikan",ROW($6:$1005)-5),764)+5)),INDEX(checklistPesertaKemenkeu!$L$6:$L$1005,SMALL(IF(checklistPesertaKemenkeu!$AY$6:$AY$1005="Direkomendasikan",ROW($6:$1005)-5),764)))=1),IFERROR(VLOOKUP(INDEX(checklistPesertaKemenkeu!$L$6:$L$1005,SMALL(IF(checklistPesertaKemenkeu!$AY$6:$AY$1005="Direkomendasikan",ROW($6:$1005)-5),764)),KotaKode,2,0),"-"),"")),"")</f>
        <v/>
      </c>
      <c r="I765" t="str">
        <f t="array" aca="1" ref="I765" ca="1">IFERROR(IF(OR(INDEX(checklistPesertaKemenkeu!$M$6:$M$1005,SMALL(IF(checklistPesertaKemenkeu!$AY$6:$AY$1005="Direkomendasikan",ROW($6:$1005)-5),764))="",INDEX(checklistPesertaKemenkeu!$J$6:$J$1005,SMALL(IF(checklistPesertaKemenkeu!$AY$6:$AY$1005="Direkomendasikan",ROW($6:$1005)-5),764))=""),"",IF(AND(COUNTIF(INDIRECT("K_"&amp;MATCH(INDEX(checklistPesertaKemenkeu!$J$6:$J$1005,SMALL(IF(checklistPesertaKemenkeu!$AY$6:$AY$1005="Direkomendasikan",ROW($6:$1005)-5),764)),BidangList,0)),INDEX(checklistPesertaKemenkeu!$M$6:$M$1005,SMALL(IF(checklistPesertaKemenkeu!$AY$6:$AY$1005="Direkomendasikan",ROW($6:$1005)-5),764)))&gt;0,COUNTIF(INDIRECT("'KERTAS KERJA'!K"&amp;(SMALL(IF(checklistPesertaKemenkeu!$AY$6:$AY$1005="Direkomendasikan",ROW($6:$1005)-5),764)+5)&amp;":O"&amp;(SMALL(IF(checklistPesertaKemenkeu!$AY$6:$AY$1005="Direkomendasikan",ROW($6:$1005)-5),764)+5)),INDEX(checklistPesertaKemenkeu!$M$6:$M$1005,SMALL(IF(checklistPesertaKemenkeu!$AY$6:$AY$1005="Direkomendasikan",ROW($6:$1005)-5),764)))=1),IFERROR(VLOOKUP(INDEX(checklistPesertaKemenkeu!$M$6:$M$1005,SMALL(IF(checklistPesertaKemenkeu!$AY$6:$AY$1005="Direkomendasikan",ROW($6:$1005)-5),764)),KotaKode,2,0),"-"),"")),"")</f>
        <v/>
      </c>
      <c r="J765" t="str">
        <f t="array" aca="1" ref="J765" ca="1">IFERROR(IF(OR(INDEX(checklistPesertaKemenkeu!$N$6:$N$1005,SMALL(IF(checklistPesertaKemenkeu!$AY$6:$AY$1005="Direkomendasikan",ROW($6:$1005)-5),764))="",INDEX(checklistPesertaKemenkeu!$J$6:$J$1005,SMALL(IF(checklistPesertaKemenkeu!$AY$6:$AY$1005="Direkomendasikan",ROW($6:$1005)-5),764))=""),"",IF(AND(COUNTIF(INDIRECT("K_"&amp;MATCH(INDEX(checklistPesertaKemenkeu!$J$6:$J$1005,SMALL(IF(checklistPesertaKemenkeu!$AY$6:$AY$1005="Direkomendasikan",ROW($6:$1005)-5),764)),BidangList,0)),INDEX(checklistPesertaKemenkeu!$N$6:$N$1005,SMALL(IF(checklistPesertaKemenkeu!$AY$6:$AY$1005="Direkomendasikan",ROW($6:$1005)-5),764)))&gt;0,COUNTIF(INDIRECT("'KERTAS KERJA'!K"&amp;(SMALL(IF(checklistPesertaKemenkeu!$AY$6:$AY$1005="Direkomendasikan",ROW($6:$1005)-5),764)+5)&amp;":O"&amp;(SMALL(IF(checklistPesertaKemenkeu!$AY$6:$AY$1005="Direkomendasikan",ROW($6:$1005)-5),764)+5)),INDEX(checklistPesertaKemenkeu!$N$6:$N$1005,SMALL(IF(checklistPesertaKemenkeu!$AY$6:$AY$1005="Direkomendasikan",ROW($6:$1005)-5),764)))=1),IFERROR(VLOOKUP(INDEX(checklistPesertaKemenkeu!$N$6:$N$1005,SMALL(IF(checklistPesertaKemenkeu!$AY$6:$AY$1005="Direkomendasikan",ROW($6:$1005)-5),764)),KotaKode,2,0),"-"),"")),"")</f>
        <v/>
      </c>
      <c r="K765" t="str">
        <f t="array" aca="1" ref="K765" ca="1">IFERROR(IF(OR(INDEX(checklistPesertaKemenkeu!$O$6:$O$1005,SMALL(IF(checklistPesertaKemenkeu!$AY$6:$AY$1005="Direkomendasikan",ROW($6:$1005)-5),764))="",INDEX(checklistPesertaKemenkeu!$J$6:$J$1005,SMALL(IF(checklistPesertaKemenkeu!$AY$6:$AY$1005="Direkomendasikan",ROW($6:$1005)-5),764))=""),"",IF(AND(COUNTIF(INDIRECT("K_"&amp;MATCH(INDEX(checklistPesertaKemenkeu!$J$6:$J$1005,SMALL(IF(checklistPesertaKemenkeu!$AY$6:$AY$1005="Direkomendasikan",ROW($6:$1005)-5),764)),BidangList,0)),INDEX(checklistPesertaKemenkeu!$O$6:$O$1005,SMALL(IF(checklistPesertaKemenkeu!$AY$6:$AY$1005="Direkomendasikan",ROW($6:$1005)-5),764)))&gt;0,COUNTIF(INDIRECT("'KERTAS KERJA'!K"&amp;(SMALL(IF(checklistPesertaKemenkeu!$AY$6:$AY$1005="Direkomendasikan",ROW($6:$1005)-5),764)+5)&amp;":O"&amp;(SMALL(IF(checklistPesertaKemenkeu!$AY$6:$AY$1005="Direkomendasikan",ROW($6:$1005)-5),764)+5)),INDEX(checklistPesertaKemenkeu!$O$6:$O$1005,SMALL(IF(checklistPesertaKemenkeu!$AY$6:$AY$1005="Direkomendasikan",ROW($6:$1005)-5),764)))=1),IFERROR(VLOOKUP(INDEX(checklistPesertaKemenkeu!$O$6:$O$1005,SMALL(IF(checklistPesertaKemenkeu!$AY$6:$AY$1005="Direkomendasikan",ROW($6:$1005)-5),764)),KotaKode,2,0),"-"),"")),"")</f>
        <v/>
      </c>
      <c r="L765" t="str">
        <f t="array" aca="1" ref="L765" ca="1">IFERROR(IF(OR(INDEX(checklistPesertaKemenkeu!$P$6:$P$1005,SMALL(IF(checklistPesertaKemenkeu!$AY$6:$AY$1005="Direkomendasikan",ROW($6:$1005)-5),764))="",INDEX(checklistPesertaKemenkeu!$J$6:$J$1005,SMALL(IF(checklistPesertaKemenkeu!$AY$6:$AY$1005="Direkomendasikan",ROW($6:$1005)-5),764))=""),"",IF(AND(COUNTIF(INDIRECT("K_"&amp;MATCH(INDEX(checklistPesertaKemenkeu!$J$6:$J$1005,SMALL(IF(checklistPesertaKemenkeu!$AY$6:$AY$1005="Direkomendasikan",ROW($6:$1005)-5),764)),BidangList,0)),INDEX(checklistPesertaKemenkeu!$P$6:$P$1005,SMALL(IF(checklistPesertaKemenkeu!$AY$6:$AY$1005="Direkomendasikan",ROW($6:$1005)-5),764)))&gt;0,COUNTIF(INDIRECT("'KERTAS KERJA'!K"&amp;(SMALL(IF(checklistPesertaKemenkeu!$AY$6:$AY$1005="Direkomendasikan",ROW($6:$1005)-5),764)+5)&amp;":O"&amp;(SMALL(IF(checklistPesertaKemenkeu!$AY$6:$AY$1005="Direkomendasikan",ROW($6:$1005)-5),764)+5)),INDEX(checklistPesertaKemenkeu!$P$6:$P$1005,SMALL(IF(checklistPesertaKemenkeu!$AY$6:$AY$1005="Direkomendasikan",ROW($6:$1005)-5),764)))=1),IFERROR(VLOOKUP(INDEX(checklistPesertaKemenkeu!$P$6:$P$1005,SMALL(IF(checklistPesertaKemenkeu!$AY$6:$AY$1005="Direkomendasikan",ROW($6:$1005)-5),764)),KotaKode,2,0),"-"),"")),"")</f>
        <v/>
      </c>
    </row>
    <row r="766" spans="1:12" ht="15" customHeight="1" x14ac:dyDescent="0.2">
      <c r="A766" t="str">
        <f t="shared" si="11"/>
        <v/>
      </c>
      <c r="B766" t="str">
        <v/>
      </c>
      <c r="C766" s="40" t="str">
        <f t="array" ref="C766">IFERROR(INDEX(checklistPesertaKemenkeu!$F$6:$F$1005,SMALL(IF(checklistPesertaKemenkeu!$AY$6:$AY$1005="Direkomendasikan",ROW($6:$1005)-5),765)),"")</f>
        <v/>
      </c>
      <c r="D766" t="str">
        <f t="array" ref="D766">IFERROR(INDEX(checklistPesertaKemenkeu!$G$6:$G$1005,SMALL(IF(checklistPesertaKemenkeu!$AY$6:$AY$1005="Direkomendasikan",ROW($6:$1005)-5),765)),"")</f>
        <v/>
      </c>
      <c r="E766" t="str">
        <f t="array" ref="E766">IFERROR(INDEX(checklistPesertaKemenkeu!$H$6:$H$1005,SMALL(IF(checklistPesertaKemenkeu!$AY$6:$AY$1005="Direkomendasikan",ROW($6:$1005)-5),765)),"")</f>
        <v/>
      </c>
      <c r="F766" t="str">
        <f t="array" ref="F766">IFERROR(INDEX(checklistPesertaKemenkeu!$I$6:$I$1005,SMALL(IF(checklistPesertaKemenkeu!$AY$6:$AY$1005="Direkomendasikan",ROW($6:$1005)-5),765)),"")</f>
        <v/>
      </c>
      <c r="G766" t="str">
        <f t="array" ref="G766">IFERROR(INDEX(checklistPesertaKemenkeu!$J$6:$J$1005,SMALL(IF(checklistPesertaKemenkeu!$AY$6:$AY$1005="Direkomendasikan",ROW($6:$1005)-5),765)),"")</f>
        <v/>
      </c>
      <c r="H766" t="str">
        <f t="array" aca="1" ref="H766" ca="1">IFERROR(IF(OR(INDEX(checklistPesertaKemenkeu!$L$6:$L$1005,SMALL(IF(checklistPesertaKemenkeu!$AY$6:$AY$1005="Direkomendasikan",ROW($6:$1005)-5),765))="",INDEX(checklistPesertaKemenkeu!$J$6:$J$1005,SMALL(IF(checklistPesertaKemenkeu!$AY$6:$AY$1005="Direkomendasikan",ROW($6:$1005)-5),765))=""),"",IF(AND(COUNTIF(INDIRECT("K_"&amp;MATCH(INDEX(checklistPesertaKemenkeu!$J$6:$J$1005,SMALL(IF(checklistPesertaKemenkeu!$AY$6:$AY$1005="Direkomendasikan",ROW($6:$1005)-5),765)),BidangList,0)),INDEX(checklistPesertaKemenkeu!$L$6:$L$1005,SMALL(IF(checklistPesertaKemenkeu!$AY$6:$AY$1005="Direkomendasikan",ROW($6:$1005)-5),765)))&gt;0,COUNTIF(INDIRECT("'KERTAS KERJA'!K"&amp;(SMALL(IF(checklistPesertaKemenkeu!$AY$6:$AY$1005="Direkomendasikan",ROW($6:$1005)-5),765)+5)&amp;":O"&amp;(SMALL(IF(checklistPesertaKemenkeu!$AY$6:$AY$1005="Direkomendasikan",ROW($6:$1005)-5),765)+5)),INDEX(checklistPesertaKemenkeu!$L$6:$L$1005,SMALL(IF(checklistPesertaKemenkeu!$AY$6:$AY$1005="Direkomendasikan",ROW($6:$1005)-5),765)))=1),IFERROR(VLOOKUP(INDEX(checklistPesertaKemenkeu!$L$6:$L$1005,SMALL(IF(checklistPesertaKemenkeu!$AY$6:$AY$1005="Direkomendasikan",ROW($6:$1005)-5),765)),KotaKode,2,0),"-"),"")),"")</f>
        <v/>
      </c>
      <c r="I766" t="str">
        <f t="array" aca="1" ref="I766" ca="1">IFERROR(IF(OR(INDEX(checklistPesertaKemenkeu!$M$6:$M$1005,SMALL(IF(checklistPesertaKemenkeu!$AY$6:$AY$1005="Direkomendasikan",ROW($6:$1005)-5),765))="",INDEX(checklistPesertaKemenkeu!$J$6:$J$1005,SMALL(IF(checklistPesertaKemenkeu!$AY$6:$AY$1005="Direkomendasikan",ROW($6:$1005)-5),765))=""),"",IF(AND(COUNTIF(INDIRECT("K_"&amp;MATCH(INDEX(checklistPesertaKemenkeu!$J$6:$J$1005,SMALL(IF(checklistPesertaKemenkeu!$AY$6:$AY$1005="Direkomendasikan",ROW($6:$1005)-5),765)),BidangList,0)),INDEX(checklistPesertaKemenkeu!$M$6:$M$1005,SMALL(IF(checklistPesertaKemenkeu!$AY$6:$AY$1005="Direkomendasikan",ROW($6:$1005)-5),765)))&gt;0,COUNTIF(INDIRECT("'KERTAS KERJA'!K"&amp;(SMALL(IF(checklistPesertaKemenkeu!$AY$6:$AY$1005="Direkomendasikan",ROW($6:$1005)-5),765)+5)&amp;":O"&amp;(SMALL(IF(checklistPesertaKemenkeu!$AY$6:$AY$1005="Direkomendasikan",ROW($6:$1005)-5),765)+5)),INDEX(checklistPesertaKemenkeu!$M$6:$M$1005,SMALL(IF(checklistPesertaKemenkeu!$AY$6:$AY$1005="Direkomendasikan",ROW($6:$1005)-5),765)))=1),IFERROR(VLOOKUP(INDEX(checklistPesertaKemenkeu!$M$6:$M$1005,SMALL(IF(checklistPesertaKemenkeu!$AY$6:$AY$1005="Direkomendasikan",ROW($6:$1005)-5),765)),KotaKode,2,0),"-"),"")),"")</f>
        <v/>
      </c>
      <c r="J766" t="str">
        <f t="array" aca="1" ref="J766" ca="1">IFERROR(IF(OR(INDEX(checklistPesertaKemenkeu!$N$6:$N$1005,SMALL(IF(checklistPesertaKemenkeu!$AY$6:$AY$1005="Direkomendasikan",ROW($6:$1005)-5),765))="",INDEX(checklistPesertaKemenkeu!$J$6:$J$1005,SMALL(IF(checklistPesertaKemenkeu!$AY$6:$AY$1005="Direkomendasikan",ROW($6:$1005)-5),765))=""),"",IF(AND(COUNTIF(INDIRECT("K_"&amp;MATCH(INDEX(checklistPesertaKemenkeu!$J$6:$J$1005,SMALL(IF(checklistPesertaKemenkeu!$AY$6:$AY$1005="Direkomendasikan",ROW($6:$1005)-5),765)),BidangList,0)),INDEX(checklistPesertaKemenkeu!$N$6:$N$1005,SMALL(IF(checklistPesertaKemenkeu!$AY$6:$AY$1005="Direkomendasikan",ROW($6:$1005)-5),765)))&gt;0,COUNTIF(INDIRECT("'KERTAS KERJA'!K"&amp;(SMALL(IF(checklistPesertaKemenkeu!$AY$6:$AY$1005="Direkomendasikan",ROW($6:$1005)-5),765)+5)&amp;":O"&amp;(SMALL(IF(checklistPesertaKemenkeu!$AY$6:$AY$1005="Direkomendasikan",ROW($6:$1005)-5),765)+5)),INDEX(checklistPesertaKemenkeu!$N$6:$N$1005,SMALL(IF(checklistPesertaKemenkeu!$AY$6:$AY$1005="Direkomendasikan",ROW($6:$1005)-5),765)))=1),IFERROR(VLOOKUP(INDEX(checklistPesertaKemenkeu!$N$6:$N$1005,SMALL(IF(checklistPesertaKemenkeu!$AY$6:$AY$1005="Direkomendasikan",ROW($6:$1005)-5),765)),KotaKode,2,0),"-"),"")),"")</f>
        <v/>
      </c>
      <c r="K766" t="str">
        <f t="array" aca="1" ref="K766" ca="1">IFERROR(IF(OR(INDEX(checklistPesertaKemenkeu!$O$6:$O$1005,SMALL(IF(checklistPesertaKemenkeu!$AY$6:$AY$1005="Direkomendasikan",ROW($6:$1005)-5),765))="",INDEX(checklistPesertaKemenkeu!$J$6:$J$1005,SMALL(IF(checklistPesertaKemenkeu!$AY$6:$AY$1005="Direkomendasikan",ROW($6:$1005)-5),765))=""),"",IF(AND(COUNTIF(INDIRECT("K_"&amp;MATCH(INDEX(checklistPesertaKemenkeu!$J$6:$J$1005,SMALL(IF(checklistPesertaKemenkeu!$AY$6:$AY$1005="Direkomendasikan",ROW($6:$1005)-5),765)),BidangList,0)),INDEX(checklistPesertaKemenkeu!$O$6:$O$1005,SMALL(IF(checklistPesertaKemenkeu!$AY$6:$AY$1005="Direkomendasikan",ROW($6:$1005)-5),765)))&gt;0,COUNTIF(INDIRECT("'KERTAS KERJA'!K"&amp;(SMALL(IF(checklistPesertaKemenkeu!$AY$6:$AY$1005="Direkomendasikan",ROW($6:$1005)-5),765)+5)&amp;":O"&amp;(SMALL(IF(checklistPesertaKemenkeu!$AY$6:$AY$1005="Direkomendasikan",ROW($6:$1005)-5),765)+5)),INDEX(checklistPesertaKemenkeu!$O$6:$O$1005,SMALL(IF(checklistPesertaKemenkeu!$AY$6:$AY$1005="Direkomendasikan",ROW($6:$1005)-5),765)))=1),IFERROR(VLOOKUP(INDEX(checklistPesertaKemenkeu!$O$6:$O$1005,SMALL(IF(checklistPesertaKemenkeu!$AY$6:$AY$1005="Direkomendasikan",ROW($6:$1005)-5),765)),KotaKode,2,0),"-"),"")),"")</f>
        <v/>
      </c>
      <c r="L766" t="str">
        <f t="array" aca="1" ref="L766" ca="1">IFERROR(IF(OR(INDEX(checklistPesertaKemenkeu!$P$6:$P$1005,SMALL(IF(checklistPesertaKemenkeu!$AY$6:$AY$1005="Direkomendasikan",ROW($6:$1005)-5),765))="",INDEX(checklistPesertaKemenkeu!$J$6:$J$1005,SMALL(IF(checklistPesertaKemenkeu!$AY$6:$AY$1005="Direkomendasikan",ROW($6:$1005)-5),765))=""),"",IF(AND(COUNTIF(INDIRECT("K_"&amp;MATCH(INDEX(checklistPesertaKemenkeu!$J$6:$J$1005,SMALL(IF(checklistPesertaKemenkeu!$AY$6:$AY$1005="Direkomendasikan",ROW($6:$1005)-5),765)),BidangList,0)),INDEX(checklistPesertaKemenkeu!$P$6:$P$1005,SMALL(IF(checklistPesertaKemenkeu!$AY$6:$AY$1005="Direkomendasikan",ROW($6:$1005)-5),765)))&gt;0,COUNTIF(INDIRECT("'KERTAS KERJA'!K"&amp;(SMALL(IF(checklistPesertaKemenkeu!$AY$6:$AY$1005="Direkomendasikan",ROW($6:$1005)-5),765)+5)&amp;":O"&amp;(SMALL(IF(checklistPesertaKemenkeu!$AY$6:$AY$1005="Direkomendasikan",ROW($6:$1005)-5),765)+5)),INDEX(checklistPesertaKemenkeu!$P$6:$P$1005,SMALL(IF(checklistPesertaKemenkeu!$AY$6:$AY$1005="Direkomendasikan",ROW($6:$1005)-5),765)))=1),IFERROR(VLOOKUP(INDEX(checklistPesertaKemenkeu!$P$6:$P$1005,SMALL(IF(checklistPesertaKemenkeu!$AY$6:$AY$1005="Direkomendasikan",ROW($6:$1005)-5),765)),KotaKode,2,0),"-"),"")),"")</f>
        <v/>
      </c>
    </row>
    <row r="767" spans="1:12" ht="15" customHeight="1" x14ac:dyDescent="0.2">
      <c r="A767" t="str">
        <f t="shared" si="11"/>
        <v/>
      </c>
      <c r="B767" t="str">
        <v/>
      </c>
      <c r="C767" s="40" t="str">
        <f t="array" ref="C767">IFERROR(INDEX(checklistPesertaKemenkeu!$F$6:$F$1005,SMALL(IF(checklistPesertaKemenkeu!$AY$6:$AY$1005="Direkomendasikan",ROW($6:$1005)-5),766)),"")</f>
        <v/>
      </c>
      <c r="D767" t="str">
        <f t="array" ref="D767">IFERROR(INDEX(checklistPesertaKemenkeu!$G$6:$G$1005,SMALL(IF(checklistPesertaKemenkeu!$AY$6:$AY$1005="Direkomendasikan",ROW($6:$1005)-5),766)),"")</f>
        <v/>
      </c>
      <c r="E767" t="str">
        <f t="array" ref="E767">IFERROR(INDEX(checklistPesertaKemenkeu!$H$6:$H$1005,SMALL(IF(checklistPesertaKemenkeu!$AY$6:$AY$1005="Direkomendasikan",ROW($6:$1005)-5),766)),"")</f>
        <v/>
      </c>
      <c r="F767" t="str">
        <f t="array" ref="F767">IFERROR(INDEX(checklistPesertaKemenkeu!$I$6:$I$1005,SMALL(IF(checklistPesertaKemenkeu!$AY$6:$AY$1005="Direkomendasikan",ROW($6:$1005)-5),766)),"")</f>
        <v/>
      </c>
      <c r="G767" t="str">
        <f t="array" ref="G767">IFERROR(INDEX(checklistPesertaKemenkeu!$J$6:$J$1005,SMALL(IF(checklistPesertaKemenkeu!$AY$6:$AY$1005="Direkomendasikan",ROW($6:$1005)-5),766)),"")</f>
        <v/>
      </c>
      <c r="H767" t="str">
        <f t="array" aca="1" ref="H767" ca="1">IFERROR(IF(OR(INDEX(checklistPesertaKemenkeu!$L$6:$L$1005,SMALL(IF(checklistPesertaKemenkeu!$AY$6:$AY$1005="Direkomendasikan",ROW($6:$1005)-5),766))="",INDEX(checklistPesertaKemenkeu!$J$6:$J$1005,SMALL(IF(checklistPesertaKemenkeu!$AY$6:$AY$1005="Direkomendasikan",ROW($6:$1005)-5),766))=""),"",IF(AND(COUNTIF(INDIRECT("K_"&amp;MATCH(INDEX(checklistPesertaKemenkeu!$J$6:$J$1005,SMALL(IF(checklistPesertaKemenkeu!$AY$6:$AY$1005="Direkomendasikan",ROW($6:$1005)-5),766)),BidangList,0)),INDEX(checklistPesertaKemenkeu!$L$6:$L$1005,SMALL(IF(checklistPesertaKemenkeu!$AY$6:$AY$1005="Direkomendasikan",ROW($6:$1005)-5),766)))&gt;0,COUNTIF(INDIRECT("'KERTAS KERJA'!K"&amp;(SMALL(IF(checklistPesertaKemenkeu!$AY$6:$AY$1005="Direkomendasikan",ROW($6:$1005)-5),766)+5)&amp;":O"&amp;(SMALL(IF(checklistPesertaKemenkeu!$AY$6:$AY$1005="Direkomendasikan",ROW($6:$1005)-5),766)+5)),INDEX(checklistPesertaKemenkeu!$L$6:$L$1005,SMALL(IF(checklistPesertaKemenkeu!$AY$6:$AY$1005="Direkomendasikan",ROW($6:$1005)-5),766)))=1),IFERROR(VLOOKUP(INDEX(checklistPesertaKemenkeu!$L$6:$L$1005,SMALL(IF(checklistPesertaKemenkeu!$AY$6:$AY$1005="Direkomendasikan",ROW($6:$1005)-5),766)),KotaKode,2,0),"-"),"")),"")</f>
        <v/>
      </c>
      <c r="I767" t="str">
        <f t="array" aca="1" ref="I767" ca="1">IFERROR(IF(OR(INDEX(checklistPesertaKemenkeu!$M$6:$M$1005,SMALL(IF(checklistPesertaKemenkeu!$AY$6:$AY$1005="Direkomendasikan",ROW($6:$1005)-5),766))="",INDEX(checklistPesertaKemenkeu!$J$6:$J$1005,SMALL(IF(checklistPesertaKemenkeu!$AY$6:$AY$1005="Direkomendasikan",ROW($6:$1005)-5),766))=""),"",IF(AND(COUNTIF(INDIRECT("K_"&amp;MATCH(INDEX(checklistPesertaKemenkeu!$J$6:$J$1005,SMALL(IF(checklistPesertaKemenkeu!$AY$6:$AY$1005="Direkomendasikan",ROW($6:$1005)-5),766)),BidangList,0)),INDEX(checklistPesertaKemenkeu!$M$6:$M$1005,SMALL(IF(checklistPesertaKemenkeu!$AY$6:$AY$1005="Direkomendasikan",ROW($6:$1005)-5),766)))&gt;0,COUNTIF(INDIRECT("'KERTAS KERJA'!K"&amp;(SMALL(IF(checklistPesertaKemenkeu!$AY$6:$AY$1005="Direkomendasikan",ROW($6:$1005)-5),766)+5)&amp;":O"&amp;(SMALL(IF(checklistPesertaKemenkeu!$AY$6:$AY$1005="Direkomendasikan",ROW($6:$1005)-5),766)+5)),INDEX(checklistPesertaKemenkeu!$M$6:$M$1005,SMALL(IF(checklistPesertaKemenkeu!$AY$6:$AY$1005="Direkomendasikan",ROW($6:$1005)-5),766)))=1),IFERROR(VLOOKUP(INDEX(checklistPesertaKemenkeu!$M$6:$M$1005,SMALL(IF(checklistPesertaKemenkeu!$AY$6:$AY$1005="Direkomendasikan",ROW($6:$1005)-5),766)),KotaKode,2,0),"-"),"")),"")</f>
        <v/>
      </c>
      <c r="J767" t="str">
        <f t="array" aca="1" ref="J767" ca="1">IFERROR(IF(OR(INDEX(checklistPesertaKemenkeu!$N$6:$N$1005,SMALL(IF(checklistPesertaKemenkeu!$AY$6:$AY$1005="Direkomendasikan",ROW($6:$1005)-5),766))="",INDEX(checklistPesertaKemenkeu!$J$6:$J$1005,SMALL(IF(checklistPesertaKemenkeu!$AY$6:$AY$1005="Direkomendasikan",ROW($6:$1005)-5),766))=""),"",IF(AND(COUNTIF(INDIRECT("K_"&amp;MATCH(INDEX(checklistPesertaKemenkeu!$J$6:$J$1005,SMALL(IF(checklistPesertaKemenkeu!$AY$6:$AY$1005="Direkomendasikan",ROW($6:$1005)-5),766)),BidangList,0)),INDEX(checklistPesertaKemenkeu!$N$6:$N$1005,SMALL(IF(checklistPesertaKemenkeu!$AY$6:$AY$1005="Direkomendasikan",ROW($6:$1005)-5),766)))&gt;0,COUNTIF(INDIRECT("'KERTAS KERJA'!K"&amp;(SMALL(IF(checklistPesertaKemenkeu!$AY$6:$AY$1005="Direkomendasikan",ROW($6:$1005)-5),766)+5)&amp;":O"&amp;(SMALL(IF(checklistPesertaKemenkeu!$AY$6:$AY$1005="Direkomendasikan",ROW($6:$1005)-5),766)+5)),INDEX(checklistPesertaKemenkeu!$N$6:$N$1005,SMALL(IF(checklistPesertaKemenkeu!$AY$6:$AY$1005="Direkomendasikan",ROW($6:$1005)-5),766)))=1),IFERROR(VLOOKUP(INDEX(checklistPesertaKemenkeu!$N$6:$N$1005,SMALL(IF(checklistPesertaKemenkeu!$AY$6:$AY$1005="Direkomendasikan",ROW($6:$1005)-5),766)),KotaKode,2,0),"-"),"")),"")</f>
        <v/>
      </c>
      <c r="K767" t="str">
        <f t="array" aca="1" ref="K767" ca="1">IFERROR(IF(OR(INDEX(checklistPesertaKemenkeu!$O$6:$O$1005,SMALL(IF(checklistPesertaKemenkeu!$AY$6:$AY$1005="Direkomendasikan",ROW($6:$1005)-5),766))="",INDEX(checklistPesertaKemenkeu!$J$6:$J$1005,SMALL(IF(checklistPesertaKemenkeu!$AY$6:$AY$1005="Direkomendasikan",ROW($6:$1005)-5),766))=""),"",IF(AND(COUNTIF(INDIRECT("K_"&amp;MATCH(INDEX(checklistPesertaKemenkeu!$J$6:$J$1005,SMALL(IF(checklistPesertaKemenkeu!$AY$6:$AY$1005="Direkomendasikan",ROW($6:$1005)-5),766)),BidangList,0)),INDEX(checklistPesertaKemenkeu!$O$6:$O$1005,SMALL(IF(checklistPesertaKemenkeu!$AY$6:$AY$1005="Direkomendasikan",ROW($6:$1005)-5),766)))&gt;0,COUNTIF(INDIRECT("'KERTAS KERJA'!K"&amp;(SMALL(IF(checklistPesertaKemenkeu!$AY$6:$AY$1005="Direkomendasikan",ROW($6:$1005)-5),766)+5)&amp;":O"&amp;(SMALL(IF(checklistPesertaKemenkeu!$AY$6:$AY$1005="Direkomendasikan",ROW($6:$1005)-5),766)+5)),INDEX(checklistPesertaKemenkeu!$O$6:$O$1005,SMALL(IF(checklistPesertaKemenkeu!$AY$6:$AY$1005="Direkomendasikan",ROW($6:$1005)-5),766)))=1),IFERROR(VLOOKUP(INDEX(checklistPesertaKemenkeu!$O$6:$O$1005,SMALL(IF(checklistPesertaKemenkeu!$AY$6:$AY$1005="Direkomendasikan",ROW($6:$1005)-5),766)),KotaKode,2,0),"-"),"")),"")</f>
        <v/>
      </c>
      <c r="L767" t="str">
        <f t="array" aca="1" ref="L767" ca="1">IFERROR(IF(OR(INDEX(checklistPesertaKemenkeu!$P$6:$P$1005,SMALL(IF(checklistPesertaKemenkeu!$AY$6:$AY$1005="Direkomendasikan",ROW($6:$1005)-5),766))="",INDEX(checklistPesertaKemenkeu!$J$6:$J$1005,SMALL(IF(checklistPesertaKemenkeu!$AY$6:$AY$1005="Direkomendasikan",ROW($6:$1005)-5),766))=""),"",IF(AND(COUNTIF(INDIRECT("K_"&amp;MATCH(INDEX(checklistPesertaKemenkeu!$J$6:$J$1005,SMALL(IF(checklistPesertaKemenkeu!$AY$6:$AY$1005="Direkomendasikan",ROW($6:$1005)-5),766)),BidangList,0)),INDEX(checklistPesertaKemenkeu!$P$6:$P$1005,SMALL(IF(checklistPesertaKemenkeu!$AY$6:$AY$1005="Direkomendasikan",ROW($6:$1005)-5),766)))&gt;0,COUNTIF(INDIRECT("'KERTAS KERJA'!K"&amp;(SMALL(IF(checklistPesertaKemenkeu!$AY$6:$AY$1005="Direkomendasikan",ROW($6:$1005)-5),766)+5)&amp;":O"&amp;(SMALL(IF(checklistPesertaKemenkeu!$AY$6:$AY$1005="Direkomendasikan",ROW($6:$1005)-5),766)+5)),INDEX(checklistPesertaKemenkeu!$P$6:$P$1005,SMALL(IF(checklistPesertaKemenkeu!$AY$6:$AY$1005="Direkomendasikan",ROW($6:$1005)-5),766)))=1),IFERROR(VLOOKUP(INDEX(checklistPesertaKemenkeu!$P$6:$P$1005,SMALL(IF(checklistPesertaKemenkeu!$AY$6:$AY$1005="Direkomendasikan",ROW($6:$1005)-5),766)),KotaKode,2,0),"-"),"")),"")</f>
        <v/>
      </c>
    </row>
    <row r="768" spans="1:12" ht="15" customHeight="1" x14ac:dyDescent="0.2">
      <c r="A768" t="str">
        <f t="shared" si="11"/>
        <v/>
      </c>
      <c r="B768" t="str">
        <v/>
      </c>
      <c r="C768" s="40" t="str">
        <f t="array" ref="C768">IFERROR(INDEX(checklistPesertaKemenkeu!$F$6:$F$1005,SMALL(IF(checklistPesertaKemenkeu!$AY$6:$AY$1005="Direkomendasikan",ROW($6:$1005)-5),767)),"")</f>
        <v/>
      </c>
      <c r="D768" t="str">
        <f t="array" ref="D768">IFERROR(INDEX(checklistPesertaKemenkeu!$G$6:$G$1005,SMALL(IF(checklistPesertaKemenkeu!$AY$6:$AY$1005="Direkomendasikan",ROW($6:$1005)-5),767)),"")</f>
        <v/>
      </c>
      <c r="E768" t="str">
        <f t="array" ref="E768">IFERROR(INDEX(checklistPesertaKemenkeu!$H$6:$H$1005,SMALL(IF(checklistPesertaKemenkeu!$AY$6:$AY$1005="Direkomendasikan",ROW($6:$1005)-5),767)),"")</f>
        <v/>
      </c>
      <c r="F768" t="str">
        <f t="array" ref="F768">IFERROR(INDEX(checklistPesertaKemenkeu!$I$6:$I$1005,SMALL(IF(checklistPesertaKemenkeu!$AY$6:$AY$1005="Direkomendasikan",ROW($6:$1005)-5),767)),"")</f>
        <v/>
      </c>
      <c r="G768" t="str">
        <f t="array" ref="G768">IFERROR(INDEX(checklistPesertaKemenkeu!$J$6:$J$1005,SMALL(IF(checklistPesertaKemenkeu!$AY$6:$AY$1005="Direkomendasikan",ROW($6:$1005)-5),767)),"")</f>
        <v/>
      </c>
      <c r="H768" t="str">
        <f t="array" aca="1" ref="H768" ca="1">IFERROR(IF(OR(INDEX(checklistPesertaKemenkeu!$L$6:$L$1005,SMALL(IF(checklistPesertaKemenkeu!$AY$6:$AY$1005="Direkomendasikan",ROW($6:$1005)-5),767))="",INDEX(checklistPesertaKemenkeu!$J$6:$J$1005,SMALL(IF(checklistPesertaKemenkeu!$AY$6:$AY$1005="Direkomendasikan",ROW($6:$1005)-5),767))=""),"",IF(AND(COUNTIF(INDIRECT("K_"&amp;MATCH(INDEX(checklistPesertaKemenkeu!$J$6:$J$1005,SMALL(IF(checklistPesertaKemenkeu!$AY$6:$AY$1005="Direkomendasikan",ROW($6:$1005)-5),767)),BidangList,0)),INDEX(checklistPesertaKemenkeu!$L$6:$L$1005,SMALL(IF(checklistPesertaKemenkeu!$AY$6:$AY$1005="Direkomendasikan",ROW($6:$1005)-5),767)))&gt;0,COUNTIF(INDIRECT("'KERTAS KERJA'!K"&amp;(SMALL(IF(checklistPesertaKemenkeu!$AY$6:$AY$1005="Direkomendasikan",ROW($6:$1005)-5),767)+5)&amp;":O"&amp;(SMALL(IF(checklistPesertaKemenkeu!$AY$6:$AY$1005="Direkomendasikan",ROW($6:$1005)-5),767)+5)),INDEX(checklistPesertaKemenkeu!$L$6:$L$1005,SMALL(IF(checklistPesertaKemenkeu!$AY$6:$AY$1005="Direkomendasikan",ROW($6:$1005)-5),767)))=1),IFERROR(VLOOKUP(INDEX(checklistPesertaKemenkeu!$L$6:$L$1005,SMALL(IF(checklistPesertaKemenkeu!$AY$6:$AY$1005="Direkomendasikan",ROW($6:$1005)-5),767)),KotaKode,2,0),"-"),"")),"")</f>
        <v/>
      </c>
      <c r="I768" t="str">
        <f t="array" aca="1" ref="I768" ca="1">IFERROR(IF(OR(INDEX(checklistPesertaKemenkeu!$M$6:$M$1005,SMALL(IF(checklistPesertaKemenkeu!$AY$6:$AY$1005="Direkomendasikan",ROW($6:$1005)-5),767))="",INDEX(checklistPesertaKemenkeu!$J$6:$J$1005,SMALL(IF(checklistPesertaKemenkeu!$AY$6:$AY$1005="Direkomendasikan",ROW($6:$1005)-5),767))=""),"",IF(AND(COUNTIF(INDIRECT("K_"&amp;MATCH(INDEX(checklistPesertaKemenkeu!$J$6:$J$1005,SMALL(IF(checklistPesertaKemenkeu!$AY$6:$AY$1005="Direkomendasikan",ROW($6:$1005)-5),767)),BidangList,0)),INDEX(checklistPesertaKemenkeu!$M$6:$M$1005,SMALL(IF(checklistPesertaKemenkeu!$AY$6:$AY$1005="Direkomendasikan",ROW($6:$1005)-5),767)))&gt;0,COUNTIF(INDIRECT("'KERTAS KERJA'!K"&amp;(SMALL(IF(checklistPesertaKemenkeu!$AY$6:$AY$1005="Direkomendasikan",ROW($6:$1005)-5),767)+5)&amp;":O"&amp;(SMALL(IF(checklistPesertaKemenkeu!$AY$6:$AY$1005="Direkomendasikan",ROW($6:$1005)-5),767)+5)),INDEX(checklistPesertaKemenkeu!$M$6:$M$1005,SMALL(IF(checklistPesertaKemenkeu!$AY$6:$AY$1005="Direkomendasikan",ROW($6:$1005)-5),767)))=1),IFERROR(VLOOKUP(INDEX(checklistPesertaKemenkeu!$M$6:$M$1005,SMALL(IF(checklistPesertaKemenkeu!$AY$6:$AY$1005="Direkomendasikan",ROW($6:$1005)-5),767)),KotaKode,2,0),"-"),"")),"")</f>
        <v/>
      </c>
      <c r="J768" t="str">
        <f t="array" aca="1" ref="J768" ca="1">IFERROR(IF(OR(INDEX(checklistPesertaKemenkeu!$N$6:$N$1005,SMALL(IF(checklistPesertaKemenkeu!$AY$6:$AY$1005="Direkomendasikan",ROW($6:$1005)-5),767))="",INDEX(checklistPesertaKemenkeu!$J$6:$J$1005,SMALL(IF(checklistPesertaKemenkeu!$AY$6:$AY$1005="Direkomendasikan",ROW($6:$1005)-5),767))=""),"",IF(AND(COUNTIF(INDIRECT("K_"&amp;MATCH(INDEX(checklistPesertaKemenkeu!$J$6:$J$1005,SMALL(IF(checklistPesertaKemenkeu!$AY$6:$AY$1005="Direkomendasikan",ROW($6:$1005)-5),767)),BidangList,0)),INDEX(checklistPesertaKemenkeu!$N$6:$N$1005,SMALL(IF(checklistPesertaKemenkeu!$AY$6:$AY$1005="Direkomendasikan",ROW($6:$1005)-5),767)))&gt;0,COUNTIF(INDIRECT("'KERTAS KERJA'!K"&amp;(SMALL(IF(checklistPesertaKemenkeu!$AY$6:$AY$1005="Direkomendasikan",ROW($6:$1005)-5),767)+5)&amp;":O"&amp;(SMALL(IF(checklistPesertaKemenkeu!$AY$6:$AY$1005="Direkomendasikan",ROW($6:$1005)-5),767)+5)),INDEX(checklistPesertaKemenkeu!$N$6:$N$1005,SMALL(IF(checklistPesertaKemenkeu!$AY$6:$AY$1005="Direkomendasikan",ROW($6:$1005)-5),767)))=1),IFERROR(VLOOKUP(INDEX(checklistPesertaKemenkeu!$N$6:$N$1005,SMALL(IF(checklistPesertaKemenkeu!$AY$6:$AY$1005="Direkomendasikan",ROW($6:$1005)-5),767)),KotaKode,2,0),"-"),"")),"")</f>
        <v/>
      </c>
      <c r="K768" t="str">
        <f t="array" aca="1" ref="K768" ca="1">IFERROR(IF(OR(INDEX(checklistPesertaKemenkeu!$O$6:$O$1005,SMALL(IF(checklistPesertaKemenkeu!$AY$6:$AY$1005="Direkomendasikan",ROW($6:$1005)-5),767))="",INDEX(checklistPesertaKemenkeu!$J$6:$J$1005,SMALL(IF(checklistPesertaKemenkeu!$AY$6:$AY$1005="Direkomendasikan",ROW($6:$1005)-5),767))=""),"",IF(AND(COUNTIF(INDIRECT("K_"&amp;MATCH(INDEX(checklistPesertaKemenkeu!$J$6:$J$1005,SMALL(IF(checklistPesertaKemenkeu!$AY$6:$AY$1005="Direkomendasikan",ROW($6:$1005)-5),767)),BidangList,0)),INDEX(checklistPesertaKemenkeu!$O$6:$O$1005,SMALL(IF(checklistPesertaKemenkeu!$AY$6:$AY$1005="Direkomendasikan",ROW($6:$1005)-5),767)))&gt;0,COUNTIF(INDIRECT("'KERTAS KERJA'!K"&amp;(SMALL(IF(checklistPesertaKemenkeu!$AY$6:$AY$1005="Direkomendasikan",ROW($6:$1005)-5),767)+5)&amp;":O"&amp;(SMALL(IF(checklistPesertaKemenkeu!$AY$6:$AY$1005="Direkomendasikan",ROW($6:$1005)-5),767)+5)),INDEX(checklistPesertaKemenkeu!$O$6:$O$1005,SMALL(IF(checklistPesertaKemenkeu!$AY$6:$AY$1005="Direkomendasikan",ROW($6:$1005)-5),767)))=1),IFERROR(VLOOKUP(INDEX(checklistPesertaKemenkeu!$O$6:$O$1005,SMALL(IF(checklistPesertaKemenkeu!$AY$6:$AY$1005="Direkomendasikan",ROW($6:$1005)-5),767)),KotaKode,2,0),"-"),"")),"")</f>
        <v/>
      </c>
      <c r="L768" t="str">
        <f t="array" aca="1" ref="L768" ca="1">IFERROR(IF(OR(INDEX(checklistPesertaKemenkeu!$P$6:$P$1005,SMALL(IF(checklistPesertaKemenkeu!$AY$6:$AY$1005="Direkomendasikan",ROW($6:$1005)-5),767))="",INDEX(checklistPesertaKemenkeu!$J$6:$J$1005,SMALL(IF(checklistPesertaKemenkeu!$AY$6:$AY$1005="Direkomendasikan",ROW($6:$1005)-5),767))=""),"",IF(AND(COUNTIF(INDIRECT("K_"&amp;MATCH(INDEX(checklistPesertaKemenkeu!$J$6:$J$1005,SMALL(IF(checklistPesertaKemenkeu!$AY$6:$AY$1005="Direkomendasikan",ROW($6:$1005)-5),767)),BidangList,0)),INDEX(checklistPesertaKemenkeu!$P$6:$P$1005,SMALL(IF(checklistPesertaKemenkeu!$AY$6:$AY$1005="Direkomendasikan",ROW($6:$1005)-5),767)))&gt;0,COUNTIF(INDIRECT("'KERTAS KERJA'!K"&amp;(SMALL(IF(checklistPesertaKemenkeu!$AY$6:$AY$1005="Direkomendasikan",ROW($6:$1005)-5),767)+5)&amp;":O"&amp;(SMALL(IF(checklistPesertaKemenkeu!$AY$6:$AY$1005="Direkomendasikan",ROW($6:$1005)-5),767)+5)),INDEX(checklistPesertaKemenkeu!$P$6:$P$1005,SMALL(IF(checklistPesertaKemenkeu!$AY$6:$AY$1005="Direkomendasikan",ROW($6:$1005)-5),767)))=1),IFERROR(VLOOKUP(INDEX(checklistPesertaKemenkeu!$P$6:$P$1005,SMALL(IF(checklistPesertaKemenkeu!$AY$6:$AY$1005="Direkomendasikan",ROW($6:$1005)-5),767)),KotaKode,2,0),"-"),"")),"")</f>
        <v/>
      </c>
    </row>
    <row r="769" spans="1:12" ht="15" customHeight="1" x14ac:dyDescent="0.2">
      <c r="A769" t="str">
        <f t="shared" si="11"/>
        <v/>
      </c>
      <c r="B769" t="str">
        <v/>
      </c>
      <c r="C769" s="40" t="str">
        <f t="array" ref="C769">IFERROR(INDEX(checklistPesertaKemenkeu!$F$6:$F$1005,SMALL(IF(checklistPesertaKemenkeu!$AY$6:$AY$1005="Direkomendasikan",ROW($6:$1005)-5),768)),"")</f>
        <v/>
      </c>
      <c r="D769" t="str">
        <f t="array" ref="D769">IFERROR(INDEX(checklistPesertaKemenkeu!$G$6:$G$1005,SMALL(IF(checklistPesertaKemenkeu!$AY$6:$AY$1005="Direkomendasikan",ROW($6:$1005)-5),768)),"")</f>
        <v/>
      </c>
      <c r="E769" t="str">
        <f t="array" ref="E769">IFERROR(INDEX(checklistPesertaKemenkeu!$H$6:$H$1005,SMALL(IF(checklistPesertaKemenkeu!$AY$6:$AY$1005="Direkomendasikan",ROW($6:$1005)-5),768)),"")</f>
        <v/>
      </c>
      <c r="F769" t="str">
        <f t="array" ref="F769">IFERROR(INDEX(checklistPesertaKemenkeu!$I$6:$I$1005,SMALL(IF(checklistPesertaKemenkeu!$AY$6:$AY$1005="Direkomendasikan",ROW($6:$1005)-5),768)),"")</f>
        <v/>
      </c>
      <c r="G769" t="str">
        <f t="array" ref="G769">IFERROR(INDEX(checklistPesertaKemenkeu!$J$6:$J$1005,SMALL(IF(checklistPesertaKemenkeu!$AY$6:$AY$1005="Direkomendasikan",ROW($6:$1005)-5),768)),"")</f>
        <v/>
      </c>
      <c r="H769" t="str">
        <f t="array" aca="1" ref="H769" ca="1">IFERROR(IF(OR(INDEX(checklistPesertaKemenkeu!$L$6:$L$1005,SMALL(IF(checklistPesertaKemenkeu!$AY$6:$AY$1005="Direkomendasikan",ROW($6:$1005)-5),768))="",INDEX(checklistPesertaKemenkeu!$J$6:$J$1005,SMALL(IF(checklistPesertaKemenkeu!$AY$6:$AY$1005="Direkomendasikan",ROW($6:$1005)-5),768))=""),"",IF(AND(COUNTIF(INDIRECT("K_"&amp;MATCH(INDEX(checklistPesertaKemenkeu!$J$6:$J$1005,SMALL(IF(checklistPesertaKemenkeu!$AY$6:$AY$1005="Direkomendasikan",ROW($6:$1005)-5),768)),BidangList,0)),INDEX(checklistPesertaKemenkeu!$L$6:$L$1005,SMALL(IF(checklistPesertaKemenkeu!$AY$6:$AY$1005="Direkomendasikan",ROW($6:$1005)-5),768)))&gt;0,COUNTIF(INDIRECT("'KERTAS KERJA'!K"&amp;(SMALL(IF(checklistPesertaKemenkeu!$AY$6:$AY$1005="Direkomendasikan",ROW($6:$1005)-5),768)+5)&amp;":O"&amp;(SMALL(IF(checklistPesertaKemenkeu!$AY$6:$AY$1005="Direkomendasikan",ROW($6:$1005)-5),768)+5)),INDEX(checklistPesertaKemenkeu!$L$6:$L$1005,SMALL(IF(checklistPesertaKemenkeu!$AY$6:$AY$1005="Direkomendasikan",ROW($6:$1005)-5),768)))=1),IFERROR(VLOOKUP(INDEX(checklistPesertaKemenkeu!$L$6:$L$1005,SMALL(IF(checklistPesertaKemenkeu!$AY$6:$AY$1005="Direkomendasikan",ROW($6:$1005)-5),768)),KotaKode,2,0),"-"),"")),"")</f>
        <v/>
      </c>
      <c r="I769" t="str">
        <f t="array" aca="1" ref="I769" ca="1">IFERROR(IF(OR(INDEX(checklistPesertaKemenkeu!$M$6:$M$1005,SMALL(IF(checklistPesertaKemenkeu!$AY$6:$AY$1005="Direkomendasikan",ROW($6:$1005)-5),768))="",INDEX(checklistPesertaKemenkeu!$J$6:$J$1005,SMALL(IF(checklistPesertaKemenkeu!$AY$6:$AY$1005="Direkomendasikan",ROW($6:$1005)-5),768))=""),"",IF(AND(COUNTIF(INDIRECT("K_"&amp;MATCH(INDEX(checklistPesertaKemenkeu!$J$6:$J$1005,SMALL(IF(checklistPesertaKemenkeu!$AY$6:$AY$1005="Direkomendasikan",ROW($6:$1005)-5),768)),BidangList,0)),INDEX(checklistPesertaKemenkeu!$M$6:$M$1005,SMALL(IF(checklistPesertaKemenkeu!$AY$6:$AY$1005="Direkomendasikan",ROW($6:$1005)-5),768)))&gt;0,COUNTIF(INDIRECT("'KERTAS KERJA'!K"&amp;(SMALL(IF(checklistPesertaKemenkeu!$AY$6:$AY$1005="Direkomendasikan",ROW($6:$1005)-5),768)+5)&amp;":O"&amp;(SMALL(IF(checklistPesertaKemenkeu!$AY$6:$AY$1005="Direkomendasikan",ROW($6:$1005)-5),768)+5)),INDEX(checklistPesertaKemenkeu!$M$6:$M$1005,SMALL(IF(checklistPesertaKemenkeu!$AY$6:$AY$1005="Direkomendasikan",ROW($6:$1005)-5),768)))=1),IFERROR(VLOOKUP(INDEX(checklistPesertaKemenkeu!$M$6:$M$1005,SMALL(IF(checklistPesertaKemenkeu!$AY$6:$AY$1005="Direkomendasikan",ROW($6:$1005)-5),768)),KotaKode,2,0),"-"),"")),"")</f>
        <v/>
      </c>
      <c r="J769" t="str">
        <f t="array" aca="1" ref="J769" ca="1">IFERROR(IF(OR(INDEX(checklistPesertaKemenkeu!$N$6:$N$1005,SMALL(IF(checklistPesertaKemenkeu!$AY$6:$AY$1005="Direkomendasikan",ROW($6:$1005)-5),768))="",INDEX(checklistPesertaKemenkeu!$J$6:$J$1005,SMALL(IF(checklistPesertaKemenkeu!$AY$6:$AY$1005="Direkomendasikan",ROW($6:$1005)-5),768))=""),"",IF(AND(COUNTIF(INDIRECT("K_"&amp;MATCH(INDEX(checklistPesertaKemenkeu!$J$6:$J$1005,SMALL(IF(checklistPesertaKemenkeu!$AY$6:$AY$1005="Direkomendasikan",ROW($6:$1005)-5),768)),BidangList,0)),INDEX(checklistPesertaKemenkeu!$N$6:$N$1005,SMALL(IF(checklistPesertaKemenkeu!$AY$6:$AY$1005="Direkomendasikan",ROW($6:$1005)-5),768)))&gt;0,COUNTIF(INDIRECT("'KERTAS KERJA'!K"&amp;(SMALL(IF(checklistPesertaKemenkeu!$AY$6:$AY$1005="Direkomendasikan",ROW($6:$1005)-5),768)+5)&amp;":O"&amp;(SMALL(IF(checklistPesertaKemenkeu!$AY$6:$AY$1005="Direkomendasikan",ROW($6:$1005)-5),768)+5)),INDEX(checklistPesertaKemenkeu!$N$6:$N$1005,SMALL(IF(checklistPesertaKemenkeu!$AY$6:$AY$1005="Direkomendasikan",ROW($6:$1005)-5),768)))=1),IFERROR(VLOOKUP(INDEX(checklistPesertaKemenkeu!$N$6:$N$1005,SMALL(IF(checklistPesertaKemenkeu!$AY$6:$AY$1005="Direkomendasikan",ROW($6:$1005)-5),768)),KotaKode,2,0),"-"),"")),"")</f>
        <v/>
      </c>
      <c r="K769" t="str">
        <f t="array" aca="1" ref="K769" ca="1">IFERROR(IF(OR(INDEX(checklistPesertaKemenkeu!$O$6:$O$1005,SMALL(IF(checklistPesertaKemenkeu!$AY$6:$AY$1005="Direkomendasikan",ROW($6:$1005)-5),768))="",INDEX(checklistPesertaKemenkeu!$J$6:$J$1005,SMALL(IF(checklistPesertaKemenkeu!$AY$6:$AY$1005="Direkomendasikan",ROW($6:$1005)-5),768))=""),"",IF(AND(COUNTIF(INDIRECT("K_"&amp;MATCH(INDEX(checklistPesertaKemenkeu!$J$6:$J$1005,SMALL(IF(checklistPesertaKemenkeu!$AY$6:$AY$1005="Direkomendasikan",ROW($6:$1005)-5),768)),BidangList,0)),INDEX(checklistPesertaKemenkeu!$O$6:$O$1005,SMALL(IF(checklistPesertaKemenkeu!$AY$6:$AY$1005="Direkomendasikan",ROW($6:$1005)-5),768)))&gt;0,COUNTIF(INDIRECT("'KERTAS KERJA'!K"&amp;(SMALL(IF(checklistPesertaKemenkeu!$AY$6:$AY$1005="Direkomendasikan",ROW($6:$1005)-5),768)+5)&amp;":O"&amp;(SMALL(IF(checklistPesertaKemenkeu!$AY$6:$AY$1005="Direkomendasikan",ROW($6:$1005)-5),768)+5)),INDEX(checklistPesertaKemenkeu!$O$6:$O$1005,SMALL(IF(checklistPesertaKemenkeu!$AY$6:$AY$1005="Direkomendasikan",ROW($6:$1005)-5),768)))=1),IFERROR(VLOOKUP(INDEX(checklistPesertaKemenkeu!$O$6:$O$1005,SMALL(IF(checklistPesertaKemenkeu!$AY$6:$AY$1005="Direkomendasikan",ROW($6:$1005)-5),768)),KotaKode,2,0),"-"),"")),"")</f>
        <v/>
      </c>
      <c r="L769" t="str">
        <f t="array" aca="1" ref="L769" ca="1">IFERROR(IF(OR(INDEX(checklistPesertaKemenkeu!$P$6:$P$1005,SMALL(IF(checklistPesertaKemenkeu!$AY$6:$AY$1005="Direkomendasikan",ROW($6:$1005)-5),768))="",INDEX(checklistPesertaKemenkeu!$J$6:$J$1005,SMALL(IF(checklistPesertaKemenkeu!$AY$6:$AY$1005="Direkomendasikan",ROW($6:$1005)-5),768))=""),"",IF(AND(COUNTIF(INDIRECT("K_"&amp;MATCH(INDEX(checklistPesertaKemenkeu!$J$6:$J$1005,SMALL(IF(checklistPesertaKemenkeu!$AY$6:$AY$1005="Direkomendasikan",ROW($6:$1005)-5),768)),BidangList,0)),INDEX(checklistPesertaKemenkeu!$P$6:$P$1005,SMALL(IF(checklistPesertaKemenkeu!$AY$6:$AY$1005="Direkomendasikan",ROW($6:$1005)-5),768)))&gt;0,COUNTIF(INDIRECT("'KERTAS KERJA'!K"&amp;(SMALL(IF(checklistPesertaKemenkeu!$AY$6:$AY$1005="Direkomendasikan",ROW($6:$1005)-5),768)+5)&amp;":O"&amp;(SMALL(IF(checklistPesertaKemenkeu!$AY$6:$AY$1005="Direkomendasikan",ROW($6:$1005)-5),768)+5)),INDEX(checklistPesertaKemenkeu!$P$6:$P$1005,SMALL(IF(checklistPesertaKemenkeu!$AY$6:$AY$1005="Direkomendasikan",ROW($6:$1005)-5),768)))=1),IFERROR(VLOOKUP(INDEX(checklistPesertaKemenkeu!$P$6:$P$1005,SMALL(IF(checklistPesertaKemenkeu!$AY$6:$AY$1005="Direkomendasikan",ROW($6:$1005)-5),768)),KotaKode,2,0),"-"),"")),"")</f>
        <v/>
      </c>
    </row>
    <row r="770" spans="1:12" ht="15" customHeight="1" x14ac:dyDescent="0.2">
      <c r="A770" t="str">
        <f t="shared" ref="A770:A833" si="12">IF(C770="","",ROW()-1)</f>
        <v/>
      </c>
      <c r="B770" t="str">
        <v/>
      </c>
      <c r="C770" s="40" t="str">
        <f t="array" ref="C770">IFERROR(INDEX(checklistPesertaKemenkeu!$F$6:$F$1005,SMALL(IF(checklistPesertaKemenkeu!$AY$6:$AY$1005="Direkomendasikan",ROW($6:$1005)-5),769)),"")</f>
        <v/>
      </c>
      <c r="D770" t="str">
        <f t="array" ref="D770">IFERROR(INDEX(checklistPesertaKemenkeu!$G$6:$G$1005,SMALL(IF(checklistPesertaKemenkeu!$AY$6:$AY$1005="Direkomendasikan",ROW($6:$1005)-5),769)),"")</f>
        <v/>
      </c>
      <c r="E770" t="str">
        <f t="array" ref="E770">IFERROR(INDEX(checklistPesertaKemenkeu!$H$6:$H$1005,SMALL(IF(checklistPesertaKemenkeu!$AY$6:$AY$1005="Direkomendasikan",ROW($6:$1005)-5),769)),"")</f>
        <v/>
      </c>
      <c r="F770" t="str">
        <f t="array" ref="F770">IFERROR(INDEX(checklistPesertaKemenkeu!$I$6:$I$1005,SMALL(IF(checklistPesertaKemenkeu!$AY$6:$AY$1005="Direkomendasikan",ROW($6:$1005)-5),769)),"")</f>
        <v/>
      </c>
      <c r="G770" t="str">
        <f t="array" ref="G770">IFERROR(INDEX(checklistPesertaKemenkeu!$J$6:$J$1005,SMALL(IF(checklistPesertaKemenkeu!$AY$6:$AY$1005="Direkomendasikan",ROW($6:$1005)-5),769)),"")</f>
        <v/>
      </c>
      <c r="H770" t="str">
        <f t="array" aca="1" ref="H770" ca="1">IFERROR(IF(OR(INDEX(checklistPesertaKemenkeu!$L$6:$L$1005,SMALL(IF(checklistPesertaKemenkeu!$AY$6:$AY$1005="Direkomendasikan",ROW($6:$1005)-5),769))="",INDEX(checklistPesertaKemenkeu!$J$6:$J$1005,SMALL(IF(checklistPesertaKemenkeu!$AY$6:$AY$1005="Direkomendasikan",ROW($6:$1005)-5),769))=""),"",IF(AND(COUNTIF(INDIRECT("K_"&amp;MATCH(INDEX(checklistPesertaKemenkeu!$J$6:$J$1005,SMALL(IF(checklistPesertaKemenkeu!$AY$6:$AY$1005="Direkomendasikan",ROW($6:$1005)-5),769)),BidangList,0)),INDEX(checklistPesertaKemenkeu!$L$6:$L$1005,SMALL(IF(checklistPesertaKemenkeu!$AY$6:$AY$1005="Direkomendasikan",ROW($6:$1005)-5),769)))&gt;0,COUNTIF(INDIRECT("'KERTAS KERJA'!K"&amp;(SMALL(IF(checklistPesertaKemenkeu!$AY$6:$AY$1005="Direkomendasikan",ROW($6:$1005)-5),769)+5)&amp;":O"&amp;(SMALL(IF(checklistPesertaKemenkeu!$AY$6:$AY$1005="Direkomendasikan",ROW($6:$1005)-5),769)+5)),INDEX(checklistPesertaKemenkeu!$L$6:$L$1005,SMALL(IF(checklistPesertaKemenkeu!$AY$6:$AY$1005="Direkomendasikan",ROW($6:$1005)-5),769)))=1),IFERROR(VLOOKUP(INDEX(checklistPesertaKemenkeu!$L$6:$L$1005,SMALL(IF(checklistPesertaKemenkeu!$AY$6:$AY$1005="Direkomendasikan",ROW($6:$1005)-5),769)),KotaKode,2,0),"-"),"")),"")</f>
        <v/>
      </c>
      <c r="I770" t="str">
        <f t="array" aca="1" ref="I770" ca="1">IFERROR(IF(OR(INDEX(checklistPesertaKemenkeu!$M$6:$M$1005,SMALL(IF(checklistPesertaKemenkeu!$AY$6:$AY$1005="Direkomendasikan",ROW($6:$1005)-5),769))="",INDEX(checklistPesertaKemenkeu!$J$6:$J$1005,SMALL(IF(checklistPesertaKemenkeu!$AY$6:$AY$1005="Direkomendasikan",ROW($6:$1005)-5),769))=""),"",IF(AND(COUNTIF(INDIRECT("K_"&amp;MATCH(INDEX(checklistPesertaKemenkeu!$J$6:$J$1005,SMALL(IF(checklistPesertaKemenkeu!$AY$6:$AY$1005="Direkomendasikan",ROW($6:$1005)-5),769)),BidangList,0)),INDEX(checklistPesertaKemenkeu!$M$6:$M$1005,SMALL(IF(checklistPesertaKemenkeu!$AY$6:$AY$1005="Direkomendasikan",ROW($6:$1005)-5),769)))&gt;0,COUNTIF(INDIRECT("'KERTAS KERJA'!K"&amp;(SMALL(IF(checklistPesertaKemenkeu!$AY$6:$AY$1005="Direkomendasikan",ROW($6:$1005)-5),769)+5)&amp;":O"&amp;(SMALL(IF(checklistPesertaKemenkeu!$AY$6:$AY$1005="Direkomendasikan",ROW($6:$1005)-5),769)+5)),INDEX(checklistPesertaKemenkeu!$M$6:$M$1005,SMALL(IF(checklistPesertaKemenkeu!$AY$6:$AY$1005="Direkomendasikan",ROW($6:$1005)-5),769)))=1),IFERROR(VLOOKUP(INDEX(checklistPesertaKemenkeu!$M$6:$M$1005,SMALL(IF(checklistPesertaKemenkeu!$AY$6:$AY$1005="Direkomendasikan",ROW($6:$1005)-5),769)),KotaKode,2,0),"-"),"")),"")</f>
        <v/>
      </c>
      <c r="J770" t="str">
        <f t="array" aca="1" ref="J770" ca="1">IFERROR(IF(OR(INDEX(checklistPesertaKemenkeu!$N$6:$N$1005,SMALL(IF(checklistPesertaKemenkeu!$AY$6:$AY$1005="Direkomendasikan",ROW($6:$1005)-5),769))="",INDEX(checklistPesertaKemenkeu!$J$6:$J$1005,SMALL(IF(checklistPesertaKemenkeu!$AY$6:$AY$1005="Direkomendasikan",ROW($6:$1005)-5),769))=""),"",IF(AND(COUNTIF(INDIRECT("K_"&amp;MATCH(INDEX(checklistPesertaKemenkeu!$J$6:$J$1005,SMALL(IF(checklistPesertaKemenkeu!$AY$6:$AY$1005="Direkomendasikan",ROW($6:$1005)-5),769)),BidangList,0)),INDEX(checklistPesertaKemenkeu!$N$6:$N$1005,SMALL(IF(checklistPesertaKemenkeu!$AY$6:$AY$1005="Direkomendasikan",ROW($6:$1005)-5),769)))&gt;0,COUNTIF(INDIRECT("'KERTAS KERJA'!K"&amp;(SMALL(IF(checklistPesertaKemenkeu!$AY$6:$AY$1005="Direkomendasikan",ROW($6:$1005)-5),769)+5)&amp;":O"&amp;(SMALL(IF(checklistPesertaKemenkeu!$AY$6:$AY$1005="Direkomendasikan",ROW($6:$1005)-5),769)+5)),INDEX(checklistPesertaKemenkeu!$N$6:$N$1005,SMALL(IF(checklistPesertaKemenkeu!$AY$6:$AY$1005="Direkomendasikan",ROW($6:$1005)-5),769)))=1),IFERROR(VLOOKUP(INDEX(checklistPesertaKemenkeu!$N$6:$N$1005,SMALL(IF(checklistPesertaKemenkeu!$AY$6:$AY$1005="Direkomendasikan",ROW($6:$1005)-5),769)),KotaKode,2,0),"-"),"")),"")</f>
        <v/>
      </c>
      <c r="K770" t="str">
        <f t="array" aca="1" ref="K770" ca="1">IFERROR(IF(OR(INDEX(checklistPesertaKemenkeu!$O$6:$O$1005,SMALL(IF(checklistPesertaKemenkeu!$AY$6:$AY$1005="Direkomendasikan",ROW($6:$1005)-5),769))="",INDEX(checklistPesertaKemenkeu!$J$6:$J$1005,SMALL(IF(checklistPesertaKemenkeu!$AY$6:$AY$1005="Direkomendasikan",ROW($6:$1005)-5),769))=""),"",IF(AND(COUNTIF(INDIRECT("K_"&amp;MATCH(INDEX(checklistPesertaKemenkeu!$J$6:$J$1005,SMALL(IF(checklistPesertaKemenkeu!$AY$6:$AY$1005="Direkomendasikan",ROW($6:$1005)-5),769)),BidangList,0)),INDEX(checklistPesertaKemenkeu!$O$6:$O$1005,SMALL(IF(checklistPesertaKemenkeu!$AY$6:$AY$1005="Direkomendasikan",ROW($6:$1005)-5),769)))&gt;0,COUNTIF(INDIRECT("'KERTAS KERJA'!K"&amp;(SMALL(IF(checklistPesertaKemenkeu!$AY$6:$AY$1005="Direkomendasikan",ROW($6:$1005)-5),769)+5)&amp;":O"&amp;(SMALL(IF(checklistPesertaKemenkeu!$AY$6:$AY$1005="Direkomendasikan",ROW($6:$1005)-5),769)+5)),INDEX(checklistPesertaKemenkeu!$O$6:$O$1005,SMALL(IF(checklistPesertaKemenkeu!$AY$6:$AY$1005="Direkomendasikan",ROW($6:$1005)-5),769)))=1),IFERROR(VLOOKUP(INDEX(checklistPesertaKemenkeu!$O$6:$O$1005,SMALL(IF(checklistPesertaKemenkeu!$AY$6:$AY$1005="Direkomendasikan",ROW($6:$1005)-5),769)),KotaKode,2,0),"-"),"")),"")</f>
        <v/>
      </c>
      <c r="L770" t="str">
        <f t="array" aca="1" ref="L770" ca="1">IFERROR(IF(OR(INDEX(checklistPesertaKemenkeu!$P$6:$P$1005,SMALL(IF(checklistPesertaKemenkeu!$AY$6:$AY$1005="Direkomendasikan",ROW($6:$1005)-5),769))="",INDEX(checklistPesertaKemenkeu!$J$6:$J$1005,SMALL(IF(checklistPesertaKemenkeu!$AY$6:$AY$1005="Direkomendasikan",ROW($6:$1005)-5),769))=""),"",IF(AND(COUNTIF(INDIRECT("K_"&amp;MATCH(INDEX(checklistPesertaKemenkeu!$J$6:$J$1005,SMALL(IF(checklistPesertaKemenkeu!$AY$6:$AY$1005="Direkomendasikan",ROW($6:$1005)-5),769)),BidangList,0)),INDEX(checklistPesertaKemenkeu!$P$6:$P$1005,SMALL(IF(checklistPesertaKemenkeu!$AY$6:$AY$1005="Direkomendasikan",ROW($6:$1005)-5),769)))&gt;0,COUNTIF(INDIRECT("'KERTAS KERJA'!K"&amp;(SMALL(IF(checklistPesertaKemenkeu!$AY$6:$AY$1005="Direkomendasikan",ROW($6:$1005)-5),769)+5)&amp;":O"&amp;(SMALL(IF(checklistPesertaKemenkeu!$AY$6:$AY$1005="Direkomendasikan",ROW($6:$1005)-5),769)+5)),INDEX(checklistPesertaKemenkeu!$P$6:$P$1005,SMALL(IF(checklistPesertaKemenkeu!$AY$6:$AY$1005="Direkomendasikan",ROW($6:$1005)-5),769)))=1),IFERROR(VLOOKUP(INDEX(checklistPesertaKemenkeu!$P$6:$P$1005,SMALL(IF(checklistPesertaKemenkeu!$AY$6:$AY$1005="Direkomendasikan",ROW($6:$1005)-5),769)),KotaKode,2,0),"-"),"")),"")</f>
        <v/>
      </c>
    </row>
    <row r="771" spans="1:12" ht="15" customHeight="1" x14ac:dyDescent="0.2">
      <c r="A771" t="str">
        <f t="shared" si="12"/>
        <v/>
      </c>
      <c r="B771" t="str">
        <v/>
      </c>
      <c r="C771" s="40" t="str">
        <f t="array" ref="C771">IFERROR(INDEX(checklistPesertaKemenkeu!$F$6:$F$1005,SMALL(IF(checklistPesertaKemenkeu!$AY$6:$AY$1005="Direkomendasikan",ROW($6:$1005)-5),770)),"")</f>
        <v/>
      </c>
      <c r="D771" t="str">
        <f t="array" ref="D771">IFERROR(INDEX(checklistPesertaKemenkeu!$G$6:$G$1005,SMALL(IF(checklistPesertaKemenkeu!$AY$6:$AY$1005="Direkomendasikan",ROW($6:$1005)-5),770)),"")</f>
        <v/>
      </c>
      <c r="E771" t="str">
        <f t="array" ref="E771">IFERROR(INDEX(checklistPesertaKemenkeu!$H$6:$H$1005,SMALL(IF(checklistPesertaKemenkeu!$AY$6:$AY$1005="Direkomendasikan",ROW($6:$1005)-5),770)),"")</f>
        <v/>
      </c>
      <c r="F771" t="str">
        <f t="array" ref="F771">IFERROR(INDEX(checklistPesertaKemenkeu!$I$6:$I$1005,SMALL(IF(checklistPesertaKemenkeu!$AY$6:$AY$1005="Direkomendasikan",ROW($6:$1005)-5),770)),"")</f>
        <v/>
      </c>
      <c r="G771" t="str">
        <f t="array" ref="G771">IFERROR(INDEX(checklistPesertaKemenkeu!$J$6:$J$1005,SMALL(IF(checklistPesertaKemenkeu!$AY$6:$AY$1005="Direkomendasikan",ROW($6:$1005)-5),770)),"")</f>
        <v/>
      </c>
      <c r="H771" t="str">
        <f t="array" aca="1" ref="H771" ca="1">IFERROR(IF(OR(INDEX(checklistPesertaKemenkeu!$L$6:$L$1005,SMALL(IF(checklistPesertaKemenkeu!$AY$6:$AY$1005="Direkomendasikan",ROW($6:$1005)-5),770))="",INDEX(checklistPesertaKemenkeu!$J$6:$J$1005,SMALL(IF(checklistPesertaKemenkeu!$AY$6:$AY$1005="Direkomendasikan",ROW($6:$1005)-5),770))=""),"",IF(AND(COUNTIF(INDIRECT("K_"&amp;MATCH(INDEX(checklistPesertaKemenkeu!$J$6:$J$1005,SMALL(IF(checklistPesertaKemenkeu!$AY$6:$AY$1005="Direkomendasikan",ROW($6:$1005)-5),770)),BidangList,0)),INDEX(checklistPesertaKemenkeu!$L$6:$L$1005,SMALL(IF(checklistPesertaKemenkeu!$AY$6:$AY$1005="Direkomendasikan",ROW($6:$1005)-5),770)))&gt;0,COUNTIF(INDIRECT("'KERTAS KERJA'!K"&amp;(SMALL(IF(checklistPesertaKemenkeu!$AY$6:$AY$1005="Direkomendasikan",ROW($6:$1005)-5),770)+5)&amp;":O"&amp;(SMALL(IF(checklistPesertaKemenkeu!$AY$6:$AY$1005="Direkomendasikan",ROW($6:$1005)-5),770)+5)),INDEX(checklistPesertaKemenkeu!$L$6:$L$1005,SMALL(IF(checklistPesertaKemenkeu!$AY$6:$AY$1005="Direkomendasikan",ROW($6:$1005)-5),770)))=1),IFERROR(VLOOKUP(INDEX(checklistPesertaKemenkeu!$L$6:$L$1005,SMALL(IF(checklistPesertaKemenkeu!$AY$6:$AY$1005="Direkomendasikan",ROW($6:$1005)-5),770)),KotaKode,2,0),"-"),"")),"")</f>
        <v/>
      </c>
      <c r="I771" t="str">
        <f t="array" aca="1" ref="I771" ca="1">IFERROR(IF(OR(INDEX(checklistPesertaKemenkeu!$M$6:$M$1005,SMALL(IF(checklistPesertaKemenkeu!$AY$6:$AY$1005="Direkomendasikan",ROW($6:$1005)-5),770))="",INDEX(checklistPesertaKemenkeu!$J$6:$J$1005,SMALL(IF(checklistPesertaKemenkeu!$AY$6:$AY$1005="Direkomendasikan",ROW($6:$1005)-5),770))=""),"",IF(AND(COUNTIF(INDIRECT("K_"&amp;MATCH(INDEX(checklistPesertaKemenkeu!$J$6:$J$1005,SMALL(IF(checklistPesertaKemenkeu!$AY$6:$AY$1005="Direkomendasikan",ROW($6:$1005)-5),770)),BidangList,0)),INDEX(checklistPesertaKemenkeu!$M$6:$M$1005,SMALL(IF(checklistPesertaKemenkeu!$AY$6:$AY$1005="Direkomendasikan",ROW($6:$1005)-5),770)))&gt;0,COUNTIF(INDIRECT("'KERTAS KERJA'!K"&amp;(SMALL(IF(checklistPesertaKemenkeu!$AY$6:$AY$1005="Direkomendasikan",ROW($6:$1005)-5),770)+5)&amp;":O"&amp;(SMALL(IF(checklistPesertaKemenkeu!$AY$6:$AY$1005="Direkomendasikan",ROW($6:$1005)-5),770)+5)),INDEX(checklistPesertaKemenkeu!$M$6:$M$1005,SMALL(IF(checklistPesertaKemenkeu!$AY$6:$AY$1005="Direkomendasikan",ROW($6:$1005)-5),770)))=1),IFERROR(VLOOKUP(INDEX(checklistPesertaKemenkeu!$M$6:$M$1005,SMALL(IF(checklistPesertaKemenkeu!$AY$6:$AY$1005="Direkomendasikan",ROW($6:$1005)-5),770)),KotaKode,2,0),"-"),"")),"")</f>
        <v/>
      </c>
      <c r="J771" t="str">
        <f t="array" aca="1" ref="J771" ca="1">IFERROR(IF(OR(INDEX(checklistPesertaKemenkeu!$N$6:$N$1005,SMALL(IF(checklistPesertaKemenkeu!$AY$6:$AY$1005="Direkomendasikan",ROW($6:$1005)-5),770))="",INDEX(checklistPesertaKemenkeu!$J$6:$J$1005,SMALL(IF(checklistPesertaKemenkeu!$AY$6:$AY$1005="Direkomendasikan",ROW($6:$1005)-5),770))=""),"",IF(AND(COUNTIF(INDIRECT("K_"&amp;MATCH(INDEX(checklistPesertaKemenkeu!$J$6:$J$1005,SMALL(IF(checklistPesertaKemenkeu!$AY$6:$AY$1005="Direkomendasikan",ROW($6:$1005)-5),770)),BidangList,0)),INDEX(checklistPesertaKemenkeu!$N$6:$N$1005,SMALL(IF(checklistPesertaKemenkeu!$AY$6:$AY$1005="Direkomendasikan",ROW($6:$1005)-5),770)))&gt;0,COUNTIF(INDIRECT("'KERTAS KERJA'!K"&amp;(SMALL(IF(checklistPesertaKemenkeu!$AY$6:$AY$1005="Direkomendasikan",ROW($6:$1005)-5),770)+5)&amp;":O"&amp;(SMALL(IF(checklistPesertaKemenkeu!$AY$6:$AY$1005="Direkomendasikan",ROW($6:$1005)-5),770)+5)),INDEX(checklistPesertaKemenkeu!$N$6:$N$1005,SMALL(IF(checklistPesertaKemenkeu!$AY$6:$AY$1005="Direkomendasikan",ROW($6:$1005)-5),770)))=1),IFERROR(VLOOKUP(INDEX(checklistPesertaKemenkeu!$N$6:$N$1005,SMALL(IF(checklistPesertaKemenkeu!$AY$6:$AY$1005="Direkomendasikan",ROW($6:$1005)-5),770)),KotaKode,2,0),"-"),"")),"")</f>
        <v/>
      </c>
      <c r="K771" t="str">
        <f t="array" aca="1" ref="K771" ca="1">IFERROR(IF(OR(INDEX(checklistPesertaKemenkeu!$O$6:$O$1005,SMALL(IF(checklistPesertaKemenkeu!$AY$6:$AY$1005="Direkomendasikan",ROW($6:$1005)-5),770))="",INDEX(checklistPesertaKemenkeu!$J$6:$J$1005,SMALL(IF(checklistPesertaKemenkeu!$AY$6:$AY$1005="Direkomendasikan",ROW($6:$1005)-5),770))=""),"",IF(AND(COUNTIF(INDIRECT("K_"&amp;MATCH(INDEX(checklistPesertaKemenkeu!$J$6:$J$1005,SMALL(IF(checklistPesertaKemenkeu!$AY$6:$AY$1005="Direkomendasikan",ROW($6:$1005)-5),770)),BidangList,0)),INDEX(checklistPesertaKemenkeu!$O$6:$O$1005,SMALL(IF(checklistPesertaKemenkeu!$AY$6:$AY$1005="Direkomendasikan",ROW($6:$1005)-5),770)))&gt;0,COUNTIF(INDIRECT("'KERTAS KERJA'!K"&amp;(SMALL(IF(checklistPesertaKemenkeu!$AY$6:$AY$1005="Direkomendasikan",ROW($6:$1005)-5),770)+5)&amp;":O"&amp;(SMALL(IF(checklistPesertaKemenkeu!$AY$6:$AY$1005="Direkomendasikan",ROW($6:$1005)-5),770)+5)),INDEX(checklistPesertaKemenkeu!$O$6:$O$1005,SMALL(IF(checklistPesertaKemenkeu!$AY$6:$AY$1005="Direkomendasikan",ROW($6:$1005)-5),770)))=1),IFERROR(VLOOKUP(INDEX(checklistPesertaKemenkeu!$O$6:$O$1005,SMALL(IF(checklistPesertaKemenkeu!$AY$6:$AY$1005="Direkomendasikan",ROW($6:$1005)-5),770)),KotaKode,2,0),"-"),"")),"")</f>
        <v/>
      </c>
      <c r="L771" t="str">
        <f t="array" aca="1" ref="L771" ca="1">IFERROR(IF(OR(INDEX(checklistPesertaKemenkeu!$P$6:$P$1005,SMALL(IF(checklistPesertaKemenkeu!$AY$6:$AY$1005="Direkomendasikan",ROW($6:$1005)-5),770))="",INDEX(checklistPesertaKemenkeu!$J$6:$J$1005,SMALL(IF(checklistPesertaKemenkeu!$AY$6:$AY$1005="Direkomendasikan",ROW($6:$1005)-5),770))=""),"",IF(AND(COUNTIF(INDIRECT("K_"&amp;MATCH(INDEX(checklistPesertaKemenkeu!$J$6:$J$1005,SMALL(IF(checklistPesertaKemenkeu!$AY$6:$AY$1005="Direkomendasikan",ROW($6:$1005)-5),770)),BidangList,0)),INDEX(checklistPesertaKemenkeu!$P$6:$P$1005,SMALL(IF(checklistPesertaKemenkeu!$AY$6:$AY$1005="Direkomendasikan",ROW($6:$1005)-5),770)))&gt;0,COUNTIF(INDIRECT("'KERTAS KERJA'!K"&amp;(SMALL(IF(checklistPesertaKemenkeu!$AY$6:$AY$1005="Direkomendasikan",ROW($6:$1005)-5),770)+5)&amp;":O"&amp;(SMALL(IF(checklistPesertaKemenkeu!$AY$6:$AY$1005="Direkomendasikan",ROW($6:$1005)-5),770)+5)),INDEX(checklistPesertaKemenkeu!$P$6:$P$1005,SMALL(IF(checklistPesertaKemenkeu!$AY$6:$AY$1005="Direkomendasikan",ROW($6:$1005)-5),770)))=1),IFERROR(VLOOKUP(INDEX(checklistPesertaKemenkeu!$P$6:$P$1005,SMALL(IF(checklistPesertaKemenkeu!$AY$6:$AY$1005="Direkomendasikan",ROW($6:$1005)-5),770)),KotaKode,2,0),"-"),"")),"")</f>
        <v/>
      </c>
    </row>
    <row r="772" spans="1:12" ht="15" customHeight="1" x14ac:dyDescent="0.2">
      <c r="A772" t="str">
        <f t="shared" si="12"/>
        <v/>
      </c>
      <c r="B772" t="str">
        <v/>
      </c>
      <c r="C772" s="40" t="str">
        <f t="array" ref="C772">IFERROR(INDEX(checklistPesertaKemenkeu!$F$6:$F$1005,SMALL(IF(checklistPesertaKemenkeu!$AY$6:$AY$1005="Direkomendasikan",ROW($6:$1005)-5),771)),"")</f>
        <v/>
      </c>
      <c r="D772" t="str">
        <f t="array" ref="D772">IFERROR(INDEX(checklistPesertaKemenkeu!$G$6:$G$1005,SMALL(IF(checklistPesertaKemenkeu!$AY$6:$AY$1005="Direkomendasikan",ROW($6:$1005)-5),771)),"")</f>
        <v/>
      </c>
      <c r="E772" t="str">
        <f t="array" ref="E772">IFERROR(INDEX(checklistPesertaKemenkeu!$H$6:$H$1005,SMALL(IF(checklistPesertaKemenkeu!$AY$6:$AY$1005="Direkomendasikan",ROW($6:$1005)-5),771)),"")</f>
        <v/>
      </c>
      <c r="F772" t="str">
        <f t="array" ref="F772">IFERROR(INDEX(checklistPesertaKemenkeu!$I$6:$I$1005,SMALL(IF(checklistPesertaKemenkeu!$AY$6:$AY$1005="Direkomendasikan",ROW($6:$1005)-5),771)),"")</f>
        <v/>
      </c>
      <c r="G772" t="str">
        <f t="array" ref="G772">IFERROR(INDEX(checklistPesertaKemenkeu!$J$6:$J$1005,SMALL(IF(checklistPesertaKemenkeu!$AY$6:$AY$1005="Direkomendasikan",ROW($6:$1005)-5),771)),"")</f>
        <v/>
      </c>
      <c r="H772" t="str">
        <f t="array" aca="1" ref="H772" ca="1">IFERROR(IF(OR(INDEX(checklistPesertaKemenkeu!$L$6:$L$1005,SMALL(IF(checklistPesertaKemenkeu!$AY$6:$AY$1005="Direkomendasikan",ROW($6:$1005)-5),771))="",INDEX(checklistPesertaKemenkeu!$J$6:$J$1005,SMALL(IF(checklistPesertaKemenkeu!$AY$6:$AY$1005="Direkomendasikan",ROW($6:$1005)-5),771))=""),"",IF(AND(COUNTIF(INDIRECT("K_"&amp;MATCH(INDEX(checklistPesertaKemenkeu!$J$6:$J$1005,SMALL(IF(checklistPesertaKemenkeu!$AY$6:$AY$1005="Direkomendasikan",ROW($6:$1005)-5),771)),BidangList,0)),INDEX(checklistPesertaKemenkeu!$L$6:$L$1005,SMALL(IF(checklistPesertaKemenkeu!$AY$6:$AY$1005="Direkomendasikan",ROW($6:$1005)-5),771)))&gt;0,COUNTIF(INDIRECT("'KERTAS KERJA'!K"&amp;(SMALL(IF(checklistPesertaKemenkeu!$AY$6:$AY$1005="Direkomendasikan",ROW($6:$1005)-5),771)+5)&amp;":O"&amp;(SMALL(IF(checklistPesertaKemenkeu!$AY$6:$AY$1005="Direkomendasikan",ROW($6:$1005)-5),771)+5)),INDEX(checklistPesertaKemenkeu!$L$6:$L$1005,SMALL(IF(checklistPesertaKemenkeu!$AY$6:$AY$1005="Direkomendasikan",ROW($6:$1005)-5),771)))=1),IFERROR(VLOOKUP(INDEX(checklistPesertaKemenkeu!$L$6:$L$1005,SMALL(IF(checklistPesertaKemenkeu!$AY$6:$AY$1005="Direkomendasikan",ROW($6:$1005)-5),771)),KotaKode,2,0),"-"),"")),"")</f>
        <v/>
      </c>
      <c r="I772" t="str">
        <f t="array" aca="1" ref="I772" ca="1">IFERROR(IF(OR(INDEX(checklistPesertaKemenkeu!$M$6:$M$1005,SMALL(IF(checklistPesertaKemenkeu!$AY$6:$AY$1005="Direkomendasikan",ROW($6:$1005)-5),771))="",INDEX(checklistPesertaKemenkeu!$J$6:$J$1005,SMALL(IF(checklistPesertaKemenkeu!$AY$6:$AY$1005="Direkomendasikan",ROW($6:$1005)-5),771))=""),"",IF(AND(COUNTIF(INDIRECT("K_"&amp;MATCH(INDEX(checklistPesertaKemenkeu!$J$6:$J$1005,SMALL(IF(checklistPesertaKemenkeu!$AY$6:$AY$1005="Direkomendasikan",ROW($6:$1005)-5),771)),BidangList,0)),INDEX(checklistPesertaKemenkeu!$M$6:$M$1005,SMALL(IF(checklistPesertaKemenkeu!$AY$6:$AY$1005="Direkomendasikan",ROW($6:$1005)-5),771)))&gt;0,COUNTIF(INDIRECT("'KERTAS KERJA'!K"&amp;(SMALL(IF(checklistPesertaKemenkeu!$AY$6:$AY$1005="Direkomendasikan",ROW($6:$1005)-5),771)+5)&amp;":O"&amp;(SMALL(IF(checklistPesertaKemenkeu!$AY$6:$AY$1005="Direkomendasikan",ROW($6:$1005)-5),771)+5)),INDEX(checklistPesertaKemenkeu!$M$6:$M$1005,SMALL(IF(checklistPesertaKemenkeu!$AY$6:$AY$1005="Direkomendasikan",ROW($6:$1005)-5),771)))=1),IFERROR(VLOOKUP(INDEX(checklistPesertaKemenkeu!$M$6:$M$1005,SMALL(IF(checklistPesertaKemenkeu!$AY$6:$AY$1005="Direkomendasikan",ROW($6:$1005)-5),771)),KotaKode,2,0),"-"),"")),"")</f>
        <v/>
      </c>
      <c r="J772" t="str">
        <f t="array" aca="1" ref="J772" ca="1">IFERROR(IF(OR(INDEX(checklistPesertaKemenkeu!$N$6:$N$1005,SMALL(IF(checklistPesertaKemenkeu!$AY$6:$AY$1005="Direkomendasikan",ROW($6:$1005)-5),771))="",INDEX(checklistPesertaKemenkeu!$J$6:$J$1005,SMALL(IF(checklistPesertaKemenkeu!$AY$6:$AY$1005="Direkomendasikan",ROW($6:$1005)-5),771))=""),"",IF(AND(COUNTIF(INDIRECT("K_"&amp;MATCH(INDEX(checklistPesertaKemenkeu!$J$6:$J$1005,SMALL(IF(checklistPesertaKemenkeu!$AY$6:$AY$1005="Direkomendasikan",ROW($6:$1005)-5),771)),BidangList,0)),INDEX(checklistPesertaKemenkeu!$N$6:$N$1005,SMALL(IF(checklistPesertaKemenkeu!$AY$6:$AY$1005="Direkomendasikan",ROW($6:$1005)-5),771)))&gt;0,COUNTIF(INDIRECT("'KERTAS KERJA'!K"&amp;(SMALL(IF(checklistPesertaKemenkeu!$AY$6:$AY$1005="Direkomendasikan",ROW($6:$1005)-5),771)+5)&amp;":O"&amp;(SMALL(IF(checklistPesertaKemenkeu!$AY$6:$AY$1005="Direkomendasikan",ROW($6:$1005)-5),771)+5)),INDEX(checklistPesertaKemenkeu!$N$6:$N$1005,SMALL(IF(checklistPesertaKemenkeu!$AY$6:$AY$1005="Direkomendasikan",ROW($6:$1005)-5),771)))=1),IFERROR(VLOOKUP(INDEX(checklistPesertaKemenkeu!$N$6:$N$1005,SMALL(IF(checklistPesertaKemenkeu!$AY$6:$AY$1005="Direkomendasikan",ROW($6:$1005)-5),771)),KotaKode,2,0),"-"),"")),"")</f>
        <v/>
      </c>
      <c r="K772" t="str">
        <f t="array" aca="1" ref="K772" ca="1">IFERROR(IF(OR(INDEX(checklistPesertaKemenkeu!$O$6:$O$1005,SMALL(IF(checklistPesertaKemenkeu!$AY$6:$AY$1005="Direkomendasikan",ROW($6:$1005)-5),771))="",INDEX(checklistPesertaKemenkeu!$J$6:$J$1005,SMALL(IF(checklistPesertaKemenkeu!$AY$6:$AY$1005="Direkomendasikan",ROW($6:$1005)-5),771))=""),"",IF(AND(COUNTIF(INDIRECT("K_"&amp;MATCH(INDEX(checklistPesertaKemenkeu!$J$6:$J$1005,SMALL(IF(checklistPesertaKemenkeu!$AY$6:$AY$1005="Direkomendasikan",ROW($6:$1005)-5),771)),BidangList,0)),INDEX(checklistPesertaKemenkeu!$O$6:$O$1005,SMALL(IF(checklistPesertaKemenkeu!$AY$6:$AY$1005="Direkomendasikan",ROW($6:$1005)-5),771)))&gt;0,COUNTIF(INDIRECT("'KERTAS KERJA'!K"&amp;(SMALL(IF(checklistPesertaKemenkeu!$AY$6:$AY$1005="Direkomendasikan",ROW($6:$1005)-5),771)+5)&amp;":O"&amp;(SMALL(IF(checklistPesertaKemenkeu!$AY$6:$AY$1005="Direkomendasikan",ROW($6:$1005)-5),771)+5)),INDEX(checklistPesertaKemenkeu!$O$6:$O$1005,SMALL(IF(checklistPesertaKemenkeu!$AY$6:$AY$1005="Direkomendasikan",ROW($6:$1005)-5),771)))=1),IFERROR(VLOOKUP(INDEX(checklistPesertaKemenkeu!$O$6:$O$1005,SMALL(IF(checklistPesertaKemenkeu!$AY$6:$AY$1005="Direkomendasikan",ROW($6:$1005)-5),771)),KotaKode,2,0),"-"),"")),"")</f>
        <v/>
      </c>
      <c r="L772" t="str">
        <f t="array" aca="1" ref="L772" ca="1">IFERROR(IF(OR(INDEX(checklistPesertaKemenkeu!$P$6:$P$1005,SMALL(IF(checklistPesertaKemenkeu!$AY$6:$AY$1005="Direkomendasikan",ROW($6:$1005)-5),771))="",INDEX(checklistPesertaKemenkeu!$J$6:$J$1005,SMALL(IF(checklistPesertaKemenkeu!$AY$6:$AY$1005="Direkomendasikan",ROW($6:$1005)-5),771))=""),"",IF(AND(COUNTIF(INDIRECT("K_"&amp;MATCH(INDEX(checklistPesertaKemenkeu!$J$6:$J$1005,SMALL(IF(checklistPesertaKemenkeu!$AY$6:$AY$1005="Direkomendasikan",ROW($6:$1005)-5),771)),BidangList,0)),INDEX(checklistPesertaKemenkeu!$P$6:$P$1005,SMALL(IF(checklistPesertaKemenkeu!$AY$6:$AY$1005="Direkomendasikan",ROW($6:$1005)-5),771)))&gt;0,COUNTIF(INDIRECT("'KERTAS KERJA'!K"&amp;(SMALL(IF(checklistPesertaKemenkeu!$AY$6:$AY$1005="Direkomendasikan",ROW($6:$1005)-5),771)+5)&amp;":O"&amp;(SMALL(IF(checklistPesertaKemenkeu!$AY$6:$AY$1005="Direkomendasikan",ROW($6:$1005)-5),771)+5)),INDEX(checklistPesertaKemenkeu!$P$6:$P$1005,SMALL(IF(checklistPesertaKemenkeu!$AY$6:$AY$1005="Direkomendasikan",ROW($6:$1005)-5),771)))=1),IFERROR(VLOOKUP(INDEX(checklistPesertaKemenkeu!$P$6:$P$1005,SMALL(IF(checklistPesertaKemenkeu!$AY$6:$AY$1005="Direkomendasikan",ROW($6:$1005)-5),771)),KotaKode,2,0),"-"),"")),"")</f>
        <v/>
      </c>
    </row>
    <row r="773" spans="1:12" ht="15" customHeight="1" x14ac:dyDescent="0.2">
      <c r="A773" t="str">
        <f t="shared" si="12"/>
        <v/>
      </c>
      <c r="B773" t="str">
        <v/>
      </c>
      <c r="C773" s="40" t="str">
        <f t="array" ref="C773">IFERROR(INDEX(checklistPesertaKemenkeu!$F$6:$F$1005,SMALL(IF(checklistPesertaKemenkeu!$AY$6:$AY$1005="Direkomendasikan",ROW($6:$1005)-5),772)),"")</f>
        <v/>
      </c>
      <c r="D773" t="str">
        <f t="array" ref="D773">IFERROR(INDEX(checklistPesertaKemenkeu!$G$6:$G$1005,SMALL(IF(checklistPesertaKemenkeu!$AY$6:$AY$1005="Direkomendasikan",ROW($6:$1005)-5),772)),"")</f>
        <v/>
      </c>
      <c r="E773" t="str">
        <f t="array" ref="E773">IFERROR(INDEX(checklistPesertaKemenkeu!$H$6:$H$1005,SMALL(IF(checklistPesertaKemenkeu!$AY$6:$AY$1005="Direkomendasikan",ROW($6:$1005)-5),772)),"")</f>
        <v/>
      </c>
      <c r="F773" t="str">
        <f t="array" ref="F773">IFERROR(INDEX(checklistPesertaKemenkeu!$I$6:$I$1005,SMALL(IF(checklistPesertaKemenkeu!$AY$6:$AY$1005="Direkomendasikan",ROW($6:$1005)-5),772)),"")</f>
        <v/>
      </c>
      <c r="G773" t="str">
        <f t="array" ref="G773">IFERROR(INDEX(checklistPesertaKemenkeu!$J$6:$J$1005,SMALL(IF(checklistPesertaKemenkeu!$AY$6:$AY$1005="Direkomendasikan",ROW($6:$1005)-5),772)),"")</f>
        <v/>
      </c>
      <c r="H773" t="str">
        <f t="array" aca="1" ref="H773" ca="1">IFERROR(IF(OR(INDEX(checklistPesertaKemenkeu!$L$6:$L$1005,SMALL(IF(checklistPesertaKemenkeu!$AY$6:$AY$1005="Direkomendasikan",ROW($6:$1005)-5),772))="",INDEX(checklistPesertaKemenkeu!$J$6:$J$1005,SMALL(IF(checklistPesertaKemenkeu!$AY$6:$AY$1005="Direkomendasikan",ROW($6:$1005)-5),772))=""),"",IF(AND(COUNTIF(INDIRECT("K_"&amp;MATCH(INDEX(checklistPesertaKemenkeu!$J$6:$J$1005,SMALL(IF(checklistPesertaKemenkeu!$AY$6:$AY$1005="Direkomendasikan",ROW($6:$1005)-5),772)),BidangList,0)),INDEX(checklistPesertaKemenkeu!$L$6:$L$1005,SMALL(IF(checklistPesertaKemenkeu!$AY$6:$AY$1005="Direkomendasikan",ROW($6:$1005)-5),772)))&gt;0,COUNTIF(INDIRECT("'KERTAS KERJA'!K"&amp;(SMALL(IF(checklistPesertaKemenkeu!$AY$6:$AY$1005="Direkomendasikan",ROW($6:$1005)-5),772)+5)&amp;":O"&amp;(SMALL(IF(checklistPesertaKemenkeu!$AY$6:$AY$1005="Direkomendasikan",ROW($6:$1005)-5),772)+5)),INDEX(checklistPesertaKemenkeu!$L$6:$L$1005,SMALL(IF(checklistPesertaKemenkeu!$AY$6:$AY$1005="Direkomendasikan",ROW($6:$1005)-5),772)))=1),IFERROR(VLOOKUP(INDEX(checklistPesertaKemenkeu!$L$6:$L$1005,SMALL(IF(checklistPesertaKemenkeu!$AY$6:$AY$1005="Direkomendasikan",ROW($6:$1005)-5),772)),KotaKode,2,0),"-"),"")),"")</f>
        <v/>
      </c>
      <c r="I773" t="str">
        <f t="array" aca="1" ref="I773" ca="1">IFERROR(IF(OR(INDEX(checklistPesertaKemenkeu!$M$6:$M$1005,SMALL(IF(checklistPesertaKemenkeu!$AY$6:$AY$1005="Direkomendasikan",ROW($6:$1005)-5),772))="",INDEX(checklistPesertaKemenkeu!$J$6:$J$1005,SMALL(IF(checklistPesertaKemenkeu!$AY$6:$AY$1005="Direkomendasikan",ROW($6:$1005)-5),772))=""),"",IF(AND(COUNTIF(INDIRECT("K_"&amp;MATCH(INDEX(checklistPesertaKemenkeu!$J$6:$J$1005,SMALL(IF(checklistPesertaKemenkeu!$AY$6:$AY$1005="Direkomendasikan",ROW($6:$1005)-5),772)),BidangList,0)),INDEX(checklistPesertaKemenkeu!$M$6:$M$1005,SMALL(IF(checklistPesertaKemenkeu!$AY$6:$AY$1005="Direkomendasikan",ROW($6:$1005)-5),772)))&gt;0,COUNTIF(INDIRECT("'KERTAS KERJA'!K"&amp;(SMALL(IF(checklistPesertaKemenkeu!$AY$6:$AY$1005="Direkomendasikan",ROW($6:$1005)-5),772)+5)&amp;":O"&amp;(SMALL(IF(checklistPesertaKemenkeu!$AY$6:$AY$1005="Direkomendasikan",ROW($6:$1005)-5),772)+5)),INDEX(checklistPesertaKemenkeu!$M$6:$M$1005,SMALL(IF(checklistPesertaKemenkeu!$AY$6:$AY$1005="Direkomendasikan",ROW($6:$1005)-5),772)))=1),IFERROR(VLOOKUP(INDEX(checklistPesertaKemenkeu!$M$6:$M$1005,SMALL(IF(checklistPesertaKemenkeu!$AY$6:$AY$1005="Direkomendasikan",ROW($6:$1005)-5),772)),KotaKode,2,0),"-"),"")),"")</f>
        <v/>
      </c>
      <c r="J773" t="str">
        <f t="array" aca="1" ref="J773" ca="1">IFERROR(IF(OR(INDEX(checklistPesertaKemenkeu!$N$6:$N$1005,SMALL(IF(checklistPesertaKemenkeu!$AY$6:$AY$1005="Direkomendasikan",ROW($6:$1005)-5),772))="",INDEX(checklistPesertaKemenkeu!$J$6:$J$1005,SMALL(IF(checklistPesertaKemenkeu!$AY$6:$AY$1005="Direkomendasikan",ROW($6:$1005)-5),772))=""),"",IF(AND(COUNTIF(INDIRECT("K_"&amp;MATCH(INDEX(checklistPesertaKemenkeu!$J$6:$J$1005,SMALL(IF(checklistPesertaKemenkeu!$AY$6:$AY$1005="Direkomendasikan",ROW($6:$1005)-5),772)),BidangList,0)),INDEX(checklistPesertaKemenkeu!$N$6:$N$1005,SMALL(IF(checklistPesertaKemenkeu!$AY$6:$AY$1005="Direkomendasikan",ROW($6:$1005)-5),772)))&gt;0,COUNTIF(INDIRECT("'KERTAS KERJA'!K"&amp;(SMALL(IF(checklistPesertaKemenkeu!$AY$6:$AY$1005="Direkomendasikan",ROW($6:$1005)-5),772)+5)&amp;":O"&amp;(SMALL(IF(checklistPesertaKemenkeu!$AY$6:$AY$1005="Direkomendasikan",ROW($6:$1005)-5),772)+5)),INDEX(checklistPesertaKemenkeu!$N$6:$N$1005,SMALL(IF(checklistPesertaKemenkeu!$AY$6:$AY$1005="Direkomendasikan",ROW($6:$1005)-5),772)))=1),IFERROR(VLOOKUP(INDEX(checklistPesertaKemenkeu!$N$6:$N$1005,SMALL(IF(checklistPesertaKemenkeu!$AY$6:$AY$1005="Direkomendasikan",ROW($6:$1005)-5),772)),KotaKode,2,0),"-"),"")),"")</f>
        <v/>
      </c>
      <c r="K773" t="str">
        <f t="array" aca="1" ref="K773" ca="1">IFERROR(IF(OR(INDEX(checklistPesertaKemenkeu!$O$6:$O$1005,SMALL(IF(checklistPesertaKemenkeu!$AY$6:$AY$1005="Direkomendasikan",ROW($6:$1005)-5),772))="",INDEX(checklistPesertaKemenkeu!$J$6:$J$1005,SMALL(IF(checklistPesertaKemenkeu!$AY$6:$AY$1005="Direkomendasikan",ROW($6:$1005)-5),772))=""),"",IF(AND(COUNTIF(INDIRECT("K_"&amp;MATCH(INDEX(checklistPesertaKemenkeu!$J$6:$J$1005,SMALL(IF(checklistPesertaKemenkeu!$AY$6:$AY$1005="Direkomendasikan",ROW($6:$1005)-5),772)),BidangList,0)),INDEX(checklistPesertaKemenkeu!$O$6:$O$1005,SMALL(IF(checklistPesertaKemenkeu!$AY$6:$AY$1005="Direkomendasikan",ROW($6:$1005)-5),772)))&gt;0,COUNTIF(INDIRECT("'KERTAS KERJA'!K"&amp;(SMALL(IF(checklistPesertaKemenkeu!$AY$6:$AY$1005="Direkomendasikan",ROW($6:$1005)-5),772)+5)&amp;":O"&amp;(SMALL(IF(checklistPesertaKemenkeu!$AY$6:$AY$1005="Direkomendasikan",ROW($6:$1005)-5),772)+5)),INDEX(checklistPesertaKemenkeu!$O$6:$O$1005,SMALL(IF(checklistPesertaKemenkeu!$AY$6:$AY$1005="Direkomendasikan",ROW($6:$1005)-5),772)))=1),IFERROR(VLOOKUP(INDEX(checklistPesertaKemenkeu!$O$6:$O$1005,SMALL(IF(checklistPesertaKemenkeu!$AY$6:$AY$1005="Direkomendasikan",ROW($6:$1005)-5),772)),KotaKode,2,0),"-"),"")),"")</f>
        <v/>
      </c>
      <c r="L773" t="str">
        <f t="array" aca="1" ref="L773" ca="1">IFERROR(IF(OR(INDEX(checklistPesertaKemenkeu!$P$6:$P$1005,SMALL(IF(checklistPesertaKemenkeu!$AY$6:$AY$1005="Direkomendasikan",ROW($6:$1005)-5),772))="",INDEX(checklistPesertaKemenkeu!$J$6:$J$1005,SMALL(IF(checklistPesertaKemenkeu!$AY$6:$AY$1005="Direkomendasikan",ROW($6:$1005)-5),772))=""),"",IF(AND(COUNTIF(INDIRECT("K_"&amp;MATCH(INDEX(checklistPesertaKemenkeu!$J$6:$J$1005,SMALL(IF(checklistPesertaKemenkeu!$AY$6:$AY$1005="Direkomendasikan",ROW($6:$1005)-5),772)),BidangList,0)),INDEX(checklistPesertaKemenkeu!$P$6:$P$1005,SMALL(IF(checklistPesertaKemenkeu!$AY$6:$AY$1005="Direkomendasikan",ROW($6:$1005)-5),772)))&gt;0,COUNTIF(INDIRECT("'KERTAS KERJA'!K"&amp;(SMALL(IF(checklistPesertaKemenkeu!$AY$6:$AY$1005="Direkomendasikan",ROW($6:$1005)-5),772)+5)&amp;":O"&amp;(SMALL(IF(checklistPesertaKemenkeu!$AY$6:$AY$1005="Direkomendasikan",ROW($6:$1005)-5),772)+5)),INDEX(checklistPesertaKemenkeu!$P$6:$P$1005,SMALL(IF(checklistPesertaKemenkeu!$AY$6:$AY$1005="Direkomendasikan",ROW($6:$1005)-5),772)))=1),IFERROR(VLOOKUP(INDEX(checklistPesertaKemenkeu!$P$6:$P$1005,SMALL(IF(checklistPesertaKemenkeu!$AY$6:$AY$1005="Direkomendasikan",ROW($6:$1005)-5),772)),KotaKode,2,0),"-"),"")),"")</f>
        <v/>
      </c>
    </row>
    <row r="774" spans="1:12" ht="15" customHeight="1" x14ac:dyDescent="0.2">
      <c r="A774" t="str">
        <f t="shared" si="12"/>
        <v/>
      </c>
      <c r="B774" t="str">
        <v/>
      </c>
      <c r="C774" s="40" t="str">
        <f t="array" ref="C774">IFERROR(INDEX(checklistPesertaKemenkeu!$F$6:$F$1005,SMALL(IF(checklistPesertaKemenkeu!$AY$6:$AY$1005="Direkomendasikan",ROW($6:$1005)-5),773)),"")</f>
        <v/>
      </c>
      <c r="D774" t="str">
        <f t="array" ref="D774">IFERROR(INDEX(checklistPesertaKemenkeu!$G$6:$G$1005,SMALL(IF(checklistPesertaKemenkeu!$AY$6:$AY$1005="Direkomendasikan",ROW($6:$1005)-5),773)),"")</f>
        <v/>
      </c>
      <c r="E774" t="str">
        <f t="array" ref="E774">IFERROR(INDEX(checklistPesertaKemenkeu!$H$6:$H$1005,SMALL(IF(checklistPesertaKemenkeu!$AY$6:$AY$1005="Direkomendasikan",ROW($6:$1005)-5),773)),"")</f>
        <v/>
      </c>
      <c r="F774" t="str">
        <f t="array" ref="F774">IFERROR(INDEX(checklistPesertaKemenkeu!$I$6:$I$1005,SMALL(IF(checklistPesertaKemenkeu!$AY$6:$AY$1005="Direkomendasikan",ROW($6:$1005)-5),773)),"")</f>
        <v/>
      </c>
      <c r="G774" t="str">
        <f t="array" ref="G774">IFERROR(INDEX(checklistPesertaKemenkeu!$J$6:$J$1005,SMALL(IF(checklistPesertaKemenkeu!$AY$6:$AY$1005="Direkomendasikan",ROW($6:$1005)-5),773)),"")</f>
        <v/>
      </c>
      <c r="H774" t="str">
        <f t="array" aca="1" ref="H774" ca="1">IFERROR(IF(OR(INDEX(checklistPesertaKemenkeu!$L$6:$L$1005,SMALL(IF(checklistPesertaKemenkeu!$AY$6:$AY$1005="Direkomendasikan",ROW($6:$1005)-5),773))="",INDEX(checklistPesertaKemenkeu!$J$6:$J$1005,SMALL(IF(checklistPesertaKemenkeu!$AY$6:$AY$1005="Direkomendasikan",ROW($6:$1005)-5),773))=""),"",IF(AND(COUNTIF(INDIRECT("K_"&amp;MATCH(INDEX(checklistPesertaKemenkeu!$J$6:$J$1005,SMALL(IF(checklistPesertaKemenkeu!$AY$6:$AY$1005="Direkomendasikan",ROW($6:$1005)-5),773)),BidangList,0)),INDEX(checklistPesertaKemenkeu!$L$6:$L$1005,SMALL(IF(checklistPesertaKemenkeu!$AY$6:$AY$1005="Direkomendasikan",ROW($6:$1005)-5),773)))&gt;0,COUNTIF(INDIRECT("'KERTAS KERJA'!K"&amp;(SMALL(IF(checklistPesertaKemenkeu!$AY$6:$AY$1005="Direkomendasikan",ROW($6:$1005)-5),773)+5)&amp;":O"&amp;(SMALL(IF(checklistPesertaKemenkeu!$AY$6:$AY$1005="Direkomendasikan",ROW($6:$1005)-5),773)+5)),INDEX(checklistPesertaKemenkeu!$L$6:$L$1005,SMALL(IF(checklistPesertaKemenkeu!$AY$6:$AY$1005="Direkomendasikan",ROW($6:$1005)-5),773)))=1),IFERROR(VLOOKUP(INDEX(checklistPesertaKemenkeu!$L$6:$L$1005,SMALL(IF(checklistPesertaKemenkeu!$AY$6:$AY$1005="Direkomendasikan",ROW($6:$1005)-5),773)),KotaKode,2,0),"-"),"")),"")</f>
        <v/>
      </c>
      <c r="I774" t="str">
        <f t="array" aca="1" ref="I774" ca="1">IFERROR(IF(OR(INDEX(checklistPesertaKemenkeu!$M$6:$M$1005,SMALL(IF(checklistPesertaKemenkeu!$AY$6:$AY$1005="Direkomendasikan",ROW($6:$1005)-5),773))="",INDEX(checklistPesertaKemenkeu!$J$6:$J$1005,SMALL(IF(checklistPesertaKemenkeu!$AY$6:$AY$1005="Direkomendasikan",ROW($6:$1005)-5),773))=""),"",IF(AND(COUNTIF(INDIRECT("K_"&amp;MATCH(INDEX(checklistPesertaKemenkeu!$J$6:$J$1005,SMALL(IF(checklistPesertaKemenkeu!$AY$6:$AY$1005="Direkomendasikan",ROW($6:$1005)-5),773)),BidangList,0)),INDEX(checklistPesertaKemenkeu!$M$6:$M$1005,SMALL(IF(checklistPesertaKemenkeu!$AY$6:$AY$1005="Direkomendasikan",ROW($6:$1005)-5),773)))&gt;0,COUNTIF(INDIRECT("'KERTAS KERJA'!K"&amp;(SMALL(IF(checklistPesertaKemenkeu!$AY$6:$AY$1005="Direkomendasikan",ROW($6:$1005)-5),773)+5)&amp;":O"&amp;(SMALL(IF(checklistPesertaKemenkeu!$AY$6:$AY$1005="Direkomendasikan",ROW($6:$1005)-5),773)+5)),INDEX(checklistPesertaKemenkeu!$M$6:$M$1005,SMALL(IF(checklistPesertaKemenkeu!$AY$6:$AY$1005="Direkomendasikan",ROW($6:$1005)-5),773)))=1),IFERROR(VLOOKUP(INDEX(checklistPesertaKemenkeu!$M$6:$M$1005,SMALL(IF(checklistPesertaKemenkeu!$AY$6:$AY$1005="Direkomendasikan",ROW($6:$1005)-5),773)),KotaKode,2,0),"-"),"")),"")</f>
        <v/>
      </c>
      <c r="J774" t="str">
        <f t="array" aca="1" ref="J774" ca="1">IFERROR(IF(OR(INDEX(checklistPesertaKemenkeu!$N$6:$N$1005,SMALL(IF(checklistPesertaKemenkeu!$AY$6:$AY$1005="Direkomendasikan",ROW($6:$1005)-5),773))="",INDEX(checklistPesertaKemenkeu!$J$6:$J$1005,SMALL(IF(checklistPesertaKemenkeu!$AY$6:$AY$1005="Direkomendasikan",ROW($6:$1005)-5),773))=""),"",IF(AND(COUNTIF(INDIRECT("K_"&amp;MATCH(INDEX(checklistPesertaKemenkeu!$J$6:$J$1005,SMALL(IF(checklistPesertaKemenkeu!$AY$6:$AY$1005="Direkomendasikan",ROW($6:$1005)-5),773)),BidangList,0)),INDEX(checklistPesertaKemenkeu!$N$6:$N$1005,SMALL(IF(checklistPesertaKemenkeu!$AY$6:$AY$1005="Direkomendasikan",ROW($6:$1005)-5),773)))&gt;0,COUNTIF(INDIRECT("'KERTAS KERJA'!K"&amp;(SMALL(IF(checklistPesertaKemenkeu!$AY$6:$AY$1005="Direkomendasikan",ROW($6:$1005)-5),773)+5)&amp;":O"&amp;(SMALL(IF(checklistPesertaKemenkeu!$AY$6:$AY$1005="Direkomendasikan",ROW($6:$1005)-5),773)+5)),INDEX(checklistPesertaKemenkeu!$N$6:$N$1005,SMALL(IF(checklistPesertaKemenkeu!$AY$6:$AY$1005="Direkomendasikan",ROW($6:$1005)-5),773)))=1),IFERROR(VLOOKUP(INDEX(checklistPesertaKemenkeu!$N$6:$N$1005,SMALL(IF(checklistPesertaKemenkeu!$AY$6:$AY$1005="Direkomendasikan",ROW($6:$1005)-5),773)),KotaKode,2,0),"-"),"")),"")</f>
        <v/>
      </c>
      <c r="K774" t="str">
        <f t="array" aca="1" ref="K774" ca="1">IFERROR(IF(OR(INDEX(checklistPesertaKemenkeu!$O$6:$O$1005,SMALL(IF(checklistPesertaKemenkeu!$AY$6:$AY$1005="Direkomendasikan",ROW($6:$1005)-5),773))="",INDEX(checklistPesertaKemenkeu!$J$6:$J$1005,SMALL(IF(checklistPesertaKemenkeu!$AY$6:$AY$1005="Direkomendasikan",ROW($6:$1005)-5),773))=""),"",IF(AND(COUNTIF(INDIRECT("K_"&amp;MATCH(INDEX(checklistPesertaKemenkeu!$J$6:$J$1005,SMALL(IF(checklistPesertaKemenkeu!$AY$6:$AY$1005="Direkomendasikan",ROW($6:$1005)-5),773)),BidangList,0)),INDEX(checklistPesertaKemenkeu!$O$6:$O$1005,SMALL(IF(checklistPesertaKemenkeu!$AY$6:$AY$1005="Direkomendasikan",ROW($6:$1005)-5),773)))&gt;0,COUNTIF(INDIRECT("'KERTAS KERJA'!K"&amp;(SMALL(IF(checklistPesertaKemenkeu!$AY$6:$AY$1005="Direkomendasikan",ROW($6:$1005)-5),773)+5)&amp;":O"&amp;(SMALL(IF(checklistPesertaKemenkeu!$AY$6:$AY$1005="Direkomendasikan",ROW($6:$1005)-5),773)+5)),INDEX(checklistPesertaKemenkeu!$O$6:$O$1005,SMALL(IF(checklistPesertaKemenkeu!$AY$6:$AY$1005="Direkomendasikan",ROW($6:$1005)-5),773)))=1),IFERROR(VLOOKUP(INDEX(checklistPesertaKemenkeu!$O$6:$O$1005,SMALL(IF(checklistPesertaKemenkeu!$AY$6:$AY$1005="Direkomendasikan",ROW($6:$1005)-5),773)),KotaKode,2,0),"-"),"")),"")</f>
        <v/>
      </c>
      <c r="L774" t="str">
        <f t="array" aca="1" ref="L774" ca="1">IFERROR(IF(OR(INDEX(checklistPesertaKemenkeu!$P$6:$P$1005,SMALL(IF(checklistPesertaKemenkeu!$AY$6:$AY$1005="Direkomendasikan",ROW($6:$1005)-5),773))="",INDEX(checklistPesertaKemenkeu!$J$6:$J$1005,SMALL(IF(checklistPesertaKemenkeu!$AY$6:$AY$1005="Direkomendasikan",ROW($6:$1005)-5),773))=""),"",IF(AND(COUNTIF(INDIRECT("K_"&amp;MATCH(INDEX(checklistPesertaKemenkeu!$J$6:$J$1005,SMALL(IF(checklistPesertaKemenkeu!$AY$6:$AY$1005="Direkomendasikan",ROW($6:$1005)-5),773)),BidangList,0)),INDEX(checklistPesertaKemenkeu!$P$6:$P$1005,SMALL(IF(checklistPesertaKemenkeu!$AY$6:$AY$1005="Direkomendasikan",ROW($6:$1005)-5),773)))&gt;0,COUNTIF(INDIRECT("'KERTAS KERJA'!K"&amp;(SMALL(IF(checklistPesertaKemenkeu!$AY$6:$AY$1005="Direkomendasikan",ROW($6:$1005)-5),773)+5)&amp;":O"&amp;(SMALL(IF(checklistPesertaKemenkeu!$AY$6:$AY$1005="Direkomendasikan",ROW($6:$1005)-5),773)+5)),INDEX(checklistPesertaKemenkeu!$P$6:$P$1005,SMALL(IF(checklistPesertaKemenkeu!$AY$6:$AY$1005="Direkomendasikan",ROW($6:$1005)-5),773)))=1),IFERROR(VLOOKUP(INDEX(checklistPesertaKemenkeu!$P$6:$P$1005,SMALL(IF(checklistPesertaKemenkeu!$AY$6:$AY$1005="Direkomendasikan",ROW($6:$1005)-5),773)),KotaKode,2,0),"-"),"")),"")</f>
        <v/>
      </c>
    </row>
    <row r="775" spans="1:12" ht="15" customHeight="1" x14ac:dyDescent="0.2">
      <c r="A775" t="str">
        <f t="shared" si="12"/>
        <v/>
      </c>
      <c r="B775" t="str">
        <v/>
      </c>
      <c r="C775" s="40" t="str">
        <f t="array" ref="C775">IFERROR(INDEX(checklistPesertaKemenkeu!$F$6:$F$1005,SMALL(IF(checklistPesertaKemenkeu!$AY$6:$AY$1005="Direkomendasikan",ROW($6:$1005)-5),774)),"")</f>
        <v/>
      </c>
      <c r="D775" t="str">
        <f t="array" ref="D775">IFERROR(INDEX(checklistPesertaKemenkeu!$G$6:$G$1005,SMALL(IF(checklistPesertaKemenkeu!$AY$6:$AY$1005="Direkomendasikan",ROW($6:$1005)-5),774)),"")</f>
        <v/>
      </c>
      <c r="E775" t="str">
        <f t="array" ref="E775">IFERROR(INDEX(checklistPesertaKemenkeu!$H$6:$H$1005,SMALL(IF(checklistPesertaKemenkeu!$AY$6:$AY$1005="Direkomendasikan",ROW($6:$1005)-5),774)),"")</f>
        <v/>
      </c>
      <c r="F775" t="str">
        <f t="array" ref="F775">IFERROR(INDEX(checklistPesertaKemenkeu!$I$6:$I$1005,SMALL(IF(checklistPesertaKemenkeu!$AY$6:$AY$1005="Direkomendasikan",ROW($6:$1005)-5),774)),"")</f>
        <v/>
      </c>
      <c r="G775" t="str">
        <f t="array" ref="G775">IFERROR(INDEX(checklistPesertaKemenkeu!$J$6:$J$1005,SMALL(IF(checklistPesertaKemenkeu!$AY$6:$AY$1005="Direkomendasikan",ROW($6:$1005)-5),774)),"")</f>
        <v/>
      </c>
      <c r="H775" t="str">
        <f t="array" aca="1" ref="H775" ca="1">IFERROR(IF(OR(INDEX(checklistPesertaKemenkeu!$L$6:$L$1005,SMALL(IF(checklistPesertaKemenkeu!$AY$6:$AY$1005="Direkomendasikan",ROW($6:$1005)-5),774))="",INDEX(checklistPesertaKemenkeu!$J$6:$J$1005,SMALL(IF(checklistPesertaKemenkeu!$AY$6:$AY$1005="Direkomendasikan",ROW($6:$1005)-5),774))=""),"",IF(AND(COUNTIF(INDIRECT("K_"&amp;MATCH(INDEX(checklistPesertaKemenkeu!$J$6:$J$1005,SMALL(IF(checklistPesertaKemenkeu!$AY$6:$AY$1005="Direkomendasikan",ROW($6:$1005)-5),774)),BidangList,0)),INDEX(checklistPesertaKemenkeu!$L$6:$L$1005,SMALL(IF(checklistPesertaKemenkeu!$AY$6:$AY$1005="Direkomendasikan",ROW($6:$1005)-5),774)))&gt;0,COUNTIF(INDIRECT("'KERTAS KERJA'!K"&amp;(SMALL(IF(checklistPesertaKemenkeu!$AY$6:$AY$1005="Direkomendasikan",ROW($6:$1005)-5),774)+5)&amp;":O"&amp;(SMALL(IF(checklistPesertaKemenkeu!$AY$6:$AY$1005="Direkomendasikan",ROW($6:$1005)-5),774)+5)),INDEX(checklistPesertaKemenkeu!$L$6:$L$1005,SMALL(IF(checklistPesertaKemenkeu!$AY$6:$AY$1005="Direkomendasikan",ROW($6:$1005)-5),774)))=1),IFERROR(VLOOKUP(INDEX(checklistPesertaKemenkeu!$L$6:$L$1005,SMALL(IF(checklistPesertaKemenkeu!$AY$6:$AY$1005="Direkomendasikan",ROW($6:$1005)-5),774)),KotaKode,2,0),"-"),"")),"")</f>
        <v/>
      </c>
      <c r="I775" t="str">
        <f t="array" aca="1" ref="I775" ca="1">IFERROR(IF(OR(INDEX(checklistPesertaKemenkeu!$M$6:$M$1005,SMALL(IF(checklistPesertaKemenkeu!$AY$6:$AY$1005="Direkomendasikan",ROW($6:$1005)-5),774))="",INDEX(checklistPesertaKemenkeu!$J$6:$J$1005,SMALL(IF(checklistPesertaKemenkeu!$AY$6:$AY$1005="Direkomendasikan",ROW($6:$1005)-5),774))=""),"",IF(AND(COUNTIF(INDIRECT("K_"&amp;MATCH(INDEX(checklistPesertaKemenkeu!$J$6:$J$1005,SMALL(IF(checklistPesertaKemenkeu!$AY$6:$AY$1005="Direkomendasikan",ROW($6:$1005)-5),774)),BidangList,0)),INDEX(checklistPesertaKemenkeu!$M$6:$M$1005,SMALL(IF(checklistPesertaKemenkeu!$AY$6:$AY$1005="Direkomendasikan",ROW($6:$1005)-5),774)))&gt;0,COUNTIF(INDIRECT("'KERTAS KERJA'!K"&amp;(SMALL(IF(checklistPesertaKemenkeu!$AY$6:$AY$1005="Direkomendasikan",ROW($6:$1005)-5),774)+5)&amp;":O"&amp;(SMALL(IF(checklistPesertaKemenkeu!$AY$6:$AY$1005="Direkomendasikan",ROW($6:$1005)-5),774)+5)),INDEX(checklistPesertaKemenkeu!$M$6:$M$1005,SMALL(IF(checklistPesertaKemenkeu!$AY$6:$AY$1005="Direkomendasikan",ROW($6:$1005)-5),774)))=1),IFERROR(VLOOKUP(INDEX(checklistPesertaKemenkeu!$M$6:$M$1005,SMALL(IF(checklistPesertaKemenkeu!$AY$6:$AY$1005="Direkomendasikan",ROW($6:$1005)-5),774)),KotaKode,2,0),"-"),"")),"")</f>
        <v/>
      </c>
      <c r="J775" t="str">
        <f t="array" aca="1" ref="J775" ca="1">IFERROR(IF(OR(INDEX(checklistPesertaKemenkeu!$N$6:$N$1005,SMALL(IF(checklistPesertaKemenkeu!$AY$6:$AY$1005="Direkomendasikan",ROW($6:$1005)-5),774))="",INDEX(checklistPesertaKemenkeu!$J$6:$J$1005,SMALL(IF(checklistPesertaKemenkeu!$AY$6:$AY$1005="Direkomendasikan",ROW($6:$1005)-5),774))=""),"",IF(AND(COUNTIF(INDIRECT("K_"&amp;MATCH(INDEX(checklistPesertaKemenkeu!$J$6:$J$1005,SMALL(IF(checklistPesertaKemenkeu!$AY$6:$AY$1005="Direkomendasikan",ROW($6:$1005)-5),774)),BidangList,0)),INDEX(checklistPesertaKemenkeu!$N$6:$N$1005,SMALL(IF(checklistPesertaKemenkeu!$AY$6:$AY$1005="Direkomendasikan",ROW($6:$1005)-5),774)))&gt;0,COUNTIF(INDIRECT("'KERTAS KERJA'!K"&amp;(SMALL(IF(checklistPesertaKemenkeu!$AY$6:$AY$1005="Direkomendasikan",ROW($6:$1005)-5),774)+5)&amp;":O"&amp;(SMALL(IF(checklistPesertaKemenkeu!$AY$6:$AY$1005="Direkomendasikan",ROW($6:$1005)-5),774)+5)),INDEX(checklistPesertaKemenkeu!$N$6:$N$1005,SMALL(IF(checklistPesertaKemenkeu!$AY$6:$AY$1005="Direkomendasikan",ROW($6:$1005)-5),774)))=1),IFERROR(VLOOKUP(INDEX(checklistPesertaKemenkeu!$N$6:$N$1005,SMALL(IF(checklistPesertaKemenkeu!$AY$6:$AY$1005="Direkomendasikan",ROW($6:$1005)-5),774)),KotaKode,2,0),"-"),"")),"")</f>
        <v/>
      </c>
      <c r="K775" t="str">
        <f t="array" aca="1" ref="K775" ca="1">IFERROR(IF(OR(INDEX(checklistPesertaKemenkeu!$O$6:$O$1005,SMALL(IF(checklistPesertaKemenkeu!$AY$6:$AY$1005="Direkomendasikan",ROW($6:$1005)-5),774))="",INDEX(checklistPesertaKemenkeu!$J$6:$J$1005,SMALL(IF(checklistPesertaKemenkeu!$AY$6:$AY$1005="Direkomendasikan",ROW($6:$1005)-5),774))=""),"",IF(AND(COUNTIF(INDIRECT("K_"&amp;MATCH(INDEX(checklistPesertaKemenkeu!$J$6:$J$1005,SMALL(IF(checklistPesertaKemenkeu!$AY$6:$AY$1005="Direkomendasikan",ROW($6:$1005)-5),774)),BidangList,0)),INDEX(checklistPesertaKemenkeu!$O$6:$O$1005,SMALL(IF(checklistPesertaKemenkeu!$AY$6:$AY$1005="Direkomendasikan",ROW($6:$1005)-5),774)))&gt;0,COUNTIF(INDIRECT("'KERTAS KERJA'!K"&amp;(SMALL(IF(checklistPesertaKemenkeu!$AY$6:$AY$1005="Direkomendasikan",ROW($6:$1005)-5),774)+5)&amp;":O"&amp;(SMALL(IF(checklistPesertaKemenkeu!$AY$6:$AY$1005="Direkomendasikan",ROW($6:$1005)-5),774)+5)),INDEX(checklistPesertaKemenkeu!$O$6:$O$1005,SMALL(IF(checklistPesertaKemenkeu!$AY$6:$AY$1005="Direkomendasikan",ROW($6:$1005)-5),774)))=1),IFERROR(VLOOKUP(INDEX(checklistPesertaKemenkeu!$O$6:$O$1005,SMALL(IF(checklistPesertaKemenkeu!$AY$6:$AY$1005="Direkomendasikan",ROW($6:$1005)-5),774)),KotaKode,2,0),"-"),"")),"")</f>
        <v/>
      </c>
      <c r="L775" t="str">
        <f t="array" aca="1" ref="L775" ca="1">IFERROR(IF(OR(INDEX(checklistPesertaKemenkeu!$P$6:$P$1005,SMALL(IF(checklistPesertaKemenkeu!$AY$6:$AY$1005="Direkomendasikan",ROW($6:$1005)-5),774))="",INDEX(checklistPesertaKemenkeu!$J$6:$J$1005,SMALL(IF(checklistPesertaKemenkeu!$AY$6:$AY$1005="Direkomendasikan",ROW($6:$1005)-5),774))=""),"",IF(AND(COUNTIF(INDIRECT("K_"&amp;MATCH(INDEX(checklistPesertaKemenkeu!$J$6:$J$1005,SMALL(IF(checklistPesertaKemenkeu!$AY$6:$AY$1005="Direkomendasikan",ROW($6:$1005)-5),774)),BidangList,0)),INDEX(checklistPesertaKemenkeu!$P$6:$P$1005,SMALL(IF(checklistPesertaKemenkeu!$AY$6:$AY$1005="Direkomendasikan",ROW($6:$1005)-5),774)))&gt;0,COUNTIF(INDIRECT("'KERTAS KERJA'!K"&amp;(SMALL(IF(checklistPesertaKemenkeu!$AY$6:$AY$1005="Direkomendasikan",ROW($6:$1005)-5),774)+5)&amp;":O"&amp;(SMALL(IF(checklistPesertaKemenkeu!$AY$6:$AY$1005="Direkomendasikan",ROW($6:$1005)-5),774)+5)),INDEX(checklistPesertaKemenkeu!$P$6:$P$1005,SMALL(IF(checklistPesertaKemenkeu!$AY$6:$AY$1005="Direkomendasikan",ROW($6:$1005)-5),774)))=1),IFERROR(VLOOKUP(INDEX(checklistPesertaKemenkeu!$P$6:$P$1005,SMALL(IF(checklistPesertaKemenkeu!$AY$6:$AY$1005="Direkomendasikan",ROW($6:$1005)-5),774)),KotaKode,2,0),"-"),"")),"")</f>
        <v/>
      </c>
    </row>
    <row r="776" spans="1:12" ht="15" customHeight="1" x14ac:dyDescent="0.2">
      <c r="A776" t="str">
        <f t="shared" si="12"/>
        <v/>
      </c>
      <c r="B776" t="str">
        <v/>
      </c>
      <c r="C776" s="40" t="str">
        <f t="array" ref="C776">IFERROR(INDEX(checklistPesertaKemenkeu!$F$6:$F$1005,SMALL(IF(checklistPesertaKemenkeu!$AY$6:$AY$1005="Direkomendasikan",ROW($6:$1005)-5),775)),"")</f>
        <v/>
      </c>
      <c r="D776" t="str">
        <f t="array" ref="D776">IFERROR(INDEX(checklistPesertaKemenkeu!$G$6:$G$1005,SMALL(IF(checklistPesertaKemenkeu!$AY$6:$AY$1005="Direkomendasikan",ROW($6:$1005)-5),775)),"")</f>
        <v/>
      </c>
      <c r="E776" t="str">
        <f t="array" ref="E776">IFERROR(INDEX(checklistPesertaKemenkeu!$H$6:$H$1005,SMALL(IF(checklistPesertaKemenkeu!$AY$6:$AY$1005="Direkomendasikan",ROW($6:$1005)-5),775)),"")</f>
        <v/>
      </c>
      <c r="F776" t="str">
        <f t="array" ref="F776">IFERROR(INDEX(checklistPesertaKemenkeu!$I$6:$I$1005,SMALL(IF(checklistPesertaKemenkeu!$AY$6:$AY$1005="Direkomendasikan",ROW($6:$1005)-5),775)),"")</f>
        <v/>
      </c>
      <c r="G776" t="str">
        <f t="array" ref="G776">IFERROR(INDEX(checklistPesertaKemenkeu!$J$6:$J$1005,SMALL(IF(checklistPesertaKemenkeu!$AY$6:$AY$1005="Direkomendasikan",ROW($6:$1005)-5),775)),"")</f>
        <v/>
      </c>
      <c r="H776" t="str">
        <f t="array" aca="1" ref="H776" ca="1">IFERROR(IF(OR(INDEX(checklistPesertaKemenkeu!$L$6:$L$1005,SMALL(IF(checklistPesertaKemenkeu!$AY$6:$AY$1005="Direkomendasikan",ROW($6:$1005)-5),775))="",INDEX(checklistPesertaKemenkeu!$J$6:$J$1005,SMALL(IF(checklistPesertaKemenkeu!$AY$6:$AY$1005="Direkomendasikan",ROW($6:$1005)-5),775))=""),"",IF(AND(COUNTIF(INDIRECT("K_"&amp;MATCH(INDEX(checklistPesertaKemenkeu!$J$6:$J$1005,SMALL(IF(checklistPesertaKemenkeu!$AY$6:$AY$1005="Direkomendasikan",ROW($6:$1005)-5),775)),BidangList,0)),INDEX(checklistPesertaKemenkeu!$L$6:$L$1005,SMALL(IF(checklistPesertaKemenkeu!$AY$6:$AY$1005="Direkomendasikan",ROW($6:$1005)-5),775)))&gt;0,COUNTIF(INDIRECT("'KERTAS KERJA'!K"&amp;(SMALL(IF(checklistPesertaKemenkeu!$AY$6:$AY$1005="Direkomendasikan",ROW($6:$1005)-5),775)+5)&amp;":O"&amp;(SMALL(IF(checklistPesertaKemenkeu!$AY$6:$AY$1005="Direkomendasikan",ROW($6:$1005)-5),775)+5)),INDEX(checklistPesertaKemenkeu!$L$6:$L$1005,SMALL(IF(checklistPesertaKemenkeu!$AY$6:$AY$1005="Direkomendasikan",ROW($6:$1005)-5),775)))=1),IFERROR(VLOOKUP(INDEX(checklistPesertaKemenkeu!$L$6:$L$1005,SMALL(IF(checklistPesertaKemenkeu!$AY$6:$AY$1005="Direkomendasikan",ROW($6:$1005)-5),775)),KotaKode,2,0),"-"),"")),"")</f>
        <v/>
      </c>
      <c r="I776" t="str">
        <f t="array" aca="1" ref="I776" ca="1">IFERROR(IF(OR(INDEX(checklistPesertaKemenkeu!$M$6:$M$1005,SMALL(IF(checklistPesertaKemenkeu!$AY$6:$AY$1005="Direkomendasikan",ROW($6:$1005)-5),775))="",INDEX(checklistPesertaKemenkeu!$J$6:$J$1005,SMALL(IF(checklistPesertaKemenkeu!$AY$6:$AY$1005="Direkomendasikan",ROW($6:$1005)-5),775))=""),"",IF(AND(COUNTIF(INDIRECT("K_"&amp;MATCH(INDEX(checklistPesertaKemenkeu!$J$6:$J$1005,SMALL(IF(checklistPesertaKemenkeu!$AY$6:$AY$1005="Direkomendasikan",ROW($6:$1005)-5),775)),BidangList,0)),INDEX(checklistPesertaKemenkeu!$M$6:$M$1005,SMALL(IF(checklistPesertaKemenkeu!$AY$6:$AY$1005="Direkomendasikan",ROW($6:$1005)-5),775)))&gt;0,COUNTIF(INDIRECT("'KERTAS KERJA'!K"&amp;(SMALL(IF(checklistPesertaKemenkeu!$AY$6:$AY$1005="Direkomendasikan",ROW($6:$1005)-5),775)+5)&amp;":O"&amp;(SMALL(IF(checklistPesertaKemenkeu!$AY$6:$AY$1005="Direkomendasikan",ROW($6:$1005)-5),775)+5)),INDEX(checklistPesertaKemenkeu!$M$6:$M$1005,SMALL(IF(checklistPesertaKemenkeu!$AY$6:$AY$1005="Direkomendasikan",ROW($6:$1005)-5),775)))=1),IFERROR(VLOOKUP(INDEX(checklistPesertaKemenkeu!$M$6:$M$1005,SMALL(IF(checklistPesertaKemenkeu!$AY$6:$AY$1005="Direkomendasikan",ROW($6:$1005)-5),775)),KotaKode,2,0),"-"),"")),"")</f>
        <v/>
      </c>
      <c r="J776" t="str">
        <f t="array" aca="1" ref="J776" ca="1">IFERROR(IF(OR(INDEX(checklistPesertaKemenkeu!$N$6:$N$1005,SMALL(IF(checklistPesertaKemenkeu!$AY$6:$AY$1005="Direkomendasikan",ROW($6:$1005)-5),775))="",INDEX(checklistPesertaKemenkeu!$J$6:$J$1005,SMALL(IF(checklistPesertaKemenkeu!$AY$6:$AY$1005="Direkomendasikan",ROW($6:$1005)-5),775))=""),"",IF(AND(COUNTIF(INDIRECT("K_"&amp;MATCH(INDEX(checklistPesertaKemenkeu!$J$6:$J$1005,SMALL(IF(checklistPesertaKemenkeu!$AY$6:$AY$1005="Direkomendasikan",ROW($6:$1005)-5),775)),BidangList,0)),INDEX(checklistPesertaKemenkeu!$N$6:$N$1005,SMALL(IF(checklistPesertaKemenkeu!$AY$6:$AY$1005="Direkomendasikan",ROW($6:$1005)-5),775)))&gt;0,COUNTIF(INDIRECT("'KERTAS KERJA'!K"&amp;(SMALL(IF(checklistPesertaKemenkeu!$AY$6:$AY$1005="Direkomendasikan",ROW($6:$1005)-5),775)+5)&amp;":O"&amp;(SMALL(IF(checklistPesertaKemenkeu!$AY$6:$AY$1005="Direkomendasikan",ROW($6:$1005)-5),775)+5)),INDEX(checklistPesertaKemenkeu!$N$6:$N$1005,SMALL(IF(checklistPesertaKemenkeu!$AY$6:$AY$1005="Direkomendasikan",ROW($6:$1005)-5),775)))=1),IFERROR(VLOOKUP(INDEX(checklistPesertaKemenkeu!$N$6:$N$1005,SMALL(IF(checklistPesertaKemenkeu!$AY$6:$AY$1005="Direkomendasikan",ROW($6:$1005)-5),775)),KotaKode,2,0),"-"),"")),"")</f>
        <v/>
      </c>
      <c r="K776" t="str">
        <f t="array" aca="1" ref="K776" ca="1">IFERROR(IF(OR(INDEX(checklistPesertaKemenkeu!$O$6:$O$1005,SMALL(IF(checklistPesertaKemenkeu!$AY$6:$AY$1005="Direkomendasikan",ROW($6:$1005)-5),775))="",INDEX(checklistPesertaKemenkeu!$J$6:$J$1005,SMALL(IF(checklistPesertaKemenkeu!$AY$6:$AY$1005="Direkomendasikan",ROW($6:$1005)-5),775))=""),"",IF(AND(COUNTIF(INDIRECT("K_"&amp;MATCH(INDEX(checklistPesertaKemenkeu!$J$6:$J$1005,SMALL(IF(checklistPesertaKemenkeu!$AY$6:$AY$1005="Direkomendasikan",ROW($6:$1005)-5),775)),BidangList,0)),INDEX(checklistPesertaKemenkeu!$O$6:$O$1005,SMALL(IF(checklistPesertaKemenkeu!$AY$6:$AY$1005="Direkomendasikan",ROW($6:$1005)-5),775)))&gt;0,COUNTIF(INDIRECT("'KERTAS KERJA'!K"&amp;(SMALL(IF(checklistPesertaKemenkeu!$AY$6:$AY$1005="Direkomendasikan",ROW($6:$1005)-5),775)+5)&amp;":O"&amp;(SMALL(IF(checklistPesertaKemenkeu!$AY$6:$AY$1005="Direkomendasikan",ROW($6:$1005)-5),775)+5)),INDEX(checklistPesertaKemenkeu!$O$6:$O$1005,SMALL(IF(checklistPesertaKemenkeu!$AY$6:$AY$1005="Direkomendasikan",ROW($6:$1005)-5),775)))=1),IFERROR(VLOOKUP(INDEX(checklistPesertaKemenkeu!$O$6:$O$1005,SMALL(IF(checklistPesertaKemenkeu!$AY$6:$AY$1005="Direkomendasikan",ROW($6:$1005)-5),775)),KotaKode,2,0),"-"),"")),"")</f>
        <v/>
      </c>
      <c r="L776" t="str">
        <f t="array" aca="1" ref="L776" ca="1">IFERROR(IF(OR(INDEX(checklistPesertaKemenkeu!$P$6:$P$1005,SMALL(IF(checklistPesertaKemenkeu!$AY$6:$AY$1005="Direkomendasikan",ROW($6:$1005)-5),775))="",INDEX(checklistPesertaKemenkeu!$J$6:$J$1005,SMALL(IF(checklistPesertaKemenkeu!$AY$6:$AY$1005="Direkomendasikan",ROW($6:$1005)-5),775))=""),"",IF(AND(COUNTIF(INDIRECT("K_"&amp;MATCH(INDEX(checklistPesertaKemenkeu!$J$6:$J$1005,SMALL(IF(checklistPesertaKemenkeu!$AY$6:$AY$1005="Direkomendasikan",ROW($6:$1005)-5),775)),BidangList,0)),INDEX(checklistPesertaKemenkeu!$P$6:$P$1005,SMALL(IF(checklistPesertaKemenkeu!$AY$6:$AY$1005="Direkomendasikan",ROW($6:$1005)-5),775)))&gt;0,COUNTIF(INDIRECT("'KERTAS KERJA'!K"&amp;(SMALL(IF(checklistPesertaKemenkeu!$AY$6:$AY$1005="Direkomendasikan",ROW($6:$1005)-5),775)+5)&amp;":O"&amp;(SMALL(IF(checklistPesertaKemenkeu!$AY$6:$AY$1005="Direkomendasikan",ROW($6:$1005)-5),775)+5)),INDEX(checklistPesertaKemenkeu!$P$6:$P$1005,SMALL(IF(checklistPesertaKemenkeu!$AY$6:$AY$1005="Direkomendasikan",ROW($6:$1005)-5),775)))=1),IFERROR(VLOOKUP(INDEX(checklistPesertaKemenkeu!$P$6:$P$1005,SMALL(IF(checklistPesertaKemenkeu!$AY$6:$AY$1005="Direkomendasikan",ROW($6:$1005)-5),775)),KotaKode,2,0),"-"),"")),"")</f>
        <v/>
      </c>
    </row>
    <row r="777" spans="1:12" ht="15" customHeight="1" x14ac:dyDescent="0.2">
      <c r="A777" t="str">
        <f t="shared" si="12"/>
        <v/>
      </c>
      <c r="B777" t="str">
        <v/>
      </c>
      <c r="C777" s="40" t="str">
        <f t="array" ref="C777">IFERROR(INDEX(checklistPesertaKemenkeu!$F$6:$F$1005,SMALL(IF(checklistPesertaKemenkeu!$AY$6:$AY$1005="Direkomendasikan",ROW($6:$1005)-5),776)),"")</f>
        <v/>
      </c>
      <c r="D777" t="str">
        <f t="array" ref="D777">IFERROR(INDEX(checklistPesertaKemenkeu!$G$6:$G$1005,SMALL(IF(checklistPesertaKemenkeu!$AY$6:$AY$1005="Direkomendasikan",ROW($6:$1005)-5),776)),"")</f>
        <v/>
      </c>
      <c r="E777" t="str">
        <f t="array" ref="E777">IFERROR(INDEX(checklistPesertaKemenkeu!$H$6:$H$1005,SMALL(IF(checklistPesertaKemenkeu!$AY$6:$AY$1005="Direkomendasikan",ROW($6:$1005)-5),776)),"")</f>
        <v/>
      </c>
      <c r="F777" t="str">
        <f t="array" ref="F777">IFERROR(INDEX(checklistPesertaKemenkeu!$I$6:$I$1005,SMALL(IF(checklistPesertaKemenkeu!$AY$6:$AY$1005="Direkomendasikan",ROW($6:$1005)-5),776)),"")</f>
        <v/>
      </c>
      <c r="G777" t="str">
        <f t="array" ref="G777">IFERROR(INDEX(checklistPesertaKemenkeu!$J$6:$J$1005,SMALL(IF(checklistPesertaKemenkeu!$AY$6:$AY$1005="Direkomendasikan",ROW($6:$1005)-5),776)),"")</f>
        <v/>
      </c>
      <c r="H777" t="str">
        <f t="array" aca="1" ref="H777" ca="1">IFERROR(IF(OR(INDEX(checklistPesertaKemenkeu!$L$6:$L$1005,SMALL(IF(checklistPesertaKemenkeu!$AY$6:$AY$1005="Direkomendasikan",ROW($6:$1005)-5),776))="",INDEX(checklistPesertaKemenkeu!$J$6:$J$1005,SMALL(IF(checklistPesertaKemenkeu!$AY$6:$AY$1005="Direkomendasikan",ROW($6:$1005)-5),776))=""),"",IF(AND(COUNTIF(INDIRECT("K_"&amp;MATCH(INDEX(checklistPesertaKemenkeu!$J$6:$J$1005,SMALL(IF(checklistPesertaKemenkeu!$AY$6:$AY$1005="Direkomendasikan",ROW($6:$1005)-5),776)),BidangList,0)),INDEX(checklistPesertaKemenkeu!$L$6:$L$1005,SMALL(IF(checklistPesertaKemenkeu!$AY$6:$AY$1005="Direkomendasikan",ROW($6:$1005)-5),776)))&gt;0,COUNTIF(INDIRECT("'KERTAS KERJA'!K"&amp;(SMALL(IF(checklistPesertaKemenkeu!$AY$6:$AY$1005="Direkomendasikan",ROW($6:$1005)-5),776)+5)&amp;":O"&amp;(SMALL(IF(checklistPesertaKemenkeu!$AY$6:$AY$1005="Direkomendasikan",ROW($6:$1005)-5),776)+5)),INDEX(checklistPesertaKemenkeu!$L$6:$L$1005,SMALL(IF(checklistPesertaKemenkeu!$AY$6:$AY$1005="Direkomendasikan",ROW($6:$1005)-5),776)))=1),IFERROR(VLOOKUP(INDEX(checklistPesertaKemenkeu!$L$6:$L$1005,SMALL(IF(checklistPesertaKemenkeu!$AY$6:$AY$1005="Direkomendasikan",ROW($6:$1005)-5),776)),KotaKode,2,0),"-"),"")),"")</f>
        <v/>
      </c>
      <c r="I777" t="str">
        <f t="array" aca="1" ref="I777" ca="1">IFERROR(IF(OR(INDEX(checklistPesertaKemenkeu!$M$6:$M$1005,SMALL(IF(checklistPesertaKemenkeu!$AY$6:$AY$1005="Direkomendasikan",ROW($6:$1005)-5),776))="",INDEX(checklistPesertaKemenkeu!$J$6:$J$1005,SMALL(IF(checklistPesertaKemenkeu!$AY$6:$AY$1005="Direkomendasikan",ROW($6:$1005)-5),776))=""),"",IF(AND(COUNTIF(INDIRECT("K_"&amp;MATCH(INDEX(checklistPesertaKemenkeu!$J$6:$J$1005,SMALL(IF(checklistPesertaKemenkeu!$AY$6:$AY$1005="Direkomendasikan",ROW($6:$1005)-5),776)),BidangList,0)),INDEX(checklistPesertaKemenkeu!$M$6:$M$1005,SMALL(IF(checklistPesertaKemenkeu!$AY$6:$AY$1005="Direkomendasikan",ROW($6:$1005)-5),776)))&gt;0,COUNTIF(INDIRECT("'KERTAS KERJA'!K"&amp;(SMALL(IF(checklistPesertaKemenkeu!$AY$6:$AY$1005="Direkomendasikan",ROW($6:$1005)-5),776)+5)&amp;":O"&amp;(SMALL(IF(checklistPesertaKemenkeu!$AY$6:$AY$1005="Direkomendasikan",ROW($6:$1005)-5),776)+5)),INDEX(checklistPesertaKemenkeu!$M$6:$M$1005,SMALL(IF(checklistPesertaKemenkeu!$AY$6:$AY$1005="Direkomendasikan",ROW($6:$1005)-5),776)))=1),IFERROR(VLOOKUP(INDEX(checklistPesertaKemenkeu!$M$6:$M$1005,SMALL(IF(checklistPesertaKemenkeu!$AY$6:$AY$1005="Direkomendasikan",ROW($6:$1005)-5),776)),KotaKode,2,0),"-"),"")),"")</f>
        <v/>
      </c>
      <c r="J777" t="str">
        <f t="array" aca="1" ref="J777" ca="1">IFERROR(IF(OR(INDEX(checklistPesertaKemenkeu!$N$6:$N$1005,SMALL(IF(checklistPesertaKemenkeu!$AY$6:$AY$1005="Direkomendasikan",ROW($6:$1005)-5),776))="",INDEX(checklistPesertaKemenkeu!$J$6:$J$1005,SMALL(IF(checklistPesertaKemenkeu!$AY$6:$AY$1005="Direkomendasikan",ROW($6:$1005)-5),776))=""),"",IF(AND(COUNTIF(INDIRECT("K_"&amp;MATCH(INDEX(checklistPesertaKemenkeu!$J$6:$J$1005,SMALL(IF(checklistPesertaKemenkeu!$AY$6:$AY$1005="Direkomendasikan",ROW($6:$1005)-5),776)),BidangList,0)),INDEX(checklistPesertaKemenkeu!$N$6:$N$1005,SMALL(IF(checklistPesertaKemenkeu!$AY$6:$AY$1005="Direkomendasikan",ROW($6:$1005)-5),776)))&gt;0,COUNTIF(INDIRECT("'KERTAS KERJA'!K"&amp;(SMALL(IF(checklistPesertaKemenkeu!$AY$6:$AY$1005="Direkomendasikan",ROW($6:$1005)-5),776)+5)&amp;":O"&amp;(SMALL(IF(checklistPesertaKemenkeu!$AY$6:$AY$1005="Direkomendasikan",ROW($6:$1005)-5),776)+5)),INDEX(checklistPesertaKemenkeu!$N$6:$N$1005,SMALL(IF(checklistPesertaKemenkeu!$AY$6:$AY$1005="Direkomendasikan",ROW($6:$1005)-5),776)))=1),IFERROR(VLOOKUP(INDEX(checklistPesertaKemenkeu!$N$6:$N$1005,SMALL(IF(checklistPesertaKemenkeu!$AY$6:$AY$1005="Direkomendasikan",ROW($6:$1005)-5),776)),KotaKode,2,0),"-"),"")),"")</f>
        <v/>
      </c>
      <c r="K777" t="str">
        <f t="array" aca="1" ref="K777" ca="1">IFERROR(IF(OR(INDEX(checklistPesertaKemenkeu!$O$6:$O$1005,SMALL(IF(checklistPesertaKemenkeu!$AY$6:$AY$1005="Direkomendasikan",ROW($6:$1005)-5),776))="",INDEX(checklistPesertaKemenkeu!$J$6:$J$1005,SMALL(IF(checklistPesertaKemenkeu!$AY$6:$AY$1005="Direkomendasikan",ROW($6:$1005)-5),776))=""),"",IF(AND(COUNTIF(INDIRECT("K_"&amp;MATCH(INDEX(checklistPesertaKemenkeu!$J$6:$J$1005,SMALL(IF(checklistPesertaKemenkeu!$AY$6:$AY$1005="Direkomendasikan",ROW($6:$1005)-5),776)),BidangList,0)),INDEX(checklistPesertaKemenkeu!$O$6:$O$1005,SMALL(IF(checklistPesertaKemenkeu!$AY$6:$AY$1005="Direkomendasikan",ROW($6:$1005)-5),776)))&gt;0,COUNTIF(INDIRECT("'KERTAS KERJA'!K"&amp;(SMALL(IF(checklistPesertaKemenkeu!$AY$6:$AY$1005="Direkomendasikan",ROW($6:$1005)-5),776)+5)&amp;":O"&amp;(SMALL(IF(checklistPesertaKemenkeu!$AY$6:$AY$1005="Direkomendasikan",ROW($6:$1005)-5),776)+5)),INDEX(checklistPesertaKemenkeu!$O$6:$O$1005,SMALL(IF(checklistPesertaKemenkeu!$AY$6:$AY$1005="Direkomendasikan",ROW($6:$1005)-5),776)))=1),IFERROR(VLOOKUP(INDEX(checklistPesertaKemenkeu!$O$6:$O$1005,SMALL(IF(checklistPesertaKemenkeu!$AY$6:$AY$1005="Direkomendasikan",ROW($6:$1005)-5),776)),KotaKode,2,0),"-"),"")),"")</f>
        <v/>
      </c>
      <c r="L777" t="str">
        <f t="array" aca="1" ref="L777" ca="1">IFERROR(IF(OR(INDEX(checklistPesertaKemenkeu!$P$6:$P$1005,SMALL(IF(checklistPesertaKemenkeu!$AY$6:$AY$1005="Direkomendasikan",ROW($6:$1005)-5),776))="",INDEX(checklistPesertaKemenkeu!$J$6:$J$1005,SMALL(IF(checklistPesertaKemenkeu!$AY$6:$AY$1005="Direkomendasikan",ROW($6:$1005)-5),776))=""),"",IF(AND(COUNTIF(INDIRECT("K_"&amp;MATCH(INDEX(checklistPesertaKemenkeu!$J$6:$J$1005,SMALL(IF(checklistPesertaKemenkeu!$AY$6:$AY$1005="Direkomendasikan",ROW($6:$1005)-5),776)),BidangList,0)),INDEX(checklistPesertaKemenkeu!$P$6:$P$1005,SMALL(IF(checklistPesertaKemenkeu!$AY$6:$AY$1005="Direkomendasikan",ROW($6:$1005)-5),776)))&gt;0,COUNTIF(INDIRECT("'KERTAS KERJA'!K"&amp;(SMALL(IF(checklistPesertaKemenkeu!$AY$6:$AY$1005="Direkomendasikan",ROW($6:$1005)-5),776)+5)&amp;":O"&amp;(SMALL(IF(checklistPesertaKemenkeu!$AY$6:$AY$1005="Direkomendasikan",ROW($6:$1005)-5),776)+5)),INDEX(checklistPesertaKemenkeu!$P$6:$P$1005,SMALL(IF(checklistPesertaKemenkeu!$AY$6:$AY$1005="Direkomendasikan",ROW($6:$1005)-5),776)))=1),IFERROR(VLOOKUP(INDEX(checklistPesertaKemenkeu!$P$6:$P$1005,SMALL(IF(checklistPesertaKemenkeu!$AY$6:$AY$1005="Direkomendasikan",ROW($6:$1005)-5),776)),KotaKode,2,0),"-"),"")),"")</f>
        <v/>
      </c>
    </row>
    <row r="778" spans="1:12" ht="15" customHeight="1" x14ac:dyDescent="0.2">
      <c r="A778" t="str">
        <f t="shared" si="12"/>
        <v/>
      </c>
      <c r="B778" t="str">
        <v/>
      </c>
      <c r="C778" s="40" t="str">
        <f t="array" ref="C778">IFERROR(INDEX(checklistPesertaKemenkeu!$F$6:$F$1005,SMALL(IF(checklistPesertaKemenkeu!$AY$6:$AY$1005="Direkomendasikan",ROW($6:$1005)-5),777)),"")</f>
        <v/>
      </c>
      <c r="D778" t="str">
        <f t="array" ref="D778">IFERROR(INDEX(checklistPesertaKemenkeu!$G$6:$G$1005,SMALL(IF(checklistPesertaKemenkeu!$AY$6:$AY$1005="Direkomendasikan",ROW($6:$1005)-5),777)),"")</f>
        <v/>
      </c>
      <c r="E778" t="str">
        <f t="array" ref="E778">IFERROR(INDEX(checklistPesertaKemenkeu!$H$6:$H$1005,SMALL(IF(checklistPesertaKemenkeu!$AY$6:$AY$1005="Direkomendasikan",ROW($6:$1005)-5),777)),"")</f>
        <v/>
      </c>
      <c r="F778" t="str">
        <f t="array" ref="F778">IFERROR(INDEX(checklistPesertaKemenkeu!$I$6:$I$1005,SMALL(IF(checklistPesertaKemenkeu!$AY$6:$AY$1005="Direkomendasikan",ROW($6:$1005)-5),777)),"")</f>
        <v/>
      </c>
      <c r="G778" t="str">
        <f t="array" ref="G778">IFERROR(INDEX(checklistPesertaKemenkeu!$J$6:$J$1005,SMALL(IF(checklistPesertaKemenkeu!$AY$6:$AY$1005="Direkomendasikan",ROW($6:$1005)-5),777)),"")</f>
        <v/>
      </c>
      <c r="H778" t="str">
        <f t="array" aca="1" ref="H778" ca="1">IFERROR(IF(OR(INDEX(checklistPesertaKemenkeu!$L$6:$L$1005,SMALL(IF(checklistPesertaKemenkeu!$AY$6:$AY$1005="Direkomendasikan",ROW($6:$1005)-5),777))="",INDEX(checklistPesertaKemenkeu!$J$6:$J$1005,SMALL(IF(checklistPesertaKemenkeu!$AY$6:$AY$1005="Direkomendasikan",ROW($6:$1005)-5),777))=""),"",IF(AND(COUNTIF(INDIRECT("K_"&amp;MATCH(INDEX(checklistPesertaKemenkeu!$J$6:$J$1005,SMALL(IF(checklistPesertaKemenkeu!$AY$6:$AY$1005="Direkomendasikan",ROW($6:$1005)-5),777)),BidangList,0)),INDEX(checklistPesertaKemenkeu!$L$6:$L$1005,SMALL(IF(checklistPesertaKemenkeu!$AY$6:$AY$1005="Direkomendasikan",ROW($6:$1005)-5),777)))&gt;0,COUNTIF(INDIRECT("'KERTAS KERJA'!K"&amp;(SMALL(IF(checklistPesertaKemenkeu!$AY$6:$AY$1005="Direkomendasikan",ROW($6:$1005)-5),777)+5)&amp;":O"&amp;(SMALL(IF(checklistPesertaKemenkeu!$AY$6:$AY$1005="Direkomendasikan",ROW($6:$1005)-5),777)+5)),INDEX(checklistPesertaKemenkeu!$L$6:$L$1005,SMALL(IF(checklistPesertaKemenkeu!$AY$6:$AY$1005="Direkomendasikan",ROW($6:$1005)-5),777)))=1),IFERROR(VLOOKUP(INDEX(checklistPesertaKemenkeu!$L$6:$L$1005,SMALL(IF(checklistPesertaKemenkeu!$AY$6:$AY$1005="Direkomendasikan",ROW($6:$1005)-5),777)),KotaKode,2,0),"-"),"")),"")</f>
        <v/>
      </c>
      <c r="I778" t="str">
        <f t="array" aca="1" ref="I778" ca="1">IFERROR(IF(OR(INDEX(checklistPesertaKemenkeu!$M$6:$M$1005,SMALL(IF(checklistPesertaKemenkeu!$AY$6:$AY$1005="Direkomendasikan",ROW($6:$1005)-5),777))="",INDEX(checklistPesertaKemenkeu!$J$6:$J$1005,SMALL(IF(checklistPesertaKemenkeu!$AY$6:$AY$1005="Direkomendasikan",ROW($6:$1005)-5),777))=""),"",IF(AND(COUNTIF(INDIRECT("K_"&amp;MATCH(INDEX(checklistPesertaKemenkeu!$J$6:$J$1005,SMALL(IF(checklistPesertaKemenkeu!$AY$6:$AY$1005="Direkomendasikan",ROW($6:$1005)-5),777)),BidangList,0)),INDEX(checklistPesertaKemenkeu!$M$6:$M$1005,SMALL(IF(checklistPesertaKemenkeu!$AY$6:$AY$1005="Direkomendasikan",ROW($6:$1005)-5),777)))&gt;0,COUNTIF(INDIRECT("'KERTAS KERJA'!K"&amp;(SMALL(IF(checklistPesertaKemenkeu!$AY$6:$AY$1005="Direkomendasikan",ROW($6:$1005)-5),777)+5)&amp;":O"&amp;(SMALL(IF(checklistPesertaKemenkeu!$AY$6:$AY$1005="Direkomendasikan",ROW($6:$1005)-5),777)+5)),INDEX(checklistPesertaKemenkeu!$M$6:$M$1005,SMALL(IF(checklistPesertaKemenkeu!$AY$6:$AY$1005="Direkomendasikan",ROW($6:$1005)-5),777)))=1),IFERROR(VLOOKUP(INDEX(checklistPesertaKemenkeu!$M$6:$M$1005,SMALL(IF(checklistPesertaKemenkeu!$AY$6:$AY$1005="Direkomendasikan",ROW($6:$1005)-5),777)),KotaKode,2,0),"-"),"")),"")</f>
        <v/>
      </c>
      <c r="J778" t="str">
        <f t="array" aca="1" ref="J778" ca="1">IFERROR(IF(OR(INDEX(checklistPesertaKemenkeu!$N$6:$N$1005,SMALL(IF(checklistPesertaKemenkeu!$AY$6:$AY$1005="Direkomendasikan",ROW($6:$1005)-5),777))="",INDEX(checklistPesertaKemenkeu!$J$6:$J$1005,SMALL(IF(checklistPesertaKemenkeu!$AY$6:$AY$1005="Direkomendasikan",ROW($6:$1005)-5),777))=""),"",IF(AND(COUNTIF(INDIRECT("K_"&amp;MATCH(INDEX(checklistPesertaKemenkeu!$J$6:$J$1005,SMALL(IF(checklistPesertaKemenkeu!$AY$6:$AY$1005="Direkomendasikan",ROW($6:$1005)-5),777)),BidangList,0)),INDEX(checklistPesertaKemenkeu!$N$6:$N$1005,SMALL(IF(checklistPesertaKemenkeu!$AY$6:$AY$1005="Direkomendasikan",ROW($6:$1005)-5),777)))&gt;0,COUNTIF(INDIRECT("'KERTAS KERJA'!K"&amp;(SMALL(IF(checklistPesertaKemenkeu!$AY$6:$AY$1005="Direkomendasikan",ROW($6:$1005)-5),777)+5)&amp;":O"&amp;(SMALL(IF(checklistPesertaKemenkeu!$AY$6:$AY$1005="Direkomendasikan",ROW($6:$1005)-5),777)+5)),INDEX(checklistPesertaKemenkeu!$N$6:$N$1005,SMALL(IF(checklistPesertaKemenkeu!$AY$6:$AY$1005="Direkomendasikan",ROW($6:$1005)-5),777)))=1),IFERROR(VLOOKUP(INDEX(checklistPesertaKemenkeu!$N$6:$N$1005,SMALL(IF(checklistPesertaKemenkeu!$AY$6:$AY$1005="Direkomendasikan",ROW($6:$1005)-5),777)),KotaKode,2,0),"-"),"")),"")</f>
        <v/>
      </c>
      <c r="K778" t="str">
        <f t="array" aca="1" ref="K778" ca="1">IFERROR(IF(OR(INDEX(checklistPesertaKemenkeu!$O$6:$O$1005,SMALL(IF(checklistPesertaKemenkeu!$AY$6:$AY$1005="Direkomendasikan",ROW($6:$1005)-5),777))="",INDEX(checklistPesertaKemenkeu!$J$6:$J$1005,SMALL(IF(checklistPesertaKemenkeu!$AY$6:$AY$1005="Direkomendasikan",ROW($6:$1005)-5),777))=""),"",IF(AND(COUNTIF(INDIRECT("K_"&amp;MATCH(INDEX(checklistPesertaKemenkeu!$J$6:$J$1005,SMALL(IF(checklistPesertaKemenkeu!$AY$6:$AY$1005="Direkomendasikan",ROW($6:$1005)-5),777)),BidangList,0)),INDEX(checklistPesertaKemenkeu!$O$6:$O$1005,SMALL(IF(checklistPesertaKemenkeu!$AY$6:$AY$1005="Direkomendasikan",ROW($6:$1005)-5),777)))&gt;0,COUNTIF(INDIRECT("'KERTAS KERJA'!K"&amp;(SMALL(IF(checklistPesertaKemenkeu!$AY$6:$AY$1005="Direkomendasikan",ROW($6:$1005)-5),777)+5)&amp;":O"&amp;(SMALL(IF(checklistPesertaKemenkeu!$AY$6:$AY$1005="Direkomendasikan",ROW($6:$1005)-5),777)+5)),INDEX(checklistPesertaKemenkeu!$O$6:$O$1005,SMALL(IF(checklistPesertaKemenkeu!$AY$6:$AY$1005="Direkomendasikan",ROW($6:$1005)-5),777)))=1),IFERROR(VLOOKUP(INDEX(checklistPesertaKemenkeu!$O$6:$O$1005,SMALL(IF(checklistPesertaKemenkeu!$AY$6:$AY$1005="Direkomendasikan",ROW($6:$1005)-5),777)),KotaKode,2,0),"-"),"")),"")</f>
        <v/>
      </c>
      <c r="L778" t="str">
        <f t="array" aca="1" ref="L778" ca="1">IFERROR(IF(OR(INDEX(checklistPesertaKemenkeu!$P$6:$P$1005,SMALL(IF(checklistPesertaKemenkeu!$AY$6:$AY$1005="Direkomendasikan",ROW($6:$1005)-5),777))="",INDEX(checklistPesertaKemenkeu!$J$6:$J$1005,SMALL(IF(checklistPesertaKemenkeu!$AY$6:$AY$1005="Direkomendasikan",ROW($6:$1005)-5),777))=""),"",IF(AND(COUNTIF(INDIRECT("K_"&amp;MATCH(INDEX(checklistPesertaKemenkeu!$J$6:$J$1005,SMALL(IF(checklistPesertaKemenkeu!$AY$6:$AY$1005="Direkomendasikan",ROW($6:$1005)-5),777)),BidangList,0)),INDEX(checklistPesertaKemenkeu!$P$6:$P$1005,SMALL(IF(checklistPesertaKemenkeu!$AY$6:$AY$1005="Direkomendasikan",ROW($6:$1005)-5),777)))&gt;0,COUNTIF(INDIRECT("'KERTAS KERJA'!K"&amp;(SMALL(IF(checklistPesertaKemenkeu!$AY$6:$AY$1005="Direkomendasikan",ROW($6:$1005)-5),777)+5)&amp;":O"&amp;(SMALL(IF(checklistPesertaKemenkeu!$AY$6:$AY$1005="Direkomendasikan",ROW($6:$1005)-5),777)+5)),INDEX(checklistPesertaKemenkeu!$P$6:$P$1005,SMALL(IF(checklistPesertaKemenkeu!$AY$6:$AY$1005="Direkomendasikan",ROW($6:$1005)-5),777)))=1),IFERROR(VLOOKUP(INDEX(checklistPesertaKemenkeu!$P$6:$P$1005,SMALL(IF(checklistPesertaKemenkeu!$AY$6:$AY$1005="Direkomendasikan",ROW($6:$1005)-5),777)),KotaKode,2,0),"-"),"")),"")</f>
        <v/>
      </c>
    </row>
    <row r="779" spans="1:12" ht="15" customHeight="1" x14ac:dyDescent="0.2">
      <c r="A779" t="str">
        <f t="shared" si="12"/>
        <v/>
      </c>
      <c r="B779" t="str">
        <v/>
      </c>
      <c r="C779" s="40" t="str">
        <f t="array" ref="C779">IFERROR(INDEX(checklistPesertaKemenkeu!$F$6:$F$1005,SMALL(IF(checklistPesertaKemenkeu!$AY$6:$AY$1005="Direkomendasikan",ROW($6:$1005)-5),778)),"")</f>
        <v/>
      </c>
      <c r="D779" t="str">
        <f t="array" ref="D779">IFERROR(INDEX(checklistPesertaKemenkeu!$G$6:$G$1005,SMALL(IF(checklistPesertaKemenkeu!$AY$6:$AY$1005="Direkomendasikan",ROW($6:$1005)-5),778)),"")</f>
        <v/>
      </c>
      <c r="E779" t="str">
        <f t="array" ref="E779">IFERROR(INDEX(checklistPesertaKemenkeu!$H$6:$H$1005,SMALL(IF(checklistPesertaKemenkeu!$AY$6:$AY$1005="Direkomendasikan",ROW($6:$1005)-5),778)),"")</f>
        <v/>
      </c>
      <c r="F779" t="str">
        <f t="array" ref="F779">IFERROR(INDEX(checklistPesertaKemenkeu!$I$6:$I$1005,SMALL(IF(checklistPesertaKemenkeu!$AY$6:$AY$1005="Direkomendasikan",ROW($6:$1005)-5),778)),"")</f>
        <v/>
      </c>
      <c r="G779" t="str">
        <f t="array" ref="G779">IFERROR(INDEX(checklistPesertaKemenkeu!$J$6:$J$1005,SMALL(IF(checklistPesertaKemenkeu!$AY$6:$AY$1005="Direkomendasikan",ROW($6:$1005)-5),778)),"")</f>
        <v/>
      </c>
      <c r="H779" t="str">
        <f t="array" aca="1" ref="H779" ca="1">IFERROR(IF(OR(INDEX(checklistPesertaKemenkeu!$L$6:$L$1005,SMALL(IF(checklistPesertaKemenkeu!$AY$6:$AY$1005="Direkomendasikan",ROW($6:$1005)-5),778))="",INDEX(checklistPesertaKemenkeu!$J$6:$J$1005,SMALL(IF(checklistPesertaKemenkeu!$AY$6:$AY$1005="Direkomendasikan",ROW($6:$1005)-5),778))=""),"",IF(AND(COUNTIF(INDIRECT("K_"&amp;MATCH(INDEX(checklistPesertaKemenkeu!$J$6:$J$1005,SMALL(IF(checklistPesertaKemenkeu!$AY$6:$AY$1005="Direkomendasikan",ROW($6:$1005)-5),778)),BidangList,0)),INDEX(checklistPesertaKemenkeu!$L$6:$L$1005,SMALL(IF(checklistPesertaKemenkeu!$AY$6:$AY$1005="Direkomendasikan",ROW($6:$1005)-5),778)))&gt;0,COUNTIF(INDIRECT("'KERTAS KERJA'!K"&amp;(SMALL(IF(checklistPesertaKemenkeu!$AY$6:$AY$1005="Direkomendasikan",ROW($6:$1005)-5),778)+5)&amp;":O"&amp;(SMALL(IF(checklistPesertaKemenkeu!$AY$6:$AY$1005="Direkomendasikan",ROW($6:$1005)-5),778)+5)),INDEX(checklistPesertaKemenkeu!$L$6:$L$1005,SMALL(IF(checklistPesertaKemenkeu!$AY$6:$AY$1005="Direkomendasikan",ROW($6:$1005)-5),778)))=1),IFERROR(VLOOKUP(INDEX(checklistPesertaKemenkeu!$L$6:$L$1005,SMALL(IF(checklistPesertaKemenkeu!$AY$6:$AY$1005="Direkomendasikan",ROW($6:$1005)-5),778)),KotaKode,2,0),"-"),"")),"")</f>
        <v/>
      </c>
      <c r="I779" t="str">
        <f t="array" aca="1" ref="I779" ca="1">IFERROR(IF(OR(INDEX(checklistPesertaKemenkeu!$M$6:$M$1005,SMALL(IF(checklistPesertaKemenkeu!$AY$6:$AY$1005="Direkomendasikan",ROW($6:$1005)-5),778))="",INDEX(checklistPesertaKemenkeu!$J$6:$J$1005,SMALL(IF(checklistPesertaKemenkeu!$AY$6:$AY$1005="Direkomendasikan",ROW($6:$1005)-5),778))=""),"",IF(AND(COUNTIF(INDIRECT("K_"&amp;MATCH(INDEX(checklistPesertaKemenkeu!$J$6:$J$1005,SMALL(IF(checklistPesertaKemenkeu!$AY$6:$AY$1005="Direkomendasikan",ROW($6:$1005)-5),778)),BidangList,0)),INDEX(checklistPesertaKemenkeu!$M$6:$M$1005,SMALL(IF(checklistPesertaKemenkeu!$AY$6:$AY$1005="Direkomendasikan",ROW($6:$1005)-5),778)))&gt;0,COUNTIF(INDIRECT("'KERTAS KERJA'!K"&amp;(SMALL(IF(checklistPesertaKemenkeu!$AY$6:$AY$1005="Direkomendasikan",ROW($6:$1005)-5),778)+5)&amp;":O"&amp;(SMALL(IF(checklistPesertaKemenkeu!$AY$6:$AY$1005="Direkomendasikan",ROW($6:$1005)-5),778)+5)),INDEX(checklistPesertaKemenkeu!$M$6:$M$1005,SMALL(IF(checklistPesertaKemenkeu!$AY$6:$AY$1005="Direkomendasikan",ROW($6:$1005)-5),778)))=1),IFERROR(VLOOKUP(INDEX(checklistPesertaKemenkeu!$M$6:$M$1005,SMALL(IF(checklistPesertaKemenkeu!$AY$6:$AY$1005="Direkomendasikan",ROW($6:$1005)-5),778)),KotaKode,2,0),"-"),"")),"")</f>
        <v/>
      </c>
      <c r="J779" t="str">
        <f t="array" aca="1" ref="J779" ca="1">IFERROR(IF(OR(INDEX(checklistPesertaKemenkeu!$N$6:$N$1005,SMALL(IF(checklistPesertaKemenkeu!$AY$6:$AY$1005="Direkomendasikan",ROW($6:$1005)-5),778))="",INDEX(checklistPesertaKemenkeu!$J$6:$J$1005,SMALL(IF(checklistPesertaKemenkeu!$AY$6:$AY$1005="Direkomendasikan",ROW($6:$1005)-5),778))=""),"",IF(AND(COUNTIF(INDIRECT("K_"&amp;MATCH(INDEX(checklistPesertaKemenkeu!$J$6:$J$1005,SMALL(IF(checklistPesertaKemenkeu!$AY$6:$AY$1005="Direkomendasikan",ROW($6:$1005)-5),778)),BidangList,0)),INDEX(checklistPesertaKemenkeu!$N$6:$N$1005,SMALL(IF(checklistPesertaKemenkeu!$AY$6:$AY$1005="Direkomendasikan",ROW($6:$1005)-5),778)))&gt;0,COUNTIF(INDIRECT("'KERTAS KERJA'!K"&amp;(SMALL(IF(checklistPesertaKemenkeu!$AY$6:$AY$1005="Direkomendasikan",ROW($6:$1005)-5),778)+5)&amp;":O"&amp;(SMALL(IF(checklistPesertaKemenkeu!$AY$6:$AY$1005="Direkomendasikan",ROW($6:$1005)-5),778)+5)),INDEX(checklistPesertaKemenkeu!$N$6:$N$1005,SMALL(IF(checklistPesertaKemenkeu!$AY$6:$AY$1005="Direkomendasikan",ROW($6:$1005)-5),778)))=1),IFERROR(VLOOKUP(INDEX(checklistPesertaKemenkeu!$N$6:$N$1005,SMALL(IF(checklistPesertaKemenkeu!$AY$6:$AY$1005="Direkomendasikan",ROW($6:$1005)-5),778)),KotaKode,2,0),"-"),"")),"")</f>
        <v/>
      </c>
      <c r="K779" t="str">
        <f t="array" aca="1" ref="K779" ca="1">IFERROR(IF(OR(INDEX(checklistPesertaKemenkeu!$O$6:$O$1005,SMALL(IF(checklistPesertaKemenkeu!$AY$6:$AY$1005="Direkomendasikan",ROW($6:$1005)-5),778))="",INDEX(checklistPesertaKemenkeu!$J$6:$J$1005,SMALL(IF(checklistPesertaKemenkeu!$AY$6:$AY$1005="Direkomendasikan",ROW($6:$1005)-5),778))=""),"",IF(AND(COUNTIF(INDIRECT("K_"&amp;MATCH(INDEX(checklistPesertaKemenkeu!$J$6:$J$1005,SMALL(IF(checklistPesertaKemenkeu!$AY$6:$AY$1005="Direkomendasikan",ROW($6:$1005)-5),778)),BidangList,0)),INDEX(checklistPesertaKemenkeu!$O$6:$O$1005,SMALL(IF(checklistPesertaKemenkeu!$AY$6:$AY$1005="Direkomendasikan",ROW($6:$1005)-5),778)))&gt;0,COUNTIF(INDIRECT("'KERTAS KERJA'!K"&amp;(SMALL(IF(checklistPesertaKemenkeu!$AY$6:$AY$1005="Direkomendasikan",ROW($6:$1005)-5),778)+5)&amp;":O"&amp;(SMALL(IF(checklistPesertaKemenkeu!$AY$6:$AY$1005="Direkomendasikan",ROW($6:$1005)-5),778)+5)),INDEX(checklistPesertaKemenkeu!$O$6:$O$1005,SMALL(IF(checklistPesertaKemenkeu!$AY$6:$AY$1005="Direkomendasikan",ROW($6:$1005)-5),778)))=1),IFERROR(VLOOKUP(INDEX(checklistPesertaKemenkeu!$O$6:$O$1005,SMALL(IF(checklistPesertaKemenkeu!$AY$6:$AY$1005="Direkomendasikan",ROW($6:$1005)-5),778)),KotaKode,2,0),"-"),"")),"")</f>
        <v/>
      </c>
      <c r="L779" t="str">
        <f t="array" aca="1" ref="L779" ca="1">IFERROR(IF(OR(INDEX(checklistPesertaKemenkeu!$P$6:$P$1005,SMALL(IF(checklistPesertaKemenkeu!$AY$6:$AY$1005="Direkomendasikan",ROW($6:$1005)-5),778))="",INDEX(checklistPesertaKemenkeu!$J$6:$J$1005,SMALL(IF(checklistPesertaKemenkeu!$AY$6:$AY$1005="Direkomendasikan",ROW($6:$1005)-5),778))=""),"",IF(AND(COUNTIF(INDIRECT("K_"&amp;MATCH(INDEX(checklistPesertaKemenkeu!$J$6:$J$1005,SMALL(IF(checklistPesertaKemenkeu!$AY$6:$AY$1005="Direkomendasikan",ROW($6:$1005)-5),778)),BidangList,0)),INDEX(checklistPesertaKemenkeu!$P$6:$P$1005,SMALL(IF(checklistPesertaKemenkeu!$AY$6:$AY$1005="Direkomendasikan",ROW($6:$1005)-5),778)))&gt;0,COUNTIF(INDIRECT("'KERTAS KERJA'!K"&amp;(SMALL(IF(checklistPesertaKemenkeu!$AY$6:$AY$1005="Direkomendasikan",ROW($6:$1005)-5),778)+5)&amp;":O"&amp;(SMALL(IF(checklistPesertaKemenkeu!$AY$6:$AY$1005="Direkomendasikan",ROW($6:$1005)-5),778)+5)),INDEX(checklistPesertaKemenkeu!$P$6:$P$1005,SMALL(IF(checklistPesertaKemenkeu!$AY$6:$AY$1005="Direkomendasikan",ROW($6:$1005)-5),778)))=1),IFERROR(VLOOKUP(INDEX(checklistPesertaKemenkeu!$P$6:$P$1005,SMALL(IF(checklistPesertaKemenkeu!$AY$6:$AY$1005="Direkomendasikan",ROW($6:$1005)-5),778)),KotaKode,2,0),"-"),"")),"")</f>
        <v/>
      </c>
    </row>
    <row r="780" spans="1:12" ht="15" customHeight="1" x14ac:dyDescent="0.2">
      <c r="A780" t="str">
        <f t="shared" si="12"/>
        <v/>
      </c>
      <c r="B780" t="str">
        <v/>
      </c>
      <c r="C780" s="40" t="str">
        <f t="array" ref="C780">IFERROR(INDEX(checklistPesertaKemenkeu!$F$6:$F$1005,SMALL(IF(checklistPesertaKemenkeu!$AY$6:$AY$1005="Direkomendasikan",ROW($6:$1005)-5),779)),"")</f>
        <v/>
      </c>
      <c r="D780" t="str">
        <f t="array" ref="D780">IFERROR(INDEX(checklistPesertaKemenkeu!$G$6:$G$1005,SMALL(IF(checklistPesertaKemenkeu!$AY$6:$AY$1005="Direkomendasikan",ROW($6:$1005)-5),779)),"")</f>
        <v/>
      </c>
      <c r="E780" t="str">
        <f t="array" ref="E780">IFERROR(INDEX(checklistPesertaKemenkeu!$H$6:$H$1005,SMALL(IF(checklistPesertaKemenkeu!$AY$6:$AY$1005="Direkomendasikan",ROW($6:$1005)-5),779)),"")</f>
        <v/>
      </c>
      <c r="F780" t="str">
        <f t="array" ref="F780">IFERROR(INDEX(checklistPesertaKemenkeu!$I$6:$I$1005,SMALL(IF(checklistPesertaKemenkeu!$AY$6:$AY$1005="Direkomendasikan",ROW($6:$1005)-5),779)),"")</f>
        <v/>
      </c>
      <c r="G780" t="str">
        <f t="array" ref="G780">IFERROR(INDEX(checklistPesertaKemenkeu!$J$6:$J$1005,SMALL(IF(checklistPesertaKemenkeu!$AY$6:$AY$1005="Direkomendasikan",ROW($6:$1005)-5),779)),"")</f>
        <v/>
      </c>
      <c r="H780" t="str">
        <f t="array" aca="1" ref="H780" ca="1">IFERROR(IF(OR(INDEX(checklistPesertaKemenkeu!$L$6:$L$1005,SMALL(IF(checklistPesertaKemenkeu!$AY$6:$AY$1005="Direkomendasikan",ROW($6:$1005)-5),779))="",INDEX(checklistPesertaKemenkeu!$J$6:$J$1005,SMALL(IF(checklistPesertaKemenkeu!$AY$6:$AY$1005="Direkomendasikan",ROW($6:$1005)-5),779))=""),"",IF(AND(COUNTIF(INDIRECT("K_"&amp;MATCH(INDEX(checklistPesertaKemenkeu!$J$6:$J$1005,SMALL(IF(checklistPesertaKemenkeu!$AY$6:$AY$1005="Direkomendasikan",ROW($6:$1005)-5),779)),BidangList,0)),INDEX(checklistPesertaKemenkeu!$L$6:$L$1005,SMALL(IF(checklistPesertaKemenkeu!$AY$6:$AY$1005="Direkomendasikan",ROW($6:$1005)-5),779)))&gt;0,COUNTIF(INDIRECT("'KERTAS KERJA'!K"&amp;(SMALL(IF(checklistPesertaKemenkeu!$AY$6:$AY$1005="Direkomendasikan",ROW($6:$1005)-5),779)+5)&amp;":O"&amp;(SMALL(IF(checklistPesertaKemenkeu!$AY$6:$AY$1005="Direkomendasikan",ROW($6:$1005)-5),779)+5)),INDEX(checklistPesertaKemenkeu!$L$6:$L$1005,SMALL(IF(checklistPesertaKemenkeu!$AY$6:$AY$1005="Direkomendasikan",ROW($6:$1005)-5),779)))=1),IFERROR(VLOOKUP(INDEX(checklistPesertaKemenkeu!$L$6:$L$1005,SMALL(IF(checklistPesertaKemenkeu!$AY$6:$AY$1005="Direkomendasikan",ROW($6:$1005)-5),779)),KotaKode,2,0),"-"),"")),"")</f>
        <v/>
      </c>
      <c r="I780" t="str">
        <f t="array" aca="1" ref="I780" ca="1">IFERROR(IF(OR(INDEX(checklistPesertaKemenkeu!$M$6:$M$1005,SMALL(IF(checklistPesertaKemenkeu!$AY$6:$AY$1005="Direkomendasikan",ROW($6:$1005)-5),779))="",INDEX(checklistPesertaKemenkeu!$J$6:$J$1005,SMALL(IF(checklistPesertaKemenkeu!$AY$6:$AY$1005="Direkomendasikan",ROW($6:$1005)-5),779))=""),"",IF(AND(COUNTIF(INDIRECT("K_"&amp;MATCH(INDEX(checklistPesertaKemenkeu!$J$6:$J$1005,SMALL(IF(checklistPesertaKemenkeu!$AY$6:$AY$1005="Direkomendasikan",ROW($6:$1005)-5),779)),BidangList,0)),INDEX(checklistPesertaKemenkeu!$M$6:$M$1005,SMALL(IF(checklistPesertaKemenkeu!$AY$6:$AY$1005="Direkomendasikan",ROW($6:$1005)-5),779)))&gt;0,COUNTIF(INDIRECT("'KERTAS KERJA'!K"&amp;(SMALL(IF(checklistPesertaKemenkeu!$AY$6:$AY$1005="Direkomendasikan",ROW($6:$1005)-5),779)+5)&amp;":O"&amp;(SMALL(IF(checklistPesertaKemenkeu!$AY$6:$AY$1005="Direkomendasikan",ROW($6:$1005)-5),779)+5)),INDEX(checklistPesertaKemenkeu!$M$6:$M$1005,SMALL(IF(checklistPesertaKemenkeu!$AY$6:$AY$1005="Direkomendasikan",ROW($6:$1005)-5),779)))=1),IFERROR(VLOOKUP(INDEX(checklistPesertaKemenkeu!$M$6:$M$1005,SMALL(IF(checklistPesertaKemenkeu!$AY$6:$AY$1005="Direkomendasikan",ROW($6:$1005)-5),779)),KotaKode,2,0),"-"),"")),"")</f>
        <v/>
      </c>
      <c r="J780" t="str">
        <f t="array" aca="1" ref="J780" ca="1">IFERROR(IF(OR(INDEX(checklistPesertaKemenkeu!$N$6:$N$1005,SMALL(IF(checklistPesertaKemenkeu!$AY$6:$AY$1005="Direkomendasikan",ROW($6:$1005)-5),779))="",INDEX(checklistPesertaKemenkeu!$J$6:$J$1005,SMALL(IF(checklistPesertaKemenkeu!$AY$6:$AY$1005="Direkomendasikan",ROW($6:$1005)-5),779))=""),"",IF(AND(COUNTIF(INDIRECT("K_"&amp;MATCH(INDEX(checklistPesertaKemenkeu!$J$6:$J$1005,SMALL(IF(checklistPesertaKemenkeu!$AY$6:$AY$1005="Direkomendasikan",ROW($6:$1005)-5),779)),BidangList,0)),INDEX(checklistPesertaKemenkeu!$N$6:$N$1005,SMALL(IF(checklistPesertaKemenkeu!$AY$6:$AY$1005="Direkomendasikan",ROW($6:$1005)-5),779)))&gt;0,COUNTIF(INDIRECT("'KERTAS KERJA'!K"&amp;(SMALL(IF(checklistPesertaKemenkeu!$AY$6:$AY$1005="Direkomendasikan",ROW($6:$1005)-5),779)+5)&amp;":O"&amp;(SMALL(IF(checklistPesertaKemenkeu!$AY$6:$AY$1005="Direkomendasikan",ROW($6:$1005)-5),779)+5)),INDEX(checklistPesertaKemenkeu!$N$6:$N$1005,SMALL(IF(checklistPesertaKemenkeu!$AY$6:$AY$1005="Direkomendasikan",ROW($6:$1005)-5),779)))=1),IFERROR(VLOOKUP(INDEX(checklistPesertaKemenkeu!$N$6:$N$1005,SMALL(IF(checklistPesertaKemenkeu!$AY$6:$AY$1005="Direkomendasikan",ROW($6:$1005)-5),779)),KotaKode,2,0),"-"),"")),"")</f>
        <v/>
      </c>
      <c r="K780" t="str">
        <f t="array" aca="1" ref="K780" ca="1">IFERROR(IF(OR(INDEX(checklistPesertaKemenkeu!$O$6:$O$1005,SMALL(IF(checklistPesertaKemenkeu!$AY$6:$AY$1005="Direkomendasikan",ROW($6:$1005)-5),779))="",INDEX(checklistPesertaKemenkeu!$J$6:$J$1005,SMALL(IF(checklistPesertaKemenkeu!$AY$6:$AY$1005="Direkomendasikan",ROW($6:$1005)-5),779))=""),"",IF(AND(COUNTIF(INDIRECT("K_"&amp;MATCH(INDEX(checklistPesertaKemenkeu!$J$6:$J$1005,SMALL(IF(checklistPesertaKemenkeu!$AY$6:$AY$1005="Direkomendasikan",ROW($6:$1005)-5),779)),BidangList,0)),INDEX(checklistPesertaKemenkeu!$O$6:$O$1005,SMALL(IF(checklistPesertaKemenkeu!$AY$6:$AY$1005="Direkomendasikan",ROW($6:$1005)-5),779)))&gt;0,COUNTIF(INDIRECT("'KERTAS KERJA'!K"&amp;(SMALL(IF(checklistPesertaKemenkeu!$AY$6:$AY$1005="Direkomendasikan",ROW($6:$1005)-5),779)+5)&amp;":O"&amp;(SMALL(IF(checklistPesertaKemenkeu!$AY$6:$AY$1005="Direkomendasikan",ROW($6:$1005)-5),779)+5)),INDEX(checklistPesertaKemenkeu!$O$6:$O$1005,SMALL(IF(checklistPesertaKemenkeu!$AY$6:$AY$1005="Direkomendasikan",ROW($6:$1005)-5),779)))=1),IFERROR(VLOOKUP(INDEX(checklistPesertaKemenkeu!$O$6:$O$1005,SMALL(IF(checklistPesertaKemenkeu!$AY$6:$AY$1005="Direkomendasikan",ROW($6:$1005)-5),779)),KotaKode,2,0),"-"),"")),"")</f>
        <v/>
      </c>
      <c r="L780" t="str">
        <f t="array" aca="1" ref="L780" ca="1">IFERROR(IF(OR(INDEX(checklistPesertaKemenkeu!$P$6:$P$1005,SMALL(IF(checklistPesertaKemenkeu!$AY$6:$AY$1005="Direkomendasikan",ROW($6:$1005)-5),779))="",INDEX(checklistPesertaKemenkeu!$J$6:$J$1005,SMALL(IF(checklistPesertaKemenkeu!$AY$6:$AY$1005="Direkomendasikan",ROW($6:$1005)-5),779))=""),"",IF(AND(COUNTIF(INDIRECT("K_"&amp;MATCH(INDEX(checklistPesertaKemenkeu!$J$6:$J$1005,SMALL(IF(checklistPesertaKemenkeu!$AY$6:$AY$1005="Direkomendasikan",ROW($6:$1005)-5),779)),BidangList,0)),INDEX(checklistPesertaKemenkeu!$P$6:$P$1005,SMALL(IF(checklistPesertaKemenkeu!$AY$6:$AY$1005="Direkomendasikan",ROW($6:$1005)-5),779)))&gt;0,COUNTIF(INDIRECT("'KERTAS KERJA'!K"&amp;(SMALL(IF(checklistPesertaKemenkeu!$AY$6:$AY$1005="Direkomendasikan",ROW($6:$1005)-5),779)+5)&amp;":O"&amp;(SMALL(IF(checklistPesertaKemenkeu!$AY$6:$AY$1005="Direkomendasikan",ROW($6:$1005)-5),779)+5)),INDEX(checklistPesertaKemenkeu!$P$6:$P$1005,SMALL(IF(checklistPesertaKemenkeu!$AY$6:$AY$1005="Direkomendasikan",ROW($6:$1005)-5),779)))=1),IFERROR(VLOOKUP(INDEX(checklistPesertaKemenkeu!$P$6:$P$1005,SMALL(IF(checklistPesertaKemenkeu!$AY$6:$AY$1005="Direkomendasikan",ROW($6:$1005)-5),779)),KotaKode,2,0),"-"),"")),"")</f>
        <v/>
      </c>
    </row>
    <row r="781" spans="1:12" ht="15" customHeight="1" x14ac:dyDescent="0.2">
      <c r="A781" t="str">
        <f t="shared" si="12"/>
        <v/>
      </c>
      <c r="B781" t="str">
        <v/>
      </c>
      <c r="C781" s="40" t="str">
        <f t="array" ref="C781">IFERROR(INDEX(checklistPesertaKemenkeu!$F$6:$F$1005,SMALL(IF(checklistPesertaKemenkeu!$AY$6:$AY$1005="Direkomendasikan",ROW($6:$1005)-5),780)),"")</f>
        <v/>
      </c>
      <c r="D781" t="str">
        <f t="array" ref="D781">IFERROR(INDEX(checklistPesertaKemenkeu!$G$6:$G$1005,SMALL(IF(checklistPesertaKemenkeu!$AY$6:$AY$1005="Direkomendasikan",ROW($6:$1005)-5),780)),"")</f>
        <v/>
      </c>
      <c r="E781" t="str">
        <f t="array" ref="E781">IFERROR(INDEX(checklistPesertaKemenkeu!$H$6:$H$1005,SMALL(IF(checklistPesertaKemenkeu!$AY$6:$AY$1005="Direkomendasikan",ROW($6:$1005)-5),780)),"")</f>
        <v/>
      </c>
      <c r="F781" t="str">
        <f t="array" ref="F781">IFERROR(INDEX(checklistPesertaKemenkeu!$I$6:$I$1005,SMALL(IF(checklistPesertaKemenkeu!$AY$6:$AY$1005="Direkomendasikan",ROW($6:$1005)-5),780)),"")</f>
        <v/>
      </c>
      <c r="G781" t="str">
        <f t="array" ref="G781">IFERROR(INDEX(checklistPesertaKemenkeu!$J$6:$J$1005,SMALL(IF(checklistPesertaKemenkeu!$AY$6:$AY$1005="Direkomendasikan",ROW($6:$1005)-5),780)),"")</f>
        <v/>
      </c>
      <c r="H781" t="str">
        <f t="array" aca="1" ref="H781" ca="1">IFERROR(IF(OR(INDEX(checklistPesertaKemenkeu!$L$6:$L$1005,SMALL(IF(checklistPesertaKemenkeu!$AY$6:$AY$1005="Direkomendasikan",ROW($6:$1005)-5),780))="",INDEX(checklistPesertaKemenkeu!$J$6:$J$1005,SMALL(IF(checklistPesertaKemenkeu!$AY$6:$AY$1005="Direkomendasikan",ROW($6:$1005)-5),780))=""),"",IF(AND(COUNTIF(INDIRECT("K_"&amp;MATCH(INDEX(checklistPesertaKemenkeu!$J$6:$J$1005,SMALL(IF(checklistPesertaKemenkeu!$AY$6:$AY$1005="Direkomendasikan",ROW($6:$1005)-5),780)),BidangList,0)),INDEX(checklistPesertaKemenkeu!$L$6:$L$1005,SMALL(IF(checklistPesertaKemenkeu!$AY$6:$AY$1005="Direkomendasikan",ROW($6:$1005)-5),780)))&gt;0,COUNTIF(INDIRECT("'KERTAS KERJA'!K"&amp;(SMALL(IF(checklistPesertaKemenkeu!$AY$6:$AY$1005="Direkomendasikan",ROW($6:$1005)-5),780)+5)&amp;":O"&amp;(SMALL(IF(checklistPesertaKemenkeu!$AY$6:$AY$1005="Direkomendasikan",ROW($6:$1005)-5),780)+5)),INDEX(checklistPesertaKemenkeu!$L$6:$L$1005,SMALL(IF(checklistPesertaKemenkeu!$AY$6:$AY$1005="Direkomendasikan",ROW($6:$1005)-5),780)))=1),IFERROR(VLOOKUP(INDEX(checklistPesertaKemenkeu!$L$6:$L$1005,SMALL(IF(checklistPesertaKemenkeu!$AY$6:$AY$1005="Direkomendasikan",ROW($6:$1005)-5),780)),KotaKode,2,0),"-"),"")),"")</f>
        <v/>
      </c>
      <c r="I781" t="str">
        <f t="array" aca="1" ref="I781" ca="1">IFERROR(IF(OR(INDEX(checklistPesertaKemenkeu!$M$6:$M$1005,SMALL(IF(checklistPesertaKemenkeu!$AY$6:$AY$1005="Direkomendasikan",ROW($6:$1005)-5),780))="",INDEX(checklistPesertaKemenkeu!$J$6:$J$1005,SMALL(IF(checklistPesertaKemenkeu!$AY$6:$AY$1005="Direkomendasikan",ROW($6:$1005)-5),780))=""),"",IF(AND(COUNTIF(INDIRECT("K_"&amp;MATCH(INDEX(checklistPesertaKemenkeu!$J$6:$J$1005,SMALL(IF(checklistPesertaKemenkeu!$AY$6:$AY$1005="Direkomendasikan",ROW($6:$1005)-5),780)),BidangList,0)),INDEX(checklistPesertaKemenkeu!$M$6:$M$1005,SMALL(IF(checklistPesertaKemenkeu!$AY$6:$AY$1005="Direkomendasikan",ROW($6:$1005)-5),780)))&gt;0,COUNTIF(INDIRECT("'KERTAS KERJA'!K"&amp;(SMALL(IF(checklistPesertaKemenkeu!$AY$6:$AY$1005="Direkomendasikan",ROW($6:$1005)-5),780)+5)&amp;":O"&amp;(SMALL(IF(checklistPesertaKemenkeu!$AY$6:$AY$1005="Direkomendasikan",ROW($6:$1005)-5),780)+5)),INDEX(checklistPesertaKemenkeu!$M$6:$M$1005,SMALL(IF(checklistPesertaKemenkeu!$AY$6:$AY$1005="Direkomendasikan",ROW($6:$1005)-5),780)))=1),IFERROR(VLOOKUP(INDEX(checklistPesertaKemenkeu!$M$6:$M$1005,SMALL(IF(checklistPesertaKemenkeu!$AY$6:$AY$1005="Direkomendasikan",ROW($6:$1005)-5),780)),KotaKode,2,0),"-"),"")),"")</f>
        <v/>
      </c>
      <c r="J781" t="str">
        <f t="array" aca="1" ref="J781" ca="1">IFERROR(IF(OR(INDEX(checklistPesertaKemenkeu!$N$6:$N$1005,SMALL(IF(checklistPesertaKemenkeu!$AY$6:$AY$1005="Direkomendasikan",ROW($6:$1005)-5),780))="",INDEX(checklistPesertaKemenkeu!$J$6:$J$1005,SMALL(IF(checklistPesertaKemenkeu!$AY$6:$AY$1005="Direkomendasikan",ROW($6:$1005)-5),780))=""),"",IF(AND(COUNTIF(INDIRECT("K_"&amp;MATCH(INDEX(checklistPesertaKemenkeu!$J$6:$J$1005,SMALL(IF(checklistPesertaKemenkeu!$AY$6:$AY$1005="Direkomendasikan",ROW($6:$1005)-5),780)),BidangList,0)),INDEX(checklistPesertaKemenkeu!$N$6:$N$1005,SMALL(IF(checklistPesertaKemenkeu!$AY$6:$AY$1005="Direkomendasikan",ROW($6:$1005)-5),780)))&gt;0,COUNTIF(INDIRECT("'KERTAS KERJA'!K"&amp;(SMALL(IF(checklistPesertaKemenkeu!$AY$6:$AY$1005="Direkomendasikan",ROW($6:$1005)-5),780)+5)&amp;":O"&amp;(SMALL(IF(checklistPesertaKemenkeu!$AY$6:$AY$1005="Direkomendasikan",ROW($6:$1005)-5),780)+5)),INDEX(checklistPesertaKemenkeu!$N$6:$N$1005,SMALL(IF(checklistPesertaKemenkeu!$AY$6:$AY$1005="Direkomendasikan",ROW($6:$1005)-5),780)))=1),IFERROR(VLOOKUP(INDEX(checklistPesertaKemenkeu!$N$6:$N$1005,SMALL(IF(checklistPesertaKemenkeu!$AY$6:$AY$1005="Direkomendasikan",ROW($6:$1005)-5),780)),KotaKode,2,0),"-"),"")),"")</f>
        <v/>
      </c>
      <c r="K781" t="str">
        <f t="array" aca="1" ref="K781" ca="1">IFERROR(IF(OR(INDEX(checklistPesertaKemenkeu!$O$6:$O$1005,SMALL(IF(checklistPesertaKemenkeu!$AY$6:$AY$1005="Direkomendasikan",ROW($6:$1005)-5),780))="",INDEX(checklistPesertaKemenkeu!$J$6:$J$1005,SMALL(IF(checklistPesertaKemenkeu!$AY$6:$AY$1005="Direkomendasikan",ROW($6:$1005)-5),780))=""),"",IF(AND(COUNTIF(INDIRECT("K_"&amp;MATCH(INDEX(checklistPesertaKemenkeu!$J$6:$J$1005,SMALL(IF(checklistPesertaKemenkeu!$AY$6:$AY$1005="Direkomendasikan",ROW($6:$1005)-5),780)),BidangList,0)),INDEX(checklistPesertaKemenkeu!$O$6:$O$1005,SMALL(IF(checklistPesertaKemenkeu!$AY$6:$AY$1005="Direkomendasikan",ROW($6:$1005)-5),780)))&gt;0,COUNTIF(INDIRECT("'KERTAS KERJA'!K"&amp;(SMALL(IF(checklistPesertaKemenkeu!$AY$6:$AY$1005="Direkomendasikan",ROW($6:$1005)-5),780)+5)&amp;":O"&amp;(SMALL(IF(checklistPesertaKemenkeu!$AY$6:$AY$1005="Direkomendasikan",ROW($6:$1005)-5),780)+5)),INDEX(checklistPesertaKemenkeu!$O$6:$O$1005,SMALL(IF(checklistPesertaKemenkeu!$AY$6:$AY$1005="Direkomendasikan",ROW($6:$1005)-5),780)))=1),IFERROR(VLOOKUP(INDEX(checklistPesertaKemenkeu!$O$6:$O$1005,SMALL(IF(checklistPesertaKemenkeu!$AY$6:$AY$1005="Direkomendasikan",ROW($6:$1005)-5),780)),KotaKode,2,0),"-"),"")),"")</f>
        <v/>
      </c>
      <c r="L781" t="str">
        <f t="array" aca="1" ref="L781" ca="1">IFERROR(IF(OR(INDEX(checklistPesertaKemenkeu!$P$6:$P$1005,SMALL(IF(checklistPesertaKemenkeu!$AY$6:$AY$1005="Direkomendasikan",ROW($6:$1005)-5),780))="",INDEX(checklistPesertaKemenkeu!$J$6:$J$1005,SMALL(IF(checklistPesertaKemenkeu!$AY$6:$AY$1005="Direkomendasikan",ROW($6:$1005)-5),780))=""),"",IF(AND(COUNTIF(INDIRECT("K_"&amp;MATCH(INDEX(checklistPesertaKemenkeu!$J$6:$J$1005,SMALL(IF(checklistPesertaKemenkeu!$AY$6:$AY$1005="Direkomendasikan",ROW($6:$1005)-5),780)),BidangList,0)),INDEX(checklistPesertaKemenkeu!$P$6:$P$1005,SMALL(IF(checklistPesertaKemenkeu!$AY$6:$AY$1005="Direkomendasikan",ROW($6:$1005)-5),780)))&gt;0,COUNTIF(INDIRECT("'KERTAS KERJA'!K"&amp;(SMALL(IF(checklistPesertaKemenkeu!$AY$6:$AY$1005="Direkomendasikan",ROW($6:$1005)-5),780)+5)&amp;":O"&amp;(SMALL(IF(checklistPesertaKemenkeu!$AY$6:$AY$1005="Direkomendasikan",ROW($6:$1005)-5),780)+5)),INDEX(checklistPesertaKemenkeu!$P$6:$P$1005,SMALL(IF(checklistPesertaKemenkeu!$AY$6:$AY$1005="Direkomendasikan",ROW($6:$1005)-5),780)))=1),IFERROR(VLOOKUP(INDEX(checklistPesertaKemenkeu!$P$6:$P$1005,SMALL(IF(checklistPesertaKemenkeu!$AY$6:$AY$1005="Direkomendasikan",ROW($6:$1005)-5),780)),KotaKode,2,0),"-"),"")),"")</f>
        <v/>
      </c>
    </row>
    <row r="782" spans="1:12" ht="15" customHeight="1" x14ac:dyDescent="0.2">
      <c r="A782" t="str">
        <f t="shared" si="12"/>
        <v/>
      </c>
      <c r="B782" t="str">
        <v/>
      </c>
      <c r="C782" s="40" t="str">
        <f t="array" ref="C782">IFERROR(INDEX(checklistPesertaKemenkeu!$F$6:$F$1005,SMALL(IF(checklistPesertaKemenkeu!$AY$6:$AY$1005="Direkomendasikan",ROW($6:$1005)-5),781)),"")</f>
        <v/>
      </c>
      <c r="D782" t="str">
        <f t="array" ref="D782">IFERROR(INDEX(checklistPesertaKemenkeu!$G$6:$G$1005,SMALL(IF(checklistPesertaKemenkeu!$AY$6:$AY$1005="Direkomendasikan",ROW($6:$1005)-5),781)),"")</f>
        <v/>
      </c>
      <c r="E782" t="str">
        <f t="array" ref="E782">IFERROR(INDEX(checklistPesertaKemenkeu!$H$6:$H$1005,SMALL(IF(checklistPesertaKemenkeu!$AY$6:$AY$1005="Direkomendasikan",ROW($6:$1005)-5),781)),"")</f>
        <v/>
      </c>
      <c r="F782" t="str">
        <f t="array" ref="F782">IFERROR(INDEX(checklistPesertaKemenkeu!$I$6:$I$1005,SMALL(IF(checklistPesertaKemenkeu!$AY$6:$AY$1005="Direkomendasikan",ROW($6:$1005)-5),781)),"")</f>
        <v/>
      </c>
      <c r="G782" t="str">
        <f t="array" ref="G782">IFERROR(INDEX(checklistPesertaKemenkeu!$J$6:$J$1005,SMALL(IF(checklistPesertaKemenkeu!$AY$6:$AY$1005="Direkomendasikan",ROW($6:$1005)-5),781)),"")</f>
        <v/>
      </c>
      <c r="H782" t="str">
        <f t="array" aca="1" ref="H782" ca="1">IFERROR(IF(OR(INDEX(checklistPesertaKemenkeu!$L$6:$L$1005,SMALL(IF(checklistPesertaKemenkeu!$AY$6:$AY$1005="Direkomendasikan",ROW($6:$1005)-5),781))="",INDEX(checklistPesertaKemenkeu!$J$6:$J$1005,SMALL(IF(checklistPesertaKemenkeu!$AY$6:$AY$1005="Direkomendasikan",ROW($6:$1005)-5),781))=""),"",IF(AND(COUNTIF(INDIRECT("K_"&amp;MATCH(INDEX(checklistPesertaKemenkeu!$J$6:$J$1005,SMALL(IF(checklistPesertaKemenkeu!$AY$6:$AY$1005="Direkomendasikan",ROW($6:$1005)-5),781)),BidangList,0)),INDEX(checklistPesertaKemenkeu!$L$6:$L$1005,SMALL(IF(checklistPesertaKemenkeu!$AY$6:$AY$1005="Direkomendasikan",ROW($6:$1005)-5),781)))&gt;0,COUNTIF(INDIRECT("'KERTAS KERJA'!K"&amp;(SMALL(IF(checklistPesertaKemenkeu!$AY$6:$AY$1005="Direkomendasikan",ROW($6:$1005)-5),781)+5)&amp;":O"&amp;(SMALL(IF(checklistPesertaKemenkeu!$AY$6:$AY$1005="Direkomendasikan",ROW($6:$1005)-5),781)+5)),INDEX(checklistPesertaKemenkeu!$L$6:$L$1005,SMALL(IF(checklistPesertaKemenkeu!$AY$6:$AY$1005="Direkomendasikan",ROW($6:$1005)-5),781)))=1),IFERROR(VLOOKUP(INDEX(checklistPesertaKemenkeu!$L$6:$L$1005,SMALL(IF(checklistPesertaKemenkeu!$AY$6:$AY$1005="Direkomendasikan",ROW($6:$1005)-5),781)),KotaKode,2,0),"-"),"")),"")</f>
        <v/>
      </c>
      <c r="I782" t="str">
        <f t="array" aca="1" ref="I782" ca="1">IFERROR(IF(OR(INDEX(checklistPesertaKemenkeu!$M$6:$M$1005,SMALL(IF(checklistPesertaKemenkeu!$AY$6:$AY$1005="Direkomendasikan",ROW($6:$1005)-5),781))="",INDEX(checklistPesertaKemenkeu!$J$6:$J$1005,SMALL(IF(checklistPesertaKemenkeu!$AY$6:$AY$1005="Direkomendasikan",ROW($6:$1005)-5),781))=""),"",IF(AND(COUNTIF(INDIRECT("K_"&amp;MATCH(INDEX(checklistPesertaKemenkeu!$J$6:$J$1005,SMALL(IF(checklistPesertaKemenkeu!$AY$6:$AY$1005="Direkomendasikan",ROW($6:$1005)-5),781)),BidangList,0)),INDEX(checklistPesertaKemenkeu!$M$6:$M$1005,SMALL(IF(checklistPesertaKemenkeu!$AY$6:$AY$1005="Direkomendasikan",ROW($6:$1005)-5),781)))&gt;0,COUNTIF(INDIRECT("'KERTAS KERJA'!K"&amp;(SMALL(IF(checklistPesertaKemenkeu!$AY$6:$AY$1005="Direkomendasikan",ROW($6:$1005)-5),781)+5)&amp;":O"&amp;(SMALL(IF(checklistPesertaKemenkeu!$AY$6:$AY$1005="Direkomendasikan",ROW($6:$1005)-5),781)+5)),INDEX(checklistPesertaKemenkeu!$M$6:$M$1005,SMALL(IF(checklistPesertaKemenkeu!$AY$6:$AY$1005="Direkomendasikan",ROW($6:$1005)-5),781)))=1),IFERROR(VLOOKUP(INDEX(checklistPesertaKemenkeu!$M$6:$M$1005,SMALL(IF(checklistPesertaKemenkeu!$AY$6:$AY$1005="Direkomendasikan",ROW($6:$1005)-5),781)),KotaKode,2,0),"-"),"")),"")</f>
        <v/>
      </c>
      <c r="J782" t="str">
        <f t="array" aca="1" ref="J782" ca="1">IFERROR(IF(OR(INDEX(checklistPesertaKemenkeu!$N$6:$N$1005,SMALL(IF(checklistPesertaKemenkeu!$AY$6:$AY$1005="Direkomendasikan",ROW($6:$1005)-5),781))="",INDEX(checklistPesertaKemenkeu!$J$6:$J$1005,SMALL(IF(checklistPesertaKemenkeu!$AY$6:$AY$1005="Direkomendasikan",ROW($6:$1005)-5),781))=""),"",IF(AND(COUNTIF(INDIRECT("K_"&amp;MATCH(INDEX(checklistPesertaKemenkeu!$J$6:$J$1005,SMALL(IF(checklistPesertaKemenkeu!$AY$6:$AY$1005="Direkomendasikan",ROW($6:$1005)-5),781)),BidangList,0)),INDEX(checklistPesertaKemenkeu!$N$6:$N$1005,SMALL(IF(checklistPesertaKemenkeu!$AY$6:$AY$1005="Direkomendasikan",ROW($6:$1005)-5),781)))&gt;0,COUNTIF(INDIRECT("'KERTAS KERJA'!K"&amp;(SMALL(IF(checklistPesertaKemenkeu!$AY$6:$AY$1005="Direkomendasikan",ROW($6:$1005)-5),781)+5)&amp;":O"&amp;(SMALL(IF(checklistPesertaKemenkeu!$AY$6:$AY$1005="Direkomendasikan",ROW($6:$1005)-5),781)+5)),INDEX(checklistPesertaKemenkeu!$N$6:$N$1005,SMALL(IF(checklistPesertaKemenkeu!$AY$6:$AY$1005="Direkomendasikan",ROW($6:$1005)-5),781)))=1),IFERROR(VLOOKUP(INDEX(checklistPesertaKemenkeu!$N$6:$N$1005,SMALL(IF(checklistPesertaKemenkeu!$AY$6:$AY$1005="Direkomendasikan",ROW($6:$1005)-5),781)),KotaKode,2,0),"-"),"")),"")</f>
        <v/>
      </c>
      <c r="K782" t="str">
        <f t="array" aca="1" ref="K782" ca="1">IFERROR(IF(OR(INDEX(checklistPesertaKemenkeu!$O$6:$O$1005,SMALL(IF(checklistPesertaKemenkeu!$AY$6:$AY$1005="Direkomendasikan",ROW($6:$1005)-5),781))="",INDEX(checklistPesertaKemenkeu!$J$6:$J$1005,SMALL(IF(checklistPesertaKemenkeu!$AY$6:$AY$1005="Direkomendasikan",ROW($6:$1005)-5),781))=""),"",IF(AND(COUNTIF(INDIRECT("K_"&amp;MATCH(INDEX(checklistPesertaKemenkeu!$J$6:$J$1005,SMALL(IF(checklistPesertaKemenkeu!$AY$6:$AY$1005="Direkomendasikan",ROW($6:$1005)-5),781)),BidangList,0)),INDEX(checklistPesertaKemenkeu!$O$6:$O$1005,SMALL(IF(checklistPesertaKemenkeu!$AY$6:$AY$1005="Direkomendasikan",ROW($6:$1005)-5),781)))&gt;0,COUNTIF(INDIRECT("'KERTAS KERJA'!K"&amp;(SMALL(IF(checklistPesertaKemenkeu!$AY$6:$AY$1005="Direkomendasikan",ROW($6:$1005)-5),781)+5)&amp;":O"&amp;(SMALL(IF(checklistPesertaKemenkeu!$AY$6:$AY$1005="Direkomendasikan",ROW($6:$1005)-5),781)+5)),INDEX(checklistPesertaKemenkeu!$O$6:$O$1005,SMALL(IF(checklistPesertaKemenkeu!$AY$6:$AY$1005="Direkomendasikan",ROW($6:$1005)-5),781)))=1),IFERROR(VLOOKUP(INDEX(checklistPesertaKemenkeu!$O$6:$O$1005,SMALL(IF(checklistPesertaKemenkeu!$AY$6:$AY$1005="Direkomendasikan",ROW($6:$1005)-5),781)),KotaKode,2,0),"-"),"")),"")</f>
        <v/>
      </c>
      <c r="L782" t="str">
        <f t="array" aca="1" ref="L782" ca="1">IFERROR(IF(OR(INDEX(checklistPesertaKemenkeu!$P$6:$P$1005,SMALL(IF(checklistPesertaKemenkeu!$AY$6:$AY$1005="Direkomendasikan",ROW($6:$1005)-5),781))="",INDEX(checklistPesertaKemenkeu!$J$6:$J$1005,SMALL(IF(checklistPesertaKemenkeu!$AY$6:$AY$1005="Direkomendasikan",ROW($6:$1005)-5),781))=""),"",IF(AND(COUNTIF(INDIRECT("K_"&amp;MATCH(INDEX(checklistPesertaKemenkeu!$J$6:$J$1005,SMALL(IF(checklistPesertaKemenkeu!$AY$6:$AY$1005="Direkomendasikan",ROW($6:$1005)-5),781)),BidangList,0)),INDEX(checklistPesertaKemenkeu!$P$6:$P$1005,SMALL(IF(checklistPesertaKemenkeu!$AY$6:$AY$1005="Direkomendasikan",ROW($6:$1005)-5),781)))&gt;0,COUNTIF(INDIRECT("'KERTAS KERJA'!K"&amp;(SMALL(IF(checklistPesertaKemenkeu!$AY$6:$AY$1005="Direkomendasikan",ROW($6:$1005)-5),781)+5)&amp;":O"&amp;(SMALL(IF(checklistPesertaKemenkeu!$AY$6:$AY$1005="Direkomendasikan",ROW($6:$1005)-5),781)+5)),INDEX(checklistPesertaKemenkeu!$P$6:$P$1005,SMALL(IF(checklistPesertaKemenkeu!$AY$6:$AY$1005="Direkomendasikan",ROW($6:$1005)-5),781)))=1),IFERROR(VLOOKUP(INDEX(checklistPesertaKemenkeu!$P$6:$P$1005,SMALL(IF(checklistPesertaKemenkeu!$AY$6:$AY$1005="Direkomendasikan",ROW($6:$1005)-5),781)),KotaKode,2,0),"-"),"")),"")</f>
        <v/>
      </c>
    </row>
    <row r="783" spans="1:12" ht="15" customHeight="1" x14ac:dyDescent="0.2">
      <c r="A783" t="str">
        <f t="shared" si="12"/>
        <v/>
      </c>
      <c r="B783" t="str">
        <v/>
      </c>
      <c r="C783" s="40" t="str">
        <f t="array" ref="C783">IFERROR(INDEX(checklistPesertaKemenkeu!$F$6:$F$1005,SMALL(IF(checklistPesertaKemenkeu!$AY$6:$AY$1005="Direkomendasikan",ROW($6:$1005)-5),782)),"")</f>
        <v/>
      </c>
      <c r="D783" t="str">
        <f t="array" ref="D783">IFERROR(INDEX(checklistPesertaKemenkeu!$G$6:$G$1005,SMALL(IF(checklistPesertaKemenkeu!$AY$6:$AY$1005="Direkomendasikan",ROW($6:$1005)-5),782)),"")</f>
        <v/>
      </c>
      <c r="E783" t="str">
        <f t="array" ref="E783">IFERROR(INDEX(checklistPesertaKemenkeu!$H$6:$H$1005,SMALL(IF(checklistPesertaKemenkeu!$AY$6:$AY$1005="Direkomendasikan",ROW($6:$1005)-5),782)),"")</f>
        <v/>
      </c>
      <c r="F783" t="str">
        <f t="array" ref="F783">IFERROR(INDEX(checklistPesertaKemenkeu!$I$6:$I$1005,SMALL(IF(checklistPesertaKemenkeu!$AY$6:$AY$1005="Direkomendasikan",ROW($6:$1005)-5),782)),"")</f>
        <v/>
      </c>
      <c r="G783" t="str">
        <f t="array" ref="G783">IFERROR(INDEX(checklistPesertaKemenkeu!$J$6:$J$1005,SMALL(IF(checklistPesertaKemenkeu!$AY$6:$AY$1005="Direkomendasikan",ROW($6:$1005)-5),782)),"")</f>
        <v/>
      </c>
      <c r="H783" t="str">
        <f t="array" aca="1" ref="H783" ca="1">IFERROR(IF(OR(INDEX(checklistPesertaKemenkeu!$L$6:$L$1005,SMALL(IF(checklistPesertaKemenkeu!$AY$6:$AY$1005="Direkomendasikan",ROW($6:$1005)-5),782))="",INDEX(checklistPesertaKemenkeu!$J$6:$J$1005,SMALL(IF(checklistPesertaKemenkeu!$AY$6:$AY$1005="Direkomendasikan",ROW($6:$1005)-5),782))=""),"",IF(AND(COUNTIF(INDIRECT("K_"&amp;MATCH(INDEX(checklistPesertaKemenkeu!$J$6:$J$1005,SMALL(IF(checklistPesertaKemenkeu!$AY$6:$AY$1005="Direkomendasikan",ROW($6:$1005)-5),782)),BidangList,0)),INDEX(checklistPesertaKemenkeu!$L$6:$L$1005,SMALL(IF(checklistPesertaKemenkeu!$AY$6:$AY$1005="Direkomendasikan",ROW($6:$1005)-5),782)))&gt;0,COUNTIF(INDIRECT("'KERTAS KERJA'!K"&amp;(SMALL(IF(checklistPesertaKemenkeu!$AY$6:$AY$1005="Direkomendasikan",ROW($6:$1005)-5),782)+5)&amp;":O"&amp;(SMALL(IF(checklistPesertaKemenkeu!$AY$6:$AY$1005="Direkomendasikan",ROW($6:$1005)-5),782)+5)),INDEX(checklistPesertaKemenkeu!$L$6:$L$1005,SMALL(IF(checklistPesertaKemenkeu!$AY$6:$AY$1005="Direkomendasikan",ROW($6:$1005)-5),782)))=1),IFERROR(VLOOKUP(INDEX(checklistPesertaKemenkeu!$L$6:$L$1005,SMALL(IF(checklistPesertaKemenkeu!$AY$6:$AY$1005="Direkomendasikan",ROW($6:$1005)-5),782)),KotaKode,2,0),"-"),"")),"")</f>
        <v/>
      </c>
      <c r="I783" t="str">
        <f t="array" aca="1" ref="I783" ca="1">IFERROR(IF(OR(INDEX(checklistPesertaKemenkeu!$M$6:$M$1005,SMALL(IF(checklistPesertaKemenkeu!$AY$6:$AY$1005="Direkomendasikan",ROW($6:$1005)-5),782))="",INDEX(checklistPesertaKemenkeu!$J$6:$J$1005,SMALL(IF(checklistPesertaKemenkeu!$AY$6:$AY$1005="Direkomendasikan",ROW($6:$1005)-5),782))=""),"",IF(AND(COUNTIF(INDIRECT("K_"&amp;MATCH(INDEX(checklistPesertaKemenkeu!$J$6:$J$1005,SMALL(IF(checklistPesertaKemenkeu!$AY$6:$AY$1005="Direkomendasikan",ROW($6:$1005)-5),782)),BidangList,0)),INDEX(checklistPesertaKemenkeu!$M$6:$M$1005,SMALL(IF(checklistPesertaKemenkeu!$AY$6:$AY$1005="Direkomendasikan",ROW($6:$1005)-5),782)))&gt;0,COUNTIF(INDIRECT("'KERTAS KERJA'!K"&amp;(SMALL(IF(checklistPesertaKemenkeu!$AY$6:$AY$1005="Direkomendasikan",ROW($6:$1005)-5),782)+5)&amp;":O"&amp;(SMALL(IF(checklistPesertaKemenkeu!$AY$6:$AY$1005="Direkomendasikan",ROW($6:$1005)-5),782)+5)),INDEX(checklistPesertaKemenkeu!$M$6:$M$1005,SMALL(IF(checklistPesertaKemenkeu!$AY$6:$AY$1005="Direkomendasikan",ROW($6:$1005)-5),782)))=1),IFERROR(VLOOKUP(INDEX(checklistPesertaKemenkeu!$M$6:$M$1005,SMALL(IF(checklistPesertaKemenkeu!$AY$6:$AY$1005="Direkomendasikan",ROW($6:$1005)-5),782)),KotaKode,2,0),"-"),"")),"")</f>
        <v/>
      </c>
      <c r="J783" t="str">
        <f t="array" aca="1" ref="J783" ca="1">IFERROR(IF(OR(INDEX(checklistPesertaKemenkeu!$N$6:$N$1005,SMALL(IF(checklistPesertaKemenkeu!$AY$6:$AY$1005="Direkomendasikan",ROW($6:$1005)-5),782))="",INDEX(checklistPesertaKemenkeu!$J$6:$J$1005,SMALL(IF(checklistPesertaKemenkeu!$AY$6:$AY$1005="Direkomendasikan",ROW($6:$1005)-5),782))=""),"",IF(AND(COUNTIF(INDIRECT("K_"&amp;MATCH(INDEX(checklistPesertaKemenkeu!$J$6:$J$1005,SMALL(IF(checklistPesertaKemenkeu!$AY$6:$AY$1005="Direkomendasikan",ROW($6:$1005)-5),782)),BidangList,0)),INDEX(checklistPesertaKemenkeu!$N$6:$N$1005,SMALL(IF(checklistPesertaKemenkeu!$AY$6:$AY$1005="Direkomendasikan",ROW($6:$1005)-5),782)))&gt;0,COUNTIF(INDIRECT("'KERTAS KERJA'!K"&amp;(SMALL(IF(checklistPesertaKemenkeu!$AY$6:$AY$1005="Direkomendasikan",ROW($6:$1005)-5),782)+5)&amp;":O"&amp;(SMALL(IF(checklistPesertaKemenkeu!$AY$6:$AY$1005="Direkomendasikan",ROW($6:$1005)-5),782)+5)),INDEX(checklistPesertaKemenkeu!$N$6:$N$1005,SMALL(IF(checklistPesertaKemenkeu!$AY$6:$AY$1005="Direkomendasikan",ROW($6:$1005)-5),782)))=1),IFERROR(VLOOKUP(INDEX(checklistPesertaKemenkeu!$N$6:$N$1005,SMALL(IF(checklistPesertaKemenkeu!$AY$6:$AY$1005="Direkomendasikan",ROW($6:$1005)-5),782)),KotaKode,2,0),"-"),"")),"")</f>
        <v/>
      </c>
      <c r="K783" t="str">
        <f t="array" aca="1" ref="K783" ca="1">IFERROR(IF(OR(INDEX(checklistPesertaKemenkeu!$O$6:$O$1005,SMALL(IF(checklistPesertaKemenkeu!$AY$6:$AY$1005="Direkomendasikan",ROW($6:$1005)-5),782))="",INDEX(checklistPesertaKemenkeu!$J$6:$J$1005,SMALL(IF(checklistPesertaKemenkeu!$AY$6:$AY$1005="Direkomendasikan",ROW($6:$1005)-5),782))=""),"",IF(AND(COUNTIF(INDIRECT("K_"&amp;MATCH(INDEX(checklistPesertaKemenkeu!$J$6:$J$1005,SMALL(IF(checklistPesertaKemenkeu!$AY$6:$AY$1005="Direkomendasikan",ROW($6:$1005)-5),782)),BidangList,0)),INDEX(checklistPesertaKemenkeu!$O$6:$O$1005,SMALL(IF(checklistPesertaKemenkeu!$AY$6:$AY$1005="Direkomendasikan",ROW($6:$1005)-5),782)))&gt;0,COUNTIF(INDIRECT("'KERTAS KERJA'!K"&amp;(SMALL(IF(checklistPesertaKemenkeu!$AY$6:$AY$1005="Direkomendasikan",ROW($6:$1005)-5),782)+5)&amp;":O"&amp;(SMALL(IF(checklistPesertaKemenkeu!$AY$6:$AY$1005="Direkomendasikan",ROW($6:$1005)-5),782)+5)),INDEX(checklistPesertaKemenkeu!$O$6:$O$1005,SMALL(IF(checklistPesertaKemenkeu!$AY$6:$AY$1005="Direkomendasikan",ROW($6:$1005)-5),782)))=1),IFERROR(VLOOKUP(INDEX(checklistPesertaKemenkeu!$O$6:$O$1005,SMALL(IF(checklistPesertaKemenkeu!$AY$6:$AY$1005="Direkomendasikan",ROW($6:$1005)-5),782)),KotaKode,2,0),"-"),"")),"")</f>
        <v/>
      </c>
      <c r="L783" t="str">
        <f t="array" aca="1" ref="L783" ca="1">IFERROR(IF(OR(INDEX(checklistPesertaKemenkeu!$P$6:$P$1005,SMALL(IF(checklistPesertaKemenkeu!$AY$6:$AY$1005="Direkomendasikan",ROW($6:$1005)-5),782))="",INDEX(checklistPesertaKemenkeu!$J$6:$J$1005,SMALL(IF(checklistPesertaKemenkeu!$AY$6:$AY$1005="Direkomendasikan",ROW($6:$1005)-5),782))=""),"",IF(AND(COUNTIF(INDIRECT("K_"&amp;MATCH(INDEX(checklistPesertaKemenkeu!$J$6:$J$1005,SMALL(IF(checklistPesertaKemenkeu!$AY$6:$AY$1005="Direkomendasikan",ROW($6:$1005)-5),782)),BidangList,0)),INDEX(checklistPesertaKemenkeu!$P$6:$P$1005,SMALL(IF(checklistPesertaKemenkeu!$AY$6:$AY$1005="Direkomendasikan",ROW($6:$1005)-5),782)))&gt;0,COUNTIF(INDIRECT("'KERTAS KERJA'!K"&amp;(SMALL(IF(checklistPesertaKemenkeu!$AY$6:$AY$1005="Direkomendasikan",ROW($6:$1005)-5),782)+5)&amp;":O"&amp;(SMALL(IF(checklistPesertaKemenkeu!$AY$6:$AY$1005="Direkomendasikan",ROW($6:$1005)-5),782)+5)),INDEX(checklistPesertaKemenkeu!$P$6:$P$1005,SMALL(IF(checklistPesertaKemenkeu!$AY$6:$AY$1005="Direkomendasikan",ROW($6:$1005)-5),782)))=1),IFERROR(VLOOKUP(INDEX(checklistPesertaKemenkeu!$P$6:$P$1005,SMALL(IF(checklistPesertaKemenkeu!$AY$6:$AY$1005="Direkomendasikan",ROW($6:$1005)-5),782)),KotaKode,2,0),"-"),"")),"")</f>
        <v/>
      </c>
    </row>
    <row r="784" spans="1:12" ht="15" customHeight="1" x14ac:dyDescent="0.2">
      <c r="A784" t="str">
        <f t="shared" si="12"/>
        <v/>
      </c>
      <c r="B784" t="str">
        <v/>
      </c>
      <c r="C784" s="40" t="str">
        <f t="array" ref="C784">IFERROR(INDEX(checklistPesertaKemenkeu!$F$6:$F$1005,SMALL(IF(checklistPesertaKemenkeu!$AY$6:$AY$1005="Direkomendasikan",ROW($6:$1005)-5),783)),"")</f>
        <v/>
      </c>
      <c r="D784" t="str">
        <f t="array" ref="D784">IFERROR(INDEX(checklistPesertaKemenkeu!$G$6:$G$1005,SMALL(IF(checklistPesertaKemenkeu!$AY$6:$AY$1005="Direkomendasikan",ROW($6:$1005)-5),783)),"")</f>
        <v/>
      </c>
      <c r="E784" t="str">
        <f t="array" ref="E784">IFERROR(INDEX(checklistPesertaKemenkeu!$H$6:$H$1005,SMALL(IF(checklistPesertaKemenkeu!$AY$6:$AY$1005="Direkomendasikan",ROW($6:$1005)-5),783)),"")</f>
        <v/>
      </c>
      <c r="F784" t="str">
        <f t="array" ref="F784">IFERROR(INDEX(checklistPesertaKemenkeu!$I$6:$I$1005,SMALL(IF(checklistPesertaKemenkeu!$AY$6:$AY$1005="Direkomendasikan",ROW($6:$1005)-5),783)),"")</f>
        <v/>
      </c>
      <c r="G784" t="str">
        <f t="array" ref="G784">IFERROR(INDEX(checklistPesertaKemenkeu!$J$6:$J$1005,SMALL(IF(checklistPesertaKemenkeu!$AY$6:$AY$1005="Direkomendasikan",ROW($6:$1005)-5),783)),"")</f>
        <v/>
      </c>
      <c r="H784" t="str">
        <f t="array" aca="1" ref="H784" ca="1">IFERROR(IF(OR(INDEX(checklistPesertaKemenkeu!$L$6:$L$1005,SMALL(IF(checklistPesertaKemenkeu!$AY$6:$AY$1005="Direkomendasikan",ROW($6:$1005)-5),783))="",INDEX(checklistPesertaKemenkeu!$J$6:$J$1005,SMALL(IF(checklistPesertaKemenkeu!$AY$6:$AY$1005="Direkomendasikan",ROW($6:$1005)-5),783))=""),"",IF(AND(COUNTIF(INDIRECT("K_"&amp;MATCH(INDEX(checklistPesertaKemenkeu!$J$6:$J$1005,SMALL(IF(checklistPesertaKemenkeu!$AY$6:$AY$1005="Direkomendasikan",ROW($6:$1005)-5),783)),BidangList,0)),INDEX(checklistPesertaKemenkeu!$L$6:$L$1005,SMALL(IF(checklistPesertaKemenkeu!$AY$6:$AY$1005="Direkomendasikan",ROW($6:$1005)-5),783)))&gt;0,COUNTIF(INDIRECT("'KERTAS KERJA'!K"&amp;(SMALL(IF(checklistPesertaKemenkeu!$AY$6:$AY$1005="Direkomendasikan",ROW($6:$1005)-5),783)+5)&amp;":O"&amp;(SMALL(IF(checklistPesertaKemenkeu!$AY$6:$AY$1005="Direkomendasikan",ROW($6:$1005)-5),783)+5)),INDEX(checklistPesertaKemenkeu!$L$6:$L$1005,SMALL(IF(checklistPesertaKemenkeu!$AY$6:$AY$1005="Direkomendasikan",ROW($6:$1005)-5),783)))=1),IFERROR(VLOOKUP(INDEX(checklistPesertaKemenkeu!$L$6:$L$1005,SMALL(IF(checklistPesertaKemenkeu!$AY$6:$AY$1005="Direkomendasikan",ROW($6:$1005)-5),783)),KotaKode,2,0),"-"),"")),"")</f>
        <v/>
      </c>
      <c r="I784" t="str">
        <f t="array" aca="1" ref="I784" ca="1">IFERROR(IF(OR(INDEX(checklistPesertaKemenkeu!$M$6:$M$1005,SMALL(IF(checklistPesertaKemenkeu!$AY$6:$AY$1005="Direkomendasikan",ROW($6:$1005)-5),783))="",INDEX(checklistPesertaKemenkeu!$J$6:$J$1005,SMALL(IF(checklistPesertaKemenkeu!$AY$6:$AY$1005="Direkomendasikan",ROW($6:$1005)-5),783))=""),"",IF(AND(COUNTIF(INDIRECT("K_"&amp;MATCH(INDEX(checklistPesertaKemenkeu!$J$6:$J$1005,SMALL(IF(checklistPesertaKemenkeu!$AY$6:$AY$1005="Direkomendasikan",ROW($6:$1005)-5),783)),BidangList,0)),INDEX(checklistPesertaKemenkeu!$M$6:$M$1005,SMALL(IF(checklistPesertaKemenkeu!$AY$6:$AY$1005="Direkomendasikan",ROW($6:$1005)-5),783)))&gt;0,COUNTIF(INDIRECT("'KERTAS KERJA'!K"&amp;(SMALL(IF(checklistPesertaKemenkeu!$AY$6:$AY$1005="Direkomendasikan",ROW($6:$1005)-5),783)+5)&amp;":O"&amp;(SMALL(IF(checklistPesertaKemenkeu!$AY$6:$AY$1005="Direkomendasikan",ROW($6:$1005)-5),783)+5)),INDEX(checklistPesertaKemenkeu!$M$6:$M$1005,SMALL(IF(checklistPesertaKemenkeu!$AY$6:$AY$1005="Direkomendasikan",ROW($6:$1005)-5),783)))=1),IFERROR(VLOOKUP(INDEX(checklistPesertaKemenkeu!$M$6:$M$1005,SMALL(IF(checklistPesertaKemenkeu!$AY$6:$AY$1005="Direkomendasikan",ROW($6:$1005)-5),783)),KotaKode,2,0),"-"),"")),"")</f>
        <v/>
      </c>
      <c r="J784" t="str">
        <f t="array" aca="1" ref="J784" ca="1">IFERROR(IF(OR(INDEX(checklistPesertaKemenkeu!$N$6:$N$1005,SMALL(IF(checklistPesertaKemenkeu!$AY$6:$AY$1005="Direkomendasikan",ROW($6:$1005)-5),783))="",INDEX(checklistPesertaKemenkeu!$J$6:$J$1005,SMALL(IF(checklistPesertaKemenkeu!$AY$6:$AY$1005="Direkomendasikan",ROW($6:$1005)-5),783))=""),"",IF(AND(COUNTIF(INDIRECT("K_"&amp;MATCH(INDEX(checklistPesertaKemenkeu!$J$6:$J$1005,SMALL(IF(checklistPesertaKemenkeu!$AY$6:$AY$1005="Direkomendasikan",ROW($6:$1005)-5),783)),BidangList,0)),INDEX(checklistPesertaKemenkeu!$N$6:$N$1005,SMALL(IF(checklistPesertaKemenkeu!$AY$6:$AY$1005="Direkomendasikan",ROW($6:$1005)-5),783)))&gt;0,COUNTIF(INDIRECT("'KERTAS KERJA'!K"&amp;(SMALL(IF(checklistPesertaKemenkeu!$AY$6:$AY$1005="Direkomendasikan",ROW($6:$1005)-5),783)+5)&amp;":O"&amp;(SMALL(IF(checklistPesertaKemenkeu!$AY$6:$AY$1005="Direkomendasikan",ROW($6:$1005)-5),783)+5)),INDEX(checklistPesertaKemenkeu!$N$6:$N$1005,SMALL(IF(checklistPesertaKemenkeu!$AY$6:$AY$1005="Direkomendasikan",ROW($6:$1005)-5),783)))=1),IFERROR(VLOOKUP(INDEX(checklistPesertaKemenkeu!$N$6:$N$1005,SMALL(IF(checklistPesertaKemenkeu!$AY$6:$AY$1005="Direkomendasikan",ROW($6:$1005)-5),783)),KotaKode,2,0),"-"),"")),"")</f>
        <v/>
      </c>
      <c r="K784" t="str">
        <f t="array" aca="1" ref="K784" ca="1">IFERROR(IF(OR(INDEX(checklistPesertaKemenkeu!$O$6:$O$1005,SMALL(IF(checklistPesertaKemenkeu!$AY$6:$AY$1005="Direkomendasikan",ROW($6:$1005)-5),783))="",INDEX(checklistPesertaKemenkeu!$J$6:$J$1005,SMALL(IF(checklistPesertaKemenkeu!$AY$6:$AY$1005="Direkomendasikan",ROW($6:$1005)-5),783))=""),"",IF(AND(COUNTIF(INDIRECT("K_"&amp;MATCH(INDEX(checklistPesertaKemenkeu!$J$6:$J$1005,SMALL(IF(checklistPesertaKemenkeu!$AY$6:$AY$1005="Direkomendasikan",ROW($6:$1005)-5),783)),BidangList,0)),INDEX(checklistPesertaKemenkeu!$O$6:$O$1005,SMALL(IF(checklistPesertaKemenkeu!$AY$6:$AY$1005="Direkomendasikan",ROW($6:$1005)-5),783)))&gt;0,COUNTIF(INDIRECT("'KERTAS KERJA'!K"&amp;(SMALL(IF(checklistPesertaKemenkeu!$AY$6:$AY$1005="Direkomendasikan",ROW($6:$1005)-5),783)+5)&amp;":O"&amp;(SMALL(IF(checklistPesertaKemenkeu!$AY$6:$AY$1005="Direkomendasikan",ROW($6:$1005)-5),783)+5)),INDEX(checklistPesertaKemenkeu!$O$6:$O$1005,SMALL(IF(checklistPesertaKemenkeu!$AY$6:$AY$1005="Direkomendasikan",ROW($6:$1005)-5),783)))=1),IFERROR(VLOOKUP(INDEX(checklistPesertaKemenkeu!$O$6:$O$1005,SMALL(IF(checklistPesertaKemenkeu!$AY$6:$AY$1005="Direkomendasikan",ROW($6:$1005)-5),783)),KotaKode,2,0),"-"),"")),"")</f>
        <v/>
      </c>
      <c r="L784" t="str">
        <f t="array" aca="1" ref="L784" ca="1">IFERROR(IF(OR(INDEX(checklistPesertaKemenkeu!$P$6:$P$1005,SMALL(IF(checklistPesertaKemenkeu!$AY$6:$AY$1005="Direkomendasikan",ROW($6:$1005)-5),783))="",INDEX(checklistPesertaKemenkeu!$J$6:$J$1005,SMALL(IF(checklistPesertaKemenkeu!$AY$6:$AY$1005="Direkomendasikan",ROW($6:$1005)-5),783))=""),"",IF(AND(COUNTIF(INDIRECT("K_"&amp;MATCH(INDEX(checklistPesertaKemenkeu!$J$6:$J$1005,SMALL(IF(checklistPesertaKemenkeu!$AY$6:$AY$1005="Direkomendasikan",ROW($6:$1005)-5),783)),BidangList,0)),INDEX(checklistPesertaKemenkeu!$P$6:$P$1005,SMALL(IF(checklistPesertaKemenkeu!$AY$6:$AY$1005="Direkomendasikan",ROW($6:$1005)-5),783)))&gt;0,COUNTIF(INDIRECT("'KERTAS KERJA'!K"&amp;(SMALL(IF(checklistPesertaKemenkeu!$AY$6:$AY$1005="Direkomendasikan",ROW($6:$1005)-5),783)+5)&amp;":O"&amp;(SMALL(IF(checklistPesertaKemenkeu!$AY$6:$AY$1005="Direkomendasikan",ROW($6:$1005)-5),783)+5)),INDEX(checklistPesertaKemenkeu!$P$6:$P$1005,SMALL(IF(checklistPesertaKemenkeu!$AY$6:$AY$1005="Direkomendasikan",ROW($6:$1005)-5),783)))=1),IFERROR(VLOOKUP(INDEX(checklistPesertaKemenkeu!$P$6:$P$1005,SMALL(IF(checklistPesertaKemenkeu!$AY$6:$AY$1005="Direkomendasikan",ROW($6:$1005)-5),783)),KotaKode,2,0),"-"),"")),"")</f>
        <v/>
      </c>
    </row>
    <row r="785" spans="1:12" ht="15" customHeight="1" x14ac:dyDescent="0.2">
      <c r="A785" t="str">
        <f t="shared" si="12"/>
        <v/>
      </c>
      <c r="B785" t="str">
        <v/>
      </c>
      <c r="C785" s="40" t="str">
        <f t="array" ref="C785">IFERROR(INDEX(checklistPesertaKemenkeu!$F$6:$F$1005,SMALL(IF(checklistPesertaKemenkeu!$AY$6:$AY$1005="Direkomendasikan",ROW($6:$1005)-5),784)),"")</f>
        <v/>
      </c>
      <c r="D785" t="str">
        <f t="array" ref="D785">IFERROR(INDEX(checklistPesertaKemenkeu!$G$6:$G$1005,SMALL(IF(checklistPesertaKemenkeu!$AY$6:$AY$1005="Direkomendasikan",ROW($6:$1005)-5),784)),"")</f>
        <v/>
      </c>
      <c r="E785" t="str">
        <f t="array" ref="E785">IFERROR(INDEX(checklistPesertaKemenkeu!$H$6:$H$1005,SMALL(IF(checklistPesertaKemenkeu!$AY$6:$AY$1005="Direkomendasikan",ROW($6:$1005)-5),784)),"")</f>
        <v/>
      </c>
      <c r="F785" t="str">
        <f t="array" ref="F785">IFERROR(INDEX(checklistPesertaKemenkeu!$I$6:$I$1005,SMALL(IF(checklistPesertaKemenkeu!$AY$6:$AY$1005="Direkomendasikan",ROW($6:$1005)-5),784)),"")</f>
        <v/>
      </c>
      <c r="G785" t="str">
        <f t="array" ref="G785">IFERROR(INDEX(checklistPesertaKemenkeu!$J$6:$J$1005,SMALL(IF(checklistPesertaKemenkeu!$AY$6:$AY$1005="Direkomendasikan",ROW($6:$1005)-5),784)),"")</f>
        <v/>
      </c>
      <c r="H785" t="str">
        <f t="array" aca="1" ref="H785" ca="1">IFERROR(IF(OR(INDEX(checklistPesertaKemenkeu!$L$6:$L$1005,SMALL(IF(checklistPesertaKemenkeu!$AY$6:$AY$1005="Direkomendasikan",ROW($6:$1005)-5),784))="",INDEX(checklistPesertaKemenkeu!$J$6:$J$1005,SMALL(IF(checklistPesertaKemenkeu!$AY$6:$AY$1005="Direkomendasikan",ROW($6:$1005)-5),784))=""),"",IF(AND(COUNTIF(INDIRECT("K_"&amp;MATCH(INDEX(checklistPesertaKemenkeu!$J$6:$J$1005,SMALL(IF(checklistPesertaKemenkeu!$AY$6:$AY$1005="Direkomendasikan",ROW($6:$1005)-5),784)),BidangList,0)),INDEX(checklistPesertaKemenkeu!$L$6:$L$1005,SMALL(IF(checklistPesertaKemenkeu!$AY$6:$AY$1005="Direkomendasikan",ROW($6:$1005)-5),784)))&gt;0,COUNTIF(INDIRECT("'KERTAS KERJA'!K"&amp;(SMALL(IF(checklistPesertaKemenkeu!$AY$6:$AY$1005="Direkomendasikan",ROW($6:$1005)-5),784)+5)&amp;":O"&amp;(SMALL(IF(checklistPesertaKemenkeu!$AY$6:$AY$1005="Direkomendasikan",ROW($6:$1005)-5),784)+5)),INDEX(checklistPesertaKemenkeu!$L$6:$L$1005,SMALL(IF(checklistPesertaKemenkeu!$AY$6:$AY$1005="Direkomendasikan",ROW($6:$1005)-5),784)))=1),IFERROR(VLOOKUP(INDEX(checklistPesertaKemenkeu!$L$6:$L$1005,SMALL(IF(checklistPesertaKemenkeu!$AY$6:$AY$1005="Direkomendasikan",ROW($6:$1005)-5),784)),KotaKode,2,0),"-"),"")),"")</f>
        <v/>
      </c>
      <c r="I785" t="str">
        <f t="array" aca="1" ref="I785" ca="1">IFERROR(IF(OR(INDEX(checklistPesertaKemenkeu!$M$6:$M$1005,SMALL(IF(checklistPesertaKemenkeu!$AY$6:$AY$1005="Direkomendasikan",ROW($6:$1005)-5),784))="",INDEX(checklistPesertaKemenkeu!$J$6:$J$1005,SMALL(IF(checklistPesertaKemenkeu!$AY$6:$AY$1005="Direkomendasikan",ROW($6:$1005)-5),784))=""),"",IF(AND(COUNTIF(INDIRECT("K_"&amp;MATCH(INDEX(checklistPesertaKemenkeu!$J$6:$J$1005,SMALL(IF(checklistPesertaKemenkeu!$AY$6:$AY$1005="Direkomendasikan",ROW($6:$1005)-5),784)),BidangList,0)),INDEX(checklistPesertaKemenkeu!$M$6:$M$1005,SMALL(IF(checklistPesertaKemenkeu!$AY$6:$AY$1005="Direkomendasikan",ROW($6:$1005)-5),784)))&gt;0,COUNTIF(INDIRECT("'KERTAS KERJA'!K"&amp;(SMALL(IF(checklistPesertaKemenkeu!$AY$6:$AY$1005="Direkomendasikan",ROW($6:$1005)-5),784)+5)&amp;":O"&amp;(SMALL(IF(checklistPesertaKemenkeu!$AY$6:$AY$1005="Direkomendasikan",ROW($6:$1005)-5),784)+5)),INDEX(checklistPesertaKemenkeu!$M$6:$M$1005,SMALL(IF(checklistPesertaKemenkeu!$AY$6:$AY$1005="Direkomendasikan",ROW($6:$1005)-5),784)))=1),IFERROR(VLOOKUP(INDEX(checklistPesertaKemenkeu!$M$6:$M$1005,SMALL(IF(checklistPesertaKemenkeu!$AY$6:$AY$1005="Direkomendasikan",ROW($6:$1005)-5),784)),KotaKode,2,0),"-"),"")),"")</f>
        <v/>
      </c>
      <c r="J785" t="str">
        <f t="array" aca="1" ref="J785" ca="1">IFERROR(IF(OR(INDEX(checklistPesertaKemenkeu!$N$6:$N$1005,SMALL(IF(checklistPesertaKemenkeu!$AY$6:$AY$1005="Direkomendasikan",ROW($6:$1005)-5),784))="",INDEX(checklistPesertaKemenkeu!$J$6:$J$1005,SMALL(IF(checklistPesertaKemenkeu!$AY$6:$AY$1005="Direkomendasikan",ROW($6:$1005)-5),784))=""),"",IF(AND(COUNTIF(INDIRECT("K_"&amp;MATCH(INDEX(checklistPesertaKemenkeu!$J$6:$J$1005,SMALL(IF(checklistPesertaKemenkeu!$AY$6:$AY$1005="Direkomendasikan",ROW($6:$1005)-5),784)),BidangList,0)),INDEX(checklistPesertaKemenkeu!$N$6:$N$1005,SMALL(IF(checklistPesertaKemenkeu!$AY$6:$AY$1005="Direkomendasikan",ROW($6:$1005)-5),784)))&gt;0,COUNTIF(INDIRECT("'KERTAS KERJA'!K"&amp;(SMALL(IF(checklistPesertaKemenkeu!$AY$6:$AY$1005="Direkomendasikan",ROW($6:$1005)-5),784)+5)&amp;":O"&amp;(SMALL(IF(checklistPesertaKemenkeu!$AY$6:$AY$1005="Direkomendasikan",ROW($6:$1005)-5),784)+5)),INDEX(checklistPesertaKemenkeu!$N$6:$N$1005,SMALL(IF(checklistPesertaKemenkeu!$AY$6:$AY$1005="Direkomendasikan",ROW($6:$1005)-5),784)))=1),IFERROR(VLOOKUP(INDEX(checklistPesertaKemenkeu!$N$6:$N$1005,SMALL(IF(checklistPesertaKemenkeu!$AY$6:$AY$1005="Direkomendasikan",ROW($6:$1005)-5),784)),KotaKode,2,0),"-"),"")),"")</f>
        <v/>
      </c>
      <c r="K785" t="str">
        <f t="array" aca="1" ref="K785" ca="1">IFERROR(IF(OR(INDEX(checklistPesertaKemenkeu!$O$6:$O$1005,SMALL(IF(checklistPesertaKemenkeu!$AY$6:$AY$1005="Direkomendasikan",ROW($6:$1005)-5),784))="",INDEX(checklistPesertaKemenkeu!$J$6:$J$1005,SMALL(IF(checklistPesertaKemenkeu!$AY$6:$AY$1005="Direkomendasikan",ROW($6:$1005)-5),784))=""),"",IF(AND(COUNTIF(INDIRECT("K_"&amp;MATCH(INDEX(checklistPesertaKemenkeu!$J$6:$J$1005,SMALL(IF(checklistPesertaKemenkeu!$AY$6:$AY$1005="Direkomendasikan",ROW($6:$1005)-5),784)),BidangList,0)),INDEX(checklistPesertaKemenkeu!$O$6:$O$1005,SMALL(IF(checklistPesertaKemenkeu!$AY$6:$AY$1005="Direkomendasikan",ROW($6:$1005)-5),784)))&gt;0,COUNTIF(INDIRECT("'KERTAS KERJA'!K"&amp;(SMALL(IF(checklistPesertaKemenkeu!$AY$6:$AY$1005="Direkomendasikan",ROW($6:$1005)-5),784)+5)&amp;":O"&amp;(SMALL(IF(checklistPesertaKemenkeu!$AY$6:$AY$1005="Direkomendasikan",ROW($6:$1005)-5),784)+5)),INDEX(checklistPesertaKemenkeu!$O$6:$O$1005,SMALL(IF(checklistPesertaKemenkeu!$AY$6:$AY$1005="Direkomendasikan",ROW($6:$1005)-5),784)))=1),IFERROR(VLOOKUP(INDEX(checklistPesertaKemenkeu!$O$6:$O$1005,SMALL(IF(checklistPesertaKemenkeu!$AY$6:$AY$1005="Direkomendasikan",ROW($6:$1005)-5),784)),KotaKode,2,0),"-"),"")),"")</f>
        <v/>
      </c>
      <c r="L785" t="str">
        <f t="array" aca="1" ref="L785" ca="1">IFERROR(IF(OR(INDEX(checklistPesertaKemenkeu!$P$6:$P$1005,SMALL(IF(checklistPesertaKemenkeu!$AY$6:$AY$1005="Direkomendasikan",ROW($6:$1005)-5),784))="",INDEX(checklistPesertaKemenkeu!$J$6:$J$1005,SMALL(IF(checklistPesertaKemenkeu!$AY$6:$AY$1005="Direkomendasikan",ROW($6:$1005)-5),784))=""),"",IF(AND(COUNTIF(INDIRECT("K_"&amp;MATCH(INDEX(checklistPesertaKemenkeu!$J$6:$J$1005,SMALL(IF(checklistPesertaKemenkeu!$AY$6:$AY$1005="Direkomendasikan",ROW($6:$1005)-5),784)),BidangList,0)),INDEX(checklistPesertaKemenkeu!$P$6:$P$1005,SMALL(IF(checklistPesertaKemenkeu!$AY$6:$AY$1005="Direkomendasikan",ROW($6:$1005)-5),784)))&gt;0,COUNTIF(INDIRECT("'KERTAS KERJA'!K"&amp;(SMALL(IF(checklistPesertaKemenkeu!$AY$6:$AY$1005="Direkomendasikan",ROW($6:$1005)-5),784)+5)&amp;":O"&amp;(SMALL(IF(checklistPesertaKemenkeu!$AY$6:$AY$1005="Direkomendasikan",ROW($6:$1005)-5),784)+5)),INDEX(checklistPesertaKemenkeu!$P$6:$P$1005,SMALL(IF(checklistPesertaKemenkeu!$AY$6:$AY$1005="Direkomendasikan",ROW($6:$1005)-5),784)))=1),IFERROR(VLOOKUP(INDEX(checklistPesertaKemenkeu!$P$6:$P$1005,SMALL(IF(checklistPesertaKemenkeu!$AY$6:$AY$1005="Direkomendasikan",ROW($6:$1005)-5),784)),KotaKode,2,0),"-"),"")),"")</f>
        <v/>
      </c>
    </row>
    <row r="786" spans="1:12" ht="15" customHeight="1" x14ac:dyDescent="0.2">
      <c r="A786" t="str">
        <f t="shared" si="12"/>
        <v/>
      </c>
      <c r="B786" t="str">
        <v/>
      </c>
      <c r="C786" s="40" t="str">
        <f t="array" ref="C786">IFERROR(INDEX(checklistPesertaKemenkeu!$F$6:$F$1005,SMALL(IF(checklistPesertaKemenkeu!$AY$6:$AY$1005="Direkomendasikan",ROW($6:$1005)-5),785)),"")</f>
        <v/>
      </c>
      <c r="D786" t="str">
        <f t="array" ref="D786">IFERROR(INDEX(checklistPesertaKemenkeu!$G$6:$G$1005,SMALL(IF(checklistPesertaKemenkeu!$AY$6:$AY$1005="Direkomendasikan",ROW($6:$1005)-5),785)),"")</f>
        <v/>
      </c>
      <c r="E786" t="str">
        <f t="array" ref="E786">IFERROR(INDEX(checklistPesertaKemenkeu!$H$6:$H$1005,SMALL(IF(checklistPesertaKemenkeu!$AY$6:$AY$1005="Direkomendasikan",ROW($6:$1005)-5),785)),"")</f>
        <v/>
      </c>
      <c r="F786" t="str">
        <f t="array" ref="F786">IFERROR(INDEX(checklistPesertaKemenkeu!$I$6:$I$1005,SMALL(IF(checklistPesertaKemenkeu!$AY$6:$AY$1005="Direkomendasikan",ROW($6:$1005)-5),785)),"")</f>
        <v/>
      </c>
      <c r="G786" t="str">
        <f t="array" ref="G786">IFERROR(INDEX(checklistPesertaKemenkeu!$J$6:$J$1005,SMALL(IF(checklistPesertaKemenkeu!$AY$6:$AY$1005="Direkomendasikan",ROW($6:$1005)-5),785)),"")</f>
        <v/>
      </c>
      <c r="H786" t="str">
        <f t="array" aca="1" ref="H786" ca="1">IFERROR(IF(OR(INDEX(checklistPesertaKemenkeu!$L$6:$L$1005,SMALL(IF(checklistPesertaKemenkeu!$AY$6:$AY$1005="Direkomendasikan",ROW($6:$1005)-5),785))="",INDEX(checklistPesertaKemenkeu!$J$6:$J$1005,SMALL(IF(checklistPesertaKemenkeu!$AY$6:$AY$1005="Direkomendasikan",ROW($6:$1005)-5),785))=""),"",IF(AND(COUNTIF(INDIRECT("K_"&amp;MATCH(INDEX(checklistPesertaKemenkeu!$J$6:$J$1005,SMALL(IF(checklistPesertaKemenkeu!$AY$6:$AY$1005="Direkomendasikan",ROW($6:$1005)-5),785)),BidangList,0)),INDEX(checklistPesertaKemenkeu!$L$6:$L$1005,SMALL(IF(checklistPesertaKemenkeu!$AY$6:$AY$1005="Direkomendasikan",ROW($6:$1005)-5),785)))&gt;0,COUNTIF(INDIRECT("'KERTAS KERJA'!K"&amp;(SMALL(IF(checklistPesertaKemenkeu!$AY$6:$AY$1005="Direkomendasikan",ROW($6:$1005)-5),785)+5)&amp;":O"&amp;(SMALL(IF(checklistPesertaKemenkeu!$AY$6:$AY$1005="Direkomendasikan",ROW($6:$1005)-5),785)+5)),INDEX(checklistPesertaKemenkeu!$L$6:$L$1005,SMALL(IF(checklistPesertaKemenkeu!$AY$6:$AY$1005="Direkomendasikan",ROW($6:$1005)-5),785)))=1),IFERROR(VLOOKUP(INDEX(checklistPesertaKemenkeu!$L$6:$L$1005,SMALL(IF(checklistPesertaKemenkeu!$AY$6:$AY$1005="Direkomendasikan",ROW($6:$1005)-5),785)),KotaKode,2,0),"-"),"")),"")</f>
        <v/>
      </c>
      <c r="I786" t="str">
        <f t="array" aca="1" ref="I786" ca="1">IFERROR(IF(OR(INDEX(checklistPesertaKemenkeu!$M$6:$M$1005,SMALL(IF(checklistPesertaKemenkeu!$AY$6:$AY$1005="Direkomendasikan",ROW($6:$1005)-5),785))="",INDEX(checklistPesertaKemenkeu!$J$6:$J$1005,SMALL(IF(checklistPesertaKemenkeu!$AY$6:$AY$1005="Direkomendasikan",ROW($6:$1005)-5),785))=""),"",IF(AND(COUNTIF(INDIRECT("K_"&amp;MATCH(INDEX(checklistPesertaKemenkeu!$J$6:$J$1005,SMALL(IF(checklistPesertaKemenkeu!$AY$6:$AY$1005="Direkomendasikan",ROW($6:$1005)-5),785)),BidangList,0)),INDEX(checklistPesertaKemenkeu!$M$6:$M$1005,SMALL(IF(checklistPesertaKemenkeu!$AY$6:$AY$1005="Direkomendasikan",ROW($6:$1005)-5),785)))&gt;0,COUNTIF(INDIRECT("'KERTAS KERJA'!K"&amp;(SMALL(IF(checklistPesertaKemenkeu!$AY$6:$AY$1005="Direkomendasikan",ROW($6:$1005)-5),785)+5)&amp;":O"&amp;(SMALL(IF(checklistPesertaKemenkeu!$AY$6:$AY$1005="Direkomendasikan",ROW($6:$1005)-5),785)+5)),INDEX(checklistPesertaKemenkeu!$M$6:$M$1005,SMALL(IF(checklistPesertaKemenkeu!$AY$6:$AY$1005="Direkomendasikan",ROW($6:$1005)-5),785)))=1),IFERROR(VLOOKUP(INDEX(checklistPesertaKemenkeu!$M$6:$M$1005,SMALL(IF(checklistPesertaKemenkeu!$AY$6:$AY$1005="Direkomendasikan",ROW($6:$1005)-5),785)),KotaKode,2,0),"-"),"")),"")</f>
        <v/>
      </c>
      <c r="J786" t="str">
        <f t="array" aca="1" ref="J786" ca="1">IFERROR(IF(OR(INDEX(checklistPesertaKemenkeu!$N$6:$N$1005,SMALL(IF(checklistPesertaKemenkeu!$AY$6:$AY$1005="Direkomendasikan",ROW($6:$1005)-5),785))="",INDEX(checklistPesertaKemenkeu!$J$6:$J$1005,SMALL(IF(checklistPesertaKemenkeu!$AY$6:$AY$1005="Direkomendasikan",ROW($6:$1005)-5),785))=""),"",IF(AND(COUNTIF(INDIRECT("K_"&amp;MATCH(INDEX(checklistPesertaKemenkeu!$J$6:$J$1005,SMALL(IF(checklistPesertaKemenkeu!$AY$6:$AY$1005="Direkomendasikan",ROW($6:$1005)-5),785)),BidangList,0)),INDEX(checklistPesertaKemenkeu!$N$6:$N$1005,SMALL(IF(checklistPesertaKemenkeu!$AY$6:$AY$1005="Direkomendasikan",ROW($6:$1005)-5),785)))&gt;0,COUNTIF(INDIRECT("'KERTAS KERJA'!K"&amp;(SMALL(IF(checklistPesertaKemenkeu!$AY$6:$AY$1005="Direkomendasikan",ROW($6:$1005)-5),785)+5)&amp;":O"&amp;(SMALL(IF(checklistPesertaKemenkeu!$AY$6:$AY$1005="Direkomendasikan",ROW($6:$1005)-5),785)+5)),INDEX(checklistPesertaKemenkeu!$N$6:$N$1005,SMALL(IF(checklistPesertaKemenkeu!$AY$6:$AY$1005="Direkomendasikan",ROW($6:$1005)-5),785)))=1),IFERROR(VLOOKUP(INDEX(checklistPesertaKemenkeu!$N$6:$N$1005,SMALL(IF(checklistPesertaKemenkeu!$AY$6:$AY$1005="Direkomendasikan",ROW($6:$1005)-5),785)),KotaKode,2,0),"-"),"")),"")</f>
        <v/>
      </c>
      <c r="K786" t="str">
        <f t="array" aca="1" ref="K786" ca="1">IFERROR(IF(OR(INDEX(checklistPesertaKemenkeu!$O$6:$O$1005,SMALL(IF(checklistPesertaKemenkeu!$AY$6:$AY$1005="Direkomendasikan",ROW($6:$1005)-5),785))="",INDEX(checklistPesertaKemenkeu!$J$6:$J$1005,SMALL(IF(checklistPesertaKemenkeu!$AY$6:$AY$1005="Direkomendasikan",ROW($6:$1005)-5),785))=""),"",IF(AND(COUNTIF(INDIRECT("K_"&amp;MATCH(INDEX(checklistPesertaKemenkeu!$J$6:$J$1005,SMALL(IF(checklistPesertaKemenkeu!$AY$6:$AY$1005="Direkomendasikan",ROW($6:$1005)-5),785)),BidangList,0)),INDEX(checklistPesertaKemenkeu!$O$6:$O$1005,SMALL(IF(checklistPesertaKemenkeu!$AY$6:$AY$1005="Direkomendasikan",ROW($6:$1005)-5),785)))&gt;0,COUNTIF(INDIRECT("'KERTAS KERJA'!K"&amp;(SMALL(IF(checklistPesertaKemenkeu!$AY$6:$AY$1005="Direkomendasikan",ROW($6:$1005)-5),785)+5)&amp;":O"&amp;(SMALL(IF(checklistPesertaKemenkeu!$AY$6:$AY$1005="Direkomendasikan",ROW($6:$1005)-5),785)+5)),INDEX(checklistPesertaKemenkeu!$O$6:$O$1005,SMALL(IF(checklistPesertaKemenkeu!$AY$6:$AY$1005="Direkomendasikan",ROW($6:$1005)-5),785)))=1),IFERROR(VLOOKUP(INDEX(checklistPesertaKemenkeu!$O$6:$O$1005,SMALL(IF(checklistPesertaKemenkeu!$AY$6:$AY$1005="Direkomendasikan",ROW($6:$1005)-5),785)),KotaKode,2,0),"-"),"")),"")</f>
        <v/>
      </c>
      <c r="L786" t="str">
        <f t="array" aca="1" ref="L786" ca="1">IFERROR(IF(OR(INDEX(checklistPesertaKemenkeu!$P$6:$P$1005,SMALL(IF(checklistPesertaKemenkeu!$AY$6:$AY$1005="Direkomendasikan",ROW($6:$1005)-5),785))="",INDEX(checklistPesertaKemenkeu!$J$6:$J$1005,SMALL(IF(checklistPesertaKemenkeu!$AY$6:$AY$1005="Direkomendasikan",ROW($6:$1005)-5),785))=""),"",IF(AND(COUNTIF(INDIRECT("K_"&amp;MATCH(INDEX(checklistPesertaKemenkeu!$J$6:$J$1005,SMALL(IF(checklistPesertaKemenkeu!$AY$6:$AY$1005="Direkomendasikan",ROW($6:$1005)-5),785)),BidangList,0)),INDEX(checklistPesertaKemenkeu!$P$6:$P$1005,SMALL(IF(checklistPesertaKemenkeu!$AY$6:$AY$1005="Direkomendasikan",ROW($6:$1005)-5),785)))&gt;0,COUNTIF(INDIRECT("'KERTAS KERJA'!K"&amp;(SMALL(IF(checklistPesertaKemenkeu!$AY$6:$AY$1005="Direkomendasikan",ROW($6:$1005)-5),785)+5)&amp;":O"&amp;(SMALL(IF(checklistPesertaKemenkeu!$AY$6:$AY$1005="Direkomendasikan",ROW($6:$1005)-5),785)+5)),INDEX(checklistPesertaKemenkeu!$P$6:$P$1005,SMALL(IF(checklistPesertaKemenkeu!$AY$6:$AY$1005="Direkomendasikan",ROW($6:$1005)-5),785)))=1),IFERROR(VLOOKUP(INDEX(checklistPesertaKemenkeu!$P$6:$P$1005,SMALL(IF(checklistPesertaKemenkeu!$AY$6:$AY$1005="Direkomendasikan",ROW($6:$1005)-5),785)),KotaKode,2,0),"-"),"")),"")</f>
        <v/>
      </c>
    </row>
    <row r="787" spans="1:12" ht="15" customHeight="1" x14ac:dyDescent="0.2">
      <c r="A787" t="str">
        <f t="shared" si="12"/>
        <v/>
      </c>
      <c r="B787" t="str">
        <v/>
      </c>
      <c r="C787" s="40" t="str">
        <f t="array" ref="C787">IFERROR(INDEX(checklistPesertaKemenkeu!$F$6:$F$1005,SMALL(IF(checklistPesertaKemenkeu!$AY$6:$AY$1005="Direkomendasikan",ROW($6:$1005)-5),786)),"")</f>
        <v/>
      </c>
      <c r="D787" t="str">
        <f t="array" ref="D787">IFERROR(INDEX(checklistPesertaKemenkeu!$G$6:$G$1005,SMALL(IF(checklistPesertaKemenkeu!$AY$6:$AY$1005="Direkomendasikan",ROW($6:$1005)-5),786)),"")</f>
        <v/>
      </c>
      <c r="E787" t="str">
        <f t="array" ref="E787">IFERROR(INDEX(checklistPesertaKemenkeu!$H$6:$H$1005,SMALL(IF(checklistPesertaKemenkeu!$AY$6:$AY$1005="Direkomendasikan",ROW($6:$1005)-5),786)),"")</f>
        <v/>
      </c>
      <c r="F787" t="str">
        <f t="array" ref="F787">IFERROR(INDEX(checklistPesertaKemenkeu!$I$6:$I$1005,SMALL(IF(checklistPesertaKemenkeu!$AY$6:$AY$1005="Direkomendasikan",ROW($6:$1005)-5),786)),"")</f>
        <v/>
      </c>
      <c r="G787" t="str">
        <f t="array" ref="G787">IFERROR(INDEX(checklistPesertaKemenkeu!$J$6:$J$1005,SMALL(IF(checklistPesertaKemenkeu!$AY$6:$AY$1005="Direkomendasikan",ROW($6:$1005)-5),786)),"")</f>
        <v/>
      </c>
      <c r="H787" t="str">
        <f t="array" aca="1" ref="H787" ca="1">IFERROR(IF(OR(INDEX(checklistPesertaKemenkeu!$L$6:$L$1005,SMALL(IF(checklistPesertaKemenkeu!$AY$6:$AY$1005="Direkomendasikan",ROW($6:$1005)-5),786))="",INDEX(checklistPesertaKemenkeu!$J$6:$J$1005,SMALL(IF(checklistPesertaKemenkeu!$AY$6:$AY$1005="Direkomendasikan",ROW($6:$1005)-5),786))=""),"",IF(AND(COUNTIF(INDIRECT("K_"&amp;MATCH(INDEX(checklistPesertaKemenkeu!$J$6:$J$1005,SMALL(IF(checklistPesertaKemenkeu!$AY$6:$AY$1005="Direkomendasikan",ROW($6:$1005)-5),786)),BidangList,0)),INDEX(checklistPesertaKemenkeu!$L$6:$L$1005,SMALL(IF(checklistPesertaKemenkeu!$AY$6:$AY$1005="Direkomendasikan",ROW($6:$1005)-5),786)))&gt;0,COUNTIF(INDIRECT("'KERTAS KERJA'!K"&amp;(SMALL(IF(checklistPesertaKemenkeu!$AY$6:$AY$1005="Direkomendasikan",ROW($6:$1005)-5),786)+5)&amp;":O"&amp;(SMALL(IF(checklistPesertaKemenkeu!$AY$6:$AY$1005="Direkomendasikan",ROW($6:$1005)-5),786)+5)),INDEX(checklistPesertaKemenkeu!$L$6:$L$1005,SMALL(IF(checklistPesertaKemenkeu!$AY$6:$AY$1005="Direkomendasikan",ROW($6:$1005)-5),786)))=1),IFERROR(VLOOKUP(INDEX(checklistPesertaKemenkeu!$L$6:$L$1005,SMALL(IF(checklistPesertaKemenkeu!$AY$6:$AY$1005="Direkomendasikan",ROW($6:$1005)-5),786)),KotaKode,2,0),"-"),"")),"")</f>
        <v/>
      </c>
      <c r="I787" t="str">
        <f t="array" aca="1" ref="I787" ca="1">IFERROR(IF(OR(INDEX(checklistPesertaKemenkeu!$M$6:$M$1005,SMALL(IF(checklistPesertaKemenkeu!$AY$6:$AY$1005="Direkomendasikan",ROW($6:$1005)-5),786))="",INDEX(checklistPesertaKemenkeu!$J$6:$J$1005,SMALL(IF(checklistPesertaKemenkeu!$AY$6:$AY$1005="Direkomendasikan",ROW($6:$1005)-5),786))=""),"",IF(AND(COUNTIF(INDIRECT("K_"&amp;MATCH(INDEX(checklistPesertaKemenkeu!$J$6:$J$1005,SMALL(IF(checklistPesertaKemenkeu!$AY$6:$AY$1005="Direkomendasikan",ROW($6:$1005)-5),786)),BidangList,0)),INDEX(checklistPesertaKemenkeu!$M$6:$M$1005,SMALL(IF(checklistPesertaKemenkeu!$AY$6:$AY$1005="Direkomendasikan",ROW($6:$1005)-5),786)))&gt;0,COUNTIF(INDIRECT("'KERTAS KERJA'!K"&amp;(SMALL(IF(checklistPesertaKemenkeu!$AY$6:$AY$1005="Direkomendasikan",ROW($6:$1005)-5),786)+5)&amp;":O"&amp;(SMALL(IF(checklistPesertaKemenkeu!$AY$6:$AY$1005="Direkomendasikan",ROW($6:$1005)-5),786)+5)),INDEX(checklistPesertaKemenkeu!$M$6:$M$1005,SMALL(IF(checklistPesertaKemenkeu!$AY$6:$AY$1005="Direkomendasikan",ROW($6:$1005)-5),786)))=1),IFERROR(VLOOKUP(INDEX(checklistPesertaKemenkeu!$M$6:$M$1005,SMALL(IF(checklistPesertaKemenkeu!$AY$6:$AY$1005="Direkomendasikan",ROW($6:$1005)-5),786)),KotaKode,2,0),"-"),"")),"")</f>
        <v/>
      </c>
      <c r="J787" t="str">
        <f t="array" aca="1" ref="J787" ca="1">IFERROR(IF(OR(INDEX(checklistPesertaKemenkeu!$N$6:$N$1005,SMALL(IF(checklistPesertaKemenkeu!$AY$6:$AY$1005="Direkomendasikan",ROW($6:$1005)-5),786))="",INDEX(checklistPesertaKemenkeu!$J$6:$J$1005,SMALL(IF(checklistPesertaKemenkeu!$AY$6:$AY$1005="Direkomendasikan",ROW($6:$1005)-5),786))=""),"",IF(AND(COUNTIF(INDIRECT("K_"&amp;MATCH(INDEX(checklistPesertaKemenkeu!$J$6:$J$1005,SMALL(IF(checklistPesertaKemenkeu!$AY$6:$AY$1005="Direkomendasikan",ROW($6:$1005)-5),786)),BidangList,0)),INDEX(checklistPesertaKemenkeu!$N$6:$N$1005,SMALL(IF(checklistPesertaKemenkeu!$AY$6:$AY$1005="Direkomendasikan",ROW($6:$1005)-5),786)))&gt;0,COUNTIF(INDIRECT("'KERTAS KERJA'!K"&amp;(SMALL(IF(checklistPesertaKemenkeu!$AY$6:$AY$1005="Direkomendasikan",ROW($6:$1005)-5),786)+5)&amp;":O"&amp;(SMALL(IF(checklistPesertaKemenkeu!$AY$6:$AY$1005="Direkomendasikan",ROW($6:$1005)-5),786)+5)),INDEX(checklistPesertaKemenkeu!$N$6:$N$1005,SMALL(IF(checklistPesertaKemenkeu!$AY$6:$AY$1005="Direkomendasikan",ROW($6:$1005)-5),786)))=1),IFERROR(VLOOKUP(INDEX(checklistPesertaKemenkeu!$N$6:$N$1005,SMALL(IF(checklistPesertaKemenkeu!$AY$6:$AY$1005="Direkomendasikan",ROW($6:$1005)-5),786)),KotaKode,2,0),"-"),"")),"")</f>
        <v/>
      </c>
      <c r="K787" t="str">
        <f t="array" aca="1" ref="K787" ca="1">IFERROR(IF(OR(INDEX(checklistPesertaKemenkeu!$O$6:$O$1005,SMALL(IF(checklistPesertaKemenkeu!$AY$6:$AY$1005="Direkomendasikan",ROW($6:$1005)-5),786))="",INDEX(checklistPesertaKemenkeu!$J$6:$J$1005,SMALL(IF(checklistPesertaKemenkeu!$AY$6:$AY$1005="Direkomendasikan",ROW($6:$1005)-5),786))=""),"",IF(AND(COUNTIF(INDIRECT("K_"&amp;MATCH(INDEX(checklistPesertaKemenkeu!$J$6:$J$1005,SMALL(IF(checklistPesertaKemenkeu!$AY$6:$AY$1005="Direkomendasikan",ROW($6:$1005)-5),786)),BidangList,0)),INDEX(checklistPesertaKemenkeu!$O$6:$O$1005,SMALL(IF(checklistPesertaKemenkeu!$AY$6:$AY$1005="Direkomendasikan",ROW($6:$1005)-5),786)))&gt;0,COUNTIF(INDIRECT("'KERTAS KERJA'!K"&amp;(SMALL(IF(checklistPesertaKemenkeu!$AY$6:$AY$1005="Direkomendasikan",ROW($6:$1005)-5),786)+5)&amp;":O"&amp;(SMALL(IF(checklistPesertaKemenkeu!$AY$6:$AY$1005="Direkomendasikan",ROW($6:$1005)-5),786)+5)),INDEX(checklistPesertaKemenkeu!$O$6:$O$1005,SMALL(IF(checklistPesertaKemenkeu!$AY$6:$AY$1005="Direkomendasikan",ROW($6:$1005)-5),786)))=1),IFERROR(VLOOKUP(INDEX(checklistPesertaKemenkeu!$O$6:$O$1005,SMALL(IF(checklistPesertaKemenkeu!$AY$6:$AY$1005="Direkomendasikan",ROW($6:$1005)-5),786)),KotaKode,2,0),"-"),"")),"")</f>
        <v/>
      </c>
      <c r="L787" t="str">
        <f t="array" aca="1" ref="L787" ca="1">IFERROR(IF(OR(INDEX(checklistPesertaKemenkeu!$P$6:$P$1005,SMALL(IF(checklistPesertaKemenkeu!$AY$6:$AY$1005="Direkomendasikan",ROW($6:$1005)-5),786))="",INDEX(checklistPesertaKemenkeu!$J$6:$J$1005,SMALL(IF(checklistPesertaKemenkeu!$AY$6:$AY$1005="Direkomendasikan",ROW($6:$1005)-5),786))=""),"",IF(AND(COUNTIF(INDIRECT("K_"&amp;MATCH(INDEX(checklistPesertaKemenkeu!$J$6:$J$1005,SMALL(IF(checklistPesertaKemenkeu!$AY$6:$AY$1005="Direkomendasikan",ROW($6:$1005)-5),786)),BidangList,0)),INDEX(checklistPesertaKemenkeu!$P$6:$P$1005,SMALL(IF(checklistPesertaKemenkeu!$AY$6:$AY$1005="Direkomendasikan",ROW($6:$1005)-5),786)))&gt;0,COUNTIF(INDIRECT("'KERTAS KERJA'!K"&amp;(SMALL(IF(checklistPesertaKemenkeu!$AY$6:$AY$1005="Direkomendasikan",ROW($6:$1005)-5),786)+5)&amp;":O"&amp;(SMALL(IF(checklistPesertaKemenkeu!$AY$6:$AY$1005="Direkomendasikan",ROW($6:$1005)-5),786)+5)),INDEX(checklistPesertaKemenkeu!$P$6:$P$1005,SMALL(IF(checklistPesertaKemenkeu!$AY$6:$AY$1005="Direkomendasikan",ROW($6:$1005)-5),786)))=1),IFERROR(VLOOKUP(INDEX(checklistPesertaKemenkeu!$P$6:$P$1005,SMALL(IF(checklistPesertaKemenkeu!$AY$6:$AY$1005="Direkomendasikan",ROW($6:$1005)-5),786)),KotaKode,2,0),"-"),"")),"")</f>
        <v/>
      </c>
    </row>
    <row r="788" spans="1:12" ht="15" customHeight="1" x14ac:dyDescent="0.2">
      <c r="A788" t="str">
        <f t="shared" si="12"/>
        <v/>
      </c>
      <c r="B788" t="str">
        <v/>
      </c>
      <c r="C788" s="40" t="str">
        <f t="array" ref="C788">IFERROR(INDEX(checklistPesertaKemenkeu!$F$6:$F$1005,SMALL(IF(checklistPesertaKemenkeu!$AY$6:$AY$1005="Direkomendasikan",ROW($6:$1005)-5),787)),"")</f>
        <v/>
      </c>
      <c r="D788" t="str">
        <f t="array" ref="D788">IFERROR(INDEX(checklistPesertaKemenkeu!$G$6:$G$1005,SMALL(IF(checklistPesertaKemenkeu!$AY$6:$AY$1005="Direkomendasikan",ROW($6:$1005)-5),787)),"")</f>
        <v/>
      </c>
      <c r="E788" t="str">
        <f t="array" ref="E788">IFERROR(INDEX(checklistPesertaKemenkeu!$H$6:$H$1005,SMALL(IF(checklistPesertaKemenkeu!$AY$6:$AY$1005="Direkomendasikan",ROW($6:$1005)-5),787)),"")</f>
        <v/>
      </c>
      <c r="F788" t="str">
        <f t="array" ref="F788">IFERROR(INDEX(checklistPesertaKemenkeu!$I$6:$I$1005,SMALL(IF(checklistPesertaKemenkeu!$AY$6:$AY$1005="Direkomendasikan",ROW($6:$1005)-5),787)),"")</f>
        <v/>
      </c>
      <c r="G788" t="str">
        <f t="array" ref="G788">IFERROR(INDEX(checklistPesertaKemenkeu!$J$6:$J$1005,SMALL(IF(checklistPesertaKemenkeu!$AY$6:$AY$1005="Direkomendasikan",ROW($6:$1005)-5),787)),"")</f>
        <v/>
      </c>
      <c r="H788" t="str">
        <f t="array" aca="1" ref="H788" ca="1">IFERROR(IF(OR(INDEX(checklistPesertaKemenkeu!$L$6:$L$1005,SMALL(IF(checklistPesertaKemenkeu!$AY$6:$AY$1005="Direkomendasikan",ROW($6:$1005)-5),787))="",INDEX(checklistPesertaKemenkeu!$J$6:$J$1005,SMALL(IF(checklistPesertaKemenkeu!$AY$6:$AY$1005="Direkomendasikan",ROW($6:$1005)-5),787))=""),"",IF(AND(COUNTIF(INDIRECT("K_"&amp;MATCH(INDEX(checklistPesertaKemenkeu!$J$6:$J$1005,SMALL(IF(checklistPesertaKemenkeu!$AY$6:$AY$1005="Direkomendasikan",ROW($6:$1005)-5),787)),BidangList,0)),INDEX(checklistPesertaKemenkeu!$L$6:$L$1005,SMALL(IF(checklistPesertaKemenkeu!$AY$6:$AY$1005="Direkomendasikan",ROW($6:$1005)-5),787)))&gt;0,COUNTIF(INDIRECT("'KERTAS KERJA'!K"&amp;(SMALL(IF(checklistPesertaKemenkeu!$AY$6:$AY$1005="Direkomendasikan",ROW($6:$1005)-5),787)+5)&amp;":O"&amp;(SMALL(IF(checklistPesertaKemenkeu!$AY$6:$AY$1005="Direkomendasikan",ROW($6:$1005)-5),787)+5)),INDEX(checklistPesertaKemenkeu!$L$6:$L$1005,SMALL(IF(checklistPesertaKemenkeu!$AY$6:$AY$1005="Direkomendasikan",ROW($6:$1005)-5),787)))=1),IFERROR(VLOOKUP(INDEX(checklistPesertaKemenkeu!$L$6:$L$1005,SMALL(IF(checklistPesertaKemenkeu!$AY$6:$AY$1005="Direkomendasikan",ROW($6:$1005)-5),787)),KotaKode,2,0),"-"),"")),"")</f>
        <v/>
      </c>
      <c r="I788" t="str">
        <f t="array" aca="1" ref="I788" ca="1">IFERROR(IF(OR(INDEX(checklistPesertaKemenkeu!$M$6:$M$1005,SMALL(IF(checklistPesertaKemenkeu!$AY$6:$AY$1005="Direkomendasikan",ROW($6:$1005)-5),787))="",INDEX(checklistPesertaKemenkeu!$J$6:$J$1005,SMALL(IF(checklistPesertaKemenkeu!$AY$6:$AY$1005="Direkomendasikan",ROW($6:$1005)-5),787))=""),"",IF(AND(COUNTIF(INDIRECT("K_"&amp;MATCH(INDEX(checklistPesertaKemenkeu!$J$6:$J$1005,SMALL(IF(checklistPesertaKemenkeu!$AY$6:$AY$1005="Direkomendasikan",ROW($6:$1005)-5),787)),BidangList,0)),INDEX(checklistPesertaKemenkeu!$M$6:$M$1005,SMALL(IF(checklistPesertaKemenkeu!$AY$6:$AY$1005="Direkomendasikan",ROW($6:$1005)-5),787)))&gt;0,COUNTIF(INDIRECT("'KERTAS KERJA'!K"&amp;(SMALL(IF(checklistPesertaKemenkeu!$AY$6:$AY$1005="Direkomendasikan",ROW($6:$1005)-5),787)+5)&amp;":O"&amp;(SMALL(IF(checklistPesertaKemenkeu!$AY$6:$AY$1005="Direkomendasikan",ROW($6:$1005)-5),787)+5)),INDEX(checklistPesertaKemenkeu!$M$6:$M$1005,SMALL(IF(checklistPesertaKemenkeu!$AY$6:$AY$1005="Direkomendasikan",ROW($6:$1005)-5),787)))=1),IFERROR(VLOOKUP(INDEX(checklistPesertaKemenkeu!$M$6:$M$1005,SMALL(IF(checklistPesertaKemenkeu!$AY$6:$AY$1005="Direkomendasikan",ROW($6:$1005)-5),787)),KotaKode,2,0),"-"),"")),"")</f>
        <v/>
      </c>
      <c r="J788" t="str">
        <f t="array" aca="1" ref="J788" ca="1">IFERROR(IF(OR(INDEX(checklistPesertaKemenkeu!$N$6:$N$1005,SMALL(IF(checklistPesertaKemenkeu!$AY$6:$AY$1005="Direkomendasikan",ROW($6:$1005)-5),787))="",INDEX(checklistPesertaKemenkeu!$J$6:$J$1005,SMALL(IF(checklistPesertaKemenkeu!$AY$6:$AY$1005="Direkomendasikan",ROW($6:$1005)-5),787))=""),"",IF(AND(COUNTIF(INDIRECT("K_"&amp;MATCH(INDEX(checklistPesertaKemenkeu!$J$6:$J$1005,SMALL(IF(checklistPesertaKemenkeu!$AY$6:$AY$1005="Direkomendasikan",ROW($6:$1005)-5),787)),BidangList,0)),INDEX(checklistPesertaKemenkeu!$N$6:$N$1005,SMALL(IF(checklistPesertaKemenkeu!$AY$6:$AY$1005="Direkomendasikan",ROW($6:$1005)-5),787)))&gt;0,COUNTIF(INDIRECT("'KERTAS KERJA'!K"&amp;(SMALL(IF(checklistPesertaKemenkeu!$AY$6:$AY$1005="Direkomendasikan",ROW($6:$1005)-5),787)+5)&amp;":O"&amp;(SMALL(IF(checklistPesertaKemenkeu!$AY$6:$AY$1005="Direkomendasikan",ROW($6:$1005)-5),787)+5)),INDEX(checklistPesertaKemenkeu!$N$6:$N$1005,SMALL(IF(checklistPesertaKemenkeu!$AY$6:$AY$1005="Direkomendasikan",ROW($6:$1005)-5),787)))=1),IFERROR(VLOOKUP(INDEX(checklistPesertaKemenkeu!$N$6:$N$1005,SMALL(IF(checklistPesertaKemenkeu!$AY$6:$AY$1005="Direkomendasikan",ROW($6:$1005)-5),787)),KotaKode,2,0),"-"),"")),"")</f>
        <v/>
      </c>
      <c r="K788" t="str">
        <f t="array" aca="1" ref="K788" ca="1">IFERROR(IF(OR(INDEX(checklistPesertaKemenkeu!$O$6:$O$1005,SMALL(IF(checklistPesertaKemenkeu!$AY$6:$AY$1005="Direkomendasikan",ROW($6:$1005)-5),787))="",INDEX(checklistPesertaKemenkeu!$J$6:$J$1005,SMALL(IF(checklistPesertaKemenkeu!$AY$6:$AY$1005="Direkomendasikan",ROW($6:$1005)-5),787))=""),"",IF(AND(COUNTIF(INDIRECT("K_"&amp;MATCH(INDEX(checklistPesertaKemenkeu!$J$6:$J$1005,SMALL(IF(checklistPesertaKemenkeu!$AY$6:$AY$1005="Direkomendasikan",ROW($6:$1005)-5),787)),BidangList,0)),INDEX(checklistPesertaKemenkeu!$O$6:$O$1005,SMALL(IF(checklistPesertaKemenkeu!$AY$6:$AY$1005="Direkomendasikan",ROW($6:$1005)-5),787)))&gt;0,COUNTIF(INDIRECT("'KERTAS KERJA'!K"&amp;(SMALL(IF(checklistPesertaKemenkeu!$AY$6:$AY$1005="Direkomendasikan",ROW($6:$1005)-5),787)+5)&amp;":O"&amp;(SMALL(IF(checklistPesertaKemenkeu!$AY$6:$AY$1005="Direkomendasikan",ROW($6:$1005)-5),787)+5)),INDEX(checklistPesertaKemenkeu!$O$6:$O$1005,SMALL(IF(checklistPesertaKemenkeu!$AY$6:$AY$1005="Direkomendasikan",ROW($6:$1005)-5),787)))=1),IFERROR(VLOOKUP(INDEX(checklistPesertaKemenkeu!$O$6:$O$1005,SMALL(IF(checklistPesertaKemenkeu!$AY$6:$AY$1005="Direkomendasikan",ROW($6:$1005)-5),787)),KotaKode,2,0),"-"),"")),"")</f>
        <v/>
      </c>
      <c r="L788" t="str">
        <f t="array" aca="1" ref="L788" ca="1">IFERROR(IF(OR(INDEX(checklistPesertaKemenkeu!$P$6:$P$1005,SMALL(IF(checklistPesertaKemenkeu!$AY$6:$AY$1005="Direkomendasikan",ROW($6:$1005)-5),787))="",INDEX(checklistPesertaKemenkeu!$J$6:$J$1005,SMALL(IF(checklistPesertaKemenkeu!$AY$6:$AY$1005="Direkomendasikan",ROW($6:$1005)-5),787))=""),"",IF(AND(COUNTIF(INDIRECT("K_"&amp;MATCH(INDEX(checklistPesertaKemenkeu!$J$6:$J$1005,SMALL(IF(checklistPesertaKemenkeu!$AY$6:$AY$1005="Direkomendasikan",ROW($6:$1005)-5),787)),BidangList,0)),INDEX(checklistPesertaKemenkeu!$P$6:$P$1005,SMALL(IF(checklistPesertaKemenkeu!$AY$6:$AY$1005="Direkomendasikan",ROW($6:$1005)-5),787)))&gt;0,COUNTIF(INDIRECT("'KERTAS KERJA'!K"&amp;(SMALL(IF(checklistPesertaKemenkeu!$AY$6:$AY$1005="Direkomendasikan",ROW($6:$1005)-5),787)+5)&amp;":O"&amp;(SMALL(IF(checklistPesertaKemenkeu!$AY$6:$AY$1005="Direkomendasikan",ROW($6:$1005)-5),787)+5)),INDEX(checklistPesertaKemenkeu!$P$6:$P$1005,SMALL(IF(checklistPesertaKemenkeu!$AY$6:$AY$1005="Direkomendasikan",ROW($6:$1005)-5),787)))=1),IFERROR(VLOOKUP(INDEX(checklistPesertaKemenkeu!$P$6:$P$1005,SMALL(IF(checklistPesertaKemenkeu!$AY$6:$AY$1005="Direkomendasikan",ROW($6:$1005)-5),787)),KotaKode,2,0),"-"),"")),"")</f>
        <v/>
      </c>
    </row>
    <row r="789" spans="1:12" ht="15" customHeight="1" x14ac:dyDescent="0.2">
      <c r="A789" t="str">
        <f t="shared" si="12"/>
        <v/>
      </c>
      <c r="B789" t="str">
        <v/>
      </c>
      <c r="C789" s="40" t="str">
        <f t="array" ref="C789">IFERROR(INDEX(checklistPesertaKemenkeu!$F$6:$F$1005,SMALL(IF(checklistPesertaKemenkeu!$AY$6:$AY$1005="Direkomendasikan",ROW($6:$1005)-5),788)),"")</f>
        <v/>
      </c>
      <c r="D789" t="str">
        <f t="array" ref="D789">IFERROR(INDEX(checklistPesertaKemenkeu!$G$6:$G$1005,SMALL(IF(checklistPesertaKemenkeu!$AY$6:$AY$1005="Direkomendasikan",ROW($6:$1005)-5),788)),"")</f>
        <v/>
      </c>
      <c r="E789" t="str">
        <f t="array" ref="E789">IFERROR(INDEX(checklistPesertaKemenkeu!$H$6:$H$1005,SMALL(IF(checklistPesertaKemenkeu!$AY$6:$AY$1005="Direkomendasikan",ROW($6:$1005)-5),788)),"")</f>
        <v/>
      </c>
      <c r="F789" t="str">
        <f t="array" ref="F789">IFERROR(INDEX(checklistPesertaKemenkeu!$I$6:$I$1005,SMALL(IF(checklistPesertaKemenkeu!$AY$6:$AY$1005="Direkomendasikan",ROW($6:$1005)-5),788)),"")</f>
        <v/>
      </c>
      <c r="G789" t="str">
        <f t="array" ref="G789">IFERROR(INDEX(checklistPesertaKemenkeu!$J$6:$J$1005,SMALL(IF(checklistPesertaKemenkeu!$AY$6:$AY$1005="Direkomendasikan",ROW($6:$1005)-5),788)),"")</f>
        <v/>
      </c>
      <c r="H789" t="str">
        <f t="array" aca="1" ref="H789" ca="1">IFERROR(IF(OR(INDEX(checklistPesertaKemenkeu!$L$6:$L$1005,SMALL(IF(checklistPesertaKemenkeu!$AY$6:$AY$1005="Direkomendasikan",ROW($6:$1005)-5),788))="",INDEX(checklistPesertaKemenkeu!$J$6:$J$1005,SMALL(IF(checklistPesertaKemenkeu!$AY$6:$AY$1005="Direkomendasikan",ROW($6:$1005)-5),788))=""),"",IF(AND(COUNTIF(INDIRECT("K_"&amp;MATCH(INDEX(checklistPesertaKemenkeu!$J$6:$J$1005,SMALL(IF(checklistPesertaKemenkeu!$AY$6:$AY$1005="Direkomendasikan",ROW($6:$1005)-5),788)),BidangList,0)),INDEX(checklistPesertaKemenkeu!$L$6:$L$1005,SMALL(IF(checklistPesertaKemenkeu!$AY$6:$AY$1005="Direkomendasikan",ROW($6:$1005)-5),788)))&gt;0,COUNTIF(INDIRECT("'KERTAS KERJA'!K"&amp;(SMALL(IF(checklistPesertaKemenkeu!$AY$6:$AY$1005="Direkomendasikan",ROW($6:$1005)-5),788)+5)&amp;":O"&amp;(SMALL(IF(checklistPesertaKemenkeu!$AY$6:$AY$1005="Direkomendasikan",ROW($6:$1005)-5),788)+5)),INDEX(checklistPesertaKemenkeu!$L$6:$L$1005,SMALL(IF(checklistPesertaKemenkeu!$AY$6:$AY$1005="Direkomendasikan",ROW($6:$1005)-5),788)))=1),IFERROR(VLOOKUP(INDEX(checklistPesertaKemenkeu!$L$6:$L$1005,SMALL(IF(checklistPesertaKemenkeu!$AY$6:$AY$1005="Direkomendasikan",ROW($6:$1005)-5),788)),KotaKode,2,0),"-"),"")),"")</f>
        <v/>
      </c>
      <c r="I789" t="str">
        <f t="array" aca="1" ref="I789" ca="1">IFERROR(IF(OR(INDEX(checklistPesertaKemenkeu!$M$6:$M$1005,SMALL(IF(checklistPesertaKemenkeu!$AY$6:$AY$1005="Direkomendasikan",ROW($6:$1005)-5),788))="",INDEX(checklistPesertaKemenkeu!$J$6:$J$1005,SMALL(IF(checklistPesertaKemenkeu!$AY$6:$AY$1005="Direkomendasikan",ROW($6:$1005)-5),788))=""),"",IF(AND(COUNTIF(INDIRECT("K_"&amp;MATCH(INDEX(checklistPesertaKemenkeu!$J$6:$J$1005,SMALL(IF(checklistPesertaKemenkeu!$AY$6:$AY$1005="Direkomendasikan",ROW($6:$1005)-5),788)),BidangList,0)),INDEX(checklistPesertaKemenkeu!$M$6:$M$1005,SMALL(IF(checklistPesertaKemenkeu!$AY$6:$AY$1005="Direkomendasikan",ROW($6:$1005)-5),788)))&gt;0,COUNTIF(INDIRECT("'KERTAS KERJA'!K"&amp;(SMALL(IF(checklistPesertaKemenkeu!$AY$6:$AY$1005="Direkomendasikan",ROW($6:$1005)-5),788)+5)&amp;":O"&amp;(SMALL(IF(checklistPesertaKemenkeu!$AY$6:$AY$1005="Direkomendasikan",ROW($6:$1005)-5),788)+5)),INDEX(checklistPesertaKemenkeu!$M$6:$M$1005,SMALL(IF(checklistPesertaKemenkeu!$AY$6:$AY$1005="Direkomendasikan",ROW($6:$1005)-5),788)))=1),IFERROR(VLOOKUP(INDEX(checklistPesertaKemenkeu!$M$6:$M$1005,SMALL(IF(checklistPesertaKemenkeu!$AY$6:$AY$1005="Direkomendasikan",ROW($6:$1005)-5),788)),KotaKode,2,0),"-"),"")),"")</f>
        <v/>
      </c>
      <c r="J789" t="str">
        <f t="array" aca="1" ref="J789" ca="1">IFERROR(IF(OR(INDEX(checklistPesertaKemenkeu!$N$6:$N$1005,SMALL(IF(checklistPesertaKemenkeu!$AY$6:$AY$1005="Direkomendasikan",ROW($6:$1005)-5),788))="",INDEX(checklistPesertaKemenkeu!$J$6:$J$1005,SMALL(IF(checklistPesertaKemenkeu!$AY$6:$AY$1005="Direkomendasikan",ROW($6:$1005)-5),788))=""),"",IF(AND(COUNTIF(INDIRECT("K_"&amp;MATCH(INDEX(checklistPesertaKemenkeu!$J$6:$J$1005,SMALL(IF(checklistPesertaKemenkeu!$AY$6:$AY$1005="Direkomendasikan",ROW($6:$1005)-5),788)),BidangList,0)),INDEX(checklistPesertaKemenkeu!$N$6:$N$1005,SMALL(IF(checklistPesertaKemenkeu!$AY$6:$AY$1005="Direkomendasikan",ROW($6:$1005)-5),788)))&gt;0,COUNTIF(INDIRECT("'KERTAS KERJA'!K"&amp;(SMALL(IF(checklistPesertaKemenkeu!$AY$6:$AY$1005="Direkomendasikan",ROW($6:$1005)-5),788)+5)&amp;":O"&amp;(SMALL(IF(checklistPesertaKemenkeu!$AY$6:$AY$1005="Direkomendasikan",ROW($6:$1005)-5),788)+5)),INDEX(checklistPesertaKemenkeu!$N$6:$N$1005,SMALL(IF(checklistPesertaKemenkeu!$AY$6:$AY$1005="Direkomendasikan",ROW($6:$1005)-5),788)))=1),IFERROR(VLOOKUP(INDEX(checklistPesertaKemenkeu!$N$6:$N$1005,SMALL(IF(checklistPesertaKemenkeu!$AY$6:$AY$1005="Direkomendasikan",ROW($6:$1005)-5),788)),KotaKode,2,0),"-"),"")),"")</f>
        <v/>
      </c>
      <c r="K789" t="str">
        <f t="array" aca="1" ref="K789" ca="1">IFERROR(IF(OR(INDEX(checklistPesertaKemenkeu!$O$6:$O$1005,SMALL(IF(checklistPesertaKemenkeu!$AY$6:$AY$1005="Direkomendasikan",ROW($6:$1005)-5),788))="",INDEX(checklistPesertaKemenkeu!$J$6:$J$1005,SMALL(IF(checklistPesertaKemenkeu!$AY$6:$AY$1005="Direkomendasikan",ROW($6:$1005)-5),788))=""),"",IF(AND(COUNTIF(INDIRECT("K_"&amp;MATCH(INDEX(checklistPesertaKemenkeu!$J$6:$J$1005,SMALL(IF(checklistPesertaKemenkeu!$AY$6:$AY$1005="Direkomendasikan",ROW($6:$1005)-5),788)),BidangList,0)),INDEX(checklistPesertaKemenkeu!$O$6:$O$1005,SMALL(IF(checklistPesertaKemenkeu!$AY$6:$AY$1005="Direkomendasikan",ROW($6:$1005)-5),788)))&gt;0,COUNTIF(INDIRECT("'KERTAS KERJA'!K"&amp;(SMALL(IF(checklistPesertaKemenkeu!$AY$6:$AY$1005="Direkomendasikan",ROW($6:$1005)-5),788)+5)&amp;":O"&amp;(SMALL(IF(checklistPesertaKemenkeu!$AY$6:$AY$1005="Direkomendasikan",ROW($6:$1005)-5),788)+5)),INDEX(checklistPesertaKemenkeu!$O$6:$O$1005,SMALL(IF(checklistPesertaKemenkeu!$AY$6:$AY$1005="Direkomendasikan",ROW($6:$1005)-5),788)))=1),IFERROR(VLOOKUP(INDEX(checklistPesertaKemenkeu!$O$6:$O$1005,SMALL(IF(checklistPesertaKemenkeu!$AY$6:$AY$1005="Direkomendasikan",ROW($6:$1005)-5),788)),KotaKode,2,0),"-"),"")),"")</f>
        <v/>
      </c>
      <c r="L789" t="str">
        <f t="array" aca="1" ref="L789" ca="1">IFERROR(IF(OR(INDEX(checklistPesertaKemenkeu!$P$6:$P$1005,SMALL(IF(checklistPesertaKemenkeu!$AY$6:$AY$1005="Direkomendasikan",ROW($6:$1005)-5),788))="",INDEX(checklistPesertaKemenkeu!$J$6:$J$1005,SMALL(IF(checklistPesertaKemenkeu!$AY$6:$AY$1005="Direkomendasikan",ROW($6:$1005)-5),788))=""),"",IF(AND(COUNTIF(INDIRECT("K_"&amp;MATCH(INDEX(checklistPesertaKemenkeu!$J$6:$J$1005,SMALL(IF(checklistPesertaKemenkeu!$AY$6:$AY$1005="Direkomendasikan",ROW($6:$1005)-5),788)),BidangList,0)),INDEX(checklistPesertaKemenkeu!$P$6:$P$1005,SMALL(IF(checklistPesertaKemenkeu!$AY$6:$AY$1005="Direkomendasikan",ROW($6:$1005)-5),788)))&gt;0,COUNTIF(INDIRECT("'KERTAS KERJA'!K"&amp;(SMALL(IF(checklistPesertaKemenkeu!$AY$6:$AY$1005="Direkomendasikan",ROW($6:$1005)-5),788)+5)&amp;":O"&amp;(SMALL(IF(checklistPesertaKemenkeu!$AY$6:$AY$1005="Direkomendasikan",ROW($6:$1005)-5),788)+5)),INDEX(checklistPesertaKemenkeu!$P$6:$P$1005,SMALL(IF(checklistPesertaKemenkeu!$AY$6:$AY$1005="Direkomendasikan",ROW($6:$1005)-5),788)))=1),IFERROR(VLOOKUP(INDEX(checklistPesertaKemenkeu!$P$6:$P$1005,SMALL(IF(checklistPesertaKemenkeu!$AY$6:$AY$1005="Direkomendasikan",ROW($6:$1005)-5),788)),KotaKode,2,0),"-"),"")),"")</f>
        <v/>
      </c>
    </row>
    <row r="790" spans="1:12" ht="15" customHeight="1" x14ac:dyDescent="0.2">
      <c r="A790" t="str">
        <f t="shared" si="12"/>
        <v/>
      </c>
      <c r="B790" t="str">
        <v/>
      </c>
      <c r="C790" s="40" t="str">
        <f t="array" ref="C790">IFERROR(INDEX(checklistPesertaKemenkeu!$F$6:$F$1005,SMALL(IF(checklistPesertaKemenkeu!$AY$6:$AY$1005="Direkomendasikan",ROW($6:$1005)-5),789)),"")</f>
        <v/>
      </c>
      <c r="D790" t="str">
        <f t="array" ref="D790">IFERROR(INDEX(checklistPesertaKemenkeu!$G$6:$G$1005,SMALL(IF(checklistPesertaKemenkeu!$AY$6:$AY$1005="Direkomendasikan",ROW($6:$1005)-5),789)),"")</f>
        <v/>
      </c>
      <c r="E790" t="str">
        <f t="array" ref="E790">IFERROR(INDEX(checklistPesertaKemenkeu!$H$6:$H$1005,SMALL(IF(checklistPesertaKemenkeu!$AY$6:$AY$1005="Direkomendasikan",ROW($6:$1005)-5),789)),"")</f>
        <v/>
      </c>
      <c r="F790" t="str">
        <f t="array" ref="F790">IFERROR(INDEX(checklistPesertaKemenkeu!$I$6:$I$1005,SMALL(IF(checklistPesertaKemenkeu!$AY$6:$AY$1005="Direkomendasikan",ROW($6:$1005)-5),789)),"")</f>
        <v/>
      </c>
      <c r="G790" t="str">
        <f t="array" ref="G790">IFERROR(INDEX(checklistPesertaKemenkeu!$J$6:$J$1005,SMALL(IF(checklistPesertaKemenkeu!$AY$6:$AY$1005="Direkomendasikan",ROW($6:$1005)-5),789)),"")</f>
        <v/>
      </c>
      <c r="H790" t="str">
        <f t="array" aca="1" ref="H790" ca="1">IFERROR(IF(OR(INDEX(checklistPesertaKemenkeu!$L$6:$L$1005,SMALL(IF(checklistPesertaKemenkeu!$AY$6:$AY$1005="Direkomendasikan",ROW($6:$1005)-5),789))="",INDEX(checklistPesertaKemenkeu!$J$6:$J$1005,SMALL(IF(checklistPesertaKemenkeu!$AY$6:$AY$1005="Direkomendasikan",ROW($6:$1005)-5),789))=""),"",IF(AND(COUNTIF(INDIRECT("K_"&amp;MATCH(INDEX(checklistPesertaKemenkeu!$J$6:$J$1005,SMALL(IF(checklistPesertaKemenkeu!$AY$6:$AY$1005="Direkomendasikan",ROW($6:$1005)-5),789)),BidangList,0)),INDEX(checklistPesertaKemenkeu!$L$6:$L$1005,SMALL(IF(checklistPesertaKemenkeu!$AY$6:$AY$1005="Direkomendasikan",ROW($6:$1005)-5),789)))&gt;0,COUNTIF(INDIRECT("'KERTAS KERJA'!K"&amp;(SMALL(IF(checklistPesertaKemenkeu!$AY$6:$AY$1005="Direkomendasikan",ROW($6:$1005)-5),789)+5)&amp;":O"&amp;(SMALL(IF(checklistPesertaKemenkeu!$AY$6:$AY$1005="Direkomendasikan",ROW($6:$1005)-5),789)+5)),INDEX(checklistPesertaKemenkeu!$L$6:$L$1005,SMALL(IF(checklistPesertaKemenkeu!$AY$6:$AY$1005="Direkomendasikan",ROW($6:$1005)-5),789)))=1),IFERROR(VLOOKUP(INDEX(checklistPesertaKemenkeu!$L$6:$L$1005,SMALL(IF(checklistPesertaKemenkeu!$AY$6:$AY$1005="Direkomendasikan",ROW($6:$1005)-5),789)),KotaKode,2,0),"-"),"")),"")</f>
        <v/>
      </c>
      <c r="I790" t="str">
        <f t="array" aca="1" ref="I790" ca="1">IFERROR(IF(OR(INDEX(checklistPesertaKemenkeu!$M$6:$M$1005,SMALL(IF(checklistPesertaKemenkeu!$AY$6:$AY$1005="Direkomendasikan",ROW($6:$1005)-5),789))="",INDEX(checklistPesertaKemenkeu!$J$6:$J$1005,SMALL(IF(checklistPesertaKemenkeu!$AY$6:$AY$1005="Direkomendasikan",ROW($6:$1005)-5),789))=""),"",IF(AND(COUNTIF(INDIRECT("K_"&amp;MATCH(INDEX(checklistPesertaKemenkeu!$J$6:$J$1005,SMALL(IF(checklistPesertaKemenkeu!$AY$6:$AY$1005="Direkomendasikan",ROW($6:$1005)-5),789)),BidangList,0)),INDEX(checklistPesertaKemenkeu!$M$6:$M$1005,SMALL(IF(checklistPesertaKemenkeu!$AY$6:$AY$1005="Direkomendasikan",ROW($6:$1005)-5),789)))&gt;0,COUNTIF(INDIRECT("'KERTAS KERJA'!K"&amp;(SMALL(IF(checklistPesertaKemenkeu!$AY$6:$AY$1005="Direkomendasikan",ROW($6:$1005)-5),789)+5)&amp;":O"&amp;(SMALL(IF(checklistPesertaKemenkeu!$AY$6:$AY$1005="Direkomendasikan",ROW($6:$1005)-5),789)+5)),INDEX(checklistPesertaKemenkeu!$M$6:$M$1005,SMALL(IF(checklistPesertaKemenkeu!$AY$6:$AY$1005="Direkomendasikan",ROW($6:$1005)-5),789)))=1),IFERROR(VLOOKUP(INDEX(checklistPesertaKemenkeu!$M$6:$M$1005,SMALL(IF(checklistPesertaKemenkeu!$AY$6:$AY$1005="Direkomendasikan",ROW($6:$1005)-5),789)),KotaKode,2,0),"-"),"")),"")</f>
        <v/>
      </c>
      <c r="J790" t="str">
        <f t="array" aca="1" ref="J790" ca="1">IFERROR(IF(OR(INDEX(checklistPesertaKemenkeu!$N$6:$N$1005,SMALL(IF(checklistPesertaKemenkeu!$AY$6:$AY$1005="Direkomendasikan",ROW($6:$1005)-5),789))="",INDEX(checklistPesertaKemenkeu!$J$6:$J$1005,SMALL(IF(checklistPesertaKemenkeu!$AY$6:$AY$1005="Direkomendasikan",ROW($6:$1005)-5),789))=""),"",IF(AND(COUNTIF(INDIRECT("K_"&amp;MATCH(INDEX(checklistPesertaKemenkeu!$J$6:$J$1005,SMALL(IF(checklistPesertaKemenkeu!$AY$6:$AY$1005="Direkomendasikan",ROW($6:$1005)-5),789)),BidangList,0)),INDEX(checklistPesertaKemenkeu!$N$6:$N$1005,SMALL(IF(checklistPesertaKemenkeu!$AY$6:$AY$1005="Direkomendasikan",ROW($6:$1005)-5),789)))&gt;0,COUNTIF(INDIRECT("'KERTAS KERJA'!K"&amp;(SMALL(IF(checklistPesertaKemenkeu!$AY$6:$AY$1005="Direkomendasikan",ROW($6:$1005)-5),789)+5)&amp;":O"&amp;(SMALL(IF(checklistPesertaKemenkeu!$AY$6:$AY$1005="Direkomendasikan",ROW($6:$1005)-5),789)+5)),INDEX(checklistPesertaKemenkeu!$N$6:$N$1005,SMALL(IF(checklistPesertaKemenkeu!$AY$6:$AY$1005="Direkomendasikan",ROW($6:$1005)-5),789)))=1),IFERROR(VLOOKUP(INDEX(checklistPesertaKemenkeu!$N$6:$N$1005,SMALL(IF(checklistPesertaKemenkeu!$AY$6:$AY$1005="Direkomendasikan",ROW($6:$1005)-5),789)),KotaKode,2,0),"-"),"")),"")</f>
        <v/>
      </c>
      <c r="K790" t="str">
        <f t="array" aca="1" ref="K790" ca="1">IFERROR(IF(OR(INDEX(checklistPesertaKemenkeu!$O$6:$O$1005,SMALL(IF(checklistPesertaKemenkeu!$AY$6:$AY$1005="Direkomendasikan",ROW($6:$1005)-5),789))="",INDEX(checklistPesertaKemenkeu!$J$6:$J$1005,SMALL(IF(checklistPesertaKemenkeu!$AY$6:$AY$1005="Direkomendasikan",ROW($6:$1005)-5),789))=""),"",IF(AND(COUNTIF(INDIRECT("K_"&amp;MATCH(INDEX(checklistPesertaKemenkeu!$J$6:$J$1005,SMALL(IF(checklistPesertaKemenkeu!$AY$6:$AY$1005="Direkomendasikan",ROW($6:$1005)-5),789)),BidangList,0)),INDEX(checklistPesertaKemenkeu!$O$6:$O$1005,SMALL(IF(checklistPesertaKemenkeu!$AY$6:$AY$1005="Direkomendasikan",ROW($6:$1005)-5),789)))&gt;0,COUNTIF(INDIRECT("'KERTAS KERJA'!K"&amp;(SMALL(IF(checklistPesertaKemenkeu!$AY$6:$AY$1005="Direkomendasikan",ROW($6:$1005)-5),789)+5)&amp;":O"&amp;(SMALL(IF(checklistPesertaKemenkeu!$AY$6:$AY$1005="Direkomendasikan",ROW($6:$1005)-5),789)+5)),INDEX(checklistPesertaKemenkeu!$O$6:$O$1005,SMALL(IF(checklistPesertaKemenkeu!$AY$6:$AY$1005="Direkomendasikan",ROW($6:$1005)-5),789)))=1),IFERROR(VLOOKUP(INDEX(checklistPesertaKemenkeu!$O$6:$O$1005,SMALL(IF(checklistPesertaKemenkeu!$AY$6:$AY$1005="Direkomendasikan",ROW($6:$1005)-5),789)),KotaKode,2,0),"-"),"")),"")</f>
        <v/>
      </c>
      <c r="L790" t="str">
        <f t="array" aca="1" ref="L790" ca="1">IFERROR(IF(OR(INDEX(checklistPesertaKemenkeu!$P$6:$P$1005,SMALL(IF(checklistPesertaKemenkeu!$AY$6:$AY$1005="Direkomendasikan",ROW($6:$1005)-5),789))="",INDEX(checklistPesertaKemenkeu!$J$6:$J$1005,SMALL(IF(checklistPesertaKemenkeu!$AY$6:$AY$1005="Direkomendasikan",ROW($6:$1005)-5),789))=""),"",IF(AND(COUNTIF(INDIRECT("K_"&amp;MATCH(INDEX(checklistPesertaKemenkeu!$J$6:$J$1005,SMALL(IF(checklistPesertaKemenkeu!$AY$6:$AY$1005="Direkomendasikan",ROW($6:$1005)-5),789)),BidangList,0)),INDEX(checklistPesertaKemenkeu!$P$6:$P$1005,SMALL(IF(checklistPesertaKemenkeu!$AY$6:$AY$1005="Direkomendasikan",ROW($6:$1005)-5),789)))&gt;0,COUNTIF(INDIRECT("'KERTAS KERJA'!K"&amp;(SMALL(IF(checklistPesertaKemenkeu!$AY$6:$AY$1005="Direkomendasikan",ROW($6:$1005)-5),789)+5)&amp;":O"&amp;(SMALL(IF(checklistPesertaKemenkeu!$AY$6:$AY$1005="Direkomendasikan",ROW($6:$1005)-5),789)+5)),INDEX(checklistPesertaKemenkeu!$P$6:$P$1005,SMALL(IF(checklistPesertaKemenkeu!$AY$6:$AY$1005="Direkomendasikan",ROW($6:$1005)-5),789)))=1),IFERROR(VLOOKUP(INDEX(checklistPesertaKemenkeu!$P$6:$P$1005,SMALL(IF(checklistPesertaKemenkeu!$AY$6:$AY$1005="Direkomendasikan",ROW($6:$1005)-5),789)),KotaKode,2,0),"-"),"")),"")</f>
        <v/>
      </c>
    </row>
    <row r="791" spans="1:12" ht="15" customHeight="1" x14ac:dyDescent="0.2">
      <c r="A791" t="str">
        <f t="shared" si="12"/>
        <v/>
      </c>
      <c r="B791" t="str">
        <v/>
      </c>
      <c r="C791" s="40" t="str">
        <f t="array" ref="C791">IFERROR(INDEX(checklistPesertaKemenkeu!$F$6:$F$1005,SMALL(IF(checklistPesertaKemenkeu!$AY$6:$AY$1005="Direkomendasikan",ROW($6:$1005)-5),790)),"")</f>
        <v/>
      </c>
      <c r="D791" t="str">
        <f t="array" ref="D791">IFERROR(INDEX(checklistPesertaKemenkeu!$G$6:$G$1005,SMALL(IF(checklistPesertaKemenkeu!$AY$6:$AY$1005="Direkomendasikan",ROW($6:$1005)-5),790)),"")</f>
        <v/>
      </c>
      <c r="E791" t="str">
        <f t="array" ref="E791">IFERROR(INDEX(checklistPesertaKemenkeu!$H$6:$H$1005,SMALL(IF(checklistPesertaKemenkeu!$AY$6:$AY$1005="Direkomendasikan",ROW($6:$1005)-5),790)),"")</f>
        <v/>
      </c>
      <c r="F791" t="str">
        <f t="array" ref="F791">IFERROR(INDEX(checklistPesertaKemenkeu!$I$6:$I$1005,SMALL(IF(checklistPesertaKemenkeu!$AY$6:$AY$1005="Direkomendasikan",ROW($6:$1005)-5),790)),"")</f>
        <v/>
      </c>
      <c r="G791" t="str">
        <f t="array" ref="G791">IFERROR(INDEX(checklistPesertaKemenkeu!$J$6:$J$1005,SMALL(IF(checklistPesertaKemenkeu!$AY$6:$AY$1005="Direkomendasikan",ROW($6:$1005)-5),790)),"")</f>
        <v/>
      </c>
      <c r="H791" t="str">
        <f t="array" aca="1" ref="H791" ca="1">IFERROR(IF(OR(INDEX(checklistPesertaKemenkeu!$L$6:$L$1005,SMALL(IF(checklistPesertaKemenkeu!$AY$6:$AY$1005="Direkomendasikan",ROW($6:$1005)-5),790))="",INDEX(checklistPesertaKemenkeu!$J$6:$J$1005,SMALL(IF(checklistPesertaKemenkeu!$AY$6:$AY$1005="Direkomendasikan",ROW($6:$1005)-5),790))=""),"",IF(AND(COUNTIF(INDIRECT("K_"&amp;MATCH(INDEX(checklistPesertaKemenkeu!$J$6:$J$1005,SMALL(IF(checklistPesertaKemenkeu!$AY$6:$AY$1005="Direkomendasikan",ROW($6:$1005)-5),790)),BidangList,0)),INDEX(checklistPesertaKemenkeu!$L$6:$L$1005,SMALL(IF(checklistPesertaKemenkeu!$AY$6:$AY$1005="Direkomendasikan",ROW($6:$1005)-5),790)))&gt;0,COUNTIF(INDIRECT("'KERTAS KERJA'!K"&amp;(SMALL(IF(checklistPesertaKemenkeu!$AY$6:$AY$1005="Direkomendasikan",ROW($6:$1005)-5),790)+5)&amp;":O"&amp;(SMALL(IF(checklistPesertaKemenkeu!$AY$6:$AY$1005="Direkomendasikan",ROW($6:$1005)-5),790)+5)),INDEX(checklistPesertaKemenkeu!$L$6:$L$1005,SMALL(IF(checklistPesertaKemenkeu!$AY$6:$AY$1005="Direkomendasikan",ROW($6:$1005)-5),790)))=1),IFERROR(VLOOKUP(INDEX(checklistPesertaKemenkeu!$L$6:$L$1005,SMALL(IF(checklistPesertaKemenkeu!$AY$6:$AY$1005="Direkomendasikan",ROW($6:$1005)-5),790)),KotaKode,2,0),"-"),"")),"")</f>
        <v/>
      </c>
      <c r="I791" t="str">
        <f t="array" aca="1" ref="I791" ca="1">IFERROR(IF(OR(INDEX(checklistPesertaKemenkeu!$M$6:$M$1005,SMALL(IF(checklistPesertaKemenkeu!$AY$6:$AY$1005="Direkomendasikan",ROW($6:$1005)-5),790))="",INDEX(checklistPesertaKemenkeu!$J$6:$J$1005,SMALL(IF(checklistPesertaKemenkeu!$AY$6:$AY$1005="Direkomendasikan",ROW($6:$1005)-5),790))=""),"",IF(AND(COUNTIF(INDIRECT("K_"&amp;MATCH(INDEX(checklistPesertaKemenkeu!$J$6:$J$1005,SMALL(IF(checklistPesertaKemenkeu!$AY$6:$AY$1005="Direkomendasikan",ROW($6:$1005)-5),790)),BidangList,0)),INDEX(checklistPesertaKemenkeu!$M$6:$M$1005,SMALL(IF(checklistPesertaKemenkeu!$AY$6:$AY$1005="Direkomendasikan",ROW($6:$1005)-5),790)))&gt;0,COUNTIF(INDIRECT("'KERTAS KERJA'!K"&amp;(SMALL(IF(checklistPesertaKemenkeu!$AY$6:$AY$1005="Direkomendasikan",ROW($6:$1005)-5),790)+5)&amp;":O"&amp;(SMALL(IF(checklistPesertaKemenkeu!$AY$6:$AY$1005="Direkomendasikan",ROW($6:$1005)-5),790)+5)),INDEX(checklistPesertaKemenkeu!$M$6:$M$1005,SMALL(IF(checklistPesertaKemenkeu!$AY$6:$AY$1005="Direkomendasikan",ROW($6:$1005)-5),790)))=1),IFERROR(VLOOKUP(INDEX(checklistPesertaKemenkeu!$M$6:$M$1005,SMALL(IF(checklistPesertaKemenkeu!$AY$6:$AY$1005="Direkomendasikan",ROW($6:$1005)-5),790)),KotaKode,2,0),"-"),"")),"")</f>
        <v/>
      </c>
      <c r="J791" t="str">
        <f t="array" aca="1" ref="J791" ca="1">IFERROR(IF(OR(INDEX(checklistPesertaKemenkeu!$N$6:$N$1005,SMALL(IF(checklistPesertaKemenkeu!$AY$6:$AY$1005="Direkomendasikan",ROW($6:$1005)-5),790))="",INDEX(checklistPesertaKemenkeu!$J$6:$J$1005,SMALL(IF(checklistPesertaKemenkeu!$AY$6:$AY$1005="Direkomendasikan",ROW($6:$1005)-5),790))=""),"",IF(AND(COUNTIF(INDIRECT("K_"&amp;MATCH(INDEX(checklistPesertaKemenkeu!$J$6:$J$1005,SMALL(IF(checklistPesertaKemenkeu!$AY$6:$AY$1005="Direkomendasikan",ROW($6:$1005)-5),790)),BidangList,0)),INDEX(checklistPesertaKemenkeu!$N$6:$N$1005,SMALL(IF(checklistPesertaKemenkeu!$AY$6:$AY$1005="Direkomendasikan",ROW($6:$1005)-5),790)))&gt;0,COUNTIF(INDIRECT("'KERTAS KERJA'!K"&amp;(SMALL(IF(checklistPesertaKemenkeu!$AY$6:$AY$1005="Direkomendasikan",ROW($6:$1005)-5),790)+5)&amp;":O"&amp;(SMALL(IF(checklistPesertaKemenkeu!$AY$6:$AY$1005="Direkomendasikan",ROW($6:$1005)-5),790)+5)),INDEX(checklistPesertaKemenkeu!$N$6:$N$1005,SMALL(IF(checklistPesertaKemenkeu!$AY$6:$AY$1005="Direkomendasikan",ROW($6:$1005)-5),790)))=1),IFERROR(VLOOKUP(INDEX(checklistPesertaKemenkeu!$N$6:$N$1005,SMALL(IF(checklistPesertaKemenkeu!$AY$6:$AY$1005="Direkomendasikan",ROW($6:$1005)-5),790)),KotaKode,2,0),"-"),"")),"")</f>
        <v/>
      </c>
      <c r="K791" t="str">
        <f t="array" aca="1" ref="K791" ca="1">IFERROR(IF(OR(INDEX(checklistPesertaKemenkeu!$O$6:$O$1005,SMALL(IF(checklistPesertaKemenkeu!$AY$6:$AY$1005="Direkomendasikan",ROW($6:$1005)-5),790))="",INDEX(checklistPesertaKemenkeu!$J$6:$J$1005,SMALL(IF(checklistPesertaKemenkeu!$AY$6:$AY$1005="Direkomendasikan",ROW($6:$1005)-5),790))=""),"",IF(AND(COUNTIF(INDIRECT("K_"&amp;MATCH(INDEX(checklistPesertaKemenkeu!$J$6:$J$1005,SMALL(IF(checklistPesertaKemenkeu!$AY$6:$AY$1005="Direkomendasikan",ROW($6:$1005)-5),790)),BidangList,0)),INDEX(checklistPesertaKemenkeu!$O$6:$O$1005,SMALL(IF(checklistPesertaKemenkeu!$AY$6:$AY$1005="Direkomendasikan",ROW($6:$1005)-5),790)))&gt;0,COUNTIF(INDIRECT("'KERTAS KERJA'!K"&amp;(SMALL(IF(checklistPesertaKemenkeu!$AY$6:$AY$1005="Direkomendasikan",ROW($6:$1005)-5),790)+5)&amp;":O"&amp;(SMALL(IF(checklistPesertaKemenkeu!$AY$6:$AY$1005="Direkomendasikan",ROW($6:$1005)-5),790)+5)),INDEX(checklistPesertaKemenkeu!$O$6:$O$1005,SMALL(IF(checklistPesertaKemenkeu!$AY$6:$AY$1005="Direkomendasikan",ROW($6:$1005)-5),790)))=1),IFERROR(VLOOKUP(INDEX(checklistPesertaKemenkeu!$O$6:$O$1005,SMALL(IF(checklistPesertaKemenkeu!$AY$6:$AY$1005="Direkomendasikan",ROW($6:$1005)-5),790)),KotaKode,2,0),"-"),"")),"")</f>
        <v/>
      </c>
      <c r="L791" t="str">
        <f t="array" aca="1" ref="L791" ca="1">IFERROR(IF(OR(INDEX(checklistPesertaKemenkeu!$P$6:$P$1005,SMALL(IF(checklistPesertaKemenkeu!$AY$6:$AY$1005="Direkomendasikan",ROW($6:$1005)-5),790))="",INDEX(checklistPesertaKemenkeu!$J$6:$J$1005,SMALL(IF(checklistPesertaKemenkeu!$AY$6:$AY$1005="Direkomendasikan",ROW($6:$1005)-5),790))=""),"",IF(AND(COUNTIF(INDIRECT("K_"&amp;MATCH(INDEX(checklistPesertaKemenkeu!$J$6:$J$1005,SMALL(IF(checklistPesertaKemenkeu!$AY$6:$AY$1005="Direkomendasikan",ROW($6:$1005)-5),790)),BidangList,0)),INDEX(checklistPesertaKemenkeu!$P$6:$P$1005,SMALL(IF(checklistPesertaKemenkeu!$AY$6:$AY$1005="Direkomendasikan",ROW($6:$1005)-5),790)))&gt;0,COUNTIF(INDIRECT("'KERTAS KERJA'!K"&amp;(SMALL(IF(checklistPesertaKemenkeu!$AY$6:$AY$1005="Direkomendasikan",ROW($6:$1005)-5),790)+5)&amp;":O"&amp;(SMALL(IF(checklistPesertaKemenkeu!$AY$6:$AY$1005="Direkomendasikan",ROW($6:$1005)-5),790)+5)),INDEX(checklistPesertaKemenkeu!$P$6:$P$1005,SMALL(IF(checklistPesertaKemenkeu!$AY$6:$AY$1005="Direkomendasikan",ROW($6:$1005)-5),790)))=1),IFERROR(VLOOKUP(INDEX(checklistPesertaKemenkeu!$P$6:$P$1005,SMALL(IF(checklistPesertaKemenkeu!$AY$6:$AY$1005="Direkomendasikan",ROW($6:$1005)-5),790)),KotaKode,2,0),"-"),"")),"")</f>
        <v/>
      </c>
    </row>
    <row r="792" spans="1:12" ht="15" customHeight="1" x14ac:dyDescent="0.2">
      <c r="A792" t="str">
        <f t="shared" si="12"/>
        <v/>
      </c>
      <c r="B792" t="str">
        <v/>
      </c>
      <c r="C792" s="40" t="str">
        <f t="array" ref="C792">IFERROR(INDEX(checklistPesertaKemenkeu!$F$6:$F$1005,SMALL(IF(checklistPesertaKemenkeu!$AY$6:$AY$1005="Direkomendasikan",ROW($6:$1005)-5),791)),"")</f>
        <v/>
      </c>
      <c r="D792" t="str">
        <f t="array" ref="D792">IFERROR(INDEX(checklistPesertaKemenkeu!$G$6:$G$1005,SMALL(IF(checklistPesertaKemenkeu!$AY$6:$AY$1005="Direkomendasikan",ROW($6:$1005)-5),791)),"")</f>
        <v/>
      </c>
      <c r="E792" t="str">
        <f t="array" ref="E792">IFERROR(INDEX(checklistPesertaKemenkeu!$H$6:$H$1005,SMALL(IF(checklistPesertaKemenkeu!$AY$6:$AY$1005="Direkomendasikan",ROW($6:$1005)-5),791)),"")</f>
        <v/>
      </c>
      <c r="F792" t="str">
        <f t="array" ref="F792">IFERROR(INDEX(checklistPesertaKemenkeu!$I$6:$I$1005,SMALL(IF(checklistPesertaKemenkeu!$AY$6:$AY$1005="Direkomendasikan",ROW($6:$1005)-5),791)),"")</f>
        <v/>
      </c>
      <c r="G792" t="str">
        <f t="array" ref="G792">IFERROR(INDEX(checklistPesertaKemenkeu!$J$6:$J$1005,SMALL(IF(checklistPesertaKemenkeu!$AY$6:$AY$1005="Direkomendasikan",ROW($6:$1005)-5),791)),"")</f>
        <v/>
      </c>
      <c r="H792" t="str">
        <f t="array" aca="1" ref="H792" ca="1">IFERROR(IF(OR(INDEX(checklistPesertaKemenkeu!$L$6:$L$1005,SMALL(IF(checklistPesertaKemenkeu!$AY$6:$AY$1005="Direkomendasikan",ROW($6:$1005)-5),791))="",INDEX(checklistPesertaKemenkeu!$J$6:$J$1005,SMALL(IF(checklistPesertaKemenkeu!$AY$6:$AY$1005="Direkomendasikan",ROW($6:$1005)-5),791))=""),"",IF(AND(COUNTIF(INDIRECT("K_"&amp;MATCH(INDEX(checklistPesertaKemenkeu!$J$6:$J$1005,SMALL(IF(checklistPesertaKemenkeu!$AY$6:$AY$1005="Direkomendasikan",ROW($6:$1005)-5),791)),BidangList,0)),INDEX(checklistPesertaKemenkeu!$L$6:$L$1005,SMALL(IF(checklistPesertaKemenkeu!$AY$6:$AY$1005="Direkomendasikan",ROW($6:$1005)-5),791)))&gt;0,COUNTIF(INDIRECT("'KERTAS KERJA'!K"&amp;(SMALL(IF(checklistPesertaKemenkeu!$AY$6:$AY$1005="Direkomendasikan",ROW($6:$1005)-5),791)+5)&amp;":O"&amp;(SMALL(IF(checklistPesertaKemenkeu!$AY$6:$AY$1005="Direkomendasikan",ROW($6:$1005)-5),791)+5)),INDEX(checklistPesertaKemenkeu!$L$6:$L$1005,SMALL(IF(checklistPesertaKemenkeu!$AY$6:$AY$1005="Direkomendasikan",ROW($6:$1005)-5),791)))=1),IFERROR(VLOOKUP(INDEX(checklistPesertaKemenkeu!$L$6:$L$1005,SMALL(IF(checklistPesertaKemenkeu!$AY$6:$AY$1005="Direkomendasikan",ROW($6:$1005)-5),791)),KotaKode,2,0),"-"),"")),"")</f>
        <v/>
      </c>
      <c r="I792" t="str">
        <f t="array" aca="1" ref="I792" ca="1">IFERROR(IF(OR(INDEX(checklistPesertaKemenkeu!$M$6:$M$1005,SMALL(IF(checklistPesertaKemenkeu!$AY$6:$AY$1005="Direkomendasikan",ROW($6:$1005)-5),791))="",INDEX(checklistPesertaKemenkeu!$J$6:$J$1005,SMALL(IF(checklistPesertaKemenkeu!$AY$6:$AY$1005="Direkomendasikan",ROW($6:$1005)-5),791))=""),"",IF(AND(COUNTIF(INDIRECT("K_"&amp;MATCH(INDEX(checklistPesertaKemenkeu!$J$6:$J$1005,SMALL(IF(checklistPesertaKemenkeu!$AY$6:$AY$1005="Direkomendasikan",ROW($6:$1005)-5),791)),BidangList,0)),INDEX(checklistPesertaKemenkeu!$M$6:$M$1005,SMALL(IF(checklistPesertaKemenkeu!$AY$6:$AY$1005="Direkomendasikan",ROW($6:$1005)-5),791)))&gt;0,COUNTIF(INDIRECT("'KERTAS KERJA'!K"&amp;(SMALL(IF(checklistPesertaKemenkeu!$AY$6:$AY$1005="Direkomendasikan",ROW($6:$1005)-5),791)+5)&amp;":O"&amp;(SMALL(IF(checklistPesertaKemenkeu!$AY$6:$AY$1005="Direkomendasikan",ROW($6:$1005)-5),791)+5)),INDEX(checklistPesertaKemenkeu!$M$6:$M$1005,SMALL(IF(checklistPesertaKemenkeu!$AY$6:$AY$1005="Direkomendasikan",ROW($6:$1005)-5),791)))=1),IFERROR(VLOOKUP(INDEX(checklistPesertaKemenkeu!$M$6:$M$1005,SMALL(IF(checklistPesertaKemenkeu!$AY$6:$AY$1005="Direkomendasikan",ROW($6:$1005)-5),791)),KotaKode,2,0),"-"),"")),"")</f>
        <v/>
      </c>
      <c r="J792" t="str">
        <f t="array" aca="1" ref="J792" ca="1">IFERROR(IF(OR(INDEX(checklistPesertaKemenkeu!$N$6:$N$1005,SMALL(IF(checklistPesertaKemenkeu!$AY$6:$AY$1005="Direkomendasikan",ROW($6:$1005)-5),791))="",INDEX(checklistPesertaKemenkeu!$J$6:$J$1005,SMALL(IF(checklistPesertaKemenkeu!$AY$6:$AY$1005="Direkomendasikan",ROW($6:$1005)-5),791))=""),"",IF(AND(COUNTIF(INDIRECT("K_"&amp;MATCH(INDEX(checklistPesertaKemenkeu!$J$6:$J$1005,SMALL(IF(checklistPesertaKemenkeu!$AY$6:$AY$1005="Direkomendasikan",ROW($6:$1005)-5),791)),BidangList,0)),INDEX(checklistPesertaKemenkeu!$N$6:$N$1005,SMALL(IF(checklistPesertaKemenkeu!$AY$6:$AY$1005="Direkomendasikan",ROW($6:$1005)-5),791)))&gt;0,COUNTIF(INDIRECT("'KERTAS KERJA'!K"&amp;(SMALL(IF(checklistPesertaKemenkeu!$AY$6:$AY$1005="Direkomendasikan",ROW($6:$1005)-5),791)+5)&amp;":O"&amp;(SMALL(IF(checklistPesertaKemenkeu!$AY$6:$AY$1005="Direkomendasikan",ROW($6:$1005)-5),791)+5)),INDEX(checklistPesertaKemenkeu!$N$6:$N$1005,SMALL(IF(checklistPesertaKemenkeu!$AY$6:$AY$1005="Direkomendasikan",ROW($6:$1005)-5),791)))=1),IFERROR(VLOOKUP(INDEX(checklistPesertaKemenkeu!$N$6:$N$1005,SMALL(IF(checklistPesertaKemenkeu!$AY$6:$AY$1005="Direkomendasikan",ROW($6:$1005)-5),791)),KotaKode,2,0),"-"),"")),"")</f>
        <v/>
      </c>
      <c r="K792" t="str">
        <f t="array" aca="1" ref="K792" ca="1">IFERROR(IF(OR(INDEX(checklistPesertaKemenkeu!$O$6:$O$1005,SMALL(IF(checklistPesertaKemenkeu!$AY$6:$AY$1005="Direkomendasikan",ROW($6:$1005)-5),791))="",INDEX(checklistPesertaKemenkeu!$J$6:$J$1005,SMALL(IF(checklistPesertaKemenkeu!$AY$6:$AY$1005="Direkomendasikan",ROW($6:$1005)-5),791))=""),"",IF(AND(COUNTIF(INDIRECT("K_"&amp;MATCH(INDEX(checklistPesertaKemenkeu!$J$6:$J$1005,SMALL(IF(checklistPesertaKemenkeu!$AY$6:$AY$1005="Direkomendasikan",ROW($6:$1005)-5),791)),BidangList,0)),INDEX(checklistPesertaKemenkeu!$O$6:$O$1005,SMALL(IF(checklistPesertaKemenkeu!$AY$6:$AY$1005="Direkomendasikan",ROW($6:$1005)-5),791)))&gt;0,COUNTIF(INDIRECT("'KERTAS KERJA'!K"&amp;(SMALL(IF(checklistPesertaKemenkeu!$AY$6:$AY$1005="Direkomendasikan",ROW($6:$1005)-5),791)+5)&amp;":O"&amp;(SMALL(IF(checklistPesertaKemenkeu!$AY$6:$AY$1005="Direkomendasikan",ROW($6:$1005)-5),791)+5)),INDEX(checklistPesertaKemenkeu!$O$6:$O$1005,SMALL(IF(checklistPesertaKemenkeu!$AY$6:$AY$1005="Direkomendasikan",ROW($6:$1005)-5),791)))=1),IFERROR(VLOOKUP(INDEX(checklistPesertaKemenkeu!$O$6:$O$1005,SMALL(IF(checklistPesertaKemenkeu!$AY$6:$AY$1005="Direkomendasikan",ROW($6:$1005)-5),791)),KotaKode,2,0),"-"),"")),"")</f>
        <v/>
      </c>
      <c r="L792" t="str">
        <f t="array" aca="1" ref="L792" ca="1">IFERROR(IF(OR(INDEX(checklistPesertaKemenkeu!$P$6:$P$1005,SMALL(IF(checklistPesertaKemenkeu!$AY$6:$AY$1005="Direkomendasikan",ROW($6:$1005)-5),791))="",INDEX(checklistPesertaKemenkeu!$J$6:$J$1005,SMALL(IF(checklistPesertaKemenkeu!$AY$6:$AY$1005="Direkomendasikan",ROW($6:$1005)-5),791))=""),"",IF(AND(COUNTIF(INDIRECT("K_"&amp;MATCH(INDEX(checklistPesertaKemenkeu!$J$6:$J$1005,SMALL(IF(checklistPesertaKemenkeu!$AY$6:$AY$1005="Direkomendasikan",ROW($6:$1005)-5),791)),BidangList,0)),INDEX(checklistPesertaKemenkeu!$P$6:$P$1005,SMALL(IF(checklistPesertaKemenkeu!$AY$6:$AY$1005="Direkomendasikan",ROW($6:$1005)-5),791)))&gt;0,COUNTIF(INDIRECT("'KERTAS KERJA'!K"&amp;(SMALL(IF(checklistPesertaKemenkeu!$AY$6:$AY$1005="Direkomendasikan",ROW($6:$1005)-5),791)+5)&amp;":O"&amp;(SMALL(IF(checklistPesertaKemenkeu!$AY$6:$AY$1005="Direkomendasikan",ROW($6:$1005)-5),791)+5)),INDEX(checklistPesertaKemenkeu!$P$6:$P$1005,SMALL(IF(checklistPesertaKemenkeu!$AY$6:$AY$1005="Direkomendasikan",ROW($6:$1005)-5),791)))=1),IFERROR(VLOOKUP(INDEX(checklistPesertaKemenkeu!$P$6:$P$1005,SMALL(IF(checklistPesertaKemenkeu!$AY$6:$AY$1005="Direkomendasikan",ROW($6:$1005)-5),791)),KotaKode,2,0),"-"),"")),"")</f>
        <v/>
      </c>
    </row>
    <row r="793" spans="1:12" ht="15" customHeight="1" x14ac:dyDescent="0.2">
      <c r="A793" t="str">
        <f t="shared" si="12"/>
        <v/>
      </c>
      <c r="B793" t="str">
        <v/>
      </c>
      <c r="C793" s="40" t="str">
        <f t="array" ref="C793">IFERROR(INDEX(checklistPesertaKemenkeu!$F$6:$F$1005,SMALL(IF(checklistPesertaKemenkeu!$AY$6:$AY$1005="Direkomendasikan",ROW($6:$1005)-5),792)),"")</f>
        <v/>
      </c>
      <c r="D793" t="str">
        <f t="array" ref="D793">IFERROR(INDEX(checklistPesertaKemenkeu!$G$6:$G$1005,SMALL(IF(checklistPesertaKemenkeu!$AY$6:$AY$1005="Direkomendasikan",ROW($6:$1005)-5),792)),"")</f>
        <v/>
      </c>
      <c r="E793" t="str">
        <f t="array" ref="E793">IFERROR(INDEX(checklistPesertaKemenkeu!$H$6:$H$1005,SMALL(IF(checklistPesertaKemenkeu!$AY$6:$AY$1005="Direkomendasikan",ROW($6:$1005)-5),792)),"")</f>
        <v/>
      </c>
      <c r="F793" t="str">
        <f t="array" ref="F793">IFERROR(INDEX(checklistPesertaKemenkeu!$I$6:$I$1005,SMALL(IF(checklistPesertaKemenkeu!$AY$6:$AY$1005="Direkomendasikan",ROW($6:$1005)-5),792)),"")</f>
        <v/>
      </c>
      <c r="G793" t="str">
        <f t="array" ref="G793">IFERROR(INDEX(checklistPesertaKemenkeu!$J$6:$J$1005,SMALL(IF(checklistPesertaKemenkeu!$AY$6:$AY$1005="Direkomendasikan",ROW($6:$1005)-5),792)),"")</f>
        <v/>
      </c>
      <c r="H793" t="str">
        <f t="array" aca="1" ref="H793" ca="1">IFERROR(IF(OR(INDEX(checklistPesertaKemenkeu!$L$6:$L$1005,SMALL(IF(checklistPesertaKemenkeu!$AY$6:$AY$1005="Direkomendasikan",ROW($6:$1005)-5),792))="",INDEX(checklistPesertaKemenkeu!$J$6:$J$1005,SMALL(IF(checklistPesertaKemenkeu!$AY$6:$AY$1005="Direkomendasikan",ROW($6:$1005)-5),792))=""),"",IF(AND(COUNTIF(INDIRECT("K_"&amp;MATCH(INDEX(checklistPesertaKemenkeu!$J$6:$J$1005,SMALL(IF(checklistPesertaKemenkeu!$AY$6:$AY$1005="Direkomendasikan",ROW($6:$1005)-5),792)),BidangList,0)),INDEX(checklistPesertaKemenkeu!$L$6:$L$1005,SMALL(IF(checklistPesertaKemenkeu!$AY$6:$AY$1005="Direkomendasikan",ROW($6:$1005)-5),792)))&gt;0,COUNTIF(INDIRECT("'KERTAS KERJA'!K"&amp;(SMALL(IF(checklistPesertaKemenkeu!$AY$6:$AY$1005="Direkomendasikan",ROW($6:$1005)-5),792)+5)&amp;":O"&amp;(SMALL(IF(checklistPesertaKemenkeu!$AY$6:$AY$1005="Direkomendasikan",ROW($6:$1005)-5),792)+5)),INDEX(checklistPesertaKemenkeu!$L$6:$L$1005,SMALL(IF(checklistPesertaKemenkeu!$AY$6:$AY$1005="Direkomendasikan",ROW($6:$1005)-5),792)))=1),IFERROR(VLOOKUP(INDEX(checklistPesertaKemenkeu!$L$6:$L$1005,SMALL(IF(checklistPesertaKemenkeu!$AY$6:$AY$1005="Direkomendasikan",ROW($6:$1005)-5),792)),KotaKode,2,0),"-"),"")),"")</f>
        <v/>
      </c>
      <c r="I793" t="str">
        <f t="array" aca="1" ref="I793" ca="1">IFERROR(IF(OR(INDEX(checklistPesertaKemenkeu!$M$6:$M$1005,SMALL(IF(checklistPesertaKemenkeu!$AY$6:$AY$1005="Direkomendasikan",ROW($6:$1005)-5),792))="",INDEX(checklistPesertaKemenkeu!$J$6:$J$1005,SMALL(IF(checklistPesertaKemenkeu!$AY$6:$AY$1005="Direkomendasikan",ROW($6:$1005)-5),792))=""),"",IF(AND(COUNTIF(INDIRECT("K_"&amp;MATCH(INDEX(checklistPesertaKemenkeu!$J$6:$J$1005,SMALL(IF(checklistPesertaKemenkeu!$AY$6:$AY$1005="Direkomendasikan",ROW($6:$1005)-5),792)),BidangList,0)),INDEX(checklistPesertaKemenkeu!$M$6:$M$1005,SMALL(IF(checklistPesertaKemenkeu!$AY$6:$AY$1005="Direkomendasikan",ROW($6:$1005)-5),792)))&gt;0,COUNTIF(INDIRECT("'KERTAS KERJA'!K"&amp;(SMALL(IF(checklistPesertaKemenkeu!$AY$6:$AY$1005="Direkomendasikan",ROW($6:$1005)-5),792)+5)&amp;":O"&amp;(SMALL(IF(checklistPesertaKemenkeu!$AY$6:$AY$1005="Direkomendasikan",ROW($6:$1005)-5),792)+5)),INDEX(checklistPesertaKemenkeu!$M$6:$M$1005,SMALL(IF(checklistPesertaKemenkeu!$AY$6:$AY$1005="Direkomendasikan",ROW($6:$1005)-5),792)))=1),IFERROR(VLOOKUP(INDEX(checklistPesertaKemenkeu!$M$6:$M$1005,SMALL(IF(checklistPesertaKemenkeu!$AY$6:$AY$1005="Direkomendasikan",ROW($6:$1005)-5),792)),KotaKode,2,0),"-"),"")),"")</f>
        <v/>
      </c>
      <c r="J793" t="str">
        <f t="array" aca="1" ref="J793" ca="1">IFERROR(IF(OR(INDEX(checklistPesertaKemenkeu!$N$6:$N$1005,SMALL(IF(checklistPesertaKemenkeu!$AY$6:$AY$1005="Direkomendasikan",ROW($6:$1005)-5),792))="",INDEX(checklistPesertaKemenkeu!$J$6:$J$1005,SMALL(IF(checklistPesertaKemenkeu!$AY$6:$AY$1005="Direkomendasikan",ROW($6:$1005)-5),792))=""),"",IF(AND(COUNTIF(INDIRECT("K_"&amp;MATCH(INDEX(checklistPesertaKemenkeu!$J$6:$J$1005,SMALL(IF(checklistPesertaKemenkeu!$AY$6:$AY$1005="Direkomendasikan",ROW($6:$1005)-5),792)),BidangList,0)),INDEX(checklistPesertaKemenkeu!$N$6:$N$1005,SMALL(IF(checklistPesertaKemenkeu!$AY$6:$AY$1005="Direkomendasikan",ROW($6:$1005)-5),792)))&gt;0,COUNTIF(INDIRECT("'KERTAS KERJA'!K"&amp;(SMALL(IF(checklistPesertaKemenkeu!$AY$6:$AY$1005="Direkomendasikan",ROW($6:$1005)-5),792)+5)&amp;":O"&amp;(SMALL(IF(checklistPesertaKemenkeu!$AY$6:$AY$1005="Direkomendasikan",ROW($6:$1005)-5),792)+5)),INDEX(checklistPesertaKemenkeu!$N$6:$N$1005,SMALL(IF(checklistPesertaKemenkeu!$AY$6:$AY$1005="Direkomendasikan",ROW($6:$1005)-5),792)))=1),IFERROR(VLOOKUP(INDEX(checklistPesertaKemenkeu!$N$6:$N$1005,SMALL(IF(checklistPesertaKemenkeu!$AY$6:$AY$1005="Direkomendasikan",ROW($6:$1005)-5),792)),KotaKode,2,0),"-"),"")),"")</f>
        <v/>
      </c>
      <c r="K793" t="str">
        <f t="array" aca="1" ref="K793" ca="1">IFERROR(IF(OR(INDEX(checklistPesertaKemenkeu!$O$6:$O$1005,SMALL(IF(checklistPesertaKemenkeu!$AY$6:$AY$1005="Direkomendasikan",ROW($6:$1005)-5),792))="",INDEX(checklistPesertaKemenkeu!$J$6:$J$1005,SMALL(IF(checklistPesertaKemenkeu!$AY$6:$AY$1005="Direkomendasikan",ROW($6:$1005)-5),792))=""),"",IF(AND(COUNTIF(INDIRECT("K_"&amp;MATCH(INDEX(checklistPesertaKemenkeu!$J$6:$J$1005,SMALL(IF(checklistPesertaKemenkeu!$AY$6:$AY$1005="Direkomendasikan",ROW($6:$1005)-5),792)),BidangList,0)),INDEX(checklistPesertaKemenkeu!$O$6:$O$1005,SMALL(IF(checklistPesertaKemenkeu!$AY$6:$AY$1005="Direkomendasikan",ROW($6:$1005)-5),792)))&gt;0,COUNTIF(INDIRECT("'KERTAS KERJA'!K"&amp;(SMALL(IF(checklistPesertaKemenkeu!$AY$6:$AY$1005="Direkomendasikan",ROW($6:$1005)-5),792)+5)&amp;":O"&amp;(SMALL(IF(checklistPesertaKemenkeu!$AY$6:$AY$1005="Direkomendasikan",ROW($6:$1005)-5),792)+5)),INDEX(checklistPesertaKemenkeu!$O$6:$O$1005,SMALL(IF(checklistPesertaKemenkeu!$AY$6:$AY$1005="Direkomendasikan",ROW($6:$1005)-5),792)))=1),IFERROR(VLOOKUP(INDEX(checklistPesertaKemenkeu!$O$6:$O$1005,SMALL(IF(checklistPesertaKemenkeu!$AY$6:$AY$1005="Direkomendasikan",ROW($6:$1005)-5),792)),KotaKode,2,0),"-"),"")),"")</f>
        <v/>
      </c>
      <c r="L793" t="str">
        <f t="array" aca="1" ref="L793" ca="1">IFERROR(IF(OR(INDEX(checklistPesertaKemenkeu!$P$6:$P$1005,SMALL(IF(checklistPesertaKemenkeu!$AY$6:$AY$1005="Direkomendasikan",ROW($6:$1005)-5),792))="",INDEX(checklistPesertaKemenkeu!$J$6:$J$1005,SMALL(IF(checklistPesertaKemenkeu!$AY$6:$AY$1005="Direkomendasikan",ROW($6:$1005)-5),792))=""),"",IF(AND(COUNTIF(INDIRECT("K_"&amp;MATCH(INDEX(checklistPesertaKemenkeu!$J$6:$J$1005,SMALL(IF(checklistPesertaKemenkeu!$AY$6:$AY$1005="Direkomendasikan",ROW($6:$1005)-5),792)),BidangList,0)),INDEX(checklistPesertaKemenkeu!$P$6:$P$1005,SMALL(IF(checklistPesertaKemenkeu!$AY$6:$AY$1005="Direkomendasikan",ROW($6:$1005)-5),792)))&gt;0,COUNTIF(INDIRECT("'KERTAS KERJA'!K"&amp;(SMALL(IF(checklistPesertaKemenkeu!$AY$6:$AY$1005="Direkomendasikan",ROW($6:$1005)-5),792)+5)&amp;":O"&amp;(SMALL(IF(checklistPesertaKemenkeu!$AY$6:$AY$1005="Direkomendasikan",ROW($6:$1005)-5),792)+5)),INDEX(checklistPesertaKemenkeu!$P$6:$P$1005,SMALL(IF(checklistPesertaKemenkeu!$AY$6:$AY$1005="Direkomendasikan",ROW($6:$1005)-5),792)))=1),IFERROR(VLOOKUP(INDEX(checklistPesertaKemenkeu!$P$6:$P$1005,SMALL(IF(checklistPesertaKemenkeu!$AY$6:$AY$1005="Direkomendasikan",ROW($6:$1005)-5),792)),KotaKode,2,0),"-"),"")),"")</f>
        <v/>
      </c>
    </row>
    <row r="794" spans="1:12" ht="15" customHeight="1" x14ac:dyDescent="0.2">
      <c r="A794" t="str">
        <f t="shared" si="12"/>
        <v/>
      </c>
      <c r="B794" t="str">
        <v/>
      </c>
      <c r="C794" s="40" t="str">
        <f t="array" ref="C794">IFERROR(INDEX(checklistPesertaKemenkeu!$F$6:$F$1005,SMALL(IF(checklistPesertaKemenkeu!$AY$6:$AY$1005="Direkomendasikan",ROW($6:$1005)-5),793)),"")</f>
        <v/>
      </c>
      <c r="D794" t="str">
        <f t="array" ref="D794">IFERROR(INDEX(checklistPesertaKemenkeu!$G$6:$G$1005,SMALL(IF(checklistPesertaKemenkeu!$AY$6:$AY$1005="Direkomendasikan",ROW($6:$1005)-5),793)),"")</f>
        <v/>
      </c>
      <c r="E794" t="str">
        <f t="array" ref="E794">IFERROR(INDEX(checklistPesertaKemenkeu!$H$6:$H$1005,SMALL(IF(checklistPesertaKemenkeu!$AY$6:$AY$1005="Direkomendasikan",ROW($6:$1005)-5),793)),"")</f>
        <v/>
      </c>
      <c r="F794" t="str">
        <f t="array" ref="F794">IFERROR(INDEX(checklistPesertaKemenkeu!$I$6:$I$1005,SMALL(IF(checklistPesertaKemenkeu!$AY$6:$AY$1005="Direkomendasikan",ROW($6:$1005)-5),793)),"")</f>
        <v/>
      </c>
      <c r="G794" t="str">
        <f t="array" ref="G794">IFERROR(INDEX(checklistPesertaKemenkeu!$J$6:$J$1005,SMALL(IF(checklistPesertaKemenkeu!$AY$6:$AY$1005="Direkomendasikan",ROW($6:$1005)-5),793)),"")</f>
        <v/>
      </c>
      <c r="H794" t="str">
        <f t="array" aca="1" ref="H794" ca="1">IFERROR(IF(OR(INDEX(checklistPesertaKemenkeu!$L$6:$L$1005,SMALL(IF(checklistPesertaKemenkeu!$AY$6:$AY$1005="Direkomendasikan",ROW($6:$1005)-5),793))="",INDEX(checklistPesertaKemenkeu!$J$6:$J$1005,SMALL(IF(checklistPesertaKemenkeu!$AY$6:$AY$1005="Direkomendasikan",ROW($6:$1005)-5),793))=""),"",IF(AND(COUNTIF(INDIRECT("K_"&amp;MATCH(INDEX(checklistPesertaKemenkeu!$J$6:$J$1005,SMALL(IF(checklistPesertaKemenkeu!$AY$6:$AY$1005="Direkomendasikan",ROW($6:$1005)-5),793)),BidangList,0)),INDEX(checklistPesertaKemenkeu!$L$6:$L$1005,SMALL(IF(checklistPesertaKemenkeu!$AY$6:$AY$1005="Direkomendasikan",ROW($6:$1005)-5),793)))&gt;0,COUNTIF(INDIRECT("'KERTAS KERJA'!K"&amp;(SMALL(IF(checklistPesertaKemenkeu!$AY$6:$AY$1005="Direkomendasikan",ROW($6:$1005)-5),793)+5)&amp;":O"&amp;(SMALL(IF(checklistPesertaKemenkeu!$AY$6:$AY$1005="Direkomendasikan",ROW($6:$1005)-5),793)+5)),INDEX(checklistPesertaKemenkeu!$L$6:$L$1005,SMALL(IF(checklistPesertaKemenkeu!$AY$6:$AY$1005="Direkomendasikan",ROW($6:$1005)-5),793)))=1),IFERROR(VLOOKUP(INDEX(checklistPesertaKemenkeu!$L$6:$L$1005,SMALL(IF(checklistPesertaKemenkeu!$AY$6:$AY$1005="Direkomendasikan",ROW($6:$1005)-5),793)),KotaKode,2,0),"-"),"")),"")</f>
        <v/>
      </c>
      <c r="I794" t="str">
        <f t="array" aca="1" ref="I794" ca="1">IFERROR(IF(OR(INDEX(checklistPesertaKemenkeu!$M$6:$M$1005,SMALL(IF(checklistPesertaKemenkeu!$AY$6:$AY$1005="Direkomendasikan",ROW($6:$1005)-5),793))="",INDEX(checklistPesertaKemenkeu!$J$6:$J$1005,SMALL(IF(checklistPesertaKemenkeu!$AY$6:$AY$1005="Direkomendasikan",ROW($6:$1005)-5),793))=""),"",IF(AND(COUNTIF(INDIRECT("K_"&amp;MATCH(INDEX(checklistPesertaKemenkeu!$J$6:$J$1005,SMALL(IF(checklistPesertaKemenkeu!$AY$6:$AY$1005="Direkomendasikan",ROW($6:$1005)-5),793)),BidangList,0)),INDEX(checklistPesertaKemenkeu!$M$6:$M$1005,SMALL(IF(checklistPesertaKemenkeu!$AY$6:$AY$1005="Direkomendasikan",ROW($6:$1005)-5),793)))&gt;0,COUNTIF(INDIRECT("'KERTAS KERJA'!K"&amp;(SMALL(IF(checklistPesertaKemenkeu!$AY$6:$AY$1005="Direkomendasikan",ROW($6:$1005)-5),793)+5)&amp;":O"&amp;(SMALL(IF(checklistPesertaKemenkeu!$AY$6:$AY$1005="Direkomendasikan",ROW($6:$1005)-5),793)+5)),INDEX(checklistPesertaKemenkeu!$M$6:$M$1005,SMALL(IF(checklistPesertaKemenkeu!$AY$6:$AY$1005="Direkomendasikan",ROW($6:$1005)-5),793)))=1),IFERROR(VLOOKUP(INDEX(checklistPesertaKemenkeu!$M$6:$M$1005,SMALL(IF(checklistPesertaKemenkeu!$AY$6:$AY$1005="Direkomendasikan",ROW($6:$1005)-5),793)),KotaKode,2,0),"-"),"")),"")</f>
        <v/>
      </c>
      <c r="J794" t="str">
        <f t="array" aca="1" ref="J794" ca="1">IFERROR(IF(OR(INDEX(checklistPesertaKemenkeu!$N$6:$N$1005,SMALL(IF(checklistPesertaKemenkeu!$AY$6:$AY$1005="Direkomendasikan",ROW($6:$1005)-5),793))="",INDEX(checklistPesertaKemenkeu!$J$6:$J$1005,SMALL(IF(checklistPesertaKemenkeu!$AY$6:$AY$1005="Direkomendasikan",ROW($6:$1005)-5),793))=""),"",IF(AND(COUNTIF(INDIRECT("K_"&amp;MATCH(INDEX(checklistPesertaKemenkeu!$J$6:$J$1005,SMALL(IF(checklistPesertaKemenkeu!$AY$6:$AY$1005="Direkomendasikan",ROW($6:$1005)-5),793)),BidangList,0)),INDEX(checklistPesertaKemenkeu!$N$6:$N$1005,SMALL(IF(checklistPesertaKemenkeu!$AY$6:$AY$1005="Direkomendasikan",ROW($6:$1005)-5),793)))&gt;0,COUNTIF(INDIRECT("'KERTAS KERJA'!K"&amp;(SMALL(IF(checklistPesertaKemenkeu!$AY$6:$AY$1005="Direkomendasikan",ROW($6:$1005)-5),793)+5)&amp;":O"&amp;(SMALL(IF(checklistPesertaKemenkeu!$AY$6:$AY$1005="Direkomendasikan",ROW($6:$1005)-5),793)+5)),INDEX(checklistPesertaKemenkeu!$N$6:$N$1005,SMALL(IF(checklistPesertaKemenkeu!$AY$6:$AY$1005="Direkomendasikan",ROW($6:$1005)-5),793)))=1),IFERROR(VLOOKUP(INDEX(checklistPesertaKemenkeu!$N$6:$N$1005,SMALL(IF(checklistPesertaKemenkeu!$AY$6:$AY$1005="Direkomendasikan",ROW($6:$1005)-5),793)),KotaKode,2,0),"-"),"")),"")</f>
        <v/>
      </c>
      <c r="K794" t="str">
        <f t="array" aca="1" ref="K794" ca="1">IFERROR(IF(OR(INDEX(checklistPesertaKemenkeu!$O$6:$O$1005,SMALL(IF(checklistPesertaKemenkeu!$AY$6:$AY$1005="Direkomendasikan",ROW($6:$1005)-5),793))="",INDEX(checklistPesertaKemenkeu!$J$6:$J$1005,SMALL(IF(checklistPesertaKemenkeu!$AY$6:$AY$1005="Direkomendasikan",ROW($6:$1005)-5),793))=""),"",IF(AND(COUNTIF(INDIRECT("K_"&amp;MATCH(INDEX(checklistPesertaKemenkeu!$J$6:$J$1005,SMALL(IF(checklistPesertaKemenkeu!$AY$6:$AY$1005="Direkomendasikan",ROW($6:$1005)-5),793)),BidangList,0)),INDEX(checklistPesertaKemenkeu!$O$6:$O$1005,SMALL(IF(checklistPesertaKemenkeu!$AY$6:$AY$1005="Direkomendasikan",ROW($6:$1005)-5),793)))&gt;0,COUNTIF(INDIRECT("'KERTAS KERJA'!K"&amp;(SMALL(IF(checklistPesertaKemenkeu!$AY$6:$AY$1005="Direkomendasikan",ROW($6:$1005)-5),793)+5)&amp;":O"&amp;(SMALL(IF(checklistPesertaKemenkeu!$AY$6:$AY$1005="Direkomendasikan",ROW($6:$1005)-5),793)+5)),INDEX(checklistPesertaKemenkeu!$O$6:$O$1005,SMALL(IF(checklistPesertaKemenkeu!$AY$6:$AY$1005="Direkomendasikan",ROW($6:$1005)-5),793)))=1),IFERROR(VLOOKUP(INDEX(checklistPesertaKemenkeu!$O$6:$O$1005,SMALL(IF(checklistPesertaKemenkeu!$AY$6:$AY$1005="Direkomendasikan",ROW($6:$1005)-5),793)),KotaKode,2,0),"-"),"")),"")</f>
        <v/>
      </c>
      <c r="L794" t="str">
        <f t="array" aca="1" ref="L794" ca="1">IFERROR(IF(OR(INDEX(checklistPesertaKemenkeu!$P$6:$P$1005,SMALL(IF(checklistPesertaKemenkeu!$AY$6:$AY$1005="Direkomendasikan",ROW($6:$1005)-5),793))="",INDEX(checklistPesertaKemenkeu!$J$6:$J$1005,SMALL(IF(checklistPesertaKemenkeu!$AY$6:$AY$1005="Direkomendasikan",ROW($6:$1005)-5),793))=""),"",IF(AND(COUNTIF(INDIRECT("K_"&amp;MATCH(INDEX(checklistPesertaKemenkeu!$J$6:$J$1005,SMALL(IF(checklistPesertaKemenkeu!$AY$6:$AY$1005="Direkomendasikan",ROW($6:$1005)-5),793)),BidangList,0)),INDEX(checklistPesertaKemenkeu!$P$6:$P$1005,SMALL(IF(checklistPesertaKemenkeu!$AY$6:$AY$1005="Direkomendasikan",ROW($6:$1005)-5),793)))&gt;0,COUNTIF(INDIRECT("'KERTAS KERJA'!K"&amp;(SMALL(IF(checklistPesertaKemenkeu!$AY$6:$AY$1005="Direkomendasikan",ROW($6:$1005)-5),793)+5)&amp;":O"&amp;(SMALL(IF(checklistPesertaKemenkeu!$AY$6:$AY$1005="Direkomendasikan",ROW($6:$1005)-5),793)+5)),INDEX(checklistPesertaKemenkeu!$P$6:$P$1005,SMALL(IF(checklistPesertaKemenkeu!$AY$6:$AY$1005="Direkomendasikan",ROW($6:$1005)-5),793)))=1),IFERROR(VLOOKUP(INDEX(checklistPesertaKemenkeu!$P$6:$P$1005,SMALL(IF(checklistPesertaKemenkeu!$AY$6:$AY$1005="Direkomendasikan",ROW($6:$1005)-5),793)),KotaKode,2,0),"-"),"")),"")</f>
        <v/>
      </c>
    </row>
    <row r="795" spans="1:12" ht="15" customHeight="1" x14ac:dyDescent="0.2">
      <c r="A795" t="str">
        <f t="shared" si="12"/>
        <v/>
      </c>
      <c r="B795" t="str">
        <v/>
      </c>
      <c r="C795" s="40" t="str">
        <f t="array" ref="C795">IFERROR(INDEX(checklistPesertaKemenkeu!$F$6:$F$1005,SMALL(IF(checklistPesertaKemenkeu!$AY$6:$AY$1005="Direkomendasikan",ROW($6:$1005)-5),794)),"")</f>
        <v/>
      </c>
      <c r="D795" t="str">
        <f t="array" ref="D795">IFERROR(INDEX(checklistPesertaKemenkeu!$G$6:$G$1005,SMALL(IF(checklistPesertaKemenkeu!$AY$6:$AY$1005="Direkomendasikan",ROW($6:$1005)-5),794)),"")</f>
        <v/>
      </c>
      <c r="E795" t="str">
        <f t="array" ref="E795">IFERROR(INDEX(checklistPesertaKemenkeu!$H$6:$H$1005,SMALL(IF(checklistPesertaKemenkeu!$AY$6:$AY$1005="Direkomendasikan",ROW($6:$1005)-5),794)),"")</f>
        <v/>
      </c>
      <c r="F795" t="str">
        <f t="array" ref="F795">IFERROR(INDEX(checklistPesertaKemenkeu!$I$6:$I$1005,SMALL(IF(checklistPesertaKemenkeu!$AY$6:$AY$1005="Direkomendasikan",ROW($6:$1005)-5),794)),"")</f>
        <v/>
      </c>
      <c r="G795" t="str">
        <f t="array" ref="G795">IFERROR(INDEX(checklistPesertaKemenkeu!$J$6:$J$1005,SMALL(IF(checklistPesertaKemenkeu!$AY$6:$AY$1005="Direkomendasikan",ROW($6:$1005)-5),794)),"")</f>
        <v/>
      </c>
      <c r="H795" t="str">
        <f t="array" aca="1" ref="H795" ca="1">IFERROR(IF(OR(INDEX(checklistPesertaKemenkeu!$L$6:$L$1005,SMALL(IF(checklistPesertaKemenkeu!$AY$6:$AY$1005="Direkomendasikan",ROW($6:$1005)-5),794))="",INDEX(checklistPesertaKemenkeu!$J$6:$J$1005,SMALL(IF(checklistPesertaKemenkeu!$AY$6:$AY$1005="Direkomendasikan",ROW($6:$1005)-5),794))=""),"",IF(AND(COUNTIF(INDIRECT("K_"&amp;MATCH(INDEX(checklistPesertaKemenkeu!$J$6:$J$1005,SMALL(IF(checklistPesertaKemenkeu!$AY$6:$AY$1005="Direkomendasikan",ROW($6:$1005)-5),794)),BidangList,0)),INDEX(checklistPesertaKemenkeu!$L$6:$L$1005,SMALL(IF(checklistPesertaKemenkeu!$AY$6:$AY$1005="Direkomendasikan",ROW($6:$1005)-5),794)))&gt;0,COUNTIF(INDIRECT("'KERTAS KERJA'!K"&amp;(SMALL(IF(checklistPesertaKemenkeu!$AY$6:$AY$1005="Direkomendasikan",ROW($6:$1005)-5),794)+5)&amp;":O"&amp;(SMALL(IF(checklistPesertaKemenkeu!$AY$6:$AY$1005="Direkomendasikan",ROW($6:$1005)-5),794)+5)),INDEX(checklistPesertaKemenkeu!$L$6:$L$1005,SMALL(IF(checklistPesertaKemenkeu!$AY$6:$AY$1005="Direkomendasikan",ROW($6:$1005)-5),794)))=1),IFERROR(VLOOKUP(INDEX(checklistPesertaKemenkeu!$L$6:$L$1005,SMALL(IF(checklistPesertaKemenkeu!$AY$6:$AY$1005="Direkomendasikan",ROW($6:$1005)-5),794)),KotaKode,2,0),"-"),"")),"")</f>
        <v/>
      </c>
      <c r="I795" t="str">
        <f t="array" aca="1" ref="I795" ca="1">IFERROR(IF(OR(INDEX(checklistPesertaKemenkeu!$M$6:$M$1005,SMALL(IF(checklistPesertaKemenkeu!$AY$6:$AY$1005="Direkomendasikan",ROW($6:$1005)-5),794))="",INDEX(checklistPesertaKemenkeu!$J$6:$J$1005,SMALL(IF(checklistPesertaKemenkeu!$AY$6:$AY$1005="Direkomendasikan",ROW($6:$1005)-5),794))=""),"",IF(AND(COUNTIF(INDIRECT("K_"&amp;MATCH(INDEX(checklistPesertaKemenkeu!$J$6:$J$1005,SMALL(IF(checklistPesertaKemenkeu!$AY$6:$AY$1005="Direkomendasikan",ROW($6:$1005)-5),794)),BidangList,0)),INDEX(checklistPesertaKemenkeu!$M$6:$M$1005,SMALL(IF(checklistPesertaKemenkeu!$AY$6:$AY$1005="Direkomendasikan",ROW($6:$1005)-5),794)))&gt;0,COUNTIF(INDIRECT("'KERTAS KERJA'!K"&amp;(SMALL(IF(checklistPesertaKemenkeu!$AY$6:$AY$1005="Direkomendasikan",ROW($6:$1005)-5),794)+5)&amp;":O"&amp;(SMALL(IF(checklistPesertaKemenkeu!$AY$6:$AY$1005="Direkomendasikan",ROW($6:$1005)-5),794)+5)),INDEX(checklistPesertaKemenkeu!$M$6:$M$1005,SMALL(IF(checklistPesertaKemenkeu!$AY$6:$AY$1005="Direkomendasikan",ROW($6:$1005)-5),794)))=1),IFERROR(VLOOKUP(INDEX(checklistPesertaKemenkeu!$M$6:$M$1005,SMALL(IF(checklistPesertaKemenkeu!$AY$6:$AY$1005="Direkomendasikan",ROW($6:$1005)-5),794)),KotaKode,2,0),"-"),"")),"")</f>
        <v/>
      </c>
      <c r="J795" t="str">
        <f t="array" aca="1" ref="J795" ca="1">IFERROR(IF(OR(INDEX(checklistPesertaKemenkeu!$N$6:$N$1005,SMALL(IF(checklistPesertaKemenkeu!$AY$6:$AY$1005="Direkomendasikan",ROW($6:$1005)-5),794))="",INDEX(checklistPesertaKemenkeu!$J$6:$J$1005,SMALL(IF(checklistPesertaKemenkeu!$AY$6:$AY$1005="Direkomendasikan",ROW($6:$1005)-5),794))=""),"",IF(AND(COUNTIF(INDIRECT("K_"&amp;MATCH(INDEX(checklistPesertaKemenkeu!$J$6:$J$1005,SMALL(IF(checklistPesertaKemenkeu!$AY$6:$AY$1005="Direkomendasikan",ROW($6:$1005)-5),794)),BidangList,0)),INDEX(checklistPesertaKemenkeu!$N$6:$N$1005,SMALL(IF(checklistPesertaKemenkeu!$AY$6:$AY$1005="Direkomendasikan",ROW($6:$1005)-5),794)))&gt;0,COUNTIF(INDIRECT("'KERTAS KERJA'!K"&amp;(SMALL(IF(checklistPesertaKemenkeu!$AY$6:$AY$1005="Direkomendasikan",ROW($6:$1005)-5),794)+5)&amp;":O"&amp;(SMALL(IF(checklistPesertaKemenkeu!$AY$6:$AY$1005="Direkomendasikan",ROW($6:$1005)-5),794)+5)),INDEX(checklistPesertaKemenkeu!$N$6:$N$1005,SMALL(IF(checklistPesertaKemenkeu!$AY$6:$AY$1005="Direkomendasikan",ROW($6:$1005)-5),794)))=1),IFERROR(VLOOKUP(INDEX(checklistPesertaKemenkeu!$N$6:$N$1005,SMALL(IF(checklistPesertaKemenkeu!$AY$6:$AY$1005="Direkomendasikan",ROW($6:$1005)-5),794)),KotaKode,2,0),"-"),"")),"")</f>
        <v/>
      </c>
      <c r="K795" t="str">
        <f t="array" aca="1" ref="K795" ca="1">IFERROR(IF(OR(INDEX(checklistPesertaKemenkeu!$O$6:$O$1005,SMALL(IF(checklistPesertaKemenkeu!$AY$6:$AY$1005="Direkomendasikan",ROW($6:$1005)-5),794))="",INDEX(checklistPesertaKemenkeu!$J$6:$J$1005,SMALL(IF(checklistPesertaKemenkeu!$AY$6:$AY$1005="Direkomendasikan",ROW($6:$1005)-5),794))=""),"",IF(AND(COUNTIF(INDIRECT("K_"&amp;MATCH(INDEX(checklistPesertaKemenkeu!$J$6:$J$1005,SMALL(IF(checklistPesertaKemenkeu!$AY$6:$AY$1005="Direkomendasikan",ROW($6:$1005)-5),794)),BidangList,0)),INDEX(checklistPesertaKemenkeu!$O$6:$O$1005,SMALL(IF(checklistPesertaKemenkeu!$AY$6:$AY$1005="Direkomendasikan",ROW($6:$1005)-5),794)))&gt;0,COUNTIF(INDIRECT("'KERTAS KERJA'!K"&amp;(SMALL(IF(checklistPesertaKemenkeu!$AY$6:$AY$1005="Direkomendasikan",ROW($6:$1005)-5),794)+5)&amp;":O"&amp;(SMALL(IF(checklistPesertaKemenkeu!$AY$6:$AY$1005="Direkomendasikan",ROW($6:$1005)-5),794)+5)),INDEX(checklistPesertaKemenkeu!$O$6:$O$1005,SMALL(IF(checklistPesertaKemenkeu!$AY$6:$AY$1005="Direkomendasikan",ROW($6:$1005)-5),794)))=1),IFERROR(VLOOKUP(INDEX(checklistPesertaKemenkeu!$O$6:$O$1005,SMALL(IF(checklistPesertaKemenkeu!$AY$6:$AY$1005="Direkomendasikan",ROW($6:$1005)-5),794)),KotaKode,2,0),"-"),"")),"")</f>
        <v/>
      </c>
      <c r="L795" t="str">
        <f t="array" aca="1" ref="L795" ca="1">IFERROR(IF(OR(INDEX(checklistPesertaKemenkeu!$P$6:$P$1005,SMALL(IF(checklistPesertaKemenkeu!$AY$6:$AY$1005="Direkomendasikan",ROW($6:$1005)-5),794))="",INDEX(checklistPesertaKemenkeu!$J$6:$J$1005,SMALL(IF(checklistPesertaKemenkeu!$AY$6:$AY$1005="Direkomendasikan",ROW($6:$1005)-5),794))=""),"",IF(AND(COUNTIF(INDIRECT("K_"&amp;MATCH(INDEX(checklistPesertaKemenkeu!$J$6:$J$1005,SMALL(IF(checklistPesertaKemenkeu!$AY$6:$AY$1005="Direkomendasikan",ROW($6:$1005)-5),794)),BidangList,0)),INDEX(checklistPesertaKemenkeu!$P$6:$P$1005,SMALL(IF(checklistPesertaKemenkeu!$AY$6:$AY$1005="Direkomendasikan",ROW($6:$1005)-5),794)))&gt;0,COUNTIF(INDIRECT("'KERTAS KERJA'!K"&amp;(SMALL(IF(checklistPesertaKemenkeu!$AY$6:$AY$1005="Direkomendasikan",ROW($6:$1005)-5),794)+5)&amp;":O"&amp;(SMALL(IF(checklistPesertaKemenkeu!$AY$6:$AY$1005="Direkomendasikan",ROW($6:$1005)-5),794)+5)),INDEX(checklistPesertaKemenkeu!$P$6:$P$1005,SMALL(IF(checklistPesertaKemenkeu!$AY$6:$AY$1005="Direkomendasikan",ROW($6:$1005)-5),794)))=1),IFERROR(VLOOKUP(INDEX(checklistPesertaKemenkeu!$P$6:$P$1005,SMALL(IF(checklistPesertaKemenkeu!$AY$6:$AY$1005="Direkomendasikan",ROW($6:$1005)-5),794)),KotaKode,2,0),"-"),"")),"")</f>
        <v/>
      </c>
    </row>
    <row r="796" spans="1:12" ht="15" customHeight="1" x14ac:dyDescent="0.2">
      <c r="A796" t="str">
        <f t="shared" si="12"/>
        <v/>
      </c>
      <c r="B796" t="str">
        <v/>
      </c>
      <c r="C796" s="40" t="str">
        <f t="array" ref="C796">IFERROR(INDEX(checklistPesertaKemenkeu!$F$6:$F$1005,SMALL(IF(checklistPesertaKemenkeu!$AY$6:$AY$1005="Direkomendasikan",ROW($6:$1005)-5),795)),"")</f>
        <v/>
      </c>
      <c r="D796" t="str">
        <f t="array" ref="D796">IFERROR(INDEX(checklistPesertaKemenkeu!$G$6:$G$1005,SMALL(IF(checklistPesertaKemenkeu!$AY$6:$AY$1005="Direkomendasikan",ROW($6:$1005)-5),795)),"")</f>
        <v/>
      </c>
      <c r="E796" t="str">
        <f t="array" ref="E796">IFERROR(INDEX(checklistPesertaKemenkeu!$H$6:$H$1005,SMALL(IF(checklistPesertaKemenkeu!$AY$6:$AY$1005="Direkomendasikan",ROW($6:$1005)-5),795)),"")</f>
        <v/>
      </c>
      <c r="F796" t="str">
        <f t="array" ref="F796">IFERROR(INDEX(checklistPesertaKemenkeu!$I$6:$I$1005,SMALL(IF(checklistPesertaKemenkeu!$AY$6:$AY$1005="Direkomendasikan",ROW($6:$1005)-5),795)),"")</f>
        <v/>
      </c>
      <c r="G796" t="str">
        <f t="array" ref="G796">IFERROR(INDEX(checklistPesertaKemenkeu!$J$6:$J$1005,SMALL(IF(checklistPesertaKemenkeu!$AY$6:$AY$1005="Direkomendasikan",ROW($6:$1005)-5),795)),"")</f>
        <v/>
      </c>
      <c r="H796" t="str">
        <f t="array" aca="1" ref="H796" ca="1">IFERROR(IF(OR(INDEX(checklistPesertaKemenkeu!$L$6:$L$1005,SMALL(IF(checklistPesertaKemenkeu!$AY$6:$AY$1005="Direkomendasikan",ROW($6:$1005)-5),795))="",INDEX(checklistPesertaKemenkeu!$J$6:$J$1005,SMALL(IF(checklistPesertaKemenkeu!$AY$6:$AY$1005="Direkomendasikan",ROW($6:$1005)-5),795))=""),"",IF(AND(COUNTIF(INDIRECT("K_"&amp;MATCH(INDEX(checklistPesertaKemenkeu!$J$6:$J$1005,SMALL(IF(checklistPesertaKemenkeu!$AY$6:$AY$1005="Direkomendasikan",ROW($6:$1005)-5),795)),BidangList,0)),INDEX(checklistPesertaKemenkeu!$L$6:$L$1005,SMALL(IF(checklistPesertaKemenkeu!$AY$6:$AY$1005="Direkomendasikan",ROW($6:$1005)-5),795)))&gt;0,COUNTIF(INDIRECT("'KERTAS KERJA'!K"&amp;(SMALL(IF(checklistPesertaKemenkeu!$AY$6:$AY$1005="Direkomendasikan",ROW($6:$1005)-5),795)+5)&amp;":O"&amp;(SMALL(IF(checklistPesertaKemenkeu!$AY$6:$AY$1005="Direkomendasikan",ROW($6:$1005)-5),795)+5)),INDEX(checklistPesertaKemenkeu!$L$6:$L$1005,SMALL(IF(checklistPesertaKemenkeu!$AY$6:$AY$1005="Direkomendasikan",ROW($6:$1005)-5),795)))=1),IFERROR(VLOOKUP(INDEX(checklistPesertaKemenkeu!$L$6:$L$1005,SMALL(IF(checklistPesertaKemenkeu!$AY$6:$AY$1005="Direkomendasikan",ROW($6:$1005)-5),795)),KotaKode,2,0),"-"),"")),"")</f>
        <v/>
      </c>
      <c r="I796" t="str">
        <f t="array" aca="1" ref="I796" ca="1">IFERROR(IF(OR(INDEX(checklistPesertaKemenkeu!$M$6:$M$1005,SMALL(IF(checklistPesertaKemenkeu!$AY$6:$AY$1005="Direkomendasikan",ROW($6:$1005)-5),795))="",INDEX(checklistPesertaKemenkeu!$J$6:$J$1005,SMALL(IF(checklistPesertaKemenkeu!$AY$6:$AY$1005="Direkomendasikan",ROW($6:$1005)-5),795))=""),"",IF(AND(COUNTIF(INDIRECT("K_"&amp;MATCH(INDEX(checklistPesertaKemenkeu!$J$6:$J$1005,SMALL(IF(checklistPesertaKemenkeu!$AY$6:$AY$1005="Direkomendasikan",ROW($6:$1005)-5),795)),BidangList,0)),INDEX(checklistPesertaKemenkeu!$M$6:$M$1005,SMALL(IF(checklistPesertaKemenkeu!$AY$6:$AY$1005="Direkomendasikan",ROW($6:$1005)-5),795)))&gt;0,COUNTIF(INDIRECT("'KERTAS KERJA'!K"&amp;(SMALL(IF(checklistPesertaKemenkeu!$AY$6:$AY$1005="Direkomendasikan",ROW($6:$1005)-5),795)+5)&amp;":O"&amp;(SMALL(IF(checklistPesertaKemenkeu!$AY$6:$AY$1005="Direkomendasikan",ROW($6:$1005)-5),795)+5)),INDEX(checklistPesertaKemenkeu!$M$6:$M$1005,SMALL(IF(checklistPesertaKemenkeu!$AY$6:$AY$1005="Direkomendasikan",ROW($6:$1005)-5),795)))=1),IFERROR(VLOOKUP(INDEX(checklistPesertaKemenkeu!$M$6:$M$1005,SMALL(IF(checklistPesertaKemenkeu!$AY$6:$AY$1005="Direkomendasikan",ROW($6:$1005)-5),795)),KotaKode,2,0),"-"),"")),"")</f>
        <v/>
      </c>
      <c r="J796" t="str">
        <f t="array" aca="1" ref="J796" ca="1">IFERROR(IF(OR(INDEX(checklistPesertaKemenkeu!$N$6:$N$1005,SMALL(IF(checklistPesertaKemenkeu!$AY$6:$AY$1005="Direkomendasikan",ROW($6:$1005)-5),795))="",INDEX(checklistPesertaKemenkeu!$J$6:$J$1005,SMALL(IF(checklistPesertaKemenkeu!$AY$6:$AY$1005="Direkomendasikan",ROW($6:$1005)-5),795))=""),"",IF(AND(COUNTIF(INDIRECT("K_"&amp;MATCH(INDEX(checklistPesertaKemenkeu!$J$6:$J$1005,SMALL(IF(checklistPesertaKemenkeu!$AY$6:$AY$1005="Direkomendasikan",ROW($6:$1005)-5),795)),BidangList,0)),INDEX(checklistPesertaKemenkeu!$N$6:$N$1005,SMALL(IF(checklistPesertaKemenkeu!$AY$6:$AY$1005="Direkomendasikan",ROW($6:$1005)-5),795)))&gt;0,COUNTIF(INDIRECT("'KERTAS KERJA'!K"&amp;(SMALL(IF(checklistPesertaKemenkeu!$AY$6:$AY$1005="Direkomendasikan",ROW($6:$1005)-5),795)+5)&amp;":O"&amp;(SMALL(IF(checklistPesertaKemenkeu!$AY$6:$AY$1005="Direkomendasikan",ROW($6:$1005)-5),795)+5)),INDEX(checklistPesertaKemenkeu!$N$6:$N$1005,SMALL(IF(checklistPesertaKemenkeu!$AY$6:$AY$1005="Direkomendasikan",ROW($6:$1005)-5),795)))=1),IFERROR(VLOOKUP(INDEX(checklistPesertaKemenkeu!$N$6:$N$1005,SMALL(IF(checklistPesertaKemenkeu!$AY$6:$AY$1005="Direkomendasikan",ROW($6:$1005)-5),795)),KotaKode,2,0),"-"),"")),"")</f>
        <v/>
      </c>
      <c r="K796" t="str">
        <f t="array" aca="1" ref="K796" ca="1">IFERROR(IF(OR(INDEX(checklistPesertaKemenkeu!$O$6:$O$1005,SMALL(IF(checklistPesertaKemenkeu!$AY$6:$AY$1005="Direkomendasikan",ROW($6:$1005)-5),795))="",INDEX(checklistPesertaKemenkeu!$J$6:$J$1005,SMALL(IF(checklistPesertaKemenkeu!$AY$6:$AY$1005="Direkomendasikan",ROW($6:$1005)-5),795))=""),"",IF(AND(COUNTIF(INDIRECT("K_"&amp;MATCH(INDEX(checklistPesertaKemenkeu!$J$6:$J$1005,SMALL(IF(checklistPesertaKemenkeu!$AY$6:$AY$1005="Direkomendasikan",ROW($6:$1005)-5),795)),BidangList,0)),INDEX(checklistPesertaKemenkeu!$O$6:$O$1005,SMALL(IF(checklistPesertaKemenkeu!$AY$6:$AY$1005="Direkomendasikan",ROW($6:$1005)-5),795)))&gt;0,COUNTIF(INDIRECT("'KERTAS KERJA'!K"&amp;(SMALL(IF(checklistPesertaKemenkeu!$AY$6:$AY$1005="Direkomendasikan",ROW($6:$1005)-5),795)+5)&amp;":O"&amp;(SMALL(IF(checklistPesertaKemenkeu!$AY$6:$AY$1005="Direkomendasikan",ROW($6:$1005)-5),795)+5)),INDEX(checklistPesertaKemenkeu!$O$6:$O$1005,SMALL(IF(checklistPesertaKemenkeu!$AY$6:$AY$1005="Direkomendasikan",ROW($6:$1005)-5),795)))=1),IFERROR(VLOOKUP(INDEX(checklistPesertaKemenkeu!$O$6:$O$1005,SMALL(IF(checklistPesertaKemenkeu!$AY$6:$AY$1005="Direkomendasikan",ROW($6:$1005)-5),795)),KotaKode,2,0),"-"),"")),"")</f>
        <v/>
      </c>
      <c r="L796" t="str">
        <f t="array" aca="1" ref="L796" ca="1">IFERROR(IF(OR(INDEX(checklistPesertaKemenkeu!$P$6:$P$1005,SMALL(IF(checklistPesertaKemenkeu!$AY$6:$AY$1005="Direkomendasikan",ROW($6:$1005)-5),795))="",INDEX(checklistPesertaKemenkeu!$J$6:$J$1005,SMALL(IF(checklistPesertaKemenkeu!$AY$6:$AY$1005="Direkomendasikan",ROW($6:$1005)-5),795))=""),"",IF(AND(COUNTIF(INDIRECT("K_"&amp;MATCH(INDEX(checklistPesertaKemenkeu!$J$6:$J$1005,SMALL(IF(checklistPesertaKemenkeu!$AY$6:$AY$1005="Direkomendasikan",ROW($6:$1005)-5),795)),BidangList,0)),INDEX(checklistPesertaKemenkeu!$P$6:$P$1005,SMALL(IF(checklistPesertaKemenkeu!$AY$6:$AY$1005="Direkomendasikan",ROW($6:$1005)-5),795)))&gt;0,COUNTIF(INDIRECT("'KERTAS KERJA'!K"&amp;(SMALL(IF(checklistPesertaKemenkeu!$AY$6:$AY$1005="Direkomendasikan",ROW($6:$1005)-5),795)+5)&amp;":O"&amp;(SMALL(IF(checklistPesertaKemenkeu!$AY$6:$AY$1005="Direkomendasikan",ROW($6:$1005)-5),795)+5)),INDEX(checklistPesertaKemenkeu!$P$6:$P$1005,SMALL(IF(checklistPesertaKemenkeu!$AY$6:$AY$1005="Direkomendasikan",ROW($6:$1005)-5),795)))=1),IFERROR(VLOOKUP(INDEX(checklistPesertaKemenkeu!$P$6:$P$1005,SMALL(IF(checklistPesertaKemenkeu!$AY$6:$AY$1005="Direkomendasikan",ROW($6:$1005)-5),795)),KotaKode,2,0),"-"),"")),"")</f>
        <v/>
      </c>
    </row>
    <row r="797" spans="1:12" ht="15" customHeight="1" x14ac:dyDescent="0.2">
      <c r="A797" t="str">
        <f t="shared" si="12"/>
        <v/>
      </c>
      <c r="B797" t="str">
        <v/>
      </c>
      <c r="C797" s="40" t="str">
        <f t="array" ref="C797">IFERROR(INDEX(checklistPesertaKemenkeu!$F$6:$F$1005,SMALL(IF(checklistPesertaKemenkeu!$AY$6:$AY$1005="Direkomendasikan",ROW($6:$1005)-5),796)),"")</f>
        <v/>
      </c>
      <c r="D797" t="str">
        <f t="array" ref="D797">IFERROR(INDEX(checklistPesertaKemenkeu!$G$6:$G$1005,SMALL(IF(checklistPesertaKemenkeu!$AY$6:$AY$1005="Direkomendasikan",ROW($6:$1005)-5),796)),"")</f>
        <v/>
      </c>
      <c r="E797" t="str">
        <f t="array" ref="E797">IFERROR(INDEX(checklistPesertaKemenkeu!$H$6:$H$1005,SMALL(IF(checklistPesertaKemenkeu!$AY$6:$AY$1005="Direkomendasikan",ROW($6:$1005)-5),796)),"")</f>
        <v/>
      </c>
      <c r="F797" t="str">
        <f t="array" ref="F797">IFERROR(INDEX(checklistPesertaKemenkeu!$I$6:$I$1005,SMALL(IF(checklistPesertaKemenkeu!$AY$6:$AY$1005="Direkomendasikan",ROW($6:$1005)-5),796)),"")</f>
        <v/>
      </c>
      <c r="G797" t="str">
        <f t="array" ref="G797">IFERROR(INDEX(checklistPesertaKemenkeu!$J$6:$J$1005,SMALL(IF(checklistPesertaKemenkeu!$AY$6:$AY$1005="Direkomendasikan",ROW($6:$1005)-5),796)),"")</f>
        <v/>
      </c>
      <c r="H797" t="str">
        <f t="array" aca="1" ref="H797" ca="1">IFERROR(IF(OR(INDEX(checklistPesertaKemenkeu!$L$6:$L$1005,SMALL(IF(checklistPesertaKemenkeu!$AY$6:$AY$1005="Direkomendasikan",ROW($6:$1005)-5),796))="",INDEX(checklistPesertaKemenkeu!$J$6:$J$1005,SMALL(IF(checklistPesertaKemenkeu!$AY$6:$AY$1005="Direkomendasikan",ROW($6:$1005)-5),796))=""),"",IF(AND(COUNTIF(INDIRECT("K_"&amp;MATCH(INDEX(checklistPesertaKemenkeu!$J$6:$J$1005,SMALL(IF(checklistPesertaKemenkeu!$AY$6:$AY$1005="Direkomendasikan",ROW($6:$1005)-5),796)),BidangList,0)),INDEX(checklistPesertaKemenkeu!$L$6:$L$1005,SMALL(IF(checklistPesertaKemenkeu!$AY$6:$AY$1005="Direkomendasikan",ROW($6:$1005)-5),796)))&gt;0,COUNTIF(INDIRECT("'KERTAS KERJA'!K"&amp;(SMALL(IF(checklistPesertaKemenkeu!$AY$6:$AY$1005="Direkomendasikan",ROW($6:$1005)-5),796)+5)&amp;":O"&amp;(SMALL(IF(checklistPesertaKemenkeu!$AY$6:$AY$1005="Direkomendasikan",ROW($6:$1005)-5),796)+5)),INDEX(checklistPesertaKemenkeu!$L$6:$L$1005,SMALL(IF(checklistPesertaKemenkeu!$AY$6:$AY$1005="Direkomendasikan",ROW($6:$1005)-5),796)))=1),IFERROR(VLOOKUP(INDEX(checklistPesertaKemenkeu!$L$6:$L$1005,SMALL(IF(checklistPesertaKemenkeu!$AY$6:$AY$1005="Direkomendasikan",ROW($6:$1005)-5),796)),KotaKode,2,0),"-"),"")),"")</f>
        <v/>
      </c>
      <c r="I797" t="str">
        <f t="array" aca="1" ref="I797" ca="1">IFERROR(IF(OR(INDEX(checklistPesertaKemenkeu!$M$6:$M$1005,SMALL(IF(checklistPesertaKemenkeu!$AY$6:$AY$1005="Direkomendasikan",ROW($6:$1005)-5),796))="",INDEX(checklistPesertaKemenkeu!$J$6:$J$1005,SMALL(IF(checklistPesertaKemenkeu!$AY$6:$AY$1005="Direkomendasikan",ROW($6:$1005)-5),796))=""),"",IF(AND(COUNTIF(INDIRECT("K_"&amp;MATCH(INDEX(checklistPesertaKemenkeu!$J$6:$J$1005,SMALL(IF(checklistPesertaKemenkeu!$AY$6:$AY$1005="Direkomendasikan",ROW($6:$1005)-5),796)),BidangList,0)),INDEX(checklistPesertaKemenkeu!$M$6:$M$1005,SMALL(IF(checklistPesertaKemenkeu!$AY$6:$AY$1005="Direkomendasikan",ROW($6:$1005)-5),796)))&gt;0,COUNTIF(INDIRECT("'KERTAS KERJA'!K"&amp;(SMALL(IF(checklistPesertaKemenkeu!$AY$6:$AY$1005="Direkomendasikan",ROW($6:$1005)-5),796)+5)&amp;":O"&amp;(SMALL(IF(checklistPesertaKemenkeu!$AY$6:$AY$1005="Direkomendasikan",ROW($6:$1005)-5),796)+5)),INDEX(checklistPesertaKemenkeu!$M$6:$M$1005,SMALL(IF(checklistPesertaKemenkeu!$AY$6:$AY$1005="Direkomendasikan",ROW($6:$1005)-5),796)))=1),IFERROR(VLOOKUP(INDEX(checklistPesertaKemenkeu!$M$6:$M$1005,SMALL(IF(checklistPesertaKemenkeu!$AY$6:$AY$1005="Direkomendasikan",ROW($6:$1005)-5),796)),KotaKode,2,0),"-"),"")),"")</f>
        <v/>
      </c>
      <c r="J797" t="str">
        <f t="array" aca="1" ref="J797" ca="1">IFERROR(IF(OR(INDEX(checklistPesertaKemenkeu!$N$6:$N$1005,SMALL(IF(checklistPesertaKemenkeu!$AY$6:$AY$1005="Direkomendasikan",ROW($6:$1005)-5),796))="",INDEX(checklistPesertaKemenkeu!$J$6:$J$1005,SMALL(IF(checklistPesertaKemenkeu!$AY$6:$AY$1005="Direkomendasikan",ROW($6:$1005)-5),796))=""),"",IF(AND(COUNTIF(INDIRECT("K_"&amp;MATCH(INDEX(checklistPesertaKemenkeu!$J$6:$J$1005,SMALL(IF(checklistPesertaKemenkeu!$AY$6:$AY$1005="Direkomendasikan",ROW($6:$1005)-5),796)),BidangList,0)),INDEX(checklistPesertaKemenkeu!$N$6:$N$1005,SMALL(IF(checklistPesertaKemenkeu!$AY$6:$AY$1005="Direkomendasikan",ROW($6:$1005)-5),796)))&gt;0,COUNTIF(INDIRECT("'KERTAS KERJA'!K"&amp;(SMALL(IF(checklistPesertaKemenkeu!$AY$6:$AY$1005="Direkomendasikan",ROW($6:$1005)-5),796)+5)&amp;":O"&amp;(SMALL(IF(checklistPesertaKemenkeu!$AY$6:$AY$1005="Direkomendasikan",ROW($6:$1005)-5),796)+5)),INDEX(checklistPesertaKemenkeu!$N$6:$N$1005,SMALL(IF(checklistPesertaKemenkeu!$AY$6:$AY$1005="Direkomendasikan",ROW($6:$1005)-5),796)))=1),IFERROR(VLOOKUP(INDEX(checklistPesertaKemenkeu!$N$6:$N$1005,SMALL(IF(checklistPesertaKemenkeu!$AY$6:$AY$1005="Direkomendasikan",ROW($6:$1005)-5),796)),KotaKode,2,0),"-"),"")),"")</f>
        <v/>
      </c>
      <c r="K797" t="str">
        <f t="array" aca="1" ref="K797" ca="1">IFERROR(IF(OR(INDEX(checklistPesertaKemenkeu!$O$6:$O$1005,SMALL(IF(checklistPesertaKemenkeu!$AY$6:$AY$1005="Direkomendasikan",ROW($6:$1005)-5),796))="",INDEX(checklistPesertaKemenkeu!$J$6:$J$1005,SMALL(IF(checklistPesertaKemenkeu!$AY$6:$AY$1005="Direkomendasikan",ROW($6:$1005)-5),796))=""),"",IF(AND(COUNTIF(INDIRECT("K_"&amp;MATCH(INDEX(checklistPesertaKemenkeu!$J$6:$J$1005,SMALL(IF(checklistPesertaKemenkeu!$AY$6:$AY$1005="Direkomendasikan",ROW($6:$1005)-5),796)),BidangList,0)),INDEX(checklistPesertaKemenkeu!$O$6:$O$1005,SMALL(IF(checklistPesertaKemenkeu!$AY$6:$AY$1005="Direkomendasikan",ROW($6:$1005)-5),796)))&gt;0,COUNTIF(INDIRECT("'KERTAS KERJA'!K"&amp;(SMALL(IF(checklistPesertaKemenkeu!$AY$6:$AY$1005="Direkomendasikan",ROW($6:$1005)-5),796)+5)&amp;":O"&amp;(SMALL(IF(checklistPesertaKemenkeu!$AY$6:$AY$1005="Direkomendasikan",ROW($6:$1005)-5),796)+5)),INDEX(checklistPesertaKemenkeu!$O$6:$O$1005,SMALL(IF(checklistPesertaKemenkeu!$AY$6:$AY$1005="Direkomendasikan",ROW($6:$1005)-5),796)))=1),IFERROR(VLOOKUP(INDEX(checklistPesertaKemenkeu!$O$6:$O$1005,SMALL(IF(checklistPesertaKemenkeu!$AY$6:$AY$1005="Direkomendasikan",ROW($6:$1005)-5),796)),KotaKode,2,0),"-"),"")),"")</f>
        <v/>
      </c>
      <c r="L797" t="str">
        <f t="array" aca="1" ref="L797" ca="1">IFERROR(IF(OR(INDEX(checklistPesertaKemenkeu!$P$6:$P$1005,SMALL(IF(checklistPesertaKemenkeu!$AY$6:$AY$1005="Direkomendasikan",ROW($6:$1005)-5),796))="",INDEX(checklistPesertaKemenkeu!$J$6:$J$1005,SMALL(IF(checklistPesertaKemenkeu!$AY$6:$AY$1005="Direkomendasikan",ROW($6:$1005)-5),796))=""),"",IF(AND(COUNTIF(INDIRECT("K_"&amp;MATCH(INDEX(checklistPesertaKemenkeu!$J$6:$J$1005,SMALL(IF(checklistPesertaKemenkeu!$AY$6:$AY$1005="Direkomendasikan",ROW($6:$1005)-5),796)),BidangList,0)),INDEX(checklistPesertaKemenkeu!$P$6:$P$1005,SMALL(IF(checklistPesertaKemenkeu!$AY$6:$AY$1005="Direkomendasikan",ROW($6:$1005)-5),796)))&gt;0,COUNTIF(INDIRECT("'KERTAS KERJA'!K"&amp;(SMALL(IF(checklistPesertaKemenkeu!$AY$6:$AY$1005="Direkomendasikan",ROW($6:$1005)-5),796)+5)&amp;":O"&amp;(SMALL(IF(checklistPesertaKemenkeu!$AY$6:$AY$1005="Direkomendasikan",ROW($6:$1005)-5),796)+5)),INDEX(checklistPesertaKemenkeu!$P$6:$P$1005,SMALL(IF(checklistPesertaKemenkeu!$AY$6:$AY$1005="Direkomendasikan",ROW($6:$1005)-5),796)))=1),IFERROR(VLOOKUP(INDEX(checklistPesertaKemenkeu!$P$6:$P$1005,SMALL(IF(checklistPesertaKemenkeu!$AY$6:$AY$1005="Direkomendasikan",ROW($6:$1005)-5),796)),KotaKode,2,0),"-"),"")),"")</f>
        <v/>
      </c>
    </row>
    <row r="798" spans="1:12" ht="15" customHeight="1" x14ac:dyDescent="0.2">
      <c r="A798" t="str">
        <f t="shared" si="12"/>
        <v/>
      </c>
      <c r="B798" t="str">
        <v/>
      </c>
      <c r="C798" s="40" t="str">
        <f t="array" ref="C798">IFERROR(INDEX(checklistPesertaKemenkeu!$F$6:$F$1005,SMALL(IF(checklistPesertaKemenkeu!$AY$6:$AY$1005="Direkomendasikan",ROW($6:$1005)-5),797)),"")</f>
        <v/>
      </c>
      <c r="D798" t="str">
        <f t="array" ref="D798">IFERROR(INDEX(checklistPesertaKemenkeu!$G$6:$G$1005,SMALL(IF(checklistPesertaKemenkeu!$AY$6:$AY$1005="Direkomendasikan",ROW($6:$1005)-5),797)),"")</f>
        <v/>
      </c>
      <c r="E798" t="str">
        <f t="array" ref="E798">IFERROR(INDEX(checklistPesertaKemenkeu!$H$6:$H$1005,SMALL(IF(checklistPesertaKemenkeu!$AY$6:$AY$1005="Direkomendasikan",ROW($6:$1005)-5),797)),"")</f>
        <v/>
      </c>
      <c r="F798" t="str">
        <f t="array" ref="F798">IFERROR(INDEX(checklistPesertaKemenkeu!$I$6:$I$1005,SMALL(IF(checklistPesertaKemenkeu!$AY$6:$AY$1005="Direkomendasikan",ROW($6:$1005)-5),797)),"")</f>
        <v/>
      </c>
      <c r="G798" t="str">
        <f t="array" ref="G798">IFERROR(INDEX(checklistPesertaKemenkeu!$J$6:$J$1005,SMALL(IF(checklistPesertaKemenkeu!$AY$6:$AY$1005="Direkomendasikan",ROW($6:$1005)-5),797)),"")</f>
        <v/>
      </c>
      <c r="H798" t="str">
        <f t="array" aca="1" ref="H798" ca="1">IFERROR(IF(OR(INDEX(checklistPesertaKemenkeu!$L$6:$L$1005,SMALL(IF(checklistPesertaKemenkeu!$AY$6:$AY$1005="Direkomendasikan",ROW($6:$1005)-5),797))="",INDEX(checklistPesertaKemenkeu!$J$6:$J$1005,SMALL(IF(checklistPesertaKemenkeu!$AY$6:$AY$1005="Direkomendasikan",ROW($6:$1005)-5),797))=""),"",IF(AND(COUNTIF(INDIRECT("K_"&amp;MATCH(INDEX(checklistPesertaKemenkeu!$J$6:$J$1005,SMALL(IF(checklistPesertaKemenkeu!$AY$6:$AY$1005="Direkomendasikan",ROW($6:$1005)-5),797)),BidangList,0)),INDEX(checklistPesertaKemenkeu!$L$6:$L$1005,SMALL(IF(checklistPesertaKemenkeu!$AY$6:$AY$1005="Direkomendasikan",ROW($6:$1005)-5),797)))&gt;0,COUNTIF(INDIRECT("'KERTAS KERJA'!K"&amp;(SMALL(IF(checklistPesertaKemenkeu!$AY$6:$AY$1005="Direkomendasikan",ROW($6:$1005)-5),797)+5)&amp;":O"&amp;(SMALL(IF(checklistPesertaKemenkeu!$AY$6:$AY$1005="Direkomendasikan",ROW($6:$1005)-5),797)+5)),INDEX(checklistPesertaKemenkeu!$L$6:$L$1005,SMALL(IF(checklistPesertaKemenkeu!$AY$6:$AY$1005="Direkomendasikan",ROW($6:$1005)-5),797)))=1),IFERROR(VLOOKUP(INDEX(checklistPesertaKemenkeu!$L$6:$L$1005,SMALL(IF(checklistPesertaKemenkeu!$AY$6:$AY$1005="Direkomendasikan",ROW($6:$1005)-5),797)),KotaKode,2,0),"-"),"")),"")</f>
        <v/>
      </c>
      <c r="I798" t="str">
        <f t="array" aca="1" ref="I798" ca="1">IFERROR(IF(OR(INDEX(checklistPesertaKemenkeu!$M$6:$M$1005,SMALL(IF(checklistPesertaKemenkeu!$AY$6:$AY$1005="Direkomendasikan",ROW($6:$1005)-5),797))="",INDEX(checklistPesertaKemenkeu!$J$6:$J$1005,SMALL(IF(checklistPesertaKemenkeu!$AY$6:$AY$1005="Direkomendasikan",ROW($6:$1005)-5),797))=""),"",IF(AND(COUNTIF(INDIRECT("K_"&amp;MATCH(INDEX(checklistPesertaKemenkeu!$J$6:$J$1005,SMALL(IF(checklistPesertaKemenkeu!$AY$6:$AY$1005="Direkomendasikan",ROW($6:$1005)-5),797)),BidangList,0)),INDEX(checklistPesertaKemenkeu!$M$6:$M$1005,SMALL(IF(checklistPesertaKemenkeu!$AY$6:$AY$1005="Direkomendasikan",ROW($6:$1005)-5),797)))&gt;0,COUNTIF(INDIRECT("'KERTAS KERJA'!K"&amp;(SMALL(IF(checklistPesertaKemenkeu!$AY$6:$AY$1005="Direkomendasikan",ROW($6:$1005)-5),797)+5)&amp;":O"&amp;(SMALL(IF(checklistPesertaKemenkeu!$AY$6:$AY$1005="Direkomendasikan",ROW($6:$1005)-5),797)+5)),INDEX(checklistPesertaKemenkeu!$M$6:$M$1005,SMALL(IF(checklistPesertaKemenkeu!$AY$6:$AY$1005="Direkomendasikan",ROW($6:$1005)-5),797)))=1),IFERROR(VLOOKUP(INDEX(checklistPesertaKemenkeu!$M$6:$M$1005,SMALL(IF(checklistPesertaKemenkeu!$AY$6:$AY$1005="Direkomendasikan",ROW($6:$1005)-5),797)),KotaKode,2,0),"-"),"")),"")</f>
        <v/>
      </c>
      <c r="J798" t="str">
        <f t="array" aca="1" ref="J798" ca="1">IFERROR(IF(OR(INDEX(checklistPesertaKemenkeu!$N$6:$N$1005,SMALL(IF(checklistPesertaKemenkeu!$AY$6:$AY$1005="Direkomendasikan",ROW($6:$1005)-5),797))="",INDEX(checklistPesertaKemenkeu!$J$6:$J$1005,SMALL(IF(checklistPesertaKemenkeu!$AY$6:$AY$1005="Direkomendasikan",ROW($6:$1005)-5),797))=""),"",IF(AND(COUNTIF(INDIRECT("K_"&amp;MATCH(INDEX(checklistPesertaKemenkeu!$J$6:$J$1005,SMALL(IF(checklistPesertaKemenkeu!$AY$6:$AY$1005="Direkomendasikan",ROW($6:$1005)-5),797)),BidangList,0)),INDEX(checklistPesertaKemenkeu!$N$6:$N$1005,SMALL(IF(checklistPesertaKemenkeu!$AY$6:$AY$1005="Direkomendasikan",ROW($6:$1005)-5),797)))&gt;0,COUNTIF(INDIRECT("'KERTAS KERJA'!K"&amp;(SMALL(IF(checklistPesertaKemenkeu!$AY$6:$AY$1005="Direkomendasikan",ROW($6:$1005)-5),797)+5)&amp;":O"&amp;(SMALL(IF(checklistPesertaKemenkeu!$AY$6:$AY$1005="Direkomendasikan",ROW($6:$1005)-5),797)+5)),INDEX(checklistPesertaKemenkeu!$N$6:$N$1005,SMALL(IF(checklistPesertaKemenkeu!$AY$6:$AY$1005="Direkomendasikan",ROW($6:$1005)-5),797)))=1),IFERROR(VLOOKUP(INDEX(checklistPesertaKemenkeu!$N$6:$N$1005,SMALL(IF(checklistPesertaKemenkeu!$AY$6:$AY$1005="Direkomendasikan",ROW($6:$1005)-5),797)),KotaKode,2,0),"-"),"")),"")</f>
        <v/>
      </c>
      <c r="K798" t="str">
        <f t="array" aca="1" ref="K798" ca="1">IFERROR(IF(OR(INDEX(checklistPesertaKemenkeu!$O$6:$O$1005,SMALL(IF(checklistPesertaKemenkeu!$AY$6:$AY$1005="Direkomendasikan",ROW($6:$1005)-5),797))="",INDEX(checklistPesertaKemenkeu!$J$6:$J$1005,SMALL(IF(checklistPesertaKemenkeu!$AY$6:$AY$1005="Direkomendasikan",ROW($6:$1005)-5),797))=""),"",IF(AND(COUNTIF(INDIRECT("K_"&amp;MATCH(INDEX(checklistPesertaKemenkeu!$J$6:$J$1005,SMALL(IF(checklistPesertaKemenkeu!$AY$6:$AY$1005="Direkomendasikan",ROW($6:$1005)-5),797)),BidangList,0)),INDEX(checklistPesertaKemenkeu!$O$6:$O$1005,SMALL(IF(checklistPesertaKemenkeu!$AY$6:$AY$1005="Direkomendasikan",ROW($6:$1005)-5),797)))&gt;0,COUNTIF(INDIRECT("'KERTAS KERJA'!K"&amp;(SMALL(IF(checklistPesertaKemenkeu!$AY$6:$AY$1005="Direkomendasikan",ROW($6:$1005)-5),797)+5)&amp;":O"&amp;(SMALL(IF(checklistPesertaKemenkeu!$AY$6:$AY$1005="Direkomendasikan",ROW($6:$1005)-5),797)+5)),INDEX(checklistPesertaKemenkeu!$O$6:$O$1005,SMALL(IF(checklistPesertaKemenkeu!$AY$6:$AY$1005="Direkomendasikan",ROW($6:$1005)-5),797)))=1),IFERROR(VLOOKUP(INDEX(checklistPesertaKemenkeu!$O$6:$O$1005,SMALL(IF(checklistPesertaKemenkeu!$AY$6:$AY$1005="Direkomendasikan",ROW($6:$1005)-5),797)),KotaKode,2,0),"-"),"")),"")</f>
        <v/>
      </c>
      <c r="L798" t="str">
        <f t="array" aca="1" ref="L798" ca="1">IFERROR(IF(OR(INDEX(checklistPesertaKemenkeu!$P$6:$P$1005,SMALL(IF(checklistPesertaKemenkeu!$AY$6:$AY$1005="Direkomendasikan",ROW($6:$1005)-5),797))="",INDEX(checklistPesertaKemenkeu!$J$6:$J$1005,SMALL(IF(checklistPesertaKemenkeu!$AY$6:$AY$1005="Direkomendasikan",ROW($6:$1005)-5),797))=""),"",IF(AND(COUNTIF(INDIRECT("K_"&amp;MATCH(INDEX(checklistPesertaKemenkeu!$J$6:$J$1005,SMALL(IF(checklistPesertaKemenkeu!$AY$6:$AY$1005="Direkomendasikan",ROW($6:$1005)-5),797)),BidangList,0)),INDEX(checklistPesertaKemenkeu!$P$6:$P$1005,SMALL(IF(checklistPesertaKemenkeu!$AY$6:$AY$1005="Direkomendasikan",ROW($6:$1005)-5),797)))&gt;0,COUNTIF(INDIRECT("'KERTAS KERJA'!K"&amp;(SMALL(IF(checklistPesertaKemenkeu!$AY$6:$AY$1005="Direkomendasikan",ROW($6:$1005)-5),797)+5)&amp;":O"&amp;(SMALL(IF(checklistPesertaKemenkeu!$AY$6:$AY$1005="Direkomendasikan",ROW($6:$1005)-5),797)+5)),INDEX(checklistPesertaKemenkeu!$P$6:$P$1005,SMALL(IF(checklistPesertaKemenkeu!$AY$6:$AY$1005="Direkomendasikan",ROW($6:$1005)-5),797)))=1),IFERROR(VLOOKUP(INDEX(checklistPesertaKemenkeu!$P$6:$P$1005,SMALL(IF(checklistPesertaKemenkeu!$AY$6:$AY$1005="Direkomendasikan",ROW($6:$1005)-5),797)),KotaKode,2,0),"-"),"")),"")</f>
        <v/>
      </c>
    </row>
    <row r="799" spans="1:12" ht="15" customHeight="1" x14ac:dyDescent="0.2">
      <c r="A799" t="str">
        <f t="shared" si="12"/>
        <v/>
      </c>
      <c r="B799" t="str">
        <v/>
      </c>
      <c r="C799" s="40" t="str">
        <f t="array" ref="C799">IFERROR(INDEX(checklistPesertaKemenkeu!$F$6:$F$1005,SMALL(IF(checklistPesertaKemenkeu!$AY$6:$AY$1005="Direkomendasikan",ROW($6:$1005)-5),798)),"")</f>
        <v/>
      </c>
      <c r="D799" t="str">
        <f t="array" ref="D799">IFERROR(INDEX(checklistPesertaKemenkeu!$G$6:$G$1005,SMALL(IF(checklistPesertaKemenkeu!$AY$6:$AY$1005="Direkomendasikan",ROW($6:$1005)-5),798)),"")</f>
        <v/>
      </c>
      <c r="E799" t="str">
        <f t="array" ref="E799">IFERROR(INDEX(checklistPesertaKemenkeu!$H$6:$H$1005,SMALL(IF(checklistPesertaKemenkeu!$AY$6:$AY$1005="Direkomendasikan",ROW($6:$1005)-5),798)),"")</f>
        <v/>
      </c>
      <c r="F799" t="str">
        <f t="array" ref="F799">IFERROR(INDEX(checklistPesertaKemenkeu!$I$6:$I$1005,SMALL(IF(checklistPesertaKemenkeu!$AY$6:$AY$1005="Direkomendasikan",ROW($6:$1005)-5),798)),"")</f>
        <v/>
      </c>
      <c r="G799" t="str">
        <f t="array" ref="G799">IFERROR(INDEX(checklistPesertaKemenkeu!$J$6:$J$1005,SMALL(IF(checklistPesertaKemenkeu!$AY$6:$AY$1005="Direkomendasikan",ROW($6:$1005)-5),798)),"")</f>
        <v/>
      </c>
      <c r="H799" t="str">
        <f t="array" aca="1" ref="H799" ca="1">IFERROR(IF(OR(INDEX(checklistPesertaKemenkeu!$L$6:$L$1005,SMALL(IF(checklistPesertaKemenkeu!$AY$6:$AY$1005="Direkomendasikan",ROW($6:$1005)-5),798))="",INDEX(checklistPesertaKemenkeu!$J$6:$J$1005,SMALL(IF(checklistPesertaKemenkeu!$AY$6:$AY$1005="Direkomendasikan",ROW($6:$1005)-5),798))=""),"",IF(AND(COUNTIF(INDIRECT("K_"&amp;MATCH(INDEX(checklistPesertaKemenkeu!$J$6:$J$1005,SMALL(IF(checklistPesertaKemenkeu!$AY$6:$AY$1005="Direkomendasikan",ROW($6:$1005)-5),798)),BidangList,0)),INDEX(checklistPesertaKemenkeu!$L$6:$L$1005,SMALL(IF(checklistPesertaKemenkeu!$AY$6:$AY$1005="Direkomendasikan",ROW($6:$1005)-5),798)))&gt;0,COUNTIF(INDIRECT("'KERTAS KERJA'!K"&amp;(SMALL(IF(checklistPesertaKemenkeu!$AY$6:$AY$1005="Direkomendasikan",ROW($6:$1005)-5),798)+5)&amp;":O"&amp;(SMALL(IF(checklistPesertaKemenkeu!$AY$6:$AY$1005="Direkomendasikan",ROW($6:$1005)-5),798)+5)),INDEX(checklistPesertaKemenkeu!$L$6:$L$1005,SMALL(IF(checklistPesertaKemenkeu!$AY$6:$AY$1005="Direkomendasikan",ROW($6:$1005)-5),798)))=1),IFERROR(VLOOKUP(INDEX(checklistPesertaKemenkeu!$L$6:$L$1005,SMALL(IF(checklistPesertaKemenkeu!$AY$6:$AY$1005="Direkomendasikan",ROW($6:$1005)-5),798)),KotaKode,2,0),"-"),"")),"")</f>
        <v/>
      </c>
      <c r="I799" t="str">
        <f t="array" aca="1" ref="I799" ca="1">IFERROR(IF(OR(INDEX(checklistPesertaKemenkeu!$M$6:$M$1005,SMALL(IF(checklistPesertaKemenkeu!$AY$6:$AY$1005="Direkomendasikan",ROW($6:$1005)-5),798))="",INDEX(checklistPesertaKemenkeu!$J$6:$J$1005,SMALL(IF(checklistPesertaKemenkeu!$AY$6:$AY$1005="Direkomendasikan",ROW($6:$1005)-5),798))=""),"",IF(AND(COUNTIF(INDIRECT("K_"&amp;MATCH(INDEX(checklistPesertaKemenkeu!$J$6:$J$1005,SMALL(IF(checklistPesertaKemenkeu!$AY$6:$AY$1005="Direkomendasikan",ROW($6:$1005)-5),798)),BidangList,0)),INDEX(checklistPesertaKemenkeu!$M$6:$M$1005,SMALL(IF(checklistPesertaKemenkeu!$AY$6:$AY$1005="Direkomendasikan",ROW($6:$1005)-5),798)))&gt;0,COUNTIF(INDIRECT("'KERTAS KERJA'!K"&amp;(SMALL(IF(checklistPesertaKemenkeu!$AY$6:$AY$1005="Direkomendasikan",ROW($6:$1005)-5),798)+5)&amp;":O"&amp;(SMALL(IF(checklistPesertaKemenkeu!$AY$6:$AY$1005="Direkomendasikan",ROW($6:$1005)-5),798)+5)),INDEX(checklistPesertaKemenkeu!$M$6:$M$1005,SMALL(IF(checklistPesertaKemenkeu!$AY$6:$AY$1005="Direkomendasikan",ROW($6:$1005)-5),798)))=1),IFERROR(VLOOKUP(INDEX(checklistPesertaKemenkeu!$M$6:$M$1005,SMALL(IF(checklistPesertaKemenkeu!$AY$6:$AY$1005="Direkomendasikan",ROW($6:$1005)-5),798)),KotaKode,2,0),"-"),"")),"")</f>
        <v/>
      </c>
      <c r="J799" t="str">
        <f t="array" aca="1" ref="J799" ca="1">IFERROR(IF(OR(INDEX(checklistPesertaKemenkeu!$N$6:$N$1005,SMALL(IF(checklistPesertaKemenkeu!$AY$6:$AY$1005="Direkomendasikan",ROW($6:$1005)-5),798))="",INDEX(checklistPesertaKemenkeu!$J$6:$J$1005,SMALL(IF(checklistPesertaKemenkeu!$AY$6:$AY$1005="Direkomendasikan",ROW($6:$1005)-5),798))=""),"",IF(AND(COUNTIF(INDIRECT("K_"&amp;MATCH(INDEX(checklistPesertaKemenkeu!$J$6:$J$1005,SMALL(IF(checklistPesertaKemenkeu!$AY$6:$AY$1005="Direkomendasikan",ROW($6:$1005)-5),798)),BidangList,0)),INDEX(checklistPesertaKemenkeu!$N$6:$N$1005,SMALL(IF(checklistPesertaKemenkeu!$AY$6:$AY$1005="Direkomendasikan",ROW($6:$1005)-5),798)))&gt;0,COUNTIF(INDIRECT("'KERTAS KERJA'!K"&amp;(SMALL(IF(checklistPesertaKemenkeu!$AY$6:$AY$1005="Direkomendasikan",ROW($6:$1005)-5),798)+5)&amp;":O"&amp;(SMALL(IF(checklistPesertaKemenkeu!$AY$6:$AY$1005="Direkomendasikan",ROW($6:$1005)-5),798)+5)),INDEX(checklistPesertaKemenkeu!$N$6:$N$1005,SMALL(IF(checklistPesertaKemenkeu!$AY$6:$AY$1005="Direkomendasikan",ROW($6:$1005)-5),798)))=1),IFERROR(VLOOKUP(INDEX(checklistPesertaKemenkeu!$N$6:$N$1005,SMALL(IF(checklistPesertaKemenkeu!$AY$6:$AY$1005="Direkomendasikan",ROW($6:$1005)-5),798)),KotaKode,2,0),"-"),"")),"")</f>
        <v/>
      </c>
      <c r="K799" t="str">
        <f t="array" aca="1" ref="K799" ca="1">IFERROR(IF(OR(INDEX(checklistPesertaKemenkeu!$O$6:$O$1005,SMALL(IF(checklistPesertaKemenkeu!$AY$6:$AY$1005="Direkomendasikan",ROW($6:$1005)-5),798))="",INDEX(checklistPesertaKemenkeu!$J$6:$J$1005,SMALL(IF(checklistPesertaKemenkeu!$AY$6:$AY$1005="Direkomendasikan",ROW($6:$1005)-5),798))=""),"",IF(AND(COUNTIF(INDIRECT("K_"&amp;MATCH(INDEX(checklistPesertaKemenkeu!$J$6:$J$1005,SMALL(IF(checklistPesertaKemenkeu!$AY$6:$AY$1005="Direkomendasikan",ROW($6:$1005)-5),798)),BidangList,0)),INDEX(checklistPesertaKemenkeu!$O$6:$O$1005,SMALL(IF(checklistPesertaKemenkeu!$AY$6:$AY$1005="Direkomendasikan",ROW($6:$1005)-5),798)))&gt;0,COUNTIF(INDIRECT("'KERTAS KERJA'!K"&amp;(SMALL(IF(checklistPesertaKemenkeu!$AY$6:$AY$1005="Direkomendasikan",ROW($6:$1005)-5),798)+5)&amp;":O"&amp;(SMALL(IF(checklistPesertaKemenkeu!$AY$6:$AY$1005="Direkomendasikan",ROW($6:$1005)-5),798)+5)),INDEX(checklistPesertaKemenkeu!$O$6:$O$1005,SMALL(IF(checklistPesertaKemenkeu!$AY$6:$AY$1005="Direkomendasikan",ROW($6:$1005)-5),798)))=1),IFERROR(VLOOKUP(INDEX(checklistPesertaKemenkeu!$O$6:$O$1005,SMALL(IF(checklistPesertaKemenkeu!$AY$6:$AY$1005="Direkomendasikan",ROW($6:$1005)-5),798)),KotaKode,2,0),"-"),"")),"")</f>
        <v/>
      </c>
      <c r="L799" t="str">
        <f t="array" aca="1" ref="L799" ca="1">IFERROR(IF(OR(INDEX(checklistPesertaKemenkeu!$P$6:$P$1005,SMALL(IF(checklistPesertaKemenkeu!$AY$6:$AY$1005="Direkomendasikan",ROW($6:$1005)-5),798))="",INDEX(checklistPesertaKemenkeu!$J$6:$J$1005,SMALL(IF(checklistPesertaKemenkeu!$AY$6:$AY$1005="Direkomendasikan",ROW($6:$1005)-5),798))=""),"",IF(AND(COUNTIF(INDIRECT("K_"&amp;MATCH(INDEX(checklistPesertaKemenkeu!$J$6:$J$1005,SMALL(IF(checklistPesertaKemenkeu!$AY$6:$AY$1005="Direkomendasikan",ROW($6:$1005)-5),798)),BidangList,0)),INDEX(checklistPesertaKemenkeu!$P$6:$P$1005,SMALL(IF(checklistPesertaKemenkeu!$AY$6:$AY$1005="Direkomendasikan",ROW($6:$1005)-5),798)))&gt;0,COUNTIF(INDIRECT("'KERTAS KERJA'!K"&amp;(SMALL(IF(checklistPesertaKemenkeu!$AY$6:$AY$1005="Direkomendasikan",ROW($6:$1005)-5),798)+5)&amp;":O"&amp;(SMALL(IF(checklistPesertaKemenkeu!$AY$6:$AY$1005="Direkomendasikan",ROW($6:$1005)-5),798)+5)),INDEX(checklistPesertaKemenkeu!$P$6:$P$1005,SMALL(IF(checklistPesertaKemenkeu!$AY$6:$AY$1005="Direkomendasikan",ROW($6:$1005)-5),798)))=1),IFERROR(VLOOKUP(INDEX(checklistPesertaKemenkeu!$P$6:$P$1005,SMALL(IF(checklistPesertaKemenkeu!$AY$6:$AY$1005="Direkomendasikan",ROW($6:$1005)-5),798)),KotaKode,2,0),"-"),"")),"")</f>
        <v/>
      </c>
    </row>
    <row r="800" spans="1:12" ht="15" customHeight="1" x14ac:dyDescent="0.2">
      <c r="A800" t="str">
        <f t="shared" si="12"/>
        <v/>
      </c>
      <c r="B800" t="str">
        <v/>
      </c>
      <c r="C800" s="40" t="str">
        <f t="array" ref="C800">IFERROR(INDEX(checklistPesertaKemenkeu!$F$6:$F$1005,SMALL(IF(checklistPesertaKemenkeu!$AY$6:$AY$1005="Direkomendasikan",ROW($6:$1005)-5),799)),"")</f>
        <v/>
      </c>
      <c r="D800" t="str">
        <f t="array" ref="D800">IFERROR(INDEX(checklistPesertaKemenkeu!$G$6:$G$1005,SMALL(IF(checklistPesertaKemenkeu!$AY$6:$AY$1005="Direkomendasikan",ROW($6:$1005)-5),799)),"")</f>
        <v/>
      </c>
      <c r="E800" t="str">
        <f t="array" ref="E800">IFERROR(INDEX(checklistPesertaKemenkeu!$H$6:$H$1005,SMALL(IF(checklistPesertaKemenkeu!$AY$6:$AY$1005="Direkomendasikan",ROW($6:$1005)-5),799)),"")</f>
        <v/>
      </c>
      <c r="F800" t="str">
        <f t="array" ref="F800">IFERROR(INDEX(checklistPesertaKemenkeu!$I$6:$I$1005,SMALL(IF(checklistPesertaKemenkeu!$AY$6:$AY$1005="Direkomendasikan",ROW($6:$1005)-5),799)),"")</f>
        <v/>
      </c>
      <c r="G800" t="str">
        <f t="array" ref="G800">IFERROR(INDEX(checklistPesertaKemenkeu!$J$6:$J$1005,SMALL(IF(checklistPesertaKemenkeu!$AY$6:$AY$1005="Direkomendasikan",ROW($6:$1005)-5),799)),"")</f>
        <v/>
      </c>
      <c r="H800" t="str">
        <f t="array" aca="1" ref="H800" ca="1">IFERROR(IF(OR(INDEX(checklistPesertaKemenkeu!$L$6:$L$1005,SMALL(IF(checklistPesertaKemenkeu!$AY$6:$AY$1005="Direkomendasikan",ROW($6:$1005)-5),799))="",INDEX(checklistPesertaKemenkeu!$J$6:$J$1005,SMALL(IF(checklistPesertaKemenkeu!$AY$6:$AY$1005="Direkomendasikan",ROW($6:$1005)-5),799))=""),"",IF(AND(COUNTIF(INDIRECT("K_"&amp;MATCH(INDEX(checklistPesertaKemenkeu!$J$6:$J$1005,SMALL(IF(checklistPesertaKemenkeu!$AY$6:$AY$1005="Direkomendasikan",ROW($6:$1005)-5),799)),BidangList,0)),INDEX(checklistPesertaKemenkeu!$L$6:$L$1005,SMALL(IF(checklistPesertaKemenkeu!$AY$6:$AY$1005="Direkomendasikan",ROW($6:$1005)-5),799)))&gt;0,COUNTIF(INDIRECT("'KERTAS KERJA'!K"&amp;(SMALL(IF(checklistPesertaKemenkeu!$AY$6:$AY$1005="Direkomendasikan",ROW($6:$1005)-5),799)+5)&amp;":O"&amp;(SMALL(IF(checklistPesertaKemenkeu!$AY$6:$AY$1005="Direkomendasikan",ROW($6:$1005)-5),799)+5)),INDEX(checklistPesertaKemenkeu!$L$6:$L$1005,SMALL(IF(checklistPesertaKemenkeu!$AY$6:$AY$1005="Direkomendasikan",ROW($6:$1005)-5),799)))=1),IFERROR(VLOOKUP(INDEX(checklistPesertaKemenkeu!$L$6:$L$1005,SMALL(IF(checklistPesertaKemenkeu!$AY$6:$AY$1005="Direkomendasikan",ROW($6:$1005)-5),799)),KotaKode,2,0),"-"),"")),"")</f>
        <v/>
      </c>
      <c r="I800" t="str">
        <f t="array" aca="1" ref="I800" ca="1">IFERROR(IF(OR(INDEX(checklistPesertaKemenkeu!$M$6:$M$1005,SMALL(IF(checklistPesertaKemenkeu!$AY$6:$AY$1005="Direkomendasikan",ROW($6:$1005)-5),799))="",INDEX(checklistPesertaKemenkeu!$J$6:$J$1005,SMALL(IF(checklistPesertaKemenkeu!$AY$6:$AY$1005="Direkomendasikan",ROW($6:$1005)-5),799))=""),"",IF(AND(COUNTIF(INDIRECT("K_"&amp;MATCH(INDEX(checklistPesertaKemenkeu!$J$6:$J$1005,SMALL(IF(checklistPesertaKemenkeu!$AY$6:$AY$1005="Direkomendasikan",ROW($6:$1005)-5),799)),BidangList,0)),INDEX(checklistPesertaKemenkeu!$M$6:$M$1005,SMALL(IF(checklistPesertaKemenkeu!$AY$6:$AY$1005="Direkomendasikan",ROW($6:$1005)-5),799)))&gt;0,COUNTIF(INDIRECT("'KERTAS KERJA'!K"&amp;(SMALL(IF(checklistPesertaKemenkeu!$AY$6:$AY$1005="Direkomendasikan",ROW($6:$1005)-5),799)+5)&amp;":O"&amp;(SMALL(IF(checklistPesertaKemenkeu!$AY$6:$AY$1005="Direkomendasikan",ROW($6:$1005)-5),799)+5)),INDEX(checklistPesertaKemenkeu!$M$6:$M$1005,SMALL(IF(checklistPesertaKemenkeu!$AY$6:$AY$1005="Direkomendasikan",ROW($6:$1005)-5),799)))=1),IFERROR(VLOOKUP(INDEX(checklistPesertaKemenkeu!$M$6:$M$1005,SMALL(IF(checklistPesertaKemenkeu!$AY$6:$AY$1005="Direkomendasikan",ROW($6:$1005)-5),799)),KotaKode,2,0),"-"),"")),"")</f>
        <v/>
      </c>
      <c r="J800" t="str">
        <f t="array" aca="1" ref="J800" ca="1">IFERROR(IF(OR(INDEX(checklistPesertaKemenkeu!$N$6:$N$1005,SMALL(IF(checklistPesertaKemenkeu!$AY$6:$AY$1005="Direkomendasikan",ROW($6:$1005)-5),799))="",INDEX(checklistPesertaKemenkeu!$J$6:$J$1005,SMALL(IF(checklistPesertaKemenkeu!$AY$6:$AY$1005="Direkomendasikan",ROW($6:$1005)-5),799))=""),"",IF(AND(COUNTIF(INDIRECT("K_"&amp;MATCH(INDEX(checklistPesertaKemenkeu!$J$6:$J$1005,SMALL(IF(checklistPesertaKemenkeu!$AY$6:$AY$1005="Direkomendasikan",ROW($6:$1005)-5),799)),BidangList,0)),INDEX(checklistPesertaKemenkeu!$N$6:$N$1005,SMALL(IF(checklistPesertaKemenkeu!$AY$6:$AY$1005="Direkomendasikan",ROW($6:$1005)-5),799)))&gt;0,COUNTIF(INDIRECT("'KERTAS KERJA'!K"&amp;(SMALL(IF(checklistPesertaKemenkeu!$AY$6:$AY$1005="Direkomendasikan",ROW($6:$1005)-5),799)+5)&amp;":O"&amp;(SMALL(IF(checklistPesertaKemenkeu!$AY$6:$AY$1005="Direkomendasikan",ROW($6:$1005)-5),799)+5)),INDEX(checklistPesertaKemenkeu!$N$6:$N$1005,SMALL(IF(checklistPesertaKemenkeu!$AY$6:$AY$1005="Direkomendasikan",ROW($6:$1005)-5),799)))=1),IFERROR(VLOOKUP(INDEX(checklistPesertaKemenkeu!$N$6:$N$1005,SMALL(IF(checklistPesertaKemenkeu!$AY$6:$AY$1005="Direkomendasikan",ROW($6:$1005)-5),799)),KotaKode,2,0),"-"),"")),"")</f>
        <v/>
      </c>
      <c r="K800" t="str">
        <f t="array" aca="1" ref="K800" ca="1">IFERROR(IF(OR(INDEX(checklistPesertaKemenkeu!$O$6:$O$1005,SMALL(IF(checklistPesertaKemenkeu!$AY$6:$AY$1005="Direkomendasikan",ROW($6:$1005)-5),799))="",INDEX(checklistPesertaKemenkeu!$J$6:$J$1005,SMALL(IF(checklistPesertaKemenkeu!$AY$6:$AY$1005="Direkomendasikan",ROW($6:$1005)-5),799))=""),"",IF(AND(COUNTIF(INDIRECT("K_"&amp;MATCH(INDEX(checklistPesertaKemenkeu!$J$6:$J$1005,SMALL(IF(checklistPesertaKemenkeu!$AY$6:$AY$1005="Direkomendasikan",ROW($6:$1005)-5),799)),BidangList,0)),INDEX(checklistPesertaKemenkeu!$O$6:$O$1005,SMALL(IF(checklistPesertaKemenkeu!$AY$6:$AY$1005="Direkomendasikan",ROW($6:$1005)-5),799)))&gt;0,COUNTIF(INDIRECT("'KERTAS KERJA'!K"&amp;(SMALL(IF(checklistPesertaKemenkeu!$AY$6:$AY$1005="Direkomendasikan",ROW($6:$1005)-5),799)+5)&amp;":O"&amp;(SMALL(IF(checklistPesertaKemenkeu!$AY$6:$AY$1005="Direkomendasikan",ROW($6:$1005)-5),799)+5)),INDEX(checklistPesertaKemenkeu!$O$6:$O$1005,SMALL(IF(checklistPesertaKemenkeu!$AY$6:$AY$1005="Direkomendasikan",ROW($6:$1005)-5),799)))=1),IFERROR(VLOOKUP(INDEX(checklistPesertaKemenkeu!$O$6:$O$1005,SMALL(IF(checklistPesertaKemenkeu!$AY$6:$AY$1005="Direkomendasikan",ROW($6:$1005)-5),799)),KotaKode,2,0),"-"),"")),"")</f>
        <v/>
      </c>
      <c r="L800" t="str">
        <f t="array" aca="1" ref="L800" ca="1">IFERROR(IF(OR(INDEX(checklistPesertaKemenkeu!$P$6:$P$1005,SMALL(IF(checklistPesertaKemenkeu!$AY$6:$AY$1005="Direkomendasikan",ROW($6:$1005)-5),799))="",INDEX(checklistPesertaKemenkeu!$J$6:$J$1005,SMALL(IF(checklistPesertaKemenkeu!$AY$6:$AY$1005="Direkomendasikan",ROW($6:$1005)-5),799))=""),"",IF(AND(COUNTIF(INDIRECT("K_"&amp;MATCH(INDEX(checklistPesertaKemenkeu!$J$6:$J$1005,SMALL(IF(checklistPesertaKemenkeu!$AY$6:$AY$1005="Direkomendasikan",ROW($6:$1005)-5),799)),BidangList,0)),INDEX(checklistPesertaKemenkeu!$P$6:$P$1005,SMALL(IF(checklistPesertaKemenkeu!$AY$6:$AY$1005="Direkomendasikan",ROW($6:$1005)-5),799)))&gt;0,COUNTIF(INDIRECT("'KERTAS KERJA'!K"&amp;(SMALL(IF(checklistPesertaKemenkeu!$AY$6:$AY$1005="Direkomendasikan",ROW($6:$1005)-5),799)+5)&amp;":O"&amp;(SMALL(IF(checklistPesertaKemenkeu!$AY$6:$AY$1005="Direkomendasikan",ROW($6:$1005)-5),799)+5)),INDEX(checklistPesertaKemenkeu!$P$6:$P$1005,SMALL(IF(checklistPesertaKemenkeu!$AY$6:$AY$1005="Direkomendasikan",ROW($6:$1005)-5),799)))=1),IFERROR(VLOOKUP(INDEX(checklistPesertaKemenkeu!$P$6:$P$1005,SMALL(IF(checklistPesertaKemenkeu!$AY$6:$AY$1005="Direkomendasikan",ROW($6:$1005)-5),799)),KotaKode,2,0),"-"),"")),"")</f>
        <v/>
      </c>
    </row>
    <row r="801" spans="1:12" ht="15" customHeight="1" x14ac:dyDescent="0.2">
      <c r="A801" t="str">
        <f t="shared" si="12"/>
        <v/>
      </c>
      <c r="B801" t="str">
        <v/>
      </c>
      <c r="C801" s="40" t="str">
        <f t="array" ref="C801">IFERROR(INDEX(checklistPesertaKemenkeu!$F$6:$F$1005,SMALL(IF(checklistPesertaKemenkeu!$AY$6:$AY$1005="Direkomendasikan",ROW($6:$1005)-5),800)),"")</f>
        <v/>
      </c>
      <c r="D801" t="str">
        <f t="array" ref="D801">IFERROR(INDEX(checklistPesertaKemenkeu!$G$6:$G$1005,SMALL(IF(checklistPesertaKemenkeu!$AY$6:$AY$1005="Direkomendasikan",ROW($6:$1005)-5),800)),"")</f>
        <v/>
      </c>
      <c r="E801" t="str">
        <f t="array" ref="E801">IFERROR(INDEX(checklistPesertaKemenkeu!$H$6:$H$1005,SMALL(IF(checklistPesertaKemenkeu!$AY$6:$AY$1005="Direkomendasikan",ROW($6:$1005)-5),800)),"")</f>
        <v/>
      </c>
      <c r="F801" t="str">
        <f t="array" ref="F801">IFERROR(INDEX(checklistPesertaKemenkeu!$I$6:$I$1005,SMALL(IF(checklistPesertaKemenkeu!$AY$6:$AY$1005="Direkomendasikan",ROW($6:$1005)-5),800)),"")</f>
        <v/>
      </c>
      <c r="G801" t="str">
        <f t="array" ref="G801">IFERROR(INDEX(checklistPesertaKemenkeu!$J$6:$J$1005,SMALL(IF(checklistPesertaKemenkeu!$AY$6:$AY$1005="Direkomendasikan",ROW($6:$1005)-5),800)),"")</f>
        <v/>
      </c>
      <c r="H801" t="str">
        <f t="array" aca="1" ref="H801" ca="1">IFERROR(IF(OR(INDEX(checklistPesertaKemenkeu!$L$6:$L$1005,SMALL(IF(checklistPesertaKemenkeu!$AY$6:$AY$1005="Direkomendasikan",ROW($6:$1005)-5),800))="",INDEX(checklistPesertaKemenkeu!$J$6:$J$1005,SMALL(IF(checklistPesertaKemenkeu!$AY$6:$AY$1005="Direkomendasikan",ROW($6:$1005)-5),800))=""),"",IF(AND(COUNTIF(INDIRECT("K_"&amp;MATCH(INDEX(checklistPesertaKemenkeu!$J$6:$J$1005,SMALL(IF(checklistPesertaKemenkeu!$AY$6:$AY$1005="Direkomendasikan",ROW($6:$1005)-5),800)),BidangList,0)),INDEX(checklistPesertaKemenkeu!$L$6:$L$1005,SMALL(IF(checklistPesertaKemenkeu!$AY$6:$AY$1005="Direkomendasikan",ROW($6:$1005)-5),800)))&gt;0,COUNTIF(INDIRECT("'KERTAS KERJA'!K"&amp;(SMALL(IF(checklistPesertaKemenkeu!$AY$6:$AY$1005="Direkomendasikan",ROW($6:$1005)-5),800)+5)&amp;":O"&amp;(SMALL(IF(checklistPesertaKemenkeu!$AY$6:$AY$1005="Direkomendasikan",ROW($6:$1005)-5),800)+5)),INDEX(checklistPesertaKemenkeu!$L$6:$L$1005,SMALL(IF(checklistPesertaKemenkeu!$AY$6:$AY$1005="Direkomendasikan",ROW($6:$1005)-5),800)))=1),IFERROR(VLOOKUP(INDEX(checklistPesertaKemenkeu!$L$6:$L$1005,SMALL(IF(checklistPesertaKemenkeu!$AY$6:$AY$1005="Direkomendasikan",ROW($6:$1005)-5),800)),KotaKode,2,0),"-"),"")),"")</f>
        <v/>
      </c>
      <c r="I801" t="str">
        <f t="array" aca="1" ref="I801" ca="1">IFERROR(IF(OR(INDEX(checklistPesertaKemenkeu!$M$6:$M$1005,SMALL(IF(checklistPesertaKemenkeu!$AY$6:$AY$1005="Direkomendasikan",ROW($6:$1005)-5),800))="",INDEX(checklistPesertaKemenkeu!$J$6:$J$1005,SMALL(IF(checklistPesertaKemenkeu!$AY$6:$AY$1005="Direkomendasikan",ROW($6:$1005)-5),800))=""),"",IF(AND(COUNTIF(INDIRECT("K_"&amp;MATCH(INDEX(checklistPesertaKemenkeu!$J$6:$J$1005,SMALL(IF(checklistPesertaKemenkeu!$AY$6:$AY$1005="Direkomendasikan",ROW($6:$1005)-5),800)),BidangList,0)),INDEX(checklistPesertaKemenkeu!$M$6:$M$1005,SMALL(IF(checklistPesertaKemenkeu!$AY$6:$AY$1005="Direkomendasikan",ROW($6:$1005)-5),800)))&gt;0,COUNTIF(INDIRECT("'KERTAS KERJA'!K"&amp;(SMALL(IF(checklistPesertaKemenkeu!$AY$6:$AY$1005="Direkomendasikan",ROW($6:$1005)-5),800)+5)&amp;":O"&amp;(SMALL(IF(checklistPesertaKemenkeu!$AY$6:$AY$1005="Direkomendasikan",ROW($6:$1005)-5),800)+5)),INDEX(checklistPesertaKemenkeu!$M$6:$M$1005,SMALL(IF(checklistPesertaKemenkeu!$AY$6:$AY$1005="Direkomendasikan",ROW($6:$1005)-5),800)))=1),IFERROR(VLOOKUP(INDEX(checklistPesertaKemenkeu!$M$6:$M$1005,SMALL(IF(checklistPesertaKemenkeu!$AY$6:$AY$1005="Direkomendasikan",ROW($6:$1005)-5),800)),KotaKode,2,0),"-"),"")),"")</f>
        <v/>
      </c>
      <c r="J801" t="str">
        <f t="array" aca="1" ref="J801" ca="1">IFERROR(IF(OR(INDEX(checklistPesertaKemenkeu!$N$6:$N$1005,SMALL(IF(checklistPesertaKemenkeu!$AY$6:$AY$1005="Direkomendasikan",ROW($6:$1005)-5),800))="",INDEX(checklistPesertaKemenkeu!$J$6:$J$1005,SMALL(IF(checklistPesertaKemenkeu!$AY$6:$AY$1005="Direkomendasikan",ROW($6:$1005)-5),800))=""),"",IF(AND(COUNTIF(INDIRECT("K_"&amp;MATCH(INDEX(checklistPesertaKemenkeu!$J$6:$J$1005,SMALL(IF(checklistPesertaKemenkeu!$AY$6:$AY$1005="Direkomendasikan",ROW($6:$1005)-5),800)),BidangList,0)),INDEX(checklistPesertaKemenkeu!$N$6:$N$1005,SMALL(IF(checklistPesertaKemenkeu!$AY$6:$AY$1005="Direkomendasikan",ROW($6:$1005)-5),800)))&gt;0,COUNTIF(INDIRECT("'KERTAS KERJA'!K"&amp;(SMALL(IF(checklistPesertaKemenkeu!$AY$6:$AY$1005="Direkomendasikan",ROW($6:$1005)-5),800)+5)&amp;":O"&amp;(SMALL(IF(checklistPesertaKemenkeu!$AY$6:$AY$1005="Direkomendasikan",ROW($6:$1005)-5),800)+5)),INDEX(checklistPesertaKemenkeu!$N$6:$N$1005,SMALL(IF(checklistPesertaKemenkeu!$AY$6:$AY$1005="Direkomendasikan",ROW($6:$1005)-5),800)))=1),IFERROR(VLOOKUP(INDEX(checklistPesertaKemenkeu!$N$6:$N$1005,SMALL(IF(checklistPesertaKemenkeu!$AY$6:$AY$1005="Direkomendasikan",ROW($6:$1005)-5),800)),KotaKode,2,0),"-"),"")),"")</f>
        <v/>
      </c>
      <c r="K801" t="str">
        <f t="array" aca="1" ref="K801" ca="1">IFERROR(IF(OR(INDEX(checklistPesertaKemenkeu!$O$6:$O$1005,SMALL(IF(checklistPesertaKemenkeu!$AY$6:$AY$1005="Direkomendasikan",ROW($6:$1005)-5),800))="",INDEX(checklistPesertaKemenkeu!$J$6:$J$1005,SMALL(IF(checklistPesertaKemenkeu!$AY$6:$AY$1005="Direkomendasikan",ROW($6:$1005)-5),800))=""),"",IF(AND(COUNTIF(INDIRECT("K_"&amp;MATCH(INDEX(checklistPesertaKemenkeu!$J$6:$J$1005,SMALL(IF(checklistPesertaKemenkeu!$AY$6:$AY$1005="Direkomendasikan",ROW($6:$1005)-5),800)),BidangList,0)),INDEX(checklistPesertaKemenkeu!$O$6:$O$1005,SMALL(IF(checklistPesertaKemenkeu!$AY$6:$AY$1005="Direkomendasikan",ROW($6:$1005)-5),800)))&gt;0,COUNTIF(INDIRECT("'KERTAS KERJA'!K"&amp;(SMALL(IF(checklistPesertaKemenkeu!$AY$6:$AY$1005="Direkomendasikan",ROW($6:$1005)-5),800)+5)&amp;":O"&amp;(SMALL(IF(checklistPesertaKemenkeu!$AY$6:$AY$1005="Direkomendasikan",ROW($6:$1005)-5),800)+5)),INDEX(checklistPesertaKemenkeu!$O$6:$O$1005,SMALL(IF(checklistPesertaKemenkeu!$AY$6:$AY$1005="Direkomendasikan",ROW($6:$1005)-5),800)))=1),IFERROR(VLOOKUP(INDEX(checklistPesertaKemenkeu!$O$6:$O$1005,SMALL(IF(checklistPesertaKemenkeu!$AY$6:$AY$1005="Direkomendasikan",ROW($6:$1005)-5),800)),KotaKode,2,0),"-"),"")),"")</f>
        <v/>
      </c>
      <c r="L801" t="str">
        <f t="array" aca="1" ref="L801" ca="1">IFERROR(IF(OR(INDEX(checklistPesertaKemenkeu!$P$6:$P$1005,SMALL(IF(checklistPesertaKemenkeu!$AY$6:$AY$1005="Direkomendasikan",ROW($6:$1005)-5),800))="",INDEX(checklistPesertaKemenkeu!$J$6:$J$1005,SMALL(IF(checklistPesertaKemenkeu!$AY$6:$AY$1005="Direkomendasikan",ROW($6:$1005)-5),800))=""),"",IF(AND(COUNTIF(INDIRECT("K_"&amp;MATCH(INDEX(checklistPesertaKemenkeu!$J$6:$J$1005,SMALL(IF(checklistPesertaKemenkeu!$AY$6:$AY$1005="Direkomendasikan",ROW($6:$1005)-5),800)),BidangList,0)),INDEX(checklistPesertaKemenkeu!$P$6:$P$1005,SMALL(IF(checklistPesertaKemenkeu!$AY$6:$AY$1005="Direkomendasikan",ROW($6:$1005)-5),800)))&gt;0,COUNTIF(INDIRECT("'KERTAS KERJA'!K"&amp;(SMALL(IF(checklistPesertaKemenkeu!$AY$6:$AY$1005="Direkomendasikan",ROW($6:$1005)-5),800)+5)&amp;":O"&amp;(SMALL(IF(checklistPesertaKemenkeu!$AY$6:$AY$1005="Direkomendasikan",ROW($6:$1005)-5),800)+5)),INDEX(checklistPesertaKemenkeu!$P$6:$P$1005,SMALL(IF(checklistPesertaKemenkeu!$AY$6:$AY$1005="Direkomendasikan",ROW($6:$1005)-5),800)))=1),IFERROR(VLOOKUP(INDEX(checklistPesertaKemenkeu!$P$6:$P$1005,SMALL(IF(checklistPesertaKemenkeu!$AY$6:$AY$1005="Direkomendasikan",ROW($6:$1005)-5),800)),KotaKode,2,0),"-"),"")),"")</f>
        <v/>
      </c>
    </row>
    <row r="802" spans="1:12" ht="15" customHeight="1" x14ac:dyDescent="0.2">
      <c r="A802" t="str">
        <f t="shared" si="12"/>
        <v/>
      </c>
      <c r="B802" t="str">
        <v/>
      </c>
      <c r="C802" s="40" t="str">
        <f t="array" ref="C802">IFERROR(INDEX(checklistPesertaKemenkeu!$F$6:$F$1005,SMALL(IF(checklistPesertaKemenkeu!$AY$6:$AY$1005="Direkomendasikan",ROW($6:$1005)-5),801)),"")</f>
        <v/>
      </c>
      <c r="D802" t="str">
        <f t="array" ref="D802">IFERROR(INDEX(checklistPesertaKemenkeu!$G$6:$G$1005,SMALL(IF(checklistPesertaKemenkeu!$AY$6:$AY$1005="Direkomendasikan",ROW($6:$1005)-5),801)),"")</f>
        <v/>
      </c>
      <c r="E802" t="str">
        <f t="array" ref="E802">IFERROR(INDEX(checklistPesertaKemenkeu!$H$6:$H$1005,SMALL(IF(checklistPesertaKemenkeu!$AY$6:$AY$1005="Direkomendasikan",ROW($6:$1005)-5),801)),"")</f>
        <v/>
      </c>
      <c r="F802" t="str">
        <f t="array" ref="F802">IFERROR(INDEX(checklistPesertaKemenkeu!$I$6:$I$1005,SMALL(IF(checklistPesertaKemenkeu!$AY$6:$AY$1005="Direkomendasikan",ROW($6:$1005)-5),801)),"")</f>
        <v/>
      </c>
      <c r="G802" t="str">
        <f t="array" ref="G802">IFERROR(INDEX(checklistPesertaKemenkeu!$J$6:$J$1005,SMALL(IF(checklistPesertaKemenkeu!$AY$6:$AY$1005="Direkomendasikan",ROW($6:$1005)-5),801)),"")</f>
        <v/>
      </c>
      <c r="H802" t="str">
        <f t="array" aca="1" ref="H802" ca="1">IFERROR(IF(OR(INDEX(checklistPesertaKemenkeu!$L$6:$L$1005,SMALL(IF(checklistPesertaKemenkeu!$AY$6:$AY$1005="Direkomendasikan",ROW($6:$1005)-5),801))="",INDEX(checklistPesertaKemenkeu!$J$6:$J$1005,SMALL(IF(checklistPesertaKemenkeu!$AY$6:$AY$1005="Direkomendasikan",ROW($6:$1005)-5),801))=""),"",IF(AND(COUNTIF(INDIRECT("K_"&amp;MATCH(INDEX(checklistPesertaKemenkeu!$J$6:$J$1005,SMALL(IF(checklistPesertaKemenkeu!$AY$6:$AY$1005="Direkomendasikan",ROW($6:$1005)-5),801)),BidangList,0)),INDEX(checklistPesertaKemenkeu!$L$6:$L$1005,SMALL(IF(checklistPesertaKemenkeu!$AY$6:$AY$1005="Direkomendasikan",ROW($6:$1005)-5),801)))&gt;0,COUNTIF(INDIRECT("'KERTAS KERJA'!K"&amp;(SMALL(IF(checklistPesertaKemenkeu!$AY$6:$AY$1005="Direkomendasikan",ROW($6:$1005)-5),801)+5)&amp;":O"&amp;(SMALL(IF(checklistPesertaKemenkeu!$AY$6:$AY$1005="Direkomendasikan",ROW($6:$1005)-5),801)+5)),INDEX(checklistPesertaKemenkeu!$L$6:$L$1005,SMALL(IF(checklistPesertaKemenkeu!$AY$6:$AY$1005="Direkomendasikan",ROW($6:$1005)-5),801)))=1),IFERROR(VLOOKUP(INDEX(checklistPesertaKemenkeu!$L$6:$L$1005,SMALL(IF(checklistPesertaKemenkeu!$AY$6:$AY$1005="Direkomendasikan",ROW($6:$1005)-5),801)),KotaKode,2,0),"-"),"")),"")</f>
        <v/>
      </c>
      <c r="I802" t="str">
        <f t="array" aca="1" ref="I802" ca="1">IFERROR(IF(OR(INDEX(checklistPesertaKemenkeu!$M$6:$M$1005,SMALL(IF(checklistPesertaKemenkeu!$AY$6:$AY$1005="Direkomendasikan",ROW($6:$1005)-5),801))="",INDEX(checklistPesertaKemenkeu!$J$6:$J$1005,SMALL(IF(checklistPesertaKemenkeu!$AY$6:$AY$1005="Direkomendasikan",ROW($6:$1005)-5),801))=""),"",IF(AND(COUNTIF(INDIRECT("K_"&amp;MATCH(INDEX(checklistPesertaKemenkeu!$J$6:$J$1005,SMALL(IF(checklistPesertaKemenkeu!$AY$6:$AY$1005="Direkomendasikan",ROW($6:$1005)-5),801)),BidangList,0)),INDEX(checklistPesertaKemenkeu!$M$6:$M$1005,SMALL(IF(checklistPesertaKemenkeu!$AY$6:$AY$1005="Direkomendasikan",ROW($6:$1005)-5),801)))&gt;0,COUNTIF(INDIRECT("'KERTAS KERJA'!K"&amp;(SMALL(IF(checklistPesertaKemenkeu!$AY$6:$AY$1005="Direkomendasikan",ROW($6:$1005)-5),801)+5)&amp;":O"&amp;(SMALL(IF(checklistPesertaKemenkeu!$AY$6:$AY$1005="Direkomendasikan",ROW($6:$1005)-5),801)+5)),INDEX(checklistPesertaKemenkeu!$M$6:$M$1005,SMALL(IF(checklistPesertaKemenkeu!$AY$6:$AY$1005="Direkomendasikan",ROW($6:$1005)-5),801)))=1),IFERROR(VLOOKUP(INDEX(checklistPesertaKemenkeu!$M$6:$M$1005,SMALL(IF(checklistPesertaKemenkeu!$AY$6:$AY$1005="Direkomendasikan",ROW($6:$1005)-5),801)),KotaKode,2,0),"-"),"")),"")</f>
        <v/>
      </c>
      <c r="J802" t="str">
        <f t="array" aca="1" ref="J802" ca="1">IFERROR(IF(OR(INDEX(checklistPesertaKemenkeu!$N$6:$N$1005,SMALL(IF(checklistPesertaKemenkeu!$AY$6:$AY$1005="Direkomendasikan",ROW($6:$1005)-5),801))="",INDEX(checklistPesertaKemenkeu!$J$6:$J$1005,SMALL(IF(checklistPesertaKemenkeu!$AY$6:$AY$1005="Direkomendasikan",ROW($6:$1005)-5),801))=""),"",IF(AND(COUNTIF(INDIRECT("K_"&amp;MATCH(INDEX(checklistPesertaKemenkeu!$J$6:$J$1005,SMALL(IF(checklistPesertaKemenkeu!$AY$6:$AY$1005="Direkomendasikan",ROW($6:$1005)-5),801)),BidangList,0)),INDEX(checklistPesertaKemenkeu!$N$6:$N$1005,SMALL(IF(checklistPesertaKemenkeu!$AY$6:$AY$1005="Direkomendasikan",ROW($6:$1005)-5),801)))&gt;0,COUNTIF(INDIRECT("'KERTAS KERJA'!K"&amp;(SMALL(IF(checklistPesertaKemenkeu!$AY$6:$AY$1005="Direkomendasikan",ROW($6:$1005)-5),801)+5)&amp;":O"&amp;(SMALL(IF(checklistPesertaKemenkeu!$AY$6:$AY$1005="Direkomendasikan",ROW($6:$1005)-5),801)+5)),INDEX(checklistPesertaKemenkeu!$N$6:$N$1005,SMALL(IF(checklistPesertaKemenkeu!$AY$6:$AY$1005="Direkomendasikan",ROW($6:$1005)-5),801)))=1),IFERROR(VLOOKUP(INDEX(checklistPesertaKemenkeu!$N$6:$N$1005,SMALL(IF(checklistPesertaKemenkeu!$AY$6:$AY$1005="Direkomendasikan",ROW($6:$1005)-5),801)),KotaKode,2,0),"-"),"")),"")</f>
        <v/>
      </c>
      <c r="K802" t="str">
        <f t="array" aca="1" ref="K802" ca="1">IFERROR(IF(OR(INDEX(checklistPesertaKemenkeu!$O$6:$O$1005,SMALL(IF(checklistPesertaKemenkeu!$AY$6:$AY$1005="Direkomendasikan",ROW($6:$1005)-5),801))="",INDEX(checklistPesertaKemenkeu!$J$6:$J$1005,SMALL(IF(checklistPesertaKemenkeu!$AY$6:$AY$1005="Direkomendasikan",ROW($6:$1005)-5),801))=""),"",IF(AND(COUNTIF(INDIRECT("K_"&amp;MATCH(INDEX(checklistPesertaKemenkeu!$J$6:$J$1005,SMALL(IF(checklistPesertaKemenkeu!$AY$6:$AY$1005="Direkomendasikan",ROW($6:$1005)-5),801)),BidangList,0)),INDEX(checklistPesertaKemenkeu!$O$6:$O$1005,SMALL(IF(checklistPesertaKemenkeu!$AY$6:$AY$1005="Direkomendasikan",ROW($6:$1005)-5),801)))&gt;0,COUNTIF(INDIRECT("'KERTAS KERJA'!K"&amp;(SMALL(IF(checklistPesertaKemenkeu!$AY$6:$AY$1005="Direkomendasikan",ROW($6:$1005)-5),801)+5)&amp;":O"&amp;(SMALL(IF(checklistPesertaKemenkeu!$AY$6:$AY$1005="Direkomendasikan",ROW($6:$1005)-5),801)+5)),INDEX(checklistPesertaKemenkeu!$O$6:$O$1005,SMALL(IF(checklistPesertaKemenkeu!$AY$6:$AY$1005="Direkomendasikan",ROW($6:$1005)-5),801)))=1),IFERROR(VLOOKUP(INDEX(checklistPesertaKemenkeu!$O$6:$O$1005,SMALL(IF(checklistPesertaKemenkeu!$AY$6:$AY$1005="Direkomendasikan",ROW($6:$1005)-5),801)),KotaKode,2,0),"-"),"")),"")</f>
        <v/>
      </c>
      <c r="L802" t="str">
        <f t="array" aca="1" ref="L802" ca="1">IFERROR(IF(OR(INDEX(checklistPesertaKemenkeu!$P$6:$P$1005,SMALL(IF(checklistPesertaKemenkeu!$AY$6:$AY$1005="Direkomendasikan",ROW($6:$1005)-5),801))="",INDEX(checklistPesertaKemenkeu!$J$6:$J$1005,SMALL(IF(checklistPesertaKemenkeu!$AY$6:$AY$1005="Direkomendasikan",ROW($6:$1005)-5),801))=""),"",IF(AND(COUNTIF(INDIRECT("K_"&amp;MATCH(INDEX(checklistPesertaKemenkeu!$J$6:$J$1005,SMALL(IF(checklistPesertaKemenkeu!$AY$6:$AY$1005="Direkomendasikan",ROW($6:$1005)-5),801)),BidangList,0)),INDEX(checklistPesertaKemenkeu!$P$6:$P$1005,SMALL(IF(checklistPesertaKemenkeu!$AY$6:$AY$1005="Direkomendasikan",ROW($6:$1005)-5),801)))&gt;0,COUNTIF(INDIRECT("'KERTAS KERJA'!K"&amp;(SMALL(IF(checklistPesertaKemenkeu!$AY$6:$AY$1005="Direkomendasikan",ROW($6:$1005)-5),801)+5)&amp;":O"&amp;(SMALL(IF(checklistPesertaKemenkeu!$AY$6:$AY$1005="Direkomendasikan",ROW($6:$1005)-5),801)+5)),INDEX(checklistPesertaKemenkeu!$P$6:$P$1005,SMALL(IF(checklistPesertaKemenkeu!$AY$6:$AY$1005="Direkomendasikan",ROW($6:$1005)-5),801)))=1),IFERROR(VLOOKUP(INDEX(checklistPesertaKemenkeu!$P$6:$P$1005,SMALL(IF(checklistPesertaKemenkeu!$AY$6:$AY$1005="Direkomendasikan",ROW($6:$1005)-5),801)),KotaKode,2,0),"-"),"")),"")</f>
        <v/>
      </c>
    </row>
    <row r="803" spans="1:12" ht="15" customHeight="1" x14ac:dyDescent="0.2">
      <c r="A803" t="str">
        <f t="shared" si="12"/>
        <v/>
      </c>
      <c r="B803" t="str">
        <v/>
      </c>
      <c r="C803" s="40" t="str">
        <f t="array" ref="C803">IFERROR(INDEX(checklistPesertaKemenkeu!$F$6:$F$1005,SMALL(IF(checklistPesertaKemenkeu!$AY$6:$AY$1005="Direkomendasikan",ROW($6:$1005)-5),802)),"")</f>
        <v/>
      </c>
      <c r="D803" t="str">
        <f t="array" ref="D803">IFERROR(INDEX(checklistPesertaKemenkeu!$G$6:$G$1005,SMALL(IF(checklistPesertaKemenkeu!$AY$6:$AY$1005="Direkomendasikan",ROW($6:$1005)-5),802)),"")</f>
        <v/>
      </c>
      <c r="E803" t="str">
        <f t="array" ref="E803">IFERROR(INDEX(checklistPesertaKemenkeu!$H$6:$H$1005,SMALL(IF(checklistPesertaKemenkeu!$AY$6:$AY$1005="Direkomendasikan",ROW($6:$1005)-5),802)),"")</f>
        <v/>
      </c>
      <c r="F803" t="str">
        <f t="array" ref="F803">IFERROR(INDEX(checklistPesertaKemenkeu!$I$6:$I$1005,SMALL(IF(checklistPesertaKemenkeu!$AY$6:$AY$1005="Direkomendasikan",ROW($6:$1005)-5),802)),"")</f>
        <v/>
      </c>
      <c r="G803" t="str">
        <f t="array" ref="G803">IFERROR(INDEX(checklistPesertaKemenkeu!$J$6:$J$1005,SMALL(IF(checklistPesertaKemenkeu!$AY$6:$AY$1005="Direkomendasikan",ROW($6:$1005)-5),802)),"")</f>
        <v/>
      </c>
      <c r="H803" t="str">
        <f t="array" aca="1" ref="H803" ca="1">IFERROR(IF(OR(INDEX(checklistPesertaKemenkeu!$L$6:$L$1005,SMALL(IF(checklistPesertaKemenkeu!$AY$6:$AY$1005="Direkomendasikan",ROW($6:$1005)-5),802))="",INDEX(checklistPesertaKemenkeu!$J$6:$J$1005,SMALL(IF(checklistPesertaKemenkeu!$AY$6:$AY$1005="Direkomendasikan",ROW($6:$1005)-5),802))=""),"",IF(AND(COUNTIF(INDIRECT("K_"&amp;MATCH(INDEX(checklistPesertaKemenkeu!$J$6:$J$1005,SMALL(IF(checklistPesertaKemenkeu!$AY$6:$AY$1005="Direkomendasikan",ROW($6:$1005)-5),802)),BidangList,0)),INDEX(checklistPesertaKemenkeu!$L$6:$L$1005,SMALL(IF(checklistPesertaKemenkeu!$AY$6:$AY$1005="Direkomendasikan",ROW($6:$1005)-5),802)))&gt;0,COUNTIF(INDIRECT("'KERTAS KERJA'!K"&amp;(SMALL(IF(checklistPesertaKemenkeu!$AY$6:$AY$1005="Direkomendasikan",ROW($6:$1005)-5),802)+5)&amp;":O"&amp;(SMALL(IF(checklistPesertaKemenkeu!$AY$6:$AY$1005="Direkomendasikan",ROW($6:$1005)-5),802)+5)),INDEX(checklistPesertaKemenkeu!$L$6:$L$1005,SMALL(IF(checklistPesertaKemenkeu!$AY$6:$AY$1005="Direkomendasikan",ROW($6:$1005)-5),802)))=1),IFERROR(VLOOKUP(INDEX(checklistPesertaKemenkeu!$L$6:$L$1005,SMALL(IF(checklistPesertaKemenkeu!$AY$6:$AY$1005="Direkomendasikan",ROW($6:$1005)-5),802)),KotaKode,2,0),"-"),"")),"")</f>
        <v/>
      </c>
      <c r="I803" t="str">
        <f t="array" aca="1" ref="I803" ca="1">IFERROR(IF(OR(INDEX(checklistPesertaKemenkeu!$M$6:$M$1005,SMALL(IF(checklistPesertaKemenkeu!$AY$6:$AY$1005="Direkomendasikan",ROW($6:$1005)-5),802))="",INDEX(checklistPesertaKemenkeu!$J$6:$J$1005,SMALL(IF(checklistPesertaKemenkeu!$AY$6:$AY$1005="Direkomendasikan",ROW($6:$1005)-5),802))=""),"",IF(AND(COUNTIF(INDIRECT("K_"&amp;MATCH(INDEX(checklistPesertaKemenkeu!$J$6:$J$1005,SMALL(IF(checklistPesertaKemenkeu!$AY$6:$AY$1005="Direkomendasikan",ROW($6:$1005)-5),802)),BidangList,0)),INDEX(checklistPesertaKemenkeu!$M$6:$M$1005,SMALL(IF(checklistPesertaKemenkeu!$AY$6:$AY$1005="Direkomendasikan",ROW($6:$1005)-5),802)))&gt;0,COUNTIF(INDIRECT("'KERTAS KERJA'!K"&amp;(SMALL(IF(checklistPesertaKemenkeu!$AY$6:$AY$1005="Direkomendasikan",ROW($6:$1005)-5),802)+5)&amp;":O"&amp;(SMALL(IF(checklistPesertaKemenkeu!$AY$6:$AY$1005="Direkomendasikan",ROW($6:$1005)-5),802)+5)),INDEX(checklistPesertaKemenkeu!$M$6:$M$1005,SMALL(IF(checklistPesertaKemenkeu!$AY$6:$AY$1005="Direkomendasikan",ROW($6:$1005)-5),802)))=1),IFERROR(VLOOKUP(INDEX(checklistPesertaKemenkeu!$M$6:$M$1005,SMALL(IF(checklistPesertaKemenkeu!$AY$6:$AY$1005="Direkomendasikan",ROW($6:$1005)-5),802)),KotaKode,2,0),"-"),"")),"")</f>
        <v/>
      </c>
      <c r="J803" t="str">
        <f t="array" aca="1" ref="J803" ca="1">IFERROR(IF(OR(INDEX(checklistPesertaKemenkeu!$N$6:$N$1005,SMALL(IF(checklistPesertaKemenkeu!$AY$6:$AY$1005="Direkomendasikan",ROW($6:$1005)-5),802))="",INDEX(checklistPesertaKemenkeu!$J$6:$J$1005,SMALL(IF(checklistPesertaKemenkeu!$AY$6:$AY$1005="Direkomendasikan",ROW($6:$1005)-5),802))=""),"",IF(AND(COUNTIF(INDIRECT("K_"&amp;MATCH(INDEX(checklistPesertaKemenkeu!$J$6:$J$1005,SMALL(IF(checklistPesertaKemenkeu!$AY$6:$AY$1005="Direkomendasikan",ROW($6:$1005)-5),802)),BidangList,0)),INDEX(checklistPesertaKemenkeu!$N$6:$N$1005,SMALL(IF(checklistPesertaKemenkeu!$AY$6:$AY$1005="Direkomendasikan",ROW($6:$1005)-5),802)))&gt;0,COUNTIF(INDIRECT("'KERTAS KERJA'!K"&amp;(SMALL(IF(checklistPesertaKemenkeu!$AY$6:$AY$1005="Direkomendasikan",ROW($6:$1005)-5),802)+5)&amp;":O"&amp;(SMALL(IF(checklistPesertaKemenkeu!$AY$6:$AY$1005="Direkomendasikan",ROW($6:$1005)-5),802)+5)),INDEX(checklistPesertaKemenkeu!$N$6:$N$1005,SMALL(IF(checklistPesertaKemenkeu!$AY$6:$AY$1005="Direkomendasikan",ROW($6:$1005)-5),802)))=1),IFERROR(VLOOKUP(INDEX(checklistPesertaKemenkeu!$N$6:$N$1005,SMALL(IF(checklistPesertaKemenkeu!$AY$6:$AY$1005="Direkomendasikan",ROW($6:$1005)-5),802)),KotaKode,2,0),"-"),"")),"")</f>
        <v/>
      </c>
      <c r="K803" t="str">
        <f t="array" aca="1" ref="K803" ca="1">IFERROR(IF(OR(INDEX(checklistPesertaKemenkeu!$O$6:$O$1005,SMALL(IF(checklistPesertaKemenkeu!$AY$6:$AY$1005="Direkomendasikan",ROW($6:$1005)-5),802))="",INDEX(checklistPesertaKemenkeu!$J$6:$J$1005,SMALL(IF(checklistPesertaKemenkeu!$AY$6:$AY$1005="Direkomendasikan",ROW($6:$1005)-5),802))=""),"",IF(AND(COUNTIF(INDIRECT("K_"&amp;MATCH(INDEX(checklistPesertaKemenkeu!$J$6:$J$1005,SMALL(IF(checklistPesertaKemenkeu!$AY$6:$AY$1005="Direkomendasikan",ROW($6:$1005)-5),802)),BidangList,0)),INDEX(checklistPesertaKemenkeu!$O$6:$O$1005,SMALL(IF(checklistPesertaKemenkeu!$AY$6:$AY$1005="Direkomendasikan",ROW($6:$1005)-5),802)))&gt;0,COUNTIF(INDIRECT("'KERTAS KERJA'!K"&amp;(SMALL(IF(checklistPesertaKemenkeu!$AY$6:$AY$1005="Direkomendasikan",ROW($6:$1005)-5),802)+5)&amp;":O"&amp;(SMALL(IF(checklistPesertaKemenkeu!$AY$6:$AY$1005="Direkomendasikan",ROW($6:$1005)-5),802)+5)),INDEX(checklistPesertaKemenkeu!$O$6:$O$1005,SMALL(IF(checklistPesertaKemenkeu!$AY$6:$AY$1005="Direkomendasikan",ROW($6:$1005)-5),802)))=1),IFERROR(VLOOKUP(INDEX(checklistPesertaKemenkeu!$O$6:$O$1005,SMALL(IF(checklistPesertaKemenkeu!$AY$6:$AY$1005="Direkomendasikan",ROW($6:$1005)-5),802)),KotaKode,2,0),"-"),"")),"")</f>
        <v/>
      </c>
      <c r="L803" t="str">
        <f t="array" aca="1" ref="L803" ca="1">IFERROR(IF(OR(INDEX(checklistPesertaKemenkeu!$P$6:$P$1005,SMALL(IF(checklistPesertaKemenkeu!$AY$6:$AY$1005="Direkomendasikan",ROW($6:$1005)-5),802))="",INDEX(checklistPesertaKemenkeu!$J$6:$J$1005,SMALL(IF(checklistPesertaKemenkeu!$AY$6:$AY$1005="Direkomendasikan",ROW($6:$1005)-5),802))=""),"",IF(AND(COUNTIF(INDIRECT("K_"&amp;MATCH(INDEX(checklistPesertaKemenkeu!$J$6:$J$1005,SMALL(IF(checklistPesertaKemenkeu!$AY$6:$AY$1005="Direkomendasikan",ROW($6:$1005)-5),802)),BidangList,0)),INDEX(checklistPesertaKemenkeu!$P$6:$P$1005,SMALL(IF(checklistPesertaKemenkeu!$AY$6:$AY$1005="Direkomendasikan",ROW($6:$1005)-5),802)))&gt;0,COUNTIF(INDIRECT("'KERTAS KERJA'!K"&amp;(SMALL(IF(checklistPesertaKemenkeu!$AY$6:$AY$1005="Direkomendasikan",ROW($6:$1005)-5),802)+5)&amp;":O"&amp;(SMALL(IF(checklistPesertaKemenkeu!$AY$6:$AY$1005="Direkomendasikan",ROW($6:$1005)-5),802)+5)),INDEX(checklistPesertaKemenkeu!$P$6:$P$1005,SMALL(IF(checklistPesertaKemenkeu!$AY$6:$AY$1005="Direkomendasikan",ROW($6:$1005)-5),802)))=1),IFERROR(VLOOKUP(INDEX(checklistPesertaKemenkeu!$P$6:$P$1005,SMALL(IF(checklistPesertaKemenkeu!$AY$6:$AY$1005="Direkomendasikan",ROW($6:$1005)-5),802)),KotaKode,2,0),"-"),"")),"")</f>
        <v/>
      </c>
    </row>
    <row r="804" spans="1:12" ht="15" customHeight="1" x14ac:dyDescent="0.2">
      <c r="A804" t="str">
        <f t="shared" si="12"/>
        <v/>
      </c>
      <c r="B804" t="str">
        <v/>
      </c>
      <c r="C804" s="40" t="str">
        <f t="array" ref="C804">IFERROR(INDEX(checklistPesertaKemenkeu!$F$6:$F$1005,SMALL(IF(checklistPesertaKemenkeu!$AY$6:$AY$1005="Direkomendasikan",ROW($6:$1005)-5),803)),"")</f>
        <v/>
      </c>
      <c r="D804" t="str">
        <f t="array" ref="D804">IFERROR(INDEX(checklistPesertaKemenkeu!$G$6:$G$1005,SMALL(IF(checklistPesertaKemenkeu!$AY$6:$AY$1005="Direkomendasikan",ROW($6:$1005)-5),803)),"")</f>
        <v/>
      </c>
      <c r="E804" t="str">
        <f t="array" ref="E804">IFERROR(INDEX(checklistPesertaKemenkeu!$H$6:$H$1005,SMALL(IF(checklistPesertaKemenkeu!$AY$6:$AY$1005="Direkomendasikan",ROW($6:$1005)-5),803)),"")</f>
        <v/>
      </c>
      <c r="F804" t="str">
        <f t="array" ref="F804">IFERROR(INDEX(checklistPesertaKemenkeu!$I$6:$I$1005,SMALL(IF(checklistPesertaKemenkeu!$AY$6:$AY$1005="Direkomendasikan",ROW($6:$1005)-5),803)),"")</f>
        <v/>
      </c>
      <c r="G804" t="str">
        <f t="array" ref="G804">IFERROR(INDEX(checklistPesertaKemenkeu!$J$6:$J$1005,SMALL(IF(checklistPesertaKemenkeu!$AY$6:$AY$1005="Direkomendasikan",ROW($6:$1005)-5),803)),"")</f>
        <v/>
      </c>
      <c r="H804" t="str">
        <f t="array" aca="1" ref="H804" ca="1">IFERROR(IF(OR(INDEX(checklistPesertaKemenkeu!$L$6:$L$1005,SMALL(IF(checklistPesertaKemenkeu!$AY$6:$AY$1005="Direkomendasikan",ROW($6:$1005)-5),803))="",INDEX(checklistPesertaKemenkeu!$J$6:$J$1005,SMALL(IF(checklistPesertaKemenkeu!$AY$6:$AY$1005="Direkomendasikan",ROW($6:$1005)-5),803))=""),"",IF(AND(COUNTIF(INDIRECT("K_"&amp;MATCH(INDEX(checklistPesertaKemenkeu!$J$6:$J$1005,SMALL(IF(checklistPesertaKemenkeu!$AY$6:$AY$1005="Direkomendasikan",ROW($6:$1005)-5),803)),BidangList,0)),INDEX(checklistPesertaKemenkeu!$L$6:$L$1005,SMALL(IF(checklistPesertaKemenkeu!$AY$6:$AY$1005="Direkomendasikan",ROW($6:$1005)-5),803)))&gt;0,COUNTIF(INDIRECT("'KERTAS KERJA'!K"&amp;(SMALL(IF(checklistPesertaKemenkeu!$AY$6:$AY$1005="Direkomendasikan",ROW($6:$1005)-5),803)+5)&amp;":O"&amp;(SMALL(IF(checklistPesertaKemenkeu!$AY$6:$AY$1005="Direkomendasikan",ROW($6:$1005)-5),803)+5)),INDEX(checklistPesertaKemenkeu!$L$6:$L$1005,SMALL(IF(checklistPesertaKemenkeu!$AY$6:$AY$1005="Direkomendasikan",ROW($6:$1005)-5),803)))=1),IFERROR(VLOOKUP(INDEX(checklistPesertaKemenkeu!$L$6:$L$1005,SMALL(IF(checklistPesertaKemenkeu!$AY$6:$AY$1005="Direkomendasikan",ROW($6:$1005)-5),803)),KotaKode,2,0),"-"),"")),"")</f>
        <v/>
      </c>
      <c r="I804" t="str">
        <f t="array" aca="1" ref="I804" ca="1">IFERROR(IF(OR(INDEX(checklistPesertaKemenkeu!$M$6:$M$1005,SMALL(IF(checklistPesertaKemenkeu!$AY$6:$AY$1005="Direkomendasikan",ROW($6:$1005)-5),803))="",INDEX(checklistPesertaKemenkeu!$J$6:$J$1005,SMALL(IF(checklistPesertaKemenkeu!$AY$6:$AY$1005="Direkomendasikan",ROW($6:$1005)-5),803))=""),"",IF(AND(COUNTIF(INDIRECT("K_"&amp;MATCH(INDEX(checklistPesertaKemenkeu!$J$6:$J$1005,SMALL(IF(checklistPesertaKemenkeu!$AY$6:$AY$1005="Direkomendasikan",ROW($6:$1005)-5),803)),BidangList,0)),INDEX(checklistPesertaKemenkeu!$M$6:$M$1005,SMALL(IF(checklistPesertaKemenkeu!$AY$6:$AY$1005="Direkomendasikan",ROW($6:$1005)-5),803)))&gt;0,COUNTIF(INDIRECT("'KERTAS KERJA'!K"&amp;(SMALL(IF(checklistPesertaKemenkeu!$AY$6:$AY$1005="Direkomendasikan",ROW($6:$1005)-5),803)+5)&amp;":O"&amp;(SMALL(IF(checklistPesertaKemenkeu!$AY$6:$AY$1005="Direkomendasikan",ROW($6:$1005)-5),803)+5)),INDEX(checklistPesertaKemenkeu!$M$6:$M$1005,SMALL(IF(checklistPesertaKemenkeu!$AY$6:$AY$1005="Direkomendasikan",ROW($6:$1005)-5),803)))=1),IFERROR(VLOOKUP(INDEX(checklistPesertaKemenkeu!$M$6:$M$1005,SMALL(IF(checklistPesertaKemenkeu!$AY$6:$AY$1005="Direkomendasikan",ROW($6:$1005)-5),803)),KotaKode,2,0),"-"),"")),"")</f>
        <v/>
      </c>
      <c r="J804" t="str">
        <f t="array" aca="1" ref="J804" ca="1">IFERROR(IF(OR(INDEX(checklistPesertaKemenkeu!$N$6:$N$1005,SMALL(IF(checklistPesertaKemenkeu!$AY$6:$AY$1005="Direkomendasikan",ROW($6:$1005)-5),803))="",INDEX(checklistPesertaKemenkeu!$J$6:$J$1005,SMALL(IF(checklistPesertaKemenkeu!$AY$6:$AY$1005="Direkomendasikan",ROW($6:$1005)-5),803))=""),"",IF(AND(COUNTIF(INDIRECT("K_"&amp;MATCH(INDEX(checklistPesertaKemenkeu!$J$6:$J$1005,SMALL(IF(checklistPesertaKemenkeu!$AY$6:$AY$1005="Direkomendasikan",ROW($6:$1005)-5),803)),BidangList,0)),INDEX(checklistPesertaKemenkeu!$N$6:$N$1005,SMALL(IF(checklistPesertaKemenkeu!$AY$6:$AY$1005="Direkomendasikan",ROW($6:$1005)-5),803)))&gt;0,COUNTIF(INDIRECT("'KERTAS KERJA'!K"&amp;(SMALL(IF(checklistPesertaKemenkeu!$AY$6:$AY$1005="Direkomendasikan",ROW($6:$1005)-5),803)+5)&amp;":O"&amp;(SMALL(IF(checklistPesertaKemenkeu!$AY$6:$AY$1005="Direkomendasikan",ROW($6:$1005)-5),803)+5)),INDEX(checklistPesertaKemenkeu!$N$6:$N$1005,SMALL(IF(checklistPesertaKemenkeu!$AY$6:$AY$1005="Direkomendasikan",ROW($6:$1005)-5),803)))=1),IFERROR(VLOOKUP(INDEX(checklistPesertaKemenkeu!$N$6:$N$1005,SMALL(IF(checklistPesertaKemenkeu!$AY$6:$AY$1005="Direkomendasikan",ROW($6:$1005)-5),803)),KotaKode,2,0),"-"),"")),"")</f>
        <v/>
      </c>
      <c r="K804" t="str">
        <f t="array" aca="1" ref="K804" ca="1">IFERROR(IF(OR(INDEX(checklistPesertaKemenkeu!$O$6:$O$1005,SMALL(IF(checklistPesertaKemenkeu!$AY$6:$AY$1005="Direkomendasikan",ROW($6:$1005)-5),803))="",INDEX(checklistPesertaKemenkeu!$J$6:$J$1005,SMALL(IF(checklistPesertaKemenkeu!$AY$6:$AY$1005="Direkomendasikan",ROW($6:$1005)-5),803))=""),"",IF(AND(COUNTIF(INDIRECT("K_"&amp;MATCH(INDEX(checklistPesertaKemenkeu!$J$6:$J$1005,SMALL(IF(checklistPesertaKemenkeu!$AY$6:$AY$1005="Direkomendasikan",ROW($6:$1005)-5),803)),BidangList,0)),INDEX(checklistPesertaKemenkeu!$O$6:$O$1005,SMALL(IF(checklistPesertaKemenkeu!$AY$6:$AY$1005="Direkomendasikan",ROW($6:$1005)-5),803)))&gt;0,COUNTIF(INDIRECT("'KERTAS KERJA'!K"&amp;(SMALL(IF(checklistPesertaKemenkeu!$AY$6:$AY$1005="Direkomendasikan",ROW($6:$1005)-5),803)+5)&amp;":O"&amp;(SMALL(IF(checklistPesertaKemenkeu!$AY$6:$AY$1005="Direkomendasikan",ROW($6:$1005)-5),803)+5)),INDEX(checklistPesertaKemenkeu!$O$6:$O$1005,SMALL(IF(checklistPesertaKemenkeu!$AY$6:$AY$1005="Direkomendasikan",ROW($6:$1005)-5),803)))=1),IFERROR(VLOOKUP(INDEX(checklistPesertaKemenkeu!$O$6:$O$1005,SMALL(IF(checklistPesertaKemenkeu!$AY$6:$AY$1005="Direkomendasikan",ROW($6:$1005)-5),803)),KotaKode,2,0),"-"),"")),"")</f>
        <v/>
      </c>
      <c r="L804" t="str">
        <f t="array" aca="1" ref="L804" ca="1">IFERROR(IF(OR(INDEX(checklistPesertaKemenkeu!$P$6:$P$1005,SMALL(IF(checklistPesertaKemenkeu!$AY$6:$AY$1005="Direkomendasikan",ROW($6:$1005)-5),803))="",INDEX(checklistPesertaKemenkeu!$J$6:$J$1005,SMALL(IF(checklistPesertaKemenkeu!$AY$6:$AY$1005="Direkomendasikan",ROW($6:$1005)-5),803))=""),"",IF(AND(COUNTIF(INDIRECT("K_"&amp;MATCH(INDEX(checklistPesertaKemenkeu!$J$6:$J$1005,SMALL(IF(checklistPesertaKemenkeu!$AY$6:$AY$1005="Direkomendasikan",ROW($6:$1005)-5),803)),BidangList,0)),INDEX(checklistPesertaKemenkeu!$P$6:$P$1005,SMALL(IF(checklistPesertaKemenkeu!$AY$6:$AY$1005="Direkomendasikan",ROW($6:$1005)-5),803)))&gt;0,COUNTIF(INDIRECT("'KERTAS KERJA'!K"&amp;(SMALL(IF(checklistPesertaKemenkeu!$AY$6:$AY$1005="Direkomendasikan",ROW($6:$1005)-5),803)+5)&amp;":O"&amp;(SMALL(IF(checklistPesertaKemenkeu!$AY$6:$AY$1005="Direkomendasikan",ROW($6:$1005)-5),803)+5)),INDEX(checklistPesertaKemenkeu!$P$6:$P$1005,SMALL(IF(checklistPesertaKemenkeu!$AY$6:$AY$1005="Direkomendasikan",ROW($6:$1005)-5),803)))=1),IFERROR(VLOOKUP(INDEX(checklistPesertaKemenkeu!$P$6:$P$1005,SMALL(IF(checklistPesertaKemenkeu!$AY$6:$AY$1005="Direkomendasikan",ROW($6:$1005)-5),803)),KotaKode,2,0),"-"),"")),"")</f>
        <v/>
      </c>
    </row>
    <row r="805" spans="1:12" ht="15" customHeight="1" x14ac:dyDescent="0.2">
      <c r="A805" t="str">
        <f t="shared" si="12"/>
        <v/>
      </c>
      <c r="B805" t="str">
        <v/>
      </c>
      <c r="C805" s="40" t="str">
        <f t="array" ref="C805">IFERROR(INDEX(checklistPesertaKemenkeu!$F$6:$F$1005,SMALL(IF(checklistPesertaKemenkeu!$AY$6:$AY$1005="Direkomendasikan",ROW($6:$1005)-5),804)),"")</f>
        <v/>
      </c>
      <c r="D805" t="str">
        <f t="array" ref="D805">IFERROR(INDEX(checklistPesertaKemenkeu!$G$6:$G$1005,SMALL(IF(checklistPesertaKemenkeu!$AY$6:$AY$1005="Direkomendasikan",ROW($6:$1005)-5),804)),"")</f>
        <v/>
      </c>
      <c r="E805" t="str">
        <f t="array" ref="E805">IFERROR(INDEX(checklistPesertaKemenkeu!$H$6:$H$1005,SMALL(IF(checklistPesertaKemenkeu!$AY$6:$AY$1005="Direkomendasikan",ROW($6:$1005)-5),804)),"")</f>
        <v/>
      </c>
      <c r="F805" t="str">
        <f t="array" ref="F805">IFERROR(INDEX(checklistPesertaKemenkeu!$I$6:$I$1005,SMALL(IF(checklistPesertaKemenkeu!$AY$6:$AY$1005="Direkomendasikan",ROW($6:$1005)-5),804)),"")</f>
        <v/>
      </c>
      <c r="G805" t="str">
        <f t="array" ref="G805">IFERROR(INDEX(checklistPesertaKemenkeu!$J$6:$J$1005,SMALL(IF(checklistPesertaKemenkeu!$AY$6:$AY$1005="Direkomendasikan",ROW($6:$1005)-5),804)),"")</f>
        <v/>
      </c>
      <c r="H805" t="str">
        <f t="array" aca="1" ref="H805" ca="1">IFERROR(IF(OR(INDEX(checklistPesertaKemenkeu!$L$6:$L$1005,SMALL(IF(checklistPesertaKemenkeu!$AY$6:$AY$1005="Direkomendasikan",ROW($6:$1005)-5),804))="",INDEX(checklistPesertaKemenkeu!$J$6:$J$1005,SMALL(IF(checklistPesertaKemenkeu!$AY$6:$AY$1005="Direkomendasikan",ROW($6:$1005)-5),804))=""),"",IF(AND(COUNTIF(INDIRECT("K_"&amp;MATCH(INDEX(checklistPesertaKemenkeu!$J$6:$J$1005,SMALL(IF(checklistPesertaKemenkeu!$AY$6:$AY$1005="Direkomendasikan",ROW($6:$1005)-5),804)),BidangList,0)),INDEX(checklistPesertaKemenkeu!$L$6:$L$1005,SMALL(IF(checklistPesertaKemenkeu!$AY$6:$AY$1005="Direkomendasikan",ROW($6:$1005)-5),804)))&gt;0,COUNTIF(INDIRECT("'KERTAS KERJA'!K"&amp;(SMALL(IF(checklistPesertaKemenkeu!$AY$6:$AY$1005="Direkomendasikan",ROW($6:$1005)-5),804)+5)&amp;":O"&amp;(SMALL(IF(checklistPesertaKemenkeu!$AY$6:$AY$1005="Direkomendasikan",ROW($6:$1005)-5),804)+5)),INDEX(checklistPesertaKemenkeu!$L$6:$L$1005,SMALL(IF(checklistPesertaKemenkeu!$AY$6:$AY$1005="Direkomendasikan",ROW($6:$1005)-5),804)))=1),IFERROR(VLOOKUP(INDEX(checklistPesertaKemenkeu!$L$6:$L$1005,SMALL(IF(checklistPesertaKemenkeu!$AY$6:$AY$1005="Direkomendasikan",ROW($6:$1005)-5),804)),KotaKode,2,0),"-"),"")),"")</f>
        <v/>
      </c>
      <c r="I805" t="str">
        <f t="array" aca="1" ref="I805" ca="1">IFERROR(IF(OR(INDEX(checklistPesertaKemenkeu!$M$6:$M$1005,SMALL(IF(checklistPesertaKemenkeu!$AY$6:$AY$1005="Direkomendasikan",ROW($6:$1005)-5),804))="",INDEX(checklistPesertaKemenkeu!$J$6:$J$1005,SMALL(IF(checklistPesertaKemenkeu!$AY$6:$AY$1005="Direkomendasikan",ROW($6:$1005)-5),804))=""),"",IF(AND(COUNTIF(INDIRECT("K_"&amp;MATCH(INDEX(checklistPesertaKemenkeu!$J$6:$J$1005,SMALL(IF(checklistPesertaKemenkeu!$AY$6:$AY$1005="Direkomendasikan",ROW($6:$1005)-5),804)),BidangList,0)),INDEX(checklistPesertaKemenkeu!$M$6:$M$1005,SMALL(IF(checklistPesertaKemenkeu!$AY$6:$AY$1005="Direkomendasikan",ROW($6:$1005)-5),804)))&gt;0,COUNTIF(INDIRECT("'KERTAS KERJA'!K"&amp;(SMALL(IF(checklistPesertaKemenkeu!$AY$6:$AY$1005="Direkomendasikan",ROW($6:$1005)-5),804)+5)&amp;":O"&amp;(SMALL(IF(checklistPesertaKemenkeu!$AY$6:$AY$1005="Direkomendasikan",ROW($6:$1005)-5),804)+5)),INDEX(checklistPesertaKemenkeu!$M$6:$M$1005,SMALL(IF(checklistPesertaKemenkeu!$AY$6:$AY$1005="Direkomendasikan",ROW($6:$1005)-5),804)))=1),IFERROR(VLOOKUP(INDEX(checklistPesertaKemenkeu!$M$6:$M$1005,SMALL(IF(checklistPesertaKemenkeu!$AY$6:$AY$1005="Direkomendasikan",ROW($6:$1005)-5),804)),KotaKode,2,0),"-"),"")),"")</f>
        <v/>
      </c>
      <c r="J805" t="str">
        <f t="array" aca="1" ref="J805" ca="1">IFERROR(IF(OR(INDEX(checklistPesertaKemenkeu!$N$6:$N$1005,SMALL(IF(checklistPesertaKemenkeu!$AY$6:$AY$1005="Direkomendasikan",ROW($6:$1005)-5),804))="",INDEX(checklistPesertaKemenkeu!$J$6:$J$1005,SMALL(IF(checklistPesertaKemenkeu!$AY$6:$AY$1005="Direkomendasikan",ROW($6:$1005)-5),804))=""),"",IF(AND(COUNTIF(INDIRECT("K_"&amp;MATCH(INDEX(checklistPesertaKemenkeu!$J$6:$J$1005,SMALL(IF(checklistPesertaKemenkeu!$AY$6:$AY$1005="Direkomendasikan",ROW($6:$1005)-5),804)),BidangList,0)),INDEX(checklistPesertaKemenkeu!$N$6:$N$1005,SMALL(IF(checklistPesertaKemenkeu!$AY$6:$AY$1005="Direkomendasikan",ROW($6:$1005)-5),804)))&gt;0,COUNTIF(INDIRECT("'KERTAS KERJA'!K"&amp;(SMALL(IF(checklistPesertaKemenkeu!$AY$6:$AY$1005="Direkomendasikan",ROW($6:$1005)-5),804)+5)&amp;":O"&amp;(SMALL(IF(checklistPesertaKemenkeu!$AY$6:$AY$1005="Direkomendasikan",ROW($6:$1005)-5),804)+5)),INDEX(checklistPesertaKemenkeu!$N$6:$N$1005,SMALL(IF(checklistPesertaKemenkeu!$AY$6:$AY$1005="Direkomendasikan",ROW($6:$1005)-5),804)))=1),IFERROR(VLOOKUP(INDEX(checklistPesertaKemenkeu!$N$6:$N$1005,SMALL(IF(checklistPesertaKemenkeu!$AY$6:$AY$1005="Direkomendasikan",ROW($6:$1005)-5),804)),KotaKode,2,0),"-"),"")),"")</f>
        <v/>
      </c>
      <c r="K805" t="str">
        <f t="array" aca="1" ref="K805" ca="1">IFERROR(IF(OR(INDEX(checklistPesertaKemenkeu!$O$6:$O$1005,SMALL(IF(checklistPesertaKemenkeu!$AY$6:$AY$1005="Direkomendasikan",ROW($6:$1005)-5),804))="",INDEX(checklistPesertaKemenkeu!$J$6:$J$1005,SMALL(IF(checklistPesertaKemenkeu!$AY$6:$AY$1005="Direkomendasikan",ROW($6:$1005)-5),804))=""),"",IF(AND(COUNTIF(INDIRECT("K_"&amp;MATCH(INDEX(checklistPesertaKemenkeu!$J$6:$J$1005,SMALL(IF(checklistPesertaKemenkeu!$AY$6:$AY$1005="Direkomendasikan",ROW($6:$1005)-5),804)),BidangList,0)),INDEX(checklistPesertaKemenkeu!$O$6:$O$1005,SMALL(IF(checklistPesertaKemenkeu!$AY$6:$AY$1005="Direkomendasikan",ROW($6:$1005)-5),804)))&gt;0,COUNTIF(INDIRECT("'KERTAS KERJA'!K"&amp;(SMALL(IF(checklistPesertaKemenkeu!$AY$6:$AY$1005="Direkomendasikan",ROW($6:$1005)-5),804)+5)&amp;":O"&amp;(SMALL(IF(checklistPesertaKemenkeu!$AY$6:$AY$1005="Direkomendasikan",ROW($6:$1005)-5),804)+5)),INDEX(checklistPesertaKemenkeu!$O$6:$O$1005,SMALL(IF(checklistPesertaKemenkeu!$AY$6:$AY$1005="Direkomendasikan",ROW($6:$1005)-5),804)))=1),IFERROR(VLOOKUP(INDEX(checklistPesertaKemenkeu!$O$6:$O$1005,SMALL(IF(checklistPesertaKemenkeu!$AY$6:$AY$1005="Direkomendasikan",ROW($6:$1005)-5),804)),KotaKode,2,0),"-"),"")),"")</f>
        <v/>
      </c>
      <c r="L805" t="str">
        <f t="array" aca="1" ref="L805" ca="1">IFERROR(IF(OR(INDEX(checklistPesertaKemenkeu!$P$6:$P$1005,SMALL(IF(checklistPesertaKemenkeu!$AY$6:$AY$1005="Direkomendasikan",ROW($6:$1005)-5),804))="",INDEX(checklistPesertaKemenkeu!$J$6:$J$1005,SMALL(IF(checklistPesertaKemenkeu!$AY$6:$AY$1005="Direkomendasikan",ROW($6:$1005)-5),804))=""),"",IF(AND(COUNTIF(INDIRECT("K_"&amp;MATCH(INDEX(checklistPesertaKemenkeu!$J$6:$J$1005,SMALL(IF(checklistPesertaKemenkeu!$AY$6:$AY$1005="Direkomendasikan",ROW($6:$1005)-5),804)),BidangList,0)),INDEX(checklistPesertaKemenkeu!$P$6:$P$1005,SMALL(IF(checklistPesertaKemenkeu!$AY$6:$AY$1005="Direkomendasikan",ROW($6:$1005)-5),804)))&gt;0,COUNTIF(INDIRECT("'KERTAS KERJA'!K"&amp;(SMALL(IF(checklistPesertaKemenkeu!$AY$6:$AY$1005="Direkomendasikan",ROW($6:$1005)-5),804)+5)&amp;":O"&amp;(SMALL(IF(checklistPesertaKemenkeu!$AY$6:$AY$1005="Direkomendasikan",ROW($6:$1005)-5),804)+5)),INDEX(checklistPesertaKemenkeu!$P$6:$P$1005,SMALL(IF(checklistPesertaKemenkeu!$AY$6:$AY$1005="Direkomendasikan",ROW($6:$1005)-5),804)))=1),IFERROR(VLOOKUP(INDEX(checklistPesertaKemenkeu!$P$6:$P$1005,SMALL(IF(checklistPesertaKemenkeu!$AY$6:$AY$1005="Direkomendasikan",ROW($6:$1005)-5),804)),KotaKode,2,0),"-"),"")),"")</f>
        <v/>
      </c>
    </row>
    <row r="806" spans="1:12" ht="15" customHeight="1" x14ac:dyDescent="0.2">
      <c r="A806" t="str">
        <f t="shared" si="12"/>
        <v/>
      </c>
      <c r="B806" t="str">
        <v/>
      </c>
      <c r="C806" s="40" t="str">
        <f t="array" ref="C806">IFERROR(INDEX(checklistPesertaKemenkeu!$F$6:$F$1005,SMALL(IF(checklistPesertaKemenkeu!$AY$6:$AY$1005="Direkomendasikan",ROW($6:$1005)-5),805)),"")</f>
        <v/>
      </c>
      <c r="D806" t="str">
        <f t="array" ref="D806">IFERROR(INDEX(checklistPesertaKemenkeu!$G$6:$G$1005,SMALL(IF(checklistPesertaKemenkeu!$AY$6:$AY$1005="Direkomendasikan",ROW($6:$1005)-5),805)),"")</f>
        <v/>
      </c>
      <c r="E806" t="str">
        <f t="array" ref="E806">IFERROR(INDEX(checklistPesertaKemenkeu!$H$6:$H$1005,SMALL(IF(checklistPesertaKemenkeu!$AY$6:$AY$1005="Direkomendasikan",ROW($6:$1005)-5),805)),"")</f>
        <v/>
      </c>
      <c r="F806" t="str">
        <f t="array" ref="F806">IFERROR(INDEX(checklistPesertaKemenkeu!$I$6:$I$1005,SMALL(IF(checklistPesertaKemenkeu!$AY$6:$AY$1005="Direkomendasikan",ROW($6:$1005)-5),805)),"")</f>
        <v/>
      </c>
      <c r="G806" t="str">
        <f t="array" ref="G806">IFERROR(INDEX(checklistPesertaKemenkeu!$J$6:$J$1005,SMALL(IF(checklistPesertaKemenkeu!$AY$6:$AY$1005="Direkomendasikan",ROW($6:$1005)-5),805)),"")</f>
        <v/>
      </c>
      <c r="H806" t="str">
        <f t="array" aca="1" ref="H806" ca="1">IFERROR(IF(OR(INDEX(checklistPesertaKemenkeu!$L$6:$L$1005,SMALL(IF(checklistPesertaKemenkeu!$AY$6:$AY$1005="Direkomendasikan",ROW($6:$1005)-5),805))="",INDEX(checklistPesertaKemenkeu!$J$6:$J$1005,SMALL(IF(checklistPesertaKemenkeu!$AY$6:$AY$1005="Direkomendasikan",ROW($6:$1005)-5),805))=""),"",IF(AND(COUNTIF(INDIRECT("K_"&amp;MATCH(INDEX(checklistPesertaKemenkeu!$J$6:$J$1005,SMALL(IF(checklistPesertaKemenkeu!$AY$6:$AY$1005="Direkomendasikan",ROW($6:$1005)-5),805)),BidangList,0)),INDEX(checklistPesertaKemenkeu!$L$6:$L$1005,SMALL(IF(checklistPesertaKemenkeu!$AY$6:$AY$1005="Direkomendasikan",ROW($6:$1005)-5),805)))&gt;0,COUNTIF(INDIRECT("'KERTAS KERJA'!K"&amp;(SMALL(IF(checklistPesertaKemenkeu!$AY$6:$AY$1005="Direkomendasikan",ROW($6:$1005)-5),805)+5)&amp;":O"&amp;(SMALL(IF(checklistPesertaKemenkeu!$AY$6:$AY$1005="Direkomendasikan",ROW($6:$1005)-5),805)+5)),INDEX(checklistPesertaKemenkeu!$L$6:$L$1005,SMALL(IF(checklistPesertaKemenkeu!$AY$6:$AY$1005="Direkomendasikan",ROW($6:$1005)-5),805)))=1),IFERROR(VLOOKUP(INDEX(checklistPesertaKemenkeu!$L$6:$L$1005,SMALL(IF(checklistPesertaKemenkeu!$AY$6:$AY$1005="Direkomendasikan",ROW($6:$1005)-5),805)),KotaKode,2,0),"-"),"")),"")</f>
        <v/>
      </c>
      <c r="I806" t="str">
        <f t="array" aca="1" ref="I806" ca="1">IFERROR(IF(OR(INDEX(checklistPesertaKemenkeu!$M$6:$M$1005,SMALL(IF(checklistPesertaKemenkeu!$AY$6:$AY$1005="Direkomendasikan",ROW($6:$1005)-5),805))="",INDEX(checklistPesertaKemenkeu!$J$6:$J$1005,SMALL(IF(checklistPesertaKemenkeu!$AY$6:$AY$1005="Direkomendasikan",ROW($6:$1005)-5),805))=""),"",IF(AND(COUNTIF(INDIRECT("K_"&amp;MATCH(INDEX(checklistPesertaKemenkeu!$J$6:$J$1005,SMALL(IF(checklistPesertaKemenkeu!$AY$6:$AY$1005="Direkomendasikan",ROW($6:$1005)-5),805)),BidangList,0)),INDEX(checklistPesertaKemenkeu!$M$6:$M$1005,SMALL(IF(checklistPesertaKemenkeu!$AY$6:$AY$1005="Direkomendasikan",ROW($6:$1005)-5),805)))&gt;0,COUNTIF(INDIRECT("'KERTAS KERJA'!K"&amp;(SMALL(IF(checklistPesertaKemenkeu!$AY$6:$AY$1005="Direkomendasikan",ROW($6:$1005)-5),805)+5)&amp;":O"&amp;(SMALL(IF(checklistPesertaKemenkeu!$AY$6:$AY$1005="Direkomendasikan",ROW($6:$1005)-5),805)+5)),INDEX(checklistPesertaKemenkeu!$M$6:$M$1005,SMALL(IF(checklistPesertaKemenkeu!$AY$6:$AY$1005="Direkomendasikan",ROW($6:$1005)-5),805)))=1),IFERROR(VLOOKUP(INDEX(checklistPesertaKemenkeu!$M$6:$M$1005,SMALL(IF(checklistPesertaKemenkeu!$AY$6:$AY$1005="Direkomendasikan",ROW($6:$1005)-5),805)),KotaKode,2,0),"-"),"")),"")</f>
        <v/>
      </c>
      <c r="J806" t="str">
        <f t="array" aca="1" ref="J806" ca="1">IFERROR(IF(OR(INDEX(checklistPesertaKemenkeu!$N$6:$N$1005,SMALL(IF(checklistPesertaKemenkeu!$AY$6:$AY$1005="Direkomendasikan",ROW($6:$1005)-5),805))="",INDEX(checklistPesertaKemenkeu!$J$6:$J$1005,SMALL(IF(checklistPesertaKemenkeu!$AY$6:$AY$1005="Direkomendasikan",ROW($6:$1005)-5),805))=""),"",IF(AND(COUNTIF(INDIRECT("K_"&amp;MATCH(INDEX(checklistPesertaKemenkeu!$J$6:$J$1005,SMALL(IF(checklistPesertaKemenkeu!$AY$6:$AY$1005="Direkomendasikan",ROW($6:$1005)-5),805)),BidangList,0)),INDEX(checklistPesertaKemenkeu!$N$6:$N$1005,SMALL(IF(checklistPesertaKemenkeu!$AY$6:$AY$1005="Direkomendasikan",ROW($6:$1005)-5),805)))&gt;0,COUNTIF(INDIRECT("'KERTAS KERJA'!K"&amp;(SMALL(IF(checklistPesertaKemenkeu!$AY$6:$AY$1005="Direkomendasikan",ROW($6:$1005)-5),805)+5)&amp;":O"&amp;(SMALL(IF(checklistPesertaKemenkeu!$AY$6:$AY$1005="Direkomendasikan",ROW($6:$1005)-5),805)+5)),INDEX(checklistPesertaKemenkeu!$N$6:$N$1005,SMALL(IF(checklistPesertaKemenkeu!$AY$6:$AY$1005="Direkomendasikan",ROW($6:$1005)-5),805)))=1),IFERROR(VLOOKUP(INDEX(checklistPesertaKemenkeu!$N$6:$N$1005,SMALL(IF(checklistPesertaKemenkeu!$AY$6:$AY$1005="Direkomendasikan",ROW($6:$1005)-5),805)),KotaKode,2,0),"-"),"")),"")</f>
        <v/>
      </c>
      <c r="K806" t="str">
        <f t="array" aca="1" ref="K806" ca="1">IFERROR(IF(OR(INDEX(checklistPesertaKemenkeu!$O$6:$O$1005,SMALL(IF(checklistPesertaKemenkeu!$AY$6:$AY$1005="Direkomendasikan",ROW($6:$1005)-5),805))="",INDEX(checklistPesertaKemenkeu!$J$6:$J$1005,SMALL(IF(checklistPesertaKemenkeu!$AY$6:$AY$1005="Direkomendasikan",ROW($6:$1005)-5),805))=""),"",IF(AND(COUNTIF(INDIRECT("K_"&amp;MATCH(INDEX(checklistPesertaKemenkeu!$J$6:$J$1005,SMALL(IF(checklistPesertaKemenkeu!$AY$6:$AY$1005="Direkomendasikan",ROW($6:$1005)-5),805)),BidangList,0)),INDEX(checklistPesertaKemenkeu!$O$6:$O$1005,SMALL(IF(checklistPesertaKemenkeu!$AY$6:$AY$1005="Direkomendasikan",ROW($6:$1005)-5),805)))&gt;0,COUNTIF(INDIRECT("'KERTAS KERJA'!K"&amp;(SMALL(IF(checklistPesertaKemenkeu!$AY$6:$AY$1005="Direkomendasikan",ROW($6:$1005)-5),805)+5)&amp;":O"&amp;(SMALL(IF(checklistPesertaKemenkeu!$AY$6:$AY$1005="Direkomendasikan",ROW($6:$1005)-5),805)+5)),INDEX(checklistPesertaKemenkeu!$O$6:$O$1005,SMALL(IF(checklistPesertaKemenkeu!$AY$6:$AY$1005="Direkomendasikan",ROW($6:$1005)-5),805)))=1),IFERROR(VLOOKUP(INDEX(checklistPesertaKemenkeu!$O$6:$O$1005,SMALL(IF(checklistPesertaKemenkeu!$AY$6:$AY$1005="Direkomendasikan",ROW($6:$1005)-5),805)),KotaKode,2,0),"-"),"")),"")</f>
        <v/>
      </c>
      <c r="L806" t="str">
        <f t="array" aca="1" ref="L806" ca="1">IFERROR(IF(OR(INDEX(checklistPesertaKemenkeu!$P$6:$P$1005,SMALL(IF(checklistPesertaKemenkeu!$AY$6:$AY$1005="Direkomendasikan",ROW($6:$1005)-5),805))="",INDEX(checklistPesertaKemenkeu!$J$6:$J$1005,SMALL(IF(checklistPesertaKemenkeu!$AY$6:$AY$1005="Direkomendasikan",ROW($6:$1005)-5),805))=""),"",IF(AND(COUNTIF(INDIRECT("K_"&amp;MATCH(INDEX(checklistPesertaKemenkeu!$J$6:$J$1005,SMALL(IF(checklistPesertaKemenkeu!$AY$6:$AY$1005="Direkomendasikan",ROW($6:$1005)-5),805)),BidangList,0)),INDEX(checklistPesertaKemenkeu!$P$6:$P$1005,SMALL(IF(checklistPesertaKemenkeu!$AY$6:$AY$1005="Direkomendasikan",ROW($6:$1005)-5),805)))&gt;0,COUNTIF(INDIRECT("'KERTAS KERJA'!K"&amp;(SMALL(IF(checklistPesertaKemenkeu!$AY$6:$AY$1005="Direkomendasikan",ROW($6:$1005)-5),805)+5)&amp;":O"&amp;(SMALL(IF(checklistPesertaKemenkeu!$AY$6:$AY$1005="Direkomendasikan",ROW($6:$1005)-5),805)+5)),INDEX(checklistPesertaKemenkeu!$P$6:$P$1005,SMALL(IF(checklistPesertaKemenkeu!$AY$6:$AY$1005="Direkomendasikan",ROW($6:$1005)-5),805)))=1),IFERROR(VLOOKUP(INDEX(checklistPesertaKemenkeu!$P$6:$P$1005,SMALL(IF(checklistPesertaKemenkeu!$AY$6:$AY$1005="Direkomendasikan",ROW($6:$1005)-5),805)),KotaKode,2,0),"-"),"")),"")</f>
        <v/>
      </c>
    </row>
    <row r="807" spans="1:12" ht="15" customHeight="1" x14ac:dyDescent="0.2">
      <c r="A807" t="str">
        <f t="shared" si="12"/>
        <v/>
      </c>
      <c r="B807" t="str">
        <v/>
      </c>
      <c r="C807" s="40" t="str">
        <f t="array" ref="C807">IFERROR(INDEX(checklistPesertaKemenkeu!$F$6:$F$1005,SMALL(IF(checklistPesertaKemenkeu!$AY$6:$AY$1005="Direkomendasikan",ROW($6:$1005)-5),806)),"")</f>
        <v/>
      </c>
      <c r="D807" t="str">
        <f t="array" ref="D807">IFERROR(INDEX(checklistPesertaKemenkeu!$G$6:$G$1005,SMALL(IF(checklistPesertaKemenkeu!$AY$6:$AY$1005="Direkomendasikan",ROW($6:$1005)-5),806)),"")</f>
        <v/>
      </c>
      <c r="E807" t="str">
        <f t="array" ref="E807">IFERROR(INDEX(checklistPesertaKemenkeu!$H$6:$H$1005,SMALL(IF(checklistPesertaKemenkeu!$AY$6:$AY$1005="Direkomendasikan",ROW($6:$1005)-5),806)),"")</f>
        <v/>
      </c>
      <c r="F807" t="str">
        <f t="array" ref="F807">IFERROR(INDEX(checklistPesertaKemenkeu!$I$6:$I$1005,SMALL(IF(checklistPesertaKemenkeu!$AY$6:$AY$1005="Direkomendasikan",ROW($6:$1005)-5),806)),"")</f>
        <v/>
      </c>
      <c r="G807" t="str">
        <f t="array" ref="G807">IFERROR(INDEX(checklistPesertaKemenkeu!$J$6:$J$1005,SMALL(IF(checklistPesertaKemenkeu!$AY$6:$AY$1005="Direkomendasikan",ROW($6:$1005)-5),806)),"")</f>
        <v/>
      </c>
      <c r="H807" t="str">
        <f t="array" aca="1" ref="H807" ca="1">IFERROR(IF(OR(INDEX(checklistPesertaKemenkeu!$L$6:$L$1005,SMALL(IF(checklistPesertaKemenkeu!$AY$6:$AY$1005="Direkomendasikan",ROW($6:$1005)-5),806))="",INDEX(checklistPesertaKemenkeu!$J$6:$J$1005,SMALL(IF(checklistPesertaKemenkeu!$AY$6:$AY$1005="Direkomendasikan",ROW($6:$1005)-5),806))=""),"",IF(AND(COUNTIF(INDIRECT("K_"&amp;MATCH(INDEX(checklistPesertaKemenkeu!$J$6:$J$1005,SMALL(IF(checklistPesertaKemenkeu!$AY$6:$AY$1005="Direkomendasikan",ROW($6:$1005)-5),806)),BidangList,0)),INDEX(checklistPesertaKemenkeu!$L$6:$L$1005,SMALL(IF(checklistPesertaKemenkeu!$AY$6:$AY$1005="Direkomendasikan",ROW($6:$1005)-5),806)))&gt;0,COUNTIF(INDIRECT("'KERTAS KERJA'!K"&amp;(SMALL(IF(checklistPesertaKemenkeu!$AY$6:$AY$1005="Direkomendasikan",ROW($6:$1005)-5),806)+5)&amp;":O"&amp;(SMALL(IF(checklistPesertaKemenkeu!$AY$6:$AY$1005="Direkomendasikan",ROW($6:$1005)-5),806)+5)),INDEX(checklistPesertaKemenkeu!$L$6:$L$1005,SMALL(IF(checklistPesertaKemenkeu!$AY$6:$AY$1005="Direkomendasikan",ROW($6:$1005)-5),806)))=1),IFERROR(VLOOKUP(INDEX(checklistPesertaKemenkeu!$L$6:$L$1005,SMALL(IF(checklistPesertaKemenkeu!$AY$6:$AY$1005="Direkomendasikan",ROW($6:$1005)-5),806)),KotaKode,2,0),"-"),"")),"")</f>
        <v/>
      </c>
      <c r="I807" t="str">
        <f t="array" aca="1" ref="I807" ca="1">IFERROR(IF(OR(INDEX(checklistPesertaKemenkeu!$M$6:$M$1005,SMALL(IF(checklistPesertaKemenkeu!$AY$6:$AY$1005="Direkomendasikan",ROW($6:$1005)-5),806))="",INDEX(checklistPesertaKemenkeu!$J$6:$J$1005,SMALL(IF(checklistPesertaKemenkeu!$AY$6:$AY$1005="Direkomendasikan",ROW($6:$1005)-5),806))=""),"",IF(AND(COUNTIF(INDIRECT("K_"&amp;MATCH(INDEX(checklistPesertaKemenkeu!$J$6:$J$1005,SMALL(IF(checklistPesertaKemenkeu!$AY$6:$AY$1005="Direkomendasikan",ROW($6:$1005)-5),806)),BidangList,0)),INDEX(checklistPesertaKemenkeu!$M$6:$M$1005,SMALL(IF(checklistPesertaKemenkeu!$AY$6:$AY$1005="Direkomendasikan",ROW($6:$1005)-5),806)))&gt;0,COUNTIF(INDIRECT("'KERTAS KERJA'!K"&amp;(SMALL(IF(checklistPesertaKemenkeu!$AY$6:$AY$1005="Direkomendasikan",ROW($6:$1005)-5),806)+5)&amp;":O"&amp;(SMALL(IF(checklistPesertaKemenkeu!$AY$6:$AY$1005="Direkomendasikan",ROW($6:$1005)-5),806)+5)),INDEX(checklistPesertaKemenkeu!$M$6:$M$1005,SMALL(IF(checklistPesertaKemenkeu!$AY$6:$AY$1005="Direkomendasikan",ROW($6:$1005)-5),806)))=1),IFERROR(VLOOKUP(INDEX(checklistPesertaKemenkeu!$M$6:$M$1005,SMALL(IF(checklistPesertaKemenkeu!$AY$6:$AY$1005="Direkomendasikan",ROW($6:$1005)-5),806)),KotaKode,2,0),"-"),"")),"")</f>
        <v/>
      </c>
      <c r="J807" t="str">
        <f t="array" aca="1" ref="J807" ca="1">IFERROR(IF(OR(INDEX(checklistPesertaKemenkeu!$N$6:$N$1005,SMALL(IF(checklistPesertaKemenkeu!$AY$6:$AY$1005="Direkomendasikan",ROW($6:$1005)-5),806))="",INDEX(checklistPesertaKemenkeu!$J$6:$J$1005,SMALL(IF(checklistPesertaKemenkeu!$AY$6:$AY$1005="Direkomendasikan",ROW($6:$1005)-5),806))=""),"",IF(AND(COUNTIF(INDIRECT("K_"&amp;MATCH(INDEX(checklistPesertaKemenkeu!$J$6:$J$1005,SMALL(IF(checklistPesertaKemenkeu!$AY$6:$AY$1005="Direkomendasikan",ROW($6:$1005)-5),806)),BidangList,0)),INDEX(checklistPesertaKemenkeu!$N$6:$N$1005,SMALL(IF(checklistPesertaKemenkeu!$AY$6:$AY$1005="Direkomendasikan",ROW($6:$1005)-5),806)))&gt;0,COUNTIF(INDIRECT("'KERTAS KERJA'!K"&amp;(SMALL(IF(checklistPesertaKemenkeu!$AY$6:$AY$1005="Direkomendasikan",ROW($6:$1005)-5),806)+5)&amp;":O"&amp;(SMALL(IF(checklistPesertaKemenkeu!$AY$6:$AY$1005="Direkomendasikan",ROW($6:$1005)-5),806)+5)),INDEX(checklistPesertaKemenkeu!$N$6:$N$1005,SMALL(IF(checklistPesertaKemenkeu!$AY$6:$AY$1005="Direkomendasikan",ROW($6:$1005)-5),806)))=1),IFERROR(VLOOKUP(INDEX(checklistPesertaKemenkeu!$N$6:$N$1005,SMALL(IF(checklistPesertaKemenkeu!$AY$6:$AY$1005="Direkomendasikan",ROW($6:$1005)-5),806)),KotaKode,2,0),"-"),"")),"")</f>
        <v/>
      </c>
      <c r="K807" t="str">
        <f t="array" aca="1" ref="K807" ca="1">IFERROR(IF(OR(INDEX(checklistPesertaKemenkeu!$O$6:$O$1005,SMALL(IF(checklistPesertaKemenkeu!$AY$6:$AY$1005="Direkomendasikan",ROW($6:$1005)-5),806))="",INDEX(checklistPesertaKemenkeu!$J$6:$J$1005,SMALL(IF(checklistPesertaKemenkeu!$AY$6:$AY$1005="Direkomendasikan",ROW($6:$1005)-5),806))=""),"",IF(AND(COUNTIF(INDIRECT("K_"&amp;MATCH(INDEX(checklistPesertaKemenkeu!$J$6:$J$1005,SMALL(IF(checklistPesertaKemenkeu!$AY$6:$AY$1005="Direkomendasikan",ROW($6:$1005)-5),806)),BidangList,0)),INDEX(checklistPesertaKemenkeu!$O$6:$O$1005,SMALL(IF(checklistPesertaKemenkeu!$AY$6:$AY$1005="Direkomendasikan",ROW($6:$1005)-5),806)))&gt;0,COUNTIF(INDIRECT("'KERTAS KERJA'!K"&amp;(SMALL(IF(checklistPesertaKemenkeu!$AY$6:$AY$1005="Direkomendasikan",ROW($6:$1005)-5),806)+5)&amp;":O"&amp;(SMALL(IF(checklistPesertaKemenkeu!$AY$6:$AY$1005="Direkomendasikan",ROW($6:$1005)-5),806)+5)),INDEX(checklistPesertaKemenkeu!$O$6:$O$1005,SMALL(IF(checklistPesertaKemenkeu!$AY$6:$AY$1005="Direkomendasikan",ROW($6:$1005)-5),806)))=1),IFERROR(VLOOKUP(INDEX(checklistPesertaKemenkeu!$O$6:$O$1005,SMALL(IF(checklistPesertaKemenkeu!$AY$6:$AY$1005="Direkomendasikan",ROW($6:$1005)-5),806)),KotaKode,2,0),"-"),"")),"")</f>
        <v/>
      </c>
      <c r="L807" t="str">
        <f t="array" aca="1" ref="L807" ca="1">IFERROR(IF(OR(INDEX(checklistPesertaKemenkeu!$P$6:$P$1005,SMALL(IF(checklistPesertaKemenkeu!$AY$6:$AY$1005="Direkomendasikan",ROW($6:$1005)-5),806))="",INDEX(checklistPesertaKemenkeu!$J$6:$J$1005,SMALL(IF(checklistPesertaKemenkeu!$AY$6:$AY$1005="Direkomendasikan",ROW($6:$1005)-5),806))=""),"",IF(AND(COUNTIF(INDIRECT("K_"&amp;MATCH(INDEX(checklistPesertaKemenkeu!$J$6:$J$1005,SMALL(IF(checklistPesertaKemenkeu!$AY$6:$AY$1005="Direkomendasikan",ROW($6:$1005)-5),806)),BidangList,0)),INDEX(checklistPesertaKemenkeu!$P$6:$P$1005,SMALL(IF(checklistPesertaKemenkeu!$AY$6:$AY$1005="Direkomendasikan",ROW($6:$1005)-5),806)))&gt;0,COUNTIF(INDIRECT("'KERTAS KERJA'!K"&amp;(SMALL(IF(checklistPesertaKemenkeu!$AY$6:$AY$1005="Direkomendasikan",ROW($6:$1005)-5),806)+5)&amp;":O"&amp;(SMALL(IF(checklistPesertaKemenkeu!$AY$6:$AY$1005="Direkomendasikan",ROW($6:$1005)-5),806)+5)),INDEX(checklistPesertaKemenkeu!$P$6:$P$1005,SMALL(IF(checklistPesertaKemenkeu!$AY$6:$AY$1005="Direkomendasikan",ROW($6:$1005)-5),806)))=1),IFERROR(VLOOKUP(INDEX(checklistPesertaKemenkeu!$P$6:$P$1005,SMALL(IF(checklistPesertaKemenkeu!$AY$6:$AY$1005="Direkomendasikan",ROW($6:$1005)-5),806)),KotaKode,2,0),"-"),"")),"")</f>
        <v/>
      </c>
    </row>
    <row r="808" spans="1:12" ht="15" customHeight="1" x14ac:dyDescent="0.2">
      <c r="A808" t="str">
        <f t="shared" si="12"/>
        <v/>
      </c>
      <c r="B808" t="str">
        <v/>
      </c>
      <c r="C808" s="40" t="str">
        <f t="array" ref="C808">IFERROR(INDEX(checklistPesertaKemenkeu!$F$6:$F$1005,SMALL(IF(checklistPesertaKemenkeu!$AY$6:$AY$1005="Direkomendasikan",ROW($6:$1005)-5),807)),"")</f>
        <v/>
      </c>
      <c r="D808" t="str">
        <f t="array" ref="D808">IFERROR(INDEX(checklistPesertaKemenkeu!$G$6:$G$1005,SMALL(IF(checklistPesertaKemenkeu!$AY$6:$AY$1005="Direkomendasikan",ROW($6:$1005)-5),807)),"")</f>
        <v/>
      </c>
      <c r="E808" t="str">
        <f t="array" ref="E808">IFERROR(INDEX(checklistPesertaKemenkeu!$H$6:$H$1005,SMALL(IF(checklistPesertaKemenkeu!$AY$6:$AY$1005="Direkomendasikan",ROW($6:$1005)-5),807)),"")</f>
        <v/>
      </c>
      <c r="F808" t="str">
        <f t="array" ref="F808">IFERROR(INDEX(checklistPesertaKemenkeu!$I$6:$I$1005,SMALL(IF(checklistPesertaKemenkeu!$AY$6:$AY$1005="Direkomendasikan",ROW($6:$1005)-5),807)),"")</f>
        <v/>
      </c>
      <c r="G808" t="str">
        <f t="array" ref="G808">IFERROR(INDEX(checklistPesertaKemenkeu!$J$6:$J$1005,SMALL(IF(checklistPesertaKemenkeu!$AY$6:$AY$1005="Direkomendasikan",ROW($6:$1005)-5),807)),"")</f>
        <v/>
      </c>
      <c r="H808" t="str">
        <f t="array" aca="1" ref="H808" ca="1">IFERROR(IF(OR(INDEX(checklistPesertaKemenkeu!$L$6:$L$1005,SMALL(IF(checklistPesertaKemenkeu!$AY$6:$AY$1005="Direkomendasikan",ROW($6:$1005)-5),807))="",INDEX(checklistPesertaKemenkeu!$J$6:$J$1005,SMALL(IF(checklistPesertaKemenkeu!$AY$6:$AY$1005="Direkomendasikan",ROW($6:$1005)-5),807))=""),"",IF(AND(COUNTIF(INDIRECT("K_"&amp;MATCH(INDEX(checklistPesertaKemenkeu!$J$6:$J$1005,SMALL(IF(checklistPesertaKemenkeu!$AY$6:$AY$1005="Direkomendasikan",ROW($6:$1005)-5),807)),BidangList,0)),INDEX(checklistPesertaKemenkeu!$L$6:$L$1005,SMALL(IF(checklistPesertaKemenkeu!$AY$6:$AY$1005="Direkomendasikan",ROW($6:$1005)-5),807)))&gt;0,COUNTIF(INDIRECT("'KERTAS KERJA'!K"&amp;(SMALL(IF(checklistPesertaKemenkeu!$AY$6:$AY$1005="Direkomendasikan",ROW($6:$1005)-5),807)+5)&amp;":O"&amp;(SMALL(IF(checklistPesertaKemenkeu!$AY$6:$AY$1005="Direkomendasikan",ROW($6:$1005)-5),807)+5)),INDEX(checklistPesertaKemenkeu!$L$6:$L$1005,SMALL(IF(checklistPesertaKemenkeu!$AY$6:$AY$1005="Direkomendasikan",ROW($6:$1005)-5),807)))=1),IFERROR(VLOOKUP(INDEX(checklistPesertaKemenkeu!$L$6:$L$1005,SMALL(IF(checklistPesertaKemenkeu!$AY$6:$AY$1005="Direkomendasikan",ROW($6:$1005)-5),807)),KotaKode,2,0),"-"),"")),"")</f>
        <v/>
      </c>
      <c r="I808" t="str">
        <f t="array" aca="1" ref="I808" ca="1">IFERROR(IF(OR(INDEX(checklistPesertaKemenkeu!$M$6:$M$1005,SMALL(IF(checklistPesertaKemenkeu!$AY$6:$AY$1005="Direkomendasikan",ROW($6:$1005)-5),807))="",INDEX(checklistPesertaKemenkeu!$J$6:$J$1005,SMALL(IF(checklistPesertaKemenkeu!$AY$6:$AY$1005="Direkomendasikan",ROW($6:$1005)-5),807))=""),"",IF(AND(COUNTIF(INDIRECT("K_"&amp;MATCH(INDEX(checklistPesertaKemenkeu!$J$6:$J$1005,SMALL(IF(checklistPesertaKemenkeu!$AY$6:$AY$1005="Direkomendasikan",ROW($6:$1005)-5),807)),BidangList,0)),INDEX(checklistPesertaKemenkeu!$M$6:$M$1005,SMALL(IF(checklistPesertaKemenkeu!$AY$6:$AY$1005="Direkomendasikan",ROW($6:$1005)-5),807)))&gt;0,COUNTIF(INDIRECT("'KERTAS KERJA'!K"&amp;(SMALL(IF(checklistPesertaKemenkeu!$AY$6:$AY$1005="Direkomendasikan",ROW($6:$1005)-5),807)+5)&amp;":O"&amp;(SMALL(IF(checklistPesertaKemenkeu!$AY$6:$AY$1005="Direkomendasikan",ROW($6:$1005)-5),807)+5)),INDEX(checklistPesertaKemenkeu!$M$6:$M$1005,SMALL(IF(checklistPesertaKemenkeu!$AY$6:$AY$1005="Direkomendasikan",ROW($6:$1005)-5),807)))=1),IFERROR(VLOOKUP(INDEX(checklistPesertaKemenkeu!$M$6:$M$1005,SMALL(IF(checklistPesertaKemenkeu!$AY$6:$AY$1005="Direkomendasikan",ROW($6:$1005)-5),807)),KotaKode,2,0),"-"),"")),"")</f>
        <v/>
      </c>
      <c r="J808" t="str">
        <f t="array" aca="1" ref="J808" ca="1">IFERROR(IF(OR(INDEX(checklistPesertaKemenkeu!$N$6:$N$1005,SMALL(IF(checklistPesertaKemenkeu!$AY$6:$AY$1005="Direkomendasikan",ROW($6:$1005)-5),807))="",INDEX(checklistPesertaKemenkeu!$J$6:$J$1005,SMALL(IF(checklistPesertaKemenkeu!$AY$6:$AY$1005="Direkomendasikan",ROW($6:$1005)-5),807))=""),"",IF(AND(COUNTIF(INDIRECT("K_"&amp;MATCH(INDEX(checklistPesertaKemenkeu!$J$6:$J$1005,SMALL(IF(checklistPesertaKemenkeu!$AY$6:$AY$1005="Direkomendasikan",ROW($6:$1005)-5),807)),BidangList,0)),INDEX(checklistPesertaKemenkeu!$N$6:$N$1005,SMALL(IF(checklistPesertaKemenkeu!$AY$6:$AY$1005="Direkomendasikan",ROW($6:$1005)-5),807)))&gt;0,COUNTIF(INDIRECT("'KERTAS KERJA'!K"&amp;(SMALL(IF(checklistPesertaKemenkeu!$AY$6:$AY$1005="Direkomendasikan",ROW($6:$1005)-5),807)+5)&amp;":O"&amp;(SMALL(IF(checklistPesertaKemenkeu!$AY$6:$AY$1005="Direkomendasikan",ROW($6:$1005)-5),807)+5)),INDEX(checklistPesertaKemenkeu!$N$6:$N$1005,SMALL(IF(checklistPesertaKemenkeu!$AY$6:$AY$1005="Direkomendasikan",ROW($6:$1005)-5),807)))=1),IFERROR(VLOOKUP(INDEX(checklistPesertaKemenkeu!$N$6:$N$1005,SMALL(IF(checklistPesertaKemenkeu!$AY$6:$AY$1005="Direkomendasikan",ROW($6:$1005)-5),807)),KotaKode,2,0),"-"),"")),"")</f>
        <v/>
      </c>
      <c r="K808" t="str">
        <f t="array" aca="1" ref="K808" ca="1">IFERROR(IF(OR(INDEX(checklistPesertaKemenkeu!$O$6:$O$1005,SMALL(IF(checklistPesertaKemenkeu!$AY$6:$AY$1005="Direkomendasikan",ROW($6:$1005)-5),807))="",INDEX(checklistPesertaKemenkeu!$J$6:$J$1005,SMALL(IF(checklistPesertaKemenkeu!$AY$6:$AY$1005="Direkomendasikan",ROW($6:$1005)-5),807))=""),"",IF(AND(COUNTIF(INDIRECT("K_"&amp;MATCH(INDEX(checklistPesertaKemenkeu!$J$6:$J$1005,SMALL(IF(checklistPesertaKemenkeu!$AY$6:$AY$1005="Direkomendasikan",ROW($6:$1005)-5),807)),BidangList,0)),INDEX(checklistPesertaKemenkeu!$O$6:$O$1005,SMALL(IF(checklistPesertaKemenkeu!$AY$6:$AY$1005="Direkomendasikan",ROW($6:$1005)-5),807)))&gt;0,COUNTIF(INDIRECT("'KERTAS KERJA'!K"&amp;(SMALL(IF(checklistPesertaKemenkeu!$AY$6:$AY$1005="Direkomendasikan",ROW($6:$1005)-5),807)+5)&amp;":O"&amp;(SMALL(IF(checklistPesertaKemenkeu!$AY$6:$AY$1005="Direkomendasikan",ROW($6:$1005)-5),807)+5)),INDEX(checklistPesertaKemenkeu!$O$6:$O$1005,SMALL(IF(checklistPesertaKemenkeu!$AY$6:$AY$1005="Direkomendasikan",ROW($6:$1005)-5),807)))=1),IFERROR(VLOOKUP(INDEX(checklistPesertaKemenkeu!$O$6:$O$1005,SMALL(IF(checklistPesertaKemenkeu!$AY$6:$AY$1005="Direkomendasikan",ROW($6:$1005)-5),807)),KotaKode,2,0),"-"),"")),"")</f>
        <v/>
      </c>
      <c r="L808" t="str">
        <f t="array" aca="1" ref="L808" ca="1">IFERROR(IF(OR(INDEX(checklistPesertaKemenkeu!$P$6:$P$1005,SMALL(IF(checklistPesertaKemenkeu!$AY$6:$AY$1005="Direkomendasikan",ROW($6:$1005)-5),807))="",INDEX(checklistPesertaKemenkeu!$J$6:$J$1005,SMALL(IF(checklistPesertaKemenkeu!$AY$6:$AY$1005="Direkomendasikan",ROW($6:$1005)-5),807))=""),"",IF(AND(COUNTIF(INDIRECT("K_"&amp;MATCH(INDEX(checklistPesertaKemenkeu!$J$6:$J$1005,SMALL(IF(checklistPesertaKemenkeu!$AY$6:$AY$1005="Direkomendasikan",ROW($6:$1005)-5),807)),BidangList,0)),INDEX(checklistPesertaKemenkeu!$P$6:$P$1005,SMALL(IF(checklistPesertaKemenkeu!$AY$6:$AY$1005="Direkomendasikan",ROW($6:$1005)-5),807)))&gt;0,COUNTIF(INDIRECT("'KERTAS KERJA'!K"&amp;(SMALL(IF(checklistPesertaKemenkeu!$AY$6:$AY$1005="Direkomendasikan",ROW($6:$1005)-5),807)+5)&amp;":O"&amp;(SMALL(IF(checklistPesertaKemenkeu!$AY$6:$AY$1005="Direkomendasikan",ROW($6:$1005)-5),807)+5)),INDEX(checklistPesertaKemenkeu!$P$6:$P$1005,SMALL(IF(checklistPesertaKemenkeu!$AY$6:$AY$1005="Direkomendasikan",ROW($6:$1005)-5),807)))=1),IFERROR(VLOOKUP(INDEX(checklistPesertaKemenkeu!$P$6:$P$1005,SMALL(IF(checklistPesertaKemenkeu!$AY$6:$AY$1005="Direkomendasikan",ROW($6:$1005)-5),807)),KotaKode,2,0),"-"),"")),"")</f>
        <v/>
      </c>
    </row>
    <row r="809" spans="1:12" ht="15" customHeight="1" x14ac:dyDescent="0.2">
      <c r="A809" t="str">
        <f t="shared" si="12"/>
        <v/>
      </c>
      <c r="B809" t="str">
        <v/>
      </c>
      <c r="C809" s="40" t="str">
        <f t="array" ref="C809">IFERROR(INDEX(checklistPesertaKemenkeu!$F$6:$F$1005,SMALL(IF(checklistPesertaKemenkeu!$AY$6:$AY$1005="Direkomendasikan",ROW($6:$1005)-5),808)),"")</f>
        <v/>
      </c>
      <c r="D809" t="str">
        <f t="array" ref="D809">IFERROR(INDEX(checklistPesertaKemenkeu!$G$6:$G$1005,SMALL(IF(checklistPesertaKemenkeu!$AY$6:$AY$1005="Direkomendasikan",ROW($6:$1005)-5),808)),"")</f>
        <v/>
      </c>
      <c r="E809" t="str">
        <f t="array" ref="E809">IFERROR(INDEX(checklistPesertaKemenkeu!$H$6:$H$1005,SMALL(IF(checklistPesertaKemenkeu!$AY$6:$AY$1005="Direkomendasikan",ROW($6:$1005)-5),808)),"")</f>
        <v/>
      </c>
      <c r="F809" t="str">
        <f t="array" ref="F809">IFERROR(INDEX(checklistPesertaKemenkeu!$I$6:$I$1005,SMALL(IF(checklistPesertaKemenkeu!$AY$6:$AY$1005="Direkomendasikan",ROW($6:$1005)-5),808)),"")</f>
        <v/>
      </c>
      <c r="G809" t="str">
        <f t="array" ref="G809">IFERROR(INDEX(checklistPesertaKemenkeu!$J$6:$J$1005,SMALL(IF(checklistPesertaKemenkeu!$AY$6:$AY$1005="Direkomendasikan",ROW($6:$1005)-5),808)),"")</f>
        <v/>
      </c>
      <c r="H809" t="str">
        <f t="array" aca="1" ref="H809" ca="1">IFERROR(IF(OR(INDEX(checklistPesertaKemenkeu!$L$6:$L$1005,SMALL(IF(checklistPesertaKemenkeu!$AY$6:$AY$1005="Direkomendasikan",ROW($6:$1005)-5),808))="",INDEX(checklistPesertaKemenkeu!$J$6:$J$1005,SMALL(IF(checklistPesertaKemenkeu!$AY$6:$AY$1005="Direkomendasikan",ROW($6:$1005)-5),808))=""),"",IF(AND(COUNTIF(INDIRECT("K_"&amp;MATCH(INDEX(checklistPesertaKemenkeu!$J$6:$J$1005,SMALL(IF(checklistPesertaKemenkeu!$AY$6:$AY$1005="Direkomendasikan",ROW($6:$1005)-5),808)),BidangList,0)),INDEX(checklistPesertaKemenkeu!$L$6:$L$1005,SMALL(IF(checklistPesertaKemenkeu!$AY$6:$AY$1005="Direkomendasikan",ROW($6:$1005)-5),808)))&gt;0,COUNTIF(INDIRECT("'KERTAS KERJA'!K"&amp;(SMALL(IF(checklistPesertaKemenkeu!$AY$6:$AY$1005="Direkomendasikan",ROW($6:$1005)-5),808)+5)&amp;":O"&amp;(SMALL(IF(checklistPesertaKemenkeu!$AY$6:$AY$1005="Direkomendasikan",ROW($6:$1005)-5),808)+5)),INDEX(checklistPesertaKemenkeu!$L$6:$L$1005,SMALL(IF(checklistPesertaKemenkeu!$AY$6:$AY$1005="Direkomendasikan",ROW($6:$1005)-5),808)))=1),IFERROR(VLOOKUP(INDEX(checklistPesertaKemenkeu!$L$6:$L$1005,SMALL(IF(checklistPesertaKemenkeu!$AY$6:$AY$1005="Direkomendasikan",ROW($6:$1005)-5),808)),KotaKode,2,0),"-"),"")),"")</f>
        <v/>
      </c>
      <c r="I809" t="str">
        <f t="array" aca="1" ref="I809" ca="1">IFERROR(IF(OR(INDEX(checklistPesertaKemenkeu!$M$6:$M$1005,SMALL(IF(checklistPesertaKemenkeu!$AY$6:$AY$1005="Direkomendasikan",ROW($6:$1005)-5),808))="",INDEX(checklistPesertaKemenkeu!$J$6:$J$1005,SMALL(IF(checklistPesertaKemenkeu!$AY$6:$AY$1005="Direkomendasikan",ROW($6:$1005)-5),808))=""),"",IF(AND(COUNTIF(INDIRECT("K_"&amp;MATCH(INDEX(checklistPesertaKemenkeu!$J$6:$J$1005,SMALL(IF(checklistPesertaKemenkeu!$AY$6:$AY$1005="Direkomendasikan",ROW($6:$1005)-5),808)),BidangList,0)),INDEX(checklistPesertaKemenkeu!$M$6:$M$1005,SMALL(IF(checklistPesertaKemenkeu!$AY$6:$AY$1005="Direkomendasikan",ROW($6:$1005)-5),808)))&gt;0,COUNTIF(INDIRECT("'KERTAS KERJA'!K"&amp;(SMALL(IF(checklistPesertaKemenkeu!$AY$6:$AY$1005="Direkomendasikan",ROW($6:$1005)-5),808)+5)&amp;":O"&amp;(SMALL(IF(checklistPesertaKemenkeu!$AY$6:$AY$1005="Direkomendasikan",ROW($6:$1005)-5),808)+5)),INDEX(checklistPesertaKemenkeu!$M$6:$M$1005,SMALL(IF(checklistPesertaKemenkeu!$AY$6:$AY$1005="Direkomendasikan",ROW($6:$1005)-5),808)))=1),IFERROR(VLOOKUP(INDEX(checklistPesertaKemenkeu!$M$6:$M$1005,SMALL(IF(checklistPesertaKemenkeu!$AY$6:$AY$1005="Direkomendasikan",ROW($6:$1005)-5),808)),KotaKode,2,0),"-"),"")),"")</f>
        <v/>
      </c>
      <c r="J809" t="str">
        <f t="array" aca="1" ref="J809" ca="1">IFERROR(IF(OR(INDEX(checklistPesertaKemenkeu!$N$6:$N$1005,SMALL(IF(checklistPesertaKemenkeu!$AY$6:$AY$1005="Direkomendasikan",ROW($6:$1005)-5),808))="",INDEX(checklistPesertaKemenkeu!$J$6:$J$1005,SMALL(IF(checklistPesertaKemenkeu!$AY$6:$AY$1005="Direkomendasikan",ROW($6:$1005)-5),808))=""),"",IF(AND(COUNTIF(INDIRECT("K_"&amp;MATCH(INDEX(checklistPesertaKemenkeu!$J$6:$J$1005,SMALL(IF(checklistPesertaKemenkeu!$AY$6:$AY$1005="Direkomendasikan",ROW($6:$1005)-5),808)),BidangList,0)),INDEX(checklistPesertaKemenkeu!$N$6:$N$1005,SMALL(IF(checklistPesertaKemenkeu!$AY$6:$AY$1005="Direkomendasikan",ROW($6:$1005)-5),808)))&gt;0,COUNTIF(INDIRECT("'KERTAS KERJA'!K"&amp;(SMALL(IF(checklistPesertaKemenkeu!$AY$6:$AY$1005="Direkomendasikan",ROW($6:$1005)-5),808)+5)&amp;":O"&amp;(SMALL(IF(checklistPesertaKemenkeu!$AY$6:$AY$1005="Direkomendasikan",ROW($6:$1005)-5),808)+5)),INDEX(checklistPesertaKemenkeu!$N$6:$N$1005,SMALL(IF(checklistPesertaKemenkeu!$AY$6:$AY$1005="Direkomendasikan",ROW($6:$1005)-5),808)))=1),IFERROR(VLOOKUP(INDEX(checklistPesertaKemenkeu!$N$6:$N$1005,SMALL(IF(checklistPesertaKemenkeu!$AY$6:$AY$1005="Direkomendasikan",ROW($6:$1005)-5),808)),KotaKode,2,0),"-"),"")),"")</f>
        <v/>
      </c>
      <c r="K809" t="str">
        <f t="array" aca="1" ref="K809" ca="1">IFERROR(IF(OR(INDEX(checklistPesertaKemenkeu!$O$6:$O$1005,SMALL(IF(checklistPesertaKemenkeu!$AY$6:$AY$1005="Direkomendasikan",ROW($6:$1005)-5),808))="",INDEX(checklistPesertaKemenkeu!$J$6:$J$1005,SMALL(IF(checklistPesertaKemenkeu!$AY$6:$AY$1005="Direkomendasikan",ROW($6:$1005)-5),808))=""),"",IF(AND(COUNTIF(INDIRECT("K_"&amp;MATCH(INDEX(checklistPesertaKemenkeu!$J$6:$J$1005,SMALL(IF(checklistPesertaKemenkeu!$AY$6:$AY$1005="Direkomendasikan",ROW($6:$1005)-5),808)),BidangList,0)),INDEX(checklistPesertaKemenkeu!$O$6:$O$1005,SMALL(IF(checklistPesertaKemenkeu!$AY$6:$AY$1005="Direkomendasikan",ROW($6:$1005)-5),808)))&gt;0,COUNTIF(INDIRECT("'KERTAS KERJA'!K"&amp;(SMALL(IF(checklistPesertaKemenkeu!$AY$6:$AY$1005="Direkomendasikan",ROW($6:$1005)-5),808)+5)&amp;":O"&amp;(SMALL(IF(checklistPesertaKemenkeu!$AY$6:$AY$1005="Direkomendasikan",ROW($6:$1005)-5),808)+5)),INDEX(checklistPesertaKemenkeu!$O$6:$O$1005,SMALL(IF(checklistPesertaKemenkeu!$AY$6:$AY$1005="Direkomendasikan",ROW($6:$1005)-5),808)))=1),IFERROR(VLOOKUP(INDEX(checklistPesertaKemenkeu!$O$6:$O$1005,SMALL(IF(checklistPesertaKemenkeu!$AY$6:$AY$1005="Direkomendasikan",ROW($6:$1005)-5),808)),KotaKode,2,0),"-"),"")),"")</f>
        <v/>
      </c>
      <c r="L809" t="str">
        <f t="array" aca="1" ref="L809" ca="1">IFERROR(IF(OR(INDEX(checklistPesertaKemenkeu!$P$6:$P$1005,SMALL(IF(checklistPesertaKemenkeu!$AY$6:$AY$1005="Direkomendasikan",ROW($6:$1005)-5),808))="",INDEX(checklistPesertaKemenkeu!$J$6:$J$1005,SMALL(IF(checklistPesertaKemenkeu!$AY$6:$AY$1005="Direkomendasikan",ROW($6:$1005)-5),808))=""),"",IF(AND(COUNTIF(INDIRECT("K_"&amp;MATCH(INDEX(checklistPesertaKemenkeu!$J$6:$J$1005,SMALL(IF(checklistPesertaKemenkeu!$AY$6:$AY$1005="Direkomendasikan",ROW($6:$1005)-5),808)),BidangList,0)),INDEX(checklistPesertaKemenkeu!$P$6:$P$1005,SMALL(IF(checklistPesertaKemenkeu!$AY$6:$AY$1005="Direkomendasikan",ROW($6:$1005)-5),808)))&gt;0,COUNTIF(INDIRECT("'KERTAS KERJA'!K"&amp;(SMALL(IF(checklistPesertaKemenkeu!$AY$6:$AY$1005="Direkomendasikan",ROW($6:$1005)-5),808)+5)&amp;":O"&amp;(SMALL(IF(checklistPesertaKemenkeu!$AY$6:$AY$1005="Direkomendasikan",ROW($6:$1005)-5),808)+5)),INDEX(checklistPesertaKemenkeu!$P$6:$P$1005,SMALL(IF(checklistPesertaKemenkeu!$AY$6:$AY$1005="Direkomendasikan",ROW($6:$1005)-5),808)))=1),IFERROR(VLOOKUP(INDEX(checklistPesertaKemenkeu!$P$6:$P$1005,SMALL(IF(checklistPesertaKemenkeu!$AY$6:$AY$1005="Direkomendasikan",ROW($6:$1005)-5),808)),KotaKode,2,0),"-"),"")),"")</f>
        <v/>
      </c>
    </row>
    <row r="810" spans="1:12" ht="15" customHeight="1" x14ac:dyDescent="0.2">
      <c r="A810" t="str">
        <f t="shared" si="12"/>
        <v/>
      </c>
      <c r="B810" t="str">
        <v/>
      </c>
      <c r="C810" s="40" t="str">
        <f t="array" ref="C810">IFERROR(INDEX(checklistPesertaKemenkeu!$F$6:$F$1005,SMALL(IF(checklistPesertaKemenkeu!$AY$6:$AY$1005="Direkomendasikan",ROW($6:$1005)-5),809)),"")</f>
        <v/>
      </c>
      <c r="D810" t="str">
        <f t="array" ref="D810">IFERROR(INDEX(checklistPesertaKemenkeu!$G$6:$G$1005,SMALL(IF(checklistPesertaKemenkeu!$AY$6:$AY$1005="Direkomendasikan",ROW($6:$1005)-5),809)),"")</f>
        <v/>
      </c>
      <c r="E810" t="str">
        <f t="array" ref="E810">IFERROR(INDEX(checklistPesertaKemenkeu!$H$6:$H$1005,SMALL(IF(checklistPesertaKemenkeu!$AY$6:$AY$1005="Direkomendasikan",ROW($6:$1005)-5),809)),"")</f>
        <v/>
      </c>
      <c r="F810" t="str">
        <f t="array" ref="F810">IFERROR(INDEX(checklistPesertaKemenkeu!$I$6:$I$1005,SMALL(IF(checklistPesertaKemenkeu!$AY$6:$AY$1005="Direkomendasikan",ROW($6:$1005)-5),809)),"")</f>
        <v/>
      </c>
      <c r="G810" t="str">
        <f t="array" ref="G810">IFERROR(INDEX(checklistPesertaKemenkeu!$J$6:$J$1005,SMALL(IF(checklistPesertaKemenkeu!$AY$6:$AY$1005="Direkomendasikan",ROW($6:$1005)-5),809)),"")</f>
        <v/>
      </c>
      <c r="H810" t="str">
        <f t="array" aca="1" ref="H810" ca="1">IFERROR(IF(OR(INDEX(checklistPesertaKemenkeu!$L$6:$L$1005,SMALL(IF(checklistPesertaKemenkeu!$AY$6:$AY$1005="Direkomendasikan",ROW($6:$1005)-5),809))="",INDEX(checklistPesertaKemenkeu!$J$6:$J$1005,SMALL(IF(checklistPesertaKemenkeu!$AY$6:$AY$1005="Direkomendasikan",ROW($6:$1005)-5),809))=""),"",IF(AND(COUNTIF(INDIRECT("K_"&amp;MATCH(INDEX(checklistPesertaKemenkeu!$J$6:$J$1005,SMALL(IF(checklistPesertaKemenkeu!$AY$6:$AY$1005="Direkomendasikan",ROW($6:$1005)-5),809)),BidangList,0)),INDEX(checklistPesertaKemenkeu!$L$6:$L$1005,SMALL(IF(checklistPesertaKemenkeu!$AY$6:$AY$1005="Direkomendasikan",ROW($6:$1005)-5),809)))&gt;0,COUNTIF(INDIRECT("'KERTAS KERJA'!K"&amp;(SMALL(IF(checklistPesertaKemenkeu!$AY$6:$AY$1005="Direkomendasikan",ROW($6:$1005)-5),809)+5)&amp;":O"&amp;(SMALL(IF(checklistPesertaKemenkeu!$AY$6:$AY$1005="Direkomendasikan",ROW($6:$1005)-5),809)+5)),INDEX(checklistPesertaKemenkeu!$L$6:$L$1005,SMALL(IF(checklistPesertaKemenkeu!$AY$6:$AY$1005="Direkomendasikan",ROW($6:$1005)-5),809)))=1),IFERROR(VLOOKUP(INDEX(checklistPesertaKemenkeu!$L$6:$L$1005,SMALL(IF(checklistPesertaKemenkeu!$AY$6:$AY$1005="Direkomendasikan",ROW($6:$1005)-5),809)),KotaKode,2,0),"-"),"")),"")</f>
        <v/>
      </c>
      <c r="I810" t="str">
        <f t="array" aca="1" ref="I810" ca="1">IFERROR(IF(OR(INDEX(checklistPesertaKemenkeu!$M$6:$M$1005,SMALL(IF(checklistPesertaKemenkeu!$AY$6:$AY$1005="Direkomendasikan",ROW($6:$1005)-5),809))="",INDEX(checklistPesertaKemenkeu!$J$6:$J$1005,SMALL(IF(checklistPesertaKemenkeu!$AY$6:$AY$1005="Direkomendasikan",ROW($6:$1005)-5),809))=""),"",IF(AND(COUNTIF(INDIRECT("K_"&amp;MATCH(INDEX(checklistPesertaKemenkeu!$J$6:$J$1005,SMALL(IF(checklistPesertaKemenkeu!$AY$6:$AY$1005="Direkomendasikan",ROW($6:$1005)-5),809)),BidangList,0)),INDEX(checklistPesertaKemenkeu!$M$6:$M$1005,SMALL(IF(checklistPesertaKemenkeu!$AY$6:$AY$1005="Direkomendasikan",ROW($6:$1005)-5),809)))&gt;0,COUNTIF(INDIRECT("'KERTAS KERJA'!K"&amp;(SMALL(IF(checklistPesertaKemenkeu!$AY$6:$AY$1005="Direkomendasikan",ROW($6:$1005)-5),809)+5)&amp;":O"&amp;(SMALL(IF(checklistPesertaKemenkeu!$AY$6:$AY$1005="Direkomendasikan",ROW($6:$1005)-5),809)+5)),INDEX(checklistPesertaKemenkeu!$M$6:$M$1005,SMALL(IF(checklistPesertaKemenkeu!$AY$6:$AY$1005="Direkomendasikan",ROW($6:$1005)-5),809)))=1),IFERROR(VLOOKUP(INDEX(checklistPesertaKemenkeu!$M$6:$M$1005,SMALL(IF(checklistPesertaKemenkeu!$AY$6:$AY$1005="Direkomendasikan",ROW($6:$1005)-5),809)),KotaKode,2,0),"-"),"")),"")</f>
        <v/>
      </c>
      <c r="J810" t="str">
        <f t="array" aca="1" ref="J810" ca="1">IFERROR(IF(OR(INDEX(checklistPesertaKemenkeu!$N$6:$N$1005,SMALL(IF(checklistPesertaKemenkeu!$AY$6:$AY$1005="Direkomendasikan",ROW($6:$1005)-5),809))="",INDEX(checklistPesertaKemenkeu!$J$6:$J$1005,SMALL(IF(checklistPesertaKemenkeu!$AY$6:$AY$1005="Direkomendasikan",ROW($6:$1005)-5),809))=""),"",IF(AND(COUNTIF(INDIRECT("K_"&amp;MATCH(INDEX(checklistPesertaKemenkeu!$J$6:$J$1005,SMALL(IF(checklistPesertaKemenkeu!$AY$6:$AY$1005="Direkomendasikan",ROW($6:$1005)-5),809)),BidangList,0)),INDEX(checklistPesertaKemenkeu!$N$6:$N$1005,SMALL(IF(checklistPesertaKemenkeu!$AY$6:$AY$1005="Direkomendasikan",ROW($6:$1005)-5),809)))&gt;0,COUNTIF(INDIRECT("'KERTAS KERJA'!K"&amp;(SMALL(IF(checklistPesertaKemenkeu!$AY$6:$AY$1005="Direkomendasikan",ROW($6:$1005)-5),809)+5)&amp;":O"&amp;(SMALL(IF(checklistPesertaKemenkeu!$AY$6:$AY$1005="Direkomendasikan",ROW($6:$1005)-5),809)+5)),INDEX(checklistPesertaKemenkeu!$N$6:$N$1005,SMALL(IF(checklistPesertaKemenkeu!$AY$6:$AY$1005="Direkomendasikan",ROW($6:$1005)-5),809)))=1),IFERROR(VLOOKUP(INDEX(checklistPesertaKemenkeu!$N$6:$N$1005,SMALL(IF(checklistPesertaKemenkeu!$AY$6:$AY$1005="Direkomendasikan",ROW($6:$1005)-5),809)),KotaKode,2,0),"-"),"")),"")</f>
        <v/>
      </c>
      <c r="K810" t="str">
        <f t="array" aca="1" ref="K810" ca="1">IFERROR(IF(OR(INDEX(checklistPesertaKemenkeu!$O$6:$O$1005,SMALL(IF(checklistPesertaKemenkeu!$AY$6:$AY$1005="Direkomendasikan",ROW($6:$1005)-5),809))="",INDEX(checklistPesertaKemenkeu!$J$6:$J$1005,SMALL(IF(checklistPesertaKemenkeu!$AY$6:$AY$1005="Direkomendasikan",ROW($6:$1005)-5),809))=""),"",IF(AND(COUNTIF(INDIRECT("K_"&amp;MATCH(INDEX(checklistPesertaKemenkeu!$J$6:$J$1005,SMALL(IF(checklistPesertaKemenkeu!$AY$6:$AY$1005="Direkomendasikan",ROW($6:$1005)-5),809)),BidangList,0)),INDEX(checklistPesertaKemenkeu!$O$6:$O$1005,SMALL(IF(checklistPesertaKemenkeu!$AY$6:$AY$1005="Direkomendasikan",ROW($6:$1005)-5),809)))&gt;0,COUNTIF(INDIRECT("'KERTAS KERJA'!K"&amp;(SMALL(IF(checklistPesertaKemenkeu!$AY$6:$AY$1005="Direkomendasikan",ROW($6:$1005)-5),809)+5)&amp;":O"&amp;(SMALL(IF(checklistPesertaKemenkeu!$AY$6:$AY$1005="Direkomendasikan",ROW($6:$1005)-5),809)+5)),INDEX(checklistPesertaKemenkeu!$O$6:$O$1005,SMALL(IF(checklistPesertaKemenkeu!$AY$6:$AY$1005="Direkomendasikan",ROW($6:$1005)-5),809)))=1),IFERROR(VLOOKUP(INDEX(checklistPesertaKemenkeu!$O$6:$O$1005,SMALL(IF(checklistPesertaKemenkeu!$AY$6:$AY$1005="Direkomendasikan",ROW($6:$1005)-5),809)),KotaKode,2,0),"-"),"")),"")</f>
        <v/>
      </c>
      <c r="L810" t="str">
        <f t="array" aca="1" ref="L810" ca="1">IFERROR(IF(OR(INDEX(checklistPesertaKemenkeu!$P$6:$P$1005,SMALL(IF(checklistPesertaKemenkeu!$AY$6:$AY$1005="Direkomendasikan",ROW($6:$1005)-5),809))="",INDEX(checklistPesertaKemenkeu!$J$6:$J$1005,SMALL(IF(checklistPesertaKemenkeu!$AY$6:$AY$1005="Direkomendasikan",ROW($6:$1005)-5),809))=""),"",IF(AND(COUNTIF(INDIRECT("K_"&amp;MATCH(INDEX(checklistPesertaKemenkeu!$J$6:$J$1005,SMALL(IF(checklistPesertaKemenkeu!$AY$6:$AY$1005="Direkomendasikan",ROW($6:$1005)-5),809)),BidangList,0)),INDEX(checklistPesertaKemenkeu!$P$6:$P$1005,SMALL(IF(checklistPesertaKemenkeu!$AY$6:$AY$1005="Direkomendasikan",ROW($6:$1005)-5),809)))&gt;0,COUNTIF(INDIRECT("'KERTAS KERJA'!K"&amp;(SMALL(IF(checklistPesertaKemenkeu!$AY$6:$AY$1005="Direkomendasikan",ROW($6:$1005)-5),809)+5)&amp;":O"&amp;(SMALL(IF(checklistPesertaKemenkeu!$AY$6:$AY$1005="Direkomendasikan",ROW($6:$1005)-5),809)+5)),INDEX(checklistPesertaKemenkeu!$P$6:$P$1005,SMALL(IF(checklistPesertaKemenkeu!$AY$6:$AY$1005="Direkomendasikan",ROW($6:$1005)-5),809)))=1),IFERROR(VLOOKUP(INDEX(checklistPesertaKemenkeu!$P$6:$P$1005,SMALL(IF(checklistPesertaKemenkeu!$AY$6:$AY$1005="Direkomendasikan",ROW($6:$1005)-5),809)),KotaKode,2,0),"-"),"")),"")</f>
        <v/>
      </c>
    </row>
    <row r="811" spans="1:12" ht="15" customHeight="1" x14ac:dyDescent="0.2">
      <c r="A811" t="str">
        <f t="shared" si="12"/>
        <v/>
      </c>
      <c r="B811" t="str">
        <v/>
      </c>
      <c r="C811" s="40" t="str">
        <f t="array" ref="C811">IFERROR(INDEX(checklistPesertaKemenkeu!$F$6:$F$1005,SMALL(IF(checklistPesertaKemenkeu!$AY$6:$AY$1005="Direkomendasikan",ROW($6:$1005)-5),810)),"")</f>
        <v/>
      </c>
      <c r="D811" t="str">
        <f t="array" ref="D811">IFERROR(INDEX(checklistPesertaKemenkeu!$G$6:$G$1005,SMALL(IF(checklistPesertaKemenkeu!$AY$6:$AY$1005="Direkomendasikan",ROW($6:$1005)-5),810)),"")</f>
        <v/>
      </c>
      <c r="E811" t="str">
        <f t="array" ref="E811">IFERROR(INDEX(checklistPesertaKemenkeu!$H$6:$H$1005,SMALL(IF(checklistPesertaKemenkeu!$AY$6:$AY$1005="Direkomendasikan",ROW($6:$1005)-5),810)),"")</f>
        <v/>
      </c>
      <c r="F811" t="str">
        <f t="array" ref="F811">IFERROR(INDEX(checklistPesertaKemenkeu!$I$6:$I$1005,SMALL(IF(checklistPesertaKemenkeu!$AY$6:$AY$1005="Direkomendasikan",ROW($6:$1005)-5),810)),"")</f>
        <v/>
      </c>
      <c r="G811" t="str">
        <f t="array" ref="G811">IFERROR(INDEX(checklistPesertaKemenkeu!$J$6:$J$1005,SMALL(IF(checklistPesertaKemenkeu!$AY$6:$AY$1005="Direkomendasikan",ROW($6:$1005)-5),810)),"")</f>
        <v/>
      </c>
      <c r="H811" t="str">
        <f t="array" aca="1" ref="H811" ca="1">IFERROR(IF(OR(INDEX(checklistPesertaKemenkeu!$L$6:$L$1005,SMALL(IF(checklistPesertaKemenkeu!$AY$6:$AY$1005="Direkomendasikan",ROW($6:$1005)-5),810))="",INDEX(checklistPesertaKemenkeu!$J$6:$J$1005,SMALL(IF(checklistPesertaKemenkeu!$AY$6:$AY$1005="Direkomendasikan",ROW($6:$1005)-5),810))=""),"",IF(AND(COUNTIF(INDIRECT("K_"&amp;MATCH(INDEX(checklistPesertaKemenkeu!$J$6:$J$1005,SMALL(IF(checklistPesertaKemenkeu!$AY$6:$AY$1005="Direkomendasikan",ROW($6:$1005)-5),810)),BidangList,0)),INDEX(checklistPesertaKemenkeu!$L$6:$L$1005,SMALL(IF(checklistPesertaKemenkeu!$AY$6:$AY$1005="Direkomendasikan",ROW($6:$1005)-5),810)))&gt;0,COUNTIF(INDIRECT("'KERTAS KERJA'!K"&amp;(SMALL(IF(checklistPesertaKemenkeu!$AY$6:$AY$1005="Direkomendasikan",ROW($6:$1005)-5),810)+5)&amp;":O"&amp;(SMALL(IF(checklistPesertaKemenkeu!$AY$6:$AY$1005="Direkomendasikan",ROW($6:$1005)-5),810)+5)),INDEX(checklistPesertaKemenkeu!$L$6:$L$1005,SMALL(IF(checklistPesertaKemenkeu!$AY$6:$AY$1005="Direkomendasikan",ROW($6:$1005)-5),810)))=1),IFERROR(VLOOKUP(INDEX(checklistPesertaKemenkeu!$L$6:$L$1005,SMALL(IF(checklistPesertaKemenkeu!$AY$6:$AY$1005="Direkomendasikan",ROW($6:$1005)-5),810)),KotaKode,2,0),"-"),"")),"")</f>
        <v/>
      </c>
      <c r="I811" t="str">
        <f t="array" aca="1" ref="I811" ca="1">IFERROR(IF(OR(INDEX(checklistPesertaKemenkeu!$M$6:$M$1005,SMALL(IF(checklistPesertaKemenkeu!$AY$6:$AY$1005="Direkomendasikan",ROW($6:$1005)-5),810))="",INDEX(checklistPesertaKemenkeu!$J$6:$J$1005,SMALL(IF(checklistPesertaKemenkeu!$AY$6:$AY$1005="Direkomendasikan",ROW($6:$1005)-5),810))=""),"",IF(AND(COUNTIF(INDIRECT("K_"&amp;MATCH(INDEX(checklistPesertaKemenkeu!$J$6:$J$1005,SMALL(IF(checklistPesertaKemenkeu!$AY$6:$AY$1005="Direkomendasikan",ROW($6:$1005)-5),810)),BidangList,0)),INDEX(checklistPesertaKemenkeu!$M$6:$M$1005,SMALL(IF(checklistPesertaKemenkeu!$AY$6:$AY$1005="Direkomendasikan",ROW($6:$1005)-5),810)))&gt;0,COUNTIF(INDIRECT("'KERTAS KERJA'!K"&amp;(SMALL(IF(checklistPesertaKemenkeu!$AY$6:$AY$1005="Direkomendasikan",ROW($6:$1005)-5),810)+5)&amp;":O"&amp;(SMALL(IF(checklistPesertaKemenkeu!$AY$6:$AY$1005="Direkomendasikan",ROW($6:$1005)-5),810)+5)),INDEX(checklistPesertaKemenkeu!$M$6:$M$1005,SMALL(IF(checklistPesertaKemenkeu!$AY$6:$AY$1005="Direkomendasikan",ROW($6:$1005)-5),810)))=1),IFERROR(VLOOKUP(INDEX(checklistPesertaKemenkeu!$M$6:$M$1005,SMALL(IF(checklistPesertaKemenkeu!$AY$6:$AY$1005="Direkomendasikan",ROW($6:$1005)-5),810)),KotaKode,2,0),"-"),"")),"")</f>
        <v/>
      </c>
      <c r="J811" t="str">
        <f t="array" aca="1" ref="J811" ca="1">IFERROR(IF(OR(INDEX(checklistPesertaKemenkeu!$N$6:$N$1005,SMALL(IF(checklistPesertaKemenkeu!$AY$6:$AY$1005="Direkomendasikan",ROW($6:$1005)-5),810))="",INDEX(checklistPesertaKemenkeu!$J$6:$J$1005,SMALL(IF(checklistPesertaKemenkeu!$AY$6:$AY$1005="Direkomendasikan",ROW($6:$1005)-5),810))=""),"",IF(AND(COUNTIF(INDIRECT("K_"&amp;MATCH(INDEX(checklistPesertaKemenkeu!$J$6:$J$1005,SMALL(IF(checklistPesertaKemenkeu!$AY$6:$AY$1005="Direkomendasikan",ROW($6:$1005)-5),810)),BidangList,0)),INDEX(checklistPesertaKemenkeu!$N$6:$N$1005,SMALL(IF(checklistPesertaKemenkeu!$AY$6:$AY$1005="Direkomendasikan",ROW($6:$1005)-5),810)))&gt;0,COUNTIF(INDIRECT("'KERTAS KERJA'!K"&amp;(SMALL(IF(checklistPesertaKemenkeu!$AY$6:$AY$1005="Direkomendasikan",ROW($6:$1005)-5),810)+5)&amp;":O"&amp;(SMALL(IF(checklistPesertaKemenkeu!$AY$6:$AY$1005="Direkomendasikan",ROW($6:$1005)-5),810)+5)),INDEX(checklistPesertaKemenkeu!$N$6:$N$1005,SMALL(IF(checklistPesertaKemenkeu!$AY$6:$AY$1005="Direkomendasikan",ROW($6:$1005)-5),810)))=1),IFERROR(VLOOKUP(INDEX(checklistPesertaKemenkeu!$N$6:$N$1005,SMALL(IF(checklistPesertaKemenkeu!$AY$6:$AY$1005="Direkomendasikan",ROW($6:$1005)-5),810)),KotaKode,2,0),"-"),"")),"")</f>
        <v/>
      </c>
      <c r="K811" t="str">
        <f t="array" aca="1" ref="K811" ca="1">IFERROR(IF(OR(INDEX(checklistPesertaKemenkeu!$O$6:$O$1005,SMALL(IF(checklistPesertaKemenkeu!$AY$6:$AY$1005="Direkomendasikan",ROW($6:$1005)-5),810))="",INDEX(checklistPesertaKemenkeu!$J$6:$J$1005,SMALL(IF(checklistPesertaKemenkeu!$AY$6:$AY$1005="Direkomendasikan",ROW($6:$1005)-5),810))=""),"",IF(AND(COUNTIF(INDIRECT("K_"&amp;MATCH(INDEX(checklistPesertaKemenkeu!$J$6:$J$1005,SMALL(IF(checklistPesertaKemenkeu!$AY$6:$AY$1005="Direkomendasikan",ROW($6:$1005)-5),810)),BidangList,0)),INDEX(checklistPesertaKemenkeu!$O$6:$O$1005,SMALL(IF(checklistPesertaKemenkeu!$AY$6:$AY$1005="Direkomendasikan",ROW($6:$1005)-5),810)))&gt;0,COUNTIF(INDIRECT("'KERTAS KERJA'!K"&amp;(SMALL(IF(checklistPesertaKemenkeu!$AY$6:$AY$1005="Direkomendasikan",ROW($6:$1005)-5),810)+5)&amp;":O"&amp;(SMALL(IF(checklistPesertaKemenkeu!$AY$6:$AY$1005="Direkomendasikan",ROW($6:$1005)-5),810)+5)),INDEX(checklistPesertaKemenkeu!$O$6:$O$1005,SMALL(IF(checklistPesertaKemenkeu!$AY$6:$AY$1005="Direkomendasikan",ROW($6:$1005)-5),810)))=1),IFERROR(VLOOKUP(INDEX(checklistPesertaKemenkeu!$O$6:$O$1005,SMALL(IF(checklistPesertaKemenkeu!$AY$6:$AY$1005="Direkomendasikan",ROW($6:$1005)-5),810)),KotaKode,2,0),"-"),"")),"")</f>
        <v/>
      </c>
      <c r="L811" t="str">
        <f t="array" aca="1" ref="L811" ca="1">IFERROR(IF(OR(INDEX(checklistPesertaKemenkeu!$P$6:$P$1005,SMALL(IF(checklistPesertaKemenkeu!$AY$6:$AY$1005="Direkomendasikan",ROW($6:$1005)-5),810))="",INDEX(checklistPesertaKemenkeu!$J$6:$J$1005,SMALL(IF(checklistPesertaKemenkeu!$AY$6:$AY$1005="Direkomendasikan",ROW($6:$1005)-5),810))=""),"",IF(AND(COUNTIF(INDIRECT("K_"&amp;MATCH(INDEX(checklistPesertaKemenkeu!$J$6:$J$1005,SMALL(IF(checklistPesertaKemenkeu!$AY$6:$AY$1005="Direkomendasikan",ROW($6:$1005)-5),810)),BidangList,0)),INDEX(checklistPesertaKemenkeu!$P$6:$P$1005,SMALL(IF(checklistPesertaKemenkeu!$AY$6:$AY$1005="Direkomendasikan",ROW($6:$1005)-5),810)))&gt;0,COUNTIF(INDIRECT("'KERTAS KERJA'!K"&amp;(SMALL(IF(checklistPesertaKemenkeu!$AY$6:$AY$1005="Direkomendasikan",ROW($6:$1005)-5),810)+5)&amp;":O"&amp;(SMALL(IF(checklistPesertaKemenkeu!$AY$6:$AY$1005="Direkomendasikan",ROW($6:$1005)-5),810)+5)),INDEX(checklistPesertaKemenkeu!$P$6:$P$1005,SMALL(IF(checklistPesertaKemenkeu!$AY$6:$AY$1005="Direkomendasikan",ROW($6:$1005)-5),810)))=1),IFERROR(VLOOKUP(INDEX(checklistPesertaKemenkeu!$P$6:$P$1005,SMALL(IF(checklistPesertaKemenkeu!$AY$6:$AY$1005="Direkomendasikan",ROW($6:$1005)-5),810)),KotaKode,2,0),"-"),"")),"")</f>
        <v/>
      </c>
    </row>
    <row r="812" spans="1:12" ht="15" customHeight="1" x14ac:dyDescent="0.2">
      <c r="A812" t="str">
        <f t="shared" si="12"/>
        <v/>
      </c>
      <c r="B812" t="str">
        <v/>
      </c>
      <c r="C812" s="40" t="str">
        <f t="array" ref="C812">IFERROR(INDEX(checklistPesertaKemenkeu!$F$6:$F$1005,SMALL(IF(checklistPesertaKemenkeu!$AY$6:$AY$1005="Direkomendasikan",ROW($6:$1005)-5),811)),"")</f>
        <v/>
      </c>
      <c r="D812" t="str">
        <f t="array" ref="D812">IFERROR(INDEX(checklistPesertaKemenkeu!$G$6:$G$1005,SMALL(IF(checklistPesertaKemenkeu!$AY$6:$AY$1005="Direkomendasikan",ROW($6:$1005)-5),811)),"")</f>
        <v/>
      </c>
      <c r="E812" t="str">
        <f t="array" ref="E812">IFERROR(INDEX(checklistPesertaKemenkeu!$H$6:$H$1005,SMALL(IF(checklistPesertaKemenkeu!$AY$6:$AY$1005="Direkomendasikan",ROW($6:$1005)-5),811)),"")</f>
        <v/>
      </c>
      <c r="F812" t="str">
        <f t="array" ref="F812">IFERROR(INDEX(checklistPesertaKemenkeu!$I$6:$I$1005,SMALL(IF(checklistPesertaKemenkeu!$AY$6:$AY$1005="Direkomendasikan",ROW($6:$1005)-5),811)),"")</f>
        <v/>
      </c>
      <c r="G812" t="str">
        <f t="array" ref="G812">IFERROR(INDEX(checklistPesertaKemenkeu!$J$6:$J$1005,SMALL(IF(checklistPesertaKemenkeu!$AY$6:$AY$1005="Direkomendasikan",ROW($6:$1005)-5),811)),"")</f>
        <v/>
      </c>
      <c r="H812" t="str">
        <f t="array" aca="1" ref="H812" ca="1">IFERROR(IF(OR(INDEX(checklistPesertaKemenkeu!$L$6:$L$1005,SMALL(IF(checklistPesertaKemenkeu!$AY$6:$AY$1005="Direkomendasikan",ROW($6:$1005)-5),811))="",INDEX(checklistPesertaKemenkeu!$J$6:$J$1005,SMALL(IF(checklistPesertaKemenkeu!$AY$6:$AY$1005="Direkomendasikan",ROW($6:$1005)-5),811))=""),"",IF(AND(COUNTIF(INDIRECT("K_"&amp;MATCH(INDEX(checklistPesertaKemenkeu!$J$6:$J$1005,SMALL(IF(checklistPesertaKemenkeu!$AY$6:$AY$1005="Direkomendasikan",ROW($6:$1005)-5),811)),BidangList,0)),INDEX(checklistPesertaKemenkeu!$L$6:$L$1005,SMALL(IF(checklistPesertaKemenkeu!$AY$6:$AY$1005="Direkomendasikan",ROW($6:$1005)-5),811)))&gt;0,COUNTIF(INDIRECT("'KERTAS KERJA'!K"&amp;(SMALL(IF(checklistPesertaKemenkeu!$AY$6:$AY$1005="Direkomendasikan",ROW($6:$1005)-5),811)+5)&amp;":O"&amp;(SMALL(IF(checklistPesertaKemenkeu!$AY$6:$AY$1005="Direkomendasikan",ROW($6:$1005)-5),811)+5)),INDEX(checklistPesertaKemenkeu!$L$6:$L$1005,SMALL(IF(checklistPesertaKemenkeu!$AY$6:$AY$1005="Direkomendasikan",ROW($6:$1005)-5),811)))=1),IFERROR(VLOOKUP(INDEX(checklistPesertaKemenkeu!$L$6:$L$1005,SMALL(IF(checklistPesertaKemenkeu!$AY$6:$AY$1005="Direkomendasikan",ROW($6:$1005)-5),811)),KotaKode,2,0),"-"),"")),"")</f>
        <v/>
      </c>
      <c r="I812" t="str">
        <f t="array" aca="1" ref="I812" ca="1">IFERROR(IF(OR(INDEX(checklistPesertaKemenkeu!$M$6:$M$1005,SMALL(IF(checklistPesertaKemenkeu!$AY$6:$AY$1005="Direkomendasikan",ROW($6:$1005)-5),811))="",INDEX(checklistPesertaKemenkeu!$J$6:$J$1005,SMALL(IF(checklistPesertaKemenkeu!$AY$6:$AY$1005="Direkomendasikan",ROW($6:$1005)-5),811))=""),"",IF(AND(COUNTIF(INDIRECT("K_"&amp;MATCH(INDEX(checklistPesertaKemenkeu!$J$6:$J$1005,SMALL(IF(checklistPesertaKemenkeu!$AY$6:$AY$1005="Direkomendasikan",ROW($6:$1005)-5),811)),BidangList,0)),INDEX(checklistPesertaKemenkeu!$M$6:$M$1005,SMALL(IF(checklistPesertaKemenkeu!$AY$6:$AY$1005="Direkomendasikan",ROW($6:$1005)-5),811)))&gt;0,COUNTIF(INDIRECT("'KERTAS KERJA'!K"&amp;(SMALL(IF(checklistPesertaKemenkeu!$AY$6:$AY$1005="Direkomendasikan",ROW($6:$1005)-5),811)+5)&amp;":O"&amp;(SMALL(IF(checklistPesertaKemenkeu!$AY$6:$AY$1005="Direkomendasikan",ROW($6:$1005)-5),811)+5)),INDEX(checklistPesertaKemenkeu!$M$6:$M$1005,SMALL(IF(checklistPesertaKemenkeu!$AY$6:$AY$1005="Direkomendasikan",ROW($6:$1005)-5),811)))=1),IFERROR(VLOOKUP(INDEX(checklistPesertaKemenkeu!$M$6:$M$1005,SMALL(IF(checklistPesertaKemenkeu!$AY$6:$AY$1005="Direkomendasikan",ROW($6:$1005)-5),811)),KotaKode,2,0),"-"),"")),"")</f>
        <v/>
      </c>
      <c r="J812" t="str">
        <f t="array" aca="1" ref="J812" ca="1">IFERROR(IF(OR(INDEX(checklistPesertaKemenkeu!$N$6:$N$1005,SMALL(IF(checklistPesertaKemenkeu!$AY$6:$AY$1005="Direkomendasikan",ROW($6:$1005)-5),811))="",INDEX(checklistPesertaKemenkeu!$J$6:$J$1005,SMALL(IF(checklistPesertaKemenkeu!$AY$6:$AY$1005="Direkomendasikan",ROW($6:$1005)-5),811))=""),"",IF(AND(COUNTIF(INDIRECT("K_"&amp;MATCH(INDEX(checklistPesertaKemenkeu!$J$6:$J$1005,SMALL(IF(checklistPesertaKemenkeu!$AY$6:$AY$1005="Direkomendasikan",ROW($6:$1005)-5),811)),BidangList,0)),INDEX(checklistPesertaKemenkeu!$N$6:$N$1005,SMALL(IF(checklistPesertaKemenkeu!$AY$6:$AY$1005="Direkomendasikan",ROW($6:$1005)-5),811)))&gt;0,COUNTIF(INDIRECT("'KERTAS KERJA'!K"&amp;(SMALL(IF(checklistPesertaKemenkeu!$AY$6:$AY$1005="Direkomendasikan",ROW($6:$1005)-5),811)+5)&amp;":O"&amp;(SMALL(IF(checklistPesertaKemenkeu!$AY$6:$AY$1005="Direkomendasikan",ROW($6:$1005)-5),811)+5)),INDEX(checklistPesertaKemenkeu!$N$6:$N$1005,SMALL(IF(checklistPesertaKemenkeu!$AY$6:$AY$1005="Direkomendasikan",ROW($6:$1005)-5),811)))=1),IFERROR(VLOOKUP(INDEX(checklistPesertaKemenkeu!$N$6:$N$1005,SMALL(IF(checklistPesertaKemenkeu!$AY$6:$AY$1005="Direkomendasikan",ROW($6:$1005)-5),811)),KotaKode,2,0),"-"),"")),"")</f>
        <v/>
      </c>
      <c r="K812" t="str">
        <f t="array" aca="1" ref="K812" ca="1">IFERROR(IF(OR(INDEX(checklistPesertaKemenkeu!$O$6:$O$1005,SMALL(IF(checklistPesertaKemenkeu!$AY$6:$AY$1005="Direkomendasikan",ROW($6:$1005)-5),811))="",INDEX(checklistPesertaKemenkeu!$J$6:$J$1005,SMALL(IF(checklistPesertaKemenkeu!$AY$6:$AY$1005="Direkomendasikan",ROW($6:$1005)-5),811))=""),"",IF(AND(COUNTIF(INDIRECT("K_"&amp;MATCH(INDEX(checklistPesertaKemenkeu!$J$6:$J$1005,SMALL(IF(checklistPesertaKemenkeu!$AY$6:$AY$1005="Direkomendasikan",ROW($6:$1005)-5),811)),BidangList,0)),INDEX(checklistPesertaKemenkeu!$O$6:$O$1005,SMALL(IF(checklistPesertaKemenkeu!$AY$6:$AY$1005="Direkomendasikan",ROW($6:$1005)-5),811)))&gt;0,COUNTIF(INDIRECT("'KERTAS KERJA'!K"&amp;(SMALL(IF(checklistPesertaKemenkeu!$AY$6:$AY$1005="Direkomendasikan",ROW($6:$1005)-5),811)+5)&amp;":O"&amp;(SMALL(IF(checklistPesertaKemenkeu!$AY$6:$AY$1005="Direkomendasikan",ROW($6:$1005)-5),811)+5)),INDEX(checklistPesertaKemenkeu!$O$6:$O$1005,SMALL(IF(checklistPesertaKemenkeu!$AY$6:$AY$1005="Direkomendasikan",ROW($6:$1005)-5),811)))=1),IFERROR(VLOOKUP(INDEX(checklistPesertaKemenkeu!$O$6:$O$1005,SMALL(IF(checklistPesertaKemenkeu!$AY$6:$AY$1005="Direkomendasikan",ROW($6:$1005)-5),811)),KotaKode,2,0),"-"),"")),"")</f>
        <v/>
      </c>
      <c r="L812" t="str">
        <f t="array" aca="1" ref="L812" ca="1">IFERROR(IF(OR(INDEX(checklistPesertaKemenkeu!$P$6:$P$1005,SMALL(IF(checklistPesertaKemenkeu!$AY$6:$AY$1005="Direkomendasikan",ROW($6:$1005)-5),811))="",INDEX(checklistPesertaKemenkeu!$J$6:$J$1005,SMALL(IF(checklistPesertaKemenkeu!$AY$6:$AY$1005="Direkomendasikan",ROW($6:$1005)-5),811))=""),"",IF(AND(COUNTIF(INDIRECT("K_"&amp;MATCH(INDEX(checklistPesertaKemenkeu!$J$6:$J$1005,SMALL(IF(checklistPesertaKemenkeu!$AY$6:$AY$1005="Direkomendasikan",ROW($6:$1005)-5),811)),BidangList,0)),INDEX(checklistPesertaKemenkeu!$P$6:$P$1005,SMALL(IF(checklistPesertaKemenkeu!$AY$6:$AY$1005="Direkomendasikan",ROW($6:$1005)-5),811)))&gt;0,COUNTIF(INDIRECT("'KERTAS KERJA'!K"&amp;(SMALL(IF(checklistPesertaKemenkeu!$AY$6:$AY$1005="Direkomendasikan",ROW($6:$1005)-5),811)+5)&amp;":O"&amp;(SMALL(IF(checklistPesertaKemenkeu!$AY$6:$AY$1005="Direkomendasikan",ROW($6:$1005)-5),811)+5)),INDEX(checklistPesertaKemenkeu!$P$6:$P$1005,SMALL(IF(checklistPesertaKemenkeu!$AY$6:$AY$1005="Direkomendasikan",ROW($6:$1005)-5),811)))=1),IFERROR(VLOOKUP(INDEX(checklistPesertaKemenkeu!$P$6:$P$1005,SMALL(IF(checklistPesertaKemenkeu!$AY$6:$AY$1005="Direkomendasikan",ROW($6:$1005)-5),811)),KotaKode,2,0),"-"),"")),"")</f>
        <v/>
      </c>
    </row>
    <row r="813" spans="1:12" ht="15" customHeight="1" x14ac:dyDescent="0.2">
      <c r="A813" t="str">
        <f t="shared" si="12"/>
        <v/>
      </c>
      <c r="B813" t="str">
        <v/>
      </c>
      <c r="C813" s="40" t="str">
        <f t="array" ref="C813">IFERROR(INDEX(checklistPesertaKemenkeu!$F$6:$F$1005,SMALL(IF(checklistPesertaKemenkeu!$AY$6:$AY$1005="Direkomendasikan",ROW($6:$1005)-5),812)),"")</f>
        <v/>
      </c>
      <c r="D813" t="str">
        <f t="array" ref="D813">IFERROR(INDEX(checklistPesertaKemenkeu!$G$6:$G$1005,SMALL(IF(checklistPesertaKemenkeu!$AY$6:$AY$1005="Direkomendasikan",ROW($6:$1005)-5),812)),"")</f>
        <v/>
      </c>
      <c r="E813" t="str">
        <f t="array" ref="E813">IFERROR(INDEX(checklistPesertaKemenkeu!$H$6:$H$1005,SMALL(IF(checklistPesertaKemenkeu!$AY$6:$AY$1005="Direkomendasikan",ROW($6:$1005)-5),812)),"")</f>
        <v/>
      </c>
      <c r="F813" t="str">
        <f t="array" ref="F813">IFERROR(INDEX(checklistPesertaKemenkeu!$I$6:$I$1005,SMALL(IF(checklistPesertaKemenkeu!$AY$6:$AY$1005="Direkomendasikan",ROW($6:$1005)-5),812)),"")</f>
        <v/>
      </c>
      <c r="G813" t="str">
        <f t="array" ref="G813">IFERROR(INDEX(checklistPesertaKemenkeu!$J$6:$J$1005,SMALL(IF(checklistPesertaKemenkeu!$AY$6:$AY$1005="Direkomendasikan",ROW($6:$1005)-5),812)),"")</f>
        <v/>
      </c>
      <c r="H813" t="str">
        <f t="array" aca="1" ref="H813" ca="1">IFERROR(IF(OR(INDEX(checklistPesertaKemenkeu!$L$6:$L$1005,SMALL(IF(checklistPesertaKemenkeu!$AY$6:$AY$1005="Direkomendasikan",ROW($6:$1005)-5),812))="",INDEX(checklistPesertaKemenkeu!$J$6:$J$1005,SMALL(IF(checklistPesertaKemenkeu!$AY$6:$AY$1005="Direkomendasikan",ROW($6:$1005)-5),812))=""),"",IF(AND(COUNTIF(INDIRECT("K_"&amp;MATCH(INDEX(checklistPesertaKemenkeu!$J$6:$J$1005,SMALL(IF(checklistPesertaKemenkeu!$AY$6:$AY$1005="Direkomendasikan",ROW($6:$1005)-5),812)),BidangList,0)),INDEX(checklistPesertaKemenkeu!$L$6:$L$1005,SMALL(IF(checklistPesertaKemenkeu!$AY$6:$AY$1005="Direkomendasikan",ROW($6:$1005)-5),812)))&gt;0,COUNTIF(INDIRECT("'KERTAS KERJA'!K"&amp;(SMALL(IF(checklistPesertaKemenkeu!$AY$6:$AY$1005="Direkomendasikan",ROW($6:$1005)-5),812)+5)&amp;":O"&amp;(SMALL(IF(checklistPesertaKemenkeu!$AY$6:$AY$1005="Direkomendasikan",ROW($6:$1005)-5),812)+5)),INDEX(checklistPesertaKemenkeu!$L$6:$L$1005,SMALL(IF(checklistPesertaKemenkeu!$AY$6:$AY$1005="Direkomendasikan",ROW($6:$1005)-5),812)))=1),IFERROR(VLOOKUP(INDEX(checklistPesertaKemenkeu!$L$6:$L$1005,SMALL(IF(checklistPesertaKemenkeu!$AY$6:$AY$1005="Direkomendasikan",ROW($6:$1005)-5),812)),KotaKode,2,0),"-"),"")),"")</f>
        <v/>
      </c>
      <c r="I813" t="str">
        <f t="array" aca="1" ref="I813" ca="1">IFERROR(IF(OR(INDEX(checklistPesertaKemenkeu!$M$6:$M$1005,SMALL(IF(checklistPesertaKemenkeu!$AY$6:$AY$1005="Direkomendasikan",ROW($6:$1005)-5),812))="",INDEX(checklistPesertaKemenkeu!$J$6:$J$1005,SMALL(IF(checklistPesertaKemenkeu!$AY$6:$AY$1005="Direkomendasikan",ROW($6:$1005)-5),812))=""),"",IF(AND(COUNTIF(INDIRECT("K_"&amp;MATCH(INDEX(checklistPesertaKemenkeu!$J$6:$J$1005,SMALL(IF(checklistPesertaKemenkeu!$AY$6:$AY$1005="Direkomendasikan",ROW($6:$1005)-5),812)),BidangList,0)),INDEX(checklistPesertaKemenkeu!$M$6:$M$1005,SMALL(IF(checklistPesertaKemenkeu!$AY$6:$AY$1005="Direkomendasikan",ROW($6:$1005)-5),812)))&gt;0,COUNTIF(INDIRECT("'KERTAS KERJA'!K"&amp;(SMALL(IF(checklistPesertaKemenkeu!$AY$6:$AY$1005="Direkomendasikan",ROW($6:$1005)-5),812)+5)&amp;":O"&amp;(SMALL(IF(checklistPesertaKemenkeu!$AY$6:$AY$1005="Direkomendasikan",ROW($6:$1005)-5),812)+5)),INDEX(checklistPesertaKemenkeu!$M$6:$M$1005,SMALL(IF(checklistPesertaKemenkeu!$AY$6:$AY$1005="Direkomendasikan",ROW($6:$1005)-5),812)))=1),IFERROR(VLOOKUP(INDEX(checklistPesertaKemenkeu!$M$6:$M$1005,SMALL(IF(checklistPesertaKemenkeu!$AY$6:$AY$1005="Direkomendasikan",ROW($6:$1005)-5),812)),KotaKode,2,0),"-"),"")),"")</f>
        <v/>
      </c>
      <c r="J813" t="str">
        <f t="array" aca="1" ref="J813" ca="1">IFERROR(IF(OR(INDEX(checklistPesertaKemenkeu!$N$6:$N$1005,SMALL(IF(checklistPesertaKemenkeu!$AY$6:$AY$1005="Direkomendasikan",ROW($6:$1005)-5),812))="",INDEX(checklistPesertaKemenkeu!$J$6:$J$1005,SMALL(IF(checklistPesertaKemenkeu!$AY$6:$AY$1005="Direkomendasikan",ROW($6:$1005)-5),812))=""),"",IF(AND(COUNTIF(INDIRECT("K_"&amp;MATCH(INDEX(checklistPesertaKemenkeu!$J$6:$J$1005,SMALL(IF(checklistPesertaKemenkeu!$AY$6:$AY$1005="Direkomendasikan",ROW($6:$1005)-5),812)),BidangList,0)),INDEX(checklistPesertaKemenkeu!$N$6:$N$1005,SMALL(IF(checklistPesertaKemenkeu!$AY$6:$AY$1005="Direkomendasikan",ROW($6:$1005)-5),812)))&gt;0,COUNTIF(INDIRECT("'KERTAS KERJA'!K"&amp;(SMALL(IF(checklistPesertaKemenkeu!$AY$6:$AY$1005="Direkomendasikan",ROW($6:$1005)-5),812)+5)&amp;":O"&amp;(SMALL(IF(checklistPesertaKemenkeu!$AY$6:$AY$1005="Direkomendasikan",ROW($6:$1005)-5),812)+5)),INDEX(checklistPesertaKemenkeu!$N$6:$N$1005,SMALL(IF(checklistPesertaKemenkeu!$AY$6:$AY$1005="Direkomendasikan",ROW($6:$1005)-5),812)))=1),IFERROR(VLOOKUP(INDEX(checklistPesertaKemenkeu!$N$6:$N$1005,SMALL(IF(checklistPesertaKemenkeu!$AY$6:$AY$1005="Direkomendasikan",ROW($6:$1005)-5),812)),KotaKode,2,0),"-"),"")),"")</f>
        <v/>
      </c>
      <c r="K813" t="str">
        <f t="array" aca="1" ref="K813" ca="1">IFERROR(IF(OR(INDEX(checklistPesertaKemenkeu!$O$6:$O$1005,SMALL(IF(checklistPesertaKemenkeu!$AY$6:$AY$1005="Direkomendasikan",ROW($6:$1005)-5),812))="",INDEX(checklistPesertaKemenkeu!$J$6:$J$1005,SMALL(IF(checklistPesertaKemenkeu!$AY$6:$AY$1005="Direkomendasikan",ROW($6:$1005)-5),812))=""),"",IF(AND(COUNTIF(INDIRECT("K_"&amp;MATCH(INDEX(checklistPesertaKemenkeu!$J$6:$J$1005,SMALL(IF(checklistPesertaKemenkeu!$AY$6:$AY$1005="Direkomendasikan",ROW($6:$1005)-5),812)),BidangList,0)),INDEX(checklistPesertaKemenkeu!$O$6:$O$1005,SMALL(IF(checklistPesertaKemenkeu!$AY$6:$AY$1005="Direkomendasikan",ROW($6:$1005)-5),812)))&gt;0,COUNTIF(INDIRECT("'KERTAS KERJA'!K"&amp;(SMALL(IF(checklistPesertaKemenkeu!$AY$6:$AY$1005="Direkomendasikan",ROW($6:$1005)-5),812)+5)&amp;":O"&amp;(SMALL(IF(checklistPesertaKemenkeu!$AY$6:$AY$1005="Direkomendasikan",ROW($6:$1005)-5),812)+5)),INDEX(checklistPesertaKemenkeu!$O$6:$O$1005,SMALL(IF(checklistPesertaKemenkeu!$AY$6:$AY$1005="Direkomendasikan",ROW($6:$1005)-5),812)))=1),IFERROR(VLOOKUP(INDEX(checklistPesertaKemenkeu!$O$6:$O$1005,SMALL(IF(checklistPesertaKemenkeu!$AY$6:$AY$1005="Direkomendasikan",ROW($6:$1005)-5),812)),KotaKode,2,0),"-"),"")),"")</f>
        <v/>
      </c>
      <c r="L813" t="str">
        <f t="array" aca="1" ref="L813" ca="1">IFERROR(IF(OR(INDEX(checklistPesertaKemenkeu!$P$6:$P$1005,SMALL(IF(checklistPesertaKemenkeu!$AY$6:$AY$1005="Direkomendasikan",ROW($6:$1005)-5),812))="",INDEX(checklistPesertaKemenkeu!$J$6:$J$1005,SMALL(IF(checklistPesertaKemenkeu!$AY$6:$AY$1005="Direkomendasikan",ROW($6:$1005)-5),812))=""),"",IF(AND(COUNTIF(INDIRECT("K_"&amp;MATCH(INDEX(checklistPesertaKemenkeu!$J$6:$J$1005,SMALL(IF(checklistPesertaKemenkeu!$AY$6:$AY$1005="Direkomendasikan",ROW($6:$1005)-5),812)),BidangList,0)),INDEX(checklistPesertaKemenkeu!$P$6:$P$1005,SMALL(IF(checklistPesertaKemenkeu!$AY$6:$AY$1005="Direkomendasikan",ROW($6:$1005)-5),812)))&gt;0,COUNTIF(INDIRECT("'KERTAS KERJA'!K"&amp;(SMALL(IF(checklistPesertaKemenkeu!$AY$6:$AY$1005="Direkomendasikan",ROW($6:$1005)-5),812)+5)&amp;":O"&amp;(SMALL(IF(checklistPesertaKemenkeu!$AY$6:$AY$1005="Direkomendasikan",ROW($6:$1005)-5),812)+5)),INDEX(checklistPesertaKemenkeu!$P$6:$P$1005,SMALL(IF(checklistPesertaKemenkeu!$AY$6:$AY$1005="Direkomendasikan",ROW($6:$1005)-5),812)))=1),IFERROR(VLOOKUP(INDEX(checklistPesertaKemenkeu!$P$6:$P$1005,SMALL(IF(checklistPesertaKemenkeu!$AY$6:$AY$1005="Direkomendasikan",ROW($6:$1005)-5),812)),KotaKode,2,0),"-"),"")),"")</f>
        <v/>
      </c>
    </row>
    <row r="814" spans="1:12" ht="15" customHeight="1" x14ac:dyDescent="0.2">
      <c r="A814" t="str">
        <f t="shared" si="12"/>
        <v/>
      </c>
      <c r="B814" t="str">
        <v/>
      </c>
      <c r="C814" s="40" t="str">
        <f t="array" ref="C814">IFERROR(INDEX(checklistPesertaKemenkeu!$F$6:$F$1005,SMALL(IF(checklistPesertaKemenkeu!$AY$6:$AY$1005="Direkomendasikan",ROW($6:$1005)-5),813)),"")</f>
        <v/>
      </c>
      <c r="D814" t="str">
        <f t="array" ref="D814">IFERROR(INDEX(checklistPesertaKemenkeu!$G$6:$G$1005,SMALL(IF(checklistPesertaKemenkeu!$AY$6:$AY$1005="Direkomendasikan",ROW($6:$1005)-5),813)),"")</f>
        <v/>
      </c>
      <c r="E814" t="str">
        <f t="array" ref="E814">IFERROR(INDEX(checklistPesertaKemenkeu!$H$6:$H$1005,SMALL(IF(checklistPesertaKemenkeu!$AY$6:$AY$1005="Direkomendasikan",ROW($6:$1005)-5),813)),"")</f>
        <v/>
      </c>
      <c r="F814" t="str">
        <f t="array" ref="F814">IFERROR(INDEX(checklistPesertaKemenkeu!$I$6:$I$1005,SMALL(IF(checklistPesertaKemenkeu!$AY$6:$AY$1005="Direkomendasikan",ROW($6:$1005)-5),813)),"")</f>
        <v/>
      </c>
      <c r="G814" t="str">
        <f t="array" ref="G814">IFERROR(INDEX(checklistPesertaKemenkeu!$J$6:$J$1005,SMALL(IF(checklistPesertaKemenkeu!$AY$6:$AY$1005="Direkomendasikan",ROW($6:$1005)-5),813)),"")</f>
        <v/>
      </c>
      <c r="H814" t="str">
        <f t="array" aca="1" ref="H814" ca="1">IFERROR(IF(OR(INDEX(checklistPesertaKemenkeu!$L$6:$L$1005,SMALL(IF(checklistPesertaKemenkeu!$AY$6:$AY$1005="Direkomendasikan",ROW($6:$1005)-5),813))="",INDEX(checklistPesertaKemenkeu!$J$6:$J$1005,SMALL(IF(checklistPesertaKemenkeu!$AY$6:$AY$1005="Direkomendasikan",ROW($6:$1005)-5),813))=""),"",IF(AND(COUNTIF(INDIRECT("K_"&amp;MATCH(INDEX(checklistPesertaKemenkeu!$J$6:$J$1005,SMALL(IF(checklistPesertaKemenkeu!$AY$6:$AY$1005="Direkomendasikan",ROW($6:$1005)-5),813)),BidangList,0)),INDEX(checklistPesertaKemenkeu!$L$6:$L$1005,SMALL(IF(checklistPesertaKemenkeu!$AY$6:$AY$1005="Direkomendasikan",ROW($6:$1005)-5),813)))&gt;0,COUNTIF(INDIRECT("'KERTAS KERJA'!K"&amp;(SMALL(IF(checklistPesertaKemenkeu!$AY$6:$AY$1005="Direkomendasikan",ROW($6:$1005)-5),813)+5)&amp;":O"&amp;(SMALL(IF(checklistPesertaKemenkeu!$AY$6:$AY$1005="Direkomendasikan",ROW($6:$1005)-5),813)+5)),INDEX(checklistPesertaKemenkeu!$L$6:$L$1005,SMALL(IF(checklistPesertaKemenkeu!$AY$6:$AY$1005="Direkomendasikan",ROW($6:$1005)-5),813)))=1),IFERROR(VLOOKUP(INDEX(checklistPesertaKemenkeu!$L$6:$L$1005,SMALL(IF(checklistPesertaKemenkeu!$AY$6:$AY$1005="Direkomendasikan",ROW($6:$1005)-5),813)),KotaKode,2,0),"-"),"")),"")</f>
        <v/>
      </c>
      <c r="I814" t="str">
        <f t="array" aca="1" ref="I814" ca="1">IFERROR(IF(OR(INDEX(checklistPesertaKemenkeu!$M$6:$M$1005,SMALL(IF(checklistPesertaKemenkeu!$AY$6:$AY$1005="Direkomendasikan",ROW($6:$1005)-5),813))="",INDEX(checklistPesertaKemenkeu!$J$6:$J$1005,SMALL(IF(checklistPesertaKemenkeu!$AY$6:$AY$1005="Direkomendasikan",ROW($6:$1005)-5),813))=""),"",IF(AND(COUNTIF(INDIRECT("K_"&amp;MATCH(INDEX(checklistPesertaKemenkeu!$J$6:$J$1005,SMALL(IF(checklistPesertaKemenkeu!$AY$6:$AY$1005="Direkomendasikan",ROW($6:$1005)-5),813)),BidangList,0)),INDEX(checklistPesertaKemenkeu!$M$6:$M$1005,SMALL(IF(checklistPesertaKemenkeu!$AY$6:$AY$1005="Direkomendasikan",ROW($6:$1005)-5),813)))&gt;0,COUNTIF(INDIRECT("'KERTAS KERJA'!K"&amp;(SMALL(IF(checklistPesertaKemenkeu!$AY$6:$AY$1005="Direkomendasikan",ROW($6:$1005)-5),813)+5)&amp;":O"&amp;(SMALL(IF(checklistPesertaKemenkeu!$AY$6:$AY$1005="Direkomendasikan",ROW($6:$1005)-5),813)+5)),INDEX(checklistPesertaKemenkeu!$M$6:$M$1005,SMALL(IF(checklistPesertaKemenkeu!$AY$6:$AY$1005="Direkomendasikan",ROW($6:$1005)-5),813)))=1),IFERROR(VLOOKUP(INDEX(checklistPesertaKemenkeu!$M$6:$M$1005,SMALL(IF(checklistPesertaKemenkeu!$AY$6:$AY$1005="Direkomendasikan",ROW($6:$1005)-5),813)),KotaKode,2,0),"-"),"")),"")</f>
        <v/>
      </c>
      <c r="J814" t="str">
        <f t="array" aca="1" ref="J814" ca="1">IFERROR(IF(OR(INDEX(checklistPesertaKemenkeu!$N$6:$N$1005,SMALL(IF(checklistPesertaKemenkeu!$AY$6:$AY$1005="Direkomendasikan",ROW($6:$1005)-5),813))="",INDEX(checklistPesertaKemenkeu!$J$6:$J$1005,SMALL(IF(checklistPesertaKemenkeu!$AY$6:$AY$1005="Direkomendasikan",ROW($6:$1005)-5),813))=""),"",IF(AND(COUNTIF(INDIRECT("K_"&amp;MATCH(INDEX(checklistPesertaKemenkeu!$J$6:$J$1005,SMALL(IF(checklistPesertaKemenkeu!$AY$6:$AY$1005="Direkomendasikan",ROW($6:$1005)-5),813)),BidangList,0)),INDEX(checklistPesertaKemenkeu!$N$6:$N$1005,SMALL(IF(checklistPesertaKemenkeu!$AY$6:$AY$1005="Direkomendasikan",ROW($6:$1005)-5),813)))&gt;0,COUNTIF(INDIRECT("'KERTAS KERJA'!K"&amp;(SMALL(IF(checklistPesertaKemenkeu!$AY$6:$AY$1005="Direkomendasikan",ROW($6:$1005)-5),813)+5)&amp;":O"&amp;(SMALL(IF(checklistPesertaKemenkeu!$AY$6:$AY$1005="Direkomendasikan",ROW($6:$1005)-5),813)+5)),INDEX(checklistPesertaKemenkeu!$N$6:$N$1005,SMALL(IF(checklistPesertaKemenkeu!$AY$6:$AY$1005="Direkomendasikan",ROW($6:$1005)-5),813)))=1),IFERROR(VLOOKUP(INDEX(checklistPesertaKemenkeu!$N$6:$N$1005,SMALL(IF(checklistPesertaKemenkeu!$AY$6:$AY$1005="Direkomendasikan",ROW($6:$1005)-5),813)),KotaKode,2,0),"-"),"")),"")</f>
        <v/>
      </c>
      <c r="K814" t="str">
        <f t="array" aca="1" ref="K814" ca="1">IFERROR(IF(OR(INDEX(checklistPesertaKemenkeu!$O$6:$O$1005,SMALL(IF(checklistPesertaKemenkeu!$AY$6:$AY$1005="Direkomendasikan",ROW($6:$1005)-5),813))="",INDEX(checklistPesertaKemenkeu!$J$6:$J$1005,SMALL(IF(checklistPesertaKemenkeu!$AY$6:$AY$1005="Direkomendasikan",ROW($6:$1005)-5),813))=""),"",IF(AND(COUNTIF(INDIRECT("K_"&amp;MATCH(INDEX(checklistPesertaKemenkeu!$J$6:$J$1005,SMALL(IF(checklistPesertaKemenkeu!$AY$6:$AY$1005="Direkomendasikan",ROW($6:$1005)-5),813)),BidangList,0)),INDEX(checklistPesertaKemenkeu!$O$6:$O$1005,SMALL(IF(checklistPesertaKemenkeu!$AY$6:$AY$1005="Direkomendasikan",ROW($6:$1005)-5),813)))&gt;0,COUNTIF(INDIRECT("'KERTAS KERJA'!K"&amp;(SMALL(IF(checklistPesertaKemenkeu!$AY$6:$AY$1005="Direkomendasikan",ROW($6:$1005)-5),813)+5)&amp;":O"&amp;(SMALL(IF(checklistPesertaKemenkeu!$AY$6:$AY$1005="Direkomendasikan",ROW($6:$1005)-5),813)+5)),INDEX(checklistPesertaKemenkeu!$O$6:$O$1005,SMALL(IF(checklistPesertaKemenkeu!$AY$6:$AY$1005="Direkomendasikan",ROW($6:$1005)-5),813)))=1),IFERROR(VLOOKUP(INDEX(checklistPesertaKemenkeu!$O$6:$O$1005,SMALL(IF(checklistPesertaKemenkeu!$AY$6:$AY$1005="Direkomendasikan",ROW($6:$1005)-5),813)),KotaKode,2,0),"-"),"")),"")</f>
        <v/>
      </c>
      <c r="L814" t="str">
        <f t="array" aca="1" ref="L814" ca="1">IFERROR(IF(OR(INDEX(checklistPesertaKemenkeu!$P$6:$P$1005,SMALL(IF(checklistPesertaKemenkeu!$AY$6:$AY$1005="Direkomendasikan",ROW($6:$1005)-5),813))="",INDEX(checklistPesertaKemenkeu!$J$6:$J$1005,SMALL(IF(checklistPesertaKemenkeu!$AY$6:$AY$1005="Direkomendasikan",ROW($6:$1005)-5),813))=""),"",IF(AND(COUNTIF(INDIRECT("K_"&amp;MATCH(INDEX(checklistPesertaKemenkeu!$J$6:$J$1005,SMALL(IF(checklistPesertaKemenkeu!$AY$6:$AY$1005="Direkomendasikan",ROW($6:$1005)-5),813)),BidangList,0)),INDEX(checklistPesertaKemenkeu!$P$6:$P$1005,SMALL(IF(checklistPesertaKemenkeu!$AY$6:$AY$1005="Direkomendasikan",ROW($6:$1005)-5),813)))&gt;0,COUNTIF(INDIRECT("'KERTAS KERJA'!K"&amp;(SMALL(IF(checklistPesertaKemenkeu!$AY$6:$AY$1005="Direkomendasikan",ROW($6:$1005)-5),813)+5)&amp;":O"&amp;(SMALL(IF(checklistPesertaKemenkeu!$AY$6:$AY$1005="Direkomendasikan",ROW($6:$1005)-5),813)+5)),INDEX(checklistPesertaKemenkeu!$P$6:$P$1005,SMALL(IF(checklistPesertaKemenkeu!$AY$6:$AY$1005="Direkomendasikan",ROW($6:$1005)-5),813)))=1),IFERROR(VLOOKUP(INDEX(checklistPesertaKemenkeu!$P$6:$P$1005,SMALL(IF(checklistPesertaKemenkeu!$AY$6:$AY$1005="Direkomendasikan",ROW($6:$1005)-5),813)),KotaKode,2,0),"-"),"")),"")</f>
        <v/>
      </c>
    </row>
    <row r="815" spans="1:12" ht="15" customHeight="1" x14ac:dyDescent="0.2">
      <c r="A815" t="str">
        <f t="shared" si="12"/>
        <v/>
      </c>
      <c r="B815" t="str">
        <v/>
      </c>
      <c r="C815" s="40" t="str">
        <f t="array" ref="C815">IFERROR(INDEX(checklistPesertaKemenkeu!$F$6:$F$1005,SMALL(IF(checklistPesertaKemenkeu!$AY$6:$AY$1005="Direkomendasikan",ROW($6:$1005)-5),814)),"")</f>
        <v/>
      </c>
      <c r="D815" t="str">
        <f t="array" ref="D815">IFERROR(INDEX(checklistPesertaKemenkeu!$G$6:$G$1005,SMALL(IF(checklistPesertaKemenkeu!$AY$6:$AY$1005="Direkomendasikan",ROW($6:$1005)-5),814)),"")</f>
        <v/>
      </c>
      <c r="E815" t="str">
        <f t="array" ref="E815">IFERROR(INDEX(checklistPesertaKemenkeu!$H$6:$H$1005,SMALL(IF(checklistPesertaKemenkeu!$AY$6:$AY$1005="Direkomendasikan",ROW($6:$1005)-5),814)),"")</f>
        <v/>
      </c>
      <c r="F815" t="str">
        <f t="array" ref="F815">IFERROR(INDEX(checklistPesertaKemenkeu!$I$6:$I$1005,SMALL(IF(checklistPesertaKemenkeu!$AY$6:$AY$1005="Direkomendasikan",ROW($6:$1005)-5),814)),"")</f>
        <v/>
      </c>
      <c r="G815" t="str">
        <f t="array" ref="G815">IFERROR(INDEX(checklistPesertaKemenkeu!$J$6:$J$1005,SMALL(IF(checklistPesertaKemenkeu!$AY$6:$AY$1005="Direkomendasikan",ROW($6:$1005)-5),814)),"")</f>
        <v/>
      </c>
      <c r="H815" t="str">
        <f t="array" aca="1" ref="H815" ca="1">IFERROR(IF(OR(INDEX(checklistPesertaKemenkeu!$L$6:$L$1005,SMALL(IF(checklistPesertaKemenkeu!$AY$6:$AY$1005="Direkomendasikan",ROW($6:$1005)-5),814))="",INDEX(checklistPesertaKemenkeu!$J$6:$J$1005,SMALL(IF(checklistPesertaKemenkeu!$AY$6:$AY$1005="Direkomendasikan",ROW($6:$1005)-5),814))=""),"",IF(AND(COUNTIF(INDIRECT("K_"&amp;MATCH(INDEX(checklistPesertaKemenkeu!$J$6:$J$1005,SMALL(IF(checklistPesertaKemenkeu!$AY$6:$AY$1005="Direkomendasikan",ROW($6:$1005)-5),814)),BidangList,0)),INDEX(checklistPesertaKemenkeu!$L$6:$L$1005,SMALL(IF(checklistPesertaKemenkeu!$AY$6:$AY$1005="Direkomendasikan",ROW($6:$1005)-5),814)))&gt;0,COUNTIF(INDIRECT("'KERTAS KERJA'!K"&amp;(SMALL(IF(checklistPesertaKemenkeu!$AY$6:$AY$1005="Direkomendasikan",ROW($6:$1005)-5),814)+5)&amp;":O"&amp;(SMALL(IF(checklistPesertaKemenkeu!$AY$6:$AY$1005="Direkomendasikan",ROW($6:$1005)-5),814)+5)),INDEX(checklistPesertaKemenkeu!$L$6:$L$1005,SMALL(IF(checklistPesertaKemenkeu!$AY$6:$AY$1005="Direkomendasikan",ROW($6:$1005)-5),814)))=1),IFERROR(VLOOKUP(INDEX(checklistPesertaKemenkeu!$L$6:$L$1005,SMALL(IF(checklistPesertaKemenkeu!$AY$6:$AY$1005="Direkomendasikan",ROW($6:$1005)-5),814)),KotaKode,2,0),"-"),"")),"")</f>
        <v/>
      </c>
      <c r="I815" t="str">
        <f t="array" aca="1" ref="I815" ca="1">IFERROR(IF(OR(INDEX(checklistPesertaKemenkeu!$M$6:$M$1005,SMALL(IF(checklistPesertaKemenkeu!$AY$6:$AY$1005="Direkomendasikan",ROW($6:$1005)-5),814))="",INDEX(checklistPesertaKemenkeu!$J$6:$J$1005,SMALL(IF(checklistPesertaKemenkeu!$AY$6:$AY$1005="Direkomendasikan",ROW($6:$1005)-5),814))=""),"",IF(AND(COUNTIF(INDIRECT("K_"&amp;MATCH(INDEX(checklistPesertaKemenkeu!$J$6:$J$1005,SMALL(IF(checklistPesertaKemenkeu!$AY$6:$AY$1005="Direkomendasikan",ROW($6:$1005)-5),814)),BidangList,0)),INDEX(checklistPesertaKemenkeu!$M$6:$M$1005,SMALL(IF(checklistPesertaKemenkeu!$AY$6:$AY$1005="Direkomendasikan",ROW($6:$1005)-5),814)))&gt;0,COUNTIF(INDIRECT("'KERTAS KERJA'!K"&amp;(SMALL(IF(checklistPesertaKemenkeu!$AY$6:$AY$1005="Direkomendasikan",ROW($6:$1005)-5),814)+5)&amp;":O"&amp;(SMALL(IF(checklistPesertaKemenkeu!$AY$6:$AY$1005="Direkomendasikan",ROW($6:$1005)-5),814)+5)),INDEX(checklistPesertaKemenkeu!$M$6:$M$1005,SMALL(IF(checklistPesertaKemenkeu!$AY$6:$AY$1005="Direkomendasikan",ROW($6:$1005)-5),814)))=1),IFERROR(VLOOKUP(INDEX(checklistPesertaKemenkeu!$M$6:$M$1005,SMALL(IF(checklistPesertaKemenkeu!$AY$6:$AY$1005="Direkomendasikan",ROW($6:$1005)-5),814)),KotaKode,2,0),"-"),"")),"")</f>
        <v/>
      </c>
      <c r="J815" t="str">
        <f t="array" aca="1" ref="J815" ca="1">IFERROR(IF(OR(INDEX(checklistPesertaKemenkeu!$N$6:$N$1005,SMALL(IF(checklistPesertaKemenkeu!$AY$6:$AY$1005="Direkomendasikan",ROW($6:$1005)-5),814))="",INDEX(checklistPesertaKemenkeu!$J$6:$J$1005,SMALL(IF(checklistPesertaKemenkeu!$AY$6:$AY$1005="Direkomendasikan",ROW($6:$1005)-5),814))=""),"",IF(AND(COUNTIF(INDIRECT("K_"&amp;MATCH(INDEX(checklistPesertaKemenkeu!$J$6:$J$1005,SMALL(IF(checklistPesertaKemenkeu!$AY$6:$AY$1005="Direkomendasikan",ROW($6:$1005)-5),814)),BidangList,0)),INDEX(checklistPesertaKemenkeu!$N$6:$N$1005,SMALL(IF(checklistPesertaKemenkeu!$AY$6:$AY$1005="Direkomendasikan",ROW($6:$1005)-5),814)))&gt;0,COUNTIF(INDIRECT("'KERTAS KERJA'!K"&amp;(SMALL(IF(checklistPesertaKemenkeu!$AY$6:$AY$1005="Direkomendasikan",ROW($6:$1005)-5),814)+5)&amp;":O"&amp;(SMALL(IF(checklistPesertaKemenkeu!$AY$6:$AY$1005="Direkomendasikan",ROW($6:$1005)-5),814)+5)),INDEX(checklistPesertaKemenkeu!$N$6:$N$1005,SMALL(IF(checklistPesertaKemenkeu!$AY$6:$AY$1005="Direkomendasikan",ROW($6:$1005)-5),814)))=1),IFERROR(VLOOKUP(INDEX(checklistPesertaKemenkeu!$N$6:$N$1005,SMALL(IF(checklistPesertaKemenkeu!$AY$6:$AY$1005="Direkomendasikan",ROW($6:$1005)-5),814)),KotaKode,2,0),"-"),"")),"")</f>
        <v/>
      </c>
      <c r="K815" t="str">
        <f t="array" aca="1" ref="K815" ca="1">IFERROR(IF(OR(INDEX(checklistPesertaKemenkeu!$O$6:$O$1005,SMALL(IF(checklistPesertaKemenkeu!$AY$6:$AY$1005="Direkomendasikan",ROW($6:$1005)-5),814))="",INDEX(checklistPesertaKemenkeu!$J$6:$J$1005,SMALL(IF(checklistPesertaKemenkeu!$AY$6:$AY$1005="Direkomendasikan",ROW($6:$1005)-5),814))=""),"",IF(AND(COUNTIF(INDIRECT("K_"&amp;MATCH(INDEX(checklistPesertaKemenkeu!$J$6:$J$1005,SMALL(IF(checklistPesertaKemenkeu!$AY$6:$AY$1005="Direkomendasikan",ROW($6:$1005)-5),814)),BidangList,0)),INDEX(checklistPesertaKemenkeu!$O$6:$O$1005,SMALL(IF(checklistPesertaKemenkeu!$AY$6:$AY$1005="Direkomendasikan",ROW($6:$1005)-5),814)))&gt;0,COUNTIF(INDIRECT("'KERTAS KERJA'!K"&amp;(SMALL(IF(checklistPesertaKemenkeu!$AY$6:$AY$1005="Direkomendasikan",ROW($6:$1005)-5),814)+5)&amp;":O"&amp;(SMALL(IF(checklistPesertaKemenkeu!$AY$6:$AY$1005="Direkomendasikan",ROW($6:$1005)-5),814)+5)),INDEX(checklistPesertaKemenkeu!$O$6:$O$1005,SMALL(IF(checklistPesertaKemenkeu!$AY$6:$AY$1005="Direkomendasikan",ROW($6:$1005)-5),814)))=1),IFERROR(VLOOKUP(INDEX(checklistPesertaKemenkeu!$O$6:$O$1005,SMALL(IF(checklistPesertaKemenkeu!$AY$6:$AY$1005="Direkomendasikan",ROW($6:$1005)-5),814)),KotaKode,2,0),"-"),"")),"")</f>
        <v/>
      </c>
      <c r="L815" t="str">
        <f t="array" aca="1" ref="L815" ca="1">IFERROR(IF(OR(INDEX(checklistPesertaKemenkeu!$P$6:$P$1005,SMALL(IF(checklistPesertaKemenkeu!$AY$6:$AY$1005="Direkomendasikan",ROW($6:$1005)-5),814))="",INDEX(checklistPesertaKemenkeu!$J$6:$J$1005,SMALL(IF(checklistPesertaKemenkeu!$AY$6:$AY$1005="Direkomendasikan",ROW($6:$1005)-5),814))=""),"",IF(AND(COUNTIF(INDIRECT("K_"&amp;MATCH(INDEX(checklistPesertaKemenkeu!$J$6:$J$1005,SMALL(IF(checklistPesertaKemenkeu!$AY$6:$AY$1005="Direkomendasikan",ROW($6:$1005)-5),814)),BidangList,0)),INDEX(checklistPesertaKemenkeu!$P$6:$P$1005,SMALL(IF(checklistPesertaKemenkeu!$AY$6:$AY$1005="Direkomendasikan",ROW($6:$1005)-5),814)))&gt;0,COUNTIF(INDIRECT("'KERTAS KERJA'!K"&amp;(SMALL(IF(checklistPesertaKemenkeu!$AY$6:$AY$1005="Direkomendasikan",ROW($6:$1005)-5),814)+5)&amp;":O"&amp;(SMALL(IF(checklistPesertaKemenkeu!$AY$6:$AY$1005="Direkomendasikan",ROW($6:$1005)-5),814)+5)),INDEX(checklistPesertaKemenkeu!$P$6:$P$1005,SMALL(IF(checklistPesertaKemenkeu!$AY$6:$AY$1005="Direkomendasikan",ROW($6:$1005)-5),814)))=1),IFERROR(VLOOKUP(INDEX(checklistPesertaKemenkeu!$P$6:$P$1005,SMALL(IF(checklistPesertaKemenkeu!$AY$6:$AY$1005="Direkomendasikan",ROW($6:$1005)-5),814)),KotaKode,2,0),"-"),"")),"")</f>
        <v/>
      </c>
    </row>
    <row r="816" spans="1:12" ht="15" customHeight="1" x14ac:dyDescent="0.2">
      <c r="A816" t="str">
        <f t="shared" si="12"/>
        <v/>
      </c>
      <c r="B816" t="str">
        <v/>
      </c>
      <c r="C816" s="40" t="str">
        <f t="array" ref="C816">IFERROR(INDEX(checklistPesertaKemenkeu!$F$6:$F$1005,SMALL(IF(checklistPesertaKemenkeu!$AY$6:$AY$1005="Direkomendasikan",ROW($6:$1005)-5),815)),"")</f>
        <v/>
      </c>
      <c r="D816" t="str">
        <f t="array" ref="D816">IFERROR(INDEX(checklistPesertaKemenkeu!$G$6:$G$1005,SMALL(IF(checklistPesertaKemenkeu!$AY$6:$AY$1005="Direkomendasikan",ROW($6:$1005)-5),815)),"")</f>
        <v/>
      </c>
      <c r="E816" t="str">
        <f t="array" ref="E816">IFERROR(INDEX(checklistPesertaKemenkeu!$H$6:$H$1005,SMALL(IF(checklistPesertaKemenkeu!$AY$6:$AY$1005="Direkomendasikan",ROW($6:$1005)-5),815)),"")</f>
        <v/>
      </c>
      <c r="F816" t="str">
        <f t="array" ref="F816">IFERROR(INDEX(checklistPesertaKemenkeu!$I$6:$I$1005,SMALL(IF(checklistPesertaKemenkeu!$AY$6:$AY$1005="Direkomendasikan",ROW($6:$1005)-5),815)),"")</f>
        <v/>
      </c>
      <c r="G816" t="str">
        <f t="array" ref="G816">IFERROR(INDEX(checklistPesertaKemenkeu!$J$6:$J$1005,SMALL(IF(checklistPesertaKemenkeu!$AY$6:$AY$1005="Direkomendasikan",ROW($6:$1005)-5),815)),"")</f>
        <v/>
      </c>
      <c r="H816" t="str">
        <f t="array" aca="1" ref="H816" ca="1">IFERROR(IF(OR(INDEX(checklistPesertaKemenkeu!$L$6:$L$1005,SMALL(IF(checklistPesertaKemenkeu!$AY$6:$AY$1005="Direkomendasikan",ROW($6:$1005)-5),815))="",INDEX(checklistPesertaKemenkeu!$J$6:$J$1005,SMALL(IF(checklistPesertaKemenkeu!$AY$6:$AY$1005="Direkomendasikan",ROW($6:$1005)-5),815))=""),"",IF(AND(COUNTIF(INDIRECT("K_"&amp;MATCH(INDEX(checklistPesertaKemenkeu!$J$6:$J$1005,SMALL(IF(checklistPesertaKemenkeu!$AY$6:$AY$1005="Direkomendasikan",ROW($6:$1005)-5),815)),BidangList,0)),INDEX(checklistPesertaKemenkeu!$L$6:$L$1005,SMALL(IF(checklistPesertaKemenkeu!$AY$6:$AY$1005="Direkomendasikan",ROW($6:$1005)-5),815)))&gt;0,COUNTIF(INDIRECT("'KERTAS KERJA'!K"&amp;(SMALL(IF(checklistPesertaKemenkeu!$AY$6:$AY$1005="Direkomendasikan",ROW($6:$1005)-5),815)+5)&amp;":O"&amp;(SMALL(IF(checklistPesertaKemenkeu!$AY$6:$AY$1005="Direkomendasikan",ROW($6:$1005)-5),815)+5)),INDEX(checklistPesertaKemenkeu!$L$6:$L$1005,SMALL(IF(checklistPesertaKemenkeu!$AY$6:$AY$1005="Direkomendasikan",ROW($6:$1005)-5),815)))=1),IFERROR(VLOOKUP(INDEX(checklistPesertaKemenkeu!$L$6:$L$1005,SMALL(IF(checklistPesertaKemenkeu!$AY$6:$AY$1005="Direkomendasikan",ROW($6:$1005)-5),815)),KotaKode,2,0),"-"),"")),"")</f>
        <v/>
      </c>
      <c r="I816" t="str">
        <f t="array" aca="1" ref="I816" ca="1">IFERROR(IF(OR(INDEX(checklistPesertaKemenkeu!$M$6:$M$1005,SMALL(IF(checklistPesertaKemenkeu!$AY$6:$AY$1005="Direkomendasikan",ROW($6:$1005)-5),815))="",INDEX(checklistPesertaKemenkeu!$J$6:$J$1005,SMALL(IF(checklistPesertaKemenkeu!$AY$6:$AY$1005="Direkomendasikan",ROW($6:$1005)-5),815))=""),"",IF(AND(COUNTIF(INDIRECT("K_"&amp;MATCH(INDEX(checklistPesertaKemenkeu!$J$6:$J$1005,SMALL(IF(checklistPesertaKemenkeu!$AY$6:$AY$1005="Direkomendasikan",ROW($6:$1005)-5),815)),BidangList,0)),INDEX(checklistPesertaKemenkeu!$M$6:$M$1005,SMALL(IF(checklistPesertaKemenkeu!$AY$6:$AY$1005="Direkomendasikan",ROW($6:$1005)-5),815)))&gt;0,COUNTIF(INDIRECT("'KERTAS KERJA'!K"&amp;(SMALL(IF(checklistPesertaKemenkeu!$AY$6:$AY$1005="Direkomendasikan",ROW($6:$1005)-5),815)+5)&amp;":O"&amp;(SMALL(IF(checklistPesertaKemenkeu!$AY$6:$AY$1005="Direkomendasikan",ROW($6:$1005)-5),815)+5)),INDEX(checklistPesertaKemenkeu!$M$6:$M$1005,SMALL(IF(checklistPesertaKemenkeu!$AY$6:$AY$1005="Direkomendasikan",ROW($6:$1005)-5),815)))=1),IFERROR(VLOOKUP(INDEX(checklistPesertaKemenkeu!$M$6:$M$1005,SMALL(IF(checklistPesertaKemenkeu!$AY$6:$AY$1005="Direkomendasikan",ROW($6:$1005)-5),815)),KotaKode,2,0),"-"),"")),"")</f>
        <v/>
      </c>
      <c r="J816" t="str">
        <f t="array" aca="1" ref="J816" ca="1">IFERROR(IF(OR(INDEX(checklistPesertaKemenkeu!$N$6:$N$1005,SMALL(IF(checklistPesertaKemenkeu!$AY$6:$AY$1005="Direkomendasikan",ROW($6:$1005)-5),815))="",INDEX(checklistPesertaKemenkeu!$J$6:$J$1005,SMALL(IF(checklistPesertaKemenkeu!$AY$6:$AY$1005="Direkomendasikan",ROW($6:$1005)-5),815))=""),"",IF(AND(COUNTIF(INDIRECT("K_"&amp;MATCH(INDEX(checklistPesertaKemenkeu!$J$6:$J$1005,SMALL(IF(checklistPesertaKemenkeu!$AY$6:$AY$1005="Direkomendasikan",ROW($6:$1005)-5),815)),BidangList,0)),INDEX(checklistPesertaKemenkeu!$N$6:$N$1005,SMALL(IF(checklistPesertaKemenkeu!$AY$6:$AY$1005="Direkomendasikan",ROW($6:$1005)-5),815)))&gt;0,COUNTIF(INDIRECT("'KERTAS KERJA'!K"&amp;(SMALL(IF(checklistPesertaKemenkeu!$AY$6:$AY$1005="Direkomendasikan",ROW($6:$1005)-5),815)+5)&amp;":O"&amp;(SMALL(IF(checklistPesertaKemenkeu!$AY$6:$AY$1005="Direkomendasikan",ROW($6:$1005)-5),815)+5)),INDEX(checklistPesertaKemenkeu!$N$6:$N$1005,SMALL(IF(checklistPesertaKemenkeu!$AY$6:$AY$1005="Direkomendasikan",ROW($6:$1005)-5),815)))=1),IFERROR(VLOOKUP(INDEX(checklistPesertaKemenkeu!$N$6:$N$1005,SMALL(IF(checklistPesertaKemenkeu!$AY$6:$AY$1005="Direkomendasikan",ROW($6:$1005)-5),815)),KotaKode,2,0),"-"),"")),"")</f>
        <v/>
      </c>
      <c r="K816" t="str">
        <f t="array" aca="1" ref="K816" ca="1">IFERROR(IF(OR(INDEX(checklistPesertaKemenkeu!$O$6:$O$1005,SMALL(IF(checklistPesertaKemenkeu!$AY$6:$AY$1005="Direkomendasikan",ROW($6:$1005)-5),815))="",INDEX(checklistPesertaKemenkeu!$J$6:$J$1005,SMALL(IF(checklistPesertaKemenkeu!$AY$6:$AY$1005="Direkomendasikan",ROW($6:$1005)-5),815))=""),"",IF(AND(COUNTIF(INDIRECT("K_"&amp;MATCH(INDEX(checklistPesertaKemenkeu!$J$6:$J$1005,SMALL(IF(checklistPesertaKemenkeu!$AY$6:$AY$1005="Direkomendasikan",ROW($6:$1005)-5),815)),BidangList,0)),INDEX(checklistPesertaKemenkeu!$O$6:$O$1005,SMALL(IF(checklistPesertaKemenkeu!$AY$6:$AY$1005="Direkomendasikan",ROW($6:$1005)-5),815)))&gt;0,COUNTIF(INDIRECT("'KERTAS KERJA'!K"&amp;(SMALL(IF(checklistPesertaKemenkeu!$AY$6:$AY$1005="Direkomendasikan",ROW($6:$1005)-5),815)+5)&amp;":O"&amp;(SMALL(IF(checklistPesertaKemenkeu!$AY$6:$AY$1005="Direkomendasikan",ROW($6:$1005)-5),815)+5)),INDEX(checklistPesertaKemenkeu!$O$6:$O$1005,SMALL(IF(checklistPesertaKemenkeu!$AY$6:$AY$1005="Direkomendasikan",ROW($6:$1005)-5),815)))=1),IFERROR(VLOOKUP(INDEX(checklistPesertaKemenkeu!$O$6:$O$1005,SMALL(IF(checklistPesertaKemenkeu!$AY$6:$AY$1005="Direkomendasikan",ROW($6:$1005)-5),815)),KotaKode,2,0),"-"),"")),"")</f>
        <v/>
      </c>
      <c r="L816" t="str">
        <f t="array" aca="1" ref="L816" ca="1">IFERROR(IF(OR(INDEX(checklistPesertaKemenkeu!$P$6:$P$1005,SMALL(IF(checklistPesertaKemenkeu!$AY$6:$AY$1005="Direkomendasikan",ROW($6:$1005)-5),815))="",INDEX(checklistPesertaKemenkeu!$J$6:$J$1005,SMALL(IF(checklistPesertaKemenkeu!$AY$6:$AY$1005="Direkomendasikan",ROW($6:$1005)-5),815))=""),"",IF(AND(COUNTIF(INDIRECT("K_"&amp;MATCH(INDEX(checklistPesertaKemenkeu!$J$6:$J$1005,SMALL(IF(checklistPesertaKemenkeu!$AY$6:$AY$1005="Direkomendasikan",ROW($6:$1005)-5),815)),BidangList,0)),INDEX(checklistPesertaKemenkeu!$P$6:$P$1005,SMALL(IF(checklistPesertaKemenkeu!$AY$6:$AY$1005="Direkomendasikan",ROW($6:$1005)-5),815)))&gt;0,COUNTIF(INDIRECT("'KERTAS KERJA'!K"&amp;(SMALL(IF(checklistPesertaKemenkeu!$AY$6:$AY$1005="Direkomendasikan",ROW($6:$1005)-5),815)+5)&amp;":O"&amp;(SMALL(IF(checklistPesertaKemenkeu!$AY$6:$AY$1005="Direkomendasikan",ROW($6:$1005)-5),815)+5)),INDEX(checklistPesertaKemenkeu!$P$6:$P$1005,SMALL(IF(checklistPesertaKemenkeu!$AY$6:$AY$1005="Direkomendasikan",ROW($6:$1005)-5),815)))=1),IFERROR(VLOOKUP(INDEX(checklistPesertaKemenkeu!$P$6:$P$1005,SMALL(IF(checklistPesertaKemenkeu!$AY$6:$AY$1005="Direkomendasikan",ROW($6:$1005)-5),815)),KotaKode,2,0),"-"),"")),"")</f>
        <v/>
      </c>
    </row>
    <row r="817" spans="1:12" ht="15" customHeight="1" x14ac:dyDescent="0.2">
      <c r="A817" t="str">
        <f t="shared" si="12"/>
        <v/>
      </c>
      <c r="B817" t="str">
        <v/>
      </c>
      <c r="C817" s="40" t="str">
        <f t="array" ref="C817">IFERROR(INDEX(checklistPesertaKemenkeu!$F$6:$F$1005,SMALL(IF(checklistPesertaKemenkeu!$AY$6:$AY$1005="Direkomendasikan",ROW($6:$1005)-5),816)),"")</f>
        <v/>
      </c>
      <c r="D817" t="str">
        <f t="array" ref="D817">IFERROR(INDEX(checklistPesertaKemenkeu!$G$6:$G$1005,SMALL(IF(checklistPesertaKemenkeu!$AY$6:$AY$1005="Direkomendasikan",ROW($6:$1005)-5),816)),"")</f>
        <v/>
      </c>
      <c r="E817" t="str">
        <f t="array" ref="E817">IFERROR(INDEX(checklistPesertaKemenkeu!$H$6:$H$1005,SMALL(IF(checklistPesertaKemenkeu!$AY$6:$AY$1005="Direkomendasikan",ROW($6:$1005)-5),816)),"")</f>
        <v/>
      </c>
      <c r="F817" t="str">
        <f t="array" ref="F817">IFERROR(INDEX(checklistPesertaKemenkeu!$I$6:$I$1005,SMALL(IF(checklistPesertaKemenkeu!$AY$6:$AY$1005="Direkomendasikan",ROW($6:$1005)-5),816)),"")</f>
        <v/>
      </c>
      <c r="G817" t="str">
        <f t="array" ref="G817">IFERROR(INDEX(checklistPesertaKemenkeu!$J$6:$J$1005,SMALL(IF(checklistPesertaKemenkeu!$AY$6:$AY$1005="Direkomendasikan",ROW($6:$1005)-5),816)),"")</f>
        <v/>
      </c>
      <c r="H817" t="str">
        <f t="array" aca="1" ref="H817" ca="1">IFERROR(IF(OR(INDEX(checklistPesertaKemenkeu!$L$6:$L$1005,SMALL(IF(checklistPesertaKemenkeu!$AY$6:$AY$1005="Direkomendasikan",ROW($6:$1005)-5),816))="",INDEX(checklistPesertaKemenkeu!$J$6:$J$1005,SMALL(IF(checklistPesertaKemenkeu!$AY$6:$AY$1005="Direkomendasikan",ROW($6:$1005)-5),816))=""),"",IF(AND(COUNTIF(INDIRECT("K_"&amp;MATCH(INDEX(checklistPesertaKemenkeu!$J$6:$J$1005,SMALL(IF(checklistPesertaKemenkeu!$AY$6:$AY$1005="Direkomendasikan",ROW($6:$1005)-5),816)),BidangList,0)),INDEX(checklistPesertaKemenkeu!$L$6:$L$1005,SMALL(IF(checklistPesertaKemenkeu!$AY$6:$AY$1005="Direkomendasikan",ROW($6:$1005)-5),816)))&gt;0,COUNTIF(INDIRECT("'KERTAS KERJA'!K"&amp;(SMALL(IF(checklistPesertaKemenkeu!$AY$6:$AY$1005="Direkomendasikan",ROW($6:$1005)-5),816)+5)&amp;":O"&amp;(SMALL(IF(checklistPesertaKemenkeu!$AY$6:$AY$1005="Direkomendasikan",ROW($6:$1005)-5),816)+5)),INDEX(checklistPesertaKemenkeu!$L$6:$L$1005,SMALL(IF(checklistPesertaKemenkeu!$AY$6:$AY$1005="Direkomendasikan",ROW($6:$1005)-5),816)))=1),IFERROR(VLOOKUP(INDEX(checklistPesertaKemenkeu!$L$6:$L$1005,SMALL(IF(checklistPesertaKemenkeu!$AY$6:$AY$1005="Direkomendasikan",ROW($6:$1005)-5),816)),KotaKode,2,0),"-"),"")),"")</f>
        <v/>
      </c>
      <c r="I817" t="str">
        <f t="array" aca="1" ref="I817" ca="1">IFERROR(IF(OR(INDEX(checklistPesertaKemenkeu!$M$6:$M$1005,SMALL(IF(checklistPesertaKemenkeu!$AY$6:$AY$1005="Direkomendasikan",ROW($6:$1005)-5),816))="",INDEX(checklistPesertaKemenkeu!$J$6:$J$1005,SMALL(IF(checklistPesertaKemenkeu!$AY$6:$AY$1005="Direkomendasikan",ROW($6:$1005)-5),816))=""),"",IF(AND(COUNTIF(INDIRECT("K_"&amp;MATCH(INDEX(checklistPesertaKemenkeu!$J$6:$J$1005,SMALL(IF(checklistPesertaKemenkeu!$AY$6:$AY$1005="Direkomendasikan",ROW($6:$1005)-5),816)),BidangList,0)),INDEX(checklistPesertaKemenkeu!$M$6:$M$1005,SMALL(IF(checklistPesertaKemenkeu!$AY$6:$AY$1005="Direkomendasikan",ROW($6:$1005)-5),816)))&gt;0,COUNTIF(INDIRECT("'KERTAS KERJA'!K"&amp;(SMALL(IF(checklistPesertaKemenkeu!$AY$6:$AY$1005="Direkomendasikan",ROW($6:$1005)-5),816)+5)&amp;":O"&amp;(SMALL(IF(checklistPesertaKemenkeu!$AY$6:$AY$1005="Direkomendasikan",ROW($6:$1005)-5),816)+5)),INDEX(checklistPesertaKemenkeu!$M$6:$M$1005,SMALL(IF(checklistPesertaKemenkeu!$AY$6:$AY$1005="Direkomendasikan",ROW($6:$1005)-5),816)))=1),IFERROR(VLOOKUP(INDEX(checklistPesertaKemenkeu!$M$6:$M$1005,SMALL(IF(checklistPesertaKemenkeu!$AY$6:$AY$1005="Direkomendasikan",ROW($6:$1005)-5),816)),KotaKode,2,0),"-"),"")),"")</f>
        <v/>
      </c>
      <c r="J817" t="str">
        <f t="array" aca="1" ref="J817" ca="1">IFERROR(IF(OR(INDEX(checklistPesertaKemenkeu!$N$6:$N$1005,SMALL(IF(checklistPesertaKemenkeu!$AY$6:$AY$1005="Direkomendasikan",ROW($6:$1005)-5),816))="",INDEX(checklistPesertaKemenkeu!$J$6:$J$1005,SMALL(IF(checklistPesertaKemenkeu!$AY$6:$AY$1005="Direkomendasikan",ROW($6:$1005)-5),816))=""),"",IF(AND(COUNTIF(INDIRECT("K_"&amp;MATCH(INDEX(checklistPesertaKemenkeu!$J$6:$J$1005,SMALL(IF(checklistPesertaKemenkeu!$AY$6:$AY$1005="Direkomendasikan",ROW($6:$1005)-5),816)),BidangList,0)),INDEX(checklistPesertaKemenkeu!$N$6:$N$1005,SMALL(IF(checklistPesertaKemenkeu!$AY$6:$AY$1005="Direkomendasikan",ROW($6:$1005)-5),816)))&gt;0,COUNTIF(INDIRECT("'KERTAS KERJA'!K"&amp;(SMALL(IF(checklistPesertaKemenkeu!$AY$6:$AY$1005="Direkomendasikan",ROW($6:$1005)-5),816)+5)&amp;":O"&amp;(SMALL(IF(checklistPesertaKemenkeu!$AY$6:$AY$1005="Direkomendasikan",ROW($6:$1005)-5),816)+5)),INDEX(checklistPesertaKemenkeu!$N$6:$N$1005,SMALL(IF(checklistPesertaKemenkeu!$AY$6:$AY$1005="Direkomendasikan",ROW($6:$1005)-5),816)))=1),IFERROR(VLOOKUP(INDEX(checklistPesertaKemenkeu!$N$6:$N$1005,SMALL(IF(checklistPesertaKemenkeu!$AY$6:$AY$1005="Direkomendasikan",ROW($6:$1005)-5),816)),KotaKode,2,0),"-"),"")),"")</f>
        <v/>
      </c>
      <c r="K817" t="str">
        <f t="array" aca="1" ref="K817" ca="1">IFERROR(IF(OR(INDEX(checklistPesertaKemenkeu!$O$6:$O$1005,SMALL(IF(checklistPesertaKemenkeu!$AY$6:$AY$1005="Direkomendasikan",ROW($6:$1005)-5),816))="",INDEX(checklistPesertaKemenkeu!$J$6:$J$1005,SMALL(IF(checklistPesertaKemenkeu!$AY$6:$AY$1005="Direkomendasikan",ROW($6:$1005)-5),816))=""),"",IF(AND(COUNTIF(INDIRECT("K_"&amp;MATCH(INDEX(checklistPesertaKemenkeu!$J$6:$J$1005,SMALL(IF(checklistPesertaKemenkeu!$AY$6:$AY$1005="Direkomendasikan",ROW($6:$1005)-5),816)),BidangList,0)),INDEX(checklistPesertaKemenkeu!$O$6:$O$1005,SMALL(IF(checklistPesertaKemenkeu!$AY$6:$AY$1005="Direkomendasikan",ROW($6:$1005)-5),816)))&gt;0,COUNTIF(INDIRECT("'KERTAS KERJA'!K"&amp;(SMALL(IF(checklistPesertaKemenkeu!$AY$6:$AY$1005="Direkomendasikan",ROW($6:$1005)-5),816)+5)&amp;":O"&amp;(SMALL(IF(checklistPesertaKemenkeu!$AY$6:$AY$1005="Direkomendasikan",ROW($6:$1005)-5),816)+5)),INDEX(checklistPesertaKemenkeu!$O$6:$O$1005,SMALL(IF(checklistPesertaKemenkeu!$AY$6:$AY$1005="Direkomendasikan",ROW($6:$1005)-5),816)))=1),IFERROR(VLOOKUP(INDEX(checklistPesertaKemenkeu!$O$6:$O$1005,SMALL(IF(checklistPesertaKemenkeu!$AY$6:$AY$1005="Direkomendasikan",ROW($6:$1005)-5),816)),KotaKode,2,0),"-"),"")),"")</f>
        <v/>
      </c>
      <c r="L817" t="str">
        <f t="array" aca="1" ref="L817" ca="1">IFERROR(IF(OR(INDEX(checklistPesertaKemenkeu!$P$6:$P$1005,SMALL(IF(checklistPesertaKemenkeu!$AY$6:$AY$1005="Direkomendasikan",ROW($6:$1005)-5),816))="",INDEX(checklistPesertaKemenkeu!$J$6:$J$1005,SMALL(IF(checklistPesertaKemenkeu!$AY$6:$AY$1005="Direkomendasikan",ROW($6:$1005)-5),816))=""),"",IF(AND(COUNTIF(INDIRECT("K_"&amp;MATCH(INDEX(checklistPesertaKemenkeu!$J$6:$J$1005,SMALL(IF(checklistPesertaKemenkeu!$AY$6:$AY$1005="Direkomendasikan",ROW($6:$1005)-5),816)),BidangList,0)),INDEX(checklistPesertaKemenkeu!$P$6:$P$1005,SMALL(IF(checklistPesertaKemenkeu!$AY$6:$AY$1005="Direkomendasikan",ROW($6:$1005)-5),816)))&gt;0,COUNTIF(INDIRECT("'KERTAS KERJA'!K"&amp;(SMALL(IF(checklistPesertaKemenkeu!$AY$6:$AY$1005="Direkomendasikan",ROW($6:$1005)-5),816)+5)&amp;":O"&amp;(SMALL(IF(checklistPesertaKemenkeu!$AY$6:$AY$1005="Direkomendasikan",ROW($6:$1005)-5),816)+5)),INDEX(checklistPesertaKemenkeu!$P$6:$P$1005,SMALL(IF(checklistPesertaKemenkeu!$AY$6:$AY$1005="Direkomendasikan",ROW($6:$1005)-5),816)))=1),IFERROR(VLOOKUP(INDEX(checklistPesertaKemenkeu!$P$6:$P$1005,SMALL(IF(checklistPesertaKemenkeu!$AY$6:$AY$1005="Direkomendasikan",ROW($6:$1005)-5),816)),KotaKode,2,0),"-"),"")),"")</f>
        <v/>
      </c>
    </row>
    <row r="818" spans="1:12" ht="15" customHeight="1" x14ac:dyDescent="0.2">
      <c r="A818" t="str">
        <f t="shared" si="12"/>
        <v/>
      </c>
      <c r="B818" t="str">
        <v/>
      </c>
      <c r="C818" s="40" t="str">
        <f t="array" ref="C818">IFERROR(INDEX(checklistPesertaKemenkeu!$F$6:$F$1005,SMALL(IF(checklistPesertaKemenkeu!$AY$6:$AY$1005="Direkomendasikan",ROW($6:$1005)-5),817)),"")</f>
        <v/>
      </c>
      <c r="D818" t="str">
        <f t="array" ref="D818">IFERROR(INDEX(checklistPesertaKemenkeu!$G$6:$G$1005,SMALL(IF(checklistPesertaKemenkeu!$AY$6:$AY$1005="Direkomendasikan",ROW($6:$1005)-5),817)),"")</f>
        <v/>
      </c>
      <c r="E818" t="str">
        <f t="array" ref="E818">IFERROR(INDEX(checklistPesertaKemenkeu!$H$6:$H$1005,SMALL(IF(checklistPesertaKemenkeu!$AY$6:$AY$1005="Direkomendasikan",ROW($6:$1005)-5),817)),"")</f>
        <v/>
      </c>
      <c r="F818" t="str">
        <f t="array" ref="F818">IFERROR(INDEX(checklistPesertaKemenkeu!$I$6:$I$1005,SMALL(IF(checklistPesertaKemenkeu!$AY$6:$AY$1005="Direkomendasikan",ROW($6:$1005)-5),817)),"")</f>
        <v/>
      </c>
      <c r="G818" t="str">
        <f t="array" ref="G818">IFERROR(INDEX(checklistPesertaKemenkeu!$J$6:$J$1005,SMALL(IF(checklistPesertaKemenkeu!$AY$6:$AY$1005="Direkomendasikan",ROW($6:$1005)-5),817)),"")</f>
        <v/>
      </c>
      <c r="H818" t="str">
        <f t="array" aca="1" ref="H818" ca="1">IFERROR(IF(OR(INDEX(checklistPesertaKemenkeu!$L$6:$L$1005,SMALL(IF(checklistPesertaKemenkeu!$AY$6:$AY$1005="Direkomendasikan",ROW($6:$1005)-5),817))="",INDEX(checklistPesertaKemenkeu!$J$6:$J$1005,SMALL(IF(checklistPesertaKemenkeu!$AY$6:$AY$1005="Direkomendasikan",ROW($6:$1005)-5),817))=""),"",IF(AND(COUNTIF(INDIRECT("K_"&amp;MATCH(INDEX(checklistPesertaKemenkeu!$J$6:$J$1005,SMALL(IF(checklistPesertaKemenkeu!$AY$6:$AY$1005="Direkomendasikan",ROW($6:$1005)-5),817)),BidangList,0)),INDEX(checklistPesertaKemenkeu!$L$6:$L$1005,SMALL(IF(checklistPesertaKemenkeu!$AY$6:$AY$1005="Direkomendasikan",ROW($6:$1005)-5),817)))&gt;0,COUNTIF(INDIRECT("'KERTAS KERJA'!K"&amp;(SMALL(IF(checklistPesertaKemenkeu!$AY$6:$AY$1005="Direkomendasikan",ROW($6:$1005)-5),817)+5)&amp;":O"&amp;(SMALL(IF(checklistPesertaKemenkeu!$AY$6:$AY$1005="Direkomendasikan",ROW($6:$1005)-5),817)+5)),INDEX(checklistPesertaKemenkeu!$L$6:$L$1005,SMALL(IF(checklistPesertaKemenkeu!$AY$6:$AY$1005="Direkomendasikan",ROW($6:$1005)-5),817)))=1),IFERROR(VLOOKUP(INDEX(checklistPesertaKemenkeu!$L$6:$L$1005,SMALL(IF(checklistPesertaKemenkeu!$AY$6:$AY$1005="Direkomendasikan",ROW($6:$1005)-5),817)),KotaKode,2,0),"-"),"")),"")</f>
        <v/>
      </c>
      <c r="I818" t="str">
        <f t="array" aca="1" ref="I818" ca="1">IFERROR(IF(OR(INDEX(checklistPesertaKemenkeu!$M$6:$M$1005,SMALL(IF(checklistPesertaKemenkeu!$AY$6:$AY$1005="Direkomendasikan",ROW($6:$1005)-5),817))="",INDEX(checklistPesertaKemenkeu!$J$6:$J$1005,SMALL(IF(checklistPesertaKemenkeu!$AY$6:$AY$1005="Direkomendasikan",ROW($6:$1005)-5),817))=""),"",IF(AND(COUNTIF(INDIRECT("K_"&amp;MATCH(INDEX(checklistPesertaKemenkeu!$J$6:$J$1005,SMALL(IF(checklistPesertaKemenkeu!$AY$6:$AY$1005="Direkomendasikan",ROW($6:$1005)-5),817)),BidangList,0)),INDEX(checklistPesertaKemenkeu!$M$6:$M$1005,SMALL(IF(checklistPesertaKemenkeu!$AY$6:$AY$1005="Direkomendasikan",ROW($6:$1005)-5),817)))&gt;0,COUNTIF(INDIRECT("'KERTAS KERJA'!K"&amp;(SMALL(IF(checklistPesertaKemenkeu!$AY$6:$AY$1005="Direkomendasikan",ROW($6:$1005)-5),817)+5)&amp;":O"&amp;(SMALL(IF(checklistPesertaKemenkeu!$AY$6:$AY$1005="Direkomendasikan",ROW($6:$1005)-5),817)+5)),INDEX(checklistPesertaKemenkeu!$M$6:$M$1005,SMALL(IF(checklistPesertaKemenkeu!$AY$6:$AY$1005="Direkomendasikan",ROW($6:$1005)-5),817)))=1),IFERROR(VLOOKUP(INDEX(checklistPesertaKemenkeu!$M$6:$M$1005,SMALL(IF(checklistPesertaKemenkeu!$AY$6:$AY$1005="Direkomendasikan",ROW($6:$1005)-5),817)),KotaKode,2,0),"-"),"")),"")</f>
        <v/>
      </c>
      <c r="J818" t="str">
        <f t="array" aca="1" ref="J818" ca="1">IFERROR(IF(OR(INDEX(checklistPesertaKemenkeu!$N$6:$N$1005,SMALL(IF(checklistPesertaKemenkeu!$AY$6:$AY$1005="Direkomendasikan",ROW($6:$1005)-5),817))="",INDEX(checklistPesertaKemenkeu!$J$6:$J$1005,SMALL(IF(checklistPesertaKemenkeu!$AY$6:$AY$1005="Direkomendasikan",ROW($6:$1005)-5),817))=""),"",IF(AND(COUNTIF(INDIRECT("K_"&amp;MATCH(INDEX(checklistPesertaKemenkeu!$J$6:$J$1005,SMALL(IF(checklistPesertaKemenkeu!$AY$6:$AY$1005="Direkomendasikan",ROW($6:$1005)-5),817)),BidangList,0)),INDEX(checklistPesertaKemenkeu!$N$6:$N$1005,SMALL(IF(checklistPesertaKemenkeu!$AY$6:$AY$1005="Direkomendasikan",ROW($6:$1005)-5),817)))&gt;0,COUNTIF(INDIRECT("'KERTAS KERJA'!K"&amp;(SMALL(IF(checklistPesertaKemenkeu!$AY$6:$AY$1005="Direkomendasikan",ROW($6:$1005)-5),817)+5)&amp;":O"&amp;(SMALL(IF(checklistPesertaKemenkeu!$AY$6:$AY$1005="Direkomendasikan",ROW($6:$1005)-5),817)+5)),INDEX(checklistPesertaKemenkeu!$N$6:$N$1005,SMALL(IF(checklistPesertaKemenkeu!$AY$6:$AY$1005="Direkomendasikan",ROW($6:$1005)-5),817)))=1),IFERROR(VLOOKUP(INDEX(checklistPesertaKemenkeu!$N$6:$N$1005,SMALL(IF(checklistPesertaKemenkeu!$AY$6:$AY$1005="Direkomendasikan",ROW($6:$1005)-5),817)),KotaKode,2,0),"-"),"")),"")</f>
        <v/>
      </c>
      <c r="K818" t="str">
        <f t="array" aca="1" ref="K818" ca="1">IFERROR(IF(OR(INDEX(checklistPesertaKemenkeu!$O$6:$O$1005,SMALL(IF(checklistPesertaKemenkeu!$AY$6:$AY$1005="Direkomendasikan",ROW($6:$1005)-5),817))="",INDEX(checklistPesertaKemenkeu!$J$6:$J$1005,SMALL(IF(checklistPesertaKemenkeu!$AY$6:$AY$1005="Direkomendasikan",ROW($6:$1005)-5),817))=""),"",IF(AND(COUNTIF(INDIRECT("K_"&amp;MATCH(INDEX(checklistPesertaKemenkeu!$J$6:$J$1005,SMALL(IF(checklistPesertaKemenkeu!$AY$6:$AY$1005="Direkomendasikan",ROW($6:$1005)-5),817)),BidangList,0)),INDEX(checklistPesertaKemenkeu!$O$6:$O$1005,SMALL(IF(checklistPesertaKemenkeu!$AY$6:$AY$1005="Direkomendasikan",ROW($6:$1005)-5),817)))&gt;0,COUNTIF(INDIRECT("'KERTAS KERJA'!K"&amp;(SMALL(IF(checklistPesertaKemenkeu!$AY$6:$AY$1005="Direkomendasikan",ROW($6:$1005)-5),817)+5)&amp;":O"&amp;(SMALL(IF(checklistPesertaKemenkeu!$AY$6:$AY$1005="Direkomendasikan",ROW($6:$1005)-5),817)+5)),INDEX(checklistPesertaKemenkeu!$O$6:$O$1005,SMALL(IF(checklistPesertaKemenkeu!$AY$6:$AY$1005="Direkomendasikan",ROW($6:$1005)-5),817)))=1),IFERROR(VLOOKUP(INDEX(checklistPesertaKemenkeu!$O$6:$O$1005,SMALL(IF(checklistPesertaKemenkeu!$AY$6:$AY$1005="Direkomendasikan",ROW($6:$1005)-5),817)),KotaKode,2,0),"-"),"")),"")</f>
        <v/>
      </c>
      <c r="L818" t="str">
        <f t="array" aca="1" ref="L818" ca="1">IFERROR(IF(OR(INDEX(checklistPesertaKemenkeu!$P$6:$P$1005,SMALL(IF(checklistPesertaKemenkeu!$AY$6:$AY$1005="Direkomendasikan",ROW($6:$1005)-5),817))="",INDEX(checklistPesertaKemenkeu!$J$6:$J$1005,SMALL(IF(checklistPesertaKemenkeu!$AY$6:$AY$1005="Direkomendasikan",ROW($6:$1005)-5),817))=""),"",IF(AND(COUNTIF(INDIRECT("K_"&amp;MATCH(INDEX(checklistPesertaKemenkeu!$J$6:$J$1005,SMALL(IF(checklistPesertaKemenkeu!$AY$6:$AY$1005="Direkomendasikan",ROW($6:$1005)-5),817)),BidangList,0)),INDEX(checklistPesertaKemenkeu!$P$6:$P$1005,SMALL(IF(checklistPesertaKemenkeu!$AY$6:$AY$1005="Direkomendasikan",ROW($6:$1005)-5),817)))&gt;0,COUNTIF(INDIRECT("'KERTAS KERJA'!K"&amp;(SMALL(IF(checklistPesertaKemenkeu!$AY$6:$AY$1005="Direkomendasikan",ROW($6:$1005)-5),817)+5)&amp;":O"&amp;(SMALL(IF(checklistPesertaKemenkeu!$AY$6:$AY$1005="Direkomendasikan",ROW($6:$1005)-5),817)+5)),INDEX(checklistPesertaKemenkeu!$P$6:$P$1005,SMALL(IF(checklistPesertaKemenkeu!$AY$6:$AY$1005="Direkomendasikan",ROW($6:$1005)-5),817)))=1),IFERROR(VLOOKUP(INDEX(checklistPesertaKemenkeu!$P$6:$P$1005,SMALL(IF(checklistPesertaKemenkeu!$AY$6:$AY$1005="Direkomendasikan",ROW($6:$1005)-5),817)),KotaKode,2,0),"-"),"")),"")</f>
        <v/>
      </c>
    </row>
    <row r="819" spans="1:12" ht="15" customHeight="1" x14ac:dyDescent="0.2">
      <c r="A819" t="str">
        <f t="shared" si="12"/>
        <v/>
      </c>
      <c r="B819" t="str">
        <v/>
      </c>
      <c r="C819" s="40" t="str">
        <f t="array" ref="C819">IFERROR(INDEX(checklistPesertaKemenkeu!$F$6:$F$1005,SMALL(IF(checklistPesertaKemenkeu!$AY$6:$AY$1005="Direkomendasikan",ROW($6:$1005)-5),818)),"")</f>
        <v/>
      </c>
      <c r="D819" t="str">
        <f t="array" ref="D819">IFERROR(INDEX(checklistPesertaKemenkeu!$G$6:$G$1005,SMALL(IF(checklistPesertaKemenkeu!$AY$6:$AY$1005="Direkomendasikan",ROW($6:$1005)-5),818)),"")</f>
        <v/>
      </c>
      <c r="E819" t="str">
        <f t="array" ref="E819">IFERROR(INDEX(checklistPesertaKemenkeu!$H$6:$H$1005,SMALL(IF(checklistPesertaKemenkeu!$AY$6:$AY$1005="Direkomendasikan",ROW($6:$1005)-5),818)),"")</f>
        <v/>
      </c>
      <c r="F819" t="str">
        <f t="array" ref="F819">IFERROR(INDEX(checklistPesertaKemenkeu!$I$6:$I$1005,SMALL(IF(checklistPesertaKemenkeu!$AY$6:$AY$1005="Direkomendasikan",ROW($6:$1005)-5),818)),"")</f>
        <v/>
      </c>
      <c r="G819" t="str">
        <f t="array" ref="G819">IFERROR(INDEX(checklistPesertaKemenkeu!$J$6:$J$1005,SMALL(IF(checklistPesertaKemenkeu!$AY$6:$AY$1005="Direkomendasikan",ROW($6:$1005)-5),818)),"")</f>
        <v/>
      </c>
      <c r="H819" t="str">
        <f t="array" aca="1" ref="H819" ca="1">IFERROR(IF(OR(INDEX(checklistPesertaKemenkeu!$L$6:$L$1005,SMALL(IF(checklistPesertaKemenkeu!$AY$6:$AY$1005="Direkomendasikan",ROW($6:$1005)-5),818))="",INDEX(checklistPesertaKemenkeu!$J$6:$J$1005,SMALL(IF(checklistPesertaKemenkeu!$AY$6:$AY$1005="Direkomendasikan",ROW($6:$1005)-5),818))=""),"",IF(AND(COUNTIF(INDIRECT("K_"&amp;MATCH(INDEX(checklistPesertaKemenkeu!$J$6:$J$1005,SMALL(IF(checklistPesertaKemenkeu!$AY$6:$AY$1005="Direkomendasikan",ROW($6:$1005)-5),818)),BidangList,0)),INDEX(checklistPesertaKemenkeu!$L$6:$L$1005,SMALL(IF(checklistPesertaKemenkeu!$AY$6:$AY$1005="Direkomendasikan",ROW($6:$1005)-5),818)))&gt;0,COUNTIF(INDIRECT("'KERTAS KERJA'!K"&amp;(SMALL(IF(checklistPesertaKemenkeu!$AY$6:$AY$1005="Direkomendasikan",ROW($6:$1005)-5),818)+5)&amp;":O"&amp;(SMALL(IF(checklistPesertaKemenkeu!$AY$6:$AY$1005="Direkomendasikan",ROW($6:$1005)-5),818)+5)),INDEX(checklistPesertaKemenkeu!$L$6:$L$1005,SMALL(IF(checklistPesertaKemenkeu!$AY$6:$AY$1005="Direkomendasikan",ROW($6:$1005)-5),818)))=1),IFERROR(VLOOKUP(INDEX(checklistPesertaKemenkeu!$L$6:$L$1005,SMALL(IF(checklistPesertaKemenkeu!$AY$6:$AY$1005="Direkomendasikan",ROW($6:$1005)-5),818)),KotaKode,2,0),"-"),"")),"")</f>
        <v/>
      </c>
      <c r="I819" t="str">
        <f t="array" aca="1" ref="I819" ca="1">IFERROR(IF(OR(INDEX(checklistPesertaKemenkeu!$M$6:$M$1005,SMALL(IF(checklistPesertaKemenkeu!$AY$6:$AY$1005="Direkomendasikan",ROW($6:$1005)-5),818))="",INDEX(checklistPesertaKemenkeu!$J$6:$J$1005,SMALL(IF(checklistPesertaKemenkeu!$AY$6:$AY$1005="Direkomendasikan",ROW($6:$1005)-5),818))=""),"",IF(AND(COUNTIF(INDIRECT("K_"&amp;MATCH(INDEX(checklistPesertaKemenkeu!$J$6:$J$1005,SMALL(IF(checklistPesertaKemenkeu!$AY$6:$AY$1005="Direkomendasikan",ROW($6:$1005)-5),818)),BidangList,0)),INDEX(checklistPesertaKemenkeu!$M$6:$M$1005,SMALL(IF(checklistPesertaKemenkeu!$AY$6:$AY$1005="Direkomendasikan",ROW($6:$1005)-5),818)))&gt;0,COUNTIF(INDIRECT("'KERTAS KERJA'!K"&amp;(SMALL(IF(checklistPesertaKemenkeu!$AY$6:$AY$1005="Direkomendasikan",ROW($6:$1005)-5),818)+5)&amp;":O"&amp;(SMALL(IF(checklistPesertaKemenkeu!$AY$6:$AY$1005="Direkomendasikan",ROW($6:$1005)-5),818)+5)),INDEX(checklistPesertaKemenkeu!$M$6:$M$1005,SMALL(IF(checklistPesertaKemenkeu!$AY$6:$AY$1005="Direkomendasikan",ROW($6:$1005)-5),818)))=1),IFERROR(VLOOKUP(INDEX(checklistPesertaKemenkeu!$M$6:$M$1005,SMALL(IF(checklistPesertaKemenkeu!$AY$6:$AY$1005="Direkomendasikan",ROW($6:$1005)-5),818)),KotaKode,2,0),"-"),"")),"")</f>
        <v/>
      </c>
      <c r="J819" t="str">
        <f t="array" aca="1" ref="J819" ca="1">IFERROR(IF(OR(INDEX(checklistPesertaKemenkeu!$N$6:$N$1005,SMALL(IF(checklistPesertaKemenkeu!$AY$6:$AY$1005="Direkomendasikan",ROW($6:$1005)-5),818))="",INDEX(checklistPesertaKemenkeu!$J$6:$J$1005,SMALL(IF(checklistPesertaKemenkeu!$AY$6:$AY$1005="Direkomendasikan",ROW($6:$1005)-5),818))=""),"",IF(AND(COUNTIF(INDIRECT("K_"&amp;MATCH(INDEX(checklistPesertaKemenkeu!$J$6:$J$1005,SMALL(IF(checklistPesertaKemenkeu!$AY$6:$AY$1005="Direkomendasikan",ROW($6:$1005)-5),818)),BidangList,0)),INDEX(checklistPesertaKemenkeu!$N$6:$N$1005,SMALL(IF(checklistPesertaKemenkeu!$AY$6:$AY$1005="Direkomendasikan",ROW($6:$1005)-5),818)))&gt;0,COUNTIF(INDIRECT("'KERTAS KERJA'!K"&amp;(SMALL(IF(checklistPesertaKemenkeu!$AY$6:$AY$1005="Direkomendasikan",ROW($6:$1005)-5),818)+5)&amp;":O"&amp;(SMALL(IF(checklistPesertaKemenkeu!$AY$6:$AY$1005="Direkomendasikan",ROW($6:$1005)-5),818)+5)),INDEX(checklistPesertaKemenkeu!$N$6:$N$1005,SMALL(IF(checklistPesertaKemenkeu!$AY$6:$AY$1005="Direkomendasikan",ROW($6:$1005)-5),818)))=1),IFERROR(VLOOKUP(INDEX(checklistPesertaKemenkeu!$N$6:$N$1005,SMALL(IF(checklistPesertaKemenkeu!$AY$6:$AY$1005="Direkomendasikan",ROW($6:$1005)-5),818)),KotaKode,2,0),"-"),"")),"")</f>
        <v/>
      </c>
      <c r="K819" t="str">
        <f t="array" aca="1" ref="K819" ca="1">IFERROR(IF(OR(INDEX(checklistPesertaKemenkeu!$O$6:$O$1005,SMALL(IF(checklistPesertaKemenkeu!$AY$6:$AY$1005="Direkomendasikan",ROW($6:$1005)-5),818))="",INDEX(checklistPesertaKemenkeu!$J$6:$J$1005,SMALL(IF(checklistPesertaKemenkeu!$AY$6:$AY$1005="Direkomendasikan",ROW($6:$1005)-5),818))=""),"",IF(AND(COUNTIF(INDIRECT("K_"&amp;MATCH(INDEX(checklistPesertaKemenkeu!$J$6:$J$1005,SMALL(IF(checklistPesertaKemenkeu!$AY$6:$AY$1005="Direkomendasikan",ROW($6:$1005)-5),818)),BidangList,0)),INDEX(checklistPesertaKemenkeu!$O$6:$O$1005,SMALL(IF(checklistPesertaKemenkeu!$AY$6:$AY$1005="Direkomendasikan",ROW($6:$1005)-5),818)))&gt;0,COUNTIF(INDIRECT("'KERTAS KERJA'!K"&amp;(SMALL(IF(checklistPesertaKemenkeu!$AY$6:$AY$1005="Direkomendasikan",ROW($6:$1005)-5),818)+5)&amp;":O"&amp;(SMALL(IF(checklistPesertaKemenkeu!$AY$6:$AY$1005="Direkomendasikan",ROW($6:$1005)-5),818)+5)),INDEX(checklistPesertaKemenkeu!$O$6:$O$1005,SMALL(IF(checklistPesertaKemenkeu!$AY$6:$AY$1005="Direkomendasikan",ROW($6:$1005)-5),818)))=1),IFERROR(VLOOKUP(INDEX(checklistPesertaKemenkeu!$O$6:$O$1005,SMALL(IF(checklistPesertaKemenkeu!$AY$6:$AY$1005="Direkomendasikan",ROW($6:$1005)-5),818)),KotaKode,2,0),"-"),"")),"")</f>
        <v/>
      </c>
      <c r="L819" t="str">
        <f t="array" aca="1" ref="L819" ca="1">IFERROR(IF(OR(INDEX(checklistPesertaKemenkeu!$P$6:$P$1005,SMALL(IF(checklistPesertaKemenkeu!$AY$6:$AY$1005="Direkomendasikan",ROW($6:$1005)-5),818))="",INDEX(checklistPesertaKemenkeu!$J$6:$J$1005,SMALL(IF(checklistPesertaKemenkeu!$AY$6:$AY$1005="Direkomendasikan",ROW($6:$1005)-5),818))=""),"",IF(AND(COUNTIF(INDIRECT("K_"&amp;MATCH(INDEX(checklistPesertaKemenkeu!$J$6:$J$1005,SMALL(IF(checklistPesertaKemenkeu!$AY$6:$AY$1005="Direkomendasikan",ROW($6:$1005)-5),818)),BidangList,0)),INDEX(checklistPesertaKemenkeu!$P$6:$P$1005,SMALL(IF(checklistPesertaKemenkeu!$AY$6:$AY$1005="Direkomendasikan",ROW($6:$1005)-5),818)))&gt;0,COUNTIF(INDIRECT("'KERTAS KERJA'!K"&amp;(SMALL(IF(checklistPesertaKemenkeu!$AY$6:$AY$1005="Direkomendasikan",ROW($6:$1005)-5),818)+5)&amp;":O"&amp;(SMALL(IF(checklistPesertaKemenkeu!$AY$6:$AY$1005="Direkomendasikan",ROW($6:$1005)-5),818)+5)),INDEX(checklistPesertaKemenkeu!$P$6:$P$1005,SMALL(IF(checklistPesertaKemenkeu!$AY$6:$AY$1005="Direkomendasikan",ROW($6:$1005)-5),818)))=1),IFERROR(VLOOKUP(INDEX(checklistPesertaKemenkeu!$P$6:$P$1005,SMALL(IF(checklistPesertaKemenkeu!$AY$6:$AY$1005="Direkomendasikan",ROW($6:$1005)-5),818)),KotaKode,2,0),"-"),"")),"")</f>
        <v/>
      </c>
    </row>
    <row r="820" spans="1:12" ht="15" customHeight="1" x14ac:dyDescent="0.2">
      <c r="A820" t="str">
        <f t="shared" si="12"/>
        <v/>
      </c>
      <c r="B820" t="str">
        <v/>
      </c>
      <c r="C820" s="40" t="str">
        <f t="array" ref="C820">IFERROR(INDEX(checklistPesertaKemenkeu!$F$6:$F$1005,SMALL(IF(checklistPesertaKemenkeu!$AY$6:$AY$1005="Direkomendasikan",ROW($6:$1005)-5),819)),"")</f>
        <v/>
      </c>
      <c r="D820" t="str">
        <f t="array" ref="D820">IFERROR(INDEX(checklistPesertaKemenkeu!$G$6:$G$1005,SMALL(IF(checklistPesertaKemenkeu!$AY$6:$AY$1005="Direkomendasikan",ROW($6:$1005)-5),819)),"")</f>
        <v/>
      </c>
      <c r="E820" t="str">
        <f t="array" ref="E820">IFERROR(INDEX(checklistPesertaKemenkeu!$H$6:$H$1005,SMALL(IF(checklistPesertaKemenkeu!$AY$6:$AY$1005="Direkomendasikan",ROW($6:$1005)-5),819)),"")</f>
        <v/>
      </c>
      <c r="F820" t="str">
        <f t="array" ref="F820">IFERROR(INDEX(checklistPesertaKemenkeu!$I$6:$I$1005,SMALL(IF(checklistPesertaKemenkeu!$AY$6:$AY$1005="Direkomendasikan",ROW($6:$1005)-5),819)),"")</f>
        <v/>
      </c>
      <c r="G820" t="str">
        <f t="array" ref="G820">IFERROR(INDEX(checklistPesertaKemenkeu!$J$6:$J$1005,SMALL(IF(checklistPesertaKemenkeu!$AY$6:$AY$1005="Direkomendasikan",ROW($6:$1005)-5),819)),"")</f>
        <v/>
      </c>
      <c r="H820" t="str">
        <f t="array" aca="1" ref="H820" ca="1">IFERROR(IF(OR(INDEX(checklistPesertaKemenkeu!$L$6:$L$1005,SMALL(IF(checklistPesertaKemenkeu!$AY$6:$AY$1005="Direkomendasikan",ROW($6:$1005)-5),819))="",INDEX(checklistPesertaKemenkeu!$J$6:$J$1005,SMALL(IF(checklistPesertaKemenkeu!$AY$6:$AY$1005="Direkomendasikan",ROW($6:$1005)-5),819))=""),"",IF(AND(COUNTIF(INDIRECT("K_"&amp;MATCH(INDEX(checklistPesertaKemenkeu!$J$6:$J$1005,SMALL(IF(checklistPesertaKemenkeu!$AY$6:$AY$1005="Direkomendasikan",ROW($6:$1005)-5),819)),BidangList,0)),INDEX(checklistPesertaKemenkeu!$L$6:$L$1005,SMALL(IF(checklistPesertaKemenkeu!$AY$6:$AY$1005="Direkomendasikan",ROW($6:$1005)-5),819)))&gt;0,COUNTIF(INDIRECT("'KERTAS KERJA'!K"&amp;(SMALL(IF(checklistPesertaKemenkeu!$AY$6:$AY$1005="Direkomendasikan",ROW($6:$1005)-5),819)+5)&amp;":O"&amp;(SMALL(IF(checklistPesertaKemenkeu!$AY$6:$AY$1005="Direkomendasikan",ROW($6:$1005)-5),819)+5)),INDEX(checklistPesertaKemenkeu!$L$6:$L$1005,SMALL(IF(checklistPesertaKemenkeu!$AY$6:$AY$1005="Direkomendasikan",ROW($6:$1005)-5),819)))=1),IFERROR(VLOOKUP(INDEX(checklistPesertaKemenkeu!$L$6:$L$1005,SMALL(IF(checklistPesertaKemenkeu!$AY$6:$AY$1005="Direkomendasikan",ROW($6:$1005)-5),819)),KotaKode,2,0),"-"),"")),"")</f>
        <v/>
      </c>
      <c r="I820" t="str">
        <f t="array" aca="1" ref="I820" ca="1">IFERROR(IF(OR(INDEX(checklistPesertaKemenkeu!$M$6:$M$1005,SMALL(IF(checklistPesertaKemenkeu!$AY$6:$AY$1005="Direkomendasikan",ROW($6:$1005)-5),819))="",INDEX(checklistPesertaKemenkeu!$J$6:$J$1005,SMALL(IF(checklistPesertaKemenkeu!$AY$6:$AY$1005="Direkomendasikan",ROW($6:$1005)-5),819))=""),"",IF(AND(COUNTIF(INDIRECT("K_"&amp;MATCH(INDEX(checklistPesertaKemenkeu!$J$6:$J$1005,SMALL(IF(checklistPesertaKemenkeu!$AY$6:$AY$1005="Direkomendasikan",ROW($6:$1005)-5),819)),BidangList,0)),INDEX(checklistPesertaKemenkeu!$M$6:$M$1005,SMALL(IF(checklistPesertaKemenkeu!$AY$6:$AY$1005="Direkomendasikan",ROW($6:$1005)-5),819)))&gt;0,COUNTIF(INDIRECT("'KERTAS KERJA'!K"&amp;(SMALL(IF(checklistPesertaKemenkeu!$AY$6:$AY$1005="Direkomendasikan",ROW($6:$1005)-5),819)+5)&amp;":O"&amp;(SMALL(IF(checklistPesertaKemenkeu!$AY$6:$AY$1005="Direkomendasikan",ROW($6:$1005)-5),819)+5)),INDEX(checklistPesertaKemenkeu!$M$6:$M$1005,SMALL(IF(checklistPesertaKemenkeu!$AY$6:$AY$1005="Direkomendasikan",ROW($6:$1005)-5),819)))=1),IFERROR(VLOOKUP(INDEX(checklistPesertaKemenkeu!$M$6:$M$1005,SMALL(IF(checklistPesertaKemenkeu!$AY$6:$AY$1005="Direkomendasikan",ROW($6:$1005)-5),819)),KotaKode,2,0),"-"),"")),"")</f>
        <v/>
      </c>
      <c r="J820" t="str">
        <f t="array" aca="1" ref="J820" ca="1">IFERROR(IF(OR(INDEX(checklistPesertaKemenkeu!$N$6:$N$1005,SMALL(IF(checklistPesertaKemenkeu!$AY$6:$AY$1005="Direkomendasikan",ROW($6:$1005)-5),819))="",INDEX(checklistPesertaKemenkeu!$J$6:$J$1005,SMALL(IF(checklistPesertaKemenkeu!$AY$6:$AY$1005="Direkomendasikan",ROW($6:$1005)-5),819))=""),"",IF(AND(COUNTIF(INDIRECT("K_"&amp;MATCH(INDEX(checklistPesertaKemenkeu!$J$6:$J$1005,SMALL(IF(checklistPesertaKemenkeu!$AY$6:$AY$1005="Direkomendasikan",ROW($6:$1005)-5),819)),BidangList,0)),INDEX(checklistPesertaKemenkeu!$N$6:$N$1005,SMALL(IF(checklistPesertaKemenkeu!$AY$6:$AY$1005="Direkomendasikan",ROW($6:$1005)-5),819)))&gt;0,COUNTIF(INDIRECT("'KERTAS KERJA'!K"&amp;(SMALL(IF(checklistPesertaKemenkeu!$AY$6:$AY$1005="Direkomendasikan",ROW($6:$1005)-5),819)+5)&amp;":O"&amp;(SMALL(IF(checklistPesertaKemenkeu!$AY$6:$AY$1005="Direkomendasikan",ROW($6:$1005)-5),819)+5)),INDEX(checklistPesertaKemenkeu!$N$6:$N$1005,SMALL(IF(checklistPesertaKemenkeu!$AY$6:$AY$1005="Direkomendasikan",ROW($6:$1005)-5),819)))=1),IFERROR(VLOOKUP(INDEX(checklistPesertaKemenkeu!$N$6:$N$1005,SMALL(IF(checklistPesertaKemenkeu!$AY$6:$AY$1005="Direkomendasikan",ROW($6:$1005)-5),819)),KotaKode,2,0),"-"),"")),"")</f>
        <v/>
      </c>
      <c r="K820" t="str">
        <f t="array" aca="1" ref="K820" ca="1">IFERROR(IF(OR(INDEX(checklistPesertaKemenkeu!$O$6:$O$1005,SMALL(IF(checklistPesertaKemenkeu!$AY$6:$AY$1005="Direkomendasikan",ROW($6:$1005)-5),819))="",INDEX(checklistPesertaKemenkeu!$J$6:$J$1005,SMALL(IF(checklistPesertaKemenkeu!$AY$6:$AY$1005="Direkomendasikan",ROW($6:$1005)-5),819))=""),"",IF(AND(COUNTIF(INDIRECT("K_"&amp;MATCH(INDEX(checklistPesertaKemenkeu!$J$6:$J$1005,SMALL(IF(checklistPesertaKemenkeu!$AY$6:$AY$1005="Direkomendasikan",ROW($6:$1005)-5),819)),BidangList,0)),INDEX(checklistPesertaKemenkeu!$O$6:$O$1005,SMALL(IF(checklistPesertaKemenkeu!$AY$6:$AY$1005="Direkomendasikan",ROW($6:$1005)-5),819)))&gt;0,COUNTIF(INDIRECT("'KERTAS KERJA'!K"&amp;(SMALL(IF(checklistPesertaKemenkeu!$AY$6:$AY$1005="Direkomendasikan",ROW($6:$1005)-5),819)+5)&amp;":O"&amp;(SMALL(IF(checklistPesertaKemenkeu!$AY$6:$AY$1005="Direkomendasikan",ROW($6:$1005)-5),819)+5)),INDEX(checklistPesertaKemenkeu!$O$6:$O$1005,SMALL(IF(checklistPesertaKemenkeu!$AY$6:$AY$1005="Direkomendasikan",ROW($6:$1005)-5),819)))=1),IFERROR(VLOOKUP(INDEX(checklistPesertaKemenkeu!$O$6:$O$1005,SMALL(IF(checklistPesertaKemenkeu!$AY$6:$AY$1005="Direkomendasikan",ROW($6:$1005)-5),819)),KotaKode,2,0),"-"),"")),"")</f>
        <v/>
      </c>
      <c r="L820" t="str">
        <f t="array" aca="1" ref="L820" ca="1">IFERROR(IF(OR(INDEX(checklistPesertaKemenkeu!$P$6:$P$1005,SMALL(IF(checklistPesertaKemenkeu!$AY$6:$AY$1005="Direkomendasikan",ROW($6:$1005)-5),819))="",INDEX(checklistPesertaKemenkeu!$J$6:$J$1005,SMALL(IF(checklistPesertaKemenkeu!$AY$6:$AY$1005="Direkomendasikan",ROW($6:$1005)-5),819))=""),"",IF(AND(COUNTIF(INDIRECT("K_"&amp;MATCH(INDEX(checklistPesertaKemenkeu!$J$6:$J$1005,SMALL(IF(checklistPesertaKemenkeu!$AY$6:$AY$1005="Direkomendasikan",ROW($6:$1005)-5),819)),BidangList,0)),INDEX(checklistPesertaKemenkeu!$P$6:$P$1005,SMALL(IF(checklistPesertaKemenkeu!$AY$6:$AY$1005="Direkomendasikan",ROW($6:$1005)-5),819)))&gt;0,COUNTIF(INDIRECT("'KERTAS KERJA'!K"&amp;(SMALL(IF(checklistPesertaKemenkeu!$AY$6:$AY$1005="Direkomendasikan",ROW($6:$1005)-5),819)+5)&amp;":O"&amp;(SMALL(IF(checklistPesertaKemenkeu!$AY$6:$AY$1005="Direkomendasikan",ROW($6:$1005)-5),819)+5)),INDEX(checklistPesertaKemenkeu!$P$6:$P$1005,SMALL(IF(checklistPesertaKemenkeu!$AY$6:$AY$1005="Direkomendasikan",ROW($6:$1005)-5),819)))=1),IFERROR(VLOOKUP(INDEX(checklistPesertaKemenkeu!$P$6:$P$1005,SMALL(IF(checklistPesertaKemenkeu!$AY$6:$AY$1005="Direkomendasikan",ROW($6:$1005)-5),819)),KotaKode,2,0),"-"),"")),"")</f>
        <v/>
      </c>
    </row>
    <row r="821" spans="1:12" ht="15" customHeight="1" x14ac:dyDescent="0.2">
      <c r="A821" t="str">
        <f t="shared" si="12"/>
        <v/>
      </c>
      <c r="B821" t="str">
        <v/>
      </c>
      <c r="C821" s="40" t="str">
        <f t="array" ref="C821">IFERROR(INDEX(checklistPesertaKemenkeu!$F$6:$F$1005,SMALL(IF(checklistPesertaKemenkeu!$AY$6:$AY$1005="Direkomendasikan",ROW($6:$1005)-5),820)),"")</f>
        <v/>
      </c>
      <c r="D821" t="str">
        <f t="array" ref="D821">IFERROR(INDEX(checklistPesertaKemenkeu!$G$6:$G$1005,SMALL(IF(checklistPesertaKemenkeu!$AY$6:$AY$1005="Direkomendasikan",ROW($6:$1005)-5),820)),"")</f>
        <v/>
      </c>
      <c r="E821" t="str">
        <f t="array" ref="E821">IFERROR(INDEX(checklistPesertaKemenkeu!$H$6:$H$1005,SMALL(IF(checklistPesertaKemenkeu!$AY$6:$AY$1005="Direkomendasikan",ROW($6:$1005)-5),820)),"")</f>
        <v/>
      </c>
      <c r="F821" t="str">
        <f t="array" ref="F821">IFERROR(INDEX(checklistPesertaKemenkeu!$I$6:$I$1005,SMALL(IF(checklistPesertaKemenkeu!$AY$6:$AY$1005="Direkomendasikan",ROW($6:$1005)-5),820)),"")</f>
        <v/>
      </c>
      <c r="G821" t="str">
        <f t="array" ref="G821">IFERROR(INDEX(checklistPesertaKemenkeu!$J$6:$J$1005,SMALL(IF(checklistPesertaKemenkeu!$AY$6:$AY$1005="Direkomendasikan",ROW($6:$1005)-5),820)),"")</f>
        <v/>
      </c>
      <c r="H821" t="str">
        <f t="array" aca="1" ref="H821" ca="1">IFERROR(IF(OR(INDEX(checklistPesertaKemenkeu!$L$6:$L$1005,SMALL(IF(checklistPesertaKemenkeu!$AY$6:$AY$1005="Direkomendasikan",ROW($6:$1005)-5),820))="",INDEX(checklistPesertaKemenkeu!$J$6:$J$1005,SMALL(IF(checklistPesertaKemenkeu!$AY$6:$AY$1005="Direkomendasikan",ROW($6:$1005)-5),820))=""),"",IF(AND(COUNTIF(INDIRECT("K_"&amp;MATCH(INDEX(checklistPesertaKemenkeu!$J$6:$J$1005,SMALL(IF(checklistPesertaKemenkeu!$AY$6:$AY$1005="Direkomendasikan",ROW($6:$1005)-5),820)),BidangList,0)),INDEX(checklistPesertaKemenkeu!$L$6:$L$1005,SMALL(IF(checklistPesertaKemenkeu!$AY$6:$AY$1005="Direkomendasikan",ROW($6:$1005)-5),820)))&gt;0,COUNTIF(INDIRECT("'KERTAS KERJA'!K"&amp;(SMALL(IF(checklistPesertaKemenkeu!$AY$6:$AY$1005="Direkomendasikan",ROW($6:$1005)-5),820)+5)&amp;":O"&amp;(SMALL(IF(checklistPesertaKemenkeu!$AY$6:$AY$1005="Direkomendasikan",ROW($6:$1005)-5),820)+5)),INDEX(checklistPesertaKemenkeu!$L$6:$L$1005,SMALL(IF(checklistPesertaKemenkeu!$AY$6:$AY$1005="Direkomendasikan",ROW($6:$1005)-5),820)))=1),IFERROR(VLOOKUP(INDEX(checklistPesertaKemenkeu!$L$6:$L$1005,SMALL(IF(checklistPesertaKemenkeu!$AY$6:$AY$1005="Direkomendasikan",ROW($6:$1005)-5),820)),KotaKode,2,0),"-"),"")),"")</f>
        <v/>
      </c>
      <c r="I821" t="str">
        <f t="array" aca="1" ref="I821" ca="1">IFERROR(IF(OR(INDEX(checklistPesertaKemenkeu!$M$6:$M$1005,SMALL(IF(checklistPesertaKemenkeu!$AY$6:$AY$1005="Direkomendasikan",ROW($6:$1005)-5),820))="",INDEX(checklistPesertaKemenkeu!$J$6:$J$1005,SMALL(IF(checklistPesertaKemenkeu!$AY$6:$AY$1005="Direkomendasikan",ROW($6:$1005)-5),820))=""),"",IF(AND(COUNTIF(INDIRECT("K_"&amp;MATCH(INDEX(checklistPesertaKemenkeu!$J$6:$J$1005,SMALL(IF(checklistPesertaKemenkeu!$AY$6:$AY$1005="Direkomendasikan",ROW($6:$1005)-5),820)),BidangList,0)),INDEX(checklistPesertaKemenkeu!$M$6:$M$1005,SMALL(IF(checklistPesertaKemenkeu!$AY$6:$AY$1005="Direkomendasikan",ROW($6:$1005)-5),820)))&gt;0,COUNTIF(INDIRECT("'KERTAS KERJA'!K"&amp;(SMALL(IF(checklistPesertaKemenkeu!$AY$6:$AY$1005="Direkomendasikan",ROW($6:$1005)-5),820)+5)&amp;":O"&amp;(SMALL(IF(checklistPesertaKemenkeu!$AY$6:$AY$1005="Direkomendasikan",ROW($6:$1005)-5),820)+5)),INDEX(checklistPesertaKemenkeu!$M$6:$M$1005,SMALL(IF(checklistPesertaKemenkeu!$AY$6:$AY$1005="Direkomendasikan",ROW($6:$1005)-5),820)))=1),IFERROR(VLOOKUP(INDEX(checklistPesertaKemenkeu!$M$6:$M$1005,SMALL(IF(checklistPesertaKemenkeu!$AY$6:$AY$1005="Direkomendasikan",ROW($6:$1005)-5),820)),KotaKode,2,0),"-"),"")),"")</f>
        <v/>
      </c>
      <c r="J821" t="str">
        <f t="array" aca="1" ref="J821" ca="1">IFERROR(IF(OR(INDEX(checklistPesertaKemenkeu!$N$6:$N$1005,SMALL(IF(checklistPesertaKemenkeu!$AY$6:$AY$1005="Direkomendasikan",ROW($6:$1005)-5),820))="",INDEX(checklistPesertaKemenkeu!$J$6:$J$1005,SMALL(IF(checklistPesertaKemenkeu!$AY$6:$AY$1005="Direkomendasikan",ROW($6:$1005)-5),820))=""),"",IF(AND(COUNTIF(INDIRECT("K_"&amp;MATCH(INDEX(checklistPesertaKemenkeu!$J$6:$J$1005,SMALL(IF(checklistPesertaKemenkeu!$AY$6:$AY$1005="Direkomendasikan",ROW($6:$1005)-5),820)),BidangList,0)),INDEX(checklistPesertaKemenkeu!$N$6:$N$1005,SMALL(IF(checklistPesertaKemenkeu!$AY$6:$AY$1005="Direkomendasikan",ROW($6:$1005)-5),820)))&gt;0,COUNTIF(INDIRECT("'KERTAS KERJA'!K"&amp;(SMALL(IF(checklistPesertaKemenkeu!$AY$6:$AY$1005="Direkomendasikan",ROW($6:$1005)-5),820)+5)&amp;":O"&amp;(SMALL(IF(checklistPesertaKemenkeu!$AY$6:$AY$1005="Direkomendasikan",ROW($6:$1005)-5),820)+5)),INDEX(checklistPesertaKemenkeu!$N$6:$N$1005,SMALL(IF(checklistPesertaKemenkeu!$AY$6:$AY$1005="Direkomendasikan",ROW($6:$1005)-5),820)))=1),IFERROR(VLOOKUP(INDEX(checklistPesertaKemenkeu!$N$6:$N$1005,SMALL(IF(checklistPesertaKemenkeu!$AY$6:$AY$1005="Direkomendasikan",ROW($6:$1005)-5),820)),KotaKode,2,0),"-"),"")),"")</f>
        <v/>
      </c>
      <c r="K821" t="str">
        <f t="array" aca="1" ref="K821" ca="1">IFERROR(IF(OR(INDEX(checklistPesertaKemenkeu!$O$6:$O$1005,SMALL(IF(checklistPesertaKemenkeu!$AY$6:$AY$1005="Direkomendasikan",ROW($6:$1005)-5),820))="",INDEX(checklistPesertaKemenkeu!$J$6:$J$1005,SMALL(IF(checklistPesertaKemenkeu!$AY$6:$AY$1005="Direkomendasikan",ROW($6:$1005)-5),820))=""),"",IF(AND(COUNTIF(INDIRECT("K_"&amp;MATCH(INDEX(checklistPesertaKemenkeu!$J$6:$J$1005,SMALL(IF(checklistPesertaKemenkeu!$AY$6:$AY$1005="Direkomendasikan",ROW($6:$1005)-5),820)),BidangList,0)),INDEX(checklistPesertaKemenkeu!$O$6:$O$1005,SMALL(IF(checklistPesertaKemenkeu!$AY$6:$AY$1005="Direkomendasikan",ROW($6:$1005)-5),820)))&gt;0,COUNTIF(INDIRECT("'KERTAS KERJA'!K"&amp;(SMALL(IF(checklistPesertaKemenkeu!$AY$6:$AY$1005="Direkomendasikan",ROW($6:$1005)-5),820)+5)&amp;":O"&amp;(SMALL(IF(checklistPesertaKemenkeu!$AY$6:$AY$1005="Direkomendasikan",ROW($6:$1005)-5),820)+5)),INDEX(checklistPesertaKemenkeu!$O$6:$O$1005,SMALL(IF(checklistPesertaKemenkeu!$AY$6:$AY$1005="Direkomendasikan",ROW($6:$1005)-5),820)))=1),IFERROR(VLOOKUP(INDEX(checklistPesertaKemenkeu!$O$6:$O$1005,SMALL(IF(checklistPesertaKemenkeu!$AY$6:$AY$1005="Direkomendasikan",ROW($6:$1005)-5),820)),KotaKode,2,0),"-"),"")),"")</f>
        <v/>
      </c>
      <c r="L821" t="str">
        <f t="array" aca="1" ref="L821" ca="1">IFERROR(IF(OR(INDEX(checklistPesertaKemenkeu!$P$6:$P$1005,SMALL(IF(checklistPesertaKemenkeu!$AY$6:$AY$1005="Direkomendasikan",ROW($6:$1005)-5),820))="",INDEX(checklistPesertaKemenkeu!$J$6:$J$1005,SMALL(IF(checklistPesertaKemenkeu!$AY$6:$AY$1005="Direkomendasikan",ROW($6:$1005)-5),820))=""),"",IF(AND(COUNTIF(INDIRECT("K_"&amp;MATCH(INDEX(checklistPesertaKemenkeu!$J$6:$J$1005,SMALL(IF(checklistPesertaKemenkeu!$AY$6:$AY$1005="Direkomendasikan",ROW($6:$1005)-5),820)),BidangList,0)),INDEX(checklistPesertaKemenkeu!$P$6:$P$1005,SMALL(IF(checklistPesertaKemenkeu!$AY$6:$AY$1005="Direkomendasikan",ROW($6:$1005)-5),820)))&gt;0,COUNTIF(INDIRECT("'KERTAS KERJA'!K"&amp;(SMALL(IF(checklistPesertaKemenkeu!$AY$6:$AY$1005="Direkomendasikan",ROW($6:$1005)-5),820)+5)&amp;":O"&amp;(SMALL(IF(checklistPesertaKemenkeu!$AY$6:$AY$1005="Direkomendasikan",ROW($6:$1005)-5),820)+5)),INDEX(checklistPesertaKemenkeu!$P$6:$P$1005,SMALL(IF(checklistPesertaKemenkeu!$AY$6:$AY$1005="Direkomendasikan",ROW($6:$1005)-5),820)))=1),IFERROR(VLOOKUP(INDEX(checklistPesertaKemenkeu!$P$6:$P$1005,SMALL(IF(checklistPesertaKemenkeu!$AY$6:$AY$1005="Direkomendasikan",ROW($6:$1005)-5),820)),KotaKode,2,0),"-"),"")),"")</f>
        <v/>
      </c>
    </row>
    <row r="822" spans="1:12" ht="15" customHeight="1" x14ac:dyDescent="0.2">
      <c r="A822" t="str">
        <f t="shared" si="12"/>
        <v/>
      </c>
      <c r="B822" t="str">
        <v/>
      </c>
      <c r="C822" s="40" t="str">
        <f t="array" ref="C822">IFERROR(INDEX(checklistPesertaKemenkeu!$F$6:$F$1005,SMALL(IF(checklistPesertaKemenkeu!$AY$6:$AY$1005="Direkomendasikan",ROW($6:$1005)-5),821)),"")</f>
        <v/>
      </c>
      <c r="D822" t="str">
        <f t="array" ref="D822">IFERROR(INDEX(checklistPesertaKemenkeu!$G$6:$G$1005,SMALL(IF(checklistPesertaKemenkeu!$AY$6:$AY$1005="Direkomendasikan",ROW($6:$1005)-5),821)),"")</f>
        <v/>
      </c>
      <c r="E822" t="str">
        <f t="array" ref="E822">IFERROR(INDEX(checklistPesertaKemenkeu!$H$6:$H$1005,SMALL(IF(checklistPesertaKemenkeu!$AY$6:$AY$1005="Direkomendasikan",ROW($6:$1005)-5),821)),"")</f>
        <v/>
      </c>
      <c r="F822" t="str">
        <f t="array" ref="F822">IFERROR(INDEX(checklistPesertaKemenkeu!$I$6:$I$1005,SMALL(IF(checklistPesertaKemenkeu!$AY$6:$AY$1005="Direkomendasikan",ROW($6:$1005)-5),821)),"")</f>
        <v/>
      </c>
      <c r="G822" t="str">
        <f t="array" ref="G822">IFERROR(INDEX(checklistPesertaKemenkeu!$J$6:$J$1005,SMALL(IF(checklistPesertaKemenkeu!$AY$6:$AY$1005="Direkomendasikan",ROW($6:$1005)-5),821)),"")</f>
        <v/>
      </c>
      <c r="H822" t="str">
        <f t="array" aca="1" ref="H822" ca="1">IFERROR(IF(OR(INDEX(checklistPesertaKemenkeu!$L$6:$L$1005,SMALL(IF(checklistPesertaKemenkeu!$AY$6:$AY$1005="Direkomendasikan",ROW($6:$1005)-5),821))="",INDEX(checklistPesertaKemenkeu!$J$6:$J$1005,SMALL(IF(checklistPesertaKemenkeu!$AY$6:$AY$1005="Direkomendasikan",ROW($6:$1005)-5),821))=""),"",IF(AND(COUNTIF(INDIRECT("K_"&amp;MATCH(INDEX(checklistPesertaKemenkeu!$J$6:$J$1005,SMALL(IF(checklistPesertaKemenkeu!$AY$6:$AY$1005="Direkomendasikan",ROW($6:$1005)-5),821)),BidangList,0)),INDEX(checklistPesertaKemenkeu!$L$6:$L$1005,SMALL(IF(checklistPesertaKemenkeu!$AY$6:$AY$1005="Direkomendasikan",ROW($6:$1005)-5),821)))&gt;0,COUNTIF(INDIRECT("'KERTAS KERJA'!K"&amp;(SMALL(IF(checklistPesertaKemenkeu!$AY$6:$AY$1005="Direkomendasikan",ROW($6:$1005)-5),821)+5)&amp;":O"&amp;(SMALL(IF(checklistPesertaKemenkeu!$AY$6:$AY$1005="Direkomendasikan",ROW($6:$1005)-5),821)+5)),INDEX(checklistPesertaKemenkeu!$L$6:$L$1005,SMALL(IF(checklistPesertaKemenkeu!$AY$6:$AY$1005="Direkomendasikan",ROW($6:$1005)-5),821)))=1),IFERROR(VLOOKUP(INDEX(checklistPesertaKemenkeu!$L$6:$L$1005,SMALL(IF(checklistPesertaKemenkeu!$AY$6:$AY$1005="Direkomendasikan",ROW($6:$1005)-5),821)),KotaKode,2,0),"-"),"")),"")</f>
        <v/>
      </c>
      <c r="I822" t="str">
        <f t="array" aca="1" ref="I822" ca="1">IFERROR(IF(OR(INDEX(checklistPesertaKemenkeu!$M$6:$M$1005,SMALL(IF(checklistPesertaKemenkeu!$AY$6:$AY$1005="Direkomendasikan",ROW($6:$1005)-5),821))="",INDEX(checklistPesertaKemenkeu!$J$6:$J$1005,SMALL(IF(checklistPesertaKemenkeu!$AY$6:$AY$1005="Direkomendasikan",ROW($6:$1005)-5),821))=""),"",IF(AND(COUNTIF(INDIRECT("K_"&amp;MATCH(INDEX(checklistPesertaKemenkeu!$J$6:$J$1005,SMALL(IF(checklistPesertaKemenkeu!$AY$6:$AY$1005="Direkomendasikan",ROW($6:$1005)-5),821)),BidangList,0)),INDEX(checklistPesertaKemenkeu!$M$6:$M$1005,SMALL(IF(checklistPesertaKemenkeu!$AY$6:$AY$1005="Direkomendasikan",ROW($6:$1005)-5),821)))&gt;0,COUNTIF(INDIRECT("'KERTAS KERJA'!K"&amp;(SMALL(IF(checklistPesertaKemenkeu!$AY$6:$AY$1005="Direkomendasikan",ROW($6:$1005)-5),821)+5)&amp;":O"&amp;(SMALL(IF(checklistPesertaKemenkeu!$AY$6:$AY$1005="Direkomendasikan",ROW($6:$1005)-5),821)+5)),INDEX(checklistPesertaKemenkeu!$M$6:$M$1005,SMALL(IF(checklistPesertaKemenkeu!$AY$6:$AY$1005="Direkomendasikan",ROW($6:$1005)-5),821)))=1),IFERROR(VLOOKUP(INDEX(checklistPesertaKemenkeu!$M$6:$M$1005,SMALL(IF(checklistPesertaKemenkeu!$AY$6:$AY$1005="Direkomendasikan",ROW($6:$1005)-5),821)),KotaKode,2,0),"-"),"")),"")</f>
        <v/>
      </c>
      <c r="J822" t="str">
        <f t="array" aca="1" ref="J822" ca="1">IFERROR(IF(OR(INDEX(checklistPesertaKemenkeu!$N$6:$N$1005,SMALL(IF(checklistPesertaKemenkeu!$AY$6:$AY$1005="Direkomendasikan",ROW($6:$1005)-5),821))="",INDEX(checklistPesertaKemenkeu!$J$6:$J$1005,SMALL(IF(checklistPesertaKemenkeu!$AY$6:$AY$1005="Direkomendasikan",ROW($6:$1005)-5),821))=""),"",IF(AND(COUNTIF(INDIRECT("K_"&amp;MATCH(INDEX(checklistPesertaKemenkeu!$J$6:$J$1005,SMALL(IF(checklistPesertaKemenkeu!$AY$6:$AY$1005="Direkomendasikan",ROW($6:$1005)-5),821)),BidangList,0)),INDEX(checklistPesertaKemenkeu!$N$6:$N$1005,SMALL(IF(checklistPesertaKemenkeu!$AY$6:$AY$1005="Direkomendasikan",ROW($6:$1005)-5),821)))&gt;0,COUNTIF(INDIRECT("'KERTAS KERJA'!K"&amp;(SMALL(IF(checklistPesertaKemenkeu!$AY$6:$AY$1005="Direkomendasikan",ROW($6:$1005)-5),821)+5)&amp;":O"&amp;(SMALL(IF(checklistPesertaKemenkeu!$AY$6:$AY$1005="Direkomendasikan",ROW($6:$1005)-5),821)+5)),INDEX(checklistPesertaKemenkeu!$N$6:$N$1005,SMALL(IF(checklistPesertaKemenkeu!$AY$6:$AY$1005="Direkomendasikan",ROW($6:$1005)-5),821)))=1),IFERROR(VLOOKUP(INDEX(checklistPesertaKemenkeu!$N$6:$N$1005,SMALL(IF(checklistPesertaKemenkeu!$AY$6:$AY$1005="Direkomendasikan",ROW($6:$1005)-5),821)),KotaKode,2,0),"-"),"")),"")</f>
        <v/>
      </c>
      <c r="K822" t="str">
        <f t="array" aca="1" ref="K822" ca="1">IFERROR(IF(OR(INDEX(checklistPesertaKemenkeu!$O$6:$O$1005,SMALL(IF(checklistPesertaKemenkeu!$AY$6:$AY$1005="Direkomendasikan",ROW($6:$1005)-5),821))="",INDEX(checklistPesertaKemenkeu!$J$6:$J$1005,SMALL(IF(checklistPesertaKemenkeu!$AY$6:$AY$1005="Direkomendasikan",ROW($6:$1005)-5),821))=""),"",IF(AND(COUNTIF(INDIRECT("K_"&amp;MATCH(INDEX(checklistPesertaKemenkeu!$J$6:$J$1005,SMALL(IF(checklistPesertaKemenkeu!$AY$6:$AY$1005="Direkomendasikan",ROW($6:$1005)-5),821)),BidangList,0)),INDEX(checklistPesertaKemenkeu!$O$6:$O$1005,SMALL(IF(checklistPesertaKemenkeu!$AY$6:$AY$1005="Direkomendasikan",ROW($6:$1005)-5),821)))&gt;0,COUNTIF(INDIRECT("'KERTAS KERJA'!K"&amp;(SMALL(IF(checklistPesertaKemenkeu!$AY$6:$AY$1005="Direkomendasikan",ROW($6:$1005)-5),821)+5)&amp;":O"&amp;(SMALL(IF(checklistPesertaKemenkeu!$AY$6:$AY$1005="Direkomendasikan",ROW($6:$1005)-5),821)+5)),INDEX(checklistPesertaKemenkeu!$O$6:$O$1005,SMALL(IF(checklistPesertaKemenkeu!$AY$6:$AY$1005="Direkomendasikan",ROW($6:$1005)-5),821)))=1),IFERROR(VLOOKUP(INDEX(checklistPesertaKemenkeu!$O$6:$O$1005,SMALL(IF(checklistPesertaKemenkeu!$AY$6:$AY$1005="Direkomendasikan",ROW($6:$1005)-5),821)),KotaKode,2,0),"-"),"")),"")</f>
        <v/>
      </c>
      <c r="L822" t="str">
        <f t="array" aca="1" ref="L822" ca="1">IFERROR(IF(OR(INDEX(checklistPesertaKemenkeu!$P$6:$P$1005,SMALL(IF(checklistPesertaKemenkeu!$AY$6:$AY$1005="Direkomendasikan",ROW($6:$1005)-5),821))="",INDEX(checklistPesertaKemenkeu!$J$6:$J$1005,SMALL(IF(checklistPesertaKemenkeu!$AY$6:$AY$1005="Direkomendasikan",ROW($6:$1005)-5),821))=""),"",IF(AND(COUNTIF(INDIRECT("K_"&amp;MATCH(INDEX(checklistPesertaKemenkeu!$J$6:$J$1005,SMALL(IF(checklistPesertaKemenkeu!$AY$6:$AY$1005="Direkomendasikan",ROW($6:$1005)-5),821)),BidangList,0)),INDEX(checklistPesertaKemenkeu!$P$6:$P$1005,SMALL(IF(checklistPesertaKemenkeu!$AY$6:$AY$1005="Direkomendasikan",ROW($6:$1005)-5),821)))&gt;0,COUNTIF(INDIRECT("'KERTAS KERJA'!K"&amp;(SMALL(IF(checklistPesertaKemenkeu!$AY$6:$AY$1005="Direkomendasikan",ROW($6:$1005)-5),821)+5)&amp;":O"&amp;(SMALL(IF(checklistPesertaKemenkeu!$AY$6:$AY$1005="Direkomendasikan",ROW($6:$1005)-5),821)+5)),INDEX(checklistPesertaKemenkeu!$P$6:$P$1005,SMALL(IF(checklistPesertaKemenkeu!$AY$6:$AY$1005="Direkomendasikan",ROW($6:$1005)-5),821)))=1),IFERROR(VLOOKUP(INDEX(checklistPesertaKemenkeu!$P$6:$P$1005,SMALL(IF(checklistPesertaKemenkeu!$AY$6:$AY$1005="Direkomendasikan",ROW($6:$1005)-5),821)),KotaKode,2,0),"-"),"")),"")</f>
        <v/>
      </c>
    </row>
    <row r="823" spans="1:12" ht="15" customHeight="1" x14ac:dyDescent="0.2">
      <c r="A823" t="str">
        <f t="shared" si="12"/>
        <v/>
      </c>
      <c r="B823" t="str">
        <v/>
      </c>
      <c r="C823" s="40" t="str">
        <f t="array" ref="C823">IFERROR(INDEX(checklistPesertaKemenkeu!$F$6:$F$1005,SMALL(IF(checklistPesertaKemenkeu!$AY$6:$AY$1005="Direkomendasikan",ROW($6:$1005)-5),822)),"")</f>
        <v/>
      </c>
      <c r="D823" t="str">
        <f t="array" ref="D823">IFERROR(INDEX(checklistPesertaKemenkeu!$G$6:$G$1005,SMALL(IF(checklistPesertaKemenkeu!$AY$6:$AY$1005="Direkomendasikan",ROW($6:$1005)-5),822)),"")</f>
        <v/>
      </c>
      <c r="E823" t="str">
        <f t="array" ref="E823">IFERROR(INDEX(checklistPesertaKemenkeu!$H$6:$H$1005,SMALL(IF(checklistPesertaKemenkeu!$AY$6:$AY$1005="Direkomendasikan",ROW($6:$1005)-5),822)),"")</f>
        <v/>
      </c>
      <c r="F823" t="str">
        <f t="array" ref="F823">IFERROR(INDEX(checklistPesertaKemenkeu!$I$6:$I$1005,SMALL(IF(checklistPesertaKemenkeu!$AY$6:$AY$1005="Direkomendasikan",ROW($6:$1005)-5),822)),"")</f>
        <v/>
      </c>
      <c r="G823" t="str">
        <f t="array" ref="G823">IFERROR(INDEX(checklistPesertaKemenkeu!$J$6:$J$1005,SMALL(IF(checklistPesertaKemenkeu!$AY$6:$AY$1005="Direkomendasikan",ROW($6:$1005)-5),822)),"")</f>
        <v/>
      </c>
      <c r="H823" t="str">
        <f t="array" aca="1" ref="H823" ca="1">IFERROR(IF(OR(INDEX(checklistPesertaKemenkeu!$L$6:$L$1005,SMALL(IF(checklistPesertaKemenkeu!$AY$6:$AY$1005="Direkomendasikan",ROW($6:$1005)-5),822))="",INDEX(checklistPesertaKemenkeu!$J$6:$J$1005,SMALL(IF(checklistPesertaKemenkeu!$AY$6:$AY$1005="Direkomendasikan",ROW($6:$1005)-5),822))=""),"",IF(AND(COUNTIF(INDIRECT("K_"&amp;MATCH(INDEX(checklistPesertaKemenkeu!$J$6:$J$1005,SMALL(IF(checklistPesertaKemenkeu!$AY$6:$AY$1005="Direkomendasikan",ROW($6:$1005)-5),822)),BidangList,0)),INDEX(checklistPesertaKemenkeu!$L$6:$L$1005,SMALL(IF(checklistPesertaKemenkeu!$AY$6:$AY$1005="Direkomendasikan",ROW($6:$1005)-5),822)))&gt;0,COUNTIF(INDIRECT("'KERTAS KERJA'!K"&amp;(SMALL(IF(checklistPesertaKemenkeu!$AY$6:$AY$1005="Direkomendasikan",ROW($6:$1005)-5),822)+5)&amp;":O"&amp;(SMALL(IF(checklistPesertaKemenkeu!$AY$6:$AY$1005="Direkomendasikan",ROW($6:$1005)-5),822)+5)),INDEX(checklistPesertaKemenkeu!$L$6:$L$1005,SMALL(IF(checklistPesertaKemenkeu!$AY$6:$AY$1005="Direkomendasikan",ROW($6:$1005)-5),822)))=1),IFERROR(VLOOKUP(INDEX(checklistPesertaKemenkeu!$L$6:$L$1005,SMALL(IF(checklistPesertaKemenkeu!$AY$6:$AY$1005="Direkomendasikan",ROW($6:$1005)-5),822)),KotaKode,2,0),"-"),"")),"")</f>
        <v/>
      </c>
      <c r="I823" t="str">
        <f t="array" aca="1" ref="I823" ca="1">IFERROR(IF(OR(INDEX(checklistPesertaKemenkeu!$M$6:$M$1005,SMALL(IF(checklistPesertaKemenkeu!$AY$6:$AY$1005="Direkomendasikan",ROW($6:$1005)-5),822))="",INDEX(checklistPesertaKemenkeu!$J$6:$J$1005,SMALL(IF(checklistPesertaKemenkeu!$AY$6:$AY$1005="Direkomendasikan",ROW($6:$1005)-5),822))=""),"",IF(AND(COUNTIF(INDIRECT("K_"&amp;MATCH(INDEX(checklistPesertaKemenkeu!$J$6:$J$1005,SMALL(IF(checklistPesertaKemenkeu!$AY$6:$AY$1005="Direkomendasikan",ROW($6:$1005)-5),822)),BidangList,0)),INDEX(checklistPesertaKemenkeu!$M$6:$M$1005,SMALL(IF(checklistPesertaKemenkeu!$AY$6:$AY$1005="Direkomendasikan",ROW($6:$1005)-5),822)))&gt;0,COUNTIF(INDIRECT("'KERTAS KERJA'!K"&amp;(SMALL(IF(checklistPesertaKemenkeu!$AY$6:$AY$1005="Direkomendasikan",ROW($6:$1005)-5),822)+5)&amp;":O"&amp;(SMALL(IF(checklistPesertaKemenkeu!$AY$6:$AY$1005="Direkomendasikan",ROW($6:$1005)-5),822)+5)),INDEX(checklistPesertaKemenkeu!$M$6:$M$1005,SMALL(IF(checklistPesertaKemenkeu!$AY$6:$AY$1005="Direkomendasikan",ROW($6:$1005)-5),822)))=1),IFERROR(VLOOKUP(INDEX(checklistPesertaKemenkeu!$M$6:$M$1005,SMALL(IF(checklistPesertaKemenkeu!$AY$6:$AY$1005="Direkomendasikan",ROW($6:$1005)-5),822)),KotaKode,2,0),"-"),"")),"")</f>
        <v/>
      </c>
      <c r="J823" t="str">
        <f t="array" aca="1" ref="J823" ca="1">IFERROR(IF(OR(INDEX(checklistPesertaKemenkeu!$N$6:$N$1005,SMALL(IF(checklistPesertaKemenkeu!$AY$6:$AY$1005="Direkomendasikan",ROW($6:$1005)-5),822))="",INDEX(checklistPesertaKemenkeu!$J$6:$J$1005,SMALL(IF(checklistPesertaKemenkeu!$AY$6:$AY$1005="Direkomendasikan",ROW($6:$1005)-5),822))=""),"",IF(AND(COUNTIF(INDIRECT("K_"&amp;MATCH(INDEX(checklistPesertaKemenkeu!$J$6:$J$1005,SMALL(IF(checklistPesertaKemenkeu!$AY$6:$AY$1005="Direkomendasikan",ROW($6:$1005)-5),822)),BidangList,0)),INDEX(checklistPesertaKemenkeu!$N$6:$N$1005,SMALL(IF(checklistPesertaKemenkeu!$AY$6:$AY$1005="Direkomendasikan",ROW($6:$1005)-5),822)))&gt;0,COUNTIF(INDIRECT("'KERTAS KERJA'!K"&amp;(SMALL(IF(checklistPesertaKemenkeu!$AY$6:$AY$1005="Direkomendasikan",ROW($6:$1005)-5),822)+5)&amp;":O"&amp;(SMALL(IF(checklistPesertaKemenkeu!$AY$6:$AY$1005="Direkomendasikan",ROW($6:$1005)-5),822)+5)),INDEX(checklistPesertaKemenkeu!$N$6:$N$1005,SMALL(IF(checklistPesertaKemenkeu!$AY$6:$AY$1005="Direkomendasikan",ROW($6:$1005)-5),822)))=1),IFERROR(VLOOKUP(INDEX(checklistPesertaKemenkeu!$N$6:$N$1005,SMALL(IF(checklistPesertaKemenkeu!$AY$6:$AY$1005="Direkomendasikan",ROW($6:$1005)-5),822)),KotaKode,2,0),"-"),"")),"")</f>
        <v/>
      </c>
      <c r="K823" t="str">
        <f t="array" aca="1" ref="K823" ca="1">IFERROR(IF(OR(INDEX(checklistPesertaKemenkeu!$O$6:$O$1005,SMALL(IF(checklistPesertaKemenkeu!$AY$6:$AY$1005="Direkomendasikan",ROW($6:$1005)-5),822))="",INDEX(checklistPesertaKemenkeu!$J$6:$J$1005,SMALL(IF(checklistPesertaKemenkeu!$AY$6:$AY$1005="Direkomendasikan",ROW($6:$1005)-5),822))=""),"",IF(AND(COUNTIF(INDIRECT("K_"&amp;MATCH(INDEX(checklistPesertaKemenkeu!$J$6:$J$1005,SMALL(IF(checklistPesertaKemenkeu!$AY$6:$AY$1005="Direkomendasikan",ROW($6:$1005)-5),822)),BidangList,0)),INDEX(checklistPesertaKemenkeu!$O$6:$O$1005,SMALL(IF(checklistPesertaKemenkeu!$AY$6:$AY$1005="Direkomendasikan",ROW($6:$1005)-5),822)))&gt;0,COUNTIF(INDIRECT("'KERTAS KERJA'!K"&amp;(SMALL(IF(checklistPesertaKemenkeu!$AY$6:$AY$1005="Direkomendasikan",ROW($6:$1005)-5),822)+5)&amp;":O"&amp;(SMALL(IF(checklistPesertaKemenkeu!$AY$6:$AY$1005="Direkomendasikan",ROW($6:$1005)-5),822)+5)),INDEX(checklistPesertaKemenkeu!$O$6:$O$1005,SMALL(IF(checklistPesertaKemenkeu!$AY$6:$AY$1005="Direkomendasikan",ROW($6:$1005)-5),822)))=1),IFERROR(VLOOKUP(INDEX(checklistPesertaKemenkeu!$O$6:$O$1005,SMALL(IF(checklistPesertaKemenkeu!$AY$6:$AY$1005="Direkomendasikan",ROW($6:$1005)-5),822)),KotaKode,2,0),"-"),"")),"")</f>
        <v/>
      </c>
      <c r="L823" t="str">
        <f t="array" aca="1" ref="L823" ca="1">IFERROR(IF(OR(INDEX(checklistPesertaKemenkeu!$P$6:$P$1005,SMALL(IF(checklistPesertaKemenkeu!$AY$6:$AY$1005="Direkomendasikan",ROW($6:$1005)-5),822))="",INDEX(checklistPesertaKemenkeu!$J$6:$J$1005,SMALL(IF(checklistPesertaKemenkeu!$AY$6:$AY$1005="Direkomendasikan",ROW($6:$1005)-5),822))=""),"",IF(AND(COUNTIF(INDIRECT("K_"&amp;MATCH(INDEX(checklistPesertaKemenkeu!$J$6:$J$1005,SMALL(IF(checklistPesertaKemenkeu!$AY$6:$AY$1005="Direkomendasikan",ROW($6:$1005)-5),822)),BidangList,0)),INDEX(checklistPesertaKemenkeu!$P$6:$P$1005,SMALL(IF(checklistPesertaKemenkeu!$AY$6:$AY$1005="Direkomendasikan",ROW($6:$1005)-5),822)))&gt;0,COUNTIF(INDIRECT("'KERTAS KERJA'!K"&amp;(SMALL(IF(checklistPesertaKemenkeu!$AY$6:$AY$1005="Direkomendasikan",ROW($6:$1005)-5),822)+5)&amp;":O"&amp;(SMALL(IF(checklistPesertaKemenkeu!$AY$6:$AY$1005="Direkomendasikan",ROW($6:$1005)-5),822)+5)),INDEX(checklistPesertaKemenkeu!$P$6:$P$1005,SMALL(IF(checklistPesertaKemenkeu!$AY$6:$AY$1005="Direkomendasikan",ROW($6:$1005)-5),822)))=1),IFERROR(VLOOKUP(INDEX(checklistPesertaKemenkeu!$P$6:$P$1005,SMALL(IF(checklistPesertaKemenkeu!$AY$6:$AY$1005="Direkomendasikan",ROW($6:$1005)-5),822)),KotaKode,2,0),"-"),"")),"")</f>
        <v/>
      </c>
    </row>
    <row r="824" spans="1:12" ht="15" customHeight="1" x14ac:dyDescent="0.2">
      <c r="A824" t="str">
        <f t="shared" si="12"/>
        <v/>
      </c>
      <c r="B824" t="str">
        <v/>
      </c>
      <c r="C824" s="40" t="str">
        <f t="array" ref="C824">IFERROR(INDEX(checklistPesertaKemenkeu!$F$6:$F$1005,SMALL(IF(checklistPesertaKemenkeu!$AY$6:$AY$1005="Direkomendasikan",ROW($6:$1005)-5),823)),"")</f>
        <v/>
      </c>
      <c r="D824" t="str">
        <f t="array" ref="D824">IFERROR(INDEX(checklistPesertaKemenkeu!$G$6:$G$1005,SMALL(IF(checklistPesertaKemenkeu!$AY$6:$AY$1005="Direkomendasikan",ROW($6:$1005)-5),823)),"")</f>
        <v/>
      </c>
      <c r="E824" t="str">
        <f t="array" ref="E824">IFERROR(INDEX(checklistPesertaKemenkeu!$H$6:$H$1005,SMALL(IF(checklistPesertaKemenkeu!$AY$6:$AY$1005="Direkomendasikan",ROW($6:$1005)-5),823)),"")</f>
        <v/>
      </c>
      <c r="F824" t="str">
        <f t="array" ref="F824">IFERROR(INDEX(checklistPesertaKemenkeu!$I$6:$I$1005,SMALL(IF(checklistPesertaKemenkeu!$AY$6:$AY$1005="Direkomendasikan",ROW($6:$1005)-5),823)),"")</f>
        <v/>
      </c>
      <c r="G824" t="str">
        <f t="array" ref="G824">IFERROR(INDEX(checklistPesertaKemenkeu!$J$6:$J$1005,SMALL(IF(checklistPesertaKemenkeu!$AY$6:$AY$1005="Direkomendasikan",ROW($6:$1005)-5),823)),"")</f>
        <v/>
      </c>
      <c r="H824" t="str">
        <f t="array" aca="1" ref="H824" ca="1">IFERROR(IF(OR(INDEX(checklistPesertaKemenkeu!$L$6:$L$1005,SMALL(IF(checklistPesertaKemenkeu!$AY$6:$AY$1005="Direkomendasikan",ROW($6:$1005)-5),823))="",INDEX(checklistPesertaKemenkeu!$J$6:$J$1005,SMALL(IF(checklistPesertaKemenkeu!$AY$6:$AY$1005="Direkomendasikan",ROW($6:$1005)-5),823))=""),"",IF(AND(COUNTIF(INDIRECT("K_"&amp;MATCH(INDEX(checklistPesertaKemenkeu!$J$6:$J$1005,SMALL(IF(checklistPesertaKemenkeu!$AY$6:$AY$1005="Direkomendasikan",ROW($6:$1005)-5),823)),BidangList,0)),INDEX(checklistPesertaKemenkeu!$L$6:$L$1005,SMALL(IF(checklistPesertaKemenkeu!$AY$6:$AY$1005="Direkomendasikan",ROW($6:$1005)-5),823)))&gt;0,COUNTIF(INDIRECT("'KERTAS KERJA'!K"&amp;(SMALL(IF(checklistPesertaKemenkeu!$AY$6:$AY$1005="Direkomendasikan",ROW($6:$1005)-5),823)+5)&amp;":O"&amp;(SMALL(IF(checklistPesertaKemenkeu!$AY$6:$AY$1005="Direkomendasikan",ROW($6:$1005)-5),823)+5)),INDEX(checklistPesertaKemenkeu!$L$6:$L$1005,SMALL(IF(checklistPesertaKemenkeu!$AY$6:$AY$1005="Direkomendasikan",ROW($6:$1005)-5),823)))=1),IFERROR(VLOOKUP(INDEX(checklistPesertaKemenkeu!$L$6:$L$1005,SMALL(IF(checklistPesertaKemenkeu!$AY$6:$AY$1005="Direkomendasikan",ROW($6:$1005)-5),823)),KotaKode,2,0),"-"),"")),"")</f>
        <v/>
      </c>
      <c r="I824" t="str">
        <f t="array" aca="1" ref="I824" ca="1">IFERROR(IF(OR(INDEX(checklistPesertaKemenkeu!$M$6:$M$1005,SMALL(IF(checklistPesertaKemenkeu!$AY$6:$AY$1005="Direkomendasikan",ROW($6:$1005)-5),823))="",INDEX(checklistPesertaKemenkeu!$J$6:$J$1005,SMALL(IF(checklistPesertaKemenkeu!$AY$6:$AY$1005="Direkomendasikan",ROW($6:$1005)-5),823))=""),"",IF(AND(COUNTIF(INDIRECT("K_"&amp;MATCH(INDEX(checklistPesertaKemenkeu!$J$6:$J$1005,SMALL(IF(checklistPesertaKemenkeu!$AY$6:$AY$1005="Direkomendasikan",ROW($6:$1005)-5),823)),BidangList,0)),INDEX(checklistPesertaKemenkeu!$M$6:$M$1005,SMALL(IF(checklistPesertaKemenkeu!$AY$6:$AY$1005="Direkomendasikan",ROW($6:$1005)-5),823)))&gt;0,COUNTIF(INDIRECT("'KERTAS KERJA'!K"&amp;(SMALL(IF(checklistPesertaKemenkeu!$AY$6:$AY$1005="Direkomendasikan",ROW($6:$1005)-5),823)+5)&amp;":O"&amp;(SMALL(IF(checklistPesertaKemenkeu!$AY$6:$AY$1005="Direkomendasikan",ROW($6:$1005)-5),823)+5)),INDEX(checklistPesertaKemenkeu!$M$6:$M$1005,SMALL(IF(checklistPesertaKemenkeu!$AY$6:$AY$1005="Direkomendasikan",ROW($6:$1005)-5),823)))=1),IFERROR(VLOOKUP(INDEX(checklistPesertaKemenkeu!$M$6:$M$1005,SMALL(IF(checklistPesertaKemenkeu!$AY$6:$AY$1005="Direkomendasikan",ROW($6:$1005)-5),823)),KotaKode,2,0),"-"),"")),"")</f>
        <v/>
      </c>
      <c r="J824" t="str">
        <f t="array" aca="1" ref="J824" ca="1">IFERROR(IF(OR(INDEX(checklistPesertaKemenkeu!$N$6:$N$1005,SMALL(IF(checklistPesertaKemenkeu!$AY$6:$AY$1005="Direkomendasikan",ROW($6:$1005)-5),823))="",INDEX(checklistPesertaKemenkeu!$J$6:$J$1005,SMALL(IF(checklistPesertaKemenkeu!$AY$6:$AY$1005="Direkomendasikan",ROW($6:$1005)-5),823))=""),"",IF(AND(COUNTIF(INDIRECT("K_"&amp;MATCH(INDEX(checklistPesertaKemenkeu!$J$6:$J$1005,SMALL(IF(checklistPesertaKemenkeu!$AY$6:$AY$1005="Direkomendasikan",ROW($6:$1005)-5),823)),BidangList,0)),INDEX(checklistPesertaKemenkeu!$N$6:$N$1005,SMALL(IF(checklistPesertaKemenkeu!$AY$6:$AY$1005="Direkomendasikan",ROW($6:$1005)-5),823)))&gt;0,COUNTIF(INDIRECT("'KERTAS KERJA'!K"&amp;(SMALL(IF(checklistPesertaKemenkeu!$AY$6:$AY$1005="Direkomendasikan",ROW($6:$1005)-5),823)+5)&amp;":O"&amp;(SMALL(IF(checklistPesertaKemenkeu!$AY$6:$AY$1005="Direkomendasikan",ROW($6:$1005)-5),823)+5)),INDEX(checklistPesertaKemenkeu!$N$6:$N$1005,SMALL(IF(checklistPesertaKemenkeu!$AY$6:$AY$1005="Direkomendasikan",ROW($6:$1005)-5),823)))=1),IFERROR(VLOOKUP(INDEX(checklistPesertaKemenkeu!$N$6:$N$1005,SMALL(IF(checklistPesertaKemenkeu!$AY$6:$AY$1005="Direkomendasikan",ROW($6:$1005)-5),823)),KotaKode,2,0),"-"),"")),"")</f>
        <v/>
      </c>
      <c r="K824" t="str">
        <f t="array" aca="1" ref="K824" ca="1">IFERROR(IF(OR(INDEX(checklistPesertaKemenkeu!$O$6:$O$1005,SMALL(IF(checklistPesertaKemenkeu!$AY$6:$AY$1005="Direkomendasikan",ROW($6:$1005)-5),823))="",INDEX(checklistPesertaKemenkeu!$J$6:$J$1005,SMALL(IF(checklistPesertaKemenkeu!$AY$6:$AY$1005="Direkomendasikan",ROW($6:$1005)-5),823))=""),"",IF(AND(COUNTIF(INDIRECT("K_"&amp;MATCH(INDEX(checklistPesertaKemenkeu!$J$6:$J$1005,SMALL(IF(checklistPesertaKemenkeu!$AY$6:$AY$1005="Direkomendasikan",ROW($6:$1005)-5),823)),BidangList,0)),INDEX(checklistPesertaKemenkeu!$O$6:$O$1005,SMALL(IF(checklistPesertaKemenkeu!$AY$6:$AY$1005="Direkomendasikan",ROW($6:$1005)-5),823)))&gt;0,COUNTIF(INDIRECT("'KERTAS KERJA'!K"&amp;(SMALL(IF(checklistPesertaKemenkeu!$AY$6:$AY$1005="Direkomendasikan",ROW($6:$1005)-5),823)+5)&amp;":O"&amp;(SMALL(IF(checklistPesertaKemenkeu!$AY$6:$AY$1005="Direkomendasikan",ROW($6:$1005)-5),823)+5)),INDEX(checklistPesertaKemenkeu!$O$6:$O$1005,SMALL(IF(checklistPesertaKemenkeu!$AY$6:$AY$1005="Direkomendasikan",ROW($6:$1005)-5),823)))=1),IFERROR(VLOOKUP(INDEX(checklistPesertaKemenkeu!$O$6:$O$1005,SMALL(IF(checklistPesertaKemenkeu!$AY$6:$AY$1005="Direkomendasikan",ROW($6:$1005)-5),823)),KotaKode,2,0),"-"),"")),"")</f>
        <v/>
      </c>
      <c r="L824" t="str">
        <f t="array" aca="1" ref="L824" ca="1">IFERROR(IF(OR(INDEX(checklistPesertaKemenkeu!$P$6:$P$1005,SMALL(IF(checklistPesertaKemenkeu!$AY$6:$AY$1005="Direkomendasikan",ROW($6:$1005)-5),823))="",INDEX(checklistPesertaKemenkeu!$J$6:$J$1005,SMALL(IF(checklistPesertaKemenkeu!$AY$6:$AY$1005="Direkomendasikan",ROW($6:$1005)-5),823))=""),"",IF(AND(COUNTIF(INDIRECT("K_"&amp;MATCH(INDEX(checklistPesertaKemenkeu!$J$6:$J$1005,SMALL(IF(checklistPesertaKemenkeu!$AY$6:$AY$1005="Direkomendasikan",ROW($6:$1005)-5),823)),BidangList,0)),INDEX(checklistPesertaKemenkeu!$P$6:$P$1005,SMALL(IF(checklistPesertaKemenkeu!$AY$6:$AY$1005="Direkomendasikan",ROW($6:$1005)-5),823)))&gt;0,COUNTIF(INDIRECT("'KERTAS KERJA'!K"&amp;(SMALL(IF(checklistPesertaKemenkeu!$AY$6:$AY$1005="Direkomendasikan",ROW($6:$1005)-5),823)+5)&amp;":O"&amp;(SMALL(IF(checklistPesertaKemenkeu!$AY$6:$AY$1005="Direkomendasikan",ROW($6:$1005)-5),823)+5)),INDEX(checklistPesertaKemenkeu!$P$6:$P$1005,SMALL(IF(checklistPesertaKemenkeu!$AY$6:$AY$1005="Direkomendasikan",ROW($6:$1005)-5),823)))=1),IFERROR(VLOOKUP(INDEX(checklistPesertaKemenkeu!$P$6:$P$1005,SMALL(IF(checklistPesertaKemenkeu!$AY$6:$AY$1005="Direkomendasikan",ROW($6:$1005)-5),823)),KotaKode,2,0),"-"),"")),"")</f>
        <v/>
      </c>
    </row>
    <row r="825" spans="1:12" ht="15" customHeight="1" x14ac:dyDescent="0.2">
      <c r="A825" t="str">
        <f t="shared" si="12"/>
        <v/>
      </c>
      <c r="B825" t="str">
        <v/>
      </c>
      <c r="C825" s="40" t="str">
        <f t="array" ref="C825">IFERROR(INDEX(checklistPesertaKemenkeu!$F$6:$F$1005,SMALL(IF(checklistPesertaKemenkeu!$AY$6:$AY$1005="Direkomendasikan",ROW($6:$1005)-5),824)),"")</f>
        <v/>
      </c>
      <c r="D825" t="str">
        <f t="array" ref="D825">IFERROR(INDEX(checklistPesertaKemenkeu!$G$6:$G$1005,SMALL(IF(checklistPesertaKemenkeu!$AY$6:$AY$1005="Direkomendasikan",ROW($6:$1005)-5),824)),"")</f>
        <v/>
      </c>
      <c r="E825" t="str">
        <f t="array" ref="E825">IFERROR(INDEX(checklistPesertaKemenkeu!$H$6:$H$1005,SMALL(IF(checklistPesertaKemenkeu!$AY$6:$AY$1005="Direkomendasikan",ROW($6:$1005)-5),824)),"")</f>
        <v/>
      </c>
      <c r="F825" t="str">
        <f t="array" ref="F825">IFERROR(INDEX(checklistPesertaKemenkeu!$I$6:$I$1005,SMALL(IF(checklistPesertaKemenkeu!$AY$6:$AY$1005="Direkomendasikan",ROW($6:$1005)-5),824)),"")</f>
        <v/>
      </c>
      <c r="G825" t="str">
        <f t="array" ref="G825">IFERROR(INDEX(checklistPesertaKemenkeu!$J$6:$J$1005,SMALL(IF(checklistPesertaKemenkeu!$AY$6:$AY$1005="Direkomendasikan",ROW($6:$1005)-5),824)),"")</f>
        <v/>
      </c>
      <c r="H825" t="str">
        <f t="array" aca="1" ref="H825" ca="1">IFERROR(IF(OR(INDEX(checklistPesertaKemenkeu!$L$6:$L$1005,SMALL(IF(checklistPesertaKemenkeu!$AY$6:$AY$1005="Direkomendasikan",ROW($6:$1005)-5),824))="",INDEX(checklistPesertaKemenkeu!$J$6:$J$1005,SMALL(IF(checklistPesertaKemenkeu!$AY$6:$AY$1005="Direkomendasikan",ROW($6:$1005)-5),824))=""),"",IF(AND(COUNTIF(INDIRECT("K_"&amp;MATCH(INDEX(checklistPesertaKemenkeu!$J$6:$J$1005,SMALL(IF(checklistPesertaKemenkeu!$AY$6:$AY$1005="Direkomendasikan",ROW($6:$1005)-5),824)),BidangList,0)),INDEX(checklistPesertaKemenkeu!$L$6:$L$1005,SMALL(IF(checklistPesertaKemenkeu!$AY$6:$AY$1005="Direkomendasikan",ROW($6:$1005)-5),824)))&gt;0,COUNTIF(INDIRECT("'KERTAS KERJA'!K"&amp;(SMALL(IF(checklistPesertaKemenkeu!$AY$6:$AY$1005="Direkomendasikan",ROW($6:$1005)-5),824)+5)&amp;":O"&amp;(SMALL(IF(checklistPesertaKemenkeu!$AY$6:$AY$1005="Direkomendasikan",ROW($6:$1005)-5),824)+5)),INDEX(checklistPesertaKemenkeu!$L$6:$L$1005,SMALL(IF(checklistPesertaKemenkeu!$AY$6:$AY$1005="Direkomendasikan",ROW($6:$1005)-5),824)))=1),IFERROR(VLOOKUP(INDEX(checklistPesertaKemenkeu!$L$6:$L$1005,SMALL(IF(checklistPesertaKemenkeu!$AY$6:$AY$1005="Direkomendasikan",ROW($6:$1005)-5),824)),KotaKode,2,0),"-"),"")),"")</f>
        <v/>
      </c>
      <c r="I825" t="str">
        <f t="array" aca="1" ref="I825" ca="1">IFERROR(IF(OR(INDEX(checklistPesertaKemenkeu!$M$6:$M$1005,SMALL(IF(checklistPesertaKemenkeu!$AY$6:$AY$1005="Direkomendasikan",ROW($6:$1005)-5),824))="",INDEX(checklistPesertaKemenkeu!$J$6:$J$1005,SMALL(IF(checklistPesertaKemenkeu!$AY$6:$AY$1005="Direkomendasikan",ROW($6:$1005)-5),824))=""),"",IF(AND(COUNTIF(INDIRECT("K_"&amp;MATCH(INDEX(checklistPesertaKemenkeu!$J$6:$J$1005,SMALL(IF(checklistPesertaKemenkeu!$AY$6:$AY$1005="Direkomendasikan",ROW($6:$1005)-5),824)),BidangList,0)),INDEX(checklistPesertaKemenkeu!$M$6:$M$1005,SMALL(IF(checklistPesertaKemenkeu!$AY$6:$AY$1005="Direkomendasikan",ROW($6:$1005)-5),824)))&gt;0,COUNTIF(INDIRECT("'KERTAS KERJA'!K"&amp;(SMALL(IF(checklistPesertaKemenkeu!$AY$6:$AY$1005="Direkomendasikan",ROW($6:$1005)-5),824)+5)&amp;":O"&amp;(SMALL(IF(checklistPesertaKemenkeu!$AY$6:$AY$1005="Direkomendasikan",ROW($6:$1005)-5),824)+5)),INDEX(checklistPesertaKemenkeu!$M$6:$M$1005,SMALL(IF(checklistPesertaKemenkeu!$AY$6:$AY$1005="Direkomendasikan",ROW($6:$1005)-5),824)))=1),IFERROR(VLOOKUP(INDEX(checklistPesertaKemenkeu!$M$6:$M$1005,SMALL(IF(checklistPesertaKemenkeu!$AY$6:$AY$1005="Direkomendasikan",ROW($6:$1005)-5),824)),KotaKode,2,0),"-"),"")),"")</f>
        <v/>
      </c>
      <c r="J825" t="str">
        <f t="array" aca="1" ref="J825" ca="1">IFERROR(IF(OR(INDEX(checklistPesertaKemenkeu!$N$6:$N$1005,SMALL(IF(checklistPesertaKemenkeu!$AY$6:$AY$1005="Direkomendasikan",ROW($6:$1005)-5),824))="",INDEX(checklistPesertaKemenkeu!$J$6:$J$1005,SMALL(IF(checklistPesertaKemenkeu!$AY$6:$AY$1005="Direkomendasikan",ROW($6:$1005)-5),824))=""),"",IF(AND(COUNTIF(INDIRECT("K_"&amp;MATCH(INDEX(checklistPesertaKemenkeu!$J$6:$J$1005,SMALL(IF(checklistPesertaKemenkeu!$AY$6:$AY$1005="Direkomendasikan",ROW($6:$1005)-5),824)),BidangList,0)),INDEX(checklistPesertaKemenkeu!$N$6:$N$1005,SMALL(IF(checklistPesertaKemenkeu!$AY$6:$AY$1005="Direkomendasikan",ROW($6:$1005)-5),824)))&gt;0,COUNTIF(INDIRECT("'KERTAS KERJA'!K"&amp;(SMALL(IF(checklistPesertaKemenkeu!$AY$6:$AY$1005="Direkomendasikan",ROW($6:$1005)-5),824)+5)&amp;":O"&amp;(SMALL(IF(checklistPesertaKemenkeu!$AY$6:$AY$1005="Direkomendasikan",ROW($6:$1005)-5),824)+5)),INDEX(checklistPesertaKemenkeu!$N$6:$N$1005,SMALL(IF(checklistPesertaKemenkeu!$AY$6:$AY$1005="Direkomendasikan",ROW($6:$1005)-5),824)))=1),IFERROR(VLOOKUP(INDEX(checklistPesertaKemenkeu!$N$6:$N$1005,SMALL(IF(checklistPesertaKemenkeu!$AY$6:$AY$1005="Direkomendasikan",ROW($6:$1005)-5),824)),KotaKode,2,0),"-"),"")),"")</f>
        <v/>
      </c>
      <c r="K825" t="str">
        <f t="array" aca="1" ref="K825" ca="1">IFERROR(IF(OR(INDEX(checklistPesertaKemenkeu!$O$6:$O$1005,SMALL(IF(checklistPesertaKemenkeu!$AY$6:$AY$1005="Direkomendasikan",ROW($6:$1005)-5),824))="",INDEX(checklistPesertaKemenkeu!$J$6:$J$1005,SMALL(IF(checklistPesertaKemenkeu!$AY$6:$AY$1005="Direkomendasikan",ROW($6:$1005)-5),824))=""),"",IF(AND(COUNTIF(INDIRECT("K_"&amp;MATCH(INDEX(checklistPesertaKemenkeu!$J$6:$J$1005,SMALL(IF(checklistPesertaKemenkeu!$AY$6:$AY$1005="Direkomendasikan",ROW($6:$1005)-5),824)),BidangList,0)),INDEX(checklistPesertaKemenkeu!$O$6:$O$1005,SMALL(IF(checklistPesertaKemenkeu!$AY$6:$AY$1005="Direkomendasikan",ROW($6:$1005)-5),824)))&gt;0,COUNTIF(INDIRECT("'KERTAS KERJA'!K"&amp;(SMALL(IF(checklistPesertaKemenkeu!$AY$6:$AY$1005="Direkomendasikan",ROW($6:$1005)-5),824)+5)&amp;":O"&amp;(SMALL(IF(checklistPesertaKemenkeu!$AY$6:$AY$1005="Direkomendasikan",ROW($6:$1005)-5),824)+5)),INDEX(checklistPesertaKemenkeu!$O$6:$O$1005,SMALL(IF(checklistPesertaKemenkeu!$AY$6:$AY$1005="Direkomendasikan",ROW($6:$1005)-5),824)))=1),IFERROR(VLOOKUP(INDEX(checklistPesertaKemenkeu!$O$6:$O$1005,SMALL(IF(checklistPesertaKemenkeu!$AY$6:$AY$1005="Direkomendasikan",ROW($6:$1005)-5),824)),KotaKode,2,0),"-"),"")),"")</f>
        <v/>
      </c>
      <c r="L825" t="str">
        <f t="array" aca="1" ref="L825" ca="1">IFERROR(IF(OR(INDEX(checklistPesertaKemenkeu!$P$6:$P$1005,SMALL(IF(checklistPesertaKemenkeu!$AY$6:$AY$1005="Direkomendasikan",ROW($6:$1005)-5),824))="",INDEX(checklistPesertaKemenkeu!$J$6:$J$1005,SMALL(IF(checklistPesertaKemenkeu!$AY$6:$AY$1005="Direkomendasikan",ROW($6:$1005)-5),824))=""),"",IF(AND(COUNTIF(INDIRECT("K_"&amp;MATCH(INDEX(checklistPesertaKemenkeu!$J$6:$J$1005,SMALL(IF(checklistPesertaKemenkeu!$AY$6:$AY$1005="Direkomendasikan",ROW($6:$1005)-5),824)),BidangList,0)),INDEX(checklistPesertaKemenkeu!$P$6:$P$1005,SMALL(IF(checklistPesertaKemenkeu!$AY$6:$AY$1005="Direkomendasikan",ROW($6:$1005)-5),824)))&gt;0,COUNTIF(INDIRECT("'KERTAS KERJA'!K"&amp;(SMALL(IF(checklistPesertaKemenkeu!$AY$6:$AY$1005="Direkomendasikan",ROW($6:$1005)-5),824)+5)&amp;":O"&amp;(SMALL(IF(checklistPesertaKemenkeu!$AY$6:$AY$1005="Direkomendasikan",ROW($6:$1005)-5),824)+5)),INDEX(checklistPesertaKemenkeu!$P$6:$P$1005,SMALL(IF(checklistPesertaKemenkeu!$AY$6:$AY$1005="Direkomendasikan",ROW($6:$1005)-5),824)))=1),IFERROR(VLOOKUP(INDEX(checklistPesertaKemenkeu!$P$6:$P$1005,SMALL(IF(checklistPesertaKemenkeu!$AY$6:$AY$1005="Direkomendasikan",ROW($6:$1005)-5),824)),KotaKode,2,0),"-"),"")),"")</f>
        <v/>
      </c>
    </row>
    <row r="826" spans="1:12" ht="15" customHeight="1" x14ac:dyDescent="0.2">
      <c r="A826" t="str">
        <f t="shared" si="12"/>
        <v/>
      </c>
      <c r="B826" t="str">
        <v/>
      </c>
      <c r="C826" s="40" t="str">
        <f t="array" ref="C826">IFERROR(INDEX(checklistPesertaKemenkeu!$F$6:$F$1005,SMALL(IF(checklistPesertaKemenkeu!$AY$6:$AY$1005="Direkomendasikan",ROW($6:$1005)-5),825)),"")</f>
        <v/>
      </c>
      <c r="D826" t="str">
        <f t="array" ref="D826">IFERROR(INDEX(checklistPesertaKemenkeu!$G$6:$G$1005,SMALL(IF(checklistPesertaKemenkeu!$AY$6:$AY$1005="Direkomendasikan",ROW($6:$1005)-5),825)),"")</f>
        <v/>
      </c>
      <c r="E826" t="str">
        <f t="array" ref="E826">IFERROR(INDEX(checklistPesertaKemenkeu!$H$6:$H$1005,SMALL(IF(checklistPesertaKemenkeu!$AY$6:$AY$1005="Direkomendasikan",ROW($6:$1005)-5),825)),"")</f>
        <v/>
      </c>
      <c r="F826" t="str">
        <f t="array" ref="F826">IFERROR(INDEX(checklistPesertaKemenkeu!$I$6:$I$1005,SMALL(IF(checklistPesertaKemenkeu!$AY$6:$AY$1005="Direkomendasikan",ROW($6:$1005)-5),825)),"")</f>
        <v/>
      </c>
      <c r="G826" t="str">
        <f t="array" ref="G826">IFERROR(INDEX(checklistPesertaKemenkeu!$J$6:$J$1005,SMALL(IF(checklistPesertaKemenkeu!$AY$6:$AY$1005="Direkomendasikan",ROW($6:$1005)-5),825)),"")</f>
        <v/>
      </c>
      <c r="H826" t="str">
        <f t="array" aca="1" ref="H826" ca="1">IFERROR(IF(OR(INDEX(checklistPesertaKemenkeu!$L$6:$L$1005,SMALL(IF(checklistPesertaKemenkeu!$AY$6:$AY$1005="Direkomendasikan",ROW($6:$1005)-5),825))="",INDEX(checklistPesertaKemenkeu!$J$6:$J$1005,SMALL(IF(checklistPesertaKemenkeu!$AY$6:$AY$1005="Direkomendasikan",ROW($6:$1005)-5),825))=""),"",IF(AND(COUNTIF(INDIRECT("K_"&amp;MATCH(INDEX(checklistPesertaKemenkeu!$J$6:$J$1005,SMALL(IF(checklistPesertaKemenkeu!$AY$6:$AY$1005="Direkomendasikan",ROW($6:$1005)-5),825)),BidangList,0)),INDEX(checklistPesertaKemenkeu!$L$6:$L$1005,SMALL(IF(checklistPesertaKemenkeu!$AY$6:$AY$1005="Direkomendasikan",ROW($6:$1005)-5),825)))&gt;0,COUNTIF(INDIRECT("'KERTAS KERJA'!K"&amp;(SMALL(IF(checklistPesertaKemenkeu!$AY$6:$AY$1005="Direkomendasikan",ROW($6:$1005)-5),825)+5)&amp;":O"&amp;(SMALL(IF(checklistPesertaKemenkeu!$AY$6:$AY$1005="Direkomendasikan",ROW($6:$1005)-5),825)+5)),INDEX(checklistPesertaKemenkeu!$L$6:$L$1005,SMALL(IF(checklistPesertaKemenkeu!$AY$6:$AY$1005="Direkomendasikan",ROW($6:$1005)-5),825)))=1),IFERROR(VLOOKUP(INDEX(checklistPesertaKemenkeu!$L$6:$L$1005,SMALL(IF(checklistPesertaKemenkeu!$AY$6:$AY$1005="Direkomendasikan",ROW($6:$1005)-5),825)),KotaKode,2,0),"-"),"")),"")</f>
        <v/>
      </c>
      <c r="I826" t="str">
        <f t="array" aca="1" ref="I826" ca="1">IFERROR(IF(OR(INDEX(checklistPesertaKemenkeu!$M$6:$M$1005,SMALL(IF(checklistPesertaKemenkeu!$AY$6:$AY$1005="Direkomendasikan",ROW($6:$1005)-5),825))="",INDEX(checklistPesertaKemenkeu!$J$6:$J$1005,SMALL(IF(checklistPesertaKemenkeu!$AY$6:$AY$1005="Direkomendasikan",ROW($6:$1005)-5),825))=""),"",IF(AND(COUNTIF(INDIRECT("K_"&amp;MATCH(INDEX(checklistPesertaKemenkeu!$J$6:$J$1005,SMALL(IF(checklistPesertaKemenkeu!$AY$6:$AY$1005="Direkomendasikan",ROW($6:$1005)-5),825)),BidangList,0)),INDEX(checklistPesertaKemenkeu!$M$6:$M$1005,SMALL(IF(checklistPesertaKemenkeu!$AY$6:$AY$1005="Direkomendasikan",ROW($6:$1005)-5),825)))&gt;0,COUNTIF(INDIRECT("'KERTAS KERJA'!K"&amp;(SMALL(IF(checklistPesertaKemenkeu!$AY$6:$AY$1005="Direkomendasikan",ROW($6:$1005)-5),825)+5)&amp;":O"&amp;(SMALL(IF(checklistPesertaKemenkeu!$AY$6:$AY$1005="Direkomendasikan",ROW($6:$1005)-5),825)+5)),INDEX(checklistPesertaKemenkeu!$M$6:$M$1005,SMALL(IF(checklistPesertaKemenkeu!$AY$6:$AY$1005="Direkomendasikan",ROW($6:$1005)-5),825)))=1),IFERROR(VLOOKUP(INDEX(checklistPesertaKemenkeu!$M$6:$M$1005,SMALL(IF(checklistPesertaKemenkeu!$AY$6:$AY$1005="Direkomendasikan",ROW($6:$1005)-5),825)),KotaKode,2,0),"-"),"")),"")</f>
        <v/>
      </c>
      <c r="J826" t="str">
        <f t="array" aca="1" ref="J826" ca="1">IFERROR(IF(OR(INDEX(checklistPesertaKemenkeu!$N$6:$N$1005,SMALL(IF(checklistPesertaKemenkeu!$AY$6:$AY$1005="Direkomendasikan",ROW($6:$1005)-5),825))="",INDEX(checklistPesertaKemenkeu!$J$6:$J$1005,SMALL(IF(checklistPesertaKemenkeu!$AY$6:$AY$1005="Direkomendasikan",ROW($6:$1005)-5),825))=""),"",IF(AND(COUNTIF(INDIRECT("K_"&amp;MATCH(INDEX(checklistPesertaKemenkeu!$J$6:$J$1005,SMALL(IF(checklistPesertaKemenkeu!$AY$6:$AY$1005="Direkomendasikan",ROW($6:$1005)-5),825)),BidangList,0)),INDEX(checklistPesertaKemenkeu!$N$6:$N$1005,SMALL(IF(checklistPesertaKemenkeu!$AY$6:$AY$1005="Direkomendasikan",ROW($6:$1005)-5),825)))&gt;0,COUNTIF(INDIRECT("'KERTAS KERJA'!K"&amp;(SMALL(IF(checklistPesertaKemenkeu!$AY$6:$AY$1005="Direkomendasikan",ROW($6:$1005)-5),825)+5)&amp;":O"&amp;(SMALL(IF(checklistPesertaKemenkeu!$AY$6:$AY$1005="Direkomendasikan",ROW($6:$1005)-5),825)+5)),INDEX(checklistPesertaKemenkeu!$N$6:$N$1005,SMALL(IF(checklistPesertaKemenkeu!$AY$6:$AY$1005="Direkomendasikan",ROW($6:$1005)-5),825)))=1),IFERROR(VLOOKUP(INDEX(checklistPesertaKemenkeu!$N$6:$N$1005,SMALL(IF(checklistPesertaKemenkeu!$AY$6:$AY$1005="Direkomendasikan",ROW($6:$1005)-5),825)),KotaKode,2,0),"-"),"")),"")</f>
        <v/>
      </c>
      <c r="K826" t="str">
        <f t="array" aca="1" ref="K826" ca="1">IFERROR(IF(OR(INDEX(checklistPesertaKemenkeu!$O$6:$O$1005,SMALL(IF(checklistPesertaKemenkeu!$AY$6:$AY$1005="Direkomendasikan",ROW($6:$1005)-5),825))="",INDEX(checklistPesertaKemenkeu!$J$6:$J$1005,SMALL(IF(checklistPesertaKemenkeu!$AY$6:$AY$1005="Direkomendasikan",ROW($6:$1005)-5),825))=""),"",IF(AND(COUNTIF(INDIRECT("K_"&amp;MATCH(INDEX(checklistPesertaKemenkeu!$J$6:$J$1005,SMALL(IF(checklistPesertaKemenkeu!$AY$6:$AY$1005="Direkomendasikan",ROW($6:$1005)-5),825)),BidangList,0)),INDEX(checklistPesertaKemenkeu!$O$6:$O$1005,SMALL(IF(checklistPesertaKemenkeu!$AY$6:$AY$1005="Direkomendasikan",ROW($6:$1005)-5),825)))&gt;0,COUNTIF(INDIRECT("'KERTAS KERJA'!K"&amp;(SMALL(IF(checklistPesertaKemenkeu!$AY$6:$AY$1005="Direkomendasikan",ROW($6:$1005)-5),825)+5)&amp;":O"&amp;(SMALL(IF(checklistPesertaKemenkeu!$AY$6:$AY$1005="Direkomendasikan",ROW($6:$1005)-5),825)+5)),INDEX(checklistPesertaKemenkeu!$O$6:$O$1005,SMALL(IF(checklistPesertaKemenkeu!$AY$6:$AY$1005="Direkomendasikan",ROW($6:$1005)-5),825)))=1),IFERROR(VLOOKUP(INDEX(checklistPesertaKemenkeu!$O$6:$O$1005,SMALL(IF(checklistPesertaKemenkeu!$AY$6:$AY$1005="Direkomendasikan",ROW($6:$1005)-5),825)),KotaKode,2,0),"-"),"")),"")</f>
        <v/>
      </c>
      <c r="L826" t="str">
        <f t="array" aca="1" ref="L826" ca="1">IFERROR(IF(OR(INDEX(checklistPesertaKemenkeu!$P$6:$P$1005,SMALL(IF(checklistPesertaKemenkeu!$AY$6:$AY$1005="Direkomendasikan",ROW($6:$1005)-5),825))="",INDEX(checklistPesertaKemenkeu!$J$6:$J$1005,SMALL(IF(checklistPesertaKemenkeu!$AY$6:$AY$1005="Direkomendasikan",ROW($6:$1005)-5),825))=""),"",IF(AND(COUNTIF(INDIRECT("K_"&amp;MATCH(INDEX(checklistPesertaKemenkeu!$J$6:$J$1005,SMALL(IF(checklistPesertaKemenkeu!$AY$6:$AY$1005="Direkomendasikan",ROW($6:$1005)-5),825)),BidangList,0)),INDEX(checklistPesertaKemenkeu!$P$6:$P$1005,SMALL(IF(checklistPesertaKemenkeu!$AY$6:$AY$1005="Direkomendasikan",ROW($6:$1005)-5),825)))&gt;0,COUNTIF(INDIRECT("'KERTAS KERJA'!K"&amp;(SMALL(IF(checklistPesertaKemenkeu!$AY$6:$AY$1005="Direkomendasikan",ROW($6:$1005)-5),825)+5)&amp;":O"&amp;(SMALL(IF(checklistPesertaKemenkeu!$AY$6:$AY$1005="Direkomendasikan",ROW($6:$1005)-5),825)+5)),INDEX(checklistPesertaKemenkeu!$P$6:$P$1005,SMALL(IF(checklistPesertaKemenkeu!$AY$6:$AY$1005="Direkomendasikan",ROW($6:$1005)-5),825)))=1),IFERROR(VLOOKUP(INDEX(checklistPesertaKemenkeu!$P$6:$P$1005,SMALL(IF(checklistPesertaKemenkeu!$AY$6:$AY$1005="Direkomendasikan",ROW($6:$1005)-5),825)),KotaKode,2,0),"-"),"")),"")</f>
        <v/>
      </c>
    </row>
    <row r="827" spans="1:12" ht="15" customHeight="1" x14ac:dyDescent="0.2">
      <c r="A827" t="str">
        <f t="shared" si="12"/>
        <v/>
      </c>
      <c r="B827" t="str">
        <v/>
      </c>
      <c r="C827" s="40" t="str">
        <f t="array" ref="C827">IFERROR(INDEX(checklistPesertaKemenkeu!$F$6:$F$1005,SMALL(IF(checklistPesertaKemenkeu!$AY$6:$AY$1005="Direkomendasikan",ROW($6:$1005)-5),826)),"")</f>
        <v/>
      </c>
      <c r="D827" t="str">
        <f t="array" ref="D827">IFERROR(INDEX(checklistPesertaKemenkeu!$G$6:$G$1005,SMALL(IF(checklistPesertaKemenkeu!$AY$6:$AY$1005="Direkomendasikan",ROW($6:$1005)-5),826)),"")</f>
        <v/>
      </c>
      <c r="E827" t="str">
        <f t="array" ref="E827">IFERROR(INDEX(checklistPesertaKemenkeu!$H$6:$H$1005,SMALL(IF(checklistPesertaKemenkeu!$AY$6:$AY$1005="Direkomendasikan",ROW($6:$1005)-5),826)),"")</f>
        <v/>
      </c>
      <c r="F827" t="str">
        <f t="array" ref="F827">IFERROR(INDEX(checklistPesertaKemenkeu!$I$6:$I$1005,SMALL(IF(checklistPesertaKemenkeu!$AY$6:$AY$1005="Direkomendasikan",ROW($6:$1005)-5),826)),"")</f>
        <v/>
      </c>
      <c r="G827" t="str">
        <f t="array" ref="G827">IFERROR(INDEX(checklistPesertaKemenkeu!$J$6:$J$1005,SMALL(IF(checklistPesertaKemenkeu!$AY$6:$AY$1005="Direkomendasikan",ROW($6:$1005)-5),826)),"")</f>
        <v/>
      </c>
      <c r="H827" t="str">
        <f t="array" aca="1" ref="H827" ca="1">IFERROR(IF(OR(INDEX(checklistPesertaKemenkeu!$L$6:$L$1005,SMALL(IF(checklistPesertaKemenkeu!$AY$6:$AY$1005="Direkomendasikan",ROW($6:$1005)-5),826))="",INDEX(checklistPesertaKemenkeu!$J$6:$J$1005,SMALL(IF(checklistPesertaKemenkeu!$AY$6:$AY$1005="Direkomendasikan",ROW($6:$1005)-5),826))=""),"",IF(AND(COUNTIF(INDIRECT("K_"&amp;MATCH(INDEX(checklistPesertaKemenkeu!$J$6:$J$1005,SMALL(IF(checklistPesertaKemenkeu!$AY$6:$AY$1005="Direkomendasikan",ROW($6:$1005)-5),826)),BidangList,0)),INDEX(checklistPesertaKemenkeu!$L$6:$L$1005,SMALL(IF(checklistPesertaKemenkeu!$AY$6:$AY$1005="Direkomendasikan",ROW($6:$1005)-5),826)))&gt;0,COUNTIF(INDIRECT("'KERTAS KERJA'!K"&amp;(SMALL(IF(checklistPesertaKemenkeu!$AY$6:$AY$1005="Direkomendasikan",ROW($6:$1005)-5),826)+5)&amp;":O"&amp;(SMALL(IF(checklistPesertaKemenkeu!$AY$6:$AY$1005="Direkomendasikan",ROW($6:$1005)-5),826)+5)),INDEX(checklistPesertaKemenkeu!$L$6:$L$1005,SMALL(IF(checklistPesertaKemenkeu!$AY$6:$AY$1005="Direkomendasikan",ROW($6:$1005)-5),826)))=1),IFERROR(VLOOKUP(INDEX(checklistPesertaKemenkeu!$L$6:$L$1005,SMALL(IF(checklistPesertaKemenkeu!$AY$6:$AY$1005="Direkomendasikan",ROW($6:$1005)-5),826)),KotaKode,2,0),"-"),"")),"")</f>
        <v/>
      </c>
      <c r="I827" t="str">
        <f t="array" aca="1" ref="I827" ca="1">IFERROR(IF(OR(INDEX(checklistPesertaKemenkeu!$M$6:$M$1005,SMALL(IF(checklistPesertaKemenkeu!$AY$6:$AY$1005="Direkomendasikan",ROW($6:$1005)-5),826))="",INDEX(checklistPesertaKemenkeu!$J$6:$J$1005,SMALL(IF(checklistPesertaKemenkeu!$AY$6:$AY$1005="Direkomendasikan",ROW($6:$1005)-5),826))=""),"",IF(AND(COUNTIF(INDIRECT("K_"&amp;MATCH(INDEX(checklistPesertaKemenkeu!$J$6:$J$1005,SMALL(IF(checklistPesertaKemenkeu!$AY$6:$AY$1005="Direkomendasikan",ROW($6:$1005)-5),826)),BidangList,0)),INDEX(checklistPesertaKemenkeu!$M$6:$M$1005,SMALL(IF(checklistPesertaKemenkeu!$AY$6:$AY$1005="Direkomendasikan",ROW($6:$1005)-5),826)))&gt;0,COUNTIF(INDIRECT("'KERTAS KERJA'!K"&amp;(SMALL(IF(checklistPesertaKemenkeu!$AY$6:$AY$1005="Direkomendasikan",ROW($6:$1005)-5),826)+5)&amp;":O"&amp;(SMALL(IF(checklistPesertaKemenkeu!$AY$6:$AY$1005="Direkomendasikan",ROW($6:$1005)-5),826)+5)),INDEX(checklistPesertaKemenkeu!$M$6:$M$1005,SMALL(IF(checklistPesertaKemenkeu!$AY$6:$AY$1005="Direkomendasikan",ROW($6:$1005)-5),826)))=1),IFERROR(VLOOKUP(INDEX(checklistPesertaKemenkeu!$M$6:$M$1005,SMALL(IF(checklistPesertaKemenkeu!$AY$6:$AY$1005="Direkomendasikan",ROW($6:$1005)-5),826)),KotaKode,2,0),"-"),"")),"")</f>
        <v/>
      </c>
      <c r="J827" t="str">
        <f t="array" aca="1" ref="J827" ca="1">IFERROR(IF(OR(INDEX(checklistPesertaKemenkeu!$N$6:$N$1005,SMALL(IF(checklistPesertaKemenkeu!$AY$6:$AY$1005="Direkomendasikan",ROW($6:$1005)-5),826))="",INDEX(checklistPesertaKemenkeu!$J$6:$J$1005,SMALL(IF(checklistPesertaKemenkeu!$AY$6:$AY$1005="Direkomendasikan",ROW($6:$1005)-5),826))=""),"",IF(AND(COUNTIF(INDIRECT("K_"&amp;MATCH(INDEX(checklistPesertaKemenkeu!$J$6:$J$1005,SMALL(IF(checklistPesertaKemenkeu!$AY$6:$AY$1005="Direkomendasikan",ROW($6:$1005)-5),826)),BidangList,0)),INDEX(checklistPesertaKemenkeu!$N$6:$N$1005,SMALL(IF(checklistPesertaKemenkeu!$AY$6:$AY$1005="Direkomendasikan",ROW($6:$1005)-5),826)))&gt;0,COUNTIF(INDIRECT("'KERTAS KERJA'!K"&amp;(SMALL(IF(checklistPesertaKemenkeu!$AY$6:$AY$1005="Direkomendasikan",ROW($6:$1005)-5),826)+5)&amp;":O"&amp;(SMALL(IF(checklistPesertaKemenkeu!$AY$6:$AY$1005="Direkomendasikan",ROW($6:$1005)-5),826)+5)),INDEX(checklistPesertaKemenkeu!$N$6:$N$1005,SMALL(IF(checklistPesertaKemenkeu!$AY$6:$AY$1005="Direkomendasikan",ROW($6:$1005)-5),826)))=1),IFERROR(VLOOKUP(INDEX(checklistPesertaKemenkeu!$N$6:$N$1005,SMALL(IF(checklistPesertaKemenkeu!$AY$6:$AY$1005="Direkomendasikan",ROW($6:$1005)-5),826)),KotaKode,2,0),"-"),"")),"")</f>
        <v/>
      </c>
      <c r="K827" t="str">
        <f t="array" aca="1" ref="K827" ca="1">IFERROR(IF(OR(INDEX(checklistPesertaKemenkeu!$O$6:$O$1005,SMALL(IF(checklistPesertaKemenkeu!$AY$6:$AY$1005="Direkomendasikan",ROW($6:$1005)-5),826))="",INDEX(checklistPesertaKemenkeu!$J$6:$J$1005,SMALL(IF(checklistPesertaKemenkeu!$AY$6:$AY$1005="Direkomendasikan",ROW($6:$1005)-5),826))=""),"",IF(AND(COUNTIF(INDIRECT("K_"&amp;MATCH(INDEX(checklistPesertaKemenkeu!$J$6:$J$1005,SMALL(IF(checklistPesertaKemenkeu!$AY$6:$AY$1005="Direkomendasikan",ROW($6:$1005)-5),826)),BidangList,0)),INDEX(checklistPesertaKemenkeu!$O$6:$O$1005,SMALL(IF(checklistPesertaKemenkeu!$AY$6:$AY$1005="Direkomendasikan",ROW($6:$1005)-5),826)))&gt;0,COUNTIF(INDIRECT("'KERTAS KERJA'!K"&amp;(SMALL(IF(checklistPesertaKemenkeu!$AY$6:$AY$1005="Direkomendasikan",ROW($6:$1005)-5),826)+5)&amp;":O"&amp;(SMALL(IF(checklistPesertaKemenkeu!$AY$6:$AY$1005="Direkomendasikan",ROW($6:$1005)-5),826)+5)),INDEX(checklistPesertaKemenkeu!$O$6:$O$1005,SMALL(IF(checklistPesertaKemenkeu!$AY$6:$AY$1005="Direkomendasikan",ROW($6:$1005)-5),826)))=1),IFERROR(VLOOKUP(INDEX(checklistPesertaKemenkeu!$O$6:$O$1005,SMALL(IF(checklistPesertaKemenkeu!$AY$6:$AY$1005="Direkomendasikan",ROW($6:$1005)-5),826)),KotaKode,2,0),"-"),"")),"")</f>
        <v/>
      </c>
      <c r="L827" t="str">
        <f t="array" aca="1" ref="L827" ca="1">IFERROR(IF(OR(INDEX(checklistPesertaKemenkeu!$P$6:$P$1005,SMALL(IF(checklistPesertaKemenkeu!$AY$6:$AY$1005="Direkomendasikan",ROW($6:$1005)-5),826))="",INDEX(checklistPesertaKemenkeu!$J$6:$J$1005,SMALL(IF(checklistPesertaKemenkeu!$AY$6:$AY$1005="Direkomendasikan",ROW($6:$1005)-5),826))=""),"",IF(AND(COUNTIF(INDIRECT("K_"&amp;MATCH(INDEX(checklistPesertaKemenkeu!$J$6:$J$1005,SMALL(IF(checklistPesertaKemenkeu!$AY$6:$AY$1005="Direkomendasikan",ROW($6:$1005)-5),826)),BidangList,0)),INDEX(checklistPesertaKemenkeu!$P$6:$P$1005,SMALL(IF(checklistPesertaKemenkeu!$AY$6:$AY$1005="Direkomendasikan",ROW($6:$1005)-5),826)))&gt;0,COUNTIF(INDIRECT("'KERTAS KERJA'!K"&amp;(SMALL(IF(checklistPesertaKemenkeu!$AY$6:$AY$1005="Direkomendasikan",ROW($6:$1005)-5),826)+5)&amp;":O"&amp;(SMALL(IF(checklistPesertaKemenkeu!$AY$6:$AY$1005="Direkomendasikan",ROW($6:$1005)-5),826)+5)),INDEX(checklistPesertaKemenkeu!$P$6:$P$1005,SMALL(IF(checklistPesertaKemenkeu!$AY$6:$AY$1005="Direkomendasikan",ROW($6:$1005)-5),826)))=1),IFERROR(VLOOKUP(INDEX(checklistPesertaKemenkeu!$P$6:$P$1005,SMALL(IF(checklistPesertaKemenkeu!$AY$6:$AY$1005="Direkomendasikan",ROW($6:$1005)-5),826)),KotaKode,2,0),"-"),"")),"")</f>
        <v/>
      </c>
    </row>
    <row r="828" spans="1:12" ht="15" customHeight="1" x14ac:dyDescent="0.2">
      <c r="A828" t="str">
        <f t="shared" si="12"/>
        <v/>
      </c>
      <c r="B828" t="str">
        <v/>
      </c>
      <c r="C828" s="40" t="str">
        <f t="array" ref="C828">IFERROR(INDEX(checklistPesertaKemenkeu!$F$6:$F$1005,SMALL(IF(checklistPesertaKemenkeu!$AY$6:$AY$1005="Direkomendasikan",ROW($6:$1005)-5),827)),"")</f>
        <v/>
      </c>
      <c r="D828" t="str">
        <f t="array" ref="D828">IFERROR(INDEX(checklistPesertaKemenkeu!$G$6:$G$1005,SMALL(IF(checklistPesertaKemenkeu!$AY$6:$AY$1005="Direkomendasikan",ROW($6:$1005)-5),827)),"")</f>
        <v/>
      </c>
      <c r="E828" t="str">
        <f t="array" ref="E828">IFERROR(INDEX(checklistPesertaKemenkeu!$H$6:$H$1005,SMALL(IF(checklistPesertaKemenkeu!$AY$6:$AY$1005="Direkomendasikan",ROW($6:$1005)-5),827)),"")</f>
        <v/>
      </c>
      <c r="F828" t="str">
        <f t="array" ref="F828">IFERROR(INDEX(checklistPesertaKemenkeu!$I$6:$I$1005,SMALL(IF(checklistPesertaKemenkeu!$AY$6:$AY$1005="Direkomendasikan",ROW($6:$1005)-5),827)),"")</f>
        <v/>
      </c>
      <c r="G828" t="str">
        <f t="array" ref="G828">IFERROR(INDEX(checklistPesertaKemenkeu!$J$6:$J$1005,SMALL(IF(checklistPesertaKemenkeu!$AY$6:$AY$1005="Direkomendasikan",ROW($6:$1005)-5),827)),"")</f>
        <v/>
      </c>
      <c r="H828" t="str">
        <f t="array" aca="1" ref="H828" ca="1">IFERROR(IF(OR(INDEX(checklistPesertaKemenkeu!$L$6:$L$1005,SMALL(IF(checklistPesertaKemenkeu!$AY$6:$AY$1005="Direkomendasikan",ROW($6:$1005)-5),827))="",INDEX(checklistPesertaKemenkeu!$J$6:$J$1005,SMALL(IF(checklistPesertaKemenkeu!$AY$6:$AY$1005="Direkomendasikan",ROW($6:$1005)-5),827))=""),"",IF(AND(COUNTIF(INDIRECT("K_"&amp;MATCH(INDEX(checklistPesertaKemenkeu!$J$6:$J$1005,SMALL(IF(checklistPesertaKemenkeu!$AY$6:$AY$1005="Direkomendasikan",ROW($6:$1005)-5),827)),BidangList,0)),INDEX(checklistPesertaKemenkeu!$L$6:$L$1005,SMALL(IF(checklistPesertaKemenkeu!$AY$6:$AY$1005="Direkomendasikan",ROW($6:$1005)-5),827)))&gt;0,COUNTIF(INDIRECT("'KERTAS KERJA'!K"&amp;(SMALL(IF(checklistPesertaKemenkeu!$AY$6:$AY$1005="Direkomendasikan",ROW($6:$1005)-5),827)+5)&amp;":O"&amp;(SMALL(IF(checklistPesertaKemenkeu!$AY$6:$AY$1005="Direkomendasikan",ROW($6:$1005)-5),827)+5)),INDEX(checklistPesertaKemenkeu!$L$6:$L$1005,SMALL(IF(checklistPesertaKemenkeu!$AY$6:$AY$1005="Direkomendasikan",ROW($6:$1005)-5),827)))=1),IFERROR(VLOOKUP(INDEX(checklistPesertaKemenkeu!$L$6:$L$1005,SMALL(IF(checklistPesertaKemenkeu!$AY$6:$AY$1005="Direkomendasikan",ROW($6:$1005)-5),827)),KotaKode,2,0),"-"),"")),"")</f>
        <v/>
      </c>
      <c r="I828" t="str">
        <f t="array" aca="1" ref="I828" ca="1">IFERROR(IF(OR(INDEX(checklistPesertaKemenkeu!$M$6:$M$1005,SMALL(IF(checklistPesertaKemenkeu!$AY$6:$AY$1005="Direkomendasikan",ROW($6:$1005)-5),827))="",INDEX(checklistPesertaKemenkeu!$J$6:$J$1005,SMALL(IF(checklistPesertaKemenkeu!$AY$6:$AY$1005="Direkomendasikan",ROW($6:$1005)-5),827))=""),"",IF(AND(COUNTIF(INDIRECT("K_"&amp;MATCH(INDEX(checklistPesertaKemenkeu!$J$6:$J$1005,SMALL(IF(checklistPesertaKemenkeu!$AY$6:$AY$1005="Direkomendasikan",ROW($6:$1005)-5),827)),BidangList,0)),INDEX(checklistPesertaKemenkeu!$M$6:$M$1005,SMALL(IF(checklistPesertaKemenkeu!$AY$6:$AY$1005="Direkomendasikan",ROW($6:$1005)-5),827)))&gt;0,COUNTIF(INDIRECT("'KERTAS KERJA'!K"&amp;(SMALL(IF(checklistPesertaKemenkeu!$AY$6:$AY$1005="Direkomendasikan",ROW($6:$1005)-5),827)+5)&amp;":O"&amp;(SMALL(IF(checklistPesertaKemenkeu!$AY$6:$AY$1005="Direkomendasikan",ROW($6:$1005)-5),827)+5)),INDEX(checklistPesertaKemenkeu!$M$6:$M$1005,SMALL(IF(checklistPesertaKemenkeu!$AY$6:$AY$1005="Direkomendasikan",ROW($6:$1005)-5),827)))=1),IFERROR(VLOOKUP(INDEX(checklistPesertaKemenkeu!$M$6:$M$1005,SMALL(IF(checklistPesertaKemenkeu!$AY$6:$AY$1005="Direkomendasikan",ROW($6:$1005)-5),827)),KotaKode,2,0),"-"),"")),"")</f>
        <v/>
      </c>
      <c r="J828" t="str">
        <f t="array" aca="1" ref="J828" ca="1">IFERROR(IF(OR(INDEX(checklistPesertaKemenkeu!$N$6:$N$1005,SMALL(IF(checklistPesertaKemenkeu!$AY$6:$AY$1005="Direkomendasikan",ROW($6:$1005)-5),827))="",INDEX(checklistPesertaKemenkeu!$J$6:$J$1005,SMALL(IF(checklistPesertaKemenkeu!$AY$6:$AY$1005="Direkomendasikan",ROW($6:$1005)-5),827))=""),"",IF(AND(COUNTIF(INDIRECT("K_"&amp;MATCH(INDEX(checklistPesertaKemenkeu!$J$6:$J$1005,SMALL(IF(checklistPesertaKemenkeu!$AY$6:$AY$1005="Direkomendasikan",ROW($6:$1005)-5),827)),BidangList,0)),INDEX(checklistPesertaKemenkeu!$N$6:$N$1005,SMALL(IF(checklistPesertaKemenkeu!$AY$6:$AY$1005="Direkomendasikan",ROW($6:$1005)-5),827)))&gt;0,COUNTIF(INDIRECT("'KERTAS KERJA'!K"&amp;(SMALL(IF(checklistPesertaKemenkeu!$AY$6:$AY$1005="Direkomendasikan",ROW($6:$1005)-5),827)+5)&amp;":O"&amp;(SMALL(IF(checklistPesertaKemenkeu!$AY$6:$AY$1005="Direkomendasikan",ROW($6:$1005)-5),827)+5)),INDEX(checklistPesertaKemenkeu!$N$6:$N$1005,SMALL(IF(checklistPesertaKemenkeu!$AY$6:$AY$1005="Direkomendasikan",ROW($6:$1005)-5),827)))=1),IFERROR(VLOOKUP(INDEX(checklistPesertaKemenkeu!$N$6:$N$1005,SMALL(IF(checklistPesertaKemenkeu!$AY$6:$AY$1005="Direkomendasikan",ROW($6:$1005)-5),827)),KotaKode,2,0),"-"),"")),"")</f>
        <v/>
      </c>
      <c r="K828" t="str">
        <f t="array" aca="1" ref="K828" ca="1">IFERROR(IF(OR(INDEX(checklistPesertaKemenkeu!$O$6:$O$1005,SMALL(IF(checklistPesertaKemenkeu!$AY$6:$AY$1005="Direkomendasikan",ROW($6:$1005)-5),827))="",INDEX(checklistPesertaKemenkeu!$J$6:$J$1005,SMALL(IF(checklistPesertaKemenkeu!$AY$6:$AY$1005="Direkomendasikan",ROW($6:$1005)-5),827))=""),"",IF(AND(COUNTIF(INDIRECT("K_"&amp;MATCH(INDEX(checklistPesertaKemenkeu!$J$6:$J$1005,SMALL(IF(checklistPesertaKemenkeu!$AY$6:$AY$1005="Direkomendasikan",ROW($6:$1005)-5),827)),BidangList,0)),INDEX(checklistPesertaKemenkeu!$O$6:$O$1005,SMALL(IF(checklistPesertaKemenkeu!$AY$6:$AY$1005="Direkomendasikan",ROW($6:$1005)-5),827)))&gt;0,COUNTIF(INDIRECT("'KERTAS KERJA'!K"&amp;(SMALL(IF(checklistPesertaKemenkeu!$AY$6:$AY$1005="Direkomendasikan",ROW($6:$1005)-5),827)+5)&amp;":O"&amp;(SMALL(IF(checklistPesertaKemenkeu!$AY$6:$AY$1005="Direkomendasikan",ROW($6:$1005)-5),827)+5)),INDEX(checklistPesertaKemenkeu!$O$6:$O$1005,SMALL(IF(checklistPesertaKemenkeu!$AY$6:$AY$1005="Direkomendasikan",ROW($6:$1005)-5),827)))=1),IFERROR(VLOOKUP(INDEX(checklistPesertaKemenkeu!$O$6:$O$1005,SMALL(IF(checklistPesertaKemenkeu!$AY$6:$AY$1005="Direkomendasikan",ROW($6:$1005)-5),827)),KotaKode,2,0),"-"),"")),"")</f>
        <v/>
      </c>
      <c r="L828" t="str">
        <f t="array" aca="1" ref="L828" ca="1">IFERROR(IF(OR(INDEX(checklistPesertaKemenkeu!$P$6:$P$1005,SMALL(IF(checklistPesertaKemenkeu!$AY$6:$AY$1005="Direkomendasikan",ROW($6:$1005)-5),827))="",INDEX(checklistPesertaKemenkeu!$J$6:$J$1005,SMALL(IF(checklistPesertaKemenkeu!$AY$6:$AY$1005="Direkomendasikan",ROW($6:$1005)-5),827))=""),"",IF(AND(COUNTIF(INDIRECT("K_"&amp;MATCH(INDEX(checklistPesertaKemenkeu!$J$6:$J$1005,SMALL(IF(checklistPesertaKemenkeu!$AY$6:$AY$1005="Direkomendasikan",ROW($6:$1005)-5),827)),BidangList,0)),INDEX(checklistPesertaKemenkeu!$P$6:$P$1005,SMALL(IF(checklistPesertaKemenkeu!$AY$6:$AY$1005="Direkomendasikan",ROW($6:$1005)-5),827)))&gt;0,COUNTIF(INDIRECT("'KERTAS KERJA'!K"&amp;(SMALL(IF(checklistPesertaKemenkeu!$AY$6:$AY$1005="Direkomendasikan",ROW($6:$1005)-5),827)+5)&amp;":O"&amp;(SMALL(IF(checklistPesertaKemenkeu!$AY$6:$AY$1005="Direkomendasikan",ROW($6:$1005)-5),827)+5)),INDEX(checklistPesertaKemenkeu!$P$6:$P$1005,SMALL(IF(checklistPesertaKemenkeu!$AY$6:$AY$1005="Direkomendasikan",ROW($6:$1005)-5),827)))=1),IFERROR(VLOOKUP(INDEX(checklistPesertaKemenkeu!$P$6:$P$1005,SMALL(IF(checklistPesertaKemenkeu!$AY$6:$AY$1005="Direkomendasikan",ROW($6:$1005)-5),827)),KotaKode,2,0),"-"),"")),"")</f>
        <v/>
      </c>
    </row>
    <row r="829" spans="1:12" ht="15" customHeight="1" x14ac:dyDescent="0.2">
      <c r="A829" t="str">
        <f t="shared" si="12"/>
        <v/>
      </c>
      <c r="B829" t="str">
        <v/>
      </c>
      <c r="C829" s="40" t="str">
        <f t="array" ref="C829">IFERROR(INDEX(checklistPesertaKemenkeu!$F$6:$F$1005,SMALL(IF(checklistPesertaKemenkeu!$AY$6:$AY$1005="Direkomendasikan",ROW($6:$1005)-5),828)),"")</f>
        <v/>
      </c>
      <c r="D829" t="str">
        <f t="array" ref="D829">IFERROR(INDEX(checklistPesertaKemenkeu!$G$6:$G$1005,SMALL(IF(checklistPesertaKemenkeu!$AY$6:$AY$1005="Direkomendasikan",ROW($6:$1005)-5),828)),"")</f>
        <v/>
      </c>
      <c r="E829" t="str">
        <f t="array" ref="E829">IFERROR(INDEX(checklistPesertaKemenkeu!$H$6:$H$1005,SMALL(IF(checklistPesertaKemenkeu!$AY$6:$AY$1005="Direkomendasikan",ROW($6:$1005)-5),828)),"")</f>
        <v/>
      </c>
      <c r="F829" t="str">
        <f t="array" ref="F829">IFERROR(INDEX(checklistPesertaKemenkeu!$I$6:$I$1005,SMALL(IF(checklistPesertaKemenkeu!$AY$6:$AY$1005="Direkomendasikan",ROW($6:$1005)-5),828)),"")</f>
        <v/>
      </c>
      <c r="G829" t="str">
        <f t="array" ref="G829">IFERROR(INDEX(checklistPesertaKemenkeu!$J$6:$J$1005,SMALL(IF(checklistPesertaKemenkeu!$AY$6:$AY$1005="Direkomendasikan",ROW($6:$1005)-5),828)),"")</f>
        <v/>
      </c>
      <c r="H829" t="str">
        <f t="array" aca="1" ref="H829" ca="1">IFERROR(IF(OR(INDEX(checklistPesertaKemenkeu!$L$6:$L$1005,SMALL(IF(checklistPesertaKemenkeu!$AY$6:$AY$1005="Direkomendasikan",ROW($6:$1005)-5),828))="",INDEX(checklistPesertaKemenkeu!$J$6:$J$1005,SMALL(IF(checklistPesertaKemenkeu!$AY$6:$AY$1005="Direkomendasikan",ROW($6:$1005)-5),828))=""),"",IF(AND(COUNTIF(INDIRECT("K_"&amp;MATCH(INDEX(checklistPesertaKemenkeu!$J$6:$J$1005,SMALL(IF(checklistPesertaKemenkeu!$AY$6:$AY$1005="Direkomendasikan",ROW($6:$1005)-5),828)),BidangList,0)),INDEX(checklistPesertaKemenkeu!$L$6:$L$1005,SMALL(IF(checklistPesertaKemenkeu!$AY$6:$AY$1005="Direkomendasikan",ROW($6:$1005)-5),828)))&gt;0,COUNTIF(INDIRECT("'KERTAS KERJA'!K"&amp;(SMALL(IF(checklistPesertaKemenkeu!$AY$6:$AY$1005="Direkomendasikan",ROW($6:$1005)-5),828)+5)&amp;":O"&amp;(SMALL(IF(checklistPesertaKemenkeu!$AY$6:$AY$1005="Direkomendasikan",ROW($6:$1005)-5),828)+5)),INDEX(checklistPesertaKemenkeu!$L$6:$L$1005,SMALL(IF(checklistPesertaKemenkeu!$AY$6:$AY$1005="Direkomendasikan",ROW($6:$1005)-5),828)))=1),IFERROR(VLOOKUP(INDEX(checklistPesertaKemenkeu!$L$6:$L$1005,SMALL(IF(checklistPesertaKemenkeu!$AY$6:$AY$1005="Direkomendasikan",ROW($6:$1005)-5),828)),KotaKode,2,0),"-"),"")),"")</f>
        <v/>
      </c>
      <c r="I829" t="str">
        <f t="array" aca="1" ref="I829" ca="1">IFERROR(IF(OR(INDEX(checklistPesertaKemenkeu!$M$6:$M$1005,SMALL(IF(checklistPesertaKemenkeu!$AY$6:$AY$1005="Direkomendasikan",ROW($6:$1005)-5),828))="",INDEX(checklistPesertaKemenkeu!$J$6:$J$1005,SMALL(IF(checklistPesertaKemenkeu!$AY$6:$AY$1005="Direkomendasikan",ROW($6:$1005)-5),828))=""),"",IF(AND(COUNTIF(INDIRECT("K_"&amp;MATCH(INDEX(checklistPesertaKemenkeu!$J$6:$J$1005,SMALL(IF(checklistPesertaKemenkeu!$AY$6:$AY$1005="Direkomendasikan",ROW($6:$1005)-5),828)),BidangList,0)),INDEX(checklistPesertaKemenkeu!$M$6:$M$1005,SMALL(IF(checklistPesertaKemenkeu!$AY$6:$AY$1005="Direkomendasikan",ROW($6:$1005)-5),828)))&gt;0,COUNTIF(INDIRECT("'KERTAS KERJA'!K"&amp;(SMALL(IF(checklistPesertaKemenkeu!$AY$6:$AY$1005="Direkomendasikan",ROW($6:$1005)-5),828)+5)&amp;":O"&amp;(SMALL(IF(checklistPesertaKemenkeu!$AY$6:$AY$1005="Direkomendasikan",ROW($6:$1005)-5),828)+5)),INDEX(checklistPesertaKemenkeu!$M$6:$M$1005,SMALL(IF(checklistPesertaKemenkeu!$AY$6:$AY$1005="Direkomendasikan",ROW($6:$1005)-5),828)))=1),IFERROR(VLOOKUP(INDEX(checklistPesertaKemenkeu!$M$6:$M$1005,SMALL(IF(checklistPesertaKemenkeu!$AY$6:$AY$1005="Direkomendasikan",ROW($6:$1005)-5),828)),KotaKode,2,0),"-"),"")),"")</f>
        <v/>
      </c>
      <c r="J829" t="str">
        <f t="array" aca="1" ref="J829" ca="1">IFERROR(IF(OR(INDEX(checklistPesertaKemenkeu!$N$6:$N$1005,SMALL(IF(checklistPesertaKemenkeu!$AY$6:$AY$1005="Direkomendasikan",ROW($6:$1005)-5),828))="",INDEX(checklistPesertaKemenkeu!$J$6:$J$1005,SMALL(IF(checklistPesertaKemenkeu!$AY$6:$AY$1005="Direkomendasikan",ROW($6:$1005)-5),828))=""),"",IF(AND(COUNTIF(INDIRECT("K_"&amp;MATCH(INDEX(checklistPesertaKemenkeu!$J$6:$J$1005,SMALL(IF(checklistPesertaKemenkeu!$AY$6:$AY$1005="Direkomendasikan",ROW($6:$1005)-5),828)),BidangList,0)),INDEX(checklistPesertaKemenkeu!$N$6:$N$1005,SMALL(IF(checklistPesertaKemenkeu!$AY$6:$AY$1005="Direkomendasikan",ROW($6:$1005)-5),828)))&gt;0,COUNTIF(INDIRECT("'KERTAS KERJA'!K"&amp;(SMALL(IF(checklistPesertaKemenkeu!$AY$6:$AY$1005="Direkomendasikan",ROW($6:$1005)-5),828)+5)&amp;":O"&amp;(SMALL(IF(checklistPesertaKemenkeu!$AY$6:$AY$1005="Direkomendasikan",ROW($6:$1005)-5),828)+5)),INDEX(checklistPesertaKemenkeu!$N$6:$N$1005,SMALL(IF(checklistPesertaKemenkeu!$AY$6:$AY$1005="Direkomendasikan",ROW($6:$1005)-5),828)))=1),IFERROR(VLOOKUP(INDEX(checklistPesertaKemenkeu!$N$6:$N$1005,SMALL(IF(checklistPesertaKemenkeu!$AY$6:$AY$1005="Direkomendasikan",ROW($6:$1005)-5),828)),KotaKode,2,0),"-"),"")),"")</f>
        <v/>
      </c>
      <c r="K829" t="str">
        <f t="array" aca="1" ref="K829" ca="1">IFERROR(IF(OR(INDEX(checklistPesertaKemenkeu!$O$6:$O$1005,SMALL(IF(checklistPesertaKemenkeu!$AY$6:$AY$1005="Direkomendasikan",ROW($6:$1005)-5),828))="",INDEX(checklistPesertaKemenkeu!$J$6:$J$1005,SMALL(IF(checklistPesertaKemenkeu!$AY$6:$AY$1005="Direkomendasikan",ROW($6:$1005)-5),828))=""),"",IF(AND(COUNTIF(INDIRECT("K_"&amp;MATCH(INDEX(checklistPesertaKemenkeu!$J$6:$J$1005,SMALL(IF(checklistPesertaKemenkeu!$AY$6:$AY$1005="Direkomendasikan",ROW($6:$1005)-5),828)),BidangList,0)),INDEX(checklistPesertaKemenkeu!$O$6:$O$1005,SMALL(IF(checklistPesertaKemenkeu!$AY$6:$AY$1005="Direkomendasikan",ROW($6:$1005)-5),828)))&gt;0,COUNTIF(INDIRECT("'KERTAS KERJA'!K"&amp;(SMALL(IF(checklistPesertaKemenkeu!$AY$6:$AY$1005="Direkomendasikan",ROW($6:$1005)-5),828)+5)&amp;":O"&amp;(SMALL(IF(checklistPesertaKemenkeu!$AY$6:$AY$1005="Direkomendasikan",ROW($6:$1005)-5),828)+5)),INDEX(checklistPesertaKemenkeu!$O$6:$O$1005,SMALL(IF(checklistPesertaKemenkeu!$AY$6:$AY$1005="Direkomendasikan",ROW($6:$1005)-5),828)))=1),IFERROR(VLOOKUP(INDEX(checklistPesertaKemenkeu!$O$6:$O$1005,SMALL(IF(checklistPesertaKemenkeu!$AY$6:$AY$1005="Direkomendasikan",ROW($6:$1005)-5),828)),KotaKode,2,0),"-"),"")),"")</f>
        <v/>
      </c>
      <c r="L829" t="str">
        <f t="array" aca="1" ref="L829" ca="1">IFERROR(IF(OR(INDEX(checklistPesertaKemenkeu!$P$6:$P$1005,SMALL(IF(checklistPesertaKemenkeu!$AY$6:$AY$1005="Direkomendasikan",ROW($6:$1005)-5),828))="",INDEX(checklistPesertaKemenkeu!$J$6:$J$1005,SMALL(IF(checklistPesertaKemenkeu!$AY$6:$AY$1005="Direkomendasikan",ROW($6:$1005)-5),828))=""),"",IF(AND(COUNTIF(INDIRECT("K_"&amp;MATCH(INDEX(checklistPesertaKemenkeu!$J$6:$J$1005,SMALL(IF(checklistPesertaKemenkeu!$AY$6:$AY$1005="Direkomendasikan",ROW($6:$1005)-5),828)),BidangList,0)),INDEX(checklistPesertaKemenkeu!$P$6:$P$1005,SMALL(IF(checklistPesertaKemenkeu!$AY$6:$AY$1005="Direkomendasikan",ROW($6:$1005)-5),828)))&gt;0,COUNTIF(INDIRECT("'KERTAS KERJA'!K"&amp;(SMALL(IF(checklistPesertaKemenkeu!$AY$6:$AY$1005="Direkomendasikan",ROW($6:$1005)-5),828)+5)&amp;":O"&amp;(SMALL(IF(checklistPesertaKemenkeu!$AY$6:$AY$1005="Direkomendasikan",ROW($6:$1005)-5),828)+5)),INDEX(checklistPesertaKemenkeu!$P$6:$P$1005,SMALL(IF(checklistPesertaKemenkeu!$AY$6:$AY$1005="Direkomendasikan",ROW($6:$1005)-5),828)))=1),IFERROR(VLOOKUP(INDEX(checklistPesertaKemenkeu!$P$6:$P$1005,SMALL(IF(checklistPesertaKemenkeu!$AY$6:$AY$1005="Direkomendasikan",ROW($6:$1005)-5),828)),KotaKode,2,0),"-"),"")),"")</f>
        <v/>
      </c>
    </row>
    <row r="830" spans="1:12" ht="15" customHeight="1" x14ac:dyDescent="0.2">
      <c r="A830" t="str">
        <f t="shared" si="12"/>
        <v/>
      </c>
      <c r="B830" t="str">
        <v/>
      </c>
      <c r="C830" s="40" t="str">
        <f t="array" ref="C830">IFERROR(INDEX(checklistPesertaKemenkeu!$F$6:$F$1005,SMALL(IF(checklistPesertaKemenkeu!$AY$6:$AY$1005="Direkomendasikan",ROW($6:$1005)-5),829)),"")</f>
        <v/>
      </c>
      <c r="D830" t="str">
        <f t="array" ref="D830">IFERROR(INDEX(checklistPesertaKemenkeu!$G$6:$G$1005,SMALL(IF(checklistPesertaKemenkeu!$AY$6:$AY$1005="Direkomendasikan",ROW($6:$1005)-5),829)),"")</f>
        <v/>
      </c>
      <c r="E830" t="str">
        <f t="array" ref="E830">IFERROR(INDEX(checklistPesertaKemenkeu!$H$6:$H$1005,SMALL(IF(checklistPesertaKemenkeu!$AY$6:$AY$1005="Direkomendasikan",ROW($6:$1005)-5),829)),"")</f>
        <v/>
      </c>
      <c r="F830" t="str">
        <f t="array" ref="F830">IFERROR(INDEX(checklistPesertaKemenkeu!$I$6:$I$1005,SMALL(IF(checklistPesertaKemenkeu!$AY$6:$AY$1005="Direkomendasikan",ROW($6:$1005)-5),829)),"")</f>
        <v/>
      </c>
      <c r="G830" t="str">
        <f t="array" ref="G830">IFERROR(INDEX(checklistPesertaKemenkeu!$J$6:$J$1005,SMALL(IF(checklistPesertaKemenkeu!$AY$6:$AY$1005="Direkomendasikan",ROW($6:$1005)-5),829)),"")</f>
        <v/>
      </c>
      <c r="H830" t="str">
        <f t="array" aca="1" ref="H830" ca="1">IFERROR(IF(OR(INDEX(checklistPesertaKemenkeu!$L$6:$L$1005,SMALL(IF(checklistPesertaKemenkeu!$AY$6:$AY$1005="Direkomendasikan",ROW($6:$1005)-5),829))="",INDEX(checklistPesertaKemenkeu!$J$6:$J$1005,SMALL(IF(checklistPesertaKemenkeu!$AY$6:$AY$1005="Direkomendasikan",ROW($6:$1005)-5),829))=""),"",IF(AND(COUNTIF(INDIRECT("K_"&amp;MATCH(INDEX(checklistPesertaKemenkeu!$J$6:$J$1005,SMALL(IF(checklistPesertaKemenkeu!$AY$6:$AY$1005="Direkomendasikan",ROW($6:$1005)-5),829)),BidangList,0)),INDEX(checklistPesertaKemenkeu!$L$6:$L$1005,SMALL(IF(checklistPesertaKemenkeu!$AY$6:$AY$1005="Direkomendasikan",ROW($6:$1005)-5),829)))&gt;0,COUNTIF(INDIRECT("'KERTAS KERJA'!K"&amp;(SMALL(IF(checklistPesertaKemenkeu!$AY$6:$AY$1005="Direkomendasikan",ROW($6:$1005)-5),829)+5)&amp;":O"&amp;(SMALL(IF(checklistPesertaKemenkeu!$AY$6:$AY$1005="Direkomendasikan",ROW($6:$1005)-5),829)+5)),INDEX(checklistPesertaKemenkeu!$L$6:$L$1005,SMALL(IF(checklistPesertaKemenkeu!$AY$6:$AY$1005="Direkomendasikan",ROW($6:$1005)-5),829)))=1),IFERROR(VLOOKUP(INDEX(checklistPesertaKemenkeu!$L$6:$L$1005,SMALL(IF(checklistPesertaKemenkeu!$AY$6:$AY$1005="Direkomendasikan",ROW($6:$1005)-5),829)),KotaKode,2,0),"-"),"")),"")</f>
        <v/>
      </c>
      <c r="I830" t="str">
        <f t="array" aca="1" ref="I830" ca="1">IFERROR(IF(OR(INDEX(checklistPesertaKemenkeu!$M$6:$M$1005,SMALL(IF(checklistPesertaKemenkeu!$AY$6:$AY$1005="Direkomendasikan",ROW($6:$1005)-5),829))="",INDEX(checklistPesertaKemenkeu!$J$6:$J$1005,SMALL(IF(checklistPesertaKemenkeu!$AY$6:$AY$1005="Direkomendasikan",ROW($6:$1005)-5),829))=""),"",IF(AND(COUNTIF(INDIRECT("K_"&amp;MATCH(INDEX(checklistPesertaKemenkeu!$J$6:$J$1005,SMALL(IF(checklistPesertaKemenkeu!$AY$6:$AY$1005="Direkomendasikan",ROW($6:$1005)-5),829)),BidangList,0)),INDEX(checklistPesertaKemenkeu!$M$6:$M$1005,SMALL(IF(checklistPesertaKemenkeu!$AY$6:$AY$1005="Direkomendasikan",ROW($6:$1005)-5),829)))&gt;0,COUNTIF(INDIRECT("'KERTAS KERJA'!K"&amp;(SMALL(IF(checklistPesertaKemenkeu!$AY$6:$AY$1005="Direkomendasikan",ROW($6:$1005)-5),829)+5)&amp;":O"&amp;(SMALL(IF(checklistPesertaKemenkeu!$AY$6:$AY$1005="Direkomendasikan",ROW($6:$1005)-5),829)+5)),INDEX(checklistPesertaKemenkeu!$M$6:$M$1005,SMALL(IF(checklistPesertaKemenkeu!$AY$6:$AY$1005="Direkomendasikan",ROW($6:$1005)-5),829)))=1),IFERROR(VLOOKUP(INDEX(checklistPesertaKemenkeu!$M$6:$M$1005,SMALL(IF(checklistPesertaKemenkeu!$AY$6:$AY$1005="Direkomendasikan",ROW($6:$1005)-5),829)),KotaKode,2,0),"-"),"")),"")</f>
        <v/>
      </c>
      <c r="J830" t="str">
        <f t="array" aca="1" ref="J830" ca="1">IFERROR(IF(OR(INDEX(checklistPesertaKemenkeu!$N$6:$N$1005,SMALL(IF(checklistPesertaKemenkeu!$AY$6:$AY$1005="Direkomendasikan",ROW($6:$1005)-5),829))="",INDEX(checklistPesertaKemenkeu!$J$6:$J$1005,SMALL(IF(checklistPesertaKemenkeu!$AY$6:$AY$1005="Direkomendasikan",ROW($6:$1005)-5),829))=""),"",IF(AND(COUNTIF(INDIRECT("K_"&amp;MATCH(INDEX(checklistPesertaKemenkeu!$J$6:$J$1005,SMALL(IF(checklistPesertaKemenkeu!$AY$6:$AY$1005="Direkomendasikan",ROW($6:$1005)-5),829)),BidangList,0)),INDEX(checklistPesertaKemenkeu!$N$6:$N$1005,SMALL(IF(checklistPesertaKemenkeu!$AY$6:$AY$1005="Direkomendasikan",ROW($6:$1005)-5),829)))&gt;0,COUNTIF(INDIRECT("'KERTAS KERJA'!K"&amp;(SMALL(IF(checklistPesertaKemenkeu!$AY$6:$AY$1005="Direkomendasikan",ROW($6:$1005)-5),829)+5)&amp;":O"&amp;(SMALL(IF(checklistPesertaKemenkeu!$AY$6:$AY$1005="Direkomendasikan",ROW($6:$1005)-5),829)+5)),INDEX(checklistPesertaKemenkeu!$N$6:$N$1005,SMALL(IF(checklistPesertaKemenkeu!$AY$6:$AY$1005="Direkomendasikan",ROW($6:$1005)-5),829)))=1),IFERROR(VLOOKUP(INDEX(checklistPesertaKemenkeu!$N$6:$N$1005,SMALL(IF(checklistPesertaKemenkeu!$AY$6:$AY$1005="Direkomendasikan",ROW($6:$1005)-5),829)),KotaKode,2,0),"-"),"")),"")</f>
        <v/>
      </c>
      <c r="K830" t="str">
        <f t="array" aca="1" ref="K830" ca="1">IFERROR(IF(OR(INDEX(checklistPesertaKemenkeu!$O$6:$O$1005,SMALL(IF(checklistPesertaKemenkeu!$AY$6:$AY$1005="Direkomendasikan",ROW($6:$1005)-5),829))="",INDEX(checklistPesertaKemenkeu!$J$6:$J$1005,SMALL(IF(checklistPesertaKemenkeu!$AY$6:$AY$1005="Direkomendasikan",ROW($6:$1005)-5),829))=""),"",IF(AND(COUNTIF(INDIRECT("K_"&amp;MATCH(INDEX(checklistPesertaKemenkeu!$J$6:$J$1005,SMALL(IF(checklistPesertaKemenkeu!$AY$6:$AY$1005="Direkomendasikan",ROW($6:$1005)-5),829)),BidangList,0)),INDEX(checklistPesertaKemenkeu!$O$6:$O$1005,SMALL(IF(checklistPesertaKemenkeu!$AY$6:$AY$1005="Direkomendasikan",ROW($6:$1005)-5),829)))&gt;0,COUNTIF(INDIRECT("'KERTAS KERJA'!K"&amp;(SMALL(IF(checklistPesertaKemenkeu!$AY$6:$AY$1005="Direkomendasikan",ROW($6:$1005)-5),829)+5)&amp;":O"&amp;(SMALL(IF(checklistPesertaKemenkeu!$AY$6:$AY$1005="Direkomendasikan",ROW($6:$1005)-5),829)+5)),INDEX(checklistPesertaKemenkeu!$O$6:$O$1005,SMALL(IF(checklistPesertaKemenkeu!$AY$6:$AY$1005="Direkomendasikan",ROW($6:$1005)-5),829)))=1),IFERROR(VLOOKUP(INDEX(checklistPesertaKemenkeu!$O$6:$O$1005,SMALL(IF(checklistPesertaKemenkeu!$AY$6:$AY$1005="Direkomendasikan",ROW($6:$1005)-5),829)),KotaKode,2,0),"-"),"")),"")</f>
        <v/>
      </c>
      <c r="L830" t="str">
        <f t="array" aca="1" ref="L830" ca="1">IFERROR(IF(OR(INDEX(checklistPesertaKemenkeu!$P$6:$P$1005,SMALL(IF(checklistPesertaKemenkeu!$AY$6:$AY$1005="Direkomendasikan",ROW($6:$1005)-5),829))="",INDEX(checklistPesertaKemenkeu!$J$6:$J$1005,SMALL(IF(checklistPesertaKemenkeu!$AY$6:$AY$1005="Direkomendasikan",ROW($6:$1005)-5),829))=""),"",IF(AND(COUNTIF(INDIRECT("K_"&amp;MATCH(INDEX(checklistPesertaKemenkeu!$J$6:$J$1005,SMALL(IF(checklistPesertaKemenkeu!$AY$6:$AY$1005="Direkomendasikan",ROW($6:$1005)-5),829)),BidangList,0)),INDEX(checklistPesertaKemenkeu!$P$6:$P$1005,SMALL(IF(checklistPesertaKemenkeu!$AY$6:$AY$1005="Direkomendasikan",ROW($6:$1005)-5),829)))&gt;0,COUNTIF(INDIRECT("'KERTAS KERJA'!K"&amp;(SMALL(IF(checklistPesertaKemenkeu!$AY$6:$AY$1005="Direkomendasikan",ROW($6:$1005)-5),829)+5)&amp;":O"&amp;(SMALL(IF(checklistPesertaKemenkeu!$AY$6:$AY$1005="Direkomendasikan",ROW($6:$1005)-5),829)+5)),INDEX(checklistPesertaKemenkeu!$P$6:$P$1005,SMALL(IF(checklistPesertaKemenkeu!$AY$6:$AY$1005="Direkomendasikan",ROW($6:$1005)-5),829)))=1),IFERROR(VLOOKUP(INDEX(checklistPesertaKemenkeu!$P$6:$P$1005,SMALL(IF(checklistPesertaKemenkeu!$AY$6:$AY$1005="Direkomendasikan",ROW($6:$1005)-5),829)),KotaKode,2,0),"-"),"")),"")</f>
        <v/>
      </c>
    </row>
    <row r="831" spans="1:12" ht="15" customHeight="1" x14ac:dyDescent="0.2">
      <c r="A831" t="str">
        <f t="shared" si="12"/>
        <v/>
      </c>
      <c r="B831" t="str">
        <v/>
      </c>
      <c r="C831" s="40" t="str">
        <f t="array" ref="C831">IFERROR(INDEX(checklistPesertaKemenkeu!$F$6:$F$1005,SMALL(IF(checklistPesertaKemenkeu!$AY$6:$AY$1005="Direkomendasikan",ROW($6:$1005)-5),830)),"")</f>
        <v/>
      </c>
      <c r="D831" t="str">
        <f t="array" ref="D831">IFERROR(INDEX(checklistPesertaKemenkeu!$G$6:$G$1005,SMALL(IF(checklistPesertaKemenkeu!$AY$6:$AY$1005="Direkomendasikan",ROW($6:$1005)-5),830)),"")</f>
        <v/>
      </c>
      <c r="E831" t="str">
        <f t="array" ref="E831">IFERROR(INDEX(checklistPesertaKemenkeu!$H$6:$H$1005,SMALL(IF(checklistPesertaKemenkeu!$AY$6:$AY$1005="Direkomendasikan",ROW($6:$1005)-5),830)),"")</f>
        <v/>
      </c>
      <c r="F831" t="str">
        <f t="array" ref="F831">IFERROR(INDEX(checklistPesertaKemenkeu!$I$6:$I$1005,SMALL(IF(checklistPesertaKemenkeu!$AY$6:$AY$1005="Direkomendasikan",ROW($6:$1005)-5),830)),"")</f>
        <v/>
      </c>
      <c r="G831" t="str">
        <f t="array" ref="G831">IFERROR(INDEX(checklistPesertaKemenkeu!$J$6:$J$1005,SMALL(IF(checklistPesertaKemenkeu!$AY$6:$AY$1005="Direkomendasikan",ROW($6:$1005)-5),830)),"")</f>
        <v/>
      </c>
      <c r="H831" t="str">
        <f t="array" aca="1" ref="H831" ca="1">IFERROR(IF(OR(INDEX(checklistPesertaKemenkeu!$L$6:$L$1005,SMALL(IF(checklistPesertaKemenkeu!$AY$6:$AY$1005="Direkomendasikan",ROW($6:$1005)-5),830))="",INDEX(checklistPesertaKemenkeu!$J$6:$J$1005,SMALL(IF(checklistPesertaKemenkeu!$AY$6:$AY$1005="Direkomendasikan",ROW($6:$1005)-5),830))=""),"",IF(AND(COUNTIF(INDIRECT("K_"&amp;MATCH(INDEX(checklistPesertaKemenkeu!$J$6:$J$1005,SMALL(IF(checklistPesertaKemenkeu!$AY$6:$AY$1005="Direkomendasikan",ROW($6:$1005)-5),830)),BidangList,0)),INDEX(checklistPesertaKemenkeu!$L$6:$L$1005,SMALL(IF(checklistPesertaKemenkeu!$AY$6:$AY$1005="Direkomendasikan",ROW($6:$1005)-5),830)))&gt;0,COUNTIF(INDIRECT("'KERTAS KERJA'!K"&amp;(SMALL(IF(checklistPesertaKemenkeu!$AY$6:$AY$1005="Direkomendasikan",ROW($6:$1005)-5),830)+5)&amp;":O"&amp;(SMALL(IF(checklistPesertaKemenkeu!$AY$6:$AY$1005="Direkomendasikan",ROW($6:$1005)-5),830)+5)),INDEX(checklistPesertaKemenkeu!$L$6:$L$1005,SMALL(IF(checklistPesertaKemenkeu!$AY$6:$AY$1005="Direkomendasikan",ROW($6:$1005)-5),830)))=1),IFERROR(VLOOKUP(INDEX(checklistPesertaKemenkeu!$L$6:$L$1005,SMALL(IF(checklistPesertaKemenkeu!$AY$6:$AY$1005="Direkomendasikan",ROW($6:$1005)-5),830)),KotaKode,2,0),"-"),"")),"")</f>
        <v/>
      </c>
      <c r="I831" t="str">
        <f t="array" aca="1" ref="I831" ca="1">IFERROR(IF(OR(INDEX(checklistPesertaKemenkeu!$M$6:$M$1005,SMALL(IF(checklistPesertaKemenkeu!$AY$6:$AY$1005="Direkomendasikan",ROW($6:$1005)-5),830))="",INDEX(checklistPesertaKemenkeu!$J$6:$J$1005,SMALL(IF(checklistPesertaKemenkeu!$AY$6:$AY$1005="Direkomendasikan",ROW($6:$1005)-5),830))=""),"",IF(AND(COUNTIF(INDIRECT("K_"&amp;MATCH(INDEX(checklistPesertaKemenkeu!$J$6:$J$1005,SMALL(IF(checklistPesertaKemenkeu!$AY$6:$AY$1005="Direkomendasikan",ROW($6:$1005)-5),830)),BidangList,0)),INDEX(checklistPesertaKemenkeu!$M$6:$M$1005,SMALL(IF(checklistPesertaKemenkeu!$AY$6:$AY$1005="Direkomendasikan",ROW($6:$1005)-5),830)))&gt;0,COUNTIF(INDIRECT("'KERTAS KERJA'!K"&amp;(SMALL(IF(checklistPesertaKemenkeu!$AY$6:$AY$1005="Direkomendasikan",ROW($6:$1005)-5),830)+5)&amp;":O"&amp;(SMALL(IF(checklistPesertaKemenkeu!$AY$6:$AY$1005="Direkomendasikan",ROW($6:$1005)-5),830)+5)),INDEX(checklistPesertaKemenkeu!$M$6:$M$1005,SMALL(IF(checklistPesertaKemenkeu!$AY$6:$AY$1005="Direkomendasikan",ROW($6:$1005)-5),830)))=1),IFERROR(VLOOKUP(INDEX(checklistPesertaKemenkeu!$M$6:$M$1005,SMALL(IF(checklistPesertaKemenkeu!$AY$6:$AY$1005="Direkomendasikan",ROW($6:$1005)-5),830)),KotaKode,2,0),"-"),"")),"")</f>
        <v/>
      </c>
      <c r="J831" t="str">
        <f t="array" aca="1" ref="J831" ca="1">IFERROR(IF(OR(INDEX(checklistPesertaKemenkeu!$N$6:$N$1005,SMALL(IF(checklistPesertaKemenkeu!$AY$6:$AY$1005="Direkomendasikan",ROW($6:$1005)-5),830))="",INDEX(checklistPesertaKemenkeu!$J$6:$J$1005,SMALL(IF(checklistPesertaKemenkeu!$AY$6:$AY$1005="Direkomendasikan",ROW($6:$1005)-5),830))=""),"",IF(AND(COUNTIF(INDIRECT("K_"&amp;MATCH(INDEX(checklistPesertaKemenkeu!$J$6:$J$1005,SMALL(IF(checklistPesertaKemenkeu!$AY$6:$AY$1005="Direkomendasikan",ROW($6:$1005)-5),830)),BidangList,0)),INDEX(checklistPesertaKemenkeu!$N$6:$N$1005,SMALL(IF(checklistPesertaKemenkeu!$AY$6:$AY$1005="Direkomendasikan",ROW($6:$1005)-5),830)))&gt;0,COUNTIF(INDIRECT("'KERTAS KERJA'!K"&amp;(SMALL(IF(checklistPesertaKemenkeu!$AY$6:$AY$1005="Direkomendasikan",ROW($6:$1005)-5),830)+5)&amp;":O"&amp;(SMALL(IF(checklistPesertaKemenkeu!$AY$6:$AY$1005="Direkomendasikan",ROW($6:$1005)-5),830)+5)),INDEX(checklistPesertaKemenkeu!$N$6:$N$1005,SMALL(IF(checklistPesertaKemenkeu!$AY$6:$AY$1005="Direkomendasikan",ROW($6:$1005)-5),830)))=1),IFERROR(VLOOKUP(INDEX(checklistPesertaKemenkeu!$N$6:$N$1005,SMALL(IF(checklistPesertaKemenkeu!$AY$6:$AY$1005="Direkomendasikan",ROW($6:$1005)-5),830)),KotaKode,2,0),"-"),"")),"")</f>
        <v/>
      </c>
      <c r="K831" t="str">
        <f t="array" aca="1" ref="K831" ca="1">IFERROR(IF(OR(INDEX(checklistPesertaKemenkeu!$O$6:$O$1005,SMALL(IF(checklistPesertaKemenkeu!$AY$6:$AY$1005="Direkomendasikan",ROW($6:$1005)-5),830))="",INDEX(checklistPesertaKemenkeu!$J$6:$J$1005,SMALL(IF(checklistPesertaKemenkeu!$AY$6:$AY$1005="Direkomendasikan",ROW($6:$1005)-5),830))=""),"",IF(AND(COUNTIF(INDIRECT("K_"&amp;MATCH(INDEX(checklistPesertaKemenkeu!$J$6:$J$1005,SMALL(IF(checklistPesertaKemenkeu!$AY$6:$AY$1005="Direkomendasikan",ROW($6:$1005)-5),830)),BidangList,0)),INDEX(checklistPesertaKemenkeu!$O$6:$O$1005,SMALL(IF(checklistPesertaKemenkeu!$AY$6:$AY$1005="Direkomendasikan",ROW($6:$1005)-5),830)))&gt;0,COUNTIF(INDIRECT("'KERTAS KERJA'!K"&amp;(SMALL(IF(checklistPesertaKemenkeu!$AY$6:$AY$1005="Direkomendasikan",ROW($6:$1005)-5),830)+5)&amp;":O"&amp;(SMALL(IF(checklistPesertaKemenkeu!$AY$6:$AY$1005="Direkomendasikan",ROW($6:$1005)-5),830)+5)),INDEX(checklistPesertaKemenkeu!$O$6:$O$1005,SMALL(IF(checklistPesertaKemenkeu!$AY$6:$AY$1005="Direkomendasikan",ROW($6:$1005)-5),830)))=1),IFERROR(VLOOKUP(INDEX(checklistPesertaKemenkeu!$O$6:$O$1005,SMALL(IF(checklistPesertaKemenkeu!$AY$6:$AY$1005="Direkomendasikan",ROW($6:$1005)-5),830)),KotaKode,2,0),"-"),"")),"")</f>
        <v/>
      </c>
      <c r="L831" t="str">
        <f t="array" aca="1" ref="L831" ca="1">IFERROR(IF(OR(INDEX(checklistPesertaKemenkeu!$P$6:$P$1005,SMALL(IF(checklistPesertaKemenkeu!$AY$6:$AY$1005="Direkomendasikan",ROW($6:$1005)-5),830))="",INDEX(checklistPesertaKemenkeu!$J$6:$J$1005,SMALL(IF(checklistPesertaKemenkeu!$AY$6:$AY$1005="Direkomendasikan",ROW($6:$1005)-5),830))=""),"",IF(AND(COUNTIF(INDIRECT("K_"&amp;MATCH(INDEX(checklistPesertaKemenkeu!$J$6:$J$1005,SMALL(IF(checklistPesertaKemenkeu!$AY$6:$AY$1005="Direkomendasikan",ROW($6:$1005)-5),830)),BidangList,0)),INDEX(checklistPesertaKemenkeu!$P$6:$P$1005,SMALL(IF(checklistPesertaKemenkeu!$AY$6:$AY$1005="Direkomendasikan",ROW($6:$1005)-5),830)))&gt;0,COUNTIF(INDIRECT("'KERTAS KERJA'!K"&amp;(SMALL(IF(checklistPesertaKemenkeu!$AY$6:$AY$1005="Direkomendasikan",ROW($6:$1005)-5),830)+5)&amp;":O"&amp;(SMALL(IF(checklistPesertaKemenkeu!$AY$6:$AY$1005="Direkomendasikan",ROW($6:$1005)-5),830)+5)),INDEX(checklistPesertaKemenkeu!$P$6:$P$1005,SMALL(IF(checklistPesertaKemenkeu!$AY$6:$AY$1005="Direkomendasikan",ROW($6:$1005)-5),830)))=1),IFERROR(VLOOKUP(INDEX(checklistPesertaKemenkeu!$P$6:$P$1005,SMALL(IF(checklistPesertaKemenkeu!$AY$6:$AY$1005="Direkomendasikan",ROW($6:$1005)-5),830)),KotaKode,2,0),"-"),"")),"")</f>
        <v/>
      </c>
    </row>
    <row r="832" spans="1:12" ht="15" customHeight="1" x14ac:dyDescent="0.2">
      <c r="A832" t="str">
        <f t="shared" si="12"/>
        <v/>
      </c>
      <c r="B832" t="str">
        <v/>
      </c>
      <c r="C832" s="40" t="str">
        <f t="array" ref="C832">IFERROR(INDEX(checklistPesertaKemenkeu!$F$6:$F$1005,SMALL(IF(checklistPesertaKemenkeu!$AY$6:$AY$1005="Direkomendasikan",ROW($6:$1005)-5),831)),"")</f>
        <v/>
      </c>
      <c r="D832" t="str">
        <f t="array" ref="D832">IFERROR(INDEX(checklistPesertaKemenkeu!$G$6:$G$1005,SMALL(IF(checklistPesertaKemenkeu!$AY$6:$AY$1005="Direkomendasikan",ROW($6:$1005)-5),831)),"")</f>
        <v/>
      </c>
      <c r="E832" t="str">
        <f t="array" ref="E832">IFERROR(INDEX(checklistPesertaKemenkeu!$H$6:$H$1005,SMALL(IF(checklistPesertaKemenkeu!$AY$6:$AY$1005="Direkomendasikan",ROW($6:$1005)-5),831)),"")</f>
        <v/>
      </c>
      <c r="F832" t="str">
        <f t="array" ref="F832">IFERROR(INDEX(checklistPesertaKemenkeu!$I$6:$I$1005,SMALL(IF(checklistPesertaKemenkeu!$AY$6:$AY$1005="Direkomendasikan",ROW($6:$1005)-5),831)),"")</f>
        <v/>
      </c>
      <c r="G832" t="str">
        <f t="array" ref="G832">IFERROR(INDEX(checklistPesertaKemenkeu!$J$6:$J$1005,SMALL(IF(checklistPesertaKemenkeu!$AY$6:$AY$1005="Direkomendasikan",ROW($6:$1005)-5),831)),"")</f>
        <v/>
      </c>
      <c r="H832" t="str">
        <f t="array" aca="1" ref="H832" ca="1">IFERROR(IF(OR(INDEX(checklistPesertaKemenkeu!$L$6:$L$1005,SMALL(IF(checklistPesertaKemenkeu!$AY$6:$AY$1005="Direkomendasikan",ROW($6:$1005)-5),831))="",INDEX(checklistPesertaKemenkeu!$J$6:$J$1005,SMALL(IF(checklistPesertaKemenkeu!$AY$6:$AY$1005="Direkomendasikan",ROW($6:$1005)-5),831))=""),"",IF(AND(COUNTIF(INDIRECT("K_"&amp;MATCH(INDEX(checklistPesertaKemenkeu!$J$6:$J$1005,SMALL(IF(checklistPesertaKemenkeu!$AY$6:$AY$1005="Direkomendasikan",ROW($6:$1005)-5),831)),BidangList,0)),INDEX(checklistPesertaKemenkeu!$L$6:$L$1005,SMALL(IF(checklistPesertaKemenkeu!$AY$6:$AY$1005="Direkomendasikan",ROW($6:$1005)-5),831)))&gt;0,COUNTIF(INDIRECT("'KERTAS KERJA'!K"&amp;(SMALL(IF(checklistPesertaKemenkeu!$AY$6:$AY$1005="Direkomendasikan",ROW($6:$1005)-5),831)+5)&amp;":O"&amp;(SMALL(IF(checklistPesertaKemenkeu!$AY$6:$AY$1005="Direkomendasikan",ROW($6:$1005)-5),831)+5)),INDEX(checklistPesertaKemenkeu!$L$6:$L$1005,SMALL(IF(checklistPesertaKemenkeu!$AY$6:$AY$1005="Direkomendasikan",ROW($6:$1005)-5),831)))=1),IFERROR(VLOOKUP(INDEX(checklistPesertaKemenkeu!$L$6:$L$1005,SMALL(IF(checklistPesertaKemenkeu!$AY$6:$AY$1005="Direkomendasikan",ROW($6:$1005)-5),831)),KotaKode,2,0),"-"),"")),"")</f>
        <v/>
      </c>
      <c r="I832" t="str">
        <f t="array" aca="1" ref="I832" ca="1">IFERROR(IF(OR(INDEX(checklistPesertaKemenkeu!$M$6:$M$1005,SMALL(IF(checklistPesertaKemenkeu!$AY$6:$AY$1005="Direkomendasikan",ROW($6:$1005)-5),831))="",INDEX(checklistPesertaKemenkeu!$J$6:$J$1005,SMALL(IF(checklistPesertaKemenkeu!$AY$6:$AY$1005="Direkomendasikan",ROW($6:$1005)-5),831))=""),"",IF(AND(COUNTIF(INDIRECT("K_"&amp;MATCH(INDEX(checklistPesertaKemenkeu!$J$6:$J$1005,SMALL(IF(checklistPesertaKemenkeu!$AY$6:$AY$1005="Direkomendasikan",ROW($6:$1005)-5),831)),BidangList,0)),INDEX(checklistPesertaKemenkeu!$M$6:$M$1005,SMALL(IF(checklistPesertaKemenkeu!$AY$6:$AY$1005="Direkomendasikan",ROW($6:$1005)-5),831)))&gt;0,COUNTIF(INDIRECT("'KERTAS KERJA'!K"&amp;(SMALL(IF(checklistPesertaKemenkeu!$AY$6:$AY$1005="Direkomendasikan",ROW($6:$1005)-5),831)+5)&amp;":O"&amp;(SMALL(IF(checklistPesertaKemenkeu!$AY$6:$AY$1005="Direkomendasikan",ROW($6:$1005)-5),831)+5)),INDEX(checklistPesertaKemenkeu!$M$6:$M$1005,SMALL(IF(checklistPesertaKemenkeu!$AY$6:$AY$1005="Direkomendasikan",ROW($6:$1005)-5),831)))=1),IFERROR(VLOOKUP(INDEX(checklistPesertaKemenkeu!$M$6:$M$1005,SMALL(IF(checklistPesertaKemenkeu!$AY$6:$AY$1005="Direkomendasikan",ROW($6:$1005)-5),831)),KotaKode,2,0),"-"),"")),"")</f>
        <v/>
      </c>
      <c r="J832" t="str">
        <f t="array" aca="1" ref="J832" ca="1">IFERROR(IF(OR(INDEX(checklistPesertaKemenkeu!$N$6:$N$1005,SMALL(IF(checklistPesertaKemenkeu!$AY$6:$AY$1005="Direkomendasikan",ROW($6:$1005)-5),831))="",INDEX(checklistPesertaKemenkeu!$J$6:$J$1005,SMALL(IF(checklistPesertaKemenkeu!$AY$6:$AY$1005="Direkomendasikan",ROW($6:$1005)-5),831))=""),"",IF(AND(COUNTIF(INDIRECT("K_"&amp;MATCH(INDEX(checklistPesertaKemenkeu!$J$6:$J$1005,SMALL(IF(checklistPesertaKemenkeu!$AY$6:$AY$1005="Direkomendasikan",ROW($6:$1005)-5),831)),BidangList,0)),INDEX(checklistPesertaKemenkeu!$N$6:$N$1005,SMALL(IF(checklistPesertaKemenkeu!$AY$6:$AY$1005="Direkomendasikan",ROW($6:$1005)-5),831)))&gt;0,COUNTIF(INDIRECT("'KERTAS KERJA'!K"&amp;(SMALL(IF(checklistPesertaKemenkeu!$AY$6:$AY$1005="Direkomendasikan",ROW($6:$1005)-5),831)+5)&amp;":O"&amp;(SMALL(IF(checklistPesertaKemenkeu!$AY$6:$AY$1005="Direkomendasikan",ROW($6:$1005)-5),831)+5)),INDEX(checklistPesertaKemenkeu!$N$6:$N$1005,SMALL(IF(checklistPesertaKemenkeu!$AY$6:$AY$1005="Direkomendasikan",ROW($6:$1005)-5),831)))=1),IFERROR(VLOOKUP(INDEX(checklistPesertaKemenkeu!$N$6:$N$1005,SMALL(IF(checklistPesertaKemenkeu!$AY$6:$AY$1005="Direkomendasikan",ROW($6:$1005)-5),831)),KotaKode,2,0),"-"),"")),"")</f>
        <v/>
      </c>
      <c r="K832" t="str">
        <f t="array" aca="1" ref="K832" ca="1">IFERROR(IF(OR(INDEX(checklistPesertaKemenkeu!$O$6:$O$1005,SMALL(IF(checklistPesertaKemenkeu!$AY$6:$AY$1005="Direkomendasikan",ROW($6:$1005)-5),831))="",INDEX(checklistPesertaKemenkeu!$J$6:$J$1005,SMALL(IF(checklistPesertaKemenkeu!$AY$6:$AY$1005="Direkomendasikan",ROW($6:$1005)-5),831))=""),"",IF(AND(COUNTIF(INDIRECT("K_"&amp;MATCH(INDEX(checklistPesertaKemenkeu!$J$6:$J$1005,SMALL(IF(checklistPesertaKemenkeu!$AY$6:$AY$1005="Direkomendasikan",ROW($6:$1005)-5),831)),BidangList,0)),INDEX(checklistPesertaKemenkeu!$O$6:$O$1005,SMALL(IF(checklistPesertaKemenkeu!$AY$6:$AY$1005="Direkomendasikan",ROW($6:$1005)-5),831)))&gt;0,COUNTIF(INDIRECT("'KERTAS KERJA'!K"&amp;(SMALL(IF(checklistPesertaKemenkeu!$AY$6:$AY$1005="Direkomendasikan",ROW($6:$1005)-5),831)+5)&amp;":O"&amp;(SMALL(IF(checklistPesertaKemenkeu!$AY$6:$AY$1005="Direkomendasikan",ROW($6:$1005)-5),831)+5)),INDEX(checklistPesertaKemenkeu!$O$6:$O$1005,SMALL(IF(checklistPesertaKemenkeu!$AY$6:$AY$1005="Direkomendasikan",ROW($6:$1005)-5),831)))=1),IFERROR(VLOOKUP(INDEX(checklistPesertaKemenkeu!$O$6:$O$1005,SMALL(IF(checklistPesertaKemenkeu!$AY$6:$AY$1005="Direkomendasikan",ROW($6:$1005)-5),831)),KotaKode,2,0),"-"),"")),"")</f>
        <v/>
      </c>
      <c r="L832" t="str">
        <f t="array" aca="1" ref="L832" ca="1">IFERROR(IF(OR(INDEX(checklistPesertaKemenkeu!$P$6:$P$1005,SMALL(IF(checklistPesertaKemenkeu!$AY$6:$AY$1005="Direkomendasikan",ROW($6:$1005)-5),831))="",INDEX(checklistPesertaKemenkeu!$J$6:$J$1005,SMALL(IF(checklistPesertaKemenkeu!$AY$6:$AY$1005="Direkomendasikan",ROW($6:$1005)-5),831))=""),"",IF(AND(COUNTIF(INDIRECT("K_"&amp;MATCH(INDEX(checklistPesertaKemenkeu!$J$6:$J$1005,SMALL(IF(checklistPesertaKemenkeu!$AY$6:$AY$1005="Direkomendasikan",ROW($6:$1005)-5),831)),BidangList,0)),INDEX(checklistPesertaKemenkeu!$P$6:$P$1005,SMALL(IF(checklistPesertaKemenkeu!$AY$6:$AY$1005="Direkomendasikan",ROW($6:$1005)-5),831)))&gt;0,COUNTIF(INDIRECT("'KERTAS KERJA'!K"&amp;(SMALL(IF(checklistPesertaKemenkeu!$AY$6:$AY$1005="Direkomendasikan",ROW($6:$1005)-5),831)+5)&amp;":O"&amp;(SMALL(IF(checklistPesertaKemenkeu!$AY$6:$AY$1005="Direkomendasikan",ROW($6:$1005)-5),831)+5)),INDEX(checklistPesertaKemenkeu!$P$6:$P$1005,SMALL(IF(checklistPesertaKemenkeu!$AY$6:$AY$1005="Direkomendasikan",ROW($6:$1005)-5),831)))=1),IFERROR(VLOOKUP(INDEX(checklistPesertaKemenkeu!$P$6:$P$1005,SMALL(IF(checklistPesertaKemenkeu!$AY$6:$AY$1005="Direkomendasikan",ROW($6:$1005)-5),831)),KotaKode,2,0),"-"),"")),"")</f>
        <v/>
      </c>
    </row>
    <row r="833" spans="1:12" ht="15" customHeight="1" x14ac:dyDescent="0.2">
      <c r="A833" t="str">
        <f t="shared" si="12"/>
        <v/>
      </c>
      <c r="B833" t="str">
        <v/>
      </c>
      <c r="C833" s="40" t="str">
        <f t="array" ref="C833">IFERROR(INDEX(checklistPesertaKemenkeu!$F$6:$F$1005,SMALL(IF(checklistPesertaKemenkeu!$AY$6:$AY$1005="Direkomendasikan",ROW($6:$1005)-5),832)),"")</f>
        <v/>
      </c>
      <c r="D833" t="str">
        <f t="array" ref="D833">IFERROR(INDEX(checklistPesertaKemenkeu!$G$6:$G$1005,SMALL(IF(checklistPesertaKemenkeu!$AY$6:$AY$1005="Direkomendasikan",ROW($6:$1005)-5),832)),"")</f>
        <v/>
      </c>
      <c r="E833" t="str">
        <f t="array" ref="E833">IFERROR(INDEX(checklistPesertaKemenkeu!$H$6:$H$1005,SMALL(IF(checklistPesertaKemenkeu!$AY$6:$AY$1005="Direkomendasikan",ROW($6:$1005)-5),832)),"")</f>
        <v/>
      </c>
      <c r="F833" t="str">
        <f t="array" ref="F833">IFERROR(INDEX(checklistPesertaKemenkeu!$I$6:$I$1005,SMALL(IF(checklistPesertaKemenkeu!$AY$6:$AY$1005="Direkomendasikan",ROW($6:$1005)-5),832)),"")</f>
        <v/>
      </c>
      <c r="G833" t="str">
        <f t="array" ref="G833">IFERROR(INDEX(checklistPesertaKemenkeu!$J$6:$J$1005,SMALL(IF(checklistPesertaKemenkeu!$AY$6:$AY$1005="Direkomendasikan",ROW($6:$1005)-5),832)),"")</f>
        <v/>
      </c>
      <c r="H833" t="str">
        <f t="array" aca="1" ref="H833" ca="1">IFERROR(IF(OR(INDEX(checklistPesertaKemenkeu!$L$6:$L$1005,SMALL(IF(checklistPesertaKemenkeu!$AY$6:$AY$1005="Direkomendasikan",ROW($6:$1005)-5),832))="",INDEX(checklistPesertaKemenkeu!$J$6:$J$1005,SMALL(IF(checklistPesertaKemenkeu!$AY$6:$AY$1005="Direkomendasikan",ROW($6:$1005)-5),832))=""),"",IF(AND(COUNTIF(INDIRECT("K_"&amp;MATCH(INDEX(checklistPesertaKemenkeu!$J$6:$J$1005,SMALL(IF(checklistPesertaKemenkeu!$AY$6:$AY$1005="Direkomendasikan",ROW($6:$1005)-5),832)),BidangList,0)),INDEX(checklistPesertaKemenkeu!$L$6:$L$1005,SMALL(IF(checklistPesertaKemenkeu!$AY$6:$AY$1005="Direkomendasikan",ROW($6:$1005)-5),832)))&gt;0,COUNTIF(INDIRECT("'KERTAS KERJA'!K"&amp;(SMALL(IF(checklistPesertaKemenkeu!$AY$6:$AY$1005="Direkomendasikan",ROW($6:$1005)-5),832)+5)&amp;":O"&amp;(SMALL(IF(checklistPesertaKemenkeu!$AY$6:$AY$1005="Direkomendasikan",ROW($6:$1005)-5),832)+5)),INDEX(checklistPesertaKemenkeu!$L$6:$L$1005,SMALL(IF(checklistPesertaKemenkeu!$AY$6:$AY$1005="Direkomendasikan",ROW($6:$1005)-5),832)))=1),IFERROR(VLOOKUP(INDEX(checklistPesertaKemenkeu!$L$6:$L$1005,SMALL(IF(checklistPesertaKemenkeu!$AY$6:$AY$1005="Direkomendasikan",ROW($6:$1005)-5),832)),KotaKode,2,0),"-"),"")),"")</f>
        <v/>
      </c>
      <c r="I833" t="str">
        <f t="array" aca="1" ref="I833" ca="1">IFERROR(IF(OR(INDEX(checklistPesertaKemenkeu!$M$6:$M$1005,SMALL(IF(checklistPesertaKemenkeu!$AY$6:$AY$1005="Direkomendasikan",ROW($6:$1005)-5),832))="",INDEX(checklistPesertaKemenkeu!$J$6:$J$1005,SMALL(IF(checklistPesertaKemenkeu!$AY$6:$AY$1005="Direkomendasikan",ROW($6:$1005)-5),832))=""),"",IF(AND(COUNTIF(INDIRECT("K_"&amp;MATCH(INDEX(checklistPesertaKemenkeu!$J$6:$J$1005,SMALL(IF(checklistPesertaKemenkeu!$AY$6:$AY$1005="Direkomendasikan",ROW($6:$1005)-5),832)),BidangList,0)),INDEX(checklistPesertaKemenkeu!$M$6:$M$1005,SMALL(IF(checklistPesertaKemenkeu!$AY$6:$AY$1005="Direkomendasikan",ROW($6:$1005)-5),832)))&gt;0,COUNTIF(INDIRECT("'KERTAS KERJA'!K"&amp;(SMALL(IF(checklistPesertaKemenkeu!$AY$6:$AY$1005="Direkomendasikan",ROW($6:$1005)-5),832)+5)&amp;":O"&amp;(SMALL(IF(checklistPesertaKemenkeu!$AY$6:$AY$1005="Direkomendasikan",ROW($6:$1005)-5),832)+5)),INDEX(checklistPesertaKemenkeu!$M$6:$M$1005,SMALL(IF(checklistPesertaKemenkeu!$AY$6:$AY$1005="Direkomendasikan",ROW($6:$1005)-5),832)))=1),IFERROR(VLOOKUP(INDEX(checklistPesertaKemenkeu!$M$6:$M$1005,SMALL(IF(checklistPesertaKemenkeu!$AY$6:$AY$1005="Direkomendasikan",ROW($6:$1005)-5),832)),KotaKode,2,0),"-"),"")),"")</f>
        <v/>
      </c>
      <c r="J833" t="str">
        <f t="array" aca="1" ref="J833" ca="1">IFERROR(IF(OR(INDEX(checklistPesertaKemenkeu!$N$6:$N$1005,SMALL(IF(checklistPesertaKemenkeu!$AY$6:$AY$1005="Direkomendasikan",ROW($6:$1005)-5),832))="",INDEX(checklistPesertaKemenkeu!$J$6:$J$1005,SMALL(IF(checklistPesertaKemenkeu!$AY$6:$AY$1005="Direkomendasikan",ROW($6:$1005)-5),832))=""),"",IF(AND(COUNTIF(INDIRECT("K_"&amp;MATCH(INDEX(checklistPesertaKemenkeu!$J$6:$J$1005,SMALL(IF(checklistPesertaKemenkeu!$AY$6:$AY$1005="Direkomendasikan",ROW($6:$1005)-5),832)),BidangList,0)),INDEX(checklistPesertaKemenkeu!$N$6:$N$1005,SMALL(IF(checklistPesertaKemenkeu!$AY$6:$AY$1005="Direkomendasikan",ROW($6:$1005)-5),832)))&gt;0,COUNTIF(INDIRECT("'KERTAS KERJA'!K"&amp;(SMALL(IF(checklistPesertaKemenkeu!$AY$6:$AY$1005="Direkomendasikan",ROW($6:$1005)-5),832)+5)&amp;":O"&amp;(SMALL(IF(checklistPesertaKemenkeu!$AY$6:$AY$1005="Direkomendasikan",ROW($6:$1005)-5),832)+5)),INDEX(checklistPesertaKemenkeu!$N$6:$N$1005,SMALL(IF(checklistPesertaKemenkeu!$AY$6:$AY$1005="Direkomendasikan",ROW($6:$1005)-5),832)))=1),IFERROR(VLOOKUP(INDEX(checklistPesertaKemenkeu!$N$6:$N$1005,SMALL(IF(checklistPesertaKemenkeu!$AY$6:$AY$1005="Direkomendasikan",ROW($6:$1005)-5),832)),KotaKode,2,0),"-"),"")),"")</f>
        <v/>
      </c>
      <c r="K833" t="str">
        <f t="array" aca="1" ref="K833" ca="1">IFERROR(IF(OR(INDEX(checklistPesertaKemenkeu!$O$6:$O$1005,SMALL(IF(checklistPesertaKemenkeu!$AY$6:$AY$1005="Direkomendasikan",ROW($6:$1005)-5),832))="",INDEX(checklistPesertaKemenkeu!$J$6:$J$1005,SMALL(IF(checklistPesertaKemenkeu!$AY$6:$AY$1005="Direkomendasikan",ROW($6:$1005)-5),832))=""),"",IF(AND(COUNTIF(INDIRECT("K_"&amp;MATCH(INDEX(checklistPesertaKemenkeu!$J$6:$J$1005,SMALL(IF(checklistPesertaKemenkeu!$AY$6:$AY$1005="Direkomendasikan",ROW($6:$1005)-5),832)),BidangList,0)),INDEX(checklistPesertaKemenkeu!$O$6:$O$1005,SMALL(IF(checklistPesertaKemenkeu!$AY$6:$AY$1005="Direkomendasikan",ROW($6:$1005)-5),832)))&gt;0,COUNTIF(INDIRECT("'KERTAS KERJA'!K"&amp;(SMALL(IF(checklistPesertaKemenkeu!$AY$6:$AY$1005="Direkomendasikan",ROW($6:$1005)-5),832)+5)&amp;":O"&amp;(SMALL(IF(checklistPesertaKemenkeu!$AY$6:$AY$1005="Direkomendasikan",ROW($6:$1005)-5),832)+5)),INDEX(checklistPesertaKemenkeu!$O$6:$O$1005,SMALL(IF(checklistPesertaKemenkeu!$AY$6:$AY$1005="Direkomendasikan",ROW($6:$1005)-5),832)))=1),IFERROR(VLOOKUP(INDEX(checklistPesertaKemenkeu!$O$6:$O$1005,SMALL(IF(checklistPesertaKemenkeu!$AY$6:$AY$1005="Direkomendasikan",ROW($6:$1005)-5),832)),KotaKode,2,0),"-"),"")),"")</f>
        <v/>
      </c>
      <c r="L833" t="str">
        <f t="array" aca="1" ref="L833" ca="1">IFERROR(IF(OR(INDEX(checklistPesertaKemenkeu!$P$6:$P$1005,SMALL(IF(checklistPesertaKemenkeu!$AY$6:$AY$1005="Direkomendasikan",ROW($6:$1005)-5),832))="",INDEX(checklistPesertaKemenkeu!$J$6:$J$1005,SMALL(IF(checklistPesertaKemenkeu!$AY$6:$AY$1005="Direkomendasikan",ROW($6:$1005)-5),832))=""),"",IF(AND(COUNTIF(INDIRECT("K_"&amp;MATCH(INDEX(checklistPesertaKemenkeu!$J$6:$J$1005,SMALL(IF(checklistPesertaKemenkeu!$AY$6:$AY$1005="Direkomendasikan",ROW($6:$1005)-5),832)),BidangList,0)),INDEX(checklistPesertaKemenkeu!$P$6:$P$1005,SMALL(IF(checklistPesertaKemenkeu!$AY$6:$AY$1005="Direkomendasikan",ROW($6:$1005)-5),832)))&gt;0,COUNTIF(INDIRECT("'KERTAS KERJA'!K"&amp;(SMALL(IF(checklistPesertaKemenkeu!$AY$6:$AY$1005="Direkomendasikan",ROW($6:$1005)-5),832)+5)&amp;":O"&amp;(SMALL(IF(checklistPesertaKemenkeu!$AY$6:$AY$1005="Direkomendasikan",ROW($6:$1005)-5),832)+5)),INDEX(checklistPesertaKemenkeu!$P$6:$P$1005,SMALL(IF(checklistPesertaKemenkeu!$AY$6:$AY$1005="Direkomendasikan",ROW($6:$1005)-5),832)))=1),IFERROR(VLOOKUP(INDEX(checklistPesertaKemenkeu!$P$6:$P$1005,SMALL(IF(checklistPesertaKemenkeu!$AY$6:$AY$1005="Direkomendasikan",ROW($6:$1005)-5),832)),KotaKode,2,0),"-"),"")),"")</f>
        <v/>
      </c>
    </row>
    <row r="834" spans="1:12" ht="15" customHeight="1" x14ac:dyDescent="0.2">
      <c r="A834" t="str">
        <f t="shared" ref="A834:A897" si="13">IF(C834="","",ROW()-1)</f>
        <v/>
      </c>
      <c r="B834" t="str">
        <v/>
      </c>
      <c r="C834" s="40" t="str">
        <f t="array" ref="C834">IFERROR(INDEX(checklistPesertaKemenkeu!$F$6:$F$1005,SMALL(IF(checklistPesertaKemenkeu!$AY$6:$AY$1005="Direkomendasikan",ROW($6:$1005)-5),833)),"")</f>
        <v/>
      </c>
      <c r="D834" t="str">
        <f t="array" ref="D834">IFERROR(INDEX(checklistPesertaKemenkeu!$G$6:$G$1005,SMALL(IF(checklistPesertaKemenkeu!$AY$6:$AY$1005="Direkomendasikan",ROW($6:$1005)-5),833)),"")</f>
        <v/>
      </c>
      <c r="E834" t="str">
        <f t="array" ref="E834">IFERROR(INDEX(checklistPesertaKemenkeu!$H$6:$H$1005,SMALL(IF(checklistPesertaKemenkeu!$AY$6:$AY$1005="Direkomendasikan",ROW($6:$1005)-5),833)),"")</f>
        <v/>
      </c>
      <c r="F834" t="str">
        <f t="array" ref="F834">IFERROR(INDEX(checklistPesertaKemenkeu!$I$6:$I$1005,SMALL(IF(checklistPesertaKemenkeu!$AY$6:$AY$1005="Direkomendasikan",ROW($6:$1005)-5),833)),"")</f>
        <v/>
      </c>
      <c r="G834" t="str">
        <f t="array" ref="G834">IFERROR(INDEX(checklistPesertaKemenkeu!$J$6:$J$1005,SMALL(IF(checklistPesertaKemenkeu!$AY$6:$AY$1005="Direkomendasikan",ROW($6:$1005)-5),833)),"")</f>
        <v/>
      </c>
      <c r="H834" t="str">
        <f t="array" aca="1" ref="H834" ca="1">IFERROR(IF(OR(INDEX(checklistPesertaKemenkeu!$L$6:$L$1005,SMALL(IF(checklistPesertaKemenkeu!$AY$6:$AY$1005="Direkomendasikan",ROW($6:$1005)-5),833))="",INDEX(checklistPesertaKemenkeu!$J$6:$J$1005,SMALL(IF(checklistPesertaKemenkeu!$AY$6:$AY$1005="Direkomendasikan",ROW($6:$1005)-5),833))=""),"",IF(AND(COUNTIF(INDIRECT("K_"&amp;MATCH(INDEX(checklistPesertaKemenkeu!$J$6:$J$1005,SMALL(IF(checklistPesertaKemenkeu!$AY$6:$AY$1005="Direkomendasikan",ROW($6:$1005)-5),833)),BidangList,0)),INDEX(checklistPesertaKemenkeu!$L$6:$L$1005,SMALL(IF(checklistPesertaKemenkeu!$AY$6:$AY$1005="Direkomendasikan",ROW($6:$1005)-5),833)))&gt;0,COUNTIF(INDIRECT("'KERTAS KERJA'!K"&amp;(SMALL(IF(checklistPesertaKemenkeu!$AY$6:$AY$1005="Direkomendasikan",ROW($6:$1005)-5),833)+5)&amp;":O"&amp;(SMALL(IF(checklistPesertaKemenkeu!$AY$6:$AY$1005="Direkomendasikan",ROW($6:$1005)-5),833)+5)),INDEX(checklistPesertaKemenkeu!$L$6:$L$1005,SMALL(IF(checklistPesertaKemenkeu!$AY$6:$AY$1005="Direkomendasikan",ROW($6:$1005)-5),833)))=1),IFERROR(VLOOKUP(INDEX(checklistPesertaKemenkeu!$L$6:$L$1005,SMALL(IF(checklistPesertaKemenkeu!$AY$6:$AY$1005="Direkomendasikan",ROW($6:$1005)-5),833)),KotaKode,2,0),"-"),"")),"")</f>
        <v/>
      </c>
      <c r="I834" t="str">
        <f t="array" aca="1" ref="I834" ca="1">IFERROR(IF(OR(INDEX(checklistPesertaKemenkeu!$M$6:$M$1005,SMALL(IF(checklistPesertaKemenkeu!$AY$6:$AY$1005="Direkomendasikan",ROW($6:$1005)-5),833))="",INDEX(checklistPesertaKemenkeu!$J$6:$J$1005,SMALL(IF(checklistPesertaKemenkeu!$AY$6:$AY$1005="Direkomendasikan",ROW($6:$1005)-5),833))=""),"",IF(AND(COUNTIF(INDIRECT("K_"&amp;MATCH(INDEX(checklistPesertaKemenkeu!$J$6:$J$1005,SMALL(IF(checklistPesertaKemenkeu!$AY$6:$AY$1005="Direkomendasikan",ROW($6:$1005)-5),833)),BidangList,0)),INDEX(checklistPesertaKemenkeu!$M$6:$M$1005,SMALL(IF(checklistPesertaKemenkeu!$AY$6:$AY$1005="Direkomendasikan",ROW($6:$1005)-5),833)))&gt;0,COUNTIF(INDIRECT("'KERTAS KERJA'!K"&amp;(SMALL(IF(checklistPesertaKemenkeu!$AY$6:$AY$1005="Direkomendasikan",ROW($6:$1005)-5),833)+5)&amp;":O"&amp;(SMALL(IF(checklistPesertaKemenkeu!$AY$6:$AY$1005="Direkomendasikan",ROW($6:$1005)-5),833)+5)),INDEX(checklistPesertaKemenkeu!$M$6:$M$1005,SMALL(IF(checklistPesertaKemenkeu!$AY$6:$AY$1005="Direkomendasikan",ROW($6:$1005)-5),833)))=1),IFERROR(VLOOKUP(INDEX(checklistPesertaKemenkeu!$M$6:$M$1005,SMALL(IF(checklistPesertaKemenkeu!$AY$6:$AY$1005="Direkomendasikan",ROW($6:$1005)-5),833)),KotaKode,2,0),"-"),"")),"")</f>
        <v/>
      </c>
      <c r="J834" t="str">
        <f t="array" aca="1" ref="J834" ca="1">IFERROR(IF(OR(INDEX(checklistPesertaKemenkeu!$N$6:$N$1005,SMALL(IF(checklistPesertaKemenkeu!$AY$6:$AY$1005="Direkomendasikan",ROW($6:$1005)-5),833))="",INDEX(checklistPesertaKemenkeu!$J$6:$J$1005,SMALL(IF(checklistPesertaKemenkeu!$AY$6:$AY$1005="Direkomendasikan",ROW($6:$1005)-5),833))=""),"",IF(AND(COUNTIF(INDIRECT("K_"&amp;MATCH(INDEX(checklistPesertaKemenkeu!$J$6:$J$1005,SMALL(IF(checklistPesertaKemenkeu!$AY$6:$AY$1005="Direkomendasikan",ROW($6:$1005)-5),833)),BidangList,0)),INDEX(checklistPesertaKemenkeu!$N$6:$N$1005,SMALL(IF(checklistPesertaKemenkeu!$AY$6:$AY$1005="Direkomendasikan",ROW($6:$1005)-5),833)))&gt;0,COUNTIF(INDIRECT("'KERTAS KERJA'!K"&amp;(SMALL(IF(checklistPesertaKemenkeu!$AY$6:$AY$1005="Direkomendasikan",ROW($6:$1005)-5),833)+5)&amp;":O"&amp;(SMALL(IF(checklistPesertaKemenkeu!$AY$6:$AY$1005="Direkomendasikan",ROW($6:$1005)-5),833)+5)),INDEX(checklistPesertaKemenkeu!$N$6:$N$1005,SMALL(IF(checklistPesertaKemenkeu!$AY$6:$AY$1005="Direkomendasikan",ROW($6:$1005)-5),833)))=1),IFERROR(VLOOKUP(INDEX(checklistPesertaKemenkeu!$N$6:$N$1005,SMALL(IF(checklistPesertaKemenkeu!$AY$6:$AY$1005="Direkomendasikan",ROW($6:$1005)-5),833)),KotaKode,2,0),"-"),"")),"")</f>
        <v/>
      </c>
      <c r="K834" t="str">
        <f t="array" aca="1" ref="K834" ca="1">IFERROR(IF(OR(INDEX(checklistPesertaKemenkeu!$O$6:$O$1005,SMALL(IF(checklistPesertaKemenkeu!$AY$6:$AY$1005="Direkomendasikan",ROW($6:$1005)-5),833))="",INDEX(checklistPesertaKemenkeu!$J$6:$J$1005,SMALL(IF(checklistPesertaKemenkeu!$AY$6:$AY$1005="Direkomendasikan",ROW($6:$1005)-5),833))=""),"",IF(AND(COUNTIF(INDIRECT("K_"&amp;MATCH(INDEX(checklistPesertaKemenkeu!$J$6:$J$1005,SMALL(IF(checklistPesertaKemenkeu!$AY$6:$AY$1005="Direkomendasikan",ROW($6:$1005)-5),833)),BidangList,0)),INDEX(checklistPesertaKemenkeu!$O$6:$O$1005,SMALL(IF(checklistPesertaKemenkeu!$AY$6:$AY$1005="Direkomendasikan",ROW($6:$1005)-5),833)))&gt;0,COUNTIF(INDIRECT("'KERTAS KERJA'!K"&amp;(SMALL(IF(checklistPesertaKemenkeu!$AY$6:$AY$1005="Direkomendasikan",ROW($6:$1005)-5),833)+5)&amp;":O"&amp;(SMALL(IF(checklistPesertaKemenkeu!$AY$6:$AY$1005="Direkomendasikan",ROW($6:$1005)-5),833)+5)),INDEX(checklistPesertaKemenkeu!$O$6:$O$1005,SMALL(IF(checklistPesertaKemenkeu!$AY$6:$AY$1005="Direkomendasikan",ROW($6:$1005)-5),833)))=1),IFERROR(VLOOKUP(INDEX(checklistPesertaKemenkeu!$O$6:$O$1005,SMALL(IF(checklistPesertaKemenkeu!$AY$6:$AY$1005="Direkomendasikan",ROW($6:$1005)-5),833)),KotaKode,2,0),"-"),"")),"")</f>
        <v/>
      </c>
      <c r="L834" t="str">
        <f t="array" aca="1" ref="L834" ca="1">IFERROR(IF(OR(INDEX(checklistPesertaKemenkeu!$P$6:$P$1005,SMALL(IF(checklistPesertaKemenkeu!$AY$6:$AY$1005="Direkomendasikan",ROW($6:$1005)-5),833))="",INDEX(checklistPesertaKemenkeu!$J$6:$J$1005,SMALL(IF(checklistPesertaKemenkeu!$AY$6:$AY$1005="Direkomendasikan",ROW($6:$1005)-5),833))=""),"",IF(AND(COUNTIF(INDIRECT("K_"&amp;MATCH(INDEX(checklistPesertaKemenkeu!$J$6:$J$1005,SMALL(IF(checklistPesertaKemenkeu!$AY$6:$AY$1005="Direkomendasikan",ROW($6:$1005)-5),833)),BidangList,0)),INDEX(checklistPesertaKemenkeu!$P$6:$P$1005,SMALL(IF(checklistPesertaKemenkeu!$AY$6:$AY$1005="Direkomendasikan",ROW($6:$1005)-5),833)))&gt;0,COUNTIF(INDIRECT("'KERTAS KERJA'!K"&amp;(SMALL(IF(checklistPesertaKemenkeu!$AY$6:$AY$1005="Direkomendasikan",ROW($6:$1005)-5),833)+5)&amp;":O"&amp;(SMALL(IF(checklistPesertaKemenkeu!$AY$6:$AY$1005="Direkomendasikan",ROW($6:$1005)-5),833)+5)),INDEX(checklistPesertaKemenkeu!$P$6:$P$1005,SMALL(IF(checklistPesertaKemenkeu!$AY$6:$AY$1005="Direkomendasikan",ROW($6:$1005)-5),833)))=1),IFERROR(VLOOKUP(INDEX(checklistPesertaKemenkeu!$P$6:$P$1005,SMALL(IF(checklistPesertaKemenkeu!$AY$6:$AY$1005="Direkomendasikan",ROW($6:$1005)-5),833)),KotaKode,2,0),"-"),"")),"")</f>
        <v/>
      </c>
    </row>
    <row r="835" spans="1:12" ht="15" customHeight="1" x14ac:dyDescent="0.2">
      <c r="A835" t="str">
        <f t="shared" si="13"/>
        <v/>
      </c>
      <c r="B835" t="str">
        <v/>
      </c>
      <c r="C835" s="40" t="str">
        <f t="array" ref="C835">IFERROR(INDEX(checklistPesertaKemenkeu!$F$6:$F$1005,SMALL(IF(checklistPesertaKemenkeu!$AY$6:$AY$1005="Direkomendasikan",ROW($6:$1005)-5),834)),"")</f>
        <v/>
      </c>
      <c r="D835" t="str">
        <f t="array" ref="D835">IFERROR(INDEX(checklistPesertaKemenkeu!$G$6:$G$1005,SMALL(IF(checklistPesertaKemenkeu!$AY$6:$AY$1005="Direkomendasikan",ROW($6:$1005)-5),834)),"")</f>
        <v/>
      </c>
      <c r="E835" t="str">
        <f t="array" ref="E835">IFERROR(INDEX(checklistPesertaKemenkeu!$H$6:$H$1005,SMALL(IF(checklistPesertaKemenkeu!$AY$6:$AY$1005="Direkomendasikan",ROW($6:$1005)-5),834)),"")</f>
        <v/>
      </c>
      <c r="F835" t="str">
        <f t="array" ref="F835">IFERROR(INDEX(checklistPesertaKemenkeu!$I$6:$I$1005,SMALL(IF(checklistPesertaKemenkeu!$AY$6:$AY$1005="Direkomendasikan",ROW($6:$1005)-5),834)),"")</f>
        <v/>
      </c>
      <c r="G835" t="str">
        <f t="array" ref="G835">IFERROR(INDEX(checklistPesertaKemenkeu!$J$6:$J$1005,SMALL(IF(checklistPesertaKemenkeu!$AY$6:$AY$1005="Direkomendasikan",ROW($6:$1005)-5),834)),"")</f>
        <v/>
      </c>
      <c r="H835" t="str">
        <f t="array" aca="1" ref="H835" ca="1">IFERROR(IF(OR(INDEX(checklistPesertaKemenkeu!$L$6:$L$1005,SMALL(IF(checklistPesertaKemenkeu!$AY$6:$AY$1005="Direkomendasikan",ROW($6:$1005)-5),834))="",INDEX(checklistPesertaKemenkeu!$J$6:$J$1005,SMALL(IF(checklistPesertaKemenkeu!$AY$6:$AY$1005="Direkomendasikan",ROW($6:$1005)-5),834))=""),"",IF(AND(COUNTIF(INDIRECT("K_"&amp;MATCH(INDEX(checklistPesertaKemenkeu!$J$6:$J$1005,SMALL(IF(checklistPesertaKemenkeu!$AY$6:$AY$1005="Direkomendasikan",ROW($6:$1005)-5),834)),BidangList,0)),INDEX(checklistPesertaKemenkeu!$L$6:$L$1005,SMALL(IF(checklistPesertaKemenkeu!$AY$6:$AY$1005="Direkomendasikan",ROW($6:$1005)-5),834)))&gt;0,COUNTIF(INDIRECT("'KERTAS KERJA'!K"&amp;(SMALL(IF(checklistPesertaKemenkeu!$AY$6:$AY$1005="Direkomendasikan",ROW($6:$1005)-5),834)+5)&amp;":O"&amp;(SMALL(IF(checklistPesertaKemenkeu!$AY$6:$AY$1005="Direkomendasikan",ROW($6:$1005)-5),834)+5)),INDEX(checklistPesertaKemenkeu!$L$6:$L$1005,SMALL(IF(checklistPesertaKemenkeu!$AY$6:$AY$1005="Direkomendasikan",ROW($6:$1005)-5),834)))=1),IFERROR(VLOOKUP(INDEX(checklistPesertaKemenkeu!$L$6:$L$1005,SMALL(IF(checklistPesertaKemenkeu!$AY$6:$AY$1005="Direkomendasikan",ROW($6:$1005)-5),834)),KotaKode,2,0),"-"),"")),"")</f>
        <v/>
      </c>
      <c r="I835" t="str">
        <f t="array" aca="1" ref="I835" ca="1">IFERROR(IF(OR(INDEX(checklistPesertaKemenkeu!$M$6:$M$1005,SMALL(IF(checklistPesertaKemenkeu!$AY$6:$AY$1005="Direkomendasikan",ROW($6:$1005)-5),834))="",INDEX(checklistPesertaKemenkeu!$J$6:$J$1005,SMALL(IF(checklistPesertaKemenkeu!$AY$6:$AY$1005="Direkomendasikan",ROW($6:$1005)-5),834))=""),"",IF(AND(COUNTIF(INDIRECT("K_"&amp;MATCH(INDEX(checklistPesertaKemenkeu!$J$6:$J$1005,SMALL(IF(checklistPesertaKemenkeu!$AY$6:$AY$1005="Direkomendasikan",ROW($6:$1005)-5),834)),BidangList,0)),INDEX(checklistPesertaKemenkeu!$M$6:$M$1005,SMALL(IF(checklistPesertaKemenkeu!$AY$6:$AY$1005="Direkomendasikan",ROW($6:$1005)-5),834)))&gt;0,COUNTIF(INDIRECT("'KERTAS KERJA'!K"&amp;(SMALL(IF(checklistPesertaKemenkeu!$AY$6:$AY$1005="Direkomendasikan",ROW($6:$1005)-5),834)+5)&amp;":O"&amp;(SMALL(IF(checklistPesertaKemenkeu!$AY$6:$AY$1005="Direkomendasikan",ROW($6:$1005)-5),834)+5)),INDEX(checklistPesertaKemenkeu!$M$6:$M$1005,SMALL(IF(checklistPesertaKemenkeu!$AY$6:$AY$1005="Direkomendasikan",ROW($6:$1005)-5),834)))=1),IFERROR(VLOOKUP(INDEX(checklistPesertaKemenkeu!$M$6:$M$1005,SMALL(IF(checklistPesertaKemenkeu!$AY$6:$AY$1005="Direkomendasikan",ROW($6:$1005)-5),834)),KotaKode,2,0),"-"),"")),"")</f>
        <v/>
      </c>
      <c r="J835" t="str">
        <f t="array" aca="1" ref="J835" ca="1">IFERROR(IF(OR(INDEX(checklistPesertaKemenkeu!$N$6:$N$1005,SMALL(IF(checklistPesertaKemenkeu!$AY$6:$AY$1005="Direkomendasikan",ROW($6:$1005)-5),834))="",INDEX(checklistPesertaKemenkeu!$J$6:$J$1005,SMALL(IF(checklistPesertaKemenkeu!$AY$6:$AY$1005="Direkomendasikan",ROW($6:$1005)-5),834))=""),"",IF(AND(COUNTIF(INDIRECT("K_"&amp;MATCH(INDEX(checklistPesertaKemenkeu!$J$6:$J$1005,SMALL(IF(checklistPesertaKemenkeu!$AY$6:$AY$1005="Direkomendasikan",ROW($6:$1005)-5),834)),BidangList,0)),INDEX(checklistPesertaKemenkeu!$N$6:$N$1005,SMALL(IF(checklistPesertaKemenkeu!$AY$6:$AY$1005="Direkomendasikan",ROW($6:$1005)-5),834)))&gt;0,COUNTIF(INDIRECT("'KERTAS KERJA'!K"&amp;(SMALL(IF(checklistPesertaKemenkeu!$AY$6:$AY$1005="Direkomendasikan",ROW($6:$1005)-5),834)+5)&amp;":O"&amp;(SMALL(IF(checklistPesertaKemenkeu!$AY$6:$AY$1005="Direkomendasikan",ROW($6:$1005)-5),834)+5)),INDEX(checklistPesertaKemenkeu!$N$6:$N$1005,SMALL(IF(checklistPesertaKemenkeu!$AY$6:$AY$1005="Direkomendasikan",ROW($6:$1005)-5),834)))=1),IFERROR(VLOOKUP(INDEX(checklistPesertaKemenkeu!$N$6:$N$1005,SMALL(IF(checklistPesertaKemenkeu!$AY$6:$AY$1005="Direkomendasikan",ROW($6:$1005)-5),834)),KotaKode,2,0),"-"),"")),"")</f>
        <v/>
      </c>
      <c r="K835" t="str">
        <f t="array" aca="1" ref="K835" ca="1">IFERROR(IF(OR(INDEX(checklistPesertaKemenkeu!$O$6:$O$1005,SMALL(IF(checklistPesertaKemenkeu!$AY$6:$AY$1005="Direkomendasikan",ROW($6:$1005)-5),834))="",INDEX(checklistPesertaKemenkeu!$J$6:$J$1005,SMALL(IF(checklistPesertaKemenkeu!$AY$6:$AY$1005="Direkomendasikan",ROW($6:$1005)-5),834))=""),"",IF(AND(COUNTIF(INDIRECT("K_"&amp;MATCH(INDEX(checklistPesertaKemenkeu!$J$6:$J$1005,SMALL(IF(checklistPesertaKemenkeu!$AY$6:$AY$1005="Direkomendasikan",ROW($6:$1005)-5),834)),BidangList,0)),INDEX(checklistPesertaKemenkeu!$O$6:$O$1005,SMALL(IF(checklistPesertaKemenkeu!$AY$6:$AY$1005="Direkomendasikan",ROW($6:$1005)-5),834)))&gt;0,COUNTIF(INDIRECT("'KERTAS KERJA'!K"&amp;(SMALL(IF(checklistPesertaKemenkeu!$AY$6:$AY$1005="Direkomendasikan",ROW($6:$1005)-5),834)+5)&amp;":O"&amp;(SMALL(IF(checklistPesertaKemenkeu!$AY$6:$AY$1005="Direkomendasikan",ROW($6:$1005)-5),834)+5)),INDEX(checklistPesertaKemenkeu!$O$6:$O$1005,SMALL(IF(checklistPesertaKemenkeu!$AY$6:$AY$1005="Direkomendasikan",ROW($6:$1005)-5),834)))=1),IFERROR(VLOOKUP(INDEX(checklistPesertaKemenkeu!$O$6:$O$1005,SMALL(IF(checklistPesertaKemenkeu!$AY$6:$AY$1005="Direkomendasikan",ROW($6:$1005)-5),834)),KotaKode,2,0),"-"),"")),"")</f>
        <v/>
      </c>
      <c r="L835" t="str">
        <f t="array" aca="1" ref="L835" ca="1">IFERROR(IF(OR(INDEX(checklistPesertaKemenkeu!$P$6:$P$1005,SMALL(IF(checklistPesertaKemenkeu!$AY$6:$AY$1005="Direkomendasikan",ROW($6:$1005)-5),834))="",INDEX(checklistPesertaKemenkeu!$J$6:$J$1005,SMALL(IF(checklistPesertaKemenkeu!$AY$6:$AY$1005="Direkomendasikan",ROW($6:$1005)-5),834))=""),"",IF(AND(COUNTIF(INDIRECT("K_"&amp;MATCH(INDEX(checklistPesertaKemenkeu!$J$6:$J$1005,SMALL(IF(checklistPesertaKemenkeu!$AY$6:$AY$1005="Direkomendasikan",ROW($6:$1005)-5),834)),BidangList,0)),INDEX(checklistPesertaKemenkeu!$P$6:$P$1005,SMALL(IF(checklistPesertaKemenkeu!$AY$6:$AY$1005="Direkomendasikan",ROW($6:$1005)-5),834)))&gt;0,COUNTIF(INDIRECT("'KERTAS KERJA'!K"&amp;(SMALL(IF(checklistPesertaKemenkeu!$AY$6:$AY$1005="Direkomendasikan",ROW($6:$1005)-5),834)+5)&amp;":O"&amp;(SMALL(IF(checklistPesertaKemenkeu!$AY$6:$AY$1005="Direkomendasikan",ROW($6:$1005)-5),834)+5)),INDEX(checklistPesertaKemenkeu!$P$6:$P$1005,SMALL(IF(checklistPesertaKemenkeu!$AY$6:$AY$1005="Direkomendasikan",ROW($6:$1005)-5),834)))=1),IFERROR(VLOOKUP(INDEX(checklistPesertaKemenkeu!$P$6:$P$1005,SMALL(IF(checklistPesertaKemenkeu!$AY$6:$AY$1005="Direkomendasikan",ROW($6:$1005)-5),834)),KotaKode,2,0),"-"),"")),"")</f>
        <v/>
      </c>
    </row>
    <row r="836" spans="1:12" ht="15" customHeight="1" x14ac:dyDescent="0.2">
      <c r="A836" t="str">
        <f t="shared" si="13"/>
        <v/>
      </c>
      <c r="B836" t="str">
        <v/>
      </c>
      <c r="C836" s="40" t="str">
        <f t="array" ref="C836">IFERROR(INDEX(checklistPesertaKemenkeu!$F$6:$F$1005,SMALL(IF(checklistPesertaKemenkeu!$AY$6:$AY$1005="Direkomendasikan",ROW($6:$1005)-5),835)),"")</f>
        <v/>
      </c>
      <c r="D836" t="str">
        <f t="array" ref="D836">IFERROR(INDEX(checklistPesertaKemenkeu!$G$6:$G$1005,SMALL(IF(checklistPesertaKemenkeu!$AY$6:$AY$1005="Direkomendasikan",ROW($6:$1005)-5),835)),"")</f>
        <v/>
      </c>
      <c r="E836" t="str">
        <f t="array" ref="E836">IFERROR(INDEX(checklistPesertaKemenkeu!$H$6:$H$1005,SMALL(IF(checklistPesertaKemenkeu!$AY$6:$AY$1005="Direkomendasikan",ROW($6:$1005)-5),835)),"")</f>
        <v/>
      </c>
      <c r="F836" t="str">
        <f t="array" ref="F836">IFERROR(INDEX(checklistPesertaKemenkeu!$I$6:$I$1005,SMALL(IF(checklistPesertaKemenkeu!$AY$6:$AY$1005="Direkomendasikan",ROW($6:$1005)-5),835)),"")</f>
        <v/>
      </c>
      <c r="G836" t="str">
        <f t="array" ref="G836">IFERROR(INDEX(checklistPesertaKemenkeu!$J$6:$J$1005,SMALL(IF(checklistPesertaKemenkeu!$AY$6:$AY$1005="Direkomendasikan",ROW($6:$1005)-5),835)),"")</f>
        <v/>
      </c>
      <c r="H836" t="str">
        <f t="array" aca="1" ref="H836" ca="1">IFERROR(IF(OR(INDEX(checklistPesertaKemenkeu!$L$6:$L$1005,SMALL(IF(checklistPesertaKemenkeu!$AY$6:$AY$1005="Direkomendasikan",ROW($6:$1005)-5),835))="",INDEX(checklistPesertaKemenkeu!$J$6:$J$1005,SMALL(IF(checklistPesertaKemenkeu!$AY$6:$AY$1005="Direkomendasikan",ROW($6:$1005)-5),835))=""),"",IF(AND(COUNTIF(INDIRECT("K_"&amp;MATCH(INDEX(checklistPesertaKemenkeu!$J$6:$J$1005,SMALL(IF(checklistPesertaKemenkeu!$AY$6:$AY$1005="Direkomendasikan",ROW($6:$1005)-5),835)),BidangList,0)),INDEX(checklistPesertaKemenkeu!$L$6:$L$1005,SMALL(IF(checklistPesertaKemenkeu!$AY$6:$AY$1005="Direkomendasikan",ROW($6:$1005)-5),835)))&gt;0,COUNTIF(INDIRECT("'KERTAS KERJA'!K"&amp;(SMALL(IF(checklistPesertaKemenkeu!$AY$6:$AY$1005="Direkomendasikan",ROW($6:$1005)-5),835)+5)&amp;":O"&amp;(SMALL(IF(checklistPesertaKemenkeu!$AY$6:$AY$1005="Direkomendasikan",ROW($6:$1005)-5),835)+5)),INDEX(checklistPesertaKemenkeu!$L$6:$L$1005,SMALL(IF(checklistPesertaKemenkeu!$AY$6:$AY$1005="Direkomendasikan",ROW($6:$1005)-5),835)))=1),IFERROR(VLOOKUP(INDEX(checklistPesertaKemenkeu!$L$6:$L$1005,SMALL(IF(checklistPesertaKemenkeu!$AY$6:$AY$1005="Direkomendasikan",ROW($6:$1005)-5),835)),KotaKode,2,0),"-"),"")),"")</f>
        <v/>
      </c>
      <c r="I836" t="str">
        <f t="array" aca="1" ref="I836" ca="1">IFERROR(IF(OR(INDEX(checklistPesertaKemenkeu!$M$6:$M$1005,SMALL(IF(checklistPesertaKemenkeu!$AY$6:$AY$1005="Direkomendasikan",ROW($6:$1005)-5),835))="",INDEX(checklistPesertaKemenkeu!$J$6:$J$1005,SMALL(IF(checklistPesertaKemenkeu!$AY$6:$AY$1005="Direkomendasikan",ROW($6:$1005)-5),835))=""),"",IF(AND(COUNTIF(INDIRECT("K_"&amp;MATCH(INDEX(checklistPesertaKemenkeu!$J$6:$J$1005,SMALL(IF(checklistPesertaKemenkeu!$AY$6:$AY$1005="Direkomendasikan",ROW($6:$1005)-5),835)),BidangList,0)),INDEX(checklistPesertaKemenkeu!$M$6:$M$1005,SMALL(IF(checklistPesertaKemenkeu!$AY$6:$AY$1005="Direkomendasikan",ROW($6:$1005)-5),835)))&gt;0,COUNTIF(INDIRECT("'KERTAS KERJA'!K"&amp;(SMALL(IF(checklistPesertaKemenkeu!$AY$6:$AY$1005="Direkomendasikan",ROW($6:$1005)-5),835)+5)&amp;":O"&amp;(SMALL(IF(checklistPesertaKemenkeu!$AY$6:$AY$1005="Direkomendasikan",ROW($6:$1005)-5),835)+5)),INDEX(checklistPesertaKemenkeu!$M$6:$M$1005,SMALL(IF(checklistPesertaKemenkeu!$AY$6:$AY$1005="Direkomendasikan",ROW($6:$1005)-5),835)))=1),IFERROR(VLOOKUP(INDEX(checklistPesertaKemenkeu!$M$6:$M$1005,SMALL(IF(checklistPesertaKemenkeu!$AY$6:$AY$1005="Direkomendasikan",ROW($6:$1005)-5),835)),KotaKode,2,0),"-"),"")),"")</f>
        <v/>
      </c>
      <c r="J836" t="str">
        <f t="array" aca="1" ref="J836" ca="1">IFERROR(IF(OR(INDEX(checklistPesertaKemenkeu!$N$6:$N$1005,SMALL(IF(checklistPesertaKemenkeu!$AY$6:$AY$1005="Direkomendasikan",ROW($6:$1005)-5),835))="",INDEX(checklistPesertaKemenkeu!$J$6:$J$1005,SMALL(IF(checklistPesertaKemenkeu!$AY$6:$AY$1005="Direkomendasikan",ROW($6:$1005)-5),835))=""),"",IF(AND(COUNTIF(INDIRECT("K_"&amp;MATCH(INDEX(checklistPesertaKemenkeu!$J$6:$J$1005,SMALL(IF(checklistPesertaKemenkeu!$AY$6:$AY$1005="Direkomendasikan",ROW($6:$1005)-5),835)),BidangList,0)),INDEX(checklistPesertaKemenkeu!$N$6:$N$1005,SMALL(IF(checklistPesertaKemenkeu!$AY$6:$AY$1005="Direkomendasikan",ROW($6:$1005)-5),835)))&gt;0,COUNTIF(INDIRECT("'KERTAS KERJA'!K"&amp;(SMALL(IF(checklistPesertaKemenkeu!$AY$6:$AY$1005="Direkomendasikan",ROW($6:$1005)-5),835)+5)&amp;":O"&amp;(SMALL(IF(checklistPesertaKemenkeu!$AY$6:$AY$1005="Direkomendasikan",ROW($6:$1005)-5),835)+5)),INDEX(checklistPesertaKemenkeu!$N$6:$N$1005,SMALL(IF(checklistPesertaKemenkeu!$AY$6:$AY$1005="Direkomendasikan",ROW($6:$1005)-5),835)))=1),IFERROR(VLOOKUP(INDEX(checklistPesertaKemenkeu!$N$6:$N$1005,SMALL(IF(checklistPesertaKemenkeu!$AY$6:$AY$1005="Direkomendasikan",ROW($6:$1005)-5),835)),KotaKode,2,0),"-"),"")),"")</f>
        <v/>
      </c>
      <c r="K836" t="str">
        <f t="array" aca="1" ref="K836" ca="1">IFERROR(IF(OR(INDEX(checklistPesertaKemenkeu!$O$6:$O$1005,SMALL(IF(checklistPesertaKemenkeu!$AY$6:$AY$1005="Direkomendasikan",ROW($6:$1005)-5),835))="",INDEX(checklistPesertaKemenkeu!$J$6:$J$1005,SMALL(IF(checklistPesertaKemenkeu!$AY$6:$AY$1005="Direkomendasikan",ROW($6:$1005)-5),835))=""),"",IF(AND(COUNTIF(INDIRECT("K_"&amp;MATCH(INDEX(checklistPesertaKemenkeu!$J$6:$J$1005,SMALL(IF(checklistPesertaKemenkeu!$AY$6:$AY$1005="Direkomendasikan",ROW($6:$1005)-5),835)),BidangList,0)),INDEX(checklistPesertaKemenkeu!$O$6:$O$1005,SMALL(IF(checklistPesertaKemenkeu!$AY$6:$AY$1005="Direkomendasikan",ROW($6:$1005)-5),835)))&gt;0,COUNTIF(INDIRECT("'KERTAS KERJA'!K"&amp;(SMALL(IF(checklistPesertaKemenkeu!$AY$6:$AY$1005="Direkomendasikan",ROW($6:$1005)-5),835)+5)&amp;":O"&amp;(SMALL(IF(checklistPesertaKemenkeu!$AY$6:$AY$1005="Direkomendasikan",ROW($6:$1005)-5),835)+5)),INDEX(checklistPesertaKemenkeu!$O$6:$O$1005,SMALL(IF(checklistPesertaKemenkeu!$AY$6:$AY$1005="Direkomendasikan",ROW($6:$1005)-5),835)))=1),IFERROR(VLOOKUP(INDEX(checklistPesertaKemenkeu!$O$6:$O$1005,SMALL(IF(checklistPesertaKemenkeu!$AY$6:$AY$1005="Direkomendasikan",ROW($6:$1005)-5),835)),KotaKode,2,0),"-"),"")),"")</f>
        <v/>
      </c>
      <c r="L836" t="str">
        <f t="array" aca="1" ref="L836" ca="1">IFERROR(IF(OR(INDEX(checklistPesertaKemenkeu!$P$6:$P$1005,SMALL(IF(checklistPesertaKemenkeu!$AY$6:$AY$1005="Direkomendasikan",ROW($6:$1005)-5),835))="",INDEX(checklistPesertaKemenkeu!$J$6:$J$1005,SMALL(IF(checklistPesertaKemenkeu!$AY$6:$AY$1005="Direkomendasikan",ROW($6:$1005)-5),835))=""),"",IF(AND(COUNTIF(INDIRECT("K_"&amp;MATCH(INDEX(checklistPesertaKemenkeu!$J$6:$J$1005,SMALL(IF(checklistPesertaKemenkeu!$AY$6:$AY$1005="Direkomendasikan",ROW($6:$1005)-5),835)),BidangList,0)),INDEX(checklistPesertaKemenkeu!$P$6:$P$1005,SMALL(IF(checklistPesertaKemenkeu!$AY$6:$AY$1005="Direkomendasikan",ROW($6:$1005)-5),835)))&gt;0,COUNTIF(INDIRECT("'KERTAS KERJA'!K"&amp;(SMALL(IF(checklistPesertaKemenkeu!$AY$6:$AY$1005="Direkomendasikan",ROW($6:$1005)-5),835)+5)&amp;":O"&amp;(SMALL(IF(checklistPesertaKemenkeu!$AY$6:$AY$1005="Direkomendasikan",ROW($6:$1005)-5),835)+5)),INDEX(checklistPesertaKemenkeu!$P$6:$P$1005,SMALL(IF(checklistPesertaKemenkeu!$AY$6:$AY$1005="Direkomendasikan",ROW($6:$1005)-5),835)))=1),IFERROR(VLOOKUP(INDEX(checklistPesertaKemenkeu!$P$6:$P$1005,SMALL(IF(checklistPesertaKemenkeu!$AY$6:$AY$1005="Direkomendasikan",ROW($6:$1005)-5),835)),KotaKode,2,0),"-"),"")),"")</f>
        <v/>
      </c>
    </row>
    <row r="837" spans="1:12" ht="15" customHeight="1" x14ac:dyDescent="0.2">
      <c r="A837" t="str">
        <f t="shared" si="13"/>
        <v/>
      </c>
      <c r="B837" t="str">
        <v/>
      </c>
      <c r="C837" s="40" t="str">
        <f t="array" ref="C837">IFERROR(INDEX(checklistPesertaKemenkeu!$F$6:$F$1005,SMALL(IF(checklistPesertaKemenkeu!$AY$6:$AY$1005="Direkomendasikan",ROW($6:$1005)-5),836)),"")</f>
        <v/>
      </c>
      <c r="D837" t="str">
        <f t="array" ref="D837">IFERROR(INDEX(checklistPesertaKemenkeu!$G$6:$G$1005,SMALL(IF(checklistPesertaKemenkeu!$AY$6:$AY$1005="Direkomendasikan",ROW($6:$1005)-5),836)),"")</f>
        <v/>
      </c>
      <c r="E837" t="str">
        <f t="array" ref="E837">IFERROR(INDEX(checklistPesertaKemenkeu!$H$6:$H$1005,SMALL(IF(checklistPesertaKemenkeu!$AY$6:$AY$1005="Direkomendasikan",ROW($6:$1005)-5),836)),"")</f>
        <v/>
      </c>
      <c r="F837" t="str">
        <f t="array" ref="F837">IFERROR(INDEX(checklistPesertaKemenkeu!$I$6:$I$1005,SMALL(IF(checklistPesertaKemenkeu!$AY$6:$AY$1005="Direkomendasikan",ROW($6:$1005)-5),836)),"")</f>
        <v/>
      </c>
      <c r="G837" t="str">
        <f t="array" ref="G837">IFERROR(INDEX(checklistPesertaKemenkeu!$J$6:$J$1005,SMALL(IF(checklistPesertaKemenkeu!$AY$6:$AY$1005="Direkomendasikan",ROW($6:$1005)-5),836)),"")</f>
        <v/>
      </c>
      <c r="H837" t="str">
        <f t="array" aca="1" ref="H837" ca="1">IFERROR(IF(OR(INDEX(checklistPesertaKemenkeu!$L$6:$L$1005,SMALL(IF(checklistPesertaKemenkeu!$AY$6:$AY$1005="Direkomendasikan",ROW($6:$1005)-5),836))="",INDEX(checklistPesertaKemenkeu!$J$6:$J$1005,SMALL(IF(checklistPesertaKemenkeu!$AY$6:$AY$1005="Direkomendasikan",ROW($6:$1005)-5),836))=""),"",IF(AND(COUNTIF(INDIRECT("K_"&amp;MATCH(INDEX(checklistPesertaKemenkeu!$J$6:$J$1005,SMALL(IF(checklistPesertaKemenkeu!$AY$6:$AY$1005="Direkomendasikan",ROW($6:$1005)-5),836)),BidangList,0)),INDEX(checklistPesertaKemenkeu!$L$6:$L$1005,SMALL(IF(checklistPesertaKemenkeu!$AY$6:$AY$1005="Direkomendasikan",ROW($6:$1005)-5),836)))&gt;0,COUNTIF(INDIRECT("'KERTAS KERJA'!K"&amp;(SMALL(IF(checklistPesertaKemenkeu!$AY$6:$AY$1005="Direkomendasikan",ROW($6:$1005)-5),836)+5)&amp;":O"&amp;(SMALL(IF(checklistPesertaKemenkeu!$AY$6:$AY$1005="Direkomendasikan",ROW($6:$1005)-5),836)+5)),INDEX(checklistPesertaKemenkeu!$L$6:$L$1005,SMALL(IF(checklistPesertaKemenkeu!$AY$6:$AY$1005="Direkomendasikan",ROW($6:$1005)-5),836)))=1),IFERROR(VLOOKUP(INDEX(checklistPesertaKemenkeu!$L$6:$L$1005,SMALL(IF(checklistPesertaKemenkeu!$AY$6:$AY$1005="Direkomendasikan",ROW($6:$1005)-5),836)),KotaKode,2,0),"-"),"")),"")</f>
        <v/>
      </c>
      <c r="I837" t="str">
        <f t="array" aca="1" ref="I837" ca="1">IFERROR(IF(OR(INDEX(checklistPesertaKemenkeu!$M$6:$M$1005,SMALL(IF(checklistPesertaKemenkeu!$AY$6:$AY$1005="Direkomendasikan",ROW($6:$1005)-5),836))="",INDEX(checklistPesertaKemenkeu!$J$6:$J$1005,SMALL(IF(checklistPesertaKemenkeu!$AY$6:$AY$1005="Direkomendasikan",ROW($6:$1005)-5),836))=""),"",IF(AND(COUNTIF(INDIRECT("K_"&amp;MATCH(INDEX(checklistPesertaKemenkeu!$J$6:$J$1005,SMALL(IF(checklistPesertaKemenkeu!$AY$6:$AY$1005="Direkomendasikan",ROW($6:$1005)-5),836)),BidangList,0)),INDEX(checklistPesertaKemenkeu!$M$6:$M$1005,SMALL(IF(checklistPesertaKemenkeu!$AY$6:$AY$1005="Direkomendasikan",ROW($6:$1005)-5),836)))&gt;0,COUNTIF(INDIRECT("'KERTAS KERJA'!K"&amp;(SMALL(IF(checklistPesertaKemenkeu!$AY$6:$AY$1005="Direkomendasikan",ROW($6:$1005)-5),836)+5)&amp;":O"&amp;(SMALL(IF(checklistPesertaKemenkeu!$AY$6:$AY$1005="Direkomendasikan",ROW($6:$1005)-5),836)+5)),INDEX(checklistPesertaKemenkeu!$M$6:$M$1005,SMALL(IF(checklistPesertaKemenkeu!$AY$6:$AY$1005="Direkomendasikan",ROW($6:$1005)-5),836)))=1),IFERROR(VLOOKUP(INDEX(checklistPesertaKemenkeu!$M$6:$M$1005,SMALL(IF(checklistPesertaKemenkeu!$AY$6:$AY$1005="Direkomendasikan",ROW($6:$1005)-5),836)),KotaKode,2,0),"-"),"")),"")</f>
        <v/>
      </c>
      <c r="J837" t="str">
        <f t="array" aca="1" ref="J837" ca="1">IFERROR(IF(OR(INDEX(checklistPesertaKemenkeu!$N$6:$N$1005,SMALL(IF(checklistPesertaKemenkeu!$AY$6:$AY$1005="Direkomendasikan",ROW($6:$1005)-5),836))="",INDEX(checklistPesertaKemenkeu!$J$6:$J$1005,SMALL(IF(checklistPesertaKemenkeu!$AY$6:$AY$1005="Direkomendasikan",ROW($6:$1005)-5),836))=""),"",IF(AND(COUNTIF(INDIRECT("K_"&amp;MATCH(INDEX(checklistPesertaKemenkeu!$J$6:$J$1005,SMALL(IF(checklistPesertaKemenkeu!$AY$6:$AY$1005="Direkomendasikan",ROW($6:$1005)-5),836)),BidangList,0)),INDEX(checklistPesertaKemenkeu!$N$6:$N$1005,SMALL(IF(checklistPesertaKemenkeu!$AY$6:$AY$1005="Direkomendasikan",ROW($6:$1005)-5),836)))&gt;0,COUNTIF(INDIRECT("'KERTAS KERJA'!K"&amp;(SMALL(IF(checklistPesertaKemenkeu!$AY$6:$AY$1005="Direkomendasikan",ROW($6:$1005)-5),836)+5)&amp;":O"&amp;(SMALL(IF(checklistPesertaKemenkeu!$AY$6:$AY$1005="Direkomendasikan",ROW($6:$1005)-5),836)+5)),INDEX(checklistPesertaKemenkeu!$N$6:$N$1005,SMALL(IF(checklistPesertaKemenkeu!$AY$6:$AY$1005="Direkomendasikan",ROW($6:$1005)-5),836)))=1),IFERROR(VLOOKUP(INDEX(checklistPesertaKemenkeu!$N$6:$N$1005,SMALL(IF(checklistPesertaKemenkeu!$AY$6:$AY$1005="Direkomendasikan",ROW($6:$1005)-5),836)),KotaKode,2,0),"-"),"")),"")</f>
        <v/>
      </c>
      <c r="K837" t="str">
        <f t="array" aca="1" ref="K837" ca="1">IFERROR(IF(OR(INDEX(checklistPesertaKemenkeu!$O$6:$O$1005,SMALL(IF(checklistPesertaKemenkeu!$AY$6:$AY$1005="Direkomendasikan",ROW($6:$1005)-5),836))="",INDEX(checklistPesertaKemenkeu!$J$6:$J$1005,SMALL(IF(checklistPesertaKemenkeu!$AY$6:$AY$1005="Direkomendasikan",ROW($6:$1005)-5),836))=""),"",IF(AND(COUNTIF(INDIRECT("K_"&amp;MATCH(INDEX(checklistPesertaKemenkeu!$J$6:$J$1005,SMALL(IF(checklistPesertaKemenkeu!$AY$6:$AY$1005="Direkomendasikan",ROW($6:$1005)-5),836)),BidangList,0)),INDEX(checklistPesertaKemenkeu!$O$6:$O$1005,SMALL(IF(checklistPesertaKemenkeu!$AY$6:$AY$1005="Direkomendasikan",ROW($6:$1005)-5),836)))&gt;0,COUNTIF(INDIRECT("'KERTAS KERJA'!K"&amp;(SMALL(IF(checklistPesertaKemenkeu!$AY$6:$AY$1005="Direkomendasikan",ROW($6:$1005)-5),836)+5)&amp;":O"&amp;(SMALL(IF(checklistPesertaKemenkeu!$AY$6:$AY$1005="Direkomendasikan",ROW($6:$1005)-5),836)+5)),INDEX(checklistPesertaKemenkeu!$O$6:$O$1005,SMALL(IF(checklistPesertaKemenkeu!$AY$6:$AY$1005="Direkomendasikan",ROW($6:$1005)-5),836)))=1),IFERROR(VLOOKUP(INDEX(checklistPesertaKemenkeu!$O$6:$O$1005,SMALL(IF(checklistPesertaKemenkeu!$AY$6:$AY$1005="Direkomendasikan",ROW($6:$1005)-5),836)),KotaKode,2,0),"-"),"")),"")</f>
        <v/>
      </c>
      <c r="L837" t="str">
        <f t="array" aca="1" ref="L837" ca="1">IFERROR(IF(OR(INDEX(checklistPesertaKemenkeu!$P$6:$P$1005,SMALL(IF(checklistPesertaKemenkeu!$AY$6:$AY$1005="Direkomendasikan",ROW($6:$1005)-5),836))="",INDEX(checklistPesertaKemenkeu!$J$6:$J$1005,SMALL(IF(checklistPesertaKemenkeu!$AY$6:$AY$1005="Direkomendasikan",ROW($6:$1005)-5),836))=""),"",IF(AND(COUNTIF(INDIRECT("K_"&amp;MATCH(INDEX(checklistPesertaKemenkeu!$J$6:$J$1005,SMALL(IF(checklistPesertaKemenkeu!$AY$6:$AY$1005="Direkomendasikan",ROW($6:$1005)-5),836)),BidangList,0)),INDEX(checklistPesertaKemenkeu!$P$6:$P$1005,SMALL(IF(checklistPesertaKemenkeu!$AY$6:$AY$1005="Direkomendasikan",ROW($6:$1005)-5),836)))&gt;0,COUNTIF(INDIRECT("'KERTAS KERJA'!K"&amp;(SMALL(IF(checklistPesertaKemenkeu!$AY$6:$AY$1005="Direkomendasikan",ROW($6:$1005)-5),836)+5)&amp;":O"&amp;(SMALL(IF(checklistPesertaKemenkeu!$AY$6:$AY$1005="Direkomendasikan",ROW($6:$1005)-5),836)+5)),INDEX(checklistPesertaKemenkeu!$P$6:$P$1005,SMALL(IF(checklistPesertaKemenkeu!$AY$6:$AY$1005="Direkomendasikan",ROW($6:$1005)-5),836)))=1),IFERROR(VLOOKUP(INDEX(checklistPesertaKemenkeu!$P$6:$P$1005,SMALL(IF(checklistPesertaKemenkeu!$AY$6:$AY$1005="Direkomendasikan",ROW($6:$1005)-5),836)),KotaKode,2,0),"-"),"")),"")</f>
        <v/>
      </c>
    </row>
    <row r="838" spans="1:12" ht="15" customHeight="1" x14ac:dyDescent="0.2">
      <c r="A838" t="str">
        <f t="shared" si="13"/>
        <v/>
      </c>
      <c r="B838" t="str">
        <v/>
      </c>
      <c r="C838" s="40" t="str">
        <f t="array" ref="C838">IFERROR(INDEX(checklistPesertaKemenkeu!$F$6:$F$1005,SMALL(IF(checklistPesertaKemenkeu!$AY$6:$AY$1005="Direkomendasikan",ROW($6:$1005)-5),837)),"")</f>
        <v/>
      </c>
      <c r="D838" t="str">
        <f t="array" ref="D838">IFERROR(INDEX(checklistPesertaKemenkeu!$G$6:$G$1005,SMALL(IF(checklistPesertaKemenkeu!$AY$6:$AY$1005="Direkomendasikan",ROW($6:$1005)-5),837)),"")</f>
        <v/>
      </c>
      <c r="E838" t="str">
        <f t="array" ref="E838">IFERROR(INDEX(checklistPesertaKemenkeu!$H$6:$H$1005,SMALL(IF(checklistPesertaKemenkeu!$AY$6:$AY$1005="Direkomendasikan",ROW($6:$1005)-5),837)),"")</f>
        <v/>
      </c>
      <c r="F838" t="str">
        <f t="array" ref="F838">IFERROR(INDEX(checklistPesertaKemenkeu!$I$6:$I$1005,SMALL(IF(checklistPesertaKemenkeu!$AY$6:$AY$1005="Direkomendasikan",ROW($6:$1005)-5),837)),"")</f>
        <v/>
      </c>
      <c r="G838" t="str">
        <f t="array" ref="G838">IFERROR(INDEX(checklistPesertaKemenkeu!$J$6:$J$1005,SMALL(IF(checklistPesertaKemenkeu!$AY$6:$AY$1005="Direkomendasikan",ROW($6:$1005)-5),837)),"")</f>
        <v/>
      </c>
      <c r="H838" t="str">
        <f t="array" aca="1" ref="H838" ca="1">IFERROR(IF(OR(INDEX(checklistPesertaKemenkeu!$L$6:$L$1005,SMALL(IF(checklistPesertaKemenkeu!$AY$6:$AY$1005="Direkomendasikan",ROW($6:$1005)-5),837))="",INDEX(checklistPesertaKemenkeu!$J$6:$J$1005,SMALL(IF(checklistPesertaKemenkeu!$AY$6:$AY$1005="Direkomendasikan",ROW($6:$1005)-5),837))=""),"",IF(AND(COUNTIF(INDIRECT("K_"&amp;MATCH(INDEX(checklistPesertaKemenkeu!$J$6:$J$1005,SMALL(IF(checklistPesertaKemenkeu!$AY$6:$AY$1005="Direkomendasikan",ROW($6:$1005)-5),837)),BidangList,0)),INDEX(checklistPesertaKemenkeu!$L$6:$L$1005,SMALL(IF(checklistPesertaKemenkeu!$AY$6:$AY$1005="Direkomendasikan",ROW($6:$1005)-5),837)))&gt;0,COUNTIF(INDIRECT("'KERTAS KERJA'!K"&amp;(SMALL(IF(checklistPesertaKemenkeu!$AY$6:$AY$1005="Direkomendasikan",ROW($6:$1005)-5),837)+5)&amp;":O"&amp;(SMALL(IF(checklistPesertaKemenkeu!$AY$6:$AY$1005="Direkomendasikan",ROW($6:$1005)-5),837)+5)),INDEX(checklistPesertaKemenkeu!$L$6:$L$1005,SMALL(IF(checklistPesertaKemenkeu!$AY$6:$AY$1005="Direkomendasikan",ROW($6:$1005)-5),837)))=1),IFERROR(VLOOKUP(INDEX(checklistPesertaKemenkeu!$L$6:$L$1005,SMALL(IF(checklistPesertaKemenkeu!$AY$6:$AY$1005="Direkomendasikan",ROW($6:$1005)-5),837)),KotaKode,2,0),"-"),"")),"")</f>
        <v/>
      </c>
      <c r="I838" t="str">
        <f t="array" aca="1" ref="I838" ca="1">IFERROR(IF(OR(INDEX(checklistPesertaKemenkeu!$M$6:$M$1005,SMALL(IF(checklistPesertaKemenkeu!$AY$6:$AY$1005="Direkomendasikan",ROW($6:$1005)-5),837))="",INDEX(checklistPesertaKemenkeu!$J$6:$J$1005,SMALL(IF(checklistPesertaKemenkeu!$AY$6:$AY$1005="Direkomendasikan",ROW($6:$1005)-5),837))=""),"",IF(AND(COUNTIF(INDIRECT("K_"&amp;MATCH(INDEX(checklistPesertaKemenkeu!$J$6:$J$1005,SMALL(IF(checklistPesertaKemenkeu!$AY$6:$AY$1005="Direkomendasikan",ROW($6:$1005)-5),837)),BidangList,0)),INDEX(checklistPesertaKemenkeu!$M$6:$M$1005,SMALL(IF(checklistPesertaKemenkeu!$AY$6:$AY$1005="Direkomendasikan",ROW($6:$1005)-5),837)))&gt;0,COUNTIF(INDIRECT("'KERTAS KERJA'!K"&amp;(SMALL(IF(checklistPesertaKemenkeu!$AY$6:$AY$1005="Direkomendasikan",ROW($6:$1005)-5),837)+5)&amp;":O"&amp;(SMALL(IF(checklistPesertaKemenkeu!$AY$6:$AY$1005="Direkomendasikan",ROW($6:$1005)-5),837)+5)),INDEX(checklistPesertaKemenkeu!$M$6:$M$1005,SMALL(IF(checklistPesertaKemenkeu!$AY$6:$AY$1005="Direkomendasikan",ROW($6:$1005)-5),837)))=1),IFERROR(VLOOKUP(INDEX(checklistPesertaKemenkeu!$M$6:$M$1005,SMALL(IF(checklistPesertaKemenkeu!$AY$6:$AY$1005="Direkomendasikan",ROW($6:$1005)-5),837)),KotaKode,2,0),"-"),"")),"")</f>
        <v/>
      </c>
      <c r="J838" t="str">
        <f t="array" aca="1" ref="J838" ca="1">IFERROR(IF(OR(INDEX(checklistPesertaKemenkeu!$N$6:$N$1005,SMALL(IF(checklistPesertaKemenkeu!$AY$6:$AY$1005="Direkomendasikan",ROW($6:$1005)-5),837))="",INDEX(checklistPesertaKemenkeu!$J$6:$J$1005,SMALL(IF(checklistPesertaKemenkeu!$AY$6:$AY$1005="Direkomendasikan",ROW($6:$1005)-5),837))=""),"",IF(AND(COUNTIF(INDIRECT("K_"&amp;MATCH(INDEX(checklistPesertaKemenkeu!$J$6:$J$1005,SMALL(IF(checklistPesertaKemenkeu!$AY$6:$AY$1005="Direkomendasikan",ROW($6:$1005)-5),837)),BidangList,0)),INDEX(checklistPesertaKemenkeu!$N$6:$N$1005,SMALL(IF(checklistPesertaKemenkeu!$AY$6:$AY$1005="Direkomendasikan",ROW($6:$1005)-5),837)))&gt;0,COUNTIF(INDIRECT("'KERTAS KERJA'!K"&amp;(SMALL(IF(checklistPesertaKemenkeu!$AY$6:$AY$1005="Direkomendasikan",ROW($6:$1005)-5),837)+5)&amp;":O"&amp;(SMALL(IF(checklistPesertaKemenkeu!$AY$6:$AY$1005="Direkomendasikan",ROW($6:$1005)-5),837)+5)),INDEX(checklistPesertaKemenkeu!$N$6:$N$1005,SMALL(IF(checklistPesertaKemenkeu!$AY$6:$AY$1005="Direkomendasikan",ROW($6:$1005)-5),837)))=1),IFERROR(VLOOKUP(INDEX(checklistPesertaKemenkeu!$N$6:$N$1005,SMALL(IF(checklistPesertaKemenkeu!$AY$6:$AY$1005="Direkomendasikan",ROW($6:$1005)-5),837)),KotaKode,2,0),"-"),"")),"")</f>
        <v/>
      </c>
      <c r="K838" t="str">
        <f t="array" aca="1" ref="K838" ca="1">IFERROR(IF(OR(INDEX(checklistPesertaKemenkeu!$O$6:$O$1005,SMALL(IF(checklistPesertaKemenkeu!$AY$6:$AY$1005="Direkomendasikan",ROW($6:$1005)-5),837))="",INDEX(checklistPesertaKemenkeu!$J$6:$J$1005,SMALL(IF(checklistPesertaKemenkeu!$AY$6:$AY$1005="Direkomendasikan",ROW($6:$1005)-5),837))=""),"",IF(AND(COUNTIF(INDIRECT("K_"&amp;MATCH(INDEX(checklistPesertaKemenkeu!$J$6:$J$1005,SMALL(IF(checklistPesertaKemenkeu!$AY$6:$AY$1005="Direkomendasikan",ROW($6:$1005)-5),837)),BidangList,0)),INDEX(checklistPesertaKemenkeu!$O$6:$O$1005,SMALL(IF(checklistPesertaKemenkeu!$AY$6:$AY$1005="Direkomendasikan",ROW($6:$1005)-5),837)))&gt;0,COUNTIF(INDIRECT("'KERTAS KERJA'!K"&amp;(SMALL(IF(checklistPesertaKemenkeu!$AY$6:$AY$1005="Direkomendasikan",ROW($6:$1005)-5),837)+5)&amp;":O"&amp;(SMALL(IF(checklistPesertaKemenkeu!$AY$6:$AY$1005="Direkomendasikan",ROW($6:$1005)-5),837)+5)),INDEX(checklistPesertaKemenkeu!$O$6:$O$1005,SMALL(IF(checklistPesertaKemenkeu!$AY$6:$AY$1005="Direkomendasikan",ROW($6:$1005)-5),837)))=1),IFERROR(VLOOKUP(INDEX(checklistPesertaKemenkeu!$O$6:$O$1005,SMALL(IF(checklistPesertaKemenkeu!$AY$6:$AY$1005="Direkomendasikan",ROW($6:$1005)-5),837)),KotaKode,2,0),"-"),"")),"")</f>
        <v/>
      </c>
      <c r="L838" t="str">
        <f t="array" aca="1" ref="L838" ca="1">IFERROR(IF(OR(INDEX(checklistPesertaKemenkeu!$P$6:$P$1005,SMALL(IF(checklistPesertaKemenkeu!$AY$6:$AY$1005="Direkomendasikan",ROW($6:$1005)-5),837))="",INDEX(checklistPesertaKemenkeu!$J$6:$J$1005,SMALL(IF(checklistPesertaKemenkeu!$AY$6:$AY$1005="Direkomendasikan",ROW($6:$1005)-5),837))=""),"",IF(AND(COUNTIF(INDIRECT("K_"&amp;MATCH(INDEX(checklistPesertaKemenkeu!$J$6:$J$1005,SMALL(IF(checklistPesertaKemenkeu!$AY$6:$AY$1005="Direkomendasikan",ROW($6:$1005)-5),837)),BidangList,0)),INDEX(checklistPesertaKemenkeu!$P$6:$P$1005,SMALL(IF(checklistPesertaKemenkeu!$AY$6:$AY$1005="Direkomendasikan",ROW($6:$1005)-5),837)))&gt;0,COUNTIF(INDIRECT("'KERTAS KERJA'!K"&amp;(SMALL(IF(checklistPesertaKemenkeu!$AY$6:$AY$1005="Direkomendasikan",ROW($6:$1005)-5),837)+5)&amp;":O"&amp;(SMALL(IF(checklistPesertaKemenkeu!$AY$6:$AY$1005="Direkomendasikan",ROW($6:$1005)-5),837)+5)),INDEX(checklistPesertaKemenkeu!$P$6:$P$1005,SMALL(IF(checklistPesertaKemenkeu!$AY$6:$AY$1005="Direkomendasikan",ROW($6:$1005)-5),837)))=1),IFERROR(VLOOKUP(INDEX(checklistPesertaKemenkeu!$P$6:$P$1005,SMALL(IF(checklistPesertaKemenkeu!$AY$6:$AY$1005="Direkomendasikan",ROW($6:$1005)-5),837)),KotaKode,2,0),"-"),"")),"")</f>
        <v/>
      </c>
    </row>
    <row r="839" spans="1:12" ht="15" customHeight="1" x14ac:dyDescent="0.2">
      <c r="A839" t="str">
        <f t="shared" si="13"/>
        <v/>
      </c>
      <c r="B839" t="str">
        <v/>
      </c>
      <c r="C839" s="40" t="str">
        <f t="array" ref="C839">IFERROR(INDEX(checklistPesertaKemenkeu!$F$6:$F$1005,SMALL(IF(checklistPesertaKemenkeu!$AY$6:$AY$1005="Direkomendasikan",ROW($6:$1005)-5),838)),"")</f>
        <v/>
      </c>
      <c r="D839" t="str">
        <f t="array" ref="D839">IFERROR(INDEX(checklistPesertaKemenkeu!$G$6:$G$1005,SMALL(IF(checklistPesertaKemenkeu!$AY$6:$AY$1005="Direkomendasikan",ROW($6:$1005)-5),838)),"")</f>
        <v/>
      </c>
      <c r="E839" t="str">
        <f t="array" ref="E839">IFERROR(INDEX(checklistPesertaKemenkeu!$H$6:$H$1005,SMALL(IF(checklistPesertaKemenkeu!$AY$6:$AY$1005="Direkomendasikan",ROW($6:$1005)-5),838)),"")</f>
        <v/>
      </c>
      <c r="F839" t="str">
        <f t="array" ref="F839">IFERROR(INDEX(checklistPesertaKemenkeu!$I$6:$I$1005,SMALL(IF(checklistPesertaKemenkeu!$AY$6:$AY$1005="Direkomendasikan",ROW($6:$1005)-5),838)),"")</f>
        <v/>
      </c>
      <c r="G839" t="str">
        <f t="array" ref="G839">IFERROR(INDEX(checklistPesertaKemenkeu!$J$6:$J$1005,SMALL(IF(checklistPesertaKemenkeu!$AY$6:$AY$1005="Direkomendasikan",ROW($6:$1005)-5),838)),"")</f>
        <v/>
      </c>
      <c r="H839" t="str">
        <f t="array" aca="1" ref="H839" ca="1">IFERROR(IF(OR(INDEX(checklistPesertaKemenkeu!$L$6:$L$1005,SMALL(IF(checklistPesertaKemenkeu!$AY$6:$AY$1005="Direkomendasikan",ROW($6:$1005)-5),838))="",INDEX(checklistPesertaKemenkeu!$J$6:$J$1005,SMALL(IF(checklistPesertaKemenkeu!$AY$6:$AY$1005="Direkomendasikan",ROW($6:$1005)-5),838))=""),"",IF(AND(COUNTIF(INDIRECT("K_"&amp;MATCH(INDEX(checklistPesertaKemenkeu!$J$6:$J$1005,SMALL(IF(checklistPesertaKemenkeu!$AY$6:$AY$1005="Direkomendasikan",ROW($6:$1005)-5),838)),BidangList,0)),INDEX(checklistPesertaKemenkeu!$L$6:$L$1005,SMALL(IF(checklistPesertaKemenkeu!$AY$6:$AY$1005="Direkomendasikan",ROW($6:$1005)-5),838)))&gt;0,COUNTIF(INDIRECT("'KERTAS KERJA'!K"&amp;(SMALL(IF(checklistPesertaKemenkeu!$AY$6:$AY$1005="Direkomendasikan",ROW($6:$1005)-5),838)+5)&amp;":O"&amp;(SMALL(IF(checklistPesertaKemenkeu!$AY$6:$AY$1005="Direkomendasikan",ROW($6:$1005)-5),838)+5)),INDEX(checklistPesertaKemenkeu!$L$6:$L$1005,SMALL(IF(checklistPesertaKemenkeu!$AY$6:$AY$1005="Direkomendasikan",ROW($6:$1005)-5),838)))=1),IFERROR(VLOOKUP(INDEX(checklistPesertaKemenkeu!$L$6:$L$1005,SMALL(IF(checklistPesertaKemenkeu!$AY$6:$AY$1005="Direkomendasikan",ROW($6:$1005)-5),838)),KotaKode,2,0),"-"),"")),"")</f>
        <v/>
      </c>
      <c r="I839" t="str">
        <f t="array" aca="1" ref="I839" ca="1">IFERROR(IF(OR(INDEX(checklistPesertaKemenkeu!$M$6:$M$1005,SMALL(IF(checklistPesertaKemenkeu!$AY$6:$AY$1005="Direkomendasikan",ROW($6:$1005)-5),838))="",INDEX(checklistPesertaKemenkeu!$J$6:$J$1005,SMALL(IF(checklistPesertaKemenkeu!$AY$6:$AY$1005="Direkomendasikan",ROW($6:$1005)-5),838))=""),"",IF(AND(COUNTIF(INDIRECT("K_"&amp;MATCH(INDEX(checklistPesertaKemenkeu!$J$6:$J$1005,SMALL(IF(checklistPesertaKemenkeu!$AY$6:$AY$1005="Direkomendasikan",ROW($6:$1005)-5),838)),BidangList,0)),INDEX(checklistPesertaKemenkeu!$M$6:$M$1005,SMALL(IF(checklistPesertaKemenkeu!$AY$6:$AY$1005="Direkomendasikan",ROW($6:$1005)-5),838)))&gt;0,COUNTIF(INDIRECT("'KERTAS KERJA'!K"&amp;(SMALL(IF(checklistPesertaKemenkeu!$AY$6:$AY$1005="Direkomendasikan",ROW($6:$1005)-5),838)+5)&amp;":O"&amp;(SMALL(IF(checklistPesertaKemenkeu!$AY$6:$AY$1005="Direkomendasikan",ROW($6:$1005)-5),838)+5)),INDEX(checklistPesertaKemenkeu!$M$6:$M$1005,SMALL(IF(checklistPesertaKemenkeu!$AY$6:$AY$1005="Direkomendasikan",ROW($6:$1005)-5),838)))=1),IFERROR(VLOOKUP(INDEX(checklistPesertaKemenkeu!$M$6:$M$1005,SMALL(IF(checklistPesertaKemenkeu!$AY$6:$AY$1005="Direkomendasikan",ROW($6:$1005)-5),838)),KotaKode,2,0),"-"),"")),"")</f>
        <v/>
      </c>
      <c r="J839" t="str">
        <f t="array" aca="1" ref="J839" ca="1">IFERROR(IF(OR(INDEX(checklistPesertaKemenkeu!$N$6:$N$1005,SMALL(IF(checklistPesertaKemenkeu!$AY$6:$AY$1005="Direkomendasikan",ROW($6:$1005)-5),838))="",INDEX(checklistPesertaKemenkeu!$J$6:$J$1005,SMALL(IF(checklistPesertaKemenkeu!$AY$6:$AY$1005="Direkomendasikan",ROW($6:$1005)-5),838))=""),"",IF(AND(COUNTIF(INDIRECT("K_"&amp;MATCH(INDEX(checklistPesertaKemenkeu!$J$6:$J$1005,SMALL(IF(checklistPesertaKemenkeu!$AY$6:$AY$1005="Direkomendasikan",ROW($6:$1005)-5),838)),BidangList,0)),INDEX(checklistPesertaKemenkeu!$N$6:$N$1005,SMALL(IF(checklistPesertaKemenkeu!$AY$6:$AY$1005="Direkomendasikan",ROW($6:$1005)-5),838)))&gt;0,COUNTIF(INDIRECT("'KERTAS KERJA'!K"&amp;(SMALL(IF(checklistPesertaKemenkeu!$AY$6:$AY$1005="Direkomendasikan",ROW($6:$1005)-5),838)+5)&amp;":O"&amp;(SMALL(IF(checklistPesertaKemenkeu!$AY$6:$AY$1005="Direkomendasikan",ROW($6:$1005)-5),838)+5)),INDEX(checklistPesertaKemenkeu!$N$6:$N$1005,SMALL(IF(checklistPesertaKemenkeu!$AY$6:$AY$1005="Direkomendasikan",ROW($6:$1005)-5),838)))=1),IFERROR(VLOOKUP(INDEX(checklistPesertaKemenkeu!$N$6:$N$1005,SMALL(IF(checklistPesertaKemenkeu!$AY$6:$AY$1005="Direkomendasikan",ROW($6:$1005)-5),838)),KotaKode,2,0),"-"),"")),"")</f>
        <v/>
      </c>
      <c r="K839" t="str">
        <f t="array" aca="1" ref="K839" ca="1">IFERROR(IF(OR(INDEX(checklistPesertaKemenkeu!$O$6:$O$1005,SMALL(IF(checklistPesertaKemenkeu!$AY$6:$AY$1005="Direkomendasikan",ROW($6:$1005)-5),838))="",INDEX(checklistPesertaKemenkeu!$J$6:$J$1005,SMALL(IF(checklistPesertaKemenkeu!$AY$6:$AY$1005="Direkomendasikan",ROW($6:$1005)-5),838))=""),"",IF(AND(COUNTIF(INDIRECT("K_"&amp;MATCH(INDEX(checklistPesertaKemenkeu!$J$6:$J$1005,SMALL(IF(checklistPesertaKemenkeu!$AY$6:$AY$1005="Direkomendasikan",ROW($6:$1005)-5),838)),BidangList,0)),INDEX(checklistPesertaKemenkeu!$O$6:$O$1005,SMALL(IF(checklistPesertaKemenkeu!$AY$6:$AY$1005="Direkomendasikan",ROW($6:$1005)-5),838)))&gt;0,COUNTIF(INDIRECT("'KERTAS KERJA'!K"&amp;(SMALL(IF(checklistPesertaKemenkeu!$AY$6:$AY$1005="Direkomendasikan",ROW($6:$1005)-5),838)+5)&amp;":O"&amp;(SMALL(IF(checklistPesertaKemenkeu!$AY$6:$AY$1005="Direkomendasikan",ROW($6:$1005)-5),838)+5)),INDEX(checklistPesertaKemenkeu!$O$6:$O$1005,SMALL(IF(checklistPesertaKemenkeu!$AY$6:$AY$1005="Direkomendasikan",ROW($6:$1005)-5),838)))=1),IFERROR(VLOOKUP(INDEX(checklistPesertaKemenkeu!$O$6:$O$1005,SMALL(IF(checklistPesertaKemenkeu!$AY$6:$AY$1005="Direkomendasikan",ROW($6:$1005)-5),838)),KotaKode,2,0),"-"),"")),"")</f>
        <v/>
      </c>
      <c r="L839" t="str">
        <f t="array" aca="1" ref="L839" ca="1">IFERROR(IF(OR(INDEX(checklistPesertaKemenkeu!$P$6:$P$1005,SMALL(IF(checklistPesertaKemenkeu!$AY$6:$AY$1005="Direkomendasikan",ROW($6:$1005)-5),838))="",INDEX(checklistPesertaKemenkeu!$J$6:$J$1005,SMALL(IF(checklistPesertaKemenkeu!$AY$6:$AY$1005="Direkomendasikan",ROW($6:$1005)-5),838))=""),"",IF(AND(COUNTIF(INDIRECT("K_"&amp;MATCH(INDEX(checklistPesertaKemenkeu!$J$6:$J$1005,SMALL(IF(checklistPesertaKemenkeu!$AY$6:$AY$1005="Direkomendasikan",ROW($6:$1005)-5),838)),BidangList,0)),INDEX(checklistPesertaKemenkeu!$P$6:$P$1005,SMALL(IF(checklistPesertaKemenkeu!$AY$6:$AY$1005="Direkomendasikan",ROW($6:$1005)-5),838)))&gt;0,COUNTIF(INDIRECT("'KERTAS KERJA'!K"&amp;(SMALL(IF(checklistPesertaKemenkeu!$AY$6:$AY$1005="Direkomendasikan",ROW($6:$1005)-5),838)+5)&amp;":O"&amp;(SMALL(IF(checklistPesertaKemenkeu!$AY$6:$AY$1005="Direkomendasikan",ROW($6:$1005)-5),838)+5)),INDEX(checklistPesertaKemenkeu!$P$6:$P$1005,SMALL(IF(checklistPesertaKemenkeu!$AY$6:$AY$1005="Direkomendasikan",ROW($6:$1005)-5),838)))=1),IFERROR(VLOOKUP(INDEX(checklistPesertaKemenkeu!$P$6:$P$1005,SMALL(IF(checklistPesertaKemenkeu!$AY$6:$AY$1005="Direkomendasikan",ROW($6:$1005)-5),838)),KotaKode,2,0),"-"),"")),"")</f>
        <v/>
      </c>
    </row>
    <row r="840" spans="1:12" ht="15" customHeight="1" x14ac:dyDescent="0.2">
      <c r="A840" t="str">
        <f t="shared" si="13"/>
        <v/>
      </c>
      <c r="B840" t="str">
        <v/>
      </c>
      <c r="C840" s="40" t="str">
        <f t="array" ref="C840">IFERROR(INDEX(checklistPesertaKemenkeu!$F$6:$F$1005,SMALL(IF(checklistPesertaKemenkeu!$AY$6:$AY$1005="Direkomendasikan",ROW($6:$1005)-5),839)),"")</f>
        <v/>
      </c>
      <c r="D840" t="str">
        <f t="array" ref="D840">IFERROR(INDEX(checklistPesertaKemenkeu!$G$6:$G$1005,SMALL(IF(checklistPesertaKemenkeu!$AY$6:$AY$1005="Direkomendasikan",ROW($6:$1005)-5),839)),"")</f>
        <v/>
      </c>
      <c r="E840" t="str">
        <f t="array" ref="E840">IFERROR(INDEX(checklistPesertaKemenkeu!$H$6:$H$1005,SMALL(IF(checklistPesertaKemenkeu!$AY$6:$AY$1005="Direkomendasikan",ROW($6:$1005)-5),839)),"")</f>
        <v/>
      </c>
      <c r="F840" t="str">
        <f t="array" ref="F840">IFERROR(INDEX(checklistPesertaKemenkeu!$I$6:$I$1005,SMALL(IF(checklistPesertaKemenkeu!$AY$6:$AY$1005="Direkomendasikan",ROW($6:$1005)-5),839)),"")</f>
        <v/>
      </c>
      <c r="G840" t="str">
        <f t="array" ref="G840">IFERROR(INDEX(checklistPesertaKemenkeu!$J$6:$J$1005,SMALL(IF(checklistPesertaKemenkeu!$AY$6:$AY$1005="Direkomendasikan",ROW($6:$1005)-5),839)),"")</f>
        <v/>
      </c>
      <c r="H840" t="str">
        <f t="array" aca="1" ref="H840" ca="1">IFERROR(IF(OR(INDEX(checklistPesertaKemenkeu!$L$6:$L$1005,SMALL(IF(checklistPesertaKemenkeu!$AY$6:$AY$1005="Direkomendasikan",ROW($6:$1005)-5),839))="",INDEX(checklistPesertaKemenkeu!$J$6:$J$1005,SMALL(IF(checklistPesertaKemenkeu!$AY$6:$AY$1005="Direkomendasikan",ROW($6:$1005)-5),839))=""),"",IF(AND(COUNTIF(INDIRECT("K_"&amp;MATCH(INDEX(checklistPesertaKemenkeu!$J$6:$J$1005,SMALL(IF(checklistPesertaKemenkeu!$AY$6:$AY$1005="Direkomendasikan",ROW($6:$1005)-5),839)),BidangList,0)),INDEX(checklistPesertaKemenkeu!$L$6:$L$1005,SMALL(IF(checklistPesertaKemenkeu!$AY$6:$AY$1005="Direkomendasikan",ROW($6:$1005)-5),839)))&gt;0,COUNTIF(INDIRECT("'KERTAS KERJA'!K"&amp;(SMALL(IF(checklistPesertaKemenkeu!$AY$6:$AY$1005="Direkomendasikan",ROW($6:$1005)-5),839)+5)&amp;":O"&amp;(SMALL(IF(checklistPesertaKemenkeu!$AY$6:$AY$1005="Direkomendasikan",ROW($6:$1005)-5),839)+5)),INDEX(checklistPesertaKemenkeu!$L$6:$L$1005,SMALL(IF(checklistPesertaKemenkeu!$AY$6:$AY$1005="Direkomendasikan",ROW($6:$1005)-5),839)))=1),IFERROR(VLOOKUP(INDEX(checklistPesertaKemenkeu!$L$6:$L$1005,SMALL(IF(checklistPesertaKemenkeu!$AY$6:$AY$1005="Direkomendasikan",ROW($6:$1005)-5),839)),KotaKode,2,0),"-"),"")),"")</f>
        <v/>
      </c>
      <c r="I840" t="str">
        <f t="array" aca="1" ref="I840" ca="1">IFERROR(IF(OR(INDEX(checklistPesertaKemenkeu!$M$6:$M$1005,SMALL(IF(checklistPesertaKemenkeu!$AY$6:$AY$1005="Direkomendasikan",ROW($6:$1005)-5),839))="",INDEX(checklistPesertaKemenkeu!$J$6:$J$1005,SMALL(IF(checklistPesertaKemenkeu!$AY$6:$AY$1005="Direkomendasikan",ROW($6:$1005)-5),839))=""),"",IF(AND(COUNTIF(INDIRECT("K_"&amp;MATCH(INDEX(checklistPesertaKemenkeu!$J$6:$J$1005,SMALL(IF(checklistPesertaKemenkeu!$AY$6:$AY$1005="Direkomendasikan",ROW($6:$1005)-5),839)),BidangList,0)),INDEX(checklistPesertaKemenkeu!$M$6:$M$1005,SMALL(IF(checklistPesertaKemenkeu!$AY$6:$AY$1005="Direkomendasikan",ROW($6:$1005)-5),839)))&gt;0,COUNTIF(INDIRECT("'KERTAS KERJA'!K"&amp;(SMALL(IF(checklistPesertaKemenkeu!$AY$6:$AY$1005="Direkomendasikan",ROW($6:$1005)-5),839)+5)&amp;":O"&amp;(SMALL(IF(checklistPesertaKemenkeu!$AY$6:$AY$1005="Direkomendasikan",ROW($6:$1005)-5),839)+5)),INDEX(checklistPesertaKemenkeu!$M$6:$M$1005,SMALL(IF(checklistPesertaKemenkeu!$AY$6:$AY$1005="Direkomendasikan",ROW($6:$1005)-5),839)))=1),IFERROR(VLOOKUP(INDEX(checklistPesertaKemenkeu!$M$6:$M$1005,SMALL(IF(checklistPesertaKemenkeu!$AY$6:$AY$1005="Direkomendasikan",ROW($6:$1005)-5),839)),KotaKode,2,0),"-"),"")),"")</f>
        <v/>
      </c>
      <c r="J840" t="str">
        <f t="array" aca="1" ref="J840" ca="1">IFERROR(IF(OR(INDEX(checklistPesertaKemenkeu!$N$6:$N$1005,SMALL(IF(checklistPesertaKemenkeu!$AY$6:$AY$1005="Direkomendasikan",ROW($6:$1005)-5),839))="",INDEX(checklistPesertaKemenkeu!$J$6:$J$1005,SMALL(IF(checklistPesertaKemenkeu!$AY$6:$AY$1005="Direkomendasikan",ROW($6:$1005)-5),839))=""),"",IF(AND(COUNTIF(INDIRECT("K_"&amp;MATCH(INDEX(checklistPesertaKemenkeu!$J$6:$J$1005,SMALL(IF(checklistPesertaKemenkeu!$AY$6:$AY$1005="Direkomendasikan",ROW($6:$1005)-5),839)),BidangList,0)),INDEX(checklistPesertaKemenkeu!$N$6:$N$1005,SMALL(IF(checklistPesertaKemenkeu!$AY$6:$AY$1005="Direkomendasikan",ROW($6:$1005)-5),839)))&gt;0,COUNTIF(INDIRECT("'KERTAS KERJA'!K"&amp;(SMALL(IF(checklistPesertaKemenkeu!$AY$6:$AY$1005="Direkomendasikan",ROW($6:$1005)-5),839)+5)&amp;":O"&amp;(SMALL(IF(checklistPesertaKemenkeu!$AY$6:$AY$1005="Direkomendasikan",ROW($6:$1005)-5),839)+5)),INDEX(checklistPesertaKemenkeu!$N$6:$N$1005,SMALL(IF(checklistPesertaKemenkeu!$AY$6:$AY$1005="Direkomendasikan",ROW($6:$1005)-5),839)))=1),IFERROR(VLOOKUP(INDEX(checklistPesertaKemenkeu!$N$6:$N$1005,SMALL(IF(checklistPesertaKemenkeu!$AY$6:$AY$1005="Direkomendasikan",ROW($6:$1005)-5),839)),KotaKode,2,0),"-"),"")),"")</f>
        <v/>
      </c>
      <c r="K840" t="str">
        <f t="array" aca="1" ref="K840" ca="1">IFERROR(IF(OR(INDEX(checklistPesertaKemenkeu!$O$6:$O$1005,SMALL(IF(checklistPesertaKemenkeu!$AY$6:$AY$1005="Direkomendasikan",ROW($6:$1005)-5),839))="",INDEX(checklistPesertaKemenkeu!$J$6:$J$1005,SMALL(IF(checklistPesertaKemenkeu!$AY$6:$AY$1005="Direkomendasikan",ROW($6:$1005)-5),839))=""),"",IF(AND(COUNTIF(INDIRECT("K_"&amp;MATCH(INDEX(checklistPesertaKemenkeu!$J$6:$J$1005,SMALL(IF(checklistPesertaKemenkeu!$AY$6:$AY$1005="Direkomendasikan",ROW($6:$1005)-5),839)),BidangList,0)),INDEX(checklistPesertaKemenkeu!$O$6:$O$1005,SMALL(IF(checklistPesertaKemenkeu!$AY$6:$AY$1005="Direkomendasikan",ROW($6:$1005)-5),839)))&gt;0,COUNTIF(INDIRECT("'KERTAS KERJA'!K"&amp;(SMALL(IF(checklistPesertaKemenkeu!$AY$6:$AY$1005="Direkomendasikan",ROW($6:$1005)-5),839)+5)&amp;":O"&amp;(SMALL(IF(checklistPesertaKemenkeu!$AY$6:$AY$1005="Direkomendasikan",ROW($6:$1005)-5),839)+5)),INDEX(checklistPesertaKemenkeu!$O$6:$O$1005,SMALL(IF(checklistPesertaKemenkeu!$AY$6:$AY$1005="Direkomendasikan",ROW($6:$1005)-5),839)))=1),IFERROR(VLOOKUP(INDEX(checklistPesertaKemenkeu!$O$6:$O$1005,SMALL(IF(checklistPesertaKemenkeu!$AY$6:$AY$1005="Direkomendasikan",ROW($6:$1005)-5),839)),KotaKode,2,0),"-"),"")),"")</f>
        <v/>
      </c>
      <c r="L840" t="str">
        <f t="array" aca="1" ref="L840" ca="1">IFERROR(IF(OR(INDEX(checklistPesertaKemenkeu!$P$6:$P$1005,SMALL(IF(checklistPesertaKemenkeu!$AY$6:$AY$1005="Direkomendasikan",ROW($6:$1005)-5),839))="",INDEX(checklistPesertaKemenkeu!$J$6:$J$1005,SMALL(IF(checklistPesertaKemenkeu!$AY$6:$AY$1005="Direkomendasikan",ROW($6:$1005)-5),839))=""),"",IF(AND(COUNTIF(INDIRECT("K_"&amp;MATCH(INDEX(checklistPesertaKemenkeu!$J$6:$J$1005,SMALL(IF(checklistPesertaKemenkeu!$AY$6:$AY$1005="Direkomendasikan",ROW($6:$1005)-5),839)),BidangList,0)),INDEX(checklistPesertaKemenkeu!$P$6:$P$1005,SMALL(IF(checklistPesertaKemenkeu!$AY$6:$AY$1005="Direkomendasikan",ROW($6:$1005)-5),839)))&gt;0,COUNTIF(INDIRECT("'KERTAS KERJA'!K"&amp;(SMALL(IF(checklistPesertaKemenkeu!$AY$6:$AY$1005="Direkomendasikan",ROW($6:$1005)-5),839)+5)&amp;":O"&amp;(SMALL(IF(checklistPesertaKemenkeu!$AY$6:$AY$1005="Direkomendasikan",ROW($6:$1005)-5),839)+5)),INDEX(checklistPesertaKemenkeu!$P$6:$P$1005,SMALL(IF(checklistPesertaKemenkeu!$AY$6:$AY$1005="Direkomendasikan",ROW($6:$1005)-5),839)))=1),IFERROR(VLOOKUP(INDEX(checklistPesertaKemenkeu!$P$6:$P$1005,SMALL(IF(checklistPesertaKemenkeu!$AY$6:$AY$1005="Direkomendasikan",ROW($6:$1005)-5),839)),KotaKode,2,0),"-"),"")),"")</f>
        <v/>
      </c>
    </row>
    <row r="841" spans="1:12" ht="15" customHeight="1" x14ac:dyDescent="0.2">
      <c r="A841" t="str">
        <f t="shared" si="13"/>
        <v/>
      </c>
      <c r="B841" t="str">
        <v/>
      </c>
      <c r="C841" s="40" t="str">
        <f t="array" ref="C841">IFERROR(INDEX(checklistPesertaKemenkeu!$F$6:$F$1005,SMALL(IF(checklistPesertaKemenkeu!$AY$6:$AY$1005="Direkomendasikan",ROW($6:$1005)-5),840)),"")</f>
        <v/>
      </c>
      <c r="D841" t="str">
        <f t="array" ref="D841">IFERROR(INDEX(checklistPesertaKemenkeu!$G$6:$G$1005,SMALL(IF(checklistPesertaKemenkeu!$AY$6:$AY$1005="Direkomendasikan",ROW($6:$1005)-5),840)),"")</f>
        <v/>
      </c>
      <c r="E841" t="str">
        <f t="array" ref="E841">IFERROR(INDEX(checklistPesertaKemenkeu!$H$6:$H$1005,SMALL(IF(checklistPesertaKemenkeu!$AY$6:$AY$1005="Direkomendasikan",ROW($6:$1005)-5),840)),"")</f>
        <v/>
      </c>
      <c r="F841" t="str">
        <f t="array" ref="F841">IFERROR(INDEX(checklistPesertaKemenkeu!$I$6:$I$1005,SMALL(IF(checklistPesertaKemenkeu!$AY$6:$AY$1005="Direkomendasikan",ROW($6:$1005)-5),840)),"")</f>
        <v/>
      </c>
      <c r="G841" t="str">
        <f t="array" ref="G841">IFERROR(INDEX(checklistPesertaKemenkeu!$J$6:$J$1005,SMALL(IF(checklistPesertaKemenkeu!$AY$6:$AY$1005="Direkomendasikan",ROW($6:$1005)-5),840)),"")</f>
        <v/>
      </c>
      <c r="H841" t="str">
        <f t="array" aca="1" ref="H841" ca="1">IFERROR(IF(OR(INDEX(checklistPesertaKemenkeu!$L$6:$L$1005,SMALL(IF(checklistPesertaKemenkeu!$AY$6:$AY$1005="Direkomendasikan",ROW($6:$1005)-5),840))="",INDEX(checklistPesertaKemenkeu!$J$6:$J$1005,SMALL(IF(checklistPesertaKemenkeu!$AY$6:$AY$1005="Direkomendasikan",ROW($6:$1005)-5),840))=""),"",IF(AND(COUNTIF(INDIRECT("K_"&amp;MATCH(INDEX(checklistPesertaKemenkeu!$J$6:$J$1005,SMALL(IF(checklistPesertaKemenkeu!$AY$6:$AY$1005="Direkomendasikan",ROW($6:$1005)-5),840)),BidangList,0)),INDEX(checklistPesertaKemenkeu!$L$6:$L$1005,SMALL(IF(checklistPesertaKemenkeu!$AY$6:$AY$1005="Direkomendasikan",ROW($6:$1005)-5),840)))&gt;0,COUNTIF(INDIRECT("'KERTAS KERJA'!K"&amp;(SMALL(IF(checklistPesertaKemenkeu!$AY$6:$AY$1005="Direkomendasikan",ROW($6:$1005)-5),840)+5)&amp;":O"&amp;(SMALL(IF(checklistPesertaKemenkeu!$AY$6:$AY$1005="Direkomendasikan",ROW($6:$1005)-5),840)+5)),INDEX(checklistPesertaKemenkeu!$L$6:$L$1005,SMALL(IF(checklistPesertaKemenkeu!$AY$6:$AY$1005="Direkomendasikan",ROW($6:$1005)-5),840)))=1),IFERROR(VLOOKUP(INDEX(checklistPesertaKemenkeu!$L$6:$L$1005,SMALL(IF(checklistPesertaKemenkeu!$AY$6:$AY$1005="Direkomendasikan",ROW($6:$1005)-5),840)),KotaKode,2,0),"-"),"")),"")</f>
        <v/>
      </c>
      <c r="I841" t="str">
        <f t="array" aca="1" ref="I841" ca="1">IFERROR(IF(OR(INDEX(checklistPesertaKemenkeu!$M$6:$M$1005,SMALL(IF(checklistPesertaKemenkeu!$AY$6:$AY$1005="Direkomendasikan",ROW($6:$1005)-5),840))="",INDEX(checklistPesertaKemenkeu!$J$6:$J$1005,SMALL(IF(checklistPesertaKemenkeu!$AY$6:$AY$1005="Direkomendasikan",ROW($6:$1005)-5),840))=""),"",IF(AND(COUNTIF(INDIRECT("K_"&amp;MATCH(INDEX(checklistPesertaKemenkeu!$J$6:$J$1005,SMALL(IF(checklistPesertaKemenkeu!$AY$6:$AY$1005="Direkomendasikan",ROW($6:$1005)-5),840)),BidangList,0)),INDEX(checklistPesertaKemenkeu!$M$6:$M$1005,SMALL(IF(checklistPesertaKemenkeu!$AY$6:$AY$1005="Direkomendasikan",ROW($6:$1005)-5),840)))&gt;0,COUNTIF(INDIRECT("'KERTAS KERJA'!K"&amp;(SMALL(IF(checklistPesertaKemenkeu!$AY$6:$AY$1005="Direkomendasikan",ROW($6:$1005)-5),840)+5)&amp;":O"&amp;(SMALL(IF(checklistPesertaKemenkeu!$AY$6:$AY$1005="Direkomendasikan",ROW($6:$1005)-5),840)+5)),INDEX(checklistPesertaKemenkeu!$M$6:$M$1005,SMALL(IF(checklistPesertaKemenkeu!$AY$6:$AY$1005="Direkomendasikan",ROW($6:$1005)-5),840)))=1),IFERROR(VLOOKUP(INDEX(checklistPesertaKemenkeu!$M$6:$M$1005,SMALL(IF(checklistPesertaKemenkeu!$AY$6:$AY$1005="Direkomendasikan",ROW($6:$1005)-5),840)),KotaKode,2,0),"-"),"")),"")</f>
        <v/>
      </c>
      <c r="J841" t="str">
        <f t="array" aca="1" ref="J841" ca="1">IFERROR(IF(OR(INDEX(checklistPesertaKemenkeu!$N$6:$N$1005,SMALL(IF(checklistPesertaKemenkeu!$AY$6:$AY$1005="Direkomendasikan",ROW($6:$1005)-5),840))="",INDEX(checklistPesertaKemenkeu!$J$6:$J$1005,SMALL(IF(checklistPesertaKemenkeu!$AY$6:$AY$1005="Direkomendasikan",ROW($6:$1005)-5),840))=""),"",IF(AND(COUNTIF(INDIRECT("K_"&amp;MATCH(INDEX(checklistPesertaKemenkeu!$J$6:$J$1005,SMALL(IF(checklistPesertaKemenkeu!$AY$6:$AY$1005="Direkomendasikan",ROW($6:$1005)-5),840)),BidangList,0)),INDEX(checklistPesertaKemenkeu!$N$6:$N$1005,SMALL(IF(checklistPesertaKemenkeu!$AY$6:$AY$1005="Direkomendasikan",ROW($6:$1005)-5),840)))&gt;0,COUNTIF(INDIRECT("'KERTAS KERJA'!K"&amp;(SMALL(IF(checklistPesertaKemenkeu!$AY$6:$AY$1005="Direkomendasikan",ROW($6:$1005)-5),840)+5)&amp;":O"&amp;(SMALL(IF(checklistPesertaKemenkeu!$AY$6:$AY$1005="Direkomendasikan",ROW($6:$1005)-5),840)+5)),INDEX(checklistPesertaKemenkeu!$N$6:$N$1005,SMALL(IF(checklistPesertaKemenkeu!$AY$6:$AY$1005="Direkomendasikan",ROW($6:$1005)-5),840)))=1),IFERROR(VLOOKUP(INDEX(checklistPesertaKemenkeu!$N$6:$N$1005,SMALL(IF(checklistPesertaKemenkeu!$AY$6:$AY$1005="Direkomendasikan",ROW($6:$1005)-5),840)),KotaKode,2,0),"-"),"")),"")</f>
        <v/>
      </c>
      <c r="K841" t="str">
        <f t="array" aca="1" ref="K841" ca="1">IFERROR(IF(OR(INDEX(checklistPesertaKemenkeu!$O$6:$O$1005,SMALL(IF(checklistPesertaKemenkeu!$AY$6:$AY$1005="Direkomendasikan",ROW($6:$1005)-5),840))="",INDEX(checklistPesertaKemenkeu!$J$6:$J$1005,SMALL(IF(checklistPesertaKemenkeu!$AY$6:$AY$1005="Direkomendasikan",ROW($6:$1005)-5),840))=""),"",IF(AND(COUNTIF(INDIRECT("K_"&amp;MATCH(INDEX(checklistPesertaKemenkeu!$J$6:$J$1005,SMALL(IF(checklistPesertaKemenkeu!$AY$6:$AY$1005="Direkomendasikan",ROW($6:$1005)-5),840)),BidangList,0)),INDEX(checklistPesertaKemenkeu!$O$6:$O$1005,SMALL(IF(checklistPesertaKemenkeu!$AY$6:$AY$1005="Direkomendasikan",ROW($6:$1005)-5),840)))&gt;0,COUNTIF(INDIRECT("'KERTAS KERJA'!K"&amp;(SMALL(IF(checklistPesertaKemenkeu!$AY$6:$AY$1005="Direkomendasikan",ROW($6:$1005)-5),840)+5)&amp;":O"&amp;(SMALL(IF(checklistPesertaKemenkeu!$AY$6:$AY$1005="Direkomendasikan",ROW($6:$1005)-5),840)+5)),INDEX(checklistPesertaKemenkeu!$O$6:$O$1005,SMALL(IF(checklistPesertaKemenkeu!$AY$6:$AY$1005="Direkomendasikan",ROW($6:$1005)-5),840)))=1),IFERROR(VLOOKUP(INDEX(checklistPesertaKemenkeu!$O$6:$O$1005,SMALL(IF(checklistPesertaKemenkeu!$AY$6:$AY$1005="Direkomendasikan",ROW($6:$1005)-5),840)),KotaKode,2,0),"-"),"")),"")</f>
        <v/>
      </c>
      <c r="L841" t="str">
        <f t="array" aca="1" ref="L841" ca="1">IFERROR(IF(OR(INDEX(checklistPesertaKemenkeu!$P$6:$P$1005,SMALL(IF(checklistPesertaKemenkeu!$AY$6:$AY$1005="Direkomendasikan",ROW($6:$1005)-5),840))="",INDEX(checklistPesertaKemenkeu!$J$6:$J$1005,SMALL(IF(checklistPesertaKemenkeu!$AY$6:$AY$1005="Direkomendasikan",ROW($6:$1005)-5),840))=""),"",IF(AND(COUNTIF(INDIRECT("K_"&amp;MATCH(INDEX(checklistPesertaKemenkeu!$J$6:$J$1005,SMALL(IF(checklistPesertaKemenkeu!$AY$6:$AY$1005="Direkomendasikan",ROW($6:$1005)-5),840)),BidangList,0)),INDEX(checklistPesertaKemenkeu!$P$6:$P$1005,SMALL(IF(checklistPesertaKemenkeu!$AY$6:$AY$1005="Direkomendasikan",ROW($6:$1005)-5),840)))&gt;0,COUNTIF(INDIRECT("'KERTAS KERJA'!K"&amp;(SMALL(IF(checklistPesertaKemenkeu!$AY$6:$AY$1005="Direkomendasikan",ROW($6:$1005)-5),840)+5)&amp;":O"&amp;(SMALL(IF(checklistPesertaKemenkeu!$AY$6:$AY$1005="Direkomendasikan",ROW($6:$1005)-5),840)+5)),INDEX(checklistPesertaKemenkeu!$P$6:$P$1005,SMALL(IF(checklistPesertaKemenkeu!$AY$6:$AY$1005="Direkomendasikan",ROW($6:$1005)-5),840)))=1),IFERROR(VLOOKUP(INDEX(checklistPesertaKemenkeu!$P$6:$P$1005,SMALL(IF(checklistPesertaKemenkeu!$AY$6:$AY$1005="Direkomendasikan",ROW($6:$1005)-5),840)),KotaKode,2,0),"-"),"")),"")</f>
        <v/>
      </c>
    </row>
    <row r="842" spans="1:12" ht="15" customHeight="1" x14ac:dyDescent="0.2">
      <c r="A842" t="str">
        <f t="shared" si="13"/>
        <v/>
      </c>
      <c r="B842" t="str">
        <v/>
      </c>
      <c r="C842" s="40" t="str">
        <f t="array" ref="C842">IFERROR(INDEX(checklistPesertaKemenkeu!$F$6:$F$1005,SMALL(IF(checklistPesertaKemenkeu!$AY$6:$AY$1005="Direkomendasikan",ROW($6:$1005)-5),841)),"")</f>
        <v/>
      </c>
      <c r="D842" t="str">
        <f t="array" ref="D842">IFERROR(INDEX(checklistPesertaKemenkeu!$G$6:$G$1005,SMALL(IF(checklistPesertaKemenkeu!$AY$6:$AY$1005="Direkomendasikan",ROW($6:$1005)-5),841)),"")</f>
        <v/>
      </c>
      <c r="E842" t="str">
        <f t="array" ref="E842">IFERROR(INDEX(checklistPesertaKemenkeu!$H$6:$H$1005,SMALL(IF(checklistPesertaKemenkeu!$AY$6:$AY$1005="Direkomendasikan",ROW($6:$1005)-5),841)),"")</f>
        <v/>
      </c>
      <c r="F842" t="str">
        <f t="array" ref="F842">IFERROR(INDEX(checklistPesertaKemenkeu!$I$6:$I$1005,SMALL(IF(checklistPesertaKemenkeu!$AY$6:$AY$1005="Direkomendasikan",ROW($6:$1005)-5),841)),"")</f>
        <v/>
      </c>
      <c r="G842" t="str">
        <f t="array" ref="G842">IFERROR(INDEX(checklistPesertaKemenkeu!$J$6:$J$1005,SMALL(IF(checklistPesertaKemenkeu!$AY$6:$AY$1005="Direkomendasikan",ROW($6:$1005)-5),841)),"")</f>
        <v/>
      </c>
      <c r="H842" t="str">
        <f t="array" aca="1" ref="H842" ca="1">IFERROR(IF(OR(INDEX(checklistPesertaKemenkeu!$L$6:$L$1005,SMALL(IF(checklistPesertaKemenkeu!$AY$6:$AY$1005="Direkomendasikan",ROW($6:$1005)-5),841))="",INDEX(checklistPesertaKemenkeu!$J$6:$J$1005,SMALL(IF(checklistPesertaKemenkeu!$AY$6:$AY$1005="Direkomendasikan",ROW($6:$1005)-5),841))=""),"",IF(AND(COUNTIF(INDIRECT("K_"&amp;MATCH(INDEX(checklistPesertaKemenkeu!$J$6:$J$1005,SMALL(IF(checklistPesertaKemenkeu!$AY$6:$AY$1005="Direkomendasikan",ROW($6:$1005)-5),841)),BidangList,0)),INDEX(checklistPesertaKemenkeu!$L$6:$L$1005,SMALL(IF(checklistPesertaKemenkeu!$AY$6:$AY$1005="Direkomendasikan",ROW($6:$1005)-5),841)))&gt;0,COUNTIF(INDIRECT("'KERTAS KERJA'!K"&amp;(SMALL(IF(checklistPesertaKemenkeu!$AY$6:$AY$1005="Direkomendasikan",ROW($6:$1005)-5),841)+5)&amp;":O"&amp;(SMALL(IF(checklistPesertaKemenkeu!$AY$6:$AY$1005="Direkomendasikan",ROW($6:$1005)-5),841)+5)),INDEX(checklistPesertaKemenkeu!$L$6:$L$1005,SMALL(IF(checklistPesertaKemenkeu!$AY$6:$AY$1005="Direkomendasikan",ROW($6:$1005)-5),841)))=1),IFERROR(VLOOKUP(INDEX(checklistPesertaKemenkeu!$L$6:$L$1005,SMALL(IF(checklistPesertaKemenkeu!$AY$6:$AY$1005="Direkomendasikan",ROW($6:$1005)-5),841)),KotaKode,2,0),"-"),"")),"")</f>
        <v/>
      </c>
      <c r="I842" t="str">
        <f t="array" aca="1" ref="I842" ca="1">IFERROR(IF(OR(INDEX(checklistPesertaKemenkeu!$M$6:$M$1005,SMALL(IF(checklistPesertaKemenkeu!$AY$6:$AY$1005="Direkomendasikan",ROW($6:$1005)-5),841))="",INDEX(checklistPesertaKemenkeu!$J$6:$J$1005,SMALL(IF(checklistPesertaKemenkeu!$AY$6:$AY$1005="Direkomendasikan",ROW($6:$1005)-5),841))=""),"",IF(AND(COUNTIF(INDIRECT("K_"&amp;MATCH(INDEX(checklistPesertaKemenkeu!$J$6:$J$1005,SMALL(IF(checklistPesertaKemenkeu!$AY$6:$AY$1005="Direkomendasikan",ROW($6:$1005)-5),841)),BidangList,0)),INDEX(checklistPesertaKemenkeu!$M$6:$M$1005,SMALL(IF(checklistPesertaKemenkeu!$AY$6:$AY$1005="Direkomendasikan",ROW($6:$1005)-5),841)))&gt;0,COUNTIF(INDIRECT("'KERTAS KERJA'!K"&amp;(SMALL(IF(checklistPesertaKemenkeu!$AY$6:$AY$1005="Direkomendasikan",ROW($6:$1005)-5),841)+5)&amp;":O"&amp;(SMALL(IF(checklistPesertaKemenkeu!$AY$6:$AY$1005="Direkomendasikan",ROW($6:$1005)-5),841)+5)),INDEX(checklistPesertaKemenkeu!$M$6:$M$1005,SMALL(IF(checklistPesertaKemenkeu!$AY$6:$AY$1005="Direkomendasikan",ROW($6:$1005)-5),841)))=1),IFERROR(VLOOKUP(INDEX(checklistPesertaKemenkeu!$M$6:$M$1005,SMALL(IF(checklistPesertaKemenkeu!$AY$6:$AY$1005="Direkomendasikan",ROW($6:$1005)-5),841)),KotaKode,2,0),"-"),"")),"")</f>
        <v/>
      </c>
      <c r="J842" t="str">
        <f t="array" aca="1" ref="J842" ca="1">IFERROR(IF(OR(INDEX(checklistPesertaKemenkeu!$N$6:$N$1005,SMALL(IF(checklistPesertaKemenkeu!$AY$6:$AY$1005="Direkomendasikan",ROW($6:$1005)-5),841))="",INDEX(checklistPesertaKemenkeu!$J$6:$J$1005,SMALL(IF(checklistPesertaKemenkeu!$AY$6:$AY$1005="Direkomendasikan",ROW($6:$1005)-5),841))=""),"",IF(AND(COUNTIF(INDIRECT("K_"&amp;MATCH(INDEX(checklistPesertaKemenkeu!$J$6:$J$1005,SMALL(IF(checklistPesertaKemenkeu!$AY$6:$AY$1005="Direkomendasikan",ROW($6:$1005)-5),841)),BidangList,0)),INDEX(checklistPesertaKemenkeu!$N$6:$N$1005,SMALL(IF(checklistPesertaKemenkeu!$AY$6:$AY$1005="Direkomendasikan",ROW($6:$1005)-5),841)))&gt;0,COUNTIF(INDIRECT("'KERTAS KERJA'!K"&amp;(SMALL(IF(checklistPesertaKemenkeu!$AY$6:$AY$1005="Direkomendasikan",ROW($6:$1005)-5),841)+5)&amp;":O"&amp;(SMALL(IF(checklistPesertaKemenkeu!$AY$6:$AY$1005="Direkomendasikan",ROW($6:$1005)-5),841)+5)),INDEX(checklistPesertaKemenkeu!$N$6:$N$1005,SMALL(IF(checklistPesertaKemenkeu!$AY$6:$AY$1005="Direkomendasikan",ROW($6:$1005)-5),841)))=1),IFERROR(VLOOKUP(INDEX(checklistPesertaKemenkeu!$N$6:$N$1005,SMALL(IF(checklistPesertaKemenkeu!$AY$6:$AY$1005="Direkomendasikan",ROW($6:$1005)-5),841)),KotaKode,2,0),"-"),"")),"")</f>
        <v/>
      </c>
      <c r="K842" t="str">
        <f t="array" aca="1" ref="K842" ca="1">IFERROR(IF(OR(INDEX(checklistPesertaKemenkeu!$O$6:$O$1005,SMALL(IF(checklistPesertaKemenkeu!$AY$6:$AY$1005="Direkomendasikan",ROW($6:$1005)-5),841))="",INDEX(checklistPesertaKemenkeu!$J$6:$J$1005,SMALL(IF(checklistPesertaKemenkeu!$AY$6:$AY$1005="Direkomendasikan",ROW($6:$1005)-5),841))=""),"",IF(AND(COUNTIF(INDIRECT("K_"&amp;MATCH(INDEX(checklistPesertaKemenkeu!$J$6:$J$1005,SMALL(IF(checklistPesertaKemenkeu!$AY$6:$AY$1005="Direkomendasikan",ROW($6:$1005)-5),841)),BidangList,0)),INDEX(checklistPesertaKemenkeu!$O$6:$O$1005,SMALL(IF(checklistPesertaKemenkeu!$AY$6:$AY$1005="Direkomendasikan",ROW($6:$1005)-5),841)))&gt;0,COUNTIF(INDIRECT("'KERTAS KERJA'!K"&amp;(SMALL(IF(checklistPesertaKemenkeu!$AY$6:$AY$1005="Direkomendasikan",ROW($6:$1005)-5),841)+5)&amp;":O"&amp;(SMALL(IF(checklistPesertaKemenkeu!$AY$6:$AY$1005="Direkomendasikan",ROW($6:$1005)-5),841)+5)),INDEX(checklistPesertaKemenkeu!$O$6:$O$1005,SMALL(IF(checklistPesertaKemenkeu!$AY$6:$AY$1005="Direkomendasikan",ROW($6:$1005)-5),841)))=1),IFERROR(VLOOKUP(INDEX(checklistPesertaKemenkeu!$O$6:$O$1005,SMALL(IF(checklistPesertaKemenkeu!$AY$6:$AY$1005="Direkomendasikan",ROW($6:$1005)-5),841)),KotaKode,2,0),"-"),"")),"")</f>
        <v/>
      </c>
      <c r="L842" t="str">
        <f t="array" aca="1" ref="L842" ca="1">IFERROR(IF(OR(INDEX(checklistPesertaKemenkeu!$P$6:$P$1005,SMALL(IF(checklistPesertaKemenkeu!$AY$6:$AY$1005="Direkomendasikan",ROW($6:$1005)-5),841))="",INDEX(checklistPesertaKemenkeu!$J$6:$J$1005,SMALL(IF(checklistPesertaKemenkeu!$AY$6:$AY$1005="Direkomendasikan",ROW($6:$1005)-5),841))=""),"",IF(AND(COUNTIF(INDIRECT("K_"&amp;MATCH(INDEX(checklistPesertaKemenkeu!$J$6:$J$1005,SMALL(IF(checklistPesertaKemenkeu!$AY$6:$AY$1005="Direkomendasikan",ROW($6:$1005)-5),841)),BidangList,0)),INDEX(checklistPesertaKemenkeu!$P$6:$P$1005,SMALL(IF(checklistPesertaKemenkeu!$AY$6:$AY$1005="Direkomendasikan",ROW($6:$1005)-5),841)))&gt;0,COUNTIF(INDIRECT("'KERTAS KERJA'!K"&amp;(SMALL(IF(checklistPesertaKemenkeu!$AY$6:$AY$1005="Direkomendasikan",ROW($6:$1005)-5),841)+5)&amp;":O"&amp;(SMALL(IF(checklistPesertaKemenkeu!$AY$6:$AY$1005="Direkomendasikan",ROW($6:$1005)-5),841)+5)),INDEX(checklistPesertaKemenkeu!$P$6:$P$1005,SMALL(IF(checklistPesertaKemenkeu!$AY$6:$AY$1005="Direkomendasikan",ROW($6:$1005)-5),841)))=1),IFERROR(VLOOKUP(INDEX(checklistPesertaKemenkeu!$P$6:$P$1005,SMALL(IF(checklistPesertaKemenkeu!$AY$6:$AY$1005="Direkomendasikan",ROW($6:$1005)-5),841)),KotaKode,2,0),"-"),"")),"")</f>
        <v/>
      </c>
    </row>
    <row r="843" spans="1:12" ht="15" customHeight="1" x14ac:dyDescent="0.2">
      <c r="A843" t="str">
        <f t="shared" si="13"/>
        <v/>
      </c>
      <c r="B843" t="str">
        <v/>
      </c>
      <c r="C843" s="40" t="str">
        <f t="array" ref="C843">IFERROR(INDEX(checklistPesertaKemenkeu!$F$6:$F$1005,SMALL(IF(checklistPesertaKemenkeu!$AY$6:$AY$1005="Direkomendasikan",ROW($6:$1005)-5),842)),"")</f>
        <v/>
      </c>
      <c r="D843" t="str">
        <f t="array" ref="D843">IFERROR(INDEX(checklistPesertaKemenkeu!$G$6:$G$1005,SMALL(IF(checklistPesertaKemenkeu!$AY$6:$AY$1005="Direkomendasikan",ROW($6:$1005)-5),842)),"")</f>
        <v/>
      </c>
      <c r="E843" t="str">
        <f t="array" ref="E843">IFERROR(INDEX(checklistPesertaKemenkeu!$H$6:$H$1005,SMALL(IF(checklistPesertaKemenkeu!$AY$6:$AY$1005="Direkomendasikan",ROW($6:$1005)-5),842)),"")</f>
        <v/>
      </c>
      <c r="F843" t="str">
        <f t="array" ref="F843">IFERROR(INDEX(checklistPesertaKemenkeu!$I$6:$I$1005,SMALL(IF(checklistPesertaKemenkeu!$AY$6:$AY$1005="Direkomendasikan",ROW($6:$1005)-5),842)),"")</f>
        <v/>
      </c>
      <c r="G843" t="str">
        <f t="array" ref="G843">IFERROR(INDEX(checklistPesertaKemenkeu!$J$6:$J$1005,SMALL(IF(checklistPesertaKemenkeu!$AY$6:$AY$1005="Direkomendasikan",ROW($6:$1005)-5),842)),"")</f>
        <v/>
      </c>
      <c r="H843" t="str">
        <f t="array" aca="1" ref="H843" ca="1">IFERROR(IF(OR(INDEX(checklistPesertaKemenkeu!$L$6:$L$1005,SMALL(IF(checklistPesertaKemenkeu!$AY$6:$AY$1005="Direkomendasikan",ROW($6:$1005)-5),842))="",INDEX(checklistPesertaKemenkeu!$J$6:$J$1005,SMALL(IF(checklistPesertaKemenkeu!$AY$6:$AY$1005="Direkomendasikan",ROW($6:$1005)-5),842))=""),"",IF(AND(COUNTIF(INDIRECT("K_"&amp;MATCH(INDEX(checklistPesertaKemenkeu!$J$6:$J$1005,SMALL(IF(checklistPesertaKemenkeu!$AY$6:$AY$1005="Direkomendasikan",ROW($6:$1005)-5),842)),BidangList,0)),INDEX(checklistPesertaKemenkeu!$L$6:$L$1005,SMALL(IF(checklistPesertaKemenkeu!$AY$6:$AY$1005="Direkomendasikan",ROW($6:$1005)-5),842)))&gt;0,COUNTIF(INDIRECT("'KERTAS KERJA'!K"&amp;(SMALL(IF(checklistPesertaKemenkeu!$AY$6:$AY$1005="Direkomendasikan",ROW($6:$1005)-5),842)+5)&amp;":O"&amp;(SMALL(IF(checklistPesertaKemenkeu!$AY$6:$AY$1005="Direkomendasikan",ROW($6:$1005)-5),842)+5)),INDEX(checklistPesertaKemenkeu!$L$6:$L$1005,SMALL(IF(checklistPesertaKemenkeu!$AY$6:$AY$1005="Direkomendasikan",ROW($6:$1005)-5),842)))=1),IFERROR(VLOOKUP(INDEX(checklistPesertaKemenkeu!$L$6:$L$1005,SMALL(IF(checklistPesertaKemenkeu!$AY$6:$AY$1005="Direkomendasikan",ROW($6:$1005)-5),842)),KotaKode,2,0),"-"),"")),"")</f>
        <v/>
      </c>
      <c r="I843" t="str">
        <f t="array" aca="1" ref="I843" ca="1">IFERROR(IF(OR(INDEX(checklistPesertaKemenkeu!$M$6:$M$1005,SMALL(IF(checklistPesertaKemenkeu!$AY$6:$AY$1005="Direkomendasikan",ROW($6:$1005)-5),842))="",INDEX(checklistPesertaKemenkeu!$J$6:$J$1005,SMALL(IF(checklistPesertaKemenkeu!$AY$6:$AY$1005="Direkomendasikan",ROW($6:$1005)-5),842))=""),"",IF(AND(COUNTIF(INDIRECT("K_"&amp;MATCH(INDEX(checklistPesertaKemenkeu!$J$6:$J$1005,SMALL(IF(checklistPesertaKemenkeu!$AY$6:$AY$1005="Direkomendasikan",ROW($6:$1005)-5),842)),BidangList,0)),INDEX(checklistPesertaKemenkeu!$M$6:$M$1005,SMALL(IF(checklistPesertaKemenkeu!$AY$6:$AY$1005="Direkomendasikan",ROW($6:$1005)-5),842)))&gt;0,COUNTIF(INDIRECT("'KERTAS KERJA'!K"&amp;(SMALL(IF(checklistPesertaKemenkeu!$AY$6:$AY$1005="Direkomendasikan",ROW($6:$1005)-5),842)+5)&amp;":O"&amp;(SMALL(IF(checklistPesertaKemenkeu!$AY$6:$AY$1005="Direkomendasikan",ROW($6:$1005)-5),842)+5)),INDEX(checklistPesertaKemenkeu!$M$6:$M$1005,SMALL(IF(checklistPesertaKemenkeu!$AY$6:$AY$1005="Direkomendasikan",ROW($6:$1005)-5),842)))=1),IFERROR(VLOOKUP(INDEX(checklistPesertaKemenkeu!$M$6:$M$1005,SMALL(IF(checklistPesertaKemenkeu!$AY$6:$AY$1005="Direkomendasikan",ROW($6:$1005)-5),842)),KotaKode,2,0),"-"),"")),"")</f>
        <v/>
      </c>
      <c r="J843" t="str">
        <f t="array" aca="1" ref="J843" ca="1">IFERROR(IF(OR(INDEX(checklistPesertaKemenkeu!$N$6:$N$1005,SMALL(IF(checklistPesertaKemenkeu!$AY$6:$AY$1005="Direkomendasikan",ROW($6:$1005)-5),842))="",INDEX(checklistPesertaKemenkeu!$J$6:$J$1005,SMALL(IF(checklistPesertaKemenkeu!$AY$6:$AY$1005="Direkomendasikan",ROW($6:$1005)-5),842))=""),"",IF(AND(COUNTIF(INDIRECT("K_"&amp;MATCH(INDEX(checklistPesertaKemenkeu!$J$6:$J$1005,SMALL(IF(checklistPesertaKemenkeu!$AY$6:$AY$1005="Direkomendasikan",ROW($6:$1005)-5),842)),BidangList,0)),INDEX(checklistPesertaKemenkeu!$N$6:$N$1005,SMALL(IF(checklistPesertaKemenkeu!$AY$6:$AY$1005="Direkomendasikan",ROW($6:$1005)-5),842)))&gt;0,COUNTIF(INDIRECT("'KERTAS KERJA'!K"&amp;(SMALL(IF(checklistPesertaKemenkeu!$AY$6:$AY$1005="Direkomendasikan",ROW($6:$1005)-5),842)+5)&amp;":O"&amp;(SMALL(IF(checklistPesertaKemenkeu!$AY$6:$AY$1005="Direkomendasikan",ROW($6:$1005)-5),842)+5)),INDEX(checklistPesertaKemenkeu!$N$6:$N$1005,SMALL(IF(checklistPesertaKemenkeu!$AY$6:$AY$1005="Direkomendasikan",ROW($6:$1005)-5),842)))=1),IFERROR(VLOOKUP(INDEX(checklistPesertaKemenkeu!$N$6:$N$1005,SMALL(IF(checklistPesertaKemenkeu!$AY$6:$AY$1005="Direkomendasikan",ROW($6:$1005)-5),842)),KotaKode,2,0),"-"),"")),"")</f>
        <v/>
      </c>
      <c r="K843" t="str">
        <f t="array" aca="1" ref="K843" ca="1">IFERROR(IF(OR(INDEX(checklistPesertaKemenkeu!$O$6:$O$1005,SMALL(IF(checklistPesertaKemenkeu!$AY$6:$AY$1005="Direkomendasikan",ROW($6:$1005)-5),842))="",INDEX(checklistPesertaKemenkeu!$J$6:$J$1005,SMALL(IF(checklistPesertaKemenkeu!$AY$6:$AY$1005="Direkomendasikan",ROW($6:$1005)-5),842))=""),"",IF(AND(COUNTIF(INDIRECT("K_"&amp;MATCH(INDEX(checklistPesertaKemenkeu!$J$6:$J$1005,SMALL(IF(checklistPesertaKemenkeu!$AY$6:$AY$1005="Direkomendasikan",ROW($6:$1005)-5),842)),BidangList,0)),INDEX(checklistPesertaKemenkeu!$O$6:$O$1005,SMALL(IF(checklistPesertaKemenkeu!$AY$6:$AY$1005="Direkomendasikan",ROW($6:$1005)-5),842)))&gt;0,COUNTIF(INDIRECT("'KERTAS KERJA'!K"&amp;(SMALL(IF(checklistPesertaKemenkeu!$AY$6:$AY$1005="Direkomendasikan",ROW($6:$1005)-5),842)+5)&amp;":O"&amp;(SMALL(IF(checklistPesertaKemenkeu!$AY$6:$AY$1005="Direkomendasikan",ROW($6:$1005)-5),842)+5)),INDEX(checklistPesertaKemenkeu!$O$6:$O$1005,SMALL(IF(checklistPesertaKemenkeu!$AY$6:$AY$1005="Direkomendasikan",ROW($6:$1005)-5),842)))=1),IFERROR(VLOOKUP(INDEX(checklistPesertaKemenkeu!$O$6:$O$1005,SMALL(IF(checklistPesertaKemenkeu!$AY$6:$AY$1005="Direkomendasikan",ROW($6:$1005)-5),842)),KotaKode,2,0),"-"),"")),"")</f>
        <v/>
      </c>
      <c r="L843" t="str">
        <f t="array" aca="1" ref="L843" ca="1">IFERROR(IF(OR(INDEX(checklistPesertaKemenkeu!$P$6:$P$1005,SMALL(IF(checklistPesertaKemenkeu!$AY$6:$AY$1005="Direkomendasikan",ROW($6:$1005)-5),842))="",INDEX(checklistPesertaKemenkeu!$J$6:$J$1005,SMALL(IF(checklistPesertaKemenkeu!$AY$6:$AY$1005="Direkomendasikan",ROW($6:$1005)-5),842))=""),"",IF(AND(COUNTIF(INDIRECT("K_"&amp;MATCH(INDEX(checklistPesertaKemenkeu!$J$6:$J$1005,SMALL(IF(checklistPesertaKemenkeu!$AY$6:$AY$1005="Direkomendasikan",ROW($6:$1005)-5),842)),BidangList,0)),INDEX(checklistPesertaKemenkeu!$P$6:$P$1005,SMALL(IF(checklistPesertaKemenkeu!$AY$6:$AY$1005="Direkomendasikan",ROW($6:$1005)-5),842)))&gt;0,COUNTIF(INDIRECT("'KERTAS KERJA'!K"&amp;(SMALL(IF(checklistPesertaKemenkeu!$AY$6:$AY$1005="Direkomendasikan",ROW($6:$1005)-5),842)+5)&amp;":O"&amp;(SMALL(IF(checklistPesertaKemenkeu!$AY$6:$AY$1005="Direkomendasikan",ROW($6:$1005)-5),842)+5)),INDEX(checklistPesertaKemenkeu!$P$6:$P$1005,SMALL(IF(checklistPesertaKemenkeu!$AY$6:$AY$1005="Direkomendasikan",ROW($6:$1005)-5),842)))=1),IFERROR(VLOOKUP(INDEX(checklistPesertaKemenkeu!$P$6:$P$1005,SMALL(IF(checklistPesertaKemenkeu!$AY$6:$AY$1005="Direkomendasikan",ROW($6:$1005)-5),842)),KotaKode,2,0),"-"),"")),"")</f>
        <v/>
      </c>
    </row>
    <row r="844" spans="1:12" ht="15" customHeight="1" x14ac:dyDescent="0.2">
      <c r="A844" t="str">
        <f t="shared" si="13"/>
        <v/>
      </c>
      <c r="B844" t="str">
        <v/>
      </c>
      <c r="C844" s="40" t="str">
        <f t="array" ref="C844">IFERROR(INDEX(checklistPesertaKemenkeu!$F$6:$F$1005,SMALL(IF(checklistPesertaKemenkeu!$AY$6:$AY$1005="Direkomendasikan",ROW($6:$1005)-5),843)),"")</f>
        <v/>
      </c>
      <c r="D844" t="str">
        <f t="array" ref="D844">IFERROR(INDEX(checklistPesertaKemenkeu!$G$6:$G$1005,SMALL(IF(checklistPesertaKemenkeu!$AY$6:$AY$1005="Direkomendasikan",ROW($6:$1005)-5),843)),"")</f>
        <v/>
      </c>
      <c r="E844" t="str">
        <f t="array" ref="E844">IFERROR(INDEX(checklistPesertaKemenkeu!$H$6:$H$1005,SMALL(IF(checklistPesertaKemenkeu!$AY$6:$AY$1005="Direkomendasikan",ROW($6:$1005)-5),843)),"")</f>
        <v/>
      </c>
      <c r="F844" t="str">
        <f t="array" ref="F844">IFERROR(INDEX(checklistPesertaKemenkeu!$I$6:$I$1005,SMALL(IF(checklistPesertaKemenkeu!$AY$6:$AY$1005="Direkomendasikan",ROW($6:$1005)-5),843)),"")</f>
        <v/>
      </c>
      <c r="G844" t="str">
        <f t="array" ref="G844">IFERROR(INDEX(checklistPesertaKemenkeu!$J$6:$J$1005,SMALL(IF(checklistPesertaKemenkeu!$AY$6:$AY$1005="Direkomendasikan",ROW($6:$1005)-5),843)),"")</f>
        <v/>
      </c>
      <c r="H844" t="str">
        <f t="array" aca="1" ref="H844" ca="1">IFERROR(IF(OR(INDEX(checklistPesertaKemenkeu!$L$6:$L$1005,SMALL(IF(checklistPesertaKemenkeu!$AY$6:$AY$1005="Direkomendasikan",ROW($6:$1005)-5),843))="",INDEX(checklistPesertaKemenkeu!$J$6:$J$1005,SMALL(IF(checklistPesertaKemenkeu!$AY$6:$AY$1005="Direkomendasikan",ROW($6:$1005)-5),843))=""),"",IF(AND(COUNTIF(INDIRECT("K_"&amp;MATCH(INDEX(checklistPesertaKemenkeu!$J$6:$J$1005,SMALL(IF(checklistPesertaKemenkeu!$AY$6:$AY$1005="Direkomendasikan",ROW($6:$1005)-5),843)),BidangList,0)),INDEX(checklistPesertaKemenkeu!$L$6:$L$1005,SMALL(IF(checklistPesertaKemenkeu!$AY$6:$AY$1005="Direkomendasikan",ROW($6:$1005)-5),843)))&gt;0,COUNTIF(INDIRECT("'KERTAS KERJA'!K"&amp;(SMALL(IF(checklistPesertaKemenkeu!$AY$6:$AY$1005="Direkomendasikan",ROW($6:$1005)-5),843)+5)&amp;":O"&amp;(SMALL(IF(checklistPesertaKemenkeu!$AY$6:$AY$1005="Direkomendasikan",ROW($6:$1005)-5),843)+5)),INDEX(checklistPesertaKemenkeu!$L$6:$L$1005,SMALL(IF(checklistPesertaKemenkeu!$AY$6:$AY$1005="Direkomendasikan",ROW($6:$1005)-5),843)))=1),IFERROR(VLOOKUP(INDEX(checklistPesertaKemenkeu!$L$6:$L$1005,SMALL(IF(checklistPesertaKemenkeu!$AY$6:$AY$1005="Direkomendasikan",ROW($6:$1005)-5),843)),KotaKode,2,0),"-"),"")),"")</f>
        <v/>
      </c>
      <c r="I844" t="str">
        <f t="array" aca="1" ref="I844" ca="1">IFERROR(IF(OR(INDEX(checklistPesertaKemenkeu!$M$6:$M$1005,SMALL(IF(checklistPesertaKemenkeu!$AY$6:$AY$1005="Direkomendasikan",ROW($6:$1005)-5),843))="",INDEX(checklistPesertaKemenkeu!$J$6:$J$1005,SMALL(IF(checklistPesertaKemenkeu!$AY$6:$AY$1005="Direkomendasikan",ROW($6:$1005)-5),843))=""),"",IF(AND(COUNTIF(INDIRECT("K_"&amp;MATCH(INDEX(checklistPesertaKemenkeu!$J$6:$J$1005,SMALL(IF(checklistPesertaKemenkeu!$AY$6:$AY$1005="Direkomendasikan",ROW($6:$1005)-5),843)),BidangList,0)),INDEX(checklistPesertaKemenkeu!$M$6:$M$1005,SMALL(IF(checklistPesertaKemenkeu!$AY$6:$AY$1005="Direkomendasikan",ROW($6:$1005)-5),843)))&gt;0,COUNTIF(INDIRECT("'KERTAS KERJA'!K"&amp;(SMALL(IF(checklistPesertaKemenkeu!$AY$6:$AY$1005="Direkomendasikan",ROW($6:$1005)-5),843)+5)&amp;":O"&amp;(SMALL(IF(checklistPesertaKemenkeu!$AY$6:$AY$1005="Direkomendasikan",ROW($6:$1005)-5),843)+5)),INDEX(checklistPesertaKemenkeu!$M$6:$M$1005,SMALL(IF(checklistPesertaKemenkeu!$AY$6:$AY$1005="Direkomendasikan",ROW($6:$1005)-5),843)))=1),IFERROR(VLOOKUP(INDEX(checklistPesertaKemenkeu!$M$6:$M$1005,SMALL(IF(checklistPesertaKemenkeu!$AY$6:$AY$1005="Direkomendasikan",ROW($6:$1005)-5),843)),KotaKode,2,0),"-"),"")),"")</f>
        <v/>
      </c>
      <c r="J844" t="str">
        <f t="array" aca="1" ref="J844" ca="1">IFERROR(IF(OR(INDEX(checklistPesertaKemenkeu!$N$6:$N$1005,SMALL(IF(checklistPesertaKemenkeu!$AY$6:$AY$1005="Direkomendasikan",ROW($6:$1005)-5),843))="",INDEX(checklistPesertaKemenkeu!$J$6:$J$1005,SMALL(IF(checklistPesertaKemenkeu!$AY$6:$AY$1005="Direkomendasikan",ROW($6:$1005)-5),843))=""),"",IF(AND(COUNTIF(INDIRECT("K_"&amp;MATCH(INDEX(checklistPesertaKemenkeu!$J$6:$J$1005,SMALL(IF(checklistPesertaKemenkeu!$AY$6:$AY$1005="Direkomendasikan",ROW($6:$1005)-5),843)),BidangList,0)),INDEX(checklistPesertaKemenkeu!$N$6:$N$1005,SMALL(IF(checklistPesertaKemenkeu!$AY$6:$AY$1005="Direkomendasikan",ROW($6:$1005)-5),843)))&gt;0,COUNTIF(INDIRECT("'KERTAS KERJA'!K"&amp;(SMALL(IF(checklistPesertaKemenkeu!$AY$6:$AY$1005="Direkomendasikan",ROW($6:$1005)-5),843)+5)&amp;":O"&amp;(SMALL(IF(checklistPesertaKemenkeu!$AY$6:$AY$1005="Direkomendasikan",ROW($6:$1005)-5),843)+5)),INDEX(checklistPesertaKemenkeu!$N$6:$N$1005,SMALL(IF(checklistPesertaKemenkeu!$AY$6:$AY$1005="Direkomendasikan",ROW($6:$1005)-5),843)))=1),IFERROR(VLOOKUP(INDEX(checklistPesertaKemenkeu!$N$6:$N$1005,SMALL(IF(checklistPesertaKemenkeu!$AY$6:$AY$1005="Direkomendasikan",ROW($6:$1005)-5),843)),KotaKode,2,0),"-"),"")),"")</f>
        <v/>
      </c>
      <c r="K844" t="str">
        <f t="array" aca="1" ref="K844" ca="1">IFERROR(IF(OR(INDEX(checklistPesertaKemenkeu!$O$6:$O$1005,SMALL(IF(checklistPesertaKemenkeu!$AY$6:$AY$1005="Direkomendasikan",ROW($6:$1005)-5),843))="",INDEX(checklistPesertaKemenkeu!$J$6:$J$1005,SMALL(IF(checklistPesertaKemenkeu!$AY$6:$AY$1005="Direkomendasikan",ROW($6:$1005)-5),843))=""),"",IF(AND(COUNTIF(INDIRECT("K_"&amp;MATCH(INDEX(checklistPesertaKemenkeu!$J$6:$J$1005,SMALL(IF(checklistPesertaKemenkeu!$AY$6:$AY$1005="Direkomendasikan",ROW($6:$1005)-5),843)),BidangList,0)),INDEX(checklistPesertaKemenkeu!$O$6:$O$1005,SMALL(IF(checklistPesertaKemenkeu!$AY$6:$AY$1005="Direkomendasikan",ROW($6:$1005)-5),843)))&gt;0,COUNTIF(INDIRECT("'KERTAS KERJA'!K"&amp;(SMALL(IF(checklistPesertaKemenkeu!$AY$6:$AY$1005="Direkomendasikan",ROW($6:$1005)-5),843)+5)&amp;":O"&amp;(SMALL(IF(checklistPesertaKemenkeu!$AY$6:$AY$1005="Direkomendasikan",ROW($6:$1005)-5),843)+5)),INDEX(checklistPesertaKemenkeu!$O$6:$O$1005,SMALL(IF(checklistPesertaKemenkeu!$AY$6:$AY$1005="Direkomendasikan",ROW($6:$1005)-5),843)))=1),IFERROR(VLOOKUP(INDEX(checklistPesertaKemenkeu!$O$6:$O$1005,SMALL(IF(checklistPesertaKemenkeu!$AY$6:$AY$1005="Direkomendasikan",ROW($6:$1005)-5),843)),KotaKode,2,0),"-"),"")),"")</f>
        <v/>
      </c>
      <c r="L844" t="str">
        <f t="array" aca="1" ref="L844" ca="1">IFERROR(IF(OR(INDEX(checklistPesertaKemenkeu!$P$6:$P$1005,SMALL(IF(checklistPesertaKemenkeu!$AY$6:$AY$1005="Direkomendasikan",ROW($6:$1005)-5),843))="",INDEX(checklistPesertaKemenkeu!$J$6:$J$1005,SMALL(IF(checklistPesertaKemenkeu!$AY$6:$AY$1005="Direkomendasikan",ROW($6:$1005)-5),843))=""),"",IF(AND(COUNTIF(INDIRECT("K_"&amp;MATCH(INDEX(checklistPesertaKemenkeu!$J$6:$J$1005,SMALL(IF(checklistPesertaKemenkeu!$AY$6:$AY$1005="Direkomendasikan",ROW($6:$1005)-5),843)),BidangList,0)),INDEX(checklistPesertaKemenkeu!$P$6:$P$1005,SMALL(IF(checklistPesertaKemenkeu!$AY$6:$AY$1005="Direkomendasikan",ROW($6:$1005)-5),843)))&gt;0,COUNTIF(INDIRECT("'KERTAS KERJA'!K"&amp;(SMALL(IF(checklistPesertaKemenkeu!$AY$6:$AY$1005="Direkomendasikan",ROW($6:$1005)-5),843)+5)&amp;":O"&amp;(SMALL(IF(checklistPesertaKemenkeu!$AY$6:$AY$1005="Direkomendasikan",ROW($6:$1005)-5),843)+5)),INDEX(checklistPesertaKemenkeu!$P$6:$P$1005,SMALL(IF(checklistPesertaKemenkeu!$AY$6:$AY$1005="Direkomendasikan",ROW($6:$1005)-5),843)))=1),IFERROR(VLOOKUP(INDEX(checklistPesertaKemenkeu!$P$6:$P$1005,SMALL(IF(checklistPesertaKemenkeu!$AY$6:$AY$1005="Direkomendasikan",ROW($6:$1005)-5),843)),KotaKode,2,0),"-"),"")),"")</f>
        <v/>
      </c>
    </row>
    <row r="845" spans="1:12" ht="15" customHeight="1" x14ac:dyDescent="0.2">
      <c r="A845" t="str">
        <f t="shared" si="13"/>
        <v/>
      </c>
      <c r="B845" t="str">
        <v/>
      </c>
      <c r="C845" s="40" t="str">
        <f t="array" ref="C845">IFERROR(INDEX(checklistPesertaKemenkeu!$F$6:$F$1005,SMALL(IF(checklistPesertaKemenkeu!$AY$6:$AY$1005="Direkomendasikan",ROW($6:$1005)-5),844)),"")</f>
        <v/>
      </c>
      <c r="D845" t="str">
        <f t="array" ref="D845">IFERROR(INDEX(checklistPesertaKemenkeu!$G$6:$G$1005,SMALL(IF(checklistPesertaKemenkeu!$AY$6:$AY$1005="Direkomendasikan",ROW($6:$1005)-5),844)),"")</f>
        <v/>
      </c>
      <c r="E845" t="str">
        <f t="array" ref="E845">IFERROR(INDEX(checklistPesertaKemenkeu!$H$6:$H$1005,SMALL(IF(checklistPesertaKemenkeu!$AY$6:$AY$1005="Direkomendasikan",ROW($6:$1005)-5),844)),"")</f>
        <v/>
      </c>
      <c r="F845" t="str">
        <f t="array" ref="F845">IFERROR(INDEX(checklistPesertaKemenkeu!$I$6:$I$1005,SMALL(IF(checklistPesertaKemenkeu!$AY$6:$AY$1005="Direkomendasikan",ROW($6:$1005)-5),844)),"")</f>
        <v/>
      </c>
      <c r="G845" t="str">
        <f t="array" ref="G845">IFERROR(INDEX(checklistPesertaKemenkeu!$J$6:$J$1005,SMALL(IF(checklistPesertaKemenkeu!$AY$6:$AY$1005="Direkomendasikan",ROW($6:$1005)-5),844)),"")</f>
        <v/>
      </c>
      <c r="H845" t="str">
        <f t="array" aca="1" ref="H845" ca="1">IFERROR(IF(OR(INDEX(checklistPesertaKemenkeu!$L$6:$L$1005,SMALL(IF(checklistPesertaKemenkeu!$AY$6:$AY$1005="Direkomendasikan",ROW($6:$1005)-5),844))="",INDEX(checklistPesertaKemenkeu!$J$6:$J$1005,SMALL(IF(checklistPesertaKemenkeu!$AY$6:$AY$1005="Direkomendasikan",ROW($6:$1005)-5),844))=""),"",IF(AND(COUNTIF(INDIRECT("K_"&amp;MATCH(INDEX(checklistPesertaKemenkeu!$J$6:$J$1005,SMALL(IF(checklistPesertaKemenkeu!$AY$6:$AY$1005="Direkomendasikan",ROW($6:$1005)-5),844)),BidangList,0)),INDEX(checklistPesertaKemenkeu!$L$6:$L$1005,SMALL(IF(checklistPesertaKemenkeu!$AY$6:$AY$1005="Direkomendasikan",ROW($6:$1005)-5),844)))&gt;0,COUNTIF(INDIRECT("'KERTAS KERJA'!K"&amp;(SMALL(IF(checklistPesertaKemenkeu!$AY$6:$AY$1005="Direkomendasikan",ROW($6:$1005)-5),844)+5)&amp;":O"&amp;(SMALL(IF(checklistPesertaKemenkeu!$AY$6:$AY$1005="Direkomendasikan",ROW($6:$1005)-5),844)+5)),INDEX(checklistPesertaKemenkeu!$L$6:$L$1005,SMALL(IF(checklistPesertaKemenkeu!$AY$6:$AY$1005="Direkomendasikan",ROW($6:$1005)-5),844)))=1),IFERROR(VLOOKUP(INDEX(checklistPesertaKemenkeu!$L$6:$L$1005,SMALL(IF(checklistPesertaKemenkeu!$AY$6:$AY$1005="Direkomendasikan",ROW($6:$1005)-5),844)),KotaKode,2,0),"-"),"")),"")</f>
        <v/>
      </c>
      <c r="I845" t="str">
        <f t="array" aca="1" ref="I845" ca="1">IFERROR(IF(OR(INDEX(checklistPesertaKemenkeu!$M$6:$M$1005,SMALL(IF(checklistPesertaKemenkeu!$AY$6:$AY$1005="Direkomendasikan",ROW($6:$1005)-5),844))="",INDEX(checklistPesertaKemenkeu!$J$6:$J$1005,SMALL(IF(checklistPesertaKemenkeu!$AY$6:$AY$1005="Direkomendasikan",ROW($6:$1005)-5),844))=""),"",IF(AND(COUNTIF(INDIRECT("K_"&amp;MATCH(INDEX(checklistPesertaKemenkeu!$J$6:$J$1005,SMALL(IF(checklistPesertaKemenkeu!$AY$6:$AY$1005="Direkomendasikan",ROW($6:$1005)-5),844)),BidangList,0)),INDEX(checklistPesertaKemenkeu!$M$6:$M$1005,SMALL(IF(checklistPesertaKemenkeu!$AY$6:$AY$1005="Direkomendasikan",ROW($6:$1005)-5),844)))&gt;0,COUNTIF(INDIRECT("'KERTAS KERJA'!K"&amp;(SMALL(IF(checklistPesertaKemenkeu!$AY$6:$AY$1005="Direkomendasikan",ROW($6:$1005)-5),844)+5)&amp;":O"&amp;(SMALL(IF(checklistPesertaKemenkeu!$AY$6:$AY$1005="Direkomendasikan",ROW($6:$1005)-5),844)+5)),INDEX(checklistPesertaKemenkeu!$M$6:$M$1005,SMALL(IF(checklistPesertaKemenkeu!$AY$6:$AY$1005="Direkomendasikan",ROW($6:$1005)-5),844)))=1),IFERROR(VLOOKUP(INDEX(checklistPesertaKemenkeu!$M$6:$M$1005,SMALL(IF(checklistPesertaKemenkeu!$AY$6:$AY$1005="Direkomendasikan",ROW($6:$1005)-5),844)),KotaKode,2,0),"-"),"")),"")</f>
        <v/>
      </c>
      <c r="J845" t="str">
        <f t="array" aca="1" ref="J845" ca="1">IFERROR(IF(OR(INDEX(checklistPesertaKemenkeu!$N$6:$N$1005,SMALL(IF(checklistPesertaKemenkeu!$AY$6:$AY$1005="Direkomendasikan",ROW($6:$1005)-5),844))="",INDEX(checklistPesertaKemenkeu!$J$6:$J$1005,SMALL(IF(checklistPesertaKemenkeu!$AY$6:$AY$1005="Direkomendasikan",ROW($6:$1005)-5),844))=""),"",IF(AND(COUNTIF(INDIRECT("K_"&amp;MATCH(INDEX(checklistPesertaKemenkeu!$J$6:$J$1005,SMALL(IF(checklistPesertaKemenkeu!$AY$6:$AY$1005="Direkomendasikan",ROW($6:$1005)-5),844)),BidangList,0)),INDEX(checklistPesertaKemenkeu!$N$6:$N$1005,SMALL(IF(checklistPesertaKemenkeu!$AY$6:$AY$1005="Direkomendasikan",ROW($6:$1005)-5),844)))&gt;0,COUNTIF(INDIRECT("'KERTAS KERJA'!K"&amp;(SMALL(IF(checklistPesertaKemenkeu!$AY$6:$AY$1005="Direkomendasikan",ROW($6:$1005)-5),844)+5)&amp;":O"&amp;(SMALL(IF(checklistPesertaKemenkeu!$AY$6:$AY$1005="Direkomendasikan",ROW($6:$1005)-5),844)+5)),INDEX(checklistPesertaKemenkeu!$N$6:$N$1005,SMALL(IF(checklistPesertaKemenkeu!$AY$6:$AY$1005="Direkomendasikan",ROW($6:$1005)-5),844)))=1),IFERROR(VLOOKUP(INDEX(checklistPesertaKemenkeu!$N$6:$N$1005,SMALL(IF(checklistPesertaKemenkeu!$AY$6:$AY$1005="Direkomendasikan",ROW($6:$1005)-5),844)),KotaKode,2,0),"-"),"")),"")</f>
        <v/>
      </c>
      <c r="K845" t="str">
        <f t="array" aca="1" ref="K845" ca="1">IFERROR(IF(OR(INDEX(checklistPesertaKemenkeu!$O$6:$O$1005,SMALL(IF(checklistPesertaKemenkeu!$AY$6:$AY$1005="Direkomendasikan",ROW($6:$1005)-5),844))="",INDEX(checklistPesertaKemenkeu!$J$6:$J$1005,SMALL(IF(checklistPesertaKemenkeu!$AY$6:$AY$1005="Direkomendasikan",ROW($6:$1005)-5),844))=""),"",IF(AND(COUNTIF(INDIRECT("K_"&amp;MATCH(INDEX(checklistPesertaKemenkeu!$J$6:$J$1005,SMALL(IF(checklistPesertaKemenkeu!$AY$6:$AY$1005="Direkomendasikan",ROW($6:$1005)-5),844)),BidangList,0)),INDEX(checklistPesertaKemenkeu!$O$6:$O$1005,SMALL(IF(checklistPesertaKemenkeu!$AY$6:$AY$1005="Direkomendasikan",ROW($6:$1005)-5),844)))&gt;0,COUNTIF(INDIRECT("'KERTAS KERJA'!K"&amp;(SMALL(IF(checklistPesertaKemenkeu!$AY$6:$AY$1005="Direkomendasikan",ROW($6:$1005)-5),844)+5)&amp;":O"&amp;(SMALL(IF(checklistPesertaKemenkeu!$AY$6:$AY$1005="Direkomendasikan",ROW($6:$1005)-5),844)+5)),INDEX(checklistPesertaKemenkeu!$O$6:$O$1005,SMALL(IF(checklistPesertaKemenkeu!$AY$6:$AY$1005="Direkomendasikan",ROW($6:$1005)-5),844)))=1),IFERROR(VLOOKUP(INDEX(checklistPesertaKemenkeu!$O$6:$O$1005,SMALL(IF(checklistPesertaKemenkeu!$AY$6:$AY$1005="Direkomendasikan",ROW($6:$1005)-5),844)),KotaKode,2,0),"-"),"")),"")</f>
        <v/>
      </c>
      <c r="L845" t="str">
        <f t="array" aca="1" ref="L845" ca="1">IFERROR(IF(OR(INDEX(checklistPesertaKemenkeu!$P$6:$P$1005,SMALL(IF(checklistPesertaKemenkeu!$AY$6:$AY$1005="Direkomendasikan",ROW($6:$1005)-5),844))="",INDEX(checklistPesertaKemenkeu!$J$6:$J$1005,SMALL(IF(checklistPesertaKemenkeu!$AY$6:$AY$1005="Direkomendasikan",ROW($6:$1005)-5),844))=""),"",IF(AND(COUNTIF(INDIRECT("K_"&amp;MATCH(INDEX(checklistPesertaKemenkeu!$J$6:$J$1005,SMALL(IF(checklistPesertaKemenkeu!$AY$6:$AY$1005="Direkomendasikan",ROW($6:$1005)-5),844)),BidangList,0)),INDEX(checklistPesertaKemenkeu!$P$6:$P$1005,SMALL(IF(checklistPesertaKemenkeu!$AY$6:$AY$1005="Direkomendasikan",ROW($6:$1005)-5),844)))&gt;0,COUNTIF(INDIRECT("'KERTAS KERJA'!K"&amp;(SMALL(IF(checklistPesertaKemenkeu!$AY$6:$AY$1005="Direkomendasikan",ROW($6:$1005)-5),844)+5)&amp;":O"&amp;(SMALL(IF(checklistPesertaKemenkeu!$AY$6:$AY$1005="Direkomendasikan",ROW($6:$1005)-5),844)+5)),INDEX(checklistPesertaKemenkeu!$P$6:$P$1005,SMALL(IF(checklistPesertaKemenkeu!$AY$6:$AY$1005="Direkomendasikan",ROW($6:$1005)-5),844)))=1),IFERROR(VLOOKUP(INDEX(checklistPesertaKemenkeu!$P$6:$P$1005,SMALL(IF(checklistPesertaKemenkeu!$AY$6:$AY$1005="Direkomendasikan",ROW($6:$1005)-5),844)),KotaKode,2,0),"-"),"")),"")</f>
        <v/>
      </c>
    </row>
    <row r="846" spans="1:12" ht="15" customHeight="1" x14ac:dyDescent="0.2">
      <c r="A846" t="str">
        <f t="shared" si="13"/>
        <v/>
      </c>
      <c r="B846" t="str">
        <v/>
      </c>
      <c r="C846" s="40" t="str">
        <f t="array" ref="C846">IFERROR(INDEX(checklistPesertaKemenkeu!$F$6:$F$1005,SMALL(IF(checklistPesertaKemenkeu!$AY$6:$AY$1005="Direkomendasikan",ROW($6:$1005)-5),845)),"")</f>
        <v/>
      </c>
      <c r="D846" t="str">
        <f t="array" ref="D846">IFERROR(INDEX(checklistPesertaKemenkeu!$G$6:$G$1005,SMALL(IF(checklistPesertaKemenkeu!$AY$6:$AY$1005="Direkomendasikan",ROW($6:$1005)-5),845)),"")</f>
        <v/>
      </c>
      <c r="E846" t="str">
        <f t="array" ref="E846">IFERROR(INDEX(checklistPesertaKemenkeu!$H$6:$H$1005,SMALL(IF(checklistPesertaKemenkeu!$AY$6:$AY$1005="Direkomendasikan",ROW($6:$1005)-5),845)),"")</f>
        <v/>
      </c>
      <c r="F846" t="str">
        <f t="array" ref="F846">IFERROR(INDEX(checklistPesertaKemenkeu!$I$6:$I$1005,SMALL(IF(checklistPesertaKemenkeu!$AY$6:$AY$1005="Direkomendasikan",ROW($6:$1005)-5),845)),"")</f>
        <v/>
      </c>
      <c r="G846" t="str">
        <f t="array" ref="G846">IFERROR(INDEX(checklistPesertaKemenkeu!$J$6:$J$1005,SMALL(IF(checklistPesertaKemenkeu!$AY$6:$AY$1005="Direkomendasikan",ROW($6:$1005)-5),845)),"")</f>
        <v/>
      </c>
      <c r="H846" t="str">
        <f t="array" aca="1" ref="H846" ca="1">IFERROR(IF(OR(INDEX(checklistPesertaKemenkeu!$L$6:$L$1005,SMALL(IF(checklistPesertaKemenkeu!$AY$6:$AY$1005="Direkomendasikan",ROW($6:$1005)-5),845))="",INDEX(checklistPesertaKemenkeu!$J$6:$J$1005,SMALL(IF(checklistPesertaKemenkeu!$AY$6:$AY$1005="Direkomendasikan",ROW($6:$1005)-5),845))=""),"",IF(AND(COUNTIF(INDIRECT("K_"&amp;MATCH(INDEX(checklistPesertaKemenkeu!$J$6:$J$1005,SMALL(IF(checklistPesertaKemenkeu!$AY$6:$AY$1005="Direkomendasikan",ROW($6:$1005)-5),845)),BidangList,0)),INDEX(checklistPesertaKemenkeu!$L$6:$L$1005,SMALL(IF(checklistPesertaKemenkeu!$AY$6:$AY$1005="Direkomendasikan",ROW($6:$1005)-5),845)))&gt;0,COUNTIF(INDIRECT("'KERTAS KERJA'!K"&amp;(SMALL(IF(checklistPesertaKemenkeu!$AY$6:$AY$1005="Direkomendasikan",ROW($6:$1005)-5),845)+5)&amp;":O"&amp;(SMALL(IF(checklistPesertaKemenkeu!$AY$6:$AY$1005="Direkomendasikan",ROW($6:$1005)-5),845)+5)),INDEX(checklistPesertaKemenkeu!$L$6:$L$1005,SMALL(IF(checklistPesertaKemenkeu!$AY$6:$AY$1005="Direkomendasikan",ROW($6:$1005)-5),845)))=1),IFERROR(VLOOKUP(INDEX(checklistPesertaKemenkeu!$L$6:$L$1005,SMALL(IF(checklistPesertaKemenkeu!$AY$6:$AY$1005="Direkomendasikan",ROW($6:$1005)-5),845)),KotaKode,2,0),"-"),"")),"")</f>
        <v/>
      </c>
      <c r="I846" t="str">
        <f t="array" aca="1" ref="I846" ca="1">IFERROR(IF(OR(INDEX(checklistPesertaKemenkeu!$M$6:$M$1005,SMALL(IF(checklistPesertaKemenkeu!$AY$6:$AY$1005="Direkomendasikan",ROW($6:$1005)-5),845))="",INDEX(checklistPesertaKemenkeu!$J$6:$J$1005,SMALL(IF(checklistPesertaKemenkeu!$AY$6:$AY$1005="Direkomendasikan",ROW($6:$1005)-5),845))=""),"",IF(AND(COUNTIF(INDIRECT("K_"&amp;MATCH(INDEX(checklistPesertaKemenkeu!$J$6:$J$1005,SMALL(IF(checklistPesertaKemenkeu!$AY$6:$AY$1005="Direkomendasikan",ROW($6:$1005)-5),845)),BidangList,0)),INDEX(checklistPesertaKemenkeu!$M$6:$M$1005,SMALL(IF(checklistPesertaKemenkeu!$AY$6:$AY$1005="Direkomendasikan",ROW($6:$1005)-5),845)))&gt;0,COUNTIF(INDIRECT("'KERTAS KERJA'!K"&amp;(SMALL(IF(checklistPesertaKemenkeu!$AY$6:$AY$1005="Direkomendasikan",ROW($6:$1005)-5),845)+5)&amp;":O"&amp;(SMALL(IF(checklistPesertaKemenkeu!$AY$6:$AY$1005="Direkomendasikan",ROW($6:$1005)-5),845)+5)),INDEX(checklistPesertaKemenkeu!$M$6:$M$1005,SMALL(IF(checklistPesertaKemenkeu!$AY$6:$AY$1005="Direkomendasikan",ROW($6:$1005)-5),845)))=1),IFERROR(VLOOKUP(INDEX(checklistPesertaKemenkeu!$M$6:$M$1005,SMALL(IF(checklistPesertaKemenkeu!$AY$6:$AY$1005="Direkomendasikan",ROW($6:$1005)-5),845)),KotaKode,2,0),"-"),"")),"")</f>
        <v/>
      </c>
      <c r="J846" t="str">
        <f t="array" aca="1" ref="J846" ca="1">IFERROR(IF(OR(INDEX(checklistPesertaKemenkeu!$N$6:$N$1005,SMALL(IF(checklistPesertaKemenkeu!$AY$6:$AY$1005="Direkomendasikan",ROW($6:$1005)-5),845))="",INDEX(checklistPesertaKemenkeu!$J$6:$J$1005,SMALL(IF(checklistPesertaKemenkeu!$AY$6:$AY$1005="Direkomendasikan",ROW($6:$1005)-5),845))=""),"",IF(AND(COUNTIF(INDIRECT("K_"&amp;MATCH(INDEX(checklistPesertaKemenkeu!$J$6:$J$1005,SMALL(IF(checklistPesertaKemenkeu!$AY$6:$AY$1005="Direkomendasikan",ROW($6:$1005)-5),845)),BidangList,0)),INDEX(checklistPesertaKemenkeu!$N$6:$N$1005,SMALL(IF(checklistPesertaKemenkeu!$AY$6:$AY$1005="Direkomendasikan",ROW($6:$1005)-5),845)))&gt;0,COUNTIF(INDIRECT("'KERTAS KERJA'!K"&amp;(SMALL(IF(checklistPesertaKemenkeu!$AY$6:$AY$1005="Direkomendasikan",ROW($6:$1005)-5),845)+5)&amp;":O"&amp;(SMALL(IF(checklistPesertaKemenkeu!$AY$6:$AY$1005="Direkomendasikan",ROW($6:$1005)-5),845)+5)),INDEX(checklistPesertaKemenkeu!$N$6:$N$1005,SMALL(IF(checklistPesertaKemenkeu!$AY$6:$AY$1005="Direkomendasikan",ROW($6:$1005)-5),845)))=1),IFERROR(VLOOKUP(INDEX(checklistPesertaKemenkeu!$N$6:$N$1005,SMALL(IF(checklistPesertaKemenkeu!$AY$6:$AY$1005="Direkomendasikan",ROW($6:$1005)-5),845)),KotaKode,2,0),"-"),"")),"")</f>
        <v/>
      </c>
      <c r="K846" t="str">
        <f t="array" aca="1" ref="K846" ca="1">IFERROR(IF(OR(INDEX(checklistPesertaKemenkeu!$O$6:$O$1005,SMALL(IF(checklistPesertaKemenkeu!$AY$6:$AY$1005="Direkomendasikan",ROW($6:$1005)-5),845))="",INDEX(checklistPesertaKemenkeu!$J$6:$J$1005,SMALL(IF(checklistPesertaKemenkeu!$AY$6:$AY$1005="Direkomendasikan",ROW($6:$1005)-5),845))=""),"",IF(AND(COUNTIF(INDIRECT("K_"&amp;MATCH(INDEX(checklistPesertaKemenkeu!$J$6:$J$1005,SMALL(IF(checklistPesertaKemenkeu!$AY$6:$AY$1005="Direkomendasikan",ROW($6:$1005)-5),845)),BidangList,0)),INDEX(checklistPesertaKemenkeu!$O$6:$O$1005,SMALL(IF(checklistPesertaKemenkeu!$AY$6:$AY$1005="Direkomendasikan",ROW($6:$1005)-5),845)))&gt;0,COUNTIF(INDIRECT("'KERTAS KERJA'!K"&amp;(SMALL(IF(checklistPesertaKemenkeu!$AY$6:$AY$1005="Direkomendasikan",ROW($6:$1005)-5),845)+5)&amp;":O"&amp;(SMALL(IF(checklistPesertaKemenkeu!$AY$6:$AY$1005="Direkomendasikan",ROW($6:$1005)-5),845)+5)),INDEX(checklistPesertaKemenkeu!$O$6:$O$1005,SMALL(IF(checklistPesertaKemenkeu!$AY$6:$AY$1005="Direkomendasikan",ROW($6:$1005)-5),845)))=1),IFERROR(VLOOKUP(INDEX(checklistPesertaKemenkeu!$O$6:$O$1005,SMALL(IF(checklistPesertaKemenkeu!$AY$6:$AY$1005="Direkomendasikan",ROW($6:$1005)-5),845)),KotaKode,2,0),"-"),"")),"")</f>
        <v/>
      </c>
      <c r="L846" t="str">
        <f t="array" aca="1" ref="L846" ca="1">IFERROR(IF(OR(INDEX(checklistPesertaKemenkeu!$P$6:$P$1005,SMALL(IF(checklistPesertaKemenkeu!$AY$6:$AY$1005="Direkomendasikan",ROW($6:$1005)-5),845))="",INDEX(checklistPesertaKemenkeu!$J$6:$J$1005,SMALL(IF(checklistPesertaKemenkeu!$AY$6:$AY$1005="Direkomendasikan",ROW($6:$1005)-5),845))=""),"",IF(AND(COUNTIF(INDIRECT("K_"&amp;MATCH(INDEX(checklistPesertaKemenkeu!$J$6:$J$1005,SMALL(IF(checklistPesertaKemenkeu!$AY$6:$AY$1005="Direkomendasikan",ROW($6:$1005)-5),845)),BidangList,0)),INDEX(checklistPesertaKemenkeu!$P$6:$P$1005,SMALL(IF(checklistPesertaKemenkeu!$AY$6:$AY$1005="Direkomendasikan",ROW($6:$1005)-5),845)))&gt;0,COUNTIF(INDIRECT("'KERTAS KERJA'!K"&amp;(SMALL(IF(checklistPesertaKemenkeu!$AY$6:$AY$1005="Direkomendasikan",ROW($6:$1005)-5),845)+5)&amp;":O"&amp;(SMALL(IF(checklistPesertaKemenkeu!$AY$6:$AY$1005="Direkomendasikan",ROW($6:$1005)-5),845)+5)),INDEX(checklistPesertaKemenkeu!$P$6:$P$1005,SMALL(IF(checklistPesertaKemenkeu!$AY$6:$AY$1005="Direkomendasikan",ROW($6:$1005)-5),845)))=1),IFERROR(VLOOKUP(INDEX(checklistPesertaKemenkeu!$P$6:$P$1005,SMALL(IF(checklistPesertaKemenkeu!$AY$6:$AY$1005="Direkomendasikan",ROW($6:$1005)-5),845)),KotaKode,2,0),"-"),"")),"")</f>
        <v/>
      </c>
    </row>
    <row r="847" spans="1:12" ht="15" customHeight="1" x14ac:dyDescent="0.2">
      <c r="A847" t="str">
        <f t="shared" si="13"/>
        <v/>
      </c>
      <c r="B847" t="str">
        <v/>
      </c>
      <c r="C847" s="40" t="str">
        <f t="array" ref="C847">IFERROR(INDEX(checklistPesertaKemenkeu!$F$6:$F$1005,SMALL(IF(checklistPesertaKemenkeu!$AY$6:$AY$1005="Direkomendasikan",ROW($6:$1005)-5),846)),"")</f>
        <v/>
      </c>
      <c r="D847" t="str">
        <f t="array" ref="D847">IFERROR(INDEX(checklistPesertaKemenkeu!$G$6:$G$1005,SMALL(IF(checklistPesertaKemenkeu!$AY$6:$AY$1005="Direkomendasikan",ROW($6:$1005)-5),846)),"")</f>
        <v/>
      </c>
      <c r="E847" t="str">
        <f t="array" ref="E847">IFERROR(INDEX(checklistPesertaKemenkeu!$H$6:$H$1005,SMALL(IF(checklistPesertaKemenkeu!$AY$6:$AY$1005="Direkomendasikan",ROW($6:$1005)-5),846)),"")</f>
        <v/>
      </c>
      <c r="F847" t="str">
        <f t="array" ref="F847">IFERROR(INDEX(checklistPesertaKemenkeu!$I$6:$I$1005,SMALL(IF(checklistPesertaKemenkeu!$AY$6:$AY$1005="Direkomendasikan",ROW($6:$1005)-5),846)),"")</f>
        <v/>
      </c>
      <c r="G847" t="str">
        <f t="array" ref="G847">IFERROR(INDEX(checklistPesertaKemenkeu!$J$6:$J$1005,SMALL(IF(checklistPesertaKemenkeu!$AY$6:$AY$1005="Direkomendasikan",ROW($6:$1005)-5),846)),"")</f>
        <v/>
      </c>
      <c r="H847" t="str">
        <f t="array" aca="1" ref="H847" ca="1">IFERROR(IF(OR(INDEX(checklistPesertaKemenkeu!$L$6:$L$1005,SMALL(IF(checklistPesertaKemenkeu!$AY$6:$AY$1005="Direkomendasikan",ROW($6:$1005)-5),846))="",INDEX(checklistPesertaKemenkeu!$J$6:$J$1005,SMALL(IF(checklistPesertaKemenkeu!$AY$6:$AY$1005="Direkomendasikan",ROW($6:$1005)-5),846))=""),"",IF(AND(COUNTIF(INDIRECT("K_"&amp;MATCH(INDEX(checklistPesertaKemenkeu!$J$6:$J$1005,SMALL(IF(checklistPesertaKemenkeu!$AY$6:$AY$1005="Direkomendasikan",ROW($6:$1005)-5),846)),BidangList,0)),INDEX(checklistPesertaKemenkeu!$L$6:$L$1005,SMALL(IF(checklistPesertaKemenkeu!$AY$6:$AY$1005="Direkomendasikan",ROW($6:$1005)-5),846)))&gt;0,COUNTIF(INDIRECT("'KERTAS KERJA'!K"&amp;(SMALL(IF(checklistPesertaKemenkeu!$AY$6:$AY$1005="Direkomendasikan",ROW($6:$1005)-5),846)+5)&amp;":O"&amp;(SMALL(IF(checklistPesertaKemenkeu!$AY$6:$AY$1005="Direkomendasikan",ROW($6:$1005)-5),846)+5)),INDEX(checklistPesertaKemenkeu!$L$6:$L$1005,SMALL(IF(checklistPesertaKemenkeu!$AY$6:$AY$1005="Direkomendasikan",ROW($6:$1005)-5),846)))=1),IFERROR(VLOOKUP(INDEX(checklistPesertaKemenkeu!$L$6:$L$1005,SMALL(IF(checklistPesertaKemenkeu!$AY$6:$AY$1005="Direkomendasikan",ROW($6:$1005)-5),846)),KotaKode,2,0),"-"),"")),"")</f>
        <v/>
      </c>
      <c r="I847" t="str">
        <f t="array" aca="1" ref="I847" ca="1">IFERROR(IF(OR(INDEX(checklistPesertaKemenkeu!$M$6:$M$1005,SMALL(IF(checklistPesertaKemenkeu!$AY$6:$AY$1005="Direkomendasikan",ROW($6:$1005)-5),846))="",INDEX(checklistPesertaKemenkeu!$J$6:$J$1005,SMALL(IF(checklistPesertaKemenkeu!$AY$6:$AY$1005="Direkomendasikan",ROW($6:$1005)-5),846))=""),"",IF(AND(COUNTIF(INDIRECT("K_"&amp;MATCH(INDEX(checklistPesertaKemenkeu!$J$6:$J$1005,SMALL(IF(checklistPesertaKemenkeu!$AY$6:$AY$1005="Direkomendasikan",ROW($6:$1005)-5),846)),BidangList,0)),INDEX(checklistPesertaKemenkeu!$M$6:$M$1005,SMALL(IF(checklistPesertaKemenkeu!$AY$6:$AY$1005="Direkomendasikan",ROW($6:$1005)-5),846)))&gt;0,COUNTIF(INDIRECT("'KERTAS KERJA'!K"&amp;(SMALL(IF(checklistPesertaKemenkeu!$AY$6:$AY$1005="Direkomendasikan",ROW($6:$1005)-5),846)+5)&amp;":O"&amp;(SMALL(IF(checklistPesertaKemenkeu!$AY$6:$AY$1005="Direkomendasikan",ROW($6:$1005)-5),846)+5)),INDEX(checklistPesertaKemenkeu!$M$6:$M$1005,SMALL(IF(checklistPesertaKemenkeu!$AY$6:$AY$1005="Direkomendasikan",ROW($6:$1005)-5),846)))=1),IFERROR(VLOOKUP(INDEX(checklistPesertaKemenkeu!$M$6:$M$1005,SMALL(IF(checklistPesertaKemenkeu!$AY$6:$AY$1005="Direkomendasikan",ROW($6:$1005)-5),846)),KotaKode,2,0),"-"),"")),"")</f>
        <v/>
      </c>
      <c r="J847" t="str">
        <f t="array" aca="1" ref="J847" ca="1">IFERROR(IF(OR(INDEX(checklistPesertaKemenkeu!$N$6:$N$1005,SMALL(IF(checklistPesertaKemenkeu!$AY$6:$AY$1005="Direkomendasikan",ROW($6:$1005)-5),846))="",INDEX(checklistPesertaKemenkeu!$J$6:$J$1005,SMALL(IF(checklistPesertaKemenkeu!$AY$6:$AY$1005="Direkomendasikan",ROW($6:$1005)-5),846))=""),"",IF(AND(COUNTIF(INDIRECT("K_"&amp;MATCH(INDEX(checklistPesertaKemenkeu!$J$6:$J$1005,SMALL(IF(checklistPesertaKemenkeu!$AY$6:$AY$1005="Direkomendasikan",ROW($6:$1005)-5),846)),BidangList,0)),INDEX(checklistPesertaKemenkeu!$N$6:$N$1005,SMALL(IF(checklistPesertaKemenkeu!$AY$6:$AY$1005="Direkomendasikan",ROW($6:$1005)-5),846)))&gt;0,COUNTIF(INDIRECT("'KERTAS KERJA'!K"&amp;(SMALL(IF(checklistPesertaKemenkeu!$AY$6:$AY$1005="Direkomendasikan",ROW($6:$1005)-5),846)+5)&amp;":O"&amp;(SMALL(IF(checklistPesertaKemenkeu!$AY$6:$AY$1005="Direkomendasikan",ROW($6:$1005)-5),846)+5)),INDEX(checklistPesertaKemenkeu!$N$6:$N$1005,SMALL(IF(checklistPesertaKemenkeu!$AY$6:$AY$1005="Direkomendasikan",ROW($6:$1005)-5),846)))=1),IFERROR(VLOOKUP(INDEX(checklistPesertaKemenkeu!$N$6:$N$1005,SMALL(IF(checklistPesertaKemenkeu!$AY$6:$AY$1005="Direkomendasikan",ROW($6:$1005)-5),846)),KotaKode,2,0),"-"),"")),"")</f>
        <v/>
      </c>
      <c r="K847" t="str">
        <f t="array" aca="1" ref="K847" ca="1">IFERROR(IF(OR(INDEX(checklistPesertaKemenkeu!$O$6:$O$1005,SMALL(IF(checklistPesertaKemenkeu!$AY$6:$AY$1005="Direkomendasikan",ROW($6:$1005)-5),846))="",INDEX(checklistPesertaKemenkeu!$J$6:$J$1005,SMALL(IF(checklistPesertaKemenkeu!$AY$6:$AY$1005="Direkomendasikan",ROW($6:$1005)-5),846))=""),"",IF(AND(COUNTIF(INDIRECT("K_"&amp;MATCH(INDEX(checklistPesertaKemenkeu!$J$6:$J$1005,SMALL(IF(checklistPesertaKemenkeu!$AY$6:$AY$1005="Direkomendasikan",ROW($6:$1005)-5),846)),BidangList,0)),INDEX(checklistPesertaKemenkeu!$O$6:$O$1005,SMALL(IF(checklistPesertaKemenkeu!$AY$6:$AY$1005="Direkomendasikan",ROW($6:$1005)-5),846)))&gt;0,COUNTIF(INDIRECT("'KERTAS KERJA'!K"&amp;(SMALL(IF(checklistPesertaKemenkeu!$AY$6:$AY$1005="Direkomendasikan",ROW($6:$1005)-5),846)+5)&amp;":O"&amp;(SMALL(IF(checklistPesertaKemenkeu!$AY$6:$AY$1005="Direkomendasikan",ROW($6:$1005)-5),846)+5)),INDEX(checklistPesertaKemenkeu!$O$6:$O$1005,SMALL(IF(checklistPesertaKemenkeu!$AY$6:$AY$1005="Direkomendasikan",ROW($6:$1005)-5),846)))=1),IFERROR(VLOOKUP(INDEX(checklistPesertaKemenkeu!$O$6:$O$1005,SMALL(IF(checklistPesertaKemenkeu!$AY$6:$AY$1005="Direkomendasikan",ROW($6:$1005)-5),846)),KotaKode,2,0),"-"),"")),"")</f>
        <v/>
      </c>
      <c r="L847" t="str">
        <f t="array" aca="1" ref="L847" ca="1">IFERROR(IF(OR(INDEX(checklistPesertaKemenkeu!$P$6:$P$1005,SMALL(IF(checklistPesertaKemenkeu!$AY$6:$AY$1005="Direkomendasikan",ROW($6:$1005)-5),846))="",INDEX(checklistPesertaKemenkeu!$J$6:$J$1005,SMALL(IF(checklistPesertaKemenkeu!$AY$6:$AY$1005="Direkomendasikan",ROW($6:$1005)-5),846))=""),"",IF(AND(COUNTIF(INDIRECT("K_"&amp;MATCH(INDEX(checklistPesertaKemenkeu!$J$6:$J$1005,SMALL(IF(checklistPesertaKemenkeu!$AY$6:$AY$1005="Direkomendasikan",ROW($6:$1005)-5),846)),BidangList,0)),INDEX(checklistPesertaKemenkeu!$P$6:$P$1005,SMALL(IF(checklistPesertaKemenkeu!$AY$6:$AY$1005="Direkomendasikan",ROW($6:$1005)-5),846)))&gt;0,COUNTIF(INDIRECT("'KERTAS KERJA'!K"&amp;(SMALL(IF(checklistPesertaKemenkeu!$AY$6:$AY$1005="Direkomendasikan",ROW($6:$1005)-5),846)+5)&amp;":O"&amp;(SMALL(IF(checklistPesertaKemenkeu!$AY$6:$AY$1005="Direkomendasikan",ROW($6:$1005)-5),846)+5)),INDEX(checklistPesertaKemenkeu!$P$6:$P$1005,SMALL(IF(checklistPesertaKemenkeu!$AY$6:$AY$1005="Direkomendasikan",ROW($6:$1005)-5),846)))=1),IFERROR(VLOOKUP(INDEX(checklistPesertaKemenkeu!$P$6:$P$1005,SMALL(IF(checklistPesertaKemenkeu!$AY$6:$AY$1005="Direkomendasikan",ROW($6:$1005)-5),846)),KotaKode,2,0),"-"),"")),"")</f>
        <v/>
      </c>
    </row>
    <row r="848" spans="1:12" ht="15" customHeight="1" x14ac:dyDescent="0.2">
      <c r="A848" t="str">
        <f t="shared" si="13"/>
        <v/>
      </c>
      <c r="B848" t="str">
        <v/>
      </c>
      <c r="C848" s="40" t="str">
        <f t="array" ref="C848">IFERROR(INDEX(checklistPesertaKemenkeu!$F$6:$F$1005,SMALL(IF(checklistPesertaKemenkeu!$AY$6:$AY$1005="Direkomendasikan",ROW($6:$1005)-5),847)),"")</f>
        <v/>
      </c>
      <c r="D848" t="str">
        <f t="array" ref="D848">IFERROR(INDEX(checklistPesertaKemenkeu!$G$6:$G$1005,SMALL(IF(checklistPesertaKemenkeu!$AY$6:$AY$1005="Direkomendasikan",ROW($6:$1005)-5),847)),"")</f>
        <v/>
      </c>
      <c r="E848" t="str">
        <f t="array" ref="E848">IFERROR(INDEX(checklistPesertaKemenkeu!$H$6:$H$1005,SMALL(IF(checklistPesertaKemenkeu!$AY$6:$AY$1005="Direkomendasikan",ROW($6:$1005)-5),847)),"")</f>
        <v/>
      </c>
      <c r="F848" t="str">
        <f t="array" ref="F848">IFERROR(INDEX(checklistPesertaKemenkeu!$I$6:$I$1005,SMALL(IF(checklistPesertaKemenkeu!$AY$6:$AY$1005="Direkomendasikan",ROW($6:$1005)-5),847)),"")</f>
        <v/>
      </c>
      <c r="G848" t="str">
        <f t="array" ref="G848">IFERROR(INDEX(checklistPesertaKemenkeu!$J$6:$J$1005,SMALL(IF(checklistPesertaKemenkeu!$AY$6:$AY$1005="Direkomendasikan",ROW($6:$1005)-5),847)),"")</f>
        <v/>
      </c>
      <c r="H848" t="str">
        <f t="array" aca="1" ref="H848" ca="1">IFERROR(IF(OR(INDEX(checklistPesertaKemenkeu!$L$6:$L$1005,SMALL(IF(checklistPesertaKemenkeu!$AY$6:$AY$1005="Direkomendasikan",ROW($6:$1005)-5),847))="",INDEX(checklistPesertaKemenkeu!$J$6:$J$1005,SMALL(IF(checklistPesertaKemenkeu!$AY$6:$AY$1005="Direkomendasikan",ROW($6:$1005)-5),847))=""),"",IF(AND(COUNTIF(INDIRECT("K_"&amp;MATCH(INDEX(checklistPesertaKemenkeu!$J$6:$J$1005,SMALL(IF(checklistPesertaKemenkeu!$AY$6:$AY$1005="Direkomendasikan",ROW($6:$1005)-5),847)),BidangList,0)),INDEX(checklistPesertaKemenkeu!$L$6:$L$1005,SMALL(IF(checklistPesertaKemenkeu!$AY$6:$AY$1005="Direkomendasikan",ROW($6:$1005)-5),847)))&gt;0,COUNTIF(INDIRECT("'KERTAS KERJA'!K"&amp;(SMALL(IF(checklistPesertaKemenkeu!$AY$6:$AY$1005="Direkomendasikan",ROW($6:$1005)-5),847)+5)&amp;":O"&amp;(SMALL(IF(checklistPesertaKemenkeu!$AY$6:$AY$1005="Direkomendasikan",ROW($6:$1005)-5),847)+5)),INDEX(checklistPesertaKemenkeu!$L$6:$L$1005,SMALL(IF(checklistPesertaKemenkeu!$AY$6:$AY$1005="Direkomendasikan",ROW($6:$1005)-5),847)))=1),IFERROR(VLOOKUP(INDEX(checklistPesertaKemenkeu!$L$6:$L$1005,SMALL(IF(checklistPesertaKemenkeu!$AY$6:$AY$1005="Direkomendasikan",ROW($6:$1005)-5),847)),KotaKode,2,0),"-"),"")),"")</f>
        <v/>
      </c>
      <c r="I848" t="str">
        <f t="array" aca="1" ref="I848" ca="1">IFERROR(IF(OR(INDEX(checklistPesertaKemenkeu!$M$6:$M$1005,SMALL(IF(checklistPesertaKemenkeu!$AY$6:$AY$1005="Direkomendasikan",ROW($6:$1005)-5),847))="",INDEX(checklistPesertaKemenkeu!$J$6:$J$1005,SMALL(IF(checklistPesertaKemenkeu!$AY$6:$AY$1005="Direkomendasikan",ROW($6:$1005)-5),847))=""),"",IF(AND(COUNTIF(INDIRECT("K_"&amp;MATCH(INDEX(checklistPesertaKemenkeu!$J$6:$J$1005,SMALL(IF(checklistPesertaKemenkeu!$AY$6:$AY$1005="Direkomendasikan",ROW($6:$1005)-5),847)),BidangList,0)),INDEX(checklistPesertaKemenkeu!$M$6:$M$1005,SMALL(IF(checklistPesertaKemenkeu!$AY$6:$AY$1005="Direkomendasikan",ROW($6:$1005)-5),847)))&gt;0,COUNTIF(INDIRECT("'KERTAS KERJA'!K"&amp;(SMALL(IF(checklistPesertaKemenkeu!$AY$6:$AY$1005="Direkomendasikan",ROW($6:$1005)-5),847)+5)&amp;":O"&amp;(SMALL(IF(checklistPesertaKemenkeu!$AY$6:$AY$1005="Direkomendasikan",ROW($6:$1005)-5),847)+5)),INDEX(checklistPesertaKemenkeu!$M$6:$M$1005,SMALL(IF(checklistPesertaKemenkeu!$AY$6:$AY$1005="Direkomendasikan",ROW($6:$1005)-5),847)))=1),IFERROR(VLOOKUP(INDEX(checklistPesertaKemenkeu!$M$6:$M$1005,SMALL(IF(checklistPesertaKemenkeu!$AY$6:$AY$1005="Direkomendasikan",ROW($6:$1005)-5),847)),KotaKode,2,0),"-"),"")),"")</f>
        <v/>
      </c>
      <c r="J848" t="str">
        <f t="array" aca="1" ref="J848" ca="1">IFERROR(IF(OR(INDEX(checklistPesertaKemenkeu!$N$6:$N$1005,SMALL(IF(checklistPesertaKemenkeu!$AY$6:$AY$1005="Direkomendasikan",ROW($6:$1005)-5),847))="",INDEX(checklistPesertaKemenkeu!$J$6:$J$1005,SMALL(IF(checklistPesertaKemenkeu!$AY$6:$AY$1005="Direkomendasikan",ROW($6:$1005)-5),847))=""),"",IF(AND(COUNTIF(INDIRECT("K_"&amp;MATCH(INDEX(checklistPesertaKemenkeu!$J$6:$J$1005,SMALL(IF(checklistPesertaKemenkeu!$AY$6:$AY$1005="Direkomendasikan",ROW($6:$1005)-5),847)),BidangList,0)),INDEX(checklistPesertaKemenkeu!$N$6:$N$1005,SMALL(IF(checklistPesertaKemenkeu!$AY$6:$AY$1005="Direkomendasikan",ROW($6:$1005)-5),847)))&gt;0,COUNTIF(INDIRECT("'KERTAS KERJA'!K"&amp;(SMALL(IF(checklistPesertaKemenkeu!$AY$6:$AY$1005="Direkomendasikan",ROW($6:$1005)-5),847)+5)&amp;":O"&amp;(SMALL(IF(checklistPesertaKemenkeu!$AY$6:$AY$1005="Direkomendasikan",ROW($6:$1005)-5),847)+5)),INDEX(checklistPesertaKemenkeu!$N$6:$N$1005,SMALL(IF(checklistPesertaKemenkeu!$AY$6:$AY$1005="Direkomendasikan",ROW($6:$1005)-5),847)))=1),IFERROR(VLOOKUP(INDEX(checklistPesertaKemenkeu!$N$6:$N$1005,SMALL(IF(checklistPesertaKemenkeu!$AY$6:$AY$1005="Direkomendasikan",ROW($6:$1005)-5),847)),KotaKode,2,0),"-"),"")),"")</f>
        <v/>
      </c>
      <c r="K848" t="str">
        <f t="array" aca="1" ref="K848" ca="1">IFERROR(IF(OR(INDEX(checklistPesertaKemenkeu!$O$6:$O$1005,SMALL(IF(checklistPesertaKemenkeu!$AY$6:$AY$1005="Direkomendasikan",ROW($6:$1005)-5),847))="",INDEX(checklistPesertaKemenkeu!$J$6:$J$1005,SMALL(IF(checklistPesertaKemenkeu!$AY$6:$AY$1005="Direkomendasikan",ROW($6:$1005)-5),847))=""),"",IF(AND(COUNTIF(INDIRECT("K_"&amp;MATCH(INDEX(checklistPesertaKemenkeu!$J$6:$J$1005,SMALL(IF(checklistPesertaKemenkeu!$AY$6:$AY$1005="Direkomendasikan",ROW($6:$1005)-5),847)),BidangList,0)),INDEX(checklistPesertaKemenkeu!$O$6:$O$1005,SMALL(IF(checklistPesertaKemenkeu!$AY$6:$AY$1005="Direkomendasikan",ROW($6:$1005)-5),847)))&gt;0,COUNTIF(INDIRECT("'KERTAS KERJA'!K"&amp;(SMALL(IF(checklistPesertaKemenkeu!$AY$6:$AY$1005="Direkomendasikan",ROW($6:$1005)-5),847)+5)&amp;":O"&amp;(SMALL(IF(checklistPesertaKemenkeu!$AY$6:$AY$1005="Direkomendasikan",ROW($6:$1005)-5),847)+5)),INDEX(checklistPesertaKemenkeu!$O$6:$O$1005,SMALL(IF(checklistPesertaKemenkeu!$AY$6:$AY$1005="Direkomendasikan",ROW($6:$1005)-5),847)))=1),IFERROR(VLOOKUP(INDEX(checklistPesertaKemenkeu!$O$6:$O$1005,SMALL(IF(checklistPesertaKemenkeu!$AY$6:$AY$1005="Direkomendasikan",ROW($6:$1005)-5),847)),KotaKode,2,0),"-"),"")),"")</f>
        <v/>
      </c>
      <c r="L848" t="str">
        <f t="array" aca="1" ref="L848" ca="1">IFERROR(IF(OR(INDEX(checklistPesertaKemenkeu!$P$6:$P$1005,SMALL(IF(checklistPesertaKemenkeu!$AY$6:$AY$1005="Direkomendasikan",ROW($6:$1005)-5),847))="",INDEX(checklistPesertaKemenkeu!$J$6:$J$1005,SMALL(IF(checklistPesertaKemenkeu!$AY$6:$AY$1005="Direkomendasikan",ROW($6:$1005)-5),847))=""),"",IF(AND(COUNTIF(INDIRECT("K_"&amp;MATCH(INDEX(checklistPesertaKemenkeu!$J$6:$J$1005,SMALL(IF(checklistPesertaKemenkeu!$AY$6:$AY$1005="Direkomendasikan",ROW($6:$1005)-5),847)),BidangList,0)),INDEX(checklistPesertaKemenkeu!$P$6:$P$1005,SMALL(IF(checklistPesertaKemenkeu!$AY$6:$AY$1005="Direkomendasikan",ROW($6:$1005)-5),847)))&gt;0,COUNTIF(INDIRECT("'KERTAS KERJA'!K"&amp;(SMALL(IF(checklistPesertaKemenkeu!$AY$6:$AY$1005="Direkomendasikan",ROW($6:$1005)-5),847)+5)&amp;":O"&amp;(SMALL(IF(checklistPesertaKemenkeu!$AY$6:$AY$1005="Direkomendasikan",ROW($6:$1005)-5),847)+5)),INDEX(checklistPesertaKemenkeu!$P$6:$P$1005,SMALL(IF(checklistPesertaKemenkeu!$AY$6:$AY$1005="Direkomendasikan",ROW($6:$1005)-5),847)))=1),IFERROR(VLOOKUP(INDEX(checklistPesertaKemenkeu!$P$6:$P$1005,SMALL(IF(checklistPesertaKemenkeu!$AY$6:$AY$1005="Direkomendasikan",ROW($6:$1005)-5),847)),KotaKode,2,0),"-"),"")),"")</f>
        <v/>
      </c>
    </row>
    <row r="849" spans="1:12" ht="15" customHeight="1" x14ac:dyDescent="0.2">
      <c r="A849" t="str">
        <f t="shared" si="13"/>
        <v/>
      </c>
      <c r="B849" t="str">
        <v/>
      </c>
      <c r="C849" s="40" t="str">
        <f t="array" ref="C849">IFERROR(INDEX(checklistPesertaKemenkeu!$F$6:$F$1005,SMALL(IF(checklistPesertaKemenkeu!$AY$6:$AY$1005="Direkomendasikan",ROW($6:$1005)-5),848)),"")</f>
        <v/>
      </c>
      <c r="D849" t="str">
        <f t="array" ref="D849">IFERROR(INDEX(checklistPesertaKemenkeu!$G$6:$G$1005,SMALL(IF(checklistPesertaKemenkeu!$AY$6:$AY$1005="Direkomendasikan",ROW($6:$1005)-5),848)),"")</f>
        <v/>
      </c>
      <c r="E849" t="str">
        <f t="array" ref="E849">IFERROR(INDEX(checklistPesertaKemenkeu!$H$6:$H$1005,SMALL(IF(checklistPesertaKemenkeu!$AY$6:$AY$1005="Direkomendasikan",ROW($6:$1005)-5),848)),"")</f>
        <v/>
      </c>
      <c r="F849" t="str">
        <f t="array" ref="F849">IFERROR(INDEX(checklistPesertaKemenkeu!$I$6:$I$1005,SMALL(IF(checklistPesertaKemenkeu!$AY$6:$AY$1005="Direkomendasikan",ROW($6:$1005)-5),848)),"")</f>
        <v/>
      </c>
      <c r="G849" t="str">
        <f t="array" ref="G849">IFERROR(INDEX(checklistPesertaKemenkeu!$J$6:$J$1005,SMALL(IF(checklistPesertaKemenkeu!$AY$6:$AY$1005="Direkomendasikan",ROW($6:$1005)-5),848)),"")</f>
        <v/>
      </c>
      <c r="H849" t="str">
        <f t="array" aca="1" ref="H849" ca="1">IFERROR(IF(OR(INDEX(checklistPesertaKemenkeu!$L$6:$L$1005,SMALL(IF(checklistPesertaKemenkeu!$AY$6:$AY$1005="Direkomendasikan",ROW($6:$1005)-5),848))="",INDEX(checklistPesertaKemenkeu!$J$6:$J$1005,SMALL(IF(checklistPesertaKemenkeu!$AY$6:$AY$1005="Direkomendasikan",ROW($6:$1005)-5),848))=""),"",IF(AND(COUNTIF(INDIRECT("K_"&amp;MATCH(INDEX(checklistPesertaKemenkeu!$J$6:$J$1005,SMALL(IF(checklistPesertaKemenkeu!$AY$6:$AY$1005="Direkomendasikan",ROW($6:$1005)-5),848)),BidangList,0)),INDEX(checklistPesertaKemenkeu!$L$6:$L$1005,SMALL(IF(checklistPesertaKemenkeu!$AY$6:$AY$1005="Direkomendasikan",ROW($6:$1005)-5),848)))&gt;0,COUNTIF(INDIRECT("'KERTAS KERJA'!K"&amp;(SMALL(IF(checklistPesertaKemenkeu!$AY$6:$AY$1005="Direkomendasikan",ROW($6:$1005)-5),848)+5)&amp;":O"&amp;(SMALL(IF(checklistPesertaKemenkeu!$AY$6:$AY$1005="Direkomendasikan",ROW($6:$1005)-5),848)+5)),INDEX(checklistPesertaKemenkeu!$L$6:$L$1005,SMALL(IF(checklistPesertaKemenkeu!$AY$6:$AY$1005="Direkomendasikan",ROW($6:$1005)-5),848)))=1),IFERROR(VLOOKUP(INDEX(checklistPesertaKemenkeu!$L$6:$L$1005,SMALL(IF(checklistPesertaKemenkeu!$AY$6:$AY$1005="Direkomendasikan",ROW($6:$1005)-5),848)),KotaKode,2,0),"-"),"")),"")</f>
        <v/>
      </c>
      <c r="I849" t="str">
        <f t="array" aca="1" ref="I849" ca="1">IFERROR(IF(OR(INDEX(checklistPesertaKemenkeu!$M$6:$M$1005,SMALL(IF(checklistPesertaKemenkeu!$AY$6:$AY$1005="Direkomendasikan",ROW($6:$1005)-5),848))="",INDEX(checklistPesertaKemenkeu!$J$6:$J$1005,SMALL(IF(checklistPesertaKemenkeu!$AY$6:$AY$1005="Direkomendasikan",ROW($6:$1005)-5),848))=""),"",IF(AND(COUNTIF(INDIRECT("K_"&amp;MATCH(INDEX(checklistPesertaKemenkeu!$J$6:$J$1005,SMALL(IF(checklistPesertaKemenkeu!$AY$6:$AY$1005="Direkomendasikan",ROW($6:$1005)-5),848)),BidangList,0)),INDEX(checklistPesertaKemenkeu!$M$6:$M$1005,SMALL(IF(checklistPesertaKemenkeu!$AY$6:$AY$1005="Direkomendasikan",ROW($6:$1005)-5),848)))&gt;0,COUNTIF(INDIRECT("'KERTAS KERJA'!K"&amp;(SMALL(IF(checklistPesertaKemenkeu!$AY$6:$AY$1005="Direkomendasikan",ROW($6:$1005)-5),848)+5)&amp;":O"&amp;(SMALL(IF(checklistPesertaKemenkeu!$AY$6:$AY$1005="Direkomendasikan",ROW($6:$1005)-5),848)+5)),INDEX(checklistPesertaKemenkeu!$M$6:$M$1005,SMALL(IF(checklistPesertaKemenkeu!$AY$6:$AY$1005="Direkomendasikan",ROW($6:$1005)-5),848)))=1),IFERROR(VLOOKUP(INDEX(checklistPesertaKemenkeu!$M$6:$M$1005,SMALL(IF(checklistPesertaKemenkeu!$AY$6:$AY$1005="Direkomendasikan",ROW($6:$1005)-5),848)),KotaKode,2,0),"-"),"")),"")</f>
        <v/>
      </c>
      <c r="J849" t="str">
        <f t="array" aca="1" ref="J849" ca="1">IFERROR(IF(OR(INDEX(checklistPesertaKemenkeu!$N$6:$N$1005,SMALL(IF(checklistPesertaKemenkeu!$AY$6:$AY$1005="Direkomendasikan",ROW($6:$1005)-5),848))="",INDEX(checklistPesertaKemenkeu!$J$6:$J$1005,SMALL(IF(checklistPesertaKemenkeu!$AY$6:$AY$1005="Direkomendasikan",ROW($6:$1005)-5),848))=""),"",IF(AND(COUNTIF(INDIRECT("K_"&amp;MATCH(INDEX(checklistPesertaKemenkeu!$J$6:$J$1005,SMALL(IF(checklistPesertaKemenkeu!$AY$6:$AY$1005="Direkomendasikan",ROW($6:$1005)-5),848)),BidangList,0)),INDEX(checklistPesertaKemenkeu!$N$6:$N$1005,SMALL(IF(checklistPesertaKemenkeu!$AY$6:$AY$1005="Direkomendasikan",ROW($6:$1005)-5),848)))&gt;0,COUNTIF(INDIRECT("'KERTAS KERJA'!K"&amp;(SMALL(IF(checklistPesertaKemenkeu!$AY$6:$AY$1005="Direkomendasikan",ROW($6:$1005)-5),848)+5)&amp;":O"&amp;(SMALL(IF(checklistPesertaKemenkeu!$AY$6:$AY$1005="Direkomendasikan",ROW($6:$1005)-5),848)+5)),INDEX(checklistPesertaKemenkeu!$N$6:$N$1005,SMALL(IF(checklistPesertaKemenkeu!$AY$6:$AY$1005="Direkomendasikan",ROW($6:$1005)-5),848)))=1),IFERROR(VLOOKUP(INDEX(checklistPesertaKemenkeu!$N$6:$N$1005,SMALL(IF(checklistPesertaKemenkeu!$AY$6:$AY$1005="Direkomendasikan",ROW($6:$1005)-5),848)),KotaKode,2,0),"-"),"")),"")</f>
        <v/>
      </c>
      <c r="K849" t="str">
        <f t="array" aca="1" ref="K849" ca="1">IFERROR(IF(OR(INDEX(checklistPesertaKemenkeu!$O$6:$O$1005,SMALL(IF(checklistPesertaKemenkeu!$AY$6:$AY$1005="Direkomendasikan",ROW($6:$1005)-5),848))="",INDEX(checklistPesertaKemenkeu!$J$6:$J$1005,SMALL(IF(checklistPesertaKemenkeu!$AY$6:$AY$1005="Direkomendasikan",ROW($6:$1005)-5),848))=""),"",IF(AND(COUNTIF(INDIRECT("K_"&amp;MATCH(INDEX(checklistPesertaKemenkeu!$J$6:$J$1005,SMALL(IF(checklistPesertaKemenkeu!$AY$6:$AY$1005="Direkomendasikan",ROW($6:$1005)-5),848)),BidangList,0)),INDEX(checklistPesertaKemenkeu!$O$6:$O$1005,SMALL(IF(checklistPesertaKemenkeu!$AY$6:$AY$1005="Direkomendasikan",ROW($6:$1005)-5),848)))&gt;0,COUNTIF(INDIRECT("'KERTAS KERJA'!K"&amp;(SMALL(IF(checklistPesertaKemenkeu!$AY$6:$AY$1005="Direkomendasikan",ROW($6:$1005)-5),848)+5)&amp;":O"&amp;(SMALL(IF(checklistPesertaKemenkeu!$AY$6:$AY$1005="Direkomendasikan",ROW($6:$1005)-5),848)+5)),INDEX(checklistPesertaKemenkeu!$O$6:$O$1005,SMALL(IF(checklistPesertaKemenkeu!$AY$6:$AY$1005="Direkomendasikan",ROW($6:$1005)-5),848)))=1),IFERROR(VLOOKUP(INDEX(checklistPesertaKemenkeu!$O$6:$O$1005,SMALL(IF(checklistPesertaKemenkeu!$AY$6:$AY$1005="Direkomendasikan",ROW($6:$1005)-5),848)),KotaKode,2,0),"-"),"")),"")</f>
        <v/>
      </c>
      <c r="L849" t="str">
        <f t="array" aca="1" ref="L849" ca="1">IFERROR(IF(OR(INDEX(checklistPesertaKemenkeu!$P$6:$P$1005,SMALL(IF(checklistPesertaKemenkeu!$AY$6:$AY$1005="Direkomendasikan",ROW($6:$1005)-5),848))="",INDEX(checklistPesertaKemenkeu!$J$6:$J$1005,SMALL(IF(checklistPesertaKemenkeu!$AY$6:$AY$1005="Direkomendasikan",ROW($6:$1005)-5),848))=""),"",IF(AND(COUNTIF(INDIRECT("K_"&amp;MATCH(INDEX(checklistPesertaKemenkeu!$J$6:$J$1005,SMALL(IF(checklistPesertaKemenkeu!$AY$6:$AY$1005="Direkomendasikan",ROW($6:$1005)-5),848)),BidangList,0)),INDEX(checklistPesertaKemenkeu!$P$6:$P$1005,SMALL(IF(checklistPesertaKemenkeu!$AY$6:$AY$1005="Direkomendasikan",ROW($6:$1005)-5),848)))&gt;0,COUNTIF(INDIRECT("'KERTAS KERJA'!K"&amp;(SMALL(IF(checklistPesertaKemenkeu!$AY$6:$AY$1005="Direkomendasikan",ROW($6:$1005)-5),848)+5)&amp;":O"&amp;(SMALL(IF(checklistPesertaKemenkeu!$AY$6:$AY$1005="Direkomendasikan",ROW($6:$1005)-5),848)+5)),INDEX(checklistPesertaKemenkeu!$P$6:$P$1005,SMALL(IF(checklistPesertaKemenkeu!$AY$6:$AY$1005="Direkomendasikan",ROW($6:$1005)-5),848)))=1),IFERROR(VLOOKUP(INDEX(checklistPesertaKemenkeu!$P$6:$P$1005,SMALL(IF(checklistPesertaKemenkeu!$AY$6:$AY$1005="Direkomendasikan",ROW($6:$1005)-5),848)),KotaKode,2,0),"-"),"")),"")</f>
        <v/>
      </c>
    </row>
    <row r="850" spans="1:12" ht="15" customHeight="1" x14ac:dyDescent="0.2">
      <c r="A850" t="str">
        <f t="shared" si="13"/>
        <v/>
      </c>
      <c r="B850" t="str">
        <v/>
      </c>
      <c r="C850" s="40" t="str">
        <f t="array" ref="C850">IFERROR(INDEX(checklistPesertaKemenkeu!$F$6:$F$1005,SMALL(IF(checklistPesertaKemenkeu!$AY$6:$AY$1005="Direkomendasikan",ROW($6:$1005)-5),849)),"")</f>
        <v/>
      </c>
      <c r="D850" t="str">
        <f t="array" ref="D850">IFERROR(INDEX(checklistPesertaKemenkeu!$G$6:$G$1005,SMALL(IF(checklistPesertaKemenkeu!$AY$6:$AY$1005="Direkomendasikan",ROW($6:$1005)-5),849)),"")</f>
        <v/>
      </c>
      <c r="E850" t="str">
        <f t="array" ref="E850">IFERROR(INDEX(checklistPesertaKemenkeu!$H$6:$H$1005,SMALL(IF(checklistPesertaKemenkeu!$AY$6:$AY$1005="Direkomendasikan",ROW($6:$1005)-5),849)),"")</f>
        <v/>
      </c>
      <c r="F850" t="str">
        <f t="array" ref="F850">IFERROR(INDEX(checklistPesertaKemenkeu!$I$6:$I$1005,SMALL(IF(checklistPesertaKemenkeu!$AY$6:$AY$1005="Direkomendasikan",ROW($6:$1005)-5),849)),"")</f>
        <v/>
      </c>
      <c r="G850" t="str">
        <f t="array" ref="G850">IFERROR(INDEX(checklistPesertaKemenkeu!$J$6:$J$1005,SMALL(IF(checklistPesertaKemenkeu!$AY$6:$AY$1005="Direkomendasikan",ROW($6:$1005)-5),849)),"")</f>
        <v/>
      </c>
      <c r="H850" t="str">
        <f t="array" aca="1" ref="H850" ca="1">IFERROR(IF(OR(INDEX(checklistPesertaKemenkeu!$L$6:$L$1005,SMALL(IF(checklistPesertaKemenkeu!$AY$6:$AY$1005="Direkomendasikan",ROW($6:$1005)-5),849))="",INDEX(checklistPesertaKemenkeu!$J$6:$J$1005,SMALL(IF(checklistPesertaKemenkeu!$AY$6:$AY$1005="Direkomendasikan",ROW($6:$1005)-5),849))=""),"",IF(AND(COUNTIF(INDIRECT("K_"&amp;MATCH(INDEX(checklistPesertaKemenkeu!$J$6:$J$1005,SMALL(IF(checklistPesertaKemenkeu!$AY$6:$AY$1005="Direkomendasikan",ROW($6:$1005)-5),849)),BidangList,0)),INDEX(checklistPesertaKemenkeu!$L$6:$L$1005,SMALL(IF(checklistPesertaKemenkeu!$AY$6:$AY$1005="Direkomendasikan",ROW($6:$1005)-5),849)))&gt;0,COUNTIF(INDIRECT("'KERTAS KERJA'!K"&amp;(SMALL(IF(checklistPesertaKemenkeu!$AY$6:$AY$1005="Direkomendasikan",ROW($6:$1005)-5),849)+5)&amp;":O"&amp;(SMALL(IF(checklistPesertaKemenkeu!$AY$6:$AY$1005="Direkomendasikan",ROW($6:$1005)-5),849)+5)),INDEX(checklistPesertaKemenkeu!$L$6:$L$1005,SMALL(IF(checklistPesertaKemenkeu!$AY$6:$AY$1005="Direkomendasikan",ROW($6:$1005)-5),849)))=1),IFERROR(VLOOKUP(INDEX(checklistPesertaKemenkeu!$L$6:$L$1005,SMALL(IF(checklistPesertaKemenkeu!$AY$6:$AY$1005="Direkomendasikan",ROW($6:$1005)-5),849)),KotaKode,2,0),"-"),"")),"")</f>
        <v/>
      </c>
      <c r="I850" t="str">
        <f t="array" aca="1" ref="I850" ca="1">IFERROR(IF(OR(INDEX(checklistPesertaKemenkeu!$M$6:$M$1005,SMALL(IF(checklistPesertaKemenkeu!$AY$6:$AY$1005="Direkomendasikan",ROW($6:$1005)-5),849))="",INDEX(checklistPesertaKemenkeu!$J$6:$J$1005,SMALL(IF(checklistPesertaKemenkeu!$AY$6:$AY$1005="Direkomendasikan",ROW($6:$1005)-5),849))=""),"",IF(AND(COUNTIF(INDIRECT("K_"&amp;MATCH(INDEX(checklistPesertaKemenkeu!$J$6:$J$1005,SMALL(IF(checklistPesertaKemenkeu!$AY$6:$AY$1005="Direkomendasikan",ROW($6:$1005)-5),849)),BidangList,0)),INDEX(checklistPesertaKemenkeu!$M$6:$M$1005,SMALL(IF(checklistPesertaKemenkeu!$AY$6:$AY$1005="Direkomendasikan",ROW($6:$1005)-5),849)))&gt;0,COUNTIF(INDIRECT("'KERTAS KERJA'!K"&amp;(SMALL(IF(checklistPesertaKemenkeu!$AY$6:$AY$1005="Direkomendasikan",ROW($6:$1005)-5),849)+5)&amp;":O"&amp;(SMALL(IF(checklistPesertaKemenkeu!$AY$6:$AY$1005="Direkomendasikan",ROW($6:$1005)-5),849)+5)),INDEX(checklistPesertaKemenkeu!$M$6:$M$1005,SMALL(IF(checklistPesertaKemenkeu!$AY$6:$AY$1005="Direkomendasikan",ROW($6:$1005)-5),849)))=1),IFERROR(VLOOKUP(INDEX(checklistPesertaKemenkeu!$M$6:$M$1005,SMALL(IF(checklistPesertaKemenkeu!$AY$6:$AY$1005="Direkomendasikan",ROW($6:$1005)-5),849)),KotaKode,2,0),"-"),"")),"")</f>
        <v/>
      </c>
      <c r="J850" t="str">
        <f t="array" aca="1" ref="J850" ca="1">IFERROR(IF(OR(INDEX(checklistPesertaKemenkeu!$N$6:$N$1005,SMALL(IF(checklistPesertaKemenkeu!$AY$6:$AY$1005="Direkomendasikan",ROW($6:$1005)-5),849))="",INDEX(checklistPesertaKemenkeu!$J$6:$J$1005,SMALL(IF(checklistPesertaKemenkeu!$AY$6:$AY$1005="Direkomendasikan",ROW($6:$1005)-5),849))=""),"",IF(AND(COUNTIF(INDIRECT("K_"&amp;MATCH(INDEX(checklistPesertaKemenkeu!$J$6:$J$1005,SMALL(IF(checklistPesertaKemenkeu!$AY$6:$AY$1005="Direkomendasikan",ROW($6:$1005)-5),849)),BidangList,0)),INDEX(checklistPesertaKemenkeu!$N$6:$N$1005,SMALL(IF(checklistPesertaKemenkeu!$AY$6:$AY$1005="Direkomendasikan",ROW($6:$1005)-5),849)))&gt;0,COUNTIF(INDIRECT("'KERTAS KERJA'!K"&amp;(SMALL(IF(checklistPesertaKemenkeu!$AY$6:$AY$1005="Direkomendasikan",ROW($6:$1005)-5),849)+5)&amp;":O"&amp;(SMALL(IF(checklistPesertaKemenkeu!$AY$6:$AY$1005="Direkomendasikan",ROW($6:$1005)-5),849)+5)),INDEX(checklistPesertaKemenkeu!$N$6:$N$1005,SMALL(IF(checklistPesertaKemenkeu!$AY$6:$AY$1005="Direkomendasikan",ROW($6:$1005)-5),849)))=1),IFERROR(VLOOKUP(INDEX(checklistPesertaKemenkeu!$N$6:$N$1005,SMALL(IF(checklistPesertaKemenkeu!$AY$6:$AY$1005="Direkomendasikan",ROW($6:$1005)-5),849)),KotaKode,2,0),"-"),"")),"")</f>
        <v/>
      </c>
      <c r="K850" t="str">
        <f t="array" aca="1" ref="K850" ca="1">IFERROR(IF(OR(INDEX(checklistPesertaKemenkeu!$O$6:$O$1005,SMALL(IF(checklistPesertaKemenkeu!$AY$6:$AY$1005="Direkomendasikan",ROW($6:$1005)-5),849))="",INDEX(checklistPesertaKemenkeu!$J$6:$J$1005,SMALL(IF(checklistPesertaKemenkeu!$AY$6:$AY$1005="Direkomendasikan",ROW($6:$1005)-5),849))=""),"",IF(AND(COUNTIF(INDIRECT("K_"&amp;MATCH(INDEX(checklistPesertaKemenkeu!$J$6:$J$1005,SMALL(IF(checklistPesertaKemenkeu!$AY$6:$AY$1005="Direkomendasikan",ROW($6:$1005)-5),849)),BidangList,0)),INDEX(checklistPesertaKemenkeu!$O$6:$O$1005,SMALL(IF(checklistPesertaKemenkeu!$AY$6:$AY$1005="Direkomendasikan",ROW($6:$1005)-5),849)))&gt;0,COUNTIF(INDIRECT("'KERTAS KERJA'!K"&amp;(SMALL(IF(checklistPesertaKemenkeu!$AY$6:$AY$1005="Direkomendasikan",ROW($6:$1005)-5),849)+5)&amp;":O"&amp;(SMALL(IF(checklistPesertaKemenkeu!$AY$6:$AY$1005="Direkomendasikan",ROW($6:$1005)-5),849)+5)),INDEX(checklistPesertaKemenkeu!$O$6:$O$1005,SMALL(IF(checklistPesertaKemenkeu!$AY$6:$AY$1005="Direkomendasikan",ROW($6:$1005)-5),849)))=1),IFERROR(VLOOKUP(INDEX(checklistPesertaKemenkeu!$O$6:$O$1005,SMALL(IF(checklistPesertaKemenkeu!$AY$6:$AY$1005="Direkomendasikan",ROW($6:$1005)-5),849)),KotaKode,2,0),"-"),"")),"")</f>
        <v/>
      </c>
      <c r="L850" t="str">
        <f t="array" aca="1" ref="L850" ca="1">IFERROR(IF(OR(INDEX(checklistPesertaKemenkeu!$P$6:$P$1005,SMALL(IF(checklistPesertaKemenkeu!$AY$6:$AY$1005="Direkomendasikan",ROW($6:$1005)-5),849))="",INDEX(checklistPesertaKemenkeu!$J$6:$J$1005,SMALL(IF(checklistPesertaKemenkeu!$AY$6:$AY$1005="Direkomendasikan",ROW($6:$1005)-5),849))=""),"",IF(AND(COUNTIF(INDIRECT("K_"&amp;MATCH(INDEX(checklistPesertaKemenkeu!$J$6:$J$1005,SMALL(IF(checklistPesertaKemenkeu!$AY$6:$AY$1005="Direkomendasikan",ROW($6:$1005)-5),849)),BidangList,0)),INDEX(checklistPesertaKemenkeu!$P$6:$P$1005,SMALL(IF(checklistPesertaKemenkeu!$AY$6:$AY$1005="Direkomendasikan",ROW($6:$1005)-5),849)))&gt;0,COUNTIF(INDIRECT("'KERTAS KERJA'!K"&amp;(SMALL(IF(checklistPesertaKemenkeu!$AY$6:$AY$1005="Direkomendasikan",ROW($6:$1005)-5),849)+5)&amp;":O"&amp;(SMALL(IF(checklistPesertaKemenkeu!$AY$6:$AY$1005="Direkomendasikan",ROW($6:$1005)-5),849)+5)),INDEX(checklistPesertaKemenkeu!$P$6:$P$1005,SMALL(IF(checklistPesertaKemenkeu!$AY$6:$AY$1005="Direkomendasikan",ROW($6:$1005)-5),849)))=1),IFERROR(VLOOKUP(INDEX(checklistPesertaKemenkeu!$P$6:$P$1005,SMALL(IF(checklistPesertaKemenkeu!$AY$6:$AY$1005="Direkomendasikan",ROW($6:$1005)-5),849)),KotaKode,2,0),"-"),"")),"")</f>
        <v/>
      </c>
    </row>
    <row r="851" spans="1:12" ht="15" customHeight="1" x14ac:dyDescent="0.2">
      <c r="A851" t="str">
        <f t="shared" si="13"/>
        <v/>
      </c>
      <c r="B851" t="str">
        <v/>
      </c>
      <c r="C851" s="40" t="str">
        <f t="array" ref="C851">IFERROR(INDEX(checklistPesertaKemenkeu!$F$6:$F$1005,SMALL(IF(checklistPesertaKemenkeu!$AY$6:$AY$1005="Direkomendasikan",ROW($6:$1005)-5),850)),"")</f>
        <v/>
      </c>
      <c r="D851" t="str">
        <f t="array" ref="D851">IFERROR(INDEX(checklistPesertaKemenkeu!$G$6:$G$1005,SMALL(IF(checklistPesertaKemenkeu!$AY$6:$AY$1005="Direkomendasikan",ROW($6:$1005)-5),850)),"")</f>
        <v/>
      </c>
      <c r="E851" t="str">
        <f t="array" ref="E851">IFERROR(INDEX(checklistPesertaKemenkeu!$H$6:$H$1005,SMALL(IF(checklistPesertaKemenkeu!$AY$6:$AY$1005="Direkomendasikan",ROW($6:$1005)-5),850)),"")</f>
        <v/>
      </c>
      <c r="F851" t="str">
        <f t="array" ref="F851">IFERROR(INDEX(checklistPesertaKemenkeu!$I$6:$I$1005,SMALL(IF(checklistPesertaKemenkeu!$AY$6:$AY$1005="Direkomendasikan",ROW($6:$1005)-5),850)),"")</f>
        <v/>
      </c>
      <c r="G851" t="str">
        <f t="array" ref="G851">IFERROR(INDEX(checklistPesertaKemenkeu!$J$6:$J$1005,SMALL(IF(checklistPesertaKemenkeu!$AY$6:$AY$1005="Direkomendasikan",ROW($6:$1005)-5),850)),"")</f>
        <v/>
      </c>
      <c r="H851" t="str">
        <f t="array" aca="1" ref="H851" ca="1">IFERROR(IF(OR(INDEX(checklistPesertaKemenkeu!$L$6:$L$1005,SMALL(IF(checklistPesertaKemenkeu!$AY$6:$AY$1005="Direkomendasikan",ROW($6:$1005)-5),850))="",INDEX(checklistPesertaKemenkeu!$J$6:$J$1005,SMALL(IF(checklistPesertaKemenkeu!$AY$6:$AY$1005="Direkomendasikan",ROW($6:$1005)-5),850))=""),"",IF(AND(COUNTIF(INDIRECT("K_"&amp;MATCH(INDEX(checklistPesertaKemenkeu!$J$6:$J$1005,SMALL(IF(checklistPesertaKemenkeu!$AY$6:$AY$1005="Direkomendasikan",ROW($6:$1005)-5),850)),BidangList,0)),INDEX(checklistPesertaKemenkeu!$L$6:$L$1005,SMALL(IF(checklistPesertaKemenkeu!$AY$6:$AY$1005="Direkomendasikan",ROW($6:$1005)-5),850)))&gt;0,COUNTIF(INDIRECT("'KERTAS KERJA'!K"&amp;(SMALL(IF(checklistPesertaKemenkeu!$AY$6:$AY$1005="Direkomendasikan",ROW($6:$1005)-5),850)+5)&amp;":O"&amp;(SMALL(IF(checklistPesertaKemenkeu!$AY$6:$AY$1005="Direkomendasikan",ROW($6:$1005)-5),850)+5)),INDEX(checklistPesertaKemenkeu!$L$6:$L$1005,SMALL(IF(checklistPesertaKemenkeu!$AY$6:$AY$1005="Direkomendasikan",ROW($6:$1005)-5),850)))=1),IFERROR(VLOOKUP(INDEX(checklistPesertaKemenkeu!$L$6:$L$1005,SMALL(IF(checklistPesertaKemenkeu!$AY$6:$AY$1005="Direkomendasikan",ROW($6:$1005)-5),850)),KotaKode,2,0),"-"),"")),"")</f>
        <v/>
      </c>
      <c r="I851" t="str">
        <f t="array" aca="1" ref="I851" ca="1">IFERROR(IF(OR(INDEX(checklistPesertaKemenkeu!$M$6:$M$1005,SMALL(IF(checklistPesertaKemenkeu!$AY$6:$AY$1005="Direkomendasikan",ROW($6:$1005)-5),850))="",INDEX(checklistPesertaKemenkeu!$J$6:$J$1005,SMALL(IF(checklistPesertaKemenkeu!$AY$6:$AY$1005="Direkomendasikan",ROW($6:$1005)-5),850))=""),"",IF(AND(COUNTIF(INDIRECT("K_"&amp;MATCH(INDEX(checklistPesertaKemenkeu!$J$6:$J$1005,SMALL(IF(checklistPesertaKemenkeu!$AY$6:$AY$1005="Direkomendasikan",ROW($6:$1005)-5),850)),BidangList,0)),INDEX(checklistPesertaKemenkeu!$M$6:$M$1005,SMALL(IF(checklistPesertaKemenkeu!$AY$6:$AY$1005="Direkomendasikan",ROW($6:$1005)-5),850)))&gt;0,COUNTIF(INDIRECT("'KERTAS KERJA'!K"&amp;(SMALL(IF(checklistPesertaKemenkeu!$AY$6:$AY$1005="Direkomendasikan",ROW($6:$1005)-5),850)+5)&amp;":O"&amp;(SMALL(IF(checklistPesertaKemenkeu!$AY$6:$AY$1005="Direkomendasikan",ROW($6:$1005)-5),850)+5)),INDEX(checklistPesertaKemenkeu!$M$6:$M$1005,SMALL(IF(checklistPesertaKemenkeu!$AY$6:$AY$1005="Direkomendasikan",ROW($6:$1005)-5),850)))=1),IFERROR(VLOOKUP(INDEX(checklistPesertaKemenkeu!$M$6:$M$1005,SMALL(IF(checklistPesertaKemenkeu!$AY$6:$AY$1005="Direkomendasikan",ROW($6:$1005)-5),850)),KotaKode,2,0),"-"),"")),"")</f>
        <v/>
      </c>
      <c r="J851" t="str">
        <f t="array" aca="1" ref="J851" ca="1">IFERROR(IF(OR(INDEX(checklistPesertaKemenkeu!$N$6:$N$1005,SMALL(IF(checklistPesertaKemenkeu!$AY$6:$AY$1005="Direkomendasikan",ROW($6:$1005)-5),850))="",INDEX(checklistPesertaKemenkeu!$J$6:$J$1005,SMALL(IF(checklistPesertaKemenkeu!$AY$6:$AY$1005="Direkomendasikan",ROW($6:$1005)-5),850))=""),"",IF(AND(COUNTIF(INDIRECT("K_"&amp;MATCH(INDEX(checklistPesertaKemenkeu!$J$6:$J$1005,SMALL(IF(checklistPesertaKemenkeu!$AY$6:$AY$1005="Direkomendasikan",ROW($6:$1005)-5),850)),BidangList,0)),INDEX(checklistPesertaKemenkeu!$N$6:$N$1005,SMALL(IF(checklistPesertaKemenkeu!$AY$6:$AY$1005="Direkomendasikan",ROW($6:$1005)-5),850)))&gt;0,COUNTIF(INDIRECT("'KERTAS KERJA'!K"&amp;(SMALL(IF(checklistPesertaKemenkeu!$AY$6:$AY$1005="Direkomendasikan",ROW($6:$1005)-5),850)+5)&amp;":O"&amp;(SMALL(IF(checklistPesertaKemenkeu!$AY$6:$AY$1005="Direkomendasikan",ROW($6:$1005)-5),850)+5)),INDEX(checklistPesertaKemenkeu!$N$6:$N$1005,SMALL(IF(checklistPesertaKemenkeu!$AY$6:$AY$1005="Direkomendasikan",ROW($6:$1005)-5),850)))=1),IFERROR(VLOOKUP(INDEX(checklistPesertaKemenkeu!$N$6:$N$1005,SMALL(IF(checklistPesertaKemenkeu!$AY$6:$AY$1005="Direkomendasikan",ROW($6:$1005)-5),850)),KotaKode,2,0),"-"),"")),"")</f>
        <v/>
      </c>
      <c r="K851" t="str">
        <f t="array" aca="1" ref="K851" ca="1">IFERROR(IF(OR(INDEX(checklistPesertaKemenkeu!$O$6:$O$1005,SMALL(IF(checklistPesertaKemenkeu!$AY$6:$AY$1005="Direkomendasikan",ROW($6:$1005)-5),850))="",INDEX(checklistPesertaKemenkeu!$J$6:$J$1005,SMALL(IF(checklistPesertaKemenkeu!$AY$6:$AY$1005="Direkomendasikan",ROW($6:$1005)-5),850))=""),"",IF(AND(COUNTIF(INDIRECT("K_"&amp;MATCH(INDEX(checklistPesertaKemenkeu!$J$6:$J$1005,SMALL(IF(checklistPesertaKemenkeu!$AY$6:$AY$1005="Direkomendasikan",ROW($6:$1005)-5),850)),BidangList,0)),INDEX(checklistPesertaKemenkeu!$O$6:$O$1005,SMALL(IF(checklistPesertaKemenkeu!$AY$6:$AY$1005="Direkomendasikan",ROW($6:$1005)-5),850)))&gt;0,COUNTIF(INDIRECT("'KERTAS KERJA'!K"&amp;(SMALL(IF(checklistPesertaKemenkeu!$AY$6:$AY$1005="Direkomendasikan",ROW($6:$1005)-5),850)+5)&amp;":O"&amp;(SMALL(IF(checklistPesertaKemenkeu!$AY$6:$AY$1005="Direkomendasikan",ROW($6:$1005)-5),850)+5)),INDEX(checklistPesertaKemenkeu!$O$6:$O$1005,SMALL(IF(checklistPesertaKemenkeu!$AY$6:$AY$1005="Direkomendasikan",ROW($6:$1005)-5),850)))=1),IFERROR(VLOOKUP(INDEX(checklistPesertaKemenkeu!$O$6:$O$1005,SMALL(IF(checklistPesertaKemenkeu!$AY$6:$AY$1005="Direkomendasikan",ROW($6:$1005)-5),850)),KotaKode,2,0),"-"),"")),"")</f>
        <v/>
      </c>
      <c r="L851" t="str">
        <f t="array" aca="1" ref="L851" ca="1">IFERROR(IF(OR(INDEX(checklistPesertaKemenkeu!$P$6:$P$1005,SMALL(IF(checklistPesertaKemenkeu!$AY$6:$AY$1005="Direkomendasikan",ROW($6:$1005)-5),850))="",INDEX(checklistPesertaKemenkeu!$J$6:$J$1005,SMALL(IF(checklistPesertaKemenkeu!$AY$6:$AY$1005="Direkomendasikan",ROW($6:$1005)-5),850))=""),"",IF(AND(COUNTIF(INDIRECT("K_"&amp;MATCH(INDEX(checklistPesertaKemenkeu!$J$6:$J$1005,SMALL(IF(checklistPesertaKemenkeu!$AY$6:$AY$1005="Direkomendasikan",ROW($6:$1005)-5),850)),BidangList,0)),INDEX(checklistPesertaKemenkeu!$P$6:$P$1005,SMALL(IF(checklistPesertaKemenkeu!$AY$6:$AY$1005="Direkomendasikan",ROW($6:$1005)-5),850)))&gt;0,COUNTIF(INDIRECT("'KERTAS KERJA'!K"&amp;(SMALL(IF(checklistPesertaKemenkeu!$AY$6:$AY$1005="Direkomendasikan",ROW($6:$1005)-5),850)+5)&amp;":O"&amp;(SMALL(IF(checklistPesertaKemenkeu!$AY$6:$AY$1005="Direkomendasikan",ROW($6:$1005)-5),850)+5)),INDEX(checklistPesertaKemenkeu!$P$6:$P$1005,SMALL(IF(checklistPesertaKemenkeu!$AY$6:$AY$1005="Direkomendasikan",ROW($6:$1005)-5),850)))=1),IFERROR(VLOOKUP(INDEX(checklistPesertaKemenkeu!$P$6:$P$1005,SMALL(IF(checklistPesertaKemenkeu!$AY$6:$AY$1005="Direkomendasikan",ROW($6:$1005)-5),850)),KotaKode,2,0),"-"),"")),"")</f>
        <v/>
      </c>
    </row>
    <row r="852" spans="1:12" ht="15" customHeight="1" x14ac:dyDescent="0.2">
      <c r="A852" t="str">
        <f t="shared" si="13"/>
        <v/>
      </c>
      <c r="B852" t="str">
        <v/>
      </c>
      <c r="C852" s="40" t="str">
        <f t="array" ref="C852">IFERROR(INDEX(checklistPesertaKemenkeu!$F$6:$F$1005,SMALL(IF(checklistPesertaKemenkeu!$AY$6:$AY$1005="Direkomendasikan",ROW($6:$1005)-5),851)),"")</f>
        <v/>
      </c>
      <c r="D852" t="str">
        <f t="array" ref="D852">IFERROR(INDEX(checklistPesertaKemenkeu!$G$6:$G$1005,SMALL(IF(checklistPesertaKemenkeu!$AY$6:$AY$1005="Direkomendasikan",ROW($6:$1005)-5),851)),"")</f>
        <v/>
      </c>
      <c r="E852" t="str">
        <f t="array" ref="E852">IFERROR(INDEX(checklistPesertaKemenkeu!$H$6:$H$1005,SMALL(IF(checklistPesertaKemenkeu!$AY$6:$AY$1005="Direkomendasikan",ROW($6:$1005)-5),851)),"")</f>
        <v/>
      </c>
      <c r="F852" t="str">
        <f t="array" ref="F852">IFERROR(INDEX(checklistPesertaKemenkeu!$I$6:$I$1005,SMALL(IF(checklistPesertaKemenkeu!$AY$6:$AY$1005="Direkomendasikan",ROW($6:$1005)-5),851)),"")</f>
        <v/>
      </c>
      <c r="G852" t="str">
        <f t="array" ref="G852">IFERROR(INDEX(checklistPesertaKemenkeu!$J$6:$J$1005,SMALL(IF(checklistPesertaKemenkeu!$AY$6:$AY$1005="Direkomendasikan",ROW($6:$1005)-5),851)),"")</f>
        <v/>
      </c>
      <c r="H852" t="str">
        <f t="array" aca="1" ref="H852" ca="1">IFERROR(IF(OR(INDEX(checklistPesertaKemenkeu!$L$6:$L$1005,SMALL(IF(checklistPesertaKemenkeu!$AY$6:$AY$1005="Direkomendasikan",ROW($6:$1005)-5),851))="",INDEX(checklistPesertaKemenkeu!$J$6:$J$1005,SMALL(IF(checklistPesertaKemenkeu!$AY$6:$AY$1005="Direkomendasikan",ROW($6:$1005)-5),851))=""),"",IF(AND(COUNTIF(INDIRECT("K_"&amp;MATCH(INDEX(checklistPesertaKemenkeu!$J$6:$J$1005,SMALL(IF(checklistPesertaKemenkeu!$AY$6:$AY$1005="Direkomendasikan",ROW($6:$1005)-5),851)),BidangList,0)),INDEX(checklistPesertaKemenkeu!$L$6:$L$1005,SMALL(IF(checklistPesertaKemenkeu!$AY$6:$AY$1005="Direkomendasikan",ROW($6:$1005)-5),851)))&gt;0,COUNTIF(INDIRECT("'KERTAS KERJA'!K"&amp;(SMALL(IF(checklistPesertaKemenkeu!$AY$6:$AY$1005="Direkomendasikan",ROW($6:$1005)-5),851)+5)&amp;":O"&amp;(SMALL(IF(checklistPesertaKemenkeu!$AY$6:$AY$1005="Direkomendasikan",ROW($6:$1005)-5),851)+5)),INDEX(checklistPesertaKemenkeu!$L$6:$L$1005,SMALL(IF(checklistPesertaKemenkeu!$AY$6:$AY$1005="Direkomendasikan",ROW($6:$1005)-5),851)))=1),IFERROR(VLOOKUP(INDEX(checklistPesertaKemenkeu!$L$6:$L$1005,SMALL(IF(checklistPesertaKemenkeu!$AY$6:$AY$1005="Direkomendasikan",ROW($6:$1005)-5),851)),KotaKode,2,0),"-"),"")),"")</f>
        <v/>
      </c>
      <c r="I852" t="str">
        <f t="array" aca="1" ref="I852" ca="1">IFERROR(IF(OR(INDEX(checklistPesertaKemenkeu!$M$6:$M$1005,SMALL(IF(checklistPesertaKemenkeu!$AY$6:$AY$1005="Direkomendasikan",ROW($6:$1005)-5),851))="",INDEX(checklistPesertaKemenkeu!$J$6:$J$1005,SMALL(IF(checklistPesertaKemenkeu!$AY$6:$AY$1005="Direkomendasikan",ROW($6:$1005)-5),851))=""),"",IF(AND(COUNTIF(INDIRECT("K_"&amp;MATCH(INDEX(checklistPesertaKemenkeu!$J$6:$J$1005,SMALL(IF(checklistPesertaKemenkeu!$AY$6:$AY$1005="Direkomendasikan",ROW($6:$1005)-5),851)),BidangList,0)),INDEX(checklistPesertaKemenkeu!$M$6:$M$1005,SMALL(IF(checklistPesertaKemenkeu!$AY$6:$AY$1005="Direkomendasikan",ROW($6:$1005)-5),851)))&gt;0,COUNTIF(INDIRECT("'KERTAS KERJA'!K"&amp;(SMALL(IF(checklistPesertaKemenkeu!$AY$6:$AY$1005="Direkomendasikan",ROW($6:$1005)-5),851)+5)&amp;":O"&amp;(SMALL(IF(checklistPesertaKemenkeu!$AY$6:$AY$1005="Direkomendasikan",ROW($6:$1005)-5),851)+5)),INDEX(checklistPesertaKemenkeu!$M$6:$M$1005,SMALL(IF(checklistPesertaKemenkeu!$AY$6:$AY$1005="Direkomendasikan",ROW($6:$1005)-5),851)))=1),IFERROR(VLOOKUP(INDEX(checklistPesertaKemenkeu!$M$6:$M$1005,SMALL(IF(checklistPesertaKemenkeu!$AY$6:$AY$1005="Direkomendasikan",ROW($6:$1005)-5),851)),KotaKode,2,0),"-"),"")),"")</f>
        <v/>
      </c>
      <c r="J852" t="str">
        <f t="array" aca="1" ref="J852" ca="1">IFERROR(IF(OR(INDEX(checklistPesertaKemenkeu!$N$6:$N$1005,SMALL(IF(checklistPesertaKemenkeu!$AY$6:$AY$1005="Direkomendasikan",ROW($6:$1005)-5),851))="",INDEX(checklistPesertaKemenkeu!$J$6:$J$1005,SMALL(IF(checklistPesertaKemenkeu!$AY$6:$AY$1005="Direkomendasikan",ROW($6:$1005)-5),851))=""),"",IF(AND(COUNTIF(INDIRECT("K_"&amp;MATCH(INDEX(checklistPesertaKemenkeu!$J$6:$J$1005,SMALL(IF(checklistPesertaKemenkeu!$AY$6:$AY$1005="Direkomendasikan",ROW($6:$1005)-5),851)),BidangList,0)),INDEX(checklistPesertaKemenkeu!$N$6:$N$1005,SMALL(IF(checklistPesertaKemenkeu!$AY$6:$AY$1005="Direkomendasikan",ROW($6:$1005)-5),851)))&gt;0,COUNTIF(INDIRECT("'KERTAS KERJA'!K"&amp;(SMALL(IF(checklistPesertaKemenkeu!$AY$6:$AY$1005="Direkomendasikan",ROW($6:$1005)-5),851)+5)&amp;":O"&amp;(SMALL(IF(checklistPesertaKemenkeu!$AY$6:$AY$1005="Direkomendasikan",ROW($6:$1005)-5),851)+5)),INDEX(checklistPesertaKemenkeu!$N$6:$N$1005,SMALL(IF(checklistPesertaKemenkeu!$AY$6:$AY$1005="Direkomendasikan",ROW($6:$1005)-5),851)))=1),IFERROR(VLOOKUP(INDEX(checklistPesertaKemenkeu!$N$6:$N$1005,SMALL(IF(checklistPesertaKemenkeu!$AY$6:$AY$1005="Direkomendasikan",ROW($6:$1005)-5),851)),KotaKode,2,0),"-"),"")),"")</f>
        <v/>
      </c>
      <c r="K852" t="str">
        <f t="array" aca="1" ref="K852" ca="1">IFERROR(IF(OR(INDEX(checklistPesertaKemenkeu!$O$6:$O$1005,SMALL(IF(checklistPesertaKemenkeu!$AY$6:$AY$1005="Direkomendasikan",ROW($6:$1005)-5),851))="",INDEX(checklistPesertaKemenkeu!$J$6:$J$1005,SMALL(IF(checklistPesertaKemenkeu!$AY$6:$AY$1005="Direkomendasikan",ROW($6:$1005)-5),851))=""),"",IF(AND(COUNTIF(INDIRECT("K_"&amp;MATCH(INDEX(checklistPesertaKemenkeu!$J$6:$J$1005,SMALL(IF(checklistPesertaKemenkeu!$AY$6:$AY$1005="Direkomendasikan",ROW($6:$1005)-5),851)),BidangList,0)),INDEX(checklistPesertaKemenkeu!$O$6:$O$1005,SMALL(IF(checklistPesertaKemenkeu!$AY$6:$AY$1005="Direkomendasikan",ROW($6:$1005)-5),851)))&gt;0,COUNTIF(INDIRECT("'KERTAS KERJA'!K"&amp;(SMALL(IF(checklistPesertaKemenkeu!$AY$6:$AY$1005="Direkomendasikan",ROW($6:$1005)-5),851)+5)&amp;":O"&amp;(SMALL(IF(checklistPesertaKemenkeu!$AY$6:$AY$1005="Direkomendasikan",ROW($6:$1005)-5),851)+5)),INDEX(checklistPesertaKemenkeu!$O$6:$O$1005,SMALL(IF(checklistPesertaKemenkeu!$AY$6:$AY$1005="Direkomendasikan",ROW($6:$1005)-5),851)))=1),IFERROR(VLOOKUP(INDEX(checklistPesertaKemenkeu!$O$6:$O$1005,SMALL(IF(checklistPesertaKemenkeu!$AY$6:$AY$1005="Direkomendasikan",ROW($6:$1005)-5),851)),KotaKode,2,0),"-"),"")),"")</f>
        <v/>
      </c>
      <c r="L852" t="str">
        <f t="array" aca="1" ref="L852" ca="1">IFERROR(IF(OR(INDEX(checklistPesertaKemenkeu!$P$6:$P$1005,SMALL(IF(checklistPesertaKemenkeu!$AY$6:$AY$1005="Direkomendasikan",ROW($6:$1005)-5),851))="",INDEX(checklistPesertaKemenkeu!$J$6:$J$1005,SMALL(IF(checklistPesertaKemenkeu!$AY$6:$AY$1005="Direkomendasikan",ROW($6:$1005)-5),851))=""),"",IF(AND(COUNTIF(INDIRECT("K_"&amp;MATCH(INDEX(checklistPesertaKemenkeu!$J$6:$J$1005,SMALL(IF(checklistPesertaKemenkeu!$AY$6:$AY$1005="Direkomendasikan",ROW($6:$1005)-5),851)),BidangList,0)),INDEX(checklistPesertaKemenkeu!$P$6:$P$1005,SMALL(IF(checklistPesertaKemenkeu!$AY$6:$AY$1005="Direkomendasikan",ROW($6:$1005)-5),851)))&gt;0,COUNTIF(INDIRECT("'KERTAS KERJA'!K"&amp;(SMALL(IF(checklistPesertaKemenkeu!$AY$6:$AY$1005="Direkomendasikan",ROW($6:$1005)-5),851)+5)&amp;":O"&amp;(SMALL(IF(checklistPesertaKemenkeu!$AY$6:$AY$1005="Direkomendasikan",ROW($6:$1005)-5),851)+5)),INDEX(checklistPesertaKemenkeu!$P$6:$P$1005,SMALL(IF(checklistPesertaKemenkeu!$AY$6:$AY$1005="Direkomendasikan",ROW($6:$1005)-5),851)))=1),IFERROR(VLOOKUP(INDEX(checklistPesertaKemenkeu!$P$6:$P$1005,SMALL(IF(checklistPesertaKemenkeu!$AY$6:$AY$1005="Direkomendasikan",ROW($6:$1005)-5),851)),KotaKode,2,0),"-"),"")),"")</f>
        <v/>
      </c>
    </row>
    <row r="853" spans="1:12" ht="15" customHeight="1" x14ac:dyDescent="0.2">
      <c r="A853" t="str">
        <f t="shared" si="13"/>
        <v/>
      </c>
      <c r="B853" t="str">
        <v/>
      </c>
      <c r="C853" s="40" t="str">
        <f t="array" ref="C853">IFERROR(INDEX(checklistPesertaKemenkeu!$F$6:$F$1005,SMALL(IF(checklistPesertaKemenkeu!$AY$6:$AY$1005="Direkomendasikan",ROW($6:$1005)-5),852)),"")</f>
        <v/>
      </c>
      <c r="D853" t="str">
        <f t="array" ref="D853">IFERROR(INDEX(checklistPesertaKemenkeu!$G$6:$G$1005,SMALL(IF(checklistPesertaKemenkeu!$AY$6:$AY$1005="Direkomendasikan",ROW($6:$1005)-5),852)),"")</f>
        <v/>
      </c>
      <c r="E853" t="str">
        <f t="array" ref="E853">IFERROR(INDEX(checklistPesertaKemenkeu!$H$6:$H$1005,SMALL(IF(checklistPesertaKemenkeu!$AY$6:$AY$1005="Direkomendasikan",ROW($6:$1005)-5),852)),"")</f>
        <v/>
      </c>
      <c r="F853" t="str">
        <f t="array" ref="F853">IFERROR(INDEX(checklistPesertaKemenkeu!$I$6:$I$1005,SMALL(IF(checklistPesertaKemenkeu!$AY$6:$AY$1005="Direkomendasikan",ROW($6:$1005)-5),852)),"")</f>
        <v/>
      </c>
      <c r="G853" t="str">
        <f t="array" ref="G853">IFERROR(INDEX(checklistPesertaKemenkeu!$J$6:$J$1005,SMALL(IF(checklistPesertaKemenkeu!$AY$6:$AY$1005="Direkomendasikan",ROW($6:$1005)-5),852)),"")</f>
        <v/>
      </c>
      <c r="H853" t="str">
        <f t="array" aca="1" ref="H853" ca="1">IFERROR(IF(OR(INDEX(checklistPesertaKemenkeu!$L$6:$L$1005,SMALL(IF(checklistPesertaKemenkeu!$AY$6:$AY$1005="Direkomendasikan",ROW($6:$1005)-5),852))="",INDEX(checklistPesertaKemenkeu!$J$6:$J$1005,SMALL(IF(checklistPesertaKemenkeu!$AY$6:$AY$1005="Direkomendasikan",ROW($6:$1005)-5),852))=""),"",IF(AND(COUNTIF(INDIRECT("K_"&amp;MATCH(INDEX(checklistPesertaKemenkeu!$J$6:$J$1005,SMALL(IF(checklistPesertaKemenkeu!$AY$6:$AY$1005="Direkomendasikan",ROW($6:$1005)-5),852)),BidangList,0)),INDEX(checklistPesertaKemenkeu!$L$6:$L$1005,SMALL(IF(checklistPesertaKemenkeu!$AY$6:$AY$1005="Direkomendasikan",ROW($6:$1005)-5),852)))&gt;0,COUNTIF(INDIRECT("'KERTAS KERJA'!K"&amp;(SMALL(IF(checklistPesertaKemenkeu!$AY$6:$AY$1005="Direkomendasikan",ROW($6:$1005)-5),852)+5)&amp;":O"&amp;(SMALL(IF(checklistPesertaKemenkeu!$AY$6:$AY$1005="Direkomendasikan",ROW($6:$1005)-5),852)+5)),INDEX(checklistPesertaKemenkeu!$L$6:$L$1005,SMALL(IF(checklistPesertaKemenkeu!$AY$6:$AY$1005="Direkomendasikan",ROW($6:$1005)-5),852)))=1),IFERROR(VLOOKUP(INDEX(checklistPesertaKemenkeu!$L$6:$L$1005,SMALL(IF(checklistPesertaKemenkeu!$AY$6:$AY$1005="Direkomendasikan",ROW($6:$1005)-5),852)),KotaKode,2,0),"-"),"")),"")</f>
        <v/>
      </c>
      <c r="I853" t="str">
        <f t="array" aca="1" ref="I853" ca="1">IFERROR(IF(OR(INDEX(checklistPesertaKemenkeu!$M$6:$M$1005,SMALL(IF(checklistPesertaKemenkeu!$AY$6:$AY$1005="Direkomendasikan",ROW($6:$1005)-5),852))="",INDEX(checklistPesertaKemenkeu!$J$6:$J$1005,SMALL(IF(checklistPesertaKemenkeu!$AY$6:$AY$1005="Direkomendasikan",ROW($6:$1005)-5),852))=""),"",IF(AND(COUNTIF(INDIRECT("K_"&amp;MATCH(INDEX(checklistPesertaKemenkeu!$J$6:$J$1005,SMALL(IF(checklistPesertaKemenkeu!$AY$6:$AY$1005="Direkomendasikan",ROW($6:$1005)-5),852)),BidangList,0)),INDEX(checklistPesertaKemenkeu!$M$6:$M$1005,SMALL(IF(checklistPesertaKemenkeu!$AY$6:$AY$1005="Direkomendasikan",ROW($6:$1005)-5),852)))&gt;0,COUNTIF(INDIRECT("'KERTAS KERJA'!K"&amp;(SMALL(IF(checklistPesertaKemenkeu!$AY$6:$AY$1005="Direkomendasikan",ROW($6:$1005)-5),852)+5)&amp;":O"&amp;(SMALL(IF(checklistPesertaKemenkeu!$AY$6:$AY$1005="Direkomendasikan",ROW($6:$1005)-5),852)+5)),INDEX(checklistPesertaKemenkeu!$M$6:$M$1005,SMALL(IF(checklistPesertaKemenkeu!$AY$6:$AY$1005="Direkomendasikan",ROW($6:$1005)-5),852)))=1),IFERROR(VLOOKUP(INDEX(checklistPesertaKemenkeu!$M$6:$M$1005,SMALL(IF(checklistPesertaKemenkeu!$AY$6:$AY$1005="Direkomendasikan",ROW($6:$1005)-5),852)),KotaKode,2,0),"-"),"")),"")</f>
        <v/>
      </c>
      <c r="J853" t="str">
        <f t="array" aca="1" ref="J853" ca="1">IFERROR(IF(OR(INDEX(checklistPesertaKemenkeu!$N$6:$N$1005,SMALL(IF(checklistPesertaKemenkeu!$AY$6:$AY$1005="Direkomendasikan",ROW($6:$1005)-5),852))="",INDEX(checklistPesertaKemenkeu!$J$6:$J$1005,SMALL(IF(checklistPesertaKemenkeu!$AY$6:$AY$1005="Direkomendasikan",ROW($6:$1005)-5),852))=""),"",IF(AND(COUNTIF(INDIRECT("K_"&amp;MATCH(INDEX(checklistPesertaKemenkeu!$J$6:$J$1005,SMALL(IF(checklistPesertaKemenkeu!$AY$6:$AY$1005="Direkomendasikan",ROW($6:$1005)-5),852)),BidangList,0)),INDEX(checklistPesertaKemenkeu!$N$6:$N$1005,SMALL(IF(checklistPesertaKemenkeu!$AY$6:$AY$1005="Direkomendasikan",ROW($6:$1005)-5),852)))&gt;0,COUNTIF(INDIRECT("'KERTAS KERJA'!K"&amp;(SMALL(IF(checklistPesertaKemenkeu!$AY$6:$AY$1005="Direkomendasikan",ROW($6:$1005)-5),852)+5)&amp;":O"&amp;(SMALL(IF(checklistPesertaKemenkeu!$AY$6:$AY$1005="Direkomendasikan",ROW($6:$1005)-5),852)+5)),INDEX(checklistPesertaKemenkeu!$N$6:$N$1005,SMALL(IF(checklistPesertaKemenkeu!$AY$6:$AY$1005="Direkomendasikan",ROW($6:$1005)-5),852)))=1),IFERROR(VLOOKUP(INDEX(checklistPesertaKemenkeu!$N$6:$N$1005,SMALL(IF(checklistPesertaKemenkeu!$AY$6:$AY$1005="Direkomendasikan",ROW($6:$1005)-5),852)),KotaKode,2,0),"-"),"")),"")</f>
        <v/>
      </c>
      <c r="K853" t="str">
        <f t="array" aca="1" ref="K853" ca="1">IFERROR(IF(OR(INDEX(checklistPesertaKemenkeu!$O$6:$O$1005,SMALL(IF(checklistPesertaKemenkeu!$AY$6:$AY$1005="Direkomendasikan",ROW($6:$1005)-5),852))="",INDEX(checklistPesertaKemenkeu!$J$6:$J$1005,SMALL(IF(checklistPesertaKemenkeu!$AY$6:$AY$1005="Direkomendasikan",ROW($6:$1005)-5),852))=""),"",IF(AND(COUNTIF(INDIRECT("K_"&amp;MATCH(INDEX(checklistPesertaKemenkeu!$J$6:$J$1005,SMALL(IF(checklistPesertaKemenkeu!$AY$6:$AY$1005="Direkomendasikan",ROW($6:$1005)-5),852)),BidangList,0)),INDEX(checklistPesertaKemenkeu!$O$6:$O$1005,SMALL(IF(checklistPesertaKemenkeu!$AY$6:$AY$1005="Direkomendasikan",ROW($6:$1005)-5),852)))&gt;0,COUNTIF(INDIRECT("'KERTAS KERJA'!K"&amp;(SMALL(IF(checklistPesertaKemenkeu!$AY$6:$AY$1005="Direkomendasikan",ROW($6:$1005)-5),852)+5)&amp;":O"&amp;(SMALL(IF(checklistPesertaKemenkeu!$AY$6:$AY$1005="Direkomendasikan",ROW($6:$1005)-5),852)+5)),INDEX(checklistPesertaKemenkeu!$O$6:$O$1005,SMALL(IF(checklistPesertaKemenkeu!$AY$6:$AY$1005="Direkomendasikan",ROW($6:$1005)-5),852)))=1),IFERROR(VLOOKUP(INDEX(checklistPesertaKemenkeu!$O$6:$O$1005,SMALL(IF(checklistPesertaKemenkeu!$AY$6:$AY$1005="Direkomendasikan",ROW($6:$1005)-5),852)),KotaKode,2,0),"-"),"")),"")</f>
        <v/>
      </c>
      <c r="L853" t="str">
        <f t="array" aca="1" ref="L853" ca="1">IFERROR(IF(OR(INDEX(checklistPesertaKemenkeu!$P$6:$P$1005,SMALL(IF(checklistPesertaKemenkeu!$AY$6:$AY$1005="Direkomendasikan",ROW($6:$1005)-5),852))="",INDEX(checklistPesertaKemenkeu!$J$6:$J$1005,SMALL(IF(checklistPesertaKemenkeu!$AY$6:$AY$1005="Direkomendasikan",ROW($6:$1005)-5),852))=""),"",IF(AND(COUNTIF(INDIRECT("K_"&amp;MATCH(INDEX(checklistPesertaKemenkeu!$J$6:$J$1005,SMALL(IF(checklistPesertaKemenkeu!$AY$6:$AY$1005="Direkomendasikan",ROW($6:$1005)-5),852)),BidangList,0)),INDEX(checklistPesertaKemenkeu!$P$6:$P$1005,SMALL(IF(checklistPesertaKemenkeu!$AY$6:$AY$1005="Direkomendasikan",ROW($6:$1005)-5),852)))&gt;0,COUNTIF(INDIRECT("'KERTAS KERJA'!K"&amp;(SMALL(IF(checklistPesertaKemenkeu!$AY$6:$AY$1005="Direkomendasikan",ROW($6:$1005)-5),852)+5)&amp;":O"&amp;(SMALL(IF(checklistPesertaKemenkeu!$AY$6:$AY$1005="Direkomendasikan",ROW($6:$1005)-5),852)+5)),INDEX(checklistPesertaKemenkeu!$P$6:$P$1005,SMALL(IF(checklistPesertaKemenkeu!$AY$6:$AY$1005="Direkomendasikan",ROW($6:$1005)-5),852)))=1),IFERROR(VLOOKUP(INDEX(checklistPesertaKemenkeu!$P$6:$P$1005,SMALL(IF(checklistPesertaKemenkeu!$AY$6:$AY$1005="Direkomendasikan",ROW($6:$1005)-5),852)),KotaKode,2,0),"-"),"")),"")</f>
        <v/>
      </c>
    </row>
    <row r="854" spans="1:12" ht="15" customHeight="1" x14ac:dyDescent="0.2">
      <c r="A854" t="str">
        <f t="shared" si="13"/>
        <v/>
      </c>
      <c r="B854" t="str">
        <v/>
      </c>
      <c r="C854" s="40" t="str">
        <f t="array" ref="C854">IFERROR(INDEX(checklistPesertaKemenkeu!$F$6:$F$1005,SMALL(IF(checklistPesertaKemenkeu!$AY$6:$AY$1005="Direkomendasikan",ROW($6:$1005)-5),853)),"")</f>
        <v/>
      </c>
      <c r="D854" t="str">
        <f t="array" ref="D854">IFERROR(INDEX(checklistPesertaKemenkeu!$G$6:$G$1005,SMALL(IF(checklistPesertaKemenkeu!$AY$6:$AY$1005="Direkomendasikan",ROW($6:$1005)-5),853)),"")</f>
        <v/>
      </c>
      <c r="E854" t="str">
        <f t="array" ref="E854">IFERROR(INDEX(checklistPesertaKemenkeu!$H$6:$H$1005,SMALL(IF(checklistPesertaKemenkeu!$AY$6:$AY$1005="Direkomendasikan",ROW($6:$1005)-5),853)),"")</f>
        <v/>
      </c>
      <c r="F854" t="str">
        <f t="array" ref="F854">IFERROR(INDEX(checklistPesertaKemenkeu!$I$6:$I$1005,SMALL(IF(checklistPesertaKemenkeu!$AY$6:$AY$1005="Direkomendasikan",ROW($6:$1005)-5),853)),"")</f>
        <v/>
      </c>
      <c r="G854" t="str">
        <f t="array" ref="G854">IFERROR(INDEX(checklistPesertaKemenkeu!$J$6:$J$1005,SMALL(IF(checklistPesertaKemenkeu!$AY$6:$AY$1005="Direkomendasikan",ROW($6:$1005)-5),853)),"")</f>
        <v/>
      </c>
      <c r="H854" t="str">
        <f t="array" aca="1" ref="H854" ca="1">IFERROR(IF(OR(INDEX(checklistPesertaKemenkeu!$L$6:$L$1005,SMALL(IF(checklistPesertaKemenkeu!$AY$6:$AY$1005="Direkomendasikan",ROW($6:$1005)-5),853))="",INDEX(checklistPesertaKemenkeu!$J$6:$J$1005,SMALL(IF(checklistPesertaKemenkeu!$AY$6:$AY$1005="Direkomendasikan",ROW($6:$1005)-5),853))=""),"",IF(AND(COUNTIF(INDIRECT("K_"&amp;MATCH(INDEX(checklistPesertaKemenkeu!$J$6:$J$1005,SMALL(IF(checklistPesertaKemenkeu!$AY$6:$AY$1005="Direkomendasikan",ROW($6:$1005)-5),853)),BidangList,0)),INDEX(checklistPesertaKemenkeu!$L$6:$L$1005,SMALL(IF(checklistPesertaKemenkeu!$AY$6:$AY$1005="Direkomendasikan",ROW($6:$1005)-5),853)))&gt;0,COUNTIF(INDIRECT("'KERTAS KERJA'!K"&amp;(SMALL(IF(checklistPesertaKemenkeu!$AY$6:$AY$1005="Direkomendasikan",ROW($6:$1005)-5),853)+5)&amp;":O"&amp;(SMALL(IF(checklistPesertaKemenkeu!$AY$6:$AY$1005="Direkomendasikan",ROW($6:$1005)-5),853)+5)),INDEX(checklistPesertaKemenkeu!$L$6:$L$1005,SMALL(IF(checklistPesertaKemenkeu!$AY$6:$AY$1005="Direkomendasikan",ROW($6:$1005)-5),853)))=1),IFERROR(VLOOKUP(INDEX(checklistPesertaKemenkeu!$L$6:$L$1005,SMALL(IF(checklistPesertaKemenkeu!$AY$6:$AY$1005="Direkomendasikan",ROW($6:$1005)-5),853)),KotaKode,2,0),"-"),"")),"")</f>
        <v/>
      </c>
      <c r="I854" t="str">
        <f t="array" aca="1" ref="I854" ca="1">IFERROR(IF(OR(INDEX(checklistPesertaKemenkeu!$M$6:$M$1005,SMALL(IF(checklistPesertaKemenkeu!$AY$6:$AY$1005="Direkomendasikan",ROW($6:$1005)-5),853))="",INDEX(checklistPesertaKemenkeu!$J$6:$J$1005,SMALL(IF(checklistPesertaKemenkeu!$AY$6:$AY$1005="Direkomendasikan",ROW($6:$1005)-5),853))=""),"",IF(AND(COUNTIF(INDIRECT("K_"&amp;MATCH(INDEX(checklistPesertaKemenkeu!$J$6:$J$1005,SMALL(IF(checklistPesertaKemenkeu!$AY$6:$AY$1005="Direkomendasikan",ROW($6:$1005)-5),853)),BidangList,0)),INDEX(checklistPesertaKemenkeu!$M$6:$M$1005,SMALL(IF(checklistPesertaKemenkeu!$AY$6:$AY$1005="Direkomendasikan",ROW($6:$1005)-5),853)))&gt;0,COUNTIF(INDIRECT("'KERTAS KERJA'!K"&amp;(SMALL(IF(checklistPesertaKemenkeu!$AY$6:$AY$1005="Direkomendasikan",ROW($6:$1005)-5),853)+5)&amp;":O"&amp;(SMALL(IF(checklistPesertaKemenkeu!$AY$6:$AY$1005="Direkomendasikan",ROW($6:$1005)-5),853)+5)),INDEX(checklistPesertaKemenkeu!$M$6:$M$1005,SMALL(IF(checklistPesertaKemenkeu!$AY$6:$AY$1005="Direkomendasikan",ROW($6:$1005)-5),853)))=1),IFERROR(VLOOKUP(INDEX(checklistPesertaKemenkeu!$M$6:$M$1005,SMALL(IF(checklistPesertaKemenkeu!$AY$6:$AY$1005="Direkomendasikan",ROW($6:$1005)-5),853)),KotaKode,2,0),"-"),"")),"")</f>
        <v/>
      </c>
      <c r="J854" t="str">
        <f t="array" aca="1" ref="J854" ca="1">IFERROR(IF(OR(INDEX(checklistPesertaKemenkeu!$N$6:$N$1005,SMALL(IF(checklistPesertaKemenkeu!$AY$6:$AY$1005="Direkomendasikan",ROW($6:$1005)-5),853))="",INDEX(checklistPesertaKemenkeu!$J$6:$J$1005,SMALL(IF(checklistPesertaKemenkeu!$AY$6:$AY$1005="Direkomendasikan",ROW($6:$1005)-5),853))=""),"",IF(AND(COUNTIF(INDIRECT("K_"&amp;MATCH(INDEX(checklistPesertaKemenkeu!$J$6:$J$1005,SMALL(IF(checklistPesertaKemenkeu!$AY$6:$AY$1005="Direkomendasikan",ROW($6:$1005)-5),853)),BidangList,0)),INDEX(checklistPesertaKemenkeu!$N$6:$N$1005,SMALL(IF(checklistPesertaKemenkeu!$AY$6:$AY$1005="Direkomendasikan",ROW($6:$1005)-5),853)))&gt;0,COUNTIF(INDIRECT("'KERTAS KERJA'!K"&amp;(SMALL(IF(checklistPesertaKemenkeu!$AY$6:$AY$1005="Direkomendasikan",ROW($6:$1005)-5),853)+5)&amp;":O"&amp;(SMALL(IF(checklistPesertaKemenkeu!$AY$6:$AY$1005="Direkomendasikan",ROW($6:$1005)-5),853)+5)),INDEX(checklistPesertaKemenkeu!$N$6:$N$1005,SMALL(IF(checklistPesertaKemenkeu!$AY$6:$AY$1005="Direkomendasikan",ROW($6:$1005)-5),853)))=1),IFERROR(VLOOKUP(INDEX(checklistPesertaKemenkeu!$N$6:$N$1005,SMALL(IF(checklistPesertaKemenkeu!$AY$6:$AY$1005="Direkomendasikan",ROW($6:$1005)-5),853)),KotaKode,2,0),"-"),"")),"")</f>
        <v/>
      </c>
      <c r="K854" t="str">
        <f t="array" aca="1" ref="K854" ca="1">IFERROR(IF(OR(INDEX(checklistPesertaKemenkeu!$O$6:$O$1005,SMALL(IF(checklistPesertaKemenkeu!$AY$6:$AY$1005="Direkomendasikan",ROW($6:$1005)-5),853))="",INDEX(checklistPesertaKemenkeu!$J$6:$J$1005,SMALL(IF(checklistPesertaKemenkeu!$AY$6:$AY$1005="Direkomendasikan",ROW($6:$1005)-5),853))=""),"",IF(AND(COUNTIF(INDIRECT("K_"&amp;MATCH(INDEX(checklistPesertaKemenkeu!$J$6:$J$1005,SMALL(IF(checklistPesertaKemenkeu!$AY$6:$AY$1005="Direkomendasikan",ROW($6:$1005)-5),853)),BidangList,0)),INDEX(checklistPesertaKemenkeu!$O$6:$O$1005,SMALL(IF(checklistPesertaKemenkeu!$AY$6:$AY$1005="Direkomendasikan",ROW($6:$1005)-5),853)))&gt;0,COUNTIF(INDIRECT("'KERTAS KERJA'!K"&amp;(SMALL(IF(checklistPesertaKemenkeu!$AY$6:$AY$1005="Direkomendasikan",ROW($6:$1005)-5),853)+5)&amp;":O"&amp;(SMALL(IF(checklistPesertaKemenkeu!$AY$6:$AY$1005="Direkomendasikan",ROW($6:$1005)-5),853)+5)),INDEX(checklistPesertaKemenkeu!$O$6:$O$1005,SMALL(IF(checklistPesertaKemenkeu!$AY$6:$AY$1005="Direkomendasikan",ROW($6:$1005)-5),853)))=1),IFERROR(VLOOKUP(INDEX(checklistPesertaKemenkeu!$O$6:$O$1005,SMALL(IF(checklistPesertaKemenkeu!$AY$6:$AY$1005="Direkomendasikan",ROW($6:$1005)-5),853)),KotaKode,2,0),"-"),"")),"")</f>
        <v/>
      </c>
      <c r="L854" t="str">
        <f t="array" aca="1" ref="L854" ca="1">IFERROR(IF(OR(INDEX(checklistPesertaKemenkeu!$P$6:$P$1005,SMALL(IF(checklistPesertaKemenkeu!$AY$6:$AY$1005="Direkomendasikan",ROW($6:$1005)-5),853))="",INDEX(checklistPesertaKemenkeu!$J$6:$J$1005,SMALL(IF(checklistPesertaKemenkeu!$AY$6:$AY$1005="Direkomendasikan",ROW($6:$1005)-5),853))=""),"",IF(AND(COUNTIF(INDIRECT("K_"&amp;MATCH(INDEX(checklistPesertaKemenkeu!$J$6:$J$1005,SMALL(IF(checklistPesertaKemenkeu!$AY$6:$AY$1005="Direkomendasikan",ROW($6:$1005)-5),853)),BidangList,0)),INDEX(checklistPesertaKemenkeu!$P$6:$P$1005,SMALL(IF(checklistPesertaKemenkeu!$AY$6:$AY$1005="Direkomendasikan",ROW($6:$1005)-5),853)))&gt;0,COUNTIF(INDIRECT("'KERTAS KERJA'!K"&amp;(SMALL(IF(checklistPesertaKemenkeu!$AY$6:$AY$1005="Direkomendasikan",ROW($6:$1005)-5),853)+5)&amp;":O"&amp;(SMALL(IF(checklistPesertaKemenkeu!$AY$6:$AY$1005="Direkomendasikan",ROW($6:$1005)-5),853)+5)),INDEX(checklistPesertaKemenkeu!$P$6:$P$1005,SMALL(IF(checklistPesertaKemenkeu!$AY$6:$AY$1005="Direkomendasikan",ROW($6:$1005)-5),853)))=1),IFERROR(VLOOKUP(INDEX(checklistPesertaKemenkeu!$P$6:$P$1005,SMALL(IF(checklistPesertaKemenkeu!$AY$6:$AY$1005="Direkomendasikan",ROW($6:$1005)-5),853)),KotaKode,2,0),"-"),"")),"")</f>
        <v/>
      </c>
    </row>
    <row r="855" spans="1:12" ht="15" customHeight="1" x14ac:dyDescent="0.2">
      <c r="A855" t="str">
        <f t="shared" si="13"/>
        <v/>
      </c>
      <c r="B855" t="str">
        <v/>
      </c>
      <c r="C855" s="40" t="str">
        <f t="array" ref="C855">IFERROR(INDEX(checklistPesertaKemenkeu!$F$6:$F$1005,SMALL(IF(checklistPesertaKemenkeu!$AY$6:$AY$1005="Direkomendasikan",ROW($6:$1005)-5),854)),"")</f>
        <v/>
      </c>
      <c r="D855" t="str">
        <f t="array" ref="D855">IFERROR(INDEX(checklistPesertaKemenkeu!$G$6:$G$1005,SMALL(IF(checklistPesertaKemenkeu!$AY$6:$AY$1005="Direkomendasikan",ROW($6:$1005)-5),854)),"")</f>
        <v/>
      </c>
      <c r="E855" t="str">
        <f t="array" ref="E855">IFERROR(INDEX(checklistPesertaKemenkeu!$H$6:$H$1005,SMALL(IF(checklistPesertaKemenkeu!$AY$6:$AY$1005="Direkomendasikan",ROW($6:$1005)-5),854)),"")</f>
        <v/>
      </c>
      <c r="F855" t="str">
        <f t="array" ref="F855">IFERROR(INDEX(checklistPesertaKemenkeu!$I$6:$I$1005,SMALL(IF(checklistPesertaKemenkeu!$AY$6:$AY$1005="Direkomendasikan",ROW($6:$1005)-5),854)),"")</f>
        <v/>
      </c>
      <c r="G855" t="str">
        <f t="array" ref="G855">IFERROR(INDEX(checklistPesertaKemenkeu!$J$6:$J$1005,SMALL(IF(checklistPesertaKemenkeu!$AY$6:$AY$1005="Direkomendasikan",ROW($6:$1005)-5),854)),"")</f>
        <v/>
      </c>
      <c r="H855" t="str">
        <f t="array" aca="1" ref="H855" ca="1">IFERROR(IF(OR(INDEX(checklistPesertaKemenkeu!$L$6:$L$1005,SMALL(IF(checklistPesertaKemenkeu!$AY$6:$AY$1005="Direkomendasikan",ROW($6:$1005)-5),854))="",INDEX(checklistPesertaKemenkeu!$J$6:$J$1005,SMALL(IF(checklistPesertaKemenkeu!$AY$6:$AY$1005="Direkomendasikan",ROW($6:$1005)-5),854))=""),"",IF(AND(COUNTIF(INDIRECT("K_"&amp;MATCH(INDEX(checklistPesertaKemenkeu!$J$6:$J$1005,SMALL(IF(checklistPesertaKemenkeu!$AY$6:$AY$1005="Direkomendasikan",ROW($6:$1005)-5),854)),BidangList,0)),INDEX(checklistPesertaKemenkeu!$L$6:$L$1005,SMALL(IF(checklistPesertaKemenkeu!$AY$6:$AY$1005="Direkomendasikan",ROW($6:$1005)-5),854)))&gt;0,COUNTIF(INDIRECT("'KERTAS KERJA'!K"&amp;(SMALL(IF(checklistPesertaKemenkeu!$AY$6:$AY$1005="Direkomendasikan",ROW($6:$1005)-5),854)+5)&amp;":O"&amp;(SMALL(IF(checklistPesertaKemenkeu!$AY$6:$AY$1005="Direkomendasikan",ROW($6:$1005)-5),854)+5)),INDEX(checklistPesertaKemenkeu!$L$6:$L$1005,SMALL(IF(checklistPesertaKemenkeu!$AY$6:$AY$1005="Direkomendasikan",ROW($6:$1005)-5),854)))=1),IFERROR(VLOOKUP(INDEX(checklistPesertaKemenkeu!$L$6:$L$1005,SMALL(IF(checklistPesertaKemenkeu!$AY$6:$AY$1005="Direkomendasikan",ROW($6:$1005)-5),854)),KotaKode,2,0),"-"),"")),"")</f>
        <v/>
      </c>
      <c r="I855" t="str">
        <f t="array" aca="1" ref="I855" ca="1">IFERROR(IF(OR(INDEX(checklistPesertaKemenkeu!$M$6:$M$1005,SMALL(IF(checklistPesertaKemenkeu!$AY$6:$AY$1005="Direkomendasikan",ROW($6:$1005)-5),854))="",INDEX(checklistPesertaKemenkeu!$J$6:$J$1005,SMALL(IF(checklistPesertaKemenkeu!$AY$6:$AY$1005="Direkomendasikan",ROW($6:$1005)-5),854))=""),"",IF(AND(COUNTIF(INDIRECT("K_"&amp;MATCH(INDEX(checklistPesertaKemenkeu!$J$6:$J$1005,SMALL(IF(checklistPesertaKemenkeu!$AY$6:$AY$1005="Direkomendasikan",ROW($6:$1005)-5),854)),BidangList,0)),INDEX(checklistPesertaKemenkeu!$M$6:$M$1005,SMALL(IF(checklistPesertaKemenkeu!$AY$6:$AY$1005="Direkomendasikan",ROW($6:$1005)-5),854)))&gt;0,COUNTIF(INDIRECT("'KERTAS KERJA'!K"&amp;(SMALL(IF(checklistPesertaKemenkeu!$AY$6:$AY$1005="Direkomendasikan",ROW($6:$1005)-5),854)+5)&amp;":O"&amp;(SMALL(IF(checklistPesertaKemenkeu!$AY$6:$AY$1005="Direkomendasikan",ROW($6:$1005)-5),854)+5)),INDEX(checklistPesertaKemenkeu!$M$6:$M$1005,SMALL(IF(checklistPesertaKemenkeu!$AY$6:$AY$1005="Direkomendasikan",ROW($6:$1005)-5),854)))=1),IFERROR(VLOOKUP(INDEX(checklistPesertaKemenkeu!$M$6:$M$1005,SMALL(IF(checklistPesertaKemenkeu!$AY$6:$AY$1005="Direkomendasikan",ROW($6:$1005)-5),854)),KotaKode,2,0),"-"),"")),"")</f>
        <v/>
      </c>
      <c r="J855" t="str">
        <f t="array" aca="1" ref="J855" ca="1">IFERROR(IF(OR(INDEX(checklistPesertaKemenkeu!$N$6:$N$1005,SMALL(IF(checklistPesertaKemenkeu!$AY$6:$AY$1005="Direkomendasikan",ROW($6:$1005)-5),854))="",INDEX(checklistPesertaKemenkeu!$J$6:$J$1005,SMALL(IF(checklistPesertaKemenkeu!$AY$6:$AY$1005="Direkomendasikan",ROW($6:$1005)-5),854))=""),"",IF(AND(COUNTIF(INDIRECT("K_"&amp;MATCH(INDEX(checklistPesertaKemenkeu!$J$6:$J$1005,SMALL(IF(checklistPesertaKemenkeu!$AY$6:$AY$1005="Direkomendasikan",ROW($6:$1005)-5),854)),BidangList,0)),INDEX(checklistPesertaKemenkeu!$N$6:$N$1005,SMALL(IF(checklistPesertaKemenkeu!$AY$6:$AY$1005="Direkomendasikan",ROW($6:$1005)-5),854)))&gt;0,COUNTIF(INDIRECT("'KERTAS KERJA'!K"&amp;(SMALL(IF(checklistPesertaKemenkeu!$AY$6:$AY$1005="Direkomendasikan",ROW($6:$1005)-5),854)+5)&amp;":O"&amp;(SMALL(IF(checklistPesertaKemenkeu!$AY$6:$AY$1005="Direkomendasikan",ROW($6:$1005)-5),854)+5)),INDEX(checklistPesertaKemenkeu!$N$6:$N$1005,SMALL(IF(checklistPesertaKemenkeu!$AY$6:$AY$1005="Direkomendasikan",ROW($6:$1005)-5),854)))=1),IFERROR(VLOOKUP(INDEX(checklistPesertaKemenkeu!$N$6:$N$1005,SMALL(IF(checklistPesertaKemenkeu!$AY$6:$AY$1005="Direkomendasikan",ROW($6:$1005)-5),854)),KotaKode,2,0),"-"),"")),"")</f>
        <v/>
      </c>
      <c r="K855" t="str">
        <f t="array" aca="1" ref="K855" ca="1">IFERROR(IF(OR(INDEX(checklistPesertaKemenkeu!$O$6:$O$1005,SMALL(IF(checklistPesertaKemenkeu!$AY$6:$AY$1005="Direkomendasikan",ROW($6:$1005)-5),854))="",INDEX(checklistPesertaKemenkeu!$J$6:$J$1005,SMALL(IF(checklistPesertaKemenkeu!$AY$6:$AY$1005="Direkomendasikan",ROW($6:$1005)-5),854))=""),"",IF(AND(COUNTIF(INDIRECT("K_"&amp;MATCH(INDEX(checklistPesertaKemenkeu!$J$6:$J$1005,SMALL(IF(checklistPesertaKemenkeu!$AY$6:$AY$1005="Direkomendasikan",ROW($6:$1005)-5),854)),BidangList,0)),INDEX(checklistPesertaKemenkeu!$O$6:$O$1005,SMALL(IF(checklistPesertaKemenkeu!$AY$6:$AY$1005="Direkomendasikan",ROW($6:$1005)-5),854)))&gt;0,COUNTIF(INDIRECT("'KERTAS KERJA'!K"&amp;(SMALL(IF(checklistPesertaKemenkeu!$AY$6:$AY$1005="Direkomendasikan",ROW($6:$1005)-5),854)+5)&amp;":O"&amp;(SMALL(IF(checklistPesertaKemenkeu!$AY$6:$AY$1005="Direkomendasikan",ROW($6:$1005)-5),854)+5)),INDEX(checklistPesertaKemenkeu!$O$6:$O$1005,SMALL(IF(checklistPesertaKemenkeu!$AY$6:$AY$1005="Direkomendasikan",ROW($6:$1005)-5),854)))=1),IFERROR(VLOOKUP(INDEX(checklistPesertaKemenkeu!$O$6:$O$1005,SMALL(IF(checklistPesertaKemenkeu!$AY$6:$AY$1005="Direkomendasikan",ROW($6:$1005)-5),854)),KotaKode,2,0),"-"),"")),"")</f>
        <v/>
      </c>
      <c r="L855" t="str">
        <f t="array" aca="1" ref="L855" ca="1">IFERROR(IF(OR(INDEX(checklistPesertaKemenkeu!$P$6:$P$1005,SMALL(IF(checklistPesertaKemenkeu!$AY$6:$AY$1005="Direkomendasikan",ROW($6:$1005)-5),854))="",INDEX(checklistPesertaKemenkeu!$J$6:$J$1005,SMALL(IF(checklistPesertaKemenkeu!$AY$6:$AY$1005="Direkomendasikan",ROW($6:$1005)-5),854))=""),"",IF(AND(COUNTIF(INDIRECT("K_"&amp;MATCH(INDEX(checklistPesertaKemenkeu!$J$6:$J$1005,SMALL(IF(checklistPesertaKemenkeu!$AY$6:$AY$1005="Direkomendasikan",ROW($6:$1005)-5),854)),BidangList,0)),INDEX(checklistPesertaKemenkeu!$P$6:$P$1005,SMALL(IF(checklistPesertaKemenkeu!$AY$6:$AY$1005="Direkomendasikan",ROW($6:$1005)-5),854)))&gt;0,COUNTIF(INDIRECT("'KERTAS KERJA'!K"&amp;(SMALL(IF(checklistPesertaKemenkeu!$AY$6:$AY$1005="Direkomendasikan",ROW($6:$1005)-5),854)+5)&amp;":O"&amp;(SMALL(IF(checklistPesertaKemenkeu!$AY$6:$AY$1005="Direkomendasikan",ROW($6:$1005)-5),854)+5)),INDEX(checklistPesertaKemenkeu!$P$6:$P$1005,SMALL(IF(checklistPesertaKemenkeu!$AY$6:$AY$1005="Direkomendasikan",ROW($6:$1005)-5),854)))=1),IFERROR(VLOOKUP(INDEX(checklistPesertaKemenkeu!$P$6:$P$1005,SMALL(IF(checklistPesertaKemenkeu!$AY$6:$AY$1005="Direkomendasikan",ROW($6:$1005)-5),854)),KotaKode,2,0),"-"),"")),"")</f>
        <v/>
      </c>
    </row>
    <row r="856" spans="1:12" ht="15" customHeight="1" x14ac:dyDescent="0.2">
      <c r="A856" t="str">
        <f t="shared" si="13"/>
        <v/>
      </c>
      <c r="B856" t="str">
        <v/>
      </c>
      <c r="C856" s="40" t="str">
        <f t="array" ref="C856">IFERROR(INDEX(checklistPesertaKemenkeu!$F$6:$F$1005,SMALL(IF(checklistPesertaKemenkeu!$AY$6:$AY$1005="Direkomendasikan",ROW($6:$1005)-5),855)),"")</f>
        <v/>
      </c>
      <c r="D856" t="str">
        <f t="array" ref="D856">IFERROR(INDEX(checklistPesertaKemenkeu!$G$6:$G$1005,SMALL(IF(checklistPesertaKemenkeu!$AY$6:$AY$1005="Direkomendasikan",ROW($6:$1005)-5),855)),"")</f>
        <v/>
      </c>
      <c r="E856" t="str">
        <f t="array" ref="E856">IFERROR(INDEX(checklistPesertaKemenkeu!$H$6:$H$1005,SMALL(IF(checklistPesertaKemenkeu!$AY$6:$AY$1005="Direkomendasikan",ROW($6:$1005)-5),855)),"")</f>
        <v/>
      </c>
      <c r="F856" t="str">
        <f t="array" ref="F856">IFERROR(INDEX(checklistPesertaKemenkeu!$I$6:$I$1005,SMALL(IF(checklistPesertaKemenkeu!$AY$6:$AY$1005="Direkomendasikan",ROW($6:$1005)-5),855)),"")</f>
        <v/>
      </c>
      <c r="G856" t="str">
        <f t="array" ref="G856">IFERROR(INDEX(checklistPesertaKemenkeu!$J$6:$J$1005,SMALL(IF(checklistPesertaKemenkeu!$AY$6:$AY$1005="Direkomendasikan",ROW($6:$1005)-5),855)),"")</f>
        <v/>
      </c>
      <c r="H856" t="str">
        <f t="array" aca="1" ref="H856" ca="1">IFERROR(IF(OR(INDEX(checklistPesertaKemenkeu!$L$6:$L$1005,SMALL(IF(checklistPesertaKemenkeu!$AY$6:$AY$1005="Direkomendasikan",ROW($6:$1005)-5),855))="",INDEX(checklistPesertaKemenkeu!$J$6:$J$1005,SMALL(IF(checklistPesertaKemenkeu!$AY$6:$AY$1005="Direkomendasikan",ROW($6:$1005)-5),855))=""),"",IF(AND(COUNTIF(INDIRECT("K_"&amp;MATCH(INDEX(checklistPesertaKemenkeu!$J$6:$J$1005,SMALL(IF(checklistPesertaKemenkeu!$AY$6:$AY$1005="Direkomendasikan",ROW($6:$1005)-5),855)),BidangList,0)),INDEX(checklistPesertaKemenkeu!$L$6:$L$1005,SMALL(IF(checklistPesertaKemenkeu!$AY$6:$AY$1005="Direkomendasikan",ROW($6:$1005)-5),855)))&gt;0,COUNTIF(INDIRECT("'KERTAS KERJA'!K"&amp;(SMALL(IF(checklistPesertaKemenkeu!$AY$6:$AY$1005="Direkomendasikan",ROW($6:$1005)-5),855)+5)&amp;":O"&amp;(SMALL(IF(checklistPesertaKemenkeu!$AY$6:$AY$1005="Direkomendasikan",ROW($6:$1005)-5),855)+5)),INDEX(checklistPesertaKemenkeu!$L$6:$L$1005,SMALL(IF(checklistPesertaKemenkeu!$AY$6:$AY$1005="Direkomendasikan",ROW($6:$1005)-5),855)))=1),IFERROR(VLOOKUP(INDEX(checklistPesertaKemenkeu!$L$6:$L$1005,SMALL(IF(checklistPesertaKemenkeu!$AY$6:$AY$1005="Direkomendasikan",ROW($6:$1005)-5),855)),KotaKode,2,0),"-"),"")),"")</f>
        <v/>
      </c>
      <c r="I856" t="str">
        <f t="array" aca="1" ref="I856" ca="1">IFERROR(IF(OR(INDEX(checklistPesertaKemenkeu!$M$6:$M$1005,SMALL(IF(checklistPesertaKemenkeu!$AY$6:$AY$1005="Direkomendasikan",ROW($6:$1005)-5),855))="",INDEX(checklistPesertaKemenkeu!$J$6:$J$1005,SMALL(IF(checklistPesertaKemenkeu!$AY$6:$AY$1005="Direkomendasikan",ROW($6:$1005)-5),855))=""),"",IF(AND(COUNTIF(INDIRECT("K_"&amp;MATCH(INDEX(checklistPesertaKemenkeu!$J$6:$J$1005,SMALL(IF(checklistPesertaKemenkeu!$AY$6:$AY$1005="Direkomendasikan",ROW($6:$1005)-5),855)),BidangList,0)),INDEX(checklistPesertaKemenkeu!$M$6:$M$1005,SMALL(IF(checklistPesertaKemenkeu!$AY$6:$AY$1005="Direkomendasikan",ROW($6:$1005)-5),855)))&gt;0,COUNTIF(INDIRECT("'KERTAS KERJA'!K"&amp;(SMALL(IF(checklistPesertaKemenkeu!$AY$6:$AY$1005="Direkomendasikan",ROW($6:$1005)-5),855)+5)&amp;":O"&amp;(SMALL(IF(checklistPesertaKemenkeu!$AY$6:$AY$1005="Direkomendasikan",ROW($6:$1005)-5),855)+5)),INDEX(checklistPesertaKemenkeu!$M$6:$M$1005,SMALL(IF(checklistPesertaKemenkeu!$AY$6:$AY$1005="Direkomendasikan",ROW($6:$1005)-5),855)))=1),IFERROR(VLOOKUP(INDEX(checklistPesertaKemenkeu!$M$6:$M$1005,SMALL(IF(checklistPesertaKemenkeu!$AY$6:$AY$1005="Direkomendasikan",ROW($6:$1005)-5),855)),KotaKode,2,0),"-"),"")),"")</f>
        <v/>
      </c>
      <c r="J856" t="str">
        <f t="array" aca="1" ref="J856" ca="1">IFERROR(IF(OR(INDEX(checklistPesertaKemenkeu!$N$6:$N$1005,SMALL(IF(checklistPesertaKemenkeu!$AY$6:$AY$1005="Direkomendasikan",ROW($6:$1005)-5),855))="",INDEX(checklistPesertaKemenkeu!$J$6:$J$1005,SMALL(IF(checklistPesertaKemenkeu!$AY$6:$AY$1005="Direkomendasikan",ROW($6:$1005)-5),855))=""),"",IF(AND(COUNTIF(INDIRECT("K_"&amp;MATCH(INDEX(checklistPesertaKemenkeu!$J$6:$J$1005,SMALL(IF(checklistPesertaKemenkeu!$AY$6:$AY$1005="Direkomendasikan",ROW($6:$1005)-5),855)),BidangList,0)),INDEX(checklistPesertaKemenkeu!$N$6:$N$1005,SMALL(IF(checklistPesertaKemenkeu!$AY$6:$AY$1005="Direkomendasikan",ROW($6:$1005)-5),855)))&gt;0,COUNTIF(INDIRECT("'KERTAS KERJA'!K"&amp;(SMALL(IF(checklistPesertaKemenkeu!$AY$6:$AY$1005="Direkomendasikan",ROW($6:$1005)-5),855)+5)&amp;":O"&amp;(SMALL(IF(checklistPesertaKemenkeu!$AY$6:$AY$1005="Direkomendasikan",ROW($6:$1005)-5),855)+5)),INDEX(checklistPesertaKemenkeu!$N$6:$N$1005,SMALL(IF(checklistPesertaKemenkeu!$AY$6:$AY$1005="Direkomendasikan",ROW($6:$1005)-5),855)))=1),IFERROR(VLOOKUP(INDEX(checklistPesertaKemenkeu!$N$6:$N$1005,SMALL(IF(checklistPesertaKemenkeu!$AY$6:$AY$1005="Direkomendasikan",ROW($6:$1005)-5),855)),KotaKode,2,0),"-"),"")),"")</f>
        <v/>
      </c>
      <c r="K856" t="str">
        <f t="array" aca="1" ref="K856" ca="1">IFERROR(IF(OR(INDEX(checklistPesertaKemenkeu!$O$6:$O$1005,SMALL(IF(checklistPesertaKemenkeu!$AY$6:$AY$1005="Direkomendasikan",ROW($6:$1005)-5),855))="",INDEX(checklistPesertaKemenkeu!$J$6:$J$1005,SMALL(IF(checklistPesertaKemenkeu!$AY$6:$AY$1005="Direkomendasikan",ROW($6:$1005)-5),855))=""),"",IF(AND(COUNTIF(INDIRECT("K_"&amp;MATCH(INDEX(checklistPesertaKemenkeu!$J$6:$J$1005,SMALL(IF(checklistPesertaKemenkeu!$AY$6:$AY$1005="Direkomendasikan",ROW($6:$1005)-5),855)),BidangList,0)),INDEX(checklistPesertaKemenkeu!$O$6:$O$1005,SMALL(IF(checklistPesertaKemenkeu!$AY$6:$AY$1005="Direkomendasikan",ROW($6:$1005)-5),855)))&gt;0,COUNTIF(INDIRECT("'KERTAS KERJA'!K"&amp;(SMALL(IF(checklistPesertaKemenkeu!$AY$6:$AY$1005="Direkomendasikan",ROW($6:$1005)-5),855)+5)&amp;":O"&amp;(SMALL(IF(checklistPesertaKemenkeu!$AY$6:$AY$1005="Direkomendasikan",ROW($6:$1005)-5),855)+5)),INDEX(checklistPesertaKemenkeu!$O$6:$O$1005,SMALL(IF(checklistPesertaKemenkeu!$AY$6:$AY$1005="Direkomendasikan",ROW($6:$1005)-5),855)))=1),IFERROR(VLOOKUP(INDEX(checklistPesertaKemenkeu!$O$6:$O$1005,SMALL(IF(checklistPesertaKemenkeu!$AY$6:$AY$1005="Direkomendasikan",ROW($6:$1005)-5),855)),KotaKode,2,0),"-"),"")),"")</f>
        <v/>
      </c>
      <c r="L856" t="str">
        <f t="array" aca="1" ref="L856" ca="1">IFERROR(IF(OR(INDEX(checklistPesertaKemenkeu!$P$6:$P$1005,SMALL(IF(checklistPesertaKemenkeu!$AY$6:$AY$1005="Direkomendasikan",ROW($6:$1005)-5),855))="",INDEX(checklistPesertaKemenkeu!$J$6:$J$1005,SMALL(IF(checklistPesertaKemenkeu!$AY$6:$AY$1005="Direkomendasikan",ROW($6:$1005)-5),855))=""),"",IF(AND(COUNTIF(INDIRECT("K_"&amp;MATCH(INDEX(checklistPesertaKemenkeu!$J$6:$J$1005,SMALL(IF(checklistPesertaKemenkeu!$AY$6:$AY$1005="Direkomendasikan",ROW($6:$1005)-5),855)),BidangList,0)),INDEX(checklistPesertaKemenkeu!$P$6:$P$1005,SMALL(IF(checklistPesertaKemenkeu!$AY$6:$AY$1005="Direkomendasikan",ROW($6:$1005)-5),855)))&gt;0,COUNTIF(INDIRECT("'KERTAS KERJA'!K"&amp;(SMALL(IF(checklistPesertaKemenkeu!$AY$6:$AY$1005="Direkomendasikan",ROW($6:$1005)-5),855)+5)&amp;":O"&amp;(SMALL(IF(checklistPesertaKemenkeu!$AY$6:$AY$1005="Direkomendasikan",ROW($6:$1005)-5),855)+5)),INDEX(checklistPesertaKemenkeu!$P$6:$P$1005,SMALL(IF(checklistPesertaKemenkeu!$AY$6:$AY$1005="Direkomendasikan",ROW($6:$1005)-5),855)))=1),IFERROR(VLOOKUP(INDEX(checklistPesertaKemenkeu!$P$6:$P$1005,SMALL(IF(checklistPesertaKemenkeu!$AY$6:$AY$1005="Direkomendasikan",ROW($6:$1005)-5),855)),KotaKode,2,0),"-"),"")),"")</f>
        <v/>
      </c>
    </row>
    <row r="857" spans="1:12" ht="15" customHeight="1" x14ac:dyDescent="0.2">
      <c r="A857" t="str">
        <f t="shared" si="13"/>
        <v/>
      </c>
      <c r="B857" t="str">
        <v/>
      </c>
      <c r="C857" s="40" t="str">
        <f t="array" ref="C857">IFERROR(INDEX(checklistPesertaKemenkeu!$F$6:$F$1005,SMALL(IF(checklistPesertaKemenkeu!$AY$6:$AY$1005="Direkomendasikan",ROW($6:$1005)-5),856)),"")</f>
        <v/>
      </c>
      <c r="D857" t="str">
        <f t="array" ref="D857">IFERROR(INDEX(checklistPesertaKemenkeu!$G$6:$G$1005,SMALL(IF(checklistPesertaKemenkeu!$AY$6:$AY$1005="Direkomendasikan",ROW($6:$1005)-5),856)),"")</f>
        <v/>
      </c>
      <c r="E857" t="str">
        <f t="array" ref="E857">IFERROR(INDEX(checklistPesertaKemenkeu!$H$6:$H$1005,SMALL(IF(checklistPesertaKemenkeu!$AY$6:$AY$1005="Direkomendasikan",ROW($6:$1005)-5),856)),"")</f>
        <v/>
      </c>
      <c r="F857" t="str">
        <f t="array" ref="F857">IFERROR(INDEX(checklistPesertaKemenkeu!$I$6:$I$1005,SMALL(IF(checklistPesertaKemenkeu!$AY$6:$AY$1005="Direkomendasikan",ROW($6:$1005)-5),856)),"")</f>
        <v/>
      </c>
      <c r="G857" t="str">
        <f t="array" ref="G857">IFERROR(INDEX(checklistPesertaKemenkeu!$J$6:$J$1005,SMALL(IF(checklistPesertaKemenkeu!$AY$6:$AY$1005="Direkomendasikan",ROW($6:$1005)-5),856)),"")</f>
        <v/>
      </c>
      <c r="H857" t="str">
        <f t="array" aca="1" ref="H857" ca="1">IFERROR(IF(OR(INDEX(checklistPesertaKemenkeu!$L$6:$L$1005,SMALL(IF(checklistPesertaKemenkeu!$AY$6:$AY$1005="Direkomendasikan",ROW($6:$1005)-5),856))="",INDEX(checklistPesertaKemenkeu!$J$6:$J$1005,SMALL(IF(checklistPesertaKemenkeu!$AY$6:$AY$1005="Direkomendasikan",ROW($6:$1005)-5),856))=""),"",IF(AND(COUNTIF(INDIRECT("K_"&amp;MATCH(INDEX(checklistPesertaKemenkeu!$J$6:$J$1005,SMALL(IF(checklistPesertaKemenkeu!$AY$6:$AY$1005="Direkomendasikan",ROW($6:$1005)-5),856)),BidangList,0)),INDEX(checklistPesertaKemenkeu!$L$6:$L$1005,SMALL(IF(checklistPesertaKemenkeu!$AY$6:$AY$1005="Direkomendasikan",ROW($6:$1005)-5),856)))&gt;0,COUNTIF(INDIRECT("'KERTAS KERJA'!K"&amp;(SMALL(IF(checklistPesertaKemenkeu!$AY$6:$AY$1005="Direkomendasikan",ROW($6:$1005)-5),856)+5)&amp;":O"&amp;(SMALL(IF(checklistPesertaKemenkeu!$AY$6:$AY$1005="Direkomendasikan",ROW($6:$1005)-5),856)+5)),INDEX(checklistPesertaKemenkeu!$L$6:$L$1005,SMALL(IF(checklistPesertaKemenkeu!$AY$6:$AY$1005="Direkomendasikan",ROW($6:$1005)-5),856)))=1),IFERROR(VLOOKUP(INDEX(checklistPesertaKemenkeu!$L$6:$L$1005,SMALL(IF(checklistPesertaKemenkeu!$AY$6:$AY$1005="Direkomendasikan",ROW($6:$1005)-5),856)),KotaKode,2,0),"-"),"")),"")</f>
        <v/>
      </c>
      <c r="I857" t="str">
        <f t="array" aca="1" ref="I857" ca="1">IFERROR(IF(OR(INDEX(checklistPesertaKemenkeu!$M$6:$M$1005,SMALL(IF(checklistPesertaKemenkeu!$AY$6:$AY$1005="Direkomendasikan",ROW($6:$1005)-5),856))="",INDEX(checklistPesertaKemenkeu!$J$6:$J$1005,SMALL(IF(checklistPesertaKemenkeu!$AY$6:$AY$1005="Direkomendasikan",ROW($6:$1005)-5),856))=""),"",IF(AND(COUNTIF(INDIRECT("K_"&amp;MATCH(INDEX(checklistPesertaKemenkeu!$J$6:$J$1005,SMALL(IF(checklistPesertaKemenkeu!$AY$6:$AY$1005="Direkomendasikan",ROW($6:$1005)-5),856)),BidangList,0)),INDEX(checklistPesertaKemenkeu!$M$6:$M$1005,SMALL(IF(checklistPesertaKemenkeu!$AY$6:$AY$1005="Direkomendasikan",ROW($6:$1005)-5),856)))&gt;0,COUNTIF(INDIRECT("'KERTAS KERJA'!K"&amp;(SMALL(IF(checklistPesertaKemenkeu!$AY$6:$AY$1005="Direkomendasikan",ROW($6:$1005)-5),856)+5)&amp;":O"&amp;(SMALL(IF(checklistPesertaKemenkeu!$AY$6:$AY$1005="Direkomendasikan",ROW($6:$1005)-5),856)+5)),INDEX(checklistPesertaKemenkeu!$M$6:$M$1005,SMALL(IF(checklistPesertaKemenkeu!$AY$6:$AY$1005="Direkomendasikan",ROW($6:$1005)-5),856)))=1),IFERROR(VLOOKUP(INDEX(checklistPesertaKemenkeu!$M$6:$M$1005,SMALL(IF(checklistPesertaKemenkeu!$AY$6:$AY$1005="Direkomendasikan",ROW($6:$1005)-5),856)),KotaKode,2,0),"-"),"")),"")</f>
        <v/>
      </c>
      <c r="J857" t="str">
        <f t="array" aca="1" ref="J857" ca="1">IFERROR(IF(OR(INDEX(checklistPesertaKemenkeu!$N$6:$N$1005,SMALL(IF(checklistPesertaKemenkeu!$AY$6:$AY$1005="Direkomendasikan",ROW($6:$1005)-5),856))="",INDEX(checklistPesertaKemenkeu!$J$6:$J$1005,SMALL(IF(checklistPesertaKemenkeu!$AY$6:$AY$1005="Direkomendasikan",ROW($6:$1005)-5),856))=""),"",IF(AND(COUNTIF(INDIRECT("K_"&amp;MATCH(INDEX(checklistPesertaKemenkeu!$J$6:$J$1005,SMALL(IF(checklistPesertaKemenkeu!$AY$6:$AY$1005="Direkomendasikan",ROW($6:$1005)-5),856)),BidangList,0)),INDEX(checklistPesertaKemenkeu!$N$6:$N$1005,SMALL(IF(checklistPesertaKemenkeu!$AY$6:$AY$1005="Direkomendasikan",ROW($6:$1005)-5),856)))&gt;0,COUNTIF(INDIRECT("'KERTAS KERJA'!K"&amp;(SMALL(IF(checklistPesertaKemenkeu!$AY$6:$AY$1005="Direkomendasikan",ROW($6:$1005)-5),856)+5)&amp;":O"&amp;(SMALL(IF(checklistPesertaKemenkeu!$AY$6:$AY$1005="Direkomendasikan",ROW($6:$1005)-5),856)+5)),INDEX(checklistPesertaKemenkeu!$N$6:$N$1005,SMALL(IF(checklistPesertaKemenkeu!$AY$6:$AY$1005="Direkomendasikan",ROW($6:$1005)-5),856)))=1),IFERROR(VLOOKUP(INDEX(checklistPesertaKemenkeu!$N$6:$N$1005,SMALL(IF(checklistPesertaKemenkeu!$AY$6:$AY$1005="Direkomendasikan",ROW($6:$1005)-5),856)),KotaKode,2,0),"-"),"")),"")</f>
        <v/>
      </c>
      <c r="K857" t="str">
        <f t="array" aca="1" ref="K857" ca="1">IFERROR(IF(OR(INDEX(checklistPesertaKemenkeu!$O$6:$O$1005,SMALL(IF(checklistPesertaKemenkeu!$AY$6:$AY$1005="Direkomendasikan",ROW($6:$1005)-5),856))="",INDEX(checklistPesertaKemenkeu!$J$6:$J$1005,SMALL(IF(checklistPesertaKemenkeu!$AY$6:$AY$1005="Direkomendasikan",ROW($6:$1005)-5),856))=""),"",IF(AND(COUNTIF(INDIRECT("K_"&amp;MATCH(INDEX(checklistPesertaKemenkeu!$J$6:$J$1005,SMALL(IF(checklistPesertaKemenkeu!$AY$6:$AY$1005="Direkomendasikan",ROW($6:$1005)-5),856)),BidangList,0)),INDEX(checklistPesertaKemenkeu!$O$6:$O$1005,SMALL(IF(checklistPesertaKemenkeu!$AY$6:$AY$1005="Direkomendasikan",ROW($6:$1005)-5),856)))&gt;0,COUNTIF(INDIRECT("'KERTAS KERJA'!K"&amp;(SMALL(IF(checklistPesertaKemenkeu!$AY$6:$AY$1005="Direkomendasikan",ROW($6:$1005)-5),856)+5)&amp;":O"&amp;(SMALL(IF(checklistPesertaKemenkeu!$AY$6:$AY$1005="Direkomendasikan",ROW($6:$1005)-5),856)+5)),INDEX(checklistPesertaKemenkeu!$O$6:$O$1005,SMALL(IF(checklistPesertaKemenkeu!$AY$6:$AY$1005="Direkomendasikan",ROW($6:$1005)-5),856)))=1),IFERROR(VLOOKUP(INDEX(checklistPesertaKemenkeu!$O$6:$O$1005,SMALL(IF(checklistPesertaKemenkeu!$AY$6:$AY$1005="Direkomendasikan",ROW($6:$1005)-5),856)),KotaKode,2,0),"-"),"")),"")</f>
        <v/>
      </c>
      <c r="L857" t="str">
        <f t="array" aca="1" ref="L857" ca="1">IFERROR(IF(OR(INDEX(checklistPesertaKemenkeu!$P$6:$P$1005,SMALL(IF(checklistPesertaKemenkeu!$AY$6:$AY$1005="Direkomendasikan",ROW($6:$1005)-5),856))="",INDEX(checklistPesertaKemenkeu!$J$6:$J$1005,SMALL(IF(checklistPesertaKemenkeu!$AY$6:$AY$1005="Direkomendasikan",ROW($6:$1005)-5),856))=""),"",IF(AND(COUNTIF(INDIRECT("K_"&amp;MATCH(INDEX(checklistPesertaKemenkeu!$J$6:$J$1005,SMALL(IF(checklistPesertaKemenkeu!$AY$6:$AY$1005="Direkomendasikan",ROW($6:$1005)-5),856)),BidangList,0)),INDEX(checklistPesertaKemenkeu!$P$6:$P$1005,SMALL(IF(checklistPesertaKemenkeu!$AY$6:$AY$1005="Direkomendasikan",ROW($6:$1005)-5),856)))&gt;0,COUNTIF(INDIRECT("'KERTAS KERJA'!K"&amp;(SMALL(IF(checklistPesertaKemenkeu!$AY$6:$AY$1005="Direkomendasikan",ROW($6:$1005)-5),856)+5)&amp;":O"&amp;(SMALL(IF(checklistPesertaKemenkeu!$AY$6:$AY$1005="Direkomendasikan",ROW($6:$1005)-5),856)+5)),INDEX(checklistPesertaKemenkeu!$P$6:$P$1005,SMALL(IF(checklistPesertaKemenkeu!$AY$6:$AY$1005="Direkomendasikan",ROW($6:$1005)-5),856)))=1),IFERROR(VLOOKUP(INDEX(checklistPesertaKemenkeu!$P$6:$P$1005,SMALL(IF(checklistPesertaKemenkeu!$AY$6:$AY$1005="Direkomendasikan",ROW($6:$1005)-5),856)),KotaKode,2,0),"-"),"")),"")</f>
        <v/>
      </c>
    </row>
    <row r="858" spans="1:12" ht="15" customHeight="1" x14ac:dyDescent="0.2">
      <c r="A858" t="str">
        <f t="shared" si="13"/>
        <v/>
      </c>
      <c r="B858" t="str">
        <v/>
      </c>
      <c r="C858" s="40" t="str">
        <f t="array" ref="C858">IFERROR(INDEX(checklistPesertaKemenkeu!$F$6:$F$1005,SMALL(IF(checklistPesertaKemenkeu!$AY$6:$AY$1005="Direkomendasikan",ROW($6:$1005)-5),857)),"")</f>
        <v/>
      </c>
      <c r="D858" t="str">
        <f t="array" ref="D858">IFERROR(INDEX(checklistPesertaKemenkeu!$G$6:$G$1005,SMALL(IF(checklistPesertaKemenkeu!$AY$6:$AY$1005="Direkomendasikan",ROW($6:$1005)-5),857)),"")</f>
        <v/>
      </c>
      <c r="E858" t="str">
        <f t="array" ref="E858">IFERROR(INDEX(checklistPesertaKemenkeu!$H$6:$H$1005,SMALL(IF(checklistPesertaKemenkeu!$AY$6:$AY$1005="Direkomendasikan",ROW($6:$1005)-5),857)),"")</f>
        <v/>
      </c>
      <c r="F858" t="str">
        <f t="array" ref="F858">IFERROR(INDEX(checklistPesertaKemenkeu!$I$6:$I$1005,SMALL(IF(checklistPesertaKemenkeu!$AY$6:$AY$1005="Direkomendasikan",ROW($6:$1005)-5),857)),"")</f>
        <v/>
      </c>
      <c r="G858" t="str">
        <f t="array" ref="G858">IFERROR(INDEX(checklistPesertaKemenkeu!$J$6:$J$1005,SMALL(IF(checklistPesertaKemenkeu!$AY$6:$AY$1005="Direkomendasikan",ROW($6:$1005)-5),857)),"")</f>
        <v/>
      </c>
      <c r="H858" t="str">
        <f t="array" aca="1" ref="H858" ca="1">IFERROR(IF(OR(INDEX(checklistPesertaKemenkeu!$L$6:$L$1005,SMALL(IF(checklistPesertaKemenkeu!$AY$6:$AY$1005="Direkomendasikan",ROW($6:$1005)-5),857))="",INDEX(checklistPesertaKemenkeu!$J$6:$J$1005,SMALL(IF(checklistPesertaKemenkeu!$AY$6:$AY$1005="Direkomendasikan",ROW($6:$1005)-5),857))=""),"",IF(AND(COUNTIF(INDIRECT("K_"&amp;MATCH(INDEX(checklistPesertaKemenkeu!$J$6:$J$1005,SMALL(IF(checklistPesertaKemenkeu!$AY$6:$AY$1005="Direkomendasikan",ROW($6:$1005)-5),857)),BidangList,0)),INDEX(checklistPesertaKemenkeu!$L$6:$L$1005,SMALL(IF(checklistPesertaKemenkeu!$AY$6:$AY$1005="Direkomendasikan",ROW($6:$1005)-5),857)))&gt;0,COUNTIF(INDIRECT("'KERTAS KERJA'!K"&amp;(SMALL(IF(checklistPesertaKemenkeu!$AY$6:$AY$1005="Direkomendasikan",ROW($6:$1005)-5),857)+5)&amp;":O"&amp;(SMALL(IF(checklistPesertaKemenkeu!$AY$6:$AY$1005="Direkomendasikan",ROW($6:$1005)-5),857)+5)),INDEX(checklistPesertaKemenkeu!$L$6:$L$1005,SMALL(IF(checklistPesertaKemenkeu!$AY$6:$AY$1005="Direkomendasikan",ROW($6:$1005)-5),857)))=1),IFERROR(VLOOKUP(INDEX(checklistPesertaKemenkeu!$L$6:$L$1005,SMALL(IF(checklistPesertaKemenkeu!$AY$6:$AY$1005="Direkomendasikan",ROW($6:$1005)-5),857)),KotaKode,2,0),"-"),"")),"")</f>
        <v/>
      </c>
      <c r="I858" t="str">
        <f t="array" aca="1" ref="I858" ca="1">IFERROR(IF(OR(INDEX(checklistPesertaKemenkeu!$M$6:$M$1005,SMALL(IF(checklistPesertaKemenkeu!$AY$6:$AY$1005="Direkomendasikan",ROW($6:$1005)-5),857))="",INDEX(checklistPesertaKemenkeu!$J$6:$J$1005,SMALL(IF(checklistPesertaKemenkeu!$AY$6:$AY$1005="Direkomendasikan",ROW($6:$1005)-5),857))=""),"",IF(AND(COUNTIF(INDIRECT("K_"&amp;MATCH(INDEX(checklistPesertaKemenkeu!$J$6:$J$1005,SMALL(IF(checklistPesertaKemenkeu!$AY$6:$AY$1005="Direkomendasikan",ROW($6:$1005)-5),857)),BidangList,0)),INDEX(checklistPesertaKemenkeu!$M$6:$M$1005,SMALL(IF(checklistPesertaKemenkeu!$AY$6:$AY$1005="Direkomendasikan",ROW($6:$1005)-5),857)))&gt;0,COUNTIF(INDIRECT("'KERTAS KERJA'!K"&amp;(SMALL(IF(checklistPesertaKemenkeu!$AY$6:$AY$1005="Direkomendasikan",ROW($6:$1005)-5),857)+5)&amp;":O"&amp;(SMALL(IF(checklistPesertaKemenkeu!$AY$6:$AY$1005="Direkomendasikan",ROW($6:$1005)-5),857)+5)),INDEX(checklistPesertaKemenkeu!$M$6:$M$1005,SMALL(IF(checklistPesertaKemenkeu!$AY$6:$AY$1005="Direkomendasikan",ROW($6:$1005)-5),857)))=1),IFERROR(VLOOKUP(INDEX(checklistPesertaKemenkeu!$M$6:$M$1005,SMALL(IF(checklistPesertaKemenkeu!$AY$6:$AY$1005="Direkomendasikan",ROW($6:$1005)-5),857)),KotaKode,2,0),"-"),"")),"")</f>
        <v/>
      </c>
      <c r="J858" t="str">
        <f t="array" aca="1" ref="J858" ca="1">IFERROR(IF(OR(INDEX(checklistPesertaKemenkeu!$N$6:$N$1005,SMALL(IF(checklistPesertaKemenkeu!$AY$6:$AY$1005="Direkomendasikan",ROW($6:$1005)-5),857))="",INDEX(checklistPesertaKemenkeu!$J$6:$J$1005,SMALL(IF(checklistPesertaKemenkeu!$AY$6:$AY$1005="Direkomendasikan",ROW($6:$1005)-5),857))=""),"",IF(AND(COUNTIF(INDIRECT("K_"&amp;MATCH(INDEX(checklistPesertaKemenkeu!$J$6:$J$1005,SMALL(IF(checklistPesertaKemenkeu!$AY$6:$AY$1005="Direkomendasikan",ROW($6:$1005)-5),857)),BidangList,0)),INDEX(checklistPesertaKemenkeu!$N$6:$N$1005,SMALL(IF(checklistPesertaKemenkeu!$AY$6:$AY$1005="Direkomendasikan",ROW($6:$1005)-5),857)))&gt;0,COUNTIF(INDIRECT("'KERTAS KERJA'!K"&amp;(SMALL(IF(checklistPesertaKemenkeu!$AY$6:$AY$1005="Direkomendasikan",ROW($6:$1005)-5),857)+5)&amp;":O"&amp;(SMALL(IF(checklistPesertaKemenkeu!$AY$6:$AY$1005="Direkomendasikan",ROW($6:$1005)-5),857)+5)),INDEX(checklistPesertaKemenkeu!$N$6:$N$1005,SMALL(IF(checklistPesertaKemenkeu!$AY$6:$AY$1005="Direkomendasikan",ROW($6:$1005)-5),857)))=1),IFERROR(VLOOKUP(INDEX(checklistPesertaKemenkeu!$N$6:$N$1005,SMALL(IF(checklistPesertaKemenkeu!$AY$6:$AY$1005="Direkomendasikan",ROW($6:$1005)-5),857)),KotaKode,2,0),"-"),"")),"")</f>
        <v/>
      </c>
      <c r="K858" t="str">
        <f t="array" aca="1" ref="K858" ca="1">IFERROR(IF(OR(INDEX(checklistPesertaKemenkeu!$O$6:$O$1005,SMALL(IF(checklistPesertaKemenkeu!$AY$6:$AY$1005="Direkomendasikan",ROW($6:$1005)-5),857))="",INDEX(checklistPesertaKemenkeu!$J$6:$J$1005,SMALL(IF(checklistPesertaKemenkeu!$AY$6:$AY$1005="Direkomendasikan",ROW($6:$1005)-5),857))=""),"",IF(AND(COUNTIF(INDIRECT("K_"&amp;MATCH(INDEX(checklistPesertaKemenkeu!$J$6:$J$1005,SMALL(IF(checklistPesertaKemenkeu!$AY$6:$AY$1005="Direkomendasikan",ROW($6:$1005)-5),857)),BidangList,0)),INDEX(checklistPesertaKemenkeu!$O$6:$O$1005,SMALL(IF(checklistPesertaKemenkeu!$AY$6:$AY$1005="Direkomendasikan",ROW($6:$1005)-5),857)))&gt;0,COUNTIF(INDIRECT("'KERTAS KERJA'!K"&amp;(SMALL(IF(checklistPesertaKemenkeu!$AY$6:$AY$1005="Direkomendasikan",ROW($6:$1005)-5),857)+5)&amp;":O"&amp;(SMALL(IF(checklistPesertaKemenkeu!$AY$6:$AY$1005="Direkomendasikan",ROW($6:$1005)-5),857)+5)),INDEX(checklistPesertaKemenkeu!$O$6:$O$1005,SMALL(IF(checklistPesertaKemenkeu!$AY$6:$AY$1005="Direkomendasikan",ROW($6:$1005)-5),857)))=1),IFERROR(VLOOKUP(INDEX(checklistPesertaKemenkeu!$O$6:$O$1005,SMALL(IF(checklistPesertaKemenkeu!$AY$6:$AY$1005="Direkomendasikan",ROW($6:$1005)-5),857)),KotaKode,2,0),"-"),"")),"")</f>
        <v/>
      </c>
      <c r="L858" t="str">
        <f t="array" aca="1" ref="L858" ca="1">IFERROR(IF(OR(INDEX(checklistPesertaKemenkeu!$P$6:$P$1005,SMALL(IF(checklistPesertaKemenkeu!$AY$6:$AY$1005="Direkomendasikan",ROW($6:$1005)-5),857))="",INDEX(checklistPesertaKemenkeu!$J$6:$J$1005,SMALL(IF(checklistPesertaKemenkeu!$AY$6:$AY$1005="Direkomendasikan",ROW($6:$1005)-5),857))=""),"",IF(AND(COUNTIF(INDIRECT("K_"&amp;MATCH(INDEX(checklistPesertaKemenkeu!$J$6:$J$1005,SMALL(IF(checklistPesertaKemenkeu!$AY$6:$AY$1005="Direkomendasikan",ROW($6:$1005)-5),857)),BidangList,0)),INDEX(checklistPesertaKemenkeu!$P$6:$P$1005,SMALL(IF(checklistPesertaKemenkeu!$AY$6:$AY$1005="Direkomendasikan",ROW($6:$1005)-5),857)))&gt;0,COUNTIF(INDIRECT("'KERTAS KERJA'!K"&amp;(SMALL(IF(checklistPesertaKemenkeu!$AY$6:$AY$1005="Direkomendasikan",ROW($6:$1005)-5),857)+5)&amp;":O"&amp;(SMALL(IF(checklistPesertaKemenkeu!$AY$6:$AY$1005="Direkomendasikan",ROW($6:$1005)-5),857)+5)),INDEX(checklistPesertaKemenkeu!$P$6:$P$1005,SMALL(IF(checklistPesertaKemenkeu!$AY$6:$AY$1005="Direkomendasikan",ROW($6:$1005)-5),857)))=1),IFERROR(VLOOKUP(INDEX(checklistPesertaKemenkeu!$P$6:$P$1005,SMALL(IF(checklistPesertaKemenkeu!$AY$6:$AY$1005="Direkomendasikan",ROW($6:$1005)-5),857)),KotaKode,2,0),"-"),"")),"")</f>
        <v/>
      </c>
    </row>
    <row r="859" spans="1:12" ht="15" customHeight="1" x14ac:dyDescent="0.2">
      <c r="A859" t="str">
        <f t="shared" si="13"/>
        <v/>
      </c>
      <c r="B859" t="str">
        <v/>
      </c>
      <c r="C859" s="40" t="str">
        <f t="array" ref="C859">IFERROR(INDEX(checklistPesertaKemenkeu!$F$6:$F$1005,SMALL(IF(checklistPesertaKemenkeu!$AY$6:$AY$1005="Direkomendasikan",ROW($6:$1005)-5),858)),"")</f>
        <v/>
      </c>
      <c r="D859" t="str">
        <f t="array" ref="D859">IFERROR(INDEX(checklistPesertaKemenkeu!$G$6:$G$1005,SMALL(IF(checklistPesertaKemenkeu!$AY$6:$AY$1005="Direkomendasikan",ROW($6:$1005)-5),858)),"")</f>
        <v/>
      </c>
      <c r="E859" t="str">
        <f t="array" ref="E859">IFERROR(INDEX(checklistPesertaKemenkeu!$H$6:$H$1005,SMALL(IF(checklistPesertaKemenkeu!$AY$6:$AY$1005="Direkomendasikan",ROW($6:$1005)-5),858)),"")</f>
        <v/>
      </c>
      <c r="F859" t="str">
        <f t="array" ref="F859">IFERROR(INDEX(checklistPesertaKemenkeu!$I$6:$I$1005,SMALL(IF(checklistPesertaKemenkeu!$AY$6:$AY$1005="Direkomendasikan",ROW($6:$1005)-5),858)),"")</f>
        <v/>
      </c>
      <c r="G859" t="str">
        <f t="array" ref="G859">IFERROR(INDEX(checklistPesertaKemenkeu!$J$6:$J$1005,SMALL(IF(checklistPesertaKemenkeu!$AY$6:$AY$1005="Direkomendasikan",ROW($6:$1005)-5),858)),"")</f>
        <v/>
      </c>
      <c r="H859" t="str">
        <f t="array" aca="1" ref="H859" ca="1">IFERROR(IF(OR(INDEX(checklistPesertaKemenkeu!$L$6:$L$1005,SMALL(IF(checklistPesertaKemenkeu!$AY$6:$AY$1005="Direkomendasikan",ROW($6:$1005)-5),858))="",INDEX(checklistPesertaKemenkeu!$J$6:$J$1005,SMALL(IF(checklistPesertaKemenkeu!$AY$6:$AY$1005="Direkomendasikan",ROW($6:$1005)-5),858))=""),"",IF(AND(COUNTIF(INDIRECT("K_"&amp;MATCH(INDEX(checklistPesertaKemenkeu!$J$6:$J$1005,SMALL(IF(checklistPesertaKemenkeu!$AY$6:$AY$1005="Direkomendasikan",ROW($6:$1005)-5),858)),BidangList,0)),INDEX(checklistPesertaKemenkeu!$L$6:$L$1005,SMALL(IF(checklistPesertaKemenkeu!$AY$6:$AY$1005="Direkomendasikan",ROW($6:$1005)-5),858)))&gt;0,COUNTIF(INDIRECT("'KERTAS KERJA'!K"&amp;(SMALL(IF(checklistPesertaKemenkeu!$AY$6:$AY$1005="Direkomendasikan",ROW($6:$1005)-5),858)+5)&amp;":O"&amp;(SMALL(IF(checklistPesertaKemenkeu!$AY$6:$AY$1005="Direkomendasikan",ROW($6:$1005)-5),858)+5)),INDEX(checklistPesertaKemenkeu!$L$6:$L$1005,SMALL(IF(checklistPesertaKemenkeu!$AY$6:$AY$1005="Direkomendasikan",ROW($6:$1005)-5),858)))=1),IFERROR(VLOOKUP(INDEX(checklistPesertaKemenkeu!$L$6:$L$1005,SMALL(IF(checklistPesertaKemenkeu!$AY$6:$AY$1005="Direkomendasikan",ROW($6:$1005)-5),858)),KotaKode,2,0),"-"),"")),"")</f>
        <v/>
      </c>
      <c r="I859" t="str">
        <f t="array" aca="1" ref="I859" ca="1">IFERROR(IF(OR(INDEX(checklistPesertaKemenkeu!$M$6:$M$1005,SMALL(IF(checklistPesertaKemenkeu!$AY$6:$AY$1005="Direkomendasikan",ROW($6:$1005)-5),858))="",INDEX(checklistPesertaKemenkeu!$J$6:$J$1005,SMALL(IF(checklistPesertaKemenkeu!$AY$6:$AY$1005="Direkomendasikan",ROW($6:$1005)-5),858))=""),"",IF(AND(COUNTIF(INDIRECT("K_"&amp;MATCH(INDEX(checklistPesertaKemenkeu!$J$6:$J$1005,SMALL(IF(checklistPesertaKemenkeu!$AY$6:$AY$1005="Direkomendasikan",ROW($6:$1005)-5),858)),BidangList,0)),INDEX(checklistPesertaKemenkeu!$M$6:$M$1005,SMALL(IF(checklistPesertaKemenkeu!$AY$6:$AY$1005="Direkomendasikan",ROW($6:$1005)-5),858)))&gt;0,COUNTIF(INDIRECT("'KERTAS KERJA'!K"&amp;(SMALL(IF(checklistPesertaKemenkeu!$AY$6:$AY$1005="Direkomendasikan",ROW($6:$1005)-5),858)+5)&amp;":O"&amp;(SMALL(IF(checklistPesertaKemenkeu!$AY$6:$AY$1005="Direkomendasikan",ROW($6:$1005)-5),858)+5)),INDEX(checklistPesertaKemenkeu!$M$6:$M$1005,SMALL(IF(checklistPesertaKemenkeu!$AY$6:$AY$1005="Direkomendasikan",ROW($6:$1005)-5),858)))=1),IFERROR(VLOOKUP(INDEX(checklistPesertaKemenkeu!$M$6:$M$1005,SMALL(IF(checklistPesertaKemenkeu!$AY$6:$AY$1005="Direkomendasikan",ROW($6:$1005)-5),858)),KotaKode,2,0),"-"),"")),"")</f>
        <v/>
      </c>
      <c r="J859" t="str">
        <f t="array" aca="1" ref="J859" ca="1">IFERROR(IF(OR(INDEX(checklistPesertaKemenkeu!$N$6:$N$1005,SMALL(IF(checklistPesertaKemenkeu!$AY$6:$AY$1005="Direkomendasikan",ROW($6:$1005)-5),858))="",INDEX(checklistPesertaKemenkeu!$J$6:$J$1005,SMALL(IF(checklistPesertaKemenkeu!$AY$6:$AY$1005="Direkomendasikan",ROW($6:$1005)-5),858))=""),"",IF(AND(COUNTIF(INDIRECT("K_"&amp;MATCH(INDEX(checklistPesertaKemenkeu!$J$6:$J$1005,SMALL(IF(checklistPesertaKemenkeu!$AY$6:$AY$1005="Direkomendasikan",ROW($6:$1005)-5),858)),BidangList,0)),INDEX(checklistPesertaKemenkeu!$N$6:$N$1005,SMALL(IF(checklistPesertaKemenkeu!$AY$6:$AY$1005="Direkomendasikan",ROW($6:$1005)-5),858)))&gt;0,COUNTIF(INDIRECT("'KERTAS KERJA'!K"&amp;(SMALL(IF(checklistPesertaKemenkeu!$AY$6:$AY$1005="Direkomendasikan",ROW($6:$1005)-5),858)+5)&amp;":O"&amp;(SMALL(IF(checklistPesertaKemenkeu!$AY$6:$AY$1005="Direkomendasikan",ROW($6:$1005)-5),858)+5)),INDEX(checklistPesertaKemenkeu!$N$6:$N$1005,SMALL(IF(checklistPesertaKemenkeu!$AY$6:$AY$1005="Direkomendasikan",ROW($6:$1005)-5),858)))=1),IFERROR(VLOOKUP(INDEX(checklistPesertaKemenkeu!$N$6:$N$1005,SMALL(IF(checklistPesertaKemenkeu!$AY$6:$AY$1005="Direkomendasikan",ROW($6:$1005)-5),858)),KotaKode,2,0),"-"),"")),"")</f>
        <v/>
      </c>
      <c r="K859" t="str">
        <f t="array" aca="1" ref="K859" ca="1">IFERROR(IF(OR(INDEX(checklistPesertaKemenkeu!$O$6:$O$1005,SMALL(IF(checklistPesertaKemenkeu!$AY$6:$AY$1005="Direkomendasikan",ROW($6:$1005)-5),858))="",INDEX(checklistPesertaKemenkeu!$J$6:$J$1005,SMALL(IF(checklistPesertaKemenkeu!$AY$6:$AY$1005="Direkomendasikan",ROW($6:$1005)-5),858))=""),"",IF(AND(COUNTIF(INDIRECT("K_"&amp;MATCH(INDEX(checklistPesertaKemenkeu!$J$6:$J$1005,SMALL(IF(checklistPesertaKemenkeu!$AY$6:$AY$1005="Direkomendasikan",ROW($6:$1005)-5),858)),BidangList,0)),INDEX(checklistPesertaKemenkeu!$O$6:$O$1005,SMALL(IF(checklistPesertaKemenkeu!$AY$6:$AY$1005="Direkomendasikan",ROW($6:$1005)-5),858)))&gt;0,COUNTIF(INDIRECT("'KERTAS KERJA'!K"&amp;(SMALL(IF(checklistPesertaKemenkeu!$AY$6:$AY$1005="Direkomendasikan",ROW($6:$1005)-5),858)+5)&amp;":O"&amp;(SMALL(IF(checklistPesertaKemenkeu!$AY$6:$AY$1005="Direkomendasikan",ROW($6:$1005)-5),858)+5)),INDEX(checklistPesertaKemenkeu!$O$6:$O$1005,SMALL(IF(checklistPesertaKemenkeu!$AY$6:$AY$1005="Direkomendasikan",ROW($6:$1005)-5),858)))=1),IFERROR(VLOOKUP(INDEX(checklistPesertaKemenkeu!$O$6:$O$1005,SMALL(IF(checklistPesertaKemenkeu!$AY$6:$AY$1005="Direkomendasikan",ROW($6:$1005)-5),858)),KotaKode,2,0),"-"),"")),"")</f>
        <v/>
      </c>
      <c r="L859" t="str">
        <f t="array" aca="1" ref="L859" ca="1">IFERROR(IF(OR(INDEX(checklistPesertaKemenkeu!$P$6:$P$1005,SMALL(IF(checklistPesertaKemenkeu!$AY$6:$AY$1005="Direkomendasikan",ROW($6:$1005)-5),858))="",INDEX(checklistPesertaKemenkeu!$J$6:$J$1005,SMALL(IF(checklistPesertaKemenkeu!$AY$6:$AY$1005="Direkomendasikan",ROW($6:$1005)-5),858))=""),"",IF(AND(COUNTIF(INDIRECT("K_"&amp;MATCH(INDEX(checklistPesertaKemenkeu!$J$6:$J$1005,SMALL(IF(checklistPesertaKemenkeu!$AY$6:$AY$1005="Direkomendasikan",ROW($6:$1005)-5),858)),BidangList,0)),INDEX(checklistPesertaKemenkeu!$P$6:$P$1005,SMALL(IF(checklistPesertaKemenkeu!$AY$6:$AY$1005="Direkomendasikan",ROW($6:$1005)-5),858)))&gt;0,COUNTIF(INDIRECT("'KERTAS KERJA'!K"&amp;(SMALL(IF(checklistPesertaKemenkeu!$AY$6:$AY$1005="Direkomendasikan",ROW($6:$1005)-5),858)+5)&amp;":O"&amp;(SMALL(IF(checklistPesertaKemenkeu!$AY$6:$AY$1005="Direkomendasikan",ROW($6:$1005)-5),858)+5)),INDEX(checklistPesertaKemenkeu!$P$6:$P$1005,SMALL(IF(checklistPesertaKemenkeu!$AY$6:$AY$1005="Direkomendasikan",ROW($6:$1005)-5),858)))=1),IFERROR(VLOOKUP(INDEX(checklistPesertaKemenkeu!$P$6:$P$1005,SMALL(IF(checklistPesertaKemenkeu!$AY$6:$AY$1005="Direkomendasikan",ROW($6:$1005)-5),858)),KotaKode,2,0),"-"),"")),"")</f>
        <v/>
      </c>
    </row>
    <row r="860" spans="1:12" ht="15" customHeight="1" x14ac:dyDescent="0.2">
      <c r="A860" t="str">
        <f t="shared" si="13"/>
        <v/>
      </c>
      <c r="B860" t="str">
        <v/>
      </c>
      <c r="C860" s="40" t="str">
        <f t="array" ref="C860">IFERROR(INDEX(checklistPesertaKemenkeu!$F$6:$F$1005,SMALL(IF(checklistPesertaKemenkeu!$AY$6:$AY$1005="Direkomendasikan",ROW($6:$1005)-5),859)),"")</f>
        <v/>
      </c>
      <c r="D860" t="str">
        <f t="array" ref="D860">IFERROR(INDEX(checklistPesertaKemenkeu!$G$6:$G$1005,SMALL(IF(checklistPesertaKemenkeu!$AY$6:$AY$1005="Direkomendasikan",ROW($6:$1005)-5),859)),"")</f>
        <v/>
      </c>
      <c r="E860" t="str">
        <f t="array" ref="E860">IFERROR(INDEX(checklistPesertaKemenkeu!$H$6:$H$1005,SMALL(IF(checklistPesertaKemenkeu!$AY$6:$AY$1005="Direkomendasikan",ROW($6:$1005)-5),859)),"")</f>
        <v/>
      </c>
      <c r="F860" t="str">
        <f t="array" ref="F860">IFERROR(INDEX(checklistPesertaKemenkeu!$I$6:$I$1005,SMALL(IF(checklistPesertaKemenkeu!$AY$6:$AY$1005="Direkomendasikan",ROW($6:$1005)-5),859)),"")</f>
        <v/>
      </c>
      <c r="G860" t="str">
        <f t="array" ref="G860">IFERROR(INDEX(checklistPesertaKemenkeu!$J$6:$J$1005,SMALL(IF(checklistPesertaKemenkeu!$AY$6:$AY$1005="Direkomendasikan",ROW($6:$1005)-5),859)),"")</f>
        <v/>
      </c>
      <c r="H860" t="str">
        <f t="array" aca="1" ref="H860" ca="1">IFERROR(IF(OR(INDEX(checklistPesertaKemenkeu!$L$6:$L$1005,SMALL(IF(checklistPesertaKemenkeu!$AY$6:$AY$1005="Direkomendasikan",ROW($6:$1005)-5),859))="",INDEX(checklistPesertaKemenkeu!$J$6:$J$1005,SMALL(IF(checklistPesertaKemenkeu!$AY$6:$AY$1005="Direkomendasikan",ROW($6:$1005)-5),859))=""),"",IF(AND(COUNTIF(INDIRECT("K_"&amp;MATCH(INDEX(checklistPesertaKemenkeu!$J$6:$J$1005,SMALL(IF(checklistPesertaKemenkeu!$AY$6:$AY$1005="Direkomendasikan",ROW($6:$1005)-5),859)),BidangList,0)),INDEX(checklistPesertaKemenkeu!$L$6:$L$1005,SMALL(IF(checklistPesertaKemenkeu!$AY$6:$AY$1005="Direkomendasikan",ROW($6:$1005)-5),859)))&gt;0,COUNTIF(INDIRECT("'KERTAS KERJA'!K"&amp;(SMALL(IF(checklistPesertaKemenkeu!$AY$6:$AY$1005="Direkomendasikan",ROW($6:$1005)-5),859)+5)&amp;":O"&amp;(SMALL(IF(checklistPesertaKemenkeu!$AY$6:$AY$1005="Direkomendasikan",ROW($6:$1005)-5),859)+5)),INDEX(checklistPesertaKemenkeu!$L$6:$L$1005,SMALL(IF(checklistPesertaKemenkeu!$AY$6:$AY$1005="Direkomendasikan",ROW($6:$1005)-5),859)))=1),IFERROR(VLOOKUP(INDEX(checklistPesertaKemenkeu!$L$6:$L$1005,SMALL(IF(checklistPesertaKemenkeu!$AY$6:$AY$1005="Direkomendasikan",ROW($6:$1005)-5),859)),KotaKode,2,0),"-"),"")),"")</f>
        <v/>
      </c>
      <c r="I860" t="str">
        <f t="array" aca="1" ref="I860" ca="1">IFERROR(IF(OR(INDEX(checklistPesertaKemenkeu!$M$6:$M$1005,SMALL(IF(checklistPesertaKemenkeu!$AY$6:$AY$1005="Direkomendasikan",ROW($6:$1005)-5),859))="",INDEX(checklistPesertaKemenkeu!$J$6:$J$1005,SMALL(IF(checklistPesertaKemenkeu!$AY$6:$AY$1005="Direkomendasikan",ROW($6:$1005)-5),859))=""),"",IF(AND(COUNTIF(INDIRECT("K_"&amp;MATCH(INDEX(checklistPesertaKemenkeu!$J$6:$J$1005,SMALL(IF(checklistPesertaKemenkeu!$AY$6:$AY$1005="Direkomendasikan",ROW($6:$1005)-5),859)),BidangList,0)),INDEX(checklistPesertaKemenkeu!$M$6:$M$1005,SMALL(IF(checklistPesertaKemenkeu!$AY$6:$AY$1005="Direkomendasikan",ROW($6:$1005)-5),859)))&gt;0,COUNTIF(INDIRECT("'KERTAS KERJA'!K"&amp;(SMALL(IF(checklistPesertaKemenkeu!$AY$6:$AY$1005="Direkomendasikan",ROW($6:$1005)-5),859)+5)&amp;":O"&amp;(SMALL(IF(checklistPesertaKemenkeu!$AY$6:$AY$1005="Direkomendasikan",ROW($6:$1005)-5),859)+5)),INDEX(checklistPesertaKemenkeu!$M$6:$M$1005,SMALL(IF(checklistPesertaKemenkeu!$AY$6:$AY$1005="Direkomendasikan",ROW($6:$1005)-5),859)))=1),IFERROR(VLOOKUP(INDEX(checklistPesertaKemenkeu!$M$6:$M$1005,SMALL(IF(checklistPesertaKemenkeu!$AY$6:$AY$1005="Direkomendasikan",ROW($6:$1005)-5),859)),KotaKode,2,0),"-"),"")),"")</f>
        <v/>
      </c>
      <c r="J860" t="str">
        <f t="array" aca="1" ref="J860" ca="1">IFERROR(IF(OR(INDEX(checklistPesertaKemenkeu!$N$6:$N$1005,SMALL(IF(checklistPesertaKemenkeu!$AY$6:$AY$1005="Direkomendasikan",ROW($6:$1005)-5),859))="",INDEX(checklistPesertaKemenkeu!$J$6:$J$1005,SMALL(IF(checklistPesertaKemenkeu!$AY$6:$AY$1005="Direkomendasikan",ROW($6:$1005)-5),859))=""),"",IF(AND(COUNTIF(INDIRECT("K_"&amp;MATCH(INDEX(checklistPesertaKemenkeu!$J$6:$J$1005,SMALL(IF(checklistPesertaKemenkeu!$AY$6:$AY$1005="Direkomendasikan",ROW($6:$1005)-5),859)),BidangList,0)),INDEX(checklistPesertaKemenkeu!$N$6:$N$1005,SMALL(IF(checklistPesertaKemenkeu!$AY$6:$AY$1005="Direkomendasikan",ROW($6:$1005)-5),859)))&gt;0,COUNTIF(INDIRECT("'KERTAS KERJA'!K"&amp;(SMALL(IF(checklistPesertaKemenkeu!$AY$6:$AY$1005="Direkomendasikan",ROW($6:$1005)-5),859)+5)&amp;":O"&amp;(SMALL(IF(checklistPesertaKemenkeu!$AY$6:$AY$1005="Direkomendasikan",ROW($6:$1005)-5),859)+5)),INDEX(checklistPesertaKemenkeu!$N$6:$N$1005,SMALL(IF(checklistPesertaKemenkeu!$AY$6:$AY$1005="Direkomendasikan",ROW($6:$1005)-5),859)))=1),IFERROR(VLOOKUP(INDEX(checklistPesertaKemenkeu!$N$6:$N$1005,SMALL(IF(checklistPesertaKemenkeu!$AY$6:$AY$1005="Direkomendasikan",ROW($6:$1005)-5),859)),KotaKode,2,0),"-"),"")),"")</f>
        <v/>
      </c>
      <c r="K860" t="str">
        <f t="array" aca="1" ref="K860" ca="1">IFERROR(IF(OR(INDEX(checklistPesertaKemenkeu!$O$6:$O$1005,SMALL(IF(checklistPesertaKemenkeu!$AY$6:$AY$1005="Direkomendasikan",ROW($6:$1005)-5),859))="",INDEX(checklistPesertaKemenkeu!$J$6:$J$1005,SMALL(IF(checklistPesertaKemenkeu!$AY$6:$AY$1005="Direkomendasikan",ROW($6:$1005)-5),859))=""),"",IF(AND(COUNTIF(INDIRECT("K_"&amp;MATCH(INDEX(checklistPesertaKemenkeu!$J$6:$J$1005,SMALL(IF(checklistPesertaKemenkeu!$AY$6:$AY$1005="Direkomendasikan",ROW($6:$1005)-5),859)),BidangList,0)),INDEX(checklistPesertaKemenkeu!$O$6:$O$1005,SMALL(IF(checklistPesertaKemenkeu!$AY$6:$AY$1005="Direkomendasikan",ROW($6:$1005)-5),859)))&gt;0,COUNTIF(INDIRECT("'KERTAS KERJA'!K"&amp;(SMALL(IF(checklistPesertaKemenkeu!$AY$6:$AY$1005="Direkomendasikan",ROW($6:$1005)-5),859)+5)&amp;":O"&amp;(SMALL(IF(checklistPesertaKemenkeu!$AY$6:$AY$1005="Direkomendasikan",ROW($6:$1005)-5),859)+5)),INDEX(checklistPesertaKemenkeu!$O$6:$O$1005,SMALL(IF(checklistPesertaKemenkeu!$AY$6:$AY$1005="Direkomendasikan",ROW($6:$1005)-5),859)))=1),IFERROR(VLOOKUP(INDEX(checklistPesertaKemenkeu!$O$6:$O$1005,SMALL(IF(checklistPesertaKemenkeu!$AY$6:$AY$1005="Direkomendasikan",ROW($6:$1005)-5),859)),KotaKode,2,0),"-"),"")),"")</f>
        <v/>
      </c>
      <c r="L860" t="str">
        <f t="array" aca="1" ref="L860" ca="1">IFERROR(IF(OR(INDEX(checklistPesertaKemenkeu!$P$6:$P$1005,SMALL(IF(checklistPesertaKemenkeu!$AY$6:$AY$1005="Direkomendasikan",ROW($6:$1005)-5),859))="",INDEX(checklistPesertaKemenkeu!$J$6:$J$1005,SMALL(IF(checklistPesertaKemenkeu!$AY$6:$AY$1005="Direkomendasikan",ROW($6:$1005)-5),859))=""),"",IF(AND(COUNTIF(INDIRECT("K_"&amp;MATCH(INDEX(checklistPesertaKemenkeu!$J$6:$J$1005,SMALL(IF(checklistPesertaKemenkeu!$AY$6:$AY$1005="Direkomendasikan",ROW($6:$1005)-5),859)),BidangList,0)),INDEX(checklistPesertaKemenkeu!$P$6:$P$1005,SMALL(IF(checklistPesertaKemenkeu!$AY$6:$AY$1005="Direkomendasikan",ROW($6:$1005)-5),859)))&gt;0,COUNTIF(INDIRECT("'KERTAS KERJA'!K"&amp;(SMALL(IF(checklistPesertaKemenkeu!$AY$6:$AY$1005="Direkomendasikan",ROW($6:$1005)-5),859)+5)&amp;":O"&amp;(SMALL(IF(checklistPesertaKemenkeu!$AY$6:$AY$1005="Direkomendasikan",ROW($6:$1005)-5),859)+5)),INDEX(checklistPesertaKemenkeu!$P$6:$P$1005,SMALL(IF(checklistPesertaKemenkeu!$AY$6:$AY$1005="Direkomendasikan",ROW($6:$1005)-5),859)))=1),IFERROR(VLOOKUP(INDEX(checklistPesertaKemenkeu!$P$6:$P$1005,SMALL(IF(checklistPesertaKemenkeu!$AY$6:$AY$1005="Direkomendasikan",ROW($6:$1005)-5),859)),KotaKode,2,0),"-"),"")),"")</f>
        <v/>
      </c>
    </row>
    <row r="861" spans="1:12" ht="15" customHeight="1" x14ac:dyDescent="0.2">
      <c r="A861" t="str">
        <f t="shared" si="13"/>
        <v/>
      </c>
      <c r="B861" t="str">
        <v/>
      </c>
      <c r="C861" s="40" t="str">
        <f t="array" ref="C861">IFERROR(INDEX(checklistPesertaKemenkeu!$F$6:$F$1005,SMALL(IF(checklistPesertaKemenkeu!$AY$6:$AY$1005="Direkomendasikan",ROW($6:$1005)-5),860)),"")</f>
        <v/>
      </c>
      <c r="D861" t="str">
        <f t="array" ref="D861">IFERROR(INDEX(checklistPesertaKemenkeu!$G$6:$G$1005,SMALL(IF(checklistPesertaKemenkeu!$AY$6:$AY$1005="Direkomendasikan",ROW($6:$1005)-5),860)),"")</f>
        <v/>
      </c>
      <c r="E861" t="str">
        <f t="array" ref="E861">IFERROR(INDEX(checklistPesertaKemenkeu!$H$6:$H$1005,SMALL(IF(checklistPesertaKemenkeu!$AY$6:$AY$1005="Direkomendasikan",ROW($6:$1005)-5),860)),"")</f>
        <v/>
      </c>
      <c r="F861" t="str">
        <f t="array" ref="F861">IFERROR(INDEX(checklistPesertaKemenkeu!$I$6:$I$1005,SMALL(IF(checklistPesertaKemenkeu!$AY$6:$AY$1005="Direkomendasikan",ROW($6:$1005)-5),860)),"")</f>
        <v/>
      </c>
      <c r="G861" t="str">
        <f t="array" ref="G861">IFERROR(INDEX(checklistPesertaKemenkeu!$J$6:$J$1005,SMALL(IF(checklistPesertaKemenkeu!$AY$6:$AY$1005="Direkomendasikan",ROW($6:$1005)-5),860)),"")</f>
        <v/>
      </c>
      <c r="H861" t="str">
        <f t="array" aca="1" ref="H861" ca="1">IFERROR(IF(OR(INDEX(checklistPesertaKemenkeu!$L$6:$L$1005,SMALL(IF(checklistPesertaKemenkeu!$AY$6:$AY$1005="Direkomendasikan",ROW($6:$1005)-5),860))="",INDEX(checklistPesertaKemenkeu!$J$6:$J$1005,SMALL(IF(checklistPesertaKemenkeu!$AY$6:$AY$1005="Direkomendasikan",ROW($6:$1005)-5),860))=""),"",IF(AND(COUNTIF(INDIRECT("K_"&amp;MATCH(INDEX(checklistPesertaKemenkeu!$J$6:$J$1005,SMALL(IF(checklistPesertaKemenkeu!$AY$6:$AY$1005="Direkomendasikan",ROW($6:$1005)-5),860)),BidangList,0)),INDEX(checklistPesertaKemenkeu!$L$6:$L$1005,SMALL(IF(checklistPesertaKemenkeu!$AY$6:$AY$1005="Direkomendasikan",ROW($6:$1005)-5),860)))&gt;0,COUNTIF(INDIRECT("'KERTAS KERJA'!K"&amp;(SMALL(IF(checklistPesertaKemenkeu!$AY$6:$AY$1005="Direkomendasikan",ROW($6:$1005)-5),860)+5)&amp;":O"&amp;(SMALL(IF(checklistPesertaKemenkeu!$AY$6:$AY$1005="Direkomendasikan",ROW($6:$1005)-5),860)+5)),INDEX(checklistPesertaKemenkeu!$L$6:$L$1005,SMALL(IF(checklistPesertaKemenkeu!$AY$6:$AY$1005="Direkomendasikan",ROW($6:$1005)-5),860)))=1),IFERROR(VLOOKUP(INDEX(checklistPesertaKemenkeu!$L$6:$L$1005,SMALL(IF(checklistPesertaKemenkeu!$AY$6:$AY$1005="Direkomendasikan",ROW($6:$1005)-5),860)),KotaKode,2,0),"-"),"")),"")</f>
        <v/>
      </c>
      <c r="I861" t="str">
        <f t="array" aca="1" ref="I861" ca="1">IFERROR(IF(OR(INDEX(checklistPesertaKemenkeu!$M$6:$M$1005,SMALL(IF(checklistPesertaKemenkeu!$AY$6:$AY$1005="Direkomendasikan",ROW($6:$1005)-5),860))="",INDEX(checklistPesertaKemenkeu!$J$6:$J$1005,SMALL(IF(checklistPesertaKemenkeu!$AY$6:$AY$1005="Direkomendasikan",ROW($6:$1005)-5),860))=""),"",IF(AND(COUNTIF(INDIRECT("K_"&amp;MATCH(INDEX(checklistPesertaKemenkeu!$J$6:$J$1005,SMALL(IF(checklistPesertaKemenkeu!$AY$6:$AY$1005="Direkomendasikan",ROW($6:$1005)-5),860)),BidangList,0)),INDEX(checklistPesertaKemenkeu!$M$6:$M$1005,SMALL(IF(checklistPesertaKemenkeu!$AY$6:$AY$1005="Direkomendasikan",ROW($6:$1005)-5),860)))&gt;0,COUNTIF(INDIRECT("'KERTAS KERJA'!K"&amp;(SMALL(IF(checklistPesertaKemenkeu!$AY$6:$AY$1005="Direkomendasikan",ROW($6:$1005)-5),860)+5)&amp;":O"&amp;(SMALL(IF(checklistPesertaKemenkeu!$AY$6:$AY$1005="Direkomendasikan",ROW($6:$1005)-5),860)+5)),INDEX(checklistPesertaKemenkeu!$M$6:$M$1005,SMALL(IF(checklistPesertaKemenkeu!$AY$6:$AY$1005="Direkomendasikan",ROW($6:$1005)-5),860)))=1),IFERROR(VLOOKUP(INDEX(checklistPesertaKemenkeu!$M$6:$M$1005,SMALL(IF(checklistPesertaKemenkeu!$AY$6:$AY$1005="Direkomendasikan",ROW($6:$1005)-5),860)),KotaKode,2,0),"-"),"")),"")</f>
        <v/>
      </c>
      <c r="J861" t="str">
        <f t="array" aca="1" ref="J861" ca="1">IFERROR(IF(OR(INDEX(checklistPesertaKemenkeu!$N$6:$N$1005,SMALL(IF(checklistPesertaKemenkeu!$AY$6:$AY$1005="Direkomendasikan",ROW($6:$1005)-5),860))="",INDEX(checklistPesertaKemenkeu!$J$6:$J$1005,SMALL(IF(checklistPesertaKemenkeu!$AY$6:$AY$1005="Direkomendasikan",ROW($6:$1005)-5),860))=""),"",IF(AND(COUNTIF(INDIRECT("K_"&amp;MATCH(INDEX(checklistPesertaKemenkeu!$J$6:$J$1005,SMALL(IF(checklistPesertaKemenkeu!$AY$6:$AY$1005="Direkomendasikan",ROW($6:$1005)-5),860)),BidangList,0)),INDEX(checklistPesertaKemenkeu!$N$6:$N$1005,SMALL(IF(checklistPesertaKemenkeu!$AY$6:$AY$1005="Direkomendasikan",ROW($6:$1005)-5),860)))&gt;0,COUNTIF(INDIRECT("'KERTAS KERJA'!K"&amp;(SMALL(IF(checklistPesertaKemenkeu!$AY$6:$AY$1005="Direkomendasikan",ROW($6:$1005)-5),860)+5)&amp;":O"&amp;(SMALL(IF(checklistPesertaKemenkeu!$AY$6:$AY$1005="Direkomendasikan",ROW($6:$1005)-5),860)+5)),INDEX(checklistPesertaKemenkeu!$N$6:$N$1005,SMALL(IF(checklistPesertaKemenkeu!$AY$6:$AY$1005="Direkomendasikan",ROW($6:$1005)-5),860)))=1),IFERROR(VLOOKUP(INDEX(checklistPesertaKemenkeu!$N$6:$N$1005,SMALL(IF(checklistPesertaKemenkeu!$AY$6:$AY$1005="Direkomendasikan",ROW($6:$1005)-5),860)),KotaKode,2,0),"-"),"")),"")</f>
        <v/>
      </c>
      <c r="K861" t="str">
        <f t="array" aca="1" ref="K861" ca="1">IFERROR(IF(OR(INDEX(checklistPesertaKemenkeu!$O$6:$O$1005,SMALL(IF(checklistPesertaKemenkeu!$AY$6:$AY$1005="Direkomendasikan",ROW($6:$1005)-5),860))="",INDEX(checklistPesertaKemenkeu!$J$6:$J$1005,SMALL(IF(checklistPesertaKemenkeu!$AY$6:$AY$1005="Direkomendasikan",ROW($6:$1005)-5),860))=""),"",IF(AND(COUNTIF(INDIRECT("K_"&amp;MATCH(INDEX(checklistPesertaKemenkeu!$J$6:$J$1005,SMALL(IF(checklistPesertaKemenkeu!$AY$6:$AY$1005="Direkomendasikan",ROW($6:$1005)-5),860)),BidangList,0)),INDEX(checklistPesertaKemenkeu!$O$6:$O$1005,SMALL(IF(checklistPesertaKemenkeu!$AY$6:$AY$1005="Direkomendasikan",ROW($6:$1005)-5),860)))&gt;0,COUNTIF(INDIRECT("'KERTAS KERJA'!K"&amp;(SMALL(IF(checklistPesertaKemenkeu!$AY$6:$AY$1005="Direkomendasikan",ROW($6:$1005)-5),860)+5)&amp;":O"&amp;(SMALL(IF(checklistPesertaKemenkeu!$AY$6:$AY$1005="Direkomendasikan",ROW($6:$1005)-5),860)+5)),INDEX(checklistPesertaKemenkeu!$O$6:$O$1005,SMALL(IF(checklistPesertaKemenkeu!$AY$6:$AY$1005="Direkomendasikan",ROW($6:$1005)-5),860)))=1),IFERROR(VLOOKUP(INDEX(checklistPesertaKemenkeu!$O$6:$O$1005,SMALL(IF(checklistPesertaKemenkeu!$AY$6:$AY$1005="Direkomendasikan",ROW($6:$1005)-5),860)),KotaKode,2,0),"-"),"")),"")</f>
        <v/>
      </c>
      <c r="L861" t="str">
        <f t="array" aca="1" ref="L861" ca="1">IFERROR(IF(OR(INDEX(checklistPesertaKemenkeu!$P$6:$P$1005,SMALL(IF(checklistPesertaKemenkeu!$AY$6:$AY$1005="Direkomendasikan",ROW($6:$1005)-5),860))="",INDEX(checklistPesertaKemenkeu!$J$6:$J$1005,SMALL(IF(checklistPesertaKemenkeu!$AY$6:$AY$1005="Direkomendasikan",ROW($6:$1005)-5),860))=""),"",IF(AND(COUNTIF(INDIRECT("K_"&amp;MATCH(INDEX(checklistPesertaKemenkeu!$J$6:$J$1005,SMALL(IF(checklistPesertaKemenkeu!$AY$6:$AY$1005="Direkomendasikan",ROW($6:$1005)-5),860)),BidangList,0)),INDEX(checklistPesertaKemenkeu!$P$6:$P$1005,SMALL(IF(checklistPesertaKemenkeu!$AY$6:$AY$1005="Direkomendasikan",ROW($6:$1005)-5),860)))&gt;0,COUNTIF(INDIRECT("'KERTAS KERJA'!K"&amp;(SMALL(IF(checklistPesertaKemenkeu!$AY$6:$AY$1005="Direkomendasikan",ROW($6:$1005)-5),860)+5)&amp;":O"&amp;(SMALL(IF(checklistPesertaKemenkeu!$AY$6:$AY$1005="Direkomendasikan",ROW($6:$1005)-5),860)+5)),INDEX(checklistPesertaKemenkeu!$P$6:$P$1005,SMALL(IF(checklistPesertaKemenkeu!$AY$6:$AY$1005="Direkomendasikan",ROW($6:$1005)-5),860)))=1),IFERROR(VLOOKUP(INDEX(checklistPesertaKemenkeu!$P$6:$P$1005,SMALL(IF(checklistPesertaKemenkeu!$AY$6:$AY$1005="Direkomendasikan",ROW($6:$1005)-5),860)),KotaKode,2,0),"-"),"")),"")</f>
        <v/>
      </c>
    </row>
    <row r="862" spans="1:12" ht="15" customHeight="1" x14ac:dyDescent="0.2">
      <c r="A862" t="str">
        <f t="shared" si="13"/>
        <v/>
      </c>
      <c r="B862" t="str">
        <v/>
      </c>
      <c r="C862" s="40" t="str">
        <f t="array" ref="C862">IFERROR(INDEX(checklistPesertaKemenkeu!$F$6:$F$1005,SMALL(IF(checklistPesertaKemenkeu!$AY$6:$AY$1005="Direkomendasikan",ROW($6:$1005)-5),861)),"")</f>
        <v/>
      </c>
      <c r="D862" t="str">
        <f t="array" ref="D862">IFERROR(INDEX(checklistPesertaKemenkeu!$G$6:$G$1005,SMALL(IF(checklistPesertaKemenkeu!$AY$6:$AY$1005="Direkomendasikan",ROW($6:$1005)-5),861)),"")</f>
        <v/>
      </c>
      <c r="E862" t="str">
        <f t="array" ref="E862">IFERROR(INDEX(checklistPesertaKemenkeu!$H$6:$H$1005,SMALL(IF(checklistPesertaKemenkeu!$AY$6:$AY$1005="Direkomendasikan",ROW($6:$1005)-5),861)),"")</f>
        <v/>
      </c>
      <c r="F862" t="str">
        <f t="array" ref="F862">IFERROR(INDEX(checklistPesertaKemenkeu!$I$6:$I$1005,SMALL(IF(checklistPesertaKemenkeu!$AY$6:$AY$1005="Direkomendasikan",ROW($6:$1005)-5),861)),"")</f>
        <v/>
      </c>
      <c r="G862" t="str">
        <f t="array" ref="G862">IFERROR(INDEX(checklistPesertaKemenkeu!$J$6:$J$1005,SMALL(IF(checklistPesertaKemenkeu!$AY$6:$AY$1005="Direkomendasikan",ROW($6:$1005)-5),861)),"")</f>
        <v/>
      </c>
      <c r="H862" t="str">
        <f t="array" aca="1" ref="H862" ca="1">IFERROR(IF(OR(INDEX(checklistPesertaKemenkeu!$L$6:$L$1005,SMALL(IF(checklistPesertaKemenkeu!$AY$6:$AY$1005="Direkomendasikan",ROW($6:$1005)-5),861))="",INDEX(checklistPesertaKemenkeu!$J$6:$J$1005,SMALL(IF(checklistPesertaKemenkeu!$AY$6:$AY$1005="Direkomendasikan",ROW($6:$1005)-5),861))=""),"",IF(AND(COUNTIF(INDIRECT("K_"&amp;MATCH(INDEX(checklistPesertaKemenkeu!$J$6:$J$1005,SMALL(IF(checklistPesertaKemenkeu!$AY$6:$AY$1005="Direkomendasikan",ROW($6:$1005)-5),861)),BidangList,0)),INDEX(checklistPesertaKemenkeu!$L$6:$L$1005,SMALL(IF(checklistPesertaKemenkeu!$AY$6:$AY$1005="Direkomendasikan",ROW($6:$1005)-5),861)))&gt;0,COUNTIF(INDIRECT("'KERTAS KERJA'!K"&amp;(SMALL(IF(checklistPesertaKemenkeu!$AY$6:$AY$1005="Direkomendasikan",ROW($6:$1005)-5),861)+5)&amp;":O"&amp;(SMALL(IF(checklistPesertaKemenkeu!$AY$6:$AY$1005="Direkomendasikan",ROW($6:$1005)-5),861)+5)),INDEX(checklistPesertaKemenkeu!$L$6:$L$1005,SMALL(IF(checklistPesertaKemenkeu!$AY$6:$AY$1005="Direkomendasikan",ROW($6:$1005)-5),861)))=1),IFERROR(VLOOKUP(INDEX(checklistPesertaKemenkeu!$L$6:$L$1005,SMALL(IF(checklistPesertaKemenkeu!$AY$6:$AY$1005="Direkomendasikan",ROW($6:$1005)-5),861)),KotaKode,2,0),"-"),"")),"")</f>
        <v/>
      </c>
      <c r="I862" t="str">
        <f t="array" aca="1" ref="I862" ca="1">IFERROR(IF(OR(INDEX(checklistPesertaKemenkeu!$M$6:$M$1005,SMALL(IF(checklistPesertaKemenkeu!$AY$6:$AY$1005="Direkomendasikan",ROW($6:$1005)-5),861))="",INDEX(checklistPesertaKemenkeu!$J$6:$J$1005,SMALL(IF(checklistPesertaKemenkeu!$AY$6:$AY$1005="Direkomendasikan",ROW($6:$1005)-5),861))=""),"",IF(AND(COUNTIF(INDIRECT("K_"&amp;MATCH(INDEX(checklistPesertaKemenkeu!$J$6:$J$1005,SMALL(IF(checklistPesertaKemenkeu!$AY$6:$AY$1005="Direkomendasikan",ROW($6:$1005)-5),861)),BidangList,0)),INDEX(checklistPesertaKemenkeu!$M$6:$M$1005,SMALL(IF(checklistPesertaKemenkeu!$AY$6:$AY$1005="Direkomendasikan",ROW($6:$1005)-5),861)))&gt;0,COUNTIF(INDIRECT("'KERTAS KERJA'!K"&amp;(SMALL(IF(checklistPesertaKemenkeu!$AY$6:$AY$1005="Direkomendasikan",ROW($6:$1005)-5),861)+5)&amp;":O"&amp;(SMALL(IF(checklistPesertaKemenkeu!$AY$6:$AY$1005="Direkomendasikan",ROW($6:$1005)-5),861)+5)),INDEX(checklistPesertaKemenkeu!$M$6:$M$1005,SMALL(IF(checklistPesertaKemenkeu!$AY$6:$AY$1005="Direkomendasikan",ROW($6:$1005)-5),861)))=1),IFERROR(VLOOKUP(INDEX(checklistPesertaKemenkeu!$M$6:$M$1005,SMALL(IF(checklistPesertaKemenkeu!$AY$6:$AY$1005="Direkomendasikan",ROW($6:$1005)-5),861)),KotaKode,2,0),"-"),"")),"")</f>
        <v/>
      </c>
      <c r="J862" t="str">
        <f t="array" aca="1" ref="J862" ca="1">IFERROR(IF(OR(INDEX(checklistPesertaKemenkeu!$N$6:$N$1005,SMALL(IF(checklistPesertaKemenkeu!$AY$6:$AY$1005="Direkomendasikan",ROW($6:$1005)-5),861))="",INDEX(checklistPesertaKemenkeu!$J$6:$J$1005,SMALL(IF(checklistPesertaKemenkeu!$AY$6:$AY$1005="Direkomendasikan",ROW($6:$1005)-5),861))=""),"",IF(AND(COUNTIF(INDIRECT("K_"&amp;MATCH(INDEX(checklistPesertaKemenkeu!$J$6:$J$1005,SMALL(IF(checklistPesertaKemenkeu!$AY$6:$AY$1005="Direkomendasikan",ROW($6:$1005)-5),861)),BidangList,0)),INDEX(checklistPesertaKemenkeu!$N$6:$N$1005,SMALL(IF(checklistPesertaKemenkeu!$AY$6:$AY$1005="Direkomendasikan",ROW($6:$1005)-5),861)))&gt;0,COUNTIF(INDIRECT("'KERTAS KERJA'!K"&amp;(SMALL(IF(checklistPesertaKemenkeu!$AY$6:$AY$1005="Direkomendasikan",ROW($6:$1005)-5),861)+5)&amp;":O"&amp;(SMALL(IF(checklistPesertaKemenkeu!$AY$6:$AY$1005="Direkomendasikan",ROW($6:$1005)-5),861)+5)),INDEX(checklistPesertaKemenkeu!$N$6:$N$1005,SMALL(IF(checklistPesertaKemenkeu!$AY$6:$AY$1005="Direkomendasikan",ROW($6:$1005)-5),861)))=1),IFERROR(VLOOKUP(INDEX(checklistPesertaKemenkeu!$N$6:$N$1005,SMALL(IF(checklistPesertaKemenkeu!$AY$6:$AY$1005="Direkomendasikan",ROW($6:$1005)-5),861)),KotaKode,2,0),"-"),"")),"")</f>
        <v/>
      </c>
      <c r="K862" t="str">
        <f t="array" aca="1" ref="K862" ca="1">IFERROR(IF(OR(INDEX(checklistPesertaKemenkeu!$O$6:$O$1005,SMALL(IF(checklistPesertaKemenkeu!$AY$6:$AY$1005="Direkomendasikan",ROW($6:$1005)-5),861))="",INDEX(checklistPesertaKemenkeu!$J$6:$J$1005,SMALL(IF(checklistPesertaKemenkeu!$AY$6:$AY$1005="Direkomendasikan",ROW($6:$1005)-5),861))=""),"",IF(AND(COUNTIF(INDIRECT("K_"&amp;MATCH(INDEX(checklistPesertaKemenkeu!$J$6:$J$1005,SMALL(IF(checklistPesertaKemenkeu!$AY$6:$AY$1005="Direkomendasikan",ROW($6:$1005)-5),861)),BidangList,0)),INDEX(checklistPesertaKemenkeu!$O$6:$O$1005,SMALL(IF(checklistPesertaKemenkeu!$AY$6:$AY$1005="Direkomendasikan",ROW($6:$1005)-5),861)))&gt;0,COUNTIF(INDIRECT("'KERTAS KERJA'!K"&amp;(SMALL(IF(checklistPesertaKemenkeu!$AY$6:$AY$1005="Direkomendasikan",ROW($6:$1005)-5),861)+5)&amp;":O"&amp;(SMALL(IF(checklistPesertaKemenkeu!$AY$6:$AY$1005="Direkomendasikan",ROW($6:$1005)-5),861)+5)),INDEX(checklistPesertaKemenkeu!$O$6:$O$1005,SMALL(IF(checklistPesertaKemenkeu!$AY$6:$AY$1005="Direkomendasikan",ROW($6:$1005)-5),861)))=1),IFERROR(VLOOKUP(INDEX(checklistPesertaKemenkeu!$O$6:$O$1005,SMALL(IF(checklistPesertaKemenkeu!$AY$6:$AY$1005="Direkomendasikan",ROW($6:$1005)-5),861)),KotaKode,2,0),"-"),"")),"")</f>
        <v/>
      </c>
      <c r="L862" t="str">
        <f t="array" aca="1" ref="L862" ca="1">IFERROR(IF(OR(INDEX(checklistPesertaKemenkeu!$P$6:$P$1005,SMALL(IF(checklistPesertaKemenkeu!$AY$6:$AY$1005="Direkomendasikan",ROW($6:$1005)-5),861))="",INDEX(checklistPesertaKemenkeu!$J$6:$J$1005,SMALL(IF(checklistPesertaKemenkeu!$AY$6:$AY$1005="Direkomendasikan",ROW($6:$1005)-5),861))=""),"",IF(AND(COUNTIF(INDIRECT("K_"&amp;MATCH(INDEX(checklistPesertaKemenkeu!$J$6:$J$1005,SMALL(IF(checklistPesertaKemenkeu!$AY$6:$AY$1005="Direkomendasikan",ROW($6:$1005)-5),861)),BidangList,0)),INDEX(checklistPesertaKemenkeu!$P$6:$P$1005,SMALL(IF(checklistPesertaKemenkeu!$AY$6:$AY$1005="Direkomendasikan",ROW($6:$1005)-5),861)))&gt;0,COUNTIF(INDIRECT("'KERTAS KERJA'!K"&amp;(SMALL(IF(checklistPesertaKemenkeu!$AY$6:$AY$1005="Direkomendasikan",ROW($6:$1005)-5),861)+5)&amp;":O"&amp;(SMALL(IF(checklistPesertaKemenkeu!$AY$6:$AY$1005="Direkomendasikan",ROW($6:$1005)-5),861)+5)),INDEX(checklistPesertaKemenkeu!$P$6:$P$1005,SMALL(IF(checklistPesertaKemenkeu!$AY$6:$AY$1005="Direkomendasikan",ROW($6:$1005)-5),861)))=1),IFERROR(VLOOKUP(INDEX(checklistPesertaKemenkeu!$P$6:$P$1005,SMALL(IF(checklistPesertaKemenkeu!$AY$6:$AY$1005="Direkomendasikan",ROW($6:$1005)-5),861)),KotaKode,2,0),"-"),"")),"")</f>
        <v/>
      </c>
    </row>
    <row r="863" spans="1:12" ht="15" customHeight="1" x14ac:dyDescent="0.2">
      <c r="A863" t="str">
        <f t="shared" si="13"/>
        <v/>
      </c>
      <c r="B863" t="str">
        <v/>
      </c>
      <c r="C863" s="40" t="str">
        <f t="array" ref="C863">IFERROR(INDEX(checklistPesertaKemenkeu!$F$6:$F$1005,SMALL(IF(checklistPesertaKemenkeu!$AY$6:$AY$1005="Direkomendasikan",ROW($6:$1005)-5),862)),"")</f>
        <v/>
      </c>
      <c r="D863" t="str">
        <f t="array" ref="D863">IFERROR(INDEX(checklistPesertaKemenkeu!$G$6:$G$1005,SMALL(IF(checklistPesertaKemenkeu!$AY$6:$AY$1005="Direkomendasikan",ROW($6:$1005)-5),862)),"")</f>
        <v/>
      </c>
      <c r="E863" t="str">
        <f t="array" ref="E863">IFERROR(INDEX(checklistPesertaKemenkeu!$H$6:$H$1005,SMALL(IF(checklistPesertaKemenkeu!$AY$6:$AY$1005="Direkomendasikan",ROW($6:$1005)-5),862)),"")</f>
        <v/>
      </c>
      <c r="F863" t="str">
        <f t="array" ref="F863">IFERROR(INDEX(checklistPesertaKemenkeu!$I$6:$I$1005,SMALL(IF(checklistPesertaKemenkeu!$AY$6:$AY$1005="Direkomendasikan",ROW($6:$1005)-5),862)),"")</f>
        <v/>
      </c>
      <c r="G863" t="str">
        <f t="array" ref="G863">IFERROR(INDEX(checklistPesertaKemenkeu!$J$6:$J$1005,SMALL(IF(checklistPesertaKemenkeu!$AY$6:$AY$1005="Direkomendasikan",ROW($6:$1005)-5),862)),"")</f>
        <v/>
      </c>
      <c r="H863" t="str">
        <f t="array" aca="1" ref="H863" ca="1">IFERROR(IF(OR(INDEX(checklistPesertaKemenkeu!$L$6:$L$1005,SMALL(IF(checklistPesertaKemenkeu!$AY$6:$AY$1005="Direkomendasikan",ROW($6:$1005)-5),862))="",INDEX(checklistPesertaKemenkeu!$J$6:$J$1005,SMALL(IF(checklistPesertaKemenkeu!$AY$6:$AY$1005="Direkomendasikan",ROW($6:$1005)-5),862))=""),"",IF(AND(COUNTIF(INDIRECT("K_"&amp;MATCH(INDEX(checklistPesertaKemenkeu!$J$6:$J$1005,SMALL(IF(checklistPesertaKemenkeu!$AY$6:$AY$1005="Direkomendasikan",ROW($6:$1005)-5),862)),BidangList,0)),INDEX(checklistPesertaKemenkeu!$L$6:$L$1005,SMALL(IF(checklistPesertaKemenkeu!$AY$6:$AY$1005="Direkomendasikan",ROW($6:$1005)-5),862)))&gt;0,COUNTIF(INDIRECT("'KERTAS KERJA'!K"&amp;(SMALL(IF(checklistPesertaKemenkeu!$AY$6:$AY$1005="Direkomendasikan",ROW($6:$1005)-5),862)+5)&amp;":O"&amp;(SMALL(IF(checklistPesertaKemenkeu!$AY$6:$AY$1005="Direkomendasikan",ROW($6:$1005)-5),862)+5)),INDEX(checklistPesertaKemenkeu!$L$6:$L$1005,SMALL(IF(checklistPesertaKemenkeu!$AY$6:$AY$1005="Direkomendasikan",ROW($6:$1005)-5),862)))=1),IFERROR(VLOOKUP(INDEX(checklistPesertaKemenkeu!$L$6:$L$1005,SMALL(IF(checklistPesertaKemenkeu!$AY$6:$AY$1005="Direkomendasikan",ROW($6:$1005)-5),862)),KotaKode,2,0),"-"),"")),"")</f>
        <v/>
      </c>
      <c r="I863" t="str">
        <f t="array" aca="1" ref="I863" ca="1">IFERROR(IF(OR(INDEX(checklistPesertaKemenkeu!$M$6:$M$1005,SMALL(IF(checklistPesertaKemenkeu!$AY$6:$AY$1005="Direkomendasikan",ROW($6:$1005)-5),862))="",INDEX(checklistPesertaKemenkeu!$J$6:$J$1005,SMALL(IF(checklistPesertaKemenkeu!$AY$6:$AY$1005="Direkomendasikan",ROW($6:$1005)-5),862))=""),"",IF(AND(COUNTIF(INDIRECT("K_"&amp;MATCH(INDEX(checklistPesertaKemenkeu!$J$6:$J$1005,SMALL(IF(checklistPesertaKemenkeu!$AY$6:$AY$1005="Direkomendasikan",ROW($6:$1005)-5),862)),BidangList,0)),INDEX(checklistPesertaKemenkeu!$M$6:$M$1005,SMALL(IF(checklistPesertaKemenkeu!$AY$6:$AY$1005="Direkomendasikan",ROW($6:$1005)-5),862)))&gt;0,COUNTIF(INDIRECT("'KERTAS KERJA'!K"&amp;(SMALL(IF(checklistPesertaKemenkeu!$AY$6:$AY$1005="Direkomendasikan",ROW($6:$1005)-5),862)+5)&amp;":O"&amp;(SMALL(IF(checklistPesertaKemenkeu!$AY$6:$AY$1005="Direkomendasikan",ROW($6:$1005)-5),862)+5)),INDEX(checklistPesertaKemenkeu!$M$6:$M$1005,SMALL(IF(checklistPesertaKemenkeu!$AY$6:$AY$1005="Direkomendasikan",ROW($6:$1005)-5),862)))=1),IFERROR(VLOOKUP(INDEX(checklistPesertaKemenkeu!$M$6:$M$1005,SMALL(IF(checklistPesertaKemenkeu!$AY$6:$AY$1005="Direkomendasikan",ROW($6:$1005)-5),862)),KotaKode,2,0),"-"),"")),"")</f>
        <v/>
      </c>
      <c r="J863" t="str">
        <f t="array" aca="1" ref="J863" ca="1">IFERROR(IF(OR(INDEX(checklistPesertaKemenkeu!$N$6:$N$1005,SMALL(IF(checklistPesertaKemenkeu!$AY$6:$AY$1005="Direkomendasikan",ROW($6:$1005)-5),862))="",INDEX(checklistPesertaKemenkeu!$J$6:$J$1005,SMALL(IF(checklistPesertaKemenkeu!$AY$6:$AY$1005="Direkomendasikan",ROW($6:$1005)-5),862))=""),"",IF(AND(COUNTIF(INDIRECT("K_"&amp;MATCH(INDEX(checklistPesertaKemenkeu!$J$6:$J$1005,SMALL(IF(checklistPesertaKemenkeu!$AY$6:$AY$1005="Direkomendasikan",ROW($6:$1005)-5),862)),BidangList,0)),INDEX(checklistPesertaKemenkeu!$N$6:$N$1005,SMALL(IF(checklistPesertaKemenkeu!$AY$6:$AY$1005="Direkomendasikan",ROW($6:$1005)-5),862)))&gt;0,COUNTIF(INDIRECT("'KERTAS KERJA'!K"&amp;(SMALL(IF(checklistPesertaKemenkeu!$AY$6:$AY$1005="Direkomendasikan",ROW($6:$1005)-5),862)+5)&amp;":O"&amp;(SMALL(IF(checklistPesertaKemenkeu!$AY$6:$AY$1005="Direkomendasikan",ROW($6:$1005)-5),862)+5)),INDEX(checklistPesertaKemenkeu!$N$6:$N$1005,SMALL(IF(checklistPesertaKemenkeu!$AY$6:$AY$1005="Direkomendasikan",ROW($6:$1005)-5),862)))=1),IFERROR(VLOOKUP(INDEX(checklistPesertaKemenkeu!$N$6:$N$1005,SMALL(IF(checklistPesertaKemenkeu!$AY$6:$AY$1005="Direkomendasikan",ROW($6:$1005)-5),862)),KotaKode,2,0),"-"),"")),"")</f>
        <v/>
      </c>
      <c r="K863" t="str">
        <f t="array" aca="1" ref="K863" ca="1">IFERROR(IF(OR(INDEX(checklistPesertaKemenkeu!$O$6:$O$1005,SMALL(IF(checklistPesertaKemenkeu!$AY$6:$AY$1005="Direkomendasikan",ROW($6:$1005)-5),862))="",INDEX(checklistPesertaKemenkeu!$J$6:$J$1005,SMALL(IF(checklistPesertaKemenkeu!$AY$6:$AY$1005="Direkomendasikan",ROW($6:$1005)-5),862))=""),"",IF(AND(COUNTIF(INDIRECT("K_"&amp;MATCH(INDEX(checklistPesertaKemenkeu!$J$6:$J$1005,SMALL(IF(checklistPesertaKemenkeu!$AY$6:$AY$1005="Direkomendasikan",ROW($6:$1005)-5),862)),BidangList,0)),INDEX(checklistPesertaKemenkeu!$O$6:$O$1005,SMALL(IF(checklistPesertaKemenkeu!$AY$6:$AY$1005="Direkomendasikan",ROW($6:$1005)-5),862)))&gt;0,COUNTIF(INDIRECT("'KERTAS KERJA'!K"&amp;(SMALL(IF(checklistPesertaKemenkeu!$AY$6:$AY$1005="Direkomendasikan",ROW($6:$1005)-5),862)+5)&amp;":O"&amp;(SMALL(IF(checklistPesertaKemenkeu!$AY$6:$AY$1005="Direkomendasikan",ROW($6:$1005)-5),862)+5)),INDEX(checklistPesertaKemenkeu!$O$6:$O$1005,SMALL(IF(checklistPesertaKemenkeu!$AY$6:$AY$1005="Direkomendasikan",ROW($6:$1005)-5),862)))=1),IFERROR(VLOOKUP(INDEX(checklistPesertaKemenkeu!$O$6:$O$1005,SMALL(IF(checklistPesertaKemenkeu!$AY$6:$AY$1005="Direkomendasikan",ROW($6:$1005)-5),862)),KotaKode,2,0),"-"),"")),"")</f>
        <v/>
      </c>
      <c r="L863" t="str">
        <f t="array" aca="1" ref="L863" ca="1">IFERROR(IF(OR(INDEX(checklistPesertaKemenkeu!$P$6:$P$1005,SMALL(IF(checklistPesertaKemenkeu!$AY$6:$AY$1005="Direkomendasikan",ROW($6:$1005)-5),862))="",INDEX(checklistPesertaKemenkeu!$J$6:$J$1005,SMALL(IF(checklistPesertaKemenkeu!$AY$6:$AY$1005="Direkomendasikan",ROW($6:$1005)-5),862))=""),"",IF(AND(COUNTIF(INDIRECT("K_"&amp;MATCH(INDEX(checklistPesertaKemenkeu!$J$6:$J$1005,SMALL(IF(checklistPesertaKemenkeu!$AY$6:$AY$1005="Direkomendasikan",ROW($6:$1005)-5),862)),BidangList,0)),INDEX(checklistPesertaKemenkeu!$P$6:$P$1005,SMALL(IF(checklistPesertaKemenkeu!$AY$6:$AY$1005="Direkomendasikan",ROW($6:$1005)-5),862)))&gt;0,COUNTIF(INDIRECT("'KERTAS KERJA'!K"&amp;(SMALL(IF(checklistPesertaKemenkeu!$AY$6:$AY$1005="Direkomendasikan",ROW($6:$1005)-5),862)+5)&amp;":O"&amp;(SMALL(IF(checklistPesertaKemenkeu!$AY$6:$AY$1005="Direkomendasikan",ROW($6:$1005)-5),862)+5)),INDEX(checklistPesertaKemenkeu!$P$6:$P$1005,SMALL(IF(checklistPesertaKemenkeu!$AY$6:$AY$1005="Direkomendasikan",ROW($6:$1005)-5),862)))=1),IFERROR(VLOOKUP(INDEX(checklistPesertaKemenkeu!$P$6:$P$1005,SMALL(IF(checklistPesertaKemenkeu!$AY$6:$AY$1005="Direkomendasikan",ROW($6:$1005)-5),862)),KotaKode,2,0),"-"),"")),"")</f>
        <v/>
      </c>
    </row>
    <row r="864" spans="1:12" ht="15" customHeight="1" x14ac:dyDescent="0.2">
      <c r="A864" t="str">
        <f t="shared" si="13"/>
        <v/>
      </c>
      <c r="B864" t="str">
        <v/>
      </c>
      <c r="C864" s="40" t="str">
        <f t="array" ref="C864">IFERROR(INDEX(checklistPesertaKemenkeu!$F$6:$F$1005,SMALL(IF(checklistPesertaKemenkeu!$AY$6:$AY$1005="Direkomendasikan",ROW($6:$1005)-5),863)),"")</f>
        <v/>
      </c>
      <c r="D864" t="str">
        <f t="array" ref="D864">IFERROR(INDEX(checklistPesertaKemenkeu!$G$6:$G$1005,SMALL(IF(checklistPesertaKemenkeu!$AY$6:$AY$1005="Direkomendasikan",ROW($6:$1005)-5),863)),"")</f>
        <v/>
      </c>
      <c r="E864" t="str">
        <f t="array" ref="E864">IFERROR(INDEX(checklistPesertaKemenkeu!$H$6:$H$1005,SMALL(IF(checklistPesertaKemenkeu!$AY$6:$AY$1005="Direkomendasikan",ROW($6:$1005)-5),863)),"")</f>
        <v/>
      </c>
      <c r="F864" t="str">
        <f t="array" ref="F864">IFERROR(INDEX(checklistPesertaKemenkeu!$I$6:$I$1005,SMALL(IF(checklistPesertaKemenkeu!$AY$6:$AY$1005="Direkomendasikan",ROW($6:$1005)-5),863)),"")</f>
        <v/>
      </c>
      <c r="G864" t="str">
        <f t="array" ref="G864">IFERROR(INDEX(checklistPesertaKemenkeu!$J$6:$J$1005,SMALL(IF(checklistPesertaKemenkeu!$AY$6:$AY$1005="Direkomendasikan",ROW($6:$1005)-5),863)),"")</f>
        <v/>
      </c>
      <c r="H864" t="str">
        <f t="array" aca="1" ref="H864" ca="1">IFERROR(IF(OR(INDEX(checklistPesertaKemenkeu!$L$6:$L$1005,SMALL(IF(checklistPesertaKemenkeu!$AY$6:$AY$1005="Direkomendasikan",ROW($6:$1005)-5),863))="",INDEX(checklistPesertaKemenkeu!$J$6:$J$1005,SMALL(IF(checklistPesertaKemenkeu!$AY$6:$AY$1005="Direkomendasikan",ROW($6:$1005)-5),863))=""),"",IF(AND(COUNTIF(INDIRECT("K_"&amp;MATCH(INDEX(checklistPesertaKemenkeu!$J$6:$J$1005,SMALL(IF(checklistPesertaKemenkeu!$AY$6:$AY$1005="Direkomendasikan",ROW($6:$1005)-5),863)),BidangList,0)),INDEX(checklistPesertaKemenkeu!$L$6:$L$1005,SMALL(IF(checklistPesertaKemenkeu!$AY$6:$AY$1005="Direkomendasikan",ROW($6:$1005)-5),863)))&gt;0,COUNTIF(INDIRECT("'KERTAS KERJA'!K"&amp;(SMALL(IF(checklistPesertaKemenkeu!$AY$6:$AY$1005="Direkomendasikan",ROW($6:$1005)-5),863)+5)&amp;":O"&amp;(SMALL(IF(checklistPesertaKemenkeu!$AY$6:$AY$1005="Direkomendasikan",ROW($6:$1005)-5),863)+5)),INDEX(checklistPesertaKemenkeu!$L$6:$L$1005,SMALL(IF(checklistPesertaKemenkeu!$AY$6:$AY$1005="Direkomendasikan",ROW($6:$1005)-5),863)))=1),IFERROR(VLOOKUP(INDEX(checklistPesertaKemenkeu!$L$6:$L$1005,SMALL(IF(checklistPesertaKemenkeu!$AY$6:$AY$1005="Direkomendasikan",ROW($6:$1005)-5),863)),KotaKode,2,0),"-"),"")),"")</f>
        <v/>
      </c>
      <c r="I864" t="str">
        <f t="array" aca="1" ref="I864" ca="1">IFERROR(IF(OR(INDEX(checklistPesertaKemenkeu!$M$6:$M$1005,SMALL(IF(checklistPesertaKemenkeu!$AY$6:$AY$1005="Direkomendasikan",ROW($6:$1005)-5),863))="",INDEX(checklistPesertaKemenkeu!$J$6:$J$1005,SMALL(IF(checklistPesertaKemenkeu!$AY$6:$AY$1005="Direkomendasikan",ROW($6:$1005)-5),863))=""),"",IF(AND(COUNTIF(INDIRECT("K_"&amp;MATCH(INDEX(checklistPesertaKemenkeu!$J$6:$J$1005,SMALL(IF(checklistPesertaKemenkeu!$AY$6:$AY$1005="Direkomendasikan",ROW($6:$1005)-5),863)),BidangList,0)),INDEX(checklistPesertaKemenkeu!$M$6:$M$1005,SMALL(IF(checklistPesertaKemenkeu!$AY$6:$AY$1005="Direkomendasikan",ROW($6:$1005)-5),863)))&gt;0,COUNTIF(INDIRECT("'KERTAS KERJA'!K"&amp;(SMALL(IF(checklistPesertaKemenkeu!$AY$6:$AY$1005="Direkomendasikan",ROW($6:$1005)-5),863)+5)&amp;":O"&amp;(SMALL(IF(checklistPesertaKemenkeu!$AY$6:$AY$1005="Direkomendasikan",ROW($6:$1005)-5),863)+5)),INDEX(checklistPesertaKemenkeu!$M$6:$M$1005,SMALL(IF(checklistPesertaKemenkeu!$AY$6:$AY$1005="Direkomendasikan",ROW($6:$1005)-5),863)))=1),IFERROR(VLOOKUP(INDEX(checklistPesertaKemenkeu!$M$6:$M$1005,SMALL(IF(checklistPesertaKemenkeu!$AY$6:$AY$1005="Direkomendasikan",ROW($6:$1005)-5),863)),KotaKode,2,0),"-"),"")),"")</f>
        <v/>
      </c>
      <c r="J864" t="str">
        <f t="array" aca="1" ref="J864" ca="1">IFERROR(IF(OR(INDEX(checklistPesertaKemenkeu!$N$6:$N$1005,SMALL(IF(checklistPesertaKemenkeu!$AY$6:$AY$1005="Direkomendasikan",ROW($6:$1005)-5),863))="",INDEX(checklistPesertaKemenkeu!$J$6:$J$1005,SMALL(IF(checklistPesertaKemenkeu!$AY$6:$AY$1005="Direkomendasikan",ROW($6:$1005)-5),863))=""),"",IF(AND(COUNTIF(INDIRECT("K_"&amp;MATCH(INDEX(checklistPesertaKemenkeu!$J$6:$J$1005,SMALL(IF(checklistPesertaKemenkeu!$AY$6:$AY$1005="Direkomendasikan",ROW($6:$1005)-5),863)),BidangList,0)),INDEX(checklistPesertaKemenkeu!$N$6:$N$1005,SMALL(IF(checklistPesertaKemenkeu!$AY$6:$AY$1005="Direkomendasikan",ROW($6:$1005)-5),863)))&gt;0,COUNTIF(INDIRECT("'KERTAS KERJA'!K"&amp;(SMALL(IF(checklistPesertaKemenkeu!$AY$6:$AY$1005="Direkomendasikan",ROW($6:$1005)-5),863)+5)&amp;":O"&amp;(SMALL(IF(checklistPesertaKemenkeu!$AY$6:$AY$1005="Direkomendasikan",ROW($6:$1005)-5),863)+5)),INDEX(checklistPesertaKemenkeu!$N$6:$N$1005,SMALL(IF(checklistPesertaKemenkeu!$AY$6:$AY$1005="Direkomendasikan",ROW($6:$1005)-5),863)))=1),IFERROR(VLOOKUP(INDEX(checklistPesertaKemenkeu!$N$6:$N$1005,SMALL(IF(checklistPesertaKemenkeu!$AY$6:$AY$1005="Direkomendasikan",ROW($6:$1005)-5),863)),KotaKode,2,0),"-"),"")),"")</f>
        <v/>
      </c>
      <c r="K864" t="str">
        <f t="array" aca="1" ref="K864" ca="1">IFERROR(IF(OR(INDEX(checklistPesertaKemenkeu!$O$6:$O$1005,SMALL(IF(checklistPesertaKemenkeu!$AY$6:$AY$1005="Direkomendasikan",ROW($6:$1005)-5),863))="",INDEX(checklistPesertaKemenkeu!$J$6:$J$1005,SMALL(IF(checklistPesertaKemenkeu!$AY$6:$AY$1005="Direkomendasikan",ROW($6:$1005)-5),863))=""),"",IF(AND(COUNTIF(INDIRECT("K_"&amp;MATCH(INDEX(checklistPesertaKemenkeu!$J$6:$J$1005,SMALL(IF(checklistPesertaKemenkeu!$AY$6:$AY$1005="Direkomendasikan",ROW($6:$1005)-5),863)),BidangList,0)),INDEX(checklistPesertaKemenkeu!$O$6:$O$1005,SMALL(IF(checklistPesertaKemenkeu!$AY$6:$AY$1005="Direkomendasikan",ROW($6:$1005)-5),863)))&gt;0,COUNTIF(INDIRECT("'KERTAS KERJA'!K"&amp;(SMALL(IF(checklistPesertaKemenkeu!$AY$6:$AY$1005="Direkomendasikan",ROW($6:$1005)-5),863)+5)&amp;":O"&amp;(SMALL(IF(checklistPesertaKemenkeu!$AY$6:$AY$1005="Direkomendasikan",ROW($6:$1005)-5),863)+5)),INDEX(checklistPesertaKemenkeu!$O$6:$O$1005,SMALL(IF(checklistPesertaKemenkeu!$AY$6:$AY$1005="Direkomendasikan",ROW($6:$1005)-5),863)))=1),IFERROR(VLOOKUP(INDEX(checklistPesertaKemenkeu!$O$6:$O$1005,SMALL(IF(checklistPesertaKemenkeu!$AY$6:$AY$1005="Direkomendasikan",ROW($6:$1005)-5),863)),KotaKode,2,0),"-"),"")),"")</f>
        <v/>
      </c>
      <c r="L864" t="str">
        <f t="array" aca="1" ref="L864" ca="1">IFERROR(IF(OR(INDEX(checklistPesertaKemenkeu!$P$6:$P$1005,SMALL(IF(checklistPesertaKemenkeu!$AY$6:$AY$1005="Direkomendasikan",ROW($6:$1005)-5),863))="",INDEX(checklistPesertaKemenkeu!$J$6:$J$1005,SMALL(IF(checklistPesertaKemenkeu!$AY$6:$AY$1005="Direkomendasikan",ROW($6:$1005)-5),863))=""),"",IF(AND(COUNTIF(INDIRECT("K_"&amp;MATCH(INDEX(checklistPesertaKemenkeu!$J$6:$J$1005,SMALL(IF(checklistPesertaKemenkeu!$AY$6:$AY$1005="Direkomendasikan",ROW($6:$1005)-5),863)),BidangList,0)),INDEX(checklistPesertaKemenkeu!$P$6:$P$1005,SMALL(IF(checklistPesertaKemenkeu!$AY$6:$AY$1005="Direkomendasikan",ROW($6:$1005)-5),863)))&gt;0,COUNTIF(INDIRECT("'KERTAS KERJA'!K"&amp;(SMALL(IF(checklistPesertaKemenkeu!$AY$6:$AY$1005="Direkomendasikan",ROW($6:$1005)-5),863)+5)&amp;":O"&amp;(SMALL(IF(checklistPesertaKemenkeu!$AY$6:$AY$1005="Direkomendasikan",ROW($6:$1005)-5),863)+5)),INDEX(checklistPesertaKemenkeu!$P$6:$P$1005,SMALL(IF(checklistPesertaKemenkeu!$AY$6:$AY$1005="Direkomendasikan",ROW($6:$1005)-5),863)))=1),IFERROR(VLOOKUP(INDEX(checklistPesertaKemenkeu!$P$6:$P$1005,SMALL(IF(checklistPesertaKemenkeu!$AY$6:$AY$1005="Direkomendasikan",ROW($6:$1005)-5),863)),KotaKode,2,0),"-"),"")),"")</f>
        <v/>
      </c>
    </row>
    <row r="865" spans="1:12" ht="15" customHeight="1" x14ac:dyDescent="0.2">
      <c r="A865" t="str">
        <f t="shared" si="13"/>
        <v/>
      </c>
      <c r="B865" t="str">
        <v/>
      </c>
      <c r="C865" s="40" t="str">
        <f t="array" ref="C865">IFERROR(INDEX(checklistPesertaKemenkeu!$F$6:$F$1005,SMALL(IF(checklistPesertaKemenkeu!$AY$6:$AY$1005="Direkomendasikan",ROW($6:$1005)-5),864)),"")</f>
        <v/>
      </c>
      <c r="D865" t="str">
        <f t="array" ref="D865">IFERROR(INDEX(checklistPesertaKemenkeu!$G$6:$G$1005,SMALL(IF(checklistPesertaKemenkeu!$AY$6:$AY$1005="Direkomendasikan",ROW($6:$1005)-5),864)),"")</f>
        <v/>
      </c>
      <c r="E865" t="str">
        <f t="array" ref="E865">IFERROR(INDEX(checklistPesertaKemenkeu!$H$6:$H$1005,SMALL(IF(checklistPesertaKemenkeu!$AY$6:$AY$1005="Direkomendasikan",ROW($6:$1005)-5),864)),"")</f>
        <v/>
      </c>
      <c r="F865" t="str">
        <f t="array" ref="F865">IFERROR(INDEX(checklistPesertaKemenkeu!$I$6:$I$1005,SMALL(IF(checklistPesertaKemenkeu!$AY$6:$AY$1005="Direkomendasikan",ROW($6:$1005)-5),864)),"")</f>
        <v/>
      </c>
      <c r="G865" t="str">
        <f t="array" ref="G865">IFERROR(INDEX(checklistPesertaKemenkeu!$J$6:$J$1005,SMALL(IF(checklistPesertaKemenkeu!$AY$6:$AY$1005="Direkomendasikan",ROW($6:$1005)-5),864)),"")</f>
        <v/>
      </c>
      <c r="H865" t="str">
        <f t="array" aca="1" ref="H865" ca="1">IFERROR(IF(OR(INDEX(checklistPesertaKemenkeu!$L$6:$L$1005,SMALL(IF(checklistPesertaKemenkeu!$AY$6:$AY$1005="Direkomendasikan",ROW($6:$1005)-5),864))="",INDEX(checklistPesertaKemenkeu!$J$6:$J$1005,SMALL(IF(checklistPesertaKemenkeu!$AY$6:$AY$1005="Direkomendasikan",ROW($6:$1005)-5),864))=""),"",IF(AND(COUNTIF(INDIRECT("K_"&amp;MATCH(INDEX(checklistPesertaKemenkeu!$J$6:$J$1005,SMALL(IF(checklistPesertaKemenkeu!$AY$6:$AY$1005="Direkomendasikan",ROW($6:$1005)-5),864)),BidangList,0)),INDEX(checklistPesertaKemenkeu!$L$6:$L$1005,SMALL(IF(checklistPesertaKemenkeu!$AY$6:$AY$1005="Direkomendasikan",ROW($6:$1005)-5),864)))&gt;0,COUNTIF(INDIRECT("'KERTAS KERJA'!K"&amp;(SMALL(IF(checklistPesertaKemenkeu!$AY$6:$AY$1005="Direkomendasikan",ROW($6:$1005)-5),864)+5)&amp;":O"&amp;(SMALL(IF(checklistPesertaKemenkeu!$AY$6:$AY$1005="Direkomendasikan",ROW($6:$1005)-5),864)+5)),INDEX(checklistPesertaKemenkeu!$L$6:$L$1005,SMALL(IF(checklistPesertaKemenkeu!$AY$6:$AY$1005="Direkomendasikan",ROW($6:$1005)-5),864)))=1),IFERROR(VLOOKUP(INDEX(checklistPesertaKemenkeu!$L$6:$L$1005,SMALL(IF(checklistPesertaKemenkeu!$AY$6:$AY$1005="Direkomendasikan",ROW($6:$1005)-5),864)),KotaKode,2,0),"-"),"")),"")</f>
        <v/>
      </c>
      <c r="I865" t="str">
        <f t="array" aca="1" ref="I865" ca="1">IFERROR(IF(OR(INDEX(checklistPesertaKemenkeu!$M$6:$M$1005,SMALL(IF(checklistPesertaKemenkeu!$AY$6:$AY$1005="Direkomendasikan",ROW($6:$1005)-5),864))="",INDEX(checklistPesertaKemenkeu!$J$6:$J$1005,SMALL(IF(checklistPesertaKemenkeu!$AY$6:$AY$1005="Direkomendasikan",ROW($6:$1005)-5),864))=""),"",IF(AND(COUNTIF(INDIRECT("K_"&amp;MATCH(INDEX(checklistPesertaKemenkeu!$J$6:$J$1005,SMALL(IF(checklistPesertaKemenkeu!$AY$6:$AY$1005="Direkomendasikan",ROW($6:$1005)-5),864)),BidangList,0)),INDEX(checklistPesertaKemenkeu!$M$6:$M$1005,SMALL(IF(checklistPesertaKemenkeu!$AY$6:$AY$1005="Direkomendasikan",ROW($6:$1005)-5),864)))&gt;0,COUNTIF(INDIRECT("'KERTAS KERJA'!K"&amp;(SMALL(IF(checklistPesertaKemenkeu!$AY$6:$AY$1005="Direkomendasikan",ROW($6:$1005)-5),864)+5)&amp;":O"&amp;(SMALL(IF(checklistPesertaKemenkeu!$AY$6:$AY$1005="Direkomendasikan",ROW($6:$1005)-5),864)+5)),INDEX(checklistPesertaKemenkeu!$M$6:$M$1005,SMALL(IF(checklistPesertaKemenkeu!$AY$6:$AY$1005="Direkomendasikan",ROW($6:$1005)-5),864)))=1),IFERROR(VLOOKUP(INDEX(checklistPesertaKemenkeu!$M$6:$M$1005,SMALL(IF(checklistPesertaKemenkeu!$AY$6:$AY$1005="Direkomendasikan",ROW($6:$1005)-5),864)),KotaKode,2,0),"-"),"")),"")</f>
        <v/>
      </c>
      <c r="J865" t="str">
        <f t="array" aca="1" ref="J865" ca="1">IFERROR(IF(OR(INDEX(checklistPesertaKemenkeu!$N$6:$N$1005,SMALL(IF(checklistPesertaKemenkeu!$AY$6:$AY$1005="Direkomendasikan",ROW($6:$1005)-5),864))="",INDEX(checklistPesertaKemenkeu!$J$6:$J$1005,SMALL(IF(checklistPesertaKemenkeu!$AY$6:$AY$1005="Direkomendasikan",ROW($6:$1005)-5),864))=""),"",IF(AND(COUNTIF(INDIRECT("K_"&amp;MATCH(INDEX(checklistPesertaKemenkeu!$J$6:$J$1005,SMALL(IF(checklistPesertaKemenkeu!$AY$6:$AY$1005="Direkomendasikan",ROW($6:$1005)-5),864)),BidangList,0)),INDEX(checklistPesertaKemenkeu!$N$6:$N$1005,SMALL(IF(checklistPesertaKemenkeu!$AY$6:$AY$1005="Direkomendasikan",ROW($6:$1005)-5),864)))&gt;0,COUNTIF(INDIRECT("'KERTAS KERJA'!K"&amp;(SMALL(IF(checklistPesertaKemenkeu!$AY$6:$AY$1005="Direkomendasikan",ROW($6:$1005)-5),864)+5)&amp;":O"&amp;(SMALL(IF(checklistPesertaKemenkeu!$AY$6:$AY$1005="Direkomendasikan",ROW($6:$1005)-5),864)+5)),INDEX(checklistPesertaKemenkeu!$N$6:$N$1005,SMALL(IF(checklistPesertaKemenkeu!$AY$6:$AY$1005="Direkomendasikan",ROW($6:$1005)-5),864)))=1),IFERROR(VLOOKUP(INDEX(checklistPesertaKemenkeu!$N$6:$N$1005,SMALL(IF(checklistPesertaKemenkeu!$AY$6:$AY$1005="Direkomendasikan",ROW($6:$1005)-5),864)),KotaKode,2,0),"-"),"")),"")</f>
        <v/>
      </c>
      <c r="K865" t="str">
        <f t="array" aca="1" ref="K865" ca="1">IFERROR(IF(OR(INDEX(checklistPesertaKemenkeu!$O$6:$O$1005,SMALL(IF(checklistPesertaKemenkeu!$AY$6:$AY$1005="Direkomendasikan",ROW($6:$1005)-5),864))="",INDEX(checklistPesertaKemenkeu!$J$6:$J$1005,SMALL(IF(checklistPesertaKemenkeu!$AY$6:$AY$1005="Direkomendasikan",ROW($6:$1005)-5),864))=""),"",IF(AND(COUNTIF(INDIRECT("K_"&amp;MATCH(INDEX(checklistPesertaKemenkeu!$J$6:$J$1005,SMALL(IF(checklistPesertaKemenkeu!$AY$6:$AY$1005="Direkomendasikan",ROW($6:$1005)-5),864)),BidangList,0)),INDEX(checklistPesertaKemenkeu!$O$6:$O$1005,SMALL(IF(checklistPesertaKemenkeu!$AY$6:$AY$1005="Direkomendasikan",ROW($6:$1005)-5),864)))&gt;0,COUNTIF(INDIRECT("'KERTAS KERJA'!K"&amp;(SMALL(IF(checklistPesertaKemenkeu!$AY$6:$AY$1005="Direkomendasikan",ROW($6:$1005)-5),864)+5)&amp;":O"&amp;(SMALL(IF(checklistPesertaKemenkeu!$AY$6:$AY$1005="Direkomendasikan",ROW($6:$1005)-5),864)+5)),INDEX(checklistPesertaKemenkeu!$O$6:$O$1005,SMALL(IF(checklistPesertaKemenkeu!$AY$6:$AY$1005="Direkomendasikan",ROW($6:$1005)-5),864)))=1),IFERROR(VLOOKUP(INDEX(checklistPesertaKemenkeu!$O$6:$O$1005,SMALL(IF(checklistPesertaKemenkeu!$AY$6:$AY$1005="Direkomendasikan",ROW($6:$1005)-5),864)),KotaKode,2,0),"-"),"")),"")</f>
        <v/>
      </c>
      <c r="L865" t="str">
        <f t="array" aca="1" ref="L865" ca="1">IFERROR(IF(OR(INDEX(checklistPesertaKemenkeu!$P$6:$P$1005,SMALL(IF(checklistPesertaKemenkeu!$AY$6:$AY$1005="Direkomendasikan",ROW($6:$1005)-5),864))="",INDEX(checklistPesertaKemenkeu!$J$6:$J$1005,SMALL(IF(checklistPesertaKemenkeu!$AY$6:$AY$1005="Direkomendasikan",ROW($6:$1005)-5),864))=""),"",IF(AND(COUNTIF(INDIRECT("K_"&amp;MATCH(INDEX(checklistPesertaKemenkeu!$J$6:$J$1005,SMALL(IF(checklistPesertaKemenkeu!$AY$6:$AY$1005="Direkomendasikan",ROW($6:$1005)-5),864)),BidangList,0)),INDEX(checklistPesertaKemenkeu!$P$6:$P$1005,SMALL(IF(checklistPesertaKemenkeu!$AY$6:$AY$1005="Direkomendasikan",ROW($6:$1005)-5),864)))&gt;0,COUNTIF(INDIRECT("'KERTAS KERJA'!K"&amp;(SMALL(IF(checklistPesertaKemenkeu!$AY$6:$AY$1005="Direkomendasikan",ROW($6:$1005)-5),864)+5)&amp;":O"&amp;(SMALL(IF(checklistPesertaKemenkeu!$AY$6:$AY$1005="Direkomendasikan",ROW($6:$1005)-5),864)+5)),INDEX(checklistPesertaKemenkeu!$P$6:$P$1005,SMALL(IF(checklistPesertaKemenkeu!$AY$6:$AY$1005="Direkomendasikan",ROW($6:$1005)-5),864)))=1),IFERROR(VLOOKUP(INDEX(checklistPesertaKemenkeu!$P$6:$P$1005,SMALL(IF(checklistPesertaKemenkeu!$AY$6:$AY$1005="Direkomendasikan",ROW($6:$1005)-5),864)),KotaKode,2,0),"-"),"")),"")</f>
        <v/>
      </c>
    </row>
    <row r="866" spans="1:12" ht="15" customHeight="1" x14ac:dyDescent="0.2">
      <c r="A866" t="str">
        <f t="shared" si="13"/>
        <v/>
      </c>
      <c r="B866" t="str">
        <v/>
      </c>
      <c r="C866" s="40" t="str">
        <f t="array" ref="C866">IFERROR(INDEX(checklistPesertaKemenkeu!$F$6:$F$1005,SMALL(IF(checklistPesertaKemenkeu!$AY$6:$AY$1005="Direkomendasikan",ROW($6:$1005)-5),865)),"")</f>
        <v/>
      </c>
      <c r="D866" t="str">
        <f t="array" ref="D866">IFERROR(INDEX(checklistPesertaKemenkeu!$G$6:$G$1005,SMALL(IF(checklistPesertaKemenkeu!$AY$6:$AY$1005="Direkomendasikan",ROW($6:$1005)-5),865)),"")</f>
        <v/>
      </c>
      <c r="E866" t="str">
        <f t="array" ref="E866">IFERROR(INDEX(checklistPesertaKemenkeu!$H$6:$H$1005,SMALL(IF(checklistPesertaKemenkeu!$AY$6:$AY$1005="Direkomendasikan",ROW($6:$1005)-5),865)),"")</f>
        <v/>
      </c>
      <c r="F866" t="str">
        <f t="array" ref="F866">IFERROR(INDEX(checklistPesertaKemenkeu!$I$6:$I$1005,SMALL(IF(checklistPesertaKemenkeu!$AY$6:$AY$1005="Direkomendasikan",ROW($6:$1005)-5),865)),"")</f>
        <v/>
      </c>
      <c r="G866" t="str">
        <f t="array" ref="G866">IFERROR(INDEX(checklistPesertaKemenkeu!$J$6:$J$1005,SMALL(IF(checklistPesertaKemenkeu!$AY$6:$AY$1005="Direkomendasikan",ROW($6:$1005)-5),865)),"")</f>
        <v/>
      </c>
      <c r="H866" t="str">
        <f t="array" aca="1" ref="H866" ca="1">IFERROR(IF(OR(INDEX(checklistPesertaKemenkeu!$L$6:$L$1005,SMALL(IF(checklistPesertaKemenkeu!$AY$6:$AY$1005="Direkomendasikan",ROW($6:$1005)-5),865))="",INDEX(checklistPesertaKemenkeu!$J$6:$J$1005,SMALL(IF(checklistPesertaKemenkeu!$AY$6:$AY$1005="Direkomendasikan",ROW($6:$1005)-5),865))=""),"",IF(AND(COUNTIF(INDIRECT("K_"&amp;MATCH(INDEX(checklistPesertaKemenkeu!$J$6:$J$1005,SMALL(IF(checklistPesertaKemenkeu!$AY$6:$AY$1005="Direkomendasikan",ROW($6:$1005)-5),865)),BidangList,0)),INDEX(checklistPesertaKemenkeu!$L$6:$L$1005,SMALL(IF(checklistPesertaKemenkeu!$AY$6:$AY$1005="Direkomendasikan",ROW($6:$1005)-5),865)))&gt;0,COUNTIF(INDIRECT("'KERTAS KERJA'!K"&amp;(SMALL(IF(checklistPesertaKemenkeu!$AY$6:$AY$1005="Direkomendasikan",ROW($6:$1005)-5),865)+5)&amp;":O"&amp;(SMALL(IF(checklistPesertaKemenkeu!$AY$6:$AY$1005="Direkomendasikan",ROW($6:$1005)-5),865)+5)),INDEX(checklistPesertaKemenkeu!$L$6:$L$1005,SMALL(IF(checklistPesertaKemenkeu!$AY$6:$AY$1005="Direkomendasikan",ROW($6:$1005)-5),865)))=1),IFERROR(VLOOKUP(INDEX(checklistPesertaKemenkeu!$L$6:$L$1005,SMALL(IF(checklistPesertaKemenkeu!$AY$6:$AY$1005="Direkomendasikan",ROW($6:$1005)-5),865)),KotaKode,2,0),"-"),"")),"")</f>
        <v/>
      </c>
      <c r="I866" t="str">
        <f t="array" aca="1" ref="I866" ca="1">IFERROR(IF(OR(INDEX(checklistPesertaKemenkeu!$M$6:$M$1005,SMALL(IF(checklistPesertaKemenkeu!$AY$6:$AY$1005="Direkomendasikan",ROW($6:$1005)-5),865))="",INDEX(checklistPesertaKemenkeu!$J$6:$J$1005,SMALL(IF(checklistPesertaKemenkeu!$AY$6:$AY$1005="Direkomendasikan",ROW($6:$1005)-5),865))=""),"",IF(AND(COUNTIF(INDIRECT("K_"&amp;MATCH(INDEX(checklistPesertaKemenkeu!$J$6:$J$1005,SMALL(IF(checklistPesertaKemenkeu!$AY$6:$AY$1005="Direkomendasikan",ROW($6:$1005)-5),865)),BidangList,0)),INDEX(checklistPesertaKemenkeu!$M$6:$M$1005,SMALL(IF(checklistPesertaKemenkeu!$AY$6:$AY$1005="Direkomendasikan",ROW($6:$1005)-5),865)))&gt;0,COUNTIF(INDIRECT("'KERTAS KERJA'!K"&amp;(SMALL(IF(checklistPesertaKemenkeu!$AY$6:$AY$1005="Direkomendasikan",ROW($6:$1005)-5),865)+5)&amp;":O"&amp;(SMALL(IF(checklistPesertaKemenkeu!$AY$6:$AY$1005="Direkomendasikan",ROW($6:$1005)-5),865)+5)),INDEX(checklistPesertaKemenkeu!$M$6:$M$1005,SMALL(IF(checklistPesertaKemenkeu!$AY$6:$AY$1005="Direkomendasikan",ROW($6:$1005)-5),865)))=1),IFERROR(VLOOKUP(INDEX(checklistPesertaKemenkeu!$M$6:$M$1005,SMALL(IF(checklistPesertaKemenkeu!$AY$6:$AY$1005="Direkomendasikan",ROW($6:$1005)-5),865)),KotaKode,2,0),"-"),"")),"")</f>
        <v/>
      </c>
      <c r="J866" t="str">
        <f t="array" aca="1" ref="J866" ca="1">IFERROR(IF(OR(INDEX(checklistPesertaKemenkeu!$N$6:$N$1005,SMALL(IF(checklistPesertaKemenkeu!$AY$6:$AY$1005="Direkomendasikan",ROW($6:$1005)-5),865))="",INDEX(checklistPesertaKemenkeu!$J$6:$J$1005,SMALL(IF(checklistPesertaKemenkeu!$AY$6:$AY$1005="Direkomendasikan",ROW($6:$1005)-5),865))=""),"",IF(AND(COUNTIF(INDIRECT("K_"&amp;MATCH(INDEX(checklistPesertaKemenkeu!$J$6:$J$1005,SMALL(IF(checklistPesertaKemenkeu!$AY$6:$AY$1005="Direkomendasikan",ROW($6:$1005)-5),865)),BidangList,0)),INDEX(checklistPesertaKemenkeu!$N$6:$N$1005,SMALL(IF(checklistPesertaKemenkeu!$AY$6:$AY$1005="Direkomendasikan",ROW($6:$1005)-5),865)))&gt;0,COUNTIF(INDIRECT("'KERTAS KERJA'!K"&amp;(SMALL(IF(checklistPesertaKemenkeu!$AY$6:$AY$1005="Direkomendasikan",ROW($6:$1005)-5),865)+5)&amp;":O"&amp;(SMALL(IF(checklistPesertaKemenkeu!$AY$6:$AY$1005="Direkomendasikan",ROW($6:$1005)-5),865)+5)),INDEX(checklistPesertaKemenkeu!$N$6:$N$1005,SMALL(IF(checklistPesertaKemenkeu!$AY$6:$AY$1005="Direkomendasikan",ROW($6:$1005)-5),865)))=1),IFERROR(VLOOKUP(INDEX(checklistPesertaKemenkeu!$N$6:$N$1005,SMALL(IF(checklistPesertaKemenkeu!$AY$6:$AY$1005="Direkomendasikan",ROW($6:$1005)-5),865)),KotaKode,2,0),"-"),"")),"")</f>
        <v/>
      </c>
      <c r="K866" t="str">
        <f t="array" aca="1" ref="K866" ca="1">IFERROR(IF(OR(INDEX(checklistPesertaKemenkeu!$O$6:$O$1005,SMALL(IF(checklistPesertaKemenkeu!$AY$6:$AY$1005="Direkomendasikan",ROW($6:$1005)-5),865))="",INDEX(checklistPesertaKemenkeu!$J$6:$J$1005,SMALL(IF(checklistPesertaKemenkeu!$AY$6:$AY$1005="Direkomendasikan",ROW($6:$1005)-5),865))=""),"",IF(AND(COUNTIF(INDIRECT("K_"&amp;MATCH(INDEX(checklistPesertaKemenkeu!$J$6:$J$1005,SMALL(IF(checklistPesertaKemenkeu!$AY$6:$AY$1005="Direkomendasikan",ROW($6:$1005)-5),865)),BidangList,0)),INDEX(checklistPesertaKemenkeu!$O$6:$O$1005,SMALL(IF(checklistPesertaKemenkeu!$AY$6:$AY$1005="Direkomendasikan",ROW($6:$1005)-5),865)))&gt;0,COUNTIF(INDIRECT("'KERTAS KERJA'!K"&amp;(SMALL(IF(checklistPesertaKemenkeu!$AY$6:$AY$1005="Direkomendasikan",ROW($6:$1005)-5),865)+5)&amp;":O"&amp;(SMALL(IF(checklistPesertaKemenkeu!$AY$6:$AY$1005="Direkomendasikan",ROW($6:$1005)-5),865)+5)),INDEX(checklistPesertaKemenkeu!$O$6:$O$1005,SMALL(IF(checklistPesertaKemenkeu!$AY$6:$AY$1005="Direkomendasikan",ROW($6:$1005)-5),865)))=1),IFERROR(VLOOKUP(INDEX(checklistPesertaKemenkeu!$O$6:$O$1005,SMALL(IF(checklistPesertaKemenkeu!$AY$6:$AY$1005="Direkomendasikan",ROW($6:$1005)-5),865)),KotaKode,2,0),"-"),"")),"")</f>
        <v/>
      </c>
      <c r="L866" t="str">
        <f t="array" aca="1" ref="L866" ca="1">IFERROR(IF(OR(INDEX(checklistPesertaKemenkeu!$P$6:$P$1005,SMALL(IF(checklistPesertaKemenkeu!$AY$6:$AY$1005="Direkomendasikan",ROW($6:$1005)-5),865))="",INDEX(checklistPesertaKemenkeu!$J$6:$J$1005,SMALL(IF(checklistPesertaKemenkeu!$AY$6:$AY$1005="Direkomendasikan",ROW($6:$1005)-5),865))=""),"",IF(AND(COUNTIF(INDIRECT("K_"&amp;MATCH(INDEX(checklistPesertaKemenkeu!$J$6:$J$1005,SMALL(IF(checklistPesertaKemenkeu!$AY$6:$AY$1005="Direkomendasikan",ROW($6:$1005)-5),865)),BidangList,0)),INDEX(checklistPesertaKemenkeu!$P$6:$P$1005,SMALL(IF(checklistPesertaKemenkeu!$AY$6:$AY$1005="Direkomendasikan",ROW($6:$1005)-5),865)))&gt;0,COUNTIF(INDIRECT("'KERTAS KERJA'!K"&amp;(SMALL(IF(checklistPesertaKemenkeu!$AY$6:$AY$1005="Direkomendasikan",ROW($6:$1005)-5),865)+5)&amp;":O"&amp;(SMALL(IF(checklistPesertaKemenkeu!$AY$6:$AY$1005="Direkomendasikan",ROW($6:$1005)-5),865)+5)),INDEX(checklistPesertaKemenkeu!$P$6:$P$1005,SMALL(IF(checklistPesertaKemenkeu!$AY$6:$AY$1005="Direkomendasikan",ROW($6:$1005)-5),865)))=1),IFERROR(VLOOKUP(INDEX(checklistPesertaKemenkeu!$P$6:$P$1005,SMALL(IF(checklistPesertaKemenkeu!$AY$6:$AY$1005="Direkomendasikan",ROW($6:$1005)-5),865)),KotaKode,2,0),"-"),"")),"")</f>
        <v/>
      </c>
    </row>
    <row r="867" spans="1:12" ht="15" customHeight="1" x14ac:dyDescent="0.2">
      <c r="A867" t="str">
        <f t="shared" si="13"/>
        <v/>
      </c>
      <c r="B867" t="str">
        <v/>
      </c>
      <c r="C867" s="40" t="str">
        <f t="array" ref="C867">IFERROR(INDEX(checklistPesertaKemenkeu!$F$6:$F$1005,SMALL(IF(checklistPesertaKemenkeu!$AY$6:$AY$1005="Direkomendasikan",ROW($6:$1005)-5),866)),"")</f>
        <v/>
      </c>
      <c r="D867" t="str">
        <f t="array" ref="D867">IFERROR(INDEX(checklistPesertaKemenkeu!$G$6:$G$1005,SMALL(IF(checklistPesertaKemenkeu!$AY$6:$AY$1005="Direkomendasikan",ROW($6:$1005)-5),866)),"")</f>
        <v/>
      </c>
      <c r="E867" t="str">
        <f t="array" ref="E867">IFERROR(INDEX(checklistPesertaKemenkeu!$H$6:$H$1005,SMALL(IF(checklistPesertaKemenkeu!$AY$6:$AY$1005="Direkomendasikan",ROW($6:$1005)-5),866)),"")</f>
        <v/>
      </c>
      <c r="F867" t="str">
        <f t="array" ref="F867">IFERROR(INDEX(checklistPesertaKemenkeu!$I$6:$I$1005,SMALL(IF(checklistPesertaKemenkeu!$AY$6:$AY$1005="Direkomendasikan",ROW($6:$1005)-5),866)),"")</f>
        <v/>
      </c>
      <c r="G867" t="str">
        <f t="array" ref="G867">IFERROR(INDEX(checklistPesertaKemenkeu!$J$6:$J$1005,SMALL(IF(checklistPesertaKemenkeu!$AY$6:$AY$1005="Direkomendasikan",ROW($6:$1005)-5),866)),"")</f>
        <v/>
      </c>
      <c r="H867" t="str">
        <f t="array" aca="1" ref="H867" ca="1">IFERROR(IF(OR(INDEX(checklistPesertaKemenkeu!$L$6:$L$1005,SMALL(IF(checklistPesertaKemenkeu!$AY$6:$AY$1005="Direkomendasikan",ROW($6:$1005)-5),866))="",INDEX(checklistPesertaKemenkeu!$J$6:$J$1005,SMALL(IF(checklistPesertaKemenkeu!$AY$6:$AY$1005="Direkomendasikan",ROW($6:$1005)-5),866))=""),"",IF(AND(COUNTIF(INDIRECT("K_"&amp;MATCH(INDEX(checklistPesertaKemenkeu!$J$6:$J$1005,SMALL(IF(checklistPesertaKemenkeu!$AY$6:$AY$1005="Direkomendasikan",ROW($6:$1005)-5),866)),BidangList,0)),INDEX(checklistPesertaKemenkeu!$L$6:$L$1005,SMALL(IF(checklistPesertaKemenkeu!$AY$6:$AY$1005="Direkomendasikan",ROW($6:$1005)-5),866)))&gt;0,COUNTIF(INDIRECT("'KERTAS KERJA'!K"&amp;(SMALL(IF(checklistPesertaKemenkeu!$AY$6:$AY$1005="Direkomendasikan",ROW($6:$1005)-5),866)+5)&amp;":O"&amp;(SMALL(IF(checklistPesertaKemenkeu!$AY$6:$AY$1005="Direkomendasikan",ROW($6:$1005)-5),866)+5)),INDEX(checklistPesertaKemenkeu!$L$6:$L$1005,SMALL(IF(checklistPesertaKemenkeu!$AY$6:$AY$1005="Direkomendasikan",ROW($6:$1005)-5),866)))=1),IFERROR(VLOOKUP(INDEX(checklistPesertaKemenkeu!$L$6:$L$1005,SMALL(IF(checklistPesertaKemenkeu!$AY$6:$AY$1005="Direkomendasikan",ROW($6:$1005)-5),866)),KotaKode,2,0),"-"),"")),"")</f>
        <v/>
      </c>
      <c r="I867" t="str">
        <f t="array" aca="1" ref="I867" ca="1">IFERROR(IF(OR(INDEX(checklistPesertaKemenkeu!$M$6:$M$1005,SMALL(IF(checklistPesertaKemenkeu!$AY$6:$AY$1005="Direkomendasikan",ROW($6:$1005)-5),866))="",INDEX(checklistPesertaKemenkeu!$J$6:$J$1005,SMALL(IF(checklistPesertaKemenkeu!$AY$6:$AY$1005="Direkomendasikan",ROW($6:$1005)-5),866))=""),"",IF(AND(COUNTIF(INDIRECT("K_"&amp;MATCH(INDEX(checklistPesertaKemenkeu!$J$6:$J$1005,SMALL(IF(checklistPesertaKemenkeu!$AY$6:$AY$1005="Direkomendasikan",ROW($6:$1005)-5),866)),BidangList,0)),INDEX(checklistPesertaKemenkeu!$M$6:$M$1005,SMALL(IF(checklistPesertaKemenkeu!$AY$6:$AY$1005="Direkomendasikan",ROW($6:$1005)-5),866)))&gt;0,COUNTIF(INDIRECT("'KERTAS KERJA'!K"&amp;(SMALL(IF(checklistPesertaKemenkeu!$AY$6:$AY$1005="Direkomendasikan",ROW($6:$1005)-5),866)+5)&amp;":O"&amp;(SMALL(IF(checklistPesertaKemenkeu!$AY$6:$AY$1005="Direkomendasikan",ROW($6:$1005)-5),866)+5)),INDEX(checklistPesertaKemenkeu!$M$6:$M$1005,SMALL(IF(checklistPesertaKemenkeu!$AY$6:$AY$1005="Direkomendasikan",ROW($6:$1005)-5),866)))=1),IFERROR(VLOOKUP(INDEX(checklistPesertaKemenkeu!$M$6:$M$1005,SMALL(IF(checklistPesertaKemenkeu!$AY$6:$AY$1005="Direkomendasikan",ROW($6:$1005)-5),866)),KotaKode,2,0),"-"),"")),"")</f>
        <v/>
      </c>
      <c r="J867" t="str">
        <f t="array" aca="1" ref="J867" ca="1">IFERROR(IF(OR(INDEX(checklistPesertaKemenkeu!$N$6:$N$1005,SMALL(IF(checklistPesertaKemenkeu!$AY$6:$AY$1005="Direkomendasikan",ROW($6:$1005)-5),866))="",INDEX(checklistPesertaKemenkeu!$J$6:$J$1005,SMALL(IF(checklistPesertaKemenkeu!$AY$6:$AY$1005="Direkomendasikan",ROW($6:$1005)-5),866))=""),"",IF(AND(COUNTIF(INDIRECT("K_"&amp;MATCH(INDEX(checklistPesertaKemenkeu!$J$6:$J$1005,SMALL(IF(checklistPesertaKemenkeu!$AY$6:$AY$1005="Direkomendasikan",ROW($6:$1005)-5),866)),BidangList,0)),INDEX(checklistPesertaKemenkeu!$N$6:$N$1005,SMALL(IF(checklistPesertaKemenkeu!$AY$6:$AY$1005="Direkomendasikan",ROW($6:$1005)-5),866)))&gt;0,COUNTIF(INDIRECT("'KERTAS KERJA'!K"&amp;(SMALL(IF(checklistPesertaKemenkeu!$AY$6:$AY$1005="Direkomendasikan",ROW($6:$1005)-5),866)+5)&amp;":O"&amp;(SMALL(IF(checklistPesertaKemenkeu!$AY$6:$AY$1005="Direkomendasikan",ROW($6:$1005)-5),866)+5)),INDEX(checklistPesertaKemenkeu!$N$6:$N$1005,SMALL(IF(checklistPesertaKemenkeu!$AY$6:$AY$1005="Direkomendasikan",ROW($6:$1005)-5),866)))=1),IFERROR(VLOOKUP(INDEX(checklistPesertaKemenkeu!$N$6:$N$1005,SMALL(IF(checklistPesertaKemenkeu!$AY$6:$AY$1005="Direkomendasikan",ROW($6:$1005)-5),866)),KotaKode,2,0),"-"),"")),"")</f>
        <v/>
      </c>
      <c r="K867" t="str">
        <f t="array" aca="1" ref="K867" ca="1">IFERROR(IF(OR(INDEX(checklistPesertaKemenkeu!$O$6:$O$1005,SMALL(IF(checklistPesertaKemenkeu!$AY$6:$AY$1005="Direkomendasikan",ROW($6:$1005)-5),866))="",INDEX(checklistPesertaKemenkeu!$J$6:$J$1005,SMALL(IF(checklistPesertaKemenkeu!$AY$6:$AY$1005="Direkomendasikan",ROW($6:$1005)-5),866))=""),"",IF(AND(COUNTIF(INDIRECT("K_"&amp;MATCH(INDEX(checklistPesertaKemenkeu!$J$6:$J$1005,SMALL(IF(checklistPesertaKemenkeu!$AY$6:$AY$1005="Direkomendasikan",ROW($6:$1005)-5),866)),BidangList,0)),INDEX(checklistPesertaKemenkeu!$O$6:$O$1005,SMALL(IF(checklistPesertaKemenkeu!$AY$6:$AY$1005="Direkomendasikan",ROW($6:$1005)-5),866)))&gt;0,COUNTIF(INDIRECT("'KERTAS KERJA'!K"&amp;(SMALL(IF(checklistPesertaKemenkeu!$AY$6:$AY$1005="Direkomendasikan",ROW($6:$1005)-5),866)+5)&amp;":O"&amp;(SMALL(IF(checklistPesertaKemenkeu!$AY$6:$AY$1005="Direkomendasikan",ROW($6:$1005)-5),866)+5)),INDEX(checklistPesertaKemenkeu!$O$6:$O$1005,SMALL(IF(checklistPesertaKemenkeu!$AY$6:$AY$1005="Direkomendasikan",ROW($6:$1005)-5),866)))=1),IFERROR(VLOOKUP(INDEX(checklistPesertaKemenkeu!$O$6:$O$1005,SMALL(IF(checklistPesertaKemenkeu!$AY$6:$AY$1005="Direkomendasikan",ROW($6:$1005)-5),866)),KotaKode,2,0),"-"),"")),"")</f>
        <v/>
      </c>
      <c r="L867" t="str">
        <f t="array" aca="1" ref="L867" ca="1">IFERROR(IF(OR(INDEX(checklistPesertaKemenkeu!$P$6:$P$1005,SMALL(IF(checklistPesertaKemenkeu!$AY$6:$AY$1005="Direkomendasikan",ROW($6:$1005)-5),866))="",INDEX(checklistPesertaKemenkeu!$J$6:$J$1005,SMALL(IF(checklistPesertaKemenkeu!$AY$6:$AY$1005="Direkomendasikan",ROW($6:$1005)-5),866))=""),"",IF(AND(COUNTIF(INDIRECT("K_"&amp;MATCH(INDEX(checklistPesertaKemenkeu!$J$6:$J$1005,SMALL(IF(checklistPesertaKemenkeu!$AY$6:$AY$1005="Direkomendasikan",ROW($6:$1005)-5),866)),BidangList,0)),INDEX(checklistPesertaKemenkeu!$P$6:$P$1005,SMALL(IF(checklistPesertaKemenkeu!$AY$6:$AY$1005="Direkomendasikan",ROW($6:$1005)-5),866)))&gt;0,COUNTIF(INDIRECT("'KERTAS KERJA'!K"&amp;(SMALL(IF(checklistPesertaKemenkeu!$AY$6:$AY$1005="Direkomendasikan",ROW($6:$1005)-5),866)+5)&amp;":O"&amp;(SMALL(IF(checklistPesertaKemenkeu!$AY$6:$AY$1005="Direkomendasikan",ROW($6:$1005)-5),866)+5)),INDEX(checklistPesertaKemenkeu!$P$6:$P$1005,SMALL(IF(checklistPesertaKemenkeu!$AY$6:$AY$1005="Direkomendasikan",ROW($6:$1005)-5),866)))=1),IFERROR(VLOOKUP(INDEX(checklistPesertaKemenkeu!$P$6:$P$1005,SMALL(IF(checklistPesertaKemenkeu!$AY$6:$AY$1005="Direkomendasikan",ROW($6:$1005)-5),866)),KotaKode,2,0),"-"),"")),"")</f>
        <v/>
      </c>
    </row>
    <row r="868" spans="1:12" ht="15" customHeight="1" x14ac:dyDescent="0.2">
      <c r="A868" t="str">
        <f t="shared" si="13"/>
        <v/>
      </c>
      <c r="B868" t="str">
        <v/>
      </c>
      <c r="C868" s="40" t="str">
        <f t="array" ref="C868">IFERROR(INDEX(checklistPesertaKemenkeu!$F$6:$F$1005,SMALL(IF(checklistPesertaKemenkeu!$AY$6:$AY$1005="Direkomendasikan",ROW($6:$1005)-5),867)),"")</f>
        <v/>
      </c>
      <c r="D868" t="str">
        <f t="array" ref="D868">IFERROR(INDEX(checklistPesertaKemenkeu!$G$6:$G$1005,SMALL(IF(checklistPesertaKemenkeu!$AY$6:$AY$1005="Direkomendasikan",ROW($6:$1005)-5),867)),"")</f>
        <v/>
      </c>
      <c r="E868" t="str">
        <f t="array" ref="E868">IFERROR(INDEX(checklistPesertaKemenkeu!$H$6:$H$1005,SMALL(IF(checklistPesertaKemenkeu!$AY$6:$AY$1005="Direkomendasikan",ROW($6:$1005)-5),867)),"")</f>
        <v/>
      </c>
      <c r="F868" t="str">
        <f t="array" ref="F868">IFERROR(INDEX(checklistPesertaKemenkeu!$I$6:$I$1005,SMALL(IF(checklistPesertaKemenkeu!$AY$6:$AY$1005="Direkomendasikan",ROW($6:$1005)-5),867)),"")</f>
        <v/>
      </c>
      <c r="G868" t="str">
        <f t="array" ref="G868">IFERROR(INDEX(checklistPesertaKemenkeu!$J$6:$J$1005,SMALL(IF(checklistPesertaKemenkeu!$AY$6:$AY$1005="Direkomendasikan",ROW($6:$1005)-5),867)),"")</f>
        <v/>
      </c>
      <c r="H868" t="str">
        <f t="array" aca="1" ref="H868" ca="1">IFERROR(IF(OR(INDEX(checklistPesertaKemenkeu!$L$6:$L$1005,SMALL(IF(checklistPesertaKemenkeu!$AY$6:$AY$1005="Direkomendasikan",ROW($6:$1005)-5),867))="",INDEX(checklistPesertaKemenkeu!$J$6:$J$1005,SMALL(IF(checklistPesertaKemenkeu!$AY$6:$AY$1005="Direkomendasikan",ROW($6:$1005)-5),867))=""),"",IF(AND(COUNTIF(INDIRECT("K_"&amp;MATCH(INDEX(checklistPesertaKemenkeu!$J$6:$J$1005,SMALL(IF(checklistPesertaKemenkeu!$AY$6:$AY$1005="Direkomendasikan",ROW($6:$1005)-5),867)),BidangList,0)),INDEX(checklistPesertaKemenkeu!$L$6:$L$1005,SMALL(IF(checklistPesertaKemenkeu!$AY$6:$AY$1005="Direkomendasikan",ROW($6:$1005)-5),867)))&gt;0,COUNTIF(INDIRECT("'KERTAS KERJA'!K"&amp;(SMALL(IF(checklistPesertaKemenkeu!$AY$6:$AY$1005="Direkomendasikan",ROW($6:$1005)-5),867)+5)&amp;":O"&amp;(SMALL(IF(checklistPesertaKemenkeu!$AY$6:$AY$1005="Direkomendasikan",ROW($6:$1005)-5),867)+5)),INDEX(checklistPesertaKemenkeu!$L$6:$L$1005,SMALL(IF(checklistPesertaKemenkeu!$AY$6:$AY$1005="Direkomendasikan",ROW($6:$1005)-5),867)))=1),IFERROR(VLOOKUP(INDEX(checklistPesertaKemenkeu!$L$6:$L$1005,SMALL(IF(checklistPesertaKemenkeu!$AY$6:$AY$1005="Direkomendasikan",ROW($6:$1005)-5),867)),KotaKode,2,0),"-"),"")),"")</f>
        <v/>
      </c>
      <c r="I868" t="str">
        <f t="array" aca="1" ref="I868" ca="1">IFERROR(IF(OR(INDEX(checklistPesertaKemenkeu!$M$6:$M$1005,SMALL(IF(checklistPesertaKemenkeu!$AY$6:$AY$1005="Direkomendasikan",ROW($6:$1005)-5),867))="",INDEX(checklistPesertaKemenkeu!$J$6:$J$1005,SMALL(IF(checklistPesertaKemenkeu!$AY$6:$AY$1005="Direkomendasikan",ROW($6:$1005)-5),867))=""),"",IF(AND(COUNTIF(INDIRECT("K_"&amp;MATCH(INDEX(checklistPesertaKemenkeu!$J$6:$J$1005,SMALL(IF(checklistPesertaKemenkeu!$AY$6:$AY$1005="Direkomendasikan",ROW($6:$1005)-5),867)),BidangList,0)),INDEX(checklistPesertaKemenkeu!$M$6:$M$1005,SMALL(IF(checklistPesertaKemenkeu!$AY$6:$AY$1005="Direkomendasikan",ROW($6:$1005)-5),867)))&gt;0,COUNTIF(INDIRECT("'KERTAS KERJA'!K"&amp;(SMALL(IF(checklistPesertaKemenkeu!$AY$6:$AY$1005="Direkomendasikan",ROW($6:$1005)-5),867)+5)&amp;":O"&amp;(SMALL(IF(checklistPesertaKemenkeu!$AY$6:$AY$1005="Direkomendasikan",ROW($6:$1005)-5),867)+5)),INDEX(checklistPesertaKemenkeu!$M$6:$M$1005,SMALL(IF(checklistPesertaKemenkeu!$AY$6:$AY$1005="Direkomendasikan",ROW($6:$1005)-5),867)))=1),IFERROR(VLOOKUP(INDEX(checklistPesertaKemenkeu!$M$6:$M$1005,SMALL(IF(checklistPesertaKemenkeu!$AY$6:$AY$1005="Direkomendasikan",ROW($6:$1005)-5),867)),KotaKode,2,0),"-"),"")),"")</f>
        <v/>
      </c>
      <c r="J868" t="str">
        <f t="array" aca="1" ref="J868" ca="1">IFERROR(IF(OR(INDEX(checklistPesertaKemenkeu!$N$6:$N$1005,SMALL(IF(checklistPesertaKemenkeu!$AY$6:$AY$1005="Direkomendasikan",ROW($6:$1005)-5),867))="",INDEX(checklistPesertaKemenkeu!$J$6:$J$1005,SMALL(IF(checklistPesertaKemenkeu!$AY$6:$AY$1005="Direkomendasikan",ROW($6:$1005)-5),867))=""),"",IF(AND(COUNTIF(INDIRECT("K_"&amp;MATCH(INDEX(checklistPesertaKemenkeu!$J$6:$J$1005,SMALL(IF(checklistPesertaKemenkeu!$AY$6:$AY$1005="Direkomendasikan",ROW($6:$1005)-5),867)),BidangList,0)),INDEX(checklistPesertaKemenkeu!$N$6:$N$1005,SMALL(IF(checklistPesertaKemenkeu!$AY$6:$AY$1005="Direkomendasikan",ROW($6:$1005)-5),867)))&gt;0,COUNTIF(INDIRECT("'KERTAS KERJA'!K"&amp;(SMALL(IF(checklistPesertaKemenkeu!$AY$6:$AY$1005="Direkomendasikan",ROW($6:$1005)-5),867)+5)&amp;":O"&amp;(SMALL(IF(checklistPesertaKemenkeu!$AY$6:$AY$1005="Direkomendasikan",ROW($6:$1005)-5),867)+5)),INDEX(checklistPesertaKemenkeu!$N$6:$N$1005,SMALL(IF(checklistPesertaKemenkeu!$AY$6:$AY$1005="Direkomendasikan",ROW($6:$1005)-5),867)))=1),IFERROR(VLOOKUP(INDEX(checklistPesertaKemenkeu!$N$6:$N$1005,SMALL(IF(checklistPesertaKemenkeu!$AY$6:$AY$1005="Direkomendasikan",ROW($6:$1005)-5),867)),KotaKode,2,0),"-"),"")),"")</f>
        <v/>
      </c>
      <c r="K868" t="str">
        <f t="array" aca="1" ref="K868" ca="1">IFERROR(IF(OR(INDEX(checklistPesertaKemenkeu!$O$6:$O$1005,SMALL(IF(checklistPesertaKemenkeu!$AY$6:$AY$1005="Direkomendasikan",ROW($6:$1005)-5),867))="",INDEX(checklistPesertaKemenkeu!$J$6:$J$1005,SMALL(IF(checklistPesertaKemenkeu!$AY$6:$AY$1005="Direkomendasikan",ROW($6:$1005)-5),867))=""),"",IF(AND(COUNTIF(INDIRECT("K_"&amp;MATCH(INDEX(checklistPesertaKemenkeu!$J$6:$J$1005,SMALL(IF(checklistPesertaKemenkeu!$AY$6:$AY$1005="Direkomendasikan",ROW($6:$1005)-5),867)),BidangList,0)),INDEX(checklistPesertaKemenkeu!$O$6:$O$1005,SMALL(IF(checklistPesertaKemenkeu!$AY$6:$AY$1005="Direkomendasikan",ROW($6:$1005)-5),867)))&gt;0,COUNTIF(INDIRECT("'KERTAS KERJA'!K"&amp;(SMALL(IF(checklistPesertaKemenkeu!$AY$6:$AY$1005="Direkomendasikan",ROW($6:$1005)-5),867)+5)&amp;":O"&amp;(SMALL(IF(checklistPesertaKemenkeu!$AY$6:$AY$1005="Direkomendasikan",ROW($6:$1005)-5),867)+5)),INDEX(checklistPesertaKemenkeu!$O$6:$O$1005,SMALL(IF(checklistPesertaKemenkeu!$AY$6:$AY$1005="Direkomendasikan",ROW($6:$1005)-5),867)))=1),IFERROR(VLOOKUP(INDEX(checklistPesertaKemenkeu!$O$6:$O$1005,SMALL(IF(checklistPesertaKemenkeu!$AY$6:$AY$1005="Direkomendasikan",ROW($6:$1005)-5),867)),KotaKode,2,0),"-"),"")),"")</f>
        <v/>
      </c>
      <c r="L868" t="str">
        <f t="array" aca="1" ref="L868" ca="1">IFERROR(IF(OR(INDEX(checklistPesertaKemenkeu!$P$6:$P$1005,SMALL(IF(checklistPesertaKemenkeu!$AY$6:$AY$1005="Direkomendasikan",ROW($6:$1005)-5),867))="",INDEX(checklistPesertaKemenkeu!$J$6:$J$1005,SMALL(IF(checklistPesertaKemenkeu!$AY$6:$AY$1005="Direkomendasikan",ROW($6:$1005)-5),867))=""),"",IF(AND(COUNTIF(INDIRECT("K_"&amp;MATCH(INDEX(checklistPesertaKemenkeu!$J$6:$J$1005,SMALL(IF(checklistPesertaKemenkeu!$AY$6:$AY$1005="Direkomendasikan",ROW($6:$1005)-5),867)),BidangList,0)),INDEX(checklistPesertaKemenkeu!$P$6:$P$1005,SMALL(IF(checklistPesertaKemenkeu!$AY$6:$AY$1005="Direkomendasikan",ROW($6:$1005)-5),867)))&gt;0,COUNTIF(INDIRECT("'KERTAS KERJA'!K"&amp;(SMALL(IF(checklistPesertaKemenkeu!$AY$6:$AY$1005="Direkomendasikan",ROW($6:$1005)-5),867)+5)&amp;":O"&amp;(SMALL(IF(checklistPesertaKemenkeu!$AY$6:$AY$1005="Direkomendasikan",ROW($6:$1005)-5),867)+5)),INDEX(checklistPesertaKemenkeu!$P$6:$P$1005,SMALL(IF(checklistPesertaKemenkeu!$AY$6:$AY$1005="Direkomendasikan",ROW($6:$1005)-5),867)))=1),IFERROR(VLOOKUP(INDEX(checklistPesertaKemenkeu!$P$6:$P$1005,SMALL(IF(checklistPesertaKemenkeu!$AY$6:$AY$1005="Direkomendasikan",ROW($6:$1005)-5),867)),KotaKode,2,0),"-"),"")),"")</f>
        <v/>
      </c>
    </row>
    <row r="869" spans="1:12" ht="15" customHeight="1" x14ac:dyDescent="0.2">
      <c r="A869" t="str">
        <f t="shared" si="13"/>
        <v/>
      </c>
      <c r="B869" t="str">
        <v/>
      </c>
      <c r="C869" s="40" t="str">
        <f t="array" ref="C869">IFERROR(INDEX(checklistPesertaKemenkeu!$F$6:$F$1005,SMALL(IF(checklistPesertaKemenkeu!$AY$6:$AY$1005="Direkomendasikan",ROW($6:$1005)-5),868)),"")</f>
        <v/>
      </c>
      <c r="D869" t="str">
        <f t="array" ref="D869">IFERROR(INDEX(checklistPesertaKemenkeu!$G$6:$G$1005,SMALL(IF(checklistPesertaKemenkeu!$AY$6:$AY$1005="Direkomendasikan",ROW($6:$1005)-5),868)),"")</f>
        <v/>
      </c>
      <c r="E869" t="str">
        <f t="array" ref="E869">IFERROR(INDEX(checklistPesertaKemenkeu!$H$6:$H$1005,SMALL(IF(checklistPesertaKemenkeu!$AY$6:$AY$1005="Direkomendasikan",ROW($6:$1005)-5),868)),"")</f>
        <v/>
      </c>
      <c r="F869" t="str">
        <f t="array" ref="F869">IFERROR(INDEX(checklistPesertaKemenkeu!$I$6:$I$1005,SMALL(IF(checklistPesertaKemenkeu!$AY$6:$AY$1005="Direkomendasikan",ROW($6:$1005)-5),868)),"")</f>
        <v/>
      </c>
      <c r="G869" t="str">
        <f t="array" ref="G869">IFERROR(INDEX(checklistPesertaKemenkeu!$J$6:$J$1005,SMALL(IF(checklistPesertaKemenkeu!$AY$6:$AY$1005="Direkomendasikan",ROW($6:$1005)-5),868)),"")</f>
        <v/>
      </c>
      <c r="H869" t="str">
        <f t="array" aca="1" ref="H869" ca="1">IFERROR(IF(OR(INDEX(checklistPesertaKemenkeu!$L$6:$L$1005,SMALL(IF(checklistPesertaKemenkeu!$AY$6:$AY$1005="Direkomendasikan",ROW($6:$1005)-5),868))="",INDEX(checklistPesertaKemenkeu!$J$6:$J$1005,SMALL(IF(checklistPesertaKemenkeu!$AY$6:$AY$1005="Direkomendasikan",ROW($6:$1005)-5),868))=""),"",IF(AND(COUNTIF(INDIRECT("K_"&amp;MATCH(INDEX(checklistPesertaKemenkeu!$J$6:$J$1005,SMALL(IF(checklistPesertaKemenkeu!$AY$6:$AY$1005="Direkomendasikan",ROW($6:$1005)-5),868)),BidangList,0)),INDEX(checklistPesertaKemenkeu!$L$6:$L$1005,SMALL(IF(checklistPesertaKemenkeu!$AY$6:$AY$1005="Direkomendasikan",ROW($6:$1005)-5),868)))&gt;0,COUNTIF(INDIRECT("'KERTAS KERJA'!K"&amp;(SMALL(IF(checklistPesertaKemenkeu!$AY$6:$AY$1005="Direkomendasikan",ROW($6:$1005)-5),868)+5)&amp;":O"&amp;(SMALL(IF(checklistPesertaKemenkeu!$AY$6:$AY$1005="Direkomendasikan",ROW($6:$1005)-5),868)+5)),INDEX(checklistPesertaKemenkeu!$L$6:$L$1005,SMALL(IF(checklistPesertaKemenkeu!$AY$6:$AY$1005="Direkomendasikan",ROW($6:$1005)-5),868)))=1),IFERROR(VLOOKUP(INDEX(checklistPesertaKemenkeu!$L$6:$L$1005,SMALL(IF(checklistPesertaKemenkeu!$AY$6:$AY$1005="Direkomendasikan",ROW($6:$1005)-5),868)),KotaKode,2,0),"-"),"")),"")</f>
        <v/>
      </c>
      <c r="I869" t="str">
        <f t="array" aca="1" ref="I869" ca="1">IFERROR(IF(OR(INDEX(checklistPesertaKemenkeu!$M$6:$M$1005,SMALL(IF(checklistPesertaKemenkeu!$AY$6:$AY$1005="Direkomendasikan",ROW($6:$1005)-5),868))="",INDEX(checklistPesertaKemenkeu!$J$6:$J$1005,SMALL(IF(checklistPesertaKemenkeu!$AY$6:$AY$1005="Direkomendasikan",ROW($6:$1005)-5),868))=""),"",IF(AND(COUNTIF(INDIRECT("K_"&amp;MATCH(INDEX(checklistPesertaKemenkeu!$J$6:$J$1005,SMALL(IF(checklistPesertaKemenkeu!$AY$6:$AY$1005="Direkomendasikan",ROW($6:$1005)-5),868)),BidangList,0)),INDEX(checklistPesertaKemenkeu!$M$6:$M$1005,SMALL(IF(checklistPesertaKemenkeu!$AY$6:$AY$1005="Direkomendasikan",ROW($6:$1005)-5),868)))&gt;0,COUNTIF(INDIRECT("'KERTAS KERJA'!K"&amp;(SMALL(IF(checklistPesertaKemenkeu!$AY$6:$AY$1005="Direkomendasikan",ROW($6:$1005)-5),868)+5)&amp;":O"&amp;(SMALL(IF(checklistPesertaKemenkeu!$AY$6:$AY$1005="Direkomendasikan",ROW($6:$1005)-5),868)+5)),INDEX(checklistPesertaKemenkeu!$M$6:$M$1005,SMALL(IF(checklistPesertaKemenkeu!$AY$6:$AY$1005="Direkomendasikan",ROW($6:$1005)-5),868)))=1),IFERROR(VLOOKUP(INDEX(checklistPesertaKemenkeu!$M$6:$M$1005,SMALL(IF(checklistPesertaKemenkeu!$AY$6:$AY$1005="Direkomendasikan",ROW($6:$1005)-5),868)),KotaKode,2,0),"-"),"")),"")</f>
        <v/>
      </c>
      <c r="J869" t="str">
        <f t="array" aca="1" ref="J869" ca="1">IFERROR(IF(OR(INDEX(checklistPesertaKemenkeu!$N$6:$N$1005,SMALL(IF(checklistPesertaKemenkeu!$AY$6:$AY$1005="Direkomendasikan",ROW($6:$1005)-5),868))="",INDEX(checklistPesertaKemenkeu!$J$6:$J$1005,SMALL(IF(checklistPesertaKemenkeu!$AY$6:$AY$1005="Direkomendasikan",ROW($6:$1005)-5),868))=""),"",IF(AND(COUNTIF(INDIRECT("K_"&amp;MATCH(INDEX(checklistPesertaKemenkeu!$J$6:$J$1005,SMALL(IF(checklistPesertaKemenkeu!$AY$6:$AY$1005="Direkomendasikan",ROW($6:$1005)-5),868)),BidangList,0)),INDEX(checklistPesertaKemenkeu!$N$6:$N$1005,SMALL(IF(checklistPesertaKemenkeu!$AY$6:$AY$1005="Direkomendasikan",ROW($6:$1005)-5),868)))&gt;0,COUNTIF(INDIRECT("'KERTAS KERJA'!K"&amp;(SMALL(IF(checklistPesertaKemenkeu!$AY$6:$AY$1005="Direkomendasikan",ROW($6:$1005)-5),868)+5)&amp;":O"&amp;(SMALL(IF(checklistPesertaKemenkeu!$AY$6:$AY$1005="Direkomendasikan",ROW($6:$1005)-5),868)+5)),INDEX(checklistPesertaKemenkeu!$N$6:$N$1005,SMALL(IF(checklistPesertaKemenkeu!$AY$6:$AY$1005="Direkomendasikan",ROW($6:$1005)-5),868)))=1),IFERROR(VLOOKUP(INDEX(checklistPesertaKemenkeu!$N$6:$N$1005,SMALL(IF(checklistPesertaKemenkeu!$AY$6:$AY$1005="Direkomendasikan",ROW($6:$1005)-5),868)),KotaKode,2,0),"-"),"")),"")</f>
        <v/>
      </c>
      <c r="K869" t="str">
        <f t="array" aca="1" ref="K869" ca="1">IFERROR(IF(OR(INDEX(checklistPesertaKemenkeu!$O$6:$O$1005,SMALL(IF(checklistPesertaKemenkeu!$AY$6:$AY$1005="Direkomendasikan",ROW($6:$1005)-5),868))="",INDEX(checklistPesertaKemenkeu!$J$6:$J$1005,SMALL(IF(checklistPesertaKemenkeu!$AY$6:$AY$1005="Direkomendasikan",ROW($6:$1005)-5),868))=""),"",IF(AND(COUNTIF(INDIRECT("K_"&amp;MATCH(INDEX(checklistPesertaKemenkeu!$J$6:$J$1005,SMALL(IF(checklistPesertaKemenkeu!$AY$6:$AY$1005="Direkomendasikan",ROW($6:$1005)-5),868)),BidangList,0)),INDEX(checklistPesertaKemenkeu!$O$6:$O$1005,SMALL(IF(checklistPesertaKemenkeu!$AY$6:$AY$1005="Direkomendasikan",ROW($6:$1005)-5),868)))&gt;0,COUNTIF(INDIRECT("'KERTAS KERJA'!K"&amp;(SMALL(IF(checklistPesertaKemenkeu!$AY$6:$AY$1005="Direkomendasikan",ROW($6:$1005)-5),868)+5)&amp;":O"&amp;(SMALL(IF(checklistPesertaKemenkeu!$AY$6:$AY$1005="Direkomendasikan",ROW($6:$1005)-5),868)+5)),INDEX(checklistPesertaKemenkeu!$O$6:$O$1005,SMALL(IF(checklistPesertaKemenkeu!$AY$6:$AY$1005="Direkomendasikan",ROW($6:$1005)-5),868)))=1),IFERROR(VLOOKUP(INDEX(checklistPesertaKemenkeu!$O$6:$O$1005,SMALL(IF(checklistPesertaKemenkeu!$AY$6:$AY$1005="Direkomendasikan",ROW($6:$1005)-5),868)),KotaKode,2,0),"-"),"")),"")</f>
        <v/>
      </c>
      <c r="L869" t="str">
        <f t="array" aca="1" ref="L869" ca="1">IFERROR(IF(OR(INDEX(checklistPesertaKemenkeu!$P$6:$P$1005,SMALL(IF(checklistPesertaKemenkeu!$AY$6:$AY$1005="Direkomendasikan",ROW($6:$1005)-5),868))="",INDEX(checklistPesertaKemenkeu!$J$6:$J$1005,SMALL(IF(checklistPesertaKemenkeu!$AY$6:$AY$1005="Direkomendasikan",ROW($6:$1005)-5),868))=""),"",IF(AND(COUNTIF(INDIRECT("K_"&amp;MATCH(INDEX(checklistPesertaKemenkeu!$J$6:$J$1005,SMALL(IF(checklistPesertaKemenkeu!$AY$6:$AY$1005="Direkomendasikan",ROW($6:$1005)-5),868)),BidangList,0)),INDEX(checklistPesertaKemenkeu!$P$6:$P$1005,SMALL(IF(checklistPesertaKemenkeu!$AY$6:$AY$1005="Direkomendasikan",ROW($6:$1005)-5),868)))&gt;0,COUNTIF(INDIRECT("'KERTAS KERJA'!K"&amp;(SMALL(IF(checklistPesertaKemenkeu!$AY$6:$AY$1005="Direkomendasikan",ROW($6:$1005)-5),868)+5)&amp;":O"&amp;(SMALL(IF(checklistPesertaKemenkeu!$AY$6:$AY$1005="Direkomendasikan",ROW($6:$1005)-5),868)+5)),INDEX(checklistPesertaKemenkeu!$P$6:$P$1005,SMALL(IF(checklistPesertaKemenkeu!$AY$6:$AY$1005="Direkomendasikan",ROW($6:$1005)-5),868)))=1),IFERROR(VLOOKUP(INDEX(checklistPesertaKemenkeu!$P$6:$P$1005,SMALL(IF(checklistPesertaKemenkeu!$AY$6:$AY$1005="Direkomendasikan",ROW($6:$1005)-5),868)),KotaKode,2,0),"-"),"")),"")</f>
        <v/>
      </c>
    </row>
    <row r="870" spans="1:12" ht="15" customHeight="1" x14ac:dyDescent="0.2">
      <c r="A870" t="str">
        <f t="shared" si="13"/>
        <v/>
      </c>
      <c r="B870" t="str">
        <v/>
      </c>
      <c r="C870" s="40" t="str">
        <f t="array" ref="C870">IFERROR(INDEX(checklistPesertaKemenkeu!$F$6:$F$1005,SMALL(IF(checklistPesertaKemenkeu!$AY$6:$AY$1005="Direkomendasikan",ROW($6:$1005)-5),869)),"")</f>
        <v/>
      </c>
      <c r="D870" t="str">
        <f t="array" ref="D870">IFERROR(INDEX(checklistPesertaKemenkeu!$G$6:$G$1005,SMALL(IF(checklistPesertaKemenkeu!$AY$6:$AY$1005="Direkomendasikan",ROW($6:$1005)-5),869)),"")</f>
        <v/>
      </c>
      <c r="E870" t="str">
        <f t="array" ref="E870">IFERROR(INDEX(checklistPesertaKemenkeu!$H$6:$H$1005,SMALL(IF(checklistPesertaKemenkeu!$AY$6:$AY$1005="Direkomendasikan",ROW($6:$1005)-5),869)),"")</f>
        <v/>
      </c>
      <c r="F870" t="str">
        <f t="array" ref="F870">IFERROR(INDEX(checklistPesertaKemenkeu!$I$6:$I$1005,SMALL(IF(checklistPesertaKemenkeu!$AY$6:$AY$1005="Direkomendasikan",ROW($6:$1005)-5),869)),"")</f>
        <v/>
      </c>
      <c r="G870" t="str">
        <f t="array" ref="G870">IFERROR(INDEX(checklistPesertaKemenkeu!$J$6:$J$1005,SMALL(IF(checklistPesertaKemenkeu!$AY$6:$AY$1005="Direkomendasikan",ROW($6:$1005)-5),869)),"")</f>
        <v/>
      </c>
      <c r="H870" t="str">
        <f t="array" aca="1" ref="H870" ca="1">IFERROR(IF(OR(INDEX(checklistPesertaKemenkeu!$L$6:$L$1005,SMALL(IF(checklistPesertaKemenkeu!$AY$6:$AY$1005="Direkomendasikan",ROW($6:$1005)-5),869))="",INDEX(checklistPesertaKemenkeu!$J$6:$J$1005,SMALL(IF(checklistPesertaKemenkeu!$AY$6:$AY$1005="Direkomendasikan",ROW($6:$1005)-5),869))=""),"",IF(AND(COUNTIF(INDIRECT("K_"&amp;MATCH(INDEX(checklistPesertaKemenkeu!$J$6:$J$1005,SMALL(IF(checklistPesertaKemenkeu!$AY$6:$AY$1005="Direkomendasikan",ROW($6:$1005)-5),869)),BidangList,0)),INDEX(checklistPesertaKemenkeu!$L$6:$L$1005,SMALL(IF(checklistPesertaKemenkeu!$AY$6:$AY$1005="Direkomendasikan",ROW($6:$1005)-5),869)))&gt;0,COUNTIF(INDIRECT("'KERTAS KERJA'!K"&amp;(SMALL(IF(checklistPesertaKemenkeu!$AY$6:$AY$1005="Direkomendasikan",ROW($6:$1005)-5),869)+5)&amp;":O"&amp;(SMALL(IF(checklistPesertaKemenkeu!$AY$6:$AY$1005="Direkomendasikan",ROW($6:$1005)-5),869)+5)),INDEX(checklistPesertaKemenkeu!$L$6:$L$1005,SMALL(IF(checklistPesertaKemenkeu!$AY$6:$AY$1005="Direkomendasikan",ROW($6:$1005)-5),869)))=1),IFERROR(VLOOKUP(INDEX(checklistPesertaKemenkeu!$L$6:$L$1005,SMALL(IF(checklistPesertaKemenkeu!$AY$6:$AY$1005="Direkomendasikan",ROW($6:$1005)-5),869)),KotaKode,2,0),"-"),"")),"")</f>
        <v/>
      </c>
      <c r="I870" t="str">
        <f t="array" aca="1" ref="I870" ca="1">IFERROR(IF(OR(INDEX(checklistPesertaKemenkeu!$M$6:$M$1005,SMALL(IF(checklistPesertaKemenkeu!$AY$6:$AY$1005="Direkomendasikan",ROW($6:$1005)-5),869))="",INDEX(checklistPesertaKemenkeu!$J$6:$J$1005,SMALL(IF(checklistPesertaKemenkeu!$AY$6:$AY$1005="Direkomendasikan",ROW($6:$1005)-5),869))=""),"",IF(AND(COUNTIF(INDIRECT("K_"&amp;MATCH(INDEX(checklistPesertaKemenkeu!$J$6:$J$1005,SMALL(IF(checklistPesertaKemenkeu!$AY$6:$AY$1005="Direkomendasikan",ROW($6:$1005)-5),869)),BidangList,0)),INDEX(checklistPesertaKemenkeu!$M$6:$M$1005,SMALL(IF(checklistPesertaKemenkeu!$AY$6:$AY$1005="Direkomendasikan",ROW($6:$1005)-5),869)))&gt;0,COUNTIF(INDIRECT("'KERTAS KERJA'!K"&amp;(SMALL(IF(checklistPesertaKemenkeu!$AY$6:$AY$1005="Direkomendasikan",ROW($6:$1005)-5),869)+5)&amp;":O"&amp;(SMALL(IF(checklistPesertaKemenkeu!$AY$6:$AY$1005="Direkomendasikan",ROW($6:$1005)-5),869)+5)),INDEX(checklistPesertaKemenkeu!$M$6:$M$1005,SMALL(IF(checklistPesertaKemenkeu!$AY$6:$AY$1005="Direkomendasikan",ROW($6:$1005)-5),869)))=1),IFERROR(VLOOKUP(INDEX(checklistPesertaKemenkeu!$M$6:$M$1005,SMALL(IF(checklistPesertaKemenkeu!$AY$6:$AY$1005="Direkomendasikan",ROW($6:$1005)-5),869)),KotaKode,2,0),"-"),"")),"")</f>
        <v/>
      </c>
      <c r="J870" t="str">
        <f t="array" aca="1" ref="J870" ca="1">IFERROR(IF(OR(INDEX(checklistPesertaKemenkeu!$N$6:$N$1005,SMALL(IF(checklistPesertaKemenkeu!$AY$6:$AY$1005="Direkomendasikan",ROW($6:$1005)-5),869))="",INDEX(checklistPesertaKemenkeu!$J$6:$J$1005,SMALL(IF(checklistPesertaKemenkeu!$AY$6:$AY$1005="Direkomendasikan",ROW($6:$1005)-5),869))=""),"",IF(AND(COUNTIF(INDIRECT("K_"&amp;MATCH(INDEX(checklistPesertaKemenkeu!$J$6:$J$1005,SMALL(IF(checklistPesertaKemenkeu!$AY$6:$AY$1005="Direkomendasikan",ROW($6:$1005)-5),869)),BidangList,0)),INDEX(checklistPesertaKemenkeu!$N$6:$N$1005,SMALL(IF(checklistPesertaKemenkeu!$AY$6:$AY$1005="Direkomendasikan",ROW($6:$1005)-5),869)))&gt;0,COUNTIF(INDIRECT("'KERTAS KERJA'!K"&amp;(SMALL(IF(checklistPesertaKemenkeu!$AY$6:$AY$1005="Direkomendasikan",ROW($6:$1005)-5),869)+5)&amp;":O"&amp;(SMALL(IF(checklistPesertaKemenkeu!$AY$6:$AY$1005="Direkomendasikan",ROW($6:$1005)-5),869)+5)),INDEX(checklistPesertaKemenkeu!$N$6:$N$1005,SMALL(IF(checklistPesertaKemenkeu!$AY$6:$AY$1005="Direkomendasikan",ROW($6:$1005)-5),869)))=1),IFERROR(VLOOKUP(INDEX(checklistPesertaKemenkeu!$N$6:$N$1005,SMALL(IF(checklistPesertaKemenkeu!$AY$6:$AY$1005="Direkomendasikan",ROW($6:$1005)-5),869)),KotaKode,2,0),"-"),"")),"")</f>
        <v/>
      </c>
      <c r="K870" t="str">
        <f t="array" aca="1" ref="K870" ca="1">IFERROR(IF(OR(INDEX(checklistPesertaKemenkeu!$O$6:$O$1005,SMALL(IF(checklistPesertaKemenkeu!$AY$6:$AY$1005="Direkomendasikan",ROW($6:$1005)-5),869))="",INDEX(checklistPesertaKemenkeu!$J$6:$J$1005,SMALL(IF(checklistPesertaKemenkeu!$AY$6:$AY$1005="Direkomendasikan",ROW($6:$1005)-5),869))=""),"",IF(AND(COUNTIF(INDIRECT("K_"&amp;MATCH(INDEX(checklistPesertaKemenkeu!$J$6:$J$1005,SMALL(IF(checklistPesertaKemenkeu!$AY$6:$AY$1005="Direkomendasikan",ROW($6:$1005)-5),869)),BidangList,0)),INDEX(checklistPesertaKemenkeu!$O$6:$O$1005,SMALL(IF(checklistPesertaKemenkeu!$AY$6:$AY$1005="Direkomendasikan",ROW($6:$1005)-5),869)))&gt;0,COUNTIF(INDIRECT("'KERTAS KERJA'!K"&amp;(SMALL(IF(checklistPesertaKemenkeu!$AY$6:$AY$1005="Direkomendasikan",ROW($6:$1005)-5),869)+5)&amp;":O"&amp;(SMALL(IF(checklistPesertaKemenkeu!$AY$6:$AY$1005="Direkomendasikan",ROW($6:$1005)-5),869)+5)),INDEX(checklistPesertaKemenkeu!$O$6:$O$1005,SMALL(IF(checklistPesertaKemenkeu!$AY$6:$AY$1005="Direkomendasikan",ROW($6:$1005)-5),869)))=1),IFERROR(VLOOKUP(INDEX(checklistPesertaKemenkeu!$O$6:$O$1005,SMALL(IF(checklistPesertaKemenkeu!$AY$6:$AY$1005="Direkomendasikan",ROW($6:$1005)-5),869)),KotaKode,2,0),"-"),"")),"")</f>
        <v/>
      </c>
      <c r="L870" t="str">
        <f t="array" aca="1" ref="L870" ca="1">IFERROR(IF(OR(INDEX(checklistPesertaKemenkeu!$P$6:$P$1005,SMALL(IF(checklistPesertaKemenkeu!$AY$6:$AY$1005="Direkomendasikan",ROW($6:$1005)-5),869))="",INDEX(checklistPesertaKemenkeu!$J$6:$J$1005,SMALL(IF(checklistPesertaKemenkeu!$AY$6:$AY$1005="Direkomendasikan",ROW($6:$1005)-5),869))=""),"",IF(AND(COUNTIF(INDIRECT("K_"&amp;MATCH(INDEX(checklistPesertaKemenkeu!$J$6:$J$1005,SMALL(IF(checklistPesertaKemenkeu!$AY$6:$AY$1005="Direkomendasikan",ROW($6:$1005)-5),869)),BidangList,0)),INDEX(checklistPesertaKemenkeu!$P$6:$P$1005,SMALL(IF(checklistPesertaKemenkeu!$AY$6:$AY$1005="Direkomendasikan",ROW($6:$1005)-5),869)))&gt;0,COUNTIF(INDIRECT("'KERTAS KERJA'!K"&amp;(SMALL(IF(checklistPesertaKemenkeu!$AY$6:$AY$1005="Direkomendasikan",ROW($6:$1005)-5),869)+5)&amp;":O"&amp;(SMALL(IF(checklistPesertaKemenkeu!$AY$6:$AY$1005="Direkomendasikan",ROW($6:$1005)-5),869)+5)),INDEX(checklistPesertaKemenkeu!$P$6:$P$1005,SMALL(IF(checklistPesertaKemenkeu!$AY$6:$AY$1005="Direkomendasikan",ROW($6:$1005)-5),869)))=1),IFERROR(VLOOKUP(INDEX(checklistPesertaKemenkeu!$P$6:$P$1005,SMALL(IF(checklistPesertaKemenkeu!$AY$6:$AY$1005="Direkomendasikan",ROW($6:$1005)-5),869)),KotaKode,2,0),"-"),"")),"")</f>
        <v/>
      </c>
    </row>
    <row r="871" spans="1:12" ht="15" customHeight="1" x14ac:dyDescent="0.2">
      <c r="A871" t="str">
        <f t="shared" si="13"/>
        <v/>
      </c>
      <c r="B871" t="str">
        <v/>
      </c>
      <c r="C871" s="40" t="str">
        <f t="array" ref="C871">IFERROR(INDEX(checklistPesertaKemenkeu!$F$6:$F$1005,SMALL(IF(checklistPesertaKemenkeu!$AY$6:$AY$1005="Direkomendasikan",ROW($6:$1005)-5),870)),"")</f>
        <v/>
      </c>
      <c r="D871" t="str">
        <f t="array" ref="D871">IFERROR(INDEX(checklistPesertaKemenkeu!$G$6:$G$1005,SMALL(IF(checklistPesertaKemenkeu!$AY$6:$AY$1005="Direkomendasikan",ROW($6:$1005)-5),870)),"")</f>
        <v/>
      </c>
      <c r="E871" t="str">
        <f t="array" ref="E871">IFERROR(INDEX(checklistPesertaKemenkeu!$H$6:$H$1005,SMALL(IF(checklistPesertaKemenkeu!$AY$6:$AY$1005="Direkomendasikan",ROW($6:$1005)-5),870)),"")</f>
        <v/>
      </c>
      <c r="F871" t="str">
        <f t="array" ref="F871">IFERROR(INDEX(checklistPesertaKemenkeu!$I$6:$I$1005,SMALL(IF(checklistPesertaKemenkeu!$AY$6:$AY$1005="Direkomendasikan",ROW($6:$1005)-5),870)),"")</f>
        <v/>
      </c>
      <c r="G871" t="str">
        <f t="array" ref="G871">IFERROR(INDEX(checklistPesertaKemenkeu!$J$6:$J$1005,SMALL(IF(checklistPesertaKemenkeu!$AY$6:$AY$1005="Direkomendasikan",ROW($6:$1005)-5),870)),"")</f>
        <v/>
      </c>
      <c r="H871" t="str">
        <f t="array" aca="1" ref="H871" ca="1">IFERROR(IF(OR(INDEX(checklistPesertaKemenkeu!$L$6:$L$1005,SMALL(IF(checklistPesertaKemenkeu!$AY$6:$AY$1005="Direkomendasikan",ROW($6:$1005)-5),870))="",INDEX(checklistPesertaKemenkeu!$J$6:$J$1005,SMALL(IF(checklistPesertaKemenkeu!$AY$6:$AY$1005="Direkomendasikan",ROW($6:$1005)-5),870))=""),"",IF(AND(COUNTIF(INDIRECT("K_"&amp;MATCH(INDEX(checklistPesertaKemenkeu!$J$6:$J$1005,SMALL(IF(checklistPesertaKemenkeu!$AY$6:$AY$1005="Direkomendasikan",ROW($6:$1005)-5),870)),BidangList,0)),INDEX(checklistPesertaKemenkeu!$L$6:$L$1005,SMALL(IF(checklistPesertaKemenkeu!$AY$6:$AY$1005="Direkomendasikan",ROW($6:$1005)-5),870)))&gt;0,COUNTIF(INDIRECT("'KERTAS KERJA'!K"&amp;(SMALL(IF(checklistPesertaKemenkeu!$AY$6:$AY$1005="Direkomendasikan",ROW($6:$1005)-5),870)+5)&amp;":O"&amp;(SMALL(IF(checklistPesertaKemenkeu!$AY$6:$AY$1005="Direkomendasikan",ROW($6:$1005)-5),870)+5)),INDEX(checklistPesertaKemenkeu!$L$6:$L$1005,SMALL(IF(checklistPesertaKemenkeu!$AY$6:$AY$1005="Direkomendasikan",ROW($6:$1005)-5),870)))=1),IFERROR(VLOOKUP(INDEX(checklistPesertaKemenkeu!$L$6:$L$1005,SMALL(IF(checklistPesertaKemenkeu!$AY$6:$AY$1005="Direkomendasikan",ROW($6:$1005)-5),870)),KotaKode,2,0),"-"),"")),"")</f>
        <v/>
      </c>
      <c r="I871" t="str">
        <f t="array" aca="1" ref="I871" ca="1">IFERROR(IF(OR(INDEX(checklistPesertaKemenkeu!$M$6:$M$1005,SMALL(IF(checklistPesertaKemenkeu!$AY$6:$AY$1005="Direkomendasikan",ROW($6:$1005)-5),870))="",INDEX(checklistPesertaKemenkeu!$J$6:$J$1005,SMALL(IF(checklistPesertaKemenkeu!$AY$6:$AY$1005="Direkomendasikan",ROW($6:$1005)-5),870))=""),"",IF(AND(COUNTIF(INDIRECT("K_"&amp;MATCH(INDEX(checklistPesertaKemenkeu!$J$6:$J$1005,SMALL(IF(checklistPesertaKemenkeu!$AY$6:$AY$1005="Direkomendasikan",ROW($6:$1005)-5),870)),BidangList,0)),INDEX(checklistPesertaKemenkeu!$M$6:$M$1005,SMALL(IF(checklistPesertaKemenkeu!$AY$6:$AY$1005="Direkomendasikan",ROW($6:$1005)-5),870)))&gt;0,COUNTIF(INDIRECT("'KERTAS KERJA'!K"&amp;(SMALL(IF(checklistPesertaKemenkeu!$AY$6:$AY$1005="Direkomendasikan",ROW($6:$1005)-5),870)+5)&amp;":O"&amp;(SMALL(IF(checklistPesertaKemenkeu!$AY$6:$AY$1005="Direkomendasikan",ROW($6:$1005)-5),870)+5)),INDEX(checklistPesertaKemenkeu!$M$6:$M$1005,SMALL(IF(checklistPesertaKemenkeu!$AY$6:$AY$1005="Direkomendasikan",ROW($6:$1005)-5),870)))=1),IFERROR(VLOOKUP(INDEX(checklistPesertaKemenkeu!$M$6:$M$1005,SMALL(IF(checklistPesertaKemenkeu!$AY$6:$AY$1005="Direkomendasikan",ROW($6:$1005)-5),870)),KotaKode,2,0),"-"),"")),"")</f>
        <v/>
      </c>
      <c r="J871" t="str">
        <f t="array" aca="1" ref="J871" ca="1">IFERROR(IF(OR(INDEX(checklistPesertaKemenkeu!$N$6:$N$1005,SMALL(IF(checklistPesertaKemenkeu!$AY$6:$AY$1005="Direkomendasikan",ROW($6:$1005)-5),870))="",INDEX(checklistPesertaKemenkeu!$J$6:$J$1005,SMALL(IF(checklistPesertaKemenkeu!$AY$6:$AY$1005="Direkomendasikan",ROW($6:$1005)-5),870))=""),"",IF(AND(COUNTIF(INDIRECT("K_"&amp;MATCH(INDEX(checklistPesertaKemenkeu!$J$6:$J$1005,SMALL(IF(checklistPesertaKemenkeu!$AY$6:$AY$1005="Direkomendasikan",ROW($6:$1005)-5),870)),BidangList,0)),INDEX(checklistPesertaKemenkeu!$N$6:$N$1005,SMALL(IF(checklistPesertaKemenkeu!$AY$6:$AY$1005="Direkomendasikan",ROW($6:$1005)-5),870)))&gt;0,COUNTIF(INDIRECT("'KERTAS KERJA'!K"&amp;(SMALL(IF(checklistPesertaKemenkeu!$AY$6:$AY$1005="Direkomendasikan",ROW($6:$1005)-5),870)+5)&amp;":O"&amp;(SMALL(IF(checklistPesertaKemenkeu!$AY$6:$AY$1005="Direkomendasikan",ROW($6:$1005)-5),870)+5)),INDEX(checklistPesertaKemenkeu!$N$6:$N$1005,SMALL(IF(checklistPesertaKemenkeu!$AY$6:$AY$1005="Direkomendasikan",ROW($6:$1005)-5),870)))=1),IFERROR(VLOOKUP(INDEX(checklistPesertaKemenkeu!$N$6:$N$1005,SMALL(IF(checklistPesertaKemenkeu!$AY$6:$AY$1005="Direkomendasikan",ROW($6:$1005)-5),870)),KotaKode,2,0),"-"),"")),"")</f>
        <v/>
      </c>
      <c r="K871" t="str">
        <f t="array" aca="1" ref="K871" ca="1">IFERROR(IF(OR(INDEX(checklistPesertaKemenkeu!$O$6:$O$1005,SMALL(IF(checklistPesertaKemenkeu!$AY$6:$AY$1005="Direkomendasikan",ROW($6:$1005)-5),870))="",INDEX(checklistPesertaKemenkeu!$J$6:$J$1005,SMALL(IF(checklistPesertaKemenkeu!$AY$6:$AY$1005="Direkomendasikan",ROW($6:$1005)-5),870))=""),"",IF(AND(COUNTIF(INDIRECT("K_"&amp;MATCH(INDEX(checklistPesertaKemenkeu!$J$6:$J$1005,SMALL(IF(checklistPesertaKemenkeu!$AY$6:$AY$1005="Direkomendasikan",ROW($6:$1005)-5),870)),BidangList,0)),INDEX(checklistPesertaKemenkeu!$O$6:$O$1005,SMALL(IF(checklistPesertaKemenkeu!$AY$6:$AY$1005="Direkomendasikan",ROW($6:$1005)-5),870)))&gt;0,COUNTIF(INDIRECT("'KERTAS KERJA'!K"&amp;(SMALL(IF(checklistPesertaKemenkeu!$AY$6:$AY$1005="Direkomendasikan",ROW($6:$1005)-5),870)+5)&amp;":O"&amp;(SMALL(IF(checklistPesertaKemenkeu!$AY$6:$AY$1005="Direkomendasikan",ROW($6:$1005)-5),870)+5)),INDEX(checklistPesertaKemenkeu!$O$6:$O$1005,SMALL(IF(checklistPesertaKemenkeu!$AY$6:$AY$1005="Direkomendasikan",ROW($6:$1005)-5),870)))=1),IFERROR(VLOOKUP(INDEX(checklistPesertaKemenkeu!$O$6:$O$1005,SMALL(IF(checklistPesertaKemenkeu!$AY$6:$AY$1005="Direkomendasikan",ROW($6:$1005)-5),870)),KotaKode,2,0),"-"),"")),"")</f>
        <v/>
      </c>
      <c r="L871" t="str">
        <f t="array" aca="1" ref="L871" ca="1">IFERROR(IF(OR(INDEX(checklistPesertaKemenkeu!$P$6:$P$1005,SMALL(IF(checklistPesertaKemenkeu!$AY$6:$AY$1005="Direkomendasikan",ROW($6:$1005)-5),870))="",INDEX(checklistPesertaKemenkeu!$J$6:$J$1005,SMALL(IF(checklistPesertaKemenkeu!$AY$6:$AY$1005="Direkomendasikan",ROW($6:$1005)-5),870))=""),"",IF(AND(COUNTIF(INDIRECT("K_"&amp;MATCH(INDEX(checklistPesertaKemenkeu!$J$6:$J$1005,SMALL(IF(checklistPesertaKemenkeu!$AY$6:$AY$1005="Direkomendasikan",ROW($6:$1005)-5),870)),BidangList,0)),INDEX(checklistPesertaKemenkeu!$P$6:$P$1005,SMALL(IF(checklistPesertaKemenkeu!$AY$6:$AY$1005="Direkomendasikan",ROW($6:$1005)-5),870)))&gt;0,COUNTIF(INDIRECT("'KERTAS KERJA'!K"&amp;(SMALL(IF(checklistPesertaKemenkeu!$AY$6:$AY$1005="Direkomendasikan",ROW($6:$1005)-5),870)+5)&amp;":O"&amp;(SMALL(IF(checklistPesertaKemenkeu!$AY$6:$AY$1005="Direkomendasikan",ROW($6:$1005)-5),870)+5)),INDEX(checklistPesertaKemenkeu!$P$6:$P$1005,SMALL(IF(checklistPesertaKemenkeu!$AY$6:$AY$1005="Direkomendasikan",ROW($6:$1005)-5),870)))=1),IFERROR(VLOOKUP(INDEX(checklistPesertaKemenkeu!$P$6:$P$1005,SMALL(IF(checklistPesertaKemenkeu!$AY$6:$AY$1005="Direkomendasikan",ROW($6:$1005)-5),870)),KotaKode,2,0),"-"),"")),"")</f>
        <v/>
      </c>
    </row>
    <row r="872" spans="1:12" ht="15" customHeight="1" x14ac:dyDescent="0.2">
      <c r="A872" t="str">
        <f t="shared" si="13"/>
        <v/>
      </c>
      <c r="B872" t="str">
        <v/>
      </c>
      <c r="C872" s="40" t="str">
        <f t="array" ref="C872">IFERROR(INDEX(checklistPesertaKemenkeu!$F$6:$F$1005,SMALL(IF(checklistPesertaKemenkeu!$AY$6:$AY$1005="Direkomendasikan",ROW($6:$1005)-5),871)),"")</f>
        <v/>
      </c>
      <c r="D872" t="str">
        <f t="array" ref="D872">IFERROR(INDEX(checklistPesertaKemenkeu!$G$6:$G$1005,SMALL(IF(checklistPesertaKemenkeu!$AY$6:$AY$1005="Direkomendasikan",ROW($6:$1005)-5),871)),"")</f>
        <v/>
      </c>
      <c r="E872" t="str">
        <f t="array" ref="E872">IFERROR(INDEX(checklistPesertaKemenkeu!$H$6:$H$1005,SMALL(IF(checklistPesertaKemenkeu!$AY$6:$AY$1005="Direkomendasikan",ROW($6:$1005)-5),871)),"")</f>
        <v/>
      </c>
      <c r="F872" t="str">
        <f t="array" ref="F872">IFERROR(INDEX(checklistPesertaKemenkeu!$I$6:$I$1005,SMALL(IF(checklistPesertaKemenkeu!$AY$6:$AY$1005="Direkomendasikan",ROW($6:$1005)-5),871)),"")</f>
        <v/>
      </c>
      <c r="G872" t="str">
        <f t="array" ref="G872">IFERROR(INDEX(checklistPesertaKemenkeu!$J$6:$J$1005,SMALL(IF(checklistPesertaKemenkeu!$AY$6:$AY$1005="Direkomendasikan",ROW($6:$1005)-5),871)),"")</f>
        <v/>
      </c>
      <c r="H872" t="str">
        <f t="array" aca="1" ref="H872" ca="1">IFERROR(IF(OR(INDEX(checklistPesertaKemenkeu!$L$6:$L$1005,SMALL(IF(checklistPesertaKemenkeu!$AY$6:$AY$1005="Direkomendasikan",ROW($6:$1005)-5),871))="",INDEX(checklistPesertaKemenkeu!$J$6:$J$1005,SMALL(IF(checklistPesertaKemenkeu!$AY$6:$AY$1005="Direkomendasikan",ROW($6:$1005)-5),871))=""),"",IF(AND(COUNTIF(INDIRECT("K_"&amp;MATCH(INDEX(checklistPesertaKemenkeu!$J$6:$J$1005,SMALL(IF(checklistPesertaKemenkeu!$AY$6:$AY$1005="Direkomendasikan",ROW($6:$1005)-5),871)),BidangList,0)),INDEX(checklistPesertaKemenkeu!$L$6:$L$1005,SMALL(IF(checklistPesertaKemenkeu!$AY$6:$AY$1005="Direkomendasikan",ROW($6:$1005)-5),871)))&gt;0,COUNTIF(INDIRECT("'KERTAS KERJA'!K"&amp;(SMALL(IF(checklistPesertaKemenkeu!$AY$6:$AY$1005="Direkomendasikan",ROW($6:$1005)-5),871)+5)&amp;":O"&amp;(SMALL(IF(checklistPesertaKemenkeu!$AY$6:$AY$1005="Direkomendasikan",ROW($6:$1005)-5),871)+5)),INDEX(checklistPesertaKemenkeu!$L$6:$L$1005,SMALL(IF(checklistPesertaKemenkeu!$AY$6:$AY$1005="Direkomendasikan",ROW($6:$1005)-5),871)))=1),IFERROR(VLOOKUP(INDEX(checklistPesertaKemenkeu!$L$6:$L$1005,SMALL(IF(checklistPesertaKemenkeu!$AY$6:$AY$1005="Direkomendasikan",ROW($6:$1005)-5),871)),KotaKode,2,0),"-"),"")),"")</f>
        <v/>
      </c>
      <c r="I872" t="str">
        <f t="array" aca="1" ref="I872" ca="1">IFERROR(IF(OR(INDEX(checklistPesertaKemenkeu!$M$6:$M$1005,SMALL(IF(checklistPesertaKemenkeu!$AY$6:$AY$1005="Direkomendasikan",ROW($6:$1005)-5),871))="",INDEX(checklistPesertaKemenkeu!$J$6:$J$1005,SMALL(IF(checklistPesertaKemenkeu!$AY$6:$AY$1005="Direkomendasikan",ROW($6:$1005)-5),871))=""),"",IF(AND(COUNTIF(INDIRECT("K_"&amp;MATCH(INDEX(checklistPesertaKemenkeu!$J$6:$J$1005,SMALL(IF(checklistPesertaKemenkeu!$AY$6:$AY$1005="Direkomendasikan",ROW($6:$1005)-5),871)),BidangList,0)),INDEX(checklistPesertaKemenkeu!$M$6:$M$1005,SMALL(IF(checklistPesertaKemenkeu!$AY$6:$AY$1005="Direkomendasikan",ROW($6:$1005)-5),871)))&gt;0,COUNTIF(INDIRECT("'KERTAS KERJA'!K"&amp;(SMALL(IF(checklistPesertaKemenkeu!$AY$6:$AY$1005="Direkomendasikan",ROW($6:$1005)-5),871)+5)&amp;":O"&amp;(SMALL(IF(checklistPesertaKemenkeu!$AY$6:$AY$1005="Direkomendasikan",ROW($6:$1005)-5),871)+5)),INDEX(checklistPesertaKemenkeu!$M$6:$M$1005,SMALL(IF(checklistPesertaKemenkeu!$AY$6:$AY$1005="Direkomendasikan",ROW($6:$1005)-5),871)))=1),IFERROR(VLOOKUP(INDEX(checklistPesertaKemenkeu!$M$6:$M$1005,SMALL(IF(checklistPesertaKemenkeu!$AY$6:$AY$1005="Direkomendasikan",ROW($6:$1005)-5),871)),KotaKode,2,0),"-"),"")),"")</f>
        <v/>
      </c>
      <c r="J872" t="str">
        <f t="array" aca="1" ref="J872" ca="1">IFERROR(IF(OR(INDEX(checklistPesertaKemenkeu!$N$6:$N$1005,SMALL(IF(checklistPesertaKemenkeu!$AY$6:$AY$1005="Direkomendasikan",ROW($6:$1005)-5),871))="",INDEX(checklistPesertaKemenkeu!$J$6:$J$1005,SMALL(IF(checklistPesertaKemenkeu!$AY$6:$AY$1005="Direkomendasikan",ROW($6:$1005)-5),871))=""),"",IF(AND(COUNTIF(INDIRECT("K_"&amp;MATCH(INDEX(checklistPesertaKemenkeu!$J$6:$J$1005,SMALL(IF(checklistPesertaKemenkeu!$AY$6:$AY$1005="Direkomendasikan",ROW($6:$1005)-5),871)),BidangList,0)),INDEX(checklistPesertaKemenkeu!$N$6:$N$1005,SMALL(IF(checklistPesertaKemenkeu!$AY$6:$AY$1005="Direkomendasikan",ROW($6:$1005)-5),871)))&gt;0,COUNTIF(INDIRECT("'KERTAS KERJA'!K"&amp;(SMALL(IF(checklistPesertaKemenkeu!$AY$6:$AY$1005="Direkomendasikan",ROW($6:$1005)-5),871)+5)&amp;":O"&amp;(SMALL(IF(checklistPesertaKemenkeu!$AY$6:$AY$1005="Direkomendasikan",ROW($6:$1005)-5),871)+5)),INDEX(checklistPesertaKemenkeu!$N$6:$N$1005,SMALL(IF(checklistPesertaKemenkeu!$AY$6:$AY$1005="Direkomendasikan",ROW($6:$1005)-5),871)))=1),IFERROR(VLOOKUP(INDEX(checklistPesertaKemenkeu!$N$6:$N$1005,SMALL(IF(checklistPesertaKemenkeu!$AY$6:$AY$1005="Direkomendasikan",ROW($6:$1005)-5),871)),KotaKode,2,0),"-"),"")),"")</f>
        <v/>
      </c>
      <c r="K872" t="str">
        <f t="array" aca="1" ref="K872" ca="1">IFERROR(IF(OR(INDEX(checklistPesertaKemenkeu!$O$6:$O$1005,SMALL(IF(checklistPesertaKemenkeu!$AY$6:$AY$1005="Direkomendasikan",ROW($6:$1005)-5),871))="",INDEX(checklistPesertaKemenkeu!$J$6:$J$1005,SMALL(IF(checklistPesertaKemenkeu!$AY$6:$AY$1005="Direkomendasikan",ROW($6:$1005)-5),871))=""),"",IF(AND(COUNTIF(INDIRECT("K_"&amp;MATCH(INDEX(checklistPesertaKemenkeu!$J$6:$J$1005,SMALL(IF(checklistPesertaKemenkeu!$AY$6:$AY$1005="Direkomendasikan",ROW($6:$1005)-5),871)),BidangList,0)),INDEX(checklistPesertaKemenkeu!$O$6:$O$1005,SMALL(IF(checklistPesertaKemenkeu!$AY$6:$AY$1005="Direkomendasikan",ROW($6:$1005)-5),871)))&gt;0,COUNTIF(INDIRECT("'KERTAS KERJA'!K"&amp;(SMALL(IF(checklistPesertaKemenkeu!$AY$6:$AY$1005="Direkomendasikan",ROW($6:$1005)-5),871)+5)&amp;":O"&amp;(SMALL(IF(checklistPesertaKemenkeu!$AY$6:$AY$1005="Direkomendasikan",ROW($6:$1005)-5),871)+5)),INDEX(checklistPesertaKemenkeu!$O$6:$O$1005,SMALL(IF(checklistPesertaKemenkeu!$AY$6:$AY$1005="Direkomendasikan",ROW($6:$1005)-5),871)))=1),IFERROR(VLOOKUP(INDEX(checklistPesertaKemenkeu!$O$6:$O$1005,SMALL(IF(checklistPesertaKemenkeu!$AY$6:$AY$1005="Direkomendasikan",ROW($6:$1005)-5),871)),KotaKode,2,0),"-"),"")),"")</f>
        <v/>
      </c>
      <c r="L872" t="str">
        <f t="array" aca="1" ref="L872" ca="1">IFERROR(IF(OR(INDEX(checklistPesertaKemenkeu!$P$6:$P$1005,SMALL(IF(checklistPesertaKemenkeu!$AY$6:$AY$1005="Direkomendasikan",ROW($6:$1005)-5),871))="",INDEX(checklistPesertaKemenkeu!$J$6:$J$1005,SMALL(IF(checklistPesertaKemenkeu!$AY$6:$AY$1005="Direkomendasikan",ROW($6:$1005)-5),871))=""),"",IF(AND(COUNTIF(INDIRECT("K_"&amp;MATCH(INDEX(checklistPesertaKemenkeu!$J$6:$J$1005,SMALL(IF(checklistPesertaKemenkeu!$AY$6:$AY$1005="Direkomendasikan",ROW($6:$1005)-5),871)),BidangList,0)),INDEX(checklistPesertaKemenkeu!$P$6:$P$1005,SMALL(IF(checklistPesertaKemenkeu!$AY$6:$AY$1005="Direkomendasikan",ROW($6:$1005)-5),871)))&gt;0,COUNTIF(INDIRECT("'KERTAS KERJA'!K"&amp;(SMALL(IF(checklistPesertaKemenkeu!$AY$6:$AY$1005="Direkomendasikan",ROW($6:$1005)-5),871)+5)&amp;":O"&amp;(SMALL(IF(checklistPesertaKemenkeu!$AY$6:$AY$1005="Direkomendasikan",ROW($6:$1005)-5),871)+5)),INDEX(checklistPesertaKemenkeu!$P$6:$P$1005,SMALL(IF(checklistPesertaKemenkeu!$AY$6:$AY$1005="Direkomendasikan",ROW($6:$1005)-5),871)))=1),IFERROR(VLOOKUP(INDEX(checklistPesertaKemenkeu!$P$6:$P$1005,SMALL(IF(checklistPesertaKemenkeu!$AY$6:$AY$1005="Direkomendasikan",ROW($6:$1005)-5),871)),KotaKode,2,0),"-"),"")),"")</f>
        <v/>
      </c>
    </row>
    <row r="873" spans="1:12" ht="15" customHeight="1" x14ac:dyDescent="0.2">
      <c r="A873" t="str">
        <f t="shared" si="13"/>
        <v/>
      </c>
      <c r="B873" t="str">
        <v/>
      </c>
      <c r="C873" s="40" t="str">
        <f t="array" ref="C873">IFERROR(INDEX(checklistPesertaKemenkeu!$F$6:$F$1005,SMALL(IF(checklistPesertaKemenkeu!$AY$6:$AY$1005="Direkomendasikan",ROW($6:$1005)-5),872)),"")</f>
        <v/>
      </c>
      <c r="D873" t="str">
        <f t="array" ref="D873">IFERROR(INDEX(checklistPesertaKemenkeu!$G$6:$G$1005,SMALL(IF(checklistPesertaKemenkeu!$AY$6:$AY$1005="Direkomendasikan",ROW($6:$1005)-5),872)),"")</f>
        <v/>
      </c>
      <c r="E873" t="str">
        <f t="array" ref="E873">IFERROR(INDEX(checklistPesertaKemenkeu!$H$6:$H$1005,SMALL(IF(checklistPesertaKemenkeu!$AY$6:$AY$1005="Direkomendasikan",ROW($6:$1005)-5),872)),"")</f>
        <v/>
      </c>
      <c r="F873" t="str">
        <f t="array" ref="F873">IFERROR(INDEX(checklistPesertaKemenkeu!$I$6:$I$1005,SMALL(IF(checklistPesertaKemenkeu!$AY$6:$AY$1005="Direkomendasikan",ROW($6:$1005)-5),872)),"")</f>
        <v/>
      </c>
      <c r="G873" t="str">
        <f t="array" ref="G873">IFERROR(INDEX(checklistPesertaKemenkeu!$J$6:$J$1005,SMALL(IF(checklistPesertaKemenkeu!$AY$6:$AY$1005="Direkomendasikan",ROW($6:$1005)-5),872)),"")</f>
        <v/>
      </c>
      <c r="H873" t="str">
        <f t="array" aca="1" ref="H873" ca="1">IFERROR(IF(OR(INDEX(checklistPesertaKemenkeu!$L$6:$L$1005,SMALL(IF(checklistPesertaKemenkeu!$AY$6:$AY$1005="Direkomendasikan",ROW($6:$1005)-5),872))="",INDEX(checklistPesertaKemenkeu!$J$6:$J$1005,SMALL(IF(checklistPesertaKemenkeu!$AY$6:$AY$1005="Direkomendasikan",ROW($6:$1005)-5),872))=""),"",IF(AND(COUNTIF(INDIRECT("K_"&amp;MATCH(INDEX(checklistPesertaKemenkeu!$J$6:$J$1005,SMALL(IF(checklistPesertaKemenkeu!$AY$6:$AY$1005="Direkomendasikan",ROW($6:$1005)-5),872)),BidangList,0)),INDEX(checklistPesertaKemenkeu!$L$6:$L$1005,SMALL(IF(checklistPesertaKemenkeu!$AY$6:$AY$1005="Direkomendasikan",ROW($6:$1005)-5),872)))&gt;0,COUNTIF(INDIRECT("'KERTAS KERJA'!K"&amp;(SMALL(IF(checklistPesertaKemenkeu!$AY$6:$AY$1005="Direkomendasikan",ROW($6:$1005)-5),872)+5)&amp;":O"&amp;(SMALL(IF(checklistPesertaKemenkeu!$AY$6:$AY$1005="Direkomendasikan",ROW($6:$1005)-5),872)+5)),INDEX(checklistPesertaKemenkeu!$L$6:$L$1005,SMALL(IF(checklistPesertaKemenkeu!$AY$6:$AY$1005="Direkomendasikan",ROW($6:$1005)-5),872)))=1),IFERROR(VLOOKUP(INDEX(checklistPesertaKemenkeu!$L$6:$L$1005,SMALL(IF(checklistPesertaKemenkeu!$AY$6:$AY$1005="Direkomendasikan",ROW($6:$1005)-5),872)),KotaKode,2,0),"-"),"")),"")</f>
        <v/>
      </c>
      <c r="I873" t="str">
        <f t="array" aca="1" ref="I873" ca="1">IFERROR(IF(OR(INDEX(checklistPesertaKemenkeu!$M$6:$M$1005,SMALL(IF(checklistPesertaKemenkeu!$AY$6:$AY$1005="Direkomendasikan",ROW($6:$1005)-5),872))="",INDEX(checklistPesertaKemenkeu!$J$6:$J$1005,SMALL(IF(checklistPesertaKemenkeu!$AY$6:$AY$1005="Direkomendasikan",ROW($6:$1005)-5),872))=""),"",IF(AND(COUNTIF(INDIRECT("K_"&amp;MATCH(INDEX(checklistPesertaKemenkeu!$J$6:$J$1005,SMALL(IF(checklistPesertaKemenkeu!$AY$6:$AY$1005="Direkomendasikan",ROW($6:$1005)-5),872)),BidangList,0)),INDEX(checklistPesertaKemenkeu!$M$6:$M$1005,SMALL(IF(checklistPesertaKemenkeu!$AY$6:$AY$1005="Direkomendasikan",ROW($6:$1005)-5),872)))&gt;0,COUNTIF(INDIRECT("'KERTAS KERJA'!K"&amp;(SMALL(IF(checklistPesertaKemenkeu!$AY$6:$AY$1005="Direkomendasikan",ROW($6:$1005)-5),872)+5)&amp;":O"&amp;(SMALL(IF(checklistPesertaKemenkeu!$AY$6:$AY$1005="Direkomendasikan",ROW($6:$1005)-5),872)+5)),INDEX(checklistPesertaKemenkeu!$M$6:$M$1005,SMALL(IF(checklistPesertaKemenkeu!$AY$6:$AY$1005="Direkomendasikan",ROW($6:$1005)-5),872)))=1),IFERROR(VLOOKUP(INDEX(checklistPesertaKemenkeu!$M$6:$M$1005,SMALL(IF(checklistPesertaKemenkeu!$AY$6:$AY$1005="Direkomendasikan",ROW($6:$1005)-5),872)),KotaKode,2,0),"-"),"")),"")</f>
        <v/>
      </c>
      <c r="J873" t="str">
        <f t="array" aca="1" ref="J873" ca="1">IFERROR(IF(OR(INDEX(checklistPesertaKemenkeu!$N$6:$N$1005,SMALL(IF(checklistPesertaKemenkeu!$AY$6:$AY$1005="Direkomendasikan",ROW($6:$1005)-5),872))="",INDEX(checklistPesertaKemenkeu!$J$6:$J$1005,SMALL(IF(checklistPesertaKemenkeu!$AY$6:$AY$1005="Direkomendasikan",ROW($6:$1005)-5),872))=""),"",IF(AND(COUNTIF(INDIRECT("K_"&amp;MATCH(INDEX(checklistPesertaKemenkeu!$J$6:$J$1005,SMALL(IF(checklistPesertaKemenkeu!$AY$6:$AY$1005="Direkomendasikan",ROW($6:$1005)-5),872)),BidangList,0)),INDEX(checklistPesertaKemenkeu!$N$6:$N$1005,SMALL(IF(checklistPesertaKemenkeu!$AY$6:$AY$1005="Direkomendasikan",ROW($6:$1005)-5),872)))&gt;0,COUNTIF(INDIRECT("'KERTAS KERJA'!K"&amp;(SMALL(IF(checklistPesertaKemenkeu!$AY$6:$AY$1005="Direkomendasikan",ROW($6:$1005)-5),872)+5)&amp;":O"&amp;(SMALL(IF(checklistPesertaKemenkeu!$AY$6:$AY$1005="Direkomendasikan",ROW($6:$1005)-5),872)+5)),INDEX(checklistPesertaKemenkeu!$N$6:$N$1005,SMALL(IF(checklistPesertaKemenkeu!$AY$6:$AY$1005="Direkomendasikan",ROW($6:$1005)-5),872)))=1),IFERROR(VLOOKUP(INDEX(checklistPesertaKemenkeu!$N$6:$N$1005,SMALL(IF(checklistPesertaKemenkeu!$AY$6:$AY$1005="Direkomendasikan",ROW($6:$1005)-5),872)),KotaKode,2,0),"-"),"")),"")</f>
        <v/>
      </c>
      <c r="K873" t="str">
        <f t="array" aca="1" ref="K873" ca="1">IFERROR(IF(OR(INDEX(checklistPesertaKemenkeu!$O$6:$O$1005,SMALL(IF(checklistPesertaKemenkeu!$AY$6:$AY$1005="Direkomendasikan",ROW($6:$1005)-5),872))="",INDEX(checklistPesertaKemenkeu!$J$6:$J$1005,SMALL(IF(checklistPesertaKemenkeu!$AY$6:$AY$1005="Direkomendasikan",ROW($6:$1005)-5),872))=""),"",IF(AND(COUNTIF(INDIRECT("K_"&amp;MATCH(INDEX(checklistPesertaKemenkeu!$J$6:$J$1005,SMALL(IF(checklistPesertaKemenkeu!$AY$6:$AY$1005="Direkomendasikan",ROW($6:$1005)-5),872)),BidangList,0)),INDEX(checklistPesertaKemenkeu!$O$6:$O$1005,SMALL(IF(checklistPesertaKemenkeu!$AY$6:$AY$1005="Direkomendasikan",ROW($6:$1005)-5),872)))&gt;0,COUNTIF(INDIRECT("'KERTAS KERJA'!K"&amp;(SMALL(IF(checklistPesertaKemenkeu!$AY$6:$AY$1005="Direkomendasikan",ROW($6:$1005)-5),872)+5)&amp;":O"&amp;(SMALL(IF(checklistPesertaKemenkeu!$AY$6:$AY$1005="Direkomendasikan",ROW($6:$1005)-5),872)+5)),INDEX(checklistPesertaKemenkeu!$O$6:$O$1005,SMALL(IF(checklistPesertaKemenkeu!$AY$6:$AY$1005="Direkomendasikan",ROW($6:$1005)-5),872)))=1),IFERROR(VLOOKUP(INDEX(checklistPesertaKemenkeu!$O$6:$O$1005,SMALL(IF(checklistPesertaKemenkeu!$AY$6:$AY$1005="Direkomendasikan",ROW($6:$1005)-5),872)),KotaKode,2,0),"-"),"")),"")</f>
        <v/>
      </c>
      <c r="L873" t="str">
        <f t="array" aca="1" ref="L873" ca="1">IFERROR(IF(OR(INDEX(checklistPesertaKemenkeu!$P$6:$P$1005,SMALL(IF(checklistPesertaKemenkeu!$AY$6:$AY$1005="Direkomendasikan",ROW($6:$1005)-5),872))="",INDEX(checklistPesertaKemenkeu!$J$6:$J$1005,SMALL(IF(checklistPesertaKemenkeu!$AY$6:$AY$1005="Direkomendasikan",ROW($6:$1005)-5),872))=""),"",IF(AND(COUNTIF(INDIRECT("K_"&amp;MATCH(INDEX(checklistPesertaKemenkeu!$J$6:$J$1005,SMALL(IF(checklistPesertaKemenkeu!$AY$6:$AY$1005="Direkomendasikan",ROW($6:$1005)-5),872)),BidangList,0)),INDEX(checklistPesertaKemenkeu!$P$6:$P$1005,SMALL(IF(checklistPesertaKemenkeu!$AY$6:$AY$1005="Direkomendasikan",ROW($6:$1005)-5),872)))&gt;0,COUNTIF(INDIRECT("'KERTAS KERJA'!K"&amp;(SMALL(IF(checklistPesertaKemenkeu!$AY$6:$AY$1005="Direkomendasikan",ROW($6:$1005)-5),872)+5)&amp;":O"&amp;(SMALL(IF(checklistPesertaKemenkeu!$AY$6:$AY$1005="Direkomendasikan",ROW($6:$1005)-5),872)+5)),INDEX(checklistPesertaKemenkeu!$P$6:$P$1005,SMALL(IF(checklistPesertaKemenkeu!$AY$6:$AY$1005="Direkomendasikan",ROW($6:$1005)-5),872)))=1),IFERROR(VLOOKUP(INDEX(checklistPesertaKemenkeu!$P$6:$P$1005,SMALL(IF(checklistPesertaKemenkeu!$AY$6:$AY$1005="Direkomendasikan",ROW($6:$1005)-5),872)),KotaKode,2,0),"-"),"")),"")</f>
        <v/>
      </c>
    </row>
    <row r="874" spans="1:12" ht="15" customHeight="1" x14ac:dyDescent="0.2">
      <c r="A874" t="str">
        <f t="shared" si="13"/>
        <v/>
      </c>
      <c r="B874" t="str">
        <v/>
      </c>
      <c r="C874" s="40" t="str">
        <f t="array" ref="C874">IFERROR(INDEX(checklistPesertaKemenkeu!$F$6:$F$1005,SMALL(IF(checklistPesertaKemenkeu!$AY$6:$AY$1005="Direkomendasikan",ROW($6:$1005)-5),873)),"")</f>
        <v/>
      </c>
      <c r="D874" t="str">
        <f t="array" ref="D874">IFERROR(INDEX(checklistPesertaKemenkeu!$G$6:$G$1005,SMALL(IF(checklistPesertaKemenkeu!$AY$6:$AY$1005="Direkomendasikan",ROW($6:$1005)-5),873)),"")</f>
        <v/>
      </c>
      <c r="E874" t="str">
        <f t="array" ref="E874">IFERROR(INDEX(checklistPesertaKemenkeu!$H$6:$H$1005,SMALL(IF(checklistPesertaKemenkeu!$AY$6:$AY$1005="Direkomendasikan",ROW($6:$1005)-5),873)),"")</f>
        <v/>
      </c>
      <c r="F874" t="str">
        <f t="array" ref="F874">IFERROR(INDEX(checklistPesertaKemenkeu!$I$6:$I$1005,SMALL(IF(checklistPesertaKemenkeu!$AY$6:$AY$1005="Direkomendasikan",ROW($6:$1005)-5),873)),"")</f>
        <v/>
      </c>
      <c r="G874" t="str">
        <f t="array" ref="G874">IFERROR(INDEX(checklistPesertaKemenkeu!$J$6:$J$1005,SMALL(IF(checklistPesertaKemenkeu!$AY$6:$AY$1005="Direkomendasikan",ROW($6:$1005)-5),873)),"")</f>
        <v/>
      </c>
      <c r="H874" t="str">
        <f t="array" aca="1" ref="H874" ca="1">IFERROR(IF(OR(INDEX(checklistPesertaKemenkeu!$L$6:$L$1005,SMALL(IF(checklistPesertaKemenkeu!$AY$6:$AY$1005="Direkomendasikan",ROW($6:$1005)-5),873))="",INDEX(checklistPesertaKemenkeu!$J$6:$J$1005,SMALL(IF(checklistPesertaKemenkeu!$AY$6:$AY$1005="Direkomendasikan",ROW($6:$1005)-5),873))=""),"",IF(AND(COUNTIF(INDIRECT("K_"&amp;MATCH(INDEX(checklistPesertaKemenkeu!$J$6:$J$1005,SMALL(IF(checklistPesertaKemenkeu!$AY$6:$AY$1005="Direkomendasikan",ROW($6:$1005)-5),873)),BidangList,0)),INDEX(checklistPesertaKemenkeu!$L$6:$L$1005,SMALL(IF(checklistPesertaKemenkeu!$AY$6:$AY$1005="Direkomendasikan",ROW($6:$1005)-5),873)))&gt;0,COUNTIF(INDIRECT("'KERTAS KERJA'!K"&amp;(SMALL(IF(checklistPesertaKemenkeu!$AY$6:$AY$1005="Direkomendasikan",ROW($6:$1005)-5),873)+5)&amp;":O"&amp;(SMALL(IF(checklistPesertaKemenkeu!$AY$6:$AY$1005="Direkomendasikan",ROW($6:$1005)-5),873)+5)),INDEX(checklistPesertaKemenkeu!$L$6:$L$1005,SMALL(IF(checklistPesertaKemenkeu!$AY$6:$AY$1005="Direkomendasikan",ROW($6:$1005)-5),873)))=1),IFERROR(VLOOKUP(INDEX(checklistPesertaKemenkeu!$L$6:$L$1005,SMALL(IF(checklistPesertaKemenkeu!$AY$6:$AY$1005="Direkomendasikan",ROW($6:$1005)-5),873)),KotaKode,2,0),"-"),"")),"")</f>
        <v/>
      </c>
      <c r="I874" t="str">
        <f t="array" aca="1" ref="I874" ca="1">IFERROR(IF(OR(INDEX(checklistPesertaKemenkeu!$M$6:$M$1005,SMALL(IF(checklistPesertaKemenkeu!$AY$6:$AY$1005="Direkomendasikan",ROW($6:$1005)-5),873))="",INDEX(checklistPesertaKemenkeu!$J$6:$J$1005,SMALL(IF(checklistPesertaKemenkeu!$AY$6:$AY$1005="Direkomendasikan",ROW($6:$1005)-5),873))=""),"",IF(AND(COUNTIF(INDIRECT("K_"&amp;MATCH(INDEX(checklistPesertaKemenkeu!$J$6:$J$1005,SMALL(IF(checklistPesertaKemenkeu!$AY$6:$AY$1005="Direkomendasikan",ROW($6:$1005)-5),873)),BidangList,0)),INDEX(checklistPesertaKemenkeu!$M$6:$M$1005,SMALL(IF(checklistPesertaKemenkeu!$AY$6:$AY$1005="Direkomendasikan",ROW($6:$1005)-5),873)))&gt;0,COUNTIF(INDIRECT("'KERTAS KERJA'!K"&amp;(SMALL(IF(checklistPesertaKemenkeu!$AY$6:$AY$1005="Direkomendasikan",ROW($6:$1005)-5),873)+5)&amp;":O"&amp;(SMALL(IF(checklistPesertaKemenkeu!$AY$6:$AY$1005="Direkomendasikan",ROW($6:$1005)-5),873)+5)),INDEX(checklistPesertaKemenkeu!$M$6:$M$1005,SMALL(IF(checklistPesertaKemenkeu!$AY$6:$AY$1005="Direkomendasikan",ROW($6:$1005)-5),873)))=1),IFERROR(VLOOKUP(INDEX(checklistPesertaKemenkeu!$M$6:$M$1005,SMALL(IF(checklistPesertaKemenkeu!$AY$6:$AY$1005="Direkomendasikan",ROW($6:$1005)-5),873)),KotaKode,2,0),"-"),"")),"")</f>
        <v/>
      </c>
      <c r="J874" t="str">
        <f t="array" aca="1" ref="J874" ca="1">IFERROR(IF(OR(INDEX(checklistPesertaKemenkeu!$N$6:$N$1005,SMALL(IF(checklistPesertaKemenkeu!$AY$6:$AY$1005="Direkomendasikan",ROW($6:$1005)-5),873))="",INDEX(checklistPesertaKemenkeu!$J$6:$J$1005,SMALL(IF(checklistPesertaKemenkeu!$AY$6:$AY$1005="Direkomendasikan",ROW($6:$1005)-5),873))=""),"",IF(AND(COUNTIF(INDIRECT("K_"&amp;MATCH(INDEX(checklistPesertaKemenkeu!$J$6:$J$1005,SMALL(IF(checklistPesertaKemenkeu!$AY$6:$AY$1005="Direkomendasikan",ROW($6:$1005)-5),873)),BidangList,0)),INDEX(checklistPesertaKemenkeu!$N$6:$N$1005,SMALL(IF(checklistPesertaKemenkeu!$AY$6:$AY$1005="Direkomendasikan",ROW($6:$1005)-5),873)))&gt;0,COUNTIF(INDIRECT("'KERTAS KERJA'!K"&amp;(SMALL(IF(checklistPesertaKemenkeu!$AY$6:$AY$1005="Direkomendasikan",ROW($6:$1005)-5),873)+5)&amp;":O"&amp;(SMALL(IF(checklistPesertaKemenkeu!$AY$6:$AY$1005="Direkomendasikan",ROW($6:$1005)-5),873)+5)),INDEX(checklistPesertaKemenkeu!$N$6:$N$1005,SMALL(IF(checklistPesertaKemenkeu!$AY$6:$AY$1005="Direkomendasikan",ROW($6:$1005)-5),873)))=1),IFERROR(VLOOKUP(INDEX(checklistPesertaKemenkeu!$N$6:$N$1005,SMALL(IF(checklistPesertaKemenkeu!$AY$6:$AY$1005="Direkomendasikan",ROW($6:$1005)-5),873)),KotaKode,2,0),"-"),"")),"")</f>
        <v/>
      </c>
      <c r="K874" t="str">
        <f t="array" aca="1" ref="K874" ca="1">IFERROR(IF(OR(INDEX(checklistPesertaKemenkeu!$O$6:$O$1005,SMALL(IF(checklistPesertaKemenkeu!$AY$6:$AY$1005="Direkomendasikan",ROW($6:$1005)-5),873))="",INDEX(checklistPesertaKemenkeu!$J$6:$J$1005,SMALL(IF(checklistPesertaKemenkeu!$AY$6:$AY$1005="Direkomendasikan",ROW($6:$1005)-5),873))=""),"",IF(AND(COUNTIF(INDIRECT("K_"&amp;MATCH(INDEX(checklistPesertaKemenkeu!$J$6:$J$1005,SMALL(IF(checklistPesertaKemenkeu!$AY$6:$AY$1005="Direkomendasikan",ROW($6:$1005)-5),873)),BidangList,0)),INDEX(checklistPesertaKemenkeu!$O$6:$O$1005,SMALL(IF(checklistPesertaKemenkeu!$AY$6:$AY$1005="Direkomendasikan",ROW($6:$1005)-5),873)))&gt;0,COUNTIF(INDIRECT("'KERTAS KERJA'!K"&amp;(SMALL(IF(checklistPesertaKemenkeu!$AY$6:$AY$1005="Direkomendasikan",ROW($6:$1005)-5),873)+5)&amp;":O"&amp;(SMALL(IF(checklistPesertaKemenkeu!$AY$6:$AY$1005="Direkomendasikan",ROW($6:$1005)-5),873)+5)),INDEX(checklistPesertaKemenkeu!$O$6:$O$1005,SMALL(IF(checklistPesertaKemenkeu!$AY$6:$AY$1005="Direkomendasikan",ROW($6:$1005)-5),873)))=1),IFERROR(VLOOKUP(INDEX(checklistPesertaKemenkeu!$O$6:$O$1005,SMALL(IF(checklistPesertaKemenkeu!$AY$6:$AY$1005="Direkomendasikan",ROW($6:$1005)-5),873)),KotaKode,2,0),"-"),"")),"")</f>
        <v/>
      </c>
      <c r="L874" t="str">
        <f t="array" aca="1" ref="L874" ca="1">IFERROR(IF(OR(INDEX(checklistPesertaKemenkeu!$P$6:$P$1005,SMALL(IF(checklistPesertaKemenkeu!$AY$6:$AY$1005="Direkomendasikan",ROW($6:$1005)-5),873))="",INDEX(checklistPesertaKemenkeu!$J$6:$J$1005,SMALL(IF(checklistPesertaKemenkeu!$AY$6:$AY$1005="Direkomendasikan",ROW($6:$1005)-5),873))=""),"",IF(AND(COUNTIF(INDIRECT("K_"&amp;MATCH(INDEX(checklistPesertaKemenkeu!$J$6:$J$1005,SMALL(IF(checklistPesertaKemenkeu!$AY$6:$AY$1005="Direkomendasikan",ROW($6:$1005)-5),873)),BidangList,0)),INDEX(checklistPesertaKemenkeu!$P$6:$P$1005,SMALL(IF(checklistPesertaKemenkeu!$AY$6:$AY$1005="Direkomendasikan",ROW($6:$1005)-5),873)))&gt;0,COUNTIF(INDIRECT("'KERTAS KERJA'!K"&amp;(SMALL(IF(checklistPesertaKemenkeu!$AY$6:$AY$1005="Direkomendasikan",ROW($6:$1005)-5),873)+5)&amp;":O"&amp;(SMALL(IF(checklistPesertaKemenkeu!$AY$6:$AY$1005="Direkomendasikan",ROW($6:$1005)-5),873)+5)),INDEX(checklistPesertaKemenkeu!$P$6:$P$1005,SMALL(IF(checklistPesertaKemenkeu!$AY$6:$AY$1005="Direkomendasikan",ROW($6:$1005)-5),873)))=1),IFERROR(VLOOKUP(INDEX(checklistPesertaKemenkeu!$P$6:$P$1005,SMALL(IF(checklistPesertaKemenkeu!$AY$6:$AY$1005="Direkomendasikan",ROW($6:$1005)-5),873)),KotaKode,2,0),"-"),"")),"")</f>
        <v/>
      </c>
    </row>
    <row r="875" spans="1:12" ht="15" customHeight="1" x14ac:dyDescent="0.2">
      <c r="A875" t="str">
        <f t="shared" si="13"/>
        <v/>
      </c>
      <c r="B875" t="str">
        <v/>
      </c>
      <c r="C875" s="40" t="str">
        <f t="array" ref="C875">IFERROR(INDEX(checklistPesertaKemenkeu!$F$6:$F$1005,SMALL(IF(checklistPesertaKemenkeu!$AY$6:$AY$1005="Direkomendasikan",ROW($6:$1005)-5),874)),"")</f>
        <v/>
      </c>
      <c r="D875" t="str">
        <f t="array" ref="D875">IFERROR(INDEX(checklistPesertaKemenkeu!$G$6:$G$1005,SMALL(IF(checklistPesertaKemenkeu!$AY$6:$AY$1005="Direkomendasikan",ROW($6:$1005)-5),874)),"")</f>
        <v/>
      </c>
      <c r="E875" t="str">
        <f t="array" ref="E875">IFERROR(INDEX(checklistPesertaKemenkeu!$H$6:$H$1005,SMALL(IF(checklistPesertaKemenkeu!$AY$6:$AY$1005="Direkomendasikan",ROW($6:$1005)-5),874)),"")</f>
        <v/>
      </c>
      <c r="F875" t="str">
        <f t="array" ref="F875">IFERROR(INDEX(checklistPesertaKemenkeu!$I$6:$I$1005,SMALL(IF(checklistPesertaKemenkeu!$AY$6:$AY$1005="Direkomendasikan",ROW($6:$1005)-5),874)),"")</f>
        <v/>
      </c>
      <c r="G875" t="str">
        <f t="array" ref="G875">IFERROR(INDEX(checklistPesertaKemenkeu!$J$6:$J$1005,SMALL(IF(checklistPesertaKemenkeu!$AY$6:$AY$1005="Direkomendasikan",ROW($6:$1005)-5),874)),"")</f>
        <v/>
      </c>
      <c r="H875" t="str">
        <f t="array" aca="1" ref="H875" ca="1">IFERROR(IF(OR(INDEX(checklistPesertaKemenkeu!$L$6:$L$1005,SMALL(IF(checklistPesertaKemenkeu!$AY$6:$AY$1005="Direkomendasikan",ROW($6:$1005)-5),874))="",INDEX(checklistPesertaKemenkeu!$J$6:$J$1005,SMALL(IF(checklistPesertaKemenkeu!$AY$6:$AY$1005="Direkomendasikan",ROW($6:$1005)-5),874))=""),"",IF(AND(COUNTIF(INDIRECT("K_"&amp;MATCH(INDEX(checklistPesertaKemenkeu!$J$6:$J$1005,SMALL(IF(checklistPesertaKemenkeu!$AY$6:$AY$1005="Direkomendasikan",ROW($6:$1005)-5),874)),BidangList,0)),INDEX(checklistPesertaKemenkeu!$L$6:$L$1005,SMALL(IF(checklistPesertaKemenkeu!$AY$6:$AY$1005="Direkomendasikan",ROW($6:$1005)-5),874)))&gt;0,COUNTIF(INDIRECT("'KERTAS KERJA'!K"&amp;(SMALL(IF(checklistPesertaKemenkeu!$AY$6:$AY$1005="Direkomendasikan",ROW($6:$1005)-5),874)+5)&amp;":O"&amp;(SMALL(IF(checklistPesertaKemenkeu!$AY$6:$AY$1005="Direkomendasikan",ROW($6:$1005)-5),874)+5)),INDEX(checklistPesertaKemenkeu!$L$6:$L$1005,SMALL(IF(checklistPesertaKemenkeu!$AY$6:$AY$1005="Direkomendasikan",ROW($6:$1005)-5),874)))=1),IFERROR(VLOOKUP(INDEX(checklistPesertaKemenkeu!$L$6:$L$1005,SMALL(IF(checklistPesertaKemenkeu!$AY$6:$AY$1005="Direkomendasikan",ROW($6:$1005)-5),874)),KotaKode,2,0),"-"),"")),"")</f>
        <v/>
      </c>
      <c r="I875" t="str">
        <f t="array" aca="1" ref="I875" ca="1">IFERROR(IF(OR(INDEX(checklistPesertaKemenkeu!$M$6:$M$1005,SMALL(IF(checklistPesertaKemenkeu!$AY$6:$AY$1005="Direkomendasikan",ROW($6:$1005)-5),874))="",INDEX(checklistPesertaKemenkeu!$J$6:$J$1005,SMALL(IF(checklistPesertaKemenkeu!$AY$6:$AY$1005="Direkomendasikan",ROW($6:$1005)-5),874))=""),"",IF(AND(COUNTIF(INDIRECT("K_"&amp;MATCH(INDEX(checklistPesertaKemenkeu!$J$6:$J$1005,SMALL(IF(checklistPesertaKemenkeu!$AY$6:$AY$1005="Direkomendasikan",ROW($6:$1005)-5),874)),BidangList,0)),INDEX(checklistPesertaKemenkeu!$M$6:$M$1005,SMALL(IF(checklistPesertaKemenkeu!$AY$6:$AY$1005="Direkomendasikan",ROW($6:$1005)-5),874)))&gt;0,COUNTIF(INDIRECT("'KERTAS KERJA'!K"&amp;(SMALL(IF(checklistPesertaKemenkeu!$AY$6:$AY$1005="Direkomendasikan",ROW($6:$1005)-5),874)+5)&amp;":O"&amp;(SMALL(IF(checklistPesertaKemenkeu!$AY$6:$AY$1005="Direkomendasikan",ROW($6:$1005)-5),874)+5)),INDEX(checklistPesertaKemenkeu!$M$6:$M$1005,SMALL(IF(checklistPesertaKemenkeu!$AY$6:$AY$1005="Direkomendasikan",ROW($6:$1005)-5),874)))=1),IFERROR(VLOOKUP(INDEX(checklistPesertaKemenkeu!$M$6:$M$1005,SMALL(IF(checklistPesertaKemenkeu!$AY$6:$AY$1005="Direkomendasikan",ROW($6:$1005)-5),874)),KotaKode,2,0),"-"),"")),"")</f>
        <v/>
      </c>
      <c r="J875" t="str">
        <f t="array" aca="1" ref="J875" ca="1">IFERROR(IF(OR(INDEX(checklistPesertaKemenkeu!$N$6:$N$1005,SMALL(IF(checklistPesertaKemenkeu!$AY$6:$AY$1005="Direkomendasikan",ROW($6:$1005)-5),874))="",INDEX(checklistPesertaKemenkeu!$J$6:$J$1005,SMALL(IF(checklistPesertaKemenkeu!$AY$6:$AY$1005="Direkomendasikan",ROW($6:$1005)-5),874))=""),"",IF(AND(COUNTIF(INDIRECT("K_"&amp;MATCH(INDEX(checklistPesertaKemenkeu!$J$6:$J$1005,SMALL(IF(checklistPesertaKemenkeu!$AY$6:$AY$1005="Direkomendasikan",ROW($6:$1005)-5),874)),BidangList,0)),INDEX(checklistPesertaKemenkeu!$N$6:$N$1005,SMALL(IF(checklistPesertaKemenkeu!$AY$6:$AY$1005="Direkomendasikan",ROW($6:$1005)-5),874)))&gt;0,COUNTIF(INDIRECT("'KERTAS KERJA'!K"&amp;(SMALL(IF(checklistPesertaKemenkeu!$AY$6:$AY$1005="Direkomendasikan",ROW($6:$1005)-5),874)+5)&amp;":O"&amp;(SMALL(IF(checklistPesertaKemenkeu!$AY$6:$AY$1005="Direkomendasikan",ROW($6:$1005)-5),874)+5)),INDEX(checklistPesertaKemenkeu!$N$6:$N$1005,SMALL(IF(checklistPesertaKemenkeu!$AY$6:$AY$1005="Direkomendasikan",ROW($6:$1005)-5),874)))=1),IFERROR(VLOOKUP(INDEX(checklistPesertaKemenkeu!$N$6:$N$1005,SMALL(IF(checklistPesertaKemenkeu!$AY$6:$AY$1005="Direkomendasikan",ROW($6:$1005)-5),874)),KotaKode,2,0),"-"),"")),"")</f>
        <v/>
      </c>
      <c r="K875" t="str">
        <f t="array" aca="1" ref="K875" ca="1">IFERROR(IF(OR(INDEX(checklistPesertaKemenkeu!$O$6:$O$1005,SMALL(IF(checklistPesertaKemenkeu!$AY$6:$AY$1005="Direkomendasikan",ROW($6:$1005)-5),874))="",INDEX(checklistPesertaKemenkeu!$J$6:$J$1005,SMALL(IF(checklistPesertaKemenkeu!$AY$6:$AY$1005="Direkomendasikan",ROW($6:$1005)-5),874))=""),"",IF(AND(COUNTIF(INDIRECT("K_"&amp;MATCH(INDEX(checklistPesertaKemenkeu!$J$6:$J$1005,SMALL(IF(checklistPesertaKemenkeu!$AY$6:$AY$1005="Direkomendasikan",ROW($6:$1005)-5),874)),BidangList,0)),INDEX(checklistPesertaKemenkeu!$O$6:$O$1005,SMALL(IF(checklistPesertaKemenkeu!$AY$6:$AY$1005="Direkomendasikan",ROW($6:$1005)-5),874)))&gt;0,COUNTIF(INDIRECT("'KERTAS KERJA'!K"&amp;(SMALL(IF(checklistPesertaKemenkeu!$AY$6:$AY$1005="Direkomendasikan",ROW($6:$1005)-5),874)+5)&amp;":O"&amp;(SMALL(IF(checklistPesertaKemenkeu!$AY$6:$AY$1005="Direkomendasikan",ROW($6:$1005)-5),874)+5)),INDEX(checklistPesertaKemenkeu!$O$6:$O$1005,SMALL(IF(checklistPesertaKemenkeu!$AY$6:$AY$1005="Direkomendasikan",ROW($6:$1005)-5),874)))=1),IFERROR(VLOOKUP(INDEX(checklistPesertaKemenkeu!$O$6:$O$1005,SMALL(IF(checklistPesertaKemenkeu!$AY$6:$AY$1005="Direkomendasikan",ROW($6:$1005)-5),874)),KotaKode,2,0),"-"),"")),"")</f>
        <v/>
      </c>
      <c r="L875" t="str">
        <f t="array" aca="1" ref="L875" ca="1">IFERROR(IF(OR(INDEX(checklistPesertaKemenkeu!$P$6:$P$1005,SMALL(IF(checklistPesertaKemenkeu!$AY$6:$AY$1005="Direkomendasikan",ROW($6:$1005)-5),874))="",INDEX(checklistPesertaKemenkeu!$J$6:$J$1005,SMALL(IF(checklistPesertaKemenkeu!$AY$6:$AY$1005="Direkomendasikan",ROW($6:$1005)-5),874))=""),"",IF(AND(COUNTIF(INDIRECT("K_"&amp;MATCH(INDEX(checklistPesertaKemenkeu!$J$6:$J$1005,SMALL(IF(checklistPesertaKemenkeu!$AY$6:$AY$1005="Direkomendasikan",ROW($6:$1005)-5),874)),BidangList,0)),INDEX(checklistPesertaKemenkeu!$P$6:$P$1005,SMALL(IF(checklistPesertaKemenkeu!$AY$6:$AY$1005="Direkomendasikan",ROW($6:$1005)-5),874)))&gt;0,COUNTIF(INDIRECT("'KERTAS KERJA'!K"&amp;(SMALL(IF(checklistPesertaKemenkeu!$AY$6:$AY$1005="Direkomendasikan",ROW($6:$1005)-5),874)+5)&amp;":O"&amp;(SMALL(IF(checklistPesertaKemenkeu!$AY$6:$AY$1005="Direkomendasikan",ROW($6:$1005)-5),874)+5)),INDEX(checklistPesertaKemenkeu!$P$6:$P$1005,SMALL(IF(checklistPesertaKemenkeu!$AY$6:$AY$1005="Direkomendasikan",ROW($6:$1005)-5),874)))=1),IFERROR(VLOOKUP(INDEX(checklistPesertaKemenkeu!$P$6:$P$1005,SMALL(IF(checklistPesertaKemenkeu!$AY$6:$AY$1005="Direkomendasikan",ROW($6:$1005)-5),874)),KotaKode,2,0),"-"),"")),"")</f>
        <v/>
      </c>
    </row>
    <row r="876" spans="1:12" ht="15" customHeight="1" x14ac:dyDescent="0.2">
      <c r="A876" t="str">
        <f t="shared" si="13"/>
        <v/>
      </c>
      <c r="B876" t="str">
        <v/>
      </c>
      <c r="C876" s="40" t="str">
        <f t="array" ref="C876">IFERROR(INDEX(checklistPesertaKemenkeu!$F$6:$F$1005,SMALL(IF(checklistPesertaKemenkeu!$AY$6:$AY$1005="Direkomendasikan",ROW($6:$1005)-5),875)),"")</f>
        <v/>
      </c>
      <c r="D876" t="str">
        <f t="array" ref="D876">IFERROR(INDEX(checklistPesertaKemenkeu!$G$6:$G$1005,SMALL(IF(checklistPesertaKemenkeu!$AY$6:$AY$1005="Direkomendasikan",ROW($6:$1005)-5),875)),"")</f>
        <v/>
      </c>
      <c r="E876" t="str">
        <f t="array" ref="E876">IFERROR(INDEX(checklistPesertaKemenkeu!$H$6:$H$1005,SMALL(IF(checklistPesertaKemenkeu!$AY$6:$AY$1005="Direkomendasikan",ROW($6:$1005)-5),875)),"")</f>
        <v/>
      </c>
      <c r="F876" t="str">
        <f t="array" ref="F876">IFERROR(INDEX(checklistPesertaKemenkeu!$I$6:$I$1005,SMALL(IF(checklistPesertaKemenkeu!$AY$6:$AY$1005="Direkomendasikan",ROW($6:$1005)-5),875)),"")</f>
        <v/>
      </c>
      <c r="G876" t="str">
        <f t="array" ref="G876">IFERROR(INDEX(checklistPesertaKemenkeu!$J$6:$J$1005,SMALL(IF(checklistPesertaKemenkeu!$AY$6:$AY$1005="Direkomendasikan",ROW($6:$1005)-5),875)),"")</f>
        <v/>
      </c>
      <c r="H876" t="str">
        <f t="array" aca="1" ref="H876" ca="1">IFERROR(IF(OR(INDEX(checklistPesertaKemenkeu!$L$6:$L$1005,SMALL(IF(checklistPesertaKemenkeu!$AY$6:$AY$1005="Direkomendasikan",ROW($6:$1005)-5),875))="",INDEX(checklistPesertaKemenkeu!$J$6:$J$1005,SMALL(IF(checklistPesertaKemenkeu!$AY$6:$AY$1005="Direkomendasikan",ROW($6:$1005)-5),875))=""),"",IF(AND(COUNTIF(INDIRECT("K_"&amp;MATCH(INDEX(checklistPesertaKemenkeu!$J$6:$J$1005,SMALL(IF(checklistPesertaKemenkeu!$AY$6:$AY$1005="Direkomendasikan",ROW($6:$1005)-5),875)),BidangList,0)),INDEX(checklistPesertaKemenkeu!$L$6:$L$1005,SMALL(IF(checklistPesertaKemenkeu!$AY$6:$AY$1005="Direkomendasikan",ROW($6:$1005)-5),875)))&gt;0,COUNTIF(INDIRECT("'KERTAS KERJA'!K"&amp;(SMALL(IF(checklistPesertaKemenkeu!$AY$6:$AY$1005="Direkomendasikan",ROW($6:$1005)-5),875)+5)&amp;":O"&amp;(SMALL(IF(checklistPesertaKemenkeu!$AY$6:$AY$1005="Direkomendasikan",ROW($6:$1005)-5),875)+5)),INDEX(checklistPesertaKemenkeu!$L$6:$L$1005,SMALL(IF(checklistPesertaKemenkeu!$AY$6:$AY$1005="Direkomendasikan",ROW($6:$1005)-5),875)))=1),IFERROR(VLOOKUP(INDEX(checklistPesertaKemenkeu!$L$6:$L$1005,SMALL(IF(checklistPesertaKemenkeu!$AY$6:$AY$1005="Direkomendasikan",ROW($6:$1005)-5),875)),KotaKode,2,0),"-"),"")),"")</f>
        <v/>
      </c>
      <c r="I876" t="str">
        <f t="array" aca="1" ref="I876" ca="1">IFERROR(IF(OR(INDEX(checklistPesertaKemenkeu!$M$6:$M$1005,SMALL(IF(checklistPesertaKemenkeu!$AY$6:$AY$1005="Direkomendasikan",ROW($6:$1005)-5),875))="",INDEX(checklistPesertaKemenkeu!$J$6:$J$1005,SMALL(IF(checklistPesertaKemenkeu!$AY$6:$AY$1005="Direkomendasikan",ROW($6:$1005)-5),875))=""),"",IF(AND(COUNTIF(INDIRECT("K_"&amp;MATCH(INDEX(checklistPesertaKemenkeu!$J$6:$J$1005,SMALL(IF(checklistPesertaKemenkeu!$AY$6:$AY$1005="Direkomendasikan",ROW($6:$1005)-5),875)),BidangList,0)),INDEX(checklistPesertaKemenkeu!$M$6:$M$1005,SMALL(IF(checklistPesertaKemenkeu!$AY$6:$AY$1005="Direkomendasikan",ROW($6:$1005)-5),875)))&gt;0,COUNTIF(INDIRECT("'KERTAS KERJA'!K"&amp;(SMALL(IF(checklistPesertaKemenkeu!$AY$6:$AY$1005="Direkomendasikan",ROW($6:$1005)-5),875)+5)&amp;":O"&amp;(SMALL(IF(checklistPesertaKemenkeu!$AY$6:$AY$1005="Direkomendasikan",ROW($6:$1005)-5),875)+5)),INDEX(checklistPesertaKemenkeu!$M$6:$M$1005,SMALL(IF(checklistPesertaKemenkeu!$AY$6:$AY$1005="Direkomendasikan",ROW($6:$1005)-5),875)))=1),IFERROR(VLOOKUP(INDEX(checklistPesertaKemenkeu!$M$6:$M$1005,SMALL(IF(checklistPesertaKemenkeu!$AY$6:$AY$1005="Direkomendasikan",ROW($6:$1005)-5),875)),KotaKode,2,0),"-"),"")),"")</f>
        <v/>
      </c>
      <c r="J876" t="str">
        <f t="array" aca="1" ref="J876" ca="1">IFERROR(IF(OR(INDEX(checklistPesertaKemenkeu!$N$6:$N$1005,SMALL(IF(checklistPesertaKemenkeu!$AY$6:$AY$1005="Direkomendasikan",ROW($6:$1005)-5),875))="",INDEX(checklistPesertaKemenkeu!$J$6:$J$1005,SMALL(IF(checklistPesertaKemenkeu!$AY$6:$AY$1005="Direkomendasikan",ROW($6:$1005)-5),875))=""),"",IF(AND(COUNTIF(INDIRECT("K_"&amp;MATCH(INDEX(checklistPesertaKemenkeu!$J$6:$J$1005,SMALL(IF(checklistPesertaKemenkeu!$AY$6:$AY$1005="Direkomendasikan",ROW($6:$1005)-5),875)),BidangList,0)),INDEX(checklistPesertaKemenkeu!$N$6:$N$1005,SMALL(IF(checklistPesertaKemenkeu!$AY$6:$AY$1005="Direkomendasikan",ROW($6:$1005)-5),875)))&gt;0,COUNTIF(INDIRECT("'KERTAS KERJA'!K"&amp;(SMALL(IF(checklistPesertaKemenkeu!$AY$6:$AY$1005="Direkomendasikan",ROW($6:$1005)-5),875)+5)&amp;":O"&amp;(SMALL(IF(checklistPesertaKemenkeu!$AY$6:$AY$1005="Direkomendasikan",ROW($6:$1005)-5),875)+5)),INDEX(checklistPesertaKemenkeu!$N$6:$N$1005,SMALL(IF(checklistPesertaKemenkeu!$AY$6:$AY$1005="Direkomendasikan",ROW($6:$1005)-5),875)))=1),IFERROR(VLOOKUP(INDEX(checklistPesertaKemenkeu!$N$6:$N$1005,SMALL(IF(checklistPesertaKemenkeu!$AY$6:$AY$1005="Direkomendasikan",ROW($6:$1005)-5),875)),KotaKode,2,0),"-"),"")),"")</f>
        <v/>
      </c>
      <c r="K876" t="str">
        <f t="array" aca="1" ref="K876" ca="1">IFERROR(IF(OR(INDEX(checklistPesertaKemenkeu!$O$6:$O$1005,SMALL(IF(checklistPesertaKemenkeu!$AY$6:$AY$1005="Direkomendasikan",ROW($6:$1005)-5),875))="",INDEX(checklistPesertaKemenkeu!$J$6:$J$1005,SMALL(IF(checklistPesertaKemenkeu!$AY$6:$AY$1005="Direkomendasikan",ROW($6:$1005)-5),875))=""),"",IF(AND(COUNTIF(INDIRECT("K_"&amp;MATCH(INDEX(checklistPesertaKemenkeu!$J$6:$J$1005,SMALL(IF(checklistPesertaKemenkeu!$AY$6:$AY$1005="Direkomendasikan",ROW($6:$1005)-5),875)),BidangList,0)),INDEX(checklistPesertaKemenkeu!$O$6:$O$1005,SMALL(IF(checklistPesertaKemenkeu!$AY$6:$AY$1005="Direkomendasikan",ROW($6:$1005)-5),875)))&gt;0,COUNTIF(INDIRECT("'KERTAS KERJA'!K"&amp;(SMALL(IF(checklistPesertaKemenkeu!$AY$6:$AY$1005="Direkomendasikan",ROW($6:$1005)-5),875)+5)&amp;":O"&amp;(SMALL(IF(checklistPesertaKemenkeu!$AY$6:$AY$1005="Direkomendasikan",ROW($6:$1005)-5),875)+5)),INDEX(checklistPesertaKemenkeu!$O$6:$O$1005,SMALL(IF(checklistPesertaKemenkeu!$AY$6:$AY$1005="Direkomendasikan",ROW($6:$1005)-5),875)))=1),IFERROR(VLOOKUP(INDEX(checklistPesertaKemenkeu!$O$6:$O$1005,SMALL(IF(checklistPesertaKemenkeu!$AY$6:$AY$1005="Direkomendasikan",ROW($6:$1005)-5),875)),KotaKode,2,0),"-"),"")),"")</f>
        <v/>
      </c>
      <c r="L876" t="str">
        <f t="array" aca="1" ref="L876" ca="1">IFERROR(IF(OR(INDEX(checklistPesertaKemenkeu!$P$6:$P$1005,SMALL(IF(checklistPesertaKemenkeu!$AY$6:$AY$1005="Direkomendasikan",ROW($6:$1005)-5),875))="",INDEX(checklistPesertaKemenkeu!$J$6:$J$1005,SMALL(IF(checklistPesertaKemenkeu!$AY$6:$AY$1005="Direkomendasikan",ROW($6:$1005)-5),875))=""),"",IF(AND(COUNTIF(INDIRECT("K_"&amp;MATCH(INDEX(checklistPesertaKemenkeu!$J$6:$J$1005,SMALL(IF(checklistPesertaKemenkeu!$AY$6:$AY$1005="Direkomendasikan",ROW($6:$1005)-5),875)),BidangList,0)),INDEX(checklistPesertaKemenkeu!$P$6:$P$1005,SMALL(IF(checklistPesertaKemenkeu!$AY$6:$AY$1005="Direkomendasikan",ROW($6:$1005)-5),875)))&gt;0,COUNTIF(INDIRECT("'KERTAS KERJA'!K"&amp;(SMALL(IF(checklistPesertaKemenkeu!$AY$6:$AY$1005="Direkomendasikan",ROW($6:$1005)-5),875)+5)&amp;":O"&amp;(SMALL(IF(checklistPesertaKemenkeu!$AY$6:$AY$1005="Direkomendasikan",ROW($6:$1005)-5),875)+5)),INDEX(checklistPesertaKemenkeu!$P$6:$P$1005,SMALL(IF(checklistPesertaKemenkeu!$AY$6:$AY$1005="Direkomendasikan",ROW($6:$1005)-5),875)))=1),IFERROR(VLOOKUP(INDEX(checklistPesertaKemenkeu!$P$6:$P$1005,SMALL(IF(checklistPesertaKemenkeu!$AY$6:$AY$1005="Direkomendasikan",ROW($6:$1005)-5),875)),KotaKode,2,0),"-"),"")),"")</f>
        <v/>
      </c>
    </row>
    <row r="877" spans="1:12" ht="15" customHeight="1" x14ac:dyDescent="0.2">
      <c r="A877" t="str">
        <f t="shared" si="13"/>
        <v/>
      </c>
      <c r="B877" t="str">
        <v/>
      </c>
      <c r="C877" s="40" t="str">
        <f t="array" ref="C877">IFERROR(INDEX(checklistPesertaKemenkeu!$F$6:$F$1005,SMALL(IF(checklistPesertaKemenkeu!$AY$6:$AY$1005="Direkomendasikan",ROW($6:$1005)-5),876)),"")</f>
        <v/>
      </c>
      <c r="D877" t="str">
        <f t="array" ref="D877">IFERROR(INDEX(checklistPesertaKemenkeu!$G$6:$G$1005,SMALL(IF(checklistPesertaKemenkeu!$AY$6:$AY$1005="Direkomendasikan",ROW($6:$1005)-5),876)),"")</f>
        <v/>
      </c>
      <c r="E877" t="str">
        <f t="array" ref="E877">IFERROR(INDEX(checklistPesertaKemenkeu!$H$6:$H$1005,SMALL(IF(checklistPesertaKemenkeu!$AY$6:$AY$1005="Direkomendasikan",ROW($6:$1005)-5),876)),"")</f>
        <v/>
      </c>
      <c r="F877" t="str">
        <f t="array" ref="F877">IFERROR(INDEX(checklistPesertaKemenkeu!$I$6:$I$1005,SMALL(IF(checklistPesertaKemenkeu!$AY$6:$AY$1005="Direkomendasikan",ROW($6:$1005)-5),876)),"")</f>
        <v/>
      </c>
      <c r="G877" t="str">
        <f t="array" ref="G877">IFERROR(INDEX(checklistPesertaKemenkeu!$J$6:$J$1005,SMALL(IF(checklistPesertaKemenkeu!$AY$6:$AY$1005="Direkomendasikan",ROW($6:$1005)-5),876)),"")</f>
        <v/>
      </c>
      <c r="H877" t="str">
        <f t="array" aca="1" ref="H877" ca="1">IFERROR(IF(OR(INDEX(checklistPesertaKemenkeu!$L$6:$L$1005,SMALL(IF(checklistPesertaKemenkeu!$AY$6:$AY$1005="Direkomendasikan",ROW($6:$1005)-5),876))="",INDEX(checklistPesertaKemenkeu!$J$6:$J$1005,SMALL(IF(checklistPesertaKemenkeu!$AY$6:$AY$1005="Direkomendasikan",ROW($6:$1005)-5),876))=""),"",IF(AND(COUNTIF(INDIRECT("K_"&amp;MATCH(INDEX(checklistPesertaKemenkeu!$J$6:$J$1005,SMALL(IF(checklistPesertaKemenkeu!$AY$6:$AY$1005="Direkomendasikan",ROW($6:$1005)-5),876)),BidangList,0)),INDEX(checklistPesertaKemenkeu!$L$6:$L$1005,SMALL(IF(checklistPesertaKemenkeu!$AY$6:$AY$1005="Direkomendasikan",ROW($6:$1005)-5),876)))&gt;0,COUNTIF(INDIRECT("'KERTAS KERJA'!K"&amp;(SMALL(IF(checklistPesertaKemenkeu!$AY$6:$AY$1005="Direkomendasikan",ROW($6:$1005)-5),876)+5)&amp;":O"&amp;(SMALL(IF(checklistPesertaKemenkeu!$AY$6:$AY$1005="Direkomendasikan",ROW($6:$1005)-5),876)+5)),INDEX(checklistPesertaKemenkeu!$L$6:$L$1005,SMALL(IF(checklistPesertaKemenkeu!$AY$6:$AY$1005="Direkomendasikan",ROW($6:$1005)-5),876)))=1),IFERROR(VLOOKUP(INDEX(checklistPesertaKemenkeu!$L$6:$L$1005,SMALL(IF(checklistPesertaKemenkeu!$AY$6:$AY$1005="Direkomendasikan",ROW($6:$1005)-5),876)),KotaKode,2,0),"-"),"")),"")</f>
        <v/>
      </c>
      <c r="I877" t="str">
        <f t="array" aca="1" ref="I877" ca="1">IFERROR(IF(OR(INDEX(checklistPesertaKemenkeu!$M$6:$M$1005,SMALL(IF(checklistPesertaKemenkeu!$AY$6:$AY$1005="Direkomendasikan",ROW($6:$1005)-5),876))="",INDEX(checklistPesertaKemenkeu!$J$6:$J$1005,SMALL(IF(checklistPesertaKemenkeu!$AY$6:$AY$1005="Direkomendasikan",ROW($6:$1005)-5),876))=""),"",IF(AND(COUNTIF(INDIRECT("K_"&amp;MATCH(INDEX(checklistPesertaKemenkeu!$J$6:$J$1005,SMALL(IF(checklistPesertaKemenkeu!$AY$6:$AY$1005="Direkomendasikan",ROW($6:$1005)-5),876)),BidangList,0)),INDEX(checklistPesertaKemenkeu!$M$6:$M$1005,SMALL(IF(checklistPesertaKemenkeu!$AY$6:$AY$1005="Direkomendasikan",ROW($6:$1005)-5),876)))&gt;0,COUNTIF(INDIRECT("'KERTAS KERJA'!K"&amp;(SMALL(IF(checklistPesertaKemenkeu!$AY$6:$AY$1005="Direkomendasikan",ROW($6:$1005)-5),876)+5)&amp;":O"&amp;(SMALL(IF(checklistPesertaKemenkeu!$AY$6:$AY$1005="Direkomendasikan",ROW($6:$1005)-5),876)+5)),INDEX(checklistPesertaKemenkeu!$M$6:$M$1005,SMALL(IF(checklistPesertaKemenkeu!$AY$6:$AY$1005="Direkomendasikan",ROW($6:$1005)-5),876)))=1),IFERROR(VLOOKUP(INDEX(checklistPesertaKemenkeu!$M$6:$M$1005,SMALL(IF(checklistPesertaKemenkeu!$AY$6:$AY$1005="Direkomendasikan",ROW($6:$1005)-5),876)),KotaKode,2,0),"-"),"")),"")</f>
        <v/>
      </c>
      <c r="J877" t="str">
        <f t="array" aca="1" ref="J877" ca="1">IFERROR(IF(OR(INDEX(checklistPesertaKemenkeu!$N$6:$N$1005,SMALL(IF(checklistPesertaKemenkeu!$AY$6:$AY$1005="Direkomendasikan",ROW($6:$1005)-5),876))="",INDEX(checklistPesertaKemenkeu!$J$6:$J$1005,SMALL(IF(checklistPesertaKemenkeu!$AY$6:$AY$1005="Direkomendasikan",ROW($6:$1005)-5),876))=""),"",IF(AND(COUNTIF(INDIRECT("K_"&amp;MATCH(INDEX(checklistPesertaKemenkeu!$J$6:$J$1005,SMALL(IF(checklistPesertaKemenkeu!$AY$6:$AY$1005="Direkomendasikan",ROW($6:$1005)-5),876)),BidangList,0)),INDEX(checklistPesertaKemenkeu!$N$6:$N$1005,SMALL(IF(checklistPesertaKemenkeu!$AY$6:$AY$1005="Direkomendasikan",ROW($6:$1005)-5),876)))&gt;0,COUNTIF(INDIRECT("'KERTAS KERJA'!K"&amp;(SMALL(IF(checklistPesertaKemenkeu!$AY$6:$AY$1005="Direkomendasikan",ROW($6:$1005)-5),876)+5)&amp;":O"&amp;(SMALL(IF(checklistPesertaKemenkeu!$AY$6:$AY$1005="Direkomendasikan",ROW($6:$1005)-5),876)+5)),INDEX(checklistPesertaKemenkeu!$N$6:$N$1005,SMALL(IF(checklistPesertaKemenkeu!$AY$6:$AY$1005="Direkomendasikan",ROW($6:$1005)-5),876)))=1),IFERROR(VLOOKUP(INDEX(checklistPesertaKemenkeu!$N$6:$N$1005,SMALL(IF(checklistPesertaKemenkeu!$AY$6:$AY$1005="Direkomendasikan",ROW($6:$1005)-5),876)),KotaKode,2,0),"-"),"")),"")</f>
        <v/>
      </c>
      <c r="K877" t="str">
        <f t="array" aca="1" ref="K877" ca="1">IFERROR(IF(OR(INDEX(checklistPesertaKemenkeu!$O$6:$O$1005,SMALL(IF(checklistPesertaKemenkeu!$AY$6:$AY$1005="Direkomendasikan",ROW($6:$1005)-5),876))="",INDEX(checklistPesertaKemenkeu!$J$6:$J$1005,SMALL(IF(checklistPesertaKemenkeu!$AY$6:$AY$1005="Direkomendasikan",ROW($6:$1005)-5),876))=""),"",IF(AND(COUNTIF(INDIRECT("K_"&amp;MATCH(INDEX(checklistPesertaKemenkeu!$J$6:$J$1005,SMALL(IF(checklistPesertaKemenkeu!$AY$6:$AY$1005="Direkomendasikan",ROW($6:$1005)-5),876)),BidangList,0)),INDEX(checklistPesertaKemenkeu!$O$6:$O$1005,SMALL(IF(checklistPesertaKemenkeu!$AY$6:$AY$1005="Direkomendasikan",ROW($6:$1005)-5),876)))&gt;0,COUNTIF(INDIRECT("'KERTAS KERJA'!K"&amp;(SMALL(IF(checklistPesertaKemenkeu!$AY$6:$AY$1005="Direkomendasikan",ROW($6:$1005)-5),876)+5)&amp;":O"&amp;(SMALL(IF(checklistPesertaKemenkeu!$AY$6:$AY$1005="Direkomendasikan",ROW($6:$1005)-5),876)+5)),INDEX(checklistPesertaKemenkeu!$O$6:$O$1005,SMALL(IF(checklistPesertaKemenkeu!$AY$6:$AY$1005="Direkomendasikan",ROW($6:$1005)-5),876)))=1),IFERROR(VLOOKUP(INDEX(checklistPesertaKemenkeu!$O$6:$O$1005,SMALL(IF(checklistPesertaKemenkeu!$AY$6:$AY$1005="Direkomendasikan",ROW($6:$1005)-5),876)),KotaKode,2,0),"-"),"")),"")</f>
        <v/>
      </c>
      <c r="L877" t="str">
        <f t="array" aca="1" ref="L877" ca="1">IFERROR(IF(OR(INDEX(checklistPesertaKemenkeu!$P$6:$P$1005,SMALL(IF(checklistPesertaKemenkeu!$AY$6:$AY$1005="Direkomendasikan",ROW($6:$1005)-5),876))="",INDEX(checklistPesertaKemenkeu!$J$6:$J$1005,SMALL(IF(checklistPesertaKemenkeu!$AY$6:$AY$1005="Direkomendasikan",ROW($6:$1005)-5),876))=""),"",IF(AND(COUNTIF(INDIRECT("K_"&amp;MATCH(INDEX(checklistPesertaKemenkeu!$J$6:$J$1005,SMALL(IF(checklistPesertaKemenkeu!$AY$6:$AY$1005="Direkomendasikan",ROW($6:$1005)-5),876)),BidangList,0)),INDEX(checklistPesertaKemenkeu!$P$6:$P$1005,SMALL(IF(checklistPesertaKemenkeu!$AY$6:$AY$1005="Direkomendasikan",ROW($6:$1005)-5),876)))&gt;0,COUNTIF(INDIRECT("'KERTAS KERJA'!K"&amp;(SMALL(IF(checklistPesertaKemenkeu!$AY$6:$AY$1005="Direkomendasikan",ROW($6:$1005)-5),876)+5)&amp;":O"&amp;(SMALL(IF(checklistPesertaKemenkeu!$AY$6:$AY$1005="Direkomendasikan",ROW($6:$1005)-5),876)+5)),INDEX(checklistPesertaKemenkeu!$P$6:$P$1005,SMALL(IF(checklistPesertaKemenkeu!$AY$6:$AY$1005="Direkomendasikan",ROW($6:$1005)-5),876)))=1),IFERROR(VLOOKUP(INDEX(checklistPesertaKemenkeu!$P$6:$P$1005,SMALL(IF(checklistPesertaKemenkeu!$AY$6:$AY$1005="Direkomendasikan",ROW($6:$1005)-5),876)),KotaKode,2,0),"-"),"")),"")</f>
        <v/>
      </c>
    </row>
    <row r="878" spans="1:12" ht="15" customHeight="1" x14ac:dyDescent="0.2">
      <c r="A878" t="str">
        <f t="shared" si="13"/>
        <v/>
      </c>
      <c r="B878" t="str">
        <v/>
      </c>
      <c r="C878" s="40" t="str">
        <f t="array" ref="C878">IFERROR(INDEX(checklistPesertaKemenkeu!$F$6:$F$1005,SMALL(IF(checklistPesertaKemenkeu!$AY$6:$AY$1005="Direkomendasikan",ROW($6:$1005)-5),877)),"")</f>
        <v/>
      </c>
      <c r="D878" t="str">
        <f t="array" ref="D878">IFERROR(INDEX(checklistPesertaKemenkeu!$G$6:$G$1005,SMALL(IF(checklistPesertaKemenkeu!$AY$6:$AY$1005="Direkomendasikan",ROW($6:$1005)-5),877)),"")</f>
        <v/>
      </c>
      <c r="E878" t="str">
        <f t="array" ref="E878">IFERROR(INDEX(checklistPesertaKemenkeu!$H$6:$H$1005,SMALL(IF(checklistPesertaKemenkeu!$AY$6:$AY$1005="Direkomendasikan",ROW($6:$1005)-5),877)),"")</f>
        <v/>
      </c>
      <c r="F878" t="str">
        <f t="array" ref="F878">IFERROR(INDEX(checklistPesertaKemenkeu!$I$6:$I$1005,SMALL(IF(checklistPesertaKemenkeu!$AY$6:$AY$1005="Direkomendasikan",ROW($6:$1005)-5),877)),"")</f>
        <v/>
      </c>
      <c r="G878" t="str">
        <f t="array" ref="G878">IFERROR(INDEX(checklistPesertaKemenkeu!$J$6:$J$1005,SMALL(IF(checklistPesertaKemenkeu!$AY$6:$AY$1005="Direkomendasikan",ROW($6:$1005)-5),877)),"")</f>
        <v/>
      </c>
      <c r="H878" t="str">
        <f t="array" aca="1" ref="H878" ca="1">IFERROR(IF(OR(INDEX(checklistPesertaKemenkeu!$L$6:$L$1005,SMALL(IF(checklistPesertaKemenkeu!$AY$6:$AY$1005="Direkomendasikan",ROW($6:$1005)-5),877))="",INDEX(checklistPesertaKemenkeu!$J$6:$J$1005,SMALL(IF(checklistPesertaKemenkeu!$AY$6:$AY$1005="Direkomendasikan",ROW($6:$1005)-5),877))=""),"",IF(AND(COUNTIF(INDIRECT("K_"&amp;MATCH(INDEX(checklistPesertaKemenkeu!$J$6:$J$1005,SMALL(IF(checklistPesertaKemenkeu!$AY$6:$AY$1005="Direkomendasikan",ROW($6:$1005)-5),877)),BidangList,0)),INDEX(checklistPesertaKemenkeu!$L$6:$L$1005,SMALL(IF(checklistPesertaKemenkeu!$AY$6:$AY$1005="Direkomendasikan",ROW($6:$1005)-5),877)))&gt;0,COUNTIF(INDIRECT("'KERTAS KERJA'!K"&amp;(SMALL(IF(checklistPesertaKemenkeu!$AY$6:$AY$1005="Direkomendasikan",ROW($6:$1005)-5),877)+5)&amp;":O"&amp;(SMALL(IF(checklistPesertaKemenkeu!$AY$6:$AY$1005="Direkomendasikan",ROW($6:$1005)-5),877)+5)),INDEX(checklistPesertaKemenkeu!$L$6:$L$1005,SMALL(IF(checklistPesertaKemenkeu!$AY$6:$AY$1005="Direkomendasikan",ROW($6:$1005)-5),877)))=1),IFERROR(VLOOKUP(INDEX(checklistPesertaKemenkeu!$L$6:$L$1005,SMALL(IF(checklistPesertaKemenkeu!$AY$6:$AY$1005="Direkomendasikan",ROW($6:$1005)-5),877)),KotaKode,2,0),"-"),"")),"")</f>
        <v/>
      </c>
      <c r="I878" t="str">
        <f t="array" aca="1" ref="I878" ca="1">IFERROR(IF(OR(INDEX(checklistPesertaKemenkeu!$M$6:$M$1005,SMALL(IF(checklistPesertaKemenkeu!$AY$6:$AY$1005="Direkomendasikan",ROW($6:$1005)-5),877))="",INDEX(checklistPesertaKemenkeu!$J$6:$J$1005,SMALL(IF(checklistPesertaKemenkeu!$AY$6:$AY$1005="Direkomendasikan",ROW($6:$1005)-5),877))=""),"",IF(AND(COUNTIF(INDIRECT("K_"&amp;MATCH(INDEX(checklistPesertaKemenkeu!$J$6:$J$1005,SMALL(IF(checklistPesertaKemenkeu!$AY$6:$AY$1005="Direkomendasikan",ROW($6:$1005)-5),877)),BidangList,0)),INDEX(checklistPesertaKemenkeu!$M$6:$M$1005,SMALL(IF(checklistPesertaKemenkeu!$AY$6:$AY$1005="Direkomendasikan",ROW($6:$1005)-5),877)))&gt;0,COUNTIF(INDIRECT("'KERTAS KERJA'!K"&amp;(SMALL(IF(checklistPesertaKemenkeu!$AY$6:$AY$1005="Direkomendasikan",ROW($6:$1005)-5),877)+5)&amp;":O"&amp;(SMALL(IF(checklistPesertaKemenkeu!$AY$6:$AY$1005="Direkomendasikan",ROW($6:$1005)-5),877)+5)),INDEX(checklistPesertaKemenkeu!$M$6:$M$1005,SMALL(IF(checklistPesertaKemenkeu!$AY$6:$AY$1005="Direkomendasikan",ROW($6:$1005)-5),877)))=1),IFERROR(VLOOKUP(INDEX(checklistPesertaKemenkeu!$M$6:$M$1005,SMALL(IF(checklistPesertaKemenkeu!$AY$6:$AY$1005="Direkomendasikan",ROW($6:$1005)-5),877)),KotaKode,2,0),"-"),"")),"")</f>
        <v/>
      </c>
      <c r="J878" t="str">
        <f t="array" aca="1" ref="J878" ca="1">IFERROR(IF(OR(INDEX(checklistPesertaKemenkeu!$N$6:$N$1005,SMALL(IF(checklistPesertaKemenkeu!$AY$6:$AY$1005="Direkomendasikan",ROW($6:$1005)-5),877))="",INDEX(checklistPesertaKemenkeu!$J$6:$J$1005,SMALL(IF(checklistPesertaKemenkeu!$AY$6:$AY$1005="Direkomendasikan",ROW($6:$1005)-5),877))=""),"",IF(AND(COUNTIF(INDIRECT("K_"&amp;MATCH(INDEX(checklistPesertaKemenkeu!$J$6:$J$1005,SMALL(IF(checklistPesertaKemenkeu!$AY$6:$AY$1005="Direkomendasikan",ROW($6:$1005)-5),877)),BidangList,0)),INDEX(checklistPesertaKemenkeu!$N$6:$N$1005,SMALL(IF(checklistPesertaKemenkeu!$AY$6:$AY$1005="Direkomendasikan",ROW($6:$1005)-5),877)))&gt;0,COUNTIF(INDIRECT("'KERTAS KERJA'!K"&amp;(SMALL(IF(checklistPesertaKemenkeu!$AY$6:$AY$1005="Direkomendasikan",ROW($6:$1005)-5),877)+5)&amp;":O"&amp;(SMALL(IF(checklistPesertaKemenkeu!$AY$6:$AY$1005="Direkomendasikan",ROW($6:$1005)-5),877)+5)),INDEX(checklistPesertaKemenkeu!$N$6:$N$1005,SMALL(IF(checklistPesertaKemenkeu!$AY$6:$AY$1005="Direkomendasikan",ROW($6:$1005)-5),877)))=1),IFERROR(VLOOKUP(INDEX(checklistPesertaKemenkeu!$N$6:$N$1005,SMALL(IF(checklistPesertaKemenkeu!$AY$6:$AY$1005="Direkomendasikan",ROW($6:$1005)-5),877)),KotaKode,2,0),"-"),"")),"")</f>
        <v/>
      </c>
      <c r="K878" t="str">
        <f t="array" aca="1" ref="K878" ca="1">IFERROR(IF(OR(INDEX(checklistPesertaKemenkeu!$O$6:$O$1005,SMALL(IF(checklistPesertaKemenkeu!$AY$6:$AY$1005="Direkomendasikan",ROW($6:$1005)-5),877))="",INDEX(checklistPesertaKemenkeu!$J$6:$J$1005,SMALL(IF(checklistPesertaKemenkeu!$AY$6:$AY$1005="Direkomendasikan",ROW($6:$1005)-5),877))=""),"",IF(AND(COUNTIF(INDIRECT("K_"&amp;MATCH(INDEX(checklistPesertaKemenkeu!$J$6:$J$1005,SMALL(IF(checklistPesertaKemenkeu!$AY$6:$AY$1005="Direkomendasikan",ROW($6:$1005)-5),877)),BidangList,0)),INDEX(checklistPesertaKemenkeu!$O$6:$O$1005,SMALL(IF(checklistPesertaKemenkeu!$AY$6:$AY$1005="Direkomendasikan",ROW($6:$1005)-5),877)))&gt;0,COUNTIF(INDIRECT("'KERTAS KERJA'!K"&amp;(SMALL(IF(checklistPesertaKemenkeu!$AY$6:$AY$1005="Direkomendasikan",ROW($6:$1005)-5),877)+5)&amp;":O"&amp;(SMALL(IF(checklistPesertaKemenkeu!$AY$6:$AY$1005="Direkomendasikan",ROW($6:$1005)-5),877)+5)),INDEX(checklistPesertaKemenkeu!$O$6:$O$1005,SMALL(IF(checklistPesertaKemenkeu!$AY$6:$AY$1005="Direkomendasikan",ROW($6:$1005)-5),877)))=1),IFERROR(VLOOKUP(INDEX(checklistPesertaKemenkeu!$O$6:$O$1005,SMALL(IF(checklistPesertaKemenkeu!$AY$6:$AY$1005="Direkomendasikan",ROW($6:$1005)-5),877)),KotaKode,2,0),"-"),"")),"")</f>
        <v/>
      </c>
      <c r="L878" t="str">
        <f t="array" aca="1" ref="L878" ca="1">IFERROR(IF(OR(INDEX(checklistPesertaKemenkeu!$P$6:$P$1005,SMALL(IF(checklistPesertaKemenkeu!$AY$6:$AY$1005="Direkomendasikan",ROW($6:$1005)-5),877))="",INDEX(checklistPesertaKemenkeu!$J$6:$J$1005,SMALL(IF(checklistPesertaKemenkeu!$AY$6:$AY$1005="Direkomendasikan",ROW($6:$1005)-5),877))=""),"",IF(AND(COUNTIF(INDIRECT("K_"&amp;MATCH(INDEX(checklistPesertaKemenkeu!$J$6:$J$1005,SMALL(IF(checklistPesertaKemenkeu!$AY$6:$AY$1005="Direkomendasikan",ROW($6:$1005)-5),877)),BidangList,0)),INDEX(checklistPesertaKemenkeu!$P$6:$P$1005,SMALL(IF(checklistPesertaKemenkeu!$AY$6:$AY$1005="Direkomendasikan",ROW($6:$1005)-5),877)))&gt;0,COUNTIF(INDIRECT("'KERTAS KERJA'!K"&amp;(SMALL(IF(checklistPesertaKemenkeu!$AY$6:$AY$1005="Direkomendasikan",ROW($6:$1005)-5),877)+5)&amp;":O"&amp;(SMALL(IF(checklistPesertaKemenkeu!$AY$6:$AY$1005="Direkomendasikan",ROW($6:$1005)-5),877)+5)),INDEX(checklistPesertaKemenkeu!$P$6:$P$1005,SMALL(IF(checklistPesertaKemenkeu!$AY$6:$AY$1005="Direkomendasikan",ROW($6:$1005)-5),877)))=1),IFERROR(VLOOKUP(INDEX(checklistPesertaKemenkeu!$P$6:$P$1005,SMALL(IF(checklistPesertaKemenkeu!$AY$6:$AY$1005="Direkomendasikan",ROW($6:$1005)-5),877)),KotaKode,2,0),"-"),"")),"")</f>
        <v/>
      </c>
    </row>
    <row r="879" spans="1:12" ht="15" customHeight="1" x14ac:dyDescent="0.2">
      <c r="A879" t="str">
        <f t="shared" si="13"/>
        <v/>
      </c>
      <c r="B879" t="str">
        <v/>
      </c>
      <c r="C879" s="40" t="str">
        <f t="array" ref="C879">IFERROR(INDEX(checklistPesertaKemenkeu!$F$6:$F$1005,SMALL(IF(checklistPesertaKemenkeu!$AY$6:$AY$1005="Direkomendasikan",ROW($6:$1005)-5),878)),"")</f>
        <v/>
      </c>
      <c r="D879" t="str">
        <f t="array" ref="D879">IFERROR(INDEX(checklistPesertaKemenkeu!$G$6:$G$1005,SMALL(IF(checklistPesertaKemenkeu!$AY$6:$AY$1005="Direkomendasikan",ROW($6:$1005)-5),878)),"")</f>
        <v/>
      </c>
      <c r="E879" t="str">
        <f t="array" ref="E879">IFERROR(INDEX(checklistPesertaKemenkeu!$H$6:$H$1005,SMALL(IF(checklistPesertaKemenkeu!$AY$6:$AY$1005="Direkomendasikan",ROW($6:$1005)-5),878)),"")</f>
        <v/>
      </c>
      <c r="F879" t="str">
        <f t="array" ref="F879">IFERROR(INDEX(checklistPesertaKemenkeu!$I$6:$I$1005,SMALL(IF(checklistPesertaKemenkeu!$AY$6:$AY$1005="Direkomendasikan",ROW($6:$1005)-5),878)),"")</f>
        <v/>
      </c>
      <c r="G879" t="str">
        <f t="array" ref="G879">IFERROR(INDEX(checklistPesertaKemenkeu!$J$6:$J$1005,SMALL(IF(checklistPesertaKemenkeu!$AY$6:$AY$1005="Direkomendasikan",ROW($6:$1005)-5),878)),"")</f>
        <v/>
      </c>
      <c r="H879" t="str">
        <f t="array" aca="1" ref="H879" ca="1">IFERROR(IF(OR(INDEX(checklistPesertaKemenkeu!$L$6:$L$1005,SMALL(IF(checklistPesertaKemenkeu!$AY$6:$AY$1005="Direkomendasikan",ROW($6:$1005)-5),878))="",INDEX(checklistPesertaKemenkeu!$J$6:$J$1005,SMALL(IF(checklistPesertaKemenkeu!$AY$6:$AY$1005="Direkomendasikan",ROW($6:$1005)-5),878))=""),"",IF(AND(COUNTIF(INDIRECT("K_"&amp;MATCH(INDEX(checklistPesertaKemenkeu!$J$6:$J$1005,SMALL(IF(checklistPesertaKemenkeu!$AY$6:$AY$1005="Direkomendasikan",ROW($6:$1005)-5),878)),BidangList,0)),INDEX(checklistPesertaKemenkeu!$L$6:$L$1005,SMALL(IF(checklistPesertaKemenkeu!$AY$6:$AY$1005="Direkomendasikan",ROW($6:$1005)-5),878)))&gt;0,COUNTIF(INDIRECT("'KERTAS KERJA'!K"&amp;(SMALL(IF(checklistPesertaKemenkeu!$AY$6:$AY$1005="Direkomendasikan",ROW($6:$1005)-5),878)+5)&amp;":O"&amp;(SMALL(IF(checklistPesertaKemenkeu!$AY$6:$AY$1005="Direkomendasikan",ROW($6:$1005)-5),878)+5)),INDEX(checklistPesertaKemenkeu!$L$6:$L$1005,SMALL(IF(checklistPesertaKemenkeu!$AY$6:$AY$1005="Direkomendasikan",ROW($6:$1005)-5),878)))=1),IFERROR(VLOOKUP(INDEX(checklistPesertaKemenkeu!$L$6:$L$1005,SMALL(IF(checklistPesertaKemenkeu!$AY$6:$AY$1005="Direkomendasikan",ROW($6:$1005)-5),878)),KotaKode,2,0),"-"),"")),"")</f>
        <v/>
      </c>
      <c r="I879" t="str">
        <f t="array" aca="1" ref="I879" ca="1">IFERROR(IF(OR(INDEX(checklistPesertaKemenkeu!$M$6:$M$1005,SMALL(IF(checklistPesertaKemenkeu!$AY$6:$AY$1005="Direkomendasikan",ROW($6:$1005)-5),878))="",INDEX(checklistPesertaKemenkeu!$J$6:$J$1005,SMALL(IF(checklistPesertaKemenkeu!$AY$6:$AY$1005="Direkomendasikan",ROW($6:$1005)-5),878))=""),"",IF(AND(COUNTIF(INDIRECT("K_"&amp;MATCH(INDEX(checklistPesertaKemenkeu!$J$6:$J$1005,SMALL(IF(checklistPesertaKemenkeu!$AY$6:$AY$1005="Direkomendasikan",ROW($6:$1005)-5),878)),BidangList,0)),INDEX(checklistPesertaKemenkeu!$M$6:$M$1005,SMALL(IF(checklistPesertaKemenkeu!$AY$6:$AY$1005="Direkomendasikan",ROW($6:$1005)-5),878)))&gt;0,COUNTIF(INDIRECT("'KERTAS KERJA'!K"&amp;(SMALL(IF(checklistPesertaKemenkeu!$AY$6:$AY$1005="Direkomendasikan",ROW($6:$1005)-5),878)+5)&amp;":O"&amp;(SMALL(IF(checklistPesertaKemenkeu!$AY$6:$AY$1005="Direkomendasikan",ROW($6:$1005)-5),878)+5)),INDEX(checklistPesertaKemenkeu!$M$6:$M$1005,SMALL(IF(checklistPesertaKemenkeu!$AY$6:$AY$1005="Direkomendasikan",ROW($6:$1005)-5),878)))=1),IFERROR(VLOOKUP(INDEX(checklistPesertaKemenkeu!$M$6:$M$1005,SMALL(IF(checklistPesertaKemenkeu!$AY$6:$AY$1005="Direkomendasikan",ROW($6:$1005)-5),878)),KotaKode,2,0),"-"),"")),"")</f>
        <v/>
      </c>
      <c r="J879" t="str">
        <f t="array" aca="1" ref="J879" ca="1">IFERROR(IF(OR(INDEX(checklistPesertaKemenkeu!$N$6:$N$1005,SMALL(IF(checklistPesertaKemenkeu!$AY$6:$AY$1005="Direkomendasikan",ROW($6:$1005)-5),878))="",INDEX(checklistPesertaKemenkeu!$J$6:$J$1005,SMALL(IF(checklistPesertaKemenkeu!$AY$6:$AY$1005="Direkomendasikan",ROW($6:$1005)-5),878))=""),"",IF(AND(COUNTIF(INDIRECT("K_"&amp;MATCH(INDEX(checklistPesertaKemenkeu!$J$6:$J$1005,SMALL(IF(checklistPesertaKemenkeu!$AY$6:$AY$1005="Direkomendasikan",ROW($6:$1005)-5),878)),BidangList,0)),INDEX(checklistPesertaKemenkeu!$N$6:$N$1005,SMALL(IF(checklistPesertaKemenkeu!$AY$6:$AY$1005="Direkomendasikan",ROW($6:$1005)-5),878)))&gt;0,COUNTIF(INDIRECT("'KERTAS KERJA'!K"&amp;(SMALL(IF(checklistPesertaKemenkeu!$AY$6:$AY$1005="Direkomendasikan",ROW($6:$1005)-5),878)+5)&amp;":O"&amp;(SMALL(IF(checklistPesertaKemenkeu!$AY$6:$AY$1005="Direkomendasikan",ROW($6:$1005)-5),878)+5)),INDEX(checklistPesertaKemenkeu!$N$6:$N$1005,SMALL(IF(checklistPesertaKemenkeu!$AY$6:$AY$1005="Direkomendasikan",ROW($6:$1005)-5),878)))=1),IFERROR(VLOOKUP(INDEX(checklistPesertaKemenkeu!$N$6:$N$1005,SMALL(IF(checklistPesertaKemenkeu!$AY$6:$AY$1005="Direkomendasikan",ROW($6:$1005)-5),878)),KotaKode,2,0),"-"),"")),"")</f>
        <v/>
      </c>
      <c r="K879" t="str">
        <f t="array" aca="1" ref="K879" ca="1">IFERROR(IF(OR(INDEX(checklistPesertaKemenkeu!$O$6:$O$1005,SMALL(IF(checklistPesertaKemenkeu!$AY$6:$AY$1005="Direkomendasikan",ROW($6:$1005)-5),878))="",INDEX(checklistPesertaKemenkeu!$J$6:$J$1005,SMALL(IF(checklistPesertaKemenkeu!$AY$6:$AY$1005="Direkomendasikan",ROW($6:$1005)-5),878))=""),"",IF(AND(COUNTIF(INDIRECT("K_"&amp;MATCH(INDEX(checklistPesertaKemenkeu!$J$6:$J$1005,SMALL(IF(checklistPesertaKemenkeu!$AY$6:$AY$1005="Direkomendasikan",ROW($6:$1005)-5),878)),BidangList,0)),INDEX(checklistPesertaKemenkeu!$O$6:$O$1005,SMALL(IF(checklistPesertaKemenkeu!$AY$6:$AY$1005="Direkomendasikan",ROW($6:$1005)-5),878)))&gt;0,COUNTIF(INDIRECT("'KERTAS KERJA'!K"&amp;(SMALL(IF(checklistPesertaKemenkeu!$AY$6:$AY$1005="Direkomendasikan",ROW($6:$1005)-5),878)+5)&amp;":O"&amp;(SMALL(IF(checklistPesertaKemenkeu!$AY$6:$AY$1005="Direkomendasikan",ROW($6:$1005)-5),878)+5)),INDEX(checklistPesertaKemenkeu!$O$6:$O$1005,SMALL(IF(checklistPesertaKemenkeu!$AY$6:$AY$1005="Direkomendasikan",ROW($6:$1005)-5),878)))=1),IFERROR(VLOOKUP(INDEX(checklistPesertaKemenkeu!$O$6:$O$1005,SMALL(IF(checklistPesertaKemenkeu!$AY$6:$AY$1005="Direkomendasikan",ROW($6:$1005)-5),878)),KotaKode,2,0),"-"),"")),"")</f>
        <v/>
      </c>
      <c r="L879" t="str">
        <f t="array" aca="1" ref="L879" ca="1">IFERROR(IF(OR(INDEX(checklistPesertaKemenkeu!$P$6:$P$1005,SMALL(IF(checklistPesertaKemenkeu!$AY$6:$AY$1005="Direkomendasikan",ROW($6:$1005)-5),878))="",INDEX(checklistPesertaKemenkeu!$J$6:$J$1005,SMALL(IF(checklistPesertaKemenkeu!$AY$6:$AY$1005="Direkomendasikan",ROW($6:$1005)-5),878))=""),"",IF(AND(COUNTIF(INDIRECT("K_"&amp;MATCH(INDEX(checklistPesertaKemenkeu!$J$6:$J$1005,SMALL(IF(checklistPesertaKemenkeu!$AY$6:$AY$1005="Direkomendasikan",ROW($6:$1005)-5),878)),BidangList,0)),INDEX(checklistPesertaKemenkeu!$P$6:$P$1005,SMALL(IF(checklistPesertaKemenkeu!$AY$6:$AY$1005="Direkomendasikan",ROW($6:$1005)-5),878)))&gt;0,COUNTIF(INDIRECT("'KERTAS KERJA'!K"&amp;(SMALL(IF(checklistPesertaKemenkeu!$AY$6:$AY$1005="Direkomendasikan",ROW($6:$1005)-5),878)+5)&amp;":O"&amp;(SMALL(IF(checklistPesertaKemenkeu!$AY$6:$AY$1005="Direkomendasikan",ROW($6:$1005)-5),878)+5)),INDEX(checklistPesertaKemenkeu!$P$6:$P$1005,SMALL(IF(checklistPesertaKemenkeu!$AY$6:$AY$1005="Direkomendasikan",ROW($6:$1005)-5),878)))=1),IFERROR(VLOOKUP(INDEX(checklistPesertaKemenkeu!$P$6:$P$1005,SMALL(IF(checklistPesertaKemenkeu!$AY$6:$AY$1005="Direkomendasikan",ROW($6:$1005)-5),878)),KotaKode,2,0),"-"),"")),"")</f>
        <v/>
      </c>
    </row>
    <row r="880" spans="1:12" ht="15" customHeight="1" x14ac:dyDescent="0.2">
      <c r="A880" t="str">
        <f t="shared" si="13"/>
        <v/>
      </c>
      <c r="B880" t="str">
        <v/>
      </c>
      <c r="C880" s="40" t="str">
        <f t="array" ref="C880">IFERROR(INDEX(checklistPesertaKemenkeu!$F$6:$F$1005,SMALL(IF(checklistPesertaKemenkeu!$AY$6:$AY$1005="Direkomendasikan",ROW($6:$1005)-5),879)),"")</f>
        <v/>
      </c>
      <c r="D880" t="str">
        <f t="array" ref="D880">IFERROR(INDEX(checklistPesertaKemenkeu!$G$6:$G$1005,SMALL(IF(checklistPesertaKemenkeu!$AY$6:$AY$1005="Direkomendasikan",ROW($6:$1005)-5),879)),"")</f>
        <v/>
      </c>
      <c r="E880" t="str">
        <f t="array" ref="E880">IFERROR(INDEX(checklistPesertaKemenkeu!$H$6:$H$1005,SMALL(IF(checklistPesertaKemenkeu!$AY$6:$AY$1005="Direkomendasikan",ROW($6:$1005)-5),879)),"")</f>
        <v/>
      </c>
      <c r="F880" t="str">
        <f t="array" ref="F880">IFERROR(INDEX(checklistPesertaKemenkeu!$I$6:$I$1005,SMALL(IF(checklistPesertaKemenkeu!$AY$6:$AY$1005="Direkomendasikan",ROW($6:$1005)-5),879)),"")</f>
        <v/>
      </c>
      <c r="G880" t="str">
        <f t="array" ref="G880">IFERROR(INDEX(checklistPesertaKemenkeu!$J$6:$J$1005,SMALL(IF(checklistPesertaKemenkeu!$AY$6:$AY$1005="Direkomendasikan",ROW($6:$1005)-5),879)),"")</f>
        <v/>
      </c>
      <c r="H880" t="str">
        <f t="array" aca="1" ref="H880" ca="1">IFERROR(IF(OR(INDEX(checklistPesertaKemenkeu!$L$6:$L$1005,SMALL(IF(checklistPesertaKemenkeu!$AY$6:$AY$1005="Direkomendasikan",ROW($6:$1005)-5),879))="",INDEX(checklistPesertaKemenkeu!$J$6:$J$1005,SMALL(IF(checklistPesertaKemenkeu!$AY$6:$AY$1005="Direkomendasikan",ROW($6:$1005)-5),879))=""),"",IF(AND(COUNTIF(INDIRECT("K_"&amp;MATCH(INDEX(checklistPesertaKemenkeu!$J$6:$J$1005,SMALL(IF(checklistPesertaKemenkeu!$AY$6:$AY$1005="Direkomendasikan",ROW($6:$1005)-5),879)),BidangList,0)),INDEX(checklistPesertaKemenkeu!$L$6:$L$1005,SMALL(IF(checklistPesertaKemenkeu!$AY$6:$AY$1005="Direkomendasikan",ROW($6:$1005)-5),879)))&gt;0,COUNTIF(INDIRECT("'KERTAS KERJA'!K"&amp;(SMALL(IF(checklistPesertaKemenkeu!$AY$6:$AY$1005="Direkomendasikan",ROW($6:$1005)-5),879)+5)&amp;":O"&amp;(SMALL(IF(checklistPesertaKemenkeu!$AY$6:$AY$1005="Direkomendasikan",ROW($6:$1005)-5),879)+5)),INDEX(checklistPesertaKemenkeu!$L$6:$L$1005,SMALL(IF(checklistPesertaKemenkeu!$AY$6:$AY$1005="Direkomendasikan",ROW($6:$1005)-5),879)))=1),IFERROR(VLOOKUP(INDEX(checklistPesertaKemenkeu!$L$6:$L$1005,SMALL(IF(checklistPesertaKemenkeu!$AY$6:$AY$1005="Direkomendasikan",ROW($6:$1005)-5),879)),KotaKode,2,0),"-"),"")),"")</f>
        <v/>
      </c>
      <c r="I880" t="str">
        <f t="array" aca="1" ref="I880" ca="1">IFERROR(IF(OR(INDEX(checklistPesertaKemenkeu!$M$6:$M$1005,SMALL(IF(checklistPesertaKemenkeu!$AY$6:$AY$1005="Direkomendasikan",ROW($6:$1005)-5),879))="",INDEX(checklistPesertaKemenkeu!$J$6:$J$1005,SMALL(IF(checklistPesertaKemenkeu!$AY$6:$AY$1005="Direkomendasikan",ROW($6:$1005)-5),879))=""),"",IF(AND(COUNTIF(INDIRECT("K_"&amp;MATCH(INDEX(checklistPesertaKemenkeu!$J$6:$J$1005,SMALL(IF(checklistPesertaKemenkeu!$AY$6:$AY$1005="Direkomendasikan",ROW($6:$1005)-5),879)),BidangList,0)),INDEX(checklistPesertaKemenkeu!$M$6:$M$1005,SMALL(IF(checklistPesertaKemenkeu!$AY$6:$AY$1005="Direkomendasikan",ROW($6:$1005)-5),879)))&gt;0,COUNTIF(INDIRECT("'KERTAS KERJA'!K"&amp;(SMALL(IF(checklistPesertaKemenkeu!$AY$6:$AY$1005="Direkomendasikan",ROW($6:$1005)-5),879)+5)&amp;":O"&amp;(SMALL(IF(checklistPesertaKemenkeu!$AY$6:$AY$1005="Direkomendasikan",ROW($6:$1005)-5),879)+5)),INDEX(checklistPesertaKemenkeu!$M$6:$M$1005,SMALL(IF(checklistPesertaKemenkeu!$AY$6:$AY$1005="Direkomendasikan",ROW($6:$1005)-5),879)))=1),IFERROR(VLOOKUP(INDEX(checklistPesertaKemenkeu!$M$6:$M$1005,SMALL(IF(checklistPesertaKemenkeu!$AY$6:$AY$1005="Direkomendasikan",ROW($6:$1005)-5),879)),KotaKode,2,0),"-"),"")),"")</f>
        <v/>
      </c>
      <c r="J880" t="str">
        <f t="array" aca="1" ref="J880" ca="1">IFERROR(IF(OR(INDEX(checklistPesertaKemenkeu!$N$6:$N$1005,SMALL(IF(checklistPesertaKemenkeu!$AY$6:$AY$1005="Direkomendasikan",ROW($6:$1005)-5),879))="",INDEX(checklistPesertaKemenkeu!$J$6:$J$1005,SMALL(IF(checklistPesertaKemenkeu!$AY$6:$AY$1005="Direkomendasikan",ROW($6:$1005)-5),879))=""),"",IF(AND(COUNTIF(INDIRECT("K_"&amp;MATCH(INDEX(checklistPesertaKemenkeu!$J$6:$J$1005,SMALL(IF(checklistPesertaKemenkeu!$AY$6:$AY$1005="Direkomendasikan",ROW($6:$1005)-5),879)),BidangList,0)),INDEX(checklistPesertaKemenkeu!$N$6:$N$1005,SMALL(IF(checklistPesertaKemenkeu!$AY$6:$AY$1005="Direkomendasikan",ROW($6:$1005)-5),879)))&gt;0,COUNTIF(INDIRECT("'KERTAS KERJA'!K"&amp;(SMALL(IF(checklistPesertaKemenkeu!$AY$6:$AY$1005="Direkomendasikan",ROW($6:$1005)-5),879)+5)&amp;":O"&amp;(SMALL(IF(checklistPesertaKemenkeu!$AY$6:$AY$1005="Direkomendasikan",ROW($6:$1005)-5),879)+5)),INDEX(checklistPesertaKemenkeu!$N$6:$N$1005,SMALL(IF(checklistPesertaKemenkeu!$AY$6:$AY$1005="Direkomendasikan",ROW($6:$1005)-5),879)))=1),IFERROR(VLOOKUP(INDEX(checklistPesertaKemenkeu!$N$6:$N$1005,SMALL(IF(checklistPesertaKemenkeu!$AY$6:$AY$1005="Direkomendasikan",ROW($6:$1005)-5),879)),KotaKode,2,0),"-"),"")),"")</f>
        <v/>
      </c>
      <c r="K880" t="str">
        <f t="array" aca="1" ref="K880" ca="1">IFERROR(IF(OR(INDEX(checklistPesertaKemenkeu!$O$6:$O$1005,SMALL(IF(checklistPesertaKemenkeu!$AY$6:$AY$1005="Direkomendasikan",ROW($6:$1005)-5),879))="",INDEX(checklistPesertaKemenkeu!$J$6:$J$1005,SMALL(IF(checklistPesertaKemenkeu!$AY$6:$AY$1005="Direkomendasikan",ROW($6:$1005)-5),879))=""),"",IF(AND(COUNTIF(INDIRECT("K_"&amp;MATCH(INDEX(checklistPesertaKemenkeu!$J$6:$J$1005,SMALL(IF(checklistPesertaKemenkeu!$AY$6:$AY$1005="Direkomendasikan",ROW($6:$1005)-5),879)),BidangList,0)),INDEX(checklistPesertaKemenkeu!$O$6:$O$1005,SMALL(IF(checklistPesertaKemenkeu!$AY$6:$AY$1005="Direkomendasikan",ROW($6:$1005)-5),879)))&gt;0,COUNTIF(INDIRECT("'KERTAS KERJA'!K"&amp;(SMALL(IF(checklistPesertaKemenkeu!$AY$6:$AY$1005="Direkomendasikan",ROW($6:$1005)-5),879)+5)&amp;":O"&amp;(SMALL(IF(checklistPesertaKemenkeu!$AY$6:$AY$1005="Direkomendasikan",ROW($6:$1005)-5),879)+5)),INDEX(checklistPesertaKemenkeu!$O$6:$O$1005,SMALL(IF(checklistPesertaKemenkeu!$AY$6:$AY$1005="Direkomendasikan",ROW($6:$1005)-5),879)))=1),IFERROR(VLOOKUP(INDEX(checklistPesertaKemenkeu!$O$6:$O$1005,SMALL(IF(checklistPesertaKemenkeu!$AY$6:$AY$1005="Direkomendasikan",ROW($6:$1005)-5),879)),KotaKode,2,0),"-"),"")),"")</f>
        <v/>
      </c>
      <c r="L880" t="str">
        <f t="array" aca="1" ref="L880" ca="1">IFERROR(IF(OR(INDEX(checklistPesertaKemenkeu!$P$6:$P$1005,SMALL(IF(checklistPesertaKemenkeu!$AY$6:$AY$1005="Direkomendasikan",ROW($6:$1005)-5),879))="",INDEX(checklistPesertaKemenkeu!$J$6:$J$1005,SMALL(IF(checklistPesertaKemenkeu!$AY$6:$AY$1005="Direkomendasikan",ROW($6:$1005)-5),879))=""),"",IF(AND(COUNTIF(INDIRECT("K_"&amp;MATCH(INDEX(checklistPesertaKemenkeu!$J$6:$J$1005,SMALL(IF(checklistPesertaKemenkeu!$AY$6:$AY$1005="Direkomendasikan",ROW($6:$1005)-5),879)),BidangList,0)),INDEX(checklistPesertaKemenkeu!$P$6:$P$1005,SMALL(IF(checklistPesertaKemenkeu!$AY$6:$AY$1005="Direkomendasikan",ROW($6:$1005)-5),879)))&gt;0,COUNTIF(INDIRECT("'KERTAS KERJA'!K"&amp;(SMALL(IF(checklistPesertaKemenkeu!$AY$6:$AY$1005="Direkomendasikan",ROW($6:$1005)-5),879)+5)&amp;":O"&amp;(SMALL(IF(checklistPesertaKemenkeu!$AY$6:$AY$1005="Direkomendasikan",ROW($6:$1005)-5),879)+5)),INDEX(checklistPesertaKemenkeu!$P$6:$P$1005,SMALL(IF(checklistPesertaKemenkeu!$AY$6:$AY$1005="Direkomendasikan",ROW($6:$1005)-5),879)))=1),IFERROR(VLOOKUP(INDEX(checklistPesertaKemenkeu!$P$6:$P$1005,SMALL(IF(checklistPesertaKemenkeu!$AY$6:$AY$1005="Direkomendasikan",ROW($6:$1005)-5),879)),KotaKode,2,0),"-"),"")),"")</f>
        <v/>
      </c>
    </row>
    <row r="881" spans="1:12" ht="15" customHeight="1" x14ac:dyDescent="0.2">
      <c r="A881" t="str">
        <f t="shared" si="13"/>
        <v/>
      </c>
      <c r="B881" t="str">
        <v/>
      </c>
      <c r="C881" s="40" t="str">
        <f t="array" ref="C881">IFERROR(INDEX(checklistPesertaKemenkeu!$F$6:$F$1005,SMALL(IF(checklistPesertaKemenkeu!$AY$6:$AY$1005="Direkomendasikan",ROW($6:$1005)-5),880)),"")</f>
        <v/>
      </c>
      <c r="D881" t="str">
        <f t="array" ref="D881">IFERROR(INDEX(checklistPesertaKemenkeu!$G$6:$G$1005,SMALL(IF(checklistPesertaKemenkeu!$AY$6:$AY$1005="Direkomendasikan",ROW($6:$1005)-5),880)),"")</f>
        <v/>
      </c>
      <c r="E881" t="str">
        <f t="array" ref="E881">IFERROR(INDEX(checklistPesertaKemenkeu!$H$6:$H$1005,SMALL(IF(checklistPesertaKemenkeu!$AY$6:$AY$1005="Direkomendasikan",ROW($6:$1005)-5),880)),"")</f>
        <v/>
      </c>
      <c r="F881" t="str">
        <f t="array" ref="F881">IFERROR(INDEX(checklistPesertaKemenkeu!$I$6:$I$1005,SMALL(IF(checklistPesertaKemenkeu!$AY$6:$AY$1005="Direkomendasikan",ROW($6:$1005)-5),880)),"")</f>
        <v/>
      </c>
      <c r="G881" t="str">
        <f t="array" ref="G881">IFERROR(INDEX(checklistPesertaKemenkeu!$J$6:$J$1005,SMALL(IF(checklistPesertaKemenkeu!$AY$6:$AY$1005="Direkomendasikan",ROW($6:$1005)-5),880)),"")</f>
        <v/>
      </c>
      <c r="H881" t="str">
        <f t="array" aca="1" ref="H881" ca="1">IFERROR(IF(OR(INDEX(checklistPesertaKemenkeu!$L$6:$L$1005,SMALL(IF(checklistPesertaKemenkeu!$AY$6:$AY$1005="Direkomendasikan",ROW($6:$1005)-5),880))="",INDEX(checklistPesertaKemenkeu!$J$6:$J$1005,SMALL(IF(checklistPesertaKemenkeu!$AY$6:$AY$1005="Direkomendasikan",ROW($6:$1005)-5),880))=""),"",IF(AND(COUNTIF(INDIRECT("K_"&amp;MATCH(INDEX(checklistPesertaKemenkeu!$J$6:$J$1005,SMALL(IF(checklistPesertaKemenkeu!$AY$6:$AY$1005="Direkomendasikan",ROW($6:$1005)-5),880)),BidangList,0)),INDEX(checklistPesertaKemenkeu!$L$6:$L$1005,SMALL(IF(checklistPesertaKemenkeu!$AY$6:$AY$1005="Direkomendasikan",ROW($6:$1005)-5),880)))&gt;0,COUNTIF(INDIRECT("'KERTAS KERJA'!K"&amp;(SMALL(IF(checklistPesertaKemenkeu!$AY$6:$AY$1005="Direkomendasikan",ROW($6:$1005)-5),880)+5)&amp;":O"&amp;(SMALL(IF(checklistPesertaKemenkeu!$AY$6:$AY$1005="Direkomendasikan",ROW($6:$1005)-5),880)+5)),INDEX(checklistPesertaKemenkeu!$L$6:$L$1005,SMALL(IF(checklistPesertaKemenkeu!$AY$6:$AY$1005="Direkomendasikan",ROW($6:$1005)-5),880)))=1),IFERROR(VLOOKUP(INDEX(checklistPesertaKemenkeu!$L$6:$L$1005,SMALL(IF(checklistPesertaKemenkeu!$AY$6:$AY$1005="Direkomendasikan",ROW($6:$1005)-5),880)),KotaKode,2,0),"-"),"")),"")</f>
        <v/>
      </c>
      <c r="I881" t="str">
        <f t="array" aca="1" ref="I881" ca="1">IFERROR(IF(OR(INDEX(checklistPesertaKemenkeu!$M$6:$M$1005,SMALL(IF(checklistPesertaKemenkeu!$AY$6:$AY$1005="Direkomendasikan",ROW($6:$1005)-5),880))="",INDEX(checklistPesertaKemenkeu!$J$6:$J$1005,SMALL(IF(checklistPesertaKemenkeu!$AY$6:$AY$1005="Direkomendasikan",ROW($6:$1005)-5),880))=""),"",IF(AND(COUNTIF(INDIRECT("K_"&amp;MATCH(INDEX(checklistPesertaKemenkeu!$J$6:$J$1005,SMALL(IF(checklistPesertaKemenkeu!$AY$6:$AY$1005="Direkomendasikan",ROW($6:$1005)-5),880)),BidangList,0)),INDEX(checklistPesertaKemenkeu!$M$6:$M$1005,SMALL(IF(checklistPesertaKemenkeu!$AY$6:$AY$1005="Direkomendasikan",ROW($6:$1005)-5),880)))&gt;0,COUNTIF(INDIRECT("'KERTAS KERJA'!K"&amp;(SMALL(IF(checklistPesertaKemenkeu!$AY$6:$AY$1005="Direkomendasikan",ROW($6:$1005)-5),880)+5)&amp;":O"&amp;(SMALL(IF(checklistPesertaKemenkeu!$AY$6:$AY$1005="Direkomendasikan",ROW($6:$1005)-5),880)+5)),INDEX(checklistPesertaKemenkeu!$M$6:$M$1005,SMALL(IF(checklistPesertaKemenkeu!$AY$6:$AY$1005="Direkomendasikan",ROW($6:$1005)-5),880)))=1),IFERROR(VLOOKUP(INDEX(checklistPesertaKemenkeu!$M$6:$M$1005,SMALL(IF(checklistPesertaKemenkeu!$AY$6:$AY$1005="Direkomendasikan",ROW($6:$1005)-5),880)),KotaKode,2,0),"-"),"")),"")</f>
        <v/>
      </c>
      <c r="J881" t="str">
        <f t="array" aca="1" ref="J881" ca="1">IFERROR(IF(OR(INDEX(checklistPesertaKemenkeu!$N$6:$N$1005,SMALL(IF(checklistPesertaKemenkeu!$AY$6:$AY$1005="Direkomendasikan",ROW($6:$1005)-5),880))="",INDEX(checklistPesertaKemenkeu!$J$6:$J$1005,SMALL(IF(checklistPesertaKemenkeu!$AY$6:$AY$1005="Direkomendasikan",ROW($6:$1005)-5),880))=""),"",IF(AND(COUNTIF(INDIRECT("K_"&amp;MATCH(INDEX(checklistPesertaKemenkeu!$J$6:$J$1005,SMALL(IF(checklistPesertaKemenkeu!$AY$6:$AY$1005="Direkomendasikan",ROW($6:$1005)-5),880)),BidangList,0)),INDEX(checklistPesertaKemenkeu!$N$6:$N$1005,SMALL(IF(checklistPesertaKemenkeu!$AY$6:$AY$1005="Direkomendasikan",ROW($6:$1005)-5),880)))&gt;0,COUNTIF(INDIRECT("'KERTAS KERJA'!K"&amp;(SMALL(IF(checklistPesertaKemenkeu!$AY$6:$AY$1005="Direkomendasikan",ROW($6:$1005)-5),880)+5)&amp;":O"&amp;(SMALL(IF(checklistPesertaKemenkeu!$AY$6:$AY$1005="Direkomendasikan",ROW($6:$1005)-5),880)+5)),INDEX(checklistPesertaKemenkeu!$N$6:$N$1005,SMALL(IF(checklistPesertaKemenkeu!$AY$6:$AY$1005="Direkomendasikan",ROW($6:$1005)-5),880)))=1),IFERROR(VLOOKUP(INDEX(checklistPesertaKemenkeu!$N$6:$N$1005,SMALL(IF(checklistPesertaKemenkeu!$AY$6:$AY$1005="Direkomendasikan",ROW($6:$1005)-5),880)),KotaKode,2,0),"-"),"")),"")</f>
        <v/>
      </c>
      <c r="K881" t="str">
        <f t="array" aca="1" ref="K881" ca="1">IFERROR(IF(OR(INDEX(checklistPesertaKemenkeu!$O$6:$O$1005,SMALL(IF(checklistPesertaKemenkeu!$AY$6:$AY$1005="Direkomendasikan",ROW($6:$1005)-5),880))="",INDEX(checklistPesertaKemenkeu!$J$6:$J$1005,SMALL(IF(checklistPesertaKemenkeu!$AY$6:$AY$1005="Direkomendasikan",ROW($6:$1005)-5),880))=""),"",IF(AND(COUNTIF(INDIRECT("K_"&amp;MATCH(INDEX(checklistPesertaKemenkeu!$J$6:$J$1005,SMALL(IF(checklistPesertaKemenkeu!$AY$6:$AY$1005="Direkomendasikan",ROW($6:$1005)-5),880)),BidangList,0)),INDEX(checklistPesertaKemenkeu!$O$6:$O$1005,SMALL(IF(checklistPesertaKemenkeu!$AY$6:$AY$1005="Direkomendasikan",ROW($6:$1005)-5),880)))&gt;0,COUNTIF(INDIRECT("'KERTAS KERJA'!K"&amp;(SMALL(IF(checklistPesertaKemenkeu!$AY$6:$AY$1005="Direkomendasikan",ROW($6:$1005)-5),880)+5)&amp;":O"&amp;(SMALL(IF(checklistPesertaKemenkeu!$AY$6:$AY$1005="Direkomendasikan",ROW($6:$1005)-5),880)+5)),INDEX(checklistPesertaKemenkeu!$O$6:$O$1005,SMALL(IF(checklistPesertaKemenkeu!$AY$6:$AY$1005="Direkomendasikan",ROW($6:$1005)-5),880)))=1),IFERROR(VLOOKUP(INDEX(checklistPesertaKemenkeu!$O$6:$O$1005,SMALL(IF(checklistPesertaKemenkeu!$AY$6:$AY$1005="Direkomendasikan",ROW($6:$1005)-5),880)),KotaKode,2,0),"-"),"")),"")</f>
        <v/>
      </c>
      <c r="L881" t="str">
        <f t="array" aca="1" ref="L881" ca="1">IFERROR(IF(OR(INDEX(checklistPesertaKemenkeu!$P$6:$P$1005,SMALL(IF(checklistPesertaKemenkeu!$AY$6:$AY$1005="Direkomendasikan",ROW($6:$1005)-5),880))="",INDEX(checklistPesertaKemenkeu!$J$6:$J$1005,SMALL(IF(checklistPesertaKemenkeu!$AY$6:$AY$1005="Direkomendasikan",ROW($6:$1005)-5),880))=""),"",IF(AND(COUNTIF(INDIRECT("K_"&amp;MATCH(INDEX(checklistPesertaKemenkeu!$J$6:$J$1005,SMALL(IF(checklistPesertaKemenkeu!$AY$6:$AY$1005="Direkomendasikan",ROW($6:$1005)-5),880)),BidangList,0)),INDEX(checklistPesertaKemenkeu!$P$6:$P$1005,SMALL(IF(checklistPesertaKemenkeu!$AY$6:$AY$1005="Direkomendasikan",ROW($6:$1005)-5),880)))&gt;0,COUNTIF(INDIRECT("'KERTAS KERJA'!K"&amp;(SMALL(IF(checklistPesertaKemenkeu!$AY$6:$AY$1005="Direkomendasikan",ROW($6:$1005)-5),880)+5)&amp;":O"&amp;(SMALL(IF(checklistPesertaKemenkeu!$AY$6:$AY$1005="Direkomendasikan",ROW($6:$1005)-5),880)+5)),INDEX(checklistPesertaKemenkeu!$P$6:$P$1005,SMALL(IF(checklistPesertaKemenkeu!$AY$6:$AY$1005="Direkomendasikan",ROW($6:$1005)-5),880)))=1),IFERROR(VLOOKUP(INDEX(checklistPesertaKemenkeu!$P$6:$P$1005,SMALL(IF(checklistPesertaKemenkeu!$AY$6:$AY$1005="Direkomendasikan",ROW($6:$1005)-5),880)),KotaKode,2,0),"-"),"")),"")</f>
        <v/>
      </c>
    </row>
    <row r="882" spans="1:12" ht="15" customHeight="1" x14ac:dyDescent="0.2">
      <c r="A882" t="str">
        <f t="shared" si="13"/>
        <v/>
      </c>
      <c r="B882" t="str">
        <v/>
      </c>
      <c r="C882" s="40" t="str">
        <f t="array" ref="C882">IFERROR(INDEX(checklistPesertaKemenkeu!$F$6:$F$1005,SMALL(IF(checklistPesertaKemenkeu!$AY$6:$AY$1005="Direkomendasikan",ROW($6:$1005)-5),881)),"")</f>
        <v/>
      </c>
      <c r="D882" t="str">
        <f t="array" ref="D882">IFERROR(INDEX(checklistPesertaKemenkeu!$G$6:$G$1005,SMALL(IF(checklistPesertaKemenkeu!$AY$6:$AY$1005="Direkomendasikan",ROW($6:$1005)-5),881)),"")</f>
        <v/>
      </c>
      <c r="E882" t="str">
        <f t="array" ref="E882">IFERROR(INDEX(checklistPesertaKemenkeu!$H$6:$H$1005,SMALL(IF(checklistPesertaKemenkeu!$AY$6:$AY$1005="Direkomendasikan",ROW($6:$1005)-5),881)),"")</f>
        <v/>
      </c>
      <c r="F882" t="str">
        <f t="array" ref="F882">IFERROR(INDEX(checklistPesertaKemenkeu!$I$6:$I$1005,SMALL(IF(checklistPesertaKemenkeu!$AY$6:$AY$1005="Direkomendasikan",ROW($6:$1005)-5),881)),"")</f>
        <v/>
      </c>
      <c r="G882" t="str">
        <f t="array" ref="G882">IFERROR(INDEX(checklistPesertaKemenkeu!$J$6:$J$1005,SMALL(IF(checklistPesertaKemenkeu!$AY$6:$AY$1005="Direkomendasikan",ROW($6:$1005)-5),881)),"")</f>
        <v/>
      </c>
      <c r="H882" t="str">
        <f t="array" aca="1" ref="H882" ca="1">IFERROR(IF(OR(INDEX(checklistPesertaKemenkeu!$L$6:$L$1005,SMALL(IF(checklistPesertaKemenkeu!$AY$6:$AY$1005="Direkomendasikan",ROW($6:$1005)-5),881))="",INDEX(checklistPesertaKemenkeu!$J$6:$J$1005,SMALL(IF(checklistPesertaKemenkeu!$AY$6:$AY$1005="Direkomendasikan",ROW($6:$1005)-5),881))=""),"",IF(AND(COUNTIF(INDIRECT("K_"&amp;MATCH(INDEX(checklistPesertaKemenkeu!$J$6:$J$1005,SMALL(IF(checklistPesertaKemenkeu!$AY$6:$AY$1005="Direkomendasikan",ROW($6:$1005)-5),881)),BidangList,0)),INDEX(checklistPesertaKemenkeu!$L$6:$L$1005,SMALL(IF(checklistPesertaKemenkeu!$AY$6:$AY$1005="Direkomendasikan",ROW($6:$1005)-5),881)))&gt;0,COUNTIF(INDIRECT("'KERTAS KERJA'!K"&amp;(SMALL(IF(checklistPesertaKemenkeu!$AY$6:$AY$1005="Direkomendasikan",ROW($6:$1005)-5),881)+5)&amp;":O"&amp;(SMALL(IF(checklistPesertaKemenkeu!$AY$6:$AY$1005="Direkomendasikan",ROW($6:$1005)-5),881)+5)),INDEX(checklistPesertaKemenkeu!$L$6:$L$1005,SMALL(IF(checklistPesertaKemenkeu!$AY$6:$AY$1005="Direkomendasikan",ROW($6:$1005)-5),881)))=1),IFERROR(VLOOKUP(INDEX(checklistPesertaKemenkeu!$L$6:$L$1005,SMALL(IF(checklistPesertaKemenkeu!$AY$6:$AY$1005="Direkomendasikan",ROW($6:$1005)-5),881)),KotaKode,2,0),"-"),"")),"")</f>
        <v/>
      </c>
      <c r="I882" t="str">
        <f t="array" aca="1" ref="I882" ca="1">IFERROR(IF(OR(INDEX(checklistPesertaKemenkeu!$M$6:$M$1005,SMALL(IF(checklistPesertaKemenkeu!$AY$6:$AY$1005="Direkomendasikan",ROW($6:$1005)-5),881))="",INDEX(checklistPesertaKemenkeu!$J$6:$J$1005,SMALL(IF(checklistPesertaKemenkeu!$AY$6:$AY$1005="Direkomendasikan",ROW($6:$1005)-5),881))=""),"",IF(AND(COUNTIF(INDIRECT("K_"&amp;MATCH(INDEX(checklistPesertaKemenkeu!$J$6:$J$1005,SMALL(IF(checklistPesertaKemenkeu!$AY$6:$AY$1005="Direkomendasikan",ROW($6:$1005)-5),881)),BidangList,0)),INDEX(checklistPesertaKemenkeu!$M$6:$M$1005,SMALL(IF(checklistPesertaKemenkeu!$AY$6:$AY$1005="Direkomendasikan",ROW($6:$1005)-5),881)))&gt;0,COUNTIF(INDIRECT("'KERTAS KERJA'!K"&amp;(SMALL(IF(checklistPesertaKemenkeu!$AY$6:$AY$1005="Direkomendasikan",ROW($6:$1005)-5),881)+5)&amp;":O"&amp;(SMALL(IF(checklistPesertaKemenkeu!$AY$6:$AY$1005="Direkomendasikan",ROW($6:$1005)-5),881)+5)),INDEX(checklistPesertaKemenkeu!$M$6:$M$1005,SMALL(IF(checklistPesertaKemenkeu!$AY$6:$AY$1005="Direkomendasikan",ROW($6:$1005)-5),881)))=1),IFERROR(VLOOKUP(INDEX(checklistPesertaKemenkeu!$M$6:$M$1005,SMALL(IF(checklistPesertaKemenkeu!$AY$6:$AY$1005="Direkomendasikan",ROW($6:$1005)-5),881)),KotaKode,2,0),"-"),"")),"")</f>
        <v/>
      </c>
      <c r="J882" t="str">
        <f t="array" aca="1" ref="J882" ca="1">IFERROR(IF(OR(INDEX(checklistPesertaKemenkeu!$N$6:$N$1005,SMALL(IF(checklistPesertaKemenkeu!$AY$6:$AY$1005="Direkomendasikan",ROW($6:$1005)-5),881))="",INDEX(checklistPesertaKemenkeu!$J$6:$J$1005,SMALL(IF(checklistPesertaKemenkeu!$AY$6:$AY$1005="Direkomendasikan",ROW($6:$1005)-5),881))=""),"",IF(AND(COUNTIF(INDIRECT("K_"&amp;MATCH(INDEX(checklistPesertaKemenkeu!$J$6:$J$1005,SMALL(IF(checklistPesertaKemenkeu!$AY$6:$AY$1005="Direkomendasikan",ROW($6:$1005)-5),881)),BidangList,0)),INDEX(checklistPesertaKemenkeu!$N$6:$N$1005,SMALL(IF(checklistPesertaKemenkeu!$AY$6:$AY$1005="Direkomendasikan",ROW($6:$1005)-5),881)))&gt;0,COUNTIF(INDIRECT("'KERTAS KERJA'!K"&amp;(SMALL(IF(checklistPesertaKemenkeu!$AY$6:$AY$1005="Direkomendasikan",ROW($6:$1005)-5),881)+5)&amp;":O"&amp;(SMALL(IF(checklistPesertaKemenkeu!$AY$6:$AY$1005="Direkomendasikan",ROW($6:$1005)-5),881)+5)),INDEX(checklistPesertaKemenkeu!$N$6:$N$1005,SMALL(IF(checklistPesertaKemenkeu!$AY$6:$AY$1005="Direkomendasikan",ROW($6:$1005)-5),881)))=1),IFERROR(VLOOKUP(INDEX(checklistPesertaKemenkeu!$N$6:$N$1005,SMALL(IF(checklistPesertaKemenkeu!$AY$6:$AY$1005="Direkomendasikan",ROW($6:$1005)-5),881)),KotaKode,2,0),"-"),"")),"")</f>
        <v/>
      </c>
      <c r="K882" t="str">
        <f t="array" aca="1" ref="K882" ca="1">IFERROR(IF(OR(INDEX(checklistPesertaKemenkeu!$O$6:$O$1005,SMALL(IF(checklistPesertaKemenkeu!$AY$6:$AY$1005="Direkomendasikan",ROW($6:$1005)-5),881))="",INDEX(checklistPesertaKemenkeu!$J$6:$J$1005,SMALL(IF(checklistPesertaKemenkeu!$AY$6:$AY$1005="Direkomendasikan",ROW($6:$1005)-5),881))=""),"",IF(AND(COUNTIF(INDIRECT("K_"&amp;MATCH(INDEX(checklistPesertaKemenkeu!$J$6:$J$1005,SMALL(IF(checklistPesertaKemenkeu!$AY$6:$AY$1005="Direkomendasikan",ROW($6:$1005)-5),881)),BidangList,0)),INDEX(checklistPesertaKemenkeu!$O$6:$O$1005,SMALL(IF(checklistPesertaKemenkeu!$AY$6:$AY$1005="Direkomendasikan",ROW($6:$1005)-5),881)))&gt;0,COUNTIF(INDIRECT("'KERTAS KERJA'!K"&amp;(SMALL(IF(checklistPesertaKemenkeu!$AY$6:$AY$1005="Direkomendasikan",ROW($6:$1005)-5),881)+5)&amp;":O"&amp;(SMALL(IF(checklistPesertaKemenkeu!$AY$6:$AY$1005="Direkomendasikan",ROW($6:$1005)-5),881)+5)),INDEX(checklistPesertaKemenkeu!$O$6:$O$1005,SMALL(IF(checklistPesertaKemenkeu!$AY$6:$AY$1005="Direkomendasikan",ROW($6:$1005)-5),881)))=1),IFERROR(VLOOKUP(INDEX(checklistPesertaKemenkeu!$O$6:$O$1005,SMALL(IF(checklistPesertaKemenkeu!$AY$6:$AY$1005="Direkomendasikan",ROW($6:$1005)-5),881)),KotaKode,2,0),"-"),"")),"")</f>
        <v/>
      </c>
      <c r="L882" t="str">
        <f t="array" aca="1" ref="L882" ca="1">IFERROR(IF(OR(INDEX(checklistPesertaKemenkeu!$P$6:$P$1005,SMALL(IF(checklistPesertaKemenkeu!$AY$6:$AY$1005="Direkomendasikan",ROW($6:$1005)-5),881))="",INDEX(checklistPesertaKemenkeu!$J$6:$J$1005,SMALL(IF(checklistPesertaKemenkeu!$AY$6:$AY$1005="Direkomendasikan",ROW($6:$1005)-5),881))=""),"",IF(AND(COUNTIF(INDIRECT("K_"&amp;MATCH(INDEX(checklistPesertaKemenkeu!$J$6:$J$1005,SMALL(IF(checklistPesertaKemenkeu!$AY$6:$AY$1005="Direkomendasikan",ROW($6:$1005)-5),881)),BidangList,0)),INDEX(checklistPesertaKemenkeu!$P$6:$P$1005,SMALL(IF(checklistPesertaKemenkeu!$AY$6:$AY$1005="Direkomendasikan",ROW($6:$1005)-5),881)))&gt;0,COUNTIF(INDIRECT("'KERTAS KERJA'!K"&amp;(SMALL(IF(checklistPesertaKemenkeu!$AY$6:$AY$1005="Direkomendasikan",ROW($6:$1005)-5),881)+5)&amp;":O"&amp;(SMALL(IF(checklistPesertaKemenkeu!$AY$6:$AY$1005="Direkomendasikan",ROW($6:$1005)-5),881)+5)),INDEX(checklistPesertaKemenkeu!$P$6:$P$1005,SMALL(IF(checklistPesertaKemenkeu!$AY$6:$AY$1005="Direkomendasikan",ROW($6:$1005)-5),881)))=1),IFERROR(VLOOKUP(INDEX(checklistPesertaKemenkeu!$P$6:$P$1005,SMALL(IF(checklistPesertaKemenkeu!$AY$6:$AY$1005="Direkomendasikan",ROW($6:$1005)-5),881)),KotaKode,2,0),"-"),"")),"")</f>
        <v/>
      </c>
    </row>
    <row r="883" spans="1:12" ht="15" customHeight="1" x14ac:dyDescent="0.2">
      <c r="A883" t="str">
        <f t="shared" si="13"/>
        <v/>
      </c>
      <c r="B883" t="str">
        <v/>
      </c>
      <c r="C883" s="40" t="str">
        <f t="array" ref="C883">IFERROR(INDEX(checklistPesertaKemenkeu!$F$6:$F$1005,SMALL(IF(checklistPesertaKemenkeu!$AY$6:$AY$1005="Direkomendasikan",ROW($6:$1005)-5),882)),"")</f>
        <v/>
      </c>
      <c r="D883" t="str">
        <f t="array" ref="D883">IFERROR(INDEX(checklistPesertaKemenkeu!$G$6:$G$1005,SMALL(IF(checklistPesertaKemenkeu!$AY$6:$AY$1005="Direkomendasikan",ROW($6:$1005)-5),882)),"")</f>
        <v/>
      </c>
      <c r="E883" t="str">
        <f t="array" ref="E883">IFERROR(INDEX(checklistPesertaKemenkeu!$H$6:$H$1005,SMALL(IF(checklistPesertaKemenkeu!$AY$6:$AY$1005="Direkomendasikan",ROW($6:$1005)-5),882)),"")</f>
        <v/>
      </c>
      <c r="F883" t="str">
        <f t="array" ref="F883">IFERROR(INDEX(checklistPesertaKemenkeu!$I$6:$I$1005,SMALL(IF(checklistPesertaKemenkeu!$AY$6:$AY$1005="Direkomendasikan",ROW($6:$1005)-5),882)),"")</f>
        <v/>
      </c>
      <c r="G883" t="str">
        <f t="array" ref="G883">IFERROR(INDEX(checklistPesertaKemenkeu!$J$6:$J$1005,SMALL(IF(checklistPesertaKemenkeu!$AY$6:$AY$1005="Direkomendasikan",ROW($6:$1005)-5),882)),"")</f>
        <v/>
      </c>
      <c r="H883" t="str">
        <f t="array" aca="1" ref="H883" ca="1">IFERROR(IF(OR(INDEX(checklistPesertaKemenkeu!$L$6:$L$1005,SMALL(IF(checklistPesertaKemenkeu!$AY$6:$AY$1005="Direkomendasikan",ROW($6:$1005)-5),882))="",INDEX(checklistPesertaKemenkeu!$J$6:$J$1005,SMALL(IF(checklistPesertaKemenkeu!$AY$6:$AY$1005="Direkomendasikan",ROW($6:$1005)-5),882))=""),"",IF(AND(COUNTIF(INDIRECT("K_"&amp;MATCH(INDEX(checklistPesertaKemenkeu!$J$6:$J$1005,SMALL(IF(checklistPesertaKemenkeu!$AY$6:$AY$1005="Direkomendasikan",ROW($6:$1005)-5),882)),BidangList,0)),INDEX(checklistPesertaKemenkeu!$L$6:$L$1005,SMALL(IF(checklistPesertaKemenkeu!$AY$6:$AY$1005="Direkomendasikan",ROW($6:$1005)-5),882)))&gt;0,COUNTIF(INDIRECT("'KERTAS KERJA'!K"&amp;(SMALL(IF(checklistPesertaKemenkeu!$AY$6:$AY$1005="Direkomendasikan",ROW($6:$1005)-5),882)+5)&amp;":O"&amp;(SMALL(IF(checklistPesertaKemenkeu!$AY$6:$AY$1005="Direkomendasikan",ROW($6:$1005)-5),882)+5)),INDEX(checklistPesertaKemenkeu!$L$6:$L$1005,SMALL(IF(checklistPesertaKemenkeu!$AY$6:$AY$1005="Direkomendasikan",ROW($6:$1005)-5),882)))=1),IFERROR(VLOOKUP(INDEX(checklistPesertaKemenkeu!$L$6:$L$1005,SMALL(IF(checklistPesertaKemenkeu!$AY$6:$AY$1005="Direkomendasikan",ROW($6:$1005)-5),882)),KotaKode,2,0),"-"),"")),"")</f>
        <v/>
      </c>
      <c r="I883" t="str">
        <f t="array" aca="1" ref="I883" ca="1">IFERROR(IF(OR(INDEX(checklistPesertaKemenkeu!$M$6:$M$1005,SMALL(IF(checklistPesertaKemenkeu!$AY$6:$AY$1005="Direkomendasikan",ROW($6:$1005)-5),882))="",INDEX(checklistPesertaKemenkeu!$J$6:$J$1005,SMALL(IF(checklistPesertaKemenkeu!$AY$6:$AY$1005="Direkomendasikan",ROW($6:$1005)-5),882))=""),"",IF(AND(COUNTIF(INDIRECT("K_"&amp;MATCH(INDEX(checklistPesertaKemenkeu!$J$6:$J$1005,SMALL(IF(checklistPesertaKemenkeu!$AY$6:$AY$1005="Direkomendasikan",ROW($6:$1005)-5),882)),BidangList,0)),INDEX(checklistPesertaKemenkeu!$M$6:$M$1005,SMALL(IF(checklistPesertaKemenkeu!$AY$6:$AY$1005="Direkomendasikan",ROW($6:$1005)-5),882)))&gt;0,COUNTIF(INDIRECT("'KERTAS KERJA'!K"&amp;(SMALL(IF(checklistPesertaKemenkeu!$AY$6:$AY$1005="Direkomendasikan",ROW($6:$1005)-5),882)+5)&amp;":O"&amp;(SMALL(IF(checklistPesertaKemenkeu!$AY$6:$AY$1005="Direkomendasikan",ROW($6:$1005)-5),882)+5)),INDEX(checklistPesertaKemenkeu!$M$6:$M$1005,SMALL(IF(checklistPesertaKemenkeu!$AY$6:$AY$1005="Direkomendasikan",ROW($6:$1005)-5),882)))=1),IFERROR(VLOOKUP(INDEX(checklistPesertaKemenkeu!$M$6:$M$1005,SMALL(IF(checklistPesertaKemenkeu!$AY$6:$AY$1005="Direkomendasikan",ROW($6:$1005)-5),882)),KotaKode,2,0),"-"),"")),"")</f>
        <v/>
      </c>
      <c r="J883" t="str">
        <f t="array" aca="1" ref="J883" ca="1">IFERROR(IF(OR(INDEX(checklistPesertaKemenkeu!$N$6:$N$1005,SMALL(IF(checklistPesertaKemenkeu!$AY$6:$AY$1005="Direkomendasikan",ROW($6:$1005)-5),882))="",INDEX(checklistPesertaKemenkeu!$J$6:$J$1005,SMALL(IF(checklistPesertaKemenkeu!$AY$6:$AY$1005="Direkomendasikan",ROW($6:$1005)-5),882))=""),"",IF(AND(COUNTIF(INDIRECT("K_"&amp;MATCH(INDEX(checklistPesertaKemenkeu!$J$6:$J$1005,SMALL(IF(checklistPesertaKemenkeu!$AY$6:$AY$1005="Direkomendasikan",ROW($6:$1005)-5),882)),BidangList,0)),INDEX(checklistPesertaKemenkeu!$N$6:$N$1005,SMALL(IF(checklistPesertaKemenkeu!$AY$6:$AY$1005="Direkomendasikan",ROW($6:$1005)-5),882)))&gt;0,COUNTIF(INDIRECT("'KERTAS KERJA'!K"&amp;(SMALL(IF(checklistPesertaKemenkeu!$AY$6:$AY$1005="Direkomendasikan",ROW($6:$1005)-5),882)+5)&amp;":O"&amp;(SMALL(IF(checklistPesertaKemenkeu!$AY$6:$AY$1005="Direkomendasikan",ROW($6:$1005)-5),882)+5)),INDEX(checklistPesertaKemenkeu!$N$6:$N$1005,SMALL(IF(checklistPesertaKemenkeu!$AY$6:$AY$1005="Direkomendasikan",ROW($6:$1005)-5),882)))=1),IFERROR(VLOOKUP(INDEX(checklistPesertaKemenkeu!$N$6:$N$1005,SMALL(IF(checklistPesertaKemenkeu!$AY$6:$AY$1005="Direkomendasikan",ROW($6:$1005)-5),882)),KotaKode,2,0),"-"),"")),"")</f>
        <v/>
      </c>
      <c r="K883" t="str">
        <f t="array" aca="1" ref="K883" ca="1">IFERROR(IF(OR(INDEX(checklistPesertaKemenkeu!$O$6:$O$1005,SMALL(IF(checklistPesertaKemenkeu!$AY$6:$AY$1005="Direkomendasikan",ROW($6:$1005)-5),882))="",INDEX(checklistPesertaKemenkeu!$J$6:$J$1005,SMALL(IF(checklistPesertaKemenkeu!$AY$6:$AY$1005="Direkomendasikan",ROW($6:$1005)-5),882))=""),"",IF(AND(COUNTIF(INDIRECT("K_"&amp;MATCH(INDEX(checklistPesertaKemenkeu!$J$6:$J$1005,SMALL(IF(checklistPesertaKemenkeu!$AY$6:$AY$1005="Direkomendasikan",ROW($6:$1005)-5),882)),BidangList,0)),INDEX(checklistPesertaKemenkeu!$O$6:$O$1005,SMALL(IF(checklistPesertaKemenkeu!$AY$6:$AY$1005="Direkomendasikan",ROW($6:$1005)-5),882)))&gt;0,COUNTIF(INDIRECT("'KERTAS KERJA'!K"&amp;(SMALL(IF(checklistPesertaKemenkeu!$AY$6:$AY$1005="Direkomendasikan",ROW($6:$1005)-5),882)+5)&amp;":O"&amp;(SMALL(IF(checklistPesertaKemenkeu!$AY$6:$AY$1005="Direkomendasikan",ROW($6:$1005)-5),882)+5)),INDEX(checklistPesertaKemenkeu!$O$6:$O$1005,SMALL(IF(checklistPesertaKemenkeu!$AY$6:$AY$1005="Direkomendasikan",ROW($6:$1005)-5),882)))=1),IFERROR(VLOOKUP(INDEX(checklistPesertaKemenkeu!$O$6:$O$1005,SMALL(IF(checklistPesertaKemenkeu!$AY$6:$AY$1005="Direkomendasikan",ROW($6:$1005)-5),882)),KotaKode,2,0),"-"),"")),"")</f>
        <v/>
      </c>
      <c r="L883" t="str">
        <f t="array" aca="1" ref="L883" ca="1">IFERROR(IF(OR(INDEX(checklistPesertaKemenkeu!$P$6:$P$1005,SMALL(IF(checklistPesertaKemenkeu!$AY$6:$AY$1005="Direkomendasikan",ROW($6:$1005)-5),882))="",INDEX(checklistPesertaKemenkeu!$J$6:$J$1005,SMALL(IF(checklistPesertaKemenkeu!$AY$6:$AY$1005="Direkomendasikan",ROW($6:$1005)-5),882))=""),"",IF(AND(COUNTIF(INDIRECT("K_"&amp;MATCH(INDEX(checklistPesertaKemenkeu!$J$6:$J$1005,SMALL(IF(checklistPesertaKemenkeu!$AY$6:$AY$1005="Direkomendasikan",ROW($6:$1005)-5),882)),BidangList,0)),INDEX(checklistPesertaKemenkeu!$P$6:$P$1005,SMALL(IF(checklistPesertaKemenkeu!$AY$6:$AY$1005="Direkomendasikan",ROW($6:$1005)-5),882)))&gt;0,COUNTIF(INDIRECT("'KERTAS KERJA'!K"&amp;(SMALL(IF(checklistPesertaKemenkeu!$AY$6:$AY$1005="Direkomendasikan",ROW($6:$1005)-5),882)+5)&amp;":O"&amp;(SMALL(IF(checklistPesertaKemenkeu!$AY$6:$AY$1005="Direkomendasikan",ROW($6:$1005)-5),882)+5)),INDEX(checklistPesertaKemenkeu!$P$6:$P$1005,SMALL(IF(checklistPesertaKemenkeu!$AY$6:$AY$1005="Direkomendasikan",ROW($6:$1005)-5),882)))=1),IFERROR(VLOOKUP(INDEX(checklistPesertaKemenkeu!$P$6:$P$1005,SMALL(IF(checklistPesertaKemenkeu!$AY$6:$AY$1005="Direkomendasikan",ROW($6:$1005)-5),882)),KotaKode,2,0),"-"),"")),"")</f>
        <v/>
      </c>
    </row>
    <row r="884" spans="1:12" ht="15" customHeight="1" x14ac:dyDescent="0.2">
      <c r="A884" t="str">
        <f t="shared" si="13"/>
        <v/>
      </c>
      <c r="B884" t="str">
        <v/>
      </c>
      <c r="C884" s="40" t="str">
        <f t="array" ref="C884">IFERROR(INDEX(checklistPesertaKemenkeu!$F$6:$F$1005,SMALL(IF(checklistPesertaKemenkeu!$AY$6:$AY$1005="Direkomendasikan",ROW($6:$1005)-5),883)),"")</f>
        <v/>
      </c>
      <c r="D884" t="str">
        <f t="array" ref="D884">IFERROR(INDEX(checklistPesertaKemenkeu!$G$6:$G$1005,SMALL(IF(checklistPesertaKemenkeu!$AY$6:$AY$1005="Direkomendasikan",ROW($6:$1005)-5),883)),"")</f>
        <v/>
      </c>
      <c r="E884" t="str">
        <f t="array" ref="E884">IFERROR(INDEX(checklistPesertaKemenkeu!$H$6:$H$1005,SMALL(IF(checklistPesertaKemenkeu!$AY$6:$AY$1005="Direkomendasikan",ROW($6:$1005)-5),883)),"")</f>
        <v/>
      </c>
      <c r="F884" t="str">
        <f t="array" ref="F884">IFERROR(INDEX(checklistPesertaKemenkeu!$I$6:$I$1005,SMALL(IF(checklistPesertaKemenkeu!$AY$6:$AY$1005="Direkomendasikan",ROW($6:$1005)-5),883)),"")</f>
        <v/>
      </c>
      <c r="G884" t="str">
        <f t="array" ref="G884">IFERROR(INDEX(checklistPesertaKemenkeu!$J$6:$J$1005,SMALL(IF(checklistPesertaKemenkeu!$AY$6:$AY$1005="Direkomendasikan",ROW($6:$1005)-5),883)),"")</f>
        <v/>
      </c>
      <c r="H884" t="str">
        <f t="array" aca="1" ref="H884" ca="1">IFERROR(IF(OR(INDEX(checklistPesertaKemenkeu!$L$6:$L$1005,SMALL(IF(checklistPesertaKemenkeu!$AY$6:$AY$1005="Direkomendasikan",ROW($6:$1005)-5),883))="",INDEX(checklistPesertaKemenkeu!$J$6:$J$1005,SMALL(IF(checklistPesertaKemenkeu!$AY$6:$AY$1005="Direkomendasikan",ROW($6:$1005)-5),883))=""),"",IF(AND(COUNTIF(INDIRECT("K_"&amp;MATCH(INDEX(checklistPesertaKemenkeu!$J$6:$J$1005,SMALL(IF(checklistPesertaKemenkeu!$AY$6:$AY$1005="Direkomendasikan",ROW($6:$1005)-5),883)),BidangList,0)),INDEX(checklistPesertaKemenkeu!$L$6:$L$1005,SMALL(IF(checklistPesertaKemenkeu!$AY$6:$AY$1005="Direkomendasikan",ROW($6:$1005)-5),883)))&gt;0,COUNTIF(INDIRECT("'KERTAS KERJA'!K"&amp;(SMALL(IF(checklistPesertaKemenkeu!$AY$6:$AY$1005="Direkomendasikan",ROW($6:$1005)-5),883)+5)&amp;":O"&amp;(SMALL(IF(checklistPesertaKemenkeu!$AY$6:$AY$1005="Direkomendasikan",ROW($6:$1005)-5),883)+5)),INDEX(checklistPesertaKemenkeu!$L$6:$L$1005,SMALL(IF(checklistPesertaKemenkeu!$AY$6:$AY$1005="Direkomendasikan",ROW($6:$1005)-5),883)))=1),IFERROR(VLOOKUP(INDEX(checklistPesertaKemenkeu!$L$6:$L$1005,SMALL(IF(checklistPesertaKemenkeu!$AY$6:$AY$1005="Direkomendasikan",ROW($6:$1005)-5),883)),KotaKode,2,0),"-"),"")),"")</f>
        <v/>
      </c>
      <c r="I884" t="str">
        <f t="array" aca="1" ref="I884" ca="1">IFERROR(IF(OR(INDEX(checklistPesertaKemenkeu!$M$6:$M$1005,SMALL(IF(checklistPesertaKemenkeu!$AY$6:$AY$1005="Direkomendasikan",ROW($6:$1005)-5),883))="",INDEX(checklistPesertaKemenkeu!$J$6:$J$1005,SMALL(IF(checklistPesertaKemenkeu!$AY$6:$AY$1005="Direkomendasikan",ROW($6:$1005)-5),883))=""),"",IF(AND(COUNTIF(INDIRECT("K_"&amp;MATCH(INDEX(checklistPesertaKemenkeu!$J$6:$J$1005,SMALL(IF(checklistPesertaKemenkeu!$AY$6:$AY$1005="Direkomendasikan",ROW($6:$1005)-5),883)),BidangList,0)),INDEX(checklistPesertaKemenkeu!$M$6:$M$1005,SMALL(IF(checklistPesertaKemenkeu!$AY$6:$AY$1005="Direkomendasikan",ROW($6:$1005)-5),883)))&gt;0,COUNTIF(INDIRECT("'KERTAS KERJA'!K"&amp;(SMALL(IF(checklistPesertaKemenkeu!$AY$6:$AY$1005="Direkomendasikan",ROW($6:$1005)-5),883)+5)&amp;":O"&amp;(SMALL(IF(checklistPesertaKemenkeu!$AY$6:$AY$1005="Direkomendasikan",ROW($6:$1005)-5),883)+5)),INDEX(checklistPesertaKemenkeu!$M$6:$M$1005,SMALL(IF(checklistPesertaKemenkeu!$AY$6:$AY$1005="Direkomendasikan",ROW($6:$1005)-5),883)))=1),IFERROR(VLOOKUP(INDEX(checklistPesertaKemenkeu!$M$6:$M$1005,SMALL(IF(checklistPesertaKemenkeu!$AY$6:$AY$1005="Direkomendasikan",ROW($6:$1005)-5),883)),KotaKode,2,0),"-"),"")),"")</f>
        <v/>
      </c>
      <c r="J884" t="str">
        <f t="array" aca="1" ref="J884" ca="1">IFERROR(IF(OR(INDEX(checklistPesertaKemenkeu!$N$6:$N$1005,SMALL(IF(checklistPesertaKemenkeu!$AY$6:$AY$1005="Direkomendasikan",ROW($6:$1005)-5),883))="",INDEX(checklistPesertaKemenkeu!$J$6:$J$1005,SMALL(IF(checklistPesertaKemenkeu!$AY$6:$AY$1005="Direkomendasikan",ROW($6:$1005)-5),883))=""),"",IF(AND(COUNTIF(INDIRECT("K_"&amp;MATCH(INDEX(checklistPesertaKemenkeu!$J$6:$J$1005,SMALL(IF(checklistPesertaKemenkeu!$AY$6:$AY$1005="Direkomendasikan",ROW($6:$1005)-5),883)),BidangList,0)),INDEX(checklistPesertaKemenkeu!$N$6:$N$1005,SMALL(IF(checklistPesertaKemenkeu!$AY$6:$AY$1005="Direkomendasikan",ROW($6:$1005)-5),883)))&gt;0,COUNTIF(INDIRECT("'KERTAS KERJA'!K"&amp;(SMALL(IF(checklistPesertaKemenkeu!$AY$6:$AY$1005="Direkomendasikan",ROW($6:$1005)-5),883)+5)&amp;":O"&amp;(SMALL(IF(checklistPesertaKemenkeu!$AY$6:$AY$1005="Direkomendasikan",ROW($6:$1005)-5),883)+5)),INDEX(checklistPesertaKemenkeu!$N$6:$N$1005,SMALL(IF(checklistPesertaKemenkeu!$AY$6:$AY$1005="Direkomendasikan",ROW($6:$1005)-5),883)))=1),IFERROR(VLOOKUP(INDEX(checklistPesertaKemenkeu!$N$6:$N$1005,SMALL(IF(checklistPesertaKemenkeu!$AY$6:$AY$1005="Direkomendasikan",ROW($6:$1005)-5),883)),KotaKode,2,0),"-"),"")),"")</f>
        <v/>
      </c>
      <c r="K884" t="str">
        <f t="array" aca="1" ref="K884" ca="1">IFERROR(IF(OR(INDEX(checklistPesertaKemenkeu!$O$6:$O$1005,SMALL(IF(checklistPesertaKemenkeu!$AY$6:$AY$1005="Direkomendasikan",ROW($6:$1005)-5),883))="",INDEX(checklistPesertaKemenkeu!$J$6:$J$1005,SMALL(IF(checklistPesertaKemenkeu!$AY$6:$AY$1005="Direkomendasikan",ROW($6:$1005)-5),883))=""),"",IF(AND(COUNTIF(INDIRECT("K_"&amp;MATCH(INDEX(checklistPesertaKemenkeu!$J$6:$J$1005,SMALL(IF(checklistPesertaKemenkeu!$AY$6:$AY$1005="Direkomendasikan",ROW($6:$1005)-5),883)),BidangList,0)),INDEX(checklistPesertaKemenkeu!$O$6:$O$1005,SMALL(IF(checklistPesertaKemenkeu!$AY$6:$AY$1005="Direkomendasikan",ROW($6:$1005)-5),883)))&gt;0,COUNTIF(INDIRECT("'KERTAS KERJA'!K"&amp;(SMALL(IF(checklistPesertaKemenkeu!$AY$6:$AY$1005="Direkomendasikan",ROW($6:$1005)-5),883)+5)&amp;":O"&amp;(SMALL(IF(checklistPesertaKemenkeu!$AY$6:$AY$1005="Direkomendasikan",ROW($6:$1005)-5),883)+5)),INDEX(checklistPesertaKemenkeu!$O$6:$O$1005,SMALL(IF(checklistPesertaKemenkeu!$AY$6:$AY$1005="Direkomendasikan",ROW($6:$1005)-5),883)))=1),IFERROR(VLOOKUP(INDEX(checklistPesertaKemenkeu!$O$6:$O$1005,SMALL(IF(checklistPesertaKemenkeu!$AY$6:$AY$1005="Direkomendasikan",ROW($6:$1005)-5),883)),KotaKode,2,0),"-"),"")),"")</f>
        <v/>
      </c>
      <c r="L884" t="str">
        <f t="array" aca="1" ref="L884" ca="1">IFERROR(IF(OR(INDEX(checklistPesertaKemenkeu!$P$6:$P$1005,SMALL(IF(checklistPesertaKemenkeu!$AY$6:$AY$1005="Direkomendasikan",ROW($6:$1005)-5),883))="",INDEX(checklistPesertaKemenkeu!$J$6:$J$1005,SMALL(IF(checklistPesertaKemenkeu!$AY$6:$AY$1005="Direkomendasikan",ROW($6:$1005)-5),883))=""),"",IF(AND(COUNTIF(INDIRECT("K_"&amp;MATCH(INDEX(checklistPesertaKemenkeu!$J$6:$J$1005,SMALL(IF(checklistPesertaKemenkeu!$AY$6:$AY$1005="Direkomendasikan",ROW($6:$1005)-5),883)),BidangList,0)),INDEX(checklistPesertaKemenkeu!$P$6:$P$1005,SMALL(IF(checklistPesertaKemenkeu!$AY$6:$AY$1005="Direkomendasikan",ROW($6:$1005)-5),883)))&gt;0,COUNTIF(INDIRECT("'KERTAS KERJA'!K"&amp;(SMALL(IF(checklistPesertaKemenkeu!$AY$6:$AY$1005="Direkomendasikan",ROW($6:$1005)-5),883)+5)&amp;":O"&amp;(SMALL(IF(checklistPesertaKemenkeu!$AY$6:$AY$1005="Direkomendasikan",ROW($6:$1005)-5),883)+5)),INDEX(checklistPesertaKemenkeu!$P$6:$P$1005,SMALL(IF(checklistPesertaKemenkeu!$AY$6:$AY$1005="Direkomendasikan",ROW($6:$1005)-5),883)))=1),IFERROR(VLOOKUP(INDEX(checklistPesertaKemenkeu!$P$6:$P$1005,SMALL(IF(checklistPesertaKemenkeu!$AY$6:$AY$1005="Direkomendasikan",ROW($6:$1005)-5),883)),KotaKode,2,0),"-"),"")),"")</f>
        <v/>
      </c>
    </row>
    <row r="885" spans="1:12" ht="15" customHeight="1" x14ac:dyDescent="0.2">
      <c r="A885" t="str">
        <f t="shared" si="13"/>
        <v/>
      </c>
      <c r="B885" t="str">
        <v/>
      </c>
      <c r="C885" s="40" t="str">
        <f t="array" ref="C885">IFERROR(INDEX(checklistPesertaKemenkeu!$F$6:$F$1005,SMALL(IF(checklistPesertaKemenkeu!$AY$6:$AY$1005="Direkomendasikan",ROW($6:$1005)-5),884)),"")</f>
        <v/>
      </c>
      <c r="D885" t="str">
        <f t="array" ref="D885">IFERROR(INDEX(checklistPesertaKemenkeu!$G$6:$G$1005,SMALL(IF(checklistPesertaKemenkeu!$AY$6:$AY$1005="Direkomendasikan",ROW($6:$1005)-5),884)),"")</f>
        <v/>
      </c>
      <c r="E885" t="str">
        <f t="array" ref="E885">IFERROR(INDEX(checklistPesertaKemenkeu!$H$6:$H$1005,SMALL(IF(checklistPesertaKemenkeu!$AY$6:$AY$1005="Direkomendasikan",ROW($6:$1005)-5),884)),"")</f>
        <v/>
      </c>
      <c r="F885" t="str">
        <f t="array" ref="F885">IFERROR(INDEX(checklistPesertaKemenkeu!$I$6:$I$1005,SMALL(IF(checklistPesertaKemenkeu!$AY$6:$AY$1005="Direkomendasikan",ROW($6:$1005)-5),884)),"")</f>
        <v/>
      </c>
      <c r="G885" t="str">
        <f t="array" ref="G885">IFERROR(INDEX(checklistPesertaKemenkeu!$J$6:$J$1005,SMALL(IF(checklistPesertaKemenkeu!$AY$6:$AY$1005="Direkomendasikan",ROW($6:$1005)-5),884)),"")</f>
        <v/>
      </c>
      <c r="H885" t="str">
        <f t="array" aca="1" ref="H885" ca="1">IFERROR(IF(OR(INDEX(checklistPesertaKemenkeu!$L$6:$L$1005,SMALL(IF(checklistPesertaKemenkeu!$AY$6:$AY$1005="Direkomendasikan",ROW($6:$1005)-5),884))="",INDEX(checklistPesertaKemenkeu!$J$6:$J$1005,SMALL(IF(checklistPesertaKemenkeu!$AY$6:$AY$1005="Direkomendasikan",ROW($6:$1005)-5),884))=""),"",IF(AND(COUNTIF(INDIRECT("K_"&amp;MATCH(INDEX(checklistPesertaKemenkeu!$J$6:$J$1005,SMALL(IF(checklistPesertaKemenkeu!$AY$6:$AY$1005="Direkomendasikan",ROW($6:$1005)-5),884)),BidangList,0)),INDEX(checklistPesertaKemenkeu!$L$6:$L$1005,SMALL(IF(checklistPesertaKemenkeu!$AY$6:$AY$1005="Direkomendasikan",ROW($6:$1005)-5),884)))&gt;0,COUNTIF(INDIRECT("'KERTAS KERJA'!K"&amp;(SMALL(IF(checklistPesertaKemenkeu!$AY$6:$AY$1005="Direkomendasikan",ROW($6:$1005)-5),884)+5)&amp;":O"&amp;(SMALL(IF(checklistPesertaKemenkeu!$AY$6:$AY$1005="Direkomendasikan",ROW($6:$1005)-5),884)+5)),INDEX(checklistPesertaKemenkeu!$L$6:$L$1005,SMALL(IF(checklistPesertaKemenkeu!$AY$6:$AY$1005="Direkomendasikan",ROW($6:$1005)-5),884)))=1),IFERROR(VLOOKUP(INDEX(checklistPesertaKemenkeu!$L$6:$L$1005,SMALL(IF(checklistPesertaKemenkeu!$AY$6:$AY$1005="Direkomendasikan",ROW($6:$1005)-5),884)),KotaKode,2,0),"-"),"")),"")</f>
        <v/>
      </c>
      <c r="I885" t="str">
        <f t="array" aca="1" ref="I885" ca="1">IFERROR(IF(OR(INDEX(checklistPesertaKemenkeu!$M$6:$M$1005,SMALL(IF(checklistPesertaKemenkeu!$AY$6:$AY$1005="Direkomendasikan",ROW($6:$1005)-5),884))="",INDEX(checklistPesertaKemenkeu!$J$6:$J$1005,SMALL(IF(checklistPesertaKemenkeu!$AY$6:$AY$1005="Direkomendasikan",ROW($6:$1005)-5),884))=""),"",IF(AND(COUNTIF(INDIRECT("K_"&amp;MATCH(INDEX(checklistPesertaKemenkeu!$J$6:$J$1005,SMALL(IF(checklistPesertaKemenkeu!$AY$6:$AY$1005="Direkomendasikan",ROW($6:$1005)-5),884)),BidangList,0)),INDEX(checklistPesertaKemenkeu!$M$6:$M$1005,SMALL(IF(checklistPesertaKemenkeu!$AY$6:$AY$1005="Direkomendasikan",ROW($6:$1005)-5),884)))&gt;0,COUNTIF(INDIRECT("'KERTAS KERJA'!K"&amp;(SMALL(IF(checklistPesertaKemenkeu!$AY$6:$AY$1005="Direkomendasikan",ROW($6:$1005)-5),884)+5)&amp;":O"&amp;(SMALL(IF(checklistPesertaKemenkeu!$AY$6:$AY$1005="Direkomendasikan",ROW($6:$1005)-5),884)+5)),INDEX(checklistPesertaKemenkeu!$M$6:$M$1005,SMALL(IF(checklistPesertaKemenkeu!$AY$6:$AY$1005="Direkomendasikan",ROW($6:$1005)-5),884)))=1),IFERROR(VLOOKUP(INDEX(checklistPesertaKemenkeu!$M$6:$M$1005,SMALL(IF(checklistPesertaKemenkeu!$AY$6:$AY$1005="Direkomendasikan",ROW($6:$1005)-5),884)),KotaKode,2,0),"-"),"")),"")</f>
        <v/>
      </c>
      <c r="J885" t="str">
        <f t="array" aca="1" ref="J885" ca="1">IFERROR(IF(OR(INDEX(checklistPesertaKemenkeu!$N$6:$N$1005,SMALL(IF(checklistPesertaKemenkeu!$AY$6:$AY$1005="Direkomendasikan",ROW($6:$1005)-5),884))="",INDEX(checklistPesertaKemenkeu!$J$6:$J$1005,SMALL(IF(checklistPesertaKemenkeu!$AY$6:$AY$1005="Direkomendasikan",ROW($6:$1005)-5),884))=""),"",IF(AND(COUNTIF(INDIRECT("K_"&amp;MATCH(INDEX(checklistPesertaKemenkeu!$J$6:$J$1005,SMALL(IF(checklistPesertaKemenkeu!$AY$6:$AY$1005="Direkomendasikan",ROW($6:$1005)-5),884)),BidangList,0)),INDEX(checklistPesertaKemenkeu!$N$6:$N$1005,SMALL(IF(checklistPesertaKemenkeu!$AY$6:$AY$1005="Direkomendasikan",ROW($6:$1005)-5),884)))&gt;0,COUNTIF(INDIRECT("'KERTAS KERJA'!K"&amp;(SMALL(IF(checklistPesertaKemenkeu!$AY$6:$AY$1005="Direkomendasikan",ROW($6:$1005)-5),884)+5)&amp;":O"&amp;(SMALL(IF(checklistPesertaKemenkeu!$AY$6:$AY$1005="Direkomendasikan",ROW($6:$1005)-5),884)+5)),INDEX(checklistPesertaKemenkeu!$N$6:$N$1005,SMALL(IF(checklistPesertaKemenkeu!$AY$6:$AY$1005="Direkomendasikan",ROW($6:$1005)-5),884)))=1),IFERROR(VLOOKUP(INDEX(checklistPesertaKemenkeu!$N$6:$N$1005,SMALL(IF(checklistPesertaKemenkeu!$AY$6:$AY$1005="Direkomendasikan",ROW($6:$1005)-5),884)),KotaKode,2,0),"-"),"")),"")</f>
        <v/>
      </c>
      <c r="K885" t="str">
        <f t="array" aca="1" ref="K885" ca="1">IFERROR(IF(OR(INDEX(checklistPesertaKemenkeu!$O$6:$O$1005,SMALL(IF(checklistPesertaKemenkeu!$AY$6:$AY$1005="Direkomendasikan",ROW($6:$1005)-5),884))="",INDEX(checklistPesertaKemenkeu!$J$6:$J$1005,SMALL(IF(checklistPesertaKemenkeu!$AY$6:$AY$1005="Direkomendasikan",ROW($6:$1005)-5),884))=""),"",IF(AND(COUNTIF(INDIRECT("K_"&amp;MATCH(INDEX(checklistPesertaKemenkeu!$J$6:$J$1005,SMALL(IF(checklistPesertaKemenkeu!$AY$6:$AY$1005="Direkomendasikan",ROW($6:$1005)-5),884)),BidangList,0)),INDEX(checklistPesertaKemenkeu!$O$6:$O$1005,SMALL(IF(checklistPesertaKemenkeu!$AY$6:$AY$1005="Direkomendasikan",ROW($6:$1005)-5),884)))&gt;0,COUNTIF(INDIRECT("'KERTAS KERJA'!K"&amp;(SMALL(IF(checklistPesertaKemenkeu!$AY$6:$AY$1005="Direkomendasikan",ROW($6:$1005)-5),884)+5)&amp;":O"&amp;(SMALL(IF(checklistPesertaKemenkeu!$AY$6:$AY$1005="Direkomendasikan",ROW($6:$1005)-5),884)+5)),INDEX(checklistPesertaKemenkeu!$O$6:$O$1005,SMALL(IF(checklistPesertaKemenkeu!$AY$6:$AY$1005="Direkomendasikan",ROW($6:$1005)-5),884)))=1),IFERROR(VLOOKUP(INDEX(checklistPesertaKemenkeu!$O$6:$O$1005,SMALL(IF(checklistPesertaKemenkeu!$AY$6:$AY$1005="Direkomendasikan",ROW($6:$1005)-5),884)),KotaKode,2,0),"-"),"")),"")</f>
        <v/>
      </c>
      <c r="L885" t="str">
        <f t="array" aca="1" ref="L885" ca="1">IFERROR(IF(OR(INDEX(checklistPesertaKemenkeu!$P$6:$P$1005,SMALL(IF(checklistPesertaKemenkeu!$AY$6:$AY$1005="Direkomendasikan",ROW($6:$1005)-5),884))="",INDEX(checklistPesertaKemenkeu!$J$6:$J$1005,SMALL(IF(checklistPesertaKemenkeu!$AY$6:$AY$1005="Direkomendasikan",ROW($6:$1005)-5),884))=""),"",IF(AND(COUNTIF(INDIRECT("K_"&amp;MATCH(INDEX(checklistPesertaKemenkeu!$J$6:$J$1005,SMALL(IF(checklistPesertaKemenkeu!$AY$6:$AY$1005="Direkomendasikan",ROW($6:$1005)-5),884)),BidangList,0)),INDEX(checklistPesertaKemenkeu!$P$6:$P$1005,SMALL(IF(checklistPesertaKemenkeu!$AY$6:$AY$1005="Direkomendasikan",ROW($6:$1005)-5),884)))&gt;0,COUNTIF(INDIRECT("'KERTAS KERJA'!K"&amp;(SMALL(IF(checklistPesertaKemenkeu!$AY$6:$AY$1005="Direkomendasikan",ROW($6:$1005)-5),884)+5)&amp;":O"&amp;(SMALL(IF(checklistPesertaKemenkeu!$AY$6:$AY$1005="Direkomendasikan",ROW($6:$1005)-5),884)+5)),INDEX(checklistPesertaKemenkeu!$P$6:$P$1005,SMALL(IF(checklistPesertaKemenkeu!$AY$6:$AY$1005="Direkomendasikan",ROW($6:$1005)-5),884)))=1),IFERROR(VLOOKUP(INDEX(checklistPesertaKemenkeu!$P$6:$P$1005,SMALL(IF(checklistPesertaKemenkeu!$AY$6:$AY$1005="Direkomendasikan",ROW($6:$1005)-5),884)),KotaKode,2,0),"-"),"")),"")</f>
        <v/>
      </c>
    </row>
    <row r="886" spans="1:12" ht="15" customHeight="1" x14ac:dyDescent="0.2">
      <c r="A886" t="str">
        <f t="shared" si="13"/>
        <v/>
      </c>
      <c r="B886" t="str">
        <v/>
      </c>
      <c r="C886" s="40" t="str">
        <f t="array" ref="C886">IFERROR(INDEX(checklistPesertaKemenkeu!$F$6:$F$1005,SMALL(IF(checklistPesertaKemenkeu!$AY$6:$AY$1005="Direkomendasikan",ROW($6:$1005)-5),885)),"")</f>
        <v/>
      </c>
      <c r="D886" t="str">
        <f t="array" ref="D886">IFERROR(INDEX(checklistPesertaKemenkeu!$G$6:$G$1005,SMALL(IF(checklistPesertaKemenkeu!$AY$6:$AY$1005="Direkomendasikan",ROW($6:$1005)-5),885)),"")</f>
        <v/>
      </c>
      <c r="E886" t="str">
        <f t="array" ref="E886">IFERROR(INDEX(checklistPesertaKemenkeu!$H$6:$H$1005,SMALL(IF(checklistPesertaKemenkeu!$AY$6:$AY$1005="Direkomendasikan",ROW($6:$1005)-5),885)),"")</f>
        <v/>
      </c>
      <c r="F886" t="str">
        <f t="array" ref="F886">IFERROR(INDEX(checklistPesertaKemenkeu!$I$6:$I$1005,SMALL(IF(checklistPesertaKemenkeu!$AY$6:$AY$1005="Direkomendasikan",ROW($6:$1005)-5),885)),"")</f>
        <v/>
      </c>
      <c r="G886" t="str">
        <f t="array" ref="G886">IFERROR(INDEX(checklistPesertaKemenkeu!$J$6:$J$1005,SMALL(IF(checklistPesertaKemenkeu!$AY$6:$AY$1005="Direkomendasikan",ROW($6:$1005)-5),885)),"")</f>
        <v/>
      </c>
      <c r="H886" t="str">
        <f t="array" aca="1" ref="H886" ca="1">IFERROR(IF(OR(INDEX(checklistPesertaKemenkeu!$L$6:$L$1005,SMALL(IF(checklistPesertaKemenkeu!$AY$6:$AY$1005="Direkomendasikan",ROW($6:$1005)-5),885))="",INDEX(checklistPesertaKemenkeu!$J$6:$J$1005,SMALL(IF(checklistPesertaKemenkeu!$AY$6:$AY$1005="Direkomendasikan",ROW($6:$1005)-5),885))=""),"",IF(AND(COUNTIF(INDIRECT("K_"&amp;MATCH(INDEX(checklistPesertaKemenkeu!$J$6:$J$1005,SMALL(IF(checklistPesertaKemenkeu!$AY$6:$AY$1005="Direkomendasikan",ROW($6:$1005)-5),885)),BidangList,0)),INDEX(checklistPesertaKemenkeu!$L$6:$L$1005,SMALL(IF(checklistPesertaKemenkeu!$AY$6:$AY$1005="Direkomendasikan",ROW($6:$1005)-5),885)))&gt;0,COUNTIF(INDIRECT("'KERTAS KERJA'!K"&amp;(SMALL(IF(checklistPesertaKemenkeu!$AY$6:$AY$1005="Direkomendasikan",ROW($6:$1005)-5),885)+5)&amp;":O"&amp;(SMALL(IF(checklistPesertaKemenkeu!$AY$6:$AY$1005="Direkomendasikan",ROW($6:$1005)-5),885)+5)),INDEX(checklistPesertaKemenkeu!$L$6:$L$1005,SMALL(IF(checklistPesertaKemenkeu!$AY$6:$AY$1005="Direkomendasikan",ROW($6:$1005)-5),885)))=1),IFERROR(VLOOKUP(INDEX(checklistPesertaKemenkeu!$L$6:$L$1005,SMALL(IF(checklistPesertaKemenkeu!$AY$6:$AY$1005="Direkomendasikan",ROW($6:$1005)-5),885)),KotaKode,2,0),"-"),"")),"")</f>
        <v/>
      </c>
      <c r="I886" t="str">
        <f t="array" aca="1" ref="I886" ca="1">IFERROR(IF(OR(INDEX(checklistPesertaKemenkeu!$M$6:$M$1005,SMALL(IF(checklistPesertaKemenkeu!$AY$6:$AY$1005="Direkomendasikan",ROW($6:$1005)-5),885))="",INDEX(checklistPesertaKemenkeu!$J$6:$J$1005,SMALL(IF(checklistPesertaKemenkeu!$AY$6:$AY$1005="Direkomendasikan",ROW($6:$1005)-5),885))=""),"",IF(AND(COUNTIF(INDIRECT("K_"&amp;MATCH(INDEX(checklistPesertaKemenkeu!$J$6:$J$1005,SMALL(IF(checklistPesertaKemenkeu!$AY$6:$AY$1005="Direkomendasikan",ROW($6:$1005)-5),885)),BidangList,0)),INDEX(checklistPesertaKemenkeu!$M$6:$M$1005,SMALL(IF(checklistPesertaKemenkeu!$AY$6:$AY$1005="Direkomendasikan",ROW($6:$1005)-5),885)))&gt;0,COUNTIF(INDIRECT("'KERTAS KERJA'!K"&amp;(SMALL(IF(checklistPesertaKemenkeu!$AY$6:$AY$1005="Direkomendasikan",ROW($6:$1005)-5),885)+5)&amp;":O"&amp;(SMALL(IF(checklistPesertaKemenkeu!$AY$6:$AY$1005="Direkomendasikan",ROW($6:$1005)-5),885)+5)),INDEX(checklistPesertaKemenkeu!$M$6:$M$1005,SMALL(IF(checklistPesertaKemenkeu!$AY$6:$AY$1005="Direkomendasikan",ROW($6:$1005)-5),885)))=1),IFERROR(VLOOKUP(INDEX(checklistPesertaKemenkeu!$M$6:$M$1005,SMALL(IF(checklistPesertaKemenkeu!$AY$6:$AY$1005="Direkomendasikan",ROW($6:$1005)-5),885)),KotaKode,2,0),"-"),"")),"")</f>
        <v/>
      </c>
      <c r="J886" t="str">
        <f t="array" aca="1" ref="J886" ca="1">IFERROR(IF(OR(INDEX(checklistPesertaKemenkeu!$N$6:$N$1005,SMALL(IF(checklistPesertaKemenkeu!$AY$6:$AY$1005="Direkomendasikan",ROW($6:$1005)-5),885))="",INDEX(checklistPesertaKemenkeu!$J$6:$J$1005,SMALL(IF(checklistPesertaKemenkeu!$AY$6:$AY$1005="Direkomendasikan",ROW($6:$1005)-5),885))=""),"",IF(AND(COUNTIF(INDIRECT("K_"&amp;MATCH(INDEX(checklistPesertaKemenkeu!$J$6:$J$1005,SMALL(IF(checklistPesertaKemenkeu!$AY$6:$AY$1005="Direkomendasikan",ROW($6:$1005)-5),885)),BidangList,0)),INDEX(checklistPesertaKemenkeu!$N$6:$N$1005,SMALL(IF(checklistPesertaKemenkeu!$AY$6:$AY$1005="Direkomendasikan",ROW($6:$1005)-5),885)))&gt;0,COUNTIF(INDIRECT("'KERTAS KERJA'!K"&amp;(SMALL(IF(checklistPesertaKemenkeu!$AY$6:$AY$1005="Direkomendasikan",ROW($6:$1005)-5),885)+5)&amp;":O"&amp;(SMALL(IF(checklistPesertaKemenkeu!$AY$6:$AY$1005="Direkomendasikan",ROW($6:$1005)-5),885)+5)),INDEX(checklistPesertaKemenkeu!$N$6:$N$1005,SMALL(IF(checklistPesertaKemenkeu!$AY$6:$AY$1005="Direkomendasikan",ROW($6:$1005)-5),885)))=1),IFERROR(VLOOKUP(INDEX(checklistPesertaKemenkeu!$N$6:$N$1005,SMALL(IF(checklistPesertaKemenkeu!$AY$6:$AY$1005="Direkomendasikan",ROW($6:$1005)-5),885)),KotaKode,2,0),"-"),"")),"")</f>
        <v/>
      </c>
      <c r="K886" t="str">
        <f t="array" aca="1" ref="K886" ca="1">IFERROR(IF(OR(INDEX(checklistPesertaKemenkeu!$O$6:$O$1005,SMALL(IF(checklistPesertaKemenkeu!$AY$6:$AY$1005="Direkomendasikan",ROW($6:$1005)-5),885))="",INDEX(checklistPesertaKemenkeu!$J$6:$J$1005,SMALL(IF(checklistPesertaKemenkeu!$AY$6:$AY$1005="Direkomendasikan",ROW($6:$1005)-5),885))=""),"",IF(AND(COUNTIF(INDIRECT("K_"&amp;MATCH(INDEX(checklistPesertaKemenkeu!$J$6:$J$1005,SMALL(IF(checklistPesertaKemenkeu!$AY$6:$AY$1005="Direkomendasikan",ROW($6:$1005)-5),885)),BidangList,0)),INDEX(checklistPesertaKemenkeu!$O$6:$O$1005,SMALL(IF(checklistPesertaKemenkeu!$AY$6:$AY$1005="Direkomendasikan",ROW($6:$1005)-5),885)))&gt;0,COUNTIF(INDIRECT("'KERTAS KERJA'!K"&amp;(SMALL(IF(checklistPesertaKemenkeu!$AY$6:$AY$1005="Direkomendasikan",ROW($6:$1005)-5),885)+5)&amp;":O"&amp;(SMALL(IF(checklistPesertaKemenkeu!$AY$6:$AY$1005="Direkomendasikan",ROW($6:$1005)-5),885)+5)),INDEX(checklistPesertaKemenkeu!$O$6:$O$1005,SMALL(IF(checklistPesertaKemenkeu!$AY$6:$AY$1005="Direkomendasikan",ROW($6:$1005)-5),885)))=1),IFERROR(VLOOKUP(INDEX(checklistPesertaKemenkeu!$O$6:$O$1005,SMALL(IF(checklistPesertaKemenkeu!$AY$6:$AY$1005="Direkomendasikan",ROW($6:$1005)-5),885)),KotaKode,2,0),"-"),"")),"")</f>
        <v/>
      </c>
      <c r="L886" t="str">
        <f t="array" aca="1" ref="L886" ca="1">IFERROR(IF(OR(INDEX(checklistPesertaKemenkeu!$P$6:$P$1005,SMALL(IF(checklistPesertaKemenkeu!$AY$6:$AY$1005="Direkomendasikan",ROW($6:$1005)-5),885))="",INDEX(checklistPesertaKemenkeu!$J$6:$J$1005,SMALL(IF(checklistPesertaKemenkeu!$AY$6:$AY$1005="Direkomendasikan",ROW($6:$1005)-5),885))=""),"",IF(AND(COUNTIF(INDIRECT("K_"&amp;MATCH(INDEX(checklistPesertaKemenkeu!$J$6:$J$1005,SMALL(IF(checklistPesertaKemenkeu!$AY$6:$AY$1005="Direkomendasikan",ROW($6:$1005)-5),885)),BidangList,0)),INDEX(checklistPesertaKemenkeu!$P$6:$P$1005,SMALL(IF(checklistPesertaKemenkeu!$AY$6:$AY$1005="Direkomendasikan",ROW($6:$1005)-5),885)))&gt;0,COUNTIF(INDIRECT("'KERTAS KERJA'!K"&amp;(SMALL(IF(checklistPesertaKemenkeu!$AY$6:$AY$1005="Direkomendasikan",ROW($6:$1005)-5),885)+5)&amp;":O"&amp;(SMALL(IF(checklistPesertaKemenkeu!$AY$6:$AY$1005="Direkomendasikan",ROW($6:$1005)-5),885)+5)),INDEX(checklistPesertaKemenkeu!$P$6:$P$1005,SMALL(IF(checklistPesertaKemenkeu!$AY$6:$AY$1005="Direkomendasikan",ROW($6:$1005)-5),885)))=1),IFERROR(VLOOKUP(INDEX(checklistPesertaKemenkeu!$P$6:$P$1005,SMALL(IF(checklistPesertaKemenkeu!$AY$6:$AY$1005="Direkomendasikan",ROW($6:$1005)-5),885)),KotaKode,2,0),"-"),"")),"")</f>
        <v/>
      </c>
    </row>
    <row r="887" spans="1:12" ht="15" customHeight="1" x14ac:dyDescent="0.2">
      <c r="A887" t="str">
        <f t="shared" si="13"/>
        <v/>
      </c>
      <c r="B887" t="str">
        <v/>
      </c>
      <c r="C887" s="40" t="str">
        <f t="array" ref="C887">IFERROR(INDEX(checklistPesertaKemenkeu!$F$6:$F$1005,SMALL(IF(checklistPesertaKemenkeu!$AY$6:$AY$1005="Direkomendasikan",ROW($6:$1005)-5),886)),"")</f>
        <v/>
      </c>
      <c r="D887" t="str">
        <f t="array" ref="D887">IFERROR(INDEX(checklistPesertaKemenkeu!$G$6:$G$1005,SMALL(IF(checklistPesertaKemenkeu!$AY$6:$AY$1005="Direkomendasikan",ROW($6:$1005)-5),886)),"")</f>
        <v/>
      </c>
      <c r="E887" t="str">
        <f t="array" ref="E887">IFERROR(INDEX(checklistPesertaKemenkeu!$H$6:$H$1005,SMALL(IF(checklistPesertaKemenkeu!$AY$6:$AY$1005="Direkomendasikan",ROW($6:$1005)-5),886)),"")</f>
        <v/>
      </c>
      <c r="F887" t="str">
        <f t="array" ref="F887">IFERROR(INDEX(checklistPesertaKemenkeu!$I$6:$I$1005,SMALL(IF(checklistPesertaKemenkeu!$AY$6:$AY$1005="Direkomendasikan",ROW($6:$1005)-5),886)),"")</f>
        <v/>
      </c>
      <c r="G887" t="str">
        <f t="array" ref="G887">IFERROR(INDEX(checklistPesertaKemenkeu!$J$6:$J$1005,SMALL(IF(checklistPesertaKemenkeu!$AY$6:$AY$1005="Direkomendasikan",ROW($6:$1005)-5),886)),"")</f>
        <v/>
      </c>
      <c r="H887" t="str">
        <f t="array" aca="1" ref="H887" ca="1">IFERROR(IF(OR(INDEX(checklistPesertaKemenkeu!$L$6:$L$1005,SMALL(IF(checklistPesertaKemenkeu!$AY$6:$AY$1005="Direkomendasikan",ROW($6:$1005)-5),886))="",INDEX(checklistPesertaKemenkeu!$J$6:$J$1005,SMALL(IF(checklistPesertaKemenkeu!$AY$6:$AY$1005="Direkomendasikan",ROW($6:$1005)-5),886))=""),"",IF(AND(COUNTIF(INDIRECT("K_"&amp;MATCH(INDEX(checklistPesertaKemenkeu!$J$6:$J$1005,SMALL(IF(checklistPesertaKemenkeu!$AY$6:$AY$1005="Direkomendasikan",ROW($6:$1005)-5),886)),BidangList,0)),INDEX(checklistPesertaKemenkeu!$L$6:$L$1005,SMALL(IF(checklistPesertaKemenkeu!$AY$6:$AY$1005="Direkomendasikan",ROW($6:$1005)-5),886)))&gt;0,COUNTIF(INDIRECT("'KERTAS KERJA'!K"&amp;(SMALL(IF(checklistPesertaKemenkeu!$AY$6:$AY$1005="Direkomendasikan",ROW($6:$1005)-5),886)+5)&amp;":O"&amp;(SMALL(IF(checklistPesertaKemenkeu!$AY$6:$AY$1005="Direkomendasikan",ROW($6:$1005)-5),886)+5)),INDEX(checklistPesertaKemenkeu!$L$6:$L$1005,SMALL(IF(checklistPesertaKemenkeu!$AY$6:$AY$1005="Direkomendasikan",ROW($6:$1005)-5),886)))=1),IFERROR(VLOOKUP(INDEX(checklistPesertaKemenkeu!$L$6:$L$1005,SMALL(IF(checklistPesertaKemenkeu!$AY$6:$AY$1005="Direkomendasikan",ROW($6:$1005)-5),886)),KotaKode,2,0),"-"),"")),"")</f>
        <v/>
      </c>
      <c r="I887" t="str">
        <f t="array" aca="1" ref="I887" ca="1">IFERROR(IF(OR(INDEX(checklistPesertaKemenkeu!$M$6:$M$1005,SMALL(IF(checklistPesertaKemenkeu!$AY$6:$AY$1005="Direkomendasikan",ROW($6:$1005)-5),886))="",INDEX(checklistPesertaKemenkeu!$J$6:$J$1005,SMALL(IF(checklistPesertaKemenkeu!$AY$6:$AY$1005="Direkomendasikan",ROW($6:$1005)-5),886))=""),"",IF(AND(COUNTIF(INDIRECT("K_"&amp;MATCH(INDEX(checklistPesertaKemenkeu!$J$6:$J$1005,SMALL(IF(checklistPesertaKemenkeu!$AY$6:$AY$1005="Direkomendasikan",ROW($6:$1005)-5),886)),BidangList,0)),INDEX(checklistPesertaKemenkeu!$M$6:$M$1005,SMALL(IF(checklistPesertaKemenkeu!$AY$6:$AY$1005="Direkomendasikan",ROW($6:$1005)-5),886)))&gt;0,COUNTIF(INDIRECT("'KERTAS KERJA'!K"&amp;(SMALL(IF(checklistPesertaKemenkeu!$AY$6:$AY$1005="Direkomendasikan",ROW($6:$1005)-5),886)+5)&amp;":O"&amp;(SMALL(IF(checklistPesertaKemenkeu!$AY$6:$AY$1005="Direkomendasikan",ROW($6:$1005)-5),886)+5)),INDEX(checklistPesertaKemenkeu!$M$6:$M$1005,SMALL(IF(checklistPesertaKemenkeu!$AY$6:$AY$1005="Direkomendasikan",ROW($6:$1005)-5),886)))=1),IFERROR(VLOOKUP(INDEX(checklistPesertaKemenkeu!$M$6:$M$1005,SMALL(IF(checklistPesertaKemenkeu!$AY$6:$AY$1005="Direkomendasikan",ROW($6:$1005)-5),886)),KotaKode,2,0),"-"),"")),"")</f>
        <v/>
      </c>
      <c r="J887" t="str">
        <f t="array" aca="1" ref="J887" ca="1">IFERROR(IF(OR(INDEX(checklistPesertaKemenkeu!$N$6:$N$1005,SMALL(IF(checklistPesertaKemenkeu!$AY$6:$AY$1005="Direkomendasikan",ROW($6:$1005)-5),886))="",INDEX(checklistPesertaKemenkeu!$J$6:$J$1005,SMALL(IF(checklistPesertaKemenkeu!$AY$6:$AY$1005="Direkomendasikan",ROW($6:$1005)-5),886))=""),"",IF(AND(COUNTIF(INDIRECT("K_"&amp;MATCH(INDEX(checklistPesertaKemenkeu!$J$6:$J$1005,SMALL(IF(checklistPesertaKemenkeu!$AY$6:$AY$1005="Direkomendasikan",ROW($6:$1005)-5),886)),BidangList,0)),INDEX(checklistPesertaKemenkeu!$N$6:$N$1005,SMALL(IF(checklistPesertaKemenkeu!$AY$6:$AY$1005="Direkomendasikan",ROW($6:$1005)-5),886)))&gt;0,COUNTIF(INDIRECT("'KERTAS KERJA'!K"&amp;(SMALL(IF(checklistPesertaKemenkeu!$AY$6:$AY$1005="Direkomendasikan",ROW($6:$1005)-5),886)+5)&amp;":O"&amp;(SMALL(IF(checklistPesertaKemenkeu!$AY$6:$AY$1005="Direkomendasikan",ROW($6:$1005)-5),886)+5)),INDEX(checklistPesertaKemenkeu!$N$6:$N$1005,SMALL(IF(checklistPesertaKemenkeu!$AY$6:$AY$1005="Direkomendasikan",ROW($6:$1005)-5),886)))=1),IFERROR(VLOOKUP(INDEX(checklistPesertaKemenkeu!$N$6:$N$1005,SMALL(IF(checklistPesertaKemenkeu!$AY$6:$AY$1005="Direkomendasikan",ROW($6:$1005)-5),886)),KotaKode,2,0),"-"),"")),"")</f>
        <v/>
      </c>
      <c r="K887" t="str">
        <f t="array" aca="1" ref="K887" ca="1">IFERROR(IF(OR(INDEX(checklistPesertaKemenkeu!$O$6:$O$1005,SMALL(IF(checklistPesertaKemenkeu!$AY$6:$AY$1005="Direkomendasikan",ROW($6:$1005)-5),886))="",INDEX(checklistPesertaKemenkeu!$J$6:$J$1005,SMALL(IF(checklistPesertaKemenkeu!$AY$6:$AY$1005="Direkomendasikan",ROW($6:$1005)-5),886))=""),"",IF(AND(COUNTIF(INDIRECT("K_"&amp;MATCH(INDEX(checklistPesertaKemenkeu!$J$6:$J$1005,SMALL(IF(checklistPesertaKemenkeu!$AY$6:$AY$1005="Direkomendasikan",ROW($6:$1005)-5),886)),BidangList,0)),INDEX(checklistPesertaKemenkeu!$O$6:$O$1005,SMALL(IF(checklistPesertaKemenkeu!$AY$6:$AY$1005="Direkomendasikan",ROW($6:$1005)-5),886)))&gt;0,COUNTIF(INDIRECT("'KERTAS KERJA'!K"&amp;(SMALL(IF(checklistPesertaKemenkeu!$AY$6:$AY$1005="Direkomendasikan",ROW($6:$1005)-5),886)+5)&amp;":O"&amp;(SMALL(IF(checklistPesertaKemenkeu!$AY$6:$AY$1005="Direkomendasikan",ROW($6:$1005)-5),886)+5)),INDEX(checklistPesertaKemenkeu!$O$6:$O$1005,SMALL(IF(checklistPesertaKemenkeu!$AY$6:$AY$1005="Direkomendasikan",ROW($6:$1005)-5),886)))=1),IFERROR(VLOOKUP(INDEX(checklistPesertaKemenkeu!$O$6:$O$1005,SMALL(IF(checklistPesertaKemenkeu!$AY$6:$AY$1005="Direkomendasikan",ROW($6:$1005)-5),886)),KotaKode,2,0),"-"),"")),"")</f>
        <v/>
      </c>
      <c r="L887" t="str">
        <f t="array" aca="1" ref="L887" ca="1">IFERROR(IF(OR(INDEX(checklistPesertaKemenkeu!$P$6:$P$1005,SMALL(IF(checklistPesertaKemenkeu!$AY$6:$AY$1005="Direkomendasikan",ROW($6:$1005)-5),886))="",INDEX(checklistPesertaKemenkeu!$J$6:$J$1005,SMALL(IF(checklistPesertaKemenkeu!$AY$6:$AY$1005="Direkomendasikan",ROW($6:$1005)-5),886))=""),"",IF(AND(COUNTIF(INDIRECT("K_"&amp;MATCH(INDEX(checklistPesertaKemenkeu!$J$6:$J$1005,SMALL(IF(checklistPesertaKemenkeu!$AY$6:$AY$1005="Direkomendasikan",ROW($6:$1005)-5),886)),BidangList,0)),INDEX(checklistPesertaKemenkeu!$P$6:$P$1005,SMALL(IF(checklistPesertaKemenkeu!$AY$6:$AY$1005="Direkomendasikan",ROW($6:$1005)-5),886)))&gt;0,COUNTIF(INDIRECT("'KERTAS KERJA'!K"&amp;(SMALL(IF(checklistPesertaKemenkeu!$AY$6:$AY$1005="Direkomendasikan",ROW($6:$1005)-5),886)+5)&amp;":O"&amp;(SMALL(IF(checklistPesertaKemenkeu!$AY$6:$AY$1005="Direkomendasikan",ROW($6:$1005)-5),886)+5)),INDEX(checklistPesertaKemenkeu!$P$6:$P$1005,SMALL(IF(checklistPesertaKemenkeu!$AY$6:$AY$1005="Direkomendasikan",ROW($6:$1005)-5),886)))=1),IFERROR(VLOOKUP(INDEX(checklistPesertaKemenkeu!$P$6:$P$1005,SMALL(IF(checklistPesertaKemenkeu!$AY$6:$AY$1005="Direkomendasikan",ROW($6:$1005)-5),886)),KotaKode,2,0),"-"),"")),"")</f>
        <v/>
      </c>
    </row>
    <row r="888" spans="1:12" ht="15" customHeight="1" x14ac:dyDescent="0.2">
      <c r="A888" t="str">
        <f t="shared" si="13"/>
        <v/>
      </c>
      <c r="B888" t="str">
        <v/>
      </c>
      <c r="C888" s="40" t="str">
        <f t="array" ref="C888">IFERROR(INDEX(checklistPesertaKemenkeu!$F$6:$F$1005,SMALL(IF(checklistPesertaKemenkeu!$AY$6:$AY$1005="Direkomendasikan",ROW($6:$1005)-5),887)),"")</f>
        <v/>
      </c>
      <c r="D888" t="str">
        <f t="array" ref="D888">IFERROR(INDEX(checklistPesertaKemenkeu!$G$6:$G$1005,SMALL(IF(checklistPesertaKemenkeu!$AY$6:$AY$1005="Direkomendasikan",ROW($6:$1005)-5),887)),"")</f>
        <v/>
      </c>
      <c r="E888" t="str">
        <f t="array" ref="E888">IFERROR(INDEX(checklistPesertaKemenkeu!$H$6:$H$1005,SMALL(IF(checklistPesertaKemenkeu!$AY$6:$AY$1005="Direkomendasikan",ROW($6:$1005)-5),887)),"")</f>
        <v/>
      </c>
      <c r="F888" t="str">
        <f t="array" ref="F888">IFERROR(INDEX(checklistPesertaKemenkeu!$I$6:$I$1005,SMALL(IF(checklistPesertaKemenkeu!$AY$6:$AY$1005="Direkomendasikan",ROW($6:$1005)-5),887)),"")</f>
        <v/>
      </c>
      <c r="G888" t="str">
        <f t="array" ref="G888">IFERROR(INDEX(checklistPesertaKemenkeu!$J$6:$J$1005,SMALL(IF(checklistPesertaKemenkeu!$AY$6:$AY$1005="Direkomendasikan",ROW($6:$1005)-5),887)),"")</f>
        <v/>
      </c>
      <c r="H888" t="str">
        <f t="array" aca="1" ref="H888" ca="1">IFERROR(IF(OR(INDEX(checklistPesertaKemenkeu!$L$6:$L$1005,SMALL(IF(checklistPesertaKemenkeu!$AY$6:$AY$1005="Direkomendasikan",ROW($6:$1005)-5),887))="",INDEX(checklistPesertaKemenkeu!$J$6:$J$1005,SMALL(IF(checklistPesertaKemenkeu!$AY$6:$AY$1005="Direkomendasikan",ROW($6:$1005)-5),887))=""),"",IF(AND(COUNTIF(INDIRECT("K_"&amp;MATCH(INDEX(checklistPesertaKemenkeu!$J$6:$J$1005,SMALL(IF(checklistPesertaKemenkeu!$AY$6:$AY$1005="Direkomendasikan",ROW($6:$1005)-5),887)),BidangList,0)),INDEX(checklistPesertaKemenkeu!$L$6:$L$1005,SMALL(IF(checklistPesertaKemenkeu!$AY$6:$AY$1005="Direkomendasikan",ROW($6:$1005)-5),887)))&gt;0,COUNTIF(INDIRECT("'KERTAS KERJA'!K"&amp;(SMALL(IF(checklistPesertaKemenkeu!$AY$6:$AY$1005="Direkomendasikan",ROW($6:$1005)-5),887)+5)&amp;":O"&amp;(SMALL(IF(checklistPesertaKemenkeu!$AY$6:$AY$1005="Direkomendasikan",ROW($6:$1005)-5),887)+5)),INDEX(checklistPesertaKemenkeu!$L$6:$L$1005,SMALL(IF(checklistPesertaKemenkeu!$AY$6:$AY$1005="Direkomendasikan",ROW($6:$1005)-5),887)))=1),IFERROR(VLOOKUP(INDEX(checklistPesertaKemenkeu!$L$6:$L$1005,SMALL(IF(checklistPesertaKemenkeu!$AY$6:$AY$1005="Direkomendasikan",ROW($6:$1005)-5),887)),KotaKode,2,0),"-"),"")),"")</f>
        <v/>
      </c>
      <c r="I888" t="str">
        <f t="array" aca="1" ref="I888" ca="1">IFERROR(IF(OR(INDEX(checklistPesertaKemenkeu!$M$6:$M$1005,SMALL(IF(checklistPesertaKemenkeu!$AY$6:$AY$1005="Direkomendasikan",ROW($6:$1005)-5),887))="",INDEX(checklistPesertaKemenkeu!$J$6:$J$1005,SMALL(IF(checklistPesertaKemenkeu!$AY$6:$AY$1005="Direkomendasikan",ROW($6:$1005)-5),887))=""),"",IF(AND(COUNTIF(INDIRECT("K_"&amp;MATCH(INDEX(checklistPesertaKemenkeu!$J$6:$J$1005,SMALL(IF(checklistPesertaKemenkeu!$AY$6:$AY$1005="Direkomendasikan",ROW($6:$1005)-5),887)),BidangList,0)),INDEX(checklistPesertaKemenkeu!$M$6:$M$1005,SMALL(IF(checklistPesertaKemenkeu!$AY$6:$AY$1005="Direkomendasikan",ROW($6:$1005)-5),887)))&gt;0,COUNTIF(INDIRECT("'KERTAS KERJA'!K"&amp;(SMALL(IF(checklistPesertaKemenkeu!$AY$6:$AY$1005="Direkomendasikan",ROW($6:$1005)-5),887)+5)&amp;":O"&amp;(SMALL(IF(checklistPesertaKemenkeu!$AY$6:$AY$1005="Direkomendasikan",ROW($6:$1005)-5),887)+5)),INDEX(checklistPesertaKemenkeu!$M$6:$M$1005,SMALL(IF(checklistPesertaKemenkeu!$AY$6:$AY$1005="Direkomendasikan",ROW($6:$1005)-5),887)))=1),IFERROR(VLOOKUP(INDEX(checklistPesertaKemenkeu!$M$6:$M$1005,SMALL(IF(checklistPesertaKemenkeu!$AY$6:$AY$1005="Direkomendasikan",ROW($6:$1005)-5),887)),KotaKode,2,0),"-"),"")),"")</f>
        <v/>
      </c>
      <c r="J888" t="str">
        <f t="array" aca="1" ref="J888" ca="1">IFERROR(IF(OR(INDEX(checklistPesertaKemenkeu!$N$6:$N$1005,SMALL(IF(checklistPesertaKemenkeu!$AY$6:$AY$1005="Direkomendasikan",ROW($6:$1005)-5),887))="",INDEX(checklistPesertaKemenkeu!$J$6:$J$1005,SMALL(IF(checklistPesertaKemenkeu!$AY$6:$AY$1005="Direkomendasikan",ROW($6:$1005)-5),887))=""),"",IF(AND(COUNTIF(INDIRECT("K_"&amp;MATCH(INDEX(checklistPesertaKemenkeu!$J$6:$J$1005,SMALL(IF(checklistPesertaKemenkeu!$AY$6:$AY$1005="Direkomendasikan",ROW($6:$1005)-5),887)),BidangList,0)),INDEX(checklistPesertaKemenkeu!$N$6:$N$1005,SMALL(IF(checklistPesertaKemenkeu!$AY$6:$AY$1005="Direkomendasikan",ROW($6:$1005)-5),887)))&gt;0,COUNTIF(INDIRECT("'KERTAS KERJA'!K"&amp;(SMALL(IF(checklistPesertaKemenkeu!$AY$6:$AY$1005="Direkomendasikan",ROW($6:$1005)-5),887)+5)&amp;":O"&amp;(SMALL(IF(checklistPesertaKemenkeu!$AY$6:$AY$1005="Direkomendasikan",ROW($6:$1005)-5),887)+5)),INDEX(checklistPesertaKemenkeu!$N$6:$N$1005,SMALL(IF(checklistPesertaKemenkeu!$AY$6:$AY$1005="Direkomendasikan",ROW($6:$1005)-5),887)))=1),IFERROR(VLOOKUP(INDEX(checklistPesertaKemenkeu!$N$6:$N$1005,SMALL(IF(checklistPesertaKemenkeu!$AY$6:$AY$1005="Direkomendasikan",ROW($6:$1005)-5),887)),KotaKode,2,0),"-"),"")),"")</f>
        <v/>
      </c>
      <c r="K888" t="str">
        <f t="array" aca="1" ref="K888" ca="1">IFERROR(IF(OR(INDEX(checklistPesertaKemenkeu!$O$6:$O$1005,SMALL(IF(checklistPesertaKemenkeu!$AY$6:$AY$1005="Direkomendasikan",ROW($6:$1005)-5),887))="",INDEX(checklistPesertaKemenkeu!$J$6:$J$1005,SMALL(IF(checklistPesertaKemenkeu!$AY$6:$AY$1005="Direkomendasikan",ROW($6:$1005)-5),887))=""),"",IF(AND(COUNTIF(INDIRECT("K_"&amp;MATCH(INDEX(checklistPesertaKemenkeu!$J$6:$J$1005,SMALL(IF(checklistPesertaKemenkeu!$AY$6:$AY$1005="Direkomendasikan",ROW($6:$1005)-5),887)),BidangList,0)),INDEX(checklistPesertaKemenkeu!$O$6:$O$1005,SMALL(IF(checklistPesertaKemenkeu!$AY$6:$AY$1005="Direkomendasikan",ROW($6:$1005)-5),887)))&gt;0,COUNTIF(INDIRECT("'KERTAS KERJA'!K"&amp;(SMALL(IF(checklistPesertaKemenkeu!$AY$6:$AY$1005="Direkomendasikan",ROW($6:$1005)-5),887)+5)&amp;":O"&amp;(SMALL(IF(checklistPesertaKemenkeu!$AY$6:$AY$1005="Direkomendasikan",ROW($6:$1005)-5),887)+5)),INDEX(checklistPesertaKemenkeu!$O$6:$O$1005,SMALL(IF(checklistPesertaKemenkeu!$AY$6:$AY$1005="Direkomendasikan",ROW($6:$1005)-5),887)))=1),IFERROR(VLOOKUP(INDEX(checklistPesertaKemenkeu!$O$6:$O$1005,SMALL(IF(checklistPesertaKemenkeu!$AY$6:$AY$1005="Direkomendasikan",ROW($6:$1005)-5),887)),KotaKode,2,0),"-"),"")),"")</f>
        <v/>
      </c>
      <c r="L888" t="str">
        <f t="array" aca="1" ref="L888" ca="1">IFERROR(IF(OR(INDEX(checklistPesertaKemenkeu!$P$6:$P$1005,SMALL(IF(checklistPesertaKemenkeu!$AY$6:$AY$1005="Direkomendasikan",ROW($6:$1005)-5),887))="",INDEX(checklistPesertaKemenkeu!$J$6:$J$1005,SMALL(IF(checklistPesertaKemenkeu!$AY$6:$AY$1005="Direkomendasikan",ROW($6:$1005)-5),887))=""),"",IF(AND(COUNTIF(INDIRECT("K_"&amp;MATCH(INDEX(checklistPesertaKemenkeu!$J$6:$J$1005,SMALL(IF(checklistPesertaKemenkeu!$AY$6:$AY$1005="Direkomendasikan",ROW($6:$1005)-5),887)),BidangList,0)),INDEX(checklistPesertaKemenkeu!$P$6:$P$1005,SMALL(IF(checklistPesertaKemenkeu!$AY$6:$AY$1005="Direkomendasikan",ROW($6:$1005)-5),887)))&gt;0,COUNTIF(INDIRECT("'KERTAS KERJA'!K"&amp;(SMALL(IF(checklistPesertaKemenkeu!$AY$6:$AY$1005="Direkomendasikan",ROW($6:$1005)-5),887)+5)&amp;":O"&amp;(SMALL(IF(checklistPesertaKemenkeu!$AY$6:$AY$1005="Direkomendasikan",ROW($6:$1005)-5),887)+5)),INDEX(checklistPesertaKemenkeu!$P$6:$P$1005,SMALL(IF(checklistPesertaKemenkeu!$AY$6:$AY$1005="Direkomendasikan",ROW($6:$1005)-5),887)))=1),IFERROR(VLOOKUP(INDEX(checklistPesertaKemenkeu!$P$6:$P$1005,SMALL(IF(checklistPesertaKemenkeu!$AY$6:$AY$1005="Direkomendasikan",ROW($6:$1005)-5),887)),KotaKode,2,0),"-"),"")),"")</f>
        <v/>
      </c>
    </row>
    <row r="889" spans="1:12" ht="15" customHeight="1" x14ac:dyDescent="0.2">
      <c r="A889" t="str">
        <f t="shared" si="13"/>
        <v/>
      </c>
      <c r="B889" t="str">
        <v/>
      </c>
      <c r="C889" s="40" t="str">
        <f t="array" ref="C889">IFERROR(INDEX(checklistPesertaKemenkeu!$F$6:$F$1005,SMALL(IF(checklistPesertaKemenkeu!$AY$6:$AY$1005="Direkomendasikan",ROW($6:$1005)-5),888)),"")</f>
        <v/>
      </c>
      <c r="D889" t="str">
        <f t="array" ref="D889">IFERROR(INDEX(checklistPesertaKemenkeu!$G$6:$G$1005,SMALL(IF(checklistPesertaKemenkeu!$AY$6:$AY$1005="Direkomendasikan",ROW($6:$1005)-5),888)),"")</f>
        <v/>
      </c>
      <c r="E889" t="str">
        <f t="array" ref="E889">IFERROR(INDEX(checklistPesertaKemenkeu!$H$6:$H$1005,SMALL(IF(checklistPesertaKemenkeu!$AY$6:$AY$1005="Direkomendasikan",ROW($6:$1005)-5),888)),"")</f>
        <v/>
      </c>
      <c r="F889" t="str">
        <f t="array" ref="F889">IFERROR(INDEX(checklistPesertaKemenkeu!$I$6:$I$1005,SMALL(IF(checklistPesertaKemenkeu!$AY$6:$AY$1005="Direkomendasikan",ROW($6:$1005)-5),888)),"")</f>
        <v/>
      </c>
      <c r="G889" t="str">
        <f t="array" ref="G889">IFERROR(INDEX(checklistPesertaKemenkeu!$J$6:$J$1005,SMALL(IF(checklistPesertaKemenkeu!$AY$6:$AY$1005="Direkomendasikan",ROW($6:$1005)-5),888)),"")</f>
        <v/>
      </c>
      <c r="H889" t="str">
        <f t="array" aca="1" ref="H889" ca="1">IFERROR(IF(OR(INDEX(checklistPesertaKemenkeu!$L$6:$L$1005,SMALL(IF(checklistPesertaKemenkeu!$AY$6:$AY$1005="Direkomendasikan",ROW($6:$1005)-5),888))="",INDEX(checklistPesertaKemenkeu!$J$6:$J$1005,SMALL(IF(checklistPesertaKemenkeu!$AY$6:$AY$1005="Direkomendasikan",ROW($6:$1005)-5),888))=""),"",IF(AND(COUNTIF(INDIRECT("K_"&amp;MATCH(INDEX(checklistPesertaKemenkeu!$J$6:$J$1005,SMALL(IF(checklistPesertaKemenkeu!$AY$6:$AY$1005="Direkomendasikan",ROW($6:$1005)-5),888)),BidangList,0)),INDEX(checklistPesertaKemenkeu!$L$6:$L$1005,SMALL(IF(checklistPesertaKemenkeu!$AY$6:$AY$1005="Direkomendasikan",ROW($6:$1005)-5),888)))&gt;0,COUNTIF(INDIRECT("'KERTAS KERJA'!K"&amp;(SMALL(IF(checklistPesertaKemenkeu!$AY$6:$AY$1005="Direkomendasikan",ROW($6:$1005)-5),888)+5)&amp;":O"&amp;(SMALL(IF(checklistPesertaKemenkeu!$AY$6:$AY$1005="Direkomendasikan",ROW($6:$1005)-5),888)+5)),INDEX(checklistPesertaKemenkeu!$L$6:$L$1005,SMALL(IF(checklistPesertaKemenkeu!$AY$6:$AY$1005="Direkomendasikan",ROW($6:$1005)-5),888)))=1),IFERROR(VLOOKUP(INDEX(checklistPesertaKemenkeu!$L$6:$L$1005,SMALL(IF(checklistPesertaKemenkeu!$AY$6:$AY$1005="Direkomendasikan",ROW($6:$1005)-5),888)),KotaKode,2,0),"-"),"")),"")</f>
        <v/>
      </c>
      <c r="I889" t="str">
        <f t="array" aca="1" ref="I889" ca="1">IFERROR(IF(OR(INDEX(checklistPesertaKemenkeu!$M$6:$M$1005,SMALL(IF(checklistPesertaKemenkeu!$AY$6:$AY$1005="Direkomendasikan",ROW($6:$1005)-5),888))="",INDEX(checklistPesertaKemenkeu!$J$6:$J$1005,SMALL(IF(checklistPesertaKemenkeu!$AY$6:$AY$1005="Direkomendasikan",ROW($6:$1005)-5),888))=""),"",IF(AND(COUNTIF(INDIRECT("K_"&amp;MATCH(INDEX(checklistPesertaKemenkeu!$J$6:$J$1005,SMALL(IF(checklistPesertaKemenkeu!$AY$6:$AY$1005="Direkomendasikan",ROW($6:$1005)-5),888)),BidangList,0)),INDEX(checklistPesertaKemenkeu!$M$6:$M$1005,SMALL(IF(checklistPesertaKemenkeu!$AY$6:$AY$1005="Direkomendasikan",ROW($6:$1005)-5),888)))&gt;0,COUNTIF(INDIRECT("'KERTAS KERJA'!K"&amp;(SMALL(IF(checklistPesertaKemenkeu!$AY$6:$AY$1005="Direkomendasikan",ROW($6:$1005)-5),888)+5)&amp;":O"&amp;(SMALL(IF(checklistPesertaKemenkeu!$AY$6:$AY$1005="Direkomendasikan",ROW($6:$1005)-5),888)+5)),INDEX(checklistPesertaKemenkeu!$M$6:$M$1005,SMALL(IF(checklistPesertaKemenkeu!$AY$6:$AY$1005="Direkomendasikan",ROW($6:$1005)-5),888)))=1),IFERROR(VLOOKUP(INDEX(checklistPesertaKemenkeu!$M$6:$M$1005,SMALL(IF(checklistPesertaKemenkeu!$AY$6:$AY$1005="Direkomendasikan",ROW($6:$1005)-5),888)),KotaKode,2,0),"-"),"")),"")</f>
        <v/>
      </c>
      <c r="J889" t="str">
        <f t="array" aca="1" ref="J889" ca="1">IFERROR(IF(OR(INDEX(checklistPesertaKemenkeu!$N$6:$N$1005,SMALL(IF(checklistPesertaKemenkeu!$AY$6:$AY$1005="Direkomendasikan",ROW($6:$1005)-5),888))="",INDEX(checklistPesertaKemenkeu!$J$6:$J$1005,SMALL(IF(checklistPesertaKemenkeu!$AY$6:$AY$1005="Direkomendasikan",ROW($6:$1005)-5),888))=""),"",IF(AND(COUNTIF(INDIRECT("K_"&amp;MATCH(INDEX(checklistPesertaKemenkeu!$J$6:$J$1005,SMALL(IF(checklistPesertaKemenkeu!$AY$6:$AY$1005="Direkomendasikan",ROW($6:$1005)-5),888)),BidangList,0)),INDEX(checklistPesertaKemenkeu!$N$6:$N$1005,SMALL(IF(checklistPesertaKemenkeu!$AY$6:$AY$1005="Direkomendasikan",ROW($6:$1005)-5),888)))&gt;0,COUNTIF(INDIRECT("'KERTAS KERJA'!K"&amp;(SMALL(IF(checklistPesertaKemenkeu!$AY$6:$AY$1005="Direkomendasikan",ROW($6:$1005)-5),888)+5)&amp;":O"&amp;(SMALL(IF(checklistPesertaKemenkeu!$AY$6:$AY$1005="Direkomendasikan",ROW($6:$1005)-5),888)+5)),INDEX(checklistPesertaKemenkeu!$N$6:$N$1005,SMALL(IF(checklistPesertaKemenkeu!$AY$6:$AY$1005="Direkomendasikan",ROW($6:$1005)-5),888)))=1),IFERROR(VLOOKUP(INDEX(checklistPesertaKemenkeu!$N$6:$N$1005,SMALL(IF(checklistPesertaKemenkeu!$AY$6:$AY$1005="Direkomendasikan",ROW($6:$1005)-5),888)),KotaKode,2,0),"-"),"")),"")</f>
        <v/>
      </c>
      <c r="K889" t="str">
        <f t="array" aca="1" ref="K889" ca="1">IFERROR(IF(OR(INDEX(checklistPesertaKemenkeu!$O$6:$O$1005,SMALL(IF(checklistPesertaKemenkeu!$AY$6:$AY$1005="Direkomendasikan",ROW($6:$1005)-5),888))="",INDEX(checklistPesertaKemenkeu!$J$6:$J$1005,SMALL(IF(checklistPesertaKemenkeu!$AY$6:$AY$1005="Direkomendasikan",ROW($6:$1005)-5),888))=""),"",IF(AND(COUNTIF(INDIRECT("K_"&amp;MATCH(INDEX(checklistPesertaKemenkeu!$J$6:$J$1005,SMALL(IF(checklistPesertaKemenkeu!$AY$6:$AY$1005="Direkomendasikan",ROW($6:$1005)-5),888)),BidangList,0)),INDEX(checklistPesertaKemenkeu!$O$6:$O$1005,SMALL(IF(checklistPesertaKemenkeu!$AY$6:$AY$1005="Direkomendasikan",ROW($6:$1005)-5),888)))&gt;0,COUNTIF(INDIRECT("'KERTAS KERJA'!K"&amp;(SMALL(IF(checklistPesertaKemenkeu!$AY$6:$AY$1005="Direkomendasikan",ROW($6:$1005)-5),888)+5)&amp;":O"&amp;(SMALL(IF(checklistPesertaKemenkeu!$AY$6:$AY$1005="Direkomendasikan",ROW($6:$1005)-5),888)+5)),INDEX(checklistPesertaKemenkeu!$O$6:$O$1005,SMALL(IF(checklistPesertaKemenkeu!$AY$6:$AY$1005="Direkomendasikan",ROW($6:$1005)-5),888)))=1),IFERROR(VLOOKUP(INDEX(checklistPesertaKemenkeu!$O$6:$O$1005,SMALL(IF(checklistPesertaKemenkeu!$AY$6:$AY$1005="Direkomendasikan",ROW($6:$1005)-5),888)),KotaKode,2,0),"-"),"")),"")</f>
        <v/>
      </c>
      <c r="L889" t="str">
        <f t="array" aca="1" ref="L889" ca="1">IFERROR(IF(OR(INDEX(checklistPesertaKemenkeu!$P$6:$P$1005,SMALL(IF(checklistPesertaKemenkeu!$AY$6:$AY$1005="Direkomendasikan",ROW($6:$1005)-5),888))="",INDEX(checklistPesertaKemenkeu!$J$6:$J$1005,SMALL(IF(checklistPesertaKemenkeu!$AY$6:$AY$1005="Direkomendasikan",ROW($6:$1005)-5),888))=""),"",IF(AND(COUNTIF(INDIRECT("K_"&amp;MATCH(INDEX(checklistPesertaKemenkeu!$J$6:$J$1005,SMALL(IF(checklistPesertaKemenkeu!$AY$6:$AY$1005="Direkomendasikan",ROW($6:$1005)-5),888)),BidangList,0)),INDEX(checklistPesertaKemenkeu!$P$6:$P$1005,SMALL(IF(checklistPesertaKemenkeu!$AY$6:$AY$1005="Direkomendasikan",ROW($6:$1005)-5),888)))&gt;0,COUNTIF(INDIRECT("'KERTAS KERJA'!K"&amp;(SMALL(IF(checklistPesertaKemenkeu!$AY$6:$AY$1005="Direkomendasikan",ROW($6:$1005)-5),888)+5)&amp;":O"&amp;(SMALL(IF(checklistPesertaKemenkeu!$AY$6:$AY$1005="Direkomendasikan",ROW($6:$1005)-5),888)+5)),INDEX(checklistPesertaKemenkeu!$P$6:$P$1005,SMALL(IF(checklistPesertaKemenkeu!$AY$6:$AY$1005="Direkomendasikan",ROW($6:$1005)-5),888)))=1),IFERROR(VLOOKUP(INDEX(checklistPesertaKemenkeu!$P$6:$P$1005,SMALL(IF(checklistPesertaKemenkeu!$AY$6:$AY$1005="Direkomendasikan",ROW($6:$1005)-5),888)),KotaKode,2,0),"-"),"")),"")</f>
        <v/>
      </c>
    </row>
    <row r="890" spans="1:12" ht="15" customHeight="1" x14ac:dyDescent="0.2">
      <c r="A890" t="str">
        <f t="shared" si="13"/>
        <v/>
      </c>
      <c r="B890" t="str">
        <v/>
      </c>
      <c r="C890" s="40" t="str">
        <f t="array" ref="C890">IFERROR(INDEX(checklistPesertaKemenkeu!$F$6:$F$1005,SMALL(IF(checklistPesertaKemenkeu!$AY$6:$AY$1005="Direkomendasikan",ROW($6:$1005)-5),889)),"")</f>
        <v/>
      </c>
      <c r="D890" t="str">
        <f t="array" ref="D890">IFERROR(INDEX(checklistPesertaKemenkeu!$G$6:$G$1005,SMALL(IF(checklistPesertaKemenkeu!$AY$6:$AY$1005="Direkomendasikan",ROW($6:$1005)-5),889)),"")</f>
        <v/>
      </c>
      <c r="E890" t="str">
        <f t="array" ref="E890">IFERROR(INDEX(checklistPesertaKemenkeu!$H$6:$H$1005,SMALL(IF(checklistPesertaKemenkeu!$AY$6:$AY$1005="Direkomendasikan",ROW($6:$1005)-5),889)),"")</f>
        <v/>
      </c>
      <c r="F890" t="str">
        <f t="array" ref="F890">IFERROR(INDEX(checklistPesertaKemenkeu!$I$6:$I$1005,SMALL(IF(checklistPesertaKemenkeu!$AY$6:$AY$1005="Direkomendasikan",ROW($6:$1005)-5),889)),"")</f>
        <v/>
      </c>
      <c r="G890" t="str">
        <f t="array" ref="G890">IFERROR(INDEX(checklistPesertaKemenkeu!$J$6:$J$1005,SMALL(IF(checklistPesertaKemenkeu!$AY$6:$AY$1005="Direkomendasikan",ROW($6:$1005)-5),889)),"")</f>
        <v/>
      </c>
      <c r="H890" t="str">
        <f t="array" aca="1" ref="H890" ca="1">IFERROR(IF(OR(INDEX(checklistPesertaKemenkeu!$L$6:$L$1005,SMALL(IF(checklistPesertaKemenkeu!$AY$6:$AY$1005="Direkomendasikan",ROW($6:$1005)-5),889))="",INDEX(checklistPesertaKemenkeu!$J$6:$J$1005,SMALL(IF(checklistPesertaKemenkeu!$AY$6:$AY$1005="Direkomendasikan",ROW($6:$1005)-5),889))=""),"",IF(AND(COUNTIF(INDIRECT("K_"&amp;MATCH(INDEX(checklistPesertaKemenkeu!$J$6:$J$1005,SMALL(IF(checklistPesertaKemenkeu!$AY$6:$AY$1005="Direkomendasikan",ROW($6:$1005)-5),889)),BidangList,0)),INDEX(checklistPesertaKemenkeu!$L$6:$L$1005,SMALL(IF(checklistPesertaKemenkeu!$AY$6:$AY$1005="Direkomendasikan",ROW($6:$1005)-5),889)))&gt;0,COUNTIF(INDIRECT("'KERTAS KERJA'!K"&amp;(SMALL(IF(checklistPesertaKemenkeu!$AY$6:$AY$1005="Direkomendasikan",ROW($6:$1005)-5),889)+5)&amp;":O"&amp;(SMALL(IF(checklistPesertaKemenkeu!$AY$6:$AY$1005="Direkomendasikan",ROW($6:$1005)-5),889)+5)),INDEX(checklistPesertaKemenkeu!$L$6:$L$1005,SMALL(IF(checklistPesertaKemenkeu!$AY$6:$AY$1005="Direkomendasikan",ROW($6:$1005)-5),889)))=1),IFERROR(VLOOKUP(INDEX(checklistPesertaKemenkeu!$L$6:$L$1005,SMALL(IF(checklistPesertaKemenkeu!$AY$6:$AY$1005="Direkomendasikan",ROW($6:$1005)-5),889)),KotaKode,2,0),"-"),"")),"")</f>
        <v/>
      </c>
      <c r="I890" t="str">
        <f t="array" aca="1" ref="I890" ca="1">IFERROR(IF(OR(INDEX(checklistPesertaKemenkeu!$M$6:$M$1005,SMALL(IF(checklistPesertaKemenkeu!$AY$6:$AY$1005="Direkomendasikan",ROW($6:$1005)-5),889))="",INDEX(checklistPesertaKemenkeu!$J$6:$J$1005,SMALL(IF(checklistPesertaKemenkeu!$AY$6:$AY$1005="Direkomendasikan",ROW($6:$1005)-5),889))=""),"",IF(AND(COUNTIF(INDIRECT("K_"&amp;MATCH(INDEX(checklistPesertaKemenkeu!$J$6:$J$1005,SMALL(IF(checklistPesertaKemenkeu!$AY$6:$AY$1005="Direkomendasikan",ROW($6:$1005)-5),889)),BidangList,0)),INDEX(checklistPesertaKemenkeu!$M$6:$M$1005,SMALL(IF(checklistPesertaKemenkeu!$AY$6:$AY$1005="Direkomendasikan",ROW($6:$1005)-5),889)))&gt;0,COUNTIF(INDIRECT("'KERTAS KERJA'!K"&amp;(SMALL(IF(checklistPesertaKemenkeu!$AY$6:$AY$1005="Direkomendasikan",ROW($6:$1005)-5),889)+5)&amp;":O"&amp;(SMALL(IF(checklistPesertaKemenkeu!$AY$6:$AY$1005="Direkomendasikan",ROW($6:$1005)-5),889)+5)),INDEX(checklistPesertaKemenkeu!$M$6:$M$1005,SMALL(IF(checklistPesertaKemenkeu!$AY$6:$AY$1005="Direkomendasikan",ROW($6:$1005)-5),889)))=1),IFERROR(VLOOKUP(INDEX(checklistPesertaKemenkeu!$M$6:$M$1005,SMALL(IF(checklistPesertaKemenkeu!$AY$6:$AY$1005="Direkomendasikan",ROW($6:$1005)-5),889)),KotaKode,2,0),"-"),"")),"")</f>
        <v/>
      </c>
      <c r="J890" t="str">
        <f t="array" aca="1" ref="J890" ca="1">IFERROR(IF(OR(INDEX(checklistPesertaKemenkeu!$N$6:$N$1005,SMALL(IF(checklistPesertaKemenkeu!$AY$6:$AY$1005="Direkomendasikan",ROW($6:$1005)-5),889))="",INDEX(checklistPesertaKemenkeu!$J$6:$J$1005,SMALL(IF(checklistPesertaKemenkeu!$AY$6:$AY$1005="Direkomendasikan",ROW($6:$1005)-5),889))=""),"",IF(AND(COUNTIF(INDIRECT("K_"&amp;MATCH(INDEX(checklistPesertaKemenkeu!$J$6:$J$1005,SMALL(IF(checklistPesertaKemenkeu!$AY$6:$AY$1005="Direkomendasikan",ROW($6:$1005)-5),889)),BidangList,0)),INDEX(checklistPesertaKemenkeu!$N$6:$N$1005,SMALL(IF(checklistPesertaKemenkeu!$AY$6:$AY$1005="Direkomendasikan",ROW($6:$1005)-5),889)))&gt;0,COUNTIF(INDIRECT("'KERTAS KERJA'!K"&amp;(SMALL(IF(checklistPesertaKemenkeu!$AY$6:$AY$1005="Direkomendasikan",ROW($6:$1005)-5),889)+5)&amp;":O"&amp;(SMALL(IF(checklistPesertaKemenkeu!$AY$6:$AY$1005="Direkomendasikan",ROW($6:$1005)-5),889)+5)),INDEX(checklistPesertaKemenkeu!$N$6:$N$1005,SMALL(IF(checklistPesertaKemenkeu!$AY$6:$AY$1005="Direkomendasikan",ROW($6:$1005)-5),889)))=1),IFERROR(VLOOKUP(INDEX(checklistPesertaKemenkeu!$N$6:$N$1005,SMALL(IF(checklistPesertaKemenkeu!$AY$6:$AY$1005="Direkomendasikan",ROW($6:$1005)-5),889)),KotaKode,2,0),"-"),"")),"")</f>
        <v/>
      </c>
      <c r="K890" t="str">
        <f t="array" aca="1" ref="K890" ca="1">IFERROR(IF(OR(INDEX(checklistPesertaKemenkeu!$O$6:$O$1005,SMALL(IF(checklistPesertaKemenkeu!$AY$6:$AY$1005="Direkomendasikan",ROW($6:$1005)-5),889))="",INDEX(checklistPesertaKemenkeu!$J$6:$J$1005,SMALL(IF(checklistPesertaKemenkeu!$AY$6:$AY$1005="Direkomendasikan",ROW($6:$1005)-5),889))=""),"",IF(AND(COUNTIF(INDIRECT("K_"&amp;MATCH(INDEX(checklistPesertaKemenkeu!$J$6:$J$1005,SMALL(IF(checklistPesertaKemenkeu!$AY$6:$AY$1005="Direkomendasikan",ROW($6:$1005)-5),889)),BidangList,0)),INDEX(checklistPesertaKemenkeu!$O$6:$O$1005,SMALL(IF(checklistPesertaKemenkeu!$AY$6:$AY$1005="Direkomendasikan",ROW($6:$1005)-5),889)))&gt;0,COUNTIF(INDIRECT("'KERTAS KERJA'!K"&amp;(SMALL(IF(checklistPesertaKemenkeu!$AY$6:$AY$1005="Direkomendasikan",ROW($6:$1005)-5),889)+5)&amp;":O"&amp;(SMALL(IF(checklistPesertaKemenkeu!$AY$6:$AY$1005="Direkomendasikan",ROW($6:$1005)-5),889)+5)),INDEX(checklistPesertaKemenkeu!$O$6:$O$1005,SMALL(IF(checklistPesertaKemenkeu!$AY$6:$AY$1005="Direkomendasikan",ROW($6:$1005)-5),889)))=1),IFERROR(VLOOKUP(INDEX(checklistPesertaKemenkeu!$O$6:$O$1005,SMALL(IF(checklistPesertaKemenkeu!$AY$6:$AY$1005="Direkomendasikan",ROW($6:$1005)-5),889)),KotaKode,2,0),"-"),"")),"")</f>
        <v/>
      </c>
      <c r="L890" t="str">
        <f t="array" aca="1" ref="L890" ca="1">IFERROR(IF(OR(INDEX(checklistPesertaKemenkeu!$P$6:$P$1005,SMALL(IF(checklistPesertaKemenkeu!$AY$6:$AY$1005="Direkomendasikan",ROW($6:$1005)-5),889))="",INDEX(checklistPesertaKemenkeu!$J$6:$J$1005,SMALL(IF(checklistPesertaKemenkeu!$AY$6:$AY$1005="Direkomendasikan",ROW($6:$1005)-5),889))=""),"",IF(AND(COUNTIF(INDIRECT("K_"&amp;MATCH(INDEX(checklistPesertaKemenkeu!$J$6:$J$1005,SMALL(IF(checklistPesertaKemenkeu!$AY$6:$AY$1005="Direkomendasikan",ROW($6:$1005)-5),889)),BidangList,0)),INDEX(checklistPesertaKemenkeu!$P$6:$P$1005,SMALL(IF(checklistPesertaKemenkeu!$AY$6:$AY$1005="Direkomendasikan",ROW($6:$1005)-5),889)))&gt;0,COUNTIF(INDIRECT("'KERTAS KERJA'!K"&amp;(SMALL(IF(checklistPesertaKemenkeu!$AY$6:$AY$1005="Direkomendasikan",ROW($6:$1005)-5),889)+5)&amp;":O"&amp;(SMALL(IF(checklistPesertaKemenkeu!$AY$6:$AY$1005="Direkomendasikan",ROW($6:$1005)-5),889)+5)),INDEX(checklistPesertaKemenkeu!$P$6:$P$1005,SMALL(IF(checklistPesertaKemenkeu!$AY$6:$AY$1005="Direkomendasikan",ROW($6:$1005)-5),889)))=1),IFERROR(VLOOKUP(INDEX(checklistPesertaKemenkeu!$P$6:$P$1005,SMALL(IF(checklistPesertaKemenkeu!$AY$6:$AY$1005="Direkomendasikan",ROW($6:$1005)-5),889)),KotaKode,2,0),"-"),"")),"")</f>
        <v/>
      </c>
    </row>
    <row r="891" spans="1:12" ht="15" customHeight="1" x14ac:dyDescent="0.2">
      <c r="A891" t="str">
        <f t="shared" si="13"/>
        <v/>
      </c>
      <c r="B891" t="str">
        <v/>
      </c>
      <c r="C891" s="40" t="str">
        <f t="array" ref="C891">IFERROR(INDEX(checklistPesertaKemenkeu!$F$6:$F$1005,SMALL(IF(checklistPesertaKemenkeu!$AY$6:$AY$1005="Direkomendasikan",ROW($6:$1005)-5),890)),"")</f>
        <v/>
      </c>
      <c r="D891" t="str">
        <f t="array" ref="D891">IFERROR(INDEX(checklistPesertaKemenkeu!$G$6:$G$1005,SMALL(IF(checklistPesertaKemenkeu!$AY$6:$AY$1005="Direkomendasikan",ROW($6:$1005)-5),890)),"")</f>
        <v/>
      </c>
      <c r="E891" t="str">
        <f t="array" ref="E891">IFERROR(INDEX(checklistPesertaKemenkeu!$H$6:$H$1005,SMALL(IF(checklistPesertaKemenkeu!$AY$6:$AY$1005="Direkomendasikan",ROW($6:$1005)-5),890)),"")</f>
        <v/>
      </c>
      <c r="F891" t="str">
        <f t="array" ref="F891">IFERROR(INDEX(checklistPesertaKemenkeu!$I$6:$I$1005,SMALL(IF(checklistPesertaKemenkeu!$AY$6:$AY$1005="Direkomendasikan",ROW($6:$1005)-5),890)),"")</f>
        <v/>
      </c>
      <c r="G891" t="str">
        <f t="array" ref="G891">IFERROR(INDEX(checklistPesertaKemenkeu!$J$6:$J$1005,SMALL(IF(checklistPesertaKemenkeu!$AY$6:$AY$1005="Direkomendasikan",ROW($6:$1005)-5),890)),"")</f>
        <v/>
      </c>
      <c r="H891" t="str">
        <f t="array" aca="1" ref="H891" ca="1">IFERROR(IF(OR(INDEX(checklistPesertaKemenkeu!$L$6:$L$1005,SMALL(IF(checklistPesertaKemenkeu!$AY$6:$AY$1005="Direkomendasikan",ROW($6:$1005)-5),890))="",INDEX(checklistPesertaKemenkeu!$J$6:$J$1005,SMALL(IF(checklistPesertaKemenkeu!$AY$6:$AY$1005="Direkomendasikan",ROW($6:$1005)-5),890))=""),"",IF(AND(COUNTIF(INDIRECT("K_"&amp;MATCH(INDEX(checklistPesertaKemenkeu!$J$6:$J$1005,SMALL(IF(checklistPesertaKemenkeu!$AY$6:$AY$1005="Direkomendasikan",ROW($6:$1005)-5),890)),BidangList,0)),INDEX(checklistPesertaKemenkeu!$L$6:$L$1005,SMALL(IF(checklistPesertaKemenkeu!$AY$6:$AY$1005="Direkomendasikan",ROW($6:$1005)-5),890)))&gt;0,COUNTIF(INDIRECT("'KERTAS KERJA'!K"&amp;(SMALL(IF(checklistPesertaKemenkeu!$AY$6:$AY$1005="Direkomendasikan",ROW($6:$1005)-5),890)+5)&amp;":O"&amp;(SMALL(IF(checklistPesertaKemenkeu!$AY$6:$AY$1005="Direkomendasikan",ROW($6:$1005)-5),890)+5)),INDEX(checklistPesertaKemenkeu!$L$6:$L$1005,SMALL(IF(checklistPesertaKemenkeu!$AY$6:$AY$1005="Direkomendasikan",ROW($6:$1005)-5),890)))=1),IFERROR(VLOOKUP(INDEX(checklistPesertaKemenkeu!$L$6:$L$1005,SMALL(IF(checklistPesertaKemenkeu!$AY$6:$AY$1005="Direkomendasikan",ROW($6:$1005)-5),890)),KotaKode,2,0),"-"),"")),"")</f>
        <v/>
      </c>
      <c r="I891" t="str">
        <f t="array" aca="1" ref="I891" ca="1">IFERROR(IF(OR(INDEX(checklistPesertaKemenkeu!$M$6:$M$1005,SMALL(IF(checklistPesertaKemenkeu!$AY$6:$AY$1005="Direkomendasikan",ROW($6:$1005)-5),890))="",INDEX(checklistPesertaKemenkeu!$J$6:$J$1005,SMALL(IF(checklistPesertaKemenkeu!$AY$6:$AY$1005="Direkomendasikan",ROW($6:$1005)-5),890))=""),"",IF(AND(COUNTIF(INDIRECT("K_"&amp;MATCH(INDEX(checklistPesertaKemenkeu!$J$6:$J$1005,SMALL(IF(checklistPesertaKemenkeu!$AY$6:$AY$1005="Direkomendasikan",ROW($6:$1005)-5),890)),BidangList,0)),INDEX(checklistPesertaKemenkeu!$M$6:$M$1005,SMALL(IF(checklistPesertaKemenkeu!$AY$6:$AY$1005="Direkomendasikan",ROW($6:$1005)-5),890)))&gt;0,COUNTIF(INDIRECT("'KERTAS KERJA'!K"&amp;(SMALL(IF(checklistPesertaKemenkeu!$AY$6:$AY$1005="Direkomendasikan",ROW($6:$1005)-5),890)+5)&amp;":O"&amp;(SMALL(IF(checklistPesertaKemenkeu!$AY$6:$AY$1005="Direkomendasikan",ROW($6:$1005)-5),890)+5)),INDEX(checklistPesertaKemenkeu!$M$6:$M$1005,SMALL(IF(checklistPesertaKemenkeu!$AY$6:$AY$1005="Direkomendasikan",ROW($6:$1005)-5),890)))=1),IFERROR(VLOOKUP(INDEX(checklistPesertaKemenkeu!$M$6:$M$1005,SMALL(IF(checklistPesertaKemenkeu!$AY$6:$AY$1005="Direkomendasikan",ROW($6:$1005)-5),890)),KotaKode,2,0),"-"),"")),"")</f>
        <v/>
      </c>
      <c r="J891" t="str">
        <f t="array" aca="1" ref="J891" ca="1">IFERROR(IF(OR(INDEX(checklistPesertaKemenkeu!$N$6:$N$1005,SMALL(IF(checklistPesertaKemenkeu!$AY$6:$AY$1005="Direkomendasikan",ROW($6:$1005)-5),890))="",INDEX(checklistPesertaKemenkeu!$J$6:$J$1005,SMALL(IF(checklistPesertaKemenkeu!$AY$6:$AY$1005="Direkomendasikan",ROW($6:$1005)-5),890))=""),"",IF(AND(COUNTIF(INDIRECT("K_"&amp;MATCH(INDEX(checklistPesertaKemenkeu!$J$6:$J$1005,SMALL(IF(checklistPesertaKemenkeu!$AY$6:$AY$1005="Direkomendasikan",ROW($6:$1005)-5),890)),BidangList,0)),INDEX(checklistPesertaKemenkeu!$N$6:$N$1005,SMALL(IF(checklistPesertaKemenkeu!$AY$6:$AY$1005="Direkomendasikan",ROW($6:$1005)-5),890)))&gt;0,COUNTIF(INDIRECT("'KERTAS KERJA'!K"&amp;(SMALL(IF(checklistPesertaKemenkeu!$AY$6:$AY$1005="Direkomendasikan",ROW($6:$1005)-5),890)+5)&amp;":O"&amp;(SMALL(IF(checklistPesertaKemenkeu!$AY$6:$AY$1005="Direkomendasikan",ROW($6:$1005)-5),890)+5)),INDEX(checklistPesertaKemenkeu!$N$6:$N$1005,SMALL(IF(checklistPesertaKemenkeu!$AY$6:$AY$1005="Direkomendasikan",ROW($6:$1005)-5),890)))=1),IFERROR(VLOOKUP(INDEX(checklistPesertaKemenkeu!$N$6:$N$1005,SMALL(IF(checklistPesertaKemenkeu!$AY$6:$AY$1005="Direkomendasikan",ROW($6:$1005)-5),890)),KotaKode,2,0),"-"),"")),"")</f>
        <v/>
      </c>
      <c r="K891" t="str">
        <f t="array" aca="1" ref="K891" ca="1">IFERROR(IF(OR(INDEX(checklistPesertaKemenkeu!$O$6:$O$1005,SMALL(IF(checklistPesertaKemenkeu!$AY$6:$AY$1005="Direkomendasikan",ROW($6:$1005)-5),890))="",INDEX(checklistPesertaKemenkeu!$J$6:$J$1005,SMALL(IF(checklistPesertaKemenkeu!$AY$6:$AY$1005="Direkomendasikan",ROW($6:$1005)-5),890))=""),"",IF(AND(COUNTIF(INDIRECT("K_"&amp;MATCH(INDEX(checklistPesertaKemenkeu!$J$6:$J$1005,SMALL(IF(checklistPesertaKemenkeu!$AY$6:$AY$1005="Direkomendasikan",ROW($6:$1005)-5),890)),BidangList,0)),INDEX(checklistPesertaKemenkeu!$O$6:$O$1005,SMALL(IF(checklistPesertaKemenkeu!$AY$6:$AY$1005="Direkomendasikan",ROW($6:$1005)-5),890)))&gt;0,COUNTIF(INDIRECT("'KERTAS KERJA'!K"&amp;(SMALL(IF(checklistPesertaKemenkeu!$AY$6:$AY$1005="Direkomendasikan",ROW($6:$1005)-5),890)+5)&amp;":O"&amp;(SMALL(IF(checklistPesertaKemenkeu!$AY$6:$AY$1005="Direkomendasikan",ROW($6:$1005)-5),890)+5)),INDEX(checklistPesertaKemenkeu!$O$6:$O$1005,SMALL(IF(checklistPesertaKemenkeu!$AY$6:$AY$1005="Direkomendasikan",ROW($6:$1005)-5),890)))=1),IFERROR(VLOOKUP(INDEX(checklistPesertaKemenkeu!$O$6:$O$1005,SMALL(IF(checklistPesertaKemenkeu!$AY$6:$AY$1005="Direkomendasikan",ROW($6:$1005)-5),890)),KotaKode,2,0),"-"),"")),"")</f>
        <v/>
      </c>
      <c r="L891" t="str">
        <f t="array" aca="1" ref="L891" ca="1">IFERROR(IF(OR(INDEX(checklistPesertaKemenkeu!$P$6:$P$1005,SMALL(IF(checklistPesertaKemenkeu!$AY$6:$AY$1005="Direkomendasikan",ROW($6:$1005)-5),890))="",INDEX(checklistPesertaKemenkeu!$J$6:$J$1005,SMALL(IF(checklistPesertaKemenkeu!$AY$6:$AY$1005="Direkomendasikan",ROW($6:$1005)-5),890))=""),"",IF(AND(COUNTIF(INDIRECT("K_"&amp;MATCH(INDEX(checklistPesertaKemenkeu!$J$6:$J$1005,SMALL(IF(checklistPesertaKemenkeu!$AY$6:$AY$1005="Direkomendasikan",ROW($6:$1005)-5),890)),BidangList,0)),INDEX(checklistPesertaKemenkeu!$P$6:$P$1005,SMALL(IF(checklistPesertaKemenkeu!$AY$6:$AY$1005="Direkomendasikan",ROW($6:$1005)-5),890)))&gt;0,COUNTIF(INDIRECT("'KERTAS KERJA'!K"&amp;(SMALL(IF(checklistPesertaKemenkeu!$AY$6:$AY$1005="Direkomendasikan",ROW($6:$1005)-5),890)+5)&amp;":O"&amp;(SMALL(IF(checklistPesertaKemenkeu!$AY$6:$AY$1005="Direkomendasikan",ROW($6:$1005)-5),890)+5)),INDEX(checklistPesertaKemenkeu!$P$6:$P$1005,SMALL(IF(checklistPesertaKemenkeu!$AY$6:$AY$1005="Direkomendasikan",ROW($6:$1005)-5),890)))=1),IFERROR(VLOOKUP(INDEX(checklistPesertaKemenkeu!$P$6:$P$1005,SMALL(IF(checklistPesertaKemenkeu!$AY$6:$AY$1005="Direkomendasikan",ROW($6:$1005)-5),890)),KotaKode,2,0),"-"),"")),"")</f>
        <v/>
      </c>
    </row>
    <row r="892" spans="1:12" ht="15" customHeight="1" x14ac:dyDescent="0.2">
      <c r="A892" t="str">
        <f t="shared" si="13"/>
        <v/>
      </c>
      <c r="B892" t="str">
        <v/>
      </c>
      <c r="C892" s="40" t="str">
        <f t="array" ref="C892">IFERROR(INDEX(checklistPesertaKemenkeu!$F$6:$F$1005,SMALL(IF(checklistPesertaKemenkeu!$AY$6:$AY$1005="Direkomendasikan",ROW($6:$1005)-5),891)),"")</f>
        <v/>
      </c>
      <c r="D892" t="str">
        <f t="array" ref="D892">IFERROR(INDEX(checklistPesertaKemenkeu!$G$6:$G$1005,SMALL(IF(checklistPesertaKemenkeu!$AY$6:$AY$1005="Direkomendasikan",ROW($6:$1005)-5),891)),"")</f>
        <v/>
      </c>
      <c r="E892" t="str">
        <f t="array" ref="E892">IFERROR(INDEX(checklistPesertaKemenkeu!$H$6:$H$1005,SMALL(IF(checklistPesertaKemenkeu!$AY$6:$AY$1005="Direkomendasikan",ROW($6:$1005)-5),891)),"")</f>
        <v/>
      </c>
      <c r="F892" t="str">
        <f t="array" ref="F892">IFERROR(INDEX(checklistPesertaKemenkeu!$I$6:$I$1005,SMALL(IF(checklistPesertaKemenkeu!$AY$6:$AY$1005="Direkomendasikan",ROW($6:$1005)-5),891)),"")</f>
        <v/>
      </c>
      <c r="G892" t="str">
        <f t="array" ref="G892">IFERROR(INDEX(checklistPesertaKemenkeu!$J$6:$J$1005,SMALL(IF(checklistPesertaKemenkeu!$AY$6:$AY$1005="Direkomendasikan",ROW($6:$1005)-5),891)),"")</f>
        <v/>
      </c>
      <c r="H892" t="str">
        <f t="array" aca="1" ref="H892" ca="1">IFERROR(IF(OR(INDEX(checklistPesertaKemenkeu!$L$6:$L$1005,SMALL(IF(checklistPesertaKemenkeu!$AY$6:$AY$1005="Direkomendasikan",ROW($6:$1005)-5),891))="",INDEX(checklistPesertaKemenkeu!$J$6:$J$1005,SMALL(IF(checklistPesertaKemenkeu!$AY$6:$AY$1005="Direkomendasikan",ROW($6:$1005)-5),891))=""),"",IF(AND(COUNTIF(INDIRECT("K_"&amp;MATCH(INDEX(checklistPesertaKemenkeu!$J$6:$J$1005,SMALL(IF(checklistPesertaKemenkeu!$AY$6:$AY$1005="Direkomendasikan",ROW($6:$1005)-5),891)),BidangList,0)),INDEX(checklistPesertaKemenkeu!$L$6:$L$1005,SMALL(IF(checklistPesertaKemenkeu!$AY$6:$AY$1005="Direkomendasikan",ROW($6:$1005)-5),891)))&gt;0,COUNTIF(INDIRECT("'KERTAS KERJA'!K"&amp;(SMALL(IF(checklistPesertaKemenkeu!$AY$6:$AY$1005="Direkomendasikan",ROW($6:$1005)-5),891)+5)&amp;":O"&amp;(SMALL(IF(checklistPesertaKemenkeu!$AY$6:$AY$1005="Direkomendasikan",ROW($6:$1005)-5),891)+5)),INDEX(checklistPesertaKemenkeu!$L$6:$L$1005,SMALL(IF(checklistPesertaKemenkeu!$AY$6:$AY$1005="Direkomendasikan",ROW($6:$1005)-5),891)))=1),IFERROR(VLOOKUP(INDEX(checklistPesertaKemenkeu!$L$6:$L$1005,SMALL(IF(checklistPesertaKemenkeu!$AY$6:$AY$1005="Direkomendasikan",ROW($6:$1005)-5),891)),KotaKode,2,0),"-"),"")),"")</f>
        <v/>
      </c>
      <c r="I892" t="str">
        <f t="array" aca="1" ref="I892" ca="1">IFERROR(IF(OR(INDEX(checklistPesertaKemenkeu!$M$6:$M$1005,SMALL(IF(checklistPesertaKemenkeu!$AY$6:$AY$1005="Direkomendasikan",ROW($6:$1005)-5),891))="",INDEX(checklistPesertaKemenkeu!$J$6:$J$1005,SMALL(IF(checklistPesertaKemenkeu!$AY$6:$AY$1005="Direkomendasikan",ROW($6:$1005)-5),891))=""),"",IF(AND(COUNTIF(INDIRECT("K_"&amp;MATCH(INDEX(checklistPesertaKemenkeu!$J$6:$J$1005,SMALL(IF(checklistPesertaKemenkeu!$AY$6:$AY$1005="Direkomendasikan",ROW($6:$1005)-5),891)),BidangList,0)),INDEX(checklistPesertaKemenkeu!$M$6:$M$1005,SMALL(IF(checklistPesertaKemenkeu!$AY$6:$AY$1005="Direkomendasikan",ROW($6:$1005)-5),891)))&gt;0,COUNTIF(INDIRECT("'KERTAS KERJA'!K"&amp;(SMALL(IF(checklistPesertaKemenkeu!$AY$6:$AY$1005="Direkomendasikan",ROW($6:$1005)-5),891)+5)&amp;":O"&amp;(SMALL(IF(checklistPesertaKemenkeu!$AY$6:$AY$1005="Direkomendasikan",ROW($6:$1005)-5),891)+5)),INDEX(checklistPesertaKemenkeu!$M$6:$M$1005,SMALL(IF(checklistPesertaKemenkeu!$AY$6:$AY$1005="Direkomendasikan",ROW($6:$1005)-5),891)))=1),IFERROR(VLOOKUP(INDEX(checklistPesertaKemenkeu!$M$6:$M$1005,SMALL(IF(checklistPesertaKemenkeu!$AY$6:$AY$1005="Direkomendasikan",ROW($6:$1005)-5),891)),KotaKode,2,0),"-"),"")),"")</f>
        <v/>
      </c>
      <c r="J892" t="str">
        <f t="array" aca="1" ref="J892" ca="1">IFERROR(IF(OR(INDEX(checklistPesertaKemenkeu!$N$6:$N$1005,SMALL(IF(checklistPesertaKemenkeu!$AY$6:$AY$1005="Direkomendasikan",ROW($6:$1005)-5),891))="",INDEX(checklistPesertaKemenkeu!$J$6:$J$1005,SMALL(IF(checklistPesertaKemenkeu!$AY$6:$AY$1005="Direkomendasikan",ROW($6:$1005)-5),891))=""),"",IF(AND(COUNTIF(INDIRECT("K_"&amp;MATCH(INDEX(checklistPesertaKemenkeu!$J$6:$J$1005,SMALL(IF(checklistPesertaKemenkeu!$AY$6:$AY$1005="Direkomendasikan",ROW($6:$1005)-5),891)),BidangList,0)),INDEX(checklistPesertaKemenkeu!$N$6:$N$1005,SMALL(IF(checklistPesertaKemenkeu!$AY$6:$AY$1005="Direkomendasikan",ROW($6:$1005)-5),891)))&gt;0,COUNTIF(INDIRECT("'KERTAS KERJA'!K"&amp;(SMALL(IF(checklistPesertaKemenkeu!$AY$6:$AY$1005="Direkomendasikan",ROW($6:$1005)-5),891)+5)&amp;":O"&amp;(SMALL(IF(checklistPesertaKemenkeu!$AY$6:$AY$1005="Direkomendasikan",ROW($6:$1005)-5),891)+5)),INDEX(checklistPesertaKemenkeu!$N$6:$N$1005,SMALL(IF(checklistPesertaKemenkeu!$AY$6:$AY$1005="Direkomendasikan",ROW($6:$1005)-5),891)))=1),IFERROR(VLOOKUP(INDEX(checklistPesertaKemenkeu!$N$6:$N$1005,SMALL(IF(checklistPesertaKemenkeu!$AY$6:$AY$1005="Direkomendasikan",ROW($6:$1005)-5),891)),KotaKode,2,0),"-"),"")),"")</f>
        <v/>
      </c>
      <c r="K892" t="str">
        <f t="array" aca="1" ref="K892" ca="1">IFERROR(IF(OR(INDEX(checklistPesertaKemenkeu!$O$6:$O$1005,SMALL(IF(checklistPesertaKemenkeu!$AY$6:$AY$1005="Direkomendasikan",ROW($6:$1005)-5),891))="",INDEX(checklistPesertaKemenkeu!$J$6:$J$1005,SMALL(IF(checklistPesertaKemenkeu!$AY$6:$AY$1005="Direkomendasikan",ROW($6:$1005)-5),891))=""),"",IF(AND(COUNTIF(INDIRECT("K_"&amp;MATCH(INDEX(checklistPesertaKemenkeu!$J$6:$J$1005,SMALL(IF(checklistPesertaKemenkeu!$AY$6:$AY$1005="Direkomendasikan",ROW($6:$1005)-5),891)),BidangList,0)),INDEX(checklistPesertaKemenkeu!$O$6:$O$1005,SMALL(IF(checklistPesertaKemenkeu!$AY$6:$AY$1005="Direkomendasikan",ROW($6:$1005)-5),891)))&gt;0,COUNTIF(INDIRECT("'KERTAS KERJA'!K"&amp;(SMALL(IF(checklistPesertaKemenkeu!$AY$6:$AY$1005="Direkomendasikan",ROW($6:$1005)-5),891)+5)&amp;":O"&amp;(SMALL(IF(checklistPesertaKemenkeu!$AY$6:$AY$1005="Direkomendasikan",ROW($6:$1005)-5),891)+5)),INDEX(checklistPesertaKemenkeu!$O$6:$O$1005,SMALL(IF(checklistPesertaKemenkeu!$AY$6:$AY$1005="Direkomendasikan",ROW($6:$1005)-5),891)))=1),IFERROR(VLOOKUP(INDEX(checklistPesertaKemenkeu!$O$6:$O$1005,SMALL(IF(checklistPesertaKemenkeu!$AY$6:$AY$1005="Direkomendasikan",ROW($6:$1005)-5),891)),KotaKode,2,0),"-"),"")),"")</f>
        <v/>
      </c>
      <c r="L892" t="str">
        <f t="array" aca="1" ref="L892" ca="1">IFERROR(IF(OR(INDEX(checklistPesertaKemenkeu!$P$6:$P$1005,SMALL(IF(checklistPesertaKemenkeu!$AY$6:$AY$1005="Direkomendasikan",ROW($6:$1005)-5),891))="",INDEX(checklistPesertaKemenkeu!$J$6:$J$1005,SMALL(IF(checklistPesertaKemenkeu!$AY$6:$AY$1005="Direkomendasikan",ROW($6:$1005)-5),891))=""),"",IF(AND(COUNTIF(INDIRECT("K_"&amp;MATCH(INDEX(checklistPesertaKemenkeu!$J$6:$J$1005,SMALL(IF(checklistPesertaKemenkeu!$AY$6:$AY$1005="Direkomendasikan",ROW($6:$1005)-5),891)),BidangList,0)),INDEX(checklistPesertaKemenkeu!$P$6:$P$1005,SMALL(IF(checklistPesertaKemenkeu!$AY$6:$AY$1005="Direkomendasikan",ROW($6:$1005)-5),891)))&gt;0,COUNTIF(INDIRECT("'KERTAS KERJA'!K"&amp;(SMALL(IF(checklistPesertaKemenkeu!$AY$6:$AY$1005="Direkomendasikan",ROW($6:$1005)-5),891)+5)&amp;":O"&amp;(SMALL(IF(checklistPesertaKemenkeu!$AY$6:$AY$1005="Direkomendasikan",ROW($6:$1005)-5),891)+5)),INDEX(checklistPesertaKemenkeu!$P$6:$P$1005,SMALL(IF(checklistPesertaKemenkeu!$AY$6:$AY$1005="Direkomendasikan",ROW($6:$1005)-5),891)))=1),IFERROR(VLOOKUP(INDEX(checklistPesertaKemenkeu!$P$6:$P$1005,SMALL(IF(checklistPesertaKemenkeu!$AY$6:$AY$1005="Direkomendasikan",ROW($6:$1005)-5),891)),KotaKode,2,0),"-"),"")),"")</f>
        <v/>
      </c>
    </row>
    <row r="893" spans="1:12" ht="15" customHeight="1" x14ac:dyDescent="0.2">
      <c r="A893" t="str">
        <f t="shared" si="13"/>
        <v/>
      </c>
      <c r="B893" t="str">
        <v/>
      </c>
      <c r="C893" s="40" t="str">
        <f t="array" ref="C893">IFERROR(INDEX(checklistPesertaKemenkeu!$F$6:$F$1005,SMALL(IF(checklistPesertaKemenkeu!$AY$6:$AY$1005="Direkomendasikan",ROW($6:$1005)-5),892)),"")</f>
        <v/>
      </c>
      <c r="D893" t="str">
        <f t="array" ref="D893">IFERROR(INDEX(checklistPesertaKemenkeu!$G$6:$G$1005,SMALL(IF(checklistPesertaKemenkeu!$AY$6:$AY$1005="Direkomendasikan",ROW($6:$1005)-5),892)),"")</f>
        <v/>
      </c>
      <c r="E893" t="str">
        <f t="array" ref="E893">IFERROR(INDEX(checklistPesertaKemenkeu!$H$6:$H$1005,SMALL(IF(checklistPesertaKemenkeu!$AY$6:$AY$1005="Direkomendasikan",ROW($6:$1005)-5),892)),"")</f>
        <v/>
      </c>
      <c r="F893" t="str">
        <f t="array" ref="F893">IFERROR(INDEX(checklistPesertaKemenkeu!$I$6:$I$1005,SMALL(IF(checklistPesertaKemenkeu!$AY$6:$AY$1005="Direkomendasikan",ROW($6:$1005)-5),892)),"")</f>
        <v/>
      </c>
      <c r="G893" t="str">
        <f t="array" ref="G893">IFERROR(INDEX(checklistPesertaKemenkeu!$J$6:$J$1005,SMALL(IF(checklistPesertaKemenkeu!$AY$6:$AY$1005="Direkomendasikan",ROW($6:$1005)-5),892)),"")</f>
        <v/>
      </c>
      <c r="H893" t="str">
        <f t="array" aca="1" ref="H893" ca="1">IFERROR(IF(OR(INDEX(checklistPesertaKemenkeu!$L$6:$L$1005,SMALL(IF(checklistPesertaKemenkeu!$AY$6:$AY$1005="Direkomendasikan",ROW($6:$1005)-5),892))="",INDEX(checklistPesertaKemenkeu!$J$6:$J$1005,SMALL(IF(checklistPesertaKemenkeu!$AY$6:$AY$1005="Direkomendasikan",ROW($6:$1005)-5),892))=""),"",IF(AND(COUNTIF(INDIRECT("K_"&amp;MATCH(INDEX(checklistPesertaKemenkeu!$J$6:$J$1005,SMALL(IF(checklistPesertaKemenkeu!$AY$6:$AY$1005="Direkomendasikan",ROW($6:$1005)-5),892)),BidangList,0)),INDEX(checklistPesertaKemenkeu!$L$6:$L$1005,SMALL(IF(checklistPesertaKemenkeu!$AY$6:$AY$1005="Direkomendasikan",ROW($6:$1005)-5),892)))&gt;0,COUNTIF(INDIRECT("'KERTAS KERJA'!K"&amp;(SMALL(IF(checklistPesertaKemenkeu!$AY$6:$AY$1005="Direkomendasikan",ROW($6:$1005)-5),892)+5)&amp;":O"&amp;(SMALL(IF(checklistPesertaKemenkeu!$AY$6:$AY$1005="Direkomendasikan",ROW($6:$1005)-5),892)+5)),INDEX(checklistPesertaKemenkeu!$L$6:$L$1005,SMALL(IF(checklistPesertaKemenkeu!$AY$6:$AY$1005="Direkomendasikan",ROW($6:$1005)-5),892)))=1),IFERROR(VLOOKUP(INDEX(checklistPesertaKemenkeu!$L$6:$L$1005,SMALL(IF(checklistPesertaKemenkeu!$AY$6:$AY$1005="Direkomendasikan",ROW($6:$1005)-5),892)),KotaKode,2,0),"-"),"")),"")</f>
        <v/>
      </c>
      <c r="I893" t="str">
        <f t="array" aca="1" ref="I893" ca="1">IFERROR(IF(OR(INDEX(checklistPesertaKemenkeu!$M$6:$M$1005,SMALL(IF(checklistPesertaKemenkeu!$AY$6:$AY$1005="Direkomendasikan",ROW($6:$1005)-5),892))="",INDEX(checklistPesertaKemenkeu!$J$6:$J$1005,SMALL(IF(checklistPesertaKemenkeu!$AY$6:$AY$1005="Direkomendasikan",ROW($6:$1005)-5),892))=""),"",IF(AND(COUNTIF(INDIRECT("K_"&amp;MATCH(INDEX(checklistPesertaKemenkeu!$J$6:$J$1005,SMALL(IF(checklistPesertaKemenkeu!$AY$6:$AY$1005="Direkomendasikan",ROW($6:$1005)-5),892)),BidangList,0)),INDEX(checklistPesertaKemenkeu!$M$6:$M$1005,SMALL(IF(checklistPesertaKemenkeu!$AY$6:$AY$1005="Direkomendasikan",ROW($6:$1005)-5),892)))&gt;0,COUNTIF(INDIRECT("'KERTAS KERJA'!K"&amp;(SMALL(IF(checklistPesertaKemenkeu!$AY$6:$AY$1005="Direkomendasikan",ROW($6:$1005)-5),892)+5)&amp;":O"&amp;(SMALL(IF(checklistPesertaKemenkeu!$AY$6:$AY$1005="Direkomendasikan",ROW($6:$1005)-5),892)+5)),INDEX(checklistPesertaKemenkeu!$M$6:$M$1005,SMALL(IF(checklistPesertaKemenkeu!$AY$6:$AY$1005="Direkomendasikan",ROW($6:$1005)-5),892)))=1),IFERROR(VLOOKUP(INDEX(checklistPesertaKemenkeu!$M$6:$M$1005,SMALL(IF(checklistPesertaKemenkeu!$AY$6:$AY$1005="Direkomendasikan",ROW($6:$1005)-5),892)),KotaKode,2,0),"-"),"")),"")</f>
        <v/>
      </c>
      <c r="J893" t="str">
        <f t="array" aca="1" ref="J893" ca="1">IFERROR(IF(OR(INDEX(checklistPesertaKemenkeu!$N$6:$N$1005,SMALL(IF(checklistPesertaKemenkeu!$AY$6:$AY$1005="Direkomendasikan",ROW($6:$1005)-5),892))="",INDEX(checklistPesertaKemenkeu!$J$6:$J$1005,SMALL(IF(checklistPesertaKemenkeu!$AY$6:$AY$1005="Direkomendasikan",ROW($6:$1005)-5),892))=""),"",IF(AND(COUNTIF(INDIRECT("K_"&amp;MATCH(INDEX(checklistPesertaKemenkeu!$J$6:$J$1005,SMALL(IF(checklistPesertaKemenkeu!$AY$6:$AY$1005="Direkomendasikan",ROW($6:$1005)-5),892)),BidangList,0)),INDEX(checklistPesertaKemenkeu!$N$6:$N$1005,SMALL(IF(checklistPesertaKemenkeu!$AY$6:$AY$1005="Direkomendasikan",ROW($6:$1005)-5),892)))&gt;0,COUNTIF(INDIRECT("'KERTAS KERJA'!K"&amp;(SMALL(IF(checklistPesertaKemenkeu!$AY$6:$AY$1005="Direkomendasikan",ROW($6:$1005)-5),892)+5)&amp;":O"&amp;(SMALL(IF(checklistPesertaKemenkeu!$AY$6:$AY$1005="Direkomendasikan",ROW($6:$1005)-5),892)+5)),INDEX(checklistPesertaKemenkeu!$N$6:$N$1005,SMALL(IF(checklistPesertaKemenkeu!$AY$6:$AY$1005="Direkomendasikan",ROW($6:$1005)-5),892)))=1),IFERROR(VLOOKUP(INDEX(checklistPesertaKemenkeu!$N$6:$N$1005,SMALL(IF(checklistPesertaKemenkeu!$AY$6:$AY$1005="Direkomendasikan",ROW($6:$1005)-5),892)),KotaKode,2,0),"-"),"")),"")</f>
        <v/>
      </c>
      <c r="K893" t="str">
        <f t="array" aca="1" ref="K893" ca="1">IFERROR(IF(OR(INDEX(checklistPesertaKemenkeu!$O$6:$O$1005,SMALL(IF(checklistPesertaKemenkeu!$AY$6:$AY$1005="Direkomendasikan",ROW($6:$1005)-5),892))="",INDEX(checklistPesertaKemenkeu!$J$6:$J$1005,SMALL(IF(checklistPesertaKemenkeu!$AY$6:$AY$1005="Direkomendasikan",ROW($6:$1005)-5),892))=""),"",IF(AND(COUNTIF(INDIRECT("K_"&amp;MATCH(INDEX(checklistPesertaKemenkeu!$J$6:$J$1005,SMALL(IF(checklistPesertaKemenkeu!$AY$6:$AY$1005="Direkomendasikan",ROW($6:$1005)-5),892)),BidangList,0)),INDEX(checklistPesertaKemenkeu!$O$6:$O$1005,SMALL(IF(checklistPesertaKemenkeu!$AY$6:$AY$1005="Direkomendasikan",ROW($6:$1005)-5),892)))&gt;0,COUNTIF(INDIRECT("'KERTAS KERJA'!K"&amp;(SMALL(IF(checklistPesertaKemenkeu!$AY$6:$AY$1005="Direkomendasikan",ROW($6:$1005)-5),892)+5)&amp;":O"&amp;(SMALL(IF(checklistPesertaKemenkeu!$AY$6:$AY$1005="Direkomendasikan",ROW($6:$1005)-5),892)+5)),INDEX(checklistPesertaKemenkeu!$O$6:$O$1005,SMALL(IF(checklistPesertaKemenkeu!$AY$6:$AY$1005="Direkomendasikan",ROW($6:$1005)-5),892)))=1),IFERROR(VLOOKUP(INDEX(checklistPesertaKemenkeu!$O$6:$O$1005,SMALL(IF(checklistPesertaKemenkeu!$AY$6:$AY$1005="Direkomendasikan",ROW($6:$1005)-5),892)),KotaKode,2,0),"-"),"")),"")</f>
        <v/>
      </c>
      <c r="L893" t="str">
        <f t="array" aca="1" ref="L893" ca="1">IFERROR(IF(OR(INDEX(checklistPesertaKemenkeu!$P$6:$P$1005,SMALL(IF(checklistPesertaKemenkeu!$AY$6:$AY$1005="Direkomendasikan",ROW($6:$1005)-5),892))="",INDEX(checklistPesertaKemenkeu!$J$6:$J$1005,SMALL(IF(checklistPesertaKemenkeu!$AY$6:$AY$1005="Direkomendasikan",ROW($6:$1005)-5),892))=""),"",IF(AND(COUNTIF(INDIRECT("K_"&amp;MATCH(INDEX(checklistPesertaKemenkeu!$J$6:$J$1005,SMALL(IF(checklistPesertaKemenkeu!$AY$6:$AY$1005="Direkomendasikan",ROW($6:$1005)-5),892)),BidangList,0)),INDEX(checklistPesertaKemenkeu!$P$6:$P$1005,SMALL(IF(checklistPesertaKemenkeu!$AY$6:$AY$1005="Direkomendasikan",ROW($6:$1005)-5),892)))&gt;0,COUNTIF(INDIRECT("'KERTAS KERJA'!K"&amp;(SMALL(IF(checklistPesertaKemenkeu!$AY$6:$AY$1005="Direkomendasikan",ROW($6:$1005)-5),892)+5)&amp;":O"&amp;(SMALL(IF(checklistPesertaKemenkeu!$AY$6:$AY$1005="Direkomendasikan",ROW($6:$1005)-5),892)+5)),INDEX(checklistPesertaKemenkeu!$P$6:$P$1005,SMALL(IF(checklistPesertaKemenkeu!$AY$6:$AY$1005="Direkomendasikan",ROW($6:$1005)-5),892)))=1),IFERROR(VLOOKUP(INDEX(checklistPesertaKemenkeu!$P$6:$P$1005,SMALL(IF(checklistPesertaKemenkeu!$AY$6:$AY$1005="Direkomendasikan",ROW($6:$1005)-5),892)),KotaKode,2,0),"-"),"")),"")</f>
        <v/>
      </c>
    </row>
    <row r="894" spans="1:12" ht="15" customHeight="1" x14ac:dyDescent="0.2">
      <c r="A894" t="str">
        <f t="shared" si="13"/>
        <v/>
      </c>
      <c r="B894" t="str">
        <v/>
      </c>
      <c r="C894" s="40" t="str">
        <f t="array" ref="C894">IFERROR(INDEX(checklistPesertaKemenkeu!$F$6:$F$1005,SMALL(IF(checklistPesertaKemenkeu!$AY$6:$AY$1005="Direkomendasikan",ROW($6:$1005)-5),893)),"")</f>
        <v/>
      </c>
      <c r="D894" t="str">
        <f t="array" ref="D894">IFERROR(INDEX(checklistPesertaKemenkeu!$G$6:$G$1005,SMALL(IF(checklistPesertaKemenkeu!$AY$6:$AY$1005="Direkomendasikan",ROW($6:$1005)-5),893)),"")</f>
        <v/>
      </c>
      <c r="E894" t="str">
        <f t="array" ref="E894">IFERROR(INDEX(checklistPesertaKemenkeu!$H$6:$H$1005,SMALL(IF(checklistPesertaKemenkeu!$AY$6:$AY$1005="Direkomendasikan",ROW($6:$1005)-5),893)),"")</f>
        <v/>
      </c>
      <c r="F894" t="str">
        <f t="array" ref="F894">IFERROR(INDEX(checklistPesertaKemenkeu!$I$6:$I$1005,SMALL(IF(checklistPesertaKemenkeu!$AY$6:$AY$1005="Direkomendasikan",ROW($6:$1005)-5),893)),"")</f>
        <v/>
      </c>
      <c r="G894" t="str">
        <f t="array" ref="G894">IFERROR(INDEX(checklistPesertaKemenkeu!$J$6:$J$1005,SMALL(IF(checklistPesertaKemenkeu!$AY$6:$AY$1005="Direkomendasikan",ROW($6:$1005)-5),893)),"")</f>
        <v/>
      </c>
      <c r="H894" t="str">
        <f t="array" aca="1" ref="H894" ca="1">IFERROR(IF(OR(INDEX(checklistPesertaKemenkeu!$L$6:$L$1005,SMALL(IF(checklistPesertaKemenkeu!$AY$6:$AY$1005="Direkomendasikan",ROW($6:$1005)-5),893))="",INDEX(checklistPesertaKemenkeu!$J$6:$J$1005,SMALL(IF(checklistPesertaKemenkeu!$AY$6:$AY$1005="Direkomendasikan",ROW($6:$1005)-5),893))=""),"",IF(AND(COUNTIF(INDIRECT("K_"&amp;MATCH(INDEX(checklistPesertaKemenkeu!$J$6:$J$1005,SMALL(IF(checklistPesertaKemenkeu!$AY$6:$AY$1005="Direkomendasikan",ROW($6:$1005)-5),893)),BidangList,0)),INDEX(checklistPesertaKemenkeu!$L$6:$L$1005,SMALL(IF(checklistPesertaKemenkeu!$AY$6:$AY$1005="Direkomendasikan",ROW($6:$1005)-5),893)))&gt;0,COUNTIF(INDIRECT("'KERTAS KERJA'!K"&amp;(SMALL(IF(checklistPesertaKemenkeu!$AY$6:$AY$1005="Direkomendasikan",ROW($6:$1005)-5),893)+5)&amp;":O"&amp;(SMALL(IF(checklistPesertaKemenkeu!$AY$6:$AY$1005="Direkomendasikan",ROW($6:$1005)-5),893)+5)),INDEX(checklistPesertaKemenkeu!$L$6:$L$1005,SMALL(IF(checklistPesertaKemenkeu!$AY$6:$AY$1005="Direkomendasikan",ROW($6:$1005)-5),893)))=1),IFERROR(VLOOKUP(INDEX(checklistPesertaKemenkeu!$L$6:$L$1005,SMALL(IF(checklistPesertaKemenkeu!$AY$6:$AY$1005="Direkomendasikan",ROW($6:$1005)-5),893)),KotaKode,2,0),"-"),"")),"")</f>
        <v/>
      </c>
      <c r="I894" t="str">
        <f t="array" aca="1" ref="I894" ca="1">IFERROR(IF(OR(INDEX(checklistPesertaKemenkeu!$M$6:$M$1005,SMALL(IF(checklistPesertaKemenkeu!$AY$6:$AY$1005="Direkomendasikan",ROW($6:$1005)-5),893))="",INDEX(checklistPesertaKemenkeu!$J$6:$J$1005,SMALL(IF(checklistPesertaKemenkeu!$AY$6:$AY$1005="Direkomendasikan",ROW($6:$1005)-5),893))=""),"",IF(AND(COUNTIF(INDIRECT("K_"&amp;MATCH(INDEX(checklistPesertaKemenkeu!$J$6:$J$1005,SMALL(IF(checklistPesertaKemenkeu!$AY$6:$AY$1005="Direkomendasikan",ROW($6:$1005)-5),893)),BidangList,0)),INDEX(checklistPesertaKemenkeu!$M$6:$M$1005,SMALL(IF(checklistPesertaKemenkeu!$AY$6:$AY$1005="Direkomendasikan",ROW($6:$1005)-5),893)))&gt;0,COUNTIF(INDIRECT("'KERTAS KERJA'!K"&amp;(SMALL(IF(checklistPesertaKemenkeu!$AY$6:$AY$1005="Direkomendasikan",ROW($6:$1005)-5),893)+5)&amp;":O"&amp;(SMALL(IF(checklistPesertaKemenkeu!$AY$6:$AY$1005="Direkomendasikan",ROW($6:$1005)-5),893)+5)),INDEX(checklistPesertaKemenkeu!$M$6:$M$1005,SMALL(IF(checklistPesertaKemenkeu!$AY$6:$AY$1005="Direkomendasikan",ROW($6:$1005)-5),893)))=1),IFERROR(VLOOKUP(INDEX(checklistPesertaKemenkeu!$M$6:$M$1005,SMALL(IF(checklistPesertaKemenkeu!$AY$6:$AY$1005="Direkomendasikan",ROW($6:$1005)-5),893)),KotaKode,2,0),"-"),"")),"")</f>
        <v/>
      </c>
      <c r="J894" t="str">
        <f t="array" aca="1" ref="J894" ca="1">IFERROR(IF(OR(INDEX(checklistPesertaKemenkeu!$N$6:$N$1005,SMALL(IF(checklistPesertaKemenkeu!$AY$6:$AY$1005="Direkomendasikan",ROW($6:$1005)-5),893))="",INDEX(checklistPesertaKemenkeu!$J$6:$J$1005,SMALL(IF(checklistPesertaKemenkeu!$AY$6:$AY$1005="Direkomendasikan",ROW($6:$1005)-5),893))=""),"",IF(AND(COUNTIF(INDIRECT("K_"&amp;MATCH(INDEX(checklistPesertaKemenkeu!$J$6:$J$1005,SMALL(IF(checklistPesertaKemenkeu!$AY$6:$AY$1005="Direkomendasikan",ROW($6:$1005)-5),893)),BidangList,0)),INDEX(checklistPesertaKemenkeu!$N$6:$N$1005,SMALL(IF(checklistPesertaKemenkeu!$AY$6:$AY$1005="Direkomendasikan",ROW($6:$1005)-5),893)))&gt;0,COUNTIF(INDIRECT("'KERTAS KERJA'!K"&amp;(SMALL(IF(checklistPesertaKemenkeu!$AY$6:$AY$1005="Direkomendasikan",ROW($6:$1005)-5),893)+5)&amp;":O"&amp;(SMALL(IF(checklistPesertaKemenkeu!$AY$6:$AY$1005="Direkomendasikan",ROW($6:$1005)-5),893)+5)),INDEX(checklistPesertaKemenkeu!$N$6:$N$1005,SMALL(IF(checklistPesertaKemenkeu!$AY$6:$AY$1005="Direkomendasikan",ROW($6:$1005)-5),893)))=1),IFERROR(VLOOKUP(INDEX(checklistPesertaKemenkeu!$N$6:$N$1005,SMALL(IF(checklistPesertaKemenkeu!$AY$6:$AY$1005="Direkomendasikan",ROW($6:$1005)-5),893)),KotaKode,2,0),"-"),"")),"")</f>
        <v/>
      </c>
      <c r="K894" t="str">
        <f t="array" aca="1" ref="K894" ca="1">IFERROR(IF(OR(INDEX(checklistPesertaKemenkeu!$O$6:$O$1005,SMALL(IF(checklistPesertaKemenkeu!$AY$6:$AY$1005="Direkomendasikan",ROW($6:$1005)-5),893))="",INDEX(checklistPesertaKemenkeu!$J$6:$J$1005,SMALL(IF(checklistPesertaKemenkeu!$AY$6:$AY$1005="Direkomendasikan",ROW($6:$1005)-5),893))=""),"",IF(AND(COUNTIF(INDIRECT("K_"&amp;MATCH(INDEX(checklistPesertaKemenkeu!$J$6:$J$1005,SMALL(IF(checklistPesertaKemenkeu!$AY$6:$AY$1005="Direkomendasikan",ROW($6:$1005)-5),893)),BidangList,0)),INDEX(checklistPesertaKemenkeu!$O$6:$O$1005,SMALL(IF(checklistPesertaKemenkeu!$AY$6:$AY$1005="Direkomendasikan",ROW($6:$1005)-5),893)))&gt;0,COUNTIF(INDIRECT("'KERTAS KERJA'!K"&amp;(SMALL(IF(checklistPesertaKemenkeu!$AY$6:$AY$1005="Direkomendasikan",ROW($6:$1005)-5),893)+5)&amp;":O"&amp;(SMALL(IF(checklistPesertaKemenkeu!$AY$6:$AY$1005="Direkomendasikan",ROW($6:$1005)-5),893)+5)),INDEX(checklistPesertaKemenkeu!$O$6:$O$1005,SMALL(IF(checklistPesertaKemenkeu!$AY$6:$AY$1005="Direkomendasikan",ROW($6:$1005)-5),893)))=1),IFERROR(VLOOKUP(INDEX(checklistPesertaKemenkeu!$O$6:$O$1005,SMALL(IF(checklistPesertaKemenkeu!$AY$6:$AY$1005="Direkomendasikan",ROW($6:$1005)-5),893)),KotaKode,2,0),"-"),"")),"")</f>
        <v/>
      </c>
      <c r="L894" t="str">
        <f t="array" aca="1" ref="L894" ca="1">IFERROR(IF(OR(INDEX(checklistPesertaKemenkeu!$P$6:$P$1005,SMALL(IF(checklistPesertaKemenkeu!$AY$6:$AY$1005="Direkomendasikan",ROW($6:$1005)-5),893))="",INDEX(checklistPesertaKemenkeu!$J$6:$J$1005,SMALL(IF(checklistPesertaKemenkeu!$AY$6:$AY$1005="Direkomendasikan",ROW($6:$1005)-5),893))=""),"",IF(AND(COUNTIF(INDIRECT("K_"&amp;MATCH(INDEX(checklistPesertaKemenkeu!$J$6:$J$1005,SMALL(IF(checklistPesertaKemenkeu!$AY$6:$AY$1005="Direkomendasikan",ROW($6:$1005)-5),893)),BidangList,0)),INDEX(checklistPesertaKemenkeu!$P$6:$P$1005,SMALL(IF(checklistPesertaKemenkeu!$AY$6:$AY$1005="Direkomendasikan",ROW($6:$1005)-5),893)))&gt;0,COUNTIF(INDIRECT("'KERTAS KERJA'!K"&amp;(SMALL(IF(checklistPesertaKemenkeu!$AY$6:$AY$1005="Direkomendasikan",ROW($6:$1005)-5),893)+5)&amp;":O"&amp;(SMALL(IF(checklistPesertaKemenkeu!$AY$6:$AY$1005="Direkomendasikan",ROW($6:$1005)-5),893)+5)),INDEX(checklistPesertaKemenkeu!$P$6:$P$1005,SMALL(IF(checklistPesertaKemenkeu!$AY$6:$AY$1005="Direkomendasikan",ROW($6:$1005)-5),893)))=1),IFERROR(VLOOKUP(INDEX(checklistPesertaKemenkeu!$P$6:$P$1005,SMALL(IF(checklistPesertaKemenkeu!$AY$6:$AY$1005="Direkomendasikan",ROW($6:$1005)-5),893)),KotaKode,2,0),"-"),"")),"")</f>
        <v/>
      </c>
    </row>
    <row r="895" spans="1:12" ht="15" customHeight="1" x14ac:dyDescent="0.2">
      <c r="A895" t="str">
        <f t="shared" si="13"/>
        <v/>
      </c>
      <c r="B895" t="str">
        <v/>
      </c>
      <c r="C895" s="40" t="str">
        <f t="array" ref="C895">IFERROR(INDEX(checklistPesertaKemenkeu!$F$6:$F$1005,SMALL(IF(checklistPesertaKemenkeu!$AY$6:$AY$1005="Direkomendasikan",ROW($6:$1005)-5),894)),"")</f>
        <v/>
      </c>
      <c r="D895" t="str">
        <f t="array" ref="D895">IFERROR(INDEX(checklistPesertaKemenkeu!$G$6:$G$1005,SMALL(IF(checklistPesertaKemenkeu!$AY$6:$AY$1005="Direkomendasikan",ROW($6:$1005)-5),894)),"")</f>
        <v/>
      </c>
      <c r="E895" t="str">
        <f t="array" ref="E895">IFERROR(INDEX(checklistPesertaKemenkeu!$H$6:$H$1005,SMALL(IF(checklistPesertaKemenkeu!$AY$6:$AY$1005="Direkomendasikan",ROW($6:$1005)-5),894)),"")</f>
        <v/>
      </c>
      <c r="F895" t="str">
        <f t="array" ref="F895">IFERROR(INDEX(checklistPesertaKemenkeu!$I$6:$I$1005,SMALL(IF(checklistPesertaKemenkeu!$AY$6:$AY$1005="Direkomendasikan",ROW($6:$1005)-5),894)),"")</f>
        <v/>
      </c>
      <c r="G895" t="str">
        <f t="array" ref="G895">IFERROR(INDEX(checklistPesertaKemenkeu!$J$6:$J$1005,SMALL(IF(checklistPesertaKemenkeu!$AY$6:$AY$1005="Direkomendasikan",ROW($6:$1005)-5),894)),"")</f>
        <v/>
      </c>
      <c r="H895" t="str">
        <f t="array" aca="1" ref="H895" ca="1">IFERROR(IF(OR(INDEX(checklistPesertaKemenkeu!$L$6:$L$1005,SMALL(IF(checklistPesertaKemenkeu!$AY$6:$AY$1005="Direkomendasikan",ROW($6:$1005)-5),894))="",INDEX(checklistPesertaKemenkeu!$J$6:$J$1005,SMALL(IF(checklistPesertaKemenkeu!$AY$6:$AY$1005="Direkomendasikan",ROW($6:$1005)-5),894))=""),"",IF(AND(COUNTIF(INDIRECT("K_"&amp;MATCH(INDEX(checklistPesertaKemenkeu!$J$6:$J$1005,SMALL(IF(checklistPesertaKemenkeu!$AY$6:$AY$1005="Direkomendasikan",ROW($6:$1005)-5),894)),BidangList,0)),INDEX(checklistPesertaKemenkeu!$L$6:$L$1005,SMALL(IF(checklistPesertaKemenkeu!$AY$6:$AY$1005="Direkomendasikan",ROW($6:$1005)-5),894)))&gt;0,COUNTIF(INDIRECT("'KERTAS KERJA'!K"&amp;(SMALL(IF(checklistPesertaKemenkeu!$AY$6:$AY$1005="Direkomendasikan",ROW($6:$1005)-5),894)+5)&amp;":O"&amp;(SMALL(IF(checklistPesertaKemenkeu!$AY$6:$AY$1005="Direkomendasikan",ROW($6:$1005)-5),894)+5)),INDEX(checklistPesertaKemenkeu!$L$6:$L$1005,SMALL(IF(checklistPesertaKemenkeu!$AY$6:$AY$1005="Direkomendasikan",ROW($6:$1005)-5),894)))=1),IFERROR(VLOOKUP(INDEX(checklistPesertaKemenkeu!$L$6:$L$1005,SMALL(IF(checklistPesertaKemenkeu!$AY$6:$AY$1005="Direkomendasikan",ROW($6:$1005)-5),894)),KotaKode,2,0),"-"),"")),"")</f>
        <v/>
      </c>
      <c r="I895" t="str">
        <f t="array" aca="1" ref="I895" ca="1">IFERROR(IF(OR(INDEX(checklistPesertaKemenkeu!$M$6:$M$1005,SMALL(IF(checklistPesertaKemenkeu!$AY$6:$AY$1005="Direkomendasikan",ROW($6:$1005)-5),894))="",INDEX(checklistPesertaKemenkeu!$J$6:$J$1005,SMALL(IF(checklistPesertaKemenkeu!$AY$6:$AY$1005="Direkomendasikan",ROW($6:$1005)-5),894))=""),"",IF(AND(COUNTIF(INDIRECT("K_"&amp;MATCH(INDEX(checklistPesertaKemenkeu!$J$6:$J$1005,SMALL(IF(checklistPesertaKemenkeu!$AY$6:$AY$1005="Direkomendasikan",ROW($6:$1005)-5),894)),BidangList,0)),INDEX(checklistPesertaKemenkeu!$M$6:$M$1005,SMALL(IF(checklistPesertaKemenkeu!$AY$6:$AY$1005="Direkomendasikan",ROW($6:$1005)-5),894)))&gt;0,COUNTIF(INDIRECT("'KERTAS KERJA'!K"&amp;(SMALL(IF(checklistPesertaKemenkeu!$AY$6:$AY$1005="Direkomendasikan",ROW($6:$1005)-5),894)+5)&amp;":O"&amp;(SMALL(IF(checklistPesertaKemenkeu!$AY$6:$AY$1005="Direkomendasikan",ROW($6:$1005)-5),894)+5)),INDEX(checklistPesertaKemenkeu!$M$6:$M$1005,SMALL(IF(checklistPesertaKemenkeu!$AY$6:$AY$1005="Direkomendasikan",ROW($6:$1005)-5),894)))=1),IFERROR(VLOOKUP(INDEX(checklistPesertaKemenkeu!$M$6:$M$1005,SMALL(IF(checklistPesertaKemenkeu!$AY$6:$AY$1005="Direkomendasikan",ROW($6:$1005)-5),894)),KotaKode,2,0),"-"),"")),"")</f>
        <v/>
      </c>
      <c r="J895" t="str">
        <f t="array" aca="1" ref="J895" ca="1">IFERROR(IF(OR(INDEX(checklistPesertaKemenkeu!$N$6:$N$1005,SMALL(IF(checklistPesertaKemenkeu!$AY$6:$AY$1005="Direkomendasikan",ROW($6:$1005)-5),894))="",INDEX(checklistPesertaKemenkeu!$J$6:$J$1005,SMALL(IF(checklistPesertaKemenkeu!$AY$6:$AY$1005="Direkomendasikan",ROW($6:$1005)-5),894))=""),"",IF(AND(COUNTIF(INDIRECT("K_"&amp;MATCH(INDEX(checklistPesertaKemenkeu!$J$6:$J$1005,SMALL(IF(checklistPesertaKemenkeu!$AY$6:$AY$1005="Direkomendasikan",ROW($6:$1005)-5),894)),BidangList,0)),INDEX(checklistPesertaKemenkeu!$N$6:$N$1005,SMALL(IF(checklistPesertaKemenkeu!$AY$6:$AY$1005="Direkomendasikan",ROW($6:$1005)-5),894)))&gt;0,COUNTIF(INDIRECT("'KERTAS KERJA'!K"&amp;(SMALL(IF(checklistPesertaKemenkeu!$AY$6:$AY$1005="Direkomendasikan",ROW($6:$1005)-5),894)+5)&amp;":O"&amp;(SMALL(IF(checklistPesertaKemenkeu!$AY$6:$AY$1005="Direkomendasikan",ROW($6:$1005)-5),894)+5)),INDEX(checklistPesertaKemenkeu!$N$6:$N$1005,SMALL(IF(checklistPesertaKemenkeu!$AY$6:$AY$1005="Direkomendasikan",ROW($6:$1005)-5),894)))=1),IFERROR(VLOOKUP(INDEX(checklistPesertaKemenkeu!$N$6:$N$1005,SMALL(IF(checklistPesertaKemenkeu!$AY$6:$AY$1005="Direkomendasikan",ROW($6:$1005)-5),894)),KotaKode,2,0),"-"),"")),"")</f>
        <v/>
      </c>
      <c r="K895" t="str">
        <f t="array" aca="1" ref="K895" ca="1">IFERROR(IF(OR(INDEX(checklistPesertaKemenkeu!$O$6:$O$1005,SMALL(IF(checklistPesertaKemenkeu!$AY$6:$AY$1005="Direkomendasikan",ROW($6:$1005)-5),894))="",INDEX(checklistPesertaKemenkeu!$J$6:$J$1005,SMALL(IF(checklistPesertaKemenkeu!$AY$6:$AY$1005="Direkomendasikan",ROW($6:$1005)-5),894))=""),"",IF(AND(COUNTIF(INDIRECT("K_"&amp;MATCH(INDEX(checklistPesertaKemenkeu!$J$6:$J$1005,SMALL(IF(checklistPesertaKemenkeu!$AY$6:$AY$1005="Direkomendasikan",ROW($6:$1005)-5),894)),BidangList,0)),INDEX(checklistPesertaKemenkeu!$O$6:$O$1005,SMALL(IF(checklistPesertaKemenkeu!$AY$6:$AY$1005="Direkomendasikan",ROW($6:$1005)-5),894)))&gt;0,COUNTIF(INDIRECT("'KERTAS KERJA'!K"&amp;(SMALL(IF(checklistPesertaKemenkeu!$AY$6:$AY$1005="Direkomendasikan",ROW($6:$1005)-5),894)+5)&amp;":O"&amp;(SMALL(IF(checklistPesertaKemenkeu!$AY$6:$AY$1005="Direkomendasikan",ROW($6:$1005)-5),894)+5)),INDEX(checklistPesertaKemenkeu!$O$6:$O$1005,SMALL(IF(checklistPesertaKemenkeu!$AY$6:$AY$1005="Direkomendasikan",ROW($6:$1005)-5),894)))=1),IFERROR(VLOOKUP(INDEX(checklistPesertaKemenkeu!$O$6:$O$1005,SMALL(IF(checklistPesertaKemenkeu!$AY$6:$AY$1005="Direkomendasikan",ROW($6:$1005)-5),894)),KotaKode,2,0),"-"),"")),"")</f>
        <v/>
      </c>
      <c r="L895" t="str">
        <f t="array" aca="1" ref="L895" ca="1">IFERROR(IF(OR(INDEX(checklistPesertaKemenkeu!$P$6:$P$1005,SMALL(IF(checklistPesertaKemenkeu!$AY$6:$AY$1005="Direkomendasikan",ROW($6:$1005)-5),894))="",INDEX(checklistPesertaKemenkeu!$J$6:$J$1005,SMALL(IF(checklistPesertaKemenkeu!$AY$6:$AY$1005="Direkomendasikan",ROW($6:$1005)-5),894))=""),"",IF(AND(COUNTIF(INDIRECT("K_"&amp;MATCH(INDEX(checklistPesertaKemenkeu!$J$6:$J$1005,SMALL(IF(checklistPesertaKemenkeu!$AY$6:$AY$1005="Direkomendasikan",ROW($6:$1005)-5),894)),BidangList,0)),INDEX(checklistPesertaKemenkeu!$P$6:$P$1005,SMALL(IF(checklistPesertaKemenkeu!$AY$6:$AY$1005="Direkomendasikan",ROW($6:$1005)-5),894)))&gt;0,COUNTIF(INDIRECT("'KERTAS KERJA'!K"&amp;(SMALL(IF(checklistPesertaKemenkeu!$AY$6:$AY$1005="Direkomendasikan",ROW($6:$1005)-5),894)+5)&amp;":O"&amp;(SMALL(IF(checklistPesertaKemenkeu!$AY$6:$AY$1005="Direkomendasikan",ROW($6:$1005)-5),894)+5)),INDEX(checklistPesertaKemenkeu!$P$6:$P$1005,SMALL(IF(checklistPesertaKemenkeu!$AY$6:$AY$1005="Direkomendasikan",ROW($6:$1005)-5),894)))=1),IFERROR(VLOOKUP(INDEX(checklistPesertaKemenkeu!$P$6:$P$1005,SMALL(IF(checklistPesertaKemenkeu!$AY$6:$AY$1005="Direkomendasikan",ROW($6:$1005)-5),894)),KotaKode,2,0),"-"),"")),"")</f>
        <v/>
      </c>
    </row>
    <row r="896" spans="1:12" ht="15" customHeight="1" x14ac:dyDescent="0.2">
      <c r="A896" t="str">
        <f t="shared" si="13"/>
        <v/>
      </c>
      <c r="B896" t="str">
        <v/>
      </c>
      <c r="C896" s="40" t="str">
        <f t="array" ref="C896">IFERROR(INDEX(checklistPesertaKemenkeu!$F$6:$F$1005,SMALL(IF(checklistPesertaKemenkeu!$AY$6:$AY$1005="Direkomendasikan",ROW($6:$1005)-5),895)),"")</f>
        <v/>
      </c>
      <c r="D896" t="str">
        <f t="array" ref="D896">IFERROR(INDEX(checklistPesertaKemenkeu!$G$6:$G$1005,SMALL(IF(checklistPesertaKemenkeu!$AY$6:$AY$1005="Direkomendasikan",ROW($6:$1005)-5),895)),"")</f>
        <v/>
      </c>
      <c r="E896" t="str">
        <f t="array" ref="E896">IFERROR(INDEX(checklistPesertaKemenkeu!$H$6:$H$1005,SMALL(IF(checklistPesertaKemenkeu!$AY$6:$AY$1005="Direkomendasikan",ROW($6:$1005)-5),895)),"")</f>
        <v/>
      </c>
      <c r="F896" t="str">
        <f t="array" ref="F896">IFERROR(INDEX(checklistPesertaKemenkeu!$I$6:$I$1005,SMALL(IF(checklistPesertaKemenkeu!$AY$6:$AY$1005="Direkomendasikan",ROW($6:$1005)-5),895)),"")</f>
        <v/>
      </c>
      <c r="G896" t="str">
        <f t="array" ref="G896">IFERROR(INDEX(checklistPesertaKemenkeu!$J$6:$J$1005,SMALL(IF(checklistPesertaKemenkeu!$AY$6:$AY$1005="Direkomendasikan",ROW($6:$1005)-5),895)),"")</f>
        <v/>
      </c>
      <c r="H896" t="str">
        <f t="array" aca="1" ref="H896" ca="1">IFERROR(IF(OR(INDEX(checklistPesertaKemenkeu!$L$6:$L$1005,SMALL(IF(checklistPesertaKemenkeu!$AY$6:$AY$1005="Direkomendasikan",ROW($6:$1005)-5),895))="",INDEX(checklistPesertaKemenkeu!$J$6:$J$1005,SMALL(IF(checklistPesertaKemenkeu!$AY$6:$AY$1005="Direkomendasikan",ROW($6:$1005)-5),895))=""),"",IF(AND(COUNTIF(INDIRECT("K_"&amp;MATCH(INDEX(checklistPesertaKemenkeu!$J$6:$J$1005,SMALL(IF(checklistPesertaKemenkeu!$AY$6:$AY$1005="Direkomendasikan",ROW($6:$1005)-5),895)),BidangList,0)),INDEX(checklistPesertaKemenkeu!$L$6:$L$1005,SMALL(IF(checklistPesertaKemenkeu!$AY$6:$AY$1005="Direkomendasikan",ROW($6:$1005)-5),895)))&gt;0,COUNTIF(INDIRECT("'KERTAS KERJA'!K"&amp;(SMALL(IF(checklistPesertaKemenkeu!$AY$6:$AY$1005="Direkomendasikan",ROW($6:$1005)-5),895)+5)&amp;":O"&amp;(SMALL(IF(checklistPesertaKemenkeu!$AY$6:$AY$1005="Direkomendasikan",ROW($6:$1005)-5),895)+5)),INDEX(checklistPesertaKemenkeu!$L$6:$L$1005,SMALL(IF(checklistPesertaKemenkeu!$AY$6:$AY$1005="Direkomendasikan",ROW($6:$1005)-5),895)))=1),IFERROR(VLOOKUP(INDEX(checklistPesertaKemenkeu!$L$6:$L$1005,SMALL(IF(checklistPesertaKemenkeu!$AY$6:$AY$1005="Direkomendasikan",ROW($6:$1005)-5),895)),KotaKode,2,0),"-"),"")),"")</f>
        <v/>
      </c>
      <c r="I896" t="str">
        <f t="array" aca="1" ref="I896" ca="1">IFERROR(IF(OR(INDEX(checklistPesertaKemenkeu!$M$6:$M$1005,SMALL(IF(checklistPesertaKemenkeu!$AY$6:$AY$1005="Direkomendasikan",ROW($6:$1005)-5),895))="",INDEX(checklistPesertaKemenkeu!$J$6:$J$1005,SMALL(IF(checklistPesertaKemenkeu!$AY$6:$AY$1005="Direkomendasikan",ROW($6:$1005)-5),895))=""),"",IF(AND(COUNTIF(INDIRECT("K_"&amp;MATCH(INDEX(checklistPesertaKemenkeu!$J$6:$J$1005,SMALL(IF(checklistPesertaKemenkeu!$AY$6:$AY$1005="Direkomendasikan",ROW($6:$1005)-5),895)),BidangList,0)),INDEX(checklistPesertaKemenkeu!$M$6:$M$1005,SMALL(IF(checklistPesertaKemenkeu!$AY$6:$AY$1005="Direkomendasikan",ROW($6:$1005)-5),895)))&gt;0,COUNTIF(INDIRECT("'KERTAS KERJA'!K"&amp;(SMALL(IF(checklistPesertaKemenkeu!$AY$6:$AY$1005="Direkomendasikan",ROW($6:$1005)-5),895)+5)&amp;":O"&amp;(SMALL(IF(checklistPesertaKemenkeu!$AY$6:$AY$1005="Direkomendasikan",ROW($6:$1005)-5),895)+5)),INDEX(checklistPesertaKemenkeu!$M$6:$M$1005,SMALL(IF(checklistPesertaKemenkeu!$AY$6:$AY$1005="Direkomendasikan",ROW($6:$1005)-5),895)))=1),IFERROR(VLOOKUP(INDEX(checklistPesertaKemenkeu!$M$6:$M$1005,SMALL(IF(checklistPesertaKemenkeu!$AY$6:$AY$1005="Direkomendasikan",ROW($6:$1005)-5),895)),KotaKode,2,0),"-"),"")),"")</f>
        <v/>
      </c>
      <c r="J896" t="str">
        <f t="array" aca="1" ref="J896" ca="1">IFERROR(IF(OR(INDEX(checklistPesertaKemenkeu!$N$6:$N$1005,SMALL(IF(checklistPesertaKemenkeu!$AY$6:$AY$1005="Direkomendasikan",ROW($6:$1005)-5),895))="",INDEX(checklistPesertaKemenkeu!$J$6:$J$1005,SMALL(IF(checklistPesertaKemenkeu!$AY$6:$AY$1005="Direkomendasikan",ROW($6:$1005)-5),895))=""),"",IF(AND(COUNTIF(INDIRECT("K_"&amp;MATCH(INDEX(checklistPesertaKemenkeu!$J$6:$J$1005,SMALL(IF(checklistPesertaKemenkeu!$AY$6:$AY$1005="Direkomendasikan",ROW($6:$1005)-5),895)),BidangList,0)),INDEX(checklistPesertaKemenkeu!$N$6:$N$1005,SMALL(IF(checklistPesertaKemenkeu!$AY$6:$AY$1005="Direkomendasikan",ROW($6:$1005)-5),895)))&gt;0,COUNTIF(INDIRECT("'KERTAS KERJA'!K"&amp;(SMALL(IF(checklistPesertaKemenkeu!$AY$6:$AY$1005="Direkomendasikan",ROW($6:$1005)-5),895)+5)&amp;":O"&amp;(SMALL(IF(checklistPesertaKemenkeu!$AY$6:$AY$1005="Direkomendasikan",ROW($6:$1005)-5),895)+5)),INDEX(checklistPesertaKemenkeu!$N$6:$N$1005,SMALL(IF(checklistPesertaKemenkeu!$AY$6:$AY$1005="Direkomendasikan",ROW($6:$1005)-5),895)))=1),IFERROR(VLOOKUP(INDEX(checklistPesertaKemenkeu!$N$6:$N$1005,SMALL(IF(checklistPesertaKemenkeu!$AY$6:$AY$1005="Direkomendasikan",ROW($6:$1005)-5),895)),KotaKode,2,0),"-"),"")),"")</f>
        <v/>
      </c>
      <c r="K896" t="str">
        <f t="array" aca="1" ref="K896" ca="1">IFERROR(IF(OR(INDEX(checklistPesertaKemenkeu!$O$6:$O$1005,SMALL(IF(checklistPesertaKemenkeu!$AY$6:$AY$1005="Direkomendasikan",ROW($6:$1005)-5),895))="",INDEX(checklistPesertaKemenkeu!$J$6:$J$1005,SMALL(IF(checklistPesertaKemenkeu!$AY$6:$AY$1005="Direkomendasikan",ROW($6:$1005)-5),895))=""),"",IF(AND(COUNTIF(INDIRECT("K_"&amp;MATCH(INDEX(checklistPesertaKemenkeu!$J$6:$J$1005,SMALL(IF(checklistPesertaKemenkeu!$AY$6:$AY$1005="Direkomendasikan",ROW($6:$1005)-5),895)),BidangList,0)),INDEX(checklistPesertaKemenkeu!$O$6:$O$1005,SMALL(IF(checklistPesertaKemenkeu!$AY$6:$AY$1005="Direkomendasikan",ROW($6:$1005)-5),895)))&gt;0,COUNTIF(INDIRECT("'KERTAS KERJA'!K"&amp;(SMALL(IF(checklistPesertaKemenkeu!$AY$6:$AY$1005="Direkomendasikan",ROW($6:$1005)-5),895)+5)&amp;":O"&amp;(SMALL(IF(checklistPesertaKemenkeu!$AY$6:$AY$1005="Direkomendasikan",ROW($6:$1005)-5),895)+5)),INDEX(checklistPesertaKemenkeu!$O$6:$O$1005,SMALL(IF(checklistPesertaKemenkeu!$AY$6:$AY$1005="Direkomendasikan",ROW($6:$1005)-5),895)))=1),IFERROR(VLOOKUP(INDEX(checklistPesertaKemenkeu!$O$6:$O$1005,SMALL(IF(checklistPesertaKemenkeu!$AY$6:$AY$1005="Direkomendasikan",ROW($6:$1005)-5),895)),KotaKode,2,0),"-"),"")),"")</f>
        <v/>
      </c>
      <c r="L896" t="str">
        <f t="array" aca="1" ref="L896" ca="1">IFERROR(IF(OR(INDEX(checklistPesertaKemenkeu!$P$6:$P$1005,SMALL(IF(checklistPesertaKemenkeu!$AY$6:$AY$1005="Direkomendasikan",ROW($6:$1005)-5),895))="",INDEX(checklistPesertaKemenkeu!$J$6:$J$1005,SMALL(IF(checklistPesertaKemenkeu!$AY$6:$AY$1005="Direkomendasikan",ROW($6:$1005)-5),895))=""),"",IF(AND(COUNTIF(INDIRECT("K_"&amp;MATCH(INDEX(checklistPesertaKemenkeu!$J$6:$J$1005,SMALL(IF(checklistPesertaKemenkeu!$AY$6:$AY$1005="Direkomendasikan",ROW($6:$1005)-5),895)),BidangList,0)),INDEX(checklistPesertaKemenkeu!$P$6:$P$1005,SMALL(IF(checklistPesertaKemenkeu!$AY$6:$AY$1005="Direkomendasikan",ROW($6:$1005)-5),895)))&gt;0,COUNTIF(INDIRECT("'KERTAS KERJA'!K"&amp;(SMALL(IF(checklistPesertaKemenkeu!$AY$6:$AY$1005="Direkomendasikan",ROW($6:$1005)-5),895)+5)&amp;":O"&amp;(SMALL(IF(checklistPesertaKemenkeu!$AY$6:$AY$1005="Direkomendasikan",ROW($6:$1005)-5),895)+5)),INDEX(checklistPesertaKemenkeu!$P$6:$P$1005,SMALL(IF(checklistPesertaKemenkeu!$AY$6:$AY$1005="Direkomendasikan",ROW($6:$1005)-5),895)))=1),IFERROR(VLOOKUP(INDEX(checklistPesertaKemenkeu!$P$6:$P$1005,SMALL(IF(checklistPesertaKemenkeu!$AY$6:$AY$1005="Direkomendasikan",ROW($6:$1005)-5),895)),KotaKode,2,0),"-"),"")),"")</f>
        <v/>
      </c>
    </row>
    <row r="897" spans="1:12" ht="15" customHeight="1" x14ac:dyDescent="0.2">
      <c r="A897" t="str">
        <f t="shared" si="13"/>
        <v/>
      </c>
      <c r="B897" t="str">
        <v/>
      </c>
      <c r="C897" s="40" t="str">
        <f t="array" ref="C897">IFERROR(INDEX(checklistPesertaKemenkeu!$F$6:$F$1005,SMALL(IF(checklistPesertaKemenkeu!$AY$6:$AY$1005="Direkomendasikan",ROW($6:$1005)-5),896)),"")</f>
        <v/>
      </c>
      <c r="D897" t="str">
        <f t="array" ref="D897">IFERROR(INDEX(checklistPesertaKemenkeu!$G$6:$G$1005,SMALL(IF(checklistPesertaKemenkeu!$AY$6:$AY$1005="Direkomendasikan",ROW($6:$1005)-5),896)),"")</f>
        <v/>
      </c>
      <c r="E897" t="str">
        <f t="array" ref="E897">IFERROR(INDEX(checklistPesertaKemenkeu!$H$6:$H$1005,SMALL(IF(checklistPesertaKemenkeu!$AY$6:$AY$1005="Direkomendasikan",ROW($6:$1005)-5),896)),"")</f>
        <v/>
      </c>
      <c r="F897" t="str">
        <f t="array" ref="F897">IFERROR(INDEX(checklistPesertaKemenkeu!$I$6:$I$1005,SMALL(IF(checklistPesertaKemenkeu!$AY$6:$AY$1005="Direkomendasikan",ROW($6:$1005)-5),896)),"")</f>
        <v/>
      </c>
      <c r="G897" t="str">
        <f t="array" ref="G897">IFERROR(INDEX(checklistPesertaKemenkeu!$J$6:$J$1005,SMALL(IF(checklistPesertaKemenkeu!$AY$6:$AY$1005="Direkomendasikan",ROW($6:$1005)-5),896)),"")</f>
        <v/>
      </c>
      <c r="H897" t="str">
        <f t="array" aca="1" ref="H897" ca="1">IFERROR(IF(OR(INDEX(checklistPesertaKemenkeu!$L$6:$L$1005,SMALL(IF(checklistPesertaKemenkeu!$AY$6:$AY$1005="Direkomendasikan",ROW($6:$1005)-5),896))="",INDEX(checklistPesertaKemenkeu!$J$6:$J$1005,SMALL(IF(checklistPesertaKemenkeu!$AY$6:$AY$1005="Direkomendasikan",ROW($6:$1005)-5),896))=""),"",IF(AND(COUNTIF(INDIRECT("K_"&amp;MATCH(INDEX(checklistPesertaKemenkeu!$J$6:$J$1005,SMALL(IF(checklistPesertaKemenkeu!$AY$6:$AY$1005="Direkomendasikan",ROW($6:$1005)-5),896)),BidangList,0)),INDEX(checklistPesertaKemenkeu!$L$6:$L$1005,SMALL(IF(checklistPesertaKemenkeu!$AY$6:$AY$1005="Direkomendasikan",ROW($6:$1005)-5),896)))&gt;0,COUNTIF(INDIRECT("'KERTAS KERJA'!K"&amp;(SMALL(IF(checklistPesertaKemenkeu!$AY$6:$AY$1005="Direkomendasikan",ROW($6:$1005)-5),896)+5)&amp;":O"&amp;(SMALL(IF(checklistPesertaKemenkeu!$AY$6:$AY$1005="Direkomendasikan",ROW($6:$1005)-5),896)+5)),INDEX(checklistPesertaKemenkeu!$L$6:$L$1005,SMALL(IF(checklistPesertaKemenkeu!$AY$6:$AY$1005="Direkomendasikan",ROW($6:$1005)-5),896)))=1),IFERROR(VLOOKUP(INDEX(checklistPesertaKemenkeu!$L$6:$L$1005,SMALL(IF(checklistPesertaKemenkeu!$AY$6:$AY$1005="Direkomendasikan",ROW($6:$1005)-5),896)),KotaKode,2,0),"-"),"")),"")</f>
        <v/>
      </c>
      <c r="I897" t="str">
        <f t="array" aca="1" ref="I897" ca="1">IFERROR(IF(OR(INDEX(checklistPesertaKemenkeu!$M$6:$M$1005,SMALL(IF(checklistPesertaKemenkeu!$AY$6:$AY$1005="Direkomendasikan",ROW($6:$1005)-5),896))="",INDEX(checklistPesertaKemenkeu!$J$6:$J$1005,SMALL(IF(checklistPesertaKemenkeu!$AY$6:$AY$1005="Direkomendasikan",ROW($6:$1005)-5),896))=""),"",IF(AND(COUNTIF(INDIRECT("K_"&amp;MATCH(INDEX(checklistPesertaKemenkeu!$J$6:$J$1005,SMALL(IF(checklistPesertaKemenkeu!$AY$6:$AY$1005="Direkomendasikan",ROW($6:$1005)-5),896)),BidangList,0)),INDEX(checklistPesertaKemenkeu!$M$6:$M$1005,SMALL(IF(checklistPesertaKemenkeu!$AY$6:$AY$1005="Direkomendasikan",ROW($6:$1005)-5),896)))&gt;0,COUNTIF(INDIRECT("'KERTAS KERJA'!K"&amp;(SMALL(IF(checklistPesertaKemenkeu!$AY$6:$AY$1005="Direkomendasikan",ROW($6:$1005)-5),896)+5)&amp;":O"&amp;(SMALL(IF(checklistPesertaKemenkeu!$AY$6:$AY$1005="Direkomendasikan",ROW($6:$1005)-5),896)+5)),INDEX(checklistPesertaKemenkeu!$M$6:$M$1005,SMALL(IF(checklistPesertaKemenkeu!$AY$6:$AY$1005="Direkomendasikan",ROW($6:$1005)-5),896)))=1),IFERROR(VLOOKUP(INDEX(checklistPesertaKemenkeu!$M$6:$M$1005,SMALL(IF(checklistPesertaKemenkeu!$AY$6:$AY$1005="Direkomendasikan",ROW($6:$1005)-5),896)),KotaKode,2,0),"-"),"")),"")</f>
        <v/>
      </c>
      <c r="J897" t="str">
        <f t="array" aca="1" ref="J897" ca="1">IFERROR(IF(OR(INDEX(checklistPesertaKemenkeu!$N$6:$N$1005,SMALL(IF(checklistPesertaKemenkeu!$AY$6:$AY$1005="Direkomendasikan",ROW($6:$1005)-5),896))="",INDEX(checklistPesertaKemenkeu!$J$6:$J$1005,SMALL(IF(checklistPesertaKemenkeu!$AY$6:$AY$1005="Direkomendasikan",ROW($6:$1005)-5),896))=""),"",IF(AND(COUNTIF(INDIRECT("K_"&amp;MATCH(INDEX(checklistPesertaKemenkeu!$J$6:$J$1005,SMALL(IF(checklistPesertaKemenkeu!$AY$6:$AY$1005="Direkomendasikan",ROW($6:$1005)-5),896)),BidangList,0)),INDEX(checklistPesertaKemenkeu!$N$6:$N$1005,SMALL(IF(checklistPesertaKemenkeu!$AY$6:$AY$1005="Direkomendasikan",ROW($6:$1005)-5),896)))&gt;0,COUNTIF(INDIRECT("'KERTAS KERJA'!K"&amp;(SMALL(IF(checklistPesertaKemenkeu!$AY$6:$AY$1005="Direkomendasikan",ROW($6:$1005)-5),896)+5)&amp;":O"&amp;(SMALL(IF(checklistPesertaKemenkeu!$AY$6:$AY$1005="Direkomendasikan",ROW($6:$1005)-5),896)+5)),INDEX(checklistPesertaKemenkeu!$N$6:$N$1005,SMALL(IF(checklistPesertaKemenkeu!$AY$6:$AY$1005="Direkomendasikan",ROW($6:$1005)-5),896)))=1),IFERROR(VLOOKUP(INDEX(checklistPesertaKemenkeu!$N$6:$N$1005,SMALL(IF(checklistPesertaKemenkeu!$AY$6:$AY$1005="Direkomendasikan",ROW($6:$1005)-5),896)),KotaKode,2,0),"-"),"")),"")</f>
        <v/>
      </c>
      <c r="K897" t="str">
        <f t="array" aca="1" ref="K897" ca="1">IFERROR(IF(OR(INDEX(checklistPesertaKemenkeu!$O$6:$O$1005,SMALL(IF(checklistPesertaKemenkeu!$AY$6:$AY$1005="Direkomendasikan",ROW($6:$1005)-5),896))="",INDEX(checklistPesertaKemenkeu!$J$6:$J$1005,SMALL(IF(checklistPesertaKemenkeu!$AY$6:$AY$1005="Direkomendasikan",ROW($6:$1005)-5),896))=""),"",IF(AND(COUNTIF(INDIRECT("K_"&amp;MATCH(INDEX(checklistPesertaKemenkeu!$J$6:$J$1005,SMALL(IF(checklistPesertaKemenkeu!$AY$6:$AY$1005="Direkomendasikan",ROW($6:$1005)-5),896)),BidangList,0)),INDEX(checklistPesertaKemenkeu!$O$6:$O$1005,SMALL(IF(checklistPesertaKemenkeu!$AY$6:$AY$1005="Direkomendasikan",ROW($6:$1005)-5),896)))&gt;0,COUNTIF(INDIRECT("'KERTAS KERJA'!K"&amp;(SMALL(IF(checklistPesertaKemenkeu!$AY$6:$AY$1005="Direkomendasikan",ROW($6:$1005)-5),896)+5)&amp;":O"&amp;(SMALL(IF(checklistPesertaKemenkeu!$AY$6:$AY$1005="Direkomendasikan",ROW($6:$1005)-5),896)+5)),INDEX(checklistPesertaKemenkeu!$O$6:$O$1005,SMALL(IF(checklistPesertaKemenkeu!$AY$6:$AY$1005="Direkomendasikan",ROW($6:$1005)-5),896)))=1),IFERROR(VLOOKUP(INDEX(checklistPesertaKemenkeu!$O$6:$O$1005,SMALL(IF(checklistPesertaKemenkeu!$AY$6:$AY$1005="Direkomendasikan",ROW($6:$1005)-5),896)),KotaKode,2,0),"-"),"")),"")</f>
        <v/>
      </c>
      <c r="L897" t="str">
        <f t="array" aca="1" ref="L897" ca="1">IFERROR(IF(OR(INDEX(checklistPesertaKemenkeu!$P$6:$P$1005,SMALL(IF(checklistPesertaKemenkeu!$AY$6:$AY$1005="Direkomendasikan",ROW($6:$1005)-5),896))="",INDEX(checklistPesertaKemenkeu!$J$6:$J$1005,SMALL(IF(checklistPesertaKemenkeu!$AY$6:$AY$1005="Direkomendasikan",ROW($6:$1005)-5),896))=""),"",IF(AND(COUNTIF(INDIRECT("K_"&amp;MATCH(INDEX(checklistPesertaKemenkeu!$J$6:$J$1005,SMALL(IF(checklistPesertaKemenkeu!$AY$6:$AY$1005="Direkomendasikan",ROW($6:$1005)-5),896)),BidangList,0)),INDEX(checklistPesertaKemenkeu!$P$6:$P$1005,SMALL(IF(checklistPesertaKemenkeu!$AY$6:$AY$1005="Direkomendasikan",ROW($6:$1005)-5),896)))&gt;0,COUNTIF(INDIRECT("'KERTAS KERJA'!K"&amp;(SMALL(IF(checklistPesertaKemenkeu!$AY$6:$AY$1005="Direkomendasikan",ROW($6:$1005)-5),896)+5)&amp;":O"&amp;(SMALL(IF(checklistPesertaKemenkeu!$AY$6:$AY$1005="Direkomendasikan",ROW($6:$1005)-5),896)+5)),INDEX(checklistPesertaKemenkeu!$P$6:$P$1005,SMALL(IF(checklistPesertaKemenkeu!$AY$6:$AY$1005="Direkomendasikan",ROW($6:$1005)-5),896)))=1),IFERROR(VLOOKUP(INDEX(checklistPesertaKemenkeu!$P$6:$P$1005,SMALL(IF(checklistPesertaKemenkeu!$AY$6:$AY$1005="Direkomendasikan",ROW($6:$1005)-5),896)),KotaKode,2,0),"-"),"")),"")</f>
        <v/>
      </c>
    </row>
    <row r="898" spans="1:12" ht="15" customHeight="1" x14ac:dyDescent="0.2">
      <c r="A898" t="str">
        <f t="shared" ref="A898:A961" si="14">IF(C898="","",ROW()-1)</f>
        <v/>
      </c>
      <c r="B898" t="str">
        <v/>
      </c>
      <c r="C898" s="40" t="str">
        <f t="array" ref="C898">IFERROR(INDEX(checklistPesertaKemenkeu!$F$6:$F$1005,SMALL(IF(checklistPesertaKemenkeu!$AY$6:$AY$1005="Direkomendasikan",ROW($6:$1005)-5),897)),"")</f>
        <v/>
      </c>
      <c r="D898" t="str">
        <f t="array" ref="D898">IFERROR(INDEX(checklistPesertaKemenkeu!$G$6:$G$1005,SMALL(IF(checklistPesertaKemenkeu!$AY$6:$AY$1005="Direkomendasikan",ROW($6:$1005)-5),897)),"")</f>
        <v/>
      </c>
      <c r="E898" t="str">
        <f t="array" ref="E898">IFERROR(INDEX(checklistPesertaKemenkeu!$H$6:$H$1005,SMALL(IF(checklistPesertaKemenkeu!$AY$6:$AY$1005="Direkomendasikan",ROW($6:$1005)-5),897)),"")</f>
        <v/>
      </c>
      <c r="F898" t="str">
        <f t="array" ref="F898">IFERROR(INDEX(checklistPesertaKemenkeu!$I$6:$I$1005,SMALL(IF(checklistPesertaKemenkeu!$AY$6:$AY$1005="Direkomendasikan",ROW($6:$1005)-5),897)),"")</f>
        <v/>
      </c>
      <c r="G898" t="str">
        <f t="array" ref="G898">IFERROR(INDEX(checklistPesertaKemenkeu!$J$6:$J$1005,SMALL(IF(checklistPesertaKemenkeu!$AY$6:$AY$1005="Direkomendasikan",ROW($6:$1005)-5),897)),"")</f>
        <v/>
      </c>
      <c r="H898" t="str">
        <f t="array" aca="1" ref="H898" ca="1">IFERROR(IF(OR(INDEX(checklistPesertaKemenkeu!$L$6:$L$1005,SMALL(IF(checklistPesertaKemenkeu!$AY$6:$AY$1005="Direkomendasikan",ROW($6:$1005)-5),897))="",INDEX(checklistPesertaKemenkeu!$J$6:$J$1005,SMALL(IF(checklistPesertaKemenkeu!$AY$6:$AY$1005="Direkomendasikan",ROW($6:$1005)-5),897))=""),"",IF(AND(COUNTIF(INDIRECT("K_"&amp;MATCH(INDEX(checklistPesertaKemenkeu!$J$6:$J$1005,SMALL(IF(checklistPesertaKemenkeu!$AY$6:$AY$1005="Direkomendasikan",ROW($6:$1005)-5),897)),BidangList,0)),INDEX(checklistPesertaKemenkeu!$L$6:$L$1005,SMALL(IF(checklistPesertaKemenkeu!$AY$6:$AY$1005="Direkomendasikan",ROW($6:$1005)-5),897)))&gt;0,COUNTIF(INDIRECT("'KERTAS KERJA'!K"&amp;(SMALL(IF(checklistPesertaKemenkeu!$AY$6:$AY$1005="Direkomendasikan",ROW($6:$1005)-5),897)+5)&amp;":O"&amp;(SMALL(IF(checklistPesertaKemenkeu!$AY$6:$AY$1005="Direkomendasikan",ROW($6:$1005)-5),897)+5)),INDEX(checklistPesertaKemenkeu!$L$6:$L$1005,SMALL(IF(checklistPesertaKemenkeu!$AY$6:$AY$1005="Direkomendasikan",ROW($6:$1005)-5),897)))=1),IFERROR(VLOOKUP(INDEX(checklistPesertaKemenkeu!$L$6:$L$1005,SMALL(IF(checklistPesertaKemenkeu!$AY$6:$AY$1005="Direkomendasikan",ROW($6:$1005)-5),897)),KotaKode,2,0),"-"),"")),"")</f>
        <v/>
      </c>
      <c r="I898" t="str">
        <f t="array" aca="1" ref="I898" ca="1">IFERROR(IF(OR(INDEX(checklistPesertaKemenkeu!$M$6:$M$1005,SMALL(IF(checklistPesertaKemenkeu!$AY$6:$AY$1005="Direkomendasikan",ROW($6:$1005)-5),897))="",INDEX(checklistPesertaKemenkeu!$J$6:$J$1005,SMALL(IF(checklistPesertaKemenkeu!$AY$6:$AY$1005="Direkomendasikan",ROW($6:$1005)-5),897))=""),"",IF(AND(COUNTIF(INDIRECT("K_"&amp;MATCH(INDEX(checklistPesertaKemenkeu!$J$6:$J$1005,SMALL(IF(checklistPesertaKemenkeu!$AY$6:$AY$1005="Direkomendasikan",ROW($6:$1005)-5),897)),BidangList,0)),INDEX(checklistPesertaKemenkeu!$M$6:$M$1005,SMALL(IF(checklistPesertaKemenkeu!$AY$6:$AY$1005="Direkomendasikan",ROW($6:$1005)-5),897)))&gt;0,COUNTIF(INDIRECT("'KERTAS KERJA'!K"&amp;(SMALL(IF(checklistPesertaKemenkeu!$AY$6:$AY$1005="Direkomendasikan",ROW($6:$1005)-5),897)+5)&amp;":O"&amp;(SMALL(IF(checklistPesertaKemenkeu!$AY$6:$AY$1005="Direkomendasikan",ROW($6:$1005)-5),897)+5)),INDEX(checklistPesertaKemenkeu!$M$6:$M$1005,SMALL(IF(checklistPesertaKemenkeu!$AY$6:$AY$1005="Direkomendasikan",ROW($6:$1005)-5),897)))=1),IFERROR(VLOOKUP(INDEX(checklistPesertaKemenkeu!$M$6:$M$1005,SMALL(IF(checklistPesertaKemenkeu!$AY$6:$AY$1005="Direkomendasikan",ROW($6:$1005)-5),897)),KotaKode,2,0),"-"),"")),"")</f>
        <v/>
      </c>
      <c r="J898" t="str">
        <f t="array" aca="1" ref="J898" ca="1">IFERROR(IF(OR(INDEX(checklistPesertaKemenkeu!$N$6:$N$1005,SMALL(IF(checklistPesertaKemenkeu!$AY$6:$AY$1005="Direkomendasikan",ROW($6:$1005)-5),897))="",INDEX(checklistPesertaKemenkeu!$J$6:$J$1005,SMALL(IF(checklistPesertaKemenkeu!$AY$6:$AY$1005="Direkomendasikan",ROW($6:$1005)-5),897))=""),"",IF(AND(COUNTIF(INDIRECT("K_"&amp;MATCH(INDEX(checklistPesertaKemenkeu!$J$6:$J$1005,SMALL(IF(checklistPesertaKemenkeu!$AY$6:$AY$1005="Direkomendasikan",ROW($6:$1005)-5),897)),BidangList,0)),INDEX(checklistPesertaKemenkeu!$N$6:$N$1005,SMALL(IF(checklistPesertaKemenkeu!$AY$6:$AY$1005="Direkomendasikan",ROW($6:$1005)-5),897)))&gt;0,COUNTIF(INDIRECT("'KERTAS KERJA'!K"&amp;(SMALL(IF(checklistPesertaKemenkeu!$AY$6:$AY$1005="Direkomendasikan",ROW($6:$1005)-5),897)+5)&amp;":O"&amp;(SMALL(IF(checklistPesertaKemenkeu!$AY$6:$AY$1005="Direkomendasikan",ROW($6:$1005)-5),897)+5)),INDEX(checklistPesertaKemenkeu!$N$6:$N$1005,SMALL(IF(checklistPesertaKemenkeu!$AY$6:$AY$1005="Direkomendasikan",ROW($6:$1005)-5),897)))=1),IFERROR(VLOOKUP(INDEX(checklistPesertaKemenkeu!$N$6:$N$1005,SMALL(IF(checklistPesertaKemenkeu!$AY$6:$AY$1005="Direkomendasikan",ROW($6:$1005)-5),897)),KotaKode,2,0),"-"),"")),"")</f>
        <v/>
      </c>
      <c r="K898" t="str">
        <f t="array" aca="1" ref="K898" ca="1">IFERROR(IF(OR(INDEX(checklistPesertaKemenkeu!$O$6:$O$1005,SMALL(IF(checklistPesertaKemenkeu!$AY$6:$AY$1005="Direkomendasikan",ROW($6:$1005)-5),897))="",INDEX(checklistPesertaKemenkeu!$J$6:$J$1005,SMALL(IF(checklistPesertaKemenkeu!$AY$6:$AY$1005="Direkomendasikan",ROW($6:$1005)-5),897))=""),"",IF(AND(COUNTIF(INDIRECT("K_"&amp;MATCH(INDEX(checklistPesertaKemenkeu!$J$6:$J$1005,SMALL(IF(checklistPesertaKemenkeu!$AY$6:$AY$1005="Direkomendasikan",ROW($6:$1005)-5),897)),BidangList,0)),INDEX(checklistPesertaKemenkeu!$O$6:$O$1005,SMALL(IF(checklistPesertaKemenkeu!$AY$6:$AY$1005="Direkomendasikan",ROW($6:$1005)-5),897)))&gt;0,COUNTIF(INDIRECT("'KERTAS KERJA'!K"&amp;(SMALL(IF(checklistPesertaKemenkeu!$AY$6:$AY$1005="Direkomendasikan",ROW($6:$1005)-5),897)+5)&amp;":O"&amp;(SMALL(IF(checklistPesertaKemenkeu!$AY$6:$AY$1005="Direkomendasikan",ROW($6:$1005)-5),897)+5)),INDEX(checklistPesertaKemenkeu!$O$6:$O$1005,SMALL(IF(checklistPesertaKemenkeu!$AY$6:$AY$1005="Direkomendasikan",ROW($6:$1005)-5),897)))=1),IFERROR(VLOOKUP(INDEX(checklistPesertaKemenkeu!$O$6:$O$1005,SMALL(IF(checklistPesertaKemenkeu!$AY$6:$AY$1005="Direkomendasikan",ROW($6:$1005)-5),897)),KotaKode,2,0),"-"),"")),"")</f>
        <v/>
      </c>
      <c r="L898" t="str">
        <f t="array" aca="1" ref="L898" ca="1">IFERROR(IF(OR(INDEX(checklistPesertaKemenkeu!$P$6:$P$1005,SMALL(IF(checklistPesertaKemenkeu!$AY$6:$AY$1005="Direkomendasikan",ROW($6:$1005)-5),897))="",INDEX(checklistPesertaKemenkeu!$J$6:$J$1005,SMALL(IF(checklistPesertaKemenkeu!$AY$6:$AY$1005="Direkomendasikan",ROW($6:$1005)-5),897))=""),"",IF(AND(COUNTIF(INDIRECT("K_"&amp;MATCH(INDEX(checklistPesertaKemenkeu!$J$6:$J$1005,SMALL(IF(checklistPesertaKemenkeu!$AY$6:$AY$1005="Direkomendasikan",ROW($6:$1005)-5),897)),BidangList,0)),INDEX(checklistPesertaKemenkeu!$P$6:$P$1005,SMALL(IF(checklistPesertaKemenkeu!$AY$6:$AY$1005="Direkomendasikan",ROW($6:$1005)-5),897)))&gt;0,COUNTIF(INDIRECT("'KERTAS KERJA'!K"&amp;(SMALL(IF(checklistPesertaKemenkeu!$AY$6:$AY$1005="Direkomendasikan",ROW($6:$1005)-5),897)+5)&amp;":O"&amp;(SMALL(IF(checklistPesertaKemenkeu!$AY$6:$AY$1005="Direkomendasikan",ROW($6:$1005)-5),897)+5)),INDEX(checklistPesertaKemenkeu!$P$6:$P$1005,SMALL(IF(checklistPesertaKemenkeu!$AY$6:$AY$1005="Direkomendasikan",ROW($6:$1005)-5),897)))=1),IFERROR(VLOOKUP(INDEX(checklistPesertaKemenkeu!$P$6:$P$1005,SMALL(IF(checklistPesertaKemenkeu!$AY$6:$AY$1005="Direkomendasikan",ROW($6:$1005)-5),897)),KotaKode,2,0),"-"),"")),"")</f>
        <v/>
      </c>
    </row>
    <row r="899" spans="1:12" ht="15" customHeight="1" x14ac:dyDescent="0.2">
      <c r="A899" t="str">
        <f t="shared" si="14"/>
        <v/>
      </c>
      <c r="B899" t="str">
        <v/>
      </c>
      <c r="C899" s="40" t="str">
        <f t="array" ref="C899">IFERROR(INDEX(checklistPesertaKemenkeu!$F$6:$F$1005,SMALL(IF(checklistPesertaKemenkeu!$AY$6:$AY$1005="Direkomendasikan",ROW($6:$1005)-5),898)),"")</f>
        <v/>
      </c>
      <c r="D899" t="str">
        <f t="array" ref="D899">IFERROR(INDEX(checklistPesertaKemenkeu!$G$6:$G$1005,SMALL(IF(checklistPesertaKemenkeu!$AY$6:$AY$1005="Direkomendasikan",ROW($6:$1005)-5),898)),"")</f>
        <v/>
      </c>
      <c r="E899" t="str">
        <f t="array" ref="E899">IFERROR(INDEX(checklistPesertaKemenkeu!$H$6:$H$1005,SMALL(IF(checklistPesertaKemenkeu!$AY$6:$AY$1005="Direkomendasikan",ROW($6:$1005)-5),898)),"")</f>
        <v/>
      </c>
      <c r="F899" t="str">
        <f t="array" ref="F899">IFERROR(INDEX(checklistPesertaKemenkeu!$I$6:$I$1005,SMALL(IF(checklistPesertaKemenkeu!$AY$6:$AY$1005="Direkomendasikan",ROW($6:$1005)-5),898)),"")</f>
        <v/>
      </c>
      <c r="G899" t="str">
        <f t="array" ref="G899">IFERROR(INDEX(checklistPesertaKemenkeu!$J$6:$J$1005,SMALL(IF(checklistPesertaKemenkeu!$AY$6:$AY$1005="Direkomendasikan",ROW($6:$1005)-5),898)),"")</f>
        <v/>
      </c>
      <c r="H899" t="str">
        <f t="array" aca="1" ref="H899" ca="1">IFERROR(IF(OR(INDEX(checklistPesertaKemenkeu!$L$6:$L$1005,SMALL(IF(checklistPesertaKemenkeu!$AY$6:$AY$1005="Direkomendasikan",ROW($6:$1005)-5),898))="",INDEX(checklistPesertaKemenkeu!$J$6:$J$1005,SMALL(IF(checklistPesertaKemenkeu!$AY$6:$AY$1005="Direkomendasikan",ROW($6:$1005)-5),898))=""),"",IF(AND(COUNTIF(INDIRECT("K_"&amp;MATCH(INDEX(checklistPesertaKemenkeu!$J$6:$J$1005,SMALL(IF(checklistPesertaKemenkeu!$AY$6:$AY$1005="Direkomendasikan",ROW($6:$1005)-5),898)),BidangList,0)),INDEX(checklistPesertaKemenkeu!$L$6:$L$1005,SMALL(IF(checklistPesertaKemenkeu!$AY$6:$AY$1005="Direkomendasikan",ROW($6:$1005)-5),898)))&gt;0,COUNTIF(INDIRECT("'KERTAS KERJA'!K"&amp;(SMALL(IF(checklistPesertaKemenkeu!$AY$6:$AY$1005="Direkomendasikan",ROW($6:$1005)-5),898)+5)&amp;":O"&amp;(SMALL(IF(checklistPesertaKemenkeu!$AY$6:$AY$1005="Direkomendasikan",ROW($6:$1005)-5),898)+5)),INDEX(checklistPesertaKemenkeu!$L$6:$L$1005,SMALL(IF(checklistPesertaKemenkeu!$AY$6:$AY$1005="Direkomendasikan",ROW($6:$1005)-5),898)))=1),IFERROR(VLOOKUP(INDEX(checklistPesertaKemenkeu!$L$6:$L$1005,SMALL(IF(checklistPesertaKemenkeu!$AY$6:$AY$1005="Direkomendasikan",ROW($6:$1005)-5),898)),KotaKode,2,0),"-"),"")),"")</f>
        <v/>
      </c>
      <c r="I899" t="str">
        <f t="array" aca="1" ref="I899" ca="1">IFERROR(IF(OR(INDEX(checklistPesertaKemenkeu!$M$6:$M$1005,SMALL(IF(checklistPesertaKemenkeu!$AY$6:$AY$1005="Direkomendasikan",ROW($6:$1005)-5),898))="",INDEX(checklistPesertaKemenkeu!$J$6:$J$1005,SMALL(IF(checklistPesertaKemenkeu!$AY$6:$AY$1005="Direkomendasikan",ROW($6:$1005)-5),898))=""),"",IF(AND(COUNTIF(INDIRECT("K_"&amp;MATCH(INDEX(checklistPesertaKemenkeu!$J$6:$J$1005,SMALL(IF(checklistPesertaKemenkeu!$AY$6:$AY$1005="Direkomendasikan",ROW($6:$1005)-5),898)),BidangList,0)),INDEX(checklistPesertaKemenkeu!$M$6:$M$1005,SMALL(IF(checklistPesertaKemenkeu!$AY$6:$AY$1005="Direkomendasikan",ROW($6:$1005)-5),898)))&gt;0,COUNTIF(INDIRECT("'KERTAS KERJA'!K"&amp;(SMALL(IF(checklistPesertaKemenkeu!$AY$6:$AY$1005="Direkomendasikan",ROW($6:$1005)-5),898)+5)&amp;":O"&amp;(SMALL(IF(checklistPesertaKemenkeu!$AY$6:$AY$1005="Direkomendasikan",ROW($6:$1005)-5),898)+5)),INDEX(checklistPesertaKemenkeu!$M$6:$M$1005,SMALL(IF(checklistPesertaKemenkeu!$AY$6:$AY$1005="Direkomendasikan",ROW($6:$1005)-5),898)))=1),IFERROR(VLOOKUP(INDEX(checklistPesertaKemenkeu!$M$6:$M$1005,SMALL(IF(checklistPesertaKemenkeu!$AY$6:$AY$1005="Direkomendasikan",ROW($6:$1005)-5),898)),KotaKode,2,0),"-"),"")),"")</f>
        <v/>
      </c>
      <c r="J899" t="str">
        <f t="array" aca="1" ref="J899" ca="1">IFERROR(IF(OR(INDEX(checklistPesertaKemenkeu!$N$6:$N$1005,SMALL(IF(checklistPesertaKemenkeu!$AY$6:$AY$1005="Direkomendasikan",ROW($6:$1005)-5),898))="",INDEX(checklistPesertaKemenkeu!$J$6:$J$1005,SMALL(IF(checklistPesertaKemenkeu!$AY$6:$AY$1005="Direkomendasikan",ROW($6:$1005)-5),898))=""),"",IF(AND(COUNTIF(INDIRECT("K_"&amp;MATCH(INDEX(checklistPesertaKemenkeu!$J$6:$J$1005,SMALL(IF(checklistPesertaKemenkeu!$AY$6:$AY$1005="Direkomendasikan",ROW($6:$1005)-5),898)),BidangList,0)),INDEX(checklistPesertaKemenkeu!$N$6:$N$1005,SMALL(IF(checklistPesertaKemenkeu!$AY$6:$AY$1005="Direkomendasikan",ROW($6:$1005)-5),898)))&gt;0,COUNTIF(INDIRECT("'KERTAS KERJA'!K"&amp;(SMALL(IF(checklistPesertaKemenkeu!$AY$6:$AY$1005="Direkomendasikan",ROW($6:$1005)-5),898)+5)&amp;":O"&amp;(SMALL(IF(checklistPesertaKemenkeu!$AY$6:$AY$1005="Direkomendasikan",ROW($6:$1005)-5),898)+5)),INDEX(checklistPesertaKemenkeu!$N$6:$N$1005,SMALL(IF(checklistPesertaKemenkeu!$AY$6:$AY$1005="Direkomendasikan",ROW($6:$1005)-5),898)))=1),IFERROR(VLOOKUP(INDEX(checklistPesertaKemenkeu!$N$6:$N$1005,SMALL(IF(checklistPesertaKemenkeu!$AY$6:$AY$1005="Direkomendasikan",ROW($6:$1005)-5),898)),KotaKode,2,0),"-"),"")),"")</f>
        <v/>
      </c>
      <c r="K899" t="str">
        <f t="array" aca="1" ref="K899" ca="1">IFERROR(IF(OR(INDEX(checklistPesertaKemenkeu!$O$6:$O$1005,SMALL(IF(checklistPesertaKemenkeu!$AY$6:$AY$1005="Direkomendasikan",ROW($6:$1005)-5),898))="",INDEX(checklistPesertaKemenkeu!$J$6:$J$1005,SMALL(IF(checklistPesertaKemenkeu!$AY$6:$AY$1005="Direkomendasikan",ROW($6:$1005)-5),898))=""),"",IF(AND(COUNTIF(INDIRECT("K_"&amp;MATCH(INDEX(checklistPesertaKemenkeu!$J$6:$J$1005,SMALL(IF(checklistPesertaKemenkeu!$AY$6:$AY$1005="Direkomendasikan",ROW($6:$1005)-5),898)),BidangList,0)),INDEX(checklistPesertaKemenkeu!$O$6:$O$1005,SMALL(IF(checklistPesertaKemenkeu!$AY$6:$AY$1005="Direkomendasikan",ROW($6:$1005)-5),898)))&gt;0,COUNTIF(INDIRECT("'KERTAS KERJA'!K"&amp;(SMALL(IF(checklistPesertaKemenkeu!$AY$6:$AY$1005="Direkomendasikan",ROW($6:$1005)-5),898)+5)&amp;":O"&amp;(SMALL(IF(checklistPesertaKemenkeu!$AY$6:$AY$1005="Direkomendasikan",ROW($6:$1005)-5),898)+5)),INDEX(checklistPesertaKemenkeu!$O$6:$O$1005,SMALL(IF(checklistPesertaKemenkeu!$AY$6:$AY$1005="Direkomendasikan",ROW($6:$1005)-5),898)))=1),IFERROR(VLOOKUP(INDEX(checklistPesertaKemenkeu!$O$6:$O$1005,SMALL(IF(checklistPesertaKemenkeu!$AY$6:$AY$1005="Direkomendasikan",ROW($6:$1005)-5),898)),KotaKode,2,0),"-"),"")),"")</f>
        <v/>
      </c>
      <c r="L899" t="str">
        <f t="array" aca="1" ref="L899" ca="1">IFERROR(IF(OR(INDEX(checklistPesertaKemenkeu!$P$6:$P$1005,SMALL(IF(checklistPesertaKemenkeu!$AY$6:$AY$1005="Direkomendasikan",ROW($6:$1005)-5),898))="",INDEX(checklistPesertaKemenkeu!$J$6:$J$1005,SMALL(IF(checklistPesertaKemenkeu!$AY$6:$AY$1005="Direkomendasikan",ROW($6:$1005)-5),898))=""),"",IF(AND(COUNTIF(INDIRECT("K_"&amp;MATCH(INDEX(checklistPesertaKemenkeu!$J$6:$J$1005,SMALL(IF(checklistPesertaKemenkeu!$AY$6:$AY$1005="Direkomendasikan",ROW($6:$1005)-5),898)),BidangList,0)),INDEX(checklistPesertaKemenkeu!$P$6:$P$1005,SMALL(IF(checklistPesertaKemenkeu!$AY$6:$AY$1005="Direkomendasikan",ROW($6:$1005)-5),898)))&gt;0,COUNTIF(INDIRECT("'KERTAS KERJA'!K"&amp;(SMALL(IF(checklistPesertaKemenkeu!$AY$6:$AY$1005="Direkomendasikan",ROW($6:$1005)-5),898)+5)&amp;":O"&amp;(SMALL(IF(checklistPesertaKemenkeu!$AY$6:$AY$1005="Direkomendasikan",ROW($6:$1005)-5),898)+5)),INDEX(checklistPesertaKemenkeu!$P$6:$P$1005,SMALL(IF(checklistPesertaKemenkeu!$AY$6:$AY$1005="Direkomendasikan",ROW($6:$1005)-5),898)))=1),IFERROR(VLOOKUP(INDEX(checklistPesertaKemenkeu!$P$6:$P$1005,SMALL(IF(checklistPesertaKemenkeu!$AY$6:$AY$1005="Direkomendasikan",ROW($6:$1005)-5),898)),KotaKode,2,0),"-"),"")),"")</f>
        <v/>
      </c>
    </row>
    <row r="900" spans="1:12" ht="15" customHeight="1" x14ac:dyDescent="0.2">
      <c r="A900" t="str">
        <f t="shared" si="14"/>
        <v/>
      </c>
      <c r="B900" t="str">
        <v/>
      </c>
      <c r="C900" s="40" t="str">
        <f t="array" ref="C900">IFERROR(INDEX(checklistPesertaKemenkeu!$F$6:$F$1005,SMALL(IF(checklistPesertaKemenkeu!$AY$6:$AY$1005="Direkomendasikan",ROW($6:$1005)-5),899)),"")</f>
        <v/>
      </c>
      <c r="D900" t="str">
        <f t="array" ref="D900">IFERROR(INDEX(checklistPesertaKemenkeu!$G$6:$G$1005,SMALL(IF(checklistPesertaKemenkeu!$AY$6:$AY$1005="Direkomendasikan",ROW($6:$1005)-5),899)),"")</f>
        <v/>
      </c>
      <c r="E900" t="str">
        <f t="array" ref="E900">IFERROR(INDEX(checklistPesertaKemenkeu!$H$6:$H$1005,SMALL(IF(checklistPesertaKemenkeu!$AY$6:$AY$1005="Direkomendasikan",ROW($6:$1005)-5),899)),"")</f>
        <v/>
      </c>
      <c r="F900" t="str">
        <f t="array" ref="F900">IFERROR(INDEX(checklistPesertaKemenkeu!$I$6:$I$1005,SMALL(IF(checklistPesertaKemenkeu!$AY$6:$AY$1005="Direkomendasikan",ROW($6:$1005)-5),899)),"")</f>
        <v/>
      </c>
      <c r="G900" t="str">
        <f t="array" ref="G900">IFERROR(INDEX(checklistPesertaKemenkeu!$J$6:$J$1005,SMALL(IF(checklistPesertaKemenkeu!$AY$6:$AY$1005="Direkomendasikan",ROW($6:$1005)-5),899)),"")</f>
        <v/>
      </c>
      <c r="H900" t="str">
        <f t="array" aca="1" ref="H900" ca="1">IFERROR(IF(OR(INDEX(checklistPesertaKemenkeu!$L$6:$L$1005,SMALL(IF(checklistPesertaKemenkeu!$AY$6:$AY$1005="Direkomendasikan",ROW($6:$1005)-5),899))="",INDEX(checklistPesertaKemenkeu!$J$6:$J$1005,SMALL(IF(checklistPesertaKemenkeu!$AY$6:$AY$1005="Direkomendasikan",ROW($6:$1005)-5),899))=""),"",IF(AND(COUNTIF(INDIRECT("K_"&amp;MATCH(INDEX(checklistPesertaKemenkeu!$J$6:$J$1005,SMALL(IF(checklistPesertaKemenkeu!$AY$6:$AY$1005="Direkomendasikan",ROW($6:$1005)-5),899)),BidangList,0)),INDEX(checklistPesertaKemenkeu!$L$6:$L$1005,SMALL(IF(checklistPesertaKemenkeu!$AY$6:$AY$1005="Direkomendasikan",ROW($6:$1005)-5),899)))&gt;0,COUNTIF(INDIRECT("'KERTAS KERJA'!K"&amp;(SMALL(IF(checklistPesertaKemenkeu!$AY$6:$AY$1005="Direkomendasikan",ROW($6:$1005)-5),899)+5)&amp;":O"&amp;(SMALL(IF(checklistPesertaKemenkeu!$AY$6:$AY$1005="Direkomendasikan",ROW($6:$1005)-5),899)+5)),INDEX(checklistPesertaKemenkeu!$L$6:$L$1005,SMALL(IF(checklistPesertaKemenkeu!$AY$6:$AY$1005="Direkomendasikan",ROW($6:$1005)-5),899)))=1),IFERROR(VLOOKUP(INDEX(checklistPesertaKemenkeu!$L$6:$L$1005,SMALL(IF(checklistPesertaKemenkeu!$AY$6:$AY$1005="Direkomendasikan",ROW($6:$1005)-5),899)),KotaKode,2,0),"-"),"")),"")</f>
        <v/>
      </c>
      <c r="I900" t="str">
        <f t="array" aca="1" ref="I900" ca="1">IFERROR(IF(OR(INDEX(checklistPesertaKemenkeu!$M$6:$M$1005,SMALL(IF(checklistPesertaKemenkeu!$AY$6:$AY$1005="Direkomendasikan",ROW($6:$1005)-5),899))="",INDEX(checklistPesertaKemenkeu!$J$6:$J$1005,SMALL(IF(checklistPesertaKemenkeu!$AY$6:$AY$1005="Direkomendasikan",ROW($6:$1005)-5),899))=""),"",IF(AND(COUNTIF(INDIRECT("K_"&amp;MATCH(INDEX(checklistPesertaKemenkeu!$J$6:$J$1005,SMALL(IF(checklistPesertaKemenkeu!$AY$6:$AY$1005="Direkomendasikan",ROW($6:$1005)-5),899)),BidangList,0)),INDEX(checklistPesertaKemenkeu!$M$6:$M$1005,SMALL(IF(checklistPesertaKemenkeu!$AY$6:$AY$1005="Direkomendasikan",ROW($6:$1005)-5),899)))&gt;0,COUNTIF(INDIRECT("'KERTAS KERJA'!K"&amp;(SMALL(IF(checklistPesertaKemenkeu!$AY$6:$AY$1005="Direkomendasikan",ROW($6:$1005)-5),899)+5)&amp;":O"&amp;(SMALL(IF(checklistPesertaKemenkeu!$AY$6:$AY$1005="Direkomendasikan",ROW($6:$1005)-5),899)+5)),INDEX(checklistPesertaKemenkeu!$M$6:$M$1005,SMALL(IF(checklistPesertaKemenkeu!$AY$6:$AY$1005="Direkomendasikan",ROW($6:$1005)-5),899)))=1),IFERROR(VLOOKUP(INDEX(checklistPesertaKemenkeu!$M$6:$M$1005,SMALL(IF(checklistPesertaKemenkeu!$AY$6:$AY$1005="Direkomendasikan",ROW($6:$1005)-5),899)),KotaKode,2,0),"-"),"")),"")</f>
        <v/>
      </c>
      <c r="J900" t="str">
        <f t="array" aca="1" ref="J900" ca="1">IFERROR(IF(OR(INDEX(checklistPesertaKemenkeu!$N$6:$N$1005,SMALL(IF(checklistPesertaKemenkeu!$AY$6:$AY$1005="Direkomendasikan",ROW($6:$1005)-5),899))="",INDEX(checklistPesertaKemenkeu!$J$6:$J$1005,SMALL(IF(checklistPesertaKemenkeu!$AY$6:$AY$1005="Direkomendasikan",ROW($6:$1005)-5),899))=""),"",IF(AND(COUNTIF(INDIRECT("K_"&amp;MATCH(INDEX(checklistPesertaKemenkeu!$J$6:$J$1005,SMALL(IF(checklistPesertaKemenkeu!$AY$6:$AY$1005="Direkomendasikan",ROW($6:$1005)-5),899)),BidangList,0)),INDEX(checklistPesertaKemenkeu!$N$6:$N$1005,SMALL(IF(checklistPesertaKemenkeu!$AY$6:$AY$1005="Direkomendasikan",ROW($6:$1005)-5),899)))&gt;0,COUNTIF(INDIRECT("'KERTAS KERJA'!K"&amp;(SMALL(IF(checklistPesertaKemenkeu!$AY$6:$AY$1005="Direkomendasikan",ROW($6:$1005)-5),899)+5)&amp;":O"&amp;(SMALL(IF(checklistPesertaKemenkeu!$AY$6:$AY$1005="Direkomendasikan",ROW($6:$1005)-5),899)+5)),INDEX(checklistPesertaKemenkeu!$N$6:$N$1005,SMALL(IF(checklistPesertaKemenkeu!$AY$6:$AY$1005="Direkomendasikan",ROW($6:$1005)-5),899)))=1),IFERROR(VLOOKUP(INDEX(checklistPesertaKemenkeu!$N$6:$N$1005,SMALL(IF(checklistPesertaKemenkeu!$AY$6:$AY$1005="Direkomendasikan",ROW($6:$1005)-5),899)),KotaKode,2,0),"-"),"")),"")</f>
        <v/>
      </c>
      <c r="K900" t="str">
        <f t="array" aca="1" ref="K900" ca="1">IFERROR(IF(OR(INDEX(checklistPesertaKemenkeu!$O$6:$O$1005,SMALL(IF(checklistPesertaKemenkeu!$AY$6:$AY$1005="Direkomendasikan",ROW($6:$1005)-5),899))="",INDEX(checklistPesertaKemenkeu!$J$6:$J$1005,SMALL(IF(checklistPesertaKemenkeu!$AY$6:$AY$1005="Direkomendasikan",ROW($6:$1005)-5),899))=""),"",IF(AND(COUNTIF(INDIRECT("K_"&amp;MATCH(INDEX(checklistPesertaKemenkeu!$J$6:$J$1005,SMALL(IF(checklistPesertaKemenkeu!$AY$6:$AY$1005="Direkomendasikan",ROW($6:$1005)-5),899)),BidangList,0)),INDEX(checklistPesertaKemenkeu!$O$6:$O$1005,SMALL(IF(checklistPesertaKemenkeu!$AY$6:$AY$1005="Direkomendasikan",ROW($6:$1005)-5),899)))&gt;0,COUNTIF(INDIRECT("'KERTAS KERJA'!K"&amp;(SMALL(IF(checklistPesertaKemenkeu!$AY$6:$AY$1005="Direkomendasikan",ROW($6:$1005)-5),899)+5)&amp;":O"&amp;(SMALL(IF(checklistPesertaKemenkeu!$AY$6:$AY$1005="Direkomendasikan",ROW($6:$1005)-5),899)+5)),INDEX(checklistPesertaKemenkeu!$O$6:$O$1005,SMALL(IF(checklistPesertaKemenkeu!$AY$6:$AY$1005="Direkomendasikan",ROW($6:$1005)-5),899)))=1),IFERROR(VLOOKUP(INDEX(checklistPesertaKemenkeu!$O$6:$O$1005,SMALL(IF(checklistPesertaKemenkeu!$AY$6:$AY$1005="Direkomendasikan",ROW($6:$1005)-5),899)),KotaKode,2,0),"-"),"")),"")</f>
        <v/>
      </c>
      <c r="L900" t="str">
        <f t="array" aca="1" ref="L900" ca="1">IFERROR(IF(OR(INDEX(checklistPesertaKemenkeu!$P$6:$P$1005,SMALL(IF(checklistPesertaKemenkeu!$AY$6:$AY$1005="Direkomendasikan",ROW($6:$1005)-5),899))="",INDEX(checklistPesertaKemenkeu!$J$6:$J$1005,SMALL(IF(checklistPesertaKemenkeu!$AY$6:$AY$1005="Direkomendasikan",ROW($6:$1005)-5),899))=""),"",IF(AND(COUNTIF(INDIRECT("K_"&amp;MATCH(INDEX(checklistPesertaKemenkeu!$J$6:$J$1005,SMALL(IF(checklistPesertaKemenkeu!$AY$6:$AY$1005="Direkomendasikan",ROW($6:$1005)-5),899)),BidangList,0)),INDEX(checklistPesertaKemenkeu!$P$6:$P$1005,SMALL(IF(checklistPesertaKemenkeu!$AY$6:$AY$1005="Direkomendasikan",ROW($6:$1005)-5),899)))&gt;0,COUNTIF(INDIRECT("'KERTAS KERJA'!K"&amp;(SMALL(IF(checklistPesertaKemenkeu!$AY$6:$AY$1005="Direkomendasikan",ROW($6:$1005)-5),899)+5)&amp;":O"&amp;(SMALL(IF(checklistPesertaKemenkeu!$AY$6:$AY$1005="Direkomendasikan",ROW($6:$1005)-5),899)+5)),INDEX(checklistPesertaKemenkeu!$P$6:$P$1005,SMALL(IF(checklistPesertaKemenkeu!$AY$6:$AY$1005="Direkomendasikan",ROW($6:$1005)-5),899)))=1),IFERROR(VLOOKUP(INDEX(checklistPesertaKemenkeu!$P$6:$P$1005,SMALL(IF(checklistPesertaKemenkeu!$AY$6:$AY$1005="Direkomendasikan",ROW($6:$1005)-5),899)),KotaKode,2,0),"-"),"")),"")</f>
        <v/>
      </c>
    </row>
    <row r="901" spans="1:12" ht="15" customHeight="1" x14ac:dyDescent="0.2">
      <c r="A901" t="str">
        <f t="shared" si="14"/>
        <v/>
      </c>
      <c r="B901" t="str">
        <v/>
      </c>
      <c r="C901" s="40" t="str">
        <f t="array" ref="C901">IFERROR(INDEX(checklistPesertaKemenkeu!$F$6:$F$1005,SMALL(IF(checklistPesertaKemenkeu!$AY$6:$AY$1005="Direkomendasikan",ROW($6:$1005)-5),900)),"")</f>
        <v/>
      </c>
      <c r="D901" t="str">
        <f t="array" ref="D901">IFERROR(INDEX(checklistPesertaKemenkeu!$G$6:$G$1005,SMALL(IF(checklistPesertaKemenkeu!$AY$6:$AY$1005="Direkomendasikan",ROW($6:$1005)-5),900)),"")</f>
        <v/>
      </c>
      <c r="E901" t="str">
        <f t="array" ref="E901">IFERROR(INDEX(checklistPesertaKemenkeu!$H$6:$H$1005,SMALL(IF(checklistPesertaKemenkeu!$AY$6:$AY$1005="Direkomendasikan",ROW($6:$1005)-5),900)),"")</f>
        <v/>
      </c>
      <c r="F901" t="str">
        <f t="array" ref="F901">IFERROR(INDEX(checklistPesertaKemenkeu!$I$6:$I$1005,SMALL(IF(checklistPesertaKemenkeu!$AY$6:$AY$1005="Direkomendasikan",ROW($6:$1005)-5),900)),"")</f>
        <v/>
      </c>
      <c r="G901" t="str">
        <f t="array" ref="G901">IFERROR(INDEX(checklistPesertaKemenkeu!$J$6:$J$1005,SMALL(IF(checklistPesertaKemenkeu!$AY$6:$AY$1005="Direkomendasikan",ROW($6:$1005)-5),900)),"")</f>
        <v/>
      </c>
      <c r="H901" t="str">
        <f t="array" aca="1" ref="H901" ca="1">IFERROR(IF(OR(INDEX(checklistPesertaKemenkeu!$L$6:$L$1005,SMALL(IF(checklistPesertaKemenkeu!$AY$6:$AY$1005="Direkomendasikan",ROW($6:$1005)-5),900))="",INDEX(checklistPesertaKemenkeu!$J$6:$J$1005,SMALL(IF(checklistPesertaKemenkeu!$AY$6:$AY$1005="Direkomendasikan",ROW($6:$1005)-5),900))=""),"",IF(AND(COUNTIF(INDIRECT("K_"&amp;MATCH(INDEX(checklistPesertaKemenkeu!$J$6:$J$1005,SMALL(IF(checklistPesertaKemenkeu!$AY$6:$AY$1005="Direkomendasikan",ROW($6:$1005)-5),900)),BidangList,0)),INDEX(checklistPesertaKemenkeu!$L$6:$L$1005,SMALL(IF(checklistPesertaKemenkeu!$AY$6:$AY$1005="Direkomendasikan",ROW($6:$1005)-5),900)))&gt;0,COUNTIF(INDIRECT("'KERTAS KERJA'!K"&amp;(SMALL(IF(checklistPesertaKemenkeu!$AY$6:$AY$1005="Direkomendasikan",ROW($6:$1005)-5),900)+5)&amp;":O"&amp;(SMALL(IF(checklistPesertaKemenkeu!$AY$6:$AY$1005="Direkomendasikan",ROW($6:$1005)-5),900)+5)),INDEX(checklistPesertaKemenkeu!$L$6:$L$1005,SMALL(IF(checklistPesertaKemenkeu!$AY$6:$AY$1005="Direkomendasikan",ROW($6:$1005)-5),900)))=1),IFERROR(VLOOKUP(INDEX(checklistPesertaKemenkeu!$L$6:$L$1005,SMALL(IF(checklistPesertaKemenkeu!$AY$6:$AY$1005="Direkomendasikan",ROW($6:$1005)-5),900)),KotaKode,2,0),"-"),"")),"")</f>
        <v/>
      </c>
      <c r="I901" t="str">
        <f t="array" aca="1" ref="I901" ca="1">IFERROR(IF(OR(INDEX(checklistPesertaKemenkeu!$M$6:$M$1005,SMALL(IF(checklistPesertaKemenkeu!$AY$6:$AY$1005="Direkomendasikan",ROW($6:$1005)-5),900))="",INDEX(checklistPesertaKemenkeu!$J$6:$J$1005,SMALL(IF(checklistPesertaKemenkeu!$AY$6:$AY$1005="Direkomendasikan",ROW($6:$1005)-5),900))=""),"",IF(AND(COUNTIF(INDIRECT("K_"&amp;MATCH(INDEX(checklistPesertaKemenkeu!$J$6:$J$1005,SMALL(IF(checklistPesertaKemenkeu!$AY$6:$AY$1005="Direkomendasikan",ROW($6:$1005)-5),900)),BidangList,0)),INDEX(checklistPesertaKemenkeu!$M$6:$M$1005,SMALL(IF(checklistPesertaKemenkeu!$AY$6:$AY$1005="Direkomendasikan",ROW($6:$1005)-5),900)))&gt;0,COUNTIF(INDIRECT("'KERTAS KERJA'!K"&amp;(SMALL(IF(checklistPesertaKemenkeu!$AY$6:$AY$1005="Direkomendasikan",ROW($6:$1005)-5),900)+5)&amp;":O"&amp;(SMALL(IF(checklistPesertaKemenkeu!$AY$6:$AY$1005="Direkomendasikan",ROW($6:$1005)-5),900)+5)),INDEX(checklistPesertaKemenkeu!$M$6:$M$1005,SMALL(IF(checklistPesertaKemenkeu!$AY$6:$AY$1005="Direkomendasikan",ROW($6:$1005)-5),900)))=1),IFERROR(VLOOKUP(INDEX(checklistPesertaKemenkeu!$M$6:$M$1005,SMALL(IF(checklistPesertaKemenkeu!$AY$6:$AY$1005="Direkomendasikan",ROW($6:$1005)-5),900)),KotaKode,2,0),"-"),"")),"")</f>
        <v/>
      </c>
      <c r="J901" t="str">
        <f t="array" aca="1" ref="J901" ca="1">IFERROR(IF(OR(INDEX(checklistPesertaKemenkeu!$N$6:$N$1005,SMALL(IF(checklistPesertaKemenkeu!$AY$6:$AY$1005="Direkomendasikan",ROW($6:$1005)-5),900))="",INDEX(checklistPesertaKemenkeu!$J$6:$J$1005,SMALL(IF(checklistPesertaKemenkeu!$AY$6:$AY$1005="Direkomendasikan",ROW($6:$1005)-5),900))=""),"",IF(AND(COUNTIF(INDIRECT("K_"&amp;MATCH(INDEX(checklistPesertaKemenkeu!$J$6:$J$1005,SMALL(IF(checklistPesertaKemenkeu!$AY$6:$AY$1005="Direkomendasikan",ROW($6:$1005)-5),900)),BidangList,0)),INDEX(checklistPesertaKemenkeu!$N$6:$N$1005,SMALL(IF(checklistPesertaKemenkeu!$AY$6:$AY$1005="Direkomendasikan",ROW($6:$1005)-5),900)))&gt;0,COUNTIF(INDIRECT("'KERTAS KERJA'!K"&amp;(SMALL(IF(checklistPesertaKemenkeu!$AY$6:$AY$1005="Direkomendasikan",ROW($6:$1005)-5),900)+5)&amp;":O"&amp;(SMALL(IF(checklistPesertaKemenkeu!$AY$6:$AY$1005="Direkomendasikan",ROW($6:$1005)-5),900)+5)),INDEX(checklistPesertaKemenkeu!$N$6:$N$1005,SMALL(IF(checklistPesertaKemenkeu!$AY$6:$AY$1005="Direkomendasikan",ROW($6:$1005)-5),900)))=1),IFERROR(VLOOKUP(INDEX(checklistPesertaKemenkeu!$N$6:$N$1005,SMALL(IF(checklistPesertaKemenkeu!$AY$6:$AY$1005="Direkomendasikan",ROW($6:$1005)-5),900)),KotaKode,2,0),"-"),"")),"")</f>
        <v/>
      </c>
      <c r="K901" t="str">
        <f t="array" aca="1" ref="K901" ca="1">IFERROR(IF(OR(INDEX(checklistPesertaKemenkeu!$O$6:$O$1005,SMALL(IF(checklistPesertaKemenkeu!$AY$6:$AY$1005="Direkomendasikan",ROW($6:$1005)-5),900))="",INDEX(checklistPesertaKemenkeu!$J$6:$J$1005,SMALL(IF(checklistPesertaKemenkeu!$AY$6:$AY$1005="Direkomendasikan",ROW($6:$1005)-5),900))=""),"",IF(AND(COUNTIF(INDIRECT("K_"&amp;MATCH(INDEX(checklistPesertaKemenkeu!$J$6:$J$1005,SMALL(IF(checklistPesertaKemenkeu!$AY$6:$AY$1005="Direkomendasikan",ROW($6:$1005)-5),900)),BidangList,0)),INDEX(checklistPesertaKemenkeu!$O$6:$O$1005,SMALL(IF(checklistPesertaKemenkeu!$AY$6:$AY$1005="Direkomendasikan",ROW($6:$1005)-5),900)))&gt;0,COUNTIF(INDIRECT("'KERTAS KERJA'!K"&amp;(SMALL(IF(checklistPesertaKemenkeu!$AY$6:$AY$1005="Direkomendasikan",ROW($6:$1005)-5),900)+5)&amp;":O"&amp;(SMALL(IF(checklistPesertaKemenkeu!$AY$6:$AY$1005="Direkomendasikan",ROW($6:$1005)-5),900)+5)),INDEX(checklistPesertaKemenkeu!$O$6:$O$1005,SMALL(IF(checklistPesertaKemenkeu!$AY$6:$AY$1005="Direkomendasikan",ROW($6:$1005)-5),900)))=1),IFERROR(VLOOKUP(INDEX(checklistPesertaKemenkeu!$O$6:$O$1005,SMALL(IF(checklistPesertaKemenkeu!$AY$6:$AY$1005="Direkomendasikan",ROW($6:$1005)-5),900)),KotaKode,2,0),"-"),"")),"")</f>
        <v/>
      </c>
      <c r="L901" t="str">
        <f t="array" aca="1" ref="L901" ca="1">IFERROR(IF(OR(INDEX(checklistPesertaKemenkeu!$P$6:$P$1005,SMALL(IF(checklistPesertaKemenkeu!$AY$6:$AY$1005="Direkomendasikan",ROW($6:$1005)-5),900))="",INDEX(checklistPesertaKemenkeu!$J$6:$J$1005,SMALL(IF(checklistPesertaKemenkeu!$AY$6:$AY$1005="Direkomendasikan",ROW($6:$1005)-5),900))=""),"",IF(AND(COUNTIF(INDIRECT("K_"&amp;MATCH(INDEX(checklistPesertaKemenkeu!$J$6:$J$1005,SMALL(IF(checklistPesertaKemenkeu!$AY$6:$AY$1005="Direkomendasikan",ROW($6:$1005)-5),900)),BidangList,0)),INDEX(checklistPesertaKemenkeu!$P$6:$P$1005,SMALL(IF(checklistPesertaKemenkeu!$AY$6:$AY$1005="Direkomendasikan",ROW($6:$1005)-5),900)))&gt;0,COUNTIF(INDIRECT("'KERTAS KERJA'!K"&amp;(SMALL(IF(checklistPesertaKemenkeu!$AY$6:$AY$1005="Direkomendasikan",ROW($6:$1005)-5),900)+5)&amp;":O"&amp;(SMALL(IF(checklistPesertaKemenkeu!$AY$6:$AY$1005="Direkomendasikan",ROW($6:$1005)-5),900)+5)),INDEX(checklistPesertaKemenkeu!$P$6:$P$1005,SMALL(IF(checklistPesertaKemenkeu!$AY$6:$AY$1005="Direkomendasikan",ROW($6:$1005)-5),900)))=1),IFERROR(VLOOKUP(INDEX(checklistPesertaKemenkeu!$P$6:$P$1005,SMALL(IF(checklistPesertaKemenkeu!$AY$6:$AY$1005="Direkomendasikan",ROW($6:$1005)-5),900)),KotaKode,2,0),"-"),"")),"")</f>
        <v/>
      </c>
    </row>
    <row r="902" spans="1:12" ht="15" customHeight="1" x14ac:dyDescent="0.2">
      <c r="A902" t="str">
        <f t="shared" si="14"/>
        <v/>
      </c>
      <c r="B902" t="str">
        <v/>
      </c>
      <c r="C902" s="40" t="str">
        <f t="array" ref="C902">IFERROR(INDEX(checklistPesertaKemenkeu!$F$6:$F$1005,SMALL(IF(checklistPesertaKemenkeu!$AY$6:$AY$1005="Direkomendasikan",ROW($6:$1005)-5),901)),"")</f>
        <v/>
      </c>
      <c r="D902" t="str">
        <f t="array" ref="D902">IFERROR(INDEX(checklistPesertaKemenkeu!$G$6:$G$1005,SMALL(IF(checklistPesertaKemenkeu!$AY$6:$AY$1005="Direkomendasikan",ROW($6:$1005)-5),901)),"")</f>
        <v/>
      </c>
      <c r="E902" t="str">
        <f t="array" ref="E902">IFERROR(INDEX(checklistPesertaKemenkeu!$H$6:$H$1005,SMALL(IF(checklistPesertaKemenkeu!$AY$6:$AY$1005="Direkomendasikan",ROW($6:$1005)-5),901)),"")</f>
        <v/>
      </c>
      <c r="F902" t="str">
        <f t="array" ref="F902">IFERROR(INDEX(checklistPesertaKemenkeu!$I$6:$I$1005,SMALL(IF(checklistPesertaKemenkeu!$AY$6:$AY$1005="Direkomendasikan",ROW($6:$1005)-5),901)),"")</f>
        <v/>
      </c>
      <c r="G902" t="str">
        <f t="array" ref="G902">IFERROR(INDEX(checklistPesertaKemenkeu!$J$6:$J$1005,SMALL(IF(checklistPesertaKemenkeu!$AY$6:$AY$1005="Direkomendasikan",ROW($6:$1005)-5),901)),"")</f>
        <v/>
      </c>
      <c r="H902" t="str">
        <f t="array" aca="1" ref="H902" ca="1">IFERROR(IF(OR(INDEX(checklistPesertaKemenkeu!$L$6:$L$1005,SMALL(IF(checklistPesertaKemenkeu!$AY$6:$AY$1005="Direkomendasikan",ROW($6:$1005)-5),901))="",INDEX(checklistPesertaKemenkeu!$J$6:$J$1005,SMALL(IF(checklistPesertaKemenkeu!$AY$6:$AY$1005="Direkomendasikan",ROW($6:$1005)-5),901))=""),"",IF(AND(COUNTIF(INDIRECT("K_"&amp;MATCH(INDEX(checklistPesertaKemenkeu!$J$6:$J$1005,SMALL(IF(checklistPesertaKemenkeu!$AY$6:$AY$1005="Direkomendasikan",ROW($6:$1005)-5),901)),BidangList,0)),INDEX(checklistPesertaKemenkeu!$L$6:$L$1005,SMALL(IF(checklistPesertaKemenkeu!$AY$6:$AY$1005="Direkomendasikan",ROW($6:$1005)-5),901)))&gt;0,COUNTIF(INDIRECT("'KERTAS KERJA'!K"&amp;(SMALL(IF(checklistPesertaKemenkeu!$AY$6:$AY$1005="Direkomendasikan",ROW($6:$1005)-5),901)+5)&amp;":O"&amp;(SMALL(IF(checklistPesertaKemenkeu!$AY$6:$AY$1005="Direkomendasikan",ROW($6:$1005)-5),901)+5)),INDEX(checklistPesertaKemenkeu!$L$6:$L$1005,SMALL(IF(checklistPesertaKemenkeu!$AY$6:$AY$1005="Direkomendasikan",ROW($6:$1005)-5),901)))=1),IFERROR(VLOOKUP(INDEX(checklistPesertaKemenkeu!$L$6:$L$1005,SMALL(IF(checklistPesertaKemenkeu!$AY$6:$AY$1005="Direkomendasikan",ROW($6:$1005)-5),901)),KotaKode,2,0),"-"),"")),"")</f>
        <v/>
      </c>
      <c r="I902" t="str">
        <f t="array" aca="1" ref="I902" ca="1">IFERROR(IF(OR(INDEX(checklistPesertaKemenkeu!$M$6:$M$1005,SMALL(IF(checklistPesertaKemenkeu!$AY$6:$AY$1005="Direkomendasikan",ROW($6:$1005)-5),901))="",INDEX(checklistPesertaKemenkeu!$J$6:$J$1005,SMALL(IF(checklistPesertaKemenkeu!$AY$6:$AY$1005="Direkomendasikan",ROW($6:$1005)-5),901))=""),"",IF(AND(COUNTIF(INDIRECT("K_"&amp;MATCH(INDEX(checklistPesertaKemenkeu!$J$6:$J$1005,SMALL(IF(checklistPesertaKemenkeu!$AY$6:$AY$1005="Direkomendasikan",ROW($6:$1005)-5),901)),BidangList,0)),INDEX(checklistPesertaKemenkeu!$M$6:$M$1005,SMALL(IF(checklistPesertaKemenkeu!$AY$6:$AY$1005="Direkomendasikan",ROW($6:$1005)-5),901)))&gt;0,COUNTIF(INDIRECT("'KERTAS KERJA'!K"&amp;(SMALL(IF(checklistPesertaKemenkeu!$AY$6:$AY$1005="Direkomendasikan",ROW($6:$1005)-5),901)+5)&amp;":O"&amp;(SMALL(IF(checklistPesertaKemenkeu!$AY$6:$AY$1005="Direkomendasikan",ROW($6:$1005)-5),901)+5)),INDEX(checklistPesertaKemenkeu!$M$6:$M$1005,SMALL(IF(checklistPesertaKemenkeu!$AY$6:$AY$1005="Direkomendasikan",ROW($6:$1005)-5),901)))=1),IFERROR(VLOOKUP(INDEX(checklistPesertaKemenkeu!$M$6:$M$1005,SMALL(IF(checklistPesertaKemenkeu!$AY$6:$AY$1005="Direkomendasikan",ROW($6:$1005)-5),901)),KotaKode,2,0),"-"),"")),"")</f>
        <v/>
      </c>
      <c r="J902" t="str">
        <f t="array" aca="1" ref="J902" ca="1">IFERROR(IF(OR(INDEX(checklistPesertaKemenkeu!$N$6:$N$1005,SMALL(IF(checklistPesertaKemenkeu!$AY$6:$AY$1005="Direkomendasikan",ROW($6:$1005)-5),901))="",INDEX(checklistPesertaKemenkeu!$J$6:$J$1005,SMALL(IF(checklistPesertaKemenkeu!$AY$6:$AY$1005="Direkomendasikan",ROW($6:$1005)-5),901))=""),"",IF(AND(COUNTIF(INDIRECT("K_"&amp;MATCH(INDEX(checklistPesertaKemenkeu!$J$6:$J$1005,SMALL(IF(checklistPesertaKemenkeu!$AY$6:$AY$1005="Direkomendasikan",ROW($6:$1005)-5),901)),BidangList,0)),INDEX(checklistPesertaKemenkeu!$N$6:$N$1005,SMALL(IF(checklistPesertaKemenkeu!$AY$6:$AY$1005="Direkomendasikan",ROW($6:$1005)-5),901)))&gt;0,COUNTIF(INDIRECT("'KERTAS KERJA'!K"&amp;(SMALL(IF(checklistPesertaKemenkeu!$AY$6:$AY$1005="Direkomendasikan",ROW($6:$1005)-5),901)+5)&amp;":O"&amp;(SMALL(IF(checklistPesertaKemenkeu!$AY$6:$AY$1005="Direkomendasikan",ROW($6:$1005)-5),901)+5)),INDEX(checklistPesertaKemenkeu!$N$6:$N$1005,SMALL(IF(checklistPesertaKemenkeu!$AY$6:$AY$1005="Direkomendasikan",ROW($6:$1005)-5),901)))=1),IFERROR(VLOOKUP(INDEX(checklistPesertaKemenkeu!$N$6:$N$1005,SMALL(IF(checklistPesertaKemenkeu!$AY$6:$AY$1005="Direkomendasikan",ROW($6:$1005)-5),901)),KotaKode,2,0),"-"),"")),"")</f>
        <v/>
      </c>
      <c r="K902" t="str">
        <f t="array" aca="1" ref="K902" ca="1">IFERROR(IF(OR(INDEX(checklistPesertaKemenkeu!$O$6:$O$1005,SMALL(IF(checklistPesertaKemenkeu!$AY$6:$AY$1005="Direkomendasikan",ROW($6:$1005)-5),901))="",INDEX(checklistPesertaKemenkeu!$J$6:$J$1005,SMALL(IF(checklistPesertaKemenkeu!$AY$6:$AY$1005="Direkomendasikan",ROW($6:$1005)-5),901))=""),"",IF(AND(COUNTIF(INDIRECT("K_"&amp;MATCH(INDEX(checklistPesertaKemenkeu!$J$6:$J$1005,SMALL(IF(checklistPesertaKemenkeu!$AY$6:$AY$1005="Direkomendasikan",ROW($6:$1005)-5),901)),BidangList,0)),INDEX(checklistPesertaKemenkeu!$O$6:$O$1005,SMALL(IF(checklistPesertaKemenkeu!$AY$6:$AY$1005="Direkomendasikan",ROW($6:$1005)-5),901)))&gt;0,COUNTIF(INDIRECT("'KERTAS KERJA'!K"&amp;(SMALL(IF(checklistPesertaKemenkeu!$AY$6:$AY$1005="Direkomendasikan",ROW($6:$1005)-5),901)+5)&amp;":O"&amp;(SMALL(IF(checklistPesertaKemenkeu!$AY$6:$AY$1005="Direkomendasikan",ROW($6:$1005)-5),901)+5)),INDEX(checklistPesertaKemenkeu!$O$6:$O$1005,SMALL(IF(checklistPesertaKemenkeu!$AY$6:$AY$1005="Direkomendasikan",ROW($6:$1005)-5),901)))=1),IFERROR(VLOOKUP(INDEX(checklistPesertaKemenkeu!$O$6:$O$1005,SMALL(IF(checklistPesertaKemenkeu!$AY$6:$AY$1005="Direkomendasikan",ROW($6:$1005)-5),901)),KotaKode,2,0),"-"),"")),"")</f>
        <v/>
      </c>
      <c r="L902" t="str">
        <f t="array" aca="1" ref="L902" ca="1">IFERROR(IF(OR(INDEX(checklistPesertaKemenkeu!$P$6:$P$1005,SMALL(IF(checklistPesertaKemenkeu!$AY$6:$AY$1005="Direkomendasikan",ROW($6:$1005)-5),901))="",INDEX(checklistPesertaKemenkeu!$J$6:$J$1005,SMALL(IF(checklistPesertaKemenkeu!$AY$6:$AY$1005="Direkomendasikan",ROW($6:$1005)-5),901))=""),"",IF(AND(COUNTIF(INDIRECT("K_"&amp;MATCH(INDEX(checklistPesertaKemenkeu!$J$6:$J$1005,SMALL(IF(checklistPesertaKemenkeu!$AY$6:$AY$1005="Direkomendasikan",ROW($6:$1005)-5),901)),BidangList,0)),INDEX(checklistPesertaKemenkeu!$P$6:$P$1005,SMALL(IF(checklistPesertaKemenkeu!$AY$6:$AY$1005="Direkomendasikan",ROW($6:$1005)-5),901)))&gt;0,COUNTIF(INDIRECT("'KERTAS KERJA'!K"&amp;(SMALL(IF(checklistPesertaKemenkeu!$AY$6:$AY$1005="Direkomendasikan",ROW($6:$1005)-5),901)+5)&amp;":O"&amp;(SMALL(IF(checklistPesertaKemenkeu!$AY$6:$AY$1005="Direkomendasikan",ROW($6:$1005)-5),901)+5)),INDEX(checklistPesertaKemenkeu!$P$6:$P$1005,SMALL(IF(checklistPesertaKemenkeu!$AY$6:$AY$1005="Direkomendasikan",ROW($6:$1005)-5),901)))=1),IFERROR(VLOOKUP(INDEX(checklistPesertaKemenkeu!$P$6:$P$1005,SMALL(IF(checklistPesertaKemenkeu!$AY$6:$AY$1005="Direkomendasikan",ROW($6:$1005)-5),901)),KotaKode,2,0),"-"),"")),"")</f>
        <v/>
      </c>
    </row>
    <row r="903" spans="1:12" ht="15" customHeight="1" x14ac:dyDescent="0.2">
      <c r="A903" t="str">
        <f t="shared" si="14"/>
        <v/>
      </c>
      <c r="B903" t="str">
        <v/>
      </c>
      <c r="C903" s="40" t="str">
        <f t="array" ref="C903">IFERROR(INDEX(checklistPesertaKemenkeu!$F$6:$F$1005,SMALL(IF(checklistPesertaKemenkeu!$AY$6:$AY$1005="Direkomendasikan",ROW($6:$1005)-5),902)),"")</f>
        <v/>
      </c>
      <c r="D903" t="str">
        <f t="array" ref="D903">IFERROR(INDEX(checklistPesertaKemenkeu!$G$6:$G$1005,SMALL(IF(checklistPesertaKemenkeu!$AY$6:$AY$1005="Direkomendasikan",ROW($6:$1005)-5),902)),"")</f>
        <v/>
      </c>
      <c r="E903" t="str">
        <f t="array" ref="E903">IFERROR(INDEX(checklistPesertaKemenkeu!$H$6:$H$1005,SMALL(IF(checklistPesertaKemenkeu!$AY$6:$AY$1005="Direkomendasikan",ROW($6:$1005)-5),902)),"")</f>
        <v/>
      </c>
      <c r="F903" t="str">
        <f t="array" ref="F903">IFERROR(INDEX(checklistPesertaKemenkeu!$I$6:$I$1005,SMALL(IF(checklistPesertaKemenkeu!$AY$6:$AY$1005="Direkomendasikan",ROW($6:$1005)-5),902)),"")</f>
        <v/>
      </c>
      <c r="G903" t="str">
        <f t="array" ref="G903">IFERROR(INDEX(checklistPesertaKemenkeu!$J$6:$J$1005,SMALL(IF(checklistPesertaKemenkeu!$AY$6:$AY$1005="Direkomendasikan",ROW($6:$1005)-5),902)),"")</f>
        <v/>
      </c>
      <c r="H903" t="str">
        <f t="array" aca="1" ref="H903" ca="1">IFERROR(IF(OR(INDEX(checklistPesertaKemenkeu!$L$6:$L$1005,SMALL(IF(checklistPesertaKemenkeu!$AY$6:$AY$1005="Direkomendasikan",ROW($6:$1005)-5),902))="",INDEX(checklistPesertaKemenkeu!$J$6:$J$1005,SMALL(IF(checklistPesertaKemenkeu!$AY$6:$AY$1005="Direkomendasikan",ROW($6:$1005)-5),902))=""),"",IF(AND(COUNTIF(INDIRECT("K_"&amp;MATCH(INDEX(checklistPesertaKemenkeu!$J$6:$J$1005,SMALL(IF(checklistPesertaKemenkeu!$AY$6:$AY$1005="Direkomendasikan",ROW($6:$1005)-5),902)),BidangList,0)),INDEX(checklistPesertaKemenkeu!$L$6:$L$1005,SMALL(IF(checklistPesertaKemenkeu!$AY$6:$AY$1005="Direkomendasikan",ROW($6:$1005)-5),902)))&gt;0,COUNTIF(INDIRECT("'KERTAS KERJA'!K"&amp;(SMALL(IF(checklistPesertaKemenkeu!$AY$6:$AY$1005="Direkomendasikan",ROW($6:$1005)-5),902)+5)&amp;":O"&amp;(SMALL(IF(checklistPesertaKemenkeu!$AY$6:$AY$1005="Direkomendasikan",ROW($6:$1005)-5),902)+5)),INDEX(checklistPesertaKemenkeu!$L$6:$L$1005,SMALL(IF(checklistPesertaKemenkeu!$AY$6:$AY$1005="Direkomendasikan",ROW($6:$1005)-5),902)))=1),IFERROR(VLOOKUP(INDEX(checklistPesertaKemenkeu!$L$6:$L$1005,SMALL(IF(checklistPesertaKemenkeu!$AY$6:$AY$1005="Direkomendasikan",ROW($6:$1005)-5),902)),KotaKode,2,0),"-"),"")),"")</f>
        <v/>
      </c>
      <c r="I903" t="str">
        <f t="array" aca="1" ref="I903" ca="1">IFERROR(IF(OR(INDEX(checklistPesertaKemenkeu!$M$6:$M$1005,SMALL(IF(checklistPesertaKemenkeu!$AY$6:$AY$1005="Direkomendasikan",ROW($6:$1005)-5),902))="",INDEX(checklistPesertaKemenkeu!$J$6:$J$1005,SMALL(IF(checklistPesertaKemenkeu!$AY$6:$AY$1005="Direkomendasikan",ROW($6:$1005)-5),902))=""),"",IF(AND(COUNTIF(INDIRECT("K_"&amp;MATCH(INDEX(checklistPesertaKemenkeu!$J$6:$J$1005,SMALL(IF(checklistPesertaKemenkeu!$AY$6:$AY$1005="Direkomendasikan",ROW($6:$1005)-5),902)),BidangList,0)),INDEX(checklistPesertaKemenkeu!$M$6:$M$1005,SMALL(IF(checklistPesertaKemenkeu!$AY$6:$AY$1005="Direkomendasikan",ROW($6:$1005)-5),902)))&gt;0,COUNTIF(INDIRECT("'KERTAS KERJA'!K"&amp;(SMALL(IF(checklistPesertaKemenkeu!$AY$6:$AY$1005="Direkomendasikan",ROW($6:$1005)-5),902)+5)&amp;":O"&amp;(SMALL(IF(checklistPesertaKemenkeu!$AY$6:$AY$1005="Direkomendasikan",ROW($6:$1005)-5),902)+5)),INDEX(checklistPesertaKemenkeu!$M$6:$M$1005,SMALL(IF(checklistPesertaKemenkeu!$AY$6:$AY$1005="Direkomendasikan",ROW($6:$1005)-5),902)))=1),IFERROR(VLOOKUP(INDEX(checklistPesertaKemenkeu!$M$6:$M$1005,SMALL(IF(checklistPesertaKemenkeu!$AY$6:$AY$1005="Direkomendasikan",ROW($6:$1005)-5),902)),KotaKode,2,0),"-"),"")),"")</f>
        <v/>
      </c>
      <c r="J903" t="str">
        <f t="array" aca="1" ref="J903" ca="1">IFERROR(IF(OR(INDEX(checklistPesertaKemenkeu!$N$6:$N$1005,SMALL(IF(checklistPesertaKemenkeu!$AY$6:$AY$1005="Direkomendasikan",ROW($6:$1005)-5),902))="",INDEX(checklistPesertaKemenkeu!$J$6:$J$1005,SMALL(IF(checklistPesertaKemenkeu!$AY$6:$AY$1005="Direkomendasikan",ROW($6:$1005)-5),902))=""),"",IF(AND(COUNTIF(INDIRECT("K_"&amp;MATCH(INDEX(checklistPesertaKemenkeu!$J$6:$J$1005,SMALL(IF(checklistPesertaKemenkeu!$AY$6:$AY$1005="Direkomendasikan",ROW($6:$1005)-5),902)),BidangList,0)),INDEX(checklistPesertaKemenkeu!$N$6:$N$1005,SMALL(IF(checklistPesertaKemenkeu!$AY$6:$AY$1005="Direkomendasikan",ROW($6:$1005)-5),902)))&gt;0,COUNTIF(INDIRECT("'KERTAS KERJA'!K"&amp;(SMALL(IF(checklistPesertaKemenkeu!$AY$6:$AY$1005="Direkomendasikan",ROW($6:$1005)-5),902)+5)&amp;":O"&amp;(SMALL(IF(checklistPesertaKemenkeu!$AY$6:$AY$1005="Direkomendasikan",ROW($6:$1005)-5),902)+5)),INDEX(checklistPesertaKemenkeu!$N$6:$N$1005,SMALL(IF(checklistPesertaKemenkeu!$AY$6:$AY$1005="Direkomendasikan",ROW($6:$1005)-5),902)))=1),IFERROR(VLOOKUP(INDEX(checklistPesertaKemenkeu!$N$6:$N$1005,SMALL(IF(checklistPesertaKemenkeu!$AY$6:$AY$1005="Direkomendasikan",ROW($6:$1005)-5),902)),KotaKode,2,0),"-"),"")),"")</f>
        <v/>
      </c>
      <c r="K903" t="str">
        <f t="array" aca="1" ref="K903" ca="1">IFERROR(IF(OR(INDEX(checklistPesertaKemenkeu!$O$6:$O$1005,SMALL(IF(checklistPesertaKemenkeu!$AY$6:$AY$1005="Direkomendasikan",ROW($6:$1005)-5),902))="",INDEX(checklistPesertaKemenkeu!$J$6:$J$1005,SMALL(IF(checklistPesertaKemenkeu!$AY$6:$AY$1005="Direkomendasikan",ROW($6:$1005)-5),902))=""),"",IF(AND(COUNTIF(INDIRECT("K_"&amp;MATCH(INDEX(checklistPesertaKemenkeu!$J$6:$J$1005,SMALL(IF(checklistPesertaKemenkeu!$AY$6:$AY$1005="Direkomendasikan",ROW($6:$1005)-5),902)),BidangList,0)),INDEX(checklistPesertaKemenkeu!$O$6:$O$1005,SMALL(IF(checklistPesertaKemenkeu!$AY$6:$AY$1005="Direkomendasikan",ROW($6:$1005)-5),902)))&gt;0,COUNTIF(INDIRECT("'KERTAS KERJA'!K"&amp;(SMALL(IF(checklistPesertaKemenkeu!$AY$6:$AY$1005="Direkomendasikan",ROW($6:$1005)-5),902)+5)&amp;":O"&amp;(SMALL(IF(checklistPesertaKemenkeu!$AY$6:$AY$1005="Direkomendasikan",ROW($6:$1005)-5),902)+5)),INDEX(checklistPesertaKemenkeu!$O$6:$O$1005,SMALL(IF(checklistPesertaKemenkeu!$AY$6:$AY$1005="Direkomendasikan",ROW($6:$1005)-5),902)))=1),IFERROR(VLOOKUP(INDEX(checklistPesertaKemenkeu!$O$6:$O$1005,SMALL(IF(checklistPesertaKemenkeu!$AY$6:$AY$1005="Direkomendasikan",ROW($6:$1005)-5),902)),KotaKode,2,0),"-"),"")),"")</f>
        <v/>
      </c>
      <c r="L903" t="str">
        <f t="array" aca="1" ref="L903" ca="1">IFERROR(IF(OR(INDEX(checklistPesertaKemenkeu!$P$6:$P$1005,SMALL(IF(checklistPesertaKemenkeu!$AY$6:$AY$1005="Direkomendasikan",ROW($6:$1005)-5),902))="",INDEX(checklistPesertaKemenkeu!$J$6:$J$1005,SMALL(IF(checklistPesertaKemenkeu!$AY$6:$AY$1005="Direkomendasikan",ROW($6:$1005)-5),902))=""),"",IF(AND(COUNTIF(INDIRECT("K_"&amp;MATCH(INDEX(checklistPesertaKemenkeu!$J$6:$J$1005,SMALL(IF(checklistPesertaKemenkeu!$AY$6:$AY$1005="Direkomendasikan",ROW($6:$1005)-5),902)),BidangList,0)),INDEX(checklistPesertaKemenkeu!$P$6:$P$1005,SMALL(IF(checklistPesertaKemenkeu!$AY$6:$AY$1005="Direkomendasikan",ROW($6:$1005)-5),902)))&gt;0,COUNTIF(INDIRECT("'KERTAS KERJA'!K"&amp;(SMALL(IF(checklistPesertaKemenkeu!$AY$6:$AY$1005="Direkomendasikan",ROW($6:$1005)-5),902)+5)&amp;":O"&amp;(SMALL(IF(checklistPesertaKemenkeu!$AY$6:$AY$1005="Direkomendasikan",ROW($6:$1005)-5),902)+5)),INDEX(checklistPesertaKemenkeu!$P$6:$P$1005,SMALL(IF(checklistPesertaKemenkeu!$AY$6:$AY$1005="Direkomendasikan",ROW($6:$1005)-5),902)))=1),IFERROR(VLOOKUP(INDEX(checklistPesertaKemenkeu!$P$6:$P$1005,SMALL(IF(checklistPesertaKemenkeu!$AY$6:$AY$1005="Direkomendasikan",ROW($6:$1005)-5),902)),KotaKode,2,0),"-"),"")),"")</f>
        <v/>
      </c>
    </row>
    <row r="904" spans="1:12" ht="15" customHeight="1" x14ac:dyDescent="0.2">
      <c r="A904" t="str">
        <f t="shared" si="14"/>
        <v/>
      </c>
      <c r="B904" t="str">
        <v/>
      </c>
      <c r="C904" s="40" t="str">
        <f t="array" ref="C904">IFERROR(INDEX(checklistPesertaKemenkeu!$F$6:$F$1005,SMALL(IF(checklistPesertaKemenkeu!$AY$6:$AY$1005="Direkomendasikan",ROW($6:$1005)-5),903)),"")</f>
        <v/>
      </c>
      <c r="D904" t="str">
        <f t="array" ref="D904">IFERROR(INDEX(checklistPesertaKemenkeu!$G$6:$G$1005,SMALL(IF(checklistPesertaKemenkeu!$AY$6:$AY$1005="Direkomendasikan",ROW($6:$1005)-5),903)),"")</f>
        <v/>
      </c>
      <c r="E904" t="str">
        <f t="array" ref="E904">IFERROR(INDEX(checklistPesertaKemenkeu!$H$6:$H$1005,SMALL(IF(checklistPesertaKemenkeu!$AY$6:$AY$1005="Direkomendasikan",ROW($6:$1005)-5),903)),"")</f>
        <v/>
      </c>
      <c r="F904" t="str">
        <f t="array" ref="F904">IFERROR(INDEX(checklistPesertaKemenkeu!$I$6:$I$1005,SMALL(IF(checklistPesertaKemenkeu!$AY$6:$AY$1005="Direkomendasikan",ROW($6:$1005)-5),903)),"")</f>
        <v/>
      </c>
      <c r="G904" t="str">
        <f t="array" ref="G904">IFERROR(INDEX(checklistPesertaKemenkeu!$J$6:$J$1005,SMALL(IF(checklistPesertaKemenkeu!$AY$6:$AY$1005="Direkomendasikan",ROW($6:$1005)-5),903)),"")</f>
        <v/>
      </c>
      <c r="H904" t="str">
        <f t="array" aca="1" ref="H904" ca="1">IFERROR(IF(OR(INDEX(checklistPesertaKemenkeu!$L$6:$L$1005,SMALL(IF(checklistPesertaKemenkeu!$AY$6:$AY$1005="Direkomendasikan",ROW($6:$1005)-5),903))="",INDEX(checklistPesertaKemenkeu!$J$6:$J$1005,SMALL(IF(checklistPesertaKemenkeu!$AY$6:$AY$1005="Direkomendasikan",ROW($6:$1005)-5),903))=""),"",IF(AND(COUNTIF(INDIRECT("K_"&amp;MATCH(INDEX(checklistPesertaKemenkeu!$J$6:$J$1005,SMALL(IF(checklistPesertaKemenkeu!$AY$6:$AY$1005="Direkomendasikan",ROW($6:$1005)-5),903)),BidangList,0)),INDEX(checklistPesertaKemenkeu!$L$6:$L$1005,SMALL(IF(checklistPesertaKemenkeu!$AY$6:$AY$1005="Direkomendasikan",ROW($6:$1005)-5),903)))&gt;0,COUNTIF(INDIRECT("'KERTAS KERJA'!K"&amp;(SMALL(IF(checklistPesertaKemenkeu!$AY$6:$AY$1005="Direkomendasikan",ROW($6:$1005)-5),903)+5)&amp;":O"&amp;(SMALL(IF(checklistPesertaKemenkeu!$AY$6:$AY$1005="Direkomendasikan",ROW($6:$1005)-5),903)+5)),INDEX(checklistPesertaKemenkeu!$L$6:$L$1005,SMALL(IF(checklistPesertaKemenkeu!$AY$6:$AY$1005="Direkomendasikan",ROW($6:$1005)-5),903)))=1),IFERROR(VLOOKUP(INDEX(checklistPesertaKemenkeu!$L$6:$L$1005,SMALL(IF(checklistPesertaKemenkeu!$AY$6:$AY$1005="Direkomendasikan",ROW($6:$1005)-5),903)),KotaKode,2,0),"-"),"")),"")</f>
        <v/>
      </c>
      <c r="I904" t="str">
        <f t="array" aca="1" ref="I904" ca="1">IFERROR(IF(OR(INDEX(checklistPesertaKemenkeu!$M$6:$M$1005,SMALL(IF(checklistPesertaKemenkeu!$AY$6:$AY$1005="Direkomendasikan",ROW($6:$1005)-5),903))="",INDEX(checklistPesertaKemenkeu!$J$6:$J$1005,SMALL(IF(checklistPesertaKemenkeu!$AY$6:$AY$1005="Direkomendasikan",ROW($6:$1005)-5),903))=""),"",IF(AND(COUNTIF(INDIRECT("K_"&amp;MATCH(INDEX(checklistPesertaKemenkeu!$J$6:$J$1005,SMALL(IF(checklistPesertaKemenkeu!$AY$6:$AY$1005="Direkomendasikan",ROW($6:$1005)-5),903)),BidangList,0)),INDEX(checklistPesertaKemenkeu!$M$6:$M$1005,SMALL(IF(checklistPesertaKemenkeu!$AY$6:$AY$1005="Direkomendasikan",ROW($6:$1005)-5),903)))&gt;0,COUNTIF(INDIRECT("'KERTAS KERJA'!K"&amp;(SMALL(IF(checklistPesertaKemenkeu!$AY$6:$AY$1005="Direkomendasikan",ROW($6:$1005)-5),903)+5)&amp;":O"&amp;(SMALL(IF(checklistPesertaKemenkeu!$AY$6:$AY$1005="Direkomendasikan",ROW($6:$1005)-5),903)+5)),INDEX(checklistPesertaKemenkeu!$M$6:$M$1005,SMALL(IF(checklistPesertaKemenkeu!$AY$6:$AY$1005="Direkomendasikan",ROW($6:$1005)-5),903)))=1),IFERROR(VLOOKUP(INDEX(checklistPesertaKemenkeu!$M$6:$M$1005,SMALL(IF(checklistPesertaKemenkeu!$AY$6:$AY$1005="Direkomendasikan",ROW($6:$1005)-5),903)),KotaKode,2,0),"-"),"")),"")</f>
        <v/>
      </c>
      <c r="J904" t="str">
        <f t="array" aca="1" ref="J904" ca="1">IFERROR(IF(OR(INDEX(checklistPesertaKemenkeu!$N$6:$N$1005,SMALL(IF(checklistPesertaKemenkeu!$AY$6:$AY$1005="Direkomendasikan",ROW($6:$1005)-5),903))="",INDEX(checklistPesertaKemenkeu!$J$6:$J$1005,SMALL(IF(checklistPesertaKemenkeu!$AY$6:$AY$1005="Direkomendasikan",ROW($6:$1005)-5),903))=""),"",IF(AND(COUNTIF(INDIRECT("K_"&amp;MATCH(INDEX(checklistPesertaKemenkeu!$J$6:$J$1005,SMALL(IF(checklistPesertaKemenkeu!$AY$6:$AY$1005="Direkomendasikan",ROW($6:$1005)-5),903)),BidangList,0)),INDEX(checklistPesertaKemenkeu!$N$6:$N$1005,SMALL(IF(checklistPesertaKemenkeu!$AY$6:$AY$1005="Direkomendasikan",ROW($6:$1005)-5),903)))&gt;0,COUNTIF(INDIRECT("'KERTAS KERJA'!K"&amp;(SMALL(IF(checklistPesertaKemenkeu!$AY$6:$AY$1005="Direkomendasikan",ROW($6:$1005)-5),903)+5)&amp;":O"&amp;(SMALL(IF(checklistPesertaKemenkeu!$AY$6:$AY$1005="Direkomendasikan",ROW($6:$1005)-5),903)+5)),INDEX(checklistPesertaKemenkeu!$N$6:$N$1005,SMALL(IF(checklistPesertaKemenkeu!$AY$6:$AY$1005="Direkomendasikan",ROW($6:$1005)-5),903)))=1),IFERROR(VLOOKUP(INDEX(checklistPesertaKemenkeu!$N$6:$N$1005,SMALL(IF(checklistPesertaKemenkeu!$AY$6:$AY$1005="Direkomendasikan",ROW($6:$1005)-5),903)),KotaKode,2,0),"-"),"")),"")</f>
        <v/>
      </c>
      <c r="K904" t="str">
        <f t="array" aca="1" ref="K904" ca="1">IFERROR(IF(OR(INDEX(checklistPesertaKemenkeu!$O$6:$O$1005,SMALL(IF(checklistPesertaKemenkeu!$AY$6:$AY$1005="Direkomendasikan",ROW($6:$1005)-5),903))="",INDEX(checklistPesertaKemenkeu!$J$6:$J$1005,SMALL(IF(checklistPesertaKemenkeu!$AY$6:$AY$1005="Direkomendasikan",ROW($6:$1005)-5),903))=""),"",IF(AND(COUNTIF(INDIRECT("K_"&amp;MATCH(INDEX(checklistPesertaKemenkeu!$J$6:$J$1005,SMALL(IF(checklistPesertaKemenkeu!$AY$6:$AY$1005="Direkomendasikan",ROW($6:$1005)-5),903)),BidangList,0)),INDEX(checklistPesertaKemenkeu!$O$6:$O$1005,SMALL(IF(checklistPesertaKemenkeu!$AY$6:$AY$1005="Direkomendasikan",ROW($6:$1005)-5),903)))&gt;0,COUNTIF(INDIRECT("'KERTAS KERJA'!K"&amp;(SMALL(IF(checklistPesertaKemenkeu!$AY$6:$AY$1005="Direkomendasikan",ROW($6:$1005)-5),903)+5)&amp;":O"&amp;(SMALL(IF(checklistPesertaKemenkeu!$AY$6:$AY$1005="Direkomendasikan",ROW($6:$1005)-5),903)+5)),INDEX(checklistPesertaKemenkeu!$O$6:$O$1005,SMALL(IF(checklistPesertaKemenkeu!$AY$6:$AY$1005="Direkomendasikan",ROW($6:$1005)-5),903)))=1),IFERROR(VLOOKUP(INDEX(checklistPesertaKemenkeu!$O$6:$O$1005,SMALL(IF(checklistPesertaKemenkeu!$AY$6:$AY$1005="Direkomendasikan",ROW($6:$1005)-5),903)),KotaKode,2,0),"-"),"")),"")</f>
        <v/>
      </c>
      <c r="L904" t="str">
        <f t="array" aca="1" ref="L904" ca="1">IFERROR(IF(OR(INDEX(checklistPesertaKemenkeu!$P$6:$P$1005,SMALL(IF(checklistPesertaKemenkeu!$AY$6:$AY$1005="Direkomendasikan",ROW($6:$1005)-5),903))="",INDEX(checklistPesertaKemenkeu!$J$6:$J$1005,SMALL(IF(checklistPesertaKemenkeu!$AY$6:$AY$1005="Direkomendasikan",ROW($6:$1005)-5),903))=""),"",IF(AND(COUNTIF(INDIRECT("K_"&amp;MATCH(INDEX(checklistPesertaKemenkeu!$J$6:$J$1005,SMALL(IF(checklistPesertaKemenkeu!$AY$6:$AY$1005="Direkomendasikan",ROW($6:$1005)-5),903)),BidangList,0)),INDEX(checklistPesertaKemenkeu!$P$6:$P$1005,SMALL(IF(checklistPesertaKemenkeu!$AY$6:$AY$1005="Direkomendasikan",ROW($6:$1005)-5),903)))&gt;0,COUNTIF(INDIRECT("'KERTAS KERJA'!K"&amp;(SMALL(IF(checklistPesertaKemenkeu!$AY$6:$AY$1005="Direkomendasikan",ROW($6:$1005)-5),903)+5)&amp;":O"&amp;(SMALL(IF(checklistPesertaKemenkeu!$AY$6:$AY$1005="Direkomendasikan",ROW($6:$1005)-5),903)+5)),INDEX(checklistPesertaKemenkeu!$P$6:$P$1005,SMALL(IF(checklistPesertaKemenkeu!$AY$6:$AY$1005="Direkomendasikan",ROW($6:$1005)-5),903)))=1),IFERROR(VLOOKUP(INDEX(checklistPesertaKemenkeu!$P$6:$P$1005,SMALL(IF(checklistPesertaKemenkeu!$AY$6:$AY$1005="Direkomendasikan",ROW($6:$1005)-5),903)),KotaKode,2,0),"-"),"")),"")</f>
        <v/>
      </c>
    </row>
    <row r="905" spans="1:12" ht="15" customHeight="1" x14ac:dyDescent="0.2">
      <c r="A905" t="str">
        <f t="shared" si="14"/>
        <v/>
      </c>
      <c r="B905" t="str">
        <v/>
      </c>
      <c r="C905" s="40" t="str">
        <f t="array" ref="C905">IFERROR(INDEX(checklistPesertaKemenkeu!$F$6:$F$1005,SMALL(IF(checklistPesertaKemenkeu!$AY$6:$AY$1005="Direkomendasikan",ROW($6:$1005)-5),904)),"")</f>
        <v/>
      </c>
      <c r="D905" t="str">
        <f t="array" ref="D905">IFERROR(INDEX(checklistPesertaKemenkeu!$G$6:$G$1005,SMALL(IF(checklistPesertaKemenkeu!$AY$6:$AY$1005="Direkomendasikan",ROW($6:$1005)-5),904)),"")</f>
        <v/>
      </c>
      <c r="E905" t="str">
        <f t="array" ref="E905">IFERROR(INDEX(checklistPesertaKemenkeu!$H$6:$H$1005,SMALL(IF(checklistPesertaKemenkeu!$AY$6:$AY$1005="Direkomendasikan",ROW($6:$1005)-5),904)),"")</f>
        <v/>
      </c>
      <c r="F905" t="str">
        <f t="array" ref="F905">IFERROR(INDEX(checklistPesertaKemenkeu!$I$6:$I$1005,SMALL(IF(checklistPesertaKemenkeu!$AY$6:$AY$1005="Direkomendasikan",ROW($6:$1005)-5),904)),"")</f>
        <v/>
      </c>
      <c r="G905" t="str">
        <f t="array" ref="G905">IFERROR(INDEX(checklistPesertaKemenkeu!$J$6:$J$1005,SMALL(IF(checklistPesertaKemenkeu!$AY$6:$AY$1005="Direkomendasikan",ROW($6:$1005)-5),904)),"")</f>
        <v/>
      </c>
      <c r="H905" t="str">
        <f t="array" aca="1" ref="H905" ca="1">IFERROR(IF(OR(INDEX(checklistPesertaKemenkeu!$L$6:$L$1005,SMALL(IF(checklistPesertaKemenkeu!$AY$6:$AY$1005="Direkomendasikan",ROW($6:$1005)-5),904))="",INDEX(checklistPesertaKemenkeu!$J$6:$J$1005,SMALL(IF(checklistPesertaKemenkeu!$AY$6:$AY$1005="Direkomendasikan",ROW($6:$1005)-5),904))=""),"",IF(AND(COUNTIF(INDIRECT("K_"&amp;MATCH(INDEX(checklistPesertaKemenkeu!$J$6:$J$1005,SMALL(IF(checklistPesertaKemenkeu!$AY$6:$AY$1005="Direkomendasikan",ROW($6:$1005)-5),904)),BidangList,0)),INDEX(checklistPesertaKemenkeu!$L$6:$L$1005,SMALL(IF(checklistPesertaKemenkeu!$AY$6:$AY$1005="Direkomendasikan",ROW($6:$1005)-5),904)))&gt;0,COUNTIF(INDIRECT("'KERTAS KERJA'!K"&amp;(SMALL(IF(checklistPesertaKemenkeu!$AY$6:$AY$1005="Direkomendasikan",ROW($6:$1005)-5),904)+5)&amp;":O"&amp;(SMALL(IF(checklistPesertaKemenkeu!$AY$6:$AY$1005="Direkomendasikan",ROW($6:$1005)-5),904)+5)),INDEX(checklistPesertaKemenkeu!$L$6:$L$1005,SMALL(IF(checklistPesertaKemenkeu!$AY$6:$AY$1005="Direkomendasikan",ROW($6:$1005)-5),904)))=1),IFERROR(VLOOKUP(INDEX(checklistPesertaKemenkeu!$L$6:$L$1005,SMALL(IF(checklistPesertaKemenkeu!$AY$6:$AY$1005="Direkomendasikan",ROW($6:$1005)-5),904)),KotaKode,2,0),"-"),"")),"")</f>
        <v/>
      </c>
      <c r="I905" t="str">
        <f t="array" aca="1" ref="I905" ca="1">IFERROR(IF(OR(INDEX(checklistPesertaKemenkeu!$M$6:$M$1005,SMALL(IF(checklistPesertaKemenkeu!$AY$6:$AY$1005="Direkomendasikan",ROW($6:$1005)-5),904))="",INDEX(checklistPesertaKemenkeu!$J$6:$J$1005,SMALL(IF(checklistPesertaKemenkeu!$AY$6:$AY$1005="Direkomendasikan",ROW($6:$1005)-5),904))=""),"",IF(AND(COUNTIF(INDIRECT("K_"&amp;MATCH(INDEX(checklistPesertaKemenkeu!$J$6:$J$1005,SMALL(IF(checklistPesertaKemenkeu!$AY$6:$AY$1005="Direkomendasikan",ROW($6:$1005)-5),904)),BidangList,0)),INDEX(checklistPesertaKemenkeu!$M$6:$M$1005,SMALL(IF(checklistPesertaKemenkeu!$AY$6:$AY$1005="Direkomendasikan",ROW($6:$1005)-5),904)))&gt;0,COUNTIF(INDIRECT("'KERTAS KERJA'!K"&amp;(SMALL(IF(checklistPesertaKemenkeu!$AY$6:$AY$1005="Direkomendasikan",ROW($6:$1005)-5),904)+5)&amp;":O"&amp;(SMALL(IF(checklistPesertaKemenkeu!$AY$6:$AY$1005="Direkomendasikan",ROW($6:$1005)-5),904)+5)),INDEX(checklistPesertaKemenkeu!$M$6:$M$1005,SMALL(IF(checklistPesertaKemenkeu!$AY$6:$AY$1005="Direkomendasikan",ROW($6:$1005)-5),904)))=1),IFERROR(VLOOKUP(INDEX(checklistPesertaKemenkeu!$M$6:$M$1005,SMALL(IF(checklistPesertaKemenkeu!$AY$6:$AY$1005="Direkomendasikan",ROW($6:$1005)-5),904)),KotaKode,2,0),"-"),"")),"")</f>
        <v/>
      </c>
      <c r="J905" t="str">
        <f t="array" aca="1" ref="J905" ca="1">IFERROR(IF(OR(INDEX(checklistPesertaKemenkeu!$N$6:$N$1005,SMALL(IF(checklistPesertaKemenkeu!$AY$6:$AY$1005="Direkomendasikan",ROW($6:$1005)-5),904))="",INDEX(checklistPesertaKemenkeu!$J$6:$J$1005,SMALL(IF(checklistPesertaKemenkeu!$AY$6:$AY$1005="Direkomendasikan",ROW($6:$1005)-5),904))=""),"",IF(AND(COUNTIF(INDIRECT("K_"&amp;MATCH(INDEX(checklistPesertaKemenkeu!$J$6:$J$1005,SMALL(IF(checklistPesertaKemenkeu!$AY$6:$AY$1005="Direkomendasikan",ROW($6:$1005)-5),904)),BidangList,0)),INDEX(checklistPesertaKemenkeu!$N$6:$N$1005,SMALL(IF(checklistPesertaKemenkeu!$AY$6:$AY$1005="Direkomendasikan",ROW($6:$1005)-5),904)))&gt;0,COUNTIF(INDIRECT("'KERTAS KERJA'!K"&amp;(SMALL(IF(checklistPesertaKemenkeu!$AY$6:$AY$1005="Direkomendasikan",ROW($6:$1005)-5),904)+5)&amp;":O"&amp;(SMALL(IF(checklistPesertaKemenkeu!$AY$6:$AY$1005="Direkomendasikan",ROW($6:$1005)-5),904)+5)),INDEX(checklistPesertaKemenkeu!$N$6:$N$1005,SMALL(IF(checklistPesertaKemenkeu!$AY$6:$AY$1005="Direkomendasikan",ROW($6:$1005)-5),904)))=1),IFERROR(VLOOKUP(INDEX(checklistPesertaKemenkeu!$N$6:$N$1005,SMALL(IF(checklistPesertaKemenkeu!$AY$6:$AY$1005="Direkomendasikan",ROW($6:$1005)-5),904)),KotaKode,2,0),"-"),"")),"")</f>
        <v/>
      </c>
      <c r="K905" t="str">
        <f t="array" aca="1" ref="K905" ca="1">IFERROR(IF(OR(INDEX(checklistPesertaKemenkeu!$O$6:$O$1005,SMALL(IF(checklistPesertaKemenkeu!$AY$6:$AY$1005="Direkomendasikan",ROW($6:$1005)-5),904))="",INDEX(checklistPesertaKemenkeu!$J$6:$J$1005,SMALL(IF(checklistPesertaKemenkeu!$AY$6:$AY$1005="Direkomendasikan",ROW($6:$1005)-5),904))=""),"",IF(AND(COUNTIF(INDIRECT("K_"&amp;MATCH(INDEX(checklistPesertaKemenkeu!$J$6:$J$1005,SMALL(IF(checklistPesertaKemenkeu!$AY$6:$AY$1005="Direkomendasikan",ROW($6:$1005)-5),904)),BidangList,0)),INDEX(checklistPesertaKemenkeu!$O$6:$O$1005,SMALL(IF(checklistPesertaKemenkeu!$AY$6:$AY$1005="Direkomendasikan",ROW($6:$1005)-5),904)))&gt;0,COUNTIF(INDIRECT("'KERTAS KERJA'!K"&amp;(SMALL(IF(checklistPesertaKemenkeu!$AY$6:$AY$1005="Direkomendasikan",ROW($6:$1005)-5),904)+5)&amp;":O"&amp;(SMALL(IF(checklistPesertaKemenkeu!$AY$6:$AY$1005="Direkomendasikan",ROW($6:$1005)-5),904)+5)),INDEX(checklistPesertaKemenkeu!$O$6:$O$1005,SMALL(IF(checklistPesertaKemenkeu!$AY$6:$AY$1005="Direkomendasikan",ROW($6:$1005)-5),904)))=1),IFERROR(VLOOKUP(INDEX(checklistPesertaKemenkeu!$O$6:$O$1005,SMALL(IF(checklistPesertaKemenkeu!$AY$6:$AY$1005="Direkomendasikan",ROW($6:$1005)-5),904)),KotaKode,2,0),"-"),"")),"")</f>
        <v/>
      </c>
      <c r="L905" t="str">
        <f t="array" aca="1" ref="L905" ca="1">IFERROR(IF(OR(INDEX(checklistPesertaKemenkeu!$P$6:$P$1005,SMALL(IF(checklistPesertaKemenkeu!$AY$6:$AY$1005="Direkomendasikan",ROW($6:$1005)-5),904))="",INDEX(checklistPesertaKemenkeu!$J$6:$J$1005,SMALL(IF(checklistPesertaKemenkeu!$AY$6:$AY$1005="Direkomendasikan",ROW($6:$1005)-5),904))=""),"",IF(AND(COUNTIF(INDIRECT("K_"&amp;MATCH(INDEX(checklistPesertaKemenkeu!$J$6:$J$1005,SMALL(IF(checklistPesertaKemenkeu!$AY$6:$AY$1005="Direkomendasikan",ROW($6:$1005)-5),904)),BidangList,0)),INDEX(checklistPesertaKemenkeu!$P$6:$P$1005,SMALL(IF(checklistPesertaKemenkeu!$AY$6:$AY$1005="Direkomendasikan",ROW($6:$1005)-5),904)))&gt;0,COUNTIF(INDIRECT("'KERTAS KERJA'!K"&amp;(SMALL(IF(checklistPesertaKemenkeu!$AY$6:$AY$1005="Direkomendasikan",ROW($6:$1005)-5),904)+5)&amp;":O"&amp;(SMALL(IF(checklistPesertaKemenkeu!$AY$6:$AY$1005="Direkomendasikan",ROW($6:$1005)-5),904)+5)),INDEX(checklistPesertaKemenkeu!$P$6:$P$1005,SMALL(IF(checklistPesertaKemenkeu!$AY$6:$AY$1005="Direkomendasikan",ROW($6:$1005)-5),904)))=1),IFERROR(VLOOKUP(INDEX(checklistPesertaKemenkeu!$P$6:$P$1005,SMALL(IF(checklistPesertaKemenkeu!$AY$6:$AY$1005="Direkomendasikan",ROW($6:$1005)-5),904)),KotaKode,2,0),"-"),"")),"")</f>
        <v/>
      </c>
    </row>
    <row r="906" spans="1:12" ht="15" customHeight="1" x14ac:dyDescent="0.2">
      <c r="A906" t="str">
        <f t="shared" si="14"/>
        <v/>
      </c>
      <c r="B906" t="str">
        <v/>
      </c>
      <c r="C906" s="40" t="str">
        <f t="array" ref="C906">IFERROR(INDEX(checklistPesertaKemenkeu!$F$6:$F$1005,SMALL(IF(checklistPesertaKemenkeu!$AY$6:$AY$1005="Direkomendasikan",ROW($6:$1005)-5),905)),"")</f>
        <v/>
      </c>
      <c r="D906" t="str">
        <f t="array" ref="D906">IFERROR(INDEX(checklistPesertaKemenkeu!$G$6:$G$1005,SMALL(IF(checklistPesertaKemenkeu!$AY$6:$AY$1005="Direkomendasikan",ROW($6:$1005)-5),905)),"")</f>
        <v/>
      </c>
      <c r="E906" t="str">
        <f t="array" ref="E906">IFERROR(INDEX(checklistPesertaKemenkeu!$H$6:$H$1005,SMALL(IF(checklistPesertaKemenkeu!$AY$6:$AY$1005="Direkomendasikan",ROW($6:$1005)-5),905)),"")</f>
        <v/>
      </c>
      <c r="F906" t="str">
        <f t="array" ref="F906">IFERROR(INDEX(checklistPesertaKemenkeu!$I$6:$I$1005,SMALL(IF(checklistPesertaKemenkeu!$AY$6:$AY$1005="Direkomendasikan",ROW($6:$1005)-5),905)),"")</f>
        <v/>
      </c>
      <c r="G906" t="str">
        <f t="array" ref="G906">IFERROR(INDEX(checklistPesertaKemenkeu!$J$6:$J$1005,SMALL(IF(checklistPesertaKemenkeu!$AY$6:$AY$1005="Direkomendasikan",ROW($6:$1005)-5),905)),"")</f>
        <v/>
      </c>
      <c r="H906" t="str">
        <f t="array" aca="1" ref="H906" ca="1">IFERROR(IF(OR(INDEX(checklistPesertaKemenkeu!$L$6:$L$1005,SMALL(IF(checklistPesertaKemenkeu!$AY$6:$AY$1005="Direkomendasikan",ROW($6:$1005)-5),905))="",INDEX(checklistPesertaKemenkeu!$J$6:$J$1005,SMALL(IF(checklistPesertaKemenkeu!$AY$6:$AY$1005="Direkomendasikan",ROW($6:$1005)-5),905))=""),"",IF(AND(COUNTIF(INDIRECT("K_"&amp;MATCH(INDEX(checklistPesertaKemenkeu!$J$6:$J$1005,SMALL(IF(checklistPesertaKemenkeu!$AY$6:$AY$1005="Direkomendasikan",ROW($6:$1005)-5),905)),BidangList,0)),INDEX(checklistPesertaKemenkeu!$L$6:$L$1005,SMALL(IF(checklistPesertaKemenkeu!$AY$6:$AY$1005="Direkomendasikan",ROW($6:$1005)-5),905)))&gt;0,COUNTIF(INDIRECT("'KERTAS KERJA'!K"&amp;(SMALL(IF(checklistPesertaKemenkeu!$AY$6:$AY$1005="Direkomendasikan",ROW($6:$1005)-5),905)+5)&amp;":O"&amp;(SMALL(IF(checklistPesertaKemenkeu!$AY$6:$AY$1005="Direkomendasikan",ROW($6:$1005)-5),905)+5)),INDEX(checklistPesertaKemenkeu!$L$6:$L$1005,SMALL(IF(checklistPesertaKemenkeu!$AY$6:$AY$1005="Direkomendasikan",ROW($6:$1005)-5),905)))=1),IFERROR(VLOOKUP(INDEX(checklistPesertaKemenkeu!$L$6:$L$1005,SMALL(IF(checklistPesertaKemenkeu!$AY$6:$AY$1005="Direkomendasikan",ROW($6:$1005)-5),905)),KotaKode,2,0),"-"),"")),"")</f>
        <v/>
      </c>
      <c r="I906" t="str">
        <f t="array" aca="1" ref="I906" ca="1">IFERROR(IF(OR(INDEX(checklistPesertaKemenkeu!$M$6:$M$1005,SMALL(IF(checklistPesertaKemenkeu!$AY$6:$AY$1005="Direkomendasikan",ROW($6:$1005)-5),905))="",INDEX(checklistPesertaKemenkeu!$J$6:$J$1005,SMALL(IF(checklistPesertaKemenkeu!$AY$6:$AY$1005="Direkomendasikan",ROW($6:$1005)-5),905))=""),"",IF(AND(COUNTIF(INDIRECT("K_"&amp;MATCH(INDEX(checklistPesertaKemenkeu!$J$6:$J$1005,SMALL(IF(checklistPesertaKemenkeu!$AY$6:$AY$1005="Direkomendasikan",ROW($6:$1005)-5),905)),BidangList,0)),INDEX(checklistPesertaKemenkeu!$M$6:$M$1005,SMALL(IF(checklistPesertaKemenkeu!$AY$6:$AY$1005="Direkomendasikan",ROW($6:$1005)-5),905)))&gt;0,COUNTIF(INDIRECT("'KERTAS KERJA'!K"&amp;(SMALL(IF(checklistPesertaKemenkeu!$AY$6:$AY$1005="Direkomendasikan",ROW($6:$1005)-5),905)+5)&amp;":O"&amp;(SMALL(IF(checklistPesertaKemenkeu!$AY$6:$AY$1005="Direkomendasikan",ROW($6:$1005)-5),905)+5)),INDEX(checklistPesertaKemenkeu!$M$6:$M$1005,SMALL(IF(checklistPesertaKemenkeu!$AY$6:$AY$1005="Direkomendasikan",ROW($6:$1005)-5),905)))=1),IFERROR(VLOOKUP(INDEX(checklistPesertaKemenkeu!$M$6:$M$1005,SMALL(IF(checklistPesertaKemenkeu!$AY$6:$AY$1005="Direkomendasikan",ROW($6:$1005)-5),905)),KotaKode,2,0),"-"),"")),"")</f>
        <v/>
      </c>
      <c r="J906" t="str">
        <f t="array" aca="1" ref="J906" ca="1">IFERROR(IF(OR(INDEX(checklistPesertaKemenkeu!$N$6:$N$1005,SMALL(IF(checklistPesertaKemenkeu!$AY$6:$AY$1005="Direkomendasikan",ROW($6:$1005)-5),905))="",INDEX(checklistPesertaKemenkeu!$J$6:$J$1005,SMALL(IF(checklistPesertaKemenkeu!$AY$6:$AY$1005="Direkomendasikan",ROW($6:$1005)-5),905))=""),"",IF(AND(COUNTIF(INDIRECT("K_"&amp;MATCH(INDEX(checklistPesertaKemenkeu!$J$6:$J$1005,SMALL(IF(checklistPesertaKemenkeu!$AY$6:$AY$1005="Direkomendasikan",ROW($6:$1005)-5),905)),BidangList,0)),INDEX(checklistPesertaKemenkeu!$N$6:$N$1005,SMALL(IF(checklistPesertaKemenkeu!$AY$6:$AY$1005="Direkomendasikan",ROW($6:$1005)-5),905)))&gt;0,COUNTIF(INDIRECT("'KERTAS KERJA'!K"&amp;(SMALL(IF(checklistPesertaKemenkeu!$AY$6:$AY$1005="Direkomendasikan",ROW($6:$1005)-5),905)+5)&amp;":O"&amp;(SMALL(IF(checklistPesertaKemenkeu!$AY$6:$AY$1005="Direkomendasikan",ROW($6:$1005)-5),905)+5)),INDEX(checklistPesertaKemenkeu!$N$6:$N$1005,SMALL(IF(checklistPesertaKemenkeu!$AY$6:$AY$1005="Direkomendasikan",ROW($6:$1005)-5),905)))=1),IFERROR(VLOOKUP(INDEX(checklistPesertaKemenkeu!$N$6:$N$1005,SMALL(IF(checklistPesertaKemenkeu!$AY$6:$AY$1005="Direkomendasikan",ROW($6:$1005)-5),905)),KotaKode,2,0),"-"),"")),"")</f>
        <v/>
      </c>
      <c r="K906" t="str">
        <f t="array" aca="1" ref="K906" ca="1">IFERROR(IF(OR(INDEX(checklistPesertaKemenkeu!$O$6:$O$1005,SMALL(IF(checklistPesertaKemenkeu!$AY$6:$AY$1005="Direkomendasikan",ROW($6:$1005)-5),905))="",INDEX(checklistPesertaKemenkeu!$J$6:$J$1005,SMALL(IF(checklistPesertaKemenkeu!$AY$6:$AY$1005="Direkomendasikan",ROW($6:$1005)-5),905))=""),"",IF(AND(COUNTIF(INDIRECT("K_"&amp;MATCH(INDEX(checklistPesertaKemenkeu!$J$6:$J$1005,SMALL(IF(checklistPesertaKemenkeu!$AY$6:$AY$1005="Direkomendasikan",ROW($6:$1005)-5),905)),BidangList,0)),INDEX(checklistPesertaKemenkeu!$O$6:$O$1005,SMALL(IF(checklistPesertaKemenkeu!$AY$6:$AY$1005="Direkomendasikan",ROW($6:$1005)-5),905)))&gt;0,COUNTIF(INDIRECT("'KERTAS KERJA'!K"&amp;(SMALL(IF(checklistPesertaKemenkeu!$AY$6:$AY$1005="Direkomendasikan",ROW($6:$1005)-5),905)+5)&amp;":O"&amp;(SMALL(IF(checklistPesertaKemenkeu!$AY$6:$AY$1005="Direkomendasikan",ROW($6:$1005)-5),905)+5)),INDEX(checklistPesertaKemenkeu!$O$6:$O$1005,SMALL(IF(checklistPesertaKemenkeu!$AY$6:$AY$1005="Direkomendasikan",ROW($6:$1005)-5),905)))=1),IFERROR(VLOOKUP(INDEX(checklistPesertaKemenkeu!$O$6:$O$1005,SMALL(IF(checklistPesertaKemenkeu!$AY$6:$AY$1005="Direkomendasikan",ROW($6:$1005)-5),905)),KotaKode,2,0),"-"),"")),"")</f>
        <v/>
      </c>
      <c r="L906" t="str">
        <f t="array" aca="1" ref="L906" ca="1">IFERROR(IF(OR(INDEX(checklistPesertaKemenkeu!$P$6:$P$1005,SMALL(IF(checklistPesertaKemenkeu!$AY$6:$AY$1005="Direkomendasikan",ROW($6:$1005)-5),905))="",INDEX(checklistPesertaKemenkeu!$J$6:$J$1005,SMALL(IF(checklistPesertaKemenkeu!$AY$6:$AY$1005="Direkomendasikan",ROW($6:$1005)-5),905))=""),"",IF(AND(COUNTIF(INDIRECT("K_"&amp;MATCH(INDEX(checklistPesertaKemenkeu!$J$6:$J$1005,SMALL(IF(checklistPesertaKemenkeu!$AY$6:$AY$1005="Direkomendasikan",ROW($6:$1005)-5),905)),BidangList,0)),INDEX(checklistPesertaKemenkeu!$P$6:$P$1005,SMALL(IF(checklistPesertaKemenkeu!$AY$6:$AY$1005="Direkomendasikan",ROW($6:$1005)-5),905)))&gt;0,COUNTIF(INDIRECT("'KERTAS KERJA'!K"&amp;(SMALL(IF(checklistPesertaKemenkeu!$AY$6:$AY$1005="Direkomendasikan",ROW($6:$1005)-5),905)+5)&amp;":O"&amp;(SMALL(IF(checklistPesertaKemenkeu!$AY$6:$AY$1005="Direkomendasikan",ROW($6:$1005)-5),905)+5)),INDEX(checklistPesertaKemenkeu!$P$6:$P$1005,SMALL(IF(checklistPesertaKemenkeu!$AY$6:$AY$1005="Direkomendasikan",ROW($6:$1005)-5),905)))=1),IFERROR(VLOOKUP(INDEX(checklistPesertaKemenkeu!$P$6:$P$1005,SMALL(IF(checklistPesertaKemenkeu!$AY$6:$AY$1005="Direkomendasikan",ROW($6:$1005)-5),905)),KotaKode,2,0),"-"),"")),"")</f>
        <v/>
      </c>
    </row>
    <row r="907" spans="1:12" ht="15" customHeight="1" x14ac:dyDescent="0.2">
      <c r="A907" t="str">
        <f t="shared" si="14"/>
        <v/>
      </c>
      <c r="B907" t="str">
        <v/>
      </c>
      <c r="C907" s="40" t="str">
        <f t="array" ref="C907">IFERROR(INDEX(checklistPesertaKemenkeu!$F$6:$F$1005,SMALL(IF(checklistPesertaKemenkeu!$AY$6:$AY$1005="Direkomendasikan",ROW($6:$1005)-5),906)),"")</f>
        <v/>
      </c>
      <c r="D907" t="str">
        <f t="array" ref="D907">IFERROR(INDEX(checklistPesertaKemenkeu!$G$6:$G$1005,SMALL(IF(checklistPesertaKemenkeu!$AY$6:$AY$1005="Direkomendasikan",ROW($6:$1005)-5),906)),"")</f>
        <v/>
      </c>
      <c r="E907" t="str">
        <f t="array" ref="E907">IFERROR(INDEX(checklistPesertaKemenkeu!$H$6:$H$1005,SMALL(IF(checklistPesertaKemenkeu!$AY$6:$AY$1005="Direkomendasikan",ROW($6:$1005)-5),906)),"")</f>
        <v/>
      </c>
      <c r="F907" t="str">
        <f t="array" ref="F907">IFERROR(INDEX(checklistPesertaKemenkeu!$I$6:$I$1005,SMALL(IF(checklistPesertaKemenkeu!$AY$6:$AY$1005="Direkomendasikan",ROW($6:$1005)-5),906)),"")</f>
        <v/>
      </c>
      <c r="G907" t="str">
        <f t="array" ref="G907">IFERROR(INDEX(checklistPesertaKemenkeu!$J$6:$J$1005,SMALL(IF(checklistPesertaKemenkeu!$AY$6:$AY$1005="Direkomendasikan",ROW($6:$1005)-5),906)),"")</f>
        <v/>
      </c>
      <c r="H907" t="str">
        <f t="array" aca="1" ref="H907" ca="1">IFERROR(IF(OR(INDEX(checklistPesertaKemenkeu!$L$6:$L$1005,SMALL(IF(checklistPesertaKemenkeu!$AY$6:$AY$1005="Direkomendasikan",ROW($6:$1005)-5),906))="",INDEX(checklistPesertaKemenkeu!$J$6:$J$1005,SMALL(IF(checklistPesertaKemenkeu!$AY$6:$AY$1005="Direkomendasikan",ROW($6:$1005)-5),906))=""),"",IF(AND(COUNTIF(INDIRECT("K_"&amp;MATCH(INDEX(checklistPesertaKemenkeu!$J$6:$J$1005,SMALL(IF(checklistPesertaKemenkeu!$AY$6:$AY$1005="Direkomendasikan",ROW($6:$1005)-5),906)),BidangList,0)),INDEX(checklistPesertaKemenkeu!$L$6:$L$1005,SMALL(IF(checklistPesertaKemenkeu!$AY$6:$AY$1005="Direkomendasikan",ROW($6:$1005)-5),906)))&gt;0,COUNTIF(INDIRECT("'KERTAS KERJA'!K"&amp;(SMALL(IF(checklistPesertaKemenkeu!$AY$6:$AY$1005="Direkomendasikan",ROW($6:$1005)-5),906)+5)&amp;":O"&amp;(SMALL(IF(checklistPesertaKemenkeu!$AY$6:$AY$1005="Direkomendasikan",ROW($6:$1005)-5),906)+5)),INDEX(checklistPesertaKemenkeu!$L$6:$L$1005,SMALL(IF(checklistPesertaKemenkeu!$AY$6:$AY$1005="Direkomendasikan",ROW($6:$1005)-5),906)))=1),IFERROR(VLOOKUP(INDEX(checklistPesertaKemenkeu!$L$6:$L$1005,SMALL(IF(checklistPesertaKemenkeu!$AY$6:$AY$1005="Direkomendasikan",ROW($6:$1005)-5),906)),KotaKode,2,0),"-"),"")),"")</f>
        <v/>
      </c>
      <c r="I907" t="str">
        <f t="array" aca="1" ref="I907" ca="1">IFERROR(IF(OR(INDEX(checklistPesertaKemenkeu!$M$6:$M$1005,SMALL(IF(checklistPesertaKemenkeu!$AY$6:$AY$1005="Direkomendasikan",ROW($6:$1005)-5),906))="",INDEX(checklistPesertaKemenkeu!$J$6:$J$1005,SMALL(IF(checklistPesertaKemenkeu!$AY$6:$AY$1005="Direkomendasikan",ROW($6:$1005)-5),906))=""),"",IF(AND(COUNTIF(INDIRECT("K_"&amp;MATCH(INDEX(checklistPesertaKemenkeu!$J$6:$J$1005,SMALL(IF(checklistPesertaKemenkeu!$AY$6:$AY$1005="Direkomendasikan",ROW($6:$1005)-5),906)),BidangList,0)),INDEX(checklistPesertaKemenkeu!$M$6:$M$1005,SMALL(IF(checklistPesertaKemenkeu!$AY$6:$AY$1005="Direkomendasikan",ROW($6:$1005)-5),906)))&gt;0,COUNTIF(INDIRECT("'KERTAS KERJA'!K"&amp;(SMALL(IF(checklistPesertaKemenkeu!$AY$6:$AY$1005="Direkomendasikan",ROW($6:$1005)-5),906)+5)&amp;":O"&amp;(SMALL(IF(checklistPesertaKemenkeu!$AY$6:$AY$1005="Direkomendasikan",ROW($6:$1005)-5),906)+5)),INDEX(checklistPesertaKemenkeu!$M$6:$M$1005,SMALL(IF(checklistPesertaKemenkeu!$AY$6:$AY$1005="Direkomendasikan",ROW($6:$1005)-5),906)))=1),IFERROR(VLOOKUP(INDEX(checklistPesertaKemenkeu!$M$6:$M$1005,SMALL(IF(checklistPesertaKemenkeu!$AY$6:$AY$1005="Direkomendasikan",ROW($6:$1005)-5),906)),KotaKode,2,0),"-"),"")),"")</f>
        <v/>
      </c>
      <c r="J907" t="str">
        <f t="array" aca="1" ref="J907" ca="1">IFERROR(IF(OR(INDEX(checklistPesertaKemenkeu!$N$6:$N$1005,SMALL(IF(checklistPesertaKemenkeu!$AY$6:$AY$1005="Direkomendasikan",ROW($6:$1005)-5),906))="",INDEX(checklistPesertaKemenkeu!$J$6:$J$1005,SMALL(IF(checklistPesertaKemenkeu!$AY$6:$AY$1005="Direkomendasikan",ROW($6:$1005)-5),906))=""),"",IF(AND(COUNTIF(INDIRECT("K_"&amp;MATCH(INDEX(checklistPesertaKemenkeu!$J$6:$J$1005,SMALL(IF(checklistPesertaKemenkeu!$AY$6:$AY$1005="Direkomendasikan",ROW($6:$1005)-5),906)),BidangList,0)),INDEX(checklistPesertaKemenkeu!$N$6:$N$1005,SMALL(IF(checklistPesertaKemenkeu!$AY$6:$AY$1005="Direkomendasikan",ROW($6:$1005)-5),906)))&gt;0,COUNTIF(INDIRECT("'KERTAS KERJA'!K"&amp;(SMALL(IF(checklistPesertaKemenkeu!$AY$6:$AY$1005="Direkomendasikan",ROW($6:$1005)-5),906)+5)&amp;":O"&amp;(SMALL(IF(checklistPesertaKemenkeu!$AY$6:$AY$1005="Direkomendasikan",ROW($6:$1005)-5),906)+5)),INDEX(checklistPesertaKemenkeu!$N$6:$N$1005,SMALL(IF(checklistPesertaKemenkeu!$AY$6:$AY$1005="Direkomendasikan",ROW($6:$1005)-5),906)))=1),IFERROR(VLOOKUP(INDEX(checklistPesertaKemenkeu!$N$6:$N$1005,SMALL(IF(checklistPesertaKemenkeu!$AY$6:$AY$1005="Direkomendasikan",ROW($6:$1005)-5),906)),KotaKode,2,0),"-"),"")),"")</f>
        <v/>
      </c>
      <c r="K907" t="str">
        <f t="array" aca="1" ref="K907" ca="1">IFERROR(IF(OR(INDEX(checklistPesertaKemenkeu!$O$6:$O$1005,SMALL(IF(checklistPesertaKemenkeu!$AY$6:$AY$1005="Direkomendasikan",ROW($6:$1005)-5),906))="",INDEX(checklistPesertaKemenkeu!$J$6:$J$1005,SMALL(IF(checklistPesertaKemenkeu!$AY$6:$AY$1005="Direkomendasikan",ROW($6:$1005)-5),906))=""),"",IF(AND(COUNTIF(INDIRECT("K_"&amp;MATCH(INDEX(checklistPesertaKemenkeu!$J$6:$J$1005,SMALL(IF(checklistPesertaKemenkeu!$AY$6:$AY$1005="Direkomendasikan",ROW($6:$1005)-5),906)),BidangList,0)),INDEX(checklistPesertaKemenkeu!$O$6:$O$1005,SMALL(IF(checklistPesertaKemenkeu!$AY$6:$AY$1005="Direkomendasikan",ROW($6:$1005)-5),906)))&gt;0,COUNTIF(INDIRECT("'KERTAS KERJA'!K"&amp;(SMALL(IF(checklistPesertaKemenkeu!$AY$6:$AY$1005="Direkomendasikan",ROW($6:$1005)-5),906)+5)&amp;":O"&amp;(SMALL(IF(checklistPesertaKemenkeu!$AY$6:$AY$1005="Direkomendasikan",ROW($6:$1005)-5),906)+5)),INDEX(checklistPesertaKemenkeu!$O$6:$O$1005,SMALL(IF(checklistPesertaKemenkeu!$AY$6:$AY$1005="Direkomendasikan",ROW($6:$1005)-5),906)))=1),IFERROR(VLOOKUP(INDEX(checklistPesertaKemenkeu!$O$6:$O$1005,SMALL(IF(checklistPesertaKemenkeu!$AY$6:$AY$1005="Direkomendasikan",ROW($6:$1005)-5),906)),KotaKode,2,0),"-"),"")),"")</f>
        <v/>
      </c>
      <c r="L907" t="str">
        <f t="array" aca="1" ref="L907" ca="1">IFERROR(IF(OR(INDEX(checklistPesertaKemenkeu!$P$6:$P$1005,SMALL(IF(checklistPesertaKemenkeu!$AY$6:$AY$1005="Direkomendasikan",ROW($6:$1005)-5),906))="",INDEX(checklistPesertaKemenkeu!$J$6:$J$1005,SMALL(IF(checklistPesertaKemenkeu!$AY$6:$AY$1005="Direkomendasikan",ROW($6:$1005)-5),906))=""),"",IF(AND(COUNTIF(INDIRECT("K_"&amp;MATCH(INDEX(checklistPesertaKemenkeu!$J$6:$J$1005,SMALL(IF(checklistPesertaKemenkeu!$AY$6:$AY$1005="Direkomendasikan",ROW($6:$1005)-5),906)),BidangList,0)),INDEX(checklistPesertaKemenkeu!$P$6:$P$1005,SMALL(IF(checklistPesertaKemenkeu!$AY$6:$AY$1005="Direkomendasikan",ROW($6:$1005)-5),906)))&gt;0,COUNTIF(INDIRECT("'KERTAS KERJA'!K"&amp;(SMALL(IF(checklistPesertaKemenkeu!$AY$6:$AY$1005="Direkomendasikan",ROW($6:$1005)-5),906)+5)&amp;":O"&amp;(SMALL(IF(checklistPesertaKemenkeu!$AY$6:$AY$1005="Direkomendasikan",ROW($6:$1005)-5),906)+5)),INDEX(checklistPesertaKemenkeu!$P$6:$P$1005,SMALL(IF(checklistPesertaKemenkeu!$AY$6:$AY$1005="Direkomendasikan",ROW($6:$1005)-5),906)))=1),IFERROR(VLOOKUP(INDEX(checklistPesertaKemenkeu!$P$6:$P$1005,SMALL(IF(checklistPesertaKemenkeu!$AY$6:$AY$1005="Direkomendasikan",ROW($6:$1005)-5),906)),KotaKode,2,0),"-"),"")),"")</f>
        <v/>
      </c>
    </row>
    <row r="908" spans="1:12" ht="15" customHeight="1" x14ac:dyDescent="0.2">
      <c r="A908" t="str">
        <f t="shared" si="14"/>
        <v/>
      </c>
      <c r="B908" t="str">
        <v/>
      </c>
      <c r="C908" s="40" t="str">
        <f t="array" ref="C908">IFERROR(INDEX(checklistPesertaKemenkeu!$F$6:$F$1005,SMALL(IF(checklistPesertaKemenkeu!$AY$6:$AY$1005="Direkomendasikan",ROW($6:$1005)-5),907)),"")</f>
        <v/>
      </c>
      <c r="D908" t="str">
        <f t="array" ref="D908">IFERROR(INDEX(checklistPesertaKemenkeu!$G$6:$G$1005,SMALL(IF(checklistPesertaKemenkeu!$AY$6:$AY$1005="Direkomendasikan",ROW($6:$1005)-5),907)),"")</f>
        <v/>
      </c>
      <c r="E908" t="str">
        <f t="array" ref="E908">IFERROR(INDEX(checklistPesertaKemenkeu!$H$6:$H$1005,SMALL(IF(checklistPesertaKemenkeu!$AY$6:$AY$1005="Direkomendasikan",ROW($6:$1005)-5),907)),"")</f>
        <v/>
      </c>
      <c r="F908" t="str">
        <f t="array" ref="F908">IFERROR(INDEX(checklistPesertaKemenkeu!$I$6:$I$1005,SMALL(IF(checklistPesertaKemenkeu!$AY$6:$AY$1005="Direkomendasikan",ROW($6:$1005)-5),907)),"")</f>
        <v/>
      </c>
      <c r="G908" t="str">
        <f t="array" ref="G908">IFERROR(INDEX(checklistPesertaKemenkeu!$J$6:$J$1005,SMALL(IF(checklistPesertaKemenkeu!$AY$6:$AY$1005="Direkomendasikan",ROW($6:$1005)-5),907)),"")</f>
        <v/>
      </c>
      <c r="H908" t="str">
        <f t="array" aca="1" ref="H908" ca="1">IFERROR(IF(OR(INDEX(checklistPesertaKemenkeu!$L$6:$L$1005,SMALL(IF(checklistPesertaKemenkeu!$AY$6:$AY$1005="Direkomendasikan",ROW($6:$1005)-5),907))="",INDEX(checklistPesertaKemenkeu!$J$6:$J$1005,SMALL(IF(checklistPesertaKemenkeu!$AY$6:$AY$1005="Direkomendasikan",ROW($6:$1005)-5),907))=""),"",IF(AND(COUNTIF(INDIRECT("K_"&amp;MATCH(INDEX(checklistPesertaKemenkeu!$J$6:$J$1005,SMALL(IF(checklistPesertaKemenkeu!$AY$6:$AY$1005="Direkomendasikan",ROW($6:$1005)-5),907)),BidangList,0)),INDEX(checklistPesertaKemenkeu!$L$6:$L$1005,SMALL(IF(checklistPesertaKemenkeu!$AY$6:$AY$1005="Direkomendasikan",ROW($6:$1005)-5),907)))&gt;0,COUNTIF(INDIRECT("'KERTAS KERJA'!K"&amp;(SMALL(IF(checklistPesertaKemenkeu!$AY$6:$AY$1005="Direkomendasikan",ROW($6:$1005)-5),907)+5)&amp;":O"&amp;(SMALL(IF(checklistPesertaKemenkeu!$AY$6:$AY$1005="Direkomendasikan",ROW($6:$1005)-5),907)+5)),INDEX(checklistPesertaKemenkeu!$L$6:$L$1005,SMALL(IF(checklistPesertaKemenkeu!$AY$6:$AY$1005="Direkomendasikan",ROW($6:$1005)-5),907)))=1),IFERROR(VLOOKUP(INDEX(checklistPesertaKemenkeu!$L$6:$L$1005,SMALL(IF(checklistPesertaKemenkeu!$AY$6:$AY$1005="Direkomendasikan",ROW($6:$1005)-5),907)),KotaKode,2,0),"-"),"")),"")</f>
        <v/>
      </c>
      <c r="I908" t="str">
        <f t="array" aca="1" ref="I908" ca="1">IFERROR(IF(OR(INDEX(checklistPesertaKemenkeu!$M$6:$M$1005,SMALL(IF(checklistPesertaKemenkeu!$AY$6:$AY$1005="Direkomendasikan",ROW($6:$1005)-5),907))="",INDEX(checklistPesertaKemenkeu!$J$6:$J$1005,SMALL(IF(checklistPesertaKemenkeu!$AY$6:$AY$1005="Direkomendasikan",ROW($6:$1005)-5),907))=""),"",IF(AND(COUNTIF(INDIRECT("K_"&amp;MATCH(INDEX(checklistPesertaKemenkeu!$J$6:$J$1005,SMALL(IF(checklistPesertaKemenkeu!$AY$6:$AY$1005="Direkomendasikan",ROW($6:$1005)-5),907)),BidangList,0)),INDEX(checklistPesertaKemenkeu!$M$6:$M$1005,SMALL(IF(checklistPesertaKemenkeu!$AY$6:$AY$1005="Direkomendasikan",ROW($6:$1005)-5),907)))&gt;0,COUNTIF(INDIRECT("'KERTAS KERJA'!K"&amp;(SMALL(IF(checklistPesertaKemenkeu!$AY$6:$AY$1005="Direkomendasikan",ROW($6:$1005)-5),907)+5)&amp;":O"&amp;(SMALL(IF(checklistPesertaKemenkeu!$AY$6:$AY$1005="Direkomendasikan",ROW($6:$1005)-5),907)+5)),INDEX(checklistPesertaKemenkeu!$M$6:$M$1005,SMALL(IF(checklistPesertaKemenkeu!$AY$6:$AY$1005="Direkomendasikan",ROW($6:$1005)-5),907)))=1),IFERROR(VLOOKUP(INDEX(checklistPesertaKemenkeu!$M$6:$M$1005,SMALL(IF(checklistPesertaKemenkeu!$AY$6:$AY$1005="Direkomendasikan",ROW($6:$1005)-5),907)),KotaKode,2,0),"-"),"")),"")</f>
        <v/>
      </c>
      <c r="J908" t="str">
        <f t="array" aca="1" ref="J908" ca="1">IFERROR(IF(OR(INDEX(checklistPesertaKemenkeu!$N$6:$N$1005,SMALL(IF(checklistPesertaKemenkeu!$AY$6:$AY$1005="Direkomendasikan",ROW($6:$1005)-5),907))="",INDEX(checklistPesertaKemenkeu!$J$6:$J$1005,SMALL(IF(checklistPesertaKemenkeu!$AY$6:$AY$1005="Direkomendasikan",ROW($6:$1005)-5),907))=""),"",IF(AND(COUNTIF(INDIRECT("K_"&amp;MATCH(INDEX(checklistPesertaKemenkeu!$J$6:$J$1005,SMALL(IF(checklistPesertaKemenkeu!$AY$6:$AY$1005="Direkomendasikan",ROW($6:$1005)-5),907)),BidangList,0)),INDEX(checklistPesertaKemenkeu!$N$6:$N$1005,SMALL(IF(checklistPesertaKemenkeu!$AY$6:$AY$1005="Direkomendasikan",ROW($6:$1005)-5),907)))&gt;0,COUNTIF(INDIRECT("'KERTAS KERJA'!K"&amp;(SMALL(IF(checklistPesertaKemenkeu!$AY$6:$AY$1005="Direkomendasikan",ROW($6:$1005)-5),907)+5)&amp;":O"&amp;(SMALL(IF(checklistPesertaKemenkeu!$AY$6:$AY$1005="Direkomendasikan",ROW($6:$1005)-5),907)+5)),INDEX(checklistPesertaKemenkeu!$N$6:$N$1005,SMALL(IF(checklistPesertaKemenkeu!$AY$6:$AY$1005="Direkomendasikan",ROW($6:$1005)-5),907)))=1),IFERROR(VLOOKUP(INDEX(checklistPesertaKemenkeu!$N$6:$N$1005,SMALL(IF(checklistPesertaKemenkeu!$AY$6:$AY$1005="Direkomendasikan",ROW($6:$1005)-5),907)),KotaKode,2,0),"-"),"")),"")</f>
        <v/>
      </c>
      <c r="K908" t="str">
        <f t="array" aca="1" ref="K908" ca="1">IFERROR(IF(OR(INDEX(checklistPesertaKemenkeu!$O$6:$O$1005,SMALL(IF(checklistPesertaKemenkeu!$AY$6:$AY$1005="Direkomendasikan",ROW($6:$1005)-5),907))="",INDEX(checklistPesertaKemenkeu!$J$6:$J$1005,SMALL(IF(checklistPesertaKemenkeu!$AY$6:$AY$1005="Direkomendasikan",ROW($6:$1005)-5),907))=""),"",IF(AND(COUNTIF(INDIRECT("K_"&amp;MATCH(INDEX(checklistPesertaKemenkeu!$J$6:$J$1005,SMALL(IF(checklistPesertaKemenkeu!$AY$6:$AY$1005="Direkomendasikan",ROW($6:$1005)-5),907)),BidangList,0)),INDEX(checklistPesertaKemenkeu!$O$6:$O$1005,SMALL(IF(checklistPesertaKemenkeu!$AY$6:$AY$1005="Direkomendasikan",ROW($6:$1005)-5),907)))&gt;0,COUNTIF(INDIRECT("'KERTAS KERJA'!K"&amp;(SMALL(IF(checklistPesertaKemenkeu!$AY$6:$AY$1005="Direkomendasikan",ROW($6:$1005)-5),907)+5)&amp;":O"&amp;(SMALL(IF(checklistPesertaKemenkeu!$AY$6:$AY$1005="Direkomendasikan",ROW($6:$1005)-5),907)+5)),INDEX(checklistPesertaKemenkeu!$O$6:$O$1005,SMALL(IF(checklistPesertaKemenkeu!$AY$6:$AY$1005="Direkomendasikan",ROW($6:$1005)-5),907)))=1),IFERROR(VLOOKUP(INDEX(checklistPesertaKemenkeu!$O$6:$O$1005,SMALL(IF(checklistPesertaKemenkeu!$AY$6:$AY$1005="Direkomendasikan",ROW($6:$1005)-5),907)),KotaKode,2,0),"-"),"")),"")</f>
        <v/>
      </c>
      <c r="L908" t="str">
        <f t="array" aca="1" ref="L908" ca="1">IFERROR(IF(OR(INDEX(checklistPesertaKemenkeu!$P$6:$P$1005,SMALL(IF(checklistPesertaKemenkeu!$AY$6:$AY$1005="Direkomendasikan",ROW($6:$1005)-5),907))="",INDEX(checklistPesertaKemenkeu!$J$6:$J$1005,SMALL(IF(checklistPesertaKemenkeu!$AY$6:$AY$1005="Direkomendasikan",ROW($6:$1005)-5),907))=""),"",IF(AND(COUNTIF(INDIRECT("K_"&amp;MATCH(INDEX(checklistPesertaKemenkeu!$J$6:$J$1005,SMALL(IF(checklistPesertaKemenkeu!$AY$6:$AY$1005="Direkomendasikan",ROW($6:$1005)-5),907)),BidangList,0)),INDEX(checklistPesertaKemenkeu!$P$6:$P$1005,SMALL(IF(checklistPesertaKemenkeu!$AY$6:$AY$1005="Direkomendasikan",ROW($6:$1005)-5),907)))&gt;0,COUNTIF(INDIRECT("'KERTAS KERJA'!K"&amp;(SMALL(IF(checklistPesertaKemenkeu!$AY$6:$AY$1005="Direkomendasikan",ROW($6:$1005)-5),907)+5)&amp;":O"&amp;(SMALL(IF(checklistPesertaKemenkeu!$AY$6:$AY$1005="Direkomendasikan",ROW($6:$1005)-5),907)+5)),INDEX(checklistPesertaKemenkeu!$P$6:$P$1005,SMALL(IF(checklistPesertaKemenkeu!$AY$6:$AY$1005="Direkomendasikan",ROW($6:$1005)-5),907)))=1),IFERROR(VLOOKUP(INDEX(checklistPesertaKemenkeu!$P$6:$P$1005,SMALL(IF(checklistPesertaKemenkeu!$AY$6:$AY$1005="Direkomendasikan",ROW($6:$1005)-5),907)),KotaKode,2,0),"-"),"")),"")</f>
        <v/>
      </c>
    </row>
    <row r="909" spans="1:12" ht="15" customHeight="1" x14ac:dyDescent="0.2">
      <c r="A909" t="str">
        <f t="shared" si="14"/>
        <v/>
      </c>
      <c r="B909" t="str">
        <v/>
      </c>
      <c r="C909" s="40" t="str">
        <f t="array" ref="C909">IFERROR(INDEX(checklistPesertaKemenkeu!$F$6:$F$1005,SMALL(IF(checklistPesertaKemenkeu!$AY$6:$AY$1005="Direkomendasikan",ROW($6:$1005)-5),908)),"")</f>
        <v/>
      </c>
      <c r="D909" t="str">
        <f t="array" ref="D909">IFERROR(INDEX(checklistPesertaKemenkeu!$G$6:$G$1005,SMALL(IF(checklistPesertaKemenkeu!$AY$6:$AY$1005="Direkomendasikan",ROW($6:$1005)-5),908)),"")</f>
        <v/>
      </c>
      <c r="E909" t="str">
        <f t="array" ref="E909">IFERROR(INDEX(checklistPesertaKemenkeu!$H$6:$H$1005,SMALL(IF(checklistPesertaKemenkeu!$AY$6:$AY$1005="Direkomendasikan",ROW($6:$1005)-5),908)),"")</f>
        <v/>
      </c>
      <c r="F909" t="str">
        <f t="array" ref="F909">IFERROR(INDEX(checklistPesertaKemenkeu!$I$6:$I$1005,SMALL(IF(checklistPesertaKemenkeu!$AY$6:$AY$1005="Direkomendasikan",ROW($6:$1005)-5),908)),"")</f>
        <v/>
      </c>
      <c r="G909" t="str">
        <f t="array" ref="G909">IFERROR(INDEX(checklistPesertaKemenkeu!$J$6:$J$1005,SMALL(IF(checklistPesertaKemenkeu!$AY$6:$AY$1005="Direkomendasikan",ROW($6:$1005)-5),908)),"")</f>
        <v/>
      </c>
      <c r="H909" t="str">
        <f t="array" aca="1" ref="H909" ca="1">IFERROR(IF(OR(INDEX(checklistPesertaKemenkeu!$L$6:$L$1005,SMALL(IF(checklistPesertaKemenkeu!$AY$6:$AY$1005="Direkomendasikan",ROW($6:$1005)-5),908))="",INDEX(checklistPesertaKemenkeu!$J$6:$J$1005,SMALL(IF(checklistPesertaKemenkeu!$AY$6:$AY$1005="Direkomendasikan",ROW($6:$1005)-5),908))=""),"",IF(AND(COUNTIF(INDIRECT("K_"&amp;MATCH(INDEX(checklistPesertaKemenkeu!$J$6:$J$1005,SMALL(IF(checklistPesertaKemenkeu!$AY$6:$AY$1005="Direkomendasikan",ROW($6:$1005)-5),908)),BidangList,0)),INDEX(checklistPesertaKemenkeu!$L$6:$L$1005,SMALL(IF(checklistPesertaKemenkeu!$AY$6:$AY$1005="Direkomendasikan",ROW($6:$1005)-5),908)))&gt;0,COUNTIF(INDIRECT("'KERTAS KERJA'!K"&amp;(SMALL(IF(checklistPesertaKemenkeu!$AY$6:$AY$1005="Direkomendasikan",ROW($6:$1005)-5),908)+5)&amp;":O"&amp;(SMALL(IF(checklistPesertaKemenkeu!$AY$6:$AY$1005="Direkomendasikan",ROW($6:$1005)-5),908)+5)),INDEX(checklistPesertaKemenkeu!$L$6:$L$1005,SMALL(IF(checklistPesertaKemenkeu!$AY$6:$AY$1005="Direkomendasikan",ROW($6:$1005)-5),908)))=1),IFERROR(VLOOKUP(INDEX(checklistPesertaKemenkeu!$L$6:$L$1005,SMALL(IF(checklistPesertaKemenkeu!$AY$6:$AY$1005="Direkomendasikan",ROW($6:$1005)-5),908)),KotaKode,2,0),"-"),"")),"")</f>
        <v/>
      </c>
      <c r="I909" t="str">
        <f t="array" aca="1" ref="I909" ca="1">IFERROR(IF(OR(INDEX(checklistPesertaKemenkeu!$M$6:$M$1005,SMALL(IF(checklistPesertaKemenkeu!$AY$6:$AY$1005="Direkomendasikan",ROW($6:$1005)-5),908))="",INDEX(checklistPesertaKemenkeu!$J$6:$J$1005,SMALL(IF(checklistPesertaKemenkeu!$AY$6:$AY$1005="Direkomendasikan",ROW($6:$1005)-5),908))=""),"",IF(AND(COUNTIF(INDIRECT("K_"&amp;MATCH(INDEX(checklistPesertaKemenkeu!$J$6:$J$1005,SMALL(IF(checklistPesertaKemenkeu!$AY$6:$AY$1005="Direkomendasikan",ROW($6:$1005)-5),908)),BidangList,0)),INDEX(checklistPesertaKemenkeu!$M$6:$M$1005,SMALL(IF(checklistPesertaKemenkeu!$AY$6:$AY$1005="Direkomendasikan",ROW($6:$1005)-5),908)))&gt;0,COUNTIF(INDIRECT("'KERTAS KERJA'!K"&amp;(SMALL(IF(checklistPesertaKemenkeu!$AY$6:$AY$1005="Direkomendasikan",ROW($6:$1005)-5),908)+5)&amp;":O"&amp;(SMALL(IF(checklistPesertaKemenkeu!$AY$6:$AY$1005="Direkomendasikan",ROW($6:$1005)-5),908)+5)),INDEX(checklistPesertaKemenkeu!$M$6:$M$1005,SMALL(IF(checklistPesertaKemenkeu!$AY$6:$AY$1005="Direkomendasikan",ROW($6:$1005)-5),908)))=1),IFERROR(VLOOKUP(INDEX(checklistPesertaKemenkeu!$M$6:$M$1005,SMALL(IF(checklistPesertaKemenkeu!$AY$6:$AY$1005="Direkomendasikan",ROW($6:$1005)-5),908)),KotaKode,2,0),"-"),"")),"")</f>
        <v/>
      </c>
      <c r="J909" t="str">
        <f t="array" aca="1" ref="J909" ca="1">IFERROR(IF(OR(INDEX(checklistPesertaKemenkeu!$N$6:$N$1005,SMALL(IF(checklistPesertaKemenkeu!$AY$6:$AY$1005="Direkomendasikan",ROW($6:$1005)-5),908))="",INDEX(checklistPesertaKemenkeu!$J$6:$J$1005,SMALL(IF(checklistPesertaKemenkeu!$AY$6:$AY$1005="Direkomendasikan",ROW($6:$1005)-5),908))=""),"",IF(AND(COUNTIF(INDIRECT("K_"&amp;MATCH(INDEX(checklistPesertaKemenkeu!$J$6:$J$1005,SMALL(IF(checklistPesertaKemenkeu!$AY$6:$AY$1005="Direkomendasikan",ROW($6:$1005)-5),908)),BidangList,0)),INDEX(checklistPesertaKemenkeu!$N$6:$N$1005,SMALL(IF(checklistPesertaKemenkeu!$AY$6:$AY$1005="Direkomendasikan",ROW($6:$1005)-5),908)))&gt;0,COUNTIF(INDIRECT("'KERTAS KERJA'!K"&amp;(SMALL(IF(checklistPesertaKemenkeu!$AY$6:$AY$1005="Direkomendasikan",ROW($6:$1005)-5),908)+5)&amp;":O"&amp;(SMALL(IF(checklistPesertaKemenkeu!$AY$6:$AY$1005="Direkomendasikan",ROW($6:$1005)-5),908)+5)),INDEX(checklistPesertaKemenkeu!$N$6:$N$1005,SMALL(IF(checklistPesertaKemenkeu!$AY$6:$AY$1005="Direkomendasikan",ROW($6:$1005)-5),908)))=1),IFERROR(VLOOKUP(INDEX(checklistPesertaKemenkeu!$N$6:$N$1005,SMALL(IF(checklistPesertaKemenkeu!$AY$6:$AY$1005="Direkomendasikan",ROW($6:$1005)-5),908)),KotaKode,2,0),"-"),"")),"")</f>
        <v/>
      </c>
      <c r="K909" t="str">
        <f t="array" aca="1" ref="K909" ca="1">IFERROR(IF(OR(INDEX(checklistPesertaKemenkeu!$O$6:$O$1005,SMALL(IF(checklistPesertaKemenkeu!$AY$6:$AY$1005="Direkomendasikan",ROW($6:$1005)-5),908))="",INDEX(checklistPesertaKemenkeu!$J$6:$J$1005,SMALL(IF(checklistPesertaKemenkeu!$AY$6:$AY$1005="Direkomendasikan",ROW($6:$1005)-5),908))=""),"",IF(AND(COUNTIF(INDIRECT("K_"&amp;MATCH(INDEX(checklistPesertaKemenkeu!$J$6:$J$1005,SMALL(IF(checklistPesertaKemenkeu!$AY$6:$AY$1005="Direkomendasikan",ROW($6:$1005)-5),908)),BidangList,0)),INDEX(checklistPesertaKemenkeu!$O$6:$O$1005,SMALL(IF(checklistPesertaKemenkeu!$AY$6:$AY$1005="Direkomendasikan",ROW($6:$1005)-5),908)))&gt;0,COUNTIF(INDIRECT("'KERTAS KERJA'!K"&amp;(SMALL(IF(checklistPesertaKemenkeu!$AY$6:$AY$1005="Direkomendasikan",ROW($6:$1005)-5),908)+5)&amp;":O"&amp;(SMALL(IF(checklistPesertaKemenkeu!$AY$6:$AY$1005="Direkomendasikan",ROW($6:$1005)-5),908)+5)),INDEX(checklistPesertaKemenkeu!$O$6:$O$1005,SMALL(IF(checklistPesertaKemenkeu!$AY$6:$AY$1005="Direkomendasikan",ROW($6:$1005)-5),908)))=1),IFERROR(VLOOKUP(INDEX(checklistPesertaKemenkeu!$O$6:$O$1005,SMALL(IF(checklistPesertaKemenkeu!$AY$6:$AY$1005="Direkomendasikan",ROW($6:$1005)-5),908)),KotaKode,2,0),"-"),"")),"")</f>
        <v/>
      </c>
      <c r="L909" t="str">
        <f t="array" aca="1" ref="L909" ca="1">IFERROR(IF(OR(INDEX(checklistPesertaKemenkeu!$P$6:$P$1005,SMALL(IF(checklistPesertaKemenkeu!$AY$6:$AY$1005="Direkomendasikan",ROW($6:$1005)-5),908))="",INDEX(checklistPesertaKemenkeu!$J$6:$J$1005,SMALL(IF(checklistPesertaKemenkeu!$AY$6:$AY$1005="Direkomendasikan",ROW($6:$1005)-5),908))=""),"",IF(AND(COUNTIF(INDIRECT("K_"&amp;MATCH(INDEX(checklistPesertaKemenkeu!$J$6:$J$1005,SMALL(IF(checklistPesertaKemenkeu!$AY$6:$AY$1005="Direkomendasikan",ROW($6:$1005)-5),908)),BidangList,0)),INDEX(checklistPesertaKemenkeu!$P$6:$P$1005,SMALL(IF(checklistPesertaKemenkeu!$AY$6:$AY$1005="Direkomendasikan",ROW($6:$1005)-5),908)))&gt;0,COUNTIF(INDIRECT("'KERTAS KERJA'!K"&amp;(SMALL(IF(checklistPesertaKemenkeu!$AY$6:$AY$1005="Direkomendasikan",ROW($6:$1005)-5),908)+5)&amp;":O"&amp;(SMALL(IF(checklistPesertaKemenkeu!$AY$6:$AY$1005="Direkomendasikan",ROW($6:$1005)-5),908)+5)),INDEX(checklistPesertaKemenkeu!$P$6:$P$1005,SMALL(IF(checklistPesertaKemenkeu!$AY$6:$AY$1005="Direkomendasikan",ROW($6:$1005)-5),908)))=1),IFERROR(VLOOKUP(INDEX(checklistPesertaKemenkeu!$P$6:$P$1005,SMALL(IF(checklistPesertaKemenkeu!$AY$6:$AY$1005="Direkomendasikan",ROW($6:$1005)-5),908)),KotaKode,2,0),"-"),"")),"")</f>
        <v/>
      </c>
    </row>
    <row r="910" spans="1:12" ht="15" customHeight="1" x14ac:dyDescent="0.2">
      <c r="A910" t="str">
        <f t="shared" si="14"/>
        <v/>
      </c>
      <c r="B910" t="str">
        <v/>
      </c>
      <c r="C910" s="40" t="str">
        <f t="array" ref="C910">IFERROR(INDEX(checklistPesertaKemenkeu!$F$6:$F$1005,SMALL(IF(checklistPesertaKemenkeu!$AY$6:$AY$1005="Direkomendasikan",ROW($6:$1005)-5),909)),"")</f>
        <v/>
      </c>
      <c r="D910" t="str">
        <f t="array" ref="D910">IFERROR(INDEX(checklistPesertaKemenkeu!$G$6:$G$1005,SMALL(IF(checklistPesertaKemenkeu!$AY$6:$AY$1005="Direkomendasikan",ROW($6:$1005)-5),909)),"")</f>
        <v/>
      </c>
      <c r="E910" t="str">
        <f t="array" ref="E910">IFERROR(INDEX(checklistPesertaKemenkeu!$H$6:$H$1005,SMALL(IF(checklistPesertaKemenkeu!$AY$6:$AY$1005="Direkomendasikan",ROW($6:$1005)-5),909)),"")</f>
        <v/>
      </c>
      <c r="F910" t="str">
        <f t="array" ref="F910">IFERROR(INDEX(checklistPesertaKemenkeu!$I$6:$I$1005,SMALL(IF(checklistPesertaKemenkeu!$AY$6:$AY$1005="Direkomendasikan",ROW($6:$1005)-5),909)),"")</f>
        <v/>
      </c>
      <c r="G910" t="str">
        <f t="array" ref="G910">IFERROR(INDEX(checklistPesertaKemenkeu!$J$6:$J$1005,SMALL(IF(checklistPesertaKemenkeu!$AY$6:$AY$1005="Direkomendasikan",ROW($6:$1005)-5),909)),"")</f>
        <v/>
      </c>
      <c r="H910" t="str">
        <f t="array" aca="1" ref="H910" ca="1">IFERROR(IF(OR(INDEX(checklistPesertaKemenkeu!$L$6:$L$1005,SMALL(IF(checklistPesertaKemenkeu!$AY$6:$AY$1005="Direkomendasikan",ROW($6:$1005)-5),909))="",INDEX(checklistPesertaKemenkeu!$J$6:$J$1005,SMALL(IF(checklistPesertaKemenkeu!$AY$6:$AY$1005="Direkomendasikan",ROW($6:$1005)-5),909))=""),"",IF(AND(COUNTIF(INDIRECT("K_"&amp;MATCH(INDEX(checklistPesertaKemenkeu!$J$6:$J$1005,SMALL(IF(checklistPesertaKemenkeu!$AY$6:$AY$1005="Direkomendasikan",ROW($6:$1005)-5),909)),BidangList,0)),INDEX(checklistPesertaKemenkeu!$L$6:$L$1005,SMALL(IF(checklistPesertaKemenkeu!$AY$6:$AY$1005="Direkomendasikan",ROW($6:$1005)-5),909)))&gt;0,COUNTIF(INDIRECT("'KERTAS KERJA'!K"&amp;(SMALL(IF(checklistPesertaKemenkeu!$AY$6:$AY$1005="Direkomendasikan",ROW($6:$1005)-5),909)+5)&amp;":O"&amp;(SMALL(IF(checklistPesertaKemenkeu!$AY$6:$AY$1005="Direkomendasikan",ROW($6:$1005)-5),909)+5)),INDEX(checklistPesertaKemenkeu!$L$6:$L$1005,SMALL(IF(checklistPesertaKemenkeu!$AY$6:$AY$1005="Direkomendasikan",ROW($6:$1005)-5),909)))=1),IFERROR(VLOOKUP(INDEX(checklistPesertaKemenkeu!$L$6:$L$1005,SMALL(IF(checklistPesertaKemenkeu!$AY$6:$AY$1005="Direkomendasikan",ROW($6:$1005)-5),909)),KotaKode,2,0),"-"),"")),"")</f>
        <v/>
      </c>
      <c r="I910" t="str">
        <f t="array" aca="1" ref="I910" ca="1">IFERROR(IF(OR(INDEX(checklistPesertaKemenkeu!$M$6:$M$1005,SMALL(IF(checklistPesertaKemenkeu!$AY$6:$AY$1005="Direkomendasikan",ROW($6:$1005)-5),909))="",INDEX(checklistPesertaKemenkeu!$J$6:$J$1005,SMALL(IF(checklistPesertaKemenkeu!$AY$6:$AY$1005="Direkomendasikan",ROW($6:$1005)-5),909))=""),"",IF(AND(COUNTIF(INDIRECT("K_"&amp;MATCH(INDEX(checklistPesertaKemenkeu!$J$6:$J$1005,SMALL(IF(checklistPesertaKemenkeu!$AY$6:$AY$1005="Direkomendasikan",ROW($6:$1005)-5),909)),BidangList,0)),INDEX(checklistPesertaKemenkeu!$M$6:$M$1005,SMALL(IF(checklistPesertaKemenkeu!$AY$6:$AY$1005="Direkomendasikan",ROW($6:$1005)-5),909)))&gt;0,COUNTIF(INDIRECT("'KERTAS KERJA'!K"&amp;(SMALL(IF(checklistPesertaKemenkeu!$AY$6:$AY$1005="Direkomendasikan",ROW($6:$1005)-5),909)+5)&amp;":O"&amp;(SMALL(IF(checklistPesertaKemenkeu!$AY$6:$AY$1005="Direkomendasikan",ROW($6:$1005)-5),909)+5)),INDEX(checklistPesertaKemenkeu!$M$6:$M$1005,SMALL(IF(checklistPesertaKemenkeu!$AY$6:$AY$1005="Direkomendasikan",ROW($6:$1005)-5),909)))=1),IFERROR(VLOOKUP(INDEX(checklistPesertaKemenkeu!$M$6:$M$1005,SMALL(IF(checklistPesertaKemenkeu!$AY$6:$AY$1005="Direkomendasikan",ROW($6:$1005)-5),909)),KotaKode,2,0),"-"),"")),"")</f>
        <v/>
      </c>
      <c r="J910" t="str">
        <f t="array" aca="1" ref="J910" ca="1">IFERROR(IF(OR(INDEX(checklistPesertaKemenkeu!$N$6:$N$1005,SMALL(IF(checklistPesertaKemenkeu!$AY$6:$AY$1005="Direkomendasikan",ROW($6:$1005)-5),909))="",INDEX(checklistPesertaKemenkeu!$J$6:$J$1005,SMALL(IF(checklistPesertaKemenkeu!$AY$6:$AY$1005="Direkomendasikan",ROW($6:$1005)-5),909))=""),"",IF(AND(COUNTIF(INDIRECT("K_"&amp;MATCH(INDEX(checklistPesertaKemenkeu!$J$6:$J$1005,SMALL(IF(checklistPesertaKemenkeu!$AY$6:$AY$1005="Direkomendasikan",ROW($6:$1005)-5),909)),BidangList,0)),INDEX(checklistPesertaKemenkeu!$N$6:$N$1005,SMALL(IF(checklistPesertaKemenkeu!$AY$6:$AY$1005="Direkomendasikan",ROW($6:$1005)-5),909)))&gt;0,COUNTIF(INDIRECT("'KERTAS KERJA'!K"&amp;(SMALL(IF(checklistPesertaKemenkeu!$AY$6:$AY$1005="Direkomendasikan",ROW($6:$1005)-5),909)+5)&amp;":O"&amp;(SMALL(IF(checklistPesertaKemenkeu!$AY$6:$AY$1005="Direkomendasikan",ROW($6:$1005)-5),909)+5)),INDEX(checklistPesertaKemenkeu!$N$6:$N$1005,SMALL(IF(checklistPesertaKemenkeu!$AY$6:$AY$1005="Direkomendasikan",ROW($6:$1005)-5),909)))=1),IFERROR(VLOOKUP(INDEX(checklistPesertaKemenkeu!$N$6:$N$1005,SMALL(IF(checklistPesertaKemenkeu!$AY$6:$AY$1005="Direkomendasikan",ROW($6:$1005)-5),909)),KotaKode,2,0),"-"),"")),"")</f>
        <v/>
      </c>
      <c r="K910" t="str">
        <f t="array" aca="1" ref="K910" ca="1">IFERROR(IF(OR(INDEX(checklistPesertaKemenkeu!$O$6:$O$1005,SMALL(IF(checklistPesertaKemenkeu!$AY$6:$AY$1005="Direkomendasikan",ROW($6:$1005)-5),909))="",INDEX(checklistPesertaKemenkeu!$J$6:$J$1005,SMALL(IF(checklistPesertaKemenkeu!$AY$6:$AY$1005="Direkomendasikan",ROW($6:$1005)-5),909))=""),"",IF(AND(COUNTIF(INDIRECT("K_"&amp;MATCH(INDEX(checklistPesertaKemenkeu!$J$6:$J$1005,SMALL(IF(checklistPesertaKemenkeu!$AY$6:$AY$1005="Direkomendasikan",ROW($6:$1005)-5),909)),BidangList,0)),INDEX(checklistPesertaKemenkeu!$O$6:$O$1005,SMALL(IF(checklistPesertaKemenkeu!$AY$6:$AY$1005="Direkomendasikan",ROW($6:$1005)-5),909)))&gt;0,COUNTIF(INDIRECT("'KERTAS KERJA'!K"&amp;(SMALL(IF(checklistPesertaKemenkeu!$AY$6:$AY$1005="Direkomendasikan",ROW($6:$1005)-5),909)+5)&amp;":O"&amp;(SMALL(IF(checklistPesertaKemenkeu!$AY$6:$AY$1005="Direkomendasikan",ROW($6:$1005)-5),909)+5)),INDEX(checklistPesertaKemenkeu!$O$6:$O$1005,SMALL(IF(checklistPesertaKemenkeu!$AY$6:$AY$1005="Direkomendasikan",ROW($6:$1005)-5),909)))=1),IFERROR(VLOOKUP(INDEX(checklistPesertaKemenkeu!$O$6:$O$1005,SMALL(IF(checklistPesertaKemenkeu!$AY$6:$AY$1005="Direkomendasikan",ROW($6:$1005)-5),909)),KotaKode,2,0),"-"),"")),"")</f>
        <v/>
      </c>
      <c r="L910" t="str">
        <f t="array" aca="1" ref="L910" ca="1">IFERROR(IF(OR(INDEX(checklistPesertaKemenkeu!$P$6:$P$1005,SMALL(IF(checklistPesertaKemenkeu!$AY$6:$AY$1005="Direkomendasikan",ROW($6:$1005)-5),909))="",INDEX(checklistPesertaKemenkeu!$J$6:$J$1005,SMALL(IF(checklistPesertaKemenkeu!$AY$6:$AY$1005="Direkomendasikan",ROW($6:$1005)-5),909))=""),"",IF(AND(COUNTIF(INDIRECT("K_"&amp;MATCH(INDEX(checklistPesertaKemenkeu!$J$6:$J$1005,SMALL(IF(checklistPesertaKemenkeu!$AY$6:$AY$1005="Direkomendasikan",ROW($6:$1005)-5),909)),BidangList,0)),INDEX(checklistPesertaKemenkeu!$P$6:$P$1005,SMALL(IF(checklistPesertaKemenkeu!$AY$6:$AY$1005="Direkomendasikan",ROW($6:$1005)-5),909)))&gt;0,COUNTIF(INDIRECT("'KERTAS KERJA'!K"&amp;(SMALL(IF(checklistPesertaKemenkeu!$AY$6:$AY$1005="Direkomendasikan",ROW($6:$1005)-5),909)+5)&amp;":O"&amp;(SMALL(IF(checklistPesertaKemenkeu!$AY$6:$AY$1005="Direkomendasikan",ROW($6:$1005)-5),909)+5)),INDEX(checklistPesertaKemenkeu!$P$6:$P$1005,SMALL(IF(checklistPesertaKemenkeu!$AY$6:$AY$1005="Direkomendasikan",ROW($6:$1005)-5),909)))=1),IFERROR(VLOOKUP(INDEX(checklistPesertaKemenkeu!$P$6:$P$1005,SMALL(IF(checklistPesertaKemenkeu!$AY$6:$AY$1005="Direkomendasikan",ROW($6:$1005)-5),909)),KotaKode,2,0),"-"),"")),"")</f>
        <v/>
      </c>
    </row>
    <row r="911" spans="1:12" ht="15" customHeight="1" x14ac:dyDescent="0.2">
      <c r="A911" t="str">
        <f t="shared" si="14"/>
        <v/>
      </c>
      <c r="B911" t="str">
        <v/>
      </c>
      <c r="C911" s="40" t="str">
        <f t="array" ref="C911">IFERROR(INDEX(checklistPesertaKemenkeu!$F$6:$F$1005,SMALL(IF(checklistPesertaKemenkeu!$AY$6:$AY$1005="Direkomendasikan",ROW($6:$1005)-5),910)),"")</f>
        <v/>
      </c>
      <c r="D911" t="str">
        <f t="array" ref="D911">IFERROR(INDEX(checklistPesertaKemenkeu!$G$6:$G$1005,SMALL(IF(checklistPesertaKemenkeu!$AY$6:$AY$1005="Direkomendasikan",ROW($6:$1005)-5),910)),"")</f>
        <v/>
      </c>
      <c r="E911" t="str">
        <f t="array" ref="E911">IFERROR(INDEX(checklistPesertaKemenkeu!$H$6:$H$1005,SMALL(IF(checklistPesertaKemenkeu!$AY$6:$AY$1005="Direkomendasikan",ROW($6:$1005)-5),910)),"")</f>
        <v/>
      </c>
      <c r="F911" t="str">
        <f t="array" ref="F911">IFERROR(INDEX(checklistPesertaKemenkeu!$I$6:$I$1005,SMALL(IF(checklistPesertaKemenkeu!$AY$6:$AY$1005="Direkomendasikan",ROW($6:$1005)-5),910)),"")</f>
        <v/>
      </c>
      <c r="G911" t="str">
        <f t="array" ref="G911">IFERROR(INDEX(checklistPesertaKemenkeu!$J$6:$J$1005,SMALL(IF(checklistPesertaKemenkeu!$AY$6:$AY$1005="Direkomendasikan",ROW($6:$1005)-5),910)),"")</f>
        <v/>
      </c>
      <c r="H911" t="str">
        <f t="array" aca="1" ref="H911" ca="1">IFERROR(IF(OR(INDEX(checklistPesertaKemenkeu!$L$6:$L$1005,SMALL(IF(checklistPesertaKemenkeu!$AY$6:$AY$1005="Direkomendasikan",ROW($6:$1005)-5),910))="",INDEX(checklistPesertaKemenkeu!$J$6:$J$1005,SMALL(IF(checklistPesertaKemenkeu!$AY$6:$AY$1005="Direkomendasikan",ROW($6:$1005)-5),910))=""),"",IF(AND(COUNTIF(INDIRECT("K_"&amp;MATCH(INDEX(checklistPesertaKemenkeu!$J$6:$J$1005,SMALL(IF(checklistPesertaKemenkeu!$AY$6:$AY$1005="Direkomendasikan",ROW($6:$1005)-5),910)),BidangList,0)),INDEX(checklistPesertaKemenkeu!$L$6:$L$1005,SMALL(IF(checklistPesertaKemenkeu!$AY$6:$AY$1005="Direkomendasikan",ROW($6:$1005)-5),910)))&gt;0,COUNTIF(INDIRECT("'KERTAS KERJA'!K"&amp;(SMALL(IF(checklistPesertaKemenkeu!$AY$6:$AY$1005="Direkomendasikan",ROW($6:$1005)-5),910)+5)&amp;":O"&amp;(SMALL(IF(checklistPesertaKemenkeu!$AY$6:$AY$1005="Direkomendasikan",ROW($6:$1005)-5),910)+5)),INDEX(checklistPesertaKemenkeu!$L$6:$L$1005,SMALL(IF(checklistPesertaKemenkeu!$AY$6:$AY$1005="Direkomendasikan",ROW($6:$1005)-5),910)))=1),IFERROR(VLOOKUP(INDEX(checklistPesertaKemenkeu!$L$6:$L$1005,SMALL(IF(checklistPesertaKemenkeu!$AY$6:$AY$1005="Direkomendasikan",ROW($6:$1005)-5),910)),KotaKode,2,0),"-"),"")),"")</f>
        <v/>
      </c>
      <c r="I911" t="str">
        <f t="array" aca="1" ref="I911" ca="1">IFERROR(IF(OR(INDEX(checklistPesertaKemenkeu!$M$6:$M$1005,SMALL(IF(checklistPesertaKemenkeu!$AY$6:$AY$1005="Direkomendasikan",ROW($6:$1005)-5),910))="",INDEX(checklistPesertaKemenkeu!$J$6:$J$1005,SMALL(IF(checklistPesertaKemenkeu!$AY$6:$AY$1005="Direkomendasikan",ROW($6:$1005)-5),910))=""),"",IF(AND(COUNTIF(INDIRECT("K_"&amp;MATCH(INDEX(checklistPesertaKemenkeu!$J$6:$J$1005,SMALL(IF(checklistPesertaKemenkeu!$AY$6:$AY$1005="Direkomendasikan",ROW($6:$1005)-5),910)),BidangList,0)),INDEX(checklistPesertaKemenkeu!$M$6:$M$1005,SMALL(IF(checklistPesertaKemenkeu!$AY$6:$AY$1005="Direkomendasikan",ROW($6:$1005)-5),910)))&gt;0,COUNTIF(INDIRECT("'KERTAS KERJA'!K"&amp;(SMALL(IF(checklistPesertaKemenkeu!$AY$6:$AY$1005="Direkomendasikan",ROW($6:$1005)-5),910)+5)&amp;":O"&amp;(SMALL(IF(checklistPesertaKemenkeu!$AY$6:$AY$1005="Direkomendasikan",ROW($6:$1005)-5),910)+5)),INDEX(checklistPesertaKemenkeu!$M$6:$M$1005,SMALL(IF(checklistPesertaKemenkeu!$AY$6:$AY$1005="Direkomendasikan",ROW($6:$1005)-5),910)))=1),IFERROR(VLOOKUP(INDEX(checklistPesertaKemenkeu!$M$6:$M$1005,SMALL(IF(checklistPesertaKemenkeu!$AY$6:$AY$1005="Direkomendasikan",ROW($6:$1005)-5),910)),KotaKode,2,0),"-"),"")),"")</f>
        <v/>
      </c>
      <c r="J911" t="str">
        <f t="array" aca="1" ref="J911" ca="1">IFERROR(IF(OR(INDEX(checklistPesertaKemenkeu!$N$6:$N$1005,SMALL(IF(checklistPesertaKemenkeu!$AY$6:$AY$1005="Direkomendasikan",ROW($6:$1005)-5),910))="",INDEX(checklistPesertaKemenkeu!$J$6:$J$1005,SMALL(IF(checklistPesertaKemenkeu!$AY$6:$AY$1005="Direkomendasikan",ROW($6:$1005)-5),910))=""),"",IF(AND(COUNTIF(INDIRECT("K_"&amp;MATCH(INDEX(checklistPesertaKemenkeu!$J$6:$J$1005,SMALL(IF(checklistPesertaKemenkeu!$AY$6:$AY$1005="Direkomendasikan",ROW($6:$1005)-5),910)),BidangList,0)),INDEX(checklistPesertaKemenkeu!$N$6:$N$1005,SMALL(IF(checklistPesertaKemenkeu!$AY$6:$AY$1005="Direkomendasikan",ROW($6:$1005)-5),910)))&gt;0,COUNTIF(INDIRECT("'KERTAS KERJA'!K"&amp;(SMALL(IF(checklistPesertaKemenkeu!$AY$6:$AY$1005="Direkomendasikan",ROW($6:$1005)-5),910)+5)&amp;":O"&amp;(SMALL(IF(checklistPesertaKemenkeu!$AY$6:$AY$1005="Direkomendasikan",ROW($6:$1005)-5),910)+5)),INDEX(checklistPesertaKemenkeu!$N$6:$N$1005,SMALL(IF(checklistPesertaKemenkeu!$AY$6:$AY$1005="Direkomendasikan",ROW($6:$1005)-5),910)))=1),IFERROR(VLOOKUP(INDEX(checklistPesertaKemenkeu!$N$6:$N$1005,SMALL(IF(checklistPesertaKemenkeu!$AY$6:$AY$1005="Direkomendasikan",ROW($6:$1005)-5),910)),KotaKode,2,0),"-"),"")),"")</f>
        <v/>
      </c>
      <c r="K911" t="str">
        <f t="array" aca="1" ref="K911" ca="1">IFERROR(IF(OR(INDEX(checklistPesertaKemenkeu!$O$6:$O$1005,SMALL(IF(checklistPesertaKemenkeu!$AY$6:$AY$1005="Direkomendasikan",ROW($6:$1005)-5),910))="",INDEX(checklistPesertaKemenkeu!$J$6:$J$1005,SMALL(IF(checklistPesertaKemenkeu!$AY$6:$AY$1005="Direkomendasikan",ROW($6:$1005)-5),910))=""),"",IF(AND(COUNTIF(INDIRECT("K_"&amp;MATCH(INDEX(checklistPesertaKemenkeu!$J$6:$J$1005,SMALL(IF(checklistPesertaKemenkeu!$AY$6:$AY$1005="Direkomendasikan",ROW($6:$1005)-5),910)),BidangList,0)),INDEX(checklistPesertaKemenkeu!$O$6:$O$1005,SMALL(IF(checklistPesertaKemenkeu!$AY$6:$AY$1005="Direkomendasikan",ROW($6:$1005)-5),910)))&gt;0,COUNTIF(INDIRECT("'KERTAS KERJA'!K"&amp;(SMALL(IF(checklistPesertaKemenkeu!$AY$6:$AY$1005="Direkomendasikan",ROW($6:$1005)-5),910)+5)&amp;":O"&amp;(SMALL(IF(checklistPesertaKemenkeu!$AY$6:$AY$1005="Direkomendasikan",ROW($6:$1005)-5),910)+5)),INDEX(checklistPesertaKemenkeu!$O$6:$O$1005,SMALL(IF(checklistPesertaKemenkeu!$AY$6:$AY$1005="Direkomendasikan",ROW($6:$1005)-5),910)))=1),IFERROR(VLOOKUP(INDEX(checklistPesertaKemenkeu!$O$6:$O$1005,SMALL(IF(checklistPesertaKemenkeu!$AY$6:$AY$1005="Direkomendasikan",ROW($6:$1005)-5),910)),KotaKode,2,0),"-"),"")),"")</f>
        <v/>
      </c>
      <c r="L911" t="str">
        <f t="array" aca="1" ref="L911" ca="1">IFERROR(IF(OR(INDEX(checklistPesertaKemenkeu!$P$6:$P$1005,SMALL(IF(checklistPesertaKemenkeu!$AY$6:$AY$1005="Direkomendasikan",ROW($6:$1005)-5),910))="",INDEX(checklistPesertaKemenkeu!$J$6:$J$1005,SMALL(IF(checklistPesertaKemenkeu!$AY$6:$AY$1005="Direkomendasikan",ROW($6:$1005)-5),910))=""),"",IF(AND(COUNTIF(INDIRECT("K_"&amp;MATCH(INDEX(checklistPesertaKemenkeu!$J$6:$J$1005,SMALL(IF(checklistPesertaKemenkeu!$AY$6:$AY$1005="Direkomendasikan",ROW($6:$1005)-5),910)),BidangList,0)),INDEX(checklistPesertaKemenkeu!$P$6:$P$1005,SMALL(IF(checklistPesertaKemenkeu!$AY$6:$AY$1005="Direkomendasikan",ROW($6:$1005)-5),910)))&gt;0,COUNTIF(INDIRECT("'KERTAS KERJA'!K"&amp;(SMALL(IF(checklistPesertaKemenkeu!$AY$6:$AY$1005="Direkomendasikan",ROW($6:$1005)-5),910)+5)&amp;":O"&amp;(SMALL(IF(checklistPesertaKemenkeu!$AY$6:$AY$1005="Direkomendasikan",ROW($6:$1005)-5),910)+5)),INDEX(checklistPesertaKemenkeu!$P$6:$P$1005,SMALL(IF(checklistPesertaKemenkeu!$AY$6:$AY$1005="Direkomendasikan",ROW($6:$1005)-5),910)))=1),IFERROR(VLOOKUP(INDEX(checklistPesertaKemenkeu!$P$6:$P$1005,SMALL(IF(checklistPesertaKemenkeu!$AY$6:$AY$1005="Direkomendasikan",ROW($6:$1005)-5),910)),KotaKode,2,0),"-"),"")),"")</f>
        <v/>
      </c>
    </row>
    <row r="912" spans="1:12" ht="15" customHeight="1" x14ac:dyDescent="0.2">
      <c r="A912" t="str">
        <f t="shared" si="14"/>
        <v/>
      </c>
      <c r="B912" t="str">
        <v/>
      </c>
      <c r="C912" s="40" t="str">
        <f t="array" ref="C912">IFERROR(INDEX(checklistPesertaKemenkeu!$F$6:$F$1005,SMALL(IF(checklistPesertaKemenkeu!$AY$6:$AY$1005="Direkomendasikan",ROW($6:$1005)-5),911)),"")</f>
        <v/>
      </c>
      <c r="D912" t="str">
        <f t="array" ref="D912">IFERROR(INDEX(checklistPesertaKemenkeu!$G$6:$G$1005,SMALL(IF(checklistPesertaKemenkeu!$AY$6:$AY$1005="Direkomendasikan",ROW($6:$1005)-5),911)),"")</f>
        <v/>
      </c>
      <c r="E912" t="str">
        <f t="array" ref="E912">IFERROR(INDEX(checklistPesertaKemenkeu!$H$6:$H$1005,SMALL(IF(checklistPesertaKemenkeu!$AY$6:$AY$1005="Direkomendasikan",ROW($6:$1005)-5),911)),"")</f>
        <v/>
      </c>
      <c r="F912" t="str">
        <f t="array" ref="F912">IFERROR(INDEX(checklistPesertaKemenkeu!$I$6:$I$1005,SMALL(IF(checklistPesertaKemenkeu!$AY$6:$AY$1005="Direkomendasikan",ROW($6:$1005)-5),911)),"")</f>
        <v/>
      </c>
      <c r="G912" t="str">
        <f t="array" ref="G912">IFERROR(INDEX(checklistPesertaKemenkeu!$J$6:$J$1005,SMALL(IF(checklistPesertaKemenkeu!$AY$6:$AY$1005="Direkomendasikan",ROW($6:$1005)-5),911)),"")</f>
        <v/>
      </c>
      <c r="H912" t="str">
        <f t="array" aca="1" ref="H912" ca="1">IFERROR(IF(OR(INDEX(checklistPesertaKemenkeu!$L$6:$L$1005,SMALL(IF(checklistPesertaKemenkeu!$AY$6:$AY$1005="Direkomendasikan",ROW($6:$1005)-5),911))="",INDEX(checklistPesertaKemenkeu!$J$6:$J$1005,SMALL(IF(checklistPesertaKemenkeu!$AY$6:$AY$1005="Direkomendasikan",ROW($6:$1005)-5),911))=""),"",IF(AND(COUNTIF(INDIRECT("K_"&amp;MATCH(INDEX(checklistPesertaKemenkeu!$J$6:$J$1005,SMALL(IF(checklistPesertaKemenkeu!$AY$6:$AY$1005="Direkomendasikan",ROW($6:$1005)-5),911)),BidangList,0)),INDEX(checklistPesertaKemenkeu!$L$6:$L$1005,SMALL(IF(checklistPesertaKemenkeu!$AY$6:$AY$1005="Direkomendasikan",ROW($6:$1005)-5),911)))&gt;0,COUNTIF(INDIRECT("'KERTAS KERJA'!K"&amp;(SMALL(IF(checklistPesertaKemenkeu!$AY$6:$AY$1005="Direkomendasikan",ROW($6:$1005)-5),911)+5)&amp;":O"&amp;(SMALL(IF(checklistPesertaKemenkeu!$AY$6:$AY$1005="Direkomendasikan",ROW($6:$1005)-5),911)+5)),INDEX(checklistPesertaKemenkeu!$L$6:$L$1005,SMALL(IF(checklistPesertaKemenkeu!$AY$6:$AY$1005="Direkomendasikan",ROW($6:$1005)-5),911)))=1),IFERROR(VLOOKUP(INDEX(checklistPesertaKemenkeu!$L$6:$L$1005,SMALL(IF(checklistPesertaKemenkeu!$AY$6:$AY$1005="Direkomendasikan",ROW($6:$1005)-5),911)),KotaKode,2,0),"-"),"")),"")</f>
        <v/>
      </c>
      <c r="I912" t="str">
        <f t="array" aca="1" ref="I912" ca="1">IFERROR(IF(OR(INDEX(checklistPesertaKemenkeu!$M$6:$M$1005,SMALL(IF(checklistPesertaKemenkeu!$AY$6:$AY$1005="Direkomendasikan",ROW($6:$1005)-5),911))="",INDEX(checklistPesertaKemenkeu!$J$6:$J$1005,SMALL(IF(checklistPesertaKemenkeu!$AY$6:$AY$1005="Direkomendasikan",ROW($6:$1005)-5),911))=""),"",IF(AND(COUNTIF(INDIRECT("K_"&amp;MATCH(INDEX(checklistPesertaKemenkeu!$J$6:$J$1005,SMALL(IF(checklistPesertaKemenkeu!$AY$6:$AY$1005="Direkomendasikan",ROW($6:$1005)-5),911)),BidangList,0)),INDEX(checklistPesertaKemenkeu!$M$6:$M$1005,SMALL(IF(checklistPesertaKemenkeu!$AY$6:$AY$1005="Direkomendasikan",ROW($6:$1005)-5),911)))&gt;0,COUNTIF(INDIRECT("'KERTAS KERJA'!K"&amp;(SMALL(IF(checklistPesertaKemenkeu!$AY$6:$AY$1005="Direkomendasikan",ROW($6:$1005)-5),911)+5)&amp;":O"&amp;(SMALL(IF(checklistPesertaKemenkeu!$AY$6:$AY$1005="Direkomendasikan",ROW($6:$1005)-5),911)+5)),INDEX(checklistPesertaKemenkeu!$M$6:$M$1005,SMALL(IF(checklistPesertaKemenkeu!$AY$6:$AY$1005="Direkomendasikan",ROW($6:$1005)-5),911)))=1),IFERROR(VLOOKUP(INDEX(checklistPesertaKemenkeu!$M$6:$M$1005,SMALL(IF(checklistPesertaKemenkeu!$AY$6:$AY$1005="Direkomendasikan",ROW($6:$1005)-5),911)),KotaKode,2,0),"-"),"")),"")</f>
        <v/>
      </c>
      <c r="J912" t="str">
        <f t="array" aca="1" ref="J912" ca="1">IFERROR(IF(OR(INDEX(checklistPesertaKemenkeu!$N$6:$N$1005,SMALL(IF(checklistPesertaKemenkeu!$AY$6:$AY$1005="Direkomendasikan",ROW($6:$1005)-5),911))="",INDEX(checklistPesertaKemenkeu!$J$6:$J$1005,SMALL(IF(checklistPesertaKemenkeu!$AY$6:$AY$1005="Direkomendasikan",ROW($6:$1005)-5),911))=""),"",IF(AND(COUNTIF(INDIRECT("K_"&amp;MATCH(INDEX(checklistPesertaKemenkeu!$J$6:$J$1005,SMALL(IF(checklistPesertaKemenkeu!$AY$6:$AY$1005="Direkomendasikan",ROW($6:$1005)-5),911)),BidangList,0)),INDEX(checklistPesertaKemenkeu!$N$6:$N$1005,SMALL(IF(checklistPesertaKemenkeu!$AY$6:$AY$1005="Direkomendasikan",ROW($6:$1005)-5),911)))&gt;0,COUNTIF(INDIRECT("'KERTAS KERJA'!K"&amp;(SMALL(IF(checklistPesertaKemenkeu!$AY$6:$AY$1005="Direkomendasikan",ROW($6:$1005)-5),911)+5)&amp;":O"&amp;(SMALL(IF(checklistPesertaKemenkeu!$AY$6:$AY$1005="Direkomendasikan",ROW($6:$1005)-5),911)+5)),INDEX(checklistPesertaKemenkeu!$N$6:$N$1005,SMALL(IF(checklistPesertaKemenkeu!$AY$6:$AY$1005="Direkomendasikan",ROW($6:$1005)-5),911)))=1),IFERROR(VLOOKUP(INDEX(checklistPesertaKemenkeu!$N$6:$N$1005,SMALL(IF(checklistPesertaKemenkeu!$AY$6:$AY$1005="Direkomendasikan",ROW($6:$1005)-5),911)),KotaKode,2,0),"-"),"")),"")</f>
        <v/>
      </c>
      <c r="K912" t="str">
        <f t="array" aca="1" ref="K912" ca="1">IFERROR(IF(OR(INDEX(checklistPesertaKemenkeu!$O$6:$O$1005,SMALL(IF(checklistPesertaKemenkeu!$AY$6:$AY$1005="Direkomendasikan",ROW($6:$1005)-5),911))="",INDEX(checklistPesertaKemenkeu!$J$6:$J$1005,SMALL(IF(checklistPesertaKemenkeu!$AY$6:$AY$1005="Direkomendasikan",ROW($6:$1005)-5),911))=""),"",IF(AND(COUNTIF(INDIRECT("K_"&amp;MATCH(INDEX(checklistPesertaKemenkeu!$J$6:$J$1005,SMALL(IF(checklistPesertaKemenkeu!$AY$6:$AY$1005="Direkomendasikan",ROW($6:$1005)-5),911)),BidangList,0)),INDEX(checklistPesertaKemenkeu!$O$6:$O$1005,SMALL(IF(checklistPesertaKemenkeu!$AY$6:$AY$1005="Direkomendasikan",ROW($6:$1005)-5),911)))&gt;0,COUNTIF(INDIRECT("'KERTAS KERJA'!K"&amp;(SMALL(IF(checklistPesertaKemenkeu!$AY$6:$AY$1005="Direkomendasikan",ROW($6:$1005)-5),911)+5)&amp;":O"&amp;(SMALL(IF(checklistPesertaKemenkeu!$AY$6:$AY$1005="Direkomendasikan",ROW($6:$1005)-5),911)+5)),INDEX(checklistPesertaKemenkeu!$O$6:$O$1005,SMALL(IF(checklistPesertaKemenkeu!$AY$6:$AY$1005="Direkomendasikan",ROW($6:$1005)-5),911)))=1),IFERROR(VLOOKUP(INDEX(checklistPesertaKemenkeu!$O$6:$O$1005,SMALL(IF(checklistPesertaKemenkeu!$AY$6:$AY$1005="Direkomendasikan",ROW($6:$1005)-5),911)),KotaKode,2,0),"-"),"")),"")</f>
        <v/>
      </c>
      <c r="L912" t="str">
        <f t="array" aca="1" ref="L912" ca="1">IFERROR(IF(OR(INDEX(checklistPesertaKemenkeu!$P$6:$P$1005,SMALL(IF(checklistPesertaKemenkeu!$AY$6:$AY$1005="Direkomendasikan",ROW($6:$1005)-5),911))="",INDEX(checklistPesertaKemenkeu!$J$6:$J$1005,SMALL(IF(checklistPesertaKemenkeu!$AY$6:$AY$1005="Direkomendasikan",ROW($6:$1005)-5),911))=""),"",IF(AND(COUNTIF(INDIRECT("K_"&amp;MATCH(INDEX(checklistPesertaKemenkeu!$J$6:$J$1005,SMALL(IF(checklistPesertaKemenkeu!$AY$6:$AY$1005="Direkomendasikan",ROW($6:$1005)-5),911)),BidangList,0)),INDEX(checklistPesertaKemenkeu!$P$6:$P$1005,SMALL(IF(checklistPesertaKemenkeu!$AY$6:$AY$1005="Direkomendasikan",ROW($6:$1005)-5),911)))&gt;0,COUNTIF(INDIRECT("'KERTAS KERJA'!K"&amp;(SMALL(IF(checklistPesertaKemenkeu!$AY$6:$AY$1005="Direkomendasikan",ROW($6:$1005)-5),911)+5)&amp;":O"&amp;(SMALL(IF(checklistPesertaKemenkeu!$AY$6:$AY$1005="Direkomendasikan",ROW($6:$1005)-5),911)+5)),INDEX(checklistPesertaKemenkeu!$P$6:$P$1005,SMALL(IF(checklistPesertaKemenkeu!$AY$6:$AY$1005="Direkomendasikan",ROW($6:$1005)-5),911)))=1),IFERROR(VLOOKUP(INDEX(checklistPesertaKemenkeu!$P$6:$P$1005,SMALL(IF(checklistPesertaKemenkeu!$AY$6:$AY$1005="Direkomendasikan",ROW($6:$1005)-5),911)),KotaKode,2,0),"-"),"")),"")</f>
        <v/>
      </c>
    </row>
    <row r="913" spans="1:12" ht="15" customHeight="1" x14ac:dyDescent="0.2">
      <c r="A913" t="str">
        <f t="shared" si="14"/>
        <v/>
      </c>
      <c r="B913" t="str">
        <v/>
      </c>
      <c r="C913" s="40" t="str">
        <f t="array" ref="C913">IFERROR(INDEX(checklistPesertaKemenkeu!$F$6:$F$1005,SMALL(IF(checklistPesertaKemenkeu!$AY$6:$AY$1005="Direkomendasikan",ROW($6:$1005)-5),912)),"")</f>
        <v/>
      </c>
      <c r="D913" t="str">
        <f t="array" ref="D913">IFERROR(INDEX(checklistPesertaKemenkeu!$G$6:$G$1005,SMALL(IF(checklistPesertaKemenkeu!$AY$6:$AY$1005="Direkomendasikan",ROW($6:$1005)-5),912)),"")</f>
        <v/>
      </c>
      <c r="E913" t="str">
        <f t="array" ref="E913">IFERROR(INDEX(checklistPesertaKemenkeu!$H$6:$H$1005,SMALL(IF(checklistPesertaKemenkeu!$AY$6:$AY$1005="Direkomendasikan",ROW($6:$1005)-5),912)),"")</f>
        <v/>
      </c>
      <c r="F913" t="str">
        <f t="array" ref="F913">IFERROR(INDEX(checklistPesertaKemenkeu!$I$6:$I$1005,SMALL(IF(checklistPesertaKemenkeu!$AY$6:$AY$1005="Direkomendasikan",ROW($6:$1005)-5),912)),"")</f>
        <v/>
      </c>
      <c r="G913" t="str">
        <f t="array" ref="G913">IFERROR(INDEX(checklistPesertaKemenkeu!$J$6:$J$1005,SMALL(IF(checklistPesertaKemenkeu!$AY$6:$AY$1005="Direkomendasikan",ROW($6:$1005)-5),912)),"")</f>
        <v/>
      </c>
      <c r="H913" t="str">
        <f t="array" aca="1" ref="H913" ca="1">IFERROR(IF(OR(INDEX(checklistPesertaKemenkeu!$L$6:$L$1005,SMALL(IF(checklistPesertaKemenkeu!$AY$6:$AY$1005="Direkomendasikan",ROW($6:$1005)-5),912))="",INDEX(checklistPesertaKemenkeu!$J$6:$J$1005,SMALL(IF(checklistPesertaKemenkeu!$AY$6:$AY$1005="Direkomendasikan",ROW($6:$1005)-5),912))=""),"",IF(AND(COUNTIF(INDIRECT("K_"&amp;MATCH(INDEX(checklistPesertaKemenkeu!$J$6:$J$1005,SMALL(IF(checklistPesertaKemenkeu!$AY$6:$AY$1005="Direkomendasikan",ROW($6:$1005)-5),912)),BidangList,0)),INDEX(checklistPesertaKemenkeu!$L$6:$L$1005,SMALL(IF(checklistPesertaKemenkeu!$AY$6:$AY$1005="Direkomendasikan",ROW($6:$1005)-5),912)))&gt;0,COUNTIF(INDIRECT("'KERTAS KERJA'!K"&amp;(SMALL(IF(checklistPesertaKemenkeu!$AY$6:$AY$1005="Direkomendasikan",ROW($6:$1005)-5),912)+5)&amp;":O"&amp;(SMALL(IF(checklistPesertaKemenkeu!$AY$6:$AY$1005="Direkomendasikan",ROW($6:$1005)-5),912)+5)),INDEX(checklistPesertaKemenkeu!$L$6:$L$1005,SMALL(IF(checklistPesertaKemenkeu!$AY$6:$AY$1005="Direkomendasikan",ROW($6:$1005)-5),912)))=1),IFERROR(VLOOKUP(INDEX(checklistPesertaKemenkeu!$L$6:$L$1005,SMALL(IF(checklistPesertaKemenkeu!$AY$6:$AY$1005="Direkomendasikan",ROW($6:$1005)-5),912)),KotaKode,2,0),"-"),"")),"")</f>
        <v/>
      </c>
      <c r="I913" t="str">
        <f t="array" aca="1" ref="I913" ca="1">IFERROR(IF(OR(INDEX(checklistPesertaKemenkeu!$M$6:$M$1005,SMALL(IF(checklistPesertaKemenkeu!$AY$6:$AY$1005="Direkomendasikan",ROW($6:$1005)-5),912))="",INDEX(checklistPesertaKemenkeu!$J$6:$J$1005,SMALL(IF(checklistPesertaKemenkeu!$AY$6:$AY$1005="Direkomendasikan",ROW($6:$1005)-5),912))=""),"",IF(AND(COUNTIF(INDIRECT("K_"&amp;MATCH(INDEX(checklistPesertaKemenkeu!$J$6:$J$1005,SMALL(IF(checklistPesertaKemenkeu!$AY$6:$AY$1005="Direkomendasikan",ROW($6:$1005)-5),912)),BidangList,0)),INDEX(checklistPesertaKemenkeu!$M$6:$M$1005,SMALL(IF(checklistPesertaKemenkeu!$AY$6:$AY$1005="Direkomendasikan",ROW($6:$1005)-5),912)))&gt;0,COUNTIF(INDIRECT("'KERTAS KERJA'!K"&amp;(SMALL(IF(checklistPesertaKemenkeu!$AY$6:$AY$1005="Direkomendasikan",ROW($6:$1005)-5),912)+5)&amp;":O"&amp;(SMALL(IF(checklistPesertaKemenkeu!$AY$6:$AY$1005="Direkomendasikan",ROW($6:$1005)-5),912)+5)),INDEX(checklistPesertaKemenkeu!$M$6:$M$1005,SMALL(IF(checklistPesertaKemenkeu!$AY$6:$AY$1005="Direkomendasikan",ROW($6:$1005)-5),912)))=1),IFERROR(VLOOKUP(INDEX(checklistPesertaKemenkeu!$M$6:$M$1005,SMALL(IF(checklistPesertaKemenkeu!$AY$6:$AY$1005="Direkomendasikan",ROW($6:$1005)-5),912)),KotaKode,2,0),"-"),"")),"")</f>
        <v/>
      </c>
      <c r="J913" t="str">
        <f t="array" aca="1" ref="J913" ca="1">IFERROR(IF(OR(INDEX(checklistPesertaKemenkeu!$N$6:$N$1005,SMALL(IF(checklistPesertaKemenkeu!$AY$6:$AY$1005="Direkomendasikan",ROW($6:$1005)-5),912))="",INDEX(checklistPesertaKemenkeu!$J$6:$J$1005,SMALL(IF(checklistPesertaKemenkeu!$AY$6:$AY$1005="Direkomendasikan",ROW($6:$1005)-5),912))=""),"",IF(AND(COUNTIF(INDIRECT("K_"&amp;MATCH(INDEX(checklistPesertaKemenkeu!$J$6:$J$1005,SMALL(IF(checklistPesertaKemenkeu!$AY$6:$AY$1005="Direkomendasikan",ROW($6:$1005)-5),912)),BidangList,0)),INDEX(checklistPesertaKemenkeu!$N$6:$N$1005,SMALL(IF(checklistPesertaKemenkeu!$AY$6:$AY$1005="Direkomendasikan",ROW($6:$1005)-5),912)))&gt;0,COUNTIF(INDIRECT("'KERTAS KERJA'!K"&amp;(SMALL(IF(checklistPesertaKemenkeu!$AY$6:$AY$1005="Direkomendasikan",ROW($6:$1005)-5),912)+5)&amp;":O"&amp;(SMALL(IF(checklistPesertaKemenkeu!$AY$6:$AY$1005="Direkomendasikan",ROW($6:$1005)-5),912)+5)),INDEX(checklistPesertaKemenkeu!$N$6:$N$1005,SMALL(IF(checklistPesertaKemenkeu!$AY$6:$AY$1005="Direkomendasikan",ROW($6:$1005)-5),912)))=1),IFERROR(VLOOKUP(INDEX(checklistPesertaKemenkeu!$N$6:$N$1005,SMALL(IF(checklistPesertaKemenkeu!$AY$6:$AY$1005="Direkomendasikan",ROW($6:$1005)-5),912)),KotaKode,2,0),"-"),"")),"")</f>
        <v/>
      </c>
      <c r="K913" t="str">
        <f t="array" aca="1" ref="K913" ca="1">IFERROR(IF(OR(INDEX(checklistPesertaKemenkeu!$O$6:$O$1005,SMALL(IF(checklistPesertaKemenkeu!$AY$6:$AY$1005="Direkomendasikan",ROW($6:$1005)-5),912))="",INDEX(checklistPesertaKemenkeu!$J$6:$J$1005,SMALL(IF(checklistPesertaKemenkeu!$AY$6:$AY$1005="Direkomendasikan",ROW($6:$1005)-5),912))=""),"",IF(AND(COUNTIF(INDIRECT("K_"&amp;MATCH(INDEX(checklistPesertaKemenkeu!$J$6:$J$1005,SMALL(IF(checklistPesertaKemenkeu!$AY$6:$AY$1005="Direkomendasikan",ROW($6:$1005)-5),912)),BidangList,0)),INDEX(checklistPesertaKemenkeu!$O$6:$O$1005,SMALL(IF(checklistPesertaKemenkeu!$AY$6:$AY$1005="Direkomendasikan",ROW($6:$1005)-5),912)))&gt;0,COUNTIF(INDIRECT("'KERTAS KERJA'!K"&amp;(SMALL(IF(checklistPesertaKemenkeu!$AY$6:$AY$1005="Direkomendasikan",ROW($6:$1005)-5),912)+5)&amp;":O"&amp;(SMALL(IF(checklistPesertaKemenkeu!$AY$6:$AY$1005="Direkomendasikan",ROW($6:$1005)-5),912)+5)),INDEX(checklistPesertaKemenkeu!$O$6:$O$1005,SMALL(IF(checklistPesertaKemenkeu!$AY$6:$AY$1005="Direkomendasikan",ROW($6:$1005)-5),912)))=1),IFERROR(VLOOKUP(INDEX(checklistPesertaKemenkeu!$O$6:$O$1005,SMALL(IF(checklistPesertaKemenkeu!$AY$6:$AY$1005="Direkomendasikan",ROW($6:$1005)-5),912)),KotaKode,2,0),"-"),"")),"")</f>
        <v/>
      </c>
      <c r="L913" t="str">
        <f t="array" aca="1" ref="L913" ca="1">IFERROR(IF(OR(INDEX(checklistPesertaKemenkeu!$P$6:$P$1005,SMALL(IF(checklistPesertaKemenkeu!$AY$6:$AY$1005="Direkomendasikan",ROW($6:$1005)-5),912))="",INDEX(checklistPesertaKemenkeu!$J$6:$J$1005,SMALL(IF(checklistPesertaKemenkeu!$AY$6:$AY$1005="Direkomendasikan",ROW($6:$1005)-5),912))=""),"",IF(AND(COUNTIF(INDIRECT("K_"&amp;MATCH(INDEX(checklistPesertaKemenkeu!$J$6:$J$1005,SMALL(IF(checklistPesertaKemenkeu!$AY$6:$AY$1005="Direkomendasikan",ROW($6:$1005)-5),912)),BidangList,0)),INDEX(checklistPesertaKemenkeu!$P$6:$P$1005,SMALL(IF(checklistPesertaKemenkeu!$AY$6:$AY$1005="Direkomendasikan",ROW($6:$1005)-5),912)))&gt;0,COUNTIF(INDIRECT("'KERTAS KERJA'!K"&amp;(SMALL(IF(checklistPesertaKemenkeu!$AY$6:$AY$1005="Direkomendasikan",ROW($6:$1005)-5),912)+5)&amp;":O"&amp;(SMALL(IF(checklistPesertaKemenkeu!$AY$6:$AY$1005="Direkomendasikan",ROW($6:$1005)-5),912)+5)),INDEX(checklistPesertaKemenkeu!$P$6:$P$1005,SMALL(IF(checklistPesertaKemenkeu!$AY$6:$AY$1005="Direkomendasikan",ROW($6:$1005)-5),912)))=1),IFERROR(VLOOKUP(INDEX(checklistPesertaKemenkeu!$P$6:$P$1005,SMALL(IF(checklistPesertaKemenkeu!$AY$6:$AY$1005="Direkomendasikan",ROW($6:$1005)-5),912)),KotaKode,2,0),"-"),"")),"")</f>
        <v/>
      </c>
    </row>
    <row r="914" spans="1:12" ht="15" customHeight="1" x14ac:dyDescent="0.2">
      <c r="A914" t="str">
        <f t="shared" si="14"/>
        <v/>
      </c>
      <c r="B914" t="str">
        <v/>
      </c>
      <c r="C914" s="40" t="str">
        <f t="array" ref="C914">IFERROR(INDEX(checklistPesertaKemenkeu!$F$6:$F$1005,SMALL(IF(checklistPesertaKemenkeu!$AY$6:$AY$1005="Direkomendasikan",ROW($6:$1005)-5),913)),"")</f>
        <v/>
      </c>
      <c r="D914" t="str">
        <f t="array" ref="D914">IFERROR(INDEX(checklistPesertaKemenkeu!$G$6:$G$1005,SMALL(IF(checklistPesertaKemenkeu!$AY$6:$AY$1005="Direkomendasikan",ROW($6:$1005)-5),913)),"")</f>
        <v/>
      </c>
      <c r="E914" t="str">
        <f t="array" ref="E914">IFERROR(INDEX(checklistPesertaKemenkeu!$H$6:$H$1005,SMALL(IF(checklistPesertaKemenkeu!$AY$6:$AY$1005="Direkomendasikan",ROW($6:$1005)-5),913)),"")</f>
        <v/>
      </c>
      <c r="F914" t="str">
        <f t="array" ref="F914">IFERROR(INDEX(checklistPesertaKemenkeu!$I$6:$I$1005,SMALL(IF(checklistPesertaKemenkeu!$AY$6:$AY$1005="Direkomendasikan",ROW($6:$1005)-5),913)),"")</f>
        <v/>
      </c>
      <c r="G914" t="str">
        <f t="array" ref="G914">IFERROR(INDEX(checklistPesertaKemenkeu!$J$6:$J$1005,SMALL(IF(checklistPesertaKemenkeu!$AY$6:$AY$1005="Direkomendasikan",ROW($6:$1005)-5),913)),"")</f>
        <v/>
      </c>
      <c r="H914" t="str">
        <f t="array" aca="1" ref="H914" ca="1">IFERROR(IF(OR(INDEX(checklistPesertaKemenkeu!$L$6:$L$1005,SMALL(IF(checklistPesertaKemenkeu!$AY$6:$AY$1005="Direkomendasikan",ROW($6:$1005)-5),913))="",INDEX(checklistPesertaKemenkeu!$J$6:$J$1005,SMALL(IF(checklistPesertaKemenkeu!$AY$6:$AY$1005="Direkomendasikan",ROW($6:$1005)-5),913))=""),"",IF(AND(COUNTIF(INDIRECT("K_"&amp;MATCH(INDEX(checklistPesertaKemenkeu!$J$6:$J$1005,SMALL(IF(checklistPesertaKemenkeu!$AY$6:$AY$1005="Direkomendasikan",ROW($6:$1005)-5),913)),BidangList,0)),INDEX(checklistPesertaKemenkeu!$L$6:$L$1005,SMALL(IF(checklistPesertaKemenkeu!$AY$6:$AY$1005="Direkomendasikan",ROW($6:$1005)-5),913)))&gt;0,COUNTIF(INDIRECT("'KERTAS KERJA'!K"&amp;(SMALL(IF(checklistPesertaKemenkeu!$AY$6:$AY$1005="Direkomendasikan",ROW($6:$1005)-5),913)+5)&amp;":O"&amp;(SMALL(IF(checklistPesertaKemenkeu!$AY$6:$AY$1005="Direkomendasikan",ROW($6:$1005)-5),913)+5)),INDEX(checklistPesertaKemenkeu!$L$6:$L$1005,SMALL(IF(checklistPesertaKemenkeu!$AY$6:$AY$1005="Direkomendasikan",ROW($6:$1005)-5),913)))=1),IFERROR(VLOOKUP(INDEX(checklistPesertaKemenkeu!$L$6:$L$1005,SMALL(IF(checklistPesertaKemenkeu!$AY$6:$AY$1005="Direkomendasikan",ROW($6:$1005)-5),913)),KotaKode,2,0),"-"),"")),"")</f>
        <v/>
      </c>
      <c r="I914" t="str">
        <f t="array" aca="1" ref="I914" ca="1">IFERROR(IF(OR(INDEX(checklistPesertaKemenkeu!$M$6:$M$1005,SMALL(IF(checklistPesertaKemenkeu!$AY$6:$AY$1005="Direkomendasikan",ROW($6:$1005)-5),913))="",INDEX(checklistPesertaKemenkeu!$J$6:$J$1005,SMALL(IF(checklistPesertaKemenkeu!$AY$6:$AY$1005="Direkomendasikan",ROW($6:$1005)-5),913))=""),"",IF(AND(COUNTIF(INDIRECT("K_"&amp;MATCH(INDEX(checklistPesertaKemenkeu!$J$6:$J$1005,SMALL(IF(checklistPesertaKemenkeu!$AY$6:$AY$1005="Direkomendasikan",ROW($6:$1005)-5),913)),BidangList,0)),INDEX(checklistPesertaKemenkeu!$M$6:$M$1005,SMALL(IF(checklistPesertaKemenkeu!$AY$6:$AY$1005="Direkomendasikan",ROW($6:$1005)-5),913)))&gt;0,COUNTIF(INDIRECT("'KERTAS KERJA'!K"&amp;(SMALL(IF(checklistPesertaKemenkeu!$AY$6:$AY$1005="Direkomendasikan",ROW($6:$1005)-5),913)+5)&amp;":O"&amp;(SMALL(IF(checklistPesertaKemenkeu!$AY$6:$AY$1005="Direkomendasikan",ROW($6:$1005)-5),913)+5)),INDEX(checklistPesertaKemenkeu!$M$6:$M$1005,SMALL(IF(checklistPesertaKemenkeu!$AY$6:$AY$1005="Direkomendasikan",ROW($6:$1005)-5),913)))=1),IFERROR(VLOOKUP(INDEX(checklistPesertaKemenkeu!$M$6:$M$1005,SMALL(IF(checklistPesertaKemenkeu!$AY$6:$AY$1005="Direkomendasikan",ROW($6:$1005)-5),913)),KotaKode,2,0),"-"),"")),"")</f>
        <v/>
      </c>
      <c r="J914" t="str">
        <f t="array" aca="1" ref="J914" ca="1">IFERROR(IF(OR(INDEX(checklistPesertaKemenkeu!$N$6:$N$1005,SMALL(IF(checklistPesertaKemenkeu!$AY$6:$AY$1005="Direkomendasikan",ROW($6:$1005)-5),913))="",INDEX(checklistPesertaKemenkeu!$J$6:$J$1005,SMALL(IF(checklistPesertaKemenkeu!$AY$6:$AY$1005="Direkomendasikan",ROW($6:$1005)-5),913))=""),"",IF(AND(COUNTIF(INDIRECT("K_"&amp;MATCH(INDEX(checklistPesertaKemenkeu!$J$6:$J$1005,SMALL(IF(checklistPesertaKemenkeu!$AY$6:$AY$1005="Direkomendasikan",ROW($6:$1005)-5),913)),BidangList,0)),INDEX(checklistPesertaKemenkeu!$N$6:$N$1005,SMALL(IF(checklistPesertaKemenkeu!$AY$6:$AY$1005="Direkomendasikan",ROW($6:$1005)-5),913)))&gt;0,COUNTIF(INDIRECT("'KERTAS KERJA'!K"&amp;(SMALL(IF(checklistPesertaKemenkeu!$AY$6:$AY$1005="Direkomendasikan",ROW($6:$1005)-5),913)+5)&amp;":O"&amp;(SMALL(IF(checklistPesertaKemenkeu!$AY$6:$AY$1005="Direkomendasikan",ROW($6:$1005)-5),913)+5)),INDEX(checklistPesertaKemenkeu!$N$6:$N$1005,SMALL(IF(checklistPesertaKemenkeu!$AY$6:$AY$1005="Direkomendasikan",ROW($6:$1005)-5),913)))=1),IFERROR(VLOOKUP(INDEX(checklistPesertaKemenkeu!$N$6:$N$1005,SMALL(IF(checklistPesertaKemenkeu!$AY$6:$AY$1005="Direkomendasikan",ROW($6:$1005)-5),913)),KotaKode,2,0),"-"),"")),"")</f>
        <v/>
      </c>
      <c r="K914" t="str">
        <f t="array" aca="1" ref="K914" ca="1">IFERROR(IF(OR(INDEX(checklistPesertaKemenkeu!$O$6:$O$1005,SMALL(IF(checklistPesertaKemenkeu!$AY$6:$AY$1005="Direkomendasikan",ROW($6:$1005)-5),913))="",INDEX(checklistPesertaKemenkeu!$J$6:$J$1005,SMALL(IF(checklistPesertaKemenkeu!$AY$6:$AY$1005="Direkomendasikan",ROW($6:$1005)-5),913))=""),"",IF(AND(COUNTIF(INDIRECT("K_"&amp;MATCH(INDEX(checklistPesertaKemenkeu!$J$6:$J$1005,SMALL(IF(checklistPesertaKemenkeu!$AY$6:$AY$1005="Direkomendasikan",ROW($6:$1005)-5),913)),BidangList,0)),INDEX(checklistPesertaKemenkeu!$O$6:$O$1005,SMALL(IF(checklistPesertaKemenkeu!$AY$6:$AY$1005="Direkomendasikan",ROW($6:$1005)-5),913)))&gt;0,COUNTIF(INDIRECT("'KERTAS KERJA'!K"&amp;(SMALL(IF(checklistPesertaKemenkeu!$AY$6:$AY$1005="Direkomendasikan",ROW($6:$1005)-5),913)+5)&amp;":O"&amp;(SMALL(IF(checklistPesertaKemenkeu!$AY$6:$AY$1005="Direkomendasikan",ROW($6:$1005)-5),913)+5)),INDEX(checklistPesertaKemenkeu!$O$6:$O$1005,SMALL(IF(checklistPesertaKemenkeu!$AY$6:$AY$1005="Direkomendasikan",ROW($6:$1005)-5),913)))=1),IFERROR(VLOOKUP(INDEX(checklistPesertaKemenkeu!$O$6:$O$1005,SMALL(IF(checklistPesertaKemenkeu!$AY$6:$AY$1005="Direkomendasikan",ROW($6:$1005)-5),913)),KotaKode,2,0),"-"),"")),"")</f>
        <v/>
      </c>
      <c r="L914" t="str">
        <f t="array" aca="1" ref="L914" ca="1">IFERROR(IF(OR(INDEX(checklistPesertaKemenkeu!$P$6:$P$1005,SMALL(IF(checklistPesertaKemenkeu!$AY$6:$AY$1005="Direkomendasikan",ROW($6:$1005)-5),913))="",INDEX(checklistPesertaKemenkeu!$J$6:$J$1005,SMALL(IF(checklistPesertaKemenkeu!$AY$6:$AY$1005="Direkomendasikan",ROW($6:$1005)-5),913))=""),"",IF(AND(COUNTIF(INDIRECT("K_"&amp;MATCH(INDEX(checklistPesertaKemenkeu!$J$6:$J$1005,SMALL(IF(checklistPesertaKemenkeu!$AY$6:$AY$1005="Direkomendasikan",ROW($6:$1005)-5),913)),BidangList,0)),INDEX(checklistPesertaKemenkeu!$P$6:$P$1005,SMALL(IF(checklistPesertaKemenkeu!$AY$6:$AY$1005="Direkomendasikan",ROW($6:$1005)-5),913)))&gt;0,COUNTIF(INDIRECT("'KERTAS KERJA'!K"&amp;(SMALL(IF(checklistPesertaKemenkeu!$AY$6:$AY$1005="Direkomendasikan",ROW($6:$1005)-5),913)+5)&amp;":O"&amp;(SMALL(IF(checklistPesertaKemenkeu!$AY$6:$AY$1005="Direkomendasikan",ROW($6:$1005)-5),913)+5)),INDEX(checklistPesertaKemenkeu!$P$6:$P$1005,SMALL(IF(checklistPesertaKemenkeu!$AY$6:$AY$1005="Direkomendasikan",ROW($6:$1005)-5),913)))=1),IFERROR(VLOOKUP(INDEX(checklistPesertaKemenkeu!$P$6:$P$1005,SMALL(IF(checklistPesertaKemenkeu!$AY$6:$AY$1005="Direkomendasikan",ROW($6:$1005)-5),913)),KotaKode,2,0),"-"),"")),"")</f>
        <v/>
      </c>
    </row>
    <row r="915" spans="1:12" ht="15" customHeight="1" x14ac:dyDescent="0.2">
      <c r="A915" t="str">
        <f t="shared" si="14"/>
        <v/>
      </c>
      <c r="B915" t="str">
        <v/>
      </c>
      <c r="C915" s="40" t="str">
        <f t="array" ref="C915">IFERROR(INDEX(checklistPesertaKemenkeu!$F$6:$F$1005,SMALL(IF(checklistPesertaKemenkeu!$AY$6:$AY$1005="Direkomendasikan",ROW($6:$1005)-5),914)),"")</f>
        <v/>
      </c>
      <c r="D915" t="str">
        <f t="array" ref="D915">IFERROR(INDEX(checklistPesertaKemenkeu!$G$6:$G$1005,SMALL(IF(checklistPesertaKemenkeu!$AY$6:$AY$1005="Direkomendasikan",ROW($6:$1005)-5),914)),"")</f>
        <v/>
      </c>
      <c r="E915" t="str">
        <f t="array" ref="E915">IFERROR(INDEX(checklistPesertaKemenkeu!$H$6:$H$1005,SMALL(IF(checklistPesertaKemenkeu!$AY$6:$AY$1005="Direkomendasikan",ROW($6:$1005)-5),914)),"")</f>
        <v/>
      </c>
      <c r="F915" t="str">
        <f t="array" ref="F915">IFERROR(INDEX(checklistPesertaKemenkeu!$I$6:$I$1005,SMALL(IF(checklistPesertaKemenkeu!$AY$6:$AY$1005="Direkomendasikan",ROW($6:$1005)-5),914)),"")</f>
        <v/>
      </c>
      <c r="G915" t="str">
        <f t="array" ref="G915">IFERROR(INDEX(checklistPesertaKemenkeu!$J$6:$J$1005,SMALL(IF(checklistPesertaKemenkeu!$AY$6:$AY$1005="Direkomendasikan",ROW($6:$1005)-5),914)),"")</f>
        <v/>
      </c>
      <c r="H915" t="str">
        <f t="array" aca="1" ref="H915" ca="1">IFERROR(IF(OR(INDEX(checklistPesertaKemenkeu!$L$6:$L$1005,SMALL(IF(checklistPesertaKemenkeu!$AY$6:$AY$1005="Direkomendasikan",ROW($6:$1005)-5),914))="",INDEX(checklistPesertaKemenkeu!$J$6:$J$1005,SMALL(IF(checklistPesertaKemenkeu!$AY$6:$AY$1005="Direkomendasikan",ROW($6:$1005)-5),914))=""),"",IF(AND(COUNTIF(INDIRECT("K_"&amp;MATCH(INDEX(checklistPesertaKemenkeu!$J$6:$J$1005,SMALL(IF(checklistPesertaKemenkeu!$AY$6:$AY$1005="Direkomendasikan",ROW($6:$1005)-5),914)),BidangList,0)),INDEX(checklistPesertaKemenkeu!$L$6:$L$1005,SMALL(IF(checklistPesertaKemenkeu!$AY$6:$AY$1005="Direkomendasikan",ROW($6:$1005)-5),914)))&gt;0,COUNTIF(INDIRECT("'KERTAS KERJA'!K"&amp;(SMALL(IF(checklistPesertaKemenkeu!$AY$6:$AY$1005="Direkomendasikan",ROW($6:$1005)-5),914)+5)&amp;":O"&amp;(SMALL(IF(checklistPesertaKemenkeu!$AY$6:$AY$1005="Direkomendasikan",ROW($6:$1005)-5),914)+5)),INDEX(checklistPesertaKemenkeu!$L$6:$L$1005,SMALL(IF(checklistPesertaKemenkeu!$AY$6:$AY$1005="Direkomendasikan",ROW($6:$1005)-5),914)))=1),IFERROR(VLOOKUP(INDEX(checklistPesertaKemenkeu!$L$6:$L$1005,SMALL(IF(checklistPesertaKemenkeu!$AY$6:$AY$1005="Direkomendasikan",ROW($6:$1005)-5),914)),KotaKode,2,0),"-"),"")),"")</f>
        <v/>
      </c>
      <c r="I915" t="str">
        <f t="array" aca="1" ref="I915" ca="1">IFERROR(IF(OR(INDEX(checklistPesertaKemenkeu!$M$6:$M$1005,SMALL(IF(checklistPesertaKemenkeu!$AY$6:$AY$1005="Direkomendasikan",ROW($6:$1005)-5),914))="",INDEX(checklistPesertaKemenkeu!$J$6:$J$1005,SMALL(IF(checklistPesertaKemenkeu!$AY$6:$AY$1005="Direkomendasikan",ROW($6:$1005)-5),914))=""),"",IF(AND(COUNTIF(INDIRECT("K_"&amp;MATCH(INDEX(checklistPesertaKemenkeu!$J$6:$J$1005,SMALL(IF(checklistPesertaKemenkeu!$AY$6:$AY$1005="Direkomendasikan",ROW($6:$1005)-5),914)),BidangList,0)),INDEX(checklistPesertaKemenkeu!$M$6:$M$1005,SMALL(IF(checklistPesertaKemenkeu!$AY$6:$AY$1005="Direkomendasikan",ROW($6:$1005)-5),914)))&gt;0,COUNTIF(INDIRECT("'KERTAS KERJA'!K"&amp;(SMALL(IF(checklistPesertaKemenkeu!$AY$6:$AY$1005="Direkomendasikan",ROW($6:$1005)-5),914)+5)&amp;":O"&amp;(SMALL(IF(checklistPesertaKemenkeu!$AY$6:$AY$1005="Direkomendasikan",ROW($6:$1005)-5),914)+5)),INDEX(checklistPesertaKemenkeu!$M$6:$M$1005,SMALL(IF(checklistPesertaKemenkeu!$AY$6:$AY$1005="Direkomendasikan",ROW($6:$1005)-5),914)))=1),IFERROR(VLOOKUP(INDEX(checklistPesertaKemenkeu!$M$6:$M$1005,SMALL(IF(checklistPesertaKemenkeu!$AY$6:$AY$1005="Direkomendasikan",ROW($6:$1005)-5),914)),KotaKode,2,0),"-"),"")),"")</f>
        <v/>
      </c>
      <c r="J915" t="str">
        <f t="array" aca="1" ref="J915" ca="1">IFERROR(IF(OR(INDEX(checklistPesertaKemenkeu!$N$6:$N$1005,SMALL(IF(checklistPesertaKemenkeu!$AY$6:$AY$1005="Direkomendasikan",ROW($6:$1005)-5),914))="",INDEX(checklistPesertaKemenkeu!$J$6:$J$1005,SMALL(IF(checklistPesertaKemenkeu!$AY$6:$AY$1005="Direkomendasikan",ROW($6:$1005)-5),914))=""),"",IF(AND(COUNTIF(INDIRECT("K_"&amp;MATCH(INDEX(checklistPesertaKemenkeu!$J$6:$J$1005,SMALL(IF(checklistPesertaKemenkeu!$AY$6:$AY$1005="Direkomendasikan",ROW($6:$1005)-5),914)),BidangList,0)),INDEX(checklistPesertaKemenkeu!$N$6:$N$1005,SMALL(IF(checklistPesertaKemenkeu!$AY$6:$AY$1005="Direkomendasikan",ROW($6:$1005)-5),914)))&gt;0,COUNTIF(INDIRECT("'KERTAS KERJA'!K"&amp;(SMALL(IF(checklistPesertaKemenkeu!$AY$6:$AY$1005="Direkomendasikan",ROW($6:$1005)-5),914)+5)&amp;":O"&amp;(SMALL(IF(checklistPesertaKemenkeu!$AY$6:$AY$1005="Direkomendasikan",ROW($6:$1005)-5),914)+5)),INDEX(checklistPesertaKemenkeu!$N$6:$N$1005,SMALL(IF(checklistPesertaKemenkeu!$AY$6:$AY$1005="Direkomendasikan",ROW($6:$1005)-5),914)))=1),IFERROR(VLOOKUP(INDEX(checklistPesertaKemenkeu!$N$6:$N$1005,SMALL(IF(checklistPesertaKemenkeu!$AY$6:$AY$1005="Direkomendasikan",ROW($6:$1005)-5),914)),KotaKode,2,0),"-"),"")),"")</f>
        <v/>
      </c>
      <c r="K915" t="str">
        <f t="array" aca="1" ref="K915" ca="1">IFERROR(IF(OR(INDEX(checklistPesertaKemenkeu!$O$6:$O$1005,SMALL(IF(checklistPesertaKemenkeu!$AY$6:$AY$1005="Direkomendasikan",ROW($6:$1005)-5),914))="",INDEX(checklistPesertaKemenkeu!$J$6:$J$1005,SMALL(IF(checklistPesertaKemenkeu!$AY$6:$AY$1005="Direkomendasikan",ROW($6:$1005)-5),914))=""),"",IF(AND(COUNTIF(INDIRECT("K_"&amp;MATCH(INDEX(checklistPesertaKemenkeu!$J$6:$J$1005,SMALL(IF(checklistPesertaKemenkeu!$AY$6:$AY$1005="Direkomendasikan",ROW($6:$1005)-5),914)),BidangList,0)),INDEX(checklistPesertaKemenkeu!$O$6:$O$1005,SMALL(IF(checklistPesertaKemenkeu!$AY$6:$AY$1005="Direkomendasikan",ROW($6:$1005)-5),914)))&gt;0,COUNTIF(INDIRECT("'KERTAS KERJA'!K"&amp;(SMALL(IF(checklistPesertaKemenkeu!$AY$6:$AY$1005="Direkomendasikan",ROW($6:$1005)-5),914)+5)&amp;":O"&amp;(SMALL(IF(checklistPesertaKemenkeu!$AY$6:$AY$1005="Direkomendasikan",ROW($6:$1005)-5),914)+5)),INDEX(checklistPesertaKemenkeu!$O$6:$O$1005,SMALL(IF(checklistPesertaKemenkeu!$AY$6:$AY$1005="Direkomendasikan",ROW($6:$1005)-5),914)))=1),IFERROR(VLOOKUP(INDEX(checklistPesertaKemenkeu!$O$6:$O$1005,SMALL(IF(checklistPesertaKemenkeu!$AY$6:$AY$1005="Direkomendasikan",ROW($6:$1005)-5),914)),KotaKode,2,0),"-"),"")),"")</f>
        <v/>
      </c>
      <c r="L915" t="str">
        <f t="array" aca="1" ref="L915" ca="1">IFERROR(IF(OR(INDEX(checklistPesertaKemenkeu!$P$6:$P$1005,SMALL(IF(checklistPesertaKemenkeu!$AY$6:$AY$1005="Direkomendasikan",ROW($6:$1005)-5),914))="",INDEX(checklistPesertaKemenkeu!$J$6:$J$1005,SMALL(IF(checklistPesertaKemenkeu!$AY$6:$AY$1005="Direkomendasikan",ROW($6:$1005)-5),914))=""),"",IF(AND(COUNTIF(INDIRECT("K_"&amp;MATCH(INDEX(checklistPesertaKemenkeu!$J$6:$J$1005,SMALL(IF(checklistPesertaKemenkeu!$AY$6:$AY$1005="Direkomendasikan",ROW($6:$1005)-5),914)),BidangList,0)),INDEX(checklistPesertaKemenkeu!$P$6:$P$1005,SMALL(IF(checklistPesertaKemenkeu!$AY$6:$AY$1005="Direkomendasikan",ROW($6:$1005)-5),914)))&gt;0,COUNTIF(INDIRECT("'KERTAS KERJA'!K"&amp;(SMALL(IF(checklistPesertaKemenkeu!$AY$6:$AY$1005="Direkomendasikan",ROW($6:$1005)-5),914)+5)&amp;":O"&amp;(SMALL(IF(checklistPesertaKemenkeu!$AY$6:$AY$1005="Direkomendasikan",ROW($6:$1005)-5),914)+5)),INDEX(checklistPesertaKemenkeu!$P$6:$P$1005,SMALL(IF(checklistPesertaKemenkeu!$AY$6:$AY$1005="Direkomendasikan",ROW($6:$1005)-5),914)))=1),IFERROR(VLOOKUP(INDEX(checklistPesertaKemenkeu!$P$6:$P$1005,SMALL(IF(checklistPesertaKemenkeu!$AY$6:$AY$1005="Direkomendasikan",ROW($6:$1005)-5),914)),KotaKode,2,0),"-"),"")),"")</f>
        <v/>
      </c>
    </row>
    <row r="916" spans="1:12" ht="15" customHeight="1" x14ac:dyDescent="0.2">
      <c r="A916" t="str">
        <f t="shared" si="14"/>
        <v/>
      </c>
      <c r="B916" t="str">
        <v/>
      </c>
      <c r="C916" s="40" t="str">
        <f t="array" ref="C916">IFERROR(INDEX(checklistPesertaKemenkeu!$F$6:$F$1005,SMALL(IF(checklistPesertaKemenkeu!$AY$6:$AY$1005="Direkomendasikan",ROW($6:$1005)-5),915)),"")</f>
        <v/>
      </c>
      <c r="D916" t="str">
        <f t="array" ref="D916">IFERROR(INDEX(checklistPesertaKemenkeu!$G$6:$G$1005,SMALL(IF(checklistPesertaKemenkeu!$AY$6:$AY$1005="Direkomendasikan",ROW($6:$1005)-5),915)),"")</f>
        <v/>
      </c>
      <c r="E916" t="str">
        <f t="array" ref="E916">IFERROR(INDEX(checklistPesertaKemenkeu!$H$6:$H$1005,SMALL(IF(checklistPesertaKemenkeu!$AY$6:$AY$1005="Direkomendasikan",ROW($6:$1005)-5),915)),"")</f>
        <v/>
      </c>
      <c r="F916" t="str">
        <f t="array" ref="F916">IFERROR(INDEX(checklistPesertaKemenkeu!$I$6:$I$1005,SMALL(IF(checklistPesertaKemenkeu!$AY$6:$AY$1005="Direkomendasikan",ROW($6:$1005)-5),915)),"")</f>
        <v/>
      </c>
      <c r="G916" t="str">
        <f t="array" ref="G916">IFERROR(INDEX(checklistPesertaKemenkeu!$J$6:$J$1005,SMALL(IF(checklistPesertaKemenkeu!$AY$6:$AY$1005="Direkomendasikan",ROW($6:$1005)-5),915)),"")</f>
        <v/>
      </c>
      <c r="H916" t="str">
        <f t="array" aca="1" ref="H916" ca="1">IFERROR(IF(OR(INDEX(checklistPesertaKemenkeu!$L$6:$L$1005,SMALL(IF(checklistPesertaKemenkeu!$AY$6:$AY$1005="Direkomendasikan",ROW($6:$1005)-5),915))="",INDEX(checklistPesertaKemenkeu!$J$6:$J$1005,SMALL(IF(checklistPesertaKemenkeu!$AY$6:$AY$1005="Direkomendasikan",ROW($6:$1005)-5),915))=""),"",IF(AND(COUNTIF(INDIRECT("K_"&amp;MATCH(INDEX(checklistPesertaKemenkeu!$J$6:$J$1005,SMALL(IF(checklistPesertaKemenkeu!$AY$6:$AY$1005="Direkomendasikan",ROW($6:$1005)-5),915)),BidangList,0)),INDEX(checklistPesertaKemenkeu!$L$6:$L$1005,SMALL(IF(checklistPesertaKemenkeu!$AY$6:$AY$1005="Direkomendasikan",ROW($6:$1005)-5),915)))&gt;0,COUNTIF(INDIRECT("'KERTAS KERJA'!K"&amp;(SMALL(IF(checklistPesertaKemenkeu!$AY$6:$AY$1005="Direkomendasikan",ROW($6:$1005)-5),915)+5)&amp;":O"&amp;(SMALL(IF(checklistPesertaKemenkeu!$AY$6:$AY$1005="Direkomendasikan",ROW($6:$1005)-5),915)+5)),INDEX(checklistPesertaKemenkeu!$L$6:$L$1005,SMALL(IF(checklistPesertaKemenkeu!$AY$6:$AY$1005="Direkomendasikan",ROW($6:$1005)-5),915)))=1),IFERROR(VLOOKUP(INDEX(checklistPesertaKemenkeu!$L$6:$L$1005,SMALL(IF(checklistPesertaKemenkeu!$AY$6:$AY$1005="Direkomendasikan",ROW($6:$1005)-5),915)),KotaKode,2,0),"-"),"")),"")</f>
        <v/>
      </c>
      <c r="I916" t="str">
        <f t="array" aca="1" ref="I916" ca="1">IFERROR(IF(OR(INDEX(checklistPesertaKemenkeu!$M$6:$M$1005,SMALL(IF(checklistPesertaKemenkeu!$AY$6:$AY$1005="Direkomendasikan",ROW($6:$1005)-5),915))="",INDEX(checklistPesertaKemenkeu!$J$6:$J$1005,SMALL(IF(checklistPesertaKemenkeu!$AY$6:$AY$1005="Direkomendasikan",ROW($6:$1005)-5),915))=""),"",IF(AND(COUNTIF(INDIRECT("K_"&amp;MATCH(INDEX(checklistPesertaKemenkeu!$J$6:$J$1005,SMALL(IF(checklistPesertaKemenkeu!$AY$6:$AY$1005="Direkomendasikan",ROW($6:$1005)-5),915)),BidangList,0)),INDEX(checklistPesertaKemenkeu!$M$6:$M$1005,SMALL(IF(checklistPesertaKemenkeu!$AY$6:$AY$1005="Direkomendasikan",ROW($6:$1005)-5),915)))&gt;0,COUNTIF(INDIRECT("'KERTAS KERJA'!K"&amp;(SMALL(IF(checklistPesertaKemenkeu!$AY$6:$AY$1005="Direkomendasikan",ROW($6:$1005)-5),915)+5)&amp;":O"&amp;(SMALL(IF(checklistPesertaKemenkeu!$AY$6:$AY$1005="Direkomendasikan",ROW($6:$1005)-5),915)+5)),INDEX(checklistPesertaKemenkeu!$M$6:$M$1005,SMALL(IF(checklistPesertaKemenkeu!$AY$6:$AY$1005="Direkomendasikan",ROW($6:$1005)-5),915)))=1),IFERROR(VLOOKUP(INDEX(checklistPesertaKemenkeu!$M$6:$M$1005,SMALL(IF(checklistPesertaKemenkeu!$AY$6:$AY$1005="Direkomendasikan",ROW($6:$1005)-5),915)),KotaKode,2,0),"-"),"")),"")</f>
        <v/>
      </c>
      <c r="J916" t="str">
        <f t="array" aca="1" ref="J916" ca="1">IFERROR(IF(OR(INDEX(checklistPesertaKemenkeu!$N$6:$N$1005,SMALL(IF(checklistPesertaKemenkeu!$AY$6:$AY$1005="Direkomendasikan",ROW($6:$1005)-5),915))="",INDEX(checklistPesertaKemenkeu!$J$6:$J$1005,SMALL(IF(checklistPesertaKemenkeu!$AY$6:$AY$1005="Direkomendasikan",ROW($6:$1005)-5),915))=""),"",IF(AND(COUNTIF(INDIRECT("K_"&amp;MATCH(INDEX(checklistPesertaKemenkeu!$J$6:$J$1005,SMALL(IF(checklistPesertaKemenkeu!$AY$6:$AY$1005="Direkomendasikan",ROW($6:$1005)-5),915)),BidangList,0)),INDEX(checklistPesertaKemenkeu!$N$6:$N$1005,SMALL(IF(checklistPesertaKemenkeu!$AY$6:$AY$1005="Direkomendasikan",ROW($6:$1005)-5),915)))&gt;0,COUNTIF(INDIRECT("'KERTAS KERJA'!K"&amp;(SMALL(IF(checklistPesertaKemenkeu!$AY$6:$AY$1005="Direkomendasikan",ROW($6:$1005)-5),915)+5)&amp;":O"&amp;(SMALL(IF(checklistPesertaKemenkeu!$AY$6:$AY$1005="Direkomendasikan",ROW($6:$1005)-5),915)+5)),INDEX(checklistPesertaKemenkeu!$N$6:$N$1005,SMALL(IF(checklistPesertaKemenkeu!$AY$6:$AY$1005="Direkomendasikan",ROW($6:$1005)-5),915)))=1),IFERROR(VLOOKUP(INDEX(checklistPesertaKemenkeu!$N$6:$N$1005,SMALL(IF(checklistPesertaKemenkeu!$AY$6:$AY$1005="Direkomendasikan",ROW($6:$1005)-5),915)),KotaKode,2,0),"-"),"")),"")</f>
        <v/>
      </c>
      <c r="K916" t="str">
        <f t="array" aca="1" ref="K916" ca="1">IFERROR(IF(OR(INDEX(checklistPesertaKemenkeu!$O$6:$O$1005,SMALL(IF(checklistPesertaKemenkeu!$AY$6:$AY$1005="Direkomendasikan",ROW($6:$1005)-5),915))="",INDEX(checklistPesertaKemenkeu!$J$6:$J$1005,SMALL(IF(checklistPesertaKemenkeu!$AY$6:$AY$1005="Direkomendasikan",ROW($6:$1005)-5),915))=""),"",IF(AND(COUNTIF(INDIRECT("K_"&amp;MATCH(INDEX(checklistPesertaKemenkeu!$J$6:$J$1005,SMALL(IF(checklistPesertaKemenkeu!$AY$6:$AY$1005="Direkomendasikan",ROW($6:$1005)-5),915)),BidangList,0)),INDEX(checklistPesertaKemenkeu!$O$6:$O$1005,SMALL(IF(checklistPesertaKemenkeu!$AY$6:$AY$1005="Direkomendasikan",ROW($6:$1005)-5),915)))&gt;0,COUNTIF(INDIRECT("'KERTAS KERJA'!K"&amp;(SMALL(IF(checklistPesertaKemenkeu!$AY$6:$AY$1005="Direkomendasikan",ROW($6:$1005)-5),915)+5)&amp;":O"&amp;(SMALL(IF(checklistPesertaKemenkeu!$AY$6:$AY$1005="Direkomendasikan",ROW($6:$1005)-5),915)+5)),INDEX(checklistPesertaKemenkeu!$O$6:$O$1005,SMALL(IF(checklistPesertaKemenkeu!$AY$6:$AY$1005="Direkomendasikan",ROW($6:$1005)-5),915)))=1),IFERROR(VLOOKUP(INDEX(checklistPesertaKemenkeu!$O$6:$O$1005,SMALL(IF(checklistPesertaKemenkeu!$AY$6:$AY$1005="Direkomendasikan",ROW($6:$1005)-5),915)),KotaKode,2,0),"-"),"")),"")</f>
        <v/>
      </c>
      <c r="L916" t="str">
        <f t="array" aca="1" ref="L916" ca="1">IFERROR(IF(OR(INDEX(checklistPesertaKemenkeu!$P$6:$P$1005,SMALL(IF(checklistPesertaKemenkeu!$AY$6:$AY$1005="Direkomendasikan",ROW($6:$1005)-5),915))="",INDEX(checklistPesertaKemenkeu!$J$6:$J$1005,SMALL(IF(checklistPesertaKemenkeu!$AY$6:$AY$1005="Direkomendasikan",ROW($6:$1005)-5),915))=""),"",IF(AND(COUNTIF(INDIRECT("K_"&amp;MATCH(INDEX(checklistPesertaKemenkeu!$J$6:$J$1005,SMALL(IF(checklistPesertaKemenkeu!$AY$6:$AY$1005="Direkomendasikan",ROW($6:$1005)-5),915)),BidangList,0)),INDEX(checklistPesertaKemenkeu!$P$6:$P$1005,SMALL(IF(checklistPesertaKemenkeu!$AY$6:$AY$1005="Direkomendasikan",ROW($6:$1005)-5),915)))&gt;0,COUNTIF(INDIRECT("'KERTAS KERJA'!K"&amp;(SMALL(IF(checklistPesertaKemenkeu!$AY$6:$AY$1005="Direkomendasikan",ROW($6:$1005)-5),915)+5)&amp;":O"&amp;(SMALL(IF(checklistPesertaKemenkeu!$AY$6:$AY$1005="Direkomendasikan",ROW($6:$1005)-5),915)+5)),INDEX(checklistPesertaKemenkeu!$P$6:$P$1005,SMALL(IF(checklistPesertaKemenkeu!$AY$6:$AY$1005="Direkomendasikan",ROW($6:$1005)-5),915)))=1),IFERROR(VLOOKUP(INDEX(checklistPesertaKemenkeu!$P$6:$P$1005,SMALL(IF(checklistPesertaKemenkeu!$AY$6:$AY$1005="Direkomendasikan",ROW($6:$1005)-5),915)),KotaKode,2,0),"-"),"")),"")</f>
        <v/>
      </c>
    </row>
    <row r="917" spans="1:12" ht="15" customHeight="1" x14ac:dyDescent="0.2">
      <c r="A917" t="str">
        <f t="shared" si="14"/>
        <v/>
      </c>
      <c r="B917" t="str">
        <v/>
      </c>
      <c r="C917" s="40" t="str">
        <f t="array" ref="C917">IFERROR(INDEX(checklistPesertaKemenkeu!$F$6:$F$1005,SMALL(IF(checklistPesertaKemenkeu!$AY$6:$AY$1005="Direkomendasikan",ROW($6:$1005)-5),916)),"")</f>
        <v/>
      </c>
      <c r="D917" t="str">
        <f t="array" ref="D917">IFERROR(INDEX(checklistPesertaKemenkeu!$G$6:$G$1005,SMALL(IF(checklistPesertaKemenkeu!$AY$6:$AY$1005="Direkomendasikan",ROW($6:$1005)-5),916)),"")</f>
        <v/>
      </c>
      <c r="E917" t="str">
        <f t="array" ref="E917">IFERROR(INDEX(checklistPesertaKemenkeu!$H$6:$H$1005,SMALL(IF(checklistPesertaKemenkeu!$AY$6:$AY$1005="Direkomendasikan",ROW($6:$1005)-5),916)),"")</f>
        <v/>
      </c>
      <c r="F917" t="str">
        <f t="array" ref="F917">IFERROR(INDEX(checklistPesertaKemenkeu!$I$6:$I$1005,SMALL(IF(checklistPesertaKemenkeu!$AY$6:$AY$1005="Direkomendasikan",ROW($6:$1005)-5),916)),"")</f>
        <v/>
      </c>
      <c r="G917" t="str">
        <f t="array" ref="G917">IFERROR(INDEX(checklistPesertaKemenkeu!$J$6:$J$1005,SMALL(IF(checklistPesertaKemenkeu!$AY$6:$AY$1005="Direkomendasikan",ROW($6:$1005)-5),916)),"")</f>
        <v/>
      </c>
      <c r="H917" t="str">
        <f t="array" aca="1" ref="H917" ca="1">IFERROR(IF(OR(INDEX(checklistPesertaKemenkeu!$L$6:$L$1005,SMALL(IF(checklistPesertaKemenkeu!$AY$6:$AY$1005="Direkomendasikan",ROW($6:$1005)-5),916))="",INDEX(checklistPesertaKemenkeu!$J$6:$J$1005,SMALL(IF(checklistPesertaKemenkeu!$AY$6:$AY$1005="Direkomendasikan",ROW($6:$1005)-5),916))=""),"",IF(AND(COUNTIF(INDIRECT("K_"&amp;MATCH(INDEX(checklistPesertaKemenkeu!$J$6:$J$1005,SMALL(IF(checklistPesertaKemenkeu!$AY$6:$AY$1005="Direkomendasikan",ROW($6:$1005)-5),916)),BidangList,0)),INDEX(checklistPesertaKemenkeu!$L$6:$L$1005,SMALL(IF(checklistPesertaKemenkeu!$AY$6:$AY$1005="Direkomendasikan",ROW($6:$1005)-5),916)))&gt;0,COUNTIF(INDIRECT("'KERTAS KERJA'!K"&amp;(SMALL(IF(checklistPesertaKemenkeu!$AY$6:$AY$1005="Direkomendasikan",ROW($6:$1005)-5),916)+5)&amp;":O"&amp;(SMALL(IF(checklistPesertaKemenkeu!$AY$6:$AY$1005="Direkomendasikan",ROW($6:$1005)-5),916)+5)),INDEX(checklistPesertaKemenkeu!$L$6:$L$1005,SMALL(IF(checklistPesertaKemenkeu!$AY$6:$AY$1005="Direkomendasikan",ROW($6:$1005)-5),916)))=1),IFERROR(VLOOKUP(INDEX(checklistPesertaKemenkeu!$L$6:$L$1005,SMALL(IF(checklistPesertaKemenkeu!$AY$6:$AY$1005="Direkomendasikan",ROW($6:$1005)-5),916)),KotaKode,2,0),"-"),"")),"")</f>
        <v/>
      </c>
      <c r="I917" t="str">
        <f t="array" aca="1" ref="I917" ca="1">IFERROR(IF(OR(INDEX(checklistPesertaKemenkeu!$M$6:$M$1005,SMALL(IF(checklistPesertaKemenkeu!$AY$6:$AY$1005="Direkomendasikan",ROW($6:$1005)-5),916))="",INDEX(checklistPesertaKemenkeu!$J$6:$J$1005,SMALL(IF(checklistPesertaKemenkeu!$AY$6:$AY$1005="Direkomendasikan",ROW($6:$1005)-5),916))=""),"",IF(AND(COUNTIF(INDIRECT("K_"&amp;MATCH(INDEX(checklistPesertaKemenkeu!$J$6:$J$1005,SMALL(IF(checklistPesertaKemenkeu!$AY$6:$AY$1005="Direkomendasikan",ROW($6:$1005)-5),916)),BidangList,0)),INDEX(checklistPesertaKemenkeu!$M$6:$M$1005,SMALL(IF(checklistPesertaKemenkeu!$AY$6:$AY$1005="Direkomendasikan",ROW($6:$1005)-5),916)))&gt;0,COUNTIF(INDIRECT("'KERTAS KERJA'!K"&amp;(SMALL(IF(checklistPesertaKemenkeu!$AY$6:$AY$1005="Direkomendasikan",ROW($6:$1005)-5),916)+5)&amp;":O"&amp;(SMALL(IF(checklistPesertaKemenkeu!$AY$6:$AY$1005="Direkomendasikan",ROW($6:$1005)-5),916)+5)),INDEX(checklistPesertaKemenkeu!$M$6:$M$1005,SMALL(IF(checklistPesertaKemenkeu!$AY$6:$AY$1005="Direkomendasikan",ROW($6:$1005)-5),916)))=1),IFERROR(VLOOKUP(INDEX(checklistPesertaKemenkeu!$M$6:$M$1005,SMALL(IF(checklistPesertaKemenkeu!$AY$6:$AY$1005="Direkomendasikan",ROW($6:$1005)-5),916)),KotaKode,2,0),"-"),"")),"")</f>
        <v/>
      </c>
      <c r="J917" t="str">
        <f t="array" aca="1" ref="J917" ca="1">IFERROR(IF(OR(INDEX(checklistPesertaKemenkeu!$N$6:$N$1005,SMALL(IF(checklistPesertaKemenkeu!$AY$6:$AY$1005="Direkomendasikan",ROW($6:$1005)-5),916))="",INDEX(checklistPesertaKemenkeu!$J$6:$J$1005,SMALL(IF(checklistPesertaKemenkeu!$AY$6:$AY$1005="Direkomendasikan",ROW($6:$1005)-5),916))=""),"",IF(AND(COUNTIF(INDIRECT("K_"&amp;MATCH(INDEX(checklistPesertaKemenkeu!$J$6:$J$1005,SMALL(IF(checklistPesertaKemenkeu!$AY$6:$AY$1005="Direkomendasikan",ROW($6:$1005)-5),916)),BidangList,0)),INDEX(checklistPesertaKemenkeu!$N$6:$N$1005,SMALL(IF(checklistPesertaKemenkeu!$AY$6:$AY$1005="Direkomendasikan",ROW($6:$1005)-5),916)))&gt;0,COUNTIF(INDIRECT("'KERTAS KERJA'!K"&amp;(SMALL(IF(checklistPesertaKemenkeu!$AY$6:$AY$1005="Direkomendasikan",ROW($6:$1005)-5),916)+5)&amp;":O"&amp;(SMALL(IF(checklistPesertaKemenkeu!$AY$6:$AY$1005="Direkomendasikan",ROW($6:$1005)-5),916)+5)),INDEX(checklistPesertaKemenkeu!$N$6:$N$1005,SMALL(IF(checklistPesertaKemenkeu!$AY$6:$AY$1005="Direkomendasikan",ROW($6:$1005)-5),916)))=1),IFERROR(VLOOKUP(INDEX(checklistPesertaKemenkeu!$N$6:$N$1005,SMALL(IF(checklistPesertaKemenkeu!$AY$6:$AY$1005="Direkomendasikan",ROW($6:$1005)-5),916)),KotaKode,2,0),"-"),"")),"")</f>
        <v/>
      </c>
      <c r="K917" t="str">
        <f t="array" aca="1" ref="K917" ca="1">IFERROR(IF(OR(INDEX(checklistPesertaKemenkeu!$O$6:$O$1005,SMALL(IF(checklistPesertaKemenkeu!$AY$6:$AY$1005="Direkomendasikan",ROW($6:$1005)-5),916))="",INDEX(checklistPesertaKemenkeu!$J$6:$J$1005,SMALL(IF(checklistPesertaKemenkeu!$AY$6:$AY$1005="Direkomendasikan",ROW($6:$1005)-5),916))=""),"",IF(AND(COUNTIF(INDIRECT("K_"&amp;MATCH(INDEX(checklistPesertaKemenkeu!$J$6:$J$1005,SMALL(IF(checklistPesertaKemenkeu!$AY$6:$AY$1005="Direkomendasikan",ROW($6:$1005)-5),916)),BidangList,0)),INDEX(checklistPesertaKemenkeu!$O$6:$O$1005,SMALL(IF(checklistPesertaKemenkeu!$AY$6:$AY$1005="Direkomendasikan",ROW($6:$1005)-5),916)))&gt;0,COUNTIF(INDIRECT("'KERTAS KERJA'!K"&amp;(SMALL(IF(checklistPesertaKemenkeu!$AY$6:$AY$1005="Direkomendasikan",ROW($6:$1005)-5),916)+5)&amp;":O"&amp;(SMALL(IF(checklistPesertaKemenkeu!$AY$6:$AY$1005="Direkomendasikan",ROW($6:$1005)-5),916)+5)),INDEX(checklistPesertaKemenkeu!$O$6:$O$1005,SMALL(IF(checklistPesertaKemenkeu!$AY$6:$AY$1005="Direkomendasikan",ROW($6:$1005)-5),916)))=1),IFERROR(VLOOKUP(INDEX(checklistPesertaKemenkeu!$O$6:$O$1005,SMALL(IF(checklistPesertaKemenkeu!$AY$6:$AY$1005="Direkomendasikan",ROW($6:$1005)-5),916)),KotaKode,2,0),"-"),"")),"")</f>
        <v/>
      </c>
      <c r="L917" t="str">
        <f t="array" aca="1" ref="L917" ca="1">IFERROR(IF(OR(INDEX(checklistPesertaKemenkeu!$P$6:$P$1005,SMALL(IF(checklistPesertaKemenkeu!$AY$6:$AY$1005="Direkomendasikan",ROW($6:$1005)-5),916))="",INDEX(checklistPesertaKemenkeu!$J$6:$J$1005,SMALL(IF(checklistPesertaKemenkeu!$AY$6:$AY$1005="Direkomendasikan",ROW($6:$1005)-5),916))=""),"",IF(AND(COUNTIF(INDIRECT("K_"&amp;MATCH(INDEX(checklistPesertaKemenkeu!$J$6:$J$1005,SMALL(IF(checklistPesertaKemenkeu!$AY$6:$AY$1005="Direkomendasikan",ROW($6:$1005)-5),916)),BidangList,0)),INDEX(checklistPesertaKemenkeu!$P$6:$P$1005,SMALL(IF(checklistPesertaKemenkeu!$AY$6:$AY$1005="Direkomendasikan",ROW($6:$1005)-5),916)))&gt;0,COUNTIF(INDIRECT("'KERTAS KERJA'!K"&amp;(SMALL(IF(checklistPesertaKemenkeu!$AY$6:$AY$1005="Direkomendasikan",ROW($6:$1005)-5),916)+5)&amp;":O"&amp;(SMALL(IF(checklistPesertaKemenkeu!$AY$6:$AY$1005="Direkomendasikan",ROW($6:$1005)-5),916)+5)),INDEX(checklistPesertaKemenkeu!$P$6:$P$1005,SMALL(IF(checklistPesertaKemenkeu!$AY$6:$AY$1005="Direkomendasikan",ROW($6:$1005)-5),916)))=1),IFERROR(VLOOKUP(INDEX(checklistPesertaKemenkeu!$P$6:$P$1005,SMALL(IF(checklistPesertaKemenkeu!$AY$6:$AY$1005="Direkomendasikan",ROW($6:$1005)-5),916)),KotaKode,2,0),"-"),"")),"")</f>
        <v/>
      </c>
    </row>
    <row r="918" spans="1:12" ht="15" customHeight="1" x14ac:dyDescent="0.2">
      <c r="A918" t="str">
        <f t="shared" si="14"/>
        <v/>
      </c>
      <c r="B918" t="str">
        <v/>
      </c>
      <c r="C918" s="40" t="str">
        <f t="array" ref="C918">IFERROR(INDEX(checklistPesertaKemenkeu!$F$6:$F$1005,SMALL(IF(checklistPesertaKemenkeu!$AY$6:$AY$1005="Direkomendasikan",ROW($6:$1005)-5),917)),"")</f>
        <v/>
      </c>
      <c r="D918" t="str">
        <f t="array" ref="D918">IFERROR(INDEX(checklistPesertaKemenkeu!$G$6:$G$1005,SMALL(IF(checklistPesertaKemenkeu!$AY$6:$AY$1005="Direkomendasikan",ROW($6:$1005)-5),917)),"")</f>
        <v/>
      </c>
      <c r="E918" t="str">
        <f t="array" ref="E918">IFERROR(INDEX(checklistPesertaKemenkeu!$H$6:$H$1005,SMALL(IF(checklistPesertaKemenkeu!$AY$6:$AY$1005="Direkomendasikan",ROW($6:$1005)-5),917)),"")</f>
        <v/>
      </c>
      <c r="F918" t="str">
        <f t="array" ref="F918">IFERROR(INDEX(checklistPesertaKemenkeu!$I$6:$I$1005,SMALL(IF(checklistPesertaKemenkeu!$AY$6:$AY$1005="Direkomendasikan",ROW($6:$1005)-5),917)),"")</f>
        <v/>
      </c>
      <c r="G918" t="str">
        <f t="array" ref="G918">IFERROR(INDEX(checklistPesertaKemenkeu!$J$6:$J$1005,SMALL(IF(checklistPesertaKemenkeu!$AY$6:$AY$1005="Direkomendasikan",ROW($6:$1005)-5),917)),"")</f>
        <v/>
      </c>
      <c r="H918" t="str">
        <f t="array" aca="1" ref="H918" ca="1">IFERROR(IF(OR(INDEX(checklistPesertaKemenkeu!$L$6:$L$1005,SMALL(IF(checklistPesertaKemenkeu!$AY$6:$AY$1005="Direkomendasikan",ROW($6:$1005)-5),917))="",INDEX(checklistPesertaKemenkeu!$J$6:$J$1005,SMALL(IF(checklistPesertaKemenkeu!$AY$6:$AY$1005="Direkomendasikan",ROW($6:$1005)-5),917))=""),"",IF(AND(COUNTIF(INDIRECT("K_"&amp;MATCH(INDEX(checklistPesertaKemenkeu!$J$6:$J$1005,SMALL(IF(checklistPesertaKemenkeu!$AY$6:$AY$1005="Direkomendasikan",ROW($6:$1005)-5),917)),BidangList,0)),INDEX(checklistPesertaKemenkeu!$L$6:$L$1005,SMALL(IF(checklistPesertaKemenkeu!$AY$6:$AY$1005="Direkomendasikan",ROW($6:$1005)-5),917)))&gt;0,COUNTIF(INDIRECT("'KERTAS KERJA'!K"&amp;(SMALL(IF(checklistPesertaKemenkeu!$AY$6:$AY$1005="Direkomendasikan",ROW($6:$1005)-5),917)+5)&amp;":O"&amp;(SMALL(IF(checklistPesertaKemenkeu!$AY$6:$AY$1005="Direkomendasikan",ROW($6:$1005)-5),917)+5)),INDEX(checklistPesertaKemenkeu!$L$6:$L$1005,SMALL(IF(checklistPesertaKemenkeu!$AY$6:$AY$1005="Direkomendasikan",ROW($6:$1005)-5),917)))=1),IFERROR(VLOOKUP(INDEX(checklistPesertaKemenkeu!$L$6:$L$1005,SMALL(IF(checklistPesertaKemenkeu!$AY$6:$AY$1005="Direkomendasikan",ROW($6:$1005)-5),917)),KotaKode,2,0),"-"),"")),"")</f>
        <v/>
      </c>
      <c r="I918" t="str">
        <f t="array" aca="1" ref="I918" ca="1">IFERROR(IF(OR(INDEX(checklistPesertaKemenkeu!$M$6:$M$1005,SMALL(IF(checklistPesertaKemenkeu!$AY$6:$AY$1005="Direkomendasikan",ROW($6:$1005)-5),917))="",INDEX(checklistPesertaKemenkeu!$J$6:$J$1005,SMALL(IF(checklistPesertaKemenkeu!$AY$6:$AY$1005="Direkomendasikan",ROW($6:$1005)-5),917))=""),"",IF(AND(COUNTIF(INDIRECT("K_"&amp;MATCH(INDEX(checklistPesertaKemenkeu!$J$6:$J$1005,SMALL(IF(checklistPesertaKemenkeu!$AY$6:$AY$1005="Direkomendasikan",ROW($6:$1005)-5),917)),BidangList,0)),INDEX(checklistPesertaKemenkeu!$M$6:$M$1005,SMALL(IF(checklistPesertaKemenkeu!$AY$6:$AY$1005="Direkomendasikan",ROW($6:$1005)-5),917)))&gt;0,COUNTIF(INDIRECT("'KERTAS KERJA'!K"&amp;(SMALL(IF(checklistPesertaKemenkeu!$AY$6:$AY$1005="Direkomendasikan",ROW($6:$1005)-5),917)+5)&amp;":O"&amp;(SMALL(IF(checklistPesertaKemenkeu!$AY$6:$AY$1005="Direkomendasikan",ROW($6:$1005)-5),917)+5)),INDEX(checklistPesertaKemenkeu!$M$6:$M$1005,SMALL(IF(checklistPesertaKemenkeu!$AY$6:$AY$1005="Direkomendasikan",ROW($6:$1005)-5),917)))=1),IFERROR(VLOOKUP(INDEX(checklistPesertaKemenkeu!$M$6:$M$1005,SMALL(IF(checklistPesertaKemenkeu!$AY$6:$AY$1005="Direkomendasikan",ROW($6:$1005)-5),917)),KotaKode,2,0),"-"),"")),"")</f>
        <v/>
      </c>
      <c r="J918" t="str">
        <f t="array" aca="1" ref="J918" ca="1">IFERROR(IF(OR(INDEX(checklistPesertaKemenkeu!$N$6:$N$1005,SMALL(IF(checklistPesertaKemenkeu!$AY$6:$AY$1005="Direkomendasikan",ROW($6:$1005)-5),917))="",INDEX(checklistPesertaKemenkeu!$J$6:$J$1005,SMALL(IF(checklistPesertaKemenkeu!$AY$6:$AY$1005="Direkomendasikan",ROW($6:$1005)-5),917))=""),"",IF(AND(COUNTIF(INDIRECT("K_"&amp;MATCH(INDEX(checklistPesertaKemenkeu!$J$6:$J$1005,SMALL(IF(checklistPesertaKemenkeu!$AY$6:$AY$1005="Direkomendasikan",ROW($6:$1005)-5),917)),BidangList,0)),INDEX(checklistPesertaKemenkeu!$N$6:$N$1005,SMALL(IF(checklistPesertaKemenkeu!$AY$6:$AY$1005="Direkomendasikan",ROW($6:$1005)-5),917)))&gt;0,COUNTIF(INDIRECT("'KERTAS KERJA'!K"&amp;(SMALL(IF(checklistPesertaKemenkeu!$AY$6:$AY$1005="Direkomendasikan",ROW($6:$1005)-5),917)+5)&amp;":O"&amp;(SMALL(IF(checklistPesertaKemenkeu!$AY$6:$AY$1005="Direkomendasikan",ROW($6:$1005)-5),917)+5)),INDEX(checklistPesertaKemenkeu!$N$6:$N$1005,SMALL(IF(checklistPesertaKemenkeu!$AY$6:$AY$1005="Direkomendasikan",ROW($6:$1005)-5),917)))=1),IFERROR(VLOOKUP(INDEX(checklistPesertaKemenkeu!$N$6:$N$1005,SMALL(IF(checklistPesertaKemenkeu!$AY$6:$AY$1005="Direkomendasikan",ROW($6:$1005)-5),917)),KotaKode,2,0),"-"),"")),"")</f>
        <v/>
      </c>
      <c r="K918" t="str">
        <f t="array" aca="1" ref="K918" ca="1">IFERROR(IF(OR(INDEX(checklistPesertaKemenkeu!$O$6:$O$1005,SMALL(IF(checklistPesertaKemenkeu!$AY$6:$AY$1005="Direkomendasikan",ROW($6:$1005)-5),917))="",INDEX(checklistPesertaKemenkeu!$J$6:$J$1005,SMALL(IF(checklistPesertaKemenkeu!$AY$6:$AY$1005="Direkomendasikan",ROW($6:$1005)-5),917))=""),"",IF(AND(COUNTIF(INDIRECT("K_"&amp;MATCH(INDEX(checklistPesertaKemenkeu!$J$6:$J$1005,SMALL(IF(checklistPesertaKemenkeu!$AY$6:$AY$1005="Direkomendasikan",ROW($6:$1005)-5),917)),BidangList,0)),INDEX(checklistPesertaKemenkeu!$O$6:$O$1005,SMALL(IF(checklistPesertaKemenkeu!$AY$6:$AY$1005="Direkomendasikan",ROW($6:$1005)-5),917)))&gt;0,COUNTIF(INDIRECT("'KERTAS KERJA'!K"&amp;(SMALL(IF(checklistPesertaKemenkeu!$AY$6:$AY$1005="Direkomendasikan",ROW($6:$1005)-5),917)+5)&amp;":O"&amp;(SMALL(IF(checklistPesertaKemenkeu!$AY$6:$AY$1005="Direkomendasikan",ROW($6:$1005)-5),917)+5)),INDEX(checklistPesertaKemenkeu!$O$6:$O$1005,SMALL(IF(checklistPesertaKemenkeu!$AY$6:$AY$1005="Direkomendasikan",ROW($6:$1005)-5),917)))=1),IFERROR(VLOOKUP(INDEX(checklistPesertaKemenkeu!$O$6:$O$1005,SMALL(IF(checklistPesertaKemenkeu!$AY$6:$AY$1005="Direkomendasikan",ROW($6:$1005)-5),917)),KotaKode,2,0),"-"),"")),"")</f>
        <v/>
      </c>
      <c r="L918" t="str">
        <f t="array" aca="1" ref="L918" ca="1">IFERROR(IF(OR(INDEX(checklistPesertaKemenkeu!$P$6:$P$1005,SMALL(IF(checklistPesertaKemenkeu!$AY$6:$AY$1005="Direkomendasikan",ROW($6:$1005)-5),917))="",INDEX(checklistPesertaKemenkeu!$J$6:$J$1005,SMALL(IF(checklistPesertaKemenkeu!$AY$6:$AY$1005="Direkomendasikan",ROW($6:$1005)-5),917))=""),"",IF(AND(COUNTIF(INDIRECT("K_"&amp;MATCH(INDEX(checklistPesertaKemenkeu!$J$6:$J$1005,SMALL(IF(checklistPesertaKemenkeu!$AY$6:$AY$1005="Direkomendasikan",ROW($6:$1005)-5),917)),BidangList,0)),INDEX(checklistPesertaKemenkeu!$P$6:$P$1005,SMALL(IF(checklistPesertaKemenkeu!$AY$6:$AY$1005="Direkomendasikan",ROW($6:$1005)-5),917)))&gt;0,COUNTIF(INDIRECT("'KERTAS KERJA'!K"&amp;(SMALL(IF(checklistPesertaKemenkeu!$AY$6:$AY$1005="Direkomendasikan",ROW($6:$1005)-5),917)+5)&amp;":O"&amp;(SMALL(IF(checklistPesertaKemenkeu!$AY$6:$AY$1005="Direkomendasikan",ROW($6:$1005)-5),917)+5)),INDEX(checklistPesertaKemenkeu!$P$6:$P$1005,SMALL(IF(checklistPesertaKemenkeu!$AY$6:$AY$1005="Direkomendasikan",ROW($6:$1005)-5),917)))=1),IFERROR(VLOOKUP(INDEX(checklistPesertaKemenkeu!$P$6:$P$1005,SMALL(IF(checklistPesertaKemenkeu!$AY$6:$AY$1005="Direkomendasikan",ROW($6:$1005)-5),917)),KotaKode,2,0),"-"),"")),"")</f>
        <v/>
      </c>
    </row>
    <row r="919" spans="1:12" ht="15" customHeight="1" x14ac:dyDescent="0.2">
      <c r="A919" t="str">
        <f t="shared" si="14"/>
        <v/>
      </c>
      <c r="B919" t="str">
        <v/>
      </c>
      <c r="C919" s="40" t="str">
        <f t="array" ref="C919">IFERROR(INDEX(checklistPesertaKemenkeu!$F$6:$F$1005,SMALL(IF(checklistPesertaKemenkeu!$AY$6:$AY$1005="Direkomendasikan",ROW($6:$1005)-5),918)),"")</f>
        <v/>
      </c>
      <c r="D919" t="str">
        <f t="array" ref="D919">IFERROR(INDEX(checklistPesertaKemenkeu!$G$6:$G$1005,SMALL(IF(checklistPesertaKemenkeu!$AY$6:$AY$1005="Direkomendasikan",ROW($6:$1005)-5),918)),"")</f>
        <v/>
      </c>
      <c r="E919" t="str">
        <f t="array" ref="E919">IFERROR(INDEX(checklistPesertaKemenkeu!$H$6:$H$1005,SMALL(IF(checklistPesertaKemenkeu!$AY$6:$AY$1005="Direkomendasikan",ROW($6:$1005)-5),918)),"")</f>
        <v/>
      </c>
      <c r="F919" t="str">
        <f t="array" ref="F919">IFERROR(INDEX(checklistPesertaKemenkeu!$I$6:$I$1005,SMALL(IF(checklistPesertaKemenkeu!$AY$6:$AY$1005="Direkomendasikan",ROW($6:$1005)-5),918)),"")</f>
        <v/>
      </c>
      <c r="G919" t="str">
        <f t="array" ref="G919">IFERROR(INDEX(checklistPesertaKemenkeu!$J$6:$J$1005,SMALL(IF(checklistPesertaKemenkeu!$AY$6:$AY$1005="Direkomendasikan",ROW($6:$1005)-5),918)),"")</f>
        <v/>
      </c>
      <c r="H919" t="str">
        <f t="array" aca="1" ref="H919" ca="1">IFERROR(IF(OR(INDEX(checklistPesertaKemenkeu!$L$6:$L$1005,SMALL(IF(checklistPesertaKemenkeu!$AY$6:$AY$1005="Direkomendasikan",ROW($6:$1005)-5),918))="",INDEX(checklistPesertaKemenkeu!$J$6:$J$1005,SMALL(IF(checklistPesertaKemenkeu!$AY$6:$AY$1005="Direkomendasikan",ROW($6:$1005)-5),918))=""),"",IF(AND(COUNTIF(INDIRECT("K_"&amp;MATCH(INDEX(checklistPesertaKemenkeu!$J$6:$J$1005,SMALL(IF(checklistPesertaKemenkeu!$AY$6:$AY$1005="Direkomendasikan",ROW($6:$1005)-5),918)),BidangList,0)),INDEX(checklistPesertaKemenkeu!$L$6:$L$1005,SMALL(IF(checklistPesertaKemenkeu!$AY$6:$AY$1005="Direkomendasikan",ROW($6:$1005)-5),918)))&gt;0,COUNTIF(INDIRECT("'KERTAS KERJA'!K"&amp;(SMALL(IF(checklistPesertaKemenkeu!$AY$6:$AY$1005="Direkomendasikan",ROW($6:$1005)-5),918)+5)&amp;":O"&amp;(SMALL(IF(checklistPesertaKemenkeu!$AY$6:$AY$1005="Direkomendasikan",ROW($6:$1005)-5),918)+5)),INDEX(checklistPesertaKemenkeu!$L$6:$L$1005,SMALL(IF(checklistPesertaKemenkeu!$AY$6:$AY$1005="Direkomendasikan",ROW($6:$1005)-5),918)))=1),IFERROR(VLOOKUP(INDEX(checklistPesertaKemenkeu!$L$6:$L$1005,SMALL(IF(checklistPesertaKemenkeu!$AY$6:$AY$1005="Direkomendasikan",ROW($6:$1005)-5),918)),KotaKode,2,0),"-"),"")),"")</f>
        <v/>
      </c>
      <c r="I919" t="str">
        <f t="array" aca="1" ref="I919" ca="1">IFERROR(IF(OR(INDEX(checklistPesertaKemenkeu!$M$6:$M$1005,SMALL(IF(checklistPesertaKemenkeu!$AY$6:$AY$1005="Direkomendasikan",ROW($6:$1005)-5),918))="",INDEX(checklistPesertaKemenkeu!$J$6:$J$1005,SMALL(IF(checklistPesertaKemenkeu!$AY$6:$AY$1005="Direkomendasikan",ROW($6:$1005)-5),918))=""),"",IF(AND(COUNTIF(INDIRECT("K_"&amp;MATCH(INDEX(checklistPesertaKemenkeu!$J$6:$J$1005,SMALL(IF(checklistPesertaKemenkeu!$AY$6:$AY$1005="Direkomendasikan",ROW($6:$1005)-5),918)),BidangList,0)),INDEX(checklistPesertaKemenkeu!$M$6:$M$1005,SMALL(IF(checklistPesertaKemenkeu!$AY$6:$AY$1005="Direkomendasikan",ROW($6:$1005)-5),918)))&gt;0,COUNTIF(INDIRECT("'KERTAS KERJA'!K"&amp;(SMALL(IF(checklistPesertaKemenkeu!$AY$6:$AY$1005="Direkomendasikan",ROW($6:$1005)-5),918)+5)&amp;":O"&amp;(SMALL(IF(checklistPesertaKemenkeu!$AY$6:$AY$1005="Direkomendasikan",ROW($6:$1005)-5),918)+5)),INDEX(checklistPesertaKemenkeu!$M$6:$M$1005,SMALL(IF(checklistPesertaKemenkeu!$AY$6:$AY$1005="Direkomendasikan",ROW($6:$1005)-5),918)))=1),IFERROR(VLOOKUP(INDEX(checklistPesertaKemenkeu!$M$6:$M$1005,SMALL(IF(checklistPesertaKemenkeu!$AY$6:$AY$1005="Direkomendasikan",ROW($6:$1005)-5),918)),KotaKode,2,0),"-"),"")),"")</f>
        <v/>
      </c>
      <c r="J919" t="str">
        <f t="array" aca="1" ref="J919" ca="1">IFERROR(IF(OR(INDEX(checklistPesertaKemenkeu!$N$6:$N$1005,SMALL(IF(checklistPesertaKemenkeu!$AY$6:$AY$1005="Direkomendasikan",ROW($6:$1005)-5),918))="",INDEX(checklistPesertaKemenkeu!$J$6:$J$1005,SMALL(IF(checklistPesertaKemenkeu!$AY$6:$AY$1005="Direkomendasikan",ROW($6:$1005)-5),918))=""),"",IF(AND(COUNTIF(INDIRECT("K_"&amp;MATCH(INDEX(checklistPesertaKemenkeu!$J$6:$J$1005,SMALL(IF(checklistPesertaKemenkeu!$AY$6:$AY$1005="Direkomendasikan",ROW($6:$1005)-5),918)),BidangList,0)),INDEX(checklistPesertaKemenkeu!$N$6:$N$1005,SMALL(IF(checklistPesertaKemenkeu!$AY$6:$AY$1005="Direkomendasikan",ROW($6:$1005)-5),918)))&gt;0,COUNTIF(INDIRECT("'KERTAS KERJA'!K"&amp;(SMALL(IF(checklistPesertaKemenkeu!$AY$6:$AY$1005="Direkomendasikan",ROW($6:$1005)-5),918)+5)&amp;":O"&amp;(SMALL(IF(checklistPesertaKemenkeu!$AY$6:$AY$1005="Direkomendasikan",ROW($6:$1005)-5),918)+5)),INDEX(checklistPesertaKemenkeu!$N$6:$N$1005,SMALL(IF(checklistPesertaKemenkeu!$AY$6:$AY$1005="Direkomendasikan",ROW($6:$1005)-5),918)))=1),IFERROR(VLOOKUP(INDEX(checklistPesertaKemenkeu!$N$6:$N$1005,SMALL(IF(checklistPesertaKemenkeu!$AY$6:$AY$1005="Direkomendasikan",ROW($6:$1005)-5),918)),KotaKode,2,0),"-"),"")),"")</f>
        <v/>
      </c>
      <c r="K919" t="str">
        <f t="array" aca="1" ref="K919" ca="1">IFERROR(IF(OR(INDEX(checklistPesertaKemenkeu!$O$6:$O$1005,SMALL(IF(checklistPesertaKemenkeu!$AY$6:$AY$1005="Direkomendasikan",ROW($6:$1005)-5),918))="",INDEX(checklistPesertaKemenkeu!$J$6:$J$1005,SMALL(IF(checklistPesertaKemenkeu!$AY$6:$AY$1005="Direkomendasikan",ROW($6:$1005)-5),918))=""),"",IF(AND(COUNTIF(INDIRECT("K_"&amp;MATCH(INDEX(checklistPesertaKemenkeu!$J$6:$J$1005,SMALL(IF(checklistPesertaKemenkeu!$AY$6:$AY$1005="Direkomendasikan",ROW($6:$1005)-5),918)),BidangList,0)),INDEX(checklistPesertaKemenkeu!$O$6:$O$1005,SMALL(IF(checklistPesertaKemenkeu!$AY$6:$AY$1005="Direkomendasikan",ROW($6:$1005)-5),918)))&gt;0,COUNTIF(INDIRECT("'KERTAS KERJA'!K"&amp;(SMALL(IF(checklistPesertaKemenkeu!$AY$6:$AY$1005="Direkomendasikan",ROW($6:$1005)-5),918)+5)&amp;":O"&amp;(SMALL(IF(checklistPesertaKemenkeu!$AY$6:$AY$1005="Direkomendasikan",ROW($6:$1005)-5),918)+5)),INDEX(checklistPesertaKemenkeu!$O$6:$O$1005,SMALL(IF(checklistPesertaKemenkeu!$AY$6:$AY$1005="Direkomendasikan",ROW($6:$1005)-5),918)))=1),IFERROR(VLOOKUP(INDEX(checklistPesertaKemenkeu!$O$6:$O$1005,SMALL(IF(checklistPesertaKemenkeu!$AY$6:$AY$1005="Direkomendasikan",ROW($6:$1005)-5),918)),KotaKode,2,0),"-"),"")),"")</f>
        <v/>
      </c>
      <c r="L919" t="str">
        <f t="array" aca="1" ref="L919" ca="1">IFERROR(IF(OR(INDEX(checklistPesertaKemenkeu!$P$6:$P$1005,SMALL(IF(checklistPesertaKemenkeu!$AY$6:$AY$1005="Direkomendasikan",ROW($6:$1005)-5),918))="",INDEX(checklistPesertaKemenkeu!$J$6:$J$1005,SMALL(IF(checklistPesertaKemenkeu!$AY$6:$AY$1005="Direkomendasikan",ROW($6:$1005)-5),918))=""),"",IF(AND(COUNTIF(INDIRECT("K_"&amp;MATCH(INDEX(checklistPesertaKemenkeu!$J$6:$J$1005,SMALL(IF(checklistPesertaKemenkeu!$AY$6:$AY$1005="Direkomendasikan",ROW($6:$1005)-5),918)),BidangList,0)),INDEX(checklistPesertaKemenkeu!$P$6:$P$1005,SMALL(IF(checklistPesertaKemenkeu!$AY$6:$AY$1005="Direkomendasikan",ROW($6:$1005)-5),918)))&gt;0,COUNTIF(INDIRECT("'KERTAS KERJA'!K"&amp;(SMALL(IF(checklistPesertaKemenkeu!$AY$6:$AY$1005="Direkomendasikan",ROW($6:$1005)-5),918)+5)&amp;":O"&amp;(SMALL(IF(checklistPesertaKemenkeu!$AY$6:$AY$1005="Direkomendasikan",ROW($6:$1005)-5),918)+5)),INDEX(checklistPesertaKemenkeu!$P$6:$P$1005,SMALL(IF(checklistPesertaKemenkeu!$AY$6:$AY$1005="Direkomendasikan",ROW($6:$1005)-5),918)))=1),IFERROR(VLOOKUP(INDEX(checklistPesertaKemenkeu!$P$6:$P$1005,SMALL(IF(checklistPesertaKemenkeu!$AY$6:$AY$1005="Direkomendasikan",ROW($6:$1005)-5),918)),KotaKode,2,0),"-"),"")),"")</f>
        <v/>
      </c>
    </row>
    <row r="920" spans="1:12" ht="15" customHeight="1" x14ac:dyDescent="0.2">
      <c r="A920" t="str">
        <f t="shared" si="14"/>
        <v/>
      </c>
      <c r="B920" t="str">
        <v/>
      </c>
      <c r="C920" s="40" t="str">
        <f t="array" ref="C920">IFERROR(INDEX(checklistPesertaKemenkeu!$F$6:$F$1005,SMALL(IF(checklistPesertaKemenkeu!$AY$6:$AY$1005="Direkomendasikan",ROW($6:$1005)-5),919)),"")</f>
        <v/>
      </c>
      <c r="D920" t="str">
        <f t="array" ref="D920">IFERROR(INDEX(checklistPesertaKemenkeu!$G$6:$G$1005,SMALL(IF(checklistPesertaKemenkeu!$AY$6:$AY$1005="Direkomendasikan",ROW($6:$1005)-5),919)),"")</f>
        <v/>
      </c>
      <c r="E920" t="str">
        <f t="array" ref="E920">IFERROR(INDEX(checklistPesertaKemenkeu!$H$6:$H$1005,SMALL(IF(checklistPesertaKemenkeu!$AY$6:$AY$1005="Direkomendasikan",ROW($6:$1005)-5),919)),"")</f>
        <v/>
      </c>
      <c r="F920" t="str">
        <f t="array" ref="F920">IFERROR(INDEX(checklistPesertaKemenkeu!$I$6:$I$1005,SMALL(IF(checklistPesertaKemenkeu!$AY$6:$AY$1005="Direkomendasikan",ROW($6:$1005)-5),919)),"")</f>
        <v/>
      </c>
      <c r="G920" t="str">
        <f t="array" ref="G920">IFERROR(INDEX(checklistPesertaKemenkeu!$J$6:$J$1005,SMALL(IF(checklistPesertaKemenkeu!$AY$6:$AY$1005="Direkomendasikan",ROW($6:$1005)-5),919)),"")</f>
        <v/>
      </c>
      <c r="H920" t="str">
        <f t="array" aca="1" ref="H920" ca="1">IFERROR(IF(OR(INDEX(checklistPesertaKemenkeu!$L$6:$L$1005,SMALL(IF(checklistPesertaKemenkeu!$AY$6:$AY$1005="Direkomendasikan",ROW($6:$1005)-5),919))="",INDEX(checklistPesertaKemenkeu!$J$6:$J$1005,SMALL(IF(checklistPesertaKemenkeu!$AY$6:$AY$1005="Direkomendasikan",ROW($6:$1005)-5),919))=""),"",IF(AND(COUNTIF(INDIRECT("K_"&amp;MATCH(INDEX(checklistPesertaKemenkeu!$J$6:$J$1005,SMALL(IF(checklistPesertaKemenkeu!$AY$6:$AY$1005="Direkomendasikan",ROW($6:$1005)-5),919)),BidangList,0)),INDEX(checklistPesertaKemenkeu!$L$6:$L$1005,SMALL(IF(checklistPesertaKemenkeu!$AY$6:$AY$1005="Direkomendasikan",ROW($6:$1005)-5),919)))&gt;0,COUNTIF(INDIRECT("'KERTAS KERJA'!K"&amp;(SMALL(IF(checklistPesertaKemenkeu!$AY$6:$AY$1005="Direkomendasikan",ROW($6:$1005)-5),919)+5)&amp;":O"&amp;(SMALL(IF(checklistPesertaKemenkeu!$AY$6:$AY$1005="Direkomendasikan",ROW($6:$1005)-5),919)+5)),INDEX(checklistPesertaKemenkeu!$L$6:$L$1005,SMALL(IF(checklistPesertaKemenkeu!$AY$6:$AY$1005="Direkomendasikan",ROW($6:$1005)-5),919)))=1),IFERROR(VLOOKUP(INDEX(checklistPesertaKemenkeu!$L$6:$L$1005,SMALL(IF(checklistPesertaKemenkeu!$AY$6:$AY$1005="Direkomendasikan",ROW($6:$1005)-5),919)),KotaKode,2,0),"-"),"")),"")</f>
        <v/>
      </c>
      <c r="I920" t="str">
        <f t="array" aca="1" ref="I920" ca="1">IFERROR(IF(OR(INDEX(checklistPesertaKemenkeu!$M$6:$M$1005,SMALL(IF(checklistPesertaKemenkeu!$AY$6:$AY$1005="Direkomendasikan",ROW($6:$1005)-5),919))="",INDEX(checklistPesertaKemenkeu!$J$6:$J$1005,SMALL(IF(checklistPesertaKemenkeu!$AY$6:$AY$1005="Direkomendasikan",ROW($6:$1005)-5),919))=""),"",IF(AND(COUNTIF(INDIRECT("K_"&amp;MATCH(INDEX(checklistPesertaKemenkeu!$J$6:$J$1005,SMALL(IF(checklistPesertaKemenkeu!$AY$6:$AY$1005="Direkomendasikan",ROW($6:$1005)-5),919)),BidangList,0)),INDEX(checklistPesertaKemenkeu!$M$6:$M$1005,SMALL(IF(checklistPesertaKemenkeu!$AY$6:$AY$1005="Direkomendasikan",ROW($6:$1005)-5),919)))&gt;0,COUNTIF(INDIRECT("'KERTAS KERJA'!K"&amp;(SMALL(IF(checklistPesertaKemenkeu!$AY$6:$AY$1005="Direkomendasikan",ROW($6:$1005)-5),919)+5)&amp;":O"&amp;(SMALL(IF(checklistPesertaKemenkeu!$AY$6:$AY$1005="Direkomendasikan",ROW($6:$1005)-5),919)+5)),INDEX(checklistPesertaKemenkeu!$M$6:$M$1005,SMALL(IF(checklistPesertaKemenkeu!$AY$6:$AY$1005="Direkomendasikan",ROW($6:$1005)-5),919)))=1),IFERROR(VLOOKUP(INDEX(checklistPesertaKemenkeu!$M$6:$M$1005,SMALL(IF(checklistPesertaKemenkeu!$AY$6:$AY$1005="Direkomendasikan",ROW($6:$1005)-5),919)),KotaKode,2,0),"-"),"")),"")</f>
        <v/>
      </c>
      <c r="J920" t="str">
        <f t="array" aca="1" ref="J920" ca="1">IFERROR(IF(OR(INDEX(checklistPesertaKemenkeu!$N$6:$N$1005,SMALL(IF(checklistPesertaKemenkeu!$AY$6:$AY$1005="Direkomendasikan",ROW($6:$1005)-5),919))="",INDEX(checklistPesertaKemenkeu!$J$6:$J$1005,SMALL(IF(checklistPesertaKemenkeu!$AY$6:$AY$1005="Direkomendasikan",ROW($6:$1005)-5),919))=""),"",IF(AND(COUNTIF(INDIRECT("K_"&amp;MATCH(INDEX(checklistPesertaKemenkeu!$J$6:$J$1005,SMALL(IF(checklistPesertaKemenkeu!$AY$6:$AY$1005="Direkomendasikan",ROW($6:$1005)-5),919)),BidangList,0)),INDEX(checklistPesertaKemenkeu!$N$6:$N$1005,SMALL(IF(checklistPesertaKemenkeu!$AY$6:$AY$1005="Direkomendasikan",ROW($6:$1005)-5),919)))&gt;0,COUNTIF(INDIRECT("'KERTAS KERJA'!K"&amp;(SMALL(IF(checklistPesertaKemenkeu!$AY$6:$AY$1005="Direkomendasikan",ROW($6:$1005)-5),919)+5)&amp;":O"&amp;(SMALL(IF(checklistPesertaKemenkeu!$AY$6:$AY$1005="Direkomendasikan",ROW($6:$1005)-5),919)+5)),INDEX(checklistPesertaKemenkeu!$N$6:$N$1005,SMALL(IF(checklistPesertaKemenkeu!$AY$6:$AY$1005="Direkomendasikan",ROW($6:$1005)-5),919)))=1),IFERROR(VLOOKUP(INDEX(checklistPesertaKemenkeu!$N$6:$N$1005,SMALL(IF(checklistPesertaKemenkeu!$AY$6:$AY$1005="Direkomendasikan",ROW($6:$1005)-5),919)),KotaKode,2,0),"-"),"")),"")</f>
        <v/>
      </c>
      <c r="K920" t="str">
        <f t="array" aca="1" ref="K920" ca="1">IFERROR(IF(OR(INDEX(checklistPesertaKemenkeu!$O$6:$O$1005,SMALL(IF(checklistPesertaKemenkeu!$AY$6:$AY$1005="Direkomendasikan",ROW($6:$1005)-5),919))="",INDEX(checklistPesertaKemenkeu!$J$6:$J$1005,SMALL(IF(checklistPesertaKemenkeu!$AY$6:$AY$1005="Direkomendasikan",ROW($6:$1005)-5),919))=""),"",IF(AND(COUNTIF(INDIRECT("K_"&amp;MATCH(INDEX(checklistPesertaKemenkeu!$J$6:$J$1005,SMALL(IF(checklistPesertaKemenkeu!$AY$6:$AY$1005="Direkomendasikan",ROW($6:$1005)-5),919)),BidangList,0)),INDEX(checklistPesertaKemenkeu!$O$6:$O$1005,SMALL(IF(checklistPesertaKemenkeu!$AY$6:$AY$1005="Direkomendasikan",ROW($6:$1005)-5),919)))&gt;0,COUNTIF(INDIRECT("'KERTAS KERJA'!K"&amp;(SMALL(IF(checklistPesertaKemenkeu!$AY$6:$AY$1005="Direkomendasikan",ROW($6:$1005)-5),919)+5)&amp;":O"&amp;(SMALL(IF(checklistPesertaKemenkeu!$AY$6:$AY$1005="Direkomendasikan",ROW($6:$1005)-5),919)+5)),INDEX(checklistPesertaKemenkeu!$O$6:$O$1005,SMALL(IF(checklistPesertaKemenkeu!$AY$6:$AY$1005="Direkomendasikan",ROW($6:$1005)-5),919)))=1),IFERROR(VLOOKUP(INDEX(checklistPesertaKemenkeu!$O$6:$O$1005,SMALL(IF(checklistPesertaKemenkeu!$AY$6:$AY$1005="Direkomendasikan",ROW($6:$1005)-5),919)),KotaKode,2,0),"-"),"")),"")</f>
        <v/>
      </c>
      <c r="L920" t="str">
        <f t="array" aca="1" ref="L920" ca="1">IFERROR(IF(OR(INDEX(checklistPesertaKemenkeu!$P$6:$P$1005,SMALL(IF(checklistPesertaKemenkeu!$AY$6:$AY$1005="Direkomendasikan",ROW($6:$1005)-5),919))="",INDEX(checklistPesertaKemenkeu!$J$6:$J$1005,SMALL(IF(checklistPesertaKemenkeu!$AY$6:$AY$1005="Direkomendasikan",ROW($6:$1005)-5),919))=""),"",IF(AND(COUNTIF(INDIRECT("K_"&amp;MATCH(INDEX(checklistPesertaKemenkeu!$J$6:$J$1005,SMALL(IF(checklistPesertaKemenkeu!$AY$6:$AY$1005="Direkomendasikan",ROW($6:$1005)-5),919)),BidangList,0)),INDEX(checklistPesertaKemenkeu!$P$6:$P$1005,SMALL(IF(checklistPesertaKemenkeu!$AY$6:$AY$1005="Direkomendasikan",ROW($6:$1005)-5),919)))&gt;0,COUNTIF(INDIRECT("'KERTAS KERJA'!K"&amp;(SMALL(IF(checklistPesertaKemenkeu!$AY$6:$AY$1005="Direkomendasikan",ROW($6:$1005)-5),919)+5)&amp;":O"&amp;(SMALL(IF(checklistPesertaKemenkeu!$AY$6:$AY$1005="Direkomendasikan",ROW($6:$1005)-5),919)+5)),INDEX(checklistPesertaKemenkeu!$P$6:$P$1005,SMALL(IF(checklistPesertaKemenkeu!$AY$6:$AY$1005="Direkomendasikan",ROW($6:$1005)-5),919)))=1),IFERROR(VLOOKUP(INDEX(checklistPesertaKemenkeu!$P$6:$P$1005,SMALL(IF(checklistPesertaKemenkeu!$AY$6:$AY$1005="Direkomendasikan",ROW($6:$1005)-5),919)),KotaKode,2,0),"-"),"")),"")</f>
        <v/>
      </c>
    </row>
    <row r="921" spans="1:12" ht="15" customHeight="1" x14ac:dyDescent="0.2">
      <c r="A921" t="str">
        <f t="shared" si="14"/>
        <v/>
      </c>
      <c r="B921" t="str">
        <v/>
      </c>
      <c r="C921" s="40" t="str">
        <f t="array" ref="C921">IFERROR(INDEX(checklistPesertaKemenkeu!$F$6:$F$1005,SMALL(IF(checklistPesertaKemenkeu!$AY$6:$AY$1005="Direkomendasikan",ROW($6:$1005)-5),920)),"")</f>
        <v/>
      </c>
      <c r="D921" t="str">
        <f t="array" ref="D921">IFERROR(INDEX(checklistPesertaKemenkeu!$G$6:$G$1005,SMALL(IF(checklistPesertaKemenkeu!$AY$6:$AY$1005="Direkomendasikan",ROW($6:$1005)-5),920)),"")</f>
        <v/>
      </c>
      <c r="E921" t="str">
        <f t="array" ref="E921">IFERROR(INDEX(checklistPesertaKemenkeu!$H$6:$H$1005,SMALL(IF(checklistPesertaKemenkeu!$AY$6:$AY$1005="Direkomendasikan",ROW($6:$1005)-5),920)),"")</f>
        <v/>
      </c>
      <c r="F921" t="str">
        <f t="array" ref="F921">IFERROR(INDEX(checklistPesertaKemenkeu!$I$6:$I$1005,SMALL(IF(checklistPesertaKemenkeu!$AY$6:$AY$1005="Direkomendasikan",ROW($6:$1005)-5),920)),"")</f>
        <v/>
      </c>
      <c r="G921" t="str">
        <f t="array" ref="G921">IFERROR(INDEX(checklistPesertaKemenkeu!$J$6:$J$1005,SMALL(IF(checklistPesertaKemenkeu!$AY$6:$AY$1005="Direkomendasikan",ROW($6:$1005)-5),920)),"")</f>
        <v/>
      </c>
      <c r="H921" t="str">
        <f t="array" aca="1" ref="H921" ca="1">IFERROR(IF(OR(INDEX(checklistPesertaKemenkeu!$L$6:$L$1005,SMALL(IF(checklistPesertaKemenkeu!$AY$6:$AY$1005="Direkomendasikan",ROW($6:$1005)-5),920))="",INDEX(checklistPesertaKemenkeu!$J$6:$J$1005,SMALL(IF(checklistPesertaKemenkeu!$AY$6:$AY$1005="Direkomendasikan",ROW($6:$1005)-5),920))=""),"",IF(AND(COUNTIF(INDIRECT("K_"&amp;MATCH(INDEX(checklistPesertaKemenkeu!$J$6:$J$1005,SMALL(IF(checklistPesertaKemenkeu!$AY$6:$AY$1005="Direkomendasikan",ROW($6:$1005)-5),920)),BidangList,0)),INDEX(checklistPesertaKemenkeu!$L$6:$L$1005,SMALL(IF(checklistPesertaKemenkeu!$AY$6:$AY$1005="Direkomendasikan",ROW($6:$1005)-5),920)))&gt;0,COUNTIF(INDIRECT("'KERTAS KERJA'!K"&amp;(SMALL(IF(checklistPesertaKemenkeu!$AY$6:$AY$1005="Direkomendasikan",ROW($6:$1005)-5),920)+5)&amp;":O"&amp;(SMALL(IF(checklistPesertaKemenkeu!$AY$6:$AY$1005="Direkomendasikan",ROW($6:$1005)-5),920)+5)),INDEX(checklistPesertaKemenkeu!$L$6:$L$1005,SMALL(IF(checklistPesertaKemenkeu!$AY$6:$AY$1005="Direkomendasikan",ROW($6:$1005)-5),920)))=1),IFERROR(VLOOKUP(INDEX(checklistPesertaKemenkeu!$L$6:$L$1005,SMALL(IF(checklistPesertaKemenkeu!$AY$6:$AY$1005="Direkomendasikan",ROW($6:$1005)-5),920)),KotaKode,2,0),"-"),"")),"")</f>
        <v/>
      </c>
      <c r="I921" t="str">
        <f t="array" aca="1" ref="I921" ca="1">IFERROR(IF(OR(INDEX(checklistPesertaKemenkeu!$M$6:$M$1005,SMALL(IF(checklistPesertaKemenkeu!$AY$6:$AY$1005="Direkomendasikan",ROW($6:$1005)-5),920))="",INDEX(checklistPesertaKemenkeu!$J$6:$J$1005,SMALL(IF(checklistPesertaKemenkeu!$AY$6:$AY$1005="Direkomendasikan",ROW($6:$1005)-5),920))=""),"",IF(AND(COUNTIF(INDIRECT("K_"&amp;MATCH(INDEX(checklistPesertaKemenkeu!$J$6:$J$1005,SMALL(IF(checklistPesertaKemenkeu!$AY$6:$AY$1005="Direkomendasikan",ROW($6:$1005)-5),920)),BidangList,0)),INDEX(checklistPesertaKemenkeu!$M$6:$M$1005,SMALL(IF(checklistPesertaKemenkeu!$AY$6:$AY$1005="Direkomendasikan",ROW($6:$1005)-5),920)))&gt;0,COUNTIF(INDIRECT("'KERTAS KERJA'!K"&amp;(SMALL(IF(checklistPesertaKemenkeu!$AY$6:$AY$1005="Direkomendasikan",ROW($6:$1005)-5),920)+5)&amp;":O"&amp;(SMALL(IF(checklistPesertaKemenkeu!$AY$6:$AY$1005="Direkomendasikan",ROW($6:$1005)-5),920)+5)),INDEX(checklistPesertaKemenkeu!$M$6:$M$1005,SMALL(IF(checklistPesertaKemenkeu!$AY$6:$AY$1005="Direkomendasikan",ROW($6:$1005)-5),920)))=1),IFERROR(VLOOKUP(INDEX(checklistPesertaKemenkeu!$M$6:$M$1005,SMALL(IF(checklistPesertaKemenkeu!$AY$6:$AY$1005="Direkomendasikan",ROW($6:$1005)-5),920)),KotaKode,2,0),"-"),"")),"")</f>
        <v/>
      </c>
      <c r="J921" t="str">
        <f t="array" aca="1" ref="J921" ca="1">IFERROR(IF(OR(INDEX(checklistPesertaKemenkeu!$N$6:$N$1005,SMALL(IF(checklistPesertaKemenkeu!$AY$6:$AY$1005="Direkomendasikan",ROW($6:$1005)-5),920))="",INDEX(checklistPesertaKemenkeu!$J$6:$J$1005,SMALL(IF(checklistPesertaKemenkeu!$AY$6:$AY$1005="Direkomendasikan",ROW($6:$1005)-5),920))=""),"",IF(AND(COUNTIF(INDIRECT("K_"&amp;MATCH(INDEX(checklistPesertaKemenkeu!$J$6:$J$1005,SMALL(IF(checklistPesertaKemenkeu!$AY$6:$AY$1005="Direkomendasikan",ROW($6:$1005)-5),920)),BidangList,0)),INDEX(checklistPesertaKemenkeu!$N$6:$N$1005,SMALL(IF(checklistPesertaKemenkeu!$AY$6:$AY$1005="Direkomendasikan",ROW($6:$1005)-5),920)))&gt;0,COUNTIF(INDIRECT("'KERTAS KERJA'!K"&amp;(SMALL(IF(checklistPesertaKemenkeu!$AY$6:$AY$1005="Direkomendasikan",ROW($6:$1005)-5),920)+5)&amp;":O"&amp;(SMALL(IF(checklistPesertaKemenkeu!$AY$6:$AY$1005="Direkomendasikan",ROW($6:$1005)-5),920)+5)),INDEX(checklistPesertaKemenkeu!$N$6:$N$1005,SMALL(IF(checklistPesertaKemenkeu!$AY$6:$AY$1005="Direkomendasikan",ROW($6:$1005)-5),920)))=1),IFERROR(VLOOKUP(INDEX(checklistPesertaKemenkeu!$N$6:$N$1005,SMALL(IF(checklistPesertaKemenkeu!$AY$6:$AY$1005="Direkomendasikan",ROW($6:$1005)-5),920)),KotaKode,2,0),"-"),"")),"")</f>
        <v/>
      </c>
      <c r="K921" t="str">
        <f t="array" aca="1" ref="K921" ca="1">IFERROR(IF(OR(INDEX(checklistPesertaKemenkeu!$O$6:$O$1005,SMALL(IF(checklistPesertaKemenkeu!$AY$6:$AY$1005="Direkomendasikan",ROW($6:$1005)-5),920))="",INDEX(checklistPesertaKemenkeu!$J$6:$J$1005,SMALL(IF(checklistPesertaKemenkeu!$AY$6:$AY$1005="Direkomendasikan",ROW($6:$1005)-5),920))=""),"",IF(AND(COUNTIF(INDIRECT("K_"&amp;MATCH(INDEX(checklistPesertaKemenkeu!$J$6:$J$1005,SMALL(IF(checklistPesertaKemenkeu!$AY$6:$AY$1005="Direkomendasikan",ROW($6:$1005)-5),920)),BidangList,0)),INDEX(checklistPesertaKemenkeu!$O$6:$O$1005,SMALL(IF(checklistPesertaKemenkeu!$AY$6:$AY$1005="Direkomendasikan",ROW($6:$1005)-5),920)))&gt;0,COUNTIF(INDIRECT("'KERTAS KERJA'!K"&amp;(SMALL(IF(checklistPesertaKemenkeu!$AY$6:$AY$1005="Direkomendasikan",ROW($6:$1005)-5),920)+5)&amp;":O"&amp;(SMALL(IF(checklistPesertaKemenkeu!$AY$6:$AY$1005="Direkomendasikan",ROW($6:$1005)-5),920)+5)),INDEX(checklistPesertaKemenkeu!$O$6:$O$1005,SMALL(IF(checklistPesertaKemenkeu!$AY$6:$AY$1005="Direkomendasikan",ROW($6:$1005)-5),920)))=1),IFERROR(VLOOKUP(INDEX(checklistPesertaKemenkeu!$O$6:$O$1005,SMALL(IF(checklistPesertaKemenkeu!$AY$6:$AY$1005="Direkomendasikan",ROW($6:$1005)-5),920)),KotaKode,2,0),"-"),"")),"")</f>
        <v/>
      </c>
      <c r="L921" t="str">
        <f t="array" aca="1" ref="L921" ca="1">IFERROR(IF(OR(INDEX(checklistPesertaKemenkeu!$P$6:$P$1005,SMALL(IF(checklistPesertaKemenkeu!$AY$6:$AY$1005="Direkomendasikan",ROW($6:$1005)-5),920))="",INDEX(checklistPesertaKemenkeu!$J$6:$J$1005,SMALL(IF(checklistPesertaKemenkeu!$AY$6:$AY$1005="Direkomendasikan",ROW($6:$1005)-5),920))=""),"",IF(AND(COUNTIF(INDIRECT("K_"&amp;MATCH(INDEX(checklistPesertaKemenkeu!$J$6:$J$1005,SMALL(IF(checklistPesertaKemenkeu!$AY$6:$AY$1005="Direkomendasikan",ROW($6:$1005)-5),920)),BidangList,0)),INDEX(checklistPesertaKemenkeu!$P$6:$P$1005,SMALL(IF(checklistPesertaKemenkeu!$AY$6:$AY$1005="Direkomendasikan",ROW($6:$1005)-5),920)))&gt;0,COUNTIF(INDIRECT("'KERTAS KERJA'!K"&amp;(SMALL(IF(checklistPesertaKemenkeu!$AY$6:$AY$1005="Direkomendasikan",ROW($6:$1005)-5),920)+5)&amp;":O"&amp;(SMALL(IF(checklistPesertaKemenkeu!$AY$6:$AY$1005="Direkomendasikan",ROW($6:$1005)-5),920)+5)),INDEX(checklistPesertaKemenkeu!$P$6:$P$1005,SMALL(IF(checklistPesertaKemenkeu!$AY$6:$AY$1005="Direkomendasikan",ROW($6:$1005)-5),920)))=1),IFERROR(VLOOKUP(INDEX(checklistPesertaKemenkeu!$P$6:$P$1005,SMALL(IF(checklistPesertaKemenkeu!$AY$6:$AY$1005="Direkomendasikan",ROW($6:$1005)-5),920)),KotaKode,2,0),"-"),"")),"")</f>
        <v/>
      </c>
    </row>
    <row r="922" spans="1:12" ht="15" customHeight="1" x14ac:dyDescent="0.2">
      <c r="A922" t="str">
        <f t="shared" si="14"/>
        <v/>
      </c>
      <c r="B922" t="str">
        <v/>
      </c>
      <c r="C922" s="40" t="str">
        <f t="array" ref="C922">IFERROR(INDEX(checklistPesertaKemenkeu!$F$6:$F$1005,SMALL(IF(checklistPesertaKemenkeu!$AY$6:$AY$1005="Direkomendasikan",ROW($6:$1005)-5),921)),"")</f>
        <v/>
      </c>
      <c r="D922" t="str">
        <f t="array" ref="D922">IFERROR(INDEX(checklistPesertaKemenkeu!$G$6:$G$1005,SMALL(IF(checklistPesertaKemenkeu!$AY$6:$AY$1005="Direkomendasikan",ROW($6:$1005)-5),921)),"")</f>
        <v/>
      </c>
      <c r="E922" t="str">
        <f t="array" ref="E922">IFERROR(INDEX(checklistPesertaKemenkeu!$H$6:$H$1005,SMALL(IF(checklistPesertaKemenkeu!$AY$6:$AY$1005="Direkomendasikan",ROW($6:$1005)-5),921)),"")</f>
        <v/>
      </c>
      <c r="F922" t="str">
        <f t="array" ref="F922">IFERROR(INDEX(checklistPesertaKemenkeu!$I$6:$I$1005,SMALL(IF(checklistPesertaKemenkeu!$AY$6:$AY$1005="Direkomendasikan",ROW($6:$1005)-5),921)),"")</f>
        <v/>
      </c>
      <c r="G922" t="str">
        <f t="array" ref="G922">IFERROR(INDEX(checklistPesertaKemenkeu!$J$6:$J$1005,SMALL(IF(checklistPesertaKemenkeu!$AY$6:$AY$1005="Direkomendasikan",ROW($6:$1005)-5),921)),"")</f>
        <v/>
      </c>
      <c r="H922" t="str">
        <f t="array" aca="1" ref="H922" ca="1">IFERROR(IF(OR(INDEX(checklistPesertaKemenkeu!$L$6:$L$1005,SMALL(IF(checklistPesertaKemenkeu!$AY$6:$AY$1005="Direkomendasikan",ROW($6:$1005)-5),921))="",INDEX(checklistPesertaKemenkeu!$J$6:$J$1005,SMALL(IF(checklistPesertaKemenkeu!$AY$6:$AY$1005="Direkomendasikan",ROW($6:$1005)-5),921))=""),"",IF(AND(COUNTIF(INDIRECT("K_"&amp;MATCH(INDEX(checklistPesertaKemenkeu!$J$6:$J$1005,SMALL(IF(checklistPesertaKemenkeu!$AY$6:$AY$1005="Direkomendasikan",ROW($6:$1005)-5),921)),BidangList,0)),INDEX(checklistPesertaKemenkeu!$L$6:$L$1005,SMALL(IF(checklistPesertaKemenkeu!$AY$6:$AY$1005="Direkomendasikan",ROW($6:$1005)-5),921)))&gt;0,COUNTIF(INDIRECT("'KERTAS KERJA'!K"&amp;(SMALL(IF(checklistPesertaKemenkeu!$AY$6:$AY$1005="Direkomendasikan",ROW($6:$1005)-5),921)+5)&amp;":O"&amp;(SMALL(IF(checklistPesertaKemenkeu!$AY$6:$AY$1005="Direkomendasikan",ROW($6:$1005)-5),921)+5)),INDEX(checklistPesertaKemenkeu!$L$6:$L$1005,SMALL(IF(checklistPesertaKemenkeu!$AY$6:$AY$1005="Direkomendasikan",ROW($6:$1005)-5),921)))=1),IFERROR(VLOOKUP(INDEX(checklistPesertaKemenkeu!$L$6:$L$1005,SMALL(IF(checklistPesertaKemenkeu!$AY$6:$AY$1005="Direkomendasikan",ROW($6:$1005)-5),921)),KotaKode,2,0),"-"),"")),"")</f>
        <v/>
      </c>
      <c r="I922" t="str">
        <f t="array" aca="1" ref="I922" ca="1">IFERROR(IF(OR(INDEX(checklistPesertaKemenkeu!$M$6:$M$1005,SMALL(IF(checklistPesertaKemenkeu!$AY$6:$AY$1005="Direkomendasikan",ROW($6:$1005)-5),921))="",INDEX(checklistPesertaKemenkeu!$J$6:$J$1005,SMALL(IF(checklistPesertaKemenkeu!$AY$6:$AY$1005="Direkomendasikan",ROW($6:$1005)-5),921))=""),"",IF(AND(COUNTIF(INDIRECT("K_"&amp;MATCH(INDEX(checklistPesertaKemenkeu!$J$6:$J$1005,SMALL(IF(checklistPesertaKemenkeu!$AY$6:$AY$1005="Direkomendasikan",ROW($6:$1005)-5),921)),BidangList,0)),INDEX(checklistPesertaKemenkeu!$M$6:$M$1005,SMALL(IF(checklistPesertaKemenkeu!$AY$6:$AY$1005="Direkomendasikan",ROW($6:$1005)-5),921)))&gt;0,COUNTIF(INDIRECT("'KERTAS KERJA'!K"&amp;(SMALL(IF(checklistPesertaKemenkeu!$AY$6:$AY$1005="Direkomendasikan",ROW($6:$1005)-5),921)+5)&amp;":O"&amp;(SMALL(IF(checklistPesertaKemenkeu!$AY$6:$AY$1005="Direkomendasikan",ROW($6:$1005)-5),921)+5)),INDEX(checklistPesertaKemenkeu!$M$6:$M$1005,SMALL(IF(checklistPesertaKemenkeu!$AY$6:$AY$1005="Direkomendasikan",ROW($6:$1005)-5),921)))=1),IFERROR(VLOOKUP(INDEX(checklistPesertaKemenkeu!$M$6:$M$1005,SMALL(IF(checklistPesertaKemenkeu!$AY$6:$AY$1005="Direkomendasikan",ROW($6:$1005)-5),921)),KotaKode,2,0),"-"),"")),"")</f>
        <v/>
      </c>
      <c r="J922" t="str">
        <f t="array" aca="1" ref="J922" ca="1">IFERROR(IF(OR(INDEX(checklistPesertaKemenkeu!$N$6:$N$1005,SMALL(IF(checklistPesertaKemenkeu!$AY$6:$AY$1005="Direkomendasikan",ROW($6:$1005)-5),921))="",INDEX(checklistPesertaKemenkeu!$J$6:$J$1005,SMALL(IF(checklistPesertaKemenkeu!$AY$6:$AY$1005="Direkomendasikan",ROW($6:$1005)-5),921))=""),"",IF(AND(COUNTIF(INDIRECT("K_"&amp;MATCH(INDEX(checklistPesertaKemenkeu!$J$6:$J$1005,SMALL(IF(checklistPesertaKemenkeu!$AY$6:$AY$1005="Direkomendasikan",ROW($6:$1005)-5),921)),BidangList,0)),INDEX(checklistPesertaKemenkeu!$N$6:$N$1005,SMALL(IF(checklistPesertaKemenkeu!$AY$6:$AY$1005="Direkomendasikan",ROW($6:$1005)-5),921)))&gt;0,COUNTIF(INDIRECT("'KERTAS KERJA'!K"&amp;(SMALL(IF(checklistPesertaKemenkeu!$AY$6:$AY$1005="Direkomendasikan",ROW($6:$1005)-5),921)+5)&amp;":O"&amp;(SMALL(IF(checklistPesertaKemenkeu!$AY$6:$AY$1005="Direkomendasikan",ROW($6:$1005)-5),921)+5)),INDEX(checklistPesertaKemenkeu!$N$6:$N$1005,SMALL(IF(checklistPesertaKemenkeu!$AY$6:$AY$1005="Direkomendasikan",ROW($6:$1005)-5),921)))=1),IFERROR(VLOOKUP(INDEX(checklistPesertaKemenkeu!$N$6:$N$1005,SMALL(IF(checklistPesertaKemenkeu!$AY$6:$AY$1005="Direkomendasikan",ROW($6:$1005)-5),921)),KotaKode,2,0),"-"),"")),"")</f>
        <v/>
      </c>
      <c r="K922" t="str">
        <f t="array" aca="1" ref="K922" ca="1">IFERROR(IF(OR(INDEX(checklistPesertaKemenkeu!$O$6:$O$1005,SMALL(IF(checklistPesertaKemenkeu!$AY$6:$AY$1005="Direkomendasikan",ROW($6:$1005)-5),921))="",INDEX(checklistPesertaKemenkeu!$J$6:$J$1005,SMALL(IF(checklistPesertaKemenkeu!$AY$6:$AY$1005="Direkomendasikan",ROW($6:$1005)-5),921))=""),"",IF(AND(COUNTIF(INDIRECT("K_"&amp;MATCH(INDEX(checklistPesertaKemenkeu!$J$6:$J$1005,SMALL(IF(checklistPesertaKemenkeu!$AY$6:$AY$1005="Direkomendasikan",ROW($6:$1005)-5),921)),BidangList,0)),INDEX(checklistPesertaKemenkeu!$O$6:$O$1005,SMALL(IF(checklistPesertaKemenkeu!$AY$6:$AY$1005="Direkomendasikan",ROW($6:$1005)-5),921)))&gt;0,COUNTIF(INDIRECT("'KERTAS KERJA'!K"&amp;(SMALL(IF(checklistPesertaKemenkeu!$AY$6:$AY$1005="Direkomendasikan",ROW($6:$1005)-5),921)+5)&amp;":O"&amp;(SMALL(IF(checklistPesertaKemenkeu!$AY$6:$AY$1005="Direkomendasikan",ROW($6:$1005)-5),921)+5)),INDEX(checklistPesertaKemenkeu!$O$6:$O$1005,SMALL(IF(checklistPesertaKemenkeu!$AY$6:$AY$1005="Direkomendasikan",ROW($6:$1005)-5),921)))=1),IFERROR(VLOOKUP(INDEX(checklistPesertaKemenkeu!$O$6:$O$1005,SMALL(IF(checklistPesertaKemenkeu!$AY$6:$AY$1005="Direkomendasikan",ROW($6:$1005)-5),921)),KotaKode,2,0),"-"),"")),"")</f>
        <v/>
      </c>
      <c r="L922" t="str">
        <f t="array" aca="1" ref="L922" ca="1">IFERROR(IF(OR(INDEX(checklistPesertaKemenkeu!$P$6:$P$1005,SMALL(IF(checklistPesertaKemenkeu!$AY$6:$AY$1005="Direkomendasikan",ROW($6:$1005)-5),921))="",INDEX(checklistPesertaKemenkeu!$J$6:$J$1005,SMALL(IF(checklistPesertaKemenkeu!$AY$6:$AY$1005="Direkomendasikan",ROW($6:$1005)-5),921))=""),"",IF(AND(COUNTIF(INDIRECT("K_"&amp;MATCH(INDEX(checklistPesertaKemenkeu!$J$6:$J$1005,SMALL(IF(checklistPesertaKemenkeu!$AY$6:$AY$1005="Direkomendasikan",ROW($6:$1005)-5),921)),BidangList,0)),INDEX(checklistPesertaKemenkeu!$P$6:$P$1005,SMALL(IF(checklistPesertaKemenkeu!$AY$6:$AY$1005="Direkomendasikan",ROW($6:$1005)-5),921)))&gt;0,COUNTIF(INDIRECT("'KERTAS KERJA'!K"&amp;(SMALL(IF(checklistPesertaKemenkeu!$AY$6:$AY$1005="Direkomendasikan",ROW($6:$1005)-5),921)+5)&amp;":O"&amp;(SMALL(IF(checklistPesertaKemenkeu!$AY$6:$AY$1005="Direkomendasikan",ROW($6:$1005)-5),921)+5)),INDEX(checklistPesertaKemenkeu!$P$6:$P$1005,SMALL(IF(checklistPesertaKemenkeu!$AY$6:$AY$1005="Direkomendasikan",ROW($6:$1005)-5),921)))=1),IFERROR(VLOOKUP(INDEX(checklistPesertaKemenkeu!$P$6:$P$1005,SMALL(IF(checklistPesertaKemenkeu!$AY$6:$AY$1005="Direkomendasikan",ROW($6:$1005)-5),921)),KotaKode,2,0),"-"),"")),"")</f>
        <v/>
      </c>
    </row>
    <row r="923" spans="1:12" ht="15" customHeight="1" x14ac:dyDescent="0.2">
      <c r="A923" t="str">
        <f t="shared" si="14"/>
        <v/>
      </c>
      <c r="B923" t="str">
        <v/>
      </c>
      <c r="C923" s="40" t="str">
        <f t="array" ref="C923">IFERROR(INDEX(checklistPesertaKemenkeu!$F$6:$F$1005,SMALL(IF(checklistPesertaKemenkeu!$AY$6:$AY$1005="Direkomendasikan",ROW($6:$1005)-5),922)),"")</f>
        <v/>
      </c>
      <c r="D923" t="str">
        <f t="array" ref="D923">IFERROR(INDEX(checklistPesertaKemenkeu!$G$6:$G$1005,SMALL(IF(checklistPesertaKemenkeu!$AY$6:$AY$1005="Direkomendasikan",ROW($6:$1005)-5),922)),"")</f>
        <v/>
      </c>
      <c r="E923" t="str">
        <f t="array" ref="E923">IFERROR(INDEX(checklistPesertaKemenkeu!$H$6:$H$1005,SMALL(IF(checklistPesertaKemenkeu!$AY$6:$AY$1005="Direkomendasikan",ROW($6:$1005)-5),922)),"")</f>
        <v/>
      </c>
      <c r="F923" t="str">
        <f t="array" ref="F923">IFERROR(INDEX(checklistPesertaKemenkeu!$I$6:$I$1005,SMALL(IF(checklistPesertaKemenkeu!$AY$6:$AY$1005="Direkomendasikan",ROW($6:$1005)-5),922)),"")</f>
        <v/>
      </c>
      <c r="G923" t="str">
        <f t="array" ref="G923">IFERROR(INDEX(checklistPesertaKemenkeu!$J$6:$J$1005,SMALL(IF(checklistPesertaKemenkeu!$AY$6:$AY$1005="Direkomendasikan",ROW($6:$1005)-5),922)),"")</f>
        <v/>
      </c>
      <c r="H923" t="str">
        <f t="array" aca="1" ref="H923" ca="1">IFERROR(IF(OR(INDEX(checklistPesertaKemenkeu!$L$6:$L$1005,SMALL(IF(checklistPesertaKemenkeu!$AY$6:$AY$1005="Direkomendasikan",ROW($6:$1005)-5),922))="",INDEX(checklistPesertaKemenkeu!$J$6:$J$1005,SMALL(IF(checklistPesertaKemenkeu!$AY$6:$AY$1005="Direkomendasikan",ROW($6:$1005)-5),922))=""),"",IF(AND(COUNTIF(INDIRECT("K_"&amp;MATCH(INDEX(checklistPesertaKemenkeu!$J$6:$J$1005,SMALL(IF(checklistPesertaKemenkeu!$AY$6:$AY$1005="Direkomendasikan",ROW($6:$1005)-5),922)),BidangList,0)),INDEX(checklistPesertaKemenkeu!$L$6:$L$1005,SMALL(IF(checklistPesertaKemenkeu!$AY$6:$AY$1005="Direkomendasikan",ROW($6:$1005)-5),922)))&gt;0,COUNTIF(INDIRECT("'KERTAS KERJA'!K"&amp;(SMALL(IF(checklistPesertaKemenkeu!$AY$6:$AY$1005="Direkomendasikan",ROW($6:$1005)-5),922)+5)&amp;":O"&amp;(SMALL(IF(checklistPesertaKemenkeu!$AY$6:$AY$1005="Direkomendasikan",ROW($6:$1005)-5),922)+5)),INDEX(checklistPesertaKemenkeu!$L$6:$L$1005,SMALL(IF(checklistPesertaKemenkeu!$AY$6:$AY$1005="Direkomendasikan",ROW($6:$1005)-5),922)))=1),IFERROR(VLOOKUP(INDEX(checklistPesertaKemenkeu!$L$6:$L$1005,SMALL(IF(checklistPesertaKemenkeu!$AY$6:$AY$1005="Direkomendasikan",ROW($6:$1005)-5),922)),KotaKode,2,0),"-"),"")),"")</f>
        <v/>
      </c>
      <c r="I923" t="str">
        <f t="array" aca="1" ref="I923" ca="1">IFERROR(IF(OR(INDEX(checklistPesertaKemenkeu!$M$6:$M$1005,SMALL(IF(checklistPesertaKemenkeu!$AY$6:$AY$1005="Direkomendasikan",ROW($6:$1005)-5),922))="",INDEX(checklistPesertaKemenkeu!$J$6:$J$1005,SMALL(IF(checklistPesertaKemenkeu!$AY$6:$AY$1005="Direkomendasikan",ROW($6:$1005)-5),922))=""),"",IF(AND(COUNTIF(INDIRECT("K_"&amp;MATCH(INDEX(checklistPesertaKemenkeu!$J$6:$J$1005,SMALL(IF(checklistPesertaKemenkeu!$AY$6:$AY$1005="Direkomendasikan",ROW($6:$1005)-5),922)),BidangList,0)),INDEX(checklistPesertaKemenkeu!$M$6:$M$1005,SMALL(IF(checklistPesertaKemenkeu!$AY$6:$AY$1005="Direkomendasikan",ROW($6:$1005)-5),922)))&gt;0,COUNTIF(INDIRECT("'KERTAS KERJA'!K"&amp;(SMALL(IF(checklistPesertaKemenkeu!$AY$6:$AY$1005="Direkomendasikan",ROW($6:$1005)-5),922)+5)&amp;":O"&amp;(SMALL(IF(checklistPesertaKemenkeu!$AY$6:$AY$1005="Direkomendasikan",ROW($6:$1005)-5),922)+5)),INDEX(checklistPesertaKemenkeu!$M$6:$M$1005,SMALL(IF(checklistPesertaKemenkeu!$AY$6:$AY$1005="Direkomendasikan",ROW($6:$1005)-5),922)))=1),IFERROR(VLOOKUP(INDEX(checklistPesertaKemenkeu!$M$6:$M$1005,SMALL(IF(checklistPesertaKemenkeu!$AY$6:$AY$1005="Direkomendasikan",ROW($6:$1005)-5),922)),KotaKode,2,0),"-"),"")),"")</f>
        <v/>
      </c>
      <c r="J923" t="str">
        <f t="array" aca="1" ref="J923" ca="1">IFERROR(IF(OR(INDEX(checklistPesertaKemenkeu!$N$6:$N$1005,SMALL(IF(checklistPesertaKemenkeu!$AY$6:$AY$1005="Direkomendasikan",ROW($6:$1005)-5),922))="",INDEX(checklistPesertaKemenkeu!$J$6:$J$1005,SMALL(IF(checklistPesertaKemenkeu!$AY$6:$AY$1005="Direkomendasikan",ROW($6:$1005)-5),922))=""),"",IF(AND(COUNTIF(INDIRECT("K_"&amp;MATCH(INDEX(checklistPesertaKemenkeu!$J$6:$J$1005,SMALL(IF(checklistPesertaKemenkeu!$AY$6:$AY$1005="Direkomendasikan",ROW($6:$1005)-5),922)),BidangList,0)),INDEX(checklistPesertaKemenkeu!$N$6:$N$1005,SMALL(IF(checklistPesertaKemenkeu!$AY$6:$AY$1005="Direkomendasikan",ROW($6:$1005)-5),922)))&gt;0,COUNTIF(INDIRECT("'KERTAS KERJA'!K"&amp;(SMALL(IF(checklistPesertaKemenkeu!$AY$6:$AY$1005="Direkomendasikan",ROW($6:$1005)-5),922)+5)&amp;":O"&amp;(SMALL(IF(checklistPesertaKemenkeu!$AY$6:$AY$1005="Direkomendasikan",ROW($6:$1005)-5),922)+5)),INDEX(checklistPesertaKemenkeu!$N$6:$N$1005,SMALL(IF(checklistPesertaKemenkeu!$AY$6:$AY$1005="Direkomendasikan",ROW($6:$1005)-5),922)))=1),IFERROR(VLOOKUP(INDEX(checklistPesertaKemenkeu!$N$6:$N$1005,SMALL(IF(checklistPesertaKemenkeu!$AY$6:$AY$1005="Direkomendasikan",ROW($6:$1005)-5),922)),KotaKode,2,0),"-"),"")),"")</f>
        <v/>
      </c>
      <c r="K923" t="str">
        <f t="array" aca="1" ref="K923" ca="1">IFERROR(IF(OR(INDEX(checklistPesertaKemenkeu!$O$6:$O$1005,SMALL(IF(checklistPesertaKemenkeu!$AY$6:$AY$1005="Direkomendasikan",ROW($6:$1005)-5),922))="",INDEX(checklistPesertaKemenkeu!$J$6:$J$1005,SMALL(IF(checklistPesertaKemenkeu!$AY$6:$AY$1005="Direkomendasikan",ROW($6:$1005)-5),922))=""),"",IF(AND(COUNTIF(INDIRECT("K_"&amp;MATCH(INDEX(checklistPesertaKemenkeu!$J$6:$J$1005,SMALL(IF(checklistPesertaKemenkeu!$AY$6:$AY$1005="Direkomendasikan",ROW($6:$1005)-5),922)),BidangList,0)),INDEX(checklistPesertaKemenkeu!$O$6:$O$1005,SMALL(IF(checklistPesertaKemenkeu!$AY$6:$AY$1005="Direkomendasikan",ROW($6:$1005)-5),922)))&gt;0,COUNTIF(INDIRECT("'KERTAS KERJA'!K"&amp;(SMALL(IF(checklistPesertaKemenkeu!$AY$6:$AY$1005="Direkomendasikan",ROW($6:$1005)-5),922)+5)&amp;":O"&amp;(SMALL(IF(checklistPesertaKemenkeu!$AY$6:$AY$1005="Direkomendasikan",ROW($6:$1005)-5),922)+5)),INDEX(checklistPesertaKemenkeu!$O$6:$O$1005,SMALL(IF(checklistPesertaKemenkeu!$AY$6:$AY$1005="Direkomendasikan",ROW($6:$1005)-5),922)))=1),IFERROR(VLOOKUP(INDEX(checklistPesertaKemenkeu!$O$6:$O$1005,SMALL(IF(checklistPesertaKemenkeu!$AY$6:$AY$1005="Direkomendasikan",ROW($6:$1005)-5),922)),KotaKode,2,0),"-"),"")),"")</f>
        <v/>
      </c>
      <c r="L923" t="str">
        <f t="array" aca="1" ref="L923" ca="1">IFERROR(IF(OR(INDEX(checklistPesertaKemenkeu!$P$6:$P$1005,SMALL(IF(checklistPesertaKemenkeu!$AY$6:$AY$1005="Direkomendasikan",ROW($6:$1005)-5),922))="",INDEX(checklistPesertaKemenkeu!$J$6:$J$1005,SMALL(IF(checklistPesertaKemenkeu!$AY$6:$AY$1005="Direkomendasikan",ROW($6:$1005)-5),922))=""),"",IF(AND(COUNTIF(INDIRECT("K_"&amp;MATCH(INDEX(checklistPesertaKemenkeu!$J$6:$J$1005,SMALL(IF(checklistPesertaKemenkeu!$AY$6:$AY$1005="Direkomendasikan",ROW($6:$1005)-5),922)),BidangList,0)),INDEX(checklistPesertaKemenkeu!$P$6:$P$1005,SMALL(IF(checklistPesertaKemenkeu!$AY$6:$AY$1005="Direkomendasikan",ROW($6:$1005)-5),922)))&gt;0,COUNTIF(INDIRECT("'KERTAS KERJA'!K"&amp;(SMALL(IF(checklistPesertaKemenkeu!$AY$6:$AY$1005="Direkomendasikan",ROW($6:$1005)-5),922)+5)&amp;":O"&amp;(SMALL(IF(checklistPesertaKemenkeu!$AY$6:$AY$1005="Direkomendasikan",ROW($6:$1005)-5),922)+5)),INDEX(checklistPesertaKemenkeu!$P$6:$P$1005,SMALL(IF(checklistPesertaKemenkeu!$AY$6:$AY$1005="Direkomendasikan",ROW($6:$1005)-5),922)))=1),IFERROR(VLOOKUP(INDEX(checklistPesertaKemenkeu!$P$6:$P$1005,SMALL(IF(checklistPesertaKemenkeu!$AY$6:$AY$1005="Direkomendasikan",ROW($6:$1005)-5),922)),KotaKode,2,0),"-"),"")),"")</f>
        <v/>
      </c>
    </row>
    <row r="924" spans="1:12" ht="15" customHeight="1" x14ac:dyDescent="0.2">
      <c r="A924" t="str">
        <f t="shared" si="14"/>
        <v/>
      </c>
      <c r="B924" t="str">
        <v/>
      </c>
      <c r="C924" s="40" t="str">
        <f t="array" ref="C924">IFERROR(INDEX(checklistPesertaKemenkeu!$F$6:$F$1005,SMALL(IF(checklistPesertaKemenkeu!$AY$6:$AY$1005="Direkomendasikan",ROW($6:$1005)-5),923)),"")</f>
        <v/>
      </c>
      <c r="D924" t="str">
        <f t="array" ref="D924">IFERROR(INDEX(checklistPesertaKemenkeu!$G$6:$G$1005,SMALL(IF(checklistPesertaKemenkeu!$AY$6:$AY$1005="Direkomendasikan",ROW($6:$1005)-5),923)),"")</f>
        <v/>
      </c>
      <c r="E924" t="str">
        <f t="array" ref="E924">IFERROR(INDEX(checklistPesertaKemenkeu!$H$6:$H$1005,SMALL(IF(checklistPesertaKemenkeu!$AY$6:$AY$1005="Direkomendasikan",ROW($6:$1005)-5),923)),"")</f>
        <v/>
      </c>
      <c r="F924" t="str">
        <f t="array" ref="F924">IFERROR(INDEX(checklistPesertaKemenkeu!$I$6:$I$1005,SMALL(IF(checklistPesertaKemenkeu!$AY$6:$AY$1005="Direkomendasikan",ROW($6:$1005)-5),923)),"")</f>
        <v/>
      </c>
      <c r="G924" t="str">
        <f t="array" ref="G924">IFERROR(INDEX(checklistPesertaKemenkeu!$J$6:$J$1005,SMALL(IF(checklistPesertaKemenkeu!$AY$6:$AY$1005="Direkomendasikan",ROW($6:$1005)-5),923)),"")</f>
        <v/>
      </c>
      <c r="H924" t="str">
        <f t="array" aca="1" ref="H924" ca="1">IFERROR(IF(OR(INDEX(checklistPesertaKemenkeu!$L$6:$L$1005,SMALL(IF(checklistPesertaKemenkeu!$AY$6:$AY$1005="Direkomendasikan",ROW($6:$1005)-5),923))="",INDEX(checklistPesertaKemenkeu!$J$6:$J$1005,SMALL(IF(checklistPesertaKemenkeu!$AY$6:$AY$1005="Direkomendasikan",ROW($6:$1005)-5),923))=""),"",IF(AND(COUNTIF(INDIRECT("K_"&amp;MATCH(INDEX(checklistPesertaKemenkeu!$J$6:$J$1005,SMALL(IF(checklistPesertaKemenkeu!$AY$6:$AY$1005="Direkomendasikan",ROW($6:$1005)-5),923)),BidangList,0)),INDEX(checklistPesertaKemenkeu!$L$6:$L$1005,SMALL(IF(checklistPesertaKemenkeu!$AY$6:$AY$1005="Direkomendasikan",ROW($6:$1005)-5),923)))&gt;0,COUNTIF(INDIRECT("'KERTAS KERJA'!K"&amp;(SMALL(IF(checklistPesertaKemenkeu!$AY$6:$AY$1005="Direkomendasikan",ROW($6:$1005)-5),923)+5)&amp;":O"&amp;(SMALL(IF(checklistPesertaKemenkeu!$AY$6:$AY$1005="Direkomendasikan",ROW($6:$1005)-5),923)+5)),INDEX(checklistPesertaKemenkeu!$L$6:$L$1005,SMALL(IF(checklistPesertaKemenkeu!$AY$6:$AY$1005="Direkomendasikan",ROW($6:$1005)-5),923)))=1),IFERROR(VLOOKUP(INDEX(checklistPesertaKemenkeu!$L$6:$L$1005,SMALL(IF(checklistPesertaKemenkeu!$AY$6:$AY$1005="Direkomendasikan",ROW($6:$1005)-5),923)),KotaKode,2,0),"-"),"")),"")</f>
        <v/>
      </c>
      <c r="I924" t="str">
        <f t="array" aca="1" ref="I924" ca="1">IFERROR(IF(OR(INDEX(checklistPesertaKemenkeu!$M$6:$M$1005,SMALL(IF(checklistPesertaKemenkeu!$AY$6:$AY$1005="Direkomendasikan",ROW($6:$1005)-5),923))="",INDEX(checklistPesertaKemenkeu!$J$6:$J$1005,SMALL(IF(checklistPesertaKemenkeu!$AY$6:$AY$1005="Direkomendasikan",ROW($6:$1005)-5),923))=""),"",IF(AND(COUNTIF(INDIRECT("K_"&amp;MATCH(INDEX(checklistPesertaKemenkeu!$J$6:$J$1005,SMALL(IF(checklistPesertaKemenkeu!$AY$6:$AY$1005="Direkomendasikan",ROW($6:$1005)-5),923)),BidangList,0)),INDEX(checklistPesertaKemenkeu!$M$6:$M$1005,SMALL(IF(checklistPesertaKemenkeu!$AY$6:$AY$1005="Direkomendasikan",ROW($6:$1005)-5),923)))&gt;0,COUNTIF(INDIRECT("'KERTAS KERJA'!K"&amp;(SMALL(IF(checklistPesertaKemenkeu!$AY$6:$AY$1005="Direkomendasikan",ROW($6:$1005)-5),923)+5)&amp;":O"&amp;(SMALL(IF(checklistPesertaKemenkeu!$AY$6:$AY$1005="Direkomendasikan",ROW($6:$1005)-5),923)+5)),INDEX(checklistPesertaKemenkeu!$M$6:$M$1005,SMALL(IF(checklistPesertaKemenkeu!$AY$6:$AY$1005="Direkomendasikan",ROW($6:$1005)-5),923)))=1),IFERROR(VLOOKUP(INDEX(checklistPesertaKemenkeu!$M$6:$M$1005,SMALL(IF(checklistPesertaKemenkeu!$AY$6:$AY$1005="Direkomendasikan",ROW($6:$1005)-5),923)),KotaKode,2,0),"-"),"")),"")</f>
        <v/>
      </c>
      <c r="J924" t="str">
        <f t="array" aca="1" ref="J924" ca="1">IFERROR(IF(OR(INDEX(checklistPesertaKemenkeu!$N$6:$N$1005,SMALL(IF(checklistPesertaKemenkeu!$AY$6:$AY$1005="Direkomendasikan",ROW($6:$1005)-5),923))="",INDEX(checklistPesertaKemenkeu!$J$6:$J$1005,SMALL(IF(checklistPesertaKemenkeu!$AY$6:$AY$1005="Direkomendasikan",ROW($6:$1005)-5),923))=""),"",IF(AND(COUNTIF(INDIRECT("K_"&amp;MATCH(INDEX(checklistPesertaKemenkeu!$J$6:$J$1005,SMALL(IF(checklistPesertaKemenkeu!$AY$6:$AY$1005="Direkomendasikan",ROW($6:$1005)-5),923)),BidangList,0)),INDEX(checklistPesertaKemenkeu!$N$6:$N$1005,SMALL(IF(checklistPesertaKemenkeu!$AY$6:$AY$1005="Direkomendasikan",ROW($6:$1005)-5),923)))&gt;0,COUNTIF(INDIRECT("'KERTAS KERJA'!K"&amp;(SMALL(IF(checklistPesertaKemenkeu!$AY$6:$AY$1005="Direkomendasikan",ROW($6:$1005)-5),923)+5)&amp;":O"&amp;(SMALL(IF(checklistPesertaKemenkeu!$AY$6:$AY$1005="Direkomendasikan",ROW($6:$1005)-5),923)+5)),INDEX(checklistPesertaKemenkeu!$N$6:$N$1005,SMALL(IF(checklistPesertaKemenkeu!$AY$6:$AY$1005="Direkomendasikan",ROW($6:$1005)-5),923)))=1),IFERROR(VLOOKUP(INDEX(checklistPesertaKemenkeu!$N$6:$N$1005,SMALL(IF(checklistPesertaKemenkeu!$AY$6:$AY$1005="Direkomendasikan",ROW($6:$1005)-5),923)),KotaKode,2,0),"-"),"")),"")</f>
        <v/>
      </c>
      <c r="K924" t="str">
        <f t="array" aca="1" ref="K924" ca="1">IFERROR(IF(OR(INDEX(checklistPesertaKemenkeu!$O$6:$O$1005,SMALL(IF(checklistPesertaKemenkeu!$AY$6:$AY$1005="Direkomendasikan",ROW($6:$1005)-5),923))="",INDEX(checklistPesertaKemenkeu!$J$6:$J$1005,SMALL(IF(checklistPesertaKemenkeu!$AY$6:$AY$1005="Direkomendasikan",ROW($6:$1005)-5),923))=""),"",IF(AND(COUNTIF(INDIRECT("K_"&amp;MATCH(INDEX(checklistPesertaKemenkeu!$J$6:$J$1005,SMALL(IF(checklistPesertaKemenkeu!$AY$6:$AY$1005="Direkomendasikan",ROW($6:$1005)-5),923)),BidangList,0)),INDEX(checklistPesertaKemenkeu!$O$6:$O$1005,SMALL(IF(checklistPesertaKemenkeu!$AY$6:$AY$1005="Direkomendasikan",ROW($6:$1005)-5),923)))&gt;0,COUNTIF(INDIRECT("'KERTAS KERJA'!K"&amp;(SMALL(IF(checklistPesertaKemenkeu!$AY$6:$AY$1005="Direkomendasikan",ROW($6:$1005)-5),923)+5)&amp;":O"&amp;(SMALL(IF(checklistPesertaKemenkeu!$AY$6:$AY$1005="Direkomendasikan",ROW($6:$1005)-5),923)+5)),INDEX(checklistPesertaKemenkeu!$O$6:$O$1005,SMALL(IF(checklistPesertaKemenkeu!$AY$6:$AY$1005="Direkomendasikan",ROW($6:$1005)-5),923)))=1),IFERROR(VLOOKUP(INDEX(checklistPesertaKemenkeu!$O$6:$O$1005,SMALL(IF(checklistPesertaKemenkeu!$AY$6:$AY$1005="Direkomendasikan",ROW($6:$1005)-5),923)),KotaKode,2,0),"-"),"")),"")</f>
        <v/>
      </c>
      <c r="L924" t="str">
        <f t="array" aca="1" ref="L924" ca="1">IFERROR(IF(OR(INDEX(checklistPesertaKemenkeu!$P$6:$P$1005,SMALL(IF(checklistPesertaKemenkeu!$AY$6:$AY$1005="Direkomendasikan",ROW($6:$1005)-5),923))="",INDEX(checklistPesertaKemenkeu!$J$6:$J$1005,SMALL(IF(checklistPesertaKemenkeu!$AY$6:$AY$1005="Direkomendasikan",ROW($6:$1005)-5),923))=""),"",IF(AND(COUNTIF(INDIRECT("K_"&amp;MATCH(INDEX(checklistPesertaKemenkeu!$J$6:$J$1005,SMALL(IF(checklistPesertaKemenkeu!$AY$6:$AY$1005="Direkomendasikan",ROW($6:$1005)-5),923)),BidangList,0)),INDEX(checklistPesertaKemenkeu!$P$6:$P$1005,SMALL(IF(checklistPesertaKemenkeu!$AY$6:$AY$1005="Direkomendasikan",ROW($6:$1005)-5),923)))&gt;0,COUNTIF(INDIRECT("'KERTAS KERJA'!K"&amp;(SMALL(IF(checklistPesertaKemenkeu!$AY$6:$AY$1005="Direkomendasikan",ROW($6:$1005)-5),923)+5)&amp;":O"&amp;(SMALL(IF(checklistPesertaKemenkeu!$AY$6:$AY$1005="Direkomendasikan",ROW($6:$1005)-5),923)+5)),INDEX(checklistPesertaKemenkeu!$P$6:$P$1005,SMALL(IF(checklistPesertaKemenkeu!$AY$6:$AY$1005="Direkomendasikan",ROW($6:$1005)-5),923)))=1),IFERROR(VLOOKUP(INDEX(checklistPesertaKemenkeu!$P$6:$P$1005,SMALL(IF(checklistPesertaKemenkeu!$AY$6:$AY$1005="Direkomendasikan",ROW($6:$1005)-5),923)),KotaKode,2,0),"-"),"")),"")</f>
        <v/>
      </c>
    </row>
    <row r="925" spans="1:12" ht="15" customHeight="1" x14ac:dyDescent="0.2">
      <c r="A925" t="str">
        <f t="shared" si="14"/>
        <v/>
      </c>
      <c r="B925" t="str">
        <v/>
      </c>
      <c r="C925" s="40" t="str">
        <f t="array" ref="C925">IFERROR(INDEX(checklistPesertaKemenkeu!$F$6:$F$1005,SMALL(IF(checklistPesertaKemenkeu!$AY$6:$AY$1005="Direkomendasikan",ROW($6:$1005)-5),924)),"")</f>
        <v/>
      </c>
      <c r="D925" t="str">
        <f t="array" ref="D925">IFERROR(INDEX(checklistPesertaKemenkeu!$G$6:$G$1005,SMALL(IF(checklistPesertaKemenkeu!$AY$6:$AY$1005="Direkomendasikan",ROW($6:$1005)-5),924)),"")</f>
        <v/>
      </c>
      <c r="E925" t="str">
        <f t="array" ref="E925">IFERROR(INDEX(checklistPesertaKemenkeu!$H$6:$H$1005,SMALL(IF(checklistPesertaKemenkeu!$AY$6:$AY$1005="Direkomendasikan",ROW($6:$1005)-5),924)),"")</f>
        <v/>
      </c>
      <c r="F925" t="str">
        <f t="array" ref="F925">IFERROR(INDEX(checklistPesertaKemenkeu!$I$6:$I$1005,SMALL(IF(checklistPesertaKemenkeu!$AY$6:$AY$1005="Direkomendasikan",ROW($6:$1005)-5),924)),"")</f>
        <v/>
      </c>
      <c r="G925" t="str">
        <f t="array" ref="G925">IFERROR(INDEX(checklistPesertaKemenkeu!$J$6:$J$1005,SMALL(IF(checklistPesertaKemenkeu!$AY$6:$AY$1005="Direkomendasikan",ROW($6:$1005)-5),924)),"")</f>
        <v/>
      </c>
      <c r="H925" t="str">
        <f t="array" aca="1" ref="H925" ca="1">IFERROR(IF(OR(INDEX(checklistPesertaKemenkeu!$L$6:$L$1005,SMALL(IF(checklistPesertaKemenkeu!$AY$6:$AY$1005="Direkomendasikan",ROW($6:$1005)-5),924))="",INDEX(checklistPesertaKemenkeu!$J$6:$J$1005,SMALL(IF(checklistPesertaKemenkeu!$AY$6:$AY$1005="Direkomendasikan",ROW($6:$1005)-5),924))=""),"",IF(AND(COUNTIF(INDIRECT("K_"&amp;MATCH(INDEX(checklistPesertaKemenkeu!$J$6:$J$1005,SMALL(IF(checklistPesertaKemenkeu!$AY$6:$AY$1005="Direkomendasikan",ROW($6:$1005)-5),924)),BidangList,0)),INDEX(checklistPesertaKemenkeu!$L$6:$L$1005,SMALL(IF(checklistPesertaKemenkeu!$AY$6:$AY$1005="Direkomendasikan",ROW($6:$1005)-5),924)))&gt;0,COUNTIF(INDIRECT("'KERTAS KERJA'!K"&amp;(SMALL(IF(checklistPesertaKemenkeu!$AY$6:$AY$1005="Direkomendasikan",ROW($6:$1005)-5),924)+5)&amp;":O"&amp;(SMALL(IF(checklistPesertaKemenkeu!$AY$6:$AY$1005="Direkomendasikan",ROW($6:$1005)-5),924)+5)),INDEX(checklistPesertaKemenkeu!$L$6:$L$1005,SMALL(IF(checklistPesertaKemenkeu!$AY$6:$AY$1005="Direkomendasikan",ROW($6:$1005)-5),924)))=1),IFERROR(VLOOKUP(INDEX(checklistPesertaKemenkeu!$L$6:$L$1005,SMALL(IF(checklistPesertaKemenkeu!$AY$6:$AY$1005="Direkomendasikan",ROW($6:$1005)-5),924)),KotaKode,2,0),"-"),"")),"")</f>
        <v/>
      </c>
      <c r="I925" t="str">
        <f t="array" aca="1" ref="I925" ca="1">IFERROR(IF(OR(INDEX(checklistPesertaKemenkeu!$M$6:$M$1005,SMALL(IF(checklistPesertaKemenkeu!$AY$6:$AY$1005="Direkomendasikan",ROW($6:$1005)-5),924))="",INDEX(checklistPesertaKemenkeu!$J$6:$J$1005,SMALL(IF(checklistPesertaKemenkeu!$AY$6:$AY$1005="Direkomendasikan",ROW($6:$1005)-5),924))=""),"",IF(AND(COUNTIF(INDIRECT("K_"&amp;MATCH(INDEX(checklistPesertaKemenkeu!$J$6:$J$1005,SMALL(IF(checklistPesertaKemenkeu!$AY$6:$AY$1005="Direkomendasikan",ROW($6:$1005)-5),924)),BidangList,0)),INDEX(checklistPesertaKemenkeu!$M$6:$M$1005,SMALL(IF(checklistPesertaKemenkeu!$AY$6:$AY$1005="Direkomendasikan",ROW($6:$1005)-5),924)))&gt;0,COUNTIF(INDIRECT("'KERTAS KERJA'!K"&amp;(SMALL(IF(checklistPesertaKemenkeu!$AY$6:$AY$1005="Direkomendasikan",ROW($6:$1005)-5),924)+5)&amp;":O"&amp;(SMALL(IF(checklistPesertaKemenkeu!$AY$6:$AY$1005="Direkomendasikan",ROW($6:$1005)-5),924)+5)),INDEX(checklistPesertaKemenkeu!$M$6:$M$1005,SMALL(IF(checklistPesertaKemenkeu!$AY$6:$AY$1005="Direkomendasikan",ROW($6:$1005)-5),924)))=1),IFERROR(VLOOKUP(INDEX(checklistPesertaKemenkeu!$M$6:$M$1005,SMALL(IF(checklistPesertaKemenkeu!$AY$6:$AY$1005="Direkomendasikan",ROW($6:$1005)-5),924)),KotaKode,2,0),"-"),"")),"")</f>
        <v/>
      </c>
      <c r="J925" t="str">
        <f t="array" aca="1" ref="J925" ca="1">IFERROR(IF(OR(INDEX(checklistPesertaKemenkeu!$N$6:$N$1005,SMALL(IF(checklistPesertaKemenkeu!$AY$6:$AY$1005="Direkomendasikan",ROW($6:$1005)-5),924))="",INDEX(checklistPesertaKemenkeu!$J$6:$J$1005,SMALL(IF(checklistPesertaKemenkeu!$AY$6:$AY$1005="Direkomendasikan",ROW($6:$1005)-5),924))=""),"",IF(AND(COUNTIF(INDIRECT("K_"&amp;MATCH(INDEX(checklistPesertaKemenkeu!$J$6:$J$1005,SMALL(IF(checklistPesertaKemenkeu!$AY$6:$AY$1005="Direkomendasikan",ROW($6:$1005)-5),924)),BidangList,0)),INDEX(checklistPesertaKemenkeu!$N$6:$N$1005,SMALL(IF(checklistPesertaKemenkeu!$AY$6:$AY$1005="Direkomendasikan",ROW($6:$1005)-5),924)))&gt;0,COUNTIF(INDIRECT("'KERTAS KERJA'!K"&amp;(SMALL(IF(checklistPesertaKemenkeu!$AY$6:$AY$1005="Direkomendasikan",ROW($6:$1005)-5),924)+5)&amp;":O"&amp;(SMALL(IF(checklistPesertaKemenkeu!$AY$6:$AY$1005="Direkomendasikan",ROW($6:$1005)-5),924)+5)),INDEX(checklistPesertaKemenkeu!$N$6:$N$1005,SMALL(IF(checklistPesertaKemenkeu!$AY$6:$AY$1005="Direkomendasikan",ROW($6:$1005)-5),924)))=1),IFERROR(VLOOKUP(INDEX(checklistPesertaKemenkeu!$N$6:$N$1005,SMALL(IF(checklistPesertaKemenkeu!$AY$6:$AY$1005="Direkomendasikan",ROW($6:$1005)-5),924)),KotaKode,2,0),"-"),"")),"")</f>
        <v/>
      </c>
      <c r="K925" t="str">
        <f t="array" aca="1" ref="K925" ca="1">IFERROR(IF(OR(INDEX(checklistPesertaKemenkeu!$O$6:$O$1005,SMALL(IF(checklistPesertaKemenkeu!$AY$6:$AY$1005="Direkomendasikan",ROW($6:$1005)-5),924))="",INDEX(checklistPesertaKemenkeu!$J$6:$J$1005,SMALL(IF(checklistPesertaKemenkeu!$AY$6:$AY$1005="Direkomendasikan",ROW($6:$1005)-5),924))=""),"",IF(AND(COUNTIF(INDIRECT("K_"&amp;MATCH(INDEX(checklistPesertaKemenkeu!$J$6:$J$1005,SMALL(IF(checklistPesertaKemenkeu!$AY$6:$AY$1005="Direkomendasikan",ROW($6:$1005)-5),924)),BidangList,0)),INDEX(checklistPesertaKemenkeu!$O$6:$O$1005,SMALL(IF(checklistPesertaKemenkeu!$AY$6:$AY$1005="Direkomendasikan",ROW($6:$1005)-5),924)))&gt;0,COUNTIF(INDIRECT("'KERTAS KERJA'!K"&amp;(SMALL(IF(checklistPesertaKemenkeu!$AY$6:$AY$1005="Direkomendasikan",ROW($6:$1005)-5),924)+5)&amp;":O"&amp;(SMALL(IF(checklistPesertaKemenkeu!$AY$6:$AY$1005="Direkomendasikan",ROW($6:$1005)-5),924)+5)),INDEX(checklistPesertaKemenkeu!$O$6:$O$1005,SMALL(IF(checklistPesertaKemenkeu!$AY$6:$AY$1005="Direkomendasikan",ROW($6:$1005)-5),924)))=1),IFERROR(VLOOKUP(INDEX(checklistPesertaKemenkeu!$O$6:$O$1005,SMALL(IF(checklistPesertaKemenkeu!$AY$6:$AY$1005="Direkomendasikan",ROW($6:$1005)-5),924)),KotaKode,2,0),"-"),"")),"")</f>
        <v/>
      </c>
      <c r="L925" t="str">
        <f t="array" aca="1" ref="L925" ca="1">IFERROR(IF(OR(INDEX(checklistPesertaKemenkeu!$P$6:$P$1005,SMALL(IF(checklistPesertaKemenkeu!$AY$6:$AY$1005="Direkomendasikan",ROW($6:$1005)-5),924))="",INDEX(checklistPesertaKemenkeu!$J$6:$J$1005,SMALL(IF(checklistPesertaKemenkeu!$AY$6:$AY$1005="Direkomendasikan",ROW($6:$1005)-5),924))=""),"",IF(AND(COUNTIF(INDIRECT("K_"&amp;MATCH(INDEX(checklistPesertaKemenkeu!$J$6:$J$1005,SMALL(IF(checklistPesertaKemenkeu!$AY$6:$AY$1005="Direkomendasikan",ROW($6:$1005)-5),924)),BidangList,0)),INDEX(checklistPesertaKemenkeu!$P$6:$P$1005,SMALL(IF(checklistPesertaKemenkeu!$AY$6:$AY$1005="Direkomendasikan",ROW($6:$1005)-5),924)))&gt;0,COUNTIF(INDIRECT("'KERTAS KERJA'!K"&amp;(SMALL(IF(checklistPesertaKemenkeu!$AY$6:$AY$1005="Direkomendasikan",ROW($6:$1005)-5),924)+5)&amp;":O"&amp;(SMALL(IF(checklistPesertaKemenkeu!$AY$6:$AY$1005="Direkomendasikan",ROW($6:$1005)-5),924)+5)),INDEX(checklistPesertaKemenkeu!$P$6:$P$1005,SMALL(IF(checklistPesertaKemenkeu!$AY$6:$AY$1005="Direkomendasikan",ROW($6:$1005)-5),924)))=1),IFERROR(VLOOKUP(INDEX(checklistPesertaKemenkeu!$P$6:$P$1005,SMALL(IF(checklistPesertaKemenkeu!$AY$6:$AY$1005="Direkomendasikan",ROW($6:$1005)-5),924)),KotaKode,2,0),"-"),"")),"")</f>
        <v/>
      </c>
    </row>
    <row r="926" spans="1:12" ht="15" customHeight="1" x14ac:dyDescent="0.2">
      <c r="A926" t="str">
        <f t="shared" si="14"/>
        <v/>
      </c>
      <c r="B926" t="str">
        <v/>
      </c>
      <c r="C926" s="40" t="str">
        <f t="array" ref="C926">IFERROR(INDEX(checklistPesertaKemenkeu!$F$6:$F$1005,SMALL(IF(checklistPesertaKemenkeu!$AY$6:$AY$1005="Direkomendasikan",ROW($6:$1005)-5),925)),"")</f>
        <v/>
      </c>
      <c r="D926" t="str">
        <f t="array" ref="D926">IFERROR(INDEX(checklistPesertaKemenkeu!$G$6:$G$1005,SMALL(IF(checklistPesertaKemenkeu!$AY$6:$AY$1005="Direkomendasikan",ROW($6:$1005)-5),925)),"")</f>
        <v/>
      </c>
      <c r="E926" t="str">
        <f t="array" ref="E926">IFERROR(INDEX(checklistPesertaKemenkeu!$H$6:$H$1005,SMALL(IF(checklistPesertaKemenkeu!$AY$6:$AY$1005="Direkomendasikan",ROW($6:$1005)-5),925)),"")</f>
        <v/>
      </c>
      <c r="F926" t="str">
        <f t="array" ref="F926">IFERROR(INDEX(checklistPesertaKemenkeu!$I$6:$I$1005,SMALL(IF(checklistPesertaKemenkeu!$AY$6:$AY$1005="Direkomendasikan",ROW($6:$1005)-5),925)),"")</f>
        <v/>
      </c>
      <c r="G926" t="str">
        <f t="array" ref="G926">IFERROR(INDEX(checklistPesertaKemenkeu!$J$6:$J$1005,SMALL(IF(checklistPesertaKemenkeu!$AY$6:$AY$1005="Direkomendasikan",ROW($6:$1005)-5),925)),"")</f>
        <v/>
      </c>
      <c r="H926" t="str">
        <f t="array" aca="1" ref="H926" ca="1">IFERROR(IF(OR(INDEX(checklistPesertaKemenkeu!$L$6:$L$1005,SMALL(IF(checklistPesertaKemenkeu!$AY$6:$AY$1005="Direkomendasikan",ROW($6:$1005)-5),925))="",INDEX(checklistPesertaKemenkeu!$J$6:$J$1005,SMALL(IF(checklistPesertaKemenkeu!$AY$6:$AY$1005="Direkomendasikan",ROW($6:$1005)-5),925))=""),"",IF(AND(COUNTIF(INDIRECT("K_"&amp;MATCH(INDEX(checklistPesertaKemenkeu!$J$6:$J$1005,SMALL(IF(checklistPesertaKemenkeu!$AY$6:$AY$1005="Direkomendasikan",ROW($6:$1005)-5),925)),BidangList,0)),INDEX(checklistPesertaKemenkeu!$L$6:$L$1005,SMALL(IF(checklistPesertaKemenkeu!$AY$6:$AY$1005="Direkomendasikan",ROW($6:$1005)-5),925)))&gt;0,COUNTIF(INDIRECT("'KERTAS KERJA'!K"&amp;(SMALL(IF(checklistPesertaKemenkeu!$AY$6:$AY$1005="Direkomendasikan",ROW($6:$1005)-5),925)+5)&amp;":O"&amp;(SMALL(IF(checklistPesertaKemenkeu!$AY$6:$AY$1005="Direkomendasikan",ROW($6:$1005)-5),925)+5)),INDEX(checklistPesertaKemenkeu!$L$6:$L$1005,SMALL(IF(checklistPesertaKemenkeu!$AY$6:$AY$1005="Direkomendasikan",ROW($6:$1005)-5),925)))=1),IFERROR(VLOOKUP(INDEX(checklistPesertaKemenkeu!$L$6:$L$1005,SMALL(IF(checklistPesertaKemenkeu!$AY$6:$AY$1005="Direkomendasikan",ROW($6:$1005)-5),925)),KotaKode,2,0),"-"),"")),"")</f>
        <v/>
      </c>
      <c r="I926" t="str">
        <f t="array" aca="1" ref="I926" ca="1">IFERROR(IF(OR(INDEX(checklistPesertaKemenkeu!$M$6:$M$1005,SMALL(IF(checklistPesertaKemenkeu!$AY$6:$AY$1005="Direkomendasikan",ROW($6:$1005)-5),925))="",INDEX(checklistPesertaKemenkeu!$J$6:$J$1005,SMALL(IF(checklistPesertaKemenkeu!$AY$6:$AY$1005="Direkomendasikan",ROW($6:$1005)-5),925))=""),"",IF(AND(COUNTIF(INDIRECT("K_"&amp;MATCH(INDEX(checklistPesertaKemenkeu!$J$6:$J$1005,SMALL(IF(checklistPesertaKemenkeu!$AY$6:$AY$1005="Direkomendasikan",ROW($6:$1005)-5),925)),BidangList,0)),INDEX(checklistPesertaKemenkeu!$M$6:$M$1005,SMALL(IF(checklistPesertaKemenkeu!$AY$6:$AY$1005="Direkomendasikan",ROW($6:$1005)-5),925)))&gt;0,COUNTIF(INDIRECT("'KERTAS KERJA'!K"&amp;(SMALL(IF(checklistPesertaKemenkeu!$AY$6:$AY$1005="Direkomendasikan",ROW($6:$1005)-5),925)+5)&amp;":O"&amp;(SMALL(IF(checklistPesertaKemenkeu!$AY$6:$AY$1005="Direkomendasikan",ROW($6:$1005)-5),925)+5)),INDEX(checklistPesertaKemenkeu!$M$6:$M$1005,SMALL(IF(checklistPesertaKemenkeu!$AY$6:$AY$1005="Direkomendasikan",ROW($6:$1005)-5),925)))=1),IFERROR(VLOOKUP(INDEX(checklistPesertaKemenkeu!$M$6:$M$1005,SMALL(IF(checklistPesertaKemenkeu!$AY$6:$AY$1005="Direkomendasikan",ROW($6:$1005)-5),925)),KotaKode,2,0),"-"),"")),"")</f>
        <v/>
      </c>
      <c r="J926" t="str">
        <f t="array" aca="1" ref="J926" ca="1">IFERROR(IF(OR(INDEX(checklistPesertaKemenkeu!$N$6:$N$1005,SMALL(IF(checklistPesertaKemenkeu!$AY$6:$AY$1005="Direkomendasikan",ROW($6:$1005)-5),925))="",INDEX(checklistPesertaKemenkeu!$J$6:$J$1005,SMALL(IF(checklistPesertaKemenkeu!$AY$6:$AY$1005="Direkomendasikan",ROW($6:$1005)-5),925))=""),"",IF(AND(COUNTIF(INDIRECT("K_"&amp;MATCH(INDEX(checklistPesertaKemenkeu!$J$6:$J$1005,SMALL(IF(checklistPesertaKemenkeu!$AY$6:$AY$1005="Direkomendasikan",ROW($6:$1005)-5),925)),BidangList,0)),INDEX(checklistPesertaKemenkeu!$N$6:$N$1005,SMALL(IF(checklistPesertaKemenkeu!$AY$6:$AY$1005="Direkomendasikan",ROW($6:$1005)-5),925)))&gt;0,COUNTIF(INDIRECT("'KERTAS KERJA'!K"&amp;(SMALL(IF(checklistPesertaKemenkeu!$AY$6:$AY$1005="Direkomendasikan",ROW($6:$1005)-5),925)+5)&amp;":O"&amp;(SMALL(IF(checklistPesertaKemenkeu!$AY$6:$AY$1005="Direkomendasikan",ROW($6:$1005)-5),925)+5)),INDEX(checklistPesertaKemenkeu!$N$6:$N$1005,SMALL(IF(checklistPesertaKemenkeu!$AY$6:$AY$1005="Direkomendasikan",ROW($6:$1005)-5),925)))=1),IFERROR(VLOOKUP(INDEX(checklistPesertaKemenkeu!$N$6:$N$1005,SMALL(IF(checklistPesertaKemenkeu!$AY$6:$AY$1005="Direkomendasikan",ROW($6:$1005)-5),925)),KotaKode,2,0),"-"),"")),"")</f>
        <v/>
      </c>
      <c r="K926" t="str">
        <f t="array" aca="1" ref="K926" ca="1">IFERROR(IF(OR(INDEX(checklistPesertaKemenkeu!$O$6:$O$1005,SMALL(IF(checklistPesertaKemenkeu!$AY$6:$AY$1005="Direkomendasikan",ROW($6:$1005)-5),925))="",INDEX(checklistPesertaKemenkeu!$J$6:$J$1005,SMALL(IF(checklistPesertaKemenkeu!$AY$6:$AY$1005="Direkomendasikan",ROW($6:$1005)-5),925))=""),"",IF(AND(COUNTIF(INDIRECT("K_"&amp;MATCH(INDEX(checklistPesertaKemenkeu!$J$6:$J$1005,SMALL(IF(checklistPesertaKemenkeu!$AY$6:$AY$1005="Direkomendasikan",ROW($6:$1005)-5),925)),BidangList,0)),INDEX(checklistPesertaKemenkeu!$O$6:$O$1005,SMALL(IF(checklistPesertaKemenkeu!$AY$6:$AY$1005="Direkomendasikan",ROW($6:$1005)-5),925)))&gt;0,COUNTIF(INDIRECT("'KERTAS KERJA'!K"&amp;(SMALL(IF(checklistPesertaKemenkeu!$AY$6:$AY$1005="Direkomendasikan",ROW($6:$1005)-5),925)+5)&amp;":O"&amp;(SMALL(IF(checklistPesertaKemenkeu!$AY$6:$AY$1005="Direkomendasikan",ROW($6:$1005)-5),925)+5)),INDEX(checklistPesertaKemenkeu!$O$6:$O$1005,SMALL(IF(checklistPesertaKemenkeu!$AY$6:$AY$1005="Direkomendasikan",ROW($6:$1005)-5),925)))=1),IFERROR(VLOOKUP(INDEX(checklistPesertaKemenkeu!$O$6:$O$1005,SMALL(IF(checklistPesertaKemenkeu!$AY$6:$AY$1005="Direkomendasikan",ROW($6:$1005)-5),925)),KotaKode,2,0),"-"),"")),"")</f>
        <v/>
      </c>
      <c r="L926" t="str">
        <f t="array" aca="1" ref="L926" ca="1">IFERROR(IF(OR(INDEX(checklistPesertaKemenkeu!$P$6:$P$1005,SMALL(IF(checklistPesertaKemenkeu!$AY$6:$AY$1005="Direkomendasikan",ROW($6:$1005)-5),925))="",INDEX(checklistPesertaKemenkeu!$J$6:$J$1005,SMALL(IF(checklistPesertaKemenkeu!$AY$6:$AY$1005="Direkomendasikan",ROW($6:$1005)-5),925))=""),"",IF(AND(COUNTIF(INDIRECT("K_"&amp;MATCH(INDEX(checklistPesertaKemenkeu!$J$6:$J$1005,SMALL(IF(checklistPesertaKemenkeu!$AY$6:$AY$1005="Direkomendasikan",ROW($6:$1005)-5),925)),BidangList,0)),INDEX(checklistPesertaKemenkeu!$P$6:$P$1005,SMALL(IF(checklistPesertaKemenkeu!$AY$6:$AY$1005="Direkomendasikan",ROW($6:$1005)-5),925)))&gt;0,COUNTIF(INDIRECT("'KERTAS KERJA'!K"&amp;(SMALL(IF(checklistPesertaKemenkeu!$AY$6:$AY$1005="Direkomendasikan",ROW($6:$1005)-5),925)+5)&amp;":O"&amp;(SMALL(IF(checklistPesertaKemenkeu!$AY$6:$AY$1005="Direkomendasikan",ROW($6:$1005)-5),925)+5)),INDEX(checklistPesertaKemenkeu!$P$6:$P$1005,SMALL(IF(checklistPesertaKemenkeu!$AY$6:$AY$1005="Direkomendasikan",ROW($6:$1005)-5),925)))=1),IFERROR(VLOOKUP(INDEX(checklistPesertaKemenkeu!$P$6:$P$1005,SMALL(IF(checklistPesertaKemenkeu!$AY$6:$AY$1005="Direkomendasikan",ROW($6:$1005)-5),925)),KotaKode,2,0),"-"),"")),"")</f>
        <v/>
      </c>
    </row>
    <row r="927" spans="1:12" ht="15" customHeight="1" x14ac:dyDescent="0.2">
      <c r="A927" t="str">
        <f t="shared" si="14"/>
        <v/>
      </c>
      <c r="B927" t="str">
        <v/>
      </c>
      <c r="C927" s="40" t="str">
        <f t="array" ref="C927">IFERROR(INDEX(checklistPesertaKemenkeu!$F$6:$F$1005,SMALL(IF(checklistPesertaKemenkeu!$AY$6:$AY$1005="Direkomendasikan",ROW($6:$1005)-5),926)),"")</f>
        <v/>
      </c>
      <c r="D927" t="str">
        <f t="array" ref="D927">IFERROR(INDEX(checklistPesertaKemenkeu!$G$6:$G$1005,SMALL(IF(checklistPesertaKemenkeu!$AY$6:$AY$1005="Direkomendasikan",ROW($6:$1005)-5),926)),"")</f>
        <v/>
      </c>
      <c r="E927" t="str">
        <f t="array" ref="E927">IFERROR(INDEX(checklistPesertaKemenkeu!$H$6:$H$1005,SMALL(IF(checklistPesertaKemenkeu!$AY$6:$AY$1005="Direkomendasikan",ROW($6:$1005)-5),926)),"")</f>
        <v/>
      </c>
      <c r="F927" t="str">
        <f t="array" ref="F927">IFERROR(INDEX(checklistPesertaKemenkeu!$I$6:$I$1005,SMALL(IF(checklistPesertaKemenkeu!$AY$6:$AY$1005="Direkomendasikan",ROW($6:$1005)-5),926)),"")</f>
        <v/>
      </c>
      <c r="G927" t="str">
        <f t="array" ref="G927">IFERROR(INDEX(checklistPesertaKemenkeu!$J$6:$J$1005,SMALL(IF(checklistPesertaKemenkeu!$AY$6:$AY$1005="Direkomendasikan",ROW($6:$1005)-5),926)),"")</f>
        <v/>
      </c>
      <c r="H927" t="str">
        <f t="array" aca="1" ref="H927" ca="1">IFERROR(IF(OR(INDEX(checklistPesertaKemenkeu!$L$6:$L$1005,SMALL(IF(checklistPesertaKemenkeu!$AY$6:$AY$1005="Direkomendasikan",ROW($6:$1005)-5),926))="",INDEX(checklistPesertaKemenkeu!$J$6:$J$1005,SMALL(IF(checklistPesertaKemenkeu!$AY$6:$AY$1005="Direkomendasikan",ROW($6:$1005)-5),926))=""),"",IF(AND(COUNTIF(INDIRECT("K_"&amp;MATCH(INDEX(checklistPesertaKemenkeu!$J$6:$J$1005,SMALL(IF(checklistPesertaKemenkeu!$AY$6:$AY$1005="Direkomendasikan",ROW($6:$1005)-5),926)),BidangList,0)),INDEX(checklistPesertaKemenkeu!$L$6:$L$1005,SMALL(IF(checklistPesertaKemenkeu!$AY$6:$AY$1005="Direkomendasikan",ROW($6:$1005)-5),926)))&gt;0,COUNTIF(INDIRECT("'KERTAS KERJA'!K"&amp;(SMALL(IF(checklistPesertaKemenkeu!$AY$6:$AY$1005="Direkomendasikan",ROW($6:$1005)-5),926)+5)&amp;":O"&amp;(SMALL(IF(checklistPesertaKemenkeu!$AY$6:$AY$1005="Direkomendasikan",ROW($6:$1005)-5),926)+5)),INDEX(checklistPesertaKemenkeu!$L$6:$L$1005,SMALL(IF(checklistPesertaKemenkeu!$AY$6:$AY$1005="Direkomendasikan",ROW($6:$1005)-5),926)))=1),IFERROR(VLOOKUP(INDEX(checklistPesertaKemenkeu!$L$6:$L$1005,SMALL(IF(checklistPesertaKemenkeu!$AY$6:$AY$1005="Direkomendasikan",ROW($6:$1005)-5),926)),KotaKode,2,0),"-"),"")),"")</f>
        <v/>
      </c>
      <c r="I927" t="str">
        <f t="array" aca="1" ref="I927" ca="1">IFERROR(IF(OR(INDEX(checklistPesertaKemenkeu!$M$6:$M$1005,SMALL(IF(checklistPesertaKemenkeu!$AY$6:$AY$1005="Direkomendasikan",ROW($6:$1005)-5),926))="",INDEX(checklistPesertaKemenkeu!$J$6:$J$1005,SMALL(IF(checklistPesertaKemenkeu!$AY$6:$AY$1005="Direkomendasikan",ROW($6:$1005)-5),926))=""),"",IF(AND(COUNTIF(INDIRECT("K_"&amp;MATCH(INDEX(checklistPesertaKemenkeu!$J$6:$J$1005,SMALL(IF(checklistPesertaKemenkeu!$AY$6:$AY$1005="Direkomendasikan",ROW($6:$1005)-5),926)),BidangList,0)),INDEX(checklistPesertaKemenkeu!$M$6:$M$1005,SMALL(IF(checklistPesertaKemenkeu!$AY$6:$AY$1005="Direkomendasikan",ROW($6:$1005)-5),926)))&gt;0,COUNTIF(INDIRECT("'KERTAS KERJA'!K"&amp;(SMALL(IF(checklistPesertaKemenkeu!$AY$6:$AY$1005="Direkomendasikan",ROW($6:$1005)-5),926)+5)&amp;":O"&amp;(SMALL(IF(checklistPesertaKemenkeu!$AY$6:$AY$1005="Direkomendasikan",ROW($6:$1005)-5),926)+5)),INDEX(checklistPesertaKemenkeu!$M$6:$M$1005,SMALL(IF(checklistPesertaKemenkeu!$AY$6:$AY$1005="Direkomendasikan",ROW($6:$1005)-5),926)))=1),IFERROR(VLOOKUP(INDEX(checklistPesertaKemenkeu!$M$6:$M$1005,SMALL(IF(checklistPesertaKemenkeu!$AY$6:$AY$1005="Direkomendasikan",ROW($6:$1005)-5),926)),KotaKode,2,0),"-"),"")),"")</f>
        <v/>
      </c>
      <c r="J927" t="str">
        <f t="array" aca="1" ref="J927" ca="1">IFERROR(IF(OR(INDEX(checklistPesertaKemenkeu!$N$6:$N$1005,SMALL(IF(checklistPesertaKemenkeu!$AY$6:$AY$1005="Direkomendasikan",ROW($6:$1005)-5),926))="",INDEX(checklistPesertaKemenkeu!$J$6:$J$1005,SMALL(IF(checklistPesertaKemenkeu!$AY$6:$AY$1005="Direkomendasikan",ROW($6:$1005)-5),926))=""),"",IF(AND(COUNTIF(INDIRECT("K_"&amp;MATCH(INDEX(checklistPesertaKemenkeu!$J$6:$J$1005,SMALL(IF(checklistPesertaKemenkeu!$AY$6:$AY$1005="Direkomendasikan",ROW($6:$1005)-5),926)),BidangList,0)),INDEX(checklistPesertaKemenkeu!$N$6:$N$1005,SMALL(IF(checklistPesertaKemenkeu!$AY$6:$AY$1005="Direkomendasikan",ROW($6:$1005)-5),926)))&gt;0,COUNTIF(INDIRECT("'KERTAS KERJA'!K"&amp;(SMALL(IF(checklistPesertaKemenkeu!$AY$6:$AY$1005="Direkomendasikan",ROW($6:$1005)-5),926)+5)&amp;":O"&amp;(SMALL(IF(checklistPesertaKemenkeu!$AY$6:$AY$1005="Direkomendasikan",ROW($6:$1005)-5),926)+5)),INDEX(checklistPesertaKemenkeu!$N$6:$N$1005,SMALL(IF(checklistPesertaKemenkeu!$AY$6:$AY$1005="Direkomendasikan",ROW($6:$1005)-5),926)))=1),IFERROR(VLOOKUP(INDEX(checklistPesertaKemenkeu!$N$6:$N$1005,SMALL(IF(checklistPesertaKemenkeu!$AY$6:$AY$1005="Direkomendasikan",ROW($6:$1005)-5),926)),KotaKode,2,0),"-"),"")),"")</f>
        <v/>
      </c>
      <c r="K927" t="str">
        <f t="array" aca="1" ref="K927" ca="1">IFERROR(IF(OR(INDEX(checklistPesertaKemenkeu!$O$6:$O$1005,SMALL(IF(checklistPesertaKemenkeu!$AY$6:$AY$1005="Direkomendasikan",ROW($6:$1005)-5),926))="",INDEX(checklistPesertaKemenkeu!$J$6:$J$1005,SMALL(IF(checklistPesertaKemenkeu!$AY$6:$AY$1005="Direkomendasikan",ROW($6:$1005)-5),926))=""),"",IF(AND(COUNTIF(INDIRECT("K_"&amp;MATCH(INDEX(checklistPesertaKemenkeu!$J$6:$J$1005,SMALL(IF(checklistPesertaKemenkeu!$AY$6:$AY$1005="Direkomendasikan",ROW($6:$1005)-5),926)),BidangList,0)),INDEX(checklistPesertaKemenkeu!$O$6:$O$1005,SMALL(IF(checklistPesertaKemenkeu!$AY$6:$AY$1005="Direkomendasikan",ROW($6:$1005)-5),926)))&gt;0,COUNTIF(INDIRECT("'KERTAS KERJA'!K"&amp;(SMALL(IF(checklistPesertaKemenkeu!$AY$6:$AY$1005="Direkomendasikan",ROW($6:$1005)-5),926)+5)&amp;":O"&amp;(SMALL(IF(checklistPesertaKemenkeu!$AY$6:$AY$1005="Direkomendasikan",ROW($6:$1005)-5),926)+5)),INDEX(checklistPesertaKemenkeu!$O$6:$O$1005,SMALL(IF(checklistPesertaKemenkeu!$AY$6:$AY$1005="Direkomendasikan",ROW($6:$1005)-5),926)))=1),IFERROR(VLOOKUP(INDEX(checklistPesertaKemenkeu!$O$6:$O$1005,SMALL(IF(checklistPesertaKemenkeu!$AY$6:$AY$1005="Direkomendasikan",ROW($6:$1005)-5),926)),KotaKode,2,0),"-"),"")),"")</f>
        <v/>
      </c>
      <c r="L927" t="str">
        <f t="array" aca="1" ref="L927" ca="1">IFERROR(IF(OR(INDEX(checklistPesertaKemenkeu!$P$6:$P$1005,SMALL(IF(checklistPesertaKemenkeu!$AY$6:$AY$1005="Direkomendasikan",ROW($6:$1005)-5),926))="",INDEX(checklistPesertaKemenkeu!$J$6:$J$1005,SMALL(IF(checklistPesertaKemenkeu!$AY$6:$AY$1005="Direkomendasikan",ROW($6:$1005)-5),926))=""),"",IF(AND(COUNTIF(INDIRECT("K_"&amp;MATCH(INDEX(checklistPesertaKemenkeu!$J$6:$J$1005,SMALL(IF(checklistPesertaKemenkeu!$AY$6:$AY$1005="Direkomendasikan",ROW($6:$1005)-5),926)),BidangList,0)),INDEX(checklistPesertaKemenkeu!$P$6:$P$1005,SMALL(IF(checklistPesertaKemenkeu!$AY$6:$AY$1005="Direkomendasikan",ROW($6:$1005)-5),926)))&gt;0,COUNTIF(INDIRECT("'KERTAS KERJA'!K"&amp;(SMALL(IF(checklistPesertaKemenkeu!$AY$6:$AY$1005="Direkomendasikan",ROW($6:$1005)-5),926)+5)&amp;":O"&amp;(SMALL(IF(checklistPesertaKemenkeu!$AY$6:$AY$1005="Direkomendasikan",ROW($6:$1005)-5),926)+5)),INDEX(checklistPesertaKemenkeu!$P$6:$P$1005,SMALL(IF(checklistPesertaKemenkeu!$AY$6:$AY$1005="Direkomendasikan",ROW($6:$1005)-5),926)))=1),IFERROR(VLOOKUP(INDEX(checklistPesertaKemenkeu!$P$6:$P$1005,SMALL(IF(checklistPesertaKemenkeu!$AY$6:$AY$1005="Direkomendasikan",ROW($6:$1005)-5),926)),KotaKode,2,0),"-"),"")),"")</f>
        <v/>
      </c>
    </row>
    <row r="928" spans="1:12" ht="15" customHeight="1" x14ac:dyDescent="0.2">
      <c r="A928" t="str">
        <f t="shared" si="14"/>
        <v/>
      </c>
      <c r="B928" t="str">
        <v/>
      </c>
      <c r="C928" s="40" t="str">
        <f t="array" ref="C928">IFERROR(INDEX(checklistPesertaKemenkeu!$F$6:$F$1005,SMALL(IF(checklistPesertaKemenkeu!$AY$6:$AY$1005="Direkomendasikan",ROW($6:$1005)-5),927)),"")</f>
        <v/>
      </c>
      <c r="D928" t="str">
        <f t="array" ref="D928">IFERROR(INDEX(checklistPesertaKemenkeu!$G$6:$G$1005,SMALL(IF(checklistPesertaKemenkeu!$AY$6:$AY$1005="Direkomendasikan",ROW($6:$1005)-5),927)),"")</f>
        <v/>
      </c>
      <c r="E928" t="str">
        <f t="array" ref="E928">IFERROR(INDEX(checklistPesertaKemenkeu!$H$6:$H$1005,SMALL(IF(checklistPesertaKemenkeu!$AY$6:$AY$1005="Direkomendasikan",ROW($6:$1005)-5),927)),"")</f>
        <v/>
      </c>
      <c r="F928" t="str">
        <f t="array" ref="F928">IFERROR(INDEX(checklistPesertaKemenkeu!$I$6:$I$1005,SMALL(IF(checklistPesertaKemenkeu!$AY$6:$AY$1005="Direkomendasikan",ROW($6:$1005)-5),927)),"")</f>
        <v/>
      </c>
      <c r="G928" t="str">
        <f t="array" ref="G928">IFERROR(INDEX(checklistPesertaKemenkeu!$J$6:$J$1005,SMALL(IF(checklistPesertaKemenkeu!$AY$6:$AY$1005="Direkomendasikan",ROW($6:$1005)-5),927)),"")</f>
        <v/>
      </c>
      <c r="H928" t="str">
        <f t="array" aca="1" ref="H928" ca="1">IFERROR(IF(OR(INDEX(checklistPesertaKemenkeu!$L$6:$L$1005,SMALL(IF(checklistPesertaKemenkeu!$AY$6:$AY$1005="Direkomendasikan",ROW($6:$1005)-5),927))="",INDEX(checklistPesertaKemenkeu!$J$6:$J$1005,SMALL(IF(checklistPesertaKemenkeu!$AY$6:$AY$1005="Direkomendasikan",ROW($6:$1005)-5),927))=""),"",IF(AND(COUNTIF(INDIRECT("K_"&amp;MATCH(INDEX(checklistPesertaKemenkeu!$J$6:$J$1005,SMALL(IF(checklistPesertaKemenkeu!$AY$6:$AY$1005="Direkomendasikan",ROW($6:$1005)-5),927)),BidangList,0)),INDEX(checklistPesertaKemenkeu!$L$6:$L$1005,SMALL(IF(checklistPesertaKemenkeu!$AY$6:$AY$1005="Direkomendasikan",ROW($6:$1005)-5),927)))&gt;0,COUNTIF(INDIRECT("'KERTAS KERJA'!K"&amp;(SMALL(IF(checklistPesertaKemenkeu!$AY$6:$AY$1005="Direkomendasikan",ROW($6:$1005)-5),927)+5)&amp;":O"&amp;(SMALL(IF(checklistPesertaKemenkeu!$AY$6:$AY$1005="Direkomendasikan",ROW($6:$1005)-5),927)+5)),INDEX(checklistPesertaKemenkeu!$L$6:$L$1005,SMALL(IF(checklistPesertaKemenkeu!$AY$6:$AY$1005="Direkomendasikan",ROW($6:$1005)-5),927)))=1),IFERROR(VLOOKUP(INDEX(checklistPesertaKemenkeu!$L$6:$L$1005,SMALL(IF(checklistPesertaKemenkeu!$AY$6:$AY$1005="Direkomendasikan",ROW($6:$1005)-5),927)),KotaKode,2,0),"-"),"")),"")</f>
        <v/>
      </c>
      <c r="I928" t="str">
        <f t="array" aca="1" ref="I928" ca="1">IFERROR(IF(OR(INDEX(checklistPesertaKemenkeu!$M$6:$M$1005,SMALL(IF(checklistPesertaKemenkeu!$AY$6:$AY$1005="Direkomendasikan",ROW($6:$1005)-5),927))="",INDEX(checklistPesertaKemenkeu!$J$6:$J$1005,SMALL(IF(checklistPesertaKemenkeu!$AY$6:$AY$1005="Direkomendasikan",ROW($6:$1005)-5),927))=""),"",IF(AND(COUNTIF(INDIRECT("K_"&amp;MATCH(INDEX(checklistPesertaKemenkeu!$J$6:$J$1005,SMALL(IF(checklistPesertaKemenkeu!$AY$6:$AY$1005="Direkomendasikan",ROW($6:$1005)-5),927)),BidangList,0)),INDEX(checklistPesertaKemenkeu!$M$6:$M$1005,SMALL(IF(checklistPesertaKemenkeu!$AY$6:$AY$1005="Direkomendasikan",ROW($6:$1005)-5),927)))&gt;0,COUNTIF(INDIRECT("'KERTAS KERJA'!K"&amp;(SMALL(IF(checklistPesertaKemenkeu!$AY$6:$AY$1005="Direkomendasikan",ROW($6:$1005)-5),927)+5)&amp;":O"&amp;(SMALL(IF(checklistPesertaKemenkeu!$AY$6:$AY$1005="Direkomendasikan",ROW($6:$1005)-5),927)+5)),INDEX(checklistPesertaKemenkeu!$M$6:$M$1005,SMALL(IF(checklistPesertaKemenkeu!$AY$6:$AY$1005="Direkomendasikan",ROW($6:$1005)-5),927)))=1),IFERROR(VLOOKUP(INDEX(checklistPesertaKemenkeu!$M$6:$M$1005,SMALL(IF(checklistPesertaKemenkeu!$AY$6:$AY$1005="Direkomendasikan",ROW($6:$1005)-5),927)),KotaKode,2,0),"-"),"")),"")</f>
        <v/>
      </c>
      <c r="J928" t="str">
        <f t="array" aca="1" ref="J928" ca="1">IFERROR(IF(OR(INDEX(checklistPesertaKemenkeu!$N$6:$N$1005,SMALL(IF(checklistPesertaKemenkeu!$AY$6:$AY$1005="Direkomendasikan",ROW($6:$1005)-5),927))="",INDEX(checklistPesertaKemenkeu!$J$6:$J$1005,SMALL(IF(checklistPesertaKemenkeu!$AY$6:$AY$1005="Direkomendasikan",ROW($6:$1005)-5),927))=""),"",IF(AND(COUNTIF(INDIRECT("K_"&amp;MATCH(INDEX(checklistPesertaKemenkeu!$J$6:$J$1005,SMALL(IF(checklistPesertaKemenkeu!$AY$6:$AY$1005="Direkomendasikan",ROW($6:$1005)-5),927)),BidangList,0)),INDEX(checklistPesertaKemenkeu!$N$6:$N$1005,SMALL(IF(checklistPesertaKemenkeu!$AY$6:$AY$1005="Direkomendasikan",ROW($6:$1005)-5),927)))&gt;0,COUNTIF(INDIRECT("'KERTAS KERJA'!K"&amp;(SMALL(IF(checklistPesertaKemenkeu!$AY$6:$AY$1005="Direkomendasikan",ROW($6:$1005)-5),927)+5)&amp;":O"&amp;(SMALL(IF(checklistPesertaKemenkeu!$AY$6:$AY$1005="Direkomendasikan",ROW($6:$1005)-5),927)+5)),INDEX(checklistPesertaKemenkeu!$N$6:$N$1005,SMALL(IF(checklistPesertaKemenkeu!$AY$6:$AY$1005="Direkomendasikan",ROW($6:$1005)-5),927)))=1),IFERROR(VLOOKUP(INDEX(checklistPesertaKemenkeu!$N$6:$N$1005,SMALL(IF(checklistPesertaKemenkeu!$AY$6:$AY$1005="Direkomendasikan",ROW($6:$1005)-5),927)),KotaKode,2,0),"-"),"")),"")</f>
        <v/>
      </c>
      <c r="K928" t="str">
        <f t="array" aca="1" ref="K928" ca="1">IFERROR(IF(OR(INDEX(checklistPesertaKemenkeu!$O$6:$O$1005,SMALL(IF(checklistPesertaKemenkeu!$AY$6:$AY$1005="Direkomendasikan",ROW($6:$1005)-5),927))="",INDEX(checklistPesertaKemenkeu!$J$6:$J$1005,SMALL(IF(checklistPesertaKemenkeu!$AY$6:$AY$1005="Direkomendasikan",ROW($6:$1005)-5),927))=""),"",IF(AND(COUNTIF(INDIRECT("K_"&amp;MATCH(INDEX(checklistPesertaKemenkeu!$J$6:$J$1005,SMALL(IF(checklistPesertaKemenkeu!$AY$6:$AY$1005="Direkomendasikan",ROW($6:$1005)-5),927)),BidangList,0)),INDEX(checklistPesertaKemenkeu!$O$6:$O$1005,SMALL(IF(checklistPesertaKemenkeu!$AY$6:$AY$1005="Direkomendasikan",ROW($6:$1005)-5),927)))&gt;0,COUNTIF(INDIRECT("'KERTAS KERJA'!K"&amp;(SMALL(IF(checklistPesertaKemenkeu!$AY$6:$AY$1005="Direkomendasikan",ROW($6:$1005)-5),927)+5)&amp;":O"&amp;(SMALL(IF(checklistPesertaKemenkeu!$AY$6:$AY$1005="Direkomendasikan",ROW($6:$1005)-5),927)+5)),INDEX(checklistPesertaKemenkeu!$O$6:$O$1005,SMALL(IF(checklistPesertaKemenkeu!$AY$6:$AY$1005="Direkomendasikan",ROW($6:$1005)-5),927)))=1),IFERROR(VLOOKUP(INDEX(checklistPesertaKemenkeu!$O$6:$O$1005,SMALL(IF(checklistPesertaKemenkeu!$AY$6:$AY$1005="Direkomendasikan",ROW($6:$1005)-5),927)),KotaKode,2,0),"-"),"")),"")</f>
        <v/>
      </c>
      <c r="L928" t="str">
        <f t="array" aca="1" ref="L928" ca="1">IFERROR(IF(OR(INDEX(checklistPesertaKemenkeu!$P$6:$P$1005,SMALL(IF(checklistPesertaKemenkeu!$AY$6:$AY$1005="Direkomendasikan",ROW($6:$1005)-5),927))="",INDEX(checklistPesertaKemenkeu!$J$6:$J$1005,SMALL(IF(checklistPesertaKemenkeu!$AY$6:$AY$1005="Direkomendasikan",ROW($6:$1005)-5),927))=""),"",IF(AND(COUNTIF(INDIRECT("K_"&amp;MATCH(INDEX(checklistPesertaKemenkeu!$J$6:$J$1005,SMALL(IF(checklistPesertaKemenkeu!$AY$6:$AY$1005="Direkomendasikan",ROW($6:$1005)-5),927)),BidangList,0)),INDEX(checklistPesertaKemenkeu!$P$6:$P$1005,SMALL(IF(checklistPesertaKemenkeu!$AY$6:$AY$1005="Direkomendasikan",ROW($6:$1005)-5),927)))&gt;0,COUNTIF(INDIRECT("'KERTAS KERJA'!K"&amp;(SMALL(IF(checklistPesertaKemenkeu!$AY$6:$AY$1005="Direkomendasikan",ROW($6:$1005)-5),927)+5)&amp;":O"&amp;(SMALL(IF(checklistPesertaKemenkeu!$AY$6:$AY$1005="Direkomendasikan",ROW($6:$1005)-5),927)+5)),INDEX(checklistPesertaKemenkeu!$P$6:$P$1005,SMALL(IF(checklistPesertaKemenkeu!$AY$6:$AY$1005="Direkomendasikan",ROW($6:$1005)-5),927)))=1),IFERROR(VLOOKUP(INDEX(checklistPesertaKemenkeu!$P$6:$P$1005,SMALL(IF(checklistPesertaKemenkeu!$AY$6:$AY$1005="Direkomendasikan",ROW($6:$1005)-5),927)),KotaKode,2,0),"-"),"")),"")</f>
        <v/>
      </c>
    </row>
    <row r="929" spans="1:12" ht="15" customHeight="1" x14ac:dyDescent="0.2">
      <c r="A929" t="str">
        <f t="shared" si="14"/>
        <v/>
      </c>
      <c r="B929" t="str">
        <v/>
      </c>
      <c r="C929" s="40" t="str">
        <f t="array" ref="C929">IFERROR(INDEX(checklistPesertaKemenkeu!$F$6:$F$1005,SMALL(IF(checklistPesertaKemenkeu!$AY$6:$AY$1005="Direkomendasikan",ROW($6:$1005)-5),928)),"")</f>
        <v/>
      </c>
      <c r="D929" t="str">
        <f t="array" ref="D929">IFERROR(INDEX(checklistPesertaKemenkeu!$G$6:$G$1005,SMALL(IF(checklistPesertaKemenkeu!$AY$6:$AY$1005="Direkomendasikan",ROW($6:$1005)-5),928)),"")</f>
        <v/>
      </c>
      <c r="E929" t="str">
        <f t="array" ref="E929">IFERROR(INDEX(checklistPesertaKemenkeu!$H$6:$H$1005,SMALL(IF(checklistPesertaKemenkeu!$AY$6:$AY$1005="Direkomendasikan",ROW($6:$1005)-5),928)),"")</f>
        <v/>
      </c>
      <c r="F929" t="str">
        <f t="array" ref="F929">IFERROR(INDEX(checklistPesertaKemenkeu!$I$6:$I$1005,SMALL(IF(checklistPesertaKemenkeu!$AY$6:$AY$1005="Direkomendasikan",ROW($6:$1005)-5),928)),"")</f>
        <v/>
      </c>
      <c r="G929" t="str">
        <f t="array" ref="G929">IFERROR(INDEX(checklistPesertaKemenkeu!$J$6:$J$1005,SMALL(IF(checklistPesertaKemenkeu!$AY$6:$AY$1005="Direkomendasikan",ROW($6:$1005)-5),928)),"")</f>
        <v/>
      </c>
      <c r="H929" t="str">
        <f t="array" aca="1" ref="H929" ca="1">IFERROR(IF(OR(INDEX(checklistPesertaKemenkeu!$L$6:$L$1005,SMALL(IF(checklistPesertaKemenkeu!$AY$6:$AY$1005="Direkomendasikan",ROW($6:$1005)-5),928))="",INDEX(checklistPesertaKemenkeu!$J$6:$J$1005,SMALL(IF(checklistPesertaKemenkeu!$AY$6:$AY$1005="Direkomendasikan",ROW($6:$1005)-5),928))=""),"",IF(AND(COUNTIF(INDIRECT("K_"&amp;MATCH(INDEX(checklistPesertaKemenkeu!$J$6:$J$1005,SMALL(IF(checklistPesertaKemenkeu!$AY$6:$AY$1005="Direkomendasikan",ROW($6:$1005)-5),928)),BidangList,0)),INDEX(checklistPesertaKemenkeu!$L$6:$L$1005,SMALL(IF(checklistPesertaKemenkeu!$AY$6:$AY$1005="Direkomendasikan",ROW($6:$1005)-5),928)))&gt;0,COUNTIF(INDIRECT("'KERTAS KERJA'!K"&amp;(SMALL(IF(checklistPesertaKemenkeu!$AY$6:$AY$1005="Direkomendasikan",ROW($6:$1005)-5),928)+5)&amp;":O"&amp;(SMALL(IF(checklistPesertaKemenkeu!$AY$6:$AY$1005="Direkomendasikan",ROW($6:$1005)-5),928)+5)),INDEX(checklistPesertaKemenkeu!$L$6:$L$1005,SMALL(IF(checklistPesertaKemenkeu!$AY$6:$AY$1005="Direkomendasikan",ROW($6:$1005)-5),928)))=1),IFERROR(VLOOKUP(INDEX(checklistPesertaKemenkeu!$L$6:$L$1005,SMALL(IF(checklistPesertaKemenkeu!$AY$6:$AY$1005="Direkomendasikan",ROW($6:$1005)-5),928)),KotaKode,2,0),"-"),"")),"")</f>
        <v/>
      </c>
      <c r="I929" t="str">
        <f t="array" aca="1" ref="I929" ca="1">IFERROR(IF(OR(INDEX(checklistPesertaKemenkeu!$M$6:$M$1005,SMALL(IF(checklistPesertaKemenkeu!$AY$6:$AY$1005="Direkomendasikan",ROW($6:$1005)-5),928))="",INDEX(checklistPesertaKemenkeu!$J$6:$J$1005,SMALL(IF(checklistPesertaKemenkeu!$AY$6:$AY$1005="Direkomendasikan",ROW($6:$1005)-5),928))=""),"",IF(AND(COUNTIF(INDIRECT("K_"&amp;MATCH(INDEX(checklistPesertaKemenkeu!$J$6:$J$1005,SMALL(IF(checklistPesertaKemenkeu!$AY$6:$AY$1005="Direkomendasikan",ROW($6:$1005)-5),928)),BidangList,0)),INDEX(checklistPesertaKemenkeu!$M$6:$M$1005,SMALL(IF(checklistPesertaKemenkeu!$AY$6:$AY$1005="Direkomendasikan",ROW($6:$1005)-5),928)))&gt;0,COUNTIF(INDIRECT("'KERTAS KERJA'!K"&amp;(SMALL(IF(checklistPesertaKemenkeu!$AY$6:$AY$1005="Direkomendasikan",ROW($6:$1005)-5),928)+5)&amp;":O"&amp;(SMALL(IF(checklistPesertaKemenkeu!$AY$6:$AY$1005="Direkomendasikan",ROW($6:$1005)-5),928)+5)),INDEX(checklistPesertaKemenkeu!$M$6:$M$1005,SMALL(IF(checklistPesertaKemenkeu!$AY$6:$AY$1005="Direkomendasikan",ROW($6:$1005)-5),928)))=1),IFERROR(VLOOKUP(INDEX(checklistPesertaKemenkeu!$M$6:$M$1005,SMALL(IF(checklistPesertaKemenkeu!$AY$6:$AY$1005="Direkomendasikan",ROW($6:$1005)-5),928)),KotaKode,2,0),"-"),"")),"")</f>
        <v/>
      </c>
      <c r="J929" t="str">
        <f t="array" aca="1" ref="J929" ca="1">IFERROR(IF(OR(INDEX(checklistPesertaKemenkeu!$N$6:$N$1005,SMALL(IF(checklistPesertaKemenkeu!$AY$6:$AY$1005="Direkomendasikan",ROW($6:$1005)-5),928))="",INDEX(checklistPesertaKemenkeu!$J$6:$J$1005,SMALL(IF(checklistPesertaKemenkeu!$AY$6:$AY$1005="Direkomendasikan",ROW($6:$1005)-5),928))=""),"",IF(AND(COUNTIF(INDIRECT("K_"&amp;MATCH(INDEX(checklistPesertaKemenkeu!$J$6:$J$1005,SMALL(IF(checklistPesertaKemenkeu!$AY$6:$AY$1005="Direkomendasikan",ROW($6:$1005)-5),928)),BidangList,0)),INDEX(checklistPesertaKemenkeu!$N$6:$N$1005,SMALL(IF(checklistPesertaKemenkeu!$AY$6:$AY$1005="Direkomendasikan",ROW($6:$1005)-5),928)))&gt;0,COUNTIF(INDIRECT("'KERTAS KERJA'!K"&amp;(SMALL(IF(checklistPesertaKemenkeu!$AY$6:$AY$1005="Direkomendasikan",ROW($6:$1005)-5),928)+5)&amp;":O"&amp;(SMALL(IF(checklistPesertaKemenkeu!$AY$6:$AY$1005="Direkomendasikan",ROW($6:$1005)-5),928)+5)),INDEX(checklistPesertaKemenkeu!$N$6:$N$1005,SMALL(IF(checklistPesertaKemenkeu!$AY$6:$AY$1005="Direkomendasikan",ROW($6:$1005)-5),928)))=1),IFERROR(VLOOKUP(INDEX(checklistPesertaKemenkeu!$N$6:$N$1005,SMALL(IF(checklistPesertaKemenkeu!$AY$6:$AY$1005="Direkomendasikan",ROW($6:$1005)-5),928)),KotaKode,2,0),"-"),"")),"")</f>
        <v/>
      </c>
      <c r="K929" t="str">
        <f t="array" aca="1" ref="K929" ca="1">IFERROR(IF(OR(INDEX(checklistPesertaKemenkeu!$O$6:$O$1005,SMALL(IF(checklistPesertaKemenkeu!$AY$6:$AY$1005="Direkomendasikan",ROW($6:$1005)-5),928))="",INDEX(checklistPesertaKemenkeu!$J$6:$J$1005,SMALL(IF(checklistPesertaKemenkeu!$AY$6:$AY$1005="Direkomendasikan",ROW($6:$1005)-5),928))=""),"",IF(AND(COUNTIF(INDIRECT("K_"&amp;MATCH(INDEX(checklistPesertaKemenkeu!$J$6:$J$1005,SMALL(IF(checklistPesertaKemenkeu!$AY$6:$AY$1005="Direkomendasikan",ROW($6:$1005)-5),928)),BidangList,0)),INDEX(checklistPesertaKemenkeu!$O$6:$O$1005,SMALL(IF(checklistPesertaKemenkeu!$AY$6:$AY$1005="Direkomendasikan",ROW($6:$1005)-5),928)))&gt;0,COUNTIF(INDIRECT("'KERTAS KERJA'!K"&amp;(SMALL(IF(checklistPesertaKemenkeu!$AY$6:$AY$1005="Direkomendasikan",ROW($6:$1005)-5),928)+5)&amp;":O"&amp;(SMALL(IF(checklistPesertaKemenkeu!$AY$6:$AY$1005="Direkomendasikan",ROW($6:$1005)-5),928)+5)),INDEX(checklistPesertaKemenkeu!$O$6:$O$1005,SMALL(IF(checklistPesertaKemenkeu!$AY$6:$AY$1005="Direkomendasikan",ROW($6:$1005)-5),928)))=1),IFERROR(VLOOKUP(INDEX(checklistPesertaKemenkeu!$O$6:$O$1005,SMALL(IF(checklistPesertaKemenkeu!$AY$6:$AY$1005="Direkomendasikan",ROW($6:$1005)-5),928)),KotaKode,2,0),"-"),"")),"")</f>
        <v/>
      </c>
      <c r="L929" t="str">
        <f t="array" aca="1" ref="L929" ca="1">IFERROR(IF(OR(INDEX(checklistPesertaKemenkeu!$P$6:$P$1005,SMALL(IF(checklistPesertaKemenkeu!$AY$6:$AY$1005="Direkomendasikan",ROW($6:$1005)-5),928))="",INDEX(checklistPesertaKemenkeu!$J$6:$J$1005,SMALL(IF(checklistPesertaKemenkeu!$AY$6:$AY$1005="Direkomendasikan",ROW($6:$1005)-5),928))=""),"",IF(AND(COUNTIF(INDIRECT("K_"&amp;MATCH(INDEX(checklistPesertaKemenkeu!$J$6:$J$1005,SMALL(IF(checklistPesertaKemenkeu!$AY$6:$AY$1005="Direkomendasikan",ROW($6:$1005)-5),928)),BidangList,0)),INDEX(checklistPesertaKemenkeu!$P$6:$P$1005,SMALL(IF(checklistPesertaKemenkeu!$AY$6:$AY$1005="Direkomendasikan",ROW($6:$1005)-5),928)))&gt;0,COUNTIF(INDIRECT("'KERTAS KERJA'!K"&amp;(SMALL(IF(checklistPesertaKemenkeu!$AY$6:$AY$1005="Direkomendasikan",ROW($6:$1005)-5),928)+5)&amp;":O"&amp;(SMALL(IF(checklistPesertaKemenkeu!$AY$6:$AY$1005="Direkomendasikan",ROW($6:$1005)-5),928)+5)),INDEX(checklistPesertaKemenkeu!$P$6:$P$1005,SMALL(IF(checklistPesertaKemenkeu!$AY$6:$AY$1005="Direkomendasikan",ROW($6:$1005)-5),928)))=1),IFERROR(VLOOKUP(INDEX(checklistPesertaKemenkeu!$P$6:$P$1005,SMALL(IF(checklistPesertaKemenkeu!$AY$6:$AY$1005="Direkomendasikan",ROW($6:$1005)-5),928)),KotaKode,2,0),"-"),"")),"")</f>
        <v/>
      </c>
    </row>
    <row r="930" spans="1:12" ht="15" customHeight="1" x14ac:dyDescent="0.2">
      <c r="A930" t="str">
        <f t="shared" si="14"/>
        <v/>
      </c>
      <c r="B930" t="str">
        <v/>
      </c>
      <c r="C930" s="40" t="str">
        <f t="array" ref="C930">IFERROR(INDEX(checklistPesertaKemenkeu!$F$6:$F$1005,SMALL(IF(checklistPesertaKemenkeu!$AY$6:$AY$1005="Direkomendasikan",ROW($6:$1005)-5),929)),"")</f>
        <v/>
      </c>
      <c r="D930" t="str">
        <f t="array" ref="D930">IFERROR(INDEX(checklistPesertaKemenkeu!$G$6:$G$1005,SMALL(IF(checklistPesertaKemenkeu!$AY$6:$AY$1005="Direkomendasikan",ROW($6:$1005)-5),929)),"")</f>
        <v/>
      </c>
      <c r="E930" t="str">
        <f t="array" ref="E930">IFERROR(INDEX(checklistPesertaKemenkeu!$H$6:$H$1005,SMALL(IF(checklistPesertaKemenkeu!$AY$6:$AY$1005="Direkomendasikan",ROW($6:$1005)-5),929)),"")</f>
        <v/>
      </c>
      <c r="F930" t="str">
        <f t="array" ref="F930">IFERROR(INDEX(checklistPesertaKemenkeu!$I$6:$I$1005,SMALL(IF(checklistPesertaKemenkeu!$AY$6:$AY$1005="Direkomendasikan",ROW($6:$1005)-5),929)),"")</f>
        <v/>
      </c>
      <c r="G930" t="str">
        <f t="array" ref="G930">IFERROR(INDEX(checklistPesertaKemenkeu!$J$6:$J$1005,SMALL(IF(checklistPesertaKemenkeu!$AY$6:$AY$1005="Direkomendasikan",ROW($6:$1005)-5),929)),"")</f>
        <v/>
      </c>
      <c r="H930" t="str">
        <f t="array" aca="1" ref="H930" ca="1">IFERROR(IF(OR(INDEX(checklistPesertaKemenkeu!$L$6:$L$1005,SMALL(IF(checklistPesertaKemenkeu!$AY$6:$AY$1005="Direkomendasikan",ROW($6:$1005)-5),929))="",INDEX(checklistPesertaKemenkeu!$J$6:$J$1005,SMALL(IF(checklistPesertaKemenkeu!$AY$6:$AY$1005="Direkomendasikan",ROW($6:$1005)-5),929))=""),"",IF(AND(COUNTIF(INDIRECT("K_"&amp;MATCH(INDEX(checklistPesertaKemenkeu!$J$6:$J$1005,SMALL(IF(checklistPesertaKemenkeu!$AY$6:$AY$1005="Direkomendasikan",ROW($6:$1005)-5),929)),BidangList,0)),INDEX(checklistPesertaKemenkeu!$L$6:$L$1005,SMALL(IF(checklistPesertaKemenkeu!$AY$6:$AY$1005="Direkomendasikan",ROW($6:$1005)-5),929)))&gt;0,COUNTIF(INDIRECT("'KERTAS KERJA'!K"&amp;(SMALL(IF(checklistPesertaKemenkeu!$AY$6:$AY$1005="Direkomendasikan",ROW($6:$1005)-5),929)+5)&amp;":O"&amp;(SMALL(IF(checklistPesertaKemenkeu!$AY$6:$AY$1005="Direkomendasikan",ROW($6:$1005)-5),929)+5)),INDEX(checklistPesertaKemenkeu!$L$6:$L$1005,SMALL(IF(checklistPesertaKemenkeu!$AY$6:$AY$1005="Direkomendasikan",ROW($6:$1005)-5),929)))=1),IFERROR(VLOOKUP(INDEX(checklistPesertaKemenkeu!$L$6:$L$1005,SMALL(IF(checklistPesertaKemenkeu!$AY$6:$AY$1005="Direkomendasikan",ROW($6:$1005)-5),929)),KotaKode,2,0),"-"),"")),"")</f>
        <v/>
      </c>
      <c r="I930" t="str">
        <f t="array" aca="1" ref="I930" ca="1">IFERROR(IF(OR(INDEX(checklistPesertaKemenkeu!$M$6:$M$1005,SMALL(IF(checklistPesertaKemenkeu!$AY$6:$AY$1005="Direkomendasikan",ROW($6:$1005)-5),929))="",INDEX(checklistPesertaKemenkeu!$J$6:$J$1005,SMALL(IF(checklistPesertaKemenkeu!$AY$6:$AY$1005="Direkomendasikan",ROW($6:$1005)-5),929))=""),"",IF(AND(COUNTIF(INDIRECT("K_"&amp;MATCH(INDEX(checklistPesertaKemenkeu!$J$6:$J$1005,SMALL(IF(checklistPesertaKemenkeu!$AY$6:$AY$1005="Direkomendasikan",ROW($6:$1005)-5),929)),BidangList,0)),INDEX(checklistPesertaKemenkeu!$M$6:$M$1005,SMALL(IF(checklistPesertaKemenkeu!$AY$6:$AY$1005="Direkomendasikan",ROW($6:$1005)-5),929)))&gt;0,COUNTIF(INDIRECT("'KERTAS KERJA'!K"&amp;(SMALL(IF(checklistPesertaKemenkeu!$AY$6:$AY$1005="Direkomendasikan",ROW($6:$1005)-5),929)+5)&amp;":O"&amp;(SMALL(IF(checklistPesertaKemenkeu!$AY$6:$AY$1005="Direkomendasikan",ROW($6:$1005)-5),929)+5)),INDEX(checklistPesertaKemenkeu!$M$6:$M$1005,SMALL(IF(checklistPesertaKemenkeu!$AY$6:$AY$1005="Direkomendasikan",ROW($6:$1005)-5),929)))=1),IFERROR(VLOOKUP(INDEX(checklistPesertaKemenkeu!$M$6:$M$1005,SMALL(IF(checklistPesertaKemenkeu!$AY$6:$AY$1005="Direkomendasikan",ROW($6:$1005)-5),929)),KotaKode,2,0),"-"),"")),"")</f>
        <v/>
      </c>
      <c r="J930" t="str">
        <f t="array" aca="1" ref="J930" ca="1">IFERROR(IF(OR(INDEX(checklistPesertaKemenkeu!$N$6:$N$1005,SMALL(IF(checklistPesertaKemenkeu!$AY$6:$AY$1005="Direkomendasikan",ROW($6:$1005)-5),929))="",INDEX(checklistPesertaKemenkeu!$J$6:$J$1005,SMALL(IF(checklistPesertaKemenkeu!$AY$6:$AY$1005="Direkomendasikan",ROW($6:$1005)-5),929))=""),"",IF(AND(COUNTIF(INDIRECT("K_"&amp;MATCH(INDEX(checklistPesertaKemenkeu!$J$6:$J$1005,SMALL(IF(checklistPesertaKemenkeu!$AY$6:$AY$1005="Direkomendasikan",ROW($6:$1005)-5),929)),BidangList,0)),INDEX(checklistPesertaKemenkeu!$N$6:$N$1005,SMALL(IF(checklistPesertaKemenkeu!$AY$6:$AY$1005="Direkomendasikan",ROW($6:$1005)-5),929)))&gt;0,COUNTIF(INDIRECT("'KERTAS KERJA'!K"&amp;(SMALL(IF(checklistPesertaKemenkeu!$AY$6:$AY$1005="Direkomendasikan",ROW($6:$1005)-5),929)+5)&amp;":O"&amp;(SMALL(IF(checklistPesertaKemenkeu!$AY$6:$AY$1005="Direkomendasikan",ROW($6:$1005)-5),929)+5)),INDEX(checklistPesertaKemenkeu!$N$6:$N$1005,SMALL(IF(checklistPesertaKemenkeu!$AY$6:$AY$1005="Direkomendasikan",ROW($6:$1005)-5),929)))=1),IFERROR(VLOOKUP(INDEX(checklistPesertaKemenkeu!$N$6:$N$1005,SMALL(IF(checklistPesertaKemenkeu!$AY$6:$AY$1005="Direkomendasikan",ROW($6:$1005)-5),929)),KotaKode,2,0),"-"),"")),"")</f>
        <v/>
      </c>
      <c r="K930" t="str">
        <f t="array" aca="1" ref="K930" ca="1">IFERROR(IF(OR(INDEX(checklistPesertaKemenkeu!$O$6:$O$1005,SMALL(IF(checklistPesertaKemenkeu!$AY$6:$AY$1005="Direkomendasikan",ROW($6:$1005)-5),929))="",INDEX(checklistPesertaKemenkeu!$J$6:$J$1005,SMALL(IF(checklistPesertaKemenkeu!$AY$6:$AY$1005="Direkomendasikan",ROW($6:$1005)-5),929))=""),"",IF(AND(COUNTIF(INDIRECT("K_"&amp;MATCH(INDEX(checklistPesertaKemenkeu!$J$6:$J$1005,SMALL(IF(checklistPesertaKemenkeu!$AY$6:$AY$1005="Direkomendasikan",ROW($6:$1005)-5),929)),BidangList,0)),INDEX(checklistPesertaKemenkeu!$O$6:$O$1005,SMALL(IF(checklistPesertaKemenkeu!$AY$6:$AY$1005="Direkomendasikan",ROW($6:$1005)-5),929)))&gt;0,COUNTIF(INDIRECT("'KERTAS KERJA'!K"&amp;(SMALL(IF(checklistPesertaKemenkeu!$AY$6:$AY$1005="Direkomendasikan",ROW($6:$1005)-5),929)+5)&amp;":O"&amp;(SMALL(IF(checklistPesertaKemenkeu!$AY$6:$AY$1005="Direkomendasikan",ROW($6:$1005)-5),929)+5)),INDEX(checklistPesertaKemenkeu!$O$6:$O$1005,SMALL(IF(checklistPesertaKemenkeu!$AY$6:$AY$1005="Direkomendasikan",ROW($6:$1005)-5),929)))=1),IFERROR(VLOOKUP(INDEX(checklistPesertaKemenkeu!$O$6:$O$1005,SMALL(IF(checklistPesertaKemenkeu!$AY$6:$AY$1005="Direkomendasikan",ROW($6:$1005)-5),929)),KotaKode,2,0),"-"),"")),"")</f>
        <v/>
      </c>
      <c r="L930" t="str">
        <f t="array" aca="1" ref="L930" ca="1">IFERROR(IF(OR(INDEX(checklistPesertaKemenkeu!$P$6:$P$1005,SMALL(IF(checklistPesertaKemenkeu!$AY$6:$AY$1005="Direkomendasikan",ROW($6:$1005)-5),929))="",INDEX(checklistPesertaKemenkeu!$J$6:$J$1005,SMALL(IF(checklistPesertaKemenkeu!$AY$6:$AY$1005="Direkomendasikan",ROW($6:$1005)-5),929))=""),"",IF(AND(COUNTIF(INDIRECT("K_"&amp;MATCH(INDEX(checklistPesertaKemenkeu!$J$6:$J$1005,SMALL(IF(checklistPesertaKemenkeu!$AY$6:$AY$1005="Direkomendasikan",ROW($6:$1005)-5),929)),BidangList,0)),INDEX(checklistPesertaKemenkeu!$P$6:$P$1005,SMALL(IF(checklistPesertaKemenkeu!$AY$6:$AY$1005="Direkomendasikan",ROW($6:$1005)-5),929)))&gt;0,COUNTIF(INDIRECT("'KERTAS KERJA'!K"&amp;(SMALL(IF(checklistPesertaKemenkeu!$AY$6:$AY$1005="Direkomendasikan",ROW($6:$1005)-5),929)+5)&amp;":O"&amp;(SMALL(IF(checklistPesertaKemenkeu!$AY$6:$AY$1005="Direkomendasikan",ROW($6:$1005)-5),929)+5)),INDEX(checklistPesertaKemenkeu!$P$6:$P$1005,SMALL(IF(checklistPesertaKemenkeu!$AY$6:$AY$1005="Direkomendasikan",ROW($6:$1005)-5),929)))=1),IFERROR(VLOOKUP(INDEX(checklistPesertaKemenkeu!$P$6:$P$1005,SMALL(IF(checklistPesertaKemenkeu!$AY$6:$AY$1005="Direkomendasikan",ROW($6:$1005)-5),929)),KotaKode,2,0),"-"),"")),"")</f>
        <v/>
      </c>
    </row>
    <row r="931" spans="1:12" ht="15" customHeight="1" x14ac:dyDescent="0.2">
      <c r="A931" t="str">
        <f t="shared" si="14"/>
        <v/>
      </c>
      <c r="B931" t="str">
        <v/>
      </c>
      <c r="C931" s="40" t="str">
        <f t="array" ref="C931">IFERROR(INDEX(checklistPesertaKemenkeu!$F$6:$F$1005,SMALL(IF(checklistPesertaKemenkeu!$AY$6:$AY$1005="Direkomendasikan",ROW($6:$1005)-5),930)),"")</f>
        <v/>
      </c>
      <c r="D931" t="str">
        <f t="array" ref="D931">IFERROR(INDEX(checklistPesertaKemenkeu!$G$6:$G$1005,SMALL(IF(checklistPesertaKemenkeu!$AY$6:$AY$1005="Direkomendasikan",ROW($6:$1005)-5),930)),"")</f>
        <v/>
      </c>
      <c r="E931" t="str">
        <f t="array" ref="E931">IFERROR(INDEX(checklistPesertaKemenkeu!$H$6:$H$1005,SMALL(IF(checklistPesertaKemenkeu!$AY$6:$AY$1005="Direkomendasikan",ROW($6:$1005)-5),930)),"")</f>
        <v/>
      </c>
      <c r="F931" t="str">
        <f t="array" ref="F931">IFERROR(INDEX(checklistPesertaKemenkeu!$I$6:$I$1005,SMALL(IF(checklistPesertaKemenkeu!$AY$6:$AY$1005="Direkomendasikan",ROW($6:$1005)-5),930)),"")</f>
        <v/>
      </c>
      <c r="G931" t="str">
        <f t="array" ref="G931">IFERROR(INDEX(checklistPesertaKemenkeu!$J$6:$J$1005,SMALL(IF(checklistPesertaKemenkeu!$AY$6:$AY$1005="Direkomendasikan",ROW($6:$1005)-5),930)),"")</f>
        <v/>
      </c>
      <c r="H931" t="str">
        <f t="array" aca="1" ref="H931" ca="1">IFERROR(IF(OR(INDEX(checklistPesertaKemenkeu!$L$6:$L$1005,SMALL(IF(checklistPesertaKemenkeu!$AY$6:$AY$1005="Direkomendasikan",ROW($6:$1005)-5),930))="",INDEX(checklistPesertaKemenkeu!$J$6:$J$1005,SMALL(IF(checklistPesertaKemenkeu!$AY$6:$AY$1005="Direkomendasikan",ROW($6:$1005)-5),930))=""),"",IF(AND(COUNTIF(INDIRECT("K_"&amp;MATCH(INDEX(checklistPesertaKemenkeu!$J$6:$J$1005,SMALL(IF(checklistPesertaKemenkeu!$AY$6:$AY$1005="Direkomendasikan",ROW($6:$1005)-5),930)),BidangList,0)),INDEX(checklistPesertaKemenkeu!$L$6:$L$1005,SMALL(IF(checklistPesertaKemenkeu!$AY$6:$AY$1005="Direkomendasikan",ROW($6:$1005)-5),930)))&gt;0,COUNTIF(INDIRECT("'KERTAS KERJA'!K"&amp;(SMALL(IF(checklistPesertaKemenkeu!$AY$6:$AY$1005="Direkomendasikan",ROW($6:$1005)-5),930)+5)&amp;":O"&amp;(SMALL(IF(checklistPesertaKemenkeu!$AY$6:$AY$1005="Direkomendasikan",ROW($6:$1005)-5),930)+5)),INDEX(checklistPesertaKemenkeu!$L$6:$L$1005,SMALL(IF(checklistPesertaKemenkeu!$AY$6:$AY$1005="Direkomendasikan",ROW($6:$1005)-5),930)))=1),IFERROR(VLOOKUP(INDEX(checklistPesertaKemenkeu!$L$6:$L$1005,SMALL(IF(checklistPesertaKemenkeu!$AY$6:$AY$1005="Direkomendasikan",ROW($6:$1005)-5),930)),KotaKode,2,0),"-"),"")),"")</f>
        <v/>
      </c>
      <c r="I931" t="str">
        <f t="array" aca="1" ref="I931" ca="1">IFERROR(IF(OR(INDEX(checklistPesertaKemenkeu!$M$6:$M$1005,SMALL(IF(checklistPesertaKemenkeu!$AY$6:$AY$1005="Direkomendasikan",ROW($6:$1005)-5),930))="",INDEX(checklistPesertaKemenkeu!$J$6:$J$1005,SMALL(IF(checklistPesertaKemenkeu!$AY$6:$AY$1005="Direkomendasikan",ROW($6:$1005)-5),930))=""),"",IF(AND(COUNTIF(INDIRECT("K_"&amp;MATCH(INDEX(checklistPesertaKemenkeu!$J$6:$J$1005,SMALL(IF(checklistPesertaKemenkeu!$AY$6:$AY$1005="Direkomendasikan",ROW($6:$1005)-5),930)),BidangList,0)),INDEX(checklistPesertaKemenkeu!$M$6:$M$1005,SMALL(IF(checklistPesertaKemenkeu!$AY$6:$AY$1005="Direkomendasikan",ROW($6:$1005)-5),930)))&gt;0,COUNTIF(INDIRECT("'KERTAS KERJA'!K"&amp;(SMALL(IF(checklistPesertaKemenkeu!$AY$6:$AY$1005="Direkomendasikan",ROW($6:$1005)-5),930)+5)&amp;":O"&amp;(SMALL(IF(checklistPesertaKemenkeu!$AY$6:$AY$1005="Direkomendasikan",ROW($6:$1005)-5),930)+5)),INDEX(checklistPesertaKemenkeu!$M$6:$M$1005,SMALL(IF(checklistPesertaKemenkeu!$AY$6:$AY$1005="Direkomendasikan",ROW($6:$1005)-5),930)))=1),IFERROR(VLOOKUP(INDEX(checklistPesertaKemenkeu!$M$6:$M$1005,SMALL(IF(checklistPesertaKemenkeu!$AY$6:$AY$1005="Direkomendasikan",ROW($6:$1005)-5),930)),KotaKode,2,0),"-"),"")),"")</f>
        <v/>
      </c>
      <c r="J931" t="str">
        <f t="array" aca="1" ref="J931" ca="1">IFERROR(IF(OR(INDEX(checklistPesertaKemenkeu!$N$6:$N$1005,SMALL(IF(checklistPesertaKemenkeu!$AY$6:$AY$1005="Direkomendasikan",ROW($6:$1005)-5),930))="",INDEX(checklistPesertaKemenkeu!$J$6:$J$1005,SMALL(IF(checklistPesertaKemenkeu!$AY$6:$AY$1005="Direkomendasikan",ROW($6:$1005)-5),930))=""),"",IF(AND(COUNTIF(INDIRECT("K_"&amp;MATCH(INDEX(checklistPesertaKemenkeu!$J$6:$J$1005,SMALL(IF(checklistPesertaKemenkeu!$AY$6:$AY$1005="Direkomendasikan",ROW($6:$1005)-5),930)),BidangList,0)),INDEX(checklistPesertaKemenkeu!$N$6:$N$1005,SMALL(IF(checklistPesertaKemenkeu!$AY$6:$AY$1005="Direkomendasikan",ROW($6:$1005)-5),930)))&gt;0,COUNTIF(INDIRECT("'KERTAS KERJA'!K"&amp;(SMALL(IF(checklistPesertaKemenkeu!$AY$6:$AY$1005="Direkomendasikan",ROW($6:$1005)-5),930)+5)&amp;":O"&amp;(SMALL(IF(checklistPesertaKemenkeu!$AY$6:$AY$1005="Direkomendasikan",ROW($6:$1005)-5),930)+5)),INDEX(checklistPesertaKemenkeu!$N$6:$N$1005,SMALL(IF(checklistPesertaKemenkeu!$AY$6:$AY$1005="Direkomendasikan",ROW($6:$1005)-5),930)))=1),IFERROR(VLOOKUP(INDEX(checklistPesertaKemenkeu!$N$6:$N$1005,SMALL(IF(checklistPesertaKemenkeu!$AY$6:$AY$1005="Direkomendasikan",ROW($6:$1005)-5),930)),KotaKode,2,0),"-"),"")),"")</f>
        <v/>
      </c>
      <c r="K931" t="str">
        <f t="array" aca="1" ref="K931" ca="1">IFERROR(IF(OR(INDEX(checklistPesertaKemenkeu!$O$6:$O$1005,SMALL(IF(checklistPesertaKemenkeu!$AY$6:$AY$1005="Direkomendasikan",ROW($6:$1005)-5),930))="",INDEX(checklistPesertaKemenkeu!$J$6:$J$1005,SMALL(IF(checklistPesertaKemenkeu!$AY$6:$AY$1005="Direkomendasikan",ROW($6:$1005)-5),930))=""),"",IF(AND(COUNTIF(INDIRECT("K_"&amp;MATCH(INDEX(checklistPesertaKemenkeu!$J$6:$J$1005,SMALL(IF(checklistPesertaKemenkeu!$AY$6:$AY$1005="Direkomendasikan",ROW($6:$1005)-5),930)),BidangList,0)),INDEX(checklistPesertaKemenkeu!$O$6:$O$1005,SMALL(IF(checklistPesertaKemenkeu!$AY$6:$AY$1005="Direkomendasikan",ROW($6:$1005)-5),930)))&gt;0,COUNTIF(INDIRECT("'KERTAS KERJA'!K"&amp;(SMALL(IF(checklistPesertaKemenkeu!$AY$6:$AY$1005="Direkomendasikan",ROW($6:$1005)-5),930)+5)&amp;":O"&amp;(SMALL(IF(checklistPesertaKemenkeu!$AY$6:$AY$1005="Direkomendasikan",ROW($6:$1005)-5),930)+5)),INDEX(checklistPesertaKemenkeu!$O$6:$O$1005,SMALL(IF(checklistPesertaKemenkeu!$AY$6:$AY$1005="Direkomendasikan",ROW($6:$1005)-5),930)))=1),IFERROR(VLOOKUP(INDEX(checklistPesertaKemenkeu!$O$6:$O$1005,SMALL(IF(checklistPesertaKemenkeu!$AY$6:$AY$1005="Direkomendasikan",ROW($6:$1005)-5),930)),KotaKode,2,0),"-"),"")),"")</f>
        <v/>
      </c>
      <c r="L931" t="str">
        <f t="array" aca="1" ref="L931" ca="1">IFERROR(IF(OR(INDEX(checklistPesertaKemenkeu!$P$6:$P$1005,SMALL(IF(checklistPesertaKemenkeu!$AY$6:$AY$1005="Direkomendasikan",ROW($6:$1005)-5),930))="",INDEX(checklistPesertaKemenkeu!$J$6:$J$1005,SMALL(IF(checklistPesertaKemenkeu!$AY$6:$AY$1005="Direkomendasikan",ROW($6:$1005)-5),930))=""),"",IF(AND(COUNTIF(INDIRECT("K_"&amp;MATCH(INDEX(checklistPesertaKemenkeu!$J$6:$J$1005,SMALL(IF(checklistPesertaKemenkeu!$AY$6:$AY$1005="Direkomendasikan",ROW($6:$1005)-5),930)),BidangList,0)),INDEX(checklistPesertaKemenkeu!$P$6:$P$1005,SMALL(IF(checklistPesertaKemenkeu!$AY$6:$AY$1005="Direkomendasikan",ROW($6:$1005)-5),930)))&gt;0,COUNTIF(INDIRECT("'KERTAS KERJA'!K"&amp;(SMALL(IF(checklistPesertaKemenkeu!$AY$6:$AY$1005="Direkomendasikan",ROW($6:$1005)-5),930)+5)&amp;":O"&amp;(SMALL(IF(checklistPesertaKemenkeu!$AY$6:$AY$1005="Direkomendasikan",ROW($6:$1005)-5),930)+5)),INDEX(checklistPesertaKemenkeu!$P$6:$P$1005,SMALL(IF(checklistPesertaKemenkeu!$AY$6:$AY$1005="Direkomendasikan",ROW($6:$1005)-5),930)))=1),IFERROR(VLOOKUP(INDEX(checklistPesertaKemenkeu!$P$6:$P$1005,SMALL(IF(checklistPesertaKemenkeu!$AY$6:$AY$1005="Direkomendasikan",ROW($6:$1005)-5),930)),KotaKode,2,0),"-"),"")),"")</f>
        <v/>
      </c>
    </row>
    <row r="932" spans="1:12" ht="15" customHeight="1" x14ac:dyDescent="0.2">
      <c r="A932" t="str">
        <f t="shared" si="14"/>
        <v/>
      </c>
      <c r="B932" t="str">
        <v/>
      </c>
      <c r="C932" s="40" t="str">
        <f t="array" ref="C932">IFERROR(INDEX(checklistPesertaKemenkeu!$F$6:$F$1005,SMALL(IF(checklistPesertaKemenkeu!$AY$6:$AY$1005="Direkomendasikan",ROW($6:$1005)-5),931)),"")</f>
        <v/>
      </c>
      <c r="D932" t="str">
        <f t="array" ref="D932">IFERROR(INDEX(checklistPesertaKemenkeu!$G$6:$G$1005,SMALL(IF(checklistPesertaKemenkeu!$AY$6:$AY$1005="Direkomendasikan",ROW($6:$1005)-5),931)),"")</f>
        <v/>
      </c>
      <c r="E932" t="str">
        <f t="array" ref="E932">IFERROR(INDEX(checklistPesertaKemenkeu!$H$6:$H$1005,SMALL(IF(checklistPesertaKemenkeu!$AY$6:$AY$1005="Direkomendasikan",ROW($6:$1005)-5),931)),"")</f>
        <v/>
      </c>
      <c r="F932" t="str">
        <f t="array" ref="F932">IFERROR(INDEX(checklistPesertaKemenkeu!$I$6:$I$1005,SMALL(IF(checklistPesertaKemenkeu!$AY$6:$AY$1005="Direkomendasikan",ROW($6:$1005)-5),931)),"")</f>
        <v/>
      </c>
      <c r="G932" t="str">
        <f t="array" ref="G932">IFERROR(INDEX(checklistPesertaKemenkeu!$J$6:$J$1005,SMALL(IF(checklistPesertaKemenkeu!$AY$6:$AY$1005="Direkomendasikan",ROW($6:$1005)-5),931)),"")</f>
        <v/>
      </c>
      <c r="H932" t="str">
        <f t="array" aca="1" ref="H932" ca="1">IFERROR(IF(OR(INDEX(checklistPesertaKemenkeu!$L$6:$L$1005,SMALL(IF(checklistPesertaKemenkeu!$AY$6:$AY$1005="Direkomendasikan",ROW($6:$1005)-5),931))="",INDEX(checklistPesertaKemenkeu!$J$6:$J$1005,SMALL(IF(checklistPesertaKemenkeu!$AY$6:$AY$1005="Direkomendasikan",ROW($6:$1005)-5),931))=""),"",IF(AND(COUNTIF(INDIRECT("K_"&amp;MATCH(INDEX(checklistPesertaKemenkeu!$J$6:$J$1005,SMALL(IF(checklistPesertaKemenkeu!$AY$6:$AY$1005="Direkomendasikan",ROW($6:$1005)-5),931)),BidangList,0)),INDEX(checklistPesertaKemenkeu!$L$6:$L$1005,SMALL(IF(checklistPesertaKemenkeu!$AY$6:$AY$1005="Direkomendasikan",ROW($6:$1005)-5),931)))&gt;0,COUNTIF(INDIRECT("'KERTAS KERJA'!K"&amp;(SMALL(IF(checklistPesertaKemenkeu!$AY$6:$AY$1005="Direkomendasikan",ROW($6:$1005)-5),931)+5)&amp;":O"&amp;(SMALL(IF(checklistPesertaKemenkeu!$AY$6:$AY$1005="Direkomendasikan",ROW($6:$1005)-5),931)+5)),INDEX(checklistPesertaKemenkeu!$L$6:$L$1005,SMALL(IF(checklistPesertaKemenkeu!$AY$6:$AY$1005="Direkomendasikan",ROW($6:$1005)-5),931)))=1),IFERROR(VLOOKUP(INDEX(checklistPesertaKemenkeu!$L$6:$L$1005,SMALL(IF(checklistPesertaKemenkeu!$AY$6:$AY$1005="Direkomendasikan",ROW($6:$1005)-5),931)),KotaKode,2,0),"-"),"")),"")</f>
        <v/>
      </c>
      <c r="I932" t="str">
        <f t="array" aca="1" ref="I932" ca="1">IFERROR(IF(OR(INDEX(checklistPesertaKemenkeu!$M$6:$M$1005,SMALL(IF(checklistPesertaKemenkeu!$AY$6:$AY$1005="Direkomendasikan",ROW($6:$1005)-5),931))="",INDEX(checklistPesertaKemenkeu!$J$6:$J$1005,SMALL(IF(checklistPesertaKemenkeu!$AY$6:$AY$1005="Direkomendasikan",ROW($6:$1005)-5),931))=""),"",IF(AND(COUNTIF(INDIRECT("K_"&amp;MATCH(INDEX(checklistPesertaKemenkeu!$J$6:$J$1005,SMALL(IF(checklistPesertaKemenkeu!$AY$6:$AY$1005="Direkomendasikan",ROW($6:$1005)-5),931)),BidangList,0)),INDEX(checklistPesertaKemenkeu!$M$6:$M$1005,SMALL(IF(checklistPesertaKemenkeu!$AY$6:$AY$1005="Direkomendasikan",ROW($6:$1005)-5),931)))&gt;0,COUNTIF(INDIRECT("'KERTAS KERJA'!K"&amp;(SMALL(IF(checklistPesertaKemenkeu!$AY$6:$AY$1005="Direkomendasikan",ROW($6:$1005)-5),931)+5)&amp;":O"&amp;(SMALL(IF(checklistPesertaKemenkeu!$AY$6:$AY$1005="Direkomendasikan",ROW($6:$1005)-5),931)+5)),INDEX(checklistPesertaKemenkeu!$M$6:$M$1005,SMALL(IF(checklistPesertaKemenkeu!$AY$6:$AY$1005="Direkomendasikan",ROW($6:$1005)-5),931)))=1),IFERROR(VLOOKUP(INDEX(checklistPesertaKemenkeu!$M$6:$M$1005,SMALL(IF(checklistPesertaKemenkeu!$AY$6:$AY$1005="Direkomendasikan",ROW($6:$1005)-5),931)),KotaKode,2,0),"-"),"")),"")</f>
        <v/>
      </c>
      <c r="J932" t="str">
        <f t="array" aca="1" ref="J932" ca="1">IFERROR(IF(OR(INDEX(checklistPesertaKemenkeu!$N$6:$N$1005,SMALL(IF(checklistPesertaKemenkeu!$AY$6:$AY$1005="Direkomendasikan",ROW($6:$1005)-5),931))="",INDEX(checklistPesertaKemenkeu!$J$6:$J$1005,SMALL(IF(checklistPesertaKemenkeu!$AY$6:$AY$1005="Direkomendasikan",ROW($6:$1005)-5),931))=""),"",IF(AND(COUNTIF(INDIRECT("K_"&amp;MATCH(INDEX(checklistPesertaKemenkeu!$J$6:$J$1005,SMALL(IF(checklistPesertaKemenkeu!$AY$6:$AY$1005="Direkomendasikan",ROW($6:$1005)-5),931)),BidangList,0)),INDEX(checklistPesertaKemenkeu!$N$6:$N$1005,SMALL(IF(checklistPesertaKemenkeu!$AY$6:$AY$1005="Direkomendasikan",ROW($6:$1005)-5),931)))&gt;0,COUNTIF(INDIRECT("'KERTAS KERJA'!K"&amp;(SMALL(IF(checklistPesertaKemenkeu!$AY$6:$AY$1005="Direkomendasikan",ROW($6:$1005)-5),931)+5)&amp;":O"&amp;(SMALL(IF(checklistPesertaKemenkeu!$AY$6:$AY$1005="Direkomendasikan",ROW($6:$1005)-5),931)+5)),INDEX(checklistPesertaKemenkeu!$N$6:$N$1005,SMALL(IF(checklistPesertaKemenkeu!$AY$6:$AY$1005="Direkomendasikan",ROW($6:$1005)-5),931)))=1),IFERROR(VLOOKUP(INDEX(checklistPesertaKemenkeu!$N$6:$N$1005,SMALL(IF(checklistPesertaKemenkeu!$AY$6:$AY$1005="Direkomendasikan",ROW($6:$1005)-5),931)),KotaKode,2,0),"-"),"")),"")</f>
        <v/>
      </c>
      <c r="K932" t="str">
        <f t="array" aca="1" ref="K932" ca="1">IFERROR(IF(OR(INDEX(checklistPesertaKemenkeu!$O$6:$O$1005,SMALL(IF(checklistPesertaKemenkeu!$AY$6:$AY$1005="Direkomendasikan",ROW($6:$1005)-5),931))="",INDEX(checklistPesertaKemenkeu!$J$6:$J$1005,SMALL(IF(checklistPesertaKemenkeu!$AY$6:$AY$1005="Direkomendasikan",ROW($6:$1005)-5),931))=""),"",IF(AND(COUNTIF(INDIRECT("K_"&amp;MATCH(INDEX(checklistPesertaKemenkeu!$J$6:$J$1005,SMALL(IF(checklistPesertaKemenkeu!$AY$6:$AY$1005="Direkomendasikan",ROW($6:$1005)-5),931)),BidangList,0)),INDEX(checklistPesertaKemenkeu!$O$6:$O$1005,SMALL(IF(checklistPesertaKemenkeu!$AY$6:$AY$1005="Direkomendasikan",ROW($6:$1005)-5),931)))&gt;0,COUNTIF(INDIRECT("'KERTAS KERJA'!K"&amp;(SMALL(IF(checklistPesertaKemenkeu!$AY$6:$AY$1005="Direkomendasikan",ROW($6:$1005)-5),931)+5)&amp;":O"&amp;(SMALL(IF(checklistPesertaKemenkeu!$AY$6:$AY$1005="Direkomendasikan",ROW($6:$1005)-5),931)+5)),INDEX(checklistPesertaKemenkeu!$O$6:$O$1005,SMALL(IF(checklistPesertaKemenkeu!$AY$6:$AY$1005="Direkomendasikan",ROW($6:$1005)-5),931)))=1),IFERROR(VLOOKUP(INDEX(checklistPesertaKemenkeu!$O$6:$O$1005,SMALL(IF(checklistPesertaKemenkeu!$AY$6:$AY$1005="Direkomendasikan",ROW($6:$1005)-5),931)),KotaKode,2,0),"-"),"")),"")</f>
        <v/>
      </c>
      <c r="L932" t="str">
        <f t="array" aca="1" ref="L932" ca="1">IFERROR(IF(OR(INDEX(checklistPesertaKemenkeu!$P$6:$P$1005,SMALL(IF(checklistPesertaKemenkeu!$AY$6:$AY$1005="Direkomendasikan",ROW($6:$1005)-5),931))="",INDEX(checklistPesertaKemenkeu!$J$6:$J$1005,SMALL(IF(checklistPesertaKemenkeu!$AY$6:$AY$1005="Direkomendasikan",ROW($6:$1005)-5),931))=""),"",IF(AND(COUNTIF(INDIRECT("K_"&amp;MATCH(INDEX(checklistPesertaKemenkeu!$J$6:$J$1005,SMALL(IF(checklistPesertaKemenkeu!$AY$6:$AY$1005="Direkomendasikan",ROW($6:$1005)-5),931)),BidangList,0)),INDEX(checklistPesertaKemenkeu!$P$6:$P$1005,SMALL(IF(checklistPesertaKemenkeu!$AY$6:$AY$1005="Direkomendasikan",ROW($6:$1005)-5),931)))&gt;0,COUNTIF(INDIRECT("'KERTAS KERJA'!K"&amp;(SMALL(IF(checklistPesertaKemenkeu!$AY$6:$AY$1005="Direkomendasikan",ROW($6:$1005)-5),931)+5)&amp;":O"&amp;(SMALL(IF(checklistPesertaKemenkeu!$AY$6:$AY$1005="Direkomendasikan",ROW($6:$1005)-5),931)+5)),INDEX(checklistPesertaKemenkeu!$P$6:$P$1005,SMALL(IF(checklistPesertaKemenkeu!$AY$6:$AY$1005="Direkomendasikan",ROW($6:$1005)-5),931)))=1),IFERROR(VLOOKUP(INDEX(checklistPesertaKemenkeu!$P$6:$P$1005,SMALL(IF(checklistPesertaKemenkeu!$AY$6:$AY$1005="Direkomendasikan",ROW($6:$1005)-5),931)),KotaKode,2,0),"-"),"")),"")</f>
        <v/>
      </c>
    </row>
    <row r="933" spans="1:12" ht="15" customHeight="1" x14ac:dyDescent="0.2">
      <c r="A933" t="str">
        <f t="shared" si="14"/>
        <v/>
      </c>
      <c r="B933" t="str">
        <v/>
      </c>
      <c r="C933" s="40" t="str">
        <f t="array" ref="C933">IFERROR(INDEX(checklistPesertaKemenkeu!$F$6:$F$1005,SMALL(IF(checklistPesertaKemenkeu!$AY$6:$AY$1005="Direkomendasikan",ROW($6:$1005)-5),932)),"")</f>
        <v/>
      </c>
      <c r="D933" t="str">
        <f t="array" ref="D933">IFERROR(INDEX(checklistPesertaKemenkeu!$G$6:$G$1005,SMALL(IF(checklistPesertaKemenkeu!$AY$6:$AY$1005="Direkomendasikan",ROW($6:$1005)-5),932)),"")</f>
        <v/>
      </c>
      <c r="E933" t="str">
        <f t="array" ref="E933">IFERROR(INDEX(checklistPesertaKemenkeu!$H$6:$H$1005,SMALL(IF(checklistPesertaKemenkeu!$AY$6:$AY$1005="Direkomendasikan",ROW($6:$1005)-5),932)),"")</f>
        <v/>
      </c>
      <c r="F933" t="str">
        <f t="array" ref="F933">IFERROR(INDEX(checklistPesertaKemenkeu!$I$6:$I$1005,SMALL(IF(checklistPesertaKemenkeu!$AY$6:$AY$1005="Direkomendasikan",ROW($6:$1005)-5),932)),"")</f>
        <v/>
      </c>
      <c r="G933" t="str">
        <f t="array" ref="G933">IFERROR(INDEX(checklistPesertaKemenkeu!$J$6:$J$1005,SMALL(IF(checklistPesertaKemenkeu!$AY$6:$AY$1005="Direkomendasikan",ROW($6:$1005)-5),932)),"")</f>
        <v/>
      </c>
      <c r="H933" t="str">
        <f t="array" aca="1" ref="H933" ca="1">IFERROR(IF(OR(INDEX(checklistPesertaKemenkeu!$L$6:$L$1005,SMALL(IF(checklistPesertaKemenkeu!$AY$6:$AY$1005="Direkomendasikan",ROW($6:$1005)-5),932))="",INDEX(checklistPesertaKemenkeu!$J$6:$J$1005,SMALL(IF(checklistPesertaKemenkeu!$AY$6:$AY$1005="Direkomendasikan",ROW($6:$1005)-5),932))=""),"",IF(AND(COUNTIF(INDIRECT("K_"&amp;MATCH(INDEX(checklistPesertaKemenkeu!$J$6:$J$1005,SMALL(IF(checklistPesertaKemenkeu!$AY$6:$AY$1005="Direkomendasikan",ROW($6:$1005)-5),932)),BidangList,0)),INDEX(checklistPesertaKemenkeu!$L$6:$L$1005,SMALL(IF(checklistPesertaKemenkeu!$AY$6:$AY$1005="Direkomendasikan",ROW($6:$1005)-5),932)))&gt;0,COUNTIF(INDIRECT("'KERTAS KERJA'!K"&amp;(SMALL(IF(checklistPesertaKemenkeu!$AY$6:$AY$1005="Direkomendasikan",ROW($6:$1005)-5),932)+5)&amp;":O"&amp;(SMALL(IF(checklistPesertaKemenkeu!$AY$6:$AY$1005="Direkomendasikan",ROW($6:$1005)-5),932)+5)),INDEX(checklistPesertaKemenkeu!$L$6:$L$1005,SMALL(IF(checklistPesertaKemenkeu!$AY$6:$AY$1005="Direkomendasikan",ROW($6:$1005)-5),932)))=1),IFERROR(VLOOKUP(INDEX(checklistPesertaKemenkeu!$L$6:$L$1005,SMALL(IF(checklistPesertaKemenkeu!$AY$6:$AY$1005="Direkomendasikan",ROW($6:$1005)-5),932)),KotaKode,2,0),"-"),"")),"")</f>
        <v/>
      </c>
      <c r="I933" t="str">
        <f t="array" aca="1" ref="I933" ca="1">IFERROR(IF(OR(INDEX(checklistPesertaKemenkeu!$M$6:$M$1005,SMALL(IF(checklistPesertaKemenkeu!$AY$6:$AY$1005="Direkomendasikan",ROW($6:$1005)-5),932))="",INDEX(checklistPesertaKemenkeu!$J$6:$J$1005,SMALL(IF(checklistPesertaKemenkeu!$AY$6:$AY$1005="Direkomendasikan",ROW($6:$1005)-5),932))=""),"",IF(AND(COUNTIF(INDIRECT("K_"&amp;MATCH(INDEX(checklistPesertaKemenkeu!$J$6:$J$1005,SMALL(IF(checklistPesertaKemenkeu!$AY$6:$AY$1005="Direkomendasikan",ROW($6:$1005)-5),932)),BidangList,0)),INDEX(checklistPesertaKemenkeu!$M$6:$M$1005,SMALL(IF(checklistPesertaKemenkeu!$AY$6:$AY$1005="Direkomendasikan",ROW($6:$1005)-5),932)))&gt;0,COUNTIF(INDIRECT("'KERTAS KERJA'!K"&amp;(SMALL(IF(checklistPesertaKemenkeu!$AY$6:$AY$1005="Direkomendasikan",ROW($6:$1005)-5),932)+5)&amp;":O"&amp;(SMALL(IF(checklistPesertaKemenkeu!$AY$6:$AY$1005="Direkomendasikan",ROW($6:$1005)-5),932)+5)),INDEX(checklistPesertaKemenkeu!$M$6:$M$1005,SMALL(IF(checklistPesertaKemenkeu!$AY$6:$AY$1005="Direkomendasikan",ROW($6:$1005)-5),932)))=1),IFERROR(VLOOKUP(INDEX(checklistPesertaKemenkeu!$M$6:$M$1005,SMALL(IF(checklistPesertaKemenkeu!$AY$6:$AY$1005="Direkomendasikan",ROW($6:$1005)-5),932)),KotaKode,2,0),"-"),"")),"")</f>
        <v/>
      </c>
      <c r="J933" t="str">
        <f t="array" aca="1" ref="J933" ca="1">IFERROR(IF(OR(INDEX(checklistPesertaKemenkeu!$N$6:$N$1005,SMALL(IF(checklistPesertaKemenkeu!$AY$6:$AY$1005="Direkomendasikan",ROW($6:$1005)-5),932))="",INDEX(checklistPesertaKemenkeu!$J$6:$J$1005,SMALL(IF(checklistPesertaKemenkeu!$AY$6:$AY$1005="Direkomendasikan",ROW($6:$1005)-5),932))=""),"",IF(AND(COUNTIF(INDIRECT("K_"&amp;MATCH(INDEX(checklistPesertaKemenkeu!$J$6:$J$1005,SMALL(IF(checklistPesertaKemenkeu!$AY$6:$AY$1005="Direkomendasikan",ROW($6:$1005)-5),932)),BidangList,0)),INDEX(checklistPesertaKemenkeu!$N$6:$N$1005,SMALL(IF(checklistPesertaKemenkeu!$AY$6:$AY$1005="Direkomendasikan",ROW($6:$1005)-5),932)))&gt;0,COUNTIF(INDIRECT("'KERTAS KERJA'!K"&amp;(SMALL(IF(checklistPesertaKemenkeu!$AY$6:$AY$1005="Direkomendasikan",ROW($6:$1005)-5),932)+5)&amp;":O"&amp;(SMALL(IF(checklistPesertaKemenkeu!$AY$6:$AY$1005="Direkomendasikan",ROW($6:$1005)-5),932)+5)),INDEX(checklistPesertaKemenkeu!$N$6:$N$1005,SMALL(IF(checklistPesertaKemenkeu!$AY$6:$AY$1005="Direkomendasikan",ROW($6:$1005)-5),932)))=1),IFERROR(VLOOKUP(INDEX(checklistPesertaKemenkeu!$N$6:$N$1005,SMALL(IF(checklistPesertaKemenkeu!$AY$6:$AY$1005="Direkomendasikan",ROW($6:$1005)-5),932)),KotaKode,2,0),"-"),"")),"")</f>
        <v/>
      </c>
      <c r="K933" t="str">
        <f t="array" aca="1" ref="K933" ca="1">IFERROR(IF(OR(INDEX(checklistPesertaKemenkeu!$O$6:$O$1005,SMALL(IF(checklistPesertaKemenkeu!$AY$6:$AY$1005="Direkomendasikan",ROW($6:$1005)-5),932))="",INDEX(checklistPesertaKemenkeu!$J$6:$J$1005,SMALL(IF(checklistPesertaKemenkeu!$AY$6:$AY$1005="Direkomendasikan",ROW($6:$1005)-5),932))=""),"",IF(AND(COUNTIF(INDIRECT("K_"&amp;MATCH(INDEX(checklistPesertaKemenkeu!$J$6:$J$1005,SMALL(IF(checklistPesertaKemenkeu!$AY$6:$AY$1005="Direkomendasikan",ROW($6:$1005)-5),932)),BidangList,0)),INDEX(checklistPesertaKemenkeu!$O$6:$O$1005,SMALL(IF(checklistPesertaKemenkeu!$AY$6:$AY$1005="Direkomendasikan",ROW($6:$1005)-5),932)))&gt;0,COUNTIF(INDIRECT("'KERTAS KERJA'!K"&amp;(SMALL(IF(checklistPesertaKemenkeu!$AY$6:$AY$1005="Direkomendasikan",ROW($6:$1005)-5),932)+5)&amp;":O"&amp;(SMALL(IF(checklistPesertaKemenkeu!$AY$6:$AY$1005="Direkomendasikan",ROW($6:$1005)-5),932)+5)),INDEX(checklistPesertaKemenkeu!$O$6:$O$1005,SMALL(IF(checklistPesertaKemenkeu!$AY$6:$AY$1005="Direkomendasikan",ROW($6:$1005)-5),932)))=1),IFERROR(VLOOKUP(INDEX(checklistPesertaKemenkeu!$O$6:$O$1005,SMALL(IF(checklistPesertaKemenkeu!$AY$6:$AY$1005="Direkomendasikan",ROW($6:$1005)-5),932)),KotaKode,2,0),"-"),"")),"")</f>
        <v/>
      </c>
      <c r="L933" t="str">
        <f t="array" aca="1" ref="L933" ca="1">IFERROR(IF(OR(INDEX(checklistPesertaKemenkeu!$P$6:$P$1005,SMALL(IF(checklistPesertaKemenkeu!$AY$6:$AY$1005="Direkomendasikan",ROW($6:$1005)-5),932))="",INDEX(checklistPesertaKemenkeu!$J$6:$J$1005,SMALL(IF(checklistPesertaKemenkeu!$AY$6:$AY$1005="Direkomendasikan",ROW($6:$1005)-5),932))=""),"",IF(AND(COUNTIF(INDIRECT("K_"&amp;MATCH(INDEX(checklistPesertaKemenkeu!$J$6:$J$1005,SMALL(IF(checklistPesertaKemenkeu!$AY$6:$AY$1005="Direkomendasikan",ROW($6:$1005)-5),932)),BidangList,0)),INDEX(checklistPesertaKemenkeu!$P$6:$P$1005,SMALL(IF(checklistPesertaKemenkeu!$AY$6:$AY$1005="Direkomendasikan",ROW($6:$1005)-5),932)))&gt;0,COUNTIF(INDIRECT("'KERTAS KERJA'!K"&amp;(SMALL(IF(checklistPesertaKemenkeu!$AY$6:$AY$1005="Direkomendasikan",ROW($6:$1005)-5),932)+5)&amp;":O"&amp;(SMALL(IF(checklistPesertaKemenkeu!$AY$6:$AY$1005="Direkomendasikan",ROW($6:$1005)-5),932)+5)),INDEX(checklistPesertaKemenkeu!$P$6:$P$1005,SMALL(IF(checklistPesertaKemenkeu!$AY$6:$AY$1005="Direkomendasikan",ROW($6:$1005)-5),932)))=1),IFERROR(VLOOKUP(INDEX(checklistPesertaKemenkeu!$P$6:$P$1005,SMALL(IF(checklistPesertaKemenkeu!$AY$6:$AY$1005="Direkomendasikan",ROW($6:$1005)-5),932)),KotaKode,2,0),"-"),"")),"")</f>
        <v/>
      </c>
    </row>
    <row r="934" spans="1:12" ht="15" customHeight="1" x14ac:dyDescent="0.2">
      <c r="A934" t="str">
        <f t="shared" si="14"/>
        <v/>
      </c>
      <c r="B934" t="str">
        <v/>
      </c>
      <c r="C934" s="40" t="str">
        <f t="array" ref="C934">IFERROR(INDEX(checklistPesertaKemenkeu!$F$6:$F$1005,SMALL(IF(checklistPesertaKemenkeu!$AY$6:$AY$1005="Direkomendasikan",ROW($6:$1005)-5),933)),"")</f>
        <v/>
      </c>
      <c r="D934" t="str">
        <f t="array" ref="D934">IFERROR(INDEX(checklistPesertaKemenkeu!$G$6:$G$1005,SMALL(IF(checklistPesertaKemenkeu!$AY$6:$AY$1005="Direkomendasikan",ROW($6:$1005)-5),933)),"")</f>
        <v/>
      </c>
      <c r="E934" t="str">
        <f t="array" ref="E934">IFERROR(INDEX(checklistPesertaKemenkeu!$H$6:$H$1005,SMALL(IF(checklistPesertaKemenkeu!$AY$6:$AY$1005="Direkomendasikan",ROW($6:$1005)-5),933)),"")</f>
        <v/>
      </c>
      <c r="F934" t="str">
        <f t="array" ref="F934">IFERROR(INDEX(checklistPesertaKemenkeu!$I$6:$I$1005,SMALL(IF(checklistPesertaKemenkeu!$AY$6:$AY$1005="Direkomendasikan",ROW($6:$1005)-5),933)),"")</f>
        <v/>
      </c>
      <c r="G934" t="str">
        <f t="array" ref="G934">IFERROR(INDEX(checklistPesertaKemenkeu!$J$6:$J$1005,SMALL(IF(checklistPesertaKemenkeu!$AY$6:$AY$1005="Direkomendasikan",ROW($6:$1005)-5),933)),"")</f>
        <v/>
      </c>
      <c r="H934" t="str">
        <f t="array" aca="1" ref="H934" ca="1">IFERROR(IF(OR(INDEX(checklistPesertaKemenkeu!$L$6:$L$1005,SMALL(IF(checklistPesertaKemenkeu!$AY$6:$AY$1005="Direkomendasikan",ROW($6:$1005)-5),933))="",INDEX(checklistPesertaKemenkeu!$J$6:$J$1005,SMALL(IF(checklistPesertaKemenkeu!$AY$6:$AY$1005="Direkomendasikan",ROW($6:$1005)-5),933))=""),"",IF(AND(COUNTIF(INDIRECT("K_"&amp;MATCH(INDEX(checklistPesertaKemenkeu!$J$6:$J$1005,SMALL(IF(checklistPesertaKemenkeu!$AY$6:$AY$1005="Direkomendasikan",ROW($6:$1005)-5),933)),BidangList,0)),INDEX(checklistPesertaKemenkeu!$L$6:$L$1005,SMALL(IF(checklistPesertaKemenkeu!$AY$6:$AY$1005="Direkomendasikan",ROW($6:$1005)-5),933)))&gt;0,COUNTIF(INDIRECT("'KERTAS KERJA'!K"&amp;(SMALL(IF(checklistPesertaKemenkeu!$AY$6:$AY$1005="Direkomendasikan",ROW($6:$1005)-5),933)+5)&amp;":O"&amp;(SMALL(IF(checklistPesertaKemenkeu!$AY$6:$AY$1005="Direkomendasikan",ROW($6:$1005)-5),933)+5)),INDEX(checklistPesertaKemenkeu!$L$6:$L$1005,SMALL(IF(checklistPesertaKemenkeu!$AY$6:$AY$1005="Direkomendasikan",ROW($6:$1005)-5),933)))=1),IFERROR(VLOOKUP(INDEX(checklistPesertaKemenkeu!$L$6:$L$1005,SMALL(IF(checklistPesertaKemenkeu!$AY$6:$AY$1005="Direkomendasikan",ROW($6:$1005)-5),933)),KotaKode,2,0),"-"),"")),"")</f>
        <v/>
      </c>
      <c r="I934" t="str">
        <f t="array" aca="1" ref="I934" ca="1">IFERROR(IF(OR(INDEX(checklistPesertaKemenkeu!$M$6:$M$1005,SMALL(IF(checklistPesertaKemenkeu!$AY$6:$AY$1005="Direkomendasikan",ROW($6:$1005)-5),933))="",INDEX(checklistPesertaKemenkeu!$J$6:$J$1005,SMALL(IF(checklistPesertaKemenkeu!$AY$6:$AY$1005="Direkomendasikan",ROW($6:$1005)-5),933))=""),"",IF(AND(COUNTIF(INDIRECT("K_"&amp;MATCH(INDEX(checklistPesertaKemenkeu!$J$6:$J$1005,SMALL(IF(checklistPesertaKemenkeu!$AY$6:$AY$1005="Direkomendasikan",ROW($6:$1005)-5),933)),BidangList,0)),INDEX(checklistPesertaKemenkeu!$M$6:$M$1005,SMALL(IF(checklistPesertaKemenkeu!$AY$6:$AY$1005="Direkomendasikan",ROW($6:$1005)-5),933)))&gt;0,COUNTIF(INDIRECT("'KERTAS KERJA'!K"&amp;(SMALL(IF(checklistPesertaKemenkeu!$AY$6:$AY$1005="Direkomendasikan",ROW($6:$1005)-5),933)+5)&amp;":O"&amp;(SMALL(IF(checklistPesertaKemenkeu!$AY$6:$AY$1005="Direkomendasikan",ROW($6:$1005)-5),933)+5)),INDEX(checklistPesertaKemenkeu!$M$6:$M$1005,SMALL(IF(checklistPesertaKemenkeu!$AY$6:$AY$1005="Direkomendasikan",ROW($6:$1005)-5),933)))=1),IFERROR(VLOOKUP(INDEX(checklistPesertaKemenkeu!$M$6:$M$1005,SMALL(IF(checklistPesertaKemenkeu!$AY$6:$AY$1005="Direkomendasikan",ROW($6:$1005)-5),933)),KotaKode,2,0),"-"),"")),"")</f>
        <v/>
      </c>
      <c r="J934" t="str">
        <f t="array" aca="1" ref="J934" ca="1">IFERROR(IF(OR(INDEX(checklistPesertaKemenkeu!$N$6:$N$1005,SMALL(IF(checklistPesertaKemenkeu!$AY$6:$AY$1005="Direkomendasikan",ROW($6:$1005)-5),933))="",INDEX(checklistPesertaKemenkeu!$J$6:$J$1005,SMALL(IF(checklistPesertaKemenkeu!$AY$6:$AY$1005="Direkomendasikan",ROW($6:$1005)-5),933))=""),"",IF(AND(COUNTIF(INDIRECT("K_"&amp;MATCH(INDEX(checklistPesertaKemenkeu!$J$6:$J$1005,SMALL(IF(checklistPesertaKemenkeu!$AY$6:$AY$1005="Direkomendasikan",ROW($6:$1005)-5),933)),BidangList,0)),INDEX(checklistPesertaKemenkeu!$N$6:$N$1005,SMALL(IF(checklistPesertaKemenkeu!$AY$6:$AY$1005="Direkomendasikan",ROW($6:$1005)-5),933)))&gt;0,COUNTIF(INDIRECT("'KERTAS KERJA'!K"&amp;(SMALL(IF(checklistPesertaKemenkeu!$AY$6:$AY$1005="Direkomendasikan",ROW($6:$1005)-5),933)+5)&amp;":O"&amp;(SMALL(IF(checklistPesertaKemenkeu!$AY$6:$AY$1005="Direkomendasikan",ROW($6:$1005)-5),933)+5)),INDEX(checklistPesertaKemenkeu!$N$6:$N$1005,SMALL(IF(checklistPesertaKemenkeu!$AY$6:$AY$1005="Direkomendasikan",ROW($6:$1005)-5),933)))=1),IFERROR(VLOOKUP(INDEX(checklistPesertaKemenkeu!$N$6:$N$1005,SMALL(IF(checklistPesertaKemenkeu!$AY$6:$AY$1005="Direkomendasikan",ROW($6:$1005)-5),933)),KotaKode,2,0),"-"),"")),"")</f>
        <v/>
      </c>
      <c r="K934" t="str">
        <f t="array" aca="1" ref="K934" ca="1">IFERROR(IF(OR(INDEX(checklistPesertaKemenkeu!$O$6:$O$1005,SMALL(IF(checklistPesertaKemenkeu!$AY$6:$AY$1005="Direkomendasikan",ROW($6:$1005)-5),933))="",INDEX(checklistPesertaKemenkeu!$J$6:$J$1005,SMALL(IF(checklistPesertaKemenkeu!$AY$6:$AY$1005="Direkomendasikan",ROW($6:$1005)-5),933))=""),"",IF(AND(COUNTIF(INDIRECT("K_"&amp;MATCH(INDEX(checklistPesertaKemenkeu!$J$6:$J$1005,SMALL(IF(checklistPesertaKemenkeu!$AY$6:$AY$1005="Direkomendasikan",ROW($6:$1005)-5),933)),BidangList,0)),INDEX(checklistPesertaKemenkeu!$O$6:$O$1005,SMALL(IF(checklistPesertaKemenkeu!$AY$6:$AY$1005="Direkomendasikan",ROW($6:$1005)-5),933)))&gt;0,COUNTIF(INDIRECT("'KERTAS KERJA'!K"&amp;(SMALL(IF(checklistPesertaKemenkeu!$AY$6:$AY$1005="Direkomendasikan",ROW($6:$1005)-5),933)+5)&amp;":O"&amp;(SMALL(IF(checklistPesertaKemenkeu!$AY$6:$AY$1005="Direkomendasikan",ROW($6:$1005)-5),933)+5)),INDEX(checklistPesertaKemenkeu!$O$6:$O$1005,SMALL(IF(checklistPesertaKemenkeu!$AY$6:$AY$1005="Direkomendasikan",ROW($6:$1005)-5),933)))=1),IFERROR(VLOOKUP(INDEX(checklistPesertaKemenkeu!$O$6:$O$1005,SMALL(IF(checklistPesertaKemenkeu!$AY$6:$AY$1005="Direkomendasikan",ROW($6:$1005)-5),933)),KotaKode,2,0),"-"),"")),"")</f>
        <v/>
      </c>
      <c r="L934" t="str">
        <f t="array" aca="1" ref="L934" ca="1">IFERROR(IF(OR(INDEX(checklistPesertaKemenkeu!$P$6:$P$1005,SMALL(IF(checklistPesertaKemenkeu!$AY$6:$AY$1005="Direkomendasikan",ROW($6:$1005)-5),933))="",INDEX(checklistPesertaKemenkeu!$J$6:$J$1005,SMALL(IF(checklistPesertaKemenkeu!$AY$6:$AY$1005="Direkomendasikan",ROW($6:$1005)-5),933))=""),"",IF(AND(COUNTIF(INDIRECT("K_"&amp;MATCH(INDEX(checklistPesertaKemenkeu!$J$6:$J$1005,SMALL(IF(checklistPesertaKemenkeu!$AY$6:$AY$1005="Direkomendasikan",ROW($6:$1005)-5),933)),BidangList,0)),INDEX(checklistPesertaKemenkeu!$P$6:$P$1005,SMALL(IF(checklistPesertaKemenkeu!$AY$6:$AY$1005="Direkomendasikan",ROW($6:$1005)-5),933)))&gt;0,COUNTIF(INDIRECT("'KERTAS KERJA'!K"&amp;(SMALL(IF(checklistPesertaKemenkeu!$AY$6:$AY$1005="Direkomendasikan",ROW($6:$1005)-5),933)+5)&amp;":O"&amp;(SMALL(IF(checklistPesertaKemenkeu!$AY$6:$AY$1005="Direkomendasikan",ROW($6:$1005)-5),933)+5)),INDEX(checklistPesertaKemenkeu!$P$6:$P$1005,SMALL(IF(checklistPesertaKemenkeu!$AY$6:$AY$1005="Direkomendasikan",ROW($6:$1005)-5),933)))=1),IFERROR(VLOOKUP(INDEX(checklistPesertaKemenkeu!$P$6:$P$1005,SMALL(IF(checklistPesertaKemenkeu!$AY$6:$AY$1005="Direkomendasikan",ROW($6:$1005)-5),933)),KotaKode,2,0),"-"),"")),"")</f>
        <v/>
      </c>
    </row>
    <row r="935" spans="1:12" ht="15" customHeight="1" x14ac:dyDescent="0.2">
      <c r="A935" t="str">
        <f t="shared" si="14"/>
        <v/>
      </c>
      <c r="B935" t="str">
        <v/>
      </c>
      <c r="C935" s="40" t="str">
        <f t="array" ref="C935">IFERROR(INDEX(checklistPesertaKemenkeu!$F$6:$F$1005,SMALL(IF(checklistPesertaKemenkeu!$AY$6:$AY$1005="Direkomendasikan",ROW($6:$1005)-5),934)),"")</f>
        <v/>
      </c>
      <c r="D935" t="str">
        <f t="array" ref="D935">IFERROR(INDEX(checklistPesertaKemenkeu!$G$6:$G$1005,SMALL(IF(checklistPesertaKemenkeu!$AY$6:$AY$1005="Direkomendasikan",ROW($6:$1005)-5),934)),"")</f>
        <v/>
      </c>
      <c r="E935" t="str">
        <f t="array" ref="E935">IFERROR(INDEX(checklistPesertaKemenkeu!$H$6:$H$1005,SMALL(IF(checklistPesertaKemenkeu!$AY$6:$AY$1005="Direkomendasikan",ROW($6:$1005)-5),934)),"")</f>
        <v/>
      </c>
      <c r="F935" t="str">
        <f t="array" ref="F935">IFERROR(INDEX(checklistPesertaKemenkeu!$I$6:$I$1005,SMALL(IF(checklistPesertaKemenkeu!$AY$6:$AY$1005="Direkomendasikan",ROW($6:$1005)-5),934)),"")</f>
        <v/>
      </c>
      <c r="G935" t="str">
        <f t="array" ref="G935">IFERROR(INDEX(checklistPesertaKemenkeu!$J$6:$J$1005,SMALL(IF(checklistPesertaKemenkeu!$AY$6:$AY$1005="Direkomendasikan",ROW($6:$1005)-5),934)),"")</f>
        <v/>
      </c>
      <c r="H935" t="str">
        <f t="array" aca="1" ref="H935" ca="1">IFERROR(IF(OR(INDEX(checklistPesertaKemenkeu!$L$6:$L$1005,SMALL(IF(checklistPesertaKemenkeu!$AY$6:$AY$1005="Direkomendasikan",ROW($6:$1005)-5),934))="",INDEX(checklistPesertaKemenkeu!$J$6:$J$1005,SMALL(IF(checklistPesertaKemenkeu!$AY$6:$AY$1005="Direkomendasikan",ROW($6:$1005)-5),934))=""),"",IF(AND(COUNTIF(INDIRECT("K_"&amp;MATCH(INDEX(checklistPesertaKemenkeu!$J$6:$J$1005,SMALL(IF(checklistPesertaKemenkeu!$AY$6:$AY$1005="Direkomendasikan",ROW($6:$1005)-5),934)),BidangList,0)),INDEX(checklistPesertaKemenkeu!$L$6:$L$1005,SMALL(IF(checklistPesertaKemenkeu!$AY$6:$AY$1005="Direkomendasikan",ROW($6:$1005)-5),934)))&gt;0,COUNTIF(INDIRECT("'KERTAS KERJA'!K"&amp;(SMALL(IF(checklistPesertaKemenkeu!$AY$6:$AY$1005="Direkomendasikan",ROW($6:$1005)-5),934)+5)&amp;":O"&amp;(SMALL(IF(checklistPesertaKemenkeu!$AY$6:$AY$1005="Direkomendasikan",ROW($6:$1005)-5),934)+5)),INDEX(checklistPesertaKemenkeu!$L$6:$L$1005,SMALL(IF(checklistPesertaKemenkeu!$AY$6:$AY$1005="Direkomendasikan",ROW($6:$1005)-5),934)))=1),IFERROR(VLOOKUP(INDEX(checklistPesertaKemenkeu!$L$6:$L$1005,SMALL(IF(checklistPesertaKemenkeu!$AY$6:$AY$1005="Direkomendasikan",ROW($6:$1005)-5),934)),KotaKode,2,0),"-"),"")),"")</f>
        <v/>
      </c>
      <c r="I935" t="str">
        <f t="array" aca="1" ref="I935" ca="1">IFERROR(IF(OR(INDEX(checklistPesertaKemenkeu!$M$6:$M$1005,SMALL(IF(checklistPesertaKemenkeu!$AY$6:$AY$1005="Direkomendasikan",ROW($6:$1005)-5),934))="",INDEX(checklistPesertaKemenkeu!$J$6:$J$1005,SMALL(IF(checklistPesertaKemenkeu!$AY$6:$AY$1005="Direkomendasikan",ROW($6:$1005)-5),934))=""),"",IF(AND(COUNTIF(INDIRECT("K_"&amp;MATCH(INDEX(checklistPesertaKemenkeu!$J$6:$J$1005,SMALL(IF(checklistPesertaKemenkeu!$AY$6:$AY$1005="Direkomendasikan",ROW($6:$1005)-5),934)),BidangList,0)),INDEX(checklistPesertaKemenkeu!$M$6:$M$1005,SMALL(IF(checklistPesertaKemenkeu!$AY$6:$AY$1005="Direkomendasikan",ROW($6:$1005)-5),934)))&gt;0,COUNTIF(INDIRECT("'KERTAS KERJA'!K"&amp;(SMALL(IF(checklistPesertaKemenkeu!$AY$6:$AY$1005="Direkomendasikan",ROW($6:$1005)-5),934)+5)&amp;":O"&amp;(SMALL(IF(checklistPesertaKemenkeu!$AY$6:$AY$1005="Direkomendasikan",ROW($6:$1005)-5),934)+5)),INDEX(checklistPesertaKemenkeu!$M$6:$M$1005,SMALL(IF(checklistPesertaKemenkeu!$AY$6:$AY$1005="Direkomendasikan",ROW($6:$1005)-5),934)))=1),IFERROR(VLOOKUP(INDEX(checklistPesertaKemenkeu!$M$6:$M$1005,SMALL(IF(checklistPesertaKemenkeu!$AY$6:$AY$1005="Direkomendasikan",ROW($6:$1005)-5),934)),KotaKode,2,0),"-"),"")),"")</f>
        <v/>
      </c>
      <c r="J935" t="str">
        <f t="array" aca="1" ref="J935" ca="1">IFERROR(IF(OR(INDEX(checklistPesertaKemenkeu!$N$6:$N$1005,SMALL(IF(checklistPesertaKemenkeu!$AY$6:$AY$1005="Direkomendasikan",ROW($6:$1005)-5),934))="",INDEX(checklistPesertaKemenkeu!$J$6:$J$1005,SMALL(IF(checklistPesertaKemenkeu!$AY$6:$AY$1005="Direkomendasikan",ROW($6:$1005)-5),934))=""),"",IF(AND(COUNTIF(INDIRECT("K_"&amp;MATCH(INDEX(checklistPesertaKemenkeu!$J$6:$J$1005,SMALL(IF(checklistPesertaKemenkeu!$AY$6:$AY$1005="Direkomendasikan",ROW($6:$1005)-5),934)),BidangList,0)),INDEX(checklistPesertaKemenkeu!$N$6:$N$1005,SMALL(IF(checklistPesertaKemenkeu!$AY$6:$AY$1005="Direkomendasikan",ROW($6:$1005)-5),934)))&gt;0,COUNTIF(INDIRECT("'KERTAS KERJA'!K"&amp;(SMALL(IF(checklistPesertaKemenkeu!$AY$6:$AY$1005="Direkomendasikan",ROW($6:$1005)-5),934)+5)&amp;":O"&amp;(SMALL(IF(checklistPesertaKemenkeu!$AY$6:$AY$1005="Direkomendasikan",ROW($6:$1005)-5),934)+5)),INDEX(checklistPesertaKemenkeu!$N$6:$N$1005,SMALL(IF(checklistPesertaKemenkeu!$AY$6:$AY$1005="Direkomendasikan",ROW($6:$1005)-5),934)))=1),IFERROR(VLOOKUP(INDEX(checklistPesertaKemenkeu!$N$6:$N$1005,SMALL(IF(checklistPesertaKemenkeu!$AY$6:$AY$1005="Direkomendasikan",ROW($6:$1005)-5),934)),KotaKode,2,0),"-"),"")),"")</f>
        <v/>
      </c>
      <c r="K935" t="str">
        <f t="array" aca="1" ref="K935" ca="1">IFERROR(IF(OR(INDEX(checklistPesertaKemenkeu!$O$6:$O$1005,SMALL(IF(checklistPesertaKemenkeu!$AY$6:$AY$1005="Direkomendasikan",ROW($6:$1005)-5),934))="",INDEX(checklistPesertaKemenkeu!$J$6:$J$1005,SMALL(IF(checklistPesertaKemenkeu!$AY$6:$AY$1005="Direkomendasikan",ROW($6:$1005)-5),934))=""),"",IF(AND(COUNTIF(INDIRECT("K_"&amp;MATCH(INDEX(checklistPesertaKemenkeu!$J$6:$J$1005,SMALL(IF(checklistPesertaKemenkeu!$AY$6:$AY$1005="Direkomendasikan",ROW($6:$1005)-5),934)),BidangList,0)),INDEX(checklistPesertaKemenkeu!$O$6:$O$1005,SMALL(IF(checklistPesertaKemenkeu!$AY$6:$AY$1005="Direkomendasikan",ROW($6:$1005)-5),934)))&gt;0,COUNTIF(INDIRECT("'KERTAS KERJA'!K"&amp;(SMALL(IF(checklistPesertaKemenkeu!$AY$6:$AY$1005="Direkomendasikan",ROW($6:$1005)-5),934)+5)&amp;":O"&amp;(SMALL(IF(checklistPesertaKemenkeu!$AY$6:$AY$1005="Direkomendasikan",ROW($6:$1005)-5),934)+5)),INDEX(checklistPesertaKemenkeu!$O$6:$O$1005,SMALL(IF(checklistPesertaKemenkeu!$AY$6:$AY$1005="Direkomendasikan",ROW($6:$1005)-5),934)))=1),IFERROR(VLOOKUP(INDEX(checklistPesertaKemenkeu!$O$6:$O$1005,SMALL(IF(checklistPesertaKemenkeu!$AY$6:$AY$1005="Direkomendasikan",ROW($6:$1005)-5),934)),KotaKode,2,0),"-"),"")),"")</f>
        <v/>
      </c>
      <c r="L935" t="str">
        <f t="array" aca="1" ref="L935" ca="1">IFERROR(IF(OR(INDEX(checklistPesertaKemenkeu!$P$6:$P$1005,SMALL(IF(checklistPesertaKemenkeu!$AY$6:$AY$1005="Direkomendasikan",ROW($6:$1005)-5),934))="",INDEX(checklistPesertaKemenkeu!$J$6:$J$1005,SMALL(IF(checklistPesertaKemenkeu!$AY$6:$AY$1005="Direkomendasikan",ROW($6:$1005)-5),934))=""),"",IF(AND(COUNTIF(INDIRECT("K_"&amp;MATCH(INDEX(checklistPesertaKemenkeu!$J$6:$J$1005,SMALL(IF(checklistPesertaKemenkeu!$AY$6:$AY$1005="Direkomendasikan",ROW($6:$1005)-5),934)),BidangList,0)),INDEX(checklistPesertaKemenkeu!$P$6:$P$1005,SMALL(IF(checklistPesertaKemenkeu!$AY$6:$AY$1005="Direkomendasikan",ROW($6:$1005)-5),934)))&gt;0,COUNTIF(INDIRECT("'KERTAS KERJA'!K"&amp;(SMALL(IF(checklistPesertaKemenkeu!$AY$6:$AY$1005="Direkomendasikan",ROW($6:$1005)-5),934)+5)&amp;":O"&amp;(SMALL(IF(checklistPesertaKemenkeu!$AY$6:$AY$1005="Direkomendasikan",ROW($6:$1005)-5),934)+5)),INDEX(checklistPesertaKemenkeu!$P$6:$P$1005,SMALL(IF(checklistPesertaKemenkeu!$AY$6:$AY$1005="Direkomendasikan",ROW($6:$1005)-5),934)))=1),IFERROR(VLOOKUP(INDEX(checklistPesertaKemenkeu!$P$6:$P$1005,SMALL(IF(checklistPesertaKemenkeu!$AY$6:$AY$1005="Direkomendasikan",ROW($6:$1005)-5),934)),KotaKode,2,0),"-"),"")),"")</f>
        <v/>
      </c>
    </row>
    <row r="936" spans="1:12" ht="15" customHeight="1" x14ac:dyDescent="0.2">
      <c r="A936" t="str">
        <f t="shared" si="14"/>
        <v/>
      </c>
      <c r="B936" t="str">
        <v/>
      </c>
      <c r="C936" s="40" t="str">
        <f t="array" ref="C936">IFERROR(INDEX(checklistPesertaKemenkeu!$F$6:$F$1005,SMALL(IF(checklistPesertaKemenkeu!$AY$6:$AY$1005="Direkomendasikan",ROW($6:$1005)-5),935)),"")</f>
        <v/>
      </c>
      <c r="D936" t="str">
        <f t="array" ref="D936">IFERROR(INDEX(checklistPesertaKemenkeu!$G$6:$G$1005,SMALL(IF(checklistPesertaKemenkeu!$AY$6:$AY$1005="Direkomendasikan",ROW($6:$1005)-5),935)),"")</f>
        <v/>
      </c>
      <c r="E936" t="str">
        <f t="array" ref="E936">IFERROR(INDEX(checklistPesertaKemenkeu!$H$6:$H$1005,SMALL(IF(checklistPesertaKemenkeu!$AY$6:$AY$1005="Direkomendasikan",ROW($6:$1005)-5),935)),"")</f>
        <v/>
      </c>
      <c r="F936" t="str">
        <f t="array" ref="F936">IFERROR(INDEX(checklistPesertaKemenkeu!$I$6:$I$1005,SMALL(IF(checklistPesertaKemenkeu!$AY$6:$AY$1005="Direkomendasikan",ROW($6:$1005)-5),935)),"")</f>
        <v/>
      </c>
      <c r="G936" t="str">
        <f t="array" ref="G936">IFERROR(INDEX(checklistPesertaKemenkeu!$J$6:$J$1005,SMALL(IF(checklistPesertaKemenkeu!$AY$6:$AY$1005="Direkomendasikan",ROW($6:$1005)-5),935)),"")</f>
        <v/>
      </c>
      <c r="H936" t="str">
        <f t="array" aca="1" ref="H936" ca="1">IFERROR(IF(OR(INDEX(checklistPesertaKemenkeu!$L$6:$L$1005,SMALL(IF(checklistPesertaKemenkeu!$AY$6:$AY$1005="Direkomendasikan",ROW($6:$1005)-5),935))="",INDEX(checklistPesertaKemenkeu!$J$6:$J$1005,SMALL(IF(checklistPesertaKemenkeu!$AY$6:$AY$1005="Direkomendasikan",ROW($6:$1005)-5),935))=""),"",IF(AND(COUNTIF(INDIRECT("K_"&amp;MATCH(INDEX(checklistPesertaKemenkeu!$J$6:$J$1005,SMALL(IF(checklistPesertaKemenkeu!$AY$6:$AY$1005="Direkomendasikan",ROW($6:$1005)-5),935)),BidangList,0)),INDEX(checklistPesertaKemenkeu!$L$6:$L$1005,SMALL(IF(checklistPesertaKemenkeu!$AY$6:$AY$1005="Direkomendasikan",ROW($6:$1005)-5),935)))&gt;0,COUNTIF(INDIRECT("'KERTAS KERJA'!K"&amp;(SMALL(IF(checklistPesertaKemenkeu!$AY$6:$AY$1005="Direkomendasikan",ROW($6:$1005)-5),935)+5)&amp;":O"&amp;(SMALL(IF(checklistPesertaKemenkeu!$AY$6:$AY$1005="Direkomendasikan",ROW($6:$1005)-5),935)+5)),INDEX(checklistPesertaKemenkeu!$L$6:$L$1005,SMALL(IF(checklistPesertaKemenkeu!$AY$6:$AY$1005="Direkomendasikan",ROW($6:$1005)-5),935)))=1),IFERROR(VLOOKUP(INDEX(checklistPesertaKemenkeu!$L$6:$L$1005,SMALL(IF(checklistPesertaKemenkeu!$AY$6:$AY$1005="Direkomendasikan",ROW($6:$1005)-5),935)),KotaKode,2,0),"-"),"")),"")</f>
        <v/>
      </c>
      <c r="I936" t="str">
        <f t="array" aca="1" ref="I936" ca="1">IFERROR(IF(OR(INDEX(checklistPesertaKemenkeu!$M$6:$M$1005,SMALL(IF(checklistPesertaKemenkeu!$AY$6:$AY$1005="Direkomendasikan",ROW($6:$1005)-5),935))="",INDEX(checklistPesertaKemenkeu!$J$6:$J$1005,SMALL(IF(checklistPesertaKemenkeu!$AY$6:$AY$1005="Direkomendasikan",ROW($6:$1005)-5),935))=""),"",IF(AND(COUNTIF(INDIRECT("K_"&amp;MATCH(INDEX(checklistPesertaKemenkeu!$J$6:$J$1005,SMALL(IF(checklistPesertaKemenkeu!$AY$6:$AY$1005="Direkomendasikan",ROW($6:$1005)-5),935)),BidangList,0)),INDEX(checklistPesertaKemenkeu!$M$6:$M$1005,SMALL(IF(checklistPesertaKemenkeu!$AY$6:$AY$1005="Direkomendasikan",ROW($6:$1005)-5),935)))&gt;0,COUNTIF(INDIRECT("'KERTAS KERJA'!K"&amp;(SMALL(IF(checklistPesertaKemenkeu!$AY$6:$AY$1005="Direkomendasikan",ROW($6:$1005)-5),935)+5)&amp;":O"&amp;(SMALL(IF(checklistPesertaKemenkeu!$AY$6:$AY$1005="Direkomendasikan",ROW($6:$1005)-5),935)+5)),INDEX(checklistPesertaKemenkeu!$M$6:$M$1005,SMALL(IF(checklistPesertaKemenkeu!$AY$6:$AY$1005="Direkomendasikan",ROW($6:$1005)-5),935)))=1),IFERROR(VLOOKUP(INDEX(checklistPesertaKemenkeu!$M$6:$M$1005,SMALL(IF(checklistPesertaKemenkeu!$AY$6:$AY$1005="Direkomendasikan",ROW($6:$1005)-5),935)),KotaKode,2,0),"-"),"")),"")</f>
        <v/>
      </c>
      <c r="J936" t="str">
        <f t="array" aca="1" ref="J936" ca="1">IFERROR(IF(OR(INDEX(checklistPesertaKemenkeu!$N$6:$N$1005,SMALL(IF(checklistPesertaKemenkeu!$AY$6:$AY$1005="Direkomendasikan",ROW($6:$1005)-5),935))="",INDEX(checklistPesertaKemenkeu!$J$6:$J$1005,SMALL(IF(checklistPesertaKemenkeu!$AY$6:$AY$1005="Direkomendasikan",ROW($6:$1005)-5),935))=""),"",IF(AND(COUNTIF(INDIRECT("K_"&amp;MATCH(INDEX(checklistPesertaKemenkeu!$J$6:$J$1005,SMALL(IF(checklistPesertaKemenkeu!$AY$6:$AY$1005="Direkomendasikan",ROW($6:$1005)-5),935)),BidangList,0)),INDEX(checklistPesertaKemenkeu!$N$6:$N$1005,SMALL(IF(checklistPesertaKemenkeu!$AY$6:$AY$1005="Direkomendasikan",ROW($6:$1005)-5),935)))&gt;0,COUNTIF(INDIRECT("'KERTAS KERJA'!K"&amp;(SMALL(IF(checklistPesertaKemenkeu!$AY$6:$AY$1005="Direkomendasikan",ROW($6:$1005)-5),935)+5)&amp;":O"&amp;(SMALL(IF(checklistPesertaKemenkeu!$AY$6:$AY$1005="Direkomendasikan",ROW($6:$1005)-5),935)+5)),INDEX(checklistPesertaKemenkeu!$N$6:$N$1005,SMALL(IF(checklistPesertaKemenkeu!$AY$6:$AY$1005="Direkomendasikan",ROW($6:$1005)-5),935)))=1),IFERROR(VLOOKUP(INDEX(checklistPesertaKemenkeu!$N$6:$N$1005,SMALL(IF(checklistPesertaKemenkeu!$AY$6:$AY$1005="Direkomendasikan",ROW($6:$1005)-5),935)),KotaKode,2,0),"-"),"")),"")</f>
        <v/>
      </c>
      <c r="K936" t="str">
        <f t="array" aca="1" ref="K936" ca="1">IFERROR(IF(OR(INDEX(checklistPesertaKemenkeu!$O$6:$O$1005,SMALL(IF(checklistPesertaKemenkeu!$AY$6:$AY$1005="Direkomendasikan",ROW($6:$1005)-5),935))="",INDEX(checklistPesertaKemenkeu!$J$6:$J$1005,SMALL(IF(checklistPesertaKemenkeu!$AY$6:$AY$1005="Direkomendasikan",ROW($6:$1005)-5),935))=""),"",IF(AND(COUNTIF(INDIRECT("K_"&amp;MATCH(INDEX(checklistPesertaKemenkeu!$J$6:$J$1005,SMALL(IF(checklistPesertaKemenkeu!$AY$6:$AY$1005="Direkomendasikan",ROW($6:$1005)-5),935)),BidangList,0)),INDEX(checklistPesertaKemenkeu!$O$6:$O$1005,SMALL(IF(checklistPesertaKemenkeu!$AY$6:$AY$1005="Direkomendasikan",ROW($6:$1005)-5),935)))&gt;0,COUNTIF(INDIRECT("'KERTAS KERJA'!K"&amp;(SMALL(IF(checklistPesertaKemenkeu!$AY$6:$AY$1005="Direkomendasikan",ROW($6:$1005)-5),935)+5)&amp;":O"&amp;(SMALL(IF(checklistPesertaKemenkeu!$AY$6:$AY$1005="Direkomendasikan",ROW($6:$1005)-5),935)+5)),INDEX(checklistPesertaKemenkeu!$O$6:$O$1005,SMALL(IF(checklistPesertaKemenkeu!$AY$6:$AY$1005="Direkomendasikan",ROW($6:$1005)-5),935)))=1),IFERROR(VLOOKUP(INDEX(checklistPesertaKemenkeu!$O$6:$O$1005,SMALL(IF(checklistPesertaKemenkeu!$AY$6:$AY$1005="Direkomendasikan",ROW($6:$1005)-5),935)),KotaKode,2,0),"-"),"")),"")</f>
        <v/>
      </c>
      <c r="L936" t="str">
        <f t="array" aca="1" ref="L936" ca="1">IFERROR(IF(OR(INDEX(checklistPesertaKemenkeu!$P$6:$P$1005,SMALL(IF(checklistPesertaKemenkeu!$AY$6:$AY$1005="Direkomendasikan",ROW($6:$1005)-5),935))="",INDEX(checklistPesertaKemenkeu!$J$6:$J$1005,SMALL(IF(checklistPesertaKemenkeu!$AY$6:$AY$1005="Direkomendasikan",ROW($6:$1005)-5),935))=""),"",IF(AND(COUNTIF(INDIRECT("K_"&amp;MATCH(INDEX(checklistPesertaKemenkeu!$J$6:$J$1005,SMALL(IF(checklistPesertaKemenkeu!$AY$6:$AY$1005="Direkomendasikan",ROW($6:$1005)-5),935)),BidangList,0)),INDEX(checklistPesertaKemenkeu!$P$6:$P$1005,SMALL(IF(checklistPesertaKemenkeu!$AY$6:$AY$1005="Direkomendasikan",ROW($6:$1005)-5),935)))&gt;0,COUNTIF(INDIRECT("'KERTAS KERJA'!K"&amp;(SMALL(IF(checklistPesertaKemenkeu!$AY$6:$AY$1005="Direkomendasikan",ROW($6:$1005)-5),935)+5)&amp;":O"&amp;(SMALL(IF(checklistPesertaKemenkeu!$AY$6:$AY$1005="Direkomendasikan",ROW($6:$1005)-5),935)+5)),INDEX(checklistPesertaKemenkeu!$P$6:$P$1005,SMALL(IF(checklistPesertaKemenkeu!$AY$6:$AY$1005="Direkomendasikan",ROW($6:$1005)-5),935)))=1),IFERROR(VLOOKUP(INDEX(checklistPesertaKemenkeu!$P$6:$P$1005,SMALL(IF(checklistPesertaKemenkeu!$AY$6:$AY$1005="Direkomendasikan",ROW($6:$1005)-5),935)),KotaKode,2,0),"-"),"")),"")</f>
        <v/>
      </c>
    </row>
    <row r="937" spans="1:12" ht="15" customHeight="1" x14ac:dyDescent="0.2">
      <c r="A937" t="str">
        <f t="shared" si="14"/>
        <v/>
      </c>
      <c r="B937" t="str">
        <v/>
      </c>
      <c r="C937" s="40" t="str">
        <f t="array" ref="C937">IFERROR(INDEX(checklistPesertaKemenkeu!$F$6:$F$1005,SMALL(IF(checklistPesertaKemenkeu!$AY$6:$AY$1005="Direkomendasikan",ROW($6:$1005)-5),936)),"")</f>
        <v/>
      </c>
      <c r="D937" t="str">
        <f t="array" ref="D937">IFERROR(INDEX(checklistPesertaKemenkeu!$G$6:$G$1005,SMALL(IF(checklistPesertaKemenkeu!$AY$6:$AY$1005="Direkomendasikan",ROW($6:$1005)-5),936)),"")</f>
        <v/>
      </c>
      <c r="E937" t="str">
        <f t="array" ref="E937">IFERROR(INDEX(checklistPesertaKemenkeu!$H$6:$H$1005,SMALL(IF(checklistPesertaKemenkeu!$AY$6:$AY$1005="Direkomendasikan",ROW($6:$1005)-5),936)),"")</f>
        <v/>
      </c>
      <c r="F937" t="str">
        <f t="array" ref="F937">IFERROR(INDEX(checklistPesertaKemenkeu!$I$6:$I$1005,SMALL(IF(checklistPesertaKemenkeu!$AY$6:$AY$1005="Direkomendasikan",ROW($6:$1005)-5),936)),"")</f>
        <v/>
      </c>
      <c r="G937" t="str">
        <f t="array" ref="G937">IFERROR(INDEX(checklistPesertaKemenkeu!$J$6:$J$1005,SMALL(IF(checklistPesertaKemenkeu!$AY$6:$AY$1005="Direkomendasikan",ROW($6:$1005)-5),936)),"")</f>
        <v/>
      </c>
      <c r="H937" t="str">
        <f t="array" aca="1" ref="H937" ca="1">IFERROR(IF(OR(INDEX(checklistPesertaKemenkeu!$L$6:$L$1005,SMALL(IF(checklistPesertaKemenkeu!$AY$6:$AY$1005="Direkomendasikan",ROW($6:$1005)-5),936))="",INDEX(checklistPesertaKemenkeu!$J$6:$J$1005,SMALL(IF(checklistPesertaKemenkeu!$AY$6:$AY$1005="Direkomendasikan",ROW($6:$1005)-5),936))=""),"",IF(AND(COUNTIF(INDIRECT("K_"&amp;MATCH(INDEX(checklistPesertaKemenkeu!$J$6:$J$1005,SMALL(IF(checklistPesertaKemenkeu!$AY$6:$AY$1005="Direkomendasikan",ROW($6:$1005)-5),936)),BidangList,0)),INDEX(checklistPesertaKemenkeu!$L$6:$L$1005,SMALL(IF(checklistPesertaKemenkeu!$AY$6:$AY$1005="Direkomendasikan",ROW($6:$1005)-5),936)))&gt;0,COUNTIF(INDIRECT("'KERTAS KERJA'!K"&amp;(SMALL(IF(checklistPesertaKemenkeu!$AY$6:$AY$1005="Direkomendasikan",ROW($6:$1005)-5),936)+5)&amp;":O"&amp;(SMALL(IF(checklistPesertaKemenkeu!$AY$6:$AY$1005="Direkomendasikan",ROW($6:$1005)-5),936)+5)),INDEX(checklistPesertaKemenkeu!$L$6:$L$1005,SMALL(IF(checklistPesertaKemenkeu!$AY$6:$AY$1005="Direkomendasikan",ROW($6:$1005)-5),936)))=1),IFERROR(VLOOKUP(INDEX(checklistPesertaKemenkeu!$L$6:$L$1005,SMALL(IF(checklistPesertaKemenkeu!$AY$6:$AY$1005="Direkomendasikan",ROW($6:$1005)-5),936)),KotaKode,2,0),"-"),"")),"")</f>
        <v/>
      </c>
      <c r="I937" t="str">
        <f t="array" aca="1" ref="I937" ca="1">IFERROR(IF(OR(INDEX(checklistPesertaKemenkeu!$M$6:$M$1005,SMALL(IF(checklistPesertaKemenkeu!$AY$6:$AY$1005="Direkomendasikan",ROW($6:$1005)-5),936))="",INDEX(checklistPesertaKemenkeu!$J$6:$J$1005,SMALL(IF(checklistPesertaKemenkeu!$AY$6:$AY$1005="Direkomendasikan",ROW($6:$1005)-5),936))=""),"",IF(AND(COUNTIF(INDIRECT("K_"&amp;MATCH(INDEX(checklistPesertaKemenkeu!$J$6:$J$1005,SMALL(IF(checklistPesertaKemenkeu!$AY$6:$AY$1005="Direkomendasikan",ROW($6:$1005)-5),936)),BidangList,0)),INDEX(checklistPesertaKemenkeu!$M$6:$M$1005,SMALL(IF(checklistPesertaKemenkeu!$AY$6:$AY$1005="Direkomendasikan",ROW($6:$1005)-5),936)))&gt;0,COUNTIF(INDIRECT("'KERTAS KERJA'!K"&amp;(SMALL(IF(checklistPesertaKemenkeu!$AY$6:$AY$1005="Direkomendasikan",ROW($6:$1005)-5),936)+5)&amp;":O"&amp;(SMALL(IF(checklistPesertaKemenkeu!$AY$6:$AY$1005="Direkomendasikan",ROW($6:$1005)-5),936)+5)),INDEX(checklistPesertaKemenkeu!$M$6:$M$1005,SMALL(IF(checklistPesertaKemenkeu!$AY$6:$AY$1005="Direkomendasikan",ROW($6:$1005)-5),936)))=1),IFERROR(VLOOKUP(INDEX(checklistPesertaKemenkeu!$M$6:$M$1005,SMALL(IF(checklistPesertaKemenkeu!$AY$6:$AY$1005="Direkomendasikan",ROW($6:$1005)-5),936)),KotaKode,2,0),"-"),"")),"")</f>
        <v/>
      </c>
      <c r="J937" t="str">
        <f t="array" aca="1" ref="J937" ca="1">IFERROR(IF(OR(INDEX(checklistPesertaKemenkeu!$N$6:$N$1005,SMALL(IF(checklistPesertaKemenkeu!$AY$6:$AY$1005="Direkomendasikan",ROW($6:$1005)-5),936))="",INDEX(checklistPesertaKemenkeu!$J$6:$J$1005,SMALL(IF(checklistPesertaKemenkeu!$AY$6:$AY$1005="Direkomendasikan",ROW($6:$1005)-5),936))=""),"",IF(AND(COUNTIF(INDIRECT("K_"&amp;MATCH(INDEX(checklistPesertaKemenkeu!$J$6:$J$1005,SMALL(IF(checklistPesertaKemenkeu!$AY$6:$AY$1005="Direkomendasikan",ROW($6:$1005)-5),936)),BidangList,0)),INDEX(checklistPesertaKemenkeu!$N$6:$N$1005,SMALL(IF(checklistPesertaKemenkeu!$AY$6:$AY$1005="Direkomendasikan",ROW($6:$1005)-5),936)))&gt;0,COUNTIF(INDIRECT("'KERTAS KERJA'!K"&amp;(SMALL(IF(checklistPesertaKemenkeu!$AY$6:$AY$1005="Direkomendasikan",ROW($6:$1005)-5),936)+5)&amp;":O"&amp;(SMALL(IF(checklistPesertaKemenkeu!$AY$6:$AY$1005="Direkomendasikan",ROW($6:$1005)-5),936)+5)),INDEX(checklistPesertaKemenkeu!$N$6:$N$1005,SMALL(IF(checklistPesertaKemenkeu!$AY$6:$AY$1005="Direkomendasikan",ROW($6:$1005)-5),936)))=1),IFERROR(VLOOKUP(INDEX(checklistPesertaKemenkeu!$N$6:$N$1005,SMALL(IF(checklistPesertaKemenkeu!$AY$6:$AY$1005="Direkomendasikan",ROW($6:$1005)-5),936)),KotaKode,2,0),"-"),"")),"")</f>
        <v/>
      </c>
      <c r="K937" t="str">
        <f t="array" aca="1" ref="K937" ca="1">IFERROR(IF(OR(INDEX(checklistPesertaKemenkeu!$O$6:$O$1005,SMALL(IF(checklistPesertaKemenkeu!$AY$6:$AY$1005="Direkomendasikan",ROW($6:$1005)-5),936))="",INDEX(checklistPesertaKemenkeu!$J$6:$J$1005,SMALL(IF(checklistPesertaKemenkeu!$AY$6:$AY$1005="Direkomendasikan",ROW($6:$1005)-5),936))=""),"",IF(AND(COUNTIF(INDIRECT("K_"&amp;MATCH(INDEX(checklistPesertaKemenkeu!$J$6:$J$1005,SMALL(IF(checklistPesertaKemenkeu!$AY$6:$AY$1005="Direkomendasikan",ROW($6:$1005)-5),936)),BidangList,0)),INDEX(checklistPesertaKemenkeu!$O$6:$O$1005,SMALL(IF(checklistPesertaKemenkeu!$AY$6:$AY$1005="Direkomendasikan",ROW($6:$1005)-5),936)))&gt;0,COUNTIF(INDIRECT("'KERTAS KERJA'!K"&amp;(SMALL(IF(checklistPesertaKemenkeu!$AY$6:$AY$1005="Direkomendasikan",ROW($6:$1005)-5),936)+5)&amp;":O"&amp;(SMALL(IF(checklistPesertaKemenkeu!$AY$6:$AY$1005="Direkomendasikan",ROW($6:$1005)-5),936)+5)),INDEX(checklistPesertaKemenkeu!$O$6:$O$1005,SMALL(IF(checklistPesertaKemenkeu!$AY$6:$AY$1005="Direkomendasikan",ROW($6:$1005)-5),936)))=1),IFERROR(VLOOKUP(INDEX(checklistPesertaKemenkeu!$O$6:$O$1005,SMALL(IF(checklistPesertaKemenkeu!$AY$6:$AY$1005="Direkomendasikan",ROW($6:$1005)-5),936)),KotaKode,2,0),"-"),"")),"")</f>
        <v/>
      </c>
      <c r="L937" t="str">
        <f t="array" aca="1" ref="L937" ca="1">IFERROR(IF(OR(INDEX(checklistPesertaKemenkeu!$P$6:$P$1005,SMALL(IF(checklistPesertaKemenkeu!$AY$6:$AY$1005="Direkomendasikan",ROW($6:$1005)-5),936))="",INDEX(checklistPesertaKemenkeu!$J$6:$J$1005,SMALL(IF(checklistPesertaKemenkeu!$AY$6:$AY$1005="Direkomendasikan",ROW($6:$1005)-5),936))=""),"",IF(AND(COUNTIF(INDIRECT("K_"&amp;MATCH(INDEX(checklistPesertaKemenkeu!$J$6:$J$1005,SMALL(IF(checklistPesertaKemenkeu!$AY$6:$AY$1005="Direkomendasikan",ROW($6:$1005)-5),936)),BidangList,0)),INDEX(checklistPesertaKemenkeu!$P$6:$P$1005,SMALL(IF(checklistPesertaKemenkeu!$AY$6:$AY$1005="Direkomendasikan",ROW($6:$1005)-5),936)))&gt;0,COUNTIF(INDIRECT("'KERTAS KERJA'!K"&amp;(SMALL(IF(checklistPesertaKemenkeu!$AY$6:$AY$1005="Direkomendasikan",ROW($6:$1005)-5),936)+5)&amp;":O"&amp;(SMALL(IF(checklistPesertaKemenkeu!$AY$6:$AY$1005="Direkomendasikan",ROW($6:$1005)-5),936)+5)),INDEX(checklistPesertaKemenkeu!$P$6:$P$1005,SMALL(IF(checklistPesertaKemenkeu!$AY$6:$AY$1005="Direkomendasikan",ROW($6:$1005)-5),936)))=1),IFERROR(VLOOKUP(INDEX(checklistPesertaKemenkeu!$P$6:$P$1005,SMALL(IF(checklistPesertaKemenkeu!$AY$6:$AY$1005="Direkomendasikan",ROW($6:$1005)-5),936)),KotaKode,2,0),"-"),"")),"")</f>
        <v/>
      </c>
    </row>
    <row r="938" spans="1:12" ht="15" customHeight="1" x14ac:dyDescent="0.2">
      <c r="A938" t="str">
        <f t="shared" si="14"/>
        <v/>
      </c>
      <c r="B938" t="str">
        <v/>
      </c>
      <c r="C938" s="40" t="str">
        <f t="array" ref="C938">IFERROR(INDEX(checklistPesertaKemenkeu!$F$6:$F$1005,SMALL(IF(checklistPesertaKemenkeu!$AY$6:$AY$1005="Direkomendasikan",ROW($6:$1005)-5),937)),"")</f>
        <v/>
      </c>
      <c r="D938" t="str">
        <f t="array" ref="D938">IFERROR(INDEX(checklistPesertaKemenkeu!$G$6:$G$1005,SMALL(IF(checklistPesertaKemenkeu!$AY$6:$AY$1005="Direkomendasikan",ROW($6:$1005)-5),937)),"")</f>
        <v/>
      </c>
      <c r="E938" t="str">
        <f t="array" ref="E938">IFERROR(INDEX(checklistPesertaKemenkeu!$H$6:$H$1005,SMALL(IF(checklistPesertaKemenkeu!$AY$6:$AY$1005="Direkomendasikan",ROW($6:$1005)-5),937)),"")</f>
        <v/>
      </c>
      <c r="F938" t="str">
        <f t="array" ref="F938">IFERROR(INDEX(checklistPesertaKemenkeu!$I$6:$I$1005,SMALL(IF(checklistPesertaKemenkeu!$AY$6:$AY$1005="Direkomendasikan",ROW($6:$1005)-5),937)),"")</f>
        <v/>
      </c>
      <c r="G938" t="str">
        <f t="array" ref="G938">IFERROR(INDEX(checklistPesertaKemenkeu!$J$6:$J$1005,SMALL(IF(checklistPesertaKemenkeu!$AY$6:$AY$1005="Direkomendasikan",ROW($6:$1005)-5),937)),"")</f>
        <v/>
      </c>
      <c r="H938" t="str">
        <f t="array" aca="1" ref="H938" ca="1">IFERROR(IF(OR(INDEX(checklistPesertaKemenkeu!$L$6:$L$1005,SMALL(IF(checklistPesertaKemenkeu!$AY$6:$AY$1005="Direkomendasikan",ROW($6:$1005)-5),937))="",INDEX(checklistPesertaKemenkeu!$J$6:$J$1005,SMALL(IF(checklistPesertaKemenkeu!$AY$6:$AY$1005="Direkomendasikan",ROW($6:$1005)-5),937))=""),"",IF(AND(COUNTIF(INDIRECT("K_"&amp;MATCH(INDEX(checklistPesertaKemenkeu!$J$6:$J$1005,SMALL(IF(checklistPesertaKemenkeu!$AY$6:$AY$1005="Direkomendasikan",ROW($6:$1005)-5),937)),BidangList,0)),INDEX(checklistPesertaKemenkeu!$L$6:$L$1005,SMALL(IF(checklistPesertaKemenkeu!$AY$6:$AY$1005="Direkomendasikan",ROW($6:$1005)-5),937)))&gt;0,COUNTIF(INDIRECT("'KERTAS KERJA'!K"&amp;(SMALL(IF(checklistPesertaKemenkeu!$AY$6:$AY$1005="Direkomendasikan",ROW($6:$1005)-5),937)+5)&amp;":O"&amp;(SMALL(IF(checklistPesertaKemenkeu!$AY$6:$AY$1005="Direkomendasikan",ROW($6:$1005)-5),937)+5)),INDEX(checklistPesertaKemenkeu!$L$6:$L$1005,SMALL(IF(checklistPesertaKemenkeu!$AY$6:$AY$1005="Direkomendasikan",ROW($6:$1005)-5),937)))=1),IFERROR(VLOOKUP(INDEX(checklistPesertaKemenkeu!$L$6:$L$1005,SMALL(IF(checklistPesertaKemenkeu!$AY$6:$AY$1005="Direkomendasikan",ROW($6:$1005)-5),937)),KotaKode,2,0),"-"),"")),"")</f>
        <v/>
      </c>
      <c r="I938" t="str">
        <f t="array" aca="1" ref="I938" ca="1">IFERROR(IF(OR(INDEX(checklistPesertaKemenkeu!$M$6:$M$1005,SMALL(IF(checklistPesertaKemenkeu!$AY$6:$AY$1005="Direkomendasikan",ROW($6:$1005)-5),937))="",INDEX(checklistPesertaKemenkeu!$J$6:$J$1005,SMALL(IF(checklistPesertaKemenkeu!$AY$6:$AY$1005="Direkomendasikan",ROW($6:$1005)-5),937))=""),"",IF(AND(COUNTIF(INDIRECT("K_"&amp;MATCH(INDEX(checklistPesertaKemenkeu!$J$6:$J$1005,SMALL(IF(checklistPesertaKemenkeu!$AY$6:$AY$1005="Direkomendasikan",ROW($6:$1005)-5),937)),BidangList,0)),INDEX(checklistPesertaKemenkeu!$M$6:$M$1005,SMALL(IF(checklistPesertaKemenkeu!$AY$6:$AY$1005="Direkomendasikan",ROW($6:$1005)-5),937)))&gt;0,COUNTIF(INDIRECT("'KERTAS KERJA'!K"&amp;(SMALL(IF(checklistPesertaKemenkeu!$AY$6:$AY$1005="Direkomendasikan",ROW($6:$1005)-5),937)+5)&amp;":O"&amp;(SMALL(IF(checklistPesertaKemenkeu!$AY$6:$AY$1005="Direkomendasikan",ROW($6:$1005)-5),937)+5)),INDEX(checklistPesertaKemenkeu!$M$6:$M$1005,SMALL(IF(checklistPesertaKemenkeu!$AY$6:$AY$1005="Direkomendasikan",ROW($6:$1005)-5),937)))=1),IFERROR(VLOOKUP(INDEX(checklistPesertaKemenkeu!$M$6:$M$1005,SMALL(IF(checklistPesertaKemenkeu!$AY$6:$AY$1005="Direkomendasikan",ROW($6:$1005)-5),937)),KotaKode,2,0),"-"),"")),"")</f>
        <v/>
      </c>
      <c r="J938" t="str">
        <f t="array" aca="1" ref="J938" ca="1">IFERROR(IF(OR(INDEX(checklistPesertaKemenkeu!$N$6:$N$1005,SMALL(IF(checklistPesertaKemenkeu!$AY$6:$AY$1005="Direkomendasikan",ROW($6:$1005)-5),937))="",INDEX(checklistPesertaKemenkeu!$J$6:$J$1005,SMALL(IF(checklistPesertaKemenkeu!$AY$6:$AY$1005="Direkomendasikan",ROW($6:$1005)-5),937))=""),"",IF(AND(COUNTIF(INDIRECT("K_"&amp;MATCH(INDEX(checklistPesertaKemenkeu!$J$6:$J$1005,SMALL(IF(checklistPesertaKemenkeu!$AY$6:$AY$1005="Direkomendasikan",ROW($6:$1005)-5),937)),BidangList,0)),INDEX(checklistPesertaKemenkeu!$N$6:$N$1005,SMALL(IF(checklistPesertaKemenkeu!$AY$6:$AY$1005="Direkomendasikan",ROW($6:$1005)-5),937)))&gt;0,COUNTIF(INDIRECT("'KERTAS KERJA'!K"&amp;(SMALL(IF(checklistPesertaKemenkeu!$AY$6:$AY$1005="Direkomendasikan",ROW($6:$1005)-5),937)+5)&amp;":O"&amp;(SMALL(IF(checklistPesertaKemenkeu!$AY$6:$AY$1005="Direkomendasikan",ROW($6:$1005)-5),937)+5)),INDEX(checklistPesertaKemenkeu!$N$6:$N$1005,SMALL(IF(checklistPesertaKemenkeu!$AY$6:$AY$1005="Direkomendasikan",ROW($6:$1005)-5),937)))=1),IFERROR(VLOOKUP(INDEX(checklistPesertaKemenkeu!$N$6:$N$1005,SMALL(IF(checklistPesertaKemenkeu!$AY$6:$AY$1005="Direkomendasikan",ROW($6:$1005)-5),937)),KotaKode,2,0),"-"),"")),"")</f>
        <v/>
      </c>
      <c r="K938" t="str">
        <f t="array" aca="1" ref="K938" ca="1">IFERROR(IF(OR(INDEX(checklistPesertaKemenkeu!$O$6:$O$1005,SMALL(IF(checklistPesertaKemenkeu!$AY$6:$AY$1005="Direkomendasikan",ROW($6:$1005)-5),937))="",INDEX(checklistPesertaKemenkeu!$J$6:$J$1005,SMALL(IF(checklistPesertaKemenkeu!$AY$6:$AY$1005="Direkomendasikan",ROW($6:$1005)-5),937))=""),"",IF(AND(COUNTIF(INDIRECT("K_"&amp;MATCH(INDEX(checklistPesertaKemenkeu!$J$6:$J$1005,SMALL(IF(checklistPesertaKemenkeu!$AY$6:$AY$1005="Direkomendasikan",ROW($6:$1005)-5),937)),BidangList,0)),INDEX(checklistPesertaKemenkeu!$O$6:$O$1005,SMALL(IF(checklistPesertaKemenkeu!$AY$6:$AY$1005="Direkomendasikan",ROW($6:$1005)-5),937)))&gt;0,COUNTIF(INDIRECT("'KERTAS KERJA'!K"&amp;(SMALL(IF(checklistPesertaKemenkeu!$AY$6:$AY$1005="Direkomendasikan",ROW($6:$1005)-5),937)+5)&amp;":O"&amp;(SMALL(IF(checklistPesertaKemenkeu!$AY$6:$AY$1005="Direkomendasikan",ROW($6:$1005)-5),937)+5)),INDEX(checklistPesertaKemenkeu!$O$6:$O$1005,SMALL(IF(checklistPesertaKemenkeu!$AY$6:$AY$1005="Direkomendasikan",ROW($6:$1005)-5),937)))=1),IFERROR(VLOOKUP(INDEX(checklistPesertaKemenkeu!$O$6:$O$1005,SMALL(IF(checklistPesertaKemenkeu!$AY$6:$AY$1005="Direkomendasikan",ROW($6:$1005)-5),937)),KotaKode,2,0),"-"),"")),"")</f>
        <v/>
      </c>
      <c r="L938" t="str">
        <f t="array" aca="1" ref="L938" ca="1">IFERROR(IF(OR(INDEX(checklistPesertaKemenkeu!$P$6:$P$1005,SMALL(IF(checklistPesertaKemenkeu!$AY$6:$AY$1005="Direkomendasikan",ROW($6:$1005)-5),937))="",INDEX(checklistPesertaKemenkeu!$J$6:$J$1005,SMALL(IF(checklistPesertaKemenkeu!$AY$6:$AY$1005="Direkomendasikan",ROW($6:$1005)-5),937))=""),"",IF(AND(COUNTIF(INDIRECT("K_"&amp;MATCH(INDEX(checklistPesertaKemenkeu!$J$6:$J$1005,SMALL(IF(checklistPesertaKemenkeu!$AY$6:$AY$1005="Direkomendasikan",ROW($6:$1005)-5),937)),BidangList,0)),INDEX(checklistPesertaKemenkeu!$P$6:$P$1005,SMALL(IF(checklistPesertaKemenkeu!$AY$6:$AY$1005="Direkomendasikan",ROW($6:$1005)-5),937)))&gt;0,COUNTIF(INDIRECT("'KERTAS KERJA'!K"&amp;(SMALL(IF(checklistPesertaKemenkeu!$AY$6:$AY$1005="Direkomendasikan",ROW($6:$1005)-5),937)+5)&amp;":O"&amp;(SMALL(IF(checklistPesertaKemenkeu!$AY$6:$AY$1005="Direkomendasikan",ROW($6:$1005)-5),937)+5)),INDEX(checklistPesertaKemenkeu!$P$6:$P$1005,SMALL(IF(checklistPesertaKemenkeu!$AY$6:$AY$1005="Direkomendasikan",ROW($6:$1005)-5),937)))=1),IFERROR(VLOOKUP(INDEX(checklistPesertaKemenkeu!$P$6:$P$1005,SMALL(IF(checklistPesertaKemenkeu!$AY$6:$AY$1005="Direkomendasikan",ROW($6:$1005)-5),937)),KotaKode,2,0),"-"),"")),"")</f>
        <v/>
      </c>
    </row>
    <row r="939" spans="1:12" ht="15" customHeight="1" x14ac:dyDescent="0.2">
      <c r="A939" t="str">
        <f t="shared" si="14"/>
        <v/>
      </c>
      <c r="B939" t="str">
        <v/>
      </c>
      <c r="C939" s="40" t="str">
        <f t="array" ref="C939">IFERROR(INDEX(checklistPesertaKemenkeu!$F$6:$F$1005,SMALL(IF(checklistPesertaKemenkeu!$AY$6:$AY$1005="Direkomendasikan",ROW($6:$1005)-5),938)),"")</f>
        <v/>
      </c>
      <c r="D939" t="str">
        <f t="array" ref="D939">IFERROR(INDEX(checklistPesertaKemenkeu!$G$6:$G$1005,SMALL(IF(checklistPesertaKemenkeu!$AY$6:$AY$1005="Direkomendasikan",ROW($6:$1005)-5),938)),"")</f>
        <v/>
      </c>
      <c r="E939" t="str">
        <f t="array" ref="E939">IFERROR(INDEX(checklistPesertaKemenkeu!$H$6:$H$1005,SMALL(IF(checklistPesertaKemenkeu!$AY$6:$AY$1005="Direkomendasikan",ROW($6:$1005)-5),938)),"")</f>
        <v/>
      </c>
      <c r="F939" t="str">
        <f t="array" ref="F939">IFERROR(INDEX(checklistPesertaKemenkeu!$I$6:$I$1005,SMALL(IF(checklistPesertaKemenkeu!$AY$6:$AY$1005="Direkomendasikan",ROW($6:$1005)-5),938)),"")</f>
        <v/>
      </c>
      <c r="G939" t="str">
        <f t="array" ref="G939">IFERROR(INDEX(checklistPesertaKemenkeu!$J$6:$J$1005,SMALL(IF(checklistPesertaKemenkeu!$AY$6:$AY$1005="Direkomendasikan",ROW($6:$1005)-5),938)),"")</f>
        <v/>
      </c>
      <c r="H939" t="str">
        <f t="array" aca="1" ref="H939" ca="1">IFERROR(IF(OR(INDEX(checklistPesertaKemenkeu!$L$6:$L$1005,SMALL(IF(checklistPesertaKemenkeu!$AY$6:$AY$1005="Direkomendasikan",ROW($6:$1005)-5),938))="",INDEX(checklistPesertaKemenkeu!$J$6:$J$1005,SMALL(IF(checklistPesertaKemenkeu!$AY$6:$AY$1005="Direkomendasikan",ROW($6:$1005)-5),938))=""),"",IF(AND(COUNTIF(INDIRECT("K_"&amp;MATCH(INDEX(checklistPesertaKemenkeu!$J$6:$J$1005,SMALL(IF(checklistPesertaKemenkeu!$AY$6:$AY$1005="Direkomendasikan",ROW($6:$1005)-5),938)),BidangList,0)),INDEX(checklistPesertaKemenkeu!$L$6:$L$1005,SMALL(IF(checklistPesertaKemenkeu!$AY$6:$AY$1005="Direkomendasikan",ROW($6:$1005)-5),938)))&gt;0,COUNTIF(INDIRECT("'KERTAS KERJA'!K"&amp;(SMALL(IF(checklistPesertaKemenkeu!$AY$6:$AY$1005="Direkomendasikan",ROW($6:$1005)-5),938)+5)&amp;":O"&amp;(SMALL(IF(checklistPesertaKemenkeu!$AY$6:$AY$1005="Direkomendasikan",ROW($6:$1005)-5),938)+5)),INDEX(checklistPesertaKemenkeu!$L$6:$L$1005,SMALL(IF(checklistPesertaKemenkeu!$AY$6:$AY$1005="Direkomendasikan",ROW($6:$1005)-5),938)))=1),IFERROR(VLOOKUP(INDEX(checklistPesertaKemenkeu!$L$6:$L$1005,SMALL(IF(checklistPesertaKemenkeu!$AY$6:$AY$1005="Direkomendasikan",ROW($6:$1005)-5),938)),KotaKode,2,0),"-"),"")),"")</f>
        <v/>
      </c>
      <c r="I939" t="str">
        <f t="array" aca="1" ref="I939" ca="1">IFERROR(IF(OR(INDEX(checklistPesertaKemenkeu!$M$6:$M$1005,SMALL(IF(checklistPesertaKemenkeu!$AY$6:$AY$1005="Direkomendasikan",ROW($6:$1005)-5),938))="",INDEX(checklistPesertaKemenkeu!$J$6:$J$1005,SMALL(IF(checklistPesertaKemenkeu!$AY$6:$AY$1005="Direkomendasikan",ROW($6:$1005)-5),938))=""),"",IF(AND(COUNTIF(INDIRECT("K_"&amp;MATCH(INDEX(checklistPesertaKemenkeu!$J$6:$J$1005,SMALL(IF(checklistPesertaKemenkeu!$AY$6:$AY$1005="Direkomendasikan",ROW($6:$1005)-5),938)),BidangList,0)),INDEX(checklistPesertaKemenkeu!$M$6:$M$1005,SMALL(IF(checklistPesertaKemenkeu!$AY$6:$AY$1005="Direkomendasikan",ROW($6:$1005)-5),938)))&gt;0,COUNTIF(INDIRECT("'KERTAS KERJA'!K"&amp;(SMALL(IF(checklistPesertaKemenkeu!$AY$6:$AY$1005="Direkomendasikan",ROW($6:$1005)-5),938)+5)&amp;":O"&amp;(SMALL(IF(checklistPesertaKemenkeu!$AY$6:$AY$1005="Direkomendasikan",ROW($6:$1005)-5),938)+5)),INDEX(checklistPesertaKemenkeu!$M$6:$M$1005,SMALL(IF(checklistPesertaKemenkeu!$AY$6:$AY$1005="Direkomendasikan",ROW($6:$1005)-5),938)))=1),IFERROR(VLOOKUP(INDEX(checklistPesertaKemenkeu!$M$6:$M$1005,SMALL(IF(checklistPesertaKemenkeu!$AY$6:$AY$1005="Direkomendasikan",ROW($6:$1005)-5),938)),KotaKode,2,0),"-"),"")),"")</f>
        <v/>
      </c>
      <c r="J939" t="str">
        <f t="array" aca="1" ref="J939" ca="1">IFERROR(IF(OR(INDEX(checklistPesertaKemenkeu!$N$6:$N$1005,SMALL(IF(checklistPesertaKemenkeu!$AY$6:$AY$1005="Direkomendasikan",ROW($6:$1005)-5),938))="",INDEX(checklistPesertaKemenkeu!$J$6:$J$1005,SMALL(IF(checklistPesertaKemenkeu!$AY$6:$AY$1005="Direkomendasikan",ROW($6:$1005)-5),938))=""),"",IF(AND(COUNTIF(INDIRECT("K_"&amp;MATCH(INDEX(checklistPesertaKemenkeu!$J$6:$J$1005,SMALL(IF(checklistPesertaKemenkeu!$AY$6:$AY$1005="Direkomendasikan",ROW($6:$1005)-5),938)),BidangList,0)),INDEX(checklistPesertaKemenkeu!$N$6:$N$1005,SMALL(IF(checklistPesertaKemenkeu!$AY$6:$AY$1005="Direkomendasikan",ROW($6:$1005)-5),938)))&gt;0,COUNTIF(INDIRECT("'KERTAS KERJA'!K"&amp;(SMALL(IF(checklistPesertaKemenkeu!$AY$6:$AY$1005="Direkomendasikan",ROW($6:$1005)-5),938)+5)&amp;":O"&amp;(SMALL(IF(checklistPesertaKemenkeu!$AY$6:$AY$1005="Direkomendasikan",ROW($6:$1005)-5),938)+5)),INDEX(checklistPesertaKemenkeu!$N$6:$N$1005,SMALL(IF(checklistPesertaKemenkeu!$AY$6:$AY$1005="Direkomendasikan",ROW($6:$1005)-5),938)))=1),IFERROR(VLOOKUP(INDEX(checklistPesertaKemenkeu!$N$6:$N$1005,SMALL(IF(checklistPesertaKemenkeu!$AY$6:$AY$1005="Direkomendasikan",ROW($6:$1005)-5),938)),KotaKode,2,0),"-"),"")),"")</f>
        <v/>
      </c>
      <c r="K939" t="str">
        <f t="array" aca="1" ref="K939" ca="1">IFERROR(IF(OR(INDEX(checklistPesertaKemenkeu!$O$6:$O$1005,SMALL(IF(checklistPesertaKemenkeu!$AY$6:$AY$1005="Direkomendasikan",ROW($6:$1005)-5),938))="",INDEX(checklistPesertaKemenkeu!$J$6:$J$1005,SMALL(IF(checklistPesertaKemenkeu!$AY$6:$AY$1005="Direkomendasikan",ROW($6:$1005)-5),938))=""),"",IF(AND(COUNTIF(INDIRECT("K_"&amp;MATCH(INDEX(checklistPesertaKemenkeu!$J$6:$J$1005,SMALL(IF(checklistPesertaKemenkeu!$AY$6:$AY$1005="Direkomendasikan",ROW($6:$1005)-5),938)),BidangList,0)),INDEX(checklistPesertaKemenkeu!$O$6:$O$1005,SMALL(IF(checklistPesertaKemenkeu!$AY$6:$AY$1005="Direkomendasikan",ROW($6:$1005)-5),938)))&gt;0,COUNTIF(INDIRECT("'KERTAS KERJA'!K"&amp;(SMALL(IF(checklistPesertaKemenkeu!$AY$6:$AY$1005="Direkomendasikan",ROW($6:$1005)-5),938)+5)&amp;":O"&amp;(SMALL(IF(checklistPesertaKemenkeu!$AY$6:$AY$1005="Direkomendasikan",ROW($6:$1005)-5),938)+5)),INDEX(checklistPesertaKemenkeu!$O$6:$O$1005,SMALL(IF(checklistPesertaKemenkeu!$AY$6:$AY$1005="Direkomendasikan",ROW($6:$1005)-5),938)))=1),IFERROR(VLOOKUP(INDEX(checklistPesertaKemenkeu!$O$6:$O$1005,SMALL(IF(checklistPesertaKemenkeu!$AY$6:$AY$1005="Direkomendasikan",ROW($6:$1005)-5),938)),KotaKode,2,0),"-"),"")),"")</f>
        <v/>
      </c>
      <c r="L939" t="str">
        <f t="array" aca="1" ref="L939" ca="1">IFERROR(IF(OR(INDEX(checklistPesertaKemenkeu!$P$6:$P$1005,SMALL(IF(checklistPesertaKemenkeu!$AY$6:$AY$1005="Direkomendasikan",ROW($6:$1005)-5),938))="",INDEX(checklistPesertaKemenkeu!$J$6:$J$1005,SMALL(IF(checklistPesertaKemenkeu!$AY$6:$AY$1005="Direkomendasikan",ROW($6:$1005)-5),938))=""),"",IF(AND(COUNTIF(INDIRECT("K_"&amp;MATCH(INDEX(checklistPesertaKemenkeu!$J$6:$J$1005,SMALL(IF(checklistPesertaKemenkeu!$AY$6:$AY$1005="Direkomendasikan",ROW($6:$1005)-5),938)),BidangList,0)),INDEX(checklistPesertaKemenkeu!$P$6:$P$1005,SMALL(IF(checklistPesertaKemenkeu!$AY$6:$AY$1005="Direkomendasikan",ROW($6:$1005)-5),938)))&gt;0,COUNTIF(INDIRECT("'KERTAS KERJA'!K"&amp;(SMALL(IF(checklistPesertaKemenkeu!$AY$6:$AY$1005="Direkomendasikan",ROW($6:$1005)-5),938)+5)&amp;":O"&amp;(SMALL(IF(checklistPesertaKemenkeu!$AY$6:$AY$1005="Direkomendasikan",ROW($6:$1005)-5),938)+5)),INDEX(checklistPesertaKemenkeu!$P$6:$P$1005,SMALL(IF(checklistPesertaKemenkeu!$AY$6:$AY$1005="Direkomendasikan",ROW($6:$1005)-5),938)))=1),IFERROR(VLOOKUP(INDEX(checklistPesertaKemenkeu!$P$6:$P$1005,SMALL(IF(checklistPesertaKemenkeu!$AY$6:$AY$1005="Direkomendasikan",ROW($6:$1005)-5),938)),KotaKode,2,0),"-"),"")),"")</f>
        <v/>
      </c>
    </row>
    <row r="940" spans="1:12" ht="15" customHeight="1" x14ac:dyDescent="0.2">
      <c r="A940" t="str">
        <f t="shared" si="14"/>
        <v/>
      </c>
      <c r="B940" t="str">
        <v/>
      </c>
      <c r="C940" s="40" t="str">
        <f t="array" ref="C940">IFERROR(INDEX(checklistPesertaKemenkeu!$F$6:$F$1005,SMALL(IF(checklistPesertaKemenkeu!$AY$6:$AY$1005="Direkomendasikan",ROW($6:$1005)-5),939)),"")</f>
        <v/>
      </c>
      <c r="D940" t="str">
        <f t="array" ref="D940">IFERROR(INDEX(checklistPesertaKemenkeu!$G$6:$G$1005,SMALL(IF(checklistPesertaKemenkeu!$AY$6:$AY$1005="Direkomendasikan",ROW($6:$1005)-5),939)),"")</f>
        <v/>
      </c>
      <c r="E940" t="str">
        <f t="array" ref="E940">IFERROR(INDEX(checklistPesertaKemenkeu!$H$6:$H$1005,SMALL(IF(checklistPesertaKemenkeu!$AY$6:$AY$1005="Direkomendasikan",ROW($6:$1005)-5),939)),"")</f>
        <v/>
      </c>
      <c r="F940" t="str">
        <f t="array" ref="F940">IFERROR(INDEX(checklistPesertaKemenkeu!$I$6:$I$1005,SMALL(IF(checklistPesertaKemenkeu!$AY$6:$AY$1005="Direkomendasikan",ROW($6:$1005)-5),939)),"")</f>
        <v/>
      </c>
      <c r="G940" t="str">
        <f t="array" ref="G940">IFERROR(INDEX(checklistPesertaKemenkeu!$J$6:$J$1005,SMALL(IF(checklistPesertaKemenkeu!$AY$6:$AY$1005="Direkomendasikan",ROW($6:$1005)-5),939)),"")</f>
        <v/>
      </c>
      <c r="H940" t="str">
        <f t="array" aca="1" ref="H940" ca="1">IFERROR(IF(OR(INDEX(checklistPesertaKemenkeu!$L$6:$L$1005,SMALL(IF(checklistPesertaKemenkeu!$AY$6:$AY$1005="Direkomendasikan",ROW($6:$1005)-5),939))="",INDEX(checklistPesertaKemenkeu!$J$6:$J$1005,SMALL(IF(checklistPesertaKemenkeu!$AY$6:$AY$1005="Direkomendasikan",ROW($6:$1005)-5),939))=""),"",IF(AND(COUNTIF(INDIRECT("K_"&amp;MATCH(INDEX(checklistPesertaKemenkeu!$J$6:$J$1005,SMALL(IF(checklistPesertaKemenkeu!$AY$6:$AY$1005="Direkomendasikan",ROW($6:$1005)-5),939)),BidangList,0)),INDEX(checklistPesertaKemenkeu!$L$6:$L$1005,SMALL(IF(checklistPesertaKemenkeu!$AY$6:$AY$1005="Direkomendasikan",ROW($6:$1005)-5),939)))&gt;0,COUNTIF(INDIRECT("'KERTAS KERJA'!K"&amp;(SMALL(IF(checklistPesertaKemenkeu!$AY$6:$AY$1005="Direkomendasikan",ROW($6:$1005)-5),939)+5)&amp;":O"&amp;(SMALL(IF(checklistPesertaKemenkeu!$AY$6:$AY$1005="Direkomendasikan",ROW($6:$1005)-5),939)+5)),INDEX(checklistPesertaKemenkeu!$L$6:$L$1005,SMALL(IF(checklistPesertaKemenkeu!$AY$6:$AY$1005="Direkomendasikan",ROW($6:$1005)-5),939)))=1),IFERROR(VLOOKUP(INDEX(checklistPesertaKemenkeu!$L$6:$L$1005,SMALL(IF(checklistPesertaKemenkeu!$AY$6:$AY$1005="Direkomendasikan",ROW($6:$1005)-5),939)),KotaKode,2,0),"-"),"")),"")</f>
        <v/>
      </c>
      <c r="I940" t="str">
        <f t="array" aca="1" ref="I940" ca="1">IFERROR(IF(OR(INDEX(checklistPesertaKemenkeu!$M$6:$M$1005,SMALL(IF(checklistPesertaKemenkeu!$AY$6:$AY$1005="Direkomendasikan",ROW($6:$1005)-5),939))="",INDEX(checklistPesertaKemenkeu!$J$6:$J$1005,SMALL(IF(checklistPesertaKemenkeu!$AY$6:$AY$1005="Direkomendasikan",ROW($6:$1005)-5),939))=""),"",IF(AND(COUNTIF(INDIRECT("K_"&amp;MATCH(INDEX(checklistPesertaKemenkeu!$J$6:$J$1005,SMALL(IF(checklistPesertaKemenkeu!$AY$6:$AY$1005="Direkomendasikan",ROW($6:$1005)-5),939)),BidangList,0)),INDEX(checklistPesertaKemenkeu!$M$6:$M$1005,SMALL(IF(checklistPesertaKemenkeu!$AY$6:$AY$1005="Direkomendasikan",ROW($6:$1005)-5),939)))&gt;0,COUNTIF(INDIRECT("'KERTAS KERJA'!K"&amp;(SMALL(IF(checklistPesertaKemenkeu!$AY$6:$AY$1005="Direkomendasikan",ROW($6:$1005)-5),939)+5)&amp;":O"&amp;(SMALL(IF(checklistPesertaKemenkeu!$AY$6:$AY$1005="Direkomendasikan",ROW($6:$1005)-5),939)+5)),INDEX(checklistPesertaKemenkeu!$M$6:$M$1005,SMALL(IF(checklistPesertaKemenkeu!$AY$6:$AY$1005="Direkomendasikan",ROW($6:$1005)-5),939)))=1),IFERROR(VLOOKUP(INDEX(checklistPesertaKemenkeu!$M$6:$M$1005,SMALL(IF(checklistPesertaKemenkeu!$AY$6:$AY$1005="Direkomendasikan",ROW($6:$1005)-5),939)),KotaKode,2,0),"-"),"")),"")</f>
        <v/>
      </c>
      <c r="J940" t="str">
        <f t="array" aca="1" ref="J940" ca="1">IFERROR(IF(OR(INDEX(checklistPesertaKemenkeu!$N$6:$N$1005,SMALL(IF(checklistPesertaKemenkeu!$AY$6:$AY$1005="Direkomendasikan",ROW($6:$1005)-5),939))="",INDEX(checklistPesertaKemenkeu!$J$6:$J$1005,SMALL(IF(checklistPesertaKemenkeu!$AY$6:$AY$1005="Direkomendasikan",ROW($6:$1005)-5),939))=""),"",IF(AND(COUNTIF(INDIRECT("K_"&amp;MATCH(INDEX(checklistPesertaKemenkeu!$J$6:$J$1005,SMALL(IF(checklistPesertaKemenkeu!$AY$6:$AY$1005="Direkomendasikan",ROW($6:$1005)-5),939)),BidangList,0)),INDEX(checklistPesertaKemenkeu!$N$6:$N$1005,SMALL(IF(checklistPesertaKemenkeu!$AY$6:$AY$1005="Direkomendasikan",ROW($6:$1005)-5),939)))&gt;0,COUNTIF(INDIRECT("'KERTAS KERJA'!K"&amp;(SMALL(IF(checklistPesertaKemenkeu!$AY$6:$AY$1005="Direkomendasikan",ROW($6:$1005)-5),939)+5)&amp;":O"&amp;(SMALL(IF(checklistPesertaKemenkeu!$AY$6:$AY$1005="Direkomendasikan",ROW($6:$1005)-5),939)+5)),INDEX(checklistPesertaKemenkeu!$N$6:$N$1005,SMALL(IF(checklistPesertaKemenkeu!$AY$6:$AY$1005="Direkomendasikan",ROW($6:$1005)-5),939)))=1),IFERROR(VLOOKUP(INDEX(checklistPesertaKemenkeu!$N$6:$N$1005,SMALL(IF(checklistPesertaKemenkeu!$AY$6:$AY$1005="Direkomendasikan",ROW($6:$1005)-5),939)),KotaKode,2,0),"-"),"")),"")</f>
        <v/>
      </c>
      <c r="K940" t="str">
        <f t="array" aca="1" ref="K940" ca="1">IFERROR(IF(OR(INDEX(checklistPesertaKemenkeu!$O$6:$O$1005,SMALL(IF(checklistPesertaKemenkeu!$AY$6:$AY$1005="Direkomendasikan",ROW($6:$1005)-5),939))="",INDEX(checklistPesertaKemenkeu!$J$6:$J$1005,SMALL(IF(checklistPesertaKemenkeu!$AY$6:$AY$1005="Direkomendasikan",ROW($6:$1005)-5),939))=""),"",IF(AND(COUNTIF(INDIRECT("K_"&amp;MATCH(INDEX(checklistPesertaKemenkeu!$J$6:$J$1005,SMALL(IF(checklistPesertaKemenkeu!$AY$6:$AY$1005="Direkomendasikan",ROW($6:$1005)-5),939)),BidangList,0)),INDEX(checklistPesertaKemenkeu!$O$6:$O$1005,SMALL(IF(checklistPesertaKemenkeu!$AY$6:$AY$1005="Direkomendasikan",ROW($6:$1005)-5),939)))&gt;0,COUNTIF(INDIRECT("'KERTAS KERJA'!K"&amp;(SMALL(IF(checklistPesertaKemenkeu!$AY$6:$AY$1005="Direkomendasikan",ROW($6:$1005)-5),939)+5)&amp;":O"&amp;(SMALL(IF(checklistPesertaKemenkeu!$AY$6:$AY$1005="Direkomendasikan",ROW($6:$1005)-5),939)+5)),INDEX(checklistPesertaKemenkeu!$O$6:$O$1005,SMALL(IF(checklistPesertaKemenkeu!$AY$6:$AY$1005="Direkomendasikan",ROW($6:$1005)-5),939)))=1),IFERROR(VLOOKUP(INDEX(checklistPesertaKemenkeu!$O$6:$O$1005,SMALL(IF(checklistPesertaKemenkeu!$AY$6:$AY$1005="Direkomendasikan",ROW($6:$1005)-5),939)),KotaKode,2,0),"-"),"")),"")</f>
        <v/>
      </c>
      <c r="L940" t="str">
        <f t="array" aca="1" ref="L940" ca="1">IFERROR(IF(OR(INDEX(checklistPesertaKemenkeu!$P$6:$P$1005,SMALL(IF(checklistPesertaKemenkeu!$AY$6:$AY$1005="Direkomendasikan",ROW($6:$1005)-5),939))="",INDEX(checklistPesertaKemenkeu!$J$6:$J$1005,SMALL(IF(checklistPesertaKemenkeu!$AY$6:$AY$1005="Direkomendasikan",ROW($6:$1005)-5),939))=""),"",IF(AND(COUNTIF(INDIRECT("K_"&amp;MATCH(INDEX(checklistPesertaKemenkeu!$J$6:$J$1005,SMALL(IF(checklistPesertaKemenkeu!$AY$6:$AY$1005="Direkomendasikan",ROW($6:$1005)-5),939)),BidangList,0)),INDEX(checklistPesertaKemenkeu!$P$6:$P$1005,SMALL(IF(checklistPesertaKemenkeu!$AY$6:$AY$1005="Direkomendasikan",ROW($6:$1005)-5),939)))&gt;0,COUNTIF(INDIRECT("'KERTAS KERJA'!K"&amp;(SMALL(IF(checklistPesertaKemenkeu!$AY$6:$AY$1005="Direkomendasikan",ROW($6:$1005)-5),939)+5)&amp;":O"&amp;(SMALL(IF(checklistPesertaKemenkeu!$AY$6:$AY$1005="Direkomendasikan",ROW($6:$1005)-5),939)+5)),INDEX(checklistPesertaKemenkeu!$P$6:$P$1005,SMALL(IF(checklistPesertaKemenkeu!$AY$6:$AY$1005="Direkomendasikan",ROW($6:$1005)-5),939)))=1),IFERROR(VLOOKUP(INDEX(checklistPesertaKemenkeu!$P$6:$P$1005,SMALL(IF(checklistPesertaKemenkeu!$AY$6:$AY$1005="Direkomendasikan",ROW($6:$1005)-5),939)),KotaKode,2,0),"-"),"")),"")</f>
        <v/>
      </c>
    </row>
    <row r="941" spans="1:12" ht="15" customHeight="1" x14ac:dyDescent="0.2">
      <c r="A941" t="str">
        <f t="shared" si="14"/>
        <v/>
      </c>
      <c r="B941" t="str">
        <v/>
      </c>
      <c r="C941" s="40" t="str">
        <f t="array" ref="C941">IFERROR(INDEX(checklistPesertaKemenkeu!$F$6:$F$1005,SMALL(IF(checklistPesertaKemenkeu!$AY$6:$AY$1005="Direkomendasikan",ROW($6:$1005)-5),940)),"")</f>
        <v/>
      </c>
      <c r="D941" t="str">
        <f t="array" ref="D941">IFERROR(INDEX(checklistPesertaKemenkeu!$G$6:$G$1005,SMALL(IF(checklistPesertaKemenkeu!$AY$6:$AY$1005="Direkomendasikan",ROW($6:$1005)-5),940)),"")</f>
        <v/>
      </c>
      <c r="E941" t="str">
        <f t="array" ref="E941">IFERROR(INDEX(checklistPesertaKemenkeu!$H$6:$H$1005,SMALL(IF(checklistPesertaKemenkeu!$AY$6:$AY$1005="Direkomendasikan",ROW($6:$1005)-5),940)),"")</f>
        <v/>
      </c>
      <c r="F941" t="str">
        <f t="array" ref="F941">IFERROR(INDEX(checklistPesertaKemenkeu!$I$6:$I$1005,SMALL(IF(checklistPesertaKemenkeu!$AY$6:$AY$1005="Direkomendasikan",ROW($6:$1005)-5),940)),"")</f>
        <v/>
      </c>
      <c r="G941" t="str">
        <f t="array" ref="G941">IFERROR(INDEX(checklistPesertaKemenkeu!$J$6:$J$1005,SMALL(IF(checklistPesertaKemenkeu!$AY$6:$AY$1005="Direkomendasikan",ROW($6:$1005)-5),940)),"")</f>
        <v/>
      </c>
      <c r="H941" t="str">
        <f t="array" aca="1" ref="H941" ca="1">IFERROR(IF(OR(INDEX(checklistPesertaKemenkeu!$L$6:$L$1005,SMALL(IF(checklistPesertaKemenkeu!$AY$6:$AY$1005="Direkomendasikan",ROW($6:$1005)-5),940))="",INDEX(checklistPesertaKemenkeu!$J$6:$J$1005,SMALL(IF(checklistPesertaKemenkeu!$AY$6:$AY$1005="Direkomendasikan",ROW($6:$1005)-5),940))=""),"",IF(AND(COUNTIF(INDIRECT("K_"&amp;MATCH(INDEX(checklistPesertaKemenkeu!$J$6:$J$1005,SMALL(IF(checklistPesertaKemenkeu!$AY$6:$AY$1005="Direkomendasikan",ROW($6:$1005)-5),940)),BidangList,0)),INDEX(checklistPesertaKemenkeu!$L$6:$L$1005,SMALL(IF(checklistPesertaKemenkeu!$AY$6:$AY$1005="Direkomendasikan",ROW($6:$1005)-5),940)))&gt;0,COUNTIF(INDIRECT("'KERTAS KERJA'!K"&amp;(SMALL(IF(checklistPesertaKemenkeu!$AY$6:$AY$1005="Direkomendasikan",ROW($6:$1005)-5),940)+5)&amp;":O"&amp;(SMALL(IF(checklistPesertaKemenkeu!$AY$6:$AY$1005="Direkomendasikan",ROW($6:$1005)-5),940)+5)),INDEX(checklistPesertaKemenkeu!$L$6:$L$1005,SMALL(IF(checklistPesertaKemenkeu!$AY$6:$AY$1005="Direkomendasikan",ROW($6:$1005)-5),940)))=1),IFERROR(VLOOKUP(INDEX(checklistPesertaKemenkeu!$L$6:$L$1005,SMALL(IF(checklistPesertaKemenkeu!$AY$6:$AY$1005="Direkomendasikan",ROW($6:$1005)-5),940)),KotaKode,2,0),"-"),"")),"")</f>
        <v/>
      </c>
      <c r="I941" t="str">
        <f t="array" aca="1" ref="I941" ca="1">IFERROR(IF(OR(INDEX(checklistPesertaKemenkeu!$M$6:$M$1005,SMALL(IF(checklistPesertaKemenkeu!$AY$6:$AY$1005="Direkomendasikan",ROW($6:$1005)-5),940))="",INDEX(checklistPesertaKemenkeu!$J$6:$J$1005,SMALL(IF(checklistPesertaKemenkeu!$AY$6:$AY$1005="Direkomendasikan",ROW($6:$1005)-5),940))=""),"",IF(AND(COUNTIF(INDIRECT("K_"&amp;MATCH(INDEX(checklistPesertaKemenkeu!$J$6:$J$1005,SMALL(IF(checklistPesertaKemenkeu!$AY$6:$AY$1005="Direkomendasikan",ROW($6:$1005)-5),940)),BidangList,0)),INDEX(checklistPesertaKemenkeu!$M$6:$M$1005,SMALL(IF(checklistPesertaKemenkeu!$AY$6:$AY$1005="Direkomendasikan",ROW($6:$1005)-5),940)))&gt;0,COUNTIF(INDIRECT("'KERTAS KERJA'!K"&amp;(SMALL(IF(checklistPesertaKemenkeu!$AY$6:$AY$1005="Direkomendasikan",ROW($6:$1005)-5),940)+5)&amp;":O"&amp;(SMALL(IF(checklistPesertaKemenkeu!$AY$6:$AY$1005="Direkomendasikan",ROW($6:$1005)-5),940)+5)),INDEX(checklistPesertaKemenkeu!$M$6:$M$1005,SMALL(IF(checklistPesertaKemenkeu!$AY$6:$AY$1005="Direkomendasikan",ROW($6:$1005)-5),940)))=1),IFERROR(VLOOKUP(INDEX(checklistPesertaKemenkeu!$M$6:$M$1005,SMALL(IF(checklistPesertaKemenkeu!$AY$6:$AY$1005="Direkomendasikan",ROW($6:$1005)-5),940)),KotaKode,2,0),"-"),"")),"")</f>
        <v/>
      </c>
      <c r="J941" t="str">
        <f t="array" aca="1" ref="J941" ca="1">IFERROR(IF(OR(INDEX(checklistPesertaKemenkeu!$N$6:$N$1005,SMALL(IF(checklistPesertaKemenkeu!$AY$6:$AY$1005="Direkomendasikan",ROW($6:$1005)-5),940))="",INDEX(checklistPesertaKemenkeu!$J$6:$J$1005,SMALL(IF(checklistPesertaKemenkeu!$AY$6:$AY$1005="Direkomendasikan",ROW($6:$1005)-5),940))=""),"",IF(AND(COUNTIF(INDIRECT("K_"&amp;MATCH(INDEX(checklistPesertaKemenkeu!$J$6:$J$1005,SMALL(IF(checklistPesertaKemenkeu!$AY$6:$AY$1005="Direkomendasikan",ROW($6:$1005)-5),940)),BidangList,0)),INDEX(checklistPesertaKemenkeu!$N$6:$N$1005,SMALL(IF(checklistPesertaKemenkeu!$AY$6:$AY$1005="Direkomendasikan",ROW($6:$1005)-5),940)))&gt;0,COUNTIF(INDIRECT("'KERTAS KERJA'!K"&amp;(SMALL(IF(checklistPesertaKemenkeu!$AY$6:$AY$1005="Direkomendasikan",ROW($6:$1005)-5),940)+5)&amp;":O"&amp;(SMALL(IF(checklistPesertaKemenkeu!$AY$6:$AY$1005="Direkomendasikan",ROW($6:$1005)-5),940)+5)),INDEX(checklistPesertaKemenkeu!$N$6:$N$1005,SMALL(IF(checklistPesertaKemenkeu!$AY$6:$AY$1005="Direkomendasikan",ROW($6:$1005)-5),940)))=1),IFERROR(VLOOKUP(INDEX(checklistPesertaKemenkeu!$N$6:$N$1005,SMALL(IF(checklistPesertaKemenkeu!$AY$6:$AY$1005="Direkomendasikan",ROW($6:$1005)-5),940)),KotaKode,2,0),"-"),"")),"")</f>
        <v/>
      </c>
      <c r="K941" t="str">
        <f t="array" aca="1" ref="K941" ca="1">IFERROR(IF(OR(INDEX(checklistPesertaKemenkeu!$O$6:$O$1005,SMALL(IF(checklistPesertaKemenkeu!$AY$6:$AY$1005="Direkomendasikan",ROW($6:$1005)-5),940))="",INDEX(checklistPesertaKemenkeu!$J$6:$J$1005,SMALL(IF(checklistPesertaKemenkeu!$AY$6:$AY$1005="Direkomendasikan",ROW($6:$1005)-5),940))=""),"",IF(AND(COUNTIF(INDIRECT("K_"&amp;MATCH(INDEX(checklistPesertaKemenkeu!$J$6:$J$1005,SMALL(IF(checklistPesertaKemenkeu!$AY$6:$AY$1005="Direkomendasikan",ROW($6:$1005)-5),940)),BidangList,0)),INDEX(checklistPesertaKemenkeu!$O$6:$O$1005,SMALL(IF(checklistPesertaKemenkeu!$AY$6:$AY$1005="Direkomendasikan",ROW($6:$1005)-5),940)))&gt;0,COUNTIF(INDIRECT("'KERTAS KERJA'!K"&amp;(SMALL(IF(checklistPesertaKemenkeu!$AY$6:$AY$1005="Direkomendasikan",ROW($6:$1005)-5),940)+5)&amp;":O"&amp;(SMALL(IF(checklistPesertaKemenkeu!$AY$6:$AY$1005="Direkomendasikan",ROW($6:$1005)-5),940)+5)),INDEX(checklistPesertaKemenkeu!$O$6:$O$1005,SMALL(IF(checklistPesertaKemenkeu!$AY$6:$AY$1005="Direkomendasikan",ROW($6:$1005)-5),940)))=1),IFERROR(VLOOKUP(INDEX(checklistPesertaKemenkeu!$O$6:$O$1005,SMALL(IF(checklistPesertaKemenkeu!$AY$6:$AY$1005="Direkomendasikan",ROW($6:$1005)-5),940)),KotaKode,2,0),"-"),"")),"")</f>
        <v/>
      </c>
      <c r="L941" t="str">
        <f t="array" aca="1" ref="L941" ca="1">IFERROR(IF(OR(INDEX(checklistPesertaKemenkeu!$P$6:$P$1005,SMALL(IF(checklistPesertaKemenkeu!$AY$6:$AY$1005="Direkomendasikan",ROW($6:$1005)-5),940))="",INDEX(checklistPesertaKemenkeu!$J$6:$J$1005,SMALL(IF(checklistPesertaKemenkeu!$AY$6:$AY$1005="Direkomendasikan",ROW($6:$1005)-5),940))=""),"",IF(AND(COUNTIF(INDIRECT("K_"&amp;MATCH(INDEX(checklistPesertaKemenkeu!$J$6:$J$1005,SMALL(IF(checklistPesertaKemenkeu!$AY$6:$AY$1005="Direkomendasikan",ROW($6:$1005)-5),940)),BidangList,0)),INDEX(checklistPesertaKemenkeu!$P$6:$P$1005,SMALL(IF(checklistPesertaKemenkeu!$AY$6:$AY$1005="Direkomendasikan",ROW($6:$1005)-5),940)))&gt;0,COUNTIF(INDIRECT("'KERTAS KERJA'!K"&amp;(SMALL(IF(checklistPesertaKemenkeu!$AY$6:$AY$1005="Direkomendasikan",ROW($6:$1005)-5),940)+5)&amp;":O"&amp;(SMALL(IF(checklistPesertaKemenkeu!$AY$6:$AY$1005="Direkomendasikan",ROW($6:$1005)-5),940)+5)),INDEX(checklistPesertaKemenkeu!$P$6:$P$1005,SMALL(IF(checklistPesertaKemenkeu!$AY$6:$AY$1005="Direkomendasikan",ROW($6:$1005)-5),940)))=1),IFERROR(VLOOKUP(INDEX(checklistPesertaKemenkeu!$P$6:$P$1005,SMALL(IF(checklistPesertaKemenkeu!$AY$6:$AY$1005="Direkomendasikan",ROW($6:$1005)-5),940)),KotaKode,2,0),"-"),"")),"")</f>
        <v/>
      </c>
    </row>
    <row r="942" spans="1:12" ht="15" customHeight="1" x14ac:dyDescent="0.2">
      <c r="A942" t="str">
        <f t="shared" si="14"/>
        <v/>
      </c>
      <c r="B942" t="str">
        <v/>
      </c>
      <c r="C942" s="40" t="str">
        <f t="array" ref="C942">IFERROR(INDEX(checklistPesertaKemenkeu!$F$6:$F$1005,SMALL(IF(checklistPesertaKemenkeu!$AY$6:$AY$1005="Direkomendasikan",ROW($6:$1005)-5),941)),"")</f>
        <v/>
      </c>
      <c r="D942" t="str">
        <f t="array" ref="D942">IFERROR(INDEX(checklistPesertaKemenkeu!$G$6:$G$1005,SMALL(IF(checklistPesertaKemenkeu!$AY$6:$AY$1005="Direkomendasikan",ROW($6:$1005)-5),941)),"")</f>
        <v/>
      </c>
      <c r="E942" t="str">
        <f t="array" ref="E942">IFERROR(INDEX(checklistPesertaKemenkeu!$H$6:$H$1005,SMALL(IF(checklistPesertaKemenkeu!$AY$6:$AY$1005="Direkomendasikan",ROW($6:$1005)-5),941)),"")</f>
        <v/>
      </c>
      <c r="F942" t="str">
        <f t="array" ref="F942">IFERROR(INDEX(checklistPesertaKemenkeu!$I$6:$I$1005,SMALL(IF(checklistPesertaKemenkeu!$AY$6:$AY$1005="Direkomendasikan",ROW($6:$1005)-5),941)),"")</f>
        <v/>
      </c>
      <c r="G942" t="str">
        <f t="array" ref="G942">IFERROR(INDEX(checklistPesertaKemenkeu!$J$6:$J$1005,SMALL(IF(checklistPesertaKemenkeu!$AY$6:$AY$1005="Direkomendasikan",ROW($6:$1005)-5),941)),"")</f>
        <v/>
      </c>
      <c r="H942" t="str">
        <f t="array" aca="1" ref="H942" ca="1">IFERROR(IF(OR(INDEX(checklistPesertaKemenkeu!$L$6:$L$1005,SMALL(IF(checklistPesertaKemenkeu!$AY$6:$AY$1005="Direkomendasikan",ROW($6:$1005)-5),941))="",INDEX(checklistPesertaKemenkeu!$J$6:$J$1005,SMALL(IF(checklistPesertaKemenkeu!$AY$6:$AY$1005="Direkomendasikan",ROW($6:$1005)-5),941))=""),"",IF(AND(COUNTIF(INDIRECT("K_"&amp;MATCH(INDEX(checklistPesertaKemenkeu!$J$6:$J$1005,SMALL(IF(checklistPesertaKemenkeu!$AY$6:$AY$1005="Direkomendasikan",ROW($6:$1005)-5),941)),BidangList,0)),INDEX(checklistPesertaKemenkeu!$L$6:$L$1005,SMALL(IF(checklistPesertaKemenkeu!$AY$6:$AY$1005="Direkomendasikan",ROW($6:$1005)-5),941)))&gt;0,COUNTIF(INDIRECT("'KERTAS KERJA'!K"&amp;(SMALL(IF(checklistPesertaKemenkeu!$AY$6:$AY$1005="Direkomendasikan",ROW($6:$1005)-5),941)+5)&amp;":O"&amp;(SMALL(IF(checklistPesertaKemenkeu!$AY$6:$AY$1005="Direkomendasikan",ROW($6:$1005)-5),941)+5)),INDEX(checklistPesertaKemenkeu!$L$6:$L$1005,SMALL(IF(checklistPesertaKemenkeu!$AY$6:$AY$1005="Direkomendasikan",ROW($6:$1005)-5),941)))=1),IFERROR(VLOOKUP(INDEX(checklistPesertaKemenkeu!$L$6:$L$1005,SMALL(IF(checklistPesertaKemenkeu!$AY$6:$AY$1005="Direkomendasikan",ROW($6:$1005)-5),941)),KotaKode,2,0),"-"),"")),"")</f>
        <v/>
      </c>
      <c r="I942" t="str">
        <f t="array" aca="1" ref="I942" ca="1">IFERROR(IF(OR(INDEX(checklistPesertaKemenkeu!$M$6:$M$1005,SMALL(IF(checklistPesertaKemenkeu!$AY$6:$AY$1005="Direkomendasikan",ROW($6:$1005)-5),941))="",INDEX(checklistPesertaKemenkeu!$J$6:$J$1005,SMALL(IF(checklistPesertaKemenkeu!$AY$6:$AY$1005="Direkomendasikan",ROW($6:$1005)-5),941))=""),"",IF(AND(COUNTIF(INDIRECT("K_"&amp;MATCH(INDEX(checklistPesertaKemenkeu!$J$6:$J$1005,SMALL(IF(checklistPesertaKemenkeu!$AY$6:$AY$1005="Direkomendasikan",ROW($6:$1005)-5),941)),BidangList,0)),INDEX(checklistPesertaKemenkeu!$M$6:$M$1005,SMALL(IF(checklistPesertaKemenkeu!$AY$6:$AY$1005="Direkomendasikan",ROW($6:$1005)-5),941)))&gt;0,COUNTIF(INDIRECT("'KERTAS KERJA'!K"&amp;(SMALL(IF(checklistPesertaKemenkeu!$AY$6:$AY$1005="Direkomendasikan",ROW($6:$1005)-5),941)+5)&amp;":O"&amp;(SMALL(IF(checklistPesertaKemenkeu!$AY$6:$AY$1005="Direkomendasikan",ROW($6:$1005)-5),941)+5)),INDEX(checklistPesertaKemenkeu!$M$6:$M$1005,SMALL(IF(checklistPesertaKemenkeu!$AY$6:$AY$1005="Direkomendasikan",ROW($6:$1005)-5),941)))=1),IFERROR(VLOOKUP(INDEX(checklistPesertaKemenkeu!$M$6:$M$1005,SMALL(IF(checklistPesertaKemenkeu!$AY$6:$AY$1005="Direkomendasikan",ROW($6:$1005)-5),941)),KotaKode,2,0),"-"),"")),"")</f>
        <v/>
      </c>
      <c r="J942" t="str">
        <f t="array" aca="1" ref="J942" ca="1">IFERROR(IF(OR(INDEX(checklistPesertaKemenkeu!$N$6:$N$1005,SMALL(IF(checklistPesertaKemenkeu!$AY$6:$AY$1005="Direkomendasikan",ROW($6:$1005)-5),941))="",INDEX(checklistPesertaKemenkeu!$J$6:$J$1005,SMALL(IF(checklistPesertaKemenkeu!$AY$6:$AY$1005="Direkomendasikan",ROW($6:$1005)-5),941))=""),"",IF(AND(COUNTIF(INDIRECT("K_"&amp;MATCH(INDEX(checklistPesertaKemenkeu!$J$6:$J$1005,SMALL(IF(checklistPesertaKemenkeu!$AY$6:$AY$1005="Direkomendasikan",ROW($6:$1005)-5),941)),BidangList,0)),INDEX(checklistPesertaKemenkeu!$N$6:$N$1005,SMALL(IF(checklistPesertaKemenkeu!$AY$6:$AY$1005="Direkomendasikan",ROW($6:$1005)-5),941)))&gt;0,COUNTIF(INDIRECT("'KERTAS KERJA'!K"&amp;(SMALL(IF(checklistPesertaKemenkeu!$AY$6:$AY$1005="Direkomendasikan",ROW($6:$1005)-5),941)+5)&amp;":O"&amp;(SMALL(IF(checklistPesertaKemenkeu!$AY$6:$AY$1005="Direkomendasikan",ROW($6:$1005)-5),941)+5)),INDEX(checklistPesertaKemenkeu!$N$6:$N$1005,SMALL(IF(checklistPesertaKemenkeu!$AY$6:$AY$1005="Direkomendasikan",ROW($6:$1005)-5),941)))=1),IFERROR(VLOOKUP(INDEX(checklistPesertaKemenkeu!$N$6:$N$1005,SMALL(IF(checklistPesertaKemenkeu!$AY$6:$AY$1005="Direkomendasikan",ROW($6:$1005)-5),941)),KotaKode,2,0),"-"),"")),"")</f>
        <v/>
      </c>
      <c r="K942" t="str">
        <f t="array" aca="1" ref="K942" ca="1">IFERROR(IF(OR(INDEX(checklistPesertaKemenkeu!$O$6:$O$1005,SMALL(IF(checklistPesertaKemenkeu!$AY$6:$AY$1005="Direkomendasikan",ROW($6:$1005)-5),941))="",INDEX(checklistPesertaKemenkeu!$J$6:$J$1005,SMALL(IF(checklistPesertaKemenkeu!$AY$6:$AY$1005="Direkomendasikan",ROW($6:$1005)-5),941))=""),"",IF(AND(COUNTIF(INDIRECT("K_"&amp;MATCH(INDEX(checklistPesertaKemenkeu!$J$6:$J$1005,SMALL(IF(checklistPesertaKemenkeu!$AY$6:$AY$1005="Direkomendasikan",ROW($6:$1005)-5),941)),BidangList,0)),INDEX(checklistPesertaKemenkeu!$O$6:$O$1005,SMALL(IF(checklistPesertaKemenkeu!$AY$6:$AY$1005="Direkomendasikan",ROW($6:$1005)-5),941)))&gt;0,COUNTIF(INDIRECT("'KERTAS KERJA'!K"&amp;(SMALL(IF(checklistPesertaKemenkeu!$AY$6:$AY$1005="Direkomendasikan",ROW($6:$1005)-5),941)+5)&amp;":O"&amp;(SMALL(IF(checklistPesertaKemenkeu!$AY$6:$AY$1005="Direkomendasikan",ROW($6:$1005)-5),941)+5)),INDEX(checklistPesertaKemenkeu!$O$6:$O$1005,SMALL(IF(checklistPesertaKemenkeu!$AY$6:$AY$1005="Direkomendasikan",ROW($6:$1005)-5),941)))=1),IFERROR(VLOOKUP(INDEX(checklistPesertaKemenkeu!$O$6:$O$1005,SMALL(IF(checklistPesertaKemenkeu!$AY$6:$AY$1005="Direkomendasikan",ROW($6:$1005)-5),941)),KotaKode,2,0),"-"),"")),"")</f>
        <v/>
      </c>
      <c r="L942" t="str">
        <f t="array" aca="1" ref="L942" ca="1">IFERROR(IF(OR(INDEX(checklistPesertaKemenkeu!$P$6:$P$1005,SMALL(IF(checklistPesertaKemenkeu!$AY$6:$AY$1005="Direkomendasikan",ROW($6:$1005)-5),941))="",INDEX(checklistPesertaKemenkeu!$J$6:$J$1005,SMALL(IF(checklistPesertaKemenkeu!$AY$6:$AY$1005="Direkomendasikan",ROW($6:$1005)-5),941))=""),"",IF(AND(COUNTIF(INDIRECT("K_"&amp;MATCH(INDEX(checklistPesertaKemenkeu!$J$6:$J$1005,SMALL(IF(checklistPesertaKemenkeu!$AY$6:$AY$1005="Direkomendasikan",ROW($6:$1005)-5),941)),BidangList,0)),INDEX(checklistPesertaKemenkeu!$P$6:$P$1005,SMALL(IF(checklistPesertaKemenkeu!$AY$6:$AY$1005="Direkomendasikan",ROW($6:$1005)-5),941)))&gt;0,COUNTIF(INDIRECT("'KERTAS KERJA'!K"&amp;(SMALL(IF(checklistPesertaKemenkeu!$AY$6:$AY$1005="Direkomendasikan",ROW($6:$1005)-5),941)+5)&amp;":O"&amp;(SMALL(IF(checklistPesertaKemenkeu!$AY$6:$AY$1005="Direkomendasikan",ROW($6:$1005)-5),941)+5)),INDEX(checklistPesertaKemenkeu!$P$6:$P$1005,SMALL(IF(checklistPesertaKemenkeu!$AY$6:$AY$1005="Direkomendasikan",ROW($6:$1005)-5),941)))=1),IFERROR(VLOOKUP(INDEX(checklistPesertaKemenkeu!$P$6:$P$1005,SMALL(IF(checklistPesertaKemenkeu!$AY$6:$AY$1005="Direkomendasikan",ROW($6:$1005)-5),941)),KotaKode,2,0),"-"),"")),"")</f>
        <v/>
      </c>
    </row>
    <row r="943" spans="1:12" ht="15" customHeight="1" x14ac:dyDescent="0.2">
      <c r="A943" t="str">
        <f t="shared" si="14"/>
        <v/>
      </c>
      <c r="B943" t="str">
        <v/>
      </c>
      <c r="C943" s="40" t="str">
        <f t="array" ref="C943">IFERROR(INDEX(checklistPesertaKemenkeu!$F$6:$F$1005,SMALL(IF(checklistPesertaKemenkeu!$AY$6:$AY$1005="Direkomendasikan",ROW($6:$1005)-5),942)),"")</f>
        <v/>
      </c>
      <c r="D943" t="str">
        <f t="array" ref="D943">IFERROR(INDEX(checklistPesertaKemenkeu!$G$6:$G$1005,SMALL(IF(checklistPesertaKemenkeu!$AY$6:$AY$1005="Direkomendasikan",ROW($6:$1005)-5),942)),"")</f>
        <v/>
      </c>
      <c r="E943" t="str">
        <f t="array" ref="E943">IFERROR(INDEX(checklistPesertaKemenkeu!$H$6:$H$1005,SMALL(IF(checklistPesertaKemenkeu!$AY$6:$AY$1005="Direkomendasikan",ROW($6:$1005)-5),942)),"")</f>
        <v/>
      </c>
      <c r="F943" t="str">
        <f t="array" ref="F943">IFERROR(INDEX(checklistPesertaKemenkeu!$I$6:$I$1005,SMALL(IF(checklistPesertaKemenkeu!$AY$6:$AY$1005="Direkomendasikan",ROW($6:$1005)-5),942)),"")</f>
        <v/>
      </c>
      <c r="G943" t="str">
        <f t="array" ref="G943">IFERROR(INDEX(checklistPesertaKemenkeu!$J$6:$J$1005,SMALL(IF(checklistPesertaKemenkeu!$AY$6:$AY$1005="Direkomendasikan",ROW($6:$1005)-5),942)),"")</f>
        <v/>
      </c>
      <c r="H943" t="str">
        <f t="array" aca="1" ref="H943" ca="1">IFERROR(IF(OR(INDEX(checklistPesertaKemenkeu!$L$6:$L$1005,SMALL(IF(checklistPesertaKemenkeu!$AY$6:$AY$1005="Direkomendasikan",ROW($6:$1005)-5),942))="",INDEX(checklistPesertaKemenkeu!$J$6:$J$1005,SMALL(IF(checklistPesertaKemenkeu!$AY$6:$AY$1005="Direkomendasikan",ROW($6:$1005)-5),942))=""),"",IF(AND(COUNTIF(INDIRECT("K_"&amp;MATCH(INDEX(checklistPesertaKemenkeu!$J$6:$J$1005,SMALL(IF(checklistPesertaKemenkeu!$AY$6:$AY$1005="Direkomendasikan",ROW($6:$1005)-5),942)),BidangList,0)),INDEX(checklistPesertaKemenkeu!$L$6:$L$1005,SMALL(IF(checklistPesertaKemenkeu!$AY$6:$AY$1005="Direkomendasikan",ROW($6:$1005)-5),942)))&gt;0,COUNTIF(INDIRECT("'KERTAS KERJA'!K"&amp;(SMALL(IF(checklistPesertaKemenkeu!$AY$6:$AY$1005="Direkomendasikan",ROW($6:$1005)-5),942)+5)&amp;":O"&amp;(SMALL(IF(checklistPesertaKemenkeu!$AY$6:$AY$1005="Direkomendasikan",ROW($6:$1005)-5),942)+5)),INDEX(checklistPesertaKemenkeu!$L$6:$L$1005,SMALL(IF(checklistPesertaKemenkeu!$AY$6:$AY$1005="Direkomendasikan",ROW($6:$1005)-5),942)))=1),IFERROR(VLOOKUP(INDEX(checklistPesertaKemenkeu!$L$6:$L$1005,SMALL(IF(checklistPesertaKemenkeu!$AY$6:$AY$1005="Direkomendasikan",ROW($6:$1005)-5),942)),KotaKode,2,0),"-"),"")),"")</f>
        <v/>
      </c>
      <c r="I943" t="str">
        <f t="array" aca="1" ref="I943" ca="1">IFERROR(IF(OR(INDEX(checklistPesertaKemenkeu!$M$6:$M$1005,SMALL(IF(checklistPesertaKemenkeu!$AY$6:$AY$1005="Direkomendasikan",ROW($6:$1005)-5),942))="",INDEX(checklistPesertaKemenkeu!$J$6:$J$1005,SMALL(IF(checklistPesertaKemenkeu!$AY$6:$AY$1005="Direkomendasikan",ROW($6:$1005)-5),942))=""),"",IF(AND(COUNTIF(INDIRECT("K_"&amp;MATCH(INDEX(checklistPesertaKemenkeu!$J$6:$J$1005,SMALL(IF(checklistPesertaKemenkeu!$AY$6:$AY$1005="Direkomendasikan",ROW($6:$1005)-5),942)),BidangList,0)),INDEX(checklistPesertaKemenkeu!$M$6:$M$1005,SMALL(IF(checklistPesertaKemenkeu!$AY$6:$AY$1005="Direkomendasikan",ROW($6:$1005)-5),942)))&gt;0,COUNTIF(INDIRECT("'KERTAS KERJA'!K"&amp;(SMALL(IF(checklistPesertaKemenkeu!$AY$6:$AY$1005="Direkomendasikan",ROW($6:$1005)-5),942)+5)&amp;":O"&amp;(SMALL(IF(checklistPesertaKemenkeu!$AY$6:$AY$1005="Direkomendasikan",ROW($6:$1005)-5),942)+5)),INDEX(checklistPesertaKemenkeu!$M$6:$M$1005,SMALL(IF(checklistPesertaKemenkeu!$AY$6:$AY$1005="Direkomendasikan",ROW($6:$1005)-5),942)))=1),IFERROR(VLOOKUP(INDEX(checklistPesertaKemenkeu!$M$6:$M$1005,SMALL(IF(checklistPesertaKemenkeu!$AY$6:$AY$1005="Direkomendasikan",ROW($6:$1005)-5),942)),KotaKode,2,0),"-"),"")),"")</f>
        <v/>
      </c>
      <c r="J943" t="str">
        <f t="array" aca="1" ref="J943" ca="1">IFERROR(IF(OR(INDEX(checklistPesertaKemenkeu!$N$6:$N$1005,SMALL(IF(checklistPesertaKemenkeu!$AY$6:$AY$1005="Direkomendasikan",ROW($6:$1005)-5),942))="",INDEX(checklistPesertaKemenkeu!$J$6:$J$1005,SMALL(IF(checklistPesertaKemenkeu!$AY$6:$AY$1005="Direkomendasikan",ROW($6:$1005)-5),942))=""),"",IF(AND(COUNTIF(INDIRECT("K_"&amp;MATCH(INDEX(checklistPesertaKemenkeu!$J$6:$J$1005,SMALL(IF(checklistPesertaKemenkeu!$AY$6:$AY$1005="Direkomendasikan",ROW($6:$1005)-5),942)),BidangList,0)),INDEX(checklistPesertaKemenkeu!$N$6:$N$1005,SMALL(IF(checklistPesertaKemenkeu!$AY$6:$AY$1005="Direkomendasikan",ROW($6:$1005)-5),942)))&gt;0,COUNTIF(INDIRECT("'KERTAS KERJA'!K"&amp;(SMALL(IF(checklistPesertaKemenkeu!$AY$6:$AY$1005="Direkomendasikan",ROW($6:$1005)-5),942)+5)&amp;":O"&amp;(SMALL(IF(checklistPesertaKemenkeu!$AY$6:$AY$1005="Direkomendasikan",ROW($6:$1005)-5),942)+5)),INDEX(checklistPesertaKemenkeu!$N$6:$N$1005,SMALL(IF(checklistPesertaKemenkeu!$AY$6:$AY$1005="Direkomendasikan",ROW($6:$1005)-5),942)))=1),IFERROR(VLOOKUP(INDEX(checklistPesertaKemenkeu!$N$6:$N$1005,SMALL(IF(checklistPesertaKemenkeu!$AY$6:$AY$1005="Direkomendasikan",ROW($6:$1005)-5),942)),KotaKode,2,0),"-"),"")),"")</f>
        <v/>
      </c>
      <c r="K943" t="str">
        <f t="array" aca="1" ref="K943" ca="1">IFERROR(IF(OR(INDEX(checklistPesertaKemenkeu!$O$6:$O$1005,SMALL(IF(checklistPesertaKemenkeu!$AY$6:$AY$1005="Direkomendasikan",ROW($6:$1005)-5),942))="",INDEX(checklistPesertaKemenkeu!$J$6:$J$1005,SMALL(IF(checklistPesertaKemenkeu!$AY$6:$AY$1005="Direkomendasikan",ROW($6:$1005)-5),942))=""),"",IF(AND(COUNTIF(INDIRECT("K_"&amp;MATCH(INDEX(checklistPesertaKemenkeu!$J$6:$J$1005,SMALL(IF(checklistPesertaKemenkeu!$AY$6:$AY$1005="Direkomendasikan",ROW($6:$1005)-5),942)),BidangList,0)),INDEX(checklistPesertaKemenkeu!$O$6:$O$1005,SMALL(IF(checklistPesertaKemenkeu!$AY$6:$AY$1005="Direkomendasikan",ROW($6:$1005)-5),942)))&gt;0,COUNTIF(INDIRECT("'KERTAS KERJA'!K"&amp;(SMALL(IF(checklistPesertaKemenkeu!$AY$6:$AY$1005="Direkomendasikan",ROW($6:$1005)-5),942)+5)&amp;":O"&amp;(SMALL(IF(checklistPesertaKemenkeu!$AY$6:$AY$1005="Direkomendasikan",ROW($6:$1005)-5),942)+5)),INDEX(checklistPesertaKemenkeu!$O$6:$O$1005,SMALL(IF(checklistPesertaKemenkeu!$AY$6:$AY$1005="Direkomendasikan",ROW($6:$1005)-5),942)))=1),IFERROR(VLOOKUP(INDEX(checklistPesertaKemenkeu!$O$6:$O$1005,SMALL(IF(checklistPesertaKemenkeu!$AY$6:$AY$1005="Direkomendasikan",ROW($6:$1005)-5),942)),KotaKode,2,0),"-"),"")),"")</f>
        <v/>
      </c>
      <c r="L943" t="str">
        <f t="array" aca="1" ref="L943" ca="1">IFERROR(IF(OR(INDEX(checklistPesertaKemenkeu!$P$6:$P$1005,SMALL(IF(checklistPesertaKemenkeu!$AY$6:$AY$1005="Direkomendasikan",ROW($6:$1005)-5),942))="",INDEX(checklistPesertaKemenkeu!$J$6:$J$1005,SMALL(IF(checklistPesertaKemenkeu!$AY$6:$AY$1005="Direkomendasikan",ROW($6:$1005)-5),942))=""),"",IF(AND(COUNTIF(INDIRECT("K_"&amp;MATCH(INDEX(checklistPesertaKemenkeu!$J$6:$J$1005,SMALL(IF(checklistPesertaKemenkeu!$AY$6:$AY$1005="Direkomendasikan",ROW($6:$1005)-5),942)),BidangList,0)),INDEX(checklistPesertaKemenkeu!$P$6:$P$1005,SMALL(IF(checklistPesertaKemenkeu!$AY$6:$AY$1005="Direkomendasikan",ROW($6:$1005)-5),942)))&gt;0,COUNTIF(INDIRECT("'KERTAS KERJA'!K"&amp;(SMALL(IF(checklistPesertaKemenkeu!$AY$6:$AY$1005="Direkomendasikan",ROW($6:$1005)-5),942)+5)&amp;":O"&amp;(SMALL(IF(checklistPesertaKemenkeu!$AY$6:$AY$1005="Direkomendasikan",ROW($6:$1005)-5),942)+5)),INDEX(checklistPesertaKemenkeu!$P$6:$P$1005,SMALL(IF(checklistPesertaKemenkeu!$AY$6:$AY$1005="Direkomendasikan",ROW($6:$1005)-5),942)))=1),IFERROR(VLOOKUP(INDEX(checklistPesertaKemenkeu!$P$6:$P$1005,SMALL(IF(checklistPesertaKemenkeu!$AY$6:$AY$1005="Direkomendasikan",ROW($6:$1005)-5),942)),KotaKode,2,0),"-"),"")),"")</f>
        <v/>
      </c>
    </row>
    <row r="944" spans="1:12" ht="15" customHeight="1" x14ac:dyDescent="0.2">
      <c r="A944" t="str">
        <f t="shared" si="14"/>
        <v/>
      </c>
      <c r="B944" t="str">
        <v/>
      </c>
      <c r="C944" s="40" t="str">
        <f t="array" ref="C944">IFERROR(INDEX(checklistPesertaKemenkeu!$F$6:$F$1005,SMALL(IF(checklistPesertaKemenkeu!$AY$6:$AY$1005="Direkomendasikan",ROW($6:$1005)-5),943)),"")</f>
        <v/>
      </c>
      <c r="D944" t="str">
        <f t="array" ref="D944">IFERROR(INDEX(checklistPesertaKemenkeu!$G$6:$G$1005,SMALL(IF(checklistPesertaKemenkeu!$AY$6:$AY$1005="Direkomendasikan",ROW($6:$1005)-5),943)),"")</f>
        <v/>
      </c>
      <c r="E944" t="str">
        <f t="array" ref="E944">IFERROR(INDEX(checklistPesertaKemenkeu!$H$6:$H$1005,SMALL(IF(checklistPesertaKemenkeu!$AY$6:$AY$1005="Direkomendasikan",ROW($6:$1005)-5),943)),"")</f>
        <v/>
      </c>
      <c r="F944" t="str">
        <f t="array" ref="F944">IFERROR(INDEX(checklistPesertaKemenkeu!$I$6:$I$1005,SMALL(IF(checklistPesertaKemenkeu!$AY$6:$AY$1005="Direkomendasikan",ROW($6:$1005)-5),943)),"")</f>
        <v/>
      </c>
      <c r="G944" t="str">
        <f t="array" ref="G944">IFERROR(INDEX(checklistPesertaKemenkeu!$J$6:$J$1005,SMALL(IF(checklistPesertaKemenkeu!$AY$6:$AY$1005="Direkomendasikan",ROW($6:$1005)-5),943)),"")</f>
        <v/>
      </c>
      <c r="H944" t="str">
        <f t="array" aca="1" ref="H944" ca="1">IFERROR(IF(OR(INDEX(checklistPesertaKemenkeu!$L$6:$L$1005,SMALL(IF(checklistPesertaKemenkeu!$AY$6:$AY$1005="Direkomendasikan",ROW($6:$1005)-5),943))="",INDEX(checklistPesertaKemenkeu!$J$6:$J$1005,SMALL(IF(checklistPesertaKemenkeu!$AY$6:$AY$1005="Direkomendasikan",ROW($6:$1005)-5),943))=""),"",IF(AND(COUNTIF(INDIRECT("K_"&amp;MATCH(INDEX(checklistPesertaKemenkeu!$J$6:$J$1005,SMALL(IF(checklistPesertaKemenkeu!$AY$6:$AY$1005="Direkomendasikan",ROW($6:$1005)-5),943)),BidangList,0)),INDEX(checklistPesertaKemenkeu!$L$6:$L$1005,SMALL(IF(checklistPesertaKemenkeu!$AY$6:$AY$1005="Direkomendasikan",ROW($6:$1005)-5),943)))&gt;0,COUNTIF(INDIRECT("'KERTAS KERJA'!K"&amp;(SMALL(IF(checklistPesertaKemenkeu!$AY$6:$AY$1005="Direkomendasikan",ROW($6:$1005)-5),943)+5)&amp;":O"&amp;(SMALL(IF(checklistPesertaKemenkeu!$AY$6:$AY$1005="Direkomendasikan",ROW($6:$1005)-5),943)+5)),INDEX(checklistPesertaKemenkeu!$L$6:$L$1005,SMALL(IF(checklistPesertaKemenkeu!$AY$6:$AY$1005="Direkomendasikan",ROW($6:$1005)-5),943)))=1),IFERROR(VLOOKUP(INDEX(checklistPesertaKemenkeu!$L$6:$L$1005,SMALL(IF(checklistPesertaKemenkeu!$AY$6:$AY$1005="Direkomendasikan",ROW($6:$1005)-5),943)),KotaKode,2,0),"-"),"")),"")</f>
        <v/>
      </c>
      <c r="I944" t="str">
        <f t="array" aca="1" ref="I944" ca="1">IFERROR(IF(OR(INDEX(checklistPesertaKemenkeu!$M$6:$M$1005,SMALL(IF(checklistPesertaKemenkeu!$AY$6:$AY$1005="Direkomendasikan",ROW($6:$1005)-5),943))="",INDEX(checklistPesertaKemenkeu!$J$6:$J$1005,SMALL(IF(checklistPesertaKemenkeu!$AY$6:$AY$1005="Direkomendasikan",ROW($6:$1005)-5),943))=""),"",IF(AND(COUNTIF(INDIRECT("K_"&amp;MATCH(INDEX(checklistPesertaKemenkeu!$J$6:$J$1005,SMALL(IF(checklistPesertaKemenkeu!$AY$6:$AY$1005="Direkomendasikan",ROW($6:$1005)-5),943)),BidangList,0)),INDEX(checklistPesertaKemenkeu!$M$6:$M$1005,SMALL(IF(checklistPesertaKemenkeu!$AY$6:$AY$1005="Direkomendasikan",ROW($6:$1005)-5),943)))&gt;0,COUNTIF(INDIRECT("'KERTAS KERJA'!K"&amp;(SMALL(IF(checklistPesertaKemenkeu!$AY$6:$AY$1005="Direkomendasikan",ROW($6:$1005)-5),943)+5)&amp;":O"&amp;(SMALL(IF(checklistPesertaKemenkeu!$AY$6:$AY$1005="Direkomendasikan",ROW($6:$1005)-5),943)+5)),INDEX(checklistPesertaKemenkeu!$M$6:$M$1005,SMALL(IF(checklistPesertaKemenkeu!$AY$6:$AY$1005="Direkomendasikan",ROW($6:$1005)-5),943)))=1),IFERROR(VLOOKUP(INDEX(checklistPesertaKemenkeu!$M$6:$M$1005,SMALL(IF(checklistPesertaKemenkeu!$AY$6:$AY$1005="Direkomendasikan",ROW($6:$1005)-5),943)),KotaKode,2,0),"-"),"")),"")</f>
        <v/>
      </c>
      <c r="J944" t="str">
        <f t="array" aca="1" ref="J944" ca="1">IFERROR(IF(OR(INDEX(checklistPesertaKemenkeu!$N$6:$N$1005,SMALL(IF(checklistPesertaKemenkeu!$AY$6:$AY$1005="Direkomendasikan",ROW($6:$1005)-5),943))="",INDEX(checklistPesertaKemenkeu!$J$6:$J$1005,SMALL(IF(checklistPesertaKemenkeu!$AY$6:$AY$1005="Direkomendasikan",ROW($6:$1005)-5),943))=""),"",IF(AND(COUNTIF(INDIRECT("K_"&amp;MATCH(INDEX(checklistPesertaKemenkeu!$J$6:$J$1005,SMALL(IF(checklistPesertaKemenkeu!$AY$6:$AY$1005="Direkomendasikan",ROW($6:$1005)-5),943)),BidangList,0)),INDEX(checklistPesertaKemenkeu!$N$6:$N$1005,SMALL(IF(checklistPesertaKemenkeu!$AY$6:$AY$1005="Direkomendasikan",ROW($6:$1005)-5),943)))&gt;0,COUNTIF(INDIRECT("'KERTAS KERJA'!K"&amp;(SMALL(IF(checklistPesertaKemenkeu!$AY$6:$AY$1005="Direkomendasikan",ROW($6:$1005)-5),943)+5)&amp;":O"&amp;(SMALL(IF(checklistPesertaKemenkeu!$AY$6:$AY$1005="Direkomendasikan",ROW($6:$1005)-5),943)+5)),INDEX(checklistPesertaKemenkeu!$N$6:$N$1005,SMALL(IF(checklistPesertaKemenkeu!$AY$6:$AY$1005="Direkomendasikan",ROW($6:$1005)-5),943)))=1),IFERROR(VLOOKUP(INDEX(checklistPesertaKemenkeu!$N$6:$N$1005,SMALL(IF(checklistPesertaKemenkeu!$AY$6:$AY$1005="Direkomendasikan",ROW($6:$1005)-5),943)),KotaKode,2,0),"-"),"")),"")</f>
        <v/>
      </c>
      <c r="K944" t="str">
        <f t="array" aca="1" ref="K944" ca="1">IFERROR(IF(OR(INDEX(checklistPesertaKemenkeu!$O$6:$O$1005,SMALL(IF(checklistPesertaKemenkeu!$AY$6:$AY$1005="Direkomendasikan",ROW($6:$1005)-5),943))="",INDEX(checklistPesertaKemenkeu!$J$6:$J$1005,SMALL(IF(checklistPesertaKemenkeu!$AY$6:$AY$1005="Direkomendasikan",ROW($6:$1005)-5),943))=""),"",IF(AND(COUNTIF(INDIRECT("K_"&amp;MATCH(INDEX(checklistPesertaKemenkeu!$J$6:$J$1005,SMALL(IF(checklistPesertaKemenkeu!$AY$6:$AY$1005="Direkomendasikan",ROW($6:$1005)-5),943)),BidangList,0)),INDEX(checklistPesertaKemenkeu!$O$6:$O$1005,SMALL(IF(checklistPesertaKemenkeu!$AY$6:$AY$1005="Direkomendasikan",ROW($6:$1005)-5),943)))&gt;0,COUNTIF(INDIRECT("'KERTAS KERJA'!K"&amp;(SMALL(IF(checklistPesertaKemenkeu!$AY$6:$AY$1005="Direkomendasikan",ROW($6:$1005)-5),943)+5)&amp;":O"&amp;(SMALL(IF(checklistPesertaKemenkeu!$AY$6:$AY$1005="Direkomendasikan",ROW($6:$1005)-5),943)+5)),INDEX(checklistPesertaKemenkeu!$O$6:$O$1005,SMALL(IF(checklistPesertaKemenkeu!$AY$6:$AY$1005="Direkomendasikan",ROW($6:$1005)-5),943)))=1),IFERROR(VLOOKUP(INDEX(checklistPesertaKemenkeu!$O$6:$O$1005,SMALL(IF(checklistPesertaKemenkeu!$AY$6:$AY$1005="Direkomendasikan",ROW($6:$1005)-5),943)),KotaKode,2,0),"-"),"")),"")</f>
        <v/>
      </c>
      <c r="L944" t="str">
        <f t="array" aca="1" ref="L944" ca="1">IFERROR(IF(OR(INDEX(checklistPesertaKemenkeu!$P$6:$P$1005,SMALL(IF(checklistPesertaKemenkeu!$AY$6:$AY$1005="Direkomendasikan",ROW($6:$1005)-5),943))="",INDEX(checklistPesertaKemenkeu!$J$6:$J$1005,SMALL(IF(checklistPesertaKemenkeu!$AY$6:$AY$1005="Direkomendasikan",ROW($6:$1005)-5),943))=""),"",IF(AND(COUNTIF(INDIRECT("K_"&amp;MATCH(INDEX(checklistPesertaKemenkeu!$J$6:$J$1005,SMALL(IF(checklistPesertaKemenkeu!$AY$6:$AY$1005="Direkomendasikan",ROW($6:$1005)-5),943)),BidangList,0)),INDEX(checklistPesertaKemenkeu!$P$6:$P$1005,SMALL(IF(checklistPesertaKemenkeu!$AY$6:$AY$1005="Direkomendasikan",ROW($6:$1005)-5),943)))&gt;0,COUNTIF(INDIRECT("'KERTAS KERJA'!K"&amp;(SMALL(IF(checklistPesertaKemenkeu!$AY$6:$AY$1005="Direkomendasikan",ROW($6:$1005)-5),943)+5)&amp;":O"&amp;(SMALL(IF(checklistPesertaKemenkeu!$AY$6:$AY$1005="Direkomendasikan",ROW($6:$1005)-5),943)+5)),INDEX(checklistPesertaKemenkeu!$P$6:$P$1005,SMALL(IF(checklistPesertaKemenkeu!$AY$6:$AY$1005="Direkomendasikan",ROW($6:$1005)-5),943)))=1),IFERROR(VLOOKUP(INDEX(checklistPesertaKemenkeu!$P$6:$P$1005,SMALL(IF(checklistPesertaKemenkeu!$AY$6:$AY$1005="Direkomendasikan",ROW($6:$1005)-5),943)),KotaKode,2,0),"-"),"")),"")</f>
        <v/>
      </c>
    </row>
    <row r="945" spans="1:12" ht="15" customHeight="1" x14ac:dyDescent="0.2">
      <c r="A945" t="str">
        <f t="shared" si="14"/>
        <v/>
      </c>
      <c r="B945" t="str">
        <v/>
      </c>
      <c r="C945" s="40" t="str">
        <f t="array" ref="C945">IFERROR(INDEX(checklistPesertaKemenkeu!$F$6:$F$1005,SMALL(IF(checklistPesertaKemenkeu!$AY$6:$AY$1005="Direkomendasikan",ROW($6:$1005)-5),944)),"")</f>
        <v/>
      </c>
      <c r="D945" t="str">
        <f t="array" ref="D945">IFERROR(INDEX(checklistPesertaKemenkeu!$G$6:$G$1005,SMALL(IF(checklistPesertaKemenkeu!$AY$6:$AY$1005="Direkomendasikan",ROW($6:$1005)-5),944)),"")</f>
        <v/>
      </c>
      <c r="E945" t="str">
        <f t="array" ref="E945">IFERROR(INDEX(checklistPesertaKemenkeu!$H$6:$H$1005,SMALL(IF(checklistPesertaKemenkeu!$AY$6:$AY$1005="Direkomendasikan",ROW($6:$1005)-5),944)),"")</f>
        <v/>
      </c>
      <c r="F945" t="str">
        <f t="array" ref="F945">IFERROR(INDEX(checklistPesertaKemenkeu!$I$6:$I$1005,SMALL(IF(checklistPesertaKemenkeu!$AY$6:$AY$1005="Direkomendasikan",ROW($6:$1005)-5),944)),"")</f>
        <v/>
      </c>
      <c r="G945" t="str">
        <f t="array" ref="G945">IFERROR(INDEX(checklistPesertaKemenkeu!$J$6:$J$1005,SMALL(IF(checklistPesertaKemenkeu!$AY$6:$AY$1005="Direkomendasikan",ROW($6:$1005)-5),944)),"")</f>
        <v/>
      </c>
      <c r="H945" t="str">
        <f t="array" aca="1" ref="H945" ca="1">IFERROR(IF(OR(INDEX(checklistPesertaKemenkeu!$L$6:$L$1005,SMALL(IF(checklistPesertaKemenkeu!$AY$6:$AY$1005="Direkomendasikan",ROW($6:$1005)-5),944))="",INDEX(checklistPesertaKemenkeu!$J$6:$J$1005,SMALL(IF(checklistPesertaKemenkeu!$AY$6:$AY$1005="Direkomendasikan",ROW($6:$1005)-5),944))=""),"",IF(AND(COUNTIF(INDIRECT("K_"&amp;MATCH(INDEX(checklistPesertaKemenkeu!$J$6:$J$1005,SMALL(IF(checklistPesertaKemenkeu!$AY$6:$AY$1005="Direkomendasikan",ROW($6:$1005)-5),944)),BidangList,0)),INDEX(checklistPesertaKemenkeu!$L$6:$L$1005,SMALL(IF(checklistPesertaKemenkeu!$AY$6:$AY$1005="Direkomendasikan",ROW($6:$1005)-5),944)))&gt;0,COUNTIF(INDIRECT("'KERTAS KERJA'!K"&amp;(SMALL(IF(checklistPesertaKemenkeu!$AY$6:$AY$1005="Direkomendasikan",ROW($6:$1005)-5),944)+5)&amp;":O"&amp;(SMALL(IF(checklistPesertaKemenkeu!$AY$6:$AY$1005="Direkomendasikan",ROW($6:$1005)-5),944)+5)),INDEX(checklistPesertaKemenkeu!$L$6:$L$1005,SMALL(IF(checklistPesertaKemenkeu!$AY$6:$AY$1005="Direkomendasikan",ROW($6:$1005)-5),944)))=1),IFERROR(VLOOKUP(INDEX(checklistPesertaKemenkeu!$L$6:$L$1005,SMALL(IF(checklistPesertaKemenkeu!$AY$6:$AY$1005="Direkomendasikan",ROW($6:$1005)-5),944)),KotaKode,2,0),"-"),"")),"")</f>
        <v/>
      </c>
      <c r="I945" t="str">
        <f t="array" aca="1" ref="I945" ca="1">IFERROR(IF(OR(INDEX(checklistPesertaKemenkeu!$M$6:$M$1005,SMALL(IF(checklistPesertaKemenkeu!$AY$6:$AY$1005="Direkomendasikan",ROW($6:$1005)-5),944))="",INDEX(checklistPesertaKemenkeu!$J$6:$J$1005,SMALL(IF(checklistPesertaKemenkeu!$AY$6:$AY$1005="Direkomendasikan",ROW($6:$1005)-5),944))=""),"",IF(AND(COUNTIF(INDIRECT("K_"&amp;MATCH(INDEX(checklistPesertaKemenkeu!$J$6:$J$1005,SMALL(IF(checklistPesertaKemenkeu!$AY$6:$AY$1005="Direkomendasikan",ROW($6:$1005)-5),944)),BidangList,0)),INDEX(checklistPesertaKemenkeu!$M$6:$M$1005,SMALL(IF(checklistPesertaKemenkeu!$AY$6:$AY$1005="Direkomendasikan",ROW($6:$1005)-5),944)))&gt;0,COUNTIF(INDIRECT("'KERTAS KERJA'!K"&amp;(SMALL(IF(checklistPesertaKemenkeu!$AY$6:$AY$1005="Direkomendasikan",ROW($6:$1005)-5),944)+5)&amp;":O"&amp;(SMALL(IF(checklistPesertaKemenkeu!$AY$6:$AY$1005="Direkomendasikan",ROW($6:$1005)-5),944)+5)),INDEX(checklistPesertaKemenkeu!$M$6:$M$1005,SMALL(IF(checklistPesertaKemenkeu!$AY$6:$AY$1005="Direkomendasikan",ROW($6:$1005)-5),944)))=1),IFERROR(VLOOKUP(INDEX(checklistPesertaKemenkeu!$M$6:$M$1005,SMALL(IF(checklistPesertaKemenkeu!$AY$6:$AY$1005="Direkomendasikan",ROW($6:$1005)-5),944)),KotaKode,2,0),"-"),"")),"")</f>
        <v/>
      </c>
      <c r="J945" t="str">
        <f t="array" aca="1" ref="J945" ca="1">IFERROR(IF(OR(INDEX(checklistPesertaKemenkeu!$N$6:$N$1005,SMALL(IF(checklistPesertaKemenkeu!$AY$6:$AY$1005="Direkomendasikan",ROW($6:$1005)-5),944))="",INDEX(checklistPesertaKemenkeu!$J$6:$J$1005,SMALL(IF(checklistPesertaKemenkeu!$AY$6:$AY$1005="Direkomendasikan",ROW($6:$1005)-5),944))=""),"",IF(AND(COUNTIF(INDIRECT("K_"&amp;MATCH(INDEX(checklistPesertaKemenkeu!$J$6:$J$1005,SMALL(IF(checklistPesertaKemenkeu!$AY$6:$AY$1005="Direkomendasikan",ROW($6:$1005)-5),944)),BidangList,0)),INDEX(checklistPesertaKemenkeu!$N$6:$N$1005,SMALL(IF(checklistPesertaKemenkeu!$AY$6:$AY$1005="Direkomendasikan",ROW($6:$1005)-5),944)))&gt;0,COUNTIF(INDIRECT("'KERTAS KERJA'!K"&amp;(SMALL(IF(checklistPesertaKemenkeu!$AY$6:$AY$1005="Direkomendasikan",ROW($6:$1005)-5),944)+5)&amp;":O"&amp;(SMALL(IF(checklistPesertaKemenkeu!$AY$6:$AY$1005="Direkomendasikan",ROW($6:$1005)-5),944)+5)),INDEX(checklistPesertaKemenkeu!$N$6:$N$1005,SMALL(IF(checklistPesertaKemenkeu!$AY$6:$AY$1005="Direkomendasikan",ROW($6:$1005)-5),944)))=1),IFERROR(VLOOKUP(INDEX(checklistPesertaKemenkeu!$N$6:$N$1005,SMALL(IF(checklistPesertaKemenkeu!$AY$6:$AY$1005="Direkomendasikan",ROW($6:$1005)-5),944)),KotaKode,2,0),"-"),"")),"")</f>
        <v/>
      </c>
      <c r="K945" t="str">
        <f t="array" aca="1" ref="K945" ca="1">IFERROR(IF(OR(INDEX(checklistPesertaKemenkeu!$O$6:$O$1005,SMALL(IF(checklistPesertaKemenkeu!$AY$6:$AY$1005="Direkomendasikan",ROW($6:$1005)-5),944))="",INDEX(checklistPesertaKemenkeu!$J$6:$J$1005,SMALL(IF(checklistPesertaKemenkeu!$AY$6:$AY$1005="Direkomendasikan",ROW($6:$1005)-5),944))=""),"",IF(AND(COUNTIF(INDIRECT("K_"&amp;MATCH(INDEX(checklistPesertaKemenkeu!$J$6:$J$1005,SMALL(IF(checklistPesertaKemenkeu!$AY$6:$AY$1005="Direkomendasikan",ROW($6:$1005)-5),944)),BidangList,0)),INDEX(checklistPesertaKemenkeu!$O$6:$O$1005,SMALL(IF(checklistPesertaKemenkeu!$AY$6:$AY$1005="Direkomendasikan",ROW($6:$1005)-5),944)))&gt;0,COUNTIF(INDIRECT("'KERTAS KERJA'!K"&amp;(SMALL(IF(checklistPesertaKemenkeu!$AY$6:$AY$1005="Direkomendasikan",ROW($6:$1005)-5),944)+5)&amp;":O"&amp;(SMALL(IF(checklistPesertaKemenkeu!$AY$6:$AY$1005="Direkomendasikan",ROW($6:$1005)-5),944)+5)),INDEX(checklistPesertaKemenkeu!$O$6:$O$1005,SMALL(IF(checklistPesertaKemenkeu!$AY$6:$AY$1005="Direkomendasikan",ROW($6:$1005)-5),944)))=1),IFERROR(VLOOKUP(INDEX(checklistPesertaKemenkeu!$O$6:$O$1005,SMALL(IF(checklistPesertaKemenkeu!$AY$6:$AY$1005="Direkomendasikan",ROW($6:$1005)-5),944)),KotaKode,2,0),"-"),"")),"")</f>
        <v/>
      </c>
      <c r="L945" t="str">
        <f t="array" aca="1" ref="L945" ca="1">IFERROR(IF(OR(INDEX(checklistPesertaKemenkeu!$P$6:$P$1005,SMALL(IF(checklistPesertaKemenkeu!$AY$6:$AY$1005="Direkomendasikan",ROW($6:$1005)-5),944))="",INDEX(checklistPesertaKemenkeu!$J$6:$J$1005,SMALL(IF(checklistPesertaKemenkeu!$AY$6:$AY$1005="Direkomendasikan",ROW($6:$1005)-5),944))=""),"",IF(AND(COUNTIF(INDIRECT("K_"&amp;MATCH(INDEX(checklistPesertaKemenkeu!$J$6:$J$1005,SMALL(IF(checklistPesertaKemenkeu!$AY$6:$AY$1005="Direkomendasikan",ROW($6:$1005)-5),944)),BidangList,0)),INDEX(checklistPesertaKemenkeu!$P$6:$P$1005,SMALL(IF(checklistPesertaKemenkeu!$AY$6:$AY$1005="Direkomendasikan",ROW($6:$1005)-5),944)))&gt;0,COUNTIF(INDIRECT("'KERTAS KERJA'!K"&amp;(SMALL(IF(checklistPesertaKemenkeu!$AY$6:$AY$1005="Direkomendasikan",ROW($6:$1005)-5),944)+5)&amp;":O"&amp;(SMALL(IF(checklistPesertaKemenkeu!$AY$6:$AY$1005="Direkomendasikan",ROW($6:$1005)-5),944)+5)),INDEX(checklistPesertaKemenkeu!$P$6:$P$1005,SMALL(IF(checklistPesertaKemenkeu!$AY$6:$AY$1005="Direkomendasikan",ROW($6:$1005)-5),944)))=1),IFERROR(VLOOKUP(INDEX(checklistPesertaKemenkeu!$P$6:$P$1005,SMALL(IF(checklistPesertaKemenkeu!$AY$6:$AY$1005="Direkomendasikan",ROW($6:$1005)-5),944)),KotaKode,2,0),"-"),"")),"")</f>
        <v/>
      </c>
    </row>
    <row r="946" spans="1:12" ht="15" customHeight="1" x14ac:dyDescent="0.2">
      <c r="A946" t="str">
        <f t="shared" si="14"/>
        <v/>
      </c>
      <c r="B946" t="str">
        <v/>
      </c>
      <c r="C946" s="40" t="str">
        <f t="array" ref="C946">IFERROR(INDEX(checklistPesertaKemenkeu!$F$6:$F$1005,SMALL(IF(checklistPesertaKemenkeu!$AY$6:$AY$1005="Direkomendasikan",ROW($6:$1005)-5),945)),"")</f>
        <v/>
      </c>
      <c r="D946" t="str">
        <f t="array" ref="D946">IFERROR(INDEX(checklistPesertaKemenkeu!$G$6:$G$1005,SMALL(IF(checklistPesertaKemenkeu!$AY$6:$AY$1005="Direkomendasikan",ROW($6:$1005)-5),945)),"")</f>
        <v/>
      </c>
      <c r="E946" t="str">
        <f t="array" ref="E946">IFERROR(INDEX(checklistPesertaKemenkeu!$H$6:$H$1005,SMALL(IF(checklistPesertaKemenkeu!$AY$6:$AY$1005="Direkomendasikan",ROW($6:$1005)-5),945)),"")</f>
        <v/>
      </c>
      <c r="F946" t="str">
        <f t="array" ref="F946">IFERROR(INDEX(checklistPesertaKemenkeu!$I$6:$I$1005,SMALL(IF(checklistPesertaKemenkeu!$AY$6:$AY$1005="Direkomendasikan",ROW($6:$1005)-5),945)),"")</f>
        <v/>
      </c>
      <c r="G946" t="str">
        <f t="array" ref="G946">IFERROR(INDEX(checklistPesertaKemenkeu!$J$6:$J$1005,SMALL(IF(checklistPesertaKemenkeu!$AY$6:$AY$1005="Direkomendasikan",ROW($6:$1005)-5),945)),"")</f>
        <v/>
      </c>
      <c r="H946" t="str">
        <f t="array" aca="1" ref="H946" ca="1">IFERROR(IF(OR(INDEX(checklistPesertaKemenkeu!$L$6:$L$1005,SMALL(IF(checklistPesertaKemenkeu!$AY$6:$AY$1005="Direkomendasikan",ROW($6:$1005)-5),945))="",INDEX(checklistPesertaKemenkeu!$J$6:$J$1005,SMALL(IF(checklistPesertaKemenkeu!$AY$6:$AY$1005="Direkomendasikan",ROW($6:$1005)-5),945))=""),"",IF(AND(COUNTIF(INDIRECT("K_"&amp;MATCH(INDEX(checklistPesertaKemenkeu!$J$6:$J$1005,SMALL(IF(checklistPesertaKemenkeu!$AY$6:$AY$1005="Direkomendasikan",ROW($6:$1005)-5),945)),BidangList,0)),INDEX(checklistPesertaKemenkeu!$L$6:$L$1005,SMALL(IF(checklistPesertaKemenkeu!$AY$6:$AY$1005="Direkomendasikan",ROW($6:$1005)-5),945)))&gt;0,COUNTIF(INDIRECT("'KERTAS KERJA'!K"&amp;(SMALL(IF(checklistPesertaKemenkeu!$AY$6:$AY$1005="Direkomendasikan",ROW($6:$1005)-5),945)+5)&amp;":O"&amp;(SMALL(IF(checklistPesertaKemenkeu!$AY$6:$AY$1005="Direkomendasikan",ROW($6:$1005)-5),945)+5)),INDEX(checklistPesertaKemenkeu!$L$6:$L$1005,SMALL(IF(checklistPesertaKemenkeu!$AY$6:$AY$1005="Direkomendasikan",ROW($6:$1005)-5),945)))=1),IFERROR(VLOOKUP(INDEX(checklistPesertaKemenkeu!$L$6:$L$1005,SMALL(IF(checklistPesertaKemenkeu!$AY$6:$AY$1005="Direkomendasikan",ROW($6:$1005)-5),945)),KotaKode,2,0),"-"),"")),"")</f>
        <v/>
      </c>
      <c r="I946" t="str">
        <f t="array" aca="1" ref="I946" ca="1">IFERROR(IF(OR(INDEX(checklistPesertaKemenkeu!$M$6:$M$1005,SMALL(IF(checklistPesertaKemenkeu!$AY$6:$AY$1005="Direkomendasikan",ROW($6:$1005)-5),945))="",INDEX(checklistPesertaKemenkeu!$J$6:$J$1005,SMALL(IF(checklistPesertaKemenkeu!$AY$6:$AY$1005="Direkomendasikan",ROW($6:$1005)-5),945))=""),"",IF(AND(COUNTIF(INDIRECT("K_"&amp;MATCH(INDEX(checklistPesertaKemenkeu!$J$6:$J$1005,SMALL(IF(checklistPesertaKemenkeu!$AY$6:$AY$1005="Direkomendasikan",ROW($6:$1005)-5),945)),BidangList,0)),INDEX(checklistPesertaKemenkeu!$M$6:$M$1005,SMALL(IF(checklistPesertaKemenkeu!$AY$6:$AY$1005="Direkomendasikan",ROW($6:$1005)-5),945)))&gt;0,COUNTIF(INDIRECT("'KERTAS KERJA'!K"&amp;(SMALL(IF(checklistPesertaKemenkeu!$AY$6:$AY$1005="Direkomendasikan",ROW($6:$1005)-5),945)+5)&amp;":O"&amp;(SMALL(IF(checklistPesertaKemenkeu!$AY$6:$AY$1005="Direkomendasikan",ROW($6:$1005)-5),945)+5)),INDEX(checklistPesertaKemenkeu!$M$6:$M$1005,SMALL(IF(checklistPesertaKemenkeu!$AY$6:$AY$1005="Direkomendasikan",ROW($6:$1005)-5),945)))=1),IFERROR(VLOOKUP(INDEX(checklistPesertaKemenkeu!$M$6:$M$1005,SMALL(IF(checklistPesertaKemenkeu!$AY$6:$AY$1005="Direkomendasikan",ROW($6:$1005)-5),945)),KotaKode,2,0),"-"),"")),"")</f>
        <v/>
      </c>
      <c r="J946" t="str">
        <f t="array" aca="1" ref="J946" ca="1">IFERROR(IF(OR(INDEX(checklistPesertaKemenkeu!$N$6:$N$1005,SMALL(IF(checklistPesertaKemenkeu!$AY$6:$AY$1005="Direkomendasikan",ROW($6:$1005)-5),945))="",INDEX(checklistPesertaKemenkeu!$J$6:$J$1005,SMALL(IF(checklistPesertaKemenkeu!$AY$6:$AY$1005="Direkomendasikan",ROW($6:$1005)-5),945))=""),"",IF(AND(COUNTIF(INDIRECT("K_"&amp;MATCH(INDEX(checklistPesertaKemenkeu!$J$6:$J$1005,SMALL(IF(checklistPesertaKemenkeu!$AY$6:$AY$1005="Direkomendasikan",ROW($6:$1005)-5),945)),BidangList,0)),INDEX(checklistPesertaKemenkeu!$N$6:$N$1005,SMALL(IF(checklistPesertaKemenkeu!$AY$6:$AY$1005="Direkomendasikan",ROW($6:$1005)-5),945)))&gt;0,COUNTIF(INDIRECT("'KERTAS KERJA'!K"&amp;(SMALL(IF(checklistPesertaKemenkeu!$AY$6:$AY$1005="Direkomendasikan",ROW($6:$1005)-5),945)+5)&amp;":O"&amp;(SMALL(IF(checklistPesertaKemenkeu!$AY$6:$AY$1005="Direkomendasikan",ROW($6:$1005)-5),945)+5)),INDEX(checklistPesertaKemenkeu!$N$6:$N$1005,SMALL(IF(checklistPesertaKemenkeu!$AY$6:$AY$1005="Direkomendasikan",ROW($6:$1005)-5),945)))=1),IFERROR(VLOOKUP(INDEX(checklistPesertaKemenkeu!$N$6:$N$1005,SMALL(IF(checklistPesertaKemenkeu!$AY$6:$AY$1005="Direkomendasikan",ROW($6:$1005)-5),945)),KotaKode,2,0),"-"),"")),"")</f>
        <v/>
      </c>
      <c r="K946" t="str">
        <f t="array" aca="1" ref="K946" ca="1">IFERROR(IF(OR(INDEX(checklistPesertaKemenkeu!$O$6:$O$1005,SMALL(IF(checklistPesertaKemenkeu!$AY$6:$AY$1005="Direkomendasikan",ROW($6:$1005)-5),945))="",INDEX(checklistPesertaKemenkeu!$J$6:$J$1005,SMALL(IF(checklistPesertaKemenkeu!$AY$6:$AY$1005="Direkomendasikan",ROW($6:$1005)-5),945))=""),"",IF(AND(COUNTIF(INDIRECT("K_"&amp;MATCH(INDEX(checklistPesertaKemenkeu!$J$6:$J$1005,SMALL(IF(checklistPesertaKemenkeu!$AY$6:$AY$1005="Direkomendasikan",ROW($6:$1005)-5),945)),BidangList,0)),INDEX(checklistPesertaKemenkeu!$O$6:$O$1005,SMALL(IF(checklistPesertaKemenkeu!$AY$6:$AY$1005="Direkomendasikan",ROW($6:$1005)-5),945)))&gt;0,COUNTIF(INDIRECT("'KERTAS KERJA'!K"&amp;(SMALL(IF(checklistPesertaKemenkeu!$AY$6:$AY$1005="Direkomendasikan",ROW($6:$1005)-5),945)+5)&amp;":O"&amp;(SMALL(IF(checklistPesertaKemenkeu!$AY$6:$AY$1005="Direkomendasikan",ROW($6:$1005)-5),945)+5)),INDEX(checklistPesertaKemenkeu!$O$6:$O$1005,SMALL(IF(checklistPesertaKemenkeu!$AY$6:$AY$1005="Direkomendasikan",ROW($6:$1005)-5),945)))=1),IFERROR(VLOOKUP(INDEX(checklistPesertaKemenkeu!$O$6:$O$1005,SMALL(IF(checklistPesertaKemenkeu!$AY$6:$AY$1005="Direkomendasikan",ROW($6:$1005)-5),945)),KotaKode,2,0),"-"),"")),"")</f>
        <v/>
      </c>
      <c r="L946" t="str">
        <f t="array" aca="1" ref="L946" ca="1">IFERROR(IF(OR(INDEX(checklistPesertaKemenkeu!$P$6:$P$1005,SMALL(IF(checklistPesertaKemenkeu!$AY$6:$AY$1005="Direkomendasikan",ROW($6:$1005)-5),945))="",INDEX(checklistPesertaKemenkeu!$J$6:$J$1005,SMALL(IF(checklistPesertaKemenkeu!$AY$6:$AY$1005="Direkomendasikan",ROW($6:$1005)-5),945))=""),"",IF(AND(COUNTIF(INDIRECT("K_"&amp;MATCH(INDEX(checklistPesertaKemenkeu!$J$6:$J$1005,SMALL(IF(checklistPesertaKemenkeu!$AY$6:$AY$1005="Direkomendasikan",ROW($6:$1005)-5),945)),BidangList,0)),INDEX(checklistPesertaKemenkeu!$P$6:$P$1005,SMALL(IF(checklistPesertaKemenkeu!$AY$6:$AY$1005="Direkomendasikan",ROW($6:$1005)-5),945)))&gt;0,COUNTIF(INDIRECT("'KERTAS KERJA'!K"&amp;(SMALL(IF(checklistPesertaKemenkeu!$AY$6:$AY$1005="Direkomendasikan",ROW($6:$1005)-5),945)+5)&amp;":O"&amp;(SMALL(IF(checklistPesertaKemenkeu!$AY$6:$AY$1005="Direkomendasikan",ROW($6:$1005)-5),945)+5)),INDEX(checklistPesertaKemenkeu!$P$6:$P$1005,SMALL(IF(checklistPesertaKemenkeu!$AY$6:$AY$1005="Direkomendasikan",ROW($6:$1005)-5),945)))=1),IFERROR(VLOOKUP(INDEX(checklistPesertaKemenkeu!$P$6:$P$1005,SMALL(IF(checklistPesertaKemenkeu!$AY$6:$AY$1005="Direkomendasikan",ROW($6:$1005)-5),945)),KotaKode,2,0),"-"),"")),"")</f>
        <v/>
      </c>
    </row>
    <row r="947" spans="1:12" ht="15" customHeight="1" x14ac:dyDescent="0.2">
      <c r="A947" t="str">
        <f t="shared" si="14"/>
        <v/>
      </c>
      <c r="B947" t="str">
        <v/>
      </c>
      <c r="C947" s="40" t="str">
        <f t="array" ref="C947">IFERROR(INDEX(checklistPesertaKemenkeu!$F$6:$F$1005,SMALL(IF(checklistPesertaKemenkeu!$AY$6:$AY$1005="Direkomendasikan",ROW($6:$1005)-5),946)),"")</f>
        <v/>
      </c>
      <c r="D947" t="str">
        <f t="array" ref="D947">IFERROR(INDEX(checklistPesertaKemenkeu!$G$6:$G$1005,SMALL(IF(checklistPesertaKemenkeu!$AY$6:$AY$1005="Direkomendasikan",ROW($6:$1005)-5),946)),"")</f>
        <v/>
      </c>
      <c r="E947" t="str">
        <f t="array" ref="E947">IFERROR(INDEX(checklistPesertaKemenkeu!$H$6:$H$1005,SMALL(IF(checklistPesertaKemenkeu!$AY$6:$AY$1005="Direkomendasikan",ROW($6:$1005)-5),946)),"")</f>
        <v/>
      </c>
      <c r="F947" t="str">
        <f t="array" ref="F947">IFERROR(INDEX(checklistPesertaKemenkeu!$I$6:$I$1005,SMALL(IF(checklistPesertaKemenkeu!$AY$6:$AY$1005="Direkomendasikan",ROW($6:$1005)-5),946)),"")</f>
        <v/>
      </c>
      <c r="G947" t="str">
        <f t="array" ref="G947">IFERROR(INDEX(checklistPesertaKemenkeu!$J$6:$J$1005,SMALL(IF(checklistPesertaKemenkeu!$AY$6:$AY$1005="Direkomendasikan",ROW($6:$1005)-5),946)),"")</f>
        <v/>
      </c>
      <c r="H947" t="str">
        <f t="array" aca="1" ref="H947" ca="1">IFERROR(IF(OR(INDEX(checklistPesertaKemenkeu!$L$6:$L$1005,SMALL(IF(checklistPesertaKemenkeu!$AY$6:$AY$1005="Direkomendasikan",ROW($6:$1005)-5),946))="",INDEX(checklistPesertaKemenkeu!$J$6:$J$1005,SMALL(IF(checklistPesertaKemenkeu!$AY$6:$AY$1005="Direkomendasikan",ROW($6:$1005)-5),946))=""),"",IF(AND(COUNTIF(INDIRECT("K_"&amp;MATCH(INDEX(checklistPesertaKemenkeu!$J$6:$J$1005,SMALL(IF(checklistPesertaKemenkeu!$AY$6:$AY$1005="Direkomendasikan",ROW($6:$1005)-5),946)),BidangList,0)),INDEX(checklistPesertaKemenkeu!$L$6:$L$1005,SMALL(IF(checklistPesertaKemenkeu!$AY$6:$AY$1005="Direkomendasikan",ROW($6:$1005)-5),946)))&gt;0,COUNTIF(INDIRECT("'KERTAS KERJA'!K"&amp;(SMALL(IF(checklistPesertaKemenkeu!$AY$6:$AY$1005="Direkomendasikan",ROW($6:$1005)-5),946)+5)&amp;":O"&amp;(SMALL(IF(checklistPesertaKemenkeu!$AY$6:$AY$1005="Direkomendasikan",ROW($6:$1005)-5),946)+5)),INDEX(checklistPesertaKemenkeu!$L$6:$L$1005,SMALL(IF(checklistPesertaKemenkeu!$AY$6:$AY$1005="Direkomendasikan",ROW($6:$1005)-5),946)))=1),IFERROR(VLOOKUP(INDEX(checklistPesertaKemenkeu!$L$6:$L$1005,SMALL(IF(checklistPesertaKemenkeu!$AY$6:$AY$1005="Direkomendasikan",ROW($6:$1005)-5),946)),KotaKode,2,0),"-"),"")),"")</f>
        <v/>
      </c>
      <c r="I947" t="str">
        <f t="array" aca="1" ref="I947" ca="1">IFERROR(IF(OR(INDEX(checklistPesertaKemenkeu!$M$6:$M$1005,SMALL(IF(checklistPesertaKemenkeu!$AY$6:$AY$1005="Direkomendasikan",ROW($6:$1005)-5),946))="",INDEX(checklistPesertaKemenkeu!$J$6:$J$1005,SMALL(IF(checklistPesertaKemenkeu!$AY$6:$AY$1005="Direkomendasikan",ROW($6:$1005)-5),946))=""),"",IF(AND(COUNTIF(INDIRECT("K_"&amp;MATCH(INDEX(checklistPesertaKemenkeu!$J$6:$J$1005,SMALL(IF(checklistPesertaKemenkeu!$AY$6:$AY$1005="Direkomendasikan",ROW($6:$1005)-5),946)),BidangList,0)),INDEX(checklistPesertaKemenkeu!$M$6:$M$1005,SMALL(IF(checklistPesertaKemenkeu!$AY$6:$AY$1005="Direkomendasikan",ROW($6:$1005)-5),946)))&gt;0,COUNTIF(INDIRECT("'KERTAS KERJA'!K"&amp;(SMALL(IF(checklistPesertaKemenkeu!$AY$6:$AY$1005="Direkomendasikan",ROW($6:$1005)-5),946)+5)&amp;":O"&amp;(SMALL(IF(checklistPesertaKemenkeu!$AY$6:$AY$1005="Direkomendasikan",ROW($6:$1005)-5),946)+5)),INDEX(checklistPesertaKemenkeu!$M$6:$M$1005,SMALL(IF(checklistPesertaKemenkeu!$AY$6:$AY$1005="Direkomendasikan",ROW($6:$1005)-5),946)))=1),IFERROR(VLOOKUP(INDEX(checklistPesertaKemenkeu!$M$6:$M$1005,SMALL(IF(checklistPesertaKemenkeu!$AY$6:$AY$1005="Direkomendasikan",ROW($6:$1005)-5),946)),KotaKode,2,0),"-"),"")),"")</f>
        <v/>
      </c>
      <c r="J947" t="str">
        <f t="array" aca="1" ref="J947" ca="1">IFERROR(IF(OR(INDEX(checklistPesertaKemenkeu!$N$6:$N$1005,SMALL(IF(checklistPesertaKemenkeu!$AY$6:$AY$1005="Direkomendasikan",ROW($6:$1005)-5),946))="",INDEX(checklistPesertaKemenkeu!$J$6:$J$1005,SMALL(IF(checklistPesertaKemenkeu!$AY$6:$AY$1005="Direkomendasikan",ROW($6:$1005)-5),946))=""),"",IF(AND(COUNTIF(INDIRECT("K_"&amp;MATCH(INDEX(checklistPesertaKemenkeu!$J$6:$J$1005,SMALL(IF(checklistPesertaKemenkeu!$AY$6:$AY$1005="Direkomendasikan",ROW($6:$1005)-5),946)),BidangList,0)),INDEX(checklistPesertaKemenkeu!$N$6:$N$1005,SMALL(IF(checklistPesertaKemenkeu!$AY$6:$AY$1005="Direkomendasikan",ROW($6:$1005)-5),946)))&gt;0,COUNTIF(INDIRECT("'KERTAS KERJA'!K"&amp;(SMALL(IF(checklistPesertaKemenkeu!$AY$6:$AY$1005="Direkomendasikan",ROW($6:$1005)-5),946)+5)&amp;":O"&amp;(SMALL(IF(checklistPesertaKemenkeu!$AY$6:$AY$1005="Direkomendasikan",ROW($6:$1005)-5),946)+5)),INDEX(checklistPesertaKemenkeu!$N$6:$N$1005,SMALL(IF(checklistPesertaKemenkeu!$AY$6:$AY$1005="Direkomendasikan",ROW($6:$1005)-5),946)))=1),IFERROR(VLOOKUP(INDEX(checklistPesertaKemenkeu!$N$6:$N$1005,SMALL(IF(checklistPesertaKemenkeu!$AY$6:$AY$1005="Direkomendasikan",ROW($6:$1005)-5),946)),KotaKode,2,0),"-"),"")),"")</f>
        <v/>
      </c>
      <c r="K947" t="str">
        <f t="array" aca="1" ref="K947" ca="1">IFERROR(IF(OR(INDEX(checklistPesertaKemenkeu!$O$6:$O$1005,SMALL(IF(checklistPesertaKemenkeu!$AY$6:$AY$1005="Direkomendasikan",ROW($6:$1005)-5),946))="",INDEX(checklistPesertaKemenkeu!$J$6:$J$1005,SMALL(IF(checklistPesertaKemenkeu!$AY$6:$AY$1005="Direkomendasikan",ROW($6:$1005)-5),946))=""),"",IF(AND(COUNTIF(INDIRECT("K_"&amp;MATCH(INDEX(checklistPesertaKemenkeu!$J$6:$J$1005,SMALL(IF(checklistPesertaKemenkeu!$AY$6:$AY$1005="Direkomendasikan",ROW($6:$1005)-5),946)),BidangList,0)),INDEX(checklistPesertaKemenkeu!$O$6:$O$1005,SMALL(IF(checklistPesertaKemenkeu!$AY$6:$AY$1005="Direkomendasikan",ROW($6:$1005)-5),946)))&gt;0,COUNTIF(INDIRECT("'KERTAS KERJA'!K"&amp;(SMALL(IF(checklistPesertaKemenkeu!$AY$6:$AY$1005="Direkomendasikan",ROW($6:$1005)-5),946)+5)&amp;":O"&amp;(SMALL(IF(checklistPesertaKemenkeu!$AY$6:$AY$1005="Direkomendasikan",ROW($6:$1005)-5),946)+5)),INDEX(checklistPesertaKemenkeu!$O$6:$O$1005,SMALL(IF(checklistPesertaKemenkeu!$AY$6:$AY$1005="Direkomendasikan",ROW($6:$1005)-5),946)))=1),IFERROR(VLOOKUP(INDEX(checklistPesertaKemenkeu!$O$6:$O$1005,SMALL(IF(checklistPesertaKemenkeu!$AY$6:$AY$1005="Direkomendasikan",ROW($6:$1005)-5),946)),KotaKode,2,0),"-"),"")),"")</f>
        <v/>
      </c>
      <c r="L947" t="str">
        <f t="array" aca="1" ref="L947" ca="1">IFERROR(IF(OR(INDEX(checklistPesertaKemenkeu!$P$6:$P$1005,SMALL(IF(checklistPesertaKemenkeu!$AY$6:$AY$1005="Direkomendasikan",ROW($6:$1005)-5),946))="",INDEX(checklistPesertaKemenkeu!$J$6:$J$1005,SMALL(IF(checklistPesertaKemenkeu!$AY$6:$AY$1005="Direkomendasikan",ROW($6:$1005)-5),946))=""),"",IF(AND(COUNTIF(INDIRECT("K_"&amp;MATCH(INDEX(checklistPesertaKemenkeu!$J$6:$J$1005,SMALL(IF(checklistPesertaKemenkeu!$AY$6:$AY$1005="Direkomendasikan",ROW($6:$1005)-5),946)),BidangList,0)),INDEX(checklistPesertaKemenkeu!$P$6:$P$1005,SMALL(IF(checklistPesertaKemenkeu!$AY$6:$AY$1005="Direkomendasikan",ROW($6:$1005)-5),946)))&gt;0,COUNTIF(INDIRECT("'KERTAS KERJA'!K"&amp;(SMALL(IF(checklistPesertaKemenkeu!$AY$6:$AY$1005="Direkomendasikan",ROW($6:$1005)-5),946)+5)&amp;":O"&amp;(SMALL(IF(checklistPesertaKemenkeu!$AY$6:$AY$1005="Direkomendasikan",ROW($6:$1005)-5),946)+5)),INDEX(checklistPesertaKemenkeu!$P$6:$P$1005,SMALL(IF(checklistPesertaKemenkeu!$AY$6:$AY$1005="Direkomendasikan",ROW($6:$1005)-5),946)))=1),IFERROR(VLOOKUP(INDEX(checklistPesertaKemenkeu!$P$6:$P$1005,SMALL(IF(checklistPesertaKemenkeu!$AY$6:$AY$1005="Direkomendasikan",ROW($6:$1005)-5),946)),KotaKode,2,0),"-"),"")),"")</f>
        <v/>
      </c>
    </row>
    <row r="948" spans="1:12" ht="15" customHeight="1" x14ac:dyDescent="0.2">
      <c r="A948" t="str">
        <f t="shared" si="14"/>
        <v/>
      </c>
      <c r="B948" t="str">
        <v/>
      </c>
      <c r="C948" s="40" t="str">
        <f t="array" ref="C948">IFERROR(INDEX(checklistPesertaKemenkeu!$F$6:$F$1005,SMALL(IF(checklistPesertaKemenkeu!$AY$6:$AY$1005="Direkomendasikan",ROW($6:$1005)-5),947)),"")</f>
        <v/>
      </c>
      <c r="D948" t="str">
        <f t="array" ref="D948">IFERROR(INDEX(checklistPesertaKemenkeu!$G$6:$G$1005,SMALL(IF(checklistPesertaKemenkeu!$AY$6:$AY$1005="Direkomendasikan",ROW($6:$1005)-5),947)),"")</f>
        <v/>
      </c>
      <c r="E948" t="str">
        <f t="array" ref="E948">IFERROR(INDEX(checklistPesertaKemenkeu!$H$6:$H$1005,SMALL(IF(checklistPesertaKemenkeu!$AY$6:$AY$1005="Direkomendasikan",ROW($6:$1005)-5),947)),"")</f>
        <v/>
      </c>
      <c r="F948" t="str">
        <f t="array" ref="F948">IFERROR(INDEX(checklistPesertaKemenkeu!$I$6:$I$1005,SMALL(IF(checklistPesertaKemenkeu!$AY$6:$AY$1005="Direkomendasikan",ROW($6:$1005)-5),947)),"")</f>
        <v/>
      </c>
      <c r="G948" t="str">
        <f t="array" ref="G948">IFERROR(INDEX(checklistPesertaKemenkeu!$J$6:$J$1005,SMALL(IF(checklistPesertaKemenkeu!$AY$6:$AY$1005="Direkomendasikan",ROW($6:$1005)-5),947)),"")</f>
        <v/>
      </c>
      <c r="H948" t="str">
        <f t="array" aca="1" ref="H948" ca="1">IFERROR(IF(OR(INDEX(checklistPesertaKemenkeu!$L$6:$L$1005,SMALL(IF(checklistPesertaKemenkeu!$AY$6:$AY$1005="Direkomendasikan",ROW($6:$1005)-5),947))="",INDEX(checklistPesertaKemenkeu!$J$6:$J$1005,SMALL(IF(checklistPesertaKemenkeu!$AY$6:$AY$1005="Direkomendasikan",ROW($6:$1005)-5),947))=""),"",IF(AND(COUNTIF(INDIRECT("K_"&amp;MATCH(INDEX(checklistPesertaKemenkeu!$J$6:$J$1005,SMALL(IF(checklistPesertaKemenkeu!$AY$6:$AY$1005="Direkomendasikan",ROW($6:$1005)-5),947)),BidangList,0)),INDEX(checklistPesertaKemenkeu!$L$6:$L$1005,SMALL(IF(checklistPesertaKemenkeu!$AY$6:$AY$1005="Direkomendasikan",ROW($6:$1005)-5),947)))&gt;0,COUNTIF(INDIRECT("'KERTAS KERJA'!K"&amp;(SMALL(IF(checklistPesertaKemenkeu!$AY$6:$AY$1005="Direkomendasikan",ROW($6:$1005)-5),947)+5)&amp;":O"&amp;(SMALL(IF(checklistPesertaKemenkeu!$AY$6:$AY$1005="Direkomendasikan",ROW($6:$1005)-5),947)+5)),INDEX(checklistPesertaKemenkeu!$L$6:$L$1005,SMALL(IF(checklistPesertaKemenkeu!$AY$6:$AY$1005="Direkomendasikan",ROW($6:$1005)-5),947)))=1),IFERROR(VLOOKUP(INDEX(checklistPesertaKemenkeu!$L$6:$L$1005,SMALL(IF(checklistPesertaKemenkeu!$AY$6:$AY$1005="Direkomendasikan",ROW($6:$1005)-5),947)),KotaKode,2,0),"-"),"")),"")</f>
        <v/>
      </c>
      <c r="I948" t="str">
        <f t="array" aca="1" ref="I948" ca="1">IFERROR(IF(OR(INDEX(checklistPesertaKemenkeu!$M$6:$M$1005,SMALL(IF(checklistPesertaKemenkeu!$AY$6:$AY$1005="Direkomendasikan",ROW($6:$1005)-5),947))="",INDEX(checklistPesertaKemenkeu!$J$6:$J$1005,SMALL(IF(checklistPesertaKemenkeu!$AY$6:$AY$1005="Direkomendasikan",ROW($6:$1005)-5),947))=""),"",IF(AND(COUNTIF(INDIRECT("K_"&amp;MATCH(INDEX(checklistPesertaKemenkeu!$J$6:$J$1005,SMALL(IF(checklistPesertaKemenkeu!$AY$6:$AY$1005="Direkomendasikan",ROW($6:$1005)-5),947)),BidangList,0)),INDEX(checklistPesertaKemenkeu!$M$6:$M$1005,SMALL(IF(checklistPesertaKemenkeu!$AY$6:$AY$1005="Direkomendasikan",ROW($6:$1005)-5),947)))&gt;0,COUNTIF(INDIRECT("'KERTAS KERJA'!K"&amp;(SMALL(IF(checklistPesertaKemenkeu!$AY$6:$AY$1005="Direkomendasikan",ROW($6:$1005)-5),947)+5)&amp;":O"&amp;(SMALL(IF(checklistPesertaKemenkeu!$AY$6:$AY$1005="Direkomendasikan",ROW($6:$1005)-5),947)+5)),INDEX(checklistPesertaKemenkeu!$M$6:$M$1005,SMALL(IF(checklistPesertaKemenkeu!$AY$6:$AY$1005="Direkomendasikan",ROW($6:$1005)-5),947)))=1),IFERROR(VLOOKUP(INDEX(checklistPesertaKemenkeu!$M$6:$M$1005,SMALL(IF(checklistPesertaKemenkeu!$AY$6:$AY$1005="Direkomendasikan",ROW($6:$1005)-5),947)),KotaKode,2,0),"-"),"")),"")</f>
        <v/>
      </c>
      <c r="J948" t="str">
        <f t="array" aca="1" ref="J948" ca="1">IFERROR(IF(OR(INDEX(checklistPesertaKemenkeu!$N$6:$N$1005,SMALL(IF(checklistPesertaKemenkeu!$AY$6:$AY$1005="Direkomendasikan",ROW($6:$1005)-5),947))="",INDEX(checklistPesertaKemenkeu!$J$6:$J$1005,SMALL(IF(checklistPesertaKemenkeu!$AY$6:$AY$1005="Direkomendasikan",ROW($6:$1005)-5),947))=""),"",IF(AND(COUNTIF(INDIRECT("K_"&amp;MATCH(INDEX(checklistPesertaKemenkeu!$J$6:$J$1005,SMALL(IF(checklistPesertaKemenkeu!$AY$6:$AY$1005="Direkomendasikan",ROW($6:$1005)-5),947)),BidangList,0)),INDEX(checklistPesertaKemenkeu!$N$6:$N$1005,SMALL(IF(checklistPesertaKemenkeu!$AY$6:$AY$1005="Direkomendasikan",ROW($6:$1005)-5),947)))&gt;0,COUNTIF(INDIRECT("'KERTAS KERJA'!K"&amp;(SMALL(IF(checklistPesertaKemenkeu!$AY$6:$AY$1005="Direkomendasikan",ROW($6:$1005)-5),947)+5)&amp;":O"&amp;(SMALL(IF(checklistPesertaKemenkeu!$AY$6:$AY$1005="Direkomendasikan",ROW($6:$1005)-5),947)+5)),INDEX(checklistPesertaKemenkeu!$N$6:$N$1005,SMALL(IF(checklistPesertaKemenkeu!$AY$6:$AY$1005="Direkomendasikan",ROW($6:$1005)-5),947)))=1),IFERROR(VLOOKUP(INDEX(checklistPesertaKemenkeu!$N$6:$N$1005,SMALL(IF(checklistPesertaKemenkeu!$AY$6:$AY$1005="Direkomendasikan",ROW($6:$1005)-5),947)),KotaKode,2,0),"-"),"")),"")</f>
        <v/>
      </c>
      <c r="K948" t="str">
        <f t="array" aca="1" ref="K948" ca="1">IFERROR(IF(OR(INDEX(checklistPesertaKemenkeu!$O$6:$O$1005,SMALL(IF(checklistPesertaKemenkeu!$AY$6:$AY$1005="Direkomendasikan",ROW($6:$1005)-5),947))="",INDEX(checklistPesertaKemenkeu!$J$6:$J$1005,SMALL(IF(checklistPesertaKemenkeu!$AY$6:$AY$1005="Direkomendasikan",ROW($6:$1005)-5),947))=""),"",IF(AND(COUNTIF(INDIRECT("K_"&amp;MATCH(INDEX(checklistPesertaKemenkeu!$J$6:$J$1005,SMALL(IF(checklistPesertaKemenkeu!$AY$6:$AY$1005="Direkomendasikan",ROW($6:$1005)-5),947)),BidangList,0)),INDEX(checklistPesertaKemenkeu!$O$6:$O$1005,SMALL(IF(checklistPesertaKemenkeu!$AY$6:$AY$1005="Direkomendasikan",ROW($6:$1005)-5),947)))&gt;0,COUNTIF(INDIRECT("'KERTAS KERJA'!K"&amp;(SMALL(IF(checklistPesertaKemenkeu!$AY$6:$AY$1005="Direkomendasikan",ROW($6:$1005)-5),947)+5)&amp;":O"&amp;(SMALL(IF(checklistPesertaKemenkeu!$AY$6:$AY$1005="Direkomendasikan",ROW($6:$1005)-5),947)+5)),INDEX(checklistPesertaKemenkeu!$O$6:$O$1005,SMALL(IF(checklistPesertaKemenkeu!$AY$6:$AY$1005="Direkomendasikan",ROW($6:$1005)-5),947)))=1),IFERROR(VLOOKUP(INDEX(checklistPesertaKemenkeu!$O$6:$O$1005,SMALL(IF(checklistPesertaKemenkeu!$AY$6:$AY$1005="Direkomendasikan",ROW($6:$1005)-5),947)),KotaKode,2,0),"-"),"")),"")</f>
        <v/>
      </c>
      <c r="L948" t="str">
        <f t="array" aca="1" ref="L948" ca="1">IFERROR(IF(OR(INDEX(checklistPesertaKemenkeu!$P$6:$P$1005,SMALL(IF(checklistPesertaKemenkeu!$AY$6:$AY$1005="Direkomendasikan",ROW($6:$1005)-5),947))="",INDEX(checklistPesertaKemenkeu!$J$6:$J$1005,SMALL(IF(checklistPesertaKemenkeu!$AY$6:$AY$1005="Direkomendasikan",ROW($6:$1005)-5),947))=""),"",IF(AND(COUNTIF(INDIRECT("K_"&amp;MATCH(INDEX(checklistPesertaKemenkeu!$J$6:$J$1005,SMALL(IF(checklistPesertaKemenkeu!$AY$6:$AY$1005="Direkomendasikan",ROW($6:$1005)-5),947)),BidangList,0)),INDEX(checklistPesertaKemenkeu!$P$6:$P$1005,SMALL(IF(checklistPesertaKemenkeu!$AY$6:$AY$1005="Direkomendasikan",ROW($6:$1005)-5),947)))&gt;0,COUNTIF(INDIRECT("'KERTAS KERJA'!K"&amp;(SMALL(IF(checklistPesertaKemenkeu!$AY$6:$AY$1005="Direkomendasikan",ROW($6:$1005)-5),947)+5)&amp;":O"&amp;(SMALL(IF(checklistPesertaKemenkeu!$AY$6:$AY$1005="Direkomendasikan",ROW($6:$1005)-5),947)+5)),INDEX(checklistPesertaKemenkeu!$P$6:$P$1005,SMALL(IF(checklistPesertaKemenkeu!$AY$6:$AY$1005="Direkomendasikan",ROW($6:$1005)-5),947)))=1),IFERROR(VLOOKUP(INDEX(checklistPesertaKemenkeu!$P$6:$P$1005,SMALL(IF(checklistPesertaKemenkeu!$AY$6:$AY$1005="Direkomendasikan",ROW($6:$1005)-5),947)),KotaKode,2,0),"-"),"")),"")</f>
        <v/>
      </c>
    </row>
    <row r="949" spans="1:12" ht="15" customHeight="1" x14ac:dyDescent="0.2">
      <c r="A949" t="str">
        <f t="shared" si="14"/>
        <v/>
      </c>
      <c r="B949" t="str">
        <v/>
      </c>
      <c r="C949" s="40" t="str">
        <f t="array" ref="C949">IFERROR(INDEX(checklistPesertaKemenkeu!$F$6:$F$1005,SMALL(IF(checklistPesertaKemenkeu!$AY$6:$AY$1005="Direkomendasikan",ROW($6:$1005)-5),948)),"")</f>
        <v/>
      </c>
      <c r="D949" t="str">
        <f t="array" ref="D949">IFERROR(INDEX(checklistPesertaKemenkeu!$G$6:$G$1005,SMALL(IF(checklistPesertaKemenkeu!$AY$6:$AY$1005="Direkomendasikan",ROW($6:$1005)-5),948)),"")</f>
        <v/>
      </c>
      <c r="E949" t="str">
        <f t="array" ref="E949">IFERROR(INDEX(checklistPesertaKemenkeu!$H$6:$H$1005,SMALL(IF(checklistPesertaKemenkeu!$AY$6:$AY$1005="Direkomendasikan",ROW($6:$1005)-5),948)),"")</f>
        <v/>
      </c>
      <c r="F949" t="str">
        <f t="array" ref="F949">IFERROR(INDEX(checklistPesertaKemenkeu!$I$6:$I$1005,SMALL(IF(checklistPesertaKemenkeu!$AY$6:$AY$1005="Direkomendasikan",ROW($6:$1005)-5),948)),"")</f>
        <v/>
      </c>
      <c r="G949" t="str">
        <f t="array" ref="G949">IFERROR(INDEX(checklistPesertaKemenkeu!$J$6:$J$1005,SMALL(IF(checklistPesertaKemenkeu!$AY$6:$AY$1005="Direkomendasikan",ROW($6:$1005)-5),948)),"")</f>
        <v/>
      </c>
      <c r="H949" t="str">
        <f t="array" aca="1" ref="H949" ca="1">IFERROR(IF(OR(INDEX(checklistPesertaKemenkeu!$L$6:$L$1005,SMALL(IF(checklistPesertaKemenkeu!$AY$6:$AY$1005="Direkomendasikan",ROW($6:$1005)-5),948))="",INDEX(checklistPesertaKemenkeu!$J$6:$J$1005,SMALL(IF(checklistPesertaKemenkeu!$AY$6:$AY$1005="Direkomendasikan",ROW($6:$1005)-5),948))=""),"",IF(AND(COUNTIF(INDIRECT("K_"&amp;MATCH(INDEX(checklistPesertaKemenkeu!$J$6:$J$1005,SMALL(IF(checklistPesertaKemenkeu!$AY$6:$AY$1005="Direkomendasikan",ROW($6:$1005)-5),948)),BidangList,0)),INDEX(checklistPesertaKemenkeu!$L$6:$L$1005,SMALL(IF(checklistPesertaKemenkeu!$AY$6:$AY$1005="Direkomendasikan",ROW($6:$1005)-5),948)))&gt;0,COUNTIF(INDIRECT("'KERTAS KERJA'!K"&amp;(SMALL(IF(checklistPesertaKemenkeu!$AY$6:$AY$1005="Direkomendasikan",ROW($6:$1005)-5),948)+5)&amp;":O"&amp;(SMALL(IF(checklistPesertaKemenkeu!$AY$6:$AY$1005="Direkomendasikan",ROW($6:$1005)-5),948)+5)),INDEX(checklistPesertaKemenkeu!$L$6:$L$1005,SMALL(IF(checklistPesertaKemenkeu!$AY$6:$AY$1005="Direkomendasikan",ROW($6:$1005)-5),948)))=1),IFERROR(VLOOKUP(INDEX(checklistPesertaKemenkeu!$L$6:$L$1005,SMALL(IF(checklistPesertaKemenkeu!$AY$6:$AY$1005="Direkomendasikan",ROW($6:$1005)-5),948)),KotaKode,2,0),"-"),"")),"")</f>
        <v/>
      </c>
      <c r="I949" t="str">
        <f t="array" aca="1" ref="I949" ca="1">IFERROR(IF(OR(INDEX(checklistPesertaKemenkeu!$M$6:$M$1005,SMALL(IF(checklistPesertaKemenkeu!$AY$6:$AY$1005="Direkomendasikan",ROW($6:$1005)-5),948))="",INDEX(checklistPesertaKemenkeu!$J$6:$J$1005,SMALL(IF(checklistPesertaKemenkeu!$AY$6:$AY$1005="Direkomendasikan",ROW($6:$1005)-5),948))=""),"",IF(AND(COUNTIF(INDIRECT("K_"&amp;MATCH(INDEX(checklistPesertaKemenkeu!$J$6:$J$1005,SMALL(IF(checklistPesertaKemenkeu!$AY$6:$AY$1005="Direkomendasikan",ROW($6:$1005)-5),948)),BidangList,0)),INDEX(checklistPesertaKemenkeu!$M$6:$M$1005,SMALL(IF(checklistPesertaKemenkeu!$AY$6:$AY$1005="Direkomendasikan",ROW($6:$1005)-5),948)))&gt;0,COUNTIF(INDIRECT("'KERTAS KERJA'!K"&amp;(SMALL(IF(checklistPesertaKemenkeu!$AY$6:$AY$1005="Direkomendasikan",ROW($6:$1005)-5),948)+5)&amp;":O"&amp;(SMALL(IF(checklistPesertaKemenkeu!$AY$6:$AY$1005="Direkomendasikan",ROW($6:$1005)-5),948)+5)),INDEX(checklistPesertaKemenkeu!$M$6:$M$1005,SMALL(IF(checklistPesertaKemenkeu!$AY$6:$AY$1005="Direkomendasikan",ROW($6:$1005)-5),948)))=1),IFERROR(VLOOKUP(INDEX(checklistPesertaKemenkeu!$M$6:$M$1005,SMALL(IF(checklistPesertaKemenkeu!$AY$6:$AY$1005="Direkomendasikan",ROW($6:$1005)-5),948)),KotaKode,2,0),"-"),"")),"")</f>
        <v/>
      </c>
      <c r="J949" t="str">
        <f t="array" aca="1" ref="J949" ca="1">IFERROR(IF(OR(INDEX(checklistPesertaKemenkeu!$N$6:$N$1005,SMALL(IF(checklistPesertaKemenkeu!$AY$6:$AY$1005="Direkomendasikan",ROW($6:$1005)-5),948))="",INDEX(checklistPesertaKemenkeu!$J$6:$J$1005,SMALL(IF(checklistPesertaKemenkeu!$AY$6:$AY$1005="Direkomendasikan",ROW($6:$1005)-5),948))=""),"",IF(AND(COUNTIF(INDIRECT("K_"&amp;MATCH(INDEX(checklistPesertaKemenkeu!$J$6:$J$1005,SMALL(IF(checklistPesertaKemenkeu!$AY$6:$AY$1005="Direkomendasikan",ROW($6:$1005)-5),948)),BidangList,0)),INDEX(checklistPesertaKemenkeu!$N$6:$N$1005,SMALL(IF(checklistPesertaKemenkeu!$AY$6:$AY$1005="Direkomendasikan",ROW($6:$1005)-5),948)))&gt;0,COUNTIF(INDIRECT("'KERTAS KERJA'!K"&amp;(SMALL(IF(checklistPesertaKemenkeu!$AY$6:$AY$1005="Direkomendasikan",ROW($6:$1005)-5),948)+5)&amp;":O"&amp;(SMALL(IF(checklistPesertaKemenkeu!$AY$6:$AY$1005="Direkomendasikan",ROW($6:$1005)-5),948)+5)),INDEX(checklistPesertaKemenkeu!$N$6:$N$1005,SMALL(IF(checklistPesertaKemenkeu!$AY$6:$AY$1005="Direkomendasikan",ROW($6:$1005)-5),948)))=1),IFERROR(VLOOKUP(INDEX(checklistPesertaKemenkeu!$N$6:$N$1005,SMALL(IF(checklistPesertaKemenkeu!$AY$6:$AY$1005="Direkomendasikan",ROW($6:$1005)-5),948)),KotaKode,2,0),"-"),"")),"")</f>
        <v/>
      </c>
      <c r="K949" t="str">
        <f t="array" aca="1" ref="K949" ca="1">IFERROR(IF(OR(INDEX(checklistPesertaKemenkeu!$O$6:$O$1005,SMALL(IF(checklistPesertaKemenkeu!$AY$6:$AY$1005="Direkomendasikan",ROW($6:$1005)-5),948))="",INDEX(checklistPesertaKemenkeu!$J$6:$J$1005,SMALL(IF(checklistPesertaKemenkeu!$AY$6:$AY$1005="Direkomendasikan",ROW($6:$1005)-5),948))=""),"",IF(AND(COUNTIF(INDIRECT("K_"&amp;MATCH(INDEX(checklistPesertaKemenkeu!$J$6:$J$1005,SMALL(IF(checklistPesertaKemenkeu!$AY$6:$AY$1005="Direkomendasikan",ROW($6:$1005)-5),948)),BidangList,0)),INDEX(checklistPesertaKemenkeu!$O$6:$O$1005,SMALL(IF(checklistPesertaKemenkeu!$AY$6:$AY$1005="Direkomendasikan",ROW($6:$1005)-5),948)))&gt;0,COUNTIF(INDIRECT("'KERTAS KERJA'!K"&amp;(SMALL(IF(checklistPesertaKemenkeu!$AY$6:$AY$1005="Direkomendasikan",ROW($6:$1005)-5),948)+5)&amp;":O"&amp;(SMALL(IF(checklistPesertaKemenkeu!$AY$6:$AY$1005="Direkomendasikan",ROW($6:$1005)-5),948)+5)),INDEX(checklistPesertaKemenkeu!$O$6:$O$1005,SMALL(IF(checklistPesertaKemenkeu!$AY$6:$AY$1005="Direkomendasikan",ROW($6:$1005)-5),948)))=1),IFERROR(VLOOKUP(INDEX(checklistPesertaKemenkeu!$O$6:$O$1005,SMALL(IF(checklistPesertaKemenkeu!$AY$6:$AY$1005="Direkomendasikan",ROW($6:$1005)-5),948)),KotaKode,2,0),"-"),"")),"")</f>
        <v/>
      </c>
      <c r="L949" t="str">
        <f t="array" aca="1" ref="L949" ca="1">IFERROR(IF(OR(INDEX(checklistPesertaKemenkeu!$P$6:$P$1005,SMALL(IF(checklistPesertaKemenkeu!$AY$6:$AY$1005="Direkomendasikan",ROW($6:$1005)-5),948))="",INDEX(checklistPesertaKemenkeu!$J$6:$J$1005,SMALL(IF(checklistPesertaKemenkeu!$AY$6:$AY$1005="Direkomendasikan",ROW($6:$1005)-5),948))=""),"",IF(AND(COUNTIF(INDIRECT("K_"&amp;MATCH(INDEX(checklistPesertaKemenkeu!$J$6:$J$1005,SMALL(IF(checklistPesertaKemenkeu!$AY$6:$AY$1005="Direkomendasikan",ROW($6:$1005)-5),948)),BidangList,0)),INDEX(checklistPesertaKemenkeu!$P$6:$P$1005,SMALL(IF(checklistPesertaKemenkeu!$AY$6:$AY$1005="Direkomendasikan",ROW($6:$1005)-5),948)))&gt;0,COUNTIF(INDIRECT("'KERTAS KERJA'!K"&amp;(SMALL(IF(checklistPesertaKemenkeu!$AY$6:$AY$1005="Direkomendasikan",ROW($6:$1005)-5),948)+5)&amp;":O"&amp;(SMALL(IF(checklistPesertaKemenkeu!$AY$6:$AY$1005="Direkomendasikan",ROW($6:$1005)-5),948)+5)),INDEX(checklistPesertaKemenkeu!$P$6:$P$1005,SMALL(IF(checklistPesertaKemenkeu!$AY$6:$AY$1005="Direkomendasikan",ROW($6:$1005)-5),948)))=1),IFERROR(VLOOKUP(INDEX(checklistPesertaKemenkeu!$P$6:$P$1005,SMALL(IF(checklistPesertaKemenkeu!$AY$6:$AY$1005="Direkomendasikan",ROW($6:$1005)-5),948)),KotaKode,2,0),"-"),"")),"")</f>
        <v/>
      </c>
    </row>
    <row r="950" spans="1:12" ht="15" customHeight="1" x14ac:dyDescent="0.2">
      <c r="A950" t="str">
        <f t="shared" si="14"/>
        <v/>
      </c>
      <c r="B950" t="str">
        <v/>
      </c>
      <c r="C950" s="40" t="str">
        <f t="array" ref="C950">IFERROR(INDEX(checklistPesertaKemenkeu!$F$6:$F$1005,SMALL(IF(checklistPesertaKemenkeu!$AY$6:$AY$1005="Direkomendasikan",ROW($6:$1005)-5),949)),"")</f>
        <v/>
      </c>
      <c r="D950" t="str">
        <f t="array" ref="D950">IFERROR(INDEX(checklistPesertaKemenkeu!$G$6:$G$1005,SMALL(IF(checklistPesertaKemenkeu!$AY$6:$AY$1005="Direkomendasikan",ROW($6:$1005)-5),949)),"")</f>
        <v/>
      </c>
      <c r="E950" t="str">
        <f t="array" ref="E950">IFERROR(INDEX(checklistPesertaKemenkeu!$H$6:$H$1005,SMALL(IF(checklistPesertaKemenkeu!$AY$6:$AY$1005="Direkomendasikan",ROW($6:$1005)-5),949)),"")</f>
        <v/>
      </c>
      <c r="F950" t="str">
        <f t="array" ref="F950">IFERROR(INDEX(checklistPesertaKemenkeu!$I$6:$I$1005,SMALL(IF(checklistPesertaKemenkeu!$AY$6:$AY$1005="Direkomendasikan",ROW($6:$1005)-5),949)),"")</f>
        <v/>
      </c>
      <c r="G950" t="str">
        <f t="array" ref="G950">IFERROR(INDEX(checklistPesertaKemenkeu!$J$6:$J$1005,SMALL(IF(checklistPesertaKemenkeu!$AY$6:$AY$1005="Direkomendasikan",ROW($6:$1005)-5),949)),"")</f>
        <v/>
      </c>
      <c r="H950" t="str">
        <f t="array" aca="1" ref="H950" ca="1">IFERROR(IF(OR(INDEX(checklistPesertaKemenkeu!$L$6:$L$1005,SMALL(IF(checklistPesertaKemenkeu!$AY$6:$AY$1005="Direkomendasikan",ROW($6:$1005)-5),949))="",INDEX(checklistPesertaKemenkeu!$J$6:$J$1005,SMALL(IF(checklistPesertaKemenkeu!$AY$6:$AY$1005="Direkomendasikan",ROW($6:$1005)-5),949))=""),"",IF(AND(COUNTIF(INDIRECT("K_"&amp;MATCH(INDEX(checklistPesertaKemenkeu!$J$6:$J$1005,SMALL(IF(checklistPesertaKemenkeu!$AY$6:$AY$1005="Direkomendasikan",ROW($6:$1005)-5),949)),BidangList,0)),INDEX(checklistPesertaKemenkeu!$L$6:$L$1005,SMALL(IF(checklistPesertaKemenkeu!$AY$6:$AY$1005="Direkomendasikan",ROW($6:$1005)-5),949)))&gt;0,COUNTIF(INDIRECT("'KERTAS KERJA'!K"&amp;(SMALL(IF(checklistPesertaKemenkeu!$AY$6:$AY$1005="Direkomendasikan",ROW($6:$1005)-5),949)+5)&amp;":O"&amp;(SMALL(IF(checklistPesertaKemenkeu!$AY$6:$AY$1005="Direkomendasikan",ROW($6:$1005)-5),949)+5)),INDEX(checklistPesertaKemenkeu!$L$6:$L$1005,SMALL(IF(checklistPesertaKemenkeu!$AY$6:$AY$1005="Direkomendasikan",ROW($6:$1005)-5),949)))=1),IFERROR(VLOOKUP(INDEX(checklistPesertaKemenkeu!$L$6:$L$1005,SMALL(IF(checklistPesertaKemenkeu!$AY$6:$AY$1005="Direkomendasikan",ROW($6:$1005)-5),949)),KotaKode,2,0),"-"),"")),"")</f>
        <v/>
      </c>
      <c r="I950" t="str">
        <f t="array" aca="1" ref="I950" ca="1">IFERROR(IF(OR(INDEX(checklistPesertaKemenkeu!$M$6:$M$1005,SMALL(IF(checklistPesertaKemenkeu!$AY$6:$AY$1005="Direkomendasikan",ROW($6:$1005)-5),949))="",INDEX(checklistPesertaKemenkeu!$J$6:$J$1005,SMALL(IF(checklistPesertaKemenkeu!$AY$6:$AY$1005="Direkomendasikan",ROW($6:$1005)-5),949))=""),"",IF(AND(COUNTIF(INDIRECT("K_"&amp;MATCH(INDEX(checklistPesertaKemenkeu!$J$6:$J$1005,SMALL(IF(checklistPesertaKemenkeu!$AY$6:$AY$1005="Direkomendasikan",ROW($6:$1005)-5),949)),BidangList,0)),INDEX(checklistPesertaKemenkeu!$M$6:$M$1005,SMALL(IF(checklistPesertaKemenkeu!$AY$6:$AY$1005="Direkomendasikan",ROW($6:$1005)-5),949)))&gt;0,COUNTIF(INDIRECT("'KERTAS KERJA'!K"&amp;(SMALL(IF(checklistPesertaKemenkeu!$AY$6:$AY$1005="Direkomendasikan",ROW($6:$1005)-5),949)+5)&amp;":O"&amp;(SMALL(IF(checklistPesertaKemenkeu!$AY$6:$AY$1005="Direkomendasikan",ROW($6:$1005)-5),949)+5)),INDEX(checklistPesertaKemenkeu!$M$6:$M$1005,SMALL(IF(checklistPesertaKemenkeu!$AY$6:$AY$1005="Direkomendasikan",ROW($6:$1005)-5),949)))=1),IFERROR(VLOOKUP(INDEX(checklistPesertaKemenkeu!$M$6:$M$1005,SMALL(IF(checklistPesertaKemenkeu!$AY$6:$AY$1005="Direkomendasikan",ROW($6:$1005)-5),949)),KotaKode,2,0),"-"),"")),"")</f>
        <v/>
      </c>
      <c r="J950" t="str">
        <f t="array" aca="1" ref="J950" ca="1">IFERROR(IF(OR(INDEX(checklistPesertaKemenkeu!$N$6:$N$1005,SMALL(IF(checklistPesertaKemenkeu!$AY$6:$AY$1005="Direkomendasikan",ROW($6:$1005)-5),949))="",INDEX(checklistPesertaKemenkeu!$J$6:$J$1005,SMALL(IF(checklistPesertaKemenkeu!$AY$6:$AY$1005="Direkomendasikan",ROW($6:$1005)-5),949))=""),"",IF(AND(COUNTIF(INDIRECT("K_"&amp;MATCH(INDEX(checklistPesertaKemenkeu!$J$6:$J$1005,SMALL(IF(checklistPesertaKemenkeu!$AY$6:$AY$1005="Direkomendasikan",ROW($6:$1005)-5),949)),BidangList,0)),INDEX(checklistPesertaKemenkeu!$N$6:$N$1005,SMALL(IF(checklistPesertaKemenkeu!$AY$6:$AY$1005="Direkomendasikan",ROW($6:$1005)-5),949)))&gt;0,COUNTIF(INDIRECT("'KERTAS KERJA'!K"&amp;(SMALL(IF(checklistPesertaKemenkeu!$AY$6:$AY$1005="Direkomendasikan",ROW($6:$1005)-5),949)+5)&amp;":O"&amp;(SMALL(IF(checklistPesertaKemenkeu!$AY$6:$AY$1005="Direkomendasikan",ROW($6:$1005)-5),949)+5)),INDEX(checklistPesertaKemenkeu!$N$6:$N$1005,SMALL(IF(checklistPesertaKemenkeu!$AY$6:$AY$1005="Direkomendasikan",ROW($6:$1005)-5),949)))=1),IFERROR(VLOOKUP(INDEX(checklistPesertaKemenkeu!$N$6:$N$1005,SMALL(IF(checklistPesertaKemenkeu!$AY$6:$AY$1005="Direkomendasikan",ROW($6:$1005)-5),949)),KotaKode,2,0),"-"),"")),"")</f>
        <v/>
      </c>
      <c r="K950" t="str">
        <f t="array" aca="1" ref="K950" ca="1">IFERROR(IF(OR(INDEX(checklistPesertaKemenkeu!$O$6:$O$1005,SMALL(IF(checklistPesertaKemenkeu!$AY$6:$AY$1005="Direkomendasikan",ROW($6:$1005)-5),949))="",INDEX(checklistPesertaKemenkeu!$J$6:$J$1005,SMALL(IF(checklistPesertaKemenkeu!$AY$6:$AY$1005="Direkomendasikan",ROW($6:$1005)-5),949))=""),"",IF(AND(COUNTIF(INDIRECT("K_"&amp;MATCH(INDEX(checklistPesertaKemenkeu!$J$6:$J$1005,SMALL(IF(checklistPesertaKemenkeu!$AY$6:$AY$1005="Direkomendasikan",ROW($6:$1005)-5),949)),BidangList,0)),INDEX(checklistPesertaKemenkeu!$O$6:$O$1005,SMALL(IF(checklistPesertaKemenkeu!$AY$6:$AY$1005="Direkomendasikan",ROW($6:$1005)-5),949)))&gt;0,COUNTIF(INDIRECT("'KERTAS KERJA'!K"&amp;(SMALL(IF(checklistPesertaKemenkeu!$AY$6:$AY$1005="Direkomendasikan",ROW($6:$1005)-5),949)+5)&amp;":O"&amp;(SMALL(IF(checklistPesertaKemenkeu!$AY$6:$AY$1005="Direkomendasikan",ROW($6:$1005)-5),949)+5)),INDEX(checklistPesertaKemenkeu!$O$6:$O$1005,SMALL(IF(checklistPesertaKemenkeu!$AY$6:$AY$1005="Direkomendasikan",ROW($6:$1005)-5),949)))=1),IFERROR(VLOOKUP(INDEX(checklistPesertaKemenkeu!$O$6:$O$1005,SMALL(IF(checklistPesertaKemenkeu!$AY$6:$AY$1005="Direkomendasikan",ROW($6:$1005)-5),949)),KotaKode,2,0),"-"),"")),"")</f>
        <v/>
      </c>
      <c r="L950" t="str">
        <f t="array" aca="1" ref="L950" ca="1">IFERROR(IF(OR(INDEX(checklistPesertaKemenkeu!$P$6:$P$1005,SMALL(IF(checklistPesertaKemenkeu!$AY$6:$AY$1005="Direkomendasikan",ROW($6:$1005)-5),949))="",INDEX(checklistPesertaKemenkeu!$J$6:$J$1005,SMALL(IF(checklistPesertaKemenkeu!$AY$6:$AY$1005="Direkomendasikan",ROW($6:$1005)-5),949))=""),"",IF(AND(COUNTIF(INDIRECT("K_"&amp;MATCH(INDEX(checklistPesertaKemenkeu!$J$6:$J$1005,SMALL(IF(checklistPesertaKemenkeu!$AY$6:$AY$1005="Direkomendasikan",ROW($6:$1005)-5),949)),BidangList,0)),INDEX(checklistPesertaKemenkeu!$P$6:$P$1005,SMALL(IF(checklistPesertaKemenkeu!$AY$6:$AY$1005="Direkomendasikan",ROW($6:$1005)-5),949)))&gt;0,COUNTIF(INDIRECT("'KERTAS KERJA'!K"&amp;(SMALL(IF(checklistPesertaKemenkeu!$AY$6:$AY$1005="Direkomendasikan",ROW($6:$1005)-5),949)+5)&amp;":O"&amp;(SMALL(IF(checklistPesertaKemenkeu!$AY$6:$AY$1005="Direkomendasikan",ROW($6:$1005)-5),949)+5)),INDEX(checklistPesertaKemenkeu!$P$6:$P$1005,SMALL(IF(checklistPesertaKemenkeu!$AY$6:$AY$1005="Direkomendasikan",ROW($6:$1005)-5),949)))=1),IFERROR(VLOOKUP(INDEX(checklistPesertaKemenkeu!$P$6:$P$1005,SMALL(IF(checklistPesertaKemenkeu!$AY$6:$AY$1005="Direkomendasikan",ROW($6:$1005)-5),949)),KotaKode,2,0),"-"),"")),"")</f>
        <v/>
      </c>
    </row>
    <row r="951" spans="1:12" ht="15" customHeight="1" x14ac:dyDescent="0.2">
      <c r="A951" t="str">
        <f t="shared" si="14"/>
        <v/>
      </c>
      <c r="B951" t="str">
        <v/>
      </c>
      <c r="C951" s="40" t="str">
        <f t="array" ref="C951">IFERROR(INDEX(checklistPesertaKemenkeu!$F$6:$F$1005,SMALL(IF(checklistPesertaKemenkeu!$AY$6:$AY$1005="Direkomendasikan",ROW($6:$1005)-5),950)),"")</f>
        <v/>
      </c>
      <c r="D951" t="str">
        <f t="array" ref="D951">IFERROR(INDEX(checklistPesertaKemenkeu!$G$6:$G$1005,SMALL(IF(checklistPesertaKemenkeu!$AY$6:$AY$1005="Direkomendasikan",ROW($6:$1005)-5),950)),"")</f>
        <v/>
      </c>
      <c r="E951" t="str">
        <f t="array" ref="E951">IFERROR(INDEX(checklistPesertaKemenkeu!$H$6:$H$1005,SMALL(IF(checklistPesertaKemenkeu!$AY$6:$AY$1005="Direkomendasikan",ROW($6:$1005)-5),950)),"")</f>
        <v/>
      </c>
      <c r="F951" t="str">
        <f t="array" ref="F951">IFERROR(INDEX(checklistPesertaKemenkeu!$I$6:$I$1005,SMALL(IF(checklistPesertaKemenkeu!$AY$6:$AY$1005="Direkomendasikan",ROW($6:$1005)-5),950)),"")</f>
        <v/>
      </c>
      <c r="G951" t="str">
        <f t="array" ref="G951">IFERROR(INDEX(checklistPesertaKemenkeu!$J$6:$J$1005,SMALL(IF(checklistPesertaKemenkeu!$AY$6:$AY$1005="Direkomendasikan",ROW($6:$1005)-5),950)),"")</f>
        <v/>
      </c>
      <c r="H951" t="str">
        <f t="array" aca="1" ref="H951" ca="1">IFERROR(IF(OR(INDEX(checklistPesertaKemenkeu!$L$6:$L$1005,SMALL(IF(checklistPesertaKemenkeu!$AY$6:$AY$1005="Direkomendasikan",ROW($6:$1005)-5),950))="",INDEX(checklistPesertaKemenkeu!$J$6:$J$1005,SMALL(IF(checklistPesertaKemenkeu!$AY$6:$AY$1005="Direkomendasikan",ROW($6:$1005)-5),950))=""),"",IF(AND(COUNTIF(INDIRECT("K_"&amp;MATCH(INDEX(checklistPesertaKemenkeu!$J$6:$J$1005,SMALL(IF(checklistPesertaKemenkeu!$AY$6:$AY$1005="Direkomendasikan",ROW($6:$1005)-5),950)),BidangList,0)),INDEX(checklistPesertaKemenkeu!$L$6:$L$1005,SMALL(IF(checklistPesertaKemenkeu!$AY$6:$AY$1005="Direkomendasikan",ROW($6:$1005)-5),950)))&gt;0,COUNTIF(INDIRECT("'KERTAS KERJA'!K"&amp;(SMALL(IF(checklistPesertaKemenkeu!$AY$6:$AY$1005="Direkomendasikan",ROW($6:$1005)-5),950)+5)&amp;":O"&amp;(SMALL(IF(checklistPesertaKemenkeu!$AY$6:$AY$1005="Direkomendasikan",ROW($6:$1005)-5),950)+5)),INDEX(checklistPesertaKemenkeu!$L$6:$L$1005,SMALL(IF(checklistPesertaKemenkeu!$AY$6:$AY$1005="Direkomendasikan",ROW($6:$1005)-5),950)))=1),IFERROR(VLOOKUP(INDEX(checklistPesertaKemenkeu!$L$6:$L$1005,SMALL(IF(checklistPesertaKemenkeu!$AY$6:$AY$1005="Direkomendasikan",ROW($6:$1005)-5),950)),KotaKode,2,0),"-"),"")),"")</f>
        <v/>
      </c>
      <c r="I951" t="str">
        <f t="array" aca="1" ref="I951" ca="1">IFERROR(IF(OR(INDEX(checklistPesertaKemenkeu!$M$6:$M$1005,SMALL(IF(checklistPesertaKemenkeu!$AY$6:$AY$1005="Direkomendasikan",ROW($6:$1005)-5),950))="",INDEX(checklistPesertaKemenkeu!$J$6:$J$1005,SMALL(IF(checklistPesertaKemenkeu!$AY$6:$AY$1005="Direkomendasikan",ROW($6:$1005)-5),950))=""),"",IF(AND(COUNTIF(INDIRECT("K_"&amp;MATCH(INDEX(checklistPesertaKemenkeu!$J$6:$J$1005,SMALL(IF(checklistPesertaKemenkeu!$AY$6:$AY$1005="Direkomendasikan",ROW($6:$1005)-5),950)),BidangList,0)),INDEX(checklistPesertaKemenkeu!$M$6:$M$1005,SMALL(IF(checklistPesertaKemenkeu!$AY$6:$AY$1005="Direkomendasikan",ROW($6:$1005)-5),950)))&gt;0,COUNTIF(INDIRECT("'KERTAS KERJA'!K"&amp;(SMALL(IF(checklistPesertaKemenkeu!$AY$6:$AY$1005="Direkomendasikan",ROW($6:$1005)-5),950)+5)&amp;":O"&amp;(SMALL(IF(checklistPesertaKemenkeu!$AY$6:$AY$1005="Direkomendasikan",ROW($6:$1005)-5),950)+5)),INDEX(checklistPesertaKemenkeu!$M$6:$M$1005,SMALL(IF(checklistPesertaKemenkeu!$AY$6:$AY$1005="Direkomendasikan",ROW($6:$1005)-5),950)))=1),IFERROR(VLOOKUP(INDEX(checklistPesertaKemenkeu!$M$6:$M$1005,SMALL(IF(checklistPesertaKemenkeu!$AY$6:$AY$1005="Direkomendasikan",ROW($6:$1005)-5),950)),KotaKode,2,0),"-"),"")),"")</f>
        <v/>
      </c>
      <c r="J951" t="str">
        <f t="array" aca="1" ref="J951" ca="1">IFERROR(IF(OR(INDEX(checklistPesertaKemenkeu!$N$6:$N$1005,SMALL(IF(checklistPesertaKemenkeu!$AY$6:$AY$1005="Direkomendasikan",ROW($6:$1005)-5),950))="",INDEX(checklistPesertaKemenkeu!$J$6:$J$1005,SMALL(IF(checklistPesertaKemenkeu!$AY$6:$AY$1005="Direkomendasikan",ROW($6:$1005)-5),950))=""),"",IF(AND(COUNTIF(INDIRECT("K_"&amp;MATCH(INDEX(checklistPesertaKemenkeu!$J$6:$J$1005,SMALL(IF(checklistPesertaKemenkeu!$AY$6:$AY$1005="Direkomendasikan",ROW($6:$1005)-5),950)),BidangList,0)),INDEX(checklistPesertaKemenkeu!$N$6:$N$1005,SMALL(IF(checklistPesertaKemenkeu!$AY$6:$AY$1005="Direkomendasikan",ROW($6:$1005)-5),950)))&gt;0,COUNTIF(INDIRECT("'KERTAS KERJA'!K"&amp;(SMALL(IF(checklistPesertaKemenkeu!$AY$6:$AY$1005="Direkomendasikan",ROW($6:$1005)-5),950)+5)&amp;":O"&amp;(SMALL(IF(checklistPesertaKemenkeu!$AY$6:$AY$1005="Direkomendasikan",ROW($6:$1005)-5),950)+5)),INDEX(checklistPesertaKemenkeu!$N$6:$N$1005,SMALL(IF(checklistPesertaKemenkeu!$AY$6:$AY$1005="Direkomendasikan",ROW($6:$1005)-5),950)))=1),IFERROR(VLOOKUP(INDEX(checklistPesertaKemenkeu!$N$6:$N$1005,SMALL(IF(checklistPesertaKemenkeu!$AY$6:$AY$1005="Direkomendasikan",ROW($6:$1005)-5),950)),KotaKode,2,0),"-"),"")),"")</f>
        <v/>
      </c>
      <c r="K951" t="str">
        <f t="array" aca="1" ref="K951" ca="1">IFERROR(IF(OR(INDEX(checklistPesertaKemenkeu!$O$6:$O$1005,SMALL(IF(checklistPesertaKemenkeu!$AY$6:$AY$1005="Direkomendasikan",ROW($6:$1005)-5),950))="",INDEX(checklistPesertaKemenkeu!$J$6:$J$1005,SMALL(IF(checklistPesertaKemenkeu!$AY$6:$AY$1005="Direkomendasikan",ROW($6:$1005)-5),950))=""),"",IF(AND(COUNTIF(INDIRECT("K_"&amp;MATCH(INDEX(checklistPesertaKemenkeu!$J$6:$J$1005,SMALL(IF(checklistPesertaKemenkeu!$AY$6:$AY$1005="Direkomendasikan",ROW($6:$1005)-5),950)),BidangList,0)),INDEX(checklistPesertaKemenkeu!$O$6:$O$1005,SMALL(IF(checklistPesertaKemenkeu!$AY$6:$AY$1005="Direkomendasikan",ROW($6:$1005)-5),950)))&gt;0,COUNTIF(INDIRECT("'KERTAS KERJA'!K"&amp;(SMALL(IF(checklistPesertaKemenkeu!$AY$6:$AY$1005="Direkomendasikan",ROW($6:$1005)-5),950)+5)&amp;":O"&amp;(SMALL(IF(checklistPesertaKemenkeu!$AY$6:$AY$1005="Direkomendasikan",ROW($6:$1005)-5),950)+5)),INDEX(checklistPesertaKemenkeu!$O$6:$O$1005,SMALL(IF(checklistPesertaKemenkeu!$AY$6:$AY$1005="Direkomendasikan",ROW($6:$1005)-5),950)))=1),IFERROR(VLOOKUP(INDEX(checklistPesertaKemenkeu!$O$6:$O$1005,SMALL(IF(checklistPesertaKemenkeu!$AY$6:$AY$1005="Direkomendasikan",ROW($6:$1005)-5),950)),KotaKode,2,0),"-"),"")),"")</f>
        <v/>
      </c>
      <c r="L951" t="str">
        <f t="array" aca="1" ref="L951" ca="1">IFERROR(IF(OR(INDEX(checklistPesertaKemenkeu!$P$6:$P$1005,SMALL(IF(checklistPesertaKemenkeu!$AY$6:$AY$1005="Direkomendasikan",ROW($6:$1005)-5),950))="",INDEX(checklistPesertaKemenkeu!$J$6:$J$1005,SMALL(IF(checklistPesertaKemenkeu!$AY$6:$AY$1005="Direkomendasikan",ROW($6:$1005)-5),950))=""),"",IF(AND(COUNTIF(INDIRECT("K_"&amp;MATCH(INDEX(checklistPesertaKemenkeu!$J$6:$J$1005,SMALL(IF(checklistPesertaKemenkeu!$AY$6:$AY$1005="Direkomendasikan",ROW($6:$1005)-5),950)),BidangList,0)),INDEX(checklistPesertaKemenkeu!$P$6:$P$1005,SMALL(IF(checklistPesertaKemenkeu!$AY$6:$AY$1005="Direkomendasikan",ROW($6:$1005)-5),950)))&gt;0,COUNTIF(INDIRECT("'KERTAS KERJA'!K"&amp;(SMALL(IF(checklistPesertaKemenkeu!$AY$6:$AY$1005="Direkomendasikan",ROW($6:$1005)-5),950)+5)&amp;":O"&amp;(SMALL(IF(checklistPesertaKemenkeu!$AY$6:$AY$1005="Direkomendasikan",ROW($6:$1005)-5),950)+5)),INDEX(checklistPesertaKemenkeu!$P$6:$P$1005,SMALL(IF(checklistPesertaKemenkeu!$AY$6:$AY$1005="Direkomendasikan",ROW($6:$1005)-5),950)))=1),IFERROR(VLOOKUP(INDEX(checklistPesertaKemenkeu!$P$6:$P$1005,SMALL(IF(checklistPesertaKemenkeu!$AY$6:$AY$1005="Direkomendasikan",ROW($6:$1005)-5),950)),KotaKode,2,0),"-"),"")),"")</f>
        <v/>
      </c>
    </row>
    <row r="952" spans="1:12" ht="15" customHeight="1" x14ac:dyDescent="0.2">
      <c r="A952" t="str">
        <f t="shared" si="14"/>
        <v/>
      </c>
      <c r="B952" t="str">
        <v/>
      </c>
      <c r="C952" s="40" t="str">
        <f t="array" ref="C952">IFERROR(INDEX(checklistPesertaKemenkeu!$F$6:$F$1005,SMALL(IF(checklistPesertaKemenkeu!$AY$6:$AY$1005="Direkomendasikan",ROW($6:$1005)-5),951)),"")</f>
        <v/>
      </c>
      <c r="D952" t="str">
        <f t="array" ref="D952">IFERROR(INDEX(checklistPesertaKemenkeu!$G$6:$G$1005,SMALL(IF(checklistPesertaKemenkeu!$AY$6:$AY$1005="Direkomendasikan",ROW($6:$1005)-5),951)),"")</f>
        <v/>
      </c>
      <c r="E952" t="str">
        <f t="array" ref="E952">IFERROR(INDEX(checklistPesertaKemenkeu!$H$6:$H$1005,SMALL(IF(checklistPesertaKemenkeu!$AY$6:$AY$1005="Direkomendasikan",ROW($6:$1005)-5),951)),"")</f>
        <v/>
      </c>
      <c r="F952" t="str">
        <f t="array" ref="F952">IFERROR(INDEX(checklistPesertaKemenkeu!$I$6:$I$1005,SMALL(IF(checklistPesertaKemenkeu!$AY$6:$AY$1005="Direkomendasikan",ROW($6:$1005)-5),951)),"")</f>
        <v/>
      </c>
      <c r="G952" t="str">
        <f t="array" ref="G952">IFERROR(INDEX(checklistPesertaKemenkeu!$J$6:$J$1005,SMALL(IF(checklistPesertaKemenkeu!$AY$6:$AY$1005="Direkomendasikan",ROW($6:$1005)-5),951)),"")</f>
        <v/>
      </c>
      <c r="H952" t="str">
        <f t="array" aca="1" ref="H952" ca="1">IFERROR(IF(OR(INDEX(checklistPesertaKemenkeu!$L$6:$L$1005,SMALL(IF(checklistPesertaKemenkeu!$AY$6:$AY$1005="Direkomendasikan",ROW($6:$1005)-5),951))="",INDEX(checklistPesertaKemenkeu!$J$6:$J$1005,SMALL(IF(checklistPesertaKemenkeu!$AY$6:$AY$1005="Direkomendasikan",ROW($6:$1005)-5),951))=""),"",IF(AND(COUNTIF(INDIRECT("K_"&amp;MATCH(INDEX(checklistPesertaKemenkeu!$J$6:$J$1005,SMALL(IF(checklistPesertaKemenkeu!$AY$6:$AY$1005="Direkomendasikan",ROW($6:$1005)-5),951)),BidangList,0)),INDEX(checklistPesertaKemenkeu!$L$6:$L$1005,SMALL(IF(checklistPesertaKemenkeu!$AY$6:$AY$1005="Direkomendasikan",ROW($6:$1005)-5),951)))&gt;0,COUNTIF(INDIRECT("'KERTAS KERJA'!K"&amp;(SMALL(IF(checklistPesertaKemenkeu!$AY$6:$AY$1005="Direkomendasikan",ROW($6:$1005)-5),951)+5)&amp;":O"&amp;(SMALL(IF(checklistPesertaKemenkeu!$AY$6:$AY$1005="Direkomendasikan",ROW($6:$1005)-5),951)+5)),INDEX(checklistPesertaKemenkeu!$L$6:$L$1005,SMALL(IF(checklistPesertaKemenkeu!$AY$6:$AY$1005="Direkomendasikan",ROW($6:$1005)-5),951)))=1),IFERROR(VLOOKUP(INDEX(checklistPesertaKemenkeu!$L$6:$L$1005,SMALL(IF(checklistPesertaKemenkeu!$AY$6:$AY$1005="Direkomendasikan",ROW($6:$1005)-5),951)),KotaKode,2,0),"-"),"")),"")</f>
        <v/>
      </c>
      <c r="I952" t="str">
        <f t="array" aca="1" ref="I952" ca="1">IFERROR(IF(OR(INDEX(checklistPesertaKemenkeu!$M$6:$M$1005,SMALL(IF(checklistPesertaKemenkeu!$AY$6:$AY$1005="Direkomendasikan",ROW($6:$1005)-5),951))="",INDEX(checklistPesertaKemenkeu!$J$6:$J$1005,SMALL(IF(checklistPesertaKemenkeu!$AY$6:$AY$1005="Direkomendasikan",ROW($6:$1005)-5),951))=""),"",IF(AND(COUNTIF(INDIRECT("K_"&amp;MATCH(INDEX(checklistPesertaKemenkeu!$J$6:$J$1005,SMALL(IF(checklistPesertaKemenkeu!$AY$6:$AY$1005="Direkomendasikan",ROW($6:$1005)-5),951)),BidangList,0)),INDEX(checklistPesertaKemenkeu!$M$6:$M$1005,SMALL(IF(checklistPesertaKemenkeu!$AY$6:$AY$1005="Direkomendasikan",ROW($6:$1005)-5),951)))&gt;0,COUNTIF(INDIRECT("'KERTAS KERJA'!K"&amp;(SMALL(IF(checklistPesertaKemenkeu!$AY$6:$AY$1005="Direkomendasikan",ROW($6:$1005)-5),951)+5)&amp;":O"&amp;(SMALL(IF(checklistPesertaKemenkeu!$AY$6:$AY$1005="Direkomendasikan",ROW($6:$1005)-5),951)+5)),INDEX(checklistPesertaKemenkeu!$M$6:$M$1005,SMALL(IF(checklistPesertaKemenkeu!$AY$6:$AY$1005="Direkomendasikan",ROW($6:$1005)-5),951)))=1),IFERROR(VLOOKUP(INDEX(checklistPesertaKemenkeu!$M$6:$M$1005,SMALL(IF(checklistPesertaKemenkeu!$AY$6:$AY$1005="Direkomendasikan",ROW($6:$1005)-5),951)),KotaKode,2,0),"-"),"")),"")</f>
        <v/>
      </c>
      <c r="J952" t="str">
        <f t="array" aca="1" ref="J952" ca="1">IFERROR(IF(OR(INDEX(checklistPesertaKemenkeu!$N$6:$N$1005,SMALL(IF(checklistPesertaKemenkeu!$AY$6:$AY$1005="Direkomendasikan",ROW($6:$1005)-5),951))="",INDEX(checklistPesertaKemenkeu!$J$6:$J$1005,SMALL(IF(checklistPesertaKemenkeu!$AY$6:$AY$1005="Direkomendasikan",ROW($6:$1005)-5),951))=""),"",IF(AND(COUNTIF(INDIRECT("K_"&amp;MATCH(INDEX(checklistPesertaKemenkeu!$J$6:$J$1005,SMALL(IF(checklistPesertaKemenkeu!$AY$6:$AY$1005="Direkomendasikan",ROW($6:$1005)-5),951)),BidangList,0)),INDEX(checklistPesertaKemenkeu!$N$6:$N$1005,SMALL(IF(checklistPesertaKemenkeu!$AY$6:$AY$1005="Direkomendasikan",ROW($6:$1005)-5),951)))&gt;0,COUNTIF(INDIRECT("'KERTAS KERJA'!K"&amp;(SMALL(IF(checklistPesertaKemenkeu!$AY$6:$AY$1005="Direkomendasikan",ROW($6:$1005)-5),951)+5)&amp;":O"&amp;(SMALL(IF(checklistPesertaKemenkeu!$AY$6:$AY$1005="Direkomendasikan",ROW($6:$1005)-5),951)+5)),INDEX(checklistPesertaKemenkeu!$N$6:$N$1005,SMALL(IF(checklistPesertaKemenkeu!$AY$6:$AY$1005="Direkomendasikan",ROW($6:$1005)-5),951)))=1),IFERROR(VLOOKUP(INDEX(checklistPesertaKemenkeu!$N$6:$N$1005,SMALL(IF(checklistPesertaKemenkeu!$AY$6:$AY$1005="Direkomendasikan",ROW($6:$1005)-5),951)),KotaKode,2,0),"-"),"")),"")</f>
        <v/>
      </c>
      <c r="K952" t="str">
        <f t="array" aca="1" ref="K952" ca="1">IFERROR(IF(OR(INDEX(checklistPesertaKemenkeu!$O$6:$O$1005,SMALL(IF(checklistPesertaKemenkeu!$AY$6:$AY$1005="Direkomendasikan",ROW($6:$1005)-5),951))="",INDEX(checklistPesertaKemenkeu!$J$6:$J$1005,SMALL(IF(checklistPesertaKemenkeu!$AY$6:$AY$1005="Direkomendasikan",ROW($6:$1005)-5),951))=""),"",IF(AND(COUNTIF(INDIRECT("K_"&amp;MATCH(INDEX(checklistPesertaKemenkeu!$J$6:$J$1005,SMALL(IF(checklistPesertaKemenkeu!$AY$6:$AY$1005="Direkomendasikan",ROW($6:$1005)-5),951)),BidangList,0)),INDEX(checklistPesertaKemenkeu!$O$6:$O$1005,SMALL(IF(checklistPesertaKemenkeu!$AY$6:$AY$1005="Direkomendasikan",ROW($6:$1005)-5),951)))&gt;0,COUNTIF(INDIRECT("'KERTAS KERJA'!K"&amp;(SMALL(IF(checklistPesertaKemenkeu!$AY$6:$AY$1005="Direkomendasikan",ROW($6:$1005)-5),951)+5)&amp;":O"&amp;(SMALL(IF(checklistPesertaKemenkeu!$AY$6:$AY$1005="Direkomendasikan",ROW($6:$1005)-5),951)+5)),INDEX(checklistPesertaKemenkeu!$O$6:$O$1005,SMALL(IF(checklistPesertaKemenkeu!$AY$6:$AY$1005="Direkomendasikan",ROW($6:$1005)-5),951)))=1),IFERROR(VLOOKUP(INDEX(checklistPesertaKemenkeu!$O$6:$O$1005,SMALL(IF(checklistPesertaKemenkeu!$AY$6:$AY$1005="Direkomendasikan",ROW($6:$1005)-5),951)),KotaKode,2,0),"-"),"")),"")</f>
        <v/>
      </c>
      <c r="L952" t="str">
        <f t="array" aca="1" ref="L952" ca="1">IFERROR(IF(OR(INDEX(checklistPesertaKemenkeu!$P$6:$P$1005,SMALL(IF(checklistPesertaKemenkeu!$AY$6:$AY$1005="Direkomendasikan",ROW($6:$1005)-5),951))="",INDEX(checklistPesertaKemenkeu!$J$6:$J$1005,SMALL(IF(checklistPesertaKemenkeu!$AY$6:$AY$1005="Direkomendasikan",ROW($6:$1005)-5),951))=""),"",IF(AND(COUNTIF(INDIRECT("K_"&amp;MATCH(INDEX(checklistPesertaKemenkeu!$J$6:$J$1005,SMALL(IF(checklistPesertaKemenkeu!$AY$6:$AY$1005="Direkomendasikan",ROW($6:$1005)-5),951)),BidangList,0)),INDEX(checklistPesertaKemenkeu!$P$6:$P$1005,SMALL(IF(checklistPesertaKemenkeu!$AY$6:$AY$1005="Direkomendasikan",ROW($6:$1005)-5),951)))&gt;0,COUNTIF(INDIRECT("'KERTAS KERJA'!K"&amp;(SMALL(IF(checklistPesertaKemenkeu!$AY$6:$AY$1005="Direkomendasikan",ROW($6:$1005)-5),951)+5)&amp;":O"&amp;(SMALL(IF(checklistPesertaKemenkeu!$AY$6:$AY$1005="Direkomendasikan",ROW($6:$1005)-5),951)+5)),INDEX(checklistPesertaKemenkeu!$P$6:$P$1005,SMALL(IF(checklistPesertaKemenkeu!$AY$6:$AY$1005="Direkomendasikan",ROW($6:$1005)-5),951)))=1),IFERROR(VLOOKUP(INDEX(checklistPesertaKemenkeu!$P$6:$P$1005,SMALL(IF(checklistPesertaKemenkeu!$AY$6:$AY$1005="Direkomendasikan",ROW($6:$1005)-5),951)),KotaKode,2,0),"-"),"")),"")</f>
        <v/>
      </c>
    </row>
    <row r="953" spans="1:12" ht="15" customHeight="1" x14ac:dyDescent="0.2">
      <c r="A953" t="str">
        <f t="shared" si="14"/>
        <v/>
      </c>
      <c r="B953" t="str">
        <v/>
      </c>
      <c r="C953" s="40" t="str">
        <f t="array" ref="C953">IFERROR(INDEX(checklistPesertaKemenkeu!$F$6:$F$1005,SMALL(IF(checklistPesertaKemenkeu!$AY$6:$AY$1005="Direkomendasikan",ROW($6:$1005)-5),952)),"")</f>
        <v/>
      </c>
      <c r="D953" t="str">
        <f t="array" ref="D953">IFERROR(INDEX(checklistPesertaKemenkeu!$G$6:$G$1005,SMALL(IF(checklistPesertaKemenkeu!$AY$6:$AY$1005="Direkomendasikan",ROW($6:$1005)-5),952)),"")</f>
        <v/>
      </c>
      <c r="E953" t="str">
        <f t="array" ref="E953">IFERROR(INDEX(checklistPesertaKemenkeu!$H$6:$H$1005,SMALL(IF(checklistPesertaKemenkeu!$AY$6:$AY$1005="Direkomendasikan",ROW($6:$1005)-5),952)),"")</f>
        <v/>
      </c>
      <c r="F953" t="str">
        <f t="array" ref="F953">IFERROR(INDEX(checklistPesertaKemenkeu!$I$6:$I$1005,SMALL(IF(checklistPesertaKemenkeu!$AY$6:$AY$1005="Direkomendasikan",ROW($6:$1005)-5),952)),"")</f>
        <v/>
      </c>
      <c r="G953" t="str">
        <f t="array" ref="G953">IFERROR(INDEX(checklistPesertaKemenkeu!$J$6:$J$1005,SMALL(IF(checklistPesertaKemenkeu!$AY$6:$AY$1005="Direkomendasikan",ROW($6:$1005)-5),952)),"")</f>
        <v/>
      </c>
      <c r="H953" t="str">
        <f t="array" aca="1" ref="H953" ca="1">IFERROR(IF(OR(INDEX(checklistPesertaKemenkeu!$L$6:$L$1005,SMALL(IF(checklistPesertaKemenkeu!$AY$6:$AY$1005="Direkomendasikan",ROW($6:$1005)-5),952))="",INDEX(checklistPesertaKemenkeu!$J$6:$J$1005,SMALL(IF(checklistPesertaKemenkeu!$AY$6:$AY$1005="Direkomendasikan",ROW($6:$1005)-5),952))=""),"",IF(AND(COUNTIF(INDIRECT("K_"&amp;MATCH(INDEX(checklistPesertaKemenkeu!$J$6:$J$1005,SMALL(IF(checklistPesertaKemenkeu!$AY$6:$AY$1005="Direkomendasikan",ROW($6:$1005)-5),952)),BidangList,0)),INDEX(checklistPesertaKemenkeu!$L$6:$L$1005,SMALL(IF(checklistPesertaKemenkeu!$AY$6:$AY$1005="Direkomendasikan",ROW($6:$1005)-5),952)))&gt;0,COUNTIF(INDIRECT("'KERTAS KERJA'!K"&amp;(SMALL(IF(checklistPesertaKemenkeu!$AY$6:$AY$1005="Direkomendasikan",ROW($6:$1005)-5),952)+5)&amp;":O"&amp;(SMALL(IF(checklistPesertaKemenkeu!$AY$6:$AY$1005="Direkomendasikan",ROW($6:$1005)-5),952)+5)),INDEX(checklistPesertaKemenkeu!$L$6:$L$1005,SMALL(IF(checklistPesertaKemenkeu!$AY$6:$AY$1005="Direkomendasikan",ROW($6:$1005)-5),952)))=1),IFERROR(VLOOKUP(INDEX(checklistPesertaKemenkeu!$L$6:$L$1005,SMALL(IF(checklistPesertaKemenkeu!$AY$6:$AY$1005="Direkomendasikan",ROW($6:$1005)-5),952)),KotaKode,2,0),"-"),"")),"")</f>
        <v/>
      </c>
      <c r="I953" t="str">
        <f t="array" aca="1" ref="I953" ca="1">IFERROR(IF(OR(INDEX(checklistPesertaKemenkeu!$M$6:$M$1005,SMALL(IF(checklistPesertaKemenkeu!$AY$6:$AY$1005="Direkomendasikan",ROW($6:$1005)-5),952))="",INDEX(checklistPesertaKemenkeu!$J$6:$J$1005,SMALL(IF(checklistPesertaKemenkeu!$AY$6:$AY$1005="Direkomendasikan",ROW($6:$1005)-5),952))=""),"",IF(AND(COUNTIF(INDIRECT("K_"&amp;MATCH(INDEX(checklistPesertaKemenkeu!$J$6:$J$1005,SMALL(IF(checklistPesertaKemenkeu!$AY$6:$AY$1005="Direkomendasikan",ROW($6:$1005)-5),952)),BidangList,0)),INDEX(checklistPesertaKemenkeu!$M$6:$M$1005,SMALL(IF(checklistPesertaKemenkeu!$AY$6:$AY$1005="Direkomendasikan",ROW($6:$1005)-5),952)))&gt;0,COUNTIF(INDIRECT("'KERTAS KERJA'!K"&amp;(SMALL(IF(checklistPesertaKemenkeu!$AY$6:$AY$1005="Direkomendasikan",ROW($6:$1005)-5),952)+5)&amp;":O"&amp;(SMALL(IF(checklistPesertaKemenkeu!$AY$6:$AY$1005="Direkomendasikan",ROW($6:$1005)-5),952)+5)),INDEX(checklistPesertaKemenkeu!$M$6:$M$1005,SMALL(IF(checklistPesertaKemenkeu!$AY$6:$AY$1005="Direkomendasikan",ROW($6:$1005)-5),952)))=1),IFERROR(VLOOKUP(INDEX(checklistPesertaKemenkeu!$M$6:$M$1005,SMALL(IF(checklistPesertaKemenkeu!$AY$6:$AY$1005="Direkomendasikan",ROW($6:$1005)-5),952)),KotaKode,2,0),"-"),"")),"")</f>
        <v/>
      </c>
      <c r="J953" t="str">
        <f t="array" aca="1" ref="J953" ca="1">IFERROR(IF(OR(INDEX(checklistPesertaKemenkeu!$N$6:$N$1005,SMALL(IF(checklistPesertaKemenkeu!$AY$6:$AY$1005="Direkomendasikan",ROW($6:$1005)-5),952))="",INDEX(checklistPesertaKemenkeu!$J$6:$J$1005,SMALL(IF(checklistPesertaKemenkeu!$AY$6:$AY$1005="Direkomendasikan",ROW($6:$1005)-5),952))=""),"",IF(AND(COUNTIF(INDIRECT("K_"&amp;MATCH(INDEX(checklistPesertaKemenkeu!$J$6:$J$1005,SMALL(IF(checklistPesertaKemenkeu!$AY$6:$AY$1005="Direkomendasikan",ROW($6:$1005)-5),952)),BidangList,0)),INDEX(checklistPesertaKemenkeu!$N$6:$N$1005,SMALL(IF(checklistPesertaKemenkeu!$AY$6:$AY$1005="Direkomendasikan",ROW($6:$1005)-5),952)))&gt;0,COUNTIF(INDIRECT("'KERTAS KERJA'!K"&amp;(SMALL(IF(checklistPesertaKemenkeu!$AY$6:$AY$1005="Direkomendasikan",ROW($6:$1005)-5),952)+5)&amp;":O"&amp;(SMALL(IF(checklistPesertaKemenkeu!$AY$6:$AY$1005="Direkomendasikan",ROW($6:$1005)-5),952)+5)),INDEX(checklistPesertaKemenkeu!$N$6:$N$1005,SMALL(IF(checklistPesertaKemenkeu!$AY$6:$AY$1005="Direkomendasikan",ROW($6:$1005)-5),952)))=1),IFERROR(VLOOKUP(INDEX(checklistPesertaKemenkeu!$N$6:$N$1005,SMALL(IF(checklistPesertaKemenkeu!$AY$6:$AY$1005="Direkomendasikan",ROW($6:$1005)-5),952)),KotaKode,2,0),"-"),"")),"")</f>
        <v/>
      </c>
      <c r="K953" t="str">
        <f t="array" aca="1" ref="K953" ca="1">IFERROR(IF(OR(INDEX(checklistPesertaKemenkeu!$O$6:$O$1005,SMALL(IF(checklistPesertaKemenkeu!$AY$6:$AY$1005="Direkomendasikan",ROW($6:$1005)-5),952))="",INDEX(checklistPesertaKemenkeu!$J$6:$J$1005,SMALL(IF(checklistPesertaKemenkeu!$AY$6:$AY$1005="Direkomendasikan",ROW($6:$1005)-5),952))=""),"",IF(AND(COUNTIF(INDIRECT("K_"&amp;MATCH(INDEX(checklistPesertaKemenkeu!$J$6:$J$1005,SMALL(IF(checklistPesertaKemenkeu!$AY$6:$AY$1005="Direkomendasikan",ROW($6:$1005)-5),952)),BidangList,0)),INDEX(checklistPesertaKemenkeu!$O$6:$O$1005,SMALL(IF(checklistPesertaKemenkeu!$AY$6:$AY$1005="Direkomendasikan",ROW($6:$1005)-5),952)))&gt;0,COUNTIF(INDIRECT("'KERTAS KERJA'!K"&amp;(SMALL(IF(checklistPesertaKemenkeu!$AY$6:$AY$1005="Direkomendasikan",ROW($6:$1005)-5),952)+5)&amp;":O"&amp;(SMALL(IF(checklistPesertaKemenkeu!$AY$6:$AY$1005="Direkomendasikan",ROW($6:$1005)-5),952)+5)),INDEX(checklistPesertaKemenkeu!$O$6:$O$1005,SMALL(IF(checklistPesertaKemenkeu!$AY$6:$AY$1005="Direkomendasikan",ROW($6:$1005)-5),952)))=1),IFERROR(VLOOKUP(INDEX(checklistPesertaKemenkeu!$O$6:$O$1005,SMALL(IF(checklistPesertaKemenkeu!$AY$6:$AY$1005="Direkomendasikan",ROW($6:$1005)-5),952)),KotaKode,2,0),"-"),"")),"")</f>
        <v/>
      </c>
      <c r="L953" t="str">
        <f t="array" aca="1" ref="L953" ca="1">IFERROR(IF(OR(INDEX(checklistPesertaKemenkeu!$P$6:$P$1005,SMALL(IF(checklistPesertaKemenkeu!$AY$6:$AY$1005="Direkomendasikan",ROW($6:$1005)-5),952))="",INDEX(checklistPesertaKemenkeu!$J$6:$J$1005,SMALL(IF(checklistPesertaKemenkeu!$AY$6:$AY$1005="Direkomendasikan",ROW($6:$1005)-5),952))=""),"",IF(AND(COUNTIF(INDIRECT("K_"&amp;MATCH(INDEX(checklistPesertaKemenkeu!$J$6:$J$1005,SMALL(IF(checklistPesertaKemenkeu!$AY$6:$AY$1005="Direkomendasikan",ROW($6:$1005)-5),952)),BidangList,0)),INDEX(checklistPesertaKemenkeu!$P$6:$P$1005,SMALL(IF(checklistPesertaKemenkeu!$AY$6:$AY$1005="Direkomendasikan",ROW($6:$1005)-5),952)))&gt;0,COUNTIF(INDIRECT("'KERTAS KERJA'!K"&amp;(SMALL(IF(checklistPesertaKemenkeu!$AY$6:$AY$1005="Direkomendasikan",ROW($6:$1005)-5),952)+5)&amp;":O"&amp;(SMALL(IF(checklistPesertaKemenkeu!$AY$6:$AY$1005="Direkomendasikan",ROW($6:$1005)-5),952)+5)),INDEX(checklistPesertaKemenkeu!$P$6:$P$1005,SMALL(IF(checklistPesertaKemenkeu!$AY$6:$AY$1005="Direkomendasikan",ROW($6:$1005)-5),952)))=1),IFERROR(VLOOKUP(INDEX(checklistPesertaKemenkeu!$P$6:$P$1005,SMALL(IF(checklistPesertaKemenkeu!$AY$6:$AY$1005="Direkomendasikan",ROW($6:$1005)-5),952)),KotaKode,2,0),"-"),"")),"")</f>
        <v/>
      </c>
    </row>
    <row r="954" spans="1:12" ht="15" customHeight="1" x14ac:dyDescent="0.2">
      <c r="A954" t="str">
        <f t="shared" si="14"/>
        <v/>
      </c>
      <c r="B954" t="str">
        <v/>
      </c>
      <c r="C954" s="40" t="str">
        <f t="array" ref="C954">IFERROR(INDEX(checklistPesertaKemenkeu!$F$6:$F$1005,SMALL(IF(checklistPesertaKemenkeu!$AY$6:$AY$1005="Direkomendasikan",ROW($6:$1005)-5),953)),"")</f>
        <v/>
      </c>
      <c r="D954" t="str">
        <f t="array" ref="D954">IFERROR(INDEX(checklistPesertaKemenkeu!$G$6:$G$1005,SMALL(IF(checklistPesertaKemenkeu!$AY$6:$AY$1005="Direkomendasikan",ROW($6:$1005)-5),953)),"")</f>
        <v/>
      </c>
      <c r="E954" t="str">
        <f t="array" ref="E954">IFERROR(INDEX(checklistPesertaKemenkeu!$H$6:$H$1005,SMALL(IF(checklistPesertaKemenkeu!$AY$6:$AY$1005="Direkomendasikan",ROW($6:$1005)-5),953)),"")</f>
        <v/>
      </c>
      <c r="F954" t="str">
        <f t="array" ref="F954">IFERROR(INDEX(checklistPesertaKemenkeu!$I$6:$I$1005,SMALL(IF(checklistPesertaKemenkeu!$AY$6:$AY$1005="Direkomendasikan",ROW($6:$1005)-5),953)),"")</f>
        <v/>
      </c>
      <c r="G954" t="str">
        <f t="array" ref="G954">IFERROR(INDEX(checklistPesertaKemenkeu!$J$6:$J$1005,SMALL(IF(checklistPesertaKemenkeu!$AY$6:$AY$1005="Direkomendasikan",ROW($6:$1005)-5),953)),"")</f>
        <v/>
      </c>
      <c r="H954" t="str">
        <f t="array" aca="1" ref="H954" ca="1">IFERROR(IF(OR(INDEX(checklistPesertaKemenkeu!$L$6:$L$1005,SMALL(IF(checklistPesertaKemenkeu!$AY$6:$AY$1005="Direkomendasikan",ROW($6:$1005)-5),953))="",INDEX(checklistPesertaKemenkeu!$J$6:$J$1005,SMALL(IF(checklistPesertaKemenkeu!$AY$6:$AY$1005="Direkomendasikan",ROW($6:$1005)-5),953))=""),"",IF(AND(COUNTIF(INDIRECT("K_"&amp;MATCH(INDEX(checklistPesertaKemenkeu!$J$6:$J$1005,SMALL(IF(checklistPesertaKemenkeu!$AY$6:$AY$1005="Direkomendasikan",ROW($6:$1005)-5),953)),BidangList,0)),INDEX(checklistPesertaKemenkeu!$L$6:$L$1005,SMALL(IF(checklistPesertaKemenkeu!$AY$6:$AY$1005="Direkomendasikan",ROW($6:$1005)-5),953)))&gt;0,COUNTIF(INDIRECT("'KERTAS KERJA'!K"&amp;(SMALL(IF(checklistPesertaKemenkeu!$AY$6:$AY$1005="Direkomendasikan",ROW($6:$1005)-5),953)+5)&amp;":O"&amp;(SMALL(IF(checklistPesertaKemenkeu!$AY$6:$AY$1005="Direkomendasikan",ROW($6:$1005)-5),953)+5)),INDEX(checklistPesertaKemenkeu!$L$6:$L$1005,SMALL(IF(checklistPesertaKemenkeu!$AY$6:$AY$1005="Direkomendasikan",ROW($6:$1005)-5),953)))=1),IFERROR(VLOOKUP(INDEX(checklistPesertaKemenkeu!$L$6:$L$1005,SMALL(IF(checklistPesertaKemenkeu!$AY$6:$AY$1005="Direkomendasikan",ROW($6:$1005)-5),953)),KotaKode,2,0),"-"),"")),"")</f>
        <v/>
      </c>
      <c r="I954" t="str">
        <f t="array" aca="1" ref="I954" ca="1">IFERROR(IF(OR(INDEX(checklistPesertaKemenkeu!$M$6:$M$1005,SMALL(IF(checklistPesertaKemenkeu!$AY$6:$AY$1005="Direkomendasikan",ROW($6:$1005)-5),953))="",INDEX(checklistPesertaKemenkeu!$J$6:$J$1005,SMALL(IF(checklistPesertaKemenkeu!$AY$6:$AY$1005="Direkomendasikan",ROW($6:$1005)-5),953))=""),"",IF(AND(COUNTIF(INDIRECT("K_"&amp;MATCH(INDEX(checklistPesertaKemenkeu!$J$6:$J$1005,SMALL(IF(checklistPesertaKemenkeu!$AY$6:$AY$1005="Direkomendasikan",ROW($6:$1005)-5),953)),BidangList,0)),INDEX(checklistPesertaKemenkeu!$M$6:$M$1005,SMALL(IF(checklistPesertaKemenkeu!$AY$6:$AY$1005="Direkomendasikan",ROW($6:$1005)-5),953)))&gt;0,COUNTIF(INDIRECT("'KERTAS KERJA'!K"&amp;(SMALL(IF(checklistPesertaKemenkeu!$AY$6:$AY$1005="Direkomendasikan",ROW($6:$1005)-5),953)+5)&amp;":O"&amp;(SMALL(IF(checklistPesertaKemenkeu!$AY$6:$AY$1005="Direkomendasikan",ROW($6:$1005)-5),953)+5)),INDEX(checklistPesertaKemenkeu!$M$6:$M$1005,SMALL(IF(checklistPesertaKemenkeu!$AY$6:$AY$1005="Direkomendasikan",ROW($6:$1005)-5),953)))=1),IFERROR(VLOOKUP(INDEX(checklistPesertaKemenkeu!$M$6:$M$1005,SMALL(IF(checklistPesertaKemenkeu!$AY$6:$AY$1005="Direkomendasikan",ROW($6:$1005)-5),953)),KotaKode,2,0),"-"),"")),"")</f>
        <v/>
      </c>
      <c r="J954" t="str">
        <f t="array" aca="1" ref="J954" ca="1">IFERROR(IF(OR(INDEX(checklistPesertaKemenkeu!$N$6:$N$1005,SMALL(IF(checklistPesertaKemenkeu!$AY$6:$AY$1005="Direkomendasikan",ROW($6:$1005)-5),953))="",INDEX(checklistPesertaKemenkeu!$J$6:$J$1005,SMALL(IF(checklistPesertaKemenkeu!$AY$6:$AY$1005="Direkomendasikan",ROW($6:$1005)-5),953))=""),"",IF(AND(COUNTIF(INDIRECT("K_"&amp;MATCH(INDEX(checklistPesertaKemenkeu!$J$6:$J$1005,SMALL(IF(checklistPesertaKemenkeu!$AY$6:$AY$1005="Direkomendasikan",ROW($6:$1005)-5),953)),BidangList,0)),INDEX(checklistPesertaKemenkeu!$N$6:$N$1005,SMALL(IF(checklistPesertaKemenkeu!$AY$6:$AY$1005="Direkomendasikan",ROW($6:$1005)-5),953)))&gt;0,COUNTIF(INDIRECT("'KERTAS KERJA'!K"&amp;(SMALL(IF(checklistPesertaKemenkeu!$AY$6:$AY$1005="Direkomendasikan",ROW($6:$1005)-5),953)+5)&amp;":O"&amp;(SMALL(IF(checklistPesertaKemenkeu!$AY$6:$AY$1005="Direkomendasikan",ROW($6:$1005)-5),953)+5)),INDEX(checklistPesertaKemenkeu!$N$6:$N$1005,SMALL(IF(checklistPesertaKemenkeu!$AY$6:$AY$1005="Direkomendasikan",ROW($6:$1005)-5),953)))=1),IFERROR(VLOOKUP(INDEX(checklistPesertaKemenkeu!$N$6:$N$1005,SMALL(IF(checklistPesertaKemenkeu!$AY$6:$AY$1005="Direkomendasikan",ROW($6:$1005)-5),953)),KotaKode,2,0),"-"),"")),"")</f>
        <v/>
      </c>
      <c r="K954" t="str">
        <f t="array" aca="1" ref="K954" ca="1">IFERROR(IF(OR(INDEX(checklistPesertaKemenkeu!$O$6:$O$1005,SMALL(IF(checklistPesertaKemenkeu!$AY$6:$AY$1005="Direkomendasikan",ROW($6:$1005)-5),953))="",INDEX(checklistPesertaKemenkeu!$J$6:$J$1005,SMALL(IF(checklistPesertaKemenkeu!$AY$6:$AY$1005="Direkomendasikan",ROW($6:$1005)-5),953))=""),"",IF(AND(COUNTIF(INDIRECT("K_"&amp;MATCH(INDEX(checklistPesertaKemenkeu!$J$6:$J$1005,SMALL(IF(checklistPesertaKemenkeu!$AY$6:$AY$1005="Direkomendasikan",ROW($6:$1005)-5),953)),BidangList,0)),INDEX(checklistPesertaKemenkeu!$O$6:$O$1005,SMALL(IF(checklistPesertaKemenkeu!$AY$6:$AY$1005="Direkomendasikan",ROW($6:$1005)-5),953)))&gt;0,COUNTIF(INDIRECT("'KERTAS KERJA'!K"&amp;(SMALL(IF(checklistPesertaKemenkeu!$AY$6:$AY$1005="Direkomendasikan",ROW($6:$1005)-5),953)+5)&amp;":O"&amp;(SMALL(IF(checklistPesertaKemenkeu!$AY$6:$AY$1005="Direkomendasikan",ROW($6:$1005)-5),953)+5)),INDEX(checklistPesertaKemenkeu!$O$6:$O$1005,SMALL(IF(checklistPesertaKemenkeu!$AY$6:$AY$1005="Direkomendasikan",ROW($6:$1005)-5),953)))=1),IFERROR(VLOOKUP(INDEX(checklistPesertaKemenkeu!$O$6:$O$1005,SMALL(IF(checklistPesertaKemenkeu!$AY$6:$AY$1005="Direkomendasikan",ROW($6:$1005)-5),953)),KotaKode,2,0),"-"),"")),"")</f>
        <v/>
      </c>
      <c r="L954" t="str">
        <f t="array" aca="1" ref="L954" ca="1">IFERROR(IF(OR(INDEX(checklistPesertaKemenkeu!$P$6:$P$1005,SMALL(IF(checklistPesertaKemenkeu!$AY$6:$AY$1005="Direkomendasikan",ROW($6:$1005)-5),953))="",INDEX(checklistPesertaKemenkeu!$J$6:$J$1005,SMALL(IF(checklistPesertaKemenkeu!$AY$6:$AY$1005="Direkomendasikan",ROW($6:$1005)-5),953))=""),"",IF(AND(COUNTIF(INDIRECT("K_"&amp;MATCH(INDEX(checklistPesertaKemenkeu!$J$6:$J$1005,SMALL(IF(checklistPesertaKemenkeu!$AY$6:$AY$1005="Direkomendasikan",ROW($6:$1005)-5),953)),BidangList,0)),INDEX(checklistPesertaKemenkeu!$P$6:$P$1005,SMALL(IF(checklistPesertaKemenkeu!$AY$6:$AY$1005="Direkomendasikan",ROW($6:$1005)-5),953)))&gt;0,COUNTIF(INDIRECT("'KERTAS KERJA'!K"&amp;(SMALL(IF(checklistPesertaKemenkeu!$AY$6:$AY$1005="Direkomendasikan",ROW($6:$1005)-5),953)+5)&amp;":O"&amp;(SMALL(IF(checklistPesertaKemenkeu!$AY$6:$AY$1005="Direkomendasikan",ROW($6:$1005)-5),953)+5)),INDEX(checklistPesertaKemenkeu!$P$6:$P$1005,SMALL(IF(checklistPesertaKemenkeu!$AY$6:$AY$1005="Direkomendasikan",ROW($6:$1005)-5),953)))=1),IFERROR(VLOOKUP(INDEX(checklistPesertaKemenkeu!$P$6:$P$1005,SMALL(IF(checklistPesertaKemenkeu!$AY$6:$AY$1005="Direkomendasikan",ROW($6:$1005)-5),953)),KotaKode,2,0),"-"),"")),"")</f>
        <v/>
      </c>
    </row>
    <row r="955" spans="1:12" ht="15" customHeight="1" x14ac:dyDescent="0.2">
      <c r="A955" t="str">
        <f t="shared" si="14"/>
        <v/>
      </c>
      <c r="B955" t="str">
        <v/>
      </c>
      <c r="C955" s="40" t="str">
        <f t="array" ref="C955">IFERROR(INDEX(checklistPesertaKemenkeu!$F$6:$F$1005,SMALL(IF(checklistPesertaKemenkeu!$AY$6:$AY$1005="Direkomendasikan",ROW($6:$1005)-5),954)),"")</f>
        <v/>
      </c>
      <c r="D955" t="str">
        <f t="array" ref="D955">IFERROR(INDEX(checklistPesertaKemenkeu!$G$6:$G$1005,SMALL(IF(checklistPesertaKemenkeu!$AY$6:$AY$1005="Direkomendasikan",ROW($6:$1005)-5),954)),"")</f>
        <v/>
      </c>
      <c r="E955" t="str">
        <f t="array" ref="E955">IFERROR(INDEX(checklistPesertaKemenkeu!$H$6:$H$1005,SMALL(IF(checklistPesertaKemenkeu!$AY$6:$AY$1005="Direkomendasikan",ROW($6:$1005)-5),954)),"")</f>
        <v/>
      </c>
      <c r="F955" t="str">
        <f t="array" ref="F955">IFERROR(INDEX(checklistPesertaKemenkeu!$I$6:$I$1005,SMALL(IF(checklistPesertaKemenkeu!$AY$6:$AY$1005="Direkomendasikan",ROW($6:$1005)-5),954)),"")</f>
        <v/>
      </c>
      <c r="G955" t="str">
        <f t="array" ref="G955">IFERROR(INDEX(checklistPesertaKemenkeu!$J$6:$J$1005,SMALL(IF(checklistPesertaKemenkeu!$AY$6:$AY$1005="Direkomendasikan",ROW($6:$1005)-5),954)),"")</f>
        <v/>
      </c>
      <c r="H955" t="str">
        <f t="array" aca="1" ref="H955" ca="1">IFERROR(IF(OR(INDEX(checklistPesertaKemenkeu!$L$6:$L$1005,SMALL(IF(checklistPesertaKemenkeu!$AY$6:$AY$1005="Direkomendasikan",ROW($6:$1005)-5),954))="",INDEX(checklistPesertaKemenkeu!$J$6:$J$1005,SMALL(IF(checklistPesertaKemenkeu!$AY$6:$AY$1005="Direkomendasikan",ROW($6:$1005)-5),954))=""),"",IF(AND(COUNTIF(INDIRECT("K_"&amp;MATCH(INDEX(checklistPesertaKemenkeu!$J$6:$J$1005,SMALL(IF(checklistPesertaKemenkeu!$AY$6:$AY$1005="Direkomendasikan",ROW($6:$1005)-5),954)),BidangList,0)),INDEX(checklistPesertaKemenkeu!$L$6:$L$1005,SMALL(IF(checklistPesertaKemenkeu!$AY$6:$AY$1005="Direkomendasikan",ROW($6:$1005)-5),954)))&gt;0,COUNTIF(INDIRECT("'KERTAS KERJA'!K"&amp;(SMALL(IF(checklistPesertaKemenkeu!$AY$6:$AY$1005="Direkomendasikan",ROW($6:$1005)-5),954)+5)&amp;":O"&amp;(SMALL(IF(checklistPesertaKemenkeu!$AY$6:$AY$1005="Direkomendasikan",ROW($6:$1005)-5),954)+5)),INDEX(checklistPesertaKemenkeu!$L$6:$L$1005,SMALL(IF(checklistPesertaKemenkeu!$AY$6:$AY$1005="Direkomendasikan",ROW($6:$1005)-5),954)))=1),IFERROR(VLOOKUP(INDEX(checklistPesertaKemenkeu!$L$6:$L$1005,SMALL(IF(checklistPesertaKemenkeu!$AY$6:$AY$1005="Direkomendasikan",ROW($6:$1005)-5),954)),KotaKode,2,0),"-"),"")),"")</f>
        <v/>
      </c>
      <c r="I955" t="str">
        <f t="array" aca="1" ref="I955" ca="1">IFERROR(IF(OR(INDEX(checklistPesertaKemenkeu!$M$6:$M$1005,SMALL(IF(checklistPesertaKemenkeu!$AY$6:$AY$1005="Direkomendasikan",ROW($6:$1005)-5),954))="",INDEX(checklistPesertaKemenkeu!$J$6:$J$1005,SMALL(IF(checklistPesertaKemenkeu!$AY$6:$AY$1005="Direkomendasikan",ROW($6:$1005)-5),954))=""),"",IF(AND(COUNTIF(INDIRECT("K_"&amp;MATCH(INDEX(checklistPesertaKemenkeu!$J$6:$J$1005,SMALL(IF(checklistPesertaKemenkeu!$AY$6:$AY$1005="Direkomendasikan",ROW($6:$1005)-5),954)),BidangList,0)),INDEX(checklistPesertaKemenkeu!$M$6:$M$1005,SMALL(IF(checklistPesertaKemenkeu!$AY$6:$AY$1005="Direkomendasikan",ROW($6:$1005)-5),954)))&gt;0,COUNTIF(INDIRECT("'KERTAS KERJA'!K"&amp;(SMALL(IF(checklistPesertaKemenkeu!$AY$6:$AY$1005="Direkomendasikan",ROW($6:$1005)-5),954)+5)&amp;":O"&amp;(SMALL(IF(checklistPesertaKemenkeu!$AY$6:$AY$1005="Direkomendasikan",ROW($6:$1005)-5),954)+5)),INDEX(checklistPesertaKemenkeu!$M$6:$M$1005,SMALL(IF(checklistPesertaKemenkeu!$AY$6:$AY$1005="Direkomendasikan",ROW($6:$1005)-5),954)))=1),IFERROR(VLOOKUP(INDEX(checklistPesertaKemenkeu!$M$6:$M$1005,SMALL(IF(checklistPesertaKemenkeu!$AY$6:$AY$1005="Direkomendasikan",ROW($6:$1005)-5),954)),KotaKode,2,0),"-"),"")),"")</f>
        <v/>
      </c>
      <c r="J955" t="str">
        <f t="array" aca="1" ref="J955" ca="1">IFERROR(IF(OR(INDEX(checklistPesertaKemenkeu!$N$6:$N$1005,SMALL(IF(checklistPesertaKemenkeu!$AY$6:$AY$1005="Direkomendasikan",ROW($6:$1005)-5),954))="",INDEX(checklistPesertaKemenkeu!$J$6:$J$1005,SMALL(IF(checklistPesertaKemenkeu!$AY$6:$AY$1005="Direkomendasikan",ROW($6:$1005)-5),954))=""),"",IF(AND(COUNTIF(INDIRECT("K_"&amp;MATCH(INDEX(checklistPesertaKemenkeu!$J$6:$J$1005,SMALL(IF(checklistPesertaKemenkeu!$AY$6:$AY$1005="Direkomendasikan",ROW($6:$1005)-5),954)),BidangList,0)),INDEX(checklistPesertaKemenkeu!$N$6:$N$1005,SMALL(IF(checklistPesertaKemenkeu!$AY$6:$AY$1005="Direkomendasikan",ROW($6:$1005)-5),954)))&gt;0,COUNTIF(INDIRECT("'KERTAS KERJA'!K"&amp;(SMALL(IF(checklistPesertaKemenkeu!$AY$6:$AY$1005="Direkomendasikan",ROW($6:$1005)-5),954)+5)&amp;":O"&amp;(SMALL(IF(checklistPesertaKemenkeu!$AY$6:$AY$1005="Direkomendasikan",ROW($6:$1005)-5),954)+5)),INDEX(checklistPesertaKemenkeu!$N$6:$N$1005,SMALL(IF(checklistPesertaKemenkeu!$AY$6:$AY$1005="Direkomendasikan",ROW($6:$1005)-5),954)))=1),IFERROR(VLOOKUP(INDEX(checklistPesertaKemenkeu!$N$6:$N$1005,SMALL(IF(checklistPesertaKemenkeu!$AY$6:$AY$1005="Direkomendasikan",ROW($6:$1005)-5),954)),KotaKode,2,0),"-"),"")),"")</f>
        <v/>
      </c>
      <c r="K955" t="str">
        <f t="array" aca="1" ref="K955" ca="1">IFERROR(IF(OR(INDEX(checklistPesertaKemenkeu!$O$6:$O$1005,SMALL(IF(checklistPesertaKemenkeu!$AY$6:$AY$1005="Direkomendasikan",ROW($6:$1005)-5),954))="",INDEX(checklistPesertaKemenkeu!$J$6:$J$1005,SMALL(IF(checklistPesertaKemenkeu!$AY$6:$AY$1005="Direkomendasikan",ROW($6:$1005)-5),954))=""),"",IF(AND(COUNTIF(INDIRECT("K_"&amp;MATCH(INDEX(checklistPesertaKemenkeu!$J$6:$J$1005,SMALL(IF(checklistPesertaKemenkeu!$AY$6:$AY$1005="Direkomendasikan",ROW($6:$1005)-5),954)),BidangList,0)),INDEX(checklistPesertaKemenkeu!$O$6:$O$1005,SMALL(IF(checklistPesertaKemenkeu!$AY$6:$AY$1005="Direkomendasikan",ROW($6:$1005)-5),954)))&gt;0,COUNTIF(INDIRECT("'KERTAS KERJA'!K"&amp;(SMALL(IF(checklistPesertaKemenkeu!$AY$6:$AY$1005="Direkomendasikan",ROW($6:$1005)-5),954)+5)&amp;":O"&amp;(SMALL(IF(checklistPesertaKemenkeu!$AY$6:$AY$1005="Direkomendasikan",ROW($6:$1005)-5),954)+5)),INDEX(checklistPesertaKemenkeu!$O$6:$O$1005,SMALL(IF(checklistPesertaKemenkeu!$AY$6:$AY$1005="Direkomendasikan",ROW($6:$1005)-5),954)))=1),IFERROR(VLOOKUP(INDEX(checklistPesertaKemenkeu!$O$6:$O$1005,SMALL(IF(checklistPesertaKemenkeu!$AY$6:$AY$1005="Direkomendasikan",ROW($6:$1005)-5),954)),KotaKode,2,0),"-"),"")),"")</f>
        <v/>
      </c>
      <c r="L955" t="str">
        <f t="array" aca="1" ref="L955" ca="1">IFERROR(IF(OR(INDEX(checklistPesertaKemenkeu!$P$6:$P$1005,SMALL(IF(checklistPesertaKemenkeu!$AY$6:$AY$1005="Direkomendasikan",ROW($6:$1005)-5),954))="",INDEX(checklistPesertaKemenkeu!$J$6:$J$1005,SMALL(IF(checklistPesertaKemenkeu!$AY$6:$AY$1005="Direkomendasikan",ROW($6:$1005)-5),954))=""),"",IF(AND(COUNTIF(INDIRECT("K_"&amp;MATCH(INDEX(checklistPesertaKemenkeu!$J$6:$J$1005,SMALL(IF(checklistPesertaKemenkeu!$AY$6:$AY$1005="Direkomendasikan",ROW($6:$1005)-5),954)),BidangList,0)),INDEX(checklistPesertaKemenkeu!$P$6:$P$1005,SMALL(IF(checklistPesertaKemenkeu!$AY$6:$AY$1005="Direkomendasikan",ROW($6:$1005)-5),954)))&gt;0,COUNTIF(INDIRECT("'KERTAS KERJA'!K"&amp;(SMALL(IF(checklistPesertaKemenkeu!$AY$6:$AY$1005="Direkomendasikan",ROW($6:$1005)-5),954)+5)&amp;":O"&amp;(SMALL(IF(checklistPesertaKemenkeu!$AY$6:$AY$1005="Direkomendasikan",ROW($6:$1005)-5),954)+5)),INDEX(checklistPesertaKemenkeu!$P$6:$P$1005,SMALL(IF(checklistPesertaKemenkeu!$AY$6:$AY$1005="Direkomendasikan",ROW($6:$1005)-5),954)))=1),IFERROR(VLOOKUP(INDEX(checklistPesertaKemenkeu!$P$6:$P$1005,SMALL(IF(checklistPesertaKemenkeu!$AY$6:$AY$1005="Direkomendasikan",ROW($6:$1005)-5),954)),KotaKode,2,0),"-"),"")),"")</f>
        <v/>
      </c>
    </row>
    <row r="956" spans="1:12" ht="15" customHeight="1" x14ac:dyDescent="0.2">
      <c r="A956" t="str">
        <f t="shared" si="14"/>
        <v/>
      </c>
      <c r="B956" t="str">
        <v/>
      </c>
      <c r="C956" s="40" t="str">
        <f t="array" ref="C956">IFERROR(INDEX(checklistPesertaKemenkeu!$F$6:$F$1005,SMALL(IF(checklistPesertaKemenkeu!$AY$6:$AY$1005="Direkomendasikan",ROW($6:$1005)-5),955)),"")</f>
        <v/>
      </c>
      <c r="D956" t="str">
        <f t="array" ref="D956">IFERROR(INDEX(checklistPesertaKemenkeu!$G$6:$G$1005,SMALL(IF(checklistPesertaKemenkeu!$AY$6:$AY$1005="Direkomendasikan",ROW($6:$1005)-5),955)),"")</f>
        <v/>
      </c>
      <c r="E956" t="str">
        <f t="array" ref="E956">IFERROR(INDEX(checklistPesertaKemenkeu!$H$6:$H$1005,SMALL(IF(checklistPesertaKemenkeu!$AY$6:$AY$1005="Direkomendasikan",ROW($6:$1005)-5),955)),"")</f>
        <v/>
      </c>
      <c r="F956" t="str">
        <f t="array" ref="F956">IFERROR(INDEX(checklistPesertaKemenkeu!$I$6:$I$1005,SMALL(IF(checklistPesertaKemenkeu!$AY$6:$AY$1005="Direkomendasikan",ROW($6:$1005)-5),955)),"")</f>
        <v/>
      </c>
      <c r="G956" t="str">
        <f t="array" ref="G956">IFERROR(INDEX(checklistPesertaKemenkeu!$J$6:$J$1005,SMALL(IF(checklistPesertaKemenkeu!$AY$6:$AY$1005="Direkomendasikan",ROW($6:$1005)-5),955)),"")</f>
        <v/>
      </c>
      <c r="H956" t="str">
        <f t="array" aca="1" ref="H956" ca="1">IFERROR(IF(OR(INDEX(checklistPesertaKemenkeu!$L$6:$L$1005,SMALL(IF(checklistPesertaKemenkeu!$AY$6:$AY$1005="Direkomendasikan",ROW($6:$1005)-5),955))="",INDEX(checklistPesertaKemenkeu!$J$6:$J$1005,SMALL(IF(checklistPesertaKemenkeu!$AY$6:$AY$1005="Direkomendasikan",ROW($6:$1005)-5),955))=""),"",IF(AND(COUNTIF(INDIRECT("K_"&amp;MATCH(INDEX(checklistPesertaKemenkeu!$J$6:$J$1005,SMALL(IF(checklistPesertaKemenkeu!$AY$6:$AY$1005="Direkomendasikan",ROW($6:$1005)-5),955)),BidangList,0)),INDEX(checklistPesertaKemenkeu!$L$6:$L$1005,SMALL(IF(checklistPesertaKemenkeu!$AY$6:$AY$1005="Direkomendasikan",ROW($6:$1005)-5),955)))&gt;0,COUNTIF(INDIRECT("'KERTAS KERJA'!K"&amp;(SMALL(IF(checklistPesertaKemenkeu!$AY$6:$AY$1005="Direkomendasikan",ROW($6:$1005)-5),955)+5)&amp;":O"&amp;(SMALL(IF(checklistPesertaKemenkeu!$AY$6:$AY$1005="Direkomendasikan",ROW($6:$1005)-5),955)+5)),INDEX(checklistPesertaKemenkeu!$L$6:$L$1005,SMALL(IF(checklistPesertaKemenkeu!$AY$6:$AY$1005="Direkomendasikan",ROW($6:$1005)-5),955)))=1),IFERROR(VLOOKUP(INDEX(checklistPesertaKemenkeu!$L$6:$L$1005,SMALL(IF(checklistPesertaKemenkeu!$AY$6:$AY$1005="Direkomendasikan",ROW($6:$1005)-5),955)),KotaKode,2,0),"-"),"")),"")</f>
        <v/>
      </c>
      <c r="I956" t="str">
        <f t="array" aca="1" ref="I956" ca="1">IFERROR(IF(OR(INDEX(checklistPesertaKemenkeu!$M$6:$M$1005,SMALL(IF(checklistPesertaKemenkeu!$AY$6:$AY$1005="Direkomendasikan",ROW($6:$1005)-5),955))="",INDEX(checklistPesertaKemenkeu!$J$6:$J$1005,SMALL(IF(checklistPesertaKemenkeu!$AY$6:$AY$1005="Direkomendasikan",ROW($6:$1005)-5),955))=""),"",IF(AND(COUNTIF(INDIRECT("K_"&amp;MATCH(INDEX(checklistPesertaKemenkeu!$J$6:$J$1005,SMALL(IF(checklistPesertaKemenkeu!$AY$6:$AY$1005="Direkomendasikan",ROW($6:$1005)-5),955)),BidangList,0)),INDEX(checklistPesertaKemenkeu!$M$6:$M$1005,SMALL(IF(checklistPesertaKemenkeu!$AY$6:$AY$1005="Direkomendasikan",ROW($6:$1005)-5),955)))&gt;0,COUNTIF(INDIRECT("'KERTAS KERJA'!K"&amp;(SMALL(IF(checklistPesertaKemenkeu!$AY$6:$AY$1005="Direkomendasikan",ROW($6:$1005)-5),955)+5)&amp;":O"&amp;(SMALL(IF(checklistPesertaKemenkeu!$AY$6:$AY$1005="Direkomendasikan",ROW($6:$1005)-5),955)+5)),INDEX(checklistPesertaKemenkeu!$M$6:$M$1005,SMALL(IF(checklistPesertaKemenkeu!$AY$6:$AY$1005="Direkomendasikan",ROW($6:$1005)-5),955)))=1),IFERROR(VLOOKUP(INDEX(checklistPesertaKemenkeu!$M$6:$M$1005,SMALL(IF(checklistPesertaKemenkeu!$AY$6:$AY$1005="Direkomendasikan",ROW($6:$1005)-5),955)),KotaKode,2,0),"-"),"")),"")</f>
        <v/>
      </c>
      <c r="J956" t="str">
        <f t="array" aca="1" ref="J956" ca="1">IFERROR(IF(OR(INDEX(checklistPesertaKemenkeu!$N$6:$N$1005,SMALL(IF(checklistPesertaKemenkeu!$AY$6:$AY$1005="Direkomendasikan",ROW($6:$1005)-5),955))="",INDEX(checklistPesertaKemenkeu!$J$6:$J$1005,SMALL(IF(checklistPesertaKemenkeu!$AY$6:$AY$1005="Direkomendasikan",ROW($6:$1005)-5),955))=""),"",IF(AND(COUNTIF(INDIRECT("K_"&amp;MATCH(INDEX(checklistPesertaKemenkeu!$J$6:$J$1005,SMALL(IF(checklistPesertaKemenkeu!$AY$6:$AY$1005="Direkomendasikan",ROW($6:$1005)-5),955)),BidangList,0)),INDEX(checklistPesertaKemenkeu!$N$6:$N$1005,SMALL(IF(checklistPesertaKemenkeu!$AY$6:$AY$1005="Direkomendasikan",ROW($6:$1005)-5),955)))&gt;0,COUNTIF(INDIRECT("'KERTAS KERJA'!K"&amp;(SMALL(IF(checklistPesertaKemenkeu!$AY$6:$AY$1005="Direkomendasikan",ROW($6:$1005)-5),955)+5)&amp;":O"&amp;(SMALL(IF(checklistPesertaKemenkeu!$AY$6:$AY$1005="Direkomendasikan",ROW($6:$1005)-5),955)+5)),INDEX(checklistPesertaKemenkeu!$N$6:$N$1005,SMALL(IF(checklistPesertaKemenkeu!$AY$6:$AY$1005="Direkomendasikan",ROW($6:$1005)-5),955)))=1),IFERROR(VLOOKUP(INDEX(checklistPesertaKemenkeu!$N$6:$N$1005,SMALL(IF(checklistPesertaKemenkeu!$AY$6:$AY$1005="Direkomendasikan",ROW($6:$1005)-5),955)),KotaKode,2,0),"-"),"")),"")</f>
        <v/>
      </c>
      <c r="K956" t="str">
        <f t="array" aca="1" ref="K956" ca="1">IFERROR(IF(OR(INDEX(checklistPesertaKemenkeu!$O$6:$O$1005,SMALL(IF(checklistPesertaKemenkeu!$AY$6:$AY$1005="Direkomendasikan",ROW($6:$1005)-5),955))="",INDEX(checklistPesertaKemenkeu!$J$6:$J$1005,SMALL(IF(checklistPesertaKemenkeu!$AY$6:$AY$1005="Direkomendasikan",ROW($6:$1005)-5),955))=""),"",IF(AND(COUNTIF(INDIRECT("K_"&amp;MATCH(INDEX(checklistPesertaKemenkeu!$J$6:$J$1005,SMALL(IF(checklistPesertaKemenkeu!$AY$6:$AY$1005="Direkomendasikan",ROW($6:$1005)-5),955)),BidangList,0)),INDEX(checklistPesertaKemenkeu!$O$6:$O$1005,SMALL(IF(checklistPesertaKemenkeu!$AY$6:$AY$1005="Direkomendasikan",ROW($6:$1005)-5),955)))&gt;0,COUNTIF(INDIRECT("'KERTAS KERJA'!K"&amp;(SMALL(IF(checklistPesertaKemenkeu!$AY$6:$AY$1005="Direkomendasikan",ROW($6:$1005)-5),955)+5)&amp;":O"&amp;(SMALL(IF(checklistPesertaKemenkeu!$AY$6:$AY$1005="Direkomendasikan",ROW($6:$1005)-5),955)+5)),INDEX(checklistPesertaKemenkeu!$O$6:$O$1005,SMALL(IF(checklistPesertaKemenkeu!$AY$6:$AY$1005="Direkomendasikan",ROW($6:$1005)-5),955)))=1),IFERROR(VLOOKUP(INDEX(checklistPesertaKemenkeu!$O$6:$O$1005,SMALL(IF(checklistPesertaKemenkeu!$AY$6:$AY$1005="Direkomendasikan",ROW($6:$1005)-5),955)),KotaKode,2,0),"-"),"")),"")</f>
        <v/>
      </c>
      <c r="L956" t="str">
        <f t="array" aca="1" ref="L956" ca="1">IFERROR(IF(OR(INDEX(checklistPesertaKemenkeu!$P$6:$P$1005,SMALL(IF(checklistPesertaKemenkeu!$AY$6:$AY$1005="Direkomendasikan",ROW($6:$1005)-5),955))="",INDEX(checklistPesertaKemenkeu!$J$6:$J$1005,SMALL(IF(checklistPesertaKemenkeu!$AY$6:$AY$1005="Direkomendasikan",ROW($6:$1005)-5),955))=""),"",IF(AND(COUNTIF(INDIRECT("K_"&amp;MATCH(INDEX(checklistPesertaKemenkeu!$J$6:$J$1005,SMALL(IF(checklistPesertaKemenkeu!$AY$6:$AY$1005="Direkomendasikan",ROW($6:$1005)-5),955)),BidangList,0)),INDEX(checklistPesertaKemenkeu!$P$6:$P$1005,SMALL(IF(checklistPesertaKemenkeu!$AY$6:$AY$1005="Direkomendasikan",ROW($6:$1005)-5),955)))&gt;0,COUNTIF(INDIRECT("'KERTAS KERJA'!K"&amp;(SMALL(IF(checklistPesertaKemenkeu!$AY$6:$AY$1005="Direkomendasikan",ROW($6:$1005)-5),955)+5)&amp;":O"&amp;(SMALL(IF(checklistPesertaKemenkeu!$AY$6:$AY$1005="Direkomendasikan",ROW($6:$1005)-5),955)+5)),INDEX(checklistPesertaKemenkeu!$P$6:$P$1005,SMALL(IF(checklistPesertaKemenkeu!$AY$6:$AY$1005="Direkomendasikan",ROW($6:$1005)-5),955)))=1),IFERROR(VLOOKUP(INDEX(checklistPesertaKemenkeu!$P$6:$P$1005,SMALL(IF(checklistPesertaKemenkeu!$AY$6:$AY$1005="Direkomendasikan",ROW($6:$1005)-5),955)),KotaKode,2,0),"-"),"")),"")</f>
        <v/>
      </c>
    </row>
    <row r="957" spans="1:12" ht="15" customHeight="1" x14ac:dyDescent="0.2">
      <c r="A957" t="str">
        <f t="shared" si="14"/>
        <v/>
      </c>
      <c r="B957" t="str">
        <v/>
      </c>
      <c r="C957" s="40" t="str">
        <f t="array" ref="C957">IFERROR(INDEX(checklistPesertaKemenkeu!$F$6:$F$1005,SMALL(IF(checklistPesertaKemenkeu!$AY$6:$AY$1005="Direkomendasikan",ROW($6:$1005)-5),956)),"")</f>
        <v/>
      </c>
      <c r="D957" t="str">
        <f t="array" ref="D957">IFERROR(INDEX(checklistPesertaKemenkeu!$G$6:$G$1005,SMALL(IF(checklistPesertaKemenkeu!$AY$6:$AY$1005="Direkomendasikan",ROW($6:$1005)-5),956)),"")</f>
        <v/>
      </c>
      <c r="E957" t="str">
        <f t="array" ref="E957">IFERROR(INDEX(checklistPesertaKemenkeu!$H$6:$H$1005,SMALL(IF(checklistPesertaKemenkeu!$AY$6:$AY$1005="Direkomendasikan",ROW($6:$1005)-5),956)),"")</f>
        <v/>
      </c>
      <c r="F957" t="str">
        <f t="array" ref="F957">IFERROR(INDEX(checklistPesertaKemenkeu!$I$6:$I$1005,SMALL(IF(checklistPesertaKemenkeu!$AY$6:$AY$1005="Direkomendasikan",ROW($6:$1005)-5),956)),"")</f>
        <v/>
      </c>
      <c r="G957" t="str">
        <f t="array" ref="G957">IFERROR(INDEX(checklistPesertaKemenkeu!$J$6:$J$1005,SMALL(IF(checklistPesertaKemenkeu!$AY$6:$AY$1005="Direkomendasikan",ROW($6:$1005)-5),956)),"")</f>
        <v/>
      </c>
      <c r="H957" t="str">
        <f t="array" aca="1" ref="H957" ca="1">IFERROR(IF(OR(INDEX(checklistPesertaKemenkeu!$L$6:$L$1005,SMALL(IF(checklistPesertaKemenkeu!$AY$6:$AY$1005="Direkomendasikan",ROW($6:$1005)-5),956))="",INDEX(checklistPesertaKemenkeu!$J$6:$J$1005,SMALL(IF(checklistPesertaKemenkeu!$AY$6:$AY$1005="Direkomendasikan",ROW($6:$1005)-5),956))=""),"",IF(AND(COUNTIF(INDIRECT("K_"&amp;MATCH(INDEX(checklistPesertaKemenkeu!$J$6:$J$1005,SMALL(IF(checklistPesertaKemenkeu!$AY$6:$AY$1005="Direkomendasikan",ROW($6:$1005)-5),956)),BidangList,0)),INDEX(checklistPesertaKemenkeu!$L$6:$L$1005,SMALL(IF(checklistPesertaKemenkeu!$AY$6:$AY$1005="Direkomendasikan",ROW($6:$1005)-5),956)))&gt;0,COUNTIF(INDIRECT("'KERTAS KERJA'!K"&amp;(SMALL(IF(checklistPesertaKemenkeu!$AY$6:$AY$1005="Direkomendasikan",ROW($6:$1005)-5),956)+5)&amp;":O"&amp;(SMALL(IF(checklistPesertaKemenkeu!$AY$6:$AY$1005="Direkomendasikan",ROW($6:$1005)-5),956)+5)),INDEX(checklistPesertaKemenkeu!$L$6:$L$1005,SMALL(IF(checklistPesertaKemenkeu!$AY$6:$AY$1005="Direkomendasikan",ROW($6:$1005)-5),956)))=1),IFERROR(VLOOKUP(INDEX(checklistPesertaKemenkeu!$L$6:$L$1005,SMALL(IF(checklistPesertaKemenkeu!$AY$6:$AY$1005="Direkomendasikan",ROW($6:$1005)-5),956)),KotaKode,2,0),"-"),"")),"")</f>
        <v/>
      </c>
      <c r="I957" t="str">
        <f t="array" aca="1" ref="I957" ca="1">IFERROR(IF(OR(INDEX(checklistPesertaKemenkeu!$M$6:$M$1005,SMALL(IF(checklistPesertaKemenkeu!$AY$6:$AY$1005="Direkomendasikan",ROW($6:$1005)-5),956))="",INDEX(checklistPesertaKemenkeu!$J$6:$J$1005,SMALL(IF(checklistPesertaKemenkeu!$AY$6:$AY$1005="Direkomendasikan",ROW($6:$1005)-5),956))=""),"",IF(AND(COUNTIF(INDIRECT("K_"&amp;MATCH(INDEX(checklistPesertaKemenkeu!$J$6:$J$1005,SMALL(IF(checklistPesertaKemenkeu!$AY$6:$AY$1005="Direkomendasikan",ROW($6:$1005)-5),956)),BidangList,0)),INDEX(checklistPesertaKemenkeu!$M$6:$M$1005,SMALL(IF(checklistPesertaKemenkeu!$AY$6:$AY$1005="Direkomendasikan",ROW($6:$1005)-5),956)))&gt;0,COUNTIF(INDIRECT("'KERTAS KERJA'!K"&amp;(SMALL(IF(checklistPesertaKemenkeu!$AY$6:$AY$1005="Direkomendasikan",ROW($6:$1005)-5),956)+5)&amp;":O"&amp;(SMALL(IF(checklistPesertaKemenkeu!$AY$6:$AY$1005="Direkomendasikan",ROW($6:$1005)-5),956)+5)),INDEX(checklistPesertaKemenkeu!$M$6:$M$1005,SMALL(IF(checklistPesertaKemenkeu!$AY$6:$AY$1005="Direkomendasikan",ROW($6:$1005)-5),956)))=1),IFERROR(VLOOKUP(INDEX(checklistPesertaKemenkeu!$M$6:$M$1005,SMALL(IF(checklistPesertaKemenkeu!$AY$6:$AY$1005="Direkomendasikan",ROW($6:$1005)-5),956)),KotaKode,2,0),"-"),"")),"")</f>
        <v/>
      </c>
      <c r="J957" t="str">
        <f t="array" aca="1" ref="J957" ca="1">IFERROR(IF(OR(INDEX(checklistPesertaKemenkeu!$N$6:$N$1005,SMALL(IF(checklistPesertaKemenkeu!$AY$6:$AY$1005="Direkomendasikan",ROW($6:$1005)-5),956))="",INDEX(checklistPesertaKemenkeu!$J$6:$J$1005,SMALL(IF(checklistPesertaKemenkeu!$AY$6:$AY$1005="Direkomendasikan",ROW($6:$1005)-5),956))=""),"",IF(AND(COUNTIF(INDIRECT("K_"&amp;MATCH(INDEX(checklistPesertaKemenkeu!$J$6:$J$1005,SMALL(IF(checklistPesertaKemenkeu!$AY$6:$AY$1005="Direkomendasikan",ROW($6:$1005)-5),956)),BidangList,0)),INDEX(checklistPesertaKemenkeu!$N$6:$N$1005,SMALL(IF(checklistPesertaKemenkeu!$AY$6:$AY$1005="Direkomendasikan",ROW($6:$1005)-5),956)))&gt;0,COUNTIF(INDIRECT("'KERTAS KERJA'!K"&amp;(SMALL(IF(checklistPesertaKemenkeu!$AY$6:$AY$1005="Direkomendasikan",ROW($6:$1005)-5),956)+5)&amp;":O"&amp;(SMALL(IF(checklistPesertaKemenkeu!$AY$6:$AY$1005="Direkomendasikan",ROW($6:$1005)-5),956)+5)),INDEX(checklistPesertaKemenkeu!$N$6:$N$1005,SMALL(IF(checklistPesertaKemenkeu!$AY$6:$AY$1005="Direkomendasikan",ROW($6:$1005)-5),956)))=1),IFERROR(VLOOKUP(INDEX(checklistPesertaKemenkeu!$N$6:$N$1005,SMALL(IF(checklistPesertaKemenkeu!$AY$6:$AY$1005="Direkomendasikan",ROW($6:$1005)-5),956)),KotaKode,2,0),"-"),"")),"")</f>
        <v/>
      </c>
      <c r="K957" t="str">
        <f t="array" aca="1" ref="K957" ca="1">IFERROR(IF(OR(INDEX(checklistPesertaKemenkeu!$O$6:$O$1005,SMALL(IF(checklistPesertaKemenkeu!$AY$6:$AY$1005="Direkomendasikan",ROW($6:$1005)-5),956))="",INDEX(checklistPesertaKemenkeu!$J$6:$J$1005,SMALL(IF(checklistPesertaKemenkeu!$AY$6:$AY$1005="Direkomendasikan",ROW($6:$1005)-5),956))=""),"",IF(AND(COUNTIF(INDIRECT("K_"&amp;MATCH(INDEX(checklistPesertaKemenkeu!$J$6:$J$1005,SMALL(IF(checklistPesertaKemenkeu!$AY$6:$AY$1005="Direkomendasikan",ROW($6:$1005)-5),956)),BidangList,0)),INDEX(checklistPesertaKemenkeu!$O$6:$O$1005,SMALL(IF(checklistPesertaKemenkeu!$AY$6:$AY$1005="Direkomendasikan",ROW($6:$1005)-5),956)))&gt;0,COUNTIF(INDIRECT("'KERTAS KERJA'!K"&amp;(SMALL(IF(checklistPesertaKemenkeu!$AY$6:$AY$1005="Direkomendasikan",ROW($6:$1005)-5),956)+5)&amp;":O"&amp;(SMALL(IF(checklistPesertaKemenkeu!$AY$6:$AY$1005="Direkomendasikan",ROW($6:$1005)-5),956)+5)),INDEX(checklistPesertaKemenkeu!$O$6:$O$1005,SMALL(IF(checklistPesertaKemenkeu!$AY$6:$AY$1005="Direkomendasikan",ROW($6:$1005)-5),956)))=1),IFERROR(VLOOKUP(INDEX(checklistPesertaKemenkeu!$O$6:$O$1005,SMALL(IF(checklistPesertaKemenkeu!$AY$6:$AY$1005="Direkomendasikan",ROW($6:$1005)-5),956)),KotaKode,2,0),"-"),"")),"")</f>
        <v/>
      </c>
      <c r="L957" t="str">
        <f t="array" aca="1" ref="L957" ca="1">IFERROR(IF(OR(INDEX(checklistPesertaKemenkeu!$P$6:$P$1005,SMALL(IF(checklistPesertaKemenkeu!$AY$6:$AY$1005="Direkomendasikan",ROW($6:$1005)-5),956))="",INDEX(checklistPesertaKemenkeu!$J$6:$J$1005,SMALL(IF(checklistPesertaKemenkeu!$AY$6:$AY$1005="Direkomendasikan",ROW($6:$1005)-5),956))=""),"",IF(AND(COUNTIF(INDIRECT("K_"&amp;MATCH(INDEX(checklistPesertaKemenkeu!$J$6:$J$1005,SMALL(IF(checklistPesertaKemenkeu!$AY$6:$AY$1005="Direkomendasikan",ROW($6:$1005)-5),956)),BidangList,0)),INDEX(checklistPesertaKemenkeu!$P$6:$P$1005,SMALL(IF(checklistPesertaKemenkeu!$AY$6:$AY$1005="Direkomendasikan",ROW($6:$1005)-5),956)))&gt;0,COUNTIF(INDIRECT("'KERTAS KERJA'!K"&amp;(SMALL(IF(checklistPesertaKemenkeu!$AY$6:$AY$1005="Direkomendasikan",ROW($6:$1005)-5),956)+5)&amp;":O"&amp;(SMALL(IF(checklistPesertaKemenkeu!$AY$6:$AY$1005="Direkomendasikan",ROW($6:$1005)-5),956)+5)),INDEX(checklistPesertaKemenkeu!$P$6:$P$1005,SMALL(IF(checklistPesertaKemenkeu!$AY$6:$AY$1005="Direkomendasikan",ROW($6:$1005)-5),956)))=1),IFERROR(VLOOKUP(INDEX(checklistPesertaKemenkeu!$P$6:$P$1005,SMALL(IF(checklistPesertaKemenkeu!$AY$6:$AY$1005="Direkomendasikan",ROW($6:$1005)-5),956)),KotaKode,2,0),"-"),"")),"")</f>
        <v/>
      </c>
    </row>
    <row r="958" spans="1:12" ht="15" customHeight="1" x14ac:dyDescent="0.2">
      <c r="A958" t="str">
        <f t="shared" si="14"/>
        <v/>
      </c>
      <c r="B958" t="str">
        <v/>
      </c>
      <c r="C958" s="40" t="str">
        <f t="array" ref="C958">IFERROR(INDEX(checklistPesertaKemenkeu!$F$6:$F$1005,SMALL(IF(checklistPesertaKemenkeu!$AY$6:$AY$1005="Direkomendasikan",ROW($6:$1005)-5),957)),"")</f>
        <v/>
      </c>
      <c r="D958" t="str">
        <f t="array" ref="D958">IFERROR(INDEX(checklistPesertaKemenkeu!$G$6:$G$1005,SMALL(IF(checklistPesertaKemenkeu!$AY$6:$AY$1005="Direkomendasikan",ROW($6:$1005)-5),957)),"")</f>
        <v/>
      </c>
      <c r="E958" t="str">
        <f t="array" ref="E958">IFERROR(INDEX(checklistPesertaKemenkeu!$H$6:$H$1005,SMALL(IF(checklistPesertaKemenkeu!$AY$6:$AY$1005="Direkomendasikan",ROW($6:$1005)-5),957)),"")</f>
        <v/>
      </c>
      <c r="F958" t="str">
        <f t="array" ref="F958">IFERROR(INDEX(checklistPesertaKemenkeu!$I$6:$I$1005,SMALL(IF(checklistPesertaKemenkeu!$AY$6:$AY$1005="Direkomendasikan",ROW($6:$1005)-5),957)),"")</f>
        <v/>
      </c>
      <c r="G958" t="str">
        <f t="array" ref="G958">IFERROR(INDEX(checklistPesertaKemenkeu!$J$6:$J$1005,SMALL(IF(checklistPesertaKemenkeu!$AY$6:$AY$1005="Direkomendasikan",ROW($6:$1005)-5),957)),"")</f>
        <v/>
      </c>
      <c r="H958" t="str">
        <f t="array" aca="1" ref="H958" ca="1">IFERROR(IF(OR(INDEX(checklistPesertaKemenkeu!$L$6:$L$1005,SMALL(IF(checklistPesertaKemenkeu!$AY$6:$AY$1005="Direkomendasikan",ROW($6:$1005)-5),957))="",INDEX(checklistPesertaKemenkeu!$J$6:$J$1005,SMALL(IF(checklistPesertaKemenkeu!$AY$6:$AY$1005="Direkomendasikan",ROW($6:$1005)-5),957))=""),"",IF(AND(COUNTIF(INDIRECT("K_"&amp;MATCH(INDEX(checklistPesertaKemenkeu!$J$6:$J$1005,SMALL(IF(checklistPesertaKemenkeu!$AY$6:$AY$1005="Direkomendasikan",ROW($6:$1005)-5),957)),BidangList,0)),INDEX(checklistPesertaKemenkeu!$L$6:$L$1005,SMALL(IF(checklistPesertaKemenkeu!$AY$6:$AY$1005="Direkomendasikan",ROW($6:$1005)-5),957)))&gt;0,COUNTIF(INDIRECT("'KERTAS KERJA'!K"&amp;(SMALL(IF(checklistPesertaKemenkeu!$AY$6:$AY$1005="Direkomendasikan",ROW($6:$1005)-5),957)+5)&amp;":O"&amp;(SMALL(IF(checklistPesertaKemenkeu!$AY$6:$AY$1005="Direkomendasikan",ROW($6:$1005)-5),957)+5)),INDEX(checklistPesertaKemenkeu!$L$6:$L$1005,SMALL(IF(checklistPesertaKemenkeu!$AY$6:$AY$1005="Direkomendasikan",ROW($6:$1005)-5),957)))=1),IFERROR(VLOOKUP(INDEX(checklistPesertaKemenkeu!$L$6:$L$1005,SMALL(IF(checklistPesertaKemenkeu!$AY$6:$AY$1005="Direkomendasikan",ROW($6:$1005)-5),957)),KotaKode,2,0),"-"),"")),"")</f>
        <v/>
      </c>
      <c r="I958" t="str">
        <f t="array" aca="1" ref="I958" ca="1">IFERROR(IF(OR(INDEX(checklistPesertaKemenkeu!$M$6:$M$1005,SMALL(IF(checklistPesertaKemenkeu!$AY$6:$AY$1005="Direkomendasikan",ROW($6:$1005)-5),957))="",INDEX(checklistPesertaKemenkeu!$J$6:$J$1005,SMALL(IF(checklistPesertaKemenkeu!$AY$6:$AY$1005="Direkomendasikan",ROW($6:$1005)-5),957))=""),"",IF(AND(COUNTIF(INDIRECT("K_"&amp;MATCH(INDEX(checklistPesertaKemenkeu!$J$6:$J$1005,SMALL(IF(checklistPesertaKemenkeu!$AY$6:$AY$1005="Direkomendasikan",ROW($6:$1005)-5),957)),BidangList,0)),INDEX(checklistPesertaKemenkeu!$M$6:$M$1005,SMALL(IF(checklistPesertaKemenkeu!$AY$6:$AY$1005="Direkomendasikan",ROW($6:$1005)-5),957)))&gt;0,COUNTIF(INDIRECT("'KERTAS KERJA'!K"&amp;(SMALL(IF(checklistPesertaKemenkeu!$AY$6:$AY$1005="Direkomendasikan",ROW($6:$1005)-5),957)+5)&amp;":O"&amp;(SMALL(IF(checklistPesertaKemenkeu!$AY$6:$AY$1005="Direkomendasikan",ROW($6:$1005)-5),957)+5)),INDEX(checklistPesertaKemenkeu!$M$6:$M$1005,SMALL(IF(checklistPesertaKemenkeu!$AY$6:$AY$1005="Direkomendasikan",ROW($6:$1005)-5),957)))=1),IFERROR(VLOOKUP(INDEX(checklistPesertaKemenkeu!$M$6:$M$1005,SMALL(IF(checklistPesertaKemenkeu!$AY$6:$AY$1005="Direkomendasikan",ROW($6:$1005)-5),957)),KotaKode,2,0),"-"),"")),"")</f>
        <v/>
      </c>
      <c r="J958" t="str">
        <f t="array" aca="1" ref="J958" ca="1">IFERROR(IF(OR(INDEX(checklistPesertaKemenkeu!$N$6:$N$1005,SMALL(IF(checklistPesertaKemenkeu!$AY$6:$AY$1005="Direkomendasikan",ROW($6:$1005)-5),957))="",INDEX(checklistPesertaKemenkeu!$J$6:$J$1005,SMALL(IF(checklistPesertaKemenkeu!$AY$6:$AY$1005="Direkomendasikan",ROW($6:$1005)-5),957))=""),"",IF(AND(COUNTIF(INDIRECT("K_"&amp;MATCH(INDEX(checklistPesertaKemenkeu!$J$6:$J$1005,SMALL(IF(checklistPesertaKemenkeu!$AY$6:$AY$1005="Direkomendasikan",ROW($6:$1005)-5),957)),BidangList,0)),INDEX(checklistPesertaKemenkeu!$N$6:$N$1005,SMALL(IF(checklistPesertaKemenkeu!$AY$6:$AY$1005="Direkomendasikan",ROW($6:$1005)-5),957)))&gt;0,COUNTIF(INDIRECT("'KERTAS KERJA'!K"&amp;(SMALL(IF(checklistPesertaKemenkeu!$AY$6:$AY$1005="Direkomendasikan",ROW($6:$1005)-5),957)+5)&amp;":O"&amp;(SMALL(IF(checklistPesertaKemenkeu!$AY$6:$AY$1005="Direkomendasikan",ROW($6:$1005)-5),957)+5)),INDEX(checklistPesertaKemenkeu!$N$6:$N$1005,SMALL(IF(checklistPesertaKemenkeu!$AY$6:$AY$1005="Direkomendasikan",ROW($6:$1005)-5),957)))=1),IFERROR(VLOOKUP(INDEX(checklistPesertaKemenkeu!$N$6:$N$1005,SMALL(IF(checklistPesertaKemenkeu!$AY$6:$AY$1005="Direkomendasikan",ROW($6:$1005)-5),957)),KotaKode,2,0),"-"),"")),"")</f>
        <v/>
      </c>
      <c r="K958" t="str">
        <f t="array" aca="1" ref="K958" ca="1">IFERROR(IF(OR(INDEX(checklistPesertaKemenkeu!$O$6:$O$1005,SMALL(IF(checklistPesertaKemenkeu!$AY$6:$AY$1005="Direkomendasikan",ROW($6:$1005)-5),957))="",INDEX(checklistPesertaKemenkeu!$J$6:$J$1005,SMALL(IF(checklistPesertaKemenkeu!$AY$6:$AY$1005="Direkomendasikan",ROW($6:$1005)-5),957))=""),"",IF(AND(COUNTIF(INDIRECT("K_"&amp;MATCH(INDEX(checklistPesertaKemenkeu!$J$6:$J$1005,SMALL(IF(checklistPesertaKemenkeu!$AY$6:$AY$1005="Direkomendasikan",ROW($6:$1005)-5),957)),BidangList,0)),INDEX(checklistPesertaKemenkeu!$O$6:$O$1005,SMALL(IF(checklistPesertaKemenkeu!$AY$6:$AY$1005="Direkomendasikan",ROW($6:$1005)-5),957)))&gt;0,COUNTIF(INDIRECT("'KERTAS KERJA'!K"&amp;(SMALL(IF(checklistPesertaKemenkeu!$AY$6:$AY$1005="Direkomendasikan",ROW($6:$1005)-5),957)+5)&amp;":O"&amp;(SMALL(IF(checklistPesertaKemenkeu!$AY$6:$AY$1005="Direkomendasikan",ROW($6:$1005)-5),957)+5)),INDEX(checklistPesertaKemenkeu!$O$6:$O$1005,SMALL(IF(checklistPesertaKemenkeu!$AY$6:$AY$1005="Direkomendasikan",ROW($6:$1005)-5),957)))=1),IFERROR(VLOOKUP(INDEX(checklistPesertaKemenkeu!$O$6:$O$1005,SMALL(IF(checklistPesertaKemenkeu!$AY$6:$AY$1005="Direkomendasikan",ROW($6:$1005)-5),957)),KotaKode,2,0),"-"),"")),"")</f>
        <v/>
      </c>
      <c r="L958" t="str">
        <f t="array" aca="1" ref="L958" ca="1">IFERROR(IF(OR(INDEX(checklistPesertaKemenkeu!$P$6:$P$1005,SMALL(IF(checklistPesertaKemenkeu!$AY$6:$AY$1005="Direkomendasikan",ROW($6:$1005)-5),957))="",INDEX(checklistPesertaKemenkeu!$J$6:$J$1005,SMALL(IF(checklistPesertaKemenkeu!$AY$6:$AY$1005="Direkomendasikan",ROW($6:$1005)-5),957))=""),"",IF(AND(COUNTIF(INDIRECT("K_"&amp;MATCH(INDEX(checklistPesertaKemenkeu!$J$6:$J$1005,SMALL(IF(checklistPesertaKemenkeu!$AY$6:$AY$1005="Direkomendasikan",ROW($6:$1005)-5),957)),BidangList,0)),INDEX(checklistPesertaKemenkeu!$P$6:$P$1005,SMALL(IF(checklistPesertaKemenkeu!$AY$6:$AY$1005="Direkomendasikan",ROW($6:$1005)-5),957)))&gt;0,COUNTIF(INDIRECT("'KERTAS KERJA'!K"&amp;(SMALL(IF(checklistPesertaKemenkeu!$AY$6:$AY$1005="Direkomendasikan",ROW($6:$1005)-5),957)+5)&amp;":O"&amp;(SMALL(IF(checklistPesertaKemenkeu!$AY$6:$AY$1005="Direkomendasikan",ROW($6:$1005)-5),957)+5)),INDEX(checklistPesertaKemenkeu!$P$6:$P$1005,SMALL(IF(checklistPesertaKemenkeu!$AY$6:$AY$1005="Direkomendasikan",ROW($6:$1005)-5),957)))=1),IFERROR(VLOOKUP(INDEX(checklistPesertaKemenkeu!$P$6:$P$1005,SMALL(IF(checklistPesertaKemenkeu!$AY$6:$AY$1005="Direkomendasikan",ROW($6:$1005)-5),957)),KotaKode,2,0),"-"),"")),"")</f>
        <v/>
      </c>
    </row>
    <row r="959" spans="1:12" ht="15" customHeight="1" x14ac:dyDescent="0.2">
      <c r="A959" t="str">
        <f t="shared" si="14"/>
        <v/>
      </c>
      <c r="B959" t="str">
        <v/>
      </c>
      <c r="C959" s="40" t="str">
        <f t="array" ref="C959">IFERROR(INDEX(checklistPesertaKemenkeu!$F$6:$F$1005,SMALL(IF(checklistPesertaKemenkeu!$AY$6:$AY$1005="Direkomendasikan",ROW($6:$1005)-5),958)),"")</f>
        <v/>
      </c>
      <c r="D959" t="str">
        <f t="array" ref="D959">IFERROR(INDEX(checklistPesertaKemenkeu!$G$6:$G$1005,SMALL(IF(checklistPesertaKemenkeu!$AY$6:$AY$1005="Direkomendasikan",ROW($6:$1005)-5),958)),"")</f>
        <v/>
      </c>
      <c r="E959" t="str">
        <f t="array" ref="E959">IFERROR(INDEX(checklistPesertaKemenkeu!$H$6:$H$1005,SMALL(IF(checklistPesertaKemenkeu!$AY$6:$AY$1005="Direkomendasikan",ROW($6:$1005)-5),958)),"")</f>
        <v/>
      </c>
      <c r="F959" t="str">
        <f t="array" ref="F959">IFERROR(INDEX(checklistPesertaKemenkeu!$I$6:$I$1005,SMALL(IF(checklistPesertaKemenkeu!$AY$6:$AY$1005="Direkomendasikan",ROW($6:$1005)-5),958)),"")</f>
        <v/>
      </c>
      <c r="G959" t="str">
        <f t="array" ref="G959">IFERROR(INDEX(checklistPesertaKemenkeu!$J$6:$J$1005,SMALL(IF(checklistPesertaKemenkeu!$AY$6:$AY$1005="Direkomendasikan",ROW($6:$1005)-5),958)),"")</f>
        <v/>
      </c>
      <c r="H959" t="str">
        <f t="array" aca="1" ref="H959" ca="1">IFERROR(IF(OR(INDEX(checklistPesertaKemenkeu!$L$6:$L$1005,SMALL(IF(checklistPesertaKemenkeu!$AY$6:$AY$1005="Direkomendasikan",ROW($6:$1005)-5),958))="",INDEX(checklistPesertaKemenkeu!$J$6:$J$1005,SMALL(IF(checklistPesertaKemenkeu!$AY$6:$AY$1005="Direkomendasikan",ROW($6:$1005)-5),958))=""),"",IF(AND(COUNTIF(INDIRECT("K_"&amp;MATCH(INDEX(checklistPesertaKemenkeu!$J$6:$J$1005,SMALL(IF(checklistPesertaKemenkeu!$AY$6:$AY$1005="Direkomendasikan",ROW($6:$1005)-5),958)),BidangList,0)),INDEX(checklistPesertaKemenkeu!$L$6:$L$1005,SMALL(IF(checklistPesertaKemenkeu!$AY$6:$AY$1005="Direkomendasikan",ROW($6:$1005)-5),958)))&gt;0,COUNTIF(INDIRECT("'KERTAS KERJA'!K"&amp;(SMALL(IF(checklistPesertaKemenkeu!$AY$6:$AY$1005="Direkomendasikan",ROW($6:$1005)-5),958)+5)&amp;":O"&amp;(SMALL(IF(checklistPesertaKemenkeu!$AY$6:$AY$1005="Direkomendasikan",ROW($6:$1005)-5),958)+5)),INDEX(checklistPesertaKemenkeu!$L$6:$L$1005,SMALL(IF(checklistPesertaKemenkeu!$AY$6:$AY$1005="Direkomendasikan",ROW($6:$1005)-5),958)))=1),IFERROR(VLOOKUP(INDEX(checklistPesertaKemenkeu!$L$6:$L$1005,SMALL(IF(checklistPesertaKemenkeu!$AY$6:$AY$1005="Direkomendasikan",ROW($6:$1005)-5),958)),KotaKode,2,0),"-"),"")),"")</f>
        <v/>
      </c>
      <c r="I959" t="str">
        <f t="array" aca="1" ref="I959" ca="1">IFERROR(IF(OR(INDEX(checklistPesertaKemenkeu!$M$6:$M$1005,SMALL(IF(checklistPesertaKemenkeu!$AY$6:$AY$1005="Direkomendasikan",ROW($6:$1005)-5),958))="",INDEX(checklistPesertaKemenkeu!$J$6:$J$1005,SMALL(IF(checklistPesertaKemenkeu!$AY$6:$AY$1005="Direkomendasikan",ROW($6:$1005)-5),958))=""),"",IF(AND(COUNTIF(INDIRECT("K_"&amp;MATCH(INDEX(checklistPesertaKemenkeu!$J$6:$J$1005,SMALL(IF(checklistPesertaKemenkeu!$AY$6:$AY$1005="Direkomendasikan",ROW($6:$1005)-5),958)),BidangList,0)),INDEX(checklistPesertaKemenkeu!$M$6:$M$1005,SMALL(IF(checklistPesertaKemenkeu!$AY$6:$AY$1005="Direkomendasikan",ROW($6:$1005)-5),958)))&gt;0,COUNTIF(INDIRECT("'KERTAS KERJA'!K"&amp;(SMALL(IF(checklistPesertaKemenkeu!$AY$6:$AY$1005="Direkomendasikan",ROW($6:$1005)-5),958)+5)&amp;":O"&amp;(SMALL(IF(checklistPesertaKemenkeu!$AY$6:$AY$1005="Direkomendasikan",ROW($6:$1005)-5),958)+5)),INDEX(checklistPesertaKemenkeu!$M$6:$M$1005,SMALL(IF(checklistPesertaKemenkeu!$AY$6:$AY$1005="Direkomendasikan",ROW($6:$1005)-5),958)))=1),IFERROR(VLOOKUP(INDEX(checklistPesertaKemenkeu!$M$6:$M$1005,SMALL(IF(checklistPesertaKemenkeu!$AY$6:$AY$1005="Direkomendasikan",ROW($6:$1005)-5),958)),KotaKode,2,0),"-"),"")),"")</f>
        <v/>
      </c>
      <c r="J959" t="str">
        <f t="array" aca="1" ref="J959" ca="1">IFERROR(IF(OR(INDEX(checklistPesertaKemenkeu!$N$6:$N$1005,SMALL(IF(checklistPesertaKemenkeu!$AY$6:$AY$1005="Direkomendasikan",ROW($6:$1005)-5),958))="",INDEX(checklistPesertaKemenkeu!$J$6:$J$1005,SMALL(IF(checklistPesertaKemenkeu!$AY$6:$AY$1005="Direkomendasikan",ROW($6:$1005)-5),958))=""),"",IF(AND(COUNTIF(INDIRECT("K_"&amp;MATCH(INDEX(checklistPesertaKemenkeu!$J$6:$J$1005,SMALL(IF(checklistPesertaKemenkeu!$AY$6:$AY$1005="Direkomendasikan",ROW($6:$1005)-5),958)),BidangList,0)),INDEX(checklistPesertaKemenkeu!$N$6:$N$1005,SMALL(IF(checklistPesertaKemenkeu!$AY$6:$AY$1005="Direkomendasikan",ROW($6:$1005)-5),958)))&gt;0,COUNTIF(INDIRECT("'KERTAS KERJA'!K"&amp;(SMALL(IF(checklistPesertaKemenkeu!$AY$6:$AY$1005="Direkomendasikan",ROW($6:$1005)-5),958)+5)&amp;":O"&amp;(SMALL(IF(checklistPesertaKemenkeu!$AY$6:$AY$1005="Direkomendasikan",ROW($6:$1005)-5),958)+5)),INDEX(checklistPesertaKemenkeu!$N$6:$N$1005,SMALL(IF(checklistPesertaKemenkeu!$AY$6:$AY$1005="Direkomendasikan",ROW($6:$1005)-5),958)))=1),IFERROR(VLOOKUP(INDEX(checklistPesertaKemenkeu!$N$6:$N$1005,SMALL(IF(checklistPesertaKemenkeu!$AY$6:$AY$1005="Direkomendasikan",ROW($6:$1005)-5),958)),KotaKode,2,0),"-"),"")),"")</f>
        <v/>
      </c>
      <c r="K959" t="str">
        <f t="array" aca="1" ref="K959" ca="1">IFERROR(IF(OR(INDEX(checklistPesertaKemenkeu!$O$6:$O$1005,SMALL(IF(checklistPesertaKemenkeu!$AY$6:$AY$1005="Direkomendasikan",ROW($6:$1005)-5),958))="",INDEX(checklistPesertaKemenkeu!$J$6:$J$1005,SMALL(IF(checklistPesertaKemenkeu!$AY$6:$AY$1005="Direkomendasikan",ROW($6:$1005)-5),958))=""),"",IF(AND(COUNTIF(INDIRECT("K_"&amp;MATCH(INDEX(checklistPesertaKemenkeu!$J$6:$J$1005,SMALL(IF(checklistPesertaKemenkeu!$AY$6:$AY$1005="Direkomendasikan",ROW($6:$1005)-5),958)),BidangList,0)),INDEX(checklistPesertaKemenkeu!$O$6:$O$1005,SMALL(IF(checklistPesertaKemenkeu!$AY$6:$AY$1005="Direkomendasikan",ROW($6:$1005)-5),958)))&gt;0,COUNTIF(INDIRECT("'KERTAS KERJA'!K"&amp;(SMALL(IF(checklistPesertaKemenkeu!$AY$6:$AY$1005="Direkomendasikan",ROW($6:$1005)-5),958)+5)&amp;":O"&amp;(SMALL(IF(checklistPesertaKemenkeu!$AY$6:$AY$1005="Direkomendasikan",ROW($6:$1005)-5),958)+5)),INDEX(checklistPesertaKemenkeu!$O$6:$O$1005,SMALL(IF(checklistPesertaKemenkeu!$AY$6:$AY$1005="Direkomendasikan",ROW($6:$1005)-5),958)))=1),IFERROR(VLOOKUP(INDEX(checklistPesertaKemenkeu!$O$6:$O$1005,SMALL(IF(checklistPesertaKemenkeu!$AY$6:$AY$1005="Direkomendasikan",ROW($6:$1005)-5),958)),KotaKode,2,0),"-"),"")),"")</f>
        <v/>
      </c>
      <c r="L959" t="str">
        <f t="array" aca="1" ref="L959" ca="1">IFERROR(IF(OR(INDEX(checklistPesertaKemenkeu!$P$6:$P$1005,SMALL(IF(checklistPesertaKemenkeu!$AY$6:$AY$1005="Direkomendasikan",ROW($6:$1005)-5),958))="",INDEX(checklistPesertaKemenkeu!$J$6:$J$1005,SMALL(IF(checklistPesertaKemenkeu!$AY$6:$AY$1005="Direkomendasikan",ROW($6:$1005)-5),958))=""),"",IF(AND(COUNTIF(INDIRECT("K_"&amp;MATCH(INDEX(checklistPesertaKemenkeu!$J$6:$J$1005,SMALL(IF(checklistPesertaKemenkeu!$AY$6:$AY$1005="Direkomendasikan",ROW($6:$1005)-5),958)),BidangList,0)),INDEX(checklistPesertaKemenkeu!$P$6:$P$1005,SMALL(IF(checklistPesertaKemenkeu!$AY$6:$AY$1005="Direkomendasikan",ROW($6:$1005)-5),958)))&gt;0,COUNTIF(INDIRECT("'KERTAS KERJA'!K"&amp;(SMALL(IF(checklistPesertaKemenkeu!$AY$6:$AY$1005="Direkomendasikan",ROW($6:$1005)-5),958)+5)&amp;":O"&amp;(SMALL(IF(checklistPesertaKemenkeu!$AY$6:$AY$1005="Direkomendasikan",ROW($6:$1005)-5),958)+5)),INDEX(checklistPesertaKemenkeu!$P$6:$P$1005,SMALL(IF(checklistPesertaKemenkeu!$AY$6:$AY$1005="Direkomendasikan",ROW($6:$1005)-5),958)))=1),IFERROR(VLOOKUP(INDEX(checklistPesertaKemenkeu!$P$6:$P$1005,SMALL(IF(checklistPesertaKemenkeu!$AY$6:$AY$1005="Direkomendasikan",ROW($6:$1005)-5),958)),KotaKode,2,0),"-"),"")),"")</f>
        <v/>
      </c>
    </row>
    <row r="960" spans="1:12" ht="15" customHeight="1" x14ac:dyDescent="0.2">
      <c r="A960" t="str">
        <f t="shared" si="14"/>
        <v/>
      </c>
      <c r="B960" t="str">
        <v/>
      </c>
      <c r="C960" s="40" t="str">
        <f t="array" ref="C960">IFERROR(INDEX(checklistPesertaKemenkeu!$F$6:$F$1005,SMALL(IF(checklistPesertaKemenkeu!$AY$6:$AY$1005="Direkomendasikan",ROW($6:$1005)-5),959)),"")</f>
        <v/>
      </c>
      <c r="D960" t="str">
        <f t="array" ref="D960">IFERROR(INDEX(checklistPesertaKemenkeu!$G$6:$G$1005,SMALL(IF(checklistPesertaKemenkeu!$AY$6:$AY$1005="Direkomendasikan",ROW($6:$1005)-5),959)),"")</f>
        <v/>
      </c>
      <c r="E960" t="str">
        <f t="array" ref="E960">IFERROR(INDEX(checklistPesertaKemenkeu!$H$6:$H$1005,SMALL(IF(checklistPesertaKemenkeu!$AY$6:$AY$1005="Direkomendasikan",ROW($6:$1005)-5),959)),"")</f>
        <v/>
      </c>
      <c r="F960" t="str">
        <f t="array" ref="F960">IFERROR(INDEX(checklistPesertaKemenkeu!$I$6:$I$1005,SMALL(IF(checklistPesertaKemenkeu!$AY$6:$AY$1005="Direkomendasikan",ROW($6:$1005)-5),959)),"")</f>
        <v/>
      </c>
      <c r="G960" t="str">
        <f t="array" ref="G960">IFERROR(INDEX(checklistPesertaKemenkeu!$J$6:$J$1005,SMALL(IF(checklistPesertaKemenkeu!$AY$6:$AY$1005="Direkomendasikan",ROW($6:$1005)-5),959)),"")</f>
        <v/>
      </c>
      <c r="H960" t="str">
        <f t="array" aca="1" ref="H960" ca="1">IFERROR(IF(OR(INDEX(checklistPesertaKemenkeu!$L$6:$L$1005,SMALL(IF(checklistPesertaKemenkeu!$AY$6:$AY$1005="Direkomendasikan",ROW($6:$1005)-5),959))="",INDEX(checklistPesertaKemenkeu!$J$6:$J$1005,SMALL(IF(checklistPesertaKemenkeu!$AY$6:$AY$1005="Direkomendasikan",ROW($6:$1005)-5),959))=""),"",IF(AND(COUNTIF(INDIRECT("K_"&amp;MATCH(INDEX(checklistPesertaKemenkeu!$J$6:$J$1005,SMALL(IF(checklistPesertaKemenkeu!$AY$6:$AY$1005="Direkomendasikan",ROW($6:$1005)-5),959)),BidangList,0)),INDEX(checklistPesertaKemenkeu!$L$6:$L$1005,SMALL(IF(checklistPesertaKemenkeu!$AY$6:$AY$1005="Direkomendasikan",ROW($6:$1005)-5),959)))&gt;0,COUNTIF(INDIRECT("'KERTAS KERJA'!K"&amp;(SMALL(IF(checklistPesertaKemenkeu!$AY$6:$AY$1005="Direkomendasikan",ROW($6:$1005)-5),959)+5)&amp;":O"&amp;(SMALL(IF(checklistPesertaKemenkeu!$AY$6:$AY$1005="Direkomendasikan",ROW($6:$1005)-5),959)+5)),INDEX(checklistPesertaKemenkeu!$L$6:$L$1005,SMALL(IF(checklistPesertaKemenkeu!$AY$6:$AY$1005="Direkomendasikan",ROW($6:$1005)-5),959)))=1),IFERROR(VLOOKUP(INDEX(checklistPesertaKemenkeu!$L$6:$L$1005,SMALL(IF(checklistPesertaKemenkeu!$AY$6:$AY$1005="Direkomendasikan",ROW($6:$1005)-5),959)),KotaKode,2,0),"-"),"")),"")</f>
        <v/>
      </c>
      <c r="I960" t="str">
        <f t="array" aca="1" ref="I960" ca="1">IFERROR(IF(OR(INDEX(checklistPesertaKemenkeu!$M$6:$M$1005,SMALL(IF(checklistPesertaKemenkeu!$AY$6:$AY$1005="Direkomendasikan",ROW($6:$1005)-5),959))="",INDEX(checklistPesertaKemenkeu!$J$6:$J$1005,SMALL(IF(checklistPesertaKemenkeu!$AY$6:$AY$1005="Direkomendasikan",ROW($6:$1005)-5),959))=""),"",IF(AND(COUNTIF(INDIRECT("K_"&amp;MATCH(INDEX(checklistPesertaKemenkeu!$J$6:$J$1005,SMALL(IF(checklistPesertaKemenkeu!$AY$6:$AY$1005="Direkomendasikan",ROW($6:$1005)-5),959)),BidangList,0)),INDEX(checklistPesertaKemenkeu!$M$6:$M$1005,SMALL(IF(checklistPesertaKemenkeu!$AY$6:$AY$1005="Direkomendasikan",ROW($6:$1005)-5),959)))&gt;0,COUNTIF(INDIRECT("'KERTAS KERJA'!K"&amp;(SMALL(IF(checklistPesertaKemenkeu!$AY$6:$AY$1005="Direkomendasikan",ROW($6:$1005)-5),959)+5)&amp;":O"&amp;(SMALL(IF(checklistPesertaKemenkeu!$AY$6:$AY$1005="Direkomendasikan",ROW($6:$1005)-5),959)+5)),INDEX(checklistPesertaKemenkeu!$M$6:$M$1005,SMALL(IF(checklistPesertaKemenkeu!$AY$6:$AY$1005="Direkomendasikan",ROW($6:$1005)-5),959)))=1),IFERROR(VLOOKUP(INDEX(checklistPesertaKemenkeu!$M$6:$M$1005,SMALL(IF(checklistPesertaKemenkeu!$AY$6:$AY$1005="Direkomendasikan",ROW($6:$1005)-5),959)),KotaKode,2,0),"-"),"")),"")</f>
        <v/>
      </c>
      <c r="J960" t="str">
        <f t="array" aca="1" ref="J960" ca="1">IFERROR(IF(OR(INDEX(checklistPesertaKemenkeu!$N$6:$N$1005,SMALL(IF(checklistPesertaKemenkeu!$AY$6:$AY$1005="Direkomendasikan",ROW($6:$1005)-5),959))="",INDEX(checklistPesertaKemenkeu!$J$6:$J$1005,SMALL(IF(checklistPesertaKemenkeu!$AY$6:$AY$1005="Direkomendasikan",ROW($6:$1005)-5),959))=""),"",IF(AND(COUNTIF(INDIRECT("K_"&amp;MATCH(INDEX(checklistPesertaKemenkeu!$J$6:$J$1005,SMALL(IF(checklistPesertaKemenkeu!$AY$6:$AY$1005="Direkomendasikan",ROW($6:$1005)-5),959)),BidangList,0)),INDEX(checklistPesertaKemenkeu!$N$6:$N$1005,SMALL(IF(checklistPesertaKemenkeu!$AY$6:$AY$1005="Direkomendasikan",ROW($6:$1005)-5),959)))&gt;0,COUNTIF(INDIRECT("'KERTAS KERJA'!K"&amp;(SMALL(IF(checklistPesertaKemenkeu!$AY$6:$AY$1005="Direkomendasikan",ROW($6:$1005)-5),959)+5)&amp;":O"&amp;(SMALL(IF(checklistPesertaKemenkeu!$AY$6:$AY$1005="Direkomendasikan",ROW($6:$1005)-5),959)+5)),INDEX(checklistPesertaKemenkeu!$N$6:$N$1005,SMALL(IF(checklistPesertaKemenkeu!$AY$6:$AY$1005="Direkomendasikan",ROW($6:$1005)-5),959)))=1),IFERROR(VLOOKUP(INDEX(checklistPesertaKemenkeu!$N$6:$N$1005,SMALL(IF(checklistPesertaKemenkeu!$AY$6:$AY$1005="Direkomendasikan",ROW($6:$1005)-5),959)),KotaKode,2,0),"-"),"")),"")</f>
        <v/>
      </c>
      <c r="K960" t="str">
        <f t="array" aca="1" ref="K960" ca="1">IFERROR(IF(OR(INDEX(checklistPesertaKemenkeu!$O$6:$O$1005,SMALL(IF(checklistPesertaKemenkeu!$AY$6:$AY$1005="Direkomendasikan",ROW($6:$1005)-5),959))="",INDEX(checklistPesertaKemenkeu!$J$6:$J$1005,SMALL(IF(checklistPesertaKemenkeu!$AY$6:$AY$1005="Direkomendasikan",ROW($6:$1005)-5),959))=""),"",IF(AND(COUNTIF(INDIRECT("K_"&amp;MATCH(INDEX(checklistPesertaKemenkeu!$J$6:$J$1005,SMALL(IF(checklistPesertaKemenkeu!$AY$6:$AY$1005="Direkomendasikan",ROW($6:$1005)-5),959)),BidangList,0)),INDEX(checklistPesertaKemenkeu!$O$6:$O$1005,SMALL(IF(checklistPesertaKemenkeu!$AY$6:$AY$1005="Direkomendasikan",ROW($6:$1005)-5),959)))&gt;0,COUNTIF(INDIRECT("'KERTAS KERJA'!K"&amp;(SMALL(IF(checklistPesertaKemenkeu!$AY$6:$AY$1005="Direkomendasikan",ROW($6:$1005)-5),959)+5)&amp;":O"&amp;(SMALL(IF(checklistPesertaKemenkeu!$AY$6:$AY$1005="Direkomendasikan",ROW($6:$1005)-5),959)+5)),INDEX(checklistPesertaKemenkeu!$O$6:$O$1005,SMALL(IF(checklistPesertaKemenkeu!$AY$6:$AY$1005="Direkomendasikan",ROW($6:$1005)-5),959)))=1),IFERROR(VLOOKUP(INDEX(checklistPesertaKemenkeu!$O$6:$O$1005,SMALL(IF(checklistPesertaKemenkeu!$AY$6:$AY$1005="Direkomendasikan",ROW($6:$1005)-5),959)),KotaKode,2,0),"-"),"")),"")</f>
        <v/>
      </c>
      <c r="L960" t="str">
        <f t="array" aca="1" ref="L960" ca="1">IFERROR(IF(OR(INDEX(checklistPesertaKemenkeu!$P$6:$P$1005,SMALL(IF(checklistPesertaKemenkeu!$AY$6:$AY$1005="Direkomendasikan",ROW($6:$1005)-5),959))="",INDEX(checklistPesertaKemenkeu!$J$6:$J$1005,SMALL(IF(checklistPesertaKemenkeu!$AY$6:$AY$1005="Direkomendasikan",ROW($6:$1005)-5),959))=""),"",IF(AND(COUNTIF(INDIRECT("K_"&amp;MATCH(INDEX(checklistPesertaKemenkeu!$J$6:$J$1005,SMALL(IF(checklistPesertaKemenkeu!$AY$6:$AY$1005="Direkomendasikan",ROW($6:$1005)-5),959)),BidangList,0)),INDEX(checklistPesertaKemenkeu!$P$6:$P$1005,SMALL(IF(checklistPesertaKemenkeu!$AY$6:$AY$1005="Direkomendasikan",ROW($6:$1005)-5),959)))&gt;0,COUNTIF(INDIRECT("'KERTAS KERJA'!K"&amp;(SMALL(IF(checklistPesertaKemenkeu!$AY$6:$AY$1005="Direkomendasikan",ROW($6:$1005)-5),959)+5)&amp;":O"&amp;(SMALL(IF(checklistPesertaKemenkeu!$AY$6:$AY$1005="Direkomendasikan",ROW($6:$1005)-5),959)+5)),INDEX(checklistPesertaKemenkeu!$P$6:$P$1005,SMALL(IF(checklistPesertaKemenkeu!$AY$6:$AY$1005="Direkomendasikan",ROW($6:$1005)-5),959)))=1),IFERROR(VLOOKUP(INDEX(checklistPesertaKemenkeu!$P$6:$P$1005,SMALL(IF(checklistPesertaKemenkeu!$AY$6:$AY$1005="Direkomendasikan",ROW($6:$1005)-5),959)),KotaKode,2,0),"-"),"")),"")</f>
        <v/>
      </c>
    </row>
    <row r="961" spans="1:12" ht="15" customHeight="1" x14ac:dyDescent="0.2">
      <c r="A961" t="str">
        <f t="shared" si="14"/>
        <v/>
      </c>
      <c r="B961" t="str">
        <v/>
      </c>
      <c r="C961" s="40" t="str">
        <f t="array" ref="C961">IFERROR(INDEX(checklistPesertaKemenkeu!$F$6:$F$1005,SMALL(IF(checklistPesertaKemenkeu!$AY$6:$AY$1005="Direkomendasikan",ROW($6:$1005)-5),960)),"")</f>
        <v/>
      </c>
      <c r="D961" t="str">
        <f t="array" ref="D961">IFERROR(INDEX(checklistPesertaKemenkeu!$G$6:$G$1005,SMALL(IF(checklistPesertaKemenkeu!$AY$6:$AY$1005="Direkomendasikan",ROW($6:$1005)-5),960)),"")</f>
        <v/>
      </c>
      <c r="E961" t="str">
        <f t="array" ref="E961">IFERROR(INDEX(checklistPesertaKemenkeu!$H$6:$H$1005,SMALL(IF(checklistPesertaKemenkeu!$AY$6:$AY$1005="Direkomendasikan",ROW($6:$1005)-5),960)),"")</f>
        <v/>
      </c>
      <c r="F961" t="str">
        <f t="array" ref="F961">IFERROR(INDEX(checklistPesertaKemenkeu!$I$6:$I$1005,SMALL(IF(checklistPesertaKemenkeu!$AY$6:$AY$1005="Direkomendasikan",ROW($6:$1005)-5),960)),"")</f>
        <v/>
      </c>
      <c r="G961" t="str">
        <f t="array" ref="G961">IFERROR(INDEX(checklistPesertaKemenkeu!$J$6:$J$1005,SMALL(IF(checklistPesertaKemenkeu!$AY$6:$AY$1005="Direkomendasikan",ROW($6:$1005)-5),960)),"")</f>
        <v/>
      </c>
      <c r="H961" t="str">
        <f t="array" aca="1" ref="H961" ca="1">IFERROR(IF(OR(INDEX(checklistPesertaKemenkeu!$L$6:$L$1005,SMALL(IF(checklistPesertaKemenkeu!$AY$6:$AY$1005="Direkomendasikan",ROW($6:$1005)-5),960))="",INDEX(checklistPesertaKemenkeu!$J$6:$J$1005,SMALL(IF(checklistPesertaKemenkeu!$AY$6:$AY$1005="Direkomendasikan",ROW($6:$1005)-5),960))=""),"",IF(AND(COUNTIF(INDIRECT("K_"&amp;MATCH(INDEX(checklistPesertaKemenkeu!$J$6:$J$1005,SMALL(IF(checklistPesertaKemenkeu!$AY$6:$AY$1005="Direkomendasikan",ROW($6:$1005)-5),960)),BidangList,0)),INDEX(checklistPesertaKemenkeu!$L$6:$L$1005,SMALL(IF(checklistPesertaKemenkeu!$AY$6:$AY$1005="Direkomendasikan",ROW($6:$1005)-5),960)))&gt;0,COUNTIF(INDIRECT("'KERTAS KERJA'!K"&amp;(SMALL(IF(checklistPesertaKemenkeu!$AY$6:$AY$1005="Direkomendasikan",ROW($6:$1005)-5),960)+5)&amp;":O"&amp;(SMALL(IF(checklistPesertaKemenkeu!$AY$6:$AY$1005="Direkomendasikan",ROW($6:$1005)-5),960)+5)),INDEX(checklistPesertaKemenkeu!$L$6:$L$1005,SMALL(IF(checklistPesertaKemenkeu!$AY$6:$AY$1005="Direkomendasikan",ROW($6:$1005)-5),960)))=1),IFERROR(VLOOKUP(INDEX(checklistPesertaKemenkeu!$L$6:$L$1005,SMALL(IF(checklistPesertaKemenkeu!$AY$6:$AY$1005="Direkomendasikan",ROW($6:$1005)-5),960)),KotaKode,2,0),"-"),"")),"")</f>
        <v/>
      </c>
      <c r="I961" t="str">
        <f t="array" aca="1" ref="I961" ca="1">IFERROR(IF(OR(INDEX(checklistPesertaKemenkeu!$M$6:$M$1005,SMALL(IF(checklistPesertaKemenkeu!$AY$6:$AY$1005="Direkomendasikan",ROW($6:$1005)-5),960))="",INDEX(checklistPesertaKemenkeu!$J$6:$J$1005,SMALL(IF(checklistPesertaKemenkeu!$AY$6:$AY$1005="Direkomendasikan",ROW($6:$1005)-5),960))=""),"",IF(AND(COUNTIF(INDIRECT("K_"&amp;MATCH(INDEX(checklistPesertaKemenkeu!$J$6:$J$1005,SMALL(IF(checklistPesertaKemenkeu!$AY$6:$AY$1005="Direkomendasikan",ROW($6:$1005)-5),960)),BidangList,0)),INDEX(checklistPesertaKemenkeu!$M$6:$M$1005,SMALL(IF(checklistPesertaKemenkeu!$AY$6:$AY$1005="Direkomendasikan",ROW($6:$1005)-5),960)))&gt;0,COUNTIF(INDIRECT("'KERTAS KERJA'!K"&amp;(SMALL(IF(checklistPesertaKemenkeu!$AY$6:$AY$1005="Direkomendasikan",ROW($6:$1005)-5),960)+5)&amp;":O"&amp;(SMALL(IF(checklistPesertaKemenkeu!$AY$6:$AY$1005="Direkomendasikan",ROW($6:$1005)-5),960)+5)),INDEX(checklistPesertaKemenkeu!$M$6:$M$1005,SMALL(IF(checklistPesertaKemenkeu!$AY$6:$AY$1005="Direkomendasikan",ROW($6:$1005)-5),960)))=1),IFERROR(VLOOKUP(INDEX(checklistPesertaKemenkeu!$M$6:$M$1005,SMALL(IF(checklistPesertaKemenkeu!$AY$6:$AY$1005="Direkomendasikan",ROW($6:$1005)-5),960)),KotaKode,2,0),"-"),"")),"")</f>
        <v/>
      </c>
      <c r="J961" t="str">
        <f t="array" aca="1" ref="J961" ca="1">IFERROR(IF(OR(INDEX(checklistPesertaKemenkeu!$N$6:$N$1005,SMALL(IF(checklistPesertaKemenkeu!$AY$6:$AY$1005="Direkomendasikan",ROW($6:$1005)-5),960))="",INDEX(checklistPesertaKemenkeu!$J$6:$J$1005,SMALL(IF(checklistPesertaKemenkeu!$AY$6:$AY$1005="Direkomendasikan",ROW($6:$1005)-5),960))=""),"",IF(AND(COUNTIF(INDIRECT("K_"&amp;MATCH(INDEX(checklistPesertaKemenkeu!$J$6:$J$1005,SMALL(IF(checklistPesertaKemenkeu!$AY$6:$AY$1005="Direkomendasikan",ROW($6:$1005)-5),960)),BidangList,0)),INDEX(checklistPesertaKemenkeu!$N$6:$N$1005,SMALL(IF(checklistPesertaKemenkeu!$AY$6:$AY$1005="Direkomendasikan",ROW($6:$1005)-5),960)))&gt;0,COUNTIF(INDIRECT("'KERTAS KERJA'!K"&amp;(SMALL(IF(checklistPesertaKemenkeu!$AY$6:$AY$1005="Direkomendasikan",ROW($6:$1005)-5),960)+5)&amp;":O"&amp;(SMALL(IF(checklistPesertaKemenkeu!$AY$6:$AY$1005="Direkomendasikan",ROW($6:$1005)-5),960)+5)),INDEX(checklistPesertaKemenkeu!$N$6:$N$1005,SMALL(IF(checklistPesertaKemenkeu!$AY$6:$AY$1005="Direkomendasikan",ROW($6:$1005)-5),960)))=1),IFERROR(VLOOKUP(INDEX(checklistPesertaKemenkeu!$N$6:$N$1005,SMALL(IF(checklistPesertaKemenkeu!$AY$6:$AY$1005="Direkomendasikan",ROW($6:$1005)-5),960)),KotaKode,2,0),"-"),"")),"")</f>
        <v/>
      </c>
      <c r="K961" t="str">
        <f t="array" aca="1" ref="K961" ca="1">IFERROR(IF(OR(INDEX(checklistPesertaKemenkeu!$O$6:$O$1005,SMALL(IF(checklistPesertaKemenkeu!$AY$6:$AY$1005="Direkomendasikan",ROW($6:$1005)-5),960))="",INDEX(checklistPesertaKemenkeu!$J$6:$J$1005,SMALL(IF(checklistPesertaKemenkeu!$AY$6:$AY$1005="Direkomendasikan",ROW($6:$1005)-5),960))=""),"",IF(AND(COUNTIF(INDIRECT("K_"&amp;MATCH(INDEX(checklistPesertaKemenkeu!$J$6:$J$1005,SMALL(IF(checklistPesertaKemenkeu!$AY$6:$AY$1005="Direkomendasikan",ROW($6:$1005)-5),960)),BidangList,0)),INDEX(checklistPesertaKemenkeu!$O$6:$O$1005,SMALL(IF(checklistPesertaKemenkeu!$AY$6:$AY$1005="Direkomendasikan",ROW($6:$1005)-5),960)))&gt;0,COUNTIF(INDIRECT("'KERTAS KERJA'!K"&amp;(SMALL(IF(checklistPesertaKemenkeu!$AY$6:$AY$1005="Direkomendasikan",ROW($6:$1005)-5),960)+5)&amp;":O"&amp;(SMALL(IF(checklistPesertaKemenkeu!$AY$6:$AY$1005="Direkomendasikan",ROW($6:$1005)-5),960)+5)),INDEX(checklistPesertaKemenkeu!$O$6:$O$1005,SMALL(IF(checklistPesertaKemenkeu!$AY$6:$AY$1005="Direkomendasikan",ROW($6:$1005)-5),960)))=1),IFERROR(VLOOKUP(INDEX(checklistPesertaKemenkeu!$O$6:$O$1005,SMALL(IF(checklistPesertaKemenkeu!$AY$6:$AY$1005="Direkomendasikan",ROW($6:$1005)-5),960)),KotaKode,2,0),"-"),"")),"")</f>
        <v/>
      </c>
      <c r="L961" t="str">
        <f t="array" aca="1" ref="L961" ca="1">IFERROR(IF(OR(INDEX(checklistPesertaKemenkeu!$P$6:$P$1005,SMALL(IF(checklistPesertaKemenkeu!$AY$6:$AY$1005="Direkomendasikan",ROW($6:$1005)-5),960))="",INDEX(checklistPesertaKemenkeu!$J$6:$J$1005,SMALL(IF(checklistPesertaKemenkeu!$AY$6:$AY$1005="Direkomendasikan",ROW($6:$1005)-5),960))=""),"",IF(AND(COUNTIF(INDIRECT("K_"&amp;MATCH(INDEX(checklistPesertaKemenkeu!$J$6:$J$1005,SMALL(IF(checklistPesertaKemenkeu!$AY$6:$AY$1005="Direkomendasikan",ROW($6:$1005)-5),960)),BidangList,0)),INDEX(checklistPesertaKemenkeu!$P$6:$P$1005,SMALL(IF(checklistPesertaKemenkeu!$AY$6:$AY$1005="Direkomendasikan",ROW($6:$1005)-5),960)))&gt;0,COUNTIF(INDIRECT("'KERTAS KERJA'!K"&amp;(SMALL(IF(checklistPesertaKemenkeu!$AY$6:$AY$1005="Direkomendasikan",ROW($6:$1005)-5),960)+5)&amp;":O"&amp;(SMALL(IF(checklistPesertaKemenkeu!$AY$6:$AY$1005="Direkomendasikan",ROW($6:$1005)-5),960)+5)),INDEX(checklistPesertaKemenkeu!$P$6:$P$1005,SMALL(IF(checklistPesertaKemenkeu!$AY$6:$AY$1005="Direkomendasikan",ROW($6:$1005)-5),960)))=1),IFERROR(VLOOKUP(INDEX(checklistPesertaKemenkeu!$P$6:$P$1005,SMALL(IF(checklistPesertaKemenkeu!$AY$6:$AY$1005="Direkomendasikan",ROW($6:$1005)-5),960)),KotaKode,2,0),"-"),"")),"")</f>
        <v/>
      </c>
    </row>
    <row r="962" spans="1:12" ht="15" customHeight="1" x14ac:dyDescent="0.2">
      <c r="A962" t="str">
        <f t="shared" ref="A962:A1001" si="15">IF(C962="","",ROW()-1)</f>
        <v/>
      </c>
      <c r="B962" t="str">
        <v/>
      </c>
      <c r="C962" s="40" t="str">
        <f t="array" ref="C962">IFERROR(INDEX(checklistPesertaKemenkeu!$F$6:$F$1005,SMALL(IF(checklistPesertaKemenkeu!$AY$6:$AY$1005="Direkomendasikan",ROW($6:$1005)-5),961)),"")</f>
        <v/>
      </c>
      <c r="D962" t="str">
        <f t="array" ref="D962">IFERROR(INDEX(checklistPesertaKemenkeu!$G$6:$G$1005,SMALL(IF(checklistPesertaKemenkeu!$AY$6:$AY$1005="Direkomendasikan",ROW($6:$1005)-5),961)),"")</f>
        <v/>
      </c>
      <c r="E962" t="str">
        <f t="array" ref="E962">IFERROR(INDEX(checklistPesertaKemenkeu!$H$6:$H$1005,SMALL(IF(checklistPesertaKemenkeu!$AY$6:$AY$1005="Direkomendasikan",ROW($6:$1005)-5),961)),"")</f>
        <v/>
      </c>
      <c r="F962" t="str">
        <f t="array" ref="F962">IFERROR(INDEX(checklistPesertaKemenkeu!$I$6:$I$1005,SMALL(IF(checklistPesertaKemenkeu!$AY$6:$AY$1005="Direkomendasikan",ROW($6:$1005)-5),961)),"")</f>
        <v/>
      </c>
      <c r="G962" t="str">
        <f t="array" ref="G962">IFERROR(INDEX(checklistPesertaKemenkeu!$J$6:$J$1005,SMALL(IF(checklistPesertaKemenkeu!$AY$6:$AY$1005="Direkomendasikan",ROW($6:$1005)-5),961)),"")</f>
        <v/>
      </c>
      <c r="H962" t="str">
        <f t="array" aca="1" ref="H962" ca="1">IFERROR(IF(OR(INDEX(checklistPesertaKemenkeu!$L$6:$L$1005,SMALL(IF(checklistPesertaKemenkeu!$AY$6:$AY$1005="Direkomendasikan",ROW($6:$1005)-5),961))="",INDEX(checklistPesertaKemenkeu!$J$6:$J$1005,SMALL(IF(checklistPesertaKemenkeu!$AY$6:$AY$1005="Direkomendasikan",ROW($6:$1005)-5),961))=""),"",IF(AND(COUNTIF(INDIRECT("K_"&amp;MATCH(INDEX(checklistPesertaKemenkeu!$J$6:$J$1005,SMALL(IF(checklistPesertaKemenkeu!$AY$6:$AY$1005="Direkomendasikan",ROW($6:$1005)-5),961)),BidangList,0)),INDEX(checklistPesertaKemenkeu!$L$6:$L$1005,SMALL(IF(checklistPesertaKemenkeu!$AY$6:$AY$1005="Direkomendasikan",ROW($6:$1005)-5),961)))&gt;0,COUNTIF(INDIRECT("'KERTAS KERJA'!K"&amp;(SMALL(IF(checklistPesertaKemenkeu!$AY$6:$AY$1005="Direkomendasikan",ROW($6:$1005)-5),961)+5)&amp;":O"&amp;(SMALL(IF(checklistPesertaKemenkeu!$AY$6:$AY$1005="Direkomendasikan",ROW($6:$1005)-5),961)+5)),INDEX(checklistPesertaKemenkeu!$L$6:$L$1005,SMALL(IF(checklistPesertaKemenkeu!$AY$6:$AY$1005="Direkomendasikan",ROW($6:$1005)-5),961)))=1),IFERROR(VLOOKUP(INDEX(checklistPesertaKemenkeu!$L$6:$L$1005,SMALL(IF(checklistPesertaKemenkeu!$AY$6:$AY$1005="Direkomendasikan",ROW($6:$1005)-5),961)),KotaKode,2,0),"-"),"")),"")</f>
        <v/>
      </c>
      <c r="I962" t="str">
        <f t="array" aca="1" ref="I962" ca="1">IFERROR(IF(OR(INDEX(checklistPesertaKemenkeu!$M$6:$M$1005,SMALL(IF(checklistPesertaKemenkeu!$AY$6:$AY$1005="Direkomendasikan",ROW($6:$1005)-5),961))="",INDEX(checklistPesertaKemenkeu!$J$6:$J$1005,SMALL(IF(checklistPesertaKemenkeu!$AY$6:$AY$1005="Direkomendasikan",ROW($6:$1005)-5),961))=""),"",IF(AND(COUNTIF(INDIRECT("K_"&amp;MATCH(INDEX(checklistPesertaKemenkeu!$J$6:$J$1005,SMALL(IF(checklistPesertaKemenkeu!$AY$6:$AY$1005="Direkomendasikan",ROW($6:$1005)-5),961)),BidangList,0)),INDEX(checklistPesertaKemenkeu!$M$6:$M$1005,SMALL(IF(checklistPesertaKemenkeu!$AY$6:$AY$1005="Direkomendasikan",ROW($6:$1005)-5),961)))&gt;0,COUNTIF(INDIRECT("'KERTAS KERJA'!K"&amp;(SMALL(IF(checklistPesertaKemenkeu!$AY$6:$AY$1005="Direkomendasikan",ROW($6:$1005)-5),961)+5)&amp;":O"&amp;(SMALL(IF(checklistPesertaKemenkeu!$AY$6:$AY$1005="Direkomendasikan",ROW($6:$1005)-5),961)+5)),INDEX(checklistPesertaKemenkeu!$M$6:$M$1005,SMALL(IF(checklistPesertaKemenkeu!$AY$6:$AY$1005="Direkomendasikan",ROW($6:$1005)-5),961)))=1),IFERROR(VLOOKUP(INDEX(checklistPesertaKemenkeu!$M$6:$M$1005,SMALL(IF(checklistPesertaKemenkeu!$AY$6:$AY$1005="Direkomendasikan",ROW($6:$1005)-5),961)),KotaKode,2,0),"-"),"")),"")</f>
        <v/>
      </c>
      <c r="J962" t="str">
        <f t="array" aca="1" ref="J962" ca="1">IFERROR(IF(OR(INDEX(checklistPesertaKemenkeu!$N$6:$N$1005,SMALL(IF(checklistPesertaKemenkeu!$AY$6:$AY$1005="Direkomendasikan",ROW($6:$1005)-5),961))="",INDEX(checklistPesertaKemenkeu!$J$6:$J$1005,SMALL(IF(checklistPesertaKemenkeu!$AY$6:$AY$1005="Direkomendasikan",ROW($6:$1005)-5),961))=""),"",IF(AND(COUNTIF(INDIRECT("K_"&amp;MATCH(INDEX(checklistPesertaKemenkeu!$J$6:$J$1005,SMALL(IF(checklistPesertaKemenkeu!$AY$6:$AY$1005="Direkomendasikan",ROW($6:$1005)-5),961)),BidangList,0)),INDEX(checklistPesertaKemenkeu!$N$6:$N$1005,SMALL(IF(checklistPesertaKemenkeu!$AY$6:$AY$1005="Direkomendasikan",ROW($6:$1005)-5),961)))&gt;0,COUNTIF(INDIRECT("'KERTAS KERJA'!K"&amp;(SMALL(IF(checklistPesertaKemenkeu!$AY$6:$AY$1005="Direkomendasikan",ROW($6:$1005)-5),961)+5)&amp;":O"&amp;(SMALL(IF(checklistPesertaKemenkeu!$AY$6:$AY$1005="Direkomendasikan",ROW($6:$1005)-5),961)+5)),INDEX(checklistPesertaKemenkeu!$N$6:$N$1005,SMALL(IF(checklistPesertaKemenkeu!$AY$6:$AY$1005="Direkomendasikan",ROW($6:$1005)-5),961)))=1),IFERROR(VLOOKUP(INDEX(checklistPesertaKemenkeu!$N$6:$N$1005,SMALL(IF(checklistPesertaKemenkeu!$AY$6:$AY$1005="Direkomendasikan",ROW($6:$1005)-5),961)),KotaKode,2,0),"-"),"")),"")</f>
        <v/>
      </c>
      <c r="K962" t="str">
        <f t="array" aca="1" ref="K962" ca="1">IFERROR(IF(OR(INDEX(checklistPesertaKemenkeu!$O$6:$O$1005,SMALL(IF(checklistPesertaKemenkeu!$AY$6:$AY$1005="Direkomendasikan",ROW($6:$1005)-5),961))="",INDEX(checklistPesertaKemenkeu!$J$6:$J$1005,SMALL(IF(checklistPesertaKemenkeu!$AY$6:$AY$1005="Direkomendasikan",ROW($6:$1005)-5),961))=""),"",IF(AND(COUNTIF(INDIRECT("K_"&amp;MATCH(INDEX(checklistPesertaKemenkeu!$J$6:$J$1005,SMALL(IF(checklistPesertaKemenkeu!$AY$6:$AY$1005="Direkomendasikan",ROW($6:$1005)-5),961)),BidangList,0)),INDEX(checklistPesertaKemenkeu!$O$6:$O$1005,SMALL(IF(checklistPesertaKemenkeu!$AY$6:$AY$1005="Direkomendasikan",ROW($6:$1005)-5),961)))&gt;0,COUNTIF(INDIRECT("'KERTAS KERJA'!K"&amp;(SMALL(IF(checklistPesertaKemenkeu!$AY$6:$AY$1005="Direkomendasikan",ROW($6:$1005)-5),961)+5)&amp;":O"&amp;(SMALL(IF(checklistPesertaKemenkeu!$AY$6:$AY$1005="Direkomendasikan",ROW($6:$1005)-5),961)+5)),INDEX(checklistPesertaKemenkeu!$O$6:$O$1005,SMALL(IF(checklistPesertaKemenkeu!$AY$6:$AY$1005="Direkomendasikan",ROW($6:$1005)-5),961)))=1),IFERROR(VLOOKUP(INDEX(checklistPesertaKemenkeu!$O$6:$O$1005,SMALL(IF(checklistPesertaKemenkeu!$AY$6:$AY$1005="Direkomendasikan",ROW($6:$1005)-5),961)),KotaKode,2,0),"-"),"")),"")</f>
        <v/>
      </c>
      <c r="L962" t="str">
        <f t="array" aca="1" ref="L962" ca="1">IFERROR(IF(OR(INDEX(checklistPesertaKemenkeu!$P$6:$P$1005,SMALL(IF(checklistPesertaKemenkeu!$AY$6:$AY$1005="Direkomendasikan",ROW($6:$1005)-5),961))="",INDEX(checklistPesertaKemenkeu!$J$6:$J$1005,SMALL(IF(checklistPesertaKemenkeu!$AY$6:$AY$1005="Direkomendasikan",ROW($6:$1005)-5),961))=""),"",IF(AND(COUNTIF(INDIRECT("K_"&amp;MATCH(INDEX(checklistPesertaKemenkeu!$J$6:$J$1005,SMALL(IF(checklistPesertaKemenkeu!$AY$6:$AY$1005="Direkomendasikan",ROW($6:$1005)-5),961)),BidangList,0)),INDEX(checklistPesertaKemenkeu!$P$6:$P$1005,SMALL(IF(checklistPesertaKemenkeu!$AY$6:$AY$1005="Direkomendasikan",ROW($6:$1005)-5),961)))&gt;0,COUNTIF(INDIRECT("'KERTAS KERJA'!K"&amp;(SMALL(IF(checklistPesertaKemenkeu!$AY$6:$AY$1005="Direkomendasikan",ROW($6:$1005)-5),961)+5)&amp;":O"&amp;(SMALL(IF(checklistPesertaKemenkeu!$AY$6:$AY$1005="Direkomendasikan",ROW($6:$1005)-5),961)+5)),INDEX(checklistPesertaKemenkeu!$P$6:$P$1005,SMALL(IF(checklistPesertaKemenkeu!$AY$6:$AY$1005="Direkomendasikan",ROW($6:$1005)-5),961)))=1),IFERROR(VLOOKUP(INDEX(checklistPesertaKemenkeu!$P$6:$P$1005,SMALL(IF(checklistPesertaKemenkeu!$AY$6:$AY$1005="Direkomendasikan",ROW($6:$1005)-5),961)),KotaKode,2,0),"-"),"")),"")</f>
        <v/>
      </c>
    </row>
    <row r="963" spans="1:12" ht="15" customHeight="1" x14ac:dyDescent="0.2">
      <c r="A963" t="str">
        <f t="shared" si="15"/>
        <v/>
      </c>
      <c r="B963" t="str">
        <v/>
      </c>
      <c r="C963" s="40" t="str">
        <f t="array" ref="C963">IFERROR(INDEX(checklistPesertaKemenkeu!$F$6:$F$1005,SMALL(IF(checklistPesertaKemenkeu!$AY$6:$AY$1005="Direkomendasikan",ROW($6:$1005)-5),962)),"")</f>
        <v/>
      </c>
      <c r="D963" t="str">
        <f t="array" ref="D963">IFERROR(INDEX(checklistPesertaKemenkeu!$G$6:$G$1005,SMALL(IF(checklistPesertaKemenkeu!$AY$6:$AY$1005="Direkomendasikan",ROW($6:$1005)-5),962)),"")</f>
        <v/>
      </c>
      <c r="E963" t="str">
        <f t="array" ref="E963">IFERROR(INDEX(checklistPesertaKemenkeu!$H$6:$H$1005,SMALL(IF(checklistPesertaKemenkeu!$AY$6:$AY$1005="Direkomendasikan",ROW($6:$1005)-5),962)),"")</f>
        <v/>
      </c>
      <c r="F963" t="str">
        <f t="array" ref="F963">IFERROR(INDEX(checklistPesertaKemenkeu!$I$6:$I$1005,SMALL(IF(checklistPesertaKemenkeu!$AY$6:$AY$1005="Direkomendasikan",ROW($6:$1005)-5),962)),"")</f>
        <v/>
      </c>
      <c r="G963" t="str">
        <f t="array" ref="G963">IFERROR(INDEX(checklistPesertaKemenkeu!$J$6:$J$1005,SMALL(IF(checklistPesertaKemenkeu!$AY$6:$AY$1005="Direkomendasikan",ROW($6:$1005)-5),962)),"")</f>
        <v/>
      </c>
      <c r="H963" t="str">
        <f t="array" aca="1" ref="H963" ca="1">IFERROR(IF(OR(INDEX(checklistPesertaKemenkeu!$L$6:$L$1005,SMALL(IF(checklistPesertaKemenkeu!$AY$6:$AY$1005="Direkomendasikan",ROW($6:$1005)-5),962))="",INDEX(checklistPesertaKemenkeu!$J$6:$J$1005,SMALL(IF(checklistPesertaKemenkeu!$AY$6:$AY$1005="Direkomendasikan",ROW($6:$1005)-5),962))=""),"",IF(AND(COUNTIF(INDIRECT("K_"&amp;MATCH(INDEX(checklistPesertaKemenkeu!$J$6:$J$1005,SMALL(IF(checklistPesertaKemenkeu!$AY$6:$AY$1005="Direkomendasikan",ROW($6:$1005)-5),962)),BidangList,0)),INDEX(checklistPesertaKemenkeu!$L$6:$L$1005,SMALL(IF(checklistPesertaKemenkeu!$AY$6:$AY$1005="Direkomendasikan",ROW($6:$1005)-5),962)))&gt;0,COUNTIF(INDIRECT("'KERTAS KERJA'!K"&amp;(SMALL(IF(checklistPesertaKemenkeu!$AY$6:$AY$1005="Direkomendasikan",ROW($6:$1005)-5),962)+5)&amp;":O"&amp;(SMALL(IF(checklistPesertaKemenkeu!$AY$6:$AY$1005="Direkomendasikan",ROW($6:$1005)-5),962)+5)),INDEX(checklistPesertaKemenkeu!$L$6:$L$1005,SMALL(IF(checklistPesertaKemenkeu!$AY$6:$AY$1005="Direkomendasikan",ROW($6:$1005)-5),962)))=1),IFERROR(VLOOKUP(INDEX(checklistPesertaKemenkeu!$L$6:$L$1005,SMALL(IF(checklistPesertaKemenkeu!$AY$6:$AY$1005="Direkomendasikan",ROW($6:$1005)-5),962)),KotaKode,2,0),"-"),"")),"")</f>
        <v/>
      </c>
      <c r="I963" t="str">
        <f t="array" aca="1" ref="I963" ca="1">IFERROR(IF(OR(INDEX(checklistPesertaKemenkeu!$M$6:$M$1005,SMALL(IF(checklistPesertaKemenkeu!$AY$6:$AY$1005="Direkomendasikan",ROW($6:$1005)-5),962))="",INDEX(checklistPesertaKemenkeu!$J$6:$J$1005,SMALL(IF(checklistPesertaKemenkeu!$AY$6:$AY$1005="Direkomendasikan",ROW($6:$1005)-5),962))=""),"",IF(AND(COUNTIF(INDIRECT("K_"&amp;MATCH(INDEX(checklistPesertaKemenkeu!$J$6:$J$1005,SMALL(IF(checklistPesertaKemenkeu!$AY$6:$AY$1005="Direkomendasikan",ROW($6:$1005)-5),962)),BidangList,0)),INDEX(checklistPesertaKemenkeu!$M$6:$M$1005,SMALL(IF(checklistPesertaKemenkeu!$AY$6:$AY$1005="Direkomendasikan",ROW($6:$1005)-5),962)))&gt;0,COUNTIF(INDIRECT("'KERTAS KERJA'!K"&amp;(SMALL(IF(checklistPesertaKemenkeu!$AY$6:$AY$1005="Direkomendasikan",ROW($6:$1005)-5),962)+5)&amp;":O"&amp;(SMALL(IF(checklistPesertaKemenkeu!$AY$6:$AY$1005="Direkomendasikan",ROW($6:$1005)-5),962)+5)),INDEX(checklistPesertaKemenkeu!$M$6:$M$1005,SMALL(IF(checklistPesertaKemenkeu!$AY$6:$AY$1005="Direkomendasikan",ROW($6:$1005)-5),962)))=1),IFERROR(VLOOKUP(INDEX(checklistPesertaKemenkeu!$M$6:$M$1005,SMALL(IF(checklistPesertaKemenkeu!$AY$6:$AY$1005="Direkomendasikan",ROW($6:$1005)-5),962)),KotaKode,2,0),"-"),"")),"")</f>
        <v/>
      </c>
      <c r="J963" t="str">
        <f t="array" aca="1" ref="J963" ca="1">IFERROR(IF(OR(INDEX(checklistPesertaKemenkeu!$N$6:$N$1005,SMALL(IF(checklistPesertaKemenkeu!$AY$6:$AY$1005="Direkomendasikan",ROW($6:$1005)-5),962))="",INDEX(checklistPesertaKemenkeu!$J$6:$J$1005,SMALL(IF(checklistPesertaKemenkeu!$AY$6:$AY$1005="Direkomendasikan",ROW($6:$1005)-5),962))=""),"",IF(AND(COUNTIF(INDIRECT("K_"&amp;MATCH(INDEX(checklistPesertaKemenkeu!$J$6:$J$1005,SMALL(IF(checklistPesertaKemenkeu!$AY$6:$AY$1005="Direkomendasikan",ROW($6:$1005)-5),962)),BidangList,0)),INDEX(checklistPesertaKemenkeu!$N$6:$N$1005,SMALL(IF(checklistPesertaKemenkeu!$AY$6:$AY$1005="Direkomendasikan",ROW($6:$1005)-5),962)))&gt;0,COUNTIF(INDIRECT("'KERTAS KERJA'!K"&amp;(SMALL(IF(checklistPesertaKemenkeu!$AY$6:$AY$1005="Direkomendasikan",ROW($6:$1005)-5),962)+5)&amp;":O"&amp;(SMALL(IF(checklistPesertaKemenkeu!$AY$6:$AY$1005="Direkomendasikan",ROW($6:$1005)-5),962)+5)),INDEX(checklistPesertaKemenkeu!$N$6:$N$1005,SMALL(IF(checklistPesertaKemenkeu!$AY$6:$AY$1005="Direkomendasikan",ROW($6:$1005)-5),962)))=1),IFERROR(VLOOKUP(INDEX(checklistPesertaKemenkeu!$N$6:$N$1005,SMALL(IF(checklistPesertaKemenkeu!$AY$6:$AY$1005="Direkomendasikan",ROW($6:$1005)-5),962)),KotaKode,2,0),"-"),"")),"")</f>
        <v/>
      </c>
      <c r="K963" t="str">
        <f t="array" aca="1" ref="K963" ca="1">IFERROR(IF(OR(INDEX(checklistPesertaKemenkeu!$O$6:$O$1005,SMALL(IF(checklistPesertaKemenkeu!$AY$6:$AY$1005="Direkomendasikan",ROW($6:$1005)-5),962))="",INDEX(checklistPesertaKemenkeu!$J$6:$J$1005,SMALL(IF(checklistPesertaKemenkeu!$AY$6:$AY$1005="Direkomendasikan",ROW($6:$1005)-5),962))=""),"",IF(AND(COUNTIF(INDIRECT("K_"&amp;MATCH(INDEX(checklistPesertaKemenkeu!$J$6:$J$1005,SMALL(IF(checklistPesertaKemenkeu!$AY$6:$AY$1005="Direkomendasikan",ROW($6:$1005)-5),962)),BidangList,0)),INDEX(checklistPesertaKemenkeu!$O$6:$O$1005,SMALL(IF(checklistPesertaKemenkeu!$AY$6:$AY$1005="Direkomendasikan",ROW($6:$1005)-5),962)))&gt;0,COUNTIF(INDIRECT("'KERTAS KERJA'!K"&amp;(SMALL(IF(checklistPesertaKemenkeu!$AY$6:$AY$1005="Direkomendasikan",ROW($6:$1005)-5),962)+5)&amp;":O"&amp;(SMALL(IF(checklistPesertaKemenkeu!$AY$6:$AY$1005="Direkomendasikan",ROW($6:$1005)-5),962)+5)),INDEX(checklistPesertaKemenkeu!$O$6:$O$1005,SMALL(IF(checklistPesertaKemenkeu!$AY$6:$AY$1005="Direkomendasikan",ROW($6:$1005)-5),962)))=1),IFERROR(VLOOKUP(INDEX(checklistPesertaKemenkeu!$O$6:$O$1005,SMALL(IF(checklistPesertaKemenkeu!$AY$6:$AY$1005="Direkomendasikan",ROW($6:$1005)-5),962)),KotaKode,2,0),"-"),"")),"")</f>
        <v/>
      </c>
      <c r="L963" t="str">
        <f t="array" aca="1" ref="L963" ca="1">IFERROR(IF(OR(INDEX(checklistPesertaKemenkeu!$P$6:$P$1005,SMALL(IF(checklistPesertaKemenkeu!$AY$6:$AY$1005="Direkomendasikan",ROW($6:$1005)-5),962))="",INDEX(checklistPesertaKemenkeu!$J$6:$J$1005,SMALL(IF(checklistPesertaKemenkeu!$AY$6:$AY$1005="Direkomendasikan",ROW($6:$1005)-5),962))=""),"",IF(AND(COUNTIF(INDIRECT("K_"&amp;MATCH(INDEX(checklistPesertaKemenkeu!$J$6:$J$1005,SMALL(IF(checklistPesertaKemenkeu!$AY$6:$AY$1005="Direkomendasikan",ROW($6:$1005)-5),962)),BidangList,0)),INDEX(checklistPesertaKemenkeu!$P$6:$P$1005,SMALL(IF(checklistPesertaKemenkeu!$AY$6:$AY$1005="Direkomendasikan",ROW($6:$1005)-5),962)))&gt;0,COUNTIF(INDIRECT("'KERTAS KERJA'!K"&amp;(SMALL(IF(checklistPesertaKemenkeu!$AY$6:$AY$1005="Direkomendasikan",ROW($6:$1005)-5),962)+5)&amp;":O"&amp;(SMALL(IF(checklistPesertaKemenkeu!$AY$6:$AY$1005="Direkomendasikan",ROW($6:$1005)-5),962)+5)),INDEX(checklistPesertaKemenkeu!$P$6:$P$1005,SMALL(IF(checklistPesertaKemenkeu!$AY$6:$AY$1005="Direkomendasikan",ROW($6:$1005)-5),962)))=1),IFERROR(VLOOKUP(INDEX(checklistPesertaKemenkeu!$P$6:$P$1005,SMALL(IF(checklistPesertaKemenkeu!$AY$6:$AY$1005="Direkomendasikan",ROW($6:$1005)-5),962)),KotaKode,2,0),"-"),"")),"")</f>
        <v/>
      </c>
    </row>
    <row r="964" spans="1:12" ht="15" customHeight="1" x14ac:dyDescent="0.2">
      <c r="A964" t="str">
        <f t="shared" si="15"/>
        <v/>
      </c>
      <c r="B964" t="str">
        <v/>
      </c>
      <c r="C964" s="40" t="str">
        <f t="array" ref="C964">IFERROR(INDEX(checklistPesertaKemenkeu!$F$6:$F$1005,SMALL(IF(checklistPesertaKemenkeu!$AY$6:$AY$1005="Direkomendasikan",ROW($6:$1005)-5),963)),"")</f>
        <v/>
      </c>
      <c r="D964" t="str">
        <f t="array" ref="D964">IFERROR(INDEX(checklistPesertaKemenkeu!$G$6:$G$1005,SMALL(IF(checklistPesertaKemenkeu!$AY$6:$AY$1005="Direkomendasikan",ROW($6:$1005)-5),963)),"")</f>
        <v/>
      </c>
      <c r="E964" t="str">
        <f t="array" ref="E964">IFERROR(INDEX(checklistPesertaKemenkeu!$H$6:$H$1005,SMALL(IF(checklistPesertaKemenkeu!$AY$6:$AY$1005="Direkomendasikan",ROW($6:$1005)-5),963)),"")</f>
        <v/>
      </c>
      <c r="F964" t="str">
        <f t="array" ref="F964">IFERROR(INDEX(checklistPesertaKemenkeu!$I$6:$I$1005,SMALL(IF(checklistPesertaKemenkeu!$AY$6:$AY$1005="Direkomendasikan",ROW($6:$1005)-5),963)),"")</f>
        <v/>
      </c>
      <c r="G964" t="str">
        <f t="array" ref="G964">IFERROR(INDEX(checklistPesertaKemenkeu!$J$6:$J$1005,SMALL(IF(checklistPesertaKemenkeu!$AY$6:$AY$1005="Direkomendasikan",ROW($6:$1005)-5),963)),"")</f>
        <v/>
      </c>
      <c r="H964" t="str">
        <f t="array" aca="1" ref="H964" ca="1">IFERROR(IF(OR(INDEX(checklistPesertaKemenkeu!$L$6:$L$1005,SMALL(IF(checklistPesertaKemenkeu!$AY$6:$AY$1005="Direkomendasikan",ROW($6:$1005)-5),963))="",INDEX(checklistPesertaKemenkeu!$J$6:$J$1005,SMALL(IF(checklistPesertaKemenkeu!$AY$6:$AY$1005="Direkomendasikan",ROW($6:$1005)-5),963))=""),"",IF(AND(COUNTIF(INDIRECT("K_"&amp;MATCH(INDEX(checklistPesertaKemenkeu!$J$6:$J$1005,SMALL(IF(checklistPesertaKemenkeu!$AY$6:$AY$1005="Direkomendasikan",ROW($6:$1005)-5),963)),BidangList,0)),INDEX(checklistPesertaKemenkeu!$L$6:$L$1005,SMALL(IF(checklistPesertaKemenkeu!$AY$6:$AY$1005="Direkomendasikan",ROW($6:$1005)-5),963)))&gt;0,COUNTIF(INDIRECT("'KERTAS KERJA'!K"&amp;(SMALL(IF(checklistPesertaKemenkeu!$AY$6:$AY$1005="Direkomendasikan",ROW($6:$1005)-5),963)+5)&amp;":O"&amp;(SMALL(IF(checklistPesertaKemenkeu!$AY$6:$AY$1005="Direkomendasikan",ROW($6:$1005)-5),963)+5)),INDEX(checklistPesertaKemenkeu!$L$6:$L$1005,SMALL(IF(checklistPesertaKemenkeu!$AY$6:$AY$1005="Direkomendasikan",ROW($6:$1005)-5),963)))=1),IFERROR(VLOOKUP(INDEX(checklistPesertaKemenkeu!$L$6:$L$1005,SMALL(IF(checklistPesertaKemenkeu!$AY$6:$AY$1005="Direkomendasikan",ROW($6:$1005)-5),963)),KotaKode,2,0),"-"),"")),"")</f>
        <v/>
      </c>
      <c r="I964" t="str">
        <f t="array" aca="1" ref="I964" ca="1">IFERROR(IF(OR(INDEX(checklistPesertaKemenkeu!$M$6:$M$1005,SMALL(IF(checklistPesertaKemenkeu!$AY$6:$AY$1005="Direkomendasikan",ROW($6:$1005)-5),963))="",INDEX(checklistPesertaKemenkeu!$J$6:$J$1005,SMALL(IF(checklistPesertaKemenkeu!$AY$6:$AY$1005="Direkomendasikan",ROW($6:$1005)-5),963))=""),"",IF(AND(COUNTIF(INDIRECT("K_"&amp;MATCH(INDEX(checklistPesertaKemenkeu!$J$6:$J$1005,SMALL(IF(checklistPesertaKemenkeu!$AY$6:$AY$1005="Direkomendasikan",ROW($6:$1005)-5),963)),BidangList,0)),INDEX(checklistPesertaKemenkeu!$M$6:$M$1005,SMALL(IF(checklistPesertaKemenkeu!$AY$6:$AY$1005="Direkomendasikan",ROW($6:$1005)-5),963)))&gt;0,COUNTIF(INDIRECT("'KERTAS KERJA'!K"&amp;(SMALL(IF(checklistPesertaKemenkeu!$AY$6:$AY$1005="Direkomendasikan",ROW($6:$1005)-5),963)+5)&amp;":O"&amp;(SMALL(IF(checklistPesertaKemenkeu!$AY$6:$AY$1005="Direkomendasikan",ROW($6:$1005)-5),963)+5)),INDEX(checklistPesertaKemenkeu!$M$6:$M$1005,SMALL(IF(checklistPesertaKemenkeu!$AY$6:$AY$1005="Direkomendasikan",ROW($6:$1005)-5),963)))=1),IFERROR(VLOOKUP(INDEX(checklistPesertaKemenkeu!$M$6:$M$1005,SMALL(IF(checklistPesertaKemenkeu!$AY$6:$AY$1005="Direkomendasikan",ROW($6:$1005)-5),963)),KotaKode,2,0),"-"),"")),"")</f>
        <v/>
      </c>
      <c r="J964" t="str">
        <f t="array" aca="1" ref="J964" ca="1">IFERROR(IF(OR(INDEX(checklistPesertaKemenkeu!$N$6:$N$1005,SMALL(IF(checklistPesertaKemenkeu!$AY$6:$AY$1005="Direkomendasikan",ROW($6:$1005)-5),963))="",INDEX(checklistPesertaKemenkeu!$J$6:$J$1005,SMALL(IF(checklistPesertaKemenkeu!$AY$6:$AY$1005="Direkomendasikan",ROW($6:$1005)-5),963))=""),"",IF(AND(COUNTIF(INDIRECT("K_"&amp;MATCH(INDEX(checklistPesertaKemenkeu!$J$6:$J$1005,SMALL(IF(checklistPesertaKemenkeu!$AY$6:$AY$1005="Direkomendasikan",ROW($6:$1005)-5),963)),BidangList,0)),INDEX(checklistPesertaKemenkeu!$N$6:$N$1005,SMALL(IF(checklistPesertaKemenkeu!$AY$6:$AY$1005="Direkomendasikan",ROW($6:$1005)-5),963)))&gt;0,COUNTIF(INDIRECT("'KERTAS KERJA'!K"&amp;(SMALL(IF(checklistPesertaKemenkeu!$AY$6:$AY$1005="Direkomendasikan",ROW($6:$1005)-5),963)+5)&amp;":O"&amp;(SMALL(IF(checklistPesertaKemenkeu!$AY$6:$AY$1005="Direkomendasikan",ROW($6:$1005)-5),963)+5)),INDEX(checklistPesertaKemenkeu!$N$6:$N$1005,SMALL(IF(checklistPesertaKemenkeu!$AY$6:$AY$1005="Direkomendasikan",ROW($6:$1005)-5),963)))=1),IFERROR(VLOOKUP(INDEX(checklistPesertaKemenkeu!$N$6:$N$1005,SMALL(IF(checklistPesertaKemenkeu!$AY$6:$AY$1005="Direkomendasikan",ROW($6:$1005)-5),963)),KotaKode,2,0),"-"),"")),"")</f>
        <v/>
      </c>
      <c r="K964" t="str">
        <f t="array" aca="1" ref="K964" ca="1">IFERROR(IF(OR(INDEX(checklistPesertaKemenkeu!$O$6:$O$1005,SMALL(IF(checklistPesertaKemenkeu!$AY$6:$AY$1005="Direkomendasikan",ROW($6:$1005)-5),963))="",INDEX(checklistPesertaKemenkeu!$J$6:$J$1005,SMALL(IF(checklistPesertaKemenkeu!$AY$6:$AY$1005="Direkomendasikan",ROW($6:$1005)-5),963))=""),"",IF(AND(COUNTIF(INDIRECT("K_"&amp;MATCH(INDEX(checklistPesertaKemenkeu!$J$6:$J$1005,SMALL(IF(checklistPesertaKemenkeu!$AY$6:$AY$1005="Direkomendasikan",ROW($6:$1005)-5),963)),BidangList,0)),INDEX(checklistPesertaKemenkeu!$O$6:$O$1005,SMALL(IF(checklistPesertaKemenkeu!$AY$6:$AY$1005="Direkomendasikan",ROW($6:$1005)-5),963)))&gt;0,COUNTIF(INDIRECT("'KERTAS KERJA'!K"&amp;(SMALL(IF(checklistPesertaKemenkeu!$AY$6:$AY$1005="Direkomendasikan",ROW($6:$1005)-5),963)+5)&amp;":O"&amp;(SMALL(IF(checklistPesertaKemenkeu!$AY$6:$AY$1005="Direkomendasikan",ROW($6:$1005)-5),963)+5)),INDEX(checklistPesertaKemenkeu!$O$6:$O$1005,SMALL(IF(checklistPesertaKemenkeu!$AY$6:$AY$1005="Direkomendasikan",ROW($6:$1005)-5),963)))=1),IFERROR(VLOOKUP(INDEX(checklistPesertaKemenkeu!$O$6:$O$1005,SMALL(IF(checklistPesertaKemenkeu!$AY$6:$AY$1005="Direkomendasikan",ROW($6:$1005)-5),963)),KotaKode,2,0),"-"),"")),"")</f>
        <v/>
      </c>
      <c r="L964" t="str">
        <f t="array" aca="1" ref="L964" ca="1">IFERROR(IF(OR(INDEX(checklistPesertaKemenkeu!$P$6:$P$1005,SMALL(IF(checklistPesertaKemenkeu!$AY$6:$AY$1005="Direkomendasikan",ROW($6:$1005)-5),963))="",INDEX(checklistPesertaKemenkeu!$J$6:$J$1005,SMALL(IF(checklistPesertaKemenkeu!$AY$6:$AY$1005="Direkomendasikan",ROW($6:$1005)-5),963))=""),"",IF(AND(COUNTIF(INDIRECT("K_"&amp;MATCH(INDEX(checklistPesertaKemenkeu!$J$6:$J$1005,SMALL(IF(checklistPesertaKemenkeu!$AY$6:$AY$1005="Direkomendasikan",ROW($6:$1005)-5),963)),BidangList,0)),INDEX(checklistPesertaKemenkeu!$P$6:$P$1005,SMALL(IF(checklistPesertaKemenkeu!$AY$6:$AY$1005="Direkomendasikan",ROW($6:$1005)-5),963)))&gt;0,COUNTIF(INDIRECT("'KERTAS KERJA'!K"&amp;(SMALL(IF(checklistPesertaKemenkeu!$AY$6:$AY$1005="Direkomendasikan",ROW($6:$1005)-5),963)+5)&amp;":O"&amp;(SMALL(IF(checklistPesertaKemenkeu!$AY$6:$AY$1005="Direkomendasikan",ROW($6:$1005)-5),963)+5)),INDEX(checklistPesertaKemenkeu!$P$6:$P$1005,SMALL(IF(checklistPesertaKemenkeu!$AY$6:$AY$1005="Direkomendasikan",ROW($6:$1005)-5),963)))=1),IFERROR(VLOOKUP(INDEX(checklistPesertaKemenkeu!$P$6:$P$1005,SMALL(IF(checklistPesertaKemenkeu!$AY$6:$AY$1005="Direkomendasikan",ROW($6:$1005)-5),963)),KotaKode,2,0),"-"),"")),"")</f>
        <v/>
      </c>
    </row>
    <row r="965" spans="1:12" ht="15" customHeight="1" x14ac:dyDescent="0.2">
      <c r="A965" t="str">
        <f t="shared" si="15"/>
        <v/>
      </c>
      <c r="B965" t="str">
        <v/>
      </c>
      <c r="C965" s="40" t="str">
        <f t="array" ref="C965">IFERROR(INDEX(checklistPesertaKemenkeu!$F$6:$F$1005,SMALL(IF(checklistPesertaKemenkeu!$AY$6:$AY$1005="Direkomendasikan",ROW($6:$1005)-5),964)),"")</f>
        <v/>
      </c>
      <c r="D965" t="str">
        <f t="array" ref="D965">IFERROR(INDEX(checklistPesertaKemenkeu!$G$6:$G$1005,SMALL(IF(checklistPesertaKemenkeu!$AY$6:$AY$1005="Direkomendasikan",ROW($6:$1005)-5),964)),"")</f>
        <v/>
      </c>
      <c r="E965" t="str">
        <f t="array" ref="E965">IFERROR(INDEX(checklistPesertaKemenkeu!$H$6:$H$1005,SMALL(IF(checklistPesertaKemenkeu!$AY$6:$AY$1005="Direkomendasikan",ROW($6:$1005)-5),964)),"")</f>
        <v/>
      </c>
      <c r="F965" t="str">
        <f t="array" ref="F965">IFERROR(INDEX(checklistPesertaKemenkeu!$I$6:$I$1005,SMALL(IF(checklistPesertaKemenkeu!$AY$6:$AY$1005="Direkomendasikan",ROW($6:$1005)-5),964)),"")</f>
        <v/>
      </c>
      <c r="G965" t="str">
        <f t="array" ref="G965">IFERROR(INDEX(checklistPesertaKemenkeu!$J$6:$J$1005,SMALL(IF(checklistPesertaKemenkeu!$AY$6:$AY$1005="Direkomendasikan",ROW($6:$1005)-5),964)),"")</f>
        <v/>
      </c>
      <c r="H965" t="str">
        <f t="array" aca="1" ref="H965" ca="1">IFERROR(IF(OR(INDEX(checklistPesertaKemenkeu!$L$6:$L$1005,SMALL(IF(checklistPesertaKemenkeu!$AY$6:$AY$1005="Direkomendasikan",ROW($6:$1005)-5),964))="",INDEX(checklistPesertaKemenkeu!$J$6:$J$1005,SMALL(IF(checklistPesertaKemenkeu!$AY$6:$AY$1005="Direkomendasikan",ROW($6:$1005)-5),964))=""),"",IF(AND(COUNTIF(INDIRECT("K_"&amp;MATCH(INDEX(checklistPesertaKemenkeu!$J$6:$J$1005,SMALL(IF(checklistPesertaKemenkeu!$AY$6:$AY$1005="Direkomendasikan",ROW($6:$1005)-5),964)),BidangList,0)),INDEX(checklistPesertaKemenkeu!$L$6:$L$1005,SMALL(IF(checklistPesertaKemenkeu!$AY$6:$AY$1005="Direkomendasikan",ROW($6:$1005)-5),964)))&gt;0,COUNTIF(INDIRECT("'KERTAS KERJA'!K"&amp;(SMALL(IF(checklistPesertaKemenkeu!$AY$6:$AY$1005="Direkomendasikan",ROW($6:$1005)-5),964)+5)&amp;":O"&amp;(SMALL(IF(checklistPesertaKemenkeu!$AY$6:$AY$1005="Direkomendasikan",ROW($6:$1005)-5),964)+5)),INDEX(checklistPesertaKemenkeu!$L$6:$L$1005,SMALL(IF(checklistPesertaKemenkeu!$AY$6:$AY$1005="Direkomendasikan",ROW($6:$1005)-5),964)))=1),IFERROR(VLOOKUP(INDEX(checklistPesertaKemenkeu!$L$6:$L$1005,SMALL(IF(checklistPesertaKemenkeu!$AY$6:$AY$1005="Direkomendasikan",ROW($6:$1005)-5),964)),KotaKode,2,0),"-"),"")),"")</f>
        <v/>
      </c>
      <c r="I965" t="str">
        <f t="array" aca="1" ref="I965" ca="1">IFERROR(IF(OR(INDEX(checklistPesertaKemenkeu!$M$6:$M$1005,SMALL(IF(checklistPesertaKemenkeu!$AY$6:$AY$1005="Direkomendasikan",ROW($6:$1005)-5),964))="",INDEX(checklistPesertaKemenkeu!$J$6:$J$1005,SMALL(IF(checklistPesertaKemenkeu!$AY$6:$AY$1005="Direkomendasikan",ROW($6:$1005)-5),964))=""),"",IF(AND(COUNTIF(INDIRECT("K_"&amp;MATCH(INDEX(checklistPesertaKemenkeu!$J$6:$J$1005,SMALL(IF(checklistPesertaKemenkeu!$AY$6:$AY$1005="Direkomendasikan",ROW($6:$1005)-5),964)),BidangList,0)),INDEX(checklistPesertaKemenkeu!$M$6:$M$1005,SMALL(IF(checklistPesertaKemenkeu!$AY$6:$AY$1005="Direkomendasikan",ROW($6:$1005)-5),964)))&gt;0,COUNTIF(INDIRECT("'KERTAS KERJA'!K"&amp;(SMALL(IF(checklistPesertaKemenkeu!$AY$6:$AY$1005="Direkomendasikan",ROW($6:$1005)-5),964)+5)&amp;":O"&amp;(SMALL(IF(checklistPesertaKemenkeu!$AY$6:$AY$1005="Direkomendasikan",ROW($6:$1005)-5),964)+5)),INDEX(checklistPesertaKemenkeu!$M$6:$M$1005,SMALL(IF(checklistPesertaKemenkeu!$AY$6:$AY$1005="Direkomendasikan",ROW($6:$1005)-5),964)))=1),IFERROR(VLOOKUP(INDEX(checklistPesertaKemenkeu!$M$6:$M$1005,SMALL(IF(checklistPesertaKemenkeu!$AY$6:$AY$1005="Direkomendasikan",ROW($6:$1005)-5),964)),KotaKode,2,0),"-"),"")),"")</f>
        <v/>
      </c>
      <c r="J965" t="str">
        <f t="array" aca="1" ref="J965" ca="1">IFERROR(IF(OR(INDEX(checklistPesertaKemenkeu!$N$6:$N$1005,SMALL(IF(checklistPesertaKemenkeu!$AY$6:$AY$1005="Direkomendasikan",ROW($6:$1005)-5),964))="",INDEX(checklistPesertaKemenkeu!$J$6:$J$1005,SMALL(IF(checklistPesertaKemenkeu!$AY$6:$AY$1005="Direkomendasikan",ROW($6:$1005)-5),964))=""),"",IF(AND(COUNTIF(INDIRECT("K_"&amp;MATCH(INDEX(checklistPesertaKemenkeu!$J$6:$J$1005,SMALL(IF(checklistPesertaKemenkeu!$AY$6:$AY$1005="Direkomendasikan",ROW($6:$1005)-5),964)),BidangList,0)),INDEX(checklistPesertaKemenkeu!$N$6:$N$1005,SMALL(IF(checklistPesertaKemenkeu!$AY$6:$AY$1005="Direkomendasikan",ROW($6:$1005)-5),964)))&gt;0,COUNTIF(INDIRECT("'KERTAS KERJA'!K"&amp;(SMALL(IF(checklistPesertaKemenkeu!$AY$6:$AY$1005="Direkomendasikan",ROW($6:$1005)-5),964)+5)&amp;":O"&amp;(SMALL(IF(checklistPesertaKemenkeu!$AY$6:$AY$1005="Direkomendasikan",ROW($6:$1005)-5),964)+5)),INDEX(checklistPesertaKemenkeu!$N$6:$N$1005,SMALL(IF(checklistPesertaKemenkeu!$AY$6:$AY$1005="Direkomendasikan",ROW($6:$1005)-5),964)))=1),IFERROR(VLOOKUP(INDEX(checklistPesertaKemenkeu!$N$6:$N$1005,SMALL(IF(checklistPesertaKemenkeu!$AY$6:$AY$1005="Direkomendasikan",ROW($6:$1005)-5),964)),KotaKode,2,0),"-"),"")),"")</f>
        <v/>
      </c>
      <c r="K965" t="str">
        <f t="array" aca="1" ref="K965" ca="1">IFERROR(IF(OR(INDEX(checklistPesertaKemenkeu!$O$6:$O$1005,SMALL(IF(checklistPesertaKemenkeu!$AY$6:$AY$1005="Direkomendasikan",ROW($6:$1005)-5),964))="",INDEX(checklistPesertaKemenkeu!$J$6:$J$1005,SMALL(IF(checklistPesertaKemenkeu!$AY$6:$AY$1005="Direkomendasikan",ROW($6:$1005)-5),964))=""),"",IF(AND(COUNTIF(INDIRECT("K_"&amp;MATCH(INDEX(checklistPesertaKemenkeu!$J$6:$J$1005,SMALL(IF(checklistPesertaKemenkeu!$AY$6:$AY$1005="Direkomendasikan",ROW($6:$1005)-5),964)),BidangList,0)),INDEX(checklistPesertaKemenkeu!$O$6:$O$1005,SMALL(IF(checklistPesertaKemenkeu!$AY$6:$AY$1005="Direkomendasikan",ROW($6:$1005)-5),964)))&gt;0,COUNTIF(INDIRECT("'KERTAS KERJA'!K"&amp;(SMALL(IF(checklistPesertaKemenkeu!$AY$6:$AY$1005="Direkomendasikan",ROW($6:$1005)-5),964)+5)&amp;":O"&amp;(SMALL(IF(checklistPesertaKemenkeu!$AY$6:$AY$1005="Direkomendasikan",ROW($6:$1005)-5),964)+5)),INDEX(checklistPesertaKemenkeu!$O$6:$O$1005,SMALL(IF(checklistPesertaKemenkeu!$AY$6:$AY$1005="Direkomendasikan",ROW($6:$1005)-5),964)))=1),IFERROR(VLOOKUP(INDEX(checklistPesertaKemenkeu!$O$6:$O$1005,SMALL(IF(checklistPesertaKemenkeu!$AY$6:$AY$1005="Direkomendasikan",ROW($6:$1005)-5),964)),KotaKode,2,0),"-"),"")),"")</f>
        <v/>
      </c>
      <c r="L965" t="str">
        <f t="array" aca="1" ref="L965" ca="1">IFERROR(IF(OR(INDEX(checklistPesertaKemenkeu!$P$6:$P$1005,SMALL(IF(checklistPesertaKemenkeu!$AY$6:$AY$1005="Direkomendasikan",ROW($6:$1005)-5),964))="",INDEX(checklistPesertaKemenkeu!$J$6:$J$1005,SMALL(IF(checklistPesertaKemenkeu!$AY$6:$AY$1005="Direkomendasikan",ROW($6:$1005)-5),964))=""),"",IF(AND(COUNTIF(INDIRECT("K_"&amp;MATCH(INDEX(checklistPesertaKemenkeu!$J$6:$J$1005,SMALL(IF(checklistPesertaKemenkeu!$AY$6:$AY$1005="Direkomendasikan",ROW($6:$1005)-5),964)),BidangList,0)),INDEX(checklistPesertaKemenkeu!$P$6:$P$1005,SMALL(IF(checklistPesertaKemenkeu!$AY$6:$AY$1005="Direkomendasikan",ROW($6:$1005)-5),964)))&gt;0,COUNTIF(INDIRECT("'KERTAS KERJA'!K"&amp;(SMALL(IF(checklistPesertaKemenkeu!$AY$6:$AY$1005="Direkomendasikan",ROW($6:$1005)-5),964)+5)&amp;":O"&amp;(SMALL(IF(checklistPesertaKemenkeu!$AY$6:$AY$1005="Direkomendasikan",ROW($6:$1005)-5),964)+5)),INDEX(checklistPesertaKemenkeu!$P$6:$P$1005,SMALL(IF(checklistPesertaKemenkeu!$AY$6:$AY$1005="Direkomendasikan",ROW($6:$1005)-5),964)))=1),IFERROR(VLOOKUP(INDEX(checklistPesertaKemenkeu!$P$6:$P$1005,SMALL(IF(checklistPesertaKemenkeu!$AY$6:$AY$1005="Direkomendasikan",ROW($6:$1005)-5),964)),KotaKode,2,0),"-"),"")),"")</f>
        <v/>
      </c>
    </row>
    <row r="966" spans="1:12" ht="15" customHeight="1" x14ac:dyDescent="0.2">
      <c r="A966" t="str">
        <f t="shared" si="15"/>
        <v/>
      </c>
      <c r="B966" t="str">
        <v/>
      </c>
      <c r="C966" s="40" t="str">
        <f t="array" ref="C966">IFERROR(INDEX(checklistPesertaKemenkeu!$F$6:$F$1005,SMALL(IF(checklistPesertaKemenkeu!$AY$6:$AY$1005="Direkomendasikan",ROW($6:$1005)-5),965)),"")</f>
        <v/>
      </c>
      <c r="D966" t="str">
        <f t="array" ref="D966">IFERROR(INDEX(checklistPesertaKemenkeu!$G$6:$G$1005,SMALL(IF(checklistPesertaKemenkeu!$AY$6:$AY$1005="Direkomendasikan",ROW($6:$1005)-5),965)),"")</f>
        <v/>
      </c>
      <c r="E966" t="str">
        <f t="array" ref="E966">IFERROR(INDEX(checklistPesertaKemenkeu!$H$6:$H$1005,SMALL(IF(checklistPesertaKemenkeu!$AY$6:$AY$1005="Direkomendasikan",ROW($6:$1005)-5),965)),"")</f>
        <v/>
      </c>
      <c r="F966" t="str">
        <f t="array" ref="F966">IFERROR(INDEX(checklistPesertaKemenkeu!$I$6:$I$1005,SMALL(IF(checklistPesertaKemenkeu!$AY$6:$AY$1005="Direkomendasikan",ROW($6:$1005)-5),965)),"")</f>
        <v/>
      </c>
      <c r="G966" t="str">
        <f t="array" ref="G966">IFERROR(INDEX(checklistPesertaKemenkeu!$J$6:$J$1005,SMALL(IF(checklistPesertaKemenkeu!$AY$6:$AY$1005="Direkomendasikan",ROW($6:$1005)-5),965)),"")</f>
        <v/>
      </c>
      <c r="H966" t="str">
        <f t="array" aca="1" ref="H966" ca="1">IFERROR(IF(OR(INDEX(checklistPesertaKemenkeu!$L$6:$L$1005,SMALL(IF(checklistPesertaKemenkeu!$AY$6:$AY$1005="Direkomendasikan",ROW($6:$1005)-5),965))="",INDEX(checklistPesertaKemenkeu!$J$6:$J$1005,SMALL(IF(checklistPesertaKemenkeu!$AY$6:$AY$1005="Direkomendasikan",ROW($6:$1005)-5),965))=""),"",IF(AND(COUNTIF(INDIRECT("K_"&amp;MATCH(INDEX(checklistPesertaKemenkeu!$J$6:$J$1005,SMALL(IF(checklistPesertaKemenkeu!$AY$6:$AY$1005="Direkomendasikan",ROW($6:$1005)-5),965)),BidangList,0)),INDEX(checklistPesertaKemenkeu!$L$6:$L$1005,SMALL(IF(checklistPesertaKemenkeu!$AY$6:$AY$1005="Direkomendasikan",ROW($6:$1005)-5),965)))&gt;0,COUNTIF(INDIRECT("'KERTAS KERJA'!K"&amp;(SMALL(IF(checklistPesertaKemenkeu!$AY$6:$AY$1005="Direkomendasikan",ROW($6:$1005)-5),965)+5)&amp;":O"&amp;(SMALL(IF(checklistPesertaKemenkeu!$AY$6:$AY$1005="Direkomendasikan",ROW($6:$1005)-5),965)+5)),INDEX(checklistPesertaKemenkeu!$L$6:$L$1005,SMALL(IF(checklistPesertaKemenkeu!$AY$6:$AY$1005="Direkomendasikan",ROW($6:$1005)-5),965)))=1),IFERROR(VLOOKUP(INDEX(checklistPesertaKemenkeu!$L$6:$L$1005,SMALL(IF(checklistPesertaKemenkeu!$AY$6:$AY$1005="Direkomendasikan",ROW($6:$1005)-5),965)),KotaKode,2,0),"-"),"")),"")</f>
        <v/>
      </c>
      <c r="I966" t="str">
        <f t="array" aca="1" ref="I966" ca="1">IFERROR(IF(OR(INDEX(checklistPesertaKemenkeu!$M$6:$M$1005,SMALL(IF(checklistPesertaKemenkeu!$AY$6:$AY$1005="Direkomendasikan",ROW($6:$1005)-5),965))="",INDEX(checklistPesertaKemenkeu!$J$6:$J$1005,SMALL(IF(checklistPesertaKemenkeu!$AY$6:$AY$1005="Direkomendasikan",ROW($6:$1005)-5),965))=""),"",IF(AND(COUNTIF(INDIRECT("K_"&amp;MATCH(INDEX(checklistPesertaKemenkeu!$J$6:$J$1005,SMALL(IF(checklistPesertaKemenkeu!$AY$6:$AY$1005="Direkomendasikan",ROW($6:$1005)-5),965)),BidangList,0)),INDEX(checklistPesertaKemenkeu!$M$6:$M$1005,SMALL(IF(checklistPesertaKemenkeu!$AY$6:$AY$1005="Direkomendasikan",ROW($6:$1005)-5),965)))&gt;0,COUNTIF(INDIRECT("'KERTAS KERJA'!K"&amp;(SMALL(IF(checklistPesertaKemenkeu!$AY$6:$AY$1005="Direkomendasikan",ROW($6:$1005)-5),965)+5)&amp;":O"&amp;(SMALL(IF(checklistPesertaKemenkeu!$AY$6:$AY$1005="Direkomendasikan",ROW($6:$1005)-5),965)+5)),INDEX(checklistPesertaKemenkeu!$M$6:$M$1005,SMALL(IF(checklistPesertaKemenkeu!$AY$6:$AY$1005="Direkomendasikan",ROW($6:$1005)-5),965)))=1),IFERROR(VLOOKUP(INDEX(checklistPesertaKemenkeu!$M$6:$M$1005,SMALL(IF(checklistPesertaKemenkeu!$AY$6:$AY$1005="Direkomendasikan",ROW($6:$1005)-5),965)),KotaKode,2,0),"-"),"")),"")</f>
        <v/>
      </c>
      <c r="J966" t="str">
        <f t="array" aca="1" ref="J966" ca="1">IFERROR(IF(OR(INDEX(checklistPesertaKemenkeu!$N$6:$N$1005,SMALL(IF(checklistPesertaKemenkeu!$AY$6:$AY$1005="Direkomendasikan",ROW($6:$1005)-5),965))="",INDEX(checklistPesertaKemenkeu!$J$6:$J$1005,SMALL(IF(checklistPesertaKemenkeu!$AY$6:$AY$1005="Direkomendasikan",ROW($6:$1005)-5),965))=""),"",IF(AND(COUNTIF(INDIRECT("K_"&amp;MATCH(INDEX(checklistPesertaKemenkeu!$J$6:$J$1005,SMALL(IF(checklistPesertaKemenkeu!$AY$6:$AY$1005="Direkomendasikan",ROW($6:$1005)-5),965)),BidangList,0)),INDEX(checklistPesertaKemenkeu!$N$6:$N$1005,SMALL(IF(checklistPesertaKemenkeu!$AY$6:$AY$1005="Direkomendasikan",ROW($6:$1005)-5),965)))&gt;0,COUNTIF(INDIRECT("'KERTAS KERJA'!K"&amp;(SMALL(IF(checklistPesertaKemenkeu!$AY$6:$AY$1005="Direkomendasikan",ROW($6:$1005)-5),965)+5)&amp;":O"&amp;(SMALL(IF(checklistPesertaKemenkeu!$AY$6:$AY$1005="Direkomendasikan",ROW($6:$1005)-5),965)+5)),INDEX(checklistPesertaKemenkeu!$N$6:$N$1005,SMALL(IF(checklistPesertaKemenkeu!$AY$6:$AY$1005="Direkomendasikan",ROW($6:$1005)-5),965)))=1),IFERROR(VLOOKUP(INDEX(checklistPesertaKemenkeu!$N$6:$N$1005,SMALL(IF(checklistPesertaKemenkeu!$AY$6:$AY$1005="Direkomendasikan",ROW($6:$1005)-5),965)),KotaKode,2,0),"-"),"")),"")</f>
        <v/>
      </c>
      <c r="K966" t="str">
        <f t="array" aca="1" ref="K966" ca="1">IFERROR(IF(OR(INDEX(checklistPesertaKemenkeu!$O$6:$O$1005,SMALL(IF(checklistPesertaKemenkeu!$AY$6:$AY$1005="Direkomendasikan",ROW($6:$1005)-5),965))="",INDEX(checklistPesertaKemenkeu!$J$6:$J$1005,SMALL(IF(checklistPesertaKemenkeu!$AY$6:$AY$1005="Direkomendasikan",ROW($6:$1005)-5),965))=""),"",IF(AND(COUNTIF(INDIRECT("K_"&amp;MATCH(INDEX(checklistPesertaKemenkeu!$J$6:$J$1005,SMALL(IF(checklistPesertaKemenkeu!$AY$6:$AY$1005="Direkomendasikan",ROW($6:$1005)-5),965)),BidangList,0)),INDEX(checklistPesertaKemenkeu!$O$6:$O$1005,SMALL(IF(checklistPesertaKemenkeu!$AY$6:$AY$1005="Direkomendasikan",ROW($6:$1005)-5),965)))&gt;0,COUNTIF(INDIRECT("'KERTAS KERJA'!K"&amp;(SMALL(IF(checklistPesertaKemenkeu!$AY$6:$AY$1005="Direkomendasikan",ROW($6:$1005)-5),965)+5)&amp;":O"&amp;(SMALL(IF(checklistPesertaKemenkeu!$AY$6:$AY$1005="Direkomendasikan",ROW($6:$1005)-5),965)+5)),INDEX(checklistPesertaKemenkeu!$O$6:$O$1005,SMALL(IF(checklistPesertaKemenkeu!$AY$6:$AY$1005="Direkomendasikan",ROW($6:$1005)-5),965)))=1),IFERROR(VLOOKUP(INDEX(checklistPesertaKemenkeu!$O$6:$O$1005,SMALL(IF(checklistPesertaKemenkeu!$AY$6:$AY$1005="Direkomendasikan",ROW($6:$1005)-5),965)),KotaKode,2,0),"-"),"")),"")</f>
        <v/>
      </c>
      <c r="L966" t="str">
        <f t="array" aca="1" ref="L966" ca="1">IFERROR(IF(OR(INDEX(checklistPesertaKemenkeu!$P$6:$P$1005,SMALL(IF(checklistPesertaKemenkeu!$AY$6:$AY$1005="Direkomendasikan",ROW($6:$1005)-5),965))="",INDEX(checklistPesertaKemenkeu!$J$6:$J$1005,SMALL(IF(checklistPesertaKemenkeu!$AY$6:$AY$1005="Direkomendasikan",ROW($6:$1005)-5),965))=""),"",IF(AND(COUNTIF(INDIRECT("K_"&amp;MATCH(INDEX(checklistPesertaKemenkeu!$J$6:$J$1005,SMALL(IF(checklistPesertaKemenkeu!$AY$6:$AY$1005="Direkomendasikan",ROW($6:$1005)-5),965)),BidangList,0)),INDEX(checklistPesertaKemenkeu!$P$6:$P$1005,SMALL(IF(checklistPesertaKemenkeu!$AY$6:$AY$1005="Direkomendasikan",ROW($6:$1005)-5),965)))&gt;0,COUNTIF(INDIRECT("'KERTAS KERJA'!K"&amp;(SMALL(IF(checklistPesertaKemenkeu!$AY$6:$AY$1005="Direkomendasikan",ROW($6:$1005)-5),965)+5)&amp;":O"&amp;(SMALL(IF(checklistPesertaKemenkeu!$AY$6:$AY$1005="Direkomendasikan",ROW($6:$1005)-5),965)+5)),INDEX(checklistPesertaKemenkeu!$P$6:$P$1005,SMALL(IF(checklistPesertaKemenkeu!$AY$6:$AY$1005="Direkomendasikan",ROW($6:$1005)-5),965)))=1),IFERROR(VLOOKUP(INDEX(checklistPesertaKemenkeu!$P$6:$P$1005,SMALL(IF(checklistPesertaKemenkeu!$AY$6:$AY$1005="Direkomendasikan",ROW($6:$1005)-5),965)),KotaKode,2,0),"-"),"")),"")</f>
        <v/>
      </c>
    </row>
    <row r="967" spans="1:12" ht="15" customHeight="1" x14ac:dyDescent="0.2">
      <c r="A967" t="str">
        <f t="shared" si="15"/>
        <v/>
      </c>
      <c r="B967" t="str">
        <v/>
      </c>
      <c r="C967" s="40" t="str">
        <f t="array" ref="C967">IFERROR(INDEX(checklistPesertaKemenkeu!$F$6:$F$1005,SMALL(IF(checklistPesertaKemenkeu!$AY$6:$AY$1005="Direkomendasikan",ROW($6:$1005)-5),966)),"")</f>
        <v/>
      </c>
      <c r="D967" t="str">
        <f t="array" ref="D967">IFERROR(INDEX(checklistPesertaKemenkeu!$G$6:$G$1005,SMALL(IF(checklistPesertaKemenkeu!$AY$6:$AY$1005="Direkomendasikan",ROW($6:$1005)-5),966)),"")</f>
        <v/>
      </c>
      <c r="E967" t="str">
        <f t="array" ref="E967">IFERROR(INDEX(checklistPesertaKemenkeu!$H$6:$H$1005,SMALL(IF(checklistPesertaKemenkeu!$AY$6:$AY$1005="Direkomendasikan",ROW($6:$1005)-5),966)),"")</f>
        <v/>
      </c>
      <c r="F967" t="str">
        <f t="array" ref="F967">IFERROR(INDEX(checklistPesertaKemenkeu!$I$6:$I$1005,SMALL(IF(checklistPesertaKemenkeu!$AY$6:$AY$1005="Direkomendasikan",ROW($6:$1005)-5),966)),"")</f>
        <v/>
      </c>
      <c r="G967" t="str">
        <f t="array" ref="G967">IFERROR(INDEX(checklistPesertaKemenkeu!$J$6:$J$1005,SMALL(IF(checklistPesertaKemenkeu!$AY$6:$AY$1005="Direkomendasikan",ROW($6:$1005)-5),966)),"")</f>
        <v/>
      </c>
      <c r="H967" t="str">
        <f t="array" aca="1" ref="H967" ca="1">IFERROR(IF(OR(INDEX(checklistPesertaKemenkeu!$L$6:$L$1005,SMALL(IF(checklistPesertaKemenkeu!$AY$6:$AY$1005="Direkomendasikan",ROW($6:$1005)-5),966))="",INDEX(checklistPesertaKemenkeu!$J$6:$J$1005,SMALL(IF(checklistPesertaKemenkeu!$AY$6:$AY$1005="Direkomendasikan",ROW($6:$1005)-5),966))=""),"",IF(AND(COUNTIF(INDIRECT("K_"&amp;MATCH(INDEX(checklistPesertaKemenkeu!$J$6:$J$1005,SMALL(IF(checklistPesertaKemenkeu!$AY$6:$AY$1005="Direkomendasikan",ROW($6:$1005)-5),966)),BidangList,0)),INDEX(checklistPesertaKemenkeu!$L$6:$L$1005,SMALL(IF(checklistPesertaKemenkeu!$AY$6:$AY$1005="Direkomendasikan",ROW($6:$1005)-5),966)))&gt;0,COUNTIF(INDIRECT("'KERTAS KERJA'!K"&amp;(SMALL(IF(checklistPesertaKemenkeu!$AY$6:$AY$1005="Direkomendasikan",ROW($6:$1005)-5),966)+5)&amp;":O"&amp;(SMALL(IF(checklistPesertaKemenkeu!$AY$6:$AY$1005="Direkomendasikan",ROW($6:$1005)-5),966)+5)),INDEX(checklistPesertaKemenkeu!$L$6:$L$1005,SMALL(IF(checklistPesertaKemenkeu!$AY$6:$AY$1005="Direkomendasikan",ROW($6:$1005)-5),966)))=1),IFERROR(VLOOKUP(INDEX(checklistPesertaKemenkeu!$L$6:$L$1005,SMALL(IF(checklistPesertaKemenkeu!$AY$6:$AY$1005="Direkomendasikan",ROW($6:$1005)-5),966)),KotaKode,2,0),"-"),"")),"")</f>
        <v/>
      </c>
      <c r="I967" t="str">
        <f t="array" aca="1" ref="I967" ca="1">IFERROR(IF(OR(INDEX(checklistPesertaKemenkeu!$M$6:$M$1005,SMALL(IF(checklistPesertaKemenkeu!$AY$6:$AY$1005="Direkomendasikan",ROW($6:$1005)-5),966))="",INDEX(checklistPesertaKemenkeu!$J$6:$J$1005,SMALL(IF(checklistPesertaKemenkeu!$AY$6:$AY$1005="Direkomendasikan",ROW($6:$1005)-5),966))=""),"",IF(AND(COUNTIF(INDIRECT("K_"&amp;MATCH(INDEX(checklistPesertaKemenkeu!$J$6:$J$1005,SMALL(IF(checklistPesertaKemenkeu!$AY$6:$AY$1005="Direkomendasikan",ROW($6:$1005)-5),966)),BidangList,0)),INDEX(checklistPesertaKemenkeu!$M$6:$M$1005,SMALL(IF(checklistPesertaKemenkeu!$AY$6:$AY$1005="Direkomendasikan",ROW($6:$1005)-5),966)))&gt;0,COUNTIF(INDIRECT("'KERTAS KERJA'!K"&amp;(SMALL(IF(checklistPesertaKemenkeu!$AY$6:$AY$1005="Direkomendasikan",ROW($6:$1005)-5),966)+5)&amp;":O"&amp;(SMALL(IF(checklistPesertaKemenkeu!$AY$6:$AY$1005="Direkomendasikan",ROW($6:$1005)-5),966)+5)),INDEX(checklistPesertaKemenkeu!$M$6:$M$1005,SMALL(IF(checklistPesertaKemenkeu!$AY$6:$AY$1005="Direkomendasikan",ROW($6:$1005)-5),966)))=1),IFERROR(VLOOKUP(INDEX(checklistPesertaKemenkeu!$M$6:$M$1005,SMALL(IF(checklistPesertaKemenkeu!$AY$6:$AY$1005="Direkomendasikan",ROW($6:$1005)-5),966)),KotaKode,2,0),"-"),"")),"")</f>
        <v/>
      </c>
      <c r="J967" t="str">
        <f t="array" aca="1" ref="J967" ca="1">IFERROR(IF(OR(INDEX(checklistPesertaKemenkeu!$N$6:$N$1005,SMALL(IF(checklistPesertaKemenkeu!$AY$6:$AY$1005="Direkomendasikan",ROW($6:$1005)-5),966))="",INDEX(checklistPesertaKemenkeu!$J$6:$J$1005,SMALL(IF(checklistPesertaKemenkeu!$AY$6:$AY$1005="Direkomendasikan",ROW($6:$1005)-5),966))=""),"",IF(AND(COUNTIF(INDIRECT("K_"&amp;MATCH(INDEX(checklistPesertaKemenkeu!$J$6:$J$1005,SMALL(IF(checklistPesertaKemenkeu!$AY$6:$AY$1005="Direkomendasikan",ROW($6:$1005)-5),966)),BidangList,0)),INDEX(checklistPesertaKemenkeu!$N$6:$N$1005,SMALL(IF(checklistPesertaKemenkeu!$AY$6:$AY$1005="Direkomendasikan",ROW($6:$1005)-5),966)))&gt;0,COUNTIF(INDIRECT("'KERTAS KERJA'!K"&amp;(SMALL(IF(checklistPesertaKemenkeu!$AY$6:$AY$1005="Direkomendasikan",ROW($6:$1005)-5),966)+5)&amp;":O"&amp;(SMALL(IF(checklistPesertaKemenkeu!$AY$6:$AY$1005="Direkomendasikan",ROW($6:$1005)-5),966)+5)),INDEX(checklistPesertaKemenkeu!$N$6:$N$1005,SMALL(IF(checklistPesertaKemenkeu!$AY$6:$AY$1005="Direkomendasikan",ROW($6:$1005)-5),966)))=1),IFERROR(VLOOKUP(INDEX(checklistPesertaKemenkeu!$N$6:$N$1005,SMALL(IF(checklistPesertaKemenkeu!$AY$6:$AY$1005="Direkomendasikan",ROW($6:$1005)-5),966)),KotaKode,2,0),"-"),"")),"")</f>
        <v/>
      </c>
      <c r="K967" t="str">
        <f t="array" aca="1" ref="K967" ca="1">IFERROR(IF(OR(INDEX(checklistPesertaKemenkeu!$O$6:$O$1005,SMALL(IF(checklistPesertaKemenkeu!$AY$6:$AY$1005="Direkomendasikan",ROW($6:$1005)-5),966))="",INDEX(checklistPesertaKemenkeu!$J$6:$J$1005,SMALL(IF(checklistPesertaKemenkeu!$AY$6:$AY$1005="Direkomendasikan",ROW($6:$1005)-5),966))=""),"",IF(AND(COUNTIF(INDIRECT("K_"&amp;MATCH(INDEX(checklistPesertaKemenkeu!$J$6:$J$1005,SMALL(IF(checklistPesertaKemenkeu!$AY$6:$AY$1005="Direkomendasikan",ROW($6:$1005)-5),966)),BidangList,0)),INDEX(checklistPesertaKemenkeu!$O$6:$O$1005,SMALL(IF(checklistPesertaKemenkeu!$AY$6:$AY$1005="Direkomendasikan",ROW($6:$1005)-5),966)))&gt;0,COUNTIF(INDIRECT("'KERTAS KERJA'!K"&amp;(SMALL(IF(checklistPesertaKemenkeu!$AY$6:$AY$1005="Direkomendasikan",ROW($6:$1005)-5),966)+5)&amp;":O"&amp;(SMALL(IF(checklistPesertaKemenkeu!$AY$6:$AY$1005="Direkomendasikan",ROW($6:$1005)-5),966)+5)),INDEX(checklistPesertaKemenkeu!$O$6:$O$1005,SMALL(IF(checklistPesertaKemenkeu!$AY$6:$AY$1005="Direkomendasikan",ROW($6:$1005)-5),966)))=1),IFERROR(VLOOKUP(INDEX(checklistPesertaKemenkeu!$O$6:$O$1005,SMALL(IF(checklistPesertaKemenkeu!$AY$6:$AY$1005="Direkomendasikan",ROW($6:$1005)-5),966)),KotaKode,2,0),"-"),"")),"")</f>
        <v/>
      </c>
      <c r="L967" t="str">
        <f t="array" aca="1" ref="L967" ca="1">IFERROR(IF(OR(INDEX(checklistPesertaKemenkeu!$P$6:$P$1005,SMALL(IF(checklistPesertaKemenkeu!$AY$6:$AY$1005="Direkomendasikan",ROW($6:$1005)-5),966))="",INDEX(checklistPesertaKemenkeu!$J$6:$J$1005,SMALL(IF(checklistPesertaKemenkeu!$AY$6:$AY$1005="Direkomendasikan",ROW($6:$1005)-5),966))=""),"",IF(AND(COUNTIF(INDIRECT("K_"&amp;MATCH(INDEX(checklistPesertaKemenkeu!$J$6:$J$1005,SMALL(IF(checklistPesertaKemenkeu!$AY$6:$AY$1005="Direkomendasikan",ROW($6:$1005)-5),966)),BidangList,0)),INDEX(checklistPesertaKemenkeu!$P$6:$P$1005,SMALL(IF(checklistPesertaKemenkeu!$AY$6:$AY$1005="Direkomendasikan",ROW($6:$1005)-5),966)))&gt;0,COUNTIF(INDIRECT("'KERTAS KERJA'!K"&amp;(SMALL(IF(checklistPesertaKemenkeu!$AY$6:$AY$1005="Direkomendasikan",ROW($6:$1005)-5),966)+5)&amp;":O"&amp;(SMALL(IF(checklistPesertaKemenkeu!$AY$6:$AY$1005="Direkomendasikan",ROW($6:$1005)-5),966)+5)),INDEX(checklistPesertaKemenkeu!$P$6:$P$1005,SMALL(IF(checklistPesertaKemenkeu!$AY$6:$AY$1005="Direkomendasikan",ROW($6:$1005)-5),966)))=1),IFERROR(VLOOKUP(INDEX(checklistPesertaKemenkeu!$P$6:$P$1005,SMALL(IF(checklistPesertaKemenkeu!$AY$6:$AY$1005="Direkomendasikan",ROW($6:$1005)-5),966)),KotaKode,2,0),"-"),"")),"")</f>
        <v/>
      </c>
    </row>
    <row r="968" spans="1:12" ht="15" customHeight="1" x14ac:dyDescent="0.2">
      <c r="A968" t="str">
        <f t="shared" si="15"/>
        <v/>
      </c>
      <c r="B968" t="str">
        <v/>
      </c>
      <c r="C968" s="40" t="str">
        <f t="array" ref="C968">IFERROR(INDEX(checklistPesertaKemenkeu!$F$6:$F$1005,SMALL(IF(checklistPesertaKemenkeu!$AY$6:$AY$1005="Direkomendasikan",ROW($6:$1005)-5),967)),"")</f>
        <v/>
      </c>
      <c r="D968" t="str">
        <f t="array" ref="D968">IFERROR(INDEX(checklistPesertaKemenkeu!$G$6:$G$1005,SMALL(IF(checklistPesertaKemenkeu!$AY$6:$AY$1005="Direkomendasikan",ROW($6:$1005)-5),967)),"")</f>
        <v/>
      </c>
      <c r="E968" t="str">
        <f t="array" ref="E968">IFERROR(INDEX(checklistPesertaKemenkeu!$H$6:$H$1005,SMALL(IF(checklistPesertaKemenkeu!$AY$6:$AY$1005="Direkomendasikan",ROW($6:$1005)-5),967)),"")</f>
        <v/>
      </c>
      <c r="F968" t="str">
        <f t="array" ref="F968">IFERROR(INDEX(checklistPesertaKemenkeu!$I$6:$I$1005,SMALL(IF(checklistPesertaKemenkeu!$AY$6:$AY$1005="Direkomendasikan",ROW($6:$1005)-5),967)),"")</f>
        <v/>
      </c>
      <c r="G968" t="str">
        <f t="array" ref="G968">IFERROR(INDEX(checklistPesertaKemenkeu!$J$6:$J$1005,SMALL(IF(checklistPesertaKemenkeu!$AY$6:$AY$1005="Direkomendasikan",ROW($6:$1005)-5),967)),"")</f>
        <v/>
      </c>
      <c r="H968" t="str">
        <f t="array" aca="1" ref="H968" ca="1">IFERROR(IF(OR(INDEX(checklistPesertaKemenkeu!$L$6:$L$1005,SMALL(IF(checklistPesertaKemenkeu!$AY$6:$AY$1005="Direkomendasikan",ROW($6:$1005)-5),967))="",INDEX(checklistPesertaKemenkeu!$J$6:$J$1005,SMALL(IF(checklistPesertaKemenkeu!$AY$6:$AY$1005="Direkomendasikan",ROW($6:$1005)-5),967))=""),"",IF(AND(COUNTIF(INDIRECT("K_"&amp;MATCH(INDEX(checklistPesertaKemenkeu!$J$6:$J$1005,SMALL(IF(checklistPesertaKemenkeu!$AY$6:$AY$1005="Direkomendasikan",ROW($6:$1005)-5),967)),BidangList,0)),INDEX(checklistPesertaKemenkeu!$L$6:$L$1005,SMALL(IF(checklistPesertaKemenkeu!$AY$6:$AY$1005="Direkomendasikan",ROW($6:$1005)-5),967)))&gt;0,COUNTIF(INDIRECT("'KERTAS KERJA'!K"&amp;(SMALL(IF(checklistPesertaKemenkeu!$AY$6:$AY$1005="Direkomendasikan",ROW($6:$1005)-5),967)+5)&amp;":O"&amp;(SMALL(IF(checklistPesertaKemenkeu!$AY$6:$AY$1005="Direkomendasikan",ROW($6:$1005)-5),967)+5)),INDEX(checklistPesertaKemenkeu!$L$6:$L$1005,SMALL(IF(checklistPesertaKemenkeu!$AY$6:$AY$1005="Direkomendasikan",ROW($6:$1005)-5),967)))=1),IFERROR(VLOOKUP(INDEX(checklistPesertaKemenkeu!$L$6:$L$1005,SMALL(IF(checklistPesertaKemenkeu!$AY$6:$AY$1005="Direkomendasikan",ROW($6:$1005)-5),967)),KotaKode,2,0),"-"),"")),"")</f>
        <v/>
      </c>
      <c r="I968" t="str">
        <f t="array" aca="1" ref="I968" ca="1">IFERROR(IF(OR(INDEX(checklistPesertaKemenkeu!$M$6:$M$1005,SMALL(IF(checklistPesertaKemenkeu!$AY$6:$AY$1005="Direkomendasikan",ROW($6:$1005)-5),967))="",INDEX(checklistPesertaKemenkeu!$J$6:$J$1005,SMALL(IF(checklistPesertaKemenkeu!$AY$6:$AY$1005="Direkomendasikan",ROW($6:$1005)-5),967))=""),"",IF(AND(COUNTIF(INDIRECT("K_"&amp;MATCH(INDEX(checklistPesertaKemenkeu!$J$6:$J$1005,SMALL(IF(checklistPesertaKemenkeu!$AY$6:$AY$1005="Direkomendasikan",ROW($6:$1005)-5),967)),BidangList,0)),INDEX(checklistPesertaKemenkeu!$M$6:$M$1005,SMALL(IF(checklistPesertaKemenkeu!$AY$6:$AY$1005="Direkomendasikan",ROW($6:$1005)-5),967)))&gt;0,COUNTIF(INDIRECT("'KERTAS KERJA'!K"&amp;(SMALL(IF(checklistPesertaKemenkeu!$AY$6:$AY$1005="Direkomendasikan",ROW($6:$1005)-5),967)+5)&amp;":O"&amp;(SMALL(IF(checklistPesertaKemenkeu!$AY$6:$AY$1005="Direkomendasikan",ROW($6:$1005)-5),967)+5)),INDEX(checklistPesertaKemenkeu!$M$6:$M$1005,SMALL(IF(checklistPesertaKemenkeu!$AY$6:$AY$1005="Direkomendasikan",ROW($6:$1005)-5),967)))=1),IFERROR(VLOOKUP(INDEX(checklistPesertaKemenkeu!$M$6:$M$1005,SMALL(IF(checklistPesertaKemenkeu!$AY$6:$AY$1005="Direkomendasikan",ROW($6:$1005)-5),967)),KotaKode,2,0),"-"),"")),"")</f>
        <v/>
      </c>
      <c r="J968" t="str">
        <f t="array" aca="1" ref="J968" ca="1">IFERROR(IF(OR(INDEX(checklistPesertaKemenkeu!$N$6:$N$1005,SMALL(IF(checklistPesertaKemenkeu!$AY$6:$AY$1005="Direkomendasikan",ROW($6:$1005)-5),967))="",INDEX(checklistPesertaKemenkeu!$J$6:$J$1005,SMALL(IF(checklistPesertaKemenkeu!$AY$6:$AY$1005="Direkomendasikan",ROW($6:$1005)-5),967))=""),"",IF(AND(COUNTIF(INDIRECT("K_"&amp;MATCH(INDEX(checklistPesertaKemenkeu!$J$6:$J$1005,SMALL(IF(checklistPesertaKemenkeu!$AY$6:$AY$1005="Direkomendasikan",ROW($6:$1005)-5),967)),BidangList,0)),INDEX(checklistPesertaKemenkeu!$N$6:$N$1005,SMALL(IF(checklistPesertaKemenkeu!$AY$6:$AY$1005="Direkomendasikan",ROW($6:$1005)-5),967)))&gt;0,COUNTIF(INDIRECT("'KERTAS KERJA'!K"&amp;(SMALL(IF(checklistPesertaKemenkeu!$AY$6:$AY$1005="Direkomendasikan",ROW($6:$1005)-5),967)+5)&amp;":O"&amp;(SMALL(IF(checklistPesertaKemenkeu!$AY$6:$AY$1005="Direkomendasikan",ROW($6:$1005)-5),967)+5)),INDEX(checklistPesertaKemenkeu!$N$6:$N$1005,SMALL(IF(checklistPesertaKemenkeu!$AY$6:$AY$1005="Direkomendasikan",ROW($6:$1005)-5),967)))=1),IFERROR(VLOOKUP(INDEX(checklistPesertaKemenkeu!$N$6:$N$1005,SMALL(IF(checklistPesertaKemenkeu!$AY$6:$AY$1005="Direkomendasikan",ROW($6:$1005)-5),967)),KotaKode,2,0),"-"),"")),"")</f>
        <v/>
      </c>
      <c r="K968" t="str">
        <f t="array" aca="1" ref="K968" ca="1">IFERROR(IF(OR(INDEX(checklistPesertaKemenkeu!$O$6:$O$1005,SMALL(IF(checklistPesertaKemenkeu!$AY$6:$AY$1005="Direkomendasikan",ROW($6:$1005)-5),967))="",INDEX(checklistPesertaKemenkeu!$J$6:$J$1005,SMALL(IF(checklistPesertaKemenkeu!$AY$6:$AY$1005="Direkomendasikan",ROW($6:$1005)-5),967))=""),"",IF(AND(COUNTIF(INDIRECT("K_"&amp;MATCH(INDEX(checklistPesertaKemenkeu!$J$6:$J$1005,SMALL(IF(checklistPesertaKemenkeu!$AY$6:$AY$1005="Direkomendasikan",ROW($6:$1005)-5),967)),BidangList,0)),INDEX(checklistPesertaKemenkeu!$O$6:$O$1005,SMALL(IF(checklistPesertaKemenkeu!$AY$6:$AY$1005="Direkomendasikan",ROW($6:$1005)-5),967)))&gt;0,COUNTIF(INDIRECT("'KERTAS KERJA'!K"&amp;(SMALL(IF(checklistPesertaKemenkeu!$AY$6:$AY$1005="Direkomendasikan",ROW($6:$1005)-5),967)+5)&amp;":O"&amp;(SMALL(IF(checklistPesertaKemenkeu!$AY$6:$AY$1005="Direkomendasikan",ROW($6:$1005)-5),967)+5)),INDEX(checklistPesertaKemenkeu!$O$6:$O$1005,SMALL(IF(checklistPesertaKemenkeu!$AY$6:$AY$1005="Direkomendasikan",ROW($6:$1005)-5),967)))=1),IFERROR(VLOOKUP(INDEX(checklistPesertaKemenkeu!$O$6:$O$1005,SMALL(IF(checklistPesertaKemenkeu!$AY$6:$AY$1005="Direkomendasikan",ROW($6:$1005)-5),967)),KotaKode,2,0),"-"),"")),"")</f>
        <v/>
      </c>
      <c r="L968" t="str">
        <f t="array" aca="1" ref="L968" ca="1">IFERROR(IF(OR(INDEX(checklistPesertaKemenkeu!$P$6:$P$1005,SMALL(IF(checklistPesertaKemenkeu!$AY$6:$AY$1005="Direkomendasikan",ROW($6:$1005)-5),967))="",INDEX(checklistPesertaKemenkeu!$J$6:$J$1005,SMALL(IF(checklistPesertaKemenkeu!$AY$6:$AY$1005="Direkomendasikan",ROW($6:$1005)-5),967))=""),"",IF(AND(COUNTIF(INDIRECT("K_"&amp;MATCH(INDEX(checklistPesertaKemenkeu!$J$6:$J$1005,SMALL(IF(checklistPesertaKemenkeu!$AY$6:$AY$1005="Direkomendasikan",ROW($6:$1005)-5),967)),BidangList,0)),INDEX(checklistPesertaKemenkeu!$P$6:$P$1005,SMALL(IF(checklistPesertaKemenkeu!$AY$6:$AY$1005="Direkomendasikan",ROW($6:$1005)-5),967)))&gt;0,COUNTIF(INDIRECT("'KERTAS KERJA'!K"&amp;(SMALL(IF(checklistPesertaKemenkeu!$AY$6:$AY$1005="Direkomendasikan",ROW($6:$1005)-5),967)+5)&amp;":O"&amp;(SMALL(IF(checklistPesertaKemenkeu!$AY$6:$AY$1005="Direkomendasikan",ROW($6:$1005)-5),967)+5)),INDEX(checklistPesertaKemenkeu!$P$6:$P$1005,SMALL(IF(checklistPesertaKemenkeu!$AY$6:$AY$1005="Direkomendasikan",ROW($6:$1005)-5),967)))=1),IFERROR(VLOOKUP(INDEX(checklistPesertaKemenkeu!$P$6:$P$1005,SMALL(IF(checklistPesertaKemenkeu!$AY$6:$AY$1005="Direkomendasikan",ROW($6:$1005)-5),967)),KotaKode,2,0),"-"),"")),"")</f>
        <v/>
      </c>
    </row>
    <row r="969" spans="1:12" ht="15" customHeight="1" x14ac:dyDescent="0.2">
      <c r="A969" t="str">
        <f t="shared" si="15"/>
        <v/>
      </c>
      <c r="B969" t="str">
        <v/>
      </c>
      <c r="C969" s="40" t="str">
        <f t="array" ref="C969">IFERROR(INDEX(checklistPesertaKemenkeu!$F$6:$F$1005,SMALL(IF(checklistPesertaKemenkeu!$AY$6:$AY$1005="Direkomendasikan",ROW($6:$1005)-5),968)),"")</f>
        <v/>
      </c>
      <c r="D969" t="str">
        <f t="array" ref="D969">IFERROR(INDEX(checklistPesertaKemenkeu!$G$6:$G$1005,SMALL(IF(checklistPesertaKemenkeu!$AY$6:$AY$1005="Direkomendasikan",ROW($6:$1005)-5),968)),"")</f>
        <v/>
      </c>
      <c r="E969" t="str">
        <f t="array" ref="E969">IFERROR(INDEX(checklistPesertaKemenkeu!$H$6:$H$1005,SMALL(IF(checklistPesertaKemenkeu!$AY$6:$AY$1005="Direkomendasikan",ROW($6:$1005)-5),968)),"")</f>
        <v/>
      </c>
      <c r="F969" t="str">
        <f t="array" ref="F969">IFERROR(INDEX(checklistPesertaKemenkeu!$I$6:$I$1005,SMALL(IF(checklistPesertaKemenkeu!$AY$6:$AY$1005="Direkomendasikan",ROW($6:$1005)-5),968)),"")</f>
        <v/>
      </c>
      <c r="G969" t="str">
        <f t="array" ref="G969">IFERROR(INDEX(checklistPesertaKemenkeu!$J$6:$J$1005,SMALL(IF(checklistPesertaKemenkeu!$AY$6:$AY$1005="Direkomendasikan",ROW($6:$1005)-5),968)),"")</f>
        <v/>
      </c>
      <c r="H969" t="str">
        <f t="array" aca="1" ref="H969" ca="1">IFERROR(IF(OR(INDEX(checklistPesertaKemenkeu!$L$6:$L$1005,SMALL(IF(checklistPesertaKemenkeu!$AY$6:$AY$1005="Direkomendasikan",ROW($6:$1005)-5),968))="",INDEX(checklistPesertaKemenkeu!$J$6:$J$1005,SMALL(IF(checklistPesertaKemenkeu!$AY$6:$AY$1005="Direkomendasikan",ROW($6:$1005)-5),968))=""),"",IF(AND(COUNTIF(INDIRECT("K_"&amp;MATCH(INDEX(checklistPesertaKemenkeu!$J$6:$J$1005,SMALL(IF(checklistPesertaKemenkeu!$AY$6:$AY$1005="Direkomendasikan",ROW($6:$1005)-5),968)),BidangList,0)),INDEX(checklistPesertaKemenkeu!$L$6:$L$1005,SMALL(IF(checklistPesertaKemenkeu!$AY$6:$AY$1005="Direkomendasikan",ROW($6:$1005)-5),968)))&gt;0,COUNTIF(INDIRECT("'KERTAS KERJA'!K"&amp;(SMALL(IF(checklistPesertaKemenkeu!$AY$6:$AY$1005="Direkomendasikan",ROW($6:$1005)-5),968)+5)&amp;":O"&amp;(SMALL(IF(checklistPesertaKemenkeu!$AY$6:$AY$1005="Direkomendasikan",ROW($6:$1005)-5),968)+5)),INDEX(checklistPesertaKemenkeu!$L$6:$L$1005,SMALL(IF(checklistPesertaKemenkeu!$AY$6:$AY$1005="Direkomendasikan",ROW($6:$1005)-5),968)))=1),IFERROR(VLOOKUP(INDEX(checklistPesertaKemenkeu!$L$6:$L$1005,SMALL(IF(checklistPesertaKemenkeu!$AY$6:$AY$1005="Direkomendasikan",ROW($6:$1005)-5),968)),KotaKode,2,0),"-"),"")),"")</f>
        <v/>
      </c>
      <c r="I969" t="str">
        <f t="array" aca="1" ref="I969" ca="1">IFERROR(IF(OR(INDEX(checklistPesertaKemenkeu!$M$6:$M$1005,SMALL(IF(checklistPesertaKemenkeu!$AY$6:$AY$1005="Direkomendasikan",ROW($6:$1005)-5),968))="",INDEX(checklistPesertaKemenkeu!$J$6:$J$1005,SMALL(IF(checklistPesertaKemenkeu!$AY$6:$AY$1005="Direkomendasikan",ROW($6:$1005)-5),968))=""),"",IF(AND(COUNTIF(INDIRECT("K_"&amp;MATCH(INDEX(checklistPesertaKemenkeu!$J$6:$J$1005,SMALL(IF(checklistPesertaKemenkeu!$AY$6:$AY$1005="Direkomendasikan",ROW($6:$1005)-5),968)),BidangList,0)),INDEX(checklistPesertaKemenkeu!$M$6:$M$1005,SMALL(IF(checklistPesertaKemenkeu!$AY$6:$AY$1005="Direkomendasikan",ROW($6:$1005)-5),968)))&gt;0,COUNTIF(INDIRECT("'KERTAS KERJA'!K"&amp;(SMALL(IF(checklistPesertaKemenkeu!$AY$6:$AY$1005="Direkomendasikan",ROW($6:$1005)-5),968)+5)&amp;":O"&amp;(SMALL(IF(checklistPesertaKemenkeu!$AY$6:$AY$1005="Direkomendasikan",ROW($6:$1005)-5),968)+5)),INDEX(checklistPesertaKemenkeu!$M$6:$M$1005,SMALL(IF(checklistPesertaKemenkeu!$AY$6:$AY$1005="Direkomendasikan",ROW($6:$1005)-5),968)))=1),IFERROR(VLOOKUP(INDEX(checklistPesertaKemenkeu!$M$6:$M$1005,SMALL(IF(checklistPesertaKemenkeu!$AY$6:$AY$1005="Direkomendasikan",ROW($6:$1005)-5),968)),KotaKode,2,0),"-"),"")),"")</f>
        <v/>
      </c>
      <c r="J969" t="str">
        <f t="array" aca="1" ref="J969" ca="1">IFERROR(IF(OR(INDEX(checklistPesertaKemenkeu!$N$6:$N$1005,SMALL(IF(checklistPesertaKemenkeu!$AY$6:$AY$1005="Direkomendasikan",ROW($6:$1005)-5),968))="",INDEX(checklistPesertaKemenkeu!$J$6:$J$1005,SMALL(IF(checklistPesertaKemenkeu!$AY$6:$AY$1005="Direkomendasikan",ROW($6:$1005)-5),968))=""),"",IF(AND(COUNTIF(INDIRECT("K_"&amp;MATCH(INDEX(checklistPesertaKemenkeu!$J$6:$J$1005,SMALL(IF(checklistPesertaKemenkeu!$AY$6:$AY$1005="Direkomendasikan",ROW($6:$1005)-5),968)),BidangList,0)),INDEX(checklistPesertaKemenkeu!$N$6:$N$1005,SMALL(IF(checklistPesertaKemenkeu!$AY$6:$AY$1005="Direkomendasikan",ROW($6:$1005)-5),968)))&gt;0,COUNTIF(INDIRECT("'KERTAS KERJA'!K"&amp;(SMALL(IF(checklistPesertaKemenkeu!$AY$6:$AY$1005="Direkomendasikan",ROW($6:$1005)-5),968)+5)&amp;":O"&amp;(SMALL(IF(checklistPesertaKemenkeu!$AY$6:$AY$1005="Direkomendasikan",ROW($6:$1005)-5),968)+5)),INDEX(checklistPesertaKemenkeu!$N$6:$N$1005,SMALL(IF(checklistPesertaKemenkeu!$AY$6:$AY$1005="Direkomendasikan",ROW($6:$1005)-5),968)))=1),IFERROR(VLOOKUP(INDEX(checklistPesertaKemenkeu!$N$6:$N$1005,SMALL(IF(checklistPesertaKemenkeu!$AY$6:$AY$1005="Direkomendasikan",ROW($6:$1005)-5),968)),KotaKode,2,0),"-"),"")),"")</f>
        <v/>
      </c>
      <c r="K969" t="str">
        <f t="array" aca="1" ref="K969" ca="1">IFERROR(IF(OR(INDEX(checklistPesertaKemenkeu!$O$6:$O$1005,SMALL(IF(checklistPesertaKemenkeu!$AY$6:$AY$1005="Direkomendasikan",ROW($6:$1005)-5),968))="",INDEX(checklistPesertaKemenkeu!$J$6:$J$1005,SMALL(IF(checklistPesertaKemenkeu!$AY$6:$AY$1005="Direkomendasikan",ROW($6:$1005)-5),968))=""),"",IF(AND(COUNTIF(INDIRECT("K_"&amp;MATCH(INDEX(checklistPesertaKemenkeu!$J$6:$J$1005,SMALL(IF(checklistPesertaKemenkeu!$AY$6:$AY$1005="Direkomendasikan",ROW($6:$1005)-5),968)),BidangList,0)),INDEX(checklistPesertaKemenkeu!$O$6:$O$1005,SMALL(IF(checklistPesertaKemenkeu!$AY$6:$AY$1005="Direkomendasikan",ROW($6:$1005)-5),968)))&gt;0,COUNTIF(INDIRECT("'KERTAS KERJA'!K"&amp;(SMALL(IF(checklistPesertaKemenkeu!$AY$6:$AY$1005="Direkomendasikan",ROW($6:$1005)-5),968)+5)&amp;":O"&amp;(SMALL(IF(checklistPesertaKemenkeu!$AY$6:$AY$1005="Direkomendasikan",ROW($6:$1005)-5),968)+5)),INDEX(checklistPesertaKemenkeu!$O$6:$O$1005,SMALL(IF(checklistPesertaKemenkeu!$AY$6:$AY$1005="Direkomendasikan",ROW($6:$1005)-5),968)))=1),IFERROR(VLOOKUP(INDEX(checklistPesertaKemenkeu!$O$6:$O$1005,SMALL(IF(checklistPesertaKemenkeu!$AY$6:$AY$1005="Direkomendasikan",ROW($6:$1005)-5),968)),KotaKode,2,0),"-"),"")),"")</f>
        <v/>
      </c>
      <c r="L969" t="str">
        <f t="array" aca="1" ref="L969" ca="1">IFERROR(IF(OR(INDEX(checklistPesertaKemenkeu!$P$6:$P$1005,SMALL(IF(checklistPesertaKemenkeu!$AY$6:$AY$1005="Direkomendasikan",ROW($6:$1005)-5),968))="",INDEX(checklistPesertaKemenkeu!$J$6:$J$1005,SMALL(IF(checklistPesertaKemenkeu!$AY$6:$AY$1005="Direkomendasikan",ROW($6:$1005)-5),968))=""),"",IF(AND(COUNTIF(INDIRECT("K_"&amp;MATCH(INDEX(checklistPesertaKemenkeu!$J$6:$J$1005,SMALL(IF(checklistPesertaKemenkeu!$AY$6:$AY$1005="Direkomendasikan",ROW($6:$1005)-5),968)),BidangList,0)),INDEX(checklistPesertaKemenkeu!$P$6:$P$1005,SMALL(IF(checklistPesertaKemenkeu!$AY$6:$AY$1005="Direkomendasikan",ROW($6:$1005)-5),968)))&gt;0,COUNTIF(INDIRECT("'KERTAS KERJA'!K"&amp;(SMALL(IF(checklistPesertaKemenkeu!$AY$6:$AY$1005="Direkomendasikan",ROW($6:$1005)-5),968)+5)&amp;":O"&amp;(SMALL(IF(checklistPesertaKemenkeu!$AY$6:$AY$1005="Direkomendasikan",ROW($6:$1005)-5),968)+5)),INDEX(checklistPesertaKemenkeu!$P$6:$P$1005,SMALL(IF(checklistPesertaKemenkeu!$AY$6:$AY$1005="Direkomendasikan",ROW($6:$1005)-5),968)))=1),IFERROR(VLOOKUP(INDEX(checklistPesertaKemenkeu!$P$6:$P$1005,SMALL(IF(checklistPesertaKemenkeu!$AY$6:$AY$1005="Direkomendasikan",ROW($6:$1005)-5),968)),KotaKode,2,0),"-"),"")),"")</f>
        <v/>
      </c>
    </row>
    <row r="970" spans="1:12" ht="15" customHeight="1" x14ac:dyDescent="0.2">
      <c r="A970" t="str">
        <f t="shared" si="15"/>
        <v/>
      </c>
      <c r="B970" t="str">
        <v/>
      </c>
      <c r="C970" s="40" t="str">
        <f t="array" ref="C970">IFERROR(INDEX(checklistPesertaKemenkeu!$F$6:$F$1005,SMALL(IF(checklistPesertaKemenkeu!$AY$6:$AY$1005="Direkomendasikan",ROW($6:$1005)-5),969)),"")</f>
        <v/>
      </c>
      <c r="D970" t="str">
        <f t="array" ref="D970">IFERROR(INDEX(checklistPesertaKemenkeu!$G$6:$G$1005,SMALL(IF(checklistPesertaKemenkeu!$AY$6:$AY$1005="Direkomendasikan",ROW($6:$1005)-5),969)),"")</f>
        <v/>
      </c>
      <c r="E970" t="str">
        <f t="array" ref="E970">IFERROR(INDEX(checklistPesertaKemenkeu!$H$6:$H$1005,SMALL(IF(checklistPesertaKemenkeu!$AY$6:$AY$1005="Direkomendasikan",ROW($6:$1005)-5),969)),"")</f>
        <v/>
      </c>
      <c r="F970" t="str">
        <f t="array" ref="F970">IFERROR(INDEX(checklistPesertaKemenkeu!$I$6:$I$1005,SMALL(IF(checklistPesertaKemenkeu!$AY$6:$AY$1005="Direkomendasikan",ROW($6:$1005)-5),969)),"")</f>
        <v/>
      </c>
      <c r="G970" t="str">
        <f t="array" ref="G970">IFERROR(INDEX(checklistPesertaKemenkeu!$J$6:$J$1005,SMALL(IF(checklistPesertaKemenkeu!$AY$6:$AY$1005="Direkomendasikan",ROW($6:$1005)-5),969)),"")</f>
        <v/>
      </c>
      <c r="H970" t="str">
        <f t="array" aca="1" ref="H970" ca="1">IFERROR(IF(OR(INDEX(checklistPesertaKemenkeu!$L$6:$L$1005,SMALL(IF(checklistPesertaKemenkeu!$AY$6:$AY$1005="Direkomendasikan",ROW($6:$1005)-5),969))="",INDEX(checklistPesertaKemenkeu!$J$6:$J$1005,SMALL(IF(checklistPesertaKemenkeu!$AY$6:$AY$1005="Direkomendasikan",ROW($6:$1005)-5),969))=""),"",IF(AND(COUNTIF(INDIRECT("K_"&amp;MATCH(INDEX(checklistPesertaKemenkeu!$J$6:$J$1005,SMALL(IF(checklistPesertaKemenkeu!$AY$6:$AY$1005="Direkomendasikan",ROW($6:$1005)-5),969)),BidangList,0)),INDEX(checklistPesertaKemenkeu!$L$6:$L$1005,SMALL(IF(checklistPesertaKemenkeu!$AY$6:$AY$1005="Direkomendasikan",ROW($6:$1005)-5),969)))&gt;0,COUNTIF(INDIRECT("'KERTAS KERJA'!K"&amp;(SMALL(IF(checklistPesertaKemenkeu!$AY$6:$AY$1005="Direkomendasikan",ROW($6:$1005)-5),969)+5)&amp;":O"&amp;(SMALL(IF(checklistPesertaKemenkeu!$AY$6:$AY$1005="Direkomendasikan",ROW($6:$1005)-5),969)+5)),INDEX(checklistPesertaKemenkeu!$L$6:$L$1005,SMALL(IF(checklistPesertaKemenkeu!$AY$6:$AY$1005="Direkomendasikan",ROW($6:$1005)-5),969)))=1),IFERROR(VLOOKUP(INDEX(checklistPesertaKemenkeu!$L$6:$L$1005,SMALL(IF(checklistPesertaKemenkeu!$AY$6:$AY$1005="Direkomendasikan",ROW($6:$1005)-5),969)),KotaKode,2,0),"-"),"")),"")</f>
        <v/>
      </c>
      <c r="I970" t="str">
        <f t="array" aca="1" ref="I970" ca="1">IFERROR(IF(OR(INDEX(checklistPesertaKemenkeu!$M$6:$M$1005,SMALL(IF(checklistPesertaKemenkeu!$AY$6:$AY$1005="Direkomendasikan",ROW($6:$1005)-5),969))="",INDEX(checklistPesertaKemenkeu!$J$6:$J$1005,SMALL(IF(checklistPesertaKemenkeu!$AY$6:$AY$1005="Direkomendasikan",ROW($6:$1005)-5),969))=""),"",IF(AND(COUNTIF(INDIRECT("K_"&amp;MATCH(INDEX(checklistPesertaKemenkeu!$J$6:$J$1005,SMALL(IF(checklistPesertaKemenkeu!$AY$6:$AY$1005="Direkomendasikan",ROW($6:$1005)-5),969)),BidangList,0)),INDEX(checklistPesertaKemenkeu!$M$6:$M$1005,SMALL(IF(checklistPesertaKemenkeu!$AY$6:$AY$1005="Direkomendasikan",ROW($6:$1005)-5),969)))&gt;0,COUNTIF(INDIRECT("'KERTAS KERJA'!K"&amp;(SMALL(IF(checklistPesertaKemenkeu!$AY$6:$AY$1005="Direkomendasikan",ROW($6:$1005)-5),969)+5)&amp;":O"&amp;(SMALL(IF(checklistPesertaKemenkeu!$AY$6:$AY$1005="Direkomendasikan",ROW($6:$1005)-5),969)+5)),INDEX(checklistPesertaKemenkeu!$M$6:$M$1005,SMALL(IF(checklistPesertaKemenkeu!$AY$6:$AY$1005="Direkomendasikan",ROW($6:$1005)-5),969)))=1),IFERROR(VLOOKUP(INDEX(checklistPesertaKemenkeu!$M$6:$M$1005,SMALL(IF(checklistPesertaKemenkeu!$AY$6:$AY$1005="Direkomendasikan",ROW($6:$1005)-5),969)),KotaKode,2,0),"-"),"")),"")</f>
        <v/>
      </c>
      <c r="J970" t="str">
        <f t="array" aca="1" ref="J970" ca="1">IFERROR(IF(OR(INDEX(checklistPesertaKemenkeu!$N$6:$N$1005,SMALL(IF(checklistPesertaKemenkeu!$AY$6:$AY$1005="Direkomendasikan",ROW($6:$1005)-5),969))="",INDEX(checklistPesertaKemenkeu!$J$6:$J$1005,SMALL(IF(checklistPesertaKemenkeu!$AY$6:$AY$1005="Direkomendasikan",ROW($6:$1005)-5),969))=""),"",IF(AND(COUNTIF(INDIRECT("K_"&amp;MATCH(INDEX(checklistPesertaKemenkeu!$J$6:$J$1005,SMALL(IF(checklistPesertaKemenkeu!$AY$6:$AY$1005="Direkomendasikan",ROW($6:$1005)-5),969)),BidangList,0)),INDEX(checklistPesertaKemenkeu!$N$6:$N$1005,SMALL(IF(checklistPesertaKemenkeu!$AY$6:$AY$1005="Direkomendasikan",ROW($6:$1005)-5),969)))&gt;0,COUNTIF(INDIRECT("'KERTAS KERJA'!K"&amp;(SMALL(IF(checklistPesertaKemenkeu!$AY$6:$AY$1005="Direkomendasikan",ROW($6:$1005)-5),969)+5)&amp;":O"&amp;(SMALL(IF(checklistPesertaKemenkeu!$AY$6:$AY$1005="Direkomendasikan",ROW($6:$1005)-5),969)+5)),INDEX(checklistPesertaKemenkeu!$N$6:$N$1005,SMALL(IF(checklistPesertaKemenkeu!$AY$6:$AY$1005="Direkomendasikan",ROW($6:$1005)-5),969)))=1),IFERROR(VLOOKUP(INDEX(checklistPesertaKemenkeu!$N$6:$N$1005,SMALL(IF(checklistPesertaKemenkeu!$AY$6:$AY$1005="Direkomendasikan",ROW($6:$1005)-5),969)),KotaKode,2,0),"-"),"")),"")</f>
        <v/>
      </c>
      <c r="K970" t="str">
        <f t="array" aca="1" ref="K970" ca="1">IFERROR(IF(OR(INDEX(checklistPesertaKemenkeu!$O$6:$O$1005,SMALL(IF(checklistPesertaKemenkeu!$AY$6:$AY$1005="Direkomendasikan",ROW($6:$1005)-5),969))="",INDEX(checklistPesertaKemenkeu!$J$6:$J$1005,SMALL(IF(checklistPesertaKemenkeu!$AY$6:$AY$1005="Direkomendasikan",ROW($6:$1005)-5),969))=""),"",IF(AND(COUNTIF(INDIRECT("K_"&amp;MATCH(INDEX(checklistPesertaKemenkeu!$J$6:$J$1005,SMALL(IF(checklistPesertaKemenkeu!$AY$6:$AY$1005="Direkomendasikan",ROW($6:$1005)-5),969)),BidangList,0)),INDEX(checklistPesertaKemenkeu!$O$6:$O$1005,SMALL(IF(checklistPesertaKemenkeu!$AY$6:$AY$1005="Direkomendasikan",ROW($6:$1005)-5),969)))&gt;0,COUNTIF(INDIRECT("'KERTAS KERJA'!K"&amp;(SMALL(IF(checklistPesertaKemenkeu!$AY$6:$AY$1005="Direkomendasikan",ROW($6:$1005)-5),969)+5)&amp;":O"&amp;(SMALL(IF(checklistPesertaKemenkeu!$AY$6:$AY$1005="Direkomendasikan",ROW($6:$1005)-5),969)+5)),INDEX(checklistPesertaKemenkeu!$O$6:$O$1005,SMALL(IF(checklistPesertaKemenkeu!$AY$6:$AY$1005="Direkomendasikan",ROW($6:$1005)-5),969)))=1),IFERROR(VLOOKUP(INDEX(checklistPesertaKemenkeu!$O$6:$O$1005,SMALL(IF(checklistPesertaKemenkeu!$AY$6:$AY$1005="Direkomendasikan",ROW($6:$1005)-5),969)),KotaKode,2,0),"-"),"")),"")</f>
        <v/>
      </c>
      <c r="L970" t="str">
        <f t="array" aca="1" ref="L970" ca="1">IFERROR(IF(OR(INDEX(checklistPesertaKemenkeu!$P$6:$P$1005,SMALL(IF(checklistPesertaKemenkeu!$AY$6:$AY$1005="Direkomendasikan",ROW($6:$1005)-5),969))="",INDEX(checklistPesertaKemenkeu!$J$6:$J$1005,SMALL(IF(checklistPesertaKemenkeu!$AY$6:$AY$1005="Direkomendasikan",ROW($6:$1005)-5),969))=""),"",IF(AND(COUNTIF(INDIRECT("K_"&amp;MATCH(INDEX(checklistPesertaKemenkeu!$J$6:$J$1005,SMALL(IF(checklistPesertaKemenkeu!$AY$6:$AY$1005="Direkomendasikan",ROW($6:$1005)-5),969)),BidangList,0)),INDEX(checklistPesertaKemenkeu!$P$6:$P$1005,SMALL(IF(checklistPesertaKemenkeu!$AY$6:$AY$1005="Direkomendasikan",ROW($6:$1005)-5),969)))&gt;0,COUNTIF(INDIRECT("'KERTAS KERJA'!K"&amp;(SMALL(IF(checklistPesertaKemenkeu!$AY$6:$AY$1005="Direkomendasikan",ROW($6:$1005)-5),969)+5)&amp;":O"&amp;(SMALL(IF(checklistPesertaKemenkeu!$AY$6:$AY$1005="Direkomendasikan",ROW($6:$1005)-5),969)+5)),INDEX(checklistPesertaKemenkeu!$P$6:$P$1005,SMALL(IF(checklistPesertaKemenkeu!$AY$6:$AY$1005="Direkomendasikan",ROW($6:$1005)-5),969)))=1),IFERROR(VLOOKUP(INDEX(checklistPesertaKemenkeu!$P$6:$P$1005,SMALL(IF(checklistPesertaKemenkeu!$AY$6:$AY$1005="Direkomendasikan",ROW($6:$1005)-5),969)),KotaKode,2,0),"-"),"")),"")</f>
        <v/>
      </c>
    </row>
    <row r="971" spans="1:12" ht="15" customHeight="1" x14ac:dyDescent="0.2">
      <c r="A971" t="str">
        <f t="shared" si="15"/>
        <v/>
      </c>
      <c r="B971" t="str">
        <v/>
      </c>
      <c r="C971" s="40" t="str">
        <f t="array" ref="C971">IFERROR(INDEX(checklistPesertaKemenkeu!$F$6:$F$1005,SMALL(IF(checklistPesertaKemenkeu!$AY$6:$AY$1005="Direkomendasikan",ROW($6:$1005)-5),970)),"")</f>
        <v/>
      </c>
      <c r="D971" t="str">
        <f t="array" ref="D971">IFERROR(INDEX(checklistPesertaKemenkeu!$G$6:$G$1005,SMALL(IF(checklistPesertaKemenkeu!$AY$6:$AY$1005="Direkomendasikan",ROW($6:$1005)-5),970)),"")</f>
        <v/>
      </c>
      <c r="E971" t="str">
        <f t="array" ref="E971">IFERROR(INDEX(checklistPesertaKemenkeu!$H$6:$H$1005,SMALL(IF(checklistPesertaKemenkeu!$AY$6:$AY$1005="Direkomendasikan",ROW($6:$1005)-5),970)),"")</f>
        <v/>
      </c>
      <c r="F971" t="str">
        <f t="array" ref="F971">IFERROR(INDEX(checklistPesertaKemenkeu!$I$6:$I$1005,SMALL(IF(checklistPesertaKemenkeu!$AY$6:$AY$1005="Direkomendasikan",ROW($6:$1005)-5),970)),"")</f>
        <v/>
      </c>
      <c r="G971" t="str">
        <f t="array" ref="G971">IFERROR(INDEX(checklistPesertaKemenkeu!$J$6:$J$1005,SMALL(IF(checklistPesertaKemenkeu!$AY$6:$AY$1005="Direkomendasikan",ROW($6:$1005)-5),970)),"")</f>
        <v/>
      </c>
      <c r="H971" t="str">
        <f t="array" aca="1" ref="H971" ca="1">IFERROR(IF(OR(INDEX(checklistPesertaKemenkeu!$L$6:$L$1005,SMALL(IF(checklistPesertaKemenkeu!$AY$6:$AY$1005="Direkomendasikan",ROW($6:$1005)-5),970))="",INDEX(checklistPesertaKemenkeu!$J$6:$J$1005,SMALL(IF(checklistPesertaKemenkeu!$AY$6:$AY$1005="Direkomendasikan",ROW($6:$1005)-5),970))=""),"",IF(AND(COUNTIF(INDIRECT("K_"&amp;MATCH(INDEX(checklistPesertaKemenkeu!$J$6:$J$1005,SMALL(IF(checklistPesertaKemenkeu!$AY$6:$AY$1005="Direkomendasikan",ROW($6:$1005)-5),970)),BidangList,0)),INDEX(checklistPesertaKemenkeu!$L$6:$L$1005,SMALL(IF(checklistPesertaKemenkeu!$AY$6:$AY$1005="Direkomendasikan",ROW($6:$1005)-5),970)))&gt;0,COUNTIF(INDIRECT("'KERTAS KERJA'!K"&amp;(SMALL(IF(checklistPesertaKemenkeu!$AY$6:$AY$1005="Direkomendasikan",ROW($6:$1005)-5),970)+5)&amp;":O"&amp;(SMALL(IF(checklistPesertaKemenkeu!$AY$6:$AY$1005="Direkomendasikan",ROW($6:$1005)-5),970)+5)),INDEX(checklistPesertaKemenkeu!$L$6:$L$1005,SMALL(IF(checklistPesertaKemenkeu!$AY$6:$AY$1005="Direkomendasikan",ROW($6:$1005)-5),970)))=1),IFERROR(VLOOKUP(INDEX(checklistPesertaKemenkeu!$L$6:$L$1005,SMALL(IF(checklistPesertaKemenkeu!$AY$6:$AY$1005="Direkomendasikan",ROW($6:$1005)-5),970)),KotaKode,2,0),"-"),"")),"")</f>
        <v/>
      </c>
      <c r="I971" t="str">
        <f t="array" aca="1" ref="I971" ca="1">IFERROR(IF(OR(INDEX(checklistPesertaKemenkeu!$M$6:$M$1005,SMALL(IF(checklistPesertaKemenkeu!$AY$6:$AY$1005="Direkomendasikan",ROW($6:$1005)-5),970))="",INDEX(checklistPesertaKemenkeu!$J$6:$J$1005,SMALL(IF(checklistPesertaKemenkeu!$AY$6:$AY$1005="Direkomendasikan",ROW($6:$1005)-5),970))=""),"",IF(AND(COUNTIF(INDIRECT("K_"&amp;MATCH(INDEX(checklistPesertaKemenkeu!$J$6:$J$1005,SMALL(IF(checklistPesertaKemenkeu!$AY$6:$AY$1005="Direkomendasikan",ROW($6:$1005)-5),970)),BidangList,0)),INDEX(checklistPesertaKemenkeu!$M$6:$M$1005,SMALL(IF(checklistPesertaKemenkeu!$AY$6:$AY$1005="Direkomendasikan",ROW($6:$1005)-5),970)))&gt;0,COUNTIF(INDIRECT("'KERTAS KERJA'!K"&amp;(SMALL(IF(checklistPesertaKemenkeu!$AY$6:$AY$1005="Direkomendasikan",ROW($6:$1005)-5),970)+5)&amp;":O"&amp;(SMALL(IF(checklistPesertaKemenkeu!$AY$6:$AY$1005="Direkomendasikan",ROW($6:$1005)-5),970)+5)),INDEX(checklistPesertaKemenkeu!$M$6:$M$1005,SMALL(IF(checklistPesertaKemenkeu!$AY$6:$AY$1005="Direkomendasikan",ROW($6:$1005)-5),970)))=1),IFERROR(VLOOKUP(INDEX(checklistPesertaKemenkeu!$M$6:$M$1005,SMALL(IF(checklistPesertaKemenkeu!$AY$6:$AY$1005="Direkomendasikan",ROW($6:$1005)-5),970)),KotaKode,2,0),"-"),"")),"")</f>
        <v/>
      </c>
      <c r="J971" t="str">
        <f t="array" aca="1" ref="J971" ca="1">IFERROR(IF(OR(INDEX(checklistPesertaKemenkeu!$N$6:$N$1005,SMALL(IF(checklistPesertaKemenkeu!$AY$6:$AY$1005="Direkomendasikan",ROW($6:$1005)-5),970))="",INDEX(checklistPesertaKemenkeu!$J$6:$J$1005,SMALL(IF(checklistPesertaKemenkeu!$AY$6:$AY$1005="Direkomendasikan",ROW($6:$1005)-5),970))=""),"",IF(AND(COUNTIF(INDIRECT("K_"&amp;MATCH(INDEX(checklistPesertaKemenkeu!$J$6:$J$1005,SMALL(IF(checklistPesertaKemenkeu!$AY$6:$AY$1005="Direkomendasikan",ROW($6:$1005)-5),970)),BidangList,0)),INDEX(checklistPesertaKemenkeu!$N$6:$N$1005,SMALL(IF(checklistPesertaKemenkeu!$AY$6:$AY$1005="Direkomendasikan",ROW($6:$1005)-5),970)))&gt;0,COUNTIF(INDIRECT("'KERTAS KERJA'!K"&amp;(SMALL(IF(checklistPesertaKemenkeu!$AY$6:$AY$1005="Direkomendasikan",ROW($6:$1005)-5),970)+5)&amp;":O"&amp;(SMALL(IF(checklistPesertaKemenkeu!$AY$6:$AY$1005="Direkomendasikan",ROW($6:$1005)-5),970)+5)),INDEX(checklistPesertaKemenkeu!$N$6:$N$1005,SMALL(IF(checklistPesertaKemenkeu!$AY$6:$AY$1005="Direkomendasikan",ROW($6:$1005)-5),970)))=1),IFERROR(VLOOKUP(INDEX(checklistPesertaKemenkeu!$N$6:$N$1005,SMALL(IF(checklistPesertaKemenkeu!$AY$6:$AY$1005="Direkomendasikan",ROW($6:$1005)-5),970)),KotaKode,2,0),"-"),"")),"")</f>
        <v/>
      </c>
      <c r="K971" t="str">
        <f t="array" aca="1" ref="K971" ca="1">IFERROR(IF(OR(INDEX(checklistPesertaKemenkeu!$O$6:$O$1005,SMALL(IF(checklistPesertaKemenkeu!$AY$6:$AY$1005="Direkomendasikan",ROW($6:$1005)-5),970))="",INDEX(checklistPesertaKemenkeu!$J$6:$J$1005,SMALL(IF(checklistPesertaKemenkeu!$AY$6:$AY$1005="Direkomendasikan",ROW($6:$1005)-5),970))=""),"",IF(AND(COUNTIF(INDIRECT("K_"&amp;MATCH(INDEX(checklistPesertaKemenkeu!$J$6:$J$1005,SMALL(IF(checklistPesertaKemenkeu!$AY$6:$AY$1005="Direkomendasikan",ROW($6:$1005)-5),970)),BidangList,0)),INDEX(checklistPesertaKemenkeu!$O$6:$O$1005,SMALL(IF(checklistPesertaKemenkeu!$AY$6:$AY$1005="Direkomendasikan",ROW($6:$1005)-5),970)))&gt;0,COUNTIF(INDIRECT("'KERTAS KERJA'!K"&amp;(SMALL(IF(checklistPesertaKemenkeu!$AY$6:$AY$1005="Direkomendasikan",ROW($6:$1005)-5),970)+5)&amp;":O"&amp;(SMALL(IF(checklistPesertaKemenkeu!$AY$6:$AY$1005="Direkomendasikan",ROW($6:$1005)-5),970)+5)),INDEX(checklistPesertaKemenkeu!$O$6:$O$1005,SMALL(IF(checklistPesertaKemenkeu!$AY$6:$AY$1005="Direkomendasikan",ROW($6:$1005)-5),970)))=1),IFERROR(VLOOKUP(INDEX(checklistPesertaKemenkeu!$O$6:$O$1005,SMALL(IF(checklistPesertaKemenkeu!$AY$6:$AY$1005="Direkomendasikan",ROW($6:$1005)-5),970)),KotaKode,2,0),"-"),"")),"")</f>
        <v/>
      </c>
      <c r="L971" t="str">
        <f t="array" aca="1" ref="L971" ca="1">IFERROR(IF(OR(INDEX(checklistPesertaKemenkeu!$P$6:$P$1005,SMALL(IF(checklistPesertaKemenkeu!$AY$6:$AY$1005="Direkomendasikan",ROW($6:$1005)-5),970))="",INDEX(checklistPesertaKemenkeu!$J$6:$J$1005,SMALL(IF(checklistPesertaKemenkeu!$AY$6:$AY$1005="Direkomendasikan",ROW($6:$1005)-5),970))=""),"",IF(AND(COUNTIF(INDIRECT("K_"&amp;MATCH(INDEX(checklistPesertaKemenkeu!$J$6:$J$1005,SMALL(IF(checklistPesertaKemenkeu!$AY$6:$AY$1005="Direkomendasikan",ROW($6:$1005)-5),970)),BidangList,0)),INDEX(checklistPesertaKemenkeu!$P$6:$P$1005,SMALL(IF(checklistPesertaKemenkeu!$AY$6:$AY$1005="Direkomendasikan",ROW($6:$1005)-5),970)))&gt;0,COUNTIF(INDIRECT("'KERTAS KERJA'!K"&amp;(SMALL(IF(checklistPesertaKemenkeu!$AY$6:$AY$1005="Direkomendasikan",ROW($6:$1005)-5),970)+5)&amp;":O"&amp;(SMALL(IF(checklistPesertaKemenkeu!$AY$6:$AY$1005="Direkomendasikan",ROW($6:$1005)-5),970)+5)),INDEX(checklistPesertaKemenkeu!$P$6:$P$1005,SMALL(IF(checklistPesertaKemenkeu!$AY$6:$AY$1005="Direkomendasikan",ROW($6:$1005)-5),970)))=1),IFERROR(VLOOKUP(INDEX(checklistPesertaKemenkeu!$P$6:$P$1005,SMALL(IF(checklistPesertaKemenkeu!$AY$6:$AY$1005="Direkomendasikan",ROW($6:$1005)-5),970)),KotaKode,2,0),"-"),"")),"")</f>
        <v/>
      </c>
    </row>
    <row r="972" spans="1:12" ht="15" customHeight="1" x14ac:dyDescent="0.2">
      <c r="A972" t="str">
        <f t="shared" si="15"/>
        <v/>
      </c>
      <c r="B972" t="str">
        <v/>
      </c>
      <c r="C972" s="40" t="str">
        <f t="array" ref="C972">IFERROR(INDEX(checklistPesertaKemenkeu!$F$6:$F$1005,SMALL(IF(checklistPesertaKemenkeu!$AY$6:$AY$1005="Direkomendasikan",ROW($6:$1005)-5),971)),"")</f>
        <v/>
      </c>
      <c r="D972" t="str">
        <f t="array" ref="D972">IFERROR(INDEX(checklistPesertaKemenkeu!$G$6:$G$1005,SMALL(IF(checklistPesertaKemenkeu!$AY$6:$AY$1005="Direkomendasikan",ROW($6:$1005)-5),971)),"")</f>
        <v/>
      </c>
      <c r="E972" t="str">
        <f t="array" ref="E972">IFERROR(INDEX(checklistPesertaKemenkeu!$H$6:$H$1005,SMALL(IF(checklistPesertaKemenkeu!$AY$6:$AY$1005="Direkomendasikan",ROW($6:$1005)-5),971)),"")</f>
        <v/>
      </c>
      <c r="F972" t="str">
        <f t="array" ref="F972">IFERROR(INDEX(checklistPesertaKemenkeu!$I$6:$I$1005,SMALL(IF(checklistPesertaKemenkeu!$AY$6:$AY$1005="Direkomendasikan",ROW($6:$1005)-5),971)),"")</f>
        <v/>
      </c>
      <c r="G972" t="str">
        <f t="array" ref="G972">IFERROR(INDEX(checklistPesertaKemenkeu!$J$6:$J$1005,SMALL(IF(checklistPesertaKemenkeu!$AY$6:$AY$1005="Direkomendasikan",ROW($6:$1005)-5),971)),"")</f>
        <v/>
      </c>
      <c r="H972" t="str">
        <f t="array" aca="1" ref="H972" ca="1">IFERROR(IF(OR(INDEX(checklistPesertaKemenkeu!$L$6:$L$1005,SMALL(IF(checklistPesertaKemenkeu!$AY$6:$AY$1005="Direkomendasikan",ROW($6:$1005)-5),971))="",INDEX(checklistPesertaKemenkeu!$J$6:$J$1005,SMALL(IF(checklistPesertaKemenkeu!$AY$6:$AY$1005="Direkomendasikan",ROW($6:$1005)-5),971))=""),"",IF(AND(COUNTIF(INDIRECT("K_"&amp;MATCH(INDEX(checklistPesertaKemenkeu!$J$6:$J$1005,SMALL(IF(checklistPesertaKemenkeu!$AY$6:$AY$1005="Direkomendasikan",ROW($6:$1005)-5),971)),BidangList,0)),INDEX(checklistPesertaKemenkeu!$L$6:$L$1005,SMALL(IF(checklistPesertaKemenkeu!$AY$6:$AY$1005="Direkomendasikan",ROW($6:$1005)-5),971)))&gt;0,COUNTIF(INDIRECT("'KERTAS KERJA'!K"&amp;(SMALL(IF(checklistPesertaKemenkeu!$AY$6:$AY$1005="Direkomendasikan",ROW($6:$1005)-5),971)+5)&amp;":O"&amp;(SMALL(IF(checklistPesertaKemenkeu!$AY$6:$AY$1005="Direkomendasikan",ROW($6:$1005)-5),971)+5)),INDEX(checklistPesertaKemenkeu!$L$6:$L$1005,SMALL(IF(checklistPesertaKemenkeu!$AY$6:$AY$1005="Direkomendasikan",ROW($6:$1005)-5),971)))=1),IFERROR(VLOOKUP(INDEX(checklistPesertaKemenkeu!$L$6:$L$1005,SMALL(IF(checklistPesertaKemenkeu!$AY$6:$AY$1005="Direkomendasikan",ROW($6:$1005)-5),971)),KotaKode,2,0),"-"),"")),"")</f>
        <v/>
      </c>
      <c r="I972" t="str">
        <f t="array" aca="1" ref="I972" ca="1">IFERROR(IF(OR(INDEX(checklistPesertaKemenkeu!$M$6:$M$1005,SMALL(IF(checklistPesertaKemenkeu!$AY$6:$AY$1005="Direkomendasikan",ROW($6:$1005)-5),971))="",INDEX(checklistPesertaKemenkeu!$J$6:$J$1005,SMALL(IF(checklistPesertaKemenkeu!$AY$6:$AY$1005="Direkomendasikan",ROW($6:$1005)-5),971))=""),"",IF(AND(COUNTIF(INDIRECT("K_"&amp;MATCH(INDEX(checklistPesertaKemenkeu!$J$6:$J$1005,SMALL(IF(checklistPesertaKemenkeu!$AY$6:$AY$1005="Direkomendasikan",ROW($6:$1005)-5),971)),BidangList,0)),INDEX(checklistPesertaKemenkeu!$M$6:$M$1005,SMALL(IF(checklistPesertaKemenkeu!$AY$6:$AY$1005="Direkomendasikan",ROW($6:$1005)-5),971)))&gt;0,COUNTIF(INDIRECT("'KERTAS KERJA'!K"&amp;(SMALL(IF(checklistPesertaKemenkeu!$AY$6:$AY$1005="Direkomendasikan",ROW($6:$1005)-5),971)+5)&amp;":O"&amp;(SMALL(IF(checklistPesertaKemenkeu!$AY$6:$AY$1005="Direkomendasikan",ROW($6:$1005)-5),971)+5)),INDEX(checklistPesertaKemenkeu!$M$6:$M$1005,SMALL(IF(checklistPesertaKemenkeu!$AY$6:$AY$1005="Direkomendasikan",ROW($6:$1005)-5),971)))=1),IFERROR(VLOOKUP(INDEX(checklistPesertaKemenkeu!$M$6:$M$1005,SMALL(IF(checklistPesertaKemenkeu!$AY$6:$AY$1005="Direkomendasikan",ROW($6:$1005)-5),971)),KotaKode,2,0),"-"),"")),"")</f>
        <v/>
      </c>
      <c r="J972" t="str">
        <f t="array" aca="1" ref="J972" ca="1">IFERROR(IF(OR(INDEX(checklistPesertaKemenkeu!$N$6:$N$1005,SMALL(IF(checklistPesertaKemenkeu!$AY$6:$AY$1005="Direkomendasikan",ROW($6:$1005)-5),971))="",INDEX(checklistPesertaKemenkeu!$J$6:$J$1005,SMALL(IF(checklistPesertaKemenkeu!$AY$6:$AY$1005="Direkomendasikan",ROW($6:$1005)-5),971))=""),"",IF(AND(COUNTIF(INDIRECT("K_"&amp;MATCH(INDEX(checklistPesertaKemenkeu!$J$6:$J$1005,SMALL(IF(checklistPesertaKemenkeu!$AY$6:$AY$1005="Direkomendasikan",ROW($6:$1005)-5),971)),BidangList,0)),INDEX(checklistPesertaKemenkeu!$N$6:$N$1005,SMALL(IF(checklistPesertaKemenkeu!$AY$6:$AY$1005="Direkomendasikan",ROW($6:$1005)-5),971)))&gt;0,COUNTIF(INDIRECT("'KERTAS KERJA'!K"&amp;(SMALL(IF(checklistPesertaKemenkeu!$AY$6:$AY$1005="Direkomendasikan",ROW($6:$1005)-5),971)+5)&amp;":O"&amp;(SMALL(IF(checklistPesertaKemenkeu!$AY$6:$AY$1005="Direkomendasikan",ROW($6:$1005)-5),971)+5)),INDEX(checklistPesertaKemenkeu!$N$6:$N$1005,SMALL(IF(checklistPesertaKemenkeu!$AY$6:$AY$1005="Direkomendasikan",ROW($6:$1005)-5),971)))=1),IFERROR(VLOOKUP(INDEX(checklistPesertaKemenkeu!$N$6:$N$1005,SMALL(IF(checklistPesertaKemenkeu!$AY$6:$AY$1005="Direkomendasikan",ROW($6:$1005)-5),971)),KotaKode,2,0),"-"),"")),"")</f>
        <v/>
      </c>
      <c r="K972" t="str">
        <f t="array" aca="1" ref="K972" ca="1">IFERROR(IF(OR(INDEX(checklistPesertaKemenkeu!$O$6:$O$1005,SMALL(IF(checklistPesertaKemenkeu!$AY$6:$AY$1005="Direkomendasikan",ROW($6:$1005)-5),971))="",INDEX(checklistPesertaKemenkeu!$J$6:$J$1005,SMALL(IF(checklistPesertaKemenkeu!$AY$6:$AY$1005="Direkomendasikan",ROW($6:$1005)-5),971))=""),"",IF(AND(COUNTIF(INDIRECT("K_"&amp;MATCH(INDEX(checklistPesertaKemenkeu!$J$6:$J$1005,SMALL(IF(checklistPesertaKemenkeu!$AY$6:$AY$1005="Direkomendasikan",ROW($6:$1005)-5),971)),BidangList,0)),INDEX(checklistPesertaKemenkeu!$O$6:$O$1005,SMALL(IF(checklistPesertaKemenkeu!$AY$6:$AY$1005="Direkomendasikan",ROW($6:$1005)-5),971)))&gt;0,COUNTIF(INDIRECT("'KERTAS KERJA'!K"&amp;(SMALL(IF(checklistPesertaKemenkeu!$AY$6:$AY$1005="Direkomendasikan",ROW($6:$1005)-5),971)+5)&amp;":O"&amp;(SMALL(IF(checklistPesertaKemenkeu!$AY$6:$AY$1005="Direkomendasikan",ROW($6:$1005)-5),971)+5)),INDEX(checklistPesertaKemenkeu!$O$6:$O$1005,SMALL(IF(checklistPesertaKemenkeu!$AY$6:$AY$1005="Direkomendasikan",ROW($6:$1005)-5),971)))=1),IFERROR(VLOOKUP(INDEX(checklistPesertaKemenkeu!$O$6:$O$1005,SMALL(IF(checklistPesertaKemenkeu!$AY$6:$AY$1005="Direkomendasikan",ROW($6:$1005)-5),971)),KotaKode,2,0),"-"),"")),"")</f>
        <v/>
      </c>
      <c r="L972" t="str">
        <f t="array" aca="1" ref="L972" ca="1">IFERROR(IF(OR(INDEX(checklistPesertaKemenkeu!$P$6:$P$1005,SMALL(IF(checklistPesertaKemenkeu!$AY$6:$AY$1005="Direkomendasikan",ROW($6:$1005)-5),971))="",INDEX(checklistPesertaKemenkeu!$J$6:$J$1005,SMALL(IF(checklistPesertaKemenkeu!$AY$6:$AY$1005="Direkomendasikan",ROW($6:$1005)-5),971))=""),"",IF(AND(COUNTIF(INDIRECT("K_"&amp;MATCH(INDEX(checklistPesertaKemenkeu!$J$6:$J$1005,SMALL(IF(checklistPesertaKemenkeu!$AY$6:$AY$1005="Direkomendasikan",ROW($6:$1005)-5),971)),BidangList,0)),INDEX(checklistPesertaKemenkeu!$P$6:$P$1005,SMALL(IF(checklistPesertaKemenkeu!$AY$6:$AY$1005="Direkomendasikan",ROW($6:$1005)-5),971)))&gt;0,COUNTIF(INDIRECT("'KERTAS KERJA'!K"&amp;(SMALL(IF(checklistPesertaKemenkeu!$AY$6:$AY$1005="Direkomendasikan",ROW($6:$1005)-5),971)+5)&amp;":O"&amp;(SMALL(IF(checklistPesertaKemenkeu!$AY$6:$AY$1005="Direkomendasikan",ROW($6:$1005)-5),971)+5)),INDEX(checklistPesertaKemenkeu!$P$6:$P$1005,SMALL(IF(checklistPesertaKemenkeu!$AY$6:$AY$1005="Direkomendasikan",ROW($6:$1005)-5),971)))=1),IFERROR(VLOOKUP(INDEX(checklistPesertaKemenkeu!$P$6:$P$1005,SMALL(IF(checklistPesertaKemenkeu!$AY$6:$AY$1005="Direkomendasikan",ROW($6:$1005)-5),971)),KotaKode,2,0),"-"),"")),"")</f>
        <v/>
      </c>
    </row>
    <row r="973" spans="1:12" ht="15" customHeight="1" x14ac:dyDescent="0.2">
      <c r="A973" t="str">
        <f t="shared" si="15"/>
        <v/>
      </c>
      <c r="B973" t="str">
        <v/>
      </c>
      <c r="C973" s="40" t="str">
        <f t="array" ref="C973">IFERROR(INDEX(checklistPesertaKemenkeu!$F$6:$F$1005,SMALL(IF(checklistPesertaKemenkeu!$AY$6:$AY$1005="Direkomendasikan",ROW($6:$1005)-5),972)),"")</f>
        <v/>
      </c>
      <c r="D973" t="str">
        <f t="array" ref="D973">IFERROR(INDEX(checklistPesertaKemenkeu!$G$6:$G$1005,SMALL(IF(checklistPesertaKemenkeu!$AY$6:$AY$1005="Direkomendasikan",ROW($6:$1005)-5),972)),"")</f>
        <v/>
      </c>
      <c r="E973" t="str">
        <f t="array" ref="E973">IFERROR(INDEX(checklistPesertaKemenkeu!$H$6:$H$1005,SMALL(IF(checklistPesertaKemenkeu!$AY$6:$AY$1005="Direkomendasikan",ROW($6:$1005)-5),972)),"")</f>
        <v/>
      </c>
      <c r="F973" t="str">
        <f t="array" ref="F973">IFERROR(INDEX(checklistPesertaKemenkeu!$I$6:$I$1005,SMALL(IF(checklistPesertaKemenkeu!$AY$6:$AY$1005="Direkomendasikan",ROW($6:$1005)-5),972)),"")</f>
        <v/>
      </c>
      <c r="G973" t="str">
        <f t="array" ref="G973">IFERROR(INDEX(checklistPesertaKemenkeu!$J$6:$J$1005,SMALL(IF(checklistPesertaKemenkeu!$AY$6:$AY$1005="Direkomendasikan",ROW($6:$1005)-5),972)),"")</f>
        <v/>
      </c>
      <c r="H973" t="str">
        <f t="array" aca="1" ref="H973" ca="1">IFERROR(IF(OR(INDEX(checklistPesertaKemenkeu!$L$6:$L$1005,SMALL(IF(checklistPesertaKemenkeu!$AY$6:$AY$1005="Direkomendasikan",ROW($6:$1005)-5),972))="",INDEX(checklistPesertaKemenkeu!$J$6:$J$1005,SMALL(IF(checklistPesertaKemenkeu!$AY$6:$AY$1005="Direkomendasikan",ROW($6:$1005)-5),972))=""),"",IF(AND(COUNTIF(INDIRECT("K_"&amp;MATCH(INDEX(checklistPesertaKemenkeu!$J$6:$J$1005,SMALL(IF(checklistPesertaKemenkeu!$AY$6:$AY$1005="Direkomendasikan",ROW($6:$1005)-5),972)),BidangList,0)),INDEX(checklistPesertaKemenkeu!$L$6:$L$1005,SMALL(IF(checklistPesertaKemenkeu!$AY$6:$AY$1005="Direkomendasikan",ROW($6:$1005)-5),972)))&gt;0,COUNTIF(INDIRECT("'KERTAS KERJA'!K"&amp;(SMALL(IF(checklistPesertaKemenkeu!$AY$6:$AY$1005="Direkomendasikan",ROW($6:$1005)-5),972)+5)&amp;":O"&amp;(SMALL(IF(checklistPesertaKemenkeu!$AY$6:$AY$1005="Direkomendasikan",ROW($6:$1005)-5),972)+5)),INDEX(checklistPesertaKemenkeu!$L$6:$L$1005,SMALL(IF(checklistPesertaKemenkeu!$AY$6:$AY$1005="Direkomendasikan",ROW($6:$1005)-5),972)))=1),IFERROR(VLOOKUP(INDEX(checklistPesertaKemenkeu!$L$6:$L$1005,SMALL(IF(checklistPesertaKemenkeu!$AY$6:$AY$1005="Direkomendasikan",ROW($6:$1005)-5),972)),KotaKode,2,0),"-"),"")),"")</f>
        <v/>
      </c>
      <c r="I973" t="str">
        <f t="array" aca="1" ref="I973" ca="1">IFERROR(IF(OR(INDEX(checklistPesertaKemenkeu!$M$6:$M$1005,SMALL(IF(checklistPesertaKemenkeu!$AY$6:$AY$1005="Direkomendasikan",ROW($6:$1005)-5),972))="",INDEX(checklistPesertaKemenkeu!$J$6:$J$1005,SMALL(IF(checklistPesertaKemenkeu!$AY$6:$AY$1005="Direkomendasikan",ROW($6:$1005)-5),972))=""),"",IF(AND(COUNTIF(INDIRECT("K_"&amp;MATCH(INDEX(checklistPesertaKemenkeu!$J$6:$J$1005,SMALL(IF(checklistPesertaKemenkeu!$AY$6:$AY$1005="Direkomendasikan",ROW($6:$1005)-5),972)),BidangList,0)),INDEX(checklistPesertaKemenkeu!$M$6:$M$1005,SMALL(IF(checklistPesertaKemenkeu!$AY$6:$AY$1005="Direkomendasikan",ROW($6:$1005)-5),972)))&gt;0,COUNTIF(INDIRECT("'KERTAS KERJA'!K"&amp;(SMALL(IF(checklistPesertaKemenkeu!$AY$6:$AY$1005="Direkomendasikan",ROW($6:$1005)-5),972)+5)&amp;":O"&amp;(SMALL(IF(checklistPesertaKemenkeu!$AY$6:$AY$1005="Direkomendasikan",ROW($6:$1005)-5),972)+5)),INDEX(checklistPesertaKemenkeu!$M$6:$M$1005,SMALL(IF(checklistPesertaKemenkeu!$AY$6:$AY$1005="Direkomendasikan",ROW($6:$1005)-5),972)))=1),IFERROR(VLOOKUP(INDEX(checklistPesertaKemenkeu!$M$6:$M$1005,SMALL(IF(checklistPesertaKemenkeu!$AY$6:$AY$1005="Direkomendasikan",ROW($6:$1005)-5),972)),KotaKode,2,0),"-"),"")),"")</f>
        <v/>
      </c>
      <c r="J973" t="str">
        <f t="array" aca="1" ref="J973" ca="1">IFERROR(IF(OR(INDEX(checklistPesertaKemenkeu!$N$6:$N$1005,SMALL(IF(checklistPesertaKemenkeu!$AY$6:$AY$1005="Direkomendasikan",ROW($6:$1005)-5),972))="",INDEX(checklistPesertaKemenkeu!$J$6:$J$1005,SMALL(IF(checklistPesertaKemenkeu!$AY$6:$AY$1005="Direkomendasikan",ROW($6:$1005)-5),972))=""),"",IF(AND(COUNTIF(INDIRECT("K_"&amp;MATCH(INDEX(checklistPesertaKemenkeu!$J$6:$J$1005,SMALL(IF(checklistPesertaKemenkeu!$AY$6:$AY$1005="Direkomendasikan",ROW($6:$1005)-5),972)),BidangList,0)),INDEX(checklistPesertaKemenkeu!$N$6:$N$1005,SMALL(IF(checklistPesertaKemenkeu!$AY$6:$AY$1005="Direkomendasikan",ROW($6:$1005)-5),972)))&gt;0,COUNTIF(INDIRECT("'KERTAS KERJA'!K"&amp;(SMALL(IF(checklistPesertaKemenkeu!$AY$6:$AY$1005="Direkomendasikan",ROW($6:$1005)-5),972)+5)&amp;":O"&amp;(SMALL(IF(checklistPesertaKemenkeu!$AY$6:$AY$1005="Direkomendasikan",ROW($6:$1005)-5),972)+5)),INDEX(checklistPesertaKemenkeu!$N$6:$N$1005,SMALL(IF(checklistPesertaKemenkeu!$AY$6:$AY$1005="Direkomendasikan",ROW($6:$1005)-5),972)))=1),IFERROR(VLOOKUP(INDEX(checklistPesertaKemenkeu!$N$6:$N$1005,SMALL(IF(checklistPesertaKemenkeu!$AY$6:$AY$1005="Direkomendasikan",ROW($6:$1005)-5),972)),KotaKode,2,0),"-"),"")),"")</f>
        <v/>
      </c>
      <c r="K973" t="str">
        <f t="array" aca="1" ref="K973" ca="1">IFERROR(IF(OR(INDEX(checklistPesertaKemenkeu!$O$6:$O$1005,SMALL(IF(checklistPesertaKemenkeu!$AY$6:$AY$1005="Direkomendasikan",ROW($6:$1005)-5),972))="",INDEX(checklistPesertaKemenkeu!$J$6:$J$1005,SMALL(IF(checklistPesertaKemenkeu!$AY$6:$AY$1005="Direkomendasikan",ROW($6:$1005)-5),972))=""),"",IF(AND(COUNTIF(INDIRECT("K_"&amp;MATCH(INDEX(checklistPesertaKemenkeu!$J$6:$J$1005,SMALL(IF(checklistPesertaKemenkeu!$AY$6:$AY$1005="Direkomendasikan",ROW($6:$1005)-5),972)),BidangList,0)),INDEX(checklistPesertaKemenkeu!$O$6:$O$1005,SMALL(IF(checklistPesertaKemenkeu!$AY$6:$AY$1005="Direkomendasikan",ROW($6:$1005)-5),972)))&gt;0,COUNTIF(INDIRECT("'KERTAS KERJA'!K"&amp;(SMALL(IF(checklistPesertaKemenkeu!$AY$6:$AY$1005="Direkomendasikan",ROW($6:$1005)-5),972)+5)&amp;":O"&amp;(SMALL(IF(checklistPesertaKemenkeu!$AY$6:$AY$1005="Direkomendasikan",ROW($6:$1005)-5),972)+5)),INDEX(checklistPesertaKemenkeu!$O$6:$O$1005,SMALL(IF(checklistPesertaKemenkeu!$AY$6:$AY$1005="Direkomendasikan",ROW($6:$1005)-5),972)))=1),IFERROR(VLOOKUP(INDEX(checklistPesertaKemenkeu!$O$6:$O$1005,SMALL(IF(checklistPesertaKemenkeu!$AY$6:$AY$1005="Direkomendasikan",ROW($6:$1005)-5),972)),KotaKode,2,0),"-"),"")),"")</f>
        <v/>
      </c>
      <c r="L973" t="str">
        <f t="array" aca="1" ref="L973" ca="1">IFERROR(IF(OR(INDEX(checklistPesertaKemenkeu!$P$6:$P$1005,SMALL(IF(checklistPesertaKemenkeu!$AY$6:$AY$1005="Direkomendasikan",ROW($6:$1005)-5),972))="",INDEX(checklistPesertaKemenkeu!$J$6:$J$1005,SMALL(IF(checklistPesertaKemenkeu!$AY$6:$AY$1005="Direkomendasikan",ROW($6:$1005)-5),972))=""),"",IF(AND(COUNTIF(INDIRECT("K_"&amp;MATCH(INDEX(checklistPesertaKemenkeu!$J$6:$J$1005,SMALL(IF(checklistPesertaKemenkeu!$AY$6:$AY$1005="Direkomendasikan",ROW($6:$1005)-5),972)),BidangList,0)),INDEX(checklistPesertaKemenkeu!$P$6:$P$1005,SMALL(IF(checklistPesertaKemenkeu!$AY$6:$AY$1005="Direkomendasikan",ROW($6:$1005)-5),972)))&gt;0,COUNTIF(INDIRECT("'KERTAS KERJA'!K"&amp;(SMALL(IF(checklistPesertaKemenkeu!$AY$6:$AY$1005="Direkomendasikan",ROW($6:$1005)-5),972)+5)&amp;":O"&amp;(SMALL(IF(checklistPesertaKemenkeu!$AY$6:$AY$1005="Direkomendasikan",ROW($6:$1005)-5),972)+5)),INDEX(checklistPesertaKemenkeu!$P$6:$P$1005,SMALL(IF(checklistPesertaKemenkeu!$AY$6:$AY$1005="Direkomendasikan",ROW($6:$1005)-5),972)))=1),IFERROR(VLOOKUP(INDEX(checklistPesertaKemenkeu!$P$6:$P$1005,SMALL(IF(checklistPesertaKemenkeu!$AY$6:$AY$1005="Direkomendasikan",ROW($6:$1005)-5),972)),KotaKode,2,0),"-"),"")),"")</f>
        <v/>
      </c>
    </row>
    <row r="974" spans="1:12" ht="15" customHeight="1" x14ac:dyDescent="0.2">
      <c r="A974" t="str">
        <f t="shared" si="15"/>
        <v/>
      </c>
      <c r="B974" t="str">
        <v/>
      </c>
      <c r="C974" s="40" t="str">
        <f t="array" ref="C974">IFERROR(INDEX(checklistPesertaKemenkeu!$F$6:$F$1005,SMALL(IF(checklistPesertaKemenkeu!$AY$6:$AY$1005="Direkomendasikan",ROW($6:$1005)-5),973)),"")</f>
        <v/>
      </c>
      <c r="D974" t="str">
        <f t="array" ref="D974">IFERROR(INDEX(checklistPesertaKemenkeu!$G$6:$G$1005,SMALL(IF(checklistPesertaKemenkeu!$AY$6:$AY$1005="Direkomendasikan",ROW($6:$1005)-5),973)),"")</f>
        <v/>
      </c>
      <c r="E974" t="str">
        <f t="array" ref="E974">IFERROR(INDEX(checklistPesertaKemenkeu!$H$6:$H$1005,SMALL(IF(checklistPesertaKemenkeu!$AY$6:$AY$1005="Direkomendasikan",ROW($6:$1005)-5),973)),"")</f>
        <v/>
      </c>
      <c r="F974" t="str">
        <f t="array" ref="F974">IFERROR(INDEX(checklistPesertaKemenkeu!$I$6:$I$1005,SMALL(IF(checklistPesertaKemenkeu!$AY$6:$AY$1005="Direkomendasikan",ROW($6:$1005)-5),973)),"")</f>
        <v/>
      </c>
      <c r="G974" t="str">
        <f t="array" ref="G974">IFERROR(INDEX(checklistPesertaKemenkeu!$J$6:$J$1005,SMALL(IF(checklistPesertaKemenkeu!$AY$6:$AY$1005="Direkomendasikan",ROW($6:$1005)-5),973)),"")</f>
        <v/>
      </c>
      <c r="H974" t="str">
        <f t="array" aca="1" ref="H974" ca="1">IFERROR(IF(OR(INDEX(checklistPesertaKemenkeu!$L$6:$L$1005,SMALL(IF(checklistPesertaKemenkeu!$AY$6:$AY$1005="Direkomendasikan",ROW($6:$1005)-5),973))="",INDEX(checklistPesertaKemenkeu!$J$6:$J$1005,SMALL(IF(checklistPesertaKemenkeu!$AY$6:$AY$1005="Direkomendasikan",ROW($6:$1005)-5),973))=""),"",IF(AND(COUNTIF(INDIRECT("K_"&amp;MATCH(INDEX(checklistPesertaKemenkeu!$J$6:$J$1005,SMALL(IF(checklistPesertaKemenkeu!$AY$6:$AY$1005="Direkomendasikan",ROW($6:$1005)-5),973)),BidangList,0)),INDEX(checklistPesertaKemenkeu!$L$6:$L$1005,SMALL(IF(checklistPesertaKemenkeu!$AY$6:$AY$1005="Direkomendasikan",ROW($6:$1005)-5),973)))&gt;0,COUNTIF(INDIRECT("'KERTAS KERJA'!K"&amp;(SMALL(IF(checklistPesertaKemenkeu!$AY$6:$AY$1005="Direkomendasikan",ROW($6:$1005)-5),973)+5)&amp;":O"&amp;(SMALL(IF(checklistPesertaKemenkeu!$AY$6:$AY$1005="Direkomendasikan",ROW($6:$1005)-5),973)+5)),INDEX(checklistPesertaKemenkeu!$L$6:$L$1005,SMALL(IF(checklistPesertaKemenkeu!$AY$6:$AY$1005="Direkomendasikan",ROW($6:$1005)-5),973)))=1),IFERROR(VLOOKUP(INDEX(checklistPesertaKemenkeu!$L$6:$L$1005,SMALL(IF(checklistPesertaKemenkeu!$AY$6:$AY$1005="Direkomendasikan",ROW($6:$1005)-5),973)),KotaKode,2,0),"-"),"")),"")</f>
        <v/>
      </c>
      <c r="I974" t="str">
        <f t="array" aca="1" ref="I974" ca="1">IFERROR(IF(OR(INDEX(checklistPesertaKemenkeu!$M$6:$M$1005,SMALL(IF(checklistPesertaKemenkeu!$AY$6:$AY$1005="Direkomendasikan",ROW($6:$1005)-5),973))="",INDEX(checklistPesertaKemenkeu!$J$6:$J$1005,SMALL(IF(checklistPesertaKemenkeu!$AY$6:$AY$1005="Direkomendasikan",ROW($6:$1005)-5),973))=""),"",IF(AND(COUNTIF(INDIRECT("K_"&amp;MATCH(INDEX(checklistPesertaKemenkeu!$J$6:$J$1005,SMALL(IF(checklistPesertaKemenkeu!$AY$6:$AY$1005="Direkomendasikan",ROW($6:$1005)-5),973)),BidangList,0)),INDEX(checklistPesertaKemenkeu!$M$6:$M$1005,SMALL(IF(checklistPesertaKemenkeu!$AY$6:$AY$1005="Direkomendasikan",ROW($6:$1005)-5),973)))&gt;0,COUNTIF(INDIRECT("'KERTAS KERJA'!K"&amp;(SMALL(IF(checklistPesertaKemenkeu!$AY$6:$AY$1005="Direkomendasikan",ROW($6:$1005)-5),973)+5)&amp;":O"&amp;(SMALL(IF(checklistPesertaKemenkeu!$AY$6:$AY$1005="Direkomendasikan",ROW($6:$1005)-5),973)+5)),INDEX(checklistPesertaKemenkeu!$M$6:$M$1005,SMALL(IF(checklistPesertaKemenkeu!$AY$6:$AY$1005="Direkomendasikan",ROW($6:$1005)-5),973)))=1),IFERROR(VLOOKUP(INDEX(checklistPesertaKemenkeu!$M$6:$M$1005,SMALL(IF(checklistPesertaKemenkeu!$AY$6:$AY$1005="Direkomendasikan",ROW($6:$1005)-5),973)),KotaKode,2,0),"-"),"")),"")</f>
        <v/>
      </c>
      <c r="J974" t="str">
        <f t="array" aca="1" ref="J974" ca="1">IFERROR(IF(OR(INDEX(checklistPesertaKemenkeu!$N$6:$N$1005,SMALL(IF(checklistPesertaKemenkeu!$AY$6:$AY$1005="Direkomendasikan",ROW($6:$1005)-5),973))="",INDEX(checklistPesertaKemenkeu!$J$6:$J$1005,SMALL(IF(checklistPesertaKemenkeu!$AY$6:$AY$1005="Direkomendasikan",ROW($6:$1005)-5),973))=""),"",IF(AND(COUNTIF(INDIRECT("K_"&amp;MATCH(INDEX(checklistPesertaKemenkeu!$J$6:$J$1005,SMALL(IF(checklistPesertaKemenkeu!$AY$6:$AY$1005="Direkomendasikan",ROW($6:$1005)-5),973)),BidangList,0)),INDEX(checklistPesertaKemenkeu!$N$6:$N$1005,SMALL(IF(checklistPesertaKemenkeu!$AY$6:$AY$1005="Direkomendasikan",ROW($6:$1005)-5),973)))&gt;0,COUNTIF(INDIRECT("'KERTAS KERJA'!K"&amp;(SMALL(IF(checklistPesertaKemenkeu!$AY$6:$AY$1005="Direkomendasikan",ROW($6:$1005)-5),973)+5)&amp;":O"&amp;(SMALL(IF(checklistPesertaKemenkeu!$AY$6:$AY$1005="Direkomendasikan",ROW($6:$1005)-5),973)+5)),INDEX(checklistPesertaKemenkeu!$N$6:$N$1005,SMALL(IF(checklistPesertaKemenkeu!$AY$6:$AY$1005="Direkomendasikan",ROW($6:$1005)-5),973)))=1),IFERROR(VLOOKUP(INDEX(checklistPesertaKemenkeu!$N$6:$N$1005,SMALL(IF(checklistPesertaKemenkeu!$AY$6:$AY$1005="Direkomendasikan",ROW($6:$1005)-5),973)),KotaKode,2,0),"-"),"")),"")</f>
        <v/>
      </c>
      <c r="K974" t="str">
        <f t="array" aca="1" ref="K974" ca="1">IFERROR(IF(OR(INDEX(checklistPesertaKemenkeu!$O$6:$O$1005,SMALL(IF(checklistPesertaKemenkeu!$AY$6:$AY$1005="Direkomendasikan",ROW($6:$1005)-5),973))="",INDEX(checklistPesertaKemenkeu!$J$6:$J$1005,SMALL(IF(checklistPesertaKemenkeu!$AY$6:$AY$1005="Direkomendasikan",ROW($6:$1005)-5),973))=""),"",IF(AND(COUNTIF(INDIRECT("K_"&amp;MATCH(INDEX(checklistPesertaKemenkeu!$J$6:$J$1005,SMALL(IF(checklistPesertaKemenkeu!$AY$6:$AY$1005="Direkomendasikan",ROW($6:$1005)-5),973)),BidangList,0)),INDEX(checklistPesertaKemenkeu!$O$6:$O$1005,SMALL(IF(checklistPesertaKemenkeu!$AY$6:$AY$1005="Direkomendasikan",ROW($6:$1005)-5),973)))&gt;0,COUNTIF(INDIRECT("'KERTAS KERJA'!K"&amp;(SMALL(IF(checklistPesertaKemenkeu!$AY$6:$AY$1005="Direkomendasikan",ROW($6:$1005)-5),973)+5)&amp;":O"&amp;(SMALL(IF(checklistPesertaKemenkeu!$AY$6:$AY$1005="Direkomendasikan",ROW($6:$1005)-5),973)+5)),INDEX(checklistPesertaKemenkeu!$O$6:$O$1005,SMALL(IF(checklistPesertaKemenkeu!$AY$6:$AY$1005="Direkomendasikan",ROW($6:$1005)-5),973)))=1),IFERROR(VLOOKUP(INDEX(checklistPesertaKemenkeu!$O$6:$O$1005,SMALL(IF(checklistPesertaKemenkeu!$AY$6:$AY$1005="Direkomendasikan",ROW($6:$1005)-5),973)),KotaKode,2,0),"-"),"")),"")</f>
        <v/>
      </c>
      <c r="L974" t="str">
        <f t="array" aca="1" ref="L974" ca="1">IFERROR(IF(OR(INDEX(checklistPesertaKemenkeu!$P$6:$P$1005,SMALL(IF(checklistPesertaKemenkeu!$AY$6:$AY$1005="Direkomendasikan",ROW($6:$1005)-5),973))="",INDEX(checklistPesertaKemenkeu!$J$6:$J$1005,SMALL(IF(checklistPesertaKemenkeu!$AY$6:$AY$1005="Direkomendasikan",ROW($6:$1005)-5),973))=""),"",IF(AND(COUNTIF(INDIRECT("K_"&amp;MATCH(INDEX(checklistPesertaKemenkeu!$J$6:$J$1005,SMALL(IF(checklistPesertaKemenkeu!$AY$6:$AY$1005="Direkomendasikan",ROW($6:$1005)-5),973)),BidangList,0)),INDEX(checklistPesertaKemenkeu!$P$6:$P$1005,SMALL(IF(checklistPesertaKemenkeu!$AY$6:$AY$1005="Direkomendasikan",ROW($6:$1005)-5),973)))&gt;0,COUNTIF(INDIRECT("'KERTAS KERJA'!K"&amp;(SMALL(IF(checklistPesertaKemenkeu!$AY$6:$AY$1005="Direkomendasikan",ROW($6:$1005)-5),973)+5)&amp;":O"&amp;(SMALL(IF(checklistPesertaKemenkeu!$AY$6:$AY$1005="Direkomendasikan",ROW($6:$1005)-5),973)+5)),INDEX(checklistPesertaKemenkeu!$P$6:$P$1005,SMALL(IF(checklistPesertaKemenkeu!$AY$6:$AY$1005="Direkomendasikan",ROW($6:$1005)-5),973)))=1),IFERROR(VLOOKUP(INDEX(checklistPesertaKemenkeu!$P$6:$P$1005,SMALL(IF(checklistPesertaKemenkeu!$AY$6:$AY$1005="Direkomendasikan",ROW($6:$1005)-5),973)),KotaKode,2,0),"-"),"")),"")</f>
        <v/>
      </c>
    </row>
    <row r="975" spans="1:12" ht="15" customHeight="1" x14ac:dyDescent="0.2">
      <c r="A975" t="str">
        <f t="shared" si="15"/>
        <v/>
      </c>
      <c r="B975" t="str">
        <v/>
      </c>
      <c r="C975" s="40" t="str">
        <f t="array" ref="C975">IFERROR(INDEX(checklistPesertaKemenkeu!$F$6:$F$1005,SMALL(IF(checklistPesertaKemenkeu!$AY$6:$AY$1005="Direkomendasikan",ROW($6:$1005)-5),974)),"")</f>
        <v/>
      </c>
      <c r="D975" t="str">
        <f t="array" ref="D975">IFERROR(INDEX(checklistPesertaKemenkeu!$G$6:$G$1005,SMALL(IF(checklistPesertaKemenkeu!$AY$6:$AY$1005="Direkomendasikan",ROW($6:$1005)-5),974)),"")</f>
        <v/>
      </c>
      <c r="E975" t="str">
        <f t="array" ref="E975">IFERROR(INDEX(checklistPesertaKemenkeu!$H$6:$H$1005,SMALL(IF(checklistPesertaKemenkeu!$AY$6:$AY$1005="Direkomendasikan",ROW($6:$1005)-5),974)),"")</f>
        <v/>
      </c>
      <c r="F975" t="str">
        <f t="array" ref="F975">IFERROR(INDEX(checklistPesertaKemenkeu!$I$6:$I$1005,SMALL(IF(checklistPesertaKemenkeu!$AY$6:$AY$1005="Direkomendasikan",ROW($6:$1005)-5),974)),"")</f>
        <v/>
      </c>
      <c r="G975" t="str">
        <f t="array" ref="G975">IFERROR(INDEX(checklistPesertaKemenkeu!$J$6:$J$1005,SMALL(IF(checklistPesertaKemenkeu!$AY$6:$AY$1005="Direkomendasikan",ROW($6:$1005)-5),974)),"")</f>
        <v/>
      </c>
      <c r="H975" t="str">
        <f t="array" aca="1" ref="H975" ca="1">IFERROR(IF(OR(INDEX(checklistPesertaKemenkeu!$L$6:$L$1005,SMALL(IF(checklistPesertaKemenkeu!$AY$6:$AY$1005="Direkomendasikan",ROW($6:$1005)-5),974))="",INDEX(checklistPesertaKemenkeu!$J$6:$J$1005,SMALL(IF(checklistPesertaKemenkeu!$AY$6:$AY$1005="Direkomendasikan",ROW($6:$1005)-5),974))=""),"",IF(AND(COUNTIF(INDIRECT("K_"&amp;MATCH(INDEX(checklistPesertaKemenkeu!$J$6:$J$1005,SMALL(IF(checklistPesertaKemenkeu!$AY$6:$AY$1005="Direkomendasikan",ROW($6:$1005)-5),974)),BidangList,0)),INDEX(checklistPesertaKemenkeu!$L$6:$L$1005,SMALL(IF(checklistPesertaKemenkeu!$AY$6:$AY$1005="Direkomendasikan",ROW($6:$1005)-5),974)))&gt;0,COUNTIF(INDIRECT("'KERTAS KERJA'!K"&amp;(SMALL(IF(checklistPesertaKemenkeu!$AY$6:$AY$1005="Direkomendasikan",ROW($6:$1005)-5),974)+5)&amp;":O"&amp;(SMALL(IF(checklistPesertaKemenkeu!$AY$6:$AY$1005="Direkomendasikan",ROW($6:$1005)-5),974)+5)),INDEX(checklistPesertaKemenkeu!$L$6:$L$1005,SMALL(IF(checklistPesertaKemenkeu!$AY$6:$AY$1005="Direkomendasikan",ROW($6:$1005)-5),974)))=1),IFERROR(VLOOKUP(INDEX(checklistPesertaKemenkeu!$L$6:$L$1005,SMALL(IF(checklistPesertaKemenkeu!$AY$6:$AY$1005="Direkomendasikan",ROW($6:$1005)-5),974)),KotaKode,2,0),"-"),"")),"")</f>
        <v/>
      </c>
      <c r="I975" t="str">
        <f t="array" aca="1" ref="I975" ca="1">IFERROR(IF(OR(INDEX(checklistPesertaKemenkeu!$M$6:$M$1005,SMALL(IF(checklistPesertaKemenkeu!$AY$6:$AY$1005="Direkomendasikan",ROW($6:$1005)-5),974))="",INDEX(checklistPesertaKemenkeu!$J$6:$J$1005,SMALL(IF(checklistPesertaKemenkeu!$AY$6:$AY$1005="Direkomendasikan",ROW($6:$1005)-5),974))=""),"",IF(AND(COUNTIF(INDIRECT("K_"&amp;MATCH(INDEX(checklistPesertaKemenkeu!$J$6:$J$1005,SMALL(IF(checklistPesertaKemenkeu!$AY$6:$AY$1005="Direkomendasikan",ROW($6:$1005)-5),974)),BidangList,0)),INDEX(checklistPesertaKemenkeu!$M$6:$M$1005,SMALL(IF(checklistPesertaKemenkeu!$AY$6:$AY$1005="Direkomendasikan",ROW($6:$1005)-5),974)))&gt;0,COUNTIF(INDIRECT("'KERTAS KERJA'!K"&amp;(SMALL(IF(checklistPesertaKemenkeu!$AY$6:$AY$1005="Direkomendasikan",ROW($6:$1005)-5),974)+5)&amp;":O"&amp;(SMALL(IF(checklistPesertaKemenkeu!$AY$6:$AY$1005="Direkomendasikan",ROW($6:$1005)-5),974)+5)),INDEX(checklistPesertaKemenkeu!$M$6:$M$1005,SMALL(IF(checklistPesertaKemenkeu!$AY$6:$AY$1005="Direkomendasikan",ROW($6:$1005)-5),974)))=1),IFERROR(VLOOKUP(INDEX(checklistPesertaKemenkeu!$M$6:$M$1005,SMALL(IF(checklistPesertaKemenkeu!$AY$6:$AY$1005="Direkomendasikan",ROW($6:$1005)-5),974)),KotaKode,2,0),"-"),"")),"")</f>
        <v/>
      </c>
      <c r="J975" t="str">
        <f t="array" aca="1" ref="J975" ca="1">IFERROR(IF(OR(INDEX(checklistPesertaKemenkeu!$N$6:$N$1005,SMALL(IF(checklistPesertaKemenkeu!$AY$6:$AY$1005="Direkomendasikan",ROW($6:$1005)-5),974))="",INDEX(checklistPesertaKemenkeu!$J$6:$J$1005,SMALL(IF(checklistPesertaKemenkeu!$AY$6:$AY$1005="Direkomendasikan",ROW($6:$1005)-5),974))=""),"",IF(AND(COUNTIF(INDIRECT("K_"&amp;MATCH(INDEX(checklistPesertaKemenkeu!$J$6:$J$1005,SMALL(IF(checklistPesertaKemenkeu!$AY$6:$AY$1005="Direkomendasikan",ROW($6:$1005)-5),974)),BidangList,0)),INDEX(checklistPesertaKemenkeu!$N$6:$N$1005,SMALL(IF(checklistPesertaKemenkeu!$AY$6:$AY$1005="Direkomendasikan",ROW($6:$1005)-5),974)))&gt;0,COUNTIF(INDIRECT("'KERTAS KERJA'!K"&amp;(SMALL(IF(checklistPesertaKemenkeu!$AY$6:$AY$1005="Direkomendasikan",ROW($6:$1005)-5),974)+5)&amp;":O"&amp;(SMALL(IF(checklistPesertaKemenkeu!$AY$6:$AY$1005="Direkomendasikan",ROW($6:$1005)-5),974)+5)),INDEX(checklistPesertaKemenkeu!$N$6:$N$1005,SMALL(IF(checklistPesertaKemenkeu!$AY$6:$AY$1005="Direkomendasikan",ROW($6:$1005)-5),974)))=1),IFERROR(VLOOKUP(INDEX(checklistPesertaKemenkeu!$N$6:$N$1005,SMALL(IF(checklistPesertaKemenkeu!$AY$6:$AY$1005="Direkomendasikan",ROW($6:$1005)-5),974)),KotaKode,2,0),"-"),"")),"")</f>
        <v/>
      </c>
      <c r="K975" t="str">
        <f t="array" aca="1" ref="K975" ca="1">IFERROR(IF(OR(INDEX(checklistPesertaKemenkeu!$O$6:$O$1005,SMALL(IF(checklistPesertaKemenkeu!$AY$6:$AY$1005="Direkomendasikan",ROW($6:$1005)-5),974))="",INDEX(checklistPesertaKemenkeu!$J$6:$J$1005,SMALL(IF(checklistPesertaKemenkeu!$AY$6:$AY$1005="Direkomendasikan",ROW($6:$1005)-5),974))=""),"",IF(AND(COUNTIF(INDIRECT("K_"&amp;MATCH(INDEX(checklistPesertaKemenkeu!$J$6:$J$1005,SMALL(IF(checklistPesertaKemenkeu!$AY$6:$AY$1005="Direkomendasikan",ROW($6:$1005)-5),974)),BidangList,0)),INDEX(checklistPesertaKemenkeu!$O$6:$O$1005,SMALL(IF(checklistPesertaKemenkeu!$AY$6:$AY$1005="Direkomendasikan",ROW($6:$1005)-5),974)))&gt;0,COUNTIF(INDIRECT("'KERTAS KERJA'!K"&amp;(SMALL(IF(checklistPesertaKemenkeu!$AY$6:$AY$1005="Direkomendasikan",ROW($6:$1005)-5),974)+5)&amp;":O"&amp;(SMALL(IF(checklistPesertaKemenkeu!$AY$6:$AY$1005="Direkomendasikan",ROW($6:$1005)-5),974)+5)),INDEX(checklistPesertaKemenkeu!$O$6:$O$1005,SMALL(IF(checklistPesertaKemenkeu!$AY$6:$AY$1005="Direkomendasikan",ROW($6:$1005)-5),974)))=1),IFERROR(VLOOKUP(INDEX(checklistPesertaKemenkeu!$O$6:$O$1005,SMALL(IF(checklistPesertaKemenkeu!$AY$6:$AY$1005="Direkomendasikan",ROW($6:$1005)-5),974)),KotaKode,2,0),"-"),"")),"")</f>
        <v/>
      </c>
      <c r="L975" t="str">
        <f t="array" aca="1" ref="L975" ca="1">IFERROR(IF(OR(INDEX(checklistPesertaKemenkeu!$P$6:$P$1005,SMALL(IF(checklistPesertaKemenkeu!$AY$6:$AY$1005="Direkomendasikan",ROW($6:$1005)-5),974))="",INDEX(checklistPesertaKemenkeu!$J$6:$J$1005,SMALL(IF(checklistPesertaKemenkeu!$AY$6:$AY$1005="Direkomendasikan",ROW($6:$1005)-5),974))=""),"",IF(AND(COUNTIF(INDIRECT("K_"&amp;MATCH(INDEX(checklistPesertaKemenkeu!$J$6:$J$1005,SMALL(IF(checklistPesertaKemenkeu!$AY$6:$AY$1005="Direkomendasikan",ROW($6:$1005)-5),974)),BidangList,0)),INDEX(checklistPesertaKemenkeu!$P$6:$P$1005,SMALL(IF(checklistPesertaKemenkeu!$AY$6:$AY$1005="Direkomendasikan",ROW($6:$1005)-5),974)))&gt;0,COUNTIF(INDIRECT("'KERTAS KERJA'!K"&amp;(SMALL(IF(checklistPesertaKemenkeu!$AY$6:$AY$1005="Direkomendasikan",ROW($6:$1005)-5),974)+5)&amp;":O"&amp;(SMALL(IF(checklistPesertaKemenkeu!$AY$6:$AY$1005="Direkomendasikan",ROW($6:$1005)-5),974)+5)),INDEX(checklistPesertaKemenkeu!$P$6:$P$1005,SMALL(IF(checklistPesertaKemenkeu!$AY$6:$AY$1005="Direkomendasikan",ROW($6:$1005)-5),974)))=1),IFERROR(VLOOKUP(INDEX(checklistPesertaKemenkeu!$P$6:$P$1005,SMALL(IF(checklistPesertaKemenkeu!$AY$6:$AY$1005="Direkomendasikan",ROW($6:$1005)-5),974)),KotaKode,2,0),"-"),"")),"")</f>
        <v/>
      </c>
    </row>
    <row r="976" spans="1:12" ht="15" customHeight="1" x14ac:dyDescent="0.2">
      <c r="A976" t="str">
        <f t="shared" si="15"/>
        <v/>
      </c>
      <c r="B976" t="str">
        <v/>
      </c>
      <c r="C976" s="40" t="str">
        <f t="array" ref="C976">IFERROR(INDEX(checklistPesertaKemenkeu!$F$6:$F$1005,SMALL(IF(checklistPesertaKemenkeu!$AY$6:$AY$1005="Direkomendasikan",ROW($6:$1005)-5),975)),"")</f>
        <v/>
      </c>
      <c r="D976" t="str">
        <f t="array" ref="D976">IFERROR(INDEX(checklistPesertaKemenkeu!$G$6:$G$1005,SMALL(IF(checklistPesertaKemenkeu!$AY$6:$AY$1005="Direkomendasikan",ROW($6:$1005)-5),975)),"")</f>
        <v/>
      </c>
      <c r="E976" t="str">
        <f t="array" ref="E976">IFERROR(INDEX(checklistPesertaKemenkeu!$H$6:$H$1005,SMALL(IF(checklistPesertaKemenkeu!$AY$6:$AY$1005="Direkomendasikan",ROW($6:$1005)-5),975)),"")</f>
        <v/>
      </c>
      <c r="F976" t="str">
        <f t="array" ref="F976">IFERROR(INDEX(checklistPesertaKemenkeu!$I$6:$I$1005,SMALL(IF(checklistPesertaKemenkeu!$AY$6:$AY$1005="Direkomendasikan",ROW($6:$1005)-5),975)),"")</f>
        <v/>
      </c>
      <c r="G976" t="str">
        <f t="array" ref="G976">IFERROR(INDEX(checklistPesertaKemenkeu!$J$6:$J$1005,SMALL(IF(checklistPesertaKemenkeu!$AY$6:$AY$1005="Direkomendasikan",ROW($6:$1005)-5),975)),"")</f>
        <v/>
      </c>
      <c r="H976" t="str">
        <f t="array" aca="1" ref="H976" ca="1">IFERROR(IF(OR(INDEX(checklistPesertaKemenkeu!$L$6:$L$1005,SMALL(IF(checklistPesertaKemenkeu!$AY$6:$AY$1005="Direkomendasikan",ROW($6:$1005)-5),975))="",INDEX(checklistPesertaKemenkeu!$J$6:$J$1005,SMALL(IF(checklistPesertaKemenkeu!$AY$6:$AY$1005="Direkomendasikan",ROW($6:$1005)-5),975))=""),"",IF(AND(COUNTIF(INDIRECT("K_"&amp;MATCH(INDEX(checklistPesertaKemenkeu!$J$6:$J$1005,SMALL(IF(checklistPesertaKemenkeu!$AY$6:$AY$1005="Direkomendasikan",ROW($6:$1005)-5),975)),BidangList,0)),INDEX(checklistPesertaKemenkeu!$L$6:$L$1005,SMALL(IF(checklistPesertaKemenkeu!$AY$6:$AY$1005="Direkomendasikan",ROW($6:$1005)-5),975)))&gt;0,COUNTIF(INDIRECT("'KERTAS KERJA'!K"&amp;(SMALL(IF(checklistPesertaKemenkeu!$AY$6:$AY$1005="Direkomendasikan",ROW($6:$1005)-5),975)+5)&amp;":O"&amp;(SMALL(IF(checklistPesertaKemenkeu!$AY$6:$AY$1005="Direkomendasikan",ROW($6:$1005)-5),975)+5)),INDEX(checklistPesertaKemenkeu!$L$6:$L$1005,SMALL(IF(checklistPesertaKemenkeu!$AY$6:$AY$1005="Direkomendasikan",ROW($6:$1005)-5),975)))=1),IFERROR(VLOOKUP(INDEX(checklistPesertaKemenkeu!$L$6:$L$1005,SMALL(IF(checklistPesertaKemenkeu!$AY$6:$AY$1005="Direkomendasikan",ROW($6:$1005)-5),975)),KotaKode,2,0),"-"),"")),"")</f>
        <v/>
      </c>
      <c r="I976" t="str">
        <f t="array" aca="1" ref="I976" ca="1">IFERROR(IF(OR(INDEX(checklistPesertaKemenkeu!$M$6:$M$1005,SMALL(IF(checklistPesertaKemenkeu!$AY$6:$AY$1005="Direkomendasikan",ROW($6:$1005)-5),975))="",INDEX(checklistPesertaKemenkeu!$J$6:$J$1005,SMALL(IF(checklistPesertaKemenkeu!$AY$6:$AY$1005="Direkomendasikan",ROW($6:$1005)-5),975))=""),"",IF(AND(COUNTIF(INDIRECT("K_"&amp;MATCH(INDEX(checklistPesertaKemenkeu!$J$6:$J$1005,SMALL(IF(checklistPesertaKemenkeu!$AY$6:$AY$1005="Direkomendasikan",ROW($6:$1005)-5),975)),BidangList,0)),INDEX(checklistPesertaKemenkeu!$M$6:$M$1005,SMALL(IF(checklistPesertaKemenkeu!$AY$6:$AY$1005="Direkomendasikan",ROW($6:$1005)-5),975)))&gt;0,COUNTIF(INDIRECT("'KERTAS KERJA'!K"&amp;(SMALL(IF(checklistPesertaKemenkeu!$AY$6:$AY$1005="Direkomendasikan",ROW($6:$1005)-5),975)+5)&amp;":O"&amp;(SMALL(IF(checklistPesertaKemenkeu!$AY$6:$AY$1005="Direkomendasikan",ROW($6:$1005)-5),975)+5)),INDEX(checklistPesertaKemenkeu!$M$6:$M$1005,SMALL(IF(checklistPesertaKemenkeu!$AY$6:$AY$1005="Direkomendasikan",ROW($6:$1005)-5),975)))=1),IFERROR(VLOOKUP(INDEX(checklistPesertaKemenkeu!$M$6:$M$1005,SMALL(IF(checklistPesertaKemenkeu!$AY$6:$AY$1005="Direkomendasikan",ROW($6:$1005)-5),975)),KotaKode,2,0),"-"),"")),"")</f>
        <v/>
      </c>
      <c r="J976" t="str">
        <f t="array" aca="1" ref="J976" ca="1">IFERROR(IF(OR(INDEX(checklistPesertaKemenkeu!$N$6:$N$1005,SMALL(IF(checklistPesertaKemenkeu!$AY$6:$AY$1005="Direkomendasikan",ROW($6:$1005)-5),975))="",INDEX(checklistPesertaKemenkeu!$J$6:$J$1005,SMALL(IF(checklistPesertaKemenkeu!$AY$6:$AY$1005="Direkomendasikan",ROW($6:$1005)-5),975))=""),"",IF(AND(COUNTIF(INDIRECT("K_"&amp;MATCH(INDEX(checklistPesertaKemenkeu!$J$6:$J$1005,SMALL(IF(checklistPesertaKemenkeu!$AY$6:$AY$1005="Direkomendasikan",ROW($6:$1005)-5),975)),BidangList,0)),INDEX(checklistPesertaKemenkeu!$N$6:$N$1005,SMALL(IF(checklistPesertaKemenkeu!$AY$6:$AY$1005="Direkomendasikan",ROW($6:$1005)-5),975)))&gt;0,COUNTIF(INDIRECT("'KERTAS KERJA'!K"&amp;(SMALL(IF(checklistPesertaKemenkeu!$AY$6:$AY$1005="Direkomendasikan",ROW($6:$1005)-5),975)+5)&amp;":O"&amp;(SMALL(IF(checklistPesertaKemenkeu!$AY$6:$AY$1005="Direkomendasikan",ROW($6:$1005)-5),975)+5)),INDEX(checklistPesertaKemenkeu!$N$6:$N$1005,SMALL(IF(checklistPesertaKemenkeu!$AY$6:$AY$1005="Direkomendasikan",ROW($6:$1005)-5),975)))=1),IFERROR(VLOOKUP(INDEX(checklistPesertaKemenkeu!$N$6:$N$1005,SMALL(IF(checklistPesertaKemenkeu!$AY$6:$AY$1005="Direkomendasikan",ROW($6:$1005)-5),975)),KotaKode,2,0),"-"),"")),"")</f>
        <v/>
      </c>
      <c r="K976" t="str">
        <f t="array" aca="1" ref="K976" ca="1">IFERROR(IF(OR(INDEX(checklistPesertaKemenkeu!$O$6:$O$1005,SMALL(IF(checklistPesertaKemenkeu!$AY$6:$AY$1005="Direkomendasikan",ROW($6:$1005)-5),975))="",INDEX(checklistPesertaKemenkeu!$J$6:$J$1005,SMALL(IF(checklistPesertaKemenkeu!$AY$6:$AY$1005="Direkomendasikan",ROW($6:$1005)-5),975))=""),"",IF(AND(COUNTIF(INDIRECT("K_"&amp;MATCH(INDEX(checklistPesertaKemenkeu!$J$6:$J$1005,SMALL(IF(checklistPesertaKemenkeu!$AY$6:$AY$1005="Direkomendasikan",ROW($6:$1005)-5),975)),BidangList,0)),INDEX(checklistPesertaKemenkeu!$O$6:$O$1005,SMALL(IF(checklistPesertaKemenkeu!$AY$6:$AY$1005="Direkomendasikan",ROW($6:$1005)-5),975)))&gt;0,COUNTIF(INDIRECT("'KERTAS KERJA'!K"&amp;(SMALL(IF(checklistPesertaKemenkeu!$AY$6:$AY$1005="Direkomendasikan",ROW($6:$1005)-5),975)+5)&amp;":O"&amp;(SMALL(IF(checklistPesertaKemenkeu!$AY$6:$AY$1005="Direkomendasikan",ROW($6:$1005)-5),975)+5)),INDEX(checklistPesertaKemenkeu!$O$6:$O$1005,SMALL(IF(checklistPesertaKemenkeu!$AY$6:$AY$1005="Direkomendasikan",ROW($6:$1005)-5),975)))=1),IFERROR(VLOOKUP(INDEX(checklistPesertaKemenkeu!$O$6:$O$1005,SMALL(IF(checklistPesertaKemenkeu!$AY$6:$AY$1005="Direkomendasikan",ROW($6:$1005)-5),975)),KotaKode,2,0),"-"),"")),"")</f>
        <v/>
      </c>
      <c r="L976" t="str">
        <f t="array" aca="1" ref="L976" ca="1">IFERROR(IF(OR(INDEX(checklistPesertaKemenkeu!$P$6:$P$1005,SMALL(IF(checklistPesertaKemenkeu!$AY$6:$AY$1005="Direkomendasikan",ROW($6:$1005)-5),975))="",INDEX(checklistPesertaKemenkeu!$J$6:$J$1005,SMALL(IF(checklistPesertaKemenkeu!$AY$6:$AY$1005="Direkomendasikan",ROW($6:$1005)-5),975))=""),"",IF(AND(COUNTIF(INDIRECT("K_"&amp;MATCH(INDEX(checklistPesertaKemenkeu!$J$6:$J$1005,SMALL(IF(checklistPesertaKemenkeu!$AY$6:$AY$1005="Direkomendasikan",ROW($6:$1005)-5),975)),BidangList,0)),INDEX(checklistPesertaKemenkeu!$P$6:$P$1005,SMALL(IF(checklistPesertaKemenkeu!$AY$6:$AY$1005="Direkomendasikan",ROW($6:$1005)-5),975)))&gt;0,COUNTIF(INDIRECT("'KERTAS KERJA'!K"&amp;(SMALL(IF(checklistPesertaKemenkeu!$AY$6:$AY$1005="Direkomendasikan",ROW($6:$1005)-5),975)+5)&amp;":O"&amp;(SMALL(IF(checklistPesertaKemenkeu!$AY$6:$AY$1005="Direkomendasikan",ROW($6:$1005)-5),975)+5)),INDEX(checklistPesertaKemenkeu!$P$6:$P$1005,SMALL(IF(checklistPesertaKemenkeu!$AY$6:$AY$1005="Direkomendasikan",ROW($6:$1005)-5),975)))=1),IFERROR(VLOOKUP(INDEX(checklistPesertaKemenkeu!$P$6:$P$1005,SMALL(IF(checklistPesertaKemenkeu!$AY$6:$AY$1005="Direkomendasikan",ROW($6:$1005)-5),975)),KotaKode,2,0),"-"),"")),"")</f>
        <v/>
      </c>
    </row>
    <row r="977" spans="1:12" ht="15" customHeight="1" x14ac:dyDescent="0.2">
      <c r="A977" t="str">
        <f t="shared" si="15"/>
        <v/>
      </c>
      <c r="B977" t="str">
        <v/>
      </c>
      <c r="C977" s="40" t="str">
        <f t="array" ref="C977">IFERROR(INDEX(checklistPesertaKemenkeu!$F$6:$F$1005,SMALL(IF(checklistPesertaKemenkeu!$AY$6:$AY$1005="Direkomendasikan",ROW($6:$1005)-5),976)),"")</f>
        <v/>
      </c>
      <c r="D977" t="str">
        <f t="array" ref="D977">IFERROR(INDEX(checklistPesertaKemenkeu!$G$6:$G$1005,SMALL(IF(checklistPesertaKemenkeu!$AY$6:$AY$1005="Direkomendasikan",ROW($6:$1005)-5),976)),"")</f>
        <v/>
      </c>
      <c r="E977" t="str">
        <f t="array" ref="E977">IFERROR(INDEX(checklistPesertaKemenkeu!$H$6:$H$1005,SMALL(IF(checklistPesertaKemenkeu!$AY$6:$AY$1005="Direkomendasikan",ROW($6:$1005)-5),976)),"")</f>
        <v/>
      </c>
      <c r="F977" t="str">
        <f t="array" ref="F977">IFERROR(INDEX(checklistPesertaKemenkeu!$I$6:$I$1005,SMALL(IF(checklistPesertaKemenkeu!$AY$6:$AY$1005="Direkomendasikan",ROW($6:$1005)-5),976)),"")</f>
        <v/>
      </c>
      <c r="G977" t="str">
        <f t="array" ref="G977">IFERROR(INDEX(checklistPesertaKemenkeu!$J$6:$J$1005,SMALL(IF(checklistPesertaKemenkeu!$AY$6:$AY$1005="Direkomendasikan",ROW($6:$1005)-5),976)),"")</f>
        <v/>
      </c>
      <c r="H977" t="str">
        <f t="array" aca="1" ref="H977" ca="1">IFERROR(IF(OR(INDEX(checklistPesertaKemenkeu!$L$6:$L$1005,SMALL(IF(checklistPesertaKemenkeu!$AY$6:$AY$1005="Direkomendasikan",ROW($6:$1005)-5),976))="",INDEX(checklistPesertaKemenkeu!$J$6:$J$1005,SMALL(IF(checklistPesertaKemenkeu!$AY$6:$AY$1005="Direkomendasikan",ROW($6:$1005)-5),976))=""),"",IF(AND(COUNTIF(INDIRECT("K_"&amp;MATCH(INDEX(checklistPesertaKemenkeu!$J$6:$J$1005,SMALL(IF(checklistPesertaKemenkeu!$AY$6:$AY$1005="Direkomendasikan",ROW($6:$1005)-5),976)),BidangList,0)),INDEX(checklistPesertaKemenkeu!$L$6:$L$1005,SMALL(IF(checklistPesertaKemenkeu!$AY$6:$AY$1005="Direkomendasikan",ROW($6:$1005)-5),976)))&gt;0,COUNTIF(INDIRECT("'KERTAS KERJA'!K"&amp;(SMALL(IF(checklistPesertaKemenkeu!$AY$6:$AY$1005="Direkomendasikan",ROW($6:$1005)-5),976)+5)&amp;":O"&amp;(SMALL(IF(checklistPesertaKemenkeu!$AY$6:$AY$1005="Direkomendasikan",ROW($6:$1005)-5),976)+5)),INDEX(checklistPesertaKemenkeu!$L$6:$L$1005,SMALL(IF(checklistPesertaKemenkeu!$AY$6:$AY$1005="Direkomendasikan",ROW($6:$1005)-5),976)))=1),IFERROR(VLOOKUP(INDEX(checklistPesertaKemenkeu!$L$6:$L$1005,SMALL(IF(checklistPesertaKemenkeu!$AY$6:$AY$1005="Direkomendasikan",ROW($6:$1005)-5),976)),KotaKode,2,0),"-"),"")),"")</f>
        <v/>
      </c>
      <c r="I977" t="str">
        <f t="array" aca="1" ref="I977" ca="1">IFERROR(IF(OR(INDEX(checklistPesertaKemenkeu!$M$6:$M$1005,SMALL(IF(checklistPesertaKemenkeu!$AY$6:$AY$1005="Direkomendasikan",ROW($6:$1005)-5),976))="",INDEX(checklistPesertaKemenkeu!$J$6:$J$1005,SMALL(IF(checklistPesertaKemenkeu!$AY$6:$AY$1005="Direkomendasikan",ROW($6:$1005)-5),976))=""),"",IF(AND(COUNTIF(INDIRECT("K_"&amp;MATCH(INDEX(checklistPesertaKemenkeu!$J$6:$J$1005,SMALL(IF(checklistPesertaKemenkeu!$AY$6:$AY$1005="Direkomendasikan",ROW($6:$1005)-5),976)),BidangList,0)),INDEX(checklistPesertaKemenkeu!$M$6:$M$1005,SMALL(IF(checklistPesertaKemenkeu!$AY$6:$AY$1005="Direkomendasikan",ROW($6:$1005)-5),976)))&gt;0,COUNTIF(INDIRECT("'KERTAS KERJA'!K"&amp;(SMALL(IF(checklistPesertaKemenkeu!$AY$6:$AY$1005="Direkomendasikan",ROW($6:$1005)-5),976)+5)&amp;":O"&amp;(SMALL(IF(checklistPesertaKemenkeu!$AY$6:$AY$1005="Direkomendasikan",ROW($6:$1005)-5),976)+5)),INDEX(checklistPesertaKemenkeu!$M$6:$M$1005,SMALL(IF(checklistPesertaKemenkeu!$AY$6:$AY$1005="Direkomendasikan",ROW($6:$1005)-5),976)))=1),IFERROR(VLOOKUP(INDEX(checklistPesertaKemenkeu!$M$6:$M$1005,SMALL(IF(checklistPesertaKemenkeu!$AY$6:$AY$1005="Direkomendasikan",ROW($6:$1005)-5),976)),KotaKode,2,0),"-"),"")),"")</f>
        <v/>
      </c>
      <c r="J977" t="str">
        <f t="array" aca="1" ref="J977" ca="1">IFERROR(IF(OR(INDEX(checklistPesertaKemenkeu!$N$6:$N$1005,SMALL(IF(checklistPesertaKemenkeu!$AY$6:$AY$1005="Direkomendasikan",ROW($6:$1005)-5),976))="",INDEX(checklistPesertaKemenkeu!$J$6:$J$1005,SMALL(IF(checklistPesertaKemenkeu!$AY$6:$AY$1005="Direkomendasikan",ROW($6:$1005)-5),976))=""),"",IF(AND(COUNTIF(INDIRECT("K_"&amp;MATCH(INDEX(checklistPesertaKemenkeu!$J$6:$J$1005,SMALL(IF(checklistPesertaKemenkeu!$AY$6:$AY$1005="Direkomendasikan",ROW($6:$1005)-5),976)),BidangList,0)),INDEX(checklistPesertaKemenkeu!$N$6:$N$1005,SMALL(IF(checklistPesertaKemenkeu!$AY$6:$AY$1005="Direkomendasikan",ROW($6:$1005)-5),976)))&gt;0,COUNTIF(INDIRECT("'KERTAS KERJA'!K"&amp;(SMALL(IF(checklistPesertaKemenkeu!$AY$6:$AY$1005="Direkomendasikan",ROW($6:$1005)-5),976)+5)&amp;":O"&amp;(SMALL(IF(checklistPesertaKemenkeu!$AY$6:$AY$1005="Direkomendasikan",ROW($6:$1005)-5),976)+5)),INDEX(checklistPesertaKemenkeu!$N$6:$N$1005,SMALL(IF(checklistPesertaKemenkeu!$AY$6:$AY$1005="Direkomendasikan",ROW($6:$1005)-5),976)))=1),IFERROR(VLOOKUP(INDEX(checklistPesertaKemenkeu!$N$6:$N$1005,SMALL(IF(checklistPesertaKemenkeu!$AY$6:$AY$1005="Direkomendasikan",ROW($6:$1005)-5),976)),KotaKode,2,0),"-"),"")),"")</f>
        <v/>
      </c>
      <c r="K977" t="str">
        <f t="array" aca="1" ref="K977" ca="1">IFERROR(IF(OR(INDEX(checklistPesertaKemenkeu!$O$6:$O$1005,SMALL(IF(checklistPesertaKemenkeu!$AY$6:$AY$1005="Direkomendasikan",ROW($6:$1005)-5),976))="",INDEX(checklistPesertaKemenkeu!$J$6:$J$1005,SMALL(IF(checklistPesertaKemenkeu!$AY$6:$AY$1005="Direkomendasikan",ROW($6:$1005)-5),976))=""),"",IF(AND(COUNTIF(INDIRECT("K_"&amp;MATCH(INDEX(checklistPesertaKemenkeu!$J$6:$J$1005,SMALL(IF(checklistPesertaKemenkeu!$AY$6:$AY$1005="Direkomendasikan",ROW($6:$1005)-5),976)),BidangList,0)),INDEX(checklistPesertaKemenkeu!$O$6:$O$1005,SMALL(IF(checklistPesertaKemenkeu!$AY$6:$AY$1005="Direkomendasikan",ROW($6:$1005)-5),976)))&gt;0,COUNTIF(INDIRECT("'KERTAS KERJA'!K"&amp;(SMALL(IF(checklistPesertaKemenkeu!$AY$6:$AY$1005="Direkomendasikan",ROW($6:$1005)-5),976)+5)&amp;":O"&amp;(SMALL(IF(checklistPesertaKemenkeu!$AY$6:$AY$1005="Direkomendasikan",ROW($6:$1005)-5),976)+5)),INDEX(checklistPesertaKemenkeu!$O$6:$O$1005,SMALL(IF(checklistPesertaKemenkeu!$AY$6:$AY$1005="Direkomendasikan",ROW($6:$1005)-5),976)))=1),IFERROR(VLOOKUP(INDEX(checklistPesertaKemenkeu!$O$6:$O$1005,SMALL(IF(checklistPesertaKemenkeu!$AY$6:$AY$1005="Direkomendasikan",ROW($6:$1005)-5),976)),KotaKode,2,0),"-"),"")),"")</f>
        <v/>
      </c>
      <c r="L977" t="str">
        <f t="array" aca="1" ref="L977" ca="1">IFERROR(IF(OR(INDEX(checklistPesertaKemenkeu!$P$6:$P$1005,SMALL(IF(checklistPesertaKemenkeu!$AY$6:$AY$1005="Direkomendasikan",ROW($6:$1005)-5),976))="",INDEX(checklistPesertaKemenkeu!$J$6:$J$1005,SMALL(IF(checklistPesertaKemenkeu!$AY$6:$AY$1005="Direkomendasikan",ROW($6:$1005)-5),976))=""),"",IF(AND(COUNTIF(INDIRECT("K_"&amp;MATCH(INDEX(checklistPesertaKemenkeu!$J$6:$J$1005,SMALL(IF(checklistPesertaKemenkeu!$AY$6:$AY$1005="Direkomendasikan",ROW($6:$1005)-5),976)),BidangList,0)),INDEX(checklistPesertaKemenkeu!$P$6:$P$1005,SMALL(IF(checklistPesertaKemenkeu!$AY$6:$AY$1005="Direkomendasikan",ROW($6:$1005)-5),976)))&gt;0,COUNTIF(INDIRECT("'KERTAS KERJA'!K"&amp;(SMALL(IF(checklistPesertaKemenkeu!$AY$6:$AY$1005="Direkomendasikan",ROW($6:$1005)-5),976)+5)&amp;":O"&amp;(SMALL(IF(checklistPesertaKemenkeu!$AY$6:$AY$1005="Direkomendasikan",ROW($6:$1005)-5),976)+5)),INDEX(checklistPesertaKemenkeu!$P$6:$P$1005,SMALL(IF(checklistPesertaKemenkeu!$AY$6:$AY$1005="Direkomendasikan",ROW($6:$1005)-5),976)))=1),IFERROR(VLOOKUP(INDEX(checklistPesertaKemenkeu!$P$6:$P$1005,SMALL(IF(checklistPesertaKemenkeu!$AY$6:$AY$1005="Direkomendasikan",ROW($6:$1005)-5),976)),KotaKode,2,0),"-"),"")),"")</f>
        <v/>
      </c>
    </row>
    <row r="978" spans="1:12" ht="15" customHeight="1" x14ac:dyDescent="0.2">
      <c r="A978" t="str">
        <f t="shared" si="15"/>
        <v/>
      </c>
      <c r="B978" t="str">
        <v/>
      </c>
      <c r="C978" s="40" t="str">
        <f t="array" ref="C978">IFERROR(INDEX(checklistPesertaKemenkeu!$F$6:$F$1005,SMALL(IF(checklistPesertaKemenkeu!$AY$6:$AY$1005="Direkomendasikan",ROW($6:$1005)-5),977)),"")</f>
        <v/>
      </c>
      <c r="D978" t="str">
        <f t="array" ref="D978">IFERROR(INDEX(checklistPesertaKemenkeu!$G$6:$G$1005,SMALL(IF(checklistPesertaKemenkeu!$AY$6:$AY$1005="Direkomendasikan",ROW($6:$1005)-5),977)),"")</f>
        <v/>
      </c>
      <c r="E978" t="str">
        <f t="array" ref="E978">IFERROR(INDEX(checklistPesertaKemenkeu!$H$6:$H$1005,SMALL(IF(checklistPesertaKemenkeu!$AY$6:$AY$1005="Direkomendasikan",ROW($6:$1005)-5),977)),"")</f>
        <v/>
      </c>
      <c r="F978" t="str">
        <f t="array" ref="F978">IFERROR(INDEX(checklistPesertaKemenkeu!$I$6:$I$1005,SMALL(IF(checklistPesertaKemenkeu!$AY$6:$AY$1005="Direkomendasikan",ROW($6:$1005)-5),977)),"")</f>
        <v/>
      </c>
      <c r="G978" t="str">
        <f t="array" ref="G978">IFERROR(INDEX(checklistPesertaKemenkeu!$J$6:$J$1005,SMALL(IF(checklistPesertaKemenkeu!$AY$6:$AY$1005="Direkomendasikan",ROW($6:$1005)-5),977)),"")</f>
        <v/>
      </c>
      <c r="H978" t="str">
        <f t="array" aca="1" ref="H978" ca="1">IFERROR(IF(OR(INDEX(checklistPesertaKemenkeu!$L$6:$L$1005,SMALL(IF(checklistPesertaKemenkeu!$AY$6:$AY$1005="Direkomendasikan",ROW($6:$1005)-5),977))="",INDEX(checklistPesertaKemenkeu!$J$6:$J$1005,SMALL(IF(checklistPesertaKemenkeu!$AY$6:$AY$1005="Direkomendasikan",ROW($6:$1005)-5),977))=""),"",IF(AND(COUNTIF(INDIRECT("K_"&amp;MATCH(INDEX(checklistPesertaKemenkeu!$J$6:$J$1005,SMALL(IF(checklistPesertaKemenkeu!$AY$6:$AY$1005="Direkomendasikan",ROW($6:$1005)-5),977)),BidangList,0)),INDEX(checklistPesertaKemenkeu!$L$6:$L$1005,SMALL(IF(checklistPesertaKemenkeu!$AY$6:$AY$1005="Direkomendasikan",ROW($6:$1005)-5),977)))&gt;0,COUNTIF(INDIRECT("'KERTAS KERJA'!K"&amp;(SMALL(IF(checklistPesertaKemenkeu!$AY$6:$AY$1005="Direkomendasikan",ROW($6:$1005)-5),977)+5)&amp;":O"&amp;(SMALL(IF(checklistPesertaKemenkeu!$AY$6:$AY$1005="Direkomendasikan",ROW($6:$1005)-5),977)+5)),INDEX(checklistPesertaKemenkeu!$L$6:$L$1005,SMALL(IF(checklistPesertaKemenkeu!$AY$6:$AY$1005="Direkomendasikan",ROW($6:$1005)-5),977)))=1),IFERROR(VLOOKUP(INDEX(checklistPesertaKemenkeu!$L$6:$L$1005,SMALL(IF(checklistPesertaKemenkeu!$AY$6:$AY$1005="Direkomendasikan",ROW($6:$1005)-5),977)),KotaKode,2,0),"-"),"")),"")</f>
        <v/>
      </c>
      <c r="I978" t="str">
        <f t="array" aca="1" ref="I978" ca="1">IFERROR(IF(OR(INDEX(checklistPesertaKemenkeu!$M$6:$M$1005,SMALL(IF(checklistPesertaKemenkeu!$AY$6:$AY$1005="Direkomendasikan",ROW($6:$1005)-5),977))="",INDEX(checklistPesertaKemenkeu!$J$6:$J$1005,SMALL(IF(checklistPesertaKemenkeu!$AY$6:$AY$1005="Direkomendasikan",ROW($6:$1005)-5),977))=""),"",IF(AND(COUNTIF(INDIRECT("K_"&amp;MATCH(INDEX(checklistPesertaKemenkeu!$J$6:$J$1005,SMALL(IF(checklistPesertaKemenkeu!$AY$6:$AY$1005="Direkomendasikan",ROW($6:$1005)-5),977)),BidangList,0)),INDEX(checklistPesertaKemenkeu!$M$6:$M$1005,SMALL(IF(checklistPesertaKemenkeu!$AY$6:$AY$1005="Direkomendasikan",ROW($6:$1005)-5),977)))&gt;0,COUNTIF(INDIRECT("'KERTAS KERJA'!K"&amp;(SMALL(IF(checklistPesertaKemenkeu!$AY$6:$AY$1005="Direkomendasikan",ROW($6:$1005)-5),977)+5)&amp;":O"&amp;(SMALL(IF(checklistPesertaKemenkeu!$AY$6:$AY$1005="Direkomendasikan",ROW($6:$1005)-5),977)+5)),INDEX(checklistPesertaKemenkeu!$M$6:$M$1005,SMALL(IF(checklistPesertaKemenkeu!$AY$6:$AY$1005="Direkomendasikan",ROW($6:$1005)-5),977)))=1),IFERROR(VLOOKUP(INDEX(checklistPesertaKemenkeu!$M$6:$M$1005,SMALL(IF(checklistPesertaKemenkeu!$AY$6:$AY$1005="Direkomendasikan",ROW($6:$1005)-5),977)),KotaKode,2,0),"-"),"")),"")</f>
        <v/>
      </c>
      <c r="J978" t="str">
        <f t="array" aca="1" ref="J978" ca="1">IFERROR(IF(OR(INDEX(checklistPesertaKemenkeu!$N$6:$N$1005,SMALL(IF(checklistPesertaKemenkeu!$AY$6:$AY$1005="Direkomendasikan",ROW($6:$1005)-5),977))="",INDEX(checklistPesertaKemenkeu!$J$6:$J$1005,SMALL(IF(checklistPesertaKemenkeu!$AY$6:$AY$1005="Direkomendasikan",ROW($6:$1005)-5),977))=""),"",IF(AND(COUNTIF(INDIRECT("K_"&amp;MATCH(INDEX(checklistPesertaKemenkeu!$J$6:$J$1005,SMALL(IF(checklistPesertaKemenkeu!$AY$6:$AY$1005="Direkomendasikan",ROW($6:$1005)-5),977)),BidangList,0)),INDEX(checklistPesertaKemenkeu!$N$6:$N$1005,SMALL(IF(checklistPesertaKemenkeu!$AY$6:$AY$1005="Direkomendasikan",ROW($6:$1005)-5),977)))&gt;0,COUNTIF(INDIRECT("'KERTAS KERJA'!K"&amp;(SMALL(IF(checklistPesertaKemenkeu!$AY$6:$AY$1005="Direkomendasikan",ROW($6:$1005)-5),977)+5)&amp;":O"&amp;(SMALL(IF(checklistPesertaKemenkeu!$AY$6:$AY$1005="Direkomendasikan",ROW($6:$1005)-5),977)+5)),INDEX(checklistPesertaKemenkeu!$N$6:$N$1005,SMALL(IF(checklistPesertaKemenkeu!$AY$6:$AY$1005="Direkomendasikan",ROW($6:$1005)-5),977)))=1),IFERROR(VLOOKUP(INDEX(checklistPesertaKemenkeu!$N$6:$N$1005,SMALL(IF(checklistPesertaKemenkeu!$AY$6:$AY$1005="Direkomendasikan",ROW($6:$1005)-5),977)),KotaKode,2,0),"-"),"")),"")</f>
        <v/>
      </c>
      <c r="K978" t="str">
        <f t="array" aca="1" ref="K978" ca="1">IFERROR(IF(OR(INDEX(checklistPesertaKemenkeu!$O$6:$O$1005,SMALL(IF(checklistPesertaKemenkeu!$AY$6:$AY$1005="Direkomendasikan",ROW($6:$1005)-5),977))="",INDEX(checklistPesertaKemenkeu!$J$6:$J$1005,SMALL(IF(checklistPesertaKemenkeu!$AY$6:$AY$1005="Direkomendasikan",ROW($6:$1005)-5),977))=""),"",IF(AND(COUNTIF(INDIRECT("K_"&amp;MATCH(INDEX(checklistPesertaKemenkeu!$J$6:$J$1005,SMALL(IF(checklistPesertaKemenkeu!$AY$6:$AY$1005="Direkomendasikan",ROW($6:$1005)-5),977)),BidangList,0)),INDEX(checklistPesertaKemenkeu!$O$6:$O$1005,SMALL(IF(checklistPesertaKemenkeu!$AY$6:$AY$1005="Direkomendasikan",ROW($6:$1005)-5),977)))&gt;0,COUNTIF(INDIRECT("'KERTAS KERJA'!K"&amp;(SMALL(IF(checklistPesertaKemenkeu!$AY$6:$AY$1005="Direkomendasikan",ROW($6:$1005)-5),977)+5)&amp;":O"&amp;(SMALL(IF(checklistPesertaKemenkeu!$AY$6:$AY$1005="Direkomendasikan",ROW($6:$1005)-5),977)+5)),INDEX(checklistPesertaKemenkeu!$O$6:$O$1005,SMALL(IF(checklistPesertaKemenkeu!$AY$6:$AY$1005="Direkomendasikan",ROW($6:$1005)-5),977)))=1),IFERROR(VLOOKUP(INDEX(checklistPesertaKemenkeu!$O$6:$O$1005,SMALL(IF(checklistPesertaKemenkeu!$AY$6:$AY$1005="Direkomendasikan",ROW($6:$1005)-5),977)),KotaKode,2,0),"-"),"")),"")</f>
        <v/>
      </c>
      <c r="L978" t="str">
        <f t="array" aca="1" ref="L978" ca="1">IFERROR(IF(OR(INDEX(checklistPesertaKemenkeu!$P$6:$P$1005,SMALL(IF(checklistPesertaKemenkeu!$AY$6:$AY$1005="Direkomendasikan",ROW($6:$1005)-5),977))="",INDEX(checklistPesertaKemenkeu!$J$6:$J$1005,SMALL(IF(checklistPesertaKemenkeu!$AY$6:$AY$1005="Direkomendasikan",ROW($6:$1005)-5),977))=""),"",IF(AND(COUNTIF(INDIRECT("K_"&amp;MATCH(INDEX(checklistPesertaKemenkeu!$J$6:$J$1005,SMALL(IF(checklistPesertaKemenkeu!$AY$6:$AY$1005="Direkomendasikan",ROW($6:$1005)-5),977)),BidangList,0)),INDEX(checklistPesertaKemenkeu!$P$6:$P$1005,SMALL(IF(checklistPesertaKemenkeu!$AY$6:$AY$1005="Direkomendasikan",ROW($6:$1005)-5),977)))&gt;0,COUNTIF(INDIRECT("'KERTAS KERJA'!K"&amp;(SMALL(IF(checklistPesertaKemenkeu!$AY$6:$AY$1005="Direkomendasikan",ROW($6:$1005)-5),977)+5)&amp;":O"&amp;(SMALL(IF(checklistPesertaKemenkeu!$AY$6:$AY$1005="Direkomendasikan",ROW($6:$1005)-5),977)+5)),INDEX(checklistPesertaKemenkeu!$P$6:$P$1005,SMALL(IF(checklistPesertaKemenkeu!$AY$6:$AY$1005="Direkomendasikan",ROW($6:$1005)-5),977)))=1),IFERROR(VLOOKUP(INDEX(checklistPesertaKemenkeu!$P$6:$P$1005,SMALL(IF(checklistPesertaKemenkeu!$AY$6:$AY$1005="Direkomendasikan",ROW($6:$1005)-5),977)),KotaKode,2,0),"-"),"")),"")</f>
        <v/>
      </c>
    </row>
    <row r="979" spans="1:12" ht="15" customHeight="1" x14ac:dyDescent="0.2">
      <c r="A979" t="str">
        <f t="shared" si="15"/>
        <v/>
      </c>
      <c r="B979" t="str">
        <v/>
      </c>
      <c r="C979" s="40" t="str">
        <f t="array" ref="C979">IFERROR(INDEX(checklistPesertaKemenkeu!$F$6:$F$1005,SMALL(IF(checklistPesertaKemenkeu!$AY$6:$AY$1005="Direkomendasikan",ROW($6:$1005)-5),978)),"")</f>
        <v/>
      </c>
      <c r="D979" t="str">
        <f t="array" ref="D979">IFERROR(INDEX(checklistPesertaKemenkeu!$G$6:$G$1005,SMALL(IF(checklistPesertaKemenkeu!$AY$6:$AY$1005="Direkomendasikan",ROW($6:$1005)-5),978)),"")</f>
        <v/>
      </c>
      <c r="E979" t="str">
        <f t="array" ref="E979">IFERROR(INDEX(checklistPesertaKemenkeu!$H$6:$H$1005,SMALL(IF(checklistPesertaKemenkeu!$AY$6:$AY$1005="Direkomendasikan",ROW($6:$1005)-5),978)),"")</f>
        <v/>
      </c>
      <c r="F979" t="str">
        <f t="array" ref="F979">IFERROR(INDEX(checklistPesertaKemenkeu!$I$6:$I$1005,SMALL(IF(checklistPesertaKemenkeu!$AY$6:$AY$1005="Direkomendasikan",ROW($6:$1005)-5),978)),"")</f>
        <v/>
      </c>
      <c r="G979" t="str">
        <f t="array" ref="G979">IFERROR(INDEX(checklistPesertaKemenkeu!$J$6:$J$1005,SMALL(IF(checklistPesertaKemenkeu!$AY$6:$AY$1005="Direkomendasikan",ROW($6:$1005)-5),978)),"")</f>
        <v/>
      </c>
      <c r="H979" t="str">
        <f t="array" aca="1" ref="H979" ca="1">IFERROR(IF(OR(INDEX(checklistPesertaKemenkeu!$L$6:$L$1005,SMALL(IF(checklistPesertaKemenkeu!$AY$6:$AY$1005="Direkomendasikan",ROW($6:$1005)-5),978))="",INDEX(checklistPesertaKemenkeu!$J$6:$J$1005,SMALL(IF(checklistPesertaKemenkeu!$AY$6:$AY$1005="Direkomendasikan",ROW($6:$1005)-5),978))=""),"",IF(AND(COUNTIF(INDIRECT("K_"&amp;MATCH(INDEX(checklistPesertaKemenkeu!$J$6:$J$1005,SMALL(IF(checklistPesertaKemenkeu!$AY$6:$AY$1005="Direkomendasikan",ROW($6:$1005)-5),978)),BidangList,0)),INDEX(checklistPesertaKemenkeu!$L$6:$L$1005,SMALL(IF(checklistPesertaKemenkeu!$AY$6:$AY$1005="Direkomendasikan",ROW($6:$1005)-5),978)))&gt;0,COUNTIF(INDIRECT("'KERTAS KERJA'!K"&amp;(SMALL(IF(checklistPesertaKemenkeu!$AY$6:$AY$1005="Direkomendasikan",ROW($6:$1005)-5),978)+5)&amp;":O"&amp;(SMALL(IF(checklistPesertaKemenkeu!$AY$6:$AY$1005="Direkomendasikan",ROW($6:$1005)-5),978)+5)),INDEX(checklistPesertaKemenkeu!$L$6:$L$1005,SMALL(IF(checklistPesertaKemenkeu!$AY$6:$AY$1005="Direkomendasikan",ROW($6:$1005)-5),978)))=1),IFERROR(VLOOKUP(INDEX(checklistPesertaKemenkeu!$L$6:$L$1005,SMALL(IF(checklistPesertaKemenkeu!$AY$6:$AY$1005="Direkomendasikan",ROW($6:$1005)-5),978)),KotaKode,2,0),"-"),"")),"")</f>
        <v/>
      </c>
      <c r="I979" t="str">
        <f t="array" aca="1" ref="I979" ca="1">IFERROR(IF(OR(INDEX(checklistPesertaKemenkeu!$M$6:$M$1005,SMALL(IF(checklistPesertaKemenkeu!$AY$6:$AY$1005="Direkomendasikan",ROW($6:$1005)-5),978))="",INDEX(checklistPesertaKemenkeu!$J$6:$J$1005,SMALL(IF(checklistPesertaKemenkeu!$AY$6:$AY$1005="Direkomendasikan",ROW($6:$1005)-5),978))=""),"",IF(AND(COUNTIF(INDIRECT("K_"&amp;MATCH(INDEX(checklistPesertaKemenkeu!$J$6:$J$1005,SMALL(IF(checklistPesertaKemenkeu!$AY$6:$AY$1005="Direkomendasikan",ROW($6:$1005)-5),978)),BidangList,0)),INDEX(checklistPesertaKemenkeu!$M$6:$M$1005,SMALL(IF(checklistPesertaKemenkeu!$AY$6:$AY$1005="Direkomendasikan",ROW($6:$1005)-5),978)))&gt;0,COUNTIF(INDIRECT("'KERTAS KERJA'!K"&amp;(SMALL(IF(checklistPesertaKemenkeu!$AY$6:$AY$1005="Direkomendasikan",ROW($6:$1005)-5),978)+5)&amp;":O"&amp;(SMALL(IF(checklistPesertaKemenkeu!$AY$6:$AY$1005="Direkomendasikan",ROW($6:$1005)-5),978)+5)),INDEX(checklistPesertaKemenkeu!$M$6:$M$1005,SMALL(IF(checklistPesertaKemenkeu!$AY$6:$AY$1005="Direkomendasikan",ROW($6:$1005)-5),978)))=1),IFERROR(VLOOKUP(INDEX(checklistPesertaKemenkeu!$M$6:$M$1005,SMALL(IF(checklistPesertaKemenkeu!$AY$6:$AY$1005="Direkomendasikan",ROW($6:$1005)-5),978)),KotaKode,2,0),"-"),"")),"")</f>
        <v/>
      </c>
      <c r="J979" t="str">
        <f t="array" aca="1" ref="J979" ca="1">IFERROR(IF(OR(INDEX(checklistPesertaKemenkeu!$N$6:$N$1005,SMALL(IF(checklistPesertaKemenkeu!$AY$6:$AY$1005="Direkomendasikan",ROW($6:$1005)-5),978))="",INDEX(checklistPesertaKemenkeu!$J$6:$J$1005,SMALL(IF(checklistPesertaKemenkeu!$AY$6:$AY$1005="Direkomendasikan",ROW($6:$1005)-5),978))=""),"",IF(AND(COUNTIF(INDIRECT("K_"&amp;MATCH(INDEX(checklistPesertaKemenkeu!$J$6:$J$1005,SMALL(IF(checklistPesertaKemenkeu!$AY$6:$AY$1005="Direkomendasikan",ROW($6:$1005)-5),978)),BidangList,0)),INDEX(checklistPesertaKemenkeu!$N$6:$N$1005,SMALL(IF(checklistPesertaKemenkeu!$AY$6:$AY$1005="Direkomendasikan",ROW($6:$1005)-5),978)))&gt;0,COUNTIF(INDIRECT("'KERTAS KERJA'!K"&amp;(SMALL(IF(checklistPesertaKemenkeu!$AY$6:$AY$1005="Direkomendasikan",ROW($6:$1005)-5),978)+5)&amp;":O"&amp;(SMALL(IF(checklistPesertaKemenkeu!$AY$6:$AY$1005="Direkomendasikan",ROW($6:$1005)-5),978)+5)),INDEX(checklistPesertaKemenkeu!$N$6:$N$1005,SMALL(IF(checklistPesertaKemenkeu!$AY$6:$AY$1005="Direkomendasikan",ROW($6:$1005)-5),978)))=1),IFERROR(VLOOKUP(INDEX(checklistPesertaKemenkeu!$N$6:$N$1005,SMALL(IF(checklistPesertaKemenkeu!$AY$6:$AY$1005="Direkomendasikan",ROW($6:$1005)-5),978)),KotaKode,2,0),"-"),"")),"")</f>
        <v/>
      </c>
      <c r="K979" t="str">
        <f t="array" aca="1" ref="K979" ca="1">IFERROR(IF(OR(INDEX(checklistPesertaKemenkeu!$O$6:$O$1005,SMALL(IF(checklistPesertaKemenkeu!$AY$6:$AY$1005="Direkomendasikan",ROW($6:$1005)-5),978))="",INDEX(checklistPesertaKemenkeu!$J$6:$J$1005,SMALL(IF(checklistPesertaKemenkeu!$AY$6:$AY$1005="Direkomendasikan",ROW($6:$1005)-5),978))=""),"",IF(AND(COUNTIF(INDIRECT("K_"&amp;MATCH(INDEX(checklistPesertaKemenkeu!$J$6:$J$1005,SMALL(IF(checklistPesertaKemenkeu!$AY$6:$AY$1005="Direkomendasikan",ROW($6:$1005)-5),978)),BidangList,0)),INDEX(checklistPesertaKemenkeu!$O$6:$O$1005,SMALL(IF(checklistPesertaKemenkeu!$AY$6:$AY$1005="Direkomendasikan",ROW($6:$1005)-5),978)))&gt;0,COUNTIF(INDIRECT("'KERTAS KERJA'!K"&amp;(SMALL(IF(checklistPesertaKemenkeu!$AY$6:$AY$1005="Direkomendasikan",ROW($6:$1005)-5),978)+5)&amp;":O"&amp;(SMALL(IF(checklistPesertaKemenkeu!$AY$6:$AY$1005="Direkomendasikan",ROW($6:$1005)-5),978)+5)),INDEX(checklistPesertaKemenkeu!$O$6:$O$1005,SMALL(IF(checklistPesertaKemenkeu!$AY$6:$AY$1005="Direkomendasikan",ROW($6:$1005)-5),978)))=1),IFERROR(VLOOKUP(INDEX(checklistPesertaKemenkeu!$O$6:$O$1005,SMALL(IF(checklistPesertaKemenkeu!$AY$6:$AY$1005="Direkomendasikan",ROW($6:$1005)-5),978)),KotaKode,2,0),"-"),"")),"")</f>
        <v/>
      </c>
      <c r="L979" t="str">
        <f t="array" aca="1" ref="L979" ca="1">IFERROR(IF(OR(INDEX(checklistPesertaKemenkeu!$P$6:$P$1005,SMALL(IF(checklistPesertaKemenkeu!$AY$6:$AY$1005="Direkomendasikan",ROW($6:$1005)-5),978))="",INDEX(checklistPesertaKemenkeu!$J$6:$J$1005,SMALL(IF(checklistPesertaKemenkeu!$AY$6:$AY$1005="Direkomendasikan",ROW($6:$1005)-5),978))=""),"",IF(AND(COUNTIF(INDIRECT("K_"&amp;MATCH(INDEX(checklistPesertaKemenkeu!$J$6:$J$1005,SMALL(IF(checklistPesertaKemenkeu!$AY$6:$AY$1005="Direkomendasikan",ROW($6:$1005)-5),978)),BidangList,0)),INDEX(checklistPesertaKemenkeu!$P$6:$P$1005,SMALL(IF(checklistPesertaKemenkeu!$AY$6:$AY$1005="Direkomendasikan",ROW($6:$1005)-5),978)))&gt;0,COUNTIF(INDIRECT("'KERTAS KERJA'!K"&amp;(SMALL(IF(checklistPesertaKemenkeu!$AY$6:$AY$1005="Direkomendasikan",ROW($6:$1005)-5),978)+5)&amp;":O"&amp;(SMALL(IF(checklistPesertaKemenkeu!$AY$6:$AY$1005="Direkomendasikan",ROW($6:$1005)-5),978)+5)),INDEX(checklistPesertaKemenkeu!$P$6:$P$1005,SMALL(IF(checklistPesertaKemenkeu!$AY$6:$AY$1005="Direkomendasikan",ROW($6:$1005)-5),978)))=1),IFERROR(VLOOKUP(INDEX(checklistPesertaKemenkeu!$P$6:$P$1005,SMALL(IF(checklistPesertaKemenkeu!$AY$6:$AY$1005="Direkomendasikan",ROW($6:$1005)-5),978)),KotaKode,2,0),"-"),"")),"")</f>
        <v/>
      </c>
    </row>
    <row r="980" spans="1:12" ht="15" customHeight="1" x14ac:dyDescent="0.2">
      <c r="A980" t="str">
        <f t="shared" si="15"/>
        <v/>
      </c>
      <c r="B980" t="str">
        <v/>
      </c>
      <c r="C980" s="40" t="str">
        <f t="array" ref="C980">IFERROR(INDEX(checklistPesertaKemenkeu!$F$6:$F$1005,SMALL(IF(checklistPesertaKemenkeu!$AY$6:$AY$1005="Direkomendasikan",ROW($6:$1005)-5),979)),"")</f>
        <v/>
      </c>
      <c r="D980" t="str">
        <f t="array" ref="D980">IFERROR(INDEX(checklistPesertaKemenkeu!$G$6:$G$1005,SMALL(IF(checklistPesertaKemenkeu!$AY$6:$AY$1005="Direkomendasikan",ROW($6:$1005)-5),979)),"")</f>
        <v/>
      </c>
      <c r="E980" t="str">
        <f t="array" ref="E980">IFERROR(INDEX(checklistPesertaKemenkeu!$H$6:$H$1005,SMALL(IF(checklistPesertaKemenkeu!$AY$6:$AY$1005="Direkomendasikan",ROW($6:$1005)-5),979)),"")</f>
        <v/>
      </c>
      <c r="F980" t="str">
        <f t="array" ref="F980">IFERROR(INDEX(checklistPesertaKemenkeu!$I$6:$I$1005,SMALL(IF(checklistPesertaKemenkeu!$AY$6:$AY$1005="Direkomendasikan",ROW($6:$1005)-5),979)),"")</f>
        <v/>
      </c>
      <c r="G980" t="str">
        <f t="array" ref="G980">IFERROR(INDEX(checklistPesertaKemenkeu!$J$6:$J$1005,SMALL(IF(checklistPesertaKemenkeu!$AY$6:$AY$1005="Direkomendasikan",ROW($6:$1005)-5),979)),"")</f>
        <v/>
      </c>
      <c r="H980" t="str">
        <f t="array" aca="1" ref="H980" ca="1">IFERROR(IF(OR(INDEX(checklistPesertaKemenkeu!$L$6:$L$1005,SMALL(IF(checklistPesertaKemenkeu!$AY$6:$AY$1005="Direkomendasikan",ROW($6:$1005)-5),979))="",INDEX(checklistPesertaKemenkeu!$J$6:$J$1005,SMALL(IF(checklistPesertaKemenkeu!$AY$6:$AY$1005="Direkomendasikan",ROW($6:$1005)-5),979))=""),"",IF(AND(COUNTIF(INDIRECT("K_"&amp;MATCH(INDEX(checklistPesertaKemenkeu!$J$6:$J$1005,SMALL(IF(checklistPesertaKemenkeu!$AY$6:$AY$1005="Direkomendasikan",ROW($6:$1005)-5),979)),BidangList,0)),INDEX(checklistPesertaKemenkeu!$L$6:$L$1005,SMALL(IF(checklistPesertaKemenkeu!$AY$6:$AY$1005="Direkomendasikan",ROW($6:$1005)-5),979)))&gt;0,COUNTIF(INDIRECT("'KERTAS KERJA'!K"&amp;(SMALL(IF(checklistPesertaKemenkeu!$AY$6:$AY$1005="Direkomendasikan",ROW($6:$1005)-5),979)+5)&amp;":O"&amp;(SMALL(IF(checklistPesertaKemenkeu!$AY$6:$AY$1005="Direkomendasikan",ROW($6:$1005)-5),979)+5)),INDEX(checklistPesertaKemenkeu!$L$6:$L$1005,SMALL(IF(checklistPesertaKemenkeu!$AY$6:$AY$1005="Direkomendasikan",ROW($6:$1005)-5),979)))=1),IFERROR(VLOOKUP(INDEX(checklistPesertaKemenkeu!$L$6:$L$1005,SMALL(IF(checklistPesertaKemenkeu!$AY$6:$AY$1005="Direkomendasikan",ROW($6:$1005)-5),979)),KotaKode,2,0),"-"),"")),"")</f>
        <v/>
      </c>
      <c r="I980" t="str">
        <f t="array" aca="1" ref="I980" ca="1">IFERROR(IF(OR(INDEX(checklistPesertaKemenkeu!$M$6:$M$1005,SMALL(IF(checklistPesertaKemenkeu!$AY$6:$AY$1005="Direkomendasikan",ROW($6:$1005)-5),979))="",INDEX(checklistPesertaKemenkeu!$J$6:$J$1005,SMALL(IF(checklistPesertaKemenkeu!$AY$6:$AY$1005="Direkomendasikan",ROW($6:$1005)-5),979))=""),"",IF(AND(COUNTIF(INDIRECT("K_"&amp;MATCH(INDEX(checklistPesertaKemenkeu!$J$6:$J$1005,SMALL(IF(checklistPesertaKemenkeu!$AY$6:$AY$1005="Direkomendasikan",ROW($6:$1005)-5),979)),BidangList,0)),INDEX(checklistPesertaKemenkeu!$M$6:$M$1005,SMALL(IF(checklistPesertaKemenkeu!$AY$6:$AY$1005="Direkomendasikan",ROW($6:$1005)-5),979)))&gt;0,COUNTIF(INDIRECT("'KERTAS KERJA'!K"&amp;(SMALL(IF(checklistPesertaKemenkeu!$AY$6:$AY$1005="Direkomendasikan",ROW($6:$1005)-5),979)+5)&amp;":O"&amp;(SMALL(IF(checklistPesertaKemenkeu!$AY$6:$AY$1005="Direkomendasikan",ROW($6:$1005)-5),979)+5)),INDEX(checklistPesertaKemenkeu!$M$6:$M$1005,SMALL(IF(checklistPesertaKemenkeu!$AY$6:$AY$1005="Direkomendasikan",ROW($6:$1005)-5),979)))=1),IFERROR(VLOOKUP(INDEX(checklistPesertaKemenkeu!$M$6:$M$1005,SMALL(IF(checklistPesertaKemenkeu!$AY$6:$AY$1005="Direkomendasikan",ROW($6:$1005)-5),979)),KotaKode,2,0),"-"),"")),"")</f>
        <v/>
      </c>
      <c r="J980" t="str">
        <f t="array" aca="1" ref="J980" ca="1">IFERROR(IF(OR(INDEX(checklistPesertaKemenkeu!$N$6:$N$1005,SMALL(IF(checklistPesertaKemenkeu!$AY$6:$AY$1005="Direkomendasikan",ROW($6:$1005)-5),979))="",INDEX(checklistPesertaKemenkeu!$J$6:$J$1005,SMALL(IF(checklistPesertaKemenkeu!$AY$6:$AY$1005="Direkomendasikan",ROW($6:$1005)-5),979))=""),"",IF(AND(COUNTIF(INDIRECT("K_"&amp;MATCH(INDEX(checklistPesertaKemenkeu!$J$6:$J$1005,SMALL(IF(checklistPesertaKemenkeu!$AY$6:$AY$1005="Direkomendasikan",ROW($6:$1005)-5),979)),BidangList,0)),INDEX(checklistPesertaKemenkeu!$N$6:$N$1005,SMALL(IF(checklistPesertaKemenkeu!$AY$6:$AY$1005="Direkomendasikan",ROW($6:$1005)-5),979)))&gt;0,COUNTIF(INDIRECT("'KERTAS KERJA'!K"&amp;(SMALL(IF(checklistPesertaKemenkeu!$AY$6:$AY$1005="Direkomendasikan",ROW($6:$1005)-5),979)+5)&amp;":O"&amp;(SMALL(IF(checklistPesertaKemenkeu!$AY$6:$AY$1005="Direkomendasikan",ROW($6:$1005)-5),979)+5)),INDEX(checklistPesertaKemenkeu!$N$6:$N$1005,SMALL(IF(checklistPesertaKemenkeu!$AY$6:$AY$1005="Direkomendasikan",ROW($6:$1005)-5),979)))=1),IFERROR(VLOOKUP(INDEX(checklistPesertaKemenkeu!$N$6:$N$1005,SMALL(IF(checklistPesertaKemenkeu!$AY$6:$AY$1005="Direkomendasikan",ROW($6:$1005)-5),979)),KotaKode,2,0),"-"),"")),"")</f>
        <v/>
      </c>
      <c r="K980" t="str">
        <f t="array" aca="1" ref="K980" ca="1">IFERROR(IF(OR(INDEX(checklistPesertaKemenkeu!$O$6:$O$1005,SMALL(IF(checklistPesertaKemenkeu!$AY$6:$AY$1005="Direkomendasikan",ROW($6:$1005)-5),979))="",INDEX(checklistPesertaKemenkeu!$J$6:$J$1005,SMALL(IF(checklistPesertaKemenkeu!$AY$6:$AY$1005="Direkomendasikan",ROW($6:$1005)-5),979))=""),"",IF(AND(COUNTIF(INDIRECT("K_"&amp;MATCH(INDEX(checklistPesertaKemenkeu!$J$6:$J$1005,SMALL(IF(checklistPesertaKemenkeu!$AY$6:$AY$1005="Direkomendasikan",ROW($6:$1005)-5),979)),BidangList,0)),INDEX(checklistPesertaKemenkeu!$O$6:$O$1005,SMALL(IF(checklistPesertaKemenkeu!$AY$6:$AY$1005="Direkomendasikan",ROW($6:$1005)-5),979)))&gt;0,COUNTIF(INDIRECT("'KERTAS KERJA'!K"&amp;(SMALL(IF(checklistPesertaKemenkeu!$AY$6:$AY$1005="Direkomendasikan",ROW($6:$1005)-5),979)+5)&amp;":O"&amp;(SMALL(IF(checklistPesertaKemenkeu!$AY$6:$AY$1005="Direkomendasikan",ROW($6:$1005)-5),979)+5)),INDEX(checklistPesertaKemenkeu!$O$6:$O$1005,SMALL(IF(checklistPesertaKemenkeu!$AY$6:$AY$1005="Direkomendasikan",ROW($6:$1005)-5),979)))=1),IFERROR(VLOOKUP(INDEX(checklistPesertaKemenkeu!$O$6:$O$1005,SMALL(IF(checklistPesertaKemenkeu!$AY$6:$AY$1005="Direkomendasikan",ROW($6:$1005)-5),979)),KotaKode,2,0),"-"),"")),"")</f>
        <v/>
      </c>
      <c r="L980" t="str">
        <f t="array" aca="1" ref="L980" ca="1">IFERROR(IF(OR(INDEX(checklistPesertaKemenkeu!$P$6:$P$1005,SMALL(IF(checklistPesertaKemenkeu!$AY$6:$AY$1005="Direkomendasikan",ROW($6:$1005)-5),979))="",INDEX(checklistPesertaKemenkeu!$J$6:$J$1005,SMALL(IF(checklistPesertaKemenkeu!$AY$6:$AY$1005="Direkomendasikan",ROW($6:$1005)-5),979))=""),"",IF(AND(COUNTIF(INDIRECT("K_"&amp;MATCH(INDEX(checklistPesertaKemenkeu!$J$6:$J$1005,SMALL(IF(checklistPesertaKemenkeu!$AY$6:$AY$1005="Direkomendasikan",ROW($6:$1005)-5),979)),BidangList,0)),INDEX(checklistPesertaKemenkeu!$P$6:$P$1005,SMALL(IF(checklistPesertaKemenkeu!$AY$6:$AY$1005="Direkomendasikan",ROW($6:$1005)-5),979)))&gt;0,COUNTIF(INDIRECT("'KERTAS KERJA'!K"&amp;(SMALL(IF(checklistPesertaKemenkeu!$AY$6:$AY$1005="Direkomendasikan",ROW($6:$1005)-5),979)+5)&amp;":O"&amp;(SMALL(IF(checklistPesertaKemenkeu!$AY$6:$AY$1005="Direkomendasikan",ROW($6:$1005)-5),979)+5)),INDEX(checklistPesertaKemenkeu!$P$6:$P$1005,SMALL(IF(checklistPesertaKemenkeu!$AY$6:$AY$1005="Direkomendasikan",ROW($6:$1005)-5),979)))=1),IFERROR(VLOOKUP(INDEX(checklistPesertaKemenkeu!$P$6:$P$1005,SMALL(IF(checklistPesertaKemenkeu!$AY$6:$AY$1005="Direkomendasikan",ROW($6:$1005)-5),979)),KotaKode,2,0),"-"),"")),"")</f>
        <v/>
      </c>
    </row>
    <row r="981" spans="1:12" ht="15" customHeight="1" x14ac:dyDescent="0.2">
      <c r="A981" t="str">
        <f t="shared" si="15"/>
        <v/>
      </c>
      <c r="B981" t="str">
        <v/>
      </c>
      <c r="C981" s="40" t="str">
        <f t="array" ref="C981">IFERROR(INDEX(checklistPesertaKemenkeu!$F$6:$F$1005,SMALL(IF(checklistPesertaKemenkeu!$AY$6:$AY$1005="Direkomendasikan",ROW($6:$1005)-5),980)),"")</f>
        <v/>
      </c>
      <c r="D981" t="str">
        <f t="array" ref="D981">IFERROR(INDEX(checklistPesertaKemenkeu!$G$6:$G$1005,SMALL(IF(checklistPesertaKemenkeu!$AY$6:$AY$1005="Direkomendasikan",ROW($6:$1005)-5),980)),"")</f>
        <v/>
      </c>
      <c r="E981" t="str">
        <f t="array" ref="E981">IFERROR(INDEX(checklistPesertaKemenkeu!$H$6:$H$1005,SMALL(IF(checklistPesertaKemenkeu!$AY$6:$AY$1005="Direkomendasikan",ROW($6:$1005)-5),980)),"")</f>
        <v/>
      </c>
      <c r="F981" t="str">
        <f t="array" ref="F981">IFERROR(INDEX(checklistPesertaKemenkeu!$I$6:$I$1005,SMALL(IF(checklistPesertaKemenkeu!$AY$6:$AY$1005="Direkomendasikan",ROW($6:$1005)-5),980)),"")</f>
        <v/>
      </c>
      <c r="G981" t="str">
        <f t="array" ref="G981">IFERROR(INDEX(checklistPesertaKemenkeu!$J$6:$J$1005,SMALL(IF(checklistPesertaKemenkeu!$AY$6:$AY$1005="Direkomendasikan",ROW($6:$1005)-5),980)),"")</f>
        <v/>
      </c>
      <c r="H981" t="str">
        <f t="array" aca="1" ref="H981" ca="1">IFERROR(IF(OR(INDEX(checklistPesertaKemenkeu!$L$6:$L$1005,SMALL(IF(checklistPesertaKemenkeu!$AY$6:$AY$1005="Direkomendasikan",ROW($6:$1005)-5),980))="",INDEX(checklistPesertaKemenkeu!$J$6:$J$1005,SMALL(IF(checklistPesertaKemenkeu!$AY$6:$AY$1005="Direkomendasikan",ROW($6:$1005)-5),980))=""),"",IF(AND(COUNTIF(INDIRECT("K_"&amp;MATCH(INDEX(checklistPesertaKemenkeu!$J$6:$J$1005,SMALL(IF(checklistPesertaKemenkeu!$AY$6:$AY$1005="Direkomendasikan",ROW($6:$1005)-5),980)),BidangList,0)),INDEX(checklistPesertaKemenkeu!$L$6:$L$1005,SMALL(IF(checklistPesertaKemenkeu!$AY$6:$AY$1005="Direkomendasikan",ROW($6:$1005)-5),980)))&gt;0,COUNTIF(INDIRECT("'KERTAS KERJA'!K"&amp;(SMALL(IF(checklistPesertaKemenkeu!$AY$6:$AY$1005="Direkomendasikan",ROW($6:$1005)-5),980)+5)&amp;":O"&amp;(SMALL(IF(checklistPesertaKemenkeu!$AY$6:$AY$1005="Direkomendasikan",ROW($6:$1005)-5),980)+5)),INDEX(checklistPesertaKemenkeu!$L$6:$L$1005,SMALL(IF(checklistPesertaKemenkeu!$AY$6:$AY$1005="Direkomendasikan",ROW($6:$1005)-5),980)))=1),IFERROR(VLOOKUP(INDEX(checklistPesertaKemenkeu!$L$6:$L$1005,SMALL(IF(checklistPesertaKemenkeu!$AY$6:$AY$1005="Direkomendasikan",ROW($6:$1005)-5),980)),KotaKode,2,0),"-"),"")),"")</f>
        <v/>
      </c>
      <c r="I981" t="str">
        <f t="array" aca="1" ref="I981" ca="1">IFERROR(IF(OR(INDEX(checklistPesertaKemenkeu!$M$6:$M$1005,SMALL(IF(checklistPesertaKemenkeu!$AY$6:$AY$1005="Direkomendasikan",ROW($6:$1005)-5),980))="",INDEX(checklistPesertaKemenkeu!$J$6:$J$1005,SMALL(IF(checklistPesertaKemenkeu!$AY$6:$AY$1005="Direkomendasikan",ROW($6:$1005)-5),980))=""),"",IF(AND(COUNTIF(INDIRECT("K_"&amp;MATCH(INDEX(checklistPesertaKemenkeu!$J$6:$J$1005,SMALL(IF(checklistPesertaKemenkeu!$AY$6:$AY$1005="Direkomendasikan",ROW($6:$1005)-5),980)),BidangList,0)),INDEX(checklistPesertaKemenkeu!$M$6:$M$1005,SMALL(IF(checklistPesertaKemenkeu!$AY$6:$AY$1005="Direkomendasikan",ROW($6:$1005)-5),980)))&gt;0,COUNTIF(INDIRECT("'KERTAS KERJA'!K"&amp;(SMALL(IF(checklistPesertaKemenkeu!$AY$6:$AY$1005="Direkomendasikan",ROW($6:$1005)-5),980)+5)&amp;":O"&amp;(SMALL(IF(checklistPesertaKemenkeu!$AY$6:$AY$1005="Direkomendasikan",ROW($6:$1005)-5),980)+5)),INDEX(checklistPesertaKemenkeu!$M$6:$M$1005,SMALL(IF(checklistPesertaKemenkeu!$AY$6:$AY$1005="Direkomendasikan",ROW($6:$1005)-5),980)))=1),IFERROR(VLOOKUP(INDEX(checklistPesertaKemenkeu!$M$6:$M$1005,SMALL(IF(checklistPesertaKemenkeu!$AY$6:$AY$1005="Direkomendasikan",ROW($6:$1005)-5),980)),KotaKode,2,0),"-"),"")),"")</f>
        <v/>
      </c>
      <c r="J981" t="str">
        <f t="array" aca="1" ref="J981" ca="1">IFERROR(IF(OR(INDEX(checklistPesertaKemenkeu!$N$6:$N$1005,SMALL(IF(checklistPesertaKemenkeu!$AY$6:$AY$1005="Direkomendasikan",ROW($6:$1005)-5),980))="",INDEX(checklistPesertaKemenkeu!$J$6:$J$1005,SMALL(IF(checklistPesertaKemenkeu!$AY$6:$AY$1005="Direkomendasikan",ROW($6:$1005)-5),980))=""),"",IF(AND(COUNTIF(INDIRECT("K_"&amp;MATCH(INDEX(checklistPesertaKemenkeu!$J$6:$J$1005,SMALL(IF(checklistPesertaKemenkeu!$AY$6:$AY$1005="Direkomendasikan",ROW($6:$1005)-5),980)),BidangList,0)),INDEX(checklistPesertaKemenkeu!$N$6:$N$1005,SMALL(IF(checklistPesertaKemenkeu!$AY$6:$AY$1005="Direkomendasikan",ROW($6:$1005)-5),980)))&gt;0,COUNTIF(INDIRECT("'KERTAS KERJA'!K"&amp;(SMALL(IF(checklistPesertaKemenkeu!$AY$6:$AY$1005="Direkomendasikan",ROW($6:$1005)-5),980)+5)&amp;":O"&amp;(SMALL(IF(checklistPesertaKemenkeu!$AY$6:$AY$1005="Direkomendasikan",ROW($6:$1005)-5),980)+5)),INDEX(checklistPesertaKemenkeu!$N$6:$N$1005,SMALL(IF(checklistPesertaKemenkeu!$AY$6:$AY$1005="Direkomendasikan",ROW($6:$1005)-5),980)))=1),IFERROR(VLOOKUP(INDEX(checklistPesertaKemenkeu!$N$6:$N$1005,SMALL(IF(checklistPesertaKemenkeu!$AY$6:$AY$1005="Direkomendasikan",ROW($6:$1005)-5),980)),KotaKode,2,0),"-"),"")),"")</f>
        <v/>
      </c>
      <c r="K981" t="str">
        <f t="array" aca="1" ref="K981" ca="1">IFERROR(IF(OR(INDEX(checklistPesertaKemenkeu!$O$6:$O$1005,SMALL(IF(checklistPesertaKemenkeu!$AY$6:$AY$1005="Direkomendasikan",ROW($6:$1005)-5),980))="",INDEX(checklistPesertaKemenkeu!$J$6:$J$1005,SMALL(IF(checklistPesertaKemenkeu!$AY$6:$AY$1005="Direkomendasikan",ROW($6:$1005)-5),980))=""),"",IF(AND(COUNTIF(INDIRECT("K_"&amp;MATCH(INDEX(checklistPesertaKemenkeu!$J$6:$J$1005,SMALL(IF(checklistPesertaKemenkeu!$AY$6:$AY$1005="Direkomendasikan",ROW($6:$1005)-5),980)),BidangList,0)),INDEX(checklistPesertaKemenkeu!$O$6:$O$1005,SMALL(IF(checklistPesertaKemenkeu!$AY$6:$AY$1005="Direkomendasikan",ROW($6:$1005)-5),980)))&gt;0,COUNTIF(INDIRECT("'KERTAS KERJA'!K"&amp;(SMALL(IF(checklistPesertaKemenkeu!$AY$6:$AY$1005="Direkomendasikan",ROW($6:$1005)-5),980)+5)&amp;":O"&amp;(SMALL(IF(checklistPesertaKemenkeu!$AY$6:$AY$1005="Direkomendasikan",ROW($6:$1005)-5),980)+5)),INDEX(checklistPesertaKemenkeu!$O$6:$O$1005,SMALL(IF(checklistPesertaKemenkeu!$AY$6:$AY$1005="Direkomendasikan",ROW($6:$1005)-5),980)))=1),IFERROR(VLOOKUP(INDEX(checklistPesertaKemenkeu!$O$6:$O$1005,SMALL(IF(checklistPesertaKemenkeu!$AY$6:$AY$1005="Direkomendasikan",ROW($6:$1005)-5),980)),KotaKode,2,0),"-"),"")),"")</f>
        <v/>
      </c>
      <c r="L981" t="str">
        <f t="array" aca="1" ref="L981" ca="1">IFERROR(IF(OR(INDEX(checklistPesertaKemenkeu!$P$6:$P$1005,SMALL(IF(checklistPesertaKemenkeu!$AY$6:$AY$1005="Direkomendasikan",ROW($6:$1005)-5),980))="",INDEX(checklistPesertaKemenkeu!$J$6:$J$1005,SMALL(IF(checklistPesertaKemenkeu!$AY$6:$AY$1005="Direkomendasikan",ROW($6:$1005)-5),980))=""),"",IF(AND(COUNTIF(INDIRECT("K_"&amp;MATCH(INDEX(checklistPesertaKemenkeu!$J$6:$J$1005,SMALL(IF(checklistPesertaKemenkeu!$AY$6:$AY$1005="Direkomendasikan",ROW($6:$1005)-5),980)),BidangList,0)),INDEX(checklistPesertaKemenkeu!$P$6:$P$1005,SMALL(IF(checklistPesertaKemenkeu!$AY$6:$AY$1005="Direkomendasikan",ROW($6:$1005)-5),980)))&gt;0,COUNTIF(INDIRECT("'KERTAS KERJA'!K"&amp;(SMALL(IF(checklistPesertaKemenkeu!$AY$6:$AY$1005="Direkomendasikan",ROW($6:$1005)-5),980)+5)&amp;":O"&amp;(SMALL(IF(checklistPesertaKemenkeu!$AY$6:$AY$1005="Direkomendasikan",ROW($6:$1005)-5),980)+5)),INDEX(checklistPesertaKemenkeu!$P$6:$P$1005,SMALL(IF(checklistPesertaKemenkeu!$AY$6:$AY$1005="Direkomendasikan",ROW($6:$1005)-5),980)))=1),IFERROR(VLOOKUP(INDEX(checklistPesertaKemenkeu!$P$6:$P$1005,SMALL(IF(checklistPesertaKemenkeu!$AY$6:$AY$1005="Direkomendasikan",ROW($6:$1005)-5),980)),KotaKode,2,0),"-"),"")),"")</f>
        <v/>
      </c>
    </row>
    <row r="982" spans="1:12" ht="15" customHeight="1" x14ac:dyDescent="0.2">
      <c r="A982" t="str">
        <f t="shared" si="15"/>
        <v/>
      </c>
      <c r="B982" t="str">
        <v/>
      </c>
      <c r="C982" s="40" t="str">
        <f t="array" ref="C982">IFERROR(INDEX(checklistPesertaKemenkeu!$F$6:$F$1005,SMALL(IF(checklistPesertaKemenkeu!$AY$6:$AY$1005="Direkomendasikan",ROW($6:$1005)-5),981)),"")</f>
        <v/>
      </c>
      <c r="D982" t="str">
        <f t="array" ref="D982">IFERROR(INDEX(checklistPesertaKemenkeu!$G$6:$G$1005,SMALL(IF(checklistPesertaKemenkeu!$AY$6:$AY$1005="Direkomendasikan",ROW($6:$1005)-5),981)),"")</f>
        <v/>
      </c>
      <c r="E982" t="str">
        <f t="array" ref="E982">IFERROR(INDEX(checklistPesertaKemenkeu!$H$6:$H$1005,SMALL(IF(checklistPesertaKemenkeu!$AY$6:$AY$1005="Direkomendasikan",ROW($6:$1005)-5),981)),"")</f>
        <v/>
      </c>
      <c r="F982" t="str">
        <f t="array" ref="F982">IFERROR(INDEX(checklistPesertaKemenkeu!$I$6:$I$1005,SMALL(IF(checklistPesertaKemenkeu!$AY$6:$AY$1005="Direkomendasikan",ROW($6:$1005)-5),981)),"")</f>
        <v/>
      </c>
      <c r="G982" t="str">
        <f t="array" ref="G982">IFERROR(INDEX(checklistPesertaKemenkeu!$J$6:$J$1005,SMALL(IF(checklistPesertaKemenkeu!$AY$6:$AY$1005="Direkomendasikan",ROW($6:$1005)-5),981)),"")</f>
        <v/>
      </c>
      <c r="H982" t="str">
        <f t="array" aca="1" ref="H982" ca="1">IFERROR(IF(OR(INDEX(checklistPesertaKemenkeu!$L$6:$L$1005,SMALL(IF(checklistPesertaKemenkeu!$AY$6:$AY$1005="Direkomendasikan",ROW($6:$1005)-5),981))="",INDEX(checklistPesertaKemenkeu!$J$6:$J$1005,SMALL(IF(checklistPesertaKemenkeu!$AY$6:$AY$1005="Direkomendasikan",ROW($6:$1005)-5),981))=""),"",IF(AND(COUNTIF(INDIRECT("K_"&amp;MATCH(INDEX(checklistPesertaKemenkeu!$J$6:$J$1005,SMALL(IF(checklistPesertaKemenkeu!$AY$6:$AY$1005="Direkomendasikan",ROW($6:$1005)-5),981)),BidangList,0)),INDEX(checklistPesertaKemenkeu!$L$6:$L$1005,SMALL(IF(checklistPesertaKemenkeu!$AY$6:$AY$1005="Direkomendasikan",ROW($6:$1005)-5),981)))&gt;0,COUNTIF(INDIRECT("'KERTAS KERJA'!K"&amp;(SMALL(IF(checklistPesertaKemenkeu!$AY$6:$AY$1005="Direkomendasikan",ROW($6:$1005)-5),981)+5)&amp;":O"&amp;(SMALL(IF(checklistPesertaKemenkeu!$AY$6:$AY$1005="Direkomendasikan",ROW($6:$1005)-5),981)+5)),INDEX(checklistPesertaKemenkeu!$L$6:$L$1005,SMALL(IF(checklistPesertaKemenkeu!$AY$6:$AY$1005="Direkomendasikan",ROW($6:$1005)-5),981)))=1),IFERROR(VLOOKUP(INDEX(checklistPesertaKemenkeu!$L$6:$L$1005,SMALL(IF(checklistPesertaKemenkeu!$AY$6:$AY$1005="Direkomendasikan",ROW($6:$1005)-5),981)),KotaKode,2,0),"-"),"")),"")</f>
        <v/>
      </c>
      <c r="I982" t="str">
        <f t="array" aca="1" ref="I982" ca="1">IFERROR(IF(OR(INDEX(checklistPesertaKemenkeu!$M$6:$M$1005,SMALL(IF(checklistPesertaKemenkeu!$AY$6:$AY$1005="Direkomendasikan",ROW($6:$1005)-5),981))="",INDEX(checklistPesertaKemenkeu!$J$6:$J$1005,SMALL(IF(checklistPesertaKemenkeu!$AY$6:$AY$1005="Direkomendasikan",ROW($6:$1005)-5),981))=""),"",IF(AND(COUNTIF(INDIRECT("K_"&amp;MATCH(INDEX(checklistPesertaKemenkeu!$J$6:$J$1005,SMALL(IF(checklistPesertaKemenkeu!$AY$6:$AY$1005="Direkomendasikan",ROW($6:$1005)-5),981)),BidangList,0)),INDEX(checklistPesertaKemenkeu!$M$6:$M$1005,SMALL(IF(checklistPesertaKemenkeu!$AY$6:$AY$1005="Direkomendasikan",ROW($6:$1005)-5),981)))&gt;0,COUNTIF(INDIRECT("'KERTAS KERJA'!K"&amp;(SMALL(IF(checklistPesertaKemenkeu!$AY$6:$AY$1005="Direkomendasikan",ROW($6:$1005)-5),981)+5)&amp;":O"&amp;(SMALL(IF(checklistPesertaKemenkeu!$AY$6:$AY$1005="Direkomendasikan",ROW($6:$1005)-5),981)+5)),INDEX(checklistPesertaKemenkeu!$M$6:$M$1005,SMALL(IF(checklistPesertaKemenkeu!$AY$6:$AY$1005="Direkomendasikan",ROW($6:$1005)-5),981)))=1),IFERROR(VLOOKUP(INDEX(checklistPesertaKemenkeu!$M$6:$M$1005,SMALL(IF(checklistPesertaKemenkeu!$AY$6:$AY$1005="Direkomendasikan",ROW($6:$1005)-5),981)),KotaKode,2,0),"-"),"")),"")</f>
        <v/>
      </c>
      <c r="J982" t="str">
        <f t="array" aca="1" ref="J982" ca="1">IFERROR(IF(OR(INDEX(checklistPesertaKemenkeu!$N$6:$N$1005,SMALL(IF(checklistPesertaKemenkeu!$AY$6:$AY$1005="Direkomendasikan",ROW($6:$1005)-5),981))="",INDEX(checklistPesertaKemenkeu!$J$6:$J$1005,SMALL(IF(checklistPesertaKemenkeu!$AY$6:$AY$1005="Direkomendasikan",ROW($6:$1005)-5),981))=""),"",IF(AND(COUNTIF(INDIRECT("K_"&amp;MATCH(INDEX(checklistPesertaKemenkeu!$J$6:$J$1005,SMALL(IF(checklistPesertaKemenkeu!$AY$6:$AY$1005="Direkomendasikan",ROW($6:$1005)-5),981)),BidangList,0)),INDEX(checklistPesertaKemenkeu!$N$6:$N$1005,SMALL(IF(checklistPesertaKemenkeu!$AY$6:$AY$1005="Direkomendasikan",ROW($6:$1005)-5),981)))&gt;0,COUNTIF(INDIRECT("'KERTAS KERJA'!K"&amp;(SMALL(IF(checklistPesertaKemenkeu!$AY$6:$AY$1005="Direkomendasikan",ROW($6:$1005)-5),981)+5)&amp;":O"&amp;(SMALL(IF(checklistPesertaKemenkeu!$AY$6:$AY$1005="Direkomendasikan",ROW($6:$1005)-5),981)+5)),INDEX(checklistPesertaKemenkeu!$N$6:$N$1005,SMALL(IF(checklistPesertaKemenkeu!$AY$6:$AY$1005="Direkomendasikan",ROW($6:$1005)-5),981)))=1),IFERROR(VLOOKUP(INDEX(checklistPesertaKemenkeu!$N$6:$N$1005,SMALL(IF(checklistPesertaKemenkeu!$AY$6:$AY$1005="Direkomendasikan",ROW($6:$1005)-5),981)),KotaKode,2,0),"-"),"")),"")</f>
        <v/>
      </c>
      <c r="K982" t="str">
        <f t="array" aca="1" ref="K982" ca="1">IFERROR(IF(OR(INDEX(checklistPesertaKemenkeu!$O$6:$O$1005,SMALL(IF(checklistPesertaKemenkeu!$AY$6:$AY$1005="Direkomendasikan",ROW($6:$1005)-5),981))="",INDEX(checklistPesertaKemenkeu!$J$6:$J$1005,SMALL(IF(checklistPesertaKemenkeu!$AY$6:$AY$1005="Direkomendasikan",ROW($6:$1005)-5),981))=""),"",IF(AND(COUNTIF(INDIRECT("K_"&amp;MATCH(INDEX(checklistPesertaKemenkeu!$J$6:$J$1005,SMALL(IF(checklistPesertaKemenkeu!$AY$6:$AY$1005="Direkomendasikan",ROW($6:$1005)-5),981)),BidangList,0)),INDEX(checklistPesertaKemenkeu!$O$6:$O$1005,SMALL(IF(checklistPesertaKemenkeu!$AY$6:$AY$1005="Direkomendasikan",ROW($6:$1005)-5),981)))&gt;0,COUNTIF(INDIRECT("'KERTAS KERJA'!K"&amp;(SMALL(IF(checklistPesertaKemenkeu!$AY$6:$AY$1005="Direkomendasikan",ROW($6:$1005)-5),981)+5)&amp;":O"&amp;(SMALL(IF(checklistPesertaKemenkeu!$AY$6:$AY$1005="Direkomendasikan",ROW($6:$1005)-5),981)+5)),INDEX(checklistPesertaKemenkeu!$O$6:$O$1005,SMALL(IF(checklistPesertaKemenkeu!$AY$6:$AY$1005="Direkomendasikan",ROW($6:$1005)-5),981)))=1),IFERROR(VLOOKUP(INDEX(checklistPesertaKemenkeu!$O$6:$O$1005,SMALL(IF(checklistPesertaKemenkeu!$AY$6:$AY$1005="Direkomendasikan",ROW($6:$1005)-5),981)),KotaKode,2,0),"-"),"")),"")</f>
        <v/>
      </c>
      <c r="L982" t="str">
        <f t="array" aca="1" ref="L982" ca="1">IFERROR(IF(OR(INDEX(checklistPesertaKemenkeu!$P$6:$P$1005,SMALL(IF(checklistPesertaKemenkeu!$AY$6:$AY$1005="Direkomendasikan",ROW($6:$1005)-5),981))="",INDEX(checklistPesertaKemenkeu!$J$6:$J$1005,SMALL(IF(checklistPesertaKemenkeu!$AY$6:$AY$1005="Direkomendasikan",ROW($6:$1005)-5),981))=""),"",IF(AND(COUNTIF(INDIRECT("K_"&amp;MATCH(INDEX(checklistPesertaKemenkeu!$J$6:$J$1005,SMALL(IF(checklistPesertaKemenkeu!$AY$6:$AY$1005="Direkomendasikan",ROW($6:$1005)-5),981)),BidangList,0)),INDEX(checklistPesertaKemenkeu!$P$6:$P$1005,SMALL(IF(checklistPesertaKemenkeu!$AY$6:$AY$1005="Direkomendasikan",ROW($6:$1005)-5),981)))&gt;0,COUNTIF(INDIRECT("'KERTAS KERJA'!K"&amp;(SMALL(IF(checklistPesertaKemenkeu!$AY$6:$AY$1005="Direkomendasikan",ROW($6:$1005)-5),981)+5)&amp;":O"&amp;(SMALL(IF(checklistPesertaKemenkeu!$AY$6:$AY$1005="Direkomendasikan",ROW($6:$1005)-5),981)+5)),INDEX(checklistPesertaKemenkeu!$P$6:$P$1005,SMALL(IF(checklistPesertaKemenkeu!$AY$6:$AY$1005="Direkomendasikan",ROW($6:$1005)-5),981)))=1),IFERROR(VLOOKUP(INDEX(checklistPesertaKemenkeu!$P$6:$P$1005,SMALL(IF(checklistPesertaKemenkeu!$AY$6:$AY$1005="Direkomendasikan",ROW($6:$1005)-5),981)),KotaKode,2,0),"-"),"")),"")</f>
        <v/>
      </c>
    </row>
    <row r="983" spans="1:12" ht="15" customHeight="1" x14ac:dyDescent="0.2">
      <c r="A983" t="str">
        <f t="shared" si="15"/>
        <v/>
      </c>
      <c r="B983" t="str">
        <v/>
      </c>
      <c r="C983" s="40" t="str">
        <f t="array" ref="C983">IFERROR(INDEX(checklistPesertaKemenkeu!$F$6:$F$1005,SMALL(IF(checklistPesertaKemenkeu!$AY$6:$AY$1005="Direkomendasikan",ROW($6:$1005)-5),982)),"")</f>
        <v/>
      </c>
      <c r="D983" t="str">
        <f t="array" ref="D983">IFERROR(INDEX(checklistPesertaKemenkeu!$G$6:$G$1005,SMALL(IF(checklistPesertaKemenkeu!$AY$6:$AY$1005="Direkomendasikan",ROW($6:$1005)-5),982)),"")</f>
        <v/>
      </c>
      <c r="E983" t="str">
        <f t="array" ref="E983">IFERROR(INDEX(checklistPesertaKemenkeu!$H$6:$H$1005,SMALL(IF(checklistPesertaKemenkeu!$AY$6:$AY$1005="Direkomendasikan",ROW($6:$1005)-5),982)),"")</f>
        <v/>
      </c>
      <c r="F983" t="str">
        <f t="array" ref="F983">IFERROR(INDEX(checklistPesertaKemenkeu!$I$6:$I$1005,SMALL(IF(checklistPesertaKemenkeu!$AY$6:$AY$1005="Direkomendasikan",ROW($6:$1005)-5),982)),"")</f>
        <v/>
      </c>
      <c r="G983" t="str">
        <f t="array" ref="G983">IFERROR(INDEX(checklistPesertaKemenkeu!$J$6:$J$1005,SMALL(IF(checklistPesertaKemenkeu!$AY$6:$AY$1005="Direkomendasikan",ROW($6:$1005)-5),982)),"")</f>
        <v/>
      </c>
      <c r="H983" t="str">
        <f t="array" aca="1" ref="H983" ca="1">IFERROR(IF(OR(INDEX(checklistPesertaKemenkeu!$L$6:$L$1005,SMALL(IF(checklistPesertaKemenkeu!$AY$6:$AY$1005="Direkomendasikan",ROW($6:$1005)-5),982))="",INDEX(checklistPesertaKemenkeu!$J$6:$J$1005,SMALL(IF(checklistPesertaKemenkeu!$AY$6:$AY$1005="Direkomendasikan",ROW($6:$1005)-5),982))=""),"",IF(AND(COUNTIF(INDIRECT("K_"&amp;MATCH(INDEX(checklistPesertaKemenkeu!$J$6:$J$1005,SMALL(IF(checklistPesertaKemenkeu!$AY$6:$AY$1005="Direkomendasikan",ROW($6:$1005)-5),982)),BidangList,0)),INDEX(checklistPesertaKemenkeu!$L$6:$L$1005,SMALL(IF(checklistPesertaKemenkeu!$AY$6:$AY$1005="Direkomendasikan",ROW($6:$1005)-5),982)))&gt;0,COUNTIF(INDIRECT("'KERTAS KERJA'!K"&amp;(SMALL(IF(checklistPesertaKemenkeu!$AY$6:$AY$1005="Direkomendasikan",ROW($6:$1005)-5),982)+5)&amp;":O"&amp;(SMALL(IF(checklistPesertaKemenkeu!$AY$6:$AY$1005="Direkomendasikan",ROW($6:$1005)-5),982)+5)),INDEX(checklistPesertaKemenkeu!$L$6:$L$1005,SMALL(IF(checklistPesertaKemenkeu!$AY$6:$AY$1005="Direkomendasikan",ROW($6:$1005)-5),982)))=1),IFERROR(VLOOKUP(INDEX(checklistPesertaKemenkeu!$L$6:$L$1005,SMALL(IF(checklistPesertaKemenkeu!$AY$6:$AY$1005="Direkomendasikan",ROW($6:$1005)-5),982)),KotaKode,2,0),"-"),"")),"")</f>
        <v/>
      </c>
      <c r="I983" t="str">
        <f t="array" aca="1" ref="I983" ca="1">IFERROR(IF(OR(INDEX(checklistPesertaKemenkeu!$M$6:$M$1005,SMALL(IF(checklistPesertaKemenkeu!$AY$6:$AY$1005="Direkomendasikan",ROW($6:$1005)-5),982))="",INDEX(checklistPesertaKemenkeu!$J$6:$J$1005,SMALL(IF(checklistPesertaKemenkeu!$AY$6:$AY$1005="Direkomendasikan",ROW($6:$1005)-5),982))=""),"",IF(AND(COUNTIF(INDIRECT("K_"&amp;MATCH(INDEX(checklistPesertaKemenkeu!$J$6:$J$1005,SMALL(IF(checklistPesertaKemenkeu!$AY$6:$AY$1005="Direkomendasikan",ROW($6:$1005)-5),982)),BidangList,0)),INDEX(checklistPesertaKemenkeu!$M$6:$M$1005,SMALL(IF(checklistPesertaKemenkeu!$AY$6:$AY$1005="Direkomendasikan",ROW($6:$1005)-5),982)))&gt;0,COUNTIF(INDIRECT("'KERTAS KERJA'!K"&amp;(SMALL(IF(checklistPesertaKemenkeu!$AY$6:$AY$1005="Direkomendasikan",ROW($6:$1005)-5),982)+5)&amp;":O"&amp;(SMALL(IF(checklistPesertaKemenkeu!$AY$6:$AY$1005="Direkomendasikan",ROW($6:$1005)-5),982)+5)),INDEX(checklistPesertaKemenkeu!$M$6:$M$1005,SMALL(IF(checklistPesertaKemenkeu!$AY$6:$AY$1005="Direkomendasikan",ROW($6:$1005)-5),982)))=1),IFERROR(VLOOKUP(INDEX(checklistPesertaKemenkeu!$M$6:$M$1005,SMALL(IF(checklistPesertaKemenkeu!$AY$6:$AY$1005="Direkomendasikan",ROW($6:$1005)-5),982)),KotaKode,2,0),"-"),"")),"")</f>
        <v/>
      </c>
      <c r="J983" t="str">
        <f t="array" aca="1" ref="J983" ca="1">IFERROR(IF(OR(INDEX(checklistPesertaKemenkeu!$N$6:$N$1005,SMALL(IF(checklistPesertaKemenkeu!$AY$6:$AY$1005="Direkomendasikan",ROW($6:$1005)-5),982))="",INDEX(checklistPesertaKemenkeu!$J$6:$J$1005,SMALL(IF(checklistPesertaKemenkeu!$AY$6:$AY$1005="Direkomendasikan",ROW($6:$1005)-5),982))=""),"",IF(AND(COUNTIF(INDIRECT("K_"&amp;MATCH(INDEX(checklistPesertaKemenkeu!$J$6:$J$1005,SMALL(IF(checklistPesertaKemenkeu!$AY$6:$AY$1005="Direkomendasikan",ROW($6:$1005)-5),982)),BidangList,0)),INDEX(checklistPesertaKemenkeu!$N$6:$N$1005,SMALL(IF(checklistPesertaKemenkeu!$AY$6:$AY$1005="Direkomendasikan",ROW($6:$1005)-5),982)))&gt;0,COUNTIF(INDIRECT("'KERTAS KERJA'!K"&amp;(SMALL(IF(checklistPesertaKemenkeu!$AY$6:$AY$1005="Direkomendasikan",ROW($6:$1005)-5),982)+5)&amp;":O"&amp;(SMALL(IF(checklistPesertaKemenkeu!$AY$6:$AY$1005="Direkomendasikan",ROW($6:$1005)-5),982)+5)),INDEX(checklistPesertaKemenkeu!$N$6:$N$1005,SMALL(IF(checklistPesertaKemenkeu!$AY$6:$AY$1005="Direkomendasikan",ROW($6:$1005)-5),982)))=1),IFERROR(VLOOKUP(INDEX(checklistPesertaKemenkeu!$N$6:$N$1005,SMALL(IF(checklistPesertaKemenkeu!$AY$6:$AY$1005="Direkomendasikan",ROW($6:$1005)-5),982)),KotaKode,2,0),"-"),"")),"")</f>
        <v/>
      </c>
      <c r="K983" t="str">
        <f t="array" aca="1" ref="K983" ca="1">IFERROR(IF(OR(INDEX(checklistPesertaKemenkeu!$O$6:$O$1005,SMALL(IF(checklistPesertaKemenkeu!$AY$6:$AY$1005="Direkomendasikan",ROW($6:$1005)-5),982))="",INDEX(checklistPesertaKemenkeu!$J$6:$J$1005,SMALL(IF(checklistPesertaKemenkeu!$AY$6:$AY$1005="Direkomendasikan",ROW($6:$1005)-5),982))=""),"",IF(AND(COUNTIF(INDIRECT("K_"&amp;MATCH(INDEX(checklistPesertaKemenkeu!$J$6:$J$1005,SMALL(IF(checklistPesertaKemenkeu!$AY$6:$AY$1005="Direkomendasikan",ROW($6:$1005)-5),982)),BidangList,0)),INDEX(checklistPesertaKemenkeu!$O$6:$O$1005,SMALL(IF(checklistPesertaKemenkeu!$AY$6:$AY$1005="Direkomendasikan",ROW($6:$1005)-5),982)))&gt;0,COUNTIF(INDIRECT("'KERTAS KERJA'!K"&amp;(SMALL(IF(checklistPesertaKemenkeu!$AY$6:$AY$1005="Direkomendasikan",ROW($6:$1005)-5),982)+5)&amp;":O"&amp;(SMALL(IF(checklistPesertaKemenkeu!$AY$6:$AY$1005="Direkomendasikan",ROW($6:$1005)-5),982)+5)),INDEX(checklistPesertaKemenkeu!$O$6:$O$1005,SMALL(IF(checklistPesertaKemenkeu!$AY$6:$AY$1005="Direkomendasikan",ROW($6:$1005)-5),982)))=1),IFERROR(VLOOKUP(INDEX(checklistPesertaKemenkeu!$O$6:$O$1005,SMALL(IF(checklistPesertaKemenkeu!$AY$6:$AY$1005="Direkomendasikan",ROW($6:$1005)-5),982)),KotaKode,2,0),"-"),"")),"")</f>
        <v/>
      </c>
      <c r="L983" t="str">
        <f t="array" aca="1" ref="L983" ca="1">IFERROR(IF(OR(INDEX(checklistPesertaKemenkeu!$P$6:$P$1005,SMALL(IF(checklistPesertaKemenkeu!$AY$6:$AY$1005="Direkomendasikan",ROW($6:$1005)-5),982))="",INDEX(checklistPesertaKemenkeu!$J$6:$J$1005,SMALL(IF(checklistPesertaKemenkeu!$AY$6:$AY$1005="Direkomendasikan",ROW($6:$1005)-5),982))=""),"",IF(AND(COUNTIF(INDIRECT("K_"&amp;MATCH(INDEX(checklistPesertaKemenkeu!$J$6:$J$1005,SMALL(IF(checklistPesertaKemenkeu!$AY$6:$AY$1005="Direkomendasikan",ROW($6:$1005)-5),982)),BidangList,0)),INDEX(checklistPesertaKemenkeu!$P$6:$P$1005,SMALL(IF(checklistPesertaKemenkeu!$AY$6:$AY$1005="Direkomendasikan",ROW($6:$1005)-5),982)))&gt;0,COUNTIF(INDIRECT("'KERTAS KERJA'!K"&amp;(SMALL(IF(checklistPesertaKemenkeu!$AY$6:$AY$1005="Direkomendasikan",ROW($6:$1005)-5),982)+5)&amp;":O"&amp;(SMALL(IF(checklistPesertaKemenkeu!$AY$6:$AY$1005="Direkomendasikan",ROW($6:$1005)-5),982)+5)),INDEX(checklistPesertaKemenkeu!$P$6:$P$1005,SMALL(IF(checklistPesertaKemenkeu!$AY$6:$AY$1005="Direkomendasikan",ROW($6:$1005)-5),982)))=1),IFERROR(VLOOKUP(INDEX(checklistPesertaKemenkeu!$P$6:$P$1005,SMALL(IF(checklistPesertaKemenkeu!$AY$6:$AY$1005="Direkomendasikan",ROW($6:$1005)-5),982)),KotaKode,2,0),"-"),"")),"")</f>
        <v/>
      </c>
    </row>
    <row r="984" spans="1:12" ht="15" customHeight="1" x14ac:dyDescent="0.2">
      <c r="A984" t="str">
        <f t="shared" si="15"/>
        <v/>
      </c>
      <c r="B984" t="str">
        <v/>
      </c>
      <c r="C984" s="40" t="str">
        <f t="array" ref="C984">IFERROR(INDEX(checklistPesertaKemenkeu!$F$6:$F$1005,SMALL(IF(checklistPesertaKemenkeu!$AY$6:$AY$1005="Direkomendasikan",ROW($6:$1005)-5),983)),"")</f>
        <v/>
      </c>
      <c r="D984" t="str">
        <f t="array" ref="D984">IFERROR(INDEX(checklistPesertaKemenkeu!$G$6:$G$1005,SMALL(IF(checklistPesertaKemenkeu!$AY$6:$AY$1005="Direkomendasikan",ROW($6:$1005)-5),983)),"")</f>
        <v/>
      </c>
      <c r="E984" t="str">
        <f t="array" ref="E984">IFERROR(INDEX(checklistPesertaKemenkeu!$H$6:$H$1005,SMALL(IF(checklistPesertaKemenkeu!$AY$6:$AY$1005="Direkomendasikan",ROW($6:$1005)-5),983)),"")</f>
        <v/>
      </c>
      <c r="F984" t="str">
        <f t="array" ref="F984">IFERROR(INDEX(checklistPesertaKemenkeu!$I$6:$I$1005,SMALL(IF(checklistPesertaKemenkeu!$AY$6:$AY$1005="Direkomendasikan",ROW($6:$1005)-5),983)),"")</f>
        <v/>
      </c>
      <c r="G984" t="str">
        <f t="array" ref="G984">IFERROR(INDEX(checklistPesertaKemenkeu!$J$6:$J$1005,SMALL(IF(checklistPesertaKemenkeu!$AY$6:$AY$1005="Direkomendasikan",ROW($6:$1005)-5),983)),"")</f>
        <v/>
      </c>
      <c r="H984" t="str">
        <f t="array" aca="1" ref="H984" ca="1">IFERROR(IF(OR(INDEX(checklistPesertaKemenkeu!$L$6:$L$1005,SMALL(IF(checklistPesertaKemenkeu!$AY$6:$AY$1005="Direkomendasikan",ROW($6:$1005)-5),983))="",INDEX(checklistPesertaKemenkeu!$J$6:$J$1005,SMALL(IF(checklistPesertaKemenkeu!$AY$6:$AY$1005="Direkomendasikan",ROW($6:$1005)-5),983))=""),"",IF(AND(COUNTIF(INDIRECT("K_"&amp;MATCH(INDEX(checklistPesertaKemenkeu!$J$6:$J$1005,SMALL(IF(checklistPesertaKemenkeu!$AY$6:$AY$1005="Direkomendasikan",ROW($6:$1005)-5),983)),BidangList,0)),INDEX(checklistPesertaKemenkeu!$L$6:$L$1005,SMALL(IF(checklistPesertaKemenkeu!$AY$6:$AY$1005="Direkomendasikan",ROW($6:$1005)-5),983)))&gt;0,COUNTIF(INDIRECT("'KERTAS KERJA'!K"&amp;(SMALL(IF(checklistPesertaKemenkeu!$AY$6:$AY$1005="Direkomendasikan",ROW($6:$1005)-5),983)+5)&amp;":O"&amp;(SMALL(IF(checklistPesertaKemenkeu!$AY$6:$AY$1005="Direkomendasikan",ROW($6:$1005)-5),983)+5)),INDEX(checklistPesertaKemenkeu!$L$6:$L$1005,SMALL(IF(checklistPesertaKemenkeu!$AY$6:$AY$1005="Direkomendasikan",ROW($6:$1005)-5),983)))=1),IFERROR(VLOOKUP(INDEX(checklistPesertaKemenkeu!$L$6:$L$1005,SMALL(IF(checklistPesertaKemenkeu!$AY$6:$AY$1005="Direkomendasikan",ROW($6:$1005)-5),983)),KotaKode,2,0),"-"),"")),"")</f>
        <v/>
      </c>
      <c r="I984" t="str">
        <f t="array" aca="1" ref="I984" ca="1">IFERROR(IF(OR(INDEX(checklistPesertaKemenkeu!$M$6:$M$1005,SMALL(IF(checklistPesertaKemenkeu!$AY$6:$AY$1005="Direkomendasikan",ROW($6:$1005)-5),983))="",INDEX(checklistPesertaKemenkeu!$J$6:$J$1005,SMALL(IF(checklistPesertaKemenkeu!$AY$6:$AY$1005="Direkomendasikan",ROW($6:$1005)-5),983))=""),"",IF(AND(COUNTIF(INDIRECT("K_"&amp;MATCH(INDEX(checklistPesertaKemenkeu!$J$6:$J$1005,SMALL(IF(checklistPesertaKemenkeu!$AY$6:$AY$1005="Direkomendasikan",ROW($6:$1005)-5),983)),BidangList,0)),INDEX(checklistPesertaKemenkeu!$M$6:$M$1005,SMALL(IF(checklistPesertaKemenkeu!$AY$6:$AY$1005="Direkomendasikan",ROW($6:$1005)-5),983)))&gt;0,COUNTIF(INDIRECT("'KERTAS KERJA'!K"&amp;(SMALL(IF(checklistPesertaKemenkeu!$AY$6:$AY$1005="Direkomendasikan",ROW($6:$1005)-5),983)+5)&amp;":O"&amp;(SMALL(IF(checklistPesertaKemenkeu!$AY$6:$AY$1005="Direkomendasikan",ROW($6:$1005)-5),983)+5)),INDEX(checklistPesertaKemenkeu!$M$6:$M$1005,SMALL(IF(checklistPesertaKemenkeu!$AY$6:$AY$1005="Direkomendasikan",ROW($6:$1005)-5),983)))=1),IFERROR(VLOOKUP(INDEX(checklistPesertaKemenkeu!$M$6:$M$1005,SMALL(IF(checklistPesertaKemenkeu!$AY$6:$AY$1005="Direkomendasikan",ROW($6:$1005)-5),983)),KotaKode,2,0),"-"),"")),"")</f>
        <v/>
      </c>
      <c r="J984" t="str">
        <f t="array" aca="1" ref="J984" ca="1">IFERROR(IF(OR(INDEX(checklistPesertaKemenkeu!$N$6:$N$1005,SMALL(IF(checklistPesertaKemenkeu!$AY$6:$AY$1005="Direkomendasikan",ROW($6:$1005)-5),983))="",INDEX(checklistPesertaKemenkeu!$J$6:$J$1005,SMALL(IF(checklistPesertaKemenkeu!$AY$6:$AY$1005="Direkomendasikan",ROW($6:$1005)-5),983))=""),"",IF(AND(COUNTIF(INDIRECT("K_"&amp;MATCH(INDEX(checklistPesertaKemenkeu!$J$6:$J$1005,SMALL(IF(checklistPesertaKemenkeu!$AY$6:$AY$1005="Direkomendasikan",ROW($6:$1005)-5),983)),BidangList,0)),INDEX(checklistPesertaKemenkeu!$N$6:$N$1005,SMALL(IF(checklistPesertaKemenkeu!$AY$6:$AY$1005="Direkomendasikan",ROW($6:$1005)-5),983)))&gt;0,COUNTIF(INDIRECT("'KERTAS KERJA'!K"&amp;(SMALL(IF(checklistPesertaKemenkeu!$AY$6:$AY$1005="Direkomendasikan",ROW($6:$1005)-5),983)+5)&amp;":O"&amp;(SMALL(IF(checklistPesertaKemenkeu!$AY$6:$AY$1005="Direkomendasikan",ROW($6:$1005)-5),983)+5)),INDEX(checklistPesertaKemenkeu!$N$6:$N$1005,SMALL(IF(checklistPesertaKemenkeu!$AY$6:$AY$1005="Direkomendasikan",ROW($6:$1005)-5),983)))=1),IFERROR(VLOOKUP(INDEX(checklistPesertaKemenkeu!$N$6:$N$1005,SMALL(IF(checklistPesertaKemenkeu!$AY$6:$AY$1005="Direkomendasikan",ROW($6:$1005)-5),983)),KotaKode,2,0),"-"),"")),"")</f>
        <v/>
      </c>
      <c r="K984" t="str">
        <f t="array" aca="1" ref="K984" ca="1">IFERROR(IF(OR(INDEX(checklistPesertaKemenkeu!$O$6:$O$1005,SMALL(IF(checklistPesertaKemenkeu!$AY$6:$AY$1005="Direkomendasikan",ROW($6:$1005)-5),983))="",INDEX(checklistPesertaKemenkeu!$J$6:$J$1005,SMALL(IF(checklistPesertaKemenkeu!$AY$6:$AY$1005="Direkomendasikan",ROW($6:$1005)-5),983))=""),"",IF(AND(COUNTIF(INDIRECT("K_"&amp;MATCH(INDEX(checklistPesertaKemenkeu!$J$6:$J$1005,SMALL(IF(checklistPesertaKemenkeu!$AY$6:$AY$1005="Direkomendasikan",ROW($6:$1005)-5),983)),BidangList,0)),INDEX(checklistPesertaKemenkeu!$O$6:$O$1005,SMALL(IF(checklistPesertaKemenkeu!$AY$6:$AY$1005="Direkomendasikan",ROW($6:$1005)-5),983)))&gt;0,COUNTIF(INDIRECT("'KERTAS KERJA'!K"&amp;(SMALL(IF(checklistPesertaKemenkeu!$AY$6:$AY$1005="Direkomendasikan",ROW($6:$1005)-5),983)+5)&amp;":O"&amp;(SMALL(IF(checklistPesertaKemenkeu!$AY$6:$AY$1005="Direkomendasikan",ROW($6:$1005)-5),983)+5)),INDEX(checklistPesertaKemenkeu!$O$6:$O$1005,SMALL(IF(checklistPesertaKemenkeu!$AY$6:$AY$1005="Direkomendasikan",ROW($6:$1005)-5),983)))=1),IFERROR(VLOOKUP(INDEX(checklistPesertaKemenkeu!$O$6:$O$1005,SMALL(IF(checklistPesertaKemenkeu!$AY$6:$AY$1005="Direkomendasikan",ROW($6:$1005)-5),983)),KotaKode,2,0),"-"),"")),"")</f>
        <v/>
      </c>
      <c r="L984" t="str">
        <f t="array" aca="1" ref="L984" ca="1">IFERROR(IF(OR(INDEX(checklistPesertaKemenkeu!$P$6:$P$1005,SMALL(IF(checklistPesertaKemenkeu!$AY$6:$AY$1005="Direkomendasikan",ROW($6:$1005)-5),983))="",INDEX(checklistPesertaKemenkeu!$J$6:$J$1005,SMALL(IF(checklistPesertaKemenkeu!$AY$6:$AY$1005="Direkomendasikan",ROW($6:$1005)-5),983))=""),"",IF(AND(COUNTIF(INDIRECT("K_"&amp;MATCH(INDEX(checklistPesertaKemenkeu!$J$6:$J$1005,SMALL(IF(checklistPesertaKemenkeu!$AY$6:$AY$1005="Direkomendasikan",ROW($6:$1005)-5),983)),BidangList,0)),INDEX(checklistPesertaKemenkeu!$P$6:$P$1005,SMALL(IF(checklistPesertaKemenkeu!$AY$6:$AY$1005="Direkomendasikan",ROW($6:$1005)-5),983)))&gt;0,COUNTIF(INDIRECT("'KERTAS KERJA'!K"&amp;(SMALL(IF(checklistPesertaKemenkeu!$AY$6:$AY$1005="Direkomendasikan",ROW($6:$1005)-5),983)+5)&amp;":O"&amp;(SMALL(IF(checklistPesertaKemenkeu!$AY$6:$AY$1005="Direkomendasikan",ROW($6:$1005)-5),983)+5)),INDEX(checklistPesertaKemenkeu!$P$6:$P$1005,SMALL(IF(checklistPesertaKemenkeu!$AY$6:$AY$1005="Direkomendasikan",ROW($6:$1005)-5),983)))=1),IFERROR(VLOOKUP(INDEX(checklistPesertaKemenkeu!$P$6:$P$1005,SMALL(IF(checklistPesertaKemenkeu!$AY$6:$AY$1005="Direkomendasikan",ROW($6:$1005)-5),983)),KotaKode,2,0),"-"),"")),"")</f>
        <v/>
      </c>
    </row>
    <row r="985" spans="1:12" ht="15" customHeight="1" x14ac:dyDescent="0.2">
      <c r="A985" t="str">
        <f t="shared" si="15"/>
        <v/>
      </c>
      <c r="B985" t="str">
        <v/>
      </c>
      <c r="C985" s="40" t="str">
        <f t="array" ref="C985">IFERROR(INDEX(checklistPesertaKemenkeu!$F$6:$F$1005,SMALL(IF(checklistPesertaKemenkeu!$AY$6:$AY$1005="Direkomendasikan",ROW($6:$1005)-5),984)),"")</f>
        <v/>
      </c>
      <c r="D985" t="str">
        <f t="array" ref="D985">IFERROR(INDEX(checklistPesertaKemenkeu!$G$6:$G$1005,SMALL(IF(checklistPesertaKemenkeu!$AY$6:$AY$1005="Direkomendasikan",ROW($6:$1005)-5),984)),"")</f>
        <v/>
      </c>
      <c r="E985" t="str">
        <f t="array" ref="E985">IFERROR(INDEX(checklistPesertaKemenkeu!$H$6:$H$1005,SMALL(IF(checklistPesertaKemenkeu!$AY$6:$AY$1005="Direkomendasikan",ROW($6:$1005)-5),984)),"")</f>
        <v/>
      </c>
      <c r="F985" t="str">
        <f t="array" ref="F985">IFERROR(INDEX(checklistPesertaKemenkeu!$I$6:$I$1005,SMALL(IF(checklistPesertaKemenkeu!$AY$6:$AY$1005="Direkomendasikan",ROW($6:$1005)-5),984)),"")</f>
        <v/>
      </c>
      <c r="G985" t="str">
        <f t="array" ref="G985">IFERROR(INDEX(checklistPesertaKemenkeu!$J$6:$J$1005,SMALL(IF(checklistPesertaKemenkeu!$AY$6:$AY$1005="Direkomendasikan",ROW($6:$1005)-5),984)),"")</f>
        <v/>
      </c>
      <c r="H985" t="str">
        <f t="array" aca="1" ref="H985" ca="1">IFERROR(IF(OR(INDEX(checklistPesertaKemenkeu!$L$6:$L$1005,SMALL(IF(checklistPesertaKemenkeu!$AY$6:$AY$1005="Direkomendasikan",ROW($6:$1005)-5),984))="",INDEX(checklistPesertaKemenkeu!$J$6:$J$1005,SMALL(IF(checklistPesertaKemenkeu!$AY$6:$AY$1005="Direkomendasikan",ROW($6:$1005)-5),984))=""),"",IF(AND(COUNTIF(INDIRECT("K_"&amp;MATCH(INDEX(checklistPesertaKemenkeu!$J$6:$J$1005,SMALL(IF(checklistPesertaKemenkeu!$AY$6:$AY$1005="Direkomendasikan",ROW($6:$1005)-5),984)),BidangList,0)),INDEX(checklistPesertaKemenkeu!$L$6:$L$1005,SMALL(IF(checklistPesertaKemenkeu!$AY$6:$AY$1005="Direkomendasikan",ROW($6:$1005)-5),984)))&gt;0,COUNTIF(INDIRECT("'KERTAS KERJA'!K"&amp;(SMALL(IF(checklistPesertaKemenkeu!$AY$6:$AY$1005="Direkomendasikan",ROW($6:$1005)-5),984)+5)&amp;":O"&amp;(SMALL(IF(checklistPesertaKemenkeu!$AY$6:$AY$1005="Direkomendasikan",ROW($6:$1005)-5),984)+5)),INDEX(checklistPesertaKemenkeu!$L$6:$L$1005,SMALL(IF(checklistPesertaKemenkeu!$AY$6:$AY$1005="Direkomendasikan",ROW($6:$1005)-5),984)))=1),IFERROR(VLOOKUP(INDEX(checklistPesertaKemenkeu!$L$6:$L$1005,SMALL(IF(checklistPesertaKemenkeu!$AY$6:$AY$1005="Direkomendasikan",ROW($6:$1005)-5),984)),KotaKode,2,0),"-"),"")),"")</f>
        <v/>
      </c>
      <c r="I985" t="str">
        <f t="array" aca="1" ref="I985" ca="1">IFERROR(IF(OR(INDEX(checklistPesertaKemenkeu!$M$6:$M$1005,SMALL(IF(checklistPesertaKemenkeu!$AY$6:$AY$1005="Direkomendasikan",ROW($6:$1005)-5),984))="",INDEX(checklistPesertaKemenkeu!$J$6:$J$1005,SMALL(IF(checklistPesertaKemenkeu!$AY$6:$AY$1005="Direkomendasikan",ROW($6:$1005)-5),984))=""),"",IF(AND(COUNTIF(INDIRECT("K_"&amp;MATCH(INDEX(checklistPesertaKemenkeu!$J$6:$J$1005,SMALL(IF(checklistPesertaKemenkeu!$AY$6:$AY$1005="Direkomendasikan",ROW($6:$1005)-5),984)),BidangList,0)),INDEX(checklistPesertaKemenkeu!$M$6:$M$1005,SMALL(IF(checklistPesertaKemenkeu!$AY$6:$AY$1005="Direkomendasikan",ROW($6:$1005)-5),984)))&gt;0,COUNTIF(INDIRECT("'KERTAS KERJA'!K"&amp;(SMALL(IF(checklistPesertaKemenkeu!$AY$6:$AY$1005="Direkomendasikan",ROW($6:$1005)-5),984)+5)&amp;":O"&amp;(SMALL(IF(checklistPesertaKemenkeu!$AY$6:$AY$1005="Direkomendasikan",ROW($6:$1005)-5),984)+5)),INDEX(checklistPesertaKemenkeu!$M$6:$M$1005,SMALL(IF(checklistPesertaKemenkeu!$AY$6:$AY$1005="Direkomendasikan",ROW($6:$1005)-5),984)))=1),IFERROR(VLOOKUP(INDEX(checklistPesertaKemenkeu!$M$6:$M$1005,SMALL(IF(checklistPesertaKemenkeu!$AY$6:$AY$1005="Direkomendasikan",ROW($6:$1005)-5),984)),KotaKode,2,0),"-"),"")),"")</f>
        <v/>
      </c>
      <c r="J985" t="str">
        <f t="array" aca="1" ref="J985" ca="1">IFERROR(IF(OR(INDEX(checklistPesertaKemenkeu!$N$6:$N$1005,SMALL(IF(checklistPesertaKemenkeu!$AY$6:$AY$1005="Direkomendasikan",ROW($6:$1005)-5),984))="",INDEX(checklistPesertaKemenkeu!$J$6:$J$1005,SMALL(IF(checklistPesertaKemenkeu!$AY$6:$AY$1005="Direkomendasikan",ROW($6:$1005)-5),984))=""),"",IF(AND(COUNTIF(INDIRECT("K_"&amp;MATCH(INDEX(checklistPesertaKemenkeu!$J$6:$J$1005,SMALL(IF(checklistPesertaKemenkeu!$AY$6:$AY$1005="Direkomendasikan",ROW($6:$1005)-5),984)),BidangList,0)),INDEX(checklistPesertaKemenkeu!$N$6:$N$1005,SMALL(IF(checklistPesertaKemenkeu!$AY$6:$AY$1005="Direkomendasikan",ROW($6:$1005)-5),984)))&gt;0,COUNTIF(INDIRECT("'KERTAS KERJA'!K"&amp;(SMALL(IF(checklistPesertaKemenkeu!$AY$6:$AY$1005="Direkomendasikan",ROW($6:$1005)-5),984)+5)&amp;":O"&amp;(SMALL(IF(checklistPesertaKemenkeu!$AY$6:$AY$1005="Direkomendasikan",ROW($6:$1005)-5),984)+5)),INDEX(checklistPesertaKemenkeu!$N$6:$N$1005,SMALL(IF(checklistPesertaKemenkeu!$AY$6:$AY$1005="Direkomendasikan",ROW($6:$1005)-5),984)))=1),IFERROR(VLOOKUP(INDEX(checklistPesertaKemenkeu!$N$6:$N$1005,SMALL(IF(checklistPesertaKemenkeu!$AY$6:$AY$1005="Direkomendasikan",ROW($6:$1005)-5),984)),KotaKode,2,0),"-"),"")),"")</f>
        <v/>
      </c>
      <c r="K985" t="str">
        <f t="array" aca="1" ref="K985" ca="1">IFERROR(IF(OR(INDEX(checklistPesertaKemenkeu!$O$6:$O$1005,SMALL(IF(checklistPesertaKemenkeu!$AY$6:$AY$1005="Direkomendasikan",ROW($6:$1005)-5),984))="",INDEX(checklistPesertaKemenkeu!$J$6:$J$1005,SMALL(IF(checklistPesertaKemenkeu!$AY$6:$AY$1005="Direkomendasikan",ROW($6:$1005)-5),984))=""),"",IF(AND(COUNTIF(INDIRECT("K_"&amp;MATCH(INDEX(checklistPesertaKemenkeu!$J$6:$J$1005,SMALL(IF(checklistPesertaKemenkeu!$AY$6:$AY$1005="Direkomendasikan",ROW($6:$1005)-5),984)),BidangList,0)),INDEX(checklistPesertaKemenkeu!$O$6:$O$1005,SMALL(IF(checklistPesertaKemenkeu!$AY$6:$AY$1005="Direkomendasikan",ROW($6:$1005)-5),984)))&gt;0,COUNTIF(INDIRECT("'KERTAS KERJA'!K"&amp;(SMALL(IF(checklistPesertaKemenkeu!$AY$6:$AY$1005="Direkomendasikan",ROW($6:$1005)-5),984)+5)&amp;":O"&amp;(SMALL(IF(checklistPesertaKemenkeu!$AY$6:$AY$1005="Direkomendasikan",ROW($6:$1005)-5),984)+5)),INDEX(checklistPesertaKemenkeu!$O$6:$O$1005,SMALL(IF(checklistPesertaKemenkeu!$AY$6:$AY$1005="Direkomendasikan",ROW($6:$1005)-5),984)))=1),IFERROR(VLOOKUP(INDEX(checklistPesertaKemenkeu!$O$6:$O$1005,SMALL(IF(checklistPesertaKemenkeu!$AY$6:$AY$1005="Direkomendasikan",ROW($6:$1005)-5),984)),KotaKode,2,0),"-"),"")),"")</f>
        <v/>
      </c>
      <c r="L985" t="str">
        <f t="array" aca="1" ref="L985" ca="1">IFERROR(IF(OR(INDEX(checklistPesertaKemenkeu!$P$6:$P$1005,SMALL(IF(checklistPesertaKemenkeu!$AY$6:$AY$1005="Direkomendasikan",ROW($6:$1005)-5),984))="",INDEX(checklistPesertaKemenkeu!$J$6:$J$1005,SMALL(IF(checklistPesertaKemenkeu!$AY$6:$AY$1005="Direkomendasikan",ROW($6:$1005)-5),984))=""),"",IF(AND(COUNTIF(INDIRECT("K_"&amp;MATCH(INDEX(checklistPesertaKemenkeu!$J$6:$J$1005,SMALL(IF(checklistPesertaKemenkeu!$AY$6:$AY$1005="Direkomendasikan",ROW($6:$1005)-5),984)),BidangList,0)),INDEX(checklistPesertaKemenkeu!$P$6:$P$1005,SMALL(IF(checklistPesertaKemenkeu!$AY$6:$AY$1005="Direkomendasikan",ROW($6:$1005)-5),984)))&gt;0,COUNTIF(INDIRECT("'KERTAS KERJA'!K"&amp;(SMALL(IF(checklistPesertaKemenkeu!$AY$6:$AY$1005="Direkomendasikan",ROW($6:$1005)-5),984)+5)&amp;":O"&amp;(SMALL(IF(checklistPesertaKemenkeu!$AY$6:$AY$1005="Direkomendasikan",ROW($6:$1005)-5),984)+5)),INDEX(checklistPesertaKemenkeu!$P$6:$P$1005,SMALL(IF(checklistPesertaKemenkeu!$AY$6:$AY$1005="Direkomendasikan",ROW($6:$1005)-5),984)))=1),IFERROR(VLOOKUP(INDEX(checklistPesertaKemenkeu!$P$6:$P$1005,SMALL(IF(checklistPesertaKemenkeu!$AY$6:$AY$1005="Direkomendasikan",ROW($6:$1005)-5),984)),KotaKode,2,0),"-"),"")),"")</f>
        <v/>
      </c>
    </row>
    <row r="986" spans="1:12" ht="15" customHeight="1" x14ac:dyDescent="0.2">
      <c r="A986" t="str">
        <f t="shared" si="15"/>
        <v/>
      </c>
      <c r="B986" t="str">
        <v/>
      </c>
      <c r="C986" s="40" t="str">
        <f t="array" ref="C986">IFERROR(INDEX(checklistPesertaKemenkeu!$F$6:$F$1005,SMALL(IF(checklistPesertaKemenkeu!$AY$6:$AY$1005="Direkomendasikan",ROW($6:$1005)-5),985)),"")</f>
        <v/>
      </c>
      <c r="D986" t="str">
        <f t="array" ref="D986">IFERROR(INDEX(checklistPesertaKemenkeu!$G$6:$G$1005,SMALL(IF(checklistPesertaKemenkeu!$AY$6:$AY$1005="Direkomendasikan",ROW($6:$1005)-5),985)),"")</f>
        <v/>
      </c>
      <c r="E986" t="str">
        <f t="array" ref="E986">IFERROR(INDEX(checklistPesertaKemenkeu!$H$6:$H$1005,SMALL(IF(checklistPesertaKemenkeu!$AY$6:$AY$1005="Direkomendasikan",ROW($6:$1005)-5),985)),"")</f>
        <v/>
      </c>
      <c r="F986" t="str">
        <f t="array" ref="F986">IFERROR(INDEX(checklistPesertaKemenkeu!$I$6:$I$1005,SMALL(IF(checklistPesertaKemenkeu!$AY$6:$AY$1005="Direkomendasikan",ROW($6:$1005)-5),985)),"")</f>
        <v/>
      </c>
      <c r="G986" t="str">
        <f t="array" ref="G986">IFERROR(INDEX(checklistPesertaKemenkeu!$J$6:$J$1005,SMALL(IF(checklistPesertaKemenkeu!$AY$6:$AY$1005="Direkomendasikan",ROW($6:$1005)-5),985)),"")</f>
        <v/>
      </c>
      <c r="H986" t="str">
        <f t="array" aca="1" ref="H986" ca="1">IFERROR(IF(OR(INDEX(checklistPesertaKemenkeu!$L$6:$L$1005,SMALL(IF(checklistPesertaKemenkeu!$AY$6:$AY$1005="Direkomendasikan",ROW($6:$1005)-5),985))="",INDEX(checklistPesertaKemenkeu!$J$6:$J$1005,SMALL(IF(checklistPesertaKemenkeu!$AY$6:$AY$1005="Direkomendasikan",ROW($6:$1005)-5),985))=""),"",IF(AND(COUNTIF(INDIRECT("K_"&amp;MATCH(INDEX(checklistPesertaKemenkeu!$J$6:$J$1005,SMALL(IF(checklistPesertaKemenkeu!$AY$6:$AY$1005="Direkomendasikan",ROW($6:$1005)-5),985)),BidangList,0)),INDEX(checklistPesertaKemenkeu!$L$6:$L$1005,SMALL(IF(checklistPesertaKemenkeu!$AY$6:$AY$1005="Direkomendasikan",ROW($6:$1005)-5),985)))&gt;0,COUNTIF(INDIRECT("'KERTAS KERJA'!K"&amp;(SMALL(IF(checklistPesertaKemenkeu!$AY$6:$AY$1005="Direkomendasikan",ROW($6:$1005)-5),985)+5)&amp;":O"&amp;(SMALL(IF(checklistPesertaKemenkeu!$AY$6:$AY$1005="Direkomendasikan",ROW($6:$1005)-5),985)+5)),INDEX(checklistPesertaKemenkeu!$L$6:$L$1005,SMALL(IF(checklistPesertaKemenkeu!$AY$6:$AY$1005="Direkomendasikan",ROW($6:$1005)-5),985)))=1),IFERROR(VLOOKUP(INDEX(checklistPesertaKemenkeu!$L$6:$L$1005,SMALL(IF(checklistPesertaKemenkeu!$AY$6:$AY$1005="Direkomendasikan",ROW($6:$1005)-5),985)),KotaKode,2,0),"-"),"")),"")</f>
        <v/>
      </c>
      <c r="I986" t="str">
        <f t="array" aca="1" ref="I986" ca="1">IFERROR(IF(OR(INDEX(checklistPesertaKemenkeu!$M$6:$M$1005,SMALL(IF(checklistPesertaKemenkeu!$AY$6:$AY$1005="Direkomendasikan",ROW($6:$1005)-5),985))="",INDEX(checklistPesertaKemenkeu!$J$6:$J$1005,SMALL(IF(checklistPesertaKemenkeu!$AY$6:$AY$1005="Direkomendasikan",ROW($6:$1005)-5),985))=""),"",IF(AND(COUNTIF(INDIRECT("K_"&amp;MATCH(INDEX(checklistPesertaKemenkeu!$J$6:$J$1005,SMALL(IF(checklistPesertaKemenkeu!$AY$6:$AY$1005="Direkomendasikan",ROW($6:$1005)-5),985)),BidangList,0)),INDEX(checklistPesertaKemenkeu!$M$6:$M$1005,SMALL(IF(checklistPesertaKemenkeu!$AY$6:$AY$1005="Direkomendasikan",ROW($6:$1005)-5),985)))&gt;0,COUNTIF(INDIRECT("'KERTAS KERJA'!K"&amp;(SMALL(IF(checklistPesertaKemenkeu!$AY$6:$AY$1005="Direkomendasikan",ROW($6:$1005)-5),985)+5)&amp;":O"&amp;(SMALL(IF(checklistPesertaKemenkeu!$AY$6:$AY$1005="Direkomendasikan",ROW($6:$1005)-5),985)+5)),INDEX(checklistPesertaKemenkeu!$M$6:$M$1005,SMALL(IF(checklistPesertaKemenkeu!$AY$6:$AY$1005="Direkomendasikan",ROW($6:$1005)-5),985)))=1),IFERROR(VLOOKUP(INDEX(checklistPesertaKemenkeu!$M$6:$M$1005,SMALL(IF(checklistPesertaKemenkeu!$AY$6:$AY$1005="Direkomendasikan",ROW($6:$1005)-5),985)),KotaKode,2,0),"-"),"")),"")</f>
        <v/>
      </c>
      <c r="J986" t="str">
        <f t="array" aca="1" ref="J986" ca="1">IFERROR(IF(OR(INDEX(checklistPesertaKemenkeu!$N$6:$N$1005,SMALL(IF(checklistPesertaKemenkeu!$AY$6:$AY$1005="Direkomendasikan",ROW($6:$1005)-5),985))="",INDEX(checklistPesertaKemenkeu!$J$6:$J$1005,SMALL(IF(checklistPesertaKemenkeu!$AY$6:$AY$1005="Direkomendasikan",ROW($6:$1005)-5),985))=""),"",IF(AND(COUNTIF(INDIRECT("K_"&amp;MATCH(INDEX(checklistPesertaKemenkeu!$J$6:$J$1005,SMALL(IF(checklistPesertaKemenkeu!$AY$6:$AY$1005="Direkomendasikan",ROW($6:$1005)-5),985)),BidangList,0)),INDEX(checklistPesertaKemenkeu!$N$6:$N$1005,SMALL(IF(checklistPesertaKemenkeu!$AY$6:$AY$1005="Direkomendasikan",ROW($6:$1005)-5),985)))&gt;0,COUNTIF(INDIRECT("'KERTAS KERJA'!K"&amp;(SMALL(IF(checklistPesertaKemenkeu!$AY$6:$AY$1005="Direkomendasikan",ROW($6:$1005)-5),985)+5)&amp;":O"&amp;(SMALL(IF(checklistPesertaKemenkeu!$AY$6:$AY$1005="Direkomendasikan",ROW($6:$1005)-5),985)+5)),INDEX(checklistPesertaKemenkeu!$N$6:$N$1005,SMALL(IF(checklistPesertaKemenkeu!$AY$6:$AY$1005="Direkomendasikan",ROW($6:$1005)-5),985)))=1),IFERROR(VLOOKUP(INDEX(checklistPesertaKemenkeu!$N$6:$N$1005,SMALL(IF(checklistPesertaKemenkeu!$AY$6:$AY$1005="Direkomendasikan",ROW($6:$1005)-5),985)),KotaKode,2,0),"-"),"")),"")</f>
        <v/>
      </c>
      <c r="K986" t="str">
        <f t="array" aca="1" ref="K986" ca="1">IFERROR(IF(OR(INDEX(checklistPesertaKemenkeu!$O$6:$O$1005,SMALL(IF(checklistPesertaKemenkeu!$AY$6:$AY$1005="Direkomendasikan",ROW($6:$1005)-5),985))="",INDEX(checklistPesertaKemenkeu!$J$6:$J$1005,SMALL(IF(checklistPesertaKemenkeu!$AY$6:$AY$1005="Direkomendasikan",ROW($6:$1005)-5),985))=""),"",IF(AND(COUNTIF(INDIRECT("K_"&amp;MATCH(INDEX(checklistPesertaKemenkeu!$J$6:$J$1005,SMALL(IF(checklistPesertaKemenkeu!$AY$6:$AY$1005="Direkomendasikan",ROW($6:$1005)-5),985)),BidangList,0)),INDEX(checklistPesertaKemenkeu!$O$6:$O$1005,SMALL(IF(checklistPesertaKemenkeu!$AY$6:$AY$1005="Direkomendasikan",ROW($6:$1005)-5),985)))&gt;0,COUNTIF(INDIRECT("'KERTAS KERJA'!K"&amp;(SMALL(IF(checklistPesertaKemenkeu!$AY$6:$AY$1005="Direkomendasikan",ROW($6:$1005)-5),985)+5)&amp;":O"&amp;(SMALL(IF(checklistPesertaKemenkeu!$AY$6:$AY$1005="Direkomendasikan",ROW($6:$1005)-5),985)+5)),INDEX(checklistPesertaKemenkeu!$O$6:$O$1005,SMALL(IF(checklistPesertaKemenkeu!$AY$6:$AY$1005="Direkomendasikan",ROW($6:$1005)-5),985)))=1),IFERROR(VLOOKUP(INDEX(checklistPesertaKemenkeu!$O$6:$O$1005,SMALL(IF(checklistPesertaKemenkeu!$AY$6:$AY$1005="Direkomendasikan",ROW($6:$1005)-5),985)),KotaKode,2,0),"-"),"")),"")</f>
        <v/>
      </c>
      <c r="L986" t="str">
        <f t="array" aca="1" ref="L986" ca="1">IFERROR(IF(OR(INDEX(checklistPesertaKemenkeu!$P$6:$P$1005,SMALL(IF(checklistPesertaKemenkeu!$AY$6:$AY$1005="Direkomendasikan",ROW($6:$1005)-5),985))="",INDEX(checklistPesertaKemenkeu!$J$6:$J$1005,SMALL(IF(checklistPesertaKemenkeu!$AY$6:$AY$1005="Direkomendasikan",ROW($6:$1005)-5),985))=""),"",IF(AND(COUNTIF(INDIRECT("K_"&amp;MATCH(INDEX(checklistPesertaKemenkeu!$J$6:$J$1005,SMALL(IF(checklistPesertaKemenkeu!$AY$6:$AY$1005="Direkomendasikan",ROW($6:$1005)-5),985)),BidangList,0)),INDEX(checklistPesertaKemenkeu!$P$6:$P$1005,SMALL(IF(checklistPesertaKemenkeu!$AY$6:$AY$1005="Direkomendasikan",ROW($6:$1005)-5),985)))&gt;0,COUNTIF(INDIRECT("'KERTAS KERJA'!K"&amp;(SMALL(IF(checklistPesertaKemenkeu!$AY$6:$AY$1005="Direkomendasikan",ROW($6:$1005)-5),985)+5)&amp;":O"&amp;(SMALL(IF(checklistPesertaKemenkeu!$AY$6:$AY$1005="Direkomendasikan",ROW($6:$1005)-5),985)+5)),INDEX(checklistPesertaKemenkeu!$P$6:$P$1005,SMALL(IF(checklistPesertaKemenkeu!$AY$6:$AY$1005="Direkomendasikan",ROW($6:$1005)-5),985)))=1),IFERROR(VLOOKUP(INDEX(checklistPesertaKemenkeu!$P$6:$P$1005,SMALL(IF(checklistPesertaKemenkeu!$AY$6:$AY$1005="Direkomendasikan",ROW($6:$1005)-5),985)),KotaKode,2,0),"-"),"")),"")</f>
        <v/>
      </c>
    </row>
    <row r="987" spans="1:12" ht="15" customHeight="1" x14ac:dyDescent="0.2">
      <c r="A987" t="str">
        <f t="shared" si="15"/>
        <v/>
      </c>
      <c r="B987" t="str">
        <v/>
      </c>
      <c r="C987" s="40" t="str">
        <f t="array" ref="C987">IFERROR(INDEX(checklistPesertaKemenkeu!$F$6:$F$1005,SMALL(IF(checklistPesertaKemenkeu!$AY$6:$AY$1005="Direkomendasikan",ROW($6:$1005)-5),986)),"")</f>
        <v/>
      </c>
      <c r="D987" t="str">
        <f t="array" ref="D987">IFERROR(INDEX(checklistPesertaKemenkeu!$G$6:$G$1005,SMALL(IF(checklistPesertaKemenkeu!$AY$6:$AY$1005="Direkomendasikan",ROW($6:$1005)-5),986)),"")</f>
        <v/>
      </c>
      <c r="E987" t="str">
        <f t="array" ref="E987">IFERROR(INDEX(checklistPesertaKemenkeu!$H$6:$H$1005,SMALL(IF(checklistPesertaKemenkeu!$AY$6:$AY$1005="Direkomendasikan",ROW($6:$1005)-5),986)),"")</f>
        <v/>
      </c>
      <c r="F987" t="str">
        <f t="array" ref="F987">IFERROR(INDEX(checklistPesertaKemenkeu!$I$6:$I$1005,SMALL(IF(checklistPesertaKemenkeu!$AY$6:$AY$1005="Direkomendasikan",ROW($6:$1005)-5),986)),"")</f>
        <v/>
      </c>
      <c r="G987" t="str">
        <f t="array" ref="G987">IFERROR(INDEX(checklistPesertaKemenkeu!$J$6:$J$1005,SMALL(IF(checklistPesertaKemenkeu!$AY$6:$AY$1005="Direkomendasikan",ROW($6:$1005)-5),986)),"")</f>
        <v/>
      </c>
      <c r="H987" t="str">
        <f t="array" aca="1" ref="H987" ca="1">IFERROR(IF(OR(INDEX(checklistPesertaKemenkeu!$L$6:$L$1005,SMALL(IF(checklistPesertaKemenkeu!$AY$6:$AY$1005="Direkomendasikan",ROW($6:$1005)-5),986))="",INDEX(checklistPesertaKemenkeu!$J$6:$J$1005,SMALL(IF(checklistPesertaKemenkeu!$AY$6:$AY$1005="Direkomendasikan",ROW($6:$1005)-5),986))=""),"",IF(AND(COUNTIF(INDIRECT("K_"&amp;MATCH(INDEX(checklistPesertaKemenkeu!$J$6:$J$1005,SMALL(IF(checklistPesertaKemenkeu!$AY$6:$AY$1005="Direkomendasikan",ROW($6:$1005)-5),986)),BidangList,0)),INDEX(checklistPesertaKemenkeu!$L$6:$L$1005,SMALL(IF(checklistPesertaKemenkeu!$AY$6:$AY$1005="Direkomendasikan",ROW($6:$1005)-5),986)))&gt;0,COUNTIF(INDIRECT("'KERTAS KERJA'!K"&amp;(SMALL(IF(checklistPesertaKemenkeu!$AY$6:$AY$1005="Direkomendasikan",ROW($6:$1005)-5),986)+5)&amp;":O"&amp;(SMALL(IF(checklistPesertaKemenkeu!$AY$6:$AY$1005="Direkomendasikan",ROW($6:$1005)-5),986)+5)),INDEX(checklistPesertaKemenkeu!$L$6:$L$1005,SMALL(IF(checklistPesertaKemenkeu!$AY$6:$AY$1005="Direkomendasikan",ROW($6:$1005)-5),986)))=1),IFERROR(VLOOKUP(INDEX(checklistPesertaKemenkeu!$L$6:$L$1005,SMALL(IF(checklistPesertaKemenkeu!$AY$6:$AY$1005="Direkomendasikan",ROW($6:$1005)-5),986)),KotaKode,2,0),"-"),"")),"")</f>
        <v/>
      </c>
      <c r="I987" t="str">
        <f t="array" aca="1" ref="I987" ca="1">IFERROR(IF(OR(INDEX(checklistPesertaKemenkeu!$M$6:$M$1005,SMALL(IF(checklistPesertaKemenkeu!$AY$6:$AY$1005="Direkomendasikan",ROW($6:$1005)-5),986))="",INDEX(checklistPesertaKemenkeu!$J$6:$J$1005,SMALL(IF(checklistPesertaKemenkeu!$AY$6:$AY$1005="Direkomendasikan",ROW($6:$1005)-5),986))=""),"",IF(AND(COUNTIF(INDIRECT("K_"&amp;MATCH(INDEX(checklistPesertaKemenkeu!$J$6:$J$1005,SMALL(IF(checklistPesertaKemenkeu!$AY$6:$AY$1005="Direkomendasikan",ROW($6:$1005)-5),986)),BidangList,0)),INDEX(checklistPesertaKemenkeu!$M$6:$M$1005,SMALL(IF(checklistPesertaKemenkeu!$AY$6:$AY$1005="Direkomendasikan",ROW($6:$1005)-5),986)))&gt;0,COUNTIF(INDIRECT("'KERTAS KERJA'!K"&amp;(SMALL(IF(checklistPesertaKemenkeu!$AY$6:$AY$1005="Direkomendasikan",ROW($6:$1005)-5),986)+5)&amp;":O"&amp;(SMALL(IF(checklistPesertaKemenkeu!$AY$6:$AY$1005="Direkomendasikan",ROW($6:$1005)-5),986)+5)),INDEX(checklistPesertaKemenkeu!$M$6:$M$1005,SMALL(IF(checklistPesertaKemenkeu!$AY$6:$AY$1005="Direkomendasikan",ROW($6:$1005)-5),986)))=1),IFERROR(VLOOKUP(INDEX(checklistPesertaKemenkeu!$M$6:$M$1005,SMALL(IF(checklistPesertaKemenkeu!$AY$6:$AY$1005="Direkomendasikan",ROW($6:$1005)-5),986)),KotaKode,2,0),"-"),"")),"")</f>
        <v/>
      </c>
      <c r="J987" t="str">
        <f t="array" aca="1" ref="J987" ca="1">IFERROR(IF(OR(INDEX(checklistPesertaKemenkeu!$N$6:$N$1005,SMALL(IF(checklistPesertaKemenkeu!$AY$6:$AY$1005="Direkomendasikan",ROW($6:$1005)-5),986))="",INDEX(checklistPesertaKemenkeu!$J$6:$J$1005,SMALL(IF(checklistPesertaKemenkeu!$AY$6:$AY$1005="Direkomendasikan",ROW($6:$1005)-5),986))=""),"",IF(AND(COUNTIF(INDIRECT("K_"&amp;MATCH(INDEX(checklistPesertaKemenkeu!$J$6:$J$1005,SMALL(IF(checklistPesertaKemenkeu!$AY$6:$AY$1005="Direkomendasikan",ROW($6:$1005)-5),986)),BidangList,0)),INDEX(checklistPesertaKemenkeu!$N$6:$N$1005,SMALL(IF(checklistPesertaKemenkeu!$AY$6:$AY$1005="Direkomendasikan",ROW($6:$1005)-5),986)))&gt;0,COUNTIF(INDIRECT("'KERTAS KERJA'!K"&amp;(SMALL(IF(checklistPesertaKemenkeu!$AY$6:$AY$1005="Direkomendasikan",ROW($6:$1005)-5),986)+5)&amp;":O"&amp;(SMALL(IF(checklistPesertaKemenkeu!$AY$6:$AY$1005="Direkomendasikan",ROW($6:$1005)-5),986)+5)),INDEX(checklistPesertaKemenkeu!$N$6:$N$1005,SMALL(IF(checklistPesertaKemenkeu!$AY$6:$AY$1005="Direkomendasikan",ROW($6:$1005)-5),986)))=1),IFERROR(VLOOKUP(INDEX(checklistPesertaKemenkeu!$N$6:$N$1005,SMALL(IF(checklistPesertaKemenkeu!$AY$6:$AY$1005="Direkomendasikan",ROW($6:$1005)-5),986)),KotaKode,2,0),"-"),"")),"")</f>
        <v/>
      </c>
      <c r="K987" t="str">
        <f t="array" aca="1" ref="K987" ca="1">IFERROR(IF(OR(INDEX(checklistPesertaKemenkeu!$O$6:$O$1005,SMALL(IF(checklistPesertaKemenkeu!$AY$6:$AY$1005="Direkomendasikan",ROW($6:$1005)-5),986))="",INDEX(checklistPesertaKemenkeu!$J$6:$J$1005,SMALL(IF(checklistPesertaKemenkeu!$AY$6:$AY$1005="Direkomendasikan",ROW($6:$1005)-5),986))=""),"",IF(AND(COUNTIF(INDIRECT("K_"&amp;MATCH(INDEX(checklistPesertaKemenkeu!$J$6:$J$1005,SMALL(IF(checklistPesertaKemenkeu!$AY$6:$AY$1005="Direkomendasikan",ROW($6:$1005)-5),986)),BidangList,0)),INDEX(checklistPesertaKemenkeu!$O$6:$O$1005,SMALL(IF(checklistPesertaKemenkeu!$AY$6:$AY$1005="Direkomendasikan",ROW($6:$1005)-5),986)))&gt;0,COUNTIF(INDIRECT("'KERTAS KERJA'!K"&amp;(SMALL(IF(checklistPesertaKemenkeu!$AY$6:$AY$1005="Direkomendasikan",ROW($6:$1005)-5),986)+5)&amp;":O"&amp;(SMALL(IF(checklistPesertaKemenkeu!$AY$6:$AY$1005="Direkomendasikan",ROW($6:$1005)-5),986)+5)),INDEX(checklistPesertaKemenkeu!$O$6:$O$1005,SMALL(IF(checklistPesertaKemenkeu!$AY$6:$AY$1005="Direkomendasikan",ROW($6:$1005)-5),986)))=1),IFERROR(VLOOKUP(INDEX(checklistPesertaKemenkeu!$O$6:$O$1005,SMALL(IF(checklistPesertaKemenkeu!$AY$6:$AY$1005="Direkomendasikan",ROW($6:$1005)-5),986)),KotaKode,2,0),"-"),"")),"")</f>
        <v/>
      </c>
      <c r="L987" t="str">
        <f t="array" aca="1" ref="L987" ca="1">IFERROR(IF(OR(INDEX(checklistPesertaKemenkeu!$P$6:$P$1005,SMALL(IF(checklistPesertaKemenkeu!$AY$6:$AY$1005="Direkomendasikan",ROW($6:$1005)-5),986))="",INDEX(checklistPesertaKemenkeu!$J$6:$J$1005,SMALL(IF(checklistPesertaKemenkeu!$AY$6:$AY$1005="Direkomendasikan",ROW($6:$1005)-5),986))=""),"",IF(AND(COUNTIF(INDIRECT("K_"&amp;MATCH(INDEX(checklistPesertaKemenkeu!$J$6:$J$1005,SMALL(IF(checklistPesertaKemenkeu!$AY$6:$AY$1005="Direkomendasikan",ROW($6:$1005)-5),986)),BidangList,0)),INDEX(checklistPesertaKemenkeu!$P$6:$P$1005,SMALL(IF(checklistPesertaKemenkeu!$AY$6:$AY$1005="Direkomendasikan",ROW($6:$1005)-5),986)))&gt;0,COUNTIF(INDIRECT("'KERTAS KERJA'!K"&amp;(SMALL(IF(checklistPesertaKemenkeu!$AY$6:$AY$1005="Direkomendasikan",ROW($6:$1005)-5),986)+5)&amp;":O"&amp;(SMALL(IF(checklistPesertaKemenkeu!$AY$6:$AY$1005="Direkomendasikan",ROW($6:$1005)-5),986)+5)),INDEX(checklistPesertaKemenkeu!$P$6:$P$1005,SMALL(IF(checklistPesertaKemenkeu!$AY$6:$AY$1005="Direkomendasikan",ROW($6:$1005)-5),986)))=1),IFERROR(VLOOKUP(INDEX(checklistPesertaKemenkeu!$P$6:$P$1005,SMALL(IF(checklistPesertaKemenkeu!$AY$6:$AY$1005="Direkomendasikan",ROW($6:$1005)-5),986)),KotaKode,2,0),"-"),"")),"")</f>
        <v/>
      </c>
    </row>
    <row r="988" spans="1:12" ht="15" customHeight="1" x14ac:dyDescent="0.2">
      <c r="A988" t="str">
        <f t="shared" si="15"/>
        <v/>
      </c>
      <c r="B988" t="str">
        <v/>
      </c>
      <c r="C988" s="40" t="str">
        <f t="array" ref="C988">IFERROR(INDEX(checklistPesertaKemenkeu!$F$6:$F$1005,SMALL(IF(checklistPesertaKemenkeu!$AY$6:$AY$1005="Direkomendasikan",ROW($6:$1005)-5),987)),"")</f>
        <v/>
      </c>
      <c r="D988" t="str">
        <f t="array" ref="D988">IFERROR(INDEX(checklistPesertaKemenkeu!$G$6:$G$1005,SMALL(IF(checklistPesertaKemenkeu!$AY$6:$AY$1005="Direkomendasikan",ROW($6:$1005)-5),987)),"")</f>
        <v/>
      </c>
      <c r="E988" t="str">
        <f t="array" ref="E988">IFERROR(INDEX(checklistPesertaKemenkeu!$H$6:$H$1005,SMALL(IF(checklistPesertaKemenkeu!$AY$6:$AY$1005="Direkomendasikan",ROW($6:$1005)-5),987)),"")</f>
        <v/>
      </c>
      <c r="F988" t="str">
        <f t="array" ref="F988">IFERROR(INDEX(checklistPesertaKemenkeu!$I$6:$I$1005,SMALL(IF(checklistPesertaKemenkeu!$AY$6:$AY$1005="Direkomendasikan",ROW($6:$1005)-5),987)),"")</f>
        <v/>
      </c>
      <c r="G988" t="str">
        <f t="array" ref="G988">IFERROR(INDEX(checklistPesertaKemenkeu!$J$6:$J$1005,SMALL(IF(checklistPesertaKemenkeu!$AY$6:$AY$1005="Direkomendasikan",ROW($6:$1005)-5),987)),"")</f>
        <v/>
      </c>
      <c r="H988" t="str">
        <f t="array" aca="1" ref="H988" ca="1">IFERROR(IF(OR(INDEX(checklistPesertaKemenkeu!$L$6:$L$1005,SMALL(IF(checklistPesertaKemenkeu!$AY$6:$AY$1005="Direkomendasikan",ROW($6:$1005)-5),987))="",INDEX(checklistPesertaKemenkeu!$J$6:$J$1005,SMALL(IF(checklistPesertaKemenkeu!$AY$6:$AY$1005="Direkomendasikan",ROW($6:$1005)-5),987))=""),"",IF(AND(COUNTIF(INDIRECT("K_"&amp;MATCH(INDEX(checklistPesertaKemenkeu!$J$6:$J$1005,SMALL(IF(checklistPesertaKemenkeu!$AY$6:$AY$1005="Direkomendasikan",ROW($6:$1005)-5),987)),BidangList,0)),INDEX(checklistPesertaKemenkeu!$L$6:$L$1005,SMALL(IF(checklistPesertaKemenkeu!$AY$6:$AY$1005="Direkomendasikan",ROW($6:$1005)-5),987)))&gt;0,COUNTIF(INDIRECT("'KERTAS KERJA'!K"&amp;(SMALL(IF(checklistPesertaKemenkeu!$AY$6:$AY$1005="Direkomendasikan",ROW($6:$1005)-5),987)+5)&amp;":O"&amp;(SMALL(IF(checklistPesertaKemenkeu!$AY$6:$AY$1005="Direkomendasikan",ROW($6:$1005)-5),987)+5)),INDEX(checklistPesertaKemenkeu!$L$6:$L$1005,SMALL(IF(checklistPesertaKemenkeu!$AY$6:$AY$1005="Direkomendasikan",ROW($6:$1005)-5),987)))=1),IFERROR(VLOOKUP(INDEX(checklistPesertaKemenkeu!$L$6:$L$1005,SMALL(IF(checklistPesertaKemenkeu!$AY$6:$AY$1005="Direkomendasikan",ROW($6:$1005)-5),987)),KotaKode,2,0),"-"),"")),"")</f>
        <v/>
      </c>
      <c r="I988" t="str">
        <f t="array" aca="1" ref="I988" ca="1">IFERROR(IF(OR(INDEX(checklistPesertaKemenkeu!$M$6:$M$1005,SMALL(IF(checklistPesertaKemenkeu!$AY$6:$AY$1005="Direkomendasikan",ROW($6:$1005)-5),987))="",INDEX(checklistPesertaKemenkeu!$J$6:$J$1005,SMALL(IF(checklistPesertaKemenkeu!$AY$6:$AY$1005="Direkomendasikan",ROW($6:$1005)-5),987))=""),"",IF(AND(COUNTIF(INDIRECT("K_"&amp;MATCH(INDEX(checklistPesertaKemenkeu!$J$6:$J$1005,SMALL(IF(checklistPesertaKemenkeu!$AY$6:$AY$1005="Direkomendasikan",ROW($6:$1005)-5),987)),BidangList,0)),INDEX(checklistPesertaKemenkeu!$M$6:$M$1005,SMALL(IF(checklistPesertaKemenkeu!$AY$6:$AY$1005="Direkomendasikan",ROW($6:$1005)-5),987)))&gt;0,COUNTIF(INDIRECT("'KERTAS KERJA'!K"&amp;(SMALL(IF(checklistPesertaKemenkeu!$AY$6:$AY$1005="Direkomendasikan",ROW($6:$1005)-5),987)+5)&amp;":O"&amp;(SMALL(IF(checklistPesertaKemenkeu!$AY$6:$AY$1005="Direkomendasikan",ROW($6:$1005)-5),987)+5)),INDEX(checklistPesertaKemenkeu!$M$6:$M$1005,SMALL(IF(checklistPesertaKemenkeu!$AY$6:$AY$1005="Direkomendasikan",ROW($6:$1005)-5),987)))=1),IFERROR(VLOOKUP(INDEX(checklistPesertaKemenkeu!$M$6:$M$1005,SMALL(IF(checklistPesertaKemenkeu!$AY$6:$AY$1005="Direkomendasikan",ROW($6:$1005)-5),987)),KotaKode,2,0),"-"),"")),"")</f>
        <v/>
      </c>
      <c r="J988" t="str">
        <f t="array" aca="1" ref="J988" ca="1">IFERROR(IF(OR(INDEX(checklistPesertaKemenkeu!$N$6:$N$1005,SMALL(IF(checklistPesertaKemenkeu!$AY$6:$AY$1005="Direkomendasikan",ROW($6:$1005)-5),987))="",INDEX(checklistPesertaKemenkeu!$J$6:$J$1005,SMALL(IF(checklistPesertaKemenkeu!$AY$6:$AY$1005="Direkomendasikan",ROW($6:$1005)-5),987))=""),"",IF(AND(COUNTIF(INDIRECT("K_"&amp;MATCH(INDEX(checklistPesertaKemenkeu!$J$6:$J$1005,SMALL(IF(checklistPesertaKemenkeu!$AY$6:$AY$1005="Direkomendasikan",ROW($6:$1005)-5),987)),BidangList,0)),INDEX(checklistPesertaKemenkeu!$N$6:$N$1005,SMALL(IF(checklistPesertaKemenkeu!$AY$6:$AY$1005="Direkomendasikan",ROW($6:$1005)-5),987)))&gt;0,COUNTIF(INDIRECT("'KERTAS KERJA'!K"&amp;(SMALL(IF(checklistPesertaKemenkeu!$AY$6:$AY$1005="Direkomendasikan",ROW($6:$1005)-5),987)+5)&amp;":O"&amp;(SMALL(IF(checklistPesertaKemenkeu!$AY$6:$AY$1005="Direkomendasikan",ROW($6:$1005)-5),987)+5)),INDEX(checklistPesertaKemenkeu!$N$6:$N$1005,SMALL(IF(checklistPesertaKemenkeu!$AY$6:$AY$1005="Direkomendasikan",ROW($6:$1005)-5),987)))=1),IFERROR(VLOOKUP(INDEX(checklistPesertaKemenkeu!$N$6:$N$1005,SMALL(IF(checklistPesertaKemenkeu!$AY$6:$AY$1005="Direkomendasikan",ROW($6:$1005)-5),987)),KotaKode,2,0),"-"),"")),"")</f>
        <v/>
      </c>
      <c r="K988" t="str">
        <f t="array" aca="1" ref="K988" ca="1">IFERROR(IF(OR(INDEX(checklistPesertaKemenkeu!$O$6:$O$1005,SMALL(IF(checklistPesertaKemenkeu!$AY$6:$AY$1005="Direkomendasikan",ROW($6:$1005)-5),987))="",INDEX(checklistPesertaKemenkeu!$J$6:$J$1005,SMALL(IF(checklistPesertaKemenkeu!$AY$6:$AY$1005="Direkomendasikan",ROW($6:$1005)-5),987))=""),"",IF(AND(COUNTIF(INDIRECT("K_"&amp;MATCH(INDEX(checklistPesertaKemenkeu!$J$6:$J$1005,SMALL(IF(checklistPesertaKemenkeu!$AY$6:$AY$1005="Direkomendasikan",ROW($6:$1005)-5),987)),BidangList,0)),INDEX(checklistPesertaKemenkeu!$O$6:$O$1005,SMALL(IF(checklistPesertaKemenkeu!$AY$6:$AY$1005="Direkomendasikan",ROW($6:$1005)-5),987)))&gt;0,COUNTIF(INDIRECT("'KERTAS KERJA'!K"&amp;(SMALL(IF(checklistPesertaKemenkeu!$AY$6:$AY$1005="Direkomendasikan",ROW($6:$1005)-5),987)+5)&amp;":O"&amp;(SMALL(IF(checklistPesertaKemenkeu!$AY$6:$AY$1005="Direkomendasikan",ROW($6:$1005)-5),987)+5)),INDEX(checklistPesertaKemenkeu!$O$6:$O$1005,SMALL(IF(checklistPesertaKemenkeu!$AY$6:$AY$1005="Direkomendasikan",ROW($6:$1005)-5),987)))=1),IFERROR(VLOOKUP(INDEX(checklistPesertaKemenkeu!$O$6:$O$1005,SMALL(IF(checklistPesertaKemenkeu!$AY$6:$AY$1005="Direkomendasikan",ROW($6:$1005)-5),987)),KotaKode,2,0),"-"),"")),"")</f>
        <v/>
      </c>
      <c r="L988" t="str">
        <f t="array" aca="1" ref="L988" ca="1">IFERROR(IF(OR(INDEX(checklistPesertaKemenkeu!$P$6:$P$1005,SMALL(IF(checklistPesertaKemenkeu!$AY$6:$AY$1005="Direkomendasikan",ROW($6:$1005)-5),987))="",INDEX(checklistPesertaKemenkeu!$J$6:$J$1005,SMALL(IF(checklistPesertaKemenkeu!$AY$6:$AY$1005="Direkomendasikan",ROW($6:$1005)-5),987))=""),"",IF(AND(COUNTIF(INDIRECT("K_"&amp;MATCH(INDEX(checklistPesertaKemenkeu!$J$6:$J$1005,SMALL(IF(checklistPesertaKemenkeu!$AY$6:$AY$1005="Direkomendasikan",ROW($6:$1005)-5),987)),BidangList,0)),INDEX(checklistPesertaKemenkeu!$P$6:$P$1005,SMALL(IF(checklistPesertaKemenkeu!$AY$6:$AY$1005="Direkomendasikan",ROW($6:$1005)-5),987)))&gt;0,COUNTIF(INDIRECT("'KERTAS KERJA'!K"&amp;(SMALL(IF(checklistPesertaKemenkeu!$AY$6:$AY$1005="Direkomendasikan",ROW($6:$1005)-5),987)+5)&amp;":O"&amp;(SMALL(IF(checklistPesertaKemenkeu!$AY$6:$AY$1005="Direkomendasikan",ROW($6:$1005)-5),987)+5)),INDEX(checklistPesertaKemenkeu!$P$6:$P$1005,SMALL(IF(checklistPesertaKemenkeu!$AY$6:$AY$1005="Direkomendasikan",ROW($6:$1005)-5),987)))=1),IFERROR(VLOOKUP(INDEX(checklistPesertaKemenkeu!$P$6:$P$1005,SMALL(IF(checklistPesertaKemenkeu!$AY$6:$AY$1005="Direkomendasikan",ROW($6:$1005)-5),987)),KotaKode,2,0),"-"),"")),"")</f>
        <v/>
      </c>
    </row>
    <row r="989" spans="1:12" ht="15" customHeight="1" x14ac:dyDescent="0.2">
      <c r="A989" t="str">
        <f t="shared" si="15"/>
        <v/>
      </c>
      <c r="B989" t="str">
        <v/>
      </c>
      <c r="C989" s="40" t="str">
        <f t="array" ref="C989">IFERROR(INDEX(checklistPesertaKemenkeu!$F$6:$F$1005,SMALL(IF(checklistPesertaKemenkeu!$AY$6:$AY$1005="Direkomendasikan",ROW($6:$1005)-5),988)),"")</f>
        <v/>
      </c>
      <c r="D989" t="str">
        <f t="array" ref="D989">IFERROR(INDEX(checklistPesertaKemenkeu!$G$6:$G$1005,SMALL(IF(checklistPesertaKemenkeu!$AY$6:$AY$1005="Direkomendasikan",ROW($6:$1005)-5),988)),"")</f>
        <v/>
      </c>
      <c r="E989" t="str">
        <f t="array" ref="E989">IFERROR(INDEX(checklistPesertaKemenkeu!$H$6:$H$1005,SMALL(IF(checklistPesertaKemenkeu!$AY$6:$AY$1005="Direkomendasikan",ROW($6:$1005)-5),988)),"")</f>
        <v/>
      </c>
      <c r="F989" t="str">
        <f t="array" ref="F989">IFERROR(INDEX(checklistPesertaKemenkeu!$I$6:$I$1005,SMALL(IF(checklistPesertaKemenkeu!$AY$6:$AY$1005="Direkomendasikan",ROW($6:$1005)-5),988)),"")</f>
        <v/>
      </c>
      <c r="G989" t="str">
        <f t="array" ref="G989">IFERROR(INDEX(checklistPesertaKemenkeu!$J$6:$J$1005,SMALL(IF(checklistPesertaKemenkeu!$AY$6:$AY$1005="Direkomendasikan",ROW($6:$1005)-5),988)),"")</f>
        <v/>
      </c>
      <c r="H989" t="str">
        <f t="array" aca="1" ref="H989" ca="1">IFERROR(IF(OR(INDEX(checklistPesertaKemenkeu!$L$6:$L$1005,SMALL(IF(checklistPesertaKemenkeu!$AY$6:$AY$1005="Direkomendasikan",ROW($6:$1005)-5),988))="",INDEX(checklistPesertaKemenkeu!$J$6:$J$1005,SMALL(IF(checklistPesertaKemenkeu!$AY$6:$AY$1005="Direkomendasikan",ROW($6:$1005)-5),988))=""),"",IF(AND(COUNTIF(INDIRECT("K_"&amp;MATCH(INDEX(checklistPesertaKemenkeu!$J$6:$J$1005,SMALL(IF(checklistPesertaKemenkeu!$AY$6:$AY$1005="Direkomendasikan",ROW($6:$1005)-5),988)),BidangList,0)),INDEX(checklistPesertaKemenkeu!$L$6:$L$1005,SMALL(IF(checklistPesertaKemenkeu!$AY$6:$AY$1005="Direkomendasikan",ROW($6:$1005)-5),988)))&gt;0,COUNTIF(INDIRECT("'KERTAS KERJA'!K"&amp;(SMALL(IF(checklistPesertaKemenkeu!$AY$6:$AY$1005="Direkomendasikan",ROW($6:$1005)-5),988)+5)&amp;":O"&amp;(SMALL(IF(checklistPesertaKemenkeu!$AY$6:$AY$1005="Direkomendasikan",ROW($6:$1005)-5),988)+5)),INDEX(checklistPesertaKemenkeu!$L$6:$L$1005,SMALL(IF(checklistPesertaKemenkeu!$AY$6:$AY$1005="Direkomendasikan",ROW($6:$1005)-5),988)))=1),IFERROR(VLOOKUP(INDEX(checklistPesertaKemenkeu!$L$6:$L$1005,SMALL(IF(checklistPesertaKemenkeu!$AY$6:$AY$1005="Direkomendasikan",ROW($6:$1005)-5),988)),KotaKode,2,0),"-"),"")),"")</f>
        <v/>
      </c>
      <c r="I989" t="str">
        <f t="array" aca="1" ref="I989" ca="1">IFERROR(IF(OR(INDEX(checklistPesertaKemenkeu!$M$6:$M$1005,SMALL(IF(checklistPesertaKemenkeu!$AY$6:$AY$1005="Direkomendasikan",ROW($6:$1005)-5),988))="",INDEX(checklistPesertaKemenkeu!$J$6:$J$1005,SMALL(IF(checklistPesertaKemenkeu!$AY$6:$AY$1005="Direkomendasikan",ROW($6:$1005)-5),988))=""),"",IF(AND(COUNTIF(INDIRECT("K_"&amp;MATCH(INDEX(checklistPesertaKemenkeu!$J$6:$J$1005,SMALL(IF(checklistPesertaKemenkeu!$AY$6:$AY$1005="Direkomendasikan",ROW($6:$1005)-5),988)),BidangList,0)),INDEX(checklistPesertaKemenkeu!$M$6:$M$1005,SMALL(IF(checklistPesertaKemenkeu!$AY$6:$AY$1005="Direkomendasikan",ROW($6:$1005)-5),988)))&gt;0,COUNTIF(INDIRECT("'KERTAS KERJA'!K"&amp;(SMALL(IF(checklistPesertaKemenkeu!$AY$6:$AY$1005="Direkomendasikan",ROW($6:$1005)-5),988)+5)&amp;":O"&amp;(SMALL(IF(checklistPesertaKemenkeu!$AY$6:$AY$1005="Direkomendasikan",ROW($6:$1005)-5),988)+5)),INDEX(checklistPesertaKemenkeu!$M$6:$M$1005,SMALL(IF(checklistPesertaKemenkeu!$AY$6:$AY$1005="Direkomendasikan",ROW($6:$1005)-5),988)))=1),IFERROR(VLOOKUP(INDEX(checklistPesertaKemenkeu!$M$6:$M$1005,SMALL(IF(checklistPesertaKemenkeu!$AY$6:$AY$1005="Direkomendasikan",ROW($6:$1005)-5),988)),KotaKode,2,0),"-"),"")),"")</f>
        <v/>
      </c>
      <c r="J989" t="str">
        <f t="array" aca="1" ref="J989" ca="1">IFERROR(IF(OR(INDEX(checklistPesertaKemenkeu!$N$6:$N$1005,SMALL(IF(checklistPesertaKemenkeu!$AY$6:$AY$1005="Direkomendasikan",ROW($6:$1005)-5),988))="",INDEX(checklistPesertaKemenkeu!$J$6:$J$1005,SMALL(IF(checklistPesertaKemenkeu!$AY$6:$AY$1005="Direkomendasikan",ROW($6:$1005)-5),988))=""),"",IF(AND(COUNTIF(INDIRECT("K_"&amp;MATCH(INDEX(checklistPesertaKemenkeu!$J$6:$J$1005,SMALL(IF(checklistPesertaKemenkeu!$AY$6:$AY$1005="Direkomendasikan",ROW($6:$1005)-5),988)),BidangList,0)),INDEX(checklistPesertaKemenkeu!$N$6:$N$1005,SMALL(IF(checklistPesertaKemenkeu!$AY$6:$AY$1005="Direkomendasikan",ROW($6:$1005)-5),988)))&gt;0,COUNTIF(INDIRECT("'KERTAS KERJA'!K"&amp;(SMALL(IF(checklistPesertaKemenkeu!$AY$6:$AY$1005="Direkomendasikan",ROW($6:$1005)-5),988)+5)&amp;":O"&amp;(SMALL(IF(checklistPesertaKemenkeu!$AY$6:$AY$1005="Direkomendasikan",ROW($6:$1005)-5),988)+5)),INDEX(checklistPesertaKemenkeu!$N$6:$N$1005,SMALL(IF(checklistPesertaKemenkeu!$AY$6:$AY$1005="Direkomendasikan",ROW($6:$1005)-5),988)))=1),IFERROR(VLOOKUP(INDEX(checklistPesertaKemenkeu!$N$6:$N$1005,SMALL(IF(checklistPesertaKemenkeu!$AY$6:$AY$1005="Direkomendasikan",ROW($6:$1005)-5),988)),KotaKode,2,0),"-"),"")),"")</f>
        <v/>
      </c>
      <c r="K989" t="str">
        <f t="array" aca="1" ref="K989" ca="1">IFERROR(IF(OR(INDEX(checklistPesertaKemenkeu!$O$6:$O$1005,SMALL(IF(checklistPesertaKemenkeu!$AY$6:$AY$1005="Direkomendasikan",ROW($6:$1005)-5),988))="",INDEX(checklistPesertaKemenkeu!$J$6:$J$1005,SMALL(IF(checklistPesertaKemenkeu!$AY$6:$AY$1005="Direkomendasikan",ROW($6:$1005)-5),988))=""),"",IF(AND(COUNTIF(INDIRECT("K_"&amp;MATCH(INDEX(checklistPesertaKemenkeu!$J$6:$J$1005,SMALL(IF(checklistPesertaKemenkeu!$AY$6:$AY$1005="Direkomendasikan",ROW($6:$1005)-5),988)),BidangList,0)),INDEX(checklistPesertaKemenkeu!$O$6:$O$1005,SMALL(IF(checklistPesertaKemenkeu!$AY$6:$AY$1005="Direkomendasikan",ROW($6:$1005)-5),988)))&gt;0,COUNTIF(INDIRECT("'KERTAS KERJA'!K"&amp;(SMALL(IF(checklistPesertaKemenkeu!$AY$6:$AY$1005="Direkomendasikan",ROW($6:$1005)-5),988)+5)&amp;":O"&amp;(SMALL(IF(checklistPesertaKemenkeu!$AY$6:$AY$1005="Direkomendasikan",ROW($6:$1005)-5),988)+5)),INDEX(checklistPesertaKemenkeu!$O$6:$O$1005,SMALL(IF(checklistPesertaKemenkeu!$AY$6:$AY$1005="Direkomendasikan",ROW($6:$1005)-5),988)))=1),IFERROR(VLOOKUP(INDEX(checklistPesertaKemenkeu!$O$6:$O$1005,SMALL(IF(checklistPesertaKemenkeu!$AY$6:$AY$1005="Direkomendasikan",ROW($6:$1005)-5),988)),KotaKode,2,0),"-"),"")),"")</f>
        <v/>
      </c>
      <c r="L989" t="str">
        <f t="array" aca="1" ref="L989" ca="1">IFERROR(IF(OR(INDEX(checklistPesertaKemenkeu!$P$6:$P$1005,SMALL(IF(checklistPesertaKemenkeu!$AY$6:$AY$1005="Direkomendasikan",ROW($6:$1005)-5),988))="",INDEX(checklistPesertaKemenkeu!$J$6:$J$1005,SMALL(IF(checklistPesertaKemenkeu!$AY$6:$AY$1005="Direkomendasikan",ROW($6:$1005)-5),988))=""),"",IF(AND(COUNTIF(INDIRECT("K_"&amp;MATCH(INDEX(checklistPesertaKemenkeu!$J$6:$J$1005,SMALL(IF(checklistPesertaKemenkeu!$AY$6:$AY$1005="Direkomendasikan",ROW($6:$1005)-5),988)),BidangList,0)),INDEX(checklistPesertaKemenkeu!$P$6:$P$1005,SMALL(IF(checklistPesertaKemenkeu!$AY$6:$AY$1005="Direkomendasikan",ROW($6:$1005)-5),988)))&gt;0,COUNTIF(INDIRECT("'KERTAS KERJA'!K"&amp;(SMALL(IF(checklistPesertaKemenkeu!$AY$6:$AY$1005="Direkomendasikan",ROW($6:$1005)-5),988)+5)&amp;":O"&amp;(SMALL(IF(checklistPesertaKemenkeu!$AY$6:$AY$1005="Direkomendasikan",ROW($6:$1005)-5),988)+5)),INDEX(checklistPesertaKemenkeu!$P$6:$P$1005,SMALL(IF(checklistPesertaKemenkeu!$AY$6:$AY$1005="Direkomendasikan",ROW($6:$1005)-5),988)))=1),IFERROR(VLOOKUP(INDEX(checklistPesertaKemenkeu!$P$6:$P$1005,SMALL(IF(checklistPesertaKemenkeu!$AY$6:$AY$1005="Direkomendasikan",ROW($6:$1005)-5),988)),KotaKode,2,0),"-"),"")),"")</f>
        <v/>
      </c>
    </row>
    <row r="990" spans="1:12" ht="15" customHeight="1" x14ac:dyDescent="0.2">
      <c r="A990" t="str">
        <f t="shared" si="15"/>
        <v/>
      </c>
      <c r="B990" t="str">
        <v/>
      </c>
      <c r="C990" s="40" t="str">
        <f t="array" ref="C990">IFERROR(INDEX(checklistPesertaKemenkeu!$F$6:$F$1005,SMALL(IF(checklistPesertaKemenkeu!$AY$6:$AY$1005="Direkomendasikan",ROW($6:$1005)-5),989)),"")</f>
        <v/>
      </c>
      <c r="D990" t="str">
        <f t="array" ref="D990">IFERROR(INDEX(checklistPesertaKemenkeu!$G$6:$G$1005,SMALL(IF(checklistPesertaKemenkeu!$AY$6:$AY$1005="Direkomendasikan",ROW($6:$1005)-5),989)),"")</f>
        <v/>
      </c>
      <c r="E990" t="str">
        <f t="array" ref="E990">IFERROR(INDEX(checklistPesertaKemenkeu!$H$6:$H$1005,SMALL(IF(checklistPesertaKemenkeu!$AY$6:$AY$1005="Direkomendasikan",ROW($6:$1005)-5),989)),"")</f>
        <v/>
      </c>
      <c r="F990" t="str">
        <f t="array" ref="F990">IFERROR(INDEX(checklistPesertaKemenkeu!$I$6:$I$1005,SMALL(IF(checklistPesertaKemenkeu!$AY$6:$AY$1005="Direkomendasikan",ROW($6:$1005)-5),989)),"")</f>
        <v/>
      </c>
      <c r="G990" t="str">
        <f t="array" ref="G990">IFERROR(INDEX(checklistPesertaKemenkeu!$J$6:$J$1005,SMALL(IF(checklistPesertaKemenkeu!$AY$6:$AY$1005="Direkomendasikan",ROW($6:$1005)-5),989)),"")</f>
        <v/>
      </c>
      <c r="H990" t="str">
        <f t="array" aca="1" ref="H990" ca="1">IFERROR(IF(OR(INDEX(checklistPesertaKemenkeu!$L$6:$L$1005,SMALL(IF(checklistPesertaKemenkeu!$AY$6:$AY$1005="Direkomendasikan",ROW($6:$1005)-5),989))="",INDEX(checklistPesertaKemenkeu!$J$6:$J$1005,SMALL(IF(checklistPesertaKemenkeu!$AY$6:$AY$1005="Direkomendasikan",ROW($6:$1005)-5),989))=""),"",IF(AND(COUNTIF(INDIRECT("K_"&amp;MATCH(INDEX(checklistPesertaKemenkeu!$J$6:$J$1005,SMALL(IF(checklistPesertaKemenkeu!$AY$6:$AY$1005="Direkomendasikan",ROW($6:$1005)-5),989)),BidangList,0)),INDEX(checklistPesertaKemenkeu!$L$6:$L$1005,SMALL(IF(checklistPesertaKemenkeu!$AY$6:$AY$1005="Direkomendasikan",ROW($6:$1005)-5),989)))&gt;0,COUNTIF(INDIRECT("'KERTAS KERJA'!K"&amp;(SMALL(IF(checklistPesertaKemenkeu!$AY$6:$AY$1005="Direkomendasikan",ROW($6:$1005)-5),989)+5)&amp;":O"&amp;(SMALL(IF(checklistPesertaKemenkeu!$AY$6:$AY$1005="Direkomendasikan",ROW($6:$1005)-5),989)+5)),INDEX(checklistPesertaKemenkeu!$L$6:$L$1005,SMALL(IF(checklistPesertaKemenkeu!$AY$6:$AY$1005="Direkomendasikan",ROW($6:$1005)-5),989)))=1),IFERROR(VLOOKUP(INDEX(checklistPesertaKemenkeu!$L$6:$L$1005,SMALL(IF(checklistPesertaKemenkeu!$AY$6:$AY$1005="Direkomendasikan",ROW($6:$1005)-5),989)),KotaKode,2,0),"-"),"")),"")</f>
        <v/>
      </c>
      <c r="I990" t="str">
        <f t="array" aca="1" ref="I990" ca="1">IFERROR(IF(OR(INDEX(checklistPesertaKemenkeu!$M$6:$M$1005,SMALL(IF(checklistPesertaKemenkeu!$AY$6:$AY$1005="Direkomendasikan",ROW($6:$1005)-5),989))="",INDEX(checklistPesertaKemenkeu!$J$6:$J$1005,SMALL(IF(checklistPesertaKemenkeu!$AY$6:$AY$1005="Direkomendasikan",ROW($6:$1005)-5),989))=""),"",IF(AND(COUNTIF(INDIRECT("K_"&amp;MATCH(INDEX(checklistPesertaKemenkeu!$J$6:$J$1005,SMALL(IF(checklistPesertaKemenkeu!$AY$6:$AY$1005="Direkomendasikan",ROW($6:$1005)-5),989)),BidangList,0)),INDEX(checklistPesertaKemenkeu!$M$6:$M$1005,SMALL(IF(checklistPesertaKemenkeu!$AY$6:$AY$1005="Direkomendasikan",ROW($6:$1005)-5),989)))&gt;0,COUNTIF(INDIRECT("'KERTAS KERJA'!K"&amp;(SMALL(IF(checklistPesertaKemenkeu!$AY$6:$AY$1005="Direkomendasikan",ROW($6:$1005)-5),989)+5)&amp;":O"&amp;(SMALL(IF(checklistPesertaKemenkeu!$AY$6:$AY$1005="Direkomendasikan",ROW($6:$1005)-5),989)+5)),INDEX(checklistPesertaKemenkeu!$M$6:$M$1005,SMALL(IF(checklistPesertaKemenkeu!$AY$6:$AY$1005="Direkomendasikan",ROW($6:$1005)-5),989)))=1),IFERROR(VLOOKUP(INDEX(checklistPesertaKemenkeu!$M$6:$M$1005,SMALL(IF(checklistPesertaKemenkeu!$AY$6:$AY$1005="Direkomendasikan",ROW($6:$1005)-5),989)),KotaKode,2,0),"-"),"")),"")</f>
        <v/>
      </c>
      <c r="J990" t="str">
        <f t="array" aca="1" ref="J990" ca="1">IFERROR(IF(OR(INDEX(checklistPesertaKemenkeu!$N$6:$N$1005,SMALL(IF(checklistPesertaKemenkeu!$AY$6:$AY$1005="Direkomendasikan",ROW($6:$1005)-5),989))="",INDEX(checklistPesertaKemenkeu!$J$6:$J$1005,SMALL(IF(checklistPesertaKemenkeu!$AY$6:$AY$1005="Direkomendasikan",ROW($6:$1005)-5),989))=""),"",IF(AND(COUNTIF(INDIRECT("K_"&amp;MATCH(INDEX(checklistPesertaKemenkeu!$J$6:$J$1005,SMALL(IF(checklistPesertaKemenkeu!$AY$6:$AY$1005="Direkomendasikan",ROW($6:$1005)-5),989)),BidangList,0)),INDEX(checklistPesertaKemenkeu!$N$6:$N$1005,SMALL(IF(checklistPesertaKemenkeu!$AY$6:$AY$1005="Direkomendasikan",ROW($6:$1005)-5),989)))&gt;0,COUNTIF(INDIRECT("'KERTAS KERJA'!K"&amp;(SMALL(IF(checklistPesertaKemenkeu!$AY$6:$AY$1005="Direkomendasikan",ROW($6:$1005)-5),989)+5)&amp;":O"&amp;(SMALL(IF(checklistPesertaKemenkeu!$AY$6:$AY$1005="Direkomendasikan",ROW($6:$1005)-5),989)+5)),INDEX(checklistPesertaKemenkeu!$N$6:$N$1005,SMALL(IF(checklistPesertaKemenkeu!$AY$6:$AY$1005="Direkomendasikan",ROW($6:$1005)-5),989)))=1),IFERROR(VLOOKUP(INDEX(checklistPesertaKemenkeu!$N$6:$N$1005,SMALL(IF(checklistPesertaKemenkeu!$AY$6:$AY$1005="Direkomendasikan",ROW($6:$1005)-5),989)),KotaKode,2,0),"-"),"")),"")</f>
        <v/>
      </c>
      <c r="K990" t="str">
        <f t="array" aca="1" ref="K990" ca="1">IFERROR(IF(OR(INDEX(checklistPesertaKemenkeu!$O$6:$O$1005,SMALL(IF(checklistPesertaKemenkeu!$AY$6:$AY$1005="Direkomendasikan",ROW($6:$1005)-5),989))="",INDEX(checklistPesertaKemenkeu!$J$6:$J$1005,SMALL(IF(checklistPesertaKemenkeu!$AY$6:$AY$1005="Direkomendasikan",ROW($6:$1005)-5),989))=""),"",IF(AND(COUNTIF(INDIRECT("K_"&amp;MATCH(INDEX(checklistPesertaKemenkeu!$J$6:$J$1005,SMALL(IF(checklistPesertaKemenkeu!$AY$6:$AY$1005="Direkomendasikan",ROW($6:$1005)-5),989)),BidangList,0)),INDEX(checklistPesertaKemenkeu!$O$6:$O$1005,SMALL(IF(checklistPesertaKemenkeu!$AY$6:$AY$1005="Direkomendasikan",ROW($6:$1005)-5),989)))&gt;0,COUNTIF(INDIRECT("'KERTAS KERJA'!K"&amp;(SMALL(IF(checklistPesertaKemenkeu!$AY$6:$AY$1005="Direkomendasikan",ROW($6:$1005)-5),989)+5)&amp;":O"&amp;(SMALL(IF(checklistPesertaKemenkeu!$AY$6:$AY$1005="Direkomendasikan",ROW($6:$1005)-5),989)+5)),INDEX(checklistPesertaKemenkeu!$O$6:$O$1005,SMALL(IF(checklistPesertaKemenkeu!$AY$6:$AY$1005="Direkomendasikan",ROW($6:$1005)-5),989)))=1),IFERROR(VLOOKUP(INDEX(checklistPesertaKemenkeu!$O$6:$O$1005,SMALL(IF(checklistPesertaKemenkeu!$AY$6:$AY$1005="Direkomendasikan",ROW($6:$1005)-5),989)),KotaKode,2,0),"-"),"")),"")</f>
        <v/>
      </c>
      <c r="L990" t="str">
        <f t="array" aca="1" ref="L990" ca="1">IFERROR(IF(OR(INDEX(checklistPesertaKemenkeu!$P$6:$P$1005,SMALL(IF(checklistPesertaKemenkeu!$AY$6:$AY$1005="Direkomendasikan",ROW($6:$1005)-5),989))="",INDEX(checklistPesertaKemenkeu!$J$6:$J$1005,SMALL(IF(checklistPesertaKemenkeu!$AY$6:$AY$1005="Direkomendasikan",ROW($6:$1005)-5),989))=""),"",IF(AND(COUNTIF(INDIRECT("K_"&amp;MATCH(INDEX(checklistPesertaKemenkeu!$J$6:$J$1005,SMALL(IF(checklistPesertaKemenkeu!$AY$6:$AY$1005="Direkomendasikan",ROW($6:$1005)-5),989)),BidangList,0)),INDEX(checklistPesertaKemenkeu!$P$6:$P$1005,SMALL(IF(checklistPesertaKemenkeu!$AY$6:$AY$1005="Direkomendasikan",ROW($6:$1005)-5),989)))&gt;0,COUNTIF(INDIRECT("'KERTAS KERJA'!K"&amp;(SMALL(IF(checklistPesertaKemenkeu!$AY$6:$AY$1005="Direkomendasikan",ROW($6:$1005)-5),989)+5)&amp;":O"&amp;(SMALL(IF(checklistPesertaKemenkeu!$AY$6:$AY$1005="Direkomendasikan",ROW($6:$1005)-5),989)+5)),INDEX(checklistPesertaKemenkeu!$P$6:$P$1005,SMALL(IF(checklistPesertaKemenkeu!$AY$6:$AY$1005="Direkomendasikan",ROW($6:$1005)-5),989)))=1),IFERROR(VLOOKUP(INDEX(checklistPesertaKemenkeu!$P$6:$P$1005,SMALL(IF(checklistPesertaKemenkeu!$AY$6:$AY$1005="Direkomendasikan",ROW($6:$1005)-5),989)),KotaKode,2,0),"-"),"")),"")</f>
        <v/>
      </c>
    </row>
    <row r="991" spans="1:12" ht="15" customHeight="1" x14ac:dyDescent="0.2">
      <c r="A991" t="str">
        <f t="shared" si="15"/>
        <v/>
      </c>
      <c r="B991" t="str">
        <v/>
      </c>
      <c r="C991" s="40" t="str">
        <f t="array" ref="C991">IFERROR(INDEX(checklistPesertaKemenkeu!$F$6:$F$1005,SMALL(IF(checklistPesertaKemenkeu!$AY$6:$AY$1005="Direkomendasikan",ROW($6:$1005)-5),990)),"")</f>
        <v/>
      </c>
      <c r="D991" t="str">
        <f t="array" ref="D991">IFERROR(INDEX(checklistPesertaKemenkeu!$G$6:$G$1005,SMALL(IF(checklistPesertaKemenkeu!$AY$6:$AY$1005="Direkomendasikan",ROW($6:$1005)-5),990)),"")</f>
        <v/>
      </c>
      <c r="E991" t="str">
        <f t="array" ref="E991">IFERROR(INDEX(checklistPesertaKemenkeu!$H$6:$H$1005,SMALL(IF(checklistPesertaKemenkeu!$AY$6:$AY$1005="Direkomendasikan",ROW($6:$1005)-5),990)),"")</f>
        <v/>
      </c>
      <c r="F991" t="str">
        <f t="array" ref="F991">IFERROR(INDEX(checklistPesertaKemenkeu!$I$6:$I$1005,SMALL(IF(checklistPesertaKemenkeu!$AY$6:$AY$1005="Direkomendasikan",ROW($6:$1005)-5),990)),"")</f>
        <v/>
      </c>
      <c r="G991" t="str">
        <f t="array" ref="G991">IFERROR(INDEX(checklistPesertaKemenkeu!$J$6:$J$1005,SMALL(IF(checklistPesertaKemenkeu!$AY$6:$AY$1005="Direkomendasikan",ROW($6:$1005)-5),990)),"")</f>
        <v/>
      </c>
      <c r="H991" t="str">
        <f t="array" aca="1" ref="H991" ca="1">IFERROR(IF(OR(INDEX(checklistPesertaKemenkeu!$L$6:$L$1005,SMALL(IF(checklistPesertaKemenkeu!$AY$6:$AY$1005="Direkomendasikan",ROW($6:$1005)-5),990))="",INDEX(checklistPesertaKemenkeu!$J$6:$J$1005,SMALL(IF(checklistPesertaKemenkeu!$AY$6:$AY$1005="Direkomendasikan",ROW($6:$1005)-5),990))=""),"",IF(AND(COUNTIF(INDIRECT("K_"&amp;MATCH(INDEX(checklistPesertaKemenkeu!$J$6:$J$1005,SMALL(IF(checklistPesertaKemenkeu!$AY$6:$AY$1005="Direkomendasikan",ROW($6:$1005)-5),990)),BidangList,0)),INDEX(checklistPesertaKemenkeu!$L$6:$L$1005,SMALL(IF(checklistPesertaKemenkeu!$AY$6:$AY$1005="Direkomendasikan",ROW($6:$1005)-5),990)))&gt;0,COUNTIF(INDIRECT("'KERTAS KERJA'!K"&amp;(SMALL(IF(checklistPesertaKemenkeu!$AY$6:$AY$1005="Direkomendasikan",ROW($6:$1005)-5),990)+5)&amp;":O"&amp;(SMALL(IF(checklistPesertaKemenkeu!$AY$6:$AY$1005="Direkomendasikan",ROW($6:$1005)-5),990)+5)),INDEX(checklistPesertaKemenkeu!$L$6:$L$1005,SMALL(IF(checklistPesertaKemenkeu!$AY$6:$AY$1005="Direkomendasikan",ROW($6:$1005)-5),990)))=1),IFERROR(VLOOKUP(INDEX(checklistPesertaKemenkeu!$L$6:$L$1005,SMALL(IF(checklistPesertaKemenkeu!$AY$6:$AY$1005="Direkomendasikan",ROW($6:$1005)-5),990)),KotaKode,2,0),"-"),"")),"")</f>
        <v/>
      </c>
      <c r="I991" t="str">
        <f t="array" aca="1" ref="I991" ca="1">IFERROR(IF(OR(INDEX(checklistPesertaKemenkeu!$M$6:$M$1005,SMALL(IF(checklistPesertaKemenkeu!$AY$6:$AY$1005="Direkomendasikan",ROW($6:$1005)-5),990))="",INDEX(checklistPesertaKemenkeu!$J$6:$J$1005,SMALL(IF(checklistPesertaKemenkeu!$AY$6:$AY$1005="Direkomendasikan",ROW($6:$1005)-5),990))=""),"",IF(AND(COUNTIF(INDIRECT("K_"&amp;MATCH(INDEX(checklistPesertaKemenkeu!$J$6:$J$1005,SMALL(IF(checklistPesertaKemenkeu!$AY$6:$AY$1005="Direkomendasikan",ROW($6:$1005)-5),990)),BidangList,0)),INDEX(checklistPesertaKemenkeu!$M$6:$M$1005,SMALL(IF(checklistPesertaKemenkeu!$AY$6:$AY$1005="Direkomendasikan",ROW($6:$1005)-5),990)))&gt;0,COUNTIF(INDIRECT("'KERTAS KERJA'!K"&amp;(SMALL(IF(checklistPesertaKemenkeu!$AY$6:$AY$1005="Direkomendasikan",ROW($6:$1005)-5),990)+5)&amp;":O"&amp;(SMALL(IF(checklistPesertaKemenkeu!$AY$6:$AY$1005="Direkomendasikan",ROW($6:$1005)-5),990)+5)),INDEX(checklistPesertaKemenkeu!$M$6:$M$1005,SMALL(IF(checklistPesertaKemenkeu!$AY$6:$AY$1005="Direkomendasikan",ROW($6:$1005)-5),990)))=1),IFERROR(VLOOKUP(INDEX(checklistPesertaKemenkeu!$M$6:$M$1005,SMALL(IF(checklistPesertaKemenkeu!$AY$6:$AY$1005="Direkomendasikan",ROW($6:$1005)-5),990)),KotaKode,2,0),"-"),"")),"")</f>
        <v/>
      </c>
      <c r="J991" t="str">
        <f t="array" aca="1" ref="J991" ca="1">IFERROR(IF(OR(INDEX(checklistPesertaKemenkeu!$N$6:$N$1005,SMALL(IF(checklistPesertaKemenkeu!$AY$6:$AY$1005="Direkomendasikan",ROW($6:$1005)-5),990))="",INDEX(checklistPesertaKemenkeu!$J$6:$J$1005,SMALL(IF(checklistPesertaKemenkeu!$AY$6:$AY$1005="Direkomendasikan",ROW($6:$1005)-5),990))=""),"",IF(AND(COUNTIF(INDIRECT("K_"&amp;MATCH(INDEX(checklistPesertaKemenkeu!$J$6:$J$1005,SMALL(IF(checklistPesertaKemenkeu!$AY$6:$AY$1005="Direkomendasikan",ROW($6:$1005)-5),990)),BidangList,0)),INDEX(checklistPesertaKemenkeu!$N$6:$N$1005,SMALL(IF(checklistPesertaKemenkeu!$AY$6:$AY$1005="Direkomendasikan",ROW($6:$1005)-5),990)))&gt;0,COUNTIF(INDIRECT("'KERTAS KERJA'!K"&amp;(SMALL(IF(checklistPesertaKemenkeu!$AY$6:$AY$1005="Direkomendasikan",ROW($6:$1005)-5),990)+5)&amp;":O"&amp;(SMALL(IF(checklistPesertaKemenkeu!$AY$6:$AY$1005="Direkomendasikan",ROW($6:$1005)-5),990)+5)),INDEX(checklistPesertaKemenkeu!$N$6:$N$1005,SMALL(IF(checklistPesertaKemenkeu!$AY$6:$AY$1005="Direkomendasikan",ROW($6:$1005)-5),990)))=1),IFERROR(VLOOKUP(INDEX(checklistPesertaKemenkeu!$N$6:$N$1005,SMALL(IF(checklistPesertaKemenkeu!$AY$6:$AY$1005="Direkomendasikan",ROW($6:$1005)-5),990)),KotaKode,2,0),"-"),"")),"")</f>
        <v/>
      </c>
      <c r="K991" t="str">
        <f t="array" aca="1" ref="K991" ca="1">IFERROR(IF(OR(INDEX(checklistPesertaKemenkeu!$O$6:$O$1005,SMALL(IF(checklistPesertaKemenkeu!$AY$6:$AY$1005="Direkomendasikan",ROW($6:$1005)-5),990))="",INDEX(checklistPesertaKemenkeu!$J$6:$J$1005,SMALL(IF(checklistPesertaKemenkeu!$AY$6:$AY$1005="Direkomendasikan",ROW($6:$1005)-5),990))=""),"",IF(AND(COUNTIF(INDIRECT("K_"&amp;MATCH(INDEX(checklistPesertaKemenkeu!$J$6:$J$1005,SMALL(IF(checklistPesertaKemenkeu!$AY$6:$AY$1005="Direkomendasikan",ROW($6:$1005)-5),990)),BidangList,0)),INDEX(checklistPesertaKemenkeu!$O$6:$O$1005,SMALL(IF(checklistPesertaKemenkeu!$AY$6:$AY$1005="Direkomendasikan",ROW($6:$1005)-5),990)))&gt;0,COUNTIF(INDIRECT("'KERTAS KERJA'!K"&amp;(SMALL(IF(checklistPesertaKemenkeu!$AY$6:$AY$1005="Direkomendasikan",ROW($6:$1005)-5),990)+5)&amp;":O"&amp;(SMALL(IF(checklistPesertaKemenkeu!$AY$6:$AY$1005="Direkomendasikan",ROW($6:$1005)-5),990)+5)),INDEX(checklistPesertaKemenkeu!$O$6:$O$1005,SMALL(IF(checklistPesertaKemenkeu!$AY$6:$AY$1005="Direkomendasikan",ROW($6:$1005)-5),990)))=1),IFERROR(VLOOKUP(INDEX(checklistPesertaKemenkeu!$O$6:$O$1005,SMALL(IF(checklistPesertaKemenkeu!$AY$6:$AY$1005="Direkomendasikan",ROW($6:$1005)-5),990)),KotaKode,2,0),"-"),"")),"")</f>
        <v/>
      </c>
      <c r="L991" t="str">
        <f t="array" aca="1" ref="L991" ca="1">IFERROR(IF(OR(INDEX(checklistPesertaKemenkeu!$P$6:$P$1005,SMALL(IF(checklistPesertaKemenkeu!$AY$6:$AY$1005="Direkomendasikan",ROW($6:$1005)-5),990))="",INDEX(checklistPesertaKemenkeu!$J$6:$J$1005,SMALL(IF(checklistPesertaKemenkeu!$AY$6:$AY$1005="Direkomendasikan",ROW($6:$1005)-5),990))=""),"",IF(AND(COUNTIF(INDIRECT("K_"&amp;MATCH(INDEX(checklistPesertaKemenkeu!$J$6:$J$1005,SMALL(IF(checklistPesertaKemenkeu!$AY$6:$AY$1005="Direkomendasikan",ROW($6:$1005)-5),990)),BidangList,0)),INDEX(checklistPesertaKemenkeu!$P$6:$P$1005,SMALL(IF(checklistPesertaKemenkeu!$AY$6:$AY$1005="Direkomendasikan",ROW($6:$1005)-5),990)))&gt;0,COUNTIF(INDIRECT("'KERTAS KERJA'!K"&amp;(SMALL(IF(checklistPesertaKemenkeu!$AY$6:$AY$1005="Direkomendasikan",ROW($6:$1005)-5),990)+5)&amp;":O"&amp;(SMALL(IF(checklistPesertaKemenkeu!$AY$6:$AY$1005="Direkomendasikan",ROW($6:$1005)-5),990)+5)),INDEX(checklistPesertaKemenkeu!$P$6:$P$1005,SMALL(IF(checklistPesertaKemenkeu!$AY$6:$AY$1005="Direkomendasikan",ROW($6:$1005)-5),990)))=1),IFERROR(VLOOKUP(INDEX(checklistPesertaKemenkeu!$P$6:$P$1005,SMALL(IF(checklistPesertaKemenkeu!$AY$6:$AY$1005="Direkomendasikan",ROW($6:$1005)-5),990)),KotaKode,2,0),"-"),"")),"")</f>
        <v/>
      </c>
    </row>
    <row r="992" spans="1:12" ht="15" customHeight="1" x14ac:dyDescent="0.2">
      <c r="A992" t="str">
        <f t="shared" si="15"/>
        <v/>
      </c>
      <c r="B992" t="str">
        <v/>
      </c>
      <c r="C992" s="40" t="str">
        <f t="array" ref="C992">IFERROR(INDEX(checklistPesertaKemenkeu!$F$6:$F$1005,SMALL(IF(checklistPesertaKemenkeu!$AY$6:$AY$1005="Direkomendasikan",ROW($6:$1005)-5),991)),"")</f>
        <v/>
      </c>
      <c r="D992" t="str">
        <f t="array" ref="D992">IFERROR(INDEX(checklistPesertaKemenkeu!$G$6:$G$1005,SMALL(IF(checklistPesertaKemenkeu!$AY$6:$AY$1005="Direkomendasikan",ROW($6:$1005)-5),991)),"")</f>
        <v/>
      </c>
      <c r="E992" t="str">
        <f t="array" ref="E992">IFERROR(INDEX(checklistPesertaKemenkeu!$H$6:$H$1005,SMALL(IF(checklistPesertaKemenkeu!$AY$6:$AY$1005="Direkomendasikan",ROW($6:$1005)-5),991)),"")</f>
        <v/>
      </c>
      <c r="F992" t="str">
        <f t="array" ref="F992">IFERROR(INDEX(checklistPesertaKemenkeu!$I$6:$I$1005,SMALL(IF(checklistPesertaKemenkeu!$AY$6:$AY$1005="Direkomendasikan",ROW($6:$1005)-5),991)),"")</f>
        <v/>
      </c>
      <c r="G992" t="str">
        <f t="array" ref="G992">IFERROR(INDEX(checklistPesertaKemenkeu!$J$6:$J$1005,SMALL(IF(checklistPesertaKemenkeu!$AY$6:$AY$1005="Direkomendasikan",ROW($6:$1005)-5),991)),"")</f>
        <v/>
      </c>
      <c r="H992" t="str">
        <f t="array" aca="1" ref="H992" ca="1">IFERROR(IF(OR(INDEX(checklistPesertaKemenkeu!$L$6:$L$1005,SMALL(IF(checklistPesertaKemenkeu!$AY$6:$AY$1005="Direkomendasikan",ROW($6:$1005)-5),991))="",INDEX(checklistPesertaKemenkeu!$J$6:$J$1005,SMALL(IF(checklistPesertaKemenkeu!$AY$6:$AY$1005="Direkomendasikan",ROW($6:$1005)-5),991))=""),"",IF(AND(COUNTIF(INDIRECT("K_"&amp;MATCH(INDEX(checklistPesertaKemenkeu!$J$6:$J$1005,SMALL(IF(checklistPesertaKemenkeu!$AY$6:$AY$1005="Direkomendasikan",ROW($6:$1005)-5),991)),BidangList,0)),INDEX(checklistPesertaKemenkeu!$L$6:$L$1005,SMALL(IF(checklistPesertaKemenkeu!$AY$6:$AY$1005="Direkomendasikan",ROW($6:$1005)-5),991)))&gt;0,COUNTIF(INDIRECT("'KERTAS KERJA'!K"&amp;(SMALL(IF(checklistPesertaKemenkeu!$AY$6:$AY$1005="Direkomendasikan",ROW($6:$1005)-5),991)+5)&amp;":O"&amp;(SMALL(IF(checklistPesertaKemenkeu!$AY$6:$AY$1005="Direkomendasikan",ROW($6:$1005)-5),991)+5)),INDEX(checklistPesertaKemenkeu!$L$6:$L$1005,SMALL(IF(checklistPesertaKemenkeu!$AY$6:$AY$1005="Direkomendasikan",ROW($6:$1005)-5),991)))=1),IFERROR(VLOOKUP(INDEX(checklistPesertaKemenkeu!$L$6:$L$1005,SMALL(IF(checklistPesertaKemenkeu!$AY$6:$AY$1005="Direkomendasikan",ROW($6:$1005)-5),991)),KotaKode,2,0),"-"),"")),"")</f>
        <v/>
      </c>
      <c r="I992" t="str">
        <f t="array" aca="1" ref="I992" ca="1">IFERROR(IF(OR(INDEX(checklistPesertaKemenkeu!$M$6:$M$1005,SMALL(IF(checklistPesertaKemenkeu!$AY$6:$AY$1005="Direkomendasikan",ROW($6:$1005)-5),991))="",INDEX(checklistPesertaKemenkeu!$J$6:$J$1005,SMALL(IF(checklistPesertaKemenkeu!$AY$6:$AY$1005="Direkomendasikan",ROW($6:$1005)-5),991))=""),"",IF(AND(COUNTIF(INDIRECT("K_"&amp;MATCH(INDEX(checklistPesertaKemenkeu!$J$6:$J$1005,SMALL(IF(checklistPesertaKemenkeu!$AY$6:$AY$1005="Direkomendasikan",ROW($6:$1005)-5),991)),BidangList,0)),INDEX(checklistPesertaKemenkeu!$M$6:$M$1005,SMALL(IF(checklistPesertaKemenkeu!$AY$6:$AY$1005="Direkomendasikan",ROW($6:$1005)-5),991)))&gt;0,COUNTIF(INDIRECT("'KERTAS KERJA'!K"&amp;(SMALL(IF(checklistPesertaKemenkeu!$AY$6:$AY$1005="Direkomendasikan",ROW($6:$1005)-5),991)+5)&amp;":O"&amp;(SMALL(IF(checklistPesertaKemenkeu!$AY$6:$AY$1005="Direkomendasikan",ROW($6:$1005)-5),991)+5)),INDEX(checklistPesertaKemenkeu!$M$6:$M$1005,SMALL(IF(checklistPesertaKemenkeu!$AY$6:$AY$1005="Direkomendasikan",ROW($6:$1005)-5),991)))=1),IFERROR(VLOOKUP(INDEX(checklistPesertaKemenkeu!$M$6:$M$1005,SMALL(IF(checklistPesertaKemenkeu!$AY$6:$AY$1005="Direkomendasikan",ROW($6:$1005)-5),991)),KotaKode,2,0),"-"),"")),"")</f>
        <v/>
      </c>
      <c r="J992" t="str">
        <f t="array" aca="1" ref="J992" ca="1">IFERROR(IF(OR(INDEX(checklistPesertaKemenkeu!$N$6:$N$1005,SMALL(IF(checklistPesertaKemenkeu!$AY$6:$AY$1005="Direkomendasikan",ROW($6:$1005)-5),991))="",INDEX(checklistPesertaKemenkeu!$J$6:$J$1005,SMALL(IF(checklistPesertaKemenkeu!$AY$6:$AY$1005="Direkomendasikan",ROW($6:$1005)-5),991))=""),"",IF(AND(COUNTIF(INDIRECT("K_"&amp;MATCH(INDEX(checklistPesertaKemenkeu!$J$6:$J$1005,SMALL(IF(checklistPesertaKemenkeu!$AY$6:$AY$1005="Direkomendasikan",ROW($6:$1005)-5),991)),BidangList,0)),INDEX(checklistPesertaKemenkeu!$N$6:$N$1005,SMALL(IF(checklistPesertaKemenkeu!$AY$6:$AY$1005="Direkomendasikan",ROW($6:$1005)-5),991)))&gt;0,COUNTIF(INDIRECT("'KERTAS KERJA'!K"&amp;(SMALL(IF(checklistPesertaKemenkeu!$AY$6:$AY$1005="Direkomendasikan",ROW($6:$1005)-5),991)+5)&amp;":O"&amp;(SMALL(IF(checklistPesertaKemenkeu!$AY$6:$AY$1005="Direkomendasikan",ROW($6:$1005)-5),991)+5)),INDEX(checklistPesertaKemenkeu!$N$6:$N$1005,SMALL(IF(checklistPesertaKemenkeu!$AY$6:$AY$1005="Direkomendasikan",ROW($6:$1005)-5),991)))=1),IFERROR(VLOOKUP(INDEX(checklistPesertaKemenkeu!$N$6:$N$1005,SMALL(IF(checklistPesertaKemenkeu!$AY$6:$AY$1005="Direkomendasikan",ROW($6:$1005)-5),991)),KotaKode,2,0),"-"),"")),"")</f>
        <v/>
      </c>
      <c r="K992" t="str">
        <f t="array" aca="1" ref="K992" ca="1">IFERROR(IF(OR(INDEX(checklistPesertaKemenkeu!$O$6:$O$1005,SMALL(IF(checklistPesertaKemenkeu!$AY$6:$AY$1005="Direkomendasikan",ROW($6:$1005)-5),991))="",INDEX(checklistPesertaKemenkeu!$J$6:$J$1005,SMALL(IF(checklistPesertaKemenkeu!$AY$6:$AY$1005="Direkomendasikan",ROW($6:$1005)-5),991))=""),"",IF(AND(COUNTIF(INDIRECT("K_"&amp;MATCH(INDEX(checklistPesertaKemenkeu!$J$6:$J$1005,SMALL(IF(checklistPesertaKemenkeu!$AY$6:$AY$1005="Direkomendasikan",ROW($6:$1005)-5),991)),BidangList,0)),INDEX(checklistPesertaKemenkeu!$O$6:$O$1005,SMALL(IF(checklistPesertaKemenkeu!$AY$6:$AY$1005="Direkomendasikan",ROW($6:$1005)-5),991)))&gt;0,COUNTIF(INDIRECT("'KERTAS KERJA'!K"&amp;(SMALL(IF(checklistPesertaKemenkeu!$AY$6:$AY$1005="Direkomendasikan",ROW($6:$1005)-5),991)+5)&amp;":O"&amp;(SMALL(IF(checklistPesertaKemenkeu!$AY$6:$AY$1005="Direkomendasikan",ROW($6:$1005)-5),991)+5)),INDEX(checklistPesertaKemenkeu!$O$6:$O$1005,SMALL(IF(checklistPesertaKemenkeu!$AY$6:$AY$1005="Direkomendasikan",ROW($6:$1005)-5),991)))=1),IFERROR(VLOOKUP(INDEX(checklistPesertaKemenkeu!$O$6:$O$1005,SMALL(IF(checklistPesertaKemenkeu!$AY$6:$AY$1005="Direkomendasikan",ROW($6:$1005)-5),991)),KotaKode,2,0),"-"),"")),"")</f>
        <v/>
      </c>
      <c r="L992" t="str">
        <f t="array" aca="1" ref="L992" ca="1">IFERROR(IF(OR(INDEX(checklistPesertaKemenkeu!$P$6:$P$1005,SMALL(IF(checklistPesertaKemenkeu!$AY$6:$AY$1005="Direkomendasikan",ROW($6:$1005)-5),991))="",INDEX(checklistPesertaKemenkeu!$J$6:$J$1005,SMALL(IF(checklistPesertaKemenkeu!$AY$6:$AY$1005="Direkomendasikan",ROW($6:$1005)-5),991))=""),"",IF(AND(COUNTIF(INDIRECT("K_"&amp;MATCH(INDEX(checklistPesertaKemenkeu!$J$6:$J$1005,SMALL(IF(checklistPesertaKemenkeu!$AY$6:$AY$1005="Direkomendasikan",ROW($6:$1005)-5),991)),BidangList,0)),INDEX(checklistPesertaKemenkeu!$P$6:$P$1005,SMALL(IF(checklistPesertaKemenkeu!$AY$6:$AY$1005="Direkomendasikan",ROW($6:$1005)-5),991)))&gt;0,COUNTIF(INDIRECT("'KERTAS KERJA'!K"&amp;(SMALL(IF(checklistPesertaKemenkeu!$AY$6:$AY$1005="Direkomendasikan",ROW($6:$1005)-5),991)+5)&amp;":O"&amp;(SMALL(IF(checklistPesertaKemenkeu!$AY$6:$AY$1005="Direkomendasikan",ROW($6:$1005)-5),991)+5)),INDEX(checklistPesertaKemenkeu!$P$6:$P$1005,SMALL(IF(checklistPesertaKemenkeu!$AY$6:$AY$1005="Direkomendasikan",ROW($6:$1005)-5),991)))=1),IFERROR(VLOOKUP(INDEX(checklistPesertaKemenkeu!$P$6:$P$1005,SMALL(IF(checklistPesertaKemenkeu!$AY$6:$AY$1005="Direkomendasikan",ROW($6:$1005)-5),991)),KotaKode,2,0),"-"),"")),"")</f>
        <v/>
      </c>
    </row>
    <row r="993" spans="1:12" ht="15" customHeight="1" x14ac:dyDescent="0.2">
      <c r="A993" t="str">
        <f t="shared" si="15"/>
        <v/>
      </c>
      <c r="B993" t="str">
        <v/>
      </c>
      <c r="C993" s="40" t="str">
        <f t="array" ref="C993">IFERROR(INDEX(checklistPesertaKemenkeu!$F$6:$F$1005,SMALL(IF(checklistPesertaKemenkeu!$AY$6:$AY$1005="Direkomendasikan",ROW($6:$1005)-5),992)),"")</f>
        <v/>
      </c>
      <c r="D993" t="str">
        <f t="array" ref="D993">IFERROR(INDEX(checklistPesertaKemenkeu!$G$6:$G$1005,SMALL(IF(checklistPesertaKemenkeu!$AY$6:$AY$1005="Direkomendasikan",ROW($6:$1005)-5),992)),"")</f>
        <v/>
      </c>
      <c r="E993" t="str">
        <f t="array" ref="E993">IFERROR(INDEX(checklistPesertaKemenkeu!$H$6:$H$1005,SMALL(IF(checklistPesertaKemenkeu!$AY$6:$AY$1005="Direkomendasikan",ROW($6:$1005)-5),992)),"")</f>
        <v/>
      </c>
      <c r="F993" t="str">
        <f t="array" ref="F993">IFERROR(INDEX(checklistPesertaKemenkeu!$I$6:$I$1005,SMALL(IF(checklistPesertaKemenkeu!$AY$6:$AY$1005="Direkomendasikan",ROW($6:$1005)-5),992)),"")</f>
        <v/>
      </c>
      <c r="G993" t="str">
        <f t="array" ref="G993">IFERROR(INDEX(checklistPesertaKemenkeu!$J$6:$J$1005,SMALL(IF(checklistPesertaKemenkeu!$AY$6:$AY$1005="Direkomendasikan",ROW($6:$1005)-5),992)),"")</f>
        <v/>
      </c>
      <c r="H993" t="str">
        <f t="array" aca="1" ref="H993" ca="1">IFERROR(IF(OR(INDEX(checklistPesertaKemenkeu!$L$6:$L$1005,SMALL(IF(checklistPesertaKemenkeu!$AY$6:$AY$1005="Direkomendasikan",ROW($6:$1005)-5),992))="",INDEX(checklistPesertaKemenkeu!$J$6:$J$1005,SMALL(IF(checklistPesertaKemenkeu!$AY$6:$AY$1005="Direkomendasikan",ROW($6:$1005)-5),992))=""),"",IF(AND(COUNTIF(INDIRECT("K_"&amp;MATCH(INDEX(checklistPesertaKemenkeu!$J$6:$J$1005,SMALL(IF(checklistPesertaKemenkeu!$AY$6:$AY$1005="Direkomendasikan",ROW($6:$1005)-5),992)),BidangList,0)),INDEX(checklistPesertaKemenkeu!$L$6:$L$1005,SMALL(IF(checklistPesertaKemenkeu!$AY$6:$AY$1005="Direkomendasikan",ROW($6:$1005)-5),992)))&gt;0,COUNTIF(INDIRECT("'KERTAS KERJA'!K"&amp;(SMALL(IF(checklistPesertaKemenkeu!$AY$6:$AY$1005="Direkomendasikan",ROW($6:$1005)-5),992)+5)&amp;":O"&amp;(SMALL(IF(checklistPesertaKemenkeu!$AY$6:$AY$1005="Direkomendasikan",ROW($6:$1005)-5),992)+5)),INDEX(checklistPesertaKemenkeu!$L$6:$L$1005,SMALL(IF(checklistPesertaKemenkeu!$AY$6:$AY$1005="Direkomendasikan",ROW($6:$1005)-5),992)))=1),IFERROR(VLOOKUP(INDEX(checklistPesertaKemenkeu!$L$6:$L$1005,SMALL(IF(checklistPesertaKemenkeu!$AY$6:$AY$1005="Direkomendasikan",ROW($6:$1005)-5),992)),KotaKode,2,0),"-"),"")),"")</f>
        <v/>
      </c>
      <c r="I993" t="str">
        <f t="array" aca="1" ref="I993" ca="1">IFERROR(IF(OR(INDEX(checklistPesertaKemenkeu!$M$6:$M$1005,SMALL(IF(checklistPesertaKemenkeu!$AY$6:$AY$1005="Direkomendasikan",ROW($6:$1005)-5),992))="",INDEX(checklistPesertaKemenkeu!$J$6:$J$1005,SMALL(IF(checklistPesertaKemenkeu!$AY$6:$AY$1005="Direkomendasikan",ROW($6:$1005)-5),992))=""),"",IF(AND(COUNTIF(INDIRECT("K_"&amp;MATCH(INDEX(checklistPesertaKemenkeu!$J$6:$J$1005,SMALL(IF(checklistPesertaKemenkeu!$AY$6:$AY$1005="Direkomendasikan",ROW($6:$1005)-5),992)),BidangList,0)),INDEX(checklistPesertaKemenkeu!$M$6:$M$1005,SMALL(IF(checklistPesertaKemenkeu!$AY$6:$AY$1005="Direkomendasikan",ROW($6:$1005)-5),992)))&gt;0,COUNTIF(INDIRECT("'KERTAS KERJA'!K"&amp;(SMALL(IF(checklistPesertaKemenkeu!$AY$6:$AY$1005="Direkomendasikan",ROW($6:$1005)-5),992)+5)&amp;":O"&amp;(SMALL(IF(checklistPesertaKemenkeu!$AY$6:$AY$1005="Direkomendasikan",ROW($6:$1005)-5),992)+5)),INDEX(checklistPesertaKemenkeu!$M$6:$M$1005,SMALL(IF(checklistPesertaKemenkeu!$AY$6:$AY$1005="Direkomendasikan",ROW($6:$1005)-5),992)))=1),IFERROR(VLOOKUP(INDEX(checklistPesertaKemenkeu!$M$6:$M$1005,SMALL(IF(checklistPesertaKemenkeu!$AY$6:$AY$1005="Direkomendasikan",ROW($6:$1005)-5),992)),KotaKode,2,0),"-"),"")),"")</f>
        <v/>
      </c>
      <c r="J993" t="str">
        <f t="array" aca="1" ref="J993" ca="1">IFERROR(IF(OR(INDEX(checklistPesertaKemenkeu!$N$6:$N$1005,SMALL(IF(checklistPesertaKemenkeu!$AY$6:$AY$1005="Direkomendasikan",ROW($6:$1005)-5),992))="",INDEX(checklistPesertaKemenkeu!$J$6:$J$1005,SMALL(IF(checklistPesertaKemenkeu!$AY$6:$AY$1005="Direkomendasikan",ROW($6:$1005)-5),992))=""),"",IF(AND(COUNTIF(INDIRECT("K_"&amp;MATCH(INDEX(checklistPesertaKemenkeu!$J$6:$J$1005,SMALL(IF(checklistPesertaKemenkeu!$AY$6:$AY$1005="Direkomendasikan",ROW($6:$1005)-5),992)),BidangList,0)),INDEX(checklistPesertaKemenkeu!$N$6:$N$1005,SMALL(IF(checklistPesertaKemenkeu!$AY$6:$AY$1005="Direkomendasikan",ROW($6:$1005)-5),992)))&gt;0,COUNTIF(INDIRECT("'KERTAS KERJA'!K"&amp;(SMALL(IF(checklistPesertaKemenkeu!$AY$6:$AY$1005="Direkomendasikan",ROW($6:$1005)-5),992)+5)&amp;":O"&amp;(SMALL(IF(checklistPesertaKemenkeu!$AY$6:$AY$1005="Direkomendasikan",ROW($6:$1005)-5),992)+5)),INDEX(checklistPesertaKemenkeu!$N$6:$N$1005,SMALL(IF(checklistPesertaKemenkeu!$AY$6:$AY$1005="Direkomendasikan",ROW($6:$1005)-5),992)))=1),IFERROR(VLOOKUP(INDEX(checklistPesertaKemenkeu!$N$6:$N$1005,SMALL(IF(checklistPesertaKemenkeu!$AY$6:$AY$1005="Direkomendasikan",ROW($6:$1005)-5),992)),KotaKode,2,0),"-"),"")),"")</f>
        <v/>
      </c>
      <c r="K993" t="str">
        <f t="array" aca="1" ref="K993" ca="1">IFERROR(IF(OR(INDEX(checklistPesertaKemenkeu!$O$6:$O$1005,SMALL(IF(checklistPesertaKemenkeu!$AY$6:$AY$1005="Direkomendasikan",ROW($6:$1005)-5),992))="",INDEX(checklistPesertaKemenkeu!$J$6:$J$1005,SMALL(IF(checklistPesertaKemenkeu!$AY$6:$AY$1005="Direkomendasikan",ROW($6:$1005)-5),992))=""),"",IF(AND(COUNTIF(INDIRECT("K_"&amp;MATCH(INDEX(checklistPesertaKemenkeu!$J$6:$J$1005,SMALL(IF(checklistPesertaKemenkeu!$AY$6:$AY$1005="Direkomendasikan",ROW($6:$1005)-5),992)),BidangList,0)),INDEX(checklistPesertaKemenkeu!$O$6:$O$1005,SMALL(IF(checklistPesertaKemenkeu!$AY$6:$AY$1005="Direkomendasikan",ROW($6:$1005)-5),992)))&gt;0,COUNTIF(INDIRECT("'KERTAS KERJA'!K"&amp;(SMALL(IF(checklistPesertaKemenkeu!$AY$6:$AY$1005="Direkomendasikan",ROW($6:$1005)-5),992)+5)&amp;":O"&amp;(SMALL(IF(checklistPesertaKemenkeu!$AY$6:$AY$1005="Direkomendasikan",ROW($6:$1005)-5),992)+5)),INDEX(checklistPesertaKemenkeu!$O$6:$O$1005,SMALL(IF(checklistPesertaKemenkeu!$AY$6:$AY$1005="Direkomendasikan",ROW($6:$1005)-5),992)))=1),IFERROR(VLOOKUP(INDEX(checklistPesertaKemenkeu!$O$6:$O$1005,SMALL(IF(checklistPesertaKemenkeu!$AY$6:$AY$1005="Direkomendasikan",ROW($6:$1005)-5),992)),KotaKode,2,0),"-"),"")),"")</f>
        <v/>
      </c>
      <c r="L993" t="str">
        <f t="array" aca="1" ref="L993" ca="1">IFERROR(IF(OR(INDEX(checklistPesertaKemenkeu!$P$6:$P$1005,SMALL(IF(checklistPesertaKemenkeu!$AY$6:$AY$1005="Direkomendasikan",ROW($6:$1005)-5),992))="",INDEX(checklistPesertaKemenkeu!$J$6:$J$1005,SMALL(IF(checklistPesertaKemenkeu!$AY$6:$AY$1005="Direkomendasikan",ROW($6:$1005)-5),992))=""),"",IF(AND(COUNTIF(INDIRECT("K_"&amp;MATCH(INDEX(checklistPesertaKemenkeu!$J$6:$J$1005,SMALL(IF(checklistPesertaKemenkeu!$AY$6:$AY$1005="Direkomendasikan",ROW($6:$1005)-5),992)),BidangList,0)),INDEX(checklistPesertaKemenkeu!$P$6:$P$1005,SMALL(IF(checklistPesertaKemenkeu!$AY$6:$AY$1005="Direkomendasikan",ROW($6:$1005)-5),992)))&gt;0,COUNTIF(INDIRECT("'KERTAS KERJA'!K"&amp;(SMALL(IF(checklistPesertaKemenkeu!$AY$6:$AY$1005="Direkomendasikan",ROW($6:$1005)-5),992)+5)&amp;":O"&amp;(SMALL(IF(checklistPesertaKemenkeu!$AY$6:$AY$1005="Direkomendasikan",ROW($6:$1005)-5),992)+5)),INDEX(checklistPesertaKemenkeu!$P$6:$P$1005,SMALL(IF(checklistPesertaKemenkeu!$AY$6:$AY$1005="Direkomendasikan",ROW($6:$1005)-5),992)))=1),IFERROR(VLOOKUP(INDEX(checklistPesertaKemenkeu!$P$6:$P$1005,SMALL(IF(checklistPesertaKemenkeu!$AY$6:$AY$1005="Direkomendasikan",ROW($6:$1005)-5),992)),KotaKode,2,0),"-"),"")),"")</f>
        <v/>
      </c>
    </row>
    <row r="994" spans="1:12" ht="15" customHeight="1" x14ac:dyDescent="0.2">
      <c r="A994" t="str">
        <f t="shared" si="15"/>
        <v/>
      </c>
      <c r="B994" t="str">
        <v/>
      </c>
      <c r="C994" s="40" t="str">
        <f t="array" ref="C994">IFERROR(INDEX(checklistPesertaKemenkeu!$F$6:$F$1005,SMALL(IF(checklistPesertaKemenkeu!$AY$6:$AY$1005="Direkomendasikan",ROW($6:$1005)-5),993)),"")</f>
        <v/>
      </c>
      <c r="D994" t="str">
        <f t="array" ref="D994">IFERROR(INDEX(checklistPesertaKemenkeu!$G$6:$G$1005,SMALL(IF(checklistPesertaKemenkeu!$AY$6:$AY$1005="Direkomendasikan",ROW($6:$1005)-5),993)),"")</f>
        <v/>
      </c>
      <c r="E994" t="str">
        <f t="array" ref="E994">IFERROR(INDEX(checklistPesertaKemenkeu!$H$6:$H$1005,SMALL(IF(checklistPesertaKemenkeu!$AY$6:$AY$1005="Direkomendasikan",ROW($6:$1005)-5),993)),"")</f>
        <v/>
      </c>
      <c r="F994" t="str">
        <f t="array" ref="F994">IFERROR(INDEX(checklistPesertaKemenkeu!$I$6:$I$1005,SMALL(IF(checklistPesertaKemenkeu!$AY$6:$AY$1005="Direkomendasikan",ROW($6:$1005)-5),993)),"")</f>
        <v/>
      </c>
      <c r="G994" t="str">
        <f t="array" ref="G994">IFERROR(INDEX(checklistPesertaKemenkeu!$J$6:$J$1005,SMALL(IF(checklistPesertaKemenkeu!$AY$6:$AY$1005="Direkomendasikan",ROW($6:$1005)-5),993)),"")</f>
        <v/>
      </c>
      <c r="H994" t="str">
        <f t="array" aca="1" ref="H994" ca="1">IFERROR(IF(OR(INDEX(checklistPesertaKemenkeu!$L$6:$L$1005,SMALL(IF(checklistPesertaKemenkeu!$AY$6:$AY$1005="Direkomendasikan",ROW($6:$1005)-5),993))="",INDEX(checklistPesertaKemenkeu!$J$6:$J$1005,SMALL(IF(checklistPesertaKemenkeu!$AY$6:$AY$1005="Direkomendasikan",ROW($6:$1005)-5),993))=""),"",IF(AND(COUNTIF(INDIRECT("K_"&amp;MATCH(INDEX(checklistPesertaKemenkeu!$J$6:$J$1005,SMALL(IF(checklistPesertaKemenkeu!$AY$6:$AY$1005="Direkomendasikan",ROW($6:$1005)-5),993)),BidangList,0)),INDEX(checklistPesertaKemenkeu!$L$6:$L$1005,SMALL(IF(checklistPesertaKemenkeu!$AY$6:$AY$1005="Direkomendasikan",ROW($6:$1005)-5),993)))&gt;0,COUNTIF(INDIRECT("'KERTAS KERJA'!K"&amp;(SMALL(IF(checklistPesertaKemenkeu!$AY$6:$AY$1005="Direkomendasikan",ROW($6:$1005)-5),993)+5)&amp;":O"&amp;(SMALL(IF(checklistPesertaKemenkeu!$AY$6:$AY$1005="Direkomendasikan",ROW($6:$1005)-5),993)+5)),INDEX(checklistPesertaKemenkeu!$L$6:$L$1005,SMALL(IF(checklistPesertaKemenkeu!$AY$6:$AY$1005="Direkomendasikan",ROW($6:$1005)-5),993)))=1),IFERROR(VLOOKUP(INDEX(checklistPesertaKemenkeu!$L$6:$L$1005,SMALL(IF(checklistPesertaKemenkeu!$AY$6:$AY$1005="Direkomendasikan",ROW($6:$1005)-5),993)),KotaKode,2,0),"-"),"")),"")</f>
        <v/>
      </c>
      <c r="I994" t="str">
        <f t="array" aca="1" ref="I994" ca="1">IFERROR(IF(OR(INDEX(checklistPesertaKemenkeu!$M$6:$M$1005,SMALL(IF(checklistPesertaKemenkeu!$AY$6:$AY$1005="Direkomendasikan",ROW($6:$1005)-5),993))="",INDEX(checklistPesertaKemenkeu!$J$6:$J$1005,SMALL(IF(checklistPesertaKemenkeu!$AY$6:$AY$1005="Direkomendasikan",ROW($6:$1005)-5),993))=""),"",IF(AND(COUNTIF(INDIRECT("K_"&amp;MATCH(INDEX(checklistPesertaKemenkeu!$J$6:$J$1005,SMALL(IF(checklistPesertaKemenkeu!$AY$6:$AY$1005="Direkomendasikan",ROW($6:$1005)-5),993)),BidangList,0)),INDEX(checklistPesertaKemenkeu!$M$6:$M$1005,SMALL(IF(checklistPesertaKemenkeu!$AY$6:$AY$1005="Direkomendasikan",ROW($6:$1005)-5),993)))&gt;0,COUNTIF(INDIRECT("'KERTAS KERJA'!K"&amp;(SMALL(IF(checklistPesertaKemenkeu!$AY$6:$AY$1005="Direkomendasikan",ROW($6:$1005)-5),993)+5)&amp;":O"&amp;(SMALL(IF(checklistPesertaKemenkeu!$AY$6:$AY$1005="Direkomendasikan",ROW($6:$1005)-5),993)+5)),INDEX(checklistPesertaKemenkeu!$M$6:$M$1005,SMALL(IF(checklistPesertaKemenkeu!$AY$6:$AY$1005="Direkomendasikan",ROW($6:$1005)-5),993)))=1),IFERROR(VLOOKUP(INDEX(checklistPesertaKemenkeu!$M$6:$M$1005,SMALL(IF(checklistPesertaKemenkeu!$AY$6:$AY$1005="Direkomendasikan",ROW($6:$1005)-5),993)),KotaKode,2,0),"-"),"")),"")</f>
        <v/>
      </c>
      <c r="J994" t="str">
        <f t="array" aca="1" ref="J994" ca="1">IFERROR(IF(OR(INDEX(checklistPesertaKemenkeu!$N$6:$N$1005,SMALL(IF(checklistPesertaKemenkeu!$AY$6:$AY$1005="Direkomendasikan",ROW($6:$1005)-5),993))="",INDEX(checklistPesertaKemenkeu!$J$6:$J$1005,SMALL(IF(checklistPesertaKemenkeu!$AY$6:$AY$1005="Direkomendasikan",ROW($6:$1005)-5),993))=""),"",IF(AND(COUNTIF(INDIRECT("K_"&amp;MATCH(INDEX(checklistPesertaKemenkeu!$J$6:$J$1005,SMALL(IF(checklistPesertaKemenkeu!$AY$6:$AY$1005="Direkomendasikan",ROW($6:$1005)-5),993)),BidangList,0)),INDEX(checklistPesertaKemenkeu!$N$6:$N$1005,SMALL(IF(checklistPesertaKemenkeu!$AY$6:$AY$1005="Direkomendasikan",ROW($6:$1005)-5),993)))&gt;0,COUNTIF(INDIRECT("'KERTAS KERJA'!K"&amp;(SMALL(IF(checklistPesertaKemenkeu!$AY$6:$AY$1005="Direkomendasikan",ROW($6:$1005)-5),993)+5)&amp;":O"&amp;(SMALL(IF(checklistPesertaKemenkeu!$AY$6:$AY$1005="Direkomendasikan",ROW($6:$1005)-5),993)+5)),INDEX(checklistPesertaKemenkeu!$N$6:$N$1005,SMALL(IF(checklistPesertaKemenkeu!$AY$6:$AY$1005="Direkomendasikan",ROW($6:$1005)-5),993)))=1),IFERROR(VLOOKUP(INDEX(checklistPesertaKemenkeu!$N$6:$N$1005,SMALL(IF(checklistPesertaKemenkeu!$AY$6:$AY$1005="Direkomendasikan",ROW($6:$1005)-5),993)),KotaKode,2,0),"-"),"")),"")</f>
        <v/>
      </c>
      <c r="K994" t="str">
        <f t="array" aca="1" ref="K994" ca="1">IFERROR(IF(OR(INDEX(checklistPesertaKemenkeu!$O$6:$O$1005,SMALL(IF(checklistPesertaKemenkeu!$AY$6:$AY$1005="Direkomendasikan",ROW($6:$1005)-5),993))="",INDEX(checklistPesertaKemenkeu!$J$6:$J$1005,SMALL(IF(checklistPesertaKemenkeu!$AY$6:$AY$1005="Direkomendasikan",ROW($6:$1005)-5),993))=""),"",IF(AND(COUNTIF(INDIRECT("K_"&amp;MATCH(INDEX(checklistPesertaKemenkeu!$J$6:$J$1005,SMALL(IF(checklistPesertaKemenkeu!$AY$6:$AY$1005="Direkomendasikan",ROW($6:$1005)-5),993)),BidangList,0)),INDEX(checklistPesertaKemenkeu!$O$6:$O$1005,SMALL(IF(checklistPesertaKemenkeu!$AY$6:$AY$1005="Direkomendasikan",ROW($6:$1005)-5),993)))&gt;0,COUNTIF(INDIRECT("'KERTAS KERJA'!K"&amp;(SMALL(IF(checklistPesertaKemenkeu!$AY$6:$AY$1005="Direkomendasikan",ROW($6:$1005)-5),993)+5)&amp;":O"&amp;(SMALL(IF(checklistPesertaKemenkeu!$AY$6:$AY$1005="Direkomendasikan",ROW($6:$1005)-5),993)+5)),INDEX(checklistPesertaKemenkeu!$O$6:$O$1005,SMALL(IF(checklistPesertaKemenkeu!$AY$6:$AY$1005="Direkomendasikan",ROW($6:$1005)-5),993)))=1),IFERROR(VLOOKUP(INDEX(checklistPesertaKemenkeu!$O$6:$O$1005,SMALL(IF(checklistPesertaKemenkeu!$AY$6:$AY$1005="Direkomendasikan",ROW($6:$1005)-5),993)),KotaKode,2,0),"-"),"")),"")</f>
        <v/>
      </c>
      <c r="L994" t="str">
        <f t="array" aca="1" ref="L994" ca="1">IFERROR(IF(OR(INDEX(checklistPesertaKemenkeu!$P$6:$P$1005,SMALL(IF(checklistPesertaKemenkeu!$AY$6:$AY$1005="Direkomendasikan",ROW($6:$1005)-5),993))="",INDEX(checklistPesertaKemenkeu!$J$6:$J$1005,SMALL(IF(checklistPesertaKemenkeu!$AY$6:$AY$1005="Direkomendasikan",ROW($6:$1005)-5),993))=""),"",IF(AND(COUNTIF(INDIRECT("K_"&amp;MATCH(INDEX(checklistPesertaKemenkeu!$J$6:$J$1005,SMALL(IF(checklistPesertaKemenkeu!$AY$6:$AY$1005="Direkomendasikan",ROW($6:$1005)-5),993)),BidangList,0)),INDEX(checklistPesertaKemenkeu!$P$6:$P$1005,SMALL(IF(checklistPesertaKemenkeu!$AY$6:$AY$1005="Direkomendasikan",ROW($6:$1005)-5),993)))&gt;0,COUNTIF(INDIRECT("'KERTAS KERJA'!K"&amp;(SMALL(IF(checklistPesertaKemenkeu!$AY$6:$AY$1005="Direkomendasikan",ROW($6:$1005)-5),993)+5)&amp;":O"&amp;(SMALL(IF(checklistPesertaKemenkeu!$AY$6:$AY$1005="Direkomendasikan",ROW($6:$1005)-5),993)+5)),INDEX(checklistPesertaKemenkeu!$P$6:$P$1005,SMALL(IF(checklistPesertaKemenkeu!$AY$6:$AY$1005="Direkomendasikan",ROW($6:$1005)-5),993)))=1),IFERROR(VLOOKUP(INDEX(checklistPesertaKemenkeu!$P$6:$P$1005,SMALL(IF(checklistPesertaKemenkeu!$AY$6:$AY$1005="Direkomendasikan",ROW($6:$1005)-5),993)),KotaKode,2,0),"-"),"")),"")</f>
        <v/>
      </c>
    </row>
    <row r="995" spans="1:12" ht="15" customHeight="1" x14ac:dyDescent="0.2">
      <c r="A995" t="str">
        <f t="shared" si="15"/>
        <v/>
      </c>
      <c r="B995" t="str">
        <v/>
      </c>
      <c r="C995" s="40" t="str">
        <f t="array" ref="C995">IFERROR(INDEX(checklistPesertaKemenkeu!$F$6:$F$1005,SMALL(IF(checklistPesertaKemenkeu!$AY$6:$AY$1005="Direkomendasikan",ROW($6:$1005)-5),994)),"")</f>
        <v/>
      </c>
      <c r="D995" t="str">
        <f t="array" ref="D995">IFERROR(INDEX(checklistPesertaKemenkeu!$G$6:$G$1005,SMALL(IF(checklistPesertaKemenkeu!$AY$6:$AY$1005="Direkomendasikan",ROW($6:$1005)-5),994)),"")</f>
        <v/>
      </c>
      <c r="E995" t="str">
        <f t="array" ref="E995">IFERROR(INDEX(checklistPesertaKemenkeu!$H$6:$H$1005,SMALL(IF(checklistPesertaKemenkeu!$AY$6:$AY$1005="Direkomendasikan",ROW($6:$1005)-5),994)),"")</f>
        <v/>
      </c>
      <c r="F995" t="str">
        <f t="array" ref="F995">IFERROR(INDEX(checklistPesertaKemenkeu!$I$6:$I$1005,SMALL(IF(checklistPesertaKemenkeu!$AY$6:$AY$1005="Direkomendasikan",ROW($6:$1005)-5),994)),"")</f>
        <v/>
      </c>
      <c r="G995" t="str">
        <f t="array" ref="G995">IFERROR(INDEX(checklistPesertaKemenkeu!$J$6:$J$1005,SMALL(IF(checklistPesertaKemenkeu!$AY$6:$AY$1005="Direkomendasikan",ROW($6:$1005)-5),994)),"")</f>
        <v/>
      </c>
      <c r="H995" t="str">
        <f t="array" aca="1" ref="H995" ca="1">IFERROR(IF(OR(INDEX(checklistPesertaKemenkeu!$L$6:$L$1005,SMALL(IF(checklistPesertaKemenkeu!$AY$6:$AY$1005="Direkomendasikan",ROW($6:$1005)-5),994))="",INDEX(checklistPesertaKemenkeu!$J$6:$J$1005,SMALL(IF(checklistPesertaKemenkeu!$AY$6:$AY$1005="Direkomendasikan",ROW($6:$1005)-5),994))=""),"",IF(AND(COUNTIF(INDIRECT("K_"&amp;MATCH(INDEX(checklistPesertaKemenkeu!$J$6:$J$1005,SMALL(IF(checklistPesertaKemenkeu!$AY$6:$AY$1005="Direkomendasikan",ROW($6:$1005)-5),994)),BidangList,0)),INDEX(checklistPesertaKemenkeu!$L$6:$L$1005,SMALL(IF(checklistPesertaKemenkeu!$AY$6:$AY$1005="Direkomendasikan",ROW($6:$1005)-5),994)))&gt;0,COUNTIF(INDIRECT("'KERTAS KERJA'!K"&amp;(SMALL(IF(checklistPesertaKemenkeu!$AY$6:$AY$1005="Direkomendasikan",ROW($6:$1005)-5),994)+5)&amp;":O"&amp;(SMALL(IF(checklistPesertaKemenkeu!$AY$6:$AY$1005="Direkomendasikan",ROW($6:$1005)-5),994)+5)),INDEX(checklistPesertaKemenkeu!$L$6:$L$1005,SMALL(IF(checklistPesertaKemenkeu!$AY$6:$AY$1005="Direkomendasikan",ROW($6:$1005)-5),994)))=1),IFERROR(VLOOKUP(INDEX(checklistPesertaKemenkeu!$L$6:$L$1005,SMALL(IF(checklistPesertaKemenkeu!$AY$6:$AY$1005="Direkomendasikan",ROW($6:$1005)-5),994)),KotaKode,2,0),"-"),"")),"")</f>
        <v/>
      </c>
      <c r="I995" t="str">
        <f t="array" aca="1" ref="I995" ca="1">IFERROR(IF(OR(INDEX(checklistPesertaKemenkeu!$M$6:$M$1005,SMALL(IF(checklistPesertaKemenkeu!$AY$6:$AY$1005="Direkomendasikan",ROW($6:$1005)-5),994))="",INDEX(checklistPesertaKemenkeu!$J$6:$J$1005,SMALL(IF(checklistPesertaKemenkeu!$AY$6:$AY$1005="Direkomendasikan",ROW($6:$1005)-5),994))=""),"",IF(AND(COUNTIF(INDIRECT("K_"&amp;MATCH(INDEX(checklistPesertaKemenkeu!$J$6:$J$1005,SMALL(IF(checklistPesertaKemenkeu!$AY$6:$AY$1005="Direkomendasikan",ROW($6:$1005)-5),994)),BidangList,0)),INDEX(checklistPesertaKemenkeu!$M$6:$M$1005,SMALL(IF(checklistPesertaKemenkeu!$AY$6:$AY$1005="Direkomendasikan",ROW($6:$1005)-5),994)))&gt;0,COUNTIF(INDIRECT("'KERTAS KERJA'!K"&amp;(SMALL(IF(checklistPesertaKemenkeu!$AY$6:$AY$1005="Direkomendasikan",ROW($6:$1005)-5),994)+5)&amp;":O"&amp;(SMALL(IF(checklistPesertaKemenkeu!$AY$6:$AY$1005="Direkomendasikan",ROW($6:$1005)-5),994)+5)),INDEX(checklistPesertaKemenkeu!$M$6:$M$1005,SMALL(IF(checklistPesertaKemenkeu!$AY$6:$AY$1005="Direkomendasikan",ROW($6:$1005)-5),994)))=1),IFERROR(VLOOKUP(INDEX(checklistPesertaKemenkeu!$M$6:$M$1005,SMALL(IF(checklistPesertaKemenkeu!$AY$6:$AY$1005="Direkomendasikan",ROW($6:$1005)-5),994)),KotaKode,2,0),"-"),"")),"")</f>
        <v/>
      </c>
      <c r="J995" t="str">
        <f t="array" aca="1" ref="J995" ca="1">IFERROR(IF(OR(INDEX(checklistPesertaKemenkeu!$N$6:$N$1005,SMALL(IF(checklistPesertaKemenkeu!$AY$6:$AY$1005="Direkomendasikan",ROW($6:$1005)-5),994))="",INDEX(checklistPesertaKemenkeu!$J$6:$J$1005,SMALL(IF(checklistPesertaKemenkeu!$AY$6:$AY$1005="Direkomendasikan",ROW($6:$1005)-5),994))=""),"",IF(AND(COUNTIF(INDIRECT("K_"&amp;MATCH(INDEX(checklistPesertaKemenkeu!$J$6:$J$1005,SMALL(IF(checklistPesertaKemenkeu!$AY$6:$AY$1005="Direkomendasikan",ROW($6:$1005)-5),994)),BidangList,0)),INDEX(checklistPesertaKemenkeu!$N$6:$N$1005,SMALL(IF(checklistPesertaKemenkeu!$AY$6:$AY$1005="Direkomendasikan",ROW($6:$1005)-5),994)))&gt;0,COUNTIF(INDIRECT("'KERTAS KERJA'!K"&amp;(SMALL(IF(checklistPesertaKemenkeu!$AY$6:$AY$1005="Direkomendasikan",ROW($6:$1005)-5),994)+5)&amp;":O"&amp;(SMALL(IF(checklistPesertaKemenkeu!$AY$6:$AY$1005="Direkomendasikan",ROW($6:$1005)-5),994)+5)),INDEX(checklistPesertaKemenkeu!$N$6:$N$1005,SMALL(IF(checklistPesertaKemenkeu!$AY$6:$AY$1005="Direkomendasikan",ROW($6:$1005)-5),994)))=1),IFERROR(VLOOKUP(INDEX(checklistPesertaKemenkeu!$N$6:$N$1005,SMALL(IF(checklistPesertaKemenkeu!$AY$6:$AY$1005="Direkomendasikan",ROW($6:$1005)-5),994)),KotaKode,2,0),"-"),"")),"")</f>
        <v/>
      </c>
      <c r="K995" t="str">
        <f t="array" aca="1" ref="K995" ca="1">IFERROR(IF(OR(INDEX(checklistPesertaKemenkeu!$O$6:$O$1005,SMALL(IF(checklistPesertaKemenkeu!$AY$6:$AY$1005="Direkomendasikan",ROW($6:$1005)-5),994))="",INDEX(checklistPesertaKemenkeu!$J$6:$J$1005,SMALL(IF(checklistPesertaKemenkeu!$AY$6:$AY$1005="Direkomendasikan",ROW($6:$1005)-5),994))=""),"",IF(AND(COUNTIF(INDIRECT("K_"&amp;MATCH(INDEX(checklistPesertaKemenkeu!$J$6:$J$1005,SMALL(IF(checklistPesertaKemenkeu!$AY$6:$AY$1005="Direkomendasikan",ROW($6:$1005)-5),994)),BidangList,0)),INDEX(checklistPesertaKemenkeu!$O$6:$O$1005,SMALL(IF(checklistPesertaKemenkeu!$AY$6:$AY$1005="Direkomendasikan",ROW($6:$1005)-5),994)))&gt;0,COUNTIF(INDIRECT("'KERTAS KERJA'!K"&amp;(SMALL(IF(checklistPesertaKemenkeu!$AY$6:$AY$1005="Direkomendasikan",ROW($6:$1005)-5),994)+5)&amp;":O"&amp;(SMALL(IF(checklistPesertaKemenkeu!$AY$6:$AY$1005="Direkomendasikan",ROW($6:$1005)-5),994)+5)),INDEX(checklistPesertaKemenkeu!$O$6:$O$1005,SMALL(IF(checklistPesertaKemenkeu!$AY$6:$AY$1005="Direkomendasikan",ROW($6:$1005)-5),994)))=1),IFERROR(VLOOKUP(INDEX(checklistPesertaKemenkeu!$O$6:$O$1005,SMALL(IF(checklistPesertaKemenkeu!$AY$6:$AY$1005="Direkomendasikan",ROW($6:$1005)-5),994)),KotaKode,2,0),"-"),"")),"")</f>
        <v/>
      </c>
      <c r="L995" t="str">
        <f t="array" aca="1" ref="L995" ca="1">IFERROR(IF(OR(INDEX(checklistPesertaKemenkeu!$P$6:$P$1005,SMALL(IF(checklistPesertaKemenkeu!$AY$6:$AY$1005="Direkomendasikan",ROW($6:$1005)-5),994))="",INDEX(checklistPesertaKemenkeu!$J$6:$J$1005,SMALL(IF(checklistPesertaKemenkeu!$AY$6:$AY$1005="Direkomendasikan",ROW($6:$1005)-5),994))=""),"",IF(AND(COUNTIF(INDIRECT("K_"&amp;MATCH(INDEX(checklistPesertaKemenkeu!$J$6:$J$1005,SMALL(IF(checklistPesertaKemenkeu!$AY$6:$AY$1005="Direkomendasikan",ROW($6:$1005)-5),994)),BidangList,0)),INDEX(checklistPesertaKemenkeu!$P$6:$P$1005,SMALL(IF(checklistPesertaKemenkeu!$AY$6:$AY$1005="Direkomendasikan",ROW($6:$1005)-5),994)))&gt;0,COUNTIF(INDIRECT("'KERTAS KERJA'!K"&amp;(SMALL(IF(checklistPesertaKemenkeu!$AY$6:$AY$1005="Direkomendasikan",ROW($6:$1005)-5),994)+5)&amp;":O"&amp;(SMALL(IF(checklistPesertaKemenkeu!$AY$6:$AY$1005="Direkomendasikan",ROW($6:$1005)-5),994)+5)),INDEX(checklistPesertaKemenkeu!$P$6:$P$1005,SMALL(IF(checklistPesertaKemenkeu!$AY$6:$AY$1005="Direkomendasikan",ROW($6:$1005)-5),994)))=1),IFERROR(VLOOKUP(INDEX(checklistPesertaKemenkeu!$P$6:$P$1005,SMALL(IF(checklistPesertaKemenkeu!$AY$6:$AY$1005="Direkomendasikan",ROW($6:$1005)-5),994)),KotaKode,2,0),"-"),"")),"")</f>
        <v/>
      </c>
    </row>
    <row r="996" spans="1:12" ht="15" customHeight="1" x14ac:dyDescent="0.2">
      <c r="A996" t="str">
        <f t="shared" si="15"/>
        <v/>
      </c>
      <c r="B996" t="str">
        <v/>
      </c>
      <c r="C996" s="40" t="str">
        <f t="array" ref="C996">IFERROR(INDEX(checklistPesertaKemenkeu!$F$6:$F$1005,SMALL(IF(checklistPesertaKemenkeu!$AY$6:$AY$1005="Direkomendasikan",ROW($6:$1005)-5),995)),"")</f>
        <v/>
      </c>
      <c r="D996" t="str">
        <f t="array" ref="D996">IFERROR(INDEX(checklistPesertaKemenkeu!$G$6:$G$1005,SMALL(IF(checklistPesertaKemenkeu!$AY$6:$AY$1005="Direkomendasikan",ROW($6:$1005)-5),995)),"")</f>
        <v/>
      </c>
      <c r="E996" t="str">
        <f t="array" ref="E996">IFERROR(INDEX(checklistPesertaKemenkeu!$H$6:$H$1005,SMALL(IF(checklistPesertaKemenkeu!$AY$6:$AY$1005="Direkomendasikan",ROW($6:$1005)-5),995)),"")</f>
        <v/>
      </c>
      <c r="F996" t="str">
        <f t="array" ref="F996">IFERROR(INDEX(checklistPesertaKemenkeu!$I$6:$I$1005,SMALL(IF(checklistPesertaKemenkeu!$AY$6:$AY$1005="Direkomendasikan",ROW($6:$1005)-5),995)),"")</f>
        <v/>
      </c>
      <c r="G996" t="str">
        <f t="array" ref="G996">IFERROR(INDEX(checklistPesertaKemenkeu!$J$6:$J$1005,SMALL(IF(checklistPesertaKemenkeu!$AY$6:$AY$1005="Direkomendasikan",ROW($6:$1005)-5),995)),"")</f>
        <v/>
      </c>
      <c r="H996" t="str">
        <f t="array" aca="1" ref="H996" ca="1">IFERROR(IF(OR(INDEX(checklistPesertaKemenkeu!$L$6:$L$1005,SMALL(IF(checklistPesertaKemenkeu!$AY$6:$AY$1005="Direkomendasikan",ROW($6:$1005)-5),995))="",INDEX(checklistPesertaKemenkeu!$J$6:$J$1005,SMALL(IF(checklistPesertaKemenkeu!$AY$6:$AY$1005="Direkomendasikan",ROW($6:$1005)-5),995))=""),"",IF(AND(COUNTIF(INDIRECT("K_"&amp;MATCH(INDEX(checklistPesertaKemenkeu!$J$6:$J$1005,SMALL(IF(checklistPesertaKemenkeu!$AY$6:$AY$1005="Direkomendasikan",ROW($6:$1005)-5),995)),BidangList,0)),INDEX(checklistPesertaKemenkeu!$L$6:$L$1005,SMALL(IF(checklistPesertaKemenkeu!$AY$6:$AY$1005="Direkomendasikan",ROW($6:$1005)-5),995)))&gt;0,COUNTIF(INDIRECT("'KERTAS KERJA'!K"&amp;(SMALL(IF(checklistPesertaKemenkeu!$AY$6:$AY$1005="Direkomendasikan",ROW($6:$1005)-5),995)+5)&amp;":O"&amp;(SMALL(IF(checklistPesertaKemenkeu!$AY$6:$AY$1005="Direkomendasikan",ROW($6:$1005)-5),995)+5)),INDEX(checklistPesertaKemenkeu!$L$6:$L$1005,SMALL(IF(checklistPesertaKemenkeu!$AY$6:$AY$1005="Direkomendasikan",ROW($6:$1005)-5),995)))=1),IFERROR(VLOOKUP(INDEX(checklistPesertaKemenkeu!$L$6:$L$1005,SMALL(IF(checklistPesertaKemenkeu!$AY$6:$AY$1005="Direkomendasikan",ROW($6:$1005)-5),995)),KotaKode,2,0),"-"),"")),"")</f>
        <v/>
      </c>
      <c r="I996" t="str">
        <f t="array" aca="1" ref="I996" ca="1">IFERROR(IF(OR(INDEX(checklistPesertaKemenkeu!$M$6:$M$1005,SMALL(IF(checklistPesertaKemenkeu!$AY$6:$AY$1005="Direkomendasikan",ROW($6:$1005)-5),995))="",INDEX(checklistPesertaKemenkeu!$J$6:$J$1005,SMALL(IF(checklistPesertaKemenkeu!$AY$6:$AY$1005="Direkomendasikan",ROW($6:$1005)-5),995))=""),"",IF(AND(COUNTIF(INDIRECT("K_"&amp;MATCH(INDEX(checklistPesertaKemenkeu!$J$6:$J$1005,SMALL(IF(checklistPesertaKemenkeu!$AY$6:$AY$1005="Direkomendasikan",ROW($6:$1005)-5),995)),BidangList,0)),INDEX(checklistPesertaKemenkeu!$M$6:$M$1005,SMALL(IF(checklistPesertaKemenkeu!$AY$6:$AY$1005="Direkomendasikan",ROW($6:$1005)-5),995)))&gt;0,COUNTIF(INDIRECT("'KERTAS KERJA'!K"&amp;(SMALL(IF(checklistPesertaKemenkeu!$AY$6:$AY$1005="Direkomendasikan",ROW($6:$1005)-5),995)+5)&amp;":O"&amp;(SMALL(IF(checklistPesertaKemenkeu!$AY$6:$AY$1005="Direkomendasikan",ROW($6:$1005)-5),995)+5)),INDEX(checklistPesertaKemenkeu!$M$6:$M$1005,SMALL(IF(checklistPesertaKemenkeu!$AY$6:$AY$1005="Direkomendasikan",ROW($6:$1005)-5),995)))=1),IFERROR(VLOOKUP(INDEX(checklistPesertaKemenkeu!$M$6:$M$1005,SMALL(IF(checklistPesertaKemenkeu!$AY$6:$AY$1005="Direkomendasikan",ROW($6:$1005)-5),995)),KotaKode,2,0),"-"),"")),"")</f>
        <v/>
      </c>
      <c r="J996" t="str">
        <f t="array" aca="1" ref="J996" ca="1">IFERROR(IF(OR(INDEX(checklistPesertaKemenkeu!$N$6:$N$1005,SMALL(IF(checklistPesertaKemenkeu!$AY$6:$AY$1005="Direkomendasikan",ROW($6:$1005)-5),995))="",INDEX(checklistPesertaKemenkeu!$J$6:$J$1005,SMALL(IF(checklistPesertaKemenkeu!$AY$6:$AY$1005="Direkomendasikan",ROW($6:$1005)-5),995))=""),"",IF(AND(COUNTIF(INDIRECT("K_"&amp;MATCH(INDEX(checklistPesertaKemenkeu!$J$6:$J$1005,SMALL(IF(checklistPesertaKemenkeu!$AY$6:$AY$1005="Direkomendasikan",ROW($6:$1005)-5),995)),BidangList,0)),INDEX(checklistPesertaKemenkeu!$N$6:$N$1005,SMALL(IF(checklistPesertaKemenkeu!$AY$6:$AY$1005="Direkomendasikan",ROW($6:$1005)-5),995)))&gt;0,COUNTIF(INDIRECT("'KERTAS KERJA'!K"&amp;(SMALL(IF(checklistPesertaKemenkeu!$AY$6:$AY$1005="Direkomendasikan",ROW($6:$1005)-5),995)+5)&amp;":O"&amp;(SMALL(IF(checklistPesertaKemenkeu!$AY$6:$AY$1005="Direkomendasikan",ROW($6:$1005)-5),995)+5)),INDEX(checklistPesertaKemenkeu!$N$6:$N$1005,SMALL(IF(checklistPesertaKemenkeu!$AY$6:$AY$1005="Direkomendasikan",ROW($6:$1005)-5),995)))=1),IFERROR(VLOOKUP(INDEX(checklistPesertaKemenkeu!$N$6:$N$1005,SMALL(IF(checklistPesertaKemenkeu!$AY$6:$AY$1005="Direkomendasikan",ROW($6:$1005)-5),995)),KotaKode,2,0),"-"),"")),"")</f>
        <v/>
      </c>
      <c r="K996" t="str">
        <f t="array" aca="1" ref="K996" ca="1">IFERROR(IF(OR(INDEX(checklistPesertaKemenkeu!$O$6:$O$1005,SMALL(IF(checklistPesertaKemenkeu!$AY$6:$AY$1005="Direkomendasikan",ROW($6:$1005)-5),995))="",INDEX(checklistPesertaKemenkeu!$J$6:$J$1005,SMALL(IF(checklistPesertaKemenkeu!$AY$6:$AY$1005="Direkomendasikan",ROW($6:$1005)-5),995))=""),"",IF(AND(COUNTIF(INDIRECT("K_"&amp;MATCH(INDEX(checklistPesertaKemenkeu!$J$6:$J$1005,SMALL(IF(checklistPesertaKemenkeu!$AY$6:$AY$1005="Direkomendasikan",ROW($6:$1005)-5),995)),BidangList,0)),INDEX(checklistPesertaKemenkeu!$O$6:$O$1005,SMALL(IF(checklistPesertaKemenkeu!$AY$6:$AY$1005="Direkomendasikan",ROW($6:$1005)-5),995)))&gt;0,COUNTIF(INDIRECT("'KERTAS KERJA'!K"&amp;(SMALL(IF(checklistPesertaKemenkeu!$AY$6:$AY$1005="Direkomendasikan",ROW($6:$1005)-5),995)+5)&amp;":O"&amp;(SMALL(IF(checklistPesertaKemenkeu!$AY$6:$AY$1005="Direkomendasikan",ROW($6:$1005)-5),995)+5)),INDEX(checklistPesertaKemenkeu!$O$6:$O$1005,SMALL(IF(checklistPesertaKemenkeu!$AY$6:$AY$1005="Direkomendasikan",ROW($6:$1005)-5),995)))=1),IFERROR(VLOOKUP(INDEX(checklistPesertaKemenkeu!$O$6:$O$1005,SMALL(IF(checklistPesertaKemenkeu!$AY$6:$AY$1005="Direkomendasikan",ROW($6:$1005)-5),995)),KotaKode,2,0),"-"),"")),"")</f>
        <v/>
      </c>
      <c r="L996" t="str">
        <f t="array" aca="1" ref="L996" ca="1">IFERROR(IF(OR(INDEX(checklistPesertaKemenkeu!$P$6:$P$1005,SMALL(IF(checklistPesertaKemenkeu!$AY$6:$AY$1005="Direkomendasikan",ROW($6:$1005)-5),995))="",INDEX(checklistPesertaKemenkeu!$J$6:$J$1005,SMALL(IF(checklistPesertaKemenkeu!$AY$6:$AY$1005="Direkomendasikan",ROW($6:$1005)-5),995))=""),"",IF(AND(COUNTIF(INDIRECT("K_"&amp;MATCH(INDEX(checklistPesertaKemenkeu!$J$6:$J$1005,SMALL(IF(checklistPesertaKemenkeu!$AY$6:$AY$1005="Direkomendasikan",ROW($6:$1005)-5),995)),BidangList,0)),INDEX(checklistPesertaKemenkeu!$P$6:$P$1005,SMALL(IF(checklistPesertaKemenkeu!$AY$6:$AY$1005="Direkomendasikan",ROW($6:$1005)-5),995)))&gt;0,COUNTIF(INDIRECT("'KERTAS KERJA'!K"&amp;(SMALL(IF(checklistPesertaKemenkeu!$AY$6:$AY$1005="Direkomendasikan",ROW($6:$1005)-5),995)+5)&amp;":O"&amp;(SMALL(IF(checklistPesertaKemenkeu!$AY$6:$AY$1005="Direkomendasikan",ROW($6:$1005)-5),995)+5)),INDEX(checklistPesertaKemenkeu!$P$6:$P$1005,SMALL(IF(checklistPesertaKemenkeu!$AY$6:$AY$1005="Direkomendasikan",ROW($6:$1005)-5),995)))=1),IFERROR(VLOOKUP(INDEX(checklistPesertaKemenkeu!$P$6:$P$1005,SMALL(IF(checklistPesertaKemenkeu!$AY$6:$AY$1005="Direkomendasikan",ROW($6:$1005)-5),995)),KotaKode,2,0),"-"),"")),"")</f>
        <v/>
      </c>
    </row>
    <row r="997" spans="1:12" ht="15" customHeight="1" x14ac:dyDescent="0.2">
      <c r="A997" t="str">
        <f t="shared" si="15"/>
        <v/>
      </c>
      <c r="B997" t="str">
        <v/>
      </c>
      <c r="C997" s="40" t="str">
        <f t="array" ref="C997">IFERROR(INDEX(checklistPesertaKemenkeu!$F$6:$F$1005,SMALL(IF(checklistPesertaKemenkeu!$AY$6:$AY$1005="Direkomendasikan",ROW($6:$1005)-5),996)),"")</f>
        <v/>
      </c>
      <c r="D997" t="str">
        <f t="array" ref="D997">IFERROR(INDEX(checklistPesertaKemenkeu!$G$6:$G$1005,SMALL(IF(checklistPesertaKemenkeu!$AY$6:$AY$1005="Direkomendasikan",ROW($6:$1005)-5),996)),"")</f>
        <v/>
      </c>
      <c r="E997" t="str">
        <f t="array" ref="E997">IFERROR(INDEX(checklistPesertaKemenkeu!$H$6:$H$1005,SMALL(IF(checklistPesertaKemenkeu!$AY$6:$AY$1005="Direkomendasikan",ROW($6:$1005)-5),996)),"")</f>
        <v/>
      </c>
      <c r="F997" t="str">
        <f t="array" ref="F997">IFERROR(INDEX(checklistPesertaKemenkeu!$I$6:$I$1005,SMALL(IF(checklistPesertaKemenkeu!$AY$6:$AY$1005="Direkomendasikan",ROW($6:$1005)-5),996)),"")</f>
        <v/>
      </c>
      <c r="G997" t="str">
        <f t="array" ref="G997">IFERROR(INDEX(checklistPesertaKemenkeu!$J$6:$J$1005,SMALL(IF(checklistPesertaKemenkeu!$AY$6:$AY$1005="Direkomendasikan",ROW($6:$1005)-5),996)),"")</f>
        <v/>
      </c>
      <c r="H997" t="str">
        <f t="array" aca="1" ref="H997" ca="1">IFERROR(IF(OR(INDEX(checklistPesertaKemenkeu!$L$6:$L$1005,SMALL(IF(checklistPesertaKemenkeu!$AY$6:$AY$1005="Direkomendasikan",ROW($6:$1005)-5),996))="",INDEX(checklistPesertaKemenkeu!$J$6:$J$1005,SMALL(IF(checklistPesertaKemenkeu!$AY$6:$AY$1005="Direkomendasikan",ROW($6:$1005)-5),996))=""),"",IF(AND(COUNTIF(INDIRECT("K_"&amp;MATCH(INDEX(checklistPesertaKemenkeu!$J$6:$J$1005,SMALL(IF(checklistPesertaKemenkeu!$AY$6:$AY$1005="Direkomendasikan",ROW($6:$1005)-5),996)),BidangList,0)),INDEX(checklistPesertaKemenkeu!$L$6:$L$1005,SMALL(IF(checklistPesertaKemenkeu!$AY$6:$AY$1005="Direkomendasikan",ROW($6:$1005)-5),996)))&gt;0,COUNTIF(INDIRECT("'KERTAS KERJA'!K"&amp;(SMALL(IF(checklistPesertaKemenkeu!$AY$6:$AY$1005="Direkomendasikan",ROW($6:$1005)-5),996)+5)&amp;":O"&amp;(SMALL(IF(checklistPesertaKemenkeu!$AY$6:$AY$1005="Direkomendasikan",ROW($6:$1005)-5),996)+5)),INDEX(checklistPesertaKemenkeu!$L$6:$L$1005,SMALL(IF(checklistPesertaKemenkeu!$AY$6:$AY$1005="Direkomendasikan",ROW($6:$1005)-5),996)))=1),IFERROR(VLOOKUP(INDEX(checklistPesertaKemenkeu!$L$6:$L$1005,SMALL(IF(checklistPesertaKemenkeu!$AY$6:$AY$1005="Direkomendasikan",ROW($6:$1005)-5),996)),KotaKode,2,0),"-"),"")),"")</f>
        <v/>
      </c>
      <c r="I997" t="str">
        <f t="array" aca="1" ref="I997" ca="1">IFERROR(IF(OR(INDEX(checklistPesertaKemenkeu!$M$6:$M$1005,SMALL(IF(checklistPesertaKemenkeu!$AY$6:$AY$1005="Direkomendasikan",ROW($6:$1005)-5),996))="",INDEX(checklistPesertaKemenkeu!$J$6:$J$1005,SMALL(IF(checklistPesertaKemenkeu!$AY$6:$AY$1005="Direkomendasikan",ROW($6:$1005)-5),996))=""),"",IF(AND(COUNTIF(INDIRECT("K_"&amp;MATCH(INDEX(checklistPesertaKemenkeu!$J$6:$J$1005,SMALL(IF(checklistPesertaKemenkeu!$AY$6:$AY$1005="Direkomendasikan",ROW($6:$1005)-5),996)),BidangList,0)),INDEX(checklistPesertaKemenkeu!$M$6:$M$1005,SMALL(IF(checklistPesertaKemenkeu!$AY$6:$AY$1005="Direkomendasikan",ROW($6:$1005)-5),996)))&gt;0,COUNTIF(INDIRECT("'KERTAS KERJA'!K"&amp;(SMALL(IF(checklistPesertaKemenkeu!$AY$6:$AY$1005="Direkomendasikan",ROW($6:$1005)-5),996)+5)&amp;":O"&amp;(SMALL(IF(checklistPesertaKemenkeu!$AY$6:$AY$1005="Direkomendasikan",ROW($6:$1005)-5),996)+5)),INDEX(checklistPesertaKemenkeu!$M$6:$M$1005,SMALL(IF(checklistPesertaKemenkeu!$AY$6:$AY$1005="Direkomendasikan",ROW($6:$1005)-5),996)))=1),IFERROR(VLOOKUP(INDEX(checklistPesertaKemenkeu!$M$6:$M$1005,SMALL(IF(checklistPesertaKemenkeu!$AY$6:$AY$1005="Direkomendasikan",ROW($6:$1005)-5),996)),KotaKode,2,0),"-"),"")),"")</f>
        <v/>
      </c>
      <c r="J997" t="str">
        <f t="array" aca="1" ref="J997" ca="1">IFERROR(IF(OR(INDEX(checklistPesertaKemenkeu!$N$6:$N$1005,SMALL(IF(checklistPesertaKemenkeu!$AY$6:$AY$1005="Direkomendasikan",ROW($6:$1005)-5),996))="",INDEX(checklistPesertaKemenkeu!$J$6:$J$1005,SMALL(IF(checklistPesertaKemenkeu!$AY$6:$AY$1005="Direkomendasikan",ROW($6:$1005)-5),996))=""),"",IF(AND(COUNTIF(INDIRECT("K_"&amp;MATCH(INDEX(checklistPesertaKemenkeu!$J$6:$J$1005,SMALL(IF(checklistPesertaKemenkeu!$AY$6:$AY$1005="Direkomendasikan",ROW($6:$1005)-5),996)),BidangList,0)),INDEX(checklistPesertaKemenkeu!$N$6:$N$1005,SMALL(IF(checklistPesertaKemenkeu!$AY$6:$AY$1005="Direkomendasikan",ROW($6:$1005)-5),996)))&gt;0,COUNTIF(INDIRECT("'KERTAS KERJA'!K"&amp;(SMALL(IF(checklistPesertaKemenkeu!$AY$6:$AY$1005="Direkomendasikan",ROW($6:$1005)-5),996)+5)&amp;":O"&amp;(SMALL(IF(checklistPesertaKemenkeu!$AY$6:$AY$1005="Direkomendasikan",ROW($6:$1005)-5),996)+5)),INDEX(checklistPesertaKemenkeu!$N$6:$N$1005,SMALL(IF(checklistPesertaKemenkeu!$AY$6:$AY$1005="Direkomendasikan",ROW($6:$1005)-5),996)))=1),IFERROR(VLOOKUP(INDEX(checklistPesertaKemenkeu!$N$6:$N$1005,SMALL(IF(checklistPesertaKemenkeu!$AY$6:$AY$1005="Direkomendasikan",ROW($6:$1005)-5),996)),KotaKode,2,0),"-"),"")),"")</f>
        <v/>
      </c>
      <c r="K997" t="str">
        <f t="array" aca="1" ref="K997" ca="1">IFERROR(IF(OR(INDEX(checklistPesertaKemenkeu!$O$6:$O$1005,SMALL(IF(checklistPesertaKemenkeu!$AY$6:$AY$1005="Direkomendasikan",ROW($6:$1005)-5),996))="",INDEX(checklistPesertaKemenkeu!$J$6:$J$1005,SMALL(IF(checklistPesertaKemenkeu!$AY$6:$AY$1005="Direkomendasikan",ROW($6:$1005)-5),996))=""),"",IF(AND(COUNTIF(INDIRECT("K_"&amp;MATCH(INDEX(checklistPesertaKemenkeu!$J$6:$J$1005,SMALL(IF(checklistPesertaKemenkeu!$AY$6:$AY$1005="Direkomendasikan",ROW($6:$1005)-5),996)),BidangList,0)),INDEX(checklistPesertaKemenkeu!$O$6:$O$1005,SMALL(IF(checklistPesertaKemenkeu!$AY$6:$AY$1005="Direkomendasikan",ROW($6:$1005)-5),996)))&gt;0,COUNTIF(INDIRECT("'KERTAS KERJA'!K"&amp;(SMALL(IF(checklistPesertaKemenkeu!$AY$6:$AY$1005="Direkomendasikan",ROW($6:$1005)-5),996)+5)&amp;":O"&amp;(SMALL(IF(checklistPesertaKemenkeu!$AY$6:$AY$1005="Direkomendasikan",ROW($6:$1005)-5),996)+5)),INDEX(checklistPesertaKemenkeu!$O$6:$O$1005,SMALL(IF(checklistPesertaKemenkeu!$AY$6:$AY$1005="Direkomendasikan",ROW($6:$1005)-5),996)))=1),IFERROR(VLOOKUP(INDEX(checklistPesertaKemenkeu!$O$6:$O$1005,SMALL(IF(checklistPesertaKemenkeu!$AY$6:$AY$1005="Direkomendasikan",ROW($6:$1005)-5),996)),KotaKode,2,0),"-"),"")),"")</f>
        <v/>
      </c>
      <c r="L997" t="str">
        <f t="array" aca="1" ref="L997" ca="1">IFERROR(IF(OR(INDEX(checklistPesertaKemenkeu!$P$6:$P$1005,SMALL(IF(checklistPesertaKemenkeu!$AY$6:$AY$1005="Direkomendasikan",ROW($6:$1005)-5),996))="",INDEX(checklistPesertaKemenkeu!$J$6:$J$1005,SMALL(IF(checklistPesertaKemenkeu!$AY$6:$AY$1005="Direkomendasikan",ROW($6:$1005)-5),996))=""),"",IF(AND(COUNTIF(INDIRECT("K_"&amp;MATCH(INDEX(checklistPesertaKemenkeu!$J$6:$J$1005,SMALL(IF(checklistPesertaKemenkeu!$AY$6:$AY$1005="Direkomendasikan",ROW($6:$1005)-5),996)),BidangList,0)),INDEX(checklistPesertaKemenkeu!$P$6:$P$1005,SMALL(IF(checklistPesertaKemenkeu!$AY$6:$AY$1005="Direkomendasikan",ROW($6:$1005)-5),996)))&gt;0,COUNTIF(INDIRECT("'KERTAS KERJA'!K"&amp;(SMALL(IF(checklistPesertaKemenkeu!$AY$6:$AY$1005="Direkomendasikan",ROW($6:$1005)-5),996)+5)&amp;":O"&amp;(SMALL(IF(checklistPesertaKemenkeu!$AY$6:$AY$1005="Direkomendasikan",ROW($6:$1005)-5),996)+5)),INDEX(checklistPesertaKemenkeu!$P$6:$P$1005,SMALL(IF(checklistPesertaKemenkeu!$AY$6:$AY$1005="Direkomendasikan",ROW($6:$1005)-5),996)))=1),IFERROR(VLOOKUP(INDEX(checklistPesertaKemenkeu!$P$6:$P$1005,SMALL(IF(checklistPesertaKemenkeu!$AY$6:$AY$1005="Direkomendasikan",ROW($6:$1005)-5),996)),KotaKode,2,0),"-"),"")),"")</f>
        <v/>
      </c>
    </row>
    <row r="998" spans="1:12" ht="15" customHeight="1" x14ac:dyDescent="0.2">
      <c r="A998" t="str">
        <f t="shared" si="15"/>
        <v/>
      </c>
      <c r="B998" t="str">
        <v/>
      </c>
      <c r="C998" s="40" t="str">
        <f t="array" ref="C998">IFERROR(INDEX(checklistPesertaKemenkeu!$F$6:$F$1005,SMALL(IF(checklistPesertaKemenkeu!$AY$6:$AY$1005="Direkomendasikan",ROW($6:$1005)-5),997)),"")</f>
        <v/>
      </c>
      <c r="D998" t="str">
        <f t="array" ref="D998">IFERROR(INDEX(checklistPesertaKemenkeu!$G$6:$G$1005,SMALL(IF(checklistPesertaKemenkeu!$AY$6:$AY$1005="Direkomendasikan",ROW($6:$1005)-5),997)),"")</f>
        <v/>
      </c>
      <c r="E998" t="str">
        <f t="array" ref="E998">IFERROR(INDEX(checklistPesertaKemenkeu!$H$6:$H$1005,SMALL(IF(checklistPesertaKemenkeu!$AY$6:$AY$1005="Direkomendasikan",ROW($6:$1005)-5),997)),"")</f>
        <v/>
      </c>
      <c r="F998" t="str">
        <f t="array" ref="F998">IFERROR(INDEX(checklistPesertaKemenkeu!$I$6:$I$1005,SMALL(IF(checklistPesertaKemenkeu!$AY$6:$AY$1005="Direkomendasikan",ROW($6:$1005)-5),997)),"")</f>
        <v/>
      </c>
      <c r="G998" t="str">
        <f t="array" ref="G998">IFERROR(INDEX(checklistPesertaKemenkeu!$J$6:$J$1005,SMALL(IF(checklistPesertaKemenkeu!$AY$6:$AY$1005="Direkomendasikan",ROW($6:$1005)-5),997)),"")</f>
        <v/>
      </c>
      <c r="H998" t="str">
        <f t="array" aca="1" ref="H998" ca="1">IFERROR(IF(OR(INDEX(checklistPesertaKemenkeu!$L$6:$L$1005,SMALL(IF(checklistPesertaKemenkeu!$AY$6:$AY$1005="Direkomendasikan",ROW($6:$1005)-5),997))="",INDEX(checklistPesertaKemenkeu!$J$6:$J$1005,SMALL(IF(checklistPesertaKemenkeu!$AY$6:$AY$1005="Direkomendasikan",ROW($6:$1005)-5),997))=""),"",IF(AND(COUNTIF(INDIRECT("K_"&amp;MATCH(INDEX(checklistPesertaKemenkeu!$J$6:$J$1005,SMALL(IF(checklistPesertaKemenkeu!$AY$6:$AY$1005="Direkomendasikan",ROW($6:$1005)-5),997)),BidangList,0)),INDEX(checklistPesertaKemenkeu!$L$6:$L$1005,SMALL(IF(checklistPesertaKemenkeu!$AY$6:$AY$1005="Direkomendasikan",ROW($6:$1005)-5),997)))&gt;0,COUNTIF(INDIRECT("'KERTAS KERJA'!K"&amp;(SMALL(IF(checklistPesertaKemenkeu!$AY$6:$AY$1005="Direkomendasikan",ROW($6:$1005)-5),997)+5)&amp;":O"&amp;(SMALL(IF(checklistPesertaKemenkeu!$AY$6:$AY$1005="Direkomendasikan",ROW($6:$1005)-5),997)+5)),INDEX(checklistPesertaKemenkeu!$L$6:$L$1005,SMALL(IF(checklistPesertaKemenkeu!$AY$6:$AY$1005="Direkomendasikan",ROW($6:$1005)-5),997)))=1),IFERROR(VLOOKUP(INDEX(checklistPesertaKemenkeu!$L$6:$L$1005,SMALL(IF(checklistPesertaKemenkeu!$AY$6:$AY$1005="Direkomendasikan",ROW($6:$1005)-5),997)),KotaKode,2,0),"-"),"")),"")</f>
        <v/>
      </c>
      <c r="I998" t="str">
        <f t="array" aca="1" ref="I998" ca="1">IFERROR(IF(OR(INDEX(checklistPesertaKemenkeu!$M$6:$M$1005,SMALL(IF(checklistPesertaKemenkeu!$AY$6:$AY$1005="Direkomendasikan",ROW($6:$1005)-5),997))="",INDEX(checklistPesertaKemenkeu!$J$6:$J$1005,SMALL(IF(checklistPesertaKemenkeu!$AY$6:$AY$1005="Direkomendasikan",ROW($6:$1005)-5),997))=""),"",IF(AND(COUNTIF(INDIRECT("K_"&amp;MATCH(INDEX(checklistPesertaKemenkeu!$J$6:$J$1005,SMALL(IF(checklistPesertaKemenkeu!$AY$6:$AY$1005="Direkomendasikan",ROW($6:$1005)-5),997)),BidangList,0)),INDEX(checklistPesertaKemenkeu!$M$6:$M$1005,SMALL(IF(checklistPesertaKemenkeu!$AY$6:$AY$1005="Direkomendasikan",ROW($6:$1005)-5),997)))&gt;0,COUNTIF(INDIRECT("'KERTAS KERJA'!K"&amp;(SMALL(IF(checklistPesertaKemenkeu!$AY$6:$AY$1005="Direkomendasikan",ROW($6:$1005)-5),997)+5)&amp;":O"&amp;(SMALL(IF(checklistPesertaKemenkeu!$AY$6:$AY$1005="Direkomendasikan",ROW($6:$1005)-5),997)+5)),INDEX(checklistPesertaKemenkeu!$M$6:$M$1005,SMALL(IF(checklistPesertaKemenkeu!$AY$6:$AY$1005="Direkomendasikan",ROW($6:$1005)-5),997)))=1),IFERROR(VLOOKUP(INDEX(checklistPesertaKemenkeu!$M$6:$M$1005,SMALL(IF(checklistPesertaKemenkeu!$AY$6:$AY$1005="Direkomendasikan",ROW($6:$1005)-5),997)),KotaKode,2,0),"-"),"")),"")</f>
        <v/>
      </c>
      <c r="J998" t="str">
        <f t="array" aca="1" ref="J998" ca="1">IFERROR(IF(OR(INDEX(checklistPesertaKemenkeu!$N$6:$N$1005,SMALL(IF(checklistPesertaKemenkeu!$AY$6:$AY$1005="Direkomendasikan",ROW($6:$1005)-5),997))="",INDEX(checklistPesertaKemenkeu!$J$6:$J$1005,SMALL(IF(checklistPesertaKemenkeu!$AY$6:$AY$1005="Direkomendasikan",ROW($6:$1005)-5),997))=""),"",IF(AND(COUNTIF(INDIRECT("K_"&amp;MATCH(INDEX(checklistPesertaKemenkeu!$J$6:$J$1005,SMALL(IF(checklistPesertaKemenkeu!$AY$6:$AY$1005="Direkomendasikan",ROW($6:$1005)-5),997)),BidangList,0)),INDEX(checklistPesertaKemenkeu!$N$6:$N$1005,SMALL(IF(checklistPesertaKemenkeu!$AY$6:$AY$1005="Direkomendasikan",ROW($6:$1005)-5),997)))&gt;0,COUNTIF(INDIRECT("'KERTAS KERJA'!K"&amp;(SMALL(IF(checklistPesertaKemenkeu!$AY$6:$AY$1005="Direkomendasikan",ROW($6:$1005)-5),997)+5)&amp;":O"&amp;(SMALL(IF(checklistPesertaKemenkeu!$AY$6:$AY$1005="Direkomendasikan",ROW($6:$1005)-5),997)+5)),INDEX(checklistPesertaKemenkeu!$N$6:$N$1005,SMALL(IF(checklistPesertaKemenkeu!$AY$6:$AY$1005="Direkomendasikan",ROW($6:$1005)-5),997)))=1),IFERROR(VLOOKUP(INDEX(checklistPesertaKemenkeu!$N$6:$N$1005,SMALL(IF(checklistPesertaKemenkeu!$AY$6:$AY$1005="Direkomendasikan",ROW($6:$1005)-5),997)),KotaKode,2,0),"-"),"")),"")</f>
        <v/>
      </c>
      <c r="K998" t="str">
        <f t="array" aca="1" ref="K998" ca="1">IFERROR(IF(OR(INDEX(checklistPesertaKemenkeu!$O$6:$O$1005,SMALL(IF(checklistPesertaKemenkeu!$AY$6:$AY$1005="Direkomendasikan",ROW($6:$1005)-5),997))="",INDEX(checklistPesertaKemenkeu!$J$6:$J$1005,SMALL(IF(checklistPesertaKemenkeu!$AY$6:$AY$1005="Direkomendasikan",ROW($6:$1005)-5),997))=""),"",IF(AND(COUNTIF(INDIRECT("K_"&amp;MATCH(INDEX(checklistPesertaKemenkeu!$J$6:$J$1005,SMALL(IF(checklistPesertaKemenkeu!$AY$6:$AY$1005="Direkomendasikan",ROW($6:$1005)-5),997)),BidangList,0)),INDEX(checklistPesertaKemenkeu!$O$6:$O$1005,SMALL(IF(checklistPesertaKemenkeu!$AY$6:$AY$1005="Direkomendasikan",ROW($6:$1005)-5),997)))&gt;0,COUNTIF(INDIRECT("'KERTAS KERJA'!K"&amp;(SMALL(IF(checklistPesertaKemenkeu!$AY$6:$AY$1005="Direkomendasikan",ROW($6:$1005)-5),997)+5)&amp;":O"&amp;(SMALL(IF(checklistPesertaKemenkeu!$AY$6:$AY$1005="Direkomendasikan",ROW($6:$1005)-5),997)+5)),INDEX(checklistPesertaKemenkeu!$O$6:$O$1005,SMALL(IF(checklistPesertaKemenkeu!$AY$6:$AY$1005="Direkomendasikan",ROW($6:$1005)-5),997)))=1),IFERROR(VLOOKUP(INDEX(checklistPesertaKemenkeu!$O$6:$O$1005,SMALL(IF(checklistPesertaKemenkeu!$AY$6:$AY$1005="Direkomendasikan",ROW($6:$1005)-5),997)),KotaKode,2,0),"-"),"")),"")</f>
        <v/>
      </c>
      <c r="L998" t="str">
        <f t="array" aca="1" ref="L998" ca="1">IFERROR(IF(OR(INDEX(checklistPesertaKemenkeu!$P$6:$P$1005,SMALL(IF(checklistPesertaKemenkeu!$AY$6:$AY$1005="Direkomendasikan",ROW($6:$1005)-5),997))="",INDEX(checklistPesertaKemenkeu!$J$6:$J$1005,SMALL(IF(checklistPesertaKemenkeu!$AY$6:$AY$1005="Direkomendasikan",ROW($6:$1005)-5),997))=""),"",IF(AND(COUNTIF(INDIRECT("K_"&amp;MATCH(INDEX(checklistPesertaKemenkeu!$J$6:$J$1005,SMALL(IF(checklistPesertaKemenkeu!$AY$6:$AY$1005="Direkomendasikan",ROW($6:$1005)-5),997)),BidangList,0)),INDEX(checklistPesertaKemenkeu!$P$6:$P$1005,SMALL(IF(checklistPesertaKemenkeu!$AY$6:$AY$1005="Direkomendasikan",ROW($6:$1005)-5),997)))&gt;0,COUNTIF(INDIRECT("'KERTAS KERJA'!K"&amp;(SMALL(IF(checklistPesertaKemenkeu!$AY$6:$AY$1005="Direkomendasikan",ROW($6:$1005)-5),997)+5)&amp;":O"&amp;(SMALL(IF(checklistPesertaKemenkeu!$AY$6:$AY$1005="Direkomendasikan",ROW($6:$1005)-5),997)+5)),INDEX(checklistPesertaKemenkeu!$P$6:$P$1005,SMALL(IF(checklistPesertaKemenkeu!$AY$6:$AY$1005="Direkomendasikan",ROW($6:$1005)-5),997)))=1),IFERROR(VLOOKUP(INDEX(checklistPesertaKemenkeu!$P$6:$P$1005,SMALL(IF(checklistPesertaKemenkeu!$AY$6:$AY$1005="Direkomendasikan",ROW($6:$1005)-5),997)),KotaKode,2,0),"-"),"")),"")</f>
        <v/>
      </c>
    </row>
    <row r="999" spans="1:12" ht="15" customHeight="1" x14ac:dyDescent="0.2">
      <c r="A999" t="str">
        <f t="shared" si="15"/>
        <v/>
      </c>
      <c r="B999" t="str">
        <v/>
      </c>
      <c r="C999" s="40" t="str">
        <f t="array" ref="C999">IFERROR(INDEX(checklistPesertaKemenkeu!$F$6:$F$1005,SMALL(IF(checklistPesertaKemenkeu!$AY$6:$AY$1005="Direkomendasikan",ROW($6:$1005)-5),998)),"")</f>
        <v/>
      </c>
      <c r="D999" t="str">
        <f t="array" ref="D999">IFERROR(INDEX(checklistPesertaKemenkeu!$G$6:$G$1005,SMALL(IF(checklistPesertaKemenkeu!$AY$6:$AY$1005="Direkomendasikan",ROW($6:$1005)-5),998)),"")</f>
        <v/>
      </c>
      <c r="E999" t="str">
        <f t="array" ref="E999">IFERROR(INDEX(checklistPesertaKemenkeu!$H$6:$H$1005,SMALL(IF(checklistPesertaKemenkeu!$AY$6:$AY$1005="Direkomendasikan",ROW($6:$1005)-5),998)),"")</f>
        <v/>
      </c>
      <c r="F999" t="str">
        <f t="array" ref="F999">IFERROR(INDEX(checklistPesertaKemenkeu!$I$6:$I$1005,SMALL(IF(checklistPesertaKemenkeu!$AY$6:$AY$1005="Direkomendasikan",ROW($6:$1005)-5),998)),"")</f>
        <v/>
      </c>
      <c r="G999" t="str">
        <f t="array" ref="G999">IFERROR(INDEX(checklistPesertaKemenkeu!$J$6:$J$1005,SMALL(IF(checklistPesertaKemenkeu!$AY$6:$AY$1005="Direkomendasikan",ROW($6:$1005)-5),998)),"")</f>
        <v/>
      </c>
      <c r="H999" t="str">
        <f t="array" aca="1" ref="H999" ca="1">IFERROR(IF(OR(INDEX(checklistPesertaKemenkeu!$L$6:$L$1005,SMALL(IF(checklistPesertaKemenkeu!$AY$6:$AY$1005="Direkomendasikan",ROW($6:$1005)-5),998))="",INDEX(checklistPesertaKemenkeu!$J$6:$J$1005,SMALL(IF(checklistPesertaKemenkeu!$AY$6:$AY$1005="Direkomendasikan",ROW($6:$1005)-5),998))=""),"",IF(AND(COUNTIF(INDIRECT("K_"&amp;MATCH(INDEX(checklistPesertaKemenkeu!$J$6:$J$1005,SMALL(IF(checklistPesertaKemenkeu!$AY$6:$AY$1005="Direkomendasikan",ROW($6:$1005)-5),998)),BidangList,0)),INDEX(checklistPesertaKemenkeu!$L$6:$L$1005,SMALL(IF(checklistPesertaKemenkeu!$AY$6:$AY$1005="Direkomendasikan",ROW($6:$1005)-5),998)))&gt;0,COUNTIF(INDIRECT("'KERTAS KERJA'!K"&amp;(SMALL(IF(checklistPesertaKemenkeu!$AY$6:$AY$1005="Direkomendasikan",ROW($6:$1005)-5),998)+5)&amp;":O"&amp;(SMALL(IF(checklistPesertaKemenkeu!$AY$6:$AY$1005="Direkomendasikan",ROW($6:$1005)-5),998)+5)),INDEX(checklistPesertaKemenkeu!$L$6:$L$1005,SMALL(IF(checklistPesertaKemenkeu!$AY$6:$AY$1005="Direkomendasikan",ROW($6:$1005)-5),998)))=1),IFERROR(VLOOKUP(INDEX(checklistPesertaKemenkeu!$L$6:$L$1005,SMALL(IF(checklistPesertaKemenkeu!$AY$6:$AY$1005="Direkomendasikan",ROW($6:$1005)-5),998)),KotaKode,2,0),"-"),"")),"")</f>
        <v/>
      </c>
      <c r="I999" t="str">
        <f t="array" aca="1" ref="I999" ca="1">IFERROR(IF(OR(INDEX(checklistPesertaKemenkeu!$M$6:$M$1005,SMALL(IF(checklistPesertaKemenkeu!$AY$6:$AY$1005="Direkomendasikan",ROW($6:$1005)-5),998))="",INDEX(checklistPesertaKemenkeu!$J$6:$J$1005,SMALL(IF(checklistPesertaKemenkeu!$AY$6:$AY$1005="Direkomendasikan",ROW($6:$1005)-5),998))=""),"",IF(AND(COUNTIF(INDIRECT("K_"&amp;MATCH(INDEX(checklistPesertaKemenkeu!$J$6:$J$1005,SMALL(IF(checklistPesertaKemenkeu!$AY$6:$AY$1005="Direkomendasikan",ROW($6:$1005)-5),998)),BidangList,0)),INDEX(checklistPesertaKemenkeu!$M$6:$M$1005,SMALL(IF(checklistPesertaKemenkeu!$AY$6:$AY$1005="Direkomendasikan",ROW($6:$1005)-5),998)))&gt;0,COUNTIF(INDIRECT("'KERTAS KERJA'!K"&amp;(SMALL(IF(checklistPesertaKemenkeu!$AY$6:$AY$1005="Direkomendasikan",ROW($6:$1005)-5),998)+5)&amp;":O"&amp;(SMALL(IF(checklistPesertaKemenkeu!$AY$6:$AY$1005="Direkomendasikan",ROW($6:$1005)-5),998)+5)),INDEX(checklistPesertaKemenkeu!$M$6:$M$1005,SMALL(IF(checklistPesertaKemenkeu!$AY$6:$AY$1005="Direkomendasikan",ROW($6:$1005)-5),998)))=1),IFERROR(VLOOKUP(INDEX(checklistPesertaKemenkeu!$M$6:$M$1005,SMALL(IF(checklistPesertaKemenkeu!$AY$6:$AY$1005="Direkomendasikan",ROW($6:$1005)-5),998)),KotaKode,2,0),"-"),"")),"")</f>
        <v/>
      </c>
      <c r="J999" t="str">
        <f t="array" aca="1" ref="J999" ca="1">IFERROR(IF(OR(INDEX(checklistPesertaKemenkeu!$N$6:$N$1005,SMALL(IF(checklistPesertaKemenkeu!$AY$6:$AY$1005="Direkomendasikan",ROW($6:$1005)-5),998))="",INDEX(checklistPesertaKemenkeu!$J$6:$J$1005,SMALL(IF(checklistPesertaKemenkeu!$AY$6:$AY$1005="Direkomendasikan",ROW($6:$1005)-5),998))=""),"",IF(AND(COUNTIF(INDIRECT("K_"&amp;MATCH(INDEX(checklistPesertaKemenkeu!$J$6:$J$1005,SMALL(IF(checklistPesertaKemenkeu!$AY$6:$AY$1005="Direkomendasikan",ROW($6:$1005)-5),998)),BidangList,0)),INDEX(checklistPesertaKemenkeu!$N$6:$N$1005,SMALL(IF(checklistPesertaKemenkeu!$AY$6:$AY$1005="Direkomendasikan",ROW($6:$1005)-5),998)))&gt;0,COUNTIF(INDIRECT("'KERTAS KERJA'!K"&amp;(SMALL(IF(checklistPesertaKemenkeu!$AY$6:$AY$1005="Direkomendasikan",ROW($6:$1005)-5),998)+5)&amp;":O"&amp;(SMALL(IF(checklistPesertaKemenkeu!$AY$6:$AY$1005="Direkomendasikan",ROW($6:$1005)-5),998)+5)),INDEX(checklistPesertaKemenkeu!$N$6:$N$1005,SMALL(IF(checklistPesertaKemenkeu!$AY$6:$AY$1005="Direkomendasikan",ROW($6:$1005)-5),998)))=1),IFERROR(VLOOKUP(INDEX(checklistPesertaKemenkeu!$N$6:$N$1005,SMALL(IF(checklistPesertaKemenkeu!$AY$6:$AY$1005="Direkomendasikan",ROW($6:$1005)-5),998)),KotaKode,2,0),"-"),"")),"")</f>
        <v/>
      </c>
      <c r="K999" t="str">
        <f t="array" aca="1" ref="K999" ca="1">IFERROR(IF(OR(INDEX(checklistPesertaKemenkeu!$O$6:$O$1005,SMALL(IF(checklistPesertaKemenkeu!$AY$6:$AY$1005="Direkomendasikan",ROW($6:$1005)-5),998))="",INDEX(checklistPesertaKemenkeu!$J$6:$J$1005,SMALL(IF(checklistPesertaKemenkeu!$AY$6:$AY$1005="Direkomendasikan",ROW($6:$1005)-5),998))=""),"",IF(AND(COUNTIF(INDIRECT("K_"&amp;MATCH(INDEX(checklistPesertaKemenkeu!$J$6:$J$1005,SMALL(IF(checklistPesertaKemenkeu!$AY$6:$AY$1005="Direkomendasikan",ROW($6:$1005)-5),998)),BidangList,0)),INDEX(checklistPesertaKemenkeu!$O$6:$O$1005,SMALL(IF(checklistPesertaKemenkeu!$AY$6:$AY$1005="Direkomendasikan",ROW($6:$1005)-5),998)))&gt;0,COUNTIF(INDIRECT("'KERTAS KERJA'!K"&amp;(SMALL(IF(checklistPesertaKemenkeu!$AY$6:$AY$1005="Direkomendasikan",ROW($6:$1005)-5),998)+5)&amp;":O"&amp;(SMALL(IF(checklistPesertaKemenkeu!$AY$6:$AY$1005="Direkomendasikan",ROW($6:$1005)-5),998)+5)),INDEX(checklistPesertaKemenkeu!$O$6:$O$1005,SMALL(IF(checklistPesertaKemenkeu!$AY$6:$AY$1005="Direkomendasikan",ROW($6:$1005)-5),998)))=1),IFERROR(VLOOKUP(INDEX(checklistPesertaKemenkeu!$O$6:$O$1005,SMALL(IF(checklistPesertaKemenkeu!$AY$6:$AY$1005="Direkomendasikan",ROW($6:$1005)-5),998)),KotaKode,2,0),"-"),"")),"")</f>
        <v/>
      </c>
      <c r="L999" t="str">
        <f t="array" aca="1" ref="L999" ca="1">IFERROR(IF(OR(INDEX(checklistPesertaKemenkeu!$P$6:$P$1005,SMALL(IF(checklistPesertaKemenkeu!$AY$6:$AY$1005="Direkomendasikan",ROW($6:$1005)-5),998))="",INDEX(checklistPesertaKemenkeu!$J$6:$J$1005,SMALL(IF(checklistPesertaKemenkeu!$AY$6:$AY$1005="Direkomendasikan",ROW($6:$1005)-5),998))=""),"",IF(AND(COUNTIF(INDIRECT("K_"&amp;MATCH(INDEX(checklistPesertaKemenkeu!$J$6:$J$1005,SMALL(IF(checklistPesertaKemenkeu!$AY$6:$AY$1005="Direkomendasikan",ROW($6:$1005)-5),998)),BidangList,0)),INDEX(checklistPesertaKemenkeu!$P$6:$P$1005,SMALL(IF(checklistPesertaKemenkeu!$AY$6:$AY$1005="Direkomendasikan",ROW($6:$1005)-5),998)))&gt;0,COUNTIF(INDIRECT("'KERTAS KERJA'!K"&amp;(SMALL(IF(checklistPesertaKemenkeu!$AY$6:$AY$1005="Direkomendasikan",ROW($6:$1005)-5),998)+5)&amp;":O"&amp;(SMALL(IF(checklistPesertaKemenkeu!$AY$6:$AY$1005="Direkomendasikan",ROW($6:$1005)-5),998)+5)),INDEX(checklistPesertaKemenkeu!$P$6:$P$1005,SMALL(IF(checklistPesertaKemenkeu!$AY$6:$AY$1005="Direkomendasikan",ROW($6:$1005)-5),998)))=1),IFERROR(VLOOKUP(INDEX(checklistPesertaKemenkeu!$P$6:$P$1005,SMALL(IF(checklistPesertaKemenkeu!$AY$6:$AY$1005="Direkomendasikan",ROW($6:$1005)-5),998)),KotaKode,2,0),"-"),"")),"")</f>
        <v/>
      </c>
    </row>
    <row r="1000" spans="1:12" ht="15" customHeight="1" x14ac:dyDescent="0.2">
      <c r="A1000" t="str">
        <f t="shared" si="15"/>
        <v/>
      </c>
      <c r="B1000" t="str">
        <v/>
      </c>
      <c r="C1000" s="40" t="str">
        <f t="array" ref="C1000">IFERROR(INDEX(checklistPesertaKemenkeu!$F$6:$F$1005,SMALL(IF(checklistPesertaKemenkeu!$AY$6:$AY$1005="Direkomendasikan",ROW($6:$1005)-5),999)),"")</f>
        <v/>
      </c>
      <c r="D1000" t="str">
        <f t="array" ref="D1000">IFERROR(INDEX(checklistPesertaKemenkeu!$G$6:$G$1005,SMALL(IF(checklistPesertaKemenkeu!$AY$6:$AY$1005="Direkomendasikan",ROW($6:$1005)-5),999)),"")</f>
        <v/>
      </c>
      <c r="E1000" t="str">
        <f t="array" ref="E1000">IFERROR(INDEX(checklistPesertaKemenkeu!$H$6:$H$1005,SMALL(IF(checklistPesertaKemenkeu!$AY$6:$AY$1005="Direkomendasikan",ROW($6:$1005)-5),999)),"")</f>
        <v/>
      </c>
      <c r="F1000" t="str">
        <f t="array" ref="F1000">IFERROR(INDEX(checklistPesertaKemenkeu!$I$6:$I$1005,SMALL(IF(checklistPesertaKemenkeu!$AY$6:$AY$1005="Direkomendasikan",ROW($6:$1005)-5),999)),"")</f>
        <v/>
      </c>
      <c r="G1000" t="str">
        <f t="array" ref="G1000">IFERROR(INDEX(checklistPesertaKemenkeu!$J$6:$J$1005,SMALL(IF(checklistPesertaKemenkeu!$AY$6:$AY$1005="Direkomendasikan",ROW($6:$1005)-5),999)),"")</f>
        <v/>
      </c>
      <c r="H1000" t="str">
        <f t="array" aca="1" ref="H1000" ca="1">IFERROR(IF(OR(INDEX(checklistPesertaKemenkeu!$L$6:$L$1005,SMALL(IF(checklistPesertaKemenkeu!$AY$6:$AY$1005="Direkomendasikan",ROW($6:$1005)-5),999))="",INDEX(checklistPesertaKemenkeu!$J$6:$J$1005,SMALL(IF(checklistPesertaKemenkeu!$AY$6:$AY$1005="Direkomendasikan",ROW($6:$1005)-5),999))=""),"",IF(AND(COUNTIF(INDIRECT("K_"&amp;MATCH(INDEX(checklistPesertaKemenkeu!$J$6:$J$1005,SMALL(IF(checklistPesertaKemenkeu!$AY$6:$AY$1005="Direkomendasikan",ROW($6:$1005)-5),999)),BidangList,0)),INDEX(checklistPesertaKemenkeu!$L$6:$L$1005,SMALL(IF(checklistPesertaKemenkeu!$AY$6:$AY$1005="Direkomendasikan",ROW($6:$1005)-5),999)))&gt;0,COUNTIF(INDIRECT("'KERTAS KERJA'!K"&amp;(SMALL(IF(checklistPesertaKemenkeu!$AY$6:$AY$1005="Direkomendasikan",ROW($6:$1005)-5),999)+5)&amp;":O"&amp;(SMALL(IF(checklistPesertaKemenkeu!$AY$6:$AY$1005="Direkomendasikan",ROW($6:$1005)-5),999)+5)),INDEX(checklistPesertaKemenkeu!$L$6:$L$1005,SMALL(IF(checklistPesertaKemenkeu!$AY$6:$AY$1005="Direkomendasikan",ROW($6:$1005)-5),999)))=1),IFERROR(VLOOKUP(INDEX(checklistPesertaKemenkeu!$L$6:$L$1005,SMALL(IF(checklistPesertaKemenkeu!$AY$6:$AY$1005="Direkomendasikan",ROW($6:$1005)-5),999)),KotaKode,2,0),"-"),"")),"")</f>
        <v/>
      </c>
      <c r="I1000" t="str">
        <f t="array" aca="1" ref="I1000" ca="1">IFERROR(IF(OR(INDEX(checklistPesertaKemenkeu!$M$6:$M$1005,SMALL(IF(checklistPesertaKemenkeu!$AY$6:$AY$1005="Direkomendasikan",ROW($6:$1005)-5),999))="",INDEX(checklistPesertaKemenkeu!$J$6:$J$1005,SMALL(IF(checklistPesertaKemenkeu!$AY$6:$AY$1005="Direkomendasikan",ROW($6:$1005)-5),999))=""),"",IF(AND(COUNTIF(INDIRECT("K_"&amp;MATCH(INDEX(checklistPesertaKemenkeu!$J$6:$J$1005,SMALL(IF(checklistPesertaKemenkeu!$AY$6:$AY$1005="Direkomendasikan",ROW($6:$1005)-5),999)),BidangList,0)),INDEX(checklistPesertaKemenkeu!$M$6:$M$1005,SMALL(IF(checklistPesertaKemenkeu!$AY$6:$AY$1005="Direkomendasikan",ROW($6:$1005)-5),999)))&gt;0,COUNTIF(INDIRECT("'KERTAS KERJA'!K"&amp;(SMALL(IF(checklistPesertaKemenkeu!$AY$6:$AY$1005="Direkomendasikan",ROW($6:$1005)-5),999)+5)&amp;":O"&amp;(SMALL(IF(checklistPesertaKemenkeu!$AY$6:$AY$1005="Direkomendasikan",ROW($6:$1005)-5),999)+5)),INDEX(checklistPesertaKemenkeu!$M$6:$M$1005,SMALL(IF(checklistPesertaKemenkeu!$AY$6:$AY$1005="Direkomendasikan",ROW($6:$1005)-5),999)))=1),IFERROR(VLOOKUP(INDEX(checklistPesertaKemenkeu!$M$6:$M$1005,SMALL(IF(checklistPesertaKemenkeu!$AY$6:$AY$1005="Direkomendasikan",ROW($6:$1005)-5),999)),KotaKode,2,0),"-"),"")),"")</f>
        <v/>
      </c>
      <c r="J1000" t="str">
        <f t="array" aca="1" ref="J1000" ca="1">IFERROR(IF(OR(INDEX(checklistPesertaKemenkeu!$N$6:$N$1005,SMALL(IF(checklistPesertaKemenkeu!$AY$6:$AY$1005="Direkomendasikan",ROW($6:$1005)-5),999))="",INDEX(checklistPesertaKemenkeu!$J$6:$J$1005,SMALL(IF(checklistPesertaKemenkeu!$AY$6:$AY$1005="Direkomendasikan",ROW($6:$1005)-5),999))=""),"",IF(AND(COUNTIF(INDIRECT("K_"&amp;MATCH(INDEX(checklistPesertaKemenkeu!$J$6:$J$1005,SMALL(IF(checklistPesertaKemenkeu!$AY$6:$AY$1005="Direkomendasikan",ROW($6:$1005)-5),999)),BidangList,0)),INDEX(checklistPesertaKemenkeu!$N$6:$N$1005,SMALL(IF(checklistPesertaKemenkeu!$AY$6:$AY$1005="Direkomendasikan",ROW($6:$1005)-5),999)))&gt;0,COUNTIF(INDIRECT("'KERTAS KERJA'!K"&amp;(SMALL(IF(checklistPesertaKemenkeu!$AY$6:$AY$1005="Direkomendasikan",ROW($6:$1005)-5),999)+5)&amp;":O"&amp;(SMALL(IF(checklistPesertaKemenkeu!$AY$6:$AY$1005="Direkomendasikan",ROW($6:$1005)-5),999)+5)),INDEX(checklistPesertaKemenkeu!$N$6:$N$1005,SMALL(IF(checklistPesertaKemenkeu!$AY$6:$AY$1005="Direkomendasikan",ROW($6:$1005)-5),999)))=1),IFERROR(VLOOKUP(INDEX(checklistPesertaKemenkeu!$N$6:$N$1005,SMALL(IF(checklistPesertaKemenkeu!$AY$6:$AY$1005="Direkomendasikan",ROW($6:$1005)-5),999)),KotaKode,2,0),"-"),"")),"")</f>
        <v/>
      </c>
      <c r="K1000" t="str">
        <f t="array" aca="1" ref="K1000" ca="1">IFERROR(IF(OR(INDEX(checklistPesertaKemenkeu!$O$6:$O$1005,SMALL(IF(checklistPesertaKemenkeu!$AY$6:$AY$1005="Direkomendasikan",ROW($6:$1005)-5),999))="",INDEX(checklistPesertaKemenkeu!$J$6:$J$1005,SMALL(IF(checklistPesertaKemenkeu!$AY$6:$AY$1005="Direkomendasikan",ROW($6:$1005)-5),999))=""),"",IF(AND(COUNTIF(INDIRECT("K_"&amp;MATCH(INDEX(checklistPesertaKemenkeu!$J$6:$J$1005,SMALL(IF(checklistPesertaKemenkeu!$AY$6:$AY$1005="Direkomendasikan",ROW($6:$1005)-5),999)),BidangList,0)),INDEX(checklistPesertaKemenkeu!$O$6:$O$1005,SMALL(IF(checklistPesertaKemenkeu!$AY$6:$AY$1005="Direkomendasikan",ROW($6:$1005)-5),999)))&gt;0,COUNTIF(INDIRECT("'KERTAS KERJA'!K"&amp;(SMALL(IF(checklistPesertaKemenkeu!$AY$6:$AY$1005="Direkomendasikan",ROW($6:$1005)-5),999)+5)&amp;":O"&amp;(SMALL(IF(checklistPesertaKemenkeu!$AY$6:$AY$1005="Direkomendasikan",ROW($6:$1005)-5),999)+5)),INDEX(checklistPesertaKemenkeu!$O$6:$O$1005,SMALL(IF(checklistPesertaKemenkeu!$AY$6:$AY$1005="Direkomendasikan",ROW($6:$1005)-5),999)))=1),IFERROR(VLOOKUP(INDEX(checklistPesertaKemenkeu!$O$6:$O$1005,SMALL(IF(checklistPesertaKemenkeu!$AY$6:$AY$1005="Direkomendasikan",ROW($6:$1005)-5),999)),KotaKode,2,0),"-"),"")),"")</f>
        <v/>
      </c>
      <c r="L1000" t="str">
        <f t="array" aca="1" ref="L1000" ca="1">IFERROR(IF(OR(INDEX(checklistPesertaKemenkeu!$P$6:$P$1005,SMALL(IF(checklistPesertaKemenkeu!$AY$6:$AY$1005="Direkomendasikan",ROW($6:$1005)-5),999))="",INDEX(checklistPesertaKemenkeu!$J$6:$J$1005,SMALL(IF(checklistPesertaKemenkeu!$AY$6:$AY$1005="Direkomendasikan",ROW($6:$1005)-5),999))=""),"",IF(AND(COUNTIF(INDIRECT("K_"&amp;MATCH(INDEX(checklistPesertaKemenkeu!$J$6:$J$1005,SMALL(IF(checklistPesertaKemenkeu!$AY$6:$AY$1005="Direkomendasikan",ROW($6:$1005)-5),999)),BidangList,0)),INDEX(checklistPesertaKemenkeu!$P$6:$P$1005,SMALL(IF(checklistPesertaKemenkeu!$AY$6:$AY$1005="Direkomendasikan",ROW($6:$1005)-5),999)))&gt;0,COUNTIF(INDIRECT("'KERTAS KERJA'!K"&amp;(SMALL(IF(checklistPesertaKemenkeu!$AY$6:$AY$1005="Direkomendasikan",ROW($6:$1005)-5),999)+5)&amp;":O"&amp;(SMALL(IF(checklistPesertaKemenkeu!$AY$6:$AY$1005="Direkomendasikan",ROW($6:$1005)-5),999)+5)),INDEX(checklistPesertaKemenkeu!$P$6:$P$1005,SMALL(IF(checklistPesertaKemenkeu!$AY$6:$AY$1005="Direkomendasikan",ROW($6:$1005)-5),999)))=1),IFERROR(VLOOKUP(INDEX(checklistPesertaKemenkeu!$P$6:$P$1005,SMALL(IF(checklistPesertaKemenkeu!$AY$6:$AY$1005="Direkomendasikan",ROW($6:$1005)-5),999)),KotaKode,2,0),"-"),"")),"")</f>
        <v/>
      </c>
    </row>
    <row r="1001" spans="1:12" ht="15" customHeight="1" x14ac:dyDescent="0.2">
      <c r="A1001" t="str">
        <f t="shared" si="15"/>
        <v/>
      </c>
      <c r="B1001" t="str">
        <v/>
      </c>
      <c r="C1001" s="40" t="str">
        <f t="array" ref="C1001">IFERROR(INDEX(checklistPesertaKemenkeu!$F$6:$F$1005,SMALL(IF(checklistPesertaKemenkeu!$AY$6:$AY$1005="Direkomendasikan",ROW($6:$1005)-5),1000)),"")</f>
        <v/>
      </c>
      <c r="D1001" t="str">
        <f t="array" ref="D1001">IFERROR(INDEX(checklistPesertaKemenkeu!$G$6:$G$1005,SMALL(IF(checklistPesertaKemenkeu!$AY$6:$AY$1005="Direkomendasikan",ROW($6:$1005)-5),1000)),"")</f>
        <v/>
      </c>
      <c r="E1001" t="str">
        <f t="array" ref="E1001">IFERROR(INDEX(checklistPesertaKemenkeu!$H$6:$H$1005,SMALL(IF(checklistPesertaKemenkeu!$AY$6:$AY$1005="Direkomendasikan",ROW($6:$1005)-5),1000)),"")</f>
        <v/>
      </c>
      <c r="F1001" t="str">
        <f t="array" ref="F1001">IFERROR(INDEX(checklistPesertaKemenkeu!$I$6:$I$1005,SMALL(IF(checklistPesertaKemenkeu!$AY$6:$AY$1005="Direkomendasikan",ROW($6:$1005)-5),1000)),"")</f>
        <v/>
      </c>
      <c r="G1001" t="str">
        <f t="array" ref="G1001">IFERROR(INDEX(checklistPesertaKemenkeu!$J$6:$J$1005,SMALL(IF(checklistPesertaKemenkeu!$AY$6:$AY$1005="Direkomendasikan",ROW($6:$1005)-5),1000)),"")</f>
        <v/>
      </c>
      <c r="H1001" t="str">
        <f t="array" aca="1" ref="H1001" ca="1">IFERROR(IF(OR(INDEX(checklistPesertaKemenkeu!$L$6:$L$1005,SMALL(IF(checklistPesertaKemenkeu!$AY$6:$AY$1005="Direkomendasikan",ROW($6:$1005)-5),1000))="",INDEX(checklistPesertaKemenkeu!$J$6:$J$1005,SMALL(IF(checklistPesertaKemenkeu!$AY$6:$AY$1005="Direkomendasikan",ROW($6:$1005)-5),1000))=""),"",IF(AND(COUNTIF(INDIRECT("K_"&amp;MATCH(INDEX(checklistPesertaKemenkeu!$J$6:$J$1005,SMALL(IF(checklistPesertaKemenkeu!$AY$6:$AY$1005="Direkomendasikan",ROW($6:$1005)-5),1000)),BidangList,0)),INDEX(checklistPesertaKemenkeu!$L$6:$L$1005,SMALL(IF(checklistPesertaKemenkeu!$AY$6:$AY$1005="Direkomendasikan",ROW($6:$1005)-5),1000)))&gt;0,COUNTIF(INDIRECT("'KERTAS KERJA'!K"&amp;(SMALL(IF(checklistPesertaKemenkeu!$AY$6:$AY$1005="Direkomendasikan",ROW($6:$1005)-5),1000)+5)&amp;":O"&amp;(SMALL(IF(checklistPesertaKemenkeu!$AY$6:$AY$1005="Direkomendasikan",ROW($6:$1005)-5),1000)+5)),INDEX(checklistPesertaKemenkeu!$L$6:$L$1005,SMALL(IF(checklistPesertaKemenkeu!$AY$6:$AY$1005="Direkomendasikan",ROW($6:$1005)-5),1000)))=1),IFERROR(VLOOKUP(INDEX(checklistPesertaKemenkeu!$L$6:$L$1005,SMALL(IF(checklistPesertaKemenkeu!$AY$6:$AY$1005="Direkomendasikan",ROW($6:$1005)-5),1000)),KotaKode,2,0),"-"),"")),"")</f>
        <v/>
      </c>
      <c r="I1001" t="str">
        <f t="array" aca="1" ref="I1001" ca="1">IFERROR(IF(OR(INDEX(checklistPesertaKemenkeu!$M$6:$M$1005,SMALL(IF(checklistPesertaKemenkeu!$AY$6:$AY$1005="Direkomendasikan",ROW($6:$1005)-5),1000))="",INDEX(checklistPesertaKemenkeu!$J$6:$J$1005,SMALL(IF(checklistPesertaKemenkeu!$AY$6:$AY$1005="Direkomendasikan",ROW($6:$1005)-5),1000))=""),"",IF(AND(COUNTIF(INDIRECT("K_"&amp;MATCH(INDEX(checklistPesertaKemenkeu!$J$6:$J$1005,SMALL(IF(checklistPesertaKemenkeu!$AY$6:$AY$1005="Direkomendasikan",ROW($6:$1005)-5),1000)),BidangList,0)),INDEX(checklistPesertaKemenkeu!$M$6:$M$1005,SMALL(IF(checklistPesertaKemenkeu!$AY$6:$AY$1005="Direkomendasikan",ROW($6:$1005)-5),1000)))&gt;0,COUNTIF(INDIRECT("'KERTAS KERJA'!K"&amp;(SMALL(IF(checklistPesertaKemenkeu!$AY$6:$AY$1005="Direkomendasikan",ROW($6:$1005)-5),1000)+5)&amp;":O"&amp;(SMALL(IF(checklistPesertaKemenkeu!$AY$6:$AY$1005="Direkomendasikan",ROW($6:$1005)-5),1000)+5)),INDEX(checklistPesertaKemenkeu!$M$6:$M$1005,SMALL(IF(checklistPesertaKemenkeu!$AY$6:$AY$1005="Direkomendasikan",ROW($6:$1005)-5),1000)))=1),IFERROR(VLOOKUP(INDEX(checklistPesertaKemenkeu!$M$6:$M$1005,SMALL(IF(checklistPesertaKemenkeu!$AY$6:$AY$1005="Direkomendasikan",ROW($6:$1005)-5),1000)),KotaKode,2,0),"-"),"")),"")</f>
        <v/>
      </c>
      <c r="J1001" t="str">
        <f t="array" aca="1" ref="J1001" ca="1">IFERROR(IF(OR(INDEX(checklistPesertaKemenkeu!$N$6:$N$1005,SMALL(IF(checklistPesertaKemenkeu!$AY$6:$AY$1005="Direkomendasikan",ROW($6:$1005)-5),1000))="",INDEX(checklistPesertaKemenkeu!$J$6:$J$1005,SMALL(IF(checklistPesertaKemenkeu!$AY$6:$AY$1005="Direkomendasikan",ROW($6:$1005)-5),1000))=""),"",IF(AND(COUNTIF(INDIRECT("K_"&amp;MATCH(INDEX(checklistPesertaKemenkeu!$J$6:$J$1005,SMALL(IF(checklistPesertaKemenkeu!$AY$6:$AY$1005="Direkomendasikan",ROW($6:$1005)-5),1000)),BidangList,0)),INDEX(checklistPesertaKemenkeu!$N$6:$N$1005,SMALL(IF(checklistPesertaKemenkeu!$AY$6:$AY$1005="Direkomendasikan",ROW($6:$1005)-5),1000)))&gt;0,COUNTIF(INDIRECT("'KERTAS KERJA'!K"&amp;(SMALL(IF(checklistPesertaKemenkeu!$AY$6:$AY$1005="Direkomendasikan",ROW($6:$1005)-5),1000)+5)&amp;":O"&amp;(SMALL(IF(checklistPesertaKemenkeu!$AY$6:$AY$1005="Direkomendasikan",ROW($6:$1005)-5),1000)+5)),INDEX(checklistPesertaKemenkeu!$N$6:$N$1005,SMALL(IF(checklistPesertaKemenkeu!$AY$6:$AY$1005="Direkomendasikan",ROW($6:$1005)-5),1000)))=1),IFERROR(VLOOKUP(INDEX(checklistPesertaKemenkeu!$N$6:$N$1005,SMALL(IF(checklistPesertaKemenkeu!$AY$6:$AY$1005="Direkomendasikan",ROW($6:$1005)-5),1000)),KotaKode,2,0),"-"),"")),"")</f>
        <v/>
      </c>
      <c r="K1001" t="str">
        <f t="array" aca="1" ref="K1001" ca="1">IFERROR(IF(OR(INDEX(checklistPesertaKemenkeu!$O$6:$O$1005,SMALL(IF(checklistPesertaKemenkeu!$AY$6:$AY$1005="Direkomendasikan",ROW($6:$1005)-5),1000))="",INDEX(checklistPesertaKemenkeu!$J$6:$J$1005,SMALL(IF(checklistPesertaKemenkeu!$AY$6:$AY$1005="Direkomendasikan",ROW($6:$1005)-5),1000))=""),"",IF(AND(COUNTIF(INDIRECT("K_"&amp;MATCH(INDEX(checklistPesertaKemenkeu!$J$6:$J$1005,SMALL(IF(checklistPesertaKemenkeu!$AY$6:$AY$1005="Direkomendasikan",ROW($6:$1005)-5),1000)),BidangList,0)),INDEX(checklistPesertaKemenkeu!$O$6:$O$1005,SMALL(IF(checklistPesertaKemenkeu!$AY$6:$AY$1005="Direkomendasikan",ROW($6:$1005)-5),1000)))&gt;0,COUNTIF(INDIRECT("'KERTAS KERJA'!K"&amp;(SMALL(IF(checklistPesertaKemenkeu!$AY$6:$AY$1005="Direkomendasikan",ROW($6:$1005)-5),1000)+5)&amp;":O"&amp;(SMALL(IF(checklistPesertaKemenkeu!$AY$6:$AY$1005="Direkomendasikan",ROW($6:$1005)-5),1000)+5)),INDEX(checklistPesertaKemenkeu!$O$6:$O$1005,SMALL(IF(checklistPesertaKemenkeu!$AY$6:$AY$1005="Direkomendasikan",ROW($6:$1005)-5),1000)))=1),IFERROR(VLOOKUP(INDEX(checklistPesertaKemenkeu!$O$6:$O$1005,SMALL(IF(checklistPesertaKemenkeu!$AY$6:$AY$1005="Direkomendasikan",ROW($6:$1005)-5),1000)),KotaKode,2,0),"-"),"")),"")</f>
        <v/>
      </c>
      <c r="L1001" t="str">
        <f t="array" aca="1" ref="L1001" ca="1">IFERROR(IF(OR(INDEX(checklistPesertaKemenkeu!$P$6:$P$1005,SMALL(IF(checklistPesertaKemenkeu!$AY$6:$AY$1005="Direkomendasikan",ROW($6:$1005)-5),1000))="",INDEX(checklistPesertaKemenkeu!$J$6:$J$1005,SMALL(IF(checklistPesertaKemenkeu!$AY$6:$AY$1005="Direkomendasikan",ROW($6:$1005)-5),1000))=""),"",IF(AND(COUNTIF(INDIRECT("K_"&amp;MATCH(INDEX(checklistPesertaKemenkeu!$J$6:$J$1005,SMALL(IF(checklistPesertaKemenkeu!$AY$6:$AY$1005="Direkomendasikan",ROW($6:$1005)-5),1000)),BidangList,0)),INDEX(checklistPesertaKemenkeu!$P$6:$P$1005,SMALL(IF(checklistPesertaKemenkeu!$AY$6:$AY$1005="Direkomendasikan",ROW($6:$1005)-5),1000)))&gt;0,COUNTIF(INDIRECT("'KERTAS KERJA'!K"&amp;(SMALL(IF(checklistPesertaKemenkeu!$AY$6:$AY$1005="Direkomendasikan",ROW($6:$1005)-5),1000)+5)&amp;":O"&amp;(SMALL(IF(checklistPesertaKemenkeu!$AY$6:$AY$1005="Direkomendasikan",ROW($6:$1005)-5),1000)+5)),INDEX(checklistPesertaKemenkeu!$P$6:$P$1005,SMALL(IF(checklistPesertaKemenkeu!$AY$6:$AY$1005="Direkomendasikan",ROW($6:$1005)-5),1000)))=1),IFERROR(VLOOKUP(INDEX(checklistPesertaKemenkeu!$P$6:$P$1005,SMALL(IF(checklistPesertaKemenkeu!$AY$6:$AY$1005="Direkomendasikan",ROW($6:$1005)-5),1000)),KotaKode,2,0),"-"),"")),"")</f>
        <v/>
      </c>
    </row>
    <row r="1002" spans="1:12" ht="39.75" customHeight="1" x14ac:dyDescent="0.2">
      <c r="C1002" s="39"/>
    </row>
    <row r="1003" spans="1:12" ht="39.75" customHeight="1" x14ac:dyDescent="0.2">
      <c r="C1003" s="39"/>
    </row>
    <row r="1004" spans="1:12" ht="39.75" customHeight="1" x14ac:dyDescent="0.2">
      <c r="C1004" s="39"/>
    </row>
    <row r="1005" spans="1:12" ht="39.75" customHeight="1" x14ac:dyDescent="0.2">
      <c r="C1005" s="20"/>
    </row>
    <row r="1006" spans="1:12" ht="39.75" customHeight="1" x14ac:dyDescent="0.2">
      <c r="C1006" s="20"/>
    </row>
    <row r="1007" spans="1:12" ht="39.75" customHeight="1" x14ac:dyDescent="0.2">
      <c r="C1007" s="20"/>
    </row>
    <row r="1008" spans="1:12" ht="39.75" customHeight="1" x14ac:dyDescent="0.2">
      <c r="C1008" s="20"/>
    </row>
    <row r="1009" spans="3:3" ht="39.75" customHeight="1" x14ac:dyDescent="0.2">
      <c r="C1009" s="20"/>
    </row>
    <row r="1010" spans="3:3" ht="39.75" customHeight="1" x14ac:dyDescent="0.2">
      <c r="C1010" s="20"/>
    </row>
    <row r="1011" spans="3:3" ht="39.75" customHeight="1" x14ac:dyDescent="0.2">
      <c r="C1011" s="20"/>
    </row>
    <row r="1012" spans="3:3" ht="39.75" customHeight="1" x14ac:dyDescent="0.2">
      <c r="C1012" s="20"/>
    </row>
    <row r="1013" spans="3:3" ht="39.75" customHeight="1" x14ac:dyDescent="0.2">
      <c r="C1013" s="20"/>
    </row>
    <row r="1014" spans="3:3" ht="39.75" customHeight="1" x14ac:dyDescent="0.2">
      <c r="C1014" s="20"/>
    </row>
    <row r="1015" spans="3:3" ht="39.75" customHeight="1" x14ac:dyDescent="0.2">
      <c r="C1015" s="20"/>
    </row>
    <row r="1016" spans="3:3" ht="39.75" customHeight="1" x14ac:dyDescent="0.2">
      <c r="C1016" s="20"/>
    </row>
    <row r="1017" spans="3:3" ht="39.75" customHeight="1" x14ac:dyDescent="0.2">
      <c r="C1017" s="20"/>
    </row>
    <row r="1018" spans="3:3" ht="39.75" customHeight="1" x14ac:dyDescent="0.2">
      <c r="C1018" s="20"/>
    </row>
    <row r="1019" spans="3:3" ht="39.75" customHeight="1" x14ac:dyDescent="0.2">
      <c r="C1019" s="20"/>
    </row>
    <row r="1020" spans="3:3" ht="39.75" customHeight="1" x14ac:dyDescent="0.2">
      <c r="C1020" s="20"/>
    </row>
    <row r="1021" spans="3:3" ht="39.75" customHeight="1" x14ac:dyDescent="0.2">
      <c r="C1021" s="20"/>
    </row>
    <row r="1022" spans="3:3" ht="39.75" customHeight="1" x14ac:dyDescent="0.2">
      <c r="C1022" s="20"/>
    </row>
    <row r="1023" spans="3:3" ht="39.75" customHeight="1" x14ac:dyDescent="0.2">
      <c r="C1023" s="20"/>
    </row>
    <row r="1024" spans="3:3" ht="39.75" customHeight="1" x14ac:dyDescent="0.2">
      <c r="C1024" s="20"/>
    </row>
    <row r="1025" spans="3:3" ht="39.75" customHeight="1" x14ac:dyDescent="0.2">
      <c r="C1025" s="20"/>
    </row>
    <row r="1026" spans="3:3" ht="39.75" customHeight="1" x14ac:dyDescent="0.2">
      <c r="C1026" s="20"/>
    </row>
    <row r="1027" spans="3:3" ht="39.75" customHeight="1" x14ac:dyDescent="0.2">
      <c r="C1027" s="20"/>
    </row>
    <row r="1028" spans="3:3" ht="39.75" customHeight="1" x14ac:dyDescent="0.2">
      <c r="C1028" s="20"/>
    </row>
    <row r="1029" spans="3:3" ht="39.75" customHeight="1" x14ac:dyDescent="0.2">
      <c r="C1029" s="20"/>
    </row>
    <row r="1030" spans="3:3" ht="39.75" customHeight="1" x14ac:dyDescent="0.2">
      <c r="C1030" s="20"/>
    </row>
    <row r="1031" spans="3:3" ht="39.75" customHeight="1" x14ac:dyDescent="0.2">
      <c r="C1031" s="20"/>
    </row>
    <row r="1032" spans="3:3" ht="39.75" customHeight="1" x14ac:dyDescent="0.2">
      <c r="C1032" s="20"/>
    </row>
    <row r="1033" spans="3:3" ht="39.75" customHeight="1" x14ac:dyDescent="0.2">
      <c r="C1033" s="20"/>
    </row>
    <row r="1034" spans="3:3" ht="39.75" customHeight="1" x14ac:dyDescent="0.2">
      <c r="C1034" s="20"/>
    </row>
    <row r="1035" spans="3:3" ht="39.75" customHeight="1" x14ac:dyDescent="0.2">
      <c r="C1035" s="20"/>
    </row>
    <row r="1036" spans="3:3" ht="39.75" customHeight="1" x14ac:dyDescent="0.2">
      <c r="C1036" s="20"/>
    </row>
    <row r="1037" spans="3:3" ht="39.75" customHeight="1" x14ac:dyDescent="0.2">
      <c r="C1037" s="20"/>
    </row>
    <row r="1038" spans="3:3" ht="39.75" customHeight="1" x14ac:dyDescent="0.2">
      <c r="C1038" s="20"/>
    </row>
    <row r="1039" spans="3:3" ht="39.75" customHeight="1" x14ac:dyDescent="0.2">
      <c r="C1039" s="20"/>
    </row>
    <row r="1040" spans="3:3" ht="39.75" customHeight="1" x14ac:dyDescent="0.2">
      <c r="C1040" s="20"/>
    </row>
    <row r="1041" spans="3:3" ht="39.75" customHeight="1" x14ac:dyDescent="0.2">
      <c r="C1041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GW203"/>
  <sheetViews>
    <sheetView zoomScale="68" zoomScaleNormal="68" workbookViewId="0">
      <pane ySplit="3" topLeftCell="A4" activePane="bottomLeft" state="frozen"/>
      <selection pane="bottomLeft" activeCell="B5" sqref="B5"/>
    </sheetView>
  </sheetViews>
  <sheetFormatPr baseColWidth="10" defaultColWidth="8.83203125" defaultRowHeight="15" x14ac:dyDescent="0.2"/>
  <cols>
    <col min="1" max="1" width="28" customWidth="1"/>
    <col min="2" max="20" width="27.5" customWidth="1"/>
    <col min="21" max="201" width="14" customWidth="1"/>
    <col min="204" max="204" width="47" customWidth="1"/>
    <col min="205" max="205" width="12" customWidth="1"/>
    <col min="207" max="207" width="52.6640625" customWidth="1"/>
  </cols>
  <sheetData>
    <row r="1" spans="1:205" ht="27.75" customHeight="1" x14ac:dyDescent="0.2">
      <c r="A1" s="67" t="s">
        <v>76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  <c r="CO1" s="67"/>
      <c r="CP1" s="67"/>
      <c r="CQ1" s="67"/>
      <c r="CR1" s="67"/>
      <c r="CS1" s="67"/>
      <c r="CT1" s="67"/>
      <c r="CU1" s="67"/>
      <c r="CV1" s="67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  <c r="EA1" s="67"/>
      <c r="EB1" s="67"/>
      <c r="EC1" s="67"/>
      <c r="ED1" s="67"/>
      <c r="EE1" s="67"/>
      <c r="EF1" s="67"/>
      <c r="EG1" s="67"/>
      <c r="EH1" s="67"/>
      <c r="EI1" s="67"/>
      <c r="EJ1" s="67"/>
      <c r="EK1" s="67"/>
      <c r="EL1" s="67"/>
      <c r="EM1" s="67"/>
      <c r="EN1" s="67"/>
      <c r="EO1" s="67"/>
      <c r="EP1" s="67"/>
      <c r="EQ1" s="67"/>
      <c r="ER1" s="67"/>
      <c r="ES1" s="67"/>
      <c r="ET1" s="67"/>
      <c r="EU1" s="67"/>
      <c r="EV1" s="67"/>
      <c r="EW1" s="67"/>
      <c r="EX1" s="67"/>
      <c r="EY1" s="67"/>
      <c r="EZ1" s="67"/>
      <c r="FA1" s="67"/>
      <c r="FB1" s="67"/>
      <c r="FC1" s="67"/>
      <c r="FD1" s="67"/>
      <c r="FE1" s="67"/>
      <c r="FF1" s="67"/>
      <c r="FG1" s="67"/>
      <c r="FH1" s="67"/>
      <c r="FI1" s="67"/>
      <c r="FJ1" s="67"/>
      <c r="FK1" s="67"/>
      <c r="FL1" s="67"/>
      <c r="FM1" s="67"/>
      <c r="FN1" s="67"/>
      <c r="FO1" s="67"/>
      <c r="FP1" s="67"/>
      <c r="FQ1" s="67"/>
      <c r="FR1" s="67"/>
      <c r="FS1" s="67"/>
      <c r="FT1" s="67"/>
      <c r="FU1" s="67"/>
      <c r="FV1" s="67"/>
      <c r="FW1" s="67"/>
      <c r="FX1" s="67"/>
      <c r="FY1" s="67"/>
      <c r="FZ1" s="67"/>
      <c r="GA1" s="67"/>
      <c r="GB1" s="67"/>
      <c r="GC1" s="67"/>
      <c r="GD1" s="67"/>
      <c r="GE1" s="67"/>
      <c r="GF1" s="67"/>
      <c r="GG1" s="67"/>
      <c r="GH1" s="67"/>
      <c r="GI1" s="67"/>
      <c r="GJ1" s="67"/>
      <c r="GK1" s="67"/>
      <c r="GL1" s="67"/>
      <c r="GM1" s="67"/>
      <c r="GN1" s="67"/>
      <c r="GO1" s="67"/>
      <c r="GP1" s="67"/>
      <c r="GQ1" s="67"/>
      <c r="GR1" s="67"/>
      <c r="GS1" s="67"/>
    </row>
    <row r="2" spans="1:205" ht="27.75" customHeight="1" x14ac:dyDescent="0.2">
      <c r="A2" s="68" t="s">
        <v>77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</row>
    <row r="3" spans="1:205" ht="34.5" customHeight="1" x14ac:dyDescent="0.2">
      <c r="A3" s="22" t="s">
        <v>78</v>
      </c>
      <c r="B3" s="23" t="s">
        <v>79</v>
      </c>
      <c r="C3" s="23" t="s">
        <v>80</v>
      </c>
      <c r="D3" s="23" t="s">
        <v>81</v>
      </c>
      <c r="E3" s="23" t="s">
        <v>82</v>
      </c>
      <c r="F3" s="23" t="s">
        <v>83</v>
      </c>
      <c r="G3" s="23" t="s">
        <v>84</v>
      </c>
      <c r="H3" s="23" t="s">
        <v>67</v>
      </c>
      <c r="I3" s="23" t="s">
        <v>85</v>
      </c>
      <c r="J3" s="23" t="s">
        <v>86</v>
      </c>
      <c r="K3" s="23" t="s">
        <v>87</v>
      </c>
      <c r="L3" s="23" t="s">
        <v>88</v>
      </c>
      <c r="M3" s="23" t="s">
        <v>89</v>
      </c>
      <c r="N3" s="23" t="s">
        <v>90</v>
      </c>
      <c r="O3" s="23" t="s">
        <v>91</v>
      </c>
      <c r="P3" s="23" t="s">
        <v>92</v>
      </c>
      <c r="Q3" s="23" t="s">
        <v>93</v>
      </c>
      <c r="R3" s="23" t="s">
        <v>94</v>
      </c>
      <c r="S3" s="23" t="s">
        <v>95</v>
      </c>
      <c r="T3" s="23" t="s">
        <v>96</v>
      </c>
      <c r="U3" s="23" t="s">
        <v>97</v>
      </c>
      <c r="V3" s="23" t="s">
        <v>98</v>
      </c>
      <c r="W3" s="23" t="s">
        <v>99</v>
      </c>
      <c r="X3" s="23" t="s">
        <v>100</v>
      </c>
      <c r="Y3" s="23" t="s">
        <v>101</v>
      </c>
      <c r="Z3" s="23" t="s">
        <v>102</v>
      </c>
      <c r="AA3" s="23" t="s">
        <v>103</v>
      </c>
      <c r="AB3" s="23" t="s">
        <v>104</v>
      </c>
      <c r="AC3" s="23" t="s">
        <v>105</v>
      </c>
      <c r="AD3" s="23" t="s">
        <v>106</v>
      </c>
      <c r="AE3" s="23" t="s">
        <v>107</v>
      </c>
      <c r="AF3" s="23" t="s">
        <v>108</v>
      </c>
      <c r="AG3" s="23" t="s">
        <v>109</v>
      </c>
      <c r="AH3" s="23" t="s">
        <v>110</v>
      </c>
      <c r="AI3" s="23" t="s">
        <v>111</v>
      </c>
      <c r="AJ3" s="23" t="s">
        <v>112</v>
      </c>
      <c r="AK3" s="23" t="s">
        <v>113</v>
      </c>
      <c r="AL3" s="23" t="s">
        <v>114</v>
      </c>
      <c r="AM3" s="23" t="s">
        <v>115</v>
      </c>
      <c r="AN3" s="23" t="s">
        <v>116</v>
      </c>
      <c r="AO3" s="23" t="s">
        <v>117</v>
      </c>
      <c r="AP3" s="24" t="s">
        <v>118</v>
      </c>
      <c r="AQ3" s="24" t="s">
        <v>119</v>
      </c>
      <c r="AR3" s="24" t="s">
        <v>120</v>
      </c>
      <c r="AS3" s="24" t="s">
        <v>121</v>
      </c>
      <c r="AT3" s="24" t="s">
        <v>122</v>
      </c>
      <c r="AU3" s="24" t="s">
        <v>123</v>
      </c>
      <c r="AV3" s="24" t="s">
        <v>124</v>
      </c>
      <c r="AW3" s="24" t="s">
        <v>125</v>
      </c>
      <c r="AX3" s="24" t="s">
        <v>126</v>
      </c>
      <c r="AY3" s="24" t="s">
        <v>127</v>
      </c>
      <c r="AZ3" s="24" t="s">
        <v>128</v>
      </c>
      <c r="BA3" s="24" t="s">
        <v>129</v>
      </c>
      <c r="BB3" s="24" t="s">
        <v>130</v>
      </c>
      <c r="BC3" s="24" t="s">
        <v>131</v>
      </c>
      <c r="BD3" s="24" t="s">
        <v>132</v>
      </c>
      <c r="BE3" s="24" t="s">
        <v>133</v>
      </c>
      <c r="BF3" s="24" t="s">
        <v>134</v>
      </c>
      <c r="BG3" s="24" t="s">
        <v>135</v>
      </c>
      <c r="BH3" s="24" t="s">
        <v>136</v>
      </c>
      <c r="BI3" s="24" t="s">
        <v>137</v>
      </c>
      <c r="BJ3" s="24" t="s">
        <v>138</v>
      </c>
      <c r="BK3" s="24" t="s">
        <v>139</v>
      </c>
      <c r="BL3" s="24" t="s">
        <v>140</v>
      </c>
      <c r="BM3" s="24" t="s">
        <v>141</v>
      </c>
      <c r="BN3" s="24" t="s">
        <v>142</v>
      </c>
      <c r="BO3" s="24" t="s">
        <v>143</v>
      </c>
      <c r="BP3" s="24" t="s">
        <v>144</v>
      </c>
      <c r="BQ3" s="24" t="s">
        <v>145</v>
      </c>
      <c r="BR3" s="24" t="s">
        <v>146</v>
      </c>
      <c r="BS3" s="24" t="s">
        <v>147</v>
      </c>
      <c r="BT3" s="24" t="s">
        <v>148</v>
      </c>
      <c r="BU3" s="24" t="s">
        <v>149</v>
      </c>
      <c r="BV3" s="24" t="s">
        <v>150</v>
      </c>
      <c r="BW3" s="24" t="s">
        <v>151</v>
      </c>
      <c r="BX3" s="24" t="s">
        <v>152</v>
      </c>
      <c r="BY3" s="24" t="s">
        <v>153</v>
      </c>
      <c r="BZ3" s="24" t="s">
        <v>154</v>
      </c>
      <c r="CA3" s="24" t="s">
        <v>155</v>
      </c>
      <c r="CB3" s="24" t="s">
        <v>156</v>
      </c>
      <c r="CC3" s="24" t="s">
        <v>157</v>
      </c>
      <c r="CD3" s="24" t="s">
        <v>158</v>
      </c>
      <c r="CE3" s="24" t="s">
        <v>159</v>
      </c>
      <c r="CF3" s="24" t="s">
        <v>160</v>
      </c>
      <c r="CG3" s="24" t="s">
        <v>161</v>
      </c>
      <c r="CH3" s="24" t="s">
        <v>162</v>
      </c>
      <c r="CI3" s="24" t="s">
        <v>163</v>
      </c>
      <c r="CJ3" s="24" t="s">
        <v>164</v>
      </c>
      <c r="CK3" s="24" t="s">
        <v>165</v>
      </c>
      <c r="CL3" s="24" t="s">
        <v>166</v>
      </c>
      <c r="CM3" s="24" t="s">
        <v>167</v>
      </c>
      <c r="CN3" s="24" t="s">
        <v>168</v>
      </c>
      <c r="CO3" s="24" t="s">
        <v>169</v>
      </c>
      <c r="CP3" s="24" t="s">
        <v>170</v>
      </c>
      <c r="CQ3" s="24" t="s">
        <v>171</v>
      </c>
      <c r="CR3" s="24" t="s">
        <v>172</v>
      </c>
      <c r="CS3" s="24" t="s">
        <v>173</v>
      </c>
      <c r="CT3" s="24" t="s">
        <v>174</v>
      </c>
      <c r="CU3" s="24" t="s">
        <v>175</v>
      </c>
      <c r="CV3" s="24" t="s">
        <v>176</v>
      </c>
      <c r="CW3" s="24" t="s">
        <v>177</v>
      </c>
      <c r="CX3" s="24" t="s">
        <v>178</v>
      </c>
      <c r="CY3" s="24" t="s">
        <v>179</v>
      </c>
      <c r="CZ3" s="24" t="s">
        <v>180</v>
      </c>
      <c r="DA3" s="24" t="s">
        <v>181</v>
      </c>
      <c r="DB3" s="24" t="s">
        <v>182</v>
      </c>
      <c r="DC3" s="24" t="s">
        <v>183</v>
      </c>
      <c r="DD3" s="24" t="s">
        <v>184</v>
      </c>
      <c r="DE3" s="24" t="s">
        <v>185</v>
      </c>
      <c r="DF3" s="24" t="s">
        <v>186</v>
      </c>
      <c r="DG3" s="24" t="s">
        <v>187</v>
      </c>
      <c r="DH3" s="24" t="s">
        <v>188</v>
      </c>
      <c r="DI3" s="24" t="s">
        <v>189</v>
      </c>
      <c r="DJ3" s="24" t="s">
        <v>190</v>
      </c>
      <c r="DK3" s="24" t="s">
        <v>191</v>
      </c>
      <c r="DL3" s="24" t="s">
        <v>192</v>
      </c>
      <c r="DM3" s="24" t="s">
        <v>193</v>
      </c>
      <c r="DN3" s="24" t="s">
        <v>194</v>
      </c>
      <c r="DO3" s="24" t="s">
        <v>195</v>
      </c>
      <c r="DP3" s="24" t="s">
        <v>196</v>
      </c>
      <c r="DQ3" s="24" t="s">
        <v>197</v>
      </c>
      <c r="DR3" s="24" t="s">
        <v>198</v>
      </c>
      <c r="DS3" s="24" t="s">
        <v>199</v>
      </c>
      <c r="DT3" s="24" t="s">
        <v>200</v>
      </c>
      <c r="DU3" s="24" t="s">
        <v>201</v>
      </c>
      <c r="DV3" s="24" t="s">
        <v>202</v>
      </c>
      <c r="DW3" s="24" t="s">
        <v>203</v>
      </c>
      <c r="DX3" s="24" t="s">
        <v>204</v>
      </c>
      <c r="DY3" s="24" t="s">
        <v>205</v>
      </c>
      <c r="DZ3" s="24" t="s">
        <v>206</v>
      </c>
      <c r="EA3" s="24" t="s">
        <v>207</v>
      </c>
      <c r="EB3" s="24" t="s">
        <v>208</v>
      </c>
      <c r="EC3" s="24" t="s">
        <v>209</v>
      </c>
      <c r="ED3" s="24" t="s">
        <v>210</v>
      </c>
      <c r="EE3" s="24" t="s">
        <v>211</v>
      </c>
      <c r="EF3" s="24" t="s">
        <v>212</v>
      </c>
      <c r="EG3" s="24" t="s">
        <v>213</v>
      </c>
      <c r="EH3" s="24" t="s">
        <v>214</v>
      </c>
      <c r="EI3" s="24" t="s">
        <v>215</v>
      </c>
      <c r="EJ3" s="24" t="s">
        <v>216</v>
      </c>
      <c r="EK3" s="24" t="s">
        <v>217</v>
      </c>
      <c r="EL3" s="24" t="s">
        <v>218</v>
      </c>
      <c r="EM3" s="24" t="s">
        <v>219</v>
      </c>
      <c r="EN3" s="24" t="s">
        <v>220</v>
      </c>
      <c r="EO3" s="24" t="s">
        <v>221</v>
      </c>
      <c r="EP3" s="24" t="s">
        <v>222</v>
      </c>
      <c r="EQ3" s="24" t="s">
        <v>223</v>
      </c>
      <c r="ER3" s="24" t="s">
        <v>224</v>
      </c>
      <c r="ES3" s="24" t="s">
        <v>225</v>
      </c>
      <c r="ET3" s="24" t="s">
        <v>226</v>
      </c>
      <c r="EU3" s="24" t="s">
        <v>227</v>
      </c>
      <c r="EV3" s="24" t="s">
        <v>228</v>
      </c>
      <c r="EW3" s="24" t="s">
        <v>229</v>
      </c>
      <c r="EX3" s="24" t="s">
        <v>230</v>
      </c>
      <c r="EY3" s="24" t="s">
        <v>231</v>
      </c>
      <c r="EZ3" s="24" t="s">
        <v>232</v>
      </c>
      <c r="FA3" s="24" t="s">
        <v>233</v>
      </c>
      <c r="FB3" s="24" t="s">
        <v>234</v>
      </c>
      <c r="FC3" s="24" t="s">
        <v>235</v>
      </c>
      <c r="FD3" s="24" t="s">
        <v>236</v>
      </c>
      <c r="FE3" s="24" t="s">
        <v>237</v>
      </c>
      <c r="FF3" s="24" t="s">
        <v>238</v>
      </c>
      <c r="FG3" s="24" t="s">
        <v>239</v>
      </c>
      <c r="FH3" s="24" t="s">
        <v>240</v>
      </c>
      <c r="FI3" s="24" t="s">
        <v>241</v>
      </c>
      <c r="FJ3" s="24" t="s">
        <v>242</v>
      </c>
      <c r="FK3" s="24" t="s">
        <v>243</v>
      </c>
      <c r="FL3" s="24" t="s">
        <v>244</v>
      </c>
      <c r="FM3" s="24" t="s">
        <v>245</v>
      </c>
      <c r="FN3" s="24" t="s">
        <v>246</v>
      </c>
      <c r="FO3" s="24" t="s">
        <v>247</v>
      </c>
      <c r="FP3" s="24" t="s">
        <v>248</v>
      </c>
      <c r="FQ3" s="24" t="s">
        <v>249</v>
      </c>
      <c r="FR3" s="24" t="s">
        <v>250</v>
      </c>
      <c r="FS3" s="24" t="s">
        <v>251</v>
      </c>
      <c r="FT3" s="24" t="s">
        <v>252</v>
      </c>
      <c r="FU3" s="24" t="s">
        <v>253</v>
      </c>
      <c r="FV3" s="24" t="s">
        <v>254</v>
      </c>
      <c r="FW3" s="24" t="s">
        <v>255</v>
      </c>
      <c r="FX3" s="24" t="s">
        <v>256</v>
      </c>
      <c r="FY3" s="24" t="s">
        <v>257</v>
      </c>
      <c r="FZ3" s="24" t="s">
        <v>258</v>
      </c>
      <c r="GA3" s="24" t="s">
        <v>259</v>
      </c>
      <c r="GB3" s="24" t="s">
        <v>260</v>
      </c>
      <c r="GC3" s="24" t="s">
        <v>261</v>
      </c>
      <c r="GD3" s="24" t="s">
        <v>262</v>
      </c>
      <c r="GE3" s="24" t="s">
        <v>263</v>
      </c>
      <c r="GF3" s="24" t="s">
        <v>264</v>
      </c>
      <c r="GG3" s="24" t="s">
        <v>265</v>
      </c>
      <c r="GH3" s="24" t="s">
        <v>266</v>
      </c>
      <c r="GI3" s="24" t="s">
        <v>267</v>
      </c>
      <c r="GJ3" s="24" t="s">
        <v>268</v>
      </c>
      <c r="GK3" s="24" t="s">
        <v>269</v>
      </c>
      <c r="GL3" s="24" t="s">
        <v>270</v>
      </c>
      <c r="GM3" s="24" t="s">
        <v>271</v>
      </c>
      <c r="GN3" s="24" t="s">
        <v>272</v>
      </c>
      <c r="GO3" s="24" t="s">
        <v>273</v>
      </c>
      <c r="GP3" s="24" t="s">
        <v>274</v>
      </c>
      <c r="GQ3" s="24" t="s">
        <v>275</v>
      </c>
      <c r="GR3" s="24" t="s">
        <v>276</v>
      </c>
      <c r="GS3" s="24" t="s">
        <v>277</v>
      </c>
      <c r="GV3" s="69" t="s">
        <v>278</v>
      </c>
      <c r="GW3" s="69"/>
    </row>
    <row r="4" spans="1:205" ht="34.5" customHeight="1" x14ac:dyDescent="0.2">
      <c r="A4" s="25" t="s">
        <v>79</v>
      </c>
      <c r="B4" s="26" t="s">
        <v>68</v>
      </c>
      <c r="C4" s="26" t="s">
        <v>68</v>
      </c>
      <c r="D4" s="26" t="s">
        <v>68</v>
      </c>
      <c r="E4" s="26" t="s">
        <v>68</v>
      </c>
      <c r="F4" s="26" t="s">
        <v>68</v>
      </c>
      <c r="G4" s="26" t="s">
        <v>68</v>
      </c>
      <c r="H4" s="26" t="s">
        <v>68</v>
      </c>
      <c r="I4" s="26" t="s">
        <v>68</v>
      </c>
      <c r="J4" s="26" t="s">
        <v>279</v>
      </c>
      <c r="K4" s="26" t="s">
        <v>279</v>
      </c>
      <c r="L4" s="26" t="s">
        <v>279</v>
      </c>
      <c r="M4" s="26" t="s">
        <v>68</v>
      </c>
      <c r="N4" s="27" t="s">
        <v>68</v>
      </c>
      <c r="O4" s="27" t="s">
        <v>68</v>
      </c>
      <c r="P4" s="27" t="s">
        <v>68</v>
      </c>
      <c r="Q4" s="27" t="s">
        <v>68</v>
      </c>
      <c r="R4" s="27" t="s">
        <v>68</v>
      </c>
      <c r="S4" s="27"/>
      <c r="T4" s="27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V4" s="29" t="s">
        <v>280</v>
      </c>
      <c r="GW4" s="29" t="s">
        <v>281</v>
      </c>
    </row>
    <row r="5" spans="1:205" ht="34.5" customHeight="1" x14ac:dyDescent="0.2">
      <c r="A5" s="25" t="s">
        <v>80</v>
      </c>
      <c r="B5" s="26" t="s">
        <v>69</v>
      </c>
      <c r="C5" s="26" t="s">
        <v>69</v>
      </c>
      <c r="D5" s="26" t="s">
        <v>69</v>
      </c>
      <c r="E5" s="26" t="s">
        <v>69</v>
      </c>
      <c r="F5" s="26" t="s">
        <v>69</v>
      </c>
      <c r="G5" s="26" t="s">
        <v>69</v>
      </c>
      <c r="H5" s="26" t="s">
        <v>69</v>
      </c>
      <c r="I5" s="26" t="s">
        <v>69</v>
      </c>
      <c r="J5" s="26"/>
      <c r="K5" s="26"/>
      <c r="L5" s="26"/>
      <c r="M5" s="26" t="s">
        <v>69</v>
      </c>
      <c r="N5" s="27" t="s">
        <v>69</v>
      </c>
      <c r="O5" s="27" t="s">
        <v>69</v>
      </c>
      <c r="P5" s="27" t="s">
        <v>69</v>
      </c>
      <c r="Q5" s="27" t="s">
        <v>69</v>
      </c>
      <c r="R5" s="27" t="s">
        <v>69</v>
      </c>
      <c r="S5" s="27"/>
      <c r="T5" s="27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V5" s="30" t="s">
        <v>68</v>
      </c>
      <c r="GW5" s="31">
        <v>1</v>
      </c>
    </row>
    <row r="6" spans="1:205" ht="34.5" customHeight="1" x14ac:dyDescent="0.2">
      <c r="A6" s="25" t="s">
        <v>81</v>
      </c>
      <c r="B6" s="26" t="s">
        <v>279</v>
      </c>
      <c r="C6" s="26" t="s">
        <v>279</v>
      </c>
      <c r="D6" s="26"/>
      <c r="E6" s="26"/>
      <c r="F6" s="26"/>
      <c r="G6" s="26"/>
      <c r="H6" s="26"/>
      <c r="I6" s="26"/>
      <c r="J6" s="26"/>
      <c r="K6" s="26"/>
      <c r="L6" s="26"/>
      <c r="M6" s="26" t="s">
        <v>279</v>
      </c>
      <c r="N6" s="27" t="s">
        <v>279</v>
      </c>
      <c r="O6" s="27" t="s">
        <v>279</v>
      </c>
      <c r="P6" s="27" t="s">
        <v>279</v>
      </c>
      <c r="Q6" s="27" t="s">
        <v>279</v>
      </c>
      <c r="R6" s="27" t="s">
        <v>279</v>
      </c>
      <c r="S6" s="27"/>
      <c r="T6" s="27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V6" s="30" t="s">
        <v>69</v>
      </c>
      <c r="GW6" s="31">
        <v>2</v>
      </c>
    </row>
    <row r="7" spans="1:205" ht="34.5" customHeight="1" x14ac:dyDescent="0.2">
      <c r="A7" s="25" t="s">
        <v>82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 t="s">
        <v>79</v>
      </c>
      <c r="N7" s="27" t="s">
        <v>79</v>
      </c>
      <c r="O7" s="27" t="s">
        <v>79</v>
      </c>
      <c r="P7" s="27" t="s">
        <v>79</v>
      </c>
      <c r="Q7" s="27" t="s">
        <v>79</v>
      </c>
      <c r="R7" s="27" t="s">
        <v>79</v>
      </c>
      <c r="S7" s="27"/>
      <c r="T7" s="27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V7" s="30" t="s">
        <v>279</v>
      </c>
      <c r="GW7" s="31">
        <v>3</v>
      </c>
    </row>
    <row r="8" spans="1:205" ht="34.5" customHeight="1" x14ac:dyDescent="0.2">
      <c r="A8" s="25" t="s">
        <v>83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 t="s">
        <v>83</v>
      </c>
      <c r="N8" s="27" t="s">
        <v>83</v>
      </c>
      <c r="O8" s="27" t="s">
        <v>83</v>
      </c>
      <c r="P8" s="27" t="s">
        <v>67</v>
      </c>
      <c r="Q8" s="27" t="s">
        <v>67</v>
      </c>
      <c r="R8" s="27"/>
      <c r="S8" s="27"/>
      <c r="T8" s="27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V8" s="30" t="s">
        <v>79</v>
      </c>
      <c r="GW8" s="31">
        <v>4</v>
      </c>
    </row>
    <row r="9" spans="1:205" ht="34.5" customHeight="1" x14ac:dyDescent="0.2">
      <c r="A9" s="25" t="s">
        <v>84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  <c r="O9" s="27"/>
      <c r="P9" s="27"/>
      <c r="Q9" s="27"/>
      <c r="R9" s="27"/>
      <c r="S9" s="27"/>
      <c r="T9" s="27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V9" s="30" t="s">
        <v>83</v>
      </c>
      <c r="GW9" s="31">
        <v>5</v>
      </c>
    </row>
    <row r="10" spans="1:205" ht="34.5" customHeight="1" x14ac:dyDescent="0.2">
      <c r="A10" s="25" t="s">
        <v>67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7"/>
      <c r="O10" s="27"/>
      <c r="P10" s="27"/>
      <c r="Q10" s="27"/>
      <c r="R10" s="27"/>
      <c r="S10" s="27"/>
      <c r="T10" s="27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V10" s="30" t="s">
        <v>67</v>
      </c>
      <c r="GW10" s="31">
        <v>6</v>
      </c>
    </row>
    <row r="11" spans="1:205" ht="34.5" customHeight="1" x14ac:dyDescent="0.2">
      <c r="A11" s="25" t="s">
        <v>85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7"/>
      <c r="O11" s="27"/>
      <c r="P11" s="27"/>
      <c r="Q11" s="27"/>
      <c r="R11" s="27"/>
      <c r="S11" s="27"/>
      <c r="T11" s="27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V11" s="30"/>
      <c r="GW11" s="31"/>
    </row>
    <row r="12" spans="1:205" ht="34.5" customHeight="1" x14ac:dyDescent="0.2">
      <c r="A12" s="25" t="s">
        <v>86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7"/>
      <c r="O12" s="27"/>
      <c r="P12" s="27"/>
      <c r="Q12" s="27"/>
      <c r="R12" s="27"/>
      <c r="S12" s="27"/>
      <c r="T12" s="27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V12" s="30"/>
      <c r="GW12" s="31"/>
    </row>
    <row r="13" spans="1:205" ht="34.5" customHeight="1" x14ac:dyDescent="0.2">
      <c r="A13" s="25" t="s">
        <v>87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7"/>
      <c r="O13" s="27"/>
      <c r="P13" s="27"/>
      <c r="Q13" s="27"/>
      <c r="R13" s="27"/>
      <c r="S13" s="27"/>
      <c r="T13" s="27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V13" s="30"/>
      <c r="GW13" s="31"/>
    </row>
    <row r="14" spans="1:205" ht="34.5" customHeight="1" x14ac:dyDescent="0.2">
      <c r="A14" s="25" t="s">
        <v>88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7"/>
      <c r="O14" s="27"/>
      <c r="P14" s="27"/>
      <c r="Q14" s="27"/>
      <c r="R14" s="27"/>
      <c r="S14" s="27"/>
      <c r="T14" s="27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V14" s="30"/>
      <c r="GW14" s="31"/>
    </row>
    <row r="15" spans="1:205" ht="34.5" customHeight="1" x14ac:dyDescent="0.2">
      <c r="A15" s="25" t="s">
        <v>89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7"/>
      <c r="O15" s="27"/>
      <c r="P15" s="27"/>
      <c r="Q15" s="27"/>
      <c r="R15" s="27"/>
      <c r="S15" s="27"/>
      <c r="T15" s="27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V15" s="30"/>
      <c r="GW15" s="31"/>
    </row>
    <row r="16" spans="1:205" ht="34.5" customHeight="1" x14ac:dyDescent="0.2">
      <c r="A16" s="25" t="s">
        <v>90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7"/>
      <c r="O16" s="27"/>
      <c r="P16" s="27"/>
      <c r="Q16" s="27"/>
      <c r="R16" s="27"/>
      <c r="S16" s="27"/>
      <c r="T16" s="27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8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V16" s="30"/>
      <c r="GW16" s="31"/>
    </row>
    <row r="17" spans="1:205" ht="34.5" customHeight="1" x14ac:dyDescent="0.2">
      <c r="A17" s="25" t="s">
        <v>91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7"/>
      <c r="O17" s="27"/>
      <c r="P17" s="27"/>
      <c r="Q17" s="27"/>
      <c r="R17" s="27"/>
      <c r="S17" s="27"/>
      <c r="T17" s="27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V17" s="30"/>
      <c r="GW17" s="31"/>
    </row>
    <row r="18" spans="1:205" ht="34.5" customHeight="1" x14ac:dyDescent="0.2">
      <c r="A18" s="25" t="s">
        <v>92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7"/>
      <c r="O18" s="27"/>
      <c r="P18" s="27"/>
      <c r="Q18" s="27"/>
      <c r="R18" s="27"/>
      <c r="S18" s="27"/>
      <c r="T18" s="27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V18" s="30"/>
      <c r="GW18" s="31"/>
    </row>
    <row r="19" spans="1:205" ht="34.5" customHeight="1" x14ac:dyDescent="0.2">
      <c r="A19" s="25" t="s">
        <v>93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7"/>
      <c r="O19" s="27"/>
      <c r="P19" s="27"/>
      <c r="Q19" s="27"/>
      <c r="R19" s="27"/>
      <c r="S19" s="27"/>
      <c r="T19" s="27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V19" s="30"/>
      <c r="GW19" s="31"/>
    </row>
    <row r="20" spans="1:205" ht="34.5" customHeight="1" x14ac:dyDescent="0.2">
      <c r="A20" s="25" t="s">
        <v>94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7"/>
      <c r="O20" s="27"/>
      <c r="P20" s="27"/>
      <c r="Q20" s="27"/>
      <c r="R20" s="27"/>
      <c r="S20" s="27"/>
      <c r="T20" s="27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8"/>
      <c r="GM20" s="28"/>
      <c r="GN20" s="28"/>
      <c r="GO20" s="28"/>
      <c r="GP20" s="28"/>
      <c r="GQ20" s="28"/>
      <c r="GR20" s="28"/>
      <c r="GS20" s="28"/>
      <c r="GV20" s="30"/>
      <c r="GW20" s="31"/>
    </row>
    <row r="21" spans="1:205" ht="34.5" customHeight="1" x14ac:dyDescent="0.2">
      <c r="A21" s="32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7"/>
      <c r="O21" s="27"/>
      <c r="P21" s="27"/>
      <c r="Q21" s="27"/>
      <c r="R21" s="27"/>
      <c r="S21" s="27"/>
      <c r="T21" s="27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  <c r="FS21" s="28"/>
      <c r="FT21" s="28"/>
      <c r="FU21" s="28"/>
      <c r="FV21" s="28"/>
      <c r="FW21" s="28"/>
      <c r="FX21" s="28"/>
      <c r="FY21" s="28"/>
      <c r="FZ21" s="28"/>
      <c r="GA21" s="28"/>
      <c r="GB21" s="28"/>
      <c r="GC21" s="28"/>
      <c r="GD21" s="28"/>
      <c r="GE21" s="28"/>
      <c r="GF21" s="28"/>
      <c r="GG21" s="28"/>
      <c r="GH21" s="28"/>
      <c r="GI21" s="28"/>
      <c r="GJ21" s="28"/>
      <c r="GK21" s="28"/>
      <c r="GL21" s="28"/>
      <c r="GM21" s="28"/>
      <c r="GN21" s="28"/>
      <c r="GO21" s="28"/>
      <c r="GP21" s="28"/>
      <c r="GQ21" s="28"/>
      <c r="GR21" s="28"/>
      <c r="GS21" s="28"/>
      <c r="GV21" s="30"/>
      <c r="GW21" s="31"/>
    </row>
    <row r="22" spans="1:205" ht="34.5" customHeight="1" x14ac:dyDescent="0.2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  <c r="FS22" s="28"/>
      <c r="FT22" s="28"/>
      <c r="FU22" s="28"/>
      <c r="FV22" s="28"/>
      <c r="FW22" s="28"/>
      <c r="FX22" s="28"/>
      <c r="FY22" s="28"/>
      <c r="FZ22" s="28"/>
      <c r="GA22" s="28"/>
      <c r="GB22" s="28"/>
      <c r="GC22" s="28"/>
      <c r="GD22" s="28"/>
      <c r="GE22" s="28"/>
      <c r="GF22" s="28"/>
      <c r="GG22" s="28"/>
      <c r="GH22" s="28"/>
      <c r="GI22" s="28"/>
      <c r="GJ22" s="28"/>
      <c r="GK22" s="28"/>
      <c r="GL22" s="28"/>
      <c r="GM22" s="28"/>
      <c r="GN22" s="28"/>
      <c r="GO22" s="28"/>
      <c r="GP22" s="28"/>
      <c r="GQ22" s="28"/>
      <c r="GR22" s="28"/>
      <c r="GS22" s="28"/>
      <c r="GV22" s="30"/>
      <c r="GW22" s="31"/>
    </row>
    <row r="23" spans="1:205" ht="19.5" customHeight="1" x14ac:dyDescent="0.2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  <c r="FW23" s="28"/>
      <c r="FX23" s="28"/>
      <c r="FY23" s="28"/>
      <c r="FZ23" s="28"/>
      <c r="GA23" s="28"/>
      <c r="GB23" s="28"/>
      <c r="GC23" s="28"/>
      <c r="GD23" s="28"/>
      <c r="GE23" s="28"/>
      <c r="GF23" s="28"/>
      <c r="GG23" s="28"/>
      <c r="GH23" s="28"/>
      <c r="GI23" s="28"/>
      <c r="GJ23" s="28"/>
      <c r="GK23" s="28"/>
      <c r="GL23" s="28"/>
      <c r="GM23" s="28"/>
      <c r="GN23" s="28"/>
      <c r="GO23" s="28"/>
      <c r="GP23" s="28"/>
      <c r="GQ23" s="28"/>
      <c r="GR23" s="28"/>
      <c r="GS23" s="28"/>
      <c r="GV23" s="30"/>
      <c r="GW23" s="31"/>
    </row>
    <row r="24" spans="1:205" ht="19.5" customHeight="1" x14ac:dyDescent="0.2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  <c r="FS24" s="28"/>
      <c r="FT24" s="28"/>
      <c r="FU24" s="28"/>
      <c r="FV24" s="28"/>
      <c r="FW24" s="28"/>
      <c r="FX24" s="28"/>
      <c r="FY24" s="28"/>
      <c r="FZ24" s="28"/>
      <c r="GA24" s="28"/>
      <c r="GB24" s="28"/>
      <c r="GC24" s="28"/>
      <c r="GD24" s="28"/>
      <c r="GE24" s="28"/>
      <c r="GF24" s="28"/>
      <c r="GG24" s="28"/>
      <c r="GH24" s="28"/>
      <c r="GI24" s="28"/>
      <c r="GJ24" s="28"/>
      <c r="GK24" s="28"/>
      <c r="GL24" s="28"/>
      <c r="GM24" s="28"/>
      <c r="GN24" s="28"/>
      <c r="GO24" s="28"/>
      <c r="GP24" s="28"/>
      <c r="GQ24" s="28"/>
      <c r="GR24" s="28"/>
      <c r="GS24" s="28"/>
      <c r="GV24" s="30"/>
      <c r="GW24" s="31"/>
    </row>
    <row r="25" spans="1:205" ht="19.5" customHeight="1" x14ac:dyDescent="0.2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8"/>
      <c r="FT25" s="28"/>
      <c r="FU25" s="28"/>
      <c r="FV25" s="28"/>
      <c r="FW25" s="28"/>
      <c r="FX25" s="28"/>
      <c r="FY25" s="28"/>
      <c r="FZ25" s="28"/>
      <c r="GA25" s="28"/>
      <c r="GB25" s="28"/>
      <c r="GC25" s="28"/>
      <c r="GD25" s="28"/>
      <c r="GE25" s="28"/>
      <c r="GF25" s="28"/>
      <c r="GG25" s="28"/>
      <c r="GH25" s="28"/>
      <c r="GI25" s="28"/>
      <c r="GJ25" s="28"/>
      <c r="GK25" s="28"/>
      <c r="GL25" s="28"/>
      <c r="GM25" s="28"/>
      <c r="GN25" s="28"/>
      <c r="GO25" s="28"/>
      <c r="GP25" s="28"/>
      <c r="GQ25" s="28"/>
      <c r="GR25" s="28"/>
      <c r="GS25" s="28"/>
      <c r="GV25" s="30"/>
      <c r="GW25" s="31"/>
    </row>
    <row r="26" spans="1:205" ht="19.5" customHeight="1" x14ac:dyDescent="0.2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V26" s="30"/>
      <c r="GW26" s="31"/>
    </row>
    <row r="27" spans="1:205" ht="19.5" customHeight="1" x14ac:dyDescent="0.2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28"/>
      <c r="FQ27" s="28"/>
      <c r="FR27" s="28"/>
      <c r="FS27" s="28"/>
      <c r="FT27" s="28"/>
      <c r="FU27" s="28"/>
      <c r="FV27" s="28"/>
      <c r="FW27" s="28"/>
      <c r="FX27" s="28"/>
      <c r="FY27" s="28"/>
      <c r="FZ27" s="28"/>
      <c r="GA27" s="28"/>
      <c r="GB27" s="28"/>
      <c r="GC27" s="28"/>
      <c r="GD27" s="28"/>
      <c r="GE27" s="28"/>
      <c r="GF27" s="28"/>
      <c r="GG27" s="28"/>
      <c r="GH27" s="28"/>
      <c r="GI27" s="28"/>
      <c r="GJ27" s="28"/>
      <c r="GK27" s="28"/>
      <c r="GL27" s="28"/>
      <c r="GM27" s="28"/>
      <c r="GN27" s="28"/>
      <c r="GO27" s="28"/>
      <c r="GP27" s="28"/>
      <c r="GQ27" s="28"/>
      <c r="GR27" s="28"/>
      <c r="GS27" s="28"/>
      <c r="GV27" s="30"/>
      <c r="GW27" s="31"/>
    </row>
    <row r="28" spans="1:205" ht="19.5" customHeight="1" x14ac:dyDescent="0.2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8"/>
      <c r="FO28" s="28"/>
      <c r="FP28" s="28"/>
      <c r="FQ28" s="28"/>
      <c r="FR28" s="28"/>
      <c r="FS28" s="28"/>
      <c r="FT28" s="28"/>
      <c r="FU28" s="28"/>
      <c r="FV28" s="28"/>
      <c r="FW28" s="28"/>
      <c r="FX28" s="28"/>
      <c r="FY28" s="28"/>
      <c r="FZ28" s="28"/>
      <c r="GA28" s="28"/>
      <c r="GB28" s="28"/>
      <c r="GC28" s="28"/>
      <c r="GD28" s="28"/>
      <c r="GE28" s="28"/>
      <c r="GF28" s="28"/>
      <c r="GG28" s="28"/>
      <c r="GH28" s="28"/>
      <c r="GI28" s="28"/>
      <c r="GJ28" s="28"/>
      <c r="GK28" s="28"/>
      <c r="GL28" s="28"/>
      <c r="GM28" s="28"/>
      <c r="GN28" s="28"/>
      <c r="GO28" s="28"/>
      <c r="GP28" s="28"/>
      <c r="GQ28" s="28"/>
      <c r="GR28" s="28"/>
      <c r="GS28" s="28"/>
      <c r="GV28" s="30"/>
      <c r="GW28" s="31"/>
    </row>
    <row r="29" spans="1:205" ht="19.5" customHeight="1" x14ac:dyDescent="0.2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  <c r="FS29" s="28"/>
      <c r="FT29" s="28"/>
      <c r="FU29" s="28"/>
      <c r="FV29" s="28"/>
      <c r="FW29" s="28"/>
      <c r="FX29" s="28"/>
      <c r="FY29" s="28"/>
      <c r="FZ29" s="28"/>
      <c r="GA29" s="28"/>
      <c r="GB29" s="28"/>
      <c r="GC29" s="28"/>
      <c r="GD29" s="28"/>
      <c r="GE29" s="28"/>
      <c r="GF29" s="28"/>
      <c r="GG29" s="28"/>
      <c r="GH29" s="28"/>
      <c r="GI29" s="28"/>
      <c r="GJ29" s="28"/>
      <c r="GK29" s="28"/>
      <c r="GL29" s="28"/>
      <c r="GM29" s="28"/>
      <c r="GN29" s="28"/>
      <c r="GO29" s="28"/>
      <c r="GP29" s="28"/>
      <c r="GQ29" s="28"/>
      <c r="GR29" s="28"/>
      <c r="GS29" s="28"/>
      <c r="GV29" s="34"/>
      <c r="GW29" s="31"/>
    </row>
    <row r="30" spans="1:205" ht="19.5" customHeight="1" x14ac:dyDescent="0.2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  <c r="FS30" s="28"/>
      <c r="FT30" s="28"/>
      <c r="FU30" s="28"/>
      <c r="FV30" s="28"/>
      <c r="FW30" s="28"/>
      <c r="FX30" s="28"/>
      <c r="FY30" s="28"/>
      <c r="FZ30" s="28"/>
      <c r="GA30" s="28"/>
      <c r="GB30" s="28"/>
      <c r="GC30" s="28"/>
      <c r="GD30" s="28"/>
      <c r="GE30" s="28"/>
      <c r="GF30" s="28"/>
      <c r="GG30" s="28"/>
      <c r="GH30" s="28"/>
      <c r="GI30" s="28"/>
      <c r="GJ30" s="28"/>
      <c r="GK30" s="28"/>
      <c r="GL30" s="28"/>
      <c r="GM30" s="28"/>
      <c r="GN30" s="28"/>
      <c r="GO30" s="28"/>
      <c r="GP30" s="28"/>
      <c r="GQ30" s="28"/>
      <c r="GR30" s="28"/>
      <c r="GS30" s="28"/>
      <c r="GV30" s="34"/>
      <c r="GW30" s="31"/>
    </row>
    <row r="31" spans="1:205" ht="19.5" customHeight="1" x14ac:dyDescent="0.2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  <c r="FS31" s="28"/>
      <c r="FT31" s="28"/>
      <c r="FU31" s="28"/>
      <c r="FV31" s="28"/>
      <c r="FW31" s="28"/>
      <c r="FX31" s="28"/>
      <c r="FY31" s="28"/>
      <c r="FZ31" s="28"/>
      <c r="GA31" s="28"/>
      <c r="GB31" s="28"/>
      <c r="GC31" s="28"/>
      <c r="GD31" s="28"/>
      <c r="GE31" s="28"/>
      <c r="GF31" s="28"/>
      <c r="GG31" s="28"/>
      <c r="GH31" s="28"/>
      <c r="GI31" s="28"/>
      <c r="GJ31" s="28"/>
      <c r="GK31" s="28"/>
      <c r="GL31" s="28"/>
      <c r="GM31" s="28"/>
      <c r="GN31" s="28"/>
      <c r="GO31" s="28"/>
      <c r="GP31" s="28"/>
      <c r="GQ31" s="28"/>
      <c r="GR31" s="28"/>
      <c r="GS31" s="28"/>
      <c r="GV31" s="34"/>
      <c r="GW31" s="31"/>
    </row>
    <row r="32" spans="1:205" ht="19.5" customHeight="1" x14ac:dyDescent="0.2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28"/>
      <c r="GI32" s="28"/>
      <c r="GJ32" s="28"/>
      <c r="GK32" s="28"/>
      <c r="GL32" s="28"/>
      <c r="GM32" s="28"/>
      <c r="GN32" s="28"/>
      <c r="GO32" s="28"/>
      <c r="GP32" s="28"/>
      <c r="GQ32" s="28"/>
      <c r="GR32" s="28"/>
      <c r="GS32" s="28"/>
      <c r="GV32" s="34"/>
      <c r="GW32" s="31"/>
    </row>
    <row r="33" spans="1:205" ht="19.5" customHeight="1" x14ac:dyDescent="0.2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I33" s="28"/>
      <c r="GJ33" s="28"/>
      <c r="GK33" s="28"/>
      <c r="GL33" s="28"/>
      <c r="GM33" s="28"/>
      <c r="GN33" s="28"/>
      <c r="GO33" s="28"/>
      <c r="GP33" s="28"/>
      <c r="GQ33" s="28"/>
      <c r="GR33" s="28"/>
      <c r="GS33" s="28"/>
      <c r="GV33" s="34"/>
      <c r="GW33" s="31"/>
    </row>
    <row r="34" spans="1:205" ht="19.5" customHeight="1" x14ac:dyDescent="0.2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  <c r="FS34" s="28"/>
      <c r="FT34" s="28"/>
      <c r="FU34" s="28"/>
      <c r="FV34" s="28"/>
      <c r="FW34" s="28"/>
      <c r="FX34" s="28"/>
      <c r="FY34" s="28"/>
      <c r="FZ34" s="28"/>
      <c r="GA34" s="28"/>
      <c r="GB34" s="28"/>
      <c r="GC34" s="28"/>
      <c r="GD34" s="28"/>
      <c r="GE34" s="28"/>
      <c r="GF34" s="28"/>
      <c r="GG34" s="28"/>
      <c r="GH34" s="28"/>
      <c r="GI34" s="28"/>
      <c r="GJ34" s="28"/>
      <c r="GK34" s="28"/>
      <c r="GL34" s="28"/>
      <c r="GM34" s="28"/>
      <c r="GN34" s="28"/>
      <c r="GO34" s="28"/>
      <c r="GP34" s="28"/>
      <c r="GQ34" s="28"/>
      <c r="GR34" s="28"/>
      <c r="GS34" s="28"/>
      <c r="GV34" s="34"/>
      <c r="GW34" s="31"/>
    </row>
    <row r="35" spans="1:205" ht="19.5" customHeight="1" x14ac:dyDescent="0.2">
      <c r="A35" s="32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8"/>
      <c r="FU35" s="28"/>
      <c r="FV35" s="28"/>
      <c r="FW35" s="28"/>
      <c r="FX35" s="28"/>
      <c r="FY35" s="28"/>
      <c r="FZ35" s="28"/>
      <c r="GA35" s="28"/>
      <c r="GB35" s="28"/>
      <c r="GC35" s="28"/>
      <c r="GD35" s="28"/>
      <c r="GE35" s="28"/>
      <c r="GF35" s="28"/>
      <c r="GG35" s="28"/>
      <c r="GH35" s="28"/>
      <c r="GI35" s="28"/>
      <c r="GJ35" s="28"/>
      <c r="GK35" s="28"/>
      <c r="GL35" s="28"/>
      <c r="GM35" s="28"/>
      <c r="GN35" s="28"/>
      <c r="GO35" s="28"/>
      <c r="GP35" s="28"/>
      <c r="GQ35" s="28"/>
      <c r="GR35" s="28"/>
      <c r="GS35" s="28"/>
      <c r="GV35" s="34"/>
      <c r="GW35" s="31"/>
    </row>
    <row r="36" spans="1:205" ht="19.5" customHeight="1" x14ac:dyDescent="0.2">
      <c r="A36" s="32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  <c r="GC36" s="28"/>
      <c r="GD36" s="28"/>
      <c r="GE36" s="28"/>
      <c r="GF36" s="28"/>
      <c r="GG36" s="28"/>
      <c r="GH36" s="28"/>
      <c r="GI36" s="28"/>
      <c r="GJ36" s="28"/>
      <c r="GK36" s="28"/>
      <c r="GL36" s="28"/>
      <c r="GM36" s="28"/>
      <c r="GN36" s="28"/>
      <c r="GO36" s="28"/>
      <c r="GP36" s="28"/>
      <c r="GQ36" s="28"/>
      <c r="GR36" s="28"/>
      <c r="GS36" s="28"/>
      <c r="GV36" s="34"/>
      <c r="GW36" s="31"/>
    </row>
    <row r="37" spans="1:205" ht="19.5" customHeight="1" x14ac:dyDescent="0.2">
      <c r="A37" s="32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  <c r="FS37" s="28"/>
      <c r="FT37" s="28"/>
      <c r="FU37" s="28"/>
      <c r="FV37" s="28"/>
      <c r="FW37" s="28"/>
      <c r="FX37" s="28"/>
      <c r="FY37" s="28"/>
      <c r="FZ37" s="28"/>
      <c r="GA37" s="28"/>
      <c r="GB37" s="28"/>
      <c r="GC37" s="28"/>
      <c r="GD37" s="28"/>
      <c r="GE37" s="28"/>
      <c r="GF37" s="28"/>
      <c r="GG37" s="28"/>
      <c r="GH37" s="28"/>
      <c r="GI37" s="28"/>
      <c r="GJ37" s="28"/>
      <c r="GK37" s="28"/>
      <c r="GL37" s="28"/>
      <c r="GM37" s="28"/>
      <c r="GN37" s="28"/>
      <c r="GO37" s="28"/>
      <c r="GP37" s="28"/>
      <c r="GQ37" s="28"/>
      <c r="GR37" s="28"/>
      <c r="GS37" s="28"/>
      <c r="GV37" s="34"/>
      <c r="GW37" s="34"/>
    </row>
    <row r="38" spans="1:205" ht="19.5" customHeight="1" x14ac:dyDescent="0.2">
      <c r="A38" s="32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8"/>
      <c r="FO38" s="28"/>
      <c r="FP38" s="28"/>
      <c r="FQ38" s="28"/>
      <c r="FR38" s="28"/>
      <c r="FS38" s="28"/>
      <c r="FT38" s="28"/>
      <c r="FU38" s="28"/>
      <c r="FV38" s="28"/>
      <c r="FW38" s="28"/>
      <c r="FX38" s="28"/>
      <c r="FY38" s="28"/>
      <c r="FZ38" s="28"/>
      <c r="GA38" s="28"/>
      <c r="GB38" s="28"/>
      <c r="GC38" s="28"/>
      <c r="GD38" s="28"/>
      <c r="GE38" s="28"/>
      <c r="GF38" s="28"/>
      <c r="GG38" s="28"/>
      <c r="GH38" s="28"/>
      <c r="GI38" s="28"/>
      <c r="GJ38" s="28"/>
      <c r="GK38" s="28"/>
      <c r="GL38" s="28"/>
      <c r="GM38" s="28"/>
      <c r="GN38" s="28"/>
      <c r="GO38" s="28"/>
      <c r="GP38" s="28"/>
      <c r="GQ38" s="28"/>
      <c r="GR38" s="28"/>
      <c r="GS38" s="28"/>
      <c r="GV38" s="34"/>
      <c r="GW38" s="34"/>
    </row>
    <row r="39" spans="1:205" ht="19.5" customHeight="1" x14ac:dyDescent="0.2">
      <c r="A39" s="32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  <c r="FS39" s="28"/>
      <c r="FT39" s="28"/>
      <c r="FU39" s="28"/>
      <c r="FV39" s="28"/>
      <c r="FW39" s="28"/>
      <c r="FX39" s="28"/>
      <c r="FY39" s="28"/>
      <c r="FZ39" s="28"/>
      <c r="GA39" s="28"/>
      <c r="GB39" s="28"/>
      <c r="GC39" s="28"/>
      <c r="GD39" s="28"/>
      <c r="GE39" s="28"/>
      <c r="GF39" s="28"/>
      <c r="GG39" s="28"/>
      <c r="GH39" s="28"/>
      <c r="GI39" s="28"/>
      <c r="GJ39" s="28"/>
      <c r="GK39" s="28"/>
      <c r="GL39" s="28"/>
      <c r="GM39" s="28"/>
      <c r="GN39" s="28"/>
      <c r="GO39" s="28"/>
      <c r="GP39" s="28"/>
      <c r="GQ39" s="28"/>
      <c r="GR39" s="28"/>
      <c r="GS39" s="28"/>
      <c r="GV39" s="34"/>
      <c r="GW39" s="34"/>
    </row>
    <row r="40" spans="1:205" ht="19.5" customHeight="1" x14ac:dyDescent="0.2">
      <c r="A40" s="32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28"/>
      <c r="FN40" s="28"/>
      <c r="FO40" s="28"/>
      <c r="FP40" s="28"/>
      <c r="FQ40" s="28"/>
      <c r="FR40" s="28"/>
      <c r="FS40" s="28"/>
      <c r="FT40" s="28"/>
      <c r="FU40" s="28"/>
      <c r="FV40" s="28"/>
      <c r="FW40" s="28"/>
      <c r="FX40" s="28"/>
      <c r="FY40" s="28"/>
      <c r="FZ40" s="28"/>
      <c r="GA40" s="28"/>
      <c r="GB40" s="28"/>
      <c r="GC40" s="28"/>
      <c r="GD40" s="28"/>
      <c r="GE40" s="28"/>
      <c r="GF40" s="28"/>
      <c r="GG40" s="28"/>
      <c r="GH40" s="28"/>
      <c r="GI40" s="28"/>
      <c r="GJ40" s="28"/>
      <c r="GK40" s="28"/>
      <c r="GL40" s="28"/>
      <c r="GM40" s="28"/>
      <c r="GN40" s="28"/>
      <c r="GO40" s="28"/>
      <c r="GP40" s="28"/>
      <c r="GQ40" s="28"/>
      <c r="GR40" s="28"/>
      <c r="GS40" s="28"/>
      <c r="GV40" s="34"/>
      <c r="GW40" s="34"/>
    </row>
    <row r="41" spans="1:205" ht="19.5" customHeight="1" x14ac:dyDescent="0.2">
      <c r="A41" s="32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28"/>
      <c r="FQ41" s="28"/>
      <c r="FR41" s="28"/>
      <c r="FS41" s="28"/>
      <c r="FT41" s="28"/>
      <c r="FU41" s="28"/>
      <c r="FV41" s="28"/>
      <c r="FW41" s="28"/>
      <c r="FX41" s="28"/>
      <c r="FY41" s="28"/>
      <c r="FZ41" s="28"/>
      <c r="GA41" s="28"/>
      <c r="GB41" s="28"/>
      <c r="GC41" s="28"/>
      <c r="GD41" s="28"/>
      <c r="GE41" s="28"/>
      <c r="GF41" s="28"/>
      <c r="GG41" s="28"/>
      <c r="GH41" s="28"/>
      <c r="GI41" s="28"/>
      <c r="GJ41" s="28"/>
      <c r="GK41" s="28"/>
      <c r="GL41" s="28"/>
      <c r="GM41" s="28"/>
      <c r="GN41" s="28"/>
      <c r="GO41" s="28"/>
      <c r="GP41" s="28"/>
      <c r="GQ41" s="28"/>
      <c r="GR41" s="28"/>
      <c r="GS41" s="28"/>
      <c r="GV41" s="34"/>
      <c r="GW41" s="34"/>
    </row>
    <row r="42" spans="1:205" ht="19.5" customHeight="1" x14ac:dyDescent="0.2">
      <c r="A42" s="32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  <c r="FS42" s="28"/>
      <c r="FT42" s="28"/>
      <c r="FU42" s="28"/>
      <c r="FV42" s="28"/>
      <c r="FW42" s="28"/>
      <c r="FX42" s="28"/>
      <c r="FY42" s="28"/>
      <c r="FZ42" s="28"/>
      <c r="GA42" s="28"/>
      <c r="GB42" s="28"/>
      <c r="GC42" s="28"/>
      <c r="GD42" s="28"/>
      <c r="GE42" s="28"/>
      <c r="GF42" s="28"/>
      <c r="GG42" s="28"/>
      <c r="GH42" s="28"/>
      <c r="GI42" s="28"/>
      <c r="GJ42" s="28"/>
      <c r="GK42" s="28"/>
      <c r="GL42" s="28"/>
      <c r="GM42" s="28"/>
      <c r="GN42" s="28"/>
      <c r="GO42" s="28"/>
      <c r="GP42" s="28"/>
      <c r="GQ42" s="28"/>
      <c r="GR42" s="28"/>
      <c r="GS42" s="28"/>
      <c r="GV42" s="34"/>
      <c r="GW42" s="34"/>
    </row>
    <row r="43" spans="1:205" ht="19.5" customHeight="1" x14ac:dyDescent="0.2">
      <c r="A43" s="32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28"/>
      <c r="FE43" s="28"/>
      <c r="FF43" s="28"/>
      <c r="FG43" s="28"/>
      <c r="FH43" s="28"/>
      <c r="FI43" s="28"/>
      <c r="FJ43" s="28"/>
      <c r="FK43" s="28"/>
      <c r="FL43" s="28"/>
      <c r="FM43" s="28"/>
      <c r="FN43" s="28"/>
      <c r="FO43" s="28"/>
      <c r="FP43" s="28"/>
      <c r="FQ43" s="28"/>
      <c r="FR43" s="28"/>
      <c r="FS43" s="28"/>
      <c r="FT43" s="28"/>
      <c r="FU43" s="28"/>
      <c r="FV43" s="28"/>
      <c r="FW43" s="28"/>
      <c r="FX43" s="28"/>
      <c r="FY43" s="28"/>
      <c r="FZ43" s="28"/>
      <c r="GA43" s="28"/>
      <c r="GB43" s="28"/>
      <c r="GC43" s="28"/>
      <c r="GD43" s="28"/>
      <c r="GE43" s="28"/>
      <c r="GF43" s="28"/>
      <c r="GG43" s="28"/>
      <c r="GH43" s="28"/>
      <c r="GI43" s="28"/>
      <c r="GJ43" s="28"/>
      <c r="GK43" s="28"/>
      <c r="GL43" s="28"/>
      <c r="GM43" s="28"/>
      <c r="GN43" s="28"/>
      <c r="GO43" s="28"/>
      <c r="GP43" s="28"/>
      <c r="GQ43" s="28"/>
      <c r="GR43" s="28"/>
      <c r="GS43" s="28"/>
      <c r="GV43" s="34"/>
      <c r="GW43" s="34"/>
    </row>
    <row r="44" spans="1:205" ht="19.5" customHeight="1" x14ac:dyDescent="0.2">
      <c r="A44" s="32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28"/>
      <c r="EI44" s="28"/>
      <c r="EJ44" s="28"/>
      <c r="EK44" s="28"/>
      <c r="EL44" s="28"/>
      <c r="EM44" s="28"/>
      <c r="EN44" s="28"/>
      <c r="EO44" s="28"/>
      <c r="EP44" s="28"/>
      <c r="EQ44" s="28"/>
      <c r="ER44" s="28"/>
      <c r="ES44" s="28"/>
      <c r="ET44" s="28"/>
      <c r="EU44" s="28"/>
      <c r="EV44" s="28"/>
      <c r="EW44" s="28"/>
      <c r="EX44" s="28"/>
      <c r="EY44" s="28"/>
      <c r="EZ44" s="28"/>
      <c r="FA44" s="28"/>
      <c r="FB44" s="28"/>
      <c r="FC44" s="28"/>
      <c r="FD44" s="28"/>
      <c r="FE44" s="28"/>
      <c r="FF44" s="28"/>
      <c r="FG44" s="28"/>
      <c r="FH44" s="28"/>
      <c r="FI44" s="28"/>
      <c r="FJ44" s="28"/>
      <c r="FK44" s="28"/>
      <c r="FL44" s="28"/>
      <c r="FM44" s="28"/>
      <c r="FN44" s="28"/>
      <c r="FO44" s="28"/>
      <c r="FP44" s="28"/>
      <c r="FQ44" s="28"/>
      <c r="FR44" s="28"/>
      <c r="FS44" s="28"/>
      <c r="FT44" s="28"/>
      <c r="FU44" s="28"/>
      <c r="FV44" s="28"/>
      <c r="FW44" s="28"/>
      <c r="FX44" s="28"/>
      <c r="FY44" s="28"/>
      <c r="FZ44" s="28"/>
      <c r="GA44" s="28"/>
      <c r="GB44" s="28"/>
      <c r="GC44" s="28"/>
      <c r="GD44" s="28"/>
      <c r="GE44" s="28"/>
      <c r="GF44" s="28"/>
      <c r="GG44" s="28"/>
      <c r="GH44" s="28"/>
      <c r="GI44" s="28"/>
      <c r="GJ44" s="28"/>
      <c r="GK44" s="28"/>
      <c r="GL44" s="28"/>
      <c r="GM44" s="28"/>
      <c r="GN44" s="28"/>
      <c r="GO44" s="28"/>
      <c r="GP44" s="28"/>
      <c r="GQ44" s="28"/>
      <c r="GR44" s="28"/>
      <c r="GS44" s="28"/>
      <c r="GV44" s="34"/>
      <c r="GW44" s="34"/>
    </row>
    <row r="45" spans="1:205" ht="19.5" customHeight="1" x14ac:dyDescent="0.2">
      <c r="A45" s="32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8"/>
      <c r="FG45" s="28"/>
      <c r="FH45" s="28"/>
      <c r="FI45" s="28"/>
      <c r="FJ45" s="28"/>
      <c r="FK45" s="28"/>
      <c r="FL45" s="28"/>
      <c r="FM45" s="28"/>
      <c r="FN45" s="28"/>
      <c r="FO45" s="28"/>
      <c r="FP45" s="28"/>
      <c r="FQ45" s="28"/>
      <c r="FR45" s="28"/>
      <c r="FS45" s="28"/>
      <c r="FT45" s="28"/>
      <c r="FU45" s="28"/>
      <c r="FV45" s="28"/>
      <c r="FW45" s="28"/>
      <c r="FX45" s="28"/>
      <c r="FY45" s="28"/>
      <c r="FZ45" s="28"/>
      <c r="GA45" s="28"/>
      <c r="GB45" s="28"/>
      <c r="GC45" s="28"/>
      <c r="GD45" s="28"/>
      <c r="GE45" s="28"/>
      <c r="GF45" s="28"/>
      <c r="GG45" s="28"/>
      <c r="GH45" s="28"/>
      <c r="GI45" s="28"/>
      <c r="GJ45" s="28"/>
      <c r="GK45" s="28"/>
      <c r="GL45" s="28"/>
      <c r="GM45" s="28"/>
      <c r="GN45" s="28"/>
      <c r="GO45" s="28"/>
      <c r="GP45" s="28"/>
      <c r="GQ45" s="28"/>
      <c r="GR45" s="28"/>
      <c r="GS45" s="28"/>
      <c r="GV45" s="34"/>
      <c r="GW45" s="34"/>
    </row>
    <row r="46" spans="1:205" ht="19.5" customHeight="1" x14ac:dyDescent="0.2">
      <c r="A46" s="32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28"/>
      <c r="FA46" s="28"/>
      <c r="FB46" s="28"/>
      <c r="FC46" s="28"/>
      <c r="FD46" s="28"/>
      <c r="FE46" s="28"/>
      <c r="FF46" s="28"/>
      <c r="FG46" s="28"/>
      <c r="FH46" s="28"/>
      <c r="FI46" s="28"/>
      <c r="FJ46" s="28"/>
      <c r="FK46" s="28"/>
      <c r="FL46" s="28"/>
      <c r="FM46" s="28"/>
      <c r="FN46" s="28"/>
      <c r="FO46" s="28"/>
      <c r="FP46" s="28"/>
      <c r="FQ46" s="28"/>
      <c r="FR46" s="28"/>
      <c r="FS46" s="28"/>
      <c r="FT46" s="28"/>
      <c r="FU46" s="28"/>
      <c r="FV46" s="28"/>
      <c r="FW46" s="28"/>
      <c r="FX46" s="28"/>
      <c r="FY46" s="28"/>
      <c r="FZ46" s="28"/>
      <c r="GA46" s="28"/>
      <c r="GB46" s="28"/>
      <c r="GC46" s="28"/>
      <c r="GD46" s="28"/>
      <c r="GE46" s="28"/>
      <c r="GF46" s="28"/>
      <c r="GG46" s="28"/>
      <c r="GH46" s="28"/>
      <c r="GI46" s="28"/>
      <c r="GJ46" s="28"/>
      <c r="GK46" s="28"/>
      <c r="GL46" s="28"/>
      <c r="GM46" s="28"/>
      <c r="GN46" s="28"/>
      <c r="GO46" s="28"/>
      <c r="GP46" s="28"/>
      <c r="GQ46" s="28"/>
      <c r="GR46" s="28"/>
      <c r="GS46" s="28"/>
      <c r="GV46" s="34"/>
      <c r="GW46" s="34"/>
    </row>
    <row r="47" spans="1:205" ht="19.5" customHeight="1" x14ac:dyDescent="0.2">
      <c r="A47" s="32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  <c r="FF47" s="28"/>
      <c r="FG47" s="28"/>
      <c r="FH47" s="28"/>
      <c r="FI47" s="28"/>
      <c r="FJ47" s="28"/>
      <c r="FK47" s="28"/>
      <c r="FL47" s="28"/>
      <c r="FM47" s="28"/>
      <c r="FN47" s="28"/>
      <c r="FO47" s="28"/>
      <c r="FP47" s="28"/>
      <c r="FQ47" s="28"/>
      <c r="FR47" s="28"/>
      <c r="FS47" s="28"/>
      <c r="FT47" s="28"/>
      <c r="FU47" s="28"/>
      <c r="FV47" s="28"/>
      <c r="FW47" s="28"/>
      <c r="FX47" s="28"/>
      <c r="FY47" s="28"/>
      <c r="FZ47" s="28"/>
      <c r="GA47" s="28"/>
      <c r="GB47" s="28"/>
      <c r="GC47" s="28"/>
      <c r="GD47" s="28"/>
      <c r="GE47" s="28"/>
      <c r="GF47" s="28"/>
      <c r="GG47" s="28"/>
      <c r="GH47" s="28"/>
      <c r="GI47" s="28"/>
      <c r="GJ47" s="28"/>
      <c r="GK47" s="28"/>
      <c r="GL47" s="28"/>
      <c r="GM47" s="28"/>
      <c r="GN47" s="28"/>
      <c r="GO47" s="28"/>
      <c r="GP47" s="28"/>
      <c r="GQ47" s="28"/>
      <c r="GR47" s="28"/>
      <c r="GS47" s="28"/>
      <c r="GV47" s="34"/>
      <c r="GW47" s="34"/>
    </row>
    <row r="48" spans="1:205" ht="19.5" customHeight="1" x14ac:dyDescent="0.2">
      <c r="A48" s="32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  <c r="FI48" s="28"/>
      <c r="FJ48" s="28"/>
      <c r="FK48" s="28"/>
      <c r="FL48" s="28"/>
      <c r="FM48" s="28"/>
      <c r="FN48" s="28"/>
      <c r="FO48" s="28"/>
      <c r="FP48" s="28"/>
      <c r="FQ48" s="28"/>
      <c r="FR48" s="28"/>
      <c r="FS48" s="28"/>
      <c r="FT48" s="28"/>
      <c r="FU48" s="28"/>
      <c r="FV48" s="28"/>
      <c r="FW48" s="28"/>
      <c r="FX48" s="28"/>
      <c r="FY48" s="28"/>
      <c r="FZ48" s="28"/>
      <c r="GA48" s="28"/>
      <c r="GB48" s="28"/>
      <c r="GC48" s="28"/>
      <c r="GD48" s="28"/>
      <c r="GE48" s="28"/>
      <c r="GF48" s="28"/>
      <c r="GG48" s="28"/>
      <c r="GH48" s="28"/>
      <c r="GI48" s="28"/>
      <c r="GJ48" s="28"/>
      <c r="GK48" s="28"/>
      <c r="GL48" s="28"/>
      <c r="GM48" s="28"/>
      <c r="GN48" s="28"/>
      <c r="GO48" s="28"/>
      <c r="GP48" s="28"/>
      <c r="GQ48" s="28"/>
      <c r="GR48" s="28"/>
      <c r="GS48" s="28"/>
      <c r="GV48" s="34"/>
      <c r="GW48" s="34"/>
    </row>
    <row r="49" spans="1:205" ht="19.5" customHeight="1" x14ac:dyDescent="0.2">
      <c r="A49" s="32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28"/>
      <c r="ES49" s="28"/>
      <c r="ET49" s="28"/>
      <c r="EU49" s="28"/>
      <c r="EV49" s="28"/>
      <c r="EW49" s="28"/>
      <c r="EX49" s="28"/>
      <c r="EY49" s="28"/>
      <c r="EZ49" s="28"/>
      <c r="FA49" s="28"/>
      <c r="FB49" s="28"/>
      <c r="FC49" s="28"/>
      <c r="FD49" s="28"/>
      <c r="FE49" s="28"/>
      <c r="FF49" s="28"/>
      <c r="FG49" s="28"/>
      <c r="FH49" s="28"/>
      <c r="FI49" s="28"/>
      <c r="FJ49" s="28"/>
      <c r="FK49" s="28"/>
      <c r="FL49" s="28"/>
      <c r="FM49" s="28"/>
      <c r="FN49" s="28"/>
      <c r="FO49" s="28"/>
      <c r="FP49" s="28"/>
      <c r="FQ49" s="28"/>
      <c r="FR49" s="28"/>
      <c r="FS49" s="28"/>
      <c r="FT49" s="28"/>
      <c r="FU49" s="28"/>
      <c r="FV49" s="28"/>
      <c r="FW49" s="28"/>
      <c r="FX49" s="28"/>
      <c r="FY49" s="28"/>
      <c r="FZ49" s="28"/>
      <c r="GA49" s="28"/>
      <c r="GB49" s="28"/>
      <c r="GC49" s="28"/>
      <c r="GD49" s="28"/>
      <c r="GE49" s="28"/>
      <c r="GF49" s="28"/>
      <c r="GG49" s="28"/>
      <c r="GH49" s="28"/>
      <c r="GI49" s="28"/>
      <c r="GJ49" s="28"/>
      <c r="GK49" s="28"/>
      <c r="GL49" s="28"/>
      <c r="GM49" s="28"/>
      <c r="GN49" s="28"/>
      <c r="GO49" s="28"/>
      <c r="GP49" s="28"/>
      <c r="GQ49" s="28"/>
      <c r="GR49" s="28"/>
      <c r="GS49" s="28"/>
      <c r="GV49" s="34"/>
      <c r="GW49" s="34"/>
    </row>
    <row r="50" spans="1:205" ht="19.5" customHeight="1" x14ac:dyDescent="0.2">
      <c r="A50" s="32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  <c r="FM50" s="28"/>
      <c r="FN50" s="28"/>
      <c r="FO50" s="28"/>
      <c r="FP50" s="28"/>
      <c r="FQ50" s="28"/>
      <c r="FR50" s="28"/>
      <c r="FS50" s="28"/>
      <c r="FT50" s="28"/>
      <c r="FU50" s="28"/>
      <c r="FV50" s="28"/>
      <c r="FW50" s="28"/>
      <c r="FX50" s="28"/>
      <c r="FY50" s="28"/>
      <c r="FZ50" s="28"/>
      <c r="GA50" s="28"/>
      <c r="GB50" s="28"/>
      <c r="GC50" s="28"/>
      <c r="GD50" s="28"/>
      <c r="GE50" s="28"/>
      <c r="GF50" s="28"/>
      <c r="GG50" s="28"/>
      <c r="GH50" s="28"/>
      <c r="GI50" s="28"/>
      <c r="GJ50" s="28"/>
      <c r="GK50" s="28"/>
      <c r="GL50" s="28"/>
      <c r="GM50" s="28"/>
      <c r="GN50" s="28"/>
      <c r="GO50" s="28"/>
      <c r="GP50" s="28"/>
      <c r="GQ50" s="28"/>
      <c r="GR50" s="28"/>
      <c r="GS50" s="28"/>
      <c r="GV50" s="34"/>
      <c r="GW50" s="34"/>
    </row>
    <row r="51" spans="1:205" ht="19.5" customHeight="1" x14ac:dyDescent="0.2">
      <c r="A51" s="32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  <c r="EP51" s="28"/>
      <c r="EQ51" s="28"/>
      <c r="ER51" s="28"/>
      <c r="ES51" s="28"/>
      <c r="ET51" s="28"/>
      <c r="EU51" s="28"/>
      <c r="EV51" s="28"/>
      <c r="EW51" s="28"/>
      <c r="EX51" s="28"/>
      <c r="EY51" s="28"/>
      <c r="EZ51" s="28"/>
      <c r="FA51" s="28"/>
      <c r="FB51" s="28"/>
      <c r="FC51" s="28"/>
      <c r="FD51" s="28"/>
      <c r="FE51" s="28"/>
      <c r="FF51" s="28"/>
      <c r="FG51" s="28"/>
      <c r="FH51" s="28"/>
      <c r="FI51" s="28"/>
      <c r="FJ51" s="28"/>
      <c r="FK51" s="28"/>
      <c r="FL51" s="28"/>
      <c r="FM51" s="28"/>
      <c r="FN51" s="28"/>
      <c r="FO51" s="28"/>
      <c r="FP51" s="28"/>
      <c r="FQ51" s="28"/>
      <c r="FR51" s="28"/>
      <c r="FS51" s="28"/>
      <c r="FT51" s="28"/>
      <c r="FU51" s="28"/>
      <c r="FV51" s="28"/>
      <c r="FW51" s="28"/>
      <c r="FX51" s="28"/>
      <c r="FY51" s="28"/>
      <c r="FZ51" s="28"/>
      <c r="GA51" s="28"/>
      <c r="GB51" s="28"/>
      <c r="GC51" s="28"/>
      <c r="GD51" s="28"/>
      <c r="GE51" s="28"/>
      <c r="GF51" s="28"/>
      <c r="GG51" s="28"/>
      <c r="GH51" s="28"/>
      <c r="GI51" s="28"/>
      <c r="GJ51" s="28"/>
      <c r="GK51" s="28"/>
      <c r="GL51" s="28"/>
      <c r="GM51" s="28"/>
      <c r="GN51" s="28"/>
      <c r="GO51" s="28"/>
      <c r="GP51" s="28"/>
      <c r="GQ51" s="28"/>
      <c r="GR51" s="28"/>
      <c r="GS51" s="28"/>
      <c r="GV51" s="34"/>
      <c r="GW51" s="34"/>
    </row>
    <row r="52" spans="1:205" ht="19.5" customHeight="1" x14ac:dyDescent="0.2">
      <c r="A52" s="32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28"/>
      <c r="EI52" s="28"/>
      <c r="EJ52" s="28"/>
      <c r="EK52" s="28"/>
      <c r="EL52" s="28"/>
      <c r="EM52" s="28"/>
      <c r="EN52" s="28"/>
      <c r="EO52" s="28"/>
      <c r="EP52" s="28"/>
      <c r="EQ52" s="28"/>
      <c r="ER52" s="28"/>
      <c r="ES52" s="28"/>
      <c r="ET52" s="28"/>
      <c r="EU52" s="28"/>
      <c r="EV52" s="28"/>
      <c r="EW52" s="28"/>
      <c r="EX52" s="28"/>
      <c r="EY52" s="28"/>
      <c r="EZ52" s="28"/>
      <c r="FA52" s="28"/>
      <c r="FB52" s="28"/>
      <c r="FC52" s="28"/>
      <c r="FD52" s="28"/>
      <c r="FE52" s="28"/>
      <c r="FF52" s="28"/>
      <c r="FG52" s="28"/>
      <c r="FH52" s="28"/>
      <c r="FI52" s="28"/>
      <c r="FJ52" s="28"/>
      <c r="FK52" s="28"/>
      <c r="FL52" s="28"/>
      <c r="FM52" s="28"/>
      <c r="FN52" s="28"/>
      <c r="FO52" s="28"/>
      <c r="FP52" s="28"/>
      <c r="FQ52" s="28"/>
      <c r="FR52" s="28"/>
      <c r="FS52" s="28"/>
      <c r="FT52" s="28"/>
      <c r="FU52" s="28"/>
      <c r="FV52" s="28"/>
      <c r="FW52" s="28"/>
      <c r="FX52" s="28"/>
      <c r="FY52" s="28"/>
      <c r="FZ52" s="28"/>
      <c r="GA52" s="28"/>
      <c r="GB52" s="28"/>
      <c r="GC52" s="28"/>
      <c r="GD52" s="28"/>
      <c r="GE52" s="28"/>
      <c r="GF52" s="28"/>
      <c r="GG52" s="28"/>
      <c r="GH52" s="28"/>
      <c r="GI52" s="28"/>
      <c r="GJ52" s="28"/>
      <c r="GK52" s="28"/>
      <c r="GL52" s="28"/>
      <c r="GM52" s="28"/>
      <c r="GN52" s="28"/>
      <c r="GO52" s="28"/>
      <c r="GP52" s="28"/>
      <c r="GQ52" s="28"/>
      <c r="GR52" s="28"/>
      <c r="GS52" s="28"/>
      <c r="GV52" s="34"/>
      <c r="GW52" s="34"/>
    </row>
    <row r="53" spans="1:205" ht="19.5" customHeight="1" x14ac:dyDescent="0.2">
      <c r="A53" s="32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8"/>
      <c r="EQ53" s="28"/>
      <c r="ER53" s="28"/>
      <c r="ES53" s="28"/>
      <c r="ET53" s="28"/>
      <c r="EU53" s="28"/>
      <c r="EV53" s="28"/>
      <c r="EW53" s="28"/>
      <c r="EX53" s="28"/>
      <c r="EY53" s="28"/>
      <c r="EZ53" s="28"/>
      <c r="FA53" s="28"/>
      <c r="FB53" s="28"/>
      <c r="FC53" s="28"/>
      <c r="FD53" s="28"/>
      <c r="FE53" s="28"/>
      <c r="FF53" s="28"/>
      <c r="FG53" s="28"/>
      <c r="FH53" s="28"/>
      <c r="FI53" s="28"/>
      <c r="FJ53" s="28"/>
      <c r="FK53" s="28"/>
      <c r="FL53" s="28"/>
      <c r="FM53" s="28"/>
      <c r="FN53" s="28"/>
      <c r="FO53" s="28"/>
      <c r="FP53" s="28"/>
      <c r="FQ53" s="28"/>
      <c r="FR53" s="28"/>
      <c r="FS53" s="28"/>
      <c r="FT53" s="28"/>
      <c r="FU53" s="28"/>
      <c r="FV53" s="28"/>
      <c r="FW53" s="28"/>
      <c r="FX53" s="28"/>
      <c r="FY53" s="28"/>
      <c r="FZ53" s="28"/>
      <c r="GA53" s="28"/>
      <c r="GB53" s="28"/>
      <c r="GC53" s="28"/>
      <c r="GD53" s="28"/>
      <c r="GE53" s="28"/>
      <c r="GF53" s="28"/>
      <c r="GG53" s="28"/>
      <c r="GH53" s="28"/>
      <c r="GI53" s="28"/>
      <c r="GJ53" s="28"/>
      <c r="GK53" s="28"/>
      <c r="GL53" s="28"/>
      <c r="GM53" s="28"/>
      <c r="GN53" s="28"/>
      <c r="GO53" s="28"/>
      <c r="GP53" s="28"/>
      <c r="GQ53" s="28"/>
      <c r="GR53" s="28"/>
      <c r="GS53" s="28"/>
      <c r="GV53" s="34"/>
      <c r="GW53" s="34"/>
    </row>
    <row r="54" spans="1:205" ht="19.5" customHeight="1" x14ac:dyDescent="0.2">
      <c r="A54" s="32"/>
      <c r="GV54" s="34"/>
      <c r="GW54" s="34"/>
    </row>
    <row r="55" spans="1:205" ht="19.5" customHeight="1" x14ac:dyDescent="0.2">
      <c r="A55" s="32"/>
      <c r="GV55" s="36" t="s">
        <v>282</v>
      </c>
    </row>
    <row r="56" spans="1:205" ht="19.5" customHeight="1" x14ac:dyDescent="0.2">
      <c r="A56" s="32"/>
    </row>
    <row r="57" spans="1:205" ht="19.5" customHeight="1" x14ac:dyDescent="0.2">
      <c r="A57" s="32"/>
    </row>
    <row r="58" spans="1:205" ht="19.5" customHeight="1" x14ac:dyDescent="0.2">
      <c r="A58" s="32"/>
    </row>
    <row r="59" spans="1:205" ht="19.5" customHeight="1" x14ac:dyDescent="0.2">
      <c r="A59" s="32"/>
    </row>
    <row r="60" spans="1:205" ht="19.5" customHeight="1" x14ac:dyDescent="0.2">
      <c r="A60" s="32"/>
    </row>
    <row r="61" spans="1:205" ht="19.5" customHeight="1" x14ac:dyDescent="0.2">
      <c r="A61" s="32"/>
    </row>
    <row r="62" spans="1:205" ht="19.5" customHeight="1" x14ac:dyDescent="0.2">
      <c r="A62" s="32"/>
    </row>
    <row r="63" spans="1:205" ht="19.5" customHeight="1" x14ac:dyDescent="0.2">
      <c r="A63" s="32"/>
    </row>
    <row r="64" spans="1:205" ht="19.5" customHeight="1" x14ac:dyDescent="0.2">
      <c r="A64" s="32"/>
    </row>
    <row r="65" spans="1:1" ht="19.5" customHeight="1" x14ac:dyDescent="0.2">
      <c r="A65" s="32"/>
    </row>
    <row r="66" spans="1:1" ht="19.5" customHeight="1" x14ac:dyDescent="0.2">
      <c r="A66" s="32"/>
    </row>
    <row r="67" spans="1:1" ht="19.5" customHeight="1" x14ac:dyDescent="0.2">
      <c r="A67" s="32"/>
    </row>
    <row r="68" spans="1:1" ht="19.5" customHeight="1" x14ac:dyDescent="0.2">
      <c r="A68" s="32"/>
    </row>
    <row r="69" spans="1:1" ht="19.5" customHeight="1" x14ac:dyDescent="0.2">
      <c r="A69" s="32"/>
    </row>
    <row r="70" spans="1:1" ht="19.5" customHeight="1" x14ac:dyDescent="0.2">
      <c r="A70" s="32"/>
    </row>
    <row r="71" spans="1:1" ht="19.5" customHeight="1" x14ac:dyDescent="0.2">
      <c r="A71" s="32"/>
    </row>
    <row r="72" spans="1:1" ht="19.5" customHeight="1" x14ac:dyDescent="0.2">
      <c r="A72" s="32"/>
    </row>
    <row r="73" spans="1:1" ht="19.5" customHeight="1" x14ac:dyDescent="0.2">
      <c r="A73" s="32"/>
    </row>
    <row r="74" spans="1:1" ht="19.5" customHeight="1" x14ac:dyDescent="0.2">
      <c r="A74" s="32"/>
    </row>
    <row r="75" spans="1:1" ht="19.5" customHeight="1" x14ac:dyDescent="0.2">
      <c r="A75" s="32"/>
    </row>
    <row r="76" spans="1:1" ht="19.5" customHeight="1" x14ac:dyDescent="0.2">
      <c r="A76" s="32"/>
    </row>
    <row r="77" spans="1:1" ht="19.5" customHeight="1" x14ac:dyDescent="0.2">
      <c r="A77" s="32"/>
    </row>
    <row r="78" spans="1:1" ht="19.5" customHeight="1" x14ac:dyDescent="0.2">
      <c r="A78" s="32"/>
    </row>
    <row r="79" spans="1:1" ht="19.5" customHeight="1" x14ac:dyDescent="0.2">
      <c r="A79" s="32"/>
    </row>
    <row r="80" spans="1:1" ht="19.5" customHeight="1" x14ac:dyDescent="0.2">
      <c r="A80" s="32"/>
    </row>
    <row r="81" spans="1:1" ht="19.5" customHeight="1" x14ac:dyDescent="0.2">
      <c r="A81" s="32"/>
    </row>
    <row r="82" spans="1:1" ht="19.5" customHeight="1" x14ac:dyDescent="0.2">
      <c r="A82" s="32"/>
    </row>
    <row r="83" spans="1:1" ht="19.5" customHeight="1" x14ac:dyDescent="0.2">
      <c r="A83" s="32"/>
    </row>
    <row r="84" spans="1:1" ht="19.5" customHeight="1" x14ac:dyDescent="0.2">
      <c r="A84" s="32"/>
    </row>
    <row r="85" spans="1:1" ht="19.5" customHeight="1" x14ac:dyDescent="0.2">
      <c r="A85" s="32"/>
    </row>
    <row r="86" spans="1:1" ht="19.5" customHeight="1" x14ac:dyDescent="0.2">
      <c r="A86" s="32"/>
    </row>
    <row r="87" spans="1:1" ht="19.5" customHeight="1" x14ac:dyDescent="0.2">
      <c r="A87" s="32"/>
    </row>
    <row r="88" spans="1:1" ht="19.5" customHeight="1" x14ac:dyDescent="0.2">
      <c r="A88" s="32"/>
    </row>
    <row r="89" spans="1:1" ht="19.5" customHeight="1" x14ac:dyDescent="0.2">
      <c r="A89" s="32"/>
    </row>
    <row r="90" spans="1:1" ht="19.5" customHeight="1" x14ac:dyDescent="0.2">
      <c r="A90" s="32"/>
    </row>
    <row r="91" spans="1:1" ht="19.5" customHeight="1" x14ac:dyDescent="0.2">
      <c r="A91" s="32"/>
    </row>
    <row r="92" spans="1:1" ht="19.5" customHeight="1" x14ac:dyDescent="0.2">
      <c r="A92" s="32"/>
    </row>
    <row r="93" spans="1:1" ht="19.5" customHeight="1" x14ac:dyDescent="0.2">
      <c r="A93" s="32"/>
    </row>
    <row r="94" spans="1:1" ht="19.5" customHeight="1" x14ac:dyDescent="0.2">
      <c r="A94" s="32"/>
    </row>
    <row r="95" spans="1:1" ht="19.5" customHeight="1" x14ac:dyDescent="0.2">
      <c r="A95" s="32"/>
    </row>
    <row r="96" spans="1:1" ht="19.5" customHeight="1" x14ac:dyDescent="0.2">
      <c r="A96" s="32"/>
    </row>
    <row r="97" spans="1:1" ht="19.5" customHeight="1" x14ac:dyDescent="0.2">
      <c r="A97" s="32"/>
    </row>
    <row r="98" spans="1:1" ht="19.5" customHeight="1" x14ac:dyDescent="0.2">
      <c r="A98" s="32"/>
    </row>
    <row r="99" spans="1:1" ht="19.5" customHeight="1" x14ac:dyDescent="0.2">
      <c r="A99" s="32"/>
    </row>
    <row r="100" spans="1:1" ht="19.5" customHeight="1" x14ac:dyDescent="0.2">
      <c r="A100" s="32"/>
    </row>
    <row r="101" spans="1:1" ht="19.5" customHeight="1" x14ac:dyDescent="0.2">
      <c r="A101" s="32"/>
    </row>
    <row r="102" spans="1:1" ht="19.5" customHeight="1" x14ac:dyDescent="0.2">
      <c r="A102" s="32"/>
    </row>
    <row r="103" spans="1:1" ht="19.5" customHeight="1" x14ac:dyDescent="0.2">
      <c r="A103" s="32"/>
    </row>
    <row r="104" spans="1:1" ht="19.5" customHeight="1" x14ac:dyDescent="0.2">
      <c r="A104" s="32"/>
    </row>
    <row r="105" spans="1:1" ht="19.5" customHeight="1" x14ac:dyDescent="0.2">
      <c r="A105" s="32"/>
    </row>
    <row r="106" spans="1:1" ht="19.5" customHeight="1" x14ac:dyDescent="0.2">
      <c r="A106" s="32"/>
    </row>
    <row r="107" spans="1:1" ht="19.5" customHeight="1" x14ac:dyDescent="0.2">
      <c r="A107" s="32"/>
    </row>
    <row r="108" spans="1:1" ht="19.5" customHeight="1" x14ac:dyDescent="0.2">
      <c r="A108" s="32"/>
    </row>
    <row r="109" spans="1:1" ht="19.5" customHeight="1" x14ac:dyDescent="0.2">
      <c r="A109" s="32"/>
    </row>
    <row r="110" spans="1:1" ht="19.5" customHeight="1" x14ac:dyDescent="0.2">
      <c r="A110" s="32"/>
    </row>
    <row r="111" spans="1:1" ht="19.5" customHeight="1" x14ac:dyDescent="0.2">
      <c r="A111" s="32"/>
    </row>
    <row r="112" spans="1:1" ht="19.5" customHeight="1" x14ac:dyDescent="0.2">
      <c r="A112" s="32"/>
    </row>
    <row r="113" spans="1:1" ht="19.5" customHeight="1" x14ac:dyDescent="0.2">
      <c r="A113" s="32"/>
    </row>
    <row r="114" spans="1:1" ht="19.5" customHeight="1" x14ac:dyDescent="0.2">
      <c r="A114" s="32"/>
    </row>
    <row r="115" spans="1:1" ht="19.5" customHeight="1" x14ac:dyDescent="0.2">
      <c r="A115" s="32"/>
    </row>
    <row r="116" spans="1:1" ht="19.5" customHeight="1" x14ac:dyDescent="0.2">
      <c r="A116" s="32"/>
    </row>
    <row r="117" spans="1:1" ht="19.5" customHeight="1" x14ac:dyDescent="0.2">
      <c r="A117" s="32"/>
    </row>
    <row r="118" spans="1:1" ht="19.5" customHeight="1" x14ac:dyDescent="0.2">
      <c r="A118" s="32"/>
    </row>
    <row r="119" spans="1:1" ht="19.5" customHeight="1" x14ac:dyDescent="0.2">
      <c r="A119" s="32"/>
    </row>
    <row r="120" spans="1:1" ht="19.5" customHeight="1" x14ac:dyDescent="0.2">
      <c r="A120" s="32"/>
    </row>
    <row r="121" spans="1:1" ht="19.5" customHeight="1" x14ac:dyDescent="0.2">
      <c r="A121" s="32"/>
    </row>
    <row r="122" spans="1:1" ht="19.5" customHeight="1" x14ac:dyDescent="0.2">
      <c r="A122" s="32"/>
    </row>
    <row r="123" spans="1:1" ht="19.5" customHeight="1" x14ac:dyDescent="0.2">
      <c r="A123" s="32"/>
    </row>
    <row r="124" spans="1:1" ht="19.5" customHeight="1" x14ac:dyDescent="0.2">
      <c r="A124" s="32"/>
    </row>
    <row r="125" spans="1:1" ht="19.5" customHeight="1" x14ac:dyDescent="0.2">
      <c r="A125" s="32"/>
    </row>
    <row r="126" spans="1:1" ht="19.5" customHeight="1" x14ac:dyDescent="0.2">
      <c r="A126" s="32"/>
    </row>
    <row r="127" spans="1:1" ht="19.5" customHeight="1" x14ac:dyDescent="0.2">
      <c r="A127" s="32"/>
    </row>
    <row r="128" spans="1:1" ht="19.5" customHeight="1" x14ac:dyDescent="0.2">
      <c r="A128" s="32"/>
    </row>
    <row r="129" spans="1:1" ht="19.5" customHeight="1" x14ac:dyDescent="0.2">
      <c r="A129" s="32"/>
    </row>
    <row r="130" spans="1:1" ht="19.5" customHeight="1" x14ac:dyDescent="0.2">
      <c r="A130" s="32"/>
    </row>
    <row r="131" spans="1:1" ht="19.5" customHeight="1" x14ac:dyDescent="0.2">
      <c r="A131" s="32"/>
    </row>
    <row r="132" spans="1:1" ht="19.5" customHeight="1" x14ac:dyDescent="0.2">
      <c r="A132" s="32"/>
    </row>
    <row r="133" spans="1:1" ht="19.5" customHeight="1" x14ac:dyDescent="0.2">
      <c r="A133" s="32"/>
    </row>
    <row r="134" spans="1:1" ht="19.5" customHeight="1" x14ac:dyDescent="0.2">
      <c r="A134" s="32"/>
    </row>
    <row r="135" spans="1:1" ht="19.5" customHeight="1" x14ac:dyDescent="0.2">
      <c r="A135" s="32"/>
    </row>
    <row r="136" spans="1:1" ht="19.5" customHeight="1" x14ac:dyDescent="0.2">
      <c r="A136" s="32"/>
    </row>
    <row r="137" spans="1:1" ht="19.5" customHeight="1" x14ac:dyDescent="0.2">
      <c r="A137" s="32"/>
    </row>
    <row r="138" spans="1:1" ht="19.5" customHeight="1" x14ac:dyDescent="0.2">
      <c r="A138" s="32"/>
    </row>
    <row r="139" spans="1:1" ht="19.5" customHeight="1" x14ac:dyDescent="0.2">
      <c r="A139" s="32"/>
    </row>
    <row r="140" spans="1:1" ht="19.5" customHeight="1" x14ac:dyDescent="0.2">
      <c r="A140" s="32"/>
    </row>
    <row r="141" spans="1:1" ht="19.5" customHeight="1" x14ac:dyDescent="0.2">
      <c r="A141" s="32"/>
    </row>
    <row r="142" spans="1:1" ht="19.5" customHeight="1" x14ac:dyDescent="0.2">
      <c r="A142" s="32"/>
    </row>
    <row r="143" spans="1:1" ht="19.5" customHeight="1" x14ac:dyDescent="0.2">
      <c r="A143" s="32"/>
    </row>
    <row r="144" spans="1:1" ht="19.5" customHeight="1" x14ac:dyDescent="0.2">
      <c r="A144" s="32"/>
    </row>
    <row r="145" spans="1:1" ht="19.5" customHeight="1" x14ac:dyDescent="0.2">
      <c r="A145" s="32"/>
    </row>
    <row r="146" spans="1:1" ht="19.5" customHeight="1" x14ac:dyDescent="0.2">
      <c r="A146" s="32"/>
    </row>
    <row r="147" spans="1:1" ht="19.5" customHeight="1" x14ac:dyDescent="0.2">
      <c r="A147" s="32"/>
    </row>
    <row r="148" spans="1:1" ht="19.5" customHeight="1" x14ac:dyDescent="0.2">
      <c r="A148" s="32"/>
    </row>
    <row r="149" spans="1:1" ht="19.5" customHeight="1" x14ac:dyDescent="0.2">
      <c r="A149" s="32"/>
    </row>
    <row r="150" spans="1:1" ht="19.5" customHeight="1" x14ac:dyDescent="0.2">
      <c r="A150" s="32"/>
    </row>
    <row r="151" spans="1:1" ht="19.5" customHeight="1" x14ac:dyDescent="0.2">
      <c r="A151" s="32"/>
    </row>
    <row r="152" spans="1:1" ht="19.5" customHeight="1" x14ac:dyDescent="0.2">
      <c r="A152" s="32"/>
    </row>
    <row r="153" spans="1:1" ht="19.5" customHeight="1" x14ac:dyDescent="0.2">
      <c r="A153" s="32"/>
    </row>
    <row r="154" spans="1:1" ht="19.5" customHeight="1" x14ac:dyDescent="0.2">
      <c r="A154" s="32"/>
    </row>
    <row r="155" spans="1:1" ht="19.5" customHeight="1" x14ac:dyDescent="0.2">
      <c r="A155" s="32"/>
    </row>
    <row r="156" spans="1:1" ht="19.5" customHeight="1" x14ac:dyDescent="0.2">
      <c r="A156" s="32"/>
    </row>
    <row r="157" spans="1:1" ht="19.5" customHeight="1" x14ac:dyDescent="0.2">
      <c r="A157" s="32"/>
    </row>
    <row r="158" spans="1:1" ht="19.5" customHeight="1" x14ac:dyDescent="0.2">
      <c r="A158" s="32"/>
    </row>
    <row r="159" spans="1:1" ht="19.5" customHeight="1" x14ac:dyDescent="0.2">
      <c r="A159" s="32"/>
    </row>
    <row r="160" spans="1:1" ht="19.5" customHeight="1" x14ac:dyDescent="0.2">
      <c r="A160" s="32"/>
    </row>
    <row r="161" spans="1:1" ht="19.5" customHeight="1" x14ac:dyDescent="0.2">
      <c r="A161" s="32"/>
    </row>
    <row r="162" spans="1:1" ht="19.5" customHeight="1" x14ac:dyDescent="0.2">
      <c r="A162" s="32"/>
    </row>
    <row r="163" spans="1:1" ht="19.5" customHeight="1" x14ac:dyDescent="0.2">
      <c r="A163" s="32"/>
    </row>
    <row r="164" spans="1:1" ht="19.5" customHeight="1" x14ac:dyDescent="0.2">
      <c r="A164" s="32"/>
    </row>
    <row r="165" spans="1:1" ht="19.5" customHeight="1" x14ac:dyDescent="0.2">
      <c r="A165" s="32"/>
    </row>
    <row r="166" spans="1:1" ht="19.5" customHeight="1" x14ac:dyDescent="0.2">
      <c r="A166" s="32"/>
    </row>
    <row r="167" spans="1:1" ht="19.5" customHeight="1" x14ac:dyDescent="0.2">
      <c r="A167" s="32"/>
    </row>
    <row r="168" spans="1:1" ht="19.5" customHeight="1" x14ac:dyDescent="0.2">
      <c r="A168" s="32"/>
    </row>
    <row r="169" spans="1:1" ht="19.5" customHeight="1" x14ac:dyDescent="0.2">
      <c r="A169" s="32"/>
    </row>
    <row r="170" spans="1:1" ht="19.5" customHeight="1" x14ac:dyDescent="0.2">
      <c r="A170" s="32"/>
    </row>
    <row r="171" spans="1:1" ht="19.5" customHeight="1" x14ac:dyDescent="0.2">
      <c r="A171" s="32"/>
    </row>
    <row r="172" spans="1:1" ht="19.5" customHeight="1" x14ac:dyDescent="0.2">
      <c r="A172" s="32"/>
    </row>
    <row r="173" spans="1:1" ht="19.5" customHeight="1" x14ac:dyDescent="0.2">
      <c r="A173" s="32"/>
    </row>
    <row r="174" spans="1:1" ht="19.5" customHeight="1" x14ac:dyDescent="0.2">
      <c r="A174" s="32"/>
    </row>
    <row r="175" spans="1:1" ht="19.5" customHeight="1" x14ac:dyDescent="0.2">
      <c r="A175" s="32"/>
    </row>
    <row r="176" spans="1:1" ht="19.5" customHeight="1" x14ac:dyDescent="0.2">
      <c r="A176" s="32"/>
    </row>
    <row r="177" spans="1:1" ht="19.5" customHeight="1" x14ac:dyDescent="0.2">
      <c r="A177" s="32"/>
    </row>
    <row r="178" spans="1:1" ht="19.5" customHeight="1" x14ac:dyDescent="0.2">
      <c r="A178" s="32"/>
    </row>
    <row r="179" spans="1:1" ht="19.5" customHeight="1" x14ac:dyDescent="0.2">
      <c r="A179" s="32"/>
    </row>
    <row r="180" spans="1:1" ht="19.5" customHeight="1" x14ac:dyDescent="0.2">
      <c r="A180" s="32"/>
    </row>
    <row r="181" spans="1:1" ht="19.5" customHeight="1" x14ac:dyDescent="0.2">
      <c r="A181" s="32"/>
    </row>
    <row r="182" spans="1:1" ht="19.5" customHeight="1" x14ac:dyDescent="0.2">
      <c r="A182" s="32"/>
    </row>
    <row r="183" spans="1:1" ht="19.5" customHeight="1" x14ac:dyDescent="0.2">
      <c r="A183" s="32"/>
    </row>
    <row r="184" spans="1:1" ht="19.5" customHeight="1" x14ac:dyDescent="0.2">
      <c r="A184" s="32"/>
    </row>
    <row r="185" spans="1:1" ht="19.5" customHeight="1" x14ac:dyDescent="0.2">
      <c r="A185" s="32"/>
    </row>
    <row r="186" spans="1:1" ht="19.5" customHeight="1" x14ac:dyDescent="0.2">
      <c r="A186" s="32"/>
    </row>
    <row r="187" spans="1:1" ht="19.5" customHeight="1" x14ac:dyDescent="0.2">
      <c r="A187" s="32"/>
    </row>
    <row r="188" spans="1:1" ht="19.5" customHeight="1" x14ac:dyDescent="0.2">
      <c r="A188" s="32"/>
    </row>
    <row r="189" spans="1:1" ht="19.5" customHeight="1" x14ac:dyDescent="0.2">
      <c r="A189" s="32"/>
    </row>
    <row r="190" spans="1:1" ht="19.5" customHeight="1" x14ac:dyDescent="0.2">
      <c r="A190" s="32"/>
    </row>
    <row r="191" spans="1:1" ht="19.5" customHeight="1" x14ac:dyDescent="0.2">
      <c r="A191" s="32"/>
    </row>
    <row r="192" spans="1:1" ht="19.5" customHeight="1" x14ac:dyDescent="0.2">
      <c r="A192" s="32"/>
    </row>
    <row r="193" spans="1:1" ht="19.5" customHeight="1" x14ac:dyDescent="0.2">
      <c r="A193" s="32"/>
    </row>
    <row r="194" spans="1:1" ht="19.5" customHeight="1" x14ac:dyDescent="0.2">
      <c r="A194" s="32"/>
    </row>
    <row r="195" spans="1:1" ht="19.5" customHeight="1" x14ac:dyDescent="0.2">
      <c r="A195" s="32"/>
    </row>
    <row r="196" spans="1:1" ht="19.5" customHeight="1" x14ac:dyDescent="0.2">
      <c r="A196" s="32"/>
    </row>
    <row r="197" spans="1:1" ht="19.5" customHeight="1" x14ac:dyDescent="0.2">
      <c r="A197" s="32"/>
    </row>
    <row r="198" spans="1:1" ht="19.5" customHeight="1" x14ac:dyDescent="0.2">
      <c r="A198" s="32"/>
    </row>
    <row r="199" spans="1:1" ht="19.5" customHeight="1" x14ac:dyDescent="0.2">
      <c r="A199" s="32"/>
    </row>
    <row r="200" spans="1:1" ht="19.5" customHeight="1" x14ac:dyDescent="0.2">
      <c r="A200" s="32"/>
    </row>
    <row r="201" spans="1:1" ht="19.5" customHeight="1" x14ac:dyDescent="0.2">
      <c r="A201" s="32"/>
    </row>
    <row r="202" spans="1:1" ht="19.5" customHeight="1" x14ac:dyDescent="0.2">
      <c r="A202" s="32"/>
    </row>
    <row r="203" spans="1:1" ht="19.5" customHeight="1" x14ac:dyDescent="0.2">
      <c r="A203" s="32"/>
    </row>
  </sheetData>
  <mergeCells count="3">
    <mergeCell ref="A1:GS1"/>
    <mergeCell ref="A2:GS2"/>
    <mergeCell ref="GV3:GW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202</vt:i4>
      </vt:variant>
    </vt:vector>
  </HeadingPairs>
  <TitlesOfParts>
    <vt:vector size="206" baseType="lpstr">
      <vt:lpstr>READ ME</vt:lpstr>
      <vt:lpstr>checklistPesertaKemenkeu</vt:lpstr>
      <vt:lpstr>INPUT</vt:lpstr>
      <vt:lpstr>DATA</vt:lpstr>
      <vt:lpstr>BidangList</vt:lpstr>
      <vt:lpstr>K_1</vt:lpstr>
      <vt:lpstr>K_10</vt:lpstr>
      <vt:lpstr>K_100</vt:lpstr>
      <vt:lpstr>K_101</vt:lpstr>
      <vt:lpstr>K_102</vt:lpstr>
      <vt:lpstr>K_103</vt:lpstr>
      <vt:lpstr>K_104</vt:lpstr>
      <vt:lpstr>K_105</vt:lpstr>
      <vt:lpstr>K_106</vt:lpstr>
      <vt:lpstr>K_107</vt:lpstr>
      <vt:lpstr>K_108</vt:lpstr>
      <vt:lpstr>K_109</vt:lpstr>
      <vt:lpstr>K_11</vt:lpstr>
      <vt:lpstr>K_110</vt:lpstr>
      <vt:lpstr>K_111</vt:lpstr>
      <vt:lpstr>K_112</vt:lpstr>
      <vt:lpstr>K_113</vt:lpstr>
      <vt:lpstr>K_114</vt:lpstr>
      <vt:lpstr>K_115</vt:lpstr>
      <vt:lpstr>K_116</vt:lpstr>
      <vt:lpstr>K_117</vt:lpstr>
      <vt:lpstr>K_118</vt:lpstr>
      <vt:lpstr>K_119</vt:lpstr>
      <vt:lpstr>K_12</vt:lpstr>
      <vt:lpstr>K_120</vt:lpstr>
      <vt:lpstr>K_121</vt:lpstr>
      <vt:lpstr>K_122</vt:lpstr>
      <vt:lpstr>K_123</vt:lpstr>
      <vt:lpstr>K_124</vt:lpstr>
      <vt:lpstr>K_125</vt:lpstr>
      <vt:lpstr>K_126</vt:lpstr>
      <vt:lpstr>K_127</vt:lpstr>
      <vt:lpstr>K_128</vt:lpstr>
      <vt:lpstr>K_129</vt:lpstr>
      <vt:lpstr>K_13</vt:lpstr>
      <vt:lpstr>K_130</vt:lpstr>
      <vt:lpstr>K_131</vt:lpstr>
      <vt:lpstr>K_132</vt:lpstr>
      <vt:lpstr>K_133</vt:lpstr>
      <vt:lpstr>K_134</vt:lpstr>
      <vt:lpstr>K_135</vt:lpstr>
      <vt:lpstr>K_136</vt:lpstr>
      <vt:lpstr>K_137</vt:lpstr>
      <vt:lpstr>K_138</vt:lpstr>
      <vt:lpstr>K_139</vt:lpstr>
      <vt:lpstr>K_14</vt:lpstr>
      <vt:lpstr>K_140</vt:lpstr>
      <vt:lpstr>K_141</vt:lpstr>
      <vt:lpstr>K_142</vt:lpstr>
      <vt:lpstr>K_143</vt:lpstr>
      <vt:lpstr>K_144</vt:lpstr>
      <vt:lpstr>K_145</vt:lpstr>
      <vt:lpstr>K_146</vt:lpstr>
      <vt:lpstr>K_147</vt:lpstr>
      <vt:lpstr>K_148</vt:lpstr>
      <vt:lpstr>K_149</vt:lpstr>
      <vt:lpstr>K_15</vt:lpstr>
      <vt:lpstr>K_150</vt:lpstr>
      <vt:lpstr>K_151</vt:lpstr>
      <vt:lpstr>K_152</vt:lpstr>
      <vt:lpstr>K_153</vt:lpstr>
      <vt:lpstr>K_154</vt:lpstr>
      <vt:lpstr>K_155</vt:lpstr>
      <vt:lpstr>K_156</vt:lpstr>
      <vt:lpstr>K_157</vt:lpstr>
      <vt:lpstr>K_158</vt:lpstr>
      <vt:lpstr>K_159</vt:lpstr>
      <vt:lpstr>K_16</vt:lpstr>
      <vt:lpstr>K_160</vt:lpstr>
      <vt:lpstr>K_161</vt:lpstr>
      <vt:lpstr>K_162</vt:lpstr>
      <vt:lpstr>K_163</vt:lpstr>
      <vt:lpstr>K_164</vt:lpstr>
      <vt:lpstr>K_165</vt:lpstr>
      <vt:lpstr>K_166</vt:lpstr>
      <vt:lpstr>K_167</vt:lpstr>
      <vt:lpstr>K_168</vt:lpstr>
      <vt:lpstr>K_169</vt:lpstr>
      <vt:lpstr>K_17</vt:lpstr>
      <vt:lpstr>K_170</vt:lpstr>
      <vt:lpstr>K_171</vt:lpstr>
      <vt:lpstr>K_172</vt:lpstr>
      <vt:lpstr>K_173</vt:lpstr>
      <vt:lpstr>K_174</vt:lpstr>
      <vt:lpstr>K_175</vt:lpstr>
      <vt:lpstr>K_176</vt:lpstr>
      <vt:lpstr>K_177</vt:lpstr>
      <vt:lpstr>K_178</vt:lpstr>
      <vt:lpstr>K_179</vt:lpstr>
      <vt:lpstr>K_18</vt:lpstr>
      <vt:lpstr>K_180</vt:lpstr>
      <vt:lpstr>K_181</vt:lpstr>
      <vt:lpstr>K_182</vt:lpstr>
      <vt:lpstr>K_183</vt:lpstr>
      <vt:lpstr>K_184</vt:lpstr>
      <vt:lpstr>K_185</vt:lpstr>
      <vt:lpstr>K_186</vt:lpstr>
      <vt:lpstr>K_187</vt:lpstr>
      <vt:lpstr>K_188</vt:lpstr>
      <vt:lpstr>K_189</vt:lpstr>
      <vt:lpstr>K_19</vt:lpstr>
      <vt:lpstr>K_190</vt:lpstr>
      <vt:lpstr>K_191</vt:lpstr>
      <vt:lpstr>K_192</vt:lpstr>
      <vt:lpstr>K_193</vt:lpstr>
      <vt:lpstr>K_194</vt:lpstr>
      <vt:lpstr>K_195</vt:lpstr>
      <vt:lpstr>K_196</vt:lpstr>
      <vt:lpstr>K_197</vt:lpstr>
      <vt:lpstr>K_198</vt:lpstr>
      <vt:lpstr>K_199</vt:lpstr>
      <vt:lpstr>K_2</vt:lpstr>
      <vt:lpstr>K_20</vt:lpstr>
      <vt:lpstr>K_200</vt:lpstr>
      <vt:lpstr>K_21</vt:lpstr>
      <vt:lpstr>K_22</vt:lpstr>
      <vt:lpstr>K_23</vt:lpstr>
      <vt:lpstr>K_24</vt:lpstr>
      <vt:lpstr>K_25</vt:lpstr>
      <vt:lpstr>K_26</vt:lpstr>
      <vt:lpstr>K_27</vt:lpstr>
      <vt:lpstr>K_28</vt:lpstr>
      <vt:lpstr>K_29</vt:lpstr>
      <vt:lpstr>K_3</vt:lpstr>
      <vt:lpstr>K_30</vt:lpstr>
      <vt:lpstr>K_31</vt:lpstr>
      <vt:lpstr>K_32</vt:lpstr>
      <vt:lpstr>K_33</vt:lpstr>
      <vt:lpstr>K_34</vt:lpstr>
      <vt:lpstr>K_35</vt:lpstr>
      <vt:lpstr>K_36</vt:lpstr>
      <vt:lpstr>K_37</vt:lpstr>
      <vt:lpstr>K_38</vt:lpstr>
      <vt:lpstr>K_39</vt:lpstr>
      <vt:lpstr>K_4</vt:lpstr>
      <vt:lpstr>K_40</vt:lpstr>
      <vt:lpstr>K_41</vt:lpstr>
      <vt:lpstr>K_42</vt:lpstr>
      <vt:lpstr>K_43</vt:lpstr>
      <vt:lpstr>K_44</vt:lpstr>
      <vt:lpstr>K_45</vt:lpstr>
      <vt:lpstr>K_46</vt:lpstr>
      <vt:lpstr>K_47</vt:lpstr>
      <vt:lpstr>K_48</vt:lpstr>
      <vt:lpstr>K_49</vt:lpstr>
      <vt:lpstr>K_5</vt:lpstr>
      <vt:lpstr>K_50</vt:lpstr>
      <vt:lpstr>K_51</vt:lpstr>
      <vt:lpstr>K_52</vt:lpstr>
      <vt:lpstr>K_53</vt:lpstr>
      <vt:lpstr>K_54</vt:lpstr>
      <vt:lpstr>K_55</vt:lpstr>
      <vt:lpstr>K_56</vt:lpstr>
      <vt:lpstr>K_57</vt:lpstr>
      <vt:lpstr>K_58</vt:lpstr>
      <vt:lpstr>K_59</vt:lpstr>
      <vt:lpstr>K_6</vt:lpstr>
      <vt:lpstr>K_60</vt:lpstr>
      <vt:lpstr>K_61</vt:lpstr>
      <vt:lpstr>K_62</vt:lpstr>
      <vt:lpstr>K_63</vt:lpstr>
      <vt:lpstr>K_64</vt:lpstr>
      <vt:lpstr>K_65</vt:lpstr>
      <vt:lpstr>K_66</vt:lpstr>
      <vt:lpstr>K_67</vt:lpstr>
      <vt:lpstr>K_68</vt:lpstr>
      <vt:lpstr>K_69</vt:lpstr>
      <vt:lpstr>K_7</vt:lpstr>
      <vt:lpstr>K_70</vt:lpstr>
      <vt:lpstr>K_71</vt:lpstr>
      <vt:lpstr>K_72</vt:lpstr>
      <vt:lpstr>K_73</vt:lpstr>
      <vt:lpstr>K_74</vt:lpstr>
      <vt:lpstr>K_75</vt:lpstr>
      <vt:lpstr>K_76</vt:lpstr>
      <vt:lpstr>K_77</vt:lpstr>
      <vt:lpstr>K_78</vt:lpstr>
      <vt:lpstr>K_79</vt:lpstr>
      <vt:lpstr>K_8</vt:lpstr>
      <vt:lpstr>K_80</vt:lpstr>
      <vt:lpstr>K_81</vt:lpstr>
      <vt:lpstr>K_82</vt:lpstr>
      <vt:lpstr>K_83</vt:lpstr>
      <vt:lpstr>K_84</vt:lpstr>
      <vt:lpstr>K_85</vt:lpstr>
      <vt:lpstr>K_86</vt:lpstr>
      <vt:lpstr>K_87</vt:lpstr>
      <vt:lpstr>K_88</vt:lpstr>
      <vt:lpstr>K_89</vt:lpstr>
      <vt:lpstr>K_9</vt:lpstr>
      <vt:lpstr>K_90</vt:lpstr>
      <vt:lpstr>K_91</vt:lpstr>
      <vt:lpstr>K_92</vt:lpstr>
      <vt:lpstr>K_93</vt:lpstr>
      <vt:lpstr>K_94</vt:lpstr>
      <vt:lpstr>K_95</vt:lpstr>
      <vt:lpstr>K_96</vt:lpstr>
      <vt:lpstr>K_97</vt:lpstr>
      <vt:lpstr>K_98</vt:lpstr>
      <vt:lpstr>K_99</vt:lpstr>
      <vt:lpstr>KotaKode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Goradok Pande Raja Sinabutar</cp:lastModifiedBy>
  <cp:revision>0</cp:revision>
  <dcterms:created xsi:type="dcterms:W3CDTF">2026-05-25T04:32:46Z</dcterms:created>
  <dcterms:modified xsi:type="dcterms:W3CDTF">2026-06-27T17:03:14Z</dcterms:modified>
  <dc:language>en-US</dc:language>
</cp:coreProperties>
</file>